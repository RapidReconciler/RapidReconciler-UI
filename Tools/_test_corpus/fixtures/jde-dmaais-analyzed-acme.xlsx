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Analysis" state="visible" r:id="rId4"/>
    <sheet sheetId="2" name="Sales" state="visible" r:id="rId5"/>
    <sheet sheetId="3" name="Inventory" state="visible" r:id="rId6"/>
    <sheet sheetId="4" name="Purchasing" state="visible" r:id="rId7"/>
    <sheet sheetId="5" name="Manufacturing" state="visible" r:id="rId8"/>
    <sheet sheetId="6" name="JDE Data" state="visible" r:id="rId9"/>
    <sheet sheetId="7" name="Notes" state="visible" r:id="rId10"/>
  </sheets>
  <definedNames>
    <definedName name="_xlnm.Print_Area" localSheetId="0">'Analysis'!$A1:$L174</definedName>
    <definedName name="_xlnm.Print_Area" localSheetId="1">'Sales'!$A1:$F3158</definedName>
    <definedName name="_xlnm.Print_Area" localSheetId="2">'Inventory'!$A1:$F900</definedName>
    <definedName name="_xlnm.Print_Area" localSheetId="3">'Purchasing'!$A1:$F526</definedName>
    <definedName name="_xlnm.Print_Area" localSheetId="4">'Manufacturing'!$A1:$F332</definedName>
    <definedName name="_xlnm.Print_Area" localSheetId="6">'Notes'!$A1:$R13</definedName>
  </definedNames>
  <calcPr calcId="171027"/>
</workbook>
</file>

<file path=xl/sharedStrings.xml><?xml version="1.0" encoding="utf-8"?>
<sst xmlns="http://schemas.openxmlformats.org/spreadsheetml/2006/main" count="99318" uniqueCount="1096">
  <si>
    <t>JDE DMAAI's — Configuration Audit Worklist</t>
  </si>
  <si>
    <t>15,808 F4095 rows  ·  3338 flagged across 4 patterns</t>
  </si>
  <si>
    <t>Source  JDE F4095 (Distribution AAIs) export          May 17, 2026          Rows  15,808</t>
  </si>
  <si>
    <t>HOW TO USE THIS WORKBOOK   (click [+] in the row-number gutter to expand)</t>
  </si>
  <si>
    <t>1.  This file is your working document — save it.  The Answer / Decision / Status columns are intentionally blank.  Fill them in as you go and save the workbook to keep your progress.</t>
  </si>
  <si>
    <t>2.  For every row, pick one of three values in the Answer column dropdown:   Intended  (intentional configuration — won't be brought forward as urgent),   Needs review  (still working / waiting on customer input),   Fixed  (you made the F4095 change in JDE).  Use the Decision column for free-text notes about the specific change planned.</t>
  </si>
  <si>
    <t>3.  Start with FIX FIRST  (mechanical issues — transfer-clearing pairs, net-zero pairs, blank Obj Acct, duplicate keys).  These are almost certainly bugs regardless of customer intent.</t>
  </si>
  <si>
    <t>4.  Then ASK THE CUSTOMER  (intent questions — redundant overrides, missing complements, AAI splits, unrecognized AAI series).  Schedule a call and walk the list together.</t>
  </si>
  <si>
    <t>5.  IGNORE FOR NOW is just framing — GL-class gaps that will surface as JDE posting failures if they ever matter.  Don't burn audit hours on these up front.</t>
  </si>
  <si>
    <t>6.  When you've made your F4095 changes in JDE, re-export F4095 and reload the analyzer:  drop the new export onto Step 2, then drop THIS workbook onto Step 1's "Load prior analysis workbook" zone.  Your previous Answer / Decision / Status populate automatically.  Items you marked Fixed should disappear (counted as resolved).  If a "Fixed" item reappears, it'll be flagged "STILL FLAGGED" — your fix didn't stick and needs another look.</t>
  </si>
  <si>
    <t>⚠  This program analyzes data based on predetermined patterns and will not surface every possible issue — treat the worklist as a starting point, not an exhaustive audit.  Mind the timing: F4095 only ever reflects current configuration. If you are investigating transactions that have already posted, the DMAAI rows in this export may not be what was active when those transactions ran — postings in F0911 will reflect the configuration as of their original post date, not what you see here, and your findings may not line up with historical journal entries.  Before making any changes in JD Edwards: test all DMAAI configuration changes in a non-production environment first.  A single F4095 row update affects every transaction posted afterward for the matching company, doc type, and GL class — confirm the intended GL accounts with the cost / inventory accounting team before updating the production records.</t>
  </si>
  <si>
    <t>WORKLIST  ·  16 mechanical fixes (F#)  +  135 customer questions (Q#)  ·  click any column-header arrow to filter</t>
  </si>
  <si>
    <t>#</t>
  </si>
  <si>
    <t>ID</t>
  </si>
  <si>
    <t>Type</t>
  </si>
  <si>
    <t>Module</t>
  </si>
  <si>
    <t>Company</t>
  </si>
  <si>
    <t>Task / Question</t>
  </si>
  <si>
    <t>Doc types</t>
  </si>
  <si>
    <t>GL classes</t>
  </si>
  <si>
    <t>Reference</t>
  </si>
  <si>
    <t>Answer</t>
  </si>
  <si>
    <t>Decision</t>
  </si>
  <si>
    <t>Status</t>
  </si>
  <si>
    <t>F1</t>
  </si>
  <si>
    <t>txclr|10</t>
  </si>
  <si>
    <t>Fix</t>
  </si>
  <si>
    <t>Sales</t>
  </si>
  <si>
    <t>10</t>
  </si>
  <si>
    <t>AAI 4245 (ST shipment) and AAI 4320 (OT receipt) route to different Object accounts on 1 GL class. Every transfer in those GL classes leaves a permanent residual on the in-transit clearing account. Align both AAIs to the same Object account.</t>
  </si>
  <si>
    <t>OT, ST</t>
  </si>
  <si>
    <t>RRRR</t>
  </si>
  <si>
    <t/>
  </si>
  <si>
    <t>Open</t>
  </si>
  <si>
    <t>F2</t>
  </si>
  <si>
    <t>nz|10|4122-4124</t>
  </si>
  <si>
    <t>Inventory</t>
  </si>
  <si>
    <t>AAIs 4122 (Dr) and 4124 (Cr) both route to Object 501090 on 1 configuration. Postings will net to zero. Likely a copy-paste error — correct the side that's wrong.</t>
  </si>
  <si>
    <t>IA</t>
  </si>
  <si>
    <t>PLAT</t>
  </si>
  <si>
    <t>F3</t>
  </si>
  <si>
    <t>nz|10|4152-4154</t>
  </si>
  <si>
    <t>AAIs 4152 (Dr) and 4154 (Cr) both route to Object 500465 on 8 configurations. Postings will net to zero. Likely a copy-paste error — correct the side that's wrong.</t>
  </si>
  <si>
    <t>IP, PI</t>
  </si>
  <si>
    <t>HTSP, NS40, SUPP  (+ 1 more)</t>
  </si>
  <si>
    <t>F4</t>
  </si>
  <si>
    <t>nz|10|4162-4164</t>
  </si>
  <si>
    <t>AAIs 4162 (Dr) and 4164 (Cr) both route to Object 14200 on 2 configurations. Postings will net to zero. Likely a copy-paste error — correct the side that's wrong.</t>
  </si>
  <si>
    <t>IA, II</t>
  </si>
  <si>
    <t>****</t>
  </si>
  <si>
    <t>F5</t>
  </si>
  <si>
    <t>nz|18|4122-4124</t>
  </si>
  <si>
    <t>18</t>
  </si>
  <si>
    <t>F6</t>
  </si>
  <si>
    <t>nz|18|4152-4154</t>
  </si>
  <si>
    <t>F7</t>
  </si>
  <si>
    <t>nz|18|4162-4164</t>
  </si>
  <si>
    <t>F8</t>
  </si>
  <si>
    <t>nz|50|4240-4220</t>
  </si>
  <si>
    <t>50</t>
  </si>
  <si>
    <t>AAIs 4240 (Dr) and 4220 (Cr) both route to the same Object account on 5 configurations. Postings will net to zero. Likely a copy-paste error — correct the side that's wrong.</t>
  </si>
  <si>
    <t>CR, ST</t>
  </si>
  <si>
    <t>****, HTSP, NS40  (+ 2 more)</t>
  </si>
  <si>
    <t>F9</t>
  </si>
  <si>
    <t>nz|50|4310-4320</t>
  </si>
  <si>
    <t>Purchasing</t>
  </si>
  <si>
    <t>AAIs 4310 (Dr) and 4320 (Cr) both route to Object 500220 on 4 configurations. Postings will net to zero. Likely a copy-paste error — correct the side that's wrong.</t>
  </si>
  <si>
    <t>OT</t>
  </si>
  <si>
    <t>F10</t>
  </si>
  <si>
    <t>nz|51|4240-4220</t>
  </si>
  <si>
    <t>51</t>
  </si>
  <si>
    <t>F11</t>
  </si>
  <si>
    <t>nz|51|4310-4320</t>
  </si>
  <si>
    <t>F12</t>
  </si>
  <si>
    <t>nz|53|4240-4220</t>
  </si>
  <si>
    <t>53</t>
  </si>
  <si>
    <t>F13</t>
  </si>
  <si>
    <t>nz|53|4310-4320</t>
  </si>
  <si>
    <t>F14</t>
  </si>
  <si>
    <t>nz|60|4122-4124</t>
  </si>
  <si>
    <t>60</t>
  </si>
  <si>
    <t>F15</t>
  </si>
  <si>
    <t>nz|60|4152-4154</t>
  </si>
  <si>
    <t>F16</t>
  </si>
  <si>
    <t>nz|60|4162-4164</t>
  </si>
  <si>
    <t>Q1</t>
  </si>
  <si>
    <t>mc|10|4240-4220|4240</t>
  </si>
  <si>
    <t>Question</t>
  </si>
  <si>
    <t>AAI pair 4240/4220: AAI 4240 is missing in 5 configurations where AAI 4220 is configured. Customer call: are these doc types in active use? If yes, AAI 4240 needs to be added to avoid unbalanced posting. If dormant, the gap is harmless.</t>
  </si>
  <si>
    <t>SK</t>
  </si>
  <si>
    <t>PKGM, SUPP, TDM1  (+ 2 more)</t>
  </si>
  <si>
    <t>Q2</t>
  </si>
  <si>
    <t>mc|10|4240-4220|4220</t>
  </si>
  <si>
    <t>AAI pair 4240/4220: AAI 4220 is missing in 2 configurations where AAI 4240 is configured. Customer call: are these doc types in active use? If yes, AAI 4220 needs to be added to avoid unbalanced posting. If dormant, the gap is harmless.</t>
  </si>
  <si>
    <t>SE</t>
  </si>
  <si>
    <t>FT60, SSER</t>
  </si>
  <si>
    <t>Q3</t>
  </si>
  <si>
    <t>glsub|10|4220|HTSP</t>
  </si>
  <si>
    <t>AAI 4220 · GL class HTSP: subsidiary '(blank)' is used on 18 of 20 F4095 rows (the dominant pattern), but 2 rows use a different subsidiary ('50' on 2 rows). Customer call: was the exception intentional, or is it drift that should be aligned to '(blank)'?</t>
  </si>
  <si>
    <t>C2, C3, C5  (+ 17 more)</t>
  </si>
  <si>
    <t>HTSP</t>
  </si>
  <si>
    <t>Q4</t>
  </si>
  <si>
    <t>glsub|10|4220|NS40</t>
  </si>
  <si>
    <t>AAI 4220 · GL class NS40: subsidiary '(blank)' is used on 18 of 20 F4095 rows (the dominant pattern), but 2 rows use a different subsidiary ('50' on 2 rows). Customer call: was the exception intentional, or is it drift that should be aligned to '(blank)'?</t>
  </si>
  <si>
    <t>NS40</t>
  </si>
  <si>
    <t>Q5</t>
  </si>
  <si>
    <t>glsub|10|4220|SUPP</t>
  </si>
  <si>
    <t>AAI 4220 · GL class SUPP: subsidiary '(blank)' is used on 18 of 20 F4095 rows (the dominant pattern), but 2 rows use a different subsidiary ('50' on 2 rows). Customer call: was the exception intentional, or is it drift that should be aligned to '(blank)'?</t>
  </si>
  <si>
    <t>SUPP</t>
  </si>
  <si>
    <t>Q6</t>
  </si>
  <si>
    <t>glsub|10|4220|TDM1</t>
  </si>
  <si>
    <t>AAI 4220 · GL class TDM1: subsidiary '(blank)' is used on 17 of 19 F4095 rows (the dominant pattern), but 2 rows use a different subsidiary ('50' on 2 rows). Customer call: was the exception intentional, or is it drift that should be aligned to '(blank)'?</t>
  </si>
  <si>
    <t>C2, C3, C5  (+ 16 more)</t>
  </si>
  <si>
    <t>TDM1</t>
  </si>
  <si>
    <t>Q7</t>
  </si>
  <si>
    <t>glsub|10|4220|TDM2</t>
  </si>
  <si>
    <t>AAI 4220 · GL class TDM2: subsidiary '(blank)' is used on 17 of 19 F4095 rows (the dominant pattern), but 2 rows use a different subsidiary ('50' on 2 rows). Customer call: was the exception intentional, or is it drift that should be aligned to '(blank)'?</t>
  </si>
  <si>
    <t>TDM2</t>
  </si>
  <si>
    <t>Q8</t>
  </si>
  <si>
    <t>glsub|10|4220|TOOL</t>
  </si>
  <si>
    <t>AAI 4220 · GL class TOOL: subsidiary '(blank)' is used on 17 of 19 F4095 rows (the dominant pattern), but 2 rows use a different subsidiary ('50' on 2 rows). Customer call: was the exception intentional, or is it drift that should be aligned to '(blank)'?</t>
  </si>
  <si>
    <t>TOOL</t>
  </si>
  <si>
    <t>Q9</t>
  </si>
  <si>
    <t>glsub|10|4240|HTSP</t>
  </si>
  <si>
    <t>AAI 4240 · GL class HTSP: subsidiary '(blank)' is used on 20 of 21 F4095 rows (the dominant pattern), but 1 row uses a different subsidiary ('50' on 1 row). Customer call: was the exception intentional, or is it drift that should be aligned to '(blank)'?</t>
  </si>
  <si>
    <t>C2, C3, C5  (+ 18 more)</t>
  </si>
  <si>
    <t>Q10</t>
  </si>
  <si>
    <t>glsub|10|4240|NS40</t>
  </si>
  <si>
    <t>AAI 4240 · GL class NS40: subsidiary '(blank)' is used on 20 of 21 F4095 rows (the dominant pattern), but 1 row uses a different subsidiary ('50' on 1 row). Customer call: was the exception intentional, or is it drift that should be aligned to '(blank)'?</t>
  </si>
  <si>
    <t>Q11</t>
  </si>
  <si>
    <t>glsub|10|4240|SUPP</t>
  </si>
  <si>
    <t>AAI 4240 · GL class SUPP: subsidiary '(blank)' is used on 19 of 20 F4095 rows (the dominant pattern), but 1 row uses a different subsidiary ('50' on 1 row). Customer call: was the exception intentional, or is it drift that should be aligned to '(blank)'?</t>
  </si>
  <si>
    <t>Q12</t>
  </si>
  <si>
    <t>glsub|10|4240|TDM1</t>
  </si>
  <si>
    <t>AAI 4240 · GL class TDM1: subsidiary '(blank)' is used on 18 of 19 F4095 rows (the dominant pattern), but 1 row uses a different subsidiary ('50' on 1 row). Customer call: was the exception intentional, or is it drift that should be aligned to '(blank)'?</t>
  </si>
  <si>
    <t>Q13</t>
  </si>
  <si>
    <t>glsub|10|4240|TDM2</t>
  </si>
  <si>
    <t>AAI 4240 · GL class TDM2: subsidiary '(blank)' is used on 18 of 19 F4095 rows (the dominant pattern), but 1 row uses a different subsidiary ('50' on 1 row). Customer call: was the exception intentional, or is it drift that should be aligned to '(blank)'?</t>
  </si>
  <si>
    <t>Q14</t>
  </si>
  <si>
    <t>glsub|10|4240|TOOL</t>
  </si>
  <si>
    <t>AAI 4240 · GL class TOOL: subsidiary '(blank)' is used on 18 of 19 F4095 rows (the dominant pattern), but 1 row uses a different subsidiary ('50' on 1 row). Customer call: was the exception intentional, or is it drift that should be aligned to '(blank)'?</t>
  </si>
  <si>
    <t>Q15</t>
  </si>
  <si>
    <t>redspec|10|4141</t>
  </si>
  <si>
    <t>AAI 4141: 1 specific GL-class override all resolve to the same Object account (145200) as the (Co 10, ****) wildcard. No functional effect on posting. Customer call: created for documentation / audit, or can they be deleted to keep F4095 lean?</t>
  </si>
  <si>
    <t>ST</t>
  </si>
  <si>
    <t>Q16</t>
  </si>
  <si>
    <t>mc|10|4152-4154|4154</t>
  </si>
  <si>
    <t>AAI pair 4152/4154: AAI 4154 is missing in 22 configurations where AAI 4152 is configured. Customer call: are these doc types in active use? If yes, AAI 4154 needs to be added to avoid unbalanced posting. If dormant, the gap is harmless.</t>
  </si>
  <si>
    <t>99</t>
  </si>
  <si>
    <t>ASGB, BRKR, BUYP  (+ 19 more)</t>
  </si>
  <si>
    <t>Q17</t>
  </si>
  <si>
    <t>glsub|10|4141|HTSP</t>
  </si>
  <si>
    <t>AAI 4141 · GL class HTSP: subsidiary '(blank)' is used on 18 of 20 F4095 rows (the dominant pattern), but 2 rows use a different subsidiary ('50' on 2 rows). Customer call: was the exception intentional, or is it drift that should be aligned to '(blank)'?</t>
  </si>
  <si>
    <t>Q18</t>
  </si>
  <si>
    <t>glsub|10|4141|NS40</t>
  </si>
  <si>
    <t>AAI 4141 · GL class NS40: subsidiary '(blank)' is used on 18 of 20 F4095 rows (the dominant pattern), but 2 rows use a different subsidiary ('50' on 2 rows). Customer call: was the exception intentional, or is it drift that should be aligned to '(blank)'?</t>
  </si>
  <si>
    <t>Q19</t>
  </si>
  <si>
    <t>glsub|10|4141|SUPP</t>
  </si>
  <si>
    <t>AAI 4141 · GL class SUPP: subsidiary '(blank)' is used on 18 of 20 F4095 rows (the dominant pattern), but 2 rows use a different subsidiary ('50' on 2 rows). Customer call: was the exception intentional, or is it drift that should be aligned to '(blank)'?</t>
  </si>
  <si>
    <t>Q20</t>
  </si>
  <si>
    <t>glsub|10|4141|TDM1</t>
  </si>
  <si>
    <t>AAI 4141 · GL class TDM1: subsidiary '(blank)' is used on 17 of 19 F4095 rows (the dominant pattern), but 2 rows use a different subsidiary ('50' on 2 rows). Customer call: was the exception intentional, or is it drift that should be aligned to '(blank)'?</t>
  </si>
  <si>
    <t>Q21</t>
  </si>
  <si>
    <t>glsub|10|4141|TDM2</t>
  </si>
  <si>
    <t>AAI 4141 · GL class TDM2: subsidiary '(blank)' is used on 17 of 19 F4095 rows (the dominant pattern), but 2 rows use a different subsidiary ('50' on 2 rows). Customer call: was the exception intentional, or is it drift that should be aligned to '(blank)'?</t>
  </si>
  <si>
    <t>Q22</t>
  </si>
  <si>
    <t>glsub|10|4141|TOOL</t>
  </si>
  <si>
    <t>AAI 4141 · GL class TOOL: subsidiary '(blank)' is used on 17 of 19 F4095 rows (the dominant pattern), but 2 rows use a different subsidiary ('50' on 2 rows). Customer call: was the exception intentional, or is it drift that should be aligned to '(blank)'?</t>
  </si>
  <si>
    <t>Q23</t>
  </si>
  <si>
    <t>redspec|10|4310</t>
  </si>
  <si>
    <t>AAI 4310: 4 specific GL-class overrides all resolve to the same Object account (501090) as the (Co 10, ****) wildcard. No functional effect on posting. Customer call: created for documentation / audit, or can they be deleted to keep F4095 lean?</t>
  </si>
  <si>
    <t>OO</t>
  </si>
  <si>
    <t>PLAT, PRSP, SECD  (+ 1 more)</t>
  </si>
  <si>
    <t>Q24</t>
  </si>
  <si>
    <t>mc|10|4310-4320|4310</t>
  </si>
  <si>
    <t>AAI pair 4310/4320: AAI 4310 is missing in 3 configurations where AAI 4320 is configured. Customer call: are these doc types in active use? If yes, AAI 4310 needs to be added to avoid unbalanced posting. If dormant, the gap is harmless.</t>
  </si>
  <si>
    <t>OP, OT</t>
  </si>
  <si>
    <t>RRRR, TDM1, TDM2</t>
  </si>
  <si>
    <t>Q25</t>
  </si>
  <si>
    <t>redspec|10|3130</t>
  </si>
  <si>
    <t>Manufacturing</t>
  </si>
  <si>
    <t>AAI 3130: 1056 specific GL-class overrides all resolve to the same Object account (145000) as the (Co 10, ****) wildcard. No functional effect on posting. Customer call: created for documentation / audit, or can they be deleted to keep F4095 lean?</t>
  </si>
  <si>
    <t>IC, IS</t>
  </si>
  <si>
    <t>ASGB, BRKR, BUYP  (+ 20 more)</t>
  </si>
  <si>
    <t>Q26</t>
  </si>
  <si>
    <t>mc|18|4240-4220|4240</t>
  </si>
  <si>
    <t>Q27</t>
  </si>
  <si>
    <t>mc|18|4240-4220|4220</t>
  </si>
  <si>
    <t>Q28</t>
  </si>
  <si>
    <t>glsub|18|4220|HTSP</t>
  </si>
  <si>
    <t>Q29</t>
  </si>
  <si>
    <t>glsub|18|4220|NS40</t>
  </si>
  <si>
    <t>Q30</t>
  </si>
  <si>
    <t>glsub|18|4220|SUPP</t>
  </si>
  <si>
    <t>Q31</t>
  </si>
  <si>
    <t>glsub|18|4220|TDM1</t>
  </si>
  <si>
    <t>Q32</t>
  </si>
  <si>
    <t>glsub|18|4220|TDM2</t>
  </si>
  <si>
    <t>Q33</t>
  </si>
  <si>
    <t>glsub|18|4220|TOOL</t>
  </si>
  <si>
    <t>Q34</t>
  </si>
  <si>
    <t>glsub|18|4240|HTSP</t>
  </si>
  <si>
    <t>Q35</t>
  </si>
  <si>
    <t>glsub|18|4240|NS40</t>
  </si>
  <si>
    <t>Q36</t>
  </si>
  <si>
    <t>glsub|18|4240|SUPP</t>
  </si>
  <si>
    <t>Q37</t>
  </si>
  <si>
    <t>glsub|18|4240|TDM1</t>
  </si>
  <si>
    <t>Q38</t>
  </si>
  <si>
    <t>glsub|18|4240|TDM2</t>
  </si>
  <si>
    <t>Q39</t>
  </si>
  <si>
    <t>glsub|18|4240|TOOL</t>
  </si>
  <si>
    <t>Q40</t>
  </si>
  <si>
    <t>redspec|18|4141</t>
  </si>
  <si>
    <t>AAI 4141: 1 specific GL-class override all resolve to the same Object account (145200) as the (Co 18, ****) wildcard. No functional effect on posting. Customer call: created for documentation / audit, or can they be deleted to keep F4095 lean?</t>
  </si>
  <si>
    <t>Q41</t>
  </si>
  <si>
    <t>mc|18|4152-4154|4154</t>
  </si>
  <si>
    <t>Q42</t>
  </si>
  <si>
    <t>glsub|18|4141|HTSP</t>
  </si>
  <si>
    <t>Q43</t>
  </si>
  <si>
    <t>glsub|18|4141|NS40</t>
  </si>
  <si>
    <t>Q44</t>
  </si>
  <si>
    <t>glsub|18|4141|SUPP</t>
  </si>
  <si>
    <t>Q45</t>
  </si>
  <si>
    <t>glsub|18|4141|TDM1</t>
  </si>
  <si>
    <t>Q46</t>
  </si>
  <si>
    <t>glsub|18|4141|TDM2</t>
  </si>
  <si>
    <t>Q47</t>
  </si>
  <si>
    <t>glsub|18|4141|TOOL</t>
  </si>
  <si>
    <t>Q48</t>
  </si>
  <si>
    <t>redspec|18|4310</t>
  </si>
  <si>
    <t>AAI 4310: 4 specific GL-class overrides all resolve to the same Object account (501090) as the (Co 18, ****) wildcard. No functional effect on posting. Customer call: created for documentation / audit, or can they be deleted to keep F4095 lean?</t>
  </si>
  <si>
    <t>Q49</t>
  </si>
  <si>
    <t>mc|18|4310-4320|4310</t>
  </si>
  <si>
    <t>AAI pair 4310/4320: AAI 4310 is missing in 2 configurations where AAI 4320 is configured. Customer call: are these doc types in active use? If yes, AAI 4310 needs to be added to avoid unbalanced posting. If dormant, the gap is harmless.</t>
  </si>
  <si>
    <t>TDM1, TDM2</t>
  </si>
  <si>
    <t>Q50</t>
  </si>
  <si>
    <t>redspec|18|3130</t>
  </si>
  <si>
    <t>AAI 3130: 1056 specific GL-class overrides all resolve to the same Object account (145000) as the (Co 18, ****) wildcard. No functional effect on posting. Customer call: created for documentation / audit, or can they be deleted to keep F4095 lean?</t>
  </si>
  <si>
    <t>Q51</t>
  </si>
  <si>
    <t>glsub|50|4230|ASGB</t>
  </si>
  <si>
    <t>AAI 4230 · GL class ASGB: subsidiary '(blank)' is used on 6 of 7 F4095 rows (the dominant pattern), but 1 row uses a different subsidiary ('51' on 1 row). Customer call: was the exception intentional, or is it drift that should be aligned to '(blank)'?</t>
  </si>
  <si>
    <t>CO, CR, S8  (+ 4 more)</t>
  </si>
  <si>
    <t>ASGB</t>
  </si>
  <si>
    <t>Q52</t>
  </si>
  <si>
    <t>glsub|50|4230|BRKR</t>
  </si>
  <si>
    <t>AAI 4230 · GL class BRKR: subsidiary '(blank)' is used on 6 of 7 F4095 rows (the dominant pattern), but 1 row uses a different subsidiary ('51' on 1 row). Customer call: was the exception intentional, or is it drift that should be aligned to '(blank)'?</t>
  </si>
  <si>
    <t>BRKR</t>
  </si>
  <si>
    <t>Q53</t>
  </si>
  <si>
    <t>glsub|50|4230|BUYP</t>
  </si>
  <si>
    <t>AAI 4230 · GL class BUYP: subsidiary '(blank)' is used on 6 of 7 F4095 rows (the dominant pattern), but 1 row uses a different subsidiary ('51' on 1 row). Customer call: was the exception intentional, or is it drift that should be aligned to '(blank)'?</t>
  </si>
  <si>
    <t>BUYP</t>
  </si>
  <si>
    <t>Q54</t>
  </si>
  <si>
    <t>glsub|50|4230|CTRL</t>
  </si>
  <si>
    <t>AAI 4230 · GL class CTRL: subsidiary '(blank)' is used on 6 of 7 F4095 rows (the dominant pattern), but 1 row uses a different subsidiary ('51' on 1 row). Customer call: was the exception intentional, or is it drift that should be aligned to '(blank)'?</t>
  </si>
  <si>
    <t>CTRL</t>
  </si>
  <si>
    <t>Q55</t>
  </si>
  <si>
    <t>glsub|50|4230|FT60</t>
  </si>
  <si>
    <t>AAI 4230 · GL class FT60: subsidiary '(blank)' is used on 6 of 7 F4095 rows (the dominant pattern), but 1 row uses a different subsidiary ('51' on 1 row). Customer call: was the exception intentional, or is it drift that should be aligned to '(blank)'?</t>
  </si>
  <si>
    <t>FT60</t>
  </si>
  <si>
    <t>Q56</t>
  </si>
  <si>
    <t>glsub|50|4230|HDWE</t>
  </si>
  <si>
    <t>AAI 4230 · GL class HDWE: subsidiary '(blank)' is used on 6 of 7 F4095 rows (the dominant pattern), but 1 row uses a different subsidiary ('51' on 1 row). Customer call: was the exception intentional, or is it drift that should be aligned to '(blank)'?</t>
  </si>
  <si>
    <t>HDWE</t>
  </si>
  <si>
    <t>Q57</t>
  </si>
  <si>
    <t>glsub|50|4230|HTSP</t>
  </si>
  <si>
    <t>AAI 4230 · GL class HTSP: subsidiary '(blank)' is used on 6 of 7 F4095 rows (the dominant pattern), but 1 row uses a different subsidiary ('51' on 1 row). Customer call: was the exception intentional, or is it drift that should be aligned to '(blank)'?</t>
  </si>
  <si>
    <t>Q58</t>
  </si>
  <si>
    <t>glsub|50|4230|MINI</t>
  </si>
  <si>
    <t>AAI 4230 · GL class MINI: subsidiary '(blank)' is used on 6 of 7 F4095 rows (the dominant pattern), but 1 row uses a different subsidiary ('51' on 1 row). Customer call: was the exception intentional, or is it drift that should be aligned to '(blank)'?</t>
  </si>
  <si>
    <t>MINI</t>
  </si>
  <si>
    <t>Q59</t>
  </si>
  <si>
    <t>glsub|50|4230|MLDP</t>
  </si>
  <si>
    <t>AAI 4230 · GL class MLDP: subsidiary '(blank)' is used on 6 of 7 F4095 rows (the dominant pattern), but 1 row uses a different subsidiary ('51' on 1 row). Customer call: was the exception intentional, or is it drift that should be aligned to '(blank)'?</t>
  </si>
  <si>
    <t>MLDP</t>
  </si>
  <si>
    <t>Q60</t>
  </si>
  <si>
    <t>glsub|50|4230|OCTO</t>
  </si>
  <si>
    <t>AAI 4230 · GL class OCTO: subsidiary '(blank)' is used on 6 of 7 F4095 rows (the dominant pattern), but 1 row uses a different subsidiary ('51' on 1 row). Customer call: was the exception intentional, or is it drift that should be aligned to '(blank)'?</t>
  </si>
  <si>
    <t>OCTO</t>
  </si>
  <si>
    <t>Q61</t>
  </si>
  <si>
    <t>glsub|50|4230|PKGM</t>
  </si>
  <si>
    <t>AAI 4230 · GL class PKGM: subsidiary '(blank)' is used on 6 of 7 F4095 rows (the dominant pattern), but 1 row uses a different subsidiary ('51' on 1 row). Customer call: was the exception intentional, or is it drift that should be aligned to '(blank)'?</t>
  </si>
  <si>
    <t>PKGM</t>
  </si>
  <si>
    <t>Q62</t>
  </si>
  <si>
    <t>glsub|50|4230|PNLS</t>
  </si>
  <si>
    <t>AAI 4230 · GL class PNLS: subsidiary '(blank)' is used on 6 of 7 F4095 rows (the dominant pattern), but 1 row uses a different subsidiary ('51' on 1 row). Customer call: was the exception intentional, or is it drift that should be aligned to '(blank)'?</t>
  </si>
  <si>
    <t>PNLS</t>
  </si>
  <si>
    <t>Q63</t>
  </si>
  <si>
    <t>glsub|50|4230|PRSP</t>
  </si>
  <si>
    <t>AAI 4230 · GL class PRSP: subsidiary '(blank)' is used on 6 of 7 F4095 rows (the dominant pattern), but 1 row uses a different subsidiary ('51' on 1 row). Customer call: was the exception intentional, or is it drift that should be aligned to '(blank)'?</t>
  </si>
  <si>
    <t>PRSP</t>
  </si>
  <si>
    <t>Q64</t>
  </si>
  <si>
    <t>glsub|50|4230|SECD</t>
  </si>
  <si>
    <t>AAI 4230 · GL class SECD: subsidiary '(blank)' is used on 6 of 7 F4095 rows (the dominant pattern), but 1 row uses a different subsidiary ('51' on 1 row). Customer call: was the exception intentional, or is it drift that should be aligned to '(blank)'?</t>
  </si>
  <si>
    <t>SECD</t>
  </si>
  <si>
    <t>Q65</t>
  </si>
  <si>
    <t>glsub|50|4230|SSER</t>
  </si>
  <si>
    <t>AAI 4230 · GL class SSER: subsidiary '(blank)' is used on 6 of 7 F4095 rows (the dominant pattern), but 1 row uses a different subsidiary ('51' on 1 row). Customer call: was the exception intentional, or is it drift that should be aligned to '(blank)'?</t>
  </si>
  <si>
    <t>SSER</t>
  </si>
  <si>
    <t>Q66</t>
  </si>
  <si>
    <t>glsub|50|4230|SUBA</t>
  </si>
  <si>
    <t>AAI 4230 · GL class SUBA: subsidiary '(blank)' is used on 6 of 7 F4095 rows (the dominant pattern), but 1 row uses a different subsidiary ('51' on 1 row). Customer call: was the exception intentional, or is it drift that should be aligned to '(blank)'?</t>
  </si>
  <si>
    <t>SUBA</t>
  </si>
  <si>
    <t>Q67</t>
  </si>
  <si>
    <t>glsub|50|4230|SUBC</t>
  </si>
  <si>
    <t>AAI 4230 · GL class SUBC: subsidiary '(blank)' is used on 6 of 7 F4095 rows (the dominant pattern), but 1 row uses a different subsidiary ('51' on 1 row). Customer call: was the exception intentional, or is it drift that should be aligned to '(blank)'?</t>
  </si>
  <si>
    <t>SUBC</t>
  </si>
  <si>
    <t>Q68</t>
  </si>
  <si>
    <t>glsub|50|4230|SWIT</t>
  </si>
  <si>
    <t>AAI 4230 · GL class SWIT: subsidiary '(blank)' is used on 6 of 7 F4095 rows (the dominant pattern), but 1 row uses a different subsidiary ('51' on 1 row). Customer call: was the exception intentional, or is it drift that should be aligned to '(blank)'?</t>
  </si>
  <si>
    <t>SWIT</t>
  </si>
  <si>
    <t>Q69</t>
  </si>
  <si>
    <t>glsub|50|4230|TBKR</t>
  </si>
  <si>
    <t>AAI 4230 · GL class TBKR: subsidiary '(blank)' is used on 6 of 7 F4095 rows (the dominant pattern), but 1 row uses a different subsidiary ('51' on 1 row). Customer call: was the exception intentional, or is it drift that should be aligned to '(blank)'?</t>
  </si>
  <si>
    <t>TBKR</t>
  </si>
  <si>
    <t>Q70</t>
  </si>
  <si>
    <t>glsub|50|4230|NS40</t>
  </si>
  <si>
    <t>AAI 4230 · GL class NS40: subsidiary '(blank)' is used on 5 of 6 F4095 rows (the dominant pattern), but 1 row uses a different subsidiary ('51' on 1 row). Customer call: was the exception intentional, or is it drift that should be aligned to '(blank)'?</t>
  </si>
  <si>
    <t>CR, S8, S9  (+ 3 more)</t>
  </si>
  <si>
    <t>Q71</t>
  </si>
  <si>
    <t>glsub|51|4230|ASGB</t>
  </si>
  <si>
    <t>Q72</t>
  </si>
  <si>
    <t>glsub|51|4230|BRKR</t>
  </si>
  <si>
    <t>Q73</t>
  </si>
  <si>
    <t>glsub|51|4230|BUYP</t>
  </si>
  <si>
    <t>Q74</t>
  </si>
  <si>
    <t>glsub|51|4230|CTRL</t>
  </si>
  <si>
    <t>Q75</t>
  </si>
  <si>
    <t>glsub|51|4230|FT60</t>
  </si>
  <si>
    <t>Q76</t>
  </si>
  <si>
    <t>glsub|51|4230|HDWE</t>
  </si>
  <si>
    <t>Q77</t>
  </si>
  <si>
    <t>glsub|51|4230|HTSP</t>
  </si>
  <si>
    <t>Q78</t>
  </si>
  <si>
    <t>glsub|51|4230|MINI</t>
  </si>
  <si>
    <t>Q79</t>
  </si>
  <si>
    <t>glsub|51|4230|MLDP</t>
  </si>
  <si>
    <t>Q80</t>
  </si>
  <si>
    <t>glsub|51|4230|OCTO</t>
  </si>
  <si>
    <t>Q81</t>
  </si>
  <si>
    <t>glsub|51|4230|PKGM</t>
  </si>
  <si>
    <t>Q82</t>
  </si>
  <si>
    <t>glsub|51|4230|PNLS</t>
  </si>
  <si>
    <t>Q83</t>
  </si>
  <si>
    <t>glsub|51|4230|PRSP</t>
  </si>
  <si>
    <t>Q84</t>
  </si>
  <si>
    <t>glsub|51|4230|SECD</t>
  </si>
  <si>
    <t>Q85</t>
  </si>
  <si>
    <t>glsub|51|4230|SSER</t>
  </si>
  <si>
    <t>Q86</t>
  </si>
  <si>
    <t>glsub|51|4230|SUBA</t>
  </si>
  <si>
    <t>Q87</t>
  </si>
  <si>
    <t>glsub|51|4230|SUBC</t>
  </si>
  <si>
    <t>Q88</t>
  </si>
  <si>
    <t>glsub|51|4230|SWIT</t>
  </si>
  <si>
    <t>Q89</t>
  </si>
  <si>
    <t>glsub|51|4230|TBKR</t>
  </si>
  <si>
    <t>Q90</t>
  </si>
  <si>
    <t>glsub|51|4230|NS40</t>
  </si>
  <si>
    <t>Q91</t>
  </si>
  <si>
    <t>glsub|53|4230|ASGB</t>
  </si>
  <si>
    <t>Q92</t>
  </si>
  <si>
    <t>glsub|53|4230|BRKR</t>
  </si>
  <si>
    <t>Q93</t>
  </si>
  <si>
    <t>glsub|53|4230|BUYP</t>
  </si>
  <si>
    <t>Q94</t>
  </si>
  <si>
    <t>glsub|53|4230|CTRL</t>
  </si>
  <si>
    <t>Q95</t>
  </si>
  <si>
    <t>glsub|53|4230|FT60</t>
  </si>
  <si>
    <t>Q96</t>
  </si>
  <si>
    <t>glsub|53|4230|HDWE</t>
  </si>
  <si>
    <t>Q97</t>
  </si>
  <si>
    <t>glsub|53|4230|HTSP</t>
  </si>
  <si>
    <t>Q98</t>
  </si>
  <si>
    <t>glsub|53|4230|MINI</t>
  </si>
  <si>
    <t>Q99</t>
  </si>
  <si>
    <t>glsub|53|4230|MLDP</t>
  </si>
  <si>
    <t>Q100</t>
  </si>
  <si>
    <t>glsub|53|4230|OCTO</t>
  </si>
  <si>
    <t>Q101</t>
  </si>
  <si>
    <t>glsub|53|4230|PKGM</t>
  </si>
  <si>
    <t>Q102</t>
  </si>
  <si>
    <t>glsub|53|4230|PNLS</t>
  </si>
  <si>
    <t>Q103</t>
  </si>
  <si>
    <t>glsub|53|4230|PRSP</t>
  </si>
  <si>
    <t>Q104</t>
  </si>
  <si>
    <t>glsub|53|4230|SECD</t>
  </si>
  <si>
    <t>Q105</t>
  </si>
  <si>
    <t>glsub|53|4230|SSER</t>
  </si>
  <si>
    <t>Q106</t>
  </si>
  <si>
    <t>glsub|53|4230|SUBA</t>
  </si>
  <si>
    <t>Q107</t>
  </si>
  <si>
    <t>glsub|53|4230|SUBC</t>
  </si>
  <si>
    <t>Q108</t>
  </si>
  <si>
    <t>glsub|53|4230|SWIT</t>
  </si>
  <si>
    <t>Q109</t>
  </si>
  <si>
    <t>glsub|53|4230|TBKR</t>
  </si>
  <si>
    <t>Q110</t>
  </si>
  <si>
    <t>glsub|53|4230|NS40</t>
  </si>
  <si>
    <t>Q111</t>
  </si>
  <si>
    <t>mc|60|4240-4220|4240</t>
  </si>
  <si>
    <t>Q112</t>
  </si>
  <si>
    <t>mc|60|4240-4220|4220</t>
  </si>
  <si>
    <t>Q113</t>
  </si>
  <si>
    <t>glsub|60|4220|HTSP</t>
  </si>
  <si>
    <t>Q114</t>
  </si>
  <si>
    <t>glsub|60|4220|NS40</t>
  </si>
  <si>
    <t>Q115</t>
  </si>
  <si>
    <t>glsub|60|4220|SUPP</t>
  </si>
  <si>
    <t>Q116</t>
  </si>
  <si>
    <t>glsub|60|4220|TDM1</t>
  </si>
  <si>
    <t>Q117</t>
  </si>
  <si>
    <t>glsub|60|4220|TDM2</t>
  </si>
  <si>
    <t>Q118</t>
  </si>
  <si>
    <t>glsub|60|4220|TOOL</t>
  </si>
  <si>
    <t>Q119</t>
  </si>
  <si>
    <t>glsub|60|4240|HTSP</t>
  </si>
  <si>
    <t>Q120</t>
  </si>
  <si>
    <t>glsub|60|4240|NS40</t>
  </si>
  <si>
    <t>Q121</t>
  </si>
  <si>
    <t>glsub|60|4240|SUPP</t>
  </si>
  <si>
    <t>Q122</t>
  </si>
  <si>
    <t>glsub|60|4240|TDM1</t>
  </si>
  <si>
    <t>Q123</t>
  </si>
  <si>
    <t>glsub|60|4240|TDM2</t>
  </si>
  <si>
    <t>Q124</t>
  </si>
  <si>
    <t>glsub|60|4240|TOOL</t>
  </si>
  <si>
    <t>Q125</t>
  </si>
  <si>
    <t>redspec|60|4141</t>
  </si>
  <si>
    <t>AAI 4141: 1 specific GL-class override all resolve to the same Object account (145200) as the (Co 60, ****) wildcard. No functional effect on posting. Customer call: created for documentation / audit, or can they be deleted to keep F4095 lean?</t>
  </si>
  <si>
    <t>Q126</t>
  </si>
  <si>
    <t>mc|60|4152-4154|4154</t>
  </si>
  <si>
    <t>Q127</t>
  </si>
  <si>
    <t>glsub|60|4141|HTSP</t>
  </si>
  <si>
    <t>Q128</t>
  </si>
  <si>
    <t>glsub|60|4141|NS40</t>
  </si>
  <si>
    <t>Q129</t>
  </si>
  <si>
    <t>glsub|60|4141|SUPP</t>
  </si>
  <si>
    <t>Q130</t>
  </si>
  <si>
    <t>glsub|60|4141|TDM1</t>
  </si>
  <si>
    <t>Q131</t>
  </si>
  <si>
    <t>glsub|60|4141|TDM2</t>
  </si>
  <si>
    <t>Q132</t>
  </si>
  <si>
    <t>glsub|60|4141|TOOL</t>
  </si>
  <si>
    <t>Q133</t>
  </si>
  <si>
    <t>redspec|60|4310</t>
  </si>
  <si>
    <t>AAI 4310: 4 specific GL-class overrides all resolve to the same Object account (501090) as the (Co 60, ****) wildcard. No functional effect on posting. Customer call: created for documentation / audit, or can they be deleted to keep F4095 lean?</t>
  </si>
  <si>
    <t>Q134</t>
  </si>
  <si>
    <t>mc|60|4310-4320|4310</t>
  </si>
  <si>
    <t>Q135</t>
  </si>
  <si>
    <t>redspec|60|3130</t>
  </si>
  <si>
    <t>AAI 3130: 1056 specific GL-class overrides all resolve to the same Object account (145000) as the (Co 60, ****) wildcard. No functional effect on posting. Customer call: created for documentation / audit, or can they be deleted to keep F4095 lean?</t>
  </si>
  <si>
    <t>IGNORE FOR NOW  ·  self-surfacing</t>
  </si>
  <si>
    <t xml:space="preserve">Some AAIs are not configured for every GL class on every company.  Those gaps are visible in the Sales and Inventory tabs (look for "[no AAI configured] for N GL classes" entries).  We have intentionally NOT created worklist items for them, because:
   •  If the AAI is never invoked for the missing GL class, the gap is harmless.
   •  If it IS invoked, JDE will produce a posting failure at transaction time and force the right fix at the right moment — usually faster than working a long audit list.
In other words: let the production posting path tell you which gaps actually matter.  Focus your audit hours on FIX FIRST and ASK THE CUSTOMER above.</t>
  </si>
  <si>
    <t>Analysis produced by the RapidReconciler Export Analyzer  ·  May 17, 2026</t>
  </si>
  <si>
    <t>JDE DMAAI's — Sales Module</t>
  </si>
  <si>
    <t>T-account flow per transaction  ·  click [+] in the gutter to expand a section  ·  per-AAI recommendation in column F</t>
  </si>
  <si>
    <t>Source  JDE F4095          May 17, 2026          7 companies  ·  26 transaction types in this module</t>
  </si>
  <si>
    <t>Company 10</t>
  </si>
  <si>
    <t>SO  ·  Standard Sales Order  (revenue-generating)</t>
  </si>
  <si>
    <t>AAI</t>
  </si>
  <si>
    <t>Description</t>
  </si>
  <si>
    <t>Side</t>
  </si>
  <si>
    <t>Object account  ·  GL class branches</t>
  </si>
  <si>
    <t>Recommendation</t>
  </si>
  <si>
    <t>Cost of Goods Sold</t>
  </si>
  <si>
    <t>Dr</t>
  </si>
  <si>
    <t>Object 501010   (22 GL classes: ASGB, BRKR, BUYP, COLC, CTRL, FIBR, …)</t>
  </si>
  <si>
    <t>Confirm the split is intentional (Obj 501010, Obj 500220). Per-GL-class differences are common but worth a sanity check.</t>
  </si>
  <si>
    <t>Object 500220   (6 GL classes: HTSP, NS40, SUPP, TDM1, TDM2, TOOL)</t>
  </si>
  <si>
    <t>[no AAI configured] for 5 GL classes: FT60, IQCR, PLAT, RRRR, SSER</t>
  </si>
  <si>
    <t>Inventory at shipping branch</t>
  </si>
  <si>
    <t>Cr</t>
  </si>
  <si>
    <t>Object 145000   (9 GL classes: ASGB, BRKR, CTRL, HDWE, MINI, OCTO, …)</t>
  </si>
  <si>
    <t>Splits across 6 object accounts — review whether this many GL-class-level differences are intentional, or consolidate where possible.</t>
  </si>
  <si>
    <t>Object 142000   (1 GL class: BUYP)</t>
  </si>
  <si>
    <t>Object 141000   (6 GL classes: COLC, FIBR, MOLD, PREC, STMP, WIRE)</t>
  </si>
  <si>
    <t>Object 500221   (6 GL classes: HTSP, NS40, SUPP, TDM1, TDM2, TOOL)</t>
  </si>
  <si>
    <t>Object 143000   (5 GL classes: MLDP, PRSP, SECD, SUBA, SUBC)</t>
  </si>
  <si>
    <t>Object 143100   (1 GL class: PKGM)</t>
  </si>
  <si>
    <t>Sales Revenue</t>
  </si>
  <si>
    <t>Object 401052   (2 GL classes: ASGB, OCTO)</t>
  </si>
  <si>
    <t>Splits across 12 object accounts — review whether this many GL-class-level differences are intentional, or consolidate where possible.</t>
  </si>
  <si>
    <t>Object 401022   (1 GL class: BRKR)</t>
  </si>
  <si>
    <t>Object 401042   (11 GL classes: BUYP, HDWE, HTSP, MLDP, NS40, PKGM, …)</t>
  </si>
  <si>
    <t>Object 401912   (6 GL classes: COLC, FIBR, MOLD, PREC, STMP, WIRE)</t>
  </si>
  <si>
    <t>Object 401072   (1 GL class: CTRL)</t>
  </si>
  <si>
    <t>Object 409002   (1 GL class: FT60)</t>
  </si>
  <si>
    <t>Object 401062   (2 GL classes: MINI, TBKR)</t>
  </si>
  <si>
    <t>Object 401032   (1 GL class: PNLS)</t>
  </si>
  <si>
    <t>Object 402082   (2 GL classes: SSER, TDM1)</t>
  </si>
  <si>
    <t>Object 401902   (1 GL class: SUBA)</t>
  </si>
  <si>
    <t>Object 401012   (1 GL class: SWIT)</t>
  </si>
  <si>
    <t>Object 810600   (1 GL class: TDM2)</t>
  </si>
  <si>
    <t>[no AAI configured] for 3 GL classes: IQCR, PLAT, RRRR</t>
  </si>
  <si>
    <t>OBSERVATIONS</t>
  </si>
  <si>
    <t xml:space="preserve">   •  AAI 4220 (Dr) splits across 2 object accounts: Obj 501010 (22)  ·  Obj 500220 (6); 5 GL classes have no configured account.</t>
  </si>
  <si>
    <t xml:space="preserve">   •  AAI 4240 (Cr) splits across 6 object accounts: Obj 145000 (9)  ·  Obj 142000 (1)  ·  Obj 141000 (6)  ·  Obj 500221 (6)  ·  Obj 143000 (5)  ·  Obj 143100 (1); 5 GL classes have no configured account.</t>
  </si>
  <si>
    <t xml:space="preserve">   •  AAI 4230 (Cr) splits across 12 object accounts: Obj 401052 (2)  ·  Obj 401022 (1)  ·  Obj 401042 (11)  ·  Obj 401912 (6)  ·  Obj 401072 (1)  ·  Obj 409002 (1)  ·  Obj 401062 (2)  ·  Obj 401032 (1)  ·  Obj 402082 (2)  ·  Obj 401902 (1)  ·  Obj 401012 (1)  ·  Obj 810600 (1); 3 GL classes have no configured account.</t>
  </si>
  <si>
    <t xml:space="preserve">   •  Pattern 2 (missing complement) fires 7 times on this company involving AAIs in this transaction.</t>
  </si>
  <si>
    <t>ST  ·  Transfer Order Shipment  (intra-company — no real revenue)</t>
  </si>
  <si>
    <t>COGS — Branch Transfers  (wash partner of 4240, NOT in-transit clearing)</t>
  </si>
  <si>
    <t>Object 145200   (27 GL classes: ASGB, BRKR, BUYP, COLC, CTRL, FIBR, …)</t>
  </si>
  <si>
    <t>Confirm the split is intentional (Obj 145200, Obj 500220). Per-GL-class differences are common but worth a sanity check.</t>
  </si>
  <si>
    <t>Inventory at Branch A  (wash partner of 4220)</t>
  </si>
  <si>
    <t>Inventory in Transit  (despite "A/R Trade" label — must match 4320 OT on the receiving side)</t>
  </si>
  <si>
    <t>Object 500221   (all GL classes)</t>
  </si>
  <si>
    <t xml:space="preserve">   •  AAI 4220 (Dr) splits across 2 object accounts: Obj 145200 (27)  ·  Obj 500220 (6).</t>
  </si>
  <si>
    <t xml:space="preserve">   •  AAI 4245 (Dr) resolves uniformly to Object 500221 for all 33 GL classes.</t>
  </si>
  <si>
    <t xml:space="preserve">   •  Transfer clearing pair 4245 ST ↔ 4320 OT lines up for 6 GL classes but mismatches on 27 — transfers in the mismatched GL classes would leave permanent residuals on the in-transit clearing account.</t>
  </si>
  <si>
    <t xml:space="preserve">   •  Pattern 7 (transfer-clearing mismatch) fires 1 time on this company.</t>
  </si>
  <si>
    <t>FLOW NOTE</t>
  </si>
  <si>
    <t xml:space="preserve">   •  For the 27 GL classes where 4245 ST and 4320 OT resolve to different accounts (ASGB, BRKR, BUYP, COLC, CTRL, FIBR, …), align both AAIs to the same Object account — typically by updating the side that falls through to the wildcard.</t>
  </si>
  <si>
    <t>ST_markup  ·  Transfer Order Shipment  WITH markup  (rare — A/R + revenue fire)</t>
  </si>
  <si>
    <t>COGS — Branch Transfers</t>
  </si>
  <si>
    <t>Inventory at Branch A</t>
  </si>
  <si>
    <t>A/R Trade  (real receivable on the markup portion)</t>
  </si>
  <si>
    <t>Sales Revenue — markup amount only</t>
  </si>
  <si>
    <t>Object 500220   (all GL classes)</t>
  </si>
  <si>
    <t xml:space="preserve">   •  AAI 4230 (Cr) resolves uniformly to Object 500220 for all 33 GL classes.</t>
  </si>
  <si>
    <t>CO  ·  Credit Order  (sales return / refund — uses the SO AAI set; amounts post negative so the effective journal reverses)</t>
  </si>
  <si>
    <t>Cost of Goods Sold  (negative amount on a credit — effective reversal)</t>
  </si>
  <si>
    <t>Object 500220   (28 GL classes: ASGB, BRKR, BUYP, COLC, CTRL, FIBR, …)</t>
  </si>
  <si>
    <t>Inventory  (negative amount on a credit — goods return to stock)</t>
  </si>
  <si>
    <t>Object 500221   (28 GL classes: ASGB, BRKR, BUYP, COLC, CTRL, FIBR, …)</t>
  </si>
  <si>
    <t>Sales Revenue  (negative amount — reduces the original sale)</t>
  </si>
  <si>
    <t>Object 403052   (2 GL classes: ASGB, OCTO)</t>
  </si>
  <si>
    <t>Splits across 14 object accounts — review whether this many GL-class-level differences are intentional, or consolidate where possible.</t>
  </si>
  <si>
    <t>Object 403022   (1 GL class: BRKR)</t>
  </si>
  <si>
    <t>Object 403042   (7 GL classes: BUYP, HDWE, MLDP, NS40, PRSP, SECD, …)</t>
  </si>
  <si>
    <t>Object 403912   (6 GL classes: COLC, FIBR, MOLD, PREC, STMP, WIRE)</t>
  </si>
  <si>
    <t>Object 403072   (1 GL class: CTRL)</t>
  </si>
  <si>
    <t>Object 401042   (2 GL classes: HTSP, SUBC)</t>
  </si>
  <si>
    <t>Object 740150   (1 GL class: IQCR)</t>
  </si>
  <si>
    <t>Object 403062   (2 GL classes: MINI, TBKR)</t>
  </si>
  <si>
    <t>Object 403032   (1 GL class: PNLS)</t>
  </si>
  <si>
    <t>Object 403082   (2 GL classes: SSER, TDM1)</t>
  </si>
  <si>
    <t>Object 403012   (1 GL class: SWIT)</t>
  </si>
  <si>
    <t>[no AAI configured] for 4 GL classes: PKGM, PLAT, RRRR, SUPP</t>
  </si>
  <si>
    <t xml:space="preserve">   •  AAI 4220 (Dr) splits across 1 object account: Obj 500220 (28); 5 GL classes have no configured account.</t>
  </si>
  <si>
    <t xml:space="preserve">   •  AAI 4240 (Cr) splits across 1 object account: Obj 500221 (28); 5 GL classes have no configured account.</t>
  </si>
  <si>
    <t xml:space="preserve">   •  AAI 4230 (Cr) splits across 14 object accounts: Obj 403052 (2)  ·  Obj 403022 (1)  ·  Obj 403042 (7)  ·  Obj 403912 (6)  ·  Obj 403072 (1)  ·  Obj 409002 (1)  ·  Obj 401042 (2)  ·  Obj 740150 (1)  ·  Obj 403062 (2)  ·  Obj 403032 (1)  ·  Obj 403082 (2)  ·  Obj 401902 (1)  ·  Obj 403012 (1)  ·  Obj 810600 (1); 4 GL classes have no configured account.</t>
  </si>
  <si>
    <t>C2  ·  C2  (client-defined sales doc type — verify the business use with your team; AAI shape shown is the standard sales pattern)</t>
  </si>
  <si>
    <t>Cost of Goods Sold  (sign may invert for credit / return doc types)</t>
  </si>
  <si>
    <t>Sales Revenue  (when revenue-generating; reverses for credits)</t>
  </si>
  <si>
    <t>Object 403055   (2 GL classes: ASGB, OCTO)</t>
  </si>
  <si>
    <t>Splits across 13 object accounts — review whether this many GL-class-level differences are intentional, or consolidate where possible.</t>
  </si>
  <si>
    <t>Object 403025   (1 GL class: BRKR)</t>
  </si>
  <si>
    <t>Object 403045   (11 GL classes: BUYP, HDWE, HTSP, MLDP, NS40, PKGM, …)</t>
  </si>
  <si>
    <t>Object 403915   (6 GL classes: COLC, FIBR, MOLD, PREC, STMP, WIRE)</t>
  </si>
  <si>
    <t>Object 403075   (1 GL class: CTRL)</t>
  </si>
  <si>
    <t>Object 409005   (1 GL class: FT60)</t>
  </si>
  <si>
    <t>Object 403065   (2 GL classes: MINI, TBKR)</t>
  </si>
  <si>
    <t>Object 403035   (1 GL class: PNLS)</t>
  </si>
  <si>
    <t>Object 403085   (2 GL classes: SSER, TDM1)</t>
  </si>
  <si>
    <t>Object 401905   (1 GL class: SUBA)</t>
  </si>
  <si>
    <t>Object 403015   (1 GL class: SWIT)</t>
  </si>
  <si>
    <t>[no AAI configured] for 2 GL classes: PLAT, RRRR</t>
  </si>
  <si>
    <t xml:space="preserve">   •  AAI 4230 (Cr) splits across 13 object accounts: Obj 403055 (2)  ·  Obj 403025 (1)  ·  Obj 403045 (11)  ·  Obj 403915 (6)  ·  Obj 403075 (1)  ·  Obj 409005 (1)  ·  Obj 740150 (1)  ·  Obj 403065 (2)  ·  Obj 403035 (1)  ·  Obj 403085 (2)  ·  Obj 401905 (1)  ·  Obj 403015 (1)  ·  Obj 810600 (1); 2 GL classes have no configured account.</t>
  </si>
  <si>
    <t>C3  ·  C3  (client-defined sales doc type — verify the business use with your team; AAI shape shown is the standard sales pattern)</t>
  </si>
  <si>
    <t>C5  ·  C5  (client-defined sales doc type — verify the business use with your team; AAI shape shown is the standard sales pattern)</t>
  </si>
  <si>
    <t>C6  ·  C6  (client-defined sales doc type — verify the business use with your team; AAI shape shown is the standard sales pattern)</t>
  </si>
  <si>
    <t>C7  ·  C7  (client-defined sales doc type — verify the business use with your team; AAI shape shown is the standard sales pattern)</t>
  </si>
  <si>
    <t>Object 403042   (11 GL classes: BUYP, HDWE, HTSP, MLDP, NS40, PKGM, …)</t>
  </si>
  <si>
    <t xml:space="preserve">   •  AAI 4230 (Cr) splits across 13 object accounts: Obj 403052 (2)  ·  Obj 403022 (1)  ·  Obj 403042 (11)  ·  Obj 403912 (6)  ·  Obj 403072 (1)  ·  Obj 409002 (1)  ·  Obj 740150 (1)  ·  Obj 403062 (2)  ·  Obj 403032 (1)  ·  Obj 403082 (2)  ·  Obj 401902 (1)  ·  Obj 403012 (1)  ·  Obj 810600 (1); 2 GL classes have no configured account.</t>
  </si>
  <si>
    <t>CR  ·  CR  (client-defined sales doc type — verify the business use with your team; AAI shape shown is the standard sales pattern)</t>
  </si>
  <si>
    <t>Object 500220   (27 GL classes: ASGB, BRKR, BUYP, COLC, CTRL, FIBR, …)</t>
  </si>
  <si>
    <t>Confirm the split is intentional (Obj 500220, Obj 500200). Per-GL-class differences are common but worth a sanity check.</t>
  </si>
  <si>
    <t>Object 500200   (1 GL class: HDWE)</t>
  </si>
  <si>
    <t>[no AAI configured] for 3 GL classes: PLAT, RRRR, TDM2</t>
  </si>
  <si>
    <t xml:space="preserve">   •  AAI 4220 (Dr) splits across 2 object accounts: Obj 500220 (27)  ·  Obj 500200 (1); 5 GL classes have no configured account.</t>
  </si>
  <si>
    <t xml:space="preserve">   •  AAI 4230 (Cr) splits across 12 object accounts: Obj 401052 (2)  ·  Obj 401022 (1)  ·  Obj 401042 (11)  ·  Obj 401912 (6)  ·  Obj 401072 (1)  ·  Obj 409002 (1)  ·  Obj 740150 (1)  ·  Obj 401062 (2)  ·  Obj 401032 (1)  ·  Obj 402082 (2)  ·  Obj 401902 (1)  ·  Obj 401012 (1); 3 GL classes have no configured account.</t>
  </si>
  <si>
    <t>CW  ·  CW  (client-defined sales doc type — verify the business use with your team; AAI shape shown is the standard sales pattern)</t>
  </si>
  <si>
    <t>Object 740250   (all GL classes)</t>
  </si>
  <si>
    <t xml:space="preserve">   •  AAI 4230 (Cr) resolves uniformly to Object 740250 for all 33 GL classes.</t>
  </si>
  <si>
    <t>S2  ·  S2  (client-defined sales doc type — verify the business use with your team; AAI shape shown is the standard sales pattern)</t>
  </si>
  <si>
    <t>Object 401055   (2 GL classes: ASGB, OCTO)</t>
  </si>
  <si>
    <t>Object 401025   (1 GL class: BRKR)</t>
  </si>
  <si>
    <t>Object 401045   (11 GL classes: BUYP, HDWE, HTSP, MLDP, NS40, PKGM, …)</t>
  </si>
  <si>
    <t>Object 401915   (6 GL classes: COLC, FIBR, MOLD, PREC, STMP, WIRE)</t>
  </si>
  <si>
    <t>Object 401075   (1 GL class: CTRL)</t>
  </si>
  <si>
    <t>Object 401065   (2 GL classes: MINI, TBKR)</t>
  </si>
  <si>
    <t>Object 401035   (1 GL class: PNLS)</t>
  </si>
  <si>
    <t>Object 402085   (2 GL classes: SSER, TDM1)</t>
  </si>
  <si>
    <t>Object 401015   (1 GL class: SWIT)</t>
  </si>
  <si>
    <t xml:space="preserve">   •  AAI 4230 (Cr) splits across 12 object accounts: Obj 401055 (2)  ·  Obj 401025 (1)  ·  Obj 401045 (11)  ·  Obj 401915 (6)  ·  Obj 401075 (1)  ·  Obj 409005 (1)  ·  Obj 401065 (2)  ·  Obj 401035 (1)  ·  Obj 402085 (2)  ·  Obj 401905 (1)  ·  Obj 401015 (1)  ·  Obj 810600 (1); 3 GL classes have no configured account.</t>
  </si>
  <si>
    <t>S3  ·  S3  (client-defined sales doc type — verify the business use with your team; AAI shape shown is the standard sales pattern)</t>
  </si>
  <si>
    <t>S5  ·  S5  (client-defined sales doc type — verify the business use with your team; AAI shape shown is the standard sales pattern)</t>
  </si>
  <si>
    <t>S6  ·  S6  (client-defined sales doc type — verify the business use with your team; AAI shape shown is the standard sales pattern)</t>
  </si>
  <si>
    <t>S7  ·  S7  (client-defined sales doc type — verify the business use with your team; AAI shape shown is the standard sales pattern)</t>
  </si>
  <si>
    <t>S8  ·  S8  (client-defined sales doc type — verify the business use with your team; AAI shape shown is the standard sales pattern)</t>
  </si>
  <si>
    <t>S9  ·  S9  (client-defined sales doc type — verify the business use with your team; AAI shape shown is the standard sales pattern)</t>
  </si>
  <si>
    <t>SE  ·  SE  (client-defined sales doc type — verify the business use with your team; AAI shape shown is the standard sales pattern)</t>
  </si>
  <si>
    <t>Object 500221   (8 GL classes: FT60, HTSP, NS40, SSER, SUPP, TDM1, …)</t>
  </si>
  <si>
    <t xml:space="preserve">   •  AAI 4240 (Cr) splits across 6 object accounts: Obj 145000 (9)  ·  Obj 142000 (1)  ·  Obj 141000 (6)  ·  Obj 500221 (8)  ·  Obj 143000 (5)  ·  Obj 143100 (1); 3 GL classes have no configured account.</t>
  </si>
  <si>
    <t>SH  ·  SH  (client-defined sales doc type — verify the business use with your team; AAI shape shown is the standard sales pattern)</t>
  </si>
  <si>
    <t xml:space="preserve">   •  AAI 4220 (Dr) resolves uniformly to Object 500220 for all 33 GL classes.</t>
  </si>
  <si>
    <t xml:space="preserve">   •  AAI 4240 (Cr) resolves uniformly to Object 500221 for all 33 GL classes.</t>
  </si>
  <si>
    <t>SK  ·  SK  (client-defined sales doc type — verify the business use with your team; AAI shape shown is the standard sales pattern)</t>
  </si>
  <si>
    <t>Object 501010   (16 GL classes: ASGB, BRKR, BUYP, CTRL, HDWE, MINI, …)</t>
  </si>
  <si>
    <t>[no AAI configured] for 11 GL classes: COLC, FIBR, FT60, IQCR, MOLD, PLAT, …</t>
  </si>
  <si>
    <t>Confirm the split is intentional (Obj 145000, Obj 142000, Obj 500221, Obj 143000). Per-GL-class differences are common but worth a sanity check.</t>
  </si>
  <si>
    <t>Object 500221   (2 GL classes: HTSP, NS40)</t>
  </si>
  <si>
    <t>[no AAI configured] for 16 GL classes: COLC, FIBR, FT60, IQCR, MOLD, PKGM, …</t>
  </si>
  <si>
    <t>Splits across 11 object accounts — review whether this many GL-class-level differences are intentional, or consolidate where possible.</t>
  </si>
  <si>
    <t>Object 401045   (10 GL classes: BUYP, HDWE, HTSP, MLDP, NS40, PKGM, …)</t>
  </si>
  <si>
    <t>Object 401915   (1 GL class: FIBR)</t>
  </si>
  <si>
    <t>Object 402085   (1 GL class: SSER)</t>
  </si>
  <si>
    <t>[no AAI configured] for 11 GL classes: COLC, IQCR, MOLD, PLAT, PREC, RRRR, …</t>
  </si>
  <si>
    <t xml:space="preserve">   •  AAI 4220 (Dr) splits across 2 object accounts: Obj 501010 (16)  ·  Obj 500220 (6); 11 GL classes have no configured account.</t>
  </si>
  <si>
    <t xml:space="preserve">   •  AAI 4240 (Cr) splits across 4 object accounts: Obj 145000 (9)  ·  Obj 142000 (1)  ·  Obj 500221 (2)  ·  Obj 143000 (5); 16 GL classes have no configured account.</t>
  </si>
  <si>
    <t xml:space="preserve">   •  AAI 4230 (Cr) splits across 11 object accounts: Obj 401055 (2)  ·  Obj 401025 (1)  ·  Obj 401045 (10)  ·  Obj 401075 (1)  ·  Obj 401915 (1)  ·  Obj 409005 (1)  ·  Obj 401065 (2)  ·  Obj 401035 (1)  ·  Obj 402085 (1)  ·  Obj 401905 (1)  ·  Obj 401015 (1); 11 GL classes have no configured account.</t>
  </si>
  <si>
    <t>SM  ·  SM  (client-defined sales doc type — verify the business use with your team; AAI shape shown is the standard sales pattern)</t>
  </si>
  <si>
    <t>Object 700255   (28 GL classes: ASGB, BRKR, COLC, CTRL, FIBR, FT60, …)</t>
  </si>
  <si>
    <t>Confirm the split is intentional (Obj 700255, Obj 501010, Obj 500220). Per-GL-class differences are common but worth a sanity check.</t>
  </si>
  <si>
    <t>Object 501010   (2 GL classes: BUYP, SUBA)</t>
  </si>
  <si>
    <t>Object 500220   (3 GL classes: HTSP, NS40, SUPP)</t>
  </si>
  <si>
    <t>Object 500221   (4 GL classes: HTSP, NS40, SUPP, TOOL)</t>
  </si>
  <si>
    <t>[no AAI configured] for 7 GL classes: FT60, IQCR, PLAT, RRRR, SSER, TDM1, …</t>
  </si>
  <si>
    <t>Object 700255   (all GL classes)</t>
  </si>
  <si>
    <t xml:space="preserve">   •  AAI 4220 (Dr) splits across 3 object accounts: Obj 700255 (28)  ·  Obj 501010 (2)  ·  Obj 500220 (3).</t>
  </si>
  <si>
    <t xml:space="preserve">   •  AAI 4240 (Cr) splits across 6 object accounts: Obj 145000 (9)  ·  Obj 142000 (1)  ·  Obj 141000 (6)  ·  Obj 500221 (4)  ·  Obj 143000 (5)  ·  Obj 143100 (1); 7 GL classes have no configured account.</t>
  </si>
  <si>
    <t xml:space="preserve">   •  AAI 4230 (Cr) resolves uniformly to Object 700255 for all 33 GL classes.</t>
  </si>
  <si>
    <t>SN  ·  SN  (client-defined sales doc type — verify the business use with your team; AAI shape shown is the standard sales pattern)</t>
  </si>
  <si>
    <t>CJ  ·  CJ  (client-defined sales doc type — verify the business use with your team; AAI shape shown is the standard sales pattern)</t>
  </si>
  <si>
    <t>[no AAI configured] for 33 GL classes: ASGB, BRKR, BUYP, COLC, CTRL, FIBR, …</t>
  </si>
  <si>
    <t xml:space="preserve">   •  AAI 4220 (Dr) is not configured for any of this company's 33 GL classes — postings through this AAI would fail.</t>
  </si>
  <si>
    <t xml:space="preserve">   •  AAI 4240 (Cr) is not configured for any of this company's 33 GL classes — postings through this AAI would fail.</t>
  </si>
  <si>
    <t xml:space="preserve">   •  AAI 4230 (Cr) is not configured for any of this company's 33 GL classes — postings through this AAI would fail.</t>
  </si>
  <si>
    <t>SI  ·  SI  (client-defined sales doc type — verify the business use with your team; AAI shape shown is the standard sales pattern)</t>
  </si>
  <si>
    <t>SJ  ·  SJ  (client-defined sales doc type — verify the business use with your team; AAI shape shown is the standard sales pattern)</t>
  </si>
  <si>
    <t>Company 18</t>
  </si>
  <si>
    <t>[no AAI configured] for 3 GL classes: FT60, PLAT, SSER</t>
  </si>
  <si>
    <t>[no AAI configured] for 1 GL class: PLAT</t>
  </si>
  <si>
    <t xml:space="preserve">   •  AAI 4220 (Dr) splits across 2 object accounts: Obj 501010 (22)  ·  Obj 500220 (6); 3 GL classes have no configured account.</t>
  </si>
  <si>
    <t xml:space="preserve">   •  AAI 4240 (Cr) splits across 6 object accounts: Obj 145000 (9)  ·  Obj 142000 (1)  ·  Obj 141000 (6)  ·  Obj 500221 (6)  ·  Obj 143000 (5)  ·  Obj 143100 (1); 3 GL classes have no configured account.</t>
  </si>
  <si>
    <t xml:space="preserve">   •  AAI 4230 (Cr) splits across 12 object accounts: Obj 401052 (2)  ·  Obj 401022 (1)  ·  Obj 401042 (11)  ·  Obj 401912 (6)  ·  Obj 401072 (1)  ·  Obj 409002 (1)  ·  Obj 401062 (2)  ·  Obj 401032 (1)  ·  Obj 402082 (2)  ·  Obj 401902 (1)  ·  Obj 401012 (1)  ·  Obj 810600 (1); 1 GL class have no configured account.</t>
  </si>
  <si>
    <t>Object 145200   (25 GL classes: ASGB, BRKR, BUYP, COLC, CTRL, FIBR, …)</t>
  </si>
  <si>
    <t xml:space="preserve">   •  AAI 4220 (Dr) splits across 2 object accounts: Obj 145200 (25)  ·  Obj 500220 (6).</t>
  </si>
  <si>
    <t xml:space="preserve">   •  AAI 4245 (Dr) resolves uniformly to Object 500221 for all 31 GL classes.</t>
  </si>
  <si>
    <t xml:space="preserve">   •  Transfer clearing pair 4245 ST ↔ 4320 OT lines up for 6 GL classes but mismatches on 25 — transfers in the mismatched GL classes would leave permanent residuals on the in-transit clearing account.</t>
  </si>
  <si>
    <t xml:space="preserve">   •  For the 25 GL classes where 4245 ST and 4320 OT resolve to different accounts (ASGB, BRKR, BUYP, COLC, CTRL, FIBR, …), align both AAIs to the same Object account — typically by updating the side that falls through to the wildcard.</t>
  </si>
  <si>
    <t xml:space="preserve">   •  AAI 4230 (Cr) resolves uniformly to Object 500220 for all 31 GL classes.</t>
  </si>
  <si>
    <t>[no AAI configured] for 3 GL classes: PKGM, PLAT, SUPP</t>
  </si>
  <si>
    <t xml:space="preserve">   •  AAI 4220 (Dr) splits across 1 object account: Obj 500220 (28); 3 GL classes have no configured account.</t>
  </si>
  <si>
    <t xml:space="preserve">   •  AAI 4240 (Cr) splits across 1 object account: Obj 500221 (28); 3 GL classes have no configured account.</t>
  </si>
  <si>
    <t xml:space="preserve">   •  AAI 4230 (Cr) splits across 13 object accounts: Obj 403052 (2)  ·  Obj 403022 (1)  ·  Obj 403042 (7)  ·  Obj 403912 (6)  ·  Obj 403072 (1)  ·  Obj 409002 (1)  ·  Obj 401042 (2)  ·  Obj 403062 (2)  ·  Obj 403032 (1)  ·  Obj 403082 (2)  ·  Obj 401902 (1)  ·  Obj 403012 (1)  ·  Obj 810600 (1); 3 GL classes have no configured account.</t>
  </si>
  <si>
    <t xml:space="preserve">   •  AAI 4230 (Cr) splits across 12 object accounts: Obj 403055 (2)  ·  Obj 403025 (1)  ·  Obj 403045 (11)  ·  Obj 403915 (6)  ·  Obj 403075 (1)  ·  Obj 409005 (1)  ·  Obj 403065 (2)  ·  Obj 403035 (1)  ·  Obj 403085 (2)  ·  Obj 401905 (1)  ·  Obj 403015 (1)  ·  Obj 810600 (1); 1 GL class have no configured account.</t>
  </si>
  <si>
    <t xml:space="preserve">   •  AAI 4230 (Cr) splits across 12 object accounts: Obj 403052 (2)  ·  Obj 403022 (1)  ·  Obj 403042 (11)  ·  Obj 403912 (6)  ·  Obj 403072 (1)  ·  Obj 409002 (1)  ·  Obj 403062 (2)  ·  Obj 403032 (1)  ·  Obj 403082 (2)  ·  Obj 401902 (1)  ·  Obj 403012 (1)  ·  Obj 810600 (1); 1 GL class have no configured account.</t>
  </si>
  <si>
    <t>[no AAI configured] for 2 GL classes: PLAT, TDM2</t>
  </si>
  <si>
    <t xml:space="preserve">   •  AAI 4220 (Dr) splits across 2 object accounts: Obj 500220 (27)  ·  Obj 500200 (1); 3 GL classes have no configured account.</t>
  </si>
  <si>
    <t xml:space="preserve">   •  AAI 4230 (Cr) splits across 11 object accounts: Obj 401052 (2)  ·  Obj 401022 (1)  ·  Obj 401042 (11)  ·  Obj 401912 (6)  ·  Obj 401072 (1)  ·  Obj 409002 (1)  ·  Obj 401062 (2)  ·  Obj 401032 (1)  ·  Obj 402082 (2)  ·  Obj 401902 (1)  ·  Obj 401012 (1); 2 GL classes have no configured account.</t>
  </si>
  <si>
    <t xml:space="preserve">   •  AAI 4230 (Cr) resolves uniformly to Object 740250 for all 31 GL classes.</t>
  </si>
  <si>
    <t xml:space="preserve">   •  AAI 4230 (Cr) splits across 12 object accounts: Obj 401055 (2)  ·  Obj 401025 (1)  ·  Obj 401045 (11)  ·  Obj 401915 (6)  ·  Obj 401075 (1)  ·  Obj 409005 (1)  ·  Obj 401065 (2)  ·  Obj 401035 (1)  ·  Obj 402085 (2)  ·  Obj 401905 (1)  ·  Obj 401015 (1)  ·  Obj 810600 (1); 1 GL class have no configured account.</t>
  </si>
  <si>
    <t xml:space="preserve">   •  AAI 4240 (Cr) splits across 6 object accounts: Obj 145000 (9)  ·  Obj 142000 (1)  ·  Obj 141000 (6)  ·  Obj 500221 (8)  ·  Obj 143000 (5)  ·  Obj 143100 (1); 1 GL class have no configured account.</t>
  </si>
  <si>
    <t xml:space="preserve">   •  AAI 4220 (Dr) resolves uniformly to Object 500220 for all 31 GL classes.</t>
  </si>
  <si>
    <t xml:space="preserve">   •  AAI 4240 (Cr) resolves uniformly to Object 500221 for all 31 GL classes.</t>
  </si>
  <si>
    <t>[no AAI configured] for 9 GL classes: COLC, FIBR, FT60, MOLD, PLAT, PREC, …</t>
  </si>
  <si>
    <t>[no AAI configured] for 14 GL classes: COLC, FIBR, FT60, MOLD, PKGM, PLAT, …</t>
  </si>
  <si>
    <t>[no AAI configured] for 9 GL classes: COLC, MOLD, PLAT, PREC, STMP, TDM1, …</t>
  </si>
  <si>
    <t xml:space="preserve">   •  AAI 4220 (Dr) splits across 2 object accounts: Obj 501010 (16)  ·  Obj 500220 (6); 9 GL classes have no configured account.</t>
  </si>
  <si>
    <t xml:space="preserve">   •  AAI 4240 (Cr) splits across 4 object accounts: Obj 145000 (9)  ·  Obj 142000 (1)  ·  Obj 500221 (2)  ·  Obj 143000 (5); 14 GL classes have no configured account.</t>
  </si>
  <si>
    <t xml:space="preserve">   •  AAI 4230 (Cr) splits across 11 object accounts: Obj 401055 (2)  ·  Obj 401025 (1)  ·  Obj 401045 (10)  ·  Obj 401075 (1)  ·  Obj 401915 (1)  ·  Obj 409005 (1)  ·  Obj 401065 (2)  ·  Obj 401035 (1)  ·  Obj 402085 (1)  ·  Obj 401905 (1)  ·  Obj 401015 (1); 9 GL classes have no configured account.</t>
  </si>
  <si>
    <t>Object 700255   (26 GL classes: ASGB, BRKR, COLC, CTRL, FIBR, FT60, …)</t>
  </si>
  <si>
    <t>[no AAI configured] for 5 GL classes: FT60, PLAT, SSER, TDM1, TDM2</t>
  </si>
  <si>
    <t xml:space="preserve">   •  AAI 4220 (Dr) splits across 3 object accounts: Obj 700255 (26)  ·  Obj 501010 (2)  ·  Obj 500220 (3).</t>
  </si>
  <si>
    <t xml:space="preserve">   •  AAI 4240 (Cr) splits across 6 object accounts: Obj 145000 (9)  ·  Obj 142000 (1)  ·  Obj 141000 (6)  ·  Obj 500221 (4)  ·  Obj 143000 (5)  ·  Obj 143100 (1); 5 GL classes have no configured account.</t>
  </si>
  <si>
    <t xml:space="preserve">   •  AAI 4230 (Cr) resolves uniformly to Object 700255 for all 31 GL classes.</t>
  </si>
  <si>
    <t>[no AAI configured] for 31 GL classes: ASGB, BRKR, BUYP, COLC, CTRL, FIBR, …</t>
  </si>
  <si>
    <t xml:space="preserve">   •  AAI 4220 (Dr) is not configured for any of this company's 31 GL classes — postings through this AAI would fail.</t>
  </si>
  <si>
    <t xml:space="preserve">   •  AAI 4240 (Cr) is not configured for any of this company's 31 GL classes — postings through this AAI would fail.</t>
  </si>
  <si>
    <t xml:space="preserve">   •  AAI 4230 (Cr) is not configured for any of this company's 31 GL classes — postings through this AAI would fail.</t>
  </si>
  <si>
    <t>Company 30</t>
  </si>
  <si>
    <t>(no GL classes for this company)</t>
  </si>
  <si>
    <t>Company 50</t>
  </si>
  <si>
    <t>Object 501010   (all GL classes)</t>
  </si>
  <si>
    <t>Object 145000   (all GL classes)</t>
  </si>
  <si>
    <t>Splits across 10 object accounts — review whether this many GL-class-level differences are intentional, or consolidate where possible.</t>
  </si>
  <si>
    <t>Object 401042   (9 GL classes: BUYP, HDWE, HTSP, MLDP, NS40, PKGM, …)</t>
  </si>
  <si>
    <t>Object 402082   (1 GL class: SSER)</t>
  </si>
  <si>
    <t>[no AAI configured] for 3 GL classes: IQCR, SUPP, TOOL</t>
  </si>
  <si>
    <t xml:space="preserve">   •  AAI 4220 (Dr) resolves uniformly to Object 501010 for all 23 GL classes.</t>
  </si>
  <si>
    <t xml:space="preserve">   •  AAI 4240 (Cr) resolves uniformly to Object 145000 for all 23 GL classes.</t>
  </si>
  <si>
    <t xml:space="preserve">   •  AAI 4230 (Cr) splits across 10 object accounts: Obj 401052 (2)  ·  Obj 401022 (1)  ·  Obj 401042 (9)  ·  Obj 401072 (1)  ·  Obj 409002 (1)  ·  Obj 401062 (2)  ·  Obj 401032 (1)  ·  Obj 402082 (1)  ·  Obj 401902 (1)  ·  Obj 401012 (1); 3 GL classes have no configured account.</t>
  </si>
  <si>
    <t xml:space="preserve">   •  Pattern 1 (net-zero pair) fires 5 times on this company involving AAIs in this transaction.</t>
  </si>
  <si>
    <t>Object 145000   (16 GL classes: ASGB, BRKR, BUYP, CTRL, HDWE, MINI, …)</t>
  </si>
  <si>
    <t>Confirm the split is intentional (Obj 145000, Obj 500220). Per-GL-class differences are common but worth a sanity check.</t>
  </si>
  <si>
    <t>Object 500220   (4 GL classes: HTSP, NS40, SUPP, TOOL)</t>
  </si>
  <si>
    <t>[no AAI configured] for 3 GL classes: FT60, IQCR, SSER</t>
  </si>
  <si>
    <t xml:space="preserve">   •  AAI 4220 (Dr) resolves uniformly to Object 500220 for all 23 GL classes.</t>
  </si>
  <si>
    <t xml:space="preserve">   •  AAI 4240 (Cr) splits across 2 object accounts: Obj 145000 (16)  ·  Obj 500220 (4); 3 GL classes have no configured account.</t>
  </si>
  <si>
    <t xml:space="preserve">   •  AAI 4245 (Dr) resolves uniformly to Object 500220 for all 23 GL classes.</t>
  </si>
  <si>
    <t xml:space="preserve">   •  Transfer clearing pair 4245 ST ↔ 4320 OT lines up for all 23 GL classes in this company — every transfer would clear cleanly through the in-transit account.</t>
  </si>
  <si>
    <t xml:space="preserve">   •  AAI 4230 (Cr) resolves uniformly to Object 500220 for all 23 GL classes.</t>
  </si>
  <si>
    <t>Object 403042   (5 GL classes: BUYP, HDWE, MLDP, PRSP, SECD)</t>
  </si>
  <si>
    <t>Object 401042   (3 GL classes: HTSP, PKGM, SUBC)</t>
  </si>
  <si>
    <t>Object 403082   (1 GL class: SSER)</t>
  </si>
  <si>
    <t>[no AAI configured] for 3 GL classes: NS40, SUPP, TOOL</t>
  </si>
  <si>
    <t xml:space="preserve">   •  AAI 4230 (Cr) splits across 12 object accounts: Obj 403052 (2)  ·  Obj 403022 (1)  ·  Obj 403042 (5)  ·  Obj 403072 (1)  ·  Obj 409002 (1)  ·  Obj 401042 (3)  ·  Obj 740150 (1)  ·  Obj 403062 (2)  ·  Obj 403032 (1)  ·  Obj 403082 (1)  ·  Obj 401902 (1)  ·  Obj 403012 (1); 3 GL classes have no configured account.</t>
  </si>
  <si>
    <t>[no AAI configured] for 23 GL classes: ASGB, BRKR, BUYP, CTRL, FT60, HDWE, …</t>
  </si>
  <si>
    <t xml:space="preserve">   •  AAI 4220 (Dr) is not configured for any of this company's 23 GL classes — postings through this AAI would fail.</t>
  </si>
  <si>
    <t xml:space="preserve">   •  AAI 4240 (Cr) is not configured for any of this company's 23 GL classes — postings through this AAI would fail.</t>
  </si>
  <si>
    <t xml:space="preserve">   •  AAI 4230 (Cr) is not configured for any of this company's 23 GL classes — postings through this AAI would fail.</t>
  </si>
  <si>
    <t>[no AAI configured] for 2 GL classes: SUPP, TOOL</t>
  </si>
  <si>
    <t xml:space="preserve">   •  AAI 4220 (Dr) resolves uniformly to Object 500221 for all 23 GL classes.</t>
  </si>
  <si>
    <t xml:space="preserve">   •  AAI 4240 (Cr) resolves uniformly to Object 500221 for all 23 GL classes.</t>
  </si>
  <si>
    <t xml:space="preserve">   •  AAI 4230 (Cr) splits across 11 object accounts: Obj 401052 (2)  ·  Obj 401022 (1)  ·  Obj 401042 (9)  ·  Obj 401072 (1)  ·  Obj 409002 (1)  ·  Obj 740150 (1)  ·  Obj 401062 (2)  ·  Obj 401032 (1)  ·  Obj 402082 (1)  ·  Obj 401902 (1)  ·  Obj 401012 (1); 2 GL classes have no configured account.</t>
  </si>
  <si>
    <t xml:space="preserve">   •  AAI 4230 (Cr) resolves uniformly to Object 740250 for all 23 GL classes.</t>
  </si>
  <si>
    <t xml:space="preserve">   •  AAI 4220 (Dr) resolves uniformly to Object 700255 for all 23 GL classes.</t>
  </si>
  <si>
    <t xml:space="preserve">   •  AAI 4230 (Cr) resolves uniformly to Object 700255 for all 23 GL classes.</t>
  </si>
  <si>
    <t>Object 403055   (all GL classes)</t>
  </si>
  <si>
    <t xml:space="preserve">   •  AAI 4230 (Cr) resolves uniformly to Object 403055 for all 23 GL classes.</t>
  </si>
  <si>
    <t>Object 145200   (all GL classes)</t>
  </si>
  <si>
    <t xml:space="preserve">   •  AAI 4240 (Cr) resolves uniformly to Object 145200 for all 23 GL classes.</t>
  </si>
  <si>
    <t>Object 401045   (9 GL classes: BUYP, HDWE, HTSP, MLDP, NS40, PKGM, …)</t>
  </si>
  <si>
    <t xml:space="preserve">   •  AAI 4230 (Cr) splits across 10 object accounts: Obj 401055 (2)  ·  Obj 401025 (1)  ·  Obj 401045 (9)  ·  Obj 401075 (1)  ·  Obj 409005 (1)  ·  Obj 401065 (2)  ·  Obj 401035 (1)  ·  Obj 402085 (1)  ·  Obj 401905 (1)  ·  Obj 401015 (1); 3 GL classes have no configured account.</t>
  </si>
  <si>
    <t>Company 51</t>
  </si>
  <si>
    <t>Company 53</t>
  </si>
  <si>
    <t>Company 60</t>
  </si>
  <si>
    <t>⚠  Per-AAI recommendations in column F are starting points, not final calls. The analyzer reads F4095 only — it cannot verify that the resolved GL accounts match your chart of accounts or that the JDE program (R42800, P4312, etc.) actually fires each AAI in the expected order. Confirm intent with the cost / inventory accounting team before changing any F4095 row.</t>
  </si>
  <si>
    <t>JDE DMAAI's — Inventory Module</t>
  </si>
  <si>
    <t>Source  JDE F4095          May 17, 2026          7 companies  ·  12 transaction types in this module</t>
  </si>
  <si>
    <t>IA_inc  ·  Inventory Adjustment — increase  (count higher than on-hand)</t>
  </si>
  <si>
    <t>Inventory  (increase)</t>
  </si>
  <si>
    <t>Splits across 7 object accounts — review whether this many GL-class-level differences are intentional, or consolidate where possible.</t>
  </si>
  <si>
    <t>Object 501090   (1 GL class: PLAT)</t>
  </si>
  <si>
    <t>[no AAI configured] for 6 GL classes: FT60, IQCR, RRRR, SSER, TDM1, TDM2</t>
  </si>
  <si>
    <t>Expense / COGS  (offset for the gained inventory)</t>
  </si>
  <si>
    <t>Object 500465   (22 GL classes: ASGB, BRKR, BUYP, COLC, CTRL, FIBR, …)</t>
  </si>
  <si>
    <t>Confirm the split is intentional (Obj 500465, Obj 500221, Obj 501090). Per-GL-class differences are common but worth a sanity check.</t>
  </si>
  <si>
    <t xml:space="preserve">   •  AAI 4122 (Dr) splits across 7 object accounts: Obj 145000 (9)  ·  Obj 142000 (1)  ·  Obj 141000 (6)  ·  Obj 500220 (4)  ·  Obj 143000 (5)  ·  Obj 143100 (1)  ·  Obj 501090 (1); 6 GL classes have no configured account.</t>
  </si>
  <si>
    <t xml:space="preserve">   •  AAI 4124 (Cr) splits across 3 object accounts: Obj 500465 (22)  ·  Obj 500221 (4)  ·  Obj 501090 (1); 6 GL classes have no configured account.</t>
  </si>
  <si>
    <t xml:space="preserve">   •  Pattern 1 (net-zero pair) fires 1 time on this company involving AAIs in this transaction.</t>
  </si>
  <si>
    <t>IA_dec  ·  Inventory Adjustment — decrease  (count lower than on-hand)</t>
  </si>
  <si>
    <t>Inventory  (decrease)</t>
  </si>
  <si>
    <t>Expense / COGS  (writes off the missing inventory)</t>
  </si>
  <si>
    <t xml:space="preserve">   •  AAI 4122 (Cr) splits across 7 object accounts: Obj 145000 (9)  ·  Obj 142000 (1)  ·  Obj 141000 (6)  ·  Obj 500220 (4)  ·  Obj 143000 (5)  ·  Obj 143100 (1)  ·  Obj 501090 (1); 6 GL classes have no configured account.</t>
  </si>
  <si>
    <t xml:space="preserve">   •  AAI 4124 (Dr) splits across 3 object accounts: Obj 500465 (22)  ·  Obj 500221 (4)  ·  Obj 501090 (1); 6 GL classes have no configured account.</t>
  </si>
  <si>
    <t>II  ·  Inventory Issue  (issue to consumption / scrap)</t>
  </si>
  <si>
    <t>Expense / COGS  (offset)</t>
  </si>
  <si>
    <t>Confirm the split is intentional (Obj 500465, Obj 500221). Per-GL-class differences are common but worth a sanity check.</t>
  </si>
  <si>
    <t xml:space="preserve">   •  AAI 4122 (Cr) splits across 6 object accounts: Obj 145000 (9)  ·  Obj 142000 (1)  ·  Obj 141000 (6)  ·  Obj 500220 (4)  ·  Obj 143000 (5)  ·  Obj 143100 (1); 7 GL classes have no configured account.</t>
  </si>
  <si>
    <t xml:space="preserve">   •  AAI 4124 (Dr) splits across 2 object accounts: Obj 500465 (22)  ·  Obj 500221 (4); 7 GL classes have no configured account.</t>
  </si>
  <si>
    <t>IT  ·  Inventory Transfer  (location-to-location within the same branch)</t>
  </si>
  <si>
    <t>4122 fires on BOTH sides of the transfer at the same account — debits the receiving location and credits the sending one. Net inventory impact is zero by design.</t>
  </si>
  <si>
    <t>Dr/Cr</t>
  </si>
  <si>
    <t xml:space="preserve">   •  AAI 4122 (Dr/Cr) splits across 6 object accounts: Obj 145000 (9)  ·  Obj 142000 (1)  ·  Obj 141000 (6)  ·  Obj 500220 (4)  ·  Obj 143000 (5)  ·  Obj 143100 (1); 7 GL classes have no configured account.</t>
  </si>
  <si>
    <t>IB  ·  Standard Cost Revaluation  (cost roll)</t>
  </si>
  <si>
    <t>Inventory cost-change debit</t>
  </si>
  <si>
    <t>Object 501095   (1 GL class: PLAT)</t>
  </si>
  <si>
    <t>Inventory cost-change credit  (P&amp;L offset)</t>
  </si>
  <si>
    <t>Object 500461   (23 GL classes: ASGB, BRKR, BUYP, COLC, CTRL, FIBR, …)</t>
  </si>
  <si>
    <t>Confirm the split is intentional (Obj 500461, Obj 500221). Per-GL-class differences are common but worth a sanity check.</t>
  </si>
  <si>
    <t xml:space="preserve">   •  AAI 4134 (Dr) splits across 7 object accounts: Obj 145000 (9)  ·  Obj 142000 (1)  ·  Obj 141000 (6)  ·  Obj 500220 (4)  ·  Obj 143000 (5)  ·  Obj 143100 (1)  ·  Obj 501095 (1); 6 GL classes have no configured account.</t>
  </si>
  <si>
    <t xml:space="preserve">   •  AAI 4136 (Cr) splits across 2 object accounts: Obj 500461 (23)  ·  Obj 500221 (4); 6 GL classes have no configured account.</t>
  </si>
  <si>
    <t>IP  ·  Physical Inventory Update  (R41413 Cycle Count, R41610 Tag Count)</t>
  </si>
  <si>
    <t>Inventory  (direction depends on whether count was over or short vs on-hand)</t>
  </si>
  <si>
    <t>Object 500465   (4 GL classes: HTSP, NS40, SUPP, TOOL)</t>
  </si>
  <si>
    <t>Cr/Dr</t>
  </si>
  <si>
    <t>Object 500465   (all GL classes)</t>
  </si>
  <si>
    <t>Zero-balance inventory offset  (fires only when count drives qty to 0 with dollars remaining)</t>
  </si>
  <si>
    <t>—</t>
  </si>
  <si>
    <t>Zero-balance expense offset</t>
  </si>
  <si>
    <t xml:space="preserve">   •  AAI 4152 (Dr/Cr) splits across 7 object accounts: Obj 145000 (9)  ·  Obj 142000 (1)  ·  Obj 141000 (6)  ·  Obj 500465 (4)  ·  Obj 143000 (5)  ·  Obj 143100 (1)  ·  Obj 501090 (1); 6 GL classes have no configured account.</t>
  </si>
  <si>
    <t xml:space="preserve">   •  AAI 4154 (Cr/Dr) resolves uniformly to Object 500465 for all 33 GL classes.</t>
  </si>
  <si>
    <t xml:space="preserve">   •  AAI 4126 (—) is not configured for any of this company's 33 GL classes — postings through this AAI would fail.</t>
  </si>
  <si>
    <t xml:space="preserve">   •  AAI 4128 (—) is not configured for any of this company's 33 GL classes — postings through this AAI would fail.</t>
  </si>
  <si>
    <t xml:space="preserve">   •  Pattern 1 (net-zero pair) fires 8 times on this company involving AAIs in this transaction.</t>
  </si>
  <si>
    <t xml:space="preserve">   •  Pattern 2 (missing complement) fires 22 times on this company involving AAIs in this transaction.</t>
  </si>
  <si>
    <t>IM  ·  IM  (client-defined inventory doc type — verify the business use with your team; AAI shape shown is the standard inventory pattern)</t>
  </si>
  <si>
    <t xml:space="preserve">   •  AAI 4122 (Dr/Cr) is not configured for any of this company's 33 GL classes — postings through this AAI would fail.</t>
  </si>
  <si>
    <t xml:space="preserve">   •  AAI 4124 (Cr/Dr) is not configured for any of this company's 33 GL classes — postings through this AAI would fail.</t>
  </si>
  <si>
    <t>IC  ·  IC  (client-defined inventory doc type — verify the business use with your team; AAI shape shown is the standard inventory pattern)</t>
  </si>
  <si>
    <t>IS  ·  IS  (client-defined inventory doc type — verify the business use with your team; AAI shape shown is the standard inventory pattern)</t>
  </si>
  <si>
    <t>Object 501100   (22 GL classes: ASGB, BRKR, BUYP, COLC, CTRL, FIBR, …)</t>
  </si>
  <si>
    <t>Confirm the split is intentional (Obj 501100, Obj 500221, Obj 50220). Per-GL-class differences are common but worth a sanity check.</t>
  </si>
  <si>
    <t>Object 500221   (3 GL classes: HTSP, NS40, SUPP)</t>
  </si>
  <si>
    <t>Object 50220   (1 GL class: TOOL)</t>
  </si>
  <si>
    <t xml:space="preserve">   •  AAI 4124 (Cr/Dr) splits across 3 object accounts: Obj 501100 (22)  ·  Obj 500221 (3)  ·  Obj 50220 (1); 7 GL classes have no configured account.</t>
  </si>
  <si>
    <t>IV  ·  IV  (client-defined inventory doc type — verify the business use with your team; AAI shape shown is the standard inventory pattern)</t>
  </si>
  <si>
    <t>IK  ·  IK  (client-defined inventory doc type — verify the business use with your team; AAI shape shown is the standard inventory pattern)</t>
  </si>
  <si>
    <t xml:space="preserve">   •  AAI 4122 (Dr/Cr) resolves uniformly to Object 500220 for all 33 GL classes.</t>
  </si>
  <si>
    <t xml:space="preserve">   •  AAI 4124 (Cr/Dr) resolves uniformly to Object 500221 for all 33 GL classes.</t>
  </si>
  <si>
    <t>I2  ·  I2  (client-defined inventory doc type — verify the business use with your team; AAI shape shown is the standard inventory pattern)</t>
  </si>
  <si>
    <t>[no AAI configured] for 4 GL classes: FT60, SSER, TDM1, TDM2</t>
  </si>
  <si>
    <t xml:space="preserve">   •  AAI 4122 (Dr) splits across 7 object accounts: Obj 145000 (9)  ·  Obj 142000 (1)  ·  Obj 141000 (6)  ·  Obj 500220 (4)  ·  Obj 143000 (5)  ·  Obj 143100 (1)  ·  Obj 501090 (1); 4 GL classes have no configured account.</t>
  </si>
  <si>
    <t xml:space="preserve">   •  AAI 4124 (Cr) splits across 3 object accounts: Obj 500465 (22)  ·  Obj 500221 (4)  ·  Obj 501090 (1); 4 GL classes have no configured account.</t>
  </si>
  <si>
    <t xml:space="preserve">   •  AAI 4122 (Cr) splits across 7 object accounts: Obj 145000 (9)  ·  Obj 142000 (1)  ·  Obj 141000 (6)  ·  Obj 500220 (4)  ·  Obj 143000 (5)  ·  Obj 143100 (1)  ·  Obj 501090 (1); 4 GL classes have no configured account.</t>
  </si>
  <si>
    <t xml:space="preserve">   •  AAI 4124 (Dr) splits across 3 object accounts: Obj 500465 (22)  ·  Obj 500221 (4)  ·  Obj 501090 (1); 4 GL classes have no configured account.</t>
  </si>
  <si>
    <t xml:space="preserve">   •  AAI 4122 (Cr) splits across 6 object accounts: Obj 145000 (9)  ·  Obj 142000 (1)  ·  Obj 141000 (6)  ·  Obj 500220 (4)  ·  Obj 143000 (5)  ·  Obj 143100 (1); 5 GL classes have no configured account.</t>
  </si>
  <si>
    <t xml:space="preserve">   •  AAI 4124 (Dr) splits across 2 object accounts: Obj 500465 (22)  ·  Obj 500221 (4); 5 GL classes have no configured account.</t>
  </si>
  <si>
    <t xml:space="preserve">   •  AAI 4122 (Dr/Cr) splits across 6 object accounts: Obj 145000 (9)  ·  Obj 142000 (1)  ·  Obj 141000 (6)  ·  Obj 500220 (4)  ·  Obj 143000 (5)  ·  Obj 143100 (1); 5 GL classes have no configured account.</t>
  </si>
  <si>
    <t xml:space="preserve">   •  AAI 4134 (Dr) splits across 7 object accounts: Obj 145000 (9)  ·  Obj 142000 (1)  ·  Obj 141000 (6)  ·  Obj 500220 (4)  ·  Obj 143000 (5)  ·  Obj 143100 (1)  ·  Obj 501095 (1); 4 GL classes have no configured account.</t>
  </si>
  <si>
    <t xml:space="preserve">   •  AAI 4136 (Cr) splits across 2 object accounts: Obj 500461 (23)  ·  Obj 500221 (4); 4 GL classes have no configured account.</t>
  </si>
  <si>
    <t xml:space="preserve">   •  AAI 4152 (Dr/Cr) splits across 7 object accounts: Obj 145000 (9)  ·  Obj 142000 (1)  ·  Obj 141000 (6)  ·  Obj 500465 (4)  ·  Obj 143000 (5)  ·  Obj 143100 (1)  ·  Obj 501090 (1); 4 GL classes have no configured account.</t>
  </si>
  <si>
    <t xml:space="preserve">   •  AAI 4154 (Cr/Dr) resolves uniformly to Object 500465 for all 31 GL classes.</t>
  </si>
  <si>
    <t xml:space="preserve">   •  AAI 4126 (—) is not configured for any of this company's 31 GL classes — postings through this AAI would fail.</t>
  </si>
  <si>
    <t xml:space="preserve">   •  AAI 4128 (—) is not configured for any of this company's 31 GL classes — postings through this AAI would fail.</t>
  </si>
  <si>
    <t xml:space="preserve">   •  AAI 4122 (Dr/Cr) is not configured for any of this company's 31 GL classes — postings through this AAI would fail.</t>
  </si>
  <si>
    <t xml:space="preserve">   •  AAI 4124 (Cr/Dr) is not configured for any of this company's 31 GL classes — postings through this AAI would fail.</t>
  </si>
  <si>
    <t xml:space="preserve">   •  AAI 4124 (Cr/Dr) splits across 3 object accounts: Obj 501100 (22)  ·  Obj 500221 (3)  ·  Obj 50220 (1); 5 GL classes have no configured account.</t>
  </si>
  <si>
    <t xml:space="preserve">   •  AAI 4122 (Dr/Cr) resolves uniformly to Object 500220 for all 31 GL classes.</t>
  </si>
  <si>
    <t xml:space="preserve">   •  AAI 4124 (Cr/Dr) resolves uniformly to Object 500221 for all 31 GL classes.</t>
  </si>
  <si>
    <t xml:space="preserve">   •  AAI 4122 (Dr) resolves uniformly to Object 145000 for all 23 GL classes.</t>
  </si>
  <si>
    <t xml:space="preserve">   •  AAI 4124 (Cr) resolves uniformly to Object 500465 for all 23 GL classes.</t>
  </si>
  <si>
    <t xml:space="preserve">   •  AAI 4122 (Cr) resolves uniformly to Object 145000 for all 23 GL classes.</t>
  </si>
  <si>
    <t xml:space="preserve">   •  AAI 4124 (Dr) resolves uniformly to Object 500465 for all 23 GL classes.</t>
  </si>
  <si>
    <t xml:space="preserve">   •  AAI 4122 (Cr) is not configured for any of this company's 23 GL classes — postings through this AAI would fail.</t>
  </si>
  <si>
    <t xml:space="preserve">   •  AAI 4122 (Dr/Cr) resolves uniformly to Object 500220 for all 23 GL classes.</t>
  </si>
  <si>
    <t xml:space="preserve">   •  4122 routes the same Object account on both sides of an inventory transfer — net inventory impact is zero by design. Confirm the offsetting location pairs are valid in F41021 / F4102.</t>
  </si>
  <si>
    <t xml:space="preserve">   •  AAI 4134 (Dr) resolves uniformly to Object 145000 for all 23 GL classes.</t>
  </si>
  <si>
    <t xml:space="preserve">   •  AAI 4136 (Cr) resolves uniformly to Object 500465 for all 23 GL classes.</t>
  </si>
  <si>
    <t>Object 500460   (all GL classes)</t>
  </si>
  <si>
    <t xml:space="preserve">   •  AAI 4152 (Dr/Cr) resolves uniformly to Object 145000 for all 23 GL classes.</t>
  </si>
  <si>
    <t xml:space="preserve">   •  AAI 4154 (Cr/Dr) resolves uniformly to Object 500460 for all 23 GL classes.</t>
  </si>
  <si>
    <t xml:space="preserve">   •  AAI 4126 (—) is not configured for any of this company's 23 GL classes — postings through this AAI would fail.</t>
  </si>
  <si>
    <t xml:space="preserve">   •  AAI 4128 (—) is not configured for any of this company's 23 GL classes — postings through this AAI would fail.</t>
  </si>
  <si>
    <t xml:space="preserve">   •  AAI 4122 (Dr/Cr) is not configured for any of this company's 23 GL classes — postings through this AAI would fail.</t>
  </si>
  <si>
    <t xml:space="preserve">   •  AAI 4124 (Cr/Dr) is not configured for any of this company's 23 GL classes — postings through this AAI would fail.</t>
  </si>
  <si>
    <t xml:space="preserve">   •  AAI 4124 (Cr/Dr) resolves uniformly to Object 500221 for all 23 GL classes.</t>
  </si>
  <si>
    <t xml:space="preserve">   •  AAI 4122 (Dr/Cr) resolves uniformly to Object 145000 for all 23 GL classes.</t>
  </si>
  <si>
    <t xml:space="preserve">   •  AAI 4124 (Cr/Dr) resolves uniformly to Object 145200 for all 23 GL classes.</t>
  </si>
  <si>
    <t>JDE DMAAI's — Purchasing Module</t>
  </si>
  <si>
    <t>Source  JDE F4095          May 17, 2026          7 companies  ·  7 transaction types in this module</t>
  </si>
  <si>
    <t>OP  ·  Purchase Order Receipt  (P4312 — receiving goods from a supplier; voucher match comes later)</t>
  </si>
  <si>
    <t>Inventory at receiving branch  (goods arrive on the shelf)</t>
  </si>
  <si>
    <t>Object 540180   (4 GL classes: HTSP, NS40, SUPP, TOOL)</t>
  </si>
  <si>
    <t>Received Not Vouchered  (clearing account — debit at voucher match clears this)</t>
  </si>
  <si>
    <t>Object 200110   (32 GL classes: ASGB, BRKR, BUYP, COLC, CTRL, FIBR, …)</t>
  </si>
  <si>
    <t>Confirm the split is intentional (Obj 200110, Obj 500220). Per-GL-class differences are common but worth a sanity check.</t>
  </si>
  <si>
    <t>Object 500220   (1 GL class: RRRR)</t>
  </si>
  <si>
    <t>Standard Cost Variance  (standard-cost items only — receipt cost vs. F4105 cost 07; debit if receipt &gt; std, credit if receipt &lt; std)</t>
  </si>
  <si>
    <t>Object 500200   (all GL classes)</t>
  </si>
  <si>
    <t>Material Burden  (standard-cost items only — ALWAYS a credit; rolls true cost additions into the frozen std cost)</t>
  </si>
  <si>
    <t>Object 500210   (all GL classes)</t>
  </si>
  <si>
    <t>Tax Expense / Inventory  (when tax is captured at receipt rather than voucher match)</t>
  </si>
  <si>
    <t>Object 142000   (all GL classes)</t>
  </si>
  <si>
    <t xml:space="preserve">   •  AAI 4310 (Dr) splits across 6 object accounts: Obj 145000 (9)  ·  Obj 142000 (1)  ·  Obj 141000 (6)  ·  Obj 540180 (4)  ·  Obj 143000 (5)  ·  Obj 143100 (1); 7 GL classes have no configured account.</t>
  </si>
  <si>
    <t xml:space="preserve">   •  AAI 4320 (Cr) splits across 2 object accounts: Obj 200110 (32)  ·  Obj 500220 (1).</t>
  </si>
  <si>
    <t xml:space="preserve">   •  AAI 4335 (Dr/Cr) resolves uniformly to Object 500200 for all 33 GL classes.</t>
  </si>
  <si>
    <t xml:space="preserve">   •  AAI 4337 (Cr) resolves uniformly to Object 500210 for all 33 GL classes.</t>
  </si>
  <si>
    <t xml:space="preserve">   •  AAI 4350 (Dr) resolves uniformly to Object 142000 for all 33 GL classes.</t>
  </si>
  <si>
    <t xml:space="preserve">   •  Pattern 2 (missing complement) fires 3 times on this company involving AAIs in this transaction.</t>
  </si>
  <si>
    <t>OT  ·  Transfer Order Receipt  (OT side of the ST/OT pair — pairs with the Sales tab ST section)</t>
  </si>
  <si>
    <t>Inventory at receiving branch  (goods arrive from the shipping branch)</t>
  </si>
  <si>
    <t>Inventory in Transit clearing  (must match AAI 4245 on the ST shipment side — mismatches are flagged in FIX FIRST)</t>
  </si>
  <si>
    <t>Confirm the split is intentional (Obj 145200, Obj 500221). Per-GL-class differences are common but worth a sanity check.</t>
  </si>
  <si>
    <t xml:space="preserve">   •  AAI 4310 (Dr) splits across 6 object accounts: Obj 145000 (9)  ·  Obj 142000 (1)  ·  Obj 141000 (6)  ·  Obj 500220 (4)  ·  Obj 143000 (5)  ·  Obj 143100 (1); 7 GL classes have no configured account.</t>
  </si>
  <si>
    <t xml:space="preserve">   •  AAI 4320 (Cr) splits across 2 object accounts: Obj 145200 (27)  ·  Obj 500221 (6).</t>
  </si>
  <si>
    <t>OO  ·  OO  (client-defined purchasing doc type — verify the business use with your team; AAI shape shown is the standard purchasing pattern)</t>
  </si>
  <si>
    <t>Inventory  (standard procurement debit — applies if this doc type drives a receipt)</t>
  </si>
  <si>
    <t>Object 501090   (all GL classes)</t>
  </si>
  <si>
    <t>Received Not Vouchered  (clearing — standard procurement credit)</t>
  </si>
  <si>
    <t>Object 200110   (all GL classes)</t>
  </si>
  <si>
    <t xml:space="preserve">   •  AAI 4310 (Dr) resolves uniformly to Object 501090 for all 33 GL classes.</t>
  </si>
  <si>
    <t xml:space="preserve">   •  AAI 4320 (Cr) resolves uniformly to Object 200110 for all 33 GL classes.</t>
  </si>
  <si>
    <t>OL  ·  OL  (client-defined purchasing doc type — verify the business use with your team; AAI shape shown is the standard purchasing pattern)</t>
  </si>
  <si>
    <t xml:space="preserve">   •  AAI 4310 (Dr) is not configured for any of this company's 33 GL classes — postings through this AAI would fail.</t>
  </si>
  <si>
    <t xml:space="preserve">   •  AAI 4320 (Cr) is not configured for any of this company's 33 GL classes — postings through this AAI would fail.</t>
  </si>
  <si>
    <t>ON  ·  ON  (client-defined purchasing doc type — verify the business use with your team; AAI shape shown is the standard purchasing pattern)</t>
  </si>
  <si>
    <t xml:space="preserve">   •  AAI 4320 (Cr) resolves uniformly to Object 500221 for all 33 GL classes.</t>
  </si>
  <si>
    <t>OH  ·  OH  (client-defined purchasing doc type — verify the business use with your team; AAI shape shown is the standard purchasing pattern)</t>
  </si>
  <si>
    <t>OM  ·  OM  (client-defined purchasing doc type — verify the business use with your team; AAI shape shown is the standard purchasing pattern)</t>
  </si>
  <si>
    <t>Splits across 5 object accounts — review whether this many GL-class-level differences are intentional, or consolidate where possible.</t>
  </si>
  <si>
    <t>[no AAI configured] for 9 GL classes: FT60, HTSP, NS40, PLAT, SSER, SUPP, …</t>
  </si>
  <si>
    <t xml:space="preserve">   •  AAI 4310 (Dr) splits across 5 object accounts: Obj 145000 (9)  ·  Obj 142000 (1)  ·  Obj 141000 (6)  ·  Obj 143000 (5)  ·  Obj 143100 (1); 9 GL classes have no configured account.</t>
  </si>
  <si>
    <t xml:space="preserve">   •  AAI 4320 (Cr) resolves uniformly to Object 200110 for all 31 GL classes.</t>
  </si>
  <si>
    <t xml:space="preserve">   •  AAI 4335 (Dr/Cr) resolves uniformly to Object 500200 for all 31 GL classes.</t>
  </si>
  <si>
    <t xml:space="preserve">   •  AAI 4337 (Cr) resolves uniformly to Object 500210 for all 31 GL classes.</t>
  </si>
  <si>
    <t xml:space="preserve">   •  AAI 4350 (Dr) resolves uniformly to Object 142000 for all 31 GL classes.</t>
  </si>
  <si>
    <t xml:space="preserve">   •  Pattern 2 (missing complement) fires 2 times on this company involving AAIs in this transaction.</t>
  </si>
  <si>
    <t xml:space="preserve">   •  AAI 4310 (Dr) splits across 6 object accounts: Obj 145000 (9)  ·  Obj 142000 (1)  ·  Obj 141000 (6)  ·  Obj 500220 (4)  ·  Obj 143000 (5)  ·  Obj 143100 (1); 5 GL classes have no configured account.</t>
  </si>
  <si>
    <t xml:space="preserve">   •  AAI 4320 (Cr) splits across 2 object accounts: Obj 145200 (25)  ·  Obj 500221 (6).</t>
  </si>
  <si>
    <t xml:space="preserve">   •  AAI 4310 (Dr) resolves uniformly to Object 501090 for all 31 GL classes.</t>
  </si>
  <si>
    <t xml:space="preserve">   •  AAI 4310 (Dr) is not configured for any of this company's 31 GL classes — postings through this AAI would fail.</t>
  </si>
  <si>
    <t xml:space="preserve">   •  AAI 4320 (Cr) is not configured for any of this company's 31 GL classes — postings through this AAI would fail.</t>
  </si>
  <si>
    <t xml:space="preserve">   •  AAI 4320 (Cr) resolves uniformly to Object 500221 for all 31 GL classes.</t>
  </si>
  <si>
    <t>Object 130305   (all GL classes)</t>
  </si>
  <si>
    <t xml:space="preserve">   •  AAI 4310 (Dr) resolves uniformly to Object 145000 for all 23 GL classes.</t>
  </si>
  <si>
    <t xml:space="preserve">   •  AAI 4320 (Cr) resolves uniformly to Object 200110 for all 23 GL classes.</t>
  </si>
  <si>
    <t xml:space="preserve">   •  AAI 4335 (Dr/Cr) resolves uniformly to Object 500200 for all 23 GL classes.</t>
  </si>
  <si>
    <t xml:space="preserve">   •  AAI 4337 (Cr) is not configured for any of this company's 23 GL classes — postings through this AAI would fail.</t>
  </si>
  <si>
    <t xml:space="preserve">   •  AAI 4350 (Dr) resolves uniformly to Object 130305 for all 23 GL classes.</t>
  </si>
  <si>
    <t xml:space="preserve">   •  Pattern 1 (net-zero pair) fires 4 times on this company involving AAIs in this transaction.</t>
  </si>
  <si>
    <t xml:space="preserve">   •  AAI 4310 (Dr) splits across 2 object accounts: Obj 145000 (16)  ·  Obj 500220 (4); 3 GL classes have no configured account.</t>
  </si>
  <si>
    <t xml:space="preserve">   •  AAI 4320 (Cr) resolves uniformly to Object 500220 for all 23 GL classes.</t>
  </si>
  <si>
    <t xml:space="preserve">   •  AAI 4310 (Dr) is not configured for any of this company's 23 GL classes — postings through this AAI would fail.</t>
  </si>
  <si>
    <t xml:space="preserve">   •  AAI 4320 (Cr) is not configured for any of this company's 23 GL classes — postings through this AAI would fail.</t>
  </si>
  <si>
    <t xml:space="preserve">   •  AAI 4320 (Cr) resolves uniformly to Object 145200 for all 23 GL classes.</t>
  </si>
  <si>
    <t>JDE DMAAI's — Manufacturing Module</t>
  </si>
  <si>
    <t>Source  JDE F4095          May 17, 2026          7 companies  ·  5 transaction types in this module</t>
  </si>
  <si>
    <t>IM  ·  Material Issue to Work Order  (P31113 — raw material moves from stock into WIP)</t>
  </si>
  <si>
    <t>Raw Material Inventory  (component GL class — material leaves stock)</t>
  </si>
  <si>
    <t>Work-in-Process  (parent GL class — material now in progress)</t>
  </si>
  <si>
    <t xml:space="preserve">   •  AAI 3110 (Cr) is not configured for any of this company's 33 GL classes — postings through this AAI would fail.</t>
  </si>
  <si>
    <t xml:space="preserve">   •  AAI 3120 (Dr) is not configured for any of this company's 33 GL classes — postings through this AAI would fail.</t>
  </si>
  <si>
    <t>IC  ·  Work Order Completion  (P31114 — finished goods complete and move to stock)</t>
  </si>
  <si>
    <t>WIP relief  (parent GL class — clears WIP as goods complete)</t>
  </si>
  <si>
    <t>Finished Goods Inventory  (parent GL class — completed goods to stock)</t>
  </si>
  <si>
    <t xml:space="preserve">   •  AAI 3120 (Cr) is not configured for any of this company's 33 GL classes — postings through this AAI would fail.</t>
  </si>
  <si>
    <t xml:space="preserve">   •  AAI 3130 (Dr) is not configured for any of this company's 33 GL classes — postings through this AAI would fail.</t>
  </si>
  <si>
    <t>IS  ·  Scrap Disposition  (scrapped output during production)</t>
  </si>
  <si>
    <t>WIP relief</t>
  </si>
  <si>
    <t>Scrap account  (part of finished-goods AAI 3130 by convention)</t>
  </si>
  <si>
    <t>IV  ·  Work Order Variance  (R31802A / R31804 — recognizes std-vs-actual after completion)</t>
  </si>
  <si>
    <t>Labor Efficiency Variance  (R31802A — only fires when Work Center Efficiency is enabled in constants)</t>
  </si>
  <si>
    <t>Material Variance  (R31804 — standard cost change after completion)</t>
  </si>
  <si>
    <t>Planned Variance  (R31804 — std cost diff at planned vs actual)</t>
  </si>
  <si>
    <t>Engineering Variance  (R31804 — BOM/routing change after completion)</t>
  </si>
  <si>
    <t>Other Variance / WIP Clearance  (R31804)</t>
  </si>
  <si>
    <t xml:space="preserve">   •  AAI 3220 (Dr/Cr) is not configured for any of this company's 33 GL classes — postings through this AAI would fail.</t>
  </si>
  <si>
    <t xml:space="preserve">   •  AAI 3240 (Dr/Cr) is not configured for any of this company's 33 GL classes — postings through this AAI would fail.</t>
  </si>
  <si>
    <t xml:space="preserve">   •  AAI 3260 (Dr/Cr) is not configured for any of this company's 33 GL classes — postings through this AAI would fail.</t>
  </si>
  <si>
    <t xml:space="preserve">   •  AAI 3270 (Dr/Cr) is not configured for any of this company's 33 GL classes — postings through this AAI would fail.</t>
  </si>
  <si>
    <t xml:space="preserve">   •  AAI 3280 (Dr/Cr) is not configured for any of this company's 33 GL classes — postings through this AAI would fail.</t>
  </si>
  <si>
    <t>WD  ·  WD  (client-defined manufacturing doc type — verify the business use with your team; AAI shape shown is the standard manufacturing pattern)</t>
  </si>
  <si>
    <t>Work-in-Process  (material absorbed into WIP — parent GL class)</t>
  </si>
  <si>
    <t>Raw Material Inventory  (component leaves stock — component GL class)</t>
  </si>
  <si>
    <t xml:space="preserve">   •  AAI 3110 (Cr) is not configured for any of this company's 31 GL classes — postings through this AAI would fail.</t>
  </si>
  <si>
    <t xml:space="preserve">   •  AAI 3120 (Dr) is not configured for any of this company's 31 GL classes — postings through this AAI would fail.</t>
  </si>
  <si>
    <t xml:space="preserve">   •  AAI 3120 (Cr) is not configured for any of this company's 31 GL classes — postings through this AAI would fail.</t>
  </si>
  <si>
    <t xml:space="preserve">   •  AAI 3130 (Dr) is not configured for any of this company's 31 GL classes — postings through this AAI would fail.</t>
  </si>
  <si>
    <t xml:space="preserve">   •  AAI 3220 (Dr/Cr) is not configured for any of this company's 31 GL classes — postings through this AAI would fail.</t>
  </si>
  <si>
    <t xml:space="preserve">   •  AAI 3240 (Dr/Cr) is not configured for any of this company's 31 GL classes — postings through this AAI would fail.</t>
  </si>
  <si>
    <t xml:space="preserve">   •  AAI 3260 (Dr/Cr) is not configured for any of this company's 31 GL classes — postings through this AAI would fail.</t>
  </si>
  <si>
    <t xml:space="preserve">   •  AAI 3270 (Dr/Cr) is not configured for any of this company's 31 GL classes — postings through this AAI would fail.</t>
  </si>
  <si>
    <t xml:space="preserve">   •  AAI 3280 (Dr/Cr) is not configured for any of this company's 31 GL classes — postings through this AAI would fail.</t>
  </si>
  <si>
    <t xml:space="preserve">   •  AAI 3110 (Cr) is not configured for any of this company's 23 GL classes — postings through this AAI would fail.</t>
  </si>
  <si>
    <t xml:space="preserve">   •  AAI 3120 (Dr) is not configured for any of this company's 23 GL classes — postings through this AAI would fail.</t>
  </si>
  <si>
    <t xml:space="preserve">   •  AAI 3120 (Cr) is not configured for any of this company's 23 GL classes — postings through this AAI would fail.</t>
  </si>
  <si>
    <t xml:space="preserve">   •  AAI 3130 (Dr) is not configured for any of this company's 23 GL classes — postings through this AAI would fail.</t>
  </si>
  <si>
    <t xml:space="preserve">   •  AAI 3220 (Dr/Cr) is not configured for any of this company's 23 GL classes — postings through this AAI would fail.</t>
  </si>
  <si>
    <t xml:space="preserve">   •  AAI 3240 (Dr/Cr) is not configured for any of this company's 23 GL classes — postings through this AAI would fail.</t>
  </si>
  <si>
    <t xml:space="preserve">   •  AAI 3260 (Dr/Cr) is not configured for any of this company's 23 GL classes — postings through this AAI would fail.</t>
  </si>
  <si>
    <t xml:space="preserve">   •  AAI 3270 (Dr/Cr) is not configured for any of this company's 23 GL classes — postings through this AAI would fail.</t>
  </si>
  <si>
    <t xml:space="preserve">   •  AAI 3280 (Dr/Cr) is not configured for any of this company's 23 GL classes — postings through this AAI would fail.</t>
  </si>
  <si>
    <t>AAI Number</t>
  </si>
  <si>
    <t xml:space="preserve">Co </t>
  </si>
  <si>
    <t>Or Ty</t>
  </si>
  <si>
    <t>Do Ty</t>
  </si>
  <si>
    <t>G/L Cat</t>
  </si>
  <si>
    <t>Cost Type</t>
  </si>
  <si>
    <t>Business Unit</t>
  </si>
  <si>
    <t>Obj Acct</t>
  </si>
  <si>
    <t xml:space="preserve">Sub </t>
  </si>
  <si>
    <t>RR Analyzer Note</t>
  </si>
  <si>
    <t xml:space="preserve">  </t>
  </si>
  <si>
    <t>CR</t>
  </si>
  <si>
    <t xml:space="preserve">   </t>
  </si>
  <si>
    <t xml:space="preserve">        </t>
  </si>
  <si>
    <t>W1</t>
  </si>
  <si>
    <t xml:space="preserve">A1 </t>
  </si>
  <si>
    <t xml:space="preserve">A2 </t>
  </si>
  <si>
    <t xml:space="preserve">B1 </t>
  </si>
  <si>
    <t xml:space="preserve">B2 </t>
  </si>
  <si>
    <t xml:space="preserve">B3 </t>
  </si>
  <si>
    <t xml:space="preserve">D1 </t>
  </si>
  <si>
    <t xml:space="preserve">D2 </t>
  </si>
  <si>
    <t xml:space="preserve">D3 </t>
  </si>
  <si>
    <t xml:space="preserve">X1 </t>
  </si>
  <si>
    <t xml:space="preserve">X2 </t>
  </si>
  <si>
    <t xml:space="preserve">X3 </t>
  </si>
  <si>
    <t>WO</t>
  </si>
  <si>
    <t>WR</t>
  </si>
  <si>
    <t xml:space="preserve">C1 </t>
  </si>
  <si>
    <t xml:space="preserve">C2 </t>
  </si>
  <si>
    <t xml:space="preserve">C3 </t>
  </si>
  <si>
    <t xml:space="preserve">C4 </t>
  </si>
  <si>
    <t>Missing complement (4154) — P41413 (Cycle Count Update), P41610 (Tag Count Update) would post one-sided</t>
  </si>
  <si>
    <t>COLC</t>
  </si>
  <si>
    <t xml:space="preserve">CC      </t>
  </si>
  <si>
    <t>FIBR</t>
  </si>
  <si>
    <t xml:space="preserve">FM      </t>
  </si>
  <si>
    <t xml:space="preserve">MLD     </t>
  </si>
  <si>
    <t>MOLD</t>
  </si>
  <si>
    <t xml:space="preserve">MM      </t>
  </si>
  <si>
    <t>PREC</t>
  </si>
  <si>
    <t xml:space="preserve">PM      </t>
  </si>
  <si>
    <t xml:space="preserve">PRS     </t>
  </si>
  <si>
    <t xml:space="preserve">SEC     </t>
  </si>
  <si>
    <t>STMP</t>
  </si>
  <si>
    <t xml:space="preserve">SM      </t>
  </si>
  <si>
    <t xml:space="preserve">S/A     </t>
  </si>
  <si>
    <t xml:space="preserve">S/C     </t>
  </si>
  <si>
    <t>WIRE</t>
  </si>
  <si>
    <t xml:space="preserve">RW      </t>
  </si>
  <si>
    <t>C2</t>
  </si>
  <si>
    <t>IQCR</t>
  </si>
  <si>
    <t>C3</t>
  </si>
  <si>
    <t>C5</t>
  </si>
  <si>
    <t>C6</t>
  </si>
  <si>
    <t>C7</t>
  </si>
  <si>
    <t>CO</t>
  </si>
  <si>
    <t>CW</t>
  </si>
  <si>
    <t>Net-zero with 4164 (row 9794): same account 1000000.14200</t>
  </si>
  <si>
    <t>Net-zero with 4162 (row 9779): same account 1000000.14200</t>
  </si>
  <si>
    <t>Net-zero with 4124 (row 6955): same account 1077777.501090</t>
  </si>
  <si>
    <t>Net-zero with 4122 (row 6541): same account 1077777.501090</t>
  </si>
  <si>
    <t>IB</t>
  </si>
  <si>
    <t>IC</t>
  </si>
  <si>
    <t>Redundant vs wildcard</t>
  </si>
  <si>
    <t>II</t>
  </si>
  <si>
    <t>Net-zero with 4164 (row 9795): same account 1000000.14200</t>
  </si>
  <si>
    <t>Net-zero with 4162 (row 9780): same account 1000000.14200</t>
  </si>
  <si>
    <t>IK</t>
  </si>
  <si>
    <t>IM</t>
  </si>
  <si>
    <t>IP</t>
  </si>
  <si>
    <t>Net-zero with 4152 (row 9562): same account 1077777.500465  ·  Net-zero with 4152 (row 9566): same account 1077777.500465  ·  Net-zero with 4152 (row 9576): same account 1077777.500465  ·  Net-zero with 4152 (row 9579): same account 1077777.500465</t>
  </si>
  <si>
    <t>Net-zero with 4154 (row 9767): same account 1077777.500465</t>
  </si>
  <si>
    <t>IS</t>
  </si>
  <si>
    <t>IT</t>
  </si>
  <si>
    <t>IV</t>
  </si>
  <si>
    <t>LI</t>
  </si>
  <si>
    <t>OH</t>
  </si>
  <si>
    <t>OM</t>
  </si>
  <si>
    <t>ON</t>
  </si>
  <si>
    <t>OP</t>
  </si>
  <si>
    <t xml:space="preserve">RRRR    </t>
  </si>
  <si>
    <t>Missing complement (4310) — P4312 (PO Receipts), P43214 (Voucher Match) would post one-sided</t>
  </si>
  <si>
    <t>Transfer clearing mismatch: 4320 → 1000000|145200|; 4245 (row 15174) → 1077777|500221|</t>
  </si>
  <si>
    <t xml:space="preserve"> MLD    </t>
  </si>
  <si>
    <t xml:space="preserve"> MM     </t>
  </si>
  <si>
    <t>PI</t>
  </si>
  <si>
    <t>Net-zero with 4152 (row 9588): same account 1077777.500465  ·  Net-zero with 4152 (row 9592): same account 1077777.500465  ·  Net-zero with 4152 (row 9603): same account 1077777.500465  ·  Net-zero with 4152 (row 9606): same account 1077777.500465</t>
  </si>
  <si>
    <t>Net-zero with 4154 (row 9768): same account 1077777.500465</t>
  </si>
  <si>
    <t>S2</t>
  </si>
  <si>
    <t>S3</t>
  </si>
  <si>
    <t>S5</t>
  </si>
  <si>
    <t>S6</t>
  </si>
  <si>
    <t>S7</t>
  </si>
  <si>
    <t>S8</t>
  </si>
  <si>
    <t>S9</t>
  </si>
  <si>
    <t>Missing complement (4220) — R42800 (Sales Update) — the batch report that posts the GL side of Sales Order shipments. Also fires on ST (transfer-order shipment) and IM (post-shipment inventory move). would post one-sided</t>
  </si>
  <si>
    <t>SH</t>
  </si>
  <si>
    <t xml:space="preserve">DS      </t>
  </si>
  <si>
    <t>Missing complement (4240) — R42800 (Sales Update) — the batch report that posts the GL side of Sales Order shipments. Also fires on ST (transfer-order shipment) and IM (post-shipment inventory move). would post one-sided</t>
  </si>
  <si>
    <t>SM</t>
  </si>
  <si>
    <t>SN</t>
  </si>
  <si>
    <t>SO</t>
  </si>
  <si>
    <t>Transfer clearing mismatch: 4245 → 1077777|500221|; 4320 (row 15464) → 1000000|145200|</t>
  </si>
  <si>
    <t>ZQ</t>
  </si>
  <si>
    <t>Net-zero with 4164 (row 9797): same account 1800000.14200</t>
  </si>
  <si>
    <t>Net-zero with 4162 (row 9782): same account 1800000.14200</t>
  </si>
  <si>
    <t>Net-zero with 4124 (row 7063): same account 1877777.501090</t>
  </si>
  <si>
    <t>Net-zero with 4122 (row 6674): same account 1877777.501090</t>
  </si>
  <si>
    <t>Net-zero with 4164 (row 9798): same account 1800000.14200</t>
  </si>
  <si>
    <t>Net-zero with 4162 (row 9783): same account 1800000.14200</t>
  </si>
  <si>
    <t>Net-zero with 4152 (row 9637): same account 1877777.500465  ·  Net-zero with 4152 (row 9641): same account 1877777.500465  ·  Net-zero with 4152 (row 9651): same account 1877777.500465  ·  Net-zero with 4152 (row 9654): same account 1877777.500465</t>
  </si>
  <si>
    <t>Net-zero with 4154 (row 9769): same account 1877777.500465</t>
  </si>
  <si>
    <t>Net-zero with 4152 (row 9663): same account 1877777.500465  ·  Net-zero with 4152 (row 9667): same account 1877777.500465  ·  Net-zero with 4152 (row 9678): same account 1877777.500465  ·  Net-zero with 4152 (row 9681): same account 1877777.500465</t>
  </si>
  <si>
    <t>Net-zero with 4154 (row 9770): same account 1877777.500465</t>
  </si>
  <si>
    <t>CJ</t>
  </si>
  <si>
    <t>Net-zero with 4240 (row 14503): same account 5077777.500221</t>
  </si>
  <si>
    <t>Net-zero with 4220 (row 10845): same account 5077777.500221</t>
  </si>
  <si>
    <t>I2</t>
  </si>
  <si>
    <t xml:space="preserve">IP      </t>
  </si>
  <si>
    <t>OL</t>
  </si>
  <si>
    <t>Net-zero with 4310 (row 15332): same account 5077777.500220  ·  Net-zero with 4310 (row 15335): same account 5077777.500220  ·  Net-zero with 4310 (row 15343): same account 5077777.500220  ·  Net-zero with 4310 (row 15346): same account 5077777.500220</t>
  </si>
  <si>
    <t>Net-zero with 4320 (row 15487): same account 5077777.500220</t>
  </si>
  <si>
    <t>SI</t>
  </si>
  <si>
    <t>SJ</t>
  </si>
  <si>
    <t>Net-zero with 4240 (row 14516): same account 5077777.500220  ·  Net-zero with 4240 (row 14519): same account 5077777.500220  ·  Net-zero with 4240 (row 14527): same account 5077777.500220  ·  Net-zero with 4240 (row 14530): same account 5077777.500220</t>
  </si>
  <si>
    <t>Net-zero with 4220 (row 10853): same account 5077777.500220</t>
  </si>
  <si>
    <t>WD</t>
  </si>
  <si>
    <t>Net-zero with 4240 (row 14533): same account 5177777.500221</t>
  </si>
  <si>
    <t>Net-zero with 4220 (row 10856): same account 5177777.500221</t>
  </si>
  <si>
    <t>Net-zero with 4310 (row 15354): same account 5177777.500220  ·  Net-zero with 4310 (row 15357): same account 5177777.500220  ·  Net-zero with 4310 (row 15365): same account 5177777.500220  ·  Net-zero with 4310 (row 15368): same account 5177777.500220</t>
  </si>
  <si>
    <t>Net-zero with 4320 (row 15491): same account 5177777.500220</t>
  </si>
  <si>
    <t>Net-zero with 4240 (row 14546): same account 5177777.500220  ·  Net-zero with 4240 (row 14549): same account 5177777.500220  ·  Net-zero with 4240 (row 14557): same account 5177777.500220  ·  Net-zero with 4240 (row 14560): same account 5177777.500220</t>
  </si>
  <si>
    <t>Net-zero with 4220 (row 10864): same account 5177777.500220</t>
  </si>
  <si>
    <t>Net-zero with 4240 (row 14563): same account 5377777.500221</t>
  </si>
  <si>
    <t>Net-zero with 4220 (row 10867): same account 5377777.500221</t>
  </si>
  <si>
    <t>Net-zero with 4310 (row 15376): same account 5377777.500220  ·  Net-zero with 4310 (row 15379): same account 5377777.500220  ·  Net-zero with 4310 (row 15387): same account 5377777.500220  ·  Net-zero with 4310 (row 15390): same account 5377777.500220</t>
  </si>
  <si>
    <t>Net-zero with 4320 (row 15495): same account 5377777.500220</t>
  </si>
  <si>
    <t>Net-zero with 4240 (row 14576): same account 5377777.500220  ·  Net-zero with 4240 (row 14579): same account 5377777.500220  ·  Net-zero with 4240 (row 14587): same account 5377777.500220  ·  Net-zero with 4240 (row 14590): same account 5377777.500220</t>
  </si>
  <si>
    <t>Net-zero with 4220 (row 10875): same account 5377777.500220</t>
  </si>
  <si>
    <t>Net-zero with 4164 (row 9806): same account 6000000.14200</t>
  </si>
  <si>
    <t>Net-zero with 4162 (row 9791): same account 6000000.14200</t>
  </si>
  <si>
    <t>Net-zero with 4124 (row 7189): same account 6077777.501090</t>
  </si>
  <si>
    <t>Net-zero with 4122 (row 6822): same account 6077777.501090</t>
  </si>
  <si>
    <t>Net-zero with 4164 (row 9807): same account 6000000.14200</t>
  </si>
  <si>
    <t>Net-zero with 4162 (row 9792): same account 6000000.14200</t>
  </si>
  <si>
    <t>Net-zero with 4152 (row 9721): same account 6077777.500465  ·  Net-zero with 4152 (row 9725): same account 6077777.500465  ·  Net-zero with 4152 (row 9735): same account 6077777.500465  ·  Net-zero with 4152 (row 9738): same account 6077777.500465</t>
  </si>
  <si>
    <t>Net-zero with 4154 (row 9777): same account 6077777.500465</t>
  </si>
  <si>
    <t>Net-zero with 4152 (row 9747): same account 6077777.500465  ·  Net-zero with 4152 (row 9751): same account 6077777.500465  ·  Net-zero with 4152 (row 9762): same account 6077777.500465  ·  Net-zero with 4152 (row 9765): same account 6077777.500465</t>
  </si>
  <si>
    <t>Net-zero with 4154 (row 9778): same account 6077777.500465</t>
  </si>
  <si>
    <t>Notes / Feedback for RapidReconciler Support</t>
  </si>
  <si>
    <t>Was the diagnosis correct?</t>
  </si>
  <si>
    <t>What's the real root cause?</t>
  </si>
  <si>
    <t xml:space="preserve">Customer-specific context
(DMAAI conventions, order-type splits, etc.)</t>
  </si>
  <si>
    <t>Priority for support follow-up</t>
  </si>
  <si>
    <t>Your name</t>
  </si>
  <si>
    <t>Customer / company</t>
  </si>
  <si>
    <t>How to send this feedback</t>
  </si>
  <si>
    <t xml:space="preserve">If the diagnosis didn't fit your situation, fill in the rows above, save this workbook, and email it to rrsupport@getgsi.com. We'll review and expand the analyzer's pattern library.
Your workbook is the only thing leaving your machine — and only via your own email client. Nothing flows to a GSI server.</t>
  </si>
  <si>
    <t>📧  Email this workbook to rrsupport@getgsi.com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</si>
</sst>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color theme="1"/>
      <family val="2"/>
      <scheme val="minor"/>
      <sz val="11"/>
      <name val="Calibri"/>
    </font>
    <font>
      <b/>
      <color rgb="FFFFFFFF"/>
      <sz val="20"/>
      <name val="Arial"/>
    </font>
    <font>
      <b/>
      <color rgb="1F3864"/>
      <sz val="12"/>
      <name val="Arial"/>
    </font>
    <font>
      <color rgb="FF404040"/>
      <sz val="10"/>
      <name val="Arial"/>
    </font>
    <font>
      <b/>
      <color rgb="FFFFFFFF"/>
      <sz val="12"/>
      <name val="Arial"/>
    </font>
    <font>
      <color rgb="1F2D4A"/>
      <sz val="10"/>
      <name val="Arial"/>
    </font>
    <font>
      <i/>
      <color rgb="1F2D4A"/>
      <sz val="11"/>
      <name val="Arial"/>
    </font>
    <font>
      <b/>
      <color rgb="1F3864"/>
      <sz val="10"/>
      <name val="Arial"/>
    </font>
    <font>
      <b/>
      <color rgb="FFFFFFFF"/>
      <sz val="10"/>
      <name val="Arial"/>
    </font>
    <font>
      <color rgb="FF404040"/>
      <sz val="9"/>
      <name val="Arial"/>
    </font>
    <font>
      <u/>
      <color rgb="FF0563C1"/>
      <sz val="10"/>
      <name val="Arial"/>
    </font>
    <font>
      <b/>
      <color rgb="1F2D4A"/>
      <sz val="10"/>
      <name val="Arial"/>
    </font>
    <font>
      <i/>
      <color rgb="FF808080"/>
      <sz val="9"/>
      <name val="Arial"/>
    </font>
    <font>
      <b/>
      <color rgb="FFFFFFFF"/>
      <sz val="13"/>
      <name val="Arial"/>
    </font>
    <font>
      <b/>
      <color rgb="1F3864"/>
      <sz val="11"/>
      <name val="Arial"/>
    </font>
    <font>
      <sz val="10"/>
      <name val="Arial"/>
    </font>
    <font>
      <b/>
      <color rgb="FF8B0000"/>
      <sz val="10"/>
      <name val="Arial"/>
    </font>
    <font>
      <i/>
      <color rgb="1F2D4A"/>
      <sz val="10"/>
      <name val="Arial"/>
    </font>
    <font>
      <b/>
      <sz val="10"/>
      <name val="Arial"/>
    </font>
    <font>
      <b/>
      <color rgb="FFFFFFFF"/>
      <sz val="11"/>
      <name val="Arial"/>
    </font>
    <font>
      <b/>
      <color rgb="FFFFFFFF"/>
      <sz val="14"/>
      <name val="Arial"/>
    </font>
    <font>
      <color rgb="1F2D4A"/>
      <sz val="11"/>
      <name val="Arial"/>
    </font>
    <font>
      <b/>
      <u/>
      <color rgb="FF2B5FB0"/>
      <sz val="11"/>
      <name val="Arial"/>
    </font>
  </fonts>
  <fills count="18">
    <fill>
      <patternFill patternType="none"/>
    </fill>
    <fill>
      <patternFill patternType="gray125"/>
    </fill>
    <fill>
      <patternFill patternType="solid">
        <fgColor rgb="FF1F3864"/>
      </patternFill>
    </fill>
    <fill>
      <patternFill patternType="solid">
        <fgColor rgb="FFD6E4F0"/>
      </patternFill>
    </fill>
    <fill>
      <patternFill patternType="solid">
        <fgColor rgb="FFFFFFFF"/>
      </patternFill>
    </fill>
    <fill>
      <patternFill patternType="solid">
        <fgColor rgb="FFF5DEB3"/>
      </patternFill>
    </fill>
    <fill>
      <patternFill patternType="solid">
        <fgColor rgb="FFF2F2F2"/>
      </patternFill>
    </fill>
    <fill>
      <patternFill patternType="solid">
        <fgColor rgb="FFC62828"/>
      </patternFill>
    </fill>
    <fill>
      <patternFill patternType="solid">
        <fgColor rgb="FFEF6C00"/>
      </patternFill>
    </fill>
    <fill>
      <patternFill patternType="solid">
        <fgColor rgb="FF616161"/>
      </patternFill>
    </fill>
    <fill>
      <patternFill patternType="solid">
        <fgColor rgb="FFEEEEEE"/>
      </patternFill>
    </fill>
    <fill>
      <patternFill patternType="solid">
        <fgColor rgb="FFFFE0E0"/>
      </patternFill>
    </fill>
    <fill>
      <patternFill patternType="solid">
        <fgColor rgb="FFB81F1F"/>
      </patternFill>
    </fill>
    <fill>
      <patternFill patternType="solid">
        <fgColor rgb="FFFEFBD8"/>
      </patternFill>
    </fill>
    <fill>
      <patternFill patternType="solid">
        <fgColor rgb="FFA88A1F"/>
      </patternFill>
    </fill>
    <fill>
      <patternFill patternType="solid">
        <fgColor rgb="FFFFF0DC"/>
      </patternFill>
    </fill>
    <fill>
      <patternFill patternType="solid">
        <fgColor rgb="FFD97316"/>
      </patternFill>
    </fill>
    <fill>
      <patternFill patternType="solid">
        <fgColor rgb="FFFFFEF2"/>
      </patternFill>
    </fill>
  </fills>
  <borders count="3">
    <border>
      <left/>
      <right/>
      <top/>
      <bottom/>
      <diagonal/>
    </border>
    <border>
      <left/>
      <right/>
      <top/>
      <bottom style="medium">
        <color rgb="FF1F3864"/>
      </bottom>
      <diagonal/>
    </border>
    <border>
      <left/>
      <right/>
      <top style="medium">
        <color rgb="FF1F3864"/>
      </top>
      <bottom/>
      <diagonal/>
    </border>
  </borders>
  <cellStyleXfs count="1">
    <xf numFmtId="0" fontId="0" fillId="0" borderId="0"/>
  </cellStyleXfs>
  <cellXfs count="53">
    <xf numFmtId="0" fontId="0" fillId="0" borderId="0" xfId="0"/>
    <xf numFmtId="0" fontId="0" fillId="2" borderId="0" xfId="0" applyFill="1"/>
    <xf numFmtId="0" fontId="1" fillId="2" borderId="0" xfId="0" applyFont="1" applyFill="1" applyAlignment="1">
      <alignment horizontal="left" vertical="center" wrapText="1" indent="1"/>
    </xf>
    <xf numFmtId="0" fontId="2" fillId="3" borderId="0" xfId="0" applyFont="1" applyFill="1" applyAlignment="1">
      <alignment horizontal="left" vertical="center" wrapText="1" indent="1"/>
    </xf>
    <xf numFmtId="0" fontId="3" fillId="0" borderId="0" xfId="0" applyFont="1" applyAlignment="1">
      <alignment horizontal="left" vertical="center" wrapText="1" indent="1"/>
    </xf>
    <xf numFmtId="0" fontId="4" fillId="2" borderId="0" xfId="0" applyFont="1" applyFill="1" applyAlignment="1">
      <alignment horizontal="left" vertical="center" indent="2"/>
    </xf>
    <xf numFmtId="0" fontId="5" fillId="4" borderId="0" xfId="0" applyFont="1" applyFill="1" applyAlignment="1">
      <alignment horizontal="left" vertical="top" wrapText="1" indent="2"/>
    </xf>
    <xf numFmtId="0" fontId="6" fillId="5" borderId="0" xfId="0" applyFont="1" applyFill="1" applyAlignment="1">
      <alignment horizontal="left" vertical="center" wrapText="1" indent="1"/>
    </xf>
    <xf numFmtId="0" fontId="7" fillId="6" borderId="1" xfId="0" applyFont="1" applyFill="1" applyBorder="1" applyAlignment="1">
      <alignment horizontal="left" vertical="center" indent="1"/>
    </xf>
    <xf numFmtId="0" fontId="8" fillId="7" borderId="0" xfId="0" applyFont="1" applyFill="1" applyAlignment="1">
      <alignment horizontal="center" vertical="top" wrapText="1" indent="1"/>
    </xf>
    <xf numFmtId="0" fontId="9" fillId="4" borderId="0" xfId="0" applyFont="1" applyFill="1" applyAlignment="1">
      <alignment horizontal="left" vertical="top" wrapText="1" indent="1"/>
    </xf>
    <xf numFmtId="0" fontId="5" fillId="4" borderId="0" xfId="0" applyFont="1" applyFill="1" applyAlignment="1">
      <alignment horizontal="center" vertical="top" wrapText="1" indent="1"/>
    </xf>
    <xf numFmtId="0" fontId="5" fillId="4" borderId="0" xfId="0" applyFont="1" applyFill="1" applyAlignment="1">
      <alignment horizontal="left" vertical="top" wrapText="1" indent="1"/>
    </xf>
    <xf numFmtId="0" fontId="10" fillId="4" borderId="0" xfId="0" applyFont="1" applyFill="1" applyAlignment="1">
      <alignment horizontal="left" vertical="top" wrapText="1" indent="1"/>
    </xf>
    <xf numFmtId="0" fontId="11" fillId="4" borderId="0" xfId="0" applyFont="1" applyFill="1" applyAlignment="1">
      <alignment horizontal="center" vertical="top" wrapText="1" indent="1"/>
    </xf>
    <xf numFmtId="0" fontId="9" fillId="6" borderId="0" xfId="0" applyFont="1" applyFill="1" applyAlignment="1">
      <alignment horizontal="left" vertical="top" wrapText="1" indent="1"/>
    </xf>
    <xf numFmtId="0" fontId="5" fillId="6" borderId="0" xfId="0" applyFont="1" applyFill="1" applyAlignment="1">
      <alignment horizontal="center" vertical="top" wrapText="1" indent="1"/>
    </xf>
    <xf numFmtId="0" fontId="5" fillId="6" borderId="0" xfId="0" applyFont="1" applyFill="1" applyAlignment="1">
      <alignment horizontal="left" vertical="top" wrapText="1" indent="1"/>
    </xf>
    <xf numFmtId="0" fontId="10" fillId="6" borderId="0" xfId="0" applyFont="1" applyFill="1" applyAlignment="1">
      <alignment horizontal="left" vertical="top" wrapText="1" indent="1"/>
    </xf>
    <xf numFmtId="0" fontId="11" fillId="6" borderId="0" xfId="0" applyFont="1" applyFill="1" applyAlignment="1">
      <alignment horizontal="center" vertical="top" wrapText="1" indent="1"/>
    </xf>
    <xf numFmtId="0" fontId="8" fillId="8" borderId="0" xfId="0" applyFont="1" applyFill="1" applyAlignment="1">
      <alignment horizontal="center" vertical="top" wrapText="1" indent="1"/>
    </xf>
    <xf numFmtId="0" fontId="4" fillId="9" borderId="0" xfId="0" applyFont="1" applyFill="1" applyAlignment="1">
      <alignment horizontal="left" vertical="center" indent="2"/>
    </xf>
    <xf numFmtId="0" fontId="5" fillId="10" borderId="0" xfId="0" applyFont="1" applyFill="1" applyAlignment="1">
      <alignment horizontal="left" vertical="top" wrapText="1" indent="2"/>
    </xf>
    <xf numFmtId="0" fontId="12" fillId="0" borderId="0" xfId="0" applyFont="1" applyAlignment="1">
      <alignment horizontal="left" vertical="center" indent="1"/>
    </xf>
    <xf numFmtId="0" fontId="13" fillId="2" borderId="0" xfId="0" applyFont="1" applyFill="1" applyAlignment="1">
      <alignment horizontal="left" vertical="center" indent="2"/>
    </xf>
    <xf numFmtId="0" fontId="14" fillId="3" borderId="0" xfId="0" applyFont="1" applyFill="1" applyAlignment="1">
      <alignment horizontal="left" vertical="center" indent="2"/>
    </xf>
    <xf numFmtId="0" fontId="7" fillId="6" borderId="0" xfId="0" applyFont="1" applyFill="1" applyAlignment="1">
      <alignment horizontal="left" vertical="center" indent="1"/>
    </xf>
    <xf numFmtId="0" fontId="11" fillId="4" borderId="2" xfId="0" applyFont="1" applyFill="1" applyBorder="1" applyAlignment="1">
      <alignment horizontal="left" vertical="top" indent="1"/>
    </xf>
    <xf numFmtId="0" fontId="5" fillId="4" borderId="2" xfId="0" applyFont="1" applyFill="1" applyBorder="1" applyAlignment="1">
      <alignment horizontal="left" vertical="top" wrapText="1" indent="1"/>
    </xf>
    <xf numFmtId="0" fontId="15" fillId="4" borderId="2" xfId="0" applyFont="1" applyFill="1" applyBorder="1" applyAlignment="1">
      <alignment horizontal="left" vertical="top"/>
    </xf>
    <xf numFmtId="0" fontId="5" fillId="6" borderId="0" xfId="0" applyFont="1" applyFill="1" applyAlignment="1">
      <alignment horizontal="left" vertical="top" indent="1"/>
    </xf>
    <xf numFmtId="0" fontId="15" fillId="4" borderId="0" xfId="0" applyFont="1" applyFill="1" applyAlignment="1">
      <alignment horizontal="left" vertical="top"/>
    </xf>
    <xf numFmtId="0" fontId="5" fillId="4" borderId="0" xfId="0" applyFont="1" applyFill="1" applyAlignment="1">
      <alignment horizontal="left" vertical="top" indent="1"/>
    </xf>
    <xf numFmtId="0" fontId="16" fillId="4" borderId="0" xfId="0" applyFont="1" applyFill="1" applyAlignment="1">
      <alignment horizontal="left" vertical="top" wrapText="1" indent="1"/>
    </xf>
    <xf numFmtId="0" fontId="7" fillId="3" borderId="0" xfId="0" applyFont="1" applyFill="1" applyAlignment="1">
      <alignment horizontal="left" vertical="center" indent="2"/>
    </xf>
    <xf numFmtId="0" fontId="16" fillId="6" borderId="0" xfId="0" applyFont="1" applyFill="1" applyAlignment="1">
      <alignment horizontal="left" vertical="top" wrapText="1" indent="1"/>
    </xf>
    <xf numFmtId="0" fontId="16" fillId="4" borderId="2" xfId="0" applyFont="1" applyFill="1" applyBorder="1" applyAlignment="1">
      <alignment horizontal="left" vertical="top" wrapText="1" indent="1"/>
    </xf>
    <xf numFmtId="0" fontId="15" fillId="4" borderId="2" xfId="0" applyFont="1" applyFill="1" applyBorder="1" applyAlignment="1">
      <alignment horizontal="left"/>
    </xf>
    <xf numFmtId="0" fontId="17" fillId="4" borderId="2" xfId="0" applyFont="1" applyFill="1" applyBorder="1" applyAlignment="1">
      <alignment horizontal="left" vertical="top" indent="1"/>
    </xf>
    <xf numFmtId="0" fontId="18" fillId="0" borderId="0" xfId="0" applyFont="1"/>
    <xf numFmtId="0" fontId="18" fillId="3" borderId="0" xfId="0" applyFont="1" applyFill="1"/>
    <xf numFmtId="0" fontId="0" fillId="11" borderId="0" xfId="0" applyFill="1"/>
    <xf numFmtId="0" fontId="19" fillId="12" borderId="0" xfId="0" applyFont="1" applyFill="1" applyAlignment="1">
      <alignment horizontal="left" vertical="center" wrapText="1" indent="1"/>
    </xf>
    <xf numFmtId="0" fontId="0" fillId="13" borderId="0" xfId="0" applyFill="1"/>
    <xf numFmtId="0" fontId="19" fillId="14" borderId="0" xfId="0" applyFont="1" applyFill="1" applyAlignment="1">
      <alignment horizontal="left" vertical="center" wrapText="1" indent="1"/>
    </xf>
    <xf numFmtId="0" fontId="0" fillId="15" borderId="0" xfId="0" applyFill="1"/>
    <xf numFmtId="0" fontId="19" fillId="16" borderId="0" xfId="0" applyFont="1" applyFill="1" applyAlignment="1">
      <alignment horizontal="left" vertical="center" wrapText="1" indent="1"/>
    </xf>
    <xf numFmtId="0" fontId="20" fillId="2" borderId="0" xfId="0" applyFont="1" applyFill="1" applyAlignment="1">
      <alignment horizontal="left" vertical="center" indent="1"/>
    </xf>
    <xf numFmtId="0" fontId="14" fillId="0" borderId="0" xfId="0" applyFont="1" applyAlignment="1">
      <alignment horizontal="left" vertical="top" wrapText="1" indent="1"/>
    </xf>
    <xf numFmtId="0" fontId="21" fillId="17" borderId="0" xfId="0" applyFont="1" applyFill="1" applyAlignment="1">
      <alignment horizontal="left" vertical="top" wrapText="1" indent="1"/>
    </xf>
    <xf numFmtId="0" fontId="2" fillId="3" borderId="0" xfId="0" applyFont="1" applyFill="1" applyAlignment="1">
      <alignment horizontal="left" vertical="center" indent="1"/>
    </xf>
    <xf numFmtId="0" fontId="21" fillId="0" borderId="0" xfId="0" applyFont="1" applyAlignment="1">
      <alignment horizontal="left" vertical="top" wrapText="1" indent="1"/>
    </xf>
    <xf numFmtId="0" fontId="22"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hyperlink" Target="mailto:rrsupport@getgsi.com?subject=RapidReconciler%20Analyzer%20review&amp;body=Hi%2C%0A%0APlease%20review%20the%20attached%20workbook.%20I&apos;ve%20added%20observations%20on%20the%20Notes%20tab.%0A%0AThan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74"/>
  <sheetViews>
    <sheetView workbookViewId="0" showGridLines="0">
      <pane ySplit="17" topLeftCell="A18" activePane="bottomLeft" state="frozen"/>
      <selection pane="bottomLeft"/>
    </sheetView>
  </sheetViews>
  <sheetFormatPr defaultRowHeight="15" outlineLevelRow="0" outlineLevelCol="0" x14ac:dyDescent="55"/>
  <cols>
    <col min="1" max="1" width="8" customWidth="1"/>
    <col min="2" max="2" width="22" hidden="1" customWidth="1"/>
    <col min="3" max="3" width="12" customWidth="1"/>
    <col min="4" max="4" width="15" customWidth="1"/>
    <col min="5" max="5" width="10" customWidth="1"/>
    <col min="6" max="6" width="46" customWidth="1"/>
    <col min="7" max="7" width="18" customWidth="1"/>
    <col min="8" max="8" width="20" customWidth="1"/>
    <col min="9" max="9" width="22" customWidth="1"/>
    <col min="10" max="10" width="16" customWidth="1"/>
    <col min="11" max="11" width="24" customWidth="1"/>
    <col min="12" max="12" width="12" customWidth="1"/>
  </cols>
  <sheetData>
    <row r="1" ht="6" customHeight="1" spans="1:5" x14ac:dyDescent="0.25">
      <c r="A1" s="1"/>
      <c r="B1" s="1"/>
      <c r="C1" s="1"/>
      <c r="D1" s="1"/>
      <c r="E1" s="1"/>
    </row>
    <row r="2" ht="38" customHeight="1" spans="1:12" x14ac:dyDescent="0.25">
      <c r="A2" s="2" t="s">
        <v>0</v>
      </c>
      <c r="B2" s="2"/>
      <c r="C2" s="2"/>
      <c r="D2" s="2"/>
      <c r="E2" s="2"/>
      <c r="F2" s="2"/>
      <c r="G2" s="2"/>
      <c r="H2" s="2"/>
      <c r="I2" s="2"/>
      <c r="J2" s="2"/>
      <c r="K2" s="2"/>
      <c r="L2" s="2"/>
    </row>
    <row r="3" ht="24" customHeight="1" spans="1:12" x14ac:dyDescent="0.25">
      <c r="A3" s="3" t="s">
        <v>1</v>
      </c>
      <c r="B3" s="3"/>
      <c r="C3" s="3"/>
      <c r="D3" s="3"/>
      <c r="E3" s="3"/>
      <c r="F3" s="3"/>
      <c r="G3" s="3"/>
      <c r="H3" s="3"/>
      <c r="I3" s="3"/>
      <c r="J3" s="3"/>
      <c r="K3" s="3"/>
      <c r="L3" s="3"/>
    </row>
    <row r="4" ht="18" customHeight="1" spans="1:12" x14ac:dyDescent="0.25">
      <c r="A4" s="4" t="s">
        <v>2</v>
      </c>
      <c r="B4" s="4"/>
      <c r="C4" s="4"/>
      <c r="D4" s="4"/>
      <c r="E4" s="4"/>
      <c r="F4" s="4"/>
      <c r="G4" s="4"/>
      <c r="H4" s="4"/>
      <c r="I4" s="4"/>
      <c r="J4" s="4"/>
      <c r="K4" s="4"/>
      <c r="L4" s="4"/>
    </row>
    <row r="5" ht="10" customHeight="1" x14ac:dyDescent="0.25"/>
    <row r="6" ht="26" customHeight="1" spans="1:12" x14ac:dyDescent="0.25">
      <c r="A6" s="5" t="s">
        <v>3</v>
      </c>
      <c r="B6" s="5"/>
      <c r="C6" s="5"/>
      <c r="D6" s="5"/>
      <c r="E6" s="5"/>
      <c r="F6" s="5"/>
      <c r="G6" s="5"/>
      <c r="H6" s="5"/>
      <c r="I6" s="5"/>
      <c r="J6" s="5"/>
      <c r="K6" s="5"/>
      <c r="L6" s="5"/>
    </row>
    <row r="7" ht="22" customHeight="1" hidden="1" spans="1:12" x14ac:dyDescent="0.25" outlineLevel="1" collapsed="1">
      <c r="A7" s="6" t="s">
        <v>4</v>
      </c>
      <c r="B7" s="6"/>
      <c r="C7" s="6"/>
      <c r="D7" s="6"/>
      <c r="E7" s="6"/>
      <c r="F7" s="6"/>
      <c r="G7" s="6"/>
      <c r="H7" s="6"/>
      <c r="I7" s="6"/>
      <c r="J7" s="6"/>
      <c r="K7" s="6"/>
      <c r="L7" s="6"/>
    </row>
    <row r="8" ht="36" customHeight="1" hidden="1" spans="1:12" x14ac:dyDescent="0.25" outlineLevel="1" collapsed="1">
      <c r="A8" s="6" t="s">
        <v>5</v>
      </c>
      <c r="B8" s="6"/>
      <c r="C8" s="6"/>
      <c r="D8" s="6"/>
      <c r="E8" s="6"/>
      <c r="F8" s="6"/>
      <c r="G8" s="6"/>
      <c r="H8" s="6"/>
      <c r="I8" s="6"/>
      <c r="J8" s="6"/>
      <c r="K8" s="6"/>
      <c r="L8" s="6"/>
    </row>
    <row r="9" ht="22" customHeight="1" hidden="1" spans="1:12" x14ac:dyDescent="0.25" outlineLevel="1" collapsed="1">
      <c r="A9" s="6" t="s">
        <v>6</v>
      </c>
      <c r="B9" s="6"/>
      <c r="C9" s="6"/>
      <c r="D9" s="6"/>
      <c r="E9" s="6"/>
      <c r="F9" s="6"/>
      <c r="G9" s="6"/>
      <c r="H9" s="6"/>
      <c r="I9" s="6"/>
      <c r="J9" s="6"/>
      <c r="K9" s="6"/>
      <c r="L9" s="6"/>
    </row>
    <row r="10" ht="22" customHeight="1" hidden="1" spans="1:12" x14ac:dyDescent="0.25" outlineLevel="1" collapsed="1">
      <c r="A10" s="6" t="s">
        <v>7</v>
      </c>
      <c r="B10" s="6"/>
      <c r="C10" s="6"/>
      <c r="D10" s="6"/>
      <c r="E10" s="6"/>
      <c r="F10" s="6"/>
      <c r="G10" s="6"/>
      <c r="H10" s="6"/>
      <c r="I10" s="6"/>
      <c r="J10" s="6"/>
      <c r="K10" s="6"/>
      <c r="L10" s="6"/>
    </row>
    <row r="11" ht="22" customHeight="1" hidden="1" spans="1:12" x14ac:dyDescent="0.25" outlineLevel="1" collapsed="1">
      <c r="A11" s="6" t="s">
        <v>8</v>
      </c>
      <c r="B11" s="6"/>
      <c r="C11" s="6"/>
      <c r="D11" s="6"/>
      <c r="E11" s="6"/>
      <c r="F11" s="6"/>
      <c r="G11" s="6"/>
      <c r="H11" s="6"/>
      <c r="I11" s="6"/>
      <c r="J11" s="6"/>
      <c r="K11" s="6"/>
      <c r="L11" s="6"/>
    </row>
    <row r="12" ht="51" customHeight="1" hidden="1" spans="1:12" x14ac:dyDescent="0.25" outlineLevel="1" collapsed="1">
      <c r="A12" s="6" t="s">
        <v>9</v>
      </c>
      <c r="B12" s="6"/>
      <c r="C12" s="6"/>
      <c r="D12" s="6"/>
      <c r="E12" s="6"/>
      <c r="F12" s="6"/>
      <c r="G12" s="6"/>
      <c r="H12" s="6"/>
      <c r="I12" s="6"/>
      <c r="J12" s="6"/>
      <c r="K12" s="6"/>
      <c r="L12" s="6"/>
    </row>
    <row r="13" ht="8" customHeight="1" x14ac:dyDescent="0.25"/>
    <row r="14" ht="91" customHeight="1" spans="1:12" x14ac:dyDescent="0.25">
      <c r="A14" s="7" t="s">
        <v>10</v>
      </c>
      <c r="B14" s="7"/>
      <c r="C14" s="7"/>
      <c r="D14" s="7"/>
      <c r="E14" s="7"/>
      <c r="F14" s="7"/>
      <c r="G14" s="7"/>
      <c r="H14" s="7"/>
      <c r="I14" s="7"/>
      <c r="J14" s="7"/>
      <c r="K14" s="7"/>
      <c r="L14" s="7"/>
    </row>
    <row r="15" ht="8" customHeight="1" x14ac:dyDescent="0.25"/>
    <row r="16" ht="28" customHeight="1" spans="1:12" x14ac:dyDescent="0.25">
      <c r="A16" s="5" t="s">
        <v>11</v>
      </c>
      <c r="B16" s="5"/>
      <c r="C16" s="5"/>
      <c r="D16" s="5"/>
      <c r="E16" s="5"/>
      <c r="F16" s="5"/>
      <c r="G16" s="5"/>
      <c r="H16" s="5"/>
      <c r="I16" s="5"/>
      <c r="J16" s="5"/>
      <c r="K16" s="5"/>
      <c r="L16" s="5"/>
    </row>
    <row r="17" ht="22" customHeight="1" spans="1:12" x14ac:dyDescent="0.25">
      <c r="A17" s="8" t="s">
        <v>12</v>
      </c>
      <c r="B17" s="8" t="s">
        <v>13</v>
      </c>
      <c r="C17" s="8" t="s">
        <v>14</v>
      </c>
      <c r="D17" s="8" t="s">
        <v>15</v>
      </c>
      <c r="E17" s="8" t="s">
        <v>16</v>
      </c>
      <c r="F17" s="8" t="s">
        <v>17</v>
      </c>
      <c r="G17" s="8" t="s">
        <v>18</v>
      </c>
      <c r="H17" s="8" t="s">
        <v>19</v>
      </c>
      <c r="I17" s="8" t="s">
        <v>20</v>
      </c>
      <c r="J17" s="8" t="s">
        <v>21</v>
      </c>
      <c r="K17" s="8" t="s">
        <v>22</v>
      </c>
      <c r="L17" s="8" t="s">
        <v>23</v>
      </c>
    </row>
    <row r="18" ht="76" customHeight="1" spans="1:12" x14ac:dyDescent="0.25">
      <c r="A18" s="9" t="s">
        <v>24</v>
      </c>
      <c r="B18" s="10" t="s">
        <v>25</v>
      </c>
      <c r="C18" s="11" t="s">
        <v>26</v>
      </c>
      <c r="D18" s="11" t="s">
        <v>27</v>
      </c>
      <c r="E18" s="11" t="s">
        <v>28</v>
      </c>
      <c r="F18" s="12" t="s">
        <v>29</v>
      </c>
      <c r="G18" s="12" t="s">
        <v>30</v>
      </c>
      <c r="H18" s="12" t="s">
        <v>31</v>
      </c>
      <c r="I18" s="13" t="str">
        <f>HYPERLINK("#'Sales'!A1","Sales tab → ST section → FLOW NOTE")</f>
        <v>Sales tab → ST section → FLOW NOTE</v>
      </c>
      <c r="J18" s="12" t="s">
        <v>32</v>
      </c>
      <c r="K18" s="12" t="s">
        <v>32</v>
      </c>
      <c r="L18" s="14" t="s">
        <v>33</v>
      </c>
    </row>
    <row r="19" ht="62" customHeight="1" spans="1:12" x14ac:dyDescent="0.25">
      <c r="A19" s="9" t="s">
        <v>34</v>
      </c>
      <c r="B19" s="15" t="s">
        <v>35</v>
      </c>
      <c r="C19" s="16" t="s">
        <v>26</v>
      </c>
      <c r="D19" s="16" t="s">
        <v>36</v>
      </c>
      <c r="E19" s="16" t="s">
        <v>28</v>
      </c>
      <c r="F19" s="17" t="s">
        <v>37</v>
      </c>
      <c r="G19" s="17" t="s">
        <v>38</v>
      </c>
      <c r="H19" s="17" t="s">
        <v>39</v>
      </c>
      <c r="I19" s="18" t="str">
        <f>HYPERLINK("#'Inventory'!A1","Inventory tab → find AAIs 4122/4124")</f>
        <v>Inventory tab → find AAIs 4122/4124</v>
      </c>
      <c r="J19" s="17" t="s">
        <v>32</v>
      </c>
      <c r="K19" s="17" t="s">
        <v>32</v>
      </c>
      <c r="L19" s="19" t="s">
        <v>33</v>
      </c>
    </row>
    <row r="20" ht="62" customHeight="1" spans="1:12" x14ac:dyDescent="0.25">
      <c r="A20" s="9" t="s">
        <v>40</v>
      </c>
      <c r="B20" s="10" t="s">
        <v>41</v>
      </c>
      <c r="C20" s="11" t="s">
        <v>26</v>
      </c>
      <c r="D20" s="11" t="s">
        <v>36</v>
      </c>
      <c r="E20" s="11" t="s">
        <v>28</v>
      </c>
      <c r="F20" s="12" t="s">
        <v>42</v>
      </c>
      <c r="G20" s="12" t="s">
        <v>43</v>
      </c>
      <c r="H20" s="12" t="s">
        <v>44</v>
      </c>
      <c r="I20" s="13" t="str">
        <f>HYPERLINK("#'Inventory'!A1","Inventory tab → find AAIs 4152/4154")</f>
        <v>Inventory tab → find AAIs 4152/4154</v>
      </c>
      <c r="J20" s="12" t="s">
        <v>32</v>
      </c>
      <c r="K20" s="12" t="s">
        <v>32</v>
      </c>
      <c r="L20" s="14" t="s">
        <v>33</v>
      </c>
    </row>
    <row r="21" ht="62" customHeight="1" spans="1:12" x14ac:dyDescent="0.25">
      <c r="A21" s="9" t="s">
        <v>45</v>
      </c>
      <c r="B21" s="15" t="s">
        <v>46</v>
      </c>
      <c r="C21" s="16" t="s">
        <v>26</v>
      </c>
      <c r="D21" s="16" t="s">
        <v>36</v>
      </c>
      <c r="E21" s="16" t="s">
        <v>28</v>
      </c>
      <c r="F21" s="17" t="s">
        <v>47</v>
      </c>
      <c r="G21" s="17" t="s">
        <v>48</v>
      </c>
      <c r="H21" s="17" t="s">
        <v>49</v>
      </c>
      <c r="I21" s="18" t="str">
        <f>HYPERLINK("#'Inventory'!A1","Inventory tab → find AAIs 4162/4164")</f>
        <v>Inventory tab → find AAIs 4162/4164</v>
      </c>
      <c r="J21" s="17" t="s">
        <v>32</v>
      </c>
      <c r="K21" s="17" t="s">
        <v>32</v>
      </c>
      <c r="L21" s="19" t="s">
        <v>33</v>
      </c>
    </row>
    <row r="22" ht="62" customHeight="1" spans="1:12" x14ac:dyDescent="0.25">
      <c r="A22" s="9" t="s">
        <v>50</v>
      </c>
      <c r="B22" s="10" t="s">
        <v>51</v>
      </c>
      <c r="C22" s="11" t="s">
        <v>26</v>
      </c>
      <c r="D22" s="11" t="s">
        <v>36</v>
      </c>
      <c r="E22" s="11" t="s">
        <v>52</v>
      </c>
      <c r="F22" s="12" t="s">
        <v>37</v>
      </c>
      <c r="G22" s="12" t="s">
        <v>38</v>
      </c>
      <c r="H22" s="12" t="s">
        <v>39</v>
      </c>
      <c r="I22" s="13" t="str">
        <f>HYPERLINK("#'Inventory'!A1","Inventory tab → find AAIs 4122/4124")</f>
        <v>Inventory tab → find AAIs 4122/4124</v>
      </c>
      <c r="J22" s="12" t="s">
        <v>32</v>
      </c>
      <c r="K22" s="12" t="s">
        <v>32</v>
      </c>
      <c r="L22" s="14" t="s">
        <v>33</v>
      </c>
    </row>
    <row r="23" ht="62" customHeight="1" spans="1:12" x14ac:dyDescent="0.25">
      <c r="A23" s="9" t="s">
        <v>53</v>
      </c>
      <c r="B23" s="15" t="s">
        <v>54</v>
      </c>
      <c r="C23" s="16" t="s">
        <v>26</v>
      </c>
      <c r="D23" s="16" t="s">
        <v>36</v>
      </c>
      <c r="E23" s="16" t="s">
        <v>52</v>
      </c>
      <c r="F23" s="17" t="s">
        <v>42</v>
      </c>
      <c r="G23" s="17" t="s">
        <v>43</v>
      </c>
      <c r="H23" s="17" t="s">
        <v>44</v>
      </c>
      <c r="I23" s="18" t="str">
        <f>HYPERLINK("#'Inventory'!A1","Inventory tab → find AAIs 4152/4154")</f>
        <v>Inventory tab → find AAIs 4152/4154</v>
      </c>
      <c r="J23" s="17" t="s">
        <v>32</v>
      </c>
      <c r="K23" s="17" t="s">
        <v>32</v>
      </c>
      <c r="L23" s="19" t="s">
        <v>33</v>
      </c>
    </row>
    <row r="24" ht="62" customHeight="1" spans="1:12" x14ac:dyDescent="0.25">
      <c r="A24" s="9" t="s">
        <v>55</v>
      </c>
      <c r="B24" s="10" t="s">
        <v>56</v>
      </c>
      <c r="C24" s="11" t="s">
        <v>26</v>
      </c>
      <c r="D24" s="11" t="s">
        <v>36</v>
      </c>
      <c r="E24" s="11" t="s">
        <v>52</v>
      </c>
      <c r="F24" s="12" t="s">
        <v>47</v>
      </c>
      <c r="G24" s="12" t="s">
        <v>48</v>
      </c>
      <c r="H24" s="12" t="s">
        <v>49</v>
      </c>
      <c r="I24" s="13" t="str">
        <f>HYPERLINK("#'Inventory'!A1","Inventory tab → find AAIs 4162/4164")</f>
        <v>Inventory tab → find AAIs 4162/4164</v>
      </c>
      <c r="J24" s="12" t="s">
        <v>32</v>
      </c>
      <c r="K24" s="12" t="s">
        <v>32</v>
      </c>
      <c r="L24" s="14" t="s">
        <v>33</v>
      </c>
    </row>
    <row r="25" ht="62" customHeight="1" spans="1:12" x14ac:dyDescent="0.25">
      <c r="A25" s="9" t="s">
        <v>57</v>
      </c>
      <c r="B25" s="15" t="s">
        <v>58</v>
      </c>
      <c r="C25" s="16" t="s">
        <v>26</v>
      </c>
      <c r="D25" s="16" t="s">
        <v>27</v>
      </c>
      <c r="E25" s="16" t="s">
        <v>59</v>
      </c>
      <c r="F25" s="17" t="s">
        <v>60</v>
      </c>
      <c r="G25" s="17" t="s">
        <v>61</v>
      </c>
      <c r="H25" s="17" t="s">
        <v>62</v>
      </c>
      <c r="I25" s="18" t="str">
        <f>HYPERLINK("#'Sales'!A1","Sales tab → find AAIs 4240/4220")</f>
        <v>Sales tab → find AAIs 4240/4220</v>
      </c>
      <c r="J25" s="17" t="s">
        <v>32</v>
      </c>
      <c r="K25" s="17" t="s">
        <v>32</v>
      </c>
      <c r="L25" s="19" t="s">
        <v>33</v>
      </c>
    </row>
    <row r="26" ht="62" customHeight="1" spans="1:12" x14ac:dyDescent="0.25">
      <c r="A26" s="9" t="s">
        <v>63</v>
      </c>
      <c r="B26" s="10" t="s">
        <v>64</v>
      </c>
      <c r="C26" s="11" t="s">
        <v>26</v>
      </c>
      <c r="D26" s="11" t="s">
        <v>65</v>
      </c>
      <c r="E26" s="11" t="s">
        <v>59</v>
      </c>
      <c r="F26" s="12" t="s">
        <v>66</v>
      </c>
      <c r="G26" s="12" t="s">
        <v>67</v>
      </c>
      <c r="H26" s="12" t="s">
        <v>44</v>
      </c>
      <c r="I26" s="13" t="str">
        <f>HYPERLINK("#'Purchasing'!A1","Purchasing tab → find AAIs 4310/4320")</f>
        <v>Purchasing tab → find AAIs 4310/4320</v>
      </c>
      <c r="J26" s="12" t="s">
        <v>32</v>
      </c>
      <c r="K26" s="12" t="s">
        <v>32</v>
      </c>
      <c r="L26" s="14" t="s">
        <v>33</v>
      </c>
    </row>
    <row r="27" ht="62" customHeight="1" spans="1:12" x14ac:dyDescent="0.25">
      <c r="A27" s="9" t="s">
        <v>68</v>
      </c>
      <c r="B27" s="15" t="s">
        <v>69</v>
      </c>
      <c r="C27" s="16" t="s">
        <v>26</v>
      </c>
      <c r="D27" s="16" t="s">
        <v>27</v>
      </c>
      <c r="E27" s="16" t="s">
        <v>70</v>
      </c>
      <c r="F27" s="17" t="s">
        <v>60</v>
      </c>
      <c r="G27" s="17" t="s">
        <v>61</v>
      </c>
      <c r="H27" s="17" t="s">
        <v>62</v>
      </c>
      <c r="I27" s="18" t="str">
        <f>HYPERLINK("#'Sales'!A1","Sales tab → find AAIs 4240/4220")</f>
        <v>Sales tab → find AAIs 4240/4220</v>
      </c>
      <c r="J27" s="17" t="s">
        <v>32</v>
      </c>
      <c r="K27" s="17" t="s">
        <v>32</v>
      </c>
      <c r="L27" s="19" t="s">
        <v>33</v>
      </c>
    </row>
    <row r="28" ht="62" customHeight="1" spans="1:12" x14ac:dyDescent="0.25">
      <c r="A28" s="9" t="s">
        <v>71</v>
      </c>
      <c r="B28" s="10" t="s">
        <v>72</v>
      </c>
      <c r="C28" s="11" t="s">
        <v>26</v>
      </c>
      <c r="D28" s="11" t="s">
        <v>65</v>
      </c>
      <c r="E28" s="11" t="s">
        <v>70</v>
      </c>
      <c r="F28" s="12" t="s">
        <v>66</v>
      </c>
      <c r="G28" s="12" t="s">
        <v>67</v>
      </c>
      <c r="H28" s="12" t="s">
        <v>44</v>
      </c>
      <c r="I28" s="13" t="str">
        <f>HYPERLINK("#'Purchasing'!A1","Purchasing tab → find AAIs 4310/4320")</f>
        <v>Purchasing tab → find AAIs 4310/4320</v>
      </c>
      <c r="J28" s="12" t="s">
        <v>32</v>
      </c>
      <c r="K28" s="12" t="s">
        <v>32</v>
      </c>
      <c r="L28" s="14" t="s">
        <v>33</v>
      </c>
    </row>
    <row r="29" ht="62" customHeight="1" spans="1:12" x14ac:dyDescent="0.25">
      <c r="A29" s="9" t="s">
        <v>73</v>
      </c>
      <c r="B29" s="15" t="s">
        <v>74</v>
      </c>
      <c r="C29" s="16" t="s">
        <v>26</v>
      </c>
      <c r="D29" s="16" t="s">
        <v>27</v>
      </c>
      <c r="E29" s="16" t="s">
        <v>75</v>
      </c>
      <c r="F29" s="17" t="s">
        <v>60</v>
      </c>
      <c r="G29" s="17" t="s">
        <v>61</v>
      </c>
      <c r="H29" s="17" t="s">
        <v>62</v>
      </c>
      <c r="I29" s="18" t="str">
        <f>HYPERLINK("#'Sales'!A1","Sales tab → find AAIs 4240/4220")</f>
        <v>Sales tab → find AAIs 4240/4220</v>
      </c>
      <c r="J29" s="17" t="s">
        <v>32</v>
      </c>
      <c r="K29" s="17" t="s">
        <v>32</v>
      </c>
      <c r="L29" s="19" t="s">
        <v>33</v>
      </c>
    </row>
    <row r="30" ht="62" customHeight="1" spans="1:12" x14ac:dyDescent="0.25">
      <c r="A30" s="9" t="s">
        <v>76</v>
      </c>
      <c r="B30" s="10" t="s">
        <v>77</v>
      </c>
      <c r="C30" s="11" t="s">
        <v>26</v>
      </c>
      <c r="D30" s="11" t="s">
        <v>65</v>
      </c>
      <c r="E30" s="11" t="s">
        <v>75</v>
      </c>
      <c r="F30" s="12" t="s">
        <v>66</v>
      </c>
      <c r="G30" s="12" t="s">
        <v>67</v>
      </c>
      <c r="H30" s="12" t="s">
        <v>44</v>
      </c>
      <c r="I30" s="13" t="str">
        <f>HYPERLINK("#'Purchasing'!A1","Purchasing tab → find AAIs 4310/4320")</f>
        <v>Purchasing tab → find AAIs 4310/4320</v>
      </c>
      <c r="J30" s="12" t="s">
        <v>32</v>
      </c>
      <c r="K30" s="12" t="s">
        <v>32</v>
      </c>
      <c r="L30" s="14" t="s">
        <v>33</v>
      </c>
    </row>
    <row r="31" ht="62" customHeight="1" spans="1:12" x14ac:dyDescent="0.25">
      <c r="A31" s="9" t="s">
        <v>78</v>
      </c>
      <c r="B31" s="15" t="s">
        <v>79</v>
      </c>
      <c r="C31" s="16" t="s">
        <v>26</v>
      </c>
      <c r="D31" s="16" t="s">
        <v>36</v>
      </c>
      <c r="E31" s="16" t="s">
        <v>80</v>
      </c>
      <c r="F31" s="17" t="s">
        <v>37</v>
      </c>
      <c r="G31" s="17" t="s">
        <v>38</v>
      </c>
      <c r="H31" s="17" t="s">
        <v>39</v>
      </c>
      <c r="I31" s="18" t="str">
        <f>HYPERLINK("#'Inventory'!A1","Inventory tab → find AAIs 4122/4124")</f>
        <v>Inventory tab → find AAIs 4122/4124</v>
      </c>
      <c r="J31" s="17" t="s">
        <v>32</v>
      </c>
      <c r="K31" s="17" t="s">
        <v>32</v>
      </c>
      <c r="L31" s="19" t="s">
        <v>33</v>
      </c>
    </row>
    <row r="32" ht="62" customHeight="1" spans="1:12" x14ac:dyDescent="0.25">
      <c r="A32" s="9" t="s">
        <v>81</v>
      </c>
      <c r="B32" s="10" t="s">
        <v>82</v>
      </c>
      <c r="C32" s="11" t="s">
        <v>26</v>
      </c>
      <c r="D32" s="11" t="s">
        <v>36</v>
      </c>
      <c r="E32" s="11" t="s">
        <v>80</v>
      </c>
      <c r="F32" s="12" t="s">
        <v>42</v>
      </c>
      <c r="G32" s="12" t="s">
        <v>43</v>
      </c>
      <c r="H32" s="12" t="s">
        <v>44</v>
      </c>
      <c r="I32" s="13" t="str">
        <f>HYPERLINK("#'Inventory'!A1","Inventory tab → find AAIs 4152/4154")</f>
        <v>Inventory tab → find AAIs 4152/4154</v>
      </c>
      <c r="J32" s="12" t="s">
        <v>32</v>
      </c>
      <c r="K32" s="12" t="s">
        <v>32</v>
      </c>
      <c r="L32" s="14" t="s">
        <v>33</v>
      </c>
    </row>
    <row r="33" ht="62" customHeight="1" spans="1:12" x14ac:dyDescent="0.25">
      <c r="A33" s="9" t="s">
        <v>83</v>
      </c>
      <c r="B33" s="15" t="s">
        <v>84</v>
      </c>
      <c r="C33" s="16" t="s">
        <v>26</v>
      </c>
      <c r="D33" s="16" t="s">
        <v>36</v>
      </c>
      <c r="E33" s="16" t="s">
        <v>80</v>
      </c>
      <c r="F33" s="17" t="s">
        <v>47</v>
      </c>
      <c r="G33" s="17" t="s">
        <v>48</v>
      </c>
      <c r="H33" s="17" t="s">
        <v>49</v>
      </c>
      <c r="I33" s="18" t="str">
        <f>HYPERLINK("#'Inventory'!A1","Inventory tab → find AAIs 4162/4164")</f>
        <v>Inventory tab → find AAIs 4162/4164</v>
      </c>
      <c r="J33" s="17" t="s">
        <v>32</v>
      </c>
      <c r="K33" s="17" t="s">
        <v>32</v>
      </c>
      <c r="L33" s="19" t="s">
        <v>33</v>
      </c>
    </row>
    <row r="34" ht="76" customHeight="1" spans="1:12" x14ac:dyDescent="0.25">
      <c r="A34" s="20" t="s">
        <v>85</v>
      </c>
      <c r="B34" s="10" t="s">
        <v>86</v>
      </c>
      <c r="C34" s="11" t="s">
        <v>87</v>
      </c>
      <c r="D34" s="11" t="s">
        <v>27</v>
      </c>
      <c r="E34" s="11" t="s">
        <v>28</v>
      </c>
      <c r="F34" s="12" t="s">
        <v>88</v>
      </c>
      <c r="G34" s="12" t="s">
        <v>89</v>
      </c>
      <c r="H34" s="12" t="s">
        <v>90</v>
      </c>
      <c r="I34" s="13" t="str">
        <f>HYPERLINK("#'Sales'!A1","Sales tab → find AAI pair 4240/4220")</f>
        <v>Sales tab → find AAI pair 4240/4220</v>
      </c>
      <c r="J34" s="12" t="s">
        <v>32</v>
      </c>
      <c r="K34" s="12" t="s">
        <v>32</v>
      </c>
      <c r="L34" s="14" t="s">
        <v>33</v>
      </c>
    </row>
    <row r="35" ht="76" customHeight="1" spans="1:12" x14ac:dyDescent="0.25">
      <c r="A35" s="20" t="s">
        <v>91</v>
      </c>
      <c r="B35" s="15" t="s">
        <v>92</v>
      </c>
      <c r="C35" s="16" t="s">
        <v>87</v>
      </c>
      <c r="D35" s="16" t="s">
        <v>27</v>
      </c>
      <c r="E35" s="16" t="s">
        <v>28</v>
      </c>
      <c r="F35" s="17" t="s">
        <v>93</v>
      </c>
      <c r="G35" s="17" t="s">
        <v>94</v>
      </c>
      <c r="H35" s="17" t="s">
        <v>95</v>
      </c>
      <c r="I35" s="18" t="str">
        <f>HYPERLINK("#'Sales'!A1","Sales tab → find AAI pair 4240/4220")</f>
        <v>Sales tab → find AAI pair 4240/4220</v>
      </c>
      <c r="J35" s="17" t="s">
        <v>32</v>
      </c>
      <c r="K35" s="17" t="s">
        <v>32</v>
      </c>
      <c r="L35" s="19" t="s">
        <v>33</v>
      </c>
    </row>
    <row r="36" ht="90" customHeight="1" spans="1:12" x14ac:dyDescent="0.25">
      <c r="A36" s="20" t="s">
        <v>96</v>
      </c>
      <c r="B36" s="10" t="s">
        <v>97</v>
      </c>
      <c r="C36" s="11" t="s">
        <v>87</v>
      </c>
      <c r="D36" s="11" t="s">
        <v>27</v>
      </c>
      <c r="E36" s="11" t="s">
        <v>28</v>
      </c>
      <c r="F36" s="12" t="s">
        <v>98</v>
      </c>
      <c r="G36" s="12" t="s">
        <v>99</v>
      </c>
      <c r="H36" s="12" t="s">
        <v>100</v>
      </c>
      <c r="I36" s="13" t="str">
        <f>HYPERLINK("#'JDE Data'!A1","JDE Data tab → filter Co=10, AAI=4220, GL=HTSP")</f>
        <v>JDE Data tab → filter Co=10, AAI=4220, GL=HTSP</v>
      </c>
      <c r="J36" s="12" t="s">
        <v>32</v>
      </c>
      <c r="K36" s="12" t="s">
        <v>32</v>
      </c>
      <c r="L36" s="14" t="s">
        <v>33</v>
      </c>
    </row>
    <row r="37" ht="90" customHeight="1" spans="1:12" x14ac:dyDescent="0.25">
      <c r="A37" s="20" t="s">
        <v>101</v>
      </c>
      <c r="B37" s="15" t="s">
        <v>102</v>
      </c>
      <c r="C37" s="16" t="s">
        <v>87</v>
      </c>
      <c r="D37" s="16" t="s">
        <v>27</v>
      </c>
      <c r="E37" s="16" t="s">
        <v>28</v>
      </c>
      <c r="F37" s="17" t="s">
        <v>103</v>
      </c>
      <c r="G37" s="17" t="s">
        <v>99</v>
      </c>
      <c r="H37" s="17" t="s">
        <v>104</v>
      </c>
      <c r="I37" s="18" t="str">
        <f>HYPERLINK("#'JDE Data'!A1","JDE Data tab → filter Co=10, AAI=4220, GL=NS40")</f>
        <v>JDE Data tab → filter Co=10, AAI=4220, GL=NS40</v>
      </c>
      <c r="J37" s="17" t="s">
        <v>32</v>
      </c>
      <c r="K37" s="17" t="s">
        <v>32</v>
      </c>
      <c r="L37" s="19" t="s">
        <v>33</v>
      </c>
    </row>
    <row r="38" ht="90" customHeight="1" spans="1:12" x14ac:dyDescent="0.25">
      <c r="A38" s="20" t="s">
        <v>105</v>
      </c>
      <c r="B38" s="10" t="s">
        <v>106</v>
      </c>
      <c r="C38" s="11" t="s">
        <v>87</v>
      </c>
      <c r="D38" s="11" t="s">
        <v>27</v>
      </c>
      <c r="E38" s="11" t="s">
        <v>28</v>
      </c>
      <c r="F38" s="12" t="s">
        <v>107</v>
      </c>
      <c r="G38" s="12" t="s">
        <v>99</v>
      </c>
      <c r="H38" s="12" t="s">
        <v>108</v>
      </c>
      <c r="I38" s="13" t="str">
        <f>HYPERLINK("#'JDE Data'!A1","JDE Data tab → filter Co=10, AAI=4220, GL=SUPP")</f>
        <v>JDE Data tab → filter Co=10, AAI=4220, GL=SUPP</v>
      </c>
      <c r="J38" s="12" t="s">
        <v>32</v>
      </c>
      <c r="K38" s="12" t="s">
        <v>32</v>
      </c>
      <c r="L38" s="14" t="s">
        <v>33</v>
      </c>
    </row>
    <row r="39" ht="90" customHeight="1" spans="1:12" x14ac:dyDescent="0.25">
      <c r="A39" s="20" t="s">
        <v>109</v>
      </c>
      <c r="B39" s="15" t="s">
        <v>110</v>
      </c>
      <c r="C39" s="16" t="s">
        <v>87</v>
      </c>
      <c r="D39" s="16" t="s">
        <v>27</v>
      </c>
      <c r="E39" s="16" t="s">
        <v>28</v>
      </c>
      <c r="F39" s="17" t="s">
        <v>111</v>
      </c>
      <c r="G39" s="17" t="s">
        <v>112</v>
      </c>
      <c r="H39" s="17" t="s">
        <v>113</v>
      </c>
      <c r="I39" s="18" t="str">
        <f>HYPERLINK("#'JDE Data'!A1","JDE Data tab → filter Co=10, AAI=4220, GL=TDM1")</f>
        <v>JDE Data tab → filter Co=10, AAI=4220, GL=TDM1</v>
      </c>
      <c r="J39" s="17" t="s">
        <v>32</v>
      </c>
      <c r="K39" s="17" t="s">
        <v>32</v>
      </c>
      <c r="L39" s="19" t="s">
        <v>33</v>
      </c>
    </row>
    <row r="40" ht="90" customHeight="1" spans="1:12" x14ac:dyDescent="0.25">
      <c r="A40" s="20" t="s">
        <v>114</v>
      </c>
      <c r="B40" s="10" t="s">
        <v>115</v>
      </c>
      <c r="C40" s="11" t="s">
        <v>87</v>
      </c>
      <c r="D40" s="11" t="s">
        <v>27</v>
      </c>
      <c r="E40" s="11" t="s">
        <v>28</v>
      </c>
      <c r="F40" s="12" t="s">
        <v>116</v>
      </c>
      <c r="G40" s="12" t="s">
        <v>112</v>
      </c>
      <c r="H40" s="12" t="s">
        <v>117</v>
      </c>
      <c r="I40" s="13" t="str">
        <f>HYPERLINK("#'JDE Data'!A1","JDE Data tab → filter Co=10, AAI=4220, GL=TDM2")</f>
        <v>JDE Data tab → filter Co=10, AAI=4220, GL=TDM2</v>
      </c>
      <c r="J40" s="12" t="s">
        <v>32</v>
      </c>
      <c r="K40" s="12" t="s">
        <v>32</v>
      </c>
      <c r="L40" s="14" t="s">
        <v>33</v>
      </c>
    </row>
    <row r="41" ht="90" customHeight="1" spans="1:12" x14ac:dyDescent="0.25">
      <c r="A41" s="20" t="s">
        <v>118</v>
      </c>
      <c r="B41" s="15" t="s">
        <v>119</v>
      </c>
      <c r="C41" s="16" t="s">
        <v>87</v>
      </c>
      <c r="D41" s="16" t="s">
        <v>27</v>
      </c>
      <c r="E41" s="16" t="s">
        <v>28</v>
      </c>
      <c r="F41" s="17" t="s">
        <v>120</v>
      </c>
      <c r="G41" s="17" t="s">
        <v>112</v>
      </c>
      <c r="H41" s="17" t="s">
        <v>121</v>
      </c>
      <c r="I41" s="18" t="str">
        <f>HYPERLINK("#'JDE Data'!A1","JDE Data tab → filter Co=10, AAI=4220, GL=TOOL")</f>
        <v>JDE Data tab → filter Co=10, AAI=4220, GL=TOOL</v>
      </c>
      <c r="J41" s="17" t="s">
        <v>32</v>
      </c>
      <c r="K41" s="17" t="s">
        <v>32</v>
      </c>
      <c r="L41" s="19" t="s">
        <v>33</v>
      </c>
    </row>
    <row r="42" ht="90" customHeight="1" spans="1:12" x14ac:dyDescent="0.25">
      <c r="A42" s="20" t="s">
        <v>122</v>
      </c>
      <c r="B42" s="10" t="s">
        <v>123</v>
      </c>
      <c r="C42" s="11" t="s">
        <v>87</v>
      </c>
      <c r="D42" s="11" t="s">
        <v>27</v>
      </c>
      <c r="E42" s="11" t="s">
        <v>28</v>
      </c>
      <c r="F42" s="12" t="s">
        <v>124</v>
      </c>
      <c r="G42" s="12" t="s">
        <v>125</v>
      </c>
      <c r="H42" s="12" t="s">
        <v>100</v>
      </c>
      <c r="I42" s="13" t="str">
        <f>HYPERLINK("#'JDE Data'!A1","JDE Data tab → filter Co=10, AAI=4240, GL=HTSP")</f>
        <v>JDE Data tab → filter Co=10, AAI=4240, GL=HTSP</v>
      </c>
      <c r="J42" s="12" t="s">
        <v>32</v>
      </c>
      <c r="K42" s="12" t="s">
        <v>32</v>
      </c>
      <c r="L42" s="14" t="s">
        <v>33</v>
      </c>
    </row>
    <row r="43" ht="90" customHeight="1" spans="1:12" x14ac:dyDescent="0.25">
      <c r="A43" s="20" t="s">
        <v>126</v>
      </c>
      <c r="B43" s="15" t="s">
        <v>127</v>
      </c>
      <c r="C43" s="16" t="s">
        <v>87</v>
      </c>
      <c r="D43" s="16" t="s">
        <v>27</v>
      </c>
      <c r="E43" s="16" t="s">
        <v>28</v>
      </c>
      <c r="F43" s="17" t="s">
        <v>128</v>
      </c>
      <c r="G43" s="17" t="s">
        <v>125</v>
      </c>
      <c r="H43" s="17" t="s">
        <v>104</v>
      </c>
      <c r="I43" s="18" t="str">
        <f>HYPERLINK("#'JDE Data'!A1","JDE Data tab → filter Co=10, AAI=4240, GL=NS40")</f>
        <v>JDE Data tab → filter Co=10, AAI=4240, GL=NS40</v>
      </c>
      <c r="J43" s="17" t="s">
        <v>32</v>
      </c>
      <c r="K43" s="17" t="s">
        <v>32</v>
      </c>
      <c r="L43" s="19" t="s">
        <v>33</v>
      </c>
    </row>
    <row r="44" ht="90" customHeight="1" spans="1:12" x14ac:dyDescent="0.25">
      <c r="A44" s="20" t="s">
        <v>129</v>
      </c>
      <c r="B44" s="10" t="s">
        <v>130</v>
      </c>
      <c r="C44" s="11" t="s">
        <v>87</v>
      </c>
      <c r="D44" s="11" t="s">
        <v>27</v>
      </c>
      <c r="E44" s="11" t="s">
        <v>28</v>
      </c>
      <c r="F44" s="12" t="s">
        <v>131</v>
      </c>
      <c r="G44" s="12" t="s">
        <v>99</v>
      </c>
      <c r="H44" s="12" t="s">
        <v>108</v>
      </c>
      <c r="I44" s="13" t="str">
        <f>HYPERLINK("#'JDE Data'!A1","JDE Data tab → filter Co=10, AAI=4240, GL=SUPP")</f>
        <v>JDE Data tab → filter Co=10, AAI=4240, GL=SUPP</v>
      </c>
      <c r="J44" s="12" t="s">
        <v>32</v>
      </c>
      <c r="K44" s="12" t="s">
        <v>32</v>
      </c>
      <c r="L44" s="14" t="s">
        <v>33</v>
      </c>
    </row>
    <row r="45" ht="90" customHeight="1" spans="1:12" x14ac:dyDescent="0.25">
      <c r="A45" s="20" t="s">
        <v>132</v>
      </c>
      <c r="B45" s="15" t="s">
        <v>133</v>
      </c>
      <c r="C45" s="16" t="s">
        <v>87</v>
      </c>
      <c r="D45" s="16" t="s">
        <v>27</v>
      </c>
      <c r="E45" s="16" t="s">
        <v>28</v>
      </c>
      <c r="F45" s="17" t="s">
        <v>134</v>
      </c>
      <c r="G45" s="17" t="s">
        <v>112</v>
      </c>
      <c r="H45" s="17" t="s">
        <v>113</v>
      </c>
      <c r="I45" s="18" t="str">
        <f>HYPERLINK("#'JDE Data'!A1","JDE Data tab → filter Co=10, AAI=4240, GL=TDM1")</f>
        <v>JDE Data tab → filter Co=10, AAI=4240, GL=TDM1</v>
      </c>
      <c r="J45" s="17" t="s">
        <v>32</v>
      </c>
      <c r="K45" s="17" t="s">
        <v>32</v>
      </c>
      <c r="L45" s="19" t="s">
        <v>33</v>
      </c>
    </row>
    <row r="46" ht="90" customHeight="1" spans="1:12" x14ac:dyDescent="0.25">
      <c r="A46" s="20" t="s">
        <v>135</v>
      </c>
      <c r="B46" s="10" t="s">
        <v>136</v>
      </c>
      <c r="C46" s="11" t="s">
        <v>87</v>
      </c>
      <c r="D46" s="11" t="s">
        <v>27</v>
      </c>
      <c r="E46" s="11" t="s">
        <v>28</v>
      </c>
      <c r="F46" s="12" t="s">
        <v>137</v>
      </c>
      <c r="G46" s="12" t="s">
        <v>112</v>
      </c>
      <c r="H46" s="12" t="s">
        <v>117</v>
      </c>
      <c r="I46" s="13" t="str">
        <f>HYPERLINK("#'JDE Data'!A1","JDE Data tab → filter Co=10, AAI=4240, GL=TDM2")</f>
        <v>JDE Data tab → filter Co=10, AAI=4240, GL=TDM2</v>
      </c>
      <c r="J46" s="12" t="s">
        <v>32</v>
      </c>
      <c r="K46" s="12" t="s">
        <v>32</v>
      </c>
      <c r="L46" s="14" t="s">
        <v>33</v>
      </c>
    </row>
    <row r="47" ht="90" customHeight="1" spans="1:12" x14ac:dyDescent="0.25">
      <c r="A47" s="20" t="s">
        <v>138</v>
      </c>
      <c r="B47" s="15" t="s">
        <v>139</v>
      </c>
      <c r="C47" s="16" t="s">
        <v>87</v>
      </c>
      <c r="D47" s="16" t="s">
        <v>27</v>
      </c>
      <c r="E47" s="16" t="s">
        <v>28</v>
      </c>
      <c r="F47" s="17" t="s">
        <v>140</v>
      </c>
      <c r="G47" s="17" t="s">
        <v>112</v>
      </c>
      <c r="H47" s="17" t="s">
        <v>121</v>
      </c>
      <c r="I47" s="18" t="str">
        <f>HYPERLINK("#'JDE Data'!A1","JDE Data tab → filter Co=10, AAI=4240, GL=TOOL")</f>
        <v>JDE Data tab → filter Co=10, AAI=4240, GL=TOOL</v>
      </c>
      <c r="J47" s="17" t="s">
        <v>32</v>
      </c>
      <c r="K47" s="17" t="s">
        <v>32</v>
      </c>
      <c r="L47" s="19" t="s">
        <v>33</v>
      </c>
    </row>
    <row r="48" ht="76" customHeight="1" spans="1:12" x14ac:dyDescent="0.25">
      <c r="A48" s="20" t="s">
        <v>141</v>
      </c>
      <c r="B48" s="10" t="s">
        <v>142</v>
      </c>
      <c r="C48" s="11" t="s">
        <v>87</v>
      </c>
      <c r="D48" s="11" t="s">
        <v>36</v>
      </c>
      <c r="E48" s="11" t="s">
        <v>28</v>
      </c>
      <c r="F48" s="12" t="s">
        <v>143</v>
      </c>
      <c r="G48" s="12" t="s">
        <v>144</v>
      </c>
      <c r="H48" s="12" t="s">
        <v>108</v>
      </c>
      <c r="I48" s="13" t="str">
        <f>HYPERLINK("#'Inventory'!A1","Inventory tab → find AAI 4141")</f>
        <v>Inventory tab → find AAI 4141</v>
      </c>
      <c r="J48" s="12" t="s">
        <v>32</v>
      </c>
      <c r="K48" s="12" t="s">
        <v>32</v>
      </c>
      <c r="L48" s="14" t="s">
        <v>33</v>
      </c>
    </row>
    <row r="49" ht="76" customHeight="1" spans="1:12" x14ac:dyDescent="0.25">
      <c r="A49" s="20" t="s">
        <v>145</v>
      </c>
      <c r="B49" s="15" t="s">
        <v>146</v>
      </c>
      <c r="C49" s="16" t="s">
        <v>87</v>
      </c>
      <c r="D49" s="16" t="s">
        <v>36</v>
      </c>
      <c r="E49" s="16" t="s">
        <v>28</v>
      </c>
      <c r="F49" s="17" t="s">
        <v>147</v>
      </c>
      <c r="G49" s="17" t="s">
        <v>148</v>
      </c>
      <c r="H49" s="17" t="s">
        <v>149</v>
      </c>
      <c r="I49" s="18" t="str">
        <f>HYPERLINK("#'Inventory'!A1","Inventory tab → find AAI pair 4152/4154")</f>
        <v>Inventory tab → find AAI pair 4152/4154</v>
      </c>
      <c r="J49" s="17" t="s">
        <v>32</v>
      </c>
      <c r="K49" s="17" t="s">
        <v>32</v>
      </c>
      <c r="L49" s="19" t="s">
        <v>33</v>
      </c>
    </row>
    <row r="50" ht="90" customHeight="1" spans="1:12" x14ac:dyDescent="0.25">
      <c r="A50" s="20" t="s">
        <v>150</v>
      </c>
      <c r="B50" s="10" t="s">
        <v>151</v>
      </c>
      <c r="C50" s="11" t="s">
        <v>87</v>
      </c>
      <c r="D50" s="11" t="s">
        <v>36</v>
      </c>
      <c r="E50" s="11" t="s">
        <v>28</v>
      </c>
      <c r="F50" s="12" t="s">
        <v>152</v>
      </c>
      <c r="G50" s="12" t="s">
        <v>99</v>
      </c>
      <c r="H50" s="12" t="s">
        <v>100</v>
      </c>
      <c r="I50" s="13" t="str">
        <f>HYPERLINK("#'JDE Data'!A1","JDE Data tab → filter Co=10, AAI=4141, GL=HTSP")</f>
        <v>JDE Data tab → filter Co=10, AAI=4141, GL=HTSP</v>
      </c>
      <c r="J50" s="12" t="s">
        <v>32</v>
      </c>
      <c r="K50" s="12" t="s">
        <v>32</v>
      </c>
      <c r="L50" s="14" t="s">
        <v>33</v>
      </c>
    </row>
    <row r="51" ht="90" customHeight="1" spans="1:12" x14ac:dyDescent="0.25">
      <c r="A51" s="20" t="s">
        <v>153</v>
      </c>
      <c r="B51" s="15" t="s">
        <v>154</v>
      </c>
      <c r="C51" s="16" t="s">
        <v>87</v>
      </c>
      <c r="D51" s="16" t="s">
        <v>36</v>
      </c>
      <c r="E51" s="16" t="s">
        <v>28</v>
      </c>
      <c r="F51" s="17" t="s">
        <v>155</v>
      </c>
      <c r="G51" s="17" t="s">
        <v>99</v>
      </c>
      <c r="H51" s="17" t="s">
        <v>104</v>
      </c>
      <c r="I51" s="18" t="str">
        <f>HYPERLINK("#'JDE Data'!A1","JDE Data tab → filter Co=10, AAI=4141, GL=NS40")</f>
        <v>JDE Data tab → filter Co=10, AAI=4141, GL=NS40</v>
      </c>
      <c r="J51" s="17" t="s">
        <v>32</v>
      </c>
      <c r="K51" s="17" t="s">
        <v>32</v>
      </c>
      <c r="L51" s="19" t="s">
        <v>33</v>
      </c>
    </row>
    <row r="52" ht="90" customHeight="1" spans="1:12" x14ac:dyDescent="0.25">
      <c r="A52" s="20" t="s">
        <v>156</v>
      </c>
      <c r="B52" s="10" t="s">
        <v>157</v>
      </c>
      <c r="C52" s="11" t="s">
        <v>87</v>
      </c>
      <c r="D52" s="11" t="s">
        <v>36</v>
      </c>
      <c r="E52" s="11" t="s">
        <v>28</v>
      </c>
      <c r="F52" s="12" t="s">
        <v>158</v>
      </c>
      <c r="G52" s="12" t="s">
        <v>99</v>
      </c>
      <c r="H52" s="12" t="s">
        <v>108</v>
      </c>
      <c r="I52" s="13" t="str">
        <f>HYPERLINK("#'JDE Data'!A1","JDE Data tab → filter Co=10, AAI=4141, GL=SUPP")</f>
        <v>JDE Data tab → filter Co=10, AAI=4141, GL=SUPP</v>
      </c>
      <c r="J52" s="12" t="s">
        <v>32</v>
      </c>
      <c r="K52" s="12" t="s">
        <v>32</v>
      </c>
      <c r="L52" s="14" t="s">
        <v>33</v>
      </c>
    </row>
    <row r="53" ht="90" customHeight="1" spans="1:12" x14ac:dyDescent="0.25">
      <c r="A53" s="20" t="s">
        <v>159</v>
      </c>
      <c r="B53" s="15" t="s">
        <v>160</v>
      </c>
      <c r="C53" s="16" t="s">
        <v>87</v>
      </c>
      <c r="D53" s="16" t="s">
        <v>36</v>
      </c>
      <c r="E53" s="16" t="s">
        <v>28</v>
      </c>
      <c r="F53" s="17" t="s">
        <v>161</v>
      </c>
      <c r="G53" s="17" t="s">
        <v>112</v>
      </c>
      <c r="H53" s="17" t="s">
        <v>113</v>
      </c>
      <c r="I53" s="18" t="str">
        <f>HYPERLINK("#'JDE Data'!A1","JDE Data tab → filter Co=10, AAI=4141, GL=TDM1")</f>
        <v>JDE Data tab → filter Co=10, AAI=4141, GL=TDM1</v>
      </c>
      <c r="J53" s="17" t="s">
        <v>32</v>
      </c>
      <c r="K53" s="17" t="s">
        <v>32</v>
      </c>
      <c r="L53" s="19" t="s">
        <v>33</v>
      </c>
    </row>
    <row r="54" ht="90" customHeight="1" spans="1:12" x14ac:dyDescent="0.25">
      <c r="A54" s="20" t="s">
        <v>162</v>
      </c>
      <c r="B54" s="10" t="s">
        <v>163</v>
      </c>
      <c r="C54" s="11" t="s">
        <v>87</v>
      </c>
      <c r="D54" s="11" t="s">
        <v>36</v>
      </c>
      <c r="E54" s="11" t="s">
        <v>28</v>
      </c>
      <c r="F54" s="12" t="s">
        <v>164</v>
      </c>
      <c r="G54" s="12" t="s">
        <v>112</v>
      </c>
      <c r="H54" s="12" t="s">
        <v>117</v>
      </c>
      <c r="I54" s="13" t="str">
        <f>HYPERLINK("#'JDE Data'!A1","JDE Data tab → filter Co=10, AAI=4141, GL=TDM2")</f>
        <v>JDE Data tab → filter Co=10, AAI=4141, GL=TDM2</v>
      </c>
      <c r="J54" s="12" t="s">
        <v>32</v>
      </c>
      <c r="K54" s="12" t="s">
        <v>32</v>
      </c>
      <c r="L54" s="14" t="s">
        <v>33</v>
      </c>
    </row>
    <row r="55" ht="90" customHeight="1" spans="1:12" x14ac:dyDescent="0.25">
      <c r="A55" s="20" t="s">
        <v>165</v>
      </c>
      <c r="B55" s="15" t="s">
        <v>166</v>
      </c>
      <c r="C55" s="16" t="s">
        <v>87</v>
      </c>
      <c r="D55" s="16" t="s">
        <v>36</v>
      </c>
      <c r="E55" s="16" t="s">
        <v>28</v>
      </c>
      <c r="F55" s="17" t="s">
        <v>167</v>
      </c>
      <c r="G55" s="17" t="s">
        <v>112</v>
      </c>
      <c r="H55" s="17" t="s">
        <v>121</v>
      </c>
      <c r="I55" s="18" t="str">
        <f>HYPERLINK("#'JDE Data'!A1","JDE Data tab → filter Co=10, AAI=4141, GL=TOOL")</f>
        <v>JDE Data tab → filter Co=10, AAI=4141, GL=TOOL</v>
      </c>
      <c r="J55" s="17" t="s">
        <v>32</v>
      </c>
      <c r="K55" s="17" t="s">
        <v>32</v>
      </c>
      <c r="L55" s="19" t="s">
        <v>33</v>
      </c>
    </row>
    <row r="56" ht="76" customHeight="1" spans="1:12" x14ac:dyDescent="0.25">
      <c r="A56" s="20" t="s">
        <v>168</v>
      </c>
      <c r="B56" s="10" t="s">
        <v>169</v>
      </c>
      <c r="C56" s="11" t="s">
        <v>87</v>
      </c>
      <c r="D56" s="11" t="s">
        <v>65</v>
      </c>
      <c r="E56" s="11" t="s">
        <v>28</v>
      </c>
      <c r="F56" s="12" t="s">
        <v>170</v>
      </c>
      <c r="G56" s="12" t="s">
        <v>171</v>
      </c>
      <c r="H56" s="12" t="s">
        <v>172</v>
      </c>
      <c r="I56" s="13" t="str">
        <f>HYPERLINK("#'Purchasing'!A1","Purchasing tab → find AAI 4310")</f>
        <v>Purchasing tab → find AAI 4310</v>
      </c>
      <c r="J56" s="12" t="s">
        <v>32</v>
      </c>
      <c r="K56" s="12" t="s">
        <v>32</v>
      </c>
      <c r="L56" s="14" t="s">
        <v>33</v>
      </c>
    </row>
    <row r="57" ht="76" customHeight="1" spans="1:12" x14ac:dyDescent="0.25">
      <c r="A57" s="20" t="s">
        <v>173</v>
      </c>
      <c r="B57" s="15" t="s">
        <v>174</v>
      </c>
      <c r="C57" s="16" t="s">
        <v>87</v>
      </c>
      <c r="D57" s="16" t="s">
        <v>65</v>
      </c>
      <c r="E57" s="16" t="s">
        <v>28</v>
      </c>
      <c r="F57" s="17" t="s">
        <v>175</v>
      </c>
      <c r="G57" s="17" t="s">
        <v>176</v>
      </c>
      <c r="H57" s="17" t="s">
        <v>177</v>
      </c>
      <c r="I57" s="18" t="str">
        <f>HYPERLINK("#'Purchasing'!A1","Purchasing tab → find AAI pair 4310/4320")</f>
        <v>Purchasing tab → find AAI pair 4310/4320</v>
      </c>
      <c r="J57" s="17" t="s">
        <v>32</v>
      </c>
      <c r="K57" s="17" t="s">
        <v>32</v>
      </c>
      <c r="L57" s="19" t="s">
        <v>33</v>
      </c>
    </row>
    <row r="58" ht="76" customHeight="1" spans="1:12" x14ac:dyDescent="0.25">
      <c r="A58" s="20" t="s">
        <v>178</v>
      </c>
      <c r="B58" s="10" t="s">
        <v>179</v>
      </c>
      <c r="C58" s="11" t="s">
        <v>87</v>
      </c>
      <c r="D58" s="11" t="s">
        <v>180</v>
      </c>
      <c r="E58" s="11" t="s">
        <v>28</v>
      </c>
      <c r="F58" s="12" t="s">
        <v>181</v>
      </c>
      <c r="G58" s="12" t="s">
        <v>182</v>
      </c>
      <c r="H58" s="12" t="s">
        <v>183</v>
      </c>
      <c r="I58" s="13" t="str">
        <f>HYPERLINK("#'Manufacturing'!A1","Manufacturing tab → find AAI 3130")</f>
        <v>Manufacturing tab → find AAI 3130</v>
      </c>
      <c r="J58" s="12" t="s">
        <v>32</v>
      </c>
      <c r="K58" s="12" t="s">
        <v>32</v>
      </c>
      <c r="L58" s="14" t="s">
        <v>33</v>
      </c>
    </row>
    <row r="59" ht="76" customHeight="1" spans="1:12" x14ac:dyDescent="0.25">
      <c r="A59" s="20" t="s">
        <v>184</v>
      </c>
      <c r="B59" s="15" t="s">
        <v>185</v>
      </c>
      <c r="C59" s="16" t="s">
        <v>87</v>
      </c>
      <c r="D59" s="16" t="s">
        <v>27</v>
      </c>
      <c r="E59" s="16" t="s">
        <v>52</v>
      </c>
      <c r="F59" s="17" t="s">
        <v>88</v>
      </c>
      <c r="G59" s="17" t="s">
        <v>89</v>
      </c>
      <c r="H59" s="17" t="s">
        <v>90</v>
      </c>
      <c r="I59" s="18" t="str">
        <f>HYPERLINK("#'Sales'!A1","Sales tab → find AAI pair 4240/4220")</f>
        <v>Sales tab → find AAI pair 4240/4220</v>
      </c>
      <c r="J59" s="17" t="s">
        <v>32</v>
      </c>
      <c r="K59" s="17" t="s">
        <v>32</v>
      </c>
      <c r="L59" s="19" t="s">
        <v>33</v>
      </c>
    </row>
    <row r="60" ht="76" customHeight="1" spans="1:12" x14ac:dyDescent="0.25">
      <c r="A60" s="20" t="s">
        <v>186</v>
      </c>
      <c r="B60" s="10" t="s">
        <v>187</v>
      </c>
      <c r="C60" s="11" t="s">
        <v>87</v>
      </c>
      <c r="D60" s="11" t="s">
        <v>27</v>
      </c>
      <c r="E60" s="11" t="s">
        <v>52</v>
      </c>
      <c r="F60" s="12" t="s">
        <v>93</v>
      </c>
      <c r="G60" s="12" t="s">
        <v>94</v>
      </c>
      <c r="H60" s="12" t="s">
        <v>95</v>
      </c>
      <c r="I60" s="13" t="str">
        <f>HYPERLINK("#'Sales'!A1","Sales tab → find AAI pair 4240/4220")</f>
        <v>Sales tab → find AAI pair 4240/4220</v>
      </c>
      <c r="J60" s="12" t="s">
        <v>32</v>
      </c>
      <c r="K60" s="12" t="s">
        <v>32</v>
      </c>
      <c r="L60" s="14" t="s">
        <v>33</v>
      </c>
    </row>
    <row r="61" ht="90" customHeight="1" spans="1:12" x14ac:dyDescent="0.25">
      <c r="A61" s="20" t="s">
        <v>188</v>
      </c>
      <c r="B61" s="15" t="s">
        <v>189</v>
      </c>
      <c r="C61" s="16" t="s">
        <v>87</v>
      </c>
      <c r="D61" s="16" t="s">
        <v>27</v>
      </c>
      <c r="E61" s="16" t="s">
        <v>52</v>
      </c>
      <c r="F61" s="17" t="s">
        <v>98</v>
      </c>
      <c r="G61" s="17" t="s">
        <v>99</v>
      </c>
      <c r="H61" s="17" t="s">
        <v>100</v>
      </c>
      <c r="I61" s="18" t="str">
        <f>HYPERLINK("#'JDE Data'!A1","JDE Data tab → filter Co=18, AAI=4220, GL=HTSP")</f>
        <v>JDE Data tab → filter Co=18, AAI=4220, GL=HTSP</v>
      </c>
      <c r="J61" s="17" t="s">
        <v>32</v>
      </c>
      <c r="K61" s="17" t="s">
        <v>32</v>
      </c>
      <c r="L61" s="19" t="s">
        <v>33</v>
      </c>
    </row>
    <row r="62" ht="90" customHeight="1" spans="1:12" x14ac:dyDescent="0.25">
      <c r="A62" s="20" t="s">
        <v>190</v>
      </c>
      <c r="B62" s="10" t="s">
        <v>191</v>
      </c>
      <c r="C62" s="11" t="s">
        <v>87</v>
      </c>
      <c r="D62" s="11" t="s">
        <v>27</v>
      </c>
      <c r="E62" s="11" t="s">
        <v>52</v>
      </c>
      <c r="F62" s="12" t="s">
        <v>103</v>
      </c>
      <c r="G62" s="12" t="s">
        <v>99</v>
      </c>
      <c r="H62" s="12" t="s">
        <v>104</v>
      </c>
      <c r="I62" s="13" t="str">
        <f>HYPERLINK("#'JDE Data'!A1","JDE Data tab → filter Co=18, AAI=4220, GL=NS40")</f>
        <v>JDE Data tab → filter Co=18, AAI=4220, GL=NS40</v>
      </c>
      <c r="J62" s="12" t="s">
        <v>32</v>
      </c>
      <c r="K62" s="12" t="s">
        <v>32</v>
      </c>
      <c r="L62" s="14" t="s">
        <v>33</v>
      </c>
    </row>
    <row r="63" ht="90" customHeight="1" spans="1:12" x14ac:dyDescent="0.25">
      <c r="A63" s="20" t="s">
        <v>192</v>
      </c>
      <c r="B63" s="15" t="s">
        <v>193</v>
      </c>
      <c r="C63" s="16" t="s">
        <v>87</v>
      </c>
      <c r="D63" s="16" t="s">
        <v>27</v>
      </c>
      <c r="E63" s="16" t="s">
        <v>52</v>
      </c>
      <c r="F63" s="17" t="s">
        <v>107</v>
      </c>
      <c r="G63" s="17" t="s">
        <v>99</v>
      </c>
      <c r="H63" s="17" t="s">
        <v>108</v>
      </c>
      <c r="I63" s="18" t="str">
        <f>HYPERLINK("#'JDE Data'!A1","JDE Data tab → filter Co=18, AAI=4220, GL=SUPP")</f>
        <v>JDE Data tab → filter Co=18, AAI=4220, GL=SUPP</v>
      </c>
      <c r="J63" s="17" t="s">
        <v>32</v>
      </c>
      <c r="K63" s="17" t="s">
        <v>32</v>
      </c>
      <c r="L63" s="19" t="s">
        <v>33</v>
      </c>
    </row>
    <row r="64" ht="90" customHeight="1" spans="1:12" x14ac:dyDescent="0.25">
      <c r="A64" s="20" t="s">
        <v>194</v>
      </c>
      <c r="B64" s="10" t="s">
        <v>195</v>
      </c>
      <c r="C64" s="11" t="s">
        <v>87</v>
      </c>
      <c r="D64" s="11" t="s">
        <v>27</v>
      </c>
      <c r="E64" s="11" t="s">
        <v>52</v>
      </c>
      <c r="F64" s="12" t="s">
        <v>111</v>
      </c>
      <c r="G64" s="12" t="s">
        <v>112</v>
      </c>
      <c r="H64" s="12" t="s">
        <v>113</v>
      </c>
      <c r="I64" s="13" t="str">
        <f>HYPERLINK("#'JDE Data'!A1","JDE Data tab → filter Co=18, AAI=4220, GL=TDM1")</f>
        <v>JDE Data tab → filter Co=18, AAI=4220, GL=TDM1</v>
      </c>
      <c r="J64" s="12" t="s">
        <v>32</v>
      </c>
      <c r="K64" s="12" t="s">
        <v>32</v>
      </c>
      <c r="L64" s="14" t="s">
        <v>33</v>
      </c>
    </row>
    <row r="65" ht="90" customHeight="1" spans="1:12" x14ac:dyDescent="0.25">
      <c r="A65" s="20" t="s">
        <v>196</v>
      </c>
      <c r="B65" s="15" t="s">
        <v>197</v>
      </c>
      <c r="C65" s="16" t="s">
        <v>87</v>
      </c>
      <c r="D65" s="16" t="s">
        <v>27</v>
      </c>
      <c r="E65" s="16" t="s">
        <v>52</v>
      </c>
      <c r="F65" s="17" t="s">
        <v>116</v>
      </c>
      <c r="G65" s="17" t="s">
        <v>112</v>
      </c>
      <c r="H65" s="17" t="s">
        <v>117</v>
      </c>
      <c r="I65" s="18" t="str">
        <f>HYPERLINK("#'JDE Data'!A1","JDE Data tab → filter Co=18, AAI=4220, GL=TDM2")</f>
        <v>JDE Data tab → filter Co=18, AAI=4220, GL=TDM2</v>
      </c>
      <c r="J65" s="17" t="s">
        <v>32</v>
      </c>
      <c r="K65" s="17" t="s">
        <v>32</v>
      </c>
      <c r="L65" s="19" t="s">
        <v>33</v>
      </c>
    </row>
    <row r="66" ht="90" customHeight="1" spans="1:12" x14ac:dyDescent="0.25">
      <c r="A66" s="20" t="s">
        <v>198</v>
      </c>
      <c r="B66" s="10" t="s">
        <v>199</v>
      </c>
      <c r="C66" s="11" t="s">
        <v>87</v>
      </c>
      <c r="D66" s="11" t="s">
        <v>27</v>
      </c>
      <c r="E66" s="11" t="s">
        <v>52</v>
      </c>
      <c r="F66" s="12" t="s">
        <v>120</v>
      </c>
      <c r="G66" s="12" t="s">
        <v>112</v>
      </c>
      <c r="H66" s="12" t="s">
        <v>121</v>
      </c>
      <c r="I66" s="13" t="str">
        <f>HYPERLINK("#'JDE Data'!A1","JDE Data tab → filter Co=18, AAI=4220, GL=TOOL")</f>
        <v>JDE Data tab → filter Co=18, AAI=4220, GL=TOOL</v>
      </c>
      <c r="J66" s="12" t="s">
        <v>32</v>
      </c>
      <c r="K66" s="12" t="s">
        <v>32</v>
      </c>
      <c r="L66" s="14" t="s">
        <v>33</v>
      </c>
    </row>
    <row r="67" ht="90" customHeight="1" spans="1:12" x14ac:dyDescent="0.25">
      <c r="A67" s="20" t="s">
        <v>200</v>
      </c>
      <c r="B67" s="15" t="s">
        <v>201</v>
      </c>
      <c r="C67" s="16" t="s">
        <v>87</v>
      </c>
      <c r="D67" s="16" t="s">
        <v>27</v>
      </c>
      <c r="E67" s="16" t="s">
        <v>52</v>
      </c>
      <c r="F67" s="17" t="s">
        <v>124</v>
      </c>
      <c r="G67" s="17" t="s">
        <v>125</v>
      </c>
      <c r="H67" s="17" t="s">
        <v>100</v>
      </c>
      <c r="I67" s="18" t="str">
        <f>HYPERLINK("#'JDE Data'!A1","JDE Data tab → filter Co=18, AAI=4240, GL=HTSP")</f>
        <v>JDE Data tab → filter Co=18, AAI=4240, GL=HTSP</v>
      </c>
      <c r="J67" s="17" t="s">
        <v>32</v>
      </c>
      <c r="K67" s="17" t="s">
        <v>32</v>
      </c>
      <c r="L67" s="19" t="s">
        <v>33</v>
      </c>
    </row>
    <row r="68" ht="90" customHeight="1" spans="1:12" x14ac:dyDescent="0.25">
      <c r="A68" s="20" t="s">
        <v>202</v>
      </c>
      <c r="B68" s="10" t="s">
        <v>203</v>
      </c>
      <c r="C68" s="11" t="s">
        <v>87</v>
      </c>
      <c r="D68" s="11" t="s">
        <v>27</v>
      </c>
      <c r="E68" s="11" t="s">
        <v>52</v>
      </c>
      <c r="F68" s="12" t="s">
        <v>128</v>
      </c>
      <c r="G68" s="12" t="s">
        <v>125</v>
      </c>
      <c r="H68" s="12" t="s">
        <v>104</v>
      </c>
      <c r="I68" s="13" t="str">
        <f>HYPERLINK("#'JDE Data'!A1","JDE Data tab → filter Co=18, AAI=4240, GL=NS40")</f>
        <v>JDE Data tab → filter Co=18, AAI=4240, GL=NS40</v>
      </c>
      <c r="J68" s="12" t="s">
        <v>32</v>
      </c>
      <c r="K68" s="12" t="s">
        <v>32</v>
      </c>
      <c r="L68" s="14" t="s">
        <v>33</v>
      </c>
    </row>
    <row r="69" ht="90" customHeight="1" spans="1:12" x14ac:dyDescent="0.25">
      <c r="A69" s="20" t="s">
        <v>204</v>
      </c>
      <c r="B69" s="15" t="s">
        <v>205</v>
      </c>
      <c r="C69" s="16" t="s">
        <v>87</v>
      </c>
      <c r="D69" s="16" t="s">
        <v>27</v>
      </c>
      <c r="E69" s="16" t="s">
        <v>52</v>
      </c>
      <c r="F69" s="17" t="s">
        <v>131</v>
      </c>
      <c r="G69" s="17" t="s">
        <v>99</v>
      </c>
      <c r="H69" s="17" t="s">
        <v>108</v>
      </c>
      <c r="I69" s="18" t="str">
        <f>HYPERLINK("#'JDE Data'!A1","JDE Data tab → filter Co=18, AAI=4240, GL=SUPP")</f>
        <v>JDE Data tab → filter Co=18, AAI=4240, GL=SUPP</v>
      </c>
      <c r="J69" s="17" t="s">
        <v>32</v>
      </c>
      <c r="K69" s="17" t="s">
        <v>32</v>
      </c>
      <c r="L69" s="19" t="s">
        <v>33</v>
      </c>
    </row>
    <row r="70" ht="90" customHeight="1" spans="1:12" x14ac:dyDescent="0.25">
      <c r="A70" s="20" t="s">
        <v>206</v>
      </c>
      <c r="B70" s="10" t="s">
        <v>207</v>
      </c>
      <c r="C70" s="11" t="s">
        <v>87</v>
      </c>
      <c r="D70" s="11" t="s">
        <v>27</v>
      </c>
      <c r="E70" s="11" t="s">
        <v>52</v>
      </c>
      <c r="F70" s="12" t="s">
        <v>134</v>
      </c>
      <c r="G70" s="12" t="s">
        <v>112</v>
      </c>
      <c r="H70" s="12" t="s">
        <v>113</v>
      </c>
      <c r="I70" s="13" t="str">
        <f>HYPERLINK("#'JDE Data'!A1","JDE Data tab → filter Co=18, AAI=4240, GL=TDM1")</f>
        <v>JDE Data tab → filter Co=18, AAI=4240, GL=TDM1</v>
      </c>
      <c r="J70" s="12" t="s">
        <v>32</v>
      </c>
      <c r="K70" s="12" t="s">
        <v>32</v>
      </c>
      <c r="L70" s="14" t="s">
        <v>33</v>
      </c>
    </row>
    <row r="71" ht="90" customHeight="1" spans="1:12" x14ac:dyDescent="0.25">
      <c r="A71" s="20" t="s">
        <v>208</v>
      </c>
      <c r="B71" s="15" t="s">
        <v>209</v>
      </c>
      <c r="C71" s="16" t="s">
        <v>87</v>
      </c>
      <c r="D71" s="16" t="s">
        <v>27</v>
      </c>
      <c r="E71" s="16" t="s">
        <v>52</v>
      </c>
      <c r="F71" s="17" t="s">
        <v>137</v>
      </c>
      <c r="G71" s="17" t="s">
        <v>112</v>
      </c>
      <c r="H71" s="17" t="s">
        <v>117</v>
      </c>
      <c r="I71" s="18" t="str">
        <f>HYPERLINK("#'JDE Data'!A1","JDE Data tab → filter Co=18, AAI=4240, GL=TDM2")</f>
        <v>JDE Data tab → filter Co=18, AAI=4240, GL=TDM2</v>
      </c>
      <c r="J71" s="17" t="s">
        <v>32</v>
      </c>
      <c r="K71" s="17" t="s">
        <v>32</v>
      </c>
      <c r="L71" s="19" t="s">
        <v>33</v>
      </c>
    </row>
    <row r="72" ht="90" customHeight="1" spans="1:12" x14ac:dyDescent="0.25">
      <c r="A72" s="20" t="s">
        <v>210</v>
      </c>
      <c r="B72" s="10" t="s">
        <v>211</v>
      </c>
      <c r="C72" s="11" t="s">
        <v>87</v>
      </c>
      <c r="D72" s="11" t="s">
        <v>27</v>
      </c>
      <c r="E72" s="11" t="s">
        <v>52</v>
      </c>
      <c r="F72" s="12" t="s">
        <v>140</v>
      </c>
      <c r="G72" s="12" t="s">
        <v>112</v>
      </c>
      <c r="H72" s="12" t="s">
        <v>121</v>
      </c>
      <c r="I72" s="13" t="str">
        <f>HYPERLINK("#'JDE Data'!A1","JDE Data tab → filter Co=18, AAI=4240, GL=TOOL")</f>
        <v>JDE Data tab → filter Co=18, AAI=4240, GL=TOOL</v>
      </c>
      <c r="J72" s="12" t="s">
        <v>32</v>
      </c>
      <c r="K72" s="12" t="s">
        <v>32</v>
      </c>
      <c r="L72" s="14" t="s">
        <v>33</v>
      </c>
    </row>
    <row r="73" ht="76" customHeight="1" spans="1:12" x14ac:dyDescent="0.25">
      <c r="A73" s="20" t="s">
        <v>212</v>
      </c>
      <c r="B73" s="15" t="s">
        <v>213</v>
      </c>
      <c r="C73" s="16" t="s">
        <v>87</v>
      </c>
      <c r="D73" s="16" t="s">
        <v>36</v>
      </c>
      <c r="E73" s="16" t="s">
        <v>52</v>
      </c>
      <c r="F73" s="17" t="s">
        <v>214</v>
      </c>
      <c r="G73" s="17" t="s">
        <v>144</v>
      </c>
      <c r="H73" s="17" t="s">
        <v>108</v>
      </c>
      <c r="I73" s="18" t="str">
        <f>HYPERLINK("#'Inventory'!A1","Inventory tab → find AAI 4141")</f>
        <v>Inventory tab → find AAI 4141</v>
      </c>
      <c r="J73" s="17" t="s">
        <v>32</v>
      </c>
      <c r="K73" s="17" t="s">
        <v>32</v>
      </c>
      <c r="L73" s="19" t="s">
        <v>33</v>
      </c>
    </row>
    <row r="74" ht="76" customHeight="1" spans="1:12" x14ac:dyDescent="0.25">
      <c r="A74" s="20" t="s">
        <v>215</v>
      </c>
      <c r="B74" s="10" t="s">
        <v>216</v>
      </c>
      <c r="C74" s="11" t="s">
        <v>87</v>
      </c>
      <c r="D74" s="11" t="s">
        <v>36</v>
      </c>
      <c r="E74" s="11" t="s">
        <v>52</v>
      </c>
      <c r="F74" s="12" t="s">
        <v>147</v>
      </c>
      <c r="G74" s="12" t="s">
        <v>148</v>
      </c>
      <c r="H74" s="12" t="s">
        <v>149</v>
      </c>
      <c r="I74" s="13" t="str">
        <f>HYPERLINK("#'Inventory'!A1","Inventory tab → find AAI pair 4152/4154")</f>
        <v>Inventory tab → find AAI pair 4152/4154</v>
      </c>
      <c r="J74" s="12" t="s">
        <v>32</v>
      </c>
      <c r="K74" s="12" t="s">
        <v>32</v>
      </c>
      <c r="L74" s="14" t="s">
        <v>33</v>
      </c>
    </row>
    <row r="75" ht="90" customHeight="1" spans="1:12" x14ac:dyDescent="0.25">
      <c r="A75" s="20" t="s">
        <v>217</v>
      </c>
      <c r="B75" s="15" t="s">
        <v>218</v>
      </c>
      <c r="C75" s="16" t="s">
        <v>87</v>
      </c>
      <c r="D75" s="16" t="s">
        <v>36</v>
      </c>
      <c r="E75" s="16" t="s">
        <v>52</v>
      </c>
      <c r="F75" s="17" t="s">
        <v>152</v>
      </c>
      <c r="G75" s="17" t="s">
        <v>99</v>
      </c>
      <c r="H75" s="17" t="s">
        <v>100</v>
      </c>
      <c r="I75" s="18" t="str">
        <f>HYPERLINK("#'JDE Data'!A1","JDE Data tab → filter Co=18, AAI=4141, GL=HTSP")</f>
        <v>JDE Data tab → filter Co=18, AAI=4141, GL=HTSP</v>
      </c>
      <c r="J75" s="17" t="s">
        <v>32</v>
      </c>
      <c r="K75" s="17" t="s">
        <v>32</v>
      </c>
      <c r="L75" s="19" t="s">
        <v>33</v>
      </c>
    </row>
    <row r="76" ht="90" customHeight="1" spans="1:12" x14ac:dyDescent="0.25">
      <c r="A76" s="20" t="s">
        <v>219</v>
      </c>
      <c r="B76" s="10" t="s">
        <v>220</v>
      </c>
      <c r="C76" s="11" t="s">
        <v>87</v>
      </c>
      <c r="D76" s="11" t="s">
        <v>36</v>
      </c>
      <c r="E76" s="11" t="s">
        <v>52</v>
      </c>
      <c r="F76" s="12" t="s">
        <v>155</v>
      </c>
      <c r="G76" s="12" t="s">
        <v>99</v>
      </c>
      <c r="H76" s="12" t="s">
        <v>104</v>
      </c>
      <c r="I76" s="13" t="str">
        <f>HYPERLINK("#'JDE Data'!A1","JDE Data tab → filter Co=18, AAI=4141, GL=NS40")</f>
        <v>JDE Data tab → filter Co=18, AAI=4141, GL=NS40</v>
      </c>
      <c r="J76" s="12" t="s">
        <v>32</v>
      </c>
      <c r="K76" s="12" t="s">
        <v>32</v>
      </c>
      <c r="L76" s="14" t="s">
        <v>33</v>
      </c>
    </row>
    <row r="77" ht="90" customHeight="1" spans="1:12" x14ac:dyDescent="0.25">
      <c r="A77" s="20" t="s">
        <v>221</v>
      </c>
      <c r="B77" s="15" t="s">
        <v>222</v>
      </c>
      <c r="C77" s="16" t="s">
        <v>87</v>
      </c>
      <c r="D77" s="16" t="s">
        <v>36</v>
      </c>
      <c r="E77" s="16" t="s">
        <v>52</v>
      </c>
      <c r="F77" s="17" t="s">
        <v>158</v>
      </c>
      <c r="G77" s="17" t="s">
        <v>99</v>
      </c>
      <c r="H77" s="17" t="s">
        <v>108</v>
      </c>
      <c r="I77" s="18" t="str">
        <f>HYPERLINK("#'JDE Data'!A1","JDE Data tab → filter Co=18, AAI=4141, GL=SUPP")</f>
        <v>JDE Data tab → filter Co=18, AAI=4141, GL=SUPP</v>
      </c>
      <c r="J77" s="17" t="s">
        <v>32</v>
      </c>
      <c r="K77" s="17" t="s">
        <v>32</v>
      </c>
      <c r="L77" s="19" t="s">
        <v>33</v>
      </c>
    </row>
    <row r="78" ht="90" customHeight="1" spans="1:12" x14ac:dyDescent="0.25">
      <c r="A78" s="20" t="s">
        <v>223</v>
      </c>
      <c r="B78" s="10" t="s">
        <v>224</v>
      </c>
      <c r="C78" s="11" t="s">
        <v>87</v>
      </c>
      <c r="D78" s="11" t="s">
        <v>36</v>
      </c>
      <c r="E78" s="11" t="s">
        <v>52</v>
      </c>
      <c r="F78" s="12" t="s">
        <v>161</v>
      </c>
      <c r="G78" s="12" t="s">
        <v>112</v>
      </c>
      <c r="H78" s="12" t="s">
        <v>113</v>
      </c>
      <c r="I78" s="13" t="str">
        <f>HYPERLINK("#'JDE Data'!A1","JDE Data tab → filter Co=18, AAI=4141, GL=TDM1")</f>
        <v>JDE Data tab → filter Co=18, AAI=4141, GL=TDM1</v>
      </c>
      <c r="J78" s="12" t="s">
        <v>32</v>
      </c>
      <c r="K78" s="12" t="s">
        <v>32</v>
      </c>
      <c r="L78" s="14" t="s">
        <v>33</v>
      </c>
    </row>
    <row r="79" ht="90" customHeight="1" spans="1:12" x14ac:dyDescent="0.25">
      <c r="A79" s="20" t="s">
        <v>225</v>
      </c>
      <c r="B79" s="15" t="s">
        <v>226</v>
      </c>
      <c r="C79" s="16" t="s">
        <v>87</v>
      </c>
      <c r="D79" s="16" t="s">
        <v>36</v>
      </c>
      <c r="E79" s="16" t="s">
        <v>52</v>
      </c>
      <c r="F79" s="17" t="s">
        <v>164</v>
      </c>
      <c r="G79" s="17" t="s">
        <v>112</v>
      </c>
      <c r="H79" s="17" t="s">
        <v>117</v>
      </c>
      <c r="I79" s="18" t="str">
        <f>HYPERLINK("#'JDE Data'!A1","JDE Data tab → filter Co=18, AAI=4141, GL=TDM2")</f>
        <v>JDE Data tab → filter Co=18, AAI=4141, GL=TDM2</v>
      </c>
      <c r="J79" s="17" t="s">
        <v>32</v>
      </c>
      <c r="K79" s="17" t="s">
        <v>32</v>
      </c>
      <c r="L79" s="19" t="s">
        <v>33</v>
      </c>
    </row>
    <row r="80" ht="90" customHeight="1" spans="1:12" x14ac:dyDescent="0.25">
      <c r="A80" s="20" t="s">
        <v>227</v>
      </c>
      <c r="B80" s="10" t="s">
        <v>228</v>
      </c>
      <c r="C80" s="11" t="s">
        <v>87</v>
      </c>
      <c r="D80" s="11" t="s">
        <v>36</v>
      </c>
      <c r="E80" s="11" t="s">
        <v>52</v>
      </c>
      <c r="F80" s="12" t="s">
        <v>167</v>
      </c>
      <c r="G80" s="12" t="s">
        <v>112</v>
      </c>
      <c r="H80" s="12" t="s">
        <v>121</v>
      </c>
      <c r="I80" s="13" t="str">
        <f>HYPERLINK("#'JDE Data'!A1","JDE Data tab → filter Co=18, AAI=4141, GL=TOOL")</f>
        <v>JDE Data tab → filter Co=18, AAI=4141, GL=TOOL</v>
      </c>
      <c r="J80" s="12" t="s">
        <v>32</v>
      </c>
      <c r="K80" s="12" t="s">
        <v>32</v>
      </c>
      <c r="L80" s="14" t="s">
        <v>33</v>
      </c>
    </row>
    <row r="81" ht="76" customHeight="1" spans="1:12" x14ac:dyDescent="0.25">
      <c r="A81" s="20" t="s">
        <v>229</v>
      </c>
      <c r="B81" s="15" t="s">
        <v>230</v>
      </c>
      <c r="C81" s="16" t="s">
        <v>87</v>
      </c>
      <c r="D81" s="16" t="s">
        <v>65</v>
      </c>
      <c r="E81" s="16" t="s">
        <v>52</v>
      </c>
      <c r="F81" s="17" t="s">
        <v>231</v>
      </c>
      <c r="G81" s="17" t="s">
        <v>171</v>
      </c>
      <c r="H81" s="17" t="s">
        <v>172</v>
      </c>
      <c r="I81" s="18" t="str">
        <f>HYPERLINK("#'Purchasing'!A1","Purchasing tab → find AAI 4310")</f>
        <v>Purchasing tab → find AAI 4310</v>
      </c>
      <c r="J81" s="17" t="s">
        <v>32</v>
      </c>
      <c r="K81" s="17" t="s">
        <v>32</v>
      </c>
      <c r="L81" s="19" t="s">
        <v>33</v>
      </c>
    </row>
    <row r="82" ht="76" customHeight="1" spans="1:12" x14ac:dyDescent="0.25">
      <c r="A82" s="20" t="s">
        <v>232</v>
      </c>
      <c r="B82" s="10" t="s">
        <v>233</v>
      </c>
      <c r="C82" s="11" t="s">
        <v>87</v>
      </c>
      <c r="D82" s="11" t="s">
        <v>65</v>
      </c>
      <c r="E82" s="11" t="s">
        <v>52</v>
      </c>
      <c r="F82" s="12" t="s">
        <v>234</v>
      </c>
      <c r="G82" s="12" t="s">
        <v>67</v>
      </c>
      <c r="H82" s="12" t="s">
        <v>235</v>
      </c>
      <c r="I82" s="13" t="str">
        <f>HYPERLINK("#'Purchasing'!A1","Purchasing tab → find AAI pair 4310/4320")</f>
        <v>Purchasing tab → find AAI pair 4310/4320</v>
      </c>
      <c r="J82" s="12" t="s">
        <v>32</v>
      </c>
      <c r="K82" s="12" t="s">
        <v>32</v>
      </c>
      <c r="L82" s="14" t="s">
        <v>33</v>
      </c>
    </row>
    <row r="83" ht="76" customHeight="1" spans="1:12" x14ac:dyDescent="0.25">
      <c r="A83" s="20" t="s">
        <v>236</v>
      </c>
      <c r="B83" s="15" t="s">
        <v>237</v>
      </c>
      <c r="C83" s="16" t="s">
        <v>87</v>
      </c>
      <c r="D83" s="16" t="s">
        <v>180</v>
      </c>
      <c r="E83" s="16" t="s">
        <v>52</v>
      </c>
      <c r="F83" s="17" t="s">
        <v>238</v>
      </c>
      <c r="G83" s="17" t="s">
        <v>182</v>
      </c>
      <c r="H83" s="17" t="s">
        <v>183</v>
      </c>
      <c r="I83" s="18" t="str">
        <f>HYPERLINK("#'Manufacturing'!A1","Manufacturing tab → find AAI 3130")</f>
        <v>Manufacturing tab → find AAI 3130</v>
      </c>
      <c r="J83" s="17" t="s">
        <v>32</v>
      </c>
      <c r="K83" s="17" t="s">
        <v>32</v>
      </c>
      <c r="L83" s="19" t="s">
        <v>33</v>
      </c>
    </row>
    <row r="84" ht="90" customHeight="1" spans="1:12" x14ac:dyDescent="0.25">
      <c r="A84" s="20" t="s">
        <v>239</v>
      </c>
      <c r="B84" s="10" t="s">
        <v>240</v>
      </c>
      <c r="C84" s="11" t="s">
        <v>87</v>
      </c>
      <c r="D84" s="11" t="s">
        <v>27</v>
      </c>
      <c r="E84" s="11" t="s">
        <v>59</v>
      </c>
      <c r="F84" s="12" t="s">
        <v>241</v>
      </c>
      <c r="G84" s="12" t="s">
        <v>242</v>
      </c>
      <c r="H84" s="12" t="s">
        <v>243</v>
      </c>
      <c r="I84" s="13" t="str">
        <f>HYPERLINK("#'JDE Data'!A1","JDE Data tab → filter Co=50, AAI=4230, GL=ASGB")</f>
        <v>JDE Data tab → filter Co=50, AAI=4230, GL=ASGB</v>
      </c>
      <c r="J84" s="12" t="s">
        <v>32</v>
      </c>
      <c r="K84" s="12" t="s">
        <v>32</v>
      </c>
      <c r="L84" s="14" t="s">
        <v>33</v>
      </c>
    </row>
    <row r="85" ht="90" customHeight="1" spans="1:12" x14ac:dyDescent="0.25">
      <c r="A85" s="20" t="s">
        <v>244</v>
      </c>
      <c r="B85" s="15" t="s">
        <v>245</v>
      </c>
      <c r="C85" s="16" t="s">
        <v>87</v>
      </c>
      <c r="D85" s="16" t="s">
        <v>27</v>
      </c>
      <c r="E85" s="16" t="s">
        <v>59</v>
      </c>
      <c r="F85" s="17" t="s">
        <v>246</v>
      </c>
      <c r="G85" s="17" t="s">
        <v>242</v>
      </c>
      <c r="H85" s="17" t="s">
        <v>247</v>
      </c>
      <c r="I85" s="18" t="str">
        <f>HYPERLINK("#'JDE Data'!A1","JDE Data tab → filter Co=50, AAI=4230, GL=BRKR")</f>
        <v>JDE Data tab → filter Co=50, AAI=4230, GL=BRKR</v>
      </c>
      <c r="J85" s="17" t="s">
        <v>32</v>
      </c>
      <c r="K85" s="17" t="s">
        <v>32</v>
      </c>
      <c r="L85" s="19" t="s">
        <v>33</v>
      </c>
    </row>
    <row r="86" ht="90" customHeight="1" spans="1:12" x14ac:dyDescent="0.25">
      <c r="A86" s="20" t="s">
        <v>248</v>
      </c>
      <c r="B86" s="10" t="s">
        <v>249</v>
      </c>
      <c r="C86" s="11" t="s">
        <v>87</v>
      </c>
      <c r="D86" s="11" t="s">
        <v>27</v>
      </c>
      <c r="E86" s="11" t="s">
        <v>59</v>
      </c>
      <c r="F86" s="12" t="s">
        <v>250</v>
      </c>
      <c r="G86" s="12" t="s">
        <v>242</v>
      </c>
      <c r="H86" s="12" t="s">
        <v>251</v>
      </c>
      <c r="I86" s="13" t="str">
        <f>HYPERLINK("#'JDE Data'!A1","JDE Data tab → filter Co=50, AAI=4230, GL=BUYP")</f>
        <v>JDE Data tab → filter Co=50, AAI=4230, GL=BUYP</v>
      </c>
      <c r="J86" s="12" t="s">
        <v>32</v>
      </c>
      <c r="K86" s="12" t="s">
        <v>32</v>
      </c>
      <c r="L86" s="14" t="s">
        <v>33</v>
      </c>
    </row>
    <row r="87" ht="90" customHeight="1" spans="1:12" x14ac:dyDescent="0.25">
      <c r="A87" s="20" t="s">
        <v>252</v>
      </c>
      <c r="B87" s="15" t="s">
        <v>253</v>
      </c>
      <c r="C87" s="16" t="s">
        <v>87</v>
      </c>
      <c r="D87" s="16" t="s">
        <v>27</v>
      </c>
      <c r="E87" s="16" t="s">
        <v>59</v>
      </c>
      <c r="F87" s="17" t="s">
        <v>254</v>
      </c>
      <c r="G87" s="17" t="s">
        <v>242</v>
      </c>
      <c r="H87" s="17" t="s">
        <v>255</v>
      </c>
      <c r="I87" s="18" t="str">
        <f>HYPERLINK("#'JDE Data'!A1","JDE Data tab → filter Co=50, AAI=4230, GL=CTRL")</f>
        <v>JDE Data tab → filter Co=50, AAI=4230, GL=CTRL</v>
      </c>
      <c r="J87" s="17" t="s">
        <v>32</v>
      </c>
      <c r="K87" s="17" t="s">
        <v>32</v>
      </c>
      <c r="L87" s="19" t="s">
        <v>33</v>
      </c>
    </row>
    <row r="88" ht="90" customHeight="1" spans="1:12" x14ac:dyDescent="0.25">
      <c r="A88" s="20" t="s">
        <v>256</v>
      </c>
      <c r="B88" s="10" t="s">
        <v>257</v>
      </c>
      <c r="C88" s="11" t="s">
        <v>87</v>
      </c>
      <c r="D88" s="11" t="s">
        <v>27</v>
      </c>
      <c r="E88" s="11" t="s">
        <v>59</v>
      </c>
      <c r="F88" s="12" t="s">
        <v>258</v>
      </c>
      <c r="G88" s="12" t="s">
        <v>242</v>
      </c>
      <c r="H88" s="12" t="s">
        <v>259</v>
      </c>
      <c r="I88" s="13" t="str">
        <f>HYPERLINK("#'JDE Data'!A1","JDE Data tab → filter Co=50, AAI=4230, GL=FT60")</f>
        <v>JDE Data tab → filter Co=50, AAI=4230, GL=FT60</v>
      </c>
      <c r="J88" s="12" t="s">
        <v>32</v>
      </c>
      <c r="K88" s="12" t="s">
        <v>32</v>
      </c>
      <c r="L88" s="14" t="s">
        <v>33</v>
      </c>
    </row>
    <row r="89" ht="90" customHeight="1" spans="1:12" x14ac:dyDescent="0.25">
      <c r="A89" s="20" t="s">
        <v>260</v>
      </c>
      <c r="B89" s="15" t="s">
        <v>261</v>
      </c>
      <c r="C89" s="16" t="s">
        <v>87</v>
      </c>
      <c r="D89" s="16" t="s">
        <v>27</v>
      </c>
      <c r="E89" s="16" t="s">
        <v>59</v>
      </c>
      <c r="F89" s="17" t="s">
        <v>262</v>
      </c>
      <c r="G89" s="17" t="s">
        <v>242</v>
      </c>
      <c r="H89" s="17" t="s">
        <v>263</v>
      </c>
      <c r="I89" s="18" t="str">
        <f>HYPERLINK("#'JDE Data'!A1","JDE Data tab → filter Co=50, AAI=4230, GL=HDWE")</f>
        <v>JDE Data tab → filter Co=50, AAI=4230, GL=HDWE</v>
      </c>
      <c r="J89" s="17" t="s">
        <v>32</v>
      </c>
      <c r="K89" s="17" t="s">
        <v>32</v>
      </c>
      <c r="L89" s="19" t="s">
        <v>33</v>
      </c>
    </row>
    <row r="90" ht="90" customHeight="1" spans="1:12" x14ac:dyDescent="0.25">
      <c r="A90" s="20" t="s">
        <v>264</v>
      </c>
      <c r="B90" s="10" t="s">
        <v>265</v>
      </c>
      <c r="C90" s="11" t="s">
        <v>87</v>
      </c>
      <c r="D90" s="11" t="s">
        <v>27</v>
      </c>
      <c r="E90" s="11" t="s">
        <v>59</v>
      </c>
      <c r="F90" s="12" t="s">
        <v>266</v>
      </c>
      <c r="G90" s="12" t="s">
        <v>242</v>
      </c>
      <c r="H90" s="12" t="s">
        <v>100</v>
      </c>
      <c r="I90" s="13" t="str">
        <f>HYPERLINK("#'JDE Data'!A1","JDE Data tab → filter Co=50, AAI=4230, GL=HTSP")</f>
        <v>JDE Data tab → filter Co=50, AAI=4230, GL=HTSP</v>
      </c>
      <c r="J90" s="12" t="s">
        <v>32</v>
      </c>
      <c r="K90" s="12" t="s">
        <v>32</v>
      </c>
      <c r="L90" s="14" t="s">
        <v>33</v>
      </c>
    </row>
    <row r="91" ht="90" customHeight="1" spans="1:12" x14ac:dyDescent="0.25">
      <c r="A91" s="20" t="s">
        <v>267</v>
      </c>
      <c r="B91" s="15" t="s">
        <v>268</v>
      </c>
      <c r="C91" s="16" t="s">
        <v>87</v>
      </c>
      <c r="D91" s="16" t="s">
        <v>27</v>
      </c>
      <c r="E91" s="16" t="s">
        <v>59</v>
      </c>
      <c r="F91" s="17" t="s">
        <v>269</v>
      </c>
      <c r="G91" s="17" t="s">
        <v>242</v>
      </c>
      <c r="H91" s="17" t="s">
        <v>270</v>
      </c>
      <c r="I91" s="18" t="str">
        <f>HYPERLINK("#'JDE Data'!A1","JDE Data tab → filter Co=50, AAI=4230, GL=MINI")</f>
        <v>JDE Data tab → filter Co=50, AAI=4230, GL=MINI</v>
      </c>
      <c r="J91" s="17" t="s">
        <v>32</v>
      </c>
      <c r="K91" s="17" t="s">
        <v>32</v>
      </c>
      <c r="L91" s="19" t="s">
        <v>33</v>
      </c>
    </row>
    <row r="92" ht="90" customHeight="1" spans="1:12" x14ac:dyDescent="0.25">
      <c r="A92" s="20" t="s">
        <v>271</v>
      </c>
      <c r="B92" s="10" t="s">
        <v>272</v>
      </c>
      <c r="C92" s="11" t="s">
        <v>87</v>
      </c>
      <c r="D92" s="11" t="s">
        <v>27</v>
      </c>
      <c r="E92" s="11" t="s">
        <v>59</v>
      </c>
      <c r="F92" s="12" t="s">
        <v>273</v>
      </c>
      <c r="G92" s="12" t="s">
        <v>242</v>
      </c>
      <c r="H92" s="12" t="s">
        <v>274</v>
      </c>
      <c r="I92" s="13" t="str">
        <f>HYPERLINK("#'JDE Data'!A1","JDE Data tab → filter Co=50, AAI=4230, GL=MLDP")</f>
        <v>JDE Data tab → filter Co=50, AAI=4230, GL=MLDP</v>
      </c>
      <c r="J92" s="12" t="s">
        <v>32</v>
      </c>
      <c r="K92" s="12" t="s">
        <v>32</v>
      </c>
      <c r="L92" s="14" t="s">
        <v>33</v>
      </c>
    </row>
    <row r="93" ht="90" customHeight="1" spans="1:12" x14ac:dyDescent="0.25">
      <c r="A93" s="20" t="s">
        <v>275</v>
      </c>
      <c r="B93" s="15" t="s">
        <v>276</v>
      </c>
      <c r="C93" s="16" t="s">
        <v>87</v>
      </c>
      <c r="D93" s="16" t="s">
        <v>27</v>
      </c>
      <c r="E93" s="16" t="s">
        <v>59</v>
      </c>
      <c r="F93" s="17" t="s">
        <v>277</v>
      </c>
      <c r="G93" s="17" t="s">
        <v>242</v>
      </c>
      <c r="H93" s="17" t="s">
        <v>278</v>
      </c>
      <c r="I93" s="18" t="str">
        <f>HYPERLINK("#'JDE Data'!A1","JDE Data tab → filter Co=50, AAI=4230, GL=OCTO")</f>
        <v>JDE Data tab → filter Co=50, AAI=4230, GL=OCTO</v>
      </c>
      <c r="J93" s="17" t="s">
        <v>32</v>
      </c>
      <c r="K93" s="17" t="s">
        <v>32</v>
      </c>
      <c r="L93" s="19" t="s">
        <v>33</v>
      </c>
    </row>
    <row r="94" ht="90" customHeight="1" spans="1:12" x14ac:dyDescent="0.25">
      <c r="A94" s="20" t="s">
        <v>279</v>
      </c>
      <c r="B94" s="10" t="s">
        <v>280</v>
      </c>
      <c r="C94" s="11" t="s">
        <v>87</v>
      </c>
      <c r="D94" s="11" t="s">
        <v>27</v>
      </c>
      <c r="E94" s="11" t="s">
        <v>59</v>
      </c>
      <c r="F94" s="12" t="s">
        <v>281</v>
      </c>
      <c r="G94" s="12" t="s">
        <v>242</v>
      </c>
      <c r="H94" s="12" t="s">
        <v>282</v>
      </c>
      <c r="I94" s="13" t="str">
        <f>HYPERLINK("#'JDE Data'!A1","JDE Data tab → filter Co=50, AAI=4230, GL=PKGM")</f>
        <v>JDE Data tab → filter Co=50, AAI=4230, GL=PKGM</v>
      </c>
      <c r="J94" s="12" t="s">
        <v>32</v>
      </c>
      <c r="K94" s="12" t="s">
        <v>32</v>
      </c>
      <c r="L94" s="14" t="s">
        <v>33</v>
      </c>
    </row>
    <row r="95" ht="90" customHeight="1" spans="1:12" x14ac:dyDescent="0.25">
      <c r="A95" s="20" t="s">
        <v>283</v>
      </c>
      <c r="B95" s="15" t="s">
        <v>284</v>
      </c>
      <c r="C95" s="16" t="s">
        <v>87</v>
      </c>
      <c r="D95" s="16" t="s">
        <v>27</v>
      </c>
      <c r="E95" s="16" t="s">
        <v>59</v>
      </c>
      <c r="F95" s="17" t="s">
        <v>285</v>
      </c>
      <c r="G95" s="17" t="s">
        <v>242</v>
      </c>
      <c r="H95" s="17" t="s">
        <v>286</v>
      </c>
      <c r="I95" s="18" t="str">
        <f>HYPERLINK("#'JDE Data'!A1","JDE Data tab → filter Co=50, AAI=4230, GL=PNLS")</f>
        <v>JDE Data tab → filter Co=50, AAI=4230, GL=PNLS</v>
      </c>
      <c r="J95" s="17" t="s">
        <v>32</v>
      </c>
      <c r="K95" s="17" t="s">
        <v>32</v>
      </c>
      <c r="L95" s="19" t="s">
        <v>33</v>
      </c>
    </row>
    <row r="96" ht="90" customHeight="1" spans="1:12" x14ac:dyDescent="0.25">
      <c r="A96" s="20" t="s">
        <v>287</v>
      </c>
      <c r="B96" s="10" t="s">
        <v>288</v>
      </c>
      <c r="C96" s="11" t="s">
        <v>87</v>
      </c>
      <c r="D96" s="11" t="s">
        <v>27</v>
      </c>
      <c r="E96" s="11" t="s">
        <v>59</v>
      </c>
      <c r="F96" s="12" t="s">
        <v>289</v>
      </c>
      <c r="G96" s="12" t="s">
        <v>242</v>
      </c>
      <c r="H96" s="12" t="s">
        <v>290</v>
      </c>
      <c r="I96" s="13" t="str">
        <f>HYPERLINK("#'JDE Data'!A1","JDE Data tab → filter Co=50, AAI=4230, GL=PRSP")</f>
        <v>JDE Data tab → filter Co=50, AAI=4230, GL=PRSP</v>
      </c>
      <c r="J96" s="12" t="s">
        <v>32</v>
      </c>
      <c r="K96" s="12" t="s">
        <v>32</v>
      </c>
      <c r="L96" s="14" t="s">
        <v>33</v>
      </c>
    </row>
    <row r="97" ht="90" customHeight="1" spans="1:12" x14ac:dyDescent="0.25">
      <c r="A97" s="20" t="s">
        <v>291</v>
      </c>
      <c r="B97" s="15" t="s">
        <v>292</v>
      </c>
      <c r="C97" s="16" t="s">
        <v>87</v>
      </c>
      <c r="D97" s="16" t="s">
        <v>27</v>
      </c>
      <c r="E97" s="16" t="s">
        <v>59</v>
      </c>
      <c r="F97" s="17" t="s">
        <v>293</v>
      </c>
      <c r="G97" s="17" t="s">
        <v>242</v>
      </c>
      <c r="H97" s="17" t="s">
        <v>294</v>
      </c>
      <c r="I97" s="18" t="str">
        <f>HYPERLINK("#'JDE Data'!A1","JDE Data tab → filter Co=50, AAI=4230, GL=SECD")</f>
        <v>JDE Data tab → filter Co=50, AAI=4230, GL=SECD</v>
      </c>
      <c r="J97" s="17" t="s">
        <v>32</v>
      </c>
      <c r="K97" s="17" t="s">
        <v>32</v>
      </c>
      <c r="L97" s="19" t="s">
        <v>33</v>
      </c>
    </row>
    <row r="98" ht="90" customHeight="1" spans="1:12" x14ac:dyDescent="0.25">
      <c r="A98" s="20" t="s">
        <v>295</v>
      </c>
      <c r="B98" s="10" t="s">
        <v>296</v>
      </c>
      <c r="C98" s="11" t="s">
        <v>87</v>
      </c>
      <c r="D98" s="11" t="s">
        <v>27</v>
      </c>
      <c r="E98" s="11" t="s">
        <v>59</v>
      </c>
      <c r="F98" s="12" t="s">
        <v>297</v>
      </c>
      <c r="G98" s="12" t="s">
        <v>242</v>
      </c>
      <c r="H98" s="12" t="s">
        <v>298</v>
      </c>
      <c r="I98" s="13" t="str">
        <f>HYPERLINK("#'JDE Data'!A1","JDE Data tab → filter Co=50, AAI=4230, GL=SSER")</f>
        <v>JDE Data tab → filter Co=50, AAI=4230, GL=SSER</v>
      </c>
      <c r="J98" s="12" t="s">
        <v>32</v>
      </c>
      <c r="K98" s="12" t="s">
        <v>32</v>
      </c>
      <c r="L98" s="14" t="s">
        <v>33</v>
      </c>
    </row>
    <row r="99" ht="90" customHeight="1" spans="1:12" x14ac:dyDescent="0.25">
      <c r="A99" s="20" t="s">
        <v>299</v>
      </c>
      <c r="B99" s="15" t="s">
        <v>300</v>
      </c>
      <c r="C99" s="16" t="s">
        <v>87</v>
      </c>
      <c r="D99" s="16" t="s">
        <v>27</v>
      </c>
      <c r="E99" s="16" t="s">
        <v>59</v>
      </c>
      <c r="F99" s="17" t="s">
        <v>301</v>
      </c>
      <c r="G99" s="17" t="s">
        <v>242</v>
      </c>
      <c r="H99" s="17" t="s">
        <v>302</v>
      </c>
      <c r="I99" s="18" t="str">
        <f>HYPERLINK("#'JDE Data'!A1","JDE Data tab → filter Co=50, AAI=4230, GL=SUBA")</f>
        <v>JDE Data tab → filter Co=50, AAI=4230, GL=SUBA</v>
      </c>
      <c r="J99" s="17" t="s">
        <v>32</v>
      </c>
      <c r="K99" s="17" t="s">
        <v>32</v>
      </c>
      <c r="L99" s="19" t="s">
        <v>33</v>
      </c>
    </row>
    <row r="100" ht="90" customHeight="1" spans="1:12" x14ac:dyDescent="0.25">
      <c r="A100" s="20" t="s">
        <v>303</v>
      </c>
      <c r="B100" s="10" t="s">
        <v>304</v>
      </c>
      <c r="C100" s="11" t="s">
        <v>87</v>
      </c>
      <c r="D100" s="11" t="s">
        <v>27</v>
      </c>
      <c r="E100" s="11" t="s">
        <v>59</v>
      </c>
      <c r="F100" s="12" t="s">
        <v>305</v>
      </c>
      <c r="G100" s="12" t="s">
        <v>242</v>
      </c>
      <c r="H100" s="12" t="s">
        <v>306</v>
      </c>
      <c r="I100" s="13" t="str">
        <f>HYPERLINK("#'JDE Data'!A1","JDE Data tab → filter Co=50, AAI=4230, GL=SUBC")</f>
        <v>JDE Data tab → filter Co=50, AAI=4230, GL=SUBC</v>
      </c>
      <c r="J100" s="12" t="s">
        <v>32</v>
      </c>
      <c r="K100" s="12" t="s">
        <v>32</v>
      </c>
      <c r="L100" s="14" t="s">
        <v>33</v>
      </c>
    </row>
    <row r="101" ht="90" customHeight="1" spans="1:12" x14ac:dyDescent="0.25">
      <c r="A101" s="20" t="s">
        <v>307</v>
      </c>
      <c r="B101" s="15" t="s">
        <v>308</v>
      </c>
      <c r="C101" s="16" t="s">
        <v>87</v>
      </c>
      <c r="D101" s="16" t="s">
        <v>27</v>
      </c>
      <c r="E101" s="16" t="s">
        <v>59</v>
      </c>
      <c r="F101" s="17" t="s">
        <v>309</v>
      </c>
      <c r="G101" s="17" t="s">
        <v>242</v>
      </c>
      <c r="H101" s="17" t="s">
        <v>310</v>
      </c>
      <c r="I101" s="18" t="str">
        <f>HYPERLINK("#'JDE Data'!A1","JDE Data tab → filter Co=50, AAI=4230, GL=SWIT")</f>
        <v>JDE Data tab → filter Co=50, AAI=4230, GL=SWIT</v>
      </c>
      <c r="J101" s="17" t="s">
        <v>32</v>
      </c>
      <c r="K101" s="17" t="s">
        <v>32</v>
      </c>
      <c r="L101" s="19" t="s">
        <v>33</v>
      </c>
    </row>
    <row r="102" ht="90" customHeight="1" spans="1:12" x14ac:dyDescent="0.25">
      <c r="A102" s="20" t="s">
        <v>311</v>
      </c>
      <c r="B102" s="10" t="s">
        <v>312</v>
      </c>
      <c r="C102" s="11" t="s">
        <v>87</v>
      </c>
      <c r="D102" s="11" t="s">
        <v>27</v>
      </c>
      <c r="E102" s="11" t="s">
        <v>59</v>
      </c>
      <c r="F102" s="12" t="s">
        <v>313</v>
      </c>
      <c r="G102" s="12" t="s">
        <v>242</v>
      </c>
      <c r="H102" s="12" t="s">
        <v>314</v>
      </c>
      <c r="I102" s="13" t="str">
        <f>HYPERLINK("#'JDE Data'!A1","JDE Data tab → filter Co=50, AAI=4230, GL=TBKR")</f>
        <v>JDE Data tab → filter Co=50, AAI=4230, GL=TBKR</v>
      </c>
      <c r="J102" s="12" t="s">
        <v>32</v>
      </c>
      <c r="K102" s="12" t="s">
        <v>32</v>
      </c>
      <c r="L102" s="14" t="s">
        <v>33</v>
      </c>
    </row>
    <row r="103" ht="90" customHeight="1" spans="1:12" x14ac:dyDescent="0.25">
      <c r="A103" s="20" t="s">
        <v>315</v>
      </c>
      <c r="B103" s="15" t="s">
        <v>316</v>
      </c>
      <c r="C103" s="16" t="s">
        <v>87</v>
      </c>
      <c r="D103" s="16" t="s">
        <v>27</v>
      </c>
      <c r="E103" s="16" t="s">
        <v>59</v>
      </c>
      <c r="F103" s="17" t="s">
        <v>317</v>
      </c>
      <c r="G103" s="17" t="s">
        <v>318</v>
      </c>
      <c r="H103" s="17" t="s">
        <v>104</v>
      </c>
      <c r="I103" s="18" t="str">
        <f>HYPERLINK("#'JDE Data'!A1","JDE Data tab → filter Co=50, AAI=4230, GL=NS40")</f>
        <v>JDE Data tab → filter Co=50, AAI=4230, GL=NS40</v>
      </c>
      <c r="J103" s="17" t="s">
        <v>32</v>
      </c>
      <c r="K103" s="17" t="s">
        <v>32</v>
      </c>
      <c r="L103" s="19" t="s">
        <v>33</v>
      </c>
    </row>
    <row r="104" ht="90" customHeight="1" spans="1:12" x14ac:dyDescent="0.25">
      <c r="A104" s="20" t="s">
        <v>319</v>
      </c>
      <c r="B104" s="10" t="s">
        <v>320</v>
      </c>
      <c r="C104" s="11" t="s">
        <v>87</v>
      </c>
      <c r="D104" s="11" t="s">
        <v>27</v>
      </c>
      <c r="E104" s="11" t="s">
        <v>70</v>
      </c>
      <c r="F104" s="12" t="s">
        <v>241</v>
      </c>
      <c r="G104" s="12" t="s">
        <v>242</v>
      </c>
      <c r="H104" s="12" t="s">
        <v>243</v>
      </c>
      <c r="I104" s="13" t="str">
        <f>HYPERLINK("#'JDE Data'!A1","JDE Data tab → filter Co=51, AAI=4230, GL=ASGB")</f>
        <v>JDE Data tab → filter Co=51, AAI=4230, GL=ASGB</v>
      </c>
      <c r="J104" s="12" t="s">
        <v>32</v>
      </c>
      <c r="K104" s="12" t="s">
        <v>32</v>
      </c>
      <c r="L104" s="14" t="s">
        <v>33</v>
      </c>
    </row>
    <row r="105" ht="90" customHeight="1" spans="1:12" x14ac:dyDescent="0.25">
      <c r="A105" s="20" t="s">
        <v>321</v>
      </c>
      <c r="B105" s="15" t="s">
        <v>322</v>
      </c>
      <c r="C105" s="16" t="s">
        <v>87</v>
      </c>
      <c r="D105" s="16" t="s">
        <v>27</v>
      </c>
      <c r="E105" s="16" t="s">
        <v>70</v>
      </c>
      <c r="F105" s="17" t="s">
        <v>246</v>
      </c>
      <c r="G105" s="17" t="s">
        <v>242</v>
      </c>
      <c r="H105" s="17" t="s">
        <v>247</v>
      </c>
      <c r="I105" s="18" t="str">
        <f>HYPERLINK("#'JDE Data'!A1","JDE Data tab → filter Co=51, AAI=4230, GL=BRKR")</f>
        <v>JDE Data tab → filter Co=51, AAI=4230, GL=BRKR</v>
      </c>
      <c r="J105" s="17" t="s">
        <v>32</v>
      </c>
      <c r="K105" s="17" t="s">
        <v>32</v>
      </c>
      <c r="L105" s="19" t="s">
        <v>33</v>
      </c>
    </row>
    <row r="106" ht="90" customHeight="1" spans="1:12" x14ac:dyDescent="0.25">
      <c r="A106" s="20" t="s">
        <v>323</v>
      </c>
      <c r="B106" s="10" t="s">
        <v>324</v>
      </c>
      <c r="C106" s="11" t="s">
        <v>87</v>
      </c>
      <c r="D106" s="11" t="s">
        <v>27</v>
      </c>
      <c r="E106" s="11" t="s">
        <v>70</v>
      </c>
      <c r="F106" s="12" t="s">
        <v>250</v>
      </c>
      <c r="G106" s="12" t="s">
        <v>242</v>
      </c>
      <c r="H106" s="12" t="s">
        <v>251</v>
      </c>
      <c r="I106" s="13" t="str">
        <f>HYPERLINK("#'JDE Data'!A1","JDE Data tab → filter Co=51, AAI=4230, GL=BUYP")</f>
        <v>JDE Data tab → filter Co=51, AAI=4230, GL=BUYP</v>
      </c>
      <c r="J106" s="12" t="s">
        <v>32</v>
      </c>
      <c r="K106" s="12" t="s">
        <v>32</v>
      </c>
      <c r="L106" s="14" t="s">
        <v>33</v>
      </c>
    </row>
    <row r="107" ht="90" customHeight="1" spans="1:12" x14ac:dyDescent="0.25">
      <c r="A107" s="20" t="s">
        <v>325</v>
      </c>
      <c r="B107" s="15" t="s">
        <v>326</v>
      </c>
      <c r="C107" s="16" t="s">
        <v>87</v>
      </c>
      <c r="D107" s="16" t="s">
        <v>27</v>
      </c>
      <c r="E107" s="16" t="s">
        <v>70</v>
      </c>
      <c r="F107" s="17" t="s">
        <v>254</v>
      </c>
      <c r="G107" s="17" t="s">
        <v>242</v>
      </c>
      <c r="H107" s="17" t="s">
        <v>255</v>
      </c>
      <c r="I107" s="18" t="str">
        <f>HYPERLINK("#'JDE Data'!A1","JDE Data tab → filter Co=51, AAI=4230, GL=CTRL")</f>
        <v>JDE Data tab → filter Co=51, AAI=4230, GL=CTRL</v>
      </c>
      <c r="J107" s="17" t="s">
        <v>32</v>
      </c>
      <c r="K107" s="17" t="s">
        <v>32</v>
      </c>
      <c r="L107" s="19" t="s">
        <v>33</v>
      </c>
    </row>
    <row r="108" ht="90" customHeight="1" spans="1:12" x14ac:dyDescent="0.25">
      <c r="A108" s="20" t="s">
        <v>327</v>
      </c>
      <c r="B108" s="10" t="s">
        <v>328</v>
      </c>
      <c r="C108" s="11" t="s">
        <v>87</v>
      </c>
      <c r="D108" s="11" t="s">
        <v>27</v>
      </c>
      <c r="E108" s="11" t="s">
        <v>70</v>
      </c>
      <c r="F108" s="12" t="s">
        <v>258</v>
      </c>
      <c r="G108" s="12" t="s">
        <v>242</v>
      </c>
      <c r="H108" s="12" t="s">
        <v>259</v>
      </c>
      <c r="I108" s="13" t="str">
        <f>HYPERLINK("#'JDE Data'!A1","JDE Data tab → filter Co=51, AAI=4230, GL=FT60")</f>
        <v>JDE Data tab → filter Co=51, AAI=4230, GL=FT60</v>
      </c>
      <c r="J108" s="12" t="s">
        <v>32</v>
      </c>
      <c r="K108" s="12" t="s">
        <v>32</v>
      </c>
      <c r="L108" s="14" t="s">
        <v>33</v>
      </c>
    </row>
    <row r="109" ht="90" customHeight="1" spans="1:12" x14ac:dyDescent="0.25">
      <c r="A109" s="20" t="s">
        <v>329</v>
      </c>
      <c r="B109" s="15" t="s">
        <v>330</v>
      </c>
      <c r="C109" s="16" t="s">
        <v>87</v>
      </c>
      <c r="D109" s="16" t="s">
        <v>27</v>
      </c>
      <c r="E109" s="16" t="s">
        <v>70</v>
      </c>
      <c r="F109" s="17" t="s">
        <v>262</v>
      </c>
      <c r="G109" s="17" t="s">
        <v>242</v>
      </c>
      <c r="H109" s="17" t="s">
        <v>263</v>
      </c>
      <c r="I109" s="18" t="str">
        <f>HYPERLINK("#'JDE Data'!A1","JDE Data tab → filter Co=51, AAI=4230, GL=HDWE")</f>
        <v>JDE Data tab → filter Co=51, AAI=4230, GL=HDWE</v>
      </c>
      <c r="J109" s="17" t="s">
        <v>32</v>
      </c>
      <c r="K109" s="17" t="s">
        <v>32</v>
      </c>
      <c r="L109" s="19" t="s">
        <v>33</v>
      </c>
    </row>
    <row r="110" ht="90" customHeight="1" spans="1:12" x14ac:dyDescent="0.25">
      <c r="A110" s="20" t="s">
        <v>331</v>
      </c>
      <c r="B110" s="10" t="s">
        <v>332</v>
      </c>
      <c r="C110" s="11" t="s">
        <v>87</v>
      </c>
      <c r="D110" s="11" t="s">
        <v>27</v>
      </c>
      <c r="E110" s="11" t="s">
        <v>70</v>
      </c>
      <c r="F110" s="12" t="s">
        <v>266</v>
      </c>
      <c r="G110" s="12" t="s">
        <v>242</v>
      </c>
      <c r="H110" s="12" t="s">
        <v>100</v>
      </c>
      <c r="I110" s="13" t="str">
        <f>HYPERLINK("#'JDE Data'!A1","JDE Data tab → filter Co=51, AAI=4230, GL=HTSP")</f>
        <v>JDE Data tab → filter Co=51, AAI=4230, GL=HTSP</v>
      </c>
      <c r="J110" s="12" t="s">
        <v>32</v>
      </c>
      <c r="K110" s="12" t="s">
        <v>32</v>
      </c>
      <c r="L110" s="14" t="s">
        <v>33</v>
      </c>
    </row>
    <row r="111" ht="90" customHeight="1" spans="1:12" x14ac:dyDescent="0.25">
      <c r="A111" s="20" t="s">
        <v>333</v>
      </c>
      <c r="B111" s="15" t="s">
        <v>334</v>
      </c>
      <c r="C111" s="16" t="s">
        <v>87</v>
      </c>
      <c r="D111" s="16" t="s">
        <v>27</v>
      </c>
      <c r="E111" s="16" t="s">
        <v>70</v>
      </c>
      <c r="F111" s="17" t="s">
        <v>269</v>
      </c>
      <c r="G111" s="17" t="s">
        <v>242</v>
      </c>
      <c r="H111" s="17" t="s">
        <v>270</v>
      </c>
      <c r="I111" s="18" t="str">
        <f>HYPERLINK("#'JDE Data'!A1","JDE Data tab → filter Co=51, AAI=4230, GL=MINI")</f>
        <v>JDE Data tab → filter Co=51, AAI=4230, GL=MINI</v>
      </c>
      <c r="J111" s="17" t="s">
        <v>32</v>
      </c>
      <c r="K111" s="17" t="s">
        <v>32</v>
      </c>
      <c r="L111" s="19" t="s">
        <v>33</v>
      </c>
    </row>
    <row r="112" ht="90" customHeight="1" spans="1:12" x14ac:dyDescent="0.25">
      <c r="A112" s="20" t="s">
        <v>335</v>
      </c>
      <c r="B112" s="10" t="s">
        <v>336</v>
      </c>
      <c r="C112" s="11" t="s">
        <v>87</v>
      </c>
      <c r="D112" s="11" t="s">
        <v>27</v>
      </c>
      <c r="E112" s="11" t="s">
        <v>70</v>
      </c>
      <c r="F112" s="12" t="s">
        <v>273</v>
      </c>
      <c r="G112" s="12" t="s">
        <v>242</v>
      </c>
      <c r="H112" s="12" t="s">
        <v>274</v>
      </c>
      <c r="I112" s="13" t="str">
        <f>HYPERLINK("#'JDE Data'!A1","JDE Data tab → filter Co=51, AAI=4230, GL=MLDP")</f>
        <v>JDE Data tab → filter Co=51, AAI=4230, GL=MLDP</v>
      </c>
      <c r="J112" s="12" t="s">
        <v>32</v>
      </c>
      <c r="K112" s="12" t="s">
        <v>32</v>
      </c>
      <c r="L112" s="14" t="s">
        <v>33</v>
      </c>
    </row>
    <row r="113" ht="90" customHeight="1" spans="1:12" x14ac:dyDescent="0.25">
      <c r="A113" s="20" t="s">
        <v>337</v>
      </c>
      <c r="B113" s="15" t="s">
        <v>338</v>
      </c>
      <c r="C113" s="16" t="s">
        <v>87</v>
      </c>
      <c r="D113" s="16" t="s">
        <v>27</v>
      </c>
      <c r="E113" s="16" t="s">
        <v>70</v>
      </c>
      <c r="F113" s="17" t="s">
        <v>277</v>
      </c>
      <c r="G113" s="17" t="s">
        <v>242</v>
      </c>
      <c r="H113" s="17" t="s">
        <v>278</v>
      </c>
      <c r="I113" s="18" t="str">
        <f>HYPERLINK("#'JDE Data'!A1","JDE Data tab → filter Co=51, AAI=4230, GL=OCTO")</f>
        <v>JDE Data tab → filter Co=51, AAI=4230, GL=OCTO</v>
      </c>
      <c r="J113" s="17" t="s">
        <v>32</v>
      </c>
      <c r="K113" s="17" t="s">
        <v>32</v>
      </c>
      <c r="L113" s="19" t="s">
        <v>33</v>
      </c>
    </row>
    <row r="114" ht="90" customHeight="1" spans="1:12" x14ac:dyDescent="0.25">
      <c r="A114" s="20" t="s">
        <v>339</v>
      </c>
      <c r="B114" s="10" t="s">
        <v>340</v>
      </c>
      <c r="C114" s="11" t="s">
        <v>87</v>
      </c>
      <c r="D114" s="11" t="s">
        <v>27</v>
      </c>
      <c r="E114" s="11" t="s">
        <v>70</v>
      </c>
      <c r="F114" s="12" t="s">
        <v>281</v>
      </c>
      <c r="G114" s="12" t="s">
        <v>242</v>
      </c>
      <c r="H114" s="12" t="s">
        <v>282</v>
      </c>
      <c r="I114" s="13" t="str">
        <f>HYPERLINK("#'JDE Data'!A1","JDE Data tab → filter Co=51, AAI=4230, GL=PKGM")</f>
        <v>JDE Data tab → filter Co=51, AAI=4230, GL=PKGM</v>
      </c>
      <c r="J114" s="12" t="s">
        <v>32</v>
      </c>
      <c r="K114" s="12" t="s">
        <v>32</v>
      </c>
      <c r="L114" s="14" t="s">
        <v>33</v>
      </c>
    </row>
    <row r="115" ht="90" customHeight="1" spans="1:12" x14ac:dyDescent="0.25">
      <c r="A115" s="20" t="s">
        <v>341</v>
      </c>
      <c r="B115" s="15" t="s">
        <v>342</v>
      </c>
      <c r="C115" s="16" t="s">
        <v>87</v>
      </c>
      <c r="D115" s="16" t="s">
        <v>27</v>
      </c>
      <c r="E115" s="16" t="s">
        <v>70</v>
      </c>
      <c r="F115" s="17" t="s">
        <v>285</v>
      </c>
      <c r="G115" s="17" t="s">
        <v>242</v>
      </c>
      <c r="H115" s="17" t="s">
        <v>286</v>
      </c>
      <c r="I115" s="18" t="str">
        <f>HYPERLINK("#'JDE Data'!A1","JDE Data tab → filter Co=51, AAI=4230, GL=PNLS")</f>
        <v>JDE Data tab → filter Co=51, AAI=4230, GL=PNLS</v>
      </c>
      <c r="J115" s="17" t="s">
        <v>32</v>
      </c>
      <c r="K115" s="17" t="s">
        <v>32</v>
      </c>
      <c r="L115" s="19" t="s">
        <v>33</v>
      </c>
    </row>
    <row r="116" ht="90" customHeight="1" spans="1:12" x14ac:dyDescent="0.25">
      <c r="A116" s="20" t="s">
        <v>343</v>
      </c>
      <c r="B116" s="10" t="s">
        <v>344</v>
      </c>
      <c r="C116" s="11" t="s">
        <v>87</v>
      </c>
      <c r="D116" s="11" t="s">
        <v>27</v>
      </c>
      <c r="E116" s="11" t="s">
        <v>70</v>
      </c>
      <c r="F116" s="12" t="s">
        <v>289</v>
      </c>
      <c r="G116" s="12" t="s">
        <v>242</v>
      </c>
      <c r="H116" s="12" t="s">
        <v>290</v>
      </c>
      <c r="I116" s="13" t="str">
        <f>HYPERLINK("#'JDE Data'!A1","JDE Data tab → filter Co=51, AAI=4230, GL=PRSP")</f>
        <v>JDE Data tab → filter Co=51, AAI=4230, GL=PRSP</v>
      </c>
      <c r="J116" s="12" t="s">
        <v>32</v>
      </c>
      <c r="K116" s="12" t="s">
        <v>32</v>
      </c>
      <c r="L116" s="14" t="s">
        <v>33</v>
      </c>
    </row>
    <row r="117" ht="90" customHeight="1" spans="1:12" x14ac:dyDescent="0.25">
      <c r="A117" s="20" t="s">
        <v>345</v>
      </c>
      <c r="B117" s="15" t="s">
        <v>346</v>
      </c>
      <c r="C117" s="16" t="s">
        <v>87</v>
      </c>
      <c r="D117" s="16" t="s">
        <v>27</v>
      </c>
      <c r="E117" s="16" t="s">
        <v>70</v>
      </c>
      <c r="F117" s="17" t="s">
        <v>293</v>
      </c>
      <c r="G117" s="17" t="s">
        <v>242</v>
      </c>
      <c r="H117" s="17" t="s">
        <v>294</v>
      </c>
      <c r="I117" s="18" t="str">
        <f>HYPERLINK("#'JDE Data'!A1","JDE Data tab → filter Co=51, AAI=4230, GL=SECD")</f>
        <v>JDE Data tab → filter Co=51, AAI=4230, GL=SECD</v>
      </c>
      <c r="J117" s="17" t="s">
        <v>32</v>
      </c>
      <c r="K117" s="17" t="s">
        <v>32</v>
      </c>
      <c r="L117" s="19" t="s">
        <v>33</v>
      </c>
    </row>
    <row r="118" ht="90" customHeight="1" spans="1:12" x14ac:dyDescent="0.25">
      <c r="A118" s="20" t="s">
        <v>347</v>
      </c>
      <c r="B118" s="10" t="s">
        <v>348</v>
      </c>
      <c r="C118" s="11" t="s">
        <v>87</v>
      </c>
      <c r="D118" s="11" t="s">
        <v>27</v>
      </c>
      <c r="E118" s="11" t="s">
        <v>70</v>
      </c>
      <c r="F118" s="12" t="s">
        <v>297</v>
      </c>
      <c r="G118" s="12" t="s">
        <v>242</v>
      </c>
      <c r="H118" s="12" t="s">
        <v>298</v>
      </c>
      <c r="I118" s="13" t="str">
        <f>HYPERLINK("#'JDE Data'!A1","JDE Data tab → filter Co=51, AAI=4230, GL=SSER")</f>
        <v>JDE Data tab → filter Co=51, AAI=4230, GL=SSER</v>
      </c>
      <c r="J118" s="12" t="s">
        <v>32</v>
      </c>
      <c r="K118" s="12" t="s">
        <v>32</v>
      </c>
      <c r="L118" s="14" t="s">
        <v>33</v>
      </c>
    </row>
    <row r="119" ht="90" customHeight="1" spans="1:12" x14ac:dyDescent="0.25">
      <c r="A119" s="20" t="s">
        <v>349</v>
      </c>
      <c r="B119" s="15" t="s">
        <v>350</v>
      </c>
      <c r="C119" s="16" t="s">
        <v>87</v>
      </c>
      <c r="D119" s="16" t="s">
        <v>27</v>
      </c>
      <c r="E119" s="16" t="s">
        <v>70</v>
      </c>
      <c r="F119" s="17" t="s">
        <v>301</v>
      </c>
      <c r="G119" s="17" t="s">
        <v>242</v>
      </c>
      <c r="H119" s="17" t="s">
        <v>302</v>
      </c>
      <c r="I119" s="18" t="str">
        <f>HYPERLINK("#'JDE Data'!A1","JDE Data tab → filter Co=51, AAI=4230, GL=SUBA")</f>
        <v>JDE Data tab → filter Co=51, AAI=4230, GL=SUBA</v>
      </c>
      <c r="J119" s="17" t="s">
        <v>32</v>
      </c>
      <c r="K119" s="17" t="s">
        <v>32</v>
      </c>
      <c r="L119" s="19" t="s">
        <v>33</v>
      </c>
    </row>
    <row r="120" ht="90" customHeight="1" spans="1:12" x14ac:dyDescent="0.25">
      <c r="A120" s="20" t="s">
        <v>351</v>
      </c>
      <c r="B120" s="10" t="s">
        <v>352</v>
      </c>
      <c r="C120" s="11" t="s">
        <v>87</v>
      </c>
      <c r="D120" s="11" t="s">
        <v>27</v>
      </c>
      <c r="E120" s="11" t="s">
        <v>70</v>
      </c>
      <c r="F120" s="12" t="s">
        <v>305</v>
      </c>
      <c r="G120" s="12" t="s">
        <v>242</v>
      </c>
      <c r="H120" s="12" t="s">
        <v>306</v>
      </c>
      <c r="I120" s="13" t="str">
        <f>HYPERLINK("#'JDE Data'!A1","JDE Data tab → filter Co=51, AAI=4230, GL=SUBC")</f>
        <v>JDE Data tab → filter Co=51, AAI=4230, GL=SUBC</v>
      </c>
      <c r="J120" s="12" t="s">
        <v>32</v>
      </c>
      <c r="K120" s="12" t="s">
        <v>32</v>
      </c>
      <c r="L120" s="14" t="s">
        <v>33</v>
      </c>
    </row>
    <row r="121" ht="90" customHeight="1" spans="1:12" x14ac:dyDescent="0.25">
      <c r="A121" s="20" t="s">
        <v>353</v>
      </c>
      <c r="B121" s="15" t="s">
        <v>354</v>
      </c>
      <c r="C121" s="16" t="s">
        <v>87</v>
      </c>
      <c r="D121" s="16" t="s">
        <v>27</v>
      </c>
      <c r="E121" s="16" t="s">
        <v>70</v>
      </c>
      <c r="F121" s="17" t="s">
        <v>309</v>
      </c>
      <c r="G121" s="17" t="s">
        <v>242</v>
      </c>
      <c r="H121" s="17" t="s">
        <v>310</v>
      </c>
      <c r="I121" s="18" t="str">
        <f>HYPERLINK("#'JDE Data'!A1","JDE Data tab → filter Co=51, AAI=4230, GL=SWIT")</f>
        <v>JDE Data tab → filter Co=51, AAI=4230, GL=SWIT</v>
      </c>
      <c r="J121" s="17" t="s">
        <v>32</v>
      </c>
      <c r="K121" s="17" t="s">
        <v>32</v>
      </c>
      <c r="L121" s="19" t="s">
        <v>33</v>
      </c>
    </row>
    <row r="122" ht="90" customHeight="1" spans="1:12" x14ac:dyDescent="0.25">
      <c r="A122" s="20" t="s">
        <v>355</v>
      </c>
      <c r="B122" s="10" t="s">
        <v>356</v>
      </c>
      <c r="C122" s="11" t="s">
        <v>87</v>
      </c>
      <c r="D122" s="11" t="s">
        <v>27</v>
      </c>
      <c r="E122" s="11" t="s">
        <v>70</v>
      </c>
      <c r="F122" s="12" t="s">
        <v>313</v>
      </c>
      <c r="G122" s="12" t="s">
        <v>242</v>
      </c>
      <c r="H122" s="12" t="s">
        <v>314</v>
      </c>
      <c r="I122" s="13" t="str">
        <f>HYPERLINK("#'JDE Data'!A1","JDE Data tab → filter Co=51, AAI=4230, GL=TBKR")</f>
        <v>JDE Data tab → filter Co=51, AAI=4230, GL=TBKR</v>
      </c>
      <c r="J122" s="12" t="s">
        <v>32</v>
      </c>
      <c r="K122" s="12" t="s">
        <v>32</v>
      </c>
      <c r="L122" s="14" t="s">
        <v>33</v>
      </c>
    </row>
    <row r="123" ht="90" customHeight="1" spans="1:12" x14ac:dyDescent="0.25">
      <c r="A123" s="20" t="s">
        <v>357</v>
      </c>
      <c r="B123" s="15" t="s">
        <v>358</v>
      </c>
      <c r="C123" s="16" t="s">
        <v>87</v>
      </c>
      <c r="D123" s="16" t="s">
        <v>27</v>
      </c>
      <c r="E123" s="16" t="s">
        <v>70</v>
      </c>
      <c r="F123" s="17" t="s">
        <v>317</v>
      </c>
      <c r="G123" s="17" t="s">
        <v>318</v>
      </c>
      <c r="H123" s="17" t="s">
        <v>104</v>
      </c>
      <c r="I123" s="18" t="str">
        <f>HYPERLINK("#'JDE Data'!A1","JDE Data tab → filter Co=51, AAI=4230, GL=NS40")</f>
        <v>JDE Data tab → filter Co=51, AAI=4230, GL=NS40</v>
      </c>
      <c r="J123" s="17" t="s">
        <v>32</v>
      </c>
      <c r="K123" s="17" t="s">
        <v>32</v>
      </c>
      <c r="L123" s="19" t="s">
        <v>33</v>
      </c>
    </row>
    <row r="124" ht="90" customHeight="1" spans="1:12" x14ac:dyDescent="0.25">
      <c r="A124" s="20" t="s">
        <v>359</v>
      </c>
      <c r="B124" s="10" t="s">
        <v>360</v>
      </c>
      <c r="C124" s="11" t="s">
        <v>87</v>
      </c>
      <c r="D124" s="11" t="s">
        <v>27</v>
      </c>
      <c r="E124" s="11" t="s">
        <v>75</v>
      </c>
      <c r="F124" s="12" t="s">
        <v>241</v>
      </c>
      <c r="G124" s="12" t="s">
        <v>242</v>
      </c>
      <c r="H124" s="12" t="s">
        <v>243</v>
      </c>
      <c r="I124" s="13" t="str">
        <f>HYPERLINK("#'JDE Data'!A1","JDE Data tab → filter Co=53, AAI=4230, GL=ASGB")</f>
        <v>JDE Data tab → filter Co=53, AAI=4230, GL=ASGB</v>
      </c>
      <c r="J124" s="12" t="s">
        <v>32</v>
      </c>
      <c r="K124" s="12" t="s">
        <v>32</v>
      </c>
      <c r="L124" s="14" t="s">
        <v>33</v>
      </c>
    </row>
    <row r="125" ht="90" customHeight="1" spans="1:12" x14ac:dyDescent="0.25">
      <c r="A125" s="20" t="s">
        <v>361</v>
      </c>
      <c r="B125" s="15" t="s">
        <v>362</v>
      </c>
      <c r="C125" s="16" t="s">
        <v>87</v>
      </c>
      <c r="D125" s="16" t="s">
        <v>27</v>
      </c>
      <c r="E125" s="16" t="s">
        <v>75</v>
      </c>
      <c r="F125" s="17" t="s">
        <v>246</v>
      </c>
      <c r="G125" s="17" t="s">
        <v>242</v>
      </c>
      <c r="H125" s="17" t="s">
        <v>247</v>
      </c>
      <c r="I125" s="18" t="str">
        <f>HYPERLINK("#'JDE Data'!A1","JDE Data tab → filter Co=53, AAI=4230, GL=BRKR")</f>
        <v>JDE Data tab → filter Co=53, AAI=4230, GL=BRKR</v>
      </c>
      <c r="J125" s="17" t="s">
        <v>32</v>
      </c>
      <c r="K125" s="17" t="s">
        <v>32</v>
      </c>
      <c r="L125" s="19" t="s">
        <v>33</v>
      </c>
    </row>
    <row r="126" ht="90" customHeight="1" spans="1:12" x14ac:dyDescent="0.25">
      <c r="A126" s="20" t="s">
        <v>363</v>
      </c>
      <c r="B126" s="10" t="s">
        <v>364</v>
      </c>
      <c r="C126" s="11" t="s">
        <v>87</v>
      </c>
      <c r="D126" s="11" t="s">
        <v>27</v>
      </c>
      <c r="E126" s="11" t="s">
        <v>75</v>
      </c>
      <c r="F126" s="12" t="s">
        <v>250</v>
      </c>
      <c r="G126" s="12" t="s">
        <v>242</v>
      </c>
      <c r="H126" s="12" t="s">
        <v>251</v>
      </c>
      <c r="I126" s="13" t="str">
        <f>HYPERLINK("#'JDE Data'!A1","JDE Data tab → filter Co=53, AAI=4230, GL=BUYP")</f>
        <v>JDE Data tab → filter Co=53, AAI=4230, GL=BUYP</v>
      </c>
      <c r="J126" s="12" t="s">
        <v>32</v>
      </c>
      <c r="K126" s="12" t="s">
        <v>32</v>
      </c>
      <c r="L126" s="14" t="s">
        <v>33</v>
      </c>
    </row>
    <row r="127" ht="90" customHeight="1" spans="1:12" x14ac:dyDescent="0.25">
      <c r="A127" s="20" t="s">
        <v>365</v>
      </c>
      <c r="B127" s="15" t="s">
        <v>366</v>
      </c>
      <c r="C127" s="16" t="s">
        <v>87</v>
      </c>
      <c r="D127" s="16" t="s">
        <v>27</v>
      </c>
      <c r="E127" s="16" t="s">
        <v>75</v>
      </c>
      <c r="F127" s="17" t="s">
        <v>254</v>
      </c>
      <c r="G127" s="17" t="s">
        <v>242</v>
      </c>
      <c r="H127" s="17" t="s">
        <v>255</v>
      </c>
      <c r="I127" s="18" t="str">
        <f>HYPERLINK("#'JDE Data'!A1","JDE Data tab → filter Co=53, AAI=4230, GL=CTRL")</f>
        <v>JDE Data tab → filter Co=53, AAI=4230, GL=CTRL</v>
      </c>
      <c r="J127" s="17" t="s">
        <v>32</v>
      </c>
      <c r="K127" s="17" t="s">
        <v>32</v>
      </c>
      <c r="L127" s="19" t="s">
        <v>33</v>
      </c>
    </row>
    <row r="128" ht="90" customHeight="1" spans="1:12" x14ac:dyDescent="0.25">
      <c r="A128" s="20" t="s">
        <v>367</v>
      </c>
      <c r="B128" s="10" t="s">
        <v>368</v>
      </c>
      <c r="C128" s="11" t="s">
        <v>87</v>
      </c>
      <c r="D128" s="11" t="s">
        <v>27</v>
      </c>
      <c r="E128" s="11" t="s">
        <v>75</v>
      </c>
      <c r="F128" s="12" t="s">
        <v>258</v>
      </c>
      <c r="G128" s="12" t="s">
        <v>242</v>
      </c>
      <c r="H128" s="12" t="s">
        <v>259</v>
      </c>
      <c r="I128" s="13" t="str">
        <f>HYPERLINK("#'JDE Data'!A1","JDE Data tab → filter Co=53, AAI=4230, GL=FT60")</f>
        <v>JDE Data tab → filter Co=53, AAI=4230, GL=FT60</v>
      </c>
      <c r="J128" s="12" t="s">
        <v>32</v>
      </c>
      <c r="K128" s="12" t="s">
        <v>32</v>
      </c>
      <c r="L128" s="14" t="s">
        <v>33</v>
      </c>
    </row>
    <row r="129" ht="90" customHeight="1" spans="1:12" x14ac:dyDescent="0.25">
      <c r="A129" s="20" t="s">
        <v>369</v>
      </c>
      <c r="B129" s="15" t="s">
        <v>370</v>
      </c>
      <c r="C129" s="16" t="s">
        <v>87</v>
      </c>
      <c r="D129" s="16" t="s">
        <v>27</v>
      </c>
      <c r="E129" s="16" t="s">
        <v>75</v>
      </c>
      <c r="F129" s="17" t="s">
        <v>262</v>
      </c>
      <c r="G129" s="17" t="s">
        <v>242</v>
      </c>
      <c r="H129" s="17" t="s">
        <v>263</v>
      </c>
      <c r="I129" s="18" t="str">
        <f>HYPERLINK("#'JDE Data'!A1","JDE Data tab → filter Co=53, AAI=4230, GL=HDWE")</f>
        <v>JDE Data tab → filter Co=53, AAI=4230, GL=HDWE</v>
      </c>
      <c r="J129" s="17" t="s">
        <v>32</v>
      </c>
      <c r="K129" s="17" t="s">
        <v>32</v>
      </c>
      <c r="L129" s="19" t="s">
        <v>33</v>
      </c>
    </row>
    <row r="130" ht="90" customHeight="1" spans="1:12" x14ac:dyDescent="0.25">
      <c r="A130" s="20" t="s">
        <v>371</v>
      </c>
      <c r="B130" s="10" t="s">
        <v>372</v>
      </c>
      <c r="C130" s="11" t="s">
        <v>87</v>
      </c>
      <c r="D130" s="11" t="s">
        <v>27</v>
      </c>
      <c r="E130" s="11" t="s">
        <v>75</v>
      </c>
      <c r="F130" s="12" t="s">
        <v>266</v>
      </c>
      <c r="G130" s="12" t="s">
        <v>242</v>
      </c>
      <c r="H130" s="12" t="s">
        <v>100</v>
      </c>
      <c r="I130" s="13" t="str">
        <f>HYPERLINK("#'JDE Data'!A1","JDE Data tab → filter Co=53, AAI=4230, GL=HTSP")</f>
        <v>JDE Data tab → filter Co=53, AAI=4230, GL=HTSP</v>
      </c>
      <c r="J130" s="12" t="s">
        <v>32</v>
      </c>
      <c r="K130" s="12" t="s">
        <v>32</v>
      </c>
      <c r="L130" s="14" t="s">
        <v>33</v>
      </c>
    </row>
    <row r="131" ht="90" customHeight="1" spans="1:12" x14ac:dyDescent="0.25">
      <c r="A131" s="20" t="s">
        <v>373</v>
      </c>
      <c r="B131" s="15" t="s">
        <v>374</v>
      </c>
      <c r="C131" s="16" t="s">
        <v>87</v>
      </c>
      <c r="D131" s="16" t="s">
        <v>27</v>
      </c>
      <c r="E131" s="16" t="s">
        <v>75</v>
      </c>
      <c r="F131" s="17" t="s">
        <v>269</v>
      </c>
      <c r="G131" s="17" t="s">
        <v>242</v>
      </c>
      <c r="H131" s="17" t="s">
        <v>270</v>
      </c>
      <c r="I131" s="18" t="str">
        <f>HYPERLINK("#'JDE Data'!A1","JDE Data tab → filter Co=53, AAI=4230, GL=MINI")</f>
        <v>JDE Data tab → filter Co=53, AAI=4230, GL=MINI</v>
      </c>
      <c r="J131" s="17" t="s">
        <v>32</v>
      </c>
      <c r="K131" s="17" t="s">
        <v>32</v>
      </c>
      <c r="L131" s="19" t="s">
        <v>33</v>
      </c>
    </row>
    <row r="132" ht="90" customHeight="1" spans="1:12" x14ac:dyDescent="0.25">
      <c r="A132" s="20" t="s">
        <v>375</v>
      </c>
      <c r="B132" s="10" t="s">
        <v>376</v>
      </c>
      <c r="C132" s="11" t="s">
        <v>87</v>
      </c>
      <c r="D132" s="11" t="s">
        <v>27</v>
      </c>
      <c r="E132" s="11" t="s">
        <v>75</v>
      </c>
      <c r="F132" s="12" t="s">
        <v>273</v>
      </c>
      <c r="G132" s="12" t="s">
        <v>242</v>
      </c>
      <c r="H132" s="12" t="s">
        <v>274</v>
      </c>
      <c r="I132" s="13" t="str">
        <f>HYPERLINK("#'JDE Data'!A1","JDE Data tab → filter Co=53, AAI=4230, GL=MLDP")</f>
        <v>JDE Data tab → filter Co=53, AAI=4230, GL=MLDP</v>
      </c>
      <c r="J132" s="12" t="s">
        <v>32</v>
      </c>
      <c r="K132" s="12" t="s">
        <v>32</v>
      </c>
      <c r="L132" s="14" t="s">
        <v>33</v>
      </c>
    </row>
    <row r="133" ht="90" customHeight="1" spans="1:12" x14ac:dyDescent="0.25">
      <c r="A133" s="20" t="s">
        <v>377</v>
      </c>
      <c r="B133" s="15" t="s">
        <v>378</v>
      </c>
      <c r="C133" s="16" t="s">
        <v>87</v>
      </c>
      <c r="D133" s="16" t="s">
        <v>27</v>
      </c>
      <c r="E133" s="16" t="s">
        <v>75</v>
      </c>
      <c r="F133" s="17" t="s">
        <v>277</v>
      </c>
      <c r="G133" s="17" t="s">
        <v>242</v>
      </c>
      <c r="H133" s="17" t="s">
        <v>278</v>
      </c>
      <c r="I133" s="18" t="str">
        <f>HYPERLINK("#'JDE Data'!A1","JDE Data tab → filter Co=53, AAI=4230, GL=OCTO")</f>
        <v>JDE Data tab → filter Co=53, AAI=4230, GL=OCTO</v>
      </c>
      <c r="J133" s="17" t="s">
        <v>32</v>
      </c>
      <c r="K133" s="17" t="s">
        <v>32</v>
      </c>
      <c r="L133" s="19" t="s">
        <v>33</v>
      </c>
    </row>
    <row r="134" ht="90" customHeight="1" spans="1:12" x14ac:dyDescent="0.25">
      <c r="A134" s="20" t="s">
        <v>379</v>
      </c>
      <c r="B134" s="10" t="s">
        <v>380</v>
      </c>
      <c r="C134" s="11" t="s">
        <v>87</v>
      </c>
      <c r="D134" s="11" t="s">
        <v>27</v>
      </c>
      <c r="E134" s="11" t="s">
        <v>75</v>
      </c>
      <c r="F134" s="12" t="s">
        <v>281</v>
      </c>
      <c r="G134" s="12" t="s">
        <v>242</v>
      </c>
      <c r="H134" s="12" t="s">
        <v>282</v>
      </c>
      <c r="I134" s="13" t="str">
        <f>HYPERLINK("#'JDE Data'!A1","JDE Data tab → filter Co=53, AAI=4230, GL=PKGM")</f>
        <v>JDE Data tab → filter Co=53, AAI=4230, GL=PKGM</v>
      </c>
      <c r="J134" s="12" t="s">
        <v>32</v>
      </c>
      <c r="K134" s="12" t="s">
        <v>32</v>
      </c>
      <c r="L134" s="14" t="s">
        <v>33</v>
      </c>
    </row>
    <row r="135" ht="90" customHeight="1" spans="1:12" x14ac:dyDescent="0.25">
      <c r="A135" s="20" t="s">
        <v>381</v>
      </c>
      <c r="B135" s="15" t="s">
        <v>382</v>
      </c>
      <c r="C135" s="16" t="s">
        <v>87</v>
      </c>
      <c r="D135" s="16" t="s">
        <v>27</v>
      </c>
      <c r="E135" s="16" t="s">
        <v>75</v>
      </c>
      <c r="F135" s="17" t="s">
        <v>285</v>
      </c>
      <c r="G135" s="17" t="s">
        <v>242</v>
      </c>
      <c r="H135" s="17" t="s">
        <v>286</v>
      </c>
      <c r="I135" s="18" t="str">
        <f>HYPERLINK("#'JDE Data'!A1","JDE Data tab → filter Co=53, AAI=4230, GL=PNLS")</f>
        <v>JDE Data tab → filter Co=53, AAI=4230, GL=PNLS</v>
      </c>
      <c r="J135" s="17" t="s">
        <v>32</v>
      </c>
      <c r="K135" s="17" t="s">
        <v>32</v>
      </c>
      <c r="L135" s="19" t="s">
        <v>33</v>
      </c>
    </row>
    <row r="136" ht="90" customHeight="1" spans="1:12" x14ac:dyDescent="0.25">
      <c r="A136" s="20" t="s">
        <v>383</v>
      </c>
      <c r="B136" s="10" t="s">
        <v>384</v>
      </c>
      <c r="C136" s="11" t="s">
        <v>87</v>
      </c>
      <c r="D136" s="11" t="s">
        <v>27</v>
      </c>
      <c r="E136" s="11" t="s">
        <v>75</v>
      </c>
      <c r="F136" s="12" t="s">
        <v>289</v>
      </c>
      <c r="G136" s="12" t="s">
        <v>242</v>
      </c>
      <c r="H136" s="12" t="s">
        <v>290</v>
      </c>
      <c r="I136" s="13" t="str">
        <f>HYPERLINK("#'JDE Data'!A1","JDE Data tab → filter Co=53, AAI=4230, GL=PRSP")</f>
        <v>JDE Data tab → filter Co=53, AAI=4230, GL=PRSP</v>
      </c>
      <c r="J136" s="12" t="s">
        <v>32</v>
      </c>
      <c r="K136" s="12" t="s">
        <v>32</v>
      </c>
      <c r="L136" s="14" t="s">
        <v>33</v>
      </c>
    </row>
    <row r="137" ht="90" customHeight="1" spans="1:12" x14ac:dyDescent="0.25">
      <c r="A137" s="20" t="s">
        <v>385</v>
      </c>
      <c r="B137" s="15" t="s">
        <v>386</v>
      </c>
      <c r="C137" s="16" t="s">
        <v>87</v>
      </c>
      <c r="D137" s="16" t="s">
        <v>27</v>
      </c>
      <c r="E137" s="16" t="s">
        <v>75</v>
      </c>
      <c r="F137" s="17" t="s">
        <v>293</v>
      </c>
      <c r="G137" s="17" t="s">
        <v>242</v>
      </c>
      <c r="H137" s="17" t="s">
        <v>294</v>
      </c>
      <c r="I137" s="18" t="str">
        <f>HYPERLINK("#'JDE Data'!A1","JDE Data tab → filter Co=53, AAI=4230, GL=SECD")</f>
        <v>JDE Data tab → filter Co=53, AAI=4230, GL=SECD</v>
      </c>
      <c r="J137" s="17" t="s">
        <v>32</v>
      </c>
      <c r="K137" s="17" t="s">
        <v>32</v>
      </c>
      <c r="L137" s="19" t="s">
        <v>33</v>
      </c>
    </row>
    <row r="138" ht="90" customHeight="1" spans="1:12" x14ac:dyDescent="0.25">
      <c r="A138" s="20" t="s">
        <v>387</v>
      </c>
      <c r="B138" s="10" t="s">
        <v>388</v>
      </c>
      <c r="C138" s="11" t="s">
        <v>87</v>
      </c>
      <c r="D138" s="11" t="s">
        <v>27</v>
      </c>
      <c r="E138" s="11" t="s">
        <v>75</v>
      </c>
      <c r="F138" s="12" t="s">
        <v>297</v>
      </c>
      <c r="G138" s="12" t="s">
        <v>242</v>
      </c>
      <c r="H138" s="12" t="s">
        <v>298</v>
      </c>
      <c r="I138" s="13" t="str">
        <f>HYPERLINK("#'JDE Data'!A1","JDE Data tab → filter Co=53, AAI=4230, GL=SSER")</f>
        <v>JDE Data tab → filter Co=53, AAI=4230, GL=SSER</v>
      </c>
      <c r="J138" s="12" t="s">
        <v>32</v>
      </c>
      <c r="K138" s="12" t="s">
        <v>32</v>
      </c>
      <c r="L138" s="14" t="s">
        <v>33</v>
      </c>
    </row>
    <row r="139" ht="90" customHeight="1" spans="1:12" x14ac:dyDescent="0.25">
      <c r="A139" s="20" t="s">
        <v>389</v>
      </c>
      <c r="B139" s="15" t="s">
        <v>390</v>
      </c>
      <c r="C139" s="16" t="s">
        <v>87</v>
      </c>
      <c r="D139" s="16" t="s">
        <v>27</v>
      </c>
      <c r="E139" s="16" t="s">
        <v>75</v>
      </c>
      <c r="F139" s="17" t="s">
        <v>301</v>
      </c>
      <c r="G139" s="17" t="s">
        <v>242</v>
      </c>
      <c r="H139" s="17" t="s">
        <v>302</v>
      </c>
      <c r="I139" s="18" t="str">
        <f>HYPERLINK("#'JDE Data'!A1","JDE Data tab → filter Co=53, AAI=4230, GL=SUBA")</f>
        <v>JDE Data tab → filter Co=53, AAI=4230, GL=SUBA</v>
      </c>
      <c r="J139" s="17" t="s">
        <v>32</v>
      </c>
      <c r="K139" s="17" t="s">
        <v>32</v>
      </c>
      <c r="L139" s="19" t="s">
        <v>33</v>
      </c>
    </row>
    <row r="140" ht="90" customHeight="1" spans="1:12" x14ac:dyDescent="0.25">
      <c r="A140" s="20" t="s">
        <v>391</v>
      </c>
      <c r="B140" s="10" t="s">
        <v>392</v>
      </c>
      <c r="C140" s="11" t="s">
        <v>87</v>
      </c>
      <c r="D140" s="11" t="s">
        <v>27</v>
      </c>
      <c r="E140" s="11" t="s">
        <v>75</v>
      </c>
      <c r="F140" s="12" t="s">
        <v>305</v>
      </c>
      <c r="G140" s="12" t="s">
        <v>242</v>
      </c>
      <c r="H140" s="12" t="s">
        <v>306</v>
      </c>
      <c r="I140" s="13" t="str">
        <f>HYPERLINK("#'JDE Data'!A1","JDE Data tab → filter Co=53, AAI=4230, GL=SUBC")</f>
        <v>JDE Data tab → filter Co=53, AAI=4230, GL=SUBC</v>
      </c>
      <c r="J140" s="12" t="s">
        <v>32</v>
      </c>
      <c r="K140" s="12" t="s">
        <v>32</v>
      </c>
      <c r="L140" s="14" t="s">
        <v>33</v>
      </c>
    </row>
    <row r="141" ht="90" customHeight="1" spans="1:12" x14ac:dyDescent="0.25">
      <c r="A141" s="20" t="s">
        <v>393</v>
      </c>
      <c r="B141" s="15" t="s">
        <v>394</v>
      </c>
      <c r="C141" s="16" t="s">
        <v>87</v>
      </c>
      <c r="D141" s="16" t="s">
        <v>27</v>
      </c>
      <c r="E141" s="16" t="s">
        <v>75</v>
      </c>
      <c r="F141" s="17" t="s">
        <v>309</v>
      </c>
      <c r="G141" s="17" t="s">
        <v>242</v>
      </c>
      <c r="H141" s="17" t="s">
        <v>310</v>
      </c>
      <c r="I141" s="18" t="str">
        <f>HYPERLINK("#'JDE Data'!A1","JDE Data tab → filter Co=53, AAI=4230, GL=SWIT")</f>
        <v>JDE Data tab → filter Co=53, AAI=4230, GL=SWIT</v>
      </c>
      <c r="J141" s="17" t="s">
        <v>32</v>
      </c>
      <c r="K141" s="17" t="s">
        <v>32</v>
      </c>
      <c r="L141" s="19" t="s">
        <v>33</v>
      </c>
    </row>
    <row r="142" ht="90" customHeight="1" spans="1:12" x14ac:dyDescent="0.25">
      <c r="A142" s="20" t="s">
        <v>395</v>
      </c>
      <c r="B142" s="10" t="s">
        <v>396</v>
      </c>
      <c r="C142" s="11" t="s">
        <v>87</v>
      </c>
      <c r="D142" s="11" t="s">
        <v>27</v>
      </c>
      <c r="E142" s="11" t="s">
        <v>75</v>
      </c>
      <c r="F142" s="12" t="s">
        <v>313</v>
      </c>
      <c r="G142" s="12" t="s">
        <v>242</v>
      </c>
      <c r="H142" s="12" t="s">
        <v>314</v>
      </c>
      <c r="I142" s="13" t="str">
        <f>HYPERLINK("#'JDE Data'!A1","JDE Data tab → filter Co=53, AAI=4230, GL=TBKR")</f>
        <v>JDE Data tab → filter Co=53, AAI=4230, GL=TBKR</v>
      </c>
      <c r="J142" s="12" t="s">
        <v>32</v>
      </c>
      <c r="K142" s="12" t="s">
        <v>32</v>
      </c>
      <c r="L142" s="14" t="s">
        <v>33</v>
      </c>
    </row>
    <row r="143" ht="90" customHeight="1" spans="1:12" x14ac:dyDescent="0.25">
      <c r="A143" s="20" t="s">
        <v>397</v>
      </c>
      <c r="B143" s="15" t="s">
        <v>398</v>
      </c>
      <c r="C143" s="16" t="s">
        <v>87</v>
      </c>
      <c r="D143" s="16" t="s">
        <v>27</v>
      </c>
      <c r="E143" s="16" t="s">
        <v>75</v>
      </c>
      <c r="F143" s="17" t="s">
        <v>317</v>
      </c>
      <c r="G143" s="17" t="s">
        <v>318</v>
      </c>
      <c r="H143" s="17" t="s">
        <v>104</v>
      </c>
      <c r="I143" s="18" t="str">
        <f>HYPERLINK("#'JDE Data'!A1","JDE Data tab → filter Co=53, AAI=4230, GL=NS40")</f>
        <v>JDE Data tab → filter Co=53, AAI=4230, GL=NS40</v>
      </c>
      <c r="J143" s="17" t="s">
        <v>32</v>
      </c>
      <c r="K143" s="17" t="s">
        <v>32</v>
      </c>
      <c r="L143" s="19" t="s">
        <v>33</v>
      </c>
    </row>
    <row r="144" ht="76" customHeight="1" spans="1:12" x14ac:dyDescent="0.25">
      <c r="A144" s="20" t="s">
        <v>399</v>
      </c>
      <c r="B144" s="10" t="s">
        <v>400</v>
      </c>
      <c r="C144" s="11" t="s">
        <v>87</v>
      </c>
      <c r="D144" s="11" t="s">
        <v>27</v>
      </c>
      <c r="E144" s="11" t="s">
        <v>80</v>
      </c>
      <c r="F144" s="12" t="s">
        <v>88</v>
      </c>
      <c r="G144" s="12" t="s">
        <v>89</v>
      </c>
      <c r="H144" s="12" t="s">
        <v>90</v>
      </c>
      <c r="I144" s="13" t="str">
        <f>HYPERLINK("#'Sales'!A1","Sales tab → find AAI pair 4240/4220")</f>
        <v>Sales tab → find AAI pair 4240/4220</v>
      </c>
      <c r="J144" s="12" t="s">
        <v>32</v>
      </c>
      <c r="K144" s="12" t="s">
        <v>32</v>
      </c>
      <c r="L144" s="14" t="s">
        <v>33</v>
      </c>
    </row>
    <row r="145" ht="76" customHeight="1" spans="1:12" x14ac:dyDescent="0.25">
      <c r="A145" s="20" t="s">
        <v>401</v>
      </c>
      <c r="B145" s="15" t="s">
        <v>402</v>
      </c>
      <c r="C145" s="16" t="s">
        <v>87</v>
      </c>
      <c r="D145" s="16" t="s">
        <v>27</v>
      </c>
      <c r="E145" s="16" t="s">
        <v>80</v>
      </c>
      <c r="F145" s="17" t="s">
        <v>93</v>
      </c>
      <c r="G145" s="17" t="s">
        <v>94</v>
      </c>
      <c r="H145" s="17" t="s">
        <v>95</v>
      </c>
      <c r="I145" s="18" t="str">
        <f>HYPERLINK("#'Sales'!A1","Sales tab → find AAI pair 4240/4220")</f>
        <v>Sales tab → find AAI pair 4240/4220</v>
      </c>
      <c r="J145" s="17" t="s">
        <v>32</v>
      </c>
      <c r="K145" s="17" t="s">
        <v>32</v>
      </c>
      <c r="L145" s="19" t="s">
        <v>33</v>
      </c>
    </row>
    <row r="146" ht="90" customHeight="1" spans="1:12" x14ac:dyDescent="0.25">
      <c r="A146" s="20" t="s">
        <v>403</v>
      </c>
      <c r="B146" s="10" t="s">
        <v>404</v>
      </c>
      <c r="C146" s="11" t="s">
        <v>87</v>
      </c>
      <c r="D146" s="11" t="s">
        <v>27</v>
      </c>
      <c r="E146" s="11" t="s">
        <v>80</v>
      </c>
      <c r="F146" s="12" t="s">
        <v>98</v>
      </c>
      <c r="G146" s="12" t="s">
        <v>99</v>
      </c>
      <c r="H146" s="12" t="s">
        <v>100</v>
      </c>
      <c r="I146" s="13" t="str">
        <f>HYPERLINK("#'JDE Data'!A1","JDE Data tab → filter Co=60, AAI=4220, GL=HTSP")</f>
        <v>JDE Data tab → filter Co=60, AAI=4220, GL=HTSP</v>
      </c>
      <c r="J146" s="12" t="s">
        <v>32</v>
      </c>
      <c r="K146" s="12" t="s">
        <v>32</v>
      </c>
      <c r="L146" s="14" t="s">
        <v>33</v>
      </c>
    </row>
    <row r="147" ht="90" customHeight="1" spans="1:12" x14ac:dyDescent="0.25">
      <c r="A147" s="20" t="s">
        <v>405</v>
      </c>
      <c r="B147" s="15" t="s">
        <v>406</v>
      </c>
      <c r="C147" s="16" t="s">
        <v>87</v>
      </c>
      <c r="D147" s="16" t="s">
        <v>27</v>
      </c>
      <c r="E147" s="16" t="s">
        <v>80</v>
      </c>
      <c r="F147" s="17" t="s">
        <v>103</v>
      </c>
      <c r="G147" s="17" t="s">
        <v>99</v>
      </c>
      <c r="H147" s="17" t="s">
        <v>104</v>
      </c>
      <c r="I147" s="18" t="str">
        <f>HYPERLINK("#'JDE Data'!A1","JDE Data tab → filter Co=60, AAI=4220, GL=NS40")</f>
        <v>JDE Data tab → filter Co=60, AAI=4220, GL=NS40</v>
      </c>
      <c r="J147" s="17" t="s">
        <v>32</v>
      </c>
      <c r="K147" s="17" t="s">
        <v>32</v>
      </c>
      <c r="L147" s="19" t="s">
        <v>33</v>
      </c>
    </row>
    <row r="148" ht="90" customHeight="1" spans="1:12" x14ac:dyDescent="0.25">
      <c r="A148" s="20" t="s">
        <v>407</v>
      </c>
      <c r="B148" s="10" t="s">
        <v>408</v>
      </c>
      <c r="C148" s="11" t="s">
        <v>87</v>
      </c>
      <c r="D148" s="11" t="s">
        <v>27</v>
      </c>
      <c r="E148" s="11" t="s">
        <v>80</v>
      </c>
      <c r="F148" s="12" t="s">
        <v>107</v>
      </c>
      <c r="G148" s="12" t="s">
        <v>99</v>
      </c>
      <c r="H148" s="12" t="s">
        <v>108</v>
      </c>
      <c r="I148" s="13" t="str">
        <f>HYPERLINK("#'JDE Data'!A1","JDE Data tab → filter Co=60, AAI=4220, GL=SUPP")</f>
        <v>JDE Data tab → filter Co=60, AAI=4220, GL=SUPP</v>
      </c>
      <c r="J148" s="12" t="s">
        <v>32</v>
      </c>
      <c r="K148" s="12" t="s">
        <v>32</v>
      </c>
      <c r="L148" s="14" t="s">
        <v>33</v>
      </c>
    </row>
    <row r="149" ht="90" customHeight="1" spans="1:12" x14ac:dyDescent="0.25">
      <c r="A149" s="20" t="s">
        <v>409</v>
      </c>
      <c r="B149" s="15" t="s">
        <v>410</v>
      </c>
      <c r="C149" s="16" t="s">
        <v>87</v>
      </c>
      <c r="D149" s="16" t="s">
        <v>27</v>
      </c>
      <c r="E149" s="16" t="s">
        <v>80</v>
      </c>
      <c r="F149" s="17" t="s">
        <v>111</v>
      </c>
      <c r="G149" s="17" t="s">
        <v>112</v>
      </c>
      <c r="H149" s="17" t="s">
        <v>113</v>
      </c>
      <c r="I149" s="18" t="str">
        <f>HYPERLINK("#'JDE Data'!A1","JDE Data tab → filter Co=60, AAI=4220, GL=TDM1")</f>
        <v>JDE Data tab → filter Co=60, AAI=4220, GL=TDM1</v>
      </c>
      <c r="J149" s="17" t="s">
        <v>32</v>
      </c>
      <c r="K149" s="17" t="s">
        <v>32</v>
      </c>
      <c r="L149" s="19" t="s">
        <v>33</v>
      </c>
    </row>
    <row r="150" ht="90" customHeight="1" spans="1:12" x14ac:dyDescent="0.25">
      <c r="A150" s="20" t="s">
        <v>411</v>
      </c>
      <c r="B150" s="10" t="s">
        <v>412</v>
      </c>
      <c r="C150" s="11" t="s">
        <v>87</v>
      </c>
      <c r="D150" s="11" t="s">
        <v>27</v>
      </c>
      <c r="E150" s="11" t="s">
        <v>80</v>
      </c>
      <c r="F150" s="12" t="s">
        <v>116</v>
      </c>
      <c r="G150" s="12" t="s">
        <v>112</v>
      </c>
      <c r="H150" s="12" t="s">
        <v>117</v>
      </c>
      <c r="I150" s="13" t="str">
        <f>HYPERLINK("#'JDE Data'!A1","JDE Data tab → filter Co=60, AAI=4220, GL=TDM2")</f>
        <v>JDE Data tab → filter Co=60, AAI=4220, GL=TDM2</v>
      </c>
      <c r="J150" s="12" t="s">
        <v>32</v>
      </c>
      <c r="K150" s="12" t="s">
        <v>32</v>
      </c>
      <c r="L150" s="14" t="s">
        <v>33</v>
      </c>
    </row>
    <row r="151" ht="90" customHeight="1" spans="1:12" x14ac:dyDescent="0.25">
      <c r="A151" s="20" t="s">
        <v>413</v>
      </c>
      <c r="B151" s="15" t="s">
        <v>414</v>
      </c>
      <c r="C151" s="16" t="s">
        <v>87</v>
      </c>
      <c r="D151" s="16" t="s">
        <v>27</v>
      </c>
      <c r="E151" s="16" t="s">
        <v>80</v>
      </c>
      <c r="F151" s="17" t="s">
        <v>120</v>
      </c>
      <c r="G151" s="17" t="s">
        <v>112</v>
      </c>
      <c r="H151" s="17" t="s">
        <v>121</v>
      </c>
      <c r="I151" s="18" t="str">
        <f>HYPERLINK("#'JDE Data'!A1","JDE Data tab → filter Co=60, AAI=4220, GL=TOOL")</f>
        <v>JDE Data tab → filter Co=60, AAI=4220, GL=TOOL</v>
      </c>
      <c r="J151" s="17" t="s">
        <v>32</v>
      </c>
      <c r="K151" s="17" t="s">
        <v>32</v>
      </c>
      <c r="L151" s="19" t="s">
        <v>33</v>
      </c>
    </row>
    <row r="152" ht="90" customHeight="1" spans="1:12" x14ac:dyDescent="0.25">
      <c r="A152" s="20" t="s">
        <v>415</v>
      </c>
      <c r="B152" s="10" t="s">
        <v>416</v>
      </c>
      <c r="C152" s="11" t="s">
        <v>87</v>
      </c>
      <c r="D152" s="11" t="s">
        <v>27</v>
      </c>
      <c r="E152" s="11" t="s">
        <v>80</v>
      </c>
      <c r="F152" s="12" t="s">
        <v>124</v>
      </c>
      <c r="G152" s="12" t="s">
        <v>125</v>
      </c>
      <c r="H152" s="12" t="s">
        <v>100</v>
      </c>
      <c r="I152" s="13" t="str">
        <f>HYPERLINK("#'JDE Data'!A1","JDE Data tab → filter Co=60, AAI=4240, GL=HTSP")</f>
        <v>JDE Data tab → filter Co=60, AAI=4240, GL=HTSP</v>
      </c>
      <c r="J152" s="12" t="s">
        <v>32</v>
      </c>
      <c r="K152" s="12" t="s">
        <v>32</v>
      </c>
      <c r="L152" s="14" t="s">
        <v>33</v>
      </c>
    </row>
    <row r="153" ht="90" customHeight="1" spans="1:12" x14ac:dyDescent="0.25">
      <c r="A153" s="20" t="s">
        <v>417</v>
      </c>
      <c r="B153" s="15" t="s">
        <v>418</v>
      </c>
      <c r="C153" s="16" t="s">
        <v>87</v>
      </c>
      <c r="D153" s="16" t="s">
        <v>27</v>
      </c>
      <c r="E153" s="16" t="s">
        <v>80</v>
      </c>
      <c r="F153" s="17" t="s">
        <v>128</v>
      </c>
      <c r="G153" s="17" t="s">
        <v>125</v>
      </c>
      <c r="H153" s="17" t="s">
        <v>104</v>
      </c>
      <c r="I153" s="18" t="str">
        <f>HYPERLINK("#'JDE Data'!A1","JDE Data tab → filter Co=60, AAI=4240, GL=NS40")</f>
        <v>JDE Data tab → filter Co=60, AAI=4240, GL=NS40</v>
      </c>
      <c r="J153" s="17" t="s">
        <v>32</v>
      </c>
      <c r="K153" s="17" t="s">
        <v>32</v>
      </c>
      <c r="L153" s="19" t="s">
        <v>33</v>
      </c>
    </row>
    <row r="154" ht="90" customHeight="1" spans="1:12" x14ac:dyDescent="0.25">
      <c r="A154" s="20" t="s">
        <v>419</v>
      </c>
      <c r="B154" s="10" t="s">
        <v>420</v>
      </c>
      <c r="C154" s="11" t="s">
        <v>87</v>
      </c>
      <c r="D154" s="11" t="s">
        <v>27</v>
      </c>
      <c r="E154" s="11" t="s">
        <v>80</v>
      </c>
      <c r="F154" s="12" t="s">
        <v>131</v>
      </c>
      <c r="G154" s="12" t="s">
        <v>99</v>
      </c>
      <c r="H154" s="12" t="s">
        <v>108</v>
      </c>
      <c r="I154" s="13" t="str">
        <f>HYPERLINK("#'JDE Data'!A1","JDE Data tab → filter Co=60, AAI=4240, GL=SUPP")</f>
        <v>JDE Data tab → filter Co=60, AAI=4240, GL=SUPP</v>
      </c>
      <c r="J154" s="12" t="s">
        <v>32</v>
      </c>
      <c r="K154" s="12" t="s">
        <v>32</v>
      </c>
      <c r="L154" s="14" t="s">
        <v>33</v>
      </c>
    </row>
    <row r="155" ht="90" customHeight="1" spans="1:12" x14ac:dyDescent="0.25">
      <c r="A155" s="20" t="s">
        <v>421</v>
      </c>
      <c r="B155" s="15" t="s">
        <v>422</v>
      </c>
      <c r="C155" s="16" t="s">
        <v>87</v>
      </c>
      <c r="D155" s="16" t="s">
        <v>27</v>
      </c>
      <c r="E155" s="16" t="s">
        <v>80</v>
      </c>
      <c r="F155" s="17" t="s">
        <v>134</v>
      </c>
      <c r="G155" s="17" t="s">
        <v>112</v>
      </c>
      <c r="H155" s="17" t="s">
        <v>113</v>
      </c>
      <c r="I155" s="18" t="str">
        <f>HYPERLINK("#'JDE Data'!A1","JDE Data tab → filter Co=60, AAI=4240, GL=TDM1")</f>
        <v>JDE Data tab → filter Co=60, AAI=4240, GL=TDM1</v>
      </c>
      <c r="J155" s="17" t="s">
        <v>32</v>
      </c>
      <c r="K155" s="17" t="s">
        <v>32</v>
      </c>
      <c r="L155" s="19" t="s">
        <v>33</v>
      </c>
    </row>
    <row r="156" ht="90" customHeight="1" spans="1:12" x14ac:dyDescent="0.25">
      <c r="A156" s="20" t="s">
        <v>423</v>
      </c>
      <c r="B156" s="10" t="s">
        <v>424</v>
      </c>
      <c r="C156" s="11" t="s">
        <v>87</v>
      </c>
      <c r="D156" s="11" t="s">
        <v>27</v>
      </c>
      <c r="E156" s="11" t="s">
        <v>80</v>
      </c>
      <c r="F156" s="12" t="s">
        <v>137</v>
      </c>
      <c r="G156" s="12" t="s">
        <v>112</v>
      </c>
      <c r="H156" s="12" t="s">
        <v>117</v>
      </c>
      <c r="I156" s="13" t="str">
        <f>HYPERLINK("#'JDE Data'!A1","JDE Data tab → filter Co=60, AAI=4240, GL=TDM2")</f>
        <v>JDE Data tab → filter Co=60, AAI=4240, GL=TDM2</v>
      </c>
      <c r="J156" s="12" t="s">
        <v>32</v>
      </c>
      <c r="K156" s="12" t="s">
        <v>32</v>
      </c>
      <c r="L156" s="14" t="s">
        <v>33</v>
      </c>
    </row>
    <row r="157" ht="90" customHeight="1" spans="1:12" x14ac:dyDescent="0.25">
      <c r="A157" s="20" t="s">
        <v>425</v>
      </c>
      <c r="B157" s="15" t="s">
        <v>426</v>
      </c>
      <c r="C157" s="16" t="s">
        <v>87</v>
      </c>
      <c r="D157" s="16" t="s">
        <v>27</v>
      </c>
      <c r="E157" s="16" t="s">
        <v>80</v>
      </c>
      <c r="F157" s="17" t="s">
        <v>140</v>
      </c>
      <c r="G157" s="17" t="s">
        <v>112</v>
      </c>
      <c r="H157" s="17" t="s">
        <v>121</v>
      </c>
      <c r="I157" s="18" t="str">
        <f>HYPERLINK("#'JDE Data'!A1","JDE Data tab → filter Co=60, AAI=4240, GL=TOOL")</f>
        <v>JDE Data tab → filter Co=60, AAI=4240, GL=TOOL</v>
      </c>
      <c r="J157" s="17" t="s">
        <v>32</v>
      </c>
      <c r="K157" s="17" t="s">
        <v>32</v>
      </c>
      <c r="L157" s="19" t="s">
        <v>33</v>
      </c>
    </row>
    <row r="158" ht="76" customHeight="1" spans="1:12" x14ac:dyDescent="0.25">
      <c r="A158" s="20" t="s">
        <v>427</v>
      </c>
      <c r="B158" s="10" t="s">
        <v>428</v>
      </c>
      <c r="C158" s="11" t="s">
        <v>87</v>
      </c>
      <c r="D158" s="11" t="s">
        <v>36</v>
      </c>
      <c r="E158" s="11" t="s">
        <v>80</v>
      </c>
      <c r="F158" s="12" t="s">
        <v>429</v>
      </c>
      <c r="G158" s="12" t="s">
        <v>144</v>
      </c>
      <c r="H158" s="12" t="s">
        <v>108</v>
      </c>
      <c r="I158" s="13" t="str">
        <f>HYPERLINK("#'Inventory'!A1","Inventory tab → find AAI 4141")</f>
        <v>Inventory tab → find AAI 4141</v>
      </c>
      <c r="J158" s="12" t="s">
        <v>32</v>
      </c>
      <c r="K158" s="12" t="s">
        <v>32</v>
      </c>
      <c r="L158" s="14" t="s">
        <v>33</v>
      </c>
    </row>
    <row r="159" ht="76" customHeight="1" spans="1:12" x14ac:dyDescent="0.25">
      <c r="A159" s="20" t="s">
        <v>430</v>
      </c>
      <c r="B159" s="15" t="s">
        <v>431</v>
      </c>
      <c r="C159" s="16" t="s">
        <v>87</v>
      </c>
      <c r="D159" s="16" t="s">
        <v>36</v>
      </c>
      <c r="E159" s="16" t="s">
        <v>80</v>
      </c>
      <c r="F159" s="17" t="s">
        <v>147</v>
      </c>
      <c r="G159" s="17" t="s">
        <v>148</v>
      </c>
      <c r="H159" s="17" t="s">
        <v>149</v>
      </c>
      <c r="I159" s="18" t="str">
        <f>HYPERLINK("#'Inventory'!A1","Inventory tab → find AAI pair 4152/4154")</f>
        <v>Inventory tab → find AAI pair 4152/4154</v>
      </c>
      <c r="J159" s="17" t="s">
        <v>32</v>
      </c>
      <c r="K159" s="17" t="s">
        <v>32</v>
      </c>
      <c r="L159" s="19" t="s">
        <v>33</v>
      </c>
    </row>
    <row r="160" ht="90" customHeight="1" spans="1:12" x14ac:dyDescent="0.25">
      <c r="A160" s="20" t="s">
        <v>432</v>
      </c>
      <c r="B160" s="10" t="s">
        <v>433</v>
      </c>
      <c r="C160" s="11" t="s">
        <v>87</v>
      </c>
      <c r="D160" s="11" t="s">
        <v>36</v>
      </c>
      <c r="E160" s="11" t="s">
        <v>80</v>
      </c>
      <c r="F160" s="12" t="s">
        <v>152</v>
      </c>
      <c r="G160" s="12" t="s">
        <v>99</v>
      </c>
      <c r="H160" s="12" t="s">
        <v>100</v>
      </c>
      <c r="I160" s="13" t="str">
        <f>HYPERLINK("#'JDE Data'!A1","JDE Data tab → filter Co=60, AAI=4141, GL=HTSP")</f>
        <v>JDE Data tab → filter Co=60, AAI=4141, GL=HTSP</v>
      </c>
      <c r="J160" s="12" t="s">
        <v>32</v>
      </c>
      <c r="K160" s="12" t="s">
        <v>32</v>
      </c>
      <c r="L160" s="14" t="s">
        <v>33</v>
      </c>
    </row>
    <row r="161" ht="90" customHeight="1" spans="1:12" x14ac:dyDescent="0.25">
      <c r="A161" s="20" t="s">
        <v>434</v>
      </c>
      <c r="B161" s="15" t="s">
        <v>435</v>
      </c>
      <c r="C161" s="16" t="s">
        <v>87</v>
      </c>
      <c r="D161" s="16" t="s">
        <v>36</v>
      </c>
      <c r="E161" s="16" t="s">
        <v>80</v>
      </c>
      <c r="F161" s="17" t="s">
        <v>155</v>
      </c>
      <c r="G161" s="17" t="s">
        <v>99</v>
      </c>
      <c r="H161" s="17" t="s">
        <v>104</v>
      </c>
      <c r="I161" s="18" t="str">
        <f>HYPERLINK("#'JDE Data'!A1","JDE Data tab → filter Co=60, AAI=4141, GL=NS40")</f>
        <v>JDE Data tab → filter Co=60, AAI=4141, GL=NS40</v>
      </c>
      <c r="J161" s="17" t="s">
        <v>32</v>
      </c>
      <c r="K161" s="17" t="s">
        <v>32</v>
      </c>
      <c r="L161" s="19" t="s">
        <v>33</v>
      </c>
    </row>
    <row r="162" ht="90" customHeight="1" spans="1:12" x14ac:dyDescent="0.25">
      <c r="A162" s="20" t="s">
        <v>436</v>
      </c>
      <c r="B162" s="10" t="s">
        <v>437</v>
      </c>
      <c r="C162" s="11" t="s">
        <v>87</v>
      </c>
      <c r="D162" s="11" t="s">
        <v>36</v>
      </c>
      <c r="E162" s="11" t="s">
        <v>80</v>
      </c>
      <c r="F162" s="12" t="s">
        <v>158</v>
      </c>
      <c r="G162" s="12" t="s">
        <v>99</v>
      </c>
      <c r="H162" s="12" t="s">
        <v>108</v>
      </c>
      <c r="I162" s="13" t="str">
        <f>HYPERLINK("#'JDE Data'!A1","JDE Data tab → filter Co=60, AAI=4141, GL=SUPP")</f>
        <v>JDE Data tab → filter Co=60, AAI=4141, GL=SUPP</v>
      </c>
      <c r="J162" s="12" t="s">
        <v>32</v>
      </c>
      <c r="K162" s="12" t="s">
        <v>32</v>
      </c>
      <c r="L162" s="14" t="s">
        <v>33</v>
      </c>
    </row>
    <row r="163" ht="90" customHeight="1" spans="1:12" x14ac:dyDescent="0.25">
      <c r="A163" s="20" t="s">
        <v>438</v>
      </c>
      <c r="B163" s="15" t="s">
        <v>439</v>
      </c>
      <c r="C163" s="16" t="s">
        <v>87</v>
      </c>
      <c r="D163" s="16" t="s">
        <v>36</v>
      </c>
      <c r="E163" s="16" t="s">
        <v>80</v>
      </c>
      <c r="F163" s="17" t="s">
        <v>161</v>
      </c>
      <c r="G163" s="17" t="s">
        <v>112</v>
      </c>
      <c r="H163" s="17" t="s">
        <v>113</v>
      </c>
      <c r="I163" s="18" t="str">
        <f>HYPERLINK("#'JDE Data'!A1","JDE Data tab → filter Co=60, AAI=4141, GL=TDM1")</f>
        <v>JDE Data tab → filter Co=60, AAI=4141, GL=TDM1</v>
      </c>
      <c r="J163" s="17" t="s">
        <v>32</v>
      </c>
      <c r="K163" s="17" t="s">
        <v>32</v>
      </c>
      <c r="L163" s="19" t="s">
        <v>33</v>
      </c>
    </row>
    <row r="164" ht="90" customHeight="1" spans="1:12" x14ac:dyDescent="0.25">
      <c r="A164" s="20" t="s">
        <v>440</v>
      </c>
      <c r="B164" s="10" t="s">
        <v>441</v>
      </c>
      <c r="C164" s="11" t="s">
        <v>87</v>
      </c>
      <c r="D164" s="11" t="s">
        <v>36</v>
      </c>
      <c r="E164" s="11" t="s">
        <v>80</v>
      </c>
      <c r="F164" s="12" t="s">
        <v>164</v>
      </c>
      <c r="G164" s="12" t="s">
        <v>112</v>
      </c>
      <c r="H164" s="12" t="s">
        <v>117</v>
      </c>
      <c r="I164" s="13" t="str">
        <f>HYPERLINK("#'JDE Data'!A1","JDE Data tab → filter Co=60, AAI=4141, GL=TDM2")</f>
        <v>JDE Data tab → filter Co=60, AAI=4141, GL=TDM2</v>
      </c>
      <c r="J164" s="12" t="s">
        <v>32</v>
      </c>
      <c r="K164" s="12" t="s">
        <v>32</v>
      </c>
      <c r="L164" s="14" t="s">
        <v>33</v>
      </c>
    </row>
    <row r="165" ht="90" customHeight="1" spans="1:12" x14ac:dyDescent="0.25">
      <c r="A165" s="20" t="s">
        <v>442</v>
      </c>
      <c r="B165" s="15" t="s">
        <v>443</v>
      </c>
      <c r="C165" s="16" t="s">
        <v>87</v>
      </c>
      <c r="D165" s="16" t="s">
        <v>36</v>
      </c>
      <c r="E165" s="16" t="s">
        <v>80</v>
      </c>
      <c r="F165" s="17" t="s">
        <v>167</v>
      </c>
      <c r="G165" s="17" t="s">
        <v>112</v>
      </c>
      <c r="H165" s="17" t="s">
        <v>121</v>
      </c>
      <c r="I165" s="18" t="str">
        <f>HYPERLINK("#'JDE Data'!A1","JDE Data tab → filter Co=60, AAI=4141, GL=TOOL")</f>
        <v>JDE Data tab → filter Co=60, AAI=4141, GL=TOOL</v>
      </c>
      <c r="J165" s="17" t="s">
        <v>32</v>
      </c>
      <c r="K165" s="17" t="s">
        <v>32</v>
      </c>
      <c r="L165" s="19" t="s">
        <v>33</v>
      </c>
    </row>
    <row r="166" ht="76" customHeight="1" spans="1:12" x14ac:dyDescent="0.25">
      <c r="A166" s="20" t="s">
        <v>444</v>
      </c>
      <c r="B166" s="10" t="s">
        <v>445</v>
      </c>
      <c r="C166" s="11" t="s">
        <v>87</v>
      </c>
      <c r="D166" s="11" t="s">
        <v>65</v>
      </c>
      <c r="E166" s="11" t="s">
        <v>80</v>
      </c>
      <c r="F166" s="12" t="s">
        <v>446</v>
      </c>
      <c r="G166" s="12" t="s">
        <v>171</v>
      </c>
      <c r="H166" s="12" t="s">
        <v>172</v>
      </c>
      <c r="I166" s="13" t="str">
        <f>HYPERLINK("#'Purchasing'!A1","Purchasing tab → find AAI 4310")</f>
        <v>Purchasing tab → find AAI 4310</v>
      </c>
      <c r="J166" s="12" t="s">
        <v>32</v>
      </c>
      <c r="K166" s="12" t="s">
        <v>32</v>
      </c>
      <c r="L166" s="14" t="s">
        <v>33</v>
      </c>
    </row>
    <row r="167" ht="76" customHeight="1" spans="1:12" x14ac:dyDescent="0.25">
      <c r="A167" s="20" t="s">
        <v>447</v>
      </c>
      <c r="B167" s="15" t="s">
        <v>448</v>
      </c>
      <c r="C167" s="16" t="s">
        <v>87</v>
      </c>
      <c r="D167" s="16" t="s">
        <v>65</v>
      </c>
      <c r="E167" s="16" t="s">
        <v>80</v>
      </c>
      <c r="F167" s="17" t="s">
        <v>234</v>
      </c>
      <c r="G167" s="17" t="s">
        <v>67</v>
      </c>
      <c r="H167" s="17" t="s">
        <v>235</v>
      </c>
      <c r="I167" s="18" t="str">
        <f>HYPERLINK("#'Purchasing'!A1","Purchasing tab → find AAI pair 4310/4320")</f>
        <v>Purchasing tab → find AAI pair 4310/4320</v>
      </c>
      <c r="J167" s="17" t="s">
        <v>32</v>
      </c>
      <c r="K167" s="17" t="s">
        <v>32</v>
      </c>
      <c r="L167" s="19" t="s">
        <v>33</v>
      </c>
    </row>
    <row r="168" ht="76" customHeight="1" spans="1:12" x14ac:dyDescent="0.25">
      <c r="A168" s="20" t="s">
        <v>449</v>
      </c>
      <c r="B168" s="10" t="s">
        <v>450</v>
      </c>
      <c r="C168" s="11" t="s">
        <v>87</v>
      </c>
      <c r="D168" s="11" t="s">
        <v>180</v>
      </c>
      <c r="E168" s="11" t="s">
        <v>80</v>
      </c>
      <c r="F168" s="12" t="s">
        <v>451</v>
      </c>
      <c r="G168" s="12" t="s">
        <v>182</v>
      </c>
      <c r="H168" s="12" t="s">
        <v>183</v>
      </c>
      <c r="I168" s="13" t="str">
        <f>HYPERLINK("#'Manufacturing'!A1","Manufacturing tab → find AAI 3130")</f>
        <v>Manufacturing tab → find AAI 3130</v>
      </c>
      <c r="J168" s="12" t="s">
        <v>32</v>
      </c>
      <c r="K168" s="12" t="s">
        <v>32</v>
      </c>
      <c r="L168" s="14" t="s">
        <v>33</v>
      </c>
    </row>
    <row r="169" ht="8" customHeight="1" x14ac:dyDescent="0.25"/>
    <row r="170" ht="26" customHeight="1" spans="1:12" x14ac:dyDescent="0.25">
      <c r="A170" s="21" t="s">
        <v>452</v>
      </c>
      <c r="B170" s="21"/>
      <c r="C170" s="21"/>
      <c r="D170" s="21"/>
      <c r="E170" s="21"/>
      <c r="F170" s="21"/>
      <c r="G170" s="21"/>
      <c r="H170" s="21"/>
      <c r="I170" s="21"/>
      <c r="J170" s="21"/>
      <c r="K170" s="21"/>
      <c r="L170" s="21"/>
    </row>
    <row r="171" ht="120" customHeight="1" spans="1:12" x14ac:dyDescent="0.25">
      <c r="A171" s="22" t="s">
        <v>453</v>
      </c>
      <c r="B171" s="22"/>
      <c r="C171" s="22"/>
      <c r="D171" s="22"/>
      <c r="E171" s="22"/>
      <c r="F171" s="22"/>
      <c r="G171" s="22"/>
      <c r="H171" s="22"/>
      <c r="I171" s="22"/>
      <c r="J171" s="22"/>
      <c r="K171" s="22"/>
      <c r="L171" s="22"/>
    </row>
    <row r="172" ht="8" customHeight="1" x14ac:dyDescent="0.25"/>
    <row r="173" ht="12" customHeight="1" x14ac:dyDescent="0.25"/>
    <row r="174" ht="18" customHeight="1" spans="1:12" x14ac:dyDescent="0.25">
      <c r="A174" s="23" t="s">
        <v>454</v>
      </c>
      <c r="B174" s="23"/>
      <c r="C174" s="23"/>
      <c r="D174" s="23"/>
      <c r="E174" s="23"/>
      <c r="F174" s="23"/>
      <c r="G174" s="23"/>
      <c r="H174" s="23"/>
      <c r="I174" s="23"/>
      <c r="J174" s="23"/>
      <c r="K174" s="23"/>
      <c r="L174" s="23"/>
    </row>
  </sheetData>
  <autoFilter ref="A17:L168"/>
  <mergeCells count="15">
    <mergeCell ref="A2:L2"/>
    <mergeCell ref="A3:L3"/>
    <mergeCell ref="A4:L4"/>
    <mergeCell ref="A6:L6"/>
    <mergeCell ref="A7:L7"/>
    <mergeCell ref="A8:L8"/>
    <mergeCell ref="A9:L9"/>
    <mergeCell ref="A10:L10"/>
    <mergeCell ref="A11:L11"/>
    <mergeCell ref="A12:L12"/>
    <mergeCell ref="A14:L14"/>
    <mergeCell ref="A16:L16"/>
    <mergeCell ref="A170:L170"/>
    <mergeCell ref="A171:L171"/>
    <mergeCell ref="A174:L174"/>
  </mergeCells>
  <dataValidations count="4">
    <dataValidation type="list" allowBlank="1" showErrorMessage="1" errorTitle="Invalid answer" error="Pick one of: Intended, Needs review, Fixed" sqref="J100:J168">
      <formula1>"Intended,Needs review,Fixed"</formula1>
    </dataValidation>
    <dataValidation type="list" allowBlank="1" showErrorMessage="1" errorTitle="Invalid answer" error="Pick one of: Intended, Needs review, Fixed" sqref="J18:J168">
      <formula1>"Intended,Needs review,Fixed"</formula1>
    </dataValidation>
    <dataValidation type="list" showErrorMessage="1" errorTitle="Invalid status" error="Pick one of: Open, In progress, Done" sqref="L100:L168">
      <formula1>"Open,In progress,Done"</formula1>
    </dataValidation>
    <dataValidation type="list" showErrorMessage="1" errorTitle="Invalid status" error="Pick one of: Open, In progress, Done" sqref="L18:L168">
      <formula1>"Open,In progress,Done"</formula1>
    </dataValidation>
  </dataValidations>
  <printOptions horizontalCentered="1"/>
  <pageMargins left="0.3" right="0.3" top="0.3" bottom="0.3" header="0.5" footer="0.5"/>
  <pageSetup paperSize="3"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3158"/>
  <sheetViews>
    <sheetView workbookViewId="0" showGridLines="0"/>
  </sheetViews>
  <sheetFormatPr defaultRowHeight="15" outlineLevelRow="0" outlineLevelCol="0" x14ac:dyDescent="55"/>
  <cols>
    <col min="1" max="1" width="14" customWidth="1"/>
    <col min="2" max="2" width="44" customWidth="1"/>
    <col min="3" max="3" width="8" customWidth="1"/>
    <col min="4" max="4" width="3" customWidth="1"/>
    <col min="5" max="5" width="60" customWidth="1"/>
    <col min="6" max="6" width="50" customWidth="1"/>
  </cols>
  <sheetData>
    <row r="1" ht="6" customHeight="1" spans="1:5" x14ac:dyDescent="0.25">
      <c r="A1" s="1"/>
      <c r="B1" s="1"/>
      <c r="C1" s="1"/>
      <c r="D1" s="1"/>
      <c r="E1" s="1"/>
    </row>
    <row r="2" ht="38" customHeight="1" spans="1:6" x14ac:dyDescent="0.25">
      <c r="A2" s="2" t="s">
        <v>455</v>
      </c>
      <c r="B2" s="2"/>
      <c r="C2" s="2"/>
      <c r="D2" s="2"/>
      <c r="E2" s="2"/>
      <c r="F2" s="2"/>
    </row>
    <row r="3" ht="24" customHeight="1" spans="1:6" x14ac:dyDescent="0.25">
      <c r="A3" s="3" t="s">
        <v>456</v>
      </c>
      <c r="B3" s="3"/>
      <c r="C3" s="3"/>
      <c r="D3" s="3"/>
      <c r="E3" s="3"/>
      <c r="F3" s="3"/>
    </row>
    <row r="4" ht="18" customHeight="1" spans="1:6" x14ac:dyDescent="0.25">
      <c r="A4" s="4" t="s">
        <v>457</v>
      </c>
      <c r="B4" s="4"/>
      <c r="C4" s="4"/>
      <c r="D4" s="4"/>
      <c r="E4" s="4"/>
      <c r="F4" s="4"/>
    </row>
    <row r="5" ht="10" customHeight="1" x14ac:dyDescent="0.25"/>
    <row r="6" ht="24" customHeight="1" spans="1:6" x14ac:dyDescent="0.25">
      <c r="A6" s="24" t="s">
        <v>458</v>
      </c>
      <c r="B6" s="24"/>
      <c r="C6" s="24"/>
      <c r="D6" s="24"/>
      <c r="E6" s="24"/>
      <c r="F6" s="24"/>
    </row>
    <row r="7" ht="22" customHeight="1" spans="1:6" x14ac:dyDescent="0.25">
      <c r="A7" s="25" t="s">
        <v>459</v>
      </c>
      <c r="B7" s="25"/>
      <c r="C7" s="25"/>
      <c r="D7" s="25"/>
      <c r="E7" s="25"/>
      <c r="F7" s="25"/>
    </row>
    <row r="8" ht="20" customHeight="1" hidden="1" spans="1:6" x14ac:dyDescent="0.25" outlineLevel="1" collapsed="1">
      <c r="A8" s="26" t="s">
        <v>460</v>
      </c>
      <c r="B8" s="26" t="s">
        <v>461</v>
      </c>
      <c r="C8" s="26" t="s">
        <v>462</v>
      </c>
      <c r="D8" s="26" t="s">
        <v>32</v>
      </c>
      <c r="E8" s="26" t="s">
        <v>463</v>
      </c>
      <c r="F8" s="26" t="s">
        <v>464</v>
      </c>
    </row>
    <row r="9" ht="51" customHeight="1" hidden="1" spans="1:6" x14ac:dyDescent="0.25" outlineLevel="1" collapsed="1">
      <c r="A9" s="27">
        <v>4220</v>
      </c>
      <c r="B9" s="28" t="s">
        <v>465</v>
      </c>
      <c r="C9" s="27" t="s">
        <v>466</v>
      </c>
      <c r="D9" s="29" t="s">
        <v>32</v>
      </c>
      <c r="E9" s="28" t="s">
        <v>467</v>
      </c>
      <c r="F9" s="28" t="s">
        <v>468</v>
      </c>
    </row>
    <row r="10" ht="36" customHeight="1" hidden="1" spans="1:6" x14ac:dyDescent="0.25" outlineLevel="1" collapsed="1">
      <c r="A10" s="30" t="s">
        <v>32</v>
      </c>
      <c r="B10" s="17" t="s">
        <v>32</v>
      </c>
      <c r="C10" s="30" t="s">
        <v>32</v>
      </c>
      <c r="D10" s="31" t="s">
        <v>32</v>
      </c>
      <c r="E10" s="17" t="s">
        <v>469</v>
      </c>
      <c r="F10" s="17" t="s">
        <v>32</v>
      </c>
    </row>
    <row r="11" ht="36" customHeight="1" hidden="1" spans="1:6" x14ac:dyDescent="0.25" outlineLevel="1" collapsed="1">
      <c r="A11" s="32" t="s">
        <v>32</v>
      </c>
      <c r="B11" s="12" t="s">
        <v>32</v>
      </c>
      <c r="C11" s="32" t="s">
        <v>32</v>
      </c>
      <c r="D11" s="31" t="s">
        <v>32</v>
      </c>
      <c r="E11" s="33" t="s">
        <v>470</v>
      </c>
      <c r="F11" s="12" t="s">
        <v>32</v>
      </c>
    </row>
    <row r="12" ht="51" customHeight="1" hidden="1" spans="1:6" x14ac:dyDescent="0.25" outlineLevel="1" collapsed="1">
      <c r="A12" s="27">
        <v>4240</v>
      </c>
      <c r="B12" s="28" t="s">
        <v>471</v>
      </c>
      <c r="C12" s="27" t="s">
        <v>472</v>
      </c>
      <c r="D12" s="29" t="s">
        <v>32</v>
      </c>
      <c r="E12" s="28" t="s">
        <v>473</v>
      </c>
      <c r="F12" s="28" t="s">
        <v>474</v>
      </c>
    </row>
    <row r="13" ht="21" customHeight="1" hidden="1" spans="1:6" x14ac:dyDescent="0.25" outlineLevel="1" collapsed="1">
      <c r="A13" s="30" t="s">
        <v>32</v>
      </c>
      <c r="B13" s="17" t="s">
        <v>32</v>
      </c>
      <c r="C13" s="30" t="s">
        <v>32</v>
      </c>
      <c r="D13" s="31" t="s">
        <v>32</v>
      </c>
      <c r="E13" s="17" t="s">
        <v>475</v>
      </c>
      <c r="F13" s="17" t="s">
        <v>32</v>
      </c>
    </row>
    <row r="14" ht="36" customHeight="1" hidden="1" spans="1:6" x14ac:dyDescent="0.25" outlineLevel="1" collapsed="1">
      <c r="A14" s="32" t="s">
        <v>32</v>
      </c>
      <c r="B14" s="12" t="s">
        <v>32</v>
      </c>
      <c r="C14" s="32" t="s">
        <v>32</v>
      </c>
      <c r="D14" s="31" t="s">
        <v>32</v>
      </c>
      <c r="E14" s="12" t="s">
        <v>476</v>
      </c>
      <c r="F14" s="12" t="s">
        <v>32</v>
      </c>
    </row>
    <row r="15" ht="36" customHeight="1" hidden="1" spans="1:6" x14ac:dyDescent="0.25" outlineLevel="1" collapsed="1">
      <c r="A15" s="30" t="s">
        <v>32</v>
      </c>
      <c r="B15" s="17" t="s">
        <v>32</v>
      </c>
      <c r="C15" s="30" t="s">
        <v>32</v>
      </c>
      <c r="D15" s="31" t="s">
        <v>32</v>
      </c>
      <c r="E15" s="17" t="s">
        <v>477</v>
      </c>
      <c r="F15" s="17" t="s">
        <v>32</v>
      </c>
    </row>
    <row r="16" ht="36" customHeight="1" hidden="1" spans="1:6" x14ac:dyDescent="0.25" outlineLevel="1" collapsed="1">
      <c r="A16" s="32" t="s">
        <v>32</v>
      </c>
      <c r="B16" s="12" t="s">
        <v>32</v>
      </c>
      <c r="C16" s="32" t="s">
        <v>32</v>
      </c>
      <c r="D16" s="31" t="s">
        <v>32</v>
      </c>
      <c r="E16" s="12" t="s">
        <v>478</v>
      </c>
      <c r="F16" s="12" t="s">
        <v>32</v>
      </c>
    </row>
    <row r="17" ht="21" customHeight="1" hidden="1" spans="1:6" x14ac:dyDescent="0.25" outlineLevel="1" collapsed="1">
      <c r="A17" s="30" t="s">
        <v>32</v>
      </c>
      <c r="B17" s="17" t="s">
        <v>32</v>
      </c>
      <c r="C17" s="30" t="s">
        <v>32</v>
      </c>
      <c r="D17" s="31" t="s">
        <v>32</v>
      </c>
      <c r="E17" s="17" t="s">
        <v>479</v>
      </c>
      <c r="F17" s="17" t="s">
        <v>32</v>
      </c>
    </row>
    <row r="18" ht="36" customHeight="1" hidden="1" spans="1:6" x14ac:dyDescent="0.25" outlineLevel="1" collapsed="1">
      <c r="A18" s="32" t="s">
        <v>32</v>
      </c>
      <c r="B18" s="12" t="s">
        <v>32</v>
      </c>
      <c r="C18" s="32" t="s">
        <v>32</v>
      </c>
      <c r="D18" s="31" t="s">
        <v>32</v>
      </c>
      <c r="E18" s="33" t="s">
        <v>470</v>
      </c>
      <c r="F18" s="12" t="s">
        <v>32</v>
      </c>
    </row>
    <row r="19" ht="51" customHeight="1" hidden="1" spans="1:6" x14ac:dyDescent="0.25" outlineLevel="1" collapsed="1">
      <c r="A19" s="27">
        <v>4230</v>
      </c>
      <c r="B19" s="28" t="s">
        <v>480</v>
      </c>
      <c r="C19" s="27" t="s">
        <v>472</v>
      </c>
      <c r="D19" s="29" t="s">
        <v>32</v>
      </c>
      <c r="E19" s="28" t="s">
        <v>481</v>
      </c>
      <c r="F19" s="28" t="s">
        <v>482</v>
      </c>
    </row>
    <row r="20" ht="21" customHeight="1" hidden="1" spans="1:6" x14ac:dyDescent="0.25" outlineLevel="1" collapsed="1">
      <c r="A20" s="30" t="s">
        <v>32</v>
      </c>
      <c r="B20" s="17" t="s">
        <v>32</v>
      </c>
      <c r="C20" s="30" t="s">
        <v>32</v>
      </c>
      <c r="D20" s="31" t="s">
        <v>32</v>
      </c>
      <c r="E20" s="17" t="s">
        <v>483</v>
      </c>
      <c r="F20" s="17" t="s">
        <v>32</v>
      </c>
    </row>
    <row r="21" ht="36" customHeight="1" hidden="1" spans="1:6" x14ac:dyDescent="0.25" outlineLevel="1" collapsed="1">
      <c r="A21" s="32" t="s">
        <v>32</v>
      </c>
      <c r="B21" s="12" t="s">
        <v>32</v>
      </c>
      <c r="C21" s="32" t="s">
        <v>32</v>
      </c>
      <c r="D21" s="31" t="s">
        <v>32</v>
      </c>
      <c r="E21" s="12" t="s">
        <v>484</v>
      </c>
      <c r="F21" s="12" t="s">
        <v>32</v>
      </c>
    </row>
    <row r="22" ht="36" customHeight="1" hidden="1" spans="1:6" x14ac:dyDescent="0.25" outlineLevel="1" collapsed="1">
      <c r="A22" s="30" t="s">
        <v>32</v>
      </c>
      <c r="B22" s="17" t="s">
        <v>32</v>
      </c>
      <c r="C22" s="30" t="s">
        <v>32</v>
      </c>
      <c r="D22" s="31" t="s">
        <v>32</v>
      </c>
      <c r="E22" s="17" t="s">
        <v>485</v>
      </c>
      <c r="F22" s="17" t="s">
        <v>32</v>
      </c>
    </row>
    <row r="23" ht="21" customHeight="1" hidden="1" spans="1:6" x14ac:dyDescent="0.25" outlineLevel="1" collapsed="1">
      <c r="A23" s="32" t="s">
        <v>32</v>
      </c>
      <c r="B23" s="12" t="s">
        <v>32</v>
      </c>
      <c r="C23" s="32" t="s">
        <v>32</v>
      </c>
      <c r="D23" s="31" t="s">
        <v>32</v>
      </c>
      <c r="E23" s="12" t="s">
        <v>486</v>
      </c>
      <c r="F23" s="12" t="s">
        <v>32</v>
      </c>
    </row>
    <row r="24" ht="21" customHeight="1" hidden="1" spans="1:6" x14ac:dyDescent="0.25" outlineLevel="1" collapsed="1">
      <c r="A24" s="30" t="s">
        <v>32</v>
      </c>
      <c r="B24" s="17" t="s">
        <v>32</v>
      </c>
      <c r="C24" s="30" t="s">
        <v>32</v>
      </c>
      <c r="D24" s="31" t="s">
        <v>32</v>
      </c>
      <c r="E24" s="17" t="s">
        <v>487</v>
      </c>
      <c r="F24" s="17" t="s">
        <v>32</v>
      </c>
    </row>
    <row r="25" ht="21" customHeight="1" hidden="1" spans="1:6" x14ac:dyDescent="0.25" outlineLevel="1" collapsed="1">
      <c r="A25" s="32" t="s">
        <v>32</v>
      </c>
      <c r="B25" s="12" t="s">
        <v>32</v>
      </c>
      <c r="C25" s="32" t="s">
        <v>32</v>
      </c>
      <c r="D25" s="31" t="s">
        <v>32</v>
      </c>
      <c r="E25" s="12" t="s">
        <v>488</v>
      </c>
      <c r="F25" s="12" t="s">
        <v>32</v>
      </c>
    </row>
    <row r="26" ht="21" customHeight="1" hidden="1" spans="1:6" x14ac:dyDescent="0.25" outlineLevel="1" collapsed="1">
      <c r="A26" s="30" t="s">
        <v>32</v>
      </c>
      <c r="B26" s="17" t="s">
        <v>32</v>
      </c>
      <c r="C26" s="30" t="s">
        <v>32</v>
      </c>
      <c r="D26" s="31" t="s">
        <v>32</v>
      </c>
      <c r="E26" s="17" t="s">
        <v>489</v>
      </c>
      <c r="F26" s="17" t="s">
        <v>32</v>
      </c>
    </row>
    <row r="27" ht="21" customHeight="1" hidden="1" spans="1:6" x14ac:dyDescent="0.25" outlineLevel="1" collapsed="1">
      <c r="A27" s="32" t="s">
        <v>32</v>
      </c>
      <c r="B27" s="12" t="s">
        <v>32</v>
      </c>
      <c r="C27" s="32" t="s">
        <v>32</v>
      </c>
      <c r="D27" s="31" t="s">
        <v>32</v>
      </c>
      <c r="E27" s="12" t="s">
        <v>490</v>
      </c>
      <c r="F27" s="12" t="s">
        <v>32</v>
      </c>
    </row>
    <row r="28" ht="21" customHeight="1" hidden="1" spans="1:6" x14ac:dyDescent="0.25" outlineLevel="1" collapsed="1">
      <c r="A28" s="30" t="s">
        <v>32</v>
      </c>
      <c r="B28" s="17" t="s">
        <v>32</v>
      </c>
      <c r="C28" s="30" t="s">
        <v>32</v>
      </c>
      <c r="D28" s="31" t="s">
        <v>32</v>
      </c>
      <c r="E28" s="17" t="s">
        <v>491</v>
      </c>
      <c r="F28" s="17" t="s">
        <v>32</v>
      </c>
    </row>
    <row r="29" ht="21" customHeight="1" hidden="1" spans="1:6" x14ac:dyDescent="0.25" outlineLevel="1" collapsed="1">
      <c r="A29" s="32" t="s">
        <v>32</v>
      </c>
      <c r="B29" s="12" t="s">
        <v>32</v>
      </c>
      <c r="C29" s="32" t="s">
        <v>32</v>
      </c>
      <c r="D29" s="31" t="s">
        <v>32</v>
      </c>
      <c r="E29" s="12" t="s">
        <v>492</v>
      </c>
      <c r="F29" s="12" t="s">
        <v>32</v>
      </c>
    </row>
    <row r="30" ht="21" customHeight="1" hidden="1" spans="1:6" x14ac:dyDescent="0.25" outlineLevel="1" collapsed="1">
      <c r="A30" s="30" t="s">
        <v>32</v>
      </c>
      <c r="B30" s="17" t="s">
        <v>32</v>
      </c>
      <c r="C30" s="30" t="s">
        <v>32</v>
      </c>
      <c r="D30" s="31" t="s">
        <v>32</v>
      </c>
      <c r="E30" s="17" t="s">
        <v>493</v>
      </c>
      <c r="F30" s="17" t="s">
        <v>32</v>
      </c>
    </row>
    <row r="31" ht="21" customHeight="1" hidden="1" spans="1:6" x14ac:dyDescent="0.25" outlineLevel="1" collapsed="1">
      <c r="A31" s="32" t="s">
        <v>32</v>
      </c>
      <c r="B31" s="12" t="s">
        <v>32</v>
      </c>
      <c r="C31" s="32" t="s">
        <v>32</v>
      </c>
      <c r="D31" s="31" t="s">
        <v>32</v>
      </c>
      <c r="E31" s="33" t="s">
        <v>494</v>
      </c>
      <c r="F31" s="12" t="s">
        <v>32</v>
      </c>
    </row>
    <row r="32" ht="22" customHeight="1" hidden="1" spans="1:6" x14ac:dyDescent="0.25" outlineLevel="1" collapsed="1">
      <c r="A32" s="34" t="s">
        <v>495</v>
      </c>
      <c r="B32" s="34"/>
      <c r="C32" s="34"/>
      <c r="D32" s="34"/>
      <c r="E32" s="34"/>
      <c r="F32" s="34"/>
    </row>
    <row r="33" ht="24" customHeight="1" hidden="1" spans="1:6" x14ac:dyDescent="0.25" outlineLevel="1" collapsed="1">
      <c r="A33" s="12" t="s">
        <v>496</v>
      </c>
      <c r="B33" s="12"/>
      <c r="C33" s="12"/>
      <c r="D33" s="12"/>
      <c r="E33" s="12"/>
      <c r="F33" s="12"/>
    </row>
    <row r="34" ht="40" customHeight="1" hidden="1" spans="1:6" x14ac:dyDescent="0.25" outlineLevel="1" collapsed="1">
      <c r="A34" s="12" t="s">
        <v>497</v>
      </c>
      <c r="B34" s="12"/>
      <c r="C34" s="12"/>
      <c r="D34" s="12"/>
      <c r="E34" s="12"/>
      <c r="F34" s="12"/>
    </row>
    <row r="35" ht="56" customHeight="1" hidden="1" spans="1:6" x14ac:dyDescent="0.25" outlineLevel="1" collapsed="1">
      <c r="A35" s="12" t="s">
        <v>498</v>
      </c>
      <c r="B35" s="12"/>
      <c r="C35" s="12"/>
      <c r="D35" s="12"/>
      <c r="E35" s="12"/>
      <c r="F35" s="12"/>
    </row>
    <row r="36" ht="24" customHeight="1" hidden="1" spans="1:6" x14ac:dyDescent="0.25" outlineLevel="1" collapsed="1">
      <c r="A36" s="12" t="s">
        <v>499</v>
      </c>
      <c r="B36" s="12"/>
      <c r="C36" s="12"/>
      <c r="D36" s="12"/>
      <c r="E36" s="12"/>
      <c r="F36" s="12"/>
    </row>
    <row r="37" ht="6" customHeight="1" hidden="1" x14ac:dyDescent="0.25" outlineLevel="1" collapsed="1"/>
    <row r="38" ht="22" customHeight="1" spans="1:6" x14ac:dyDescent="0.25">
      <c r="A38" s="25" t="s">
        <v>500</v>
      </c>
      <c r="B38" s="25"/>
      <c r="C38" s="25"/>
      <c r="D38" s="25"/>
      <c r="E38" s="25"/>
      <c r="F38" s="25"/>
    </row>
    <row r="39" ht="20" customHeight="1" hidden="1" spans="1:6" x14ac:dyDescent="0.25" outlineLevel="1" collapsed="1">
      <c r="A39" s="26" t="s">
        <v>460</v>
      </c>
      <c r="B39" s="26" t="s">
        <v>461</v>
      </c>
      <c r="C39" s="26" t="s">
        <v>462</v>
      </c>
      <c r="D39" s="26" t="s">
        <v>32</v>
      </c>
      <c r="E39" s="26" t="s">
        <v>463</v>
      </c>
      <c r="F39" s="26" t="s">
        <v>464</v>
      </c>
    </row>
    <row r="40" ht="51" customHeight="1" hidden="1" spans="1:6" x14ac:dyDescent="0.25" outlineLevel="1" collapsed="1">
      <c r="A40" s="27">
        <v>4220</v>
      </c>
      <c r="B40" s="28" t="s">
        <v>501</v>
      </c>
      <c r="C40" s="27" t="s">
        <v>466</v>
      </c>
      <c r="D40" s="29" t="s">
        <v>32</v>
      </c>
      <c r="E40" s="28" t="s">
        <v>502</v>
      </c>
      <c r="F40" s="28" t="s">
        <v>503</v>
      </c>
    </row>
    <row r="41" ht="36" customHeight="1" hidden="1" spans="1:6" x14ac:dyDescent="0.25" outlineLevel="1" collapsed="1">
      <c r="A41" s="30" t="s">
        <v>32</v>
      </c>
      <c r="B41" s="17" t="s">
        <v>32</v>
      </c>
      <c r="C41" s="30" t="s">
        <v>32</v>
      </c>
      <c r="D41" s="31" t="s">
        <v>32</v>
      </c>
      <c r="E41" s="17" t="s">
        <v>469</v>
      </c>
      <c r="F41" s="17" t="s">
        <v>32</v>
      </c>
    </row>
    <row r="42" ht="51" customHeight="1" hidden="1" spans="1:6" x14ac:dyDescent="0.25" outlineLevel="1" collapsed="1">
      <c r="A42" s="27">
        <v>4240</v>
      </c>
      <c r="B42" s="28" t="s">
        <v>504</v>
      </c>
      <c r="C42" s="27" t="s">
        <v>472</v>
      </c>
      <c r="D42" s="29" t="s">
        <v>32</v>
      </c>
      <c r="E42" s="28" t="s">
        <v>473</v>
      </c>
      <c r="F42" s="28" t="s">
        <v>474</v>
      </c>
    </row>
    <row r="43" ht="21" customHeight="1" hidden="1" spans="1:6" x14ac:dyDescent="0.25" outlineLevel="1" collapsed="1">
      <c r="A43" s="30" t="s">
        <v>32</v>
      </c>
      <c r="B43" s="17" t="s">
        <v>32</v>
      </c>
      <c r="C43" s="30" t="s">
        <v>32</v>
      </c>
      <c r="D43" s="31" t="s">
        <v>32</v>
      </c>
      <c r="E43" s="17" t="s">
        <v>475</v>
      </c>
      <c r="F43" s="17" t="s">
        <v>32</v>
      </c>
    </row>
    <row r="44" ht="36" customHeight="1" hidden="1" spans="1:6" x14ac:dyDescent="0.25" outlineLevel="1" collapsed="1">
      <c r="A44" s="32" t="s">
        <v>32</v>
      </c>
      <c r="B44" s="12" t="s">
        <v>32</v>
      </c>
      <c r="C44" s="32" t="s">
        <v>32</v>
      </c>
      <c r="D44" s="31" t="s">
        <v>32</v>
      </c>
      <c r="E44" s="12" t="s">
        <v>476</v>
      </c>
      <c r="F44" s="12" t="s">
        <v>32</v>
      </c>
    </row>
    <row r="45" ht="36" customHeight="1" hidden="1" spans="1:6" x14ac:dyDescent="0.25" outlineLevel="1" collapsed="1">
      <c r="A45" s="30" t="s">
        <v>32</v>
      </c>
      <c r="B45" s="17" t="s">
        <v>32</v>
      </c>
      <c r="C45" s="30" t="s">
        <v>32</v>
      </c>
      <c r="D45" s="31" t="s">
        <v>32</v>
      </c>
      <c r="E45" s="17" t="s">
        <v>477</v>
      </c>
      <c r="F45" s="17" t="s">
        <v>32</v>
      </c>
    </row>
    <row r="46" ht="36" customHeight="1" hidden="1" spans="1:6" x14ac:dyDescent="0.25" outlineLevel="1" collapsed="1">
      <c r="A46" s="32" t="s">
        <v>32</v>
      </c>
      <c r="B46" s="12" t="s">
        <v>32</v>
      </c>
      <c r="C46" s="32" t="s">
        <v>32</v>
      </c>
      <c r="D46" s="31" t="s">
        <v>32</v>
      </c>
      <c r="E46" s="12" t="s">
        <v>478</v>
      </c>
      <c r="F46" s="12" t="s">
        <v>32</v>
      </c>
    </row>
    <row r="47" ht="21" customHeight="1" hidden="1" spans="1:6" x14ac:dyDescent="0.25" outlineLevel="1" collapsed="1">
      <c r="A47" s="30" t="s">
        <v>32</v>
      </c>
      <c r="B47" s="17" t="s">
        <v>32</v>
      </c>
      <c r="C47" s="30" t="s">
        <v>32</v>
      </c>
      <c r="D47" s="31" t="s">
        <v>32</v>
      </c>
      <c r="E47" s="17" t="s">
        <v>479</v>
      </c>
      <c r="F47" s="17" t="s">
        <v>32</v>
      </c>
    </row>
    <row r="48" ht="36" customHeight="1" hidden="1" spans="1:6" x14ac:dyDescent="0.25" outlineLevel="1" collapsed="1">
      <c r="A48" s="32" t="s">
        <v>32</v>
      </c>
      <c r="B48" s="12" t="s">
        <v>32</v>
      </c>
      <c r="C48" s="32" t="s">
        <v>32</v>
      </c>
      <c r="D48" s="31" t="s">
        <v>32</v>
      </c>
      <c r="E48" s="33" t="s">
        <v>470</v>
      </c>
      <c r="F48" s="12" t="s">
        <v>32</v>
      </c>
    </row>
    <row r="49" ht="51" customHeight="1" hidden="1" spans="1:6" x14ac:dyDescent="0.25" outlineLevel="1" collapsed="1">
      <c r="A49" s="27">
        <v>4245</v>
      </c>
      <c r="B49" s="28" t="s">
        <v>505</v>
      </c>
      <c r="C49" s="27" t="s">
        <v>466</v>
      </c>
      <c r="D49" s="29" t="s">
        <v>32</v>
      </c>
      <c r="E49" s="28" t="s">
        <v>506</v>
      </c>
      <c r="F49" s="28" t="s">
        <v>32</v>
      </c>
    </row>
    <row r="50" ht="22" customHeight="1" hidden="1" spans="1:6" x14ac:dyDescent="0.25" outlineLevel="1" collapsed="1">
      <c r="A50" s="34" t="s">
        <v>495</v>
      </c>
      <c r="B50" s="34"/>
      <c r="C50" s="34"/>
      <c r="D50" s="34"/>
      <c r="E50" s="34"/>
      <c r="F50" s="34"/>
    </row>
    <row r="51" ht="24" customHeight="1" hidden="1" spans="1:6" x14ac:dyDescent="0.25" outlineLevel="1" collapsed="1">
      <c r="A51" s="12" t="s">
        <v>507</v>
      </c>
      <c r="B51" s="12"/>
      <c r="C51" s="12"/>
      <c r="D51" s="12"/>
      <c r="E51" s="12"/>
      <c r="F51" s="12"/>
    </row>
    <row r="52" ht="40" customHeight="1" hidden="1" spans="1:6" x14ac:dyDescent="0.25" outlineLevel="1" collapsed="1">
      <c r="A52" s="12" t="s">
        <v>497</v>
      </c>
      <c r="B52" s="12"/>
      <c r="C52" s="12"/>
      <c r="D52" s="12"/>
      <c r="E52" s="12"/>
      <c r="F52" s="12"/>
    </row>
    <row r="53" ht="24" customHeight="1" hidden="1" spans="1:6" x14ac:dyDescent="0.25" outlineLevel="1" collapsed="1">
      <c r="A53" s="12" t="s">
        <v>508</v>
      </c>
      <c r="B53" s="12"/>
      <c r="C53" s="12"/>
      <c r="D53" s="12"/>
      <c r="E53" s="12"/>
      <c r="F53" s="12"/>
    </row>
    <row r="54" ht="40" customHeight="1" hidden="1" spans="1:6" x14ac:dyDescent="0.25" outlineLevel="1" collapsed="1">
      <c r="A54" s="12" t="s">
        <v>509</v>
      </c>
      <c r="B54" s="12"/>
      <c r="C54" s="12"/>
      <c r="D54" s="12"/>
      <c r="E54" s="12"/>
      <c r="F54" s="12"/>
    </row>
    <row r="55" ht="24" customHeight="1" hidden="1" spans="1:6" x14ac:dyDescent="0.25" outlineLevel="1" collapsed="1">
      <c r="A55" s="12" t="s">
        <v>499</v>
      </c>
      <c r="B55" s="12"/>
      <c r="C55" s="12"/>
      <c r="D55" s="12"/>
      <c r="E55" s="12"/>
      <c r="F55" s="12"/>
    </row>
    <row r="56" ht="24" customHeight="1" hidden="1" spans="1:6" x14ac:dyDescent="0.25" outlineLevel="1" collapsed="1">
      <c r="A56" s="12" t="s">
        <v>510</v>
      </c>
      <c r="B56" s="12"/>
      <c r="C56" s="12"/>
      <c r="D56" s="12"/>
      <c r="E56" s="12"/>
      <c r="F56" s="12"/>
    </row>
    <row r="57" ht="22" customHeight="1" hidden="1" spans="1:6" x14ac:dyDescent="0.25" outlineLevel="1" collapsed="1">
      <c r="A57" s="34" t="s">
        <v>511</v>
      </c>
      <c r="B57" s="34"/>
      <c r="C57" s="34"/>
      <c r="D57" s="34"/>
      <c r="E57" s="34"/>
      <c r="F57" s="34"/>
    </row>
    <row r="58" ht="40" customHeight="1" hidden="1" spans="1:6" x14ac:dyDescent="0.25" outlineLevel="1" collapsed="1">
      <c r="A58" s="12" t="s">
        <v>512</v>
      </c>
      <c r="B58" s="12"/>
      <c r="C58" s="12"/>
      <c r="D58" s="12"/>
      <c r="E58" s="12"/>
      <c r="F58" s="12"/>
    </row>
    <row r="59" ht="6" customHeight="1" hidden="1" x14ac:dyDescent="0.25" outlineLevel="1" collapsed="1"/>
    <row r="60" ht="22" customHeight="1" spans="1:6" x14ac:dyDescent="0.25">
      <c r="A60" s="25" t="s">
        <v>513</v>
      </c>
      <c r="B60" s="25"/>
      <c r="C60" s="25"/>
      <c r="D60" s="25"/>
      <c r="E60" s="25"/>
      <c r="F60" s="25"/>
    </row>
    <row r="61" ht="20" customHeight="1" hidden="1" spans="1:6" x14ac:dyDescent="0.25" outlineLevel="1" collapsed="1">
      <c r="A61" s="26" t="s">
        <v>460</v>
      </c>
      <c r="B61" s="26" t="s">
        <v>461</v>
      </c>
      <c r="C61" s="26" t="s">
        <v>462</v>
      </c>
      <c r="D61" s="26" t="s">
        <v>32</v>
      </c>
      <c r="E61" s="26" t="s">
        <v>463</v>
      </c>
      <c r="F61" s="26" t="s">
        <v>464</v>
      </c>
    </row>
    <row r="62" ht="51" customHeight="1" hidden="1" spans="1:6" x14ac:dyDescent="0.25" outlineLevel="1" collapsed="1">
      <c r="A62" s="27">
        <v>4220</v>
      </c>
      <c r="B62" s="28" t="s">
        <v>514</v>
      </c>
      <c r="C62" s="27" t="s">
        <v>466</v>
      </c>
      <c r="D62" s="29" t="s">
        <v>32</v>
      </c>
      <c r="E62" s="28" t="s">
        <v>502</v>
      </c>
      <c r="F62" s="28" t="s">
        <v>503</v>
      </c>
    </row>
    <row r="63" ht="36" customHeight="1" hidden="1" spans="1:6" x14ac:dyDescent="0.25" outlineLevel="1" collapsed="1">
      <c r="A63" s="30" t="s">
        <v>32</v>
      </c>
      <c r="B63" s="17" t="s">
        <v>32</v>
      </c>
      <c r="C63" s="30" t="s">
        <v>32</v>
      </c>
      <c r="D63" s="31" t="s">
        <v>32</v>
      </c>
      <c r="E63" s="17" t="s">
        <v>469</v>
      </c>
      <c r="F63" s="17" t="s">
        <v>32</v>
      </c>
    </row>
    <row r="64" ht="51" customHeight="1" hidden="1" spans="1:6" x14ac:dyDescent="0.25" outlineLevel="1" collapsed="1">
      <c r="A64" s="27">
        <v>4240</v>
      </c>
      <c r="B64" s="28" t="s">
        <v>515</v>
      </c>
      <c r="C64" s="27" t="s">
        <v>472</v>
      </c>
      <c r="D64" s="29" t="s">
        <v>32</v>
      </c>
      <c r="E64" s="28" t="s">
        <v>473</v>
      </c>
      <c r="F64" s="28" t="s">
        <v>474</v>
      </c>
    </row>
    <row r="65" ht="21" customHeight="1" hidden="1" spans="1:6" x14ac:dyDescent="0.25" outlineLevel="1" collapsed="1">
      <c r="A65" s="30" t="s">
        <v>32</v>
      </c>
      <c r="B65" s="17" t="s">
        <v>32</v>
      </c>
      <c r="C65" s="30" t="s">
        <v>32</v>
      </c>
      <c r="D65" s="31" t="s">
        <v>32</v>
      </c>
      <c r="E65" s="17" t="s">
        <v>475</v>
      </c>
      <c r="F65" s="17" t="s">
        <v>32</v>
      </c>
    </row>
    <row r="66" ht="36" customHeight="1" hidden="1" spans="1:6" x14ac:dyDescent="0.25" outlineLevel="1" collapsed="1">
      <c r="A66" s="32" t="s">
        <v>32</v>
      </c>
      <c r="B66" s="12" t="s">
        <v>32</v>
      </c>
      <c r="C66" s="32" t="s">
        <v>32</v>
      </c>
      <c r="D66" s="31" t="s">
        <v>32</v>
      </c>
      <c r="E66" s="12" t="s">
        <v>476</v>
      </c>
      <c r="F66" s="12" t="s">
        <v>32</v>
      </c>
    </row>
    <row r="67" ht="36" customHeight="1" hidden="1" spans="1:6" x14ac:dyDescent="0.25" outlineLevel="1" collapsed="1">
      <c r="A67" s="30" t="s">
        <v>32</v>
      </c>
      <c r="B67" s="17" t="s">
        <v>32</v>
      </c>
      <c r="C67" s="30" t="s">
        <v>32</v>
      </c>
      <c r="D67" s="31" t="s">
        <v>32</v>
      </c>
      <c r="E67" s="17" t="s">
        <v>477</v>
      </c>
      <c r="F67" s="17" t="s">
        <v>32</v>
      </c>
    </row>
    <row r="68" ht="36" customHeight="1" hidden="1" spans="1:6" x14ac:dyDescent="0.25" outlineLevel="1" collapsed="1">
      <c r="A68" s="32" t="s">
        <v>32</v>
      </c>
      <c r="B68" s="12" t="s">
        <v>32</v>
      </c>
      <c r="C68" s="32" t="s">
        <v>32</v>
      </c>
      <c r="D68" s="31" t="s">
        <v>32</v>
      </c>
      <c r="E68" s="12" t="s">
        <v>478</v>
      </c>
      <c r="F68" s="12" t="s">
        <v>32</v>
      </c>
    </row>
    <row r="69" ht="21" customHeight="1" hidden="1" spans="1:6" x14ac:dyDescent="0.25" outlineLevel="1" collapsed="1">
      <c r="A69" s="30" t="s">
        <v>32</v>
      </c>
      <c r="B69" s="17" t="s">
        <v>32</v>
      </c>
      <c r="C69" s="30" t="s">
        <v>32</v>
      </c>
      <c r="D69" s="31" t="s">
        <v>32</v>
      </c>
      <c r="E69" s="17" t="s">
        <v>479</v>
      </c>
      <c r="F69" s="17" t="s">
        <v>32</v>
      </c>
    </row>
    <row r="70" ht="36" customHeight="1" hidden="1" spans="1:6" x14ac:dyDescent="0.25" outlineLevel="1" collapsed="1">
      <c r="A70" s="32" t="s">
        <v>32</v>
      </c>
      <c r="B70" s="12" t="s">
        <v>32</v>
      </c>
      <c r="C70" s="32" t="s">
        <v>32</v>
      </c>
      <c r="D70" s="31" t="s">
        <v>32</v>
      </c>
      <c r="E70" s="33" t="s">
        <v>470</v>
      </c>
      <c r="F70" s="12" t="s">
        <v>32</v>
      </c>
    </row>
    <row r="71" ht="36" customHeight="1" hidden="1" spans="1:6" x14ac:dyDescent="0.25" outlineLevel="1" collapsed="1">
      <c r="A71" s="27">
        <v>4245</v>
      </c>
      <c r="B71" s="28" t="s">
        <v>516</v>
      </c>
      <c r="C71" s="27" t="s">
        <v>466</v>
      </c>
      <c r="D71" s="29" t="s">
        <v>32</v>
      </c>
      <c r="E71" s="28" t="s">
        <v>506</v>
      </c>
      <c r="F71" s="28" t="s">
        <v>32</v>
      </c>
    </row>
    <row r="72" ht="21" customHeight="1" hidden="1" spans="1:6" x14ac:dyDescent="0.25" outlineLevel="1" collapsed="1">
      <c r="A72" s="27">
        <v>4230</v>
      </c>
      <c r="B72" s="28" t="s">
        <v>517</v>
      </c>
      <c r="C72" s="27" t="s">
        <v>472</v>
      </c>
      <c r="D72" s="29" t="s">
        <v>32</v>
      </c>
      <c r="E72" s="28" t="s">
        <v>518</v>
      </c>
      <c r="F72" s="28" t="s">
        <v>32</v>
      </c>
    </row>
    <row r="73" ht="22" customHeight="1" hidden="1" spans="1:6" x14ac:dyDescent="0.25" outlineLevel="1" collapsed="1">
      <c r="A73" s="34" t="s">
        <v>495</v>
      </c>
      <c r="B73" s="34"/>
      <c r="C73" s="34"/>
      <c r="D73" s="34"/>
      <c r="E73" s="34"/>
      <c r="F73" s="34"/>
    </row>
    <row r="74" ht="24" customHeight="1" hidden="1" spans="1:6" x14ac:dyDescent="0.25" outlineLevel="1" collapsed="1">
      <c r="A74" s="12" t="s">
        <v>507</v>
      </c>
      <c r="B74" s="12"/>
      <c r="C74" s="12"/>
      <c r="D74" s="12"/>
      <c r="E74" s="12"/>
      <c r="F74" s="12"/>
    </row>
    <row r="75" ht="40" customHeight="1" hidden="1" spans="1:6" x14ac:dyDescent="0.25" outlineLevel="1" collapsed="1">
      <c r="A75" s="12" t="s">
        <v>497</v>
      </c>
      <c r="B75" s="12"/>
      <c r="C75" s="12"/>
      <c r="D75" s="12"/>
      <c r="E75" s="12"/>
      <c r="F75" s="12"/>
    </row>
    <row r="76" ht="24" customHeight="1" hidden="1" spans="1:6" x14ac:dyDescent="0.25" outlineLevel="1" collapsed="1">
      <c r="A76" s="12" t="s">
        <v>508</v>
      </c>
      <c r="B76" s="12"/>
      <c r="C76" s="12"/>
      <c r="D76" s="12"/>
      <c r="E76" s="12"/>
      <c r="F76" s="12"/>
    </row>
    <row r="77" ht="24" customHeight="1" hidden="1" spans="1:6" x14ac:dyDescent="0.25" outlineLevel="1" collapsed="1">
      <c r="A77" s="12" t="s">
        <v>519</v>
      </c>
      <c r="B77" s="12"/>
      <c r="C77" s="12"/>
      <c r="D77" s="12"/>
      <c r="E77" s="12"/>
      <c r="F77" s="12"/>
    </row>
    <row r="78" ht="40" customHeight="1" hidden="1" spans="1:6" x14ac:dyDescent="0.25" outlineLevel="1" collapsed="1">
      <c r="A78" s="12" t="s">
        <v>509</v>
      </c>
      <c r="B78" s="12"/>
      <c r="C78" s="12"/>
      <c r="D78" s="12"/>
      <c r="E78" s="12"/>
      <c r="F78" s="12"/>
    </row>
    <row r="79" ht="24" customHeight="1" hidden="1" spans="1:6" x14ac:dyDescent="0.25" outlineLevel="1" collapsed="1">
      <c r="A79" s="12" t="s">
        <v>499</v>
      </c>
      <c r="B79" s="12"/>
      <c r="C79" s="12"/>
      <c r="D79" s="12"/>
      <c r="E79" s="12"/>
      <c r="F79" s="12"/>
    </row>
    <row r="80" ht="24" customHeight="1" hidden="1" spans="1:6" x14ac:dyDescent="0.25" outlineLevel="1" collapsed="1">
      <c r="A80" s="12" t="s">
        <v>510</v>
      </c>
      <c r="B80" s="12"/>
      <c r="C80" s="12"/>
      <c r="D80" s="12"/>
      <c r="E80" s="12"/>
      <c r="F80" s="12"/>
    </row>
    <row r="81" ht="22" customHeight="1" hidden="1" spans="1:6" x14ac:dyDescent="0.25" outlineLevel="1" collapsed="1">
      <c r="A81" s="34" t="s">
        <v>511</v>
      </c>
      <c r="B81" s="34"/>
      <c r="C81" s="34"/>
      <c r="D81" s="34"/>
      <c r="E81" s="34"/>
      <c r="F81" s="34"/>
    </row>
    <row r="82" ht="40" customHeight="1" hidden="1" spans="1:6" x14ac:dyDescent="0.25" outlineLevel="1" collapsed="1">
      <c r="A82" s="12" t="s">
        <v>512</v>
      </c>
      <c r="B82" s="12"/>
      <c r="C82" s="12"/>
      <c r="D82" s="12"/>
      <c r="E82" s="12"/>
      <c r="F82" s="12"/>
    </row>
    <row r="83" ht="6" customHeight="1" hidden="1" x14ac:dyDescent="0.25" outlineLevel="1" collapsed="1"/>
    <row r="84" ht="22" customHeight="1" spans="1:6" x14ac:dyDescent="0.25">
      <c r="A84" s="25" t="s">
        <v>520</v>
      </c>
      <c r="B84" s="25"/>
      <c r="C84" s="25"/>
      <c r="D84" s="25"/>
      <c r="E84" s="25"/>
      <c r="F84" s="25"/>
    </row>
    <row r="85" ht="20" customHeight="1" hidden="1" spans="1:6" x14ac:dyDescent="0.25" outlineLevel="1" collapsed="1">
      <c r="A85" s="26" t="s">
        <v>460</v>
      </c>
      <c r="B85" s="26" t="s">
        <v>461</v>
      </c>
      <c r="C85" s="26" t="s">
        <v>462</v>
      </c>
      <c r="D85" s="26" t="s">
        <v>32</v>
      </c>
      <c r="E85" s="26" t="s">
        <v>463</v>
      </c>
      <c r="F85" s="26" t="s">
        <v>464</v>
      </c>
    </row>
    <row r="86" ht="36" customHeight="1" hidden="1" spans="1:6" x14ac:dyDescent="0.25" outlineLevel="1" collapsed="1">
      <c r="A86" s="27">
        <v>4220</v>
      </c>
      <c r="B86" s="28" t="s">
        <v>521</v>
      </c>
      <c r="C86" s="27" t="s">
        <v>466</v>
      </c>
      <c r="D86" s="29" t="s">
        <v>32</v>
      </c>
      <c r="E86" s="28" t="s">
        <v>522</v>
      </c>
      <c r="F86" s="28" t="s">
        <v>32</v>
      </c>
    </row>
    <row r="87" ht="36" customHeight="1" hidden="1" spans="1:6" x14ac:dyDescent="0.25" outlineLevel="1" collapsed="1">
      <c r="A87" s="30" t="s">
        <v>32</v>
      </c>
      <c r="B87" s="17" t="s">
        <v>32</v>
      </c>
      <c r="C87" s="30" t="s">
        <v>32</v>
      </c>
      <c r="D87" s="31" t="s">
        <v>32</v>
      </c>
      <c r="E87" s="35" t="s">
        <v>470</v>
      </c>
      <c r="F87" s="17" t="s">
        <v>32</v>
      </c>
    </row>
    <row r="88" ht="36" customHeight="1" hidden="1" spans="1:6" x14ac:dyDescent="0.25" outlineLevel="1" collapsed="1">
      <c r="A88" s="27">
        <v>4240</v>
      </c>
      <c r="B88" s="28" t="s">
        <v>523</v>
      </c>
      <c r="C88" s="27" t="s">
        <v>472</v>
      </c>
      <c r="D88" s="29" t="s">
        <v>32</v>
      </c>
      <c r="E88" s="28" t="s">
        <v>524</v>
      </c>
      <c r="F88" s="28" t="s">
        <v>32</v>
      </c>
    </row>
    <row r="89" ht="36" customHeight="1" hidden="1" spans="1:6" x14ac:dyDescent="0.25" outlineLevel="1" collapsed="1">
      <c r="A89" s="30" t="s">
        <v>32</v>
      </c>
      <c r="B89" s="17" t="s">
        <v>32</v>
      </c>
      <c r="C89" s="30" t="s">
        <v>32</v>
      </c>
      <c r="D89" s="31" t="s">
        <v>32</v>
      </c>
      <c r="E89" s="35" t="s">
        <v>470</v>
      </c>
      <c r="F89" s="17" t="s">
        <v>32</v>
      </c>
    </row>
    <row r="90" ht="51" customHeight="1" hidden="1" spans="1:6" x14ac:dyDescent="0.25" outlineLevel="1" collapsed="1">
      <c r="A90" s="27">
        <v>4230</v>
      </c>
      <c r="B90" s="28" t="s">
        <v>525</v>
      </c>
      <c r="C90" s="27" t="s">
        <v>472</v>
      </c>
      <c r="D90" s="29" t="s">
        <v>32</v>
      </c>
      <c r="E90" s="28" t="s">
        <v>526</v>
      </c>
      <c r="F90" s="28" t="s">
        <v>527</v>
      </c>
    </row>
    <row r="91" ht="21" customHeight="1" hidden="1" spans="1:6" x14ac:dyDescent="0.25" outlineLevel="1" collapsed="1">
      <c r="A91" s="30" t="s">
        <v>32</v>
      </c>
      <c r="B91" s="17" t="s">
        <v>32</v>
      </c>
      <c r="C91" s="30" t="s">
        <v>32</v>
      </c>
      <c r="D91" s="31" t="s">
        <v>32</v>
      </c>
      <c r="E91" s="17" t="s">
        <v>528</v>
      </c>
      <c r="F91" s="17" t="s">
        <v>32</v>
      </c>
    </row>
    <row r="92" ht="36" customHeight="1" hidden="1" spans="1:6" x14ac:dyDescent="0.25" outlineLevel="1" collapsed="1">
      <c r="A92" s="32" t="s">
        <v>32</v>
      </c>
      <c r="B92" s="12" t="s">
        <v>32</v>
      </c>
      <c r="C92" s="32" t="s">
        <v>32</v>
      </c>
      <c r="D92" s="31" t="s">
        <v>32</v>
      </c>
      <c r="E92" s="12" t="s">
        <v>529</v>
      </c>
      <c r="F92" s="12" t="s">
        <v>32</v>
      </c>
    </row>
    <row r="93" ht="36" customHeight="1" hidden="1" spans="1:6" x14ac:dyDescent="0.25" outlineLevel="1" collapsed="1">
      <c r="A93" s="30" t="s">
        <v>32</v>
      </c>
      <c r="B93" s="17" t="s">
        <v>32</v>
      </c>
      <c r="C93" s="30" t="s">
        <v>32</v>
      </c>
      <c r="D93" s="31" t="s">
        <v>32</v>
      </c>
      <c r="E93" s="17" t="s">
        <v>530</v>
      </c>
      <c r="F93" s="17" t="s">
        <v>32</v>
      </c>
    </row>
    <row r="94" ht="21" customHeight="1" hidden="1" spans="1:6" x14ac:dyDescent="0.25" outlineLevel="1" collapsed="1">
      <c r="A94" s="32" t="s">
        <v>32</v>
      </c>
      <c r="B94" s="12" t="s">
        <v>32</v>
      </c>
      <c r="C94" s="32" t="s">
        <v>32</v>
      </c>
      <c r="D94" s="31" t="s">
        <v>32</v>
      </c>
      <c r="E94" s="12" t="s">
        <v>531</v>
      </c>
      <c r="F94" s="12" t="s">
        <v>32</v>
      </c>
    </row>
    <row r="95" ht="21" customHeight="1" hidden="1" spans="1:6" x14ac:dyDescent="0.25" outlineLevel="1" collapsed="1">
      <c r="A95" s="30" t="s">
        <v>32</v>
      </c>
      <c r="B95" s="17" t="s">
        <v>32</v>
      </c>
      <c r="C95" s="30" t="s">
        <v>32</v>
      </c>
      <c r="D95" s="31" t="s">
        <v>32</v>
      </c>
      <c r="E95" s="17" t="s">
        <v>487</v>
      </c>
      <c r="F95" s="17" t="s">
        <v>32</v>
      </c>
    </row>
    <row r="96" ht="21" customHeight="1" hidden="1" spans="1:6" x14ac:dyDescent="0.25" outlineLevel="1" collapsed="1">
      <c r="A96" s="32" t="s">
        <v>32</v>
      </c>
      <c r="B96" s="12" t="s">
        <v>32</v>
      </c>
      <c r="C96" s="32" t="s">
        <v>32</v>
      </c>
      <c r="D96" s="31" t="s">
        <v>32</v>
      </c>
      <c r="E96" s="12" t="s">
        <v>532</v>
      </c>
      <c r="F96" s="12" t="s">
        <v>32</v>
      </c>
    </row>
    <row r="97" ht="21" customHeight="1" hidden="1" spans="1:6" x14ac:dyDescent="0.25" outlineLevel="1" collapsed="1">
      <c r="A97" s="30" t="s">
        <v>32</v>
      </c>
      <c r="B97" s="17" t="s">
        <v>32</v>
      </c>
      <c r="C97" s="30" t="s">
        <v>32</v>
      </c>
      <c r="D97" s="31" t="s">
        <v>32</v>
      </c>
      <c r="E97" s="17" t="s">
        <v>533</v>
      </c>
      <c r="F97" s="17" t="s">
        <v>32</v>
      </c>
    </row>
    <row r="98" ht="21" customHeight="1" hidden="1" spans="1:6" x14ac:dyDescent="0.25" outlineLevel="1" collapsed="1">
      <c r="A98" s="32" t="s">
        <v>32</v>
      </c>
      <c r="B98" s="12" t="s">
        <v>32</v>
      </c>
      <c r="C98" s="32" t="s">
        <v>32</v>
      </c>
      <c r="D98" s="31" t="s">
        <v>32</v>
      </c>
      <c r="E98" s="12" t="s">
        <v>534</v>
      </c>
      <c r="F98" s="12" t="s">
        <v>32</v>
      </c>
    </row>
    <row r="99" ht="21" customHeight="1" hidden="1" spans="1:6" x14ac:dyDescent="0.25" outlineLevel="1" collapsed="1">
      <c r="A99" s="30" t="s">
        <v>32</v>
      </c>
      <c r="B99" s="17" t="s">
        <v>32</v>
      </c>
      <c r="C99" s="30" t="s">
        <v>32</v>
      </c>
      <c r="D99" s="31" t="s">
        <v>32</v>
      </c>
      <c r="E99" s="17" t="s">
        <v>535</v>
      </c>
      <c r="F99" s="17" t="s">
        <v>32</v>
      </c>
    </row>
    <row r="100" ht="21" customHeight="1" hidden="1" spans="1:6" x14ac:dyDescent="0.25" outlineLevel="1" collapsed="1">
      <c r="A100" s="32" t="s">
        <v>32</v>
      </c>
      <c r="B100" s="12" t="s">
        <v>32</v>
      </c>
      <c r="C100" s="32" t="s">
        <v>32</v>
      </c>
      <c r="D100" s="31" t="s">
        <v>32</v>
      </c>
      <c r="E100" s="12" t="s">
        <v>536</v>
      </c>
      <c r="F100" s="12" t="s">
        <v>32</v>
      </c>
    </row>
    <row r="101" ht="21" customHeight="1" hidden="1" spans="1:6" x14ac:dyDescent="0.25" outlineLevel="1" collapsed="1">
      <c r="A101" s="30" t="s">
        <v>32</v>
      </c>
      <c r="B101" s="17" t="s">
        <v>32</v>
      </c>
      <c r="C101" s="30" t="s">
        <v>32</v>
      </c>
      <c r="D101" s="31" t="s">
        <v>32</v>
      </c>
      <c r="E101" s="17" t="s">
        <v>491</v>
      </c>
      <c r="F101" s="17" t="s">
        <v>32</v>
      </c>
    </row>
    <row r="102" ht="21" customHeight="1" hidden="1" spans="1:6" x14ac:dyDescent="0.25" outlineLevel="1" collapsed="1">
      <c r="A102" s="32" t="s">
        <v>32</v>
      </c>
      <c r="B102" s="12" t="s">
        <v>32</v>
      </c>
      <c r="C102" s="32" t="s">
        <v>32</v>
      </c>
      <c r="D102" s="31" t="s">
        <v>32</v>
      </c>
      <c r="E102" s="12" t="s">
        <v>537</v>
      </c>
      <c r="F102" s="12" t="s">
        <v>32</v>
      </c>
    </row>
    <row r="103" ht="21" customHeight="1" hidden="1" spans="1:6" x14ac:dyDescent="0.25" outlineLevel="1" collapsed="1">
      <c r="A103" s="30" t="s">
        <v>32</v>
      </c>
      <c r="B103" s="17" t="s">
        <v>32</v>
      </c>
      <c r="C103" s="30" t="s">
        <v>32</v>
      </c>
      <c r="D103" s="31" t="s">
        <v>32</v>
      </c>
      <c r="E103" s="17" t="s">
        <v>493</v>
      </c>
      <c r="F103" s="17" t="s">
        <v>32</v>
      </c>
    </row>
    <row r="104" ht="36" customHeight="1" hidden="1" spans="1:6" x14ac:dyDescent="0.25" outlineLevel="1" collapsed="1">
      <c r="A104" s="32" t="s">
        <v>32</v>
      </c>
      <c r="B104" s="12" t="s">
        <v>32</v>
      </c>
      <c r="C104" s="32" t="s">
        <v>32</v>
      </c>
      <c r="D104" s="31" t="s">
        <v>32</v>
      </c>
      <c r="E104" s="33" t="s">
        <v>538</v>
      </c>
      <c r="F104" s="12" t="s">
        <v>32</v>
      </c>
    </row>
    <row r="105" ht="22" customHeight="1" hidden="1" spans="1:6" x14ac:dyDescent="0.25" outlineLevel="1" collapsed="1">
      <c r="A105" s="34" t="s">
        <v>495</v>
      </c>
      <c r="B105" s="34"/>
      <c r="C105" s="34"/>
      <c r="D105" s="34"/>
      <c r="E105" s="34"/>
      <c r="F105" s="34"/>
    </row>
    <row r="106" ht="24" customHeight="1" hidden="1" spans="1:6" x14ac:dyDescent="0.25" outlineLevel="1" collapsed="1">
      <c r="A106" s="12" t="s">
        <v>539</v>
      </c>
      <c r="B106" s="12"/>
      <c r="C106" s="12"/>
      <c r="D106" s="12"/>
      <c r="E106" s="12"/>
      <c r="F106" s="12"/>
    </row>
    <row r="107" ht="24" customHeight="1" hidden="1" spans="1:6" x14ac:dyDescent="0.25" outlineLevel="1" collapsed="1">
      <c r="A107" s="12" t="s">
        <v>540</v>
      </c>
      <c r="B107" s="12"/>
      <c r="C107" s="12"/>
      <c r="D107" s="12"/>
      <c r="E107" s="12"/>
      <c r="F107" s="12"/>
    </row>
    <row r="108" ht="56" customHeight="1" hidden="1" spans="1:6" x14ac:dyDescent="0.25" outlineLevel="1" collapsed="1">
      <c r="A108" s="12" t="s">
        <v>541</v>
      </c>
      <c r="B108" s="12"/>
      <c r="C108" s="12"/>
      <c r="D108" s="12"/>
      <c r="E108" s="12"/>
      <c r="F108" s="12"/>
    </row>
    <row r="109" ht="24" customHeight="1" hidden="1" spans="1:6" x14ac:dyDescent="0.25" outlineLevel="1" collapsed="1">
      <c r="A109" s="12" t="s">
        <v>499</v>
      </c>
      <c r="B109" s="12"/>
      <c r="C109" s="12"/>
      <c r="D109" s="12"/>
      <c r="E109" s="12"/>
      <c r="F109" s="12"/>
    </row>
    <row r="110" ht="6" customHeight="1" hidden="1" x14ac:dyDescent="0.25" outlineLevel="1" collapsed="1"/>
    <row r="111" ht="22" customHeight="1" spans="1:6" x14ac:dyDescent="0.25">
      <c r="A111" s="25" t="s">
        <v>542</v>
      </c>
      <c r="B111" s="25"/>
      <c r="C111" s="25"/>
      <c r="D111" s="25"/>
      <c r="E111" s="25"/>
      <c r="F111" s="25"/>
    </row>
    <row r="112" ht="20" customHeight="1" hidden="1" spans="1:6" x14ac:dyDescent="0.25" outlineLevel="1" collapsed="1">
      <c r="A112" s="26" t="s">
        <v>460</v>
      </c>
      <c r="B112" s="26" t="s">
        <v>461</v>
      </c>
      <c r="C112" s="26" t="s">
        <v>462</v>
      </c>
      <c r="D112" s="26" t="s">
        <v>32</v>
      </c>
      <c r="E112" s="26" t="s">
        <v>463</v>
      </c>
      <c r="F112" s="26" t="s">
        <v>464</v>
      </c>
    </row>
    <row r="113" ht="36" customHeight="1" hidden="1" spans="1:6" x14ac:dyDescent="0.25" outlineLevel="1" collapsed="1">
      <c r="A113" s="27">
        <v>4220</v>
      </c>
      <c r="B113" s="28" t="s">
        <v>543</v>
      </c>
      <c r="C113" s="27" t="s">
        <v>466</v>
      </c>
      <c r="D113" s="29" t="s">
        <v>32</v>
      </c>
      <c r="E113" s="28" t="s">
        <v>522</v>
      </c>
      <c r="F113" s="28" t="s">
        <v>32</v>
      </c>
    </row>
    <row r="114" ht="36" customHeight="1" hidden="1" spans="1:6" x14ac:dyDescent="0.25" outlineLevel="1" collapsed="1">
      <c r="A114" s="30" t="s">
        <v>32</v>
      </c>
      <c r="B114" s="17" t="s">
        <v>32</v>
      </c>
      <c r="C114" s="30" t="s">
        <v>32</v>
      </c>
      <c r="D114" s="31" t="s">
        <v>32</v>
      </c>
      <c r="E114" s="35" t="s">
        <v>470</v>
      </c>
      <c r="F114" s="17" t="s">
        <v>32</v>
      </c>
    </row>
    <row r="115" ht="36" customHeight="1" hidden="1" spans="1:6" x14ac:dyDescent="0.25" outlineLevel="1" collapsed="1">
      <c r="A115" s="27">
        <v>4240</v>
      </c>
      <c r="B115" s="28" t="s">
        <v>471</v>
      </c>
      <c r="C115" s="27" t="s">
        <v>472</v>
      </c>
      <c r="D115" s="29" t="s">
        <v>32</v>
      </c>
      <c r="E115" s="28" t="s">
        <v>524</v>
      </c>
      <c r="F115" s="28" t="s">
        <v>32</v>
      </c>
    </row>
    <row r="116" ht="36" customHeight="1" hidden="1" spans="1:6" x14ac:dyDescent="0.25" outlineLevel="1" collapsed="1">
      <c r="A116" s="30" t="s">
        <v>32</v>
      </c>
      <c r="B116" s="17" t="s">
        <v>32</v>
      </c>
      <c r="C116" s="30" t="s">
        <v>32</v>
      </c>
      <c r="D116" s="31" t="s">
        <v>32</v>
      </c>
      <c r="E116" s="35" t="s">
        <v>470</v>
      </c>
      <c r="F116" s="17" t="s">
        <v>32</v>
      </c>
    </row>
    <row r="117" ht="51" customHeight="1" hidden="1" spans="1:6" x14ac:dyDescent="0.25" outlineLevel="1" collapsed="1">
      <c r="A117" s="27">
        <v>4230</v>
      </c>
      <c r="B117" s="28" t="s">
        <v>544</v>
      </c>
      <c r="C117" s="27" t="s">
        <v>472</v>
      </c>
      <c r="D117" s="29" t="s">
        <v>32</v>
      </c>
      <c r="E117" s="28" t="s">
        <v>545</v>
      </c>
      <c r="F117" s="28" t="s">
        <v>546</v>
      </c>
    </row>
    <row r="118" ht="21" customHeight="1" hidden="1" spans="1:6" x14ac:dyDescent="0.25" outlineLevel="1" collapsed="1">
      <c r="A118" s="30" t="s">
        <v>32</v>
      </c>
      <c r="B118" s="17" t="s">
        <v>32</v>
      </c>
      <c r="C118" s="30" t="s">
        <v>32</v>
      </c>
      <c r="D118" s="31" t="s">
        <v>32</v>
      </c>
      <c r="E118" s="17" t="s">
        <v>547</v>
      </c>
      <c r="F118" s="17" t="s">
        <v>32</v>
      </c>
    </row>
    <row r="119" ht="36" customHeight="1" hidden="1" spans="1:6" x14ac:dyDescent="0.25" outlineLevel="1" collapsed="1">
      <c r="A119" s="32" t="s">
        <v>32</v>
      </c>
      <c r="B119" s="12" t="s">
        <v>32</v>
      </c>
      <c r="C119" s="32" t="s">
        <v>32</v>
      </c>
      <c r="D119" s="31" t="s">
        <v>32</v>
      </c>
      <c r="E119" s="12" t="s">
        <v>548</v>
      </c>
      <c r="F119" s="12" t="s">
        <v>32</v>
      </c>
    </row>
    <row r="120" ht="36" customHeight="1" hidden="1" spans="1:6" x14ac:dyDescent="0.25" outlineLevel="1" collapsed="1">
      <c r="A120" s="30" t="s">
        <v>32</v>
      </c>
      <c r="B120" s="17" t="s">
        <v>32</v>
      </c>
      <c r="C120" s="30" t="s">
        <v>32</v>
      </c>
      <c r="D120" s="31" t="s">
        <v>32</v>
      </c>
      <c r="E120" s="17" t="s">
        <v>549</v>
      </c>
      <c r="F120" s="17" t="s">
        <v>32</v>
      </c>
    </row>
    <row r="121" ht="21" customHeight="1" hidden="1" spans="1:6" x14ac:dyDescent="0.25" outlineLevel="1" collapsed="1">
      <c r="A121" s="32" t="s">
        <v>32</v>
      </c>
      <c r="B121" s="12" t="s">
        <v>32</v>
      </c>
      <c r="C121" s="32" t="s">
        <v>32</v>
      </c>
      <c r="D121" s="31" t="s">
        <v>32</v>
      </c>
      <c r="E121" s="12" t="s">
        <v>550</v>
      </c>
      <c r="F121" s="12" t="s">
        <v>32</v>
      </c>
    </row>
    <row r="122" ht="21" customHeight="1" hidden="1" spans="1:6" x14ac:dyDescent="0.25" outlineLevel="1" collapsed="1">
      <c r="A122" s="30" t="s">
        <v>32</v>
      </c>
      <c r="B122" s="17" t="s">
        <v>32</v>
      </c>
      <c r="C122" s="30" t="s">
        <v>32</v>
      </c>
      <c r="D122" s="31" t="s">
        <v>32</v>
      </c>
      <c r="E122" s="17" t="s">
        <v>551</v>
      </c>
      <c r="F122" s="17" t="s">
        <v>32</v>
      </c>
    </row>
    <row r="123" ht="21" customHeight="1" hidden="1" spans="1:6" x14ac:dyDescent="0.25" outlineLevel="1" collapsed="1">
      <c r="A123" s="32" t="s">
        <v>32</v>
      </c>
      <c r="B123" s="12" t="s">
        <v>32</v>
      </c>
      <c r="C123" s="32" t="s">
        <v>32</v>
      </c>
      <c r="D123" s="31" t="s">
        <v>32</v>
      </c>
      <c r="E123" s="12" t="s">
        <v>533</v>
      </c>
      <c r="F123" s="12" t="s">
        <v>32</v>
      </c>
    </row>
    <row r="124" ht="21" customHeight="1" hidden="1" spans="1:6" x14ac:dyDescent="0.25" outlineLevel="1" collapsed="1">
      <c r="A124" s="30" t="s">
        <v>32</v>
      </c>
      <c r="B124" s="17" t="s">
        <v>32</v>
      </c>
      <c r="C124" s="30" t="s">
        <v>32</v>
      </c>
      <c r="D124" s="31" t="s">
        <v>32</v>
      </c>
      <c r="E124" s="17" t="s">
        <v>552</v>
      </c>
      <c r="F124" s="17" t="s">
        <v>32</v>
      </c>
    </row>
    <row r="125" ht="21" customHeight="1" hidden="1" spans="1:6" x14ac:dyDescent="0.25" outlineLevel="1" collapsed="1">
      <c r="A125" s="32" t="s">
        <v>32</v>
      </c>
      <c r="B125" s="12" t="s">
        <v>32</v>
      </c>
      <c r="C125" s="32" t="s">
        <v>32</v>
      </c>
      <c r="D125" s="31" t="s">
        <v>32</v>
      </c>
      <c r="E125" s="12" t="s">
        <v>553</v>
      </c>
      <c r="F125" s="12" t="s">
        <v>32</v>
      </c>
    </row>
    <row r="126" ht="21" customHeight="1" hidden="1" spans="1:6" x14ac:dyDescent="0.25" outlineLevel="1" collapsed="1">
      <c r="A126" s="30" t="s">
        <v>32</v>
      </c>
      <c r="B126" s="17" t="s">
        <v>32</v>
      </c>
      <c r="C126" s="30" t="s">
        <v>32</v>
      </c>
      <c r="D126" s="31" t="s">
        <v>32</v>
      </c>
      <c r="E126" s="17" t="s">
        <v>554</v>
      </c>
      <c r="F126" s="17" t="s">
        <v>32</v>
      </c>
    </row>
    <row r="127" ht="21" customHeight="1" hidden="1" spans="1:6" x14ac:dyDescent="0.25" outlineLevel="1" collapsed="1">
      <c r="A127" s="32" t="s">
        <v>32</v>
      </c>
      <c r="B127" s="12" t="s">
        <v>32</v>
      </c>
      <c r="C127" s="32" t="s">
        <v>32</v>
      </c>
      <c r="D127" s="31" t="s">
        <v>32</v>
      </c>
      <c r="E127" s="12" t="s">
        <v>555</v>
      </c>
      <c r="F127" s="12" t="s">
        <v>32</v>
      </c>
    </row>
    <row r="128" ht="21" customHeight="1" hidden="1" spans="1:6" x14ac:dyDescent="0.25" outlineLevel="1" collapsed="1">
      <c r="A128" s="30" t="s">
        <v>32</v>
      </c>
      <c r="B128" s="17" t="s">
        <v>32</v>
      </c>
      <c r="C128" s="30" t="s">
        <v>32</v>
      </c>
      <c r="D128" s="31" t="s">
        <v>32</v>
      </c>
      <c r="E128" s="17" t="s">
        <v>556</v>
      </c>
      <c r="F128" s="17" t="s">
        <v>32</v>
      </c>
    </row>
    <row r="129" ht="21" customHeight="1" hidden="1" spans="1:6" x14ac:dyDescent="0.25" outlineLevel="1" collapsed="1">
      <c r="A129" s="32" t="s">
        <v>32</v>
      </c>
      <c r="B129" s="12" t="s">
        <v>32</v>
      </c>
      <c r="C129" s="32" t="s">
        <v>32</v>
      </c>
      <c r="D129" s="31" t="s">
        <v>32</v>
      </c>
      <c r="E129" s="12" t="s">
        <v>493</v>
      </c>
      <c r="F129" s="12" t="s">
        <v>32</v>
      </c>
    </row>
    <row r="130" ht="21" customHeight="1" hidden="1" spans="1:6" x14ac:dyDescent="0.25" outlineLevel="1" collapsed="1">
      <c r="A130" s="30" t="s">
        <v>32</v>
      </c>
      <c r="B130" s="17" t="s">
        <v>32</v>
      </c>
      <c r="C130" s="30" t="s">
        <v>32</v>
      </c>
      <c r="D130" s="31" t="s">
        <v>32</v>
      </c>
      <c r="E130" s="35" t="s">
        <v>557</v>
      </c>
      <c r="F130" s="17" t="s">
        <v>32</v>
      </c>
    </row>
    <row r="131" ht="22" customHeight="1" hidden="1" spans="1:6" x14ac:dyDescent="0.25" outlineLevel="1" collapsed="1">
      <c r="A131" s="34" t="s">
        <v>495</v>
      </c>
      <c r="B131" s="34"/>
      <c r="C131" s="34"/>
      <c r="D131" s="34"/>
      <c r="E131" s="34"/>
      <c r="F131" s="34"/>
    </row>
    <row r="132" ht="24" customHeight="1" hidden="1" spans="1:6" x14ac:dyDescent="0.25" outlineLevel="1" collapsed="1">
      <c r="A132" s="12" t="s">
        <v>539</v>
      </c>
      <c r="B132" s="12"/>
      <c r="C132" s="12"/>
      <c r="D132" s="12"/>
      <c r="E132" s="12"/>
      <c r="F132" s="12"/>
    </row>
    <row r="133" ht="24" customHeight="1" hidden="1" spans="1:6" x14ac:dyDescent="0.25" outlineLevel="1" collapsed="1">
      <c r="A133" s="12" t="s">
        <v>540</v>
      </c>
      <c r="B133" s="12"/>
      <c r="C133" s="12"/>
      <c r="D133" s="12"/>
      <c r="E133" s="12"/>
      <c r="F133" s="12"/>
    </row>
    <row r="134" ht="56" customHeight="1" hidden="1" spans="1:6" x14ac:dyDescent="0.25" outlineLevel="1" collapsed="1">
      <c r="A134" s="12" t="s">
        <v>558</v>
      </c>
      <c r="B134" s="12"/>
      <c r="C134" s="12"/>
      <c r="D134" s="12"/>
      <c r="E134" s="12"/>
      <c r="F134" s="12"/>
    </row>
    <row r="135" ht="24" customHeight="1" hidden="1" spans="1:6" x14ac:dyDescent="0.25" outlineLevel="1" collapsed="1">
      <c r="A135" s="12" t="s">
        <v>499</v>
      </c>
      <c r="B135" s="12"/>
      <c r="C135" s="12"/>
      <c r="D135" s="12"/>
      <c r="E135" s="12"/>
      <c r="F135" s="12"/>
    </row>
    <row r="136" ht="6" customHeight="1" hidden="1" x14ac:dyDescent="0.25" outlineLevel="1" collapsed="1"/>
    <row r="137" ht="22" customHeight="1" spans="1:6" x14ac:dyDescent="0.25">
      <c r="A137" s="25" t="s">
        <v>559</v>
      </c>
      <c r="B137" s="25"/>
      <c r="C137" s="25"/>
      <c r="D137" s="25"/>
      <c r="E137" s="25"/>
      <c r="F137" s="25"/>
    </row>
    <row r="138" ht="20" customHeight="1" hidden="1" spans="1:6" x14ac:dyDescent="0.25" outlineLevel="1" collapsed="1">
      <c r="A138" s="26" t="s">
        <v>460</v>
      </c>
      <c r="B138" s="26" t="s">
        <v>461</v>
      </c>
      <c r="C138" s="26" t="s">
        <v>462</v>
      </c>
      <c r="D138" s="26" t="s">
        <v>32</v>
      </c>
      <c r="E138" s="26" t="s">
        <v>463</v>
      </c>
      <c r="F138" s="26" t="s">
        <v>464</v>
      </c>
    </row>
    <row r="139" ht="36" customHeight="1" hidden="1" spans="1:6" x14ac:dyDescent="0.25" outlineLevel="1" collapsed="1">
      <c r="A139" s="27">
        <v>4220</v>
      </c>
      <c r="B139" s="28" t="s">
        <v>543</v>
      </c>
      <c r="C139" s="27" t="s">
        <v>466</v>
      </c>
      <c r="D139" s="29" t="s">
        <v>32</v>
      </c>
      <c r="E139" s="28" t="s">
        <v>522</v>
      </c>
      <c r="F139" s="28" t="s">
        <v>32</v>
      </c>
    </row>
    <row r="140" ht="36" customHeight="1" hidden="1" spans="1:6" x14ac:dyDescent="0.25" outlineLevel="1" collapsed="1">
      <c r="A140" s="30" t="s">
        <v>32</v>
      </c>
      <c r="B140" s="17" t="s">
        <v>32</v>
      </c>
      <c r="C140" s="30" t="s">
        <v>32</v>
      </c>
      <c r="D140" s="31" t="s">
        <v>32</v>
      </c>
      <c r="E140" s="35" t="s">
        <v>470</v>
      </c>
      <c r="F140" s="17" t="s">
        <v>32</v>
      </c>
    </row>
    <row r="141" ht="36" customHeight="1" hidden="1" spans="1:6" x14ac:dyDescent="0.25" outlineLevel="1" collapsed="1">
      <c r="A141" s="27">
        <v>4240</v>
      </c>
      <c r="B141" s="28" t="s">
        <v>471</v>
      </c>
      <c r="C141" s="27" t="s">
        <v>472</v>
      </c>
      <c r="D141" s="29" t="s">
        <v>32</v>
      </c>
      <c r="E141" s="28" t="s">
        <v>524</v>
      </c>
      <c r="F141" s="28" t="s">
        <v>32</v>
      </c>
    </row>
    <row r="142" ht="36" customHeight="1" hidden="1" spans="1:6" x14ac:dyDescent="0.25" outlineLevel="1" collapsed="1">
      <c r="A142" s="30" t="s">
        <v>32</v>
      </c>
      <c r="B142" s="17" t="s">
        <v>32</v>
      </c>
      <c r="C142" s="30" t="s">
        <v>32</v>
      </c>
      <c r="D142" s="31" t="s">
        <v>32</v>
      </c>
      <c r="E142" s="35" t="s">
        <v>470</v>
      </c>
      <c r="F142" s="17" t="s">
        <v>32</v>
      </c>
    </row>
    <row r="143" ht="51" customHeight="1" hidden="1" spans="1:6" x14ac:dyDescent="0.25" outlineLevel="1" collapsed="1">
      <c r="A143" s="27">
        <v>4230</v>
      </c>
      <c r="B143" s="28" t="s">
        <v>544</v>
      </c>
      <c r="C143" s="27" t="s">
        <v>472</v>
      </c>
      <c r="D143" s="29" t="s">
        <v>32</v>
      </c>
      <c r="E143" s="28" t="s">
        <v>545</v>
      </c>
      <c r="F143" s="28" t="s">
        <v>546</v>
      </c>
    </row>
    <row r="144" ht="21" customHeight="1" hidden="1" spans="1:6" x14ac:dyDescent="0.25" outlineLevel="1" collapsed="1">
      <c r="A144" s="30" t="s">
        <v>32</v>
      </c>
      <c r="B144" s="17" t="s">
        <v>32</v>
      </c>
      <c r="C144" s="30" t="s">
        <v>32</v>
      </c>
      <c r="D144" s="31" t="s">
        <v>32</v>
      </c>
      <c r="E144" s="17" t="s">
        <v>547</v>
      </c>
      <c r="F144" s="17" t="s">
        <v>32</v>
      </c>
    </row>
    <row r="145" ht="36" customHeight="1" hidden="1" spans="1:6" x14ac:dyDescent="0.25" outlineLevel="1" collapsed="1">
      <c r="A145" s="32" t="s">
        <v>32</v>
      </c>
      <c r="B145" s="12" t="s">
        <v>32</v>
      </c>
      <c r="C145" s="32" t="s">
        <v>32</v>
      </c>
      <c r="D145" s="31" t="s">
        <v>32</v>
      </c>
      <c r="E145" s="12" t="s">
        <v>548</v>
      </c>
      <c r="F145" s="12" t="s">
        <v>32</v>
      </c>
    </row>
    <row r="146" ht="36" customHeight="1" hidden="1" spans="1:6" x14ac:dyDescent="0.25" outlineLevel="1" collapsed="1">
      <c r="A146" s="30" t="s">
        <v>32</v>
      </c>
      <c r="B146" s="17" t="s">
        <v>32</v>
      </c>
      <c r="C146" s="30" t="s">
        <v>32</v>
      </c>
      <c r="D146" s="31" t="s">
        <v>32</v>
      </c>
      <c r="E146" s="17" t="s">
        <v>549</v>
      </c>
      <c r="F146" s="17" t="s">
        <v>32</v>
      </c>
    </row>
    <row r="147" ht="21" customHeight="1" hidden="1" spans="1:6" x14ac:dyDescent="0.25" outlineLevel="1" collapsed="1">
      <c r="A147" s="32" t="s">
        <v>32</v>
      </c>
      <c r="B147" s="12" t="s">
        <v>32</v>
      </c>
      <c r="C147" s="32" t="s">
        <v>32</v>
      </c>
      <c r="D147" s="31" t="s">
        <v>32</v>
      </c>
      <c r="E147" s="12" t="s">
        <v>550</v>
      </c>
      <c r="F147" s="12" t="s">
        <v>32</v>
      </c>
    </row>
    <row r="148" ht="21" customHeight="1" hidden="1" spans="1:6" x14ac:dyDescent="0.25" outlineLevel="1" collapsed="1">
      <c r="A148" s="30" t="s">
        <v>32</v>
      </c>
      <c r="B148" s="17" t="s">
        <v>32</v>
      </c>
      <c r="C148" s="30" t="s">
        <v>32</v>
      </c>
      <c r="D148" s="31" t="s">
        <v>32</v>
      </c>
      <c r="E148" s="17" t="s">
        <v>551</v>
      </c>
      <c r="F148" s="17" t="s">
        <v>32</v>
      </c>
    </row>
    <row r="149" ht="21" customHeight="1" hidden="1" spans="1:6" x14ac:dyDescent="0.25" outlineLevel="1" collapsed="1">
      <c r="A149" s="32" t="s">
        <v>32</v>
      </c>
      <c r="B149" s="12" t="s">
        <v>32</v>
      </c>
      <c r="C149" s="32" t="s">
        <v>32</v>
      </c>
      <c r="D149" s="31" t="s">
        <v>32</v>
      </c>
      <c r="E149" s="12" t="s">
        <v>533</v>
      </c>
      <c r="F149" s="12" t="s">
        <v>32</v>
      </c>
    </row>
    <row r="150" ht="21" customHeight="1" hidden="1" spans="1:6" x14ac:dyDescent="0.25" outlineLevel="1" collapsed="1">
      <c r="A150" s="30" t="s">
        <v>32</v>
      </c>
      <c r="B150" s="17" t="s">
        <v>32</v>
      </c>
      <c r="C150" s="30" t="s">
        <v>32</v>
      </c>
      <c r="D150" s="31" t="s">
        <v>32</v>
      </c>
      <c r="E150" s="17" t="s">
        <v>552</v>
      </c>
      <c r="F150" s="17" t="s">
        <v>32</v>
      </c>
    </row>
    <row r="151" ht="21" customHeight="1" hidden="1" spans="1:6" x14ac:dyDescent="0.25" outlineLevel="1" collapsed="1">
      <c r="A151" s="32" t="s">
        <v>32</v>
      </c>
      <c r="B151" s="12" t="s">
        <v>32</v>
      </c>
      <c r="C151" s="32" t="s">
        <v>32</v>
      </c>
      <c r="D151" s="31" t="s">
        <v>32</v>
      </c>
      <c r="E151" s="12" t="s">
        <v>553</v>
      </c>
      <c r="F151" s="12" t="s">
        <v>32</v>
      </c>
    </row>
    <row r="152" ht="21" customHeight="1" hidden="1" spans="1:6" x14ac:dyDescent="0.25" outlineLevel="1" collapsed="1">
      <c r="A152" s="30" t="s">
        <v>32</v>
      </c>
      <c r="B152" s="17" t="s">
        <v>32</v>
      </c>
      <c r="C152" s="30" t="s">
        <v>32</v>
      </c>
      <c r="D152" s="31" t="s">
        <v>32</v>
      </c>
      <c r="E152" s="17" t="s">
        <v>554</v>
      </c>
      <c r="F152" s="17" t="s">
        <v>32</v>
      </c>
    </row>
    <row r="153" ht="21" customHeight="1" hidden="1" spans="1:6" x14ac:dyDescent="0.25" outlineLevel="1" collapsed="1">
      <c r="A153" s="32" t="s">
        <v>32</v>
      </c>
      <c r="B153" s="12" t="s">
        <v>32</v>
      </c>
      <c r="C153" s="32" t="s">
        <v>32</v>
      </c>
      <c r="D153" s="31" t="s">
        <v>32</v>
      </c>
      <c r="E153" s="12" t="s">
        <v>555</v>
      </c>
      <c r="F153" s="12" t="s">
        <v>32</v>
      </c>
    </row>
    <row r="154" ht="21" customHeight="1" hidden="1" spans="1:6" x14ac:dyDescent="0.25" outlineLevel="1" collapsed="1">
      <c r="A154" s="30" t="s">
        <v>32</v>
      </c>
      <c r="B154" s="17" t="s">
        <v>32</v>
      </c>
      <c r="C154" s="30" t="s">
        <v>32</v>
      </c>
      <c r="D154" s="31" t="s">
        <v>32</v>
      </c>
      <c r="E154" s="17" t="s">
        <v>556</v>
      </c>
      <c r="F154" s="17" t="s">
        <v>32</v>
      </c>
    </row>
    <row r="155" ht="21" customHeight="1" hidden="1" spans="1:6" x14ac:dyDescent="0.25" outlineLevel="1" collapsed="1">
      <c r="A155" s="32" t="s">
        <v>32</v>
      </c>
      <c r="B155" s="12" t="s">
        <v>32</v>
      </c>
      <c r="C155" s="32" t="s">
        <v>32</v>
      </c>
      <c r="D155" s="31" t="s">
        <v>32</v>
      </c>
      <c r="E155" s="12" t="s">
        <v>493</v>
      </c>
      <c r="F155" s="12" t="s">
        <v>32</v>
      </c>
    </row>
    <row r="156" ht="21" customHeight="1" hidden="1" spans="1:6" x14ac:dyDescent="0.25" outlineLevel="1" collapsed="1">
      <c r="A156" s="30" t="s">
        <v>32</v>
      </c>
      <c r="B156" s="17" t="s">
        <v>32</v>
      </c>
      <c r="C156" s="30" t="s">
        <v>32</v>
      </c>
      <c r="D156" s="31" t="s">
        <v>32</v>
      </c>
      <c r="E156" s="35" t="s">
        <v>557</v>
      </c>
      <c r="F156" s="17" t="s">
        <v>32</v>
      </c>
    </row>
    <row r="157" ht="22" customHeight="1" hidden="1" spans="1:6" x14ac:dyDescent="0.25" outlineLevel="1" collapsed="1">
      <c r="A157" s="34" t="s">
        <v>495</v>
      </c>
      <c r="B157" s="34"/>
      <c r="C157" s="34"/>
      <c r="D157" s="34"/>
      <c r="E157" s="34"/>
      <c r="F157" s="34"/>
    </row>
    <row r="158" ht="24" customHeight="1" hidden="1" spans="1:6" x14ac:dyDescent="0.25" outlineLevel="1" collapsed="1">
      <c r="A158" s="12" t="s">
        <v>539</v>
      </c>
      <c r="B158" s="12"/>
      <c r="C158" s="12"/>
      <c r="D158" s="12"/>
      <c r="E158" s="12"/>
      <c r="F158" s="12"/>
    </row>
    <row r="159" ht="24" customHeight="1" hidden="1" spans="1:6" x14ac:dyDescent="0.25" outlineLevel="1" collapsed="1">
      <c r="A159" s="12" t="s">
        <v>540</v>
      </c>
      <c r="B159" s="12"/>
      <c r="C159" s="12"/>
      <c r="D159" s="12"/>
      <c r="E159" s="12"/>
      <c r="F159" s="12"/>
    </row>
    <row r="160" ht="56" customHeight="1" hidden="1" spans="1:6" x14ac:dyDescent="0.25" outlineLevel="1" collapsed="1">
      <c r="A160" s="12" t="s">
        <v>558</v>
      </c>
      <c r="B160" s="12"/>
      <c r="C160" s="12"/>
      <c r="D160" s="12"/>
      <c r="E160" s="12"/>
      <c r="F160" s="12"/>
    </row>
    <row r="161" ht="24" customHeight="1" hidden="1" spans="1:6" x14ac:dyDescent="0.25" outlineLevel="1" collapsed="1">
      <c r="A161" s="12" t="s">
        <v>499</v>
      </c>
      <c r="B161" s="12"/>
      <c r="C161" s="12"/>
      <c r="D161" s="12"/>
      <c r="E161" s="12"/>
      <c r="F161" s="12"/>
    </row>
    <row r="162" ht="6" customHeight="1" hidden="1" x14ac:dyDescent="0.25" outlineLevel="1" collapsed="1"/>
    <row r="163" ht="22" customHeight="1" spans="1:6" x14ac:dyDescent="0.25">
      <c r="A163" s="25" t="s">
        <v>560</v>
      </c>
      <c r="B163" s="25"/>
      <c r="C163" s="25"/>
      <c r="D163" s="25"/>
      <c r="E163" s="25"/>
      <c r="F163" s="25"/>
    </row>
    <row r="164" ht="20" customHeight="1" hidden="1" spans="1:6" x14ac:dyDescent="0.25" outlineLevel="1" collapsed="1">
      <c r="A164" s="26" t="s">
        <v>460</v>
      </c>
      <c r="B164" s="26" t="s">
        <v>461</v>
      </c>
      <c r="C164" s="26" t="s">
        <v>462</v>
      </c>
      <c r="D164" s="26" t="s">
        <v>32</v>
      </c>
      <c r="E164" s="26" t="s">
        <v>463</v>
      </c>
      <c r="F164" s="26" t="s">
        <v>464</v>
      </c>
    </row>
    <row r="165" ht="36" customHeight="1" hidden="1" spans="1:6" x14ac:dyDescent="0.25" outlineLevel="1" collapsed="1">
      <c r="A165" s="27">
        <v>4220</v>
      </c>
      <c r="B165" s="28" t="s">
        <v>543</v>
      </c>
      <c r="C165" s="27" t="s">
        <v>466</v>
      </c>
      <c r="D165" s="29" t="s">
        <v>32</v>
      </c>
      <c r="E165" s="28" t="s">
        <v>522</v>
      </c>
      <c r="F165" s="28" t="s">
        <v>32</v>
      </c>
    </row>
    <row r="166" ht="36" customHeight="1" hidden="1" spans="1:6" x14ac:dyDescent="0.25" outlineLevel="1" collapsed="1">
      <c r="A166" s="30" t="s">
        <v>32</v>
      </c>
      <c r="B166" s="17" t="s">
        <v>32</v>
      </c>
      <c r="C166" s="30" t="s">
        <v>32</v>
      </c>
      <c r="D166" s="31" t="s">
        <v>32</v>
      </c>
      <c r="E166" s="35" t="s">
        <v>470</v>
      </c>
      <c r="F166" s="17" t="s">
        <v>32</v>
      </c>
    </row>
    <row r="167" ht="36" customHeight="1" hidden="1" spans="1:6" x14ac:dyDescent="0.25" outlineLevel="1" collapsed="1">
      <c r="A167" s="27">
        <v>4240</v>
      </c>
      <c r="B167" s="28" t="s">
        <v>471</v>
      </c>
      <c r="C167" s="27" t="s">
        <v>472</v>
      </c>
      <c r="D167" s="29" t="s">
        <v>32</v>
      </c>
      <c r="E167" s="28" t="s">
        <v>524</v>
      </c>
      <c r="F167" s="28" t="s">
        <v>32</v>
      </c>
    </row>
    <row r="168" ht="36" customHeight="1" hidden="1" spans="1:6" x14ac:dyDescent="0.25" outlineLevel="1" collapsed="1">
      <c r="A168" s="30" t="s">
        <v>32</v>
      </c>
      <c r="B168" s="17" t="s">
        <v>32</v>
      </c>
      <c r="C168" s="30" t="s">
        <v>32</v>
      </c>
      <c r="D168" s="31" t="s">
        <v>32</v>
      </c>
      <c r="E168" s="35" t="s">
        <v>470</v>
      </c>
      <c r="F168" s="17" t="s">
        <v>32</v>
      </c>
    </row>
    <row r="169" ht="51" customHeight="1" hidden="1" spans="1:6" x14ac:dyDescent="0.25" outlineLevel="1" collapsed="1">
      <c r="A169" s="27">
        <v>4230</v>
      </c>
      <c r="B169" s="28" t="s">
        <v>544</v>
      </c>
      <c r="C169" s="27" t="s">
        <v>472</v>
      </c>
      <c r="D169" s="29" t="s">
        <v>32</v>
      </c>
      <c r="E169" s="28" t="s">
        <v>545</v>
      </c>
      <c r="F169" s="28" t="s">
        <v>546</v>
      </c>
    </row>
    <row r="170" ht="21" customHeight="1" hidden="1" spans="1:6" x14ac:dyDescent="0.25" outlineLevel="1" collapsed="1">
      <c r="A170" s="30" t="s">
        <v>32</v>
      </c>
      <c r="B170" s="17" t="s">
        <v>32</v>
      </c>
      <c r="C170" s="30" t="s">
        <v>32</v>
      </c>
      <c r="D170" s="31" t="s">
        <v>32</v>
      </c>
      <c r="E170" s="17" t="s">
        <v>547</v>
      </c>
      <c r="F170" s="17" t="s">
        <v>32</v>
      </c>
    </row>
    <row r="171" ht="36" customHeight="1" hidden="1" spans="1:6" x14ac:dyDescent="0.25" outlineLevel="1" collapsed="1">
      <c r="A171" s="32" t="s">
        <v>32</v>
      </c>
      <c r="B171" s="12" t="s">
        <v>32</v>
      </c>
      <c r="C171" s="32" t="s">
        <v>32</v>
      </c>
      <c r="D171" s="31" t="s">
        <v>32</v>
      </c>
      <c r="E171" s="12" t="s">
        <v>548</v>
      </c>
      <c r="F171" s="12" t="s">
        <v>32</v>
      </c>
    </row>
    <row r="172" ht="36" customHeight="1" hidden="1" spans="1:6" x14ac:dyDescent="0.25" outlineLevel="1" collapsed="1">
      <c r="A172" s="30" t="s">
        <v>32</v>
      </c>
      <c r="B172" s="17" t="s">
        <v>32</v>
      </c>
      <c r="C172" s="30" t="s">
        <v>32</v>
      </c>
      <c r="D172" s="31" t="s">
        <v>32</v>
      </c>
      <c r="E172" s="17" t="s">
        <v>549</v>
      </c>
      <c r="F172" s="17" t="s">
        <v>32</v>
      </c>
    </row>
    <row r="173" ht="21" customHeight="1" hidden="1" spans="1:6" x14ac:dyDescent="0.25" outlineLevel="1" collapsed="1">
      <c r="A173" s="32" t="s">
        <v>32</v>
      </c>
      <c r="B173" s="12" t="s">
        <v>32</v>
      </c>
      <c r="C173" s="32" t="s">
        <v>32</v>
      </c>
      <c r="D173" s="31" t="s">
        <v>32</v>
      </c>
      <c r="E173" s="12" t="s">
        <v>550</v>
      </c>
      <c r="F173" s="12" t="s">
        <v>32</v>
      </c>
    </row>
    <row r="174" ht="21" customHeight="1" hidden="1" spans="1:6" x14ac:dyDescent="0.25" outlineLevel="1" collapsed="1">
      <c r="A174" s="30" t="s">
        <v>32</v>
      </c>
      <c r="B174" s="17" t="s">
        <v>32</v>
      </c>
      <c r="C174" s="30" t="s">
        <v>32</v>
      </c>
      <c r="D174" s="31" t="s">
        <v>32</v>
      </c>
      <c r="E174" s="17" t="s">
        <v>551</v>
      </c>
      <c r="F174" s="17" t="s">
        <v>32</v>
      </c>
    </row>
    <row r="175" ht="21" customHeight="1" hidden="1" spans="1:6" x14ac:dyDescent="0.25" outlineLevel="1" collapsed="1">
      <c r="A175" s="32" t="s">
        <v>32</v>
      </c>
      <c r="B175" s="12" t="s">
        <v>32</v>
      </c>
      <c r="C175" s="32" t="s">
        <v>32</v>
      </c>
      <c r="D175" s="31" t="s">
        <v>32</v>
      </c>
      <c r="E175" s="12" t="s">
        <v>533</v>
      </c>
      <c r="F175" s="12" t="s">
        <v>32</v>
      </c>
    </row>
    <row r="176" ht="21" customHeight="1" hidden="1" spans="1:6" x14ac:dyDescent="0.25" outlineLevel="1" collapsed="1">
      <c r="A176" s="30" t="s">
        <v>32</v>
      </c>
      <c r="B176" s="17" t="s">
        <v>32</v>
      </c>
      <c r="C176" s="30" t="s">
        <v>32</v>
      </c>
      <c r="D176" s="31" t="s">
        <v>32</v>
      </c>
      <c r="E176" s="17" t="s">
        <v>552</v>
      </c>
      <c r="F176" s="17" t="s">
        <v>32</v>
      </c>
    </row>
    <row r="177" ht="21" customHeight="1" hidden="1" spans="1:6" x14ac:dyDescent="0.25" outlineLevel="1" collapsed="1">
      <c r="A177" s="32" t="s">
        <v>32</v>
      </c>
      <c r="B177" s="12" t="s">
        <v>32</v>
      </c>
      <c r="C177" s="32" t="s">
        <v>32</v>
      </c>
      <c r="D177" s="31" t="s">
        <v>32</v>
      </c>
      <c r="E177" s="12" t="s">
        <v>553</v>
      </c>
      <c r="F177" s="12" t="s">
        <v>32</v>
      </c>
    </row>
    <row r="178" ht="21" customHeight="1" hidden="1" spans="1:6" x14ac:dyDescent="0.25" outlineLevel="1" collapsed="1">
      <c r="A178" s="30" t="s">
        <v>32</v>
      </c>
      <c r="B178" s="17" t="s">
        <v>32</v>
      </c>
      <c r="C178" s="30" t="s">
        <v>32</v>
      </c>
      <c r="D178" s="31" t="s">
        <v>32</v>
      </c>
      <c r="E178" s="17" t="s">
        <v>554</v>
      </c>
      <c r="F178" s="17" t="s">
        <v>32</v>
      </c>
    </row>
    <row r="179" ht="21" customHeight="1" hidden="1" spans="1:6" x14ac:dyDescent="0.25" outlineLevel="1" collapsed="1">
      <c r="A179" s="32" t="s">
        <v>32</v>
      </c>
      <c r="B179" s="12" t="s">
        <v>32</v>
      </c>
      <c r="C179" s="32" t="s">
        <v>32</v>
      </c>
      <c r="D179" s="31" t="s">
        <v>32</v>
      </c>
      <c r="E179" s="12" t="s">
        <v>555</v>
      </c>
      <c r="F179" s="12" t="s">
        <v>32</v>
      </c>
    </row>
    <row r="180" ht="21" customHeight="1" hidden="1" spans="1:6" x14ac:dyDescent="0.25" outlineLevel="1" collapsed="1">
      <c r="A180" s="30" t="s">
        <v>32</v>
      </c>
      <c r="B180" s="17" t="s">
        <v>32</v>
      </c>
      <c r="C180" s="30" t="s">
        <v>32</v>
      </c>
      <c r="D180" s="31" t="s">
        <v>32</v>
      </c>
      <c r="E180" s="17" t="s">
        <v>556</v>
      </c>
      <c r="F180" s="17" t="s">
        <v>32</v>
      </c>
    </row>
    <row r="181" ht="21" customHeight="1" hidden="1" spans="1:6" x14ac:dyDescent="0.25" outlineLevel="1" collapsed="1">
      <c r="A181" s="32" t="s">
        <v>32</v>
      </c>
      <c r="B181" s="12" t="s">
        <v>32</v>
      </c>
      <c r="C181" s="32" t="s">
        <v>32</v>
      </c>
      <c r="D181" s="31" t="s">
        <v>32</v>
      </c>
      <c r="E181" s="12" t="s">
        <v>493</v>
      </c>
      <c r="F181" s="12" t="s">
        <v>32</v>
      </c>
    </row>
    <row r="182" ht="21" customHeight="1" hidden="1" spans="1:6" x14ac:dyDescent="0.25" outlineLevel="1" collapsed="1">
      <c r="A182" s="30" t="s">
        <v>32</v>
      </c>
      <c r="B182" s="17" t="s">
        <v>32</v>
      </c>
      <c r="C182" s="30" t="s">
        <v>32</v>
      </c>
      <c r="D182" s="31" t="s">
        <v>32</v>
      </c>
      <c r="E182" s="35" t="s">
        <v>557</v>
      </c>
      <c r="F182" s="17" t="s">
        <v>32</v>
      </c>
    </row>
    <row r="183" ht="22" customHeight="1" hidden="1" spans="1:6" x14ac:dyDescent="0.25" outlineLevel="1" collapsed="1">
      <c r="A183" s="34" t="s">
        <v>495</v>
      </c>
      <c r="B183" s="34"/>
      <c r="C183" s="34"/>
      <c r="D183" s="34"/>
      <c r="E183" s="34"/>
      <c r="F183" s="34"/>
    </row>
    <row r="184" ht="24" customHeight="1" hidden="1" spans="1:6" x14ac:dyDescent="0.25" outlineLevel="1" collapsed="1">
      <c r="A184" s="12" t="s">
        <v>539</v>
      </c>
      <c r="B184" s="12"/>
      <c r="C184" s="12"/>
      <c r="D184" s="12"/>
      <c r="E184" s="12"/>
      <c r="F184" s="12"/>
    </row>
    <row r="185" ht="24" customHeight="1" hidden="1" spans="1:6" x14ac:dyDescent="0.25" outlineLevel="1" collapsed="1">
      <c r="A185" s="12" t="s">
        <v>540</v>
      </c>
      <c r="B185" s="12"/>
      <c r="C185" s="12"/>
      <c r="D185" s="12"/>
      <c r="E185" s="12"/>
      <c r="F185" s="12"/>
    </row>
    <row r="186" ht="56" customHeight="1" hidden="1" spans="1:6" x14ac:dyDescent="0.25" outlineLevel="1" collapsed="1">
      <c r="A186" s="12" t="s">
        <v>558</v>
      </c>
      <c r="B186" s="12"/>
      <c r="C186" s="12"/>
      <c r="D186" s="12"/>
      <c r="E186" s="12"/>
      <c r="F186" s="12"/>
    </row>
    <row r="187" ht="24" customHeight="1" hidden="1" spans="1:6" x14ac:dyDescent="0.25" outlineLevel="1" collapsed="1">
      <c r="A187" s="12" t="s">
        <v>499</v>
      </c>
      <c r="B187" s="12"/>
      <c r="C187" s="12"/>
      <c r="D187" s="12"/>
      <c r="E187" s="12"/>
      <c r="F187" s="12"/>
    </row>
    <row r="188" ht="6" customHeight="1" hidden="1" x14ac:dyDescent="0.25" outlineLevel="1" collapsed="1"/>
    <row r="189" ht="22" customHeight="1" spans="1:6" x14ac:dyDescent="0.25">
      <c r="A189" s="25" t="s">
        <v>561</v>
      </c>
      <c r="B189" s="25"/>
      <c r="C189" s="25"/>
      <c r="D189" s="25"/>
      <c r="E189" s="25"/>
      <c r="F189" s="25"/>
    </row>
    <row r="190" ht="20" customHeight="1" hidden="1" spans="1:6" x14ac:dyDescent="0.25" outlineLevel="1" collapsed="1">
      <c r="A190" s="26" t="s">
        <v>460</v>
      </c>
      <c r="B190" s="26" t="s">
        <v>461</v>
      </c>
      <c r="C190" s="26" t="s">
        <v>462</v>
      </c>
      <c r="D190" s="26" t="s">
        <v>32</v>
      </c>
      <c r="E190" s="26" t="s">
        <v>463</v>
      </c>
      <c r="F190" s="26" t="s">
        <v>464</v>
      </c>
    </row>
    <row r="191" ht="36" customHeight="1" hidden="1" spans="1:6" x14ac:dyDescent="0.25" outlineLevel="1" collapsed="1">
      <c r="A191" s="27">
        <v>4220</v>
      </c>
      <c r="B191" s="28" t="s">
        <v>543</v>
      </c>
      <c r="C191" s="27" t="s">
        <v>466</v>
      </c>
      <c r="D191" s="29" t="s">
        <v>32</v>
      </c>
      <c r="E191" s="28" t="s">
        <v>522</v>
      </c>
      <c r="F191" s="28" t="s">
        <v>32</v>
      </c>
    </row>
    <row r="192" ht="36" customHeight="1" hidden="1" spans="1:6" x14ac:dyDescent="0.25" outlineLevel="1" collapsed="1">
      <c r="A192" s="30" t="s">
        <v>32</v>
      </c>
      <c r="B192" s="17" t="s">
        <v>32</v>
      </c>
      <c r="C192" s="30" t="s">
        <v>32</v>
      </c>
      <c r="D192" s="31" t="s">
        <v>32</v>
      </c>
      <c r="E192" s="35" t="s">
        <v>470</v>
      </c>
      <c r="F192" s="17" t="s">
        <v>32</v>
      </c>
    </row>
    <row r="193" ht="36" customHeight="1" hidden="1" spans="1:6" x14ac:dyDescent="0.25" outlineLevel="1" collapsed="1">
      <c r="A193" s="27">
        <v>4240</v>
      </c>
      <c r="B193" s="28" t="s">
        <v>471</v>
      </c>
      <c r="C193" s="27" t="s">
        <v>472</v>
      </c>
      <c r="D193" s="29" t="s">
        <v>32</v>
      </c>
      <c r="E193" s="28" t="s">
        <v>524</v>
      </c>
      <c r="F193" s="28" t="s">
        <v>32</v>
      </c>
    </row>
    <row r="194" ht="36" customHeight="1" hidden="1" spans="1:6" x14ac:dyDescent="0.25" outlineLevel="1" collapsed="1">
      <c r="A194" s="30" t="s">
        <v>32</v>
      </c>
      <c r="B194" s="17" t="s">
        <v>32</v>
      </c>
      <c r="C194" s="30" t="s">
        <v>32</v>
      </c>
      <c r="D194" s="31" t="s">
        <v>32</v>
      </c>
      <c r="E194" s="35" t="s">
        <v>470</v>
      </c>
      <c r="F194" s="17" t="s">
        <v>32</v>
      </c>
    </row>
    <row r="195" ht="51" customHeight="1" hidden="1" spans="1:6" x14ac:dyDescent="0.25" outlineLevel="1" collapsed="1">
      <c r="A195" s="27">
        <v>4230</v>
      </c>
      <c r="B195" s="28" t="s">
        <v>544</v>
      </c>
      <c r="C195" s="27" t="s">
        <v>472</v>
      </c>
      <c r="D195" s="29" t="s">
        <v>32</v>
      </c>
      <c r="E195" s="28" t="s">
        <v>545</v>
      </c>
      <c r="F195" s="28" t="s">
        <v>546</v>
      </c>
    </row>
    <row r="196" ht="21" customHeight="1" hidden="1" spans="1:6" x14ac:dyDescent="0.25" outlineLevel="1" collapsed="1">
      <c r="A196" s="30" t="s">
        <v>32</v>
      </c>
      <c r="B196" s="17" t="s">
        <v>32</v>
      </c>
      <c r="C196" s="30" t="s">
        <v>32</v>
      </c>
      <c r="D196" s="31" t="s">
        <v>32</v>
      </c>
      <c r="E196" s="17" t="s">
        <v>547</v>
      </c>
      <c r="F196" s="17" t="s">
        <v>32</v>
      </c>
    </row>
    <row r="197" ht="36" customHeight="1" hidden="1" spans="1:6" x14ac:dyDescent="0.25" outlineLevel="1" collapsed="1">
      <c r="A197" s="32" t="s">
        <v>32</v>
      </c>
      <c r="B197" s="12" t="s">
        <v>32</v>
      </c>
      <c r="C197" s="32" t="s">
        <v>32</v>
      </c>
      <c r="D197" s="31" t="s">
        <v>32</v>
      </c>
      <c r="E197" s="12" t="s">
        <v>548</v>
      </c>
      <c r="F197" s="12" t="s">
        <v>32</v>
      </c>
    </row>
    <row r="198" ht="36" customHeight="1" hidden="1" spans="1:6" x14ac:dyDescent="0.25" outlineLevel="1" collapsed="1">
      <c r="A198" s="30" t="s">
        <v>32</v>
      </c>
      <c r="B198" s="17" t="s">
        <v>32</v>
      </c>
      <c r="C198" s="30" t="s">
        <v>32</v>
      </c>
      <c r="D198" s="31" t="s">
        <v>32</v>
      </c>
      <c r="E198" s="17" t="s">
        <v>549</v>
      </c>
      <c r="F198" s="17" t="s">
        <v>32</v>
      </c>
    </row>
    <row r="199" ht="21" customHeight="1" hidden="1" spans="1:6" x14ac:dyDescent="0.25" outlineLevel="1" collapsed="1">
      <c r="A199" s="32" t="s">
        <v>32</v>
      </c>
      <c r="B199" s="12" t="s">
        <v>32</v>
      </c>
      <c r="C199" s="32" t="s">
        <v>32</v>
      </c>
      <c r="D199" s="31" t="s">
        <v>32</v>
      </c>
      <c r="E199" s="12" t="s">
        <v>550</v>
      </c>
      <c r="F199" s="12" t="s">
        <v>32</v>
      </c>
    </row>
    <row r="200" ht="21" customHeight="1" hidden="1" spans="1:6" x14ac:dyDescent="0.25" outlineLevel="1" collapsed="1">
      <c r="A200" s="30" t="s">
        <v>32</v>
      </c>
      <c r="B200" s="17" t="s">
        <v>32</v>
      </c>
      <c r="C200" s="30" t="s">
        <v>32</v>
      </c>
      <c r="D200" s="31" t="s">
        <v>32</v>
      </c>
      <c r="E200" s="17" t="s">
        <v>551</v>
      </c>
      <c r="F200" s="17" t="s">
        <v>32</v>
      </c>
    </row>
    <row r="201" ht="21" customHeight="1" hidden="1" spans="1:6" x14ac:dyDescent="0.25" outlineLevel="1" collapsed="1">
      <c r="A201" s="32" t="s">
        <v>32</v>
      </c>
      <c r="B201" s="12" t="s">
        <v>32</v>
      </c>
      <c r="C201" s="32" t="s">
        <v>32</v>
      </c>
      <c r="D201" s="31" t="s">
        <v>32</v>
      </c>
      <c r="E201" s="12" t="s">
        <v>533</v>
      </c>
      <c r="F201" s="12" t="s">
        <v>32</v>
      </c>
    </row>
    <row r="202" ht="21" customHeight="1" hidden="1" spans="1:6" x14ac:dyDescent="0.25" outlineLevel="1" collapsed="1">
      <c r="A202" s="30" t="s">
        <v>32</v>
      </c>
      <c r="B202" s="17" t="s">
        <v>32</v>
      </c>
      <c r="C202" s="30" t="s">
        <v>32</v>
      </c>
      <c r="D202" s="31" t="s">
        <v>32</v>
      </c>
      <c r="E202" s="17" t="s">
        <v>552</v>
      </c>
      <c r="F202" s="17" t="s">
        <v>32</v>
      </c>
    </row>
    <row r="203" ht="21" customHeight="1" hidden="1" spans="1:6" x14ac:dyDescent="0.25" outlineLevel="1" collapsed="1">
      <c r="A203" s="32" t="s">
        <v>32</v>
      </c>
      <c r="B203" s="12" t="s">
        <v>32</v>
      </c>
      <c r="C203" s="32" t="s">
        <v>32</v>
      </c>
      <c r="D203" s="31" t="s">
        <v>32</v>
      </c>
      <c r="E203" s="12" t="s">
        <v>553</v>
      </c>
      <c r="F203" s="12" t="s">
        <v>32</v>
      </c>
    </row>
    <row r="204" ht="21" customHeight="1" hidden="1" spans="1:6" x14ac:dyDescent="0.25" outlineLevel="1" collapsed="1">
      <c r="A204" s="30" t="s">
        <v>32</v>
      </c>
      <c r="B204" s="17" t="s">
        <v>32</v>
      </c>
      <c r="C204" s="30" t="s">
        <v>32</v>
      </c>
      <c r="D204" s="31" t="s">
        <v>32</v>
      </c>
      <c r="E204" s="17" t="s">
        <v>554</v>
      </c>
      <c r="F204" s="17" t="s">
        <v>32</v>
      </c>
    </row>
    <row r="205" ht="21" customHeight="1" hidden="1" spans="1:6" x14ac:dyDescent="0.25" outlineLevel="1" collapsed="1">
      <c r="A205" s="32" t="s">
        <v>32</v>
      </c>
      <c r="B205" s="12" t="s">
        <v>32</v>
      </c>
      <c r="C205" s="32" t="s">
        <v>32</v>
      </c>
      <c r="D205" s="31" t="s">
        <v>32</v>
      </c>
      <c r="E205" s="12" t="s">
        <v>555</v>
      </c>
      <c r="F205" s="12" t="s">
        <v>32</v>
      </c>
    </row>
    <row r="206" ht="21" customHeight="1" hidden="1" spans="1:6" x14ac:dyDescent="0.25" outlineLevel="1" collapsed="1">
      <c r="A206" s="30" t="s">
        <v>32</v>
      </c>
      <c r="B206" s="17" t="s">
        <v>32</v>
      </c>
      <c r="C206" s="30" t="s">
        <v>32</v>
      </c>
      <c r="D206" s="31" t="s">
        <v>32</v>
      </c>
      <c r="E206" s="17" t="s">
        <v>556</v>
      </c>
      <c r="F206" s="17" t="s">
        <v>32</v>
      </c>
    </row>
    <row r="207" ht="21" customHeight="1" hidden="1" spans="1:6" x14ac:dyDescent="0.25" outlineLevel="1" collapsed="1">
      <c r="A207" s="32" t="s">
        <v>32</v>
      </c>
      <c r="B207" s="12" t="s">
        <v>32</v>
      </c>
      <c r="C207" s="32" t="s">
        <v>32</v>
      </c>
      <c r="D207" s="31" t="s">
        <v>32</v>
      </c>
      <c r="E207" s="12" t="s">
        <v>493</v>
      </c>
      <c r="F207" s="12" t="s">
        <v>32</v>
      </c>
    </row>
    <row r="208" ht="21" customHeight="1" hidden="1" spans="1:6" x14ac:dyDescent="0.25" outlineLevel="1" collapsed="1">
      <c r="A208" s="30" t="s">
        <v>32</v>
      </c>
      <c r="B208" s="17" t="s">
        <v>32</v>
      </c>
      <c r="C208" s="30" t="s">
        <v>32</v>
      </c>
      <c r="D208" s="31" t="s">
        <v>32</v>
      </c>
      <c r="E208" s="35" t="s">
        <v>557</v>
      </c>
      <c r="F208" s="17" t="s">
        <v>32</v>
      </c>
    </row>
    <row r="209" ht="22" customHeight="1" hidden="1" spans="1:6" x14ac:dyDescent="0.25" outlineLevel="1" collapsed="1">
      <c r="A209" s="34" t="s">
        <v>495</v>
      </c>
      <c r="B209" s="34"/>
      <c r="C209" s="34"/>
      <c r="D209" s="34"/>
      <c r="E209" s="34"/>
      <c r="F209" s="34"/>
    </row>
    <row r="210" ht="24" customHeight="1" hidden="1" spans="1:6" x14ac:dyDescent="0.25" outlineLevel="1" collapsed="1">
      <c r="A210" s="12" t="s">
        <v>539</v>
      </c>
      <c r="B210" s="12"/>
      <c r="C210" s="12"/>
      <c r="D210" s="12"/>
      <c r="E210" s="12"/>
      <c r="F210" s="12"/>
    </row>
    <row r="211" ht="24" customHeight="1" hidden="1" spans="1:6" x14ac:dyDescent="0.25" outlineLevel="1" collapsed="1">
      <c r="A211" s="12" t="s">
        <v>540</v>
      </c>
      <c r="B211" s="12"/>
      <c r="C211" s="12"/>
      <c r="D211" s="12"/>
      <c r="E211" s="12"/>
      <c r="F211" s="12"/>
    </row>
    <row r="212" ht="56" customHeight="1" hidden="1" spans="1:6" x14ac:dyDescent="0.25" outlineLevel="1" collapsed="1">
      <c r="A212" s="12" t="s">
        <v>558</v>
      </c>
      <c r="B212" s="12"/>
      <c r="C212" s="12"/>
      <c r="D212" s="12"/>
      <c r="E212" s="12"/>
      <c r="F212" s="12"/>
    </row>
    <row r="213" ht="24" customHeight="1" hidden="1" spans="1:6" x14ac:dyDescent="0.25" outlineLevel="1" collapsed="1">
      <c r="A213" s="12" t="s">
        <v>499</v>
      </c>
      <c r="B213" s="12"/>
      <c r="C213" s="12"/>
      <c r="D213" s="12"/>
      <c r="E213" s="12"/>
      <c r="F213" s="12"/>
    </row>
    <row r="214" ht="6" customHeight="1" hidden="1" x14ac:dyDescent="0.25" outlineLevel="1" collapsed="1"/>
    <row r="215" ht="22" customHeight="1" spans="1:6" x14ac:dyDescent="0.25">
      <c r="A215" s="25" t="s">
        <v>562</v>
      </c>
      <c r="B215" s="25"/>
      <c r="C215" s="25"/>
      <c r="D215" s="25"/>
      <c r="E215" s="25"/>
      <c r="F215" s="25"/>
    </row>
    <row r="216" ht="20" customHeight="1" hidden="1" spans="1:6" x14ac:dyDescent="0.25" outlineLevel="1" collapsed="1">
      <c r="A216" s="26" t="s">
        <v>460</v>
      </c>
      <c r="B216" s="26" t="s">
        <v>461</v>
      </c>
      <c r="C216" s="26" t="s">
        <v>462</v>
      </c>
      <c r="D216" s="26" t="s">
        <v>32</v>
      </c>
      <c r="E216" s="26" t="s">
        <v>463</v>
      </c>
      <c r="F216" s="26" t="s">
        <v>464</v>
      </c>
    </row>
    <row r="217" ht="36" customHeight="1" hidden="1" spans="1:6" x14ac:dyDescent="0.25" outlineLevel="1" collapsed="1">
      <c r="A217" s="27">
        <v>4220</v>
      </c>
      <c r="B217" s="28" t="s">
        <v>543</v>
      </c>
      <c r="C217" s="27" t="s">
        <v>466</v>
      </c>
      <c r="D217" s="29" t="s">
        <v>32</v>
      </c>
      <c r="E217" s="28" t="s">
        <v>522</v>
      </c>
      <c r="F217" s="28" t="s">
        <v>32</v>
      </c>
    </row>
    <row r="218" ht="36" customHeight="1" hidden="1" spans="1:6" x14ac:dyDescent="0.25" outlineLevel="1" collapsed="1">
      <c r="A218" s="30" t="s">
        <v>32</v>
      </c>
      <c r="B218" s="17" t="s">
        <v>32</v>
      </c>
      <c r="C218" s="30" t="s">
        <v>32</v>
      </c>
      <c r="D218" s="31" t="s">
        <v>32</v>
      </c>
      <c r="E218" s="35" t="s">
        <v>470</v>
      </c>
      <c r="F218" s="17" t="s">
        <v>32</v>
      </c>
    </row>
    <row r="219" ht="36" customHeight="1" hidden="1" spans="1:6" x14ac:dyDescent="0.25" outlineLevel="1" collapsed="1">
      <c r="A219" s="27">
        <v>4240</v>
      </c>
      <c r="B219" s="28" t="s">
        <v>471</v>
      </c>
      <c r="C219" s="27" t="s">
        <v>472</v>
      </c>
      <c r="D219" s="29" t="s">
        <v>32</v>
      </c>
      <c r="E219" s="28" t="s">
        <v>524</v>
      </c>
      <c r="F219" s="28" t="s">
        <v>32</v>
      </c>
    </row>
    <row r="220" ht="36" customHeight="1" hidden="1" spans="1:6" x14ac:dyDescent="0.25" outlineLevel="1" collapsed="1">
      <c r="A220" s="30" t="s">
        <v>32</v>
      </c>
      <c r="B220" s="17" t="s">
        <v>32</v>
      </c>
      <c r="C220" s="30" t="s">
        <v>32</v>
      </c>
      <c r="D220" s="31" t="s">
        <v>32</v>
      </c>
      <c r="E220" s="35" t="s">
        <v>470</v>
      </c>
      <c r="F220" s="17" t="s">
        <v>32</v>
      </c>
    </row>
    <row r="221" ht="51" customHeight="1" hidden="1" spans="1:6" x14ac:dyDescent="0.25" outlineLevel="1" collapsed="1">
      <c r="A221" s="27">
        <v>4230</v>
      </c>
      <c r="B221" s="28" t="s">
        <v>544</v>
      </c>
      <c r="C221" s="27" t="s">
        <v>472</v>
      </c>
      <c r="D221" s="29" t="s">
        <v>32</v>
      </c>
      <c r="E221" s="28" t="s">
        <v>526</v>
      </c>
      <c r="F221" s="28" t="s">
        <v>546</v>
      </c>
    </row>
    <row r="222" ht="21" customHeight="1" hidden="1" spans="1:6" x14ac:dyDescent="0.25" outlineLevel="1" collapsed="1">
      <c r="A222" s="30" t="s">
        <v>32</v>
      </c>
      <c r="B222" s="17" t="s">
        <v>32</v>
      </c>
      <c r="C222" s="30" t="s">
        <v>32</v>
      </c>
      <c r="D222" s="31" t="s">
        <v>32</v>
      </c>
      <c r="E222" s="17" t="s">
        <v>528</v>
      </c>
      <c r="F222" s="17" t="s">
        <v>32</v>
      </c>
    </row>
    <row r="223" ht="36" customHeight="1" hidden="1" spans="1:6" x14ac:dyDescent="0.25" outlineLevel="1" collapsed="1">
      <c r="A223" s="32" t="s">
        <v>32</v>
      </c>
      <c r="B223" s="12" t="s">
        <v>32</v>
      </c>
      <c r="C223" s="32" t="s">
        <v>32</v>
      </c>
      <c r="D223" s="31" t="s">
        <v>32</v>
      </c>
      <c r="E223" s="12" t="s">
        <v>563</v>
      </c>
      <c r="F223" s="12" t="s">
        <v>32</v>
      </c>
    </row>
    <row r="224" ht="36" customHeight="1" hidden="1" spans="1:6" x14ac:dyDescent="0.25" outlineLevel="1" collapsed="1">
      <c r="A224" s="30" t="s">
        <v>32</v>
      </c>
      <c r="B224" s="17" t="s">
        <v>32</v>
      </c>
      <c r="C224" s="30" t="s">
        <v>32</v>
      </c>
      <c r="D224" s="31" t="s">
        <v>32</v>
      </c>
      <c r="E224" s="17" t="s">
        <v>530</v>
      </c>
      <c r="F224" s="17" t="s">
        <v>32</v>
      </c>
    </row>
    <row r="225" ht="21" customHeight="1" hidden="1" spans="1:6" x14ac:dyDescent="0.25" outlineLevel="1" collapsed="1">
      <c r="A225" s="32" t="s">
        <v>32</v>
      </c>
      <c r="B225" s="12" t="s">
        <v>32</v>
      </c>
      <c r="C225" s="32" t="s">
        <v>32</v>
      </c>
      <c r="D225" s="31" t="s">
        <v>32</v>
      </c>
      <c r="E225" s="12" t="s">
        <v>531</v>
      </c>
      <c r="F225" s="12" t="s">
        <v>32</v>
      </c>
    </row>
    <row r="226" ht="21" customHeight="1" hidden="1" spans="1:6" x14ac:dyDescent="0.25" outlineLevel="1" collapsed="1">
      <c r="A226" s="30" t="s">
        <v>32</v>
      </c>
      <c r="B226" s="17" t="s">
        <v>32</v>
      </c>
      <c r="C226" s="30" t="s">
        <v>32</v>
      </c>
      <c r="D226" s="31" t="s">
        <v>32</v>
      </c>
      <c r="E226" s="17" t="s">
        <v>487</v>
      </c>
      <c r="F226" s="17" t="s">
        <v>32</v>
      </c>
    </row>
    <row r="227" ht="21" customHeight="1" hidden="1" spans="1:6" x14ac:dyDescent="0.25" outlineLevel="1" collapsed="1">
      <c r="A227" s="32" t="s">
        <v>32</v>
      </c>
      <c r="B227" s="12" t="s">
        <v>32</v>
      </c>
      <c r="C227" s="32" t="s">
        <v>32</v>
      </c>
      <c r="D227" s="31" t="s">
        <v>32</v>
      </c>
      <c r="E227" s="12" t="s">
        <v>533</v>
      </c>
      <c r="F227" s="12" t="s">
        <v>32</v>
      </c>
    </row>
    <row r="228" ht="21" customHeight="1" hidden="1" spans="1:6" x14ac:dyDescent="0.25" outlineLevel="1" collapsed="1">
      <c r="A228" s="30" t="s">
        <v>32</v>
      </c>
      <c r="B228" s="17" t="s">
        <v>32</v>
      </c>
      <c r="C228" s="30" t="s">
        <v>32</v>
      </c>
      <c r="D228" s="31" t="s">
        <v>32</v>
      </c>
      <c r="E228" s="17" t="s">
        <v>534</v>
      </c>
      <c r="F228" s="17" t="s">
        <v>32</v>
      </c>
    </row>
    <row r="229" ht="21" customHeight="1" hidden="1" spans="1:6" x14ac:dyDescent="0.25" outlineLevel="1" collapsed="1">
      <c r="A229" s="32" t="s">
        <v>32</v>
      </c>
      <c r="B229" s="12" t="s">
        <v>32</v>
      </c>
      <c r="C229" s="32" t="s">
        <v>32</v>
      </c>
      <c r="D229" s="31" t="s">
        <v>32</v>
      </c>
      <c r="E229" s="12" t="s">
        <v>535</v>
      </c>
      <c r="F229" s="12" t="s">
        <v>32</v>
      </c>
    </row>
    <row r="230" ht="21" customHeight="1" hidden="1" spans="1:6" x14ac:dyDescent="0.25" outlineLevel="1" collapsed="1">
      <c r="A230" s="30" t="s">
        <v>32</v>
      </c>
      <c r="B230" s="17" t="s">
        <v>32</v>
      </c>
      <c r="C230" s="30" t="s">
        <v>32</v>
      </c>
      <c r="D230" s="31" t="s">
        <v>32</v>
      </c>
      <c r="E230" s="17" t="s">
        <v>536</v>
      </c>
      <c r="F230" s="17" t="s">
        <v>32</v>
      </c>
    </row>
    <row r="231" ht="21" customHeight="1" hidden="1" spans="1:6" x14ac:dyDescent="0.25" outlineLevel="1" collapsed="1">
      <c r="A231" s="32" t="s">
        <v>32</v>
      </c>
      <c r="B231" s="12" t="s">
        <v>32</v>
      </c>
      <c r="C231" s="32" t="s">
        <v>32</v>
      </c>
      <c r="D231" s="31" t="s">
        <v>32</v>
      </c>
      <c r="E231" s="12" t="s">
        <v>491</v>
      </c>
      <c r="F231" s="12" t="s">
        <v>32</v>
      </c>
    </row>
    <row r="232" ht="21" customHeight="1" hidden="1" spans="1:6" x14ac:dyDescent="0.25" outlineLevel="1" collapsed="1">
      <c r="A232" s="30" t="s">
        <v>32</v>
      </c>
      <c r="B232" s="17" t="s">
        <v>32</v>
      </c>
      <c r="C232" s="30" t="s">
        <v>32</v>
      </c>
      <c r="D232" s="31" t="s">
        <v>32</v>
      </c>
      <c r="E232" s="17" t="s">
        <v>537</v>
      </c>
      <c r="F232" s="17" t="s">
        <v>32</v>
      </c>
    </row>
    <row r="233" ht="21" customHeight="1" hidden="1" spans="1:6" x14ac:dyDescent="0.25" outlineLevel="1" collapsed="1">
      <c r="A233" s="32" t="s">
        <v>32</v>
      </c>
      <c r="B233" s="12" t="s">
        <v>32</v>
      </c>
      <c r="C233" s="32" t="s">
        <v>32</v>
      </c>
      <c r="D233" s="31" t="s">
        <v>32</v>
      </c>
      <c r="E233" s="12" t="s">
        <v>493</v>
      </c>
      <c r="F233" s="12" t="s">
        <v>32</v>
      </c>
    </row>
    <row r="234" ht="21" customHeight="1" hidden="1" spans="1:6" x14ac:dyDescent="0.25" outlineLevel="1" collapsed="1">
      <c r="A234" s="30" t="s">
        <v>32</v>
      </c>
      <c r="B234" s="17" t="s">
        <v>32</v>
      </c>
      <c r="C234" s="30" t="s">
        <v>32</v>
      </c>
      <c r="D234" s="31" t="s">
        <v>32</v>
      </c>
      <c r="E234" s="35" t="s">
        <v>557</v>
      </c>
      <c r="F234" s="17" t="s">
        <v>32</v>
      </c>
    </row>
    <row r="235" ht="22" customHeight="1" hidden="1" spans="1:6" x14ac:dyDescent="0.25" outlineLevel="1" collapsed="1">
      <c r="A235" s="34" t="s">
        <v>495</v>
      </c>
      <c r="B235" s="34"/>
      <c r="C235" s="34"/>
      <c r="D235" s="34"/>
      <c r="E235" s="34"/>
      <c r="F235" s="34"/>
    </row>
    <row r="236" ht="24" customHeight="1" hidden="1" spans="1:6" x14ac:dyDescent="0.25" outlineLevel="1" collapsed="1">
      <c r="A236" s="12" t="s">
        <v>539</v>
      </c>
      <c r="B236" s="12"/>
      <c r="C236" s="12"/>
      <c r="D236" s="12"/>
      <c r="E236" s="12"/>
      <c r="F236" s="12"/>
    </row>
    <row r="237" ht="24" customHeight="1" hidden="1" spans="1:6" x14ac:dyDescent="0.25" outlineLevel="1" collapsed="1">
      <c r="A237" s="12" t="s">
        <v>540</v>
      </c>
      <c r="B237" s="12"/>
      <c r="C237" s="12"/>
      <c r="D237" s="12"/>
      <c r="E237" s="12"/>
      <c r="F237" s="12"/>
    </row>
    <row r="238" ht="56" customHeight="1" hidden="1" spans="1:6" x14ac:dyDescent="0.25" outlineLevel="1" collapsed="1">
      <c r="A238" s="12" t="s">
        <v>564</v>
      </c>
      <c r="B238" s="12"/>
      <c r="C238" s="12"/>
      <c r="D238" s="12"/>
      <c r="E238" s="12"/>
      <c r="F238" s="12"/>
    </row>
    <row r="239" ht="24" customHeight="1" hidden="1" spans="1:6" x14ac:dyDescent="0.25" outlineLevel="1" collapsed="1">
      <c r="A239" s="12" t="s">
        <v>499</v>
      </c>
      <c r="B239" s="12"/>
      <c r="C239" s="12"/>
      <c r="D239" s="12"/>
      <c r="E239" s="12"/>
      <c r="F239" s="12"/>
    </row>
    <row r="240" ht="6" customHeight="1" hidden="1" x14ac:dyDescent="0.25" outlineLevel="1" collapsed="1"/>
    <row r="241" ht="22" customHeight="1" spans="1:6" x14ac:dyDescent="0.25">
      <c r="A241" s="25" t="s">
        <v>565</v>
      </c>
      <c r="B241" s="25"/>
      <c r="C241" s="25"/>
      <c r="D241" s="25"/>
      <c r="E241" s="25"/>
      <c r="F241" s="25"/>
    </row>
    <row r="242" ht="20" customHeight="1" hidden="1" spans="1:6" x14ac:dyDescent="0.25" outlineLevel="1" collapsed="1">
      <c r="A242" s="26" t="s">
        <v>460</v>
      </c>
      <c r="B242" s="26" t="s">
        <v>461</v>
      </c>
      <c r="C242" s="26" t="s">
        <v>462</v>
      </c>
      <c r="D242" s="26" t="s">
        <v>32</v>
      </c>
      <c r="E242" s="26" t="s">
        <v>463</v>
      </c>
      <c r="F242" s="26" t="s">
        <v>464</v>
      </c>
    </row>
    <row r="243" ht="51" customHeight="1" hidden="1" spans="1:6" x14ac:dyDescent="0.25" outlineLevel="1" collapsed="1">
      <c r="A243" s="27">
        <v>4220</v>
      </c>
      <c r="B243" s="28" t="s">
        <v>543</v>
      </c>
      <c r="C243" s="27" t="s">
        <v>466</v>
      </c>
      <c r="D243" s="29" t="s">
        <v>32</v>
      </c>
      <c r="E243" s="28" t="s">
        <v>566</v>
      </c>
      <c r="F243" s="28" t="s">
        <v>567</v>
      </c>
    </row>
    <row r="244" ht="21" customHeight="1" hidden="1" spans="1:6" x14ac:dyDescent="0.25" outlineLevel="1" collapsed="1">
      <c r="A244" s="30" t="s">
        <v>32</v>
      </c>
      <c r="B244" s="17" t="s">
        <v>32</v>
      </c>
      <c r="C244" s="30" t="s">
        <v>32</v>
      </c>
      <c r="D244" s="31" t="s">
        <v>32</v>
      </c>
      <c r="E244" s="17" t="s">
        <v>568</v>
      </c>
      <c r="F244" s="17" t="s">
        <v>32</v>
      </c>
    </row>
    <row r="245" ht="36" customHeight="1" hidden="1" spans="1:6" x14ac:dyDescent="0.25" outlineLevel="1" collapsed="1">
      <c r="A245" s="32" t="s">
        <v>32</v>
      </c>
      <c r="B245" s="12" t="s">
        <v>32</v>
      </c>
      <c r="C245" s="32" t="s">
        <v>32</v>
      </c>
      <c r="D245" s="31" t="s">
        <v>32</v>
      </c>
      <c r="E245" s="33" t="s">
        <v>470</v>
      </c>
      <c r="F245" s="12" t="s">
        <v>32</v>
      </c>
    </row>
    <row r="246" ht="36" customHeight="1" hidden="1" spans="1:6" x14ac:dyDescent="0.25" outlineLevel="1" collapsed="1">
      <c r="A246" s="27">
        <v>4240</v>
      </c>
      <c r="B246" s="28" t="s">
        <v>471</v>
      </c>
      <c r="C246" s="27" t="s">
        <v>472</v>
      </c>
      <c r="D246" s="29" t="s">
        <v>32</v>
      </c>
      <c r="E246" s="28" t="s">
        <v>524</v>
      </c>
      <c r="F246" s="28" t="s">
        <v>32</v>
      </c>
    </row>
    <row r="247" ht="36" customHeight="1" hidden="1" spans="1:6" x14ac:dyDescent="0.25" outlineLevel="1" collapsed="1">
      <c r="A247" s="30" t="s">
        <v>32</v>
      </c>
      <c r="B247" s="17" t="s">
        <v>32</v>
      </c>
      <c r="C247" s="30" t="s">
        <v>32</v>
      </c>
      <c r="D247" s="31" t="s">
        <v>32</v>
      </c>
      <c r="E247" s="35" t="s">
        <v>470</v>
      </c>
      <c r="F247" s="17" t="s">
        <v>32</v>
      </c>
    </row>
    <row r="248" ht="51" customHeight="1" hidden="1" spans="1:6" x14ac:dyDescent="0.25" outlineLevel="1" collapsed="1">
      <c r="A248" s="27">
        <v>4230</v>
      </c>
      <c r="B248" s="28" t="s">
        <v>544</v>
      </c>
      <c r="C248" s="27" t="s">
        <v>472</v>
      </c>
      <c r="D248" s="29" t="s">
        <v>32</v>
      </c>
      <c r="E248" s="28" t="s">
        <v>481</v>
      </c>
      <c r="F248" s="28" t="s">
        <v>482</v>
      </c>
    </row>
    <row r="249" ht="21" customHeight="1" hidden="1" spans="1:6" x14ac:dyDescent="0.25" outlineLevel="1" collapsed="1">
      <c r="A249" s="30" t="s">
        <v>32</v>
      </c>
      <c r="B249" s="17" t="s">
        <v>32</v>
      </c>
      <c r="C249" s="30" t="s">
        <v>32</v>
      </c>
      <c r="D249" s="31" t="s">
        <v>32</v>
      </c>
      <c r="E249" s="17" t="s">
        <v>483</v>
      </c>
      <c r="F249" s="17" t="s">
        <v>32</v>
      </c>
    </row>
    <row r="250" ht="36" customHeight="1" hidden="1" spans="1:6" x14ac:dyDescent="0.25" outlineLevel="1" collapsed="1">
      <c r="A250" s="32" t="s">
        <v>32</v>
      </c>
      <c r="B250" s="12" t="s">
        <v>32</v>
      </c>
      <c r="C250" s="32" t="s">
        <v>32</v>
      </c>
      <c r="D250" s="31" t="s">
        <v>32</v>
      </c>
      <c r="E250" s="12" t="s">
        <v>484</v>
      </c>
      <c r="F250" s="12" t="s">
        <v>32</v>
      </c>
    </row>
    <row r="251" ht="36" customHeight="1" hidden="1" spans="1:6" x14ac:dyDescent="0.25" outlineLevel="1" collapsed="1">
      <c r="A251" s="30" t="s">
        <v>32</v>
      </c>
      <c r="B251" s="17" t="s">
        <v>32</v>
      </c>
      <c r="C251" s="30" t="s">
        <v>32</v>
      </c>
      <c r="D251" s="31" t="s">
        <v>32</v>
      </c>
      <c r="E251" s="17" t="s">
        <v>485</v>
      </c>
      <c r="F251" s="17" t="s">
        <v>32</v>
      </c>
    </row>
    <row r="252" ht="21" customHeight="1" hidden="1" spans="1:6" x14ac:dyDescent="0.25" outlineLevel="1" collapsed="1">
      <c r="A252" s="32" t="s">
        <v>32</v>
      </c>
      <c r="B252" s="12" t="s">
        <v>32</v>
      </c>
      <c r="C252" s="32" t="s">
        <v>32</v>
      </c>
      <c r="D252" s="31" t="s">
        <v>32</v>
      </c>
      <c r="E252" s="12" t="s">
        <v>486</v>
      </c>
      <c r="F252" s="12" t="s">
        <v>32</v>
      </c>
    </row>
    <row r="253" ht="21" customHeight="1" hidden="1" spans="1:6" x14ac:dyDescent="0.25" outlineLevel="1" collapsed="1">
      <c r="A253" s="30" t="s">
        <v>32</v>
      </c>
      <c r="B253" s="17" t="s">
        <v>32</v>
      </c>
      <c r="C253" s="30" t="s">
        <v>32</v>
      </c>
      <c r="D253" s="31" t="s">
        <v>32</v>
      </c>
      <c r="E253" s="17" t="s">
        <v>487</v>
      </c>
      <c r="F253" s="17" t="s">
        <v>32</v>
      </c>
    </row>
    <row r="254" ht="21" customHeight="1" hidden="1" spans="1:6" x14ac:dyDescent="0.25" outlineLevel="1" collapsed="1">
      <c r="A254" s="32" t="s">
        <v>32</v>
      </c>
      <c r="B254" s="12" t="s">
        <v>32</v>
      </c>
      <c r="C254" s="32" t="s">
        <v>32</v>
      </c>
      <c r="D254" s="31" t="s">
        <v>32</v>
      </c>
      <c r="E254" s="12" t="s">
        <v>533</v>
      </c>
      <c r="F254" s="12" t="s">
        <v>32</v>
      </c>
    </row>
    <row r="255" ht="21" customHeight="1" hidden="1" spans="1:6" x14ac:dyDescent="0.25" outlineLevel="1" collapsed="1">
      <c r="A255" s="30" t="s">
        <v>32</v>
      </c>
      <c r="B255" s="17" t="s">
        <v>32</v>
      </c>
      <c r="C255" s="30" t="s">
        <v>32</v>
      </c>
      <c r="D255" s="31" t="s">
        <v>32</v>
      </c>
      <c r="E255" s="17" t="s">
        <v>488</v>
      </c>
      <c r="F255" s="17" t="s">
        <v>32</v>
      </c>
    </row>
    <row r="256" ht="21" customHeight="1" hidden="1" spans="1:6" x14ac:dyDescent="0.25" outlineLevel="1" collapsed="1">
      <c r="A256" s="32" t="s">
        <v>32</v>
      </c>
      <c r="B256" s="12" t="s">
        <v>32</v>
      </c>
      <c r="C256" s="32" t="s">
        <v>32</v>
      </c>
      <c r="D256" s="31" t="s">
        <v>32</v>
      </c>
      <c r="E256" s="12" t="s">
        <v>489</v>
      </c>
      <c r="F256" s="12" t="s">
        <v>32</v>
      </c>
    </row>
    <row r="257" ht="21" customHeight="1" hidden="1" spans="1:6" x14ac:dyDescent="0.25" outlineLevel="1" collapsed="1">
      <c r="A257" s="30" t="s">
        <v>32</v>
      </c>
      <c r="B257" s="17" t="s">
        <v>32</v>
      </c>
      <c r="C257" s="30" t="s">
        <v>32</v>
      </c>
      <c r="D257" s="31" t="s">
        <v>32</v>
      </c>
      <c r="E257" s="17" t="s">
        <v>490</v>
      </c>
      <c r="F257" s="17" t="s">
        <v>32</v>
      </c>
    </row>
    <row r="258" ht="21" customHeight="1" hidden="1" spans="1:6" x14ac:dyDescent="0.25" outlineLevel="1" collapsed="1">
      <c r="A258" s="32" t="s">
        <v>32</v>
      </c>
      <c r="B258" s="12" t="s">
        <v>32</v>
      </c>
      <c r="C258" s="32" t="s">
        <v>32</v>
      </c>
      <c r="D258" s="31" t="s">
        <v>32</v>
      </c>
      <c r="E258" s="12" t="s">
        <v>491</v>
      </c>
      <c r="F258" s="12" t="s">
        <v>32</v>
      </c>
    </row>
    <row r="259" ht="21" customHeight="1" hidden="1" spans="1:6" x14ac:dyDescent="0.25" outlineLevel="1" collapsed="1">
      <c r="A259" s="30" t="s">
        <v>32</v>
      </c>
      <c r="B259" s="17" t="s">
        <v>32</v>
      </c>
      <c r="C259" s="30" t="s">
        <v>32</v>
      </c>
      <c r="D259" s="31" t="s">
        <v>32</v>
      </c>
      <c r="E259" s="17" t="s">
        <v>492</v>
      </c>
      <c r="F259" s="17" t="s">
        <v>32</v>
      </c>
    </row>
    <row r="260" ht="21" customHeight="1" hidden="1" spans="1:6" x14ac:dyDescent="0.25" outlineLevel="1" collapsed="1">
      <c r="A260" s="32" t="s">
        <v>32</v>
      </c>
      <c r="B260" s="12" t="s">
        <v>32</v>
      </c>
      <c r="C260" s="32" t="s">
        <v>32</v>
      </c>
      <c r="D260" s="31" t="s">
        <v>32</v>
      </c>
      <c r="E260" s="33" t="s">
        <v>569</v>
      </c>
      <c r="F260" s="12" t="s">
        <v>32</v>
      </c>
    </row>
    <row r="261" ht="22" customHeight="1" hidden="1" spans="1:6" x14ac:dyDescent="0.25" outlineLevel="1" collapsed="1">
      <c r="A261" s="34" t="s">
        <v>495</v>
      </c>
      <c r="B261" s="34"/>
      <c r="C261" s="34"/>
      <c r="D261" s="34"/>
      <c r="E261" s="34"/>
      <c r="F261" s="34"/>
    </row>
    <row r="262" ht="24" customHeight="1" hidden="1" spans="1:6" x14ac:dyDescent="0.25" outlineLevel="1" collapsed="1">
      <c r="A262" s="12" t="s">
        <v>570</v>
      </c>
      <c r="B262" s="12"/>
      <c r="C262" s="12"/>
      <c r="D262" s="12"/>
      <c r="E262" s="12"/>
      <c r="F262" s="12"/>
    </row>
    <row r="263" ht="24" customHeight="1" hidden="1" spans="1:6" x14ac:dyDescent="0.25" outlineLevel="1" collapsed="1">
      <c r="A263" s="12" t="s">
        <v>540</v>
      </c>
      <c r="B263" s="12"/>
      <c r="C263" s="12"/>
      <c r="D263" s="12"/>
      <c r="E263" s="12"/>
      <c r="F263" s="12"/>
    </row>
    <row r="264" ht="56" customHeight="1" hidden="1" spans="1:6" x14ac:dyDescent="0.25" outlineLevel="1" collapsed="1">
      <c r="A264" s="12" t="s">
        <v>571</v>
      </c>
      <c r="B264" s="12"/>
      <c r="C264" s="12"/>
      <c r="D264" s="12"/>
      <c r="E264" s="12"/>
      <c r="F264" s="12"/>
    </row>
    <row r="265" ht="24" customHeight="1" hidden="1" spans="1:6" x14ac:dyDescent="0.25" outlineLevel="1" collapsed="1">
      <c r="A265" s="12" t="s">
        <v>499</v>
      </c>
      <c r="B265" s="12"/>
      <c r="C265" s="12"/>
      <c r="D265" s="12"/>
      <c r="E265" s="12"/>
      <c r="F265" s="12"/>
    </row>
    <row r="266" ht="6" customHeight="1" hidden="1" x14ac:dyDescent="0.25" outlineLevel="1" collapsed="1"/>
    <row r="267" ht="22" customHeight="1" spans="1:6" x14ac:dyDescent="0.25">
      <c r="A267" s="25" t="s">
        <v>572</v>
      </c>
      <c r="B267" s="25"/>
      <c r="C267" s="25"/>
      <c r="D267" s="25"/>
      <c r="E267" s="25"/>
      <c r="F267" s="25"/>
    </row>
    <row r="268" ht="20" customHeight="1" hidden="1" spans="1:6" x14ac:dyDescent="0.25" outlineLevel="1" collapsed="1">
      <c r="A268" s="26" t="s">
        <v>460</v>
      </c>
      <c r="B268" s="26" t="s">
        <v>461</v>
      </c>
      <c r="C268" s="26" t="s">
        <v>462</v>
      </c>
      <c r="D268" s="26" t="s">
        <v>32</v>
      </c>
      <c r="E268" s="26" t="s">
        <v>463</v>
      </c>
      <c r="F268" s="26" t="s">
        <v>464</v>
      </c>
    </row>
    <row r="269" ht="36" customHeight="1" hidden="1" spans="1:6" x14ac:dyDescent="0.25" outlineLevel="1" collapsed="1">
      <c r="A269" s="27">
        <v>4220</v>
      </c>
      <c r="B269" s="28" t="s">
        <v>543</v>
      </c>
      <c r="C269" s="27" t="s">
        <v>466</v>
      </c>
      <c r="D269" s="29" t="s">
        <v>32</v>
      </c>
      <c r="E269" s="28" t="s">
        <v>522</v>
      </c>
      <c r="F269" s="28" t="s">
        <v>32</v>
      </c>
    </row>
    <row r="270" ht="36" customHeight="1" hidden="1" spans="1:6" x14ac:dyDescent="0.25" outlineLevel="1" collapsed="1">
      <c r="A270" s="30" t="s">
        <v>32</v>
      </c>
      <c r="B270" s="17" t="s">
        <v>32</v>
      </c>
      <c r="C270" s="30" t="s">
        <v>32</v>
      </c>
      <c r="D270" s="31" t="s">
        <v>32</v>
      </c>
      <c r="E270" s="35" t="s">
        <v>470</v>
      </c>
      <c r="F270" s="17" t="s">
        <v>32</v>
      </c>
    </row>
    <row r="271" ht="36" customHeight="1" hidden="1" spans="1:6" x14ac:dyDescent="0.25" outlineLevel="1" collapsed="1">
      <c r="A271" s="27">
        <v>4240</v>
      </c>
      <c r="B271" s="28" t="s">
        <v>471</v>
      </c>
      <c r="C271" s="27" t="s">
        <v>472</v>
      </c>
      <c r="D271" s="29" t="s">
        <v>32</v>
      </c>
      <c r="E271" s="28" t="s">
        <v>524</v>
      </c>
      <c r="F271" s="28" t="s">
        <v>32</v>
      </c>
    </row>
    <row r="272" ht="36" customHeight="1" hidden="1" spans="1:6" x14ac:dyDescent="0.25" outlineLevel="1" collapsed="1">
      <c r="A272" s="30" t="s">
        <v>32</v>
      </c>
      <c r="B272" s="17" t="s">
        <v>32</v>
      </c>
      <c r="C272" s="30" t="s">
        <v>32</v>
      </c>
      <c r="D272" s="31" t="s">
        <v>32</v>
      </c>
      <c r="E272" s="35" t="s">
        <v>470</v>
      </c>
      <c r="F272" s="17" t="s">
        <v>32</v>
      </c>
    </row>
    <row r="273" ht="36" customHeight="1" hidden="1" spans="1:6" x14ac:dyDescent="0.25" outlineLevel="1" collapsed="1">
      <c r="A273" s="27">
        <v>4230</v>
      </c>
      <c r="B273" s="28" t="s">
        <v>544</v>
      </c>
      <c r="C273" s="27" t="s">
        <v>472</v>
      </c>
      <c r="D273" s="29" t="s">
        <v>32</v>
      </c>
      <c r="E273" s="28" t="s">
        <v>573</v>
      </c>
      <c r="F273" s="28" t="s">
        <v>32</v>
      </c>
    </row>
    <row r="274" ht="22" customHeight="1" hidden="1" spans="1:6" x14ac:dyDescent="0.25" outlineLevel="1" collapsed="1">
      <c r="A274" s="34" t="s">
        <v>495</v>
      </c>
      <c r="B274" s="34"/>
      <c r="C274" s="34"/>
      <c r="D274" s="34"/>
      <c r="E274" s="34"/>
      <c r="F274" s="34"/>
    </row>
    <row r="275" ht="24" customHeight="1" hidden="1" spans="1:6" x14ac:dyDescent="0.25" outlineLevel="1" collapsed="1">
      <c r="A275" s="12" t="s">
        <v>539</v>
      </c>
      <c r="B275" s="12"/>
      <c r="C275" s="12"/>
      <c r="D275" s="12"/>
      <c r="E275" s="12"/>
      <c r="F275" s="12"/>
    </row>
    <row r="276" ht="24" customHeight="1" hidden="1" spans="1:6" x14ac:dyDescent="0.25" outlineLevel="1" collapsed="1">
      <c r="A276" s="12" t="s">
        <v>540</v>
      </c>
      <c r="B276" s="12"/>
      <c r="C276" s="12"/>
      <c r="D276" s="12"/>
      <c r="E276" s="12"/>
      <c r="F276" s="12"/>
    </row>
    <row r="277" ht="24" customHeight="1" hidden="1" spans="1:6" x14ac:dyDescent="0.25" outlineLevel="1" collapsed="1">
      <c r="A277" s="12" t="s">
        <v>574</v>
      </c>
      <c r="B277" s="12"/>
      <c r="C277" s="12"/>
      <c r="D277" s="12"/>
      <c r="E277" s="12"/>
      <c r="F277" s="12"/>
    </row>
    <row r="278" ht="24" customHeight="1" hidden="1" spans="1:6" x14ac:dyDescent="0.25" outlineLevel="1" collapsed="1">
      <c r="A278" s="12" t="s">
        <v>499</v>
      </c>
      <c r="B278" s="12"/>
      <c r="C278" s="12"/>
      <c r="D278" s="12"/>
      <c r="E278" s="12"/>
      <c r="F278" s="12"/>
    </row>
    <row r="279" ht="6" customHeight="1" hidden="1" x14ac:dyDescent="0.25" outlineLevel="1" collapsed="1"/>
    <row r="280" ht="22" customHeight="1" spans="1:6" x14ac:dyDescent="0.25">
      <c r="A280" s="25" t="s">
        <v>575</v>
      </c>
      <c r="B280" s="25"/>
      <c r="C280" s="25"/>
      <c r="D280" s="25"/>
      <c r="E280" s="25"/>
      <c r="F280" s="25"/>
    </row>
    <row r="281" ht="20" customHeight="1" hidden="1" spans="1:6" x14ac:dyDescent="0.25" outlineLevel="1" collapsed="1">
      <c r="A281" s="26" t="s">
        <v>460</v>
      </c>
      <c r="B281" s="26" t="s">
        <v>461</v>
      </c>
      <c r="C281" s="26" t="s">
        <v>462</v>
      </c>
      <c r="D281" s="26" t="s">
        <v>32</v>
      </c>
      <c r="E281" s="26" t="s">
        <v>463</v>
      </c>
      <c r="F281" s="26" t="s">
        <v>464</v>
      </c>
    </row>
    <row r="282" ht="51" customHeight="1" hidden="1" spans="1:6" x14ac:dyDescent="0.25" outlineLevel="1" collapsed="1">
      <c r="A282" s="27">
        <v>4220</v>
      </c>
      <c r="B282" s="28" t="s">
        <v>543</v>
      </c>
      <c r="C282" s="27" t="s">
        <v>466</v>
      </c>
      <c r="D282" s="29" t="s">
        <v>32</v>
      </c>
      <c r="E282" s="28" t="s">
        <v>467</v>
      </c>
      <c r="F282" s="28" t="s">
        <v>468</v>
      </c>
    </row>
    <row r="283" ht="36" customHeight="1" hidden="1" spans="1:6" x14ac:dyDescent="0.25" outlineLevel="1" collapsed="1">
      <c r="A283" s="30" t="s">
        <v>32</v>
      </c>
      <c r="B283" s="17" t="s">
        <v>32</v>
      </c>
      <c r="C283" s="30" t="s">
        <v>32</v>
      </c>
      <c r="D283" s="31" t="s">
        <v>32</v>
      </c>
      <c r="E283" s="17" t="s">
        <v>469</v>
      </c>
      <c r="F283" s="17" t="s">
        <v>32</v>
      </c>
    </row>
    <row r="284" ht="36" customHeight="1" hidden="1" spans="1:6" x14ac:dyDescent="0.25" outlineLevel="1" collapsed="1">
      <c r="A284" s="32" t="s">
        <v>32</v>
      </c>
      <c r="B284" s="12" t="s">
        <v>32</v>
      </c>
      <c r="C284" s="32" t="s">
        <v>32</v>
      </c>
      <c r="D284" s="31" t="s">
        <v>32</v>
      </c>
      <c r="E284" s="33" t="s">
        <v>470</v>
      </c>
      <c r="F284" s="12" t="s">
        <v>32</v>
      </c>
    </row>
    <row r="285" ht="51" customHeight="1" hidden="1" spans="1:6" x14ac:dyDescent="0.25" outlineLevel="1" collapsed="1">
      <c r="A285" s="27">
        <v>4240</v>
      </c>
      <c r="B285" s="28" t="s">
        <v>471</v>
      </c>
      <c r="C285" s="27" t="s">
        <v>472</v>
      </c>
      <c r="D285" s="29" t="s">
        <v>32</v>
      </c>
      <c r="E285" s="28" t="s">
        <v>473</v>
      </c>
      <c r="F285" s="28" t="s">
        <v>474</v>
      </c>
    </row>
    <row r="286" ht="21" customHeight="1" hidden="1" spans="1:6" x14ac:dyDescent="0.25" outlineLevel="1" collapsed="1">
      <c r="A286" s="30" t="s">
        <v>32</v>
      </c>
      <c r="B286" s="17" t="s">
        <v>32</v>
      </c>
      <c r="C286" s="30" t="s">
        <v>32</v>
      </c>
      <c r="D286" s="31" t="s">
        <v>32</v>
      </c>
      <c r="E286" s="17" t="s">
        <v>475</v>
      </c>
      <c r="F286" s="17" t="s">
        <v>32</v>
      </c>
    </row>
    <row r="287" ht="36" customHeight="1" hidden="1" spans="1:6" x14ac:dyDescent="0.25" outlineLevel="1" collapsed="1">
      <c r="A287" s="32" t="s">
        <v>32</v>
      </c>
      <c r="B287" s="12" t="s">
        <v>32</v>
      </c>
      <c r="C287" s="32" t="s">
        <v>32</v>
      </c>
      <c r="D287" s="31" t="s">
        <v>32</v>
      </c>
      <c r="E287" s="12" t="s">
        <v>476</v>
      </c>
      <c r="F287" s="12" t="s">
        <v>32</v>
      </c>
    </row>
    <row r="288" ht="36" customHeight="1" hidden="1" spans="1:6" x14ac:dyDescent="0.25" outlineLevel="1" collapsed="1">
      <c r="A288" s="30" t="s">
        <v>32</v>
      </c>
      <c r="B288" s="17" t="s">
        <v>32</v>
      </c>
      <c r="C288" s="30" t="s">
        <v>32</v>
      </c>
      <c r="D288" s="31" t="s">
        <v>32</v>
      </c>
      <c r="E288" s="17" t="s">
        <v>477</v>
      </c>
      <c r="F288" s="17" t="s">
        <v>32</v>
      </c>
    </row>
    <row r="289" ht="36" customHeight="1" hidden="1" spans="1:6" x14ac:dyDescent="0.25" outlineLevel="1" collapsed="1">
      <c r="A289" s="32" t="s">
        <v>32</v>
      </c>
      <c r="B289" s="12" t="s">
        <v>32</v>
      </c>
      <c r="C289" s="32" t="s">
        <v>32</v>
      </c>
      <c r="D289" s="31" t="s">
        <v>32</v>
      </c>
      <c r="E289" s="12" t="s">
        <v>478</v>
      </c>
      <c r="F289" s="12" t="s">
        <v>32</v>
      </c>
    </row>
    <row r="290" ht="21" customHeight="1" hidden="1" spans="1:6" x14ac:dyDescent="0.25" outlineLevel="1" collapsed="1">
      <c r="A290" s="30" t="s">
        <v>32</v>
      </c>
      <c r="B290" s="17" t="s">
        <v>32</v>
      </c>
      <c r="C290" s="30" t="s">
        <v>32</v>
      </c>
      <c r="D290" s="31" t="s">
        <v>32</v>
      </c>
      <c r="E290" s="17" t="s">
        <v>479</v>
      </c>
      <c r="F290" s="17" t="s">
        <v>32</v>
      </c>
    </row>
    <row r="291" ht="36" customHeight="1" hidden="1" spans="1:6" x14ac:dyDescent="0.25" outlineLevel="1" collapsed="1">
      <c r="A291" s="32" t="s">
        <v>32</v>
      </c>
      <c r="B291" s="12" t="s">
        <v>32</v>
      </c>
      <c r="C291" s="32" t="s">
        <v>32</v>
      </c>
      <c r="D291" s="31" t="s">
        <v>32</v>
      </c>
      <c r="E291" s="33" t="s">
        <v>470</v>
      </c>
      <c r="F291" s="12" t="s">
        <v>32</v>
      </c>
    </row>
    <row r="292" ht="51" customHeight="1" hidden="1" spans="1:6" x14ac:dyDescent="0.25" outlineLevel="1" collapsed="1">
      <c r="A292" s="27">
        <v>4230</v>
      </c>
      <c r="B292" s="28" t="s">
        <v>544</v>
      </c>
      <c r="C292" s="27" t="s">
        <v>472</v>
      </c>
      <c r="D292" s="29" t="s">
        <v>32</v>
      </c>
      <c r="E292" s="28" t="s">
        <v>576</v>
      </c>
      <c r="F292" s="28" t="s">
        <v>482</v>
      </c>
    </row>
    <row r="293" ht="21" customHeight="1" hidden="1" spans="1:6" x14ac:dyDescent="0.25" outlineLevel="1" collapsed="1">
      <c r="A293" s="30" t="s">
        <v>32</v>
      </c>
      <c r="B293" s="17" t="s">
        <v>32</v>
      </c>
      <c r="C293" s="30" t="s">
        <v>32</v>
      </c>
      <c r="D293" s="31" t="s">
        <v>32</v>
      </c>
      <c r="E293" s="17" t="s">
        <v>577</v>
      </c>
      <c r="F293" s="17" t="s">
        <v>32</v>
      </c>
    </row>
    <row r="294" ht="36" customHeight="1" hidden="1" spans="1:6" x14ac:dyDescent="0.25" outlineLevel="1" collapsed="1">
      <c r="A294" s="32" t="s">
        <v>32</v>
      </c>
      <c r="B294" s="12" t="s">
        <v>32</v>
      </c>
      <c r="C294" s="32" t="s">
        <v>32</v>
      </c>
      <c r="D294" s="31" t="s">
        <v>32</v>
      </c>
      <c r="E294" s="12" t="s">
        <v>578</v>
      </c>
      <c r="F294" s="12" t="s">
        <v>32</v>
      </c>
    </row>
    <row r="295" ht="36" customHeight="1" hidden="1" spans="1:6" x14ac:dyDescent="0.25" outlineLevel="1" collapsed="1">
      <c r="A295" s="30" t="s">
        <v>32</v>
      </c>
      <c r="B295" s="17" t="s">
        <v>32</v>
      </c>
      <c r="C295" s="30" t="s">
        <v>32</v>
      </c>
      <c r="D295" s="31" t="s">
        <v>32</v>
      </c>
      <c r="E295" s="17" t="s">
        <v>579</v>
      </c>
      <c r="F295" s="17" t="s">
        <v>32</v>
      </c>
    </row>
    <row r="296" ht="21" customHeight="1" hidden="1" spans="1:6" x14ac:dyDescent="0.25" outlineLevel="1" collapsed="1">
      <c r="A296" s="32" t="s">
        <v>32</v>
      </c>
      <c r="B296" s="12" t="s">
        <v>32</v>
      </c>
      <c r="C296" s="32" t="s">
        <v>32</v>
      </c>
      <c r="D296" s="31" t="s">
        <v>32</v>
      </c>
      <c r="E296" s="12" t="s">
        <v>580</v>
      </c>
      <c r="F296" s="12" t="s">
        <v>32</v>
      </c>
    </row>
    <row r="297" ht="21" customHeight="1" hidden="1" spans="1:6" x14ac:dyDescent="0.25" outlineLevel="1" collapsed="1">
      <c r="A297" s="30" t="s">
        <v>32</v>
      </c>
      <c r="B297" s="17" t="s">
        <v>32</v>
      </c>
      <c r="C297" s="30" t="s">
        <v>32</v>
      </c>
      <c r="D297" s="31" t="s">
        <v>32</v>
      </c>
      <c r="E297" s="17" t="s">
        <v>551</v>
      </c>
      <c r="F297" s="17" t="s">
        <v>32</v>
      </c>
    </row>
    <row r="298" ht="21" customHeight="1" hidden="1" spans="1:6" x14ac:dyDescent="0.25" outlineLevel="1" collapsed="1">
      <c r="A298" s="32" t="s">
        <v>32</v>
      </c>
      <c r="B298" s="12" t="s">
        <v>32</v>
      </c>
      <c r="C298" s="32" t="s">
        <v>32</v>
      </c>
      <c r="D298" s="31" t="s">
        <v>32</v>
      </c>
      <c r="E298" s="12" t="s">
        <v>581</v>
      </c>
      <c r="F298" s="12" t="s">
        <v>32</v>
      </c>
    </row>
    <row r="299" ht="21" customHeight="1" hidden="1" spans="1:6" x14ac:dyDescent="0.25" outlineLevel="1" collapsed="1">
      <c r="A299" s="30" t="s">
        <v>32</v>
      </c>
      <c r="B299" s="17" t="s">
        <v>32</v>
      </c>
      <c r="C299" s="30" t="s">
        <v>32</v>
      </c>
      <c r="D299" s="31" t="s">
        <v>32</v>
      </c>
      <c r="E299" s="17" t="s">
        <v>582</v>
      </c>
      <c r="F299" s="17" t="s">
        <v>32</v>
      </c>
    </row>
    <row r="300" ht="21" customHeight="1" hidden="1" spans="1:6" x14ac:dyDescent="0.25" outlineLevel="1" collapsed="1">
      <c r="A300" s="32" t="s">
        <v>32</v>
      </c>
      <c r="B300" s="12" t="s">
        <v>32</v>
      </c>
      <c r="C300" s="32" t="s">
        <v>32</v>
      </c>
      <c r="D300" s="31" t="s">
        <v>32</v>
      </c>
      <c r="E300" s="12" t="s">
        <v>583</v>
      </c>
      <c r="F300" s="12" t="s">
        <v>32</v>
      </c>
    </row>
    <row r="301" ht="21" customHeight="1" hidden="1" spans="1:6" x14ac:dyDescent="0.25" outlineLevel="1" collapsed="1">
      <c r="A301" s="30" t="s">
        <v>32</v>
      </c>
      <c r="B301" s="17" t="s">
        <v>32</v>
      </c>
      <c r="C301" s="30" t="s">
        <v>32</v>
      </c>
      <c r="D301" s="31" t="s">
        <v>32</v>
      </c>
      <c r="E301" s="17" t="s">
        <v>555</v>
      </c>
      <c r="F301" s="17" t="s">
        <v>32</v>
      </c>
    </row>
    <row r="302" ht="21" customHeight="1" hidden="1" spans="1:6" x14ac:dyDescent="0.25" outlineLevel="1" collapsed="1">
      <c r="A302" s="32" t="s">
        <v>32</v>
      </c>
      <c r="B302" s="12" t="s">
        <v>32</v>
      </c>
      <c r="C302" s="32" t="s">
        <v>32</v>
      </c>
      <c r="D302" s="31" t="s">
        <v>32</v>
      </c>
      <c r="E302" s="12" t="s">
        <v>584</v>
      </c>
      <c r="F302" s="12" t="s">
        <v>32</v>
      </c>
    </row>
    <row r="303" ht="21" customHeight="1" hidden="1" spans="1:6" x14ac:dyDescent="0.25" outlineLevel="1" collapsed="1">
      <c r="A303" s="30" t="s">
        <v>32</v>
      </c>
      <c r="B303" s="17" t="s">
        <v>32</v>
      </c>
      <c r="C303" s="30" t="s">
        <v>32</v>
      </c>
      <c r="D303" s="31" t="s">
        <v>32</v>
      </c>
      <c r="E303" s="17" t="s">
        <v>493</v>
      </c>
      <c r="F303" s="17" t="s">
        <v>32</v>
      </c>
    </row>
    <row r="304" ht="21" customHeight="1" hidden="1" spans="1:6" x14ac:dyDescent="0.25" outlineLevel="1" collapsed="1">
      <c r="A304" s="32" t="s">
        <v>32</v>
      </c>
      <c r="B304" s="12" t="s">
        <v>32</v>
      </c>
      <c r="C304" s="32" t="s">
        <v>32</v>
      </c>
      <c r="D304" s="31" t="s">
        <v>32</v>
      </c>
      <c r="E304" s="33" t="s">
        <v>494</v>
      </c>
      <c r="F304" s="12" t="s">
        <v>32</v>
      </c>
    </row>
    <row r="305" ht="22" customHeight="1" hidden="1" spans="1:6" x14ac:dyDescent="0.25" outlineLevel="1" collapsed="1">
      <c r="A305" s="34" t="s">
        <v>495</v>
      </c>
      <c r="B305" s="34"/>
      <c r="C305" s="34"/>
      <c r="D305" s="34"/>
      <c r="E305" s="34"/>
      <c r="F305" s="34"/>
    </row>
    <row r="306" ht="24" customHeight="1" hidden="1" spans="1:6" x14ac:dyDescent="0.25" outlineLevel="1" collapsed="1">
      <c r="A306" s="12" t="s">
        <v>496</v>
      </c>
      <c r="B306" s="12"/>
      <c r="C306" s="12"/>
      <c r="D306" s="12"/>
      <c r="E306" s="12"/>
      <c r="F306" s="12"/>
    </row>
    <row r="307" ht="40" customHeight="1" hidden="1" spans="1:6" x14ac:dyDescent="0.25" outlineLevel="1" collapsed="1">
      <c r="A307" s="12" t="s">
        <v>497</v>
      </c>
      <c r="B307" s="12"/>
      <c r="C307" s="12"/>
      <c r="D307" s="12"/>
      <c r="E307" s="12"/>
      <c r="F307" s="12"/>
    </row>
    <row r="308" ht="56" customHeight="1" hidden="1" spans="1:6" x14ac:dyDescent="0.25" outlineLevel="1" collapsed="1">
      <c r="A308" s="12" t="s">
        <v>585</v>
      </c>
      <c r="B308" s="12"/>
      <c r="C308" s="12"/>
      <c r="D308" s="12"/>
      <c r="E308" s="12"/>
      <c r="F308" s="12"/>
    </row>
    <row r="309" ht="24" customHeight="1" hidden="1" spans="1:6" x14ac:dyDescent="0.25" outlineLevel="1" collapsed="1">
      <c r="A309" s="12" t="s">
        <v>499</v>
      </c>
      <c r="B309" s="12"/>
      <c r="C309" s="12"/>
      <c r="D309" s="12"/>
      <c r="E309" s="12"/>
      <c r="F309" s="12"/>
    </row>
    <row r="310" ht="6" customHeight="1" hidden="1" x14ac:dyDescent="0.25" outlineLevel="1" collapsed="1"/>
    <row r="311" ht="22" customHeight="1" spans="1:6" x14ac:dyDescent="0.25">
      <c r="A311" s="25" t="s">
        <v>586</v>
      </c>
      <c r="B311" s="25"/>
      <c r="C311" s="25"/>
      <c r="D311" s="25"/>
      <c r="E311" s="25"/>
      <c r="F311" s="25"/>
    </row>
    <row r="312" ht="20" customHeight="1" hidden="1" spans="1:6" x14ac:dyDescent="0.25" outlineLevel="1" collapsed="1">
      <c r="A312" s="26" t="s">
        <v>460</v>
      </c>
      <c r="B312" s="26" t="s">
        <v>461</v>
      </c>
      <c r="C312" s="26" t="s">
        <v>462</v>
      </c>
      <c r="D312" s="26" t="s">
        <v>32</v>
      </c>
      <c r="E312" s="26" t="s">
        <v>463</v>
      </c>
      <c r="F312" s="26" t="s">
        <v>464</v>
      </c>
    </row>
    <row r="313" ht="51" customHeight="1" hidden="1" spans="1:6" x14ac:dyDescent="0.25" outlineLevel="1" collapsed="1">
      <c r="A313" s="27">
        <v>4220</v>
      </c>
      <c r="B313" s="28" t="s">
        <v>543</v>
      </c>
      <c r="C313" s="27" t="s">
        <v>466</v>
      </c>
      <c r="D313" s="29" t="s">
        <v>32</v>
      </c>
      <c r="E313" s="28" t="s">
        <v>467</v>
      </c>
      <c r="F313" s="28" t="s">
        <v>468</v>
      </c>
    </row>
    <row r="314" ht="36" customHeight="1" hidden="1" spans="1:6" x14ac:dyDescent="0.25" outlineLevel="1" collapsed="1">
      <c r="A314" s="30" t="s">
        <v>32</v>
      </c>
      <c r="B314" s="17" t="s">
        <v>32</v>
      </c>
      <c r="C314" s="30" t="s">
        <v>32</v>
      </c>
      <c r="D314" s="31" t="s">
        <v>32</v>
      </c>
      <c r="E314" s="17" t="s">
        <v>469</v>
      </c>
      <c r="F314" s="17" t="s">
        <v>32</v>
      </c>
    </row>
    <row r="315" ht="36" customHeight="1" hidden="1" spans="1:6" x14ac:dyDescent="0.25" outlineLevel="1" collapsed="1">
      <c r="A315" s="32" t="s">
        <v>32</v>
      </c>
      <c r="B315" s="12" t="s">
        <v>32</v>
      </c>
      <c r="C315" s="32" t="s">
        <v>32</v>
      </c>
      <c r="D315" s="31" t="s">
        <v>32</v>
      </c>
      <c r="E315" s="33" t="s">
        <v>470</v>
      </c>
      <c r="F315" s="12" t="s">
        <v>32</v>
      </c>
    </row>
    <row r="316" ht="51" customHeight="1" hidden="1" spans="1:6" x14ac:dyDescent="0.25" outlineLevel="1" collapsed="1">
      <c r="A316" s="27">
        <v>4240</v>
      </c>
      <c r="B316" s="28" t="s">
        <v>471</v>
      </c>
      <c r="C316" s="27" t="s">
        <v>472</v>
      </c>
      <c r="D316" s="29" t="s">
        <v>32</v>
      </c>
      <c r="E316" s="28" t="s">
        <v>473</v>
      </c>
      <c r="F316" s="28" t="s">
        <v>474</v>
      </c>
    </row>
    <row r="317" ht="21" customHeight="1" hidden="1" spans="1:6" x14ac:dyDescent="0.25" outlineLevel="1" collapsed="1">
      <c r="A317" s="30" t="s">
        <v>32</v>
      </c>
      <c r="B317" s="17" t="s">
        <v>32</v>
      </c>
      <c r="C317" s="30" t="s">
        <v>32</v>
      </c>
      <c r="D317" s="31" t="s">
        <v>32</v>
      </c>
      <c r="E317" s="17" t="s">
        <v>475</v>
      </c>
      <c r="F317" s="17" t="s">
        <v>32</v>
      </c>
    </row>
    <row r="318" ht="36" customHeight="1" hidden="1" spans="1:6" x14ac:dyDescent="0.25" outlineLevel="1" collapsed="1">
      <c r="A318" s="32" t="s">
        <v>32</v>
      </c>
      <c r="B318" s="12" t="s">
        <v>32</v>
      </c>
      <c r="C318" s="32" t="s">
        <v>32</v>
      </c>
      <c r="D318" s="31" t="s">
        <v>32</v>
      </c>
      <c r="E318" s="12" t="s">
        <v>476</v>
      </c>
      <c r="F318" s="12" t="s">
        <v>32</v>
      </c>
    </row>
    <row r="319" ht="36" customHeight="1" hidden="1" spans="1:6" x14ac:dyDescent="0.25" outlineLevel="1" collapsed="1">
      <c r="A319" s="30" t="s">
        <v>32</v>
      </c>
      <c r="B319" s="17" t="s">
        <v>32</v>
      </c>
      <c r="C319" s="30" t="s">
        <v>32</v>
      </c>
      <c r="D319" s="31" t="s">
        <v>32</v>
      </c>
      <c r="E319" s="17" t="s">
        <v>477</v>
      </c>
      <c r="F319" s="17" t="s">
        <v>32</v>
      </c>
    </row>
    <row r="320" ht="36" customHeight="1" hidden="1" spans="1:6" x14ac:dyDescent="0.25" outlineLevel="1" collapsed="1">
      <c r="A320" s="32" t="s">
        <v>32</v>
      </c>
      <c r="B320" s="12" t="s">
        <v>32</v>
      </c>
      <c r="C320" s="32" t="s">
        <v>32</v>
      </c>
      <c r="D320" s="31" t="s">
        <v>32</v>
      </c>
      <c r="E320" s="12" t="s">
        <v>478</v>
      </c>
      <c r="F320" s="12" t="s">
        <v>32</v>
      </c>
    </row>
    <row r="321" ht="21" customHeight="1" hidden="1" spans="1:6" x14ac:dyDescent="0.25" outlineLevel="1" collapsed="1">
      <c r="A321" s="30" t="s">
        <v>32</v>
      </c>
      <c r="B321" s="17" t="s">
        <v>32</v>
      </c>
      <c r="C321" s="30" t="s">
        <v>32</v>
      </c>
      <c r="D321" s="31" t="s">
        <v>32</v>
      </c>
      <c r="E321" s="17" t="s">
        <v>479</v>
      </c>
      <c r="F321" s="17" t="s">
        <v>32</v>
      </c>
    </row>
    <row r="322" ht="36" customHeight="1" hidden="1" spans="1:6" x14ac:dyDescent="0.25" outlineLevel="1" collapsed="1">
      <c r="A322" s="32" t="s">
        <v>32</v>
      </c>
      <c r="B322" s="12" t="s">
        <v>32</v>
      </c>
      <c r="C322" s="32" t="s">
        <v>32</v>
      </c>
      <c r="D322" s="31" t="s">
        <v>32</v>
      </c>
      <c r="E322" s="33" t="s">
        <v>470</v>
      </c>
      <c r="F322" s="12" t="s">
        <v>32</v>
      </c>
    </row>
    <row r="323" ht="51" customHeight="1" hidden="1" spans="1:6" x14ac:dyDescent="0.25" outlineLevel="1" collapsed="1">
      <c r="A323" s="27">
        <v>4230</v>
      </c>
      <c r="B323" s="28" t="s">
        <v>544</v>
      </c>
      <c r="C323" s="27" t="s">
        <v>472</v>
      </c>
      <c r="D323" s="29" t="s">
        <v>32</v>
      </c>
      <c r="E323" s="28" t="s">
        <v>576</v>
      </c>
      <c r="F323" s="28" t="s">
        <v>482</v>
      </c>
    </row>
    <row r="324" ht="21" customHeight="1" hidden="1" spans="1:6" x14ac:dyDescent="0.25" outlineLevel="1" collapsed="1">
      <c r="A324" s="30" t="s">
        <v>32</v>
      </c>
      <c r="B324" s="17" t="s">
        <v>32</v>
      </c>
      <c r="C324" s="30" t="s">
        <v>32</v>
      </c>
      <c r="D324" s="31" t="s">
        <v>32</v>
      </c>
      <c r="E324" s="17" t="s">
        <v>577</v>
      </c>
      <c r="F324" s="17" t="s">
        <v>32</v>
      </c>
    </row>
    <row r="325" ht="36" customHeight="1" hidden="1" spans="1:6" x14ac:dyDescent="0.25" outlineLevel="1" collapsed="1">
      <c r="A325" s="32" t="s">
        <v>32</v>
      </c>
      <c r="B325" s="12" t="s">
        <v>32</v>
      </c>
      <c r="C325" s="32" t="s">
        <v>32</v>
      </c>
      <c r="D325" s="31" t="s">
        <v>32</v>
      </c>
      <c r="E325" s="12" t="s">
        <v>578</v>
      </c>
      <c r="F325" s="12" t="s">
        <v>32</v>
      </c>
    </row>
    <row r="326" ht="36" customHeight="1" hidden="1" spans="1:6" x14ac:dyDescent="0.25" outlineLevel="1" collapsed="1">
      <c r="A326" s="30" t="s">
        <v>32</v>
      </c>
      <c r="B326" s="17" t="s">
        <v>32</v>
      </c>
      <c r="C326" s="30" t="s">
        <v>32</v>
      </c>
      <c r="D326" s="31" t="s">
        <v>32</v>
      </c>
      <c r="E326" s="17" t="s">
        <v>579</v>
      </c>
      <c r="F326" s="17" t="s">
        <v>32</v>
      </c>
    </row>
    <row r="327" ht="21" customHeight="1" hidden="1" spans="1:6" x14ac:dyDescent="0.25" outlineLevel="1" collapsed="1">
      <c r="A327" s="32" t="s">
        <v>32</v>
      </c>
      <c r="B327" s="12" t="s">
        <v>32</v>
      </c>
      <c r="C327" s="32" t="s">
        <v>32</v>
      </c>
      <c r="D327" s="31" t="s">
        <v>32</v>
      </c>
      <c r="E327" s="12" t="s">
        <v>580</v>
      </c>
      <c r="F327" s="12" t="s">
        <v>32</v>
      </c>
    </row>
    <row r="328" ht="21" customHeight="1" hidden="1" spans="1:6" x14ac:dyDescent="0.25" outlineLevel="1" collapsed="1">
      <c r="A328" s="30" t="s">
        <v>32</v>
      </c>
      <c r="B328" s="17" t="s">
        <v>32</v>
      </c>
      <c r="C328" s="30" t="s">
        <v>32</v>
      </c>
      <c r="D328" s="31" t="s">
        <v>32</v>
      </c>
      <c r="E328" s="17" t="s">
        <v>551</v>
      </c>
      <c r="F328" s="17" t="s">
        <v>32</v>
      </c>
    </row>
    <row r="329" ht="21" customHeight="1" hidden="1" spans="1:6" x14ac:dyDescent="0.25" outlineLevel="1" collapsed="1">
      <c r="A329" s="32" t="s">
        <v>32</v>
      </c>
      <c r="B329" s="12" t="s">
        <v>32</v>
      </c>
      <c r="C329" s="32" t="s">
        <v>32</v>
      </c>
      <c r="D329" s="31" t="s">
        <v>32</v>
      </c>
      <c r="E329" s="12" t="s">
        <v>581</v>
      </c>
      <c r="F329" s="12" t="s">
        <v>32</v>
      </c>
    </row>
    <row r="330" ht="21" customHeight="1" hidden="1" spans="1:6" x14ac:dyDescent="0.25" outlineLevel="1" collapsed="1">
      <c r="A330" s="30" t="s">
        <v>32</v>
      </c>
      <c r="B330" s="17" t="s">
        <v>32</v>
      </c>
      <c r="C330" s="30" t="s">
        <v>32</v>
      </c>
      <c r="D330" s="31" t="s">
        <v>32</v>
      </c>
      <c r="E330" s="17" t="s">
        <v>582</v>
      </c>
      <c r="F330" s="17" t="s">
        <v>32</v>
      </c>
    </row>
    <row r="331" ht="21" customHeight="1" hidden="1" spans="1:6" x14ac:dyDescent="0.25" outlineLevel="1" collapsed="1">
      <c r="A331" s="32" t="s">
        <v>32</v>
      </c>
      <c r="B331" s="12" t="s">
        <v>32</v>
      </c>
      <c r="C331" s="32" t="s">
        <v>32</v>
      </c>
      <c r="D331" s="31" t="s">
        <v>32</v>
      </c>
      <c r="E331" s="12" t="s">
        <v>583</v>
      </c>
      <c r="F331" s="12" t="s">
        <v>32</v>
      </c>
    </row>
    <row r="332" ht="21" customHeight="1" hidden="1" spans="1:6" x14ac:dyDescent="0.25" outlineLevel="1" collapsed="1">
      <c r="A332" s="30" t="s">
        <v>32</v>
      </c>
      <c r="B332" s="17" t="s">
        <v>32</v>
      </c>
      <c r="C332" s="30" t="s">
        <v>32</v>
      </c>
      <c r="D332" s="31" t="s">
        <v>32</v>
      </c>
      <c r="E332" s="17" t="s">
        <v>555</v>
      </c>
      <c r="F332" s="17" t="s">
        <v>32</v>
      </c>
    </row>
    <row r="333" ht="21" customHeight="1" hidden="1" spans="1:6" x14ac:dyDescent="0.25" outlineLevel="1" collapsed="1">
      <c r="A333" s="32" t="s">
        <v>32</v>
      </c>
      <c r="B333" s="12" t="s">
        <v>32</v>
      </c>
      <c r="C333" s="32" t="s">
        <v>32</v>
      </c>
      <c r="D333" s="31" t="s">
        <v>32</v>
      </c>
      <c r="E333" s="12" t="s">
        <v>584</v>
      </c>
      <c r="F333" s="12" t="s">
        <v>32</v>
      </c>
    </row>
    <row r="334" ht="21" customHeight="1" hidden="1" spans="1:6" x14ac:dyDescent="0.25" outlineLevel="1" collapsed="1">
      <c r="A334" s="30" t="s">
        <v>32</v>
      </c>
      <c r="B334" s="17" t="s">
        <v>32</v>
      </c>
      <c r="C334" s="30" t="s">
        <v>32</v>
      </c>
      <c r="D334" s="31" t="s">
        <v>32</v>
      </c>
      <c r="E334" s="17" t="s">
        <v>493</v>
      </c>
      <c r="F334" s="17" t="s">
        <v>32</v>
      </c>
    </row>
    <row r="335" ht="21" customHeight="1" hidden="1" spans="1:6" x14ac:dyDescent="0.25" outlineLevel="1" collapsed="1">
      <c r="A335" s="32" t="s">
        <v>32</v>
      </c>
      <c r="B335" s="12" t="s">
        <v>32</v>
      </c>
      <c r="C335" s="32" t="s">
        <v>32</v>
      </c>
      <c r="D335" s="31" t="s">
        <v>32</v>
      </c>
      <c r="E335" s="33" t="s">
        <v>494</v>
      </c>
      <c r="F335" s="12" t="s">
        <v>32</v>
      </c>
    </row>
    <row r="336" ht="22" customHeight="1" hidden="1" spans="1:6" x14ac:dyDescent="0.25" outlineLevel="1" collapsed="1">
      <c r="A336" s="34" t="s">
        <v>495</v>
      </c>
      <c r="B336" s="34"/>
      <c r="C336" s="34"/>
      <c r="D336" s="34"/>
      <c r="E336" s="34"/>
      <c r="F336" s="34"/>
    </row>
    <row r="337" ht="24" customHeight="1" hidden="1" spans="1:6" x14ac:dyDescent="0.25" outlineLevel="1" collapsed="1">
      <c r="A337" s="12" t="s">
        <v>496</v>
      </c>
      <c r="B337" s="12"/>
      <c r="C337" s="12"/>
      <c r="D337" s="12"/>
      <c r="E337" s="12"/>
      <c r="F337" s="12"/>
    </row>
    <row r="338" ht="40" customHeight="1" hidden="1" spans="1:6" x14ac:dyDescent="0.25" outlineLevel="1" collapsed="1">
      <c r="A338" s="12" t="s">
        <v>497</v>
      </c>
      <c r="B338" s="12"/>
      <c r="C338" s="12"/>
      <c r="D338" s="12"/>
      <c r="E338" s="12"/>
      <c r="F338" s="12"/>
    </row>
    <row r="339" ht="56" customHeight="1" hidden="1" spans="1:6" x14ac:dyDescent="0.25" outlineLevel="1" collapsed="1">
      <c r="A339" s="12" t="s">
        <v>585</v>
      </c>
      <c r="B339" s="12"/>
      <c r="C339" s="12"/>
      <c r="D339" s="12"/>
      <c r="E339" s="12"/>
      <c r="F339" s="12"/>
    </row>
    <row r="340" ht="24" customHeight="1" hidden="1" spans="1:6" x14ac:dyDescent="0.25" outlineLevel="1" collapsed="1">
      <c r="A340" s="12" t="s">
        <v>499</v>
      </c>
      <c r="B340" s="12"/>
      <c r="C340" s="12"/>
      <c r="D340" s="12"/>
      <c r="E340" s="12"/>
      <c r="F340" s="12"/>
    </row>
    <row r="341" ht="6" customHeight="1" hidden="1" x14ac:dyDescent="0.25" outlineLevel="1" collapsed="1"/>
    <row r="342" ht="22" customHeight="1" spans="1:6" x14ac:dyDescent="0.25">
      <c r="A342" s="25" t="s">
        <v>587</v>
      </c>
      <c r="B342" s="25"/>
      <c r="C342" s="25"/>
      <c r="D342" s="25"/>
      <c r="E342" s="25"/>
      <c r="F342" s="25"/>
    </row>
    <row r="343" ht="20" customHeight="1" hidden="1" spans="1:6" x14ac:dyDescent="0.25" outlineLevel="1" collapsed="1">
      <c r="A343" s="26" t="s">
        <v>460</v>
      </c>
      <c r="B343" s="26" t="s">
        <v>461</v>
      </c>
      <c r="C343" s="26" t="s">
        <v>462</v>
      </c>
      <c r="D343" s="26" t="s">
        <v>32</v>
      </c>
      <c r="E343" s="26" t="s">
        <v>463</v>
      </c>
      <c r="F343" s="26" t="s">
        <v>464</v>
      </c>
    </row>
    <row r="344" ht="51" customHeight="1" hidden="1" spans="1:6" x14ac:dyDescent="0.25" outlineLevel="1" collapsed="1">
      <c r="A344" s="27">
        <v>4220</v>
      </c>
      <c r="B344" s="28" t="s">
        <v>543</v>
      </c>
      <c r="C344" s="27" t="s">
        <v>466</v>
      </c>
      <c r="D344" s="29" t="s">
        <v>32</v>
      </c>
      <c r="E344" s="28" t="s">
        <v>467</v>
      </c>
      <c r="F344" s="28" t="s">
        <v>468</v>
      </c>
    </row>
    <row r="345" ht="36" customHeight="1" hidden="1" spans="1:6" x14ac:dyDescent="0.25" outlineLevel="1" collapsed="1">
      <c r="A345" s="30" t="s">
        <v>32</v>
      </c>
      <c r="B345" s="17" t="s">
        <v>32</v>
      </c>
      <c r="C345" s="30" t="s">
        <v>32</v>
      </c>
      <c r="D345" s="31" t="s">
        <v>32</v>
      </c>
      <c r="E345" s="17" t="s">
        <v>469</v>
      </c>
      <c r="F345" s="17" t="s">
        <v>32</v>
      </c>
    </row>
    <row r="346" ht="36" customHeight="1" hidden="1" spans="1:6" x14ac:dyDescent="0.25" outlineLevel="1" collapsed="1">
      <c r="A346" s="32" t="s">
        <v>32</v>
      </c>
      <c r="B346" s="12" t="s">
        <v>32</v>
      </c>
      <c r="C346" s="32" t="s">
        <v>32</v>
      </c>
      <c r="D346" s="31" t="s">
        <v>32</v>
      </c>
      <c r="E346" s="33" t="s">
        <v>470</v>
      </c>
      <c r="F346" s="12" t="s">
        <v>32</v>
      </c>
    </row>
    <row r="347" ht="51" customHeight="1" hidden="1" spans="1:6" x14ac:dyDescent="0.25" outlineLevel="1" collapsed="1">
      <c r="A347" s="27">
        <v>4240</v>
      </c>
      <c r="B347" s="28" t="s">
        <v>471</v>
      </c>
      <c r="C347" s="27" t="s">
        <v>472</v>
      </c>
      <c r="D347" s="29" t="s">
        <v>32</v>
      </c>
      <c r="E347" s="28" t="s">
        <v>473</v>
      </c>
      <c r="F347" s="28" t="s">
        <v>474</v>
      </c>
    </row>
    <row r="348" ht="21" customHeight="1" hidden="1" spans="1:6" x14ac:dyDescent="0.25" outlineLevel="1" collapsed="1">
      <c r="A348" s="30" t="s">
        <v>32</v>
      </c>
      <c r="B348" s="17" t="s">
        <v>32</v>
      </c>
      <c r="C348" s="30" t="s">
        <v>32</v>
      </c>
      <c r="D348" s="31" t="s">
        <v>32</v>
      </c>
      <c r="E348" s="17" t="s">
        <v>475</v>
      </c>
      <c r="F348" s="17" t="s">
        <v>32</v>
      </c>
    </row>
    <row r="349" ht="36" customHeight="1" hidden="1" spans="1:6" x14ac:dyDescent="0.25" outlineLevel="1" collapsed="1">
      <c r="A349" s="32" t="s">
        <v>32</v>
      </c>
      <c r="B349" s="12" t="s">
        <v>32</v>
      </c>
      <c r="C349" s="32" t="s">
        <v>32</v>
      </c>
      <c r="D349" s="31" t="s">
        <v>32</v>
      </c>
      <c r="E349" s="12" t="s">
        <v>476</v>
      </c>
      <c r="F349" s="12" t="s">
        <v>32</v>
      </c>
    </row>
    <row r="350" ht="36" customHeight="1" hidden="1" spans="1:6" x14ac:dyDescent="0.25" outlineLevel="1" collapsed="1">
      <c r="A350" s="30" t="s">
        <v>32</v>
      </c>
      <c r="B350" s="17" t="s">
        <v>32</v>
      </c>
      <c r="C350" s="30" t="s">
        <v>32</v>
      </c>
      <c r="D350" s="31" t="s">
        <v>32</v>
      </c>
      <c r="E350" s="17" t="s">
        <v>477</v>
      </c>
      <c r="F350" s="17" t="s">
        <v>32</v>
      </c>
    </row>
    <row r="351" ht="36" customHeight="1" hidden="1" spans="1:6" x14ac:dyDescent="0.25" outlineLevel="1" collapsed="1">
      <c r="A351" s="32" t="s">
        <v>32</v>
      </c>
      <c r="B351" s="12" t="s">
        <v>32</v>
      </c>
      <c r="C351" s="32" t="s">
        <v>32</v>
      </c>
      <c r="D351" s="31" t="s">
        <v>32</v>
      </c>
      <c r="E351" s="12" t="s">
        <v>478</v>
      </c>
      <c r="F351" s="12" t="s">
        <v>32</v>
      </c>
    </row>
    <row r="352" ht="21" customHeight="1" hidden="1" spans="1:6" x14ac:dyDescent="0.25" outlineLevel="1" collapsed="1">
      <c r="A352" s="30" t="s">
        <v>32</v>
      </c>
      <c r="B352" s="17" t="s">
        <v>32</v>
      </c>
      <c r="C352" s="30" t="s">
        <v>32</v>
      </c>
      <c r="D352" s="31" t="s">
        <v>32</v>
      </c>
      <c r="E352" s="17" t="s">
        <v>479</v>
      </c>
      <c r="F352" s="17" t="s">
        <v>32</v>
      </c>
    </row>
    <row r="353" ht="36" customHeight="1" hidden="1" spans="1:6" x14ac:dyDescent="0.25" outlineLevel="1" collapsed="1">
      <c r="A353" s="32" t="s">
        <v>32</v>
      </c>
      <c r="B353" s="12" t="s">
        <v>32</v>
      </c>
      <c r="C353" s="32" t="s">
        <v>32</v>
      </c>
      <c r="D353" s="31" t="s">
        <v>32</v>
      </c>
      <c r="E353" s="33" t="s">
        <v>470</v>
      </c>
      <c r="F353" s="12" t="s">
        <v>32</v>
      </c>
    </row>
    <row r="354" ht="51" customHeight="1" hidden="1" spans="1:6" x14ac:dyDescent="0.25" outlineLevel="1" collapsed="1">
      <c r="A354" s="27">
        <v>4230</v>
      </c>
      <c r="B354" s="28" t="s">
        <v>544</v>
      </c>
      <c r="C354" s="27" t="s">
        <v>472</v>
      </c>
      <c r="D354" s="29" t="s">
        <v>32</v>
      </c>
      <c r="E354" s="28" t="s">
        <v>576</v>
      </c>
      <c r="F354" s="28" t="s">
        <v>482</v>
      </c>
    </row>
    <row r="355" ht="21" customHeight="1" hidden="1" spans="1:6" x14ac:dyDescent="0.25" outlineLevel="1" collapsed="1">
      <c r="A355" s="30" t="s">
        <v>32</v>
      </c>
      <c r="B355" s="17" t="s">
        <v>32</v>
      </c>
      <c r="C355" s="30" t="s">
        <v>32</v>
      </c>
      <c r="D355" s="31" t="s">
        <v>32</v>
      </c>
      <c r="E355" s="17" t="s">
        <v>577</v>
      </c>
      <c r="F355" s="17" t="s">
        <v>32</v>
      </c>
    </row>
    <row r="356" ht="36" customHeight="1" hidden="1" spans="1:6" x14ac:dyDescent="0.25" outlineLevel="1" collapsed="1">
      <c r="A356" s="32" t="s">
        <v>32</v>
      </c>
      <c r="B356" s="12" t="s">
        <v>32</v>
      </c>
      <c r="C356" s="32" t="s">
        <v>32</v>
      </c>
      <c r="D356" s="31" t="s">
        <v>32</v>
      </c>
      <c r="E356" s="12" t="s">
        <v>578</v>
      </c>
      <c r="F356" s="12" t="s">
        <v>32</v>
      </c>
    </row>
    <row r="357" ht="36" customHeight="1" hidden="1" spans="1:6" x14ac:dyDescent="0.25" outlineLevel="1" collapsed="1">
      <c r="A357" s="30" t="s">
        <v>32</v>
      </c>
      <c r="B357" s="17" t="s">
        <v>32</v>
      </c>
      <c r="C357" s="30" t="s">
        <v>32</v>
      </c>
      <c r="D357" s="31" t="s">
        <v>32</v>
      </c>
      <c r="E357" s="17" t="s">
        <v>579</v>
      </c>
      <c r="F357" s="17" t="s">
        <v>32</v>
      </c>
    </row>
    <row r="358" ht="21" customHeight="1" hidden="1" spans="1:6" x14ac:dyDescent="0.25" outlineLevel="1" collapsed="1">
      <c r="A358" s="32" t="s">
        <v>32</v>
      </c>
      <c r="B358" s="12" t="s">
        <v>32</v>
      </c>
      <c r="C358" s="32" t="s">
        <v>32</v>
      </c>
      <c r="D358" s="31" t="s">
        <v>32</v>
      </c>
      <c r="E358" s="12" t="s">
        <v>580</v>
      </c>
      <c r="F358" s="12" t="s">
        <v>32</v>
      </c>
    </row>
    <row r="359" ht="21" customHeight="1" hidden="1" spans="1:6" x14ac:dyDescent="0.25" outlineLevel="1" collapsed="1">
      <c r="A359" s="30" t="s">
        <v>32</v>
      </c>
      <c r="B359" s="17" t="s">
        <v>32</v>
      </c>
      <c r="C359" s="30" t="s">
        <v>32</v>
      </c>
      <c r="D359" s="31" t="s">
        <v>32</v>
      </c>
      <c r="E359" s="17" t="s">
        <v>551</v>
      </c>
      <c r="F359" s="17" t="s">
        <v>32</v>
      </c>
    </row>
    <row r="360" ht="21" customHeight="1" hidden="1" spans="1:6" x14ac:dyDescent="0.25" outlineLevel="1" collapsed="1">
      <c r="A360" s="32" t="s">
        <v>32</v>
      </c>
      <c r="B360" s="12" t="s">
        <v>32</v>
      </c>
      <c r="C360" s="32" t="s">
        <v>32</v>
      </c>
      <c r="D360" s="31" t="s">
        <v>32</v>
      </c>
      <c r="E360" s="12" t="s">
        <v>581</v>
      </c>
      <c r="F360" s="12" t="s">
        <v>32</v>
      </c>
    </row>
    <row r="361" ht="21" customHeight="1" hidden="1" spans="1:6" x14ac:dyDescent="0.25" outlineLevel="1" collapsed="1">
      <c r="A361" s="30" t="s">
        <v>32</v>
      </c>
      <c r="B361" s="17" t="s">
        <v>32</v>
      </c>
      <c r="C361" s="30" t="s">
        <v>32</v>
      </c>
      <c r="D361" s="31" t="s">
        <v>32</v>
      </c>
      <c r="E361" s="17" t="s">
        <v>582</v>
      </c>
      <c r="F361" s="17" t="s">
        <v>32</v>
      </c>
    </row>
    <row r="362" ht="21" customHeight="1" hidden="1" spans="1:6" x14ac:dyDescent="0.25" outlineLevel="1" collapsed="1">
      <c r="A362" s="32" t="s">
        <v>32</v>
      </c>
      <c r="B362" s="12" t="s">
        <v>32</v>
      </c>
      <c r="C362" s="32" t="s">
        <v>32</v>
      </c>
      <c r="D362" s="31" t="s">
        <v>32</v>
      </c>
      <c r="E362" s="12" t="s">
        <v>583</v>
      </c>
      <c r="F362" s="12" t="s">
        <v>32</v>
      </c>
    </row>
    <row r="363" ht="21" customHeight="1" hidden="1" spans="1:6" x14ac:dyDescent="0.25" outlineLevel="1" collapsed="1">
      <c r="A363" s="30" t="s">
        <v>32</v>
      </c>
      <c r="B363" s="17" t="s">
        <v>32</v>
      </c>
      <c r="C363" s="30" t="s">
        <v>32</v>
      </c>
      <c r="D363" s="31" t="s">
        <v>32</v>
      </c>
      <c r="E363" s="17" t="s">
        <v>555</v>
      </c>
      <c r="F363" s="17" t="s">
        <v>32</v>
      </c>
    </row>
    <row r="364" ht="21" customHeight="1" hidden="1" spans="1:6" x14ac:dyDescent="0.25" outlineLevel="1" collapsed="1">
      <c r="A364" s="32" t="s">
        <v>32</v>
      </c>
      <c r="B364" s="12" t="s">
        <v>32</v>
      </c>
      <c r="C364" s="32" t="s">
        <v>32</v>
      </c>
      <c r="D364" s="31" t="s">
        <v>32</v>
      </c>
      <c r="E364" s="12" t="s">
        <v>584</v>
      </c>
      <c r="F364" s="12" t="s">
        <v>32</v>
      </c>
    </row>
    <row r="365" ht="21" customHeight="1" hidden="1" spans="1:6" x14ac:dyDescent="0.25" outlineLevel="1" collapsed="1">
      <c r="A365" s="30" t="s">
        <v>32</v>
      </c>
      <c r="B365" s="17" t="s">
        <v>32</v>
      </c>
      <c r="C365" s="30" t="s">
        <v>32</v>
      </c>
      <c r="D365" s="31" t="s">
        <v>32</v>
      </c>
      <c r="E365" s="17" t="s">
        <v>493</v>
      </c>
      <c r="F365" s="17" t="s">
        <v>32</v>
      </c>
    </row>
    <row r="366" ht="21" customHeight="1" hidden="1" spans="1:6" x14ac:dyDescent="0.25" outlineLevel="1" collapsed="1">
      <c r="A366" s="32" t="s">
        <v>32</v>
      </c>
      <c r="B366" s="12" t="s">
        <v>32</v>
      </c>
      <c r="C366" s="32" t="s">
        <v>32</v>
      </c>
      <c r="D366" s="31" t="s">
        <v>32</v>
      </c>
      <c r="E366" s="33" t="s">
        <v>494</v>
      </c>
      <c r="F366" s="12" t="s">
        <v>32</v>
      </c>
    </row>
    <row r="367" ht="22" customHeight="1" hidden="1" spans="1:6" x14ac:dyDescent="0.25" outlineLevel="1" collapsed="1">
      <c r="A367" s="34" t="s">
        <v>495</v>
      </c>
      <c r="B367" s="34"/>
      <c r="C367" s="34"/>
      <c r="D367" s="34"/>
      <c r="E367" s="34"/>
      <c r="F367" s="34"/>
    </row>
    <row r="368" ht="24" customHeight="1" hidden="1" spans="1:6" x14ac:dyDescent="0.25" outlineLevel="1" collapsed="1">
      <c r="A368" s="12" t="s">
        <v>496</v>
      </c>
      <c r="B368" s="12"/>
      <c r="C368" s="12"/>
      <c r="D368" s="12"/>
      <c r="E368" s="12"/>
      <c r="F368" s="12"/>
    </row>
    <row r="369" ht="40" customHeight="1" hidden="1" spans="1:6" x14ac:dyDescent="0.25" outlineLevel="1" collapsed="1">
      <c r="A369" s="12" t="s">
        <v>497</v>
      </c>
      <c r="B369" s="12"/>
      <c r="C369" s="12"/>
      <c r="D369" s="12"/>
      <c r="E369" s="12"/>
      <c r="F369" s="12"/>
    </row>
    <row r="370" ht="56" customHeight="1" hidden="1" spans="1:6" x14ac:dyDescent="0.25" outlineLevel="1" collapsed="1">
      <c r="A370" s="12" t="s">
        <v>585</v>
      </c>
      <c r="B370" s="12"/>
      <c r="C370" s="12"/>
      <c r="D370" s="12"/>
      <c r="E370" s="12"/>
      <c r="F370" s="12"/>
    </row>
    <row r="371" ht="24" customHeight="1" hidden="1" spans="1:6" x14ac:dyDescent="0.25" outlineLevel="1" collapsed="1">
      <c r="A371" s="12" t="s">
        <v>499</v>
      </c>
      <c r="B371" s="12"/>
      <c r="C371" s="12"/>
      <c r="D371" s="12"/>
      <c r="E371" s="12"/>
      <c r="F371" s="12"/>
    </row>
    <row r="372" ht="6" customHeight="1" hidden="1" x14ac:dyDescent="0.25" outlineLevel="1" collapsed="1"/>
    <row r="373" ht="22" customHeight="1" spans="1:6" x14ac:dyDescent="0.25">
      <c r="A373" s="25" t="s">
        <v>588</v>
      </c>
      <c r="B373" s="25"/>
      <c r="C373" s="25"/>
      <c r="D373" s="25"/>
      <c r="E373" s="25"/>
      <c r="F373" s="25"/>
    </row>
    <row r="374" ht="20" customHeight="1" hidden="1" spans="1:6" x14ac:dyDescent="0.25" outlineLevel="1" collapsed="1">
      <c r="A374" s="26" t="s">
        <v>460</v>
      </c>
      <c r="B374" s="26" t="s">
        <v>461</v>
      </c>
      <c r="C374" s="26" t="s">
        <v>462</v>
      </c>
      <c r="D374" s="26" t="s">
        <v>32</v>
      </c>
      <c r="E374" s="26" t="s">
        <v>463</v>
      </c>
      <c r="F374" s="26" t="s">
        <v>464</v>
      </c>
    </row>
    <row r="375" ht="51" customHeight="1" hidden="1" spans="1:6" x14ac:dyDescent="0.25" outlineLevel="1" collapsed="1">
      <c r="A375" s="27">
        <v>4220</v>
      </c>
      <c r="B375" s="28" t="s">
        <v>543</v>
      </c>
      <c r="C375" s="27" t="s">
        <v>466</v>
      </c>
      <c r="D375" s="29" t="s">
        <v>32</v>
      </c>
      <c r="E375" s="28" t="s">
        <v>467</v>
      </c>
      <c r="F375" s="28" t="s">
        <v>468</v>
      </c>
    </row>
    <row r="376" ht="36" customHeight="1" hidden="1" spans="1:6" x14ac:dyDescent="0.25" outlineLevel="1" collapsed="1">
      <c r="A376" s="30" t="s">
        <v>32</v>
      </c>
      <c r="B376" s="17" t="s">
        <v>32</v>
      </c>
      <c r="C376" s="30" t="s">
        <v>32</v>
      </c>
      <c r="D376" s="31" t="s">
        <v>32</v>
      </c>
      <c r="E376" s="17" t="s">
        <v>469</v>
      </c>
      <c r="F376" s="17" t="s">
        <v>32</v>
      </c>
    </row>
    <row r="377" ht="36" customHeight="1" hidden="1" spans="1:6" x14ac:dyDescent="0.25" outlineLevel="1" collapsed="1">
      <c r="A377" s="32" t="s">
        <v>32</v>
      </c>
      <c r="B377" s="12" t="s">
        <v>32</v>
      </c>
      <c r="C377" s="32" t="s">
        <v>32</v>
      </c>
      <c r="D377" s="31" t="s">
        <v>32</v>
      </c>
      <c r="E377" s="33" t="s">
        <v>470</v>
      </c>
      <c r="F377" s="12" t="s">
        <v>32</v>
      </c>
    </row>
    <row r="378" ht="51" customHeight="1" hidden="1" spans="1:6" x14ac:dyDescent="0.25" outlineLevel="1" collapsed="1">
      <c r="A378" s="27">
        <v>4240</v>
      </c>
      <c r="B378" s="28" t="s">
        <v>471</v>
      </c>
      <c r="C378" s="27" t="s">
        <v>472</v>
      </c>
      <c r="D378" s="29" t="s">
        <v>32</v>
      </c>
      <c r="E378" s="28" t="s">
        <v>473</v>
      </c>
      <c r="F378" s="28" t="s">
        <v>474</v>
      </c>
    </row>
    <row r="379" ht="21" customHeight="1" hidden="1" spans="1:6" x14ac:dyDescent="0.25" outlineLevel="1" collapsed="1">
      <c r="A379" s="30" t="s">
        <v>32</v>
      </c>
      <c r="B379" s="17" t="s">
        <v>32</v>
      </c>
      <c r="C379" s="30" t="s">
        <v>32</v>
      </c>
      <c r="D379" s="31" t="s">
        <v>32</v>
      </c>
      <c r="E379" s="17" t="s">
        <v>475</v>
      </c>
      <c r="F379" s="17" t="s">
        <v>32</v>
      </c>
    </row>
    <row r="380" ht="36" customHeight="1" hidden="1" spans="1:6" x14ac:dyDescent="0.25" outlineLevel="1" collapsed="1">
      <c r="A380" s="32" t="s">
        <v>32</v>
      </c>
      <c r="B380" s="12" t="s">
        <v>32</v>
      </c>
      <c r="C380" s="32" t="s">
        <v>32</v>
      </c>
      <c r="D380" s="31" t="s">
        <v>32</v>
      </c>
      <c r="E380" s="12" t="s">
        <v>476</v>
      </c>
      <c r="F380" s="12" t="s">
        <v>32</v>
      </c>
    </row>
    <row r="381" ht="36" customHeight="1" hidden="1" spans="1:6" x14ac:dyDescent="0.25" outlineLevel="1" collapsed="1">
      <c r="A381" s="30" t="s">
        <v>32</v>
      </c>
      <c r="B381" s="17" t="s">
        <v>32</v>
      </c>
      <c r="C381" s="30" t="s">
        <v>32</v>
      </c>
      <c r="D381" s="31" t="s">
        <v>32</v>
      </c>
      <c r="E381" s="17" t="s">
        <v>477</v>
      </c>
      <c r="F381" s="17" t="s">
        <v>32</v>
      </c>
    </row>
    <row r="382" ht="36" customHeight="1" hidden="1" spans="1:6" x14ac:dyDescent="0.25" outlineLevel="1" collapsed="1">
      <c r="A382" s="32" t="s">
        <v>32</v>
      </c>
      <c r="B382" s="12" t="s">
        <v>32</v>
      </c>
      <c r="C382" s="32" t="s">
        <v>32</v>
      </c>
      <c r="D382" s="31" t="s">
        <v>32</v>
      </c>
      <c r="E382" s="12" t="s">
        <v>478</v>
      </c>
      <c r="F382" s="12" t="s">
        <v>32</v>
      </c>
    </row>
    <row r="383" ht="21" customHeight="1" hidden="1" spans="1:6" x14ac:dyDescent="0.25" outlineLevel="1" collapsed="1">
      <c r="A383" s="30" t="s">
        <v>32</v>
      </c>
      <c r="B383" s="17" t="s">
        <v>32</v>
      </c>
      <c r="C383" s="30" t="s">
        <v>32</v>
      </c>
      <c r="D383" s="31" t="s">
        <v>32</v>
      </c>
      <c r="E383" s="17" t="s">
        <v>479</v>
      </c>
      <c r="F383" s="17" t="s">
        <v>32</v>
      </c>
    </row>
    <row r="384" ht="36" customHeight="1" hidden="1" spans="1:6" x14ac:dyDescent="0.25" outlineLevel="1" collapsed="1">
      <c r="A384" s="32" t="s">
        <v>32</v>
      </c>
      <c r="B384" s="12" t="s">
        <v>32</v>
      </c>
      <c r="C384" s="32" t="s">
        <v>32</v>
      </c>
      <c r="D384" s="31" t="s">
        <v>32</v>
      </c>
      <c r="E384" s="33" t="s">
        <v>470</v>
      </c>
      <c r="F384" s="12" t="s">
        <v>32</v>
      </c>
    </row>
    <row r="385" ht="51" customHeight="1" hidden="1" spans="1:6" x14ac:dyDescent="0.25" outlineLevel="1" collapsed="1">
      <c r="A385" s="27">
        <v>4230</v>
      </c>
      <c r="B385" s="28" t="s">
        <v>544</v>
      </c>
      <c r="C385" s="27" t="s">
        <v>472</v>
      </c>
      <c r="D385" s="29" t="s">
        <v>32</v>
      </c>
      <c r="E385" s="28" t="s">
        <v>576</v>
      </c>
      <c r="F385" s="28" t="s">
        <v>482</v>
      </c>
    </row>
    <row r="386" ht="21" customHeight="1" hidden="1" spans="1:6" x14ac:dyDescent="0.25" outlineLevel="1" collapsed="1">
      <c r="A386" s="30" t="s">
        <v>32</v>
      </c>
      <c r="B386" s="17" t="s">
        <v>32</v>
      </c>
      <c r="C386" s="30" t="s">
        <v>32</v>
      </c>
      <c r="D386" s="31" t="s">
        <v>32</v>
      </c>
      <c r="E386" s="17" t="s">
        <v>577</v>
      </c>
      <c r="F386" s="17" t="s">
        <v>32</v>
      </c>
    </row>
    <row r="387" ht="36" customHeight="1" hidden="1" spans="1:6" x14ac:dyDescent="0.25" outlineLevel="1" collapsed="1">
      <c r="A387" s="32" t="s">
        <v>32</v>
      </c>
      <c r="B387" s="12" t="s">
        <v>32</v>
      </c>
      <c r="C387" s="32" t="s">
        <v>32</v>
      </c>
      <c r="D387" s="31" t="s">
        <v>32</v>
      </c>
      <c r="E387" s="12" t="s">
        <v>578</v>
      </c>
      <c r="F387" s="12" t="s">
        <v>32</v>
      </c>
    </row>
    <row r="388" ht="36" customHeight="1" hidden="1" spans="1:6" x14ac:dyDescent="0.25" outlineLevel="1" collapsed="1">
      <c r="A388" s="30" t="s">
        <v>32</v>
      </c>
      <c r="B388" s="17" t="s">
        <v>32</v>
      </c>
      <c r="C388" s="30" t="s">
        <v>32</v>
      </c>
      <c r="D388" s="31" t="s">
        <v>32</v>
      </c>
      <c r="E388" s="17" t="s">
        <v>579</v>
      </c>
      <c r="F388" s="17" t="s">
        <v>32</v>
      </c>
    </row>
    <row r="389" ht="21" customHeight="1" hidden="1" spans="1:6" x14ac:dyDescent="0.25" outlineLevel="1" collapsed="1">
      <c r="A389" s="32" t="s">
        <v>32</v>
      </c>
      <c r="B389" s="12" t="s">
        <v>32</v>
      </c>
      <c r="C389" s="32" t="s">
        <v>32</v>
      </c>
      <c r="D389" s="31" t="s">
        <v>32</v>
      </c>
      <c r="E389" s="12" t="s">
        <v>580</v>
      </c>
      <c r="F389" s="12" t="s">
        <v>32</v>
      </c>
    </row>
    <row r="390" ht="21" customHeight="1" hidden="1" spans="1:6" x14ac:dyDescent="0.25" outlineLevel="1" collapsed="1">
      <c r="A390" s="30" t="s">
        <v>32</v>
      </c>
      <c r="B390" s="17" t="s">
        <v>32</v>
      </c>
      <c r="C390" s="30" t="s">
        <v>32</v>
      </c>
      <c r="D390" s="31" t="s">
        <v>32</v>
      </c>
      <c r="E390" s="17" t="s">
        <v>551</v>
      </c>
      <c r="F390" s="17" t="s">
        <v>32</v>
      </c>
    </row>
    <row r="391" ht="21" customHeight="1" hidden="1" spans="1:6" x14ac:dyDescent="0.25" outlineLevel="1" collapsed="1">
      <c r="A391" s="32" t="s">
        <v>32</v>
      </c>
      <c r="B391" s="12" t="s">
        <v>32</v>
      </c>
      <c r="C391" s="32" t="s">
        <v>32</v>
      </c>
      <c r="D391" s="31" t="s">
        <v>32</v>
      </c>
      <c r="E391" s="12" t="s">
        <v>581</v>
      </c>
      <c r="F391" s="12" t="s">
        <v>32</v>
      </c>
    </row>
    <row r="392" ht="21" customHeight="1" hidden="1" spans="1:6" x14ac:dyDescent="0.25" outlineLevel="1" collapsed="1">
      <c r="A392" s="30" t="s">
        <v>32</v>
      </c>
      <c r="B392" s="17" t="s">
        <v>32</v>
      </c>
      <c r="C392" s="30" t="s">
        <v>32</v>
      </c>
      <c r="D392" s="31" t="s">
        <v>32</v>
      </c>
      <c r="E392" s="17" t="s">
        <v>582</v>
      </c>
      <c r="F392" s="17" t="s">
        <v>32</v>
      </c>
    </row>
    <row r="393" ht="21" customHeight="1" hidden="1" spans="1:6" x14ac:dyDescent="0.25" outlineLevel="1" collapsed="1">
      <c r="A393" s="32" t="s">
        <v>32</v>
      </c>
      <c r="B393" s="12" t="s">
        <v>32</v>
      </c>
      <c r="C393" s="32" t="s">
        <v>32</v>
      </c>
      <c r="D393" s="31" t="s">
        <v>32</v>
      </c>
      <c r="E393" s="12" t="s">
        <v>583</v>
      </c>
      <c r="F393" s="12" t="s">
        <v>32</v>
      </c>
    </row>
    <row r="394" ht="21" customHeight="1" hidden="1" spans="1:6" x14ac:dyDescent="0.25" outlineLevel="1" collapsed="1">
      <c r="A394" s="30" t="s">
        <v>32</v>
      </c>
      <c r="B394" s="17" t="s">
        <v>32</v>
      </c>
      <c r="C394" s="30" t="s">
        <v>32</v>
      </c>
      <c r="D394" s="31" t="s">
        <v>32</v>
      </c>
      <c r="E394" s="17" t="s">
        <v>555</v>
      </c>
      <c r="F394" s="17" t="s">
        <v>32</v>
      </c>
    </row>
    <row r="395" ht="21" customHeight="1" hidden="1" spans="1:6" x14ac:dyDescent="0.25" outlineLevel="1" collapsed="1">
      <c r="A395" s="32" t="s">
        <v>32</v>
      </c>
      <c r="B395" s="12" t="s">
        <v>32</v>
      </c>
      <c r="C395" s="32" t="s">
        <v>32</v>
      </c>
      <c r="D395" s="31" t="s">
        <v>32</v>
      </c>
      <c r="E395" s="12" t="s">
        <v>584</v>
      </c>
      <c r="F395" s="12" t="s">
        <v>32</v>
      </c>
    </row>
    <row r="396" ht="21" customHeight="1" hidden="1" spans="1:6" x14ac:dyDescent="0.25" outlineLevel="1" collapsed="1">
      <c r="A396" s="30" t="s">
        <v>32</v>
      </c>
      <c r="B396" s="17" t="s">
        <v>32</v>
      </c>
      <c r="C396" s="30" t="s">
        <v>32</v>
      </c>
      <c r="D396" s="31" t="s">
        <v>32</v>
      </c>
      <c r="E396" s="17" t="s">
        <v>493</v>
      </c>
      <c r="F396" s="17" t="s">
        <v>32</v>
      </c>
    </row>
    <row r="397" ht="21" customHeight="1" hidden="1" spans="1:6" x14ac:dyDescent="0.25" outlineLevel="1" collapsed="1">
      <c r="A397" s="32" t="s">
        <v>32</v>
      </c>
      <c r="B397" s="12" t="s">
        <v>32</v>
      </c>
      <c r="C397" s="32" t="s">
        <v>32</v>
      </c>
      <c r="D397" s="31" t="s">
        <v>32</v>
      </c>
      <c r="E397" s="33" t="s">
        <v>494</v>
      </c>
      <c r="F397" s="12" t="s">
        <v>32</v>
      </c>
    </row>
    <row r="398" ht="22" customHeight="1" hidden="1" spans="1:6" x14ac:dyDescent="0.25" outlineLevel="1" collapsed="1">
      <c r="A398" s="34" t="s">
        <v>495</v>
      </c>
      <c r="B398" s="34"/>
      <c r="C398" s="34"/>
      <c r="D398" s="34"/>
      <c r="E398" s="34"/>
      <c r="F398" s="34"/>
    </row>
    <row r="399" ht="24" customHeight="1" hidden="1" spans="1:6" x14ac:dyDescent="0.25" outlineLevel="1" collapsed="1">
      <c r="A399" s="12" t="s">
        <v>496</v>
      </c>
      <c r="B399" s="12"/>
      <c r="C399" s="12"/>
      <c r="D399" s="12"/>
      <c r="E399" s="12"/>
      <c r="F399" s="12"/>
    </row>
    <row r="400" ht="40" customHeight="1" hidden="1" spans="1:6" x14ac:dyDescent="0.25" outlineLevel="1" collapsed="1">
      <c r="A400" s="12" t="s">
        <v>497</v>
      </c>
      <c r="B400" s="12"/>
      <c r="C400" s="12"/>
      <c r="D400" s="12"/>
      <c r="E400" s="12"/>
      <c r="F400" s="12"/>
    </row>
    <row r="401" ht="56" customHeight="1" hidden="1" spans="1:6" x14ac:dyDescent="0.25" outlineLevel="1" collapsed="1">
      <c r="A401" s="12" t="s">
        <v>585</v>
      </c>
      <c r="B401" s="12"/>
      <c r="C401" s="12"/>
      <c r="D401" s="12"/>
      <c r="E401" s="12"/>
      <c r="F401" s="12"/>
    </row>
    <row r="402" ht="24" customHeight="1" hidden="1" spans="1:6" x14ac:dyDescent="0.25" outlineLevel="1" collapsed="1">
      <c r="A402" s="12" t="s">
        <v>499</v>
      </c>
      <c r="B402" s="12"/>
      <c r="C402" s="12"/>
      <c r="D402" s="12"/>
      <c r="E402" s="12"/>
      <c r="F402" s="12"/>
    </row>
    <row r="403" ht="6" customHeight="1" hidden="1" x14ac:dyDescent="0.25" outlineLevel="1" collapsed="1"/>
    <row r="404" ht="22" customHeight="1" spans="1:6" x14ac:dyDescent="0.25">
      <c r="A404" s="25" t="s">
        <v>589</v>
      </c>
      <c r="B404" s="25"/>
      <c r="C404" s="25"/>
      <c r="D404" s="25"/>
      <c r="E404" s="25"/>
      <c r="F404" s="25"/>
    </row>
    <row r="405" ht="20" customHeight="1" hidden="1" spans="1:6" x14ac:dyDescent="0.25" outlineLevel="1" collapsed="1">
      <c r="A405" s="26" t="s">
        <v>460</v>
      </c>
      <c r="B405" s="26" t="s">
        <v>461</v>
      </c>
      <c r="C405" s="26" t="s">
        <v>462</v>
      </c>
      <c r="D405" s="26" t="s">
        <v>32</v>
      </c>
      <c r="E405" s="26" t="s">
        <v>463</v>
      </c>
      <c r="F405" s="26" t="s">
        <v>464</v>
      </c>
    </row>
    <row r="406" ht="51" customHeight="1" hidden="1" spans="1:6" x14ac:dyDescent="0.25" outlineLevel="1" collapsed="1">
      <c r="A406" s="27">
        <v>4220</v>
      </c>
      <c r="B406" s="28" t="s">
        <v>543</v>
      </c>
      <c r="C406" s="27" t="s">
        <v>466</v>
      </c>
      <c r="D406" s="29" t="s">
        <v>32</v>
      </c>
      <c r="E406" s="28" t="s">
        <v>467</v>
      </c>
      <c r="F406" s="28" t="s">
        <v>468</v>
      </c>
    </row>
    <row r="407" ht="36" customHeight="1" hidden="1" spans="1:6" x14ac:dyDescent="0.25" outlineLevel="1" collapsed="1">
      <c r="A407" s="30" t="s">
        <v>32</v>
      </c>
      <c r="B407" s="17" t="s">
        <v>32</v>
      </c>
      <c r="C407" s="30" t="s">
        <v>32</v>
      </c>
      <c r="D407" s="31" t="s">
        <v>32</v>
      </c>
      <c r="E407" s="17" t="s">
        <v>469</v>
      </c>
      <c r="F407" s="17" t="s">
        <v>32</v>
      </c>
    </row>
    <row r="408" ht="36" customHeight="1" hidden="1" spans="1:6" x14ac:dyDescent="0.25" outlineLevel="1" collapsed="1">
      <c r="A408" s="32" t="s">
        <v>32</v>
      </c>
      <c r="B408" s="12" t="s">
        <v>32</v>
      </c>
      <c r="C408" s="32" t="s">
        <v>32</v>
      </c>
      <c r="D408" s="31" t="s">
        <v>32</v>
      </c>
      <c r="E408" s="33" t="s">
        <v>470</v>
      </c>
      <c r="F408" s="12" t="s">
        <v>32</v>
      </c>
    </row>
    <row r="409" ht="51" customHeight="1" hidden="1" spans="1:6" x14ac:dyDescent="0.25" outlineLevel="1" collapsed="1">
      <c r="A409" s="27">
        <v>4240</v>
      </c>
      <c r="B409" s="28" t="s">
        <v>471</v>
      </c>
      <c r="C409" s="27" t="s">
        <v>472</v>
      </c>
      <c r="D409" s="29" t="s">
        <v>32</v>
      </c>
      <c r="E409" s="28" t="s">
        <v>473</v>
      </c>
      <c r="F409" s="28" t="s">
        <v>474</v>
      </c>
    </row>
    <row r="410" ht="21" customHeight="1" hidden="1" spans="1:6" x14ac:dyDescent="0.25" outlineLevel="1" collapsed="1">
      <c r="A410" s="30" t="s">
        <v>32</v>
      </c>
      <c r="B410" s="17" t="s">
        <v>32</v>
      </c>
      <c r="C410" s="30" t="s">
        <v>32</v>
      </c>
      <c r="D410" s="31" t="s">
        <v>32</v>
      </c>
      <c r="E410" s="17" t="s">
        <v>475</v>
      </c>
      <c r="F410" s="17" t="s">
        <v>32</v>
      </c>
    </row>
    <row r="411" ht="36" customHeight="1" hidden="1" spans="1:6" x14ac:dyDescent="0.25" outlineLevel="1" collapsed="1">
      <c r="A411" s="32" t="s">
        <v>32</v>
      </c>
      <c r="B411" s="12" t="s">
        <v>32</v>
      </c>
      <c r="C411" s="32" t="s">
        <v>32</v>
      </c>
      <c r="D411" s="31" t="s">
        <v>32</v>
      </c>
      <c r="E411" s="12" t="s">
        <v>476</v>
      </c>
      <c r="F411" s="12" t="s">
        <v>32</v>
      </c>
    </row>
    <row r="412" ht="36" customHeight="1" hidden="1" spans="1:6" x14ac:dyDescent="0.25" outlineLevel="1" collapsed="1">
      <c r="A412" s="30" t="s">
        <v>32</v>
      </c>
      <c r="B412" s="17" t="s">
        <v>32</v>
      </c>
      <c r="C412" s="30" t="s">
        <v>32</v>
      </c>
      <c r="D412" s="31" t="s">
        <v>32</v>
      </c>
      <c r="E412" s="17" t="s">
        <v>477</v>
      </c>
      <c r="F412" s="17" t="s">
        <v>32</v>
      </c>
    </row>
    <row r="413" ht="36" customHeight="1" hidden="1" spans="1:6" x14ac:dyDescent="0.25" outlineLevel="1" collapsed="1">
      <c r="A413" s="32" t="s">
        <v>32</v>
      </c>
      <c r="B413" s="12" t="s">
        <v>32</v>
      </c>
      <c r="C413" s="32" t="s">
        <v>32</v>
      </c>
      <c r="D413" s="31" t="s">
        <v>32</v>
      </c>
      <c r="E413" s="12" t="s">
        <v>478</v>
      </c>
      <c r="F413" s="12" t="s">
        <v>32</v>
      </c>
    </row>
    <row r="414" ht="21" customHeight="1" hidden="1" spans="1:6" x14ac:dyDescent="0.25" outlineLevel="1" collapsed="1">
      <c r="A414" s="30" t="s">
        <v>32</v>
      </c>
      <c r="B414" s="17" t="s">
        <v>32</v>
      </c>
      <c r="C414" s="30" t="s">
        <v>32</v>
      </c>
      <c r="D414" s="31" t="s">
        <v>32</v>
      </c>
      <c r="E414" s="17" t="s">
        <v>479</v>
      </c>
      <c r="F414" s="17" t="s">
        <v>32</v>
      </c>
    </row>
    <row r="415" ht="36" customHeight="1" hidden="1" spans="1:6" x14ac:dyDescent="0.25" outlineLevel="1" collapsed="1">
      <c r="A415" s="32" t="s">
        <v>32</v>
      </c>
      <c r="B415" s="12" t="s">
        <v>32</v>
      </c>
      <c r="C415" s="32" t="s">
        <v>32</v>
      </c>
      <c r="D415" s="31" t="s">
        <v>32</v>
      </c>
      <c r="E415" s="33" t="s">
        <v>470</v>
      </c>
      <c r="F415" s="12" t="s">
        <v>32</v>
      </c>
    </row>
    <row r="416" ht="51" customHeight="1" hidden="1" spans="1:6" x14ac:dyDescent="0.25" outlineLevel="1" collapsed="1">
      <c r="A416" s="27">
        <v>4230</v>
      </c>
      <c r="B416" s="28" t="s">
        <v>544</v>
      </c>
      <c r="C416" s="27" t="s">
        <v>472</v>
      </c>
      <c r="D416" s="29" t="s">
        <v>32</v>
      </c>
      <c r="E416" s="28" t="s">
        <v>481</v>
      </c>
      <c r="F416" s="28" t="s">
        <v>482</v>
      </c>
    </row>
    <row r="417" ht="21" customHeight="1" hidden="1" spans="1:6" x14ac:dyDescent="0.25" outlineLevel="1" collapsed="1">
      <c r="A417" s="30" t="s">
        <v>32</v>
      </c>
      <c r="B417" s="17" t="s">
        <v>32</v>
      </c>
      <c r="C417" s="30" t="s">
        <v>32</v>
      </c>
      <c r="D417" s="31" t="s">
        <v>32</v>
      </c>
      <c r="E417" s="17" t="s">
        <v>483</v>
      </c>
      <c r="F417" s="17" t="s">
        <v>32</v>
      </c>
    </row>
    <row r="418" ht="36" customHeight="1" hidden="1" spans="1:6" x14ac:dyDescent="0.25" outlineLevel="1" collapsed="1">
      <c r="A418" s="32" t="s">
        <v>32</v>
      </c>
      <c r="B418" s="12" t="s">
        <v>32</v>
      </c>
      <c r="C418" s="32" t="s">
        <v>32</v>
      </c>
      <c r="D418" s="31" t="s">
        <v>32</v>
      </c>
      <c r="E418" s="12" t="s">
        <v>484</v>
      </c>
      <c r="F418" s="12" t="s">
        <v>32</v>
      </c>
    </row>
    <row r="419" ht="36" customHeight="1" hidden="1" spans="1:6" x14ac:dyDescent="0.25" outlineLevel="1" collapsed="1">
      <c r="A419" s="30" t="s">
        <v>32</v>
      </c>
      <c r="B419" s="17" t="s">
        <v>32</v>
      </c>
      <c r="C419" s="30" t="s">
        <v>32</v>
      </c>
      <c r="D419" s="31" t="s">
        <v>32</v>
      </c>
      <c r="E419" s="17" t="s">
        <v>485</v>
      </c>
      <c r="F419" s="17" t="s">
        <v>32</v>
      </c>
    </row>
    <row r="420" ht="21" customHeight="1" hidden="1" spans="1:6" x14ac:dyDescent="0.25" outlineLevel="1" collapsed="1">
      <c r="A420" s="32" t="s">
        <v>32</v>
      </c>
      <c r="B420" s="12" t="s">
        <v>32</v>
      </c>
      <c r="C420" s="32" t="s">
        <v>32</v>
      </c>
      <c r="D420" s="31" t="s">
        <v>32</v>
      </c>
      <c r="E420" s="12" t="s">
        <v>486</v>
      </c>
      <c r="F420" s="12" t="s">
        <v>32</v>
      </c>
    </row>
    <row r="421" ht="21" customHeight="1" hidden="1" spans="1:6" x14ac:dyDescent="0.25" outlineLevel="1" collapsed="1">
      <c r="A421" s="30" t="s">
        <v>32</v>
      </c>
      <c r="B421" s="17" t="s">
        <v>32</v>
      </c>
      <c r="C421" s="30" t="s">
        <v>32</v>
      </c>
      <c r="D421" s="31" t="s">
        <v>32</v>
      </c>
      <c r="E421" s="17" t="s">
        <v>487</v>
      </c>
      <c r="F421" s="17" t="s">
        <v>32</v>
      </c>
    </row>
    <row r="422" ht="21" customHeight="1" hidden="1" spans="1:6" x14ac:dyDescent="0.25" outlineLevel="1" collapsed="1">
      <c r="A422" s="32" t="s">
        <v>32</v>
      </c>
      <c r="B422" s="12" t="s">
        <v>32</v>
      </c>
      <c r="C422" s="32" t="s">
        <v>32</v>
      </c>
      <c r="D422" s="31" t="s">
        <v>32</v>
      </c>
      <c r="E422" s="12" t="s">
        <v>488</v>
      </c>
      <c r="F422" s="12" t="s">
        <v>32</v>
      </c>
    </row>
    <row r="423" ht="21" customHeight="1" hidden="1" spans="1:6" x14ac:dyDescent="0.25" outlineLevel="1" collapsed="1">
      <c r="A423" s="30" t="s">
        <v>32</v>
      </c>
      <c r="B423" s="17" t="s">
        <v>32</v>
      </c>
      <c r="C423" s="30" t="s">
        <v>32</v>
      </c>
      <c r="D423" s="31" t="s">
        <v>32</v>
      </c>
      <c r="E423" s="17" t="s">
        <v>489</v>
      </c>
      <c r="F423" s="17" t="s">
        <v>32</v>
      </c>
    </row>
    <row r="424" ht="21" customHeight="1" hidden="1" spans="1:6" x14ac:dyDescent="0.25" outlineLevel="1" collapsed="1">
      <c r="A424" s="32" t="s">
        <v>32</v>
      </c>
      <c r="B424" s="12" t="s">
        <v>32</v>
      </c>
      <c r="C424" s="32" t="s">
        <v>32</v>
      </c>
      <c r="D424" s="31" t="s">
        <v>32</v>
      </c>
      <c r="E424" s="12" t="s">
        <v>490</v>
      </c>
      <c r="F424" s="12" t="s">
        <v>32</v>
      </c>
    </row>
    <row r="425" ht="21" customHeight="1" hidden="1" spans="1:6" x14ac:dyDescent="0.25" outlineLevel="1" collapsed="1">
      <c r="A425" s="30" t="s">
        <v>32</v>
      </c>
      <c r="B425" s="17" t="s">
        <v>32</v>
      </c>
      <c r="C425" s="30" t="s">
        <v>32</v>
      </c>
      <c r="D425" s="31" t="s">
        <v>32</v>
      </c>
      <c r="E425" s="17" t="s">
        <v>491</v>
      </c>
      <c r="F425" s="17" t="s">
        <v>32</v>
      </c>
    </row>
    <row r="426" ht="21" customHeight="1" hidden="1" spans="1:6" x14ac:dyDescent="0.25" outlineLevel="1" collapsed="1">
      <c r="A426" s="32" t="s">
        <v>32</v>
      </c>
      <c r="B426" s="12" t="s">
        <v>32</v>
      </c>
      <c r="C426" s="32" t="s">
        <v>32</v>
      </c>
      <c r="D426" s="31" t="s">
        <v>32</v>
      </c>
      <c r="E426" s="12" t="s">
        <v>492</v>
      </c>
      <c r="F426" s="12" t="s">
        <v>32</v>
      </c>
    </row>
    <row r="427" ht="21" customHeight="1" hidden="1" spans="1:6" x14ac:dyDescent="0.25" outlineLevel="1" collapsed="1">
      <c r="A427" s="30" t="s">
        <v>32</v>
      </c>
      <c r="B427" s="17" t="s">
        <v>32</v>
      </c>
      <c r="C427" s="30" t="s">
        <v>32</v>
      </c>
      <c r="D427" s="31" t="s">
        <v>32</v>
      </c>
      <c r="E427" s="17" t="s">
        <v>493</v>
      </c>
      <c r="F427" s="17" t="s">
        <v>32</v>
      </c>
    </row>
    <row r="428" ht="21" customHeight="1" hidden="1" spans="1:6" x14ac:dyDescent="0.25" outlineLevel="1" collapsed="1">
      <c r="A428" s="32" t="s">
        <v>32</v>
      </c>
      <c r="B428" s="12" t="s">
        <v>32</v>
      </c>
      <c r="C428" s="32" t="s">
        <v>32</v>
      </c>
      <c r="D428" s="31" t="s">
        <v>32</v>
      </c>
      <c r="E428" s="33" t="s">
        <v>494</v>
      </c>
      <c r="F428" s="12" t="s">
        <v>32</v>
      </c>
    </row>
    <row r="429" ht="22" customHeight="1" hidden="1" spans="1:6" x14ac:dyDescent="0.25" outlineLevel="1" collapsed="1">
      <c r="A429" s="34" t="s">
        <v>495</v>
      </c>
      <c r="B429" s="34"/>
      <c r="C429" s="34"/>
      <c r="D429" s="34"/>
      <c r="E429" s="34"/>
      <c r="F429" s="34"/>
    </row>
    <row r="430" ht="24" customHeight="1" hidden="1" spans="1:6" x14ac:dyDescent="0.25" outlineLevel="1" collapsed="1">
      <c r="A430" s="12" t="s">
        <v>496</v>
      </c>
      <c r="B430" s="12"/>
      <c r="C430" s="12"/>
      <c r="D430" s="12"/>
      <c r="E430" s="12"/>
      <c r="F430" s="12"/>
    </row>
    <row r="431" ht="40" customHeight="1" hidden="1" spans="1:6" x14ac:dyDescent="0.25" outlineLevel="1" collapsed="1">
      <c r="A431" s="12" t="s">
        <v>497</v>
      </c>
      <c r="B431" s="12"/>
      <c r="C431" s="12"/>
      <c r="D431" s="12"/>
      <c r="E431" s="12"/>
      <c r="F431" s="12"/>
    </row>
    <row r="432" ht="56" customHeight="1" hidden="1" spans="1:6" x14ac:dyDescent="0.25" outlineLevel="1" collapsed="1">
      <c r="A432" s="12" t="s">
        <v>498</v>
      </c>
      <c r="B432" s="12"/>
      <c r="C432" s="12"/>
      <c r="D432" s="12"/>
      <c r="E432" s="12"/>
      <c r="F432" s="12"/>
    </row>
    <row r="433" ht="24" customHeight="1" hidden="1" spans="1:6" x14ac:dyDescent="0.25" outlineLevel="1" collapsed="1">
      <c r="A433" s="12" t="s">
        <v>499</v>
      </c>
      <c r="B433" s="12"/>
      <c r="C433" s="12"/>
      <c r="D433" s="12"/>
      <c r="E433" s="12"/>
      <c r="F433" s="12"/>
    </row>
    <row r="434" ht="6" customHeight="1" hidden="1" x14ac:dyDescent="0.25" outlineLevel="1" collapsed="1"/>
    <row r="435" ht="22" customHeight="1" spans="1:6" x14ac:dyDescent="0.25">
      <c r="A435" s="25" t="s">
        <v>590</v>
      </c>
      <c r="B435" s="25"/>
      <c r="C435" s="25"/>
      <c r="D435" s="25"/>
      <c r="E435" s="25"/>
      <c r="F435" s="25"/>
    </row>
    <row r="436" ht="20" customHeight="1" hidden="1" spans="1:6" x14ac:dyDescent="0.25" outlineLevel="1" collapsed="1">
      <c r="A436" s="26" t="s">
        <v>460</v>
      </c>
      <c r="B436" s="26" t="s">
        <v>461</v>
      </c>
      <c r="C436" s="26" t="s">
        <v>462</v>
      </c>
      <c r="D436" s="26" t="s">
        <v>32</v>
      </c>
      <c r="E436" s="26" t="s">
        <v>463</v>
      </c>
      <c r="F436" s="26" t="s">
        <v>464</v>
      </c>
    </row>
    <row r="437" ht="51" customHeight="1" hidden="1" spans="1:6" x14ac:dyDescent="0.25" outlineLevel="1" collapsed="1">
      <c r="A437" s="27">
        <v>4220</v>
      </c>
      <c r="B437" s="28" t="s">
        <v>543</v>
      </c>
      <c r="C437" s="27" t="s">
        <v>466</v>
      </c>
      <c r="D437" s="29" t="s">
        <v>32</v>
      </c>
      <c r="E437" s="28" t="s">
        <v>467</v>
      </c>
      <c r="F437" s="28" t="s">
        <v>468</v>
      </c>
    </row>
    <row r="438" ht="36" customHeight="1" hidden="1" spans="1:6" x14ac:dyDescent="0.25" outlineLevel="1" collapsed="1">
      <c r="A438" s="30" t="s">
        <v>32</v>
      </c>
      <c r="B438" s="17" t="s">
        <v>32</v>
      </c>
      <c r="C438" s="30" t="s">
        <v>32</v>
      </c>
      <c r="D438" s="31" t="s">
        <v>32</v>
      </c>
      <c r="E438" s="17" t="s">
        <v>469</v>
      </c>
      <c r="F438" s="17" t="s">
        <v>32</v>
      </c>
    </row>
    <row r="439" ht="36" customHeight="1" hidden="1" spans="1:6" x14ac:dyDescent="0.25" outlineLevel="1" collapsed="1">
      <c r="A439" s="32" t="s">
        <v>32</v>
      </c>
      <c r="B439" s="12" t="s">
        <v>32</v>
      </c>
      <c r="C439" s="32" t="s">
        <v>32</v>
      </c>
      <c r="D439" s="31" t="s">
        <v>32</v>
      </c>
      <c r="E439" s="33" t="s">
        <v>470</v>
      </c>
      <c r="F439" s="12" t="s">
        <v>32</v>
      </c>
    </row>
    <row r="440" ht="51" customHeight="1" hidden="1" spans="1:6" x14ac:dyDescent="0.25" outlineLevel="1" collapsed="1">
      <c r="A440" s="27">
        <v>4240</v>
      </c>
      <c r="B440" s="28" t="s">
        <v>471</v>
      </c>
      <c r="C440" s="27" t="s">
        <v>472</v>
      </c>
      <c r="D440" s="29" t="s">
        <v>32</v>
      </c>
      <c r="E440" s="28" t="s">
        <v>473</v>
      </c>
      <c r="F440" s="28" t="s">
        <v>474</v>
      </c>
    </row>
    <row r="441" ht="21" customHeight="1" hidden="1" spans="1:6" x14ac:dyDescent="0.25" outlineLevel="1" collapsed="1">
      <c r="A441" s="30" t="s">
        <v>32</v>
      </c>
      <c r="B441" s="17" t="s">
        <v>32</v>
      </c>
      <c r="C441" s="30" t="s">
        <v>32</v>
      </c>
      <c r="D441" s="31" t="s">
        <v>32</v>
      </c>
      <c r="E441" s="17" t="s">
        <v>475</v>
      </c>
      <c r="F441" s="17" t="s">
        <v>32</v>
      </c>
    </row>
    <row r="442" ht="36" customHeight="1" hidden="1" spans="1:6" x14ac:dyDescent="0.25" outlineLevel="1" collapsed="1">
      <c r="A442" s="32" t="s">
        <v>32</v>
      </c>
      <c r="B442" s="12" t="s">
        <v>32</v>
      </c>
      <c r="C442" s="32" t="s">
        <v>32</v>
      </c>
      <c r="D442" s="31" t="s">
        <v>32</v>
      </c>
      <c r="E442" s="12" t="s">
        <v>476</v>
      </c>
      <c r="F442" s="12" t="s">
        <v>32</v>
      </c>
    </row>
    <row r="443" ht="36" customHeight="1" hidden="1" spans="1:6" x14ac:dyDescent="0.25" outlineLevel="1" collapsed="1">
      <c r="A443" s="30" t="s">
        <v>32</v>
      </c>
      <c r="B443" s="17" t="s">
        <v>32</v>
      </c>
      <c r="C443" s="30" t="s">
        <v>32</v>
      </c>
      <c r="D443" s="31" t="s">
        <v>32</v>
      </c>
      <c r="E443" s="17" t="s">
        <v>477</v>
      </c>
      <c r="F443" s="17" t="s">
        <v>32</v>
      </c>
    </row>
    <row r="444" ht="36" customHeight="1" hidden="1" spans="1:6" x14ac:dyDescent="0.25" outlineLevel="1" collapsed="1">
      <c r="A444" s="32" t="s">
        <v>32</v>
      </c>
      <c r="B444" s="12" t="s">
        <v>32</v>
      </c>
      <c r="C444" s="32" t="s">
        <v>32</v>
      </c>
      <c r="D444" s="31" t="s">
        <v>32</v>
      </c>
      <c r="E444" s="12" t="s">
        <v>478</v>
      </c>
      <c r="F444" s="12" t="s">
        <v>32</v>
      </c>
    </row>
    <row r="445" ht="21" customHeight="1" hidden="1" spans="1:6" x14ac:dyDescent="0.25" outlineLevel="1" collapsed="1">
      <c r="A445" s="30" t="s">
        <v>32</v>
      </c>
      <c r="B445" s="17" t="s">
        <v>32</v>
      </c>
      <c r="C445" s="30" t="s">
        <v>32</v>
      </c>
      <c r="D445" s="31" t="s">
        <v>32</v>
      </c>
      <c r="E445" s="17" t="s">
        <v>479</v>
      </c>
      <c r="F445" s="17" t="s">
        <v>32</v>
      </c>
    </row>
    <row r="446" ht="36" customHeight="1" hidden="1" spans="1:6" x14ac:dyDescent="0.25" outlineLevel="1" collapsed="1">
      <c r="A446" s="32" t="s">
        <v>32</v>
      </c>
      <c r="B446" s="12" t="s">
        <v>32</v>
      </c>
      <c r="C446" s="32" t="s">
        <v>32</v>
      </c>
      <c r="D446" s="31" t="s">
        <v>32</v>
      </c>
      <c r="E446" s="33" t="s">
        <v>470</v>
      </c>
      <c r="F446" s="12" t="s">
        <v>32</v>
      </c>
    </row>
    <row r="447" ht="51" customHeight="1" hidden="1" spans="1:6" x14ac:dyDescent="0.25" outlineLevel="1" collapsed="1">
      <c r="A447" s="27">
        <v>4230</v>
      </c>
      <c r="B447" s="28" t="s">
        <v>544</v>
      </c>
      <c r="C447" s="27" t="s">
        <v>472</v>
      </c>
      <c r="D447" s="29" t="s">
        <v>32</v>
      </c>
      <c r="E447" s="28" t="s">
        <v>481</v>
      </c>
      <c r="F447" s="28" t="s">
        <v>482</v>
      </c>
    </row>
    <row r="448" ht="21" customHeight="1" hidden="1" spans="1:6" x14ac:dyDescent="0.25" outlineLevel="1" collapsed="1">
      <c r="A448" s="30" t="s">
        <v>32</v>
      </c>
      <c r="B448" s="17" t="s">
        <v>32</v>
      </c>
      <c r="C448" s="30" t="s">
        <v>32</v>
      </c>
      <c r="D448" s="31" t="s">
        <v>32</v>
      </c>
      <c r="E448" s="17" t="s">
        <v>483</v>
      </c>
      <c r="F448" s="17" t="s">
        <v>32</v>
      </c>
    </row>
    <row r="449" ht="36" customHeight="1" hidden="1" spans="1:6" x14ac:dyDescent="0.25" outlineLevel="1" collapsed="1">
      <c r="A449" s="32" t="s">
        <v>32</v>
      </c>
      <c r="B449" s="12" t="s">
        <v>32</v>
      </c>
      <c r="C449" s="32" t="s">
        <v>32</v>
      </c>
      <c r="D449" s="31" t="s">
        <v>32</v>
      </c>
      <c r="E449" s="12" t="s">
        <v>484</v>
      </c>
      <c r="F449" s="12" t="s">
        <v>32</v>
      </c>
    </row>
    <row r="450" ht="36" customHeight="1" hidden="1" spans="1:6" x14ac:dyDescent="0.25" outlineLevel="1" collapsed="1">
      <c r="A450" s="30" t="s">
        <v>32</v>
      </c>
      <c r="B450" s="17" t="s">
        <v>32</v>
      </c>
      <c r="C450" s="30" t="s">
        <v>32</v>
      </c>
      <c r="D450" s="31" t="s">
        <v>32</v>
      </c>
      <c r="E450" s="17" t="s">
        <v>485</v>
      </c>
      <c r="F450" s="17" t="s">
        <v>32</v>
      </c>
    </row>
    <row r="451" ht="21" customHeight="1" hidden="1" spans="1:6" x14ac:dyDescent="0.25" outlineLevel="1" collapsed="1">
      <c r="A451" s="32" t="s">
        <v>32</v>
      </c>
      <c r="B451" s="12" t="s">
        <v>32</v>
      </c>
      <c r="C451" s="32" t="s">
        <v>32</v>
      </c>
      <c r="D451" s="31" t="s">
        <v>32</v>
      </c>
      <c r="E451" s="12" t="s">
        <v>486</v>
      </c>
      <c r="F451" s="12" t="s">
        <v>32</v>
      </c>
    </row>
    <row r="452" ht="21" customHeight="1" hidden="1" spans="1:6" x14ac:dyDescent="0.25" outlineLevel="1" collapsed="1">
      <c r="A452" s="30" t="s">
        <v>32</v>
      </c>
      <c r="B452" s="17" t="s">
        <v>32</v>
      </c>
      <c r="C452" s="30" t="s">
        <v>32</v>
      </c>
      <c r="D452" s="31" t="s">
        <v>32</v>
      </c>
      <c r="E452" s="17" t="s">
        <v>487</v>
      </c>
      <c r="F452" s="17" t="s">
        <v>32</v>
      </c>
    </row>
    <row r="453" ht="21" customHeight="1" hidden="1" spans="1:6" x14ac:dyDescent="0.25" outlineLevel="1" collapsed="1">
      <c r="A453" s="32" t="s">
        <v>32</v>
      </c>
      <c r="B453" s="12" t="s">
        <v>32</v>
      </c>
      <c r="C453" s="32" t="s">
        <v>32</v>
      </c>
      <c r="D453" s="31" t="s">
        <v>32</v>
      </c>
      <c r="E453" s="12" t="s">
        <v>488</v>
      </c>
      <c r="F453" s="12" t="s">
        <v>32</v>
      </c>
    </row>
    <row r="454" ht="21" customHeight="1" hidden="1" spans="1:6" x14ac:dyDescent="0.25" outlineLevel="1" collapsed="1">
      <c r="A454" s="30" t="s">
        <v>32</v>
      </c>
      <c r="B454" s="17" t="s">
        <v>32</v>
      </c>
      <c r="C454" s="30" t="s">
        <v>32</v>
      </c>
      <c r="D454" s="31" t="s">
        <v>32</v>
      </c>
      <c r="E454" s="17" t="s">
        <v>489</v>
      </c>
      <c r="F454" s="17" t="s">
        <v>32</v>
      </c>
    </row>
    <row r="455" ht="21" customHeight="1" hidden="1" spans="1:6" x14ac:dyDescent="0.25" outlineLevel="1" collapsed="1">
      <c r="A455" s="32" t="s">
        <v>32</v>
      </c>
      <c r="B455" s="12" t="s">
        <v>32</v>
      </c>
      <c r="C455" s="32" t="s">
        <v>32</v>
      </c>
      <c r="D455" s="31" t="s">
        <v>32</v>
      </c>
      <c r="E455" s="12" t="s">
        <v>490</v>
      </c>
      <c r="F455" s="12" t="s">
        <v>32</v>
      </c>
    </row>
    <row r="456" ht="21" customHeight="1" hidden="1" spans="1:6" x14ac:dyDescent="0.25" outlineLevel="1" collapsed="1">
      <c r="A456" s="30" t="s">
        <v>32</v>
      </c>
      <c r="B456" s="17" t="s">
        <v>32</v>
      </c>
      <c r="C456" s="30" t="s">
        <v>32</v>
      </c>
      <c r="D456" s="31" t="s">
        <v>32</v>
      </c>
      <c r="E456" s="17" t="s">
        <v>491</v>
      </c>
      <c r="F456" s="17" t="s">
        <v>32</v>
      </c>
    </row>
    <row r="457" ht="21" customHeight="1" hidden="1" spans="1:6" x14ac:dyDescent="0.25" outlineLevel="1" collapsed="1">
      <c r="A457" s="32" t="s">
        <v>32</v>
      </c>
      <c r="B457" s="12" t="s">
        <v>32</v>
      </c>
      <c r="C457" s="32" t="s">
        <v>32</v>
      </c>
      <c r="D457" s="31" t="s">
        <v>32</v>
      </c>
      <c r="E457" s="12" t="s">
        <v>492</v>
      </c>
      <c r="F457" s="12" t="s">
        <v>32</v>
      </c>
    </row>
    <row r="458" ht="21" customHeight="1" hidden="1" spans="1:6" x14ac:dyDescent="0.25" outlineLevel="1" collapsed="1">
      <c r="A458" s="30" t="s">
        <v>32</v>
      </c>
      <c r="B458" s="17" t="s">
        <v>32</v>
      </c>
      <c r="C458" s="30" t="s">
        <v>32</v>
      </c>
      <c r="D458" s="31" t="s">
        <v>32</v>
      </c>
      <c r="E458" s="17" t="s">
        <v>493</v>
      </c>
      <c r="F458" s="17" t="s">
        <v>32</v>
      </c>
    </row>
    <row r="459" ht="21" customHeight="1" hidden="1" spans="1:6" x14ac:dyDescent="0.25" outlineLevel="1" collapsed="1">
      <c r="A459" s="32" t="s">
        <v>32</v>
      </c>
      <c r="B459" s="12" t="s">
        <v>32</v>
      </c>
      <c r="C459" s="32" t="s">
        <v>32</v>
      </c>
      <c r="D459" s="31" t="s">
        <v>32</v>
      </c>
      <c r="E459" s="33" t="s">
        <v>494</v>
      </c>
      <c r="F459" s="12" t="s">
        <v>32</v>
      </c>
    </row>
    <row r="460" ht="22" customHeight="1" hidden="1" spans="1:6" x14ac:dyDescent="0.25" outlineLevel="1" collapsed="1">
      <c r="A460" s="34" t="s">
        <v>495</v>
      </c>
      <c r="B460" s="34"/>
      <c r="C460" s="34"/>
      <c r="D460" s="34"/>
      <c r="E460" s="34"/>
      <c r="F460" s="34"/>
    </row>
    <row r="461" ht="24" customHeight="1" hidden="1" spans="1:6" x14ac:dyDescent="0.25" outlineLevel="1" collapsed="1">
      <c r="A461" s="12" t="s">
        <v>496</v>
      </c>
      <c r="B461" s="12"/>
      <c r="C461" s="12"/>
      <c r="D461" s="12"/>
      <c r="E461" s="12"/>
      <c r="F461" s="12"/>
    </row>
    <row r="462" ht="40" customHeight="1" hidden="1" spans="1:6" x14ac:dyDescent="0.25" outlineLevel="1" collapsed="1">
      <c r="A462" s="12" t="s">
        <v>497</v>
      </c>
      <c r="B462" s="12"/>
      <c r="C462" s="12"/>
      <c r="D462" s="12"/>
      <c r="E462" s="12"/>
      <c r="F462" s="12"/>
    </row>
    <row r="463" ht="56" customHeight="1" hidden="1" spans="1:6" x14ac:dyDescent="0.25" outlineLevel="1" collapsed="1">
      <c r="A463" s="12" t="s">
        <v>498</v>
      </c>
      <c r="B463" s="12"/>
      <c r="C463" s="12"/>
      <c r="D463" s="12"/>
      <c r="E463" s="12"/>
      <c r="F463" s="12"/>
    </row>
    <row r="464" ht="24" customHeight="1" hidden="1" spans="1:6" x14ac:dyDescent="0.25" outlineLevel="1" collapsed="1">
      <c r="A464" s="12" t="s">
        <v>499</v>
      </c>
      <c r="B464" s="12"/>
      <c r="C464" s="12"/>
      <c r="D464" s="12"/>
      <c r="E464" s="12"/>
      <c r="F464" s="12"/>
    </row>
    <row r="465" ht="6" customHeight="1" hidden="1" x14ac:dyDescent="0.25" outlineLevel="1" collapsed="1"/>
    <row r="466" ht="22" customHeight="1" spans="1:6" x14ac:dyDescent="0.25">
      <c r="A466" s="25" t="s">
        <v>591</v>
      </c>
      <c r="B466" s="25"/>
      <c r="C466" s="25"/>
      <c r="D466" s="25"/>
      <c r="E466" s="25"/>
      <c r="F466" s="25"/>
    </row>
    <row r="467" ht="20" customHeight="1" hidden="1" spans="1:6" x14ac:dyDescent="0.25" outlineLevel="1" collapsed="1">
      <c r="A467" s="26" t="s">
        <v>460</v>
      </c>
      <c r="B467" s="26" t="s">
        <v>461</v>
      </c>
      <c r="C467" s="26" t="s">
        <v>462</v>
      </c>
      <c r="D467" s="26" t="s">
        <v>32</v>
      </c>
      <c r="E467" s="26" t="s">
        <v>463</v>
      </c>
      <c r="F467" s="26" t="s">
        <v>464</v>
      </c>
    </row>
    <row r="468" ht="51" customHeight="1" hidden="1" spans="1:6" x14ac:dyDescent="0.25" outlineLevel="1" collapsed="1">
      <c r="A468" s="27">
        <v>4220</v>
      </c>
      <c r="B468" s="28" t="s">
        <v>543</v>
      </c>
      <c r="C468" s="27" t="s">
        <v>466</v>
      </c>
      <c r="D468" s="29" t="s">
        <v>32</v>
      </c>
      <c r="E468" s="28" t="s">
        <v>467</v>
      </c>
      <c r="F468" s="28" t="s">
        <v>468</v>
      </c>
    </row>
    <row r="469" ht="36" customHeight="1" hidden="1" spans="1:6" x14ac:dyDescent="0.25" outlineLevel="1" collapsed="1">
      <c r="A469" s="30" t="s">
        <v>32</v>
      </c>
      <c r="B469" s="17" t="s">
        <v>32</v>
      </c>
      <c r="C469" s="30" t="s">
        <v>32</v>
      </c>
      <c r="D469" s="31" t="s">
        <v>32</v>
      </c>
      <c r="E469" s="17" t="s">
        <v>469</v>
      </c>
      <c r="F469" s="17" t="s">
        <v>32</v>
      </c>
    </row>
    <row r="470" ht="36" customHeight="1" hidden="1" spans="1:6" x14ac:dyDescent="0.25" outlineLevel="1" collapsed="1">
      <c r="A470" s="32" t="s">
        <v>32</v>
      </c>
      <c r="B470" s="12" t="s">
        <v>32</v>
      </c>
      <c r="C470" s="32" t="s">
        <v>32</v>
      </c>
      <c r="D470" s="31" t="s">
        <v>32</v>
      </c>
      <c r="E470" s="33" t="s">
        <v>470</v>
      </c>
      <c r="F470" s="12" t="s">
        <v>32</v>
      </c>
    </row>
    <row r="471" ht="51" customHeight="1" hidden="1" spans="1:6" x14ac:dyDescent="0.25" outlineLevel="1" collapsed="1">
      <c r="A471" s="27">
        <v>4240</v>
      </c>
      <c r="B471" s="28" t="s">
        <v>471</v>
      </c>
      <c r="C471" s="27" t="s">
        <v>472</v>
      </c>
      <c r="D471" s="29" t="s">
        <v>32</v>
      </c>
      <c r="E471" s="28" t="s">
        <v>473</v>
      </c>
      <c r="F471" s="28" t="s">
        <v>474</v>
      </c>
    </row>
    <row r="472" ht="21" customHeight="1" hidden="1" spans="1:6" x14ac:dyDescent="0.25" outlineLevel="1" collapsed="1">
      <c r="A472" s="30" t="s">
        <v>32</v>
      </c>
      <c r="B472" s="17" t="s">
        <v>32</v>
      </c>
      <c r="C472" s="30" t="s">
        <v>32</v>
      </c>
      <c r="D472" s="31" t="s">
        <v>32</v>
      </c>
      <c r="E472" s="17" t="s">
        <v>475</v>
      </c>
      <c r="F472" s="17" t="s">
        <v>32</v>
      </c>
    </row>
    <row r="473" ht="36" customHeight="1" hidden="1" spans="1:6" x14ac:dyDescent="0.25" outlineLevel="1" collapsed="1">
      <c r="A473" s="32" t="s">
        <v>32</v>
      </c>
      <c r="B473" s="12" t="s">
        <v>32</v>
      </c>
      <c r="C473" s="32" t="s">
        <v>32</v>
      </c>
      <c r="D473" s="31" t="s">
        <v>32</v>
      </c>
      <c r="E473" s="12" t="s">
        <v>476</v>
      </c>
      <c r="F473" s="12" t="s">
        <v>32</v>
      </c>
    </row>
    <row r="474" ht="36" customHeight="1" hidden="1" spans="1:6" x14ac:dyDescent="0.25" outlineLevel="1" collapsed="1">
      <c r="A474" s="30" t="s">
        <v>32</v>
      </c>
      <c r="B474" s="17" t="s">
        <v>32</v>
      </c>
      <c r="C474" s="30" t="s">
        <v>32</v>
      </c>
      <c r="D474" s="31" t="s">
        <v>32</v>
      </c>
      <c r="E474" s="17" t="s">
        <v>477</v>
      </c>
      <c r="F474" s="17" t="s">
        <v>32</v>
      </c>
    </row>
    <row r="475" ht="36" customHeight="1" hidden="1" spans="1:6" x14ac:dyDescent="0.25" outlineLevel="1" collapsed="1">
      <c r="A475" s="32" t="s">
        <v>32</v>
      </c>
      <c r="B475" s="12" t="s">
        <v>32</v>
      </c>
      <c r="C475" s="32" t="s">
        <v>32</v>
      </c>
      <c r="D475" s="31" t="s">
        <v>32</v>
      </c>
      <c r="E475" s="12" t="s">
        <v>478</v>
      </c>
      <c r="F475" s="12" t="s">
        <v>32</v>
      </c>
    </row>
    <row r="476" ht="21" customHeight="1" hidden="1" spans="1:6" x14ac:dyDescent="0.25" outlineLevel="1" collapsed="1">
      <c r="A476" s="30" t="s">
        <v>32</v>
      </c>
      <c r="B476" s="17" t="s">
        <v>32</v>
      </c>
      <c r="C476" s="30" t="s">
        <v>32</v>
      </c>
      <c r="D476" s="31" t="s">
        <v>32</v>
      </c>
      <c r="E476" s="17" t="s">
        <v>479</v>
      </c>
      <c r="F476" s="17" t="s">
        <v>32</v>
      </c>
    </row>
    <row r="477" ht="36" customHeight="1" hidden="1" spans="1:6" x14ac:dyDescent="0.25" outlineLevel="1" collapsed="1">
      <c r="A477" s="32" t="s">
        <v>32</v>
      </c>
      <c r="B477" s="12" t="s">
        <v>32</v>
      </c>
      <c r="C477" s="32" t="s">
        <v>32</v>
      </c>
      <c r="D477" s="31" t="s">
        <v>32</v>
      </c>
      <c r="E477" s="33" t="s">
        <v>470</v>
      </c>
      <c r="F477" s="12" t="s">
        <v>32</v>
      </c>
    </row>
    <row r="478" ht="51" customHeight="1" hidden="1" spans="1:6" x14ac:dyDescent="0.25" outlineLevel="1" collapsed="1">
      <c r="A478" s="27">
        <v>4230</v>
      </c>
      <c r="B478" s="28" t="s">
        <v>544</v>
      </c>
      <c r="C478" s="27" t="s">
        <v>472</v>
      </c>
      <c r="D478" s="29" t="s">
        <v>32</v>
      </c>
      <c r="E478" s="28" t="s">
        <v>481</v>
      </c>
      <c r="F478" s="28" t="s">
        <v>482</v>
      </c>
    </row>
    <row r="479" ht="21" customHeight="1" hidden="1" spans="1:6" x14ac:dyDescent="0.25" outlineLevel="1" collapsed="1">
      <c r="A479" s="30" t="s">
        <v>32</v>
      </c>
      <c r="B479" s="17" t="s">
        <v>32</v>
      </c>
      <c r="C479" s="30" t="s">
        <v>32</v>
      </c>
      <c r="D479" s="31" t="s">
        <v>32</v>
      </c>
      <c r="E479" s="17" t="s">
        <v>483</v>
      </c>
      <c r="F479" s="17" t="s">
        <v>32</v>
      </c>
    </row>
    <row r="480" ht="36" customHeight="1" hidden="1" spans="1:6" x14ac:dyDescent="0.25" outlineLevel="1" collapsed="1">
      <c r="A480" s="32" t="s">
        <v>32</v>
      </c>
      <c r="B480" s="12" t="s">
        <v>32</v>
      </c>
      <c r="C480" s="32" t="s">
        <v>32</v>
      </c>
      <c r="D480" s="31" t="s">
        <v>32</v>
      </c>
      <c r="E480" s="12" t="s">
        <v>484</v>
      </c>
      <c r="F480" s="12" t="s">
        <v>32</v>
      </c>
    </row>
    <row r="481" ht="36" customHeight="1" hidden="1" spans="1:6" x14ac:dyDescent="0.25" outlineLevel="1" collapsed="1">
      <c r="A481" s="30" t="s">
        <v>32</v>
      </c>
      <c r="B481" s="17" t="s">
        <v>32</v>
      </c>
      <c r="C481" s="30" t="s">
        <v>32</v>
      </c>
      <c r="D481" s="31" t="s">
        <v>32</v>
      </c>
      <c r="E481" s="17" t="s">
        <v>485</v>
      </c>
      <c r="F481" s="17" t="s">
        <v>32</v>
      </c>
    </row>
    <row r="482" ht="21" customHeight="1" hidden="1" spans="1:6" x14ac:dyDescent="0.25" outlineLevel="1" collapsed="1">
      <c r="A482" s="32" t="s">
        <v>32</v>
      </c>
      <c r="B482" s="12" t="s">
        <v>32</v>
      </c>
      <c r="C482" s="32" t="s">
        <v>32</v>
      </c>
      <c r="D482" s="31" t="s">
        <v>32</v>
      </c>
      <c r="E482" s="12" t="s">
        <v>486</v>
      </c>
      <c r="F482" s="12" t="s">
        <v>32</v>
      </c>
    </row>
    <row r="483" ht="21" customHeight="1" hidden="1" spans="1:6" x14ac:dyDescent="0.25" outlineLevel="1" collapsed="1">
      <c r="A483" s="30" t="s">
        <v>32</v>
      </c>
      <c r="B483" s="17" t="s">
        <v>32</v>
      </c>
      <c r="C483" s="30" t="s">
        <v>32</v>
      </c>
      <c r="D483" s="31" t="s">
        <v>32</v>
      </c>
      <c r="E483" s="17" t="s">
        <v>487</v>
      </c>
      <c r="F483" s="17" t="s">
        <v>32</v>
      </c>
    </row>
    <row r="484" ht="21" customHeight="1" hidden="1" spans="1:6" x14ac:dyDescent="0.25" outlineLevel="1" collapsed="1">
      <c r="A484" s="32" t="s">
        <v>32</v>
      </c>
      <c r="B484" s="12" t="s">
        <v>32</v>
      </c>
      <c r="C484" s="32" t="s">
        <v>32</v>
      </c>
      <c r="D484" s="31" t="s">
        <v>32</v>
      </c>
      <c r="E484" s="12" t="s">
        <v>488</v>
      </c>
      <c r="F484" s="12" t="s">
        <v>32</v>
      </c>
    </row>
    <row r="485" ht="21" customHeight="1" hidden="1" spans="1:6" x14ac:dyDescent="0.25" outlineLevel="1" collapsed="1">
      <c r="A485" s="30" t="s">
        <v>32</v>
      </c>
      <c r="B485" s="17" t="s">
        <v>32</v>
      </c>
      <c r="C485" s="30" t="s">
        <v>32</v>
      </c>
      <c r="D485" s="31" t="s">
        <v>32</v>
      </c>
      <c r="E485" s="17" t="s">
        <v>489</v>
      </c>
      <c r="F485" s="17" t="s">
        <v>32</v>
      </c>
    </row>
    <row r="486" ht="21" customHeight="1" hidden="1" spans="1:6" x14ac:dyDescent="0.25" outlineLevel="1" collapsed="1">
      <c r="A486" s="32" t="s">
        <v>32</v>
      </c>
      <c r="B486" s="12" t="s">
        <v>32</v>
      </c>
      <c r="C486" s="32" t="s">
        <v>32</v>
      </c>
      <c r="D486" s="31" t="s">
        <v>32</v>
      </c>
      <c r="E486" s="12" t="s">
        <v>490</v>
      </c>
      <c r="F486" s="12" t="s">
        <v>32</v>
      </c>
    </row>
    <row r="487" ht="21" customHeight="1" hidden="1" spans="1:6" x14ac:dyDescent="0.25" outlineLevel="1" collapsed="1">
      <c r="A487" s="30" t="s">
        <v>32</v>
      </c>
      <c r="B487" s="17" t="s">
        <v>32</v>
      </c>
      <c r="C487" s="30" t="s">
        <v>32</v>
      </c>
      <c r="D487" s="31" t="s">
        <v>32</v>
      </c>
      <c r="E487" s="17" t="s">
        <v>491</v>
      </c>
      <c r="F487" s="17" t="s">
        <v>32</v>
      </c>
    </row>
    <row r="488" ht="21" customHeight="1" hidden="1" spans="1:6" x14ac:dyDescent="0.25" outlineLevel="1" collapsed="1">
      <c r="A488" s="32" t="s">
        <v>32</v>
      </c>
      <c r="B488" s="12" t="s">
        <v>32</v>
      </c>
      <c r="C488" s="32" t="s">
        <v>32</v>
      </c>
      <c r="D488" s="31" t="s">
        <v>32</v>
      </c>
      <c r="E488" s="12" t="s">
        <v>492</v>
      </c>
      <c r="F488" s="12" t="s">
        <v>32</v>
      </c>
    </row>
    <row r="489" ht="21" customHeight="1" hidden="1" spans="1:6" x14ac:dyDescent="0.25" outlineLevel="1" collapsed="1">
      <c r="A489" s="30" t="s">
        <v>32</v>
      </c>
      <c r="B489" s="17" t="s">
        <v>32</v>
      </c>
      <c r="C489" s="30" t="s">
        <v>32</v>
      </c>
      <c r="D489" s="31" t="s">
        <v>32</v>
      </c>
      <c r="E489" s="17" t="s">
        <v>493</v>
      </c>
      <c r="F489" s="17" t="s">
        <v>32</v>
      </c>
    </row>
    <row r="490" ht="21" customHeight="1" hidden="1" spans="1:6" x14ac:dyDescent="0.25" outlineLevel="1" collapsed="1">
      <c r="A490" s="32" t="s">
        <v>32</v>
      </c>
      <c r="B490" s="12" t="s">
        <v>32</v>
      </c>
      <c r="C490" s="32" t="s">
        <v>32</v>
      </c>
      <c r="D490" s="31" t="s">
        <v>32</v>
      </c>
      <c r="E490" s="33" t="s">
        <v>494</v>
      </c>
      <c r="F490" s="12" t="s">
        <v>32</v>
      </c>
    </row>
    <row r="491" ht="22" customHeight="1" hidden="1" spans="1:6" x14ac:dyDescent="0.25" outlineLevel="1" collapsed="1">
      <c r="A491" s="34" t="s">
        <v>495</v>
      </c>
      <c r="B491" s="34"/>
      <c r="C491" s="34"/>
      <c r="D491" s="34"/>
      <c r="E491" s="34"/>
      <c r="F491" s="34"/>
    </row>
    <row r="492" ht="24" customHeight="1" hidden="1" spans="1:6" x14ac:dyDescent="0.25" outlineLevel="1" collapsed="1">
      <c r="A492" s="12" t="s">
        <v>496</v>
      </c>
      <c r="B492" s="12"/>
      <c r="C492" s="12"/>
      <c r="D492" s="12"/>
      <c r="E492" s="12"/>
      <c r="F492" s="12"/>
    </row>
    <row r="493" ht="40" customHeight="1" hidden="1" spans="1:6" x14ac:dyDescent="0.25" outlineLevel="1" collapsed="1">
      <c r="A493" s="12" t="s">
        <v>497</v>
      </c>
      <c r="B493" s="12"/>
      <c r="C493" s="12"/>
      <c r="D493" s="12"/>
      <c r="E493" s="12"/>
      <c r="F493" s="12"/>
    </row>
    <row r="494" ht="56" customHeight="1" hidden="1" spans="1:6" x14ac:dyDescent="0.25" outlineLevel="1" collapsed="1">
      <c r="A494" s="12" t="s">
        <v>498</v>
      </c>
      <c r="B494" s="12"/>
      <c r="C494" s="12"/>
      <c r="D494" s="12"/>
      <c r="E494" s="12"/>
      <c r="F494" s="12"/>
    </row>
    <row r="495" ht="24" customHeight="1" hidden="1" spans="1:6" x14ac:dyDescent="0.25" outlineLevel="1" collapsed="1">
      <c r="A495" s="12" t="s">
        <v>499</v>
      </c>
      <c r="B495" s="12"/>
      <c r="C495" s="12"/>
      <c r="D495" s="12"/>
      <c r="E495" s="12"/>
      <c r="F495" s="12"/>
    </row>
    <row r="496" ht="6" customHeight="1" hidden="1" x14ac:dyDescent="0.25" outlineLevel="1" collapsed="1"/>
    <row r="497" ht="22" customHeight="1" spans="1:6" x14ac:dyDescent="0.25">
      <c r="A497" s="25" t="s">
        <v>592</v>
      </c>
      <c r="B497" s="25"/>
      <c r="C497" s="25"/>
      <c r="D497" s="25"/>
      <c r="E497" s="25"/>
      <c r="F497" s="25"/>
    </row>
    <row r="498" ht="20" customHeight="1" hidden="1" spans="1:6" x14ac:dyDescent="0.25" outlineLevel="1" collapsed="1">
      <c r="A498" s="26" t="s">
        <v>460</v>
      </c>
      <c r="B498" s="26" t="s">
        <v>461</v>
      </c>
      <c r="C498" s="26" t="s">
        <v>462</v>
      </c>
      <c r="D498" s="26" t="s">
        <v>32</v>
      </c>
      <c r="E498" s="26" t="s">
        <v>463</v>
      </c>
      <c r="F498" s="26" t="s">
        <v>464</v>
      </c>
    </row>
    <row r="499" ht="51" customHeight="1" hidden="1" spans="1:6" x14ac:dyDescent="0.25" outlineLevel="1" collapsed="1">
      <c r="A499" s="27">
        <v>4220</v>
      </c>
      <c r="B499" s="28" t="s">
        <v>543</v>
      </c>
      <c r="C499" s="27" t="s">
        <v>466</v>
      </c>
      <c r="D499" s="29" t="s">
        <v>32</v>
      </c>
      <c r="E499" s="28" t="s">
        <v>467</v>
      </c>
      <c r="F499" s="28" t="s">
        <v>468</v>
      </c>
    </row>
    <row r="500" ht="36" customHeight="1" hidden="1" spans="1:6" x14ac:dyDescent="0.25" outlineLevel="1" collapsed="1">
      <c r="A500" s="30" t="s">
        <v>32</v>
      </c>
      <c r="B500" s="17" t="s">
        <v>32</v>
      </c>
      <c r="C500" s="30" t="s">
        <v>32</v>
      </c>
      <c r="D500" s="31" t="s">
        <v>32</v>
      </c>
      <c r="E500" s="17" t="s">
        <v>469</v>
      </c>
      <c r="F500" s="17" t="s">
        <v>32</v>
      </c>
    </row>
    <row r="501" ht="36" customHeight="1" hidden="1" spans="1:6" x14ac:dyDescent="0.25" outlineLevel="1" collapsed="1">
      <c r="A501" s="32" t="s">
        <v>32</v>
      </c>
      <c r="B501" s="12" t="s">
        <v>32</v>
      </c>
      <c r="C501" s="32" t="s">
        <v>32</v>
      </c>
      <c r="D501" s="31" t="s">
        <v>32</v>
      </c>
      <c r="E501" s="33" t="s">
        <v>470</v>
      </c>
      <c r="F501" s="12" t="s">
        <v>32</v>
      </c>
    </row>
    <row r="502" ht="51" customHeight="1" hidden="1" spans="1:6" x14ac:dyDescent="0.25" outlineLevel="1" collapsed="1">
      <c r="A502" s="27">
        <v>4240</v>
      </c>
      <c r="B502" s="28" t="s">
        <v>471</v>
      </c>
      <c r="C502" s="27" t="s">
        <v>472</v>
      </c>
      <c r="D502" s="29" t="s">
        <v>32</v>
      </c>
      <c r="E502" s="28" t="s">
        <v>473</v>
      </c>
      <c r="F502" s="28" t="s">
        <v>474</v>
      </c>
    </row>
    <row r="503" ht="21" customHeight="1" hidden="1" spans="1:6" x14ac:dyDescent="0.25" outlineLevel="1" collapsed="1">
      <c r="A503" s="30" t="s">
        <v>32</v>
      </c>
      <c r="B503" s="17" t="s">
        <v>32</v>
      </c>
      <c r="C503" s="30" t="s">
        <v>32</v>
      </c>
      <c r="D503" s="31" t="s">
        <v>32</v>
      </c>
      <c r="E503" s="17" t="s">
        <v>475</v>
      </c>
      <c r="F503" s="17" t="s">
        <v>32</v>
      </c>
    </row>
    <row r="504" ht="36" customHeight="1" hidden="1" spans="1:6" x14ac:dyDescent="0.25" outlineLevel="1" collapsed="1">
      <c r="A504" s="32" t="s">
        <v>32</v>
      </c>
      <c r="B504" s="12" t="s">
        <v>32</v>
      </c>
      <c r="C504" s="32" t="s">
        <v>32</v>
      </c>
      <c r="D504" s="31" t="s">
        <v>32</v>
      </c>
      <c r="E504" s="12" t="s">
        <v>476</v>
      </c>
      <c r="F504" s="12" t="s">
        <v>32</v>
      </c>
    </row>
    <row r="505" ht="36" customHeight="1" hidden="1" spans="1:6" x14ac:dyDescent="0.25" outlineLevel="1" collapsed="1">
      <c r="A505" s="30" t="s">
        <v>32</v>
      </c>
      <c r="B505" s="17" t="s">
        <v>32</v>
      </c>
      <c r="C505" s="30" t="s">
        <v>32</v>
      </c>
      <c r="D505" s="31" t="s">
        <v>32</v>
      </c>
      <c r="E505" s="17" t="s">
        <v>593</v>
      </c>
      <c r="F505" s="17" t="s">
        <v>32</v>
      </c>
    </row>
    <row r="506" ht="36" customHeight="1" hidden="1" spans="1:6" x14ac:dyDescent="0.25" outlineLevel="1" collapsed="1">
      <c r="A506" s="32" t="s">
        <v>32</v>
      </c>
      <c r="B506" s="12" t="s">
        <v>32</v>
      </c>
      <c r="C506" s="32" t="s">
        <v>32</v>
      </c>
      <c r="D506" s="31" t="s">
        <v>32</v>
      </c>
      <c r="E506" s="12" t="s">
        <v>478</v>
      </c>
      <c r="F506" s="12" t="s">
        <v>32</v>
      </c>
    </row>
    <row r="507" ht="21" customHeight="1" hidden="1" spans="1:6" x14ac:dyDescent="0.25" outlineLevel="1" collapsed="1">
      <c r="A507" s="30" t="s">
        <v>32</v>
      </c>
      <c r="B507" s="17" t="s">
        <v>32</v>
      </c>
      <c r="C507" s="30" t="s">
        <v>32</v>
      </c>
      <c r="D507" s="31" t="s">
        <v>32</v>
      </c>
      <c r="E507" s="17" t="s">
        <v>479</v>
      </c>
      <c r="F507" s="17" t="s">
        <v>32</v>
      </c>
    </row>
    <row r="508" ht="21" customHeight="1" hidden="1" spans="1:6" x14ac:dyDescent="0.25" outlineLevel="1" collapsed="1">
      <c r="A508" s="32" t="s">
        <v>32</v>
      </c>
      <c r="B508" s="12" t="s">
        <v>32</v>
      </c>
      <c r="C508" s="32" t="s">
        <v>32</v>
      </c>
      <c r="D508" s="31" t="s">
        <v>32</v>
      </c>
      <c r="E508" s="33" t="s">
        <v>494</v>
      </c>
      <c r="F508" s="12" t="s">
        <v>32</v>
      </c>
    </row>
    <row r="509" ht="51" customHeight="1" hidden="1" spans="1:6" x14ac:dyDescent="0.25" outlineLevel="1" collapsed="1">
      <c r="A509" s="27">
        <v>4230</v>
      </c>
      <c r="B509" s="28" t="s">
        <v>544</v>
      </c>
      <c r="C509" s="27" t="s">
        <v>472</v>
      </c>
      <c r="D509" s="29" t="s">
        <v>32</v>
      </c>
      <c r="E509" s="28" t="s">
        <v>481</v>
      </c>
      <c r="F509" s="28" t="s">
        <v>482</v>
      </c>
    </row>
    <row r="510" ht="21" customHeight="1" hidden="1" spans="1:6" x14ac:dyDescent="0.25" outlineLevel="1" collapsed="1">
      <c r="A510" s="30" t="s">
        <v>32</v>
      </c>
      <c r="B510" s="17" t="s">
        <v>32</v>
      </c>
      <c r="C510" s="30" t="s">
        <v>32</v>
      </c>
      <c r="D510" s="31" t="s">
        <v>32</v>
      </c>
      <c r="E510" s="17" t="s">
        <v>483</v>
      </c>
      <c r="F510" s="17" t="s">
        <v>32</v>
      </c>
    </row>
    <row r="511" ht="36" customHeight="1" hidden="1" spans="1:6" x14ac:dyDescent="0.25" outlineLevel="1" collapsed="1">
      <c r="A511" s="32" t="s">
        <v>32</v>
      </c>
      <c r="B511" s="12" t="s">
        <v>32</v>
      </c>
      <c r="C511" s="32" t="s">
        <v>32</v>
      </c>
      <c r="D511" s="31" t="s">
        <v>32</v>
      </c>
      <c r="E511" s="12" t="s">
        <v>484</v>
      </c>
      <c r="F511" s="12" t="s">
        <v>32</v>
      </c>
    </row>
    <row r="512" ht="36" customHeight="1" hidden="1" spans="1:6" x14ac:dyDescent="0.25" outlineLevel="1" collapsed="1">
      <c r="A512" s="30" t="s">
        <v>32</v>
      </c>
      <c r="B512" s="17" t="s">
        <v>32</v>
      </c>
      <c r="C512" s="30" t="s">
        <v>32</v>
      </c>
      <c r="D512" s="31" t="s">
        <v>32</v>
      </c>
      <c r="E512" s="17" t="s">
        <v>485</v>
      </c>
      <c r="F512" s="17" t="s">
        <v>32</v>
      </c>
    </row>
    <row r="513" ht="21" customHeight="1" hidden="1" spans="1:6" x14ac:dyDescent="0.25" outlineLevel="1" collapsed="1">
      <c r="A513" s="32" t="s">
        <v>32</v>
      </c>
      <c r="B513" s="12" t="s">
        <v>32</v>
      </c>
      <c r="C513" s="32" t="s">
        <v>32</v>
      </c>
      <c r="D513" s="31" t="s">
        <v>32</v>
      </c>
      <c r="E513" s="12" t="s">
        <v>486</v>
      </c>
      <c r="F513" s="12" t="s">
        <v>32</v>
      </c>
    </row>
    <row r="514" ht="21" customHeight="1" hidden="1" spans="1:6" x14ac:dyDescent="0.25" outlineLevel="1" collapsed="1">
      <c r="A514" s="30" t="s">
        <v>32</v>
      </c>
      <c r="B514" s="17" t="s">
        <v>32</v>
      </c>
      <c r="C514" s="30" t="s">
        <v>32</v>
      </c>
      <c r="D514" s="31" t="s">
        <v>32</v>
      </c>
      <c r="E514" s="17" t="s">
        <v>487</v>
      </c>
      <c r="F514" s="17" t="s">
        <v>32</v>
      </c>
    </row>
    <row r="515" ht="21" customHeight="1" hidden="1" spans="1:6" x14ac:dyDescent="0.25" outlineLevel="1" collapsed="1">
      <c r="A515" s="32" t="s">
        <v>32</v>
      </c>
      <c r="B515" s="12" t="s">
        <v>32</v>
      </c>
      <c r="C515" s="32" t="s">
        <v>32</v>
      </c>
      <c r="D515" s="31" t="s">
        <v>32</v>
      </c>
      <c r="E515" s="12" t="s">
        <v>488</v>
      </c>
      <c r="F515" s="12" t="s">
        <v>32</v>
      </c>
    </row>
    <row r="516" ht="21" customHeight="1" hidden="1" spans="1:6" x14ac:dyDescent="0.25" outlineLevel="1" collapsed="1">
      <c r="A516" s="30" t="s">
        <v>32</v>
      </c>
      <c r="B516" s="17" t="s">
        <v>32</v>
      </c>
      <c r="C516" s="30" t="s">
        <v>32</v>
      </c>
      <c r="D516" s="31" t="s">
        <v>32</v>
      </c>
      <c r="E516" s="17" t="s">
        <v>489</v>
      </c>
      <c r="F516" s="17" t="s">
        <v>32</v>
      </c>
    </row>
    <row r="517" ht="21" customHeight="1" hidden="1" spans="1:6" x14ac:dyDescent="0.25" outlineLevel="1" collapsed="1">
      <c r="A517" s="32" t="s">
        <v>32</v>
      </c>
      <c r="B517" s="12" t="s">
        <v>32</v>
      </c>
      <c r="C517" s="32" t="s">
        <v>32</v>
      </c>
      <c r="D517" s="31" t="s">
        <v>32</v>
      </c>
      <c r="E517" s="12" t="s">
        <v>490</v>
      </c>
      <c r="F517" s="12" t="s">
        <v>32</v>
      </c>
    </row>
    <row r="518" ht="21" customHeight="1" hidden="1" spans="1:6" x14ac:dyDescent="0.25" outlineLevel="1" collapsed="1">
      <c r="A518" s="30" t="s">
        <v>32</v>
      </c>
      <c r="B518" s="17" t="s">
        <v>32</v>
      </c>
      <c r="C518" s="30" t="s">
        <v>32</v>
      </c>
      <c r="D518" s="31" t="s">
        <v>32</v>
      </c>
      <c r="E518" s="17" t="s">
        <v>491</v>
      </c>
      <c r="F518" s="17" t="s">
        <v>32</v>
      </c>
    </row>
    <row r="519" ht="21" customHeight="1" hidden="1" spans="1:6" x14ac:dyDescent="0.25" outlineLevel="1" collapsed="1">
      <c r="A519" s="32" t="s">
        <v>32</v>
      </c>
      <c r="B519" s="12" t="s">
        <v>32</v>
      </c>
      <c r="C519" s="32" t="s">
        <v>32</v>
      </c>
      <c r="D519" s="31" t="s">
        <v>32</v>
      </c>
      <c r="E519" s="12" t="s">
        <v>492</v>
      </c>
      <c r="F519" s="12" t="s">
        <v>32</v>
      </c>
    </row>
    <row r="520" ht="21" customHeight="1" hidden="1" spans="1:6" x14ac:dyDescent="0.25" outlineLevel="1" collapsed="1">
      <c r="A520" s="30" t="s">
        <v>32</v>
      </c>
      <c r="B520" s="17" t="s">
        <v>32</v>
      </c>
      <c r="C520" s="30" t="s">
        <v>32</v>
      </c>
      <c r="D520" s="31" t="s">
        <v>32</v>
      </c>
      <c r="E520" s="17" t="s">
        <v>493</v>
      </c>
      <c r="F520" s="17" t="s">
        <v>32</v>
      </c>
    </row>
    <row r="521" ht="21" customHeight="1" hidden="1" spans="1:6" x14ac:dyDescent="0.25" outlineLevel="1" collapsed="1">
      <c r="A521" s="32" t="s">
        <v>32</v>
      </c>
      <c r="B521" s="12" t="s">
        <v>32</v>
      </c>
      <c r="C521" s="32" t="s">
        <v>32</v>
      </c>
      <c r="D521" s="31" t="s">
        <v>32</v>
      </c>
      <c r="E521" s="33" t="s">
        <v>494</v>
      </c>
      <c r="F521" s="12" t="s">
        <v>32</v>
      </c>
    </row>
    <row r="522" ht="22" customHeight="1" hidden="1" spans="1:6" x14ac:dyDescent="0.25" outlineLevel="1" collapsed="1">
      <c r="A522" s="34" t="s">
        <v>495</v>
      </c>
      <c r="B522" s="34"/>
      <c r="C522" s="34"/>
      <c r="D522" s="34"/>
      <c r="E522" s="34"/>
      <c r="F522" s="34"/>
    </row>
    <row r="523" ht="24" customHeight="1" hidden="1" spans="1:6" x14ac:dyDescent="0.25" outlineLevel="1" collapsed="1">
      <c r="A523" s="12" t="s">
        <v>496</v>
      </c>
      <c r="B523" s="12"/>
      <c r="C523" s="12"/>
      <c r="D523" s="12"/>
      <c r="E523" s="12"/>
      <c r="F523" s="12"/>
    </row>
    <row r="524" ht="40" customHeight="1" hidden="1" spans="1:6" x14ac:dyDescent="0.25" outlineLevel="1" collapsed="1">
      <c r="A524" s="12" t="s">
        <v>594</v>
      </c>
      <c r="B524" s="12"/>
      <c r="C524" s="12"/>
      <c r="D524" s="12"/>
      <c r="E524" s="12"/>
      <c r="F524" s="12"/>
    </row>
    <row r="525" ht="56" customHeight="1" hidden="1" spans="1:6" x14ac:dyDescent="0.25" outlineLevel="1" collapsed="1">
      <c r="A525" s="12" t="s">
        <v>498</v>
      </c>
      <c r="B525" s="12"/>
      <c r="C525" s="12"/>
      <c r="D525" s="12"/>
      <c r="E525" s="12"/>
      <c r="F525" s="12"/>
    </row>
    <row r="526" ht="24" customHeight="1" hidden="1" spans="1:6" x14ac:dyDescent="0.25" outlineLevel="1" collapsed="1">
      <c r="A526" s="12" t="s">
        <v>499</v>
      </c>
      <c r="B526" s="12"/>
      <c r="C526" s="12"/>
      <c r="D526" s="12"/>
      <c r="E526" s="12"/>
      <c r="F526" s="12"/>
    </row>
    <row r="527" ht="6" customHeight="1" hidden="1" x14ac:dyDescent="0.25" outlineLevel="1" collapsed="1"/>
    <row r="528" ht="22" customHeight="1" spans="1:6" x14ac:dyDescent="0.25">
      <c r="A528" s="25" t="s">
        <v>595</v>
      </c>
      <c r="B528" s="25"/>
      <c r="C528" s="25"/>
      <c r="D528" s="25"/>
      <c r="E528" s="25"/>
      <c r="F528" s="25"/>
    </row>
    <row r="529" ht="20" customHeight="1" hidden="1" spans="1:6" x14ac:dyDescent="0.25" outlineLevel="1" collapsed="1">
      <c r="A529" s="26" t="s">
        <v>460</v>
      </c>
      <c r="B529" s="26" t="s">
        <v>461</v>
      </c>
      <c r="C529" s="26" t="s">
        <v>462</v>
      </c>
      <c r="D529" s="26" t="s">
        <v>32</v>
      </c>
      <c r="E529" s="26" t="s">
        <v>463</v>
      </c>
      <c r="F529" s="26" t="s">
        <v>464</v>
      </c>
    </row>
    <row r="530" ht="36" customHeight="1" hidden="1" spans="1:6" x14ac:dyDescent="0.25" outlineLevel="1" collapsed="1">
      <c r="A530" s="27">
        <v>4220</v>
      </c>
      <c r="B530" s="28" t="s">
        <v>543</v>
      </c>
      <c r="C530" s="27" t="s">
        <v>466</v>
      </c>
      <c r="D530" s="29" t="s">
        <v>32</v>
      </c>
      <c r="E530" s="28" t="s">
        <v>518</v>
      </c>
      <c r="F530" s="28" t="s">
        <v>32</v>
      </c>
    </row>
    <row r="531" ht="21" customHeight="1" hidden="1" spans="1:6" x14ac:dyDescent="0.25" outlineLevel="1" collapsed="1">
      <c r="A531" s="27">
        <v>4240</v>
      </c>
      <c r="B531" s="28" t="s">
        <v>471</v>
      </c>
      <c r="C531" s="27" t="s">
        <v>472</v>
      </c>
      <c r="D531" s="29" t="s">
        <v>32</v>
      </c>
      <c r="E531" s="28" t="s">
        <v>506</v>
      </c>
      <c r="F531" s="28" t="s">
        <v>32</v>
      </c>
    </row>
    <row r="532" ht="36" customHeight="1" hidden="1" spans="1:6" x14ac:dyDescent="0.25" outlineLevel="1" collapsed="1">
      <c r="A532" s="27">
        <v>4230</v>
      </c>
      <c r="B532" s="28" t="s">
        <v>544</v>
      </c>
      <c r="C532" s="27" t="s">
        <v>472</v>
      </c>
      <c r="D532" s="29" t="s">
        <v>32</v>
      </c>
      <c r="E532" s="28" t="s">
        <v>518</v>
      </c>
      <c r="F532" s="28" t="s">
        <v>32</v>
      </c>
    </row>
    <row r="533" ht="22" customHeight="1" hidden="1" spans="1:6" x14ac:dyDescent="0.25" outlineLevel="1" collapsed="1">
      <c r="A533" s="34" t="s">
        <v>495</v>
      </c>
      <c r="B533" s="34"/>
      <c r="C533" s="34"/>
      <c r="D533" s="34"/>
      <c r="E533" s="34"/>
      <c r="F533" s="34"/>
    </row>
    <row r="534" ht="24" customHeight="1" hidden="1" spans="1:6" x14ac:dyDescent="0.25" outlineLevel="1" collapsed="1">
      <c r="A534" s="12" t="s">
        <v>596</v>
      </c>
      <c r="B534" s="12"/>
      <c r="C534" s="12"/>
      <c r="D534" s="12"/>
      <c r="E534" s="12"/>
      <c r="F534" s="12"/>
    </row>
    <row r="535" ht="24" customHeight="1" hidden="1" spans="1:6" x14ac:dyDescent="0.25" outlineLevel="1" collapsed="1">
      <c r="A535" s="12" t="s">
        <v>597</v>
      </c>
      <c r="B535" s="12"/>
      <c r="C535" s="12"/>
      <c r="D535" s="12"/>
      <c r="E535" s="12"/>
      <c r="F535" s="12"/>
    </row>
    <row r="536" ht="24" customHeight="1" hidden="1" spans="1:6" x14ac:dyDescent="0.25" outlineLevel="1" collapsed="1">
      <c r="A536" s="12" t="s">
        <v>519</v>
      </c>
      <c r="B536" s="12"/>
      <c r="C536" s="12"/>
      <c r="D536" s="12"/>
      <c r="E536" s="12"/>
      <c r="F536" s="12"/>
    </row>
    <row r="537" ht="24" customHeight="1" hidden="1" spans="1:6" x14ac:dyDescent="0.25" outlineLevel="1" collapsed="1">
      <c r="A537" s="12" t="s">
        <v>499</v>
      </c>
      <c r="B537" s="12"/>
      <c r="C537" s="12"/>
      <c r="D537" s="12"/>
      <c r="E537" s="12"/>
      <c r="F537" s="12"/>
    </row>
    <row r="538" ht="6" customHeight="1" hidden="1" x14ac:dyDescent="0.25" outlineLevel="1" collapsed="1"/>
    <row r="539" ht="22" customHeight="1" spans="1:6" x14ac:dyDescent="0.25">
      <c r="A539" s="25" t="s">
        <v>598</v>
      </c>
      <c r="B539" s="25"/>
      <c r="C539" s="25"/>
      <c r="D539" s="25"/>
      <c r="E539" s="25"/>
      <c r="F539" s="25"/>
    </row>
    <row r="540" ht="20" customHeight="1" hidden="1" spans="1:6" x14ac:dyDescent="0.25" outlineLevel="1" collapsed="1">
      <c r="A540" s="26" t="s">
        <v>460</v>
      </c>
      <c r="B540" s="26" t="s">
        <v>461</v>
      </c>
      <c r="C540" s="26" t="s">
        <v>462</v>
      </c>
      <c r="D540" s="26" t="s">
        <v>32</v>
      </c>
      <c r="E540" s="26" t="s">
        <v>463</v>
      </c>
      <c r="F540" s="26" t="s">
        <v>464</v>
      </c>
    </row>
    <row r="541" ht="51" customHeight="1" hidden="1" spans="1:6" x14ac:dyDescent="0.25" outlineLevel="1" collapsed="1">
      <c r="A541" s="27">
        <v>4220</v>
      </c>
      <c r="B541" s="28" t="s">
        <v>543</v>
      </c>
      <c r="C541" s="27" t="s">
        <v>466</v>
      </c>
      <c r="D541" s="29" t="s">
        <v>32</v>
      </c>
      <c r="E541" s="28" t="s">
        <v>599</v>
      </c>
      <c r="F541" s="28" t="s">
        <v>468</v>
      </c>
    </row>
    <row r="542" ht="36" customHeight="1" hidden="1" spans="1:6" x14ac:dyDescent="0.25" outlineLevel="1" collapsed="1">
      <c r="A542" s="30" t="s">
        <v>32</v>
      </c>
      <c r="B542" s="17" t="s">
        <v>32</v>
      </c>
      <c r="C542" s="30" t="s">
        <v>32</v>
      </c>
      <c r="D542" s="31" t="s">
        <v>32</v>
      </c>
      <c r="E542" s="17" t="s">
        <v>469</v>
      </c>
      <c r="F542" s="17" t="s">
        <v>32</v>
      </c>
    </row>
    <row r="543" ht="36" customHeight="1" hidden="1" spans="1:6" x14ac:dyDescent="0.25" outlineLevel="1" collapsed="1">
      <c r="A543" s="32" t="s">
        <v>32</v>
      </c>
      <c r="B543" s="12" t="s">
        <v>32</v>
      </c>
      <c r="C543" s="32" t="s">
        <v>32</v>
      </c>
      <c r="D543" s="31" t="s">
        <v>32</v>
      </c>
      <c r="E543" s="33" t="s">
        <v>600</v>
      </c>
      <c r="F543" s="12" t="s">
        <v>32</v>
      </c>
    </row>
    <row r="544" ht="51" customHeight="1" hidden="1" spans="1:6" x14ac:dyDescent="0.25" outlineLevel="1" collapsed="1">
      <c r="A544" s="27">
        <v>4240</v>
      </c>
      <c r="B544" s="28" t="s">
        <v>471</v>
      </c>
      <c r="C544" s="27" t="s">
        <v>472</v>
      </c>
      <c r="D544" s="29" t="s">
        <v>32</v>
      </c>
      <c r="E544" s="28" t="s">
        <v>473</v>
      </c>
      <c r="F544" s="28" t="s">
        <v>601</v>
      </c>
    </row>
    <row r="545" ht="21" customHeight="1" hidden="1" spans="1:6" x14ac:dyDescent="0.25" outlineLevel="1" collapsed="1">
      <c r="A545" s="30" t="s">
        <v>32</v>
      </c>
      <c r="B545" s="17" t="s">
        <v>32</v>
      </c>
      <c r="C545" s="30" t="s">
        <v>32</v>
      </c>
      <c r="D545" s="31" t="s">
        <v>32</v>
      </c>
      <c r="E545" s="17" t="s">
        <v>475</v>
      </c>
      <c r="F545" s="17" t="s">
        <v>32</v>
      </c>
    </row>
    <row r="546" ht="21" customHeight="1" hidden="1" spans="1:6" x14ac:dyDescent="0.25" outlineLevel="1" collapsed="1">
      <c r="A546" s="32" t="s">
        <v>32</v>
      </c>
      <c r="B546" s="12" t="s">
        <v>32</v>
      </c>
      <c r="C546" s="32" t="s">
        <v>32</v>
      </c>
      <c r="D546" s="31" t="s">
        <v>32</v>
      </c>
      <c r="E546" s="12" t="s">
        <v>602</v>
      </c>
      <c r="F546" s="12" t="s">
        <v>32</v>
      </c>
    </row>
    <row r="547" ht="36" customHeight="1" hidden="1" spans="1:6" x14ac:dyDescent="0.25" outlineLevel="1" collapsed="1">
      <c r="A547" s="30" t="s">
        <v>32</v>
      </c>
      <c r="B547" s="17" t="s">
        <v>32</v>
      </c>
      <c r="C547" s="30" t="s">
        <v>32</v>
      </c>
      <c r="D547" s="31" t="s">
        <v>32</v>
      </c>
      <c r="E547" s="17" t="s">
        <v>478</v>
      </c>
      <c r="F547" s="17" t="s">
        <v>32</v>
      </c>
    </row>
    <row r="548" ht="36" customHeight="1" hidden="1" spans="1:6" x14ac:dyDescent="0.25" outlineLevel="1" collapsed="1">
      <c r="A548" s="32" t="s">
        <v>32</v>
      </c>
      <c r="B548" s="12" t="s">
        <v>32</v>
      </c>
      <c r="C548" s="32" t="s">
        <v>32</v>
      </c>
      <c r="D548" s="31" t="s">
        <v>32</v>
      </c>
      <c r="E548" s="33" t="s">
        <v>603</v>
      </c>
      <c r="F548" s="12" t="s">
        <v>32</v>
      </c>
    </row>
    <row r="549" ht="51" customHeight="1" hidden="1" spans="1:6" x14ac:dyDescent="0.25" outlineLevel="1" collapsed="1">
      <c r="A549" s="27">
        <v>4230</v>
      </c>
      <c r="B549" s="28" t="s">
        <v>544</v>
      </c>
      <c r="C549" s="27" t="s">
        <v>472</v>
      </c>
      <c r="D549" s="29" t="s">
        <v>32</v>
      </c>
      <c r="E549" s="28" t="s">
        <v>576</v>
      </c>
      <c r="F549" s="28" t="s">
        <v>604</v>
      </c>
    </row>
    <row r="550" ht="21" customHeight="1" hidden="1" spans="1:6" x14ac:dyDescent="0.25" outlineLevel="1" collapsed="1">
      <c r="A550" s="30" t="s">
        <v>32</v>
      </c>
      <c r="B550" s="17" t="s">
        <v>32</v>
      </c>
      <c r="C550" s="30" t="s">
        <v>32</v>
      </c>
      <c r="D550" s="31" t="s">
        <v>32</v>
      </c>
      <c r="E550" s="17" t="s">
        <v>577</v>
      </c>
      <c r="F550" s="17" t="s">
        <v>32</v>
      </c>
    </row>
    <row r="551" ht="36" customHeight="1" hidden="1" spans="1:6" x14ac:dyDescent="0.25" outlineLevel="1" collapsed="1">
      <c r="A551" s="32" t="s">
        <v>32</v>
      </c>
      <c r="B551" s="12" t="s">
        <v>32</v>
      </c>
      <c r="C551" s="32" t="s">
        <v>32</v>
      </c>
      <c r="D551" s="31" t="s">
        <v>32</v>
      </c>
      <c r="E551" s="12" t="s">
        <v>605</v>
      </c>
      <c r="F551" s="12" t="s">
        <v>32</v>
      </c>
    </row>
    <row r="552" ht="21" customHeight="1" hidden="1" spans="1:6" x14ac:dyDescent="0.25" outlineLevel="1" collapsed="1">
      <c r="A552" s="30" t="s">
        <v>32</v>
      </c>
      <c r="B552" s="17" t="s">
        <v>32</v>
      </c>
      <c r="C552" s="30" t="s">
        <v>32</v>
      </c>
      <c r="D552" s="31" t="s">
        <v>32</v>
      </c>
      <c r="E552" s="17" t="s">
        <v>580</v>
      </c>
      <c r="F552" s="17" t="s">
        <v>32</v>
      </c>
    </row>
    <row r="553" ht="21" customHeight="1" hidden="1" spans="1:6" x14ac:dyDescent="0.25" outlineLevel="1" collapsed="1">
      <c r="A553" s="32" t="s">
        <v>32</v>
      </c>
      <c r="B553" s="12" t="s">
        <v>32</v>
      </c>
      <c r="C553" s="32" t="s">
        <v>32</v>
      </c>
      <c r="D553" s="31" t="s">
        <v>32</v>
      </c>
      <c r="E553" s="12" t="s">
        <v>606</v>
      </c>
      <c r="F553" s="12" t="s">
        <v>32</v>
      </c>
    </row>
    <row r="554" ht="21" customHeight="1" hidden="1" spans="1:6" x14ac:dyDescent="0.25" outlineLevel="1" collapsed="1">
      <c r="A554" s="30" t="s">
        <v>32</v>
      </c>
      <c r="B554" s="17" t="s">
        <v>32</v>
      </c>
      <c r="C554" s="30" t="s">
        <v>32</v>
      </c>
      <c r="D554" s="31" t="s">
        <v>32</v>
      </c>
      <c r="E554" s="17" t="s">
        <v>551</v>
      </c>
      <c r="F554" s="17" t="s">
        <v>32</v>
      </c>
    </row>
    <row r="555" ht="21" customHeight="1" hidden="1" spans="1:6" x14ac:dyDescent="0.25" outlineLevel="1" collapsed="1">
      <c r="A555" s="32" t="s">
        <v>32</v>
      </c>
      <c r="B555" s="12" t="s">
        <v>32</v>
      </c>
      <c r="C555" s="32" t="s">
        <v>32</v>
      </c>
      <c r="D555" s="31" t="s">
        <v>32</v>
      </c>
      <c r="E555" s="12" t="s">
        <v>581</v>
      </c>
      <c r="F555" s="12" t="s">
        <v>32</v>
      </c>
    </row>
    <row r="556" ht="21" customHeight="1" hidden="1" spans="1:6" x14ac:dyDescent="0.25" outlineLevel="1" collapsed="1">
      <c r="A556" s="30" t="s">
        <v>32</v>
      </c>
      <c r="B556" s="17" t="s">
        <v>32</v>
      </c>
      <c r="C556" s="30" t="s">
        <v>32</v>
      </c>
      <c r="D556" s="31" t="s">
        <v>32</v>
      </c>
      <c r="E556" s="17" t="s">
        <v>582</v>
      </c>
      <c r="F556" s="17" t="s">
        <v>32</v>
      </c>
    </row>
    <row r="557" ht="21" customHeight="1" hidden="1" spans="1:6" x14ac:dyDescent="0.25" outlineLevel="1" collapsed="1">
      <c r="A557" s="32" t="s">
        <v>32</v>
      </c>
      <c r="B557" s="12" t="s">
        <v>32</v>
      </c>
      <c r="C557" s="32" t="s">
        <v>32</v>
      </c>
      <c r="D557" s="31" t="s">
        <v>32</v>
      </c>
      <c r="E557" s="12" t="s">
        <v>607</v>
      </c>
      <c r="F557" s="12" t="s">
        <v>32</v>
      </c>
    </row>
    <row r="558" ht="21" customHeight="1" hidden="1" spans="1:6" x14ac:dyDescent="0.25" outlineLevel="1" collapsed="1">
      <c r="A558" s="30" t="s">
        <v>32</v>
      </c>
      <c r="B558" s="17" t="s">
        <v>32</v>
      </c>
      <c r="C558" s="30" t="s">
        <v>32</v>
      </c>
      <c r="D558" s="31" t="s">
        <v>32</v>
      </c>
      <c r="E558" s="17" t="s">
        <v>555</v>
      </c>
      <c r="F558" s="17" t="s">
        <v>32</v>
      </c>
    </row>
    <row r="559" ht="21" customHeight="1" hidden="1" spans="1:6" x14ac:dyDescent="0.25" outlineLevel="1" collapsed="1">
      <c r="A559" s="32" t="s">
        <v>32</v>
      </c>
      <c r="B559" s="12" t="s">
        <v>32</v>
      </c>
      <c r="C559" s="32" t="s">
        <v>32</v>
      </c>
      <c r="D559" s="31" t="s">
        <v>32</v>
      </c>
      <c r="E559" s="12" t="s">
        <v>584</v>
      </c>
      <c r="F559" s="12" t="s">
        <v>32</v>
      </c>
    </row>
    <row r="560" ht="36" customHeight="1" hidden="1" spans="1:6" x14ac:dyDescent="0.25" outlineLevel="1" collapsed="1">
      <c r="A560" s="30" t="s">
        <v>32</v>
      </c>
      <c r="B560" s="17" t="s">
        <v>32</v>
      </c>
      <c r="C560" s="30" t="s">
        <v>32</v>
      </c>
      <c r="D560" s="31" t="s">
        <v>32</v>
      </c>
      <c r="E560" s="35" t="s">
        <v>608</v>
      </c>
      <c r="F560" s="17" t="s">
        <v>32</v>
      </c>
    </row>
    <row r="561" ht="22" customHeight="1" hidden="1" spans="1:6" x14ac:dyDescent="0.25" outlineLevel="1" collapsed="1">
      <c r="A561" s="34" t="s">
        <v>495</v>
      </c>
      <c r="B561" s="34"/>
      <c r="C561" s="34"/>
      <c r="D561" s="34"/>
      <c r="E561" s="34"/>
      <c r="F561" s="34"/>
    </row>
    <row r="562" ht="24" customHeight="1" hidden="1" spans="1:6" x14ac:dyDescent="0.25" outlineLevel="1" collapsed="1">
      <c r="A562" s="12" t="s">
        <v>609</v>
      </c>
      <c r="B562" s="12"/>
      <c r="C562" s="12"/>
      <c r="D562" s="12"/>
      <c r="E562" s="12"/>
      <c r="F562" s="12"/>
    </row>
    <row r="563" ht="40" customHeight="1" hidden="1" spans="1:6" x14ac:dyDescent="0.25" outlineLevel="1" collapsed="1">
      <c r="A563" s="12" t="s">
        <v>610</v>
      </c>
      <c r="B563" s="12"/>
      <c r="C563" s="12"/>
      <c r="D563" s="12"/>
      <c r="E563" s="12"/>
      <c r="F563" s="12"/>
    </row>
    <row r="564" ht="56" customHeight="1" hidden="1" spans="1:6" x14ac:dyDescent="0.25" outlineLevel="1" collapsed="1">
      <c r="A564" s="12" t="s">
        <v>611</v>
      </c>
      <c r="B564" s="12"/>
      <c r="C564" s="12"/>
      <c r="D564" s="12"/>
      <c r="E564" s="12"/>
      <c r="F564" s="12"/>
    </row>
    <row r="565" ht="24" customHeight="1" hidden="1" spans="1:6" x14ac:dyDescent="0.25" outlineLevel="1" collapsed="1">
      <c r="A565" s="12" t="s">
        <v>499</v>
      </c>
      <c r="B565" s="12"/>
      <c r="C565" s="12"/>
      <c r="D565" s="12"/>
      <c r="E565" s="12"/>
      <c r="F565" s="12"/>
    </row>
    <row r="566" ht="6" customHeight="1" hidden="1" x14ac:dyDescent="0.25" outlineLevel="1" collapsed="1"/>
    <row r="567" ht="22" customHeight="1" spans="1:6" x14ac:dyDescent="0.25">
      <c r="A567" s="25" t="s">
        <v>612</v>
      </c>
      <c r="B567" s="25"/>
      <c r="C567" s="25"/>
      <c r="D567" s="25"/>
      <c r="E567" s="25"/>
      <c r="F567" s="25"/>
    </row>
    <row r="568" ht="20" customHeight="1" hidden="1" spans="1:6" x14ac:dyDescent="0.25" outlineLevel="1" collapsed="1">
      <c r="A568" s="26" t="s">
        <v>460</v>
      </c>
      <c r="B568" s="26" t="s">
        <v>461</v>
      </c>
      <c r="C568" s="26" t="s">
        <v>462</v>
      </c>
      <c r="D568" s="26" t="s">
        <v>32</v>
      </c>
      <c r="E568" s="26" t="s">
        <v>463</v>
      </c>
      <c r="F568" s="26" t="s">
        <v>464</v>
      </c>
    </row>
    <row r="569" ht="51" customHeight="1" hidden="1" spans="1:6" x14ac:dyDescent="0.25" outlineLevel="1" collapsed="1">
      <c r="A569" s="27">
        <v>4220</v>
      </c>
      <c r="B569" s="28" t="s">
        <v>543</v>
      </c>
      <c r="C569" s="27" t="s">
        <v>466</v>
      </c>
      <c r="D569" s="29" t="s">
        <v>32</v>
      </c>
      <c r="E569" s="28" t="s">
        <v>613</v>
      </c>
      <c r="F569" s="28" t="s">
        <v>614</v>
      </c>
    </row>
    <row r="570" ht="21" customHeight="1" hidden="1" spans="1:6" x14ac:dyDescent="0.25" outlineLevel="1" collapsed="1">
      <c r="A570" s="30" t="s">
        <v>32</v>
      </c>
      <c r="B570" s="17" t="s">
        <v>32</v>
      </c>
      <c r="C570" s="30" t="s">
        <v>32</v>
      </c>
      <c r="D570" s="31" t="s">
        <v>32</v>
      </c>
      <c r="E570" s="17" t="s">
        <v>615</v>
      </c>
      <c r="F570" s="17" t="s">
        <v>32</v>
      </c>
    </row>
    <row r="571" ht="21" customHeight="1" hidden="1" spans="1:6" x14ac:dyDescent="0.25" outlineLevel="1" collapsed="1">
      <c r="A571" s="32" t="s">
        <v>32</v>
      </c>
      <c r="B571" s="12" t="s">
        <v>32</v>
      </c>
      <c r="C571" s="32" t="s">
        <v>32</v>
      </c>
      <c r="D571" s="31" t="s">
        <v>32</v>
      </c>
      <c r="E571" s="12" t="s">
        <v>616</v>
      </c>
      <c r="F571" s="12" t="s">
        <v>32</v>
      </c>
    </row>
    <row r="572" ht="51" customHeight="1" hidden="1" spans="1:6" x14ac:dyDescent="0.25" outlineLevel="1" collapsed="1">
      <c r="A572" s="27">
        <v>4240</v>
      </c>
      <c r="B572" s="28" t="s">
        <v>471</v>
      </c>
      <c r="C572" s="27" t="s">
        <v>472</v>
      </c>
      <c r="D572" s="29" t="s">
        <v>32</v>
      </c>
      <c r="E572" s="28" t="s">
        <v>473</v>
      </c>
      <c r="F572" s="28" t="s">
        <v>474</v>
      </c>
    </row>
    <row r="573" ht="21" customHeight="1" hidden="1" spans="1:6" x14ac:dyDescent="0.25" outlineLevel="1" collapsed="1">
      <c r="A573" s="30" t="s">
        <v>32</v>
      </c>
      <c r="B573" s="17" t="s">
        <v>32</v>
      </c>
      <c r="C573" s="30" t="s">
        <v>32</v>
      </c>
      <c r="D573" s="31" t="s">
        <v>32</v>
      </c>
      <c r="E573" s="17" t="s">
        <v>475</v>
      </c>
      <c r="F573" s="17" t="s">
        <v>32</v>
      </c>
    </row>
    <row r="574" ht="36" customHeight="1" hidden="1" spans="1:6" x14ac:dyDescent="0.25" outlineLevel="1" collapsed="1">
      <c r="A574" s="32" t="s">
        <v>32</v>
      </c>
      <c r="B574" s="12" t="s">
        <v>32</v>
      </c>
      <c r="C574" s="32" t="s">
        <v>32</v>
      </c>
      <c r="D574" s="31" t="s">
        <v>32</v>
      </c>
      <c r="E574" s="12" t="s">
        <v>476</v>
      </c>
      <c r="F574" s="12" t="s">
        <v>32</v>
      </c>
    </row>
    <row r="575" ht="21" customHeight="1" hidden="1" spans="1:6" x14ac:dyDescent="0.25" outlineLevel="1" collapsed="1">
      <c r="A575" s="30" t="s">
        <v>32</v>
      </c>
      <c r="B575" s="17" t="s">
        <v>32</v>
      </c>
      <c r="C575" s="30" t="s">
        <v>32</v>
      </c>
      <c r="D575" s="31" t="s">
        <v>32</v>
      </c>
      <c r="E575" s="17" t="s">
        <v>617</v>
      </c>
      <c r="F575" s="17" t="s">
        <v>32</v>
      </c>
    </row>
    <row r="576" ht="36" customHeight="1" hidden="1" spans="1:6" x14ac:dyDescent="0.25" outlineLevel="1" collapsed="1">
      <c r="A576" s="32" t="s">
        <v>32</v>
      </c>
      <c r="B576" s="12" t="s">
        <v>32</v>
      </c>
      <c r="C576" s="32" t="s">
        <v>32</v>
      </c>
      <c r="D576" s="31" t="s">
        <v>32</v>
      </c>
      <c r="E576" s="12" t="s">
        <v>478</v>
      </c>
      <c r="F576" s="12" t="s">
        <v>32</v>
      </c>
    </row>
    <row r="577" ht="21" customHeight="1" hidden="1" spans="1:6" x14ac:dyDescent="0.25" outlineLevel="1" collapsed="1">
      <c r="A577" s="30" t="s">
        <v>32</v>
      </c>
      <c r="B577" s="17" t="s">
        <v>32</v>
      </c>
      <c r="C577" s="30" t="s">
        <v>32</v>
      </c>
      <c r="D577" s="31" t="s">
        <v>32</v>
      </c>
      <c r="E577" s="17" t="s">
        <v>479</v>
      </c>
      <c r="F577" s="17" t="s">
        <v>32</v>
      </c>
    </row>
    <row r="578" ht="36" customHeight="1" hidden="1" spans="1:6" x14ac:dyDescent="0.25" outlineLevel="1" collapsed="1">
      <c r="A578" s="32" t="s">
        <v>32</v>
      </c>
      <c r="B578" s="12" t="s">
        <v>32</v>
      </c>
      <c r="C578" s="32" t="s">
        <v>32</v>
      </c>
      <c r="D578" s="31" t="s">
        <v>32</v>
      </c>
      <c r="E578" s="33" t="s">
        <v>618</v>
      </c>
      <c r="F578" s="12" t="s">
        <v>32</v>
      </c>
    </row>
    <row r="579" ht="36" customHeight="1" hidden="1" spans="1:6" x14ac:dyDescent="0.25" outlineLevel="1" collapsed="1">
      <c r="A579" s="27">
        <v>4230</v>
      </c>
      <c r="B579" s="28" t="s">
        <v>544</v>
      </c>
      <c r="C579" s="27" t="s">
        <v>472</v>
      </c>
      <c r="D579" s="29" t="s">
        <v>32</v>
      </c>
      <c r="E579" s="28" t="s">
        <v>619</v>
      </c>
      <c r="F579" s="28" t="s">
        <v>32</v>
      </c>
    </row>
    <row r="580" ht="22" customHeight="1" hidden="1" spans="1:6" x14ac:dyDescent="0.25" outlineLevel="1" collapsed="1">
      <c r="A580" s="34" t="s">
        <v>495</v>
      </c>
      <c r="B580" s="34"/>
      <c r="C580" s="34"/>
      <c r="D580" s="34"/>
      <c r="E580" s="34"/>
      <c r="F580" s="34"/>
    </row>
    <row r="581" ht="24" customHeight="1" hidden="1" spans="1:6" x14ac:dyDescent="0.25" outlineLevel="1" collapsed="1">
      <c r="A581" s="12" t="s">
        <v>620</v>
      </c>
      <c r="B581" s="12"/>
      <c r="C581" s="12"/>
      <c r="D581" s="12"/>
      <c r="E581" s="12"/>
      <c r="F581" s="12"/>
    </row>
    <row r="582" ht="40" customHeight="1" hidden="1" spans="1:6" x14ac:dyDescent="0.25" outlineLevel="1" collapsed="1">
      <c r="A582" s="12" t="s">
        <v>621</v>
      </c>
      <c r="B582" s="12"/>
      <c r="C582" s="12"/>
      <c r="D582" s="12"/>
      <c r="E582" s="12"/>
      <c r="F582" s="12"/>
    </row>
    <row r="583" ht="24" customHeight="1" hidden="1" spans="1:6" x14ac:dyDescent="0.25" outlineLevel="1" collapsed="1">
      <c r="A583" s="12" t="s">
        <v>622</v>
      </c>
      <c r="B583" s="12"/>
      <c r="C583" s="12"/>
      <c r="D583" s="12"/>
      <c r="E583" s="12"/>
      <c r="F583" s="12"/>
    </row>
    <row r="584" ht="24" customHeight="1" hidden="1" spans="1:6" x14ac:dyDescent="0.25" outlineLevel="1" collapsed="1">
      <c r="A584" s="12" t="s">
        <v>499</v>
      </c>
      <c r="B584" s="12"/>
      <c r="C584" s="12"/>
      <c r="D584" s="12"/>
      <c r="E584" s="12"/>
      <c r="F584" s="12"/>
    </row>
    <row r="585" ht="6" customHeight="1" hidden="1" x14ac:dyDescent="0.25" outlineLevel="1" collapsed="1"/>
    <row r="586" ht="22" customHeight="1" spans="1:6" x14ac:dyDescent="0.25">
      <c r="A586" s="25" t="s">
        <v>623</v>
      </c>
      <c r="B586" s="25"/>
      <c r="C586" s="25"/>
      <c r="D586" s="25"/>
      <c r="E586" s="25"/>
      <c r="F586" s="25"/>
    </row>
    <row r="587" ht="20" customHeight="1" hidden="1" spans="1:6" x14ac:dyDescent="0.25" outlineLevel="1" collapsed="1">
      <c r="A587" s="26" t="s">
        <v>460</v>
      </c>
      <c r="B587" s="26" t="s">
        <v>461</v>
      </c>
      <c r="C587" s="26" t="s">
        <v>462</v>
      </c>
      <c r="D587" s="26" t="s">
        <v>32</v>
      </c>
      <c r="E587" s="26" t="s">
        <v>463</v>
      </c>
      <c r="F587" s="26" t="s">
        <v>464</v>
      </c>
    </row>
    <row r="588" ht="36" customHeight="1" hidden="1" spans="1:6" x14ac:dyDescent="0.25" outlineLevel="1" collapsed="1">
      <c r="A588" s="27">
        <v>4220</v>
      </c>
      <c r="B588" s="28" t="s">
        <v>543</v>
      </c>
      <c r="C588" s="27" t="s">
        <v>466</v>
      </c>
      <c r="D588" s="29" t="s">
        <v>32</v>
      </c>
      <c r="E588" s="28" t="s">
        <v>518</v>
      </c>
      <c r="F588" s="28" t="s">
        <v>32</v>
      </c>
    </row>
    <row r="589" ht="21" customHeight="1" hidden="1" spans="1:6" x14ac:dyDescent="0.25" outlineLevel="1" collapsed="1">
      <c r="A589" s="27">
        <v>4240</v>
      </c>
      <c r="B589" s="28" t="s">
        <v>471</v>
      </c>
      <c r="C589" s="27" t="s">
        <v>472</v>
      </c>
      <c r="D589" s="29" t="s">
        <v>32</v>
      </c>
      <c r="E589" s="28" t="s">
        <v>506</v>
      </c>
      <c r="F589" s="28" t="s">
        <v>32</v>
      </c>
    </row>
    <row r="590" ht="36" customHeight="1" hidden="1" spans="1:6" x14ac:dyDescent="0.25" outlineLevel="1" collapsed="1">
      <c r="A590" s="27">
        <v>4230</v>
      </c>
      <c r="B590" s="28" t="s">
        <v>544</v>
      </c>
      <c r="C590" s="27" t="s">
        <v>472</v>
      </c>
      <c r="D590" s="29" t="s">
        <v>32</v>
      </c>
      <c r="E590" s="28" t="s">
        <v>518</v>
      </c>
      <c r="F590" s="28" t="s">
        <v>32</v>
      </c>
    </row>
    <row r="591" ht="22" customHeight="1" hidden="1" spans="1:6" x14ac:dyDescent="0.25" outlineLevel="1" collapsed="1">
      <c r="A591" s="34" t="s">
        <v>495</v>
      </c>
      <c r="B591" s="34"/>
      <c r="C591" s="34"/>
      <c r="D591" s="34"/>
      <c r="E591" s="34"/>
      <c r="F591" s="34"/>
    </row>
    <row r="592" ht="24" customHeight="1" hidden="1" spans="1:6" x14ac:dyDescent="0.25" outlineLevel="1" collapsed="1">
      <c r="A592" s="12" t="s">
        <v>596</v>
      </c>
      <c r="B592" s="12"/>
      <c r="C592" s="12"/>
      <c r="D592" s="12"/>
      <c r="E592" s="12"/>
      <c r="F592" s="12"/>
    </row>
    <row r="593" ht="24" customHeight="1" hidden="1" spans="1:6" x14ac:dyDescent="0.25" outlineLevel="1" collapsed="1">
      <c r="A593" s="12" t="s">
        <v>597</v>
      </c>
      <c r="B593" s="12"/>
      <c r="C593" s="12"/>
      <c r="D593" s="12"/>
      <c r="E593" s="12"/>
      <c r="F593" s="12"/>
    </row>
    <row r="594" ht="24" customHeight="1" hidden="1" spans="1:6" x14ac:dyDescent="0.25" outlineLevel="1" collapsed="1">
      <c r="A594" s="12" t="s">
        <v>519</v>
      </c>
      <c r="B594" s="12"/>
      <c r="C594" s="12"/>
      <c r="D594" s="12"/>
      <c r="E594" s="12"/>
      <c r="F594" s="12"/>
    </row>
    <row r="595" ht="24" customHeight="1" hidden="1" spans="1:6" x14ac:dyDescent="0.25" outlineLevel="1" collapsed="1">
      <c r="A595" s="12" t="s">
        <v>499</v>
      </c>
      <c r="B595" s="12"/>
      <c r="C595" s="12"/>
      <c r="D595" s="12"/>
      <c r="E595" s="12"/>
      <c r="F595" s="12"/>
    </row>
    <row r="596" ht="6" customHeight="1" hidden="1" x14ac:dyDescent="0.25" outlineLevel="1" collapsed="1"/>
    <row r="597" ht="22" customHeight="1" spans="1:6" x14ac:dyDescent="0.25">
      <c r="A597" s="25" t="s">
        <v>624</v>
      </c>
      <c r="B597" s="25"/>
      <c r="C597" s="25"/>
      <c r="D597" s="25"/>
      <c r="E597" s="25"/>
      <c r="F597" s="25"/>
    </row>
    <row r="598" ht="20" customHeight="1" hidden="1" spans="1:6" x14ac:dyDescent="0.25" outlineLevel="1" collapsed="1">
      <c r="A598" s="26" t="s">
        <v>460</v>
      </c>
      <c r="B598" s="26" t="s">
        <v>461</v>
      </c>
      <c r="C598" s="26" t="s">
        <v>462</v>
      </c>
      <c r="D598" s="26" t="s">
        <v>32</v>
      </c>
      <c r="E598" s="26" t="s">
        <v>463</v>
      </c>
      <c r="F598" s="26" t="s">
        <v>464</v>
      </c>
    </row>
    <row r="599" ht="36" customHeight="1" hidden="1" spans="1:6" x14ac:dyDescent="0.25" outlineLevel="1" collapsed="1">
      <c r="A599" s="27">
        <v>4220</v>
      </c>
      <c r="B599" s="28" t="s">
        <v>543</v>
      </c>
      <c r="C599" s="27" t="s">
        <v>466</v>
      </c>
      <c r="D599" s="29" t="s">
        <v>32</v>
      </c>
      <c r="E599" s="36" t="s">
        <v>625</v>
      </c>
      <c r="F599" s="28" t="s">
        <v>32</v>
      </c>
    </row>
    <row r="600" ht="36" customHeight="1" hidden="1" spans="1:6" x14ac:dyDescent="0.25" outlineLevel="1" collapsed="1">
      <c r="A600" s="27">
        <v>4240</v>
      </c>
      <c r="B600" s="28" t="s">
        <v>471</v>
      </c>
      <c r="C600" s="27" t="s">
        <v>472</v>
      </c>
      <c r="D600" s="29" t="s">
        <v>32</v>
      </c>
      <c r="E600" s="36" t="s">
        <v>625</v>
      </c>
      <c r="F600" s="28" t="s">
        <v>32</v>
      </c>
    </row>
    <row r="601" ht="36" customHeight="1" hidden="1" spans="1:6" x14ac:dyDescent="0.25" outlineLevel="1" collapsed="1">
      <c r="A601" s="27">
        <v>4230</v>
      </c>
      <c r="B601" s="28" t="s">
        <v>544</v>
      </c>
      <c r="C601" s="27" t="s">
        <v>472</v>
      </c>
      <c r="D601" s="29" t="s">
        <v>32</v>
      </c>
      <c r="E601" s="36" t="s">
        <v>625</v>
      </c>
      <c r="F601" s="28" t="s">
        <v>32</v>
      </c>
    </row>
    <row r="602" ht="22" customHeight="1" hidden="1" spans="1:6" x14ac:dyDescent="0.25" outlineLevel="1" collapsed="1">
      <c r="A602" s="34" t="s">
        <v>495</v>
      </c>
      <c r="B602" s="34"/>
      <c r="C602" s="34"/>
      <c r="D602" s="34"/>
      <c r="E602" s="34"/>
      <c r="F602" s="34"/>
    </row>
    <row r="603" ht="24" customHeight="1" hidden="1" spans="1:6" x14ac:dyDescent="0.25" outlineLevel="1" collapsed="1">
      <c r="A603" s="12" t="s">
        <v>626</v>
      </c>
      <c r="B603" s="12"/>
      <c r="C603" s="12"/>
      <c r="D603" s="12"/>
      <c r="E603" s="12"/>
      <c r="F603" s="12"/>
    </row>
    <row r="604" ht="24" customHeight="1" hidden="1" spans="1:6" x14ac:dyDescent="0.25" outlineLevel="1" collapsed="1">
      <c r="A604" s="12" t="s">
        <v>627</v>
      </c>
      <c r="B604" s="12"/>
      <c r="C604" s="12"/>
      <c r="D604" s="12"/>
      <c r="E604" s="12"/>
      <c r="F604" s="12"/>
    </row>
    <row r="605" ht="24" customHeight="1" hidden="1" spans="1:6" x14ac:dyDescent="0.25" outlineLevel="1" collapsed="1">
      <c r="A605" s="12" t="s">
        <v>628</v>
      </c>
      <c r="B605" s="12"/>
      <c r="C605" s="12"/>
      <c r="D605" s="12"/>
      <c r="E605" s="12"/>
      <c r="F605" s="12"/>
    </row>
    <row r="606" ht="24" customHeight="1" hidden="1" spans="1:6" x14ac:dyDescent="0.25" outlineLevel="1" collapsed="1">
      <c r="A606" s="12" t="s">
        <v>499</v>
      </c>
      <c r="B606" s="12"/>
      <c r="C606" s="12"/>
      <c r="D606" s="12"/>
      <c r="E606" s="12"/>
      <c r="F606" s="12"/>
    </row>
    <row r="607" ht="6" customHeight="1" hidden="1" x14ac:dyDescent="0.25" outlineLevel="1" collapsed="1"/>
    <row r="608" ht="22" customHeight="1" spans="1:6" x14ac:dyDescent="0.25">
      <c r="A608" s="25" t="s">
        <v>629</v>
      </c>
      <c r="B608" s="25"/>
      <c r="C608" s="25"/>
      <c r="D608" s="25"/>
      <c r="E608" s="25"/>
      <c r="F608" s="25"/>
    </row>
    <row r="609" ht="20" customHeight="1" hidden="1" spans="1:6" x14ac:dyDescent="0.25" outlineLevel="1" collapsed="1">
      <c r="A609" s="26" t="s">
        <v>460</v>
      </c>
      <c r="B609" s="26" t="s">
        <v>461</v>
      </c>
      <c r="C609" s="26" t="s">
        <v>462</v>
      </c>
      <c r="D609" s="26" t="s">
        <v>32</v>
      </c>
      <c r="E609" s="26" t="s">
        <v>463</v>
      </c>
      <c r="F609" s="26" t="s">
        <v>464</v>
      </c>
    </row>
    <row r="610" ht="36" customHeight="1" hidden="1" spans="1:6" x14ac:dyDescent="0.25" outlineLevel="1" collapsed="1">
      <c r="A610" s="27">
        <v>4220</v>
      </c>
      <c r="B610" s="28" t="s">
        <v>543</v>
      </c>
      <c r="C610" s="27" t="s">
        <v>466</v>
      </c>
      <c r="D610" s="29" t="s">
        <v>32</v>
      </c>
      <c r="E610" s="36" t="s">
        <v>625</v>
      </c>
      <c r="F610" s="28" t="s">
        <v>32</v>
      </c>
    </row>
    <row r="611" ht="36" customHeight="1" hidden="1" spans="1:6" x14ac:dyDescent="0.25" outlineLevel="1" collapsed="1">
      <c r="A611" s="27">
        <v>4240</v>
      </c>
      <c r="B611" s="28" t="s">
        <v>471</v>
      </c>
      <c r="C611" s="27" t="s">
        <v>472</v>
      </c>
      <c r="D611" s="29" t="s">
        <v>32</v>
      </c>
      <c r="E611" s="36" t="s">
        <v>625</v>
      </c>
      <c r="F611" s="28" t="s">
        <v>32</v>
      </c>
    </row>
    <row r="612" ht="36" customHeight="1" hidden="1" spans="1:6" x14ac:dyDescent="0.25" outlineLevel="1" collapsed="1">
      <c r="A612" s="27">
        <v>4230</v>
      </c>
      <c r="B612" s="28" t="s">
        <v>544</v>
      </c>
      <c r="C612" s="27" t="s">
        <v>472</v>
      </c>
      <c r="D612" s="29" t="s">
        <v>32</v>
      </c>
      <c r="E612" s="36" t="s">
        <v>625</v>
      </c>
      <c r="F612" s="28" t="s">
        <v>32</v>
      </c>
    </row>
    <row r="613" ht="22" customHeight="1" hidden="1" spans="1:6" x14ac:dyDescent="0.25" outlineLevel="1" collapsed="1">
      <c r="A613" s="34" t="s">
        <v>495</v>
      </c>
      <c r="B613" s="34"/>
      <c r="C613" s="34"/>
      <c r="D613" s="34"/>
      <c r="E613" s="34"/>
      <c r="F613" s="34"/>
    </row>
    <row r="614" ht="24" customHeight="1" hidden="1" spans="1:6" x14ac:dyDescent="0.25" outlineLevel="1" collapsed="1">
      <c r="A614" s="12" t="s">
        <v>626</v>
      </c>
      <c r="B614" s="12"/>
      <c r="C614" s="12"/>
      <c r="D614" s="12"/>
      <c r="E614" s="12"/>
      <c r="F614" s="12"/>
    </row>
    <row r="615" ht="24" customHeight="1" hidden="1" spans="1:6" x14ac:dyDescent="0.25" outlineLevel="1" collapsed="1">
      <c r="A615" s="12" t="s">
        <v>627</v>
      </c>
      <c r="B615" s="12"/>
      <c r="C615" s="12"/>
      <c r="D615" s="12"/>
      <c r="E615" s="12"/>
      <c r="F615" s="12"/>
    </row>
    <row r="616" ht="24" customHeight="1" hidden="1" spans="1:6" x14ac:dyDescent="0.25" outlineLevel="1" collapsed="1">
      <c r="A616" s="12" t="s">
        <v>628</v>
      </c>
      <c r="B616" s="12"/>
      <c r="C616" s="12"/>
      <c r="D616" s="12"/>
      <c r="E616" s="12"/>
      <c r="F616" s="12"/>
    </row>
    <row r="617" ht="24" customHeight="1" hidden="1" spans="1:6" x14ac:dyDescent="0.25" outlineLevel="1" collapsed="1">
      <c r="A617" s="12" t="s">
        <v>499</v>
      </c>
      <c r="B617" s="12"/>
      <c r="C617" s="12"/>
      <c r="D617" s="12"/>
      <c r="E617" s="12"/>
      <c r="F617" s="12"/>
    </row>
    <row r="618" ht="6" customHeight="1" hidden="1" x14ac:dyDescent="0.25" outlineLevel="1" collapsed="1"/>
    <row r="619" ht="22" customHeight="1" spans="1:6" x14ac:dyDescent="0.25">
      <c r="A619" s="25" t="s">
        <v>630</v>
      </c>
      <c r="B619" s="25"/>
      <c r="C619" s="25"/>
      <c r="D619" s="25"/>
      <c r="E619" s="25"/>
      <c r="F619" s="25"/>
    </row>
    <row r="620" ht="20" customHeight="1" hidden="1" spans="1:6" x14ac:dyDescent="0.25" outlineLevel="1" collapsed="1">
      <c r="A620" s="26" t="s">
        <v>460</v>
      </c>
      <c r="B620" s="26" t="s">
        <v>461</v>
      </c>
      <c r="C620" s="26" t="s">
        <v>462</v>
      </c>
      <c r="D620" s="26" t="s">
        <v>32</v>
      </c>
      <c r="E620" s="26" t="s">
        <v>463</v>
      </c>
      <c r="F620" s="26" t="s">
        <v>464</v>
      </c>
    </row>
    <row r="621" ht="36" customHeight="1" hidden="1" spans="1:6" x14ac:dyDescent="0.25" outlineLevel="1" collapsed="1">
      <c r="A621" s="27">
        <v>4220</v>
      </c>
      <c r="B621" s="28" t="s">
        <v>543</v>
      </c>
      <c r="C621" s="27" t="s">
        <v>466</v>
      </c>
      <c r="D621" s="29" t="s">
        <v>32</v>
      </c>
      <c r="E621" s="36" t="s">
        <v>625</v>
      </c>
      <c r="F621" s="28" t="s">
        <v>32</v>
      </c>
    </row>
    <row r="622" ht="36" customHeight="1" hidden="1" spans="1:6" x14ac:dyDescent="0.25" outlineLevel="1" collapsed="1">
      <c r="A622" s="27">
        <v>4240</v>
      </c>
      <c r="B622" s="28" t="s">
        <v>471</v>
      </c>
      <c r="C622" s="27" t="s">
        <v>472</v>
      </c>
      <c r="D622" s="29" t="s">
        <v>32</v>
      </c>
      <c r="E622" s="36" t="s">
        <v>625</v>
      </c>
      <c r="F622" s="28" t="s">
        <v>32</v>
      </c>
    </row>
    <row r="623" ht="36" customHeight="1" hidden="1" spans="1:6" x14ac:dyDescent="0.25" outlineLevel="1" collapsed="1">
      <c r="A623" s="27">
        <v>4230</v>
      </c>
      <c r="B623" s="28" t="s">
        <v>544</v>
      </c>
      <c r="C623" s="27" t="s">
        <v>472</v>
      </c>
      <c r="D623" s="29" t="s">
        <v>32</v>
      </c>
      <c r="E623" s="36" t="s">
        <v>625</v>
      </c>
      <c r="F623" s="28" t="s">
        <v>32</v>
      </c>
    </row>
    <row r="624" ht="22" customHeight="1" hidden="1" spans="1:6" x14ac:dyDescent="0.25" outlineLevel="1" collapsed="1">
      <c r="A624" s="34" t="s">
        <v>495</v>
      </c>
      <c r="B624" s="34"/>
      <c r="C624" s="34"/>
      <c r="D624" s="34"/>
      <c r="E624" s="34"/>
      <c r="F624" s="34"/>
    </row>
    <row r="625" ht="24" customHeight="1" hidden="1" spans="1:6" x14ac:dyDescent="0.25" outlineLevel="1" collapsed="1">
      <c r="A625" s="12" t="s">
        <v>626</v>
      </c>
      <c r="B625" s="12"/>
      <c r="C625" s="12"/>
      <c r="D625" s="12"/>
      <c r="E625" s="12"/>
      <c r="F625" s="12"/>
    </row>
    <row r="626" ht="24" customHeight="1" hidden="1" spans="1:6" x14ac:dyDescent="0.25" outlineLevel="1" collapsed="1">
      <c r="A626" s="12" t="s">
        <v>627</v>
      </c>
      <c r="B626" s="12"/>
      <c r="C626" s="12"/>
      <c r="D626" s="12"/>
      <c r="E626" s="12"/>
      <c r="F626" s="12"/>
    </row>
    <row r="627" ht="24" customHeight="1" hidden="1" spans="1:6" x14ac:dyDescent="0.25" outlineLevel="1" collapsed="1">
      <c r="A627" s="12" t="s">
        <v>628</v>
      </c>
      <c r="B627" s="12"/>
      <c r="C627" s="12"/>
      <c r="D627" s="12"/>
      <c r="E627" s="12"/>
      <c r="F627" s="12"/>
    </row>
    <row r="628" ht="24" customHeight="1" hidden="1" spans="1:6" x14ac:dyDescent="0.25" outlineLevel="1" collapsed="1">
      <c r="A628" s="12" t="s">
        <v>499</v>
      </c>
      <c r="B628" s="12"/>
      <c r="C628" s="12"/>
      <c r="D628" s="12"/>
      <c r="E628" s="12"/>
      <c r="F628" s="12"/>
    </row>
    <row r="629" ht="6" customHeight="1" hidden="1" x14ac:dyDescent="0.25" outlineLevel="1" collapsed="1"/>
    <row r="630" ht="12" customHeight="1" x14ac:dyDescent="0.25"/>
    <row r="631" ht="24" customHeight="1" spans="1:6" x14ac:dyDescent="0.25">
      <c r="A631" s="24" t="s">
        <v>631</v>
      </c>
      <c r="B631" s="24"/>
      <c r="C631" s="24"/>
      <c r="D631" s="24"/>
      <c r="E631" s="24"/>
      <c r="F631" s="24"/>
    </row>
    <row r="632" ht="22" customHeight="1" spans="1:6" x14ac:dyDescent="0.25">
      <c r="A632" s="25" t="s">
        <v>459</v>
      </c>
      <c r="B632" s="25"/>
      <c r="C632" s="25"/>
      <c r="D632" s="25"/>
      <c r="E632" s="25"/>
      <c r="F632" s="25"/>
    </row>
    <row r="633" ht="20" customHeight="1" hidden="1" spans="1:6" x14ac:dyDescent="0.25" outlineLevel="1" collapsed="1">
      <c r="A633" s="26" t="s">
        <v>460</v>
      </c>
      <c r="B633" s="26" t="s">
        <v>461</v>
      </c>
      <c r="C633" s="26" t="s">
        <v>462</v>
      </c>
      <c r="D633" s="26" t="s">
        <v>32</v>
      </c>
      <c r="E633" s="26" t="s">
        <v>463</v>
      </c>
      <c r="F633" s="26" t="s">
        <v>464</v>
      </c>
    </row>
    <row r="634" ht="51" customHeight="1" hidden="1" spans="1:6" x14ac:dyDescent="0.25" outlineLevel="1" collapsed="1">
      <c r="A634" s="27">
        <v>4220</v>
      </c>
      <c r="B634" s="28" t="s">
        <v>465</v>
      </c>
      <c r="C634" s="27" t="s">
        <v>466</v>
      </c>
      <c r="D634" s="29" t="s">
        <v>32</v>
      </c>
      <c r="E634" s="28" t="s">
        <v>467</v>
      </c>
      <c r="F634" s="28" t="s">
        <v>468</v>
      </c>
    </row>
    <row r="635" ht="36" customHeight="1" hidden="1" spans="1:6" x14ac:dyDescent="0.25" outlineLevel="1" collapsed="1">
      <c r="A635" s="30" t="s">
        <v>32</v>
      </c>
      <c r="B635" s="17" t="s">
        <v>32</v>
      </c>
      <c r="C635" s="30" t="s">
        <v>32</v>
      </c>
      <c r="D635" s="31" t="s">
        <v>32</v>
      </c>
      <c r="E635" s="17" t="s">
        <v>469</v>
      </c>
      <c r="F635" s="17" t="s">
        <v>32</v>
      </c>
    </row>
    <row r="636" ht="21" customHeight="1" hidden="1" spans="1:6" x14ac:dyDescent="0.25" outlineLevel="1" collapsed="1">
      <c r="A636" s="32" t="s">
        <v>32</v>
      </c>
      <c r="B636" s="12" t="s">
        <v>32</v>
      </c>
      <c r="C636" s="32" t="s">
        <v>32</v>
      </c>
      <c r="D636" s="31" t="s">
        <v>32</v>
      </c>
      <c r="E636" s="33" t="s">
        <v>632</v>
      </c>
      <c r="F636" s="12" t="s">
        <v>32</v>
      </c>
    </row>
    <row r="637" ht="51" customHeight="1" hidden="1" spans="1:6" x14ac:dyDescent="0.25" outlineLevel="1" collapsed="1">
      <c r="A637" s="27">
        <v>4240</v>
      </c>
      <c r="B637" s="28" t="s">
        <v>471</v>
      </c>
      <c r="C637" s="27" t="s">
        <v>472</v>
      </c>
      <c r="D637" s="29" t="s">
        <v>32</v>
      </c>
      <c r="E637" s="28" t="s">
        <v>473</v>
      </c>
      <c r="F637" s="28" t="s">
        <v>474</v>
      </c>
    </row>
    <row r="638" ht="21" customHeight="1" hidden="1" spans="1:6" x14ac:dyDescent="0.25" outlineLevel="1" collapsed="1">
      <c r="A638" s="30" t="s">
        <v>32</v>
      </c>
      <c r="B638" s="17" t="s">
        <v>32</v>
      </c>
      <c r="C638" s="30" t="s">
        <v>32</v>
      </c>
      <c r="D638" s="31" t="s">
        <v>32</v>
      </c>
      <c r="E638" s="17" t="s">
        <v>475</v>
      </c>
      <c r="F638" s="17" t="s">
        <v>32</v>
      </c>
    </row>
    <row r="639" ht="36" customHeight="1" hidden="1" spans="1:6" x14ac:dyDescent="0.25" outlineLevel="1" collapsed="1">
      <c r="A639" s="32" t="s">
        <v>32</v>
      </c>
      <c r="B639" s="12" t="s">
        <v>32</v>
      </c>
      <c r="C639" s="32" t="s">
        <v>32</v>
      </c>
      <c r="D639" s="31" t="s">
        <v>32</v>
      </c>
      <c r="E639" s="12" t="s">
        <v>476</v>
      </c>
      <c r="F639" s="12" t="s">
        <v>32</v>
      </c>
    </row>
    <row r="640" ht="36" customHeight="1" hidden="1" spans="1:6" x14ac:dyDescent="0.25" outlineLevel="1" collapsed="1">
      <c r="A640" s="30" t="s">
        <v>32</v>
      </c>
      <c r="B640" s="17" t="s">
        <v>32</v>
      </c>
      <c r="C640" s="30" t="s">
        <v>32</v>
      </c>
      <c r="D640" s="31" t="s">
        <v>32</v>
      </c>
      <c r="E640" s="17" t="s">
        <v>477</v>
      </c>
      <c r="F640" s="17" t="s">
        <v>32</v>
      </c>
    </row>
    <row r="641" ht="36" customHeight="1" hidden="1" spans="1:6" x14ac:dyDescent="0.25" outlineLevel="1" collapsed="1">
      <c r="A641" s="32" t="s">
        <v>32</v>
      </c>
      <c r="B641" s="12" t="s">
        <v>32</v>
      </c>
      <c r="C641" s="32" t="s">
        <v>32</v>
      </c>
      <c r="D641" s="31" t="s">
        <v>32</v>
      </c>
      <c r="E641" s="12" t="s">
        <v>478</v>
      </c>
      <c r="F641" s="12" t="s">
        <v>32</v>
      </c>
    </row>
    <row r="642" ht="21" customHeight="1" hidden="1" spans="1:6" x14ac:dyDescent="0.25" outlineLevel="1" collapsed="1">
      <c r="A642" s="30" t="s">
        <v>32</v>
      </c>
      <c r="B642" s="17" t="s">
        <v>32</v>
      </c>
      <c r="C642" s="30" t="s">
        <v>32</v>
      </c>
      <c r="D642" s="31" t="s">
        <v>32</v>
      </c>
      <c r="E642" s="17" t="s">
        <v>479</v>
      </c>
      <c r="F642" s="17" t="s">
        <v>32</v>
      </c>
    </row>
    <row r="643" ht="21" customHeight="1" hidden="1" spans="1:6" x14ac:dyDescent="0.25" outlineLevel="1" collapsed="1">
      <c r="A643" s="32" t="s">
        <v>32</v>
      </c>
      <c r="B643" s="12" t="s">
        <v>32</v>
      </c>
      <c r="C643" s="32" t="s">
        <v>32</v>
      </c>
      <c r="D643" s="31" t="s">
        <v>32</v>
      </c>
      <c r="E643" s="33" t="s">
        <v>632</v>
      </c>
      <c r="F643" s="12" t="s">
        <v>32</v>
      </c>
    </row>
    <row r="644" ht="51" customHeight="1" hidden="1" spans="1:6" x14ac:dyDescent="0.25" outlineLevel="1" collapsed="1">
      <c r="A644" s="27">
        <v>4230</v>
      </c>
      <c r="B644" s="28" t="s">
        <v>480</v>
      </c>
      <c r="C644" s="27" t="s">
        <v>472</v>
      </c>
      <c r="D644" s="29" t="s">
        <v>32</v>
      </c>
      <c r="E644" s="28" t="s">
        <v>481</v>
      </c>
      <c r="F644" s="28" t="s">
        <v>482</v>
      </c>
    </row>
    <row r="645" ht="21" customHeight="1" hidden="1" spans="1:6" x14ac:dyDescent="0.25" outlineLevel="1" collapsed="1">
      <c r="A645" s="30" t="s">
        <v>32</v>
      </c>
      <c r="B645" s="17" t="s">
        <v>32</v>
      </c>
      <c r="C645" s="30" t="s">
        <v>32</v>
      </c>
      <c r="D645" s="31" t="s">
        <v>32</v>
      </c>
      <c r="E645" s="17" t="s">
        <v>483</v>
      </c>
      <c r="F645" s="17" t="s">
        <v>32</v>
      </c>
    </row>
    <row r="646" ht="36" customHeight="1" hidden="1" spans="1:6" x14ac:dyDescent="0.25" outlineLevel="1" collapsed="1">
      <c r="A646" s="32" t="s">
        <v>32</v>
      </c>
      <c r="B646" s="12" t="s">
        <v>32</v>
      </c>
      <c r="C646" s="32" t="s">
        <v>32</v>
      </c>
      <c r="D646" s="31" t="s">
        <v>32</v>
      </c>
      <c r="E646" s="12" t="s">
        <v>484</v>
      </c>
      <c r="F646" s="12" t="s">
        <v>32</v>
      </c>
    </row>
    <row r="647" ht="36" customHeight="1" hidden="1" spans="1:6" x14ac:dyDescent="0.25" outlineLevel="1" collapsed="1">
      <c r="A647" s="30" t="s">
        <v>32</v>
      </c>
      <c r="B647" s="17" t="s">
        <v>32</v>
      </c>
      <c r="C647" s="30" t="s">
        <v>32</v>
      </c>
      <c r="D647" s="31" t="s">
        <v>32</v>
      </c>
      <c r="E647" s="17" t="s">
        <v>485</v>
      </c>
      <c r="F647" s="17" t="s">
        <v>32</v>
      </c>
    </row>
    <row r="648" ht="21" customHeight="1" hidden="1" spans="1:6" x14ac:dyDescent="0.25" outlineLevel="1" collapsed="1">
      <c r="A648" s="32" t="s">
        <v>32</v>
      </c>
      <c r="B648" s="12" t="s">
        <v>32</v>
      </c>
      <c r="C648" s="32" t="s">
        <v>32</v>
      </c>
      <c r="D648" s="31" t="s">
        <v>32</v>
      </c>
      <c r="E648" s="12" t="s">
        <v>486</v>
      </c>
      <c r="F648" s="12" t="s">
        <v>32</v>
      </c>
    </row>
    <row r="649" ht="21" customHeight="1" hidden="1" spans="1:6" x14ac:dyDescent="0.25" outlineLevel="1" collapsed="1">
      <c r="A649" s="30" t="s">
        <v>32</v>
      </c>
      <c r="B649" s="17" t="s">
        <v>32</v>
      </c>
      <c r="C649" s="30" t="s">
        <v>32</v>
      </c>
      <c r="D649" s="31" t="s">
        <v>32</v>
      </c>
      <c r="E649" s="17" t="s">
        <v>487</v>
      </c>
      <c r="F649" s="17" t="s">
        <v>32</v>
      </c>
    </row>
    <row r="650" ht="21" customHeight="1" hidden="1" spans="1:6" x14ac:dyDescent="0.25" outlineLevel="1" collapsed="1">
      <c r="A650" s="32" t="s">
        <v>32</v>
      </c>
      <c r="B650" s="12" t="s">
        <v>32</v>
      </c>
      <c r="C650" s="32" t="s">
        <v>32</v>
      </c>
      <c r="D650" s="31" t="s">
        <v>32</v>
      </c>
      <c r="E650" s="12" t="s">
        <v>488</v>
      </c>
      <c r="F650" s="12" t="s">
        <v>32</v>
      </c>
    </row>
    <row r="651" ht="21" customHeight="1" hidden="1" spans="1:6" x14ac:dyDescent="0.25" outlineLevel="1" collapsed="1">
      <c r="A651" s="30" t="s">
        <v>32</v>
      </c>
      <c r="B651" s="17" t="s">
        <v>32</v>
      </c>
      <c r="C651" s="30" t="s">
        <v>32</v>
      </c>
      <c r="D651" s="31" t="s">
        <v>32</v>
      </c>
      <c r="E651" s="17" t="s">
        <v>489</v>
      </c>
      <c r="F651" s="17" t="s">
        <v>32</v>
      </c>
    </row>
    <row r="652" ht="21" customHeight="1" hidden="1" spans="1:6" x14ac:dyDescent="0.25" outlineLevel="1" collapsed="1">
      <c r="A652" s="32" t="s">
        <v>32</v>
      </c>
      <c r="B652" s="12" t="s">
        <v>32</v>
      </c>
      <c r="C652" s="32" t="s">
        <v>32</v>
      </c>
      <c r="D652" s="31" t="s">
        <v>32</v>
      </c>
      <c r="E652" s="12" t="s">
        <v>490</v>
      </c>
      <c r="F652" s="12" t="s">
        <v>32</v>
      </c>
    </row>
    <row r="653" ht="21" customHeight="1" hidden="1" spans="1:6" x14ac:dyDescent="0.25" outlineLevel="1" collapsed="1">
      <c r="A653" s="30" t="s">
        <v>32</v>
      </c>
      <c r="B653" s="17" t="s">
        <v>32</v>
      </c>
      <c r="C653" s="30" t="s">
        <v>32</v>
      </c>
      <c r="D653" s="31" t="s">
        <v>32</v>
      </c>
      <c r="E653" s="17" t="s">
        <v>491</v>
      </c>
      <c r="F653" s="17" t="s">
        <v>32</v>
      </c>
    </row>
    <row r="654" ht="21" customHeight="1" hidden="1" spans="1:6" x14ac:dyDescent="0.25" outlineLevel="1" collapsed="1">
      <c r="A654" s="32" t="s">
        <v>32</v>
      </c>
      <c r="B654" s="12" t="s">
        <v>32</v>
      </c>
      <c r="C654" s="32" t="s">
        <v>32</v>
      </c>
      <c r="D654" s="31" t="s">
        <v>32</v>
      </c>
      <c r="E654" s="12" t="s">
        <v>492</v>
      </c>
      <c r="F654" s="12" t="s">
        <v>32</v>
      </c>
    </row>
    <row r="655" ht="21" customHeight="1" hidden="1" spans="1:6" x14ac:dyDescent="0.25" outlineLevel="1" collapsed="1">
      <c r="A655" s="30" t="s">
        <v>32</v>
      </c>
      <c r="B655" s="17" t="s">
        <v>32</v>
      </c>
      <c r="C655" s="30" t="s">
        <v>32</v>
      </c>
      <c r="D655" s="31" t="s">
        <v>32</v>
      </c>
      <c r="E655" s="17" t="s">
        <v>493</v>
      </c>
      <c r="F655" s="17" t="s">
        <v>32</v>
      </c>
    </row>
    <row r="656" ht="21" customHeight="1" hidden="1" spans="1:6" x14ac:dyDescent="0.25" outlineLevel="1" collapsed="1">
      <c r="A656" s="32" t="s">
        <v>32</v>
      </c>
      <c r="B656" s="12" t="s">
        <v>32</v>
      </c>
      <c r="C656" s="32" t="s">
        <v>32</v>
      </c>
      <c r="D656" s="31" t="s">
        <v>32</v>
      </c>
      <c r="E656" s="33" t="s">
        <v>633</v>
      </c>
      <c r="F656" s="12" t="s">
        <v>32</v>
      </c>
    </row>
    <row r="657" ht="22" customHeight="1" hidden="1" spans="1:6" x14ac:dyDescent="0.25" outlineLevel="1" collapsed="1">
      <c r="A657" s="34" t="s">
        <v>495</v>
      </c>
      <c r="B657" s="34"/>
      <c r="C657" s="34"/>
      <c r="D657" s="34"/>
      <c r="E657" s="34"/>
      <c r="F657" s="34"/>
    </row>
    <row r="658" ht="24" customHeight="1" hidden="1" spans="1:6" x14ac:dyDescent="0.25" outlineLevel="1" collapsed="1">
      <c r="A658" s="12" t="s">
        <v>634</v>
      </c>
      <c r="B658" s="12"/>
      <c r="C658" s="12"/>
      <c r="D658" s="12"/>
      <c r="E658" s="12"/>
      <c r="F658" s="12"/>
    </row>
    <row r="659" ht="40" customHeight="1" hidden="1" spans="1:6" x14ac:dyDescent="0.25" outlineLevel="1" collapsed="1">
      <c r="A659" s="12" t="s">
        <v>635</v>
      </c>
      <c r="B659" s="12"/>
      <c r="C659" s="12"/>
      <c r="D659" s="12"/>
      <c r="E659" s="12"/>
      <c r="F659" s="12"/>
    </row>
    <row r="660" ht="56" customHeight="1" hidden="1" spans="1:6" x14ac:dyDescent="0.25" outlineLevel="1" collapsed="1">
      <c r="A660" s="12" t="s">
        <v>636</v>
      </c>
      <c r="B660" s="12"/>
      <c r="C660" s="12"/>
      <c r="D660" s="12"/>
      <c r="E660" s="12"/>
      <c r="F660" s="12"/>
    </row>
    <row r="661" ht="24" customHeight="1" hidden="1" spans="1:6" x14ac:dyDescent="0.25" outlineLevel="1" collapsed="1">
      <c r="A661" s="12" t="s">
        <v>499</v>
      </c>
      <c r="B661" s="12"/>
      <c r="C661" s="12"/>
      <c r="D661" s="12"/>
      <c r="E661" s="12"/>
      <c r="F661" s="12"/>
    </row>
    <row r="662" ht="6" customHeight="1" hidden="1" x14ac:dyDescent="0.25" outlineLevel="1" collapsed="1"/>
    <row r="663" ht="22" customHeight="1" spans="1:6" x14ac:dyDescent="0.25">
      <c r="A663" s="25" t="s">
        <v>500</v>
      </c>
      <c r="B663" s="25"/>
      <c r="C663" s="25"/>
      <c r="D663" s="25"/>
      <c r="E663" s="25"/>
      <c r="F663" s="25"/>
    </row>
    <row r="664" ht="20" customHeight="1" hidden="1" spans="1:6" x14ac:dyDescent="0.25" outlineLevel="1" collapsed="1">
      <c r="A664" s="26" t="s">
        <v>460</v>
      </c>
      <c r="B664" s="26" t="s">
        <v>461</v>
      </c>
      <c r="C664" s="26" t="s">
        <v>462</v>
      </c>
      <c r="D664" s="26" t="s">
        <v>32</v>
      </c>
      <c r="E664" s="26" t="s">
        <v>463</v>
      </c>
      <c r="F664" s="26" t="s">
        <v>464</v>
      </c>
    </row>
    <row r="665" ht="51" customHeight="1" hidden="1" spans="1:6" x14ac:dyDescent="0.25" outlineLevel="1" collapsed="1">
      <c r="A665" s="27">
        <v>4220</v>
      </c>
      <c r="B665" s="28" t="s">
        <v>501</v>
      </c>
      <c r="C665" s="27" t="s">
        <v>466</v>
      </c>
      <c r="D665" s="29" t="s">
        <v>32</v>
      </c>
      <c r="E665" s="28" t="s">
        <v>637</v>
      </c>
      <c r="F665" s="28" t="s">
        <v>503</v>
      </c>
    </row>
    <row r="666" ht="36" customHeight="1" hidden="1" spans="1:6" x14ac:dyDescent="0.25" outlineLevel="1" collapsed="1">
      <c r="A666" s="30" t="s">
        <v>32</v>
      </c>
      <c r="B666" s="17" t="s">
        <v>32</v>
      </c>
      <c r="C666" s="30" t="s">
        <v>32</v>
      </c>
      <c r="D666" s="31" t="s">
        <v>32</v>
      </c>
      <c r="E666" s="17" t="s">
        <v>469</v>
      </c>
      <c r="F666" s="17" t="s">
        <v>32</v>
      </c>
    </row>
    <row r="667" ht="51" customHeight="1" hidden="1" spans="1:6" x14ac:dyDescent="0.25" outlineLevel="1" collapsed="1">
      <c r="A667" s="27">
        <v>4240</v>
      </c>
      <c r="B667" s="28" t="s">
        <v>504</v>
      </c>
      <c r="C667" s="27" t="s">
        <v>472</v>
      </c>
      <c r="D667" s="29" t="s">
        <v>32</v>
      </c>
      <c r="E667" s="28" t="s">
        <v>473</v>
      </c>
      <c r="F667" s="28" t="s">
        <v>474</v>
      </c>
    </row>
    <row r="668" ht="21" customHeight="1" hidden="1" spans="1:6" x14ac:dyDescent="0.25" outlineLevel="1" collapsed="1">
      <c r="A668" s="30" t="s">
        <v>32</v>
      </c>
      <c r="B668" s="17" t="s">
        <v>32</v>
      </c>
      <c r="C668" s="30" t="s">
        <v>32</v>
      </c>
      <c r="D668" s="31" t="s">
        <v>32</v>
      </c>
      <c r="E668" s="17" t="s">
        <v>475</v>
      </c>
      <c r="F668" s="17" t="s">
        <v>32</v>
      </c>
    </row>
    <row r="669" ht="36" customHeight="1" hidden="1" spans="1:6" x14ac:dyDescent="0.25" outlineLevel="1" collapsed="1">
      <c r="A669" s="32" t="s">
        <v>32</v>
      </c>
      <c r="B669" s="12" t="s">
        <v>32</v>
      </c>
      <c r="C669" s="32" t="s">
        <v>32</v>
      </c>
      <c r="D669" s="31" t="s">
        <v>32</v>
      </c>
      <c r="E669" s="12" t="s">
        <v>476</v>
      </c>
      <c r="F669" s="12" t="s">
        <v>32</v>
      </c>
    </row>
    <row r="670" ht="36" customHeight="1" hidden="1" spans="1:6" x14ac:dyDescent="0.25" outlineLevel="1" collapsed="1">
      <c r="A670" s="30" t="s">
        <v>32</v>
      </c>
      <c r="B670" s="17" t="s">
        <v>32</v>
      </c>
      <c r="C670" s="30" t="s">
        <v>32</v>
      </c>
      <c r="D670" s="31" t="s">
        <v>32</v>
      </c>
      <c r="E670" s="17" t="s">
        <v>477</v>
      </c>
      <c r="F670" s="17" t="s">
        <v>32</v>
      </c>
    </row>
    <row r="671" ht="36" customHeight="1" hidden="1" spans="1:6" x14ac:dyDescent="0.25" outlineLevel="1" collapsed="1">
      <c r="A671" s="32" t="s">
        <v>32</v>
      </c>
      <c r="B671" s="12" t="s">
        <v>32</v>
      </c>
      <c r="C671" s="32" t="s">
        <v>32</v>
      </c>
      <c r="D671" s="31" t="s">
        <v>32</v>
      </c>
      <c r="E671" s="12" t="s">
        <v>478</v>
      </c>
      <c r="F671" s="12" t="s">
        <v>32</v>
      </c>
    </row>
    <row r="672" ht="21" customHeight="1" hidden="1" spans="1:6" x14ac:dyDescent="0.25" outlineLevel="1" collapsed="1">
      <c r="A672" s="30" t="s">
        <v>32</v>
      </c>
      <c r="B672" s="17" t="s">
        <v>32</v>
      </c>
      <c r="C672" s="30" t="s">
        <v>32</v>
      </c>
      <c r="D672" s="31" t="s">
        <v>32</v>
      </c>
      <c r="E672" s="17" t="s">
        <v>479</v>
      </c>
      <c r="F672" s="17" t="s">
        <v>32</v>
      </c>
    </row>
    <row r="673" ht="21" customHeight="1" hidden="1" spans="1:6" x14ac:dyDescent="0.25" outlineLevel="1" collapsed="1">
      <c r="A673" s="32" t="s">
        <v>32</v>
      </c>
      <c r="B673" s="12" t="s">
        <v>32</v>
      </c>
      <c r="C673" s="32" t="s">
        <v>32</v>
      </c>
      <c r="D673" s="31" t="s">
        <v>32</v>
      </c>
      <c r="E673" s="33" t="s">
        <v>632</v>
      </c>
      <c r="F673" s="12" t="s">
        <v>32</v>
      </c>
    </row>
    <row r="674" ht="51" customHeight="1" hidden="1" spans="1:6" x14ac:dyDescent="0.25" outlineLevel="1" collapsed="1">
      <c r="A674" s="27">
        <v>4245</v>
      </c>
      <c r="B674" s="28" t="s">
        <v>505</v>
      </c>
      <c r="C674" s="27" t="s">
        <v>466</v>
      </c>
      <c r="D674" s="29" t="s">
        <v>32</v>
      </c>
      <c r="E674" s="28" t="s">
        <v>506</v>
      </c>
      <c r="F674" s="28" t="s">
        <v>32</v>
      </c>
    </row>
    <row r="675" ht="22" customHeight="1" hidden="1" spans="1:6" x14ac:dyDescent="0.25" outlineLevel="1" collapsed="1">
      <c r="A675" s="34" t="s">
        <v>495</v>
      </c>
      <c r="B675" s="34"/>
      <c r="C675" s="34"/>
      <c r="D675" s="34"/>
      <c r="E675" s="34"/>
      <c r="F675" s="34"/>
    </row>
    <row r="676" ht="24" customHeight="1" hidden="1" spans="1:6" x14ac:dyDescent="0.25" outlineLevel="1" collapsed="1">
      <c r="A676" s="12" t="s">
        <v>638</v>
      </c>
      <c r="B676" s="12"/>
      <c r="C676" s="12"/>
      <c r="D676" s="12"/>
      <c r="E676" s="12"/>
      <c r="F676" s="12"/>
    </row>
    <row r="677" ht="40" customHeight="1" hidden="1" spans="1:6" x14ac:dyDescent="0.25" outlineLevel="1" collapsed="1">
      <c r="A677" s="12" t="s">
        <v>635</v>
      </c>
      <c r="B677" s="12"/>
      <c r="C677" s="12"/>
      <c r="D677" s="12"/>
      <c r="E677" s="12"/>
      <c r="F677" s="12"/>
    </row>
    <row r="678" ht="24" customHeight="1" hidden="1" spans="1:6" x14ac:dyDescent="0.25" outlineLevel="1" collapsed="1">
      <c r="A678" s="12" t="s">
        <v>639</v>
      </c>
      <c r="B678" s="12"/>
      <c r="C678" s="12"/>
      <c r="D678" s="12"/>
      <c r="E678" s="12"/>
      <c r="F678" s="12"/>
    </row>
    <row r="679" ht="40" customHeight="1" hidden="1" spans="1:6" x14ac:dyDescent="0.25" outlineLevel="1" collapsed="1">
      <c r="A679" s="12" t="s">
        <v>640</v>
      </c>
      <c r="B679" s="12"/>
      <c r="C679" s="12"/>
      <c r="D679" s="12"/>
      <c r="E679" s="12"/>
      <c r="F679" s="12"/>
    </row>
    <row r="680" ht="24" customHeight="1" hidden="1" spans="1:6" x14ac:dyDescent="0.25" outlineLevel="1" collapsed="1">
      <c r="A680" s="12" t="s">
        <v>499</v>
      </c>
      <c r="B680" s="12"/>
      <c r="C680" s="12"/>
      <c r="D680" s="12"/>
      <c r="E680" s="12"/>
      <c r="F680" s="12"/>
    </row>
    <row r="681" ht="22" customHeight="1" hidden="1" spans="1:6" x14ac:dyDescent="0.25" outlineLevel="1" collapsed="1">
      <c r="A681" s="34" t="s">
        <v>511</v>
      </c>
      <c r="B681" s="34"/>
      <c r="C681" s="34"/>
      <c r="D681" s="34"/>
      <c r="E681" s="34"/>
      <c r="F681" s="34"/>
    </row>
    <row r="682" ht="40" customHeight="1" hidden="1" spans="1:6" x14ac:dyDescent="0.25" outlineLevel="1" collapsed="1">
      <c r="A682" s="12" t="s">
        <v>641</v>
      </c>
      <c r="B682" s="12"/>
      <c r="C682" s="12"/>
      <c r="D682" s="12"/>
      <c r="E682" s="12"/>
      <c r="F682" s="12"/>
    </row>
    <row r="683" ht="6" customHeight="1" hidden="1" x14ac:dyDescent="0.25" outlineLevel="1" collapsed="1"/>
    <row r="684" ht="22" customHeight="1" spans="1:6" x14ac:dyDescent="0.25">
      <c r="A684" s="25" t="s">
        <v>513</v>
      </c>
      <c r="B684" s="25"/>
      <c r="C684" s="25"/>
      <c r="D684" s="25"/>
      <c r="E684" s="25"/>
      <c r="F684" s="25"/>
    </row>
    <row r="685" ht="20" customHeight="1" hidden="1" spans="1:6" x14ac:dyDescent="0.25" outlineLevel="1" collapsed="1">
      <c r="A685" s="26" t="s">
        <v>460</v>
      </c>
      <c r="B685" s="26" t="s">
        <v>461</v>
      </c>
      <c r="C685" s="26" t="s">
        <v>462</v>
      </c>
      <c r="D685" s="26" t="s">
        <v>32</v>
      </c>
      <c r="E685" s="26" t="s">
        <v>463</v>
      </c>
      <c r="F685" s="26" t="s">
        <v>464</v>
      </c>
    </row>
    <row r="686" ht="51" customHeight="1" hidden="1" spans="1:6" x14ac:dyDescent="0.25" outlineLevel="1" collapsed="1">
      <c r="A686" s="27">
        <v>4220</v>
      </c>
      <c r="B686" s="28" t="s">
        <v>514</v>
      </c>
      <c r="C686" s="27" t="s">
        <v>466</v>
      </c>
      <c r="D686" s="29" t="s">
        <v>32</v>
      </c>
      <c r="E686" s="28" t="s">
        <v>637</v>
      </c>
      <c r="F686" s="28" t="s">
        <v>503</v>
      </c>
    </row>
    <row r="687" ht="36" customHeight="1" hidden="1" spans="1:6" x14ac:dyDescent="0.25" outlineLevel="1" collapsed="1">
      <c r="A687" s="30" t="s">
        <v>32</v>
      </c>
      <c r="B687" s="17" t="s">
        <v>32</v>
      </c>
      <c r="C687" s="30" t="s">
        <v>32</v>
      </c>
      <c r="D687" s="31" t="s">
        <v>32</v>
      </c>
      <c r="E687" s="17" t="s">
        <v>469</v>
      </c>
      <c r="F687" s="17" t="s">
        <v>32</v>
      </c>
    </row>
    <row r="688" ht="51" customHeight="1" hidden="1" spans="1:6" x14ac:dyDescent="0.25" outlineLevel="1" collapsed="1">
      <c r="A688" s="27">
        <v>4240</v>
      </c>
      <c r="B688" s="28" t="s">
        <v>515</v>
      </c>
      <c r="C688" s="27" t="s">
        <v>472</v>
      </c>
      <c r="D688" s="29" t="s">
        <v>32</v>
      </c>
      <c r="E688" s="28" t="s">
        <v>473</v>
      </c>
      <c r="F688" s="28" t="s">
        <v>474</v>
      </c>
    </row>
    <row r="689" ht="21" customHeight="1" hidden="1" spans="1:6" x14ac:dyDescent="0.25" outlineLevel="1" collapsed="1">
      <c r="A689" s="30" t="s">
        <v>32</v>
      </c>
      <c r="B689" s="17" t="s">
        <v>32</v>
      </c>
      <c r="C689" s="30" t="s">
        <v>32</v>
      </c>
      <c r="D689" s="31" t="s">
        <v>32</v>
      </c>
      <c r="E689" s="17" t="s">
        <v>475</v>
      </c>
      <c r="F689" s="17" t="s">
        <v>32</v>
      </c>
    </row>
    <row r="690" ht="36" customHeight="1" hidden="1" spans="1:6" x14ac:dyDescent="0.25" outlineLevel="1" collapsed="1">
      <c r="A690" s="32" t="s">
        <v>32</v>
      </c>
      <c r="B690" s="12" t="s">
        <v>32</v>
      </c>
      <c r="C690" s="32" t="s">
        <v>32</v>
      </c>
      <c r="D690" s="31" t="s">
        <v>32</v>
      </c>
      <c r="E690" s="12" t="s">
        <v>476</v>
      </c>
      <c r="F690" s="12" t="s">
        <v>32</v>
      </c>
    </row>
    <row r="691" ht="36" customHeight="1" hidden="1" spans="1:6" x14ac:dyDescent="0.25" outlineLevel="1" collapsed="1">
      <c r="A691" s="30" t="s">
        <v>32</v>
      </c>
      <c r="B691" s="17" t="s">
        <v>32</v>
      </c>
      <c r="C691" s="30" t="s">
        <v>32</v>
      </c>
      <c r="D691" s="31" t="s">
        <v>32</v>
      </c>
      <c r="E691" s="17" t="s">
        <v>477</v>
      </c>
      <c r="F691" s="17" t="s">
        <v>32</v>
      </c>
    </row>
    <row r="692" ht="36" customHeight="1" hidden="1" spans="1:6" x14ac:dyDescent="0.25" outlineLevel="1" collapsed="1">
      <c r="A692" s="32" t="s">
        <v>32</v>
      </c>
      <c r="B692" s="12" t="s">
        <v>32</v>
      </c>
      <c r="C692" s="32" t="s">
        <v>32</v>
      </c>
      <c r="D692" s="31" t="s">
        <v>32</v>
      </c>
      <c r="E692" s="12" t="s">
        <v>478</v>
      </c>
      <c r="F692" s="12" t="s">
        <v>32</v>
      </c>
    </row>
    <row r="693" ht="21" customHeight="1" hidden="1" spans="1:6" x14ac:dyDescent="0.25" outlineLevel="1" collapsed="1">
      <c r="A693" s="30" t="s">
        <v>32</v>
      </c>
      <c r="B693" s="17" t="s">
        <v>32</v>
      </c>
      <c r="C693" s="30" t="s">
        <v>32</v>
      </c>
      <c r="D693" s="31" t="s">
        <v>32</v>
      </c>
      <c r="E693" s="17" t="s">
        <v>479</v>
      </c>
      <c r="F693" s="17" t="s">
        <v>32</v>
      </c>
    </row>
    <row r="694" ht="21" customHeight="1" hidden="1" spans="1:6" x14ac:dyDescent="0.25" outlineLevel="1" collapsed="1">
      <c r="A694" s="32" t="s">
        <v>32</v>
      </c>
      <c r="B694" s="12" t="s">
        <v>32</v>
      </c>
      <c r="C694" s="32" t="s">
        <v>32</v>
      </c>
      <c r="D694" s="31" t="s">
        <v>32</v>
      </c>
      <c r="E694" s="33" t="s">
        <v>632</v>
      </c>
      <c r="F694" s="12" t="s">
        <v>32</v>
      </c>
    </row>
    <row r="695" ht="36" customHeight="1" hidden="1" spans="1:6" x14ac:dyDescent="0.25" outlineLevel="1" collapsed="1">
      <c r="A695" s="27">
        <v>4245</v>
      </c>
      <c r="B695" s="28" t="s">
        <v>516</v>
      </c>
      <c r="C695" s="27" t="s">
        <v>466</v>
      </c>
      <c r="D695" s="29" t="s">
        <v>32</v>
      </c>
      <c r="E695" s="28" t="s">
        <v>506</v>
      </c>
      <c r="F695" s="28" t="s">
        <v>32</v>
      </c>
    </row>
    <row r="696" ht="21" customHeight="1" hidden="1" spans="1:6" x14ac:dyDescent="0.25" outlineLevel="1" collapsed="1">
      <c r="A696" s="27">
        <v>4230</v>
      </c>
      <c r="B696" s="28" t="s">
        <v>517</v>
      </c>
      <c r="C696" s="27" t="s">
        <v>472</v>
      </c>
      <c r="D696" s="29" t="s">
        <v>32</v>
      </c>
      <c r="E696" s="28" t="s">
        <v>518</v>
      </c>
      <c r="F696" s="28" t="s">
        <v>32</v>
      </c>
    </row>
    <row r="697" ht="22" customHeight="1" hidden="1" spans="1:6" x14ac:dyDescent="0.25" outlineLevel="1" collapsed="1">
      <c r="A697" s="34" t="s">
        <v>495</v>
      </c>
      <c r="B697" s="34"/>
      <c r="C697" s="34"/>
      <c r="D697" s="34"/>
      <c r="E697" s="34"/>
      <c r="F697" s="34"/>
    </row>
    <row r="698" ht="24" customHeight="1" hidden="1" spans="1:6" x14ac:dyDescent="0.25" outlineLevel="1" collapsed="1">
      <c r="A698" s="12" t="s">
        <v>638</v>
      </c>
      <c r="B698" s="12"/>
      <c r="C698" s="12"/>
      <c r="D698" s="12"/>
      <c r="E698" s="12"/>
      <c r="F698" s="12"/>
    </row>
    <row r="699" ht="40" customHeight="1" hidden="1" spans="1:6" x14ac:dyDescent="0.25" outlineLevel="1" collapsed="1">
      <c r="A699" s="12" t="s">
        <v>635</v>
      </c>
      <c r="B699" s="12"/>
      <c r="C699" s="12"/>
      <c r="D699" s="12"/>
      <c r="E699" s="12"/>
      <c r="F699" s="12"/>
    </row>
    <row r="700" ht="24" customHeight="1" hidden="1" spans="1:6" x14ac:dyDescent="0.25" outlineLevel="1" collapsed="1">
      <c r="A700" s="12" t="s">
        <v>639</v>
      </c>
      <c r="B700" s="12"/>
      <c r="C700" s="12"/>
      <c r="D700" s="12"/>
      <c r="E700" s="12"/>
      <c r="F700" s="12"/>
    </row>
    <row r="701" ht="24" customHeight="1" hidden="1" spans="1:6" x14ac:dyDescent="0.25" outlineLevel="1" collapsed="1">
      <c r="A701" s="12" t="s">
        <v>642</v>
      </c>
      <c r="B701" s="12"/>
      <c r="C701" s="12"/>
      <c r="D701" s="12"/>
      <c r="E701" s="12"/>
      <c r="F701" s="12"/>
    </row>
    <row r="702" ht="40" customHeight="1" hidden="1" spans="1:6" x14ac:dyDescent="0.25" outlineLevel="1" collapsed="1">
      <c r="A702" s="12" t="s">
        <v>640</v>
      </c>
      <c r="B702" s="12"/>
      <c r="C702" s="12"/>
      <c r="D702" s="12"/>
      <c r="E702" s="12"/>
      <c r="F702" s="12"/>
    </row>
    <row r="703" ht="24" customHeight="1" hidden="1" spans="1:6" x14ac:dyDescent="0.25" outlineLevel="1" collapsed="1">
      <c r="A703" s="12" t="s">
        <v>499</v>
      </c>
      <c r="B703" s="12"/>
      <c r="C703" s="12"/>
      <c r="D703" s="12"/>
      <c r="E703" s="12"/>
      <c r="F703" s="12"/>
    </row>
    <row r="704" ht="22" customHeight="1" hidden="1" spans="1:6" x14ac:dyDescent="0.25" outlineLevel="1" collapsed="1">
      <c r="A704" s="34" t="s">
        <v>511</v>
      </c>
      <c r="B704" s="34"/>
      <c r="C704" s="34"/>
      <c r="D704" s="34"/>
      <c r="E704" s="34"/>
      <c r="F704" s="34"/>
    </row>
    <row r="705" ht="40" customHeight="1" hidden="1" spans="1:6" x14ac:dyDescent="0.25" outlineLevel="1" collapsed="1">
      <c r="A705" s="12" t="s">
        <v>641</v>
      </c>
      <c r="B705" s="12"/>
      <c r="C705" s="12"/>
      <c r="D705" s="12"/>
      <c r="E705" s="12"/>
      <c r="F705" s="12"/>
    </row>
    <row r="706" ht="6" customHeight="1" hidden="1" x14ac:dyDescent="0.25" outlineLevel="1" collapsed="1"/>
    <row r="707" ht="22" customHeight="1" spans="1:6" x14ac:dyDescent="0.25">
      <c r="A707" s="25" t="s">
        <v>520</v>
      </c>
      <c r="B707" s="25"/>
      <c r="C707" s="25"/>
      <c r="D707" s="25"/>
      <c r="E707" s="25"/>
      <c r="F707" s="25"/>
    </row>
    <row r="708" ht="20" customHeight="1" hidden="1" spans="1:6" x14ac:dyDescent="0.25" outlineLevel="1" collapsed="1">
      <c r="A708" s="26" t="s">
        <v>460</v>
      </c>
      <c r="B708" s="26" t="s">
        <v>461</v>
      </c>
      <c r="C708" s="26" t="s">
        <v>462</v>
      </c>
      <c r="D708" s="26" t="s">
        <v>32</v>
      </c>
      <c r="E708" s="26" t="s">
        <v>463</v>
      </c>
      <c r="F708" s="26" t="s">
        <v>464</v>
      </c>
    </row>
    <row r="709" ht="36" customHeight="1" hidden="1" spans="1:6" x14ac:dyDescent="0.25" outlineLevel="1" collapsed="1">
      <c r="A709" s="27">
        <v>4220</v>
      </c>
      <c r="B709" s="28" t="s">
        <v>521</v>
      </c>
      <c r="C709" s="27" t="s">
        <v>466</v>
      </c>
      <c r="D709" s="29" t="s">
        <v>32</v>
      </c>
      <c r="E709" s="28" t="s">
        <v>522</v>
      </c>
      <c r="F709" s="28" t="s">
        <v>32</v>
      </c>
    </row>
    <row r="710" ht="21" customHeight="1" hidden="1" spans="1:6" x14ac:dyDescent="0.25" outlineLevel="1" collapsed="1">
      <c r="A710" s="30" t="s">
        <v>32</v>
      </c>
      <c r="B710" s="17" t="s">
        <v>32</v>
      </c>
      <c r="C710" s="30" t="s">
        <v>32</v>
      </c>
      <c r="D710" s="31" t="s">
        <v>32</v>
      </c>
      <c r="E710" s="35" t="s">
        <v>632</v>
      </c>
      <c r="F710" s="17" t="s">
        <v>32</v>
      </c>
    </row>
    <row r="711" ht="36" customHeight="1" hidden="1" spans="1:6" x14ac:dyDescent="0.25" outlineLevel="1" collapsed="1">
      <c r="A711" s="27">
        <v>4240</v>
      </c>
      <c r="B711" s="28" t="s">
        <v>523</v>
      </c>
      <c r="C711" s="27" t="s">
        <v>472</v>
      </c>
      <c r="D711" s="29" t="s">
        <v>32</v>
      </c>
      <c r="E711" s="28" t="s">
        <v>524</v>
      </c>
      <c r="F711" s="28" t="s">
        <v>32</v>
      </c>
    </row>
    <row r="712" ht="21" customHeight="1" hidden="1" spans="1:6" x14ac:dyDescent="0.25" outlineLevel="1" collapsed="1">
      <c r="A712" s="30" t="s">
        <v>32</v>
      </c>
      <c r="B712" s="17" t="s">
        <v>32</v>
      </c>
      <c r="C712" s="30" t="s">
        <v>32</v>
      </c>
      <c r="D712" s="31" t="s">
        <v>32</v>
      </c>
      <c r="E712" s="35" t="s">
        <v>632</v>
      </c>
      <c r="F712" s="17" t="s">
        <v>32</v>
      </c>
    </row>
    <row r="713" ht="51" customHeight="1" hidden="1" spans="1:6" x14ac:dyDescent="0.25" outlineLevel="1" collapsed="1">
      <c r="A713" s="27">
        <v>4230</v>
      </c>
      <c r="B713" s="28" t="s">
        <v>525</v>
      </c>
      <c r="C713" s="27" t="s">
        <v>472</v>
      </c>
      <c r="D713" s="29" t="s">
        <v>32</v>
      </c>
      <c r="E713" s="28" t="s">
        <v>526</v>
      </c>
      <c r="F713" s="28" t="s">
        <v>546</v>
      </c>
    </row>
    <row r="714" ht="21" customHeight="1" hidden="1" spans="1:6" x14ac:dyDescent="0.25" outlineLevel="1" collapsed="1">
      <c r="A714" s="30" t="s">
        <v>32</v>
      </c>
      <c r="B714" s="17" t="s">
        <v>32</v>
      </c>
      <c r="C714" s="30" t="s">
        <v>32</v>
      </c>
      <c r="D714" s="31" t="s">
        <v>32</v>
      </c>
      <c r="E714" s="17" t="s">
        <v>528</v>
      </c>
      <c r="F714" s="17" t="s">
        <v>32</v>
      </c>
    </row>
    <row r="715" ht="36" customHeight="1" hidden="1" spans="1:6" x14ac:dyDescent="0.25" outlineLevel="1" collapsed="1">
      <c r="A715" s="32" t="s">
        <v>32</v>
      </c>
      <c r="B715" s="12" t="s">
        <v>32</v>
      </c>
      <c r="C715" s="32" t="s">
        <v>32</v>
      </c>
      <c r="D715" s="31" t="s">
        <v>32</v>
      </c>
      <c r="E715" s="12" t="s">
        <v>529</v>
      </c>
      <c r="F715" s="12" t="s">
        <v>32</v>
      </c>
    </row>
    <row r="716" ht="36" customHeight="1" hidden="1" spans="1:6" x14ac:dyDescent="0.25" outlineLevel="1" collapsed="1">
      <c r="A716" s="30" t="s">
        <v>32</v>
      </c>
      <c r="B716" s="17" t="s">
        <v>32</v>
      </c>
      <c r="C716" s="30" t="s">
        <v>32</v>
      </c>
      <c r="D716" s="31" t="s">
        <v>32</v>
      </c>
      <c r="E716" s="17" t="s">
        <v>530</v>
      </c>
      <c r="F716" s="17" t="s">
        <v>32</v>
      </c>
    </row>
    <row r="717" ht="21" customHeight="1" hidden="1" spans="1:6" x14ac:dyDescent="0.25" outlineLevel="1" collapsed="1">
      <c r="A717" s="32" t="s">
        <v>32</v>
      </c>
      <c r="B717" s="12" t="s">
        <v>32</v>
      </c>
      <c r="C717" s="32" t="s">
        <v>32</v>
      </c>
      <c r="D717" s="31" t="s">
        <v>32</v>
      </c>
      <c r="E717" s="12" t="s">
        <v>531</v>
      </c>
      <c r="F717" s="12" t="s">
        <v>32</v>
      </c>
    </row>
    <row r="718" ht="21" customHeight="1" hidden="1" spans="1:6" x14ac:dyDescent="0.25" outlineLevel="1" collapsed="1">
      <c r="A718" s="30" t="s">
        <v>32</v>
      </c>
      <c r="B718" s="17" t="s">
        <v>32</v>
      </c>
      <c r="C718" s="30" t="s">
        <v>32</v>
      </c>
      <c r="D718" s="31" t="s">
        <v>32</v>
      </c>
      <c r="E718" s="17" t="s">
        <v>487</v>
      </c>
      <c r="F718" s="17" t="s">
        <v>32</v>
      </c>
    </row>
    <row r="719" ht="21" customHeight="1" hidden="1" spans="1:6" x14ac:dyDescent="0.25" outlineLevel="1" collapsed="1">
      <c r="A719" s="32" t="s">
        <v>32</v>
      </c>
      <c r="B719" s="12" t="s">
        <v>32</v>
      </c>
      <c r="C719" s="32" t="s">
        <v>32</v>
      </c>
      <c r="D719" s="31" t="s">
        <v>32</v>
      </c>
      <c r="E719" s="12" t="s">
        <v>532</v>
      </c>
      <c r="F719" s="12" t="s">
        <v>32</v>
      </c>
    </row>
    <row r="720" ht="21" customHeight="1" hidden="1" spans="1:6" x14ac:dyDescent="0.25" outlineLevel="1" collapsed="1">
      <c r="A720" s="30" t="s">
        <v>32</v>
      </c>
      <c r="B720" s="17" t="s">
        <v>32</v>
      </c>
      <c r="C720" s="30" t="s">
        <v>32</v>
      </c>
      <c r="D720" s="31" t="s">
        <v>32</v>
      </c>
      <c r="E720" s="17" t="s">
        <v>534</v>
      </c>
      <c r="F720" s="17" t="s">
        <v>32</v>
      </c>
    </row>
    <row r="721" ht="21" customHeight="1" hidden="1" spans="1:6" x14ac:dyDescent="0.25" outlineLevel="1" collapsed="1">
      <c r="A721" s="32" t="s">
        <v>32</v>
      </c>
      <c r="B721" s="12" t="s">
        <v>32</v>
      </c>
      <c r="C721" s="32" t="s">
        <v>32</v>
      </c>
      <c r="D721" s="31" t="s">
        <v>32</v>
      </c>
      <c r="E721" s="12" t="s">
        <v>535</v>
      </c>
      <c r="F721" s="12" t="s">
        <v>32</v>
      </c>
    </row>
    <row r="722" ht="21" customHeight="1" hidden="1" spans="1:6" x14ac:dyDescent="0.25" outlineLevel="1" collapsed="1">
      <c r="A722" s="30" t="s">
        <v>32</v>
      </c>
      <c r="B722" s="17" t="s">
        <v>32</v>
      </c>
      <c r="C722" s="30" t="s">
        <v>32</v>
      </c>
      <c r="D722" s="31" t="s">
        <v>32</v>
      </c>
      <c r="E722" s="17" t="s">
        <v>536</v>
      </c>
      <c r="F722" s="17" t="s">
        <v>32</v>
      </c>
    </row>
    <row r="723" ht="21" customHeight="1" hidden="1" spans="1:6" x14ac:dyDescent="0.25" outlineLevel="1" collapsed="1">
      <c r="A723" s="32" t="s">
        <v>32</v>
      </c>
      <c r="B723" s="12" t="s">
        <v>32</v>
      </c>
      <c r="C723" s="32" t="s">
        <v>32</v>
      </c>
      <c r="D723" s="31" t="s">
        <v>32</v>
      </c>
      <c r="E723" s="12" t="s">
        <v>491</v>
      </c>
      <c r="F723" s="12" t="s">
        <v>32</v>
      </c>
    </row>
    <row r="724" ht="21" customHeight="1" hidden="1" spans="1:6" x14ac:dyDescent="0.25" outlineLevel="1" collapsed="1">
      <c r="A724" s="30" t="s">
        <v>32</v>
      </c>
      <c r="B724" s="17" t="s">
        <v>32</v>
      </c>
      <c r="C724" s="30" t="s">
        <v>32</v>
      </c>
      <c r="D724" s="31" t="s">
        <v>32</v>
      </c>
      <c r="E724" s="17" t="s">
        <v>537</v>
      </c>
      <c r="F724" s="17" t="s">
        <v>32</v>
      </c>
    </row>
    <row r="725" ht="21" customHeight="1" hidden="1" spans="1:6" x14ac:dyDescent="0.25" outlineLevel="1" collapsed="1">
      <c r="A725" s="32" t="s">
        <v>32</v>
      </c>
      <c r="B725" s="12" t="s">
        <v>32</v>
      </c>
      <c r="C725" s="32" t="s">
        <v>32</v>
      </c>
      <c r="D725" s="31" t="s">
        <v>32</v>
      </c>
      <c r="E725" s="12" t="s">
        <v>493</v>
      </c>
      <c r="F725" s="12" t="s">
        <v>32</v>
      </c>
    </row>
    <row r="726" ht="21" customHeight="1" hidden="1" spans="1:6" x14ac:dyDescent="0.25" outlineLevel="1" collapsed="1">
      <c r="A726" s="30" t="s">
        <v>32</v>
      </c>
      <c r="B726" s="17" t="s">
        <v>32</v>
      </c>
      <c r="C726" s="30" t="s">
        <v>32</v>
      </c>
      <c r="D726" s="31" t="s">
        <v>32</v>
      </c>
      <c r="E726" s="35" t="s">
        <v>643</v>
      </c>
      <c r="F726" s="17" t="s">
        <v>32</v>
      </c>
    </row>
    <row r="727" ht="22" customHeight="1" hidden="1" spans="1:6" x14ac:dyDescent="0.25" outlineLevel="1" collapsed="1">
      <c r="A727" s="34" t="s">
        <v>495</v>
      </c>
      <c r="B727" s="34"/>
      <c r="C727" s="34"/>
      <c r="D727" s="34"/>
      <c r="E727" s="34"/>
      <c r="F727" s="34"/>
    </row>
    <row r="728" ht="24" customHeight="1" hidden="1" spans="1:6" x14ac:dyDescent="0.25" outlineLevel="1" collapsed="1">
      <c r="A728" s="12" t="s">
        <v>644</v>
      </c>
      <c r="B728" s="12"/>
      <c r="C728" s="12"/>
      <c r="D728" s="12"/>
      <c r="E728" s="12"/>
      <c r="F728" s="12"/>
    </row>
    <row r="729" ht="24" customHeight="1" hidden="1" spans="1:6" x14ac:dyDescent="0.25" outlineLevel="1" collapsed="1">
      <c r="A729" s="12" t="s">
        <v>645</v>
      </c>
      <c r="B729" s="12"/>
      <c r="C729" s="12"/>
      <c r="D729" s="12"/>
      <c r="E729" s="12"/>
      <c r="F729" s="12"/>
    </row>
    <row r="730" ht="56" customHeight="1" hidden="1" spans="1:6" x14ac:dyDescent="0.25" outlineLevel="1" collapsed="1">
      <c r="A730" s="12" t="s">
        <v>646</v>
      </c>
      <c r="B730" s="12"/>
      <c r="C730" s="12"/>
      <c r="D730" s="12"/>
      <c r="E730" s="12"/>
      <c r="F730" s="12"/>
    </row>
    <row r="731" ht="24" customHeight="1" hidden="1" spans="1:6" x14ac:dyDescent="0.25" outlineLevel="1" collapsed="1">
      <c r="A731" s="12" t="s">
        <v>499</v>
      </c>
      <c r="B731" s="12"/>
      <c r="C731" s="12"/>
      <c r="D731" s="12"/>
      <c r="E731" s="12"/>
      <c r="F731" s="12"/>
    </row>
    <row r="732" ht="6" customHeight="1" hidden="1" x14ac:dyDescent="0.25" outlineLevel="1" collapsed="1"/>
    <row r="733" ht="22" customHeight="1" spans="1:6" x14ac:dyDescent="0.25">
      <c r="A733" s="25" t="s">
        <v>542</v>
      </c>
      <c r="B733" s="25"/>
      <c r="C733" s="25"/>
      <c r="D733" s="25"/>
      <c r="E733" s="25"/>
      <c r="F733" s="25"/>
    </row>
    <row r="734" ht="20" customHeight="1" hidden="1" spans="1:6" x14ac:dyDescent="0.25" outlineLevel="1" collapsed="1">
      <c r="A734" s="26" t="s">
        <v>460</v>
      </c>
      <c r="B734" s="26" t="s">
        <v>461</v>
      </c>
      <c r="C734" s="26" t="s">
        <v>462</v>
      </c>
      <c r="D734" s="26" t="s">
        <v>32</v>
      </c>
      <c r="E734" s="26" t="s">
        <v>463</v>
      </c>
      <c r="F734" s="26" t="s">
        <v>464</v>
      </c>
    </row>
    <row r="735" ht="36" customHeight="1" hidden="1" spans="1:6" x14ac:dyDescent="0.25" outlineLevel="1" collapsed="1">
      <c r="A735" s="27">
        <v>4220</v>
      </c>
      <c r="B735" s="28" t="s">
        <v>543</v>
      </c>
      <c r="C735" s="27" t="s">
        <v>466</v>
      </c>
      <c r="D735" s="29" t="s">
        <v>32</v>
      </c>
      <c r="E735" s="28" t="s">
        <v>522</v>
      </c>
      <c r="F735" s="28" t="s">
        <v>32</v>
      </c>
    </row>
    <row r="736" ht="21" customHeight="1" hidden="1" spans="1:6" x14ac:dyDescent="0.25" outlineLevel="1" collapsed="1">
      <c r="A736" s="30" t="s">
        <v>32</v>
      </c>
      <c r="B736" s="17" t="s">
        <v>32</v>
      </c>
      <c r="C736" s="30" t="s">
        <v>32</v>
      </c>
      <c r="D736" s="31" t="s">
        <v>32</v>
      </c>
      <c r="E736" s="35" t="s">
        <v>632</v>
      </c>
      <c r="F736" s="17" t="s">
        <v>32</v>
      </c>
    </row>
    <row r="737" ht="36" customHeight="1" hidden="1" spans="1:6" x14ac:dyDescent="0.25" outlineLevel="1" collapsed="1">
      <c r="A737" s="27">
        <v>4240</v>
      </c>
      <c r="B737" s="28" t="s">
        <v>471</v>
      </c>
      <c r="C737" s="27" t="s">
        <v>472</v>
      </c>
      <c r="D737" s="29" t="s">
        <v>32</v>
      </c>
      <c r="E737" s="28" t="s">
        <v>524</v>
      </c>
      <c r="F737" s="28" t="s">
        <v>32</v>
      </c>
    </row>
    <row r="738" ht="21" customHeight="1" hidden="1" spans="1:6" x14ac:dyDescent="0.25" outlineLevel="1" collapsed="1">
      <c r="A738" s="30" t="s">
        <v>32</v>
      </c>
      <c r="B738" s="17" t="s">
        <v>32</v>
      </c>
      <c r="C738" s="30" t="s">
        <v>32</v>
      </c>
      <c r="D738" s="31" t="s">
        <v>32</v>
      </c>
      <c r="E738" s="35" t="s">
        <v>632</v>
      </c>
      <c r="F738" s="17" t="s">
        <v>32</v>
      </c>
    </row>
    <row r="739" ht="51" customHeight="1" hidden="1" spans="1:6" x14ac:dyDescent="0.25" outlineLevel="1" collapsed="1">
      <c r="A739" s="27">
        <v>4230</v>
      </c>
      <c r="B739" s="28" t="s">
        <v>544</v>
      </c>
      <c r="C739" s="27" t="s">
        <v>472</v>
      </c>
      <c r="D739" s="29" t="s">
        <v>32</v>
      </c>
      <c r="E739" s="28" t="s">
        <v>545</v>
      </c>
      <c r="F739" s="28" t="s">
        <v>482</v>
      </c>
    </row>
    <row r="740" ht="21" customHeight="1" hidden="1" spans="1:6" x14ac:dyDescent="0.25" outlineLevel="1" collapsed="1">
      <c r="A740" s="30" t="s">
        <v>32</v>
      </c>
      <c r="B740" s="17" t="s">
        <v>32</v>
      </c>
      <c r="C740" s="30" t="s">
        <v>32</v>
      </c>
      <c r="D740" s="31" t="s">
        <v>32</v>
      </c>
      <c r="E740" s="17" t="s">
        <v>547</v>
      </c>
      <c r="F740" s="17" t="s">
        <v>32</v>
      </c>
    </row>
    <row r="741" ht="36" customHeight="1" hidden="1" spans="1:6" x14ac:dyDescent="0.25" outlineLevel="1" collapsed="1">
      <c r="A741" s="32" t="s">
        <v>32</v>
      </c>
      <c r="B741" s="12" t="s">
        <v>32</v>
      </c>
      <c r="C741" s="32" t="s">
        <v>32</v>
      </c>
      <c r="D741" s="31" t="s">
        <v>32</v>
      </c>
      <c r="E741" s="12" t="s">
        <v>548</v>
      </c>
      <c r="F741" s="12" t="s">
        <v>32</v>
      </c>
    </row>
    <row r="742" ht="36" customHeight="1" hidden="1" spans="1:6" x14ac:dyDescent="0.25" outlineLevel="1" collapsed="1">
      <c r="A742" s="30" t="s">
        <v>32</v>
      </c>
      <c r="B742" s="17" t="s">
        <v>32</v>
      </c>
      <c r="C742" s="30" t="s">
        <v>32</v>
      </c>
      <c r="D742" s="31" t="s">
        <v>32</v>
      </c>
      <c r="E742" s="17" t="s">
        <v>549</v>
      </c>
      <c r="F742" s="17" t="s">
        <v>32</v>
      </c>
    </row>
    <row r="743" ht="21" customHeight="1" hidden="1" spans="1:6" x14ac:dyDescent="0.25" outlineLevel="1" collapsed="1">
      <c r="A743" s="32" t="s">
        <v>32</v>
      </c>
      <c r="B743" s="12" t="s">
        <v>32</v>
      </c>
      <c r="C743" s="32" t="s">
        <v>32</v>
      </c>
      <c r="D743" s="31" t="s">
        <v>32</v>
      </c>
      <c r="E743" s="12" t="s">
        <v>550</v>
      </c>
      <c r="F743" s="12" t="s">
        <v>32</v>
      </c>
    </row>
    <row r="744" ht="21" customHeight="1" hidden="1" spans="1:6" x14ac:dyDescent="0.25" outlineLevel="1" collapsed="1">
      <c r="A744" s="30" t="s">
        <v>32</v>
      </c>
      <c r="B744" s="17" t="s">
        <v>32</v>
      </c>
      <c r="C744" s="30" t="s">
        <v>32</v>
      </c>
      <c r="D744" s="31" t="s">
        <v>32</v>
      </c>
      <c r="E744" s="17" t="s">
        <v>551</v>
      </c>
      <c r="F744" s="17" t="s">
        <v>32</v>
      </c>
    </row>
    <row r="745" ht="21" customHeight="1" hidden="1" spans="1:6" x14ac:dyDescent="0.25" outlineLevel="1" collapsed="1">
      <c r="A745" s="32" t="s">
        <v>32</v>
      </c>
      <c r="B745" s="12" t="s">
        <v>32</v>
      </c>
      <c r="C745" s="32" t="s">
        <v>32</v>
      </c>
      <c r="D745" s="31" t="s">
        <v>32</v>
      </c>
      <c r="E745" s="12" t="s">
        <v>552</v>
      </c>
      <c r="F745" s="12" t="s">
        <v>32</v>
      </c>
    </row>
    <row r="746" ht="21" customHeight="1" hidden="1" spans="1:6" x14ac:dyDescent="0.25" outlineLevel="1" collapsed="1">
      <c r="A746" s="30" t="s">
        <v>32</v>
      </c>
      <c r="B746" s="17" t="s">
        <v>32</v>
      </c>
      <c r="C746" s="30" t="s">
        <v>32</v>
      </c>
      <c r="D746" s="31" t="s">
        <v>32</v>
      </c>
      <c r="E746" s="17" t="s">
        <v>553</v>
      </c>
      <c r="F746" s="17" t="s">
        <v>32</v>
      </c>
    </row>
    <row r="747" ht="21" customHeight="1" hidden="1" spans="1:6" x14ac:dyDescent="0.25" outlineLevel="1" collapsed="1">
      <c r="A747" s="32" t="s">
        <v>32</v>
      </c>
      <c r="B747" s="12" t="s">
        <v>32</v>
      </c>
      <c r="C747" s="32" t="s">
        <v>32</v>
      </c>
      <c r="D747" s="31" t="s">
        <v>32</v>
      </c>
      <c r="E747" s="12" t="s">
        <v>554</v>
      </c>
      <c r="F747" s="12" t="s">
        <v>32</v>
      </c>
    </row>
    <row r="748" ht="21" customHeight="1" hidden="1" spans="1:6" x14ac:dyDescent="0.25" outlineLevel="1" collapsed="1">
      <c r="A748" s="30" t="s">
        <v>32</v>
      </c>
      <c r="B748" s="17" t="s">
        <v>32</v>
      </c>
      <c r="C748" s="30" t="s">
        <v>32</v>
      </c>
      <c r="D748" s="31" t="s">
        <v>32</v>
      </c>
      <c r="E748" s="17" t="s">
        <v>555</v>
      </c>
      <c r="F748" s="17" t="s">
        <v>32</v>
      </c>
    </row>
    <row r="749" ht="21" customHeight="1" hidden="1" spans="1:6" x14ac:dyDescent="0.25" outlineLevel="1" collapsed="1">
      <c r="A749" s="32" t="s">
        <v>32</v>
      </c>
      <c r="B749" s="12" t="s">
        <v>32</v>
      </c>
      <c r="C749" s="32" t="s">
        <v>32</v>
      </c>
      <c r="D749" s="31" t="s">
        <v>32</v>
      </c>
      <c r="E749" s="12" t="s">
        <v>556</v>
      </c>
      <c r="F749" s="12" t="s">
        <v>32</v>
      </c>
    </row>
    <row r="750" ht="21" customHeight="1" hidden="1" spans="1:6" x14ac:dyDescent="0.25" outlineLevel="1" collapsed="1">
      <c r="A750" s="30" t="s">
        <v>32</v>
      </c>
      <c r="B750" s="17" t="s">
        <v>32</v>
      </c>
      <c r="C750" s="30" t="s">
        <v>32</v>
      </c>
      <c r="D750" s="31" t="s">
        <v>32</v>
      </c>
      <c r="E750" s="17" t="s">
        <v>493</v>
      </c>
      <c r="F750" s="17" t="s">
        <v>32</v>
      </c>
    </row>
    <row r="751" ht="21" customHeight="1" hidden="1" spans="1:6" x14ac:dyDescent="0.25" outlineLevel="1" collapsed="1">
      <c r="A751" s="32" t="s">
        <v>32</v>
      </c>
      <c r="B751" s="12" t="s">
        <v>32</v>
      </c>
      <c r="C751" s="32" t="s">
        <v>32</v>
      </c>
      <c r="D751" s="31" t="s">
        <v>32</v>
      </c>
      <c r="E751" s="33" t="s">
        <v>633</v>
      </c>
      <c r="F751" s="12" t="s">
        <v>32</v>
      </c>
    </row>
    <row r="752" ht="22" customHeight="1" hidden="1" spans="1:6" x14ac:dyDescent="0.25" outlineLevel="1" collapsed="1">
      <c r="A752" s="34" t="s">
        <v>495</v>
      </c>
      <c r="B752" s="34"/>
      <c r="C752" s="34"/>
      <c r="D752" s="34"/>
      <c r="E752" s="34"/>
      <c r="F752" s="34"/>
    </row>
    <row r="753" ht="24" customHeight="1" hidden="1" spans="1:6" x14ac:dyDescent="0.25" outlineLevel="1" collapsed="1">
      <c r="A753" s="12" t="s">
        <v>644</v>
      </c>
      <c r="B753" s="12"/>
      <c r="C753" s="12"/>
      <c r="D753" s="12"/>
      <c r="E753" s="12"/>
      <c r="F753" s="12"/>
    </row>
    <row r="754" ht="24" customHeight="1" hidden="1" spans="1:6" x14ac:dyDescent="0.25" outlineLevel="1" collapsed="1">
      <c r="A754" s="12" t="s">
        <v>645</v>
      </c>
      <c r="B754" s="12"/>
      <c r="C754" s="12"/>
      <c r="D754" s="12"/>
      <c r="E754" s="12"/>
      <c r="F754" s="12"/>
    </row>
    <row r="755" ht="56" customHeight="1" hidden="1" spans="1:6" x14ac:dyDescent="0.25" outlineLevel="1" collapsed="1">
      <c r="A755" s="12" t="s">
        <v>647</v>
      </c>
      <c r="B755" s="12"/>
      <c r="C755" s="12"/>
      <c r="D755" s="12"/>
      <c r="E755" s="12"/>
      <c r="F755" s="12"/>
    </row>
    <row r="756" ht="24" customHeight="1" hidden="1" spans="1:6" x14ac:dyDescent="0.25" outlineLevel="1" collapsed="1">
      <c r="A756" s="12" t="s">
        <v>499</v>
      </c>
      <c r="B756" s="12"/>
      <c r="C756" s="12"/>
      <c r="D756" s="12"/>
      <c r="E756" s="12"/>
      <c r="F756" s="12"/>
    </row>
    <row r="757" ht="6" customHeight="1" hidden="1" x14ac:dyDescent="0.25" outlineLevel="1" collapsed="1"/>
    <row r="758" ht="22" customHeight="1" spans="1:6" x14ac:dyDescent="0.25">
      <c r="A758" s="25" t="s">
        <v>559</v>
      </c>
      <c r="B758" s="25"/>
      <c r="C758" s="25"/>
      <c r="D758" s="25"/>
      <c r="E758" s="25"/>
      <c r="F758" s="25"/>
    </row>
    <row r="759" ht="20" customHeight="1" hidden="1" spans="1:6" x14ac:dyDescent="0.25" outlineLevel="1" collapsed="1">
      <c r="A759" s="26" t="s">
        <v>460</v>
      </c>
      <c r="B759" s="26" t="s">
        <v>461</v>
      </c>
      <c r="C759" s="26" t="s">
        <v>462</v>
      </c>
      <c r="D759" s="26" t="s">
        <v>32</v>
      </c>
      <c r="E759" s="26" t="s">
        <v>463</v>
      </c>
      <c r="F759" s="26" t="s">
        <v>464</v>
      </c>
    </row>
    <row r="760" ht="36" customHeight="1" hidden="1" spans="1:6" x14ac:dyDescent="0.25" outlineLevel="1" collapsed="1">
      <c r="A760" s="27">
        <v>4220</v>
      </c>
      <c r="B760" s="28" t="s">
        <v>543</v>
      </c>
      <c r="C760" s="27" t="s">
        <v>466</v>
      </c>
      <c r="D760" s="29" t="s">
        <v>32</v>
      </c>
      <c r="E760" s="28" t="s">
        <v>522</v>
      </c>
      <c r="F760" s="28" t="s">
        <v>32</v>
      </c>
    </row>
    <row r="761" ht="21" customHeight="1" hidden="1" spans="1:6" x14ac:dyDescent="0.25" outlineLevel="1" collapsed="1">
      <c r="A761" s="30" t="s">
        <v>32</v>
      </c>
      <c r="B761" s="17" t="s">
        <v>32</v>
      </c>
      <c r="C761" s="30" t="s">
        <v>32</v>
      </c>
      <c r="D761" s="31" t="s">
        <v>32</v>
      </c>
      <c r="E761" s="35" t="s">
        <v>632</v>
      </c>
      <c r="F761" s="17" t="s">
        <v>32</v>
      </c>
    </row>
    <row r="762" ht="36" customHeight="1" hidden="1" spans="1:6" x14ac:dyDescent="0.25" outlineLevel="1" collapsed="1">
      <c r="A762" s="27">
        <v>4240</v>
      </c>
      <c r="B762" s="28" t="s">
        <v>471</v>
      </c>
      <c r="C762" s="27" t="s">
        <v>472</v>
      </c>
      <c r="D762" s="29" t="s">
        <v>32</v>
      </c>
      <c r="E762" s="28" t="s">
        <v>524</v>
      </c>
      <c r="F762" s="28" t="s">
        <v>32</v>
      </c>
    </row>
    <row r="763" ht="21" customHeight="1" hidden="1" spans="1:6" x14ac:dyDescent="0.25" outlineLevel="1" collapsed="1">
      <c r="A763" s="30" t="s">
        <v>32</v>
      </c>
      <c r="B763" s="17" t="s">
        <v>32</v>
      </c>
      <c r="C763" s="30" t="s">
        <v>32</v>
      </c>
      <c r="D763" s="31" t="s">
        <v>32</v>
      </c>
      <c r="E763" s="35" t="s">
        <v>632</v>
      </c>
      <c r="F763" s="17" t="s">
        <v>32</v>
      </c>
    </row>
    <row r="764" ht="51" customHeight="1" hidden="1" spans="1:6" x14ac:dyDescent="0.25" outlineLevel="1" collapsed="1">
      <c r="A764" s="27">
        <v>4230</v>
      </c>
      <c r="B764" s="28" t="s">
        <v>544</v>
      </c>
      <c r="C764" s="27" t="s">
        <v>472</v>
      </c>
      <c r="D764" s="29" t="s">
        <v>32</v>
      </c>
      <c r="E764" s="28" t="s">
        <v>545</v>
      </c>
      <c r="F764" s="28" t="s">
        <v>482</v>
      </c>
    </row>
    <row r="765" ht="21" customHeight="1" hidden="1" spans="1:6" x14ac:dyDescent="0.25" outlineLevel="1" collapsed="1">
      <c r="A765" s="30" t="s">
        <v>32</v>
      </c>
      <c r="B765" s="17" t="s">
        <v>32</v>
      </c>
      <c r="C765" s="30" t="s">
        <v>32</v>
      </c>
      <c r="D765" s="31" t="s">
        <v>32</v>
      </c>
      <c r="E765" s="17" t="s">
        <v>547</v>
      </c>
      <c r="F765" s="17" t="s">
        <v>32</v>
      </c>
    </row>
    <row r="766" ht="36" customHeight="1" hidden="1" spans="1:6" x14ac:dyDescent="0.25" outlineLevel="1" collapsed="1">
      <c r="A766" s="32" t="s">
        <v>32</v>
      </c>
      <c r="B766" s="12" t="s">
        <v>32</v>
      </c>
      <c r="C766" s="32" t="s">
        <v>32</v>
      </c>
      <c r="D766" s="31" t="s">
        <v>32</v>
      </c>
      <c r="E766" s="12" t="s">
        <v>548</v>
      </c>
      <c r="F766" s="12" t="s">
        <v>32</v>
      </c>
    </row>
    <row r="767" ht="36" customHeight="1" hidden="1" spans="1:6" x14ac:dyDescent="0.25" outlineLevel="1" collapsed="1">
      <c r="A767" s="30" t="s">
        <v>32</v>
      </c>
      <c r="B767" s="17" t="s">
        <v>32</v>
      </c>
      <c r="C767" s="30" t="s">
        <v>32</v>
      </c>
      <c r="D767" s="31" t="s">
        <v>32</v>
      </c>
      <c r="E767" s="17" t="s">
        <v>549</v>
      </c>
      <c r="F767" s="17" t="s">
        <v>32</v>
      </c>
    </row>
    <row r="768" ht="21" customHeight="1" hidden="1" spans="1:6" x14ac:dyDescent="0.25" outlineLevel="1" collapsed="1">
      <c r="A768" s="32" t="s">
        <v>32</v>
      </c>
      <c r="B768" s="12" t="s">
        <v>32</v>
      </c>
      <c r="C768" s="32" t="s">
        <v>32</v>
      </c>
      <c r="D768" s="31" t="s">
        <v>32</v>
      </c>
      <c r="E768" s="12" t="s">
        <v>550</v>
      </c>
      <c r="F768" s="12" t="s">
        <v>32</v>
      </c>
    </row>
    <row r="769" ht="21" customHeight="1" hidden="1" spans="1:6" x14ac:dyDescent="0.25" outlineLevel="1" collapsed="1">
      <c r="A769" s="30" t="s">
        <v>32</v>
      </c>
      <c r="B769" s="17" t="s">
        <v>32</v>
      </c>
      <c r="C769" s="30" t="s">
        <v>32</v>
      </c>
      <c r="D769" s="31" t="s">
        <v>32</v>
      </c>
      <c r="E769" s="17" t="s">
        <v>551</v>
      </c>
      <c r="F769" s="17" t="s">
        <v>32</v>
      </c>
    </row>
    <row r="770" ht="21" customHeight="1" hidden="1" spans="1:6" x14ac:dyDescent="0.25" outlineLevel="1" collapsed="1">
      <c r="A770" s="32" t="s">
        <v>32</v>
      </c>
      <c r="B770" s="12" t="s">
        <v>32</v>
      </c>
      <c r="C770" s="32" t="s">
        <v>32</v>
      </c>
      <c r="D770" s="31" t="s">
        <v>32</v>
      </c>
      <c r="E770" s="12" t="s">
        <v>552</v>
      </c>
      <c r="F770" s="12" t="s">
        <v>32</v>
      </c>
    </row>
    <row r="771" ht="21" customHeight="1" hidden="1" spans="1:6" x14ac:dyDescent="0.25" outlineLevel="1" collapsed="1">
      <c r="A771" s="30" t="s">
        <v>32</v>
      </c>
      <c r="B771" s="17" t="s">
        <v>32</v>
      </c>
      <c r="C771" s="30" t="s">
        <v>32</v>
      </c>
      <c r="D771" s="31" t="s">
        <v>32</v>
      </c>
      <c r="E771" s="17" t="s">
        <v>553</v>
      </c>
      <c r="F771" s="17" t="s">
        <v>32</v>
      </c>
    </row>
    <row r="772" ht="21" customHeight="1" hidden="1" spans="1:6" x14ac:dyDescent="0.25" outlineLevel="1" collapsed="1">
      <c r="A772" s="32" t="s">
        <v>32</v>
      </c>
      <c r="B772" s="12" t="s">
        <v>32</v>
      </c>
      <c r="C772" s="32" t="s">
        <v>32</v>
      </c>
      <c r="D772" s="31" t="s">
        <v>32</v>
      </c>
      <c r="E772" s="12" t="s">
        <v>554</v>
      </c>
      <c r="F772" s="12" t="s">
        <v>32</v>
      </c>
    </row>
    <row r="773" ht="21" customHeight="1" hidden="1" spans="1:6" x14ac:dyDescent="0.25" outlineLevel="1" collapsed="1">
      <c r="A773" s="30" t="s">
        <v>32</v>
      </c>
      <c r="B773" s="17" t="s">
        <v>32</v>
      </c>
      <c r="C773" s="30" t="s">
        <v>32</v>
      </c>
      <c r="D773" s="31" t="s">
        <v>32</v>
      </c>
      <c r="E773" s="17" t="s">
        <v>555</v>
      </c>
      <c r="F773" s="17" t="s">
        <v>32</v>
      </c>
    </row>
    <row r="774" ht="21" customHeight="1" hidden="1" spans="1:6" x14ac:dyDescent="0.25" outlineLevel="1" collapsed="1">
      <c r="A774" s="32" t="s">
        <v>32</v>
      </c>
      <c r="B774" s="12" t="s">
        <v>32</v>
      </c>
      <c r="C774" s="32" t="s">
        <v>32</v>
      </c>
      <c r="D774" s="31" t="s">
        <v>32</v>
      </c>
      <c r="E774" s="12" t="s">
        <v>556</v>
      </c>
      <c r="F774" s="12" t="s">
        <v>32</v>
      </c>
    </row>
    <row r="775" ht="21" customHeight="1" hidden="1" spans="1:6" x14ac:dyDescent="0.25" outlineLevel="1" collapsed="1">
      <c r="A775" s="30" t="s">
        <v>32</v>
      </c>
      <c r="B775" s="17" t="s">
        <v>32</v>
      </c>
      <c r="C775" s="30" t="s">
        <v>32</v>
      </c>
      <c r="D775" s="31" t="s">
        <v>32</v>
      </c>
      <c r="E775" s="17" t="s">
        <v>493</v>
      </c>
      <c r="F775" s="17" t="s">
        <v>32</v>
      </c>
    </row>
    <row r="776" ht="21" customHeight="1" hidden="1" spans="1:6" x14ac:dyDescent="0.25" outlineLevel="1" collapsed="1">
      <c r="A776" s="32" t="s">
        <v>32</v>
      </c>
      <c r="B776" s="12" t="s">
        <v>32</v>
      </c>
      <c r="C776" s="32" t="s">
        <v>32</v>
      </c>
      <c r="D776" s="31" t="s">
        <v>32</v>
      </c>
      <c r="E776" s="33" t="s">
        <v>633</v>
      </c>
      <c r="F776" s="12" t="s">
        <v>32</v>
      </c>
    </row>
    <row r="777" ht="22" customHeight="1" hidden="1" spans="1:6" x14ac:dyDescent="0.25" outlineLevel="1" collapsed="1">
      <c r="A777" s="34" t="s">
        <v>495</v>
      </c>
      <c r="B777" s="34"/>
      <c r="C777" s="34"/>
      <c r="D777" s="34"/>
      <c r="E777" s="34"/>
      <c r="F777" s="34"/>
    </row>
    <row r="778" ht="24" customHeight="1" hidden="1" spans="1:6" x14ac:dyDescent="0.25" outlineLevel="1" collapsed="1">
      <c r="A778" s="12" t="s">
        <v>644</v>
      </c>
      <c r="B778" s="12"/>
      <c r="C778" s="12"/>
      <c r="D778" s="12"/>
      <c r="E778" s="12"/>
      <c r="F778" s="12"/>
    </row>
    <row r="779" ht="24" customHeight="1" hidden="1" spans="1:6" x14ac:dyDescent="0.25" outlineLevel="1" collapsed="1">
      <c r="A779" s="12" t="s">
        <v>645</v>
      </c>
      <c r="B779" s="12"/>
      <c r="C779" s="12"/>
      <c r="D779" s="12"/>
      <c r="E779" s="12"/>
      <c r="F779" s="12"/>
    </row>
    <row r="780" ht="56" customHeight="1" hidden="1" spans="1:6" x14ac:dyDescent="0.25" outlineLevel="1" collapsed="1">
      <c r="A780" s="12" t="s">
        <v>647</v>
      </c>
      <c r="B780" s="12"/>
      <c r="C780" s="12"/>
      <c r="D780" s="12"/>
      <c r="E780" s="12"/>
      <c r="F780" s="12"/>
    </row>
    <row r="781" ht="24" customHeight="1" hidden="1" spans="1:6" x14ac:dyDescent="0.25" outlineLevel="1" collapsed="1">
      <c r="A781" s="12" t="s">
        <v>499</v>
      </c>
      <c r="B781" s="12"/>
      <c r="C781" s="12"/>
      <c r="D781" s="12"/>
      <c r="E781" s="12"/>
      <c r="F781" s="12"/>
    </row>
    <row r="782" ht="6" customHeight="1" hidden="1" x14ac:dyDescent="0.25" outlineLevel="1" collapsed="1"/>
    <row r="783" ht="22" customHeight="1" spans="1:6" x14ac:dyDescent="0.25">
      <c r="A783" s="25" t="s">
        <v>560</v>
      </c>
      <c r="B783" s="25"/>
      <c r="C783" s="25"/>
      <c r="D783" s="25"/>
      <c r="E783" s="25"/>
      <c r="F783" s="25"/>
    </row>
    <row r="784" ht="20" customHeight="1" hidden="1" spans="1:6" x14ac:dyDescent="0.25" outlineLevel="1" collapsed="1">
      <c r="A784" s="26" t="s">
        <v>460</v>
      </c>
      <c r="B784" s="26" t="s">
        <v>461</v>
      </c>
      <c r="C784" s="26" t="s">
        <v>462</v>
      </c>
      <c r="D784" s="26" t="s">
        <v>32</v>
      </c>
      <c r="E784" s="26" t="s">
        <v>463</v>
      </c>
      <c r="F784" s="26" t="s">
        <v>464</v>
      </c>
    </row>
    <row r="785" ht="36" customHeight="1" hidden="1" spans="1:6" x14ac:dyDescent="0.25" outlineLevel="1" collapsed="1">
      <c r="A785" s="27">
        <v>4220</v>
      </c>
      <c r="B785" s="28" t="s">
        <v>543</v>
      </c>
      <c r="C785" s="27" t="s">
        <v>466</v>
      </c>
      <c r="D785" s="29" t="s">
        <v>32</v>
      </c>
      <c r="E785" s="28" t="s">
        <v>522</v>
      </c>
      <c r="F785" s="28" t="s">
        <v>32</v>
      </c>
    </row>
    <row r="786" ht="21" customHeight="1" hidden="1" spans="1:6" x14ac:dyDescent="0.25" outlineLevel="1" collapsed="1">
      <c r="A786" s="30" t="s">
        <v>32</v>
      </c>
      <c r="B786" s="17" t="s">
        <v>32</v>
      </c>
      <c r="C786" s="30" t="s">
        <v>32</v>
      </c>
      <c r="D786" s="31" t="s">
        <v>32</v>
      </c>
      <c r="E786" s="35" t="s">
        <v>632</v>
      </c>
      <c r="F786" s="17" t="s">
        <v>32</v>
      </c>
    </row>
    <row r="787" ht="36" customHeight="1" hidden="1" spans="1:6" x14ac:dyDescent="0.25" outlineLevel="1" collapsed="1">
      <c r="A787" s="27">
        <v>4240</v>
      </c>
      <c r="B787" s="28" t="s">
        <v>471</v>
      </c>
      <c r="C787" s="27" t="s">
        <v>472</v>
      </c>
      <c r="D787" s="29" t="s">
        <v>32</v>
      </c>
      <c r="E787" s="28" t="s">
        <v>524</v>
      </c>
      <c r="F787" s="28" t="s">
        <v>32</v>
      </c>
    </row>
    <row r="788" ht="21" customHeight="1" hidden="1" spans="1:6" x14ac:dyDescent="0.25" outlineLevel="1" collapsed="1">
      <c r="A788" s="30" t="s">
        <v>32</v>
      </c>
      <c r="B788" s="17" t="s">
        <v>32</v>
      </c>
      <c r="C788" s="30" t="s">
        <v>32</v>
      </c>
      <c r="D788" s="31" t="s">
        <v>32</v>
      </c>
      <c r="E788" s="35" t="s">
        <v>632</v>
      </c>
      <c r="F788" s="17" t="s">
        <v>32</v>
      </c>
    </row>
    <row r="789" ht="51" customHeight="1" hidden="1" spans="1:6" x14ac:dyDescent="0.25" outlineLevel="1" collapsed="1">
      <c r="A789" s="27">
        <v>4230</v>
      </c>
      <c r="B789" s="28" t="s">
        <v>544</v>
      </c>
      <c r="C789" s="27" t="s">
        <v>472</v>
      </c>
      <c r="D789" s="29" t="s">
        <v>32</v>
      </c>
      <c r="E789" s="28" t="s">
        <v>545</v>
      </c>
      <c r="F789" s="28" t="s">
        <v>482</v>
      </c>
    </row>
    <row r="790" ht="21" customHeight="1" hidden="1" spans="1:6" x14ac:dyDescent="0.25" outlineLevel="1" collapsed="1">
      <c r="A790" s="30" t="s">
        <v>32</v>
      </c>
      <c r="B790" s="17" t="s">
        <v>32</v>
      </c>
      <c r="C790" s="30" t="s">
        <v>32</v>
      </c>
      <c r="D790" s="31" t="s">
        <v>32</v>
      </c>
      <c r="E790" s="17" t="s">
        <v>547</v>
      </c>
      <c r="F790" s="17" t="s">
        <v>32</v>
      </c>
    </row>
    <row r="791" ht="36" customHeight="1" hidden="1" spans="1:6" x14ac:dyDescent="0.25" outlineLevel="1" collapsed="1">
      <c r="A791" s="32" t="s">
        <v>32</v>
      </c>
      <c r="B791" s="12" t="s">
        <v>32</v>
      </c>
      <c r="C791" s="32" t="s">
        <v>32</v>
      </c>
      <c r="D791" s="31" t="s">
        <v>32</v>
      </c>
      <c r="E791" s="12" t="s">
        <v>548</v>
      </c>
      <c r="F791" s="12" t="s">
        <v>32</v>
      </c>
    </row>
    <row r="792" ht="36" customHeight="1" hidden="1" spans="1:6" x14ac:dyDescent="0.25" outlineLevel="1" collapsed="1">
      <c r="A792" s="30" t="s">
        <v>32</v>
      </c>
      <c r="B792" s="17" t="s">
        <v>32</v>
      </c>
      <c r="C792" s="30" t="s">
        <v>32</v>
      </c>
      <c r="D792" s="31" t="s">
        <v>32</v>
      </c>
      <c r="E792" s="17" t="s">
        <v>549</v>
      </c>
      <c r="F792" s="17" t="s">
        <v>32</v>
      </c>
    </row>
    <row r="793" ht="21" customHeight="1" hidden="1" spans="1:6" x14ac:dyDescent="0.25" outlineLevel="1" collapsed="1">
      <c r="A793" s="32" t="s">
        <v>32</v>
      </c>
      <c r="B793" s="12" t="s">
        <v>32</v>
      </c>
      <c r="C793" s="32" t="s">
        <v>32</v>
      </c>
      <c r="D793" s="31" t="s">
        <v>32</v>
      </c>
      <c r="E793" s="12" t="s">
        <v>550</v>
      </c>
      <c r="F793" s="12" t="s">
        <v>32</v>
      </c>
    </row>
    <row r="794" ht="21" customHeight="1" hidden="1" spans="1:6" x14ac:dyDescent="0.25" outlineLevel="1" collapsed="1">
      <c r="A794" s="30" t="s">
        <v>32</v>
      </c>
      <c r="B794" s="17" t="s">
        <v>32</v>
      </c>
      <c r="C794" s="30" t="s">
        <v>32</v>
      </c>
      <c r="D794" s="31" t="s">
        <v>32</v>
      </c>
      <c r="E794" s="17" t="s">
        <v>551</v>
      </c>
      <c r="F794" s="17" t="s">
        <v>32</v>
      </c>
    </row>
    <row r="795" ht="21" customHeight="1" hidden="1" spans="1:6" x14ac:dyDescent="0.25" outlineLevel="1" collapsed="1">
      <c r="A795" s="32" t="s">
        <v>32</v>
      </c>
      <c r="B795" s="12" t="s">
        <v>32</v>
      </c>
      <c r="C795" s="32" t="s">
        <v>32</v>
      </c>
      <c r="D795" s="31" t="s">
        <v>32</v>
      </c>
      <c r="E795" s="12" t="s">
        <v>552</v>
      </c>
      <c r="F795" s="12" t="s">
        <v>32</v>
      </c>
    </row>
    <row r="796" ht="21" customHeight="1" hidden="1" spans="1:6" x14ac:dyDescent="0.25" outlineLevel="1" collapsed="1">
      <c r="A796" s="30" t="s">
        <v>32</v>
      </c>
      <c r="B796" s="17" t="s">
        <v>32</v>
      </c>
      <c r="C796" s="30" t="s">
        <v>32</v>
      </c>
      <c r="D796" s="31" t="s">
        <v>32</v>
      </c>
      <c r="E796" s="17" t="s">
        <v>553</v>
      </c>
      <c r="F796" s="17" t="s">
        <v>32</v>
      </c>
    </row>
    <row r="797" ht="21" customHeight="1" hidden="1" spans="1:6" x14ac:dyDescent="0.25" outlineLevel="1" collapsed="1">
      <c r="A797" s="32" t="s">
        <v>32</v>
      </c>
      <c r="B797" s="12" t="s">
        <v>32</v>
      </c>
      <c r="C797" s="32" t="s">
        <v>32</v>
      </c>
      <c r="D797" s="31" t="s">
        <v>32</v>
      </c>
      <c r="E797" s="12" t="s">
        <v>554</v>
      </c>
      <c r="F797" s="12" t="s">
        <v>32</v>
      </c>
    </row>
    <row r="798" ht="21" customHeight="1" hidden="1" spans="1:6" x14ac:dyDescent="0.25" outlineLevel="1" collapsed="1">
      <c r="A798" s="30" t="s">
        <v>32</v>
      </c>
      <c r="B798" s="17" t="s">
        <v>32</v>
      </c>
      <c r="C798" s="30" t="s">
        <v>32</v>
      </c>
      <c r="D798" s="31" t="s">
        <v>32</v>
      </c>
      <c r="E798" s="17" t="s">
        <v>555</v>
      </c>
      <c r="F798" s="17" t="s">
        <v>32</v>
      </c>
    </row>
    <row r="799" ht="21" customHeight="1" hidden="1" spans="1:6" x14ac:dyDescent="0.25" outlineLevel="1" collapsed="1">
      <c r="A799" s="32" t="s">
        <v>32</v>
      </c>
      <c r="B799" s="12" t="s">
        <v>32</v>
      </c>
      <c r="C799" s="32" t="s">
        <v>32</v>
      </c>
      <c r="D799" s="31" t="s">
        <v>32</v>
      </c>
      <c r="E799" s="12" t="s">
        <v>556</v>
      </c>
      <c r="F799" s="12" t="s">
        <v>32</v>
      </c>
    </row>
    <row r="800" ht="21" customHeight="1" hidden="1" spans="1:6" x14ac:dyDescent="0.25" outlineLevel="1" collapsed="1">
      <c r="A800" s="30" t="s">
        <v>32</v>
      </c>
      <c r="B800" s="17" t="s">
        <v>32</v>
      </c>
      <c r="C800" s="30" t="s">
        <v>32</v>
      </c>
      <c r="D800" s="31" t="s">
        <v>32</v>
      </c>
      <c r="E800" s="17" t="s">
        <v>493</v>
      </c>
      <c r="F800" s="17" t="s">
        <v>32</v>
      </c>
    </row>
    <row r="801" ht="21" customHeight="1" hidden="1" spans="1:6" x14ac:dyDescent="0.25" outlineLevel="1" collapsed="1">
      <c r="A801" s="32" t="s">
        <v>32</v>
      </c>
      <c r="B801" s="12" t="s">
        <v>32</v>
      </c>
      <c r="C801" s="32" t="s">
        <v>32</v>
      </c>
      <c r="D801" s="31" t="s">
        <v>32</v>
      </c>
      <c r="E801" s="33" t="s">
        <v>633</v>
      </c>
      <c r="F801" s="12" t="s">
        <v>32</v>
      </c>
    </row>
    <row r="802" ht="22" customHeight="1" hidden="1" spans="1:6" x14ac:dyDescent="0.25" outlineLevel="1" collapsed="1">
      <c r="A802" s="34" t="s">
        <v>495</v>
      </c>
      <c r="B802" s="34"/>
      <c r="C802" s="34"/>
      <c r="D802" s="34"/>
      <c r="E802" s="34"/>
      <c r="F802" s="34"/>
    </row>
    <row r="803" ht="24" customHeight="1" hidden="1" spans="1:6" x14ac:dyDescent="0.25" outlineLevel="1" collapsed="1">
      <c r="A803" s="12" t="s">
        <v>644</v>
      </c>
      <c r="B803" s="12"/>
      <c r="C803" s="12"/>
      <c r="D803" s="12"/>
      <c r="E803" s="12"/>
      <c r="F803" s="12"/>
    </row>
    <row r="804" ht="24" customHeight="1" hidden="1" spans="1:6" x14ac:dyDescent="0.25" outlineLevel="1" collapsed="1">
      <c r="A804" s="12" t="s">
        <v>645</v>
      </c>
      <c r="B804" s="12"/>
      <c r="C804" s="12"/>
      <c r="D804" s="12"/>
      <c r="E804" s="12"/>
      <c r="F804" s="12"/>
    </row>
    <row r="805" ht="56" customHeight="1" hidden="1" spans="1:6" x14ac:dyDescent="0.25" outlineLevel="1" collapsed="1">
      <c r="A805" s="12" t="s">
        <v>647</v>
      </c>
      <c r="B805" s="12"/>
      <c r="C805" s="12"/>
      <c r="D805" s="12"/>
      <c r="E805" s="12"/>
      <c r="F805" s="12"/>
    </row>
    <row r="806" ht="24" customHeight="1" hidden="1" spans="1:6" x14ac:dyDescent="0.25" outlineLevel="1" collapsed="1">
      <c r="A806" s="12" t="s">
        <v>499</v>
      </c>
      <c r="B806" s="12"/>
      <c r="C806" s="12"/>
      <c r="D806" s="12"/>
      <c r="E806" s="12"/>
      <c r="F806" s="12"/>
    </row>
    <row r="807" ht="6" customHeight="1" hidden="1" x14ac:dyDescent="0.25" outlineLevel="1" collapsed="1"/>
    <row r="808" ht="22" customHeight="1" spans="1:6" x14ac:dyDescent="0.25">
      <c r="A808" s="25" t="s">
        <v>561</v>
      </c>
      <c r="B808" s="25"/>
      <c r="C808" s="25"/>
      <c r="D808" s="25"/>
      <c r="E808" s="25"/>
      <c r="F808" s="25"/>
    </row>
    <row r="809" ht="20" customHeight="1" hidden="1" spans="1:6" x14ac:dyDescent="0.25" outlineLevel="1" collapsed="1">
      <c r="A809" s="26" t="s">
        <v>460</v>
      </c>
      <c r="B809" s="26" t="s">
        <v>461</v>
      </c>
      <c r="C809" s="26" t="s">
        <v>462</v>
      </c>
      <c r="D809" s="26" t="s">
        <v>32</v>
      </c>
      <c r="E809" s="26" t="s">
        <v>463</v>
      </c>
      <c r="F809" s="26" t="s">
        <v>464</v>
      </c>
    </row>
    <row r="810" ht="36" customHeight="1" hidden="1" spans="1:6" x14ac:dyDescent="0.25" outlineLevel="1" collapsed="1">
      <c r="A810" s="27">
        <v>4220</v>
      </c>
      <c r="B810" s="28" t="s">
        <v>543</v>
      </c>
      <c r="C810" s="27" t="s">
        <v>466</v>
      </c>
      <c r="D810" s="29" t="s">
        <v>32</v>
      </c>
      <c r="E810" s="28" t="s">
        <v>522</v>
      </c>
      <c r="F810" s="28" t="s">
        <v>32</v>
      </c>
    </row>
    <row r="811" ht="21" customHeight="1" hidden="1" spans="1:6" x14ac:dyDescent="0.25" outlineLevel="1" collapsed="1">
      <c r="A811" s="30" t="s">
        <v>32</v>
      </c>
      <c r="B811" s="17" t="s">
        <v>32</v>
      </c>
      <c r="C811" s="30" t="s">
        <v>32</v>
      </c>
      <c r="D811" s="31" t="s">
        <v>32</v>
      </c>
      <c r="E811" s="35" t="s">
        <v>632</v>
      </c>
      <c r="F811" s="17" t="s">
        <v>32</v>
      </c>
    </row>
    <row r="812" ht="36" customHeight="1" hidden="1" spans="1:6" x14ac:dyDescent="0.25" outlineLevel="1" collapsed="1">
      <c r="A812" s="27">
        <v>4240</v>
      </c>
      <c r="B812" s="28" t="s">
        <v>471</v>
      </c>
      <c r="C812" s="27" t="s">
        <v>472</v>
      </c>
      <c r="D812" s="29" t="s">
        <v>32</v>
      </c>
      <c r="E812" s="28" t="s">
        <v>524</v>
      </c>
      <c r="F812" s="28" t="s">
        <v>32</v>
      </c>
    </row>
    <row r="813" ht="21" customHeight="1" hidden="1" spans="1:6" x14ac:dyDescent="0.25" outlineLevel="1" collapsed="1">
      <c r="A813" s="30" t="s">
        <v>32</v>
      </c>
      <c r="B813" s="17" t="s">
        <v>32</v>
      </c>
      <c r="C813" s="30" t="s">
        <v>32</v>
      </c>
      <c r="D813" s="31" t="s">
        <v>32</v>
      </c>
      <c r="E813" s="35" t="s">
        <v>632</v>
      </c>
      <c r="F813" s="17" t="s">
        <v>32</v>
      </c>
    </row>
    <row r="814" ht="51" customHeight="1" hidden="1" spans="1:6" x14ac:dyDescent="0.25" outlineLevel="1" collapsed="1">
      <c r="A814" s="27">
        <v>4230</v>
      </c>
      <c r="B814" s="28" t="s">
        <v>544</v>
      </c>
      <c r="C814" s="27" t="s">
        <v>472</v>
      </c>
      <c r="D814" s="29" t="s">
        <v>32</v>
      </c>
      <c r="E814" s="28" t="s">
        <v>545</v>
      </c>
      <c r="F814" s="28" t="s">
        <v>482</v>
      </c>
    </row>
    <row r="815" ht="21" customHeight="1" hidden="1" spans="1:6" x14ac:dyDescent="0.25" outlineLevel="1" collapsed="1">
      <c r="A815" s="30" t="s">
        <v>32</v>
      </c>
      <c r="B815" s="17" t="s">
        <v>32</v>
      </c>
      <c r="C815" s="30" t="s">
        <v>32</v>
      </c>
      <c r="D815" s="31" t="s">
        <v>32</v>
      </c>
      <c r="E815" s="17" t="s">
        <v>547</v>
      </c>
      <c r="F815" s="17" t="s">
        <v>32</v>
      </c>
    </row>
    <row r="816" ht="36" customHeight="1" hidden="1" spans="1:6" x14ac:dyDescent="0.25" outlineLevel="1" collapsed="1">
      <c r="A816" s="32" t="s">
        <v>32</v>
      </c>
      <c r="B816" s="12" t="s">
        <v>32</v>
      </c>
      <c r="C816" s="32" t="s">
        <v>32</v>
      </c>
      <c r="D816" s="31" t="s">
        <v>32</v>
      </c>
      <c r="E816" s="12" t="s">
        <v>548</v>
      </c>
      <c r="F816" s="12" t="s">
        <v>32</v>
      </c>
    </row>
    <row r="817" ht="36" customHeight="1" hidden="1" spans="1:6" x14ac:dyDescent="0.25" outlineLevel="1" collapsed="1">
      <c r="A817" s="30" t="s">
        <v>32</v>
      </c>
      <c r="B817" s="17" t="s">
        <v>32</v>
      </c>
      <c r="C817" s="30" t="s">
        <v>32</v>
      </c>
      <c r="D817" s="31" t="s">
        <v>32</v>
      </c>
      <c r="E817" s="17" t="s">
        <v>549</v>
      </c>
      <c r="F817" s="17" t="s">
        <v>32</v>
      </c>
    </row>
    <row r="818" ht="21" customHeight="1" hidden="1" spans="1:6" x14ac:dyDescent="0.25" outlineLevel="1" collapsed="1">
      <c r="A818" s="32" t="s">
        <v>32</v>
      </c>
      <c r="B818" s="12" t="s">
        <v>32</v>
      </c>
      <c r="C818" s="32" t="s">
        <v>32</v>
      </c>
      <c r="D818" s="31" t="s">
        <v>32</v>
      </c>
      <c r="E818" s="12" t="s">
        <v>550</v>
      </c>
      <c r="F818" s="12" t="s">
        <v>32</v>
      </c>
    </row>
    <row r="819" ht="21" customHeight="1" hidden="1" spans="1:6" x14ac:dyDescent="0.25" outlineLevel="1" collapsed="1">
      <c r="A819" s="30" t="s">
        <v>32</v>
      </c>
      <c r="B819" s="17" t="s">
        <v>32</v>
      </c>
      <c r="C819" s="30" t="s">
        <v>32</v>
      </c>
      <c r="D819" s="31" t="s">
        <v>32</v>
      </c>
      <c r="E819" s="17" t="s">
        <v>551</v>
      </c>
      <c r="F819" s="17" t="s">
        <v>32</v>
      </c>
    </row>
    <row r="820" ht="21" customHeight="1" hidden="1" spans="1:6" x14ac:dyDescent="0.25" outlineLevel="1" collapsed="1">
      <c r="A820" s="32" t="s">
        <v>32</v>
      </c>
      <c r="B820" s="12" t="s">
        <v>32</v>
      </c>
      <c r="C820" s="32" t="s">
        <v>32</v>
      </c>
      <c r="D820" s="31" t="s">
        <v>32</v>
      </c>
      <c r="E820" s="12" t="s">
        <v>552</v>
      </c>
      <c r="F820" s="12" t="s">
        <v>32</v>
      </c>
    </row>
    <row r="821" ht="21" customHeight="1" hidden="1" spans="1:6" x14ac:dyDescent="0.25" outlineLevel="1" collapsed="1">
      <c r="A821" s="30" t="s">
        <v>32</v>
      </c>
      <c r="B821" s="17" t="s">
        <v>32</v>
      </c>
      <c r="C821" s="30" t="s">
        <v>32</v>
      </c>
      <c r="D821" s="31" t="s">
        <v>32</v>
      </c>
      <c r="E821" s="17" t="s">
        <v>553</v>
      </c>
      <c r="F821" s="17" t="s">
        <v>32</v>
      </c>
    </row>
    <row r="822" ht="21" customHeight="1" hidden="1" spans="1:6" x14ac:dyDescent="0.25" outlineLevel="1" collapsed="1">
      <c r="A822" s="32" t="s">
        <v>32</v>
      </c>
      <c r="B822" s="12" t="s">
        <v>32</v>
      </c>
      <c r="C822" s="32" t="s">
        <v>32</v>
      </c>
      <c r="D822" s="31" t="s">
        <v>32</v>
      </c>
      <c r="E822" s="12" t="s">
        <v>554</v>
      </c>
      <c r="F822" s="12" t="s">
        <v>32</v>
      </c>
    </row>
    <row r="823" ht="21" customHeight="1" hidden="1" spans="1:6" x14ac:dyDescent="0.25" outlineLevel="1" collapsed="1">
      <c r="A823" s="30" t="s">
        <v>32</v>
      </c>
      <c r="B823" s="17" t="s">
        <v>32</v>
      </c>
      <c r="C823" s="30" t="s">
        <v>32</v>
      </c>
      <c r="D823" s="31" t="s">
        <v>32</v>
      </c>
      <c r="E823" s="17" t="s">
        <v>555</v>
      </c>
      <c r="F823" s="17" t="s">
        <v>32</v>
      </c>
    </row>
    <row r="824" ht="21" customHeight="1" hidden="1" spans="1:6" x14ac:dyDescent="0.25" outlineLevel="1" collapsed="1">
      <c r="A824" s="32" t="s">
        <v>32</v>
      </c>
      <c r="B824" s="12" t="s">
        <v>32</v>
      </c>
      <c r="C824" s="32" t="s">
        <v>32</v>
      </c>
      <c r="D824" s="31" t="s">
        <v>32</v>
      </c>
      <c r="E824" s="12" t="s">
        <v>556</v>
      </c>
      <c r="F824" s="12" t="s">
        <v>32</v>
      </c>
    </row>
    <row r="825" ht="21" customHeight="1" hidden="1" spans="1:6" x14ac:dyDescent="0.25" outlineLevel="1" collapsed="1">
      <c r="A825" s="30" t="s">
        <v>32</v>
      </c>
      <c r="B825" s="17" t="s">
        <v>32</v>
      </c>
      <c r="C825" s="30" t="s">
        <v>32</v>
      </c>
      <c r="D825" s="31" t="s">
        <v>32</v>
      </c>
      <c r="E825" s="17" t="s">
        <v>493</v>
      </c>
      <c r="F825" s="17" t="s">
        <v>32</v>
      </c>
    </row>
    <row r="826" ht="21" customHeight="1" hidden="1" spans="1:6" x14ac:dyDescent="0.25" outlineLevel="1" collapsed="1">
      <c r="A826" s="32" t="s">
        <v>32</v>
      </c>
      <c r="B826" s="12" t="s">
        <v>32</v>
      </c>
      <c r="C826" s="32" t="s">
        <v>32</v>
      </c>
      <c r="D826" s="31" t="s">
        <v>32</v>
      </c>
      <c r="E826" s="33" t="s">
        <v>633</v>
      </c>
      <c r="F826" s="12" t="s">
        <v>32</v>
      </c>
    </row>
    <row r="827" ht="22" customHeight="1" hidden="1" spans="1:6" x14ac:dyDescent="0.25" outlineLevel="1" collapsed="1">
      <c r="A827" s="34" t="s">
        <v>495</v>
      </c>
      <c r="B827" s="34"/>
      <c r="C827" s="34"/>
      <c r="D827" s="34"/>
      <c r="E827" s="34"/>
      <c r="F827" s="34"/>
    </row>
    <row r="828" ht="24" customHeight="1" hidden="1" spans="1:6" x14ac:dyDescent="0.25" outlineLevel="1" collapsed="1">
      <c r="A828" s="12" t="s">
        <v>644</v>
      </c>
      <c r="B828" s="12"/>
      <c r="C828" s="12"/>
      <c r="D828" s="12"/>
      <c r="E828" s="12"/>
      <c r="F828" s="12"/>
    </row>
    <row r="829" ht="24" customHeight="1" hidden="1" spans="1:6" x14ac:dyDescent="0.25" outlineLevel="1" collapsed="1">
      <c r="A829" s="12" t="s">
        <v>645</v>
      </c>
      <c r="B829" s="12"/>
      <c r="C829" s="12"/>
      <c r="D829" s="12"/>
      <c r="E829" s="12"/>
      <c r="F829" s="12"/>
    </row>
    <row r="830" ht="56" customHeight="1" hidden="1" spans="1:6" x14ac:dyDescent="0.25" outlineLevel="1" collapsed="1">
      <c r="A830" s="12" t="s">
        <v>647</v>
      </c>
      <c r="B830" s="12"/>
      <c r="C830" s="12"/>
      <c r="D830" s="12"/>
      <c r="E830" s="12"/>
      <c r="F830" s="12"/>
    </row>
    <row r="831" ht="24" customHeight="1" hidden="1" spans="1:6" x14ac:dyDescent="0.25" outlineLevel="1" collapsed="1">
      <c r="A831" s="12" t="s">
        <v>499</v>
      </c>
      <c r="B831" s="12"/>
      <c r="C831" s="12"/>
      <c r="D831" s="12"/>
      <c r="E831" s="12"/>
      <c r="F831" s="12"/>
    </row>
    <row r="832" ht="6" customHeight="1" hidden="1" x14ac:dyDescent="0.25" outlineLevel="1" collapsed="1"/>
    <row r="833" ht="22" customHeight="1" spans="1:6" x14ac:dyDescent="0.25">
      <c r="A833" s="25" t="s">
        <v>562</v>
      </c>
      <c r="B833" s="25"/>
      <c r="C833" s="25"/>
      <c r="D833" s="25"/>
      <c r="E833" s="25"/>
      <c r="F833" s="25"/>
    </row>
    <row r="834" ht="20" customHeight="1" hidden="1" spans="1:6" x14ac:dyDescent="0.25" outlineLevel="1" collapsed="1">
      <c r="A834" s="26" t="s">
        <v>460</v>
      </c>
      <c r="B834" s="26" t="s">
        <v>461</v>
      </c>
      <c r="C834" s="26" t="s">
        <v>462</v>
      </c>
      <c r="D834" s="26" t="s">
        <v>32</v>
      </c>
      <c r="E834" s="26" t="s">
        <v>463</v>
      </c>
      <c r="F834" s="26" t="s">
        <v>464</v>
      </c>
    </row>
    <row r="835" ht="36" customHeight="1" hidden="1" spans="1:6" x14ac:dyDescent="0.25" outlineLevel="1" collapsed="1">
      <c r="A835" s="27">
        <v>4220</v>
      </c>
      <c r="B835" s="28" t="s">
        <v>543</v>
      </c>
      <c r="C835" s="27" t="s">
        <v>466</v>
      </c>
      <c r="D835" s="29" t="s">
        <v>32</v>
      </c>
      <c r="E835" s="28" t="s">
        <v>522</v>
      </c>
      <c r="F835" s="28" t="s">
        <v>32</v>
      </c>
    </row>
    <row r="836" ht="21" customHeight="1" hidden="1" spans="1:6" x14ac:dyDescent="0.25" outlineLevel="1" collapsed="1">
      <c r="A836" s="30" t="s">
        <v>32</v>
      </c>
      <c r="B836" s="17" t="s">
        <v>32</v>
      </c>
      <c r="C836" s="30" t="s">
        <v>32</v>
      </c>
      <c r="D836" s="31" t="s">
        <v>32</v>
      </c>
      <c r="E836" s="35" t="s">
        <v>632</v>
      </c>
      <c r="F836" s="17" t="s">
        <v>32</v>
      </c>
    </row>
    <row r="837" ht="36" customHeight="1" hidden="1" spans="1:6" x14ac:dyDescent="0.25" outlineLevel="1" collapsed="1">
      <c r="A837" s="27">
        <v>4240</v>
      </c>
      <c r="B837" s="28" t="s">
        <v>471</v>
      </c>
      <c r="C837" s="27" t="s">
        <v>472</v>
      </c>
      <c r="D837" s="29" t="s">
        <v>32</v>
      </c>
      <c r="E837" s="28" t="s">
        <v>524</v>
      </c>
      <c r="F837" s="28" t="s">
        <v>32</v>
      </c>
    </row>
    <row r="838" ht="21" customHeight="1" hidden="1" spans="1:6" x14ac:dyDescent="0.25" outlineLevel="1" collapsed="1">
      <c r="A838" s="30" t="s">
        <v>32</v>
      </c>
      <c r="B838" s="17" t="s">
        <v>32</v>
      </c>
      <c r="C838" s="30" t="s">
        <v>32</v>
      </c>
      <c r="D838" s="31" t="s">
        <v>32</v>
      </c>
      <c r="E838" s="35" t="s">
        <v>632</v>
      </c>
      <c r="F838" s="17" t="s">
        <v>32</v>
      </c>
    </row>
    <row r="839" ht="51" customHeight="1" hidden="1" spans="1:6" x14ac:dyDescent="0.25" outlineLevel="1" collapsed="1">
      <c r="A839" s="27">
        <v>4230</v>
      </c>
      <c r="B839" s="28" t="s">
        <v>544</v>
      </c>
      <c r="C839" s="27" t="s">
        <v>472</v>
      </c>
      <c r="D839" s="29" t="s">
        <v>32</v>
      </c>
      <c r="E839" s="28" t="s">
        <v>526</v>
      </c>
      <c r="F839" s="28" t="s">
        <v>482</v>
      </c>
    </row>
    <row r="840" ht="21" customHeight="1" hidden="1" spans="1:6" x14ac:dyDescent="0.25" outlineLevel="1" collapsed="1">
      <c r="A840" s="30" t="s">
        <v>32</v>
      </c>
      <c r="B840" s="17" t="s">
        <v>32</v>
      </c>
      <c r="C840" s="30" t="s">
        <v>32</v>
      </c>
      <c r="D840" s="31" t="s">
        <v>32</v>
      </c>
      <c r="E840" s="17" t="s">
        <v>528</v>
      </c>
      <c r="F840" s="17" t="s">
        <v>32</v>
      </c>
    </row>
    <row r="841" ht="36" customHeight="1" hidden="1" spans="1:6" x14ac:dyDescent="0.25" outlineLevel="1" collapsed="1">
      <c r="A841" s="32" t="s">
        <v>32</v>
      </c>
      <c r="B841" s="12" t="s">
        <v>32</v>
      </c>
      <c r="C841" s="32" t="s">
        <v>32</v>
      </c>
      <c r="D841" s="31" t="s">
        <v>32</v>
      </c>
      <c r="E841" s="12" t="s">
        <v>563</v>
      </c>
      <c r="F841" s="12" t="s">
        <v>32</v>
      </c>
    </row>
    <row r="842" ht="36" customHeight="1" hidden="1" spans="1:6" x14ac:dyDescent="0.25" outlineLevel="1" collapsed="1">
      <c r="A842" s="30" t="s">
        <v>32</v>
      </c>
      <c r="B842" s="17" t="s">
        <v>32</v>
      </c>
      <c r="C842" s="30" t="s">
        <v>32</v>
      </c>
      <c r="D842" s="31" t="s">
        <v>32</v>
      </c>
      <c r="E842" s="17" t="s">
        <v>530</v>
      </c>
      <c r="F842" s="17" t="s">
        <v>32</v>
      </c>
    </row>
    <row r="843" ht="21" customHeight="1" hidden="1" spans="1:6" x14ac:dyDescent="0.25" outlineLevel="1" collapsed="1">
      <c r="A843" s="32" t="s">
        <v>32</v>
      </c>
      <c r="B843" s="12" t="s">
        <v>32</v>
      </c>
      <c r="C843" s="32" t="s">
        <v>32</v>
      </c>
      <c r="D843" s="31" t="s">
        <v>32</v>
      </c>
      <c r="E843" s="12" t="s">
        <v>531</v>
      </c>
      <c r="F843" s="12" t="s">
        <v>32</v>
      </c>
    </row>
    <row r="844" ht="21" customHeight="1" hidden="1" spans="1:6" x14ac:dyDescent="0.25" outlineLevel="1" collapsed="1">
      <c r="A844" s="30" t="s">
        <v>32</v>
      </c>
      <c r="B844" s="17" t="s">
        <v>32</v>
      </c>
      <c r="C844" s="30" t="s">
        <v>32</v>
      </c>
      <c r="D844" s="31" t="s">
        <v>32</v>
      </c>
      <c r="E844" s="17" t="s">
        <v>487</v>
      </c>
      <c r="F844" s="17" t="s">
        <v>32</v>
      </c>
    </row>
    <row r="845" ht="21" customHeight="1" hidden="1" spans="1:6" x14ac:dyDescent="0.25" outlineLevel="1" collapsed="1">
      <c r="A845" s="32" t="s">
        <v>32</v>
      </c>
      <c r="B845" s="12" t="s">
        <v>32</v>
      </c>
      <c r="C845" s="32" t="s">
        <v>32</v>
      </c>
      <c r="D845" s="31" t="s">
        <v>32</v>
      </c>
      <c r="E845" s="12" t="s">
        <v>534</v>
      </c>
      <c r="F845" s="12" t="s">
        <v>32</v>
      </c>
    </row>
    <row r="846" ht="21" customHeight="1" hidden="1" spans="1:6" x14ac:dyDescent="0.25" outlineLevel="1" collapsed="1">
      <c r="A846" s="30" t="s">
        <v>32</v>
      </c>
      <c r="B846" s="17" t="s">
        <v>32</v>
      </c>
      <c r="C846" s="30" t="s">
        <v>32</v>
      </c>
      <c r="D846" s="31" t="s">
        <v>32</v>
      </c>
      <c r="E846" s="17" t="s">
        <v>535</v>
      </c>
      <c r="F846" s="17" t="s">
        <v>32</v>
      </c>
    </row>
    <row r="847" ht="21" customHeight="1" hidden="1" spans="1:6" x14ac:dyDescent="0.25" outlineLevel="1" collapsed="1">
      <c r="A847" s="32" t="s">
        <v>32</v>
      </c>
      <c r="B847" s="12" t="s">
        <v>32</v>
      </c>
      <c r="C847" s="32" t="s">
        <v>32</v>
      </c>
      <c r="D847" s="31" t="s">
        <v>32</v>
      </c>
      <c r="E847" s="12" t="s">
        <v>536</v>
      </c>
      <c r="F847" s="12" t="s">
        <v>32</v>
      </c>
    </row>
    <row r="848" ht="21" customHeight="1" hidden="1" spans="1:6" x14ac:dyDescent="0.25" outlineLevel="1" collapsed="1">
      <c r="A848" s="30" t="s">
        <v>32</v>
      </c>
      <c r="B848" s="17" t="s">
        <v>32</v>
      </c>
      <c r="C848" s="30" t="s">
        <v>32</v>
      </c>
      <c r="D848" s="31" t="s">
        <v>32</v>
      </c>
      <c r="E848" s="17" t="s">
        <v>491</v>
      </c>
      <c r="F848" s="17" t="s">
        <v>32</v>
      </c>
    </row>
    <row r="849" ht="21" customHeight="1" hidden="1" spans="1:6" x14ac:dyDescent="0.25" outlineLevel="1" collapsed="1">
      <c r="A849" s="32" t="s">
        <v>32</v>
      </c>
      <c r="B849" s="12" t="s">
        <v>32</v>
      </c>
      <c r="C849" s="32" t="s">
        <v>32</v>
      </c>
      <c r="D849" s="31" t="s">
        <v>32</v>
      </c>
      <c r="E849" s="12" t="s">
        <v>537</v>
      </c>
      <c r="F849" s="12" t="s">
        <v>32</v>
      </c>
    </row>
    <row r="850" ht="21" customHeight="1" hidden="1" spans="1:6" x14ac:dyDescent="0.25" outlineLevel="1" collapsed="1">
      <c r="A850" s="30" t="s">
        <v>32</v>
      </c>
      <c r="B850" s="17" t="s">
        <v>32</v>
      </c>
      <c r="C850" s="30" t="s">
        <v>32</v>
      </c>
      <c r="D850" s="31" t="s">
        <v>32</v>
      </c>
      <c r="E850" s="17" t="s">
        <v>493</v>
      </c>
      <c r="F850" s="17" t="s">
        <v>32</v>
      </c>
    </row>
    <row r="851" ht="21" customHeight="1" hidden="1" spans="1:6" x14ac:dyDescent="0.25" outlineLevel="1" collapsed="1">
      <c r="A851" s="32" t="s">
        <v>32</v>
      </c>
      <c r="B851" s="12" t="s">
        <v>32</v>
      </c>
      <c r="C851" s="32" t="s">
        <v>32</v>
      </c>
      <c r="D851" s="31" t="s">
        <v>32</v>
      </c>
      <c r="E851" s="33" t="s">
        <v>633</v>
      </c>
      <c r="F851" s="12" t="s">
        <v>32</v>
      </c>
    </row>
    <row r="852" ht="22" customHeight="1" hidden="1" spans="1:6" x14ac:dyDescent="0.25" outlineLevel="1" collapsed="1">
      <c r="A852" s="34" t="s">
        <v>495</v>
      </c>
      <c r="B852" s="34"/>
      <c r="C852" s="34"/>
      <c r="D852" s="34"/>
      <c r="E852" s="34"/>
      <c r="F852" s="34"/>
    </row>
    <row r="853" ht="24" customHeight="1" hidden="1" spans="1:6" x14ac:dyDescent="0.25" outlineLevel="1" collapsed="1">
      <c r="A853" s="12" t="s">
        <v>644</v>
      </c>
      <c r="B853" s="12"/>
      <c r="C853" s="12"/>
      <c r="D853" s="12"/>
      <c r="E853" s="12"/>
      <c r="F853" s="12"/>
    </row>
    <row r="854" ht="24" customHeight="1" hidden="1" spans="1:6" x14ac:dyDescent="0.25" outlineLevel="1" collapsed="1">
      <c r="A854" s="12" t="s">
        <v>645</v>
      </c>
      <c r="B854" s="12"/>
      <c r="C854" s="12"/>
      <c r="D854" s="12"/>
      <c r="E854" s="12"/>
      <c r="F854" s="12"/>
    </row>
    <row r="855" ht="56" customHeight="1" hidden="1" spans="1:6" x14ac:dyDescent="0.25" outlineLevel="1" collapsed="1">
      <c r="A855" s="12" t="s">
        <v>648</v>
      </c>
      <c r="B855" s="12"/>
      <c r="C855" s="12"/>
      <c r="D855" s="12"/>
      <c r="E855" s="12"/>
      <c r="F855" s="12"/>
    </row>
    <row r="856" ht="24" customHeight="1" hidden="1" spans="1:6" x14ac:dyDescent="0.25" outlineLevel="1" collapsed="1">
      <c r="A856" s="12" t="s">
        <v>499</v>
      </c>
      <c r="B856" s="12"/>
      <c r="C856" s="12"/>
      <c r="D856" s="12"/>
      <c r="E856" s="12"/>
      <c r="F856" s="12"/>
    </row>
    <row r="857" ht="6" customHeight="1" hidden="1" x14ac:dyDescent="0.25" outlineLevel="1" collapsed="1"/>
    <row r="858" ht="22" customHeight="1" spans="1:6" x14ac:dyDescent="0.25">
      <c r="A858" s="25" t="s">
        <v>565</v>
      </c>
      <c r="B858" s="25"/>
      <c r="C858" s="25"/>
      <c r="D858" s="25"/>
      <c r="E858" s="25"/>
      <c r="F858" s="25"/>
    </row>
    <row r="859" ht="20" customHeight="1" hidden="1" spans="1:6" x14ac:dyDescent="0.25" outlineLevel="1" collapsed="1">
      <c r="A859" s="26" t="s">
        <v>460</v>
      </c>
      <c r="B859" s="26" t="s">
        <v>461</v>
      </c>
      <c r="C859" s="26" t="s">
        <v>462</v>
      </c>
      <c r="D859" s="26" t="s">
        <v>32</v>
      </c>
      <c r="E859" s="26" t="s">
        <v>463</v>
      </c>
      <c r="F859" s="26" t="s">
        <v>464</v>
      </c>
    </row>
    <row r="860" ht="51" customHeight="1" hidden="1" spans="1:6" x14ac:dyDescent="0.25" outlineLevel="1" collapsed="1">
      <c r="A860" s="27">
        <v>4220</v>
      </c>
      <c r="B860" s="28" t="s">
        <v>543</v>
      </c>
      <c r="C860" s="27" t="s">
        <v>466</v>
      </c>
      <c r="D860" s="29" t="s">
        <v>32</v>
      </c>
      <c r="E860" s="28" t="s">
        <v>566</v>
      </c>
      <c r="F860" s="28" t="s">
        <v>567</v>
      </c>
    </row>
    <row r="861" ht="21" customHeight="1" hidden="1" spans="1:6" x14ac:dyDescent="0.25" outlineLevel="1" collapsed="1">
      <c r="A861" s="30" t="s">
        <v>32</v>
      </c>
      <c r="B861" s="17" t="s">
        <v>32</v>
      </c>
      <c r="C861" s="30" t="s">
        <v>32</v>
      </c>
      <c r="D861" s="31" t="s">
        <v>32</v>
      </c>
      <c r="E861" s="17" t="s">
        <v>568</v>
      </c>
      <c r="F861" s="17" t="s">
        <v>32</v>
      </c>
    </row>
    <row r="862" ht="21" customHeight="1" hidden="1" spans="1:6" x14ac:dyDescent="0.25" outlineLevel="1" collapsed="1">
      <c r="A862" s="32" t="s">
        <v>32</v>
      </c>
      <c r="B862" s="12" t="s">
        <v>32</v>
      </c>
      <c r="C862" s="32" t="s">
        <v>32</v>
      </c>
      <c r="D862" s="31" t="s">
        <v>32</v>
      </c>
      <c r="E862" s="33" t="s">
        <v>632</v>
      </c>
      <c r="F862" s="12" t="s">
        <v>32</v>
      </c>
    </row>
    <row r="863" ht="36" customHeight="1" hidden="1" spans="1:6" x14ac:dyDescent="0.25" outlineLevel="1" collapsed="1">
      <c r="A863" s="27">
        <v>4240</v>
      </c>
      <c r="B863" s="28" t="s">
        <v>471</v>
      </c>
      <c r="C863" s="27" t="s">
        <v>472</v>
      </c>
      <c r="D863" s="29" t="s">
        <v>32</v>
      </c>
      <c r="E863" s="28" t="s">
        <v>524</v>
      </c>
      <c r="F863" s="28" t="s">
        <v>32</v>
      </c>
    </row>
    <row r="864" ht="21" customHeight="1" hidden="1" spans="1:6" x14ac:dyDescent="0.25" outlineLevel="1" collapsed="1">
      <c r="A864" s="30" t="s">
        <v>32</v>
      </c>
      <c r="B864" s="17" t="s">
        <v>32</v>
      </c>
      <c r="C864" s="30" t="s">
        <v>32</v>
      </c>
      <c r="D864" s="31" t="s">
        <v>32</v>
      </c>
      <c r="E864" s="35" t="s">
        <v>632</v>
      </c>
      <c r="F864" s="17" t="s">
        <v>32</v>
      </c>
    </row>
    <row r="865" ht="51" customHeight="1" hidden="1" spans="1:6" x14ac:dyDescent="0.25" outlineLevel="1" collapsed="1">
      <c r="A865" s="27">
        <v>4230</v>
      </c>
      <c r="B865" s="28" t="s">
        <v>544</v>
      </c>
      <c r="C865" s="27" t="s">
        <v>472</v>
      </c>
      <c r="D865" s="29" t="s">
        <v>32</v>
      </c>
      <c r="E865" s="28" t="s">
        <v>481</v>
      </c>
      <c r="F865" s="28" t="s">
        <v>604</v>
      </c>
    </row>
    <row r="866" ht="21" customHeight="1" hidden="1" spans="1:6" x14ac:dyDescent="0.25" outlineLevel="1" collapsed="1">
      <c r="A866" s="30" t="s">
        <v>32</v>
      </c>
      <c r="B866" s="17" t="s">
        <v>32</v>
      </c>
      <c r="C866" s="30" t="s">
        <v>32</v>
      </c>
      <c r="D866" s="31" t="s">
        <v>32</v>
      </c>
      <c r="E866" s="17" t="s">
        <v>483</v>
      </c>
      <c r="F866" s="17" t="s">
        <v>32</v>
      </c>
    </row>
    <row r="867" ht="36" customHeight="1" hidden="1" spans="1:6" x14ac:dyDescent="0.25" outlineLevel="1" collapsed="1">
      <c r="A867" s="32" t="s">
        <v>32</v>
      </c>
      <c r="B867" s="12" t="s">
        <v>32</v>
      </c>
      <c r="C867" s="32" t="s">
        <v>32</v>
      </c>
      <c r="D867" s="31" t="s">
        <v>32</v>
      </c>
      <c r="E867" s="12" t="s">
        <v>484</v>
      </c>
      <c r="F867" s="12" t="s">
        <v>32</v>
      </c>
    </row>
    <row r="868" ht="36" customHeight="1" hidden="1" spans="1:6" x14ac:dyDescent="0.25" outlineLevel="1" collapsed="1">
      <c r="A868" s="30" t="s">
        <v>32</v>
      </c>
      <c r="B868" s="17" t="s">
        <v>32</v>
      </c>
      <c r="C868" s="30" t="s">
        <v>32</v>
      </c>
      <c r="D868" s="31" t="s">
        <v>32</v>
      </c>
      <c r="E868" s="17" t="s">
        <v>485</v>
      </c>
      <c r="F868" s="17" t="s">
        <v>32</v>
      </c>
    </row>
    <row r="869" ht="21" customHeight="1" hidden="1" spans="1:6" x14ac:dyDescent="0.25" outlineLevel="1" collapsed="1">
      <c r="A869" s="32" t="s">
        <v>32</v>
      </c>
      <c r="B869" s="12" t="s">
        <v>32</v>
      </c>
      <c r="C869" s="32" t="s">
        <v>32</v>
      </c>
      <c r="D869" s="31" t="s">
        <v>32</v>
      </c>
      <c r="E869" s="12" t="s">
        <v>486</v>
      </c>
      <c r="F869" s="12" t="s">
        <v>32</v>
      </c>
    </row>
    <row r="870" ht="21" customHeight="1" hidden="1" spans="1:6" x14ac:dyDescent="0.25" outlineLevel="1" collapsed="1">
      <c r="A870" s="30" t="s">
        <v>32</v>
      </c>
      <c r="B870" s="17" t="s">
        <v>32</v>
      </c>
      <c r="C870" s="30" t="s">
        <v>32</v>
      </c>
      <c r="D870" s="31" t="s">
        <v>32</v>
      </c>
      <c r="E870" s="17" t="s">
        <v>487</v>
      </c>
      <c r="F870" s="17" t="s">
        <v>32</v>
      </c>
    </row>
    <row r="871" ht="21" customHeight="1" hidden="1" spans="1:6" x14ac:dyDescent="0.25" outlineLevel="1" collapsed="1">
      <c r="A871" s="32" t="s">
        <v>32</v>
      </c>
      <c r="B871" s="12" t="s">
        <v>32</v>
      </c>
      <c r="C871" s="32" t="s">
        <v>32</v>
      </c>
      <c r="D871" s="31" t="s">
        <v>32</v>
      </c>
      <c r="E871" s="12" t="s">
        <v>488</v>
      </c>
      <c r="F871" s="12" t="s">
        <v>32</v>
      </c>
    </row>
    <row r="872" ht="21" customHeight="1" hidden="1" spans="1:6" x14ac:dyDescent="0.25" outlineLevel="1" collapsed="1">
      <c r="A872" s="30" t="s">
        <v>32</v>
      </c>
      <c r="B872" s="17" t="s">
        <v>32</v>
      </c>
      <c r="C872" s="30" t="s">
        <v>32</v>
      </c>
      <c r="D872" s="31" t="s">
        <v>32</v>
      </c>
      <c r="E872" s="17" t="s">
        <v>489</v>
      </c>
      <c r="F872" s="17" t="s">
        <v>32</v>
      </c>
    </row>
    <row r="873" ht="21" customHeight="1" hidden="1" spans="1:6" x14ac:dyDescent="0.25" outlineLevel="1" collapsed="1">
      <c r="A873" s="32" t="s">
        <v>32</v>
      </c>
      <c r="B873" s="12" t="s">
        <v>32</v>
      </c>
      <c r="C873" s="32" t="s">
        <v>32</v>
      </c>
      <c r="D873" s="31" t="s">
        <v>32</v>
      </c>
      <c r="E873" s="12" t="s">
        <v>490</v>
      </c>
      <c r="F873" s="12" t="s">
        <v>32</v>
      </c>
    </row>
    <row r="874" ht="21" customHeight="1" hidden="1" spans="1:6" x14ac:dyDescent="0.25" outlineLevel="1" collapsed="1">
      <c r="A874" s="30" t="s">
        <v>32</v>
      </c>
      <c r="B874" s="17" t="s">
        <v>32</v>
      </c>
      <c r="C874" s="30" t="s">
        <v>32</v>
      </c>
      <c r="D874" s="31" t="s">
        <v>32</v>
      </c>
      <c r="E874" s="17" t="s">
        <v>491</v>
      </c>
      <c r="F874" s="17" t="s">
        <v>32</v>
      </c>
    </row>
    <row r="875" ht="21" customHeight="1" hidden="1" spans="1:6" x14ac:dyDescent="0.25" outlineLevel="1" collapsed="1">
      <c r="A875" s="32" t="s">
        <v>32</v>
      </c>
      <c r="B875" s="12" t="s">
        <v>32</v>
      </c>
      <c r="C875" s="32" t="s">
        <v>32</v>
      </c>
      <c r="D875" s="31" t="s">
        <v>32</v>
      </c>
      <c r="E875" s="12" t="s">
        <v>492</v>
      </c>
      <c r="F875" s="12" t="s">
        <v>32</v>
      </c>
    </row>
    <row r="876" ht="21" customHeight="1" hidden="1" spans="1:6" x14ac:dyDescent="0.25" outlineLevel="1" collapsed="1">
      <c r="A876" s="30" t="s">
        <v>32</v>
      </c>
      <c r="B876" s="17" t="s">
        <v>32</v>
      </c>
      <c r="C876" s="30" t="s">
        <v>32</v>
      </c>
      <c r="D876" s="31" t="s">
        <v>32</v>
      </c>
      <c r="E876" s="35" t="s">
        <v>649</v>
      </c>
      <c r="F876" s="17" t="s">
        <v>32</v>
      </c>
    </row>
    <row r="877" ht="22" customHeight="1" hidden="1" spans="1:6" x14ac:dyDescent="0.25" outlineLevel="1" collapsed="1">
      <c r="A877" s="34" t="s">
        <v>495</v>
      </c>
      <c r="B877" s="34"/>
      <c r="C877" s="34"/>
      <c r="D877" s="34"/>
      <c r="E877" s="34"/>
      <c r="F877" s="34"/>
    </row>
    <row r="878" ht="24" customHeight="1" hidden="1" spans="1:6" x14ac:dyDescent="0.25" outlineLevel="1" collapsed="1">
      <c r="A878" s="12" t="s">
        <v>650</v>
      </c>
      <c r="B878" s="12"/>
      <c r="C878" s="12"/>
      <c r="D878" s="12"/>
      <c r="E878" s="12"/>
      <c r="F878" s="12"/>
    </row>
    <row r="879" ht="24" customHeight="1" hidden="1" spans="1:6" x14ac:dyDescent="0.25" outlineLevel="1" collapsed="1">
      <c r="A879" s="12" t="s">
        <v>645</v>
      </c>
      <c r="B879" s="12"/>
      <c r="C879" s="12"/>
      <c r="D879" s="12"/>
      <c r="E879" s="12"/>
      <c r="F879" s="12"/>
    </row>
    <row r="880" ht="56" customHeight="1" hidden="1" spans="1:6" x14ac:dyDescent="0.25" outlineLevel="1" collapsed="1">
      <c r="A880" s="12" t="s">
        <v>651</v>
      </c>
      <c r="B880" s="12"/>
      <c r="C880" s="12"/>
      <c r="D880" s="12"/>
      <c r="E880" s="12"/>
      <c r="F880" s="12"/>
    </row>
    <row r="881" ht="24" customHeight="1" hidden="1" spans="1:6" x14ac:dyDescent="0.25" outlineLevel="1" collapsed="1">
      <c r="A881" s="12" t="s">
        <v>499</v>
      </c>
      <c r="B881" s="12"/>
      <c r="C881" s="12"/>
      <c r="D881" s="12"/>
      <c r="E881" s="12"/>
      <c r="F881" s="12"/>
    </row>
    <row r="882" ht="6" customHeight="1" hidden="1" x14ac:dyDescent="0.25" outlineLevel="1" collapsed="1"/>
    <row r="883" ht="22" customHeight="1" spans="1:6" x14ac:dyDescent="0.25">
      <c r="A883" s="25" t="s">
        <v>572</v>
      </c>
      <c r="B883" s="25"/>
      <c r="C883" s="25"/>
      <c r="D883" s="25"/>
      <c r="E883" s="25"/>
      <c r="F883" s="25"/>
    </row>
    <row r="884" ht="20" customHeight="1" hidden="1" spans="1:6" x14ac:dyDescent="0.25" outlineLevel="1" collapsed="1">
      <c r="A884" s="26" t="s">
        <v>460</v>
      </c>
      <c r="B884" s="26" t="s">
        <v>461</v>
      </c>
      <c r="C884" s="26" t="s">
        <v>462</v>
      </c>
      <c r="D884" s="26" t="s">
        <v>32</v>
      </c>
      <c r="E884" s="26" t="s">
        <v>463</v>
      </c>
      <c r="F884" s="26" t="s">
        <v>464</v>
      </c>
    </row>
    <row r="885" ht="36" customHeight="1" hidden="1" spans="1:6" x14ac:dyDescent="0.25" outlineLevel="1" collapsed="1">
      <c r="A885" s="27">
        <v>4220</v>
      </c>
      <c r="B885" s="28" t="s">
        <v>543</v>
      </c>
      <c r="C885" s="27" t="s">
        <v>466</v>
      </c>
      <c r="D885" s="29" t="s">
        <v>32</v>
      </c>
      <c r="E885" s="28" t="s">
        <v>522</v>
      </c>
      <c r="F885" s="28" t="s">
        <v>32</v>
      </c>
    </row>
    <row r="886" ht="21" customHeight="1" hidden="1" spans="1:6" x14ac:dyDescent="0.25" outlineLevel="1" collapsed="1">
      <c r="A886" s="30" t="s">
        <v>32</v>
      </c>
      <c r="B886" s="17" t="s">
        <v>32</v>
      </c>
      <c r="C886" s="30" t="s">
        <v>32</v>
      </c>
      <c r="D886" s="31" t="s">
        <v>32</v>
      </c>
      <c r="E886" s="35" t="s">
        <v>632</v>
      </c>
      <c r="F886" s="17" t="s">
        <v>32</v>
      </c>
    </row>
    <row r="887" ht="36" customHeight="1" hidden="1" spans="1:6" x14ac:dyDescent="0.25" outlineLevel="1" collapsed="1">
      <c r="A887" s="27">
        <v>4240</v>
      </c>
      <c r="B887" s="28" t="s">
        <v>471</v>
      </c>
      <c r="C887" s="27" t="s">
        <v>472</v>
      </c>
      <c r="D887" s="29" t="s">
        <v>32</v>
      </c>
      <c r="E887" s="28" t="s">
        <v>524</v>
      </c>
      <c r="F887" s="28" t="s">
        <v>32</v>
      </c>
    </row>
    <row r="888" ht="21" customHeight="1" hidden="1" spans="1:6" x14ac:dyDescent="0.25" outlineLevel="1" collapsed="1">
      <c r="A888" s="30" t="s">
        <v>32</v>
      </c>
      <c r="B888" s="17" t="s">
        <v>32</v>
      </c>
      <c r="C888" s="30" t="s">
        <v>32</v>
      </c>
      <c r="D888" s="31" t="s">
        <v>32</v>
      </c>
      <c r="E888" s="35" t="s">
        <v>632</v>
      </c>
      <c r="F888" s="17" t="s">
        <v>32</v>
      </c>
    </row>
    <row r="889" ht="36" customHeight="1" hidden="1" spans="1:6" x14ac:dyDescent="0.25" outlineLevel="1" collapsed="1">
      <c r="A889" s="27">
        <v>4230</v>
      </c>
      <c r="B889" s="28" t="s">
        <v>544</v>
      </c>
      <c r="C889" s="27" t="s">
        <v>472</v>
      </c>
      <c r="D889" s="29" t="s">
        <v>32</v>
      </c>
      <c r="E889" s="28" t="s">
        <v>573</v>
      </c>
      <c r="F889" s="28" t="s">
        <v>32</v>
      </c>
    </row>
    <row r="890" ht="22" customHeight="1" hidden="1" spans="1:6" x14ac:dyDescent="0.25" outlineLevel="1" collapsed="1">
      <c r="A890" s="34" t="s">
        <v>495</v>
      </c>
      <c r="B890" s="34"/>
      <c r="C890" s="34"/>
      <c r="D890" s="34"/>
      <c r="E890" s="34"/>
      <c r="F890" s="34"/>
    </row>
    <row r="891" ht="24" customHeight="1" hidden="1" spans="1:6" x14ac:dyDescent="0.25" outlineLevel="1" collapsed="1">
      <c r="A891" s="12" t="s">
        <v>644</v>
      </c>
      <c r="B891" s="12"/>
      <c r="C891" s="12"/>
      <c r="D891" s="12"/>
      <c r="E891" s="12"/>
      <c r="F891" s="12"/>
    </row>
    <row r="892" ht="24" customHeight="1" hidden="1" spans="1:6" x14ac:dyDescent="0.25" outlineLevel="1" collapsed="1">
      <c r="A892" s="12" t="s">
        <v>645</v>
      </c>
      <c r="B892" s="12"/>
      <c r="C892" s="12"/>
      <c r="D892" s="12"/>
      <c r="E892" s="12"/>
      <c r="F892" s="12"/>
    </row>
    <row r="893" ht="24" customHeight="1" hidden="1" spans="1:6" x14ac:dyDescent="0.25" outlineLevel="1" collapsed="1">
      <c r="A893" s="12" t="s">
        <v>652</v>
      </c>
      <c r="B893" s="12"/>
      <c r="C893" s="12"/>
      <c r="D893" s="12"/>
      <c r="E893" s="12"/>
      <c r="F893" s="12"/>
    </row>
    <row r="894" ht="24" customHeight="1" hidden="1" spans="1:6" x14ac:dyDescent="0.25" outlineLevel="1" collapsed="1">
      <c r="A894" s="12" t="s">
        <v>499</v>
      </c>
      <c r="B894" s="12"/>
      <c r="C894" s="12"/>
      <c r="D894" s="12"/>
      <c r="E894" s="12"/>
      <c r="F894" s="12"/>
    </row>
    <row r="895" ht="6" customHeight="1" hidden="1" x14ac:dyDescent="0.25" outlineLevel="1" collapsed="1"/>
    <row r="896" ht="22" customHeight="1" spans="1:6" x14ac:dyDescent="0.25">
      <c r="A896" s="25" t="s">
        <v>575</v>
      </c>
      <c r="B896" s="25"/>
      <c r="C896" s="25"/>
      <c r="D896" s="25"/>
      <c r="E896" s="25"/>
      <c r="F896" s="25"/>
    </row>
    <row r="897" ht="20" customHeight="1" hidden="1" spans="1:6" x14ac:dyDescent="0.25" outlineLevel="1" collapsed="1">
      <c r="A897" s="26" t="s">
        <v>460</v>
      </c>
      <c r="B897" s="26" t="s">
        <v>461</v>
      </c>
      <c r="C897" s="26" t="s">
        <v>462</v>
      </c>
      <c r="D897" s="26" t="s">
        <v>32</v>
      </c>
      <c r="E897" s="26" t="s">
        <v>463</v>
      </c>
      <c r="F897" s="26" t="s">
        <v>464</v>
      </c>
    </row>
    <row r="898" ht="51" customHeight="1" hidden="1" spans="1:6" x14ac:dyDescent="0.25" outlineLevel="1" collapsed="1">
      <c r="A898" s="27">
        <v>4220</v>
      </c>
      <c r="B898" s="28" t="s">
        <v>543</v>
      </c>
      <c r="C898" s="27" t="s">
        <v>466</v>
      </c>
      <c r="D898" s="29" t="s">
        <v>32</v>
      </c>
      <c r="E898" s="28" t="s">
        <v>467</v>
      </c>
      <c r="F898" s="28" t="s">
        <v>468</v>
      </c>
    </row>
    <row r="899" ht="36" customHeight="1" hidden="1" spans="1:6" x14ac:dyDescent="0.25" outlineLevel="1" collapsed="1">
      <c r="A899" s="30" t="s">
        <v>32</v>
      </c>
      <c r="B899" s="17" t="s">
        <v>32</v>
      </c>
      <c r="C899" s="30" t="s">
        <v>32</v>
      </c>
      <c r="D899" s="31" t="s">
        <v>32</v>
      </c>
      <c r="E899" s="17" t="s">
        <v>469</v>
      </c>
      <c r="F899" s="17" t="s">
        <v>32</v>
      </c>
    </row>
    <row r="900" ht="21" customHeight="1" hidden="1" spans="1:6" x14ac:dyDescent="0.25" outlineLevel="1" collapsed="1">
      <c r="A900" s="32" t="s">
        <v>32</v>
      </c>
      <c r="B900" s="12" t="s">
        <v>32</v>
      </c>
      <c r="C900" s="32" t="s">
        <v>32</v>
      </c>
      <c r="D900" s="31" t="s">
        <v>32</v>
      </c>
      <c r="E900" s="33" t="s">
        <v>632</v>
      </c>
      <c r="F900" s="12" t="s">
        <v>32</v>
      </c>
    </row>
    <row r="901" ht="51" customHeight="1" hidden="1" spans="1:6" x14ac:dyDescent="0.25" outlineLevel="1" collapsed="1">
      <c r="A901" s="27">
        <v>4240</v>
      </c>
      <c r="B901" s="28" t="s">
        <v>471</v>
      </c>
      <c r="C901" s="27" t="s">
        <v>472</v>
      </c>
      <c r="D901" s="29" t="s">
        <v>32</v>
      </c>
      <c r="E901" s="28" t="s">
        <v>473</v>
      </c>
      <c r="F901" s="28" t="s">
        <v>474</v>
      </c>
    </row>
    <row r="902" ht="21" customHeight="1" hidden="1" spans="1:6" x14ac:dyDescent="0.25" outlineLevel="1" collapsed="1">
      <c r="A902" s="30" t="s">
        <v>32</v>
      </c>
      <c r="B902" s="17" t="s">
        <v>32</v>
      </c>
      <c r="C902" s="30" t="s">
        <v>32</v>
      </c>
      <c r="D902" s="31" t="s">
        <v>32</v>
      </c>
      <c r="E902" s="17" t="s">
        <v>475</v>
      </c>
      <c r="F902" s="17" t="s">
        <v>32</v>
      </c>
    </row>
    <row r="903" ht="36" customHeight="1" hidden="1" spans="1:6" x14ac:dyDescent="0.25" outlineLevel="1" collapsed="1">
      <c r="A903" s="32" t="s">
        <v>32</v>
      </c>
      <c r="B903" s="12" t="s">
        <v>32</v>
      </c>
      <c r="C903" s="32" t="s">
        <v>32</v>
      </c>
      <c r="D903" s="31" t="s">
        <v>32</v>
      </c>
      <c r="E903" s="12" t="s">
        <v>476</v>
      </c>
      <c r="F903" s="12" t="s">
        <v>32</v>
      </c>
    </row>
    <row r="904" ht="36" customHeight="1" hidden="1" spans="1:6" x14ac:dyDescent="0.25" outlineLevel="1" collapsed="1">
      <c r="A904" s="30" t="s">
        <v>32</v>
      </c>
      <c r="B904" s="17" t="s">
        <v>32</v>
      </c>
      <c r="C904" s="30" t="s">
        <v>32</v>
      </c>
      <c r="D904" s="31" t="s">
        <v>32</v>
      </c>
      <c r="E904" s="17" t="s">
        <v>477</v>
      </c>
      <c r="F904" s="17" t="s">
        <v>32</v>
      </c>
    </row>
    <row r="905" ht="36" customHeight="1" hidden="1" spans="1:6" x14ac:dyDescent="0.25" outlineLevel="1" collapsed="1">
      <c r="A905" s="32" t="s">
        <v>32</v>
      </c>
      <c r="B905" s="12" t="s">
        <v>32</v>
      </c>
      <c r="C905" s="32" t="s">
        <v>32</v>
      </c>
      <c r="D905" s="31" t="s">
        <v>32</v>
      </c>
      <c r="E905" s="12" t="s">
        <v>478</v>
      </c>
      <c r="F905" s="12" t="s">
        <v>32</v>
      </c>
    </row>
    <row r="906" ht="21" customHeight="1" hidden="1" spans="1:6" x14ac:dyDescent="0.25" outlineLevel="1" collapsed="1">
      <c r="A906" s="30" t="s">
        <v>32</v>
      </c>
      <c r="B906" s="17" t="s">
        <v>32</v>
      </c>
      <c r="C906" s="30" t="s">
        <v>32</v>
      </c>
      <c r="D906" s="31" t="s">
        <v>32</v>
      </c>
      <c r="E906" s="17" t="s">
        <v>479</v>
      </c>
      <c r="F906" s="17" t="s">
        <v>32</v>
      </c>
    </row>
    <row r="907" ht="21" customHeight="1" hidden="1" spans="1:6" x14ac:dyDescent="0.25" outlineLevel="1" collapsed="1">
      <c r="A907" s="32" t="s">
        <v>32</v>
      </c>
      <c r="B907" s="12" t="s">
        <v>32</v>
      </c>
      <c r="C907" s="32" t="s">
        <v>32</v>
      </c>
      <c r="D907" s="31" t="s">
        <v>32</v>
      </c>
      <c r="E907" s="33" t="s">
        <v>632</v>
      </c>
      <c r="F907" s="12" t="s">
        <v>32</v>
      </c>
    </row>
    <row r="908" ht="51" customHeight="1" hidden="1" spans="1:6" x14ac:dyDescent="0.25" outlineLevel="1" collapsed="1">
      <c r="A908" s="27">
        <v>4230</v>
      </c>
      <c r="B908" s="28" t="s">
        <v>544</v>
      </c>
      <c r="C908" s="27" t="s">
        <v>472</v>
      </c>
      <c r="D908" s="29" t="s">
        <v>32</v>
      </c>
      <c r="E908" s="28" t="s">
        <v>576</v>
      </c>
      <c r="F908" s="28" t="s">
        <v>482</v>
      </c>
    </row>
    <row r="909" ht="21" customHeight="1" hidden="1" spans="1:6" x14ac:dyDescent="0.25" outlineLevel="1" collapsed="1">
      <c r="A909" s="30" t="s">
        <v>32</v>
      </c>
      <c r="B909" s="17" t="s">
        <v>32</v>
      </c>
      <c r="C909" s="30" t="s">
        <v>32</v>
      </c>
      <c r="D909" s="31" t="s">
        <v>32</v>
      </c>
      <c r="E909" s="17" t="s">
        <v>577</v>
      </c>
      <c r="F909" s="17" t="s">
        <v>32</v>
      </c>
    </row>
    <row r="910" ht="36" customHeight="1" hidden="1" spans="1:6" x14ac:dyDescent="0.25" outlineLevel="1" collapsed="1">
      <c r="A910" s="32" t="s">
        <v>32</v>
      </c>
      <c r="B910" s="12" t="s">
        <v>32</v>
      </c>
      <c r="C910" s="32" t="s">
        <v>32</v>
      </c>
      <c r="D910" s="31" t="s">
        <v>32</v>
      </c>
      <c r="E910" s="12" t="s">
        <v>578</v>
      </c>
      <c r="F910" s="12" t="s">
        <v>32</v>
      </c>
    </row>
    <row r="911" ht="36" customHeight="1" hidden="1" spans="1:6" x14ac:dyDescent="0.25" outlineLevel="1" collapsed="1">
      <c r="A911" s="30" t="s">
        <v>32</v>
      </c>
      <c r="B911" s="17" t="s">
        <v>32</v>
      </c>
      <c r="C911" s="30" t="s">
        <v>32</v>
      </c>
      <c r="D911" s="31" t="s">
        <v>32</v>
      </c>
      <c r="E911" s="17" t="s">
        <v>579</v>
      </c>
      <c r="F911" s="17" t="s">
        <v>32</v>
      </c>
    </row>
    <row r="912" ht="21" customHeight="1" hidden="1" spans="1:6" x14ac:dyDescent="0.25" outlineLevel="1" collapsed="1">
      <c r="A912" s="32" t="s">
        <v>32</v>
      </c>
      <c r="B912" s="12" t="s">
        <v>32</v>
      </c>
      <c r="C912" s="32" t="s">
        <v>32</v>
      </c>
      <c r="D912" s="31" t="s">
        <v>32</v>
      </c>
      <c r="E912" s="12" t="s">
        <v>580</v>
      </c>
      <c r="F912" s="12" t="s">
        <v>32</v>
      </c>
    </row>
    <row r="913" ht="21" customHeight="1" hidden="1" spans="1:6" x14ac:dyDescent="0.25" outlineLevel="1" collapsed="1">
      <c r="A913" s="30" t="s">
        <v>32</v>
      </c>
      <c r="B913" s="17" t="s">
        <v>32</v>
      </c>
      <c r="C913" s="30" t="s">
        <v>32</v>
      </c>
      <c r="D913" s="31" t="s">
        <v>32</v>
      </c>
      <c r="E913" s="17" t="s">
        <v>551</v>
      </c>
      <c r="F913" s="17" t="s">
        <v>32</v>
      </c>
    </row>
    <row r="914" ht="21" customHeight="1" hidden="1" spans="1:6" x14ac:dyDescent="0.25" outlineLevel="1" collapsed="1">
      <c r="A914" s="32" t="s">
        <v>32</v>
      </c>
      <c r="B914" s="12" t="s">
        <v>32</v>
      </c>
      <c r="C914" s="32" t="s">
        <v>32</v>
      </c>
      <c r="D914" s="31" t="s">
        <v>32</v>
      </c>
      <c r="E914" s="12" t="s">
        <v>581</v>
      </c>
      <c r="F914" s="12" t="s">
        <v>32</v>
      </c>
    </row>
    <row r="915" ht="21" customHeight="1" hidden="1" spans="1:6" x14ac:dyDescent="0.25" outlineLevel="1" collapsed="1">
      <c r="A915" s="30" t="s">
        <v>32</v>
      </c>
      <c r="B915" s="17" t="s">
        <v>32</v>
      </c>
      <c r="C915" s="30" t="s">
        <v>32</v>
      </c>
      <c r="D915" s="31" t="s">
        <v>32</v>
      </c>
      <c r="E915" s="17" t="s">
        <v>582</v>
      </c>
      <c r="F915" s="17" t="s">
        <v>32</v>
      </c>
    </row>
    <row r="916" ht="21" customHeight="1" hidden="1" spans="1:6" x14ac:dyDescent="0.25" outlineLevel="1" collapsed="1">
      <c r="A916" s="32" t="s">
        <v>32</v>
      </c>
      <c r="B916" s="12" t="s">
        <v>32</v>
      </c>
      <c r="C916" s="32" t="s">
        <v>32</v>
      </c>
      <c r="D916" s="31" t="s">
        <v>32</v>
      </c>
      <c r="E916" s="12" t="s">
        <v>583</v>
      </c>
      <c r="F916" s="12" t="s">
        <v>32</v>
      </c>
    </row>
    <row r="917" ht="21" customHeight="1" hidden="1" spans="1:6" x14ac:dyDescent="0.25" outlineLevel="1" collapsed="1">
      <c r="A917" s="30" t="s">
        <v>32</v>
      </c>
      <c r="B917" s="17" t="s">
        <v>32</v>
      </c>
      <c r="C917" s="30" t="s">
        <v>32</v>
      </c>
      <c r="D917" s="31" t="s">
        <v>32</v>
      </c>
      <c r="E917" s="17" t="s">
        <v>555</v>
      </c>
      <c r="F917" s="17" t="s">
        <v>32</v>
      </c>
    </row>
    <row r="918" ht="21" customHeight="1" hidden="1" spans="1:6" x14ac:dyDescent="0.25" outlineLevel="1" collapsed="1">
      <c r="A918" s="32" t="s">
        <v>32</v>
      </c>
      <c r="B918" s="12" t="s">
        <v>32</v>
      </c>
      <c r="C918" s="32" t="s">
        <v>32</v>
      </c>
      <c r="D918" s="31" t="s">
        <v>32</v>
      </c>
      <c r="E918" s="12" t="s">
        <v>584</v>
      </c>
      <c r="F918" s="12" t="s">
        <v>32</v>
      </c>
    </row>
    <row r="919" ht="21" customHeight="1" hidden="1" spans="1:6" x14ac:dyDescent="0.25" outlineLevel="1" collapsed="1">
      <c r="A919" s="30" t="s">
        <v>32</v>
      </c>
      <c r="B919" s="17" t="s">
        <v>32</v>
      </c>
      <c r="C919" s="30" t="s">
        <v>32</v>
      </c>
      <c r="D919" s="31" t="s">
        <v>32</v>
      </c>
      <c r="E919" s="17" t="s">
        <v>493</v>
      </c>
      <c r="F919" s="17" t="s">
        <v>32</v>
      </c>
    </row>
    <row r="920" ht="21" customHeight="1" hidden="1" spans="1:6" x14ac:dyDescent="0.25" outlineLevel="1" collapsed="1">
      <c r="A920" s="32" t="s">
        <v>32</v>
      </c>
      <c r="B920" s="12" t="s">
        <v>32</v>
      </c>
      <c r="C920" s="32" t="s">
        <v>32</v>
      </c>
      <c r="D920" s="31" t="s">
        <v>32</v>
      </c>
      <c r="E920" s="33" t="s">
        <v>633</v>
      </c>
      <c r="F920" s="12" t="s">
        <v>32</v>
      </c>
    </row>
    <row r="921" ht="22" customHeight="1" hidden="1" spans="1:6" x14ac:dyDescent="0.25" outlineLevel="1" collapsed="1">
      <c r="A921" s="34" t="s">
        <v>495</v>
      </c>
      <c r="B921" s="34"/>
      <c r="C921" s="34"/>
      <c r="D921" s="34"/>
      <c r="E921" s="34"/>
      <c r="F921" s="34"/>
    </row>
    <row r="922" ht="24" customHeight="1" hidden="1" spans="1:6" x14ac:dyDescent="0.25" outlineLevel="1" collapsed="1">
      <c r="A922" s="12" t="s">
        <v>634</v>
      </c>
      <c r="B922" s="12"/>
      <c r="C922" s="12"/>
      <c r="D922" s="12"/>
      <c r="E922" s="12"/>
      <c r="F922" s="12"/>
    </row>
    <row r="923" ht="40" customHeight="1" hidden="1" spans="1:6" x14ac:dyDescent="0.25" outlineLevel="1" collapsed="1">
      <c r="A923" s="12" t="s">
        <v>635</v>
      </c>
      <c r="B923" s="12"/>
      <c r="C923" s="12"/>
      <c r="D923" s="12"/>
      <c r="E923" s="12"/>
      <c r="F923" s="12"/>
    </row>
    <row r="924" ht="56" customHeight="1" hidden="1" spans="1:6" x14ac:dyDescent="0.25" outlineLevel="1" collapsed="1">
      <c r="A924" s="12" t="s">
        <v>653</v>
      </c>
      <c r="B924" s="12"/>
      <c r="C924" s="12"/>
      <c r="D924" s="12"/>
      <c r="E924" s="12"/>
      <c r="F924" s="12"/>
    </row>
    <row r="925" ht="24" customHeight="1" hidden="1" spans="1:6" x14ac:dyDescent="0.25" outlineLevel="1" collapsed="1">
      <c r="A925" s="12" t="s">
        <v>499</v>
      </c>
      <c r="B925" s="12"/>
      <c r="C925" s="12"/>
      <c r="D925" s="12"/>
      <c r="E925" s="12"/>
      <c r="F925" s="12"/>
    </row>
    <row r="926" ht="6" customHeight="1" hidden="1" x14ac:dyDescent="0.25" outlineLevel="1" collapsed="1"/>
    <row r="927" ht="22" customHeight="1" spans="1:6" x14ac:dyDescent="0.25">
      <c r="A927" s="25" t="s">
        <v>586</v>
      </c>
      <c r="B927" s="25"/>
      <c r="C927" s="25"/>
      <c r="D927" s="25"/>
      <c r="E927" s="25"/>
      <c r="F927" s="25"/>
    </row>
    <row r="928" ht="20" customHeight="1" hidden="1" spans="1:6" x14ac:dyDescent="0.25" outlineLevel="1" collapsed="1">
      <c r="A928" s="26" t="s">
        <v>460</v>
      </c>
      <c r="B928" s="26" t="s">
        <v>461</v>
      </c>
      <c r="C928" s="26" t="s">
        <v>462</v>
      </c>
      <c r="D928" s="26" t="s">
        <v>32</v>
      </c>
      <c r="E928" s="26" t="s">
        <v>463</v>
      </c>
      <c r="F928" s="26" t="s">
        <v>464</v>
      </c>
    </row>
    <row r="929" ht="51" customHeight="1" hidden="1" spans="1:6" x14ac:dyDescent="0.25" outlineLevel="1" collapsed="1">
      <c r="A929" s="27">
        <v>4220</v>
      </c>
      <c r="B929" s="28" t="s">
        <v>543</v>
      </c>
      <c r="C929" s="27" t="s">
        <v>466</v>
      </c>
      <c r="D929" s="29" t="s">
        <v>32</v>
      </c>
      <c r="E929" s="28" t="s">
        <v>467</v>
      </c>
      <c r="F929" s="28" t="s">
        <v>468</v>
      </c>
    </row>
    <row r="930" ht="36" customHeight="1" hidden="1" spans="1:6" x14ac:dyDescent="0.25" outlineLevel="1" collapsed="1">
      <c r="A930" s="30" t="s">
        <v>32</v>
      </c>
      <c r="B930" s="17" t="s">
        <v>32</v>
      </c>
      <c r="C930" s="30" t="s">
        <v>32</v>
      </c>
      <c r="D930" s="31" t="s">
        <v>32</v>
      </c>
      <c r="E930" s="17" t="s">
        <v>469</v>
      </c>
      <c r="F930" s="17" t="s">
        <v>32</v>
      </c>
    </row>
    <row r="931" ht="21" customHeight="1" hidden="1" spans="1:6" x14ac:dyDescent="0.25" outlineLevel="1" collapsed="1">
      <c r="A931" s="32" t="s">
        <v>32</v>
      </c>
      <c r="B931" s="12" t="s">
        <v>32</v>
      </c>
      <c r="C931" s="32" t="s">
        <v>32</v>
      </c>
      <c r="D931" s="31" t="s">
        <v>32</v>
      </c>
      <c r="E931" s="33" t="s">
        <v>632</v>
      </c>
      <c r="F931" s="12" t="s">
        <v>32</v>
      </c>
    </row>
    <row r="932" ht="51" customHeight="1" hidden="1" spans="1:6" x14ac:dyDescent="0.25" outlineLevel="1" collapsed="1">
      <c r="A932" s="27">
        <v>4240</v>
      </c>
      <c r="B932" s="28" t="s">
        <v>471</v>
      </c>
      <c r="C932" s="27" t="s">
        <v>472</v>
      </c>
      <c r="D932" s="29" t="s">
        <v>32</v>
      </c>
      <c r="E932" s="28" t="s">
        <v>473</v>
      </c>
      <c r="F932" s="28" t="s">
        <v>474</v>
      </c>
    </row>
    <row r="933" ht="21" customHeight="1" hidden="1" spans="1:6" x14ac:dyDescent="0.25" outlineLevel="1" collapsed="1">
      <c r="A933" s="30" t="s">
        <v>32</v>
      </c>
      <c r="B933" s="17" t="s">
        <v>32</v>
      </c>
      <c r="C933" s="30" t="s">
        <v>32</v>
      </c>
      <c r="D933" s="31" t="s">
        <v>32</v>
      </c>
      <c r="E933" s="17" t="s">
        <v>475</v>
      </c>
      <c r="F933" s="17" t="s">
        <v>32</v>
      </c>
    </row>
    <row r="934" ht="36" customHeight="1" hidden="1" spans="1:6" x14ac:dyDescent="0.25" outlineLevel="1" collapsed="1">
      <c r="A934" s="32" t="s">
        <v>32</v>
      </c>
      <c r="B934" s="12" t="s">
        <v>32</v>
      </c>
      <c r="C934" s="32" t="s">
        <v>32</v>
      </c>
      <c r="D934" s="31" t="s">
        <v>32</v>
      </c>
      <c r="E934" s="12" t="s">
        <v>476</v>
      </c>
      <c r="F934" s="12" t="s">
        <v>32</v>
      </c>
    </row>
    <row r="935" ht="36" customHeight="1" hidden="1" spans="1:6" x14ac:dyDescent="0.25" outlineLevel="1" collapsed="1">
      <c r="A935" s="30" t="s">
        <v>32</v>
      </c>
      <c r="B935" s="17" t="s">
        <v>32</v>
      </c>
      <c r="C935" s="30" t="s">
        <v>32</v>
      </c>
      <c r="D935" s="31" t="s">
        <v>32</v>
      </c>
      <c r="E935" s="17" t="s">
        <v>477</v>
      </c>
      <c r="F935" s="17" t="s">
        <v>32</v>
      </c>
    </row>
    <row r="936" ht="36" customHeight="1" hidden="1" spans="1:6" x14ac:dyDescent="0.25" outlineLevel="1" collapsed="1">
      <c r="A936" s="32" t="s">
        <v>32</v>
      </c>
      <c r="B936" s="12" t="s">
        <v>32</v>
      </c>
      <c r="C936" s="32" t="s">
        <v>32</v>
      </c>
      <c r="D936" s="31" t="s">
        <v>32</v>
      </c>
      <c r="E936" s="12" t="s">
        <v>478</v>
      </c>
      <c r="F936" s="12" t="s">
        <v>32</v>
      </c>
    </row>
    <row r="937" ht="21" customHeight="1" hidden="1" spans="1:6" x14ac:dyDescent="0.25" outlineLevel="1" collapsed="1">
      <c r="A937" s="30" t="s">
        <v>32</v>
      </c>
      <c r="B937" s="17" t="s">
        <v>32</v>
      </c>
      <c r="C937" s="30" t="s">
        <v>32</v>
      </c>
      <c r="D937" s="31" t="s">
        <v>32</v>
      </c>
      <c r="E937" s="17" t="s">
        <v>479</v>
      </c>
      <c r="F937" s="17" t="s">
        <v>32</v>
      </c>
    </row>
    <row r="938" ht="21" customHeight="1" hidden="1" spans="1:6" x14ac:dyDescent="0.25" outlineLevel="1" collapsed="1">
      <c r="A938" s="32" t="s">
        <v>32</v>
      </c>
      <c r="B938" s="12" t="s">
        <v>32</v>
      </c>
      <c r="C938" s="32" t="s">
        <v>32</v>
      </c>
      <c r="D938" s="31" t="s">
        <v>32</v>
      </c>
      <c r="E938" s="33" t="s">
        <v>632</v>
      </c>
      <c r="F938" s="12" t="s">
        <v>32</v>
      </c>
    </row>
    <row r="939" ht="51" customHeight="1" hidden="1" spans="1:6" x14ac:dyDescent="0.25" outlineLevel="1" collapsed="1">
      <c r="A939" s="27">
        <v>4230</v>
      </c>
      <c r="B939" s="28" t="s">
        <v>544</v>
      </c>
      <c r="C939" s="27" t="s">
        <v>472</v>
      </c>
      <c r="D939" s="29" t="s">
        <v>32</v>
      </c>
      <c r="E939" s="28" t="s">
        <v>576</v>
      </c>
      <c r="F939" s="28" t="s">
        <v>482</v>
      </c>
    </row>
    <row r="940" ht="21" customHeight="1" hidden="1" spans="1:6" x14ac:dyDescent="0.25" outlineLevel="1" collapsed="1">
      <c r="A940" s="30" t="s">
        <v>32</v>
      </c>
      <c r="B940" s="17" t="s">
        <v>32</v>
      </c>
      <c r="C940" s="30" t="s">
        <v>32</v>
      </c>
      <c r="D940" s="31" t="s">
        <v>32</v>
      </c>
      <c r="E940" s="17" t="s">
        <v>577</v>
      </c>
      <c r="F940" s="17" t="s">
        <v>32</v>
      </c>
    </row>
    <row r="941" ht="36" customHeight="1" hidden="1" spans="1:6" x14ac:dyDescent="0.25" outlineLevel="1" collapsed="1">
      <c r="A941" s="32" t="s">
        <v>32</v>
      </c>
      <c r="B941" s="12" t="s">
        <v>32</v>
      </c>
      <c r="C941" s="32" t="s">
        <v>32</v>
      </c>
      <c r="D941" s="31" t="s">
        <v>32</v>
      </c>
      <c r="E941" s="12" t="s">
        <v>578</v>
      </c>
      <c r="F941" s="12" t="s">
        <v>32</v>
      </c>
    </row>
    <row r="942" ht="36" customHeight="1" hidden="1" spans="1:6" x14ac:dyDescent="0.25" outlineLevel="1" collapsed="1">
      <c r="A942" s="30" t="s">
        <v>32</v>
      </c>
      <c r="B942" s="17" t="s">
        <v>32</v>
      </c>
      <c r="C942" s="30" t="s">
        <v>32</v>
      </c>
      <c r="D942" s="31" t="s">
        <v>32</v>
      </c>
      <c r="E942" s="17" t="s">
        <v>579</v>
      </c>
      <c r="F942" s="17" t="s">
        <v>32</v>
      </c>
    </row>
    <row r="943" ht="21" customHeight="1" hidden="1" spans="1:6" x14ac:dyDescent="0.25" outlineLevel="1" collapsed="1">
      <c r="A943" s="32" t="s">
        <v>32</v>
      </c>
      <c r="B943" s="12" t="s">
        <v>32</v>
      </c>
      <c r="C943" s="32" t="s">
        <v>32</v>
      </c>
      <c r="D943" s="31" t="s">
        <v>32</v>
      </c>
      <c r="E943" s="12" t="s">
        <v>580</v>
      </c>
      <c r="F943" s="12" t="s">
        <v>32</v>
      </c>
    </row>
    <row r="944" ht="21" customHeight="1" hidden="1" spans="1:6" x14ac:dyDescent="0.25" outlineLevel="1" collapsed="1">
      <c r="A944" s="30" t="s">
        <v>32</v>
      </c>
      <c r="B944" s="17" t="s">
        <v>32</v>
      </c>
      <c r="C944" s="30" t="s">
        <v>32</v>
      </c>
      <c r="D944" s="31" t="s">
        <v>32</v>
      </c>
      <c r="E944" s="17" t="s">
        <v>551</v>
      </c>
      <c r="F944" s="17" t="s">
        <v>32</v>
      </c>
    </row>
    <row r="945" ht="21" customHeight="1" hidden="1" spans="1:6" x14ac:dyDescent="0.25" outlineLevel="1" collapsed="1">
      <c r="A945" s="32" t="s">
        <v>32</v>
      </c>
      <c r="B945" s="12" t="s">
        <v>32</v>
      </c>
      <c r="C945" s="32" t="s">
        <v>32</v>
      </c>
      <c r="D945" s="31" t="s">
        <v>32</v>
      </c>
      <c r="E945" s="12" t="s">
        <v>581</v>
      </c>
      <c r="F945" s="12" t="s">
        <v>32</v>
      </c>
    </row>
    <row r="946" ht="21" customHeight="1" hidden="1" spans="1:6" x14ac:dyDescent="0.25" outlineLevel="1" collapsed="1">
      <c r="A946" s="30" t="s">
        <v>32</v>
      </c>
      <c r="B946" s="17" t="s">
        <v>32</v>
      </c>
      <c r="C946" s="30" t="s">
        <v>32</v>
      </c>
      <c r="D946" s="31" t="s">
        <v>32</v>
      </c>
      <c r="E946" s="17" t="s">
        <v>582</v>
      </c>
      <c r="F946" s="17" t="s">
        <v>32</v>
      </c>
    </row>
    <row r="947" ht="21" customHeight="1" hidden="1" spans="1:6" x14ac:dyDescent="0.25" outlineLevel="1" collapsed="1">
      <c r="A947" s="32" t="s">
        <v>32</v>
      </c>
      <c r="B947" s="12" t="s">
        <v>32</v>
      </c>
      <c r="C947" s="32" t="s">
        <v>32</v>
      </c>
      <c r="D947" s="31" t="s">
        <v>32</v>
      </c>
      <c r="E947" s="12" t="s">
        <v>583</v>
      </c>
      <c r="F947" s="12" t="s">
        <v>32</v>
      </c>
    </row>
    <row r="948" ht="21" customHeight="1" hidden="1" spans="1:6" x14ac:dyDescent="0.25" outlineLevel="1" collapsed="1">
      <c r="A948" s="30" t="s">
        <v>32</v>
      </c>
      <c r="B948" s="17" t="s">
        <v>32</v>
      </c>
      <c r="C948" s="30" t="s">
        <v>32</v>
      </c>
      <c r="D948" s="31" t="s">
        <v>32</v>
      </c>
      <c r="E948" s="17" t="s">
        <v>555</v>
      </c>
      <c r="F948" s="17" t="s">
        <v>32</v>
      </c>
    </row>
    <row r="949" ht="21" customHeight="1" hidden="1" spans="1:6" x14ac:dyDescent="0.25" outlineLevel="1" collapsed="1">
      <c r="A949" s="32" t="s">
        <v>32</v>
      </c>
      <c r="B949" s="12" t="s">
        <v>32</v>
      </c>
      <c r="C949" s="32" t="s">
        <v>32</v>
      </c>
      <c r="D949" s="31" t="s">
        <v>32</v>
      </c>
      <c r="E949" s="12" t="s">
        <v>584</v>
      </c>
      <c r="F949" s="12" t="s">
        <v>32</v>
      </c>
    </row>
    <row r="950" ht="21" customHeight="1" hidden="1" spans="1:6" x14ac:dyDescent="0.25" outlineLevel="1" collapsed="1">
      <c r="A950" s="30" t="s">
        <v>32</v>
      </c>
      <c r="B950" s="17" t="s">
        <v>32</v>
      </c>
      <c r="C950" s="30" t="s">
        <v>32</v>
      </c>
      <c r="D950" s="31" t="s">
        <v>32</v>
      </c>
      <c r="E950" s="17" t="s">
        <v>493</v>
      </c>
      <c r="F950" s="17" t="s">
        <v>32</v>
      </c>
    </row>
    <row r="951" ht="21" customHeight="1" hidden="1" spans="1:6" x14ac:dyDescent="0.25" outlineLevel="1" collapsed="1">
      <c r="A951" s="32" t="s">
        <v>32</v>
      </c>
      <c r="B951" s="12" t="s">
        <v>32</v>
      </c>
      <c r="C951" s="32" t="s">
        <v>32</v>
      </c>
      <c r="D951" s="31" t="s">
        <v>32</v>
      </c>
      <c r="E951" s="33" t="s">
        <v>633</v>
      </c>
      <c r="F951" s="12" t="s">
        <v>32</v>
      </c>
    </row>
    <row r="952" ht="22" customHeight="1" hidden="1" spans="1:6" x14ac:dyDescent="0.25" outlineLevel="1" collapsed="1">
      <c r="A952" s="34" t="s">
        <v>495</v>
      </c>
      <c r="B952" s="34"/>
      <c r="C952" s="34"/>
      <c r="D952" s="34"/>
      <c r="E952" s="34"/>
      <c r="F952" s="34"/>
    </row>
    <row r="953" ht="24" customHeight="1" hidden="1" spans="1:6" x14ac:dyDescent="0.25" outlineLevel="1" collapsed="1">
      <c r="A953" s="12" t="s">
        <v>634</v>
      </c>
      <c r="B953" s="12"/>
      <c r="C953" s="12"/>
      <c r="D953" s="12"/>
      <c r="E953" s="12"/>
      <c r="F953" s="12"/>
    </row>
    <row r="954" ht="40" customHeight="1" hidden="1" spans="1:6" x14ac:dyDescent="0.25" outlineLevel="1" collapsed="1">
      <c r="A954" s="12" t="s">
        <v>635</v>
      </c>
      <c r="B954" s="12"/>
      <c r="C954" s="12"/>
      <c r="D954" s="12"/>
      <c r="E954" s="12"/>
      <c r="F954" s="12"/>
    </row>
    <row r="955" ht="56" customHeight="1" hidden="1" spans="1:6" x14ac:dyDescent="0.25" outlineLevel="1" collapsed="1">
      <c r="A955" s="12" t="s">
        <v>653</v>
      </c>
      <c r="B955" s="12"/>
      <c r="C955" s="12"/>
      <c r="D955" s="12"/>
      <c r="E955" s="12"/>
      <c r="F955" s="12"/>
    </row>
    <row r="956" ht="24" customHeight="1" hidden="1" spans="1:6" x14ac:dyDescent="0.25" outlineLevel="1" collapsed="1">
      <c r="A956" s="12" t="s">
        <v>499</v>
      </c>
      <c r="B956" s="12"/>
      <c r="C956" s="12"/>
      <c r="D956" s="12"/>
      <c r="E956" s="12"/>
      <c r="F956" s="12"/>
    </row>
    <row r="957" ht="6" customHeight="1" hidden="1" x14ac:dyDescent="0.25" outlineLevel="1" collapsed="1"/>
    <row r="958" ht="22" customHeight="1" spans="1:6" x14ac:dyDescent="0.25">
      <c r="A958" s="25" t="s">
        <v>587</v>
      </c>
      <c r="B958" s="25"/>
      <c r="C958" s="25"/>
      <c r="D958" s="25"/>
      <c r="E958" s="25"/>
      <c r="F958" s="25"/>
    </row>
    <row r="959" ht="20" customHeight="1" hidden="1" spans="1:6" x14ac:dyDescent="0.25" outlineLevel="1" collapsed="1">
      <c r="A959" s="26" t="s">
        <v>460</v>
      </c>
      <c r="B959" s="26" t="s">
        <v>461</v>
      </c>
      <c r="C959" s="26" t="s">
        <v>462</v>
      </c>
      <c r="D959" s="26" t="s">
        <v>32</v>
      </c>
      <c r="E959" s="26" t="s">
        <v>463</v>
      </c>
      <c r="F959" s="26" t="s">
        <v>464</v>
      </c>
    </row>
    <row r="960" ht="51" customHeight="1" hidden="1" spans="1:6" x14ac:dyDescent="0.25" outlineLevel="1" collapsed="1">
      <c r="A960" s="27">
        <v>4220</v>
      </c>
      <c r="B960" s="28" t="s">
        <v>543</v>
      </c>
      <c r="C960" s="27" t="s">
        <v>466</v>
      </c>
      <c r="D960" s="29" t="s">
        <v>32</v>
      </c>
      <c r="E960" s="28" t="s">
        <v>467</v>
      </c>
      <c r="F960" s="28" t="s">
        <v>468</v>
      </c>
    </row>
    <row r="961" ht="36" customHeight="1" hidden="1" spans="1:6" x14ac:dyDescent="0.25" outlineLevel="1" collapsed="1">
      <c r="A961" s="30" t="s">
        <v>32</v>
      </c>
      <c r="B961" s="17" t="s">
        <v>32</v>
      </c>
      <c r="C961" s="30" t="s">
        <v>32</v>
      </c>
      <c r="D961" s="31" t="s">
        <v>32</v>
      </c>
      <c r="E961" s="17" t="s">
        <v>469</v>
      </c>
      <c r="F961" s="17" t="s">
        <v>32</v>
      </c>
    </row>
    <row r="962" ht="21" customHeight="1" hidden="1" spans="1:6" x14ac:dyDescent="0.25" outlineLevel="1" collapsed="1">
      <c r="A962" s="32" t="s">
        <v>32</v>
      </c>
      <c r="B962" s="12" t="s">
        <v>32</v>
      </c>
      <c r="C962" s="32" t="s">
        <v>32</v>
      </c>
      <c r="D962" s="31" t="s">
        <v>32</v>
      </c>
      <c r="E962" s="33" t="s">
        <v>632</v>
      </c>
      <c r="F962" s="12" t="s">
        <v>32</v>
      </c>
    </row>
    <row r="963" ht="51" customHeight="1" hidden="1" spans="1:6" x14ac:dyDescent="0.25" outlineLevel="1" collapsed="1">
      <c r="A963" s="27">
        <v>4240</v>
      </c>
      <c r="B963" s="28" t="s">
        <v>471</v>
      </c>
      <c r="C963" s="27" t="s">
        <v>472</v>
      </c>
      <c r="D963" s="29" t="s">
        <v>32</v>
      </c>
      <c r="E963" s="28" t="s">
        <v>473</v>
      </c>
      <c r="F963" s="28" t="s">
        <v>474</v>
      </c>
    </row>
    <row r="964" ht="21" customHeight="1" hidden="1" spans="1:6" x14ac:dyDescent="0.25" outlineLevel="1" collapsed="1">
      <c r="A964" s="30" t="s">
        <v>32</v>
      </c>
      <c r="B964" s="17" t="s">
        <v>32</v>
      </c>
      <c r="C964" s="30" t="s">
        <v>32</v>
      </c>
      <c r="D964" s="31" t="s">
        <v>32</v>
      </c>
      <c r="E964" s="17" t="s">
        <v>475</v>
      </c>
      <c r="F964" s="17" t="s">
        <v>32</v>
      </c>
    </row>
    <row r="965" ht="36" customHeight="1" hidden="1" spans="1:6" x14ac:dyDescent="0.25" outlineLevel="1" collapsed="1">
      <c r="A965" s="32" t="s">
        <v>32</v>
      </c>
      <c r="B965" s="12" t="s">
        <v>32</v>
      </c>
      <c r="C965" s="32" t="s">
        <v>32</v>
      </c>
      <c r="D965" s="31" t="s">
        <v>32</v>
      </c>
      <c r="E965" s="12" t="s">
        <v>476</v>
      </c>
      <c r="F965" s="12" t="s">
        <v>32</v>
      </c>
    </row>
    <row r="966" ht="36" customHeight="1" hidden="1" spans="1:6" x14ac:dyDescent="0.25" outlineLevel="1" collapsed="1">
      <c r="A966" s="30" t="s">
        <v>32</v>
      </c>
      <c r="B966" s="17" t="s">
        <v>32</v>
      </c>
      <c r="C966" s="30" t="s">
        <v>32</v>
      </c>
      <c r="D966" s="31" t="s">
        <v>32</v>
      </c>
      <c r="E966" s="17" t="s">
        <v>477</v>
      </c>
      <c r="F966" s="17" t="s">
        <v>32</v>
      </c>
    </row>
    <row r="967" ht="36" customHeight="1" hidden="1" spans="1:6" x14ac:dyDescent="0.25" outlineLevel="1" collapsed="1">
      <c r="A967" s="32" t="s">
        <v>32</v>
      </c>
      <c r="B967" s="12" t="s">
        <v>32</v>
      </c>
      <c r="C967" s="32" t="s">
        <v>32</v>
      </c>
      <c r="D967" s="31" t="s">
        <v>32</v>
      </c>
      <c r="E967" s="12" t="s">
        <v>478</v>
      </c>
      <c r="F967" s="12" t="s">
        <v>32</v>
      </c>
    </row>
    <row r="968" ht="21" customHeight="1" hidden="1" spans="1:6" x14ac:dyDescent="0.25" outlineLevel="1" collapsed="1">
      <c r="A968" s="30" t="s">
        <v>32</v>
      </c>
      <c r="B968" s="17" t="s">
        <v>32</v>
      </c>
      <c r="C968" s="30" t="s">
        <v>32</v>
      </c>
      <c r="D968" s="31" t="s">
        <v>32</v>
      </c>
      <c r="E968" s="17" t="s">
        <v>479</v>
      </c>
      <c r="F968" s="17" t="s">
        <v>32</v>
      </c>
    </row>
    <row r="969" ht="21" customHeight="1" hidden="1" spans="1:6" x14ac:dyDescent="0.25" outlineLevel="1" collapsed="1">
      <c r="A969" s="32" t="s">
        <v>32</v>
      </c>
      <c r="B969" s="12" t="s">
        <v>32</v>
      </c>
      <c r="C969" s="32" t="s">
        <v>32</v>
      </c>
      <c r="D969" s="31" t="s">
        <v>32</v>
      </c>
      <c r="E969" s="33" t="s">
        <v>632</v>
      </c>
      <c r="F969" s="12" t="s">
        <v>32</v>
      </c>
    </row>
    <row r="970" ht="51" customHeight="1" hidden="1" spans="1:6" x14ac:dyDescent="0.25" outlineLevel="1" collapsed="1">
      <c r="A970" s="27">
        <v>4230</v>
      </c>
      <c r="B970" s="28" t="s">
        <v>544</v>
      </c>
      <c r="C970" s="27" t="s">
        <v>472</v>
      </c>
      <c r="D970" s="29" t="s">
        <v>32</v>
      </c>
      <c r="E970" s="28" t="s">
        <v>576</v>
      </c>
      <c r="F970" s="28" t="s">
        <v>482</v>
      </c>
    </row>
    <row r="971" ht="21" customHeight="1" hidden="1" spans="1:6" x14ac:dyDescent="0.25" outlineLevel="1" collapsed="1">
      <c r="A971" s="30" t="s">
        <v>32</v>
      </c>
      <c r="B971" s="17" t="s">
        <v>32</v>
      </c>
      <c r="C971" s="30" t="s">
        <v>32</v>
      </c>
      <c r="D971" s="31" t="s">
        <v>32</v>
      </c>
      <c r="E971" s="17" t="s">
        <v>577</v>
      </c>
      <c r="F971" s="17" t="s">
        <v>32</v>
      </c>
    </row>
    <row r="972" ht="36" customHeight="1" hidden="1" spans="1:6" x14ac:dyDescent="0.25" outlineLevel="1" collapsed="1">
      <c r="A972" s="32" t="s">
        <v>32</v>
      </c>
      <c r="B972" s="12" t="s">
        <v>32</v>
      </c>
      <c r="C972" s="32" t="s">
        <v>32</v>
      </c>
      <c r="D972" s="31" t="s">
        <v>32</v>
      </c>
      <c r="E972" s="12" t="s">
        <v>578</v>
      </c>
      <c r="F972" s="12" t="s">
        <v>32</v>
      </c>
    </row>
    <row r="973" ht="36" customHeight="1" hidden="1" spans="1:6" x14ac:dyDescent="0.25" outlineLevel="1" collapsed="1">
      <c r="A973" s="30" t="s">
        <v>32</v>
      </c>
      <c r="B973" s="17" t="s">
        <v>32</v>
      </c>
      <c r="C973" s="30" t="s">
        <v>32</v>
      </c>
      <c r="D973" s="31" t="s">
        <v>32</v>
      </c>
      <c r="E973" s="17" t="s">
        <v>579</v>
      </c>
      <c r="F973" s="17" t="s">
        <v>32</v>
      </c>
    </row>
    <row r="974" ht="21" customHeight="1" hidden="1" spans="1:6" x14ac:dyDescent="0.25" outlineLevel="1" collapsed="1">
      <c r="A974" s="32" t="s">
        <v>32</v>
      </c>
      <c r="B974" s="12" t="s">
        <v>32</v>
      </c>
      <c r="C974" s="32" t="s">
        <v>32</v>
      </c>
      <c r="D974" s="31" t="s">
        <v>32</v>
      </c>
      <c r="E974" s="12" t="s">
        <v>580</v>
      </c>
      <c r="F974" s="12" t="s">
        <v>32</v>
      </c>
    </row>
    <row r="975" ht="21" customHeight="1" hidden="1" spans="1:6" x14ac:dyDescent="0.25" outlineLevel="1" collapsed="1">
      <c r="A975" s="30" t="s">
        <v>32</v>
      </c>
      <c r="B975" s="17" t="s">
        <v>32</v>
      </c>
      <c r="C975" s="30" t="s">
        <v>32</v>
      </c>
      <c r="D975" s="31" t="s">
        <v>32</v>
      </c>
      <c r="E975" s="17" t="s">
        <v>551</v>
      </c>
      <c r="F975" s="17" t="s">
        <v>32</v>
      </c>
    </row>
    <row r="976" ht="21" customHeight="1" hidden="1" spans="1:6" x14ac:dyDescent="0.25" outlineLevel="1" collapsed="1">
      <c r="A976" s="32" t="s">
        <v>32</v>
      </c>
      <c r="B976" s="12" t="s">
        <v>32</v>
      </c>
      <c r="C976" s="32" t="s">
        <v>32</v>
      </c>
      <c r="D976" s="31" t="s">
        <v>32</v>
      </c>
      <c r="E976" s="12" t="s">
        <v>581</v>
      </c>
      <c r="F976" s="12" t="s">
        <v>32</v>
      </c>
    </row>
    <row r="977" ht="21" customHeight="1" hidden="1" spans="1:6" x14ac:dyDescent="0.25" outlineLevel="1" collapsed="1">
      <c r="A977" s="30" t="s">
        <v>32</v>
      </c>
      <c r="B977" s="17" t="s">
        <v>32</v>
      </c>
      <c r="C977" s="30" t="s">
        <v>32</v>
      </c>
      <c r="D977" s="31" t="s">
        <v>32</v>
      </c>
      <c r="E977" s="17" t="s">
        <v>582</v>
      </c>
      <c r="F977" s="17" t="s">
        <v>32</v>
      </c>
    </row>
    <row r="978" ht="21" customHeight="1" hidden="1" spans="1:6" x14ac:dyDescent="0.25" outlineLevel="1" collapsed="1">
      <c r="A978" s="32" t="s">
        <v>32</v>
      </c>
      <c r="B978" s="12" t="s">
        <v>32</v>
      </c>
      <c r="C978" s="32" t="s">
        <v>32</v>
      </c>
      <c r="D978" s="31" t="s">
        <v>32</v>
      </c>
      <c r="E978" s="12" t="s">
        <v>583</v>
      </c>
      <c r="F978" s="12" t="s">
        <v>32</v>
      </c>
    </row>
    <row r="979" ht="21" customHeight="1" hidden="1" spans="1:6" x14ac:dyDescent="0.25" outlineLevel="1" collapsed="1">
      <c r="A979" s="30" t="s">
        <v>32</v>
      </c>
      <c r="B979" s="17" t="s">
        <v>32</v>
      </c>
      <c r="C979" s="30" t="s">
        <v>32</v>
      </c>
      <c r="D979" s="31" t="s">
        <v>32</v>
      </c>
      <c r="E979" s="17" t="s">
        <v>555</v>
      </c>
      <c r="F979" s="17" t="s">
        <v>32</v>
      </c>
    </row>
    <row r="980" ht="21" customHeight="1" hidden="1" spans="1:6" x14ac:dyDescent="0.25" outlineLevel="1" collapsed="1">
      <c r="A980" s="32" t="s">
        <v>32</v>
      </c>
      <c r="B980" s="12" t="s">
        <v>32</v>
      </c>
      <c r="C980" s="32" t="s">
        <v>32</v>
      </c>
      <c r="D980" s="31" t="s">
        <v>32</v>
      </c>
      <c r="E980" s="12" t="s">
        <v>584</v>
      </c>
      <c r="F980" s="12" t="s">
        <v>32</v>
      </c>
    </row>
    <row r="981" ht="21" customHeight="1" hidden="1" spans="1:6" x14ac:dyDescent="0.25" outlineLevel="1" collapsed="1">
      <c r="A981" s="30" t="s">
        <v>32</v>
      </c>
      <c r="B981" s="17" t="s">
        <v>32</v>
      </c>
      <c r="C981" s="30" t="s">
        <v>32</v>
      </c>
      <c r="D981" s="31" t="s">
        <v>32</v>
      </c>
      <c r="E981" s="17" t="s">
        <v>493</v>
      </c>
      <c r="F981" s="17" t="s">
        <v>32</v>
      </c>
    </row>
    <row r="982" ht="21" customHeight="1" hidden="1" spans="1:6" x14ac:dyDescent="0.25" outlineLevel="1" collapsed="1">
      <c r="A982" s="32" t="s">
        <v>32</v>
      </c>
      <c r="B982" s="12" t="s">
        <v>32</v>
      </c>
      <c r="C982" s="32" t="s">
        <v>32</v>
      </c>
      <c r="D982" s="31" t="s">
        <v>32</v>
      </c>
      <c r="E982" s="33" t="s">
        <v>633</v>
      </c>
      <c r="F982" s="12" t="s">
        <v>32</v>
      </c>
    </row>
    <row r="983" ht="22" customHeight="1" hidden="1" spans="1:6" x14ac:dyDescent="0.25" outlineLevel="1" collapsed="1">
      <c r="A983" s="34" t="s">
        <v>495</v>
      </c>
      <c r="B983" s="34"/>
      <c r="C983" s="34"/>
      <c r="D983" s="34"/>
      <c r="E983" s="34"/>
      <c r="F983" s="34"/>
    </row>
    <row r="984" ht="24" customHeight="1" hidden="1" spans="1:6" x14ac:dyDescent="0.25" outlineLevel="1" collapsed="1">
      <c r="A984" s="12" t="s">
        <v>634</v>
      </c>
      <c r="B984" s="12"/>
      <c r="C984" s="12"/>
      <c r="D984" s="12"/>
      <c r="E984" s="12"/>
      <c r="F984" s="12"/>
    </row>
    <row r="985" ht="40" customHeight="1" hidden="1" spans="1:6" x14ac:dyDescent="0.25" outlineLevel="1" collapsed="1">
      <c r="A985" s="12" t="s">
        <v>635</v>
      </c>
      <c r="B985" s="12"/>
      <c r="C985" s="12"/>
      <c r="D985" s="12"/>
      <c r="E985" s="12"/>
      <c r="F985" s="12"/>
    </row>
    <row r="986" ht="56" customHeight="1" hidden="1" spans="1:6" x14ac:dyDescent="0.25" outlineLevel="1" collapsed="1">
      <c r="A986" s="12" t="s">
        <v>653</v>
      </c>
      <c r="B986" s="12"/>
      <c r="C986" s="12"/>
      <c r="D986" s="12"/>
      <c r="E986" s="12"/>
      <c r="F986" s="12"/>
    </row>
    <row r="987" ht="24" customHeight="1" hidden="1" spans="1:6" x14ac:dyDescent="0.25" outlineLevel="1" collapsed="1">
      <c r="A987" s="12" t="s">
        <v>499</v>
      </c>
      <c r="B987" s="12"/>
      <c r="C987" s="12"/>
      <c r="D987" s="12"/>
      <c r="E987" s="12"/>
      <c r="F987" s="12"/>
    </row>
    <row r="988" ht="6" customHeight="1" hidden="1" x14ac:dyDescent="0.25" outlineLevel="1" collapsed="1"/>
    <row r="989" ht="22" customHeight="1" spans="1:6" x14ac:dyDescent="0.25">
      <c r="A989" s="25" t="s">
        <v>588</v>
      </c>
      <c r="B989" s="25"/>
      <c r="C989" s="25"/>
      <c r="D989" s="25"/>
      <c r="E989" s="25"/>
      <c r="F989" s="25"/>
    </row>
    <row r="990" ht="20" customHeight="1" hidden="1" spans="1:6" x14ac:dyDescent="0.25" outlineLevel="1" collapsed="1">
      <c r="A990" s="26" t="s">
        <v>460</v>
      </c>
      <c r="B990" s="26" t="s">
        <v>461</v>
      </c>
      <c r="C990" s="26" t="s">
        <v>462</v>
      </c>
      <c r="D990" s="26" t="s">
        <v>32</v>
      </c>
      <c r="E990" s="26" t="s">
        <v>463</v>
      </c>
      <c r="F990" s="26" t="s">
        <v>464</v>
      </c>
    </row>
    <row r="991" ht="51" customHeight="1" hidden="1" spans="1:6" x14ac:dyDescent="0.25" outlineLevel="1" collapsed="1">
      <c r="A991" s="27">
        <v>4220</v>
      </c>
      <c r="B991" s="28" t="s">
        <v>543</v>
      </c>
      <c r="C991" s="27" t="s">
        <v>466</v>
      </c>
      <c r="D991" s="29" t="s">
        <v>32</v>
      </c>
      <c r="E991" s="28" t="s">
        <v>467</v>
      </c>
      <c r="F991" s="28" t="s">
        <v>468</v>
      </c>
    </row>
    <row r="992" ht="36" customHeight="1" hidden="1" spans="1:6" x14ac:dyDescent="0.25" outlineLevel="1" collapsed="1">
      <c r="A992" s="30" t="s">
        <v>32</v>
      </c>
      <c r="B992" s="17" t="s">
        <v>32</v>
      </c>
      <c r="C992" s="30" t="s">
        <v>32</v>
      </c>
      <c r="D992" s="31" t="s">
        <v>32</v>
      </c>
      <c r="E992" s="17" t="s">
        <v>469</v>
      </c>
      <c r="F992" s="17" t="s">
        <v>32</v>
      </c>
    </row>
    <row r="993" ht="21" customHeight="1" hidden="1" spans="1:6" x14ac:dyDescent="0.25" outlineLevel="1" collapsed="1">
      <c r="A993" s="32" t="s">
        <v>32</v>
      </c>
      <c r="B993" s="12" t="s">
        <v>32</v>
      </c>
      <c r="C993" s="32" t="s">
        <v>32</v>
      </c>
      <c r="D993" s="31" t="s">
        <v>32</v>
      </c>
      <c r="E993" s="33" t="s">
        <v>632</v>
      </c>
      <c r="F993" s="12" t="s">
        <v>32</v>
      </c>
    </row>
    <row r="994" ht="51" customHeight="1" hidden="1" spans="1:6" x14ac:dyDescent="0.25" outlineLevel="1" collapsed="1">
      <c r="A994" s="27">
        <v>4240</v>
      </c>
      <c r="B994" s="28" t="s">
        <v>471</v>
      </c>
      <c r="C994" s="27" t="s">
        <v>472</v>
      </c>
      <c r="D994" s="29" t="s">
        <v>32</v>
      </c>
      <c r="E994" s="28" t="s">
        <v>473</v>
      </c>
      <c r="F994" s="28" t="s">
        <v>474</v>
      </c>
    </row>
    <row r="995" ht="21" customHeight="1" hidden="1" spans="1:6" x14ac:dyDescent="0.25" outlineLevel="1" collapsed="1">
      <c r="A995" s="30" t="s">
        <v>32</v>
      </c>
      <c r="B995" s="17" t="s">
        <v>32</v>
      </c>
      <c r="C995" s="30" t="s">
        <v>32</v>
      </c>
      <c r="D995" s="31" t="s">
        <v>32</v>
      </c>
      <c r="E995" s="17" t="s">
        <v>475</v>
      </c>
      <c r="F995" s="17" t="s">
        <v>32</v>
      </c>
    </row>
    <row r="996" ht="36" customHeight="1" hidden="1" spans="1:6" x14ac:dyDescent="0.25" outlineLevel="1" collapsed="1">
      <c r="A996" s="32" t="s">
        <v>32</v>
      </c>
      <c r="B996" s="12" t="s">
        <v>32</v>
      </c>
      <c r="C996" s="32" t="s">
        <v>32</v>
      </c>
      <c r="D996" s="31" t="s">
        <v>32</v>
      </c>
      <c r="E996" s="12" t="s">
        <v>476</v>
      </c>
      <c r="F996" s="12" t="s">
        <v>32</v>
      </c>
    </row>
    <row r="997" ht="36" customHeight="1" hidden="1" spans="1:6" x14ac:dyDescent="0.25" outlineLevel="1" collapsed="1">
      <c r="A997" s="30" t="s">
        <v>32</v>
      </c>
      <c r="B997" s="17" t="s">
        <v>32</v>
      </c>
      <c r="C997" s="30" t="s">
        <v>32</v>
      </c>
      <c r="D997" s="31" t="s">
        <v>32</v>
      </c>
      <c r="E997" s="17" t="s">
        <v>477</v>
      </c>
      <c r="F997" s="17" t="s">
        <v>32</v>
      </c>
    </row>
    <row r="998" ht="36" customHeight="1" hidden="1" spans="1:6" x14ac:dyDescent="0.25" outlineLevel="1" collapsed="1">
      <c r="A998" s="32" t="s">
        <v>32</v>
      </c>
      <c r="B998" s="12" t="s">
        <v>32</v>
      </c>
      <c r="C998" s="32" t="s">
        <v>32</v>
      </c>
      <c r="D998" s="31" t="s">
        <v>32</v>
      </c>
      <c r="E998" s="12" t="s">
        <v>478</v>
      </c>
      <c r="F998" s="12" t="s">
        <v>32</v>
      </c>
    </row>
    <row r="999" ht="21" customHeight="1" hidden="1" spans="1:6" x14ac:dyDescent="0.25" outlineLevel="1" collapsed="1">
      <c r="A999" s="30" t="s">
        <v>32</v>
      </c>
      <c r="B999" s="17" t="s">
        <v>32</v>
      </c>
      <c r="C999" s="30" t="s">
        <v>32</v>
      </c>
      <c r="D999" s="31" t="s">
        <v>32</v>
      </c>
      <c r="E999" s="17" t="s">
        <v>479</v>
      </c>
      <c r="F999" s="17" t="s">
        <v>32</v>
      </c>
    </row>
    <row r="1000" ht="21" customHeight="1" hidden="1" spans="1:6" x14ac:dyDescent="0.25" outlineLevel="1" collapsed="1">
      <c r="A1000" s="32" t="s">
        <v>32</v>
      </c>
      <c r="B1000" s="12" t="s">
        <v>32</v>
      </c>
      <c r="C1000" s="32" t="s">
        <v>32</v>
      </c>
      <c r="D1000" s="31" t="s">
        <v>32</v>
      </c>
      <c r="E1000" s="33" t="s">
        <v>632</v>
      </c>
      <c r="F1000" s="12" t="s">
        <v>32</v>
      </c>
    </row>
    <row r="1001" ht="51" customHeight="1" hidden="1" spans="1:6" x14ac:dyDescent="0.25" outlineLevel="1" collapsed="1">
      <c r="A1001" s="27">
        <v>4230</v>
      </c>
      <c r="B1001" s="28" t="s">
        <v>544</v>
      </c>
      <c r="C1001" s="27" t="s">
        <v>472</v>
      </c>
      <c r="D1001" s="29" t="s">
        <v>32</v>
      </c>
      <c r="E1001" s="28" t="s">
        <v>576</v>
      </c>
      <c r="F1001" s="28" t="s">
        <v>482</v>
      </c>
    </row>
    <row r="1002" ht="21" customHeight="1" hidden="1" spans="1:6" x14ac:dyDescent="0.25" outlineLevel="1" collapsed="1">
      <c r="A1002" s="30" t="s">
        <v>32</v>
      </c>
      <c r="B1002" s="17" t="s">
        <v>32</v>
      </c>
      <c r="C1002" s="30" t="s">
        <v>32</v>
      </c>
      <c r="D1002" s="31" t="s">
        <v>32</v>
      </c>
      <c r="E1002" s="17" t="s">
        <v>577</v>
      </c>
      <c r="F1002" s="17" t="s">
        <v>32</v>
      </c>
    </row>
    <row r="1003" ht="36" customHeight="1" hidden="1" spans="1:6" x14ac:dyDescent="0.25" outlineLevel="1" collapsed="1">
      <c r="A1003" s="32" t="s">
        <v>32</v>
      </c>
      <c r="B1003" s="12" t="s">
        <v>32</v>
      </c>
      <c r="C1003" s="32" t="s">
        <v>32</v>
      </c>
      <c r="D1003" s="31" t="s">
        <v>32</v>
      </c>
      <c r="E1003" s="12" t="s">
        <v>578</v>
      </c>
      <c r="F1003" s="12" t="s">
        <v>32</v>
      </c>
    </row>
    <row r="1004" ht="36" customHeight="1" hidden="1" spans="1:6" x14ac:dyDescent="0.25" outlineLevel="1" collapsed="1">
      <c r="A1004" s="30" t="s">
        <v>32</v>
      </c>
      <c r="B1004" s="17" t="s">
        <v>32</v>
      </c>
      <c r="C1004" s="30" t="s">
        <v>32</v>
      </c>
      <c r="D1004" s="31" t="s">
        <v>32</v>
      </c>
      <c r="E1004" s="17" t="s">
        <v>579</v>
      </c>
      <c r="F1004" s="17" t="s">
        <v>32</v>
      </c>
    </row>
    <row r="1005" ht="21" customHeight="1" hidden="1" spans="1:6" x14ac:dyDescent="0.25" outlineLevel="1" collapsed="1">
      <c r="A1005" s="32" t="s">
        <v>32</v>
      </c>
      <c r="B1005" s="12" t="s">
        <v>32</v>
      </c>
      <c r="C1005" s="32" t="s">
        <v>32</v>
      </c>
      <c r="D1005" s="31" t="s">
        <v>32</v>
      </c>
      <c r="E1005" s="12" t="s">
        <v>580</v>
      </c>
      <c r="F1005" s="12" t="s">
        <v>32</v>
      </c>
    </row>
    <row r="1006" ht="21" customHeight="1" hidden="1" spans="1:6" x14ac:dyDescent="0.25" outlineLevel="1" collapsed="1">
      <c r="A1006" s="30" t="s">
        <v>32</v>
      </c>
      <c r="B1006" s="17" t="s">
        <v>32</v>
      </c>
      <c r="C1006" s="30" t="s">
        <v>32</v>
      </c>
      <c r="D1006" s="31" t="s">
        <v>32</v>
      </c>
      <c r="E1006" s="17" t="s">
        <v>551</v>
      </c>
      <c r="F1006" s="17" t="s">
        <v>32</v>
      </c>
    </row>
    <row r="1007" ht="21" customHeight="1" hidden="1" spans="1:6" x14ac:dyDescent="0.25" outlineLevel="1" collapsed="1">
      <c r="A1007" s="32" t="s">
        <v>32</v>
      </c>
      <c r="B1007" s="12" t="s">
        <v>32</v>
      </c>
      <c r="C1007" s="32" t="s">
        <v>32</v>
      </c>
      <c r="D1007" s="31" t="s">
        <v>32</v>
      </c>
      <c r="E1007" s="12" t="s">
        <v>581</v>
      </c>
      <c r="F1007" s="12" t="s">
        <v>32</v>
      </c>
    </row>
    <row r="1008" ht="21" customHeight="1" hidden="1" spans="1:6" x14ac:dyDescent="0.25" outlineLevel="1" collapsed="1">
      <c r="A1008" s="30" t="s">
        <v>32</v>
      </c>
      <c r="B1008" s="17" t="s">
        <v>32</v>
      </c>
      <c r="C1008" s="30" t="s">
        <v>32</v>
      </c>
      <c r="D1008" s="31" t="s">
        <v>32</v>
      </c>
      <c r="E1008" s="17" t="s">
        <v>582</v>
      </c>
      <c r="F1008" s="17" t="s">
        <v>32</v>
      </c>
    </row>
    <row r="1009" ht="21" customHeight="1" hidden="1" spans="1:6" x14ac:dyDescent="0.25" outlineLevel="1" collapsed="1">
      <c r="A1009" s="32" t="s">
        <v>32</v>
      </c>
      <c r="B1009" s="12" t="s">
        <v>32</v>
      </c>
      <c r="C1009" s="32" t="s">
        <v>32</v>
      </c>
      <c r="D1009" s="31" t="s">
        <v>32</v>
      </c>
      <c r="E1009" s="12" t="s">
        <v>583</v>
      </c>
      <c r="F1009" s="12" t="s">
        <v>32</v>
      </c>
    </row>
    <row r="1010" ht="21" customHeight="1" hidden="1" spans="1:6" x14ac:dyDescent="0.25" outlineLevel="1" collapsed="1">
      <c r="A1010" s="30" t="s">
        <v>32</v>
      </c>
      <c r="B1010" s="17" t="s">
        <v>32</v>
      </c>
      <c r="C1010" s="30" t="s">
        <v>32</v>
      </c>
      <c r="D1010" s="31" t="s">
        <v>32</v>
      </c>
      <c r="E1010" s="17" t="s">
        <v>555</v>
      </c>
      <c r="F1010" s="17" t="s">
        <v>32</v>
      </c>
    </row>
    <row r="1011" ht="21" customHeight="1" hidden="1" spans="1:6" x14ac:dyDescent="0.25" outlineLevel="1" collapsed="1">
      <c r="A1011" s="32" t="s">
        <v>32</v>
      </c>
      <c r="B1011" s="12" t="s">
        <v>32</v>
      </c>
      <c r="C1011" s="32" t="s">
        <v>32</v>
      </c>
      <c r="D1011" s="31" t="s">
        <v>32</v>
      </c>
      <c r="E1011" s="12" t="s">
        <v>584</v>
      </c>
      <c r="F1011" s="12" t="s">
        <v>32</v>
      </c>
    </row>
    <row r="1012" ht="21" customHeight="1" hidden="1" spans="1:6" x14ac:dyDescent="0.25" outlineLevel="1" collapsed="1">
      <c r="A1012" s="30" t="s">
        <v>32</v>
      </c>
      <c r="B1012" s="17" t="s">
        <v>32</v>
      </c>
      <c r="C1012" s="30" t="s">
        <v>32</v>
      </c>
      <c r="D1012" s="31" t="s">
        <v>32</v>
      </c>
      <c r="E1012" s="17" t="s">
        <v>493</v>
      </c>
      <c r="F1012" s="17" t="s">
        <v>32</v>
      </c>
    </row>
    <row r="1013" ht="21" customHeight="1" hidden="1" spans="1:6" x14ac:dyDescent="0.25" outlineLevel="1" collapsed="1">
      <c r="A1013" s="32" t="s">
        <v>32</v>
      </c>
      <c r="B1013" s="12" t="s">
        <v>32</v>
      </c>
      <c r="C1013" s="32" t="s">
        <v>32</v>
      </c>
      <c r="D1013" s="31" t="s">
        <v>32</v>
      </c>
      <c r="E1013" s="33" t="s">
        <v>633</v>
      </c>
      <c r="F1013" s="12" t="s">
        <v>32</v>
      </c>
    </row>
    <row r="1014" ht="22" customHeight="1" hidden="1" spans="1:6" x14ac:dyDescent="0.25" outlineLevel="1" collapsed="1">
      <c r="A1014" s="34" t="s">
        <v>495</v>
      </c>
      <c r="B1014" s="34"/>
      <c r="C1014" s="34"/>
      <c r="D1014" s="34"/>
      <c r="E1014" s="34"/>
      <c r="F1014" s="34"/>
    </row>
    <row r="1015" ht="24" customHeight="1" hidden="1" spans="1:6" x14ac:dyDescent="0.25" outlineLevel="1" collapsed="1">
      <c r="A1015" s="12" t="s">
        <v>634</v>
      </c>
      <c r="B1015" s="12"/>
      <c r="C1015" s="12"/>
      <c r="D1015" s="12"/>
      <c r="E1015" s="12"/>
      <c r="F1015" s="12"/>
    </row>
    <row r="1016" ht="40" customHeight="1" hidden="1" spans="1:6" x14ac:dyDescent="0.25" outlineLevel="1" collapsed="1">
      <c r="A1016" s="12" t="s">
        <v>635</v>
      </c>
      <c r="B1016" s="12"/>
      <c r="C1016" s="12"/>
      <c r="D1016" s="12"/>
      <c r="E1016" s="12"/>
      <c r="F1016" s="12"/>
    </row>
    <row r="1017" ht="56" customHeight="1" hidden="1" spans="1:6" x14ac:dyDescent="0.25" outlineLevel="1" collapsed="1">
      <c r="A1017" s="12" t="s">
        <v>653</v>
      </c>
      <c r="B1017" s="12"/>
      <c r="C1017" s="12"/>
      <c r="D1017" s="12"/>
      <c r="E1017" s="12"/>
      <c r="F1017" s="12"/>
    </row>
    <row r="1018" ht="24" customHeight="1" hidden="1" spans="1:6" x14ac:dyDescent="0.25" outlineLevel="1" collapsed="1">
      <c r="A1018" s="12" t="s">
        <v>499</v>
      </c>
      <c r="B1018" s="12"/>
      <c r="C1018" s="12"/>
      <c r="D1018" s="12"/>
      <c r="E1018" s="12"/>
      <c r="F1018" s="12"/>
    </row>
    <row r="1019" ht="6" customHeight="1" hidden="1" x14ac:dyDescent="0.25" outlineLevel="1" collapsed="1"/>
    <row r="1020" ht="22" customHeight="1" spans="1:6" x14ac:dyDescent="0.25">
      <c r="A1020" s="25" t="s">
        <v>589</v>
      </c>
      <c r="B1020" s="25"/>
      <c r="C1020" s="25"/>
      <c r="D1020" s="25"/>
      <c r="E1020" s="25"/>
      <c r="F1020" s="25"/>
    </row>
    <row r="1021" ht="20" customHeight="1" hidden="1" spans="1:6" x14ac:dyDescent="0.25" outlineLevel="1" collapsed="1">
      <c r="A1021" s="26" t="s">
        <v>460</v>
      </c>
      <c r="B1021" s="26" t="s">
        <v>461</v>
      </c>
      <c r="C1021" s="26" t="s">
        <v>462</v>
      </c>
      <c r="D1021" s="26" t="s">
        <v>32</v>
      </c>
      <c r="E1021" s="26" t="s">
        <v>463</v>
      </c>
      <c r="F1021" s="26" t="s">
        <v>464</v>
      </c>
    </row>
    <row r="1022" ht="51" customHeight="1" hidden="1" spans="1:6" x14ac:dyDescent="0.25" outlineLevel="1" collapsed="1">
      <c r="A1022" s="27">
        <v>4220</v>
      </c>
      <c r="B1022" s="28" t="s">
        <v>543</v>
      </c>
      <c r="C1022" s="27" t="s">
        <v>466</v>
      </c>
      <c r="D1022" s="29" t="s">
        <v>32</v>
      </c>
      <c r="E1022" s="28" t="s">
        <v>467</v>
      </c>
      <c r="F1022" s="28" t="s">
        <v>468</v>
      </c>
    </row>
    <row r="1023" ht="36" customHeight="1" hidden="1" spans="1:6" x14ac:dyDescent="0.25" outlineLevel="1" collapsed="1">
      <c r="A1023" s="30" t="s">
        <v>32</v>
      </c>
      <c r="B1023" s="17" t="s">
        <v>32</v>
      </c>
      <c r="C1023" s="30" t="s">
        <v>32</v>
      </c>
      <c r="D1023" s="31" t="s">
        <v>32</v>
      </c>
      <c r="E1023" s="17" t="s">
        <v>469</v>
      </c>
      <c r="F1023" s="17" t="s">
        <v>32</v>
      </c>
    </row>
    <row r="1024" ht="21" customHeight="1" hidden="1" spans="1:6" x14ac:dyDescent="0.25" outlineLevel="1" collapsed="1">
      <c r="A1024" s="32" t="s">
        <v>32</v>
      </c>
      <c r="B1024" s="12" t="s">
        <v>32</v>
      </c>
      <c r="C1024" s="32" t="s">
        <v>32</v>
      </c>
      <c r="D1024" s="31" t="s">
        <v>32</v>
      </c>
      <c r="E1024" s="33" t="s">
        <v>632</v>
      </c>
      <c r="F1024" s="12" t="s">
        <v>32</v>
      </c>
    </row>
    <row r="1025" ht="51" customHeight="1" hidden="1" spans="1:6" x14ac:dyDescent="0.25" outlineLevel="1" collapsed="1">
      <c r="A1025" s="27">
        <v>4240</v>
      </c>
      <c r="B1025" s="28" t="s">
        <v>471</v>
      </c>
      <c r="C1025" s="27" t="s">
        <v>472</v>
      </c>
      <c r="D1025" s="29" t="s">
        <v>32</v>
      </c>
      <c r="E1025" s="28" t="s">
        <v>473</v>
      </c>
      <c r="F1025" s="28" t="s">
        <v>474</v>
      </c>
    </row>
    <row r="1026" ht="21" customHeight="1" hidden="1" spans="1:6" x14ac:dyDescent="0.25" outlineLevel="1" collapsed="1">
      <c r="A1026" s="30" t="s">
        <v>32</v>
      </c>
      <c r="B1026" s="17" t="s">
        <v>32</v>
      </c>
      <c r="C1026" s="30" t="s">
        <v>32</v>
      </c>
      <c r="D1026" s="31" t="s">
        <v>32</v>
      </c>
      <c r="E1026" s="17" t="s">
        <v>475</v>
      </c>
      <c r="F1026" s="17" t="s">
        <v>32</v>
      </c>
    </row>
    <row r="1027" ht="36" customHeight="1" hidden="1" spans="1:6" x14ac:dyDescent="0.25" outlineLevel="1" collapsed="1">
      <c r="A1027" s="32" t="s">
        <v>32</v>
      </c>
      <c r="B1027" s="12" t="s">
        <v>32</v>
      </c>
      <c r="C1027" s="32" t="s">
        <v>32</v>
      </c>
      <c r="D1027" s="31" t="s">
        <v>32</v>
      </c>
      <c r="E1027" s="12" t="s">
        <v>476</v>
      </c>
      <c r="F1027" s="12" t="s">
        <v>32</v>
      </c>
    </row>
    <row r="1028" ht="36" customHeight="1" hidden="1" spans="1:6" x14ac:dyDescent="0.25" outlineLevel="1" collapsed="1">
      <c r="A1028" s="30" t="s">
        <v>32</v>
      </c>
      <c r="B1028" s="17" t="s">
        <v>32</v>
      </c>
      <c r="C1028" s="30" t="s">
        <v>32</v>
      </c>
      <c r="D1028" s="31" t="s">
        <v>32</v>
      </c>
      <c r="E1028" s="17" t="s">
        <v>477</v>
      </c>
      <c r="F1028" s="17" t="s">
        <v>32</v>
      </c>
    </row>
    <row r="1029" ht="36" customHeight="1" hidden="1" spans="1:6" x14ac:dyDescent="0.25" outlineLevel="1" collapsed="1">
      <c r="A1029" s="32" t="s">
        <v>32</v>
      </c>
      <c r="B1029" s="12" t="s">
        <v>32</v>
      </c>
      <c r="C1029" s="32" t="s">
        <v>32</v>
      </c>
      <c r="D1029" s="31" t="s">
        <v>32</v>
      </c>
      <c r="E1029" s="12" t="s">
        <v>478</v>
      </c>
      <c r="F1029" s="12" t="s">
        <v>32</v>
      </c>
    </row>
    <row r="1030" ht="21" customHeight="1" hidden="1" spans="1:6" x14ac:dyDescent="0.25" outlineLevel="1" collapsed="1">
      <c r="A1030" s="30" t="s">
        <v>32</v>
      </c>
      <c r="B1030" s="17" t="s">
        <v>32</v>
      </c>
      <c r="C1030" s="30" t="s">
        <v>32</v>
      </c>
      <c r="D1030" s="31" t="s">
        <v>32</v>
      </c>
      <c r="E1030" s="17" t="s">
        <v>479</v>
      </c>
      <c r="F1030" s="17" t="s">
        <v>32</v>
      </c>
    </row>
    <row r="1031" ht="21" customHeight="1" hidden="1" spans="1:6" x14ac:dyDescent="0.25" outlineLevel="1" collapsed="1">
      <c r="A1031" s="32" t="s">
        <v>32</v>
      </c>
      <c r="B1031" s="12" t="s">
        <v>32</v>
      </c>
      <c r="C1031" s="32" t="s">
        <v>32</v>
      </c>
      <c r="D1031" s="31" t="s">
        <v>32</v>
      </c>
      <c r="E1031" s="33" t="s">
        <v>632</v>
      </c>
      <c r="F1031" s="12" t="s">
        <v>32</v>
      </c>
    </row>
    <row r="1032" ht="51" customHeight="1" hidden="1" spans="1:6" x14ac:dyDescent="0.25" outlineLevel="1" collapsed="1">
      <c r="A1032" s="27">
        <v>4230</v>
      </c>
      <c r="B1032" s="28" t="s">
        <v>544</v>
      </c>
      <c r="C1032" s="27" t="s">
        <v>472</v>
      </c>
      <c r="D1032" s="29" t="s">
        <v>32</v>
      </c>
      <c r="E1032" s="28" t="s">
        <v>481</v>
      </c>
      <c r="F1032" s="28" t="s">
        <v>482</v>
      </c>
    </row>
    <row r="1033" ht="21" customHeight="1" hidden="1" spans="1:6" x14ac:dyDescent="0.25" outlineLevel="1" collapsed="1">
      <c r="A1033" s="30" t="s">
        <v>32</v>
      </c>
      <c r="B1033" s="17" t="s">
        <v>32</v>
      </c>
      <c r="C1033" s="30" t="s">
        <v>32</v>
      </c>
      <c r="D1033" s="31" t="s">
        <v>32</v>
      </c>
      <c r="E1033" s="17" t="s">
        <v>483</v>
      </c>
      <c r="F1033" s="17" t="s">
        <v>32</v>
      </c>
    </row>
    <row r="1034" ht="36" customHeight="1" hidden="1" spans="1:6" x14ac:dyDescent="0.25" outlineLevel="1" collapsed="1">
      <c r="A1034" s="32" t="s">
        <v>32</v>
      </c>
      <c r="B1034" s="12" t="s">
        <v>32</v>
      </c>
      <c r="C1034" s="32" t="s">
        <v>32</v>
      </c>
      <c r="D1034" s="31" t="s">
        <v>32</v>
      </c>
      <c r="E1034" s="12" t="s">
        <v>484</v>
      </c>
      <c r="F1034" s="12" t="s">
        <v>32</v>
      </c>
    </row>
    <row r="1035" ht="36" customHeight="1" hidden="1" spans="1:6" x14ac:dyDescent="0.25" outlineLevel="1" collapsed="1">
      <c r="A1035" s="30" t="s">
        <v>32</v>
      </c>
      <c r="B1035" s="17" t="s">
        <v>32</v>
      </c>
      <c r="C1035" s="30" t="s">
        <v>32</v>
      </c>
      <c r="D1035" s="31" t="s">
        <v>32</v>
      </c>
      <c r="E1035" s="17" t="s">
        <v>485</v>
      </c>
      <c r="F1035" s="17" t="s">
        <v>32</v>
      </c>
    </row>
    <row r="1036" ht="21" customHeight="1" hidden="1" spans="1:6" x14ac:dyDescent="0.25" outlineLevel="1" collapsed="1">
      <c r="A1036" s="32" t="s">
        <v>32</v>
      </c>
      <c r="B1036" s="12" t="s">
        <v>32</v>
      </c>
      <c r="C1036" s="32" t="s">
        <v>32</v>
      </c>
      <c r="D1036" s="31" t="s">
        <v>32</v>
      </c>
      <c r="E1036" s="12" t="s">
        <v>486</v>
      </c>
      <c r="F1036" s="12" t="s">
        <v>32</v>
      </c>
    </row>
    <row r="1037" ht="21" customHeight="1" hidden="1" spans="1:6" x14ac:dyDescent="0.25" outlineLevel="1" collapsed="1">
      <c r="A1037" s="30" t="s">
        <v>32</v>
      </c>
      <c r="B1037" s="17" t="s">
        <v>32</v>
      </c>
      <c r="C1037" s="30" t="s">
        <v>32</v>
      </c>
      <c r="D1037" s="31" t="s">
        <v>32</v>
      </c>
      <c r="E1037" s="17" t="s">
        <v>487</v>
      </c>
      <c r="F1037" s="17" t="s">
        <v>32</v>
      </c>
    </row>
    <row r="1038" ht="21" customHeight="1" hidden="1" spans="1:6" x14ac:dyDescent="0.25" outlineLevel="1" collapsed="1">
      <c r="A1038" s="32" t="s">
        <v>32</v>
      </c>
      <c r="B1038" s="12" t="s">
        <v>32</v>
      </c>
      <c r="C1038" s="32" t="s">
        <v>32</v>
      </c>
      <c r="D1038" s="31" t="s">
        <v>32</v>
      </c>
      <c r="E1038" s="12" t="s">
        <v>488</v>
      </c>
      <c r="F1038" s="12" t="s">
        <v>32</v>
      </c>
    </row>
    <row r="1039" ht="21" customHeight="1" hidden="1" spans="1:6" x14ac:dyDescent="0.25" outlineLevel="1" collapsed="1">
      <c r="A1039" s="30" t="s">
        <v>32</v>
      </c>
      <c r="B1039" s="17" t="s">
        <v>32</v>
      </c>
      <c r="C1039" s="30" t="s">
        <v>32</v>
      </c>
      <c r="D1039" s="31" t="s">
        <v>32</v>
      </c>
      <c r="E1039" s="17" t="s">
        <v>489</v>
      </c>
      <c r="F1039" s="17" t="s">
        <v>32</v>
      </c>
    </row>
    <row r="1040" ht="21" customHeight="1" hidden="1" spans="1:6" x14ac:dyDescent="0.25" outlineLevel="1" collapsed="1">
      <c r="A1040" s="32" t="s">
        <v>32</v>
      </c>
      <c r="B1040" s="12" t="s">
        <v>32</v>
      </c>
      <c r="C1040" s="32" t="s">
        <v>32</v>
      </c>
      <c r="D1040" s="31" t="s">
        <v>32</v>
      </c>
      <c r="E1040" s="12" t="s">
        <v>490</v>
      </c>
      <c r="F1040" s="12" t="s">
        <v>32</v>
      </c>
    </row>
    <row r="1041" ht="21" customHeight="1" hidden="1" spans="1:6" x14ac:dyDescent="0.25" outlineLevel="1" collapsed="1">
      <c r="A1041" s="30" t="s">
        <v>32</v>
      </c>
      <c r="B1041" s="17" t="s">
        <v>32</v>
      </c>
      <c r="C1041" s="30" t="s">
        <v>32</v>
      </c>
      <c r="D1041" s="31" t="s">
        <v>32</v>
      </c>
      <c r="E1041" s="17" t="s">
        <v>491</v>
      </c>
      <c r="F1041" s="17" t="s">
        <v>32</v>
      </c>
    </row>
    <row r="1042" ht="21" customHeight="1" hidden="1" spans="1:6" x14ac:dyDescent="0.25" outlineLevel="1" collapsed="1">
      <c r="A1042" s="32" t="s">
        <v>32</v>
      </c>
      <c r="B1042" s="12" t="s">
        <v>32</v>
      </c>
      <c r="C1042" s="32" t="s">
        <v>32</v>
      </c>
      <c r="D1042" s="31" t="s">
        <v>32</v>
      </c>
      <c r="E1042" s="12" t="s">
        <v>492</v>
      </c>
      <c r="F1042" s="12" t="s">
        <v>32</v>
      </c>
    </row>
    <row r="1043" ht="21" customHeight="1" hidden="1" spans="1:6" x14ac:dyDescent="0.25" outlineLevel="1" collapsed="1">
      <c r="A1043" s="30" t="s">
        <v>32</v>
      </c>
      <c r="B1043" s="17" t="s">
        <v>32</v>
      </c>
      <c r="C1043" s="30" t="s">
        <v>32</v>
      </c>
      <c r="D1043" s="31" t="s">
        <v>32</v>
      </c>
      <c r="E1043" s="17" t="s">
        <v>493</v>
      </c>
      <c r="F1043" s="17" t="s">
        <v>32</v>
      </c>
    </row>
    <row r="1044" ht="21" customHeight="1" hidden="1" spans="1:6" x14ac:dyDescent="0.25" outlineLevel="1" collapsed="1">
      <c r="A1044" s="32" t="s">
        <v>32</v>
      </c>
      <c r="B1044" s="12" t="s">
        <v>32</v>
      </c>
      <c r="C1044" s="32" t="s">
        <v>32</v>
      </c>
      <c r="D1044" s="31" t="s">
        <v>32</v>
      </c>
      <c r="E1044" s="33" t="s">
        <v>633</v>
      </c>
      <c r="F1044" s="12" t="s">
        <v>32</v>
      </c>
    </row>
    <row r="1045" ht="22" customHeight="1" hidden="1" spans="1:6" x14ac:dyDescent="0.25" outlineLevel="1" collapsed="1">
      <c r="A1045" s="34" t="s">
        <v>495</v>
      </c>
      <c r="B1045" s="34"/>
      <c r="C1045" s="34"/>
      <c r="D1045" s="34"/>
      <c r="E1045" s="34"/>
      <c r="F1045" s="34"/>
    </row>
    <row r="1046" ht="24" customHeight="1" hidden="1" spans="1:6" x14ac:dyDescent="0.25" outlineLevel="1" collapsed="1">
      <c r="A1046" s="12" t="s">
        <v>634</v>
      </c>
      <c r="B1046" s="12"/>
      <c r="C1046" s="12"/>
      <c r="D1046" s="12"/>
      <c r="E1046" s="12"/>
      <c r="F1046" s="12"/>
    </row>
    <row r="1047" ht="40" customHeight="1" hidden="1" spans="1:6" x14ac:dyDescent="0.25" outlineLevel="1" collapsed="1">
      <c r="A1047" s="12" t="s">
        <v>635</v>
      </c>
      <c r="B1047" s="12"/>
      <c r="C1047" s="12"/>
      <c r="D1047" s="12"/>
      <c r="E1047" s="12"/>
      <c r="F1047" s="12"/>
    </row>
    <row r="1048" ht="56" customHeight="1" hidden="1" spans="1:6" x14ac:dyDescent="0.25" outlineLevel="1" collapsed="1">
      <c r="A1048" s="12" t="s">
        <v>636</v>
      </c>
      <c r="B1048" s="12"/>
      <c r="C1048" s="12"/>
      <c r="D1048" s="12"/>
      <c r="E1048" s="12"/>
      <c r="F1048" s="12"/>
    </row>
    <row r="1049" ht="24" customHeight="1" hidden="1" spans="1:6" x14ac:dyDescent="0.25" outlineLevel="1" collapsed="1">
      <c r="A1049" s="12" t="s">
        <v>499</v>
      </c>
      <c r="B1049" s="12"/>
      <c r="C1049" s="12"/>
      <c r="D1049" s="12"/>
      <c r="E1049" s="12"/>
      <c r="F1049" s="12"/>
    </row>
    <row r="1050" ht="6" customHeight="1" hidden="1" x14ac:dyDescent="0.25" outlineLevel="1" collapsed="1"/>
    <row r="1051" ht="22" customHeight="1" spans="1:6" x14ac:dyDescent="0.25">
      <c r="A1051" s="25" t="s">
        <v>590</v>
      </c>
      <c r="B1051" s="25"/>
      <c r="C1051" s="25"/>
      <c r="D1051" s="25"/>
      <c r="E1051" s="25"/>
      <c r="F1051" s="25"/>
    </row>
    <row r="1052" ht="20" customHeight="1" hidden="1" spans="1:6" x14ac:dyDescent="0.25" outlineLevel="1" collapsed="1">
      <c r="A1052" s="26" t="s">
        <v>460</v>
      </c>
      <c r="B1052" s="26" t="s">
        <v>461</v>
      </c>
      <c r="C1052" s="26" t="s">
        <v>462</v>
      </c>
      <c r="D1052" s="26" t="s">
        <v>32</v>
      </c>
      <c r="E1052" s="26" t="s">
        <v>463</v>
      </c>
      <c r="F1052" s="26" t="s">
        <v>464</v>
      </c>
    </row>
    <row r="1053" ht="51" customHeight="1" hidden="1" spans="1:6" x14ac:dyDescent="0.25" outlineLevel="1" collapsed="1">
      <c r="A1053" s="27">
        <v>4220</v>
      </c>
      <c r="B1053" s="28" t="s">
        <v>543</v>
      </c>
      <c r="C1053" s="27" t="s">
        <v>466</v>
      </c>
      <c r="D1053" s="29" t="s">
        <v>32</v>
      </c>
      <c r="E1053" s="28" t="s">
        <v>467</v>
      </c>
      <c r="F1053" s="28" t="s">
        <v>468</v>
      </c>
    </row>
    <row r="1054" ht="36" customHeight="1" hidden="1" spans="1:6" x14ac:dyDescent="0.25" outlineLevel="1" collapsed="1">
      <c r="A1054" s="30" t="s">
        <v>32</v>
      </c>
      <c r="B1054" s="17" t="s">
        <v>32</v>
      </c>
      <c r="C1054" s="30" t="s">
        <v>32</v>
      </c>
      <c r="D1054" s="31" t="s">
        <v>32</v>
      </c>
      <c r="E1054" s="17" t="s">
        <v>469</v>
      </c>
      <c r="F1054" s="17" t="s">
        <v>32</v>
      </c>
    </row>
    <row r="1055" ht="21" customHeight="1" hidden="1" spans="1:6" x14ac:dyDescent="0.25" outlineLevel="1" collapsed="1">
      <c r="A1055" s="32" t="s">
        <v>32</v>
      </c>
      <c r="B1055" s="12" t="s">
        <v>32</v>
      </c>
      <c r="C1055" s="32" t="s">
        <v>32</v>
      </c>
      <c r="D1055" s="31" t="s">
        <v>32</v>
      </c>
      <c r="E1055" s="33" t="s">
        <v>632</v>
      </c>
      <c r="F1055" s="12" t="s">
        <v>32</v>
      </c>
    </row>
    <row r="1056" ht="51" customHeight="1" hidden="1" spans="1:6" x14ac:dyDescent="0.25" outlineLevel="1" collapsed="1">
      <c r="A1056" s="27">
        <v>4240</v>
      </c>
      <c r="B1056" s="28" t="s">
        <v>471</v>
      </c>
      <c r="C1056" s="27" t="s">
        <v>472</v>
      </c>
      <c r="D1056" s="29" t="s">
        <v>32</v>
      </c>
      <c r="E1056" s="28" t="s">
        <v>473</v>
      </c>
      <c r="F1056" s="28" t="s">
        <v>474</v>
      </c>
    </row>
    <row r="1057" ht="21" customHeight="1" hidden="1" spans="1:6" x14ac:dyDescent="0.25" outlineLevel="1" collapsed="1">
      <c r="A1057" s="30" t="s">
        <v>32</v>
      </c>
      <c r="B1057" s="17" t="s">
        <v>32</v>
      </c>
      <c r="C1057" s="30" t="s">
        <v>32</v>
      </c>
      <c r="D1057" s="31" t="s">
        <v>32</v>
      </c>
      <c r="E1057" s="17" t="s">
        <v>475</v>
      </c>
      <c r="F1057" s="17" t="s">
        <v>32</v>
      </c>
    </row>
    <row r="1058" ht="36" customHeight="1" hidden="1" spans="1:6" x14ac:dyDescent="0.25" outlineLevel="1" collapsed="1">
      <c r="A1058" s="32" t="s">
        <v>32</v>
      </c>
      <c r="B1058" s="12" t="s">
        <v>32</v>
      </c>
      <c r="C1058" s="32" t="s">
        <v>32</v>
      </c>
      <c r="D1058" s="31" t="s">
        <v>32</v>
      </c>
      <c r="E1058" s="12" t="s">
        <v>476</v>
      </c>
      <c r="F1058" s="12" t="s">
        <v>32</v>
      </c>
    </row>
    <row r="1059" ht="36" customHeight="1" hidden="1" spans="1:6" x14ac:dyDescent="0.25" outlineLevel="1" collapsed="1">
      <c r="A1059" s="30" t="s">
        <v>32</v>
      </c>
      <c r="B1059" s="17" t="s">
        <v>32</v>
      </c>
      <c r="C1059" s="30" t="s">
        <v>32</v>
      </c>
      <c r="D1059" s="31" t="s">
        <v>32</v>
      </c>
      <c r="E1059" s="17" t="s">
        <v>477</v>
      </c>
      <c r="F1059" s="17" t="s">
        <v>32</v>
      </c>
    </row>
    <row r="1060" ht="36" customHeight="1" hidden="1" spans="1:6" x14ac:dyDescent="0.25" outlineLevel="1" collapsed="1">
      <c r="A1060" s="32" t="s">
        <v>32</v>
      </c>
      <c r="B1060" s="12" t="s">
        <v>32</v>
      </c>
      <c r="C1060" s="32" t="s">
        <v>32</v>
      </c>
      <c r="D1060" s="31" t="s">
        <v>32</v>
      </c>
      <c r="E1060" s="12" t="s">
        <v>478</v>
      </c>
      <c r="F1060" s="12" t="s">
        <v>32</v>
      </c>
    </row>
    <row r="1061" ht="21" customHeight="1" hidden="1" spans="1:6" x14ac:dyDescent="0.25" outlineLevel="1" collapsed="1">
      <c r="A1061" s="30" t="s">
        <v>32</v>
      </c>
      <c r="B1061" s="17" t="s">
        <v>32</v>
      </c>
      <c r="C1061" s="30" t="s">
        <v>32</v>
      </c>
      <c r="D1061" s="31" t="s">
        <v>32</v>
      </c>
      <c r="E1061" s="17" t="s">
        <v>479</v>
      </c>
      <c r="F1061" s="17" t="s">
        <v>32</v>
      </c>
    </row>
    <row r="1062" ht="21" customHeight="1" hidden="1" spans="1:6" x14ac:dyDescent="0.25" outlineLevel="1" collapsed="1">
      <c r="A1062" s="32" t="s">
        <v>32</v>
      </c>
      <c r="B1062" s="12" t="s">
        <v>32</v>
      </c>
      <c r="C1062" s="32" t="s">
        <v>32</v>
      </c>
      <c r="D1062" s="31" t="s">
        <v>32</v>
      </c>
      <c r="E1062" s="33" t="s">
        <v>632</v>
      </c>
      <c r="F1062" s="12" t="s">
        <v>32</v>
      </c>
    </row>
    <row r="1063" ht="51" customHeight="1" hidden="1" spans="1:6" x14ac:dyDescent="0.25" outlineLevel="1" collapsed="1">
      <c r="A1063" s="27">
        <v>4230</v>
      </c>
      <c r="B1063" s="28" t="s">
        <v>544</v>
      </c>
      <c r="C1063" s="27" t="s">
        <v>472</v>
      </c>
      <c r="D1063" s="29" t="s">
        <v>32</v>
      </c>
      <c r="E1063" s="28" t="s">
        <v>481</v>
      </c>
      <c r="F1063" s="28" t="s">
        <v>482</v>
      </c>
    </row>
    <row r="1064" ht="21" customHeight="1" hidden="1" spans="1:6" x14ac:dyDescent="0.25" outlineLevel="1" collapsed="1">
      <c r="A1064" s="30" t="s">
        <v>32</v>
      </c>
      <c r="B1064" s="17" t="s">
        <v>32</v>
      </c>
      <c r="C1064" s="30" t="s">
        <v>32</v>
      </c>
      <c r="D1064" s="31" t="s">
        <v>32</v>
      </c>
      <c r="E1064" s="17" t="s">
        <v>483</v>
      </c>
      <c r="F1064" s="17" t="s">
        <v>32</v>
      </c>
    </row>
    <row r="1065" ht="36" customHeight="1" hidden="1" spans="1:6" x14ac:dyDescent="0.25" outlineLevel="1" collapsed="1">
      <c r="A1065" s="32" t="s">
        <v>32</v>
      </c>
      <c r="B1065" s="12" t="s">
        <v>32</v>
      </c>
      <c r="C1065" s="32" t="s">
        <v>32</v>
      </c>
      <c r="D1065" s="31" t="s">
        <v>32</v>
      </c>
      <c r="E1065" s="12" t="s">
        <v>484</v>
      </c>
      <c r="F1065" s="12" t="s">
        <v>32</v>
      </c>
    </row>
    <row r="1066" ht="36" customHeight="1" hidden="1" spans="1:6" x14ac:dyDescent="0.25" outlineLevel="1" collapsed="1">
      <c r="A1066" s="30" t="s">
        <v>32</v>
      </c>
      <c r="B1066" s="17" t="s">
        <v>32</v>
      </c>
      <c r="C1066" s="30" t="s">
        <v>32</v>
      </c>
      <c r="D1066" s="31" t="s">
        <v>32</v>
      </c>
      <c r="E1066" s="17" t="s">
        <v>485</v>
      </c>
      <c r="F1066" s="17" t="s">
        <v>32</v>
      </c>
    </row>
    <row r="1067" ht="21" customHeight="1" hidden="1" spans="1:6" x14ac:dyDescent="0.25" outlineLevel="1" collapsed="1">
      <c r="A1067" s="32" t="s">
        <v>32</v>
      </c>
      <c r="B1067" s="12" t="s">
        <v>32</v>
      </c>
      <c r="C1067" s="32" t="s">
        <v>32</v>
      </c>
      <c r="D1067" s="31" t="s">
        <v>32</v>
      </c>
      <c r="E1067" s="12" t="s">
        <v>486</v>
      </c>
      <c r="F1067" s="12" t="s">
        <v>32</v>
      </c>
    </row>
    <row r="1068" ht="21" customHeight="1" hidden="1" spans="1:6" x14ac:dyDescent="0.25" outlineLevel="1" collapsed="1">
      <c r="A1068" s="30" t="s">
        <v>32</v>
      </c>
      <c r="B1068" s="17" t="s">
        <v>32</v>
      </c>
      <c r="C1068" s="30" t="s">
        <v>32</v>
      </c>
      <c r="D1068" s="31" t="s">
        <v>32</v>
      </c>
      <c r="E1068" s="17" t="s">
        <v>487</v>
      </c>
      <c r="F1068" s="17" t="s">
        <v>32</v>
      </c>
    </row>
    <row r="1069" ht="21" customHeight="1" hidden="1" spans="1:6" x14ac:dyDescent="0.25" outlineLevel="1" collapsed="1">
      <c r="A1069" s="32" t="s">
        <v>32</v>
      </c>
      <c r="B1069" s="12" t="s">
        <v>32</v>
      </c>
      <c r="C1069" s="32" t="s">
        <v>32</v>
      </c>
      <c r="D1069" s="31" t="s">
        <v>32</v>
      </c>
      <c r="E1069" s="12" t="s">
        <v>488</v>
      </c>
      <c r="F1069" s="12" t="s">
        <v>32</v>
      </c>
    </row>
    <row r="1070" ht="21" customHeight="1" hidden="1" spans="1:6" x14ac:dyDescent="0.25" outlineLevel="1" collapsed="1">
      <c r="A1070" s="30" t="s">
        <v>32</v>
      </c>
      <c r="B1070" s="17" t="s">
        <v>32</v>
      </c>
      <c r="C1070" s="30" t="s">
        <v>32</v>
      </c>
      <c r="D1070" s="31" t="s">
        <v>32</v>
      </c>
      <c r="E1070" s="17" t="s">
        <v>489</v>
      </c>
      <c r="F1070" s="17" t="s">
        <v>32</v>
      </c>
    </row>
    <row r="1071" ht="21" customHeight="1" hidden="1" spans="1:6" x14ac:dyDescent="0.25" outlineLevel="1" collapsed="1">
      <c r="A1071" s="32" t="s">
        <v>32</v>
      </c>
      <c r="B1071" s="12" t="s">
        <v>32</v>
      </c>
      <c r="C1071" s="32" t="s">
        <v>32</v>
      </c>
      <c r="D1071" s="31" t="s">
        <v>32</v>
      </c>
      <c r="E1071" s="12" t="s">
        <v>490</v>
      </c>
      <c r="F1071" s="12" t="s">
        <v>32</v>
      </c>
    </row>
    <row r="1072" ht="21" customHeight="1" hidden="1" spans="1:6" x14ac:dyDescent="0.25" outlineLevel="1" collapsed="1">
      <c r="A1072" s="30" t="s">
        <v>32</v>
      </c>
      <c r="B1072" s="17" t="s">
        <v>32</v>
      </c>
      <c r="C1072" s="30" t="s">
        <v>32</v>
      </c>
      <c r="D1072" s="31" t="s">
        <v>32</v>
      </c>
      <c r="E1072" s="17" t="s">
        <v>491</v>
      </c>
      <c r="F1072" s="17" t="s">
        <v>32</v>
      </c>
    </row>
    <row r="1073" ht="21" customHeight="1" hidden="1" spans="1:6" x14ac:dyDescent="0.25" outlineLevel="1" collapsed="1">
      <c r="A1073" s="32" t="s">
        <v>32</v>
      </c>
      <c r="B1073" s="12" t="s">
        <v>32</v>
      </c>
      <c r="C1073" s="32" t="s">
        <v>32</v>
      </c>
      <c r="D1073" s="31" t="s">
        <v>32</v>
      </c>
      <c r="E1073" s="12" t="s">
        <v>492</v>
      </c>
      <c r="F1073" s="12" t="s">
        <v>32</v>
      </c>
    </row>
    <row r="1074" ht="21" customHeight="1" hidden="1" spans="1:6" x14ac:dyDescent="0.25" outlineLevel="1" collapsed="1">
      <c r="A1074" s="30" t="s">
        <v>32</v>
      </c>
      <c r="B1074" s="17" t="s">
        <v>32</v>
      </c>
      <c r="C1074" s="30" t="s">
        <v>32</v>
      </c>
      <c r="D1074" s="31" t="s">
        <v>32</v>
      </c>
      <c r="E1074" s="17" t="s">
        <v>493</v>
      </c>
      <c r="F1074" s="17" t="s">
        <v>32</v>
      </c>
    </row>
    <row r="1075" ht="21" customHeight="1" hidden="1" spans="1:6" x14ac:dyDescent="0.25" outlineLevel="1" collapsed="1">
      <c r="A1075" s="32" t="s">
        <v>32</v>
      </c>
      <c r="B1075" s="12" t="s">
        <v>32</v>
      </c>
      <c r="C1075" s="32" t="s">
        <v>32</v>
      </c>
      <c r="D1075" s="31" t="s">
        <v>32</v>
      </c>
      <c r="E1075" s="33" t="s">
        <v>633</v>
      </c>
      <c r="F1075" s="12" t="s">
        <v>32</v>
      </c>
    </row>
    <row r="1076" ht="22" customHeight="1" hidden="1" spans="1:6" x14ac:dyDescent="0.25" outlineLevel="1" collapsed="1">
      <c r="A1076" s="34" t="s">
        <v>495</v>
      </c>
      <c r="B1076" s="34"/>
      <c r="C1076" s="34"/>
      <c r="D1076" s="34"/>
      <c r="E1076" s="34"/>
      <c r="F1076" s="34"/>
    </row>
    <row r="1077" ht="24" customHeight="1" hidden="1" spans="1:6" x14ac:dyDescent="0.25" outlineLevel="1" collapsed="1">
      <c r="A1077" s="12" t="s">
        <v>634</v>
      </c>
      <c r="B1077" s="12"/>
      <c r="C1077" s="12"/>
      <c r="D1077" s="12"/>
      <c r="E1077" s="12"/>
      <c r="F1077" s="12"/>
    </row>
    <row r="1078" ht="40" customHeight="1" hidden="1" spans="1:6" x14ac:dyDescent="0.25" outlineLevel="1" collapsed="1">
      <c r="A1078" s="12" t="s">
        <v>635</v>
      </c>
      <c r="B1078" s="12"/>
      <c r="C1078" s="12"/>
      <c r="D1078" s="12"/>
      <c r="E1078" s="12"/>
      <c r="F1078" s="12"/>
    </row>
    <row r="1079" ht="56" customHeight="1" hidden="1" spans="1:6" x14ac:dyDescent="0.25" outlineLevel="1" collapsed="1">
      <c r="A1079" s="12" t="s">
        <v>636</v>
      </c>
      <c r="B1079" s="12"/>
      <c r="C1079" s="12"/>
      <c r="D1079" s="12"/>
      <c r="E1079" s="12"/>
      <c r="F1079" s="12"/>
    </row>
    <row r="1080" ht="24" customHeight="1" hidden="1" spans="1:6" x14ac:dyDescent="0.25" outlineLevel="1" collapsed="1">
      <c r="A1080" s="12" t="s">
        <v>499</v>
      </c>
      <c r="B1080" s="12"/>
      <c r="C1080" s="12"/>
      <c r="D1080" s="12"/>
      <c r="E1080" s="12"/>
      <c r="F1080" s="12"/>
    </row>
    <row r="1081" ht="6" customHeight="1" hidden="1" x14ac:dyDescent="0.25" outlineLevel="1" collapsed="1"/>
    <row r="1082" ht="22" customHeight="1" spans="1:6" x14ac:dyDescent="0.25">
      <c r="A1082" s="25" t="s">
        <v>591</v>
      </c>
      <c r="B1082" s="25"/>
      <c r="C1082" s="25"/>
      <c r="D1082" s="25"/>
      <c r="E1082" s="25"/>
      <c r="F1082" s="25"/>
    </row>
    <row r="1083" ht="20" customHeight="1" hidden="1" spans="1:6" x14ac:dyDescent="0.25" outlineLevel="1" collapsed="1">
      <c r="A1083" s="26" t="s">
        <v>460</v>
      </c>
      <c r="B1083" s="26" t="s">
        <v>461</v>
      </c>
      <c r="C1083" s="26" t="s">
        <v>462</v>
      </c>
      <c r="D1083" s="26" t="s">
        <v>32</v>
      </c>
      <c r="E1083" s="26" t="s">
        <v>463</v>
      </c>
      <c r="F1083" s="26" t="s">
        <v>464</v>
      </c>
    </row>
    <row r="1084" ht="51" customHeight="1" hidden="1" spans="1:6" x14ac:dyDescent="0.25" outlineLevel="1" collapsed="1">
      <c r="A1084" s="27">
        <v>4220</v>
      </c>
      <c r="B1084" s="28" t="s">
        <v>543</v>
      </c>
      <c r="C1084" s="27" t="s">
        <v>466</v>
      </c>
      <c r="D1084" s="29" t="s">
        <v>32</v>
      </c>
      <c r="E1084" s="28" t="s">
        <v>467</v>
      </c>
      <c r="F1084" s="28" t="s">
        <v>468</v>
      </c>
    </row>
    <row r="1085" ht="36" customHeight="1" hidden="1" spans="1:6" x14ac:dyDescent="0.25" outlineLevel="1" collapsed="1">
      <c r="A1085" s="30" t="s">
        <v>32</v>
      </c>
      <c r="B1085" s="17" t="s">
        <v>32</v>
      </c>
      <c r="C1085" s="30" t="s">
        <v>32</v>
      </c>
      <c r="D1085" s="31" t="s">
        <v>32</v>
      </c>
      <c r="E1085" s="17" t="s">
        <v>469</v>
      </c>
      <c r="F1085" s="17" t="s">
        <v>32</v>
      </c>
    </row>
    <row r="1086" ht="21" customHeight="1" hidden="1" spans="1:6" x14ac:dyDescent="0.25" outlineLevel="1" collapsed="1">
      <c r="A1086" s="32" t="s">
        <v>32</v>
      </c>
      <c r="B1086" s="12" t="s">
        <v>32</v>
      </c>
      <c r="C1086" s="32" t="s">
        <v>32</v>
      </c>
      <c r="D1086" s="31" t="s">
        <v>32</v>
      </c>
      <c r="E1086" s="33" t="s">
        <v>632</v>
      </c>
      <c r="F1086" s="12" t="s">
        <v>32</v>
      </c>
    </row>
    <row r="1087" ht="51" customHeight="1" hidden="1" spans="1:6" x14ac:dyDescent="0.25" outlineLevel="1" collapsed="1">
      <c r="A1087" s="27">
        <v>4240</v>
      </c>
      <c r="B1087" s="28" t="s">
        <v>471</v>
      </c>
      <c r="C1087" s="27" t="s">
        <v>472</v>
      </c>
      <c r="D1087" s="29" t="s">
        <v>32</v>
      </c>
      <c r="E1087" s="28" t="s">
        <v>473</v>
      </c>
      <c r="F1087" s="28" t="s">
        <v>474</v>
      </c>
    </row>
    <row r="1088" ht="21" customHeight="1" hidden="1" spans="1:6" x14ac:dyDescent="0.25" outlineLevel="1" collapsed="1">
      <c r="A1088" s="30" t="s">
        <v>32</v>
      </c>
      <c r="B1088" s="17" t="s">
        <v>32</v>
      </c>
      <c r="C1088" s="30" t="s">
        <v>32</v>
      </c>
      <c r="D1088" s="31" t="s">
        <v>32</v>
      </c>
      <c r="E1088" s="17" t="s">
        <v>475</v>
      </c>
      <c r="F1088" s="17" t="s">
        <v>32</v>
      </c>
    </row>
    <row r="1089" ht="36" customHeight="1" hidden="1" spans="1:6" x14ac:dyDescent="0.25" outlineLevel="1" collapsed="1">
      <c r="A1089" s="32" t="s">
        <v>32</v>
      </c>
      <c r="B1089" s="12" t="s">
        <v>32</v>
      </c>
      <c r="C1089" s="32" t="s">
        <v>32</v>
      </c>
      <c r="D1089" s="31" t="s">
        <v>32</v>
      </c>
      <c r="E1089" s="12" t="s">
        <v>476</v>
      </c>
      <c r="F1089" s="12" t="s">
        <v>32</v>
      </c>
    </row>
    <row r="1090" ht="36" customHeight="1" hidden="1" spans="1:6" x14ac:dyDescent="0.25" outlineLevel="1" collapsed="1">
      <c r="A1090" s="30" t="s">
        <v>32</v>
      </c>
      <c r="B1090" s="17" t="s">
        <v>32</v>
      </c>
      <c r="C1090" s="30" t="s">
        <v>32</v>
      </c>
      <c r="D1090" s="31" t="s">
        <v>32</v>
      </c>
      <c r="E1090" s="17" t="s">
        <v>477</v>
      </c>
      <c r="F1090" s="17" t="s">
        <v>32</v>
      </c>
    </row>
    <row r="1091" ht="36" customHeight="1" hidden="1" spans="1:6" x14ac:dyDescent="0.25" outlineLevel="1" collapsed="1">
      <c r="A1091" s="32" t="s">
        <v>32</v>
      </c>
      <c r="B1091" s="12" t="s">
        <v>32</v>
      </c>
      <c r="C1091" s="32" t="s">
        <v>32</v>
      </c>
      <c r="D1091" s="31" t="s">
        <v>32</v>
      </c>
      <c r="E1091" s="12" t="s">
        <v>478</v>
      </c>
      <c r="F1091" s="12" t="s">
        <v>32</v>
      </c>
    </row>
    <row r="1092" ht="21" customHeight="1" hidden="1" spans="1:6" x14ac:dyDescent="0.25" outlineLevel="1" collapsed="1">
      <c r="A1092" s="30" t="s">
        <v>32</v>
      </c>
      <c r="B1092" s="17" t="s">
        <v>32</v>
      </c>
      <c r="C1092" s="30" t="s">
        <v>32</v>
      </c>
      <c r="D1092" s="31" t="s">
        <v>32</v>
      </c>
      <c r="E1092" s="17" t="s">
        <v>479</v>
      </c>
      <c r="F1092" s="17" t="s">
        <v>32</v>
      </c>
    </row>
    <row r="1093" ht="21" customHeight="1" hidden="1" spans="1:6" x14ac:dyDescent="0.25" outlineLevel="1" collapsed="1">
      <c r="A1093" s="32" t="s">
        <v>32</v>
      </c>
      <c r="B1093" s="12" t="s">
        <v>32</v>
      </c>
      <c r="C1093" s="32" t="s">
        <v>32</v>
      </c>
      <c r="D1093" s="31" t="s">
        <v>32</v>
      </c>
      <c r="E1093" s="33" t="s">
        <v>632</v>
      </c>
      <c r="F1093" s="12" t="s">
        <v>32</v>
      </c>
    </row>
    <row r="1094" ht="51" customHeight="1" hidden="1" spans="1:6" x14ac:dyDescent="0.25" outlineLevel="1" collapsed="1">
      <c r="A1094" s="27">
        <v>4230</v>
      </c>
      <c r="B1094" s="28" t="s">
        <v>544</v>
      </c>
      <c r="C1094" s="27" t="s">
        <v>472</v>
      </c>
      <c r="D1094" s="29" t="s">
        <v>32</v>
      </c>
      <c r="E1094" s="28" t="s">
        <v>481</v>
      </c>
      <c r="F1094" s="28" t="s">
        <v>482</v>
      </c>
    </row>
    <row r="1095" ht="21" customHeight="1" hidden="1" spans="1:6" x14ac:dyDescent="0.25" outlineLevel="1" collapsed="1">
      <c r="A1095" s="30" t="s">
        <v>32</v>
      </c>
      <c r="B1095" s="17" t="s">
        <v>32</v>
      </c>
      <c r="C1095" s="30" t="s">
        <v>32</v>
      </c>
      <c r="D1095" s="31" t="s">
        <v>32</v>
      </c>
      <c r="E1095" s="17" t="s">
        <v>483</v>
      </c>
      <c r="F1095" s="17" t="s">
        <v>32</v>
      </c>
    </row>
    <row r="1096" ht="36" customHeight="1" hidden="1" spans="1:6" x14ac:dyDescent="0.25" outlineLevel="1" collapsed="1">
      <c r="A1096" s="32" t="s">
        <v>32</v>
      </c>
      <c r="B1096" s="12" t="s">
        <v>32</v>
      </c>
      <c r="C1096" s="32" t="s">
        <v>32</v>
      </c>
      <c r="D1096" s="31" t="s">
        <v>32</v>
      </c>
      <c r="E1096" s="12" t="s">
        <v>484</v>
      </c>
      <c r="F1096" s="12" t="s">
        <v>32</v>
      </c>
    </row>
    <row r="1097" ht="36" customHeight="1" hidden="1" spans="1:6" x14ac:dyDescent="0.25" outlineLevel="1" collapsed="1">
      <c r="A1097" s="30" t="s">
        <v>32</v>
      </c>
      <c r="B1097" s="17" t="s">
        <v>32</v>
      </c>
      <c r="C1097" s="30" t="s">
        <v>32</v>
      </c>
      <c r="D1097" s="31" t="s">
        <v>32</v>
      </c>
      <c r="E1097" s="17" t="s">
        <v>485</v>
      </c>
      <c r="F1097" s="17" t="s">
        <v>32</v>
      </c>
    </row>
    <row r="1098" ht="21" customHeight="1" hidden="1" spans="1:6" x14ac:dyDescent="0.25" outlineLevel="1" collapsed="1">
      <c r="A1098" s="32" t="s">
        <v>32</v>
      </c>
      <c r="B1098" s="12" t="s">
        <v>32</v>
      </c>
      <c r="C1098" s="32" t="s">
        <v>32</v>
      </c>
      <c r="D1098" s="31" t="s">
        <v>32</v>
      </c>
      <c r="E1098" s="12" t="s">
        <v>486</v>
      </c>
      <c r="F1098" s="12" t="s">
        <v>32</v>
      </c>
    </row>
    <row r="1099" ht="21" customHeight="1" hidden="1" spans="1:6" x14ac:dyDescent="0.25" outlineLevel="1" collapsed="1">
      <c r="A1099" s="30" t="s">
        <v>32</v>
      </c>
      <c r="B1099" s="17" t="s">
        <v>32</v>
      </c>
      <c r="C1099" s="30" t="s">
        <v>32</v>
      </c>
      <c r="D1099" s="31" t="s">
        <v>32</v>
      </c>
      <c r="E1099" s="17" t="s">
        <v>487</v>
      </c>
      <c r="F1099" s="17" t="s">
        <v>32</v>
      </c>
    </row>
    <row r="1100" ht="21" customHeight="1" hidden="1" spans="1:6" x14ac:dyDescent="0.25" outlineLevel="1" collapsed="1">
      <c r="A1100" s="32" t="s">
        <v>32</v>
      </c>
      <c r="B1100" s="12" t="s">
        <v>32</v>
      </c>
      <c r="C1100" s="32" t="s">
        <v>32</v>
      </c>
      <c r="D1100" s="31" t="s">
        <v>32</v>
      </c>
      <c r="E1100" s="12" t="s">
        <v>488</v>
      </c>
      <c r="F1100" s="12" t="s">
        <v>32</v>
      </c>
    </row>
    <row r="1101" ht="21" customHeight="1" hidden="1" spans="1:6" x14ac:dyDescent="0.25" outlineLevel="1" collapsed="1">
      <c r="A1101" s="30" t="s">
        <v>32</v>
      </c>
      <c r="B1101" s="17" t="s">
        <v>32</v>
      </c>
      <c r="C1101" s="30" t="s">
        <v>32</v>
      </c>
      <c r="D1101" s="31" t="s">
        <v>32</v>
      </c>
      <c r="E1101" s="17" t="s">
        <v>489</v>
      </c>
      <c r="F1101" s="17" t="s">
        <v>32</v>
      </c>
    </row>
    <row r="1102" ht="21" customHeight="1" hidden="1" spans="1:6" x14ac:dyDescent="0.25" outlineLevel="1" collapsed="1">
      <c r="A1102" s="32" t="s">
        <v>32</v>
      </c>
      <c r="B1102" s="12" t="s">
        <v>32</v>
      </c>
      <c r="C1102" s="32" t="s">
        <v>32</v>
      </c>
      <c r="D1102" s="31" t="s">
        <v>32</v>
      </c>
      <c r="E1102" s="12" t="s">
        <v>490</v>
      </c>
      <c r="F1102" s="12" t="s">
        <v>32</v>
      </c>
    </row>
    <row r="1103" ht="21" customHeight="1" hidden="1" spans="1:6" x14ac:dyDescent="0.25" outlineLevel="1" collapsed="1">
      <c r="A1103" s="30" t="s">
        <v>32</v>
      </c>
      <c r="B1103" s="17" t="s">
        <v>32</v>
      </c>
      <c r="C1103" s="30" t="s">
        <v>32</v>
      </c>
      <c r="D1103" s="31" t="s">
        <v>32</v>
      </c>
      <c r="E1103" s="17" t="s">
        <v>491</v>
      </c>
      <c r="F1103" s="17" t="s">
        <v>32</v>
      </c>
    </row>
    <row r="1104" ht="21" customHeight="1" hidden="1" spans="1:6" x14ac:dyDescent="0.25" outlineLevel="1" collapsed="1">
      <c r="A1104" s="32" t="s">
        <v>32</v>
      </c>
      <c r="B1104" s="12" t="s">
        <v>32</v>
      </c>
      <c r="C1104" s="32" t="s">
        <v>32</v>
      </c>
      <c r="D1104" s="31" t="s">
        <v>32</v>
      </c>
      <c r="E1104" s="12" t="s">
        <v>492</v>
      </c>
      <c r="F1104" s="12" t="s">
        <v>32</v>
      </c>
    </row>
    <row r="1105" ht="21" customHeight="1" hidden="1" spans="1:6" x14ac:dyDescent="0.25" outlineLevel="1" collapsed="1">
      <c r="A1105" s="30" t="s">
        <v>32</v>
      </c>
      <c r="B1105" s="17" t="s">
        <v>32</v>
      </c>
      <c r="C1105" s="30" t="s">
        <v>32</v>
      </c>
      <c r="D1105" s="31" t="s">
        <v>32</v>
      </c>
      <c r="E1105" s="17" t="s">
        <v>493</v>
      </c>
      <c r="F1105" s="17" t="s">
        <v>32</v>
      </c>
    </row>
    <row r="1106" ht="21" customHeight="1" hidden="1" spans="1:6" x14ac:dyDescent="0.25" outlineLevel="1" collapsed="1">
      <c r="A1106" s="32" t="s">
        <v>32</v>
      </c>
      <c r="B1106" s="12" t="s">
        <v>32</v>
      </c>
      <c r="C1106" s="32" t="s">
        <v>32</v>
      </c>
      <c r="D1106" s="31" t="s">
        <v>32</v>
      </c>
      <c r="E1106" s="33" t="s">
        <v>633</v>
      </c>
      <c r="F1106" s="12" t="s">
        <v>32</v>
      </c>
    </row>
    <row r="1107" ht="22" customHeight="1" hidden="1" spans="1:6" x14ac:dyDescent="0.25" outlineLevel="1" collapsed="1">
      <c r="A1107" s="34" t="s">
        <v>495</v>
      </c>
      <c r="B1107" s="34"/>
      <c r="C1107" s="34"/>
      <c r="D1107" s="34"/>
      <c r="E1107" s="34"/>
      <c r="F1107" s="34"/>
    </row>
    <row r="1108" ht="24" customHeight="1" hidden="1" spans="1:6" x14ac:dyDescent="0.25" outlineLevel="1" collapsed="1">
      <c r="A1108" s="12" t="s">
        <v>634</v>
      </c>
      <c r="B1108" s="12"/>
      <c r="C1108" s="12"/>
      <c r="D1108" s="12"/>
      <c r="E1108" s="12"/>
      <c r="F1108" s="12"/>
    </row>
    <row r="1109" ht="40" customHeight="1" hidden="1" spans="1:6" x14ac:dyDescent="0.25" outlineLevel="1" collapsed="1">
      <c r="A1109" s="12" t="s">
        <v>635</v>
      </c>
      <c r="B1109" s="12"/>
      <c r="C1109" s="12"/>
      <c r="D1109" s="12"/>
      <c r="E1109" s="12"/>
      <c r="F1109" s="12"/>
    </row>
    <row r="1110" ht="56" customHeight="1" hidden="1" spans="1:6" x14ac:dyDescent="0.25" outlineLevel="1" collapsed="1">
      <c r="A1110" s="12" t="s">
        <v>636</v>
      </c>
      <c r="B1110" s="12"/>
      <c r="C1110" s="12"/>
      <c r="D1110" s="12"/>
      <c r="E1110" s="12"/>
      <c r="F1110" s="12"/>
    </row>
    <row r="1111" ht="24" customHeight="1" hidden="1" spans="1:6" x14ac:dyDescent="0.25" outlineLevel="1" collapsed="1">
      <c r="A1111" s="12" t="s">
        <v>499</v>
      </c>
      <c r="B1111" s="12"/>
      <c r="C1111" s="12"/>
      <c r="D1111" s="12"/>
      <c r="E1111" s="12"/>
      <c r="F1111" s="12"/>
    </row>
    <row r="1112" ht="6" customHeight="1" hidden="1" x14ac:dyDescent="0.25" outlineLevel="1" collapsed="1"/>
    <row r="1113" ht="22" customHeight="1" spans="1:6" x14ac:dyDescent="0.25">
      <c r="A1113" s="25" t="s">
        <v>592</v>
      </c>
      <c r="B1113" s="25"/>
      <c r="C1113" s="25"/>
      <c r="D1113" s="25"/>
      <c r="E1113" s="25"/>
      <c r="F1113" s="25"/>
    </row>
    <row r="1114" ht="20" customHeight="1" hidden="1" spans="1:6" x14ac:dyDescent="0.25" outlineLevel="1" collapsed="1">
      <c r="A1114" s="26" t="s">
        <v>460</v>
      </c>
      <c r="B1114" s="26" t="s">
        <v>461</v>
      </c>
      <c r="C1114" s="26" t="s">
        <v>462</v>
      </c>
      <c r="D1114" s="26" t="s">
        <v>32</v>
      </c>
      <c r="E1114" s="26" t="s">
        <v>463</v>
      </c>
      <c r="F1114" s="26" t="s">
        <v>464</v>
      </c>
    </row>
    <row r="1115" ht="51" customHeight="1" hidden="1" spans="1:6" x14ac:dyDescent="0.25" outlineLevel="1" collapsed="1">
      <c r="A1115" s="27">
        <v>4220</v>
      </c>
      <c r="B1115" s="28" t="s">
        <v>543</v>
      </c>
      <c r="C1115" s="27" t="s">
        <v>466</v>
      </c>
      <c r="D1115" s="29" t="s">
        <v>32</v>
      </c>
      <c r="E1115" s="28" t="s">
        <v>467</v>
      </c>
      <c r="F1115" s="28" t="s">
        <v>468</v>
      </c>
    </row>
    <row r="1116" ht="36" customHeight="1" hidden="1" spans="1:6" x14ac:dyDescent="0.25" outlineLevel="1" collapsed="1">
      <c r="A1116" s="30" t="s">
        <v>32</v>
      </c>
      <c r="B1116" s="17" t="s">
        <v>32</v>
      </c>
      <c r="C1116" s="30" t="s">
        <v>32</v>
      </c>
      <c r="D1116" s="31" t="s">
        <v>32</v>
      </c>
      <c r="E1116" s="17" t="s">
        <v>469</v>
      </c>
      <c r="F1116" s="17" t="s">
        <v>32</v>
      </c>
    </row>
    <row r="1117" ht="21" customHeight="1" hidden="1" spans="1:6" x14ac:dyDescent="0.25" outlineLevel="1" collapsed="1">
      <c r="A1117" s="32" t="s">
        <v>32</v>
      </c>
      <c r="B1117" s="12" t="s">
        <v>32</v>
      </c>
      <c r="C1117" s="32" t="s">
        <v>32</v>
      </c>
      <c r="D1117" s="31" t="s">
        <v>32</v>
      </c>
      <c r="E1117" s="33" t="s">
        <v>632</v>
      </c>
      <c r="F1117" s="12" t="s">
        <v>32</v>
      </c>
    </row>
    <row r="1118" ht="51" customHeight="1" hidden="1" spans="1:6" x14ac:dyDescent="0.25" outlineLevel="1" collapsed="1">
      <c r="A1118" s="27">
        <v>4240</v>
      </c>
      <c r="B1118" s="28" t="s">
        <v>471</v>
      </c>
      <c r="C1118" s="27" t="s">
        <v>472</v>
      </c>
      <c r="D1118" s="29" t="s">
        <v>32</v>
      </c>
      <c r="E1118" s="28" t="s">
        <v>473</v>
      </c>
      <c r="F1118" s="28" t="s">
        <v>474</v>
      </c>
    </row>
    <row r="1119" ht="21" customHeight="1" hidden="1" spans="1:6" x14ac:dyDescent="0.25" outlineLevel="1" collapsed="1">
      <c r="A1119" s="30" t="s">
        <v>32</v>
      </c>
      <c r="B1119" s="17" t="s">
        <v>32</v>
      </c>
      <c r="C1119" s="30" t="s">
        <v>32</v>
      </c>
      <c r="D1119" s="31" t="s">
        <v>32</v>
      </c>
      <c r="E1119" s="17" t="s">
        <v>475</v>
      </c>
      <c r="F1119" s="17" t="s">
        <v>32</v>
      </c>
    </row>
    <row r="1120" ht="36" customHeight="1" hidden="1" spans="1:6" x14ac:dyDescent="0.25" outlineLevel="1" collapsed="1">
      <c r="A1120" s="32" t="s">
        <v>32</v>
      </c>
      <c r="B1120" s="12" t="s">
        <v>32</v>
      </c>
      <c r="C1120" s="32" t="s">
        <v>32</v>
      </c>
      <c r="D1120" s="31" t="s">
        <v>32</v>
      </c>
      <c r="E1120" s="12" t="s">
        <v>476</v>
      </c>
      <c r="F1120" s="12" t="s">
        <v>32</v>
      </c>
    </row>
    <row r="1121" ht="36" customHeight="1" hidden="1" spans="1:6" x14ac:dyDescent="0.25" outlineLevel="1" collapsed="1">
      <c r="A1121" s="30" t="s">
        <v>32</v>
      </c>
      <c r="B1121" s="17" t="s">
        <v>32</v>
      </c>
      <c r="C1121" s="30" t="s">
        <v>32</v>
      </c>
      <c r="D1121" s="31" t="s">
        <v>32</v>
      </c>
      <c r="E1121" s="17" t="s">
        <v>593</v>
      </c>
      <c r="F1121" s="17" t="s">
        <v>32</v>
      </c>
    </row>
    <row r="1122" ht="36" customHeight="1" hidden="1" spans="1:6" x14ac:dyDescent="0.25" outlineLevel="1" collapsed="1">
      <c r="A1122" s="32" t="s">
        <v>32</v>
      </c>
      <c r="B1122" s="12" t="s">
        <v>32</v>
      </c>
      <c r="C1122" s="32" t="s">
        <v>32</v>
      </c>
      <c r="D1122" s="31" t="s">
        <v>32</v>
      </c>
      <c r="E1122" s="12" t="s">
        <v>478</v>
      </c>
      <c r="F1122" s="12" t="s">
        <v>32</v>
      </c>
    </row>
    <row r="1123" ht="21" customHeight="1" hidden="1" spans="1:6" x14ac:dyDescent="0.25" outlineLevel="1" collapsed="1">
      <c r="A1123" s="30" t="s">
        <v>32</v>
      </c>
      <c r="B1123" s="17" t="s">
        <v>32</v>
      </c>
      <c r="C1123" s="30" t="s">
        <v>32</v>
      </c>
      <c r="D1123" s="31" t="s">
        <v>32</v>
      </c>
      <c r="E1123" s="17" t="s">
        <v>479</v>
      </c>
      <c r="F1123" s="17" t="s">
        <v>32</v>
      </c>
    </row>
    <row r="1124" ht="21" customHeight="1" hidden="1" spans="1:6" x14ac:dyDescent="0.25" outlineLevel="1" collapsed="1">
      <c r="A1124" s="32" t="s">
        <v>32</v>
      </c>
      <c r="B1124" s="12" t="s">
        <v>32</v>
      </c>
      <c r="C1124" s="32" t="s">
        <v>32</v>
      </c>
      <c r="D1124" s="31" t="s">
        <v>32</v>
      </c>
      <c r="E1124" s="33" t="s">
        <v>633</v>
      </c>
      <c r="F1124" s="12" t="s">
        <v>32</v>
      </c>
    </row>
    <row r="1125" ht="51" customHeight="1" hidden="1" spans="1:6" x14ac:dyDescent="0.25" outlineLevel="1" collapsed="1">
      <c r="A1125" s="27">
        <v>4230</v>
      </c>
      <c r="B1125" s="28" t="s">
        <v>544</v>
      </c>
      <c r="C1125" s="27" t="s">
        <v>472</v>
      </c>
      <c r="D1125" s="29" t="s">
        <v>32</v>
      </c>
      <c r="E1125" s="28" t="s">
        <v>481</v>
      </c>
      <c r="F1125" s="28" t="s">
        <v>482</v>
      </c>
    </row>
    <row r="1126" ht="21" customHeight="1" hidden="1" spans="1:6" x14ac:dyDescent="0.25" outlineLevel="1" collapsed="1">
      <c r="A1126" s="30" t="s">
        <v>32</v>
      </c>
      <c r="B1126" s="17" t="s">
        <v>32</v>
      </c>
      <c r="C1126" s="30" t="s">
        <v>32</v>
      </c>
      <c r="D1126" s="31" t="s">
        <v>32</v>
      </c>
      <c r="E1126" s="17" t="s">
        <v>483</v>
      </c>
      <c r="F1126" s="17" t="s">
        <v>32</v>
      </c>
    </row>
    <row r="1127" ht="36" customHeight="1" hidden="1" spans="1:6" x14ac:dyDescent="0.25" outlineLevel="1" collapsed="1">
      <c r="A1127" s="32" t="s">
        <v>32</v>
      </c>
      <c r="B1127" s="12" t="s">
        <v>32</v>
      </c>
      <c r="C1127" s="32" t="s">
        <v>32</v>
      </c>
      <c r="D1127" s="31" t="s">
        <v>32</v>
      </c>
      <c r="E1127" s="12" t="s">
        <v>484</v>
      </c>
      <c r="F1127" s="12" t="s">
        <v>32</v>
      </c>
    </row>
    <row r="1128" ht="36" customHeight="1" hidden="1" spans="1:6" x14ac:dyDescent="0.25" outlineLevel="1" collapsed="1">
      <c r="A1128" s="30" t="s">
        <v>32</v>
      </c>
      <c r="B1128" s="17" t="s">
        <v>32</v>
      </c>
      <c r="C1128" s="30" t="s">
        <v>32</v>
      </c>
      <c r="D1128" s="31" t="s">
        <v>32</v>
      </c>
      <c r="E1128" s="17" t="s">
        <v>485</v>
      </c>
      <c r="F1128" s="17" t="s">
        <v>32</v>
      </c>
    </row>
    <row r="1129" ht="21" customHeight="1" hidden="1" spans="1:6" x14ac:dyDescent="0.25" outlineLevel="1" collapsed="1">
      <c r="A1129" s="32" t="s">
        <v>32</v>
      </c>
      <c r="B1129" s="12" t="s">
        <v>32</v>
      </c>
      <c r="C1129" s="32" t="s">
        <v>32</v>
      </c>
      <c r="D1129" s="31" t="s">
        <v>32</v>
      </c>
      <c r="E1129" s="12" t="s">
        <v>486</v>
      </c>
      <c r="F1129" s="12" t="s">
        <v>32</v>
      </c>
    </row>
    <row r="1130" ht="21" customHeight="1" hidden="1" spans="1:6" x14ac:dyDescent="0.25" outlineLevel="1" collapsed="1">
      <c r="A1130" s="30" t="s">
        <v>32</v>
      </c>
      <c r="B1130" s="17" t="s">
        <v>32</v>
      </c>
      <c r="C1130" s="30" t="s">
        <v>32</v>
      </c>
      <c r="D1130" s="31" t="s">
        <v>32</v>
      </c>
      <c r="E1130" s="17" t="s">
        <v>487</v>
      </c>
      <c r="F1130" s="17" t="s">
        <v>32</v>
      </c>
    </row>
    <row r="1131" ht="21" customHeight="1" hidden="1" spans="1:6" x14ac:dyDescent="0.25" outlineLevel="1" collapsed="1">
      <c r="A1131" s="32" t="s">
        <v>32</v>
      </c>
      <c r="B1131" s="12" t="s">
        <v>32</v>
      </c>
      <c r="C1131" s="32" t="s">
        <v>32</v>
      </c>
      <c r="D1131" s="31" t="s">
        <v>32</v>
      </c>
      <c r="E1131" s="12" t="s">
        <v>488</v>
      </c>
      <c r="F1131" s="12" t="s">
        <v>32</v>
      </c>
    </row>
    <row r="1132" ht="21" customHeight="1" hidden="1" spans="1:6" x14ac:dyDescent="0.25" outlineLevel="1" collapsed="1">
      <c r="A1132" s="30" t="s">
        <v>32</v>
      </c>
      <c r="B1132" s="17" t="s">
        <v>32</v>
      </c>
      <c r="C1132" s="30" t="s">
        <v>32</v>
      </c>
      <c r="D1132" s="31" t="s">
        <v>32</v>
      </c>
      <c r="E1132" s="17" t="s">
        <v>489</v>
      </c>
      <c r="F1132" s="17" t="s">
        <v>32</v>
      </c>
    </row>
    <row r="1133" ht="21" customHeight="1" hidden="1" spans="1:6" x14ac:dyDescent="0.25" outlineLevel="1" collapsed="1">
      <c r="A1133" s="32" t="s">
        <v>32</v>
      </c>
      <c r="B1133" s="12" t="s">
        <v>32</v>
      </c>
      <c r="C1133" s="32" t="s">
        <v>32</v>
      </c>
      <c r="D1133" s="31" t="s">
        <v>32</v>
      </c>
      <c r="E1133" s="12" t="s">
        <v>490</v>
      </c>
      <c r="F1133" s="12" t="s">
        <v>32</v>
      </c>
    </row>
    <row r="1134" ht="21" customHeight="1" hidden="1" spans="1:6" x14ac:dyDescent="0.25" outlineLevel="1" collapsed="1">
      <c r="A1134" s="30" t="s">
        <v>32</v>
      </c>
      <c r="B1134" s="17" t="s">
        <v>32</v>
      </c>
      <c r="C1134" s="30" t="s">
        <v>32</v>
      </c>
      <c r="D1134" s="31" t="s">
        <v>32</v>
      </c>
      <c r="E1134" s="17" t="s">
        <v>491</v>
      </c>
      <c r="F1134" s="17" t="s">
        <v>32</v>
      </c>
    </row>
    <row r="1135" ht="21" customHeight="1" hidden="1" spans="1:6" x14ac:dyDescent="0.25" outlineLevel="1" collapsed="1">
      <c r="A1135" s="32" t="s">
        <v>32</v>
      </c>
      <c r="B1135" s="12" t="s">
        <v>32</v>
      </c>
      <c r="C1135" s="32" t="s">
        <v>32</v>
      </c>
      <c r="D1135" s="31" t="s">
        <v>32</v>
      </c>
      <c r="E1135" s="12" t="s">
        <v>492</v>
      </c>
      <c r="F1135" s="12" t="s">
        <v>32</v>
      </c>
    </row>
    <row r="1136" ht="21" customHeight="1" hidden="1" spans="1:6" x14ac:dyDescent="0.25" outlineLevel="1" collapsed="1">
      <c r="A1136" s="30" t="s">
        <v>32</v>
      </c>
      <c r="B1136" s="17" t="s">
        <v>32</v>
      </c>
      <c r="C1136" s="30" t="s">
        <v>32</v>
      </c>
      <c r="D1136" s="31" t="s">
        <v>32</v>
      </c>
      <c r="E1136" s="17" t="s">
        <v>493</v>
      </c>
      <c r="F1136" s="17" t="s">
        <v>32</v>
      </c>
    </row>
    <row r="1137" ht="21" customHeight="1" hidden="1" spans="1:6" x14ac:dyDescent="0.25" outlineLevel="1" collapsed="1">
      <c r="A1137" s="32" t="s">
        <v>32</v>
      </c>
      <c r="B1137" s="12" t="s">
        <v>32</v>
      </c>
      <c r="C1137" s="32" t="s">
        <v>32</v>
      </c>
      <c r="D1137" s="31" t="s">
        <v>32</v>
      </c>
      <c r="E1137" s="33" t="s">
        <v>633</v>
      </c>
      <c r="F1137" s="12" t="s">
        <v>32</v>
      </c>
    </row>
    <row r="1138" ht="22" customHeight="1" hidden="1" spans="1:6" x14ac:dyDescent="0.25" outlineLevel="1" collapsed="1">
      <c r="A1138" s="34" t="s">
        <v>495</v>
      </c>
      <c r="B1138" s="34"/>
      <c r="C1138" s="34"/>
      <c r="D1138" s="34"/>
      <c r="E1138" s="34"/>
      <c r="F1138" s="34"/>
    </row>
    <row r="1139" ht="24" customHeight="1" hidden="1" spans="1:6" x14ac:dyDescent="0.25" outlineLevel="1" collapsed="1">
      <c r="A1139" s="12" t="s">
        <v>634</v>
      </c>
      <c r="B1139" s="12"/>
      <c r="C1139" s="12"/>
      <c r="D1139" s="12"/>
      <c r="E1139" s="12"/>
      <c r="F1139" s="12"/>
    </row>
    <row r="1140" ht="40" customHeight="1" hidden="1" spans="1:6" x14ac:dyDescent="0.25" outlineLevel="1" collapsed="1">
      <c r="A1140" s="12" t="s">
        <v>654</v>
      </c>
      <c r="B1140" s="12"/>
      <c r="C1140" s="12"/>
      <c r="D1140" s="12"/>
      <c r="E1140" s="12"/>
      <c r="F1140" s="12"/>
    </row>
    <row r="1141" ht="56" customHeight="1" hidden="1" spans="1:6" x14ac:dyDescent="0.25" outlineLevel="1" collapsed="1">
      <c r="A1141" s="12" t="s">
        <v>636</v>
      </c>
      <c r="B1141" s="12"/>
      <c r="C1141" s="12"/>
      <c r="D1141" s="12"/>
      <c r="E1141" s="12"/>
      <c r="F1141" s="12"/>
    </row>
    <row r="1142" ht="24" customHeight="1" hidden="1" spans="1:6" x14ac:dyDescent="0.25" outlineLevel="1" collapsed="1">
      <c r="A1142" s="12" t="s">
        <v>499</v>
      </c>
      <c r="B1142" s="12"/>
      <c r="C1142" s="12"/>
      <c r="D1142" s="12"/>
      <c r="E1142" s="12"/>
      <c r="F1142" s="12"/>
    </row>
    <row r="1143" ht="6" customHeight="1" hidden="1" x14ac:dyDescent="0.25" outlineLevel="1" collapsed="1"/>
    <row r="1144" ht="22" customHeight="1" spans="1:6" x14ac:dyDescent="0.25">
      <c r="A1144" s="25" t="s">
        <v>595</v>
      </c>
      <c r="B1144" s="25"/>
      <c r="C1144" s="25"/>
      <c r="D1144" s="25"/>
      <c r="E1144" s="25"/>
      <c r="F1144" s="25"/>
    </row>
    <row r="1145" ht="20" customHeight="1" hidden="1" spans="1:6" x14ac:dyDescent="0.25" outlineLevel="1" collapsed="1">
      <c r="A1145" s="26" t="s">
        <v>460</v>
      </c>
      <c r="B1145" s="26" t="s">
        <v>461</v>
      </c>
      <c r="C1145" s="26" t="s">
        <v>462</v>
      </c>
      <c r="D1145" s="26" t="s">
        <v>32</v>
      </c>
      <c r="E1145" s="26" t="s">
        <v>463</v>
      </c>
      <c r="F1145" s="26" t="s">
        <v>464</v>
      </c>
    </row>
    <row r="1146" ht="36" customHeight="1" hidden="1" spans="1:6" x14ac:dyDescent="0.25" outlineLevel="1" collapsed="1">
      <c r="A1146" s="27">
        <v>4220</v>
      </c>
      <c r="B1146" s="28" t="s">
        <v>543</v>
      </c>
      <c r="C1146" s="27" t="s">
        <v>466</v>
      </c>
      <c r="D1146" s="29" t="s">
        <v>32</v>
      </c>
      <c r="E1146" s="28" t="s">
        <v>518</v>
      </c>
      <c r="F1146" s="28" t="s">
        <v>32</v>
      </c>
    </row>
    <row r="1147" ht="21" customHeight="1" hidden="1" spans="1:6" x14ac:dyDescent="0.25" outlineLevel="1" collapsed="1">
      <c r="A1147" s="27">
        <v>4240</v>
      </c>
      <c r="B1147" s="28" t="s">
        <v>471</v>
      </c>
      <c r="C1147" s="27" t="s">
        <v>472</v>
      </c>
      <c r="D1147" s="29" t="s">
        <v>32</v>
      </c>
      <c r="E1147" s="28" t="s">
        <v>506</v>
      </c>
      <c r="F1147" s="28" t="s">
        <v>32</v>
      </c>
    </row>
    <row r="1148" ht="36" customHeight="1" hidden="1" spans="1:6" x14ac:dyDescent="0.25" outlineLevel="1" collapsed="1">
      <c r="A1148" s="27">
        <v>4230</v>
      </c>
      <c r="B1148" s="28" t="s">
        <v>544</v>
      </c>
      <c r="C1148" s="27" t="s">
        <v>472</v>
      </c>
      <c r="D1148" s="29" t="s">
        <v>32</v>
      </c>
      <c r="E1148" s="28" t="s">
        <v>518</v>
      </c>
      <c r="F1148" s="28" t="s">
        <v>32</v>
      </c>
    </row>
    <row r="1149" ht="22" customHeight="1" hidden="1" spans="1:6" x14ac:dyDescent="0.25" outlineLevel="1" collapsed="1">
      <c r="A1149" s="34" t="s">
        <v>495</v>
      </c>
      <c r="B1149" s="34"/>
      <c r="C1149" s="34"/>
      <c r="D1149" s="34"/>
      <c r="E1149" s="34"/>
      <c r="F1149" s="34"/>
    </row>
    <row r="1150" ht="24" customHeight="1" hidden="1" spans="1:6" x14ac:dyDescent="0.25" outlineLevel="1" collapsed="1">
      <c r="A1150" s="12" t="s">
        <v>655</v>
      </c>
      <c r="B1150" s="12"/>
      <c r="C1150" s="12"/>
      <c r="D1150" s="12"/>
      <c r="E1150" s="12"/>
      <c r="F1150" s="12"/>
    </row>
    <row r="1151" ht="24" customHeight="1" hidden="1" spans="1:6" x14ac:dyDescent="0.25" outlineLevel="1" collapsed="1">
      <c r="A1151" s="12" t="s">
        <v>656</v>
      </c>
      <c r="B1151" s="12"/>
      <c r="C1151" s="12"/>
      <c r="D1151" s="12"/>
      <c r="E1151" s="12"/>
      <c r="F1151" s="12"/>
    </row>
    <row r="1152" ht="24" customHeight="1" hidden="1" spans="1:6" x14ac:dyDescent="0.25" outlineLevel="1" collapsed="1">
      <c r="A1152" s="12" t="s">
        <v>642</v>
      </c>
      <c r="B1152" s="12"/>
      <c r="C1152" s="12"/>
      <c r="D1152" s="12"/>
      <c r="E1152" s="12"/>
      <c r="F1152" s="12"/>
    </row>
    <row r="1153" ht="24" customHeight="1" hidden="1" spans="1:6" x14ac:dyDescent="0.25" outlineLevel="1" collapsed="1">
      <c r="A1153" s="12" t="s">
        <v>499</v>
      </c>
      <c r="B1153" s="12"/>
      <c r="C1153" s="12"/>
      <c r="D1153" s="12"/>
      <c r="E1153" s="12"/>
      <c r="F1153" s="12"/>
    </row>
    <row r="1154" ht="6" customHeight="1" hidden="1" x14ac:dyDescent="0.25" outlineLevel="1" collapsed="1"/>
    <row r="1155" ht="22" customHeight="1" spans="1:6" x14ac:dyDescent="0.25">
      <c r="A1155" s="25" t="s">
        <v>598</v>
      </c>
      <c r="B1155" s="25"/>
      <c r="C1155" s="25"/>
      <c r="D1155" s="25"/>
      <c r="E1155" s="25"/>
      <c r="F1155" s="25"/>
    </row>
    <row r="1156" ht="20" customHeight="1" hidden="1" spans="1:6" x14ac:dyDescent="0.25" outlineLevel="1" collapsed="1">
      <c r="A1156" s="26" t="s">
        <v>460</v>
      </c>
      <c r="B1156" s="26" t="s">
        <v>461</v>
      </c>
      <c r="C1156" s="26" t="s">
        <v>462</v>
      </c>
      <c r="D1156" s="26" t="s">
        <v>32</v>
      </c>
      <c r="E1156" s="26" t="s">
        <v>463</v>
      </c>
      <c r="F1156" s="26" t="s">
        <v>464</v>
      </c>
    </row>
    <row r="1157" ht="51" customHeight="1" hidden="1" spans="1:6" x14ac:dyDescent="0.25" outlineLevel="1" collapsed="1">
      <c r="A1157" s="27">
        <v>4220</v>
      </c>
      <c r="B1157" s="28" t="s">
        <v>543</v>
      </c>
      <c r="C1157" s="27" t="s">
        <v>466</v>
      </c>
      <c r="D1157" s="29" t="s">
        <v>32</v>
      </c>
      <c r="E1157" s="28" t="s">
        <v>599</v>
      </c>
      <c r="F1157" s="28" t="s">
        <v>468</v>
      </c>
    </row>
    <row r="1158" ht="36" customHeight="1" hidden="1" spans="1:6" x14ac:dyDescent="0.25" outlineLevel="1" collapsed="1">
      <c r="A1158" s="30" t="s">
        <v>32</v>
      </c>
      <c r="B1158" s="17" t="s">
        <v>32</v>
      </c>
      <c r="C1158" s="30" t="s">
        <v>32</v>
      </c>
      <c r="D1158" s="31" t="s">
        <v>32</v>
      </c>
      <c r="E1158" s="17" t="s">
        <v>469</v>
      </c>
      <c r="F1158" s="17" t="s">
        <v>32</v>
      </c>
    </row>
    <row r="1159" ht="36" customHeight="1" hidden="1" spans="1:6" x14ac:dyDescent="0.25" outlineLevel="1" collapsed="1">
      <c r="A1159" s="32" t="s">
        <v>32</v>
      </c>
      <c r="B1159" s="12" t="s">
        <v>32</v>
      </c>
      <c r="C1159" s="32" t="s">
        <v>32</v>
      </c>
      <c r="D1159" s="31" t="s">
        <v>32</v>
      </c>
      <c r="E1159" s="33" t="s">
        <v>657</v>
      </c>
      <c r="F1159" s="12" t="s">
        <v>32</v>
      </c>
    </row>
    <row r="1160" ht="51" customHeight="1" hidden="1" spans="1:6" x14ac:dyDescent="0.25" outlineLevel="1" collapsed="1">
      <c r="A1160" s="27">
        <v>4240</v>
      </c>
      <c r="B1160" s="28" t="s">
        <v>471</v>
      </c>
      <c r="C1160" s="27" t="s">
        <v>472</v>
      </c>
      <c r="D1160" s="29" t="s">
        <v>32</v>
      </c>
      <c r="E1160" s="28" t="s">
        <v>473</v>
      </c>
      <c r="F1160" s="28" t="s">
        <v>601</v>
      </c>
    </row>
    <row r="1161" ht="21" customHeight="1" hidden="1" spans="1:6" x14ac:dyDescent="0.25" outlineLevel="1" collapsed="1">
      <c r="A1161" s="30" t="s">
        <v>32</v>
      </c>
      <c r="B1161" s="17" t="s">
        <v>32</v>
      </c>
      <c r="C1161" s="30" t="s">
        <v>32</v>
      </c>
      <c r="D1161" s="31" t="s">
        <v>32</v>
      </c>
      <c r="E1161" s="17" t="s">
        <v>475</v>
      </c>
      <c r="F1161" s="17" t="s">
        <v>32</v>
      </c>
    </row>
    <row r="1162" ht="21" customHeight="1" hidden="1" spans="1:6" x14ac:dyDescent="0.25" outlineLevel="1" collapsed="1">
      <c r="A1162" s="32" t="s">
        <v>32</v>
      </c>
      <c r="B1162" s="12" t="s">
        <v>32</v>
      </c>
      <c r="C1162" s="32" t="s">
        <v>32</v>
      </c>
      <c r="D1162" s="31" t="s">
        <v>32</v>
      </c>
      <c r="E1162" s="12" t="s">
        <v>602</v>
      </c>
      <c r="F1162" s="12" t="s">
        <v>32</v>
      </c>
    </row>
    <row r="1163" ht="36" customHeight="1" hidden="1" spans="1:6" x14ac:dyDescent="0.25" outlineLevel="1" collapsed="1">
      <c r="A1163" s="30" t="s">
        <v>32</v>
      </c>
      <c r="B1163" s="17" t="s">
        <v>32</v>
      </c>
      <c r="C1163" s="30" t="s">
        <v>32</v>
      </c>
      <c r="D1163" s="31" t="s">
        <v>32</v>
      </c>
      <c r="E1163" s="17" t="s">
        <v>478</v>
      </c>
      <c r="F1163" s="17" t="s">
        <v>32</v>
      </c>
    </row>
    <row r="1164" ht="36" customHeight="1" hidden="1" spans="1:6" x14ac:dyDescent="0.25" outlineLevel="1" collapsed="1">
      <c r="A1164" s="32" t="s">
        <v>32</v>
      </c>
      <c r="B1164" s="12" t="s">
        <v>32</v>
      </c>
      <c r="C1164" s="32" t="s">
        <v>32</v>
      </c>
      <c r="D1164" s="31" t="s">
        <v>32</v>
      </c>
      <c r="E1164" s="33" t="s">
        <v>658</v>
      </c>
      <c r="F1164" s="12" t="s">
        <v>32</v>
      </c>
    </row>
    <row r="1165" ht="51" customHeight="1" hidden="1" spans="1:6" x14ac:dyDescent="0.25" outlineLevel="1" collapsed="1">
      <c r="A1165" s="27">
        <v>4230</v>
      </c>
      <c r="B1165" s="28" t="s">
        <v>544</v>
      </c>
      <c r="C1165" s="27" t="s">
        <v>472</v>
      </c>
      <c r="D1165" s="29" t="s">
        <v>32</v>
      </c>
      <c r="E1165" s="28" t="s">
        <v>576</v>
      </c>
      <c r="F1165" s="28" t="s">
        <v>604</v>
      </c>
    </row>
    <row r="1166" ht="21" customHeight="1" hidden="1" spans="1:6" x14ac:dyDescent="0.25" outlineLevel="1" collapsed="1">
      <c r="A1166" s="30" t="s">
        <v>32</v>
      </c>
      <c r="B1166" s="17" t="s">
        <v>32</v>
      </c>
      <c r="C1166" s="30" t="s">
        <v>32</v>
      </c>
      <c r="D1166" s="31" t="s">
        <v>32</v>
      </c>
      <c r="E1166" s="17" t="s">
        <v>577</v>
      </c>
      <c r="F1166" s="17" t="s">
        <v>32</v>
      </c>
    </row>
    <row r="1167" ht="36" customHeight="1" hidden="1" spans="1:6" x14ac:dyDescent="0.25" outlineLevel="1" collapsed="1">
      <c r="A1167" s="32" t="s">
        <v>32</v>
      </c>
      <c r="B1167" s="12" t="s">
        <v>32</v>
      </c>
      <c r="C1167" s="32" t="s">
        <v>32</v>
      </c>
      <c r="D1167" s="31" t="s">
        <v>32</v>
      </c>
      <c r="E1167" s="12" t="s">
        <v>605</v>
      </c>
      <c r="F1167" s="12" t="s">
        <v>32</v>
      </c>
    </row>
    <row r="1168" ht="21" customHeight="1" hidden="1" spans="1:6" x14ac:dyDescent="0.25" outlineLevel="1" collapsed="1">
      <c r="A1168" s="30" t="s">
        <v>32</v>
      </c>
      <c r="B1168" s="17" t="s">
        <v>32</v>
      </c>
      <c r="C1168" s="30" t="s">
        <v>32</v>
      </c>
      <c r="D1168" s="31" t="s">
        <v>32</v>
      </c>
      <c r="E1168" s="17" t="s">
        <v>580</v>
      </c>
      <c r="F1168" s="17" t="s">
        <v>32</v>
      </c>
    </row>
    <row r="1169" ht="21" customHeight="1" hidden="1" spans="1:6" x14ac:dyDescent="0.25" outlineLevel="1" collapsed="1">
      <c r="A1169" s="32" t="s">
        <v>32</v>
      </c>
      <c r="B1169" s="12" t="s">
        <v>32</v>
      </c>
      <c r="C1169" s="32" t="s">
        <v>32</v>
      </c>
      <c r="D1169" s="31" t="s">
        <v>32</v>
      </c>
      <c r="E1169" s="12" t="s">
        <v>606</v>
      </c>
      <c r="F1169" s="12" t="s">
        <v>32</v>
      </c>
    </row>
    <row r="1170" ht="21" customHeight="1" hidden="1" spans="1:6" x14ac:dyDescent="0.25" outlineLevel="1" collapsed="1">
      <c r="A1170" s="30" t="s">
        <v>32</v>
      </c>
      <c r="B1170" s="17" t="s">
        <v>32</v>
      </c>
      <c r="C1170" s="30" t="s">
        <v>32</v>
      </c>
      <c r="D1170" s="31" t="s">
        <v>32</v>
      </c>
      <c r="E1170" s="17" t="s">
        <v>551</v>
      </c>
      <c r="F1170" s="17" t="s">
        <v>32</v>
      </c>
    </row>
    <row r="1171" ht="21" customHeight="1" hidden="1" spans="1:6" x14ac:dyDescent="0.25" outlineLevel="1" collapsed="1">
      <c r="A1171" s="32" t="s">
        <v>32</v>
      </c>
      <c r="B1171" s="12" t="s">
        <v>32</v>
      </c>
      <c r="C1171" s="32" t="s">
        <v>32</v>
      </c>
      <c r="D1171" s="31" t="s">
        <v>32</v>
      </c>
      <c r="E1171" s="12" t="s">
        <v>581</v>
      </c>
      <c r="F1171" s="12" t="s">
        <v>32</v>
      </c>
    </row>
    <row r="1172" ht="21" customHeight="1" hidden="1" spans="1:6" x14ac:dyDescent="0.25" outlineLevel="1" collapsed="1">
      <c r="A1172" s="30" t="s">
        <v>32</v>
      </c>
      <c r="B1172" s="17" t="s">
        <v>32</v>
      </c>
      <c r="C1172" s="30" t="s">
        <v>32</v>
      </c>
      <c r="D1172" s="31" t="s">
        <v>32</v>
      </c>
      <c r="E1172" s="17" t="s">
        <v>582</v>
      </c>
      <c r="F1172" s="17" t="s">
        <v>32</v>
      </c>
    </row>
    <row r="1173" ht="21" customHeight="1" hidden="1" spans="1:6" x14ac:dyDescent="0.25" outlineLevel="1" collapsed="1">
      <c r="A1173" s="32" t="s">
        <v>32</v>
      </c>
      <c r="B1173" s="12" t="s">
        <v>32</v>
      </c>
      <c r="C1173" s="32" t="s">
        <v>32</v>
      </c>
      <c r="D1173" s="31" t="s">
        <v>32</v>
      </c>
      <c r="E1173" s="12" t="s">
        <v>607</v>
      </c>
      <c r="F1173" s="12" t="s">
        <v>32</v>
      </c>
    </row>
    <row r="1174" ht="21" customHeight="1" hidden="1" spans="1:6" x14ac:dyDescent="0.25" outlineLevel="1" collapsed="1">
      <c r="A1174" s="30" t="s">
        <v>32</v>
      </c>
      <c r="B1174" s="17" t="s">
        <v>32</v>
      </c>
      <c r="C1174" s="30" t="s">
        <v>32</v>
      </c>
      <c r="D1174" s="31" t="s">
        <v>32</v>
      </c>
      <c r="E1174" s="17" t="s">
        <v>555</v>
      </c>
      <c r="F1174" s="17" t="s">
        <v>32</v>
      </c>
    </row>
    <row r="1175" ht="21" customHeight="1" hidden="1" spans="1:6" x14ac:dyDescent="0.25" outlineLevel="1" collapsed="1">
      <c r="A1175" s="32" t="s">
        <v>32</v>
      </c>
      <c r="B1175" s="12" t="s">
        <v>32</v>
      </c>
      <c r="C1175" s="32" t="s">
        <v>32</v>
      </c>
      <c r="D1175" s="31" t="s">
        <v>32</v>
      </c>
      <c r="E1175" s="12" t="s">
        <v>584</v>
      </c>
      <c r="F1175" s="12" t="s">
        <v>32</v>
      </c>
    </row>
    <row r="1176" ht="36" customHeight="1" hidden="1" spans="1:6" x14ac:dyDescent="0.25" outlineLevel="1" collapsed="1">
      <c r="A1176" s="30" t="s">
        <v>32</v>
      </c>
      <c r="B1176" s="17" t="s">
        <v>32</v>
      </c>
      <c r="C1176" s="30" t="s">
        <v>32</v>
      </c>
      <c r="D1176" s="31" t="s">
        <v>32</v>
      </c>
      <c r="E1176" s="35" t="s">
        <v>659</v>
      </c>
      <c r="F1176" s="17" t="s">
        <v>32</v>
      </c>
    </row>
    <row r="1177" ht="22" customHeight="1" hidden="1" spans="1:6" x14ac:dyDescent="0.25" outlineLevel="1" collapsed="1">
      <c r="A1177" s="34" t="s">
        <v>495</v>
      </c>
      <c r="B1177" s="34"/>
      <c r="C1177" s="34"/>
      <c r="D1177" s="34"/>
      <c r="E1177" s="34"/>
      <c r="F1177" s="34"/>
    </row>
    <row r="1178" ht="24" customHeight="1" hidden="1" spans="1:6" x14ac:dyDescent="0.25" outlineLevel="1" collapsed="1">
      <c r="A1178" s="12" t="s">
        <v>660</v>
      </c>
      <c r="B1178" s="12"/>
      <c r="C1178" s="12"/>
      <c r="D1178" s="12"/>
      <c r="E1178" s="12"/>
      <c r="F1178" s="12"/>
    </row>
    <row r="1179" ht="40" customHeight="1" hidden="1" spans="1:6" x14ac:dyDescent="0.25" outlineLevel="1" collapsed="1">
      <c r="A1179" s="12" t="s">
        <v>661</v>
      </c>
      <c r="B1179" s="12"/>
      <c r="C1179" s="12"/>
      <c r="D1179" s="12"/>
      <c r="E1179" s="12"/>
      <c r="F1179" s="12"/>
    </row>
    <row r="1180" ht="56" customHeight="1" hidden="1" spans="1:6" x14ac:dyDescent="0.25" outlineLevel="1" collapsed="1">
      <c r="A1180" s="12" t="s">
        <v>662</v>
      </c>
      <c r="B1180" s="12"/>
      <c r="C1180" s="12"/>
      <c r="D1180" s="12"/>
      <c r="E1180" s="12"/>
      <c r="F1180" s="12"/>
    </row>
    <row r="1181" ht="24" customHeight="1" hidden="1" spans="1:6" x14ac:dyDescent="0.25" outlineLevel="1" collapsed="1">
      <c r="A1181" s="12" t="s">
        <v>499</v>
      </c>
      <c r="B1181" s="12"/>
      <c r="C1181" s="12"/>
      <c r="D1181" s="12"/>
      <c r="E1181" s="12"/>
      <c r="F1181" s="12"/>
    </row>
    <row r="1182" ht="6" customHeight="1" hidden="1" x14ac:dyDescent="0.25" outlineLevel="1" collapsed="1"/>
    <row r="1183" ht="22" customHeight="1" spans="1:6" x14ac:dyDescent="0.25">
      <c r="A1183" s="25" t="s">
        <v>612</v>
      </c>
      <c r="B1183" s="25"/>
      <c r="C1183" s="25"/>
      <c r="D1183" s="25"/>
      <c r="E1183" s="25"/>
      <c r="F1183" s="25"/>
    </row>
    <row r="1184" ht="20" customHeight="1" hidden="1" spans="1:6" x14ac:dyDescent="0.25" outlineLevel="1" collapsed="1">
      <c r="A1184" s="26" t="s">
        <v>460</v>
      </c>
      <c r="B1184" s="26" t="s">
        <v>461</v>
      </c>
      <c r="C1184" s="26" t="s">
        <v>462</v>
      </c>
      <c r="D1184" s="26" t="s">
        <v>32</v>
      </c>
      <c r="E1184" s="26" t="s">
        <v>463</v>
      </c>
      <c r="F1184" s="26" t="s">
        <v>464</v>
      </c>
    </row>
    <row r="1185" ht="51" customHeight="1" hidden="1" spans="1:6" x14ac:dyDescent="0.25" outlineLevel="1" collapsed="1">
      <c r="A1185" s="27">
        <v>4220</v>
      </c>
      <c r="B1185" s="28" t="s">
        <v>543</v>
      </c>
      <c r="C1185" s="27" t="s">
        <v>466</v>
      </c>
      <c r="D1185" s="29" t="s">
        <v>32</v>
      </c>
      <c r="E1185" s="28" t="s">
        <v>663</v>
      </c>
      <c r="F1185" s="28" t="s">
        <v>614</v>
      </c>
    </row>
    <row r="1186" ht="21" customHeight="1" hidden="1" spans="1:6" x14ac:dyDescent="0.25" outlineLevel="1" collapsed="1">
      <c r="A1186" s="30" t="s">
        <v>32</v>
      </c>
      <c r="B1186" s="17" t="s">
        <v>32</v>
      </c>
      <c r="C1186" s="30" t="s">
        <v>32</v>
      </c>
      <c r="D1186" s="31" t="s">
        <v>32</v>
      </c>
      <c r="E1186" s="17" t="s">
        <v>615</v>
      </c>
      <c r="F1186" s="17" t="s">
        <v>32</v>
      </c>
    </row>
    <row r="1187" ht="21" customHeight="1" hidden="1" spans="1:6" x14ac:dyDescent="0.25" outlineLevel="1" collapsed="1">
      <c r="A1187" s="32" t="s">
        <v>32</v>
      </c>
      <c r="B1187" s="12" t="s">
        <v>32</v>
      </c>
      <c r="C1187" s="32" t="s">
        <v>32</v>
      </c>
      <c r="D1187" s="31" t="s">
        <v>32</v>
      </c>
      <c r="E1187" s="12" t="s">
        <v>616</v>
      </c>
      <c r="F1187" s="12" t="s">
        <v>32</v>
      </c>
    </row>
    <row r="1188" ht="51" customHeight="1" hidden="1" spans="1:6" x14ac:dyDescent="0.25" outlineLevel="1" collapsed="1">
      <c r="A1188" s="27">
        <v>4240</v>
      </c>
      <c r="B1188" s="28" t="s">
        <v>471</v>
      </c>
      <c r="C1188" s="27" t="s">
        <v>472</v>
      </c>
      <c r="D1188" s="29" t="s">
        <v>32</v>
      </c>
      <c r="E1188" s="28" t="s">
        <v>473</v>
      </c>
      <c r="F1188" s="28" t="s">
        <v>474</v>
      </c>
    </row>
    <row r="1189" ht="21" customHeight="1" hidden="1" spans="1:6" x14ac:dyDescent="0.25" outlineLevel="1" collapsed="1">
      <c r="A1189" s="30" t="s">
        <v>32</v>
      </c>
      <c r="B1189" s="17" t="s">
        <v>32</v>
      </c>
      <c r="C1189" s="30" t="s">
        <v>32</v>
      </c>
      <c r="D1189" s="31" t="s">
        <v>32</v>
      </c>
      <c r="E1189" s="17" t="s">
        <v>475</v>
      </c>
      <c r="F1189" s="17" t="s">
        <v>32</v>
      </c>
    </row>
    <row r="1190" ht="36" customHeight="1" hidden="1" spans="1:6" x14ac:dyDescent="0.25" outlineLevel="1" collapsed="1">
      <c r="A1190" s="32" t="s">
        <v>32</v>
      </c>
      <c r="B1190" s="12" t="s">
        <v>32</v>
      </c>
      <c r="C1190" s="32" t="s">
        <v>32</v>
      </c>
      <c r="D1190" s="31" t="s">
        <v>32</v>
      </c>
      <c r="E1190" s="12" t="s">
        <v>476</v>
      </c>
      <c r="F1190" s="12" t="s">
        <v>32</v>
      </c>
    </row>
    <row r="1191" ht="21" customHeight="1" hidden="1" spans="1:6" x14ac:dyDescent="0.25" outlineLevel="1" collapsed="1">
      <c r="A1191" s="30" t="s">
        <v>32</v>
      </c>
      <c r="B1191" s="17" t="s">
        <v>32</v>
      </c>
      <c r="C1191" s="30" t="s">
        <v>32</v>
      </c>
      <c r="D1191" s="31" t="s">
        <v>32</v>
      </c>
      <c r="E1191" s="17" t="s">
        <v>617</v>
      </c>
      <c r="F1191" s="17" t="s">
        <v>32</v>
      </c>
    </row>
    <row r="1192" ht="36" customHeight="1" hidden="1" spans="1:6" x14ac:dyDescent="0.25" outlineLevel="1" collapsed="1">
      <c r="A1192" s="32" t="s">
        <v>32</v>
      </c>
      <c r="B1192" s="12" t="s">
        <v>32</v>
      </c>
      <c r="C1192" s="32" t="s">
        <v>32</v>
      </c>
      <c r="D1192" s="31" t="s">
        <v>32</v>
      </c>
      <c r="E1192" s="12" t="s">
        <v>478</v>
      </c>
      <c r="F1192" s="12" t="s">
        <v>32</v>
      </c>
    </row>
    <row r="1193" ht="21" customHeight="1" hidden="1" spans="1:6" x14ac:dyDescent="0.25" outlineLevel="1" collapsed="1">
      <c r="A1193" s="30" t="s">
        <v>32</v>
      </c>
      <c r="B1193" s="17" t="s">
        <v>32</v>
      </c>
      <c r="C1193" s="30" t="s">
        <v>32</v>
      </c>
      <c r="D1193" s="31" t="s">
        <v>32</v>
      </c>
      <c r="E1193" s="17" t="s">
        <v>479</v>
      </c>
      <c r="F1193" s="17" t="s">
        <v>32</v>
      </c>
    </row>
    <row r="1194" ht="36" customHeight="1" hidden="1" spans="1:6" x14ac:dyDescent="0.25" outlineLevel="1" collapsed="1">
      <c r="A1194" s="32" t="s">
        <v>32</v>
      </c>
      <c r="B1194" s="12" t="s">
        <v>32</v>
      </c>
      <c r="C1194" s="32" t="s">
        <v>32</v>
      </c>
      <c r="D1194" s="31" t="s">
        <v>32</v>
      </c>
      <c r="E1194" s="33" t="s">
        <v>664</v>
      </c>
      <c r="F1194" s="12" t="s">
        <v>32</v>
      </c>
    </row>
    <row r="1195" ht="36" customHeight="1" hidden="1" spans="1:6" x14ac:dyDescent="0.25" outlineLevel="1" collapsed="1">
      <c r="A1195" s="27">
        <v>4230</v>
      </c>
      <c r="B1195" s="28" t="s">
        <v>544</v>
      </c>
      <c r="C1195" s="27" t="s">
        <v>472</v>
      </c>
      <c r="D1195" s="29" t="s">
        <v>32</v>
      </c>
      <c r="E1195" s="28" t="s">
        <v>619</v>
      </c>
      <c r="F1195" s="28" t="s">
        <v>32</v>
      </c>
    </row>
    <row r="1196" ht="22" customHeight="1" hidden="1" spans="1:6" x14ac:dyDescent="0.25" outlineLevel="1" collapsed="1">
      <c r="A1196" s="34" t="s">
        <v>495</v>
      </c>
      <c r="B1196" s="34"/>
      <c r="C1196" s="34"/>
      <c r="D1196" s="34"/>
      <c r="E1196" s="34"/>
      <c r="F1196" s="34"/>
    </row>
    <row r="1197" ht="24" customHeight="1" hidden="1" spans="1:6" x14ac:dyDescent="0.25" outlineLevel="1" collapsed="1">
      <c r="A1197" s="12" t="s">
        <v>665</v>
      </c>
      <c r="B1197" s="12"/>
      <c r="C1197" s="12"/>
      <c r="D1197" s="12"/>
      <c r="E1197" s="12"/>
      <c r="F1197" s="12"/>
    </row>
    <row r="1198" ht="40" customHeight="1" hidden="1" spans="1:6" x14ac:dyDescent="0.25" outlineLevel="1" collapsed="1">
      <c r="A1198" s="12" t="s">
        <v>666</v>
      </c>
      <c r="B1198" s="12"/>
      <c r="C1198" s="12"/>
      <c r="D1198" s="12"/>
      <c r="E1198" s="12"/>
      <c r="F1198" s="12"/>
    </row>
    <row r="1199" ht="24" customHeight="1" hidden="1" spans="1:6" x14ac:dyDescent="0.25" outlineLevel="1" collapsed="1">
      <c r="A1199" s="12" t="s">
        <v>667</v>
      </c>
      <c r="B1199" s="12"/>
      <c r="C1199" s="12"/>
      <c r="D1199" s="12"/>
      <c r="E1199" s="12"/>
      <c r="F1199" s="12"/>
    </row>
    <row r="1200" ht="24" customHeight="1" hidden="1" spans="1:6" x14ac:dyDescent="0.25" outlineLevel="1" collapsed="1">
      <c r="A1200" s="12" t="s">
        <v>499</v>
      </c>
      <c r="B1200" s="12"/>
      <c r="C1200" s="12"/>
      <c r="D1200" s="12"/>
      <c r="E1200" s="12"/>
      <c r="F1200" s="12"/>
    </row>
    <row r="1201" ht="6" customHeight="1" hidden="1" x14ac:dyDescent="0.25" outlineLevel="1" collapsed="1"/>
    <row r="1202" ht="22" customHeight="1" spans="1:6" x14ac:dyDescent="0.25">
      <c r="A1202" s="25" t="s">
        <v>623</v>
      </c>
      <c r="B1202" s="25"/>
      <c r="C1202" s="25"/>
      <c r="D1202" s="25"/>
      <c r="E1202" s="25"/>
      <c r="F1202" s="25"/>
    </row>
    <row r="1203" ht="20" customHeight="1" hidden="1" spans="1:6" x14ac:dyDescent="0.25" outlineLevel="1" collapsed="1">
      <c r="A1203" s="26" t="s">
        <v>460</v>
      </c>
      <c r="B1203" s="26" t="s">
        <v>461</v>
      </c>
      <c r="C1203" s="26" t="s">
        <v>462</v>
      </c>
      <c r="D1203" s="26" t="s">
        <v>32</v>
      </c>
      <c r="E1203" s="26" t="s">
        <v>463</v>
      </c>
      <c r="F1203" s="26" t="s">
        <v>464</v>
      </c>
    </row>
    <row r="1204" ht="36" customHeight="1" hidden="1" spans="1:6" x14ac:dyDescent="0.25" outlineLevel="1" collapsed="1">
      <c r="A1204" s="27">
        <v>4220</v>
      </c>
      <c r="B1204" s="28" t="s">
        <v>543</v>
      </c>
      <c r="C1204" s="27" t="s">
        <v>466</v>
      </c>
      <c r="D1204" s="29" t="s">
        <v>32</v>
      </c>
      <c r="E1204" s="28" t="s">
        <v>518</v>
      </c>
      <c r="F1204" s="28" t="s">
        <v>32</v>
      </c>
    </row>
    <row r="1205" ht="21" customHeight="1" hidden="1" spans="1:6" x14ac:dyDescent="0.25" outlineLevel="1" collapsed="1">
      <c r="A1205" s="27">
        <v>4240</v>
      </c>
      <c r="B1205" s="28" t="s">
        <v>471</v>
      </c>
      <c r="C1205" s="27" t="s">
        <v>472</v>
      </c>
      <c r="D1205" s="29" t="s">
        <v>32</v>
      </c>
      <c r="E1205" s="28" t="s">
        <v>506</v>
      </c>
      <c r="F1205" s="28" t="s">
        <v>32</v>
      </c>
    </row>
    <row r="1206" ht="36" customHeight="1" hidden="1" spans="1:6" x14ac:dyDescent="0.25" outlineLevel="1" collapsed="1">
      <c r="A1206" s="27">
        <v>4230</v>
      </c>
      <c r="B1206" s="28" t="s">
        <v>544</v>
      </c>
      <c r="C1206" s="27" t="s">
        <v>472</v>
      </c>
      <c r="D1206" s="29" t="s">
        <v>32</v>
      </c>
      <c r="E1206" s="28" t="s">
        <v>518</v>
      </c>
      <c r="F1206" s="28" t="s">
        <v>32</v>
      </c>
    </row>
    <row r="1207" ht="22" customHeight="1" hidden="1" spans="1:6" x14ac:dyDescent="0.25" outlineLevel="1" collapsed="1">
      <c r="A1207" s="34" t="s">
        <v>495</v>
      </c>
      <c r="B1207" s="34"/>
      <c r="C1207" s="34"/>
      <c r="D1207" s="34"/>
      <c r="E1207" s="34"/>
      <c r="F1207" s="34"/>
    </row>
    <row r="1208" ht="24" customHeight="1" hidden="1" spans="1:6" x14ac:dyDescent="0.25" outlineLevel="1" collapsed="1">
      <c r="A1208" s="12" t="s">
        <v>655</v>
      </c>
      <c r="B1208" s="12"/>
      <c r="C1208" s="12"/>
      <c r="D1208" s="12"/>
      <c r="E1208" s="12"/>
      <c r="F1208" s="12"/>
    </row>
    <row r="1209" ht="24" customHeight="1" hidden="1" spans="1:6" x14ac:dyDescent="0.25" outlineLevel="1" collapsed="1">
      <c r="A1209" s="12" t="s">
        <v>656</v>
      </c>
      <c r="B1209" s="12"/>
      <c r="C1209" s="12"/>
      <c r="D1209" s="12"/>
      <c r="E1209" s="12"/>
      <c r="F1209" s="12"/>
    </row>
    <row r="1210" ht="24" customHeight="1" hidden="1" spans="1:6" x14ac:dyDescent="0.25" outlineLevel="1" collapsed="1">
      <c r="A1210" s="12" t="s">
        <v>642</v>
      </c>
      <c r="B1210" s="12"/>
      <c r="C1210" s="12"/>
      <c r="D1210" s="12"/>
      <c r="E1210" s="12"/>
      <c r="F1210" s="12"/>
    </row>
    <row r="1211" ht="24" customHeight="1" hidden="1" spans="1:6" x14ac:dyDescent="0.25" outlineLevel="1" collapsed="1">
      <c r="A1211" s="12" t="s">
        <v>499</v>
      </c>
      <c r="B1211" s="12"/>
      <c r="C1211" s="12"/>
      <c r="D1211" s="12"/>
      <c r="E1211" s="12"/>
      <c r="F1211" s="12"/>
    </row>
    <row r="1212" ht="6" customHeight="1" hidden="1" x14ac:dyDescent="0.25" outlineLevel="1" collapsed="1"/>
    <row r="1213" ht="22" customHeight="1" spans="1:6" x14ac:dyDescent="0.25">
      <c r="A1213" s="25" t="s">
        <v>624</v>
      </c>
      <c r="B1213" s="25"/>
      <c r="C1213" s="25"/>
      <c r="D1213" s="25"/>
      <c r="E1213" s="25"/>
      <c r="F1213" s="25"/>
    </row>
    <row r="1214" ht="20" customHeight="1" hidden="1" spans="1:6" x14ac:dyDescent="0.25" outlineLevel="1" collapsed="1">
      <c r="A1214" s="26" t="s">
        <v>460</v>
      </c>
      <c r="B1214" s="26" t="s">
        <v>461</v>
      </c>
      <c r="C1214" s="26" t="s">
        <v>462</v>
      </c>
      <c r="D1214" s="26" t="s">
        <v>32</v>
      </c>
      <c r="E1214" s="26" t="s">
        <v>463</v>
      </c>
      <c r="F1214" s="26" t="s">
        <v>464</v>
      </c>
    </row>
    <row r="1215" ht="36" customHeight="1" hidden="1" spans="1:6" x14ac:dyDescent="0.25" outlineLevel="1" collapsed="1">
      <c r="A1215" s="27">
        <v>4220</v>
      </c>
      <c r="B1215" s="28" t="s">
        <v>543</v>
      </c>
      <c r="C1215" s="27" t="s">
        <v>466</v>
      </c>
      <c r="D1215" s="29" t="s">
        <v>32</v>
      </c>
      <c r="E1215" s="36" t="s">
        <v>668</v>
      </c>
      <c r="F1215" s="28" t="s">
        <v>32</v>
      </c>
    </row>
    <row r="1216" ht="36" customHeight="1" hidden="1" spans="1:6" x14ac:dyDescent="0.25" outlineLevel="1" collapsed="1">
      <c r="A1216" s="27">
        <v>4240</v>
      </c>
      <c r="B1216" s="28" t="s">
        <v>471</v>
      </c>
      <c r="C1216" s="27" t="s">
        <v>472</v>
      </c>
      <c r="D1216" s="29" t="s">
        <v>32</v>
      </c>
      <c r="E1216" s="36" t="s">
        <v>668</v>
      </c>
      <c r="F1216" s="28" t="s">
        <v>32</v>
      </c>
    </row>
    <row r="1217" ht="36" customHeight="1" hidden="1" spans="1:6" x14ac:dyDescent="0.25" outlineLevel="1" collapsed="1">
      <c r="A1217" s="27">
        <v>4230</v>
      </c>
      <c r="B1217" s="28" t="s">
        <v>544</v>
      </c>
      <c r="C1217" s="27" t="s">
        <v>472</v>
      </c>
      <c r="D1217" s="29" t="s">
        <v>32</v>
      </c>
      <c r="E1217" s="36" t="s">
        <v>668</v>
      </c>
      <c r="F1217" s="28" t="s">
        <v>32</v>
      </c>
    </row>
    <row r="1218" ht="22" customHeight="1" hidden="1" spans="1:6" x14ac:dyDescent="0.25" outlineLevel="1" collapsed="1">
      <c r="A1218" s="34" t="s">
        <v>495</v>
      </c>
      <c r="B1218" s="34"/>
      <c r="C1218" s="34"/>
      <c r="D1218" s="34"/>
      <c r="E1218" s="34"/>
      <c r="F1218" s="34"/>
    </row>
    <row r="1219" ht="24" customHeight="1" hidden="1" spans="1:6" x14ac:dyDescent="0.25" outlineLevel="1" collapsed="1">
      <c r="A1219" s="12" t="s">
        <v>669</v>
      </c>
      <c r="B1219" s="12"/>
      <c r="C1219" s="12"/>
      <c r="D1219" s="12"/>
      <c r="E1219" s="12"/>
      <c r="F1219" s="12"/>
    </row>
    <row r="1220" ht="24" customHeight="1" hidden="1" spans="1:6" x14ac:dyDescent="0.25" outlineLevel="1" collapsed="1">
      <c r="A1220" s="12" t="s">
        <v>670</v>
      </c>
      <c r="B1220" s="12"/>
      <c r="C1220" s="12"/>
      <c r="D1220" s="12"/>
      <c r="E1220" s="12"/>
      <c r="F1220" s="12"/>
    </row>
    <row r="1221" ht="24" customHeight="1" hidden="1" spans="1:6" x14ac:dyDescent="0.25" outlineLevel="1" collapsed="1">
      <c r="A1221" s="12" t="s">
        <v>671</v>
      </c>
      <c r="B1221" s="12"/>
      <c r="C1221" s="12"/>
      <c r="D1221" s="12"/>
      <c r="E1221" s="12"/>
      <c r="F1221" s="12"/>
    </row>
    <row r="1222" ht="24" customHeight="1" hidden="1" spans="1:6" x14ac:dyDescent="0.25" outlineLevel="1" collapsed="1">
      <c r="A1222" s="12" t="s">
        <v>499</v>
      </c>
      <c r="B1222" s="12"/>
      <c r="C1222" s="12"/>
      <c r="D1222" s="12"/>
      <c r="E1222" s="12"/>
      <c r="F1222" s="12"/>
    </row>
    <row r="1223" ht="6" customHeight="1" hidden="1" x14ac:dyDescent="0.25" outlineLevel="1" collapsed="1"/>
    <row r="1224" ht="22" customHeight="1" spans="1:6" x14ac:dyDescent="0.25">
      <c r="A1224" s="25" t="s">
        <v>629</v>
      </c>
      <c r="B1224" s="25"/>
      <c r="C1224" s="25"/>
      <c r="D1224" s="25"/>
      <c r="E1224" s="25"/>
      <c r="F1224" s="25"/>
    </row>
    <row r="1225" ht="20" customHeight="1" hidden="1" spans="1:6" x14ac:dyDescent="0.25" outlineLevel="1" collapsed="1">
      <c r="A1225" s="26" t="s">
        <v>460</v>
      </c>
      <c r="B1225" s="26" t="s">
        <v>461</v>
      </c>
      <c r="C1225" s="26" t="s">
        <v>462</v>
      </c>
      <c r="D1225" s="26" t="s">
        <v>32</v>
      </c>
      <c r="E1225" s="26" t="s">
        <v>463</v>
      </c>
      <c r="F1225" s="26" t="s">
        <v>464</v>
      </c>
    </row>
    <row r="1226" ht="36" customHeight="1" hidden="1" spans="1:6" x14ac:dyDescent="0.25" outlineLevel="1" collapsed="1">
      <c r="A1226" s="27">
        <v>4220</v>
      </c>
      <c r="B1226" s="28" t="s">
        <v>543</v>
      </c>
      <c r="C1226" s="27" t="s">
        <v>466</v>
      </c>
      <c r="D1226" s="29" t="s">
        <v>32</v>
      </c>
      <c r="E1226" s="36" t="s">
        <v>668</v>
      </c>
      <c r="F1226" s="28" t="s">
        <v>32</v>
      </c>
    </row>
    <row r="1227" ht="36" customHeight="1" hidden="1" spans="1:6" x14ac:dyDescent="0.25" outlineLevel="1" collapsed="1">
      <c r="A1227" s="27">
        <v>4240</v>
      </c>
      <c r="B1227" s="28" t="s">
        <v>471</v>
      </c>
      <c r="C1227" s="27" t="s">
        <v>472</v>
      </c>
      <c r="D1227" s="29" t="s">
        <v>32</v>
      </c>
      <c r="E1227" s="36" t="s">
        <v>668</v>
      </c>
      <c r="F1227" s="28" t="s">
        <v>32</v>
      </c>
    </row>
    <row r="1228" ht="36" customHeight="1" hidden="1" spans="1:6" x14ac:dyDescent="0.25" outlineLevel="1" collapsed="1">
      <c r="A1228" s="27">
        <v>4230</v>
      </c>
      <c r="B1228" s="28" t="s">
        <v>544</v>
      </c>
      <c r="C1228" s="27" t="s">
        <v>472</v>
      </c>
      <c r="D1228" s="29" t="s">
        <v>32</v>
      </c>
      <c r="E1228" s="36" t="s">
        <v>668</v>
      </c>
      <c r="F1228" s="28" t="s">
        <v>32</v>
      </c>
    </row>
    <row r="1229" ht="22" customHeight="1" hidden="1" spans="1:6" x14ac:dyDescent="0.25" outlineLevel="1" collapsed="1">
      <c r="A1229" s="34" t="s">
        <v>495</v>
      </c>
      <c r="B1229" s="34"/>
      <c r="C1229" s="34"/>
      <c r="D1229" s="34"/>
      <c r="E1229" s="34"/>
      <c r="F1229" s="34"/>
    </row>
    <row r="1230" ht="24" customHeight="1" hidden="1" spans="1:6" x14ac:dyDescent="0.25" outlineLevel="1" collapsed="1">
      <c r="A1230" s="12" t="s">
        <v>669</v>
      </c>
      <c r="B1230" s="12"/>
      <c r="C1230" s="12"/>
      <c r="D1230" s="12"/>
      <c r="E1230" s="12"/>
      <c r="F1230" s="12"/>
    </row>
    <row r="1231" ht="24" customHeight="1" hidden="1" spans="1:6" x14ac:dyDescent="0.25" outlineLevel="1" collapsed="1">
      <c r="A1231" s="12" t="s">
        <v>670</v>
      </c>
      <c r="B1231" s="12"/>
      <c r="C1231" s="12"/>
      <c r="D1231" s="12"/>
      <c r="E1231" s="12"/>
      <c r="F1231" s="12"/>
    </row>
    <row r="1232" ht="24" customHeight="1" hidden="1" spans="1:6" x14ac:dyDescent="0.25" outlineLevel="1" collapsed="1">
      <c r="A1232" s="12" t="s">
        <v>671</v>
      </c>
      <c r="B1232" s="12"/>
      <c r="C1232" s="12"/>
      <c r="D1232" s="12"/>
      <c r="E1232" s="12"/>
      <c r="F1232" s="12"/>
    </row>
    <row r="1233" ht="24" customHeight="1" hidden="1" spans="1:6" x14ac:dyDescent="0.25" outlineLevel="1" collapsed="1">
      <c r="A1233" s="12" t="s">
        <v>499</v>
      </c>
      <c r="B1233" s="12"/>
      <c r="C1233" s="12"/>
      <c r="D1233" s="12"/>
      <c r="E1233" s="12"/>
      <c r="F1233" s="12"/>
    </row>
    <row r="1234" ht="6" customHeight="1" hidden="1" x14ac:dyDescent="0.25" outlineLevel="1" collapsed="1"/>
    <row r="1235" ht="22" customHeight="1" spans="1:6" x14ac:dyDescent="0.25">
      <c r="A1235" s="25" t="s">
        <v>630</v>
      </c>
      <c r="B1235" s="25"/>
      <c r="C1235" s="25"/>
      <c r="D1235" s="25"/>
      <c r="E1235" s="25"/>
      <c r="F1235" s="25"/>
    </row>
    <row r="1236" ht="20" customHeight="1" hidden="1" spans="1:6" x14ac:dyDescent="0.25" outlineLevel="1" collapsed="1">
      <c r="A1236" s="26" t="s">
        <v>460</v>
      </c>
      <c r="B1236" s="26" t="s">
        <v>461</v>
      </c>
      <c r="C1236" s="26" t="s">
        <v>462</v>
      </c>
      <c r="D1236" s="26" t="s">
        <v>32</v>
      </c>
      <c r="E1236" s="26" t="s">
        <v>463</v>
      </c>
      <c r="F1236" s="26" t="s">
        <v>464</v>
      </c>
    </row>
    <row r="1237" ht="36" customHeight="1" hidden="1" spans="1:6" x14ac:dyDescent="0.25" outlineLevel="1" collapsed="1">
      <c r="A1237" s="27">
        <v>4220</v>
      </c>
      <c r="B1237" s="28" t="s">
        <v>543</v>
      </c>
      <c r="C1237" s="27" t="s">
        <v>466</v>
      </c>
      <c r="D1237" s="29" t="s">
        <v>32</v>
      </c>
      <c r="E1237" s="36" t="s">
        <v>668</v>
      </c>
      <c r="F1237" s="28" t="s">
        <v>32</v>
      </c>
    </row>
    <row r="1238" ht="36" customHeight="1" hidden="1" spans="1:6" x14ac:dyDescent="0.25" outlineLevel="1" collapsed="1">
      <c r="A1238" s="27">
        <v>4240</v>
      </c>
      <c r="B1238" s="28" t="s">
        <v>471</v>
      </c>
      <c r="C1238" s="27" t="s">
        <v>472</v>
      </c>
      <c r="D1238" s="29" t="s">
        <v>32</v>
      </c>
      <c r="E1238" s="36" t="s">
        <v>668</v>
      </c>
      <c r="F1238" s="28" t="s">
        <v>32</v>
      </c>
    </row>
    <row r="1239" ht="36" customHeight="1" hidden="1" spans="1:6" x14ac:dyDescent="0.25" outlineLevel="1" collapsed="1">
      <c r="A1239" s="27">
        <v>4230</v>
      </c>
      <c r="B1239" s="28" t="s">
        <v>544</v>
      </c>
      <c r="C1239" s="27" t="s">
        <v>472</v>
      </c>
      <c r="D1239" s="29" t="s">
        <v>32</v>
      </c>
      <c r="E1239" s="36" t="s">
        <v>668</v>
      </c>
      <c r="F1239" s="28" t="s">
        <v>32</v>
      </c>
    </row>
    <row r="1240" ht="22" customHeight="1" hidden="1" spans="1:6" x14ac:dyDescent="0.25" outlineLevel="1" collapsed="1">
      <c r="A1240" s="34" t="s">
        <v>495</v>
      </c>
      <c r="B1240" s="34"/>
      <c r="C1240" s="34"/>
      <c r="D1240" s="34"/>
      <c r="E1240" s="34"/>
      <c r="F1240" s="34"/>
    </row>
    <row r="1241" ht="24" customHeight="1" hidden="1" spans="1:6" x14ac:dyDescent="0.25" outlineLevel="1" collapsed="1">
      <c r="A1241" s="12" t="s">
        <v>669</v>
      </c>
      <c r="B1241" s="12"/>
      <c r="C1241" s="12"/>
      <c r="D1241" s="12"/>
      <c r="E1241" s="12"/>
      <c r="F1241" s="12"/>
    </row>
    <row r="1242" ht="24" customHeight="1" hidden="1" spans="1:6" x14ac:dyDescent="0.25" outlineLevel="1" collapsed="1">
      <c r="A1242" s="12" t="s">
        <v>670</v>
      </c>
      <c r="B1242" s="12"/>
      <c r="C1242" s="12"/>
      <c r="D1242" s="12"/>
      <c r="E1242" s="12"/>
      <c r="F1242" s="12"/>
    </row>
    <row r="1243" ht="24" customHeight="1" hidden="1" spans="1:6" x14ac:dyDescent="0.25" outlineLevel="1" collapsed="1">
      <c r="A1243" s="12" t="s">
        <v>671</v>
      </c>
      <c r="B1243" s="12"/>
      <c r="C1243" s="12"/>
      <c r="D1243" s="12"/>
      <c r="E1243" s="12"/>
      <c r="F1243" s="12"/>
    </row>
    <row r="1244" ht="24" customHeight="1" hidden="1" spans="1:6" x14ac:dyDescent="0.25" outlineLevel="1" collapsed="1">
      <c r="A1244" s="12" t="s">
        <v>499</v>
      </c>
      <c r="B1244" s="12"/>
      <c r="C1244" s="12"/>
      <c r="D1244" s="12"/>
      <c r="E1244" s="12"/>
      <c r="F1244" s="12"/>
    </row>
    <row r="1245" ht="6" customHeight="1" hidden="1" x14ac:dyDescent="0.25" outlineLevel="1" collapsed="1"/>
    <row r="1246" ht="12" customHeight="1" x14ac:dyDescent="0.25"/>
    <row r="1247" ht="24" customHeight="1" spans="1:6" x14ac:dyDescent="0.25">
      <c r="A1247" s="24" t="s">
        <v>672</v>
      </c>
      <c r="B1247" s="24"/>
      <c r="C1247" s="24"/>
      <c r="D1247" s="24"/>
      <c r="E1247" s="24"/>
      <c r="F1247" s="24"/>
    </row>
    <row r="1248" ht="22" customHeight="1" spans="1:6" x14ac:dyDescent="0.25">
      <c r="A1248" s="25" t="s">
        <v>459</v>
      </c>
      <c r="B1248" s="25"/>
      <c r="C1248" s="25"/>
      <c r="D1248" s="25"/>
      <c r="E1248" s="25"/>
      <c r="F1248" s="25"/>
    </row>
    <row r="1249" ht="20" customHeight="1" hidden="1" spans="1:6" x14ac:dyDescent="0.25" outlineLevel="1" collapsed="1">
      <c r="A1249" s="26" t="s">
        <v>460</v>
      </c>
      <c r="B1249" s="26" t="s">
        <v>461</v>
      </c>
      <c r="C1249" s="26" t="s">
        <v>462</v>
      </c>
      <c r="D1249" s="26" t="s">
        <v>32</v>
      </c>
      <c r="E1249" s="26" t="s">
        <v>463</v>
      </c>
      <c r="F1249" s="26" t="s">
        <v>464</v>
      </c>
    </row>
    <row r="1250" ht="20" customHeight="1" hidden="1" spans="1:6" x14ac:dyDescent="0.25" outlineLevel="1" collapsed="1">
      <c r="A1250" s="27">
        <v>4220</v>
      </c>
      <c r="B1250" s="28" t="s">
        <v>465</v>
      </c>
      <c r="C1250" s="27" t="s">
        <v>466</v>
      </c>
      <c r="D1250" s="37" t="s">
        <v>32</v>
      </c>
      <c r="E1250" s="38" t="s">
        <v>673</v>
      </c>
      <c r="F1250" s="28" t="s">
        <v>32</v>
      </c>
    </row>
    <row r="1251" ht="20" customHeight="1" hidden="1" spans="1:6" x14ac:dyDescent="0.25" outlineLevel="1" collapsed="1">
      <c r="A1251" s="27">
        <v>4240</v>
      </c>
      <c r="B1251" s="28" t="s">
        <v>471</v>
      </c>
      <c r="C1251" s="27" t="s">
        <v>472</v>
      </c>
      <c r="D1251" s="37" t="s">
        <v>32</v>
      </c>
      <c r="E1251" s="38" t="s">
        <v>673</v>
      </c>
      <c r="F1251" s="28" t="s">
        <v>32</v>
      </c>
    </row>
    <row r="1252" ht="20" customHeight="1" hidden="1" spans="1:6" x14ac:dyDescent="0.25" outlineLevel="1" collapsed="1">
      <c r="A1252" s="27">
        <v>4230</v>
      </c>
      <c r="B1252" s="28" t="s">
        <v>480</v>
      </c>
      <c r="C1252" s="27" t="s">
        <v>472</v>
      </c>
      <c r="D1252" s="37" t="s">
        <v>32</v>
      </c>
      <c r="E1252" s="38" t="s">
        <v>673</v>
      </c>
      <c r="F1252" s="28" t="s">
        <v>32</v>
      </c>
    </row>
    <row r="1253" ht="22" customHeight="1" hidden="1" spans="1:6" x14ac:dyDescent="0.25" outlineLevel="1" collapsed="1">
      <c r="A1253" s="34" t="s">
        <v>495</v>
      </c>
      <c r="B1253" s="34"/>
      <c r="C1253" s="34"/>
      <c r="D1253" s="34"/>
      <c r="E1253" s="34"/>
      <c r="F1253" s="34"/>
    </row>
    <row r="1254" ht="6" customHeight="1" hidden="1" x14ac:dyDescent="0.25" outlineLevel="1" collapsed="1"/>
    <row r="1255" ht="22" customHeight="1" spans="1:6" x14ac:dyDescent="0.25">
      <c r="A1255" s="25" t="s">
        <v>500</v>
      </c>
      <c r="B1255" s="25"/>
      <c r="C1255" s="25"/>
      <c r="D1255" s="25"/>
      <c r="E1255" s="25"/>
      <c r="F1255" s="25"/>
    </row>
    <row r="1256" ht="20" customHeight="1" hidden="1" spans="1:6" x14ac:dyDescent="0.25" outlineLevel="1" collapsed="1">
      <c r="A1256" s="26" t="s">
        <v>460</v>
      </c>
      <c r="B1256" s="26" t="s">
        <v>461</v>
      </c>
      <c r="C1256" s="26" t="s">
        <v>462</v>
      </c>
      <c r="D1256" s="26" t="s">
        <v>32</v>
      </c>
      <c r="E1256" s="26" t="s">
        <v>463</v>
      </c>
      <c r="F1256" s="26" t="s">
        <v>464</v>
      </c>
    </row>
    <row r="1257" ht="20" customHeight="1" hidden="1" spans="1:6" x14ac:dyDescent="0.25" outlineLevel="1" collapsed="1">
      <c r="A1257" s="27">
        <v>4220</v>
      </c>
      <c r="B1257" s="28" t="s">
        <v>501</v>
      </c>
      <c r="C1257" s="27" t="s">
        <v>466</v>
      </c>
      <c r="D1257" s="37" t="s">
        <v>32</v>
      </c>
      <c r="E1257" s="38" t="s">
        <v>673</v>
      </c>
      <c r="F1257" s="28" t="s">
        <v>32</v>
      </c>
    </row>
    <row r="1258" ht="20" customHeight="1" hidden="1" spans="1:6" x14ac:dyDescent="0.25" outlineLevel="1" collapsed="1">
      <c r="A1258" s="27">
        <v>4240</v>
      </c>
      <c r="B1258" s="28" t="s">
        <v>504</v>
      </c>
      <c r="C1258" s="27" t="s">
        <v>472</v>
      </c>
      <c r="D1258" s="37" t="s">
        <v>32</v>
      </c>
      <c r="E1258" s="38" t="s">
        <v>673</v>
      </c>
      <c r="F1258" s="28" t="s">
        <v>32</v>
      </c>
    </row>
    <row r="1259" ht="20" customHeight="1" hidden="1" spans="1:6" x14ac:dyDescent="0.25" outlineLevel="1" collapsed="1">
      <c r="A1259" s="27">
        <v>4245</v>
      </c>
      <c r="B1259" s="28" t="s">
        <v>505</v>
      </c>
      <c r="C1259" s="27" t="s">
        <v>466</v>
      </c>
      <c r="D1259" s="37" t="s">
        <v>32</v>
      </c>
      <c r="E1259" s="38" t="s">
        <v>673</v>
      </c>
      <c r="F1259" s="28" t="s">
        <v>32</v>
      </c>
    </row>
    <row r="1260" ht="22" customHeight="1" hidden="1" spans="1:6" x14ac:dyDescent="0.25" outlineLevel="1" collapsed="1">
      <c r="A1260" s="34" t="s">
        <v>495</v>
      </c>
      <c r="B1260" s="34"/>
      <c r="C1260" s="34"/>
      <c r="D1260" s="34"/>
      <c r="E1260" s="34"/>
      <c r="F1260" s="34"/>
    </row>
    <row r="1261" ht="6" customHeight="1" hidden="1" x14ac:dyDescent="0.25" outlineLevel="1" collapsed="1"/>
    <row r="1262" ht="22" customHeight="1" spans="1:6" x14ac:dyDescent="0.25">
      <c r="A1262" s="25" t="s">
        <v>513</v>
      </c>
      <c r="B1262" s="25"/>
      <c r="C1262" s="25"/>
      <c r="D1262" s="25"/>
      <c r="E1262" s="25"/>
      <c r="F1262" s="25"/>
    </row>
    <row r="1263" ht="20" customHeight="1" hidden="1" spans="1:6" x14ac:dyDescent="0.25" outlineLevel="1" collapsed="1">
      <c r="A1263" s="26" t="s">
        <v>460</v>
      </c>
      <c r="B1263" s="26" t="s">
        <v>461</v>
      </c>
      <c r="C1263" s="26" t="s">
        <v>462</v>
      </c>
      <c r="D1263" s="26" t="s">
        <v>32</v>
      </c>
      <c r="E1263" s="26" t="s">
        <v>463</v>
      </c>
      <c r="F1263" s="26" t="s">
        <v>464</v>
      </c>
    </row>
    <row r="1264" ht="20" customHeight="1" hidden="1" spans="1:6" x14ac:dyDescent="0.25" outlineLevel="1" collapsed="1">
      <c r="A1264" s="27">
        <v>4220</v>
      </c>
      <c r="B1264" s="28" t="s">
        <v>514</v>
      </c>
      <c r="C1264" s="27" t="s">
        <v>466</v>
      </c>
      <c r="D1264" s="37" t="s">
        <v>32</v>
      </c>
      <c r="E1264" s="38" t="s">
        <v>673</v>
      </c>
      <c r="F1264" s="28" t="s">
        <v>32</v>
      </c>
    </row>
    <row r="1265" ht="20" customHeight="1" hidden="1" spans="1:6" x14ac:dyDescent="0.25" outlineLevel="1" collapsed="1">
      <c r="A1265" s="27">
        <v>4240</v>
      </c>
      <c r="B1265" s="28" t="s">
        <v>515</v>
      </c>
      <c r="C1265" s="27" t="s">
        <v>472</v>
      </c>
      <c r="D1265" s="37" t="s">
        <v>32</v>
      </c>
      <c r="E1265" s="38" t="s">
        <v>673</v>
      </c>
      <c r="F1265" s="28" t="s">
        <v>32</v>
      </c>
    </row>
    <row r="1266" ht="20" customHeight="1" hidden="1" spans="1:6" x14ac:dyDescent="0.25" outlineLevel="1" collapsed="1">
      <c r="A1266" s="27">
        <v>4245</v>
      </c>
      <c r="B1266" s="28" t="s">
        <v>516</v>
      </c>
      <c r="C1266" s="27" t="s">
        <v>466</v>
      </c>
      <c r="D1266" s="37" t="s">
        <v>32</v>
      </c>
      <c r="E1266" s="38" t="s">
        <v>673</v>
      </c>
      <c r="F1266" s="28" t="s">
        <v>32</v>
      </c>
    </row>
    <row r="1267" ht="20" customHeight="1" hidden="1" spans="1:6" x14ac:dyDescent="0.25" outlineLevel="1" collapsed="1">
      <c r="A1267" s="27">
        <v>4230</v>
      </c>
      <c r="B1267" s="28" t="s">
        <v>517</v>
      </c>
      <c r="C1267" s="27" t="s">
        <v>472</v>
      </c>
      <c r="D1267" s="37" t="s">
        <v>32</v>
      </c>
      <c r="E1267" s="38" t="s">
        <v>673</v>
      </c>
      <c r="F1267" s="28" t="s">
        <v>32</v>
      </c>
    </row>
    <row r="1268" ht="22" customHeight="1" hidden="1" spans="1:6" x14ac:dyDescent="0.25" outlineLevel="1" collapsed="1">
      <c r="A1268" s="34" t="s">
        <v>495</v>
      </c>
      <c r="B1268" s="34"/>
      <c r="C1268" s="34"/>
      <c r="D1268" s="34"/>
      <c r="E1268" s="34"/>
      <c r="F1268" s="34"/>
    </row>
    <row r="1269" ht="6" customHeight="1" hidden="1" x14ac:dyDescent="0.25" outlineLevel="1" collapsed="1"/>
    <row r="1270" ht="22" customHeight="1" spans="1:6" x14ac:dyDescent="0.25">
      <c r="A1270" s="25" t="s">
        <v>520</v>
      </c>
      <c r="B1270" s="25"/>
      <c r="C1270" s="25"/>
      <c r="D1270" s="25"/>
      <c r="E1270" s="25"/>
      <c r="F1270" s="25"/>
    </row>
    <row r="1271" ht="20" customHeight="1" hidden="1" spans="1:6" x14ac:dyDescent="0.25" outlineLevel="1" collapsed="1">
      <c r="A1271" s="26" t="s">
        <v>460</v>
      </c>
      <c r="B1271" s="26" t="s">
        <v>461</v>
      </c>
      <c r="C1271" s="26" t="s">
        <v>462</v>
      </c>
      <c r="D1271" s="26" t="s">
        <v>32</v>
      </c>
      <c r="E1271" s="26" t="s">
        <v>463</v>
      </c>
      <c r="F1271" s="26" t="s">
        <v>464</v>
      </c>
    </row>
    <row r="1272" ht="20" customHeight="1" hidden="1" spans="1:6" x14ac:dyDescent="0.25" outlineLevel="1" collapsed="1">
      <c r="A1272" s="27">
        <v>4220</v>
      </c>
      <c r="B1272" s="28" t="s">
        <v>521</v>
      </c>
      <c r="C1272" s="27" t="s">
        <v>466</v>
      </c>
      <c r="D1272" s="37" t="s">
        <v>32</v>
      </c>
      <c r="E1272" s="38" t="s">
        <v>673</v>
      </c>
      <c r="F1272" s="28" t="s">
        <v>32</v>
      </c>
    </row>
    <row r="1273" ht="20" customHeight="1" hidden="1" spans="1:6" x14ac:dyDescent="0.25" outlineLevel="1" collapsed="1">
      <c r="A1273" s="27">
        <v>4240</v>
      </c>
      <c r="B1273" s="28" t="s">
        <v>523</v>
      </c>
      <c r="C1273" s="27" t="s">
        <v>472</v>
      </c>
      <c r="D1273" s="37" t="s">
        <v>32</v>
      </c>
      <c r="E1273" s="38" t="s">
        <v>673</v>
      </c>
      <c r="F1273" s="28" t="s">
        <v>32</v>
      </c>
    </row>
    <row r="1274" ht="20" customHeight="1" hidden="1" spans="1:6" x14ac:dyDescent="0.25" outlineLevel="1" collapsed="1">
      <c r="A1274" s="27">
        <v>4230</v>
      </c>
      <c r="B1274" s="28" t="s">
        <v>525</v>
      </c>
      <c r="C1274" s="27" t="s">
        <v>472</v>
      </c>
      <c r="D1274" s="37" t="s">
        <v>32</v>
      </c>
      <c r="E1274" s="38" t="s">
        <v>673</v>
      </c>
      <c r="F1274" s="28" t="s">
        <v>32</v>
      </c>
    </row>
    <row r="1275" ht="22" customHeight="1" hidden="1" spans="1:6" x14ac:dyDescent="0.25" outlineLevel="1" collapsed="1">
      <c r="A1275" s="34" t="s">
        <v>495</v>
      </c>
      <c r="B1275" s="34"/>
      <c r="C1275" s="34"/>
      <c r="D1275" s="34"/>
      <c r="E1275" s="34"/>
      <c r="F1275" s="34"/>
    </row>
    <row r="1276" ht="6" customHeight="1" hidden="1" x14ac:dyDescent="0.25" outlineLevel="1" collapsed="1"/>
    <row r="1277" ht="22" customHeight="1" spans="1:6" x14ac:dyDescent="0.25">
      <c r="A1277" s="25" t="s">
        <v>542</v>
      </c>
      <c r="B1277" s="25"/>
      <c r="C1277" s="25"/>
      <c r="D1277" s="25"/>
      <c r="E1277" s="25"/>
      <c r="F1277" s="25"/>
    </row>
    <row r="1278" ht="20" customHeight="1" hidden="1" spans="1:6" x14ac:dyDescent="0.25" outlineLevel="1" collapsed="1">
      <c r="A1278" s="26" t="s">
        <v>460</v>
      </c>
      <c r="B1278" s="26" t="s">
        <v>461</v>
      </c>
      <c r="C1278" s="26" t="s">
        <v>462</v>
      </c>
      <c r="D1278" s="26" t="s">
        <v>32</v>
      </c>
      <c r="E1278" s="26" t="s">
        <v>463</v>
      </c>
      <c r="F1278" s="26" t="s">
        <v>464</v>
      </c>
    </row>
    <row r="1279" ht="20" customHeight="1" hidden="1" spans="1:6" x14ac:dyDescent="0.25" outlineLevel="1" collapsed="1">
      <c r="A1279" s="27">
        <v>4220</v>
      </c>
      <c r="B1279" s="28" t="s">
        <v>543</v>
      </c>
      <c r="C1279" s="27" t="s">
        <v>466</v>
      </c>
      <c r="D1279" s="37" t="s">
        <v>32</v>
      </c>
      <c r="E1279" s="38" t="s">
        <v>673</v>
      </c>
      <c r="F1279" s="28" t="s">
        <v>32</v>
      </c>
    </row>
    <row r="1280" ht="20" customHeight="1" hidden="1" spans="1:6" x14ac:dyDescent="0.25" outlineLevel="1" collapsed="1">
      <c r="A1280" s="27">
        <v>4240</v>
      </c>
      <c r="B1280" s="28" t="s">
        <v>471</v>
      </c>
      <c r="C1280" s="27" t="s">
        <v>472</v>
      </c>
      <c r="D1280" s="37" t="s">
        <v>32</v>
      </c>
      <c r="E1280" s="38" t="s">
        <v>673</v>
      </c>
      <c r="F1280" s="28" t="s">
        <v>32</v>
      </c>
    </row>
    <row r="1281" ht="20" customHeight="1" hidden="1" spans="1:6" x14ac:dyDescent="0.25" outlineLevel="1" collapsed="1">
      <c r="A1281" s="27">
        <v>4230</v>
      </c>
      <c r="B1281" s="28" t="s">
        <v>544</v>
      </c>
      <c r="C1281" s="27" t="s">
        <v>472</v>
      </c>
      <c r="D1281" s="37" t="s">
        <v>32</v>
      </c>
      <c r="E1281" s="38" t="s">
        <v>673</v>
      </c>
      <c r="F1281" s="28" t="s">
        <v>32</v>
      </c>
    </row>
    <row r="1282" ht="22" customHeight="1" hidden="1" spans="1:6" x14ac:dyDescent="0.25" outlineLevel="1" collapsed="1">
      <c r="A1282" s="34" t="s">
        <v>495</v>
      </c>
      <c r="B1282" s="34"/>
      <c r="C1282" s="34"/>
      <c r="D1282" s="34"/>
      <c r="E1282" s="34"/>
      <c r="F1282" s="34"/>
    </row>
    <row r="1283" ht="6" customHeight="1" hidden="1" x14ac:dyDescent="0.25" outlineLevel="1" collapsed="1"/>
    <row r="1284" ht="22" customHeight="1" spans="1:6" x14ac:dyDescent="0.25">
      <c r="A1284" s="25" t="s">
        <v>559</v>
      </c>
      <c r="B1284" s="25"/>
      <c r="C1284" s="25"/>
      <c r="D1284" s="25"/>
      <c r="E1284" s="25"/>
      <c r="F1284" s="25"/>
    </row>
    <row r="1285" ht="20" customHeight="1" hidden="1" spans="1:6" x14ac:dyDescent="0.25" outlineLevel="1" collapsed="1">
      <c r="A1285" s="26" t="s">
        <v>460</v>
      </c>
      <c r="B1285" s="26" t="s">
        <v>461</v>
      </c>
      <c r="C1285" s="26" t="s">
        <v>462</v>
      </c>
      <c r="D1285" s="26" t="s">
        <v>32</v>
      </c>
      <c r="E1285" s="26" t="s">
        <v>463</v>
      </c>
      <c r="F1285" s="26" t="s">
        <v>464</v>
      </c>
    </row>
    <row r="1286" ht="20" customHeight="1" hidden="1" spans="1:6" x14ac:dyDescent="0.25" outlineLevel="1" collapsed="1">
      <c r="A1286" s="27">
        <v>4220</v>
      </c>
      <c r="B1286" s="28" t="s">
        <v>543</v>
      </c>
      <c r="C1286" s="27" t="s">
        <v>466</v>
      </c>
      <c r="D1286" s="37" t="s">
        <v>32</v>
      </c>
      <c r="E1286" s="38" t="s">
        <v>673</v>
      </c>
      <c r="F1286" s="28" t="s">
        <v>32</v>
      </c>
    </row>
    <row r="1287" ht="20" customHeight="1" hidden="1" spans="1:6" x14ac:dyDescent="0.25" outlineLevel="1" collapsed="1">
      <c r="A1287" s="27">
        <v>4240</v>
      </c>
      <c r="B1287" s="28" t="s">
        <v>471</v>
      </c>
      <c r="C1287" s="27" t="s">
        <v>472</v>
      </c>
      <c r="D1287" s="37" t="s">
        <v>32</v>
      </c>
      <c r="E1287" s="38" t="s">
        <v>673</v>
      </c>
      <c r="F1287" s="28" t="s">
        <v>32</v>
      </c>
    </row>
    <row r="1288" ht="20" customHeight="1" hidden="1" spans="1:6" x14ac:dyDescent="0.25" outlineLevel="1" collapsed="1">
      <c r="A1288" s="27">
        <v>4230</v>
      </c>
      <c r="B1288" s="28" t="s">
        <v>544</v>
      </c>
      <c r="C1288" s="27" t="s">
        <v>472</v>
      </c>
      <c r="D1288" s="37" t="s">
        <v>32</v>
      </c>
      <c r="E1288" s="38" t="s">
        <v>673</v>
      </c>
      <c r="F1288" s="28" t="s">
        <v>32</v>
      </c>
    </row>
    <row r="1289" ht="22" customHeight="1" hidden="1" spans="1:6" x14ac:dyDescent="0.25" outlineLevel="1" collapsed="1">
      <c r="A1289" s="34" t="s">
        <v>495</v>
      </c>
      <c r="B1289" s="34"/>
      <c r="C1289" s="34"/>
      <c r="D1289" s="34"/>
      <c r="E1289" s="34"/>
      <c r="F1289" s="34"/>
    </row>
    <row r="1290" ht="6" customHeight="1" hidden="1" x14ac:dyDescent="0.25" outlineLevel="1" collapsed="1"/>
    <row r="1291" ht="22" customHeight="1" spans="1:6" x14ac:dyDescent="0.25">
      <c r="A1291" s="25" t="s">
        <v>560</v>
      </c>
      <c r="B1291" s="25"/>
      <c r="C1291" s="25"/>
      <c r="D1291" s="25"/>
      <c r="E1291" s="25"/>
      <c r="F1291" s="25"/>
    </row>
    <row r="1292" ht="20" customHeight="1" hidden="1" spans="1:6" x14ac:dyDescent="0.25" outlineLevel="1" collapsed="1">
      <c r="A1292" s="26" t="s">
        <v>460</v>
      </c>
      <c r="B1292" s="26" t="s">
        <v>461</v>
      </c>
      <c r="C1292" s="26" t="s">
        <v>462</v>
      </c>
      <c r="D1292" s="26" t="s">
        <v>32</v>
      </c>
      <c r="E1292" s="26" t="s">
        <v>463</v>
      </c>
      <c r="F1292" s="26" t="s">
        <v>464</v>
      </c>
    </row>
    <row r="1293" ht="20" customHeight="1" hidden="1" spans="1:6" x14ac:dyDescent="0.25" outlineLevel="1" collapsed="1">
      <c r="A1293" s="27">
        <v>4220</v>
      </c>
      <c r="B1293" s="28" t="s">
        <v>543</v>
      </c>
      <c r="C1293" s="27" t="s">
        <v>466</v>
      </c>
      <c r="D1293" s="37" t="s">
        <v>32</v>
      </c>
      <c r="E1293" s="38" t="s">
        <v>673</v>
      </c>
      <c r="F1293" s="28" t="s">
        <v>32</v>
      </c>
    </row>
    <row r="1294" ht="20" customHeight="1" hidden="1" spans="1:6" x14ac:dyDescent="0.25" outlineLevel="1" collapsed="1">
      <c r="A1294" s="27">
        <v>4240</v>
      </c>
      <c r="B1294" s="28" t="s">
        <v>471</v>
      </c>
      <c r="C1294" s="27" t="s">
        <v>472</v>
      </c>
      <c r="D1294" s="37" t="s">
        <v>32</v>
      </c>
      <c r="E1294" s="38" t="s">
        <v>673</v>
      </c>
      <c r="F1294" s="28" t="s">
        <v>32</v>
      </c>
    </row>
    <row r="1295" ht="20" customHeight="1" hidden="1" spans="1:6" x14ac:dyDescent="0.25" outlineLevel="1" collapsed="1">
      <c r="A1295" s="27">
        <v>4230</v>
      </c>
      <c r="B1295" s="28" t="s">
        <v>544</v>
      </c>
      <c r="C1295" s="27" t="s">
        <v>472</v>
      </c>
      <c r="D1295" s="37" t="s">
        <v>32</v>
      </c>
      <c r="E1295" s="38" t="s">
        <v>673</v>
      </c>
      <c r="F1295" s="28" t="s">
        <v>32</v>
      </c>
    </row>
    <row r="1296" ht="22" customHeight="1" hidden="1" spans="1:6" x14ac:dyDescent="0.25" outlineLevel="1" collapsed="1">
      <c r="A1296" s="34" t="s">
        <v>495</v>
      </c>
      <c r="B1296" s="34"/>
      <c r="C1296" s="34"/>
      <c r="D1296" s="34"/>
      <c r="E1296" s="34"/>
      <c r="F1296" s="34"/>
    </row>
    <row r="1297" ht="6" customHeight="1" hidden="1" x14ac:dyDescent="0.25" outlineLevel="1" collapsed="1"/>
    <row r="1298" ht="22" customHeight="1" spans="1:6" x14ac:dyDescent="0.25">
      <c r="A1298" s="25" t="s">
        <v>561</v>
      </c>
      <c r="B1298" s="25"/>
      <c r="C1298" s="25"/>
      <c r="D1298" s="25"/>
      <c r="E1298" s="25"/>
      <c r="F1298" s="25"/>
    </row>
    <row r="1299" ht="20" customHeight="1" hidden="1" spans="1:6" x14ac:dyDescent="0.25" outlineLevel="1" collapsed="1">
      <c r="A1299" s="26" t="s">
        <v>460</v>
      </c>
      <c r="B1299" s="26" t="s">
        <v>461</v>
      </c>
      <c r="C1299" s="26" t="s">
        <v>462</v>
      </c>
      <c r="D1299" s="26" t="s">
        <v>32</v>
      </c>
      <c r="E1299" s="26" t="s">
        <v>463</v>
      </c>
      <c r="F1299" s="26" t="s">
        <v>464</v>
      </c>
    </row>
    <row r="1300" ht="20" customHeight="1" hidden="1" spans="1:6" x14ac:dyDescent="0.25" outlineLevel="1" collapsed="1">
      <c r="A1300" s="27">
        <v>4220</v>
      </c>
      <c r="B1300" s="28" t="s">
        <v>543</v>
      </c>
      <c r="C1300" s="27" t="s">
        <v>466</v>
      </c>
      <c r="D1300" s="37" t="s">
        <v>32</v>
      </c>
      <c r="E1300" s="38" t="s">
        <v>673</v>
      </c>
      <c r="F1300" s="28" t="s">
        <v>32</v>
      </c>
    </row>
    <row r="1301" ht="20" customHeight="1" hidden="1" spans="1:6" x14ac:dyDescent="0.25" outlineLevel="1" collapsed="1">
      <c r="A1301" s="27">
        <v>4240</v>
      </c>
      <c r="B1301" s="28" t="s">
        <v>471</v>
      </c>
      <c r="C1301" s="27" t="s">
        <v>472</v>
      </c>
      <c r="D1301" s="37" t="s">
        <v>32</v>
      </c>
      <c r="E1301" s="38" t="s">
        <v>673</v>
      </c>
      <c r="F1301" s="28" t="s">
        <v>32</v>
      </c>
    </row>
    <row r="1302" ht="20" customHeight="1" hidden="1" spans="1:6" x14ac:dyDescent="0.25" outlineLevel="1" collapsed="1">
      <c r="A1302" s="27">
        <v>4230</v>
      </c>
      <c r="B1302" s="28" t="s">
        <v>544</v>
      </c>
      <c r="C1302" s="27" t="s">
        <v>472</v>
      </c>
      <c r="D1302" s="37" t="s">
        <v>32</v>
      </c>
      <c r="E1302" s="38" t="s">
        <v>673</v>
      </c>
      <c r="F1302" s="28" t="s">
        <v>32</v>
      </c>
    </row>
    <row r="1303" ht="22" customHeight="1" hidden="1" spans="1:6" x14ac:dyDescent="0.25" outlineLevel="1" collapsed="1">
      <c r="A1303" s="34" t="s">
        <v>495</v>
      </c>
      <c r="B1303" s="34"/>
      <c r="C1303" s="34"/>
      <c r="D1303" s="34"/>
      <c r="E1303" s="34"/>
      <c r="F1303" s="34"/>
    </row>
    <row r="1304" ht="6" customHeight="1" hidden="1" x14ac:dyDescent="0.25" outlineLevel="1" collapsed="1"/>
    <row r="1305" ht="22" customHeight="1" spans="1:6" x14ac:dyDescent="0.25">
      <c r="A1305" s="25" t="s">
        <v>562</v>
      </c>
      <c r="B1305" s="25"/>
      <c r="C1305" s="25"/>
      <c r="D1305" s="25"/>
      <c r="E1305" s="25"/>
      <c r="F1305" s="25"/>
    </row>
    <row r="1306" ht="20" customHeight="1" hidden="1" spans="1:6" x14ac:dyDescent="0.25" outlineLevel="1" collapsed="1">
      <c r="A1306" s="26" t="s">
        <v>460</v>
      </c>
      <c r="B1306" s="26" t="s">
        <v>461</v>
      </c>
      <c r="C1306" s="26" t="s">
        <v>462</v>
      </c>
      <c r="D1306" s="26" t="s">
        <v>32</v>
      </c>
      <c r="E1306" s="26" t="s">
        <v>463</v>
      </c>
      <c r="F1306" s="26" t="s">
        <v>464</v>
      </c>
    </row>
    <row r="1307" ht="20" customHeight="1" hidden="1" spans="1:6" x14ac:dyDescent="0.25" outlineLevel="1" collapsed="1">
      <c r="A1307" s="27">
        <v>4220</v>
      </c>
      <c r="B1307" s="28" t="s">
        <v>543</v>
      </c>
      <c r="C1307" s="27" t="s">
        <v>466</v>
      </c>
      <c r="D1307" s="37" t="s">
        <v>32</v>
      </c>
      <c r="E1307" s="38" t="s">
        <v>673</v>
      </c>
      <c r="F1307" s="28" t="s">
        <v>32</v>
      </c>
    </row>
    <row r="1308" ht="20" customHeight="1" hidden="1" spans="1:6" x14ac:dyDescent="0.25" outlineLevel="1" collapsed="1">
      <c r="A1308" s="27">
        <v>4240</v>
      </c>
      <c r="B1308" s="28" t="s">
        <v>471</v>
      </c>
      <c r="C1308" s="27" t="s">
        <v>472</v>
      </c>
      <c r="D1308" s="37" t="s">
        <v>32</v>
      </c>
      <c r="E1308" s="38" t="s">
        <v>673</v>
      </c>
      <c r="F1308" s="28" t="s">
        <v>32</v>
      </c>
    </row>
    <row r="1309" ht="20" customHeight="1" hidden="1" spans="1:6" x14ac:dyDescent="0.25" outlineLevel="1" collapsed="1">
      <c r="A1309" s="27">
        <v>4230</v>
      </c>
      <c r="B1309" s="28" t="s">
        <v>544</v>
      </c>
      <c r="C1309" s="27" t="s">
        <v>472</v>
      </c>
      <c r="D1309" s="37" t="s">
        <v>32</v>
      </c>
      <c r="E1309" s="38" t="s">
        <v>673</v>
      </c>
      <c r="F1309" s="28" t="s">
        <v>32</v>
      </c>
    </row>
    <row r="1310" ht="22" customHeight="1" hidden="1" spans="1:6" x14ac:dyDescent="0.25" outlineLevel="1" collapsed="1">
      <c r="A1310" s="34" t="s">
        <v>495</v>
      </c>
      <c r="B1310" s="34"/>
      <c r="C1310" s="34"/>
      <c r="D1310" s="34"/>
      <c r="E1310" s="34"/>
      <c r="F1310" s="34"/>
    </row>
    <row r="1311" ht="6" customHeight="1" hidden="1" x14ac:dyDescent="0.25" outlineLevel="1" collapsed="1"/>
    <row r="1312" ht="22" customHeight="1" spans="1:6" x14ac:dyDescent="0.25">
      <c r="A1312" s="25" t="s">
        <v>565</v>
      </c>
      <c r="B1312" s="25"/>
      <c r="C1312" s="25"/>
      <c r="D1312" s="25"/>
      <c r="E1312" s="25"/>
      <c r="F1312" s="25"/>
    </row>
    <row r="1313" ht="20" customHeight="1" hidden="1" spans="1:6" x14ac:dyDescent="0.25" outlineLevel="1" collapsed="1">
      <c r="A1313" s="26" t="s">
        <v>460</v>
      </c>
      <c r="B1313" s="26" t="s">
        <v>461</v>
      </c>
      <c r="C1313" s="26" t="s">
        <v>462</v>
      </c>
      <c r="D1313" s="26" t="s">
        <v>32</v>
      </c>
      <c r="E1313" s="26" t="s">
        <v>463</v>
      </c>
      <c r="F1313" s="26" t="s">
        <v>464</v>
      </c>
    </row>
    <row r="1314" ht="20" customHeight="1" hidden="1" spans="1:6" x14ac:dyDescent="0.25" outlineLevel="1" collapsed="1">
      <c r="A1314" s="27">
        <v>4220</v>
      </c>
      <c r="B1314" s="28" t="s">
        <v>543</v>
      </c>
      <c r="C1314" s="27" t="s">
        <v>466</v>
      </c>
      <c r="D1314" s="37" t="s">
        <v>32</v>
      </c>
      <c r="E1314" s="38" t="s">
        <v>673</v>
      </c>
      <c r="F1314" s="28" t="s">
        <v>32</v>
      </c>
    </row>
    <row r="1315" ht="20" customHeight="1" hidden="1" spans="1:6" x14ac:dyDescent="0.25" outlineLevel="1" collapsed="1">
      <c r="A1315" s="27">
        <v>4240</v>
      </c>
      <c r="B1315" s="28" t="s">
        <v>471</v>
      </c>
      <c r="C1315" s="27" t="s">
        <v>472</v>
      </c>
      <c r="D1315" s="37" t="s">
        <v>32</v>
      </c>
      <c r="E1315" s="38" t="s">
        <v>673</v>
      </c>
      <c r="F1315" s="28" t="s">
        <v>32</v>
      </c>
    </row>
    <row r="1316" ht="20" customHeight="1" hidden="1" spans="1:6" x14ac:dyDescent="0.25" outlineLevel="1" collapsed="1">
      <c r="A1316" s="27">
        <v>4230</v>
      </c>
      <c r="B1316" s="28" t="s">
        <v>544</v>
      </c>
      <c r="C1316" s="27" t="s">
        <v>472</v>
      </c>
      <c r="D1316" s="37" t="s">
        <v>32</v>
      </c>
      <c r="E1316" s="38" t="s">
        <v>673</v>
      </c>
      <c r="F1316" s="28" t="s">
        <v>32</v>
      </c>
    </row>
    <row r="1317" ht="22" customHeight="1" hidden="1" spans="1:6" x14ac:dyDescent="0.25" outlineLevel="1" collapsed="1">
      <c r="A1317" s="34" t="s">
        <v>495</v>
      </c>
      <c r="B1317" s="34"/>
      <c r="C1317" s="34"/>
      <c r="D1317" s="34"/>
      <c r="E1317" s="34"/>
      <c r="F1317" s="34"/>
    </row>
    <row r="1318" ht="6" customHeight="1" hidden="1" x14ac:dyDescent="0.25" outlineLevel="1" collapsed="1"/>
    <row r="1319" ht="22" customHeight="1" spans="1:6" x14ac:dyDescent="0.25">
      <c r="A1319" s="25" t="s">
        <v>572</v>
      </c>
      <c r="B1319" s="25"/>
      <c r="C1319" s="25"/>
      <c r="D1319" s="25"/>
      <c r="E1319" s="25"/>
      <c r="F1319" s="25"/>
    </row>
    <row r="1320" ht="20" customHeight="1" hidden="1" spans="1:6" x14ac:dyDescent="0.25" outlineLevel="1" collapsed="1">
      <c r="A1320" s="26" t="s">
        <v>460</v>
      </c>
      <c r="B1320" s="26" t="s">
        <v>461</v>
      </c>
      <c r="C1320" s="26" t="s">
        <v>462</v>
      </c>
      <c r="D1320" s="26" t="s">
        <v>32</v>
      </c>
      <c r="E1320" s="26" t="s">
        <v>463</v>
      </c>
      <c r="F1320" s="26" t="s">
        <v>464</v>
      </c>
    </row>
    <row r="1321" ht="20" customHeight="1" hidden="1" spans="1:6" x14ac:dyDescent="0.25" outlineLevel="1" collapsed="1">
      <c r="A1321" s="27">
        <v>4220</v>
      </c>
      <c r="B1321" s="28" t="s">
        <v>543</v>
      </c>
      <c r="C1321" s="27" t="s">
        <v>466</v>
      </c>
      <c r="D1321" s="37" t="s">
        <v>32</v>
      </c>
      <c r="E1321" s="38" t="s">
        <v>673</v>
      </c>
      <c r="F1321" s="28" t="s">
        <v>32</v>
      </c>
    </row>
    <row r="1322" ht="20" customHeight="1" hidden="1" spans="1:6" x14ac:dyDescent="0.25" outlineLevel="1" collapsed="1">
      <c r="A1322" s="27">
        <v>4240</v>
      </c>
      <c r="B1322" s="28" t="s">
        <v>471</v>
      </c>
      <c r="C1322" s="27" t="s">
        <v>472</v>
      </c>
      <c r="D1322" s="37" t="s">
        <v>32</v>
      </c>
      <c r="E1322" s="38" t="s">
        <v>673</v>
      </c>
      <c r="F1322" s="28" t="s">
        <v>32</v>
      </c>
    </row>
    <row r="1323" ht="20" customHeight="1" hidden="1" spans="1:6" x14ac:dyDescent="0.25" outlineLevel="1" collapsed="1">
      <c r="A1323" s="27">
        <v>4230</v>
      </c>
      <c r="B1323" s="28" t="s">
        <v>544</v>
      </c>
      <c r="C1323" s="27" t="s">
        <v>472</v>
      </c>
      <c r="D1323" s="37" t="s">
        <v>32</v>
      </c>
      <c r="E1323" s="38" t="s">
        <v>673</v>
      </c>
      <c r="F1323" s="28" t="s">
        <v>32</v>
      </c>
    </row>
    <row r="1324" ht="22" customHeight="1" hidden="1" spans="1:6" x14ac:dyDescent="0.25" outlineLevel="1" collapsed="1">
      <c r="A1324" s="34" t="s">
        <v>495</v>
      </c>
      <c r="B1324" s="34"/>
      <c r="C1324" s="34"/>
      <c r="D1324" s="34"/>
      <c r="E1324" s="34"/>
      <c r="F1324" s="34"/>
    </row>
    <row r="1325" ht="6" customHeight="1" hidden="1" x14ac:dyDescent="0.25" outlineLevel="1" collapsed="1"/>
    <row r="1326" ht="22" customHeight="1" spans="1:6" x14ac:dyDescent="0.25">
      <c r="A1326" s="25" t="s">
        <v>575</v>
      </c>
      <c r="B1326" s="25"/>
      <c r="C1326" s="25"/>
      <c r="D1326" s="25"/>
      <c r="E1326" s="25"/>
      <c r="F1326" s="25"/>
    </row>
    <row r="1327" ht="20" customHeight="1" hidden="1" spans="1:6" x14ac:dyDescent="0.25" outlineLevel="1" collapsed="1">
      <c r="A1327" s="26" t="s">
        <v>460</v>
      </c>
      <c r="B1327" s="26" t="s">
        <v>461</v>
      </c>
      <c r="C1327" s="26" t="s">
        <v>462</v>
      </c>
      <c r="D1327" s="26" t="s">
        <v>32</v>
      </c>
      <c r="E1327" s="26" t="s">
        <v>463</v>
      </c>
      <c r="F1327" s="26" t="s">
        <v>464</v>
      </c>
    </row>
    <row r="1328" ht="20" customHeight="1" hidden="1" spans="1:6" x14ac:dyDescent="0.25" outlineLevel="1" collapsed="1">
      <c r="A1328" s="27">
        <v>4220</v>
      </c>
      <c r="B1328" s="28" t="s">
        <v>543</v>
      </c>
      <c r="C1328" s="27" t="s">
        <v>466</v>
      </c>
      <c r="D1328" s="37" t="s">
        <v>32</v>
      </c>
      <c r="E1328" s="38" t="s">
        <v>673</v>
      </c>
      <c r="F1328" s="28" t="s">
        <v>32</v>
      </c>
    </row>
    <row r="1329" ht="20" customHeight="1" hidden="1" spans="1:6" x14ac:dyDescent="0.25" outlineLevel="1" collapsed="1">
      <c r="A1329" s="27">
        <v>4240</v>
      </c>
      <c r="B1329" s="28" t="s">
        <v>471</v>
      </c>
      <c r="C1329" s="27" t="s">
        <v>472</v>
      </c>
      <c r="D1329" s="37" t="s">
        <v>32</v>
      </c>
      <c r="E1329" s="38" t="s">
        <v>673</v>
      </c>
      <c r="F1329" s="28" t="s">
        <v>32</v>
      </c>
    </row>
    <row r="1330" ht="20" customHeight="1" hidden="1" spans="1:6" x14ac:dyDescent="0.25" outlineLevel="1" collapsed="1">
      <c r="A1330" s="27">
        <v>4230</v>
      </c>
      <c r="B1330" s="28" t="s">
        <v>544</v>
      </c>
      <c r="C1330" s="27" t="s">
        <v>472</v>
      </c>
      <c r="D1330" s="37" t="s">
        <v>32</v>
      </c>
      <c r="E1330" s="38" t="s">
        <v>673</v>
      </c>
      <c r="F1330" s="28" t="s">
        <v>32</v>
      </c>
    </row>
    <row r="1331" ht="22" customHeight="1" hidden="1" spans="1:6" x14ac:dyDescent="0.25" outlineLevel="1" collapsed="1">
      <c r="A1331" s="34" t="s">
        <v>495</v>
      </c>
      <c r="B1331" s="34"/>
      <c r="C1331" s="34"/>
      <c r="D1331" s="34"/>
      <c r="E1331" s="34"/>
      <c r="F1331" s="34"/>
    </row>
    <row r="1332" ht="6" customHeight="1" hidden="1" x14ac:dyDescent="0.25" outlineLevel="1" collapsed="1"/>
    <row r="1333" ht="22" customHeight="1" spans="1:6" x14ac:dyDescent="0.25">
      <c r="A1333" s="25" t="s">
        <v>586</v>
      </c>
      <c r="B1333" s="25"/>
      <c r="C1333" s="25"/>
      <c r="D1333" s="25"/>
      <c r="E1333" s="25"/>
      <c r="F1333" s="25"/>
    </row>
    <row r="1334" ht="20" customHeight="1" hidden="1" spans="1:6" x14ac:dyDescent="0.25" outlineLevel="1" collapsed="1">
      <c r="A1334" s="26" t="s">
        <v>460</v>
      </c>
      <c r="B1334" s="26" t="s">
        <v>461</v>
      </c>
      <c r="C1334" s="26" t="s">
        <v>462</v>
      </c>
      <c r="D1334" s="26" t="s">
        <v>32</v>
      </c>
      <c r="E1334" s="26" t="s">
        <v>463</v>
      </c>
      <c r="F1334" s="26" t="s">
        <v>464</v>
      </c>
    </row>
    <row r="1335" ht="20" customHeight="1" hidden="1" spans="1:6" x14ac:dyDescent="0.25" outlineLevel="1" collapsed="1">
      <c r="A1335" s="27">
        <v>4220</v>
      </c>
      <c r="B1335" s="28" t="s">
        <v>543</v>
      </c>
      <c r="C1335" s="27" t="s">
        <v>466</v>
      </c>
      <c r="D1335" s="37" t="s">
        <v>32</v>
      </c>
      <c r="E1335" s="38" t="s">
        <v>673</v>
      </c>
      <c r="F1335" s="28" t="s">
        <v>32</v>
      </c>
    </row>
    <row r="1336" ht="20" customHeight="1" hidden="1" spans="1:6" x14ac:dyDescent="0.25" outlineLevel="1" collapsed="1">
      <c r="A1336" s="27">
        <v>4240</v>
      </c>
      <c r="B1336" s="28" t="s">
        <v>471</v>
      </c>
      <c r="C1336" s="27" t="s">
        <v>472</v>
      </c>
      <c r="D1336" s="37" t="s">
        <v>32</v>
      </c>
      <c r="E1336" s="38" t="s">
        <v>673</v>
      </c>
      <c r="F1336" s="28" t="s">
        <v>32</v>
      </c>
    </row>
    <row r="1337" ht="20" customHeight="1" hidden="1" spans="1:6" x14ac:dyDescent="0.25" outlineLevel="1" collapsed="1">
      <c r="A1337" s="27">
        <v>4230</v>
      </c>
      <c r="B1337" s="28" t="s">
        <v>544</v>
      </c>
      <c r="C1337" s="27" t="s">
        <v>472</v>
      </c>
      <c r="D1337" s="37" t="s">
        <v>32</v>
      </c>
      <c r="E1337" s="38" t="s">
        <v>673</v>
      </c>
      <c r="F1337" s="28" t="s">
        <v>32</v>
      </c>
    </row>
    <row r="1338" ht="22" customHeight="1" hidden="1" spans="1:6" x14ac:dyDescent="0.25" outlineLevel="1" collapsed="1">
      <c r="A1338" s="34" t="s">
        <v>495</v>
      </c>
      <c r="B1338" s="34"/>
      <c r="C1338" s="34"/>
      <c r="D1338" s="34"/>
      <c r="E1338" s="34"/>
      <c r="F1338" s="34"/>
    </row>
    <row r="1339" ht="6" customHeight="1" hidden="1" x14ac:dyDescent="0.25" outlineLevel="1" collapsed="1"/>
    <row r="1340" ht="22" customHeight="1" spans="1:6" x14ac:dyDescent="0.25">
      <c r="A1340" s="25" t="s">
        <v>587</v>
      </c>
      <c r="B1340" s="25"/>
      <c r="C1340" s="25"/>
      <c r="D1340" s="25"/>
      <c r="E1340" s="25"/>
      <c r="F1340" s="25"/>
    </row>
    <row r="1341" ht="20" customHeight="1" hidden="1" spans="1:6" x14ac:dyDescent="0.25" outlineLevel="1" collapsed="1">
      <c r="A1341" s="26" t="s">
        <v>460</v>
      </c>
      <c r="B1341" s="26" t="s">
        <v>461</v>
      </c>
      <c r="C1341" s="26" t="s">
        <v>462</v>
      </c>
      <c r="D1341" s="26" t="s">
        <v>32</v>
      </c>
      <c r="E1341" s="26" t="s">
        <v>463</v>
      </c>
      <c r="F1341" s="26" t="s">
        <v>464</v>
      </c>
    </row>
    <row r="1342" ht="20" customHeight="1" hidden="1" spans="1:6" x14ac:dyDescent="0.25" outlineLevel="1" collapsed="1">
      <c r="A1342" s="27">
        <v>4220</v>
      </c>
      <c r="B1342" s="28" t="s">
        <v>543</v>
      </c>
      <c r="C1342" s="27" t="s">
        <v>466</v>
      </c>
      <c r="D1342" s="37" t="s">
        <v>32</v>
      </c>
      <c r="E1342" s="38" t="s">
        <v>673</v>
      </c>
      <c r="F1342" s="28" t="s">
        <v>32</v>
      </c>
    </row>
    <row r="1343" ht="20" customHeight="1" hidden="1" spans="1:6" x14ac:dyDescent="0.25" outlineLevel="1" collapsed="1">
      <c r="A1343" s="27">
        <v>4240</v>
      </c>
      <c r="B1343" s="28" t="s">
        <v>471</v>
      </c>
      <c r="C1343" s="27" t="s">
        <v>472</v>
      </c>
      <c r="D1343" s="37" t="s">
        <v>32</v>
      </c>
      <c r="E1343" s="38" t="s">
        <v>673</v>
      </c>
      <c r="F1343" s="28" t="s">
        <v>32</v>
      </c>
    </row>
    <row r="1344" ht="20" customHeight="1" hidden="1" spans="1:6" x14ac:dyDescent="0.25" outlineLevel="1" collapsed="1">
      <c r="A1344" s="27">
        <v>4230</v>
      </c>
      <c r="B1344" s="28" t="s">
        <v>544</v>
      </c>
      <c r="C1344" s="27" t="s">
        <v>472</v>
      </c>
      <c r="D1344" s="37" t="s">
        <v>32</v>
      </c>
      <c r="E1344" s="38" t="s">
        <v>673</v>
      </c>
      <c r="F1344" s="28" t="s">
        <v>32</v>
      </c>
    </row>
    <row r="1345" ht="22" customHeight="1" hidden="1" spans="1:6" x14ac:dyDescent="0.25" outlineLevel="1" collapsed="1">
      <c r="A1345" s="34" t="s">
        <v>495</v>
      </c>
      <c r="B1345" s="34"/>
      <c r="C1345" s="34"/>
      <c r="D1345" s="34"/>
      <c r="E1345" s="34"/>
      <c r="F1345" s="34"/>
    </row>
    <row r="1346" ht="6" customHeight="1" hidden="1" x14ac:dyDescent="0.25" outlineLevel="1" collapsed="1"/>
    <row r="1347" ht="22" customHeight="1" spans="1:6" x14ac:dyDescent="0.25">
      <c r="A1347" s="25" t="s">
        <v>588</v>
      </c>
      <c r="B1347" s="25"/>
      <c r="C1347" s="25"/>
      <c r="D1347" s="25"/>
      <c r="E1347" s="25"/>
      <c r="F1347" s="25"/>
    </row>
    <row r="1348" ht="20" customHeight="1" hidden="1" spans="1:6" x14ac:dyDescent="0.25" outlineLevel="1" collapsed="1">
      <c r="A1348" s="26" t="s">
        <v>460</v>
      </c>
      <c r="B1348" s="26" t="s">
        <v>461</v>
      </c>
      <c r="C1348" s="26" t="s">
        <v>462</v>
      </c>
      <c r="D1348" s="26" t="s">
        <v>32</v>
      </c>
      <c r="E1348" s="26" t="s">
        <v>463</v>
      </c>
      <c r="F1348" s="26" t="s">
        <v>464</v>
      </c>
    </row>
    <row r="1349" ht="20" customHeight="1" hidden="1" spans="1:6" x14ac:dyDescent="0.25" outlineLevel="1" collapsed="1">
      <c r="A1349" s="27">
        <v>4220</v>
      </c>
      <c r="B1349" s="28" t="s">
        <v>543</v>
      </c>
      <c r="C1349" s="27" t="s">
        <v>466</v>
      </c>
      <c r="D1349" s="37" t="s">
        <v>32</v>
      </c>
      <c r="E1349" s="38" t="s">
        <v>673</v>
      </c>
      <c r="F1349" s="28" t="s">
        <v>32</v>
      </c>
    </row>
    <row r="1350" ht="20" customHeight="1" hidden="1" spans="1:6" x14ac:dyDescent="0.25" outlineLevel="1" collapsed="1">
      <c r="A1350" s="27">
        <v>4240</v>
      </c>
      <c r="B1350" s="28" t="s">
        <v>471</v>
      </c>
      <c r="C1350" s="27" t="s">
        <v>472</v>
      </c>
      <c r="D1350" s="37" t="s">
        <v>32</v>
      </c>
      <c r="E1350" s="38" t="s">
        <v>673</v>
      </c>
      <c r="F1350" s="28" t="s">
        <v>32</v>
      </c>
    </row>
    <row r="1351" ht="20" customHeight="1" hidden="1" spans="1:6" x14ac:dyDescent="0.25" outlineLevel="1" collapsed="1">
      <c r="A1351" s="27">
        <v>4230</v>
      </c>
      <c r="B1351" s="28" t="s">
        <v>544</v>
      </c>
      <c r="C1351" s="27" t="s">
        <v>472</v>
      </c>
      <c r="D1351" s="37" t="s">
        <v>32</v>
      </c>
      <c r="E1351" s="38" t="s">
        <v>673</v>
      </c>
      <c r="F1351" s="28" t="s">
        <v>32</v>
      </c>
    </row>
    <row r="1352" ht="22" customHeight="1" hidden="1" spans="1:6" x14ac:dyDescent="0.25" outlineLevel="1" collapsed="1">
      <c r="A1352" s="34" t="s">
        <v>495</v>
      </c>
      <c r="B1352" s="34"/>
      <c r="C1352" s="34"/>
      <c r="D1352" s="34"/>
      <c r="E1352" s="34"/>
      <c r="F1352" s="34"/>
    </row>
    <row r="1353" ht="6" customHeight="1" hidden="1" x14ac:dyDescent="0.25" outlineLevel="1" collapsed="1"/>
    <row r="1354" ht="22" customHeight="1" spans="1:6" x14ac:dyDescent="0.25">
      <c r="A1354" s="25" t="s">
        <v>589</v>
      </c>
      <c r="B1354" s="25"/>
      <c r="C1354" s="25"/>
      <c r="D1354" s="25"/>
      <c r="E1354" s="25"/>
      <c r="F1354" s="25"/>
    </row>
    <row r="1355" ht="20" customHeight="1" hidden="1" spans="1:6" x14ac:dyDescent="0.25" outlineLevel="1" collapsed="1">
      <c r="A1355" s="26" t="s">
        <v>460</v>
      </c>
      <c r="B1355" s="26" t="s">
        <v>461</v>
      </c>
      <c r="C1355" s="26" t="s">
        <v>462</v>
      </c>
      <c r="D1355" s="26" t="s">
        <v>32</v>
      </c>
      <c r="E1355" s="26" t="s">
        <v>463</v>
      </c>
      <c r="F1355" s="26" t="s">
        <v>464</v>
      </c>
    </row>
    <row r="1356" ht="20" customHeight="1" hidden="1" spans="1:6" x14ac:dyDescent="0.25" outlineLevel="1" collapsed="1">
      <c r="A1356" s="27">
        <v>4220</v>
      </c>
      <c r="B1356" s="28" t="s">
        <v>543</v>
      </c>
      <c r="C1356" s="27" t="s">
        <v>466</v>
      </c>
      <c r="D1356" s="37" t="s">
        <v>32</v>
      </c>
      <c r="E1356" s="38" t="s">
        <v>673</v>
      </c>
      <c r="F1356" s="28" t="s">
        <v>32</v>
      </c>
    </row>
    <row r="1357" ht="20" customHeight="1" hidden="1" spans="1:6" x14ac:dyDescent="0.25" outlineLevel="1" collapsed="1">
      <c r="A1357" s="27">
        <v>4240</v>
      </c>
      <c r="B1357" s="28" t="s">
        <v>471</v>
      </c>
      <c r="C1357" s="27" t="s">
        <v>472</v>
      </c>
      <c r="D1357" s="37" t="s">
        <v>32</v>
      </c>
      <c r="E1357" s="38" t="s">
        <v>673</v>
      </c>
      <c r="F1357" s="28" t="s">
        <v>32</v>
      </c>
    </row>
    <row r="1358" ht="20" customHeight="1" hidden="1" spans="1:6" x14ac:dyDescent="0.25" outlineLevel="1" collapsed="1">
      <c r="A1358" s="27">
        <v>4230</v>
      </c>
      <c r="B1358" s="28" t="s">
        <v>544</v>
      </c>
      <c r="C1358" s="27" t="s">
        <v>472</v>
      </c>
      <c r="D1358" s="37" t="s">
        <v>32</v>
      </c>
      <c r="E1358" s="38" t="s">
        <v>673</v>
      </c>
      <c r="F1358" s="28" t="s">
        <v>32</v>
      </c>
    </row>
    <row r="1359" ht="22" customHeight="1" hidden="1" spans="1:6" x14ac:dyDescent="0.25" outlineLevel="1" collapsed="1">
      <c r="A1359" s="34" t="s">
        <v>495</v>
      </c>
      <c r="B1359" s="34"/>
      <c r="C1359" s="34"/>
      <c r="D1359" s="34"/>
      <c r="E1359" s="34"/>
      <c r="F1359" s="34"/>
    </row>
    <row r="1360" ht="6" customHeight="1" hidden="1" x14ac:dyDescent="0.25" outlineLevel="1" collapsed="1"/>
    <row r="1361" ht="22" customHeight="1" spans="1:6" x14ac:dyDescent="0.25">
      <c r="A1361" s="25" t="s">
        <v>590</v>
      </c>
      <c r="B1361" s="25"/>
      <c r="C1361" s="25"/>
      <c r="D1361" s="25"/>
      <c r="E1361" s="25"/>
      <c r="F1361" s="25"/>
    </row>
    <row r="1362" ht="20" customHeight="1" hidden="1" spans="1:6" x14ac:dyDescent="0.25" outlineLevel="1" collapsed="1">
      <c r="A1362" s="26" t="s">
        <v>460</v>
      </c>
      <c r="B1362" s="26" t="s">
        <v>461</v>
      </c>
      <c r="C1362" s="26" t="s">
        <v>462</v>
      </c>
      <c r="D1362" s="26" t="s">
        <v>32</v>
      </c>
      <c r="E1362" s="26" t="s">
        <v>463</v>
      </c>
      <c r="F1362" s="26" t="s">
        <v>464</v>
      </c>
    </row>
    <row r="1363" ht="20" customHeight="1" hidden="1" spans="1:6" x14ac:dyDescent="0.25" outlineLevel="1" collapsed="1">
      <c r="A1363" s="27">
        <v>4220</v>
      </c>
      <c r="B1363" s="28" t="s">
        <v>543</v>
      </c>
      <c r="C1363" s="27" t="s">
        <v>466</v>
      </c>
      <c r="D1363" s="37" t="s">
        <v>32</v>
      </c>
      <c r="E1363" s="38" t="s">
        <v>673</v>
      </c>
      <c r="F1363" s="28" t="s">
        <v>32</v>
      </c>
    </row>
    <row r="1364" ht="20" customHeight="1" hidden="1" spans="1:6" x14ac:dyDescent="0.25" outlineLevel="1" collapsed="1">
      <c r="A1364" s="27">
        <v>4240</v>
      </c>
      <c r="B1364" s="28" t="s">
        <v>471</v>
      </c>
      <c r="C1364" s="27" t="s">
        <v>472</v>
      </c>
      <c r="D1364" s="37" t="s">
        <v>32</v>
      </c>
      <c r="E1364" s="38" t="s">
        <v>673</v>
      </c>
      <c r="F1364" s="28" t="s">
        <v>32</v>
      </c>
    </row>
    <row r="1365" ht="20" customHeight="1" hidden="1" spans="1:6" x14ac:dyDescent="0.25" outlineLevel="1" collapsed="1">
      <c r="A1365" s="27">
        <v>4230</v>
      </c>
      <c r="B1365" s="28" t="s">
        <v>544</v>
      </c>
      <c r="C1365" s="27" t="s">
        <v>472</v>
      </c>
      <c r="D1365" s="37" t="s">
        <v>32</v>
      </c>
      <c r="E1365" s="38" t="s">
        <v>673</v>
      </c>
      <c r="F1365" s="28" t="s">
        <v>32</v>
      </c>
    </row>
    <row r="1366" ht="22" customHeight="1" hidden="1" spans="1:6" x14ac:dyDescent="0.25" outlineLevel="1" collapsed="1">
      <c r="A1366" s="34" t="s">
        <v>495</v>
      </c>
      <c r="B1366" s="34"/>
      <c r="C1366" s="34"/>
      <c r="D1366" s="34"/>
      <c r="E1366" s="34"/>
      <c r="F1366" s="34"/>
    </row>
    <row r="1367" ht="6" customHeight="1" hidden="1" x14ac:dyDescent="0.25" outlineLevel="1" collapsed="1"/>
    <row r="1368" ht="22" customHeight="1" spans="1:6" x14ac:dyDescent="0.25">
      <c r="A1368" s="25" t="s">
        <v>591</v>
      </c>
      <c r="B1368" s="25"/>
      <c r="C1368" s="25"/>
      <c r="D1368" s="25"/>
      <c r="E1368" s="25"/>
      <c r="F1368" s="25"/>
    </row>
    <row r="1369" ht="20" customHeight="1" hidden="1" spans="1:6" x14ac:dyDescent="0.25" outlineLevel="1" collapsed="1">
      <c r="A1369" s="26" t="s">
        <v>460</v>
      </c>
      <c r="B1369" s="26" t="s">
        <v>461</v>
      </c>
      <c r="C1369" s="26" t="s">
        <v>462</v>
      </c>
      <c r="D1369" s="26" t="s">
        <v>32</v>
      </c>
      <c r="E1369" s="26" t="s">
        <v>463</v>
      </c>
      <c r="F1369" s="26" t="s">
        <v>464</v>
      </c>
    </row>
    <row r="1370" ht="20" customHeight="1" hidden="1" spans="1:6" x14ac:dyDescent="0.25" outlineLevel="1" collapsed="1">
      <c r="A1370" s="27">
        <v>4220</v>
      </c>
      <c r="B1370" s="28" t="s">
        <v>543</v>
      </c>
      <c r="C1370" s="27" t="s">
        <v>466</v>
      </c>
      <c r="D1370" s="37" t="s">
        <v>32</v>
      </c>
      <c r="E1370" s="38" t="s">
        <v>673</v>
      </c>
      <c r="F1370" s="28" t="s">
        <v>32</v>
      </c>
    </row>
    <row r="1371" ht="20" customHeight="1" hidden="1" spans="1:6" x14ac:dyDescent="0.25" outlineLevel="1" collapsed="1">
      <c r="A1371" s="27">
        <v>4240</v>
      </c>
      <c r="B1371" s="28" t="s">
        <v>471</v>
      </c>
      <c r="C1371" s="27" t="s">
        <v>472</v>
      </c>
      <c r="D1371" s="37" t="s">
        <v>32</v>
      </c>
      <c r="E1371" s="38" t="s">
        <v>673</v>
      </c>
      <c r="F1371" s="28" t="s">
        <v>32</v>
      </c>
    </row>
    <row r="1372" ht="20" customHeight="1" hidden="1" spans="1:6" x14ac:dyDescent="0.25" outlineLevel="1" collapsed="1">
      <c r="A1372" s="27">
        <v>4230</v>
      </c>
      <c r="B1372" s="28" t="s">
        <v>544</v>
      </c>
      <c r="C1372" s="27" t="s">
        <v>472</v>
      </c>
      <c r="D1372" s="37" t="s">
        <v>32</v>
      </c>
      <c r="E1372" s="38" t="s">
        <v>673</v>
      </c>
      <c r="F1372" s="28" t="s">
        <v>32</v>
      </c>
    </row>
    <row r="1373" ht="22" customHeight="1" hidden="1" spans="1:6" x14ac:dyDescent="0.25" outlineLevel="1" collapsed="1">
      <c r="A1373" s="34" t="s">
        <v>495</v>
      </c>
      <c r="B1373" s="34"/>
      <c r="C1373" s="34"/>
      <c r="D1373" s="34"/>
      <c r="E1373" s="34"/>
      <c r="F1373" s="34"/>
    </row>
    <row r="1374" ht="6" customHeight="1" hidden="1" x14ac:dyDescent="0.25" outlineLevel="1" collapsed="1"/>
    <row r="1375" ht="22" customHeight="1" spans="1:6" x14ac:dyDescent="0.25">
      <c r="A1375" s="25" t="s">
        <v>592</v>
      </c>
      <c r="B1375" s="25"/>
      <c r="C1375" s="25"/>
      <c r="D1375" s="25"/>
      <c r="E1375" s="25"/>
      <c r="F1375" s="25"/>
    </row>
    <row r="1376" ht="20" customHeight="1" hidden="1" spans="1:6" x14ac:dyDescent="0.25" outlineLevel="1" collapsed="1">
      <c r="A1376" s="26" t="s">
        <v>460</v>
      </c>
      <c r="B1376" s="26" t="s">
        <v>461</v>
      </c>
      <c r="C1376" s="26" t="s">
        <v>462</v>
      </c>
      <c r="D1376" s="26" t="s">
        <v>32</v>
      </c>
      <c r="E1376" s="26" t="s">
        <v>463</v>
      </c>
      <c r="F1376" s="26" t="s">
        <v>464</v>
      </c>
    </row>
    <row r="1377" ht="20" customHeight="1" hidden="1" spans="1:6" x14ac:dyDescent="0.25" outlineLevel="1" collapsed="1">
      <c r="A1377" s="27">
        <v>4220</v>
      </c>
      <c r="B1377" s="28" t="s">
        <v>543</v>
      </c>
      <c r="C1377" s="27" t="s">
        <v>466</v>
      </c>
      <c r="D1377" s="37" t="s">
        <v>32</v>
      </c>
      <c r="E1377" s="38" t="s">
        <v>673</v>
      </c>
      <c r="F1377" s="28" t="s">
        <v>32</v>
      </c>
    </row>
    <row r="1378" ht="20" customHeight="1" hidden="1" spans="1:6" x14ac:dyDescent="0.25" outlineLevel="1" collapsed="1">
      <c r="A1378" s="27">
        <v>4240</v>
      </c>
      <c r="B1378" s="28" t="s">
        <v>471</v>
      </c>
      <c r="C1378" s="27" t="s">
        <v>472</v>
      </c>
      <c r="D1378" s="37" t="s">
        <v>32</v>
      </c>
      <c r="E1378" s="38" t="s">
        <v>673</v>
      </c>
      <c r="F1378" s="28" t="s">
        <v>32</v>
      </c>
    </row>
    <row r="1379" ht="20" customHeight="1" hidden="1" spans="1:6" x14ac:dyDescent="0.25" outlineLevel="1" collapsed="1">
      <c r="A1379" s="27">
        <v>4230</v>
      </c>
      <c r="B1379" s="28" t="s">
        <v>544</v>
      </c>
      <c r="C1379" s="27" t="s">
        <v>472</v>
      </c>
      <c r="D1379" s="37" t="s">
        <v>32</v>
      </c>
      <c r="E1379" s="38" t="s">
        <v>673</v>
      </c>
      <c r="F1379" s="28" t="s">
        <v>32</v>
      </c>
    </row>
    <row r="1380" ht="22" customHeight="1" hidden="1" spans="1:6" x14ac:dyDescent="0.25" outlineLevel="1" collapsed="1">
      <c r="A1380" s="34" t="s">
        <v>495</v>
      </c>
      <c r="B1380" s="34"/>
      <c r="C1380" s="34"/>
      <c r="D1380" s="34"/>
      <c r="E1380" s="34"/>
      <c r="F1380" s="34"/>
    </row>
    <row r="1381" ht="6" customHeight="1" hidden="1" x14ac:dyDescent="0.25" outlineLevel="1" collapsed="1"/>
    <row r="1382" ht="22" customHeight="1" spans="1:6" x14ac:dyDescent="0.25">
      <c r="A1382" s="25" t="s">
        <v>595</v>
      </c>
      <c r="B1382" s="25"/>
      <c r="C1382" s="25"/>
      <c r="D1382" s="25"/>
      <c r="E1382" s="25"/>
      <c r="F1382" s="25"/>
    </row>
    <row r="1383" ht="20" customHeight="1" hidden="1" spans="1:6" x14ac:dyDescent="0.25" outlineLevel="1" collapsed="1">
      <c r="A1383" s="26" t="s">
        <v>460</v>
      </c>
      <c r="B1383" s="26" t="s">
        <v>461</v>
      </c>
      <c r="C1383" s="26" t="s">
        <v>462</v>
      </c>
      <c r="D1383" s="26" t="s">
        <v>32</v>
      </c>
      <c r="E1383" s="26" t="s">
        <v>463</v>
      </c>
      <c r="F1383" s="26" t="s">
        <v>464</v>
      </c>
    </row>
    <row r="1384" ht="20" customHeight="1" hidden="1" spans="1:6" x14ac:dyDescent="0.25" outlineLevel="1" collapsed="1">
      <c r="A1384" s="27">
        <v>4220</v>
      </c>
      <c r="B1384" s="28" t="s">
        <v>543</v>
      </c>
      <c r="C1384" s="27" t="s">
        <v>466</v>
      </c>
      <c r="D1384" s="37" t="s">
        <v>32</v>
      </c>
      <c r="E1384" s="38" t="s">
        <v>673</v>
      </c>
      <c r="F1384" s="28" t="s">
        <v>32</v>
      </c>
    </row>
    <row r="1385" ht="20" customHeight="1" hidden="1" spans="1:6" x14ac:dyDescent="0.25" outlineLevel="1" collapsed="1">
      <c r="A1385" s="27">
        <v>4240</v>
      </c>
      <c r="B1385" s="28" t="s">
        <v>471</v>
      </c>
      <c r="C1385" s="27" t="s">
        <v>472</v>
      </c>
      <c r="D1385" s="37" t="s">
        <v>32</v>
      </c>
      <c r="E1385" s="38" t="s">
        <v>673</v>
      </c>
      <c r="F1385" s="28" t="s">
        <v>32</v>
      </c>
    </row>
    <row r="1386" ht="20" customHeight="1" hidden="1" spans="1:6" x14ac:dyDescent="0.25" outlineLevel="1" collapsed="1">
      <c r="A1386" s="27">
        <v>4230</v>
      </c>
      <c r="B1386" s="28" t="s">
        <v>544</v>
      </c>
      <c r="C1386" s="27" t="s">
        <v>472</v>
      </c>
      <c r="D1386" s="37" t="s">
        <v>32</v>
      </c>
      <c r="E1386" s="38" t="s">
        <v>673</v>
      </c>
      <c r="F1386" s="28" t="s">
        <v>32</v>
      </c>
    </row>
    <row r="1387" ht="22" customHeight="1" hidden="1" spans="1:6" x14ac:dyDescent="0.25" outlineLevel="1" collapsed="1">
      <c r="A1387" s="34" t="s">
        <v>495</v>
      </c>
      <c r="B1387" s="34"/>
      <c r="C1387" s="34"/>
      <c r="D1387" s="34"/>
      <c r="E1387" s="34"/>
      <c r="F1387" s="34"/>
    </row>
    <row r="1388" ht="6" customHeight="1" hidden="1" x14ac:dyDescent="0.25" outlineLevel="1" collapsed="1"/>
    <row r="1389" ht="22" customHeight="1" spans="1:6" x14ac:dyDescent="0.25">
      <c r="A1389" s="25" t="s">
        <v>598</v>
      </c>
      <c r="B1389" s="25"/>
      <c r="C1389" s="25"/>
      <c r="D1389" s="25"/>
      <c r="E1389" s="25"/>
      <c r="F1389" s="25"/>
    </row>
    <row r="1390" ht="20" customHeight="1" hidden="1" spans="1:6" x14ac:dyDescent="0.25" outlineLevel="1" collapsed="1">
      <c r="A1390" s="26" t="s">
        <v>460</v>
      </c>
      <c r="B1390" s="26" t="s">
        <v>461</v>
      </c>
      <c r="C1390" s="26" t="s">
        <v>462</v>
      </c>
      <c r="D1390" s="26" t="s">
        <v>32</v>
      </c>
      <c r="E1390" s="26" t="s">
        <v>463</v>
      </c>
      <c r="F1390" s="26" t="s">
        <v>464</v>
      </c>
    </row>
    <row r="1391" ht="20" customHeight="1" hidden="1" spans="1:6" x14ac:dyDescent="0.25" outlineLevel="1" collapsed="1">
      <c r="A1391" s="27">
        <v>4220</v>
      </c>
      <c r="B1391" s="28" t="s">
        <v>543</v>
      </c>
      <c r="C1391" s="27" t="s">
        <v>466</v>
      </c>
      <c r="D1391" s="37" t="s">
        <v>32</v>
      </c>
      <c r="E1391" s="38" t="s">
        <v>673</v>
      </c>
      <c r="F1391" s="28" t="s">
        <v>32</v>
      </c>
    </row>
    <row r="1392" ht="20" customHeight="1" hidden="1" spans="1:6" x14ac:dyDescent="0.25" outlineLevel="1" collapsed="1">
      <c r="A1392" s="27">
        <v>4240</v>
      </c>
      <c r="B1392" s="28" t="s">
        <v>471</v>
      </c>
      <c r="C1392" s="27" t="s">
        <v>472</v>
      </c>
      <c r="D1392" s="37" t="s">
        <v>32</v>
      </c>
      <c r="E1392" s="38" t="s">
        <v>673</v>
      </c>
      <c r="F1392" s="28" t="s">
        <v>32</v>
      </c>
    </row>
    <row r="1393" ht="20" customHeight="1" hidden="1" spans="1:6" x14ac:dyDescent="0.25" outlineLevel="1" collapsed="1">
      <c r="A1393" s="27">
        <v>4230</v>
      </c>
      <c r="B1393" s="28" t="s">
        <v>544</v>
      </c>
      <c r="C1393" s="27" t="s">
        <v>472</v>
      </c>
      <c r="D1393" s="37" t="s">
        <v>32</v>
      </c>
      <c r="E1393" s="38" t="s">
        <v>673</v>
      </c>
      <c r="F1393" s="28" t="s">
        <v>32</v>
      </c>
    </row>
    <row r="1394" ht="22" customHeight="1" hidden="1" spans="1:6" x14ac:dyDescent="0.25" outlineLevel="1" collapsed="1">
      <c r="A1394" s="34" t="s">
        <v>495</v>
      </c>
      <c r="B1394" s="34"/>
      <c r="C1394" s="34"/>
      <c r="D1394" s="34"/>
      <c r="E1394" s="34"/>
      <c r="F1394" s="34"/>
    </row>
    <row r="1395" ht="6" customHeight="1" hidden="1" x14ac:dyDescent="0.25" outlineLevel="1" collapsed="1"/>
    <row r="1396" ht="22" customHeight="1" spans="1:6" x14ac:dyDescent="0.25">
      <c r="A1396" s="25" t="s">
        <v>612</v>
      </c>
      <c r="B1396" s="25"/>
      <c r="C1396" s="25"/>
      <c r="D1396" s="25"/>
      <c r="E1396" s="25"/>
      <c r="F1396" s="25"/>
    </row>
    <row r="1397" ht="20" customHeight="1" hidden="1" spans="1:6" x14ac:dyDescent="0.25" outlineLevel="1" collapsed="1">
      <c r="A1397" s="26" t="s">
        <v>460</v>
      </c>
      <c r="B1397" s="26" t="s">
        <v>461</v>
      </c>
      <c r="C1397" s="26" t="s">
        <v>462</v>
      </c>
      <c r="D1397" s="26" t="s">
        <v>32</v>
      </c>
      <c r="E1397" s="26" t="s">
        <v>463</v>
      </c>
      <c r="F1397" s="26" t="s">
        <v>464</v>
      </c>
    </row>
    <row r="1398" ht="20" customHeight="1" hidden="1" spans="1:6" x14ac:dyDescent="0.25" outlineLevel="1" collapsed="1">
      <c r="A1398" s="27">
        <v>4220</v>
      </c>
      <c r="B1398" s="28" t="s">
        <v>543</v>
      </c>
      <c r="C1398" s="27" t="s">
        <v>466</v>
      </c>
      <c r="D1398" s="37" t="s">
        <v>32</v>
      </c>
      <c r="E1398" s="38" t="s">
        <v>673</v>
      </c>
      <c r="F1398" s="28" t="s">
        <v>32</v>
      </c>
    </row>
    <row r="1399" ht="20" customHeight="1" hidden="1" spans="1:6" x14ac:dyDescent="0.25" outlineLevel="1" collapsed="1">
      <c r="A1399" s="27">
        <v>4240</v>
      </c>
      <c r="B1399" s="28" t="s">
        <v>471</v>
      </c>
      <c r="C1399" s="27" t="s">
        <v>472</v>
      </c>
      <c r="D1399" s="37" t="s">
        <v>32</v>
      </c>
      <c r="E1399" s="38" t="s">
        <v>673</v>
      </c>
      <c r="F1399" s="28" t="s">
        <v>32</v>
      </c>
    </row>
    <row r="1400" ht="20" customHeight="1" hidden="1" spans="1:6" x14ac:dyDescent="0.25" outlineLevel="1" collapsed="1">
      <c r="A1400" s="27">
        <v>4230</v>
      </c>
      <c r="B1400" s="28" t="s">
        <v>544</v>
      </c>
      <c r="C1400" s="27" t="s">
        <v>472</v>
      </c>
      <c r="D1400" s="37" t="s">
        <v>32</v>
      </c>
      <c r="E1400" s="38" t="s">
        <v>673</v>
      </c>
      <c r="F1400" s="28" t="s">
        <v>32</v>
      </c>
    </row>
    <row r="1401" ht="22" customHeight="1" hidden="1" spans="1:6" x14ac:dyDescent="0.25" outlineLevel="1" collapsed="1">
      <c r="A1401" s="34" t="s">
        <v>495</v>
      </c>
      <c r="B1401" s="34"/>
      <c r="C1401" s="34"/>
      <c r="D1401" s="34"/>
      <c r="E1401" s="34"/>
      <c r="F1401" s="34"/>
    </row>
    <row r="1402" ht="6" customHeight="1" hidden="1" x14ac:dyDescent="0.25" outlineLevel="1" collapsed="1"/>
    <row r="1403" ht="22" customHeight="1" spans="1:6" x14ac:dyDescent="0.25">
      <c r="A1403" s="25" t="s">
        <v>623</v>
      </c>
      <c r="B1403" s="25"/>
      <c r="C1403" s="25"/>
      <c r="D1403" s="25"/>
      <c r="E1403" s="25"/>
      <c r="F1403" s="25"/>
    </row>
    <row r="1404" ht="20" customHeight="1" hidden="1" spans="1:6" x14ac:dyDescent="0.25" outlineLevel="1" collapsed="1">
      <c r="A1404" s="26" t="s">
        <v>460</v>
      </c>
      <c r="B1404" s="26" t="s">
        <v>461</v>
      </c>
      <c r="C1404" s="26" t="s">
        <v>462</v>
      </c>
      <c r="D1404" s="26" t="s">
        <v>32</v>
      </c>
      <c r="E1404" s="26" t="s">
        <v>463</v>
      </c>
      <c r="F1404" s="26" t="s">
        <v>464</v>
      </c>
    </row>
    <row r="1405" ht="20" customHeight="1" hidden="1" spans="1:6" x14ac:dyDescent="0.25" outlineLevel="1" collapsed="1">
      <c r="A1405" s="27">
        <v>4220</v>
      </c>
      <c r="B1405" s="28" t="s">
        <v>543</v>
      </c>
      <c r="C1405" s="27" t="s">
        <v>466</v>
      </c>
      <c r="D1405" s="37" t="s">
        <v>32</v>
      </c>
      <c r="E1405" s="38" t="s">
        <v>673</v>
      </c>
      <c r="F1405" s="28" t="s">
        <v>32</v>
      </c>
    </row>
    <row r="1406" ht="20" customHeight="1" hidden="1" spans="1:6" x14ac:dyDescent="0.25" outlineLevel="1" collapsed="1">
      <c r="A1406" s="27">
        <v>4240</v>
      </c>
      <c r="B1406" s="28" t="s">
        <v>471</v>
      </c>
      <c r="C1406" s="27" t="s">
        <v>472</v>
      </c>
      <c r="D1406" s="37" t="s">
        <v>32</v>
      </c>
      <c r="E1406" s="38" t="s">
        <v>673</v>
      </c>
      <c r="F1406" s="28" t="s">
        <v>32</v>
      </c>
    </row>
    <row r="1407" ht="20" customHeight="1" hidden="1" spans="1:6" x14ac:dyDescent="0.25" outlineLevel="1" collapsed="1">
      <c r="A1407" s="27">
        <v>4230</v>
      </c>
      <c r="B1407" s="28" t="s">
        <v>544</v>
      </c>
      <c r="C1407" s="27" t="s">
        <v>472</v>
      </c>
      <c r="D1407" s="37" t="s">
        <v>32</v>
      </c>
      <c r="E1407" s="38" t="s">
        <v>673</v>
      </c>
      <c r="F1407" s="28" t="s">
        <v>32</v>
      </c>
    </row>
    <row r="1408" ht="22" customHeight="1" hidden="1" spans="1:6" x14ac:dyDescent="0.25" outlineLevel="1" collapsed="1">
      <c r="A1408" s="34" t="s">
        <v>495</v>
      </c>
      <c r="B1408" s="34"/>
      <c r="C1408" s="34"/>
      <c r="D1408" s="34"/>
      <c r="E1408" s="34"/>
      <c r="F1408" s="34"/>
    </row>
    <row r="1409" ht="6" customHeight="1" hidden="1" x14ac:dyDescent="0.25" outlineLevel="1" collapsed="1"/>
    <row r="1410" ht="22" customHeight="1" spans="1:6" x14ac:dyDescent="0.25">
      <c r="A1410" s="25" t="s">
        <v>624</v>
      </c>
      <c r="B1410" s="25"/>
      <c r="C1410" s="25"/>
      <c r="D1410" s="25"/>
      <c r="E1410" s="25"/>
      <c r="F1410" s="25"/>
    </row>
    <row r="1411" ht="20" customHeight="1" hidden="1" spans="1:6" x14ac:dyDescent="0.25" outlineLevel="1" collapsed="1">
      <c r="A1411" s="26" t="s">
        <v>460</v>
      </c>
      <c r="B1411" s="26" t="s">
        <v>461</v>
      </c>
      <c r="C1411" s="26" t="s">
        <v>462</v>
      </c>
      <c r="D1411" s="26" t="s">
        <v>32</v>
      </c>
      <c r="E1411" s="26" t="s">
        <v>463</v>
      </c>
      <c r="F1411" s="26" t="s">
        <v>464</v>
      </c>
    </row>
    <row r="1412" ht="20" customHeight="1" hidden="1" spans="1:6" x14ac:dyDescent="0.25" outlineLevel="1" collapsed="1">
      <c r="A1412" s="27">
        <v>4220</v>
      </c>
      <c r="B1412" s="28" t="s">
        <v>543</v>
      </c>
      <c r="C1412" s="27" t="s">
        <v>466</v>
      </c>
      <c r="D1412" s="37" t="s">
        <v>32</v>
      </c>
      <c r="E1412" s="38" t="s">
        <v>673</v>
      </c>
      <c r="F1412" s="28" t="s">
        <v>32</v>
      </c>
    </row>
    <row r="1413" ht="20" customHeight="1" hidden="1" spans="1:6" x14ac:dyDescent="0.25" outlineLevel="1" collapsed="1">
      <c r="A1413" s="27">
        <v>4240</v>
      </c>
      <c r="B1413" s="28" t="s">
        <v>471</v>
      </c>
      <c r="C1413" s="27" t="s">
        <v>472</v>
      </c>
      <c r="D1413" s="37" t="s">
        <v>32</v>
      </c>
      <c r="E1413" s="38" t="s">
        <v>673</v>
      </c>
      <c r="F1413" s="28" t="s">
        <v>32</v>
      </c>
    </row>
    <row r="1414" ht="20" customHeight="1" hidden="1" spans="1:6" x14ac:dyDescent="0.25" outlineLevel="1" collapsed="1">
      <c r="A1414" s="27">
        <v>4230</v>
      </c>
      <c r="B1414" s="28" t="s">
        <v>544</v>
      </c>
      <c r="C1414" s="27" t="s">
        <v>472</v>
      </c>
      <c r="D1414" s="37" t="s">
        <v>32</v>
      </c>
      <c r="E1414" s="38" t="s">
        <v>673</v>
      </c>
      <c r="F1414" s="28" t="s">
        <v>32</v>
      </c>
    </row>
    <row r="1415" ht="22" customHeight="1" hidden="1" spans="1:6" x14ac:dyDescent="0.25" outlineLevel="1" collapsed="1">
      <c r="A1415" s="34" t="s">
        <v>495</v>
      </c>
      <c r="B1415" s="34"/>
      <c r="C1415" s="34"/>
      <c r="D1415" s="34"/>
      <c r="E1415" s="34"/>
      <c r="F1415" s="34"/>
    </row>
    <row r="1416" ht="6" customHeight="1" hidden="1" x14ac:dyDescent="0.25" outlineLevel="1" collapsed="1"/>
    <row r="1417" ht="22" customHeight="1" spans="1:6" x14ac:dyDescent="0.25">
      <c r="A1417" s="25" t="s">
        <v>629</v>
      </c>
      <c r="B1417" s="25"/>
      <c r="C1417" s="25"/>
      <c r="D1417" s="25"/>
      <c r="E1417" s="25"/>
      <c r="F1417" s="25"/>
    </row>
    <row r="1418" ht="20" customHeight="1" hidden="1" spans="1:6" x14ac:dyDescent="0.25" outlineLevel="1" collapsed="1">
      <c r="A1418" s="26" t="s">
        <v>460</v>
      </c>
      <c r="B1418" s="26" t="s">
        <v>461</v>
      </c>
      <c r="C1418" s="26" t="s">
        <v>462</v>
      </c>
      <c r="D1418" s="26" t="s">
        <v>32</v>
      </c>
      <c r="E1418" s="26" t="s">
        <v>463</v>
      </c>
      <c r="F1418" s="26" t="s">
        <v>464</v>
      </c>
    </row>
    <row r="1419" ht="20" customHeight="1" hidden="1" spans="1:6" x14ac:dyDescent="0.25" outlineLevel="1" collapsed="1">
      <c r="A1419" s="27">
        <v>4220</v>
      </c>
      <c r="B1419" s="28" t="s">
        <v>543</v>
      </c>
      <c r="C1419" s="27" t="s">
        <v>466</v>
      </c>
      <c r="D1419" s="37" t="s">
        <v>32</v>
      </c>
      <c r="E1419" s="38" t="s">
        <v>673</v>
      </c>
      <c r="F1419" s="28" t="s">
        <v>32</v>
      </c>
    </row>
    <row r="1420" ht="20" customHeight="1" hidden="1" spans="1:6" x14ac:dyDescent="0.25" outlineLevel="1" collapsed="1">
      <c r="A1420" s="27">
        <v>4240</v>
      </c>
      <c r="B1420" s="28" t="s">
        <v>471</v>
      </c>
      <c r="C1420" s="27" t="s">
        <v>472</v>
      </c>
      <c r="D1420" s="37" t="s">
        <v>32</v>
      </c>
      <c r="E1420" s="38" t="s">
        <v>673</v>
      </c>
      <c r="F1420" s="28" t="s">
        <v>32</v>
      </c>
    </row>
    <row r="1421" ht="20" customHeight="1" hidden="1" spans="1:6" x14ac:dyDescent="0.25" outlineLevel="1" collapsed="1">
      <c r="A1421" s="27">
        <v>4230</v>
      </c>
      <c r="B1421" s="28" t="s">
        <v>544</v>
      </c>
      <c r="C1421" s="27" t="s">
        <v>472</v>
      </c>
      <c r="D1421" s="37" t="s">
        <v>32</v>
      </c>
      <c r="E1421" s="38" t="s">
        <v>673</v>
      </c>
      <c r="F1421" s="28" t="s">
        <v>32</v>
      </c>
    </row>
    <row r="1422" ht="22" customHeight="1" hidden="1" spans="1:6" x14ac:dyDescent="0.25" outlineLevel="1" collapsed="1">
      <c r="A1422" s="34" t="s">
        <v>495</v>
      </c>
      <c r="B1422" s="34"/>
      <c r="C1422" s="34"/>
      <c r="D1422" s="34"/>
      <c r="E1422" s="34"/>
      <c r="F1422" s="34"/>
    </row>
    <row r="1423" ht="6" customHeight="1" hidden="1" x14ac:dyDescent="0.25" outlineLevel="1" collapsed="1"/>
    <row r="1424" ht="22" customHeight="1" spans="1:6" x14ac:dyDescent="0.25">
      <c r="A1424" s="25" t="s">
        <v>630</v>
      </c>
      <c r="B1424" s="25"/>
      <c r="C1424" s="25"/>
      <c r="D1424" s="25"/>
      <c r="E1424" s="25"/>
      <c r="F1424" s="25"/>
    </row>
    <row r="1425" ht="20" customHeight="1" hidden="1" spans="1:6" x14ac:dyDescent="0.25" outlineLevel="1" collapsed="1">
      <c r="A1425" s="26" t="s">
        <v>460</v>
      </c>
      <c r="B1425" s="26" t="s">
        <v>461</v>
      </c>
      <c r="C1425" s="26" t="s">
        <v>462</v>
      </c>
      <c r="D1425" s="26" t="s">
        <v>32</v>
      </c>
      <c r="E1425" s="26" t="s">
        <v>463</v>
      </c>
      <c r="F1425" s="26" t="s">
        <v>464</v>
      </c>
    </row>
    <row r="1426" ht="20" customHeight="1" hidden="1" spans="1:6" x14ac:dyDescent="0.25" outlineLevel="1" collapsed="1">
      <c r="A1426" s="27">
        <v>4220</v>
      </c>
      <c r="B1426" s="28" t="s">
        <v>543</v>
      </c>
      <c r="C1426" s="27" t="s">
        <v>466</v>
      </c>
      <c r="D1426" s="37" t="s">
        <v>32</v>
      </c>
      <c r="E1426" s="38" t="s">
        <v>673</v>
      </c>
      <c r="F1426" s="28" t="s">
        <v>32</v>
      </c>
    </row>
    <row r="1427" ht="20" customHeight="1" hidden="1" spans="1:6" x14ac:dyDescent="0.25" outlineLevel="1" collapsed="1">
      <c r="A1427" s="27">
        <v>4240</v>
      </c>
      <c r="B1427" s="28" t="s">
        <v>471</v>
      </c>
      <c r="C1427" s="27" t="s">
        <v>472</v>
      </c>
      <c r="D1427" s="37" t="s">
        <v>32</v>
      </c>
      <c r="E1427" s="38" t="s">
        <v>673</v>
      </c>
      <c r="F1427" s="28" t="s">
        <v>32</v>
      </c>
    </row>
    <row r="1428" ht="20" customHeight="1" hidden="1" spans="1:6" x14ac:dyDescent="0.25" outlineLevel="1" collapsed="1">
      <c r="A1428" s="27">
        <v>4230</v>
      </c>
      <c r="B1428" s="28" t="s">
        <v>544</v>
      </c>
      <c r="C1428" s="27" t="s">
        <v>472</v>
      </c>
      <c r="D1428" s="37" t="s">
        <v>32</v>
      </c>
      <c r="E1428" s="38" t="s">
        <v>673</v>
      </c>
      <c r="F1428" s="28" t="s">
        <v>32</v>
      </c>
    </row>
    <row r="1429" ht="22" customHeight="1" hidden="1" spans="1:6" x14ac:dyDescent="0.25" outlineLevel="1" collapsed="1">
      <c r="A1429" s="34" t="s">
        <v>495</v>
      </c>
      <c r="B1429" s="34"/>
      <c r="C1429" s="34"/>
      <c r="D1429" s="34"/>
      <c r="E1429" s="34"/>
      <c r="F1429" s="34"/>
    </row>
    <row r="1430" ht="6" customHeight="1" hidden="1" x14ac:dyDescent="0.25" outlineLevel="1" collapsed="1"/>
    <row r="1431" ht="12" customHeight="1" x14ac:dyDescent="0.25"/>
    <row r="1432" ht="24" customHeight="1" spans="1:6" x14ac:dyDescent="0.25">
      <c r="A1432" s="24" t="s">
        <v>674</v>
      </c>
      <c r="B1432" s="24"/>
      <c r="C1432" s="24"/>
      <c r="D1432" s="24"/>
      <c r="E1432" s="24"/>
      <c r="F1432" s="24"/>
    </row>
    <row r="1433" ht="22" customHeight="1" spans="1:6" x14ac:dyDescent="0.25">
      <c r="A1433" s="25" t="s">
        <v>459</v>
      </c>
      <c r="B1433" s="25"/>
      <c r="C1433" s="25"/>
      <c r="D1433" s="25"/>
      <c r="E1433" s="25"/>
      <c r="F1433" s="25"/>
    </row>
    <row r="1434" ht="20" customHeight="1" hidden="1" spans="1:6" x14ac:dyDescent="0.25" outlineLevel="1" collapsed="1">
      <c r="A1434" s="26" t="s">
        <v>460</v>
      </c>
      <c r="B1434" s="26" t="s">
        <v>461</v>
      </c>
      <c r="C1434" s="26" t="s">
        <v>462</v>
      </c>
      <c r="D1434" s="26" t="s">
        <v>32</v>
      </c>
      <c r="E1434" s="26" t="s">
        <v>463</v>
      </c>
      <c r="F1434" s="26" t="s">
        <v>464</v>
      </c>
    </row>
    <row r="1435" ht="21" customHeight="1" hidden="1" spans="1:6" x14ac:dyDescent="0.25" outlineLevel="1" collapsed="1">
      <c r="A1435" s="27">
        <v>4220</v>
      </c>
      <c r="B1435" s="28" t="s">
        <v>465</v>
      </c>
      <c r="C1435" s="27" t="s">
        <v>466</v>
      </c>
      <c r="D1435" s="29" t="s">
        <v>32</v>
      </c>
      <c r="E1435" s="28" t="s">
        <v>675</v>
      </c>
      <c r="F1435" s="28" t="s">
        <v>32</v>
      </c>
    </row>
    <row r="1436" ht="21" customHeight="1" hidden="1" spans="1:6" x14ac:dyDescent="0.25" outlineLevel="1" collapsed="1">
      <c r="A1436" s="27">
        <v>4240</v>
      </c>
      <c r="B1436" s="28" t="s">
        <v>471</v>
      </c>
      <c r="C1436" s="27" t="s">
        <v>472</v>
      </c>
      <c r="D1436" s="29" t="s">
        <v>32</v>
      </c>
      <c r="E1436" s="28" t="s">
        <v>676</v>
      </c>
      <c r="F1436" s="28" t="s">
        <v>32</v>
      </c>
    </row>
    <row r="1437" ht="51" customHeight="1" hidden="1" spans="1:6" x14ac:dyDescent="0.25" outlineLevel="1" collapsed="1">
      <c r="A1437" s="27">
        <v>4230</v>
      </c>
      <c r="B1437" s="28" t="s">
        <v>480</v>
      </c>
      <c r="C1437" s="27" t="s">
        <v>472</v>
      </c>
      <c r="D1437" s="29" t="s">
        <v>32</v>
      </c>
      <c r="E1437" s="28" t="s">
        <v>481</v>
      </c>
      <c r="F1437" s="28" t="s">
        <v>677</v>
      </c>
    </row>
    <row r="1438" ht="21" customHeight="1" hidden="1" spans="1:6" x14ac:dyDescent="0.25" outlineLevel="1" collapsed="1">
      <c r="A1438" s="30" t="s">
        <v>32</v>
      </c>
      <c r="B1438" s="17" t="s">
        <v>32</v>
      </c>
      <c r="C1438" s="30" t="s">
        <v>32</v>
      </c>
      <c r="D1438" s="31" t="s">
        <v>32</v>
      </c>
      <c r="E1438" s="17" t="s">
        <v>483</v>
      </c>
      <c r="F1438" s="17" t="s">
        <v>32</v>
      </c>
    </row>
    <row r="1439" ht="36" customHeight="1" hidden="1" spans="1:6" x14ac:dyDescent="0.25" outlineLevel="1" collapsed="1">
      <c r="A1439" s="32" t="s">
        <v>32</v>
      </c>
      <c r="B1439" s="12" t="s">
        <v>32</v>
      </c>
      <c r="C1439" s="32" t="s">
        <v>32</v>
      </c>
      <c r="D1439" s="31" t="s">
        <v>32</v>
      </c>
      <c r="E1439" s="12" t="s">
        <v>678</v>
      </c>
      <c r="F1439" s="12" t="s">
        <v>32</v>
      </c>
    </row>
    <row r="1440" ht="21" customHeight="1" hidden="1" spans="1:6" x14ac:dyDescent="0.25" outlineLevel="1" collapsed="1">
      <c r="A1440" s="30" t="s">
        <v>32</v>
      </c>
      <c r="B1440" s="17" t="s">
        <v>32</v>
      </c>
      <c r="C1440" s="30" t="s">
        <v>32</v>
      </c>
      <c r="D1440" s="31" t="s">
        <v>32</v>
      </c>
      <c r="E1440" s="17" t="s">
        <v>486</v>
      </c>
      <c r="F1440" s="17" t="s">
        <v>32</v>
      </c>
    </row>
    <row r="1441" ht="21" customHeight="1" hidden="1" spans="1:6" x14ac:dyDescent="0.25" outlineLevel="1" collapsed="1">
      <c r="A1441" s="32" t="s">
        <v>32</v>
      </c>
      <c r="B1441" s="12" t="s">
        <v>32</v>
      </c>
      <c r="C1441" s="32" t="s">
        <v>32</v>
      </c>
      <c r="D1441" s="31" t="s">
        <v>32</v>
      </c>
      <c r="E1441" s="12" t="s">
        <v>487</v>
      </c>
      <c r="F1441" s="12" t="s">
        <v>32</v>
      </c>
    </row>
    <row r="1442" ht="21" customHeight="1" hidden="1" spans="1:6" x14ac:dyDescent="0.25" outlineLevel="1" collapsed="1">
      <c r="A1442" s="30" t="s">
        <v>32</v>
      </c>
      <c r="B1442" s="17" t="s">
        <v>32</v>
      </c>
      <c r="C1442" s="30" t="s">
        <v>32</v>
      </c>
      <c r="D1442" s="31" t="s">
        <v>32</v>
      </c>
      <c r="E1442" s="17" t="s">
        <v>488</v>
      </c>
      <c r="F1442" s="17" t="s">
        <v>32</v>
      </c>
    </row>
    <row r="1443" ht="21" customHeight="1" hidden="1" spans="1:6" x14ac:dyDescent="0.25" outlineLevel="1" collapsed="1">
      <c r="A1443" s="32" t="s">
        <v>32</v>
      </c>
      <c r="B1443" s="12" t="s">
        <v>32</v>
      </c>
      <c r="C1443" s="32" t="s">
        <v>32</v>
      </c>
      <c r="D1443" s="31" t="s">
        <v>32</v>
      </c>
      <c r="E1443" s="12" t="s">
        <v>489</v>
      </c>
      <c r="F1443" s="12" t="s">
        <v>32</v>
      </c>
    </row>
    <row r="1444" ht="21" customHeight="1" hidden="1" spans="1:6" x14ac:dyDescent="0.25" outlineLevel="1" collapsed="1">
      <c r="A1444" s="30" t="s">
        <v>32</v>
      </c>
      <c r="B1444" s="17" t="s">
        <v>32</v>
      </c>
      <c r="C1444" s="30" t="s">
        <v>32</v>
      </c>
      <c r="D1444" s="31" t="s">
        <v>32</v>
      </c>
      <c r="E1444" s="17" t="s">
        <v>679</v>
      </c>
      <c r="F1444" s="17" t="s">
        <v>32</v>
      </c>
    </row>
    <row r="1445" ht="21" customHeight="1" hidden="1" spans="1:6" x14ac:dyDescent="0.25" outlineLevel="1" collapsed="1">
      <c r="A1445" s="32" t="s">
        <v>32</v>
      </c>
      <c r="B1445" s="12" t="s">
        <v>32</v>
      </c>
      <c r="C1445" s="32" t="s">
        <v>32</v>
      </c>
      <c r="D1445" s="31" t="s">
        <v>32</v>
      </c>
      <c r="E1445" s="12" t="s">
        <v>491</v>
      </c>
      <c r="F1445" s="12" t="s">
        <v>32</v>
      </c>
    </row>
    <row r="1446" ht="21" customHeight="1" hidden="1" spans="1:6" x14ac:dyDescent="0.25" outlineLevel="1" collapsed="1">
      <c r="A1446" s="30" t="s">
        <v>32</v>
      </c>
      <c r="B1446" s="17" t="s">
        <v>32</v>
      </c>
      <c r="C1446" s="30" t="s">
        <v>32</v>
      </c>
      <c r="D1446" s="31" t="s">
        <v>32</v>
      </c>
      <c r="E1446" s="17" t="s">
        <v>492</v>
      </c>
      <c r="F1446" s="17" t="s">
        <v>32</v>
      </c>
    </row>
    <row r="1447" ht="21" customHeight="1" hidden="1" spans="1:6" x14ac:dyDescent="0.25" outlineLevel="1" collapsed="1">
      <c r="A1447" s="32" t="s">
        <v>32</v>
      </c>
      <c r="B1447" s="12" t="s">
        <v>32</v>
      </c>
      <c r="C1447" s="32" t="s">
        <v>32</v>
      </c>
      <c r="D1447" s="31" t="s">
        <v>32</v>
      </c>
      <c r="E1447" s="33" t="s">
        <v>680</v>
      </c>
      <c r="F1447" s="12" t="s">
        <v>32</v>
      </c>
    </row>
    <row r="1448" ht="22" customHeight="1" hidden="1" spans="1:6" x14ac:dyDescent="0.25" outlineLevel="1" collapsed="1">
      <c r="A1448" s="34" t="s">
        <v>495</v>
      </c>
      <c r="B1448" s="34"/>
      <c r="C1448" s="34"/>
      <c r="D1448" s="34"/>
      <c r="E1448" s="34"/>
      <c r="F1448" s="34"/>
    </row>
    <row r="1449" ht="24" customHeight="1" hidden="1" spans="1:6" x14ac:dyDescent="0.25" outlineLevel="1" collapsed="1">
      <c r="A1449" s="12" t="s">
        <v>681</v>
      </c>
      <c r="B1449" s="12"/>
      <c r="C1449" s="12"/>
      <c r="D1449" s="12"/>
      <c r="E1449" s="12"/>
      <c r="F1449" s="12"/>
    </row>
    <row r="1450" ht="24" customHeight="1" hidden="1" spans="1:6" x14ac:dyDescent="0.25" outlineLevel="1" collapsed="1">
      <c r="A1450" s="12" t="s">
        <v>682</v>
      </c>
      <c r="B1450" s="12"/>
      <c r="C1450" s="12"/>
      <c r="D1450" s="12"/>
      <c r="E1450" s="12"/>
      <c r="F1450" s="12"/>
    </row>
    <row r="1451" ht="56" customHeight="1" hidden="1" spans="1:6" x14ac:dyDescent="0.25" outlineLevel="1" collapsed="1">
      <c r="A1451" s="12" t="s">
        <v>683</v>
      </c>
      <c r="B1451" s="12"/>
      <c r="C1451" s="12"/>
      <c r="D1451" s="12"/>
      <c r="E1451" s="12"/>
      <c r="F1451" s="12"/>
    </row>
    <row r="1452" ht="24" customHeight="1" hidden="1" spans="1:6" x14ac:dyDescent="0.25" outlineLevel="1" collapsed="1">
      <c r="A1452" s="12" t="s">
        <v>684</v>
      </c>
      <c r="B1452" s="12"/>
      <c r="C1452" s="12"/>
      <c r="D1452" s="12"/>
      <c r="E1452" s="12"/>
      <c r="F1452" s="12"/>
    </row>
    <row r="1453" ht="6" customHeight="1" hidden="1" x14ac:dyDescent="0.25" outlineLevel="1" collapsed="1"/>
    <row r="1454" ht="22" customHeight="1" spans="1:6" x14ac:dyDescent="0.25">
      <c r="A1454" s="25" t="s">
        <v>500</v>
      </c>
      <c r="B1454" s="25"/>
      <c r="C1454" s="25"/>
      <c r="D1454" s="25"/>
      <c r="E1454" s="25"/>
      <c r="F1454" s="25"/>
    </row>
    <row r="1455" ht="20" customHeight="1" hidden="1" spans="1:6" x14ac:dyDescent="0.25" outlineLevel="1" collapsed="1">
      <c r="A1455" s="26" t="s">
        <v>460</v>
      </c>
      <c r="B1455" s="26" t="s">
        <v>461</v>
      </c>
      <c r="C1455" s="26" t="s">
        <v>462</v>
      </c>
      <c r="D1455" s="26" t="s">
        <v>32</v>
      </c>
      <c r="E1455" s="26" t="s">
        <v>463</v>
      </c>
      <c r="F1455" s="26" t="s">
        <v>464</v>
      </c>
    </row>
    <row r="1456" ht="36" customHeight="1" hidden="1" spans="1:6" x14ac:dyDescent="0.25" outlineLevel="1" collapsed="1">
      <c r="A1456" s="27">
        <v>4220</v>
      </c>
      <c r="B1456" s="28" t="s">
        <v>501</v>
      </c>
      <c r="C1456" s="27" t="s">
        <v>466</v>
      </c>
      <c r="D1456" s="29" t="s">
        <v>32</v>
      </c>
      <c r="E1456" s="28" t="s">
        <v>518</v>
      </c>
      <c r="F1456" s="28" t="s">
        <v>32</v>
      </c>
    </row>
    <row r="1457" ht="51" customHeight="1" hidden="1" spans="1:6" x14ac:dyDescent="0.25" outlineLevel="1" collapsed="1">
      <c r="A1457" s="27">
        <v>4240</v>
      </c>
      <c r="B1457" s="28" t="s">
        <v>504</v>
      </c>
      <c r="C1457" s="27" t="s">
        <v>472</v>
      </c>
      <c r="D1457" s="29" t="s">
        <v>32</v>
      </c>
      <c r="E1457" s="28" t="s">
        <v>685</v>
      </c>
      <c r="F1457" s="28" t="s">
        <v>686</v>
      </c>
    </row>
    <row r="1458" ht="21" customHeight="1" hidden="1" spans="1:6" x14ac:dyDescent="0.25" outlineLevel="1" collapsed="1">
      <c r="A1458" s="30" t="s">
        <v>32</v>
      </c>
      <c r="B1458" s="17" t="s">
        <v>32</v>
      </c>
      <c r="C1458" s="30" t="s">
        <v>32</v>
      </c>
      <c r="D1458" s="31" t="s">
        <v>32</v>
      </c>
      <c r="E1458" s="17" t="s">
        <v>687</v>
      </c>
      <c r="F1458" s="17" t="s">
        <v>32</v>
      </c>
    </row>
    <row r="1459" ht="21" customHeight="1" hidden="1" spans="1:6" x14ac:dyDescent="0.25" outlineLevel="1" collapsed="1">
      <c r="A1459" s="32" t="s">
        <v>32</v>
      </c>
      <c r="B1459" s="12" t="s">
        <v>32</v>
      </c>
      <c r="C1459" s="32" t="s">
        <v>32</v>
      </c>
      <c r="D1459" s="31" t="s">
        <v>32</v>
      </c>
      <c r="E1459" s="33" t="s">
        <v>688</v>
      </c>
      <c r="F1459" s="12" t="s">
        <v>32</v>
      </c>
    </row>
    <row r="1460" ht="51" customHeight="1" hidden="1" spans="1:6" x14ac:dyDescent="0.25" outlineLevel="1" collapsed="1">
      <c r="A1460" s="27">
        <v>4245</v>
      </c>
      <c r="B1460" s="28" t="s">
        <v>505</v>
      </c>
      <c r="C1460" s="27" t="s">
        <v>466</v>
      </c>
      <c r="D1460" s="29" t="s">
        <v>32</v>
      </c>
      <c r="E1460" s="28" t="s">
        <v>518</v>
      </c>
      <c r="F1460" s="28" t="s">
        <v>32</v>
      </c>
    </row>
    <row r="1461" ht="22" customHeight="1" hidden="1" spans="1:6" x14ac:dyDescent="0.25" outlineLevel="1" collapsed="1">
      <c r="A1461" s="34" t="s">
        <v>495</v>
      </c>
      <c r="B1461" s="34"/>
      <c r="C1461" s="34"/>
      <c r="D1461" s="34"/>
      <c r="E1461" s="34"/>
      <c r="F1461" s="34"/>
    </row>
    <row r="1462" ht="24" customHeight="1" hidden="1" spans="1:6" x14ac:dyDescent="0.25" outlineLevel="1" collapsed="1">
      <c r="A1462" s="12" t="s">
        <v>689</v>
      </c>
      <c r="B1462" s="12"/>
      <c r="C1462" s="12"/>
      <c r="D1462" s="12"/>
      <c r="E1462" s="12"/>
      <c r="F1462" s="12"/>
    </row>
    <row r="1463" ht="24" customHeight="1" hidden="1" spans="1:6" x14ac:dyDescent="0.25" outlineLevel="1" collapsed="1">
      <c r="A1463" s="12" t="s">
        <v>690</v>
      </c>
      <c r="B1463" s="12"/>
      <c r="C1463" s="12"/>
      <c r="D1463" s="12"/>
      <c r="E1463" s="12"/>
      <c r="F1463" s="12"/>
    </row>
    <row r="1464" ht="24" customHeight="1" hidden="1" spans="1:6" x14ac:dyDescent="0.25" outlineLevel="1" collapsed="1">
      <c r="A1464" s="12" t="s">
        <v>691</v>
      </c>
      <c r="B1464" s="12"/>
      <c r="C1464" s="12"/>
      <c r="D1464" s="12"/>
      <c r="E1464" s="12"/>
      <c r="F1464" s="12"/>
    </row>
    <row r="1465" ht="40" customHeight="1" hidden="1" spans="1:6" x14ac:dyDescent="0.25" outlineLevel="1" collapsed="1">
      <c r="A1465" s="12" t="s">
        <v>692</v>
      </c>
      <c r="B1465" s="12"/>
      <c r="C1465" s="12"/>
      <c r="D1465" s="12"/>
      <c r="E1465" s="12"/>
      <c r="F1465" s="12"/>
    </row>
    <row r="1466" ht="24" customHeight="1" hidden="1" spans="1:6" x14ac:dyDescent="0.25" outlineLevel="1" collapsed="1">
      <c r="A1466" s="12" t="s">
        <v>684</v>
      </c>
      <c r="B1466" s="12"/>
      <c r="C1466" s="12"/>
      <c r="D1466" s="12"/>
      <c r="E1466" s="12"/>
      <c r="F1466" s="12"/>
    </row>
    <row r="1467" ht="6" customHeight="1" hidden="1" x14ac:dyDescent="0.25" outlineLevel="1" collapsed="1"/>
    <row r="1468" ht="22" customHeight="1" spans="1:6" x14ac:dyDescent="0.25">
      <c r="A1468" s="25" t="s">
        <v>513</v>
      </c>
      <c r="B1468" s="25"/>
      <c r="C1468" s="25"/>
      <c r="D1468" s="25"/>
      <c r="E1468" s="25"/>
      <c r="F1468" s="25"/>
    </row>
    <row r="1469" ht="20" customHeight="1" hidden="1" spans="1:6" x14ac:dyDescent="0.25" outlineLevel="1" collapsed="1">
      <c r="A1469" s="26" t="s">
        <v>460</v>
      </c>
      <c r="B1469" s="26" t="s">
        <v>461</v>
      </c>
      <c r="C1469" s="26" t="s">
        <v>462</v>
      </c>
      <c r="D1469" s="26" t="s">
        <v>32</v>
      </c>
      <c r="E1469" s="26" t="s">
        <v>463</v>
      </c>
      <c r="F1469" s="26" t="s">
        <v>464</v>
      </c>
    </row>
    <row r="1470" ht="21" customHeight="1" hidden="1" spans="1:6" x14ac:dyDescent="0.25" outlineLevel="1" collapsed="1">
      <c r="A1470" s="27">
        <v>4220</v>
      </c>
      <c r="B1470" s="28" t="s">
        <v>514</v>
      </c>
      <c r="C1470" s="27" t="s">
        <v>466</v>
      </c>
      <c r="D1470" s="29" t="s">
        <v>32</v>
      </c>
      <c r="E1470" s="28" t="s">
        <v>518</v>
      </c>
      <c r="F1470" s="28" t="s">
        <v>32</v>
      </c>
    </row>
    <row r="1471" ht="51" customHeight="1" hidden="1" spans="1:6" x14ac:dyDescent="0.25" outlineLevel="1" collapsed="1">
      <c r="A1471" s="27">
        <v>4240</v>
      </c>
      <c r="B1471" s="28" t="s">
        <v>515</v>
      </c>
      <c r="C1471" s="27" t="s">
        <v>472</v>
      </c>
      <c r="D1471" s="29" t="s">
        <v>32</v>
      </c>
      <c r="E1471" s="28" t="s">
        <v>685</v>
      </c>
      <c r="F1471" s="28" t="s">
        <v>686</v>
      </c>
    </row>
    <row r="1472" ht="21" customHeight="1" hidden="1" spans="1:6" x14ac:dyDescent="0.25" outlineLevel="1" collapsed="1">
      <c r="A1472" s="30" t="s">
        <v>32</v>
      </c>
      <c r="B1472" s="17" t="s">
        <v>32</v>
      </c>
      <c r="C1472" s="30" t="s">
        <v>32</v>
      </c>
      <c r="D1472" s="31" t="s">
        <v>32</v>
      </c>
      <c r="E1472" s="17" t="s">
        <v>687</v>
      </c>
      <c r="F1472" s="17" t="s">
        <v>32</v>
      </c>
    </row>
    <row r="1473" ht="21" customHeight="1" hidden="1" spans="1:6" x14ac:dyDescent="0.25" outlineLevel="1" collapsed="1">
      <c r="A1473" s="32" t="s">
        <v>32</v>
      </c>
      <c r="B1473" s="12" t="s">
        <v>32</v>
      </c>
      <c r="C1473" s="32" t="s">
        <v>32</v>
      </c>
      <c r="D1473" s="31" t="s">
        <v>32</v>
      </c>
      <c r="E1473" s="33" t="s">
        <v>688</v>
      </c>
      <c r="F1473" s="12" t="s">
        <v>32</v>
      </c>
    </row>
    <row r="1474" ht="36" customHeight="1" hidden="1" spans="1:6" x14ac:dyDescent="0.25" outlineLevel="1" collapsed="1">
      <c r="A1474" s="27">
        <v>4245</v>
      </c>
      <c r="B1474" s="28" t="s">
        <v>516</v>
      </c>
      <c r="C1474" s="27" t="s">
        <v>466</v>
      </c>
      <c r="D1474" s="29" t="s">
        <v>32</v>
      </c>
      <c r="E1474" s="28" t="s">
        <v>518</v>
      </c>
      <c r="F1474" s="28" t="s">
        <v>32</v>
      </c>
    </row>
    <row r="1475" ht="21" customHeight="1" hidden="1" spans="1:6" x14ac:dyDescent="0.25" outlineLevel="1" collapsed="1">
      <c r="A1475" s="27">
        <v>4230</v>
      </c>
      <c r="B1475" s="28" t="s">
        <v>517</v>
      </c>
      <c r="C1475" s="27" t="s">
        <v>472</v>
      </c>
      <c r="D1475" s="29" t="s">
        <v>32</v>
      </c>
      <c r="E1475" s="28" t="s">
        <v>518</v>
      </c>
      <c r="F1475" s="28" t="s">
        <v>32</v>
      </c>
    </row>
    <row r="1476" ht="22" customHeight="1" hidden="1" spans="1:6" x14ac:dyDescent="0.25" outlineLevel="1" collapsed="1">
      <c r="A1476" s="34" t="s">
        <v>495</v>
      </c>
      <c r="B1476" s="34"/>
      <c r="C1476" s="34"/>
      <c r="D1476" s="34"/>
      <c r="E1476" s="34"/>
      <c r="F1476" s="34"/>
    </row>
    <row r="1477" ht="24" customHeight="1" hidden="1" spans="1:6" x14ac:dyDescent="0.25" outlineLevel="1" collapsed="1">
      <c r="A1477" s="12" t="s">
        <v>689</v>
      </c>
      <c r="B1477" s="12"/>
      <c r="C1477" s="12"/>
      <c r="D1477" s="12"/>
      <c r="E1477" s="12"/>
      <c r="F1477" s="12"/>
    </row>
    <row r="1478" ht="24" customHeight="1" hidden="1" spans="1:6" x14ac:dyDescent="0.25" outlineLevel="1" collapsed="1">
      <c r="A1478" s="12" t="s">
        <v>690</v>
      </c>
      <c r="B1478" s="12"/>
      <c r="C1478" s="12"/>
      <c r="D1478" s="12"/>
      <c r="E1478" s="12"/>
      <c r="F1478" s="12"/>
    </row>
    <row r="1479" ht="24" customHeight="1" hidden="1" spans="1:6" x14ac:dyDescent="0.25" outlineLevel="1" collapsed="1">
      <c r="A1479" s="12" t="s">
        <v>691</v>
      </c>
      <c r="B1479" s="12"/>
      <c r="C1479" s="12"/>
      <c r="D1479" s="12"/>
      <c r="E1479" s="12"/>
      <c r="F1479" s="12"/>
    </row>
    <row r="1480" ht="24" customHeight="1" hidden="1" spans="1:6" x14ac:dyDescent="0.25" outlineLevel="1" collapsed="1">
      <c r="A1480" s="12" t="s">
        <v>693</v>
      </c>
      <c r="B1480" s="12"/>
      <c r="C1480" s="12"/>
      <c r="D1480" s="12"/>
      <c r="E1480" s="12"/>
      <c r="F1480" s="12"/>
    </row>
    <row r="1481" ht="40" customHeight="1" hidden="1" spans="1:6" x14ac:dyDescent="0.25" outlineLevel="1" collapsed="1">
      <c r="A1481" s="12" t="s">
        <v>692</v>
      </c>
      <c r="B1481" s="12"/>
      <c r="C1481" s="12"/>
      <c r="D1481" s="12"/>
      <c r="E1481" s="12"/>
      <c r="F1481" s="12"/>
    </row>
    <row r="1482" ht="24" customHeight="1" hidden="1" spans="1:6" x14ac:dyDescent="0.25" outlineLevel="1" collapsed="1">
      <c r="A1482" s="12" t="s">
        <v>684</v>
      </c>
      <c r="B1482" s="12"/>
      <c r="C1482" s="12"/>
      <c r="D1482" s="12"/>
      <c r="E1482" s="12"/>
      <c r="F1482" s="12"/>
    </row>
    <row r="1483" ht="6" customHeight="1" hidden="1" x14ac:dyDescent="0.25" outlineLevel="1" collapsed="1"/>
    <row r="1484" ht="22" customHeight="1" spans="1:6" x14ac:dyDescent="0.25">
      <c r="A1484" s="25" t="s">
        <v>520</v>
      </c>
      <c r="B1484" s="25"/>
      <c r="C1484" s="25"/>
      <c r="D1484" s="25"/>
      <c r="E1484" s="25"/>
      <c r="F1484" s="25"/>
    </row>
    <row r="1485" ht="20" customHeight="1" hidden="1" spans="1:6" x14ac:dyDescent="0.25" outlineLevel="1" collapsed="1">
      <c r="A1485" s="26" t="s">
        <v>460</v>
      </c>
      <c r="B1485" s="26" t="s">
        <v>461</v>
      </c>
      <c r="C1485" s="26" t="s">
        <v>462</v>
      </c>
      <c r="D1485" s="26" t="s">
        <v>32</v>
      </c>
      <c r="E1485" s="26" t="s">
        <v>463</v>
      </c>
      <c r="F1485" s="26" t="s">
        <v>464</v>
      </c>
    </row>
    <row r="1486" ht="36" customHeight="1" hidden="1" spans="1:6" x14ac:dyDescent="0.25" outlineLevel="1" collapsed="1">
      <c r="A1486" s="27">
        <v>4220</v>
      </c>
      <c r="B1486" s="28" t="s">
        <v>521</v>
      </c>
      <c r="C1486" s="27" t="s">
        <v>466</v>
      </c>
      <c r="D1486" s="29" t="s">
        <v>32</v>
      </c>
      <c r="E1486" s="28" t="s">
        <v>675</v>
      </c>
      <c r="F1486" s="28" t="s">
        <v>32</v>
      </c>
    </row>
    <row r="1487" ht="36" customHeight="1" hidden="1" spans="1:6" x14ac:dyDescent="0.25" outlineLevel="1" collapsed="1">
      <c r="A1487" s="27">
        <v>4240</v>
      </c>
      <c r="B1487" s="28" t="s">
        <v>523</v>
      </c>
      <c r="C1487" s="27" t="s">
        <v>472</v>
      </c>
      <c r="D1487" s="29" t="s">
        <v>32</v>
      </c>
      <c r="E1487" s="28" t="s">
        <v>676</v>
      </c>
      <c r="F1487" s="28" t="s">
        <v>32</v>
      </c>
    </row>
    <row r="1488" ht="51" customHeight="1" hidden="1" spans="1:6" x14ac:dyDescent="0.25" outlineLevel="1" collapsed="1">
      <c r="A1488" s="27">
        <v>4230</v>
      </c>
      <c r="B1488" s="28" t="s">
        <v>525</v>
      </c>
      <c r="C1488" s="27" t="s">
        <v>472</v>
      </c>
      <c r="D1488" s="29" t="s">
        <v>32</v>
      </c>
      <c r="E1488" s="28" t="s">
        <v>526</v>
      </c>
      <c r="F1488" s="28" t="s">
        <v>482</v>
      </c>
    </row>
    <row r="1489" ht="21" customHeight="1" hidden="1" spans="1:6" x14ac:dyDescent="0.25" outlineLevel="1" collapsed="1">
      <c r="A1489" s="30" t="s">
        <v>32</v>
      </c>
      <c r="B1489" s="17" t="s">
        <v>32</v>
      </c>
      <c r="C1489" s="30" t="s">
        <v>32</v>
      </c>
      <c r="D1489" s="31" t="s">
        <v>32</v>
      </c>
      <c r="E1489" s="17" t="s">
        <v>528</v>
      </c>
      <c r="F1489" s="17" t="s">
        <v>32</v>
      </c>
    </row>
    <row r="1490" ht="36" customHeight="1" hidden="1" spans="1:6" x14ac:dyDescent="0.25" outlineLevel="1" collapsed="1">
      <c r="A1490" s="32" t="s">
        <v>32</v>
      </c>
      <c r="B1490" s="12" t="s">
        <v>32</v>
      </c>
      <c r="C1490" s="32" t="s">
        <v>32</v>
      </c>
      <c r="D1490" s="31" t="s">
        <v>32</v>
      </c>
      <c r="E1490" s="12" t="s">
        <v>694</v>
      </c>
      <c r="F1490" s="12" t="s">
        <v>32</v>
      </c>
    </row>
    <row r="1491" ht="21" customHeight="1" hidden="1" spans="1:6" x14ac:dyDescent="0.25" outlineLevel="1" collapsed="1">
      <c r="A1491" s="30" t="s">
        <v>32</v>
      </c>
      <c r="B1491" s="17" t="s">
        <v>32</v>
      </c>
      <c r="C1491" s="30" t="s">
        <v>32</v>
      </c>
      <c r="D1491" s="31" t="s">
        <v>32</v>
      </c>
      <c r="E1491" s="17" t="s">
        <v>531</v>
      </c>
      <c r="F1491" s="17" t="s">
        <v>32</v>
      </c>
    </row>
    <row r="1492" ht="21" customHeight="1" hidden="1" spans="1:6" x14ac:dyDescent="0.25" outlineLevel="1" collapsed="1">
      <c r="A1492" s="32" t="s">
        <v>32</v>
      </c>
      <c r="B1492" s="12" t="s">
        <v>32</v>
      </c>
      <c r="C1492" s="32" t="s">
        <v>32</v>
      </c>
      <c r="D1492" s="31" t="s">
        <v>32</v>
      </c>
      <c r="E1492" s="12" t="s">
        <v>487</v>
      </c>
      <c r="F1492" s="12" t="s">
        <v>32</v>
      </c>
    </row>
    <row r="1493" ht="21" customHeight="1" hidden="1" spans="1:6" x14ac:dyDescent="0.25" outlineLevel="1" collapsed="1">
      <c r="A1493" s="30" t="s">
        <v>32</v>
      </c>
      <c r="B1493" s="17" t="s">
        <v>32</v>
      </c>
      <c r="C1493" s="30" t="s">
        <v>32</v>
      </c>
      <c r="D1493" s="31" t="s">
        <v>32</v>
      </c>
      <c r="E1493" s="17" t="s">
        <v>695</v>
      </c>
      <c r="F1493" s="17" t="s">
        <v>32</v>
      </c>
    </row>
    <row r="1494" ht="21" customHeight="1" hidden="1" spans="1:6" x14ac:dyDescent="0.25" outlineLevel="1" collapsed="1">
      <c r="A1494" s="32" t="s">
        <v>32</v>
      </c>
      <c r="B1494" s="12" t="s">
        <v>32</v>
      </c>
      <c r="C1494" s="32" t="s">
        <v>32</v>
      </c>
      <c r="D1494" s="31" t="s">
        <v>32</v>
      </c>
      <c r="E1494" s="12" t="s">
        <v>533</v>
      </c>
      <c r="F1494" s="12" t="s">
        <v>32</v>
      </c>
    </row>
    <row r="1495" ht="21" customHeight="1" hidden="1" spans="1:6" x14ac:dyDescent="0.25" outlineLevel="1" collapsed="1">
      <c r="A1495" s="30" t="s">
        <v>32</v>
      </c>
      <c r="B1495" s="17" t="s">
        <v>32</v>
      </c>
      <c r="C1495" s="30" t="s">
        <v>32</v>
      </c>
      <c r="D1495" s="31" t="s">
        <v>32</v>
      </c>
      <c r="E1495" s="17" t="s">
        <v>534</v>
      </c>
      <c r="F1495" s="17" t="s">
        <v>32</v>
      </c>
    </row>
    <row r="1496" ht="21" customHeight="1" hidden="1" spans="1:6" x14ac:dyDescent="0.25" outlineLevel="1" collapsed="1">
      <c r="A1496" s="32" t="s">
        <v>32</v>
      </c>
      <c r="B1496" s="12" t="s">
        <v>32</v>
      </c>
      <c r="C1496" s="32" t="s">
        <v>32</v>
      </c>
      <c r="D1496" s="31" t="s">
        <v>32</v>
      </c>
      <c r="E1496" s="12" t="s">
        <v>535</v>
      </c>
      <c r="F1496" s="12" t="s">
        <v>32</v>
      </c>
    </row>
    <row r="1497" ht="21" customHeight="1" hidden="1" spans="1:6" x14ac:dyDescent="0.25" outlineLevel="1" collapsed="1">
      <c r="A1497" s="30" t="s">
        <v>32</v>
      </c>
      <c r="B1497" s="17" t="s">
        <v>32</v>
      </c>
      <c r="C1497" s="30" t="s">
        <v>32</v>
      </c>
      <c r="D1497" s="31" t="s">
        <v>32</v>
      </c>
      <c r="E1497" s="17" t="s">
        <v>696</v>
      </c>
      <c r="F1497" s="17" t="s">
        <v>32</v>
      </c>
    </row>
    <row r="1498" ht="21" customHeight="1" hidden="1" spans="1:6" x14ac:dyDescent="0.25" outlineLevel="1" collapsed="1">
      <c r="A1498" s="32" t="s">
        <v>32</v>
      </c>
      <c r="B1498" s="12" t="s">
        <v>32</v>
      </c>
      <c r="C1498" s="32" t="s">
        <v>32</v>
      </c>
      <c r="D1498" s="31" t="s">
        <v>32</v>
      </c>
      <c r="E1498" s="12" t="s">
        <v>491</v>
      </c>
      <c r="F1498" s="12" t="s">
        <v>32</v>
      </c>
    </row>
    <row r="1499" ht="21" customHeight="1" hidden="1" spans="1:6" x14ac:dyDescent="0.25" outlineLevel="1" collapsed="1">
      <c r="A1499" s="30" t="s">
        <v>32</v>
      </c>
      <c r="B1499" s="17" t="s">
        <v>32</v>
      </c>
      <c r="C1499" s="30" t="s">
        <v>32</v>
      </c>
      <c r="D1499" s="31" t="s">
        <v>32</v>
      </c>
      <c r="E1499" s="17" t="s">
        <v>537</v>
      </c>
      <c r="F1499" s="17" t="s">
        <v>32</v>
      </c>
    </row>
    <row r="1500" ht="21" customHeight="1" hidden="1" spans="1:6" x14ac:dyDescent="0.25" outlineLevel="1" collapsed="1">
      <c r="A1500" s="32" t="s">
        <v>32</v>
      </c>
      <c r="B1500" s="12" t="s">
        <v>32</v>
      </c>
      <c r="C1500" s="32" t="s">
        <v>32</v>
      </c>
      <c r="D1500" s="31" t="s">
        <v>32</v>
      </c>
      <c r="E1500" s="33" t="s">
        <v>697</v>
      </c>
      <c r="F1500" s="12" t="s">
        <v>32</v>
      </c>
    </row>
    <row r="1501" ht="22" customHeight="1" hidden="1" spans="1:6" x14ac:dyDescent="0.25" outlineLevel="1" collapsed="1">
      <c r="A1501" s="34" t="s">
        <v>495</v>
      </c>
      <c r="B1501" s="34"/>
      <c r="C1501" s="34"/>
      <c r="D1501" s="34"/>
      <c r="E1501" s="34"/>
      <c r="F1501" s="34"/>
    </row>
    <row r="1502" ht="24" customHeight="1" hidden="1" spans="1:6" x14ac:dyDescent="0.25" outlineLevel="1" collapsed="1">
      <c r="A1502" s="12" t="s">
        <v>681</v>
      </c>
      <c r="B1502" s="12"/>
      <c r="C1502" s="12"/>
      <c r="D1502" s="12"/>
      <c r="E1502" s="12"/>
      <c r="F1502" s="12"/>
    </row>
    <row r="1503" ht="24" customHeight="1" hidden="1" spans="1:6" x14ac:dyDescent="0.25" outlineLevel="1" collapsed="1">
      <c r="A1503" s="12" t="s">
        <v>682</v>
      </c>
      <c r="B1503" s="12"/>
      <c r="C1503" s="12"/>
      <c r="D1503" s="12"/>
      <c r="E1503" s="12"/>
      <c r="F1503" s="12"/>
    </row>
    <row r="1504" ht="56" customHeight="1" hidden="1" spans="1:6" x14ac:dyDescent="0.25" outlineLevel="1" collapsed="1">
      <c r="A1504" s="12" t="s">
        <v>698</v>
      </c>
      <c r="B1504" s="12"/>
      <c r="C1504" s="12"/>
      <c r="D1504" s="12"/>
      <c r="E1504" s="12"/>
      <c r="F1504" s="12"/>
    </row>
    <row r="1505" ht="24" customHeight="1" hidden="1" spans="1:6" x14ac:dyDescent="0.25" outlineLevel="1" collapsed="1">
      <c r="A1505" s="12" t="s">
        <v>684</v>
      </c>
      <c r="B1505" s="12"/>
      <c r="C1505" s="12"/>
      <c r="D1505" s="12"/>
      <c r="E1505" s="12"/>
      <c r="F1505" s="12"/>
    </row>
    <row r="1506" ht="6" customHeight="1" hidden="1" x14ac:dyDescent="0.25" outlineLevel="1" collapsed="1"/>
    <row r="1507" ht="22" customHeight="1" spans="1:6" x14ac:dyDescent="0.25">
      <c r="A1507" s="25" t="s">
        <v>542</v>
      </c>
      <c r="B1507" s="25"/>
      <c r="C1507" s="25"/>
      <c r="D1507" s="25"/>
      <c r="E1507" s="25"/>
      <c r="F1507" s="25"/>
    </row>
    <row r="1508" ht="20" customHeight="1" hidden="1" spans="1:6" x14ac:dyDescent="0.25" outlineLevel="1" collapsed="1">
      <c r="A1508" s="26" t="s">
        <v>460</v>
      </c>
      <c r="B1508" s="26" t="s">
        <v>461</v>
      </c>
      <c r="C1508" s="26" t="s">
        <v>462</v>
      </c>
      <c r="D1508" s="26" t="s">
        <v>32</v>
      </c>
      <c r="E1508" s="26" t="s">
        <v>463</v>
      </c>
      <c r="F1508" s="26" t="s">
        <v>464</v>
      </c>
    </row>
    <row r="1509" ht="36" customHeight="1" hidden="1" spans="1:6" x14ac:dyDescent="0.25" outlineLevel="1" collapsed="1">
      <c r="A1509" s="27">
        <v>4220</v>
      </c>
      <c r="B1509" s="28" t="s">
        <v>543</v>
      </c>
      <c r="C1509" s="27" t="s">
        <v>466</v>
      </c>
      <c r="D1509" s="29" t="s">
        <v>32</v>
      </c>
      <c r="E1509" s="36" t="s">
        <v>699</v>
      </c>
      <c r="F1509" s="28" t="s">
        <v>32</v>
      </c>
    </row>
    <row r="1510" ht="36" customHeight="1" hidden="1" spans="1:6" x14ac:dyDescent="0.25" outlineLevel="1" collapsed="1">
      <c r="A1510" s="27">
        <v>4240</v>
      </c>
      <c r="B1510" s="28" t="s">
        <v>471</v>
      </c>
      <c r="C1510" s="27" t="s">
        <v>472</v>
      </c>
      <c r="D1510" s="29" t="s">
        <v>32</v>
      </c>
      <c r="E1510" s="36" t="s">
        <v>699</v>
      </c>
      <c r="F1510" s="28" t="s">
        <v>32</v>
      </c>
    </row>
    <row r="1511" ht="36" customHeight="1" hidden="1" spans="1:6" x14ac:dyDescent="0.25" outlineLevel="1" collapsed="1">
      <c r="A1511" s="27">
        <v>4230</v>
      </c>
      <c r="B1511" s="28" t="s">
        <v>544</v>
      </c>
      <c r="C1511" s="27" t="s">
        <v>472</v>
      </c>
      <c r="D1511" s="29" t="s">
        <v>32</v>
      </c>
      <c r="E1511" s="36" t="s">
        <v>699</v>
      </c>
      <c r="F1511" s="28" t="s">
        <v>32</v>
      </c>
    </row>
    <row r="1512" ht="22" customHeight="1" hidden="1" spans="1:6" x14ac:dyDescent="0.25" outlineLevel="1" collapsed="1">
      <c r="A1512" s="34" t="s">
        <v>495</v>
      </c>
      <c r="B1512" s="34"/>
      <c r="C1512" s="34"/>
      <c r="D1512" s="34"/>
      <c r="E1512" s="34"/>
      <c r="F1512" s="34"/>
    </row>
    <row r="1513" ht="24" customHeight="1" hidden="1" spans="1:6" x14ac:dyDescent="0.25" outlineLevel="1" collapsed="1">
      <c r="A1513" s="12" t="s">
        <v>700</v>
      </c>
      <c r="B1513" s="12"/>
      <c r="C1513" s="12"/>
      <c r="D1513" s="12"/>
      <c r="E1513" s="12"/>
      <c r="F1513" s="12"/>
    </row>
    <row r="1514" ht="24" customHeight="1" hidden="1" spans="1:6" x14ac:dyDescent="0.25" outlineLevel="1" collapsed="1">
      <c r="A1514" s="12" t="s">
        <v>701</v>
      </c>
      <c r="B1514" s="12"/>
      <c r="C1514" s="12"/>
      <c r="D1514" s="12"/>
      <c r="E1514" s="12"/>
      <c r="F1514" s="12"/>
    </row>
    <row r="1515" ht="24" customHeight="1" hidden="1" spans="1:6" x14ac:dyDescent="0.25" outlineLevel="1" collapsed="1">
      <c r="A1515" s="12" t="s">
        <v>702</v>
      </c>
      <c r="B1515" s="12"/>
      <c r="C1515" s="12"/>
      <c r="D1515" s="12"/>
      <c r="E1515" s="12"/>
      <c r="F1515" s="12"/>
    </row>
    <row r="1516" ht="24" customHeight="1" hidden="1" spans="1:6" x14ac:dyDescent="0.25" outlineLevel="1" collapsed="1">
      <c r="A1516" s="12" t="s">
        <v>684</v>
      </c>
      <c r="B1516" s="12"/>
      <c r="C1516" s="12"/>
      <c r="D1516" s="12"/>
      <c r="E1516" s="12"/>
      <c r="F1516" s="12"/>
    </row>
    <row r="1517" ht="6" customHeight="1" hidden="1" x14ac:dyDescent="0.25" outlineLevel="1" collapsed="1"/>
    <row r="1518" ht="22" customHeight="1" spans="1:6" x14ac:dyDescent="0.25">
      <c r="A1518" s="25" t="s">
        <v>559</v>
      </c>
      <c r="B1518" s="25"/>
      <c r="C1518" s="25"/>
      <c r="D1518" s="25"/>
      <c r="E1518" s="25"/>
      <c r="F1518" s="25"/>
    </row>
    <row r="1519" ht="20" customHeight="1" hidden="1" spans="1:6" x14ac:dyDescent="0.25" outlineLevel="1" collapsed="1">
      <c r="A1519" s="26" t="s">
        <v>460</v>
      </c>
      <c r="B1519" s="26" t="s">
        <v>461</v>
      </c>
      <c r="C1519" s="26" t="s">
        <v>462</v>
      </c>
      <c r="D1519" s="26" t="s">
        <v>32</v>
      </c>
      <c r="E1519" s="26" t="s">
        <v>463</v>
      </c>
      <c r="F1519" s="26" t="s">
        <v>464</v>
      </c>
    </row>
    <row r="1520" ht="36" customHeight="1" hidden="1" spans="1:6" x14ac:dyDescent="0.25" outlineLevel="1" collapsed="1">
      <c r="A1520" s="27">
        <v>4220</v>
      </c>
      <c r="B1520" s="28" t="s">
        <v>543</v>
      </c>
      <c r="C1520" s="27" t="s">
        <v>466</v>
      </c>
      <c r="D1520" s="29" t="s">
        <v>32</v>
      </c>
      <c r="E1520" s="36" t="s">
        <v>699</v>
      </c>
      <c r="F1520" s="28" t="s">
        <v>32</v>
      </c>
    </row>
    <row r="1521" ht="36" customHeight="1" hidden="1" spans="1:6" x14ac:dyDescent="0.25" outlineLevel="1" collapsed="1">
      <c r="A1521" s="27">
        <v>4240</v>
      </c>
      <c r="B1521" s="28" t="s">
        <v>471</v>
      </c>
      <c r="C1521" s="27" t="s">
        <v>472</v>
      </c>
      <c r="D1521" s="29" t="s">
        <v>32</v>
      </c>
      <c r="E1521" s="36" t="s">
        <v>699</v>
      </c>
      <c r="F1521" s="28" t="s">
        <v>32</v>
      </c>
    </row>
    <row r="1522" ht="36" customHeight="1" hidden="1" spans="1:6" x14ac:dyDescent="0.25" outlineLevel="1" collapsed="1">
      <c r="A1522" s="27">
        <v>4230</v>
      </c>
      <c r="B1522" s="28" t="s">
        <v>544</v>
      </c>
      <c r="C1522" s="27" t="s">
        <v>472</v>
      </c>
      <c r="D1522" s="29" t="s">
        <v>32</v>
      </c>
      <c r="E1522" s="36" t="s">
        <v>699</v>
      </c>
      <c r="F1522" s="28" t="s">
        <v>32</v>
      </c>
    </row>
    <row r="1523" ht="22" customHeight="1" hidden="1" spans="1:6" x14ac:dyDescent="0.25" outlineLevel="1" collapsed="1">
      <c r="A1523" s="34" t="s">
        <v>495</v>
      </c>
      <c r="B1523" s="34"/>
      <c r="C1523" s="34"/>
      <c r="D1523" s="34"/>
      <c r="E1523" s="34"/>
      <c r="F1523" s="34"/>
    </row>
    <row r="1524" ht="24" customHeight="1" hidden="1" spans="1:6" x14ac:dyDescent="0.25" outlineLevel="1" collapsed="1">
      <c r="A1524" s="12" t="s">
        <v>700</v>
      </c>
      <c r="B1524" s="12"/>
      <c r="C1524" s="12"/>
      <c r="D1524" s="12"/>
      <c r="E1524" s="12"/>
      <c r="F1524" s="12"/>
    </row>
    <row r="1525" ht="24" customHeight="1" hidden="1" spans="1:6" x14ac:dyDescent="0.25" outlineLevel="1" collapsed="1">
      <c r="A1525" s="12" t="s">
        <v>701</v>
      </c>
      <c r="B1525" s="12"/>
      <c r="C1525" s="12"/>
      <c r="D1525" s="12"/>
      <c r="E1525" s="12"/>
      <c r="F1525" s="12"/>
    </row>
    <row r="1526" ht="24" customHeight="1" hidden="1" spans="1:6" x14ac:dyDescent="0.25" outlineLevel="1" collapsed="1">
      <c r="A1526" s="12" t="s">
        <v>702</v>
      </c>
      <c r="B1526" s="12"/>
      <c r="C1526" s="12"/>
      <c r="D1526" s="12"/>
      <c r="E1526" s="12"/>
      <c r="F1526" s="12"/>
    </row>
    <row r="1527" ht="24" customHeight="1" hidden="1" spans="1:6" x14ac:dyDescent="0.25" outlineLevel="1" collapsed="1">
      <c r="A1527" s="12" t="s">
        <v>684</v>
      </c>
      <c r="B1527" s="12"/>
      <c r="C1527" s="12"/>
      <c r="D1527" s="12"/>
      <c r="E1527" s="12"/>
      <c r="F1527" s="12"/>
    </row>
    <row r="1528" ht="6" customHeight="1" hidden="1" x14ac:dyDescent="0.25" outlineLevel="1" collapsed="1"/>
    <row r="1529" ht="22" customHeight="1" spans="1:6" x14ac:dyDescent="0.25">
      <c r="A1529" s="25" t="s">
        <v>560</v>
      </c>
      <c r="B1529" s="25"/>
      <c r="C1529" s="25"/>
      <c r="D1529" s="25"/>
      <c r="E1529" s="25"/>
      <c r="F1529" s="25"/>
    </row>
    <row r="1530" ht="20" customHeight="1" hidden="1" spans="1:6" x14ac:dyDescent="0.25" outlineLevel="1" collapsed="1">
      <c r="A1530" s="26" t="s">
        <v>460</v>
      </c>
      <c r="B1530" s="26" t="s">
        <v>461</v>
      </c>
      <c r="C1530" s="26" t="s">
        <v>462</v>
      </c>
      <c r="D1530" s="26" t="s">
        <v>32</v>
      </c>
      <c r="E1530" s="26" t="s">
        <v>463</v>
      </c>
      <c r="F1530" s="26" t="s">
        <v>464</v>
      </c>
    </row>
    <row r="1531" ht="36" customHeight="1" hidden="1" spans="1:6" x14ac:dyDescent="0.25" outlineLevel="1" collapsed="1">
      <c r="A1531" s="27">
        <v>4220</v>
      </c>
      <c r="B1531" s="28" t="s">
        <v>543</v>
      </c>
      <c r="C1531" s="27" t="s">
        <v>466</v>
      </c>
      <c r="D1531" s="29" t="s">
        <v>32</v>
      </c>
      <c r="E1531" s="36" t="s">
        <v>699</v>
      </c>
      <c r="F1531" s="28" t="s">
        <v>32</v>
      </c>
    </row>
    <row r="1532" ht="36" customHeight="1" hidden="1" spans="1:6" x14ac:dyDescent="0.25" outlineLevel="1" collapsed="1">
      <c r="A1532" s="27">
        <v>4240</v>
      </c>
      <c r="B1532" s="28" t="s">
        <v>471</v>
      </c>
      <c r="C1532" s="27" t="s">
        <v>472</v>
      </c>
      <c r="D1532" s="29" t="s">
        <v>32</v>
      </c>
      <c r="E1532" s="36" t="s">
        <v>699</v>
      </c>
      <c r="F1532" s="28" t="s">
        <v>32</v>
      </c>
    </row>
    <row r="1533" ht="36" customHeight="1" hidden="1" spans="1:6" x14ac:dyDescent="0.25" outlineLevel="1" collapsed="1">
      <c r="A1533" s="27">
        <v>4230</v>
      </c>
      <c r="B1533" s="28" t="s">
        <v>544</v>
      </c>
      <c r="C1533" s="27" t="s">
        <v>472</v>
      </c>
      <c r="D1533" s="29" t="s">
        <v>32</v>
      </c>
      <c r="E1533" s="36" t="s">
        <v>699</v>
      </c>
      <c r="F1533" s="28" t="s">
        <v>32</v>
      </c>
    </row>
    <row r="1534" ht="22" customHeight="1" hidden="1" spans="1:6" x14ac:dyDescent="0.25" outlineLevel="1" collapsed="1">
      <c r="A1534" s="34" t="s">
        <v>495</v>
      </c>
      <c r="B1534" s="34"/>
      <c r="C1534" s="34"/>
      <c r="D1534" s="34"/>
      <c r="E1534" s="34"/>
      <c r="F1534" s="34"/>
    </row>
    <row r="1535" ht="24" customHeight="1" hidden="1" spans="1:6" x14ac:dyDescent="0.25" outlineLevel="1" collapsed="1">
      <c r="A1535" s="12" t="s">
        <v>700</v>
      </c>
      <c r="B1535" s="12"/>
      <c r="C1535" s="12"/>
      <c r="D1535" s="12"/>
      <c r="E1535" s="12"/>
      <c r="F1535" s="12"/>
    </row>
    <row r="1536" ht="24" customHeight="1" hidden="1" spans="1:6" x14ac:dyDescent="0.25" outlineLevel="1" collapsed="1">
      <c r="A1536" s="12" t="s">
        <v>701</v>
      </c>
      <c r="B1536" s="12"/>
      <c r="C1536" s="12"/>
      <c r="D1536" s="12"/>
      <c r="E1536" s="12"/>
      <c r="F1536" s="12"/>
    </row>
    <row r="1537" ht="24" customHeight="1" hidden="1" spans="1:6" x14ac:dyDescent="0.25" outlineLevel="1" collapsed="1">
      <c r="A1537" s="12" t="s">
        <v>702</v>
      </c>
      <c r="B1537" s="12"/>
      <c r="C1537" s="12"/>
      <c r="D1537" s="12"/>
      <c r="E1537" s="12"/>
      <c r="F1537" s="12"/>
    </row>
    <row r="1538" ht="24" customHeight="1" hidden="1" spans="1:6" x14ac:dyDescent="0.25" outlineLevel="1" collapsed="1">
      <c r="A1538" s="12" t="s">
        <v>684</v>
      </c>
      <c r="B1538" s="12"/>
      <c r="C1538" s="12"/>
      <c r="D1538" s="12"/>
      <c r="E1538" s="12"/>
      <c r="F1538" s="12"/>
    </row>
    <row r="1539" ht="6" customHeight="1" hidden="1" x14ac:dyDescent="0.25" outlineLevel="1" collapsed="1"/>
    <row r="1540" ht="22" customHeight="1" spans="1:6" x14ac:dyDescent="0.25">
      <c r="A1540" s="25" t="s">
        <v>561</v>
      </c>
      <c r="B1540" s="25"/>
      <c r="C1540" s="25"/>
      <c r="D1540" s="25"/>
      <c r="E1540" s="25"/>
      <c r="F1540" s="25"/>
    </row>
    <row r="1541" ht="20" customHeight="1" hidden="1" spans="1:6" x14ac:dyDescent="0.25" outlineLevel="1" collapsed="1">
      <c r="A1541" s="26" t="s">
        <v>460</v>
      </c>
      <c r="B1541" s="26" t="s">
        <v>461</v>
      </c>
      <c r="C1541" s="26" t="s">
        <v>462</v>
      </c>
      <c r="D1541" s="26" t="s">
        <v>32</v>
      </c>
      <c r="E1541" s="26" t="s">
        <v>463</v>
      </c>
      <c r="F1541" s="26" t="s">
        <v>464</v>
      </c>
    </row>
    <row r="1542" ht="36" customHeight="1" hidden="1" spans="1:6" x14ac:dyDescent="0.25" outlineLevel="1" collapsed="1">
      <c r="A1542" s="27">
        <v>4220</v>
      </c>
      <c r="B1542" s="28" t="s">
        <v>543</v>
      </c>
      <c r="C1542" s="27" t="s">
        <v>466</v>
      </c>
      <c r="D1542" s="29" t="s">
        <v>32</v>
      </c>
      <c r="E1542" s="36" t="s">
        <v>699</v>
      </c>
      <c r="F1542" s="28" t="s">
        <v>32</v>
      </c>
    </row>
    <row r="1543" ht="36" customHeight="1" hidden="1" spans="1:6" x14ac:dyDescent="0.25" outlineLevel="1" collapsed="1">
      <c r="A1543" s="27">
        <v>4240</v>
      </c>
      <c r="B1543" s="28" t="s">
        <v>471</v>
      </c>
      <c r="C1543" s="27" t="s">
        <v>472</v>
      </c>
      <c r="D1543" s="29" t="s">
        <v>32</v>
      </c>
      <c r="E1543" s="36" t="s">
        <v>699</v>
      </c>
      <c r="F1543" s="28" t="s">
        <v>32</v>
      </c>
    </row>
    <row r="1544" ht="36" customHeight="1" hidden="1" spans="1:6" x14ac:dyDescent="0.25" outlineLevel="1" collapsed="1">
      <c r="A1544" s="27">
        <v>4230</v>
      </c>
      <c r="B1544" s="28" t="s">
        <v>544</v>
      </c>
      <c r="C1544" s="27" t="s">
        <v>472</v>
      </c>
      <c r="D1544" s="29" t="s">
        <v>32</v>
      </c>
      <c r="E1544" s="36" t="s">
        <v>699</v>
      </c>
      <c r="F1544" s="28" t="s">
        <v>32</v>
      </c>
    </row>
    <row r="1545" ht="22" customHeight="1" hidden="1" spans="1:6" x14ac:dyDescent="0.25" outlineLevel="1" collapsed="1">
      <c r="A1545" s="34" t="s">
        <v>495</v>
      </c>
      <c r="B1545" s="34"/>
      <c r="C1545" s="34"/>
      <c r="D1545" s="34"/>
      <c r="E1545" s="34"/>
      <c r="F1545" s="34"/>
    </row>
    <row r="1546" ht="24" customHeight="1" hidden="1" spans="1:6" x14ac:dyDescent="0.25" outlineLevel="1" collapsed="1">
      <c r="A1546" s="12" t="s">
        <v>700</v>
      </c>
      <c r="B1546" s="12"/>
      <c r="C1546" s="12"/>
      <c r="D1546" s="12"/>
      <c r="E1546" s="12"/>
      <c r="F1546" s="12"/>
    </row>
    <row r="1547" ht="24" customHeight="1" hidden="1" spans="1:6" x14ac:dyDescent="0.25" outlineLevel="1" collapsed="1">
      <c r="A1547" s="12" t="s">
        <v>701</v>
      </c>
      <c r="B1547" s="12"/>
      <c r="C1547" s="12"/>
      <c r="D1547" s="12"/>
      <c r="E1547" s="12"/>
      <c r="F1547" s="12"/>
    </row>
    <row r="1548" ht="24" customHeight="1" hidden="1" spans="1:6" x14ac:dyDescent="0.25" outlineLevel="1" collapsed="1">
      <c r="A1548" s="12" t="s">
        <v>702</v>
      </c>
      <c r="B1548" s="12"/>
      <c r="C1548" s="12"/>
      <c r="D1548" s="12"/>
      <c r="E1548" s="12"/>
      <c r="F1548" s="12"/>
    </row>
    <row r="1549" ht="24" customHeight="1" hidden="1" spans="1:6" x14ac:dyDescent="0.25" outlineLevel="1" collapsed="1">
      <c r="A1549" s="12" t="s">
        <v>684</v>
      </c>
      <c r="B1549" s="12"/>
      <c r="C1549" s="12"/>
      <c r="D1549" s="12"/>
      <c r="E1549" s="12"/>
      <c r="F1549" s="12"/>
    </row>
    <row r="1550" ht="6" customHeight="1" hidden="1" x14ac:dyDescent="0.25" outlineLevel="1" collapsed="1"/>
    <row r="1551" ht="22" customHeight="1" spans="1:6" x14ac:dyDescent="0.25">
      <c r="A1551" s="25" t="s">
        <v>562</v>
      </c>
      <c r="B1551" s="25"/>
      <c r="C1551" s="25"/>
      <c r="D1551" s="25"/>
      <c r="E1551" s="25"/>
      <c r="F1551" s="25"/>
    </row>
    <row r="1552" ht="20" customHeight="1" hidden="1" spans="1:6" x14ac:dyDescent="0.25" outlineLevel="1" collapsed="1">
      <c r="A1552" s="26" t="s">
        <v>460</v>
      </c>
      <c r="B1552" s="26" t="s">
        <v>461</v>
      </c>
      <c r="C1552" s="26" t="s">
        <v>462</v>
      </c>
      <c r="D1552" s="26" t="s">
        <v>32</v>
      </c>
      <c r="E1552" s="26" t="s">
        <v>463</v>
      </c>
      <c r="F1552" s="26" t="s">
        <v>464</v>
      </c>
    </row>
    <row r="1553" ht="36" customHeight="1" hidden="1" spans="1:6" x14ac:dyDescent="0.25" outlineLevel="1" collapsed="1">
      <c r="A1553" s="27">
        <v>4220</v>
      </c>
      <c r="B1553" s="28" t="s">
        <v>543</v>
      </c>
      <c r="C1553" s="27" t="s">
        <v>466</v>
      </c>
      <c r="D1553" s="29" t="s">
        <v>32</v>
      </c>
      <c r="E1553" s="36" t="s">
        <v>699</v>
      </c>
      <c r="F1553" s="28" t="s">
        <v>32</v>
      </c>
    </row>
    <row r="1554" ht="36" customHeight="1" hidden="1" spans="1:6" x14ac:dyDescent="0.25" outlineLevel="1" collapsed="1">
      <c r="A1554" s="27">
        <v>4240</v>
      </c>
      <c r="B1554" s="28" t="s">
        <v>471</v>
      </c>
      <c r="C1554" s="27" t="s">
        <v>472</v>
      </c>
      <c r="D1554" s="29" t="s">
        <v>32</v>
      </c>
      <c r="E1554" s="36" t="s">
        <v>699</v>
      </c>
      <c r="F1554" s="28" t="s">
        <v>32</v>
      </c>
    </row>
    <row r="1555" ht="36" customHeight="1" hidden="1" spans="1:6" x14ac:dyDescent="0.25" outlineLevel="1" collapsed="1">
      <c r="A1555" s="27">
        <v>4230</v>
      </c>
      <c r="B1555" s="28" t="s">
        <v>544</v>
      </c>
      <c r="C1555" s="27" t="s">
        <v>472</v>
      </c>
      <c r="D1555" s="29" t="s">
        <v>32</v>
      </c>
      <c r="E1555" s="36" t="s">
        <v>699</v>
      </c>
      <c r="F1555" s="28" t="s">
        <v>32</v>
      </c>
    </row>
    <row r="1556" ht="22" customHeight="1" hidden="1" spans="1:6" x14ac:dyDescent="0.25" outlineLevel="1" collapsed="1">
      <c r="A1556" s="34" t="s">
        <v>495</v>
      </c>
      <c r="B1556" s="34"/>
      <c r="C1556" s="34"/>
      <c r="D1556" s="34"/>
      <c r="E1556" s="34"/>
      <c r="F1556" s="34"/>
    </row>
    <row r="1557" ht="24" customHeight="1" hidden="1" spans="1:6" x14ac:dyDescent="0.25" outlineLevel="1" collapsed="1">
      <c r="A1557" s="12" t="s">
        <v>700</v>
      </c>
      <c r="B1557" s="12"/>
      <c r="C1557" s="12"/>
      <c r="D1557" s="12"/>
      <c r="E1557" s="12"/>
      <c r="F1557" s="12"/>
    </row>
    <row r="1558" ht="24" customHeight="1" hidden="1" spans="1:6" x14ac:dyDescent="0.25" outlineLevel="1" collapsed="1">
      <c r="A1558" s="12" t="s">
        <v>701</v>
      </c>
      <c r="B1558" s="12"/>
      <c r="C1558" s="12"/>
      <c r="D1558" s="12"/>
      <c r="E1558" s="12"/>
      <c r="F1558" s="12"/>
    </row>
    <row r="1559" ht="24" customHeight="1" hidden="1" spans="1:6" x14ac:dyDescent="0.25" outlineLevel="1" collapsed="1">
      <c r="A1559" s="12" t="s">
        <v>702</v>
      </c>
      <c r="B1559" s="12"/>
      <c r="C1559" s="12"/>
      <c r="D1559" s="12"/>
      <c r="E1559" s="12"/>
      <c r="F1559" s="12"/>
    </row>
    <row r="1560" ht="24" customHeight="1" hidden="1" spans="1:6" x14ac:dyDescent="0.25" outlineLevel="1" collapsed="1">
      <c r="A1560" s="12" t="s">
        <v>684</v>
      </c>
      <c r="B1560" s="12"/>
      <c r="C1560" s="12"/>
      <c r="D1560" s="12"/>
      <c r="E1560" s="12"/>
      <c r="F1560" s="12"/>
    </row>
    <row r="1561" ht="6" customHeight="1" hidden="1" x14ac:dyDescent="0.25" outlineLevel="1" collapsed="1"/>
    <row r="1562" ht="22" customHeight="1" spans="1:6" x14ac:dyDescent="0.25">
      <c r="A1562" s="25" t="s">
        <v>565</v>
      </c>
      <c r="B1562" s="25"/>
      <c r="C1562" s="25"/>
      <c r="D1562" s="25"/>
      <c r="E1562" s="25"/>
      <c r="F1562" s="25"/>
    </row>
    <row r="1563" ht="20" customHeight="1" hidden="1" spans="1:6" x14ac:dyDescent="0.25" outlineLevel="1" collapsed="1">
      <c r="A1563" s="26" t="s">
        <v>460</v>
      </c>
      <c r="B1563" s="26" t="s">
        <v>461</v>
      </c>
      <c r="C1563" s="26" t="s">
        <v>462</v>
      </c>
      <c r="D1563" s="26" t="s">
        <v>32</v>
      </c>
      <c r="E1563" s="26" t="s">
        <v>463</v>
      </c>
      <c r="F1563" s="26" t="s">
        <v>464</v>
      </c>
    </row>
    <row r="1564" ht="36" customHeight="1" hidden="1" spans="1:6" x14ac:dyDescent="0.25" outlineLevel="1" collapsed="1">
      <c r="A1564" s="27">
        <v>4220</v>
      </c>
      <c r="B1564" s="28" t="s">
        <v>543</v>
      </c>
      <c r="C1564" s="27" t="s">
        <v>466</v>
      </c>
      <c r="D1564" s="29" t="s">
        <v>32</v>
      </c>
      <c r="E1564" s="28" t="s">
        <v>506</v>
      </c>
      <c r="F1564" s="28" t="s">
        <v>32</v>
      </c>
    </row>
    <row r="1565" ht="21" customHeight="1" hidden="1" spans="1:6" x14ac:dyDescent="0.25" outlineLevel="1" collapsed="1">
      <c r="A1565" s="27">
        <v>4240</v>
      </c>
      <c r="B1565" s="28" t="s">
        <v>471</v>
      </c>
      <c r="C1565" s="27" t="s">
        <v>472</v>
      </c>
      <c r="D1565" s="29" t="s">
        <v>32</v>
      </c>
      <c r="E1565" s="28" t="s">
        <v>506</v>
      </c>
      <c r="F1565" s="28" t="s">
        <v>32</v>
      </c>
    </row>
    <row r="1566" ht="51" customHeight="1" hidden="1" spans="1:6" x14ac:dyDescent="0.25" outlineLevel="1" collapsed="1">
      <c r="A1566" s="27">
        <v>4230</v>
      </c>
      <c r="B1566" s="28" t="s">
        <v>544</v>
      </c>
      <c r="C1566" s="27" t="s">
        <v>472</v>
      </c>
      <c r="D1566" s="29" t="s">
        <v>32</v>
      </c>
      <c r="E1566" s="28" t="s">
        <v>481</v>
      </c>
      <c r="F1566" s="28" t="s">
        <v>604</v>
      </c>
    </row>
    <row r="1567" ht="21" customHeight="1" hidden="1" spans="1:6" x14ac:dyDescent="0.25" outlineLevel="1" collapsed="1">
      <c r="A1567" s="30" t="s">
        <v>32</v>
      </c>
      <c r="B1567" s="17" t="s">
        <v>32</v>
      </c>
      <c r="C1567" s="30" t="s">
        <v>32</v>
      </c>
      <c r="D1567" s="31" t="s">
        <v>32</v>
      </c>
      <c r="E1567" s="17" t="s">
        <v>483</v>
      </c>
      <c r="F1567" s="17" t="s">
        <v>32</v>
      </c>
    </row>
    <row r="1568" ht="36" customHeight="1" hidden="1" spans="1:6" x14ac:dyDescent="0.25" outlineLevel="1" collapsed="1">
      <c r="A1568" s="32" t="s">
        <v>32</v>
      </c>
      <c r="B1568" s="12" t="s">
        <v>32</v>
      </c>
      <c r="C1568" s="32" t="s">
        <v>32</v>
      </c>
      <c r="D1568" s="31" t="s">
        <v>32</v>
      </c>
      <c r="E1568" s="12" t="s">
        <v>678</v>
      </c>
      <c r="F1568" s="12" t="s">
        <v>32</v>
      </c>
    </row>
    <row r="1569" ht="21" customHeight="1" hidden="1" spans="1:6" x14ac:dyDescent="0.25" outlineLevel="1" collapsed="1">
      <c r="A1569" s="30" t="s">
        <v>32</v>
      </c>
      <c r="B1569" s="17" t="s">
        <v>32</v>
      </c>
      <c r="C1569" s="30" t="s">
        <v>32</v>
      </c>
      <c r="D1569" s="31" t="s">
        <v>32</v>
      </c>
      <c r="E1569" s="17" t="s">
        <v>486</v>
      </c>
      <c r="F1569" s="17" t="s">
        <v>32</v>
      </c>
    </row>
    <row r="1570" ht="21" customHeight="1" hidden="1" spans="1:6" x14ac:dyDescent="0.25" outlineLevel="1" collapsed="1">
      <c r="A1570" s="32" t="s">
        <v>32</v>
      </c>
      <c r="B1570" s="12" t="s">
        <v>32</v>
      </c>
      <c r="C1570" s="32" t="s">
        <v>32</v>
      </c>
      <c r="D1570" s="31" t="s">
        <v>32</v>
      </c>
      <c r="E1570" s="12" t="s">
        <v>487</v>
      </c>
      <c r="F1570" s="12" t="s">
        <v>32</v>
      </c>
    </row>
    <row r="1571" ht="21" customHeight="1" hidden="1" spans="1:6" x14ac:dyDescent="0.25" outlineLevel="1" collapsed="1">
      <c r="A1571" s="30" t="s">
        <v>32</v>
      </c>
      <c r="B1571" s="17" t="s">
        <v>32</v>
      </c>
      <c r="C1571" s="30" t="s">
        <v>32</v>
      </c>
      <c r="D1571" s="31" t="s">
        <v>32</v>
      </c>
      <c r="E1571" s="17" t="s">
        <v>533</v>
      </c>
      <c r="F1571" s="17" t="s">
        <v>32</v>
      </c>
    </row>
    <row r="1572" ht="21" customHeight="1" hidden="1" spans="1:6" x14ac:dyDescent="0.25" outlineLevel="1" collapsed="1">
      <c r="A1572" s="32" t="s">
        <v>32</v>
      </c>
      <c r="B1572" s="12" t="s">
        <v>32</v>
      </c>
      <c r="C1572" s="32" t="s">
        <v>32</v>
      </c>
      <c r="D1572" s="31" t="s">
        <v>32</v>
      </c>
      <c r="E1572" s="12" t="s">
        <v>488</v>
      </c>
      <c r="F1572" s="12" t="s">
        <v>32</v>
      </c>
    </row>
    <row r="1573" ht="21" customHeight="1" hidden="1" spans="1:6" x14ac:dyDescent="0.25" outlineLevel="1" collapsed="1">
      <c r="A1573" s="30" t="s">
        <v>32</v>
      </c>
      <c r="B1573" s="17" t="s">
        <v>32</v>
      </c>
      <c r="C1573" s="30" t="s">
        <v>32</v>
      </c>
      <c r="D1573" s="31" t="s">
        <v>32</v>
      </c>
      <c r="E1573" s="17" t="s">
        <v>489</v>
      </c>
      <c r="F1573" s="17" t="s">
        <v>32</v>
      </c>
    </row>
    <row r="1574" ht="21" customHeight="1" hidden="1" spans="1:6" x14ac:dyDescent="0.25" outlineLevel="1" collapsed="1">
      <c r="A1574" s="32" t="s">
        <v>32</v>
      </c>
      <c r="B1574" s="12" t="s">
        <v>32</v>
      </c>
      <c r="C1574" s="32" t="s">
        <v>32</v>
      </c>
      <c r="D1574" s="31" t="s">
        <v>32</v>
      </c>
      <c r="E1574" s="12" t="s">
        <v>679</v>
      </c>
      <c r="F1574" s="12" t="s">
        <v>32</v>
      </c>
    </row>
    <row r="1575" ht="21" customHeight="1" hidden="1" spans="1:6" x14ac:dyDescent="0.25" outlineLevel="1" collapsed="1">
      <c r="A1575" s="30" t="s">
        <v>32</v>
      </c>
      <c r="B1575" s="17" t="s">
        <v>32</v>
      </c>
      <c r="C1575" s="30" t="s">
        <v>32</v>
      </c>
      <c r="D1575" s="31" t="s">
        <v>32</v>
      </c>
      <c r="E1575" s="17" t="s">
        <v>491</v>
      </c>
      <c r="F1575" s="17" t="s">
        <v>32</v>
      </c>
    </row>
    <row r="1576" ht="21" customHeight="1" hidden="1" spans="1:6" x14ac:dyDescent="0.25" outlineLevel="1" collapsed="1">
      <c r="A1576" s="32" t="s">
        <v>32</v>
      </c>
      <c r="B1576" s="12" t="s">
        <v>32</v>
      </c>
      <c r="C1576" s="32" t="s">
        <v>32</v>
      </c>
      <c r="D1576" s="31" t="s">
        <v>32</v>
      </c>
      <c r="E1576" s="12" t="s">
        <v>492</v>
      </c>
      <c r="F1576" s="12" t="s">
        <v>32</v>
      </c>
    </row>
    <row r="1577" ht="21" customHeight="1" hidden="1" spans="1:6" x14ac:dyDescent="0.25" outlineLevel="1" collapsed="1">
      <c r="A1577" s="30" t="s">
        <v>32</v>
      </c>
      <c r="B1577" s="17" t="s">
        <v>32</v>
      </c>
      <c r="C1577" s="30" t="s">
        <v>32</v>
      </c>
      <c r="D1577" s="31" t="s">
        <v>32</v>
      </c>
      <c r="E1577" s="35" t="s">
        <v>703</v>
      </c>
      <c r="F1577" s="17" t="s">
        <v>32</v>
      </c>
    </row>
    <row r="1578" ht="22" customHeight="1" hidden="1" spans="1:6" x14ac:dyDescent="0.25" outlineLevel="1" collapsed="1">
      <c r="A1578" s="34" t="s">
        <v>495</v>
      </c>
      <c r="B1578" s="34"/>
      <c r="C1578" s="34"/>
      <c r="D1578" s="34"/>
      <c r="E1578" s="34"/>
      <c r="F1578" s="34"/>
    </row>
    <row r="1579" ht="24" customHeight="1" hidden="1" spans="1:6" x14ac:dyDescent="0.25" outlineLevel="1" collapsed="1">
      <c r="A1579" s="12" t="s">
        <v>704</v>
      </c>
      <c r="B1579" s="12"/>
      <c r="C1579" s="12"/>
      <c r="D1579" s="12"/>
      <c r="E1579" s="12"/>
      <c r="F1579" s="12"/>
    </row>
    <row r="1580" ht="24" customHeight="1" hidden="1" spans="1:6" x14ac:dyDescent="0.25" outlineLevel="1" collapsed="1">
      <c r="A1580" s="12" t="s">
        <v>705</v>
      </c>
      <c r="B1580" s="12"/>
      <c r="C1580" s="12"/>
      <c r="D1580" s="12"/>
      <c r="E1580" s="12"/>
      <c r="F1580" s="12"/>
    </row>
    <row r="1581" ht="56" customHeight="1" hidden="1" spans="1:6" x14ac:dyDescent="0.25" outlineLevel="1" collapsed="1">
      <c r="A1581" s="12" t="s">
        <v>706</v>
      </c>
      <c r="B1581" s="12"/>
      <c r="C1581" s="12"/>
      <c r="D1581" s="12"/>
      <c r="E1581" s="12"/>
      <c r="F1581" s="12"/>
    </row>
    <row r="1582" ht="24" customHeight="1" hidden="1" spans="1:6" x14ac:dyDescent="0.25" outlineLevel="1" collapsed="1">
      <c r="A1582" s="12" t="s">
        <v>684</v>
      </c>
      <c r="B1582" s="12"/>
      <c r="C1582" s="12"/>
      <c r="D1582" s="12"/>
      <c r="E1582" s="12"/>
      <c r="F1582" s="12"/>
    </row>
    <row r="1583" ht="6" customHeight="1" hidden="1" x14ac:dyDescent="0.25" outlineLevel="1" collapsed="1"/>
    <row r="1584" ht="22" customHeight="1" spans="1:6" x14ac:dyDescent="0.25">
      <c r="A1584" s="25" t="s">
        <v>572</v>
      </c>
      <c r="B1584" s="25"/>
      <c r="C1584" s="25"/>
      <c r="D1584" s="25"/>
      <c r="E1584" s="25"/>
      <c r="F1584" s="25"/>
    </row>
    <row r="1585" ht="20" customHeight="1" hidden="1" spans="1:6" x14ac:dyDescent="0.25" outlineLevel="1" collapsed="1">
      <c r="A1585" s="26" t="s">
        <v>460</v>
      </c>
      <c r="B1585" s="26" t="s">
        <v>461</v>
      </c>
      <c r="C1585" s="26" t="s">
        <v>462</v>
      </c>
      <c r="D1585" s="26" t="s">
        <v>32</v>
      </c>
      <c r="E1585" s="26" t="s">
        <v>463</v>
      </c>
      <c r="F1585" s="26" t="s">
        <v>464</v>
      </c>
    </row>
    <row r="1586" ht="36" customHeight="1" hidden="1" spans="1:6" x14ac:dyDescent="0.25" outlineLevel="1" collapsed="1">
      <c r="A1586" s="27">
        <v>4220</v>
      </c>
      <c r="B1586" s="28" t="s">
        <v>543</v>
      </c>
      <c r="C1586" s="27" t="s">
        <v>466</v>
      </c>
      <c r="D1586" s="29" t="s">
        <v>32</v>
      </c>
      <c r="E1586" s="28" t="s">
        <v>675</v>
      </c>
      <c r="F1586" s="28" t="s">
        <v>32</v>
      </c>
    </row>
    <row r="1587" ht="21" customHeight="1" hidden="1" spans="1:6" x14ac:dyDescent="0.25" outlineLevel="1" collapsed="1">
      <c r="A1587" s="27">
        <v>4240</v>
      </c>
      <c r="B1587" s="28" t="s">
        <v>471</v>
      </c>
      <c r="C1587" s="27" t="s">
        <v>472</v>
      </c>
      <c r="D1587" s="29" t="s">
        <v>32</v>
      </c>
      <c r="E1587" s="28" t="s">
        <v>676</v>
      </c>
      <c r="F1587" s="28" t="s">
        <v>32</v>
      </c>
    </row>
    <row r="1588" ht="36" customHeight="1" hidden="1" spans="1:6" x14ac:dyDescent="0.25" outlineLevel="1" collapsed="1">
      <c r="A1588" s="27">
        <v>4230</v>
      </c>
      <c r="B1588" s="28" t="s">
        <v>544</v>
      </c>
      <c r="C1588" s="27" t="s">
        <v>472</v>
      </c>
      <c r="D1588" s="29" t="s">
        <v>32</v>
      </c>
      <c r="E1588" s="28" t="s">
        <v>573</v>
      </c>
      <c r="F1588" s="28" t="s">
        <v>32</v>
      </c>
    </row>
    <row r="1589" ht="22" customHeight="1" hidden="1" spans="1:6" x14ac:dyDescent="0.25" outlineLevel="1" collapsed="1">
      <c r="A1589" s="34" t="s">
        <v>495</v>
      </c>
      <c r="B1589" s="34"/>
      <c r="C1589" s="34"/>
      <c r="D1589" s="34"/>
      <c r="E1589" s="34"/>
      <c r="F1589" s="34"/>
    </row>
    <row r="1590" ht="24" customHeight="1" hidden="1" spans="1:6" x14ac:dyDescent="0.25" outlineLevel="1" collapsed="1">
      <c r="A1590" s="12" t="s">
        <v>681</v>
      </c>
      <c r="B1590" s="12"/>
      <c r="C1590" s="12"/>
      <c r="D1590" s="12"/>
      <c r="E1590" s="12"/>
      <c r="F1590" s="12"/>
    </row>
    <row r="1591" ht="24" customHeight="1" hidden="1" spans="1:6" x14ac:dyDescent="0.25" outlineLevel="1" collapsed="1">
      <c r="A1591" s="12" t="s">
        <v>682</v>
      </c>
      <c r="B1591" s="12"/>
      <c r="C1591" s="12"/>
      <c r="D1591" s="12"/>
      <c r="E1591" s="12"/>
      <c r="F1591" s="12"/>
    </row>
    <row r="1592" ht="24" customHeight="1" hidden="1" spans="1:6" x14ac:dyDescent="0.25" outlineLevel="1" collapsed="1">
      <c r="A1592" s="12" t="s">
        <v>707</v>
      </c>
      <c r="B1592" s="12"/>
      <c r="C1592" s="12"/>
      <c r="D1592" s="12"/>
      <c r="E1592" s="12"/>
      <c r="F1592" s="12"/>
    </row>
    <row r="1593" ht="24" customHeight="1" hidden="1" spans="1:6" x14ac:dyDescent="0.25" outlineLevel="1" collapsed="1">
      <c r="A1593" s="12" t="s">
        <v>684</v>
      </c>
      <c r="B1593" s="12"/>
      <c r="C1593" s="12"/>
      <c r="D1593" s="12"/>
      <c r="E1593" s="12"/>
      <c r="F1593" s="12"/>
    </row>
    <row r="1594" ht="6" customHeight="1" hidden="1" x14ac:dyDescent="0.25" outlineLevel="1" collapsed="1"/>
    <row r="1595" ht="22" customHeight="1" spans="1:6" x14ac:dyDescent="0.25">
      <c r="A1595" s="25" t="s">
        <v>575</v>
      </c>
      <c r="B1595" s="25"/>
      <c r="C1595" s="25"/>
      <c r="D1595" s="25"/>
      <c r="E1595" s="25"/>
      <c r="F1595" s="25"/>
    </row>
    <row r="1596" ht="20" customHeight="1" hidden="1" spans="1:6" x14ac:dyDescent="0.25" outlineLevel="1" collapsed="1">
      <c r="A1596" s="26" t="s">
        <v>460</v>
      </c>
      <c r="B1596" s="26" t="s">
        <v>461</v>
      </c>
      <c r="C1596" s="26" t="s">
        <v>462</v>
      </c>
      <c r="D1596" s="26" t="s">
        <v>32</v>
      </c>
      <c r="E1596" s="26" t="s">
        <v>463</v>
      </c>
      <c r="F1596" s="26" t="s">
        <v>464</v>
      </c>
    </row>
    <row r="1597" ht="36" customHeight="1" hidden="1" spans="1:6" x14ac:dyDescent="0.25" outlineLevel="1" collapsed="1">
      <c r="A1597" s="27">
        <v>4220</v>
      </c>
      <c r="B1597" s="28" t="s">
        <v>543</v>
      </c>
      <c r="C1597" s="27" t="s">
        <v>466</v>
      </c>
      <c r="D1597" s="29" t="s">
        <v>32</v>
      </c>
      <c r="E1597" s="36" t="s">
        <v>699</v>
      </c>
      <c r="F1597" s="28" t="s">
        <v>32</v>
      </c>
    </row>
    <row r="1598" ht="36" customHeight="1" hidden="1" spans="1:6" x14ac:dyDescent="0.25" outlineLevel="1" collapsed="1">
      <c r="A1598" s="27">
        <v>4240</v>
      </c>
      <c r="B1598" s="28" t="s">
        <v>471</v>
      </c>
      <c r="C1598" s="27" t="s">
        <v>472</v>
      </c>
      <c r="D1598" s="29" t="s">
        <v>32</v>
      </c>
      <c r="E1598" s="36" t="s">
        <v>699</v>
      </c>
      <c r="F1598" s="28" t="s">
        <v>32</v>
      </c>
    </row>
    <row r="1599" ht="36" customHeight="1" hidden="1" spans="1:6" x14ac:dyDescent="0.25" outlineLevel="1" collapsed="1">
      <c r="A1599" s="27">
        <v>4230</v>
      </c>
      <c r="B1599" s="28" t="s">
        <v>544</v>
      </c>
      <c r="C1599" s="27" t="s">
        <v>472</v>
      </c>
      <c r="D1599" s="29" t="s">
        <v>32</v>
      </c>
      <c r="E1599" s="36" t="s">
        <v>699</v>
      </c>
      <c r="F1599" s="28" t="s">
        <v>32</v>
      </c>
    </row>
    <row r="1600" ht="22" customHeight="1" hidden="1" spans="1:6" x14ac:dyDescent="0.25" outlineLevel="1" collapsed="1">
      <c r="A1600" s="34" t="s">
        <v>495</v>
      </c>
      <c r="B1600" s="34"/>
      <c r="C1600" s="34"/>
      <c r="D1600" s="34"/>
      <c r="E1600" s="34"/>
      <c r="F1600" s="34"/>
    </row>
    <row r="1601" ht="24" customHeight="1" hidden="1" spans="1:6" x14ac:dyDescent="0.25" outlineLevel="1" collapsed="1">
      <c r="A1601" s="12" t="s">
        <v>700</v>
      </c>
      <c r="B1601" s="12"/>
      <c r="C1601" s="12"/>
      <c r="D1601" s="12"/>
      <c r="E1601" s="12"/>
      <c r="F1601" s="12"/>
    </row>
    <row r="1602" ht="24" customHeight="1" hidden="1" spans="1:6" x14ac:dyDescent="0.25" outlineLevel="1" collapsed="1">
      <c r="A1602" s="12" t="s">
        <v>701</v>
      </c>
      <c r="B1602" s="12"/>
      <c r="C1602" s="12"/>
      <c r="D1602" s="12"/>
      <c r="E1602" s="12"/>
      <c r="F1602" s="12"/>
    </row>
    <row r="1603" ht="24" customHeight="1" hidden="1" spans="1:6" x14ac:dyDescent="0.25" outlineLevel="1" collapsed="1">
      <c r="A1603" s="12" t="s">
        <v>702</v>
      </c>
      <c r="B1603" s="12"/>
      <c r="C1603" s="12"/>
      <c r="D1603" s="12"/>
      <c r="E1603" s="12"/>
      <c r="F1603" s="12"/>
    </row>
    <row r="1604" ht="24" customHeight="1" hidden="1" spans="1:6" x14ac:dyDescent="0.25" outlineLevel="1" collapsed="1">
      <c r="A1604" s="12" t="s">
        <v>684</v>
      </c>
      <c r="B1604" s="12"/>
      <c r="C1604" s="12"/>
      <c r="D1604" s="12"/>
      <c r="E1604" s="12"/>
      <c r="F1604" s="12"/>
    </row>
    <row r="1605" ht="6" customHeight="1" hidden="1" x14ac:dyDescent="0.25" outlineLevel="1" collapsed="1"/>
    <row r="1606" ht="22" customHeight="1" spans="1:6" x14ac:dyDescent="0.25">
      <c r="A1606" s="25" t="s">
        <v>586</v>
      </c>
      <c r="B1606" s="25"/>
      <c r="C1606" s="25"/>
      <c r="D1606" s="25"/>
      <c r="E1606" s="25"/>
      <c r="F1606" s="25"/>
    </row>
    <row r="1607" ht="20" customHeight="1" hidden="1" spans="1:6" x14ac:dyDescent="0.25" outlineLevel="1" collapsed="1">
      <c r="A1607" s="26" t="s">
        <v>460</v>
      </c>
      <c r="B1607" s="26" t="s">
        <v>461</v>
      </c>
      <c r="C1607" s="26" t="s">
        <v>462</v>
      </c>
      <c r="D1607" s="26" t="s">
        <v>32</v>
      </c>
      <c r="E1607" s="26" t="s">
        <v>463</v>
      </c>
      <c r="F1607" s="26" t="s">
        <v>464</v>
      </c>
    </row>
    <row r="1608" ht="36" customHeight="1" hidden="1" spans="1:6" x14ac:dyDescent="0.25" outlineLevel="1" collapsed="1">
      <c r="A1608" s="27">
        <v>4220</v>
      </c>
      <c r="B1608" s="28" t="s">
        <v>543</v>
      </c>
      <c r="C1608" s="27" t="s">
        <v>466</v>
      </c>
      <c r="D1608" s="29" t="s">
        <v>32</v>
      </c>
      <c r="E1608" s="36" t="s">
        <v>699</v>
      </c>
      <c r="F1608" s="28" t="s">
        <v>32</v>
      </c>
    </row>
    <row r="1609" ht="36" customHeight="1" hidden="1" spans="1:6" x14ac:dyDescent="0.25" outlineLevel="1" collapsed="1">
      <c r="A1609" s="27">
        <v>4240</v>
      </c>
      <c r="B1609" s="28" t="s">
        <v>471</v>
      </c>
      <c r="C1609" s="27" t="s">
        <v>472</v>
      </c>
      <c r="D1609" s="29" t="s">
        <v>32</v>
      </c>
      <c r="E1609" s="36" t="s">
        <v>699</v>
      </c>
      <c r="F1609" s="28" t="s">
        <v>32</v>
      </c>
    </row>
    <row r="1610" ht="36" customHeight="1" hidden="1" spans="1:6" x14ac:dyDescent="0.25" outlineLevel="1" collapsed="1">
      <c r="A1610" s="27">
        <v>4230</v>
      </c>
      <c r="B1610" s="28" t="s">
        <v>544</v>
      </c>
      <c r="C1610" s="27" t="s">
        <v>472</v>
      </c>
      <c r="D1610" s="29" t="s">
        <v>32</v>
      </c>
      <c r="E1610" s="36" t="s">
        <v>699</v>
      </c>
      <c r="F1610" s="28" t="s">
        <v>32</v>
      </c>
    </row>
    <row r="1611" ht="22" customHeight="1" hidden="1" spans="1:6" x14ac:dyDescent="0.25" outlineLevel="1" collapsed="1">
      <c r="A1611" s="34" t="s">
        <v>495</v>
      </c>
      <c r="B1611" s="34"/>
      <c r="C1611" s="34"/>
      <c r="D1611" s="34"/>
      <c r="E1611" s="34"/>
      <c r="F1611" s="34"/>
    </row>
    <row r="1612" ht="24" customHeight="1" hidden="1" spans="1:6" x14ac:dyDescent="0.25" outlineLevel="1" collapsed="1">
      <c r="A1612" s="12" t="s">
        <v>700</v>
      </c>
      <c r="B1612" s="12"/>
      <c r="C1612" s="12"/>
      <c r="D1612" s="12"/>
      <c r="E1612" s="12"/>
      <c r="F1612" s="12"/>
    </row>
    <row r="1613" ht="24" customHeight="1" hidden="1" spans="1:6" x14ac:dyDescent="0.25" outlineLevel="1" collapsed="1">
      <c r="A1613" s="12" t="s">
        <v>701</v>
      </c>
      <c r="B1613" s="12"/>
      <c r="C1613" s="12"/>
      <c r="D1613" s="12"/>
      <c r="E1613" s="12"/>
      <c r="F1613" s="12"/>
    </row>
    <row r="1614" ht="24" customHeight="1" hidden="1" spans="1:6" x14ac:dyDescent="0.25" outlineLevel="1" collapsed="1">
      <c r="A1614" s="12" t="s">
        <v>702</v>
      </c>
      <c r="B1614" s="12"/>
      <c r="C1614" s="12"/>
      <c r="D1614" s="12"/>
      <c r="E1614" s="12"/>
      <c r="F1614" s="12"/>
    </row>
    <row r="1615" ht="24" customHeight="1" hidden="1" spans="1:6" x14ac:dyDescent="0.25" outlineLevel="1" collapsed="1">
      <c r="A1615" s="12" t="s">
        <v>684</v>
      </c>
      <c r="B1615" s="12"/>
      <c r="C1615" s="12"/>
      <c r="D1615" s="12"/>
      <c r="E1615" s="12"/>
      <c r="F1615" s="12"/>
    </row>
    <row r="1616" ht="6" customHeight="1" hidden="1" x14ac:dyDescent="0.25" outlineLevel="1" collapsed="1"/>
    <row r="1617" ht="22" customHeight="1" spans="1:6" x14ac:dyDescent="0.25">
      <c r="A1617" s="25" t="s">
        <v>587</v>
      </c>
      <c r="B1617" s="25"/>
      <c r="C1617" s="25"/>
      <c r="D1617" s="25"/>
      <c r="E1617" s="25"/>
      <c r="F1617" s="25"/>
    </row>
    <row r="1618" ht="20" customHeight="1" hidden="1" spans="1:6" x14ac:dyDescent="0.25" outlineLevel="1" collapsed="1">
      <c r="A1618" s="26" t="s">
        <v>460</v>
      </c>
      <c r="B1618" s="26" t="s">
        <v>461</v>
      </c>
      <c r="C1618" s="26" t="s">
        <v>462</v>
      </c>
      <c r="D1618" s="26" t="s">
        <v>32</v>
      </c>
      <c r="E1618" s="26" t="s">
        <v>463</v>
      </c>
      <c r="F1618" s="26" t="s">
        <v>464</v>
      </c>
    </row>
    <row r="1619" ht="36" customHeight="1" hidden="1" spans="1:6" x14ac:dyDescent="0.25" outlineLevel="1" collapsed="1">
      <c r="A1619" s="27">
        <v>4220</v>
      </c>
      <c r="B1619" s="28" t="s">
        <v>543</v>
      </c>
      <c r="C1619" s="27" t="s">
        <v>466</v>
      </c>
      <c r="D1619" s="29" t="s">
        <v>32</v>
      </c>
      <c r="E1619" s="36" t="s">
        <v>699</v>
      </c>
      <c r="F1619" s="28" t="s">
        <v>32</v>
      </c>
    </row>
    <row r="1620" ht="36" customHeight="1" hidden="1" spans="1:6" x14ac:dyDescent="0.25" outlineLevel="1" collapsed="1">
      <c r="A1620" s="27">
        <v>4240</v>
      </c>
      <c r="B1620" s="28" t="s">
        <v>471</v>
      </c>
      <c r="C1620" s="27" t="s">
        <v>472</v>
      </c>
      <c r="D1620" s="29" t="s">
        <v>32</v>
      </c>
      <c r="E1620" s="36" t="s">
        <v>699</v>
      </c>
      <c r="F1620" s="28" t="s">
        <v>32</v>
      </c>
    </row>
    <row r="1621" ht="36" customHeight="1" hidden="1" spans="1:6" x14ac:dyDescent="0.25" outlineLevel="1" collapsed="1">
      <c r="A1621" s="27">
        <v>4230</v>
      </c>
      <c r="B1621" s="28" t="s">
        <v>544</v>
      </c>
      <c r="C1621" s="27" t="s">
        <v>472</v>
      </c>
      <c r="D1621" s="29" t="s">
        <v>32</v>
      </c>
      <c r="E1621" s="36" t="s">
        <v>699</v>
      </c>
      <c r="F1621" s="28" t="s">
        <v>32</v>
      </c>
    </row>
    <row r="1622" ht="22" customHeight="1" hidden="1" spans="1:6" x14ac:dyDescent="0.25" outlineLevel="1" collapsed="1">
      <c r="A1622" s="34" t="s">
        <v>495</v>
      </c>
      <c r="B1622" s="34"/>
      <c r="C1622" s="34"/>
      <c r="D1622" s="34"/>
      <c r="E1622" s="34"/>
      <c r="F1622" s="34"/>
    </row>
    <row r="1623" ht="24" customHeight="1" hidden="1" spans="1:6" x14ac:dyDescent="0.25" outlineLevel="1" collapsed="1">
      <c r="A1623" s="12" t="s">
        <v>700</v>
      </c>
      <c r="B1623" s="12"/>
      <c r="C1623" s="12"/>
      <c r="D1623" s="12"/>
      <c r="E1623" s="12"/>
      <c r="F1623" s="12"/>
    </row>
    <row r="1624" ht="24" customHeight="1" hidden="1" spans="1:6" x14ac:dyDescent="0.25" outlineLevel="1" collapsed="1">
      <c r="A1624" s="12" t="s">
        <v>701</v>
      </c>
      <c r="B1624" s="12"/>
      <c r="C1624" s="12"/>
      <c r="D1624" s="12"/>
      <c r="E1624" s="12"/>
      <c r="F1624" s="12"/>
    </row>
    <row r="1625" ht="24" customHeight="1" hidden="1" spans="1:6" x14ac:dyDescent="0.25" outlineLevel="1" collapsed="1">
      <c r="A1625" s="12" t="s">
        <v>702</v>
      </c>
      <c r="B1625" s="12"/>
      <c r="C1625" s="12"/>
      <c r="D1625" s="12"/>
      <c r="E1625" s="12"/>
      <c r="F1625" s="12"/>
    </row>
    <row r="1626" ht="24" customHeight="1" hidden="1" spans="1:6" x14ac:dyDescent="0.25" outlineLevel="1" collapsed="1">
      <c r="A1626" s="12" t="s">
        <v>684</v>
      </c>
      <c r="B1626" s="12"/>
      <c r="C1626" s="12"/>
      <c r="D1626" s="12"/>
      <c r="E1626" s="12"/>
      <c r="F1626" s="12"/>
    </row>
    <row r="1627" ht="6" customHeight="1" hidden="1" x14ac:dyDescent="0.25" outlineLevel="1" collapsed="1"/>
    <row r="1628" ht="22" customHeight="1" spans="1:6" x14ac:dyDescent="0.25">
      <c r="A1628" s="25" t="s">
        <v>588</v>
      </c>
      <c r="B1628" s="25"/>
      <c r="C1628" s="25"/>
      <c r="D1628" s="25"/>
      <c r="E1628" s="25"/>
      <c r="F1628" s="25"/>
    </row>
    <row r="1629" ht="20" customHeight="1" hidden="1" spans="1:6" x14ac:dyDescent="0.25" outlineLevel="1" collapsed="1">
      <c r="A1629" s="26" t="s">
        <v>460</v>
      </c>
      <c r="B1629" s="26" t="s">
        <v>461</v>
      </c>
      <c r="C1629" s="26" t="s">
        <v>462</v>
      </c>
      <c r="D1629" s="26" t="s">
        <v>32</v>
      </c>
      <c r="E1629" s="26" t="s">
        <v>463</v>
      </c>
      <c r="F1629" s="26" t="s">
        <v>464</v>
      </c>
    </row>
    <row r="1630" ht="36" customHeight="1" hidden="1" spans="1:6" x14ac:dyDescent="0.25" outlineLevel="1" collapsed="1">
      <c r="A1630" s="27">
        <v>4220</v>
      </c>
      <c r="B1630" s="28" t="s">
        <v>543</v>
      </c>
      <c r="C1630" s="27" t="s">
        <v>466</v>
      </c>
      <c r="D1630" s="29" t="s">
        <v>32</v>
      </c>
      <c r="E1630" s="36" t="s">
        <v>699</v>
      </c>
      <c r="F1630" s="28" t="s">
        <v>32</v>
      </c>
    </row>
    <row r="1631" ht="36" customHeight="1" hidden="1" spans="1:6" x14ac:dyDescent="0.25" outlineLevel="1" collapsed="1">
      <c r="A1631" s="27">
        <v>4240</v>
      </c>
      <c r="B1631" s="28" t="s">
        <v>471</v>
      </c>
      <c r="C1631" s="27" t="s">
        <v>472</v>
      </c>
      <c r="D1631" s="29" t="s">
        <v>32</v>
      </c>
      <c r="E1631" s="36" t="s">
        <v>699</v>
      </c>
      <c r="F1631" s="28" t="s">
        <v>32</v>
      </c>
    </row>
    <row r="1632" ht="36" customHeight="1" hidden="1" spans="1:6" x14ac:dyDescent="0.25" outlineLevel="1" collapsed="1">
      <c r="A1632" s="27">
        <v>4230</v>
      </c>
      <c r="B1632" s="28" t="s">
        <v>544</v>
      </c>
      <c r="C1632" s="27" t="s">
        <v>472</v>
      </c>
      <c r="D1632" s="29" t="s">
        <v>32</v>
      </c>
      <c r="E1632" s="36" t="s">
        <v>699</v>
      </c>
      <c r="F1632" s="28" t="s">
        <v>32</v>
      </c>
    </row>
    <row r="1633" ht="22" customHeight="1" hidden="1" spans="1:6" x14ac:dyDescent="0.25" outlineLevel="1" collapsed="1">
      <c r="A1633" s="34" t="s">
        <v>495</v>
      </c>
      <c r="B1633" s="34"/>
      <c r="C1633" s="34"/>
      <c r="D1633" s="34"/>
      <c r="E1633" s="34"/>
      <c r="F1633" s="34"/>
    </row>
    <row r="1634" ht="24" customHeight="1" hidden="1" spans="1:6" x14ac:dyDescent="0.25" outlineLevel="1" collapsed="1">
      <c r="A1634" s="12" t="s">
        <v>700</v>
      </c>
      <c r="B1634" s="12"/>
      <c r="C1634" s="12"/>
      <c r="D1634" s="12"/>
      <c r="E1634" s="12"/>
      <c r="F1634" s="12"/>
    </row>
    <row r="1635" ht="24" customHeight="1" hidden="1" spans="1:6" x14ac:dyDescent="0.25" outlineLevel="1" collapsed="1">
      <c r="A1635" s="12" t="s">
        <v>701</v>
      </c>
      <c r="B1635" s="12"/>
      <c r="C1635" s="12"/>
      <c r="D1635" s="12"/>
      <c r="E1635" s="12"/>
      <c r="F1635" s="12"/>
    </row>
    <row r="1636" ht="24" customHeight="1" hidden="1" spans="1:6" x14ac:dyDescent="0.25" outlineLevel="1" collapsed="1">
      <c r="A1636" s="12" t="s">
        <v>702</v>
      </c>
      <c r="B1636" s="12"/>
      <c r="C1636" s="12"/>
      <c r="D1636" s="12"/>
      <c r="E1636" s="12"/>
      <c r="F1636" s="12"/>
    </row>
    <row r="1637" ht="24" customHeight="1" hidden="1" spans="1:6" x14ac:dyDescent="0.25" outlineLevel="1" collapsed="1">
      <c r="A1637" s="12" t="s">
        <v>684</v>
      </c>
      <c r="B1637" s="12"/>
      <c r="C1637" s="12"/>
      <c r="D1637" s="12"/>
      <c r="E1637" s="12"/>
      <c r="F1637" s="12"/>
    </row>
    <row r="1638" ht="6" customHeight="1" hidden="1" x14ac:dyDescent="0.25" outlineLevel="1" collapsed="1"/>
    <row r="1639" ht="22" customHeight="1" spans="1:6" x14ac:dyDescent="0.25">
      <c r="A1639" s="25" t="s">
        <v>589</v>
      </c>
      <c r="B1639" s="25"/>
      <c r="C1639" s="25"/>
      <c r="D1639" s="25"/>
      <c r="E1639" s="25"/>
      <c r="F1639" s="25"/>
    </row>
    <row r="1640" ht="20" customHeight="1" hidden="1" spans="1:6" x14ac:dyDescent="0.25" outlineLevel="1" collapsed="1">
      <c r="A1640" s="26" t="s">
        <v>460</v>
      </c>
      <c r="B1640" s="26" t="s">
        <v>461</v>
      </c>
      <c r="C1640" s="26" t="s">
        <v>462</v>
      </c>
      <c r="D1640" s="26" t="s">
        <v>32</v>
      </c>
      <c r="E1640" s="26" t="s">
        <v>463</v>
      </c>
      <c r="F1640" s="26" t="s">
        <v>464</v>
      </c>
    </row>
    <row r="1641" ht="36" customHeight="1" hidden="1" spans="1:6" x14ac:dyDescent="0.25" outlineLevel="1" collapsed="1">
      <c r="A1641" s="27">
        <v>4220</v>
      </c>
      <c r="B1641" s="28" t="s">
        <v>543</v>
      </c>
      <c r="C1641" s="27" t="s">
        <v>466</v>
      </c>
      <c r="D1641" s="29" t="s">
        <v>32</v>
      </c>
      <c r="E1641" s="36" t="s">
        <v>699</v>
      </c>
      <c r="F1641" s="28" t="s">
        <v>32</v>
      </c>
    </row>
    <row r="1642" ht="36" customHeight="1" hidden="1" spans="1:6" x14ac:dyDescent="0.25" outlineLevel="1" collapsed="1">
      <c r="A1642" s="27">
        <v>4240</v>
      </c>
      <c r="B1642" s="28" t="s">
        <v>471</v>
      </c>
      <c r="C1642" s="27" t="s">
        <v>472</v>
      </c>
      <c r="D1642" s="29" t="s">
        <v>32</v>
      </c>
      <c r="E1642" s="36" t="s">
        <v>699</v>
      </c>
      <c r="F1642" s="28" t="s">
        <v>32</v>
      </c>
    </row>
    <row r="1643" ht="36" customHeight="1" hidden="1" spans="1:6" x14ac:dyDescent="0.25" outlineLevel="1" collapsed="1">
      <c r="A1643" s="27">
        <v>4230</v>
      </c>
      <c r="B1643" s="28" t="s">
        <v>544</v>
      </c>
      <c r="C1643" s="27" t="s">
        <v>472</v>
      </c>
      <c r="D1643" s="29" t="s">
        <v>32</v>
      </c>
      <c r="E1643" s="36" t="s">
        <v>699</v>
      </c>
      <c r="F1643" s="28" t="s">
        <v>32</v>
      </c>
    </row>
    <row r="1644" ht="22" customHeight="1" hidden="1" spans="1:6" x14ac:dyDescent="0.25" outlineLevel="1" collapsed="1">
      <c r="A1644" s="34" t="s">
        <v>495</v>
      </c>
      <c r="B1644" s="34"/>
      <c r="C1644" s="34"/>
      <c r="D1644" s="34"/>
      <c r="E1644" s="34"/>
      <c r="F1644" s="34"/>
    </row>
    <row r="1645" ht="24" customHeight="1" hidden="1" spans="1:6" x14ac:dyDescent="0.25" outlineLevel="1" collapsed="1">
      <c r="A1645" s="12" t="s">
        <v>700</v>
      </c>
      <c r="B1645" s="12"/>
      <c r="C1645" s="12"/>
      <c r="D1645" s="12"/>
      <c r="E1645" s="12"/>
      <c r="F1645" s="12"/>
    </row>
    <row r="1646" ht="24" customHeight="1" hidden="1" spans="1:6" x14ac:dyDescent="0.25" outlineLevel="1" collapsed="1">
      <c r="A1646" s="12" t="s">
        <v>701</v>
      </c>
      <c r="B1646" s="12"/>
      <c r="C1646" s="12"/>
      <c r="D1646" s="12"/>
      <c r="E1646" s="12"/>
      <c r="F1646" s="12"/>
    </row>
    <row r="1647" ht="24" customHeight="1" hidden="1" spans="1:6" x14ac:dyDescent="0.25" outlineLevel="1" collapsed="1">
      <c r="A1647" s="12" t="s">
        <v>702</v>
      </c>
      <c r="B1647" s="12"/>
      <c r="C1647" s="12"/>
      <c r="D1647" s="12"/>
      <c r="E1647" s="12"/>
      <c r="F1647" s="12"/>
    </row>
    <row r="1648" ht="24" customHeight="1" hidden="1" spans="1:6" x14ac:dyDescent="0.25" outlineLevel="1" collapsed="1">
      <c r="A1648" s="12" t="s">
        <v>684</v>
      </c>
      <c r="B1648" s="12"/>
      <c r="C1648" s="12"/>
      <c r="D1648" s="12"/>
      <c r="E1648" s="12"/>
      <c r="F1648" s="12"/>
    </row>
    <row r="1649" ht="6" customHeight="1" hidden="1" x14ac:dyDescent="0.25" outlineLevel="1" collapsed="1"/>
    <row r="1650" ht="22" customHeight="1" spans="1:6" x14ac:dyDescent="0.25">
      <c r="A1650" s="25" t="s">
        <v>590</v>
      </c>
      <c r="B1650" s="25"/>
      <c r="C1650" s="25"/>
      <c r="D1650" s="25"/>
      <c r="E1650" s="25"/>
      <c r="F1650" s="25"/>
    </row>
    <row r="1651" ht="20" customHeight="1" hidden="1" spans="1:6" x14ac:dyDescent="0.25" outlineLevel="1" collapsed="1">
      <c r="A1651" s="26" t="s">
        <v>460</v>
      </c>
      <c r="B1651" s="26" t="s">
        <v>461</v>
      </c>
      <c r="C1651" s="26" t="s">
        <v>462</v>
      </c>
      <c r="D1651" s="26" t="s">
        <v>32</v>
      </c>
      <c r="E1651" s="26" t="s">
        <v>463</v>
      </c>
      <c r="F1651" s="26" t="s">
        <v>464</v>
      </c>
    </row>
    <row r="1652" ht="36" customHeight="1" hidden="1" spans="1:6" x14ac:dyDescent="0.25" outlineLevel="1" collapsed="1">
      <c r="A1652" s="27">
        <v>4220</v>
      </c>
      <c r="B1652" s="28" t="s">
        <v>543</v>
      </c>
      <c r="C1652" s="27" t="s">
        <v>466</v>
      </c>
      <c r="D1652" s="29" t="s">
        <v>32</v>
      </c>
      <c r="E1652" s="28" t="s">
        <v>675</v>
      </c>
      <c r="F1652" s="28" t="s">
        <v>32</v>
      </c>
    </row>
    <row r="1653" ht="21" customHeight="1" hidden="1" spans="1:6" x14ac:dyDescent="0.25" outlineLevel="1" collapsed="1">
      <c r="A1653" s="27">
        <v>4240</v>
      </c>
      <c r="B1653" s="28" t="s">
        <v>471</v>
      </c>
      <c r="C1653" s="27" t="s">
        <v>472</v>
      </c>
      <c r="D1653" s="29" t="s">
        <v>32</v>
      </c>
      <c r="E1653" s="28" t="s">
        <v>676</v>
      </c>
      <c r="F1653" s="28" t="s">
        <v>32</v>
      </c>
    </row>
    <row r="1654" ht="51" customHeight="1" hidden="1" spans="1:6" x14ac:dyDescent="0.25" outlineLevel="1" collapsed="1">
      <c r="A1654" s="27">
        <v>4230</v>
      </c>
      <c r="B1654" s="28" t="s">
        <v>544</v>
      </c>
      <c r="C1654" s="27" t="s">
        <v>472</v>
      </c>
      <c r="D1654" s="29" t="s">
        <v>32</v>
      </c>
      <c r="E1654" s="28" t="s">
        <v>481</v>
      </c>
      <c r="F1654" s="28" t="s">
        <v>677</v>
      </c>
    </row>
    <row r="1655" ht="21" customHeight="1" hidden="1" spans="1:6" x14ac:dyDescent="0.25" outlineLevel="1" collapsed="1">
      <c r="A1655" s="30" t="s">
        <v>32</v>
      </c>
      <c r="B1655" s="17" t="s">
        <v>32</v>
      </c>
      <c r="C1655" s="30" t="s">
        <v>32</v>
      </c>
      <c r="D1655" s="31" t="s">
        <v>32</v>
      </c>
      <c r="E1655" s="17" t="s">
        <v>483</v>
      </c>
      <c r="F1655" s="17" t="s">
        <v>32</v>
      </c>
    </row>
    <row r="1656" ht="36" customHeight="1" hidden="1" spans="1:6" x14ac:dyDescent="0.25" outlineLevel="1" collapsed="1">
      <c r="A1656" s="32" t="s">
        <v>32</v>
      </c>
      <c r="B1656" s="12" t="s">
        <v>32</v>
      </c>
      <c r="C1656" s="32" t="s">
        <v>32</v>
      </c>
      <c r="D1656" s="31" t="s">
        <v>32</v>
      </c>
      <c r="E1656" s="12" t="s">
        <v>678</v>
      </c>
      <c r="F1656" s="12" t="s">
        <v>32</v>
      </c>
    </row>
    <row r="1657" ht="21" customHeight="1" hidden="1" spans="1:6" x14ac:dyDescent="0.25" outlineLevel="1" collapsed="1">
      <c r="A1657" s="30" t="s">
        <v>32</v>
      </c>
      <c r="B1657" s="17" t="s">
        <v>32</v>
      </c>
      <c r="C1657" s="30" t="s">
        <v>32</v>
      </c>
      <c r="D1657" s="31" t="s">
        <v>32</v>
      </c>
      <c r="E1657" s="17" t="s">
        <v>486</v>
      </c>
      <c r="F1657" s="17" t="s">
        <v>32</v>
      </c>
    </row>
    <row r="1658" ht="21" customHeight="1" hidden="1" spans="1:6" x14ac:dyDescent="0.25" outlineLevel="1" collapsed="1">
      <c r="A1658" s="32" t="s">
        <v>32</v>
      </c>
      <c r="B1658" s="12" t="s">
        <v>32</v>
      </c>
      <c r="C1658" s="32" t="s">
        <v>32</v>
      </c>
      <c r="D1658" s="31" t="s">
        <v>32</v>
      </c>
      <c r="E1658" s="12" t="s">
        <v>487</v>
      </c>
      <c r="F1658" s="12" t="s">
        <v>32</v>
      </c>
    </row>
    <row r="1659" ht="21" customHeight="1" hidden="1" spans="1:6" x14ac:dyDescent="0.25" outlineLevel="1" collapsed="1">
      <c r="A1659" s="30" t="s">
        <v>32</v>
      </c>
      <c r="B1659" s="17" t="s">
        <v>32</v>
      </c>
      <c r="C1659" s="30" t="s">
        <v>32</v>
      </c>
      <c r="D1659" s="31" t="s">
        <v>32</v>
      </c>
      <c r="E1659" s="17" t="s">
        <v>488</v>
      </c>
      <c r="F1659" s="17" t="s">
        <v>32</v>
      </c>
    </row>
    <row r="1660" ht="21" customHeight="1" hidden="1" spans="1:6" x14ac:dyDescent="0.25" outlineLevel="1" collapsed="1">
      <c r="A1660" s="32" t="s">
        <v>32</v>
      </c>
      <c r="B1660" s="12" t="s">
        <v>32</v>
      </c>
      <c r="C1660" s="32" t="s">
        <v>32</v>
      </c>
      <c r="D1660" s="31" t="s">
        <v>32</v>
      </c>
      <c r="E1660" s="12" t="s">
        <v>489</v>
      </c>
      <c r="F1660" s="12" t="s">
        <v>32</v>
      </c>
    </row>
    <row r="1661" ht="21" customHeight="1" hidden="1" spans="1:6" x14ac:dyDescent="0.25" outlineLevel="1" collapsed="1">
      <c r="A1661" s="30" t="s">
        <v>32</v>
      </c>
      <c r="B1661" s="17" t="s">
        <v>32</v>
      </c>
      <c r="C1661" s="30" t="s">
        <v>32</v>
      </c>
      <c r="D1661" s="31" t="s">
        <v>32</v>
      </c>
      <c r="E1661" s="17" t="s">
        <v>679</v>
      </c>
      <c r="F1661" s="17" t="s">
        <v>32</v>
      </c>
    </row>
    <row r="1662" ht="21" customHeight="1" hidden="1" spans="1:6" x14ac:dyDescent="0.25" outlineLevel="1" collapsed="1">
      <c r="A1662" s="32" t="s">
        <v>32</v>
      </c>
      <c r="B1662" s="12" t="s">
        <v>32</v>
      </c>
      <c r="C1662" s="32" t="s">
        <v>32</v>
      </c>
      <c r="D1662" s="31" t="s">
        <v>32</v>
      </c>
      <c r="E1662" s="12" t="s">
        <v>491</v>
      </c>
      <c r="F1662" s="12" t="s">
        <v>32</v>
      </c>
    </row>
    <row r="1663" ht="21" customHeight="1" hidden="1" spans="1:6" x14ac:dyDescent="0.25" outlineLevel="1" collapsed="1">
      <c r="A1663" s="30" t="s">
        <v>32</v>
      </c>
      <c r="B1663" s="17" t="s">
        <v>32</v>
      </c>
      <c r="C1663" s="30" t="s">
        <v>32</v>
      </c>
      <c r="D1663" s="31" t="s">
        <v>32</v>
      </c>
      <c r="E1663" s="17" t="s">
        <v>492</v>
      </c>
      <c r="F1663" s="17" t="s">
        <v>32</v>
      </c>
    </row>
    <row r="1664" ht="21" customHeight="1" hidden="1" spans="1:6" x14ac:dyDescent="0.25" outlineLevel="1" collapsed="1">
      <c r="A1664" s="32" t="s">
        <v>32</v>
      </c>
      <c r="B1664" s="12" t="s">
        <v>32</v>
      </c>
      <c r="C1664" s="32" t="s">
        <v>32</v>
      </c>
      <c r="D1664" s="31" t="s">
        <v>32</v>
      </c>
      <c r="E1664" s="33" t="s">
        <v>680</v>
      </c>
      <c r="F1664" s="12" t="s">
        <v>32</v>
      </c>
    </row>
    <row r="1665" ht="22" customHeight="1" hidden="1" spans="1:6" x14ac:dyDescent="0.25" outlineLevel="1" collapsed="1">
      <c r="A1665" s="34" t="s">
        <v>495</v>
      </c>
      <c r="B1665" s="34"/>
      <c r="C1665" s="34"/>
      <c r="D1665" s="34"/>
      <c r="E1665" s="34"/>
      <c r="F1665" s="34"/>
    </row>
    <row r="1666" ht="24" customHeight="1" hidden="1" spans="1:6" x14ac:dyDescent="0.25" outlineLevel="1" collapsed="1">
      <c r="A1666" s="12" t="s">
        <v>681</v>
      </c>
      <c r="B1666" s="12"/>
      <c r="C1666" s="12"/>
      <c r="D1666" s="12"/>
      <c r="E1666" s="12"/>
      <c r="F1666" s="12"/>
    </row>
    <row r="1667" ht="24" customHeight="1" hidden="1" spans="1:6" x14ac:dyDescent="0.25" outlineLevel="1" collapsed="1">
      <c r="A1667" s="12" t="s">
        <v>682</v>
      </c>
      <c r="B1667" s="12"/>
      <c r="C1667" s="12"/>
      <c r="D1667" s="12"/>
      <c r="E1667" s="12"/>
      <c r="F1667" s="12"/>
    </row>
    <row r="1668" ht="56" customHeight="1" hidden="1" spans="1:6" x14ac:dyDescent="0.25" outlineLevel="1" collapsed="1">
      <c r="A1668" s="12" t="s">
        <v>683</v>
      </c>
      <c r="B1668" s="12"/>
      <c r="C1668" s="12"/>
      <c r="D1668" s="12"/>
      <c r="E1668" s="12"/>
      <c r="F1668" s="12"/>
    </row>
    <row r="1669" ht="24" customHeight="1" hidden="1" spans="1:6" x14ac:dyDescent="0.25" outlineLevel="1" collapsed="1">
      <c r="A1669" s="12" t="s">
        <v>684</v>
      </c>
      <c r="B1669" s="12"/>
      <c r="C1669" s="12"/>
      <c r="D1669" s="12"/>
      <c r="E1669" s="12"/>
      <c r="F1669" s="12"/>
    </row>
    <row r="1670" ht="6" customHeight="1" hidden="1" x14ac:dyDescent="0.25" outlineLevel="1" collapsed="1"/>
    <row r="1671" ht="22" customHeight="1" spans="1:6" x14ac:dyDescent="0.25">
      <c r="A1671" s="25" t="s">
        <v>591</v>
      </c>
      <c r="B1671" s="25"/>
      <c r="C1671" s="25"/>
      <c r="D1671" s="25"/>
      <c r="E1671" s="25"/>
      <c r="F1671" s="25"/>
    </row>
    <row r="1672" ht="20" customHeight="1" hidden="1" spans="1:6" x14ac:dyDescent="0.25" outlineLevel="1" collapsed="1">
      <c r="A1672" s="26" t="s">
        <v>460</v>
      </c>
      <c r="B1672" s="26" t="s">
        <v>461</v>
      </c>
      <c r="C1672" s="26" t="s">
        <v>462</v>
      </c>
      <c r="D1672" s="26" t="s">
        <v>32</v>
      </c>
      <c r="E1672" s="26" t="s">
        <v>463</v>
      </c>
      <c r="F1672" s="26" t="s">
        <v>464</v>
      </c>
    </row>
    <row r="1673" ht="36" customHeight="1" hidden="1" spans="1:6" x14ac:dyDescent="0.25" outlineLevel="1" collapsed="1">
      <c r="A1673" s="27">
        <v>4220</v>
      </c>
      <c r="B1673" s="28" t="s">
        <v>543</v>
      </c>
      <c r="C1673" s="27" t="s">
        <v>466</v>
      </c>
      <c r="D1673" s="29" t="s">
        <v>32</v>
      </c>
      <c r="E1673" s="28" t="s">
        <v>675</v>
      </c>
      <c r="F1673" s="28" t="s">
        <v>32</v>
      </c>
    </row>
    <row r="1674" ht="21" customHeight="1" hidden="1" spans="1:6" x14ac:dyDescent="0.25" outlineLevel="1" collapsed="1">
      <c r="A1674" s="27">
        <v>4240</v>
      </c>
      <c r="B1674" s="28" t="s">
        <v>471</v>
      </c>
      <c r="C1674" s="27" t="s">
        <v>472</v>
      </c>
      <c r="D1674" s="29" t="s">
        <v>32</v>
      </c>
      <c r="E1674" s="28" t="s">
        <v>676</v>
      </c>
      <c r="F1674" s="28" t="s">
        <v>32</v>
      </c>
    </row>
    <row r="1675" ht="51" customHeight="1" hidden="1" spans="1:6" x14ac:dyDescent="0.25" outlineLevel="1" collapsed="1">
      <c r="A1675" s="27">
        <v>4230</v>
      </c>
      <c r="B1675" s="28" t="s">
        <v>544</v>
      </c>
      <c r="C1675" s="27" t="s">
        <v>472</v>
      </c>
      <c r="D1675" s="29" t="s">
        <v>32</v>
      </c>
      <c r="E1675" s="28" t="s">
        <v>481</v>
      </c>
      <c r="F1675" s="28" t="s">
        <v>677</v>
      </c>
    </row>
    <row r="1676" ht="21" customHeight="1" hidden="1" spans="1:6" x14ac:dyDescent="0.25" outlineLevel="1" collapsed="1">
      <c r="A1676" s="30" t="s">
        <v>32</v>
      </c>
      <c r="B1676" s="17" t="s">
        <v>32</v>
      </c>
      <c r="C1676" s="30" t="s">
        <v>32</v>
      </c>
      <c r="D1676" s="31" t="s">
        <v>32</v>
      </c>
      <c r="E1676" s="17" t="s">
        <v>483</v>
      </c>
      <c r="F1676" s="17" t="s">
        <v>32</v>
      </c>
    </row>
    <row r="1677" ht="36" customHeight="1" hidden="1" spans="1:6" x14ac:dyDescent="0.25" outlineLevel="1" collapsed="1">
      <c r="A1677" s="32" t="s">
        <v>32</v>
      </c>
      <c r="B1677" s="12" t="s">
        <v>32</v>
      </c>
      <c r="C1677" s="32" t="s">
        <v>32</v>
      </c>
      <c r="D1677" s="31" t="s">
        <v>32</v>
      </c>
      <c r="E1677" s="12" t="s">
        <v>678</v>
      </c>
      <c r="F1677" s="12" t="s">
        <v>32</v>
      </c>
    </row>
    <row r="1678" ht="21" customHeight="1" hidden="1" spans="1:6" x14ac:dyDescent="0.25" outlineLevel="1" collapsed="1">
      <c r="A1678" s="30" t="s">
        <v>32</v>
      </c>
      <c r="B1678" s="17" t="s">
        <v>32</v>
      </c>
      <c r="C1678" s="30" t="s">
        <v>32</v>
      </c>
      <c r="D1678" s="31" t="s">
        <v>32</v>
      </c>
      <c r="E1678" s="17" t="s">
        <v>486</v>
      </c>
      <c r="F1678" s="17" t="s">
        <v>32</v>
      </c>
    </row>
    <row r="1679" ht="21" customHeight="1" hidden="1" spans="1:6" x14ac:dyDescent="0.25" outlineLevel="1" collapsed="1">
      <c r="A1679" s="32" t="s">
        <v>32</v>
      </c>
      <c r="B1679" s="12" t="s">
        <v>32</v>
      </c>
      <c r="C1679" s="32" t="s">
        <v>32</v>
      </c>
      <c r="D1679" s="31" t="s">
        <v>32</v>
      </c>
      <c r="E1679" s="12" t="s">
        <v>487</v>
      </c>
      <c r="F1679" s="12" t="s">
        <v>32</v>
      </c>
    </row>
    <row r="1680" ht="21" customHeight="1" hidden="1" spans="1:6" x14ac:dyDescent="0.25" outlineLevel="1" collapsed="1">
      <c r="A1680" s="30" t="s">
        <v>32</v>
      </c>
      <c r="B1680" s="17" t="s">
        <v>32</v>
      </c>
      <c r="C1680" s="30" t="s">
        <v>32</v>
      </c>
      <c r="D1680" s="31" t="s">
        <v>32</v>
      </c>
      <c r="E1680" s="17" t="s">
        <v>488</v>
      </c>
      <c r="F1680" s="17" t="s">
        <v>32</v>
      </c>
    </row>
    <row r="1681" ht="21" customHeight="1" hidden="1" spans="1:6" x14ac:dyDescent="0.25" outlineLevel="1" collapsed="1">
      <c r="A1681" s="32" t="s">
        <v>32</v>
      </c>
      <c r="B1681" s="12" t="s">
        <v>32</v>
      </c>
      <c r="C1681" s="32" t="s">
        <v>32</v>
      </c>
      <c r="D1681" s="31" t="s">
        <v>32</v>
      </c>
      <c r="E1681" s="12" t="s">
        <v>489</v>
      </c>
      <c r="F1681" s="12" t="s">
        <v>32</v>
      </c>
    </row>
    <row r="1682" ht="21" customHeight="1" hidden="1" spans="1:6" x14ac:dyDescent="0.25" outlineLevel="1" collapsed="1">
      <c r="A1682" s="30" t="s">
        <v>32</v>
      </c>
      <c r="B1682" s="17" t="s">
        <v>32</v>
      </c>
      <c r="C1682" s="30" t="s">
        <v>32</v>
      </c>
      <c r="D1682" s="31" t="s">
        <v>32</v>
      </c>
      <c r="E1682" s="17" t="s">
        <v>679</v>
      </c>
      <c r="F1682" s="17" t="s">
        <v>32</v>
      </c>
    </row>
    <row r="1683" ht="21" customHeight="1" hidden="1" spans="1:6" x14ac:dyDescent="0.25" outlineLevel="1" collapsed="1">
      <c r="A1683" s="32" t="s">
        <v>32</v>
      </c>
      <c r="B1683" s="12" t="s">
        <v>32</v>
      </c>
      <c r="C1683" s="32" t="s">
        <v>32</v>
      </c>
      <c r="D1683" s="31" t="s">
        <v>32</v>
      </c>
      <c r="E1683" s="12" t="s">
        <v>491</v>
      </c>
      <c r="F1683" s="12" t="s">
        <v>32</v>
      </c>
    </row>
    <row r="1684" ht="21" customHeight="1" hidden="1" spans="1:6" x14ac:dyDescent="0.25" outlineLevel="1" collapsed="1">
      <c r="A1684" s="30" t="s">
        <v>32</v>
      </c>
      <c r="B1684" s="17" t="s">
        <v>32</v>
      </c>
      <c r="C1684" s="30" t="s">
        <v>32</v>
      </c>
      <c r="D1684" s="31" t="s">
        <v>32</v>
      </c>
      <c r="E1684" s="17" t="s">
        <v>492</v>
      </c>
      <c r="F1684" s="17" t="s">
        <v>32</v>
      </c>
    </row>
    <row r="1685" ht="21" customHeight="1" hidden="1" spans="1:6" x14ac:dyDescent="0.25" outlineLevel="1" collapsed="1">
      <c r="A1685" s="32" t="s">
        <v>32</v>
      </c>
      <c r="B1685" s="12" t="s">
        <v>32</v>
      </c>
      <c r="C1685" s="32" t="s">
        <v>32</v>
      </c>
      <c r="D1685" s="31" t="s">
        <v>32</v>
      </c>
      <c r="E1685" s="33" t="s">
        <v>680</v>
      </c>
      <c r="F1685" s="12" t="s">
        <v>32</v>
      </c>
    </row>
    <row r="1686" ht="22" customHeight="1" hidden="1" spans="1:6" x14ac:dyDescent="0.25" outlineLevel="1" collapsed="1">
      <c r="A1686" s="34" t="s">
        <v>495</v>
      </c>
      <c r="B1686" s="34"/>
      <c r="C1686" s="34"/>
      <c r="D1686" s="34"/>
      <c r="E1686" s="34"/>
      <c r="F1686" s="34"/>
    </row>
    <row r="1687" ht="24" customHeight="1" hidden="1" spans="1:6" x14ac:dyDescent="0.25" outlineLevel="1" collapsed="1">
      <c r="A1687" s="12" t="s">
        <v>681</v>
      </c>
      <c r="B1687" s="12"/>
      <c r="C1687" s="12"/>
      <c r="D1687" s="12"/>
      <c r="E1687" s="12"/>
      <c r="F1687" s="12"/>
    </row>
    <row r="1688" ht="24" customHeight="1" hidden="1" spans="1:6" x14ac:dyDescent="0.25" outlineLevel="1" collapsed="1">
      <c r="A1688" s="12" t="s">
        <v>682</v>
      </c>
      <c r="B1688" s="12"/>
      <c r="C1688" s="12"/>
      <c r="D1688" s="12"/>
      <c r="E1688" s="12"/>
      <c r="F1688" s="12"/>
    </row>
    <row r="1689" ht="56" customHeight="1" hidden="1" spans="1:6" x14ac:dyDescent="0.25" outlineLevel="1" collapsed="1">
      <c r="A1689" s="12" t="s">
        <v>683</v>
      </c>
      <c r="B1689" s="12"/>
      <c r="C1689" s="12"/>
      <c r="D1689" s="12"/>
      <c r="E1689" s="12"/>
      <c r="F1689" s="12"/>
    </row>
    <row r="1690" ht="24" customHeight="1" hidden="1" spans="1:6" x14ac:dyDescent="0.25" outlineLevel="1" collapsed="1">
      <c r="A1690" s="12" t="s">
        <v>684</v>
      </c>
      <c r="B1690" s="12"/>
      <c r="C1690" s="12"/>
      <c r="D1690" s="12"/>
      <c r="E1690" s="12"/>
      <c r="F1690" s="12"/>
    </row>
    <row r="1691" ht="6" customHeight="1" hidden="1" x14ac:dyDescent="0.25" outlineLevel="1" collapsed="1"/>
    <row r="1692" ht="22" customHeight="1" spans="1:6" x14ac:dyDescent="0.25">
      <c r="A1692" s="25" t="s">
        <v>592</v>
      </c>
      <c r="B1692" s="25"/>
      <c r="C1692" s="25"/>
      <c r="D1692" s="25"/>
      <c r="E1692" s="25"/>
      <c r="F1692" s="25"/>
    </row>
    <row r="1693" ht="20" customHeight="1" hidden="1" spans="1:6" x14ac:dyDescent="0.25" outlineLevel="1" collapsed="1">
      <c r="A1693" s="26" t="s">
        <v>460</v>
      </c>
      <c r="B1693" s="26" t="s">
        <v>461</v>
      </c>
      <c r="C1693" s="26" t="s">
        <v>462</v>
      </c>
      <c r="D1693" s="26" t="s">
        <v>32</v>
      </c>
      <c r="E1693" s="26" t="s">
        <v>463</v>
      </c>
      <c r="F1693" s="26" t="s">
        <v>464</v>
      </c>
    </row>
    <row r="1694" ht="36" customHeight="1" hidden="1" spans="1:6" x14ac:dyDescent="0.25" outlineLevel="1" collapsed="1">
      <c r="A1694" s="27">
        <v>4220</v>
      </c>
      <c r="B1694" s="28" t="s">
        <v>543</v>
      </c>
      <c r="C1694" s="27" t="s">
        <v>466</v>
      </c>
      <c r="D1694" s="29" t="s">
        <v>32</v>
      </c>
      <c r="E1694" s="36" t="s">
        <v>699</v>
      </c>
      <c r="F1694" s="28" t="s">
        <v>32</v>
      </c>
    </row>
    <row r="1695" ht="36" customHeight="1" hidden="1" spans="1:6" x14ac:dyDescent="0.25" outlineLevel="1" collapsed="1">
      <c r="A1695" s="27">
        <v>4240</v>
      </c>
      <c r="B1695" s="28" t="s">
        <v>471</v>
      </c>
      <c r="C1695" s="27" t="s">
        <v>472</v>
      </c>
      <c r="D1695" s="29" t="s">
        <v>32</v>
      </c>
      <c r="E1695" s="36" t="s">
        <v>699</v>
      </c>
      <c r="F1695" s="28" t="s">
        <v>32</v>
      </c>
    </row>
    <row r="1696" ht="36" customHeight="1" hidden="1" spans="1:6" x14ac:dyDescent="0.25" outlineLevel="1" collapsed="1">
      <c r="A1696" s="27">
        <v>4230</v>
      </c>
      <c r="B1696" s="28" t="s">
        <v>544</v>
      </c>
      <c r="C1696" s="27" t="s">
        <v>472</v>
      </c>
      <c r="D1696" s="29" t="s">
        <v>32</v>
      </c>
      <c r="E1696" s="36" t="s">
        <v>699</v>
      </c>
      <c r="F1696" s="28" t="s">
        <v>32</v>
      </c>
    </row>
    <row r="1697" ht="22" customHeight="1" hidden="1" spans="1:6" x14ac:dyDescent="0.25" outlineLevel="1" collapsed="1">
      <c r="A1697" s="34" t="s">
        <v>495</v>
      </c>
      <c r="B1697" s="34"/>
      <c r="C1697" s="34"/>
      <c r="D1697" s="34"/>
      <c r="E1697" s="34"/>
      <c r="F1697" s="34"/>
    </row>
    <row r="1698" ht="24" customHeight="1" hidden="1" spans="1:6" x14ac:dyDescent="0.25" outlineLevel="1" collapsed="1">
      <c r="A1698" s="12" t="s">
        <v>700</v>
      </c>
      <c r="B1698" s="12"/>
      <c r="C1698" s="12"/>
      <c r="D1698" s="12"/>
      <c r="E1698" s="12"/>
      <c r="F1698" s="12"/>
    </row>
    <row r="1699" ht="24" customHeight="1" hidden="1" spans="1:6" x14ac:dyDescent="0.25" outlineLevel="1" collapsed="1">
      <c r="A1699" s="12" t="s">
        <v>701</v>
      </c>
      <c r="B1699" s="12"/>
      <c r="C1699" s="12"/>
      <c r="D1699" s="12"/>
      <c r="E1699" s="12"/>
      <c r="F1699" s="12"/>
    </row>
    <row r="1700" ht="24" customHeight="1" hidden="1" spans="1:6" x14ac:dyDescent="0.25" outlineLevel="1" collapsed="1">
      <c r="A1700" s="12" t="s">
        <v>702</v>
      </c>
      <c r="B1700" s="12"/>
      <c r="C1700" s="12"/>
      <c r="D1700" s="12"/>
      <c r="E1700" s="12"/>
      <c r="F1700" s="12"/>
    </row>
    <row r="1701" ht="24" customHeight="1" hidden="1" spans="1:6" x14ac:dyDescent="0.25" outlineLevel="1" collapsed="1">
      <c r="A1701" s="12" t="s">
        <v>684</v>
      </c>
      <c r="B1701" s="12"/>
      <c r="C1701" s="12"/>
      <c r="D1701" s="12"/>
      <c r="E1701" s="12"/>
      <c r="F1701" s="12"/>
    </row>
    <row r="1702" ht="6" customHeight="1" hidden="1" x14ac:dyDescent="0.25" outlineLevel="1" collapsed="1"/>
    <row r="1703" ht="22" customHeight="1" spans="1:6" x14ac:dyDescent="0.25">
      <c r="A1703" s="25" t="s">
        <v>595</v>
      </c>
      <c r="B1703" s="25"/>
      <c r="C1703" s="25"/>
      <c r="D1703" s="25"/>
      <c r="E1703" s="25"/>
      <c r="F1703" s="25"/>
    </row>
    <row r="1704" ht="20" customHeight="1" hidden="1" spans="1:6" x14ac:dyDescent="0.25" outlineLevel="1" collapsed="1">
      <c r="A1704" s="26" t="s">
        <v>460</v>
      </c>
      <c r="B1704" s="26" t="s">
        <v>461</v>
      </c>
      <c r="C1704" s="26" t="s">
        <v>462</v>
      </c>
      <c r="D1704" s="26" t="s">
        <v>32</v>
      </c>
      <c r="E1704" s="26" t="s">
        <v>463</v>
      </c>
      <c r="F1704" s="26" t="s">
        <v>464</v>
      </c>
    </row>
    <row r="1705" ht="36" customHeight="1" hidden="1" spans="1:6" x14ac:dyDescent="0.25" outlineLevel="1" collapsed="1">
      <c r="A1705" s="27">
        <v>4220</v>
      </c>
      <c r="B1705" s="28" t="s">
        <v>543</v>
      </c>
      <c r="C1705" s="27" t="s">
        <v>466</v>
      </c>
      <c r="D1705" s="29" t="s">
        <v>32</v>
      </c>
      <c r="E1705" s="36" t="s">
        <v>699</v>
      </c>
      <c r="F1705" s="28" t="s">
        <v>32</v>
      </c>
    </row>
    <row r="1706" ht="36" customHeight="1" hidden="1" spans="1:6" x14ac:dyDescent="0.25" outlineLevel="1" collapsed="1">
      <c r="A1706" s="27">
        <v>4240</v>
      </c>
      <c r="B1706" s="28" t="s">
        <v>471</v>
      </c>
      <c r="C1706" s="27" t="s">
        <v>472</v>
      </c>
      <c r="D1706" s="29" t="s">
        <v>32</v>
      </c>
      <c r="E1706" s="36" t="s">
        <v>699</v>
      </c>
      <c r="F1706" s="28" t="s">
        <v>32</v>
      </c>
    </row>
    <row r="1707" ht="36" customHeight="1" hidden="1" spans="1:6" x14ac:dyDescent="0.25" outlineLevel="1" collapsed="1">
      <c r="A1707" s="27">
        <v>4230</v>
      </c>
      <c r="B1707" s="28" t="s">
        <v>544</v>
      </c>
      <c r="C1707" s="27" t="s">
        <v>472</v>
      </c>
      <c r="D1707" s="29" t="s">
        <v>32</v>
      </c>
      <c r="E1707" s="36" t="s">
        <v>699</v>
      </c>
      <c r="F1707" s="28" t="s">
        <v>32</v>
      </c>
    </row>
    <row r="1708" ht="22" customHeight="1" hidden="1" spans="1:6" x14ac:dyDescent="0.25" outlineLevel="1" collapsed="1">
      <c r="A1708" s="34" t="s">
        <v>495</v>
      </c>
      <c r="B1708" s="34"/>
      <c r="C1708" s="34"/>
      <c r="D1708" s="34"/>
      <c r="E1708" s="34"/>
      <c r="F1708" s="34"/>
    </row>
    <row r="1709" ht="24" customHeight="1" hidden="1" spans="1:6" x14ac:dyDescent="0.25" outlineLevel="1" collapsed="1">
      <c r="A1709" s="12" t="s">
        <v>700</v>
      </c>
      <c r="B1709" s="12"/>
      <c r="C1709" s="12"/>
      <c r="D1709" s="12"/>
      <c r="E1709" s="12"/>
      <c r="F1709" s="12"/>
    </row>
    <row r="1710" ht="24" customHeight="1" hidden="1" spans="1:6" x14ac:dyDescent="0.25" outlineLevel="1" collapsed="1">
      <c r="A1710" s="12" t="s">
        <v>701</v>
      </c>
      <c r="B1710" s="12"/>
      <c r="C1710" s="12"/>
      <c r="D1710" s="12"/>
      <c r="E1710" s="12"/>
      <c r="F1710" s="12"/>
    </row>
    <row r="1711" ht="24" customHeight="1" hidden="1" spans="1:6" x14ac:dyDescent="0.25" outlineLevel="1" collapsed="1">
      <c r="A1711" s="12" t="s">
        <v>702</v>
      </c>
      <c r="B1711" s="12"/>
      <c r="C1711" s="12"/>
      <c r="D1711" s="12"/>
      <c r="E1711" s="12"/>
      <c r="F1711" s="12"/>
    </row>
    <row r="1712" ht="24" customHeight="1" hidden="1" spans="1:6" x14ac:dyDescent="0.25" outlineLevel="1" collapsed="1">
      <c r="A1712" s="12" t="s">
        <v>684</v>
      </c>
      <c r="B1712" s="12"/>
      <c r="C1712" s="12"/>
      <c r="D1712" s="12"/>
      <c r="E1712" s="12"/>
      <c r="F1712" s="12"/>
    </row>
    <row r="1713" ht="6" customHeight="1" hidden="1" x14ac:dyDescent="0.25" outlineLevel="1" collapsed="1"/>
    <row r="1714" ht="22" customHeight="1" spans="1:6" x14ac:dyDescent="0.25">
      <c r="A1714" s="25" t="s">
        <v>598</v>
      </c>
      <c r="B1714" s="25"/>
      <c r="C1714" s="25"/>
      <c r="D1714" s="25"/>
      <c r="E1714" s="25"/>
      <c r="F1714" s="25"/>
    </row>
    <row r="1715" ht="20" customHeight="1" hidden="1" spans="1:6" x14ac:dyDescent="0.25" outlineLevel="1" collapsed="1">
      <c r="A1715" s="26" t="s">
        <v>460</v>
      </c>
      <c r="B1715" s="26" t="s">
        <v>461</v>
      </c>
      <c r="C1715" s="26" t="s">
        <v>462</v>
      </c>
      <c r="D1715" s="26" t="s">
        <v>32</v>
      </c>
      <c r="E1715" s="26" t="s">
        <v>463</v>
      </c>
      <c r="F1715" s="26" t="s">
        <v>464</v>
      </c>
    </row>
    <row r="1716" ht="36" customHeight="1" hidden="1" spans="1:6" x14ac:dyDescent="0.25" outlineLevel="1" collapsed="1">
      <c r="A1716" s="27">
        <v>4220</v>
      </c>
      <c r="B1716" s="28" t="s">
        <v>543</v>
      </c>
      <c r="C1716" s="27" t="s">
        <v>466</v>
      </c>
      <c r="D1716" s="29" t="s">
        <v>32</v>
      </c>
      <c r="E1716" s="36" t="s">
        <v>699</v>
      </c>
      <c r="F1716" s="28" t="s">
        <v>32</v>
      </c>
    </row>
    <row r="1717" ht="36" customHeight="1" hidden="1" spans="1:6" x14ac:dyDescent="0.25" outlineLevel="1" collapsed="1">
      <c r="A1717" s="27">
        <v>4240</v>
      </c>
      <c r="B1717" s="28" t="s">
        <v>471</v>
      </c>
      <c r="C1717" s="27" t="s">
        <v>472</v>
      </c>
      <c r="D1717" s="29" t="s">
        <v>32</v>
      </c>
      <c r="E1717" s="36" t="s">
        <v>699</v>
      </c>
      <c r="F1717" s="28" t="s">
        <v>32</v>
      </c>
    </row>
    <row r="1718" ht="36" customHeight="1" hidden="1" spans="1:6" x14ac:dyDescent="0.25" outlineLevel="1" collapsed="1">
      <c r="A1718" s="27">
        <v>4230</v>
      </c>
      <c r="B1718" s="28" t="s">
        <v>544</v>
      </c>
      <c r="C1718" s="27" t="s">
        <v>472</v>
      </c>
      <c r="D1718" s="29" t="s">
        <v>32</v>
      </c>
      <c r="E1718" s="36" t="s">
        <v>699</v>
      </c>
      <c r="F1718" s="28" t="s">
        <v>32</v>
      </c>
    </row>
    <row r="1719" ht="22" customHeight="1" hidden="1" spans="1:6" x14ac:dyDescent="0.25" outlineLevel="1" collapsed="1">
      <c r="A1719" s="34" t="s">
        <v>495</v>
      </c>
      <c r="B1719" s="34"/>
      <c r="C1719" s="34"/>
      <c r="D1719" s="34"/>
      <c r="E1719" s="34"/>
      <c r="F1719" s="34"/>
    </row>
    <row r="1720" ht="24" customHeight="1" hidden="1" spans="1:6" x14ac:dyDescent="0.25" outlineLevel="1" collapsed="1">
      <c r="A1720" s="12" t="s">
        <v>700</v>
      </c>
      <c r="B1720" s="12"/>
      <c r="C1720" s="12"/>
      <c r="D1720" s="12"/>
      <c r="E1720" s="12"/>
      <c r="F1720" s="12"/>
    </row>
    <row r="1721" ht="24" customHeight="1" hidden="1" spans="1:6" x14ac:dyDescent="0.25" outlineLevel="1" collapsed="1">
      <c r="A1721" s="12" t="s">
        <v>701</v>
      </c>
      <c r="B1721" s="12"/>
      <c r="C1721" s="12"/>
      <c r="D1721" s="12"/>
      <c r="E1721" s="12"/>
      <c r="F1721" s="12"/>
    </row>
    <row r="1722" ht="24" customHeight="1" hidden="1" spans="1:6" x14ac:dyDescent="0.25" outlineLevel="1" collapsed="1">
      <c r="A1722" s="12" t="s">
        <v>702</v>
      </c>
      <c r="B1722" s="12"/>
      <c r="C1722" s="12"/>
      <c r="D1722" s="12"/>
      <c r="E1722" s="12"/>
      <c r="F1722" s="12"/>
    </row>
    <row r="1723" ht="24" customHeight="1" hidden="1" spans="1:6" x14ac:dyDescent="0.25" outlineLevel="1" collapsed="1">
      <c r="A1723" s="12" t="s">
        <v>684</v>
      </c>
      <c r="B1723" s="12"/>
      <c r="C1723" s="12"/>
      <c r="D1723" s="12"/>
      <c r="E1723" s="12"/>
      <c r="F1723" s="12"/>
    </row>
    <row r="1724" ht="6" customHeight="1" hidden="1" x14ac:dyDescent="0.25" outlineLevel="1" collapsed="1"/>
    <row r="1725" ht="22" customHeight="1" spans="1:6" x14ac:dyDescent="0.25">
      <c r="A1725" s="25" t="s">
        <v>612</v>
      </c>
      <c r="B1725" s="25"/>
      <c r="C1725" s="25"/>
      <c r="D1725" s="25"/>
      <c r="E1725" s="25"/>
      <c r="F1725" s="25"/>
    </row>
    <row r="1726" ht="20" customHeight="1" hidden="1" spans="1:6" x14ac:dyDescent="0.25" outlineLevel="1" collapsed="1">
      <c r="A1726" s="26" t="s">
        <v>460</v>
      </c>
      <c r="B1726" s="26" t="s">
        <v>461</v>
      </c>
      <c r="C1726" s="26" t="s">
        <v>462</v>
      </c>
      <c r="D1726" s="26" t="s">
        <v>32</v>
      </c>
      <c r="E1726" s="26" t="s">
        <v>463</v>
      </c>
      <c r="F1726" s="26" t="s">
        <v>464</v>
      </c>
    </row>
    <row r="1727" ht="36" customHeight="1" hidden="1" spans="1:6" x14ac:dyDescent="0.25" outlineLevel="1" collapsed="1">
      <c r="A1727" s="27">
        <v>4220</v>
      </c>
      <c r="B1727" s="28" t="s">
        <v>543</v>
      </c>
      <c r="C1727" s="27" t="s">
        <v>466</v>
      </c>
      <c r="D1727" s="29" t="s">
        <v>32</v>
      </c>
      <c r="E1727" s="28" t="s">
        <v>619</v>
      </c>
      <c r="F1727" s="28" t="s">
        <v>32</v>
      </c>
    </row>
    <row r="1728" ht="21" customHeight="1" hidden="1" spans="1:6" x14ac:dyDescent="0.25" outlineLevel="1" collapsed="1">
      <c r="A1728" s="27">
        <v>4240</v>
      </c>
      <c r="B1728" s="28" t="s">
        <v>471</v>
      </c>
      <c r="C1728" s="27" t="s">
        <v>472</v>
      </c>
      <c r="D1728" s="29" t="s">
        <v>32</v>
      </c>
      <c r="E1728" s="28" t="s">
        <v>676</v>
      </c>
      <c r="F1728" s="28" t="s">
        <v>32</v>
      </c>
    </row>
    <row r="1729" ht="36" customHeight="1" hidden="1" spans="1:6" x14ac:dyDescent="0.25" outlineLevel="1" collapsed="1">
      <c r="A1729" s="27">
        <v>4230</v>
      </c>
      <c r="B1729" s="28" t="s">
        <v>544</v>
      </c>
      <c r="C1729" s="27" t="s">
        <v>472</v>
      </c>
      <c r="D1729" s="29" t="s">
        <v>32</v>
      </c>
      <c r="E1729" s="28" t="s">
        <v>619</v>
      </c>
      <c r="F1729" s="28" t="s">
        <v>32</v>
      </c>
    </row>
    <row r="1730" ht="22" customHeight="1" hidden="1" spans="1:6" x14ac:dyDescent="0.25" outlineLevel="1" collapsed="1">
      <c r="A1730" s="34" t="s">
        <v>495</v>
      </c>
      <c r="B1730" s="34"/>
      <c r="C1730" s="34"/>
      <c r="D1730" s="34"/>
      <c r="E1730" s="34"/>
      <c r="F1730" s="34"/>
    </row>
    <row r="1731" ht="24" customHeight="1" hidden="1" spans="1:6" x14ac:dyDescent="0.25" outlineLevel="1" collapsed="1">
      <c r="A1731" s="12" t="s">
        <v>708</v>
      </c>
      <c r="B1731" s="12"/>
      <c r="C1731" s="12"/>
      <c r="D1731" s="12"/>
      <c r="E1731" s="12"/>
      <c r="F1731" s="12"/>
    </row>
    <row r="1732" ht="24" customHeight="1" hidden="1" spans="1:6" x14ac:dyDescent="0.25" outlineLevel="1" collapsed="1">
      <c r="A1732" s="12" t="s">
        <v>682</v>
      </c>
      <c r="B1732" s="12"/>
      <c r="C1732" s="12"/>
      <c r="D1732" s="12"/>
      <c r="E1732" s="12"/>
      <c r="F1732" s="12"/>
    </row>
    <row r="1733" ht="24" customHeight="1" hidden="1" spans="1:6" x14ac:dyDescent="0.25" outlineLevel="1" collapsed="1">
      <c r="A1733" s="12" t="s">
        <v>709</v>
      </c>
      <c r="B1733" s="12"/>
      <c r="C1733" s="12"/>
      <c r="D1733" s="12"/>
      <c r="E1733" s="12"/>
      <c r="F1733" s="12"/>
    </row>
    <row r="1734" ht="24" customHeight="1" hidden="1" spans="1:6" x14ac:dyDescent="0.25" outlineLevel="1" collapsed="1">
      <c r="A1734" s="12" t="s">
        <v>684</v>
      </c>
      <c r="B1734" s="12"/>
      <c r="C1734" s="12"/>
      <c r="D1734" s="12"/>
      <c r="E1734" s="12"/>
      <c r="F1734" s="12"/>
    </row>
    <row r="1735" ht="6" customHeight="1" hidden="1" x14ac:dyDescent="0.25" outlineLevel="1" collapsed="1"/>
    <row r="1736" ht="22" customHeight="1" spans="1:6" x14ac:dyDescent="0.25">
      <c r="A1736" s="25" t="s">
        <v>623</v>
      </c>
      <c r="B1736" s="25"/>
      <c r="C1736" s="25"/>
      <c r="D1736" s="25"/>
      <c r="E1736" s="25"/>
      <c r="F1736" s="25"/>
    </row>
    <row r="1737" ht="20" customHeight="1" hidden="1" spans="1:6" x14ac:dyDescent="0.25" outlineLevel="1" collapsed="1">
      <c r="A1737" s="26" t="s">
        <v>460</v>
      </c>
      <c r="B1737" s="26" t="s">
        <v>461</v>
      </c>
      <c r="C1737" s="26" t="s">
        <v>462</v>
      </c>
      <c r="D1737" s="26" t="s">
        <v>32</v>
      </c>
      <c r="E1737" s="26" t="s">
        <v>463</v>
      </c>
      <c r="F1737" s="26" t="s">
        <v>464</v>
      </c>
    </row>
    <row r="1738" ht="36" customHeight="1" hidden="1" spans="1:6" x14ac:dyDescent="0.25" outlineLevel="1" collapsed="1">
      <c r="A1738" s="27">
        <v>4220</v>
      </c>
      <c r="B1738" s="28" t="s">
        <v>543</v>
      </c>
      <c r="C1738" s="27" t="s">
        <v>466</v>
      </c>
      <c r="D1738" s="29" t="s">
        <v>32</v>
      </c>
      <c r="E1738" s="36" t="s">
        <v>699</v>
      </c>
      <c r="F1738" s="28" t="s">
        <v>32</v>
      </c>
    </row>
    <row r="1739" ht="36" customHeight="1" hidden="1" spans="1:6" x14ac:dyDescent="0.25" outlineLevel="1" collapsed="1">
      <c r="A1739" s="27">
        <v>4240</v>
      </c>
      <c r="B1739" s="28" t="s">
        <v>471</v>
      </c>
      <c r="C1739" s="27" t="s">
        <v>472</v>
      </c>
      <c r="D1739" s="29" t="s">
        <v>32</v>
      </c>
      <c r="E1739" s="36" t="s">
        <v>699</v>
      </c>
      <c r="F1739" s="28" t="s">
        <v>32</v>
      </c>
    </row>
    <row r="1740" ht="36" customHeight="1" hidden="1" spans="1:6" x14ac:dyDescent="0.25" outlineLevel="1" collapsed="1">
      <c r="A1740" s="27">
        <v>4230</v>
      </c>
      <c r="B1740" s="28" t="s">
        <v>544</v>
      </c>
      <c r="C1740" s="27" t="s">
        <v>472</v>
      </c>
      <c r="D1740" s="29" t="s">
        <v>32</v>
      </c>
      <c r="E1740" s="36" t="s">
        <v>699</v>
      </c>
      <c r="F1740" s="28" t="s">
        <v>32</v>
      </c>
    </row>
    <row r="1741" ht="22" customHeight="1" hidden="1" spans="1:6" x14ac:dyDescent="0.25" outlineLevel="1" collapsed="1">
      <c r="A1741" s="34" t="s">
        <v>495</v>
      </c>
      <c r="B1741" s="34"/>
      <c r="C1741" s="34"/>
      <c r="D1741" s="34"/>
      <c r="E1741" s="34"/>
      <c r="F1741" s="34"/>
    </row>
    <row r="1742" ht="24" customHeight="1" hidden="1" spans="1:6" x14ac:dyDescent="0.25" outlineLevel="1" collapsed="1">
      <c r="A1742" s="12" t="s">
        <v>700</v>
      </c>
      <c r="B1742" s="12"/>
      <c r="C1742" s="12"/>
      <c r="D1742" s="12"/>
      <c r="E1742" s="12"/>
      <c r="F1742" s="12"/>
    </row>
    <row r="1743" ht="24" customHeight="1" hidden="1" spans="1:6" x14ac:dyDescent="0.25" outlineLevel="1" collapsed="1">
      <c r="A1743" s="12" t="s">
        <v>701</v>
      </c>
      <c r="B1743" s="12"/>
      <c r="C1743" s="12"/>
      <c r="D1743" s="12"/>
      <c r="E1743" s="12"/>
      <c r="F1743" s="12"/>
    </row>
    <row r="1744" ht="24" customHeight="1" hidden="1" spans="1:6" x14ac:dyDescent="0.25" outlineLevel="1" collapsed="1">
      <c r="A1744" s="12" t="s">
        <v>702</v>
      </c>
      <c r="B1744" s="12"/>
      <c r="C1744" s="12"/>
      <c r="D1744" s="12"/>
      <c r="E1744" s="12"/>
      <c r="F1744" s="12"/>
    </row>
    <row r="1745" ht="24" customHeight="1" hidden="1" spans="1:6" x14ac:dyDescent="0.25" outlineLevel="1" collapsed="1">
      <c r="A1745" s="12" t="s">
        <v>684</v>
      </c>
      <c r="B1745" s="12"/>
      <c r="C1745" s="12"/>
      <c r="D1745" s="12"/>
      <c r="E1745" s="12"/>
      <c r="F1745" s="12"/>
    </row>
    <row r="1746" ht="6" customHeight="1" hidden="1" x14ac:dyDescent="0.25" outlineLevel="1" collapsed="1"/>
    <row r="1747" ht="22" customHeight="1" spans="1:6" x14ac:dyDescent="0.25">
      <c r="A1747" s="25" t="s">
        <v>624</v>
      </c>
      <c r="B1747" s="25"/>
      <c r="C1747" s="25"/>
      <c r="D1747" s="25"/>
      <c r="E1747" s="25"/>
      <c r="F1747" s="25"/>
    </row>
    <row r="1748" ht="20" customHeight="1" hidden="1" spans="1:6" x14ac:dyDescent="0.25" outlineLevel="1" collapsed="1">
      <c r="A1748" s="26" t="s">
        <v>460</v>
      </c>
      <c r="B1748" s="26" t="s">
        <v>461</v>
      </c>
      <c r="C1748" s="26" t="s">
        <v>462</v>
      </c>
      <c r="D1748" s="26" t="s">
        <v>32</v>
      </c>
      <c r="E1748" s="26" t="s">
        <v>463</v>
      </c>
      <c r="F1748" s="26" t="s">
        <v>464</v>
      </c>
    </row>
    <row r="1749" ht="36" customHeight="1" hidden="1" spans="1:6" x14ac:dyDescent="0.25" outlineLevel="1" collapsed="1">
      <c r="A1749" s="27">
        <v>4220</v>
      </c>
      <c r="B1749" s="28" t="s">
        <v>543</v>
      </c>
      <c r="C1749" s="27" t="s">
        <v>466</v>
      </c>
      <c r="D1749" s="29" t="s">
        <v>32</v>
      </c>
      <c r="E1749" s="28" t="s">
        <v>675</v>
      </c>
      <c r="F1749" s="28" t="s">
        <v>32</v>
      </c>
    </row>
    <row r="1750" ht="21" customHeight="1" hidden="1" spans="1:6" x14ac:dyDescent="0.25" outlineLevel="1" collapsed="1">
      <c r="A1750" s="27">
        <v>4240</v>
      </c>
      <c r="B1750" s="28" t="s">
        <v>471</v>
      </c>
      <c r="C1750" s="27" t="s">
        <v>472</v>
      </c>
      <c r="D1750" s="29" t="s">
        <v>32</v>
      </c>
      <c r="E1750" s="28" t="s">
        <v>676</v>
      </c>
      <c r="F1750" s="28" t="s">
        <v>32</v>
      </c>
    </row>
    <row r="1751" ht="36" customHeight="1" hidden="1" spans="1:6" x14ac:dyDescent="0.25" outlineLevel="1" collapsed="1">
      <c r="A1751" s="27">
        <v>4230</v>
      </c>
      <c r="B1751" s="28" t="s">
        <v>544</v>
      </c>
      <c r="C1751" s="27" t="s">
        <v>472</v>
      </c>
      <c r="D1751" s="29" t="s">
        <v>32</v>
      </c>
      <c r="E1751" s="28" t="s">
        <v>710</v>
      </c>
      <c r="F1751" s="28" t="s">
        <v>32</v>
      </c>
    </row>
    <row r="1752" ht="22" customHeight="1" hidden="1" spans="1:6" x14ac:dyDescent="0.25" outlineLevel="1" collapsed="1">
      <c r="A1752" s="34" t="s">
        <v>495</v>
      </c>
      <c r="B1752" s="34"/>
      <c r="C1752" s="34"/>
      <c r="D1752" s="34"/>
      <c r="E1752" s="34"/>
      <c r="F1752" s="34"/>
    </row>
    <row r="1753" ht="24" customHeight="1" hidden="1" spans="1:6" x14ac:dyDescent="0.25" outlineLevel="1" collapsed="1">
      <c r="A1753" s="12" t="s">
        <v>681</v>
      </c>
      <c r="B1753" s="12"/>
      <c r="C1753" s="12"/>
      <c r="D1753" s="12"/>
      <c r="E1753" s="12"/>
      <c r="F1753" s="12"/>
    </row>
    <row r="1754" ht="24" customHeight="1" hidden="1" spans="1:6" x14ac:dyDescent="0.25" outlineLevel="1" collapsed="1">
      <c r="A1754" s="12" t="s">
        <v>682</v>
      </c>
      <c r="B1754" s="12"/>
      <c r="C1754" s="12"/>
      <c r="D1754" s="12"/>
      <c r="E1754" s="12"/>
      <c r="F1754" s="12"/>
    </row>
    <row r="1755" ht="24" customHeight="1" hidden="1" spans="1:6" x14ac:dyDescent="0.25" outlineLevel="1" collapsed="1">
      <c r="A1755" s="12" t="s">
        <v>711</v>
      </c>
      <c r="B1755" s="12"/>
      <c r="C1755" s="12"/>
      <c r="D1755" s="12"/>
      <c r="E1755" s="12"/>
      <c r="F1755" s="12"/>
    </row>
    <row r="1756" ht="24" customHeight="1" hidden="1" spans="1:6" x14ac:dyDescent="0.25" outlineLevel="1" collapsed="1">
      <c r="A1756" s="12" t="s">
        <v>684</v>
      </c>
      <c r="B1756" s="12"/>
      <c r="C1756" s="12"/>
      <c r="D1756" s="12"/>
      <c r="E1756" s="12"/>
      <c r="F1756" s="12"/>
    </row>
    <row r="1757" ht="6" customHeight="1" hidden="1" x14ac:dyDescent="0.25" outlineLevel="1" collapsed="1"/>
    <row r="1758" ht="22" customHeight="1" spans="1:6" x14ac:dyDescent="0.25">
      <c r="A1758" s="25" t="s">
        <v>629</v>
      </c>
      <c r="B1758" s="25"/>
      <c r="C1758" s="25"/>
      <c r="D1758" s="25"/>
      <c r="E1758" s="25"/>
      <c r="F1758" s="25"/>
    </row>
    <row r="1759" ht="20" customHeight="1" hidden="1" spans="1:6" x14ac:dyDescent="0.25" outlineLevel="1" collapsed="1">
      <c r="A1759" s="26" t="s">
        <v>460</v>
      </c>
      <c r="B1759" s="26" t="s">
        <v>461</v>
      </c>
      <c r="C1759" s="26" t="s">
        <v>462</v>
      </c>
      <c r="D1759" s="26" t="s">
        <v>32</v>
      </c>
      <c r="E1759" s="26" t="s">
        <v>463</v>
      </c>
      <c r="F1759" s="26" t="s">
        <v>464</v>
      </c>
    </row>
    <row r="1760" ht="36" customHeight="1" hidden="1" spans="1:6" x14ac:dyDescent="0.25" outlineLevel="1" collapsed="1">
      <c r="A1760" s="27">
        <v>4220</v>
      </c>
      <c r="B1760" s="28" t="s">
        <v>543</v>
      </c>
      <c r="C1760" s="27" t="s">
        <v>466</v>
      </c>
      <c r="D1760" s="29" t="s">
        <v>32</v>
      </c>
      <c r="E1760" s="28" t="s">
        <v>675</v>
      </c>
      <c r="F1760" s="28" t="s">
        <v>32</v>
      </c>
    </row>
    <row r="1761" ht="21" customHeight="1" hidden="1" spans="1:6" x14ac:dyDescent="0.25" outlineLevel="1" collapsed="1">
      <c r="A1761" s="27">
        <v>4240</v>
      </c>
      <c r="B1761" s="28" t="s">
        <v>471</v>
      </c>
      <c r="C1761" s="27" t="s">
        <v>472</v>
      </c>
      <c r="D1761" s="29" t="s">
        <v>32</v>
      </c>
      <c r="E1761" s="28" t="s">
        <v>712</v>
      </c>
      <c r="F1761" s="28" t="s">
        <v>32</v>
      </c>
    </row>
    <row r="1762" ht="51" customHeight="1" hidden="1" spans="1:6" x14ac:dyDescent="0.25" outlineLevel="1" collapsed="1">
      <c r="A1762" s="27">
        <v>4230</v>
      </c>
      <c r="B1762" s="28" t="s">
        <v>544</v>
      </c>
      <c r="C1762" s="27" t="s">
        <v>472</v>
      </c>
      <c r="D1762" s="29" t="s">
        <v>32</v>
      </c>
      <c r="E1762" s="28" t="s">
        <v>481</v>
      </c>
      <c r="F1762" s="28" t="s">
        <v>677</v>
      </c>
    </row>
    <row r="1763" ht="21" customHeight="1" hidden="1" spans="1:6" x14ac:dyDescent="0.25" outlineLevel="1" collapsed="1">
      <c r="A1763" s="30" t="s">
        <v>32</v>
      </c>
      <c r="B1763" s="17" t="s">
        <v>32</v>
      </c>
      <c r="C1763" s="30" t="s">
        <v>32</v>
      </c>
      <c r="D1763" s="31" t="s">
        <v>32</v>
      </c>
      <c r="E1763" s="17" t="s">
        <v>483</v>
      </c>
      <c r="F1763" s="17" t="s">
        <v>32</v>
      </c>
    </row>
    <row r="1764" ht="36" customHeight="1" hidden="1" spans="1:6" x14ac:dyDescent="0.25" outlineLevel="1" collapsed="1">
      <c r="A1764" s="32" t="s">
        <v>32</v>
      </c>
      <c r="B1764" s="12" t="s">
        <v>32</v>
      </c>
      <c r="C1764" s="32" t="s">
        <v>32</v>
      </c>
      <c r="D1764" s="31" t="s">
        <v>32</v>
      </c>
      <c r="E1764" s="12" t="s">
        <v>678</v>
      </c>
      <c r="F1764" s="12" t="s">
        <v>32</v>
      </c>
    </row>
    <row r="1765" ht="21" customHeight="1" hidden="1" spans="1:6" x14ac:dyDescent="0.25" outlineLevel="1" collapsed="1">
      <c r="A1765" s="30" t="s">
        <v>32</v>
      </c>
      <c r="B1765" s="17" t="s">
        <v>32</v>
      </c>
      <c r="C1765" s="30" t="s">
        <v>32</v>
      </c>
      <c r="D1765" s="31" t="s">
        <v>32</v>
      </c>
      <c r="E1765" s="17" t="s">
        <v>486</v>
      </c>
      <c r="F1765" s="17" t="s">
        <v>32</v>
      </c>
    </row>
    <row r="1766" ht="21" customHeight="1" hidden="1" spans="1:6" x14ac:dyDescent="0.25" outlineLevel="1" collapsed="1">
      <c r="A1766" s="32" t="s">
        <v>32</v>
      </c>
      <c r="B1766" s="12" t="s">
        <v>32</v>
      </c>
      <c r="C1766" s="32" t="s">
        <v>32</v>
      </c>
      <c r="D1766" s="31" t="s">
        <v>32</v>
      </c>
      <c r="E1766" s="12" t="s">
        <v>487</v>
      </c>
      <c r="F1766" s="12" t="s">
        <v>32</v>
      </c>
    </row>
    <row r="1767" ht="21" customHeight="1" hidden="1" spans="1:6" x14ac:dyDescent="0.25" outlineLevel="1" collapsed="1">
      <c r="A1767" s="30" t="s">
        <v>32</v>
      </c>
      <c r="B1767" s="17" t="s">
        <v>32</v>
      </c>
      <c r="C1767" s="30" t="s">
        <v>32</v>
      </c>
      <c r="D1767" s="31" t="s">
        <v>32</v>
      </c>
      <c r="E1767" s="17" t="s">
        <v>488</v>
      </c>
      <c r="F1767" s="17" t="s">
        <v>32</v>
      </c>
    </row>
    <row r="1768" ht="21" customHeight="1" hidden="1" spans="1:6" x14ac:dyDescent="0.25" outlineLevel="1" collapsed="1">
      <c r="A1768" s="32" t="s">
        <v>32</v>
      </c>
      <c r="B1768" s="12" t="s">
        <v>32</v>
      </c>
      <c r="C1768" s="32" t="s">
        <v>32</v>
      </c>
      <c r="D1768" s="31" t="s">
        <v>32</v>
      </c>
      <c r="E1768" s="12" t="s">
        <v>489</v>
      </c>
      <c r="F1768" s="12" t="s">
        <v>32</v>
      </c>
    </row>
    <row r="1769" ht="21" customHeight="1" hidden="1" spans="1:6" x14ac:dyDescent="0.25" outlineLevel="1" collapsed="1">
      <c r="A1769" s="30" t="s">
        <v>32</v>
      </c>
      <c r="B1769" s="17" t="s">
        <v>32</v>
      </c>
      <c r="C1769" s="30" t="s">
        <v>32</v>
      </c>
      <c r="D1769" s="31" t="s">
        <v>32</v>
      </c>
      <c r="E1769" s="17" t="s">
        <v>679</v>
      </c>
      <c r="F1769" s="17" t="s">
        <v>32</v>
      </c>
    </row>
    <row r="1770" ht="21" customHeight="1" hidden="1" spans="1:6" x14ac:dyDescent="0.25" outlineLevel="1" collapsed="1">
      <c r="A1770" s="32" t="s">
        <v>32</v>
      </c>
      <c r="B1770" s="12" t="s">
        <v>32</v>
      </c>
      <c r="C1770" s="32" t="s">
        <v>32</v>
      </c>
      <c r="D1770" s="31" t="s">
        <v>32</v>
      </c>
      <c r="E1770" s="12" t="s">
        <v>491</v>
      </c>
      <c r="F1770" s="12" t="s">
        <v>32</v>
      </c>
    </row>
    <row r="1771" ht="21" customHeight="1" hidden="1" spans="1:6" x14ac:dyDescent="0.25" outlineLevel="1" collapsed="1">
      <c r="A1771" s="30" t="s">
        <v>32</v>
      </c>
      <c r="B1771" s="17" t="s">
        <v>32</v>
      </c>
      <c r="C1771" s="30" t="s">
        <v>32</v>
      </c>
      <c r="D1771" s="31" t="s">
        <v>32</v>
      </c>
      <c r="E1771" s="17" t="s">
        <v>492</v>
      </c>
      <c r="F1771" s="17" t="s">
        <v>32</v>
      </c>
    </row>
    <row r="1772" ht="21" customHeight="1" hidden="1" spans="1:6" x14ac:dyDescent="0.25" outlineLevel="1" collapsed="1">
      <c r="A1772" s="32" t="s">
        <v>32</v>
      </c>
      <c r="B1772" s="12" t="s">
        <v>32</v>
      </c>
      <c r="C1772" s="32" t="s">
        <v>32</v>
      </c>
      <c r="D1772" s="31" t="s">
        <v>32</v>
      </c>
      <c r="E1772" s="33" t="s">
        <v>680</v>
      </c>
      <c r="F1772" s="12" t="s">
        <v>32</v>
      </c>
    </row>
    <row r="1773" ht="22" customHeight="1" hidden="1" spans="1:6" x14ac:dyDescent="0.25" outlineLevel="1" collapsed="1">
      <c r="A1773" s="34" t="s">
        <v>495</v>
      </c>
      <c r="B1773" s="34"/>
      <c r="C1773" s="34"/>
      <c r="D1773" s="34"/>
      <c r="E1773" s="34"/>
      <c r="F1773" s="34"/>
    </row>
    <row r="1774" ht="24" customHeight="1" hidden="1" spans="1:6" x14ac:dyDescent="0.25" outlineLevel="1" collapsed="1">
      <c r="A1774" s="12" t="s">
        <v>681</v>
      </c>
      <c r="B1774" s="12"/>
      <c r="C1774" s="12"/>
      <c r="D1774" s="12"/>
      <c r="E1774" s="12"/>
      <c r="F1774" s="12"/>
    </row>
    <row r="1775" ht="24" customHeight="1" hidden="1" spans="1:6" x14ac:dyDescent="0.25" outlineLevel="1" collapsed="1">
      <c r="A1775" s="12" t="s">
        <v>713</v>
      </c>
      <c r="B1775" s="12"/>
      <c r="C1775" s="12"/>
      <c r="D1775" s="12"/>
      <c r="E1775" s="12"/>
      <c r="F1775" s="12"/>
    </row>
    <row r="1776" ht="56" customHeight="1" hidden="1" spans="1:6" x14ac:dyDescent="0.25" outlineLevel="1" collapsed="1">
      <c r="A1776" s="12" t="s">
        <v>683</v>
      </c>
      <c r="B1776" s="12"/>
      <c r="C1776" s="12"/>
      <c r="D1776" s="12"/>
      <c r="E1776" s="12"/>
      <c r="F1776" s="12"/>
    </row>
    <row r="1777" ht="24" customHeight="1" hidden="1" spans="1:6" x14ac:dyDescent="0.25" outlineLevel="1" collapsed="1">
      <c r="A1777" s="12" t="s">
        <v>684</v>
      </c>
      <c r="B1777" s="12"/>
      <c r="C1777" s="12"/>
      <c r="D1777" s="12"/>
      <c r="E1777" s="12"/>
      <c r="F1777" s="12"/>
    </row>
    <row r="1778" ht="6" customHeight="1" hidden="1" x14ac:dyDescent="0.25" outlineLevel="1" collapsed="1"/>
    <row r="1779" ht="22" customHeight="1" spans="1:6" x14ac:dyDescent="0.25">
      <c r="A1779" s="25" t="s">
        <v>630</v>
      </c>
      <c r="B1779" s="25"/>
      <c r="C1779" s="25"/>
      <c r="D1779" s="25"/>
      <c r="E1779" s="25"/>
      <c r="F1779" s="25"/>
    </row>
    <row r="1780" ht="20" customHeight="1" hidden="1" spans="1:6" x14ac:dyDescent="0.25" outlineLevel="1" collapsed="1">
      <c r="A1780" s="26" t="s">
        <v>460</v>
      </c>
      <c r="B1780" s="26" t="s">
        <v>461</v>
      </c>
      <c r="C1780" s="26" t="s">
        <v>462</v>
      </c>
      <c r="D1780" s="26" t="s">
        <v>32</v>
      </c>
      <c r="E1780" s="26" t="s">
        <v>463</v>
      </c>
      <c r="F1780" s="26" t="s">
        <v>464</v>
      </c>
    </row>
    <row r="1781" ht="36" customHeight="1" hidden="1" spans="1:6" x14ac:dyDescent="0.25" outlineLevel="1" collapsed="1">
      <c r="A1781" s="27">
        <v>4220</v>
      </c>
      <c r="B1781" s="28" t="s">
        <v>543</v>
      </c>
      <c r="C1781" s="27" t="s">
        <v>466</v>
      </c>
      <c r="D1781" s="29" t="s">
        <v>32</v>
      </c>
      <c r="E1781" s="28" t="s">
        <v>675</v>
      </c>
      <c r="F1781" s="28" t="s">
        <v>32</v>
      </c>
    </row>
    <row r="1782" ht="21" customHeight="1" hidden="1" spans="1:6" x14ac:dyDescent="0.25" outlineLevel="1" collapsed="1">
      <c r="A1782" s="27">
        <v>4240</v>
      </c>
      <c r="B1782" s="28" t="s">
        <v>471</v>
      </c>
      <c r="C1782" s="27" t="s">
        <v>472</v>
      </c>
      <c r="D1782" s="29" t="s">
        <v>32</v>
      </c>
      <c r="E1782" s="28" t="s">
        <v>676</v>
      </c>
      <c r="F1782" s="28" t="s">
        <v>32</v>
      </c>
    </row>
    <row r="1783" ht="51" customHeight="1" hidden="1" spans="1:6" x14ac:dyDescent="0.25" outlineLevel="1" collapsed="1">
      <c r="A1783" s="27">
        <v>4230</v>
      </c>
      <c r="B1783" s="28" t="s">
        <v>544</v>
      </c>
      <c r="C1783" s="27" t="s">
        <v>472</v>
      </c>
      <c r="D1783" s="29" t="s">
        <v>32</v>
      </c>
      <c r="E1783" s="28" t="s">
        <v>576</v>
      </c>
      <c r="F1783" s="28" t="s">
        <v>677</v>
      </c>
    </row>
    <row r="1784" ht="21" customHeight="1" hidden="1" spans="1:6" x14ac:dyDescent="0.25" outlineLevel="1" collapsed="1">
      <c r="A1784" s="30" t="s">
        <v>32</v>
      </c>
      <c r="B1784" s="17" t="s">
        <v>32</v>
      </c>
      <c r="C1784" s="30" t="s">
        <v>32</v>
      </c>
      <c r="D1784" s="31" t="s">
        <v>32</v>
      </c>
      <c r="E1784" s="17" t="s">
        <v>577</v>
      </c>
      <c r="F1784" s="17" t="s">
        <v>32</v>
      </c>
    </row>
    <row r="1785" ht="36" customHeight="1" hidden="1" spans="1:6" x14ac:dyDescent="0.25" outlineLevel="1" collapsed="1">
      <c r="A1785" s="32" t="s">
        <v>32</v>
      </c>
      <c r="B1785" s="12" t="s">
        <v>32</v>
      </c>
      <c r="C1785" s="32" t="s">
        <v>32</v>
      </c>
      <c r="D1785" s="31" t="s">
        <v>32</v>
      </c>
      <c r="E1785" s="12" t="s">
        <v>714</v>
      </c>
      <c r="F1785" s="12" t="s">
        <v>32</v>
      </c>
    </row>
    <row r="1786" ht="21" customHeight="1" hidden="1" spans="1:6" x14ac:dyDescent="0.25" outlineLevel="1" collapsed="1">
      <c r="A1786" s="30" t="s">
        <v>32</v>
      </c>
      <c r="B1786" s="17" t="s">
        <v>32</v>
      </c>
      <c r="C1786" s="30" t="s">
        <v>32</v>
      </c>
      <c r="D1786" s="31" t="s">
        <v>32</v>
      </c>
      <c r="E1786" s="17" t="s">
        <v>580</v>
      </c>
      <c r="F1786" s="17" t="s">
        <v>32</v>
      </c>
    </row>
    <row r="1787" ht="21" customHeight="1" hidden="1" spans="1:6" x14ac:dyDescent="0.25" outlineLevel="1" collapsed="1">
      <c r="A1787" s="32" t="s">
        <v>32</v>
      </c>
      <c r="B1787" s="12" t="s">
        <v>32</v>
      </c>
      <c r="C1787" s="32" t="s">
        <v>32</v>
      </c>
      <c r="D1787" s="31" t="s">
        <v>32</v>
      </c>
      <c r="E1787" s="12" t="s">
        <v>551</v>
      </c>
      <c r="F1787" s="12" t="s">
        <v>32</v>
      </c>
    </row>
    <row r="1788" ht="21" customHeight="1" hidden="1" spans="1:6" x14ac:dyDescent="0.25" outlineLevel="1" collapsed="1">
      <c r="A1788" s="30" t="s">
        <v>32</v>
      </c>
      <c r="B1788" s="17" t="s">
        <v>32</v>
      </c>
      <c r="C1788" s="30" t="s">
        <v>32</v>
      </c>
      <c r="D1788" s="31" t="s">
        <v>32</v>
      </c>
      <c r="E1788" s="17" t="s">
        <v>581</v>
      </c>
      <c r="F1788" s="17" t="s">
        <v>32</v>
      </c>
    </row>
    <row r="1789" ht="21" customHeight="1" hidden="1" spans="1:6" x14ac:dyDescent="0.25" outlineLevel="1" collapsed="1">
      <c r="A1789" s="32" t="s">
        <v>32</v>
      </c>
      <c r="B1789" s="12" t="s">
        <v>32</v>
      </c>
      <c r="C1789" s="32" t="s">
        <v>32</v>
      </c>
      <c r="D1789" s="31" t="s">
        <v>32</v>
      </c>
      <c r="E1789" s="12" t="s">
        <v>582</v>
      </c>
      <c r="F1789" s="12" t="s">
        <v>32</v>
      </c>
    </row>
    <row r="1790" ht="21" customHeight="1" hidden="1" spans="1:6" x14ac:dyDescent="0.25" outlineLevel="1" collapsed="1">
      <c r="A1790" s="30" t="s">
        <v>32</v>
      </c>
      <c r="B1790" s="17" t="s">
        <v>32</v>
      </c>
      <c r="C1790" s="30" t="s">
        <v>32</v>
      </c>
      <c r="D1790" s="31" t="s">
        <v>32</v>
      </c>
      <c r="E1790" s="17" t="s">
        <v>607</v>
      </c>
      <c r="F1790" s="17" t="s">
        <v>32</v>
      </c>
    </row>
    <row r="1791" ht="21" customHeight="1" hidden="1" spans="1:6" x14ac:dyDescent="0.25" outlineLevel="1" collapsed="1">
      <c r="A1791" s="32" t="s">
        <v>32</v>
      </c>
      <c r="B1791" s="12" t="s">
        <v>32</v>
      </c>
      <c r="C1791" s="32" t="s">
        <v>32</v>
      </c>
      <c r="D1791" s="31" t="s">
        <v>32</v>
      </c>
      <c r="E1791" s="12" t="s">
        <v>555</v>
      </c>
      <c r="F1791" s="12" t="s">
        <v>32</v>
      </c>
    </row>
    <row r="1792" ht="21" customHeight="1" hidden="1" spans="1:6" x14ac:dyDescent="0.25" outlineLevel="1" collapsed="1">
      <c r="A1792" s="30" t="s">
        <v>32</v>
      </c>
      <c r="B1792" s="17" t="s">
        <v>32</v>
      </c>
      <c r="C1792" s="30" t="s">
        <v>32</v>
      </c>
      <c r="D1792" s="31" t="s">
        <v>32</v>
      </c>
      <c r="E1792" s="17" t="s">
        <v>584</v>
      </c>
      <c r="F1792" s="17" t="s">
        <v>32</v>
      </c>
    </row>
    <row r="1793" ht="21" customHeight="1" hidden="1" spans="1:6" x14ac:dyDescent="0.25" outlineLevel="1" collapsed="1">
      <c r="A1793" s="32" t="s">
        <v>32</v>
      </c>
      <c r="B1793" s="12" t="s">
        <v>32</v>
      </c>
      <c r="C1793" s="32" t="s">
        <v>32</v>
      </c>
      <c r="D1793" s="31" t="s">
        <v>32</v>
      </c>
      <c r="E1793" s="33" t="s">
        <v>680</v>
      </c>
      <c r="F1793" s="12" t="s">
        <v>32</v>
      </c>
    </row>
    <row r="1794" ht="22" customHeight="1" hidden="1" spans="1:6" x14ac:dyDescent="0.25" outlineLevel="1" collapsed="1">
      <c r="A1794" s="34" t="s">
        <v>495</v>
      </c>
      <c r="B1794" s="34"/>
      <c r="C1794" s="34"/>
      <c r="D1794" s="34"/>
      <c r="E1794" s="34"/>
      <c r="F1794" s="34"/>
    </row>
    <row r="1795" ht="24" customHeight="1" hidden="1" spans="1:6" x14ac:dyDescent="0.25" outlineLevel="1" collapsed="1">
      <c r="A1795" s="12" t="s">
        <v>681</v>
      </c>
      <c r="B1795" s="12"/>
      <c r="C1795" s="12"/>
      <c r="D1795" s="12"/>
      <c r="E1795" s="12"/>
      <c r="F1795" s="12"/>
    </row>
    <row r="1796" ht="24" customHeight="1" hidden="1" spans="1:6" x14ac:dyDescent="0.25" outlineLevel="1" collapsed="1">
      <c r="A1796" s="12" t="s">
        <v>682</v>
      </c>
      <c r="B1796" s="12"/>
      <c r="C1796" s="12"/>
      <c r="D1796" s="12"/>
      <c r="E1796" s="12"/>
      <c r="F1796" s="12"/>
    </row>
    <row r="1797" ht="56" customHeight="1" hidden="1" spans="1:6" x14ac:dyDescent="0.25" outlineLevel="1" collapsed="1">
      <c r="A1797" s="12" t="s">
        <v>715</v>
      </c>
      <c r="B1797" s="12"/>
      <c r="C1797" s="12"/>
      <c r="D1797" s="12"/>
      <c r="E1797" s="12"/>
      <c r="F1797" s="12"/>
    </row>
    <row r="1798" ht="24" customHeight="1" hidden="1" spans="1:6" x14ac:dyDescent="0.25" outlineLevel="1" collapsed="1">
      <c r="A1798" s="12" t="s">
        <v>684</v>
      </c>
      <c r="B1798" s="12"/>
      <c r="C1798" s="12"/>
      <c r="D1798" s="12"/>
      <c r="E1798" s="12"/>
      <c r="F1798" s="12"/>
    </row>
    <row r="1799" ht="6" customHeight="1" hidden="1" x14ac:dyDescent="0.25" outlineLevel="1" collapsed="1"/>
    <row r="1800" ht="12" customHeight="1" x14ac:dyDescent="0.25"/>
    <row r="1801" ht="24" customHeight="1" spans="1:6" x14ac:dyDescent="0.25">
      <c r="A1801" s="24" t="s">
        <v>716</v>
      </c>
      <c r="B1801" s="24"/>
      <c r="C1801" s="24"/>
      <c r="D1801" s="24"/>
      <c r="E1801" s="24"/>
      <c r="F1801" s="24"/>
    </row>
    <row r="1802" ht="22" customHeight="1" spans="1:6" x14ac:dyDescent="0.25">
      <c r="A1802" s="25" t="s">
        <v>459</v>
      </c>
      <c r="B1802" s="25"/>
      <c r="C1802" s="25"/>
      <c r="D1802" s="25"/>
      <c r="E1802" s="25"/>
      <c r="F1802" s="25"/>
    </row>
    <row r="1803" ht="20" customHeight="1" hidden="1" spans="1:6" x14ac:dyDescent="0.25" outlineLevel="1" collapsed="1">
      <c r="A1803" s="26" t="s">
        <v>460</v>
      </c>
      <c r="B1803" s="26" t="s">
        <v>461</v>
      </c>
      <c r="C1803" s="26" t="s">
        <v>462</v>
      </c>
      <c r="D1803" s="26" t="s">
        <v>32</v>
      </c>
      <c r="E1803" s="26" t="s">
        <v>463</v>
      </c>
      <c r="F1803" s="26" t="s">
        <v>464</v>
      </c>
    </row>
    <row r="1804" ht="21" customHeight="1" hidden="1" spans="1:6" x14ac:dyDescent="0.25" outlineLevel="1" collapsed="1">
      <c r="A1804" s="27">
        <v>4220</v>
      </c>
      <c r="B1804" s="28" t="s">
        <v>465</v>
      </c>
      <c r="C1804" s="27" t="s">
        <v>466</v>
      </c>
      <c r="D1804" s="29" t="s">
        <v>32</v>
      </c>
      <c r="E1804" s="28" t="s">
        <v>675</v>
      </c>
      <c r="F1804" s="28" t="s">
        <v>32</v>
      </c>
    </row>
    <row r="1805" ht="21" customHeight="1" hidden="1" spans="1:6" x14ac:dyDescent="0.25" outlineLevel="1" collapsed="1">
      <c r="A1805" s="27">
        <v>4240</v>
      </c>
      <c r="B1805" s="28" t="s">
        <v>471</v>
      </c>
      <c r="C1805" s="27" t="s">
        <v>472</v>
      </c>
      <c r="D1805" s="29" t="s">
        <v>32</v>
      </c>
      <c r="E1805" s="28" t="s">
        <v>676</v>
      </c>
      <c r="F1805" s="28" t="s">
        <v>32</v>
      </c>
    </row>
    <row r="1806" ht="51" customHeight="1" hidden="1" spans="1:6" x14ac:dyDescent="0.25" outlineLevel="1" collapsed="1">
      <c r="A1806" s="27">
        <v>4230</v>
      </c>
      <c r="B1806" s="28" t="s">
        <v>480</v>
      </c>
      <c r="C1806" s="27" t="s">
        <v>472</v>
      </c>
      <c r="D1806" s="29" t="s">
        <v>32</v>
      </c>
      <c r="E1806" s="28" t="s">
        <v>481</v>
      </c>
      <c r="F1806" s="28" t="s">
        <v>677</v>
      </c>
    </row>
    <row r="1807" ht="21" customHeight="1" hidden="1" spans="1:6" x14ac:dyDescent="0.25" outlineLevel="1" collapsed="1">
      <c r="A1807" s="30" t="s">
        <v>32</v>
      </c>
      <c r="B1807" s="17" t="s">
        <v>32</v>
      </c>
      <c r="C1807" s="30" t="s">
        <v>32</v>
      </c>
      <c r="D1807" s="31" t="s">
        <v>32</v>
      </c>
      <c r="E1807" s="17" t="s">
        <v>483</v>
      </c>
      <c r="F1807" s="17" t="s">
        <v>32</v>
      </c>
    </row>
    <row r="1808" ht="36" customHeight="1" hidden="1" spans="1:6" x14ac:dyDescent="0.25" outlineLevel="1" collapsed="1">
      <c r="A1808" s="32" t="s">
        <v>32</v>
      </c>
      <c r="B1808" s="12" t="s">
        <v>32</v>
      </c>
      <c r="C1808" s="32" t="s">
        <v>32</v>
      </c>
      <c r="D1808" s="31" t="s">
        <v>32</v>
      </c>
      <c r="E1808" s="12" t="s">
        <v>678</v>
      </c>
      <c r="F1808" s="12" t="s">
        <v>32</v>
      </c>
    </row>
    <row r="1809" ht="21" customHeight="1" hidden="1" spans="1:6" x14ac:dyDescent="0.25" outlineLevel="1" collapsed="1">
      <c r="A1809" s="30" t="s">
        <v>32</v>
      </c>
      <c r="B1809" s="17" t="s">
        <v>32</v>
      </c>
      <c r="C1809" s="30" t="s">
        <v>32</v>
      </c>
      <c r="D1809" s="31" t="s">
        <v>32</v>
      </c>
      <c r="E1809" s="17" t="s">
        <v>486</v>
      </c>
      <c r="F1809" s="17" t="s">
        <v>32</v>
      </c>
    </row>
    <row r="1810" ht="21" customHeight="1" hidden="1" spans="1:6" x14ac:dyDescent="0.25" outlineLevel="1" collapsed="1">
      <c r="A1810" s="32" t="s">
        <v>32</v>
      </c>
      <c r="B1810" s="12" t="s">
        <v>32</v>
      </c>
      <c r="C1810" s="32" t="s">
        <v>32</v>
      </c>
      <c r="D1810" s="31" t="s">
        <v>32</v>
      </c>
      <c r="E1810" s="12" t="s">
        <v>487</v>
      </c>
      <c r="F1810" s="12" t="s">
        <v>32</v>
      </c>
    </row>
    <row r="1811" ht="21" customHeight="1" hidden="1" spans="1:6" x14ac:dyDescent="0.25" outlineLevel="1" collapsed="1">
      <c r="A1811" s="30" t="s">
        <v>32</v>
      </c>
      <c r="B1811" s="17" t="s">
        <v>32</v>
      </c>
      <c r="C1811" s="30" t="s">
        <v>32</v>
      </c>
      <c r="D1811" s="31" t="s">
        <v>32</v>
      </c>
      <c r="E1811" s="17" t="s">
        <v>488</v>
      </c>
      <c r="F1811" s="17" t="s">
        <v>32</v>
      </c>
    </row>
    <row r="1812" ht="21" customHeight="1" hidden="1" spans="1:6" x14ac:dyDescent="0.25" outlineLevel="1" collapsed="1">
      <c r="A1812" s="32" t="s">
        <v>32</v>
      </c>
      <c r="B1812" s="12" t="s">
        <v>32</v>
      </c>
      <c r="C1812" s="32" t="s">
        <v>32</v>
      </c>
      <c r="D1812" s="31" t="s">
        <v>32</v>
      </c>
      <c r="E1812" s="12" t="s">
        <v>489</v>
      </c>
      <c r="F1812" s="12" t="s">
        <v>32</v>
      </c>
    </row>
    <row r="1813" ht="21" customHeight="1" hidden="1" spans="1:6" x14ac:dyDescent="0.25" outlineLevel="1" collapsed="1">
      <c r="A1813" s="30" t="s">
        <v>32</v>
      </c>
      <c r="B1813" s="17" t="s">
        <v>32</v>
      </c>
      <c r="C1813" s="30" t="s">
        <v>32</v>
      </c>
      <c r="D1813" s="31" t="s">
        <v>32</v>
      </c>
      <c r="E1813" s="17" t="s">
        <v>679</v>
      </c>
      <c r="F1813" s="17" t="s">
        <v>32</v>
      </c>
    </row>
    <row r="1814" ht="21" customHeight="1" hidden="1" spans="1:6" x14ac:dyDescent="0.25" outlineLevel="1" collapsed="1">
      <c r="A1814" s="32" t="s">
        <v>32</v>
      </c>
      <c r="B1814" s="12" t="s">
        <v>32</v>
      </c>
      <c r="C1814" s="32" t="s">
        <v>32</v>
      </c>
      <c r="D1814" s="31" t="s">
        <v>32</v>
      </c>
      <c r="E1814" s="12" t="s">
        <v>491</v>
      </c>
      <c r="F1814" s="12" t="s">
        <v>32</v>
      </c>
    </row>
    <row r="1815" ht="21" customHeight="1" hidden="1" spans="1:6" x14ac:dyDescent="0.25" outlineLevel="1" collapsed="1">
      <c r="A1815" s="30" t="s">
        <v>32</v>
      </c>
      <c r="B1815" s="17" t="s">
        <v>32</v>
      </c>
      <c r="C1815" s="30" t="s">
        <v>32</v>
      </c>
      <c r="D1815" s="31" t="s">
        <v>32</v>
      </c>
      <c r="E1815" s="17" t="s">
        <v>492</v>
      </c>
      <c r="F1815" s="17" t="s">
        <v>32</v>
      </c>
    </row>
    <row r="1816" ht="21" customHeight="1" hidden="1" spans="1:6" x14ac:dyDescent="0.25" outlineLevel="1" collapsed="1">
      <c r="A1816" s="32" t="s">
        <v>32</v>
      </c>
      <c r="B1816" s="12" t="s">
        <v>32</v>
      </c>
      <c r="C1816" s="32" t="s">
        <v>32</v>
      </c>
      <c r="D1816" s="31" t="s">
        <v>32</v>
      </c>
      <c r="E1816" s="33" t="s">
        <v>680</v>
      </c>
      <c r="F1816" s="12" t="s">
        <v>32</v>
      </c>
    </row>
    <row r="1817" ht="22" customHeight="1" hidden="1" spans="1:6" x14ac:dyDescent="0.25" outlineLevel="1" collapsed="1">
      <c r="A1817" s="34" t="s">
        <v>495</v>
      </c>
      <c r="B1817" s="34"/>
      <c r="C1817" s="34"/>
      <c r="D1817" s="34"/>
      <c r="E1817" s="34"/>
      <c r="F1817" s="34"/>
    </row>
    <row r="1818" ht="24" customHeight="1" hidden="1" spans="1:6" x14ac:dyDescent="0.25" outlineLevel="1" collapsed="1">
      <c r="A1818" s="12" t="s">
        <v>681</v>
      </c>
      <c r="B1818" s="12"/>
      <c r="C1818" s="12"/>
      <c r="D1818" s="12"/>
      <c r="E1818" s="12"/>
      <c r="F1818" s="12"/>
    </row>
    <row r="1819" ht="24" customHeight="1" hidden="1" spans="1:6" x14ac:dyDescent="0.25" outlineLevel="1" collapsed="1">
      <c r="A1819" s="12" t="s">
        <v>682</v>
      </c>
      <c r="B1819" s="12"/>
      <c r="C1819" s="12"/>
      <c r="D1819" s="12"/>
      <c r="E1819" s="12"/>
      <c r="F1819" s="12"/>
    </row>
    <row r="1820" ht="56" customHeight="1" hidden="1" spans="1:6" x14ac:dyDescent="0.25" outlineLevel="1" collapsed="1">
      <c r="A1820" s="12" t="s">
        <v>683</v>
      </c>
      <c r="B1820" s="12"/>
      <c r="C1820" s="12"/>
      <c r="D1820" s="12"/>
      <c r="E1820" s="12"/>
      <c r="F1820" s="12"/>
    </row>
    <row r="1821" ht="24" customHeight="1" hidden="1" spans="1:6" x14ac:dyDescent="0.25" outlineLevel="1" collapsed="1">
      <c r="A1821" s="12" t="s">
        <v>684</v>
      </c>
      <c r="B1821" s="12"/>
      <c r="C1821" s="12"/>
      <c r="D1821" s="12"/>
      <c r="E1821" s="12"/>
      <c r="F1821" s="12"/>
    </row>
    <row r="1822" ht="6" customHeight="1" hidden="1" x14ac:dyDescent="0.25" outlineLevel="1" collapsed="1"/>
    <row r="1823" ht="22" customHeight="1" spans="1:6" x14ac:dyDescent="0.25">
      <c r="A1823" s="25" t="s">
        <v>500</v>
      </c>
      <c r="B1823" s="25"/>
      <c r="C1823" s="25"/>
      <c r="D1823" s="25"/>
      <c r="E1823" s="25"/>
      <c r="F1823" s="25"/>
    </row>
    <row r="1824" ht="20" customHeight="1" hidden="1" spans="1:6" x14ac:dyDescent="0.25" outlineLevel="1" collapsed="1">
      <c r="A1824" s="26" t="s">
        <v>460</v>
      </c>
      <c r="B1824" s="26" t="s">
        <v>461</v>
      </c>
      <c r="C1824" s="26" t="s">
        <v>462</v>
      </c>
      <c r="D1824" s="26" t="s">
        <v>32</v>
      </c>
      <c r="E1824" s="26" t="s">
        <v>463</v>
      </c>
      <c r="F1824" s="26" t="s">
        <v>464</v>
      </c>
    </row>
    <row r="1825" ht="36" customHeight="1" hidden="1" spans="1:6" x14ac:dyDescent="0.25" outlineLevel="1" collapsed="1">
      <c r="A1825" s="27">
        <v>4220</v>
      </c>
      <c r="B1825" s="28" t="s">
        <v>501</v>
      </c>
      <c r="C1825" s="27" t="s">
        <v>466</v>
      </c>
      <c r="D1825" s="29" t="s">
        <v>32</v>
      </c>
      <c r="E1825" s="28" t="s">
        <v>518</v>
      </c>
      <c r="F1825" s="28" t="s">
        <v>32</v>
      </c>
    </row>
    <row r="1826" ht="51" customHeight="1" hidden="1" spans="1:6" x14ac:dyDescent="0.25" outlineLevel="1" collapsed="1">
      <c r="A1826" s="27">
        <v>4240</v>
      </c>
      <c r="B1826" s="28" t="s">
        <v>504</v>
      </c>
      <c r="C1826" s="27" t="s">
        <v>472</v>
      </c>
      <c r="D1826" s="29" t="s">
        <v>32</v>
      </c>
      <c r="E1826" s="28" t="s">
        <v>685</v>
      </c>
      <c r="F1826" s="28" t="s">
        <v>686</v>
      </c>
    </row>
    <row r="1827" ht="21" customHeight="1" hidden="1" spans="1:6" x14ac:dyDescent="0.25" outlineLevel="1" collapsed="1">
      <c r="A1827" s="30" t="s">
        <v>32</v>
      </c>
      <c r="B1827" s="17" t="s">
        <v>32</v>
      </c>
      <c r="C1827" s="30" t="s">
        <v>32</v>
      </c>
      <c r="D1827" s="31" t="s">
        <v>32</v>
      </c>
      <c r="E1827" s="17" t="s">
        <v>687</v>
      </c>
      <c r="F1827" s="17" t="s">
        <v>32</v>
      </c>
    </row>
    <row r="1828" ht="21" customHeight="1" hidden="1" spans="1:6" x14ac:dyDescent="0.25" outlineLevel="1" collapsed="1">
      <c r="A1828" s="32" t="s">
        <v>32</v>
      </c>
      <c r="B1828" s="12" t="s">
        <v>32</v>
      </c>
      <c r="C1828" s="32" t="s">
        <v>32</v>
      </c>
      <c r="D1828" s="31" t="s">
        <v>32</v>
      </c>
      <c r="E1828" s="33" t="s">
        <v>688</v>
      </c>
      <c r="F1828" s="12" t="s">
        <v>32</v>
      </c>
    </row>
    <row r="1829" ht="51" customHeight="1" hidden="1" spans="1:6" x14ac:dyDescent="0.25" outlineLevel="1" collapsed="1">
      <c r="A1829" s="27">
        <v>4245</v>
      </c>
      <c r="B1829" s="28" t="s">
        <v>505</v>
      </c>
      <c r="C1829" s="27" t="s">
        <v>466</v>
      </c>
      <c r="D1829" s="29" t="s">
        <v>32</v>
      </c>
      <c r="E1829" s="28" t="s">
        <v>518</v>
      </c>
      <c r="F1829" s="28" t="s">
        <v>32</v>
      </c>
    </row>
    <row r="1830" ht="22" customHeight="1" hidden="1" spans="1:6" x14ac:dyDescent="0.25" outlineLevel="1" collapsed="1">
      <c r="A1830" s="34" t="s">
        <v>495</v>
      </c>
      <c r="B1830" s="34"/>
      <c r="C1830" s="34"/>
      <c r="D1830" s="34"/>
      <c r="E1830" s="34"/>
      <c r="F1830" s="34"/>
    </row>
    <row r="1831" ht="24" customHeight="1" hidden="1" spans="1:6" x14ac:dyDescent="0.25" outlineLevel="1" collapsed="1">
      <c r="A1831" s="12" t="s">
        <v>689</v>
      </c>
      <c r="B1831" s="12"/>
      <c r="C1831" s="12"/>
      <c r="D1831" s="12"/>
      <c r="E1831" s="12"/>
      <c r="F1831" s="12"/>
    </row>
    <row r="1832" ht="24" customHeight="1" hidden="1" spans="1:6" x14ac:dyDescent="0.25" outlineLevel="1" collapsed="1">
      <c r="A1832" s="12" t="s">
        <v>690</v>
      </c>
      <c r="B1832" s="12"/>
      <c r="C1832" s="12"/>
      <c r="D1832" s="12"/>
      <c r="E1832" s="12"/>
      <c r="F1832" s="12"/>
    </row>
    <row r="1833" ht="24" customHeight="1" hidden="1" spans="1:6" x14ac:dyDescent="0.25" outlineLevel="1" collapsed="1">
      <c r="A1833" s="12" t="s">
        <v>691</v>
      </c>
      <c r="B1833" s="12"/>
      <c r="C1833" s="12"/>
      <c r="D1833" s="12"/>
      <c r="E1833" s="12"/>
      <c r="F1833" s="12"/>
    </row>
    <row r="1834" ht="40" customHeight="1" hidden="1" spans="1:6" x14ac:dyDescent="0.25" outlineLevel="1" collapsed="1">
      <c r="A1834" s="12" t="s">
        <v>692</v>
      </c>
      <c r="B1834" s="12"/>
      <c r="C1834" s="12"/>
      <c r="D1834" s="12"/>
      <c r="E1834" s="12"/>
      <c r="F1834" s="12"/>
    </row>
    <row r="1835" ht="24" customHeight="1" hidden="1" spans="1:6" x14ac:dyDescent="0.25" outlineLevel="1" collapsed="1">
      <c r="A1835" s="12" t="s">
        <v>684</v>
      </c>
      <c r="B1835" s="12"/>
      <c r="C1835" s="12"/>
      <c r="D1835" s="12"/>
      <c r="E1835" s="12"/>
      <c r="F1835" s="12"/>
    </row>
    <row r="1836" ht="6" customHeight="1" hidden="1" x14ac:dyDescent="0.25" outlineLevel="1" collapsed="1"/>
    <row r="1837" ht="22" customHeight="1" spans="1:6" x14ac:dyDescent="0.25">
      <c r="A1837" s="25" t="s">
        <v>513</v>
      </c>
      <c r="B1837" s="25"/>
      <c r="C1837" s="25"/>
      <c r="D1837" s="25"/>
      <c r="E1837" s="25"/>
      <c r="F1837" s="25"/>
    </row>
    <row r="1838" ht="20" customHeight="1" hidden="1" spans="1:6" x14ac:dyDescent="0.25" outlineLevel="1" collapsed="1">
      <c r="A1838" s="26" t="s">
        <v>460</v>
      </c>
      <c r="B1838" s="26" t="s">
        <v>461</v>
      </c>
      <c r="C1838" s="26" t="s">
        <v>462</v>
      </c>
      <c r="D1838" s="26" t="s">
        <v>32</v>
      </c>
      <c r="E1838" s="26" t="s">
        <v>463</v>
      </c>
      <c r="F1838" s="26" t="s">
        <v>464</v>
      </c>
    </row>
    <row r="1839" ht="21" customHeight="1" hidden="1" spans="1:6" x14ac:dyDescent="0.25" outlineLevel="1" collapsed="1">
      <c r="A1839" s="27">
        <v>4220</v>
      </c>
      <c r="B1839" s="28" t="s">
        <v>514</v>
      </c>
      <c r="C1839" s="27" t="s">
        <v>466</v>
      </c>
      <c r="D1839" s="29" t="s">
        <v>32</v>
      </c>
      <c r="E1839" s="28" t="s">
        <v>518</v>
      </c>
      <c r="F1839" s="28" t="s">
        <v>32</v>
      </c>
    </row>
    <row r="1840" ht="51" customHeight="1" hidden="1" spans="1:6" x14ac:dyDescent="0.25" outlineLevel="1" collapsed="1">
      <c r="A1840" s="27">
        <v>4240</v>
      </c>
      <c r="B1840" s="28" t="s">
        <v>515</v>
      </c>
      <c r="C1840" s="27" t="s">
        <v>472</v>
      </c>
      <c r="D1840" s="29" t="s">
        <v>32</v>
      </c>
      <c r="E1840" s="28" t="s">
        <v>685</v>
      </c>
      <c r="F1840" s="28" t="s">
        <v>686</v>
      </c>
    </row>
    <row r="1841" ht="21" customHeight="1" hidden="1" spans="1:6" x14ac:dyDescent="0.25" outlineLevel="1" collapsed="1">
      <c r="A1841" s="30" t="s">
        <v>32</v>
      </c>
      <c r="B1841" s="17" t="s">
        <v>32</v>
      </c>
      <c r="C1841" s="30" t="s">
        <v>32</v>
      </c>
      <c r="D1841" s="31" t="s">
        <v>32</v>
      </c>
      <c r="E1841" s="17" t="s">
        <v>687</v>
      </c>
      <c r="F1841" s="17" t="s">
        <v>32</v>
      </c>
    </row>
    <row r="1842" ht="21" customHeight="1" hidden="1" spans="1:6" x14ac:dyDescent="0.25" outlineLevel="1" collapsed="1">
      <c r="A1842" s="32" t="s">
        <v>32</v>
      </c>
      <c r="B1842" s="12" t="s">
        <v>32</v>
      </c>
      <c r="C1842" s="32" t="s">
        <v>32</v>
      </c>
      <c r="D1842" s="31" t="s">
        <v>32</v>
      </c>
      <c r="E1842" s="33" t="s">
        <v>688</v>
      </c>
      <c r="F1842" s="12" t="s">
        <v>32</v>
      </c>
    </row>
    <row r="1843" ht="36" customHeight="1" hidden="1" spans="1:6" x14ac:dyDescent="0.25" outlineLevel="1" collapsed="1">
      <c r="A1843" s="27">
        <v>4245</v>
      </c>
      <c r="B1843" s="28" t="s">
        <v>516</v>
      </c>
      <c r="C1843" s="27" t="s">
        <v>466</v>
      </c>
      <c r="D1843" s="29" t="s">
        <v>32</v>
      </c>
      <c r="E1843" s="28" t="s">
        <v>518</v>
      </c>
      <c r="F1843" s="28" t="s">
        <v>32</v>
      </c>
    </row>
    <row r="1844" ht="21" customHeight="1" hidden="1" spans="1:6" x14ac:dyDescent="0.25" outlineLevel="1" collapsed="1">
      <c r="A1844" s="27">
        <v>4230</v>
      </c>
      <c r="B1844" s="28" t="s">
        <v>517</v>
      </c>
      <c r="C1844" s="27" t="s">
        <v>472</v>
      </c>
      <c r="D1844" s="29" t="s">
        <v>32</v>
      </c>
      <c r="E1844" s="28" t="s">
        <v>518</v>
      </c>
      <c r="F1844" s="28" t="s">
        <v>32</v>
      </c>
    </row>
    <row r="1845" ht="22" customHeight="1" hidden="1" spans="1:6" x14ac:dyDescent="0.25" outlineLevel="1" collapsed="1">
      <c r="A1845" s="34" t="s">
        <v>495</v>
      </c>
      <c r="B1845" s="34"/>
      <c r="C1845" s="34"/>
      <c r="D1845" s="34"/>
      <c r="E1845" s="34"/>
      <c r="F1845" s="34"/>
    </row>
    <row r="1846" ht="24" customHeight="1" hidden="1" spans="1:6" x14ac:dyDescent="0.25" outlineLevel="1" collapsed="1">
      <c r="A1846" s="12" t="s">
        <v>689</v>
      </c>
      <c r="B1846" s="12"/>
      <c r="C1846" s="12"/>
      <c r="D1846" s="12"/>
      <c r="E1846" s="12"/>
      <c r="F1846" s="12"/>
    </row>
    <row r="1847" ht="24" customHeight="1" hidden="1" spans="1:6" x14ac:dyDescent="0.25" outlineLevel="1" collapsed="1">
      <c r="A1847" s="12" t="s">
        <v>690</v>
      </c>
      <c r="B1847" s="12"/>
      <c r="C1847" s="12"/>
      <c r="D1847" s="12"/>
      <c r="E1847" s="12"/>
      <c r="F1847" s="12"/>
    </row>
    <row r="1848" ht="24" customHeight="1" hidden="1" spans="1:6" x14ac:dyDescent="0.25" outlineLevel="1" collapsed="1">
      <c r="A1848" s="12" t="s">
        <v>691</v>
      </c>
      <c r="B1848" s="12"/>
      <c r="C1848" s="12"/>
      <c r="D1848" s="12"/>
      <c r="E1848" s="12"/>
      <c r="F1848" s="12"/>
    </row>
    <row r="1849" ht="24" customHeight="1" hidden="1" spans="1:6" x14ac:dyDescent="0.25" outlineLevel="1" collapsed="1">
      <c r="A1849" s="12" t="s">
        <v>693</v>
      </c>
      <c r="B1849" s="12"/>
      <c r="C1849" s="12"/>
      <c r="D1849" s="12"/>
      <c r="E1849" s="12"/>
      <c r="F1849" s="12"/>
    </row>
    <row r="1850" ht="40" customHeight="1" hidden="1" spans="1:6" x14ac:dyDescent="0.25" outlineLevel="1" collapsed="1">
      <c r="A1850" s="12" t="s">
        <v>692</v>
      </c>
      <c r="B1850" s="12"/>
      <c r="C1850" s="12"/>
      <c r="D1850" s="12"/>
      <c r="E1850" s="12"/>
      <c r="F1850" s="12"/>
    </row>
    <row r="1851" ht="24" customHeight="1" hidden="1" spans="1:6" x14ac:dyDescent="0.25" outlineLevel="1" collapsed="1">
      <c r="A1851" s="12" t="s">
        <v>684</v>
      </c>
      <c r="B1851" s="12"/>
      <c r="C1851" s="12"/>
      <c r="D1851" s="12"/>
      <c r="E1851" s="12"/>
      <c r="F1851" s="12"/>
    </row>
    <row r="1852" ht="6" customHeight="1" hidden="1" x14ac:dyDescent="0.25" outlineLevel="1" collapsed="1"/>
    <row r="1853" ht="22" customHeight="1" spans="1:6" x14ac:dyDescent="0.25">
      <c r="A1853" s="25" t="s">
        <v>520</v>
      </c>
      <c r="B1853" s="25"/>
      <c r="C1853" s="25"/>
      <c r="D1853" s="25"/>
      <c r="E1853" s="25"/>
      <c r="F1853" s="25"/>
    </row>
    <row r="1854" ht="20" customHeight="1" hidden="1" spans="1:6" x14ac:dyDescent="0.25" outlineLevel="1" collapsed="1">
      <c r="A1854" s="26" t="s">
        <v>460</v>
      </c>
      <c r="B1854" s="26" t="s">
        <v>461</v>
      </c>
      <c r="C1854" s="26" t="s">
        <v>462</v>
      </c>
      <c r="D1854" s="26" t="s">
        <v>32</v>
      </c>
      <c r="E1854" s="26" t="s">
        <v>463</v>
      </c>
      <c r="F1854" s="26" t="s">
        <v>464</v>
      </c>
    </row>
    <row r="1855" ht="36" customHeight="1" hidden="1" spans="1:6" x14ac:dyDescent="0.25" outlineLevel="1" collapsed="1">
      <c r="A1855" s="27">
        <v>4220</v>
      </c>
      <c r="B1855" s="28" t="s">
        <v>521</v>
      </c>
      <c r="C1855" s="27" t="s">
        <v>466</v>
      </c>
      <c r="D1855" s="29" t="s">
        <v>32</v>
      </c>
      <c r="E1855" s="28" t="s">
        <v>675</v>
      </c>
      <c r="F1855" s="28" t="s">
        <v>32</v>
      </c>
    </row>
    <row r="1856" ht="36" customHeight="1" hidden="1" spans="1:6" x14ac:dyDescent="0.25" outlineLevel="1" collapsed="1">
      <c r="A1856" s="27">
        <v>4240</v>
      </c>
      <c r="B1856" s="28" t="s">
        <v>523</v>
      </c>
      <c r="C1856" s="27" t="s">
        <v>472</v>
      </c>
      <c r="D1856" s="29" t="s">
        <v>32</v>
      </c>
      <c r="E1856" s="28" t="s">
        <v>676</v>
      </c>
      <c r="F1856" s="28" t="s">
        <v>32</v>
      </c>
    </row>
    <row r="1857" ht="51" customHeight="1" hidden="1" spans="1:6" x14ac:dyDescent="0.25" outlineLevel="1" collapsed="1">
      <c r="A1857" s="27">
        <v>4230</v>
      </c>
      <c r="B1857" s="28" t="s">
        <v>525</v>
      </c>
      <c r="C1857" s="27" t="s">
        <v>472</v>
      </c>
      <c r="D1857" s="29" t="s">
        <v>32</v>
      </c>
      <c r="E1857" s="28" t="s">
        <v>526</v>
      </c>
      <c r="F1857" s="28" t="s">
        <v>482</v>
      </c>
    </row>
    <row r="1858" ht="21" customHeight="1" hidden="1" spans="1:6" x14ac:dyDescent="0.25" outlineLevel="1" collapsed="1">
      <c r="A1858" s="30" t="s">
        <v>32</v>
      </c>
      <c r="B1858" s="17" t="s">
        <v>32</v>
      </c>
      <c r="C1858" s="30" t="s">
        <v>32</v>
      </c>
      <c r="D1858" s="31" t="s">
        <v>32</v>
      </c>
      <c r="E1858" s="17" t="s">
        <v>528</v>
      </c>
      <c r="F1858" s="17" t="s">
        <v>32</v>
      </c>
    </row>
    <row r="1859" ht="36" customHeight="1" hidden="1" spans="1:6" x14ac:dyDescent="0.25" outlineLevel="1" collapsed="1">
      <c r="A1859" s="32" t="s">
        <v>32</v>
      </c>
      <c r="B1859" s="12" t="s">
        <v>32</v>
      </c>
      <c r="C1859" s="32" t="s">
        <v>32</v>
      </c>
      <c r="D1859" s="31" t="s">
        <v>32</v>
      </c>
      <c r="E1859" s="12" t="s">
        <v>694</v>
      </c>
      <c r="F1859" s="12" t="s">
        <v>32</v>
      </c>
    </row>
    <row r="1860" ht="21" customHeight="1" hidden="1" spans="1:6" x14ac:dyDescent="0.25" outlineLevel="1" collapsed="1">
      <c r="A1860" s="30" t="s">
        <v>32</v>
      </c>
      <c r="B1860" s="17" t="s">
        <v>32</v>
      </c>
      <c r="C1860" s="30" t="s">
        <v>32</v>
      </c>
      <c r="D1860" s="31" t="s">
        <v>32</v>
      </c>
      <c r="E1860" s="17" t="s">
        <v>531</v>
      </c>
      <c r="F1860" s="17" t="s">
        <v>32</v>
      </c>
    </row>
    <row r="1861" ht="21" customHeight="1" hidden="1" spans="1:6" x14ac:dyDescent="0.25" outlineLevel="1" collapsed="1">
      <c r="A1861" s="32" t="s">
        <v>32</v>
      </c>
      <c r="B1861" s="12" t="s">
        <v>32</v>
      </c>
      <c r="C1861" s="32" t="s">
        <v>32</v>
      </c>
      <c r="D1861" s="31" t="s">
        <v>32</v>
      </c>
      <c r="E1861" s="12" t="s">
        <v>487</v>
      </c>
      <c r="F1861" s="12" t="s">
        <v>32</v>
      </c>
    </row>
    <row r="1862" ht="21" customHeight="1" hidden="1" spans="1:6" x14ac:dyDescent="0.25" outlineLevel="1" collapsed="1">
      <c r="A1862" s="30" t="s">
        <v>32</v>
      </c>
      <c r="B1862" s="17" t="s">
        <v>32</v>
      </c>
      <c r="C1862" s="30" t="s">
        <v>32</v>
      </c>
      <c r="D1862" s="31" t="s">
        <v>32</v>
      </c>
      <c r="E1862" s="17" t="s">
        <v>695</v>
      </c>
      <c r="F1862" s="17" t="s">
        <v>32</v>
      </c>
    </row>
    <row r="1863" ht="21" customHeight="1" hidden="1" spans="1:6" x14ac:dyDescent="0.25" outlineLevel="1" collapsed="1">
      <c r="A1863" s="32" t="s">
        <v>32</v>
      </c>
      <c r="B1863" s="12" t="s">
        <v>32</v>
      </c>
      <c r="C1863" s="32" t="s">
        <v>32</v>
      </c>
      <c r="D1863" s="31" t="s">
        <v>32</v>
      </c>
      <c r="E1863" s="12" t="s">
        <v>533</v>
      </c>
      <c r="F1863" s="12" t="s">
        <v>32</v>
      </c>
    </row>
    <row r="1864" ht="21" customHeight="1" hidden="1" spans="1:6" x14ac:dyDescent="0.25" outlineLevel="1" collapsed="1">
      <c r="A1864" s="30" t="s">
        <v>32</v>
      </c>
      <c r="B1864" s="17" t="s">
        <v>32</v>
      </c>
      <c r="C1864" s="30" t="s">
        <v>32</v>
      </c>
      <c r="D1864" s="31" t="s">
        <v>32</v>
      </c>
      <c r="E1864" s="17" t="s">
        <v>534</v>
      </c>
      <c r="F1864" s="17" t="s">
        <v>32</v>
      </c>
    </row>
    <row r="1865" ht="21" customHeight="1" hidden="1" spans="1:6" x14ac:dyDescent="0.25" outlineLevel="1" collapsed="1">
      <c r="A1865" s="32" t="s">
        <v>32</v>
      </c>
      <c r="B1865" s="12" t="s">
        <v>32</v>
      </c>
      <c r="C1865" s="32" t="s">
        <v>32</v>
      </c>
      <c r="D1865" s="31" t="s">
        <v>32</v>
      </c>
      <c r="E1865" s="12" t="s">
        <v>535</v>
      </c>
      <c r="F1865" s="12" t="s">
        <v>32</v>
      </c>
    </row>
    <row r="1866" ht="21" customHeight="1" hidden="1" spans="1:6" x14ac:dyDescent="0.25" outlineLevel="1" collapsed="1">
      <c r="A1866" s="30" t="s">
        <v>32</v>
      </c>
      <c r="B1866" s="17" t="s">
        <v>32</v>
      </c>
      <c r="C1866" s="30" t="s">
        <v>32</v>
      </c>
      <c r="D1866" s="31" t="s">
        <v>32</v>
      </c>
      <c r="E1866" s="17" t="s">
        <v>696</v>
      </c>
      <c r="F1866" s="17" t="s">
        <v>32</v>
      </c>
    </row>
    <row r="1867" ht="21" customHeight="1" hidden="1" spans="1:6" x14ac:dyDescent="0.25" outlineLevel="1" collapsed="1">
      <c r="A1867" s="32" t="s">
        <v>32</v>
      </c>
      <c r="B1867" s="12" t="s">
        <v>32</v>
      </c>
      <c r="C1867" s="32" t="s">
        <v>32</v>
      </c>
      <c r="D1867" s="31" t="s">
        <v>32</v>
      </c>
      <c r="E1867" s="12" t="s">
        <v>491</v>
      </c>
      <c r="F1867" s="12" t="s">
        <v>32</v>
      </c>
    </row>
    <row r="1868" ht="21" customHeight="1" hidden="1" spans="1:6" x14ac:dyDescent="0.25" outlineLevel="1" collapsed="1">
      <c r="A1868" s="30" t="s">
        <v>32</v>
      </c>
      <c r="B1868" s="17" t="s">
        <v>32</v>
      </c>
      <c r="C1868" s="30" t="s">
        <v>32</v>
      </c>
      <c r="D1868" s="31" t="s">
        <v>32</v>
      </c>
      <c r="E1868" s="17" t="s">
        <v>537</v>
      </c>
      <c r="F1868" s="17" t="s">
        <v>32</v>
      </c>
    </row>
    <row r="1869" ht="21" customHeight="1" hidden="1" spans="1:6" x14ac:dyDescent="0.25" outlineLevel="1" collapsed="1">
      <c r="A1869" s="32" t="s">
        <v>32</v>
      </c>
      <c r="B1869" s="12" t="s">
        <v>32</v>
      </c>
      <c r="C1869" s="32" t="s">
        <v>32</v>
      </c>
      <c r="D1869" s="31" t="s">
        <v>32</v>
      </c>
      <c r="E1869" s="33" t="s">
        <v>697</v>
      </c>
      <c r="F1869" s="12" t="s">
        <v>32</v>
      </c>
    </row>
    <row r="1870" ht="22" customHeight="1" hidden="1" spans="1:6" x14ac:dyDescent="0.25" outlineLevel="1" collapsed="1">
      <c r="A1870" s="34" t="s">
        <v>495</v>
      </c>
      <c r="B1870" s="34"/>
      <c r="C1870" s="34"/>
      <c r="D1870" s="34"/>
      <c r="E1870" s="34"/>
      <c r="F1870" s="34"/>
    </row>
    <row r="1871" ht="24" customHeight="1" hidden="1" spans="1:6" x14ac:dyDescent="0.25" outlineLevel="1" collapsed="1">
      <c r="A1871" s="12" t="s">
        <v>681</v>
      </c>
      <c r="B1871" s="12"/>
      <c r="C1871" s="12"/>
      <c r="D1871" s="12"/>
      <c r="E1871" s="12"/>
      <c r="F1871" s="12"/>
    </row>
    <row r="1872" ht="24" customHeight="1" hidden="1" spans="1:6" x14ac:dyDescent="0.25" outlineLevel="1" collapsed="1">
      <c r="A1872" s="12" t="s">
        <v>682</v>
      </c>
      <c r="B1872" s="12"/>
      <c r="C1872" s="12"/>
      <c r="D1872" s="12"/>
      <c r="E1872" s="12"/>
      <c r="F1872" s="12"/>
    </row>
    <row r="1873" ht="56" customHeight="1" hidden="1" spans="1:6" x14ac:dyDescent="0.25" outlineLevel="1" collapsed="1">
      <c r="A1873" s="12" t="s">
        <v>698</v>
      </c>
      <c r="B1873" s="12"/>
      <c r="C1873" s="12"/>
      <c r="D1873" s="12"/>
      <c r="E1873" s="12"/>
      <c r="F1873" s="12"/>
    </row>
    <row r="1874" ht="24" customHeight="1" hidden="1" spans="1:6" x14ac:dyDescent="0.25" outlineLevel="1" collapsed="1">
      <c r="A1874" s="12" t="s">
        <v>684</v>
      </c>
      <c r="B1874" s="12"/>
      <c r="C1874" s="12"/>
      <c r="D1874" s="12"/>
      <c r="E1874" s="12"/>
      <c r="F1874" s="12"/>
    </row>
    <row r="1875" ht="6" customHeight="1" hidden="1" x14ac:dyDescent="0.25" outlineLevel="1" collapsed="1"/>
    <row r="1876" ht="22" customHeight="1" spans="1:6" x14ac:dyDescent="0.25">
      <c r="A1876" s="25" t="s">
        <v>542</v>
      </c>
      <c r="B1876" s="25"/>
      <c r="C1876" s="25"/>
      <c r="D1876" s="25"/>
      <c r="E1876" s="25"/>
      <c r="F1876" s="25"/>
    </row>
    <row r="1877" ht="20" customHeight="1" hidden="1" spans="1:6" x14ac:dyDescent="0.25" outlineLevel="1" collapsed="1">
      <c r="A1877" s="26" t="s">
        <v>460</v>
      </c>
      <c r="B1877" s="26" t="s">
        <v>461</v>
      </c>
      <c r="C1877" s="26" t="s">
        <v>462</v>
      </c>
      <c r="D1877" s="26" t="s">
        <v>32</v>
      </c>
      <c r="E1877" s="26" t="s">
        <v>463</v>
      </c>
      <c r="F1877" s="26" t="s">
        <v>464</v>
      </c>
    </row>
    <row r="1878" ht="36" customHeight="1" hidden="1" spans="1:6" x14ac:dyDescent="0.25" outlineLevel="1" collapsed="1">
      <c r="A1878" s="27">
        <v>4220</v>
      </c>
      <c r="B1878" s="28" t="s">
        <v>543</v>
      </c>
      <c r="C1878" s="27" t="s">
        <v>466</v>
      </c>
      <c r="D1878" s="29" t="s">
        <v>32</v>
      </c>
      <c r="E1878" s="36" t="s">
        <v>699</v>
      </c>
      <c r="F1878" s="28" t="s">
        <v>32</v>
      </c>
    </row>
    <row r="1879" ht="36" customHeight="1" hidden="1" spans="1:6" x14ac:dyDescent="0.25" outlineLevel="1" collapsed="1">
      <c r="A1879" s="27">
        <v>4240</v>
      </c>
      <c r="B1879" s="28" t="s">
        <v>471</v>
      </c>
      <c r="C1879" s="27" t="s">
        <v>472</v>
      </c>
      <c r="D1879" s="29" t="s">
        <v>32</v>
      </c>
      <c r="E1879" s="36" t="s">
        <v>699</v>
      </c>
      <c r="F1879" s="28" t="s">
        <v>32</v>
      </c>
    </row>
    <row r="1880" ht="36" customHeight="1" hidden="1" spans="1:6" x14ac:dyDescent="0.25" outlineLevel="1" collapsed="1">
      <c r="A1880" s="27">
        <v>4230</v>
      </c>
      <c r="B1880" s="28" t="s">
        <v>544</v>
      </c>
      <c r="C1880" s="27" t="s">
        <v>472</v>
      </c>
      <c r="D1880" s="29" t="s">
        <v>32</v>
      </c>
      <c r="E1880" s="36" t="s">
        <v>699</v>
      </c>
      <c r="F1880" s="28" t="s">
        <v>32</v>
      </c>
    </row>
    <row r="1881" ht="22" customHeight="1" hidden="1" spans="1:6" x14ac:dyDescent="0.25" outlineLevel="1" collapsed="1">
      <c r="A1881" s="34" t="s">
        <v>495</v>
      </c>
      <c r="B1881" s="34"/>
      <c r="C1881" s="34"/>
      <c r="D1881" s="34"/>
      <c r="E1881" s="34"/>
      <c r="F1881" s="34"/>
    </row>
    <row r="1882" ht="24" customHeight="1" hidden="1" spans="1:6" x14ac:dyDescent="0.25" outlineLevel="1" collapsed="1">
      <c r="A1882" s="12" t="s">
        <v>700</v>
      </c>
      <c r="B1882" s="12"/>
      <c r="C1882" s="12"/>
      <c r="D1882" s="12"/>
      <c r="E1882" s="12"/>
      <c r="F1882" s="12"/>
    </row>
    <row r="1883" ht="24" customHeight="1" hidden="1" spans="1:6" x14ac:dyDescent="0.25" outlineLevel="1" collapsed="1">
      <c r="A1883" s="12" t="s">
        <v>701</v>
      </c>
      <c r="B1883" s="12"/>
      <c r="C1883" s="12"/>
      <c r="D1883" s="12"/>
      <c r="E1883" s="12"/>
      <c r="F1883" s="12"/>
    </row>
    <row r="1884" ht="24" customHeight="1" hidden="1" spans="1:6" x14ac:dyDescent="0.25" outlineLevel="1" collapsed="1">
      <c r="A1884" s="12" t="s">
        <v>702</v>
      </c>
      <c r="B1884" s="12"/>
      <c r="C1884" s="12"/>
      <c r="D1884" s="12"/>
      <c r="E1884" s="12"/>
      <c r="F1884" s="12"/>
    </row>
    <row r="1885" ht="24" customHeight="1" hidden="1" spans="1:6" x14ac:dyDescent="0.25" outlineLevel="1" collapsed="1">
      <c r="A1885" s="12" t="s">
        <v>684</v>
      </c>
      <c r="B1885" s="12"/>
      <c r="C1885" s="12"/>
      <c r="D1885" s="12"/>
      <c r="E1885" s="12"/>
      <c r="F1885" s="12"/>
    </row>
    <row r="1886" ht="6" customHeight="1" hidden="1" x14ac:dyDescent="0.25" outlineLevel="1" collapsed="1"/>
    <row r="1887" ht="22" customHeight="1" spans="1:6" x14ac:dyDescent="0.25">
      <c r="A1887" s="25" t="s">
        <v>559</v>
      </c>
      <c r="B1887" s="25"/>
      <c r="C1887" s="25"/>
      <c r="D1887" s="25"/>
      <c r="E1887" s="25"/>
      <c r="F1887" s="25"/>
    </row>
    <row r="1888" ht="20" customHeight="1" hidden="1" spans="1:6" x14ac:dyDescent="0.25" outlineLevel="1" collapsed="1">
      <c r="A1888" s="26" t="s">
        <v>460</v>
      </c>
      <c r="B1888" s="26" t="s">
        <v>461</v>
      </c>
      <c r="C1888" s="26" t="s">
        <v>462</v>
      </c>
      <c r="D1888" s="26" t="s">
        <v>32</v>
      </c>
      <c r="E1888" s="26" t="s">
        <v>463</v>
      </c>
      <c r="F1888" s="26" t="s">
        <v>464</v>
      </c>
    </row>
    <row r="1889" ht="36" customHeight="1" hidden="1" spans="1:6" x14ac:dyDescent="0.25" outlineLevel="1" collapsed="1">
      <c r="A1889" s="27">
        <v>4220</v>
      </c>
      <c r="B1889" s="28" t="s">
        <v>543</v>
      </c>
      <c r="C1889" s="27" t="s">
        <v>466</v>
      </c>
      <c r="D1889" s="29" t="s">
        <v>32</v>
      </c>
      <c r="E1889" s="36" t="s">
        <v>699</v>
      </c>
      <c r="F1889" s="28" t="s">
        <v>32</v>
      </c>
    </row>
    <row r="1890" ht="36" customHeight="1" hidden="1" spans="1:6" x14ac:dyDescent="0.25" outlineLevel="1" collapsed="1">
      <c r="A1890" s="27">
        <v>4240</v>
      </c>
      <c r="B1890" s="28" t="s">
        <v>471</v>
      </c>
      <c r="C1890" s="27" t="s">
        <v>472</v>
      </c>
      <c r="D1890" s="29" t="s">
        <v>32</v>
      </c>
      <c r="E1890" s="36" t="s">
        <v>699</v>
      </c>
      <c r="F1890" s="28" t="s">
        <v>32</v>
      </c>
    </row>
    <row r="1891" ht="36" customHeight="1" hidden="1" spans="1:6" x14ac:dyDescent="0.25" outlineLevel="1" collapsed="1">
      <c r="A1891" s="27">
        <v>4230</v>
      </c>
      <c r="B1891" s="28" t="s">
        <v>544</v>
      </c>
      <c r="C1891" s="27" t="s">
        <v>472</v>
      </c>
      <c r="D1891" s="29" t="s">
        <v>32</v>
      </c>
      <c r="E1891" s="36" t="s">
        <v>699</v>
      </c>
      <c r="F1891" s="28" t="s">
        <v>32</v>
      </c>
    </row>
    <row r="1892" ht="22" customHeight="1" hidden="1" spans="1:6" x14ac:dyDescent="0.25" outlineLevel="1" collapsed="1">
      <c r="A1892" s="34" t="s">
        <v>495</v>
      </c>
      <c r="B1892" s="34"/>
      <c r="C1892" s="34"/>
      <c r="D1892" s="34"/>
      <c r="E1892" s="34"/>
      <c r="F1892" s="34"/>
    </row>
    <row r="1893" ht="24" customHeight="1" hidden="1" spans="1:6" x14ac:dyDescent="0.25" outlineLevel="1" collapsed="1">
      <c r="A1893" s="12" t="s">
        <v>700</v>
      </c>
      <c r="B1893" s="12"/>
      <c r="C1893" s="12"/>
      <c r="D1893" s="12"/>
      <c r="E1893" s="12"/>
      <c r="F1893" s="12"/>
    </row>
    <row r="1894" ht="24" customHeight="1" hidden="1" spans="1:6" x14ac:dyDescent="0.25" outlineLevel="1" collapsed="1">
      <c r="A1894" s="12" t="s">
        <v>701</v>
      </c>
      <c r="B1894" s="12"/>
      <c r="C1894" s="12"/>
      <c r="D1894" s="12"/>
      <c r="E1894" s="12"/>
      <c r="F1894" s="12"/>
    </row>
    <row r="1895" ht="24" customHeight="1" hidden="1" spans="1:6" x14ac:dyDescent="0.25" outlineLevel="1" collapsed="1">
      <c r="A1895" s="12" t="s">
        <v>702</v>
      </c>
      <c r="B1895" s="12"/>
      <c r="C1895" s="12"/>
      <c r="D1895" s="12"/>
      <c r="E1895" s="12"/>
      <c r="F1895" s="12"/>
    </row>
    <row r="1896" ht="24" customHeight="1" hidden="1" spans="1:6" x14ac:dyDescent="0.25" outlineLevel="1" collapsed="1">
      <c r="A1896" s="12" t="s">
        <v>684</v>
      </c>
      <c r="B1896" s="12"/>
      <c r="C1896" s="12"/>
      <c r="D1896" s="12"/>
      <c r="E1896" s="12"/>
      <c r="F1896" s="12"/>
    </row>
    <row r="1897" ht="6" customHeight="1" hidden="1" x14ac:dyDescent="0.25" outlineLevel="1" collapsed="1"/>
    <row r="1898" ht="22" customHeight="1" spans="1:6" x14ac:dyDescent="0.25">
      <c r="A1898" s="25" t="s">
        <v>560</v>
      </c>
      <c r="B1898" s="25"/>
      <c r="C1898" s="25"/>
      <c r="D1898" s="25"/>
      <c r="E1898" s="25"/>
      <c r="F1898" s="25"/>
    </row>
    <row r="1899" ht="20" customHeight="1" hidden="1" spans="1:6" x14ac:dyDescent="0.25" outlineLevel="1" collapsed="1">
      <c r="A1899" s="26" t="s">
        <v>460</v>
      </c>
      <c r="B1899" s="26" t="s">
        <v>461</v>
      </c>
      <c r="C1899" s="26" t="s">
        <v>462</v>
      </c>
      <c r="D1899" s="26" t="s">
        <v>32</v>
      </c>
      <c r="E1899" s="26" t="s">
        <v>463</v>
      </c>
      <c r="F1899" s="26" t="s">
        <v>464</v>
      </c>
    </row>
    <row r="1900" ht="36" customHeight="1" hidden="1" spans="1:6" x14ac:dyDescent="0.25" outlineLevel="1" collapsed="1">
      <c r="A1900" s="27">
        <v>4220</v>
      </c>
      <c r="B1900" s="28" t="s">
        <v>543</v>
      </c>
      <c r="C1900" s="27" t="s">
        <v>466</v>
      </c>
      <c r="D1900" s="29" t="s">
        <v>32</v>
      </c>
      <c r="E1900" s="36" t="s">
        <v>699</v>
      </c>
      <c r="F1900" s="28" t="s">
        <v>32</v>
      </c>
    </row>
    <row r="1901" ht="36" customHeight="1" hidden="1" spans="1:6" x14ac:dyDescent="0.25" outlineLevel="1" collapsed="1">
      <c r="A1901" s="27">
        <v>4240</v>
      </c>
      <c r="B1901" s="28" t="s">
        <v>471</v>
      </c>
      <c r="C1901" s="27" t="s">
        <v>472</v>
      </c>
      <c r="D1901" s="29" t="s">
        <v>32</v>
      </c>
      <c r="E1901" s="36" t="s">
        <v>699</v>
      </c>
      <c r="F1901" s="28" t="s">
        <v>32</v>
      </c>
    </row>
    <row r="1902" ht="36" customHeight="1" hidden="1" spans="1:6" x14ac:dyDescent="0.25" outlineLevel="1" collapsed="1">
      <c r="A1902" s="27">
        <v>4230</v>
      </c>
      <c r="B1902" s="28" t="s">
        <v>544</v>
      </c>
      <c r="C1902" s="27" t="s">
        <v>472</v>
      </c>
      <c r="D1902" s="29" t="s">
        <v>32</v>
      </c>
      <c r="E1902" s="36" t="s">
        <v>699</v>
      </c>
      <c r="F1902" s="28" t="s">
        <v>32</v>
      </c>
    </row>
    <row r="1903" ht="22" customHeight="1" hidden="1" spans="1:6" x14ac:dyDescent="0.25" outlineLevel="1" collapsed="1">
      <c r="A1903" s="34" t="s">
        <v>495</v>
      </c>
      <c r="B1903" s="34"/>
      <c r="C1903" s="34"/>
      <c r="D1903" s="34"/>
      <c r="E1903" s="34"/>
      <c r="F1903" s="34"/>
    </row>
    <row r="1904" ht="24" customHeight="1" hidden="1" spans="1:6" x14ac:dyDescent="0.25" outlineLevel="1" collapsed="1">
      <c r="A1904" s="12" t="s">
        <v>700</v>
      </c>
      <c r="B1904" s="12"/>
      <c r="C1904" s="12"/>
      <c r="D1904" s="12"/>
      <c r="E1904" s="12"/>
      <c r="F1904" s="12"/>
    </row>
    <row r="1905" ht="24" customHeight="1" hidden="1" spans="1:6" x14ac:dyDescent="0.25" outlineLevel="1" collapsed="1">
      <c r="A1905" s="12" t="s">
        <v>701</v>
      </c>
      <c r="B1905" s="12"/>
      <c r="C1905" s="12"/>
      <c r="D1905" s="12"/>
      <c r="E1905" s="12"/>
      <c r="F1905" s="12"/>
    </row>
    <row r="1906" ht="24" customHeight="1" hidden="1" spans="1:6" x14ac:dyDescent="0.25" outlineLevel="1" collapsed="1">
      <c r="A1906" s="12" t="s">
        <v>702</v>
      </c>
      <c r="B1906" s="12"/>
      <c r="C1906" s="12"/>
      <c r="D1906" s="12"/>
      <c r="E1906" s="12"/>
      <c r="F1906" s="12"/>
    </row>
    <row r="1907" ht="24" customHeight="1" hidden="1" spans="1:6" x14ac:dyDescent="0.25" outlineLevel="1" collapsed="1">
      <c r="A1907" s="12" t="s">
        <v>684</v>
      </c>
      <c r="B1907" s="12"/>
      <c r="C1907" s="12"/>
      <c r="D1907" s="12"/>
      <c r="E1907" s="12"/>
      <c r="F1907" s="12"/>
    </row>
    <row r="1908" ht="6" customHeight="1" hidden="1" x14ac:dyDescent="0.25" outlineLevel="1" collapsed="1"/>
    <row r="1909" ht="22" customHeight="1" spans="1:6" x14ac:dyDescent="0.25">
      <c r="A1909" s="25" t="s">
        <v>561</v>
      </c>
      <c r="B1909" s="25"/>
      <c r="C1909" s="25"/>
      <c r="D1909" s="25"/>
      <c r="E1909" s="25"/>
      <c r="F1909" s="25"/>
    </row>
    <row r="1910" ht="20" customHeight="1" hidden="1" spans="1:6" x14ac:dyDescent="0.25" outlineLevel="1" collapsed="1">
      <c r="A1910" s="26" t="s">
        <v>460</v>
      </c>
      <c r="B1910" s="26" t="s">
        <v>461</v>
      </c>
      <c r="C1910" s="26" t="s">
        <v>462</v>
      </c>
      <c r="D1910" s="26" t="s">
        <v>32</v>
      </c>
      <c r="E1910" s="26" t="s">
        <v>463</v>
      </c>
      <c r="F1910" s="26" t="s">
        <v>464</v>
      </c>
    </row>
    <row r="1911" ht="36" customHeight="1" hidden="1" spans="1:6" x14ac:dyDescent="0.25" outlineLevel="1" collapsed="1">
      <c r="A1911" s="27">
        <v>4220</v>
      </c>
      <c r="B1911" s="28" t="s">
        <v>543</v>
      </c>
      <c r="C1911" s="27" t="s">
        <v>466</v>
      </c>
      <c r="D1911" s="29" t="s">
        <v>32</v>
      </c>
      <c r="E1911" s="36" t="s">
        <v>699</v>
      </c>
      <c r="F1911" s="28" t="s">
        <v>32</v>
      </c>
    </row>
    <row r="1912" ht="36" customHeight="1" hidden="1" spans="1:6" x14ac:dyDescent="0.25" outlineLevel="1" collapsed="1">
      <c r="A1912" s="27">
        <v>4240</v>
      </c>
      <c r="B1912" s="28" t="s">
        <v>471</v>
      </c>
      <c r="C1912" s="27" t="s">
        <v>472</v>
      </c>
      <c r="D1912" s="29" t="s">
        <v>32</v>
      </c>
      <c r="E1912" s="36" t="s">
        <v>699</v>
      </c>
      <c r="F1912" s="28" t="s">
        <v>32</v>
      </c>
    </row>
    <row r="1913" ht="36" customHeight="1" hidden="1" spans="1:6" x14ac:dyDescent="0.25" outlineLevel="1" collapsed="1">
      <c r="A1913" s="27">
        <v>4230</v>
      </c>
      <c r="B1913" s="28" t="s">
        <v>544</v>
      </c>
      <c r="C1913" s="27" t="s">
        <v>472</v>
      </c>
      <c r="D1913" s="29" t="s">
        <v>32</v>
      </c>
      <c r="E1913" s="36" t="s">
        <v>699</v>
      </c>
      <c r="F1913" s="28" t="s">
        <v>32</v>
      </c>
    </row>
    <row r="1914" ht="22" customHeight="1" hidden="1" spans="1:6" x14ac:dyDescent="0.25" outlineLevel="1" collapsed="1">
      <c r="A1914" s="34" t="s">
        <v>495</v>
      </c>
      <c r="B1914" s="34"/>
      <c r="C1914" s="34"/>
      <c r="D1914" s="34"/>
      <c r="E1914" s="34"/>
      <c r="F1914" s="34"/>
    </row>
    <row r="1915" ht="24" customHeight="1" hidden="1" spans="1:6" x14ac:dyDescent="0.25" outlineLevel="1" collapsed="1">
      <c r="A1915" s="12" t="s">
        <v>700</v>
      </c>
      <c r="B1915" s="12"/>
      <c r="C1915" s="12"/>
      <c r="D1915" s="12"/>
      <c r="E1915" s="12"/>
      <c r="F1915" s="12"/>
    </row>
    <row r="1916" ht="24" customHeight="1" hidden="1" spans="1:6" x14ac:dyDescent="0.25" outlineLevel="1" collapsed="1">
      <c r="A1916" s="12" t="s">
        <v>701</v>
      </c>
      <c r="B1916" s="12"/>
      <c r="C1916" s="12"/>
      <c r="D1916" s="12"/>
      <c r="E1916" s="12"/>
      <c r="F1916" s="12"/>
    </row>
    <row r="1917" ht="24" customHeight="1" hidden="1" spans="1:6" x14ac:dyDescent="0.25" outlineLevel="1" collapsed="1">
      <c r="A1917" s="12" t="s">
        <v>702</v>
      </c>
      <c r="B1917" s="12"/>
      <c r="C1917" s="12"/>
      <c r="D1917" s="12"/>
      <c r="E1917" s="12"/>
      <c r="F1917" s="12"/>
    </row>
    <row r="1918" ht="24" customHeight="1" hidden="1" spans="1:6" x14ac:dyDescent="0.25" outlineLevel="1" collapsed="1">
      <c r="A1918" s="12" t="s">
        <v>684</v>
      </c>
      <c r="B1918" s="12"/>
      <c r="C1918" s="12"/>
      <c r="D1918" s="12"/>
      <c r="E1918" s="12"/>
      <c r="F1918" s="12"/>
    </row>
    <row r="1919" ht="6" customHeight="1" hidden="1" x14ac:dyDescent="0.25" outlineLevel="1" collapsed="1"/>
    <row r="1920" ht="22" customHeight="1" spans="1:6" x14ac:dyDescent="0.25">
      <c r="A1920" s="25" t="s">
        <v>562</v>
      </c>
      <c r="B1920" s="25"/>
      <c r="C1920" s="25"/>
      <c r="D1920" s="25"/>
      <c r="E1920" s="25"/>
      <c r="F1920" s="25"/>
    </row>
    <row r="1921" ht="20" customHeight="1" hidden="1" spans="1:6" x14ac:dyDescent="0.25" outlineLevel="1" collapsed="1">
      <c r="A1921" s="26" t="s">
        <v>460</v>
      </c>
      <c r="B1921" s="26" t="s">
        <v>461</v>
      </c>
      <c r="C1921" s="26" t="s">
        <v>462</v>
      </c>
      <c r="D1921" s="26" t="s">
        <v>32</v>
      </c>
      <c r="E1921" s="26" t="s">
        <v>463</v>
      </c>
      <c r="F1921" s="26" t="s">
        <v>464</v>
      </c>
    </row>
    <row r="1922" ht="36" customHeight="1" hidden="1" spans="1:6" x14ac:dyDescent="0.25" outlineLevel="1" collapsed="1">
      <c r="A1922" s="27">
        <v>4220</v>
      </c>
      <c r="B1922" s="28" t="s">
        <v>543</v>
      </c>
      <c r="C1922" s="27" t="s">
        <v>466</v>
      </c>
      <c r="D1922" s="29" t="s">
        <v>32</v>
      </c>
      <c r="E1922" s="36" t="s">
        <v>699</v>
      </c>
      <c r="F1922" s="28" t="s">
        <v>32</v>
      </c>
    </row>
    <row r="1923" ht="36" customHeight="1" hidden="1" spans="1:6" x14ac:dyDescent="0.25" outlineLevel="1" collapsed="1">
      <c r="A1923" s="27">
        <v>4240</v>
      </c>
      <c r="B1923" s="28" t="s">
        <v>471</v>
      </c>
      <c r="C1923" s="27" t="s">
        <v>472</v>
      </c>
      <c r="D1923" s="29" t="s">
        <v>32</v>
      </c>
      <c r="E1923" s="36" t="s">
        <v>699</v>
      </c>
      <c r="F1923" s="28" t="s">
        <v>32</v>
      </c>
    </row>
    <row r="1924" ht="36" customHeight="1" hidden="1" spans="1:6" x14ac:dyDescent="0.25" outlineLevel="1" collapsed="1">
      <c r="A1924" s="27">
        <v>4230</v>
      </c>
      <c r="B1924" s="28" t="s">
        <v>544</v>
      </c>
      <c r="C1924" s="27" t="s">
        <v>472</v>
      </c>
      <c r="D1924" s="29" t="s">
        <v>32</v>
      </c>
      <c r="E1924" s="36" t="s">
        <v>699</v>
      </c>
      <c r="F1924" s="28" t="s">
        <v>32</v>
      </c>
    </row>
    <row r="1925" ht="22" customHeight="1" hidden="1" spans="1:6" x14ac:dyDescent="0.25" outlineLevel="1" collapsed="1">
      <c r="A1925" s="34" t="s">
        <v>495</v>
      </c>
      <c r="B1925" s="34"/>
      <c r="C1925" s="34"/>
      <c r="D1925" s="34"/>
      <c r="E1925" s="34"/>
      <c r="F1925" s="34"/>
    </row>
    <row r="1926" ht="24" customHeight="1" hidden="1" spans="1:6" x14ac:dyDescent="0.25" outlineLevel="1" collapsed="1">
      <c r="A1926" s="12" t="s">
        <v>700</v>
      </c>
      <c r="B1926" s="12"/>
      <c r="C1926" s="12"/>
      <c r="D1926" s="12"/>
      <c r="E1926" s="12"/>
      <c r="F1926" s="12"/>
    </row>
    <row r="1927" ht="24" customHeight="1" hidden="1" spans="1:6" x14ac:dyDescent="0.25" outlineLevel="1" collapsed="1">
      <c r="A1927" s="12" t="s">
        <v>701</v>
      </c>
      <c r="B1927" s="12"/>
      <c r="C1927" s="12"/>
      <c r="D1927" s="12"/>
      <c r="E1927" s="12"/>
      <c r="F1927" s="12"/>
    </row>
    <row r="1928" ht="24" customHeight="1" hidden="1" spans="1:6" x14ac:dyDescent="0.25" outlineLevel="1" collapsed="1">
      <c r="A1928" s="12" t="s">
        <v>702</v>
      </c>
      <c r="B1928" s="12"/>
      <c r="C1928" s="12"/>
      <c r="D1928" s="12"/>
      <c r="E1928" s="12"/>
      <c r="F1928" s="12"/>
    </row>
    <row r="1929" ht="24" customHeight="1" hidden="1" spans="1:6" x14ac:dyDescent="0.25" outlineLevel="1" collapsed="1">
      <c r="A1929" s="12" t="s">
        <v>684</v>
      </c>
      <c r="B1929" s="12"/>
      <c r="C1929" s="12"/>
      <c r="D1929" s="12"/>
      <c r="E1929" s="12"/>
      <c r="F1929" s="12"/>
    </row>
    <row r="1930" ht="6" customHeight="1" hidden="1" x14ac:dyDescent="0.25" outlineLevel="1" collapsed="1"/>
    <row r="1931" ht="22" customHeight="1" spans="1:6" x14ac:dyDescent="0.25">
      <c r="A1931" s="25" t="s">
        <v>565</v>
      </c>
      <c r="B1931" s="25"/>
      <c r="C1931" s="25"/>
      <c r="D1931" s="25"/>
      <c r="E1931" s="25"/>
      <c r="F1931" s="25"/>
    </row>
    <row r="1932" ht="20" customHeight="1" hidden="1" spans="1:6" x14ac:dyDescent="0.25" outlineLevel="1" collapsed="1">
      <c r="A1932" s="26" t="s">
        <v>460</v>
      </c>
      <c r="B1932" s="26" t="s">
        <v>461</v>
      </c>
      <c r="C1932" s="26" t="s">
        <v>462</v>
      </c>
      <c r="D1932" s="26" t="s">
        <v>32</v>
      </c>
      <c r="E1932" s="26" t="s">
        <v>463</v>
      </c>
      <c r="F1932" s="26" t="s">
        <v>464</v>
      </c>
    </row>
    <row r="1933" ht="36" customHeight="1" hidden="1" spans="1:6" x14ac:dyDescent="0.25" outlineLevel="1" collapsed="1">
      <c r="A1933" s="27">
        <v>4220</v>
      </c>
      <c r="B1933" s="28" t="s">
        <v>543</v>
      </c>
      <c r="C1933" s="27" t="s">
        <v>466</v>
      </c>
      <c r="D1933" s="29" t="s">
        <v>32</v>
      </c>
      <c r="E1933" s="28" t="s">
        <v>506</v>
      </c>
      <c r="F1933" s="28" t="s">
        <v>32</v>
      </c>
    </row>
    <row r="1934" ht="21" customHeight="1" hidden="1" spans="1:6" x14ac:dyDescent="0.25" outlineLevel="1" collapsed="1">
      <c r="A1934" s="27">
        <v>4240</v>
      </c>
      <c r="B1934" s="28" t="s">
        <v>471</v>
      </c>
      <c r="C1934" s="27" t="s">
        <v>472</v>
      </c>
      <c r="D1934" s="29" t="s">
        <v>32</v>
      </c>
      <c r="E1934" s="28" t="s">
        <v>506</v>
      </c>
      <c r="F1934" s="28" t="s">
        <v>32</v>
      </c>
    </row>
    <row r="1935" ht="51" customHeight="1" hidden="1" spans="1:6" x14ac:dyDescent="0.25" outlineLevel="1" collapsed="1">
      <c r="A1935" s="27">
        <v>4230</v>
      </c>
      <c r="B1935" s="28" t="s">
        <v>544</v>
      </c>
      <c r="C1935" s="27" t="s">
        <v>472</v>
      </c>
      <c r="D1935" s="29" t="s">
        <v>32</v>
      </c>
      <c r="E1935" s="28" t="s">
        <v>481</v>
      </c>
      <c r="F1935" s="28" t="s">
        <v>604</v>
      </c>
    </row>
    <row r="1936" ht="21" customHeight="1" hidden="1" spans="1:6" x14ac:dyDescent="0.25" outlineLevel="1" collapsed="1">
      <c r="A1936" s="30" t="s">
        <v>32</v>
      </c>
      <c r="B1936" s="17" t="s">
        <v>32</v>
      </c>
      <c r="C1936" s="30" t="s">
        <v>32</v>
      </c>
      <c r="D1936" s="31" t="s">
        <v>32</v>
      </c>
      <c r="E1936" s="17" t="s">
        <v>483</v>
      </c>
      <c r="F1936" s="17" t="s">
        <v>32</v>
      </c>
    </row>
    <row r="1937" ht="36" customHeight="1" hidden="1" spans="1:6" x14ac:dyDescent="0.25" outlineLevel="1" collapsed="1">
      <c r="A1937" s="32" t="s">
        <v>32</v>
      </c>
      <c r="B1937" s="12" t="s">
        <v>32</v>
      </c>
      <c r="C1937" s="32" t="s">
        <v>32</v>
      </c>
      <c r="D1937" s="31" t="s">
        <v>32</v>
      </c>
      <c r="E1937" s="12" t="s">
        <v>678</v>
      </c>
      <c r="F1937" s="12" t="s">
        <v>32</v>
      </c>
    </row>
    <row r="1938" ht="21" customHeight="1" hidden="1" spans="1:6" x14ac:dyDescent="0.25" outlineLevel="1" collapsed="1">
      <c r="A1938" s="30" t="s">
        <v>32</v>
      </c>
      <c r="B1938" s="17" t="s">
        <v>32</v>
      </c>
      <c r="C1938" s="30" t="s">
        <v>32</v>
      </c>
      <c r="D1938" s="31" t="s">
        <v>32</v>
      </c>
      <c r="E1938" s="17" t="s">
        <v>486</v>
      </c>
      <c r="F1938" s="17" t="s">
        <v>32</v>
      </c>
    </row>
    <row r="1939" ht="21" customHeight="1" hidden="1" spans="1:6" x14ac:dyDescent="0.25" outlineLevel="1" collapsed="1">
      <c r="A1939" s="32" t="s">
        <v>32</v>
      </c>
      <c r="B1939" s="12" t="s">
        <v>32</v>
      </c>
      <c r="C1939" s="32" t="s">
        <v>32</v>
      </c>
      <c r="D1939" s="31" t="s">
        <v>32</v>
      </c>
      <c r="E1939" s="12" t="s">
        <v>487</v>
      </c>
      <c r="F1939" s="12" t="s">
        <v>32</v>
      </c>
    </row>
    <row r="1940" ht="21" customHeight="1" hidden="1" spans="1:6" x14ac:dyDescent="0.25" outlineLevel="1" collapsed="1">
      <c r="A1940" s="30" t="s">
        <v>32</v>
      </c>
      <c r="B1940" s="17" t="s">
        <v>32</v>
      </c>
      <c r="C1940" s="30" t="s">
        <v>32</v>
      </c>
      <c r="D1940" s="31" t="s">
        <v>32</v>
      </c>
      <c r="E1940" s="17" t="s">
        <v>533</v>
      </c>
      <c r="F1940" s="17" t="s">
        <v>32</v>
      </c>
    </row>
    <row r="1941" ht="21" customHeight="1" hidden="1" spans="1:6" x14ac:dyDescent="0.25" outlineLevel="1" collapsed="1">
      <c r="A1941" s="32" t="s">
        <v>32</v>
      </c>
      <c r="B1941" s="12" t="s">
        <v>32</v>
      </c>
      <c r="C1941" s="32" t="s">
        <v>32</v>
      </c>
      <c r="D1941" s="31" t="s">
        <v>32</v>
      </c>
      <c r="E1941" s="12" t="s">
        <v>488</v>
      </c>
      <c r="F1941" s="12" t="s">
        <v>32</v>
      </c>
    </row>
    <row r="1942" ht="21" customHeight="1" hidden="1" spans="1:6" x14ac:dyDescent="0.25" outlineLevel="1" collapsed="1">
      <c r="A1942" s="30" t="s">
        <v>32</v>
      </c>
      <c r="B1942" s="17" t="s">
        <v>32</v>
      </c>
      <c r="C1942" s="30" t="s">
        <v>32</v>
      </c>
      <c r="D1942" s="31" t="s">
        <v>32</v>
      </c>
      <c r="E1942" s="17" t="s">
        <v>489</v>
      </c>
      <c r="F1942" s="17" t="s">
        <v>32</v>
      </c>
    </row>
    <row r="1943" ht="21" customHeight="1" hidden="1" spans="1:6" x14ac:dyDescent="0.25" outlineLevel="1" collapsed="1">
      <c r="A1943" s="32" t="s">
        <v>32</v>
      </c>
      <c r="B1943" s="12" t="s">
        <v>32</v>
      </c>
      <c r="C1943" s="32" t="s">
        <v>32</v>
      </c>
      <c r="D1943" s="31" t="s">
        <v>32</v>
      </c>
      <c r="E1943" s="12" t="s">
        <v>679</v>
      </c>
      <c r="F1943" s="12" t="s">
        <v>32</v>
      </c>
    </row>
    <row r="1944" ht="21" customHeight="1" hidden="1" spans="1:6" x14ac:dyDescent="0.25" outlineLevel="1" collapsed="1">
      <c r="A1944" s="30" t="s">
        <v>32</v>
      </c>
      <c r="B1944" s="17" t="s">
        <v>32</v>
      </c>
      <c r="C1944" s="30" t="s">
        <v>32</v>
      </c>
      <c r="D1944" s="31" t="s">
        <v>32</v>
      </c>
      <c r="E1944" s="17" t="s">
        <v>491</v>
      </c>
      <c r="F1944" s="17" t="s">
        <v>32</v>
      </c>
    </row>
    <row r="1945" ht="21" customHeight="1" hidden="1" spans="1:6" x14ac:dyDescent="0.25" outlineLevel="1" collapsed="1">
      <c r="A1945" s="32" t="s">
        <v>32</v>
      </c>
      <c r="B1945" s="12" t="s">
        <v>32</v>
      </c>
      <c r="C1945" s="32" t="s">
        <v>32</v>
      </c>
      <c r="D1945" s="31" t="s">
        <v>32</v>
      </c>
      <c r="E1945" s="12" t="s">
        <v>492</v>
      </c>
      <c r="F1945" s="12" t="s">
        <v>32</v>
      </c>
    </row>
    <row r="1946" ht="21" customHeight="1" hidden="1" spans="1:6" x14ac:dyDescent="0.25" outlineLevel="1" collapsed="1">
      <c r="A1946" s="30" t="s">
        <v>32</v>
      </c>
      <c r="B1946" s="17" t="s">
        <v>32</v>
      </c>
      <c r="C1946" s="30" t="s">
        <v>32</v>
      </c>
      <c r="D1946" s="31" t="s">
        <v>32</v>
      </c>
      <c r="E1946" s="35" t="s">
        <v>703</v>
      </c>
      <c r="F1946" s="17" t="s">
        <v>32</v>
      </c>
    </row>
    <row r="1947" ht="22" customHeight="1" hidden="1" spans="1:6" x14ac:dyDescent="0.25" outlineLevel="1" collapsed="1">
      <c r="A1947" s="34" t="s">
        <v>495</v>
      </c>
      <c r="B1947" s="34"/>
      <c r="C1947" s="34"/>
      <c r="D1947" s="34"/>
      <c r="E1947" s="34"/>
      <c r="F1947" s="34"/>
    </row>
    <row r="1948" ht="24" customHeight="1" hidden="1" spans="1:6" x14ac:dyDescent="0.25" outlineLevel="1" collapsed="1">
      <c r="A1948" s="12" t="s">
        <v>704</v>
      </c>
      <c r="B1948" s="12"/>
      <c r="C1948" s="12"/>
      <c r="D1948" s="12"/>
      <c r="E1948" s="12"/>
      <c r="F1948" s="12"/>
    </row>
    <row r="1949" ht="24" customHeight="1" hidden="1" spans="1:6" x14ac:dyDescent="0.25" outlineLevel="1" collapsed="1">
      <c r="A1949" s="12" t="s">
        <v>705</v>
      </c>
      <c r="B1949" s="12"/>
      <c r="C1949" s="12"/>
      <c r="D1949" s="12"/>
      <c r="E1949" s="12"/>
      <c r="F1949" s="12"/>
    </row>
    <row r="1950" ht="56" customHeight="1" hidden="1" spans="1:6" x14ac:dyDescent="0.25" outlineLevel="1" collapsed="1">
      <c r="A1950" s="12" t="s">
        <v>706</v>
      </c>
      <c r="B1950" s="12"/>
      <c r="C1950" s="12"/>
      <c r="D1950" s="12"/>
      <c r="E1950" s="12"/>
      <c r="F1950" s="12"/>
    </row>
    <row r="1951" ht="24" customHeight="1" hidden="1" spans="1:6" x14ac:dyDescent="0.25" outlineLevel="1" collapsed="1">
      <c r="A1951" s="12" t="s">
        <v>684</v>
      </c>
      <c r="B1951" s="12"/>
      <c r="C1951" s="12"/>
      <c r="D1951" s="12"/>
      <c r="E1951" s="12"/>
      <c r="F1951" s="12"/>
    </row>
    <row r="1952" ht="6" customHeight="1" hidden="1" x14ac:dyDescent="0.25" outlineLevel="1" collapsed="1"/>
    <row r="1953" ht="22" customHeight="1" spans="1:6" x14ac:dyDescent="0.25">
      <c r="A1953" s="25" t="s">
        <v>572</v>
      </c>
      <c r="B1953" s="25"/>
      <c r="C1953" s="25"/>
      <c r="D1953" s="25"/>
      <c r="E1953" s="25"/>
      <c r="F1953" s="25"/>
    </row>
    <row r="1954" ht="20" customHeight="1" hidden="1" spans="1:6" x14ac:dyDescent="0.25" outlineLevel="1" collapsed="1">
      <c r="A1954" s="26" t="s">
        <v>460</v>
      </c>
      <c r="B1954" s="26" t="s">
        <v>461</v>
      </c>
      <c r="C1954" s="26" t="s">
        <v>462</v>
      </c>
      <c r="D1954" s="26" t="s">
        <v>32</v>
      </c>
      <c r="E1954" s="26" t="s">
        <v>463</v>
      </c>
      <c r="F1954" s="26" t="s">
        <v>464</v>
      </c>
    </row>
    <row r="1955" ht="36" customHeight="1" hidden="1" spans="1:6" x14ac:dyDescent="0.25" outlineLevel="1" collapsed="1">
      <c r="A1955" s="27">
        <v>4220</v>
      </c>
      <c r="B1955" s="28" t="s">
        <v>543</v>
      </c>
      <c r="C1955" s="27" t="s">
        <v>466</v>
      </c>
      <c r="D1955" s="29" t="s">
        <v>32</v>
      </c>
      <c r="E1955" s="28" t="s">
        <v>675</v>
      </c>
      <c r="F1955" s="28" t="s">
        <v>32</v>
      </c>
    </row>
    <row r="1956" ht="21" customHeight="1" hidden="1" spans="1:6" x14ac:dyDescent="0.25" outlineLevel="1" collapsed="1">
      <c r="A1956" s="27">
        <v>4240</v>
      </c>
      <c r="B1956" s="28" t="s">
        <v>471</v>
      </c>
      <c r="C1956" s="27" t="s">
        <v>472</v>
      </c>
      <c r="D1956" s="29" t="s">
        <v>32</v>
      </c>
      <c r="E1956" s="28" t="s">
        <v>676</v>
      </c>
      <c r="F1956" s="28" t="s">
        <v>32</v>
      </c>
    </row>
    <row r="1957" ht="36" customHeight="1" hidden="1" spans="1:6" x14ac:dyDescent="0.25" outlineLevel="1" collapsed="1">
      <c r="A1957" s="27">
        <v>4230</v>
      </c>
      <c r="B1957" s="28" t="s">
        <v>544</v>
      </c>
      <c r="C1957" s="27" t="s">
        <v>472</v>
      </c>
      <c r="D1957" s="29" t="s">
        <v>32</v>
      </c>
      <c r="E1957" s="28" t="s">
        <v>573</v>
      </c>
      <c r="F1957" s="28" t="s">
        <v>32</v>
      </c>
    </row>
    <row r="1958" ht="22" customHeight="1" hidden="1" spans="1:6" x14ac:dyDescent="0.25" outlineLevel="1" collapsed="1">
      <c r="A1958" s="34" t="s">
        <v>495</v>
      </c>
      <c r="B1958" s="34"/>
      <c r="C1958" s="34"/>
      <c r="D1958" s="34"/>
      <c r="E1958" s="34"/>
      <c r="F1958" s="34"/>
    </row>
    <row r="1959" ht="24" customHeight="1" hidden="1" spans="1:6" x14ac:dyDescent="0.25" outlineLevel="1" collapsed="1">
      <c r="A1959" s="12" t="s">
        <v>681</v>
      </c>
      <c r="B1959" s="12"/>
      <c r="C1959" s="12"/>
      <c r="D1959" s="12"/>
      <c r="E1959" s="12"/>
      <c r="F1959" s="12"/>
    </row>
    <row r="1960" ht="24" customHeight="1" hidden="1" spans="1:6" x14ac:dyDescent="0.25" outlineLevel="1" collapsed="1">
      <c r="A1960" s="12" t="s">
        <v>682</v>
      </c>
      <c r="B1960" s="12"/>
      <c r="C1960" s="12"/>
      <c r="D1960" s="12"/>
      <c r="E1960" s="12"/>
      <c r="F1960" s="12"/>
    </row>
    <row r="1961" ht="24" customHeight="1" hidden="1" spans="1:6" x14ac:dyDescent="0.25" outlineLevel="1" collapsed="1">
      <c r="A1961" s="12" t="s">
        <v>707</v>
      </c>
      <c r="B1961" s="12"/>
      <c r="C1961" s="12"/>
      <c r="D1961" s="12"/>
      <c r="E1961" s="12"/>
      <c r="F1961" s="12"/>
    </row>
    <row r="1962" ht="24" customHeight="1" hidden="1" spans="1:6" x14ac:dyDescent="0.25" outlineLevel="1" collapsed="1">
      <c r="A1962" s="12" t="s">
        <v>684</v>
      </c>
      <c r="B1962" s="12"/>
      <c r="C1962" s="12"/>
      <c r="D1962" s="12"/>
      <c r="E1962" s="12"/>
      <c r="F1962" s="12"/>
    </row>
    <row r="1963" ht="6" customHeight="1" hidden="1" x14ac:dyDescent="0.25" outlineLevel="1" collapsed="1"/>
    <row r="1964" ht="22" customHeight="1" spans="1:6" x14ac:dyDescent="0.25">
      <c r="A1964" s="25" t="s">
        <v>575</v>
      </c>
      <c r="B1964" s="25"/>
      <c r="C1964" s="25"/>
      <c r="D1964" s="25"/>
      <c r="E1964" s="25"/>
      <c r="F1964" s="25"/>
    </row>
    <row r="1965" ht="20" customHeight="1" hidden="1" spans="1:6" x14ac:dyDescent="0.25" outlineLevel="1" collapsed="1">
      <c r="A1965" s="26" t="s">
        <v>460</v>
      </c>
      <c r="B1965" s="26" t="s">
        <v>461</v>
      </c>
      <c r="C1965" s="26" t="s">
        <v>462</v>
      </c>
      <c r="D1965" s="26" t="s">
        <v>32</v>
      </c>
      <c r="E1965" s="26" t="s">
        <v>463</v>
      </c>
      <c r="F1965" s="26" t="s">
        <v>464</v>
      </c>
    </row>
    <row r="1966" ht="36" customHeight="1" hidden="1" spans="1:6" x14ac:dyDescent="0.25" outlineLevel="1" collapsed="1">
      <c r="A1966" s="27">
        <v>4220</v>
      </c>
      <c r="B1966" s="28" t="s">
        <v>543</v>
      </c>
      <c r="C1966" s="27" t="s">
        <v>466</v>
      </c>
      <c r="D1966" s="29" t="s">
        <v>32</v>
      </c>
      <c r="E1966" s="36" t="s">
        <v>699</v>
      </c>
      <c r="F1966" s="28" t="s">
        <v>32</v>
      </c>
    </row>
    <row r="1967" ht="36" customHeight="1" hidden="1" spans="1:6" x14ac:dyDescent="0.25" outlineLevel="1" collapsed="1">
      <c r="A1967" s="27">
        <v>4240</v>
      </c>
      <c r="B1967" s="28" t="s">
        <v>471</v>
      </c>
      <c r="C1967" s="27" t="s">
        <v>472</v>
      </c>
      <c r="D1967" s="29" t="s">
        <v>32</v>
      </c>
      <c r="E1967" s="36" t="s">
        <v>699</v>
      </c>
      <c r="F1967" s="28" t="s">
        <v>32</v>
      </c>
    </row>
    <row r="1968" ht="36" customHeight="1" hidden="1" spans="1:6" x14ac:dyDescent="0.25" outlineLevel="1" collapsed="1">
      <c r="A1968" s="27">
        <v>4230</v>
      </c>
      <c r="B1968" s="28" t="s">
        <v>544</v>
      </c>
      <c r="C1968" s="27" t="s">
        <v>472</v>
      </c>
      <c r="D1968" s="29" t="s">
        <v>32</v>
      </c>
      <c r="E1968" s="36" t="s">
        <v>699</v>
      </c>
      <c r="F1968" s="28" t="s">
        <v>32</v>
      </c>
    </row>
    <row r="1969" ht="22" customHeight="1" hidden="1" spans="1:6" x14ac:dyDescent="0.25" outlineLevel="1" collapsed="1">
      <c r="A1969" s="34" t="s">
        <v>495</v>
      </c>
      <c r="B1969" s="34"/>
      <c r="C1969" s="34"/>
      <c r="D1969" s="34"/>
      <c r="E1969" s="34"/>
      <c r="F1969" s="34"/>
    </row>
    <row r="1970" ht="24" customHeight="1" hidden="1" spans="1:6" x14ac:dyDescent="0.25" outlineLevel="1" collapsed="1">
      <c r="A1970" s="12" t="s">
        <v>700</v>
      </c>
      <c r="B1970" s="12"/>
      <c r="C1970" s="12"/>
      <c r="D1970" s="12"/>
      <c r="E1970" s="12"/>
      <c r="F1970" s="12"/>
    </row>
    <row r="1971" ht="24" customHeight="1" hidden="1" spans="1:6" x14ac:dyDescent="0.25" outlineLevel="1" collapsed="1">
      <c r="A1971" s="12" t="s">
        <v>701</v>
      </c>
      <c r="B1971" s="12"/>
      <c r="C1971" s="12"/>
      <c r="D1971" s="12"/>
      <c r="E1971" s="12"/>
      <c r="F1971" s="12"/>
    </row>
    <row r="1972" ht="24" customHeight="1" hidden="1" spans="1:6" x14ac:dyDescent="0.25" outlineLevel="1" collapsed="1">
      <c r="A1972" s="12" t="s">
        <v>702</v>
      </c>
      <c r="B1972" s="12"/>
      <c r="C1972" s="12"/>
      <c r="D1972" s="12"/>
      <c r="E1972" s="12"/>
      <c r="F1972" s="12"/>
    </row>
    <row r="1973" ht="24" customHeight="1" hidden="1" spans="1:6" x14ac:dyDescent="0.25" outlineLevel="1" collapsed="1">
      <c r="A1973" s="12" t="s">
        <v>684</v>
      </c>
      <c r="B1973" s="12"/>
      <c r="C1973" s="12"/>
      <c r="D1973" s="12"/>
      <c r="E1973" s="12"/>
      <c r="F1973" s="12"/>
    </row>
    <row r="1974" ht="6" customHeight="1" hidden="1" x14ac:dyDescent="0.25" outlineLevel="1" collapsed="1"/>
    <row r="1975" ht="22" customHeight="1" spans="1:6" x14ac:dyDescent="0.25">
      <c r="A1975" s="25" t="s">
        <v>586</v>
      </c>
      <c r="B1975" s="25"/>
      <c r="C1975" s="25"/>
      <c r="D1975" s="25"/>
      <c r="E1975" s="25"/>
      <c r="F1975" s="25"/>
    </row>
    <row r="1976" ht="20" customHeight="1" hidden="1" spans="1:6" x14ac:dyDescent="0.25" outlineLevel="1" collapsed="1">
      <c r="A1976" s="26" t="s">
        <v>460</v>
      </c>
      <c r="B1976" s="26" t="s">
        <v>461</v>
      </c>
      <c r="C1976" s="26" t="s">
        <v>462</v>
      </c>
      <c r="D1976" s="26" t="s">
        <v>32</v>
      </c>
      <c r="E1976" s="26" t="s">
        <v>463</v>
      </c>
      <c r="F1976" s="26" t="s">
        <v>464</v>
      </c>
    </row>
    <row r="1977" ht="36" customHeight="1" hidden="1" spans="1:6" x14ac:dyDescent="0.25" outlineLevel="1" collapsed="1">
      <c r="A1977" s="27">
        <v>4220</v>
      </c>
      <c r="B1977" s="28" t="s">
        <v>543</v>
      </c>
      <c r="C1977" s="27" t="s">
        <v>466</v>
      </c>
      <c r="D1977" s="29" t="s">
        <v>32</v>
      </c>
      <c r="E1977" s="36" t="s">
        <v>699</v>
      </c>
      <c r="F1977" s="28" t="s">
        <v>32</v>
      </c>
    </row>
    <row r="1978" ht="36" customHeight="1" hidden="1" spans="1:6" x14ac:dyDescent="0.25" outlineLevel="1" collapsed="1">
      <c r="A1978" s="27">
        <v>4240</v>
      </c>
      <c r="B1978" s="28" t="s">
        <v>471</v>
      </c>
      <c r="C1978" s="27" t="s">
        <v>472</v>
      </c>
      <c r="D1978" s="29" t="s">
        <v>32</v>
      </c>
      <c r="E1978" s="36" t="s">
        <v>699</v>
      </c>
      <c r="F1978" s="28" t="s">
        <v>32</v>
      </c>
    </row>
    <row r="1979" ht="36" customHeight="1" hidden="1" spans="1:6" x14ac:dyDescent="0.25" outlineLevel="1" collapsed="1">
      <c r="A1979" s="27">
        <v>4230</v>
      </c>
      <c r="B1979" s="28" t="s">
        <v>544</v>
      </c>
      <c r="C1979" s="27" t="s">
        <v>472</v>
      </c>
      <c r="D1979" s="29" t="s">
        <v>32</v>
      </c>
      <c r="E1979" s="36" t="s">
        <v>699</v>
      </c>
      <c r="F1979" s="28" t="s">
        <v>32</v>
      </c>
    </row>
    <row r="1980" ht="22" customHeight="1" hidden="1" spans="1:6" x14ac:dyDescent="0.25" outlineLevel="1" collapsed="1">
      <c r="A1980" s="34" t="s">
        <v>495</v>
      </c>
      <c r="B1980" s="34"/>
      <c r="C1980" s="34"/>
      <c r="D1980" s="34"/>
      <c r="E1980" s="34"/>
      <c r="F1980" s="34"/>
    </row>
    <row r="1981" ht="24" customHeight="1" hidden="1" spans="1:6" x14ac:dyDescent="0.25" outlineLevel="1" collapsed="1">
      <c r="A1981" s="12" t="s">
        <v>700</v>
      </c>
      <c r="B1981" s="12"/>
      <c r="C1981" s="12"/>
      <c r="D1981" s="12"/>
      <c r="E1981" s="12"/>
      <c r="F1981" s="12"/>
    </row>
    <row r="1982" ht="24" customHeight="1" hidden="1" spans="1:6" x14ac:dyDescent="0.25" outlineLevel="1" collapsed="1">
      <c r="A1982" s="12" t="s">
        <v>701</v>
      </c>
      <c r="B1982" s="12"/>
      <c r="C1982" s="12"/>
      <c r="D1982" s="12"/>
      <c r="E1982" s="12"/>
      <c r="F1982" s="12"/>
    </row>
    <row r="1983" ht="24" customHeight="1" hidden="1" spans="1:6" x14ac:dyDescent="0.25" outlineLevel="1" collapsed="1">
      <c r="A1983" s="12" t="s">
        <v>702</v>
      </c>
      <c r="B1983" s="12"/>
      <c r="C1983" s="12"/>
      <c r="D1983" s="12"/>
      <c r="E1983" s="12"/>
      <c r="F1983" s="12"/>
    </row>
    <row r="1984" ht="24" customHeight="1" hidden="1" spans="1:6" x14ac:dyDescent="0.25" outlineLevel="1" collapsed="1">
      <c r="A1984" s="12" t="s">
        <v>684</v>
      </c>
      <c r="B1984" s="12"/>
      <c r="C1984" s="12"/>
      <c r="D1984" s="12"/>
      <c r="E1984" s="12"/>
      <c r="F1984" s="12"/>
    </row>
    <row r="1985" ht="6" customHeight="1" hidden="1" x14ac:dyDescent="0.25" outlineLevel="1" collapsed="1"/>
    <row r="1986" ht="22" customHeight="1" spans="1:6" x14ac:dyDescent="0.25">
      <c r="A1986" s="25" t="s">
        <v>587</v>
      </c>
      <c r="B1986" s="25"/>
      <c r="C1986" s="25"/>
      <c r="D1986" s="25"/>
      <c r="E1986" s="25"/>
      <c r="F1986" s="25"/>
    </row>
    <row r="1987" ht="20" customHeight="1" hidden="1" spans="1:6" x14ac:dyDescent="0.25" outlineLevel="1" collapsed="1">
      <c r="A1987" s="26" t="s">
        <v>460</v>
      </c>
      <c r="B1987" s="26" t="s">
        <v>461</v>
      </c>
      <c r="C1987" s="26" t="s">
        <v>462</v>
      </c>
      <c r="D1987" s="26" t="s">
        <v>32</v>
      </c>
      <c r="E1987" s="26" t="s">
        <v>463</v>
      </c>
      <c r="F1987" s="26" t="s">
        <v>464</v>
      </c>
    </row>
    <row r="1988" ht="36" customHeight="1" hidden="1" spans="1:6" x14ac:dyDescent="0.25" outlineLevel="1" collapsed="1">
      <c r="A1988" s="27">
        <v>4220</v>
      </c>
      <c r="B1988" s="28" t="s">
        <v>543</v>
      </c>
      <c r="C1988" s="27" t="s">
        <v>466</v>
      </c>
      <c r="D1988" s="29" t="s">
        <v>32</v>
      </c>
      <c r="E1988" s="36" t="s">
        <v>699</v>
      </c>
      <c r="F1988" s="28" t="s">
        <v>32</v>
      </c>
    </row>
    <row r="1989" ht="36" customHeight="1" hidden="1" spans="1:6" x14ac:dyDescent="0.25" outlineLevel="1" collapsed="1">
      <c r="A1989" s="27">
        <v>4240</v>
      </c>
      <c r="B1989" s="28" t="s">
        <v>471</v>
      </c>
      <c r="C1989" s="27" t="s">
        <v>472</v>
      </c>
      <c r="D1989" s="29" t="s">
        <v>32</v>
      </c>
      <c r="E1989" s="36" t="s">
        <v>699</v>
      </c>
      <c r="F1989" s="28" t="s">
        <v>32</v>
      </c>
    </row>
    <row r="1990" ht="36" customHeight="1" hidden="1" spans="1:6" x14ac:dyDescent="0.25" outlineLevel="1" collapsed="1">
      <c r="A1990" s="27">
        <v>4230</v>
      </c>
      <c r="B1990" s="28" t="s">
        <v>544</v>
      </c>
      <c r="C1990" s="27" t="s">
        <v>472</v>
      </c>
      <c r="D1990" s="29" t="s">
        <v>32</v>
      </c>
      <c r="E1990" s="36" t="s">
        <v>699</v>
      </c>
      <c r="F1990" s="28" t="s">
        <v>32</v>
      </c>
    </row>
    <row r="1991" ht="22" customHeight="1" hidden="1" spans="1:6" x14ac:dyDescent="0.25" outlineLevel="1" collapsed="1">
      <c r="A1991" s="34" t="s">
        <v>495</v>
      </c>
      <c r="B1991" s="34"/>
      <c r="C1991" s="34"/>
      <c r="D1991" s="34"/>
      <c r="E1991" s="34"/>
      <c r="F1991" s="34"/>
    </row>
    <row r="1992" ht="24" customHeight="1" hidden="1" spans="1:6" x14ac:dyDescent="0.25" outlineLevel="1" collapsed="1">
      <c r="A1992" s="12" t="s">
        <v>700</v>
      </c>
      <c r="B1992" s="12"/>
      <c r="C1992" s="12"/>
      <c r="D1992" s="12"/>
      <c r="E1992" s="12"/>
      <c r="F1992" s="12"/>
    </row>
    <row r="1993" ht="24" customHeight="1" hidden="1" spans="1:6" x14ac:dyDescent="0.25" outlineLevel="1" collapsed="1">
      <c r="A1993" s="12" t="s">
        <v>701</v>
      </c>
      <c r="B1993" s="12"/>
      <c r="C1993" s="12"/>
      <c r="D1993" s="12"/>
      <c r="E1993" s="12"/>
      <c r="F1993" s="12"/>
    </row>
    <row r="1994" ht="24" customHeight="1" hidden="1" spans="1:6" x14ac:dyDescent="0.25" outlineLevel="1" collapsed="1">
      <c r="A1994" s="12" t="s">
        <v>702</v>
      </c>
      <c r="B1994" s="12"/>
      <c r="C1994" s="12"/>
      <c r="D1994" s="12"/>
      <c r="E1994" s="12"/>
      <c r="F1994" s="12"/>
    </row>
    <row r="1995" ht="24" customHeight="1" hidden="1" spans="1:6" x14ac:dyDescent="0.25" outlineLevel="1" collapsed="1">
      <c r="A1995" s="12" t="s">
        <v>684</v>
      </c>
      <c r="B1995" s="12"/>
      <c r="C1995" s="12"/>
      <c r="D1995" s="12"/>
      <c r="E1995" s="12"/>
      <c r="F1995" s="12"/>
    </row>
    <row r="1996" ht="6" customHeight="1" hidden="1" x14ac:dyDescent="0.25" outlineLevel="1" collapsed="1"/>
    <row r="1997" ht="22" customHeight="1" spans="1:6" x14ac:dyDescent="0.25">
      <c r="A1997" s="25" t="s">
        <v>588</v>
      </c>
      <c r="B1997" s="25"/>
      <c r="C1997" s="25"/>
      <c r="D1997" s="25"/>
      <c r="E1997" s="25"/>
      <c r="F1997" s="25"/>
    </row>
    <row r="1998" ht="20" customHeight="1" hidden="1" spans="1:6" x14ac:dyDescent="0.25" outlineLevel="1" collapsed="1">
      <c r="A1998" s="26" t="s">
        <v>460</v>
      </c>
      <c r="B1998" s="26" t="s">
        <v>461</v>
      </c>
      <c r="C1998" s="26" t="s">
        <v>462</v>
      </c>
      <c r="D1998" s="26" t="s">
        <v>32</v>
      </c>
      <c r="E1998" s="26" t="s">
        <v>463</v>
      </c>
      <c r="F1998" s="26" t="s">
        <v>464</v>
      </c>
    </row>
    <row r="1999" ht="36" customHeight="1" hidden="1" spans="1:6" x14ac:dyDescent="0.25" outlineLevel="1" collapsed="1">
      <c r="A1999" s="27">
        <v>4220</v>
      </c>
      <c r="B1999" s="28" t="s">
        <v>543</v>
      </c>
      <c r="C1999" s="27" t="s">
        <v>466</v>
      </c>
      <c r="D1999" s="29" t="s">
        <v>32</v>
      </c>
      <c r="E1999" s="36" t="s">
        <v>699</v>
      </c>
      <c r="F1999" s="28" t="s">
        <v>32</v>
      </c>
    </row>
    <row r="2000" ht="36" customHeight="1" hidden="1" spans="1:6" x14ac:dyDescent="0.25" outlineLevel="1" collapsed="1">
      <c r="A2000" s="27">
        <v>4240</v>
      </c>
      <c r="B2000" s="28" t="s">
        <v>471</v>
      </c>
      <c r="C2000" s="27" t="s">
        <v>472</v>
      </c>
      <c r="D2000" s="29" t="s">
        <v>32</v>
      </c>
      <c r="E2000" s="36" t="s">
        <v>699</v>
      </c>
      <c r="F2000" s="28" t="s">
        <v>32</v>
      </c>
    </row>
    <row r="2001" ht="36" customHeight="1" hidden="1" spans="1:6" x14ac:dyDescent="0.25" outlineLevel="1" collapsed="1">
      <c r="A2001" s="27">
        <v>4230</v>
      </c>
      <c r="B2001" s="28" t="s">
        <v>544</v>
      </c>
      <c r="C2001" s="27" t="s">
        <v>472</v>
      </c>
      <c r="D2001" s="29" t="s">
        <v>32</v>
      </c>
      <c r="E2001" s="36" t="s">
        <v>699</v>
      </c>
      <c r="F2001" s="28" t="s">
        <v>32</v>
      </c>
    </row>
    <row r="2002" ht="22" customHeight="1" hidden="1" spans="1:6" x14ac:dyDescent="0.25" outlineLevel="1" collapsed="1">
      <c r="A2002" s="34" t="s">
        <v>495</v>
      </c>
      <c r="B2002" s="34"/>
      <c r="C2002" s="34"/>
      <c r="D2002" s="34"/>
      <c r="E2002" s="34"/>
      <c r="F2002" s="34"/>
    </row>
    <row r="2003" ht="24" customHeight="1" hidden="1" spans="1:6" x14ac:dyDescent="0.25" outlineLevel="1" collapsed="1">
      <c r="A2003" s="12" t="s">
        <v>700</v>
      </c>
      <c r="B2003" s="12"/>
      <c r="C2003" s="12"/>
      <c r="D2003" s="12"/>
      <c r="E2003" s="12"/>
      <c r="F2003" s="12"/>
    </row>
    <row r="2004" ht="24" customHeight="1" hidden="1" spans="1:6" x14ac:dyDescent="0.25" outlineLevel="1" collapsed="1">
      <c r="A2004" s="12" t="s">
        <v>701</v>
      </c>
      <c r="B2004" s="12"/>
      <c r="C2004" s="12"/>
      <c r="D2004" s="12"/>
      <c r="E2004" s="12"/>
      <c r="F2004" s="12"/>
    </row>
    <row r="2005" ht="24" customHeight="1" hidden="1" spans="1:6" x14ac:dyDescent="0.25" outlineLevel="1" collapsed="1">
      <c r="A2005" s="12" t="s">
        <v>702</v>
      </c>
      <c r="B2005" s="12"/>
      <c r="C2005" s="12"/>
      <c r="D2005" s="12"/>
      <c r="E2005" s="12"/>
      <c r="F2005" s="12"/>
    </row>
    <row r="2006" ht="24" customHeight="1" hidden="1" spans="1:6" x14ac:dyDescent="0.25" outlineLevel="1" collapsed="1">
      <c r="A2006" s="12" t="s">
        <v>684</v>
      </c>
      <c r="B2006" s="12"/>
      <c r="C2006" s="12"/>
      <c r="D2006" s="12"/>
      <c r="E2006" s="12"/>
      <c r="F2006" s="12"/>
    </row>
    <row r="2007" ht="6" customHeight="1" hidden="1" x14ac:dyDescent="0.25" outlineLevel="1" collapsed="1"/>
    <row r="2008" ht="22" customHeight="1" spans="1:6" x14ac:dyDescent="0.25">
      <c r="A2008" s="25" t="s">
        <v>589</v>
      </c>
      <c r="B2008" s="25"/>
      <c r="C2008" s="25"/>
      <c r="D2008" s="25"/>
      <c r="E2008" s="25"/>
      <c r="F2008" s="25"/>
    </row>
    <row r="2009" ht="20" customHeight="1" hidden="1" spans="1:6" x14ac:dyDescent="0.25" outlineLevel="1" collapsed="1">
      <c r="A2009" s="26" t="s">
        <v>460</v>
      </c>
      <c r="B2009" s="26" t="s">
        <v>461</v>
      </c>
      <c r="C2009" s="26" t="s">
        <v>462</v>
      </c>
      <c r="D2009" s="26" t="s">
        <v>32</v>
      </c>
      <c r="E2009" s="26" t="s">
        <v>463</v>
      </c>
      <c r="F2009" s="26" t="s">
        <v>464</v>
      </c>
    </row>
    <row r="2010" ht="36" customHeight="1" hidden="1" spans="1:6" x14ac:dyDescent="0.25" outlineLevel="1" collapsed="1">
      <c r="A2010" s="27">
        <v>4220</v>
      </c>
      <c r="B2010" s="28" t="s">
        <v>543</v>
      </c>
      <c r="C2010" s="27" t="s">
        <v>466</v>
      </c>
      <c r="D2010" s="29" t="s">
        <v>32</v>
      </c>
      <c r="E2010" s="36" t="s">
        <v>699</v>
      </c>
      <c r="F2010" s="28" t="s">
        <v>32</v>
      </c>
    </row>
    <row r="2011" ht="36" customHeight="1" hidden="1" spans="1:6" x14ac:dyDescent="0.25" outlineLevel="1" collapsed="1">
      <c r="A2011" s="27">
        <v>4240</v>
      </c>
      <c r="B2011" s="28" t="s">
        <v>471</v>
      </c>
      <c r="C2011" s="27" t="s">
        <v>472</v>
      </c>
      <c r="D2011" s="29" t="s">
        <v>32</v>
      </c>
      <c r="E2011" s="36" t="s">
        <v>699</v>
      </c>
      <c r="F2011" s="28" t="s">
        <v>32</v>
      </c>
    </row>
    <row r="2012" ht="36" customHeight="1" hidden="1" spans="1:6" x14ac:dyDescent="0.25" outlineLevel="1" collapsed="1">
      <c r="A2012" s="27">
        <v>4230</v>
      </c>
      <c r="B2012" s="28" t="s">
        <v>544</v>
      </c>
      <c r="C2012" s="27" t="s">
        <v>472</v>
      </c>
      <c r="D2012" s="29" t="s">
        <v>32</v>
      </c>
      <c r="E2012" s="36" t="s">
        <v>699</v>
      </c>
      <c r="F2012" s="28" t="s">
        <v>32</v>
      </c>
    </row>
    <row r="2013" ht="22" customHeight="1" hidden="1" spans="1:6" x14ac:dyDescent="0.25" outlineLevel="1" collapsed="1">
      <c r="A2013" s="34" t="s">
        <v>495</v>
      </c>
      <c r="B2013" s="34"/>
      <c r="C2013" s="34"/>
      <c r="D2013" s="34"/>
      <c r="E2013" s="34"/>
      <c r="F2013" s="34"/>
    </row>
    <row r="2014" ht="24" customHeight="1" hidden="1" spans="1:6" x14ac:dyDescent="0.25" outlineLevel="1" collapsed="1">
      <c r="A2014" s="12" t="s">
        <v>700</v>
      </c>
      <c r="B2014" s="12"/>
      <c r="C2014" s="12"/>
      <c r="D2014" s="12"/>
      <c r="E2014" s="12"/>
      <c r="F2014" s="12"/>
    </row>
    <row r="2015" ht="24" customHeight="1" hidden="1" spans="1:6" x14ac:dyDescent="0.25" outlineLevel="1" collapsed="1">
      <c r="A2015" s="12" t="s">
        <v>701</v>
      </c>
      <c r="B2015" s="12"/>
      <c r="C2015" s="12"/>
      <c r="D2015" s="12"/>
      <c r="E2015" s="12"/>
      <c r="F2015" s="12"/>
    </row>
    <row r="2016" ht="24" customHeight="1" hidden="1" spans="1:6" x14ac:dyDescent="0.25" outlineLevel="1" collapsed="1">
      <c r="A2016" s="12" t="s">
        <v>702</v>
      </c>
      <c r="B2016" s="12"/>
      <c r="C2016" s="12"/>
      <c r="D2016" s="12"/>
      <c r="E2016" s="12"/>
      <c r="F2016" s="12"/>
    </row>
    <row r="2017" ht="24" customHeight="1" hidden="1" spans="1:6" x14ac:dyDescent="0.25" outlineLevel="1" collapsed="1">
      <c r="A2017" s="12" t="s">
        <v>684</v>
      </c>
      <c r="B2017" s="12"/>
      <c r="C2017" s="12"/>
      <c r="D2017" s="12"/>
      <c r="E2017" s="12"/>
      <c r="F2017" s="12"/>
    </row>
    <row r="2018" ht="6" customHeight="1" hidden="1" x14ac:dyDescent="0.25" outlineLevel="1" collapsed="1"/>
    <row r="2019" ht="22" customHeight="1" spans="1:6" x14ac:dyDescent="0.25">
      <c r="A2019" s="25" t="s">
        <v>590</v>
      </c>
      <c r="B2019" s="25"/>
      <c r="C2019" s="25"/>
      <c r="D2019" s="25"/>
      <c r="E2019" s="25"/>
      <c r="F2019" s="25"/>
    </row>
    <row r="2020" ht="20" customHeight="1" hidden="1" spans="1:6" x14ac:dyDescent="0.25" outlineLevel="1" collapsed="1">
      <c r="A2020" s="26" t="s">
        <v>460</v>
      </c>
      <c r="B2020" s="26" t="s">
        <v>461</v>
      </c>
      <c r="C2020" s="26" t="s">
        <v>462</v>
      </c>
      <c r="D2020" s="26" t="s">
        <v>32</v>
      </c>
      <c r="E2020" s="26" t="s">
        <v>463</v>
      </c>
      <c r="F2020" s="26" t="s">
        <v>464</v>
      </c>
    </row>
    <row r="2021" ht="36" customHeight="1" hidden="1" spans="1:6" x14ac:dyDescent="0.25" outlineLevel="1" collapsed="1">
      <c r="A2021" s="27">
        <v>4220</v>
      </c>
      <c r="B2021" s="28" t="s">
        <v>543</v>
      </c>
      <c r="C2021" s="27" t="s">
        <v>466</v>
      </c>
      <c r="D2021" s="29" t="s">
        <v>32</v>
      </c>
      <c r="E2021" s="28" t="s">
        <v>675</v>
      </c>
      <c r="F2021" s="28" t="s">
        <v>32</v>
      </c>
    </row>
    <row r="2022" ht="21" customHeight="1" hidden="1" spans="1:6" x14ac:dyDescent="0.25" outlineLevel="1" collapsed="1">
      <c r="A2022" s="27">
        <v>4240</v>
      </c>
      <c r="B2022" s="28" t="s">
        <v>471</v>
      </c>
      <c r="C2022" s="27" t="s">
        <v>472</v>
      </c>
      <c r="D2022" s="29" t="s">
        <v>32</v>
      </c>
      <c r="E2022" s="28" t="s">
        <v>676</v>
      </c>
      <c r="F2022" s="28" t="s">
        <v>32</v>
      </c>
    </row>
    <row r="2023" ht="51" customHeight="1" hidden="1" spans="1:6" x14ac:dyDescent="0.25" outlineLevel="1" collapsed="1">
      <c r="A2023" s="27">
        <v>4230</v>
      </c>
      <c r="B2023" s="28" t="s">
        <v>544</v>
      </c>
      <c r="C2023" s="27" t="s">
        <v>472</v>
      </c>
      <c r="D2023" s="29" t="s">
        <v>32</v>
      </c>
      <c r="E2023" s="28" t="s">
        <v>481</v>
      </c>
      <c r="F2023" s="28" t="s">
        <v>677</v>
      </c>
    </row>
    <row r="2024" ht="21" customHeight="1" hidden="1" spans="1:6" x14ac:dyDescent="0.25" outlineLevel="1" collapsed="1">
      <c r="A2024" s="30" t="s">
        <v>32</v>
      </c>
      <c r="B2024" s="17" t="s">
        <v>32</v>
      </c>
      <c r="C2024" s="30" t="s">
        <v>32</v>
      </c>
      <c r="D2024" s="31" t="s">
        <v>32</v>
      </c>
      <c r="E2024" s="17" t="s">
        <v>483</v>
      </c>
      <c r="F2024" s="17" t="s">
        <v>32</v>
      </c>
    </row>
    <row r="2025" ht="36" customHeight="1" hidden="1" spans="1:6" x14ac:dyDescent="0.25" outlineLevel="1" collapsed="1">
      <c r="A2025" s="32" t="s">
        <v>32</v>
      </c>
      <c r="B2025" s="12" t="s">
        <v>32</v>
      </c>
      <c r="C2025" s="32" t="s">
        <v>32</v>
      </c>
      <c r="D2025" s="31" t="s">
        <v>32</v>
      </c>
      <c r="E2025" s="12" t="s">
        <v>678</v>
      </c>
      <c r="F2025" s="12" t="s">
        <v>32</v>
      </c>
    </row>
    <row r="2026" ht="21" customHeight="1" hidden="1" spans="1:6" x14ac:dyDescent="0.25" outlineLevel="1" collapsed="1">
      <c r="A2026" s="30" t="s">
        <v>32</v>
      </c>
      <c r="B2026" s="17" t="s">
        <v>32</v>
      </c>
      <c r="C2026" s="30" t="s">
        <v>32</v>
      </c>
      <c r="D2026" s="31" t="s">
        <v>32</v>
      </c>
      <c r="E2026" s="17" t="s">
        <v>486</v>
      </c>
      <c r="F2026" s="17" t="s">
        <v>32</v>
      </c>
    </row>
    <row r="2027" ht="21" customHeight="1" hidden="1" spans="1:6" x14ac:dyDescent="0.25" outlineLevel="1" collapsed="1">
      <c r="A2027" s="32" t="s">
        <v>32</v>
      </c>
      <c r="B2027" s="12" t="s">
        <v>32</v>
      </c>
      <c r="C2027" s="32" t="s">
        <v>32</v>
      </c>
      <c r="D2027" s="31" t="s">
        <v>32</v>
      </c>
      <c r="E2027" s="12" t="s">
        <v>487</v>
      </c>
      <c r="F2027" s="12" t="s">
        <v>32</v>
      </c>
    </row>
    <row r="2028" ht="21" customHeight="1" hidden="1" spans="1:6" x14ac:dyDescent="0.25" outlineLevel="1" collapsed="1">
      <c r="A2028" s="30" t="s">
        <v>32</v>
      </c>
      <c r="B2028" s="17" t="s">
        <v>32</v>
      </c>
      <c r="C2028" s="30" t="s">
        <v>32</v>
      </c>
      <c r="D2028" s="31" t="s">
        <v>32</v>
      </c>
      <c r="E2028" s="17" t="s">
        <v>488</v>
      </c>
      <c r="F2028" s="17" t="s">
        <v>32</v>
      </c>
    </row>
    <row r="2029" ht="21" customHeight="1" hidden="1" spans="1:6" x14ac:dyDescent="0.25" outlineLevel="1" collapsed="1">
      <c r="A2029" s="32" t="s">
        <v>32</v>
      </c>
      <c r="B2029" s="12" t="s">
        <v>32</v>
      </c>
      <c r="C2029" s="32" t="s">
        <v>32</v>
      </c>
      <c r="D2029" s="31" t="s">
        <v>32</v>
      </c>
      <c r="E2029" s="12" t="s">
        <v>489</v>
      </c>
      <c r="F2029" s="12" t="s">
        <v>32</v>
      </c>
    </row>
    <row r="2030" ht="21" customHeight="1" hidden="1" spans="1:6" x14ac:dyDescent="0.25" outlineLevel="1" collapsed="1">
      <c r="A2030" s="30" t="s">
        <v>32</v>
      </c>
      <c r="B2030" s="17" t="s">
        <v>32</v>
      </c>
      <c r="C2030" s="30" t="s">
        <v>32</v>
      </c>
      <c r="D2030" s="31" t="s">
        <v>32</v>
      </c>
      <c r="E2030" s="17" t="s">
        <v>679</v>
      </c>
      <c r="F2030" s="17" t="s">
        <v>32</v>
      </c>
    </row>
    <row r="2031" ht="21" customHeight="1" hidden="1" spans="1:6" x14ac:dyDescent="0.25" outlineLevel="1" collapsed="1">
      <c r="A2031" s="32" t="s">
        <v>32</v>
      </c>
      <c r="B2031" s="12" t="s">
        <v>32</v>
      </c>
      <c r="C2031" s="32" t="s">
        <v>32</v>
      </c>
      <c r="D2031" s="31" t="s">
        <v>32</v>
      </c>
      <c r="E2031" s="12" t="s">
        <v>491</v>
      </c>
      <c r="F2031" s="12" t="s">
        <v>32</v>
      </c>
    </row>
    <row r="2032" ht="21" customHeight="1" hidden="1" spans="1:6" x14ac:dyDescent="0.25" outlineLevel="1" collapsed="1">
      <c r="A2032" s="30" t="s">
        <v>32</v>
      </c>
      <c r="B2032" s="17" t="s">
        <v>32</v>
      </c>
      <c r="C2032" s="30" t="s">
        <v>32</v>
      </c>
      <c r="D2032" s="31" t="s">
        <v>32</v>
      </c>
      <c r="E2032" s="17" t="s">
        <v>492</v>
      </c>
      <c r="F2032" s="17" t="s">
        <v>32</v>
      </c>
    </row>
    <row r="2033" ht="21" customHeight="1" hidden="1" spans="1:6" x14ac:dyDescent="0.25" outlineLevel="1" collapsed="1">
      <c r="A2033" s="32" t="s">
        <v>32</v>
      </c>
      <c r="B2033" s="12" t="s">
        <v>32</v>
      </c>
      <c r="C2033" s="32" t="s">
        <v>32</v>
      </c>
      <c r="D2033" s="31" t="s">
        <v>32</v>
      </c>
      <c r="E2033" s="33" t="s">
        <v>680</v>
      </c>
      <c r="F2033" s="12" t="s">
        <v>32</v>
      </c>
    </row>
    <row r="2034" ht="22" customHeight="1" hidden="1" spans="1:6" x14ac:dyDescent="0.25" outlineLevel="1" collapsed="1">
      <c r="A2034" s="34" t="s">
        <v>495</v>
      </c>
      <c r="B2034" s="34"/>
      <c r="C2034" s="34"/>
      <c r="D2034" s="34"/>
      <c r="E2034" s="34"/>
      <c r="F2034" s="34"/>
    </row>
    <row r="2035" ht="24" customHeight="1" hidden="1" spans="1:6" x14ac:dyDescent="0.25" outlineLevel="1" collapsed="1">
      <c r="A2035" s="12" t="s">
        <v>681</v>
      </c>
      <c r="B2035" s="12"/>
      <c r="C2035" s="12"/>
      <c r="D2035" s="12"/>
      <c r="E2035" s="12"/>
      <c r="F2035" s="12"/>
    </row>
    <row r="2036" ht="24" customHeight="1" hidden="1" spans="1:6" x14ac:dyDescent="0.25" outlineLevel="1" collapsed="1">
      <c r="A2036" s="12" t="s">
        <v>682</v>
      </c>
      <c r="B2036" s="12"/>
      <c r="C2036" s="12"/>
      <c r="D2036" s="12"/>
      <c r="E2036" s="12"/>
      <c r="F2036" s="12"/>
    </row>
    <row r="2037" ht="56" customHeight="1" hidden="1" spans="1:6" x14ac:dyDescent="0.25" outlineLevel="1" collapsed="1">
      <c r="A2037" s="12" t="s">
        <v>683</v>
      </c>
      <c r="B2037" s="12"/>
      <c r="C2037" s="12"/>
      <c r="D2037" s="12"/>
      <c r="E2037" s="12"/>
      <c r="F2037" s="12"/>
    </row>
    <row r="2038" ht="24" customHeight="1" hidden="1" spans="1:6" x14ac:dyDescent="0.25" outlineLevel="1" collapsed="1">
      <c r="A2038" s="12" t="s">
        <v>684</v>
      </c>
      <c r="B2038" s="12"/>
      <c r="C2038" s="12"/>
      <c r="D2038" s="12"/>
      <c r="E2038" s="12"/>
      <c r="F2038" s="12"/>
    </row>
    <row r="2039" ht="6" customHeight="1" hidden="1" x14ac:dyDescent="0.25" outlineLevel="1" collapsed="1"/>
    <row r="2040" ht="22" customHeight="1" spans="1:6" x14ac:dyDescent="0.25">
      <c r="A2040" s="25" t="s">
        <v>591</v>
      </c>
      <c r="B2040" s="25"/>
      <c r="C2040" s="25"/>
      <c r="D2040" s="25"/>
      <c r="E2040" s="25"/>
      <c r="F2040" s="25"/>
    </row>
    <row r="2041" ht="20" customHeight="1" hidden="1" spans="1:6" x14ac:dyDescent="0.25" outlineLevel="1" collapsed="1">
      <c r="A2041" s="26" t="s">
        <v>460</v>
      </c>
      <c r="B2041" s="26" t="s">
        <v>461</v>
      </c>
      <c r="C2041" s="26" t="s">
        <v>462</v>
      </c>
      <c r="D2041" s="26" t="s">
        <v>32</v>
      </c>
      <c r="E2041" s="26" t="s">
        <v>463</v>
      </c>
      <c r="F2041" s="26" t="s">
        <v>464</v>
      </c>
    </row>
    <row r="2042" ht="36" customHeight="1" hidden="1" spans="1:6" x14ac:dyDescent="0.25" outlineLevel="1" collapsed="1">
      <c r="A2042" s="27">
        <v>4220</v>
      </c>
      <c r="B2042" s="28" t="s">
        <v>543</v>
      </c>
      <c r="C2042" s="27" t="s">
        <v>466</v>
      </c>
      <c r="D2042" s="29" t="s">
        <v>32</v>
      </c>
      <c r="E2042" s="28" t="s">
        <v>675</v>
      </c>
      <c r="F2042" s="28" t="s">
        <v>32</v>
      </c>
    </row>
    <row r="2043" ht="21" customHeight="1" hidden="1" spans="1:6" x14ac:dyDescent="0.25" outlineLevel="1" collapsed="1">
      <c r="A2043" s="27">
        <v>4240</v>
      </c>
      <c r="B2043" s="28" t="s">
        <v>471</v>
      </c>
      <c r="C2043" s="27" t="s">
        <v>472</v>
      </c>
      <c r="D2043" s="29" t="s">
        <v>32</v>
      </c>
      <c r="E2043" s="28" t="s">
        <v>676</v>
      </c>
      <c r="F2043" s="28" t="s">
        <v>32</v>
      </c>
    </row>
    <row r="2044" ht="51" customHeight="1" hidden="1" spans="1:6" x14ac:dyDescent="0.25" outlineLevel="1" collapsed="1">
      <c r="A2044" s="27">
        <v>4230</v>
      </c>
      <c r="B2044" s="28" t="s">
        <v>544</v>
      </c>
      <c r="C2044" s="27" t="s">
        <v>472</v>
      </c>
      <c r="D2044" s="29" t="s">
        <v>32</v>
      </c>
      <c r="E2044" s="28" t="s">
        <v>481</v>
      </c>
      <c r="F2044" s="28" t="s">
        <v>677</v>
      </c>
    </row>
    <row r="2045" ht="21" customHeight="1" hidden="1" spans="1:6" x14ac:dyDescent="0.25" outlineLevel="1" collapsed="1">
      <c r="A2045" s="30" t="s">
        <v>32</v>
      </c>
      <c r="B2045" s="17" t="s">
        <v>32</v>
      </c>
      <c r="C2045" s="30" t="s">
        <v>32</v>
      </c>
      <c r="D2045" s="31" t="s">
        <v>32</v>
      </c>
      <c r="E2045" s="17" t="s">
        <v>483</v>
      </c>
      <c r="F2045" s="17" t="s">
        <v>32</v>
      </c>
    </row>
    <row r="2046" ht="36" customHeight="1" hidden="1" spans="1:6" x14ac:dyDescent="0.25" outlineLevel="1" collapsed="1">
      <c r="A2046" s="32" t="s">
        <v>32</v>
      </c>
      <c r="B2046" s="12" t="s">
        <v>32</v>
      </c>
      <c r="C2046" s="32" t="s">
        <v>32</v>
      </c>
      <c r="D2046" s="31" t="s">
        <v>32</v>
      </c>
      <c r="E2046" s="12" t="s">
        <v>678</v>
      </c>
      <c r="F2046" s="12" t="s">
        <v>32</v>
      </c>
    </row>
    <row r="2047" ht="21" customHeight="1" hidden="1" spans="1:6" x14ac:dyDescent="0.25" outlineLevel="1" collapsed="1">
      <c r="A2047" s="30" t="s">
        <v>32</v>
      </c>
      <c r="B2047" s="17" t="s">
        <v>32</v>
      </c>
      <c r="C2047" s="30" t="s">
        <v>32</v>
      </c>
      <c r="D2047" s="31" t="s">
        <v>32</v>
      </c>
      <c r="E2047" s="17" t="s">
        <v>486</v>
      </c>
      <c r="F2047" s="17" t="s">
        <v>32</v>
      </c>
    </row>
    <row r="2048" ht="21" customHeight="1" hidden="1" spans="1:6" x14ac:dyDescent="0.25" outlineLevel="1" collapsed="1">
      <c r="A2048" s="32" t="s">
        <v>32</v>
      </c>
      <c r="B2048" s="12" t="s">
        <v>32</v>
      </c>
      <c r="C2048" s="32" t="s">
        <v>32</v>
      </c>
      <c r="D2048" s="31" t="s">
        <v>32</v>
      </c>
      <c r="E2048" s="12" t="s">
        <v>487</v>
      </c>
      <c r="F2048" s="12" t="s">
        <v>32</v>
      </c>
    </row>
    <row r="2049" ht="21" customHeight="1" hidden="1" spans="1:6" x14ac:dyDescent="0.25" outlineLevel="1" collapsed="1">
      <c r="A2049" s="30" t="s">
        <v>32</v>
      </c>
      <c r="B2049" s="17" t="s">
        <v>32</v>
      </c>
      <c r="C2049" s="30" t="s">
        <v>32</v>
      </c>
      <c r="D2049" s="31" t="s">
        <v>32</v>
      </c>
      <c r="E2049" s="17" t="s">
        <v>488</v>
      </c>
      <c r="F2049" s="17" t="s">
        <v>32</v>
      </c>
    </row>
    <row r="2050" ht="21" customHeight="1" hidden="1" spans="1:6" x14ac:dyDescent="0.25" outlineLevel="1" collapsed="1">
      <c r="A2050" s="32" t="s">
        <v>32</v>
      </c>
      <c r="B2050" s="12" t="s">
        <v>32</v>
      </c>
      <c r="C2050" s="32" t="s">
        <v>32</v>
      </c>
      <c r="D2050" s="31" t="s">
        <v>32</v>
      </c>
      <c r="E2050" s="12" t="s">
        <v>489</v>
      </c>
      <c r="F2050" s="12" t="s">
        <v>32</v>
      </c>
    </row>
    <row r="2051" ht="21" customHeight="1" hidden="1" spans="1:6" x14ac:dyDescent="0.25" outlineLevel="1" collapsed="1">
      <c r="A2051" s="30" t="s">
        <v>32</v>
      </c>
      <c r="B2051" s="17" t="s">
        <v>32</v>
      </c>
      <c r="C2051" s="30" t="s">
        <v>32</v>
      </c>
      <c r="D2051" s="31" t="s">
        <v>32</v>
      </c>
      <c r="E2051" s="17" t="s">
        <v>679</v>
      </c>
      <c r="F2051" s="17" t="s">
        <v>32</v>
      </c>
    </row>
    <row r="2052" ht="21" customHeight="1" hidden="1" spans="1:6" x14ac:dyDescent="0.25" outlineLevel="1" collapsed="1">
      <c r="A2052" s="32" t="s">
        <v>32</v>
      </c>
      <c r="B2052" s="12" t="s">
        <v>32</v>
      </c>
      <c r="C2052" s="32" t="s">
        <v>32</v>
      </c>
      <c r="D2052" s="31" t="s">
        <v>32</v>
      </c>
      <c r="E2052" s="12" t="s">
        <v>491</v>
      </c>
      <c r="F2052" s="12" t="s">
        <v>32</v>
      </c>
    </row>
    <row r="2053" ht="21" customHeight="1" hidden="1" spans="1:6" x14ac:dyDescent="0.25" outlineLevel="1" collapsed="1">
      <c r="A2053" s="30" t="s">
        <v>32</v>
      </c>
      <c r="B2053" s="17" t="s">
        <v>32</v>
      </c>
      <c r="C2053" s="30" t="s">
        <v>32</v>
      </c>
      <c r="D2053" s="31" t="s">
        <v>32</v>
      </c>
      <c r="E2053" s="17" t="s">
        <v>492</v>
      </c>
      <c r="F2053" s="17" t="s">
        <v>32</v>
      </c>
    </row>
    <row r="2054" ht="21" customHeight="1" hidden="1" spans="1:6" x14ac:dyDescent="0.25" outlineLevel="1" collapsed="1">
      <c r="A2054" s="32" t="s">
        <v>32</v>
      </c>
      <c r="B2054" s="12" t="s">
        <v>32</v>
      </c>
      <c r="C2054" s="32" t="s">
        <v>32</v>
      </c>
      <c r="D2054" s="31" t="s">
        <v>32</v>
      </c>
      <c r="E2054" s="33" t="s">
        <v>680</v>
      </c>
      <c r="F2054" s="12" t="s">
        <v>32</v>
      </c>
    </row>
    <row r="2055" ht="22" customHeight="1" hidden="1" spans="1:6" x14ac:dyDescent="0.25" outlineLevel="1" collapsed="1">
      <c r="A2055" s="34" t="s">
        <v>495</v>
      </c>
      <c r="B2055" s="34"/>
      <c r="C2055" s="34"/>
      <c r="D2055" s="34"/>
      <c r="E2055" s="34"/>
      <c r="F2055" s="34"/>
    </row>
    <row r="2056" ht="24" customHeight="1" hidden="1" spans="1:6" x14ac:dyDescent="0.25" outlineLevel="1" collapsed="1">
      <c r="A2056" s="12" t="s">
        <v>681</v>
      </c>
      <c r="B2056" s="12"/>
      <c r="C2056" s="12"/>
      <c r="D2056" s="12"/>
      <c r="E2056" s="12"/>
      <c r="F2056" s="12"/>
    </row>
    <row r="2057" ht="24" customHeight="1" hidden="1" spans="1:6" x14ac:dyDescent="0.25" outlineLevel="1" collapsed="1">
      <c r="A2057" s="12" t="s">
        <v>682</v>
      </c>
      <c r="B2057" s="12"/>
      <c r="C2057" s="12"/>
      <c r="D2057" s="12"/>
      <c r="E2057" s="12"/>
      <c r="F2057" s="12"/>
    </row>
    <row r="2058" ht="56" customHeight="1" hidden="1" spans="1:6" x14ac:dyDescent="0.25" outlineLevel="1" collapsed="1">
      <c r="A2058" s="12" t="s">
        <v>683</v>
      </c>
      <c r="B2058" s="12"/>
      <c r="C2058" s="12"/>
      <c r="D2058" s="12"/>
      <c r="E2058" s="12"/>
      <c r="F2058" s="12"/>
    </row>
    <row r="2059" ht="24" customHeight="1" hidden="1" spans="1:6" x14ac:dyDescent="0.25" outlineLevel="1" collapsed="1">
      <c r="A2059" s="12" t="s">
        <v>684</v>
      </c>
      <c r="B2059" s="12"/>
      <c r="C2059" s="12"/>
      <c r="D2059" s="12"/>
      <c r="E2059" s="12"/>
      <c r="F2059" s="12"/>
    </row>
    <row r="2060" ht="6" customHeight="1" hidden="1" x14ac:dyDescent="0.25" outlineLevel="1" collapsed="1"/>
    <row r="2061" ht="22" customHeight="1" spans="1:6" x14ac:dyDescent="0.25">
      <c r="A2061" s="25" t="s">
        <v>592</v>
      </c>
      <c r="B2061" s="25"/>
      <c r="C2061" s="25"/>
      <c r="D2061" s="25"/>
      <c r="E2061" s="25"/>
      <c r="F2061" s="25"/>
    </row>
    <row r="2062" ht="20" customHeight="1" hidden="1" spans="1:6" x14ac:dyDescent="0.25" outlineLevel="1" collapsed="1">
      <c r="A2062" s="26" t="s">
        <v>460</v>
      </c>
      <c r="B2062" s="26" t="s">
        <v>461</v>
      </c>
      <c r="C2062" s="26" t="s">
        <v>462</v>
      </c>
      <c r="D2062" s="26" t="s">
        <v>32</v>
      </c>
      <c r="E2062" s="26" t="s">
        <v>463</v>
      </c>
      <c r="F2062" s="26" t="s">
        <v>464</v>
      </c>
    </row>
    <row r="2063" ht="36" customHeight="1" hidden="1" spans="1:6" x14ac:dyDescent="0.25" outlineLevel="1" collapsed="1">
      <c r="A2063" s="27">
        <v>4220</v>
      </c>
      <c r="B2063" s="28" t="s">
        <v>543</v>
      </c>
      <c r="C2063" s="27" t="s">
        <v>466</v>
      </c>
      <c r="D2063" s="29" t="s">
        <v>32</v>
      </c>
      <c r="E2063" s="36" t="s">
        <v>699</v>
      </c>
      <c r="F2063" s="28" t="s">
        <v>32</v>
      </c>
    </row>
    <row r="2064" ht="36" customHeight="1" hidden="1" spans="1:6" x14ac:dyDescent="0.25" outlineLevel="1" collapsed="1">
      <c r="A2064" s="27">
        <v>4240</v>
      </c>
      <c r="B2064" s="28" t="s">
        <v>471</v>
      </c>
      <c r="C2064" s="27" t="s">
        <v>472</v>
      </c>
      <c r="D2064" s="29" t="s">
        <v>32</v>
      </c>
      <c r="E2064" s="36" t="s">
        <v>699</v>
      </c>
      <c r="F2064" s="28" t="s">
        <v>32</v>
      </c>
    </row>
    <row r="2065" ht="36" customHeight="1" hidden="1" spans="1:6" x14ac:dyDescent="0.25" outlineLevel="1" collapsed="1">
      <c r="A2065" s="27">
        <v>4230</v>
      </c>
      <c r="B2065" s="28" t="s">
        <v>544</v>
      </c>
      <c r="C2065" s="27" t="s">
        <v>472</v>
      </c>
      <c r="D2065" s="29" t="s">
        <v>32</v>
      </c>
      <c r="E2065" s="36" t="s">
        <v>699</v>
      </c>
      <c r="F2065" s="28" t="s">
        <v>32</v>
      </c>
    </row>
    <row r="2066" ht="22" customHeight="1" hidden="1" spans="1:6" x14ac:dyDescent="0.25" outlineLevel="1" collapsed="1">
      <c r="A2066" s="34" t="s">
        <v>495</v>
      </c>
      <c r="B2066" s="34"/>
      <c r="C2066" s="34"/>
      <c r="D2066" s="34"/>
      <c r="E2066" s="34"/>
      <c r="F2066" s="34"/>
    </row>
    <row r="2067" ht="24" customHeight="1" hidden="1" spans="1:6" x14ac:dyDescent="0.25" outlineLevel="1" collapsed="1">
      <c r="A2067" s="12" t="s">
        <v>700</v>
      </c>
      <c r="B2067" s="12"/>
      <c r="C2067" s="12"/>
      <c r="D2067" s="12"/>
      <c r="E2067" s="12"/>
      <c r="F2067" s="12"/>
    </row>
    <row r="2068" ht="24" customHeight="1" hidden="1" spans="1:6" x14ac:dyDescent="0.25" outlineLevel="1" collapsed="1">
      <c r="A2068" s="12" t="s">
        <v>701</v>
      </c>
      <c r="B2068" s="12"/>
      <c r="C2068" s="12"/>
      <c r="D2068" s="12"/>
      <c r="E2068" s="12"/>
      <c r="F2068" s="12"/>
    </row>
    <row r="2069" ht="24" customHeight="1" hidden="1" spans="1:6" x14ac:dyDescent="0.25" outlineLevel="1" collapsed="1">
      <c r="A2069" s="12" t="s">
        <v>702</v>
      </c>
      <c r="B2069" s="12"/>
      <c r="C2069" s="12"/>
      <c r="D2069" s="12"/>
      <c r="E2069" s="12"/>
      <c r="F2069" s="12"/>
    </row>
    <row r="2070" ht="24" customHeight="1" hidden="1" spans="1:6" x14ac:dyDescent="0.25" outlineLevel="1" collapsed="1">
      <c r="A2070" s="12" t="s">
        <v>684</v>
      </c>
      <c r="B2070" s="12"/>
      <c r="C2070" s="12"/>
      <c r="D2070" s="12"/>
      <c r="E2070" s="12"/>
      <c r="F2070" s="12"/>
    </row>
    <row r="2071" ht="6" customHeight="1" hidden="1" x14ac:dyDescent="0.25" outlineLevel="1" collapsed="1"/>
    <row r="2072" ht="22" customHeight="1" spans="1:6" x14ac:dyDescent="0.25">
      <c r="A2072" s="25" t="s">
        <v>595</v>
      </c>
      <c r="B2072" s="25"/>
      <c r="C2072" s="25"/>
      <c r="D2072" s="25"/>
      <c r="E2072" s="25"/>
      <c r="F2072" s="25"/>
    </row>
    <row r="2073" ht="20" customHeight="1" hidden="1" spans="1:6" x14ac:dyDescent="0.25" outlineLevel="1" collapsed="1">
      <c r="A2073" s="26" t="s">
        <v>460</v>
      </c>
      <c r="B2073" s="26" t="s">
        <v>461</v>
      </c>
      <c r="C2073" s="26" t="s">
        <v>462</v>
      </c>
      <c r="D2073" s="26" t="s">
        <v>32</v>
      </c>
      <c r="E2073" s="26" t="s">
        <v>463</v>
      </c>
      <c r="F2073" s="26" t="s">
        <v>464</v>
      </c>
    </row>
    <row r="2074" ht="36" customHeight="1" hidden="1" spans="1:6" x14ac:dyDescent="0.25" outlineLevel="1" collapsed="1">
      <c r="A2074" s="27">
        <v>4220</v>
      </c>
      <c r="B2074" s="28" t="s">
        <v>543</v>
      </c>
      <c r="C2074" s="27" t="s">
        <v>466</v>
      </c>
      <c r="D2074" s="29" t="s">
        <v>32</v>
      </c>
      <c r="E2074" s="36" t="s">
        <v>699</v>
      </c>
      <c r="F2074" s="28" t="s">
        <v>32</v>
      </c>
    </row>
    <row r="2075" ht="36" customHeight="1" hidden="1" spans="1:6" x14ac:dyDescent="0.25" outlineLevel="1" collapsed="1">
      <c r="A2075" s="27">
        <v>4240</v>
      </c>
      <c r="B2075" s="28" t="s">
        <v>471</v>
      </c>
      <c r="C2075" s="27" t="s">
        <v>472</v>
      </c>
      <c r="D2075" s="29" t="s">
        <v>32</v>
      </c>
      <c r="E2075" s="36" t="s">
        <v>699</v>
      </c>
      <c r="F2075" s="28" t="s">
        <v>32</v>
      </c>
    </row>
    <row r="2076" ht="36" customHeight="1" hidden="1" spans="1:6" x14ac:dyDescent="0.25" outlineLevel="1" collapsed="1">
      <c r="A2076" s="27">
        <v>4230</v>
      </c>
      <c r="B2076" s="28" t="s">
        <v>544</v>
      </c>
      <c r="C2076" s="27" t="s">
        <v>472</v>
      </c>
      <c r="D2076" s="29" t="s">
        <v>32</v>
      </c>
      <c r="E2076" s="36" t="s">
        <v>699</v>
      </c>
      <c r="F2076" s="28" t="s">
        <v>32</v>
      </c>
    </row>
    <row r="2077" ht="22" customHeight="1" hidden="1" spans="1:6" x14ac:dyDescent="0.25" outlineLevel="1" collapsed="1">
      <c r="A2077" s="34" t="s">
        <v>495</v>
      </c>
      <c r="B2077" s="34"/>
      <c r="C2077" s="34"/>
      <c r="D2077" s="34"/>
      <c r="E2077" s="34"/>
      <c r="F2077" s="34"/>
    </row>
    <row r="2078" ht="24" customHeight="1" hidden="1" spans="1:6" x14ac:dyDescent="0.25" outlineLevel="1" collapsed="1">
      <c r="A2078" s="12" t="s">
        <v>700</v>
      </c>
      <c r="B2078" s="12"/>
      <c r="C2078" s="12"/>
      <c r="D2078" s="12"/>
      <c r="E2078" s="12"/>
      <c r="F2078" s="12"/>
    </row>
    <row r="2079" ht="24" customHeight="1" hidden="1" spans="1:6" x14ac:dyDescent="0.25" outlineLevel="1" collapsed="1">
      <c r="A2079" s="12" t="s">
        <v>701</v>
      </c>
      <c r="B2079" s="12"/>
      <c r="C2079" s="12"/>
      <c r="D2079" s="12"/>
      <c r="E2079" s="12"/>
      <c r="F2079" s="12"/>
    </row>
    <row r="2080" ht="24" customHeight="1" hidden="1" spans="1:6" x14ac:dyDescent="0.25" outlineLevel="1" collapsed="1">
      <c r="A2080" s="12" t="s">
        <v>702</v>
      </c>
      <c r="B2080" s="12"/>
      <c r="C2080" s="12"/>
      <c r="D2080" s="12"/>
      <c r="E2080" s="12"/>
      <c r="F2080" s="12"/>
    </row>
    <row r="2081" ht="24" customHeight="1" hidden="1" spans="1:6" x14ac:dyDescent="0.25" outlineLevel="1" collapsed="1">
      <c r="A2081" s="12" t="s">
        <v>684</v>
      </c>
      <c r="B2081" s="12"/>
      <c r="C2081" s="12"/>
      <c r="D2081" s="12"/>
      <c r="E2081" s="12"/>
      <c r="F2081" s="12"/>
    </row>
    <row r="2082" ht="6" customHeight="1" hidden="1" x14ac:dyDescent="0.25" outlineLevel="1" collapsed="1"/>
    <row r="2083" ht="22" customHeight="1" spans="1:6" x14ac:dyDescent="0.25">
      <c r="A2083" s="25" t="s">
        <v>598</v>
      </c>
      <c r="B2083" s="25"/>
      <c r="C2083" s="25"/>
      <c r="D2083" s="25"/>
      <c r="E2083" s="25"/>
      <c r="F2083" s="25"/>
    </row>
    <row r="2084" ht="20" customHeight="1" hidden="1" spans="1:6" x14ac:dyDescent="0.25" outlineLevel="1" collapsed="1">
      <c r="A2084" s="26" t="s">
        <v>460</v>
      </c>
      <c r="B2084" s="26" t="s">
        <v>461</v>
      </c>
      <c r="C2084" s="26" t="s">
        <v>462</v>
      </c>
      <c r="D2084" s="26" t="s">
        <v>32</v>
      </c>
      <c r="E2084" s="26" t="s">
        <v>463</v>
      </c>
      <c r="F2084" s="26" t="s">
        <v>464</v>
      </c>
    </row>
    <row r="2085" ht="36" customHeight="1" hidden="1" spans="1:6" x14ac:dyDescent="0.25" outlineLevel="1" collapsed="1">
      <c r="A2085" s="27">
        <v>4220</v>
      </c>
      <c r="B2085" s="28" t="s">
        <v>543</v>
      </c>
      <c r="C2085" s="27" t="s">
        <v>466</v>
      </c>
      <c r="D2085" s="29" t="s">
        <v>32</v>
      </c>
      <c r="E2085" s="36" t="s">
        <v>699</v>
      </c>
      <c r="F2085" s="28" t="s">
        <v>32</v>
      </c>
    </row>
    <row r="2086" ht="36" customHeight="1" hidden="1" spans="1:6" x14ac:dyDescent="0.25" outlineLevel="1" collapsed="1">
      <c r="A2086" s="27">
        <v>4240</v>
      </c>
      <c r="B2086" s="28" t="s">
        <v>471</v>
      </c>
      <c r="C2086" s="27" t="s">
        <v>472</v>
      </c>
      <c r="D2086" s="29" t="s">
        <v>32</v>
      </c>
      <c r="E2086" s="36" t="s">
        <v>699</v>
      </c>
      <c r="F2086" s="28" t="s">
        <v>32</v>
      </c>
    </row>
    <row r="2087" ht="36" customHeight="1" hidden="1" spans="1:6" x14ac:dyDescent="0.25" outlineLevel="1" collapsed="1">
      <c r="A2087" s="27">
        <v>4230</v>
      </c>
      <c r="B2087" s="28" t="s">
        <v>544</v>
      </c>
      <c r="C2087" s="27" t="s">
        <v>472</v>
      </c>
      <c r="D2087" s="29" t="s">
        <v>32</v>
      </c>
      <c r="E2087" s="36" t="s">
        <v>699</v>
      </c>
      <c r="F2087" s="28" t="s">
        <v>32</v>
      </c>
    </row>
    <row r="2088" ht="22" customHeight="1" hidden="1" spans="1:6" x14ac:dyDescent="0.25" outlineLevel="1" collapsed="1">
      <c r="A2088" s="34" t="s">
        <v>495</v>
      </c>
      <c r="B2088" s="34"/>
      <c r="C2088" s="34"/>
      <c r="D2088" s="34"/>
      <c r="E2088" s="34"/>
      <c r="F2088" s="34"/>
    </row>
    <row r="2089" ht="24" customHeight="1" hidden="1" spans="1:6" x14ac:dyDescent="0.25" outlineLevel="1" collapsed="1">
      <c r="A2089" s="12" t="s">
        <v>700</v>
      </c>
      <c r="B2089" s="12"/>
      <c r="C2089" s="12"/>
      <c r="D2089" s="12"/>
      <c r="E2089" s="12"/>
      <c r="F2089" s="12"/>
    </row>
    <row r="2090" ht="24" customHeight="1" hidden="1" spans="1:6" x14ac:dyDescent="0.25" outlineLevel="1" collapsed="1">
      <c r="A2090" s="12" t="s">
        <v>701</v>
      </c>
      <c r="B2090" s="12"/>
      <c r="C2090" s="12"/>
      <c r="D2090" s="12"/>
      <c r="E2090" s="12"/>
      <c r="F2090" s="12"/>
    </row>
    <row r="2091" ht="24" customHeight="1" hidden="1" spans="1:6" x14ac:dyDescent="0.25" outlineLevel="1" collapsed="1">
      <c r="A2091" s="12" t="s">
        <v>702</v>
      </c>
      <c r="B2091" s="12"/>
      <c r="C2091" s="12"/>
      <c r="D2091" s="12"/>
      <c r="E2091" s="12"/>
      <c r="F2091" s="12"/>
    </row>
    <row r="2092" ht="24" customHeight="1" hidden="1" spans="1:6" x14ac:dyDescent="0.25" outlineLevel="1" collapsed="1">
      <c r="A2092" s="12" t="s">
        <v>684</v>
      </c>
      <c r="B2092" s="12"/>
      <c r="C2092" s="12"/>
      <c r="D2092" s="12"/>
      <c r="E2092" s="12"/>
      <c r="F2092" s="12"/>
    </row>
    <row r="2093" ht="6" customHeight="1" hidden="1" x14ac:dyDescent="0.25" outlineLevel="1" collapsed="1"/>
    <row r="2094" ht="22" customHeight="1" spans="1:6" x14ac:dyDescent="0.25">
      <c r="A2094" s="25" t="s">
        <v>612</v>
      </c>
      <c r="B2094" s="25"/>
      <c r="C2094" s="25"/>
      <c r="D2094" s="25"/>
      <c r="E2094" s="25"/>
      <c r="F2094" s="25"/>
    </row>
    <row r="2095" ht="20" customHeight="1" hidden="1" spans="1:6" x14ac:dyDescent="0.25" outlineLevel="1" collapsed="1">
      <c r="A2095" s="26" t="s">
        <v>460</v>
      </c>
      <c r="B2095" s="26" t="s">
        <v>461</v>
      </c>
      <c r="C2095" s="26" t="s">
        <v>462</v>
      </c>
      <c r="D2095" s="26" t="s">
        <v>32</v>
      </c>
      <c r="E2095" s="26" t="s">
        <v>463</v>
      </c>
      <c r="F2095" s="26" t="s">
        <v>464</v>
      </c>
    </row>
    <row r="2096" ht="36" customHeight="1" hidden="1" spans="1:6" x14ac:dyDescent="0.25" outlineLevel="1" collapsed="1">
      <c r="A2096" s="27">
        <v>4220</v>
      </c>
      <c r="B2096" s="28" t="s">
        <v>543</v>
      </c>
      <c r="C2096" s="27" t="s">
        <v>466</v>
      </c>
      <c r="D2096" s="29" t="s">
        <v>32</v>
      </c>
      <c r="E2096" s="28" t="s">
        <v>619</v>
      </c>
      <c r="F2096" s="28" t="s">
        <v>32</v>
      </c>
    </row>
    <row r="2097" ht="21" customHeight="1" hidden="1" spans="1:6" x14ac:dyDescent="0.25" outlineLevel="1" collapsed="1">
      <c r="A2097" s="27">
        <v>4240</v>
      </c>
      <c r="B2097" s="28" t="s">
        <v>471</v>
      </c>
      <c r="C2097" s="27" t="s">
        <v>472</v>
      </c>
      <c r="D2097" s="29" t="s">
        <v>32</v>
      </c>
      <c r="E2097" s="28" t="s">
        <v>676</v>
      </c>
      <c r="F2097" s="28" t="s">
        <v>32</v>
      </c>
    </row>
    <row r="2098" ht="36" customHeight="1" hidden="1" spans="1:6" x14ac:dyDescent="0.25" outlineLevel="1" collapsed="1">
      <c r="A2098" s="27">
        <v>4230</v>
      </c>
      <c r="B2098" s="28" t="s">
        <v>544</v>
      </c>
      <c r="C2098" s="27" t="s">
        <v>472</v>
      </c>
      <c r="D2098" s="29" t="s">
        <v>32</v>
      </c>
      <c r="E2098" s="28" t="s">
        <v>619</v>
      </c>
      <c r="F2098" s="28" t="s">
        <v>32</v>
      </c>
    </row>
    <row r="2099" ht="22" customHeight="1" hidden="1" spans="1:6" x14ac:dyDescent="0.25" outlineLevel="1" collapsed="1">
      <c r="A2099" s="34" t="s">
        <v>495</v>
      </c>
      <c r="B2099" s="34"/>
      <c r="C2099" s="34"/>
      <c r="D2099" s="34"/>
      <c r="E2099" s="34"/>
      <c r="F2099" s="34"/>
    </row>
    <row r="2100" ht="24" customHeight="1" hidden="1" spans="1:6" x14ac:dyDescent="0.25" outlineLevel="1" collapsed="1">
      <c r="A2100" s="12" t="s">
        <v>708</v>
      </c>
      <c r="B2100" s="12"/>
      <c r="C2100" s="12"/>
      <c r="D2100" s="12"/>
      <c r="E2100" s="12"/>
      <c r="F2100" s="12"/>
    </row>
    <row r="2101" ht="24" customHeight="1" hidden="1" spans="1:6" x14ac:dyDescent="0.25" outlineLevel="1" collapsed="1">
      <c r="A2101" s="12" t="s">
        <v>682</v>
      </c>
      <c r="B2101" s="12"/>
      <c r="C2101" s="12"/>
      <c r="D2101" s="12"/>
      <c r="E2101" s="12"/>
      <c r="F2101" s="12"/>
    </row>
    <row r="2102" ht="24" customHeight="1" hidden="1" spans="1:6" x14ac:dyDescent="0.25" outlineLevel="1" collapsed="1">
      <c r="A2102" s="12" t="s">
        <v>709</v>
      </c>
      <c r="B2102" s="12"/>
      <c r="C2102" s="12"/>
      <c r="D2102" s="12"/>
      <c r="E2102" s="12"/>
      <c r="F2102" s="12"/>
    </row>
    <row r="2103" ht="24" customHeight="1" hidden="1" spans="1:6" x14ac:dyDescent="0.25" outlineLevel="1" collapsed="1">
      <c r="A2103" s="12" t="s">
        <v>684</v>
      </c>
      <c r="B2103" s="12"/>
      <c r="C2103" s="12"/>
      <c r="D2103" s="12"/>
      <c r="E2103" s="12"/>
      <c r="F2103" s="12"/>
    </row>
    <row r="2104" ht="6" customHeight="1" hidden="1" x14ac:dyDescent="0.25" outlineLevel="1" collapsed="1"/>
    <row r="2105" ht="22" customHeight="1" spans="1:6" x14ac:dyDescent="0.25">
      <c r="A2105" s="25" t="s">
        <v>623</v>
      </c>
      <c r="B2105" s="25"/>
      <c r="C2105" s="25"/>
      <c r="D2105" s="25"/>
      <c r="E2105" s="25"/>
      <c r="F2105" s="25"/>
    </row>
    <row r="2106" ht="20" customHeight="1" hidden="1" spans="1:6" x14ac:dyDescent="0.25" outlineLevel="1" collapsed="1">
      <c r="A2106" s="26" t="s">
        <v>460</v>
      </c>
      <c r="B2106" s="26" t="s">
        <v>461</v>
      </c>
      <c r="C2106" s="26" t="s">
        <v>462</v>
      </c>
      <c r="D2106" s="26" t="s">
        <v>32</v>
      </c>
      <c r="E2106" s="26" t="s">
        <v>463</v>
      </c>
      <c r="F2106" s="26" t="s">
        <v>464</v>
      </c>
    </row>
    <row r="2107" ht="36" customHeight="1" hidden="1" spans="1:6" x14ac:dyDescent="0.25" outlineLevel="1" collapsed="1">
      <c r="A2107" s="27">
        <v>4220</v>
      </c>
      <c r="B2107" s="28" t="s">
        <v>543</v>
      </c>
      <c r="C2107" s="27" t="s">
        <v>466</v>
      </c>
      <c r="D2107" s="29" t="s">
        <v>32</v>
      </c>
      <c r="E2107" s="36" t="s">
        <v>699</v>
      </c>
      <c r="F2107" s="28" t="s">
        <v>32</v>
      </c>
    </row>
    <row r="2108" ht="36" customHeight="1" hidden="1" spans="1:6" x14ac:dyDescent="0.25" outlineLevel="1" collapsed="1">
      <c r="A2108" s="27">
        <v>4240</v>
      </c>
      <c r="B2108" s="28" t="s">
        <v>471</v>
      </c>
      <c r="C2108" s="27" t="s">
        <v>472</v>
      </c>
      <c r="D2108" s="29" t="s">
        <v>32</v>
      </c>
      <c r="E2108" s="36" t="s">
        <v>699</v>
      </c>
      <c r="F2108" s="28" t="s">
        <v>32</v>
      </c>
    </row>
    <row r="2109" ht="36" customHeight="1" hidden="1" spans="1:6" x14ac:dyDescent="0.25" outlineLevel="1" collapsed="1">
      <c r="A2109" s="27">
        <v>4230</v>
      </c>
      <c r="B2109" s="28" t="s">
        <v>544</v>
      </c>
      <c r="C2109" s="27" t="s">
        <v>472</v>
      </c>
      <c r="D2109" s="29" t="s">
        <v>32</v>
      </c>
      <c r="E2109" s="36" t="s">
        <v>699</v>
      </c>
      <c r="F2109" s="28" t="s">
        <v>32</v>
      </c>
    </row>
    <row r="2110" ht="22" customHeight="1" hidden="1" spans="1:6" x14ac:dyDescent="0.25" outlineLevel="1" collapsed="1">
      <c r="A2110" s="34" t="s">
        <v>495</v>
      </c>
      <c r="B2110" s="34"/>
      <c r="C2110" s="34"/>
      <c r="D2110" s="34"/>
      <c r="E2110" s="34"/>
      <c r="F2110" s="34"/>
    </row>
    <row r="2111" ht="24" customHeight="1" hidden="1" spans="1:6" x14ac:dyDescent="0.25" outlineLevel="1" collapsed="1">
      <c r="A2111" s="12" t="s">
        <v>700</v>
      </c>
      <c r="B2111" s="12"/>
      <c r="C2111" s="12"/>
      <c r="D2111" s="12"/>
      <c r="E2111" s="12"/>
      <c r="F2111" s="12"/>
    </row>
    <row r="2112" ht="24" customHeight="1" hidden="1" spans="1:6" x14ac:dyDescent="0.25" outlineLevel="1" collapsed="1">
      <c r="A2112" s="12" t="s">
        <v>701</v>
      </c>
      <c r="B2112" s="12"/>
      <c r="C2112" s="12"/>
      <c r="D2112" s="12"/>
      <c r="E2112" s="12"/>
      <c r="F2112" s="12"/>
    </row>
    <row r="2113" ht="24" customHeight="1" hidden="1" spans="1:6" x14ac:dyDescent="0.25" outlineLevel="1" collapsed="1">
      <c r="A2113" s="12" t="s">
        <v>702</v>
      </c>
      <c r="B2113" s="12"/>
      <c r="C2113" s="12"/>
      <c r="D2113" s="12"/>
      <c r="E2113" s="12"/>
      <c r="F2113" s="12"/>
    </row>
    <row r="2114" ht="24" customHeight="1" hidden="1" spans="1:6" x14ac:dyDescent="0.25" outlineLevel="1" collapsed="1">
      <c r="A2114" s="12" t="s">
        <v>684</v>
      </c>
      <c r="B2114" s="12"/>
      <c r="C2114" s="12"/>
      <c r="D2114" s="12"/>
      <c r="E2114" s="12"/>
      <c r="F2114" s="12"/>
    </row>
    <row r="2115" ht="6" customHeight="1" hidden="1" x14ac:dyDescent="0.25" outlineLevel="1" collapsed="1"/>
    <row r="2116" ht="22" customHeight="1" spans="1:6" x14ac:dyDescent="0.25">
      <c r="A2116" s="25" t="s">
        <v>624</v>
      </c>
      <c r="B2116" s="25"/>
      <c r="C2116" s="25"/>
      <c r="D2116" s="25"/>
      <c r="E2116" s="25"/>
      <c r="F2116" s="25"/>
    </row>
    <row r="2117" ht="20" customHeight="1" hidden="1" spans="1:6" x14ac:dyDescent="0.25" outlineLevel="1" collapsed="1">
      <c r="A2117" s="26" t="s">
        <v>460</v>
      </c>
      <c r="B2117" s="26" t="s">
        <v>461</v>
      </c>
      <c r="C2117" s="26" t="s">
        <v>462</v>
      </c>
      <c r="D2117" s="26" t="s">
        <v>32</v>
      </c>
      <c r="E2117" s="26" t="s">
        <v>463</v>
      </c>
      <c r="F2117" s="26" t="s">
        <v>464</v>
      </c>
    </row>
    <row r="2118" ht="36" customHeight="1" hidden="1" spans="1:6" x14ac:dyDescent="0.25" outlineLevel="1" collapsed="1">
      <c r="A2118" s="27">
        <v>4220</v>
      </c>
      <c r="B2118" s="28" t="s">
        <v>543</v>
      </c>
      <c r="C2118" s="27" t="s">
        <v>466</v>
      </c>
      <c r="D2118" s="29" t="s">
        <v>32</v>
      </c>
      <c r="E2118" s="28" t="s">
        <v>675</v>
      </c>
      <c r="F2118" s="28" t="s">
        <v>32</v>
      </c>
    </row>
    <row r="2119" ht="21" customHeight="1" hidden="1" spans="1:6" x14ac:dyDescent="0.25" outlineLevel="1" collapsed="1">
      <c r="A2119" s="27">
        <v>4240</v>
      </c>
      <c r="B2119" s="28" t="s">
        <v>471</v>
      </c>
      <c r="C2119" s="27" t="s">
        <v>472</v>
      </c>
      <c r="D2119" s="29" t="s">
        <v>32</v>
      </c>
      <c r="E2119" s="28" t="s">
        <v>676</v>
      </c>
      <c r="F2119" s="28" t="s">
        <v>32</v>
      </c>
    </row>
    <row r="2120" ht="36" customHeight="1" hidden="1" spans="1:6" x14ac:dyDescent="0.25" outlineLevel="1" collapsed="1">
      <c r="A2120" s="27">
        <v>4230</v>
      </c>
      <c r="B2120" s="28" t="s">
        <v>544</v>
      </c>
      <c r="C2120" s="27" t="s">
        <v>472</v>
      </c>
      <c r="D2120" s="29" t="s">
        <v>32</v>
      </c>
      <c r="E2120" s="28" t="s">
        <v>710</v>
      </c>
      <c r="F2120" s="28" t="s">
        <v>32</v>
      </c>
    </row>
    <row r="2121" ht="22" customHeight="1" hidden="1" spans="1:6" x14ac:dyDescent="0.25" outlineLevel="1" collapsed="1">
      <c r="A2121" s="34" t="s">
        <v>495</v>
      </c>
      <c r="B2121" s="34"/>
      <c r="C2121" s="34"/>
      <c r="D2121" s="34"/>
      <c r="E2121" s="34"/>
      <c r="F2121" s="34"/>
    </row>
    <row r="2122" ht="24" customHeight="1" hidden="1" spans="1:6" x14ac:dyDescent="0.25" outlineLevel="1" collapsed="1">
      <c r="A2122" s="12" t="s">
        <v>681</v>
      </c>
      <c r="B2122" s="12"/>
      <c r="C2122" s="12"/>
      <c r="D2122" s="12"/>
      <c r="E2122" s="12"/>
      <c r="F2122" s="12"/>
    </row>
    <row r="2123" ht="24" customHeight="1" hidden="1" spans="1:6" x14ac:dyDescent="0.25" outlineLevel="1" collapsed="1">
      <c r="A2123" s="12" t="s">
        <v>682</v>
      </c>
      <c r="B2123" s="12"/>
      <c r="C2123" s="12"/>
      <c r="D2123" s="12"/>
      <c r="E2123" s="12"/>
      <c r="F2123" s="12"/>
    </row>
    <row r="2124" ht="24" customHeight="1" hidden="1" spans="1:6" x14ac:dyDescent="0.25" outlineLevel="1" collapsed="1">
      <c r="A2124" s="12" t="s">
        <v>711</v>
      </c>
      <c r="B2124" s="12"/>
      <c r="C2124" s="12"/>
      <c r="D2124" s="12"/>
      <c r="E2124" s="12"/>
      <c r="F2124" s="12"/>
    </row>
    <row r="2125" ht="24" customHeight="1" hidden="1" spans="1:6" x14ac:dyDescent="0.25" outlineLevel="1" collapsed="1">
      <c r="A2125" s="12" t="s">
        <v>684</v>
      </c>
      <c r="B2125" s="12"/>
      <c r="C2125" s="12"/>
      <c r="D2125" s="12"/>
      <c r="E2125" s="12"/>
      <c r="F2125" s="12"/>
    </row>
    <row r="2126" ht="6" customHeight="1" hidden="1" x14ac:dyDescent="0.25" outlineLevel="1" collapsed="1"/>
    <row r="2127" ht="22" customHeight="1" spans="1:6" x14ac:dyDescent="0.25">
      <c r="A2127" s="25" t="s">
        <v>629</v>
      </c>
      <c r="B2127" s="25"/>
      <c r="C2127" s="25"/>
      <c r="D2127" s="25"/>
      <c r="E2127" s="25"/>
      <c r="F2127" s="25"/>
    </row>
    <row r="2128" ht="20" customHeight="1" hidden="1" spans="1:6" x14ac:dyDescent="0.25" outlineLevel="1" collapsed="1">
      <c r="A2128" s="26" t="s">
        <v>460</v>
      </c>
      <c r="B2128" s="26" t="s">
        <v>461</v>
      </c>
      <c r="C2128" s="26" t="s">
        <v>462</v>
      </c>
      <c r="D2128" s="26" t="s">
        <v>32</v>
      </c>
      <c r="E2128" s="26" t="s">
        <v>463</v>
      </c>
      <c r="F2128" s="26" t="s">
        <v>464</v>
      </c>
    </row>
    <row r="2129" ht="36" customHeight="1" hidden="1" spans="1:6" x14ac:dyDescent="0.25" outlineLevel="1" collapsed="1">
      <c r="A2129" s="27">
        <v>4220</v>
      </c>
      <c r="B2129" s="28" t="s">
        <v>543</v>
      </c>
      <c r="C2129" s="27" t="s">
        <v>466</v>
      </c>
      <c r="D2129" s="29" t="s">
        <v>32</v>
      </c>
      <c r="E2129" s="28" t="s">
        <v>675</v>
      </c>
      <c r="F2129" s="28" t="s">
        <v>32</v>
      </c>
    </row>
    <row r="2130" ht="21" customHeight="1" hidden="1" spans="1:6" x14ac:dyDescent="0.25" outlineLevel="1" collapsed="1">
      <c r="A2130" s="27">
        <v>4240</v>
      </c>
      <c r="B2130" s="28" t="s">
        <v>471</v>
      </c>
      <c r="C2130" s="27" t="s">
        <v>472</v>
      </c>
      <c r="D2130" s="29" t="s">
        <v>32</v>
      </c>
      <c r="E2130" s="28" t="s">
        <v>712</v>
      </c>
      <c r="F2130" s="28" t="s">
        <v>32</v>
      </c>
    </row>
    <row r="2131" ht="51" customHeight="1" hidden="1" spans="1:6" x14ac:dyDescent="0.25" outlineLevel="1" collapsed="1">
      <c r="A2131" s="27">
        <v>4230</v>
      </c>
      <c r="B2131" s="28" t="s">
        <v>544</v>
      </c>
      <c r="C2131" s="27" t="s">
        <v>472</v>
      </c>
      <c r="D2131" s="29" t="s">
        <v>32</v>
      </c>
      <c r="E2131" s="28" t="s">
        <v>481</v>
      </c>
      <c r="F2131" s="28" t="s">
        <v>677</v>
      </c>
    </row>
    <row r="2132" ht="21" customHeight="1" hidden="1" spans="1:6" x14ac:dyDescent="0.25" outlineLevel="1" collapsed="1">
      <c r="A2132" s="30" t="s">
        <v>32</v>
      </c>
      <c r="B2132" s="17" t="s">
        <v>32</v>
      </c>
      <c r="C2132" s="30" t="s">
        <v>32</v>
      </c>
      <c r="D2132" s="31" t="s">
        <v>32</v>
      </c>
      <c r="E2132" s="17" t="s">
        <v>483</v>
      </c>
      <c r="F2132" s="17" t="s">
        <v>32</v>
      </c>
    </row>
    <row r="2133" ht="36" customHeight="1" hidden="1" spans="1:6" x14ac:dyDescent="0.25" outlineLevel="1" collapsed="1">
      <c r="A2133" s="32" t="s">
        <v>32</v>
      </c>
      <c r="B2133" s="12" t="s">
        <v>32</v>
      </c>
      <c r="C2133" s="32" t="s">
        <v>32</v>
      </c>
      <c r="D2133" s="31" t="s">
        <v>32</v>
      </c>
      <c r="E2133" s="12" t="s">
        <v>678</v>
      </c>
      <c r="F2133" s="12" t="s">
        <v>32</v>
      </c>
    </row>
    <row r="2134" ht="21" customHeight="1" hidden="1" spans="1:6" x14ac:dyDescent="0.25" outlineLevel="1" collapsed="1">
      <c r="A2134" s="30" t="s">
        <v>32</v>
      </c>
      <c r="B2134" s="17" t="s">
        <v>32</v>
      </c>
      <c r="C2134" s="30" t="s">
        <v>32</v>
      </c>
      <c r="D2134" s="31" t="s">
        <v>32</v>
      </c>
      <c r="E2134" s="17" t="s">
        <v>486</v>
      </c>
      <c r="F2134" s="17" t="s">
        <v>32</v>
      </c>
    </row>
    <row r="2135" ht="21" customHeight="1" hidden="1" spans="1:6" x14ac:dyDescent="0.25" outlineLevel="1" collapsed="1">
      <c r="A2135" s="32" t="s">
        <v>32</v>
      </c>
      <c r="B2135" s="12" t="s">
        <v>32</v>
      </c>
      <c r="C2135" s="32" t="s">
        <v>32</v>
      </c>
      <c r="D2135" s="31" t="s">
        <v>32</v>
      </c>
      <c r="E2135" s="12" t="s">
        <v>487</v>
      </c>
      <c r="F2135" s="12" t="s">
        <v>32</v>
      </c>
    </row>
    <row r="2136" ht="21" customHeight="1" hidden="1" spans="1:6" x14ac:dyDescent="0.25" outlineLevel="1" collapsed="1">
      <c r="A2136" s="30" t="s">
        <v>32</v>
      </c>
      <c r="B2136" s="17" t="s">
        <v>32</v>
      </c>
      <c r="C2136" s="30" t="s">
        <v>32</v>
      </c>
      <c r="D2136" s="31" t="s">
        <v>32</v>
      </c>
      <c r="E2136" s="17" t="s">
        <v>488</v>
      </c>
      <c r="F2136" s="17" t="s">
        <v>32</v>
      </c>
    </row>
    <row r="2137" ht="21" customHeight="1" hidden="1" spans="1:6" x14ac:dyDescent="0.25" outlineLevel="1" collapsed="1">
      <c r="A2137" s="32" t="s">
        <v>32</v>
      </c>
      <c r="B2137" s="12" t="s">
        <v>32</v>
      </c>
      <c r="C2137" s="32" t="s">
        <v>32</v>
      </c>
      <c r="D2137" s="31" t="s">
        <v>32</v>
      </c>
      <c r="E2137" s="12" t="s">
        <v>489</v>
      </c>
      <c r="F2137" s="12" t="s">
        <v>32</v>
      </c>
    </row>
    <row r="2138" ht="21" customHeight="1" hidden="1" spans="1:6" x14ac:dyDescent="0.25" outlineLevel="1" collapsed="1">
      <c r="A2138" s="30" t="s">
        <v>32</v>
      </c>
      <c r="B2138" s="17" t="s">
        <v>32</v>
      </c>
      <c r="C2138" s="30" t="s">
        <v>32</v>
      </c>
      <c r="D2138" s="31" t="s">
        <v>32</v>
      </c>
      <c r="E2138" s="17" t="s">
        <v>679</v>
      </c>
      <c r="F2138" s="17" t="s">
        <v>32</v>
      </c>
    </row>
    <row r="2139" ht="21" customHeight="1" hidden="1" spans="1:6" x14ac:dyDescent="0.25" outlineLevel="1" collapsed="1">
      <c r="A2139" s="32" t="s">
        <v>32</v>
      </c>
      <c r="B2139" s="12" t="s">
        <v>32</v>
      </c>
      <c r="C2139" s="32" t="s">
        <v>32</v>
      </c>
      <c r="D2139" s="31" t="s">
        <v>32</v>
      </c>
      <c r="E2139" s="12" t="s">
        <v>491</v>
      </c>
      <c r="F2139" s="12" t="s">
        <v>32</v>
      </c>
    </row>
    <row r="2140" ht="21" customHeight="1" hidden="1" spans="1:6" x14ac:dyDescent="0.25" outlineLevel="1" collapsed="1">
      <c r="A2140" s="30" t="s">
        <v>32</v>
      </c>
      <c r="B2140" s="17" t="s">
        <v>32</v>
      </c>
      <c r="C2140" s="30" t="s">
        <v>32</v>
      </c>
      <c r="D2140" s="31" t="s">
        <v>32</v>
      </c>
      <c r="E2140" s="17" t="s">
        <v>492</v>
      </c>
      <c r="F2140" s="17" t="s">
        <v>32</v>
      </c>
    </row>
    <row r="2141" ht="21" customHeight="1" hidden="1" spans="1:6" x14ac:dyDescent="0.25" outlineLevel="1" collapsed="1">
      <c r="A2141" s="32" t="s">
        <v>32</v>
      </c>
      <c r="B2141" s="12" t="s">
        <v>32</v>
      </c>
      <c r="C2141" s="32" t="s">
        <v>32</v>
      </c>
      <c r="D2141" s="31" t="s">
        <v>32</v>
      </c>
      <c r="E2141" s="33" t="s">
        <v>680</v>
      </c>
      <c r="F2141" s="12" t="s">
        <v>32</v>
      </c>
    </row>
    <row r="2142" ht="22" customHeight="1" hidden="1" spans="1:6" x14ac:dyDescent="0.25" outlineLevel="1" collapsed="1">
      <c r="A2142" s="34" t="s">
        <v>495</v>
      </c>
      <c r="B2142" s="34"/>
      <c r="C2142" s="34"/>
      <c r="D2142" s="34"/>
      <c r="E2142" s="34"/>
      <c r="F2142" s="34"/>
    </row>
    <row r="2143" ht="24" customHeight="1" hidden="1" spans="1:6" x14ac:dyDescent="0.25" outlineLevel="1" collapsed="1">
      <c r="A2143" s="12" t="s">
        <v>681</v>
      </c>
      <c r="B2143" s="12"/>
      <c r="C2143" s="12"/>
      <c r="D2143" s="12"/>
      <c r="E2143" s="12"/>
      <c r="F2143" s="12"/>
    </row>
    <row r="2144" ht="24" customHeight="1" hidden="1" spans="1:6" x14ac:dyDescent="0.25" outlineLevel="1" collapsed="1">
      <c r="A2144" s="12" t="s">
        <v>713</v>
      </c>
      <c r="B2144" s="12"/>
      <c r="C2144" s="12"/>
      <c r="D2144" s="12"/>
      <c r="E2144" s="12"/>
      <c r="F2144" s="12"/>
    </row>
    <row r="2145" ht="56" customHeight="1" hidden="1" spans="1:6" x14ac:dyDescent="0.25" outlineLevel="1" collapsed="1">
      <c r="A2145" s="12" t="s">
        <v>683</v>
      </c>
      <c r="B2145" s="12"/>
      <c r="C2145" s="12"/>
      <c r="D2145" s="12"/>
      <c r="E2145" s="12"/>
      <c r="F2145" s="12"/>
    </row>
    <row r="2146" ht="24" customHeight="1" hidden="1" spans="1:6" x14ac:dyDescent="0.25" outlineLevel="1" collapsed="1">
      <c r="A2146" s="12" t="s">
        <v>684</v>
      </c>
      <c r="B2146" s="12"/>
      <c r="C2146" s="12"/>
      <c r="D2146" s="12"/>
      <c r="E2146" s="12"/>
      <c r="F2146" s="12"/>
    </row>
    <row r="2147" ht="6" customHeight="1" hidden="1" x14ac:dyDescent="0.25" outlineLevel="1" collapsed="1"/>
    <row r="2148" ht="22" customHeight="1" spans="1:6" x14ac:dyDescent="0.25">
      <c r="A2148" s="25" t="s">
        <v>630</v>
      </c>
      <c r="B2148" s="25"/>
      <c r="C2148" s="25"/>
      <c r="D2148" s="25"/>
      <c r="E2148" s="25"/>
      <c r="F2148" s="25"/>
    </row>
    <row r="2149" ht="20" customHeight="1" hidden="1" spans="1:6" x14ac:dyDescent="0.25" outlineLevel="1" collapsed="1">
      <c r="A2149" s="26" t="s">
        <v>460</v>
      </c>
      <c r="B2149" s="26" t="s">
        <v>461</v>
      </c>
      <c r="C2149" s="26" t="s">
        <v>462</v>
      </c>
      <c r="D2149" s="26" t="s">
        <v>32</v>
      </c>
      <c r="E2149" s="26" t="s">
        <v>463</v>
      </c>
      <c r="F2149" s="26" t="s">
        <v>464</v>
      </c>
    </row>
    <row r="2150" ht="36" customHeight="1" hidden="1" spans="1:6" x14ac:dyDescent="0.25" outlineLevel="1" collapsed="1">
      <c r="A2150" s="27">
        <v>4220</v>
      </c>
      <c r="B2150" s="28" t="s">
        <v>543</v>
      </c>
      <c r="C2150" s="27" t="s">
        <v>466</v>
      </c>
      <c r="D2150" s="29" t="s">
        <v>32</v>
      </c>
      <c r="E2150" s="28" t="s">
        <v>675</v>
      </c>
      <c r="F2150" s="28" t="s">
        <v>32</v>
      </c>
    </row>
    <row r="2151" ht="21" customHeight="1" hidden="1" spans="1:6" x14ac:dyDescent="0.25" outlineLevel="1" collapsed="1">
      <c r="A2151" s="27">
        <v>4240</v>
      </c>
      <c r="B2151" s="28" t="s">
        <v>471</v>
      </c>
      <c r="C2151" s="27" t="s">
        <v>472</v>
      </c>
      <c r="D2151" s="29" t="s">
        <v>32</v>
      </c>
      <c r="E2151" s="28" t="s">
        <v>676</v>
      </c>
      <c r="F2151" s="28" t="s">
        <v>32</v>
      </c>
    </row>
    <row r="2152" ht="51" customHeight="1" hidden="1" spans="1:6" x14ac:dyDescent="0.25" outlineLevel="1" collapsed="1">
      <c r="A2152" s="27">
        <v>4230</v>
      </c>
      <c r="B2152" s="28" t="s">
        <v>544</v>
      </c>
      <c r="C2152" s="27" t="s">
        <v>472</v>
      </c>
      <c r="D2152" s="29" t="s">
        <v>32</v>
      </c>
      <c r="E2152" s="28" t="s">
        <v>576</v>
      </c>
      <c r="F2152" s="28" t="s">
        <v>677</v>
      </c>
    </row>
    <row r="2153" ht="21" customHeight="1" hidden="1" spans="1:6" x14ac:dyDescent="0.25" outlineLevel="1" collapsed="1">
      <c r="A2153" s="30" t="s">
        <v>32</v>
      </c>
      <c r="B2153" s="17" t="s">
        <v>32</v>
      </c>
      <c r="C2153" s="30" t="s">
        <v>32</v>
      </c>
      <c r="D2153" s="31" t="s">
        <v>32</v>
      </c>
      <c r="E2153" s="17" t="s">
        <v>577</v>
      </c>
      <c r="F2153" s="17" t="s">
        <v>32</v>
      </c>
    </row>
    <row r="2154" ht="36" customHeight="1" hidden="1" spans="1:6" x14ac:dyDescent="0.25" outlineLevel="1" collapsed="1">
      <c r="A2154" s="32" t="s">
        <v>32</v>
      </c>
      <c r="B2154" s="12" t="s">
        <v>32</v>
      </c>
      <c r="C2154" s="32" t="s">
        <v>32</v>
      </c>
      <c r="D2154" s="31" t="s">
        <v>32</v>
      </c>
      <c r="E2154" s="12" t="s">
        <v>714</v>
      </c>
      <c r="F2154" s="12" t="s">
        <v>32</v>
      </c>
    </row>
    <row r="2155" ht="21" customHeight="1" hidden="1" spans="1:6" x14ac:dyDescent="0.25" outlineLevel="1" collapsed="1">
      <c r="A2155" s="30" t="s">
        <v>32</v>
      </c>
      <c r="B2155" s="17" t="s">
        <v>32</v>
      </c>
      <c r="C2155" s="30" t="s">
        <v>32</v>
      </c>
      <c r="D2155" s="31" t="s">
        <v>32</v>
      </c>
      <c r="E2155" s="17" t="s">
        <v>580</v>
      </c>
      <c r="F2155" s="17" t="s">
        <v>32</v>
      </c>
    </row>
    <row r="2156" ht="21" customHeight="1" hidden="1" spans="1:6" x14ac:dyDescent="0.25" outlineLevel="1" collapsed="1">
      <c r="A2156" s="32" t="s">
        <v>32</v>
      </c>
      <c r="B2156" s="12" t="s">
        <v>32</v>
      </c>
      <c r="C2156" s="32" t="s">
        <v>32</v>
      </c>
      <c r="D2156" s="31" t="s">
        <v>32</v>
      </c>
      <c r="E2156" s="12" t="s">
        <v>551</v>
      </c>
      <c r="F2156" s="12" t="s">
        <v>32</v>
      </c>
    </row>
    <row r="2157" ht="21" customHeight="1" hidden="1" spans="1:6" x14ac:dyDescent="0.25" outlineLevel="1" collapsed="1">
      <c r="A2157" s="30" t="s">
        <v>32</v>
      </c>
      <c r="B2157" s="17" t="s">
        <v>32</v>
      </c>
      <c r="C2157" s="30" t="s">
        <v>32</v>
      </c>
      <c r="D2157" s="31" t="s">
        <v>32</v>
      </c>
      <c r="E2157" s="17" t="s">
        <v>581</v>
      </c>
      <c r="F2157" s="17" t="s">
        <v>32</v>
      </c>
    </row>
    <row r="2158" ht="21" customHeight="1" hidden="1" spans="1:6" x14ac:dyDescent="0.25" outlineLevel="1" collapsed="1">
      <c r="A2158" s="32" t="s">
        <v>32</v>
      </c>
      <c r="B2158" s="12" t="s">
        <v>32</v>
      </c>
      <c r="C2158" s="32" t="s">
        <v>32</v>
      </c>
      <c r="D2158" s="31" t="s">
        <v>32</v>
      </c>
      <c r="E2158" s="12" t="s">
        <v>582</v>
      </c>
      <c r="F2158" s="12" t="s">
        <v>32</v>
      </c>
    </row>
    <row r="2159" ht="21" customHeight="1" hidden="1" spans="1:6" x14ac:dyDescent="0.25" outlineLevel="1" collapsed="1">
      <c r="A2159" s="30" t="s">
        <v>32</v>
      </c>
      <c r="B2159" s="17" t="s">
        <v>32</v>
      </c>
      <c r="C2159" s="30" t="s">
        <v>32</v>
      </c>
      <c r="D2159" s="31" t="s">
        <v>32</v>
      </c>
      <c r="E2159" s="17" t="s">
        <v>607</v>
      </c>
      <c r="F2159" s="17" t="s">
        <v>32</v>
      </c>
    </row>
    <row r="2160" ht="21" customHeight="1" hidden="1" spans="1:6" x14ac:dyDescent="0.25" outlineLevel="1" collapsed="1">
      <c r="A2160" s="32" t="s">
        <v>32</v>
      </c>
      <c r="B2160" s="12" t="s">
        <v>32</v>
      </c>
      <c r="C2160" s="32" t="s">
        <v>32</v>
      </c>
      <c r="D2160" s="31" t="s">
        <v>32</v>
      </c>
      <c r="E2160" s="12" t="s">
        <v>555</v>
      </c>
      <c r="F2160" s="12" t="s">
        <v>32</v>
      </c>
    </row>
    <row r="2161" ht="21" customHeight="1" hidden="1" spans="1:6" x14ac:dyDescent="0.25" outlineLevel="1" collapsed="1">
      <c r="A2161" s="30" t="s">
        <v>32</v>
      </c>
      <c r="B2161" s="17" t="s">
        <v>32</v>
      </c>
      <c r="C2161" s="30" t="s">
        <v>32</v>
      </c>
      <c r="D2161" s="31" t="s">
        <v>32</v>
      </c>
      <c r="E2161" s="17" t="s">
        <v>584</v>
      </c>
      <c r="F2161" s="17" t="s">
        <v>32</v>
      </c>
    </row>
    <row r="2162" ht="21" customHeight="1" hidden="1" spans="1:6" x14ac:dyDescent="0.25" outlineLevel="1" collapsed="1">
      <c r="A2162" s="32" t="s">
        <v>32</v>
      </c>
      <c r="B2162" s="12" t="s">
        <v>32</v>
      </c>
      <c r="C2162" s="32" t="s">
        <v>32</v>
      </c>
      <c r="D2162" s="31" t="s">
        <v>32</v>
      </c>
      <c r="E2162" s="33" t="s">
        <v>680</v>
      </c>
      <c r="F2162" s="12" t="s">
        <v>32</v>
      </c>
    </row>
    <row r="2163" ht="22" customHeight="1" hidden="1" spans="1:6" x14ac:dyDescent="0.25" outlineLevel="1" collapsed="1">
      <c r="A2163" s="34" t="s">
        <v>495</v>
      </c>
      <c r="B2163" s="34"/>
      <c r="C2163" s="34"/>
      <c r="D2163" s="34"/>
      <c r="E2163" s="34"/>
      <c r="F2163" s="34"/>
    </row>
    <row r="2164" ht="24" customHeight="1" hidden="1" spans="1:6" x14ac:dyDescent="0.25" outlineLevel="1" collapsed="1">
      <c r="A2164" s="12" t="s">
        <v>681</v>
      </c>
      <c r="B2164" s="12"/>
      <c r="C2164" s="12"/>
      <c r="D2164" s="12"/>
      <c r="E2164" s="12"/>
      <c r="F2164" s="12"/>
    </row>
    <row r="2165" ht="24" customHeight="1" hidden="1" spans="1:6" x14ac:dyDescent="0.25" outlineLevel="1" collapsed="1">
      <c r="A2165" s="12" t="s">
        <v>682</v>
      </c>
      <c r="B2165" s="12"/>
      <c r="C2165" s="12"/>
      <c r="D2165" s="12"/>
      <c r="E2165" s="12"/>
      <c r="F2165" s="12"/>
    </row>
    <row r="2166" ht="56" customHeight="1" hidden="1" spans="1:6" x14ac:dyDescent="0.25" outlineLevel="1" collapsed="1">
      <c r="A2166" s="12" t="s">
        <v>715</v>
      </c>
      <c r="B2166" s="12"/>
      <c r="C2166" s="12"/>
      <c r="D2166" s="12"/>
      <c r="E2166" s="12"/>
      <c r="F2166" s="12"/>
    </row>
    <row r="2167" ht="24" customHeight="1" hidden="1" spans="1:6" x14ac:dyDescent="0.25" outlineLevel="1" collapsed="1">
      <c r="A2167" s="12" t="s">
        <v>684</v>
      </c>
      <c r="B2167" s="12"/>
      <c r="C2167" s="12"/>
      <c r="D2167" s="12"/>
      <c r="E2167" s="12"/>
      <c r="F2167" s="12"/>
    </row>
    <row r="2168" ht="6" customHeight="1" hidden="1" x14ac:dyDescent="0.25" outlineLevel="1" collapsed="1"/>
    <row r="2169" ht="12" customHeight="1" x14ac:dyDescent="0.25"/>
    <row r="2170" ht="24" customHeight="1" spans="1:6" x14ac:dyDescent="0.25">
      <c r="A2170" s="24" t="s">
        <v>717</v>
      </c>
      <c r="B2170" s="24"/>
      <c r="C2170" s="24"/>
      <c r="D2170" s="24"/>
      <c r="E2170" s="24"/>
      <c r="F2170" s="24"/>
    </row>
    <row r="2171" ht="22" customHeight="1" spans="1:6" x14ac:dyDescent="0.25">
      <c r="A2171" s="25" t="s">
        <v>459</v>
      </c>
      <c r="B2171" s="25"/>
      <c r="C2171" s="25"/>
      <c r="D2171" s="25"/>
      <c r="E2171" s="25"/>
      <c r="F2171" s="25"/>
    </row>
    <row r="2172" ht="20" customHeight="1" hidden="1" spans="1:6" x14ac:dyDescent="0.25" outlineLevel="1" collapsed="1">
      <c r="A2172" s="26" t="s">
        <v>460</v>
      </c>
      <c r="B2172" s="26" t="s">
        <v>461</v>
      </c>
      <c r="C2172" s="26" t="s">
        <v>462</v>
      </c>
      <c r="D2172" s="26" t="s">
        <v>32</v>
      </c>
      <c r="E2172" s="26" t="s">
        <v>463</v>
      </c>
      <c r="F2172" s="26" t="s">
        <v>464</v>
      </c>
    </row>
    <row r="2173" ht="21" customHeight="1" hidden="1" spans="1:6" x14ac:dyDescent="0.25" outlineLevel="1" collapsed="1">
      <c r="A2173" s="27">
        <v>4220</v>
      </c>
      <c r="B2173" s="28" t="s">
        <v>465</v>
      </c>
      <c r="C2173" s="27" t="s">
        <v>466</v>
      </c>
      <c r="D2173" s="29" t="s">
        <v>32</v>
      </c>
      <c r="E2173" s="28" t="s">
        <v>675</v>
      </c>
      <c r="F2173" s="28" t="s">
        <v>32</v>
      </c>
    </row>
    <row r="2174" ht="21" customHeight="1" hidden="1" spans="1:6" x14ac:dyDescent="0.25" outlineLevel="1" collapsed="1">
      <c r="A2174" s="27">
        <v>4240</v>
      </c>
      <c r="B2174" s="28" t="s">
        <v>471</v>
      </c>
      <c r="C2174" s="27" t="s">
        <v>472</v>
      </c>
      <c r="D2174" s="29" t="s">
        <v>32</v>
      </c>
      <c r="E2174" s="28" t="s">
        <v>676</v>
      </c>
      <c r="F2174" s="28" t="s">
        <v>32</v>
      </c>
    </row>
    <row r="2175" ht="51" customHeight="1" hidden="1" spans="1:6" x14ac:dyDescent="0.25" outlineLevel="1" collapsed="1">
      <c r="A2175" s="27">
        <v>4230</v>
      </c>
      <c r="B2175" s="28" t="s">
        <v>480</v>
      </c>
      <c r="C2175" s="27" t="s">
        <v>472</v>
      </c>
      <c r="D2175" s="29" t="s">
        <v>32</v>
      </c>
      <c r="E2175" s="28" t="s">
        <v>481</v>
      </c>
      <c r="F2175" s="28" t="s">
        <v>677</v>
      </c>
    </row>
    <row r="2176" ht="21" customHeight="1" hidden="1" spans="1:6" x14ac:dyDescent="0.25" outlineLevel="1" collapsed="1">
      <c r="A2176" s="30" t="s">
        <v>32</v>
      </c>
      <c r="B2176" s="17" t="s">
        <v>32</v>
      </c>
      <c r="C2176" s="30" t="s">
        <v>32</v>
      </c>
      <c r="D2176" s="31" t="s">
        <v>32</v>
      </c>
      <c r="E2176" s="17" t="s">
        <v>483</v>
      </c>
      <c r="F2176" s="17" t="s">
        <v>32</v>
      </c>
    </row>
    <row r="2177" ht="36" customHeight="1" hidden="1" spans="1:6" x14ac:dyDescent="0.25" outlineLevel="1" collapsed="1">
      <c r="A2177" s="32" t="s">
        <v>32</v>
      </c>
      <c r="B2177" s="12" t="s">
        <v>32</v>
      </c>
      <c r="C2177" s="32" t="s">
        <v>32</v>
      </c>
      <c r="D2177" s="31" t="s">
        <v>32</v>
      </c>
      <c r="E2177" s="12" t="s">
        <v>678</v>
      </c>
      <c r="F2177" s="12" t="s">
        <v>32</v>
      </c>
    </row>
    <row r="2178" ht="21" customHeight="1" hidden="1" spans="1:6" x14ac:dyDescent="0.25" outlineLevel="1" collapsed="1">
      <c r="A2178" s="30" t="s">
        <v>32</v>
      </c>
      <c r="B2178" s="17" t="s">
        <v>32</v>
      </c>
      <c r="C2178" s="30" t="s">
        <v>32</v>
      </c>
      <c r="D2178" s="31" t="s">
        <v>32</v>
      </c>
      <c r="E2178" s="17" t="s">
        <v>486</v>
      </c>
      <c r="F2178" s="17" t="s">
        <v>32</v>
      </c>
    </row>
    <row r="2179" ht="21" customHeight="1" hidden="1" spans="1:6" x14ac:dyDescent="0.25" outlineLevel="1" collapsed="1">
      <c r="A2179" s="32" t="s">
        <v>32</v>
      </c>
      <c r="B2179" s="12" t="s">
        <v>32</v>
      </c>
      <c r="C2179" s="32" t="s">
        <v>32</v>
      </c>
      <c r="D2179" s="31" t="s">
        <v>32</v>
      </c>
      <c r="E2179" s="12" t="s">
        <v>487</v>
      </c>
      <c r="F2179" s="12" t="s">
        <v>32</v>
      </c>
    </row>
    <row r="2180" ht="21" customHeight="1" hidden="1" spans="1:6" x14ac:dyDescent="0.25" outlineLevel="1" collapsed="1">
      <c r="A2180" s="30" t="s">
        <v>32</v>
      </c>
      <c r="B2180" s="17" t="s">
        <v>32</v>
      </c>
      <c r="C2180" s="30" t="s">
        <v>32</v>
      </c>
      <c r="D2180" s="31" t="s">
        <v>32</v>
      </c>
      <c r="E2180" s="17" t="s">
        <v>488</v>
      </c>
      <c r="F2180" s="17" t="s">
        <v>32</v>
      </c>
    </row>
    <row r="2181" ht="21" customHeight="1" hidden="1" spans="1:6" x14ac:dyDescent="0.25" outlineLevel="1" collapsed="1">
      <c r="A2181" s="32" t="s">
        <v>32</v>
      </c>
      <c r="B2181" s="12" t="s">
        <v>32</v>
      </c>
      <c r="C2181" s="32" t="s">
        <v>32</v>
      </c>
      <c r="D2181" s="31" t="s">
        <v>32</v>
      </c>
      <c r="E2181" s="12" t="s">
        <v>489</v>
      </c>
      <c r="F2181" s="12" t="s">
        <v>32</v>
      </c>
    </row>
    <row r="2182" ht="21" customHeight="1" hidden="1" spans="1:6" x14ac:dyDescent="0.25" outlineLevel="1" collapsed="1">
      <c r="A2182" s="30" t="s">
        <v>32</v>
      </c>
      <c r="B2182" s="17" t="s">
        <v>32</v>
      </c>
      <c r="C2182" s="30" t="s">
        <v>32</v>
      </c>
      <c r="D2182" s="31" t="s">
        <v>32</v>
      </c>
      <c r="E2182" s="17" t="s">
        <v>679</v>
      </c>
      <c r="F2182" s="17" t="s">
        <v>32</v>
      </c>
    </row>
    <row r="2183" ht="21" customHeight="1" hidden="1" spans="1:6" x14ac:dyDescent="0.25" outlineLevel="1" collapsed="1">
      <c r="A2183" s="32" t="s">
        <v>32</v>
      </c>
      <c r="B2183" s="12" t="s">
        <v>32</v>
      </c>
      <c r="C2183" s="32" t="s">
        <v>32</v>
      </c>
      <c r="D2183" s="31" t="s">
        <v>32</v>
      </c>
      <c r="E2183" s="12" t="s">
        <v>491</v>
      </c>
      <c r="F2183" s="12" t="s">
        <v>32</v>
      </c>
    </row>
    <row r="2184" ht="21" customHeight="1" hidden="1" spans="1:6" x14ac:dyDescent="0.25" outlineLevel="1" collapsed="1">
      <c r="A2184" s="30" t="s">
        <v>32</v>
      </c>
      <c r="B2184" s="17" t="s">
        <v>32</v>
      </c>
      <c r="C2184" s="30" t="s">
        <v>32</v>
      </c>
      <c r="D2184" s="31" t="s">
        <v>32</v>
      </c>
      <c r="E2184" s="17" t="s">
        <v>492</v>
      </c>
      <c r="F2184" s="17" t="s">
        <v>32</v>
      </c>
    </row>
    <row r="2185" ht="21" customHeight="1" hidden="1" spans="1:6" x14ac:dyDescent="0.25" outlineLevel="1" collapsed="1">
      <c r="A2185" s="32" t="s">
        <v>32</v>
      </c>
      <c r="B2185" s="12" t="s">
        <v>32</v>
      </c>
      <c r="C2185" s="32" t="s">
        <v>32</v>
      </c>
      <c r="D2185" s="31" t="s">
        <v>32</v>
      </c>
      <c r="E2185" s="33" t="s">
        <v>680</v>
      </c>
      <c r="F2185" s="12" t="s">
        <v>32</v>
      </c>
    </row>
    <row r="2186" ht="22" customHeight="1" hidden="1" spans="1:6" x14ac:dyDescent="0.25" outlineLevel="1" collapsed="1">
      <c r="A2186" s="34" t="s">
        <v>495</v>
      </c>
      <c r="B2186" s="34"/>
      <c r="C2186" s="34"/>
      <c r="D2186" s="34"/>
      <c r="E2186" s="34"/>
      <c r="F2186" s="34"/>
    </row>
    <row r="2187" ht="24" customHeight="1" hidden="1" spans="1:6" x14ac:dyDescent="0.25" outlineLevel="1" collapsed="1">
      <c r="A2187" s="12" t="s">
        <v>681</v>
      </c>
      <c r="B2187" s="12"/>
      <c r="C2187" s="12"/>
      <c r="D2187" s="12"/>
      <c r="E2187" s="12"/>
      <c r="F2187" s="12"/>
    </row>
    <row r="2188" ht="24" customHeight="1" hidden="1" spans="1:6" x14ac:dyDescent="0.25" outlineLevel="1" collapsed="1">
      <c r="A2188" s="12" t="s">
        <v>682</v>
      </c>
      <c r="B2188" s="12"/>
      <c r="C2188" s="12"/>
      <c r="D2188" s="12"/>
      <c r="E2188" s="12"/>
      <c r="F2188" s="12"/>
    </row>
    <row r="2189" ht="56" customHeight="1" hidden="1" spans="1:6" x14ac:dyDescent="0.25" outlineLevel="1" collapsed="1">
      <c r="A2189" s="12" t="s">
        <v>683</v>
      </c>
      <c r="B2189" s="12"/>
      <c r="C2189" s="12"/>
      <c r="D2189" s="12"/>
      <c r="E2189" s="12"/>
      <c r="F2189" s="12"/>
    </row>
    <row r="2190" ht="24" customHeight="1" hidden="1" spans="1:6" x14ac:dyDescent="0.25" outlineLevel="1" collapsed="1">
      <c r="A2190" s="12" t="s">
        <v>684</v>
      </c>
      <c r="B2190" s="12"/>
      <c r="C2190" s="12"/>
      <c r="D2190" s="12"/>
      <c r="E2190" s="12"/>
      <c r="F2190" s="12"/>
    </row>
    <row r="2191" ht="6" customHeight="1" hidden="1" x14ac:dyDescent="0.25" outlineLevel="1" collapsed="1"/>
    <row r="2192" ht="22" customHeight="1" spans="1:6" x14ac:dyDescent="0.25">
      <c r="A2192" s="25" t="s">
        <v>500</v>
      </c>
      <c r="B2192" s="25"/>
      <c r="C2192" s="25"/>
      <c r="D2192" s="25"/>
      <c r="E2192" s="25"/>
      <c r="F2192" s="25"/>
    </row>
    <row r="2193" ht="20" customHeight="1" hidden="1" spans="1:6" x14ac:dyDescent="0.25" outlineLevel="1" collapsed="1">
      <c r="A2193" s="26" t="s">
        <v>460</v>
      </c>
      <c r="B2193" s="26" t="s">
        <v>461</v>
      </c>
      <c r="C2193" s="26" t="s">
        <v>462</v>
      </c>
      <c r="D2193" s="26" t="s">
        <v>32</v>
      </c>
      <c r="E2193" s="26" t="s">
        <v>463</v>
      </c>
      <c r="F2193" s="26" t="s">
        <v>464</v>
      </c>
    </row>
    <row r="2194" ht="36" customHeight="1" hidden="1" spans="1:6" x14ac:dyDescent="0.25" outlineLevel="1" collapsed="1">
      <c r="A2194" s="27">
        <v>4220</v>
      </c>
      <c r="B2194" s="28" t="s">
        <v>501</v>
      </c>
      <c r="C2194" s="27" t="s">
        <v>466</v>
      </c>
      <c r="D2194" s="29" t="s">
        <v>32</v>
      </c>
      <c r="E2194" s="28" t="s">
        <v>518</v>
      </c>
      <c r="F2194" s="28" t="s">
        <v>32</v>
      </c>
    </row>
    <row r="2195" ht="51" customHeight="1" hidden="1" spans="1:6" x14ac:dyDescent="0.25" outlineLevel="1" collapsed="1">
      <c r="A2195" s="27">
        <v>4240</v>
      </c>
      <c r="B2195" s="28" t="s">
        <v>504</v>
      </c>
      <c r="C2195" s="27" t="s">
        <v>472</v>
      </c>
      <c r="D2195" s="29" t="s">
        <v>32</v>
      </c>
      <c r="E2195" s="28" t="s">
        <v>685</v>
      </c>
      <c r="F2195" s="28" t="s">
        <v>686</v>
      </c>
    </row>
    <row r="2196" ht="21" customHeight="1" hidden="1" spans="1:6" x14ac:dyDescent="0.25" outlineLevel="1" collapsed="1">
      <c r="A2196" s="30" t="s">
        <v>32</v>
      </c>
      <c r="B2196" s="17" t="s">
        <v>32</v>
      </c>
      <c r="C2196" s="30" t="s">
        <v>32</v>
      </c>
      <c r="D2196" s="31" t="s">
        <v>32</v>
      </c>
      <c r="E2196" s="17" t="s">
        <v>687</v>
      </c>
      <c r="F2196" s="17" t="s">
        <v>32</v>
      </c>
    </row>
    <row r="2197" ht="21" customHeight="1" hidden="1" spans="1:6" x14ac:dyDescent="0.25" outlineLevel="1" collapsed="1">
      <c r="A2197" s="32" t="s">
        <v>32</v>
      </c>
      <c r="B2197" s="12" t="s">
        <v>32</v>
      </c>
      <c r="C2197" s="32" t="s">
        <v>32</v>
      </c>
      <c r="D2197" s="31" t="s">
        <v>32</v>
      </c>
      <c r="E2197" s="33" t="s">
        <v>688</v>
      </c>
      <c r="F2197" s="12" t="s">
        <v>32</v>
      </c>
    </row>
    <row r="2198" ht="51" customHeight="1" hidden="1" spans="1:6" x14ac:dyDescent="0.25" outlineLevel="1" collapsed="1">
      <c r="A2198" s="27">
        <v>4245</v>
      </c>
      <c r="B2198" s="28" t="s">
        <v>505</v>
      </c>
      <c r="C2198" s="27" t="s">
        <v>466</v>
      </c>
      <c r="D2198" s="29" t="s">
        <v>32</v>
      </c>
      <c r="E2198" s="28" t="s">
        <v>518</v>
      </c>
      <c r="F2198" s="28" t="s">
        <v>32</v>
      </c>
    </row>
    <row r="2199" ht="22" customHeight="1" hidden="1" spans="1:6" x14ac:dyDescent="0.25" outlineLevel="1" collapsed="1">
      <c r="A2199" s="34" t="s">
        <v>495</v>
      </c>
      <c r="B2199" s="34"/>
      <c r="C2199" s="34"/>
      <c r="D2199" s="34"/>
      <c r="E2199" s="34"/>
      <c r="F2199" s="34"/>
    </row>
    <row r="2200" ht="24" customHeight="1" hidden="1" spans="1:6" x14ac:dyDescent="0.25" outlineLevel="1" collapsed="1">
      <c r="A2200" s="12" t="s">
        <v>689</v>
      </c>
      <c r="B2200" s="12"/>
      <c r="C2200" s="12"/>
      <c r="D2200" s="12"/>
      <c r="E2200" s="12"/>
      <c r="F2200" s="12"/>
    </row>
    <row r="2201" ht="24" customHeight="1" hidden="1" spans="1:6" x14ac:dyDescent="0.25" outlineLevel="1" collapsed="1">
      <c r="A2201" s="12" t="s">
        <v>690</v>
      </c>
      <c r="B2201" s="12"/>
      <c r="C2201" s="12"/>
      <c r="D2201" s="12"/>
      <c r="E2201" s="12"/>
      <c r="F2201" s="12"/>
    </row>
    <row r="2202" ht="24" customHeight="1" hidden="1" spans="1:6" x14ac:dyDescent="0.25" outlineLevel="1" collapsed="1">
      <c r="A2202" s="12" t="s">
        <v>691</v>
      </c>
      <c r="B2202" s="12"/>
      <c r="C2202" s="12"/>
      <c r="D2202" s="12"/>
      <c r="E2202" s="12"/>
      <c r="F2202" s="12"/>
    </row>
    <row r="2203" ht="40" customHeight="1" hidden="1" spans="1:6" x14ac:dyDescent="0.25" outlineLevel="1" collapsed="1">
      <c r="A2203" s="12" t="s">
        <v>692</v>
      </c>
      <c r="B2203" s="12"/>
      <c r="C2203" s="12"/>
      <c r="D2203" s="12"/>
      <c r="E2203" s="12"/>
      <c r="F2203" s="12"/>
    </row>
    <row r="2204" ht="24" customHeight="1" hidden="1" spans="1:6" x14ac:dyDescent="0.25" outlineLevel="1" collapsed="1">
      <c r="A2204" s="12" t="s">
        <v>684</v>
      </c>
      <c r="B2204" s="12"/>
      <c r="C2204" s="12"/>
      <c r="D2204" s="12"/>
      <c r="E2204" s="12"/>
      <c r="F2204" s="12"/>
    </row>
    <row r="2205" ht="6" customHeight="1" hidden="1" x14ac:dyDescent="0.25" outlineLevel="1" collapsed="1"/>
    <row r="2206" ht="22" customHeight="1" spans="1:6" x14ac:dyDescent="0.25">
      <c r="A2206" s="25" t="s">
        <v>513</v>
      </c>
      <c r="B2206" s="25"/>
      <c r="C2206" s="25"/>
      <c r="D2206" s="25"/>
      <c r="E2206" s="25"/>
      <c r="F2206" s="25"/>
    </row>
    <row r="2207" ht="20" customHeight="1" hidden="1" spans="1:6" x14ac:dyDescent="0.25" outlineLevel="1" collapsed="1">
      <c r="A2207" s="26" t="s">
        <v>460</v>
      </c>
      <c r="B2207" s="26" t="s">
        <v>461</v>
      </c>
      <c r="C2207" s="26" t="s">
        <v>462</v>
      </c>
      <c r="D2207" s="26" t="s">
        <v>32</v>
      </c>
      <c r="E2207" s="26" t="s">
        <v>463</v>
      </c>
      <c r="F2207" s="26" t="s">
        <v>464</v>
      </c>
    </row>
    <row r="2208" ht="21" customHeight="1" hidden="1" spans="1:6" x14ac:dyDescent="0.25" outlineLevel="1" collapsed="1">
      <c r="A2208" s="27">
        <v>4220</v>
      </c>
      <c r="B2208" s="28" t="s">
        <v>514</v>
      </c>
      <c r="C2208" s="27" t="s">
        <v>466</v>
      </c>
      <c r="D2208" s="29" t="s">
        <v>32</v>
      </c>
      <c r="E2208" s="28" t="s">
        <v>518</v>
      </c>
      <c r="F2208" s="28" t="s">
        <v>32</v>
      </c>
    </row>
    <row r="2209" ht="51" customHeight="1" hidden="1" spans="1:6" x14ac:dyDescent="0.25" outlineLevel="1" collapsed="1">
      <c r="A2209" s="27">
        <v>4240</v>
      </c>
      <c r="B2209" s="28" t="s">
        <v>515</v>
      </c>
      <c r="C2209" s="27" t="s">
        <v>472</v>
      </c>
      <c r="D2209" s="29" t="s">
        <v>32</v>
      </c>
      <c r="E2209" s="28" t="s">
        <v>685</v>
      </c>
      <c r="F2209" s="28" t="s">
        <v>686</v>
      </c>
    </row>
    <row r="2210" ht="21" customHeight="1" hidden="1" spans="1:6" x14ac:dyDescent="0.25" outlineLevel="1" collapsed="1">
      <c r="A2210" s="30" t="s">
        <v>32</v>
      </c>
      <c r="B2210" s="17" t="s">
        <v>32</v>
      </c>
      <c r="C2210" s="30" t="s">
        <v>32</v>
      </c>
      <c r="D2210" s="31" t="s">
        <v>32</v>
      </c>
      <c r="E2210" s="17" t="s">
        <v>687</v>
      </c>
      <c r="F2210" s="17" t="s">
        <v>32</v>
      </c>
    </row>
    <row r="2211" ht="21" customHeight="1" hidden="1" spans="1:6" x14ac:dyDescent="0.25" outlineLevel="1" collapsed="1">
      <c r="A2211" s="32" t="s">
        <v>32</v>
      </c>
      <c r="B2211" s="12" t="s">
        <v>32</v>
      </c>
      <c r="C2211" s="32" t="s">
        <v>32</v>
      </c>
      <c r="D2211" s="31" t="s">
        <v>32</v>
      </c>
      <c r="E2211" s="33" t="s">
        <v>688</v>
      </c>
      <c r="F2211" s="12" t="s">
        <v>32</v>
      </c>
    </row>
    <row r="2212" ht="36" customHeight="1" hidden="1" spans="1:6" x14ac:dyDescent="0.25" outlineLevel="1" collapsed="1">
      <c r="A2212" s="27">
        <v>4245</v>
      </c>
      <c r="B2212" s="28" t="s">
        <v>516</v>
      </c>
      <c r="C2212" s="27" t="s">
        <v>466</v>
      </c>
      <c r="D2212" s="29" t="s">
        <v>32</v>
      </c>
      <c r="E2212" s="28" t="s">
        <v>518</v>
      </c>
      <c r="F2212" s="28" t="s">
        <v>32</v>
      </c>
    </row>
    <row r="2213" ht="21" customHeight="1" hidden="1" spans="1:6" x14ac:dyDescent="0.25" outlineLevel="1" collapsed="1">
      <c r="A2213" s="27">
        <v>4230</v>
      </c>
      <c r="B2213" s="28" t="s">
        <v>517</v>
      </c>
      <c r="C2213" s="27" t="s">
        <v>472</v>
      </c>
      <c r="D2213" s="29" t="s">
        <v>32</v>
      </c>
      <c r="E2213" s="28" t="s">
        <v>518</v>
      </c>
      <c r="F2213" s="28" t="s">
        <v>32</v>
      </c>
    </row>
    <row r="2214" ht="22" customHeight="1" hidden="1" spans="1:6" x14ac:dyDescent="0.25" outlineLevel="1" collapsed="1">
      <c r="A2214" s="34" t="s">
        <v>495</v>
      </c>
      <c r="B2214" s="34"/>
      <c r="C2214" s="34"/>
      <c r="D2214" s="34"/>
      <c r="E2214" s="34"/>
      <c r="F2214" s="34"/>
    </row>
    <row r="2215" ht="24" customHeight="1" hidden="1" spans="1:6" x14ac:dyDescent="0.25" outlineLevel="1" collapsed="1">
      <c r="A2215" s="12" t="s">
        <v>689</v>
      </c>
      <c r="B2215" s="12"/>
      <c r="C2215" s="12"/>
      <c r="D2215" s="12"/>
      <c r="E2215" s="12"/>
      <c r="F2215" s="12"/>
    </row>
    <row r="2216" ht="24" customHeight="1" hidden="1" spans="1:6" x14ac:dyDescent="0.25" outlineLevel="1" collapsed="1">
      <c r="A2216" s="12" t="s">
        <v>690</v>
      </c>
      <c r="B2216" s="12"/>
      <c r="C2216" s="12"/>
      <c r="D2216" s="12"/>
      <c r="E2216" s="12"/>
      <c r="F2216" s="12"/>
    </row>
    <row r="2217" ht="24" customHeight="1" hidden="1" spans="1:6" x14ac:dyDescent="0.25" outlineLevel="1" collapsed="1">
      <c r="A2217" s="12" t="s">
        <v>691</v>
      </c>
      <c r="B2217" s="12"/>
      <c r="C2217" s="12"/>
      <c r="D2217" s="12"/>
      <c r="E2217" s="12"/>
      <c r="F2217" s="12"/>
    </row>
    <row r="2218" ht="24" customHeight="1" hidden="1" spans="1:6" x14ac:dyDescent="0.25" outlineLevel="1" collapsed="1">
      <c r="A2218" s="12" t="s">
        <v>693</v>
      </c>
      <c r="B2218" s="12"/>
      <c r="C2218" s="12"/>
      <c r="D2218" s="12"/>
      <c r="E2218" s="12"/>
      <c r="F2218" s="12"/>
    </row>
    <row r="2219" ht="40" customHeight="1" hidden="1" spans="1:6" x14ac:dyDescent="0.25" outlineLevel="1" collapsed="1">
      <c r="A2219" s="12" t="s">
        <v>692</v>
      </c>
      <c r="B2219" s="12"/>
      <c r="C2219" s="12"/>
      <c r="D2219" s="12"/>
      <c r="E2219" s="12"/>
      <c r="F2219" s="12"/>
    </row>
    <row r="2220" ht="24" customHeight="1" hidden="1" spans="1:6" x14ac:dyDescent="0.25" outlineLevel="1" collapsed="1">
      <c r="A2220" s="12" t="s">
        <v>684</v>
      </c>
      <c r="B2220" s="12"/>
      <c r="C2220" s="12"/>
      <c r="D2220" s="12"/>
      <c r="E2220" s="12"/>
      <c r="F2220" s="12"/>
    </row>
    <row r="2221" ht="6" customHeight="1" hidden="1" x14ac:dyDescent="0.25" outlineLevel="1" collapsed="1"/>
    <row r="2222" ht="22" customHeight="1" spans="1:6" x14ac:dyDescent="0.25">
      <c r="A2222" s="25" t="s">
        <v>520</v>
      </c>
      <c r="B2222" s="25"/>
      <c r="C2222" s="25"/>
      <c r="D2222" s="25"/>
      <c r="E2222" s="25"/>
      <c r="F2222" s="25"/>
    </row>
    <row r="2223" ht="20" customHeight="1" hidden="1" spans="1:6" x14ac:dyDescent="0.25" outlineLevel="1" collapsed="1">
      <c r="A2223" s="26" t="s">
        <v>460</v>
      </c>
      <c r="B2223" s="26" t="s">
        <v>461</v>
      </c>
      <c r="C2223" s="26" t="s">
        <v>462</v>
      </c>
      <c r="D2223" s="26" t="s">
        <v>32</v>
      </c>
      <c r="E2223" s="26" t="s">
        <v>463</v>
      </c>
      <c r="F2223" s="26" t="s">
        <v>464</v>
      </c>
    </row>
    <row r="2224" ht="36" customHeight="1" hidden="1" spans="1:6" x14ac:dyDescent="0.25" outlineLevel="1" collapsed="1">
      <c r="A2224" s="27">
        <v>4220</v>
      </c>
      <c r="B2224" s="28" t="s">
        <v>521</v>
      </c>
      <c r="C2224" s="27" t="s">
        <v>466</v>
      </c>
      <c r="D2224" s="29" t="s">
        <v>32</v>
      </c>
      <c r="E2224" s="28" t="s">
        <v>675</v>
      </c>
      <c r="F2224" s="28" t="s">
        <v>32</v>
      </c>
    </row>
    <row r="2225" ht="36" customHeight="1" hidden="1" spans="1:6" x14ac:dyDescent="0.25" outlineLevel="1" collapsed="1">
      <c r="A2225" s="27">
        <v>4240</v>
      </c>
      <c r="B2225" s="28" t="s">
        <v>523</v>
      </c>
      <c r="C2225" s="27" t="s">
        <v>472</v>
      </c>
      <c r="D2225" s="29" t="s">
        <v>32</v>
      </c>
      <c r="E2225" s="28" t="s">
        <v>676</v>
      </c>
      <c r="F2225" s="28" t="s">
        <v>32</v>
      </c>
    </row>
    <row r="2226" ht="51" customHeight="1" hidden="1" spans="1:6" x14ac:dyDescent="0.25" outlineLevel="1" collapsed="1">
      <c r="A2226" s="27">
        <v>4230</v>
      </c>
      <c r="B2226" s="28" t="s">
        <v>525</v>
      </c>
      <c r="C2226" s="27" t="s">
        <v>472</v>
      </c>
      <c r="D2226" s="29" t="s">
        <v>32</v>
      </c>
      <c r="E2226" s="28" t="s">
        <v>526</v>
      </c>
      <c r="F2226" s="28" t="s">
        <v>482</v>
      </c>
    </row>
    <row r="2227" ht="21" customHeight="1" hidden="1" spans="1:6" x14ac:dyDescent="0.25" outlineLevel="1" collapsed="1">
      <c r="A2227" s="30" t="s">
        <v>32</v>
      </c>
      <c r="B2227" s="17" t="s">
        <v>32</v>
      </c>
      <c r="C2227" s="30" t="s">
        <v>32</v>
      </c>
      <c r="D2227" s="31" t="s">
        <v>32</v>
      </c>
      <c r="E2227" s="17" t="s">
        <v>528</v>
      </c>
      <c r="F2227" s="17" t="s">
        <v>32</v>
      </c>
    </row>
    <row r="2228" ht="36" customHeight="1" hidden="1" spans="1:6" x14ac:dyDescent="0.25" outlineLevel="1" collapsed="1">
      <c r="A2228" s="32" t="s">
        <v>32</v>
      </c>
      <c r="B2228" s="12" t="s">
        <v>32</v>
      </c>
      <c r="C2228" s="32" t="s">
        <v>32</v>
      </c>
      <c r="D2228" s="31" t="s">
        <v>32</v>
      </c>
      <c r="E2228" s="12" t="s">
        <v>694</v>
      </c>
      <c r="F2228" s="12" t="s">
        <v>32</v>
      </c>
    </row>
    <row r="2229" ht="21" customHeight="1" hidden="1" spans="1:6" x14ac:dyDescent="0.25" outlineLevel="1" collapsed="1">
      <c r="A2229" s="30" t="s">
        <v>32</v>
      </c>
      <c r="B2229" s="17" t="s">
        <v>32</v>
      </c>
      <c r="C2229" s="30" t="s">
        <v>32</v>
      </c>
      <c r="D2229" s="31" t="s">
        <v>32</v>
      </c>
      <c r="E2229" s="17" t="s">
        <v>531</v>
      </c>
      <c r="F2229" s="17" t="s">
        <v>32</v>
      </c>
    </row>
    <row r="2230" ht="21" customHeight="1" hidden="1" spans="1:6" x14ac:dyDescent="0.25" outlineLevel="1" collapsed="1">
      <c r="A2230" s="32" t="s">
        <v>32</v>
      </c>
      <c r="B2230" s="12" t="s">
        <v>32</v>
      </c>
      <c r="C2230" s="32" t="s">
        <v>32</v>
      </c>
      <c r="D2230" s="31" t="s">
        <v>32</v>
      </c>
      <c r="E2230" s="12" t="s">
        <v>487</v>
      </c>
      <c r="F2230" s="12" t="s">
        <v>32</v>
      </c>
    </row>
    <row r="2231" ht="21" customHeight="1" hidden="1" spans="1:6" x14ac:dyDescent="0.25" outlineLevel="1" collapsed="1">
      <c r="A2231" s="30" t="s">
        <v>32</v>
      </c>
      <c r="B2231" s="17" t="s">
        <v>32</v>
      </c>
      <c r="C2231" s="30" t="s">
        <v>32</v>
      </c>
      <c r="D2231" s="31" t="s">
        <v>32</v>
      </c>
      <c r="E2231" s="17" t="s">
        <v>695</v>
      </c>
      <c r="F2231" s="17" t="s">
        <v>32</v>
      </c>
    </row>
    <row r="2232" ht="21" customHeight="1" hidden="1" spans="1:6" x14ac:dyDescent="0.25" outlineLevel="1" collapsed="1">
      <c r="A2232" s="32" t="s">
        <v>32</v>
      </c>
      <c r="B2232" s="12" t="s">
        <v>32</v>
      </c>
      <c r="C2232" s="32" t="s">
        <v>32</v>
      </c>
      <c r="D2232" s="31" t="s">
        <v>32</v>
      </c>
      <c r="E2232" s="12" t="s">
        <v>533</v>
      </c>
      <c r="F2232" s="12" t="s">
        <v>32</v>
      </c>
    </row>
    <row r="2233" ht="21" customHeight="1" hidden="1" spans="1:6" x14ac:dyDescent="0.25" outlineLevel="1" collapsed="1">
      <c r="A2233" s="30" t="s">
        <v>32</v>
      </c>
      <c r="B2233" s="17" t="s">
        <v>32</v>
      </c>
      <c r="C2233" s="30" t="s">
        <v>32</v>
      </c>
      <c r="D2233" s="31" t="s">
        <v>32</v>
      </c>
      <c r="E2233" s="17" t="s">
        <v>534</v>
      </c>
      <c r="F2233" s="17" t="s">
        <v>32</v>
      </c>
    </row>
    <row r="2234" ht="21" customHeight="1" hidden="1" spans="1:6" x14ac:dyDescent="0.25" outlineLevel="1" collapsed="1">
      <c r="A2234" s="32" t="s">
        <v>32</v>
      </c>
      <c r="B2234" s="12" t="s">
        <v>32</v>
      </c>
      <c r="C2234" s="32" t="s">
        <v>32</v>
      </c>
      <c r="D2234" s="31" t="s">
        <v>32</v>
      </c>
      <c r="E2234" s="12" t="s">
        <v>535</v>
      </c>
      <c r="F2234" s="12" t="s">
        <v>32</v>
      </c>
    </row>
    <row r="2235" ht="21" customHeight="1" hidden="1" spans="1:6" x14ac:dyDescent="0.25" outlineLevel="1" collapsed="1">
      <c r="A2235" s="30" t="s">
        <v>32</v>
      </c>
      <c r="B2235" s="17" t="s">
        <v>32</v>
      </c>
      <c r="C2235" s="30" t="s">
        <v>32</v>
      </c>
      <c r="D2235" s="31" t="s">
        <v>32</v>
      </c>
      <c r="E2235" s="17" t="s">
        <v>696</v>
      </c>
      <c r="F2235" s="17" t="s">
        <v>32</v>
      </c>
    </row>
    <row r="2236" ht="21" customHeight="1" hidden="1" spans="1:6" x14ac:dyDescent="0.25" outlineLevel="1" collapsed="1">
      <c r="A2236" s="32" t="s">
        <v>32</v>
      </c>
      <c r="B2236" s="12" t="s">
        <v>32</v>
      </c>
      <c r="C2236" s="32" t="s">
        <v>32</v>
      </c>
      <c r="D2236" s="31" t="s">
        <v>32</v>
      </c>
      <c r="E2236" s="12" t="s">
        <v>491</v>
      </c>
      <c r="F2236" s="12" t="s">
        <v>32</v>
      </c>
    </row>
    <row r="2237" ht="21" customHeight="1" hidden="1" spans="1:6" x14ac:dyDescent="0.25" outlineLevel="1" collapsed="1">
      <c r="A2237" s="30" t="s">
        <v>32</v>
      </c>
      <c r="B2237" s="17" t="s">
        <v>32</v>
      </c>
      <c r="C2237" s="30" t="s">
        <v>32</v>
      </c>
      <c r="D2237" s="31" t="s">
        <v>32</v>
      </c>
      <c r="E2237" s="17" t="s">
        <v>537</v>
      </c>
      <c r="F2237" s="17" t="s">
        <v>32</v>
      </c>
    </row>
    <row r="2238" ht="21" customHeight="1" hidden="1" spans="1:6" x14ac:dyDescent="0.25" outlineLevel="1" collapsed="1">
      <c r="A2238" s="32" t="s">
        <v>32</v>
      </c>
      <c r="B2238" s="12" t="s">
        <v>32</v>
      </c>
      <c r="C2238" s="32" t="s">
        <v>32</v>
      </c>
      <c r="D2238" s="31" t="s">
        <v>32</v>
      </c>
      <c r="E2238" s="33" t="s">
        <v>697</v>
      </c>
      <c r="F2238" s="12" t="s">
        <v>32</v>
      </c>
    </row>
    <row r="2239" ht="22" customHeight="1" hidden="1" spans="1:6" x14ac:dyDescent="0.25" outlineLevel="1" collapsed="1">
      <c r="A2239" s="34" t="s">
        <v>495</v>
      </c>
      <c r="B2239" s="34"/>
      <c r="C2239" s="34"/>
      <c r="D2239" s="34"/>
      <c r="E2239" s="34"/>
      <c r="F2239" s="34"/>
    </row>
    <row r="2240" ht="24" customHeight="1" hidden="1" spans="1:6" x14ac:dyDescent="0.25" outlineLevel="1" collapsed="1">
      <c r="A2240" s="12" t="s">
        <v>681</v>
      </c>
      <c r="B2240" s="12"/>
      <c r="C2240" s="12"/>
      <c r="D2240" s="12"/>
      <c r="E2240" s="12"/>
      <c r="F2240" s="12"/>
    </row>
    <row r="2241" ht="24" customHeight="1" hidden="1" spans="1:6" x14ac:dyDescent="0.25" outlineLevel="1" collapsed="1">
      <c r="A2241" s="12" t="s">
        <v>682</v>
      </c>
      <c r="B2241" s="12"/>
      <c r="C2241" s="12"/>
      <c r="D2241" s="12"/>
      <c r="E2241" s="12"/>
      <c r="F2241" s="12"/>
    </row>
    <row r="2242" ht="56" customHeight="1" hidden="1" spans="1:6" x14ac:dyDescent="0.25" outlineLevel="1" collapsed="1">
      <c r="A2242" s="12" t="s">
        <v>698</v>
      </c>
      <c r="B2242" s="12"/>
      <c r="C2242" s="12"/>
      <c r="D2242" s="12"/>
      <c r="E2242" s="12"/>
      <c r="F2242" s="12"/>
    </row>
    <row r="2243" ht="24" customHeight="1" hidden="1" spans="1:6" x14ac:dyDescent="0.25" outlineLevel="1" collapsed="1">
      <c r="A2243" s="12" t="s">
        <v>684</v>
      </c>
      <c r="B2243" s="12"/>
      <c r="C2243" s="12"/>
      <c r="D2243" s="12"/>
      <c r="E2243" s="12"/>
      <c r="F2243" s="12"/>
    </row>
    <row r="2244" ht="6" customHeight="1" hidden="1" x14ac:dyDescent="0.25" outlineLevel="1" collapsed="1"/>
    <row r="2245" ht="22" customHeight="1" spans="1:6" x14ac:dyDescent="0.25">
      <c r="A2245" s="25" t="s">
        <v>542</v>
      </c>
      <c r="B2245" s="25"/>
      <c r="C2245" s="25"/>
      <c r="D2245" s="25"/>
      <c r="E2245" s="25"/>
      <c r="F2245" s="25"/>
    </row>
    <row r="2246" ht="20" customHeight="1" hidden="1" spans="1:6" x14ac:dyDescent="0.25" outlineLevel="1" collapsed="1">
      <c r="A2246" s="26" t="s">
        <v>460</v>
      </c>
      <c r="B2246" s="26" t="s">
        <v>461</v>
      </c>
      <c r="C2246" s="26" t="s">
        <v>462</v>
      </c>
      <c r="D2246" s="26" t="s">
        <v>32</v>
      </c>
      <c r="E2246" s="26" t="s">
        <v>463</v>
      </c>
      <c r="F2246" s="26" t="s">
        <v>464</v>
      </c>
    </row>
    <row r="2247" ht="36" customHeight="1" hidden="1" spans="1:6" x14ac:dyDescent="0.25" outlineLevel="1" collapsed="1">
      <c r="A2247" s="27">
        <v>4220</v>
      </c>
      <c r="B2247" s="28" t="s">
        <v>543</v>
      </c>
      <c r="C2247" s="27" t="s">
        <v>466</v>
      </c>
      <c r="D2247" s="29" t="s">
        <v>32</v>
      </c>
      <c r="E2247" s="36" t="s">
        <v>699</v>
      </c>
      <c r="F2247" s="28" t="s">
        <v>32</v>
      </c>
    </row>
    <row r="2248" ht="36" customHeight="1" hidden="1" spans="1:6" x14ac:dyDescent="0.25" outlineLevel="1" collapsed="1">
      <c r="A2248" s="27">
        <v>4240</v>
      </c>
      <c r="B2248" s="28" t="s">
        <v>471</v>
      </c>
      <c r="C2248" s="27" t="s">
        <v>472</v>
      </c>
      <c r="D2248" s="29" t="s">
        <v>32</v>
      </c>
      <c r="E2248" s="36" t="s">
        <v>699</v>
      </c>
      <c r="F2248" s="28" t="s">
        <v>32</v>
      </c>
    </row>
    <row r="2249" ht="36" customHeight="1" hidden="1" spans="1:6" x14ac:dyDescent="0.25" outlineLevel="1" collapsed="1">
      <c r="A2249" s="27">
        <v>4230</v>
      </c>
      <c r="B2249" s="28" t="s">
        <v>544</v>
      </c>
      <c r="C2249" s="27" t="s">
        <v>472</v>
      </c>
      <c r="D2249" s="29" t="s">
        <v>32</v>
      </c>
      <c r="E2249" s="36" t="s">
        <v>699</v>
      </c>
      <c r="F2249" s="28" t="s">
        <v>32</v>
      </c>
    </row>
    <row r="2250" ht="22" customHeight="1" hidden="1" spans="1:6" x14ac:dyDescent="0.25" outlineLevel="1" collapsed="1">
      <c r="A2250" s="34" t="s">
        <v>495</v>
      </c>
      <c r="B2250" s="34"/>
      <c r="C2250" s="34"/>
      <c r="D2250" s="34"/>
      <c r="E2250" s="34"/>
      <c r="F2250" s="34"/>
    </row>
    <row r="2251" ht="24" customHeight="1" hidden="1" spans="1:6" x14ac:dyDescent="0.25" outlineLevel="1" collapsed="1">
      <c r="A2251" s="12" t="s">
        <v>700</v>
      </c>
      <c r="B2251" s="12"/>
      <c r="C2251" s="12"/>
      <c r="D2251" s="12"/>
      <c r="E2251" s="12"/>
      <c r="F2251" s="12"/>
    </row>
    <row r="2252" ht="24" customHeight="1" hidden="1" spans="1:6" x14ac:dyDescent="0.25" outlineLevel="1" collapsed="1">
      <c r="A2252" s="12" t="s">
        <v>701</v>
      </c>
      <c r="B2252" s="12"/>
      <c r="C2252" s="12"/>
      <c r="D2252" s="12"/>
      <c r="E2252" s="12"/>
      <c r="F2252" s="12"/>
    </row>
    <row r="2253" ht="24" customHeight="1" hidden="1" spans="1:6" x14ac:dyDescent="0.25" outlineLevel="1" collapsed="1">
      <c r="A2253" s="12" t="s">
        <v>702</v>
      </c>
      <c r="B2253" s="12"/>
      <c r="C2253" s="12"/>
      <c r="D2253" s="12"/>
      <c r="E2253" s="12"/>
      <c r="F2253" s="12"/>
    </row>
    <row r="2254" ht="24" customHeight="1" hidden="1" spans="1:6" x14ac:dyDescent="0.25" outlineLevel="1" collapsed="1">
      <c r="A2254" s="12" t="s">
        <v>684</v>
      </c>
      <c r="B2254" s="12"/>
      <c r="C2254" s="12"/>
      <c r="D2254" s="12"/>
      <c r="E2254" s="12"/>
      <c r="F2254" s="12"/>
    </row>
    <row r="2255" ht="6" customHeight="1" hidden="1" x14ac:dyDescent="0.25" outlineLevel="1" collapsed="1"/>
    <row r="2256" ht="22" customHeight="1" spans="1:6" x14ac:dyDescent="0.25">
      <c r="A2256" s="25" t="s">
        <v>559</v>
      </c>
      <c r="B2256" s="25"/>
      <c r="C2256" s="25"/>
      <c r="D2256" s="25"/>
      <c r="E2256" s="25"/>
      <c r="F2256" s="25"/>
    </row>
    <row r="2257" ht="20" customHeight="1" hidden="1" spans="1:6" x14ac:dyDescent="0.25" outlineLevel="1" collapsed="1">
      <c r="A2257" s="26" t="s">
        <v>460</v>
      </c>
      <c r="B2257" s="26" t="s">
        <v>461</v>
      </c>
      <c r="C2257" s="26" t="s">
        <v>462</v>
      </c>
      <c r="D2257" s="26" t="s">
        <v>32</v>
      </c>
      <c r="E2257" s="26" t="s">
        <v>463</v>
      </c>
      <c r="F2257" s="26" t="s">
        <v>464</v>
      </c>
    </row>
    <row r="2258" ht="36" customHeight="1" hidden="1" spans="1:6" x14ac:dyDescent="0.25" outlineLevel="1" collapsed="1">
      <c r="A2258" s="27">
        <v>4220</v>
      </c>
      <c r="B2258" s="28" t="s">
        <v>543</v>
      </c>
      <c r="C2258" s="27" t="s">
        <v>466</v>
      </c>
      <c r="D2258" s="29" t="s">
        <v>32</v>
      </c>
      <c r="E2258" s="36" t="s">
        <v>699</v>
      </c>
      <c r="F2258" s="28" t="s">
        <v>32</v>
      </c>
    </row>
    <row r="2259" ht="36" customHeight="1" hidden="1" spans="1:6" x14ac:dyDescent="0.25" outlineLevel="1" collapsed="1">
      <c r="A2259" s="27">
        <v>4240</v>
      </c>
      <c r="B2259" s="28" t="s">
        <v>471</v>
      </c>
      <c r="C2259" s="27" t="s">
        <v>472</v>
      </c>
      <c r="D2259" s="29" t="s">
        <v>32</v>
      </c>
      <c r="E2259" s="36" t="s">
        <v>699</v>
      </c>
      <c r="F2259" s="28" t="s">
        <v>32</v>
      </c>
    </row>
    <row r="2260" ht="36" customHeight="1" hidden="1" spans="1:6" x14ac:dyDescent="0.25" outlineLevel="1" collapsed="1">
      <c r="A2260" s="27">
        <v>4230</v>
      </c>
      <c r="B2260" s="28" t="s">
        <v>544</v>
      </c>
      <c r="C2260" s="27" t="s">
        <v>472</v>
      </c>
      <c r="D2260" s="29" t="s">
        <v>32</v>
      </c>
      <c r="E2260" s="36" t="s">
        <v>699</v>
      </c>
      <c r="F2260" s="28" t="s">
        <v>32</v>
      </c>
    </row>
    <row r="2261" ht="22" customHeight="1" hidden="1" spans="1:6" x14ac:dyDescent="0.25" outlineLevel="1" collapsed="1">
      <c r="A2261" s="34" t="s">
        <v>495</v>
      </c>
      <c r="B2261" s="34"/>
      <c r="C2261" s="34"/>
      <c r="D2261" s="34"/>
      <c r="E2261" s="34"/>
      <c r="F2261" s="34"/>
    </row>
    <row r="2262" ht="24" customHeight="1" hidden="1" spans="1:6" x14ac:dyDescent="0.25" outlineLevel="1" collapsed="1">
      <c r="A2262" s="12" t="s">
        <v>700</v>
      </c>
      <c r="B2262" s="12"/>
      <c r="C2262" s="12"/>
      <c r="D2262" s="12"/>
      <c r="E2262" s="12"/>
      <c r="F2262" s="12"/>
    </row>
    <row r="2263" ht="24" customHeight="1" hidden="1" spans="1:6" x14ac:dyDescent="0.25" outlineLevel="1" collapsed="1">
      <c r="A2263" s="12" t="s">
        <v>701</v>
      </c>
      <c r="B2263" s="12"/>
      <c r="C2263" s="12"/>
      <c r="D2263" s="12"/>
      <c r="E2263" s="12"/>
      <c r="F2263" s="12"/>
    </row>
    <row r="2264" ht="24" customHeight="1" hidden="1" spans="1:6" x14ac:dyDescent="0.25" outlineLevel="1" collapsed="1">
      <c r="A2264" s="12" t="s">
        <v>702</v>
      </c>
      <c r="B2264" s="12"/>
      <c r="C2264" s="12"/>
      <c r="D2264" s="12"/>
      <c r="E2264" s="12"/>
      <c r="F2264" s="12"/>
    </row>
    <row r="2265" ht="24" customHeight="1" hidden="1" spans="1:6" x14ac:dyDescent="0.25" outlineLevel="1" collapsed="1">
      <c r="A2265" s="12" t="s">
        <v>684</v>
      </c>
      <c r="B2265" s="12"/>
      <c r="C2265" s="12"/>
      <c r="D2265" s="12"/>
      <c r="E2265" s="12"/>
      <c r="F2265" s="12"/>
    </row>
    <row r="2266" ht="6" customHeight="1" hidden="1" x14ac:dyDescent="0.25" outlineLevel="1" collapsed="1"/>
    <row r="2267" ht="22" customHeight="1" spans="1:6" x14ac:dyDescent="0.25">
      <c r="A2267" s="25" t="s">
        <v>560</v>
      </c>
      <c r="B2267" s="25"/>
      <c r="C2267" s="25"/>
      <c r="D2267" s="25"/>
      <c r="E2267" s="25"/>
      <c r="F2267" s="25"/>
    </row>
    <row r="2268" ht="20" customHeight="1" hidden="1" spans="1:6" x14ac:dyDescent="0.25" outlineLevel="1" collapsed="1">
      <c r="A2268" s="26" t="s">
        <v>460</v>
      </c>
      <c r="B2268" s="26" t="s">
        <v>461</v>
      </c>
      <c r="C2268" s="26" t="s">
        <v>462</v>
      </c>
      <c r="D2268" s="26" t="s">
        <v>32</v>
      </c>
      <c r="E2268" s="26" t="s">
        <v>463</v>
      </c>
      <c r="F2268" s="26" t="s">
        <v>464</v>
      </c>
    </row>
    <row r="2269" ht="36" customHeight="1" hidden="1" spans="1:6" x14ac:dyDescent="0.25" outlineLevel="1" collapsed="1">
      <c r="A2269" s="27">
        <v>4220</v>
      </c>
      <c r="B2269" s="28" t="s">
        <v>543</v>
      </c>
      <c r="C2269" s="27" t="s">
        <v>466</v>
      </c>
      <c r="D2269" s="29" t="s">
        <v>32</v>
      </c>
      <c r="E2269" s="36" t="s">
        <v>699</v>
      </c>
      <c r="F2269" s="28" t="s">
        <v>32</v>
      </c>
    </row>
    <row r="2270" ht="36" customHeight="1" hidden="1" spans="1:6" x14ac:dyDescent="0.25" outlineLevel="1" collapsed="1">
      <c r="A2270" s="27">
        <v>4240</v>
      </c>
      <c r="B2270" s="28" t="s">
        <v>471</v>
      </c>
      <c r="C2270" s="27" t="s">
        <v>472</v>
      </c>
      <c r="D2270" s="29" t="s">
        <v>32</v>
      </c>
      <c r="E2270" s="36" t="s">
        <v>699</v>
      </c>
      <c r="F2270" s="28" t="s">
        <v>32</v>
      </c>
    </row>
    <row r="2271" ht="36" customHeight="1" hidden="1" spans="1:6" x14ac:dyDescent="0.25" outlineLevel="1" collapsed="1">
      <c r="A2271" s="27">
        <v>4230</v>
      </c>
      <c r="B2271" s="28" t="s">
        <v>544</v>
      </c>
      <c r="C2271" s="27" t="s">
        <v>472</v>
      </c>
      <c r="D2271" s="29" t="s">
        <v>32</v>
      </c>
      <c r="E2271" s="36" t="s">
        <v>699</v>
      </c>
      <c r="F2271" s="28" t="s">
        <v>32</v>
      </c>
    </row>
    <row r="2272" ht="22" customHeight="1" hidden="1" spans="1:6" x14ac:dyDescent="0.25" outlineLevel="1" collapsed="1">
      <c r="A2272" s="34" t="s">
        <v>495</v>
      </c>
      <c r="B2272" s="34"/>
      <c r="C2272" s="34"/>
      <c r="D2272" s="34"/>
      <c r="E2272" s="34"/>
      <c r="F2272" s="34"/>
    </row>
    <row r="2273" ht="24" customHeight="1" hidden="1" spans="1:6" x14ac:dyDescent="0.25" outlineLevel="1" collapsed="1">
      <c r="A2273" s="12" t="s">
        <v>700</v>
      </c>
      <c r="B2273" s="12"/>
      <c r="C2273" s="12"/>
      <c r="D2273" s="12"/>
      <c r="E2273" s="12"/>
      <c r="F2273" s="12"/>
    </row>
    <row r="2274" ht="24" customHeight="1" hidden="1" spans="1:6" x14ac:dyDescent="0.25" outlineLevel="1" collapsed="1">
      <c r="A2274" s="12" t="s">
        <v>701</v>
      </c>
      <c r="B2274" s="12"/>
      <c r="C2274" s="12"/>
      <c r="D2274" s="12"/>
      <c r="E2274" s="12"/>
      <c r="F2274" s="12"/>
    </row>
    <row r="2275" ht="24" customHeight="1" hidden="1" spans="1:6" x14ac:dyDescent="0.25" outlineLevel="1" collapsed="1">
      <c r="A2275" s="12" t="s">
        <v>702</v>
      </c>
      <c r="B2275" s="12"/>
      <c r="C2275" s="12"/>
      <c r="D2275" s="12"/>
      <c r="E2275" s="12"/>
      <c r="F2275" s="12"/>
    </row>
    <row r="2276" ht="24" customHeight="1" hidden="1" spans="1:6" x14ac:dyDescent="0.25" outlineLevel="1" collapsed="1">
      <c r="A2276" s="12" t="s">
        <v>684</v>
      </c>
      <c r="B2276" s="12"/>
      <c r="C2276" s="12"/>
      <c r="D2276" s="12"/>
      <c r="E2276" s="12"/>
      <c r="F2276" s="12"/>
    </row>
    <row r="2277" ht="6" customHeight="1" hidden="1" x14ac:dyDescent="0.25" outlineLevel="1" collapsed="1"/>
    <row r="2278" ht="22" customHeight="1" spans="1:6" x14ac:dyDescent="0.25">
      <c r="A2278" s="25" t="s">
        <v>561</v>
      </c>
      <c r="B2278" s="25"/>
      <c r="C2278" s="25"/>
      <c r="D2278" s="25"/>
      <c r="E2278" s="25"/>
      <c r="F2278" s="25"/>
    </row>
    <row r="2279" ht="20" customHeight="1" hidden="1" spans="1:6" x14ac:dyDescent="0.25" outlineLevel="1" collapsed="1">
      <c r="A2279" s="26" t="s">
        <v>460</v>
      </c>
      <c r="B2279" s="26" t="s">
        <v>461</v>
      </c>
      <c r="C2279" s="26" t="s">
        <v>462</v>
      </c>
      <c r="D2279" s="26" t="s">
        <v>32</v>
      </c>
      <c r="E2279" s="26" t="s">
        <v>463</v>
      </c>
      <c r="F2279" s="26" t="s">
        <v>464</v>
      </c>
    </row>
    <row r="2280" ht="36" customHeight="1" hidden="1" spans="1:6" x14ac:dyDescent="0.25" outlineLevel="1" collapsed="1">
      <c r="A2280" s="27">
        <v>4220</v>
      </c>
      <c r="B2280" s="28" t="s">
        <v>543</v>
      </c>
      <c r="C2280" s="27" t="s">
        <v>466</v>
      </c>
      <c r="D2280" s="29" t="s">
        <v>32</v>
      </c>
      <c r="E2280" s="36" t="s">
        <v>699</v>
      </c>
      <c r="F2280" s="28" t="s">
        <v>32</v>
      </c>
    </row>
    <row r="2281" ht="36" customHeight="1" hidden="1" spans="1:6" x14ac:dyDescent="0.25" outlineLevel="1" collapsed="1">
      <c r="A2281" s="27">
        <v>4240</v>
      </c>
      <c r="B2281" s="28" t="s">
        <v>471</v>
      </c>
      <c r="C2281" s="27" t="s">
        <v>472</v>
      </c>
      <c r="D2281" s="29" t="s">
        <v>32</v>
      </c>
      <c r="E2281" s="36" t="s">
        <v>699</v>
      </c>
      <c r="F2281" s="28" t="s">
        <v>32</v>
      </c>
    </row>
    <row r="2282" ht="36" customHeight="1" hidden="1" spans="1:6" x14ac:dyDescent="0.25" outlineLevel="1" collapsed="1">
      <c r="A2282" s="27">
        <v>4230</v>
      </c>
      <c r="B2282" s="28" t="s">
        <v>544</v>
      </c>
      <c r="C2282" s="27" t="s">
        <v>472</v>
      </c>
      <c r="D2282" s="29" t="s">
        <v>32</v>
      </c>
      <c r="E2282" s="36" t="s">
        <v>699</v>
      </c>
      <c r="F2282" s="28" t="s">
        <v>32</v>
      </c>
    </row>
    <row r="2283" ht="22" customHeight="1" hidden="1" spans="1:6" x14ac:dyDescent="0.25" outlineLevel="1" collapsed="1">
      <c r="A2283" s="34" t="s">
        <v>495</v>
      </c>
      <c r="B2283" s="34"/>
      <c r="C2283" s="34"/>
      <c r="D2283" s="34"/>
      <c r="E2283" s="34"/>
      <c r="F2283" s="34"/>
    </row>
    <row r="2284" ht="24" customHeight="1" hidden="1" spans="1:6" x14ac:dyDescent="0.25" outlineLevel="1" collapsed="1">
      <c r="A2284" s="12" t="s">
        <v>700</v>
      </c>
      <c r="B2284" s="12"/>
      <c r="C2284" s="12"/>
      <c r="D2284" s="12"/>
      <c r="E2284" s="12"/>
      <c r="F2284" s="12"/>
    </row>
    <row r="2285" ht="24" customHeight="1" hidden="1" spans="1:6" x14ac:dyDescent="0.25" outlineLevel="1" collapsed="1">
      <c r="A2285" s="12" t="s">
        <v>701</v>
      </c>
      <c r="B2285" s="12"/>
      <c r="C2285" s="12"/>
      <c r="D2285" s="12"/>
      <c r="E2285" s="12"/>
      <c r="F2285" s="12"/>
    </row>
    <row r="2286" ht="24" customHeight="1" hidden="1" spans="1:6" x14ac:dyDescent="0.25" outlineLevel="1" collapsed="1">
      <c r="A2286" s="12" t="s">
        <v>702</v>
      </c>
      <c r="B2286" s="12"/>
      <c r="C2286" s="12"/>
      <c r="D2286" s="12"/>
      <c r="E2286" s="12"/>
      <c r="F2286" s="12"/>
    </row>
    <row r="2287" ht="24" customHeight="1" hidden="1" spans="1:6" x14ac:dyDescent="0.25" outlineLevel="1" collapsed="1">
      <c r="A2287" s="12" t="s">
        <v>684</v>
      </c>
      <c r="B2287" s="12"/>
      <c r="C2287" s="12"/>
      <c r="D2287" s="12"/>
      <c r="E2287" s="12"/>
      <c r="F2287" s="12"/>
    </row>
    <row r="2288" ht="6" customHeight="1" hidden="1" x14ac:dyDescent="0.25" outlineLevel="1" collapsed="1"/>
    <row r="2289" ht="22" customHeight="1" spans="1:6" x14ac:dyDescent="0.25">
      <c r="A2289" s="25" t="s">
        <v>562</v>
      </c>
      <c r="B2289" s="25"/>
      <c r="C2289" s="25"/>
      <c r="D2289" s="25"/>
      <c r="E2289" s="25"/>
      <c r="F2289" s="25"/>
    </row>
    <row r="2290" ht="20" customHeight="1" hidden="1" spans="1:6" x14ac:dyDescent="0.25" outlineLevel="1" collapsed="1">
      <c r="A2290" s="26" t="s">
        <v>460</v>
      </c>
      <c r="B2290" s="26" t="s">
        <v>461</v>
      </c>
      <c r="C2290" s="26" t="s">
        <v>462</v>
      </c>
      <c r="D2290" s="26" t="s">
        <v>32</v>
      </c>
      <c r="E2290" s="26" t="s">
        <v>463</v>
      </c>
      <c r="F2290" s="26" t="s">
        <v>464</v>
      </c>
    </row>
    <row r="2291" ht="36" customHeight="1" hidden="1" spans="1:6" x14ac:dyDescent="0.25" outlineLevel="1" collapsed="1">
      <c r="A2291" s="27">
        <v>4220</v>
      </c>
      <c r="B2291" s="28" t="s">
        <v>543</v>
      </c>
      <c r="C2291" s="27" t="s">
        <v>466</v>
      </c>
      <c r="D2291" s="29" t="s">
        <v>32</v>
      </c>
      <c r="E2291" s="36" t="s">
        <v>699</v>
      </c>
      <c r="F2291" s="28" t="s">
        <v>32</v>
      </c>
    </row>
    <row r="2292" ht="36" customHeight="1" hidden="1" spans="1:6" x14ac:dyDescent="0.25" outlineLevel="1" collapsed="1">
      <c r="A2292" s="27">
        <v>4240</v>
      </c>
      <c r="B2292" s="28" t="s">
        <v>471</v>
      </c>
      <c r="C2292" s="27" t="s">
        <v>472</v>
      </c>
      <c r="D2292" s="29" t="s">
        <v>32</v>
      </c>
      <c r="E2292" s="36" t="s">
        <v>699</v>
      </c>
      <c r="F2292" s="28" t="s">
        <v>32</v>
      </c>
    </row>
    <row r="2293" ht="36" customHeight="1" hidden="1" spans="1:6" x14ac:dyDescent="0.25" outlineLevel="1" collapsed="1">
      <c r="A2293" s="27">
        <v>4230</v>
      </c>
      <c r="B2293" s="28" t="s">
        <v>544</v>
      </c>
      <c r="C2293" s="27" t="s">
        <v>472</v>
      </c>
      <c r="D2293" s="29" t="s">
        <v>32</v>
      </c>
      <c r="E2293" s="36" t="s">
        <v>699</v>
      </c>
      <c r="F2293" s="28" t="s">
        <v>32</v>
      </c>
    </row>
    <row r="2294" ht="22" customHeight="1" hidden="1" spans="1:6" x14ac:dyDescent="0.25" outlineLevel="1" collapsed="1">
      <c r="A2294" s="34" t="s">
        <v>495</v>
      </c>
      <c r="B2294" s="34"/>
      <c r="C2294" s="34"/>
      <c r="D2294" s="34"/>
      <c r="E2294" s="34"/>
      <c r="F2294" s="34"/>
    </row>
    <row r="2295" ht="24" customHeight="1" hidden="1" spans="1:6" x14ac:dyDescent="0.25" outlineLevel="1" collapsed="1">
      <c r="A2295" s="12" t="s">
        <v>700</v>
      </c>
      <c r="B2295" s="12"/>
      <c r="C2295" s="12"/>
      <c r="D2295" s="12"/>
      <c r="E2295" s="12"/>
      <c r="F2295" s="12"/>
    </row>
    <row r="2296" ht="24" customHeight="1" hidden="1" spans="1:6" x14ac:dyDescent="0.25" outlineLevel="1" collapsed="1">
      <c r="A2296" s="12" t="s">
        <v>701</v>
      </c>
      <c r="B2296" s="12"/>
      <c r="C2296" s="12"/>
      <c r="D2296" s="12"/>
      <c r="E2296" s="12"/>
      <c r="F2296" s="12"/>
    </row>
    <row r="2297" ht="24" customHeight="1" hidden="1" spans="1:6" x14ac:dyDescent="0.25" outlineLevel="1" collapsed="1">
      <c r="A2297" s="12" t="s">
        <v>702</v>
      </c>
      <c r="B2297" s="12"/>
      <c r="C2297" s="12"/>
      <c r="D2297" s="12"/>
      <c r="E2297" s="12"/>
      <c r="F2297" s="12"/>
    </row>
    <row r="2298" ht="24" customHeight="1" hidden="1" spans="1:6" x14ac:dyDescent="0.25" outlineLevel="1" collapsed="1">
      <c r="A2298" s="12" t="s">
        <v>684</v>
      </c>
      <c r="B2298" s="12"/>
      <c r="C2298" s="12"/>
      <c r="D2298" s="12"/>
      <c r="E2298" s="12"/>
      <c r="F2298" s="12"/>
    </row>
    <row r="2299" ht="6" customHeight="1" hidden="1" x14ac:dyDescent="0.25" outlineLevel="1" collapsed="1"/>
    <row r="2300" ht="22" customHeight="1" spans="1:6" x14ac:dyDescent="0.25">
      <c r="A2300" s="25" t="s">
        <v>565</v>
      </c>
      <c r="B2300" s="25"/>
      <c r="C2300" s="25"/>
      <c r="D2300" s="25"/>
      <c r="E2300" s="25"/>
      <c r="F2300" s="25"/>
    </row>
    <row r="2301" ht="20" customHeight="1" hidden="1" spans="1:6" x14ac:dyDescent="0.25" outlineLevel="1" collapsed="1">
      <c r="A2301" s="26" t="s">
        <v>460</v>
      </c>
      <c r="B2301" s="26" t="s">
        <v>461</v>
      </c>
      <c r="C2301" s="26" t="s">
        <v>462</v>
      </c>
      <c r="D2301" s="26" t="s">
        <v>32</v>
      </c>
      <c r="E2301" s="26" t="s">
        <v>463</v>
      </c>
      <c r="F2301" s="26" t="s">
        <v>464</v>
      </c>
    </row>
    <row r="2302" ht="36" customHeight="1" hidden="1" spans="1:6" x14ac:dyDescent="0.25" outlineLevel="1" collapsed="1">
      <c r="A2302" s="27">
        <v>4220</v>
      </c>
      <c r="B2302" s="28" t="s">
        <v>543</v>
      </c>
      <c r="C2302" s="27" t="s">
        <v>466</v>
      </c>
      <c r="D2302" s="29" t="s">
        <v>32</v>
      </c>
      <c r="E2302" s="28" t="s">
        <v>506</v>
      </c>
      <c r="F2302" s="28" t="s">
        <v>32</v>
      </c>
    </row>
    <row r="2303" ht="21" customHeight="1" hidden="1" spans="1:6" x14ac:dyDescent="0.25" outlineLevel="1" collapsed="1">
      <c r="A2303" s="27">
        <v>4240</v>
      </c>
      <c r="B2303" s="28" t="s">
        <v>471</v>
      </c>
      <c r="C2303" s="27" t="s">
        <v>472</v>
      </c>
      <c r="D2303" s="29" t="s">
        <v>32</v>
      </c>
      <c r="E2303" s="28" t="s">
        <v>506</v>
      </c>
      <c r="F2303" s="28" t="s">
        <v>32</v>
      </c>
    </row>
    <row r="2304" ht="51" customHeight="1" hidden="1" spans="1:6" x14ac:dyDescent="0.25" outlineLevel="1" collapsed="1">
      <c r="A2304" s="27">
        <v>4230</v>
      </c>
      <c r="B2304" s="28" t="s">
        <v>544</v>
      </c>
      <c r="C2304" s="27" t="s">
        <v>472</v>
      </c>
      <c r="D2304" s="29" t="s">
        <v>32</v>
      </c>
      <c r="E2304" s="28" t="s">
        <v>481</v>
      </c>
      <c r="F2304" s="28" t="s">
        <v>604</v>
      </c>
    </row>
    <row r="2305" ht="21" customHeight="1" hidden="1" spans="1:6" x14ac:dyDescent="0.25" outlineLevel="1" collapsed="1">
      <c r="A2305" s="30" t="s">
        <v>32</v>
      </c>
      <c r="B2305" s="17" t="s">
        <v>32</v>
      </c>
      <c r="C2305" s="30" t="s">
        <v>32</v>
      </c>
      <c r="D2305" s="31" t="s">
        <v>32</v>
      </c>
      <c r="E2305" s="17" t="s">
        <v>483</v>
      </c>
      <c r="F2305" s="17" t="s">
        <v>32</v>
      </c>
    </row>
    <row r="2306" ht="36" customHeight="1" hidden="1" spans="1:6" x14ac:dyDescent="0.25" outlineLevel="1" collapsed="1">
      <c r="A2306" s="32" t="s">
        <v>32</v>
      </c>
      <c r="B2306" s="12" t="s">
        <v>32</v>
      </c>
      <c r="C2306" s="32" t="s">
        <v>32</v>
      </c>
      <c r="D2306" s="31" t="s">
        <v>32</v>
      </c>
      <c r="E2306" s="12" t="s">
        <v>678</v>
      </c>
      <c r="F2306" s="12" t="s">
        <v>32</v>
      </c>
    </row>
    <row r="2307" ht="21" customHeight="1" hidden="1" spans="1:6" x14ac:dyDescent="0.25" outlineLevel="1" collapsed="1">
      <c r="A2307" s="30" t="s">
        <v>32</v>
      </c>
      <c r="B2307" s="17" t="s">
        <v>32</v>
      </c>
      <c r="C2307" s="30" t="s">
        <v>32</v>
      </c>
      <c r="D2307" s="31" t="s">
        <v>32</v>
      </c>
      <c r="E2307" s="17" t="s">
        <v>486</v>
      </c>
      <c r="F2307" s="17" t="s">
        <v>32</v>
      </c>
    </row>
    <row r="2308" ht="21" customHeight="1" hidden="1" spans="1:6" x14ac:dyDescent="0.25" outlineLevel="1" collapsed="1">
      <c r="A2308" s="32" t="s">
        <v>32</v>
      </c>
      <c r="B2308" s="12" t="s">
        <v>32</v>
      </c>
      <c r="C2308" s="32" t="s">
        <v>32</v>
      </c>
      <c r="D2308" s="31" t="s">
        <v>32</v>
      </c>
      <c r="E2308" s="12" t="s">
        <v>487</v>
      </c>
      <c r="F2308" s="12" t="s">
        <v>32</v>
      </c>
    </row>
    <row r="2309" ht="21" customHeight="1" hidden="1" spans="1:6" x14ac:dyDescent="0.25" outlineLevel="1" collapsed="1">
      <c r="A2309" s="30" t="s">
        <v>32</v>
      </c>
      <c r="B2309" s="17" t="s">
        <v>32</v>
      </c>
      <c r="C2309" s="30" t="s">
        <v>32</v>
      </c>
      <c r="D2309" s="31" t="s">
        <v>32</v>
      </c>
      <c r="E2309" s="17" t="s">
        <v>533</v>
      </c>
      <c r="F2309" s="17" t="s">
        <v>32</v>
      </c>
    </row>
    <row r="2310" ht="21" customHeight="1" hidden="1" spans="1:6" x14ac:dyDescent="0.25" outlineLevel="1" collapsed="1">
      <c r="A2310" s="32" t="s">
        <v>32</v>
      </c>
      <c r="B2310" s="12" t="s">
        <v>32</v>
      </c>
      <c r="C2310" s="32" t="s">
        <v>32</v>
      </c>
      <c r="D2310" s="31" t="s">
        <v>32</v>
      </c>
      <c r="E2310" s="12" t="s">
        <v>488</v>
      </c>
      <c r="F2310" s="12" t="s">
        <v>32</v>
      </c>
    </row>
    <row r="2311" ht="21" customHeight="1" hidden="1" spans="1:6" x14ac:dyDescent="0.25" outlineLevel="1" collapsed="1">
      <c r="A2311" s="30" t="s">
        <v>32</v>
      </c>
      <c r="B2311" s="17" t="s">
        <v>32</v>
      </c>
      <c r="C2311" s="30" t="s">
        <v>32</v>
      </c>
      <c r="D2311" s="31" t="s">
        <v>32</v>
      </c>
      <c r="E2311" s="17" t="s">
        <v>489</v>
      </c>
      <c r="F2311" s="17" t="s">
        <v>32</v>
      </c>
    </row>
    <row r="2312" ht="21" customHeight="1" hidden="1" spans="1:6" x14ac:dyDescent="0.25" outlineLevel="1" collapsed="1">
      <c r="A2312" s="32" t="s">
        <v>32</v>
      </c>
      <c r="B2312" s="12" t="s">
        <v>32</v>
      </c>
      <c r="C2312" s="32" t="s">
        <v>32</v>
      </c>
      <c r="D2312" s="31" t="s">
        <v>32</v>
      </c>
      <c r="E2312" s="12" t="s">
        <v>679</v>
      </c>
      <c r="F2312" s="12" t="s">
        <v>32</v>
      </c>
    </row>
    <row r="2313" ht="21" customHeight="1" hidden="1" spans="1:6" x14ac:dyDescent="0.25" outlineLevel="1" collapsed="1">
      <c r="A2313" s="30" t="s">
        <v>32</v>
      </c>
      <c r="B2313" s="17" t="s">
        <v>32</v>
      </c>
      <c r="C2313" s="30" t="s">
        <v>32</v>
      </c>
      <c r="D2313" s="31" t="s">
        <v>32</v>
      </c>
      <c r="E2313" s="17" t="s">
        <v>491</v>
      </c>
      <c r="F2313" s="17" t="s">
        <v>32</v>
      </c>
    </row>
    <row r="2314" ht="21" customHeight="1" hidden="1" spans="1:6" x14ac:dyDescent="0.25" outlineLevel="1" collapsed="1">
      <c r="A2314" s="32" t="s">
        <v>32</v>
      </c>
      <c r="B2314" s="12" t="s">
        <v>32</v>
      </c>
      <c r="C2314" s="32" t="s">
        <v>32</v>
      </c>
      <c r="D2314" s="31" t="s">
        <v>32</v>
      </c>
      <c r="E2314" s="12" t="s">
        <v>492</v>
      </c>
      <c r="F2314" s="12" t="s">
        <v>32</v>
      </c>
    </row>
    <row r="2315" ht="21" customHeight="1" hidden="1" spans="1:6" x14ac:dyDescent="0.25" outlineLevel="1" collapsed="1">
      <c r="A2315" s="30" t="s">
        <v>32</v>
      </c>
      <c r="B2315" s="17" t="s">
        <v>32</v>
      </c>
      <c r="C2315" s="30" t="s">
        <v>32</v>
      </c>
      <c r="D2315" s="31" t="s">
        <v>32</v>
      </c>
      <c r="E2315" s="35" t="s">
        <v>703</v>
      </c>
      <c r="F2315" s="17" t="s">
        <v>32</v>
      </c>
    </row>
    <row r="2316" ht="22" customHeight="1" hidden="1" spans="1:6" x14ac:dyDescent="0.25" outlineLevel="1" collapsed="1">
      <c r="A2316" s="34" t="s">
        <v>495</v>
      </c>
      <c r="B2316" s="34"/>
      <c r="C2316" s="34"/>
      <c r="D2316" s="34"/>
      <c r="E2316" s="34"/>
      <c r="F2316" s="34"/>
    </row>
    <row r="2317" ht="24" customHeight="1" hidden="1" spans="1:6" x14ac:dyDescent="0.25" outlineLevel="1" collapsed="1">
      <c r="A2317" s="12" t="s">
        <v>704</v>
      </c>
      <c r="B2317" s="12"/>
      <c r="C2317" s="12"/>
      <c r="D2317" s="12"/>
      <c r="E2317" s="12"/>
      <c r="F2317" s="12"/>
    </row>
    <row r="2318" ht="24" customHeight="1" hidden="1" spans="1:6" x14ac:dyDescent="0.25" outlineLevel="1" collapsed="1">
      <c r="A2318" s="12" t="s">
        <v>705</v>
      </c>
      <c r="B2318" s="12"/>
      <c r="C2318" s="12"/>
      <c r="D2318" s="12"/>
      <c r="E2318" s="12"/>
      <c r="F2318" s="12"/>
    </row>
    <row r="2319" ht="56" customHeight="1" hidden="1" spans="1:6" x14ac:dyDescent="0.25" outlineLevel="1" collapsed="1">
      <c r="A2319" s="12" t="s">
        <v>706</v>
      </c>
      <c r="B2319" s="12"/>
      <c r="C2319" s="12"/>
      <c r="D2319" s="12"/>
      <c r="E2319" s="12"/>
      <c r="F2319" s="12"/>
    </row>
    <row r="2320" ht="24" customHeight="1" hidden="1" spans="1:6" x14ac:dyDescent="0.25" outlineLevel="1" collapsed="1">
      <c r="A2320" s="12" t="s">
        <v>684</v>
      </c>
      <c r="B2320" s="12"/>
      <c r="C2320" s="12"/>
      <c r="D2320" s="12"/>
      <c r="E2320" s="12"/>
      <c r="F2320" s="12"/>
    </row>
    <row r="2321" ht="6" customHeight="1" hidden="1" x14ac:dyDescent="0.25" outlineLevel="1" collapsed="1"/>
    <row r="2322" ht="22" customHeight="1" spans="1:6" x14ac:dyDescent="0.25">
      <c r="A2322" s="25" t="s">
        <v>572</v>
      </c>
      <c r="B2322" s="25"/>
      <c r="C2322" s="25"/>
      <c r="D2322" s="25"/>
      <c r="E2322" s="25"/>
      <c r="F2322" s="25"/>
    </row>
    <row r="2323" ht="20" customHeight="1" hidden="1" spans="1:6" x14ac:dyDescent="0.25" outlineLevel="1" collapsed="1">
      <c r="A2323" s="26" t="s">
        <v>460</v>
      </c>
      <c r="B2323" s="26" t="s">
        <v>461</v>
      </c>
      <c r="C2323" s="26" t="s">
        <v>462</v>
      </c>
      <c r="D2323" s="26" t="s">
        <v>32</v>
      </c>
      <c r="E2323" s="26" t="s">
        <v>463</v>
      </c>
      <c r="F2323" s="26" t="s">
        <v>464</v>
      </c>
    </row>
    <row r="2324" ht="36" customHeight="1" hidden="1" spans="1:6" x14ac:dyDescent="0.25" outlineLevel="1" collapsed="1">
      <c r="A2324" s="27">
        <v>4220</v>
      </c>
      <c r="B2324" s="28" t="s">
        <v>543</v>
      </c>
      <c r="C2324" s="27" t="s">
        <v>466</v>
      </c>
      <c r="D2324" s="29" t="s">
        <v>32</v>
      </c>
      <c r="E2324" s="28" t="s">
        <v>675</v>
      </c>
      <c r="F2324" s="28" t="s">
        <v>32</v>
      </c>
    </row>
    <row r="2325" ht="21" customHeight="1" hidden="1" spans="1:6" x14ac:dyDescent="0.25" outlineLevel="1" collapsed="1">
      <c r="A2325" s="27">
        <v>4240</v>
      </c>
      <c r="B2325" s="28" t="s">
        <v>471</v>
      </c>
      <c r="C2325" s="27" t="s">
        <v>472</v>
      </c>
      <c r="D2325" s="29" t="s">
        <v>32</v>
      </c>
      <c r="E2325" s="28" t="s">
        <v>676</v>
      </c>
      <c r="F2325" s="28" t="s">
        <v>32</v>
      </c>
    </row>
    <row r="2326" ht="36" customHeight="1" hidden="1" spans="1:6" x14ac:dyDescent="0.25" outlineLevel="1" collapsed="1">
      <c r="A2326" s="27">
        <v>4230</v>
      </c>
      <c r="B2326" s="28" t="s">
        <v>544</v>
      </c>
      <c r="C2326" s="27" t="s">
        <v>472</v>
      </c>
      <c r="D2326" s="29" t="s">
        <v>32</v>
      </c>
      <c r="E2326" s="28" t="s">
        <v>573</v>
      </c>
      <c r="F2326" s="28" t="s">
        <v>32</v>
      </c>
    </row>
    <row r="2327" ht="22" customHeight="1" hidden="1" spans="1:6" x14ac:dyDescent="0.25" outlineLevel="1" collapsed="1">
      <c r="A2327" s="34" t="s">
        <v>495</v>
      </c>
      <c r="B2327" s="34"/>
      <c r="C2327" s="34"/>
      <c r="D2327" s="34"/>
      <c r="E2327" s="34"/>
      <c r="F2327" s="34"/>
    </row>
    <row r="2328" ht="24" customHeight="1" hidden="1" spans="1:6" x14ac:dyDescent="0.25" outlineLevel="1" collapsed="1">
      <c r="A2328" s="12" t="s">
        <v>681</v>
      </c>
      <c r="B2328" s="12"/>
      <c r="C2328" s="12"/>
      <c r="D2328" s="12"/>
      <c r="E2328" s="12"/>
      <c r="F2328" s="12"/>
    </row>
    <row r="2329" ht="24" customHeight="1" hidden="1" spans="1:6" x14ac:dyDescent="0.25" outlineLevel="1" collapsed="1">
      <c r="A2329" s="12" t="s">
        <v>682</v>
      </c>
      <c r="B2329" s="12"/>
      <c r="C2329" s="12"/>
      <c r="D2329" s="12"/>
      <c r="E2329" s="12"/>
      <c r="F2329" s="12"/>
    </row>
    <row r="2330" ht="24" customHeight="1" hidden="1" spans="1:6" x14ac:dyDescent="0.25" outlineLevel="1" collapsed="1">
      <c r="A2330" s="12" t="s">
        <v>707</v>
      </c>
      <c r="B2330" s="12"/>
      <c r="C2330" s="12"/>
      <c r="D2330" s="12"/>
      <c r="E2330" s="12"/>
      <c r="F2330" s="12"/>
    </row>
    <row r="2331" ht="24" customHeight="1" hidden="1" spans="1:6" x14ac:dyDescent="0.25" outlineLevel="1" collapsed="1">
      <c r="A2331" s="12" t="s">
        <v>684</v>
      </c>
      <c r="B2331" s="12"/>
      <c r="C2331" s="12"/>
      <c r="D2331" s="12"/>
      <c r="E2331" s="12"/>
      <c r="F2331" s="12"/>
    </row>
    <row r="2332" ht="6" customHeight="1" hidden="1" x14ac:dyDescent="0.25" outlineLevel="1" collapsed="1"/>
    <row r="2333" ht="22" customHeight="1" spans="1:6" x14ac:dyDescent="0.25">
      <c r="A2333" s="25" t="s">
        <v>575</v>
      </c>
      <c r="B2333" s="25"/>
      <c r="C2333" s="25"/>
      <c r="D2333" s="25"/>
      <c r="E2333" s="25"/>
      <c r="F2333" s="25"/>
    </row>
    <row r="2334" ht="20" customHeight="1" hidden="1" spans="1:6" x14ac:dyDescent="0.25" outlineLevel="1" collapsed="1">
      <c r="A2334" s="26" t="s">
        <v>460</v>
      </c>
      <c r="B2334" s="26" t="s">
        <v>461</v>
      </c>
      <c r="C2334" s="26" t="s">
        <v>462</v>
      </c>
      <c r="D2334" s="26" t="s">
        <v>32</v>
      </c>
      <c r="E2334" s="26" t="s">
        <v>463</v>
      </c>
      <c r="F2334" s="26" t="s">
        <v>464</v>
      </c>
    </row>
    <row r="2335" ht="36" customHeight="1" hidden="1" spans="1:6" x14ac:dyDescent="0.25" outlineLevel="1" collapsed="1">
      <c r="A2335" s="27">
        <v>4220</v>
      </c>
      <c r="B2335" s="28" t="s">
        <v>543</v>
      </c>
      <c r="C2335" s="27" t="s">
        <v>466</v>
      </c>
      <c r="D2335" s="29" t="s">
        <v>32</v>
      </c>
      <c r="E2335" s="36" t="s">
        <v>699</v>
      </c>
      <c r="F2335" s="28" t="s">
        <v>32</v>
      </c>
    </row>
    <row r="2336" ht="36" customHeight="1" hidden="1" spans="1:6" x14ac:dyDescent="0.25" outlineLevel="1" collapsed="1">
      <c r="A2336" s="27">
        <v>4240</v>
      </c>
      <c r="B2336" s="28" t="s">
        <v>471</v>
      </c>
      <c r="C2336" s="27" t="s">
        <v>472</v>
      </c>
      <c r="D2336" s="29" t="s">
        <v>32</v>
      </c>
      <c r="E2336" s="36" t="s">
        <v>699</v>
      </c>
      <c r="F2336" s="28" t="s">
        <v>32</v>
      </c>
    </row>
    <row r="2337" ht="36" customHeight="1" hidden="1" spans="1:6" x14ac:dyDescent="0.25" outlineLevel="1" collapsed="1">
      <c r="A2337" s="27">
        <v>4230</v>
      </c>
      <c r="B2337" s="28" t="s">
        <v>544</v>
      </c>
      <c r="C2337" s="27" t="s">
        <v>472</v>
      </c>
      <c r="D2337" s="29" t="s">
        <v>32</v>
      </c>
      <c r="E2337" s="36" t="s">
        <v>699</v>
      </c>
      <c r="F2337" s="28" t="s">
        <v>32</v>
      </c>
    </row>
    <row r="2338" ht="22" customHeight="1" hidden="1" spans="1:6" x14ac:dyDescent="0.25" outlineLevel="1" collapsed="1">
      <c r="A2338" s="34" t="s">
        <v>495</v>
      </c>
      <c r="B2338" s="34"/>
      <c r="C2338" s="34"/>
      <c r="D2338" s="34"/>
      <c r="E2338" s="34"/>
      <c r="F2338" s="34"/>
    </row>
    <row r="2339" ht="24" customHeight="1" hidden="1" spans="1:6" x14ac:dyDescent="0.25" outlineLevel="1" collapsed="1">
      <c r="A2339" s="12" t="s">
        <v>700</v>
      </c>
      <c r="B2339" s="12"/>
      <c r="C2339" s="12"/>
      <c r="D2339" s="12"/>
      <c r="E2339" s="12"/>
      <c r="F2339" s="12"/>
    </row>
    <row r="2340" ht="24" customHeight="1" hidden="1" spans="1:6" x14ac:dyDescent="0.25" outlineLevel="1" collapsed="1">
      <c r="A2340" s="12" t="s">
        <v>701</v>
      </c>
      <c r="B2340" s="12"/>
      <c r="C2340" s="12"/>
      <c r="D2340" s="12"/>
      <c r="E2340" s="12"/>
      <c r="F2340" s="12"/>
    </row>
    <row r="2341" ht="24" customHeight="1" hidden="1" spans="1:6" x14ac:dyDescent="0.25" outlineLevel="1" collapsed="1">
      <c r="A2341" s="12" t="s">
        <v>702</v>
      </c>
      <c r="B2341" s="12"/>
      <c r="C2341" s="12"/>
      <c r="D2341" s="12"/>
      <c r="E2341" s="12"/>
      <c r="F2341" s="12"/>
    </row>
    <row r="2342" ht="24" customHeight="1" hidden="1" spans="1:6" x14ac:dyDescent="0.25" outlineLevel="1" collapsed="1">
      <c r="A2342" s="12" t="s">
        <v>684</v>
      </c>
      <c r="B2342" s="12"/>
      <c r="C2342" s="12"/>
      <c r="D2342" s="12"/>
      <c r="E2342" s="12"/>
      <c r="F2342" s="12"/>
    </row>
    <row r="2343" ht="6" customHeight="1" hidden="1" x14ac:dyDescent="0.25" outlineLevel="1" collapsed="1"/>
    <row r="2344" ht="22" customHeight="1" spans="1:6" x14ac:dyDescent="0.25">
      <c r="A2344" s="25" t="s">
        <v>586</v>
      </c>
      <c r="B2344" s="25"/>
      <c r="C2344" s="25"/>
      <c r="D2344" s="25"/>
      <c r="E2344" s="25"/>
      <c r="F2344" s="25"/>
    </row>
    <row r="2345" ht="20" customHeight="1" hidden="1" spans="1:6" x14ac:dyDescent="0.25" outlineLevel="1" collapsed="1">
      <c r="A2345" s="26" t="s">
        <v>460</v>
      </c>
      <c r="B2345" s="26" t="s">
        <v>461</v>
      </c>
      <c r="C2345" s="26" t="s">
        <v>462</v>
      </c>
      <c r="D2345" s="26" t="s">
        <v>32</v>
      </c>
      <c r="E2345" s="26" t="s">
        <v>463</v>
      </c>
      <c r="F2345" s="26" t="s">
        <v>464</v>
      </c>
    </row>
    <row r="2346" ht="36" customHeight="1" hidden="1" spans="1:6" x14ac:dyDescent="0.25" outlineLevel="1" collapsed="1">
      <c r="A2346" s="27">
        <v>4220</v>
      </c>
      <c r="B2346" s="28" t="s">
        <v>543</v>
      </c>
      <c r="C2346" s="27" t="s">
        <v>466</v>
      </c>
      <c r="D2346" s="29" t="s">
        <v>32</v>
      </c>
      <c r="E2346" s="36" t="s">
        <v>699</v>
      </c>
      <c r="F2346" s="28" t="s">
        <v>32</v>
      </c>
    </row>
    <row r="2347" ht="36" customHeight="1" hidden="1" spans="1:6" x14ac:dyDescent="0.25" outlineLevel="1" collapsed="1">
      <c r="A2347" s="27">
        <v>4240</v>
      </c>
      <c r="B2347" s="28" t="s">
        <v>471</v>
      </c>
      <c r="C2347" s="27" t="s">
        <v>472</v>
      </c>
      <c r="D2347" s="29" t="s">
        <v>32</v>
      </c>
      <c r="E2347" s="36" t="s">
        <v>699</v>
      </c>
      <c r="F2347" s="28" t="s">
        <v>32</v>
      </c>
    </row>
    <row r="2348" ht="36" customHeight="1" hidden="1" spans="1:6" x14ac:dyDescent="0.25" outlineLevel="1" collapsed="1">
      <c r="A2348" s="27">
        <v>4230</v>
      </c>
      <c r="B2348" s="28" t="s">
        <v>544</v>
      </c>
      <c r="C2348" s="27" t="s">
        <v>472</v>
      </c>
      <c r="D2348" s="29" t="s">
        <v>32</v>
      </c>
      <c r="E2348" s="36" t="s">
        <v>699</v>
      </c>
      <c r="F2348" s="28" t="s">
        <v>32</v>
      </c>
    </row>
    <row r="2349" ht="22" customHeight="1" hidden="1" spans="1:6" x14ac:dyDescent="0.25" outlineLevel="1" collapsed="1">
      <c r="A2349" s="34" t="s">
        <v>495</v>
      </c>
      <c r="B2349" s="34"/>
      <c r="C2349" s="34"/>
      <c r="D2349" s="34"/>
      <c r="E2349" s="34"/>
      <c r="F2349" s="34"/>
    </row>
    <row r="2350" ht="24" customHeight="1" hidden="1" spans="1:6" x14ac:dyDescent="0.25" outlineLevel="1" collapsed="1">
      <c r="A2350" s="12" t="s">
        <v>700</v>
      </c>
      <c r="B2350" s="12"/>
      <c r="C2350" s="12"/>
      <c r="D2350" s="12"/>
      <c r="E2350" s="12"/>
      <c r="F2350" s="12"/>
    </row>
    <row r="2351" ht="24" customHeight="1" hidden="1" spans="1:6" x14ac:dyDescent="0.25" outlineLevel="1" collapsed="1">
      <c r="A2351" s="12" t="s">
        <v>701</v>
      </c>
      <c r="B2351" s="12"/>
      <c r="C2351" s="12"/>
      <c r="D2351" s="12"/>
      <c r="E2351" s="12"/>
      <c r="F2351" s="12"/>
    </row>
    <row r="2352" ht="24" customHeight="1" hidden="1" spans="1:6" x14ac:dyDescent="0.25" outlineLevel="1" collapsed="1">
      <c r="A2352" s="12" t="s">
        <v>702</v>
      </c>
      <c r="B2352" s="12"/>
      <c r="C2352" s="12"/>
      <c r="D2352" s="12"/>
      <c r="E2352" s="12"/>
      <c r="F2352" s="12"/>
    </row>
    <row r="2353" ht="24" customHeight="1" hidden="1" spans="1:6" x14ac:dyDescent="0.25" outlineLevel="1" collapsed="1">
      <c r="A2353" s="12" t="s">
        <v>684</v>
      </c>
      <c r="B2353" s="12"/>
      <c r="C2353" s="12"/>
      <c r="D2353" s="12"/>
      <c r="E2353" s="12"/>
      <c r="F2353" s="12"/>
    </row>
    <row r="2354" ht="6" customHeight="1" hidden="1" x14ac:dyDescent="0.25" outlineLevel="1" collapsed="1"/>
    <row r="2355" ht="22" customHeight="1" spans="1:6" x14ac:dyDescent="0.25">
      <c r="A2355" s="25" t="s">
        <v>587</v>
      </c>
      <c r="B2355" s="25"/>
      <c r="C2355" s="25"/>
      <c r="D2355" s="25"/>
      <c r="E2355" s="25"/>
      <c r="F2355" s="25"/>
    </row>
    <row r="2356" ht="20" customHeight="1" hidden="1" spans="1:6" x14ac:dyDescent="0.25" outlineLevel="1" collapsed="1">
      <c r="A2356" s="26" t="s">
        <v>460</v>
      </c>
      <c r="B2356" s="26" t="s">
        <v>461</v>
      </c>
      <c r="C2356" s="26" t="s">
        <v>462</v>
      </c>
      <c r="D2356" s="26" t="s">
        <v>32</v>
      </c>
      <c r="E2356" s="26" t="s">
        <v>463</v>
      </c>
      <c r="F2356" s="26" t="s">
        <v>464</v>
      </c>
    </row>
    <row r="2357" ht="36" customHeight="1" hidden="1" spans="1:6" x14ac:dyDescent="0.25" outlineLevel="1" collapsed="1">
      <c r="A2357" s="27">
        <v>4220</v>
      </c>
      <c r="B2357" s="28" t="s">
        <v>543</v>
      </c>
      <c r="C2357" s="27" t="s">
        <v>466</v>
      </c>
      <c r="D2357" s="29" t="s">
        <v>32</v>
      </c>
      <c r="E2357" s="36" t="s">
        <v>699</v>
      </c>
      <c r="F2357" s="28" t="s">
        <v>32</v>
      </c>
    </row>
    <row r="2358" ht="36" customHeight="1" hidden="1" spans="1:6" x14ac:dyDescent="0.25" outlineLevel="1" collapsed="1">
      <c r="A2358" s="27">
        <v>4240</v>
      </c>
      <c r="B2358" s="28" t="s">
        <v>471</v>
      </c>
      <c r="C2358" s="27" t="s">
        <v>472</v>
      </c>
      <c r="D2358" s="29" t="s">
        <v>32</v>
      </c>
      <c r="E2358" s="36" t="s">
        <v>699</v>
      </c>
      <c r="F2358" s="28" t="s">
        <v>32</v>
      </c>
    </row>
    <row r="2359" ht="36" customHeight="1" hidden="1" spans="1:6" x14ac:dyDescent="0.25" outlineLevel="1" collapsed="1">
      <c r="A2359" s="27">
        <v>4230</v>
      </c>
      <c r="B2359" s="28" t="s">
        <v>544</v>
      </c>
      <c r="C2359" s="27" t="s">
        <v>472</v>
      </c>
      <c r="D2359" s="29" t="s">
        <v>32</v>
      </c>
      <c r="E2359" s="36" t="s">
        <v>699</v>
      </c>
      <c r="F2359" s="28" t="s">
        <v>32</v>
      </c>
    </row>
    <row r="2360" ht="22" customHeight="1" hidden="1" spans="1:6" x14ac:dyDescent="0.25" outlineLevel="1" collapsed="1">
      <c r="A2360" s="34" t="s">
        <v>495</v>
      </c>
      <c r="B2360" s="34"/>
      <c r="C2360" s="34"/>
      <c r="D2360" s="34"/>
      <c r="E2360" s="34"/>
      <c r="F2360" s="34"/>
    </row>
    <row r="2361" ht="24" customHeight="1" hidden="1" spans="1:6" x14ac:dyDescent="0.25" outlineLevel="1" collapsed="1">
      <c r="A2361" s="12" t="s">
        <v>700</v>
      </c>
      <c r="B2361" s="12"/>
      <c r="C2361" s="12"/>
      <c r="D2361" s="12"/>
      <c r="E2361" s="12"/>
      <c r="F2361" s="12"/>
    </row>
    <row r="2362" ht="24" customHeight="1" hidden="1" spans="1:6" x14ac:dyDescent="0.25" outlineLevel="1" collapsed="1">
      <c r="A2362" s="12" t="s">
        <v>701</v>
      </c>
      <c r="B2362" s="12"/>
      <c r="C2362" s="12"/>
      <c r="D2362" s="12"/>
      <c r="E2362" s="12"/>
      <c r="F2362" s="12"/>
    </row>
    <row r="2363" ht="24" customHeight="1" hidden="1" spans="1:6" x14ac:dyDescent="0.25" outlineLevel="1" collapsed="1">
      <c r="A2363" s="12" t="s">
        <v>702</v>
      </c>
      <c r="B2363" s="12"/>
      <c r="C2363" s="12"/>
      <c r="D2363" s="12"/>
      <c r="E2363" s="12"/>
      <c r="F2363" s="12"/>
    </row>
    <row r="2364" ht="24" customHeight="1" hidden="1" spans="1:6" x14ac:dyDescent="0.25" outlineLevel="1" collapsed="1">
      <c r="A2364" s="12" t="s">
        <v>684</v>
      </c>
      <c r="B2364" s="12"/>
      <c r="C2364" s="12"/>
      <c r="D2364" s="12"/>
      <c r="E2364" s="12"/>
      <c r="F2364" s="12"/>
    </row>
    <row r="2365" ht="6" customHeight="1" hidden="1" x14ac:dyDescent="0.25" outlineLevel="1" collapsed="1"/>
    <row r="2366" ht="22" customHeight="1" spans="1:6" x14ac:dyDescent="0.25">
      <c r="A2366" s="25" t="s">
        <v>588</v>
      </c>
      <c r="B2366" s="25"/>
      <c r="C2366" s="25"/>
      <c r="D2366" s="25"/>
      <c r="E2366" s="25"/>
      <c r="F2366" s="25"/>
    </row>
    <row r="2367" ht="20" customHeight="1" hidden="1" spans="1:6" x14ac:dyDescent="0.25" outlineLevel="1" collapsed="1">
      <c r="A2367" s="26" t="s">
        <v>460</v>
      </c>
      <c r="B2367" s="26" t="s">
        <v>461</v>
      </c>
      <c r="C2367" s="26" t="s">
        <v>462</v>
      </c>
      <c r="D2367" s="26" t="s">
        <v>32</v>
      </c>
      <c r="E2367" s="26" t="s">
        <v>463</v>
      </c>
      <c r="F2367" s="26" t="s">
        <v>464</v>
      </c>
    </row>
    <row r="2368" ht="36" customHeight="1" hidden="1" spans="1:6" x14ac:dyDescent="0.25" outlineLevel="1" collapsed="1">
      <c r="A2368" s="27">
        <v>4220</v>
      </c>
      <c r="B2368" s="28" t="s">
        <v>543</v>
      </c>
      <c r="C2368" s="27" t="s">
        <v>466</v>
      </c>
      <c r="D2368" s="29" t="s">
        <v>32</v>
      </c>
      <c r="E2368" s="36" t="s">
        <v>699</v>
      </c>
      <c r="F2368" s="28" t="s">
        <v>32</v>
      </c>
    </row>
    <row r="2369" ht="36" customHeight="1" hidden="1" spans="1:6" x14ac:dyDescent="0.25" outlineLevel="1" collapsed="1">
      <c r="A2369" s="27">
        <v>4240</v>
      </c>
      <c r="B2369" s="28" t="s">
        <v>471</v>
      </c>
      <c r="C2369" s="27" t="s">
        <v>472</v>
      </c>
      <c r="D2369" s="29" t="s">
        <v>32</v>
      </c>
      <c r="E2369" s="36" t="s">
        <v>699</v>
      </c>
      <c r="F2369" s="28" t="s">
        <v>32</v>
      </c>
    </row>
    <row r="2370" ht="36" customHeight="1" hidden="1" spans="1:6" x14ac:dyDescent="0.25" outlineLevel="1" collapsed="1">
      <c r="A2370" s="27">
        <v>4230</v>
      </c>
      <c r="B2370" s="28" t="s">
        <v>544</v>
      </c>
      <c r="C2370" s="27" t="s">
        <v>472</v>
      </c>
      <c r="D2370" s="29" t="s">
        <v>32</v>
      </c>
      <c r="E2370" s="36" t="s">
        <v>699</v>
      </c>
      <c r="F2370" s="28" t="s">
        <v>32</v>
      </c>
    </row>
    <row r="2371" ht="22" customHeight="1" hidden="1" spans="1:6" x14ac:dyDescent="0.25" outlineLevel="1" collapsed="1">
      <c r="A2371" s="34" t="s">
        <v>495</v>
      </c>
      <c r="B2371" s="34"/>
      <c r="C2371" s="34"/>
      <c r="D2371" s="34"/>
      <c r="E2371" s="34"/>
      <c r="F2371" s="34"/>
    </row>
    <row r="2372" ht="24" customHeight="1" hidden="1" spans="1:6" x14ac:dyDescent="0.25" outlineLevel="1" collapsed="1">
      <c r="A2372" s="12" t="s">
        <v>700</v>
      </c>
      <c r="B2372" s="12"/>
      <c r="C2372" s="12"/>
      <c r="D2372" s="12"/>
      <c r="E2372" s="12"/>
      <c r="F2372" s="12"/>
    </row>
    <row r="2373" ht="24" customHeight="1" hidden="1" spans="1:6" x14ac:dyDescent="0.25" outlineLevel="1" collapsed="1">
      <c r="A2373" s="12" t="s">
        <v>701</v>
      </c>
      <c r="B2373" s="12"/>
      <c r="C2373" s="12"/>
      <c r="D2373" s="12"/>
      <c r="E2373" s="12"/>
      <c r="F2373" s="12"/>
    </row>
    <row r="2374" ht="24" customHeight="1" hidden="1" spans="1:6" x14ac:dyDescent="0.25" outlineLevel="1" collapsed="1">
      <c r="A2374" s="12" t="s">
        <v>702</v>
      </c>
      <c r="B2374" s="12"/>
      <c r="C2374" s="12"/>
      <c r="D2374" s="12"/>
      <c r="E2374" s="12"/>
      <c r="F2374" s="12"/>
    </row>
    <row r="2375" ht="24" customHeight="1" hidden="1" spans="1:6" x14ac:dyDescent="0.25" outlineLevel="1" collapsed="1">
      <c r="A2375" s="12" t="s">
        <v>684</v>
      </c>
      <c r="B2375" s="12"/>
      <c r="C2375" s="12"/>
      <c r="D2375" s="12"/>
      <c r="E2375" s="12"/>
      <c r="F2375" s="12"/>
    </row>
    <row r="2376" ht="6" customHeight="1" hidden="1" x14ac:dyDescent="0.25" outlineLevel="1" collapsed="1"/>
    <row r="2377" ht="22" customHeight="1" spans="1:6" x14ac:dyDescent="0.25">
      <c r="A2377" s="25" t="s">
        <v>589</v>
      </c>
      <c r="B2377" s="25"/>
      <c r="C2377" s="25"/>
      <c r="D2377" s="25"/>
      <c r="E2377" s="25"/>
      <c r="F2377" s="25"/>
    </row>
    <row r="2378" ht="20" customHeight="1" hidden="1" spans="1:6" x14ac:dyDescent="0.25" outlineLevel="1" collapsed="1">
      <c r="A2378" s="26" t="s">
        <v>460</v>
      </c>
      <c r="B2378" s="26" t="s">
        <v>461</v>
      </c>
      <c r="C2378" s="26" t="s">
        <v>462</v>
      </c>
      <c r="D2378" s="26" t="s">
        <v>32</v>
      </c>
      <c r="E2378" s="26" t="s">
        <v>463</v>
      </c>
      <c r="F2378" s="26" t="s">
        <v>464</v>
      </c>
    </row>
    <row r="2379" ht="36" customHeight="1" hidden="1" spans="1:6" x14ac:dyDescent="0.25" outlineLevel="1" collapsed="1">
      <c r="A2379" s="27">
        <v>4220</v>
      </c>
      <c r="B2379" s="28" t="s">
        <v>543</v>
      </c>
      <c r="C2379" s="27" t="s">
        <v>466</v>
      </c>
      <c r="D2379" s="29" t="s">
        <v>32</v>
      </c>
      <c r="E2379" s="36" t="s">
        <v>699</v>
      </c>
      <c r="F2379" s="28" t="s">
        <v>32</v>
      </c>
    </row>
    <row r="2380" ht="36" customHeight="1" hidden="1" spans="1:6" x14ac:dyDescent="0.25" outlineLevel="1" collapsed="1">
      <c r="A2380" s="27">
        <v>4240</v>
      </c>
      <c r="B2380" s="28" t="s">
        <v>471</v>
      </c>
      <c r="C2380" s="27" t="s">
        <v>472</v>
      </c>
      <c r="D2380" s="29" t="s">
        <v>32</v>
      </c>
      <c r="E2380" s="36" t="s">
        <v>699</v>
      </c>
      <c r="F2380" s="28" t="s">
        <v>32</v>
      </c>
    </row>
    <row r="2381" ht="36" customHeight="1" hidden="1" spans="1:6" x14ac:dyDescent="0.25" outlineLevel="1" collapsed="1">
      <c r="A2381" s="27">
        <v>4230</v>
      </c>
      <c r="B2381" s="28" t="s">
        <v>544</v>
      </c>
      <c r="C2381" s="27" t="s">
        <v>472</v>
      </c>
      <c r="D2381" s="29" t="s">
        <v>32</v>
      </c>
      <c r="E2381" s="36" t="s">
        <v>699</v>
      </c>
      <c r="F2381" s="28" t="s">
        <v>32</v>
      </c>
    </row>
    <row r="2382" ht="22" customHeight="1" hidden="1" spans="1:6" x14ac:dyDescent="0.25" outlineLevel="1" collapsed="1">
      <c r="A2382" s="34" t="s">
        <v>495</v>
      </c>
      <c r="B2382" s="34"/>
      <c r="C2382" s="34"/>
      <c r="D2382" s="34"/>
      <c r="E2382" s="34"/>
      <c r="F2382" s="34"/>
    </row>
    <row r="2383" ht="24" customHeight="1" hidden="1" spans="1:6" x14ac:dyDescent="0.25" outlineLevel="1" collapsed="1">
      <c r="A2383" s="12" t="s">
        <v>700</v>
      </c>
      <c r="B2383" s="12"/>
      <c r="C2383" s="12"/>
      <c r="D2383" s="12"/>
      <c r="E2383" s="12"/>
      <c r="F2383" s="12"/>
    </row>
    <row r="2384" ht="24" customHeight="1" hidden="1" spans="1:6" x14ac:dyDescent="0.25" outlineLevel="1" collapsed="1">
      <c r="A2384" s="12" t="s">
        <v>701</v>
      </c>
      <c r="B2384" s="12"/>
      <c r="C2384" s="12"/>
      <c r="D2384" s="12"/>
      <c r="E2384" s="12"/>
      <c r="F2384" s="12"/>
    </row>
    <row r="2385" ht="24" customHeight="1" hidden="1" spans="1:6" x14ac:dyDescent="0.25" outlineLevel="1" collapsed="1">
      <c r="A2385" s="12" t="s">
        <v>702</v>
      </c>
      <c r="B2385" s="12"/>
      <c r="C2385" s="12"/>
      <c r="D2385" s="12"/>
      <c r="E2385" s="12"/>
      <c r="F2385" s="12"/>
    </row>
    <row r="2386" ht="24" customHeight="1" hidden="1" spans="1:6" x14ac:dyDescent="0.25" outlineLevel="1" collapsed="1">
      <c r="A2386" s="12" t="s">
        <v>684</v>
      </c>
      <c r="B2386" s="12"/>
      <c r="C2386" s="12"/>
      <c r="D2386" s="12"/>
      <c r="E2386" s="12"/>
      <c r="F2386" s="12"/>
    </row>
    <row r="2387" ht="6" customHeight="1" hidden="1" x14ac:dyDescent="0.25" outlineLevel="1" collapsed="1"/>
    <row r="2388" ht="22" customHeight="1" spans="1:6" x14ac:dyDescent="0.25">
      <c r="A2388" s="25" t="s">
        <v>590</v>
      </c>
      <c r="B2388" s="25"/>
      <c r="C2388" s="25"/>
      <c r="D2388" s="25"/>
      <c r="E2388" s="25"/>
      <c r="F2388" s="25"/>
    </row>
    <row r="2389" ht="20" customHeight="1" hidden="1" spans="1:6" x14ac:dyDescent="0.25" outlineLevel="1" collapsed="1">
      <c r="A2389" s="26" t="s">
        <v>460</v>
      </c>
      <c r="B2389" s="26" t="s">
        <v>461</v>
      </c>
      <c r="C2389" s="26" t="s">
        <v>462</v>
      </c>
      <c r="D2389" s="26" t="s">
        <v>32</v>
      </c>
      <c r="E2389" s="26" t="s">
        <v>463</v>
      </c>
      <c r="F2389" s="26" t="s">
        <v>464</v>
      </c>
    </row>
    <row r="2390" ht="36" customHeight="1" hidden="1" spans="1:6" x14ac:dyDescent="0.25" outlineLevel="1" collapsed="1">
      <c r="A2390" s="27">
        <v>4220</v>
      </c>
      <c r="B2390" s="28" t="s">
        <v>543</v>
      </c>
      <c r="C2390" s="27" t="s">
        <v>466</v>
      </c>
      <c r="D2390" s="29" t="s">
        <v>32</v>
      </c>
      <c r="E2390" s="28" t="s">
        <v>675</v>
      </c>
      <c r="F2390" s="28" t="s">
        <v>32</v>
      </c>
    </row>
    <row r="2391" ht="21" customHeight="1" hidden="1" spans="1:6" x14ac:dyDescent="0.25" outlineLevel="1" collapsed="1">
      <c r="A2391" s="27">
        <v>4240</v>
      </c>
      <c r="B2391" s="28" t="s">
        <v>471</v>
      </c>
      <c r="C2391" s="27" t="s">
        <v>472</v>
      </c>
      <c r="D2391" s="29" t="s">
        <v>32</v>
      </c>
      <c r="E2391" s="28" t="s">
        <v>676</v>
      </c>
      <c r="F2391" s="28" t="s">
        <v>32</v>
      </c>
    </row>
    <row r="2392" ht="51" customHeight="1" hidden="1" spans="1:6" x14ac:dyDescent="0.25" outlineLevel="1" collapsed="1">
      <c r="A2392" s="27">
        <v>4230</v>
      </c>
      <c r="B2392" s="28" t="s">
        <v>544</v>
      </c>
      <c r="C2392" s="27" t="s">
        <v>472</v>
      </c>
      <c r="D2392" s="29" t="s">
        <v>32</v>
      </c>
      <c r="E2392" s="28" t="s">
        <v>481</v>
      </c>
      <c r="F2392" s="28" t="s">
        <v>677</v>
      </c>
    </row>
    <row r="2393" ht="21" customHeight="1" hidden="1" spans="1:6" x14ac:dyDescent="0.25" outlineLevel="1" collapsed="1">
      <c r="A2393" s="30" t="s">
        <v>32</v>
      </c>
      <c r="B2393" s="17" t="s">
        <v>32</v>
      </c>
      <c r="C2393" s="30" t="s">
        <v>32</v>
      </c>
      <c r="D2393" s="31" t="s">
        <v>32</v>
      </c>
      <c r="E2393" s="17" t="s">
        <v>483</v>
      </c>
      <c r="F2393" s="17" t="s">
        <v>32</v>
      </c>
    </row>
    <row r="2394" ht="36" customHeight="1" hidden="1" spans="1:6" x14ac:dyDescent="0.25" outlineLevel="1" collapsed="1">
      <c r="A2394" s="32" t="s">
        <v>32</v>
      </c>
      <c r="B2394" s="12" t="s">
        <v>32</v>
      </c>
      <c r="C2394" s="32" t="s">
        <v>32</v>
      </c>
      <c r="D2394" s="31" t="s">
        <v>32</v>
      </c>
      <c r="E2394" s="12" t="s">
        <v>678</v>
      </c>
      <c r="F2394" s="12" t="s">
        <v>32</v>
      </c>
    </row>
    <row r="2395" ht="21" customHeight="1" hidden="1" spans="1:6" x14ac:dyDescent="0.25" outlineLevel="1" collapsed="1">
      <c r="A2395" s="30" t="s">
        <v>32</v>
      </c>
      <c r="B2395" s="17" t="s">
        <v>32</v>
      </c>
      <c r="C2395" s="30" t="s">
        <v>32</v>
      </c>
      <c r="D2395" s="31" t="s">
        <v>32</v>
      </c>
      <c r="E2395" s="17" t="s">
        <v>486</v>
      </c>
      <c r="F2395" s="17" t="s">
        <v>32</v>
      </c>
    </row>
    <row r="2396" ht="21" customHeight="1" hidden="1" spans="1:6" x14ac:dyDescent="0.25" outlineLevel="1" collapsed="1">
      <c r="A2396" s="32" t="s">
        <v>32</v>
      </c>
      <c r="B2396" s="12" t="s">
        <v>32</v>
      </c>
      <c r="C2396" s="32" t="s">
        <v>32</v>
      </c>
      <c r="D2396" s="31" t="s">
        <v>32</v>
      </c>
      <c r="E2396" s="12" t="s">
        <v>487</v>
      </c>
      <c r="F2396" s="12" t="s">
        <v>32</v>
      </c>
    </row>
    <row r="2397" ht="21" customHeight="1" hidden="1" spans="1:6" x14ac:dyDescent="0.25" outlineLevel="1" collapsed="1">
      <c r="A2397" s="30" t="s">
        <v>32</v>
      </c>
      <c r="B2397" s="17" t="s">
        <v>32</v>
      </c>
      <c r="C2397" s="30" t="s">
        <v>32</v>
      </c>
      <c r="D2397" s="31" t="s">
        <v>32</v>
      </c>
      <c r="E2397" s="17" t="s">
        <v>488</v>
      </c>
      <c r="F2397" s="17" t="s">
        <v>32</v>
      </c>
    </row>
    <row r="2398" ht="21" customHeight="1" hidden="1" spans="1:6" x14ac:dyDescent="0.25" outlineLevel="1" collapsed="1">
      <c r="A2398" s="32" t="s">
        <v>32</v>
      </c>
      <c r="B2398" s="12" t="s">
        <v>32</v>
      </c>
      <c r="C2398" s="32" t="s">
        <v>32</v>
      </c>
      <c r="D2398" s="31" t="s">
        <v>32</v>
      </c>
      <c r="E2398" s="12" t="s">
        <v>489</v>
      </c>
      <c r="F2398" s="12" t="s">
        <v>32</v>
      </c>
    </row>
    <row r="2399" ht="21" customHeight="1" hidden="1" spans="1:6" x14ac:dyDescent="0.25" outlineLevel="1" collapsed="1">
      <c r="A2399" s="30" t="s">
        <v>32</v>
      </c>
      <c r="B2399" s="17" t="s">
        <v>32</v>
      </c>
      <c r="C2399" s="30" t="s">
        <v>32</v>
      </c>
      <c r="D2399" s="31" t="s">
        <v>32</v>
      </c>
      <c r="E2399" s="17" t="s">
        <v>679</v>
      </c>
      <c r="F2399" s="17" t="s">
        <v>32</v>
      </c>
    </row>
    <row r="2400" ht="21" customHeight="1" hidden="1" spans="1:6" x14ac:dyDescent="0.25" outlineLevel="1" collapsed="1">
      <c r="A2400" s="32" t="s">
        <v>32</v>
      </c>
      <c r="B2400" s="12" t="s">
        <v>32</v>
      </c>
      <c r="C2400" s="32" t="s">
        <v>32</v>
      </c>
      <c r="D2400" s="31" t="s">
        <v>32</v>
      </c>
      <c r="E2400" s="12" t="s">
        <v>491</v>
      </c>
      <c r="F2400" s="12" t="s">
        <v>32</v>
      </c>
    </row>
    <row r="2401" ht="21" customHeight="1" hidden="1" spans="1:6" x14ac:dyDescent="0.25" outlineLevel="1" collapsed="1">
      <c r="A2401" s="30" t="s">
        <v>32</v>
      </c>
      <c r="B2401" s="17" t="s">
        <v>32</v>
      </c>
      <c r="C2401" s="30" t="s">
        <v>32</v>
      </c>
      <c r="D2401" s="31" t="s">
        <v>32</v>
      </c>
      <c r="E2401" s="17" t="s">
        <v>492</v>
      </c>
      <c r="F2401" s="17" t="s">
        <v>32</v>
      </c>
    </row>
    <row r="2402" ht="21" customHeight="1" hidden="1" spans="1:6" x14ac:dyDescent="0.25" outlineLevel="1" collapsed="1">
      <c r="A2402" s="32" t="s">
        <v>32</v>
      </c>
      <c r="B2402" s="12" t="s">
        <v>32</v>
      </c>
      <c r="C2402" s="32" t="s">
        <v>32</v>
      </c>
      <c r="D2402" s="31" t="s">
        <v>32</v>
      </c>
      <c r="E2402" s="33" t="s">
        <v>680</v>
      </c>
      <c r="F2402" s="12" t="s">
        <v>32</v>
      </c>
    </row>
    <row r="2403" ht="22" customHeight="1" hidden="1" spans="1:6" x14ac:dyDescent="0.25" outlineLevel="1" collapsed="1">
      <c r="A2403" s="34" t="s">
        <v>495</v>
      </c>
      <c r="B2403" s="34"/>
      <c r="C2403" s="34"/>
      <c r="D2403" s="34"/>
      <c r="E2403" s="34"/>
      <c r="F2403" s="34"/>
    </row>
    <row r="2404" ht="24" customHeight="1" hidden="1" spans="1:6" x14ac:dyDescent="0.25" outlineLevel="1" collapsed="1">
      <c r="A2404" s="12" t="s">
        <v>681</v>
      </c>
      <c r="B2404" s="12"/>
      <c r="C2404" s="12"/>
      <c r="D2404" s="12"/>
      <c r="E2404" s="12"/>
      <c r="F2404" s="12"/>
    </row>
    <row r="2405" ht="24" customHeight="1" hidden="1" spans="1:6" x14ac:dyDescent="0.25" outlineLevel="1" collapsed="1">
      <c r="A2405" s="12" t="s">
        <v>682</v>
      </c>
      <c r="B2405" s="12"/>
      <c r="C2405" s="12"/>
      <c r="D2405" s="12"/>
      <c r="E2405" s="12"/>
      <c r="F2405" s="12"/>
    </row>
    <row r="2406" ht="56" customHeight="1" hidden="1" spans="1:6" x14ac:dyDescent="0.25" outlineLevel="1" collapsed="1">
      <c r="A2406" s="12" t="s">
        <v>683</v>
      </c>
      <c r="B2406" s="12"/>
      <c r="C2406" s="12"/>
      <c r="D2406" s="12"/>
      <c r="E2406" s="12"/>
      <c r="F2406" s="12"/>
    </row>
    <row r="2407" ht="24" customHeight="1" hidden="1" spans="1:6" x14ac:dyDescent="0.25" outlineLevel="1" collapsed="1">
      <c r="A2407" s="12" t="s">
        <v>684</v>
      </c>
      <c r="B2407" s="12"/>
      <c r="C2407" s="12"/>
      <c r="D2407" s="12"/>
      <c r="E2407" s="12"/>
      <c r="F2407" s="12"/>
    </row>
    <row r="2408" ht="6" customHeight="1" hidden="1" x14ac:dyDescent="0.25" outlineLevel="1" collapsed="1"/>
    <row r="2409" ht="22" customHeight="1" spans="1:6" x14ac:dyDescent="0.25">
      <c r="A2409" s="25" t="s">
        <v>591</v>
      </c>
      <c r="B2409" s="25"/>
      <c r="C2409" s="25"/>
      <c r="D2409" s="25"/>
      <c r="E2409" s="25"/>
      <c r="F2409" s="25"/>
    </row>
    <row r="2410" ht="20" customHeight="1" hidden="1" spans="1:6" x14ac:dyDescent="0.25" outlineLevel="1" collapsed="1">
      <c r="A2410" s="26" t="s">
        <v>460</v>
      </c>
      <c r="B2410" s="26" t="s">
        <v>461</v>
      </c>
      <c r="C2410" s="26" t="s">
        <v>462</v>
      </c>
      <c r="D2410" s="26" t="s">
        <v>32</v>
      </c>
      <c r="E2410" s="26" t="s">
        <v>463</v>
      </c>
      <c r="F2410" s="26" t="s">
        <v>464</v>
      </c>
    </row>
    <row r="2411" ht="36" customHeight="1" hidden="1" spans="1:6" x14ac:dyDescent="0.25" outlineLevel="1" collapsed="1">
      <c r="A2411" s="27">
        <v>4220</v>
      </c>
      <c r="B2411" s="28" t="s">
        <v>543</v>
      </c>
      <c r="C2411" s="27" t="s">
        <v>466</v>
      </c>
      <c r="D2411" s="29" t="s">
        <v>32</v>
      </c>
      <c r="E2411" s="28" t="s">
        <v>675</v>
      </c>
      <c r="F2411" s="28" t="s">
        <v>32</v>
      </c>
    </row>
    <row r="2412" ht="21" customHeight="1" hidden="1" spans="1:6" x14ac:dyDescent="0.25" outlineLevel="1" collapsed="1">
      <c r="A2412" s="27">
        <v>4240</v>
      </c>
      <c r="B2412" s="28" t="s">
        <v>471</v>
      </c>
      <c r="C2412" s="27" t="s">
        <v>472</v>
      </c>
      <c r="D2412" s="29" t="s">
        <v>32</v>
      </c>
      <c r="E2412" s="28" t="s">
        <v>676</v>
      </c>
      <c r="F2412" s="28" t="s">
        <v>32</v>
      </c>
    </row>
    <row r="2413" ht="51" customHeight="1" hidden="1" spans="1:6" x14ac:dyDescent="0.25" outlineLevel="1" collapsed="1">
      <c r="A2413" s="27">
        <v>4230</v>
      </c>
      <c r="B2413" s="28" t="s">
        <v>544</v>
      </c>
      <c r="C2413" s="27" t="s">
        <v>472</v>
      </c>
      <c r="D2413" s="29" t="s">
        <v>32</v>
      </c>
      <c r="E2413" s="28" t="s">
        <v>481</v>
      </c>
      <c r="F2413" s="28" t="s">
        <v>677</v>
      </c>
    </row>
    <row r="2414" ht="21" customHeight="1" hidden="1" spans="1:6" x14ac:dyDescent="0.25" outlineLevel="1" collapsed="1">
      <c r="A2414" s="30" t="s">
        <v>32</v>
      </c>
      <c r="B2414" s="17" t="s">
        <v>32</v>
      </c>
      <c r="C2414" s="30" t="s">
        <v>32</v>
      </c>
      <c r="D2414" s="31" t="s">
        <v>32</v>
      </c>
      <c r="E2414" s="17" t="s">
        <v>483</v>
      </c>
      <c r="F2414" s="17" t="s">
        <v>32</v>
      </c>
    </row>
    <row r="2415" ht="36" customHeight="1" hidden="1" spans="1:6" x14ac:dyDescent="0.25" outlineLevel="1" collapsed="1">
      <c r="A2415" s="32" t="s">
        <v>32</v>
      </c>
      <c r="B2415" s="12" t="s">
        <v>32</v>
      </c>
      <c r="C2415" s="32" t="s">
        <v>32</v>
      </c>
      <c r="D2415" s="31" t="s">
        <v>32</v>
      </c>
      <c r="E2415" s="12" t="s">
        <v>678</v>
      </c>
      <c r="F2415" s="12" t="s">
        <v>32</v>
      </c>
    </row>
    <row r="2416" ht="21" customHeight="1" hidden="1" spans="1:6" x14ac:dyDescent="0.25" outlineLevel="1" collapsed="1">
      <c r="A2416" s="30" t="s">
        <v>32</v>
      </c>
      <c r="B2416" s="17" t="s">
        <v>32</v>
      </c>
      <c r="C2416" s="30" t="s">
        <v>32</v>
      </c>
      <c r="D2416" s="31" t="s">
        <v>32</v>
      </c>
      <c r="E2416" s="17" t="s">
        <v>486</v>
      </c>
      <c r="F2416" s="17" t="s">
        <v>32</v>
      </c>
    </row>
    <row r="2417" ht="21" customHeight="1" hidden="1" spans="1:6" x14ac:dyDescent="0.25" outlineLevel="1" collapsed="1">
      <c r="A2417" s="32" t="s">
        <v>32</v>
      </c>
      <c r="B2417" s="12" t="s">
        <v>32</v>
      </c>
      <c r="C2417" s="32" t="s">
        <v>32</v>
      </c>
      <c r="D2417" s="31" t="s">
        <v>32</v>
      </c>
      <c r="E2417" s="12" t="s">
        <v>487</v>
      </c>
      <c r="F2417" s="12" t="s">
        <v>32</v>
      </c>
    </row>
    <row r="2418" ht="21" customHeight="1" hidden="1" spans="1:6" x14ac:dyDescent="0.25" outlineLevel="1" collapsed="1">
      <c r="A2418" s="30" t="s">
        <v>32</v>
      </c>
      <c r="B2418" s="17" t="s">
        <v>32</v>
      </c>
      <c r="C2418" s="30" t="s">
        <v>32</v>
      </c>
      <c r="D2418" s="31" t="s">
        <v>32</v>
      </c>
      <c r="E2418" s="17" t="s">
        <v>488</v>
      </c>
      <c r="F2418" s="17" t="s">
        <v>32</v>
      </c>
    </row>
    <row r="2419" ht="21" customHeight="1" hidden="1" spans="1:6" x14ac:dyDescent="0.25" outlineLevel="1" collapsed="1">
      <c r="A2419" s="32" t="s">
        <v>32</v>
      </c>
      <c r="B2419" s="12" t="s">
        <v>32</v>
      </c>
      <c r="C2419" s="32" t="s">
        <v>32</v>
      </c>
      <c r="D2419" s="31" t="s">
        <v>32</v>
      </c>
      <c r="E2419" s="12" t="s">
        <v>489</v>
      </c>
      <c r="F2419" s="12" t="s">
        <v>32</v>
      </c>
    </row>
    <row r="2420" ht="21" customHeight="1" hidden="1" spans="1:6" x14ac:dyDescent="0.25" outlineLevel="1" collapsed="1">
      <c r="A2420" s="30" t="s">
        <v>32</v>
      </c>
      <c r="B2420" s="17" t="s">
        <v>32</v>
      </c>
      <c r="C2420" s="30" t="s">
        <v>32</v>
      </c>
      <c r="D2420" s="31" t="s">
        <v>32</v>
      </c>
      <c r="E2420" s="17" t="s">
        <v>679</v>
      </c>
      <c r="F2420" s="17" t="s">
        <v>32</v>
      </c>
    </row>
    <row r="2421" ht="21" customHeight="1" hidden="1" spans="1:6" x14ac:dyDescent="0.25" outlineLevel="1" collapsed="1">
      <c r="A2421" s="32" t="s">
        <v>32</v>
      </c>
      <c r="B2421" s="12" t="s">
        <v>32</v>
      </c>
      <c r="C2421" s="32" t="s">
        <v>32</v>
      </c>
      <c r="D2421" s="31" t="s">
        <v>32</v>
      </c>
      <c r="E2421" s="12" t="s">
        <v>491</v>
      </c>
      <c r="F2421" s="12" t="s">
        <v>32</v>
      </c>
    </row>
    <row r="2422" ht="21" customHeight="1" hidden="1" spans="1:6" x14ac:dyDescent="0.25" outlineLevel="1" collapsed="1">
      <c r="A2422" s="30" t="s">
        <v>32</v>
      </c>
      <c r="B2422" s="17" t="s">
        <v>32</v>
      </c>
      <c r="C2422" s="30" t="s">
        <v>32</v>
      </c>
      <c r="D2422" s="31" t="s">
        <v>32</v>
      </c>
      <c r="E2422" s="17" t="s">
        <v>492</v>
      </c>
      <c r="F2422" s="17" t="s">
        <v>32</v>
      </c>
    </row>
    <row r="2423" ht="21" customHeight="1" hidden="1" spans="1:6" x14ac:dyDescent="0.25" outlineLevel="1" collapsed="1">
      <c r="A2423" s="32" t="s">
        <v>32</v>
      </c>
      <c r="B2423" s="12" t="s">
        <v>32</v>
      </c>
      <c r="C2423" s="32" t="s">
        <v>32</v>
      </c>
      <c r="D2423" s="31" t="s">
        <v>32</v>
      </c>
      <c r="E2423" s="33" t="s">
        <v>680</v>
      </c>
      <c r="F2423" s="12" t="s">
        <v>32</v>
      </c>
    </row>
    <row r="2424" ht="22" customHeight="1" hidden="1" spans="1:6" x14ac:dyDescent="0.25" outlineLevel="1" collapsed="1">
      <c r="A2424" s="34" t="s">
        <v>495</v>
      </c>
      <c r="B2424" s="34"/>
      <c r="C2424" s="34"/>
      <c r="D2424" s="34"/>
      <c r="E2424" s="34"/>
      <c r="F2424" s="34"/>
    </row>
    <row r="2425" ht="24" customHeight="1" hidden="1" spans="1:6" x14ac:dyDescent="0.25" outlineLevel="1" collapsed="1">
      <c r="A2425" s="12" t="s">
        <v>681</v>
      </c>
      <c r="B2425" s="12"/>
      <c r="C2425" s="12"/>
      <c r="D2425" s="12"/>
      <c r="E2425" s="12"/>
      <c r="F2425" s="12"/>
    </row>
    <row r="2426" ht="24" customHeight="1" hidden="1" spans="1:6" x14ac:dyDescent="0.25" outlineLevel="1" collapsed="1">
      <c r="A2426" s="12" t="s">
        <v>682</v>
      </c>
      <c r="B2426" s="12"/>
      <c r="C2426" s="12"/>
      <c r="D2426" s="12"/>
      <c r="E2426" s="12"/>
      <c r="F2426" s="12"/>
    </row>
    <row r="2427" ht="56" customHeight="1" hidden="1" spans="1:6" x14ac:dyDescent="0.25" outlineLevel="1" collapsed="1">
      <c r="A2427" s="12" t="s">
        <v>683</v>
      </c>
      <c r="B2427" s="12"/>
      <c r="C2427" s="12"/>
      <c r="D2427" s="12"/>
      <c r="E2427" s="12"/>
      <c r="F2427" s="12"/>
    </row>
    <row r="2428" ht="24" customHeight="1" hidden="1" spans="1:6" x14ac:dyDescent="0.25" outlineLevel="1" collapsed="1">
      <c r="A2428" s="12" t="s">
        <v>684</v>
      </c>
      <c r="B2428" s="12"/>
      <c r="C2428" s="12"/>
      <c r="D2428" s="12"/>
      <c r="E2428" s="12"/>
      <c r="F2428" s="12"/>
    </row>
    <row r="2429" ht="6" customHeight="1" hidden="1" x14ac:dyDescent="0.25" outlineLevel="1" collapsed="1"/>
    <row r="2430" ht="22" customHeight="1" spans="1:6" x14ac:dyDescent="0.25">
      <c r="A2430" s="25" t="s">
        <v>592</v>
      </c>
      <c r="B2430" s="25"/>
      <c r="C2430" s="25"/>
      <c r="D2430" s="25"/>
      <c r="E2430" s="25"/>
      <c r="F2430" s="25"/>
    </row>
    <row r="2431" ht="20" customHeight="1" hidden="1" spans="1:6" x14ac:dyDescent="0.25" outlineLevel="1" collapsed="1">
      <c r="A2431" s="26" t="s">
        <v>460</v>
      </c>
      <c r="B2431" s="26" t="s">
        <v>461</v>
      </c>
      <c r="C2431" s="26" t="s">
        <v>462</v>
      </c>
      <c r="D2431" s="26" t="s">
        <v>32</v>
      </c>
      <c r="E2431" s="26" t="s">
        <v>463</v>
      </c>
      <c r="F2431" s="26" t="s">
        <v>464</v>
      </c>
    </row>
    <row r="2432" ht="36" customHeight="1" hidden="1" spans="1:6" x14ac:dyDescent="0.25" outlineLevel="1" collapsed="1">
      <c r="A2432" s="27">
        <v>4220</v>
      </c>
      <c r="B2432" s="28" t="s">
        <v>543</v>
      </c>
      <c r="C2432" s="27" t="s">
        <v>466</v>
      </c>
      <c r="D2432" s="29" t="s">
        <v>32</v>
      </c>
      <c r="E2432" s="36" t="s">
        <v>699</v>
      </c>
      <c r="F2432" s="28" t="s">
        <v>32</v>
      </c>
    </row>
    <row r="2433" ht="36" customHeight="1" hidden="1" spans="1:6" x14ac:dyDescent="0.25" outlineLevel="1" collapsed="1">
      <c r="A2433" s="27">
        <v>4240</v>
      </c>
      <c r="B2433" s="28" t="s">
        <v>471</v>
      </c>
      <c r="C2433" s="27" t="s">
        <v>472</v>
      </c>
      <c r="D2433" s="29" t="s">
        <v>32</v>
      </c>
      <c r="E2433" s="36" t="s">
        <v>699</v>
      </c>
      <c r="F2433" s="28" t="s">
        <v>32</v>
      </c>
    </row>
    <row r="2434" ht="36" customHeight="1" hidden="1" spans="1:6" x14ac:dyDescent="0.25" outlineLevel="1" collapsed="1">
      <c r="A2434" s="27">
        <v>4230</v>
      </c>
      <c r="B2434" s="28" t="s">
        <v>544</v>
      </c>
      <c r="C2434" s="27" t="s">
        <v>472</v>
      </c>
      <c r="D2434" s="29" t="s">
        <v>32</v>
      </c>
      <c r="E2434" s="36" t="s">
        <v>699</v>
      </c>
      <c r="F2434" s="28" t="s">
        <v>32</v>
      </c>
    </row>
    <row r="2435" ht="22" customHeight="1" hidden="1" spans="1:6" x14ac:dyDescent="0.25" outlineLevel="1" collapsed="1">
      <c r="A2435" s="34" t="s">
        <v>495</v>
      </c>
      <c r="B2435" s="34"/>
      <c r="C2435" s="34"/>
      <c r="D2435" s="34"/>
      <c r="E2435" s="34"/>
      <c r="F2435" s="34"/>
    </row>
    <row r="2436" ht="24" customHeight="1" hidden="1" spans="1:6" x14ac:dyDescent="0.25" outlineLevel="1" collapsed="1">
      <c r="A2436" s="12" t="s">
        <v>700</v>
      </c>
      <c r="B2436" s="12"/>
      <c r="C2436" s="12"/>
      <c r="D2436" s="12"/>
      <c r="E2436" s="12"/>
      <c r="F2436" s="12"/>
    </row>
    <row r="2437" ht="24" customHeight="1" hidden="1" spans="1:6" x14ac:dyDescent="0.25" outlineLevel="1" collapsed="1">
      <c r="A2437" s="12" t="s">
        <v>701</v>
      </c>
      <c r="B2437" s="12"/>
      <c r="C2437" s="12"/>
      <c r="D2437" s="12"/>
      <c r="E2437" s="12"/>
      <c r="F2437" s="12"/>
    </row>
    <row r="2438" ht="24" customHeight="1" hidden="1" spans="1:6" x14ac:dyDescent="0.25" outlineLevel="1" collapsed="1">
      <c r="A2438" s="12" t="s">
        <v>702</v>
      </c>
      <c r="B2438" s="12"/>
      <c r="C2438" s="12"/>
      <c r="D2438" s="12"/>
      <c r="E2438" s="12"/>
      <c r="F2438" s="12"/>
    </row>
    <row r="2439" ht="24" customHeight="1" hidden="1" spans="1:6" x14ac:dyDescent="0.25" outlineLevel="1" collapsed="1">
      <c r="A2439" s="12" t="s">
        <v>684</v>
      </c>
      <c r="B2439" s="12"/>
      <c r="C2439" s="12"/>
      <c r="D2439" s="12"/>
      <c r="E2439" s="12"/>
      <c r="F2439" s="12"/>
    </row>
    <row r="2440" ht="6" customHeight="1" hidden="1" x14ac:dyDescent="0.25" outlineLevel="1" collapsed="1"/>
    <row r="2441" ht="22" customHeight="1" spans="1:6" x14ac:dyDescent="0.25">
      <c r="A2441" s="25" t="s">
        <v>595</v>
      </c>
      <c r="B2441" s="25"/>
      <c r="C2441" s="25"/>
      <c r="D2441" s="25"/>
      <c r="E2441" s="25"/>
      <c r="F2441" s="25"/>
    </row>
    <row r="2442" ht="20" customHeight="1" hidden="1" spans="1:6" x14ac:dyDescent="0.25" outlineLevel="1" collapsed="1">
      <c r="A2442" s="26" t="s">
        <v>460</v>
      </c>
      <c r="B2442" s="26" t="s">
        <v>461</v>
      </c>
      <c r="C2442" s="26" t="s">
        <v>462</v>
      </c>
      <c r="D2442" s="26" t="s">
        <v>32</v>
      </c>
      <c r="E2442" s="26" t="s">
        <v>463</v>
      </c>
      <c r="F2442" s="26" t="s">
        <v>464</v>
      </c>
    </row>
    <row r="2443" ht="36" customHeight="1" hidden="1" spans="1:6" x14ac:dyDescent="0.25" outlineLevel="1" collapsed="1">
      <c r="A2443" s="27">
        <v>4220</v>
      </c>
      <c r="B2443" s="28" t="s">
        <v>543</v>
      </c>
      <c r="C2443" s="27" t="s">
        <v>466</v>
      </c>
      <c r="D2443" s="29" t="s">
        <v>32</v>
      </c>
      <c r="E2443" s="36" t="s">
        <v>699</v>
      </c>
      <c r="F2443" s="28" t="s">
        <v>32</v>
      </c>
    </row>
    <row r="2444" ht="36" customHeight="1" hidden="1" spans="1:6" x14ac:dyDescent="0.25" outlineLevel="1" collapsed="1">
      <c r="A2444" s="27">
        <v>4240</v>
      </c>
      <c r="B2444" s="28" t="s">
        <v>471</v>
      </c>
      <c r="C2444" s="27" t="s">
        <v>472</v>
      </c>
      <c r="D2444" s="29" t="s">
        <v>32</v>
      </c>
      <c r="E2444" s="36" t="s">
        <v>699</v>
      </c>
      <c r="F2444" s="28" t="s">
        <v>32</v>
      </c>
    </row>
    <row r="2445" ht="36" customHeight="1" hidden="1" spans="1:6" x14ac:dyDescent="0.25" outlineLevel="1" collapsed="1">
      <c r="A2445" s="27">
        <v>4230</v>
      </c>
      <c r="B2445" s="28" t="s">
        <v>544</v>
      </c>
      <c r="C2445" s="27" t="s">
        <v>472</v>
      </c>
      <c r="D2445" s="29" t="s">
        <v>32</v>
      </c>
      <c r="E2445" s="36" t="s">
        <v>699</v>
      </c>
      <c r="F2445" s="28" t="s">
        <v>32</v>
      </c>
    </row>
    <row r="2446" ht="22" customHeight="1" hidden="1" spans="1:6" x14ac:dyDescent="0.25" outlineLevel="1" collapsed="1">
      <c r="A2446" s="34" t="s">
        <v>495</v>
      </c>
      <c r="B2446" s="34"/>
      <c r="C2446" s="34"/>
      <c r="D2446" s="34"/>
      <c r="E2446" s="34"/>
      <c r="F2446" s="34"/>
    </row>
    <row r="2447" ht="24" customHeight="1" hidden="1" spans="1:6" x14ac:dyDescent="0.25" outlineLevel="1" collapsed="1">
      <c r="A2447" s="12" t="s">
        <v>700</v>
      </c>
      <c r="B2447" s="12"/>
      <c r="C2447" s="12"/>
      <c r="D2447" s="12"/>
      <c r="E2447" s="12"/>
      <c r="F2447" s="12"/>
    </row>
    <row r="2448" ht="24" customHeight="1" hidden="1" spans="1:6" x14ac:dyDescent="0.25" outlineLevel="1" collapsed="1">
      <c r="A2448" s="12" t="s">
        <v>701</v>
      </c>
      <c r="B2448" s="12"/>
      <c r="C2448" s="12"/>
      <c r="D2448" s="12"/>
      <c r="E2448" s="12"/>
      <c r="F2448" s="12"/>
    </row>
    <row r="2449" ht="24" customHeight="1" hidden="1" spans="1:6" x14ac:dyDescent="0.25" outlineLevel="1" collapsed="1">
      <c r="A2449" s="12" t="s">
        <v>702</v>
      </c>
      <c r="B2449" s="12"/>
      <c r="C2449" s="12"/>
      <c r="D2449" s="12"/>
      <c r="E2449" s="12"/>
      <c r="F2449" s="12"/>
    </row>
    <row r="2450" ht="24" customHeight="1" hidden="1" spans="1:6" x14ac:dyDescent="0.25" outlineLevel="1" collapsed="1">
      <c r="A2450" s="12" t="s">
        <v>684</v>
      </c>
      <c r="B2450" s="12"/>
      <c r="C2450" s="12"/>
      <c r="D2450" s="12"/>
      <c r="E2450" s="12"/>
      <c r="F2450" s="12"/>
    </row>
    <row r="2451" ht="6" customHeight="1" hidden="1" x14ac:dyDescent="0.25" outlineLevel="1" collapsed="1"/>
    <row r="2452" ht="22" customHeight="1" spans="1:6" x14ac:dyDescent="0.25">
      <c r="A2452" s="25" t="s">
        <v>598</v>
      </c>
      <c r="B2452" s="25"/>
      <c r="C2452" s="25"/>
      <c r="D2452" s="25"/>
      <c r="E2452" s="25"/>
      <c r="F2452" s="25"/>
    </row>
    <row r="2453" ht="20" customHeight="1" hidden="1" spans="1:6" x14ac:dyDescent="0.25" outlineLevel="1" collapsed="1">
      <c r="A2453" s="26" t="s">
        <v>460</v>
      </c>
      <c r="B2453" s="26" t="s">
        <v>461</v>
      </c>
      <c r="C2453" s="26" t="s">
        <v>462</v>
      </c>
      <c r="D2453" s="26" t="s">
        <v>32</v>
      </c>
      <c r="E2453" s="26" t="s">
        <v>463</v>
      </c>
      <c r="F2453" s="26" t="s">
        <v>464</v>
      </c>
    </row>
    <row r="2454" ht="36" customHeight="1" hidden="1" spans="1:6" x14ac:dyDescent="0.25" outlineLevel="1" collapsed="1">
      <c r="A2454" s="27">
        <v>4220</v>
      </c>
      <c r="B2454" s="28" t="s">
        <v>543</v>
      </c>
      <c r="C2454" s="27" t="s">
        <v>466</v>
      </c>
      <c r="D2454" s="29" t="s">
        <v>32</v>
      </c>
      <c r="E2454" s="36" t="s">
        <v>699</v>
      </c>
      <c r="F2454" s="28" t="s">
        <v>32</v>
      </c>
    </row>
    <row r="2455" ht="36" customHeight="1" hidden="1" spans="1:6" x14ac:dyDescent="0.25" outlineLevel="1" collapsed="1">
      <c r="A2455" s="27">
        <v>4240</v>
      </c>
      <c r="B2455" s="28" t="s">
        <v>471</v>
      </c>
      <c r="C2455" s="27" t="s">
        <v>472</v>
      </c>
      <c r="D2455" s="29" t="s">
        <v>32</v>
      </c>
      <c r="E2455" s="36" t="s">
        <v>699</v>
      </c>
      <c r="F2455" s="28" t="s">
        <v>32</v>
      </c>
    </row>
    <row r="2456" ht="36" customHeight="1" hidden="1" spans="1:6" x14ac:dyDescent="0.25" outlineLevel="1" collapsed="1">
      <c r="A2456" s="27">
        <v>4230</v>
      </c>
      <c r="B2456" s="28" t="s">
        <v>544</v>
      </c>
      <c r="C2456" s="27" t="s">
        <v>472</v>
      </c>
      <c r="D2456" s="29" t="s">
        <v>32</v>
      </c>
      <c r="E2456" s="36" t="s">
        <v>699</v>
      </c>
      <c r="F2456" s="28" t="s">
        <v>32</v>
      </c>
    </row>
    <row r="2457" ht="22" customHeight="1" hidden="1" spans="1:6" x14ac:dyDescent="0.25" outlineLevel="1" collapsed="1">
      <c r="A2457" s="34" t="s">
        <v>495</v>
      </c>
      <c r="B2457" s="34"/>
      <c r="C2457" s="34"/>
      <c r="D2457" s="34"/>
      <c r="E2457" s="34"/>
      <c r="F2457" s="34"/>
    </row>
    <row r="2458" ht="24" customHeight="1" hidden="1" spans="1:6" x14ac:dyDescent="0.25" outlineLevel="1" collapsed="1">
      <c r="A2458" s="12" t="s">
        <v>700</v>
      </c>
      <c r="B2458" s="12"/>
      <c r="C2458" s="12"/>
      <c r="D2458" s="12"/>
      <c r="E2458" s="12"/>
      <c r="F2458" s="12"/>
    </row>
    <row r="2459" ht="24" customHeight="1" hidden="1" spans="1:6" x14ac:dyDescent="0.25" outlineLevel="1" collapsed="1">
      <c r="A2459" s="12" t="s">
        <v>701</v>
      </c>
      <c r="B2459" s="12"/>
      <c r="C2459" s="12"/>
      <c r="D2459" s="12"/>
      <c r="E2459" s="12"/>
      <c r="F2459" s="12"/>
    </row>
    <row r="2460" ht="24" customHeight="1" hidden="1" spans="1:6" x14ac:dyDescent="0.25" outlineLevel="1" collapsed="1">
      <c r="A2460" s="12" t="s">
        <v>702</v>
      </c>
      <c r="B2460" s="12"/>
      <c r="C2460" s="12"/>
      <c r="D2460" s="12"/>
      <c r="E2460" s="12"/>
      <c r="F2460" s="12"/>
    </row>
    <row r="2461" ht="24" customHeight="1" hidden="1" spans="1:6" x14ac:dyDescent="0.25" outlineLevel="1" collapsed="1">
      <c r="A2461" s="12" t="s">
        <v>684</v>
      </c>
      <c r="B2461" s="12"/>
      <c r="C2461" s="12"/>
      <c r="D2461" s="12"/>
      <c r="E2461" s="12"/>
      <c r="F2461" s="12"/>
    </row>
    <row r="2462" ht="6" customHeight="1" hidden="1" x14ac:dyDescent="0.25" outlineLevel="1" collapsed="1"/>
    <row r="2463" ht="22" customHeight="1" spans="1:6" x14ac:dyDescent="0.25">
      <c r="A2463" s="25" t="s">
        <v>612</v>
      </c>
      <c r="B2463" s="25"/>
      <c r="C2463" s="25"/>
      <c r="D2463" s="25"/>
      <c r="E2463" s="25"/>
      <c r="F2463" s="25"/>
    </row>
    <row r="2464" ht="20" customHeight="1" hidden="1" spans="1:6" x14ac:dyDescent="0.25" outlineLevel="1" collapsed="1">
      <c r="A2464" s="26" t="s">
        <v>460</v>
      </c>
      <c r="B2464" s="26" t="s">
        <v>461</v>
      </c>
      <c r="C2464" s="26" t="s">
        <v>462</v>
      </c>
      <c r="D2464" s="26" t="s">
        <v>32</v>
      </c>
      <c r="E2464" s="26" t="s">
        <v>463</v>
      </c>
      <c r="F2464" s="26" t="s">
        <v>464</v>
      </c>
    </row>
    <row r="2465" ht="36" customHeight="1" hidden="1" spans="1:6" x14ac:dyDescent="0.25" outlineLevel="1" collapsed="1">
      <c r="A2465" s="27">
        <v>4220</v>
      </c>
      <c r="B2465" s="28" t="s">
        <v>543</v>
      </c>
      <c r="C2465" s="27" t="s">
        <v>466</v>
      </c>
      <c r="D2465" s="29" t="s">
        <v>32</v>
      </c>
      <c r="E2465" s="28" t="s">
        <v>619</v>
      </c>
      <c r="F2465" s="28" t="s">
        <v>32</v>
      </c>
    </row>
    <row r="2466" ht="21" customHeight="1" hidden="1" spans="1:6" x14ac:dyDescent="0.25" outlineLevel="1" collapsed="1">
      <c r="A2466" s="27">
        <v>4240</v>
      </c>
      <c r="B2466" s="28" t="s">
        <v>471</v>
      </c>
      <c r="C2466" s="27" t="s">
        <v>472</v>
      </c>
      <c r="D2466" s="29" t="s">
        <v>32</v>
      </c>
      <c r="E2466" s="28" t="s">
        <v>676</v>
      </c>
      <c r="F2466" s="28" t="s">
        <v>32</v>
      </c>
    </row>
    <row r="2467" ht="36" customHeight="1" hidden="1" spans="1:6" x14ac:dyDescent="0.25" outlineLevel="1" collapsed="1">
      <c r="A2467" s="27">
        <v>4230</v>
      </c>
      <c r="B2467" s="28" t="s">
        <v>544</v>
      </c>
      <c r="C2467" s="27" t="s">
        <v>472</v>
      </c>
      <c r="D2467" s="29" t="s">
        <v>32</v>
      </c>
      <c r="E2467" s="28" t="s">
        <v>619</v>
      </c>
      <c r="F2467" s="28" t="s">
        <v>32</v>
      </c>
    </row>
    <row r="2468" ht="22" customHeight="1" hidden="1" spans="1:6" x14ac:dyDescent="0.25" outlineLevel="1" collapsed="1">
      <c r="A2468" s="34" t="s">
        <v>495</v>
      </c>
      <c r="B2468" s="34"/>
      <c r="C2468" s="34"/>
      <c r="D2468" s="34"/>
      <c r="E2468" s="34"/>
      <c r="F2468" s="34"/>
    </row>
    <row r="2469" ht="24" customHeight="1" hidden="1" spans="1:6" x14ac:dyDescent="0.25" outlineLevel="1" collapsed="1">
      <c r="A2469" s="12" t="s">
        <v>708</v>
      </c>
      <c r="B2469" s="12"/>
      <c r="C2469" s="12"/>
      <c r="D2469" s="12"/>
      <c r="E2469" s="12"/>
      <c r="F2469" s="12"/>
    </row>
    <row r="2470" ht="24" customHeight="1" hidden="1" spans="1:6" x14ac:dyDescent="0.25" outlineLevel="1" collapsed="1">
      <c r="A2470" s="12" t="s">
        <v>682</v>
      </c>
      <c r="B2470" s="12"/>
      <c r="C2470" s="12"/>
      <c r="D2470" s="12"/>
      <c r="E2470" s="12"/>
      <c r="F2470" s="12"/>
    </row>
    <row r="2471" ht="24" customHeight="1" hidden="1" spans="1:6" x14ac:dyDescent="0.25" outlineLevel="1" collapsed="1">
      <c r="A2471" s="12" t="s">
        <v>709</v>
      </c>
      <c r="B2471" s="12"/>
      <c r="C2471" s="12"/>
      <c r="D2471" s="12"/>
      <c r="E2471" s="12"/>
      <c r="F2471" s="12"/>
    </row>
    <row r="2472" ht="24" customHeight="1" hidden="1" spans="1:6" x14ac:dyDescent="0.25" outlineLevel="1" collapsed="1">
      <c r="A2472" s="12" t="s">
        <v>684</v>
      </c>
      <c r="B2472" s="12"/>
      <c r="C2472" s="12"/>
      <c r="D2472" s="12"/>
      <c r="E2472" s="12"/>
      <c r="F2472" s="12"/>
    </row>
    <row r="2473" ht="6" customHeight="1" hidden="1" x14ac:dyDescent="0.25" outlineLevel="1" collapsed="1"/>
    <row r="2474" ht="22" customHeight="1" spans="1:6" x14ac:dyDescent="0.25">
      <c r="A2474" s="25" t="s">
        <v>623</v>
      </c>
      <c r="B2474" s="25"/>
      <c r="C2474" s="25"/>
      <c r="D2474" s="25"/>
      <c r="E2474" s="25"/>
      <c r="F2474" s="25"/>
    </row>
    <row r="2475" ht="20" customHeight="1" hidden="1" spans="1:6" x14ac:dyDescent="0.25" outlineLevel="1" collapsed="1">
      <c r="A2475" s="26" t="s">
        <v>460</v>
      </c>
      <c r="B2475" s="26" t="s">
        <v>461</v>
      </c>
      <c r="C2475" s="26" t="s">
        <v>462</v>
      </c>
      <c r="D2475" s="26" t="s">
        <v>32</v>
      </c>
      <c r="E2475" s="26" t="s">
        <v>463</v>
      </c>
      <c r="F2475" s="26" t="s">
        <v>464</v>
      </c>
    </row>
    <row r="2476" ht="36" customHeight="1" hidden="1" spans="1:6" x14ac:dyDescent="0.25" outlineLevel="1" collapsed="1">
      <c r="A2476" s="27">
        <v>4220</v>
      </c>
      <c r="B2476" s="28" t="s">
        <v>543</v>
      </c>
      <c r="C2476" s="27" t="s">
        <v>466</v>
      </c>
      <c r="D2476" s="29" t="s">
        <v>32</v>
      </c>
      <c r="E2476" s="36" t="s">
        <v>699</v>
      </c>
      <c r="F2476" s="28" t="s">
        <v>32</v>
      </c>
    </row>
    <row r="2477" ht="36" customHeight="1" hidden="1" spans="1:6" x14ac:dyDescent="0.25" outlineLevel="1" collapsed="1">
      <c r="A2477" s="27">
        <v>4240</v>
      </c>
      <c r="B2477" s="28" t="s">
        <v>471</v>
      </c>
      <c r="C2477" s="27" t="s">
        <v>472</v>
      </c>
      <c r="D2477" s="29" t="s">
        <v>32</v>
      </c>
      <c r="E2477" s="36" t="s">
        <v>699</v>
      </c>
      <c r="F2477" s="28" t="s">
        <v>32</v>
      </c>
    </row>
    <row r="2478" ht="36" customHeight="1" hidden="1" spans="1:6" x14ac:dyDescent="0.25" outlineLevel="1" collapsed="1">
      <c r="A2478" s="27">
        <v>4230</v>
      </c>
      <c r="B2478" s="28" t="s">
        <v>544</v>
      </c>
      <c r="C2478" s="27" t="s">
        <v>472</v>
      </c>
      <c r="D2478" s="29" t="s">
        <v>32</v>
      </c>
      <c r="E2478" s="36" t="s">
        <v>699</v>
      </c>
      <c r="F2478" s="28" t="s">
        <v>32</v>
      </c>
    </row>
    <row r="2479" ht="22" customHeight="1" hidden="1" spans="1:6" x14ac:dyDescent="0.25" outlineLevel="1" collapsed="1">
      <c r="A2479" s="34" t="s">
        <v>495</v>
      </c>
      <c r="B2479" s="34"/>
      <c r="C2479" s="34"/>
      <c r="D2479" s="34"/>
      <c r="E2479" s="34"/>
      <c r="F2479" s="34"/>
    </row>
    <row r="2480" ht="24" customHeight="1" hidden="1" spans="1:6" x14ac:dyDescent="0.25" outlineLevel="1" collapsed="1">
      <c r="A2480" s="12" t="s">
        <v>700</v>
      </c>
      <c r="B2480" s="12"/>
      <c r="C2480" s="12"/>
      <c r="D2480" s="12"/>
      <c r="E2480" s="12"/>
      <c r="F2480" s="12"/>
    </row>
    <row r="2481" ht="24" customHeight="1" hidden="1" spans="1:6" x14ac:dyDescent="0.25" outlineLevel="1" collapsed="1">
      <c r="A2481" s="12" t="s">
        <v>701</v>
      </c>
      <c r="B2481" s="12"/>
      <c r="C2481" s="12"/>
      <c r="D2481" s="12"/>
      <c r="E2481" s="12"/>
      <c r="F2481" s="12"/>
    </row>
    <row r="2482" ht="24" customHeight="1" hidden="1" spans="1:6" x14ac:dyDescent="0.25" outlineLevel="1" collapsed="1">
      <c r="A2482" s="12" t="s">
        <v>702</v>
      </c>
      <c r="B2482" s="12"/>
      <c r="C2482" s="12"/>
      <c r="D2482" s="12"/>
      <c r="E2482" s="12"/>
      <c r="F2482" s="12"/>
    </row>
    <row r="2483" ht="24" customHeight="1" hidden="1" spans="1:6" x14ac:dyDescent="0.25" outlineLevel="1" collapsed="1">
      <c r="A2483" s="12" t="s">
        <v>684</v>
      </c>
      <c r="B2483" s="12"/>
      <c r="C2483" s="12"/>
      <c r="D2483" s="12"/>
      <c r="E2483" s="12"/>
      <c r="F2483" s="12"/>
    </row>
    <row r="2484" ht="6" customHeight="1" hidden="1" x14ac:dyDescent="0.25" outlineLevel="1" collapsed="1"/>
    <row r="2485" ht="22" customHeight="1" spans="1:6" x14ac:dyDescent="0.25">
      <c r="A2485" s="25" t="s">
        <v>624</v>
      </c>
      <c r="B2485" s="25"/>
      <c r="C2485" s="25"/>
      <c r="D2485" s="25"/>
      <c r="E2485" s="25"/>
      <c r="F2485" s="25"/>
    </row>
    <row r="2486" ht="20" customHeight="1" hidden="1" spans="1:6" x14ac:dyDescent="0.25" outlineLevel="1" collapsed="1">
      <c r="A2486" s="26" t="s">
        <v>460</v>
      </c>
      <c r="B2486" s="26" t="s">
        <v>461</v>
      </c>
      <c r="C2486" s="26" t="s">
        <v>462</v>
      </c>
      <c r="D2486" s="26" t="s">
        <v>32</v>
      </c>
      <c r="E2486" s="26" t="s">
        <v>463</v>
      </c>
      <c r="F2486" s="26" t="s">
        <v>464</v>
      </c>
    </row>
    <row r="2487" ht="36" customHeight="1" hidden="1" spans="1:6" x14ac:dyDescent="0.25" outlineLevel="1" collapsed="1">
      <c r="A2487" s="27">
        <v>4220</v>
      </c>
      <c r="B2487" s="28" t="s">
        <v>543</v>
      </c>
      <c r="C2487" s="27" t="s">
        <v>466</v>
      </c>
      <c r="D2487" s="29" t="s">
        <v>32</v>
      </c>
      <c r="E2487" s="28" t="s">
        <v>675</v>
      </c>
      <c r="F2487" s="28" t="s">
        <v>32</v>
      </c>
    </row>
    <row r="2488" ht="21" customHeight="1" hidden="1" spans="1:6" x14ac:dyDescent="0.25" outlineLevel="1" collapsed="1">
      <c r="A2488" s="27">
        <v>4240</v>
      </c>
      <c r="B2488" s="28" t="s">
        <v>471</v>
      </c>
      <c r="C2488" s="27" t="s">
        <v>472</v>
      </c>
      <c r="D2488" s="29" t="s">
        <v>32</v>
      </c>
      <c r="E2488" s="28" t="s">
        <v>676</v>
      </c>
      <c r="F2488" s="28" t="s">
        <v>32</v>
      </c>
    </row>
    <row r="2489" ht="36" customHeight="1" hidden="1" spans="1:6" x14ac:dyDescent="0.25" outlineLevel="1" collapsed="1">
      <c r="A2489" s="27">
        <v>4230</v>
      </c>
      <c r="B2489" s="28" t="s">
        <v>544</v>
      </c>
      <c r="C2489" s="27" t="s">
        <v>472</v>
      </c>
      <c r="D2489" s="29" t="s">
        <v>32</v>
      </c>
      <c r="E2489" s="28" t="s">
        <v>710</v>
      </c>
      <c r="F2489" s="28" t="s">
        <v>32</v>
      </c>
    </row>
    <row r="2490" ht="22" customHeight="1" hidden="1" spans="1:6" x14ac:dyDescent="0.25" outlineLevel="1" collapsed="1">
      <c r="A2490" s="34" t="s">
        <v>495</v>
      </c>
      <c r="B2490" s="34"/>
      <c r="C2490" s="34"/>
      <c r="D2490" s="34"/>
      <c r="E2490" s="34"/>
      <c r="F2490" s="34"/>
    </row>
    <row r="2491" ht="24" customHeight="1" hidden="1" spans="1:6" x14ac:dyDescent="0.25" outlineLevel="1" collapsed="1">
      <c r="A2491" s="12" t="s">
        <v>681</v>
      </c>
      <c r="B2491" s="12"/>
      <c r="C2491" s="12"/>
      <c r="D2491" s="12"/>
      <c r="E2491" s="12"/>
      <c r="F2491" s="12"/>
    </row>
    <row r="2492" ht="24" customHeight="1" hidden="1" spans="1:6" x14ac:dyDescent="0.25" outlineLevel="1" collapsed="1">
      <c r="A2492" s="12" t="s">
        <v>682</v>
      </c>
      <c r="B2492" s="12"/>
      <c r="C2492" s="12"/>
      <c r="D2492" s="12"/>
      <c r="E2492" s="12"/>
      <c r="F2492" s="12"/>
    </row>
    <row r="2493" ht="24" customHeight="1" hidden="1" spans="1:6" x14ac:dyDescent="0.25" outlineLevel="1" collapsed="1">
      <c r="A2493" s="12" t="s">
        <v>711</v>
      </c>
      <c r="B2493" s="12"/>
      <c r="C2493" s="12"/>
      <c r="D2493" s="12"/>
      <c r="E2493" s="12"/>
      <c r="F2493" s="12"/>
    </row>
    <row r="2494" ht="24" customHeight="1" hidden="1" spans="1:6" x14ac:dyDescent="0.25" outlineLevel="1" collapsed="1">
      <c r="A2494" s="12" t="s">
        <v>684</v>
      </c>
      <c r="B2494" s="12"/>
      <c r="C2494" s="12"/>
      <c r="D2494" s="12"/>
      <c r="E2494" s="12"/>
      <c r="F2494" s="12"/>
    </row>
    <row r="2495" ht="6" customHeight="1" hidden="1" x14ac:dyDescent="0.25" outlineLevel="1" collapsed="1"/>
    <row r="2496" ht="22" customHeight="1" spans="1:6" x14ac:dyDescent="0.25">
      <c r="A2496" s="25" t="s">
        <v>629</v>
      </c>
      <c r="B2496" s="25"/>
      <c r="C2496" s="25"/>
      <c r="D2496" s="25"/>
      <c r="E2496" s="25"/>
      <c r="F2496" s="25"/>
    </row>
    <row r="2497" ht="20" customHeight="1" hidden="1" spans="1:6" x14ac:dyDescent="0.25" outlineLevel="1" collapsed="1">
      <c r="A2497" s="26" t="s">
        <v>460</v>
      </c>
      <c r="B2497" s="26" t="s">
        <v>461</v>
      </c>
      <c r="C2497" s="26" t="s">
        <v>462</v>
      </c>
      <c r="D2497" s="26" t="s">
        <v>32</v>
      </c>
      <c r="E2497" s="26" t="s">
        <v>463</v>
      </c>
      <c r="F2497" s="26" t="s">
        <v>464</v>
      </c>
    </row>
    <row r="2498" ht="36" customHeight="1" hidden="1" spans="1:6" x14ac:dyDescent="0.25" outlineLevel="1" collapsed="1">
      <c r="A2498" s="27">
        <v>4220</v>
      </c>
      <c r="B2498" s="28" t="s">
        <v>543</v>
      </c>
      <c r="C2498" s="27" t="s">
        <v>466</v>
      </c>
      <c r="D2498" s="29" t="s">
        <v>32</v>
      </c>
      <c r="E2498" s="28" t="s">
        <v>675</v>
      </c>
      <c r="F2498" s="28" t="s">
        <v>32</v>
      </c>
    </row>
    <row r="2499" ht="21" customHeight="1" hidden="1" spans="1:6" x14ac:dyDescent="0.25" outlineLevel="1" collapsed="1">
      <c r="A2499" s="27">
        <v>4240</v>
      </c>
      <c r="B2499" s="28" t="s">
        <v>471</v>
      </c>
      <c r="C2499" s="27" t="s">
        <v>472</v>
      </c>
      <c r="D2499" s="29" t="s">
        <v>32</v>
      </c>
      <c r="E2499" s="28" t="s">
        <v>712</v>
      </c>
      <c r="F2499" s="28" t="s">
        <v>32</v>
      </c>
    </row>
    <row r="2500" ht="51" customHeight="1" hidden="1" spans="1:6" x14ac:dyDescent="0.25" outlineLevel="1" collapsed="1">
      <c r="A2500" s="27">
        <v>4230</v>
      </c>
      <c r="B2500" s="28" t="s">
        <v>544</v>
      </c>
      <c r="C2500" s="27" t="s">
        <v>472</v>
      </c>
      <c r="D2500" s="29" t="s">
        <v>32</v>
      </c>
      <c r="E2500" s="28" t="s">
        <v>481</v>
      </c>
      <c r="F2500" s="28" t="s">
        <v>677</v>
      </c>
    </row>
    <row r="2501" ht="21" customHeight="1" hidden="1" spans="1:6" x14ac:dyDescent="0.25" outlineLevel="1" collapsed="1">
      <c r="A2501" s="30" t="s">
        <v>32</v>
      </c>
      <c r="B2501" s="17" t="s">
        <v>32</v>
      </c>
      <c r="C2501" s="30" t="s">
        <v>32</v>
      </c>
      <c r="D2501" s="31" t="s">
        <v>32</v>
      </c>
      <c r="E2501" s="17" t="s">
        <v>483</v>
      </c>
      <c r="F2501" s="17" t="s">
        <v>32</v>
      </c>
    </row>
    <row r="2502" ht="36" customHeight="1" hidden="1" spans="1:6" x14ac:dyDescent="0.25" outlineLevel="1" collapsed="1">
      <c r="A2502" s="32" t="s">
        <v>32</v>
      </c>
      <c r="B2502" s="12" t="s">
        <v>32</v>
      </c>
      <c r="C2502" s="32" t="s">
        <v>32</v>
      </c>
      <c r="D2502" s="31" t="s">
        <v>32</v>
      </c>
      <c r="E2502" s="12" t="s">
        <v>678</v>
      </c>
      <c r="F2502" s="12" t="s">
        <v>32</v>
      </c>
    </row>
    <row r="2503" ht="21" customHeight="1" hidden="1" spans="1:6" x14ac:dyDescent="0.25" outlineLevel="1" collapsed="1">
      <c r="A2503" s="30" t="s">
        <v>32</v>
      </c>
      <c r="B2503" s="17" t="s">
        <v>32</v>
      </c>
      <c r="C2503" s="30" t="s">
        <v>32</v>
      </c>
      <c r="D2503" s="31" t="s">
        <v>32</v>
      </c>
      <c r="E2503" s="17" t="s">
        <v>486</v>
      </c>
      <c r="F2503" s="17" t="s">
        <v>32</v>
      </c>
    </row>
    <row r="2504" ht="21" customHeight="1" hidden="1" spans="1:6" x14ac:dyDescent="0.25" outlineLevel="1" collapsed="1">
      <c r="A2504" s="32" t="s">
        <v>32</v>
      </c>
      <c r="B2504" s="12" t="s">
        <v>32</v>
      </c>
      <c r="C2504" s="32" t="s">
        <v>32</v>
      </c>
      <c r="D2504" s="31" t="s">
        <v>32</v>
      </c>
      <c r="E2504" s="12" t="s">
        <v>487</v>
      </c>
      <c r="F2504" s="12" t="s">
        <v>32</v>
      </c>
    </row>
    <row r="2505" ht="21" customHeight="1" hidden="1" spans="1:6" x14ac:dyDescent="0.25" outlineLevel="1" collapsed="1">
      <c r="A2505" s="30" t="s">
        <v>32</v>
      </c>
      <c r="B2505" s="17" t="s">
        <v>32</v>
      </c>
      <c r="C2505" s="30" t="s">
        <v>32</v>
      </c>
      <c r="D2505" s="31" t="s">
        <v>32</v>
      </c>
      <c r="E2505" s="17" t="s">
        <v>488</v>
      </c>
      <c r="F2505" s="17" t="s">
        <v>32</v>
      </c>
    </row>
    <row r="2506" ht="21" customHeight="1" hidden="1" spans="1:6" x14ac:dyDescent="0.25" outlineLevel="1" collapsed="1">
      <c r="A2506" s="32" t="s">
        <v>32</v>
      </c>
      <c r="B2506" s="12" t="s">
        <v>32</v>
      </c>
      <c r="C2506" s="32" t="s">
        <v>32</v>
      </c>
      <c r="D2506" s="31" t="s">
        <v>32</v>
      </c>
      <c r="E2506" s="12" t="s">
        <v>489</v>
      </c>
      <c r="F2506" s="12" t="s">
        <v>32</v>
      </c>
    </row>
    <row r="2507" ht="21" customHeight="1" hidden="1" spans="1:6" x14ac:dyDescent="0.25" outlineLevel="1" collapsed="1">
      <c r="A2507" s="30" t="s">
        <v>32</v>
      </c>
      <c r="B2507" s="17" t="s">
        <v>32</v>
      </c>
      <c r="C2507" s="30" t="s">
        <v>32</v>
      </c>
      <c r="D2507" s="31" t="s">
        <v>32</v>
      </c>
      <c r="E2507" s="17" t="s">
        <v>679</v>
      </c>
      <c r="F2507" s="17" t="s">
        <v>32</v>
      </c>
    </row>
    <row r="2508" ht="21" customHeight="1" hidden="1" spans="1:6" x14ac:dyDescent="0.25" outlineLevel="1" collapsed="1">
      <c r="A2508" s="32" t="s">
        <v>32</v>
      </c>
      <c r="B2508" s="12" t="s">
        <v>32</v>
      </c>
      <c r="C2508" s="32" t="s">
        <v>32</v>
      </c>
      <c r="D2508" s="31" t="s">
        <v>32</v>
      </c>
      <c r="E2508" s="12" t="s">
        <v>491</v>
      </c>
      <c r="F2508" s="12" t="s">
        <v>32</v>
      </c>
    </row>
    <row r="2509" ht="21" customHeight="1" hidden="1" spans="1:6" x14ac:dyDescent="0.25" outlineLevel="1" collapsed="1">
      <c r="A2509" s="30" t="s">
        <v>32</v>
      </c>
      <c r="B2509" s="17" t="s">
        <v>32</v>
      </c>
      <c r="C2509" s="30" t="s">
        <v>32</v>
      </c>
      <c r="D2509" s="31" t="s">
        <v>32</v>
      </c>
      <c r="E2509" s="17" t="s">
        <v>492</v>
      </c>
      <c r="F2509" s="17" t="s">
        <v>32</v>
      </c>
    </row>
    <row r="2510" ht="21" customHeight="1" hidden="1" spans="1:6" x14ac:dyDescent="0.25" outlineLevel="1" collapsed="1">
      <c r="A2510" s="32" t="s">
        <v>32</v>
      </c>
      <c r="B2510" s="12" t="s">
        <v>32</v>
      </c>
      <c r="C2510" s="32" t="s">
        <v>32</v>
      </c>
      <c r="D2510" s="31" t="s">
        <v>32</v>
      </c>
      <c r="E2510" s="33" t="s">
        <v>680</v>
      </c>
      <c r="F2510" s="12" t="s">
        <v>32</v>
      </c>
    </row>
    <row r="2511" ht="22" customHeight="1" hidden="1" spans="1:6" x14ac:dyDescent="0.25" outlineLevel="1" collapsed="1">
      <c r="A2511" s="34" t="s">
        <v>495</v>
      </c>
      <c r="B2511" s="34"/>
      <c r="C2511" s="34"/>
      <c r="D2511" s="34"/>
      <c r="E2511" s="34"/>
      <c r="F2511" s="34"/>
    </row>
    <row r="2512" ht="24" customHeight="1" hidden="1" spans="1:6" x14ac:dyDescent="0.25" outlineLevel="1" collapsed="1">
      <c r="A2512" s="12" t="s">
        <v>681</v>
      </c>
      <c r="B2512" s="12"/>
      <c r="C2512" s="12"/>
      <c r="D2512" s="12"/>
      <c r="E2512" s="12"/>
      <c r="F2512" s="12"/>
    </row>
    <row r="2513" ht="24" customHeight="1" hidden="1" spans="1:6" x14ac:dyDescent="0.25" outlineLevel="1" collapsed="1">
      <c r="A2513" s="12" t="s">
        <v>713</v>
      </c>
      <c r="B2513" s="12"/>
      <c r="C2513" s="12"/>
      <c r="D2513" s="12"/>
      <c r="E2513" s="12"/>
      <c r="F2513" s="12"/>
    </row>
    <row r="2514" ht="56" customHeight="1" hidden="1" spans="1:6" x14ac:dyDescent="0.25" outlineLevel="1" collapsed="1">
      <c r="A2514" s="12" t="s">
        <v>683</v>
      </c>
      <c r="B2514" s="12"/>
      <c r="C2514" s="12"/>
      <c r="D2514" s="12"/>
      <c r="E2514" s="12"/>
      <c r="F2514" s="12"/>
    </row>
    <row r="2515" ht="24" customHeight="1" hidden="1" spans="1:6" x14ac:dyDescent="0.25" outlineLevel="1" collapsed="1">
      <c r="A2515" s="12" t="s">
        <v>684</v>
      </c>
      <c r="B2515" s="12"/>
      <c r="C2515" s="12"/>
      <c r="D2515" s="12"/>
      <c r="E2515" s="12"/>
      <c r="F2515" s="12"/>
    </row>
    <row r="2516" ht="6" customHeight="1" hidden="1" x14ac:dyDescent="0.25" outlineLevel="1" collapsed="1"/>
    <row r="2517" ht="22" customHeight="1" spans="1:6" x14ac:dyDescent="0.25">
      <c r="A2517" s="25" t="s">
        <v>630</v>
      </c>
      <c r="B2517" s="25"/>
      <c r="C2517" s="25"/>
      <c r="D2517" s="25"/>
      <c r="E2517" s="25"/>
      <c r="F2517" s="25"/>
    </row>
    <row r="2518" ht="20" customHeight="1" hidden="1" spans="1:6" x14ac:dyDescent="0.25" outlineLevel="1" collapsed="1">
      <c r="A2518" s="26" t="s">
        <v>460</v>
      </c>
      <c r="B2518" s="26" t="s">
        <v>461</v>
      </c>
      <c r="C2518" s="26" t="s">
        <v>462</v>
      </c>
      <c r="D2518" s="26" t="s">
        <v>32</v>
      </c>
      <c r="E2518" s="26" t="s">
        <v>463</v>
      </c>
      <c r="F2518" s="26" t="s">
        <v>464</v>
      </c>
    </row>
    <row r="2519" ht="36" customHeight="1" hidden="1" spans="1:6" x14ac:dyDescent="0.25" outlineLevel="1" collapsed="1">
      <c r="A2519" s="27">
        <v>4220</v>
      </c>
      <c r="B2519" s="28" t="s">
        <v>543</v>
      </c>
      <c r="C2519" s="27" t="s">
        <v>466</v>
      </c>
      <c r="D2519" s="29" t="s">
        <v>32</v>
      </c>
      <c r="E2519" s="28" t="s">
        <v>675</v>
      </c>
      <c r="F2519" s="28" t="s">
        <v>32</v>
      </c>
    </row>
    <row r="2520" ht="21" customHeight="1" hidden="1" spans="1:6" x14ac:dyDescent="0.25" outlineLevel="1" collapsed="1">
      <c r="A2520" s="27">
        <v>4240</v>
      </c>
      <c r="B2520" s="28" t="s">
        <v>471</v>
      </c>
      <c r="C2520" s="27" t="s">
        <v>472</v>
      </c>
      <c r="D2520" s="29" t="s">
        <v>32</v>
      </c>
      <c r="E2520" s="28" t="s">
        <v>676</v>
      </c>
      <c r="F2520" s="28" t="s">
        <v>32</v>
      </c>
    </row>
    <row r="2521" ht="51" customHeight="1" hidden="1" spans="1:6" x14ac:dyDescent="0.25" outlineLevel="1" collapsed="1">
      <c r="A2521" s="27">
        <v>4230</v>
      </c>
      <c r="B2521" s="28" t="s">
        <v>544</v>
      </c>
      <c r="C2521" s="27" t="s">
        <v>472</v>
      </c>
      <c r="D2521" s="29" t="s">
        <v>32</v>
      </c>
      <c r="E2521" s="28" t="s">
        <v>576</v>
      </c>
      <c r="F2521" s="28" t="s">
        <v>677</v>
      </c>
    </row>
    <row r="2522" ht="21" customHeight="1" hidden="1" spans="1:6" x14ac:dyDescent="0.25" outlineLevel="1" collapsed="1">
      <c r="A2522" s="30" t="s">
        <v>32</v>
      </c>
      <c r="B2522" s="17" t="s">
        <v>32</v>
      </c>
      <c r="C2522" s="30" t="s">
        <v>32</v>
      </c>
      <c r="D2522" s="31" t="s">
        <v>32</v>
      </c>
      <c r="E2522" s="17" t="s">
        <v>577</v>
      </c>
      <c r="F2522" s="17" t="s">
        <v>32</v>
      </c>
    </row>
    <row r="2523" ht="36" customHeight="1" hidden="1" spans="1:6" x14ac:dyDescent="0.25" outlineLevel="1" collapsed="1">
      <c r="A2523" s="32" t="s">
        <v>32</v>
      </c>
      <c r="B2523" s="12" t="s">
        <v>32</v>
      </c>
      <c r="C2523" s="32" t="s">
        <v>32</v>
      </c>
      <c r="D2523" s="31" t="s">
        <v>32</v>
      </c>
      <c r="E2523" s="12" t="s">
        <v>714</v>
      </c>
      <c r="F2523" s="12" t="s">
        <v>32</v>
      </c>
    </row>
    <row r="2524" ht="21" customHeight="1" hidden="1" spans="1:6" x14ac:dyDescent="0.25" outlineLevel="1" collapsed="1">
      <c r="A2524" s="30" t="s">
        <v>32</v>
      </c>
      <c r="B2524" s="17" t="s">
        <v>32</v>
      </c>
      <c r="C2524" s="30" t="s">
        <v>32</v>
      </c>
      <c r="D2524" s="31" t="s">
        <v>32</v>
      </c>
      <c r="E2524" s="17" t="s">
        <v>580</v>
      </c>
      <c r="F2524" s="17" t="s">
        <v>32</v>
      </c>
    </row>
    <row r="2525" ht="21" customHeight="1" hidden="1" spans="1:6" x14ac:dyDescent="0.25" outlineLevel="1" collapsed="1">
      <c r="A2525" s="32" t="s">
        <v>32</v>
      </c>
      <c r="B2525" s="12" t="s">
        <v>32</v>
      </c>
      <c r="C2525" s="32" t="s">
        <v>32</v>
      </c>
      <c r="D2525" s="31" t="s">
        <v>32</v>
      </c>
      <c r="E2525" s="12" t="s">
        <v>551</v>
      </c>
      <c r="F2525" s="12" t="s">
        <v>32</v>
      </c>
    </row>
    <row r="2526" ht="21" customHeight="1" hidden="1" spans="1:6" x14ac:dyDescent="0.25" outlineLevel="1" collapsed="1">
      <c r="A2526" s="30" t="s">
        <v>32</v>
      </c>
      <c r="B2526" s="17" t="s">
        <v>32</v>
      </c>
      <c r="C2526" s="30" t="s">
        <v>32</v>
      </c>
      <c r="D2526" s="31" t="s">
        <v>32</v>
      </c>
      <c r="E2526" s="17" t="s">
        <v>581</v>
      </c>
      <c r="F2526" s="17" t="s">
        <v>32</v>
      </c>
    </row>
    <row r="2527" ht="21" customHeight="1" hidden="1" spans="1:6" x14ac:dyDescent="0.25" outlineLevel="1" collapsed="1">
      <c r="A2527" s="32" t="s">
        <v>32</v>
      </c>
      <c r="B2527" s="12" t="s">
        <v>32</v>
      </c>
      <c r="C2527" s="32" t="s">
        <v>32</v>
      </c>
      <c r="D2527" s="31" t="s">
        <v>32</v>
      </c>
      <c r="E2527" s="12" t="s">
        <v>582</v>
      </c>
      <c r="F2527" s="12" t="s">
        <v>32</v>
      </c>
    </row>
    <row r="2528" ht="21" customHeight="1" hidden="1" spans="1:6" x14ac:dyDescent="0.25" outlineLevel="1" collapsed="1">
      <c r="A2528" s="30" t="s">
        <v>32</v>
      </c>
      <c r="B2528" s="17" t="s">
        <v>32</v>
      </c>
      <c r="C2528" s="30" t="s">
        <v>32</v>
      </c>
      <c r="D2528" s="31" t="s">
        <v>32</v>
      </c>
      <c r="E2528" s="17" t="s">
        <v>607</v>
      </c>
      <c r="F2528" s="17" t="s">
        <v>32</v>
      </c>
    </row>
    <row r="2529" ht="21" customHeight="1" hidden="1" spans="1:6" x14ac:dyDescent="0.25" outlineLevel="1" collapsed="1">
      <c r="A2529" s="32" t="s">
        <v>32</v>
      </c>
      <c r="B2529" s="12" t="s">
        <v>32</v>
      </c>
      <c r="C2529" s="32" t="s">
        <v>32</v>
      </c>
      <c r="D2529" s="31" t="s">
        <v>32</v>
      </c>
      <c r="E2529" s="12" t="s">
        <v>555</v>
      </c>
      <c r="F2529" s="12" t="s">
        <v>32</v>
      </c>
    </row>
    <row r="2530" ht="21" customHeight="1" hidden="1" spans="1:6" x14ac:dyDescent="0.25" outlineLevel="1" collapsed="1">
      <c r="A2530" s="30" t="s">
        <v>32</v>
      </c>
      <c r="B2530" s="17" t="s">
        <v>32</v>
      </c>
      <c r="C2530" s="30" t="s">
        <v>32</v>
      </c>
      <c r="D2530" s="31" t="s">
        <v>32</v>
      </c>
      <c r="E2530" s="17" t="s">
        <v>584</v>
      </c>
      <c r="F2530" s="17" t="s">
        <v>32</v>
      </c>
    </row>
    <row r="2531" ht="21" customHeight="1" hidden="1" spans="1:6" x14ac:dyDescent="0.25" outlineLevel="1" collapsed="1">
      <c r="A2531" s="32" t="s">
        <v>32</v>
      </c>
      <c r="B2531" s="12" t="s">
        <v>32</v>
      </c>
      <c r="C2531" s="32" t="s">
        <v>32</v>
      </c>
      <c r="D2531" s="31" t="s">
        <v>32</v>
      </c>
      <c r="E2531" s="33" t="s">
        <v>680</v>
      </c>
      <c r="F2531" s="12" t="s">
        <v>32</v>
      </c>
    </row>
    <row r="2532" ht="22" customHeight="1" hidden="1" spans="1:6" x14ac:dyDescent="0.25" outlineLevel="1" collapsed="1">
      <c r="A2532" s="34" t="s">
        <v>495</v>
      </c>
      <c r="B2532" s="34"/>
      <c r="C2532" s="34"/>
      <c r="D2532" s="34"/>
      <c r="E2532" s="34"/>
      <c r="F2532" s="34"/>
    </row>
    <row r="2533" ht="24" customHeight="1" hidden="1" spans="1:6" x14ac:dyDescent="0.25" outlineLevel="1" collapsed="1">
      <c r="A2533" s="12" t="s">
        <v>681</v>
      </c>
      <c r="B2533" s="12"/>
      <c r="C2533" s="12"/>
      <c r="D2533" s="12"/>
      <c r="E2533" s="12"/>
      <c r="F2533" s="12"/>
    </row>
    <row r="2534" ht="24" customHeight="1" hidden="1" spans="1:6" x14ac:dyDescent="0.25" outlineLevel="1" collapsed="1">
      <c r="A2534" s="12" t="s">
        <v>682</v>
      </c>
      <c r="B2534" s="12"/>
      <c r="C2534" s="12"/>
      <c r="D2534" s="12"/>
      <c r="E2534" s="12"/>
      <c r="F2534" s="12"/>
    </row>
    <row r="2535" ht="56" customHeight="1" hidden="1" spans="1:6" x14ac:dyDescent="0.25" outlineLevel="1" collapsed="1">
      <c r="A2535" s="12" t="s">
        <v>715</v>
      </c>
      <c r="B2535" s="12"/>
      <c r="C2535" s="12"/>
      <c r="D2535" s="12"/>
      <c r="E2535" s="12"/>
      <c r="F2535" s="12"/>
    </row>
    <row r="2536" ht="24" customHeight="1" hidden="1" spans="1:6" x14ac:dyDescent="0.25" outlineLevel="1" collapsed="1">
      <c r="A2536" s="12" t="s">
        <v>684</v>
      </c>
      <c r="B2536" s="12"/>
      <c r="C2536" s="12"/>
      <c r="D2536" s="12"/>
      <c r="E2536" s="12"/>
      <c r="F2536" s="12"/>
    </row>
    <row r="2537" ht="6" customHeight="1" hidden="1" x14ac:dyDescent="0.25" outlineLevel="1" collapsed="1"/>
    <row r="2538" ht="12" customHeight="1" x14ac:dyDescent="0.25"/>
    <row r="2539" ht="24" customHeight="1" spans="1:6" x14ac:dyDescent="0.25">
      <c r="A2539" s="24" t="s">
        <v>718</v>
      </c>
      <c r="B2539" s="24"/>
      <c r="C2539" s="24"/>
      <c r="D2539" s="24"/>
      <c r="E2539" s="24"/>
      <c r="F2539" s="24"/>
    </row>
    <row r="2540" ht="22" customHeight="1" spans="1:6" x14ac:dyDescent="0.25">
      <c r="A2540" s="25" t="s">
        <v>459</v>
      </c>
      <c r="B2540" s="25"/>
      <c r="C2540" s="25"/>
      <c r="D2540" s="25"/>
      <c r="E2540" s="25"/>
      <c r="F2540" s="25"/>
    </row>
    <row r="2541" ht="20" customHeight="1" hidden="1" spans="1:6" x14ac:dyDescent="0.25" outlineLevel="1" collapsed="1">
      <c r="A2541" s="26" t="s">
        <v>460</v>
      </c>
      <c r="B2541" s="26" t="s">
        <v>461</v>
      </c>
      <c r="C2541" s="26" t="s">
        <v>462</v>
      </c>
      <c r="D2541" s="26" t="s">
        <v>32</v>
      </c>
      <c r="E2541" s="26" t="s">
        <v>463</v>
      </c>
      <c r="F2541" s="26" t="s">
        <v>464</v>
      </c>
    </row>
    <row r="2542" ht="51" customHeight="1" hidden="1" spans="1:6" x14ac:dyDescent="0.25" outlineLevel="1" collapsed="1">
      <c r="A2542" s="27">
        <v>4220</v>
      </c>
      <c r="B2542" s="28" t="s">
        <v>465</v>
      </c>
      <c r="C2542" s="27" t="s">
        <v>466</v>
      </c>
      <c r="D2542" s="29" t="s">
        <v>32</v>
      </c>
      <c r="E2542" s="28" t="s">
        <v>467</v>
      </c>
      <c r="F2542" s="28" t="s">
        <v>468</v>
      </c>
    </row>
    <row r="2543" ht="36" customHeight="1" hidden="1" spans="1:6" x14ac:dyDescent="0.25" outlineLevel="1" collapsed="1">
      <c r="A2543" s="30" t="s">
        <v>32</v>
      </c>
      <c r="B2543" s="17" t="s">
        <v>32</v>
      </c>
      <c r="C2543" s="30" t="s">
        <v>32</v>
      </c>
      <c r="D2543" s="31" t="s">
        <v>32</v>
      </c>
      <c r="E2543" s="17" t="s">
        <v>469</v>
      </c>
      <c r="F2543" s="17" t="s">
        <v>32</v>
      </c>
    </row>
    <row r="2544" ht="21" customHeight="1" hidden="1" spans="1:6" x14ac:dyDescent="0.25" outlineLevel="1" collapsed="1">
      <c r="A2544" s="32" t="s">
        <v>32</v>
      </c>
      <c r="B2544" s="12" t="s">
        <v>32</v>
      </c>
      <c r="C2544" s="32" t="s">
        <v>32</v>
      </c>
      <c r="D2544" s="31" t="s">
        <v>32</v>
      </c>
      <c r="E2544" s="33" t="s">
        <v>632</v>
      </c>
      <c r="F2544" s="12" t="s">
        <v>32</v>
      </c>
    </row>
    <row r="2545" ht="51" customHeight="1" hidden="1" spans="1:6" x14ac:dyDescent="0.25" outlineLevel="1" collapsed="1">
      <c r="A2545" s="27">
        <v>4240</v>
      </c>
      <c r="B2545" s="28" t="s">
        <v>471</v>
      </c>
      <c r="C2545" s="27" t="s">
        <v>472</v>
      </c>
      <c r="D2545" s="29" t="s">
        <v>32</v>
      </c>
      <c r="E2545" s="28" t="s">
        <v>473</v>
      </c>
      <c r="F2545" s="28" t="s">
        <v>474</v>
      </c>
    </row>
    <row r="2546" ht="21" customHeight="1" hidden="1" spans="1:6" x14ac:dyDescent="0.25" outlineLevel="1" collapsed="1">
      <c r="A2546" s="30" t="s">
        <v>32</v>
      </c>
      <c r="B2546" s="17" t="s">
        <v>32</v>
      </c>
      <c r="C2546" s="30" t="s">
        <v>32</v>
      </c>
      <c r="D2546" s="31" t="s">
        <v>32</v>
      </c>
      <c r="E2546" s="17" t="s">
        <v>475</v>
      </c>
      <c r="F2546" s="17" t="s">
        <v>32</v>
      </c>
    </row>
    <row r="2547" ht="36" customHeight="1" hidden="1" spans="1:6" x14ac:dyDescent="0.25" outlineLevel="1" collapsed="1">
      <c r="A2547" s="32" t="s">
        <v>32</v>
      </c>
      <c r="B2547" s="12" t="s">
        <v>32</v>
      </c>
      <c r="C2547" s="32" t="s">
        <v>32</v>
      </c>
      <c r="D2547" s="31" t="s">
        <v>32</v>
      </c>
      <c r="E2547" s="12" t="s">
        <v>476</v>
      </c>
      <c r="F2547" s="12" t="s">
        <v>32</v>
      </c>
    </row>
    <row r="2548" ht="36" customHeight="1" hidden="1" spans="1:6" x14ac:dyDescent="0.25" outlineLevel="1" collapsed="1">
      <c r="A2548" s="30" t="s">
        <v>32</v>
      </c>
      <c r="B2548" s="17" t="s">
        <v>32</v>
      </c>
      <c r="C2548" s="30" t="s">
        <v>32</v>
      </c>
      <c r="D2548" s="31" t="s">
        <v>32</v>
      </c>
      <c r="E2548" s="17" t="s">
        <v>477</v>
      </c>
      <c r="F2548" s="17" t="s">
        <v>32</v>
      </c>
    </row>
    <row r="2549" ht="36" customHeight="1" hidden="1" spans="1:6" x14ac:dyDescent="0.25" outlineLevel="1" collapsed="1">
      <c r="A2549" s="32" t="s">
        <v>32</v>
      </c>
      <c r="B2549" s="12" t="s">
        <v>32</v>
      </c>
      <c r="C2549" s="32" t="s">
        <v>32</v>
      </c>
      <c r="D2549" s="31" t="s">
        <v>32</v>
      </c>
      <c r="E2549" s="12" t="s">
        <v>478</v>
      </c>
      <c r="F2549" s="12" t="s">
        <v>32</v>
      </c>
    </row>
    <row r="2550" ht="21" customHeight="1" hidden="1" spans="1:6" x14ac:dyDescent="0.25" outlineLevel="1" collapsed="1">
      <c r="A2550" s="30" t="s">
        <v>32</v>
      </c>
      <c r="B2550" s="17" t="s">
        <v>32</v>
      </c>
      <c r="C2550" s="30" t="s">
        <v>32</v>
      </c>
      <c r="D2550" s="31" t="s">
        <v>32</v>
      </c>
      <c r="E2550" s="17" t="s">
        <v>479</v>
      </c>
      <c r="F2550" s="17" t="s">
        <v>32</v>
      </c>
    </row>
    <row r="2551" ht="21" customHeight="1" hidden="1" spans="1:6" x14ac:dyDescent="0.25" outlineLevel="1" collapsed="1">
      <c r="A2551" s="32" t="s">
        <v>32</v>
      </c>
      <c r="B2551" s="12" t="s">
        <v>32</v>
      </c>
      <c r="C2551" s="32" t="s">
        <v>32</v>
      </c>
      <c r="D2551" s="31" t="s">
        <v>32</v>
      </c>
      <c r="E2551" s="33" t="s">
        <v>632</v>
      </c>
      <c r="F2551" s="12" t="s">
        <v>32</v>
      </c>
    </row>
    <row r="2552" ht="51" customHeight="1" hidden="1" spans="1:6" x14ac:dyDescent="0.25" outlineLevel="1" collapsed="1">
      <c r="A2552" s="27">
        <v>4230</v>
      </c>
      <c r="B2552" s="28" t="s">
        <v>480</v>
      </c>
      <c r="C2552" s="27" t="s">
        <v>472</v>
      </c>
      <c r="D2552" s="29" t="s">
        <v>32</v>
      </c>
      <c r="E2552" s="28" t="s">
        <v>481</v>
      </c>
      <c r="F2552" s="28" t="s">
        <v>482</v>
      </c>
    </row>
    <row r="2553" ht="21" customHeight="1" hidden="1" spans="1:6" x14ac:dyDescent="0.25" outlineLevel="1" collapsed="1">
      <c r="A2553" s="30" t="s">
        <v>32</v>
      </c>
      <c r="B2553" s="17" t="s">
        <v>32</v>
      </c>
      <c r="C2553" s="30" t="s">
        <v>32</v>
      </c>
      <c r="D2553" s="31" t="s">
        <v>32</v>
      </c>
      <c r="E2553" s="17" t="s">
        <v>483</v>
      </c>
      <c r="F2553" s="17" t="s">
        <v>32</v>
      </c>
    </row>
    <row r="2554" ht="36" customHeight="1" hidden="1" spans="1:6" x14ac:dyDescent="0.25" outlineLevel="1" collapsed="1">
      <c r="A2554" s="32" t="s">
        <v>32</v>
      </c>
      <c r="B2554" s="12" t="s">
        <v>32</v>
      </c>
      <c r="C2554" s="32" t="s">
        <v>32</v>
      </c>
      <c r="D2554" s="31" t="s">
        <v>32</v>
      </c>
      <c r="E2554" s="12" t="s">
        <v>484</v>
      </c>
      <c r="F2554" s="12" t="s">
        <v>32</v>
      </c>
    </row>
    <row r="2555" ht="36" customHeight="1" hidden="1" spans="1:6" x14ac:dyDescent="0.25" outlineLevel="1" collapsed="1">
      <c r="A2555" s="30" t="s">
        <v>32</v>
      </c>
      <c r="B2555" s="17" t="s">
        <v>32</v>
      </c>
      <c r="C2555" s="30" t="s">
        <v>32</v>
      </c>
      <c r="D2555" s="31" t="s">
        <v>32</v>
      </c>
      <c r="E2555" s="17" t="s">
        <v>485</v>
      </c>
      <c r="F2555" s="17" t="s">
        <v>32</v>
      </c>
    </row>
    <row r="2556" ht="21" customHeight="1" hidden="1" spans="1:6" x14ac:dyDescent="0.25" outlineLevel="1" collapsed="1">
      <c r="A2556" s="32" t="s">
        <v>32</v>
      </c>
      <c r="B2556" s="12" t="s">
        <v>32</v>
      </c>
      <c r="C2556" s="32" t="s">
        <v>32</v>
      </c>
      <c r="D2556" s="31" t="s">
        <v>32</v>
      </c>
      <c r="E2556" s="12" t="s">
        <v>486</v>
      </c>
      <c r="F2556" s="12" t="s">
        <v>32</v>
      </c>
    </row>
    <row r="2557" ht="21" customHeight="1" hidden="1" spans="1:6" x14ac:dyDescent="0.25" outlineLevel="1" collapsed="1">
      <c r="A2557" s="30" t="s">
        <v>32</v>
      </c>
      <c r="B2557" s="17" t="s">
        <v>32</v>
      </c>
      <c r="C2557" s="30" t="s">
        <v>32</v>
      </c>
      <c r="D2557" s="31" t="s">
        <v>32</v>
      </c>
      <c r="E2557" s="17" t="s">
        <v>487</v>
      </c>
      <c r="F2557" s="17" t="s">
        <v>32</v>
      </c>
    </row>
    <row r="2558" ht="21" customHeight="1" hidden="1" spans="1:6" x14ac:dyDescent="0.25" outlineLevel="1" collapsed="1">
      <c r="A2558" s="32" t="s">
        <v>32</v>
      </c>
      <c r="B2558" s="12" t="s">
        <v>32</v>
      </c>
      <c r="C2558" s="32" t="s">
        <v>32</v>
      </c>
      <c r="D2558" s="31" t="s">
        <v>32</v>
      </c>
      <c r="E2558" s="12" t="s">
        <v>488</v>
      </c>
      <c r="F2558" s="12" t="s">
        <v>32</v>
      </c>
    </row>
    <row r="2559" ht="21" customHeight="1" hidden="1" spans="1:6" x14ac:dyDescent="0.25" outlineLevel="1" collapsed="1">
      <c r="A2559" s="30" t="s">
        <v>32</v>
      </c>
      <c r="B2559" s="17" t="s">
        <v>32</v>
      </c>
      <c r="C2559" s="30" t="s">
        <v>32</v>
      </c>
      <c r="D2559" s="31" t="s">
        <v>32</v>
      </c>
      <c r="E2559" s="17" t="s">
        <v>489</v>
      </c>
      <c r="F2559" s="17" t="s">
        <v>32</v>
      </c>
    </row>
    <row r="2560" ht="21" customHeight="1" hidden="1" spans="1:6" x14ac:dyDescent="0.25" outlineLevel="1" collapsed="1">
      <c r="A2560" s="32" t="s">
        <v>32</v>
      </c>
      <c r="B2560" s="12" t="s">
        <v>32</v>
      </c>
      <c r="C2560" s="32" t="s">
        <v>32</v>
      </c>
      <c r="D2560" s="31" t="s">
        <v>32</v>
      </c>
      <c r="E2560" s="12" t="s">
        <v>490</v>
      </c>
      <c r="F2560" s="12" t="s">
        <v>32</v>
      </c>
    </row>
    <row r="2561" ht="21" customHeight="1" hidden="1" spans="1:6" x14ac:dyDescent="0.25" outlineLevel="1" collapsed="1">
      <c r="A2561" s="30" t="s">
        <v>32</v>
      </c>
      <c r="B2561" s="17" t="s">
        <v>32</v>
      </c>
      <c r="C2561" s="30" t="s">
        <v>32</v>
      </c>
      <c r="D2561" s="31" t="s">
        <v>32</v>
      </c>
      <c r="E2561" s="17" t="s">
        <v>491</v>
      </c>
      <c r="F2561" s="17" t="s">
        <v>32</v>
      </c>
    </row>
    <row r="2562" ht="21" customHeight="1" hidden="1" spans="1:6" x14ac:dyDescent="0.25" outlineLevel="1" collapsed="1">
      <c r="A2562" s="32" t="s">
        <v>32</v>
      </c>
      <c r="B2562" s="12" t="s">
        <v>32</v>
      </c>
      <c r="C2562" s="32" t="s">
        <v>32</v>
      </c>
      <c r="D2562" s="31" t="s">
        <v>32</v>
      </c>
      <c r="E2562" s="12" t="s">
        <v>492</v>
      </c>
      <c r="F2562" s="12" t="s">
        <v>32</v>
      </c>
    </row>
    <row r="2563" ht="21" customHeight="1" hidden="1" spans="1:6" x14ac:dyDescent="0.25" outlineLevel="1" collapsed="1">
      <c r="A2563" s="30" t="s">
        <v>32</v>
      </c>
      <c r="B2563" s="17" t="s">
        <v>32</v>
      </c>
      <c r="C2563" s="30" t="s">
        <v>32</v>
      </c>
      <c r="D2563" s="31" t="s">
        <v>32</v>
      </c>
      <c r="E2563" s="17" t="s">
        <v>493</v>
      </c>
      <c r="F2563" s="17" t="s">
        <v>32</v>
      </c>
    </row>
    <row r="2564" ht="21" customHeight="1" hidden="1" spans="1:6" x14ac:dyDescent="0.25" outlineLevel="1" collapsed="1">
      <c r="A2564" s="32" t="s">
        <v>32</v>
      </c>
      <c r="B2564" s="12" t="s">
        <v>32</v>
      </c>
      <c r="C2564" s="32" t="s">
        <v>32</v>
      </c>
      <c r="D2564" s="31" t="s">
        <v>32</v>
      </c>
      <c r="E2564" s="33" t="s">
        <v>633</v>
      </c>
      <c r="F2564" s="12" t="s">
        <v>32</v>
      </c>
    </row>
    <row r="2565" ht="22" customHeight="1" hidden="1" spans="1:6" x14ac:dyDescent="0.25" outlineLevel="1" collapsed="1">
      <c r="A2565" s="34" t="s">
        <v>495</v>
      </c>
      <c r="B2565" s="34"/>
      <c r="C2565" s="34"/>
      <c r="D2565" s="34"/>
      <c r="E2565" s="34"/>
      <c r="F2565" s="34"/>
    </row>
    <row r="2566" ht="24" customHeight="1" hidden="1" spans="1:6" x14ac:dyDescent="0.25" outlineLevel="1" collapsed="1">
      <c r="A2566" s="12" t="s">
        <v>634</v>
      </c>
      <c r="B2566" s="12"/>
      <c r="C2566" s="12"/>
      <c r="D2566" s="12"/>
      <c r="E2566" s="12"/>
      <c r="F2566" s="12"/>
    </row>
    <row r="2567" ht="40" customHeight="1" hidden="1" spans="1:6" x14ac:dyDescent="0.25" outlineLevel="1" collapsed="1">
      <c r="A2567" s="12" t="s">
        <v>635</v>
      </c>
      <c r="B2567" s="12"/>
      <c r="C2567" s="12"/>
      <c r="D2567" s="12"/>
      <c r="E2567" s="12"/>
      <c r="F2567" s="12"/>
    </row>
    <row r="2568" ht="56" customHeight="1" hidden="1" spans="1:6" x14ac:dyDescent="0.25" outlineLevel="1" collapsed="1">
      <c r="A2568" s="12" t="s">
        <v>636</v>
      </c>
      <c r="B2568" s="12"/>
      <c r="C2568" s="12"/>
      <c r="D2568" s="12"/>
      <c r="E2568" s="12"/>
      <c r="F2568" s="12"/>
    </row>
    <row r="2569" ht="24" customHeight="1" hidden="1" spans="1:6" x14ac:dyDescent="0.25" outlineLevel="1" collapsed="1">
      <c r="A2569" s="12" t="s">
        <v>499</v>
      </c>
      <c r="B2569" s="12"/>
      <c r="C2569" s="12"/>
      <c r="D2569" s="12"/>
      <c r="E2569" s="12"/>
      <c r="F2569" s="12"/>
    </row>
    <row r="2570" ht="6" customHeight="1" hidden="1" x14ac:dyDescent="0.25" outlineLevel="1" collapsed="1"/>
    <row r="2571" ht="22" customHeight="1" spans="1:6" x14ac:dyDescent="0.25">
      <c r="A2571" s="25" t="s">
        <v>500</v>
      </c>
      <c r="B2571" s="25"/>
      <c r="C2571" s="25"/>
      <c r="D2571" s="25"/>
      <c r="E2571" s="25"/>
      <c r="F2571" s="25"/>
    </row>
    <row r="2572" ht="20" customHeight="1" hidden="1" spans="1:6" x14ac:dyDescent="0.25" outlineLevel="1" collapsed="1">
      <c r="A2572" s="26" t="s">
        <v>460</v>
      </c>
      <c r="B2572" s="26" t="s">
        <v>461</v>
      </c>
      <c r="C2572" s="26" t="s">
        <v>462</v>
      </c>
      <c r="D2572" s="26" t="s">
        <v>32</v>
      </c>
      <c r="E2572" s="26" t="s">
        <v>463</v>
      </c>
      <c r="F2572" s="26" t="s">
        <v>464</v>
      </c>
    </row>
    <row r="2573" ht="51" customHeight="1" hidden="1" spans="1:6" x14ac:dyDescent="0.25" outlineLevel="1" collapsed="1">
      <c r="A2573" s="27">
        <v>4220</v>
      </c>
      <c r="B2573" s="28" t="s">
        <v>501</v>
      </c>
      <c r="C2573" s="27" t="s">
        <v>466</v>
      </c>
      <c r="D2573" s="29" t="s">
        <v>32</v>
      </c>
      <c r="E2573" s="28" t="s">
        <v>637</v>
      </c>
      <c r="F2573" s="28" t="s">
        <v>503</v>
      </c>
    </row>
    <row r="2574" ht="36" customHeight="1" hidden="1" spans="1:6" x14ac:dyDescent="0.25" outlineLevel="1" collapsed="1">
      <c r="A2574" s="30" t="s">
        <v>32</v>
      </c>
      <c r="B2574" s="17" t="s">
        <v>32</v>
      </c>
      <c r="C2574" s="30" t="s">
        <v>32</v>
      </c>
      <c r="D2574" s="31" t="s">
        <v>32</v>
      </c>
      <c r="E2574" s="17" t="s">
        <v>469</v>
      </c>
      <c r="F2574" s="17" t="s">
        <v>32</v>
      </c>
    </row>
    <row r="2575" ht="51" customHeight="1" hidden="1" spans="1:6" x14ac:dyDescent="0.25" outlineLevel="1" collapsed="1">
      <c r="A2575" s="27">
        <v>4240</v>
      </c>
      <c r="B2575" s="28" t="s">
        <v>504</v>
      </c>
      <c r="C2575" s="27" t="s">
        <v>472</v>
      </c>
      <c r="D2575" s="29" t="s">
        <v>32</v>
      </c>
      <c r="E2575" s="28" t="s">
        <v>473</v>
      </c>
      <c r="F2575" s="28" t="s">
        <v>474</v>
      </c>
    </row>
    <row r="2576" ht="21" customHeight="1" hidden="1" spans="1:6" x14ac:dyDescent="0.25" outlineLevel="1" collapsed="1">
      <c r="A2576" s="30" t="s">
        <v>32</v>
      </c>
      <c r="B2576" s="17" t="s">
        <v>32</v>
      </c>
      <c r="C2576" s="30" t="s">
        <v>32</v>
      </c>
      <c r="D2576" s="31" t="s">
        <v>32</v>
      </c>
      <c r="E2576" s="17" t="s">
        <v>475</v>
      </c>
      <c r="F2576" s="17" t="s">
        <v>32</v>
      </c>
    </row>
    <row r="2577" ht="36" customHeight="1" hidden="1" spans="1:6" x14ac:dyDescent="0.25" outlineLevel="1" collapsed="1">
      <c r="A2577" s="32" t="s">
        <v>32</v>
      </c>
      <c r="B2577" s="12" t="s">
        <v>32</v>
      </c>
      <c r="C2577" s="32" t="s">
        <v>32</v>
      </c>
      <c r="D2577" s="31" t="s">
        <v>32</v>
      </c>
      <c r="E2577" s="12" t="s">
        <v>476</v>
      </c>
      <c r="F2577" s="12" t="s">
        <v>32</v>
      </c>
    </row>
    <row r="2578" ht="36" customHeight="1" hidden="1" spans="1:6" x14ac:dyDescent="0.25" outlineLevel="1" collapsed="1">
      <c r="A2578" s="30" t="s">
        <v>32</v>
      </c>
      <c r="B2578" s="17" t="s">
        <v>32</v>
      </c>
      <c r="C2578" s="30" t="s">
        <v>32</v>
      </c>
      <c r="D2578" s="31" t="s">
        <v>32</v>
      </c>
      <c r="E2578" s="17" t="s">
        <v>477</v>
      </c>
      <c r="F2578" s="17" t="s">
        <v>32</v>
      </c>
    </row>
    <row r="2579" ht="36" customHeight="1" hidden="1" spans="1:6" x14ac:dyDescent="0.25" outlineLevel="1" collapsed="1">
      <c r="A2579" s="32" t="s">
        <v>32</v>
      </c>
      <c r="B2579" s="12" t="s">
        <v>32</v>
      </c>
      <c r="C2579" s="32" t="s">
        <v>32</v>
      </c>
      <c r="D2579" s="31" t="s">
        <v>32</v>
      </c>
      <c r="E2579" s="12" t="s">
        <v>478</v>
      </c>
      <c r="F2579" s="12" t="s">
        <v>32</v>
      </c>
    </row>
    <row r="2580" ht="21" customHeight="1" hidden="1" spans="1:6" x14ac:dyDescent="0.25" outlineLevel="1" collapsed="1">
      <c r="A2580" s="30" t="s">
        <v>32</v>
      </c>
      <c r="B2580" s="17" t="s">
        <v>32</v>
      </c>
      <c r="C2580" s="30" t="s">
        <v>32</v>
      </c>
      <c r="D2580" s="31" t="s">
        <v>32</v>
      </c>
      <c r="E2580" s="17" t="s">
        <v>479</v>
      </c>
      <c r="F2580" s="17" t="s">
        <v>32</v>
      </c>
    </row>
    <row r="2581" ht="21" customHeight="1" hidden="1" spans="1:6" x14ac:dyDescent="0.25" outlineLevel="1" collapsed="1">
      <c r="A2581" s="32" t="s">
        <v>32</v>
      </c>
      <c r="B2581" s="12" t="s">
        <v>32</v>
      </c>
      <c r="C2581" s="32" t="s">
        <v>32</v>
      </c>
      <c r="D2581" s="31" t="s">
        <v>32</v>
      </c>
      <c r="E2581" s="33" t="s">
        <v>632</v>
      </c>
      <c r="F2581" s="12" t="s">
        <v>32</v>
      </c>
    </row>
    <row r="2582" ht="51" customHeight="1" hidden="1" spans="1:6" x14ac:dyDescent="0.25" outlineLevel="1" collapsed="1">
      <c r="A2582" s="27">
        <v>4245</v>
      </c>
      <c r="B2582" s="28" t="s">
        <v>505</v>
      </c>
      <c r="C2582" s="27" t="s">
        <v>466</v>
      </c>
      <c r="D2582" s="29" t="s">
        <v>32</v>
      </c>
      <c r="E2582" s="28" t="s">
        <v>506</v>
      </c>
      <c r="F2582" s="28" t="s">
        <v>32</v>
      </c>
    </row>
    <row r="2583" ht="22" customHeight="1" hidden="1" spans="1:6" x14ac:dyDescent="0.25" outlineLevel="1" collapsed="1">
      <c r="A2583" s="34" t="s">
        <v>495</v>
      </c>
      <c r="B2583" s="34"/>
      <c r="C2583" s="34"/>
      <c r="D2583" s="34"/>
      <c r="E2583" s="34"/>
      <c r="F2583" s="34"/>
    </row>
    <row r="2584" ht="24" customHeight="1" hidden="1" spans="1:6" x14ac:dyDescent="0.25" outlineLevel="1" collapsed="1">
      <c r="A2584" s="12" t="s">
        <v>638</v>
      </c>
      <c r="B2584" s="12"/>
      <c r="C2584" s="12"/>
      <c r="D2584" s="12"/>
      <c r="E2584" s="12"/>
      <c r="F2584" s="12"/>
    </row>
    <row r="2585" ht="40" customHeight="1" hidden="1" spans="1:6" x14ac:dyDescent="0.25" outlineLevel="1" collapsed="1">
      <c r="A2585" s="12" t="s">
        <v>635</v>
      </c>
      <c r="B2585" s="12"/>
      <c r="C2585" s="12"/>
      <c r="D2585" s="12"/>
      <c r="E2585" s="12"/>
      <c r="F2585" s="12"/>
    </row>
    <row r="2586" ht="24" customHeight="1" hidden="1" spans="1:6" x14ac:dyDescent="0.25" outlineLevel="1" collapsed="1">
      <c r="A2586" s="12" t="s">
        <v>639</v>
      </c>
      <c r="B2586" s="12"/>
      <c r="C2586" s="12"/>
      <c r="D2586" s="12"/>
      <c r="E2586" s="12"/>
      <c r="F2586" s="12"/>
    </row>
    <row r="2587" ht="40" customHeight="1" hidden="1" spans="1:6" x14ac:dyDescent="0.25" outlineLevel="1" collapsed="1">
      <c r="A2587" s="12" t="s">
        <v>640</v>
      </c>
      <c r="B2587" s="12"/>
      <c r="C2587" s="12"/>
      <c r="D2587" s="12"/>
      <c r="E2587" s="12"/>
      <c r="F2587" s="12"/>
    </row>
    <row r="2588" ht="24" customHeight="1" hidden="1" spans="1:6" x14ac:dyDescent="0.25" outlineLevel="1" collapsed="1">
      <c r="A2588" s="12" t="s">
        <v>499</v>
      </c>
      <c r="B2588" s="12"/>
      <c r="C2588" s="12"/>
      <c r="D2588" s="12"/>
      <c r="E2588" s="12"/>
      <c r="F2588" s="12"/>
    </row>
    <row r="2589" ht="22" customHeight="1" hidden="1" spans="1:6" x14ac:dyDescent="0.25" outlineLevel="1" collapsed="1">
      <c r="A2589" s="34" t="s">
        <v>511</v>
      </c>
      <c r="B2589" s="34"/>
      <c r="C2589" s="34"/>
      <c r="D2589" s="34"/>
      <c r="E2589" s="34"/>
      <c r="F2589" s="34"/>
    </row>
    <row r="2590" ht="40" customHeight="1" hidden="1" spans="1:6" x14ac:dyDescent="0.25" outlineLevel="1" collapsed="1">
      <c r="A2590" s="12" t="s">
        <v>641</v>
      </c>
      <c r="B2590" s="12"/>
      <c r="C2590" s="12"/>
      <c r="D2590" s="12"/>
      <c r="E2590" s="12"/>
      <c r="F2590" s="12"/>
    </row>
    <row r="2591" ht="6" customHeight="1" hidden="1" x14ac:dyDescent="0.25" outlineLevel="1" collapsed="1"/>
    <row r="2592" ht="22" customHeight="1" spans="1:6" x14ac:dyDescent="0.25">
      <c r="A2592" s="25" t="s">
        <v>513</v>
      </c>
      <c r="B2592" s="25"/>
      <c r="C2592" s="25"/>
      <c r="D2592" s="25"/>
      <c r="E2592" s="25"/>
      <c r="F2592" s="25"/>
    </row>
    <row r="2593" ht="20" customHeight="1" hidden="1" spans="1:6" x14ac:dyDescent="0.25" outlineLevel="1" collapsed="1">
      <c r="A2593" s="26" t="s">
        <v>460</v>
      </c>
      <c r="B2593" s="26" t="s">
        <v>461</v>
      </c>
      <c r="C2593" s="26" t="s">
        <v>462</v>
      </c>
      <c r="D2593" s="26" t="s">
        <v>32</v>
      </c>
      <c r="E2593" s="26" t="s">
        <v>463</v>
      </c>
      <c r="F2593" s="26" t="s">
        <v>464</v>
      </c>
    </row>
    <row r="2594" ht="51" customHeight="1" hidden="1" spans="1:6" x14ac:dyDescent="0.25" outlineLevel="1" collapsed="1">
      <c r="A2594" s="27">
        <v>4220</v>
      </c>
      <c r="B2594" s="28" t="s">
        <v>514</v>
      </c>
      <c r="C2594" s="27" t="s">
        <v>466</v>
      </c>
      <c r="D2594" s="29" t="s">
        <v>32</v>
      </c>
      <c r="E2594" s="28" t="s">
        <v>637</v>
      </c>
      <c r="F2594" s="28" t="s">
        <v>503</v>
      </c>
    </row>
    <row r="2595" ht="36" customHeight="1" hidden="1" spans="1:6" x14ac:dyDescent="0.25" outlineLevel="1" collapsed="1">
      <c r="A2595" s="30" t="s">
        <v>32</v>
      </c>
      <c r="B2595" s="17" t="s">
        <v>32</v>
      </c>
      <c r="C2595" s="30" t="s">
        <v>32</v>
      </c>
      <c r="D2595" s="31" t="s">
        <v>32</v>
      </c>
      <c r="E2595" s="17" t="s">
        <v>469</v>
      </c>
      <c r="F2595" s="17" t="s">
        <v>32</v>
      </c>
    </row>
    <row r="2596" ht="51" customHeight="1" hidden="1" spans="1:6" x14ac:dyDescent="0.25" outlineLevel="1" collapsed="1">
      <c r="A2596" s="27">
        <v>4240</v>
      </c>
      <c r="B2596" s="28" t="s">
        <v>515</v>
      </c>
      <c r="C2596" s="27" t="s">
        <v>472</v>
      </c>
      <c r="D2596" s="29" t="s">
        <v>32</v>
      </c>
      <c r="E2596" s="28" t="s">
        <v>473</v>
      </c>
      <c r="F2596" s="28" t="s">
        <v>474</v>
      </c>
    </row>
    <row r="2597" ht="21" customHeight="1" hidden="1" spans="1:6" x14ac:dyDescent="0.25" outlineLevel="1" collapsed="1">
      <c r="A2597" s="30" t="s">
        <v>32</v>
      </c>
      <c r="B2597" s="17" t="s">
        <v>32</v>
      </c>
      <c r="C2597" s="30" t="s">
        <v>32</v>
      </c>
      <c r="D2597" s="31" t="s">
        <v>32</v>
      </c>
      <c r="E2597" s="17" t="s">
        <v>475</v>
      </c>
      <c r="F2597" s="17" t="s">
        <v>32</v>
      </c>
    </row>
    <row r="2598" ht="36" customHeight="1" hidden="1" spans="1:6" x14ac:dyDescent="0.25" outlineLevel="1" collapsed="1">
      <c r="A2598" s="32" t="s">
        <v>32</v>
      </c>
      <c r="B2598" s="12" t="s">
        <v>32</v>
      </c>
      <c r="C2598" s="32" t="s">
        <v>32</v>
      </c>
      <c r="D2598" s="31" t="s">
        <v>32</v>
      </c>
      <c r="E2598" s="12" t="s">
        <v>476</v>
      </c>
      <c r="F2598" s="12" t="s">
        <v>32</v>
      </c>
    </row>
    <row r="2599" ht="36" customHeight="1" hidden="1" spans="1:6" x14ac:dyDescent="0.25" outlineLevel="1" collapsed="1">
      <c r="A2599" s="30" t="s">
        <v>32</v>
      </c>
      <c r="B2599" s="17" t="s">
        <v>32</v>
      </c>
      <c r="C2599" s="30" t="s">
        <v>32</v>
      </c>
      <c r="D2599" s="31" t="s">
        <v>32</v>
      </c>
      <c r="E2599" s="17" t="s">
        <v>477</v>
      </c>
      <c r="F2599" s="17" t="s">
        <v>32</v>
      </c>
    </row>
    <row r="2600" ht="36" customHeight="1" hidden="1" spans="1:6" x14ac:dyDescent="0.25" outlineLevel="1" collapsed="1">
      <c r="A2600" s="32" t="s">
        <v>32</v>
      </c>
      <c r="B2600" s="12" t="s">
        <v>32</v>
      </c>
      <c r="C2600" s="32" t="s">
        <v>32</v>
      </c>
      <c r="D2600" s="31" t="s">
        <v>32</v>
      </c>
      <c r="E2600" s="12" t="s">
        <v>478</v>
      </c>
      <c r="F2600" s="12" t="s">
        <v>32</v>
      </c>
    </row>
    <row r="2601" ht="21" customHeight="1" hidden="1" spans="1:6" x14ac:dyDescent="0.25" outlineLevel="1" collapsed="1">
      <c r="A2601" s="30" t="s">
        <v>32</v>
      </c>
      <c r="B2601" s="17" t="s">
        <v>32</v>
      </c>
      <c r="C2601" s="30" t="s">
        <v>32</v>
      </c>
      <c r="D2601" s="31" t="s">
        <v>32</v>
      </c>
      <c r="E2601" s="17" t="s">
        <v>479</v>
      </c>
      <c r="F2601" s="17" t="s">
        <v>32</v>
      </c>
    </row>
    <row r="2602" ht="21" customHeight="1" hidden="1" spans="1:6" x14ac:dyDescent="0.25" outlineLevel="1" collapsed="1">
      <c r="A2602" s="32" t="s">
        <v>32</v>
      </c>
      <c r="B2602" s="12" t="s">
        <v>32</v>
      </c>
      <c r="C2602" s="32" t="s">
        <v>32</v>
      </c>
      <c r="D2602" s="31" t="s">
        <v>32</v>
      </c>
      <c r="E2602" s="33" t="s">
        <v>632</v>
      </c>
      <c r="F2602" s="12" t="s">
        <v>32</v>
      </c>
    </row>
    <row r="2603" ht="36" customHeight="1" hidden="1" spans="1:6" x14ac:dyDescent="0.25" outlineLevel="1" collapsed="1">
      <c r="A2603" s="27">
        <v>4245</v>
      </c>
      <c r="B2603" s="28" t="s">
        <v>516</v>
      </c>
      <c r="C2603" s="27" t="s">
        <v>466</v>
      </c>
      <c r="D2603" s="29" t="s">
        <v>32</v>
      </c>
      <c r="E2603" s="28" t="s">
        <v>506</v>
      </c>
      <c r="F2603" s="28" t="s">
        <v>32</v>
      </c>
    </row>
    <row r="2604" ht="21" customHeight="1" hidden="1" spans="1:6" x14ac:dyDescent="0.25" outlineLevel="1" collapsed="1">
      <c r="A2604" s="27">
        <v>4230</v>
      </c>
      <c r="B2604" s="28" t="s">
        <v>517</v>
      </c>
      <c r="C2604" s="27" t="s">
        <v>472</v>
      </c>
      <c r="D2604" s="29" t="s">
        <v>32</v>
      </c>
      <c r="E2604" s="28" t="s">
        <v>518</v>
      </c>
      <c r="F2604" s="28" t="s">
        <v>32</v>
      </c>
    </row>
    <row r="2605" ht="22" customHeight="1" hidden="1" spans="1:6" x14ac:dyDescent="0.25" outlineLevel="1" collapsed="1">
      <c r="A2605" s="34" t="s">
        <v>495</v>
      </c>
      <c r="B2605" s="34"/>
      <c r="C2605" s="34"/>
      <c r="D2605" s="34"/>
      <c r="E2605" s="34"/>
      <c r="F2605" s="34"/>
    </row>
    <row r="2606" ht="24" customHeight="1" hidden="1" spans="1:6" x14ac:dyDescent="0.25" outlineLevel="1" collapsed="1">
      <c r="A2606" s="12" t="s">
        <v>638</v>
      </c>
      <c r="B2606" s="12"/>
      <c r="C2606" s="12"/>
      <c r="D2606" s="12"/>
      <c r="E2606" s="12"/>
      <c r="F2606" s="12"/>
    </row>
    <row r="2607" ht="40" customHeight="1" hidden="1" spans="1:6" x14ac:dyDescent="0.25" outlineLevel="1" collapsed="1">
      <c r="A2607" s="12" t="s">
        <v>635</v>
      </c>
      <c r="B2607" s="12"/>
      <c r="C2607" s="12"/>
      <c r="D2607" s="12"/>
      <c r="E2607" s="12"/>
      <c r="F2607" s="12"/>
    </row>
    <row r="2608" ht="24" customHeight="1" hidden="1" spans="1:6" x14ac:dyDescent="0.25" outlineLevel="1" collapsed="1">
      <c r="A2608" s="12" t="s">
        <v>639</v>
      </c>
      <c r="B2608" s="12"/>
      <c r="C2608" s="12"/>
      <c r="D2608" s="12"/>
      <c r="E2608" s="12"/>
      <c r="F2608" s="12"/>
    </row>
    <row r="2609" ht="24" customHeight="1" hidden="1" spans="1:6" x14ac:dyDescent="0.25" outlineLevel="1" collapsed="1">
      <c r="A2609" s="12" t="s">
        <v>642</v>
      </c>
      <c r="B2609" s="12"/>
      <c r="C2609" s="12"/>
      <c r="D2609" s="12"/>
      <c r="E2609" s="12"/>
      <c r="F2609" s="12"/>
    </row>
    <row r="2610" ht="40" customHeight="1" hidden="1" spans="1:6" x14ac:dyDescent="0.25" outlineLevel="1" collapsed="1">
      <c r="A2610" s="12" t="s">
        <v>640</v>
      </c>
      <c r="B2610" s="12"/>
      <c r="C2610" s="12"/>
      <c r="D2610" s="12"/>
      <c r="E2610" s="12"/>
      <c r="F2610" s="12"/>
    </row>
    <row r="2611" ht="24" customHeight="1" hidden="1" spans="1:6" x14ac:dyDescent="0.25" outlineLevel="1" collapsed="1">
      <c r="A2611" s="12" t="s">
        <v>499</v>
      </c>
      <c r="B2611" s="12"/>
      <c r="C2611" s="12"/>
      <c r="D2611" s="12"/>
      <c r="E2611" s="12"/>
      <c r="F2611" s="12"/>
    </row>
    <row r="2612" ht="22" customHeight="1" hidden="1" spans="1:6" x14ac:dyDescent="0.25" outlineLevel="1" collapsed="1">
      <c r="A2612" s="34" t="s">
        <v>511</v>
      </c>
      <c r="B2612" s="34"/>
      <c r="C2612" s="34"/>
      <c r="D2612" s="34"/>
      <c r="E2612" s="34"/>
      <c r="F2612" s="34"/>
    </row>
    <row r="2613" ht="40" customHeight="1" hidden="1" spans="1:6" x14ac:dyDescent="0.25" outlineLevel="1" collapsed="1">
      <c r="A2613" s="12" t="s">
        <v>641</v>
      </c>
      <c r="B2613" s="12"/>
      <c r="C2613" s="12"/>
      <c r="D2613" s="12"/>
      <c r="E2613" s="12"/>
      <c r="F2613" s="12"/>
    </row>
    <row r="2614" ht="6" customHeight="1" hidden="1" x14ac:dyDescent="0.25" outlineLevel="1" collapsed="1"/>
    <row r="2615" ht="22" customHeight="1" spans="1:6" x14ac:dyDescent="0.25">
      <c r="A2615" s="25" t="s">
        <v>520</v>
      </c>
      <c r="B2615" s="25"/>
      <c r="C2615" s="25"/>
      <c r="D2615" s="25"/>
      <c r="E2615" s="25"/>
      <c r="F2615" s="25"/>
    </row>
    <row r="2616" ht="20" customHeight="1" hidden="1" spans="1:6" x14ac:dyDescent="0.25" outlineLevel="1" collapsed="1">
      <c r="A2616" s="26" t="s">
        <v>460</v>
      </c>
      <c r="B2616" s="26" t="s">
        <v>461</v>
      </c>
      <c r="C2616" s="26" t="s">
        <v>462</v>
      </c>
      <c r="D2616" s="26" t="s">
        <v>32</v>
      </c>
      <c r="E2616" s="26" t="s">
        <v>463</v>
      </c>
      <c r="F2616" s="26" t="s">
        <v>464</v>
      </c>
    </row>
    <row r="2617" ht="36" customHeight="1" hidden="1" spans="1:6" x14ac:dyDescent="0.25" outlineLevel="1" collapsed="1">
      <c r="A2617" s="27">
        <v>4220</v>
      </c>
      <c r="B2617" s="28" t="s">
        <v>521</v>
      </c>
      <c r="C2617" s="27" t="s">
        <v>466</v>
      </c>
      <c r="D2617" s="29" t="s">
        <v>32</v>
      </c>
      <c r="E2617" s="28" t="s">
        <v>522</v>
      </c>
      <c r="F2617" s="28" t="s">
        <v>32</v>
      </c>
    </row>
    <row r="2618" ht="21" customHeight="1" hidden="1" spans="1:6" x14ac:dyDescent="0.25" outlineLevel="1" collapsed="1">
      <c r="A2618" s="30" t="s">
        <v>32</v>
      </c>
      <c r="B2618" s="17" t="s">
        <v>32</v>
      </c>
      <c r="C2618" s="30" t="s">
        <v>32</v>
      </c>
      <c r="D2618" s="31" t="s">
        <v>32</v>
      </c>
      <c r="E2618" s="35" t="s">
        <v>632</v>
      </c>
      <c r="F2618" s="17" t="s">
        <v>32</v>
      </c>
    </row>
    <row r="2619" ht="36" customHeight="1" hidden="1" spans="1:6" x14ac:dyDescent="0.25" outlineLevel="1" collapsed="1">
      <c r="A2619" s="27">
        <v>4240</v>
      </c>
      <c r="B2619" s="28" t="s">
        <v>523</v>
      </c>
      <c r="C2619" s="27" t="s">
        <v>472</v>
      </c>
      <c r="D2619" s="29" t="s">
        <v>32</v>
      </c>
      <c r="E2619" s="28" t="s">
        <v>524</v>
      </c>
      <c r="F2619" s="28" t="s">
        <v>32</v>
      </c>
    </row>
    <row r="2620" ht="21" customHeight="1" hidden="1" spans="1:6" x14ac:dyDescent="0.25" outlineLevel="1" collapsed="1">
      <c r="A2620" s="30" t="s">
        <v>32</v>
      </c>
      <c r="B2620" s="17" t="s">
        <v>32</v>
      </c>
      <c r="C2620" s="30" t="s">
        <v>32</v>
      </c>
      <c r="D2620" s="31" t="s">
        <v>32</v>
      </c>
      <c r="E2620" s="35" t="s">
        <v>632</v>
      </c>
      <c r="F2620" s="17" t="s">
        <v>32</v>
      </c>
    </row>
    <row r="2621" ht="51" customHeight="1" hidden="1" spans="1:6" x14ac:dyDescent="0.25" outlineLevel="1" collapsed="1">
      <c r="A2621" s="27">
        <v>4230</v>
      </c>
      <c r="B2621" s="28" t="s">
        <v>525</v>
      </c>
      <c r="C2621" s="27" t="s">
        <v>472</v>
      </c>
      <c r="D2621" s="29" t="s">
        <v>32</v>
      </c>
      <c r="E2621" s="28" t="s">
        <v>526</v>
      </c>
      <c r="F2621" s="28" t="s">
        <v>546</v>
      </c>
    </row>
    <row r="2622" ht="21" customHeight="1" hidden="1" spans="1:6" x14ac:dyDescent="0.25" outlineLevel="1" collapsed="1">
      <c r="A2622" s="30" t="s">
        <v>32</v>
      </c>
      <c r="B2622" s="17" t="s">
        <v>32</v>
      </c>
      <c r="C2622" s="30" t="s">
        <v>32</v>
      </c>
      <c r="D2622" s="31" t="s">
        <v>32</v>
      </c>
      <c r="E2622" s="17" t="s">
        <v>528</v>
      </c>
      <c r="F2622" s="17" t="s">
        <v>32</v>
      </c>
    </row>
    <row r="2623" ht="36" customHeight="1" hidden="1" spans="1:6" x14ac:dyDescent="0.25" outlineLevel="1" collapsed="1">
      <c r="A2623" s="32" t="s">
        <v>32</v>
      </c>
      <c r="B2623" s="12" t="s">
        <v>32</v>
      </c>
      <c r="C2623" s="32" t="s">
        <v>32</v>
      </c>
      <c r="D2623" s="31" t="s">
        <v>32</v>
      </c>
      <c r="E2623" s="12" t="s">
        <v>529</v>
      </c>
      <c r="F2623" s="12" t="s">
        <v>32</v>
      </c>
    </row>
    <row r="2624" ht="36" customHeight="1" hidden="1" spans="1:6" x14ac:dyDescent="0.25" outlineLevel="1" collapsed="1">
      <c r="A2624" s="30" t="s">
        <v>32</v>
      </c>
      <c r="B2624" s="17" t="s">
        <v>32</v>
      </c>
      <c r="C2624" s="30" t="s">
        <v>32</v>
      </c>
      <c r="D2624" s="31" t="s">
        <v>32</v>
      </c>
      <c r="E2624" s="17" t="s">
        <v>530</v>
      </c>
      <c r="F2624" s="17" t="s">
        <v>32</v>
      </c>
    </row>
    <row r="2625" ht="21" customHeight="1" hidden="1" spans="1:6" x14ac:dyDescent="0.25" outlineLevel="1" collapsed="1">
      <c r="A2625" s="32" t="s">
        <v>32</v>
      </c>
      <c r="B2625" s="12" t="s">
        <v>32</v>
      </c>
      <c r="C2625" s="32" t="s">
        <v>32</v>
      </c>
      <c r="D2625" s="31" t="s">
        <v>32</v>
      </c>
      <c r="E2625" s="12" t="s">
        <v>531</v>
      </c>
      <c r="F2625" s="12" t="s">
        <v>32</v>
      </c>
    </row>
    <row r="2626" ht="21" customHeight="1" hidden="1" spans="1:6" x14ac:dyDescent="0.25" outlineLevel="1" collapsed="1">
      <c r="A2626" s="30" t="s">
        <v>32</v>
      </c>
      <c r="B2626" s="17" t="s">
        <v>32</v>
      </c>
      <c r="C2626" s="30" t="s">
        <v>32</v>
      </c>
      <c r="D2626" s="31" t="s">
        <v>32</v>
      </c>
      <c r="E2626" s="17" t="s">
        <v>487</v>
      </c>
      <c r="F2626" s="17" t="s">
        <v>32</v>
      </c>
    </row>
    <row r="2627" ht="21" customHeight="1" hidden="1" spans="1:6" x14ac:dyDescent="0.25" outlineLevel="1" collapsed="1">
      <c r="A2627" s="32" t="s">
        <v>32</v>
      </c>
      <c r="B2627" s="12" t="s">
        <v>32</v>
      </c>
      <c r="C2627" s="32" t="s">
        <v>32</v>
      </c>
      <c r="D2627" s="31" t="s">
        <v>32</v>
      </c>
      <c r="E2627" s="12" t="s">
        <v>532</v>
      </c>
      <c r="F2627" s="12" t="s">
        <v>32</v>
      </c>
    </row>
    <row r="2628" ht="21" customHeight="1" hidden="1" spans="1:6" x14ac:dyDescent="0.25" outlineLevel="1" collapsed="1">
      <c r="A2628" s="30" t="s">
        <v>32</v>
      </c>
      <c r="B2628" s="17" t="s">
        <v>32</v>
      </c>
      <c r="C2628" s="30" t="s">
        <v>32</v>
      </c>
      <c r="D2628" s="31" t="s">
        <v>32</v>
      </c>
      <c r="E2628" s="17" t="s">
        <v>534</v>
      </c>
      <c r="F2628" s="17" t="s">
        <v>32</v>
      </c>
    </row>
    <row r="2629" ht="21" customHeight="1" hidden="1" spans="1:6" x14ac:dyDescent="0.25" outlineLevel="1" collapsed="1">
      <c r="A2629" s="32" t="s">
        <v>32</v>
      </c>
      <c r="B2629" s="12" t="s">
        <v>32</v>
      </c>
      <c r="C2629" s="32" t="s">
        <v>32</v>
      </c>
      <c r="D2629" s="31" t="s">
        <v>32</v>
      </c>
      <c r="E2629" s="12" t="s">
        <v>535</v>
      </c>
      <c r="F2629" s="12" t="s">
        <v>32</v>
      </c>
    </row>
    <row r="2630" ht="21" customHeight="1" hidden="1" spans="1:6" x14ac:dyDescent="0.25" outlineLevel="1" collapsed="1">
      <c r="A2630" s="30" t="s">
        <v>32</v>
      </c>
      <c r="B2630" s="17" t="s">
        <v>32</v>
      </c>
      <c r="C2630" s="30" t="s">
        <v>32</v>
      </c>
      <c r="D2630" s="31" t="s">
        <v>32</v>
      </c>
      <c r="E2630" s="17" t="s">
        <v>536</v>
      </c>
      <c r="F2630" s="17" t="s">
        <v>32</v>
      </c>
    </row>
    <row r="2631" ht="21" customHeight="1" hidden="1" spans="1:6" x14ac:dyDescent="0.25" outlineLevel="1" collapsed="1">
      <c r="A2631" s="32" t="s">
        <v>32</v>
      </c>
      <c r="B2631" s="12" t="s">
        <v>32</v>
      </c>
      <c r="C2631" s="32" t="s">
        <v>32</v>
      </c>
      <c r="D2631" s="31" t="s">
        <v>32</v>
      </c>
      <c r="E2631" s="12" t="s">
        <v>491</v>
      </c>
      <c r="F2631" s="12" t="s">
        <v>32</v>
      </c>
    </row>
    <row r="2632" ht="21" customHeight="1" hidden="1" spans="1:6" x14ac:dyDescent="0.25" outlineLevel="1" collapsed="1">
      <c r="A2632" s="30" t="s">
        <v>32</v>
      </c>
      <c r="B2632" s="17" t="s">
        <v>32</v>
      </c>
      <c r="C2632" s="30" t="s">
        <v>32</v>
      </c>
      <c r="D2632" s="31" t="s">
        <v>32</v>
      </c>
      <c r="E2632" s="17" t="s">
        <v>537</v>
      </c>
      <c r="F2632" s="17" t="s">
        <v>32</v>
      </c>
    </row>
    <row r="2633" ht="21" customHeight="1" hidden="1" spans="1:6" x14ac:dyDescent="0.25" outlineLevel="1" collapsed="1">
      <c r="A2633" s="32" t="s">
        <v>32</v>
      </c>
      <c r="B2633" s="12" t="s">
        <v>32</v>
      </c>
      <c r="C2633" s="32" t="s">
        <v>32</v>
      </c>
      <c r="D2633" s="31" t="s">
        <v>32</v>
      </c>
      <c r="E2633" s="12" t="s">
        <v>493</v>
      </c>
      <c r="F2633" s="12" t="s">
        <v>32</v>
      </c>
    </row>
    <row r="2634" ht="21" customHeight="1" hidden="1" spans="1:6" x14ac:dyDescent="0.25" outlineLevel="1" collapsed="1">
      <c r="A2634" s="30" t="s">
        <v>32</v>
      </c>
      <c r="B2634" s="17" t="s">
        <v>32</v>
      </c>
      <c r="C2634" s="30" t="s">
        <v>32</v>
      </c>
      <c r="D2634" s="31" t="s">
        <v>32</v>
      </c>
      <c r="E2634" s="35" t="s">
        <v>643</v>
      </c>
      <c r="F2634" s="17" t="s">
        <v>32</v>
      </c>
    </row>
    <row r="2635" ht="22" customHeight="1" hidden="1" spans="1:6" x14ac:dyDescent="0.25" outlineLevel="1" collapsed="1">
      <c r="A2635" s="34" t="s">
        <v>495</v>
      </c>
      <c r="B2635" s="34"/>
      <c r="C2635" s="34"/>
      <c r="D2635" s="34"/>
      <c r="E2635" s="34"/>
      <c r="F2635" s="34"/>
    </row>
    <row r="2636" ht="24" customHeight="1" hidden="1" spans="1:6" x14ac:dyDescent="0.25" outlineLevel="1" collapsed="1">
      <c r="A2636" s="12" t="s">
        <v>644</v>
      </c>
      <c r="B2636" s="12"/>
      <c r="C2636" s="12"/>
      <c r="D2636" s="12"/>
      <c r="E2636" s="12"/>
      <c r="F2636" s="12"/>
    </row>
    <row r="2637" ht="24" customHeight="1" hidden="1" spans="1:6" x14ac:dyDescent="0.25" outlineLevel="1" collapsed="1">
      <c r="A2637" s="12" t="s">
        <v>645</v>
      </c>
      <c r="B2637" s="12"/>
      <c r="C2637" s="12"/>
      <c r="D2637" s="12"/>
      <c r="E2637" s="12"/>
      <c r="F2637" s="12"/>
    </row>
    <row r="2638" ht="56" customHeight="1" hidden="1" spans="1:6" x14ac:dyDescent="0.25" outlineLevel="1" collapsed="1">
      <c r="A2638" s="12" t="s">
        <v>646</v>
      </c>
      <c r="B2638" s="12"/>
      <c r="C2638" s="12"/>
      <c r="D2638" s="12"/>
      <c r="E2638" s="12"/>
      <c r="F2638" s="12"/>
    </row>
    <row r="2639" ht="24" customHeight="1" hidden="1" spans="1:6" x14ac:dyDescent="0.25" outlineLevel="1" collapsed="1">
      <c r="A2639" s="12" t="s">
        <v>499</v>
      </c>
      <c r="B2639" s="12"/>
      <c r="C2639" s="12"/>
      <c r="D2639" s="12"/>
      <c r="E2639" s="12"/>
      <c r="F2639" s="12"/>
    </row>
    <row r="2640" ht="6" customHeight="1" hidden="1" x14ac:dyDescent="0.25" outlineLevel="1" collapsed="1"/>
    <row r="2641" ht="22" customHeight="1" spans="1:6" x14ac:dyDescent="0.25">
      <c r="A2641" s="25" t="s">
        <v>542</v>
      </c>
      <c r="B2641" s="25"/>
      <c r="C2641" s="25"/>
      <c r="D2641" s="25"/>
      <c r="E2641" s="25"/>
      <c r="F2641" s="25"/>
    </row>
    <row r="2642" ht="20" customHeight="1" hidden="1" spans="1:6" x14ac:dyDescent="0.25" outlineLevel="1" collapsed="1">
      <c r="A2642" s="26" t="s">
        <v>460</v>
      </c>
      <c r="B2642" s="26" t="s">
        <v>461</v>
      </c>
      <c r="C2642" s="26" t="s">
        <v>462</v>
      </c>
      <c r="D2642" s="26" t="s">
        <v>32</v>
      </c>
      <c r="E2642" s="26" t="s">
        <v>463</v>
      </c>
      <c r="F2642" s="26" t="s">
        <v>464</v>
      </c>
    </row>
    <row r="2643" ht="36" customHeight="1" hidden="1" spans="1:6" x14ac:dyDescent="0.25" outlineLevel="1" collapsed="1">
      <c r="A2643" s="27">
        <v>4220</v>
      </c>
      <c r="B2643" s="28" t="s">
        <v>543</v>
      </c>
      <c r="C2643" s="27" t="s">
        <v>466</v>
      </c>
      <c r="D2643" s="29" t="s">
        <v>32</v>
      </c>
      <c r="E2643" s="28" t="s">
        <v>522</v>
      </c>
      <c r="F2643" s="28" t="s">
        <v>32</v>
      </c>
    </row>
    <row r="2644" ht="21" customHeight="1" hidden="1" spans="1:6" x14ac:dyDescent="0.25" outlineLevel="1" collapsed="1">
      <c r="A2644" s="30" t="s">
        <v>32</v>
      </c>
      <c r="B2644" s="17" t="s">
        <v>32</v>
      </c>
      <c r="C2644" s="30" t="s">
        <v>32</v>
      </c>
      <c r="D2644" s="31" t="s">
        <v>32</v>
      </c>
      <c r="E2644" s="35" t="s">
        <v>632</v>
      </c>
      <c r="F2644" s="17" t="s">
        <v>32</v>
      </c>
    </row>
    <row r="2645" ht="36" customHeight="1" hidden="1" spans="1:6" x14ac:dyDescent="0.25" outlineLevel="1" collapsed="1">
      <c r="A2645" s="27">
        <v>4240</v>
      </c>
      <c r="B2645" s="28" t="s">
        <v>471</v>
      </c>
      <c r="C2645" s="27" t="s">
        <v>472</v>
      </c>
      <c r="D2645" s="29" t="s">
        <v>32</v>
      </c>
      <c r="E2645" s="28" t="s">
        <v>524</v>
      </c>
      <c r="F2645" s="28" t="s">
        <v>32</v>
      </c>
    </row>
    <row r="2646" ht="21" customHeight="1" hidden="1" spans="1:6" x14ac:dyDescent="0.25" outlineLevel="1" collapsed="1">
      <c r="A2646" s="30" t="s">
        <v>32</v>
      </c>
      <c r="B2646" s="17" t="s">
        <v>32</v>
      </c>
      <c r="C2646" s="30" t="s">
        <v>32</v>
      </c>
      <c r="D2646" s="31" t="s">
        <v>32</v>
      </c>
      <c r="E2646" s="35" t="s">
        <v>632</v>
      </c>
      <c r="F2646" s="17" t="s">
        <v>32</v>
      </c>
    </row>
    <row r="2647" ht="51" customHeight="1" hidden="1" spans="1:6" x14ac:dyDescent="0.25" outlineLevel="1" collapsed="1">
      <c r="A2647" s="27">
        <v>4230</v>
      </c>
      <c r="B2647" s="28" t="s">
        <v>544</v>
      </c>
      <c r="C2647" s="27" t="s">
        <v>472</v>
      </c>
      <c r="D2647" s="29" t="s">
        <v>32</v>
      </c>
      <c r="E2647" s="28" t="s">
        <v>545</v>
      </c>
      <c r="F2647" s="28" t="s">
        <v>482</v>
      </c>
    </row>
    <row r="2648" ht="21" customHeight="1" hidden="1" spans="1:6" x14ac:dyDescent="0.25" outlineLevel="1" collapsed="1">
      <c r="A2648" s="30" t="s">
        <v>32</v>
      </c>
      <c r="B2648" s="17" t="s">
        <v>32</v>
      </c>
      <c r="C2648" s="30" t="s">
        <v>32</v>
      </c>
      <c r="D2648" s="31" t="s">
        <v>32</v>
      </c>
      <c r="E2648" s="17" t="s">
        <v>547</v>
      </c>
      <c r="F2648" s="17" t="s">
        <v>32</v>
      </c>
    </row>
    <row r="2649" ht="36" customHeight="1" hidden="1" spans="1:6" x14ac:dyDescent="0.25" outlineLevel="1" collapsed="1">
      <c r="A2649" s="32" t="s">
        <v>32</v>
      </c>
      <c r="B2649" s="12" t="s">
        <v>32</v>
      </c>
      <c r="C2649" s="32" t="s">
        <v>32</v>
      </c>
      <c r="D2649" s="31" t="s">
        <v>32</v>
      </c>
      <c r="E2649" s="12" t="s">
        <v>548</v>
      </c>
      <c r="F2649" s="12" t="s">
        <v>32</v>
      </c>
    </row>
    <row r="2650" ht="36" customHeight="1" hidden="1" spans="1:6" x14ac:dyDescent="0.25" outlineLevel="1" collapsed="1">
      <c r="A2650" s="30" t="s">
        <v>32</v>
      </c>
      <c r="B2650" s="17" t="s">
        <v>32</v>
      </c>
      <c r="C2650" s="30" t="s">
        <v>32</v>
      </c>
      <c r="D2650" s="31" t="s">
        <v>32</v>
      </c>
      <c r="E2650" s="17" t="s">
        <v>549</v>
      </c>
      <c r="F2650" s="17" t="s">
        <v>32</v>
      </c>
    </row>
    <row r="2651" ht="21" customHeight="1" hidden="1" spans="1:6" x14ac:dyDescent="0.25" outlineLevel="1" collapsed="1">
      <c r="A2651" s="32" t="s">
        <v>32</v>
      </c>
      <c r="B2651" s="12" t="s">
        <v>32</v>
      </c>
      <c r="C2651" s="32" t="s">
        <v>32</v>
      </c>
      <c r="D2651" s="31" t="s">
        <v>32</v>
      </c>
      <c r="E2651" s="12" t="s">
        <v>550</v>
      </c>
      <c r="F2651" s="12" t="s">
        <v>32</v>
      </c>
    </row>
    <row r="2652" ht="21" customHeight="1" hidden="1" spans="1:6" x14ac:dyDescent="0.25" outlineLevel="1" collapsed="1">
      <c r="A2652" s="30" t="s">
        <v>32</v>
      </c>
      <c r="B2652" s="17" t="s">
        <v>32</v>
      </c>
      <c r="C2652" s="30" t="s">
        <v>32</v>
      </c>
      <c r="D2652" s="31" t="s">
        <v>32</v>
      </c>
      <c r="E2652" s="17" t="s">
        <v>551</v>
      </c>
      <c r="F2652" s="17" t="s">
        <v>32</v>
      </c>
    </row>
    <row r="2653" ht="21" customHeight="1" hidden="1" spans="1:6" x14ac:dyDescent="0.25" outlineLevel="1" collapsed="1">
      <c r="A2653" s="32" t="s">
        <v>32</v>
      </c>
      <c r="B2653" s="12" t="s">
        <v>32</v>
      </c>
      <c r="C2653" s="32" t="s">
        <v>32</v>
      </c>
      <c r="D2653" s="31" t="s">
        <v>32</v>
      </c>
      <c r="E2653" s="12" t="s">
        <v>552</v>
      </c>
      <c r="F2653" s="12" t="s">
        <v>32</v>
      </c>
    </row>
    <row r="2654" ht="21" customHeight="1" hidden="1" spans="1:6" x14ac:dyDescent="0.25" outlineLevel="1" collapsed="1">
      <c r="A2654" s="30" t="s">
        <v>32</v>
      </c>
      <c r="B2654" s="17" t="s">
        <v>32</v>
      </c>
      <c r="C2654" s="30" t="s">
        <v>32</v>
      </c>
      <c r="D2654" s="31" t="s">
        <v>32</v>
      </c>
      <c r="E2654" s="17" t="s">
        <v>553</v>
      </c>
      <c r="F2654" s="17" t="s">
        <v>32</v>
      </c>
    </row>
    <row r="2655" ht="21" customHeight="1" hidden="1" spans="1:6" x14ac:dyDescent="0.25" outlineLevel="1" collapsed="1">
      <c r="A2655" s="32" t="s">
        <v>32</v>
      </c>
      <c r="B2655" s="12" t="s">
        <v>32</v>
      </c>
      <c r="C2655" s="32" t="s">
        <v>32</v>
      </c>
      <c r="D2655" s="31" t="s">
        <v>32</v>
      </c>
      <c r="E2655" s="12" t="s">
        <v>554</v>
      </c>
      <c r="F2655" s="12" t="s">
        <v>32</v>
      </c>
    </row>
    <row r="2656" ht="21" customHeight="1" hidden="1" spans="1:6" x14ac:dyDescent="0.25" outlineLevel="1" collapsed="1">
      <c r="A2656" s="30" t="s">
        <v>32</v>
      </c>
      <c r="B2656" s="17" t="s">
        <v>32</v>
      </c>
      <c r="C2656" s="30" t="s">
        <v>32</v>
      </c>
      <c r="D2656" s="31" t="s">
        <v>32</v>
      </c>
      <c r="E2656" s="17" t="s">
        <v>555</v>
      </c>
      <c r="F2656" s="17" t="s">
        <v>32</v>
      </c>
    </row>
    <row r="2657" ht="21" customHeight="1" hidden="1" spans="1:6" x14ac:dyDescent="0.25" outlineLevel="1" collapsed="1">
      <c r="A2657" s="32" t="s">
        <v>32</v>
      </c>
      <c r="B2657" s="12" t="s">
        <v>32</v>
      </c>
      <c r="C2657" s="32" t="s">
        <v>32</v>
      </c>
      <c r="D2657" s="31" t="s">
        <v>32</v>
      </c>
      <c r="E2657" s="12" t="s">
        <v>556</v>
      </c>
      <c r="F2657" s="12" t="s">
        <v>32</v>
      </c>
    </row>
    <row r="2658" ht="21" customHeight="1" hidden="1" spans="1:6" x14ac:dyDescent="0.25" outlineLevel="1" collapsed="1">
      <c r="A2658" s="30" t="s">
        <v>32</v>
      </c>
      <c r="B2658" s="17" t="s">
        <v>32</v>
      </c>
      <c r="C2658" s="30" t="s">
        <v>32</v>
      </c>
      <c r="D2658" s="31" t="s">
        <v>32</v>
      </c>
      <c r="E2658" s="17" t="s">
        <v>493</v>
      </c>
      <c r="F2658" s="17" t="s">
        <v>32</v>
      </c>
    </row>
    <row r="2659" ht="21" customHeight="1" hidden="1" spans="1:6" x14ac:dyDescent="0.25" outlineLevel="1" collapsed="1">
      <c r="A2659" s="32" t="s">
        <v>32</v>
      </c>
      <c r="B2659" s="12" t="s">
        <v>32</v>
      </c>
      <c r="C2659" s="32" t="s">
        <v>32</v>
      </c>
      <c r="D2659" s="31" t="s">
        <v>32</v>
      </c>
      <c r="E2659" s="33" t="s">
        <v>633</v>
      </c>
      <c r="F2659" s="12" t="s">
        <v>32</v>
      </c>
    </row>
    <row r="2660" ht="22" customHeight="1" hidden="1" spans="1:6" x14ac:dyDescent="0.25" outlineLevel="1" collapsed="1">
      <c r="A2660" s="34" t="s">
        <v>495</v>
      </c>
      <c r="B2660" s="34"/>
      <c r="C2660" s="34"/>
      <c r="D2660" s="34"/>
      <c r="E2660" s="34"/>
      <c r="F2660" s="34"/>
    </row>
    <row r="2661" ht="24" customHeight="1" hidden="1" spans="1:6" x14ac:dyDescent="0.25" outlineLevel="1" collapsed="1">
      <c r="A2661" s="12" t="s">
        <v>644</v>
      </c>
      <c r="B2661" s="12"/>
      <c r="C2661" s="12"/>
      <c r="D2661" s="12"/>
      <c r="E2661" s="12"/>
      <c r="F2661" s="12"/>
    </row>
    <row r="2662" ht="24" customHeight="1" hidden="1" spans="1:6" x14ac:dyDescent="0.25" outlineLevel="1" collapsed="1">
      <c r="A2662" s="12" t="s">
        <v>645</v>
      </c>
      <c r="B2662" s="12"/>
      <c r="C2662" s="12"/>
      <c r="D2662" s="12"/>
      <c r="E2662" s="12"/>
      <c r="F2662" s="12"/>
    </row>
    <row r="2663" ht="56" customHeight="1" hidden="1" spans="1:6" x14ac:dyDescent="0.25" outlineLevel="1" collapsed="1">
      <c r="A2663" s="12" t="s">
        <v>647</v>
      </c>
      <c r="B2663" s="12"/>
      <c r="C2663" s="12"/>
      <c r="D2663" s="12"/>
      <c r="E2663" s="12"/>
      <c r="F2663" s="12"/>
    </row>
    <row r="2664" ht="24" customHeight="1" hidden="1" spans="1:6" x14ac:dyDescent="0.25" outlineLevel="1" collapsed="1">
      <c r="A2664" s="12" t="s">
        <v>499</v>
      </c>
      <c r="B2664" s="12"/>
      <c r="C2664" s="12"/>
      <c r="D2664" s="12"/>
      <c r="E2664" s="12"/>
      <c r="F2664" s="12"/>
    </row>
    <row r="2665" ht="6" customHeight="1" hidden="1" x14ac:dyDescent="0.25" outlineLevel="1" collapsed="1"/>
    <row r="2666" ht="22" customHeight="1" spans="1:6" x14ac:dyDescent="0.25">
      <c r="A2666" s="25" t="s">
        <v>559</v>
      </c>
      <c r="B2666" s="25"/>
      <c r="C2666" s="25"/>
      <c r="D2666" s="25"/>
      <c r="E2666" s="25"/>
      <c r="F2666" s="25"/>
    </row>
    <row r="2667" ht="20" customHeight="1" hidden="1" spans="1:6" x14ac:dyDescent="0.25" outlineLevel="1" collapsed="1">
      <c r="A2667" s="26" t="s">
        <v>460</v>
      </c>
      <c r="B2667" s="26" t="s">
        <v>461</v>
      </c>
      <c r="C2667" s="26" t="s">
        <v>462</v>
      </c>
      <c r="D2667" s="26" t="s">
        <v>32</v>
      </c>
      <c r="E2667" s="26" t="s">
        <v>463</v>
      </c>
      <c r="F2667" s="26" t="s">
        <v>464</v>
      </c>
    </row>
    <row r="2668" ht="36" customHeight="1" hidden="1" spans="1:6" x14ac:dyDescent="0.25" outlineLevel="1" collapsed="1">
      <c r="A2668" s="27">
        <v>4220</v>
      </c>
      <c r="B2668" s="28" t="s">
        <v>543</v>
      </c>
      <c r="C2668" s="27" t="s">
        <v>466</v>
      </c>
      <c r="D2668" s="29" t="s">
        <v>32</v>
      </c>
      <c r="E2668" s="28" t="s">
        <v>522</v>
      </c>
      <c r="F2668" s="28" t="s">
        <v>32</v>
      </c>
    </row>
    <row r="2669" ht="21" customHeight="1" hidden="1" spans="1:6" x14ac:dyDescent="0.25" outlineLevel="1" collapsed="1">
      <c r="A2669" s="30" t="s">
        <v>32</v>
      </c>
      <c r="B2669" s="17" t="s">
        <v>32</v>
      </c>
      <c r="C2669" s="30" t="s">
        <v>32</v>
      </c>
      <c r="D2669" s="31" t="s">
        <v>32</v>
      </c>
      <c r="E2669" s="35" t="s">
        <v>632</v>
      </c>
      <c r="F2669" s="17" t="s">
        <v>32</v>
      </c>
    </row>
    <row r="2670" ht="36" customHeight="1" hidden="1" spans="1:6" x14ac:dyDescent="0.25" outlineLevel="1" collapsed="1">
      <c r="A2670" s="27">
        <v>4240</v>
      </c>
      <c r="B2670" s="28" t="s">
        <v>471</v>
      </c>
      <c r="C2670" s="27" t="s">
        <v>472</v>
      </c>
      <c r="D2670" s="29" t="s">
        <v>32</v>
      </c>
      <c r="E2670" s="28" t="s">
        <v>524</v>
      </c>
      <c r="F2670" s="28" t="s">
        <v>32</v>
      </c>
    </row>
    <row r="2671" ht="21" customHeight="1" hidden="1" spans="1:6" x14ac:dyDescent="0.25" outlineLevel="1" collapsed="1">
      <c r="A2671" s="30" t="s">
        <v>32</v>
      </c>
      <c r="B2671" s="17" t="s">
        <v>32</v>
      </c>
      <c r="C2671" s="30" t="s">
        <v>32</v>
      </c>
      <c r="D2671" s="31" t="s">
        <v>32</v>
      </c>
      <c r="E2671" s="35" t="s">
        <v>632</v>
      </c>
      <c r="F2671" s="17" t="s">
        <v>32</v>
      </c>
    </row>
    <row r="2672" ht="51" customHeight="1" hidden="1" spans="1:6" x14ac:dyDescent="0.25" outlineLevel="1" collapsed="1">
      <c r="A2672" s="27">
        <v>4230</v>
      </c>
      <c r="B2672" s="28" t="s">
        <v>544</v>
      </c>
      <c r="C2672" s="27" t="s">
        <v>472</v>
      </c>
      <c r="D2672" s="29" t="s">
        <v>32</v>
      </c>
      <c r="E2672" s="28" t="s">
        <v>545</v>
      </c>
      <c r="F2672" s="28" t="s">
        <v>482</v>
      </c>
    </row>
    <row r="2673" ht="21" customHeight="1" hidden="1" spans="1:6" x14ac:dyDescent="0.25" outlineLevel="1" collapsed="1">
      <c r="A2673" s="30" t="s">
        <v>32</v>
      </c>
      <c r="B2673" s="17" t="s">
        <v>32</v>
      </c>
      <c r="C2673" s="30" t="s">
        <v>32</v>
      </c>
      <c r="D2673" s="31" t="s">
        <v>32</v>
      </c>
      <c r="E2673" s="17" t="s">
        <v>547</v>
      </c>
      <c r="F2673" s="17" t="s">
        <v>32</v>
      </c>
    </row>
    <row r="2674" ht="36" customHeight="1" hidden="1" spans="1:6" x14ac:dyDescent="0.25" outlineLevel="1" collapsed="1">
      <c r="A2674" s="32" t="s">
        <v>32</v>
      </c>
      <c r="B2674" s="12" t="s">
        <v>32</v>
      </c>
      <c r="C2674" s="32" t="s">
        <v>32</v>
      </c>
      <c r="D2674" s="31" t="s">
        <v>32</v>
      </c>
      <c r="E2674" s="12" t="s">
        <v>548</v>
      </c>
      <c r="F2674" s="12" t="s">
        <v>32</v>
      </c>
    </row>
    <row r="2675" ht="36" customHeight="1" hidden="1" spans="1:6" x14ac:dyDescent="0.25" outlineLevel="1" collapsed="1">
      <c r="A2675" s="30" t="s">
        <v>32</v>
      </c>
      <c r="B2675" s="17" t="s">
        <v>32</v>
      </c>
      <c r="C2675" s="30" t="s">
        <v>32</v>
      </c>
      <c r="D2675" s="31" t="s">
        <v>32</v>
      </c>
      <c r="E2675" s="17" t="s">
        <v>549</v>
      </c>
      <c r="F2675" s="17" t="s">
        <v>32</v>
      </c>
    </row>
    <row r="2676" ht="21" customHeight="1" hidden="1" spans="1:6" x14ac:dyDescent="0.25" outlineLevel="1" collapsed="1">
      <c r="A2676" s="32" t="s">
        <v>32</v>
      </c>
      <c r="B2676" s="12" t="s">
        <v>32</v>
      </c>
      <c r="C2676" s="32" t="s">
        <v>32</v>
      </c>
      <c r="D2676" s="31" t="s">
        <v>32</v>
      </c>
      <c r="E2676" s="12" t="s">
        <v>550</v>
      </c>
      <c r="F2676" s="12" t="s">
        <v>32</v>
      </c>
    </row>
    <row r="2677" ht="21" customHeight="1" hidden="1" spans="1:6" x14ac:dyDescent="0.25" outlineLevel="1" collapsed="1">
      <c r="A2677" s="30" t="s">
        <v>32</v>
      </c>
      <c r="B2677" s="17" t="s">
        <v>32</v>
      </c>
      <c r="C2677" s="30" t="s">
        <v>32</v>
      </c>
      <c r="D2677" s="31" t="s">
        <v>32</v>
      </c>
      <c r="E2677" s="17" t="s">
        <v>551</v>
      </c>
      <c r="F2677" s="17" t="s">
        <v>32</v>
      </c>
    </row>
    <row r="2678" ht="21" customHeight="1" hidden="1" spans="1:6" x14ac:dyDescent="0.25" outlineLevel="1" collapsed="1">
      <c r="A2678" s="32" t="s">
        <v>32</v>
      </c>
      <c r="B2678" s="12" t="s">
        <v>32</v>
      </c>
      <c r="C2678" s="32" t="s">
        <v>32</v>
      </c>
      <c r="D2678" s="31" t="s">
        <v>32</v>
      </c>
      <c r="E2678" s="12" t="s">
        <v>552</v>
      </c>
      <c r="F2678" s="12" t="s">
        <v>32</v>
      </c>
    </row>
    <row r="2679" ht="21" customHeight="1" hidden="1" spans="1:6" x14ac:dyDescent="0.25" outlineLevel="1" collapsed="1">
      <c r="A2679" s="30" t="s">
        <v>32</v>
      </c>
      <c r="B2679" s="17" t="s">
        <v>32</v>
      </c>
      <c r="C2679" s="30" t="s">
        <v>32</v>
      </c>
      <c r="D2679" s="31" t="s">
        <v>32</v>
      </c>
      <c r="E2679" s="17" t="s">
        <v>553</v>
      </c>
      <c r="F2679" s="17" t="s">
        <v>32</v>
      </c>
    </row>
    <row r="2680" ht="21" customHeight="1" hidden="1" spans="1:6" x14ac:dyDescent="0.25" outlineLevel="1" collapsed="1">
      <c r="A2680" s="32" t="s">
        <v>32</v>
      </c>
      <c r="B2680" s="12" t="s">
        <v>32</v>
      </c>
      <c r="C2680" s="32" t="s">
        <v>32</v>
      </c>
      <c r="D2680" s="31" t="s">
        <v>32</v>
      </c>
      <c r="E2680" s="12" t="s">
        <v>554</v>
      </c>
      <c r="F2680" s="12" t="s">
        <v>32</v>
      </c>
    </row>
    <row r="2681" ht="21" customHeight="1" hidden="1" spans="1:6" x14ac:dyDescent="0.25" outlineLevel="1" collapsed="1">
      <c r="A2681" s="30" t="s">
        <v>32</v>
      </c>
      <c r="B2681" s="17" t="s">
        <v>32</v>
      </c>
      <c r="C2681" s="30" t="s">
        <v>32</v>
      </c>
      <c r="D2681" s="31" t="s">
        <v>32</v>
      </c>
      <c r="E2681" s="17" t="s">
        <v>555</v>
      </c>
      <c r="F2681" s="17" t="s">
        <v>32</v>
      </c>
    </row>
    <row r="2682" ht="21" customHeight="1" hidden="1" spans="1:6" x14ac:dyDescent="0.25" outlineLevel="1" collapsed="1">
      <c r="A2682" s="32" t="s">
        <v>32</v>
      </c>
      <c r="B2682" s="12" t="s">
        <v>32</v>
      </c>
      <c r="C2682" s="32" t="s">
        <v>32</v>
      </c>
      <c r="D2682" s="31" t="s">
        <v>32</v>
      </c>
      <c r="E2682" s="12" t="s">
        <v>556</v>
      </c>
      <c r="F2682" s="12" t="s">
        <v>32</v>
      </c>
    </row>
    <row r="2683" ht="21" customHeight="1" hidden="1" spans="1:6" x14ac:dyDescent="0.25" outlineLevel="1" collapsed="1">
      <c r="A2683" s="30" t="s">
        <v>32</v>
      </c>
      <c r="B2683" s="17" t="s">
        <v>32</v>
      </c>
      <c r="C2683" s="30" t="s">
        <v>32</v>
      </c>
      <c r="D2683" s="31" t="s">
        <v>32</v>
      </c>
      <c r="E2683" s="17" t="s">
        <v>493</v>
      </c>
      <c r="F2683" s="17" t="s">
        <v>32</v>
      </c>
    </row>
    <row r="2684" ht="21" customHeight="1" hidden="1" spans="1:6" x14ac:dyDescent="0.25" outlineLevel="1" collapsed="1">
      <c r="A2684" s="32" t="s">
        <v>32</v>
      </c>
      <c r="B2684" s="12" t="s">
        <v>32</v>
      </c>
      <c r="C2684" s="32" t="s">
        <v>32</v>
      </c>
      <c r="D2684" s="31" t="s">
        <v>32</v>
      </c>
      <c r="E2684" s="33" t="s">
        <v>633</v>
      </c>
      <c r="F2684" s="12" t="s">
        <v>32</v>
      </c>
    </row>
    <row r="2685" ht="22" customHeight="1" hidden="1" spans="1:6" x14ac:dyDescent="0.25" outlineLevel="1" collapsed="1">
      <c r="A2685" s="34" t="s">
        <v>495</v>
      </c>
      <c r="B2685" s="34"/>
      <c r="C2685" s="34"/>
      <c r="D2685" s="34"/>
      <c r="E2685" s="34"/>
      <c r="F2685" s="34"/>
    </row>
    <row r="2686" ht="24" customHeight="1" hidden="1" spans="1:6" x14ac:dyDescent="0.25" outlineLevel="1" collapsed="1">
      <c r="A2686" s="12" t="s">
        <v>644</v>
      </c>
      <c r="B2686" s="12"/>
      <c r="C2686" s="12"/>
      <c r="D2686" s="12"/>
      <c r="E2686" s="12"/>
      <c r="F2686" s="12"/>
    </row>
    <row r="2687" ht="24" customHeight="1" hidden="1" spans="1:6" x14ac:dyDescent="0.25" outlineLevel="1" collapsed="1">
      <c r="A2687" s="12" t="s">
        <v>645</v>
      </c>
      <c r="B2687" s="12"/>
      <c r="C2687" s="12"/>
      <c r="D2687" s="12"/>
      <c r="E2687" s="12"/>
      <c r="F2687" s="12"/>
    </row>
    <row r="2688" ht="56" customHeight="1" hidden="1" spans="1:6" x14ac:dyDescent="0.25" outlineLevel="1" collapsed="1">
      <c r="A2688" s="12" t="s">
        <v>647</v>
      </c>
      <c r="B2688" s="12"/>
      <c r="C2688" s="12"/>
      <c r="D2688" s="12"/>
      <c r="E2688" s="12"/>
      <c r="F2688" s="12"/>
    </row>
    <row r="2689" ht="24" customHeight="1" hidden="1" spans="1:6" x14ac:dyDescent="0.25" outlineLevel="1" collapsed="1">
      <c r="A2689" s="12" t="s">
        <v>499</v>
      </c>
      <c r="B2689" s="12"/>
      <c r="C2689" s="12"/>
      <c r="D2689" s="12"/>
      <c r="E2689" s="12"/>
      <c r="F2689" s="12"/>
    </row>
    <row r="2690" ht="6" customHeight="1" hidden="1" x14ac:dyDescent="0.25" outlineLevel="1" collapsed="1"/>
    <row r="2691" ht="22" customHeight="1" spans="1:6" x14ac:dyDescent="0.25">
      <c r="A2691" s="25" t="s">
        <v>560</v>
      </c>
      <c r="B2691" s="25"/>
      <c r="C2691" s="25"/>
      <c r="D2691" s="25"/>
      <c r="E2691" s="25"/>
      <c r="F2691" s="25"/>
    </row>
    <row r="2692" ht="20" customHeight="1" hidden="1" spans="1:6" x14ac:dyDescent="0.25" outlineLevel="1" collapsed="1">
      <c r="A2692" s="26" t="s">
        <v>460</v>
      </c>
      <c r="B2692" s="26" t="s">
        <v>461</v>
      </c>
      <c r="C2692" s="26" t="s">
        <v>462</v>
      </c>
      <c r="D2692" s="26" t="s">
        <v>32</v>
      </c>
      <c r="E2692" s="26" t="s">
        <v>463</v>
      </c>
      <c r="F2692" s="26" t="s">
        <v>464</v>
      </c>
    </row>
    <row r="2693" ht="36" customHeight="1" hidden="1" spans="1:6" x14ac:dyDescent="0.25" outlineLevel="1" collapsed="1">
      <c r="A2693" s="27">
        <v>4220</v>
      </c>
      <c r="B2693" s="28" t="s">
        <v>543</v>
      </c>
      <c r="C2693" s="27" t="s">
        <v>466</v>
      </c>
      <c r="D2693" s="29" t="s">
        <v>32</v>
      </c>
      <c r="E2693" s="28" t="s">
        <v>522</v>
      </c>
      <c r="F2693" s="28" t="s">
        <v>32</v>
      </c>
    </row>
    <row r="2694" ht="21" customHeight="1" hidden="1" spans="1:6" x14ac:dyDescent="0.25" outlineLevel="1" collapsed="1">
      <c r="A2694" s="30" t="s">
        <v>32</v>
      </c>
      <c r="B2694" s="17" t="s">
        <v>32</v>
      </c>
      <c r="C2694" s="30" t="s">
        <v>32</v>
      </c>
      <c r="D2694" s="31" t="s">
        <v>32</v>
      </c>
      <c r="E2694" s="35" t="s">
        <v>632</v>
      </c>
      <c r="F2694" s="17" t="s">
        <v>32</v>
      </c>
    </row>
    <row r="2695" ht="36" customHeight="1" hidden="1" spans="1:6" x14ac:dyDescent="0.25" outlineLevel="1" collapsed="1">
      <c r="A2695" s="27">
        <v>4240</v>
      </c>
      <c r="B2695" s="28" t="s">
        <v>471</v>
      </c>
      <c r="C2695" s="27" t="s">
        <v>472</v>
      </c>
      <c r="D2695" s="29" t="s">
        <v>32</v>
      </c>
      <c r="E2695" s="28" t="s">
        <v>524</v>
      </c>
      <c r="F2695" s="28" t="s">
        <v>32</v>
      </c>
    </row>
    <row r="2696" ht="21" customHeight="1" hidden="1" spans="1:6" x14ac:dyDescent="0.25" outlineLevel="1" collapsed="1">
      <c r="A2696" s="30" t="s">
        <v>32</v>
      </c>
      <c r="B2696" s="17" t="s">
        <v>32</v>
      </c>
      <c r="C2696" s="30" t="s">
        <v>32</v>
      </c>
      <c r="D2696" s="31" t="s">
        <v>32</v>
      </c>
      <c r="E2696" s="35" t="s">
        <v>632</v>
      </c>
      <c r="F2696" s="17" t="s">
        <v>32</v>
      </c>
    </row>
    <row r="2697" ht="51" customHeight="1" hidden="1" spans="1:6" x14ac:dyDescent="0.25" outlineLevel="1" collapsed="1">
      <c r="A2697" s="27">
        <v>4230</v>
      </c>
      <c r="B2697" s="28" t="s">
        <v>544</v>
      </c>
      <c r="C2697" s="27" t="s">
        <v>472</v>
      </c>
      <c r="D2697" s="29" t="s">
        <v>32</v>
      </c>
      <c r="E2697" s="28" t="s">
        <v>545</v>
      </c>
      <c r="F2697" s="28" t="s">
        <v>482</v>
      </c>
    </row>
    <row r="2698" ht="21" customHeight="1" hidden="1" spans="1:6" x14ac:dyDescent="0.25" outlineLevel="1" collapsed="1">
      <c r="A2698" s="30" t="s">
        <v>32</v>
      </c>
      <c r="B2698" s="17" t="s">
        <v>32</v>
      </c>
      <c r="C2698" s="30" t="s">
        <v>32</v>
      </c>
      <c r="D2698" s="31" t="s">
        <v>32</v>
      </c>
      <c r="E2698" s="17" t="s">
        <v>547</v>
      </c>
      <c r="F2698" s="17" t="s">
        <v>32</v>
      </c>
    </row>
    <row r="2699" ht="36" customHeight="1" hidden="1" spans="1:6" x14ac:dyDescent="0.25" outlineLevel="1" collapsed="1">
      <c r="A2699" s="32" t="s">
        <v>32</v>
      </c>
      <c r="B2699" s="12" t="s">
        <v>32</v>
      </c>
      <c r="C2699" s="32" t="s">
        <v>32</v>
      </c>
      <c r="D2699" s="31" t="s">
        <v>32</v>
      </c>
      <c r="E2699" s="12" t="s">
        <v>548</v>
      </c>
      <c r="F2699" s="12" t="s">
        <v>32</v>
      </c>
    </row>
    <row r="2700" ht="36" customHeight="1" hidden="1" spans="1:6" x14ac:dyDescent="0.25" outlineLevel="1" collapsed="1">
      <c r="A2700" s="30" t="s">
        <v>32</v>
      </c>
      <c r="B2700" s="17" t="s">
        <v>32</v>
      </c>
      <c r="C2700" s="30" t="s">
        <v>32</v>
      </c>
      <c r="D2700" s="31" t="s">
        <v>32</v>
      </c>
      <c r="E2700" s="17" t="s">
        <v>549</v>
      </c>
      <c r="F2700" s="17" t="s">
        <v>32</v>
      </c>
    </row>
    <row r="2701" ht="21" customHeight="1" hidden="1" spans="1:6" x14ac:dyDescent="0.25" outlineLevel="1" collapsed="1">
      <c r="A2701" s="32" t="s">
        <v>32</v>
      </c>
      <c r="B2701" s="12" t="s">
        <v>32</v>
      </c>
      <c r="C2701" s="32" t="s">
        <v>32</v>
      </c>
      <c r="D2701" s="31" t="s">
        <v>32</v>
      </c>
      <c r="E2701" s="12" t="s">
        <v>550</v>
      </c>
      <c r="F2701" s="12" t="s">
        <v>32</v>
      </c>
    </row>
    <row r="2702" ht="21" customHeight="1" hidden="1" spans="1:6" x14ac:dyDescent="0.25" outlineLevel="1" collapsed="1">
      <c r="A2702" s="30" t="s">
        <v>32</v>
      </c>
      <c r="B2702" s="17" t="s">
        <v>32</v>
      </c>
      <c r="C2702" s="30" t="s">
        <v>32</v>
      </c>
      <c r="D2702" s="31" t="s">
        <v>32</v>
      </c>
      <c r="E2702" s="17" t="s">
        <v>551</v>
      </c>
      <c r="F2702" s="17" t="s">
        <v>32</v>
      </c>
    </row>
    <row r="2703" ht="21" customHeight="1" hidden="1" spans="1:6" x14ac:dyDescent="0.25" outlineLevel="1" collapsed="1">
      <c r="A2703" s="32" t="s">
        <v>32</v>
      </c>
      <c r="B2703" s="12" t="s">
        <v>32</v>
      </c>
      <c r="C2703" s="32" t="s">
        <v>32</v>
      </c>
      <c r="D2703" s="31" t="s">
        <v>32</v>
      </c>
      <c r="E2703" s="12" t="s">
        <v>552</v>
      </c>
      <c r="F2703" s="12" t="s">
        <v>32</v>
      </c>
    </row>
    <row r="2704" ht="21" customHeight="1" hidden="1" spans="1:6" x14ac:dyDescent="0.25" outlineLevel="1" collapsed="1">
      <c r="A2704" s="30" t="s">
        <v>32</v>
      </c>
      <c r="B2704" s="17" t="s">
        <v>32</v>
      </c>
      <c r="C2704" s="30" t="s">
        <v>32</v>
      </c>
      <c r="D2704" s="31" t="s">
        <v>32</v>
      </c>
      <c r="E2704" s="17" t="s">
        <v>553</v>
      </c>
      <c r="F2704" s="17" t="s">
        <v>32</v>
      </c>
    </row>
    <row r="2705" ht="21" customHeight="1" hidden="1" spans="1:6" x14ac:dyDescent="0.25" outlineLevel="1" collapsed="1">
      <c r="A2705" s="32" t="s">
        <v>32</v>
      </c>
      <c r="B2705" s="12" t="s">
        <v>32</v>
      </c>
      <c r="C2705" s="32" t="s">
        <v>32</v>
      </c>
      <c r="D2705" s="31" t="s">
        <v>32</v>
      </c>
      <c r="E2705" s="12" t="s">
        <v>554</v>
      </c>
      <c r="F2705" s="12" t="s">
        <v>32</v>
      </c>
    </row>
    <row r="2706" ht="21" customHeight="1" hidden="1" spans="1:6" x14ac:dyDescent="0.25" outlineLevel="1" collapsed="1">
      <c r="A2706" s="30" t="s">
        <v>32</v>
      </c>
      <c r="B2706" s="17" t="s">
        <v>32</v>
      </c>
      <c r="C2706" s="30" t="s">
        <v>32</v>
      </c>
      <c r="D2706" s="31" t="s">
        <v>32</v>
      </c>
      <c r="E2706" s="17" t="s">
        <v>555</v>
      </c>
      <c r="F2706" s="17" t="s">
        <v>32</v>
      </c>
    </row>
    <row r="2707" ht="21" customHeight="1" hidden="1" spans="1:6" x14ac:dyDescent="0.25" outlineLevel="1" collapsed="1">
      <c r="A2707" s="32" t="s">
        <v>32</v>
      </c>
      <c r="B2707" s="12" t="s">
        <v>32</v>
      </c>
      <c r="C2707" s="32" t="s">
        <v>32</v>
      </c>
      <c r="D2707" s="31" t="s">
        <v>32</v>
      </c>
      <c r="E2707" s="12" t="s">
        <v>556</v>
      </c>
      <c r="F2707" s="12" t="s">
        <v>32</v>
      </c>
    </row>
    <row r="2708" ht="21" customHeight="1" hidden="1" spans="1:6" x14ac:dyDescent="0.25" outlineLevel="1" collapsed="1">
      <c r="A2708" s="30" t="s">
        <v>32</v>
      </c>
      <c r="B2708" s="17" t="s">
        <v>32</v>
      </c>
      <c r="C2708" s="30" t="s">
        <v>32</v>
      </c>
      <c r="D2708" s="31" t="s">
        <v>32</v>
      </c>
      <c r="E2708" s="17" t="s">
        <v>493</v>
      </c>
      <c r="F2708" s="17" t="s">
        <v>32</v>
      </c>
    </row>
    <row r="2709" ht="21" customHeight="1" hidden="1" spans="1:6" x14ac:dyDescent="0.25" outlineLevel="1" collapsed="1">
      <c r="A2709" s="32" t="s">
        <v>32</v>
      </c>
      <c r="B2709" s="12" t="s">
        <v>32</v>
      </c>
      <c r="C2709" s="32" t="s">
        <v>32</v>
      </c>
      <c r="D2709" s="31" t="s">
        <v>32</v>
      </c>
      <c r="E2709" s="33" t="s">
        <v>633</v>
      </c>
      <c r="F2709" s="12" t="s">
        <v>32</v>
      </c>
    </row>
    <row r="2710" ht="22" customHeight="1" hidden="1" spans="1:6" x14ac:dyDescent="0.25" outlineLevel="1" collapsed="1">
      <c r="A2710" s="34" t="s">
        <v>495</v>
      </c>
      <c r="B2710" s="34"/>
      <c r="C2710" s="34"/>
      <c r="D2710" s="34"/>
      <c r="E2710" s="34"/>
      <c r="F2710" s="34"/>
    </row>
    <row r="2711" ht="24" customHeight="1" hidden="1" spans="1:6" x14ac:dyDescent="0.25" outlineLevel="1" collapsed="1">
      <c r="A2711" s="12" t="s">
        <v>644</v>
      </c>
      <c r="B2711" s="12"/>
      <c r="C2711" s="12"/>
      <c r="D2711" s="12"/>
      <c r="E2711" s="12"/>
      <c r="F2711" s="12"/>
    </row>
    <row r="2712" ht="24" customHeight="1" hidden="1" spans="1:6" x14ac:dyDescent="0.25" outlineLevel="1" collapsed="1">
      <c r="A2712" s="12" t="s">
        <v>645</v>
      </c>
      <c r="B2712" s="12"/>
      <c r="C2712" s="12"/>
      <c r="D2712" s="12"/>
      <c r="E2712" s="12"/>
      <c r="F2712" s="12"/>
    </row>
    <row r="2713" ht="56" customHeight="1" hidden="1" spans="1:6" x14ac:dyDescent="0.25" outlineLevel="1" collapsed="1">
      <c r="A2713" s="12" t="s">
        <v>647</v>
      </c>
      <c r="B2713" s="12"/>
      <c r="C2713" s="12"/>
      <c r="D2713" s="12"/>
      <c r="E2713" s="12"/>
      <c r="F2713" s="12"/>
    </row>
    <row r="2714" ht="24" customHeight="1" hidden="1" spans="1:6" x14ac:dyDescent="0.25" outlineLevel="1" collapsed="1">
      <c r="A2714" s="12" t="s">
        <v>499</v>
      </c>
      <c r="B2714" s="12"/>
      <c r="C2714" s="12"/>
      <c r="D2714" s="12"/>
      <c r="E2714" s="12"/>
      <c r="F2714" s="12"/>
    </row>
    <row r="2715" ht="6" customHeight="1" hidden="1" x14ac:dyDescent="0.25" outlineLevel="1" collapsed="1"/>
    <row r="2716" ht="22" customHeight="1" spans="1:6" x14ac:dyDescent="0.25">
      <c r="A2716" s="25" t="s">
        <v>561</v>
      </c>
      <c r="B2716" s="25"/>
      <c r="C2716" s="25"/>
      <c r="D2716" s="25"/>
      <c r="E2716" s="25"/>
      <c r="F2716" s="25"/>
    </row>
    <row r="2717" ht="20" customHeight="1" hidden="1" spans="1:6" x14ac:dyDescent="0.25" outlineLevel="1" collapsed="1">
      <c r="A2717" s="26" t="s">
        <v>460</v>
      </c>
      <c r="B2717" s="26" t="s">
        <v>461</v>
      </c>
      <c r="C2717" s="26" t="s">
        <v>462</v>
      </c>
      <c r="D2717" s="26" t="s">
        <v>32</v>
      </c>
      <c r="E2717" s="26" t="s">
        <v>463</v>
      </c>
      <c r="F2717" s="26" t="s">
        <v>464</v>
      </c>
    </row>
    <row r="2718" ht="36" customHeight="1" hidden="1" spans="1:6" x14ac:dyDescent="0.25" outlineLevel="1" collapsed="1">
      <c r="A2718" s="27">
        <v>4220</v>
      </c>
      <c r="B2718" s="28" t="s">
        <v>543</v>
      </c>
      <c r="C2718" s="27" t="s">
        <v>466</v>
      </c>
      <c r="D2718" s="29" t="s">
        <v>32</v>
      </c>
      <c r="E2718" s="28" t="s">
        <v>522</v>
      </c>
      <c r="F2718" s="28" t="s">
        <v>32</v>
      </c>
    </row>
    <row r="2719" ht="21" customHeight="1" hidden="1" spans="1:6" x14ac:dyDescent="0.25" outlineLevel="1" collapsed="1">
      <c r="A2719" s="30" t="s">
        <v>32</v>
      </c>
      <c r="B2719" s="17" t="s">
        <v>32</v>
      </c>
      <c r="C2719" s="30" t="s">
        <v>32</v>
      </c>
      <c r="D2719" s="31" t="s">
        <v>32</v>
      </c>
      <c r="E2719" s="35" t="s">
        <v>632</v>
      </c>
      <c r="F2719" s="17" t="s">
        <v>32</v>
      </c>
    </row>
    <row r="2720" ht="36" customHeight="1" hidden="1" spans="1:6" x14ac:dyDescent="0.25" outlineLevel="1" collapsed="1">
      <c r="A2720" s="27">
        <v>4240</v>
      </c>
      <c r="B2720" s="28" t="s">
        <v>471</v>
      </c>
      <c r="C2720" s="27" t="s">
        <v>472</v>
      </c>
      <c r="D2720" s="29" t="s">
        <v>32</v>
      </c>
      <c r="E2720" s="28" t="s">
        <v>524</v>
      </c>
      <c r="F2720" s="28" t="s">
        <v>32</v>
      </c>
    </row>
    <row r="2721" ht="21" customHeight="1" hidden="1" spans="1:6" x14ac:dyDescent="0.25" outlineLevel="1" collapsed="1">
      <c r="A2721" s="30" t="s">
        <v>32</v>
      </c>
      <c r="B2721" s="17" t="s">
        <v>32</v>
      </c>
      <c r="C2721" s="30" t="s">
        <v>32</v>
      </c>
      <c r="D2721" s="31" t="s">
        <v>32</v>
      </c>
      <c r="E2721" s="35" t="s">
        <v>632</v>
      </c>
      <c r="F2721" s="17" t="s">
        <v>32</v>
      </c>
    </row>
    <row r="2722" ht="51" customHeight="1" hidden="1" spans="1:6" x14ac:dyDescent="0.25" outlineLevel="1" collapsed="1">
      <c r="A2722" s="27">
        <v>4230</v>
      </c>
      <c r="B2722" s="28" t="s">
        <v>544</v>
      </c>
      <c r="C2722" s="27" t="s">
        <v>472</v>
      </c>
      <c r="D2722" s="29" t="s">
        <v>32</v>
      </c>
      <c r="E2722" s="28" t="s">
        <v>545</v>
      </c>
      <c r="F2722" s="28" t="s">
        <v>482</v>
      </c>
    </row>
    <row r="2723" ht="21" customHeight="1" hidden="1" spans="1:6" x14ac:dyDescent="0.25" outlineLevel="1" collapsed="1">
      <c r="A2723" s="30" t="s">
        <v>32</v>
      </c>
      <c r="B2723" s="17" t="s">
        <v>32</v>
      </c>
      <c r="C2723" s="30" t="s">
        <v>32</v>
      </c>
      <c r="D2723" s="31" t="s">
        <v>32</v>
      </c>
      <c r="E2723" s="17" t="s">
        <v>547</v>
      </c>
      <c r="F2723" s="17" t="s">
        <v>32</v>
      </c>
    </row>
    <row r="2724" ht="36" customHeight="1" hidden="1" spans="1:6" x14ac:dyDescent="0.25" outlineLevel="1" collapsed="1">
      <c r="A2724" s="32" t="s">
        <v>32</v>
      </c>
      <c r="B2724" s="12" t="s">
        <v>32</v>
      </c>
      <c r="C2724" s="32" t="s">
        <v>32</v>
      </c>
      <c r="D2724" s="31" t="s">
        <v>32</v>
      </c>
      <c r="E2724" s="12" t="s">
        <v>548</v>
      </c>
      <c r="F2724" s="12" t="s">
        <v>32</v>
      </c>
    </row>
    <row r="2725" ht="36" customHeight="1" hidden="1" spans="1:6" x14ac:dyDescent="0.25" outlineLevel="1" collapsed="1">
      <c r="A2725" s="30" t="s">
        <v>32</v>
      </c>
      <c r="B2725" s="17" t="s">
        <v>32</v>
      </c>
      <c r="C2725" s="30" t="s">
        <v>32</v>
      </c>
      <c r="D2725" s="31" t="s">
        <v>32</v>
      </c>
      <c r="E2725" s="17" t="s">
        <v>549</v>
      </c>
      <c r="F2725" s="17" t="s">
        <v>32</v>
      </c>
    </row>
    <row r="2726" ht="21" customHeight="1" hidden="1" spans="1:6" x14ac:dyDescent="0.25" outlineLevel="1" collapsed="1">
      <c r="A2726" s="32" t="s">
        <v>32</v>
      </c>
      <c r="B2726" s="12" t="s">
        <v>32</v>
      </c>
      <c r="C2726" s="32" t="s">
        <v>32</v>
      </c>
      <c r="D2726" s="31" t="s">
        <v>32</v>
      </c>
      <c r="E2726" s="12" t="s">
        <v>550</v>
      </c>
      <c r="F2726" s="12" t="s">
        <v>32</v>
      </c>
    </row>
    <row r="2727" ht="21" customHeight="1" hidden="1" spans="1:6" x14ac:dyDescent="0.25" outlineLevel="1" collapsed="1">
      <c r="A2727" s="30" t="s">
        <v>32</v>
      </c>
      <c r="B2727" s="17" t="s">
        <v>32</v>
      </c>
      <c r="C2727" s="30" t="s">
        <v>32</v>
      </c>
      <c r="D2727" s="31" t="s">
        <v>32</v>
      </c>
      <c r="E2727" s="17" t="s">
        <v>551</v>
      </c>
      <c r="F2727" s="17" t="s">
        <v>32</v>
      </c>
    </row>
    <row r="2728" ht="21" customHeight="1" hidden="1" spans="1:6" x14ac:dyDescent="0.25" outlineLevel="1" collapsed="1">
      <c r="A2728" s="32" t="s">
        <v>32</v>
      </c>
      <c r="B2728" s="12" t="s">
        <v>32</v>
      </c>
      <c r="C2728" s="32" t="s">
        <v>32</v>
      </c>
      <c r="D2728" s="31" t="s">
        <v>32</v>
      </c>
      <c r="E2728" s="12" t="s">
        <v>552</v>
      </c>
      <c r="F2728" s="12" t="s">
        <v>32</v>
      </c>
    </row>
    <row r="2729" ht="21" customHeight="1" hidden="1" spans="1:6" x14ac:dyDescent="0.25" outlineLevel="1" collapsed="1">
      <c r="A2729" s="30" t="s">
        <v>32</v>
      </c>
      <c r="B2729" s="17" t="s">
        <v>32</v>
      </c>
      <c r="C2729" s="30" t="s">
        <v>32</v>
      </c>
      <c r="D2729" s="31" t="s">
        <v>32</v>
      </c>
      <c r="E2729" s="17" t="s">
        <v>553</v>
      </c>
      <c r="F2729" s="17" t="s">
        <v>32</v>
      </c>
    </row>
    <row r="2730" ht="21" customHeight="1" hidden="1" spans="1:6" x14ac:dyDescent="0.25" outlineLevel="1" collapsed="1">
      <c r="A2730" s="32" t="s">
        <v>32</v>
      </c>
      <c r="B2730" s="12" t="s">
        <v>32</v>
      </c>
      <c r="C2730" s="32" t="s">
        <v>32</v>
      </c>
      <c r="D2730" s="31" t="s">
        <v>32</v>
      </c>
      <c r="E2730" s="12" t="s">
        <v>554</v>
      </c>
      <c r="F2730" s="12" t="s">
        <v>32</v>
      </c>
    </row>
    <row r="2731" ht="21" customHeight="1" hidden="1" spans="1:6" x14ac:dyDescent="0.25" outlineLevel="1" collapsed="1">
      <c r="A2731" s="30" t="s">
        <v>32</v>
      </c>
      <c r="B2731" s="17" t="s">
        <v>32</v>
      </c>
      <c r="C2731" s="30" t="s">
        <v>32</v>
      </c>
      <c r="D2731" s="31" t="s">
        <v>32</v>
      </c>
      <c r="E2731" s="17" t="s">
        <v>555</v>
      </c>
      <c r="F2731" s="17" t="s">
        <v>32</v>
      </c>
    </row>
    <row r="2732" ht="21" customHeight="1" hidden="1" spans="1:6" x14ac:dyDescent="0.25" outlineLevel="1" collapsed="1">
      <c r="A2732" s="32" t="s">
        <v>32</v>
      </c>
      <c r="B2732" s="12" t="s">
        <v>32</v>
      </c>
      <c r="C2732" s="32" t="s">
        <v>32</v>
      </c>
      <c r="D2732" s="31" t="s">
        <v>32</v>
      </c>
      <c r="E2732" s="12" t="s">
        <v>556</v>
      </c>
      <c r="F2732" s="12" t="s">
        <v>32</v>
      </c>
    </row>
    <row r="2733" ht="21" customHeight="1" hidden="1" spans="1:6" x14ac:dyDescent="0.25" outlineLevel="1" collapsed="1">
      <c r="A2733" s="30" t="s">
        <v>32</v>
      </c>
      <c r="B2733" s="17" t="s">
        <v>32</v>
      </c>
      <c r="C2733" s="30" t="s">
        <v>32</v>
      </c>
      <c r="D2733" s="31" t="s">
        <v>32</v>
      </c>
      <c r="E2733" s="17" t="s">
        <v>493</v>
      </c>
      <c r="F2733" s="17" t="s">
        <v>32</v>
      </c>
    </row>
    <row r="2734" ht="21" customHeight="1" hidden="1" spans="1:6" x14ac:dyDescent="0.25" outlineLevel="1" collapsed="1">
      <c r="A2734" s="32" t="s">
        <v>32</v>
      </c>
      <c r="B2734" s="12" t="s">
        <v>32</v>
      </c>
      <c r="C2734" s="32" t="s">
        <v>32</v>
      </c>
      <c r="D2734" s="31" t="s">
        <v>32</v>
      </c>
      <c r="E2734" s="33" t="s">
        <v>633</v>
      </c>
      <c r="F2734" s="12" t="s">
        <v>32</v>
      </c>
    </row>
    <row r="2735" ht="22" customHeight="1" hidden="1" spans="1:6" x14ac:dyDescent="0.25" outlineLevel="1" collapsed="1">
      <c r="A2735" s="34" t="s">
        <v>495</v>
      </c>
      <c r="B2735" s="34"/>
      <c r="C2735" s="34"/>
      <c r="D2735" s="34"/>
      <c r="E2735" s="34"/>
      <c r="F2735" s="34"/>
    </row>
    <row r="2736" ht="24" customHeight="1" hidden="1" spans="1:6" x14ac:dyDescent="0.25" outlineLevel="1" collapsed="1">
      <c r="A2736" s="12" t="s">
        <v>644</v>
      </c>
      <c r="B2736" s="12"/>
      <c r="C2736" s="12"/>
      <c r="D2736" s="12"/>
      <c r="E2736" s="12"/>
      <c r="F2736" s="12"/>
    </row>
    <row r="2737" ht="24" customHeight="1" hidden="1" spans="1:6" x14ac:dyDescent="0.25" outlineLevel="1" collapsed="1">
      <c r="A2737" s="12" t="s">
        <v>645</v>
      </c>
      <c r="B2737" s="12"/>
      <c r="C2737" s="12"/>
      <c r="D2737" s="12"/>
      <c r="E2737" s="12"/>
      <c r="F2737" s="12"/>
    </row>
    <row r="2738" ht="56" customHeight="1" hidden="1" spans="1:6" x14ac:dyDescent="0.25" outlineLevel="1" collapsed="1">
      <c r="A2738" s="12" t="s">
        <v>647</v>
      </c>
      <c r="B2738" s="12"/>
      <c r="C2738" s="12"/>
      <c r="D2738" s="12"/>
      <c r="E2738" s="12"/>
      <c r="F2738" s="12"/>
    </row>
    <row r="2739" ht="24" customHeight="1" hidden="1" spans="1:6" x14ac:dyDescent="0.25" outlineLevel="1" collapsed="1">
      <c r="A2739" s="12" t="s">
        <v>499</v>
      </c>
      <c r="B2739" s="12"/>
      <c r="C2739" s="12"/>
      <c r="D2739" s="12"/>
      <c r="E2739" s="12"/>
      <c r="F2739" s="12"/>
    </row>
    <row r="2740" ht="6" customHeight="1" hidden="1" x14ac:dyDescent="0.25" outlineLevel="1" collapsed="1"/>
    <row r="2741" ht="22" customHeight="1" spans="1:6" x14ac:dyDescent="0.25">
      <c r="A2741" s="25" t="s">
        <v>562</v>
      </c>
      <c r="B2741" s="25"/>
      <c r="C2741" s="25"/>
      <c r="D2741" s="25"/>
      <c r="E2741" s="25"/>
      <c r="F2741" s="25"/>
    </row>
    <row r="2742" ht="20" customHeight="1" hidden="1" spans="1:6" x14ac:dyDescent="0.25" outlineLevel="1" collapsed="1">
      <c r="A2742" s="26" t="s">
        <v>460</v>
      </c>
      <c r="B2742" s="26" t="s">
        <v>461</v>
      </c>
      <c r="C2742" s="26" t="s">
        <v>462</v>
      </c>
      <c r="D2742" s="26" t="s">
        <v>32</v>
      </c>
      <c r="E2742" s="26" t="s">
        <v>463</v>
      </c>
      <c r="F2742" s="26" t="s">
        <v>464</v>
      </c>
    </row>
    <row r="2743" ht="36" customHeight="1" hidden="1" spans="1:6" x14ac:dyDescent="0.25" outlineLevel="1" collapsed="1">
      <c r="A2743" s="27">
        <v>4220</v>
      </c>
      <c r="B2743" s="28" t="s">
        <v>543</v>
      </c>
      <c r="C2743" s="27" t="s">
        <v>466</v>
      </c>
      <c r="D2743" s="29" t="s">
        <v>32</v>
      </c>
      <c r="E2743" s="28" t="s">
        <v>522</v>
      </c>
      <c r="F2743" s="28" t="s">
        <v>32</v>
      </c>
    </row>
    <row r="2744" ht="21" customHeight="1" hidden="1" spans="1:6" x14ac:dyDescent="0.25" outlineLevel="1" collapsed="1">
      <c r="A2744" s="30" t="s">
        <v>32</v>
      </c>
      <c r="B2744" s="17" t="s">
        <v>32</v>
      </c>
      <c r="C2744" s="30" t="s">
        <v>32</v>
      </c>
      <c r="D2744" s="31" t="s">
        <v>32</v>
      </c>
      <c r="E2744" s="35" t="s">
        <v>632</v>
      </c>
      <c r="F2744" s="17" t="s">
        <v>32</v>
      </c>
    </row>
    <row r="2745" ht="36" customHeight="1" hidden="1" spans="1:6" x14ac:dyDescent="0.25" outlineLevel="1" collapsed="1">
      <c r="A2745" s="27">
        <v>4240</v>
      </c>
      <c r="B2745" s="28" t="s">
        <v>471</v>
      </c>
      <c r="C2745" s="27" t="s">
        <v>472</v>
      </c>
      <c r="D2745" s="29" t="s">
        <v>32</v>
      </c>
      <c r="E2745" s="28" t="s">
        <v>524</v>
      </c>
      <c r="F2745" s="28" t="s">
        <v>32</v>
      </c>
    </row>
    <row r="2746" ht="21" customHeight="1" hidden="1" spans="1:6" x14ac:dyDescent="0.25" outlineLevel="1" collapsed="1">
      <c r="A2746" s="30" t="s">
        <v>32</v>
      </c>
      <c r="B2746" s="17" t="s">
        <v>32</v>
      </c>
      <c r="C2746" s="30" t="s">
        <v>32</v>
      </c>
      <c r="D2746" s="31" t="s">
        <v>32</v>
      </c>
      <c r="E2746" s="35" t="s">
        <v>632</v>
      </c>
      <c r="F2746" s="17" t="s">
        <v>32</v>
      </c>
    </row>
    <row r="2747" ht="51" customHeight="1" hidden="1" spans="1:6" x14ac:dyDescent="0.25" outlineLevel="1" collapsed="1">
      <c r="A2747" s="27">
        <v>4230</v>
      </c>
      <c r="B2747" s="28" t="s">
        <v>544</v>
      </c>
      <c r="C2747" s="27" t="s">
        <v>472</v>
      </c>
      <c r="D2747" s="29" t="s">
        <v>32</v>
      </c>
      <c r="E2747" s="28" t="s">
        <v>526</v>
      </c>
      <c r="F2747" s="28" t="s">
        <v>482</v>
      </c>
    </row>
    <row r="2748" ht="21" customHeight="1" hidden="1" spans="1:6" x14ac:dyDescent="0.25" outlineLevel="1" collapsed="1">
      <c r="A2748" s="30" t="s">
        <v>32</v>
      </c>
      <c r="B2748" s="17" t="s">
        <v>32</v>
      </c>
      <c r="C2748" s="30" t="s">
        <v>32</v>
      </c>
      <c r="D2748" s="31" t="s">
        <v>32</v>
      </c>
      <c r="E2748" s="17" t="s">
        <v>528</v>
      </c>
      <c r="F2748" s="17" t="s">
        <v>32</v>
      </c>
    </row>
    <row r="2749" ht="36" customHeight="1" hidden="1" spans="1:6" x14ac:dyDescent="0.25" outlineLevel="1" collapsed="1">
      <c r="A2749" s="32" t="s">
        <v>32</v>
      </c>
      <c r="B2749" s="12" t="s">
        <v>32</v>
      </c>
      <c r="C2749" s="32" t="s">
        <v>32</v>
      </c>
      <c r="D2749" s="31" t="s">
        <v>32</v>
      </c>
      <c r="E2749" s="12" t="s">
        <v>563</v>
      </c>
      <c r="F2749" s="12" t="s">
        <v>32</v>
      </c>
    </row>
    <row r="2750" ht="36" customHeight="1" hidden="1" spans="1:6" x14ac:dyDescent="0.25" outlineLevel="1" collapsed="1">
      <c r="A2750" s="30" t="s">
        <v>32</v>
      </c>
      <c r="B2750" s="17" t="s">
        <v>32</v>
      </c>
      <c r="C2750" s="30" t="s">
        <v>32</v>
      </c>
      <c r="D2750" s="31" t="s">
        <v>32</v>
      </c>
      <c r="E2750" s="17" t="s">
        <v>530</v>
      </c>
      <c r="F2750" s="17" t="s">
        <v>32</v>
      </c>
    </row>
    <row r="2751" ht="21" customHeight="1" hidden="1" spans="1:6" x14ac:dyDescent="0.25" outlineLevel="1" collapsed="1">
      <c r="A2751" s="32" t="s">
        <v>32</v>
      </c>
      <c r="B2751" s="12" t="s">
        <v>32</v>
      </c>
      <c r="C2751" s="32" t="s">
        <v>32</v>
      </c>
      <c r="D2751" s="31" t="s">
        <v>32</v>
      </c>
      <c r="E2751" s="12" t="s">
        <v>531</v>
      </c>
      <c r="F2751" s="12" t="s">
        <v>32</v>
      </c>
    </row>
    <row r="2752" ht="21" customHeight="1" hidden="1" spans="1:6" x14ac:dyDescent="0.25" outlineLevel="1" collapsed="1">
      <c r="A2752" s="30" t="s">
        <v>32</v>
      </c>
      <c r="B2752" s="17" t="s">
        <v>32</v>
      </c>
      <c r="C2752" s="30" t="s">
        <v>32</v>
      </c>
      <c r="D2752" s="31" t="s">
        <v>32</v>
      </c>
      <c r="E2752" s="17" t="s">
        <v>487</v>
      </c>
      <c r="F2752" s="17" t="s">
        <v>32</v>
      </c>
    </row>
    <row r="2753" ht="21" customHeight="1" hidden="1" spans="1:6" x14ac:dyDescent="0.25" outlineLevel="1" collapsed="1">
      <c r="A2753" s="32" t="s">
        <v>32</v>
      </c>
      <c r="B2753" s="12" t="s">
        <v>32</v>
      </c>
      <c r="C2753" s="32" t="s">
        <v>32</v>
      </c>
      <c r="D2753" s="31" t="s">
        <v>32</v>
      </c>
      <c r="E2753" s="12" t="s">
        <v>534</v>
      </c>
      <c r="F2753" s="12" t="s">
        <v>32</v>
      </c>
    </row>
    <row r="2754" ht="21" customHeight="1" hidden="1" spans="1:6" x14ac:dyDescent="0.25" outlineLevel="1" collapsed="1">
      <c r="A2754" s="30" t="s">
        <v>32</v>
      </c>
      <c r="B2754" s="17" t="s">
        <v>32</v>
      </c>
      <c r="C2754" s="30" t="s">
        <v>32</v>
      </c>
      <c r="D2754" s="31" t="s">
        <v>32</v>
      </c>
      <c r="E2754" s="17" t="s">
        <v>535</v>
      </c>
      <c r="F2754" s="17" t="s">
        <v>32</v>
      </c>
    </row>
    <row r="2755" ht="21" customHeight="1" hidden="1" spans="1:6" x14ac:dyDescent="0.25" outlineLevel="1" collapsed="1">
      <c r="A2755" s="32" t="s">
        <v>32</v>
      </c>
      <c r="B2755" s="12" t="s">
        <v>32</v>
      </c>
      <c r="C2755" s="32" t="s">
        <v>32</v>
      </c>
      <c r="D2755" s="31" t="s">
        <v>32</v>
      </c>
      <c r="E2755" s="12" t="s">
        <v>536</v>
      </c>
      <c r="F2755" s="12" t="s">
        <v>32</v>
      </c>
    </row>
    <row r="2756" ht="21" customHeight="1" hidden="1" spans="1:6" x14ac:dyDescent="0.25" outlineLevel="1" collapsed="1">
      <c r="A2756" s="30" t="s">
        <v>32</v>
      </c>
      <c r="B2756" s="17" t="s">
        <v>32</v>
      </c>
      <c r="C2756" s="30" t="s">
        <v>32</v>
      </c>
      <c r="D2756" s="31" t="s">
        <v>32</v>
      </c>
      <c r="E2756" s="17" t="s">
        <v>491</v>
      </c>
      <c r="F2756" s="17" t="s">
        <v>32</v>
      </c>
    </row>
    <row r="2757" ht="21" customHeight="1" hidden="1" spans="1:6" x14ac:dyDescent="0.25" outlineLevel="1" collapsed="1">
      <c r="A2757" s="32" t="s">
        <v>32</v>
      </c>
      <c r="B2757" s="12" t="s">
        <v>32</v>
      </c>
      <c r="C2757" s="32" t="s">
        <v>32</v>
      </c>
      <c r="D2757" s="31" t="s">
        <v>32</v>
      </c>
      <c r="E2757" s="12" t="s">
        <v>537</v>
      </c>
      <c r="F2757" s="12" t="s">
        <v>32</v>
      </c>
    </row>
    <row r="2758" ht="21" customHeight="1" hidden="1" spans="1:6" x14ac:dyDescent="0.25" outlineLevel="1" collapsed="1">
      <c r="A2758" s="30" t="s">
        <v>32</v>
      </c>
      <c r="B2758" s="17" t="s">
        <v>32</v>
      </c>
      <c r="C2758" s="30" t="s">
        <v>32</v>
      </c>
      <c r="D2758" s="31" t="s">
        <v>32</v>
      </c>
      <c r="E2758" s="17" t="s">
        <v>493</v>
      </c>
      <c r="F2758" s="17" t="s">
        <v>32</v>
      </c>
    </row>
    <row r="2759" ht="21" customHeight="1" hidden="1" spans="1:6" x14ac:dyDescent="0.25" outlineLevel="1" collapsed="1">
      <c r="A2759" s="32" t="s">
        <v>32</v>
      </c>
      <c r="B2759" s="12" t="s">
        <v>32</v>
      </c>
      <c r="C2759" s="32" t="s">
        <v>32</v>
      </c>
      <c r="D2759" s="31" t="s">
        <v>32</v>
      </c>
      <c r="E2759" s="33" t="s">
        <v>633</v>
      </c>
      <c r="F2759" s="12" t="s">
        <v>32</v>
      </c>
    </row>
    <row r="2760" ht="22" customHeight="1" hidden="1" spans="1:6" x14ac:dyDescent="0.25" outlineLevel="1" collapsed="1">
      <c r="A2760" s="34" t="s">
        <v>495</v>
      </c>
      <c r="B2760" s="34"/>
      <c r="C2760" s="34"/>
      <c r="D2760" s="34"/>
      <c r="E2760" s="34"/>
      <c r="F2760" s="34"/>
    </row>
    <row r="2761" ht="24" customHeight="1" hidden="1" spans="1:6" x14ac:dyDescent="0.25" outlineLevel="1" collapsed="1">
      <c r="A2761" s="12" t="s">
        <v>644</v>
      </c>
      <c r="B2761" s="12"/>
      <c r="C2761" s="12"/>
      <c r="D2761" s="12"/>
      <c r="E2761" s="12"/>
      <c r="F2761" s="12"/>
    </row>
    <row r="2762" ht="24" customHeight="1" hidden="1" spans="1:6" x14ac:dyDescent="0.25" outlineLevel="1" collapsed="1">
      <c r="A2762" s="12" t="s">
        <v>645</v>
      </c>
      <c r="B2762" s="12"/>
      <c r="C2762" s="12"/>
      <c r="D2762" s="12"/>
      <c r="E2762" s="12"/>
      <c r="F2762" s="12"/>
    </row>
    <row r="2763" ht="56" customHeight="1" hidden="1" spans="1:6" x14ac:dyDescent="0.25" outlineLevel="1" collapsed="1">
      <c r="A2763" s="12" t="s">
        <v>648</v>
      </c>
      <c r="B2763" s="12"/>
      <c r="C2763" s="12"/>
      <c r="D2763" s="12"/>
      <c r="E2763" s="12"/>
      <c r="F2763" s="12"/>
    </row>
    <row r="2764" ht="24" customHeight="1" hidden="1" spans="1:6" x14ac:dyDescent="0.25" outlineLevel="1" collapsed="1">
      <c r="A2764" s="12" t="s">
        <v>499</v>
      </c>
      <c r="B2764" s="12"/>
      <c r="C2764" s="12"/>
      <c r="D2764" s="12"/>
      <c r="E2764" s="12"/>
      <c r="F2764" s="12"/>
    </row>
    <row r="2765" ht="6" customHeight="1" hidden="1" x14ac:dyDescent="0.25" outlineLevel="1" collapsed="1"/>
    <row r="2766" ht="22" customHeight="1" spans="1:6" x14ac:dyDescent="0.25">
      <c r="A2766" s="25" t="s">
        <v>565</v>
      </c>
      <c r="B2766" s="25"/>
      <c r="C2766" s="25"/>
      <c r="D2766" s="25"/>
      <c r="E2766" s="25"/>
      <c r="F2766" s="25"/>
    </row>
    <row r="2767" ht="20" customHeight="1" hidden="1" spans="1:6" x14ac:dyDescent="0.25" outlineLevel="1" collapsed="1">
      <c r="A2767" s="26" t="s">
        <v>460</v>
      </c>
      <c r="B2767" s="26" t="s">
        <v>461</v>
      </c>
      <c r="C2767" s="26" t="s">
        <v>462</v>
      </c>
      <c r="D2767" s="26" t="s">
        <v>32</v>
      </c>
      <c r="E2767" s="26" t="s">
        <v>463</v>
      </c>
      <c r="F2767" s="26" t="s">
        <v>464</v>
      </c>
    </row>
    <row r="2768" ht="51" customHeight="1" hidden="1" spans="1:6" x14ac:dyDescent="0.25" outlineLevel="1" collapsed="1">
      <c r="A2768" s="27">
        <v>4220</v>
      </c>
      <c r="B2768" s="28" t="s">
        <v>543</v>
      </c>
      <c r="C2768" s="27" t="s">
        <v>466</v>
      </c>
      <c r="D2768" s="29" t="s">
        <v>32</v>
      </c>
      <c r="E2768" s="28" t="s">
        <v>566</v>
      </c>
      <c r="F2768" s="28" t="s">
        <v>567</v>
      </c>
    </row>
    <row r="2769" ht="21" customHeight="1" hidden="1" spans="1:6" x14ac:dyDescent="0.25" outlineLevel="1" collapsed="1">
      <c r="A2769" s="30" t="s">
        <v>32</v>
      </c>
      <c r="B2769" s="17" t="s">
        <v>32</v>
      </c>
      <c r="C2769" s="30" t="s">
        <v>32</v>
      </c>
      <c r="D2769" s="31" t="s">
        <v>32</v>
      </c>
      <c r="E2769" s="17" t="s">
        <v>568</v>
      </c>
      <c r="F2769" s="17" t="s">
        <v>32</v>
      </c>
    </row>
    <row r="2770" ht="21" customHeight="1" hidden="1" spans="1:6" x14ac:dyDescent="0.25" outlineLevel="1" collapsed="1">
      <c r="A2770" s="32" t="s">
        <v>32</v>
      </c>
      <c r="B2770" s="12" t="s">
        <v>32</v>
      </c>
      <c r="C2770" s="32" t="s">
        <v>32</v>
      </c>
      <c r="D2770" s="31" t="s">
        <v>32</v>
      </c>
      <c r="E2770" s="33" t="s">
        <v>632</v>
      </c>
      <c r="F2770" s="12" t="s">
        <v>32</v>
      </c>
    </row>
    <row r="2771" ht="36" customHeight="1" hidden="1" spans="1:6" x14ac:dyDescent="0.25" outlineLevel="1" collapsed="1">
      <c r="A2771" s="27">
        <v>4240</v>
      </c>
      <c r="B2771" s="28" t="s">
        <v>471</v>
      </c>
      <c r="C2771" s="27" t="s">
        <v>472</v>
      </c>
      <c r="D2771" s="29" t="s">
        <v>32</v>
      </c>
      <c r="E2771" s="28" t="s">
        <v>524</v>
      </c>
      <c r="F2771" s="28" t="s">
        <v>32</v>
      </c>
    </row>
    <row r="2772" ht="21" customHeight="1" hidden="1" spans="1:6" x14ac:dyDescent="0.25" outlineLevel="1" collapsed="1">
      <c r="A2772" s="30" t="s">
        <v>32</v>
      </c>
      <c r="B2772" s="17" t="s">
        <v>32</v>
      </c>
      <c r="C2772" s="30" t="s">
        <v>32</v>
      </c>
      <c r="D2772" s="31" t="s">
        <v>32</v>
      </c>
      <c r="E2772" s="35" t="s">
        <v>632</v>
      </c>
      <c r="F2772" s="17" t="s">
        <v>32</v>
      </c>
    </row>
    <row r="2773" ht="51" customHeight="1" hidden="1" spans="1:6" x14ac:dyDescent="0.25" outlineLevel="1" collapsed="1">
      <c r="A2773" s="27">
        <v>4230</v>
      </c>
      <c r="B2773" s="28" t="s">
        <v>544</v>
      </c>
      <c r="C2773" s="27" t="s">
        <v>472</v>
      </c>
      <c r="D2773" s="29" t="s">
        <v>32</v>
      </c>
      <c r="E2773" s="28" t="s">
        <v>481</v>
      </c>
      <c r="F2773" s="28" t="s">
        <v>604</v>
      </c>
    </row>
    <row r="2774" ht="21" customHeight="1" hidden="1" spans="1:6" x14ac:dyDescent="0.25" outlineLevel="1" collapsed="1">
      <c r="A2774" s="30" t="s">
        <v>32</v>
      </c>
      <c r="B2774" s="17" t="s">
        <v>32</v>
      </c>
      <c r="C2774" s="30" t="s">
        <v>32</v>
      </c>
      <c r="D2774" s="31" t="s">
        <v>32</v>
      </c>
      <c r="E2774" s="17" t="s">
        <v>483</v>
      </c>
      <c r="F2774" s="17" t="s">
        <v>32</v>
      </c>
    </row>
    <row r="2775" ht="36" customHeight="1" hidden="1" spans="1:6" x14ac:dyDescent="0.25" outlineLevel="1" collapsed="1">
      <c r="A2775" s="32" t="s">
        <v>32</v>
      </c>
      <c r="B2775" s="12" t="s">
        <v>32</v>
      </c>
      <c r="C2775" s="32" t="s">
        <v>32</v>
      </c>
      <c r="D2775" s="31" t="s">
        <v>32</v>
      </c>
      <c r="E2775" s="12" t="s">
        <v>484</v>
      </c>
      <c r="F2775" s="12" t="s">
        <v>32</v>
      </c>
    </row>
    <row r="2776" ht="36" customHeight="1" hidden="1" spans="1:6" x14ac:dyDescent="0.25" outlineLevel="1" collapsed="1">
      <c r="A2776" s="30" t="s">
        <v>32</v>
      </c>
      <c r="B2776" s="17" t="s">
        <v>32</v>
      </c>
      <c r="C2776" s="30" t="s">
        <v>32</v>
      </c>
      <c r="D2776" s="31" t="s">
        <v>32</v>
      </c>
      <c r="E2776" s="17" t="s">
        <v>485</v>
      </c>
      <c r="F2776" s="17" t="s">
        <v>32</v>
      </c>
    </row>
    <row r="2777" ht="21" customHeight="1" hidden="1" spans="1:6" x14ac:dyDescent="0.25" outlineLevel="1" collapsed="1">
      <c r="A2777" s="32" t="s">
        <v>32</v>
      </c>
      <c r="B2777" s="12" t="s">
        <v>32</v>
      </c>
      <c r="C2777" s="32" t="s">
        <v>32</v>
      </c>
      <c r="D2777" s="31" t="s">
        <v>32</v>
      </c>
      <c r="E2777" s="12" t="s">
        <v>486</v>
      </c>
      <c r="F2777" s="12" t="s">
        <v>32</v>
      </c>
    </row>
    <row r="2778" ht="21" customHeight="1" hidden="1" spans="1:6" x14ac:dyDescent="0.25" outlineLevel="1" collapsed="1">
      <c r="A2778" s="30" t="s">
        <v>32</v>
      </c>
      <c r="B2778" s="17" t="s">
        <v>32</v>
      </c>
      <c r="C2778" s="30" t="s">
        <v>32</v>
      </c>
      <c r="D2778" s="31" t="s">
        <v>32</v>
      </c>
      <c r="E2778" s="17" t="s">
        <v>487</v>
      </c>
      <c r="F2778" s="17" t="s">
        <v>32</v>
      </c>
    </row>
    <row r="2779" ht="21" customHeight="1" hidden="1" spans="1:6" x14ac:dyDescent="0.25" outlineLevel="1" collapsed="1">
      <c r="A2779" s="32" t="s">
        <v>32</v>
      </c>
      <c r="B2779" s="12" t="s">
        <v>32</v>
      </c>
      <c r="C2779" s="32" t="s">
        <v>32</v>
      </c>
      <c r="D2779" s="31" t="s">
        <v>32</v>
      </c>
      <c r="E2779" s="12" t="s">
        <v>488</v>
      </c>
      <c r="F2779" s="12" t="s">
        <v>32</v>
      </c>
    </row>
    <row r="2780" ht="21" customHeight="1" hidden="1" spans="1:6" x14ac:dyDescent="0.25" outlineLevel="1" collapsed="1">
      <c r="A2780" s="30" t="s">
        <v>32</v>
      </c>
      <c r="B2780" s="17" t="s">
        <v>32</v>
      </c>
      <c r="C2780" s="30" t="s">
        <v>32</v>
      </c>
      <c r="D2780" s="31" t="s">
        <v>32</v>
      </c>
      <c r="E2780" s="17" t="s">
        <v>489</v>
      </c>
      <c r="F2780" s="17" t="s">
        <v>32</v>
      </c>
    </row>
    <row r="2781" ht="21" customHeight="1" hidden="1" spans="1:6" x14ac:dyDescent="0.25" outlineLevel="1" collapsed="1">
      <c r="A2781" s="32" t="s">
        <v>32</v>
      </c>
      <c r="B2781" s="12" t="s">
        <v>32</v>
      </c>
      <c r="C2781" s="32" t="s">
        <v>32</v>
      </c>
      <c r="D2781" s="31" t="s">
        <v>32</v>
      </c>
      <c r="E2781" s="12" t="s">
        <v>490</v>
      </c>
      <c r="F2781" s="12" t="s">
        <v>32</v>
      </c>
    </row>
    <row r="2782" ht="21" customHeight="1" hidden="1" spans="1:6" x14ac:dyDescent="0.25" outlineLevel="1" collapsed="1">
      <c r="A2782" s="30" t="s">
        <v>32</v>
      </c>
      <c r="B2782" s="17" t="s">
        <v>32</v>
      </c>
      <c r="C2782" s="30" t="s">
        <v>32</v>
      </c>
      <c r="D2782" s="31" t="s">
        <v>32</v>
      </c>
      <c r="E2782" s="17" t="s">
        <v>491</v>
      </c>
      <c r="F2782" s="17" t="s">
        <v>32</v>
      </c>
    </row>
    <row r="2783" ht="21" customHeight="1" hidden="1" spans="1:6" x14ac:dyDescent="0.25" outlineLevel="1" collapsed="1">
      <c r="A2783" s="32" t="s">
        <v>32</v>
      </c>
      <c r="B2783" s="12" t="s">
        <v>32</v>
      </c>
      <c r="C2783" s="32" t="s">
        <v>32</v>
      </c>
      <c r="D2783" s="31" t="s">
        <v>32</v>
      </c>
      <c r="E2783" s="12" t="s">
        <v>492</v>
      </c>
      <c r="F2783" s="12" t="s">
        <v>32</v>
      </c>
    </row>
    <row r="2784" ht="21" customHeight="1" hidden="1" spans="1:6" x14ac:dyDescent="0.25" outlineLevel="1" collapsed="1">
      <c r="A2784" s="30" t="s">
        <v>32</v>
      </c>
      <c r="B2784" s="17" t="s">
        <v>32</v>
      </c>
      <c r="C2784" s="30" t="s">
        <v>32</v>
      </c>
      <c r="D2784" s="31" t="s">
        <v>32</v>
      </c>
      <c r="E2784" s="35" t="s">
        <v>649</v>
      </c>
      <c r="F2784" s="17" t="s">
        <v>32</v>
      </c>
    </row>
    <row r="2785" ht="22" customHeight="1" hidden="1" spans="1:6" x14ac:dyDescent="0.25" outlineLevel="1" collapsed="1">
      <c r="A2785" s="34" t="s">
        <v>495</v>
      </c>
      <c r="B2785" s="34"/>
      <c r="C2785" s="34"/>
      <c r="D2785" s="34"/>
      <c r="E2785" s="34"/>
      <c r="F2785" s="34"/>
    </row>
    <row r="2786" ht="24" customHeight="1" hidden="1" spans="1:6" x14ac:dyDescent="0.25" outlineLevel="1" collapsed="1">
      <c r="A2786" s="12" t="s">
        <v>650</v>
      </c>
      <c r="B2786" s="12"/>
      <c r="C2786" s="12"/>
      <c r="D2786" s="12"/>
      <c r="E2786" s="12"/>
      <c r="F2786" s="12"/>
    </row>
    <row r="2787" ht="24" customHeight="1" hidden="1" spans="1:6" x14ac:dyDescent="0.25" outlineLevel="1" collapsed="1">
      <c r="A2787" s="12" t="s">
        <v>645</v>
      </c>
      <c r="B2787" s="12"/>
      <c r="C2787" s="12"/>
      <c r="D2787" s="12"/>
      <c r="E2787" s="12"/>
      <c r="F2787" s="12"/>
    </row>
    <row r="2788" ht="56" customHeight="1" hidden="1" spans="1:6" x14ac:dyDescent="0.25" outlineLevel="1" collapsed="1">
      <c r="A2788" s="12" t="s">
        <v>651</v>
      </c>
      <c r="B2788" s="12"/>
      <c r="C2788" s="12"/>
      <c r="D2788" s="12"/>
      <c r="E2788" s="12"/>
      <c r="F2788" s="12"/>
    </row>
    <row r="2789" ht="24" customHeight="1" hidden="1" spans="1:6" x14ac:dyDescent="0.25" outlineLevel="1" collapsed="1">
      <c r="A2789" s="12" t="s">
        <v>499</v>
      </c>
      <c r="B2789" s="12"/>
      <c r="C2789" s="12"/>
      <c r="D2789" s="12"/>
      <c r="E2789" s="12"/>
      <c r="F2789" s="12"/>
    </row>
    <row r="2790" ht="6" customHeight="1" hidden="1" x14ac:dyDescent="0.25" outlineLevel="1" collapsed="1"/>
    <row r="2791" ht="22" customHeight="1" spans="1:6" x14ac:dyDescent="0.25">
      <c r="A2791" s="25" t="s">
        <v>572</v>
      </c>
      <c r="B2791" s="25"/>
      <c r="C2791" s="25"/>
      <c r="D2791" s="25"/>
      <c r="E2791" s="25"/>
      <c r="F2791" s="25"/>
    </row>
    <row r="2792" ht="20" customHeight="1" hidden="1" spans="1:6" x14ac:dyDescent="0.25" outlineLevel="1" collapsed="1">
      <c r="A2792" s="26" t="s">
        <v>460</v>
      </c>
      <c r="B2792" s="26" t="s">
        <v>461</v>
      </c>
      <c r="C2792" s="26" t="s">
        <v>462</v>
      </c>
      <c r="D2792" s="26" t="s">
        <v>32</v>
      </c>
      <c r="E2792" s="26" t="s">
        <v>463</v>
      </c>
      <c r="F2792" s="26" t="s">
        <v>464</v>
      </c>
    </row>
    <row r="2793" ht="36" customHeight="1" hidden="1" spans="1:6" x14ac:dyDescent="0.25" outlineLevel="1" collapsed="1">
      <c r="A2793" s="27">
        <v>4220</v>
      </c>
      <c r="B2793" s="28" t="s">
        <v>543</v>
      </c>
      <c r="C2793" s="27" t="s">
        <v>466</v>
      </c>
      <c r="D2793" s="29" t="s">
        <v>32</v>
      </c>
      <c r="E2793" s="28" t="s">
        <v>522</v>
      </c>
      <c r="F2793" s="28" t="s">
        <v>32</v>
      </c>
    </row>
    <row r="2794" ht="21" customHeight="1" hidden="1" spans="1:6" x14ac:dyDescent="0.25" outlineLevel="1" collapsed="1">
      <c r="A2794" s="30" t="s">
        <v>32</v>
      </c>
      <c r="B2794" s="17" t="s">
        <v>32</v>
      </c>
      <c r="C2794" s="30" t="s">
        <v>32</v>
      </c>
      <c r="D2794" s="31" t="s">
        <v>32</v>
      </c>
      <c r="E2794" s="35" t="s">
        <v>632</v>
      </c>
      <c r="F2794" s="17" t="s">
        <v>32</v>
      </c>
    </row>
    <row r="2795" ht="36" customHeight="1" hidden="1" spans="1:6" x14ac:dyDescent="0.25" outlineLevel="1" collapsed="1">
      <c r="A2795" s="27">
        <v>4240</v>
      </c>
      <c r="B2795" s="28" t="s">
        <v>471</v>
      </c>
      <c r="C2795" s="27" t="s">
        <v>472</v>
      </c>
      <c r="D2795" s="29" t="s">
        <v>32</v>
      </c>
      <c r="E2795" s="28" t="s">
        <v>524</v>
      </c>
      <c r="F2795" s="28" t="s">
        <v>32</v>
      </c>
    </row>
    <row r="2796" ht="21" customHeight="1" hidden="1" spans="1:6" x14ac:dyDescent="0.25" outlineLevel="1" collapsed="1">
      <c r="A2796" s="30" t="s">
        <v>32</v>
      </c>
      <c r="B2796" s="17" t="s">
        <v>32</v>
      </c>
      <c r="C2796" s="30" t="s">
        <v>32</v>
      </c>
      <c r="D2796" s="31" t="s">
        <v>32</v>
      </c>
      <c r="E2796" s="35" t="s">
        <v>632</v>
      </c>
      <c r="F2796" s="17" t="s">
        <v>32</v>
      </c>
    </row>
    <row r="2797" ht="36" customHeight="1" hidden="1" spans="1:6" x14ac:dyDescent="0.25" outlineLevel="1" collapsed="1">
      <c r="A2797" s="27">
        <v>4230</v>
      </c>
      <c r="B2797" s="28" t="s">
        <v>544</v>
      </c>
      <c r="C2797" s="27" t="s">
        <v>472</v>
      </c>
      <c r="D2797" s="29" t="s">
        <v>32</v>
      </c>
      <c r="E2797" s="28" t="s">
        <v>573</v>
      </c>
      <c r="F2797" s="28" t="s">
        <v>32</v>
      </c>
    </row>
    <row r="2798" ht="22" customHeight="1" hidden="1" spans="1:6" x14ac:dyDescent="0.25" outlineLevel="1" collapsed="1">
      <c r="A2798" s="34" t="s">
        <v>495</v>
      </c>
      <c r="B2798" s="34"/>
      <c r="C2798" s="34"/>
      <c r="D2798" s="34"/>
      <c r="E2798" s="34"/>
      <c r="F2798" s="34"/>
    </row>
    <row r="2799" ht="24" customHeight="1" hidden="1" spans="1:6" x14ac:dyDescent="0.25" outlineLevel="1" collapsed="1">
      <c r="A2799" s="12" t="s">
        <v>644</v>
      </c>
      <c r="B2799" s="12"/>
      <c r="C2799" s="12"/>
      <c r="D2799" s="12"/>
      <c r="E2799" s="12"/>
      <c r="F2799" s="12"/>
    </row>
    <row r="2800" ht="24" customHeight="1" hidden="1" spans="1:6" x14ac:dyDescent="0.25" outlineLevel="1" collapsed="1">
      <c r="A2800" s="12" t="s">
        <v>645</v>
      </c>
      <c r="B2800" s="12"/>
      <c r="C2800" s="12"/>
      <c r="D2800" s="12"/>
      <c r="E2800" s="12"/>
      <c r="F2800" s="12"/>
    </row>
    <row r="2801" ht="24" customHeight="1" hidden="1" spans="1:6" x14ac:dyDescent="0.25" outlineLevel="1" collapsed="1">
      <c r="A2801" s="12" t="s">
        <v>652</v>
      </c>
      <c r="B2801" s="12"/>
      <c r="C2801" s="12"/>
      <c r="D2801" s="12"/>
      <c r="E2801" s="12"/>
      <c r="F2801" s="12"/>
    </row>
    <row r="2802" ht="24" customHeight="1" hidden="1" spans="1:6" x14ac:dyDescent="0.25" outlineLevel="1" collapsed="1">
      <c r="A2802" s="12" t="s">
        <v>499</v>
      </c>
      <c r="B2802" s="12"/>
      <c r="C2802" s="12"/>
      <c r="D2802" s="12"/>
      <c r="E2802" s="12"/>
      <c r="F2802" s="12"/>
    </row>
    <row r="2803" ht="6" customHeight="1" hidden="1" x14ac:dyDescent="0.25" outlineLevel="1" collapsed="1"/>
    <row r="2804" ht="22" customHeight="1" spans="1:6" x14ac:dyDescent="0.25">
      <c r="A2804" s="25" t="s">
        <v>575</v>
      </c>
      <c r="B2804" s="25"/>
      <c r="C2804" s="25"/>
      <c r="D2804" s="25"/>
      <c r="E2804" s="25"/>
      <c r="F2804" s="25"/>
    </row>
    <row r="2805" ht="20" customHeight="1" hidden="1" spans="1:6" x14ac:dyDescent="0.25" outlineLevel="1" collapsed="1">
      <c r="A2805" s="26" t="s">
        <v>460</v>
      </c>
      <c r="B2805" s="26" t="s">
        <v>461</v>
      </c>
      <c r="C2805" s="26" t="s">
        <v>462</v>
      </c>
      <c r="D2805" s="26" t="s">
        <v>32</v>
      </c>
      <c r="E2805" s="26" t="s">
        <v>463</v>
      </c>
      <c r="F2805" s="26" t="s">
        <v>464</v>
      </c>
    </row>
    <row r="2806" ht="51" customHeight="1" hidden="1" spans="1:6" x14ac:dyDescent="0.25" outlineLevel="1" collapsed="1">
      <c r="A2806" s="27">
        <v>4220</v>
      </c>
      <c r="B2806" s="28" t="s">
        <v>543</v>
      </c>
      <c r="C2806" s="27" t="s">
        <v>466</v>
      </c>
      <c r="D2806" s="29" t="s">
        <v>32</v>
      </c>
      <c r="E2806" s="28" t="s">
        <v>467</v>
      </c>
      <c r="F2806" s="28" t="s">
        <v>468</v>
      </c>
    </row>
    <row r="2807" ht="36" customHeight="1" hidden="1" spans="1:6" x14ac:dyDescent="0.25" outlineLevel="1" collapsed="1">
      <c r="A2807" s="30" t="s">
        <v>32</v>
      </c>
      <c r="B2807" s="17" t="s">
        <v>32</v>
      </c>
      <c r="C2807" s="30" t="s">
        <v>32</v>
      </c>
      <c r="D2807" s="31" t="s">
        <v>32</v>
      </c>
      <c r="E2807" s="17" t="s">
        <v>469</v>
      </c>
      <c r="F2807" s="17" t="s">
        <v>32</v>
      </c>
    </row>
    <row r="2808" ht="21" customHeight="1" hidden="1" spans="1:6" x14ac:dyDescent="0.25" outlineLevel="1" collapsed="1">
      <c r="A2808" s="32" t="s">
        <v>32</v>
      </c>
      <c r="B2808" s="12" t="s">
        <v>32</v>
      </c>
      <c r="C2808" s="32" t="s">
        <v>32</v>
      </c>
      <c r="D2808" s="31" t="s">
        <v>32</v>
      </c>
      <c r="E2808" s="33" t="s">
        <v>632</v>
      </c>
      <c r="F2808" s="12" t="s">
        <v>32</v>
      </c>
    </row>
    <row r="2809" ht="51" customHeight="1" hidden="1" spans="1:6" x14ac:dyDescent="0.25" outlineLevel="1" collapsed="1">
      <c r="A2809" s="27">
        <v>4240</v>
      </c>
      <c r="B2809" s="28" t="s">
        <v>471</v>
      </c>
      <c r="C2809" s="27" t="s">
        <v>472</v>
      </c>
      <c r="D2809" s="29" t="s">
        <v>32</v>
      </c>
      <c r="E2809" s="28" t="s">
        <v>473</v>
      </c>
      <c r="F2809" s="28" t="s">
        <v>474</v>
      </c>
    </row>
    <row r="2810" ht="21" customHeight="1" hidden="1" spans="1:6" x14ac:dyDescent="0.25" outlineLevel="1" collapsed="1">
      <c r="A2810" s="30" t="s">
        <v>32</v>
      </c>
      <c r="B2810" s="17" t="s">
        <v>32</v>
      </c>
      <c r="C2810" s="30" t="s">
        <v>32</v>
      </c>
      <c r="D2810" s="31" t="s">
        <v>32</v>
      </c>
      <c r="E2810" s="17" t="s">
        <v>475</v>
      </c>
      <c r="F2810" s="17" t="s">
        <v>32</v>
      </c>
    </row>
    <row r="2811" ht="36" customHeight="1" hidden="1" spans="1:6" x14ac:dyDescent="0.25" outlineLevel="1" collapsed="1">
      <c r="A2811" s="32" t="s">
        <v>32</v>
      </c>
      <c r="B2811" s="12" t="s">
        <v>32</v>
      </c>
      <c r="C2811" s="32" t="s">
        <v>32</v>
      </c>
      <c r="D2811" s="31" t="s">
        <v>32</v>
      </c>
      <c r="E2811" s="12" t="s">
        <v>476</v>
      </c>
      <c r="F2811" s="12" t="s">
        <v>32</v>
      </c>
    </row>
    <row r="2812" ht="36" customHeight="1" hidden="1" spans="1:6" x14ac:dyDescent="0.25" outlineLevel="1" collapsed="1">
      <c r="A2812" s="30" t="s">
        <v>32</v>
      </c>
      <c r="B2812" s="17" t="s">
        <v>32</v>
      </c>
      <c r="C2812" s="30" t="s">
        <v>32</v>
      </c>
      <c r="D2812" s="31" t="s">
        <v>32</v>
      </c>
      <c r="E2812" s="17" t="s">
        <v>477</v>
      </c>
      <c r="F2812" s="17" t="s">
        <v>32</v>
      </c>
    </row>
    <row r="2813" ht="36" customHeight="1" hidden="1" spans="1:6" x14ac:dyDescent="0.25" outlineLevel="1" collapsed="1">
      <c r="A2813" s="32" t="s">
        <v>32</v>
      </c>
      <c r="B2813" s="12" t="s">
        <v>32</v>
      </c>
      <c r="C2813" s="32" t="s">
        <v>32</v>
      </c>
      <c r="D2813" s="31" t="s">
        <v>32</v>
      </c>
      <c r="E2813" s="12" t="s">
        <v>478</v>
      </c>
      <c r="F2813" s="12" t="s">
        <v>32</v>
      </c>
    </row>
    <row r="2814" ht="21" customHeight="1" hidden="1" spans="1:6" x14ac:dyDescent="0.25" outlineLevel="1" collapsed="1">
      <c r="A2814" s="30" t="s">
        <v>32</v>
      </c>
      <c r="B2814" s="17" t="s">
        <v>32</v>
      </c>
      <c r="C2814" s="30" t="s">
        <v>32</v>
      </c>
      <c r="D2814" s="31" t="s">
        <v>32</v>
      </c>
      <c r="E2814" s="17" t="s">
        <v>479</v>
      </c>
      <c r="F2814" s="17" t="s">
        <v>32</v>
      </c>
    </row>
    <row r="2815" ht="21" customHeight="1" hidden="1" spans="1:6" x14ac:dyDescent="0.25" outlineLevel="1" collapsed="1">
      <c r="A2815" s="32" t="s">
        <v>32</v>
      </c>
      <c r="B2815" s="12" t="s">
        <v>32</v>
      </c>
      <c r="C2815" s="32" t="s">
        <v>32</v>
      </c>
      <c r="D2815" s="31" t="s">
        <v>32</v>
      </c>
      <c r="E2815" s="33" t="s">
        <v>632</v>
      </c>
      <c r="F2815" s="12" t="s">
        <v>32</v>
      </c>
    </row>
    <row r="2816" ht="51" customHeight="1" hidden="1" spans="1:6" x14ac:dyDescent="0.25" outlineLevel="1" collapsed="1">
      <c r="A2816" s="27">
        <v>4230</v>
      </c>
      <c r="B2816" s="28" t="s">
        <v>544</v>
      </c>
      <c r="C2816" s="27" t="s">
        <v>472</v>
      </c>
      <c r="D2816" s="29" t="s">
        <v>32</v>
      </c>
      <c r="E2816" s="28" t="s">
        <v>576</v>
      </c>
      <c r="F2816" s="28" t="s">
        <v>482</v>
      </c>
    </row>
    <row r="2817" ht="21" customHeight="1" hidden="1" spans="1:6" x14ac:dyDescent="0.25" outlineLevel="1" collapsed="1">
      <c r="A2817" s="30" t="s">
        <v>32</v>
      </c>
      <c r="B2817" s="17" t="s">
        <v>32</v>
      </c>
      <c r="C2817" s="30" t="s">
        <v>32</v>
      </c>
      <c r="D2817" s="31" t="s">
        <v>32</v>
      </c>
      <c r="E2817" s="17" t="s">
        <v>577</v>
      </c>
      <c r="F2817" s="17" t="s">
        <v>32</v>
      </c>
    </row>
    <row r="2818" ht="36" customHeight="1" hidden="1" spans="1:6" x14ac:dyDescent="0.25" outlineLevel="1" collapsed="1">
      <c r="A2818" s="32" t="s">
        <v>32</v>
      </c>
      <c r="B2818" s="12" t="s">
        <v>32</v>
      </c>
      <c r="C2818" s="32" t="s">
        <v>32</v>
      </c>
      <c r="D2818" s="31" t="s">
        <v>32</v>
      </c>
      <c r="E2818" s="12" t="s">
        <v>578</v>
      </c>
      <c r="F2818" s="12" t="s">
        <v>32</v>
      </c>
    </row>
    <row r="2819" ht="36" customHeight="1" hidden="1" spans="1:6" x14ac:dyDescent="0.25" outlineLevel="1" collapsed="1">
      <c r="A2819" s="30" t="s">
        <v>32</v>
      </c>
      <c r="B2819" s="17" t="s">
        <v>32</v>
      </c>
      <c r="C2819" s="30" t="s">
        <v>32</v>
      </c>
      <c r="D2819" s="31" t="s">
        <v>32</v>
      </c>
      <c r="E2819" s="17" t="s">
        <v>579</v>
      </c>
      <c r="F2819" s="17" t="s">
        <v>32</v>
      </c>
    </row>
    <row r="2820" ht="21" customHeight="1" hidden="1" spans="1:6" x14ac:dyDescent="0.25" outlineLevel="1" collapsed="1">
      <c r="A2820" s="32" t="s">
        <v>32</v>
      </c>
      <c r="B2820" s="12" t="s">
        <v>32</v>
      </c>
      <c r="C2820" s="32" t="s">
        <v>32</v>
      </c>
      <c r="D2820" s="31" t="s">
        <v>32</v>
      </c>
      <c r="E2820" s="12" t="s">
        <v>580</v>
      </c>
      <c r="F2820" s="12" t="s">
        <v>32</v>
      </c>
    </row>
    <row r="2821" ht="21" customHeight="1" hidden="1" spans="1:6" x14ac:dyDescent="0.25" outlineLevel="1" collapsed="1">
      <c r="A2821" s="30" t="s">
        <v>32</v>
      </c>
      <c r="B2821" s="17" t="s">
        <v>32</v>
      </c>
      <c r="C2821" s="30" t="s">
        <v>32</v>
      </c>
      <c r="D2821" s="31" t="s">
        <v>32</v>
      </c>
      <c r="E2821" s="17" t="s">
        <v>551</v>
      </c>
      <c r="F2821" s="17" t="s">
        <v>32</v>
      </c>
    </row>
    <row r="2822" ht="21" customHeight="1" hidden="1" spans="1:6" x14ac:dyDescent="0.25" outlineLevel="1" collapsed="1">
      <c r="A2822" s="32" t="s">
        <v>32</v>
      </c>
      <c r="B2822" s="12" t="s">
        <v>32</v>
      </c>
      <c r="C2822" s="32" t="s">
        <v>32</v>
      </c>
      <c r="D2822" s="31" t="s">
        <v>32</v>
      </c>
      <c r="E2822" s="12" t="s">
        <v>581</v>
      </c>
      <c r="F2822" s="12" t="s">
        <v>32</v>
      </c>
    </row>
    <row r="2823" ht="21" customHeight="1" hidden="1" spans="1:6" x14ac:dyDescent="0.25" outlineLevel="1" collapsed="1">
      <c r="A2823" s="30" t="s">
        <v>32</v>
      </c>
      <c r="B2823" s="17" t="s">
        <v>32</v>
      </c>
      <c r="C2823" s="30" t="s">
        <v>32</v>
      </c>
      <c r="D2823" s="31" t="s">
        <v>32</v>
      </c>
      <c r="E2823" s="17" t="s">
        <v>582</v>
      </c>
      <c r="F2823" s="17" t="s">
        <v>32</v>
      </c>
    </row>
    <row r="2824" ht="21" customHeight="1" hidden="1" spans="1:6" x14ac:dyDescent="0.25" outlineLevel="1" collapsed="1">
      <c r="A2824" s="32" t="s">
        <v>32</v>
      </c>
      <c r="B2824" s="12" t="s">
        <v>32</v>
      </c>
      <c r="C2824" s="32" t="s">
        <v>32</v>
      </c>
      <c r="D2824" s="31" t="s">
        <v>32</v>
      </c>
      <c r="E2824" s="12" t="s">
        <v>583</v>
      </c>
      <c r="F2824" s="12" t="s">
        <v>32</v>
      </c>
    </row>
    <row r="2825" ht="21" customHeight="1" hidden="1" spans="1:6" x14ac:dyDescent="0.25" outlineLevel="1" collapsed="1">
      <c r="A2825" s="30" t="s">
        <v>32</v>
      </c>
      <c r="B2825" s="17" t="s">
        <v>32</v>
      </c>
      <c r="C2825" s="30" t="s">
        <v>32</v>
      </c>
      <c r="D2825" s="31" t="s">
        <v>32</v>
      </c>
      <c r="E2825" s="17" t="s">
        <v>555</v>
      </c>
      <c r="F2825" s="17" t="s">
        <v>32</v>
      </c>
    </row>
    <row r="2826" ht="21" customHeight="1" hidden="1" spans="1:6" x14ac:dyDescent="0.25" outlineLevel="1" collapsed="1">
      <c r="A2826" s="32" t="s">
        <v>32</v>
      </c>
      <c r="B2826" s="12" t="s">
        <v>32</v>
      </c>
      <c r="C2826" s="32" t="s">
        <v>32</v>
      </c>
      <c r="D2826" s="31" t="s">
        <v>32</v>
      </c>
      <c r="E2826" s="12" t="s">
        <v>584</v>
      </c>
      <c r="F2826" s="12" t="s">
        <v>32</v>
      </c>
    </row>
    <row r="2827" ht="21" customHeight="1" hidden="1" spans="1:6" x14ac:dyDescent="0.25" outlineLevel="1" collapsed="1">
      <c r="A2827" s="30" t="s">
        <v>32</v>
      </c>
      <c r="B2827" s="17" t="s">
        <v>32</v>
      </c>
      <c r="C2827" s="30" t="s">
        <v>32</v>
      </c>
      <c r="D2827" s="31" t="s">
        <v>32</v>
      </c>
      <c r="E2827" s="17" t="s">
        <v>493</v>
      </c>
      <c r="F2827" s="17" t="s">
        <v>32</v>
      </c>
    </row>
    <row r="2828" ht="21" customHeight="1" hidden="1" spans="1:6" x14ac:dyDescent="0.25" outlineLevel="1" collapsed="1">
      <c r="A2828" s="32" t="s">
        <v>32</v>
      </c>
      <c r="B2828" s="12" t="s">
        <v>32</v>
      </c>
      <c r="C2828" s="32" t="s">
        <v>32</v>
      </c>
      <c r="D2828" s="31" t="s">
        <v>32</v>
      </c>
      <c r="E2828" s="33" t="s">
        <v>633</v>
      </c>
      <c r="F2828" s="12" t="s">
        <v>32</v>
      </c>
    </row>
    <row r="2829" ht="22" customHeight="1" hidden="1" spans="1:6" x14ac:dyDescent="0.25" outlineLevel="1" collapsed="1">
      <c r="A2829" s="34" t="s">
        <v>495</v>
      </c>
      <c r="B2829" s="34"/>
      <c r="C2829" s="34"/>
      <c r="D2829" s="34"/>
      <c r="E2829" s="34"/>
      <c r="F2829" s="34"/>
    </row>
    <row r="2830" ht="24" customHeight="1" hidden="1" spans="1:6" x14ac:dyDescent="0.25" outlineLevel="1" collapsed="1">
      <c r="A2830" s="12" t="s">
        <v>634</v>
      </c>
      <c r="B2830" s="12"/>
      <c r="C2830" s="12"/>
      <c r="D2830" s="12"/>
      <c r="E2830" s="12"/>
      <c r="F2830" s="12"/>
    </row>
    <row r="2831" ht="40" customHeight="1" hidden="1" spans="1:6" x14ac:dyDescent="0.25" outlineLevel="1" collapsed="1">
      <c r="A2831" s="12" t="s">
        <v>635</v>
      </c>
      <c r="B2831" s="12"/>
      <c r="C2831" s="12"/>
      <c r="D2831" s="12"/>
      <c r="E2831" s="12"/>
      <c r="F2831" s="12"/>
    </row>
    <row r="2832" ht="56" customHeight="1" hidden="1" spans="1:6" x14ac:dyDescent="0.25" outlineLevel="1" collapsed="1">
      <c r="A2832" s="12" t="s">
        <v>653</v>
      </c>
      <c r="B2832" s="12"/>
      <c r="C2832" s="12"/>
      <c r="D2832" s="12"/>
      <c r="E2832" s="12"/>
      <c r="F2832" s="12"/>
    </row>
    <row r="2833" ht="24" customHeight="1" hidden="1" spans="1:6" x14ac:dyDescent="0.25" outlineLevel="1" collapsed="1">
      <c r="A2833" s="12" t="s">
        <v>499</v>
      </c>
      <c r="B2833" s="12"/>
      <c r="C2833" s="12"/>
      <c r="D2833" s="12"/>
      <c r="E2833" s="12"/>
      <c r="F2833" s="12"/>
    </row>
    <row r="2834" ht="6" customHeight="1" hidden="1" x14ac:dyDescent="0.25" outlineLevel="1" collapsed="1"/>
    <row r="2835" ht="22" customHeight="1" spans="1:6" x14ac:dyDescent="0.25">
      <c r="A2835" s="25" t="s">
        <v>586</v>
      </c>
      <c r="B2835" s="25"/>
      <c r="C2835" s="25"/>
      <c r="D2835" s="25"/>
      <c r="E2835" s="25"/>
      <c r="F2835" s="25"/>
    </row>
    <row r="2836" ht="20" customHeight="1" hidden="1" spans="1:6" x14ac:dyDescent="0.25" outlineLevel="1" collapsed="1">
      <c r="A2836" s="26" t="s">
        <v>460</v>
      </c>
      <c r="B2836" s="26" t="s">
        <v>461</v>
      </c>
      <c r="C2836" s="26" t="s">
        <v>462</v>
      </c>
      <c r="D2836" s="26" t="s">
        <v>32</v>
      </c>
      <c r="E2836" s="26" t="s">
        <v>463</v>
      </c>
      <c r="F2836" s="26" t="s">
        <v>464</v>
      </c>
    </row>
    <row r="2837" ht="51" customHeight="1" hidden="1" spans="1:6" x14ac:dyDescent="0.25" outlineLevel="1" collapsed="1">
      <c r="A2837" s="27">
        <v>4220</v>
      </c>
      <c r="B2837" s="28" t="s">
        <v>543</v>
      </c>
      <c r="C2837" s="27" t="s">
        <v>466</v>
      </c>
      <c r="D2837" s="29" t="s">
        <v>32</v>
      </c>
      <c r="E2837" s="28" t="s">
        <v>467</v>
      </c>
      <c r="F2837" s="28" t="s">
        <v>468</v>
      </c>
    </row>
    <row r="2838" ht="36" customHeight="1" hidden="1" spans="1:6" x14ac:dyDescent="0.25" outlineLevel="1" collapsed="1">
      <c r="A2838" s="30" t="s">
        <v>32</v>
      </c>
      <c r="B2838" s="17" t="s">
        <v>32</v>
      </c>
      <c r="C2838" s="30" t="s">
        <v>32</v>
      </c>
      <c r="D2838" s="31" t="s">
        <v>32</v>
      </c>
      <c r="E2838" s="17" t="s">
        <v>469</v>
      </c>
      <c r="F2838" s="17" t="s">
        <v>32</v>
      </c>
    </row>
    <row r="2839" ht="21" customHeight="1" hidden="1" spans="1:6" x14ac:dyDescent="0.25" outlineLevel="1" collapsed="1">
      <c r="A2839" s="32" t="s">
        <v>32</v>
      </c>
      <c r="B2839" s="12" t="s">
        <v>32</v>
      </c>
      <c r="C2839" s="32" t="s">
        <v>32</v>
      </c>
      <c r="D2839" s="31" t="s">
        <v>32</v>
      </c>
      <c r="E2839" s="33" t="s">
        <v>632</v>
      </c>
      <c r="F2839" s="12" t="s">
        <v>32</v>
      </c>
    </row>
    <row r="2840" ht="51" customHeight="1" hidden="1" spans="1:6" x14ac:dyDescent="0.25" outlineLevel="1" collapsed="1">
      <c r="A2840" s="27">
        <v>4240</v>
      </c>
      <c r="B2840" s="28" t="s">
        <v>471</v>
      </c>
      <c r="C2840" s="27" t="s">
        <v>472</v>
      </c>
      <c r="D2840" s="29" t="s">
        <v>32</v>
      </c>
      <c r="E2840" s="28" t="s">
        <v>473</v>
      </c>
      <c r="F2840" s="28" t="s">
        <v>474</v>
      </c>
    </row>
    <row r="2841" ht="21" customHeight="1" hidden="1" spans="1:6" x14ac:dyDescent="0.25" outlineLevel="1" collapsed="1">
      <c r="A2841" s="30" t="s">
        <v>32</v>
      </c>
      <c r="B2841" s="17" t="s">
        <v>32</v>
      </c>
      <c r="C2841" s="30" t="s">
        <v>32</v>
      </c>
      <c r="D2841" s="31" t="s">
        <v>32</v>
      </c>
      <c r="E2841" s="17" t="s">
        <v>475</v>
      </c>
      <c r="F2841" s="17" t="s">
        <v>32</v>
      </c>
    </row>
    <row r="2842" ht="36" customHeight="1" hidden="1" spans="1:6" x14ac:dyDescent="0.25" outlineLevel="1" collapsed="1">
      <c r="A2842" s="32" t="s">
        <v>32</v>
      </c>
      <c r="B2842" s="12" t="s">
        <v>32</v>
      </c>
      <c r="C2842" s="32" t="s">
        <v>32</v>
      </c>
      <c r="D2842" s="31" t="s">
        <v>32</v>
      </c>
      <c r="E2842" s="12" t="s">
        <v>476</v>
      </c>
      <c r="F2842" s="12" t="s">
        <v>32</v>
      </c>
    </row>
    <row r="2843" ht="36" customHeight="1" hidden="1" spans="1:6" x14ac:dyDescent="0.25" outlineLevel="1" collapsed="1">
      <c r="A2843" s="30" t="s">
        <v>32</v>
      </c>
      <c r="B2843" s="17" t="s">
        <v>32</v>
      </c>
      <c r="C2843" s="30" t="s">
        <v>32</v>
      </c>
      <c r="D2843" s="31" t="s">
        <v>32</v>
      </c>
      <c r="E2843" s="17" t="s">
        <v>477</v>
      </c>
      <c r="F2843" s="17" t="s">
        <v>32</v>
      </c>
    </row>
    <row r="2844" ht="36" customHeight="1" hidden="1" spans="1:6" x14ac:dyDescent="0.25" outlineLevel="1" collapsed="1">
      <c r="A2844" s="32" t="s">
        <v>32</v>
      </c>
      <c r="B2844" s="12" t="s">
        <v>32</v>
      </c>
      <c r="C2844" s="32" t="s">
        <v>32</v>
      </c>
      <c r="D2844" s="31" t="s">
        <v>32</v>
      </c>
      <c r="E2844" s="12" t="s">
        <v>478</v>
      </c>
      <c r="F2844" s="12" t="s">
        <v>32</v>
      </c>
    </row>
    <row r="2845" ht="21" customHeight="1" hidden="1" spans="1:6" x14ac:dyDescent="0.25" outlineLevel="1" collapsed="1">
      <c r="A2845" s="30" t="s">
        <v>32</v>
      </c>
      <c r="B2845" s="17" t="s">
        <v>32</v>
      </c>
      <c r="C2845" s="30" t="s">
        <v>32</v>
      </c>
      <c r="D2845" s="31" t="s">
        <v>32</v>
      </c>
      <c r="E2845" s="17" t="s">
        <v>479</v>
      </c>
      <c r="F2845" s="17" t="s">
        <v>32</v>
      </c>
    </row>
    <row r="2846" ht="21" customHeight="1" hidden="1" spans="1:6" x14ac:dyDescent="0.25" outlineLevel="1" collapsed="1">
      <c r="A2846" s="32" t="s">
        <v>32</v>
      </c>
      <c r="B2846" s="12" t="s">
        <v>32</v>
      </c>
      <c r="C2846" s="32" t="s">
        <v>32</v>
      </c>
      <c r="D2846" s="31" t="s">
        <v>32</v>
      </c>
      <c r="E2846" s="33" t="s">
        <v>632</v>
      </c>
      <c r="F2846" s="12" t="s">
        <v>32</v>
      </c>
    </row>
    <row r="2847" ht="51" customHeight="1" hidden="1" spans="1:6" x14ac:dyDescent="0.25" outlineLevel="1" collapsed="1">
      <c r="A2847" s="27">
        <v>4230</v>
      </c>
      <c r="B2847" s="28" t="s">
        <v>544</v>
      </c>
      <c r="C2847" s="27" t="s">
        <v>472</v>
      </c>
      <c r="D2847" s="29" t="s">
        <v>32</v>
      </c>
      <c r="E2847" s="28" t="s">
        <v>576</v>
      </c>
      <c r="F2847" s="28" t="s">
        <v>482</v>
      </c>
    </row>
    <row r="2848" ht="21" customHeight="1" hidden="1" spans="1:6" x14ac:dyDescent="0.25" outlineLevel="1" collapsed="1">
      <c r="A2848" s="30" t="s">
        <v>32</v>
      </c>
      <c r="B2848" s="17" t="s">
        <v>32</v>
      </c>
      <c r="C2848" s="30" t="s">
        <v>32</v>
      </c>
      <c r="D2848" s="31" t="s">
        <v>32</v>
      </c>
      <c r="E2848" s="17" t="s">
        <v>577</v>
      </c>
      <c r="F2848" s="17" t="s">
        <v>32</v>
      </c>
    </row>
    <row r="2849" ht="36" customHeight="1" hidden="1" spans="1:6" x14ac:dyDescent="0.25" outlineLevel="1" collapsed="1">
      <c r="A2849" s="32" t="s">
        <v>32</v>
      </c>
      <c r="B2849" s="12" t="s">
        <v>32</v>
      </c>
      <c r="C2849" s="32" t="s">
        <v>32</v>
      </c>
      <c r="D2849" s="31" t="s">
        <v>32</v>
      </c>
      <c r="E2849" s="12" t="s">
        <v>578</v>
      </c>
      <c r="F2849" s="12" t="s">
        <v>32</v>
      </c>
    </row>
    <row r="2850" ht="36" customHeight="1" hidden="1" spans="1:6" x14ac:dyDescent="0.25" outlineLevel="1" collapsed="1">
      <c r="A2850" s="30" t="s">
        <v>32</v>
      </c>
      <c r="B2850" s="17" t="s">
        <v>32</v>
      </c>
      <c r="C2850" s="30" t="s">
        <v>32</v>
      </c>
      <c r="D2850" s="31" t="s">
        <v>32</v>
      </c>
      <c r="E2850" s="17" t="s">
        <v>579</v>
      </c>
      <c r="F2850" s="17" t="s">
        <v>32</v>
      </c>
    </row>
    <row r="2851" ht="21" customHeight="1" hidden="1" spans="1:6" x14ac:dyDescent="0.25" outlineLevel="1" collapsed="1">
      <c r="A2851" s="32" t="s">
        <v>32</v>
      </c>
      <c r="B2851" s="12" t="s">
        <v>32</v>
      </c>
      <c r="C2851" s="32" t="s">
        <v>32</v>
      </c>
      <c r="D2851" s="31" t="s">
        <v>32</v>
      </c>
      <c r="E2851" s="12" t="s">
        <v>580</v>
      </c>
      <c r="F2851" s="12" t="s">
        <v>32</v>
      </c>
    </row>
    <row r="2852" ht="21" customHeight="1" hidden="1" spans="1:6" x14ac:dyDescent="0.25" outlineLevel="1" collapsed="1">
      <c r="A2852" s="30" t="s">
        <v>32</v>
      </c>
      <c r="B2852" s="17" t="s">
        <v>32</v>
      </c>
      <c r="C2852" s="30" t="s">
        <v>32</v>
      </c>
      <c r="D2852" s="31" t="s">
        <v>32</v>
      </c>
      <c r="E2852" s="17" t="s">
        <v>551</v>
      </c>
      <c r="F2852" s="17" t="s">
        <v>32</v>
      </c>
    </row>
    <row r="2853" ht="21" customHeight="1" hidden="1" spans="1:6" x14ac:dyDescent="0.25" outlineLevel="1" collapsed="1">
      <c r="A2853" s="32" t="s">
        <v>32</v>
      </c>
      <c r="B2853" s="12" t="s">
        <v>32</v>
      </c>
      <c r="C2853" s="32" t="s">
        <v>32</v>
      </c>
      <c r="D2853" s="31" t="s">
        <v>32</v>
      </c>
      <c r="E2853" s="12" t="s">
        <v>581</v>
      </c>
      <c r="F2853" s="12" t="s">
        <v>32</v>
      </c>
    </row>
    <row r="2854" ht="21" customHeight="1" hidden="1" spans="1:6" x14ac:dyDescent="0.25" outlineLevel="1" collapsed="1">
      <c r="A2854" s="30" t="s">
        <v>32</v>
      </c>
      <c r="B2854" s="17" t="s">
        <v>32</v>
      </c>
      <c r="C2854" s="30" t="s">
        <v>32</v>
      </c>
      <c r="D2854" s="31" t="s">
        <v>32</v>
      </c>
      <c r="E2854" s="17" t="s">
        <v>582</v>
      </c>
      <c r="F2854" s="17" t="s">
        <v>32</v>
      </c>
    </row>
    <row r="2855" ht="21" customHeight="1" hidden="1" spans="1:6" x14ac:dyDescent="0.25" outlineLevel="1" collapsed="1">
      <c r="A2855" s="32" t="s">
        <v>32</v>
      </c>
      <c r="B2855" s="12" t="s">
        <v>32</v>
      </c>
      <c r="C2855" s="32" t="s">
        <v>32</v>
      </c>
      <c r="D2855" s="31" t="s">
        <v>32</v>
      </c>
      <c r="E2855" s="12" t="s">
        <v>583</v>
      </c>
      <c r="F2855" s="12" t="s">
        <v>32</v>
      </c>
    </row>
    <row r="2856" ht="21" customHeight="1" hidden="1" spans="1:6" x14ac:dyDescent="0.25" outlineLevel="1" collapsed="1">
      <c r="A2856" s="30" t="s">
        <v>32</v>
      </c>
      <c r="B2856" s="17" t="s">
        <v>32</v>
      </c>
      <c r="C2856" s="30" t="s">
        <v>32</v>
      </c>
      <c r="D2856" s="31" t="s">
        <v>32</v>
      </c>
      <c r="E2856" s="17" t="s">
        <v>555</v>
      </c>
      <c r="F2856" s="17" t="s">
        <v>32</v>
      </c>
    </row>
    <row r="2857" ht="21" customHeight="1" hidden="1" spans="1:6" x14ac:dyDescent="0.25" outlineLevel="1" collapsed="1">
      <c r="A2857" s="32" t="s">
        <v>32</v>
      </c>
      <c r="B2857" s="12" t="s">
        <v>32</v>
      </c>
      <c r="C2857" s="32" t="s">
        <v>32</v>
      </c>
      <c r="D2857" s="31" t="s">
        <v>32</v>
      </c>
      <c r="E2857" s="12" t="s">
        <v>584</v>
      </c>
      <c r="F2857" s="12" t="s">
        <v>32</v>
      </c>
    </row>
    <row r="2858" ht="21" customHeight="1" hidden="1" spans="1:6" x14ac:dyDescent="0.25" outlineLevel="1" collapsed="1">
      <c r="A2858" s="30" t="s">
        <v>32</v>
      </c>
      <c r="B2858" s="17" t="s">
        <v>32</v>
      </c>
      <c r="C2858" s="30" t="s">
        <v>32</v>
      </c>
      <c r="D2858" s="31" t="s">
        <v>32</v>
      </c>
      <c r="E2858" s="17" t="s">
        <v>493</v>
      </c>
      <c r="F2858" s="17" t="s">
        <v>32</v>
      </c>
    </row>
    <row r="2859" ht="21" customHeight="1" hidden="1" spans="1:6" x14ac:dyDescent="0.25" outlineLevel="1" collapsed="1">
      <c r="A2859" s="32" t="s">
        <v>32</v>
      </c>
      <c r="B2859" s="12" t="s">
        <v>32</v>
      </c>
      <c r="C2859" s="32" t="s">
        <v>32</v>
      </c>
      <c r="D2859" s="31" t="s">
        <v>32</v>
      </c>
      <c r="E2859" s="33" t="s">
        <v>633</v>
      </c>
      <c r="F2859" s="12" t="s">
        <v>32</v>
      </c>
    </row>
    <row r="2860" ht="22" customHeight="1" hidden="1" spans="1:6" x14ac:dyDescent="0.25" outlineLevel="1" collapsed="1">
      <c r="A2860" s="34" t="s">
        <v>495</v>
      </c>
      <c r="B2860" s="34"/>
      <c r="C2860" s="34"/>
      <c r="D2860" s="34"/>
      <c r="E2860" s="34"/>
      <c r="F2860" s="34"/>
    </row>
    <row r="2861" ht="24" customHeight="1" hidden="1" spans="1:6" x14ac:dyDescent="0.25" outlineLevel="1" collapsed="1">
      <c r="A2861" s="12" t="s">
        <v>634</v>
      </c>
      <c r="B2861" s="12"/>
      <c r="C2861" s="12"/>
      <c r="D2861" s="12"/>
      <c r="E2861" s="12"/>
      <c r="F2861" s="12"/>
    </row>
    <row r="2862" ht="40" customHeight="1" hidden="1" spans="1:6" x14ac:dyDescent="0.25" outlineLevel="1" collapsed="1">
      <c r="A2862" s="12" t="s">
        <v>635</v>
      </c>
      <c r="B2862" s="12"/>
      <c r="C2862" s="12"/>
      <c r="D2862" s="12"/>
      <c r="E2862" s="12"/>
      <c r="F2862" s="12"/>
    </row>
    <row r="2863" ht="56" customHeight="1" hidden="1" spans="1:6" x14ac:dyDescent="0.25" outlineLevel="1" collapsed="1">
      <c r="A2863" s="12" t="s">
        <v>653</v>
      </c>
      <c r="B2863" s="12"/>
      <c r="C2863" s="12"/>
      <c r="D2863" s="12"/>
      <c r="E2863" s="12"/>
      <c r="F2863" s="12"/>
    </row>
    <row r="2864" ht="24" customHeight="1" hidden="1" spans="1:6" x14ac:dyDescent="0.25" outlineLevel="1" collapsed="1">
      <c r="A2864" s="12" t="s">
        <v>499</v>
      </c>
      <c r="B2864" s="12"/>
      <c r="C2864" s="12"/>
      <c r="D2864" s="12"/>
      <c r="E2864" s="12"/>
      <c r="F2864" s="12"/>
    </row>
    <row r="2865" ht="6" customHeight="1" hidden="1" x14ac:dyDescent="0.25" outlineLevel="1" collapsed="1"/>
    <row r="2866" ht="22" customHeight="1" spans="1:6" x14ac:dyDescent="0.25">
      <c r="A2866" s="25" t="s">
        <v>587</v>
      </c>
      <c r="B2866" s="25"/>
      <c r="C2866" s="25"/>
      <c r="D2866" s="25"/>
      <c r="E2866" s="25"/>
      <c r="F2866" s="25"/>
    </row>
    <row r="2867" ht="20" customHeight="1" hidden="1" spans="1:6" x14ac:dyDescent="0.25" outlineLevel="1" collapsed="1">
      <c r="A2867" s="26" t="s">
        <v>460</v>
      </c>
      <c r="B2867" s="26" t="s">
        <v>461</v>
      </c>
      <c r="C2867" s="26" t="s">
        <v>462</v>
      </c>
      <c r="D2867" s="26" t="s">
        <v>32</v>
      </c>
      <c r="E2867" s="26" t="s">
        <v>463</v>
      </c>
      <c r="F2867" s="26" t="s">
        <v>464</v>
      </c>
    </row>
    <row r="2868" ht="51" customHeight="1" hidden="1" spans="1:6" x14ac:dyDescent="0.25" outlineLevel="1" collapsed="1">
      <c r="A2868" s="27">
        <v>4220</v>
      </c>
      <c r="B2868" s="28" t="s">
        <v>543</v>
      </c>
      <c r="C2868" s="27" t="s">
        <v>466</v>
      </c>
      <c r="D2868" s="29" t="s">
        <v>32</v>
      </c>
      <c r="E2868" s="28" t="s">
        <v>467</v>
      </c>
      <c r="F2868" s="28" t="s">
        <v>468</v>
      </c>
    </row>
    <row r="2869" ht="36" customHeight="1" hidden="1" spans="1:6" x14ac:dyDescent="0.25" outlineLevel="1" collapsed="1">
      <c r="A2869" s="30" t="s">
        <v>32</v>
      </c>
      <c r="B2869" s="17" t="s">
        <v>32</v>
      </c>
      <c r="C2869" s="30" t="s">
        <v>32</v>
      </c>
      <c r="D2869" s="31" t="s">
        <v>32</v>
      </c>
      <c r="E2869" s="17" t="s">
        <v>469</v>
      </c>
      <c r="F2869" s="17" t="s">
        <v>32</v>
      </c>
    </row>
    <row r="2870" ht="21" customHeight="1" hidden="1" spans="1:6" x14ac:dyDescent="0.25" outlineLevel="1" collapsed="1">
      <c r="A2870" s="32" t="s">
        <v>32</v>
      </c>
      <c r="B2870" s="12" t="s">
        <v>32</v>
      </c>
      <c r="C2870" s="32" t="s">
        <v>32</v>
      </c>
      <c r="D2870" s="31" t="s">
        <v>32</v>
      </c>
      <c r="E2870" s="33" t="s">
        <v>632</v>
      </c>
      <c r="F2870" s="12" t="s">
        <v>32</v>
      </c>
    </row>
    <row r="2871" ht="51" customHeight="1" hidden="1" spans="1:6" x14ac:dyDescent="0.25" outlineLevel="1" collapsed="1">
      <c r="A2871" s="27">
        <v>4240</v>
      </c>
      <c r="B2871" s="28" t="s">
        <v>471</v>
      </c>
      <c r="C2871" s="27" t="s">
        <v>472</v>
      </c>
      <c r="D2871" s="29" t="s">
        <v>32</v>
      </c>
      <c r="E2871" s="28" t="s">
        <v>473</v>
      </c>
      <c r="F2871" s="28" t="s">
        <v>474</v>
      </c>
    </row>
    <row r="2872" ht="21" customHeight="1" hidden="1" spans="1:6" x14ac:dyDescent="0.25" outlineLevel="1" collapsed="1">
      <c r="A2872" s="30" t="s">
        <v>32</v>
      </c>
      <c r="B2872" s="17" t="s">
        <v>32</v>
      </c>
      <c r="C2872" s="30" t="s">
        <v>32</v>
      </c>
      <c r="D2872" s="31" t="s">
        <v>32</v>
      </c>
      <c r="E2872" s="17" t="s">
        <v>475</v>
      </c>
      <c r="F2872" s="17" t="s">
        <v>32</v>
      </c>
    </row>
    <row r="2873" ht="36" customHeight="1" hidden="1" spans="1:6" x14ac:dyDescent="0.25" outlineLevel="1" collapsed="1">
      <c r="A2873" s="32" t="s">
        <v>32</v>
      </c>
      <c r="B2873" s="12" t="s">
        <v>32</v>
      </c>
      <c r="C2873" s="32" t="s">
        <v>32</v>
      </c>
      <c r="D2873" s="31" t="s">
        <v>32</v>
      </c>
      <c r="E2873" s="12" t="s">
        <v>476</v>
      </c>
      <c r="F2873" s="12" t="s">
        <v>32</v>
      </c>
    </row>
    <row r="2874" ht="36" customHeight="1" hidden="1" spans="1:6" x14ac:dyDescent="0.25" outlineLevel="1" collapsed="1">
      <c r="A2874" s="30" t="s">
        <v>32</v>
      </c>
      <c r="B2874" s="17" t="s">
        <v>32</v>
      </c>
      <c r="C2874" s="30" t="s">
        <v>32</v>
      </c>
      <c r="D2874" s="31" t="s">
        <v>32</v>
      </c>
      <c r="E2874" s="17" t="s">
        <v>477</v>
      </c>
      <c r="F2874" s="17" t="s">
        <v>32</v>
      </c>
    </row>
    <row r="2875" ht="36" customHeight="1" hidden="1" spans="1:6" x14ac:dyDescent="0.25" outlineLevel="1" collapsed="1">
      <c r="A2875" s="32" t="s">
        <v>32</v>
      </c>
      <c r="B2875" s="12" t="s">
        <v>32</v>
      </c>
      <c r="C2875" s="32" t="s">
        <v>32</v>
      </c>
      <c r="D2875" s="31" t="s">
        <v>32</v>
      </c>
      <c r="E2875" s="12" t="s">
        <v>478</v>
      </c>
      <c r="F2875" s="12" t="s">
        <v>32</v>
      </c>
    </row>
    <row r="2876" ht="21" customHeight="1" hidden="1" spans="1:6" x14ac:dyDescent="0.25" outlineLevel="1" collapsed="1">
      <c r="A2876" s="30" t="s">
        <v>32</v>
      </c>
      <c r="B2876" s="17" t="s">
        <v>32</v>
      </c>
      <c r="C2876" s="30" t="s">
        <v>32</v>
      </c>
      <c r="D2876" s="31" t="s">
        <v>32</v>
      </c>
      <c r="E2876" s="17" t="s">
        <v>479</v>
      </c>
      <c r="F2876" s="17" t="s">
        <v>32</v>
      </c>
    </row>
    <row r="2877" ht="21" customHeight="1" hidden="1" spans="1:6" x14ac:dyDescent="0.25" outlineLevel="1" collapsed="1">
      <c r="A2877" s="32" t="s">
        <v>32</v>
      </c>
      <c r="B2877" s="12" t="s">
        <v>32</v>
      </c>
      <c r="C2877" s="32" t="s">
        <v>32</v>
      </c>
      <c r="D2877" s="31" t="s">
        <v>32</v>
      </c>
      <c r="E2877" s="33" t="s">
        <v>632</v>
      </c>
      <c r="F2877" s="12" t="s">
        <v>32</v>
      </c>
    </row>
    <row r="2878" ht="51" customHeight="1" hidden="1" spans="1:6" x14ac:dyDescent="0.25" outlineLevel="1" collapsed="1">
      <c r="A2878" s="27">
        <v>4230</v>
      </c>
      <c r="B2878" s="28" t="s">
        <v>544</v>
      </c>
      <c r="C2878" s="27" t="s">
        <v>472</v>
      </c>
      <c r="D2878" s="29" t="s">
        <v>32</v>
      </c>
      <c r="E2878" s="28" t="s">
        <v>576</v>
      </c>
      <c r="F2878" s="28" t="s">
        <v>482</v>
      </c>
    </row>
    <row r="2879" ht="21" customHeight="1" hidden="1" spans="1:6" x14ac:dyDescent="0.25" outlineLevel="1" collapsed="1">
      <c r="A2879" s="30" t="s">
        <v>32</v>
      </c>
      <c r="B2879" s="17" t="s">
        <v>32</v>
      </c>
      <c r="C2879" s="30" t="s">
        <v>32</v>
      </c>
      <c r="D2879" s="31" t="s">
        <v>32</v>
      </c>
      <c r="E2879" s="17" t="s">
        <v>577</v>
      </c>
      <c r="F2879" s="17" t="s">
        <v>32</v>
      </c>
    </row>
    <row r="2880" ht="36" customHeight="1" hidden="1" spans="1:6" x14ac:dyDescent="0.25" outlineLevel="1" collapsed="1">
      <c r="A2880" s="32" t="s">
        <v>32</v>
      </c>
      <c r="B2880" s="12" t="s">
        <v>32</v>
      </c>
      <c r="C2880" s="32" t="s">
        <v>32</v>
      </c>
      <c r="D2880" s="31" t="s">
        <v>32</v>
      </c>
      <c r="E2880" s="12" t="s">
        <v>578</v>
      </c>
      <c r="F2880" s="12" t="s">
        <v>32</v>
      </c>
    </row>
    <row r="2881" ht="36" customHeight="1" hidden="1" spans="1:6" x14ac:dyDescent="0.25" outlineLevel="1" collapsed="1">
      <c r="A2881" s="30" t="s">
        <v>32</v>
      </c>
      <c r="B2881" s="17" t="s">
        <v>32</v>
      </c>
      <c r="C2881" s="30" t="s">
        <v>32</v>
      </c>
      <c r="D2881" s="31" t="s">
        <v>32</v>
      </c>
      <c r="E2881" s="17" t="s">
        <v>579</v>
      </c>
      <c r="F2881" s="17" t="s">
        <v>32</v>
      </c>
    </row>
    <row r="2882" ht="21" customHeight="1" hidden="1" spans="1:6" x14ac:dyDescent="0.25" outlineLevel="1" collapsed="1">
      <c r="A2882" s="32" t="s">
        <v>32</v>
      </c>
      <c r="B2882" s="12" t="s">
        <v>32</v>
      </c>
      <c r="C2882" s="32" t="s">
        <v>32</v>
      </c>
      <c r="D2882" s="31" t="s">
        <v>32</v>
      </c>
      <c r="E2882" s="12" t="s">
        <v>580</v>
      </c>
      <c r="F2882" s="12" t="s">
        <v>32</v>
      </c>
    </row>
    <row r="2883" ht="21" customHeight="1" hidden="1" spans="1:6" x14ac:dyDescent="0.25" outlineLevel="1" collapsed="1">
      <c r="A2883" s="30" t="s">
        <v>32</v>
      </c>
      <c r="B2883" s="17" t="s">
        <v>32</v>
      </c>
      <c r="C2883" s="30" t="s">
        <v>32</v>
      </c>
      <c r="D2883" s="31" t="s">
        <v>32</v>
      </c>
      <c r="E2883" s="17" t="s">
        <v>551</v>
      </c>
      <c r="F2883" s="17" t="s">
        <v>32</v>
      </c>
    </row>
    <row r="2884" ht="21" customHeight="1" hidden="1" spans="1:6" x14ac:dyDescent="0.25" outlineLevel="1" collapsed="1">
      <c r="A2884" s="32" t="s">
        <v>32</v>
      </c>
      <c r="B2884" s="12" t="s">
        <v>32</v>
      </c>
      <c r="C2884" s="32" t="s">
        <v>32</v>
      </c>
      <c r="D2884" s="31" t="s">
        <v>32</v>
      </c>
      <c r="E2884" s="12" t="s">
        <v>581</v>
      </c>
      <c r="F2884" s="12" t="s">
        <v>32</v>
      </c>
    </row>
    <row r="2885" ht="21" customHeight="1" hidden="1" spans="1:6" x14ac:dyDescent="0.25" outlineLevel="1" collapsed="1">
      <c r="A2885" s="30" t="s">
        <v>32</v>
      </c>
      <c r="B2885" s="17" t="s">
        <v>32</v>
      </c>
      <c r="C2885" s="30" t="s">
        <v>32</v>
      </c>
      <c r="D2885" s="31" t="s">
        <v>32</v>
      </c>
      <c r="E2885" s="17" t="s">
        <v>582</v>
      </c>
      <c r="F2885" s="17" t="s">
        <v>32</v>
      </c>
    </row>
    <row r="2886" ht="21" customHeight="1" hidden="1" spans="1:6" x14ac:dyDescent="0.25" outlineLevel="1" collapsed="1">
      <c r="A2886" s="32" t="s">
        <v>32</v>
      </c>
      <c r="B2886" s="12" t="s">
        <v>32</v>
      </c>
      <c r="C2886" s="32" t="s">
        <v>32</v>
      </c>
      <c r="D2886" s="31" t="s">
        <v>32</v>
      </c>
      <c r="E2886" s="12" t="s">
        <v>583</v>
      </c>
      <c r="F2886" s="12" t="s">
        <v>32</v>
      </c>
    </row>
    <row r="2887" ht="21" customHeight="1" hidden="1" spans="1:6" x14ac:dyDescent="0.25" outlineLevel="1" collapsed="1">
      <c r="A2887" s="30" t="s">
        <v>32</v>
      </c>
      <c r="B2887" s="17" t="s">
        <v>32</v>
      </c>
      <c r="C2887" s="30" t="s">
        <v>32</v>
      </c>
      <c r="D2887" s="31" t="s">
        <v>32</v>
      </c>
      <c r="E2887" s="17" t="s">
        <v>555</v>
      </c>
      <c r="F2887" s="17" t="s">
        <v>32</v>
      </c>
    </row>
    <row r="2888" ht="21" customHeight="1" hidden="1" spans="1:6" x14ac:dyDescent="0.25" outlineLevel="1" collapsed="1">
      <c r="A2888" s="32" t="s">
        <v>32</v>
      </c>
      <c r="B2888" s="12" t="s">
        <v>32</v>
      </c>
      <c r="C2888" s="32" t="s">
        <v>32</v>
      </c>
      <c r="D2888" s="31" t="s">
        <v>32</v>
      </c>
      <c r="E2888" s="12" t="s">
        <v>584</v>
      </c>
      <c r="F2888" s="12" t="s">
        <v>32</v>
      </c>
    </row>
    <row r="2889" ht="21" customHeight="1" hidden="1" spans="1:6" x14ac:dyDescent="0.25" outlineLevel="1" collapsed="1">
      <c r="A2889" s="30" t="s">
        <v>32</v>
      </c>
      <c r="B2889" s="17" t="s">
        <v>32</v>
      </c>
      <c r="C2889" s="30" t="s">
        <v>32</v>
      </c>
      <c r="D2889" s="31" t="s">
        <v>32</v>
      </c>
      <c r="E2889" s="17" t="s">
        <v>493</v>
      </c>
      <c r="F2889" s="17" t="s">
        <v>32</v>
      </c>
    </row>
    <row r="2890" ht="21" customHeight="1" hidden="1" spans="1:6" x14ac:dyDescent="0.25" outlineLevel="1" collapsed="1">
      <c r="A2890" s="32" t="s">
        <v>32</v>
      </c>
      <c r="B2890" s="12" t="s">
        <v>32</v>
      </c>
      <c r="C2890" s="32" t="s">
        <v>32</v>
      </c>
      <c r="D2890" s="31" t="s">
        <v>32</v>
      </c>
      <c r="E2890" s="33" t="s">
        <v>633</v>
      </c>
      <c r="F2890" s="12" t="s">
        <v>32</v>
      </c>
    </row>
    <row r="2891" ht="22" customHeight="1" hidden="1" spans="1:6" x14ac:dyDescent="0.25" outlineLevel="1" collapsed="1">
      <c r="A2891" s="34" t="s">
        <v>495</v>
      </c>
      <c r="B2891" s="34"/>
      <c r="C2891" s="34"/>
      <c r="D2891" s="34"/>
      <c r="E2891" s="34"/>
      <c r="F2891" s="34"/>
    </row>
    <row r="2892" ht="24" customHeight="1" hidden="1" spans="1:6" x14ac:dyDescent="0.25" outlineLevel="1" collapsed="1">
      <c r="A2892" s="12" t="s">
        <v>634</v>
      </c>
      <c r="B2892" s="12"/>
      <c r="C2892" s="12"/>
      <c r="D2892" s="12"/>
      <c r="E2892" s="12"/>
      <c r="F2892" s="12"/>
    </row>
    <row r="2893" ht="40" customHeight="1" hidden="1" spans="1:6" x14ac:dyDescent="0.25" outlineLevel="1" collapsed="1">
      <c r="A2893" s="12" t="s">
        <v>635</v>
      </c>
      <c r="B2893" s="12"/>
      <c r="C2893" s="12"/>
      <c r="D2893" s="12"/>
      <c r="E2893" s="12"/>
      <c r="F2893" s="12"/>
    </row>
    <row r="2894" ht="56" customHeight="1" hidden="1" spans="1:6" x14ac:dyDescent="0.25" outlineLevel="1" collapsed="1">
      <c r="A2894" s="12" t="s">
        <v>653</v>
      </c>
      <c r="B2894" s="12"/>
      <c r="C2894" s="12"/>
      <c r="D2894" s="12"/>
      <c r="E2894" s="12"/>
      <c r="F2894" s="12"/>
    </row>
    <row r="2895" ht="24" customHeight="1" hidden="1" spans="1:6" x14ac:dyDescent="0.25" outlineLevel="1" collapsed="1">
      <c r="A2895" s="12" t="s">
        <v>499</v>
      </c>
      <c r="B2895" s="12"/>
      <c r="C2895" s="12"/>
      <c r="D2895" s="12"/>
      <c r="E2895" s="12"/>
      <c r="F2895" s="12"/>
    </row>
    <row r="2896" ht="6" customHeight="1" hidden="1" x14ac:dyDescent="0.25" outlineLevel="1" collapsed="1"/>
    <row r="2897" ht="22" customHeight="1" spans="1:6" x14ac:dyDescent="0.25">
      <c r="A2897" s="25" t="s">
        <v>588</v>
      </c>
      <c r="B2897" s="25"/>
      <c r="C2897" s="25"/>
      <c r="D2897" s="25"/>
      <c r="E2897" s="25"/>
      <c r="F2897" s="25"/>
    </row>
    <row r="2898" ht="20" customHeight="1" hidden="1" spans="1:6" x14ac:dyDescent="0.25" outlineLevel="1" collapsed="1">
      <c r="A2898" s="26" t="s">
        <v>460</v>
      </c>
      <c r="B2898" s="26" t="s">
        <v>461</v>
      </c>
      <c r="C2898" s="26" t="s">
        <v>462</v>
      </c>
      <c r="D2898" s="26" t="s">
        <v>32</v>
      </c>
      <c r="E2898" s="26" t="s">
        <v>463</v>
      </c>
      <c r="F2898" s="26" t="s">
        <v>464</v>
      </c>
    </row>
    <row r="2899" ht="51" customHeight="1" hidden="1" spans="1:6" x14ac:dyDescent="0.25" outlineLevel="1" collapsed="1">
      <c r="A2899" s="27">
        <v>4220</v>
      </c>
      <c r="B2899" s="28" t="s">
        <v>543</v>
      </c>
      <c r="C2899" s="27" t="s">
        <v>466</v>
      </c>
      <c r="D2899" s="29" t="s">
        <v>32</v>
      </c>
      <c r="E2899" s="28" t="s">
        <v>467</v>
      </c>
      <c r="F2899" s="28" t="s">
        <v>468</v>
      </c>
    </row>
    <row r="2900" ht="36" customHeight="1" hidden="1" spans="1:6" x14ac:dyDescent="0.25" outlineLevel="1" collapsed="1">
      <c r="A2900" s="30" t="s">
        <v>32</v>
      </c>
      <c r="B2900" s="17" t="s">
        <v>32</v>
      </c>
      <c r="C2900" s="30" t="s">
        <v>32</v>
      </c>
      <c r="D2900" s="31" t="s">
        <v>32</v>
      </c>
      <c r="E2900" s="17" t="s">
        <v>469</v>
      </c>
      <c r="F2900" s="17" t="s">
        <v>32</v>
      </c>
    </row>
    <row r="2901" ht="21" customHeight="1" hidden="1" spans="1:6" x14ac:dyDescent="0.25" outlineLevel="1" collapsed="1">
      <c r="A2901" s="32" t="s">
        <v>32</v>
      </c>
      <c r="B2901" s="12" t="s">
        <v>32</v>
      </c>
      <c r="C2901" s="32" t="s">
        <v>32</v>
      </c>
      <c r="D2901" s="31" t="s">
        <v>32</v>
      </c>
      <c r="E2901" s="33" t="s">
        <v>632</v>
      </c>
      <c r="F2901" s="12" t="s">
        <v>32</v>
      </c>
    </row>
    <row r="2902" ht="51" customHeight="1" hidden="1" spans="1:6" x14ac:dyDescent="0.25" outlineLevel="1" collapsed="1">
      <c r="A2902" s="27">
        <v>4240</v>
      </c>
      <c r="B2902" s="28" t="s">
        <v>471</v>
      </c>
      <c r="C2902" s="27" t="s">
        <v>472</v>
      </c>
      <c r="D2902" s="29" t="s">
        <v>32</v>
      </c>
      <c r="E2902" s="28" t="s">
        <v>473</v>
      </c>
      <c r="F2902" s="28" t="s">
        <v>474</v>
      </c>
    </row>
    <row r="2903" ht="21" customHeight="1" hidden="1" spans="1:6" x14ac:dyDescent="0.25" outlineLevel="1" collapsed="1">
      <c r="A2903" s="30" t="s">
        <v>32</v>
      </c>
      <c r="B2903" s="17" t="s">
        <v>32</v>
      </c>
      <c r="C2903" s="30" t="s">
        <v>32</v>
      </c>
      <c r="D2903" s="31" t="s">
        <v>32</v>
      </c>
      <c r="E2903" s="17" t="s">
        <v>475</v>
      </c>
      <c r="F2903" s="17" t="s">
        <v>32</v>
      </c>
    </row>
    <row r="2904" ht="36" customHeight="1" hidden="1" spans="1:6" x14ac:dyDescent="0.25" outlineLevel="1" collapsed="1">
      <c r="A2904" s="32" t="s">
        <v>32</v>
      </c>
      <c r="B2904" s="12" t="s">
        <v>32</v>
      </c>
      <c r="C2904" s="32" t="s">
        <v>32</v>
      </c>
      <c r="D2904" s="31" t="s">
        <v>32</v>
      </c>
      <c r="E2904" s="12" t="s">
        <v>476</v>
      </c>
      <c r="F2904" s="12" t="s">
        <v>32</v>
      </c>
    </row>
    <row r="2905" ht="36" customHeight="1" hidden="1" spans="1:6" x14ac:dyDescent="0.25" outlineLevel="1" collapsed="1">
      <c r="A2905" s="30" t="s">
        <v>32</v>
      </c>
      <c r="B2905" s="17" t="s">
        <v>32</v>
      </c>
      <c r="C2905" s="30" t="s">
        <v>32</v>
      </c>
      <c r="D2905" s="31" t="s">
        <v>32</v>
      </c>
      <c r="E2905" s="17" t="s">
        <v>477</v>
      </c>
      <c r="F2905" s="17" t="s">
        <v>32</v>
      </c>
    </row>
    <row r="2906" ht="36" customHeight="1" hidden="1" spans="1:6" x14ac:dyDescent="0.25" outlineLevel="1" collapsed="1">
      <c r="A2906" s="32" t="s">
        <v>32</v>
      </c>
      <c r="B2906" s="12" t="s">
        <v>32</v>
      </c>
      <c r="C2906" s="32" t="s">
        <v>32</v>
      </c>
      <c r="D2906" s="31" t="s">
        <v>32</v>
      </c>
      <c r="E2906" s="12" t="s">
        <v>478</v>
      </c>
      <c r="F2906" s="12" t="s">
        <v>32</v>
      </c>
    </row>
    <row r="2907" ht="21" customHeight="1" hidden="1" spans="1:6" x14ac:dyDescent="0.25" outlineLevel="1" collapsed="1">
      <c r="A2907" s="30" t="s">
        <v>32</v>
      </c>
      <c r="B2907" s="17" t="s">
        <v>32</v>
      </c>
      <c r="C2907" s="30" t="s">
        <v>32</v>
      </c>
      <c r="D2907" s="31" t="s">
        <v>32</v>
      </c>
      <c r="E2907" s="17" t="s">
        <v>479</v>
      </c>
      <c r="F2907" s="17" t="s">
        <v>32</v>
      </c>
    </row>
    <row r="2908" ht="21" customHeight="1" hidden="1" spans="1:6" x14ac:dyDescent="0.25" outlineLevel="1" collapsed="1">
      <c r="A2908" s="32" t="s">
        <v>32</v>
      </c>
      <c r="B2908" s="12" t="s">
        <v>32</v>
      </c>
      <c r="C2908" s="32" t="s">
        <v>32</v>
      </c>
      <c r="D2908" s="31" t="s">
        <v>32</v>
      </c>
      <c r="E2908" s="33" t="s">
        <v>632</v>
      </c>
      <c r="F2908" s="12" t="s">
        <v>32</v>
      </c>
    </row>
    <row r="2909" ht="51" customHeight="1" hidden="1" spans="1:6" x14ac:dyDescent="0.25" outlineLevel="1" collapsed="1">
      <c r="A2909" s="27">
        <v>4230</v>
      </c>
      <c r="B2909" s="28" t="s">
        <v>544</v>
      </c>
      <c r="C2909" s="27" t="s">
        <v>472</v>
      </c>
      <c r="D2909" s="29" t="s">
        <v>32</v>
      </c>
      <c r="E2909" s="28" t="s">
        <v>576</v>
      </c>
      <c r="F2909" s="28" t="s">
        <v>482</v>
      </c>
    </row>
    <row r="2910" ht="21" customHeight="1" hidden="1" spans="1:6" x14ac:dyDescent="0.25" outlineLevel="1" collapsed="1">
      <c r="A2910" s="30" t="s">
        <v>32</v>
      </c>
      <c r="B2910" s="17" t="s">
        <v>32</v>
      </c>
      <c r="C2910" s="30" t="s">
        <v>32</v>
      </c>
      <c r="D2910" s="31" t="s">
        <v>32</v>
      </c>
      <c r="E2910" s="17" t="s">
        <v>577</v>
      </c>
      <c r="F2910" s="17" t="s">
        <v>32</v>
      </c>
    </row>
    <row r="2911" ht="36" customHeight="1" hidden="1" spans="1:6" x14ac:dyDescent="0.25" outlineLevel="1" collapsed="1">
      <c r="A2911" s="32" t="s">
        <v>32</v>
      </c>
      <c r="B2911" s="12" t="s">
        <v>32</v>
      </c>
      <c r="C2911" s="32" t="s">
        <v>32</v>
      </c>
      <c r="D2911" s="31" t="s">
        <v>32</v>
      </c>
      <c r="E2911" s="12" t="s">
        <v>578</v>
      </c>
      <c r="F2911" s="12" t="s">
        <v>32</v>
      </c>
    </row>
    <row r="2912" ht="36" customHeight="1" hidden="1" spans="1:6" x14ac:dyDescent="0.25" outlineLevel="1" collapsed="1">
      <c r="A2912" s="30" t="s">
        <v>32</v>
      </c>
      <c r="B2912" s="17" t="s">
        <v>32</v>
      </c>
      <c r="C2912" s="30" t="s">
        <v>32</v>
      </c>
      <c r="D2912" s="31" t="s">
        <v>32</v>
      </c>
      <c r="E2912" s="17" t="s">
        <v>579</v>
      </c>
      <c r="F2912" s="17" t="s">
        <v>32</v>
      </c>
    </row>
    <row r="2913" ht="21" customHeight="1" hidden="1" spans="1:6" x14ac:dyDescent="0.25" outlineLevel="1" collapsed="1">
      <c r="A2913" s="32" t="s">
        <v>32</v>
      </c>
      <c r="B2913" s="12" t="s">
        <v>32</v>
      </c>
      <c r="C2913" s="32" t="s">
        <v>32</v>
      </c>
      <c r="D2913" s="31" t="s">
        <v>32</v>
      </c>
      <c r="E2913" s="12" t="s">
        <v>580</v>
      </c>
      <c r="F2913" s="12" t="s">
        <v>32</v>
      </c>
    </row>
    <row r="2914" ht="21" customHeight="1" hidden="1" spans="1:6" x14ac:dyDescent="0.25" outlineLevel="1" collapsed="1">
      <c r="A2914" s="30" t="s">
        <v>32</v>
      </c>
      <c r="B2914" s="17" t="s">
        <v>32</v>
      </c>
      <c r="C2914" s="30" t="s">
        <v>32</v>
      </c>
      <c r="D2914" s="31" t="s">
        <v>32</v>
      </c>
      <c r="E2914" s="17" t="s">
        <v>551</v>
      </c>
      <c r="F2914" s="17" t="s">
        <v>32</v>
      </c>
    </row>
    <row r="2915" ht="21" customHeight="1" hidden="1" spans="1:6" x14ac:dyDescent="0.25" outlineLevel="1" collapsed="1">
      <c r="A2915" s="32" t="s">
        <v>32</v>
      </c>
      <c r="B2915" s="12" t="s">
        <v>32</v>
      </c>
      <c r="C2915" s="32" t="s">
        <v>32</v>
      </c>
      <c r="D2915" s="31" t="s">
        <v>32</v>
      </c>
      <c r="E2915" s="12" t="s">
        <v>581</v>
      </c>
      <c r="F2915" s="12" t="s">
        <v>32</v>
      </c>
    </row>
    <row r="2916" ht="21" customHeight="1" hidden="1" spans="1:6" x14ac:dyDescent="0.25" outlineLevel="1" collapsed="1">
      <c r="A2916" s="30" t="s">
        <v>32</v>
      </c>
      <c r="B2916" s="17" t="s">
        <v>32</v>
      </c>
      <c r="C2916" s="30" t="s">
        <v>32</v>
      </c>
      <c r="D2916" s="31" t="s">
        <v>32</v>
      </c>
      <c r="E2916" s="17" t="s">
        <v>582</v>
      </c>
      <c r="F2916" s="17" t="s">
        <v>32</v>
      </c>
    </row>
    <row r="2917" ht="21" customHeight="1" hidden="1" spans="1:6" x14ac:dyDescent="0.25" outlineLevel="1" collapsed="1">
      <c r="A2917" s="32" t="s">
        <v>32</v>
      </c>
      <c r="B2917" s="12" t="s">
        <v>32</v>
      </c>
      <c r="C2917" s="32" t="s">
        <v>32</v>
      </c>
      <c r="D2917" s="31" t="s">
        <v>32</v>
      </c>
      <c r="E2917" s="12" t="s">
        <v>583</v>
      </c>
      <c r="F2917" s="12" t="s">
        <v>32</v>
      </c>
    </row>
    <row r="2918" ht="21" customHeight="1" hidden="1" spans="1:6" x14ac:dyDescent="0.25" outlineLevel="1" collapsed="1">
      <c r="A2918" s="30" t="s">
        <v>32</v>
      </c>
      <c r="B2918" s="17" t="s">
        <v>32</v>
      </c>
      <c r="C2918" s="30" t="s">
        <v>32</v>
      </c>
      <c r="D2918" s="31" t="s">
        <v>32</v>
      </c>
      <c r="E2918" s="17" t="s">
        <v>555</v>
      </c>
      <c r="F2918" s="17" t="s">
        <v>32</v>
      </c>
    </row>
    <row r="2919" ht="21" customHeight="1" hidden="1" spans="1:6" x14ac:dyDescent="0.25" outlineLevel="1" collapsed="1">
      <c r="A2919" s="32" t="s">
        <v>32</v>
      </c>
      <c r="B2919" s="12" t="s">
        <v>32</v>
      </c>
      <c r="C2919" s="32" t="s">
        <v>32</v>
      </c>
      <c r="D2919" s="31" t="s">
        <v>32</v>
      </c>
      <c r="E2919" s="12" t="s">
        <v>584</v>
      </c>
      <c r="F2919" s="12" t="s">
        <v>32</v>
      </c>
    </row>
    <row r="2920" ht="21" customHeight="1" hidden="1" spans="1:6" x14ac:dyDescent="0.25" outlineLevel="1" collapsed="1">
      <c r="A2920" s="30" t="s">
        <v>32</v>
      </c>
      <c r="B2920" s="17" t="s">
        <v>32</v>
      </c>
      <c r="C2920" s="30" t="s">
        <v>32</v>
      </c>
      <c r="D2920" s="31" t="s">
        <v>32</v>
      </c>
      <c r="E2920" s="17" t="s">
        <v>493</v>
      </c>
      <c r="F2920" s="17" t="s">
        <v>32</v>
      </c>
    </row>
    <row r="2921" ht="21" customHeight="1" hidden="1" spans="1:6" x14ac:dyDescent="0.25" outlineLevel="1" collapsed="1">
      <c r="A2921" s="32" t="s">
        <v>32</v>
      </c>
      <c r="B2921" s="12" t="s">
        <v>32</v>
      </c>
      <c r="C2921" s="32" t="s">
        <v>32</v>
      </c>
      <c r="D2921" s="31" t="s">
        <v>32</v>
      </c>
      <c r="E2921" s="33" t="s">
        <v>633</v>
      </c>
      <c r="F2921" s="12" t="s">
        <v>32</v>
      </c>
    </row>
    <row r="2922" ht="22" customHeight="1" hidden="1" spans="1:6" x14ac:dyDescent="0.25" outlineLevel="1" collapsed="1">
      <c r="A2922" s="34" t="s">
        <v>495</v>
      </c>
      <c r="B2922" s="34"/>
      <c r="C2922" s="34"/>
      <c r="D2922" s="34"/>
      <c r="E2922" s="34"/>
      <c r="F2922" s="34"/>
    </row>
    <row r="2923" ht="24" customHeight="1" hidden="1" spans="1:6" x14ac:dyDescent="0.25" outlineLevel="1" collapsed="1">
      <c r="A2923" s="12" t="s">
        <v>634</v>
      </c>
      <c r="B2923" s="12"/>
      <c r="C2923" s="12"/>
      <c r="D2923" s="12"/>
      <c r="E2923" s="12"/>
      <c r="F2923" s="12"/>
    </row>
    <row r="2924" ht="40" customHeight="1" hidden="1" spans="1:6" x14ac:dyDescent="0.25" outlineLevel="1" collapsed="1">
      <c r="A2924" s="12" t="s">
        <v>635</v>
      </c>
      <c r="B2924" s="12"/>
      <c r="C2924" s="12"/>
      <c r="D2924" s="12"/>
      <c r="E2924" s="12"/>
      <c r="F2924" s="12"/>
    </row>
    <row r="2925" ht="56" customHeight="1" hidden="1" spans="1:6" x14ac:dyDescent="0.25" outlineLevel="1" collapsed="1">
      <c r="A2925" s="12" t="s">
        <v>653</v>
      </c>
      <c r="B2925" s="12"/>
      <c r="C2925" s="12"/>
      <c r="D2925" s="12"/>
      <c r="E2925" s="12"/>
      <c r="F2925" s="12"/>
    </row>
    <row r="2926" ht="24" customHeight="1" hidden="1" spans="1:6" x14ac:dyDescent="0.25" outlineLevel="1" collapsed="1">
      <c r="A2926" s="12" t="s">
        <v>499</v>
      </c>
      <c r="B2926" s="12"/>
      <c r="C2926" s="12"/>
      <c r="D2926" s="12"/>
      <c r="E2926" s="12"/>
      <c r="F2926" s="12"/>
    </row>
    <row r="2927" ht="6" customHeight="1" hidden="1" x14ac:dyDescent="0.25" outlineLevel="1" collapsed="1"/>
    <row r="2928" ht="22" customHeight="1" spans="1:6" x14ac:dyDescent="0.25">
      <c r="A2928" s="25" t="s">
        <v>589</v>
      </c>
      <c r="B2928" s="25"/>
      <c r="C2928" s="25"/>
      <c r="D2928" s="25"/>
      <c r="E2928" s="25"/>
      <c r="F2928" s="25"/>
    </row>
    <row r="2929" ht="20" customHeight="1" hidden="1" spans="1:6" x14ac:dyDescent="0.25" outlineLevel="1" collapsed="1">
      <c r="A2929" s="26" t="s">
        <v>460</v>
      </c>
      <c r="B2929" s="26" t="s">
        <v>461</v>
      </c>
      <c r="C2929" s="26" t="s">
        <v>462</v>
      </c>
      <c r="D2929" s="26" t="s">
        <v>32</v>
      </c>
      <c r="E2929" s="26" t="s">
        <v>463</v>
      </c>
      <c r="F2929" s="26" t="s">
        <v>464</v>
      </c>
    </row>
    <row r="2930" ht="51" customHeight="1" hidden="1" spans="1:6" x14ac:dyDescent="0.25" outlineLevel="1" collapsed="1">
      <c r="A2930" s="27">
        <v>4220</v>
      </c>
      <c r="B2930" s="28" t="s">
        <v>543</v>
      </c>
      <c r="C2930" s="27" t="s">
        <v>466</v>
      </c>
      <c r="D2930" s="29" t="s">
        <v>32</v>
      </c>
      <c r="E2930" s="28" t="s">
        <v>467</v>
      </c>
      <c r="F2930" s="28" t="s">
        <v>468</v>
      </c>
    </row>
    <row r="2931" ht="36" customHeight="1" hidden="1" spans="1:6" x14ac:dyDescent="0.25" outlineLevel="1" collapsed="1">
      <c r="A2931" s="30" t="s">
        <v>32</v>
      </c>
      <c r="B2931" s="17" t="s">
        <v>32</v>
      </c>
      <c r="C2931" s="30" t="s">
        <v>32</v>
      </c>
      <c r="D2931" s="31" t="s">
        <v>32</v>
      </c>
      <c r="E2931" s="17" t="s">
        <v>469</v>
      </c>
      <c r="F2931" s="17" t="s">
        <v>32</v>
      </c>
    </row>
    <row r="2932" ht="21" customHeight="1" hidden="1" spans="1:6" x14ac:dyDescent="0.25" outlineLevel="1" collapsed="1">
      <c r="A2932" s="32" t="s">
        <v>32</v>
      </c>
      <c r="B2932" s="12" t="s">
        <v>32</v>
      </c>
      <c r="C2932" s="32" t="s">
        <v>32</v>
      </c>
      <c r="D2932" s="31" t="s">
        <v>32</v>
      </c>
      <c r="E2932" s="33" t="s">
        <v>632</v>
      </c>
      <c r="F2932" s="12" t="s">
        <v>32</v>
      </c>
    </row>
    <row r="2933" ht="51" customHeight="1" hidden="1" spans="1:6" x14ac:dyDescent="0.25" outlineLevel="1" collapsed="1">
      <c r="A2933" s="27">
        <v>4240</v>
      </c>
      <c r="B2933" s="28" t="s">
        <v>471</v>
      </c>
      <c r="C2933" s="27" t="s">
        <v>472</v>
      </c>
      <c r="D2933" s="29" t="s">
        <v>32</v>
      </c>
      <c r="E2933" s="28" t="s">
        <v>473</v>
      </c>
      <c r="F2933" s="28" t="s">
        <v>474</v>
      </c>
    </row>
    <row r="2934" ht="21" customHeight="1" hidden="1" spans="1:6" x14ac:dyDescent="0.25" outlineLevel="1" collapsed="1">
      <c r="A2934" s="30" t="s">
        <v>32</v>
      </c>
      <c r="B2934" s="17" t="s">
        <v>32</v>
      </c>
      <c r="C2934" s="30" t="s">
        <v>32</v>
      </c>
      <c r="D2934" s="31" t="s">
        <v>32</v>
      </c>
      <c r="E2934" s="17" t="s">
        <v>475</v>
      </c>
      <c r="F2934" s="17" t="s">
        <v>32</v>
      </c>
    </row>
    <row r="2935" ht="36" customHeight="1" hidden="1" spans="1:6" x14ac:dyDescent="0.25" outlineLevel="1" collapsed="1">
      <c r="A2935" s="32" t="s">
        <v>32</v>
      </c>
      <c r="B2935" s="12" t="s">
        <v>32</v>
      </c>
      <c r="C2935" s="32" t="s">
        <v>32</v>
      </c>
      <c r="D2935" s="31" t="s">
        <v>32</v>
      </c>
      <c r="E2935" s="12" t="s">
        <v>476</v>
      </c>
      <c r="F2935" s="12" t="s">
        <v>32</v>
      </c>
    </row>
    <row r="2936" ht="36" customHeight="1" hidden="1" spans="1:6" x14ac:dyDescent="0.25" outlineLevel="1" collapsed="1">
      <c r="A2936" s="30" t="s">
        <v>32</v>
      </c>
      <c r="B2936" s="17" t="s">
        <v>32</v>
      </c>
      <c r="C2936" s="30" t="s">
        <v>32</v>
      </c>
      <c r="D2936" s="31" t="s">
        <v>32</v>
      </c>
      <c r="E2936" s="17" t="s">
        <v>477</v>
      </c>
      <c r="F2936" s="17" t="s">
        <v>32</v>
      </c>
    </row>
    <row r="2937" ht="36" customHeight="1" hidden="1" spans="1:6" x14ac:dyDescent="0.25" outlineLevel="1" collapsed="1">
      <c r="A2937" s="32" t="s">
        <v>32</v>
      </c>
      <c r="B2937" s="12" t="s">
        <v>32</v>
      </c>
      <c r="C2937" s="32" t="s">
        <v>32</v>
      </c>
      <c r="D2937" s="31" t="s">
        <v>32</v>
      </c>
      <c r="E2937" s="12" t="s">
        <v>478</v>
      </c>
      <c r="F2937" s="12" t="s">
        <v>32</v>
      </c>
    </row>
    <row r="2938" ht="21" customHeight="1" hidden="1" spans="1:6" x14ac:dyDescent="0.25" outlineLevel="1" collapsed="1">
      <c r="A2938" s="30" t="s">
        <v>32</v>
      </c>
      <c r="B2938" s="17" t="s">
        <v>32</v>
      </c>
      <c r="C2938" s="30" t="s">
        <v>32</v>
      </c>
      <c r="D2938" s="31" t="s">
        <v>32</v>
      </c>
      <c r="E2938" s="17" t="s">
        <v>479</v>
      </c>
      <c r="F2938" s="17" t="s">
        <v>32</v>
      </c>
    </row>
    <row r="2939" ht="21" customHeight="1" hidden="1" spans="1:6" x14ac:dyDescent="0.25" outlineLevel="1" collapsed="1">
      <c r="A2939" s="32" t="s">
        <v>32</v>
      </c>
      <c r="B2939" s="12" t="s">
        <v>32</v>
      </c>
      <c r="C2939" s="32" t="s">
        <v>32</v>
      </c>
      <c r="D2939" s="31" t="s">
        <v>32</v>
      </c>
      <c r="E2939" s="33" t="s">
        <v>632</v>
      </c>
      <c r="F2939" s="12" t="s">
        <v>32</v>
      </c>
    </row>
    <row r="2940" ht="51" customHeight="1" hidden="1" spans="1:6" x14ac:dyDescent="0.25" outlineLevel="1" collapsed="1">
      <c r="A2940" s="27">
        <v>4230</v>
      </c>
      <c r="B2940" s="28" t="s">
        <v>544</v>
      </c>
      <c r="C2940" s="27" t="s">
        <v>472</v>
      </c>
      <c r="D2940" s="29" t="s">
        <v>32</v>
      </c>
      <c r="E2940" s="28" t="s">
        <v>481</v>
      </c>
      <c r="F2940" s="28" t="s">
        <v>482</v>
      </c>
    </row>
    <row r="2941" ht="21" customHeight="1" hidden="1" spans="1:6" x14ac:dyDescent="0.25" outlineLevel="1" collapsed="1">
      <c r="A2941" s="30" t="s">
        <v>32</v>
      </c>
      <c r="B2941" s="17" t="s">
        <v>32</v>
      </c>
      <c r="C2941" s="30" t="s">
        <v>32</v>
      </c>
      <c r="D2941" s="31" t="s">
        <v>32</v>
      </c>
      <c r="E2941" s="17" t="s">
        <v>483</v>
      </c>
      <c r="F2941" s="17" t="s">
        <v>32</v>
      </c>
    </row>
    <row r="2942" ht="36" customHeight="1" hidden="1" spans="1:6" x14ac:dyDescent="0.25" outlineLevel="1" collapsed="1">
      <c r="A2942" s="32" t="s">
        <v>32</v>
      </c>
      <c r="B2942" s="12" t="s">
        <v>32</v>
      </c>
      <c r="C2942" s="32" t="s">
        <v>32</v>
      </c>
      <c r="D2942" s="31" t="s">
        <v>32</v>
      </c>
      <c r="E2942" s="12" t="s">
        <v>484</v>
      </c>
      <c r="F2942" s="12" t="s">
        <v>32</v>
      </c>
    </row>
    <row r="2943" ht="36" customHeight="1" hidden="1" spans="1:6" x14ac:dyDescent="0.25" outlineLevel="1" collapsed="1">
      <c r="A2943" s="30" t="s">
        <v>32</v>
      </c>
      <c r="B2943" s="17" t="s">
        <v>32</v>
      </c>
      <c r="C2943" s="30" t="s">
        <v>32</v>
      </c>
      <c r="D2943" s="31" t="s">
        <v>32</v>
      </c>
      <c r="E2943" s="17" t="s">
        <v>485</v>
      </c>
      <c r="F2943" s="17" t="s">
        <v>32</v>
      </c>
    </row>
    <row r="2944" ht="21" customHeight="1" hidden="1" spans="1:6" x14ac:dyDescent="0.25" outlineLevel="1" collapsed="1">
      <c r="A2944" s="32" t="s">
        <v>32</v>
      </c>
      <c r="B2944" s="12" t="s">
        <v>32</v>
      </c>
      <c r="C2944" s="32" t="s">
        <v>32</v>
      </c>
      <c r="D2944" s="31" t="s">
        <v>32</v>
      </c>
      <c r="E2944" s="12" t="s">
        <v>486</v>
      </c>
      <c r="F2944" s="12" t="s">
        <v>32</v>
      </c>
    </row>
    <row r="2945" ht="21" customHeight="1" hidden="1" spans="1:6" x14ac:dyDescent="0.25" outlineLevel="1" collapsed="1">
      <c r="A2945" s="30" t="s">
        <v>32</v>
      </c>
      <c r="B2945" s="17" t="s">
        <v>32</v>
      </c>
      <c r="C2945" s="30" t="s">
        <v>32</v>
      </c>
      <c r="D2945" s="31" t="s">
        <v>32</v>
      </c>
      <c r="E2945" s="17" t="s">
        <v>487</v>
      </c>
      <c r="F2945" s="17" t="s">
        <v>32</v>
      </c>
    </row>
    <row r="2946" ht="21" customHeight="1" hidden="1" spans="1:6" x14ac:dyDescent="0.25" outlineLevel="1" collapsed="1">
      <c r="A2946" s="32" t="s">
        <v>32</v>
      </c>
      <c r="B2946" s="12" t="s">
        <v>32</v>
      </c>
      <c r="C2946" s="32" t="s">
        <v>32</v>
      </c>
      <c r="D2946" s="31" t="s">
        <v>32</v>
      </c>
      <c r="E2946" s="12" t="s">
        <v>488</v>
      </c>
      <c r="F2946" s="12" t="s">
        <v>32</v>
      </c>
    </row>
    <row r="2947" ht="21" customHeight="1" hidden="1" spans="1:6" x14ac:dyDescent="0.25" outlineLevel="1" collapsed="1">
      <c r="A2947" s="30" t="s">
        <v>32</v>
      </c>
      <c r="B2947" s="17" t="s">
        <v>32</v>
      </c>
      <c r="C2947" s="30" t="s">
        <v>32</v>
      </c>
      <c r="D2947" s="31" t="s">
        <v>32</v>
      </c>
      <c r="E2947" s="17" t="s">
        <v>489</v>
      </c>
      <c r="F2947" s="17" t="s">
        <v>32</v>
      </c>
    </row>
    <row r="2948" ht="21" customHeight="1" hidden="1" spans="1:6" x14ac:dyDescent="0.25" outlineLevel="1" collapsed="1">
      <c r="A2948" s="32" t="s">
        <v>32</v>
      </c>
      <c r="B2948" s="12" t="s">
        <v>32</v>
      </c>
      <c r="C2948" s="32" t="s">
        <v>32</v>
      </c>
      <c r="D2948" s="31" t="s">
        <v>32</v>
      </c>
      <c r="E2948" s="12" t="s">
        <v>490</v>
      </c>
      <c r="F2948" s="12" t="s">
        <v>32</v>
      </c>
    </row>
    <row r="2949" ht="21" customHeight="1" hidden="1" spans="1:6" x14ac:dyDescent="0.25" outlineLevel="1" collapsed="1">
      <c r="A2949" s="30" t="s">
        <v>32</v>
      </c>
      <c r="B2949" s="17" t="s">
        <v>32</v>
      </c>
      <c r="C2949" s="30" t="s">
        <v>32</v>
      </c>
      <c r="D2949" s="31" t="s">
        <v>32</v>
      </c>
      <c r="E2949" s="17" t="s">
        <v>491</v>
      </c>
      <c r="F2949" s="17" t="s">
        <v>32</v>
      </c>
    </row>
    <row r="2950" ht="21" customHeight="1" hidden="1" spans="1:6" x14ac:dyDescent="0.25" outlineLevel="1" collapsed="1">
      <c r="A2950" s="32" t="s">
        <v>32</v>
      </c>
      <c r="B2950" s="12" t="s">
        <v>32</v>
      </c>
      <c r="C2950" s="32" t="s">
        <v>32</v>
      </c>
      <c r="D2950" s="31" t="s">
        <v>32</v>
      </c>
      <c r="E2950" s="12" t="s">
        <v>492</v>
      </c>
      <c r="F2950" s="12" t="s">
        <v>32</v>
      </c>
    </row>
    <row r="2951" ht="21" customHeight="1" hidden="1" spans="1:6" x14ac:dyDescent="0.25" outlineLevel="1" collapsed="1">
      <c r="A2951" s="30" t="s">
        <v>32</v>
      </c>
      <c r="B2951" s="17" t="s">
        <v>32</v>
      </c>
      <c r="C2951" s="30" t="s">
        <v>32</v>
      </c>
      <c r="D2951" s="31" t="s">
        <v>32</v>
      </c>
      <c r="E2951" s="17" t="s">
        <v>493</v>
      </c>
      <c r="F2951" s="17" t="s">
        <v>32</v>
      </c>
    </row>
    <row r="2952" ht="21" customHeight="1" hidden="1" spans="1:6" x14ac:dyDescent="0.25" outlineLevel="1" collapsed="1">
      <c r="A2952" s="32" t="s">
        <v>32</v>
      </c>
      <c r="B2952" s="12" t="s">
        <v>32</v>
      </c>
      <c r="C2952" s="32" t="s">
        <v>32</v>
      </c>
      <c r="D2952" s="31" t="s">
        <v>32</v>
      </c>
      <c r="E2952" s="33" t="s">
        <v>633</v>
      </c>
      <c r="F2952" s="12" t="s">
        <v>32</v>
      </c>
    </row>
    <row r="2953" ht="22" customHeight="1" hidden="1" spans="1:6" x14ac:dyDescent="0.25" outlineLevel="1" collapsed="1">
      <c r="A2953" s="34" t="s">
        <v>495</v>
      </c>
      <c r="B2953" s="34"/>
      <c r="C2953" s="34"/>
      <c r="D2953" s="34"/>
      <c r="E2953" s="34"/>
      <c r="F2953" s="34"/>
    </row>
    <row r="2954" ht="24" customHeight="1" hidden="1" spans="1:6" x14ac:dyDescent="0.25" outlineLevel="1" collapsed="1">
      <c r="A2954" s="12" t="s">
        <v>634</v>
      </c>
      <c r="B2954" s="12"/>
      <c r="C2954" s="12"/>
      <c r="D2954" s="12"/>
      <c r="E2954" s="12"/>
      <c r="F2954" s="12"/>
    </row>
    <row r="2955" ht="40" customHeight="1" hidden="1" spans="1:6" x14ac:dyDescent="0.25" outlineLevel="1" collapsed="1">
      <c r="A2955" s="12" t="s">
        <v>635</v>
      </c>
      <c r="B2955" s="12"/>
      <c r="C2955" s="12"/>
      <c r="D2955" s="12"/>
      <c r="E2955" s="12"/>
      <c r="F2955" s="12"/>
    </row>
    <row r="2956" ht="56" customHeight="1" hidden="1" spans="1:6" x14ac:dyDescent="0.25" outlineLevel="1" collapsed="1">
      <c r="A2956" s="12" t="s">
        <v>636</v>
      </c>
      <c r="B2956" s="12"/>
      <c r="C2956" s="12"/>
      <c r="D2956" s="12"/>
      <c r="E2956" s="12"/>
      <c r="F2956" s="12"/>
    </row>
    <row r="2957" ht="24" customHeight="1" hidden="1" spans="1:6" x14ac:dyDescent="0.25" outlineLevel="1" collapsed="1">
      <c r="A2957" s="12" t="s">
        <v>499</v>
      </c>
      <c r="B2957" s="12"/>
      <c r="C2957" s="12"/>
      <c r="D2957" s="12"/>
      <c r="E2957" s="12"/>
      <c r="F2957" s="12"/>
    </row>
    <row r="2958" ht="6" customHeight="1" hidden="1" x14ac:dyDescent="0.25" outlineLevel="1" collapsed="1"/>
    <row r="2959" ht="22" customHeight="1" spans="1:6" x14ac:dyDescent="0.25">
      <c r="A2959" s="25" t="s">
        <v>590</v>
      </c>
      <c r="B2959" s="25"/>
      <c r="C2959" s="25"/>
      <c r="D2959" s="25"/>
      <c r="E2959" s="25"/>
      <c r="F2959" s="25"/>
    </row>
    <row r="2960" ht="20" customHeight="1" hidden="1" spans="1:6" x14ac:dyDescent="0.25" outlineLevel="1" collapsed="1">
      <c r="A2960" s="26" t="s">
        <v>460</v>
      </c>
      <c r="B2960" s="26" t="s">
        <v>461</v>
      </c>
      <c r="C2960" s="26" t="s">
        <v>462</v>
      </c>
      <c r="D2960" s="26" t="s">
        <v>32</v>
      </c>
      <c r="E2960" s="26" t="s">
        <v>463</v>
      </c>
      <c r="F2960" s="26" t="s">
        <v>464</v>
      </c>
    </row>
    <row r="2961" ht="51" customHeight="1" hidden="1" spans="1:6" x14ac:dyDescent="0.25" outlineLevel="1" collapsed="1">
      <c r="A2961" s="27">
        <v>4220</v>
      </c>
      <c r="B2961" s="28" t="s">
        <v>543</v>
      </c>
      <c r="C2961" s="27" t="s">
        <v>466</v>
      </c>
      <c r="D2961" s="29" t="s">
        <v>32</v>
      </c>
      <c r="E2961" s="28" t="s">
        <v>467</v>
      </c>
      <c r="F2961" s="28" t="s">
        <v>468</v>
      </c>
    </row>
    <row r="2962" ht="36" customHeight="1" hidden="1" spans="1:6" x14ac:dyDescent="0.25" outlineLevel="1" collapsed="1">
      <c r="A2962" s="30" t="s">
        <v>32</v>
      </c>
      <c r="B2962" s="17" t="s">
        <v>32</v>
      </c>
      <c r="C2962" s="30" t="s">
        <v>32</v>
      </c>
      <c r="D2962" s="31" t="s">
        <v>32</v>
      </c>
      <c r="E2962" s="17" t="s">
        <v>469</v>
      </c>
      <c r="F2962" s="17" t="s">
        <v>32</v>
      </c>
    </row>
    <row r="2963" ht="21" customHeight="1" hidden="1" spans="1:6" x14ac:dyDescent="0.25" outlineLevel="1" collapsed="1">
      <c r="A2963" s="32" t="s">
        <v>32</v>
      </c>
      <c r="B2963" s="12" t="s">
        <v>32</v>
      </c>
      <c r="C2963" s="32" t="s">
        <v>32</v>
      </c>
      <c r="D2963" s="31" t="s">
        <v>32</v>
      </c>
      <c r="E2963" s="33" t="s">
        <v>632</v>
      </c>
      <c r="F2963" s="12" t="s">
        <v>32</v>
      </c>
    </row>
    <row r="2964" ht="51" customHeight="1" hidden="1" spans="1:6" x14ac:dyDescent="0.25" outlineLevel="1" collapsed="1">
      <c r="A2964" s="27">
        <v>4240</v>
      </c>
      <c r="B2964" s="28" t="s">
        <v>471</v>
      </c>
      <c r="C2964" s="27" t="s">
        <v>472</v>
      </c>
      <c r="D2964" s="29" t="s">
        <v>32</v>
      </c>
      <c r="E2964" s="28" t="s">
        <v>473</v>
      </c>
      <c r="F2964" s="28" t="s">
        <v>474</v>
      </c>
    </row>
    <row r="2965" ht="21" customHeight="1" hidden="1" spans="1:6" x14ac:dyDescent="0.25" outlineLevel="1" collapsed="1">
      <c r="A2965" s="30" t="s">
        <v>32</v>
      </c>
      <c r="B2965" s="17" t="s">
        <v>32</v>
      </c>
      <c r="C2965" s="30" t="s">
        <v>32</v>
      </c>
      <c r="D2965" s="31" t="s">
        <v>32</v>
      </c>
      <c r="E2965" s="17" t="s">
        <v>475</v>
      </c>
      <c r="F2965" s="17" t="s">
        <v>32</v>
      </c>
    </row>
    <row r="2966" ht="36" customHeight="1" hidden="1" spans="1:6" x14ac:dyDescent="0.25" outlineLevel="1" collapsed="1">
      <c r="A2966" s="32" t="s">
        <v>32</v>
      </c>
      <c r="B2966" s="12" t="s">
        <v>32</v>
      </c>
      <c r="C2966" s="32" t="s">
        <v>32</v>
      </c>
      <c r="D2966" s="31" t="s">
        <v>32</v>
      </c>
      <c r="E2966" s="12" t="s">
        <v>476</v>
      </c>
      <c r="F2966" s="12" t="s">
        <v>32</v>
      </c>
    </row>
    <row r="2967" ht="36" customHeight="1" hidden="1" spans="1:6" x14ac:dyDescent="0.25" outlineLevel="1" collapsed="1">
      <c r="A2967" s="30" t="s">
        <v>32</v>
      </c>
      <c r="B2967" s="17" t="s">
        <v>32</v>
      </c>
      <c r="C2967" s="30" t="s">
        <v>32</v>
      </c>
      <c r="D2967" s="31" t="s">
        <v>32</v>
      </c>
      <c r="E2967" s="17" t="s">
        <v>477</v>
      </c>
      <c r="F2967" s="17" t="s">
        <v>32</v>
      </c>
    </row>
    <row r="2968" ht="36" customHeight="1" hidden="1" spans="1:6" x14ac:dyDescent="0.25" outlineLevel="1" collapsed="1">
      <c r="A2968" s="32" t="s">
        <v>32</v>
      </c>
      <c r="B2968" s="12" t="s">
        <v>32</v>
      </c>
      <c r="C2968" s="32" t="s">
        <v>32</v>
      </c>
      <c r="D2968" s="31" t="s">
        <v>32</v>
      </c>
      <c r="E2968" s="12" t="s">
        <v>478</v>
      </c>
      <c r="F2968" s="12" t="s">
        <v>32</v>
      </c>
    </row>
    <row r="2969" ht="21" customHeight="1" hidden="1" spans="1:6" x14ac:dyDescent="0.25" outlineLevel="1" collapsed="1">
      <c r="A2969" s="30" t="s">
        <v>32</v>
      </c>
      <c r="B2969" s="17" t="s">
        <v>32</v>
      </c>
      <c r="C2969" s="30" t="s">
        <v>32</v>
      </c>
      <c r="D2969" s="31" t="s">
        <v>32</v>
      </c>
      <c r="E2969" s="17" t="s">
        <v>479</v>
      </c>
      <c r="F2969" s="17" t="s">
        <v>32</v>
      </c>
    </row>
    <row r="2970" ht="21" customHeight="1" hidden="1" spans="1:6" x14ac:dyDescent="0.25" outlineLevel="1" collapsed="1">
      <c r="A2970" s="32" t="s">
        <v>32</v>
      </c>
      <c r="B2970" s="12" t="s">
        <v>32</v>
      </c>
      <c r="C2970" s="32" t="s">
        <v>32</v>
      </c>
      <c r="D2970" s="31" t="s">
        <v>32</v>
      </c>
      <c r="E2970" s="33" t="s">
        <v>632</v>
      </c>
      <c r="F2970" s="12" t="s">
        <v>32</v>
      </c>
    </row>
    <row r="2971" ht="51" customHeight="1" hidden="1" spans="1:6" x14ac:dyDescent="0.25" outlineLevel="1" collapsed="1">
      <c r="A2971" s="27">
        <v>4230</v>
      </c>
      <c r="B2971" s="28" t="s">
        <v>544</v>
      </c>
      <c r="C2971" s="27" t="s">
        <v>472</v>
      </c>
      <c r="D2971" s="29" t="s">
        <v>32</v>
      </c>
      <c r="E2971" s="28" t="s">
        <v>481</v>
      </c>
      <c r="F2971" s="28" t="s">
        <v>482</v>
      </c>
    </row>
    <row r="2972" ht="21" customHeight="1" hidden="1" spans="1:6" x14ac:dyDescent="0.25" outlineLevel="1" collapsed="1">
      <c r="A2972" s="30" t="s">
        <v>32</v>
      </c>
      <c r="B2972" s="17" t="s">
        <v>32</v>
      </c>
      <c r="C2972" s="30" t="s">
        <v>32</v>
      </c>
      <c r="D2972" s="31" t="s">
        <v>32</v>
      </c>
      <c r="E2972" s="17" t="s">
        <v>483</v>
      </c>
      <c r="F2972" s="17" t="s">
        <v>32</v>
      </c>
    </row>
    <row r="2973" ht="36" customHeight="1" hidden="1" spans="1:6" x14ac:dyDescent="0.25" outlineLevel="1" collapsed="1">
      <c r="A2973" s="32" t="s">
        <v>32</v>
      </c>
      <c r="B2973" s="12" t="s">
        <v>32</v>
      </c>
      <c r="C2973" s="32" t="s">
        <v>32</v>
      </c>
      <c r="D2973" s="31" t="s">
        <v>32</v>
      </c>
      <c r="E2973" s="12" t="s">
        <v>484</v>
      </c>
      <c r="F2973" s="12" t="s">
        <v>32</v>
      </c>
    </row>
    <row r="2974" ht="36" customHeight="1" hidden="1" spans="1:6" x14ac:dyDescent="0.25" outlineLevel="1" collapsed="1">
      <c r="A2974" s="30" t="s">
        <v>32</v>
      </c>
      <c r="B2974" s="17" t="s">
        <v>32</v>
      </c>
      <c r="C2974" s="30" t="s">
        <v>32</v>
      </c>
      <c r="D2974" s="31" t="s">
        <v>32</v>
      </c>
      <c r="E2974" s="17" t="s">
        <v>485</v>
      </c>
      <c r="F2974" s="17" t="s">
        <v>32</v>
      </c>
    </row>
    <row r="2975" ht="21" customHeight="1" hidden="1" spans="1:6" x14ac:dyDescent="0.25" outlineLevel="1" collapsed="1">
      <c r="A2975" s="32" t="s">
        <v>32</v>
      </c>
      <c r="B2975" s="12" t="s">
        <v>32</v>
      </c>
      <c r="C2975" s="32" t="s">
        <v>32</v>
      </c>
      <c r="D2975" s="31" t="s">
        <v>32</v>
      </c>
      <c r="E2975" s="12" t="s">
        <v>486</v>
      </c>
      <c r="F2975" s="12" t="s">
        <v>32</v>
      </c>
    </row>
    <row r="2976" ht="21" customHeight="1" hidden="1" spans="1:6" x14ac:dyDescent="0.25" outlineLevel="1" collapsed="1">
      <c r="A2976" s="30" t="s">
        <v>32</v>
      </c>
      <c r="B2976" s="17" t="s">
        <v>32</v>
      </c>
      <c r="C2976" s="30" t="s">
        <v>32</v>
      </c>
      <c r="D2976" s="31" t="s">
        <v>32</v>
      </c>
      <c r="E2976" s="17" t="s">
        <v>487</v>
      </c>
      <c r="F2976" s="17" t="s">
        <v>32</v>
      </c>
    </row>
    <row r="2977" ht="21" customHeight="1" hidden="1" spans="1:6" x14ac:dyDescent="0.25" outlineLevel="1" collapsed="1">
      <c r="A2977" s="32" t="s">
        <v>32</v>
      </c>
      <c r="B2977" s="12" t="s">
        <v>32</v>
      </c>
      <c r="C2977" s="32" t="s">
        <v>32</v>
      </c>
      <c r="D2977" s="31" t="s">
        <v>32</v>
      </c>
      <c r="E2977" s="12" t="s">
        <v>488</v>
      </c>
      <c r="F2977" s="12" t="s">
        <v>32</v>
      </c>
    </row>
    <row r="2978" ht="21" customHeight="1" hidden="1" spans="1:6" x14ac:dyDescent="0.25" outlineLevel="1" collapsed="1">
      <c r="A2978" s="30" t="s">
        <v>32</v>
      </c>
      <c r="B2978" s="17" t="s">
        <v>32</v>
      </c>
      <c r="C2978" s="30" t="s">
        <v>32</v>
      </c>
      <c r="D2978" s="31" t="s">
        <v>32</v>
      </c>
      <c r="E2978" s="17" t="s">
        <v>489</v>
      </c>
      <c r="F2978" s="17" t="s">
        <v>32</v>
      </c>
    </row>
    <row r="2979" ht="21" customHeight="1" hidden="1" spans="1:6" x14ac:dyDescent="0.25" outlineLevel="1" collapsed="1">
      <c r="A2979" s="32" t="s">
        <v>32</v>
      </c>
      <c r="B2979" s="12" t="s">
        <v>32</v>
      </c>
      <c r="C2979" s="32" t="s">
        <v>32</v>
      </c>
      <c r="D2979" s="31" t="s">
        <v>32</v>
      </c>
      <c r="E2979" s="12" t="s">
        <v>490</v>
      </c>
      <c r="F2979" s="12" t="s">
        <v>32</v>
      </c>
    </row>
    <row r="2980" ht="21" customHeight="1" hidden="1" spans="1:6" x14ac:dyDescent="0.25" outlineLevel="1" collapsed="1">
      <c r="A2980" s="30" t="s">
        <v>32</v>
      </c>
      <c r="B2980" s="17" t="s">
        <v>32</v>
      </c>
      <c r="C2980" s="30" t="s">
        <v>32</v>
      </c>
      <c r="D2980" s="31" t="s">
        <v>32</v>
      </c>
      <c r="E2980" s="17" t="s">
        <v>491</v>
      </c>
      <c r="F2980" s="17" t="s">
        <v>32</v>
      </c>
    </row>
    <row r="2981" ht="21" customHeight="1" hidden="1" spans="1:6" x14ac:dyDescent="0.25" outlineLevel="1" collapsed="1">
      <c r="A2981" s="32" t="s">
        <v>32</v>
      </c>
      <c r="B2981" s="12" t="s">
        <v>32</v>
      </c>
      <c r="C2981" s="32" t="s">
        <v>32</v>
      </c>
      <c r="D2981" s="31" t="s">
        <v>32</v>
      </c>
      <c r="E2981" s="12" t="s">
        <v>492</v>
      </c>
      <c r="F2981" s="12" t="s">
        <v>32</v>
      </c>
    </row>
    <row r="2982" ht="21" customHeight="1" hidden="1" spans="1:6" x14ac:dyDescent="0.25" outlineLevel="1" collapsed="1">
      <c r="A2982" s="30" t="s">
        <v>32</v>
      </c>
      <c r="B2982" s="17" t="s">
        <v>32</v>
      </c>
      <c r="C2982" s="30" t="s">
        <v>32</v>
      </c>
      <c r="D2982" s="31" t="s">
        <v>32</v>
      </c>
      <c r="E2982" s="17" t="s">
        <v>493</v>
      </c>
      <c r="F2982" s="17" t="s">
        <v>32</v>
      </c>
    </row>
    <row r="2983" ht="21" customHeight="1" hidden="1" spans="1:6" x14ac:dyDescent="0.25" outlineLevel="1" collapsed="1">
      <c r="A2983" s="32" t="s">
        <v>32</v>
      </c>
      <c r="B2983" s="12" t="s">
        <v>32</v>
      </c>
      <c r="C2983" s="32" t="s">
        <v>32</v>
      </c>
      <c r="D2983" s="31" t="s">
        <v>32</v>
      </c>
      <c r="E2983" s="33" t="s">
        <v>633</v>
      </c>
      <c r="F2983" s="12" t="s">
        <v>32</v>
      </c>
    </row>
    <row r="2984" ht="22" customHeight="1" hidden="1" spans="1:6" x14ac:dyDescent="0.25" outlineLevel="1" collapsed="1">
      <c r="A2984" s="34" t="s">
        <v>495</v>
      </c>
      <c r="B2984" s="34"/>
      <c r="C2984" s="34"/>
      <c r="D2984" s="34"/>
      <c r="E2984" s="34"/>
      <c r="F2984" s="34"/>
    </row>
    <row r="2985" ht="24" customHeight="1" hidden="1" spans="1:6" x14ac:dyDescent="0.25" outlineLevel="1" collapsed="1">
      <c r="A2985" s="12" t="s">
        <v>634</v>
      </c>
      <c r="B2985" s="12"/>
      <c r="C2985" s="12"/>
      <c r="D2985" s="12"/>
      <c r="E2985" s="12"/>
      <c r="F2985" s="12"/>
    </row>
    <row r="2986" ht="40" customHeight="1" hidden="1" spans="1:6" x14ac:dyDescent="0.25" outlineLevel="1" collapsed="1">
      <c r="A2986" s="12" t="s">
        <v>635</v>
      </c>
      <c r="B2986" s="12"/>
      <c r="C2986" s="12"/>
      <c r="D2986" s="12"/>
      <c r="E2986" s="12"/>
      <c r="F2986" s="12"/>
    </row>
    <row r="2987" ht="56" customHeight="1" hidden="1" spans="1:6" x14ac:dyDescent="0.25" outlineLevel="1" collapsed="1">
      <c r="A2987" s="12" t="s">
        <v>636</v>
      </c>
      <c r="B2987" s="12"/>
      <c r="C2987" s="12"/>
      <c r="D2987" s="12"/>
      <c r="E2987" s="12"/>
      <c r="F2987" s="12"/>
    </row>
    <row r="2988" ht="24" customHeight="1" hidden="1" spans="1:6" x14ac:dyDescent="0.25" outlineLevel="1" collapsed="1">
      <c r="A2988" s="12" t="s">
        <v>499</v>
      </c>
      <c r="B2988" s="12"/>
      <c r="C2988" s="12"/>
      <c r="D2988" s="12"/>
      <c r="E2988" s="12"/>
      <c r="F2988" s="12"/>
    </row>
    <row r="2989" ht="6" customHeight="1" hidden="1" x14ac:dyDescent="0.25" outlineLevel="1" collapsed="1"/>
    <row r="2990" ht="22" customHeight="1" spans="1:6" x14ac:dyDescent="0.25">
      <c r="A2990" s="25" t="s">
        <v>591</v>
      </c>
      <c r="B2990" s="25"/>
      <c r="C2990" s="25"/>
      <c r="D2990" s="25"/>
      <c r="E2990" s="25"/>
      <c r="F2990" s="25"/>
    </row>
    <row r="2991" ht="20" customHeight="1" hidden="1" spans="1:6" x14ac:dyDescent="0.25" outlineLevel="1" collapsed="1">
      <c r="A2991" s="26" t="s">
        <v>460</v>
      </c>
      <c r="B2991" s="26" t="s">
        <v>461</v>
      </c>
      <c r="C2991" s="26" t="s">
        <v>462</v>
      </c>
      <c r="D2991" s="26" t="s">
        <v>32</v>
      </c>
      <c r="E2991" s="26" t="s">
        <v>463</v>
      </c>
      <c r="F2991" s="26" t="s">
        <v>464</v>
      </c>
    </row>
    <row r="2992" ht="51" customHeight="1" hidden="1" spans="1:6" x14ac:dyDescent="0.25" outlineLevel="1" collapsed="1">
      <c r="A2992" s="27">
        <v>4220</v>
      </c>
      <c r="B2992" s="28" t="s">
        <v>543</v>
      </c>
      <c r="C2992" s="27" t="s">
        <v>466</v>
      </c>
      <c r="D2992" s="29" t="s">
        <v>32</v>
      </c>
      <c r="E2992" s="28" t="s">
        <v>467</v>
      </c>
      <c r="F2992" s="28" t="s">
        <v>468</v>
      </c>
    </row>
    <row r="2993" ht="36" customHeight="1" hidden="1" spans="1:6" x14ac:dyDescent="0.25" outlineLevel="1" collapsed="1">
      <c r="A2993" s="30" t="s">
        <v>32</v>
      </c>
      <c r="B2993" s="17" t="s">
        <v>32</v>
      </c>
      <c r="C2993" s="30" t="s">
        <v>32</v>
      </c>
      <c r="D2993" s="31" t="s">
        <v>32</v>
      </c>
      <c r="E2993" s="17" t="s">
        <v>469</v>
      </c>
      <c r="F2993" s="17" t="s">
        <v>32</v>
      </c>
    </row>
    <row r="2994" ht="21" customHeight="1" hidden="1" spans="1:6" x14ac:dyDescent="0.25" outlineLevel="1" collapsed="1">
      <c r="A2994" s="32" t="s">
        <v>32</v>
      </c>
      <c r="B2994" s="12" t="s">
        <v>32</v>
      </c>
      <c r="C2994" s="32" t="s">
        <v>32</v>
      </c>
      <c r="D2994" s="31" t="s">
        <v>32</v>
      </c>
      <c r="E2994" s="33" t="s">
        <v>632</v>
      </c>
      <c r="F2994" s="12" t="s">
        <v>32</v>
      </c>
    </row>
    <row r="2995" ht="51" customHeight="1" hidden="1" spans="1:6" x14ac:dyDescent="0.25" outlineLevel="1" collapsed="1">
      <c r="A2995" s="27">
        <v>4240</v>
      </c>
      <c r="B2995" s="28" t="s">
        <v>471</v>
      </c>
      <c r="C2995" s="27" t="s">
        <v>472</v>
      </c>
      <c r="D2995" s="29" t="s">
        <v>32</v>
      </c>
      <c r="E2995" s="28" t="s">
        <v>473</v>
      </c>
      <c r="F2995" s="28" t="s">
        <v>474</v>
      </c>
    </row>
    <row r="2996" ht="21" customHeight="1" hidden="1" spans="1:6" x14ac:dyDescent="0.25" outlineLevel="1" collapsed="1">
      <c r="A2996" s="30" t="s">
        <v>32</v>
      </c>
      <c r="B2996" s="17" t="s">
        <v>32</v>
      </c>
      <c r="C2996" s="30" t="s">
        <v>32</v>
      </c>
      <c r="D2996" s="31" t="s">
        <v>32</v>
      </c>
      <c r="E2996" s="17" t="s">
        <v>475</v>
      </c>
      <c r="F2996" s="17" t="s">
        <v>32</v>
      </c>
    </row>
    <row r="2997" ht="36" customHeight="1" hidden="1" spans="1:6" x14ac:dyDescent="0.25" outlineLevel="1" collapsed="1">
      <c r="A2997" s="32" t="s">
        <v>32</v>
      </c>
      <c r="B2997" s="12" t="s">
        <v>32</v>
      </c>
      <c r="C2997" s="32" t="s">
        <v>32</v>
      </c>
      <c r="D2997" s="31" t="s">
        <v>32</v>
      </c>
      <c r="E2997" s="12" t="s">
        <v>476</v>
      </c>
      <c r="F2997" s="12" t="s">
        <v>32</v>
      </c>
    </row>
    <row r="2998" ht="36" customHeight="1" hidden="1" spans="1:6" x14ac:dyDescent="0.25" outlineLevel="1" collapsed="1">
      <c r="A2998" s="30" t="s">
        <v>32</v>
      </c>
      <c r="B2998" s="17" t="s">
        <v>32</v>
      </c>
      <c r="C2998" s="30" t="s">
        <v>32</v>
      </c>
      <c r="D2998" s="31" t="s">
        <v>32</v>
      </c>
      <c r="E2998" s="17" t="s">
        <v>477</v>
      </c>
      <c r="F2998" s="17" t="s">
        <v>32</v>
      </c>
    </row>
    <row r="2999" ht="36" customHeight="1" hidden="1" spans="1:6" x14ac:dyDescent="0.25" outlineLevel="1" collapsed="1">
      <c r="A2999" s="32" t="s">
        <v>32</v>
      </c>
      <c r="B2999" s="12" t="s">
        <v>32</v>
      </c>
      <c r="C2999" s="32" t="s">
        <v>32</v>
      </c>
      <c r="D2999" s="31" t="s">
        <v>32</v>
      </c>
      <c r="E2999" s="12" t="s">
        <v>478</v>
      </c>
      <c r="F2999" s="12" t="s">
        <v>32</v>
      </c>
    </row>
    <row r="3000" ht="21" customHeight="1" hidden="1" spans="1:6" x14ac:dyDescent="0.25" outlineLevel="1" collapsed="1">
      <c r="A3000" s="30" t="s">
        <v>32</v>
      </c>
      <c r="B3000" s="17" t="s">
        <v>32</v>
      </c>
      <c r="C3000" s="30" t="s">
        <v>32</v>
      </c>
      <c r="D3000" s="31" t="s">
        <v>32</v>
      </c>
      <c r="E3000" s="17" t="s">
        <v>479</v>
      </c>
      <c r="F3000" s="17" t="s">
        <v>32</v>
      </c>
    </row>
    <row r="3001" ht="21" customHeight="1" hidden="1" spans="1:6" x14ac:dyDescent="0.25" outlineLevel="1" collapsed="1">
      <c r="A3001" s="32" t="s">
        <v>32</v>
      </c>
      <c r="B3001" s="12" t="s">
        <v>32</v>
      </c>
      <c r="C3001" s="32" t="s">
        <v>32</v>
      </c>
      <c r="D3001" s="31" t="s">
        <v>32</v>
      </c>
      <c r="E3001" s="33" t="s">
        <v>632</v>
      </c>
      <c r="F3001" s="12" t="s">
        <v>32</v>
      </c>
    </row>
    <row r="3002" ht="51" customHeight="1" hidden="1" spans="1:6" x14ac:dyDescent="0.25" outlineLevel="1" collapsed="1">
      <c r="A3002" s="27">
        <v>4230</v>
      </c>
      <c r="B3002" s="28" t="s">
        <v>544</v>
      </c>
      <c r="C3002" s="27" t="s">
        <v>472</v>
      </c>
      <c r="D3002" s="29" t="s">
        <v>32</v>
      </c>
      <c r="E3002" s="28" t="s">
        <v>481</v>
      </c>
      <c r="F3002" s="28" t="s">
        <v>482</v>
      </c>
    </row>
    <row r="3003" ht="21" customHeight="1" hidden="1" spans="1:6" x14ac:dyDescent="0.25" outlineLevel="1" collapsed="1">
      <c r="A3003" s="30" t="s">
        <v>32</v>
      </c>
      <c r="B3003" s="17" t="s">
        <v>32</v>
      </c>
      <c r="C3003" s="30" t="s">
        <v>32</v>
      </c>
      <c r="D3003" s="31" t="s">
        <v>32</v>
      </c>
      <c r="E3003" s="17" t="s">
        <v>483</v>
      </c>
      <c r="F3003" s="17" t="s">
        <v>32</v>
      </c>
    </row>
    <row r="3004" ht="36" customHeight="1" hidden="1" spans="1:6" x14ac:dyDescent="0.25" outlineLevel="1" collapsed="1">
      <c r="A3004" s="32" t="s">
        <v>32</v>
      </c>
      <c r="B3004" s="12" t="s">
        <v>32</v>
      </c>
      <c r="C3004" s="32" t="s">
        <v>32</v>
      </c>
      <c r="D3004" s="31" t="s">
        <v>32</v>
      </c>
      <c r="E3004" s="12" t="s">
        <v>484</v>
      </c>
      <c r="F3004" s="12" t="s">
        <v>32</v>
      </c>
    </row>
    <row r="3005" ht="36" customHeight="1" hidden="1" spans="1:6" x14ac:dyDescent="0.25" outlineLevel="1" collapsed="1">
      <c r="A3005" s="30" t="s">
        <v>32</v>
      </c>
      <c r="B3005" s="17" t="s">
        <v>32</v>
      </c>
      <c r="C3005" s="30" t="s">
        <v>32</v>
      </c>
      <c r="D3005" s="31" t="s">
        <v>32</v>
      </c>
      <c r="E3005" s="17" t="s">
        <v>485</v>
      </c>
      <c r="F3005" s="17" t="s">
        <v>32</v>
      </c>
    </row>
    <row r="3006" ht="21" customHeight="1" hidden="1" spans="1:6" x14ac:dyDescent="0.25" outlineLevel="1" collapsed="1">
      <c r="A3006" s="32" t="s">
        <v>32</v>
      </c>
      <c r="B3006" s="12" t="s">
        <v>32</v>
      </c>
      <c r="C3006" s="32" t="s">
        <v>32</v>
      </c>
      <c r="D3006" s="31" t="s">
        <v>32</v>
      </c>
      <c r="E3006" s="12" t="s">
        <v>486</v>
      </c>
      <c r="F3006" s="12" t="s">
        <v>32</v>
      </c>
    </row>
    <row r="3007" ht="21" customHeight="1" hidden="1" spans="1:6" x14ac:dyDescent="0.25" outlineLevel="1" collapsed="1">
      <c r="A3007" s="30" t="s">
        <v>32</v>
      </c>
      <c r="B3007" s="17" t="s">
        <v>32</v>
      </c>
      <c r="C3007" s="30" t="s">
        <v>32</v>
      </c>
      <c r="D3007" s="31" t="s">
        <v>32</v>
      </c>
      <c r="E3007" s="17" t="s">
        <v>487</v>
      </c>
      <c r="F3007" s="17" t="s">
        <v>32</v>
      </c>
    </row>
    <row r="3008" ht="21" customHeight="1" hidden="1" spans="1:6" x14ac:dyDescent="0.25" outlineLevel="1" collapsed="1">
      <c r="A3008" s="32" t="s">
        <v>32</v>
      </c>
      <c r="B3008" s="12" t="s">
        <v>32</v>
      </c>
      <c r="C3008" s="32" t="s">
        <v>32</v>
      </c>
      <c r="D3008" s="31" t="s">
        <v>32</v>
      </c>
      <c r="E3008" s="12" t="s">
        <v>488</v>
      </c>
      <c r="F3008" s="12" t="s">
        <v>32</v>
      </c>
    </row>
    <row r="3009" ht="21" customHeight="1" hidden="1" spans="1:6" x14ac:dyDescent="0.25" outlineLevel="1" collapsed="1">
      <c r="A3009" s="30" t="s">
        <v>32</v>
      </c>
      <c r="B3009" s="17" t="s">
        <v>32</v>
      </c>
      <c r="C3009" s="30" t="s">
        <v>32</v>
      </c>
      <c r="D3009" s="31" t="s">
        <v>32</v>
      </c>
      <c r="E3009" s="17" t="s">
        <v>489</v>
      </c>
      <c r="F3009" s="17" t="s">
        <v>32</v>
      </c>
    </row>
    <row r="3010" ht="21" customHeight="1" hidden="1" spans="1:6" x14ac:dyDescent="0.25" outlineLevel="1" collapsed="1">
      <c r="A3010" s="32" t="s">
        <v>32</v>
      </c>
      <c r="B3010" s="12" t="s">
        <v>32</v>
      </c>
      <c r="C3010" s="32" t="s">
        <v>32</v>
      </c>
      <c r="D3010" s="31" t="s">
        <v>32</v>
      </c>
      <c r="E3010" s="12" t="s">
        <v>490</v>
      </c>
      <c r="F3010" s="12" t="s">
        <v>32</v>
      </c>
    </row>
    <row r="3011" ht="21" customHeight="1" hidden="1" spans="1:6" x14ac:dyDescent="0.25" outlineLevel="1" collapsed="1">
      <c r="A3011" s="30" t="s">
        <v>32</v>
      </c>
      <c r="B3011" s="17" t="s">
        <v>32</v>
      </c>
      <c r="C3011" s="30" t="s">
        <v>32</v>
      </c>
      <c r="D3011" s="31" t="s">
        <v>32</v>
      </c>
      <c r="E3011" s="17" t="s">
        <v>491</v>
      </c>
      <c r="F3011" s="17" t="s">
        <v>32</v>
      </c>
    </row>
    <row r="3012" ht="21" customHeight="1" hidden="1" spans="1:6" x14ac:dyDescent="0.25" outlineLevel="1" collapsed="1">
      <c r="A3012" s="32" t="s">
        <v>32</v>
      </c>
      <c r="B3012" s="12" t="s">
        <v>32</v>
      </c>
      <c r="C3012" s="32" t="s">
        <v>32</v>
      </c>
      <c r="D3012" s="31" t="s">
        <v>32</v>
      </c>
      <c r="E3012" s="12" t="s">
        <v>492</v>
      </c>
      <c r="F3012" s="12" t="s">
        <v>32</v>
      </c>
    </row>
    <row r="3013" ht="21" customHeight="1" hidden="1" spans="1:6" x14ac:dyDescent="0.25" outlineLevel="1" collapsed="1">
      <c r="A3013" s="30" t="s">
        <v>32</v>
      </c>
      <c r="B3013" s="17" t="s">
        <v>32</v>
      </c>
      <c r="C3013" s="30" t="s">
        <v>32</v>
      </c>
      <c r="D3013" s="31" t="s">
        <v>32</v>
      </c>
      <c r="E3013" s="17" t="s">
        <v>493</v>
      </c>
      <c r="F3013" s="17" t="s">
        <v>32</v>
      </c>
    </row>
    <row r="3014" ht="21" customHeight="1" hidden="1" spans="1:6" x14ac:dyDescent="0.25" outlineLevel="1" collapsed="1">
      <c r="A3014" s="32" t="s">
        <v>32</v>
      </c>
      <c r="B3014" s="12" t="s">
        <v>32</v>
      </c>
      <c r="C3014" s="32" t="s">
        <v>32</v>
      </c>
      <c r="D3014" s="31" t="s">
        <v>32</v>
      </c>
      <c r="E3014" s="33" t="s">
        <v>633</v>
      </c>
      <c r="F3014" s="12" t="s">
        <v>32</v>
      </c>
    </row>
    <row r="3015" ht="22" customHeight="1" hidden="1" spans="1:6" x14ac:dyDescent="0.25" outlineLevel="1" collapsed="1">
      <c r="A3015" s="34" t="s">
        <v>495</v>
      </c>
      <c r="B3015" s="34"/>
      <c r="C3015" s="34"/>
      <c r="D3015" s="34"/>
      <c r="E3015" s="34"/>
      <c r="F3015" s="34"/>
    </row>
    <row r="3016" ht="24" customHeight="1" hidden="1" spans="1:6" x14ac:dyDescent="0.25" outlineLevel="1" collapsed="1">
      <c r="A3016" s="12" t="s">
        <v>634</v>
      </c>
      <c r="B3016" s="12"/>
      <c r="C3016" s="12"/>
      <c r="D3016" s="12"/>
      <c r="E3016" s="12"/>
      <c r="F3016" s="12"/>
    </row>
    <row r="3017" ht="40" customHeight="1" hidden="1" spans="1:6" x14ac:dyDescent="0.25" outlineLevel="1" collapsed="1">
      <c r="A3017" s="12" t="s">
        <v>635</v>
      </c>
      <c r="B3017" s="12"/>
      <c r="C3017" s="12"/>
      <c r="D3017" s="12"/>
      <c r="E3017" s="12"/>
      <c r="F3017" s="12"/>
    </row>
    <row r="3018" ht="56" customHeight="1" hidden="1" spans="1:6" x14ac:dyDescent="0.25" outlineLevel="1" collapsed="1">
      <c r="A3018" s="12" t="s">
        <v>636</v>
      </c>
      <c r="B3018" s="12"/>
      <c r="C3018" s="12"/>
      <c r="D3018" s="12"/>
      <c r="E3018" s="12"/>
      <c r="F3018" s="12"/>
    </row>
    <row r="3019" ht="24" customHeight="1" hidden="1" spans="1:6" x14ac:dyDescent="0.25" outlineLevel="1" collapsed="1">
      <c r="A3019" s="12" t="s">
        <v>499</v>
      </c>
      <c r="B3019" s="12"/>
      <c r="C3019" s="12"/>
      <c r="D3019" s="12"/>
      <c r="E3019" s="12"/>
      <c r="F3019" s="12"/>
    </row>
    <row r="3020" ht="6" customHeight="1" hidden="1" x14ac:dyDescent="0.25" outlineLevel="1" collapsed="1"/>
    <row r="3021" ht="22" customHeight="1" spans="1:6" x14ac:dyDescent="0.25">
      <c r="A3021" s="25" t="s">
        <v>592</v>
      </c>
      <c r="B3021" s="25"/>
      <c r="C3021" s="25"/>
      <c r="D3021" s="25"/>
      <c r="E3021" s="25"/>
      <c r="F3021" s="25"/>
    </row>
    <row r="3022" ht="20" customHeight="1" hidden="1" spans="1:6" x14ac:dyDescent="0.25" outlineLevel="1" collapsed="1">
      <c r="A3022" s="26" t="s">
        <v>460</v>
      </c>
      <c r="B3022" s="26" t="s">
        <v>461</v>
      </c>
      <c r="C3022" s="26" t="s">
        <v>462</v>
      </c>
      <c r="D3022" s="26" t="s">
        <v>32</v>
      </c>
      <c r="E3022" s="26" t="s">
        <v>463</v>
      </c>
      <c r="F3022" s="26" t="s">
        <v>464</v>
      </c>
    </row>
    <row r="3023" ht="51" customHeight="1" hidden="1" spans="1:6" x14ac:dyDescent="0.25" outlineLevel="1" collapsed="1">
      <c r="A3023" s="27">
        <v>4220</v>
      </c>
      <c r="B3023" s="28" t="s">
        <v>543</v>
      </c>
      <c r="C3023" s="27" t="s">
        <v>466</v>
      </c>
      <c r="D3023" s="29" t="s">
        <v>32</v>
      </c>
      <c r="E3023" s="28" t="s">
        <v>467</v>
      </c>
      <c r="F3023" s="28" t="s">
        <v>468</v>
      </c>
    </row>
    <row r="3024" ht="36" customHeight="1" hidden="1" spans="1:6" x14ac:dyDescent="0.25" outlineLevel="1" collapsed="1">
      <c r="A3024" s="30" t="s">
        <v>32</v>
      </c>
      <c r="B3024" s="17" t="s">
        <v>32</v>
      </c>
      <c r="C3024" s="30" t="s">
        <v>32</v>
      </c>
      <c r="D3024" s="31" t="s">
        <v>32</v>
      </c>
      <c r="E3024" s="17" t="s">
        <v>469</v>
      </c>
      <c r="F3024" s="17" t="s">
        <v>32</v>
      </c>
    </row>
    <row r="3025" ht="21" customHeight="1" hidden="1" spans="1:6" x14ac:dyDescent="0.25" outlineLevel="1" collapsed="1">
      <c r="A3025" s="32" t="s">
        <v>32</v>
      </c>
      <c r="B3025" s="12" t="s">
        <v>32</v>
      </c>
      <c r="C3025" s="32" t="s">
        <v>32</v>
      </c>
      <c r="D3025" s="31" t="s">
        <v>32</v>
      </c>
      <c r="E3025" s="33" t="s">
        <v>632</v>
      </c>
      <c r="F3025" s="12" t="s">
        <v>32</v>
      </c>
    </row>
    <row r="3026" ht="51" customHeight="1" hidden="1" spans="1:6" x14ac:dyDescent="0.25" outlineLevel="1" collapsed="1">
      <c r="A3026" s="27">
        <v>4240</v>
      </c>
      <c r="B3026" s="28" t="s">
        <v>471</v>
      </c>
      <c r="C3026" s="27" t="s">
        <v>472</v>
      </c>
      <c r="D3026" s="29" t="s">
        <v>32</v>
      </c>
      <c r="E3026" s="28" t="s">
        <v>473</v>
      </c>
      <c r="F3026" s="28" t="s">
        <v>474</v>
      </c>
    </row>
    <row r="3027" ht="21" customHeight="1" hidden="1" spans="1:6" x14ac:dyDescent="0.25" outlineLevel="1" collapsed="1">
      <c r="A3027" s="30" t="s">
        <v>32</v>
      </c>
      <c r="B3027" s="17" t="s">
        <v>32</v>
      </c>
      <c r="C3027" s="30" t="s">
        <v>32</v>
      </c>
      <c r="D3027" s="31" t="s">
        <v>32</v>
      </c>
      <c r="E3027" s="17" t="s">
        <v>475</v>
      </c>
      <c r="F3027" s="17" t="s">
        <v>32</v>
      </c>
    </row>
    <row r="3028" ht="36" customHeight="1" hidden="1" spans="1:6" x14ac:dyDescent="0.25" outlineLevel="1" collapsed="1">
      <c r="A3028" s="32" t="s">
        <v>32</v>
      </c>
      <c r="B3028" s="12" t="s">
        <v>32</v>
      </c>
      <c r="C3028" s="32" t="s">
        <v>32</v>
      </c>
      <c r="D3028" s="31" t="s">
        <v>32</v>
      </c>
      <c r="E3028" s="12" t="s">
        <v>476</v>
      </c>
      <c r="F3028" s="12" t="s">
        <v>32</v>
      </c>
    </row>
    <row r="3029" ht="36" customHeight="1" hidden="1" spans="1:6" x14ac:dyDescent="0.25" outlineLevel="1" collapsed="1">
      <c r="A3029" s="30" t="s">
        <v>32</v>
      </c>
      <c r="B3029" s="17" t="s">
        <v>32</v>
      </c>
      <c r="C3029" s="30" t="s">
        <v>32</v>
      </c>
      <c r="D3029" s="31" t="s">
        <v>32</v>
      </c>
      <c r="E3029" s="17" t="s">
        <v>593</v>
      </c>
      <c r="F3029" s="17" t="s">
        <v>32</v>
      </c>
    </row>
    <row r="3030" ht="36" customHeight="1" hidden="1" spans="1:6" x14ac:dyDescent="0.25" outlineLevel="1" collapsed="1">
      <c r="A3030" s="32" t="s">
        <v>32</v>
      </c>
      <c r="B3030" s="12" t="s">
        <v>32</v>
      </c>
      <c r="C3030" s="32" t="s">
        <v>32</v>
      </c>
      <c r="D3030" s="31" t="s">
        <v>32</v>
      </c>
      <c r="E3030" s="12" t="s">
        <v>478</v>
      </c>
      <c r="F3030" s="12" t="s">
        <v>32</v>
      </c>
    </row>
    <row r="3031" ht="21" customHeight="1" hidden="1" spans="1:6" x14ac:dyDescent="0.25" outlineLevel="1" collapsed="1">
      <c r="A3031" s="30" t="s">
        <v>32</v>
      </c>
      <c r="B3031" s="17" t="s">
        <v>32</v>
      </c>
      <c r="C3031" s="30" t="s">
        <v>32</v>
      </c>
      <c r="D3031" s="31" t="s">
        <v>32</v>
      </c>
      <c r="E3031" s="17" t="s">
        <v>479</v>
      </c>
      <c r="F3031" s="17" t="s">
        <v>32</v>
      </c>
    </row>
    <row r="3032" ht="21" customHeight="1" hidden="1" spans="1:6" x14ac:dyDescent="0.25" outlineLevel="1" collapsed="1">
      <c r="A3032" s="32" t="s">
        <v>32</v>
      </c>
      <c r="B3032" s="12" t="s">
        <v>32</v>
      </c>
      <c r="C3032" s="32" t="s">
        <v>32</v>
      </c>
      <c r="D3032" s="31" t="s">
        <v>32</v>
      </c>
      <c r="E3032" s="33" t="s">
        <v>633</v>
      </c>
      <c r="F3032" s="12" t="s">
        <v>32</v>
      </c>
    </row>
    <row r="3033" ht="51" customHeight="1" hidden="1" spans="1:6" x14ac:dyDescent="0.25" outlineLevel="1" collapsed="1">
      <c r="A3033" s="27">
        <v>4230</v>
      </c>
      <c r="B3033" s="28" t="s">
        <v>544</v>
      </c>
      <c r="C3033" s="27" t="s">
        <v>472</v>
      </c>
      <c r="D3033" s="29" t="s">
        <v>32</v>
      </c>
      <c r="E3033" s="28" t="s">
        <v>481</v>
      </c>
      <c r="F3033" s="28" t="s">
        <v>482</v>
      </c>
    </row>
    <row r="3034" ht="21" customHeight="1" hidden="1" spans="1:6" x14ac:dyDescent="0.25" outlineLevel="1" collapsed="1">
      <c r="A3034" s="30" t="s">
        <v>32</v>
      </c>
      <c r="B3034" s="17" t="s">
        <v>32</v>
      </c>
      <c r="C3034" s="30" t="s">
        <v>32</v>
      </c>
      <c r="D3034" s="31" t="s">
        <v>32</v>
      </c>
      <c r="E3034" s="17" t="s">
        <v>483</v>
      </c>
      <c r="F3034" s="17" t="s">
        <v>32</v>
      </c>
    </row>
    <row r="3035" ht="36" customHeight="1" hidden="1" spans="1:6" x14ac:dyDescent="0.25" outlineLevel="1" collapsed="1">
      <c r="A3035" s="32" t="s">
        <v>32</v>
      </c>
      <c r="B3035" s="12" t="s">
        <v>32</v>
      </c>
      <c r="C3035" s="32" t="s">
        <v>32</v>
      </c>
      <c r="D3035" s="31" t="s">
        <v>32</v>
      </c>
      <c r="E3035" s="12" t="s">
        <v>484</v>
      </c>
      <c r="F3035" s="12" t="s">
        <v>32</v>
      </c>
    </row>
    <row r="3036" ht="36" customHeight="1" hidden="1" spans="1:6" x14ac:dyDescent="0.25" outlineLevel="1" collapsed="1">
      <c r="A3036" s="30" t="s">
        <v>32</v>
      </c>
      <c r="B3036" s="17" t="s">
        <v>32</v>
      </c>
      <c r="C3036" s="30" t="s">
        <v>32</v>
      </c>
      <c r="D3036" s="31" t="s">
        <v>32</v>
      </c>
      <c r="E3036" s="17" t="s">
        <v>485</v>
      </c>
      <c r="F3036" s="17" t="s">
        <v>32</v>
      </c>
    </row>
    <row r="3037" ht="21" customHeight="1" hidden="1" spans="1:6" x14ac:dyDescent="0.25" outlineLevel="1" collapsed="1">
      <c r="A3037" s="32" t="s">
        <v>32</v>
      </c>
      <c r="B3037" s="12" t="s">
        <v>32</v>
      </c>
      <c r="C3037" s="32" t="s">
        <v>32</v>
      </c>
      <c r="D3037" s="31" t="s">
        <v>32</v>
      </c>
      <c r="E3037" s="12" t="s">
        <v>486</v>
      </c>
      <c r="F3037" s="12" t="s">
        <v>32</v>
      </c>
    </row>
    <row r="3038" ht="21" customHeight="1" hidden="1" spans="1:6" x14ac:dyDescent="0.25" outlineLevel="1" collapsed="1">
      <c r="A3038" s="30" t="s">
        <v>32</v>
      </c>
      <c r="B3038" s="17" t="s">
        <v>32</v>
      </c>
      <c r="C3038" s="30" t="s">
        <v>32</v>
      </c>
      <c r="D3038" s="31" t="s">
        <v>32</v>
      </c>
      <c r="E3038" s="17" t="s">
        <v>487</v>
      </c>
      <c r="F3038" s="17" t="s">
        <v>32</v>
      </c>
    </row>
    <row r="3039" ht="21" customHeight="1" hidden="1" spans="1:6" x14ac:dyDescent="0.25" outlineLevel="1" collapsed="1">
      <c r="A3039" s="32" t="s">
        <v>32</v>
      </c>
      <c r="B3039" s="12" t="s">
        <v>32</v>
      </c>
      <c r="C3039" s="32" t="s">
        <v>32</v>
      </c>
      <c r="D3039" s="31" t="s">
        <v>32</v>
      </c>
      <c r="E3039" s="12" t="s">
        <v>488</v>
      </c>
      <c r="F3039" s="12" t="s">
        <v>32</v>
      </c>
    </row>
    <row r="3040" ht="21" customHeight="1" hidden="1" spans="1:6" x14ac:dyDescent="0.25" outlineLevel="1" collapsed="1">
      <c r="A3040" s="30" t="s">
        <v>32</v>
      </c>
      <c r="B3040" s="17" t="s">
        <v>32</v>
      </c>
      <c r="C3040" s="30" t="s">
        <v>32</v>
      </c>
      <c r="D3040" s="31" t="s">
        <v>32</v>
      </c>
      <c r="E3040" s="17" t="s">
        <v>489</v>
      </c>
      <c r="F3040" s="17" t="s">
        <v>32</v>
      </c>
    </row>
    <row r="3041" ht="21" customHeight="1" hidden="1" spans="1:6" x14ac:dyDescent="0.25" outlineLevel="1" collapsed="1">
      <c r="A3041" s="32" t="s">
        <v>32</v>
      </c>
      <c r="B3041" s="12" t="s">
        <v>32</v>
      </c>
      <c r="C3041" s="32" t="s">
        <v>32</v>
      </c>
      <c r="D3041" s="31" t="s">
        <v>32</v>
      </c>
      <c r="E3041" s="12" t="s">
        <v>490</v>
      </c>
      <c r="F3041" s="12" t="s">
        <v>32</v>
      </c>
    </row>
    <row r="3042" ht="21" customHeight="1" hidden="1" spans="1:6" x14ac:dyDescent="0.25" outlineLevel="1" collapsed="1">
      <c r="A3042" s="30" t="s">
        <v>32</v>
      </c>
      <c r="B3042" s="17" t="s">
        <v>32</v>
      </c>
      <c r="C3042" s="30" t="s">
        <v>32</v>
      </c>
      <c r="D3042" s="31" t="s">
        <v>32</v>
      </c>
      <c r="E3042" s="17" t="s">
        <v>491</v>
      </c>
      <c r="F3042" s="17" t="s">
        <v>32</v>
      </c>
    </row>
    <row r="3043" ht="21" customHeight="1" hidden="1" spans="1:6" x14ac:dyDescent="0.25" outlineLevel="1" collapsed="1">
      <c r="A3043" s="32" t="s">
        <v>32</v>
      </c>
      <c r="B3043" s="12" t="s">
        <v>32</v>
      </c>
      <c r="C3043" s="32" t="s">
        <v>32</v>
      </c>
      <c r="D3043" s="31" t="s">
        <v>32</v>
      </c>
      <c r="E3043" s="12" t="s">
        <v>492</v>
      </c>
      <c r="F3043" s="12" t="s">
        <v>32</v>
      </c>
    </row>
    <row r="3044" ht="21" customHeight="1" hidden="1" spans="1:6" x14ac:dyDescent="0.25" outlineLevel="1" collapsed="1">
      <c r="A3044" s="30" t="s">
        <v>32</v>
      </c>
      <c r="B3044" s="17" t="s">
        <v>32</v>
      </c>
      <c r="C3044" s="30" t="s">
        <v>32</v>
      </c>
      <c r="D3044" s="31" t="s">
        <v>32</v>
      </c>
      <c r="E3044" s="17" t="s">
        <v>493</v>
      </c>
      <c r="F3044" s="17" t="s">
        <v>32</v>
      </c>
    </row>
    <row r="3045" ht="21" customHeight="1" hidden="1" spans="1:6" x14ac:dyDescent="0.25" outlineLevel="1" collapsed="1">
      <c r="A3045" s="32" t="s">
        <v>32</v>
      </c>
      <c r="B3045" s="12" t="s">
        <v>32</v>
      </c>
      <c r="C3045" s="32" t="s">
        <v>32</v>
      </c>
      <c r="D3045" s="31" t="s">
        <v>32</v>
      </c>
      <c r="E3045" s="33" t="s">
        <v>633</v>
      </c>
      <c r="F3045" s="12" t="s">
        <v>32</v>
      </c>
    </row>
    <row r="3046" ht="22" customHeight="1" hidden="1" spans="1:6" x14ac:dyDescent="0.25" outlineLevel="1" collapsed="1">
      <c r="A3046" s="34" t="s">
        <v>495</v>
      </c>
      <c r="B3046" s="34"/>
      <c r="C3046" s="34"/>
      <c r="D3046" s="34"/>
      <c r="E3046" s="34"/>
      <c r="F3046" s="34"/>
    </row>
    <row r="3047" ht="24" customHeight="1" hidden="1" spans="1:6" x14ac:dyDescent="0.25" outlineLevel="1" collapsed="1">
      <c r="A3047" s="12" t="s">
        <v>634</v>
      </c>
      <c r="B3047" s="12"/>
      <c r="C3047" s="12"/>
      <c r="D3047" s="12"/>
      <c r="E3047" s="12"/>
      <c r="F3047" s="12"/>
    </row>
    <row r="3048" ht="40" customHeight="1" hidden="1" spans="1:6" x14ac:dyDescent="0.25" outlineLevel="1" collapsed="1">
      <c r="A3048" s="12" t="s">
        <v>654</v>
      </c>
      <c r="B3048" s="12"/>
      <c r="C3048" s="12"/>
      <c r="D3048" s="12"/>
      <c r="E3048" s="12"/>
      <c r="F3048" s="12"/>
    </row>
    <row r="3049" ht="56" customHeight="1" hidden="1" spans="1:6" x14ac:dyDescent="0.25" outlineLevel="1" collapsed="1">
      <c r="A3049" s="12" t="s">
        <v>636</v>
      </c>
      <c r="B3049" s="12"/>
      <c r="C3049" s="12"/>
      <c r="D3049" s="12"/>
      <c r="E3049" s="12"/>
      <c r="F3049" s="12"/>
    </row>
    <row r="3050" ht="24" customHeight="1" hidden="1" spans="1:6" x14ac:dyDescent="0.25" outlineLevel="1" collapsed="1">
      <c r="A3050" s="12" t="s">
        <v>499</v>
      </c>
      <c r="B3050" s="12"/>
      <c r="C3050" s="12"/>
      <c r="D3050" s="12"/>
      <c r="E3050" s="12"/>
      <c r="F3050" s="12"/>
    </row>
    <row r="3051" ht="6" customHeight="1" hidden="1" x14ac:dyDescent="0.25" outlineLevel="1" collapsed="1"/>
    <row r="3052" ht="22" customHeight="1" spans="1:6" x14ac:dyDescent="0.25">
      <c r="A3052" s="25" t="s">
        <v>595</v>
      </c>
      <c r="B3052" s="25"/>
      <c r="C3052" s="25"/>
      <c r="D3052" s="25"/>
      <c r="E3052" s="25"/>
      <c r="F3052" s="25"/>
    </row>
    <row r="3053" ht="20" customHeight="1" hidden="1" spans="1:6" x14ac:dyDescent="0.25" outlineLevel="1" collapsed="1">
      <c r="A3053" s="26" t="s">
        <v>460</v>
      </c>
      <c r="B3053" s="26" t="s">
        <v>461</v>
      </c>
      <c r="C3053" s="26" t="s">
        <v>462</v>
      </c>
      <c r="D3053" s="26" t="s">
        <v>32</v>
      </c>
      <c r="E3053" s="26" t="s">
        <v>463</v>
      </c>
      <c r="F3053" s="26" t="s">
        <v>464</v>
      </c>
    </row>
    <row r="3054" ht="36" customHeight="1" hidden="1" spans="1:6" x14ac:dyDescent="0.25" outlineLevel="1" collapsed="1">
      <c r="A3054" s="27">
        <v>4220</v>
      </c>
      <c r="B3054" s="28" t="s">
        <v>543</v>
      </c>
      <c r="C3054" s="27" t="s">
        <v>466</v>
      </c>
      <c r="D3054" s="29" t="s">
        <v>32</v>
      </c>
      <c r="E3054" s="28" t="s">
        <v>518</v>
      </c>
      <c r="F3054" s="28" t="s">
        <v>32</v>
      </c>
    </row>
    <row r="3055" ht="21" customHeight="1" hidden="1" spans="1:6" x14ac:dyDescent="0.25" outlineLevel="1" collapsed="1">
      <c r="A3055" s="27">
        <v>4240</v>
      </c>
      <c r="B3055" s="28" t="s">
        <v>471</v>
      </c>
      <c r="C3055" s="27" t="s">
        <v>472</v>
      </c>
      <c r="D3055" s="29" t="s">
        <v>32</v>
      </c>
      <c r="E3055" s="28" t="s">
        <v>506</v>
      </c>
      <c r="F3055" s="28" t="s">
        <v>32</v>
      </c>
    </row>
    <row r="3056" ht="36" customHeight="1" hidden="1" spans="1:6" x14ac:dyDescent="0.25" outlineLevel="1" collapsed="1">
      <c r="A3056" s="27">
        <v>4230</v>
      </c>
      <c r="B3056" s="28" t="s">
        <v>544</v>
      </c>
      <c r="C3056" s="27" t="s">
        <v>472</v>
      </c>
      <c r="D3056" s="29" t="s">
        <v>32</v>
      </c>
      <c r="E3056" s="28" t="s">
        <v>518</v>
      </c>
      <c r="F3056" s="28" t="s">
        <v>32</v>
      </c>
    </row>
    <row r="3057" ht="22" customHeight="1" hidden="1" spans="1:6" x14ac:dyDescent="0.25" outlineLevel="1" collapsed="1">
      <c r="A3057" s="34" t="s">
        <v>495</v>
      </c>
      <c r="B3057" s="34"/>
      <c r="C3057" s="34"/>
      <c r="D3057" s="34"/>
      <c r="E3057" s="34"/>
      <c r="F3057" s="34"/>
    </row>
    <row r="3058" ht="24" customHeight="1" hidden="1" spans="1:6" x14ac:dyDescent="0.25" outlineLevel="1" collapsed="1">
      <c r="A3058" s="12" t="s">
        <v>655</v>
      </c>
      <c r="B3058" s="12"/>
      <c r="C3058" s="12"/>
      <c r="D3058" s="12"/>
      <c r="E3058" s="12"/>
      <c r="F3058" s="12"/>
    </row>
    <row r="3059" ht="24" customHeight="1" hidden="1" spans="1:6" x14ac:dyDescent="0.25" outlineLevel="1" collapsed="1">
      <c r="A3059" s="12" t="s">
        <v>656</v>
      </c>
      <c r="B3059" s="12"/>
      <c r="C3059" s="12"/>
      <c r="D3059" s="12"/>
      <c r="E3059" s="12"/>
      <c r="F3059" s="12"/>
    </row>
    <row r="3060" ht="24" customHeight="1" hidden="1" spans="1:6" x14ac:dyDescent="0.25" outlineLevel="1" collapsed="1">
      <c r="A3060" s="12" t="s">
        <v>642</v>
      </c>
      <c r="B3060" s="12"/>
      <c r="C3060" s="12"/>
      <c r="D3060" s="12"/>
      <c r="E3060" s="12"/>
      <c r="F3060" s="12"/>
    </row>
    <row r="3061" ht="24" customHeight="1" hidden="1" spans="1:6" x14ac:dyDescent="0.25" outlineLevel="1" collapsed="1">
      <c r="A3061" s="12" t="s">
        <v>499</v>
      </c>
      <c r="B3061" s="12"/>
      <c r="C3061" s="12"/>
      <c r="D3061" s="12"/>
      <c r="E3061" s="12"/>
      <c r="F3061" s="12"/>
    </row>
    <row r="3062" ht="6" customHeight="1" hidden="1" x14ac:dyDescent="0.25" outlineLevel="1" collapsed="1"/>
    <row r="3063" ht="22" customHeight="1" spans="1:6" x14ac:dyDescent="0.25">
      <c r="A3063" s="25" t="s">
        <v>598</v>
      </c>
      <c r="B3063" s="25"/>
      <c r="C3063" s="25"/>
      <c r="D3063" s="25"/>
      <c r="E3063" s="25"/>
      <c r="F3063" s="25"/>
    </row>
    <row r="3064" ht="20" customHeight="1" hidden="1" spans="1:6" x14ac:dyDescent="0.25" outlineLevel="1" collapsed="1">
      <c r="A3064" s="26" t="s">
        <v>460</v>
      </c>
      <c r="B3064" s="26" t="s">
        <v>461</v>
      </c>
      <c r="C3064" s="26" t="s">
        <v>462</v>
      </c>
      <c r="D3064" s="26" t="s">
        <v>32</v>
      </c>
      <c r="E3064" s="26" t="s">
        <v>463</v>
      </c>
      <c r="F3064" s="26" t="s">
        <v>464</v>
      </c>
    </row>
    <row r="3065" ht="51" customHeight="1" hidden="1" spans="1:6" x14ac:dyDescent="0.25" outlineLevel="1" collapsed="1">
      <c r="A3065" s="27">
        <v>4220</v>
      </c>
      <c r="B3065" s="28" t="s">
        <v>543</v>
      </c>
      <c r="C3065" s="27" t="s">
        <v>466</v>
      </c>
      <c r="D3065" s="29" t="s">
        <v>32</v>
      </c>
      <c r="E3065" s="28" t="s">
        <v>599</v>
      </c>
      <c r="F3065" s="28" t="s">
        <v>468</v>
      </c>
    </row>
    <row r="3066" ht="36" customHeight="1" hidden="1" spans="1:6" x14ac:dyDescent="0.25" outlineLevel="1" collapsed="1">
      <c r="A3066" s="30" t="s">
        <v>32</v>
      </c>
      <c r="B3066" s="17" t="s">
        <v>32</v>
      </c>
      <c r="C3066" s="30" t="s">
        <v>32</v>
      </c>
      <c r="D3066" s="31" t="s">
        <v>32</v>
      </c>
      <c r="E3066" s="17" t="s">
        <v>469</v>
      </c>
      <c r="F3066" s="17" t="s">
        <v>32</v>
      </c>
    </row>
    <row r="3067" ht="36" customHeight="1" hidden="1" spans="1:6" x14ac:dyDescent="0.25" outlineLevel="1" collapsed="1">
      <c r="A3067" s="32" t="s">
        <v>32</v>
      </c>
      <c r="B3067" s="12" t="s">
        <v>32</v>
      </c>
      <c r="C3067" s="32" t="s">
        <v>32</v>
      </c>
      <c r="D3067" s="31" t="s">
        <v>32</v>
      </c>
      <c r="E3067" s="33" t="s">
        <v>657</v>
      </c>
      <c r="F3067" s="12" t="s">
        <v>32</v>
      </c>
    </row>
    <row r="3068" ht="51" customHeight="1" hidden="1" spans="1:6" x14ac:dyDescent="0.25" outlineLevel="1" collapsed="1">
      <c r="A3068" s="27">
        <v>4240</v>
      </c>
      <c r="B3068" s="28" t="s">
        <v>471</v>
      </c>
      <c r="C3068" s="27" t="s">
        <v>472</v>
      </c>
      <c r="D3068" s="29" t="s">
        <v>32</v>
      </c>
      <c r="E3068" s="28" t="s">
        <v>473</v>
      </c>
      <c r="F3068" s="28" t="s">
        <v>601</v>
      </c>
    </row>
    <row r="3069" ht="21" customHeight="1" hidden="1" spans="1:6" x14ac:dyDescent="0.25" outlineLevel="1" collapsed="1">
      <c r="A3069" s="30" t="s">
        <v>32</v>
      </c>
      <c r="B3069" s="17" t="s">
        <v>32</v>
      </c>
      <c r="C3069" s="30" t="s">
        <v>32</v>
      </c>
      <c r="D3069" s="31" t="s">
        <v>32</v>
      </c>
      <c r="E3069" s="17" t="s">
        <v>475</v>
      </c>
      <c r="F3069" s="17" t="s">
        <v>32</v>
      </c>
    </row>
    <row r="3070" ht="21" customHeight="1" hidden="1" spans="1:6" x14ac:dyDescent="0.25" outlineLevel="1" collapsed="1">
      <c r="A3070" s="32" t="s">
        <v>32</v>
      </c>
      <c r="B3070" s="12" t="s">
        <v>32</v>
      </c>
      <c r="C3070" s="32" t="s">
        <v>32</v>
      </c>
      <c r="D3070" s="31" t="s">
        <v>32</v>
      </c>
      <c r="E3070" s="12" t="s">
        <v>602</v>
      </c>
      <c r="F3070" s="12" t="s">
        <v>32</v>
      </c>
    </row>
    <row r="3071" ht="36" customHeight="1" hidden="1" spans="1:6" x14ac:dyDescent="0.25" outlineLevel="1" collapsed="1">
      <c r="A3071" s="30" t="s">
        <v>32</v>
      </c>
      <c r="B3071" s="17" t="s">
        <v>32</v>
      </c>
      <c r="C3071" s="30" t="s">
        <v>32</v>
      </c>
      <c r="D3071" s="31" t="s">
        <v>32</v>
      </c>
      <c r="E3071" s="17" t="s">
        <v>478</v>
      </c>
      <c r="F3071" s="17" t="s">
        <v>32</v>
      </c>
    </row>
    <row r="3072" ht="36" customHeight="1" hidden="1" spans="1:6" x14ac:dyDescent="0.25" outlineLevel="1" collapsed="1">
      <c r="A3072" s="32" t="s">
        <v>32</v>
      </c>
      <c r="B3072" s="12" t="s">
        <v>32</v>
      </c>
      <c r="C3072" s="32" t="s">
        <v>32</v>
      </c>
      <c r="D3072" s="31" t="s">
        <v>32</v>
      </c>
      <c r="E3072" s="33" t="s">
        <v>658</v>
      </c>
      <c r="F3072" s="12" t="s">
        <v>32</v>
      </c>
    </row>
    <row r="3073" ht="51" customHeight="1" hidden="1" spans="1:6" x14ac:dyDescent="0.25" outlineLevel="1" collapsed="1">
      <c r="A3073" s="27">
        <v>4230</v>
      </c>
      <c r="B3073" s="28" t="s">
        <v>544</v>
      </c>
      <c r="C3073" s="27" t="s">
        <v>472</v>
      </c>
      <c r="D3073" s="29" t="s">
        <v>32</v>
      </c>
      <c r="E3073" s="28" t="s">
        <v>576</v>
      </c>
      <c r="F3073" s="28" t="s">
        <v>604</v>
      </c>
    </row>
    <row r="3074" ht="21" customHeight="1" hidden="1" spans="1:6" x14ac:dyDescent="0.25" outlineLevel="1" collapsed="1">
      <c r="A3074" s="30" t="s">
        <v>32</v>
      </c>
      <c r="B3074" s="17" t="s">
        <v>32</v>
      </c>
      <c r="C3074" s="30" t="s">
        <v>32</v>
      </c>
      <c r="D3074" s="31" t="s">
        <v>32</v>
      </c>
      <c r="E3074" s="17" t="s">
        <v>577</v>
      </c>
      <c r="F3074" s="17" t="s">
        <v>32</v>
      </c>
    </row>
    <row r="3075" ht="36" customHeight="1" hidden="1" spans="1:6" x14ac:dyDescent="0.25" outlineLevel="1" collapsed="1">
      <c r="A3075" s="32" t="s">
        <v>32</v>
      </c>
      <c r="B3075" s="12" t="s">
        <v>32</v>
      </c>
      <c r="C3075" s="32" t="s">
        <v>32</v>
      </c>
      <c r="D3075" s="31" t="s">
        <v>32</v>
      </c>
      <c r="E3075" s="12" t="s">
        <v>605</v>
      </c>
      <c r="F3075" s="12" t="s">
        <v>32</v>
      </c>
    </row>
    <row r="3076" ht="21" customHeight="1" hidden="1" spans="1:6" x14ac:dyDescent="0.25" outlineLevel="1" collapsed="1">
      <c r="A3076" s="30" t="s">
        <v>32</v>
      </c>
      <c r="B3076" s="17" t="s">
        <v>32</v>
      </c>
      <c r="C3076" s="30" t="s">
        <v>32</v>
      </c>
      <c r="D3076" s="31" t="s">
        <v>32</v>
      </c>
      <c r="E3076" s="17" t="s">
        <v>580</v>
      </c>
      <c r="F3076" s="17" t="s">
        <v>32</v>
      </c>
    </row>
    <row r="3077" ht="21" customHeight="1" hidden="1" spans="1:6" x14ac:dyDescent="0.25" outlineLevel="1" collapsed="1">
      <c r="A3077" s="32" t="s">
        <v>32</v>
      </c>
      <c r="B3077" s="12" t="s">
        <v>32</v>
      </c>
      <c r="C3077" s="32" t="s">
        <v>32</v>
      </c>
      <c r="D3077" s="31" t="s">
        <v>32</v>
      </c>
      <c r="E3077" s="12" t="s">
        <v>606</v>
      </c>
      <c r="F3077" s="12" t="s">
        <v>32</v>
      </c>
    </row>
    <row r="3078" ht="21" customHeight="1" hidden="1" spans="1:6" x14ac:dyDescent="0.25" outlineLevel="1" collapsed="1">
      <c r="A3078" s="30" t="s">
        <v>32</v>
      </c>
      <c r="B3078" s="17" t="s">
        <v>32</v>
      </c>
      <c r="C3078" s="30" t="s">
        <v>32</v>
      </c>
      <c r="D3078" s="31" t="s">
        <v>32</v>
      </c>
      <c r="E3078" s="17" t="s">
        <v>551</v>
      </c>
      <c r="F3078" s="17" t="s">
        <v>32</v>
      </c>
    </row>
    <row r="3079" ht="21" customHeight="1" hidden="1" spans="1:6" x14ac:dyDescent="0.25" outlineLevel="1" collapsed="1">
      <c r="A3079" s="32" t="s">
        <v>32</v>
      </c>
      <c r="B3079" s="12" t="s">
        <v>32</v>
      </c>
      <c r="C3079" s="32" t="s">
        <v>32</v>
      </c>
      <c r="D3079" s="31" t="s">
        <v>32</v>
      </c>
      <c r="E3079" s="12" t="s">
        <v>581</v>
      </c>
      <c r="F3079" s="12" t="s">
        <v>32</v>
      </c>
    </row>
    <row r="3080" ht="21" customHeight="1" hidden="1" spans="1:6" x14ac:dyDescent="0.25" outlineLevel="1" collapsed="1">
      <c r="A3080" s="30" t="s">
        <v>32</v>
      </c>
      <c r="B3080" s="17" t="s">
        <v>32</v>
      </c>
      <c r="C3080" s="30" t="s">
        <v>32</v>
      </c>
      <c r="D3080" s="31" t="s">
        <v>32</v>
      </c>
      <c r="E3080" s="17" t="s">
        <v>582</v>
      </c>
      <c r="F3080" s="17" t="s">
        <v>32</v>
      </c>
    </row>
    <row r="3081" ht="21" customHeight="1" hidden="1" spans="1:6" x14ac:dyDescent="0.25" outlineLevel="1" collapsed="1">
      <c r="A3081" s="32" t="s">
        <v>32</v>
      </c>
      <c r="B3081" s="12" t="s">
        <v>32</v>
      </c>
      <c r="C3081" s="32" t="s">
        <v>32</v>
      </c>
      <c r="D3081" s="31" t="s">
        <v>32</v>
      </c>
      <c r="E3081" s="12" t="s">
        <v>607</v>
      </c>
      <c r="F3081" s="12" t="s">
        <v>32</v>
      </c>
    </row>
    <row r="3082" ht="21" customHeight="1" hidden="1" spans="1:6" x14ac:dyDescent="0.25" outlineLevel="1" collapsed="1">
      <c r="A3082" s="30" t="s">
        <v>32</v>
      </c>
      <c r="B3082" s="17" t="s">
        <v>32</v>
      </c>
      <c r="C3082" s="30" t="s">
        <v>32</v>
      </c>
      <c r="D3082" s="31" t="s">
        <v>32</v>
      </c>
      <c r="E3082" s="17" t="s">
        <v>555</v>
      </c>
      <c r="F3082" s="17" t="s">
        <v>32</v>
      </c>
    </row>
    <row r="3083" ht="21" customHeight="1" hidden="1" spans="1:6" x14ac:dyDescent="0.25" outlineLevel="1" collapsed="1">
      <c r="A3083" s="32" t="s">
        <v>32</v>
      </c>
      <c r="B3083" s="12" t="s">
        <v>32</v>
      </c>
      <c r="C3083" s="32" t="s">
        <v>32</v>
      </c>
      <c r="D3083" s="31" t="s">
        <v>32</v>
      </c>
      <c r="E3083" s="12" t="s">
        <v>584</v>
      </c>
      <c r="F3083" s="12" t="s">
        <v>32</v>
      </c>
    </row>
    <row r="3084" ht="36" customHeight="1" hidden="1" spans="1:6" x14ac:dyDescent="0.25" outlineLevel="1" collapsed="1">
      <c r="A3084" s="30" t="s">
        <v>32</v>
      </c>
      <c r="B3084" s="17" t="s">
        <v>32</v>
      </c>
      <c r="C3084" s="30" t="s">
        <v>32</v>
      </c>
      <c r="D3084" s="31" t="s">
        <v>32</v>
      </c>
      <c r="E3084" s="35" t="s">
        <v>659</v>
      </c>
      <c r="F3084" s="17" t="s">
        <v>32</v>
      </c>
    </row>
    <row r="3085" ht="22" customHeight="1" hidden="1" spans="1:6" x14ac:dyDescent="0.25" outlineLevel="1" collapsed="1">
      <c r="A3085" s="34" t="s">
        <v>495</v>
      </c>
      <c r="B3085" s="34"/>
      <c r="C3085" s="34"/>
      <c r="D3085" s="34"/>
      <c r="E3085" s="34"/>
      <c r="F3085" s="34"/>
    </row>
    <row r="3086" ht="24" customHeight="1" hidden="1" spans="1:6" x14ac:dyDescent="0.25" outlineLevel="1" collapsed="1">
      <c r="A3086" s="12" t="s">
        <v>660</v>
      </c>
      <c r="B3086" s="12"/>
      <c r="C3086" s="12"/>
      <c r="D3086" s="12"/>
      <c r="E3086" s="12"/>
      <c r="F3086" s="12"/>
    </row>
    <row r="3087" ht="40" customHeight="1" hidden="1" spans="1:6" x14ac:dyDescent="0.25" outlineLevel="1" collapsed="1">
      <c r="A3087" s="12" t="s">
        <v>661</v>
      </c>
      <c r="B3087" s="12"/>
      <c r="C3087" s="12"/>
      <c r="D3087" s="12"/>
      <c r="E3087" s="12"/>
      <c r="F3087" s="12"/>
    </row>
    <row r="3088" ht="56" customHeight="1" hidden="1" spans="1:6" x14ac:dyDescent="0.25" outlineLevel="1" collapsed="1">
      <c r="A3088" s="12" t="s">
        <v>662</v>
      </c>
      <c r="B3088" s="12"/>
      <c r="C3088" s="12"/>
      <c r="D3088" s="12"/>
      <c r="E3088" s="12"/>
      <c r="F3088" s="12"/>
    </row>
    <row r="3089" ht="24" customHeight="1" hidden="1" spans="1:6" x14ac:dyDescent="0.25" outlineLevel="1" collapsed="1">
      <c r="A3089" s="12" t="s">
        <v>499</v>
      </c>
      <c r="B3089" s="12"/>
      <c r="C3089" s="12"/>
      <c r="D3089" s="12"/>
      <c r="E3089" s="12"/>
      <c r="F3089" s="12"/>
    </row>
    <row r="3090" ht="6" customHeight="1" hidden="1" x14ac:dyDescent="0.25" outlineLevel="1" collapsed="1"/>
    <row r="3091" ht="22" customHeight="1" spans="1:6" x14ac:dyDescent="0.25">
      <c r="A3091" s="25" t="s">
        <v>612</v>
      </c>
      <c r="B3091" s="25"/>
      <c r="C3091" s="25"/>
      <c r="D3091" s="25"/>
      <c r="E3091" s="25"/>
      <c r="F3091" s="25"/>
    </row>
    <row r="3092" ht="20" customHeight="1" hidden="1" spans="1:6" x14ac:dyDescent="0.25" outlineLevel="1" collapsed="1">
      <c r="A3092" s="26" t="s">
        <v>460</v>
      </c>
      <c r="B3092" s="26" t="s">
        <v>461</v>
      </c>
      <c r="C3092" s="26" t="s">
        <v>462</v>
      </c>
      <c r="D3092" s="26" t="s">
        <v>32</v>
      </c>
      <c r="E3092" s="26" t="s">
        <v>463</v>
      </c>
      <c r="F3092" s="26" t="s">
        <v>464</v>
      </c>
    </row>
    <row r="3093" ht="51" customHeight="1" hidden="1" spans="1:6" x14ac:dyDescent="0.25" outlineLevel="1" collapsed="1">
      <c r="A3093" s="27">
        <v>4220</v>
      </c>
      <c r="B3093" s="28" t="s">
        <v>543</v>
      </c>
      <c r="C3093" s="27" t="s">
        <v>466</v>
      </c>
      <c r="D3093" s="29" t="s">
        <v>32</v>
      </c>
      <c r="E3093" s="28" t="s">
        <v>663</v>
      </c>
      <c r="F3093" s="28" t="s">
        <v>614</v>
      </c>
    </row>
    <row r="3094" ht="21" customHeight="1" hidden="1" spans="1:6" x14ac:dyDescent="0.25" outlineLevel="1" collapsed="1">
      <c r="A3094" s="30" t="s">
        <v>32</v>
      </c>
      <c r="B3094" s="17" t="s">
        <v>32</v>
      </c>
      <c r="C3094" s="30" t="s">
        <v>32</v>
      </c>
      <c r="D3094" s="31" t="s">
        <v>32</v>
      </c>
      <c r="E3094" s="17" t="s">
        <v>615</v>
      </c>
      <c r="F3094" s="17" t="s">
        <v>32</v>
      </c>
    </row>
    <row r="3095" ht="21" customHeight="1" hidden="1" spans="1:6" x14ac:dyDescent="0.25" outlineLevel="1" collapsed="1">
      <c r="A3095" s="32" t="s">
        <v>32</v>
      </c>
      <c r="B3095" s="12" t="s">
        <v>32</v>
      </c>
      <c r="C3095" s="32" t="s">
        <v>32</v>
      </c>
      <c r="D3095" s="31" t="s">
        <v>32</v>
      </c>
      <c r="E3095" s="12" t="s">
        <v>616</v>
      </c>
      <c r="F3095" s="12" t="s">
        <v>32</v>
      </c>
    </row>
    <row r="3096" ht="51" customHeight="1" hidden="1" spans="1:6" x14ac:dyDescent="0.25" outlineLevel="1" collapsed="1">
      <c r="A3096" s="27">
        <v>4240</v>
      </c>
      <c r="B3096" s="28" t="s">
        <v>471</v>
      </c>
      <c r="C3096" s="27" t="s">
        <v>472</v>
      </c>
      <c r="D3096" s="29" t="s">
        <v>32</v>
      </c>
      <c r="E3096" s="28" t="s">
        <v>473</v>
      </c>
      <c r="F3096" s="28" t="s">
        <v>474</v>
      </c>
    </row>
    <row r="3097" ht="21" customHeight="1" hidden="1" spans="1:6" x14ac:dyDescent="0.25" outlineLevel="1" collapsed="1">
      <c r="A3097" s="30" t="s">
        <v>32</v>
      </c>
      <c r="B3097" s="17" t="s">
        <v>32</v>
      </c>
      <c r="C3097" s="30" t="s">
        <v>32</v>
      </c>
      <c r="D3097" s="31" t="s">
        <v>32</v>
      </c>
      <c r="E3097" s="17" t="s">
        <v>475</v>
      </c>
      <c r="F3097" s="17" t="s">
        <v>32</v>
      </c>
    </row>
    <row r="3098" ht="36" customHeight="1" hidden="1" spans="1:6" x14ac:dyDescent="0.25" outlineLevel="1" collapsed="1">
      <c r="A3098" s="32" t="s">
        <v>32</v>
      </c>
      <c r="B3098" s="12" t="s">
        <v>32</v>
      </c>
      <c r="C3098" s="32" t="s">
        <v>32</v>
      </c>
      <c r="D3098" s="31" t="s">
        <v>32</v>
      </c>
      <c r="E3098" s="12" t="s">
        <v>476</v>
      </c>
      <c r="F3098" s="12" t="s">
        <v>32</v>
      </c>
    </row>
    <row r="3099" ht="21" customHeight="1" hidden="1" spans="1:6" x14ac:dyDescent="0.25" outlineLevel="1" collapsed="1">
      <c r="A3099" s="30" t="s">
        <v>32</v>
      </c>
      <c r="B3099" s="17" t="s">
        <v>32</v>
      </c>
      <c r="C3099" s="30" t="s">
        <v>32</v>
      </c>
      <c r="D3099" s="31" t="s">
        <v>32</v>
      </c>
      <c r="E3099" s="17" t="s">
        <v>617</v>
      </c>
      <c r="F3099" s="17" t="s">
        <v>32</v>
      </c>
    </row>
    <row r="3100" ht="36" customHeight="1" hidden="1" spans="1:6" x14ac:dyDescent="0.25" outlineLevel="1" collapsed="1">
      <c r="A3100" s="32" t="s">
        <v>32</v>
      </c>
      <c r="B3100" s="12" t="s">
        <v>32</v>
      </c>
      <c r="C3100" s="32" t="s">
        <v>32</v>
      </c>
      <c r="D3100" s="31" t="s">
        <v>32</v>
      </c>
      <c r="E3100" s="12" t="s">
        <v>478</v>
      </c>
      <c r="F3100" s="12" t="s">
        <v>32</v>
      </c>
    </row>
    <row r="3101" ht="21" customHeight="1" hidden="1" spans="1:6" x14ac:dyDescent="0.25" outlineLevel="1" collapsed="1">
      <c r="A3101" s="30" t="s">
        <v>32</v>
      </c>
      <c r="B3101" s="17" t="s">
        <v>32</v>
      </c>
      <c r="C3101" s="30" t="s">
        <v>32</v>
      </c>
      <c r="D3101" s="31" t="s">
        <v>32</v>
      </c>
      <c r="E3101" s="17" t="s">
        <v>479</v>
      </c>
      <c r="F3101" s="17" t="s">
        <v>32</v>
      </c>
    </row>
    <row r="3102" ht="36" customHeight="1" hidden="1" spans="1:6" x14ac:dyDescent="0.25" outlineLevel="1" collapsed="1">
      <c r="A3102" s="32" t="s">
        <v>32</v>
      </c>
      <c r="B3102" s="12" t="s">
        <v>32</v>
      </c>
      <c r="C3102" s="32" t="s">
        <v>32</v>
      </c>
      <c r="D3102" s="31" t="s">
        <v>32</v>
      </c>
      <c r="E3102" s="33" t="s">
        <v>664</v>
      </c>
      <c r="F3102" s="12" t="s">
        <v>32</v>
      </c>
    </row>
    <row r="3103" ht="36" customHeight="1" hidden="1" spans="1:6" x14ac:dyDescent="0.25" outlineLevel="1" collapsed="1">
      <c r="A3103" s="27">
        <v>4230</v>
      </c>
      <c r="B3103" s="28" t="s">
        <v>544</v>
      </c>
      <c r="C3103" s="27" t="s">
        <v>472</v>
      </c>
      <c r="D3103" s="29" t="s">
        <v>32</v>
      </c>
      <c r="E3103" s="28" t="s">
        <v>619</v>
      </c>
      <c r="F3103" s="28" t="s">
        <v>32</v>
      </c>
    </row>
    <row r="3104" ht="22" customHeight="1" hidden="1" spans="1:6" x14ac:dyDescent="0.25" outlineLevel="1" collapsed="1">
      <c r="A3104" s="34" t="s">
        <v>495</v>
      </c>
      <c r="B3104" s="34"/>
      <c r="C3104" s="34"/>
      <c r="D3104" s="34"/>
      <c r="E3104" s="34"/>
      <c r="F3104" s="34"/>
    </row>
    <row r="3105" ht="24" customHeight="1" hidden="1" spans="1:6" x14ac:dyDescent="0.25" outlineLevel="1" collapsed="1">
      <c r="A3105" s="12" t="s">
        <v>665</v>
      </c>
      <c r="B3105" s="12"/>
      <c r="C3105" s="12"/>
      <c r="D3105" s="12"/>
      <c r="E3105" s="12"/>
      <c r="F3105" s="12"/>
    </row>
    <row r="3106" ht="40" customHeight="1" hidden="1" spans="1:6" x14ac:dyDescent="0.25" outlineLevel="1" collapsed="1">
      <c r="A3106" s="12" t="s">
        <v>666</v>
      </c>
      <c r="B3106" s="12"/>
      <c r="C3106" s="12"/>
      <c r="D3106" s="12"/>
      <c r="E3106" s="12"/>
      <c r="F3106" s="12"/>
    </row>
    <row r="3107" ht="24" customHeight="1" hidden="1" spans="1:6" x14ac:dyDescent="0.25" outlineLevel="1" collapsed="1">
      <c r="A3107" s="12" t="s">
        <v>667</v>
      </c>
      <c r="B3107" s="12"/>
      <c r="C3107" s="12"/>
      <c r="D3107" s="12"/>
      <c r="E3107" s="12"/>
      <c r="F3107" s="12"/>
    </row>
    <row r="3108" ht="24" customHeight="1" hidden="1" spans="1:6" x14ac:dyDescent="0.25" outlineLevel="1" collapsed="1">
      <c r="A3108" s="12" t="s">
        <v>499</v>
      </c>
      <c r="B3108" s="12"/>
      <c r="C3108" s="12"/>
      <c r="D3108" s="12"/>
      <c r="E3108" s="12"/>
      <c r="F3108" s="12"/>
    </row>
    <row r="3109" ht="6" customHeight="1" hidden="1" x14ac:dyDescent="0.25" outlineLevel="1" collapsed="1"/>
    <row r="3110" ht="22" customHeight="1" spans="1:6" x14ac:dyDescent="0.25">
      <c r="A3110" s="25" t="s">
        <v>623</v>
      </c>
      <c r="B3110" s="25"/>
      <c r="C3110" s="25"/>
      <c r="D3110" s="25"/>
      <c r="E3110" s="25"/>
      <c r="F3110" s="25"/>
    </row>
    <row r="3111" ht="20" customHeight="1" hidden="1" spans="1:6" x14ac:dyDescent="0.25" outlineLevel="1" collapsed="1">
      <c r="A3111" s="26" t="s">
        <v>460</v>
      </c>
      <c r="B3111" s="26" t="s">
        <v>461</v>
      </c>
      <c r="C3111" s="26" t="s">
        <v>462</v>
      </c>
      <c r="D3111" s="26" t="s">
        <v>32</v>
      </c>
      <c r="E3111" s="26" t="s">
        <v>463</v>
      </c>
      <c r="F3111" s="26" t="s">
        <v>464</v>
      </c>
    </row>
    <row r="3112" ht="36" customHeight="1" hidden="1" spans="1:6" x14ac:dyDescent="0.25" outlineLevel="1" collapsed="1">
      <c r="A3112" s="27">
        <v>4220</v>
      </c>
      <c r="B3112" s="28" t="s">
        <v>543</v>
      </c>
      <c r="C3112" s="27" t="s">
        <v>466</v>
      </c>
      <c r="D3112" s="29" t="s">
        <v>32</v>
      </c>
      <c r="E3112" s="28" t="s">
        <v>518</v>
      </c>
      <c r="F3112" s="28" t="s">
        <v>32</v>
      </c>
    </row>
    <row r="3113" ht="21" customHeight="1" hidden="1" spans="1:6" x14ac:dyDescent="0.25" outlineLevel="1" collapsed="1">
      <c r="A3113" s="27">
        <v>4240</v>
      </c>
      <c r="B3113" s="28" t="s">
        <v>471</v>
      </c>
      <c r="C3113" s="27" t="s">
        <v>472</v>
      </c>
      <c r="D3113" s="29" t="s">
        <v>32</v>
      </c>
      <c r="E3113" s="28" t="s">
        <v>506</v>
      </c>
      <c r="F3113" s="28" t="s">
        <v>32</v>
      </c>
    </row>
    <row r="3114" ht="36" customHeight="1" hidden="1" spans="1:6" x14ac:dyDescent="0.25" outlineLevel="1" collapsed="1">
      <c r="A3114" s="27">
        <v>4230</v>
      </c>
      <c r="B3114" s="28" t="s">
        <v>544</v>
      </c>
      <c r="C3114" s="27" t="s">
        <v>472</v>
      </c>
      <c r="D3114" s="29" t="s">
        <v>32</v>
      </c>
      <c r="E3114" s="28" t="s">
        <v>518</v>
      </c>
      <c r="F3114" s="28" t="s">
        <v>32</v>
      </c>
    </row>
    <row r="3115" ht="22" customHeight="1" hidden="1" spans="1:6" x14ac:dyDescent="0.25" outlineLevel="1" collapsed="1">
      <c r="A3115" s="34" t="s">
        <v>495</v>
      </c>
      <c r="B3115" s="34"/>
      <c r="C3115" s="34"/>
      <c r="D3115" s="34"/>
      <c r="E3115" s="34"/>
      <c r="F3115" s="34"/>
    </row>
    <row r="3116" ht="24" customHeight="1" hidden="1" spans="1:6" x14ac:dyDescent="0.25" outlineLevel="1" collapsed="1">
      <c r="A3116" s="12" t="s">
        <v>655</v>
      </c>
      <c r="B3116" s="12"/>
      <c r="C3116" s="12"/>
      <c r="D3116" s="12"/>
      <c r="E3116" s="12"/>
      <c r="F3116" s="12"/>
    </row>
    <row r="3117" ht="24" customHeight="1" hidden="1" spans="1:6" x14ac:dyDescent="0.25" outlineLevel="1" collapsed="1">
      <c r="A3117" s="12" t="s">
        <v>656</v>
      </c>
      <c r="B3117" s="12"/>
      <c r="C3117" s="12"/>
      <c r="D3117" s="12"/>
      <c r="E3117" s="12"/>
      <c r="F3117" s="12"/>
    </row>
    <row r="3118" ht="24" customHeight="1" hidden="1" spans="1:6" x14ac:dyDescent="0.25" outlineLevel="1" collapsed="1">
      <c r="A3118" s="12" t="s">
        <v>642</v>
      </c>
      <c r="B3118" s="12"/>
      <c r="C3118" s="12"/>
      <c r="D3118" s="12"/>
      <c r="E3118" s="12"/>
      <c r="F3118" s="12"/>
    </row>
    <row r="3119" ht="24" customHeight="1" hidden="1" spans="1:6" x14ac:dyDescent="0.25" outlineLevel="1" collapsed="1">
      <c r="A3119" s="12" t="s">
        <v>499</v>
      </c>
      <c r="B3119" s="12"/>
      <c r="C3119" s="12"/>
      <c r="D3119" s="12"/>
      <c r="E3119" s="12"/>
      <c r="F3119" s="12"/>
    </row>
    <row r="3120" ht="6" customHeight="1" hidden="1" x14ac:dyDescent="0.25" outlineLevel="1" collapsed="1"/>
    <row r="3121" ht="22" customHeight="1" spans="1:6" x14ac:dyDescent="0.25">
      <c r="A3121" s="25" t="s">
        <v>624</v>
      </c>
      <c r="B3121" s="25"/>
      <c r="C3121" s="25"/>
      <c r="D3121" s="25"/>
      <c r="E3121" s="25"/>
      <c r="F3121" s="25"/>
    </row>
    <row r="3122" ht="20" customHeight="1" hidden="1" spans="1:6" x14ac:dyDescent="0.25" outlineLevel="1" collapsed="1">
      <c r="A3122" s="26" t="s">
        <v>460</v>
      </c>
      <c r="B3122" s="26" t="s">
        <v>461</v>
      </c>
      <c r="C3122" s="26" t="s">
        <v>462</v>
      </c>
      <c r="D3122" s="26" t="s">
        <v>32</v>
      </c>
      <c r="E3122" s="26" t="s">
        <v>463</v>
      </c>
      <c r="F3122" s="26" t="s">
        <v>464</v>
      </c>
    </row>
    <row r="3123" ht="36" customHeight="1" hidden="1" spans="1:6" x14ac:dyDescent="0.25" outlineLevel="1" collapsed="1">
      <c r="A3123" s="27">
        <v>4220</v>
      </c>
      <c r="B3123" s="28" t="s">
        <v>543</v>
      </c>
      <c r="C3123" s="27" t="s">
        <v>466</v>
      </c>
      <c r="D3123" s="29" t="s">
        <v>32</v>
      </c>
      <c r="E3123" s="36" t="s">
        <v>668</v>
      </c>
      <c r="F3123" s="28" t="s">
        <v>32</v>
      </c>
    </row>
    <row r="3124" ht="36" customHeight="1" hidden="1" spans="1:6" x14ac:dyDescent="0.25" outlineLevel="1" collapsed="1">
      <c r="A3124" s="27">
        <v>4240</v>
      </c>
      <c r="B3124" s="28" t="s">
        <v>471</v>
      </c>
      <c r="C3124" s="27" t="s">
        <v>472</v>
      </c>
      <c r="D3124" s="29" t="s">
        <v>32</v>
      </c>
      <c r="E3124" s="36" t="s">
        <v>668</v>
      </c>
      <c r="F3124" s="28" t="s">
        <v>32</v>
      </c>
    </row>
    <row r="3125" ht="36" customHeight="1" hidden="1" spans="1:6" x14ac:dyDescent="0.25" outlineLevel="1" collapsed="1">
      <c r="A3125" s="27">
        <v>4230</v>
      </c>
      <c r="B3125" s="28" t="s">
        <v>544</v>
      </c>
      <c r="C3125" s="27" t="s">
        <v>472</v>
      </c>
      <c r="D3125" s="29" t="s">
        <v>32</v>
      </c>
      <c r="E3125" s="36" t="s">
        <v>668</v>
      </c>
      <c r="F3125" s="28" t="s">
        <v>32</v>
      </c>
    </row>
    <row r="3126" ht="22" customHeight="1" hidden="1" spans="1:6" x14ac:dyDescent="0.25" outlineLevel="1" collapsed="1">
      <c r="A3126" s="34" t="s">
        <v>495</v>
      </c>
      <c r="B3126" s="34"/>
      <c r="C3126" s="34"/>
      <c r="D3126" s="34"/>
      <c r="E3126" s="34"/>
      <c r="F3126" s="34"/>
    </row>
    <row r="3127" ht="24" customHeight="1" hidden="1" spans="1:6" x14ac:dyDescent="0.25" outlineLevel="1" collapsed="1">
      <c r="A3127" s="12" t="s">
        <v>669</v>
      </c>
      <c r="B3127" s="12"/>
      <c r="C3127" s="12"/>
      <c r="D3127" s="12"/>
      <c r="E3127" s="12"/>
      <c r="F3127" s="12"/>
    </row>
    <row r="3128" ht="24" customHeight="1" hidden="1" spans="1:6" x14ac:dyDescent="0.25" outlineLevel="1" collapsed="1">
      <c r="A3128" s="12" t="s">
        <v>670</v>
      </c>
      <c r="B3128" s="12"/>
      <c r="C3128" s="12"/>
      <c r="D3128" s="12"/>
      <c r="E3128" s="12"/>
      <c r="F3128" s="12"/>
    </row>
    <row r="3129" ht="24" customHeight="1" hidden="1" spans="1:6" x14ac:dyDescent="0.25" outlineLevel="1" collapsed="1">
      <c r="A3129" s="12" t="s">
        <v>671</v>
      </c>
      <c r="B3129" s="12"/>
      <c r="C3129" s="12"/>
      <c r="D3129" s="12"/>
      <c r="E3129" s="12"/>
      <c r="F3129" s="12"/>
    </row>
    <row r="3130" ht="24" customHeight="1" hidden="1" spans="1:6" x14ac:dyDescent="0.25" outlineLevel="1" collapsed="1">
      <c r="A3130" s="12" t="s">
        <v>499</v>
      </c>
      <c r="B3130" s="12"/>
      <c r="C3130" s="12"/>
      <c r="D3130" s="12"/>
      <c r="E3130" s="12"/>
      <c r="F3130" s="12"/>
    </row>
    <row r="3131" ht="6" customHeight="1" hidden="1" x14ac:dyDescent="0.25" outlineLevel="1" collapsed="1"/>
    <row r="3132" ht="22" customHeight="1" spans="1:6" x14ac:dyDescent="0.25">
      <c r="A3132" s="25" t="s">
        <v>629</v>
      </c>
      <c r="B3132" s="25"/>
      <c r="C3132" s="25"/>
      <c r="D3132" s="25"/>
      <c r="E3132" s="25"/>
      <c r="F3132" s="25"/>
    </row>
    <row r="3133" ht="20" customHeight="1" hidden="1" spans="1:6" x14ac:dyDescent="0.25" outlineLevel="1" collapsed="1">
      <c r="A3133" s="26" t="s">
        <v>460</v>
      </c>
      <c r="B3133" s="26" t="s">
        <v>461</v>
      </c>
      <c r="C3133" s="26" t="s">
        <v>462</v>
      </c>
      <c r="D3133" s="26" t="s">
        <v>32</v>
      </c>
      <c r="E3133" s="26" t="s">
        <v>463</v>
      </c>
      <c r="F3133" s="26" t="s">
        <v>464</v>
      </c>
    </row>
    <row r="3134" ht="36" customHeight="1" hidden="1" spans="1:6" x14ac:dyDescent="0.25" outlineLevel="1" collapsed="1">
      <c r="A3134" s="27">
        <v>4220</v>
      </c>
      <c r="B3134" s="28" t="s">
        <v>543</v>
      </c>
      <c r="C3134" s="27" t="s">
        <v>466</v>
      </c>
      <c r="D3134" s="29" t="s">
        <v>32</v>
      </c>
      <c r="E3134" s="36" t="s">
        <v>668</v>
      </c>
      <c r="F3134" s="28" t="s">
        <v>32</v>
      </c>
    </row>
    <row r="3135" ht="36" customHeight="1" hidden="1" spans="1:6" x14ac:dyDescent="0.25" outlineLevel="1" collapsed="1">
      <c r="A3135" s="27">
        <v>4240</v>
      </c>
      <c r="B3135" s="28" t="s">
        <v>471</v>
      </c>
      <c r="C3135" s="27" t="s">
        <v>472</v>
      </c>
      <c r="D3135" s="29" t="s">
        <v>32</v>
      </c>
      <c r="E3135" s="36" t="s">
        <v>668</v>
      </c>
      <c r="F3135" s="28" t="s">
        <v>32</v>
      </c>
    </row>
    <row r="3136" ht="36" customHeight="1" hidden="1" spans="1:6" x14ac:dyDescent="0.25" outlineLevel="1" collapsed="1">
      <c r="A3136" s="27">
        <v>4230</v>
      </c>
      <c r="B3136" s="28" t="s">
        <v>544</v>
      </c>
      <c r="C3136" s="27" t="s">
        <v>472</v>
      </c>
      <c r="D3136" s="29" t="s">
        <v>32</v>
      </c>
      <c r="E3136" s="36" t="s">
        <v>668</v>
      </c>
      <c r="F3136" s="28" t="s">
        <v>32</v>
      </c>
    </row>
    <row r="3137" ht="22" customHeight="1" hidden="1" spans="1:6" x14ac:dyDescent="0.25" outlineLevel="1" collapsed="1">
      <c r="A3137" s="34" t="s">
        <v>495</v>
      </c>
      <c r="B3137" s="34"/>
      <c r="C3137" s="34"/>
      <c r="D3137" s="34"/>
      <c r="E3137" s="34"/>
      <c r="F3137" s="34"/>
    </row>
    <row r="3138" ht="24" customHeight="1" hidden="1" spans="1:6" x14ac:dyDescent="0.25" outlineLevel="1" collapsed="1">
      <c r="A3138" s="12" t="s">
        <v>669</v>
      </c>
      <c r="B3138" s="12"/>
      <c r="C3138" s="12"/>
      <c r="D3138" s="12"/>
      <c r="E3138" s="12"/>
      <c r="F3138" s="12"/>
    </row>
    <row r="3139" ht="24" customHeight="1" hidden="1" spans="1:6" x14ac:dyDescent="0.25" outlineLevel="1" collapsed="1">
      <c r="A3139" s="12" t="s">
        <v>670</v>
      </c>
      <c r="B3139" s="12"/>
      <c r="C3139" s="12"/>
      <c r="D3139" s="12"/>
      <c r="E3139" s="12"/>
      <c r="F3139" s="12"/>
    </row>
    <row r="3140" ht="24" customHeight="1" hidden="1" spans="1:6" x14ac:dyDescent="0.25" outlineLevel="1" collapsed="1">
      <c r="A3140" s="12" t="s">
        <v>671</v>
      </c>
      <c r="B3140" s="12"/>
      <c r="C3140" s="12"/>
      <c r="D3140" s="12"/>
      <c r="E3140" s="12"/>
      <c r="F3140" s="12"/>
    </row>
    <row r="3141" ht="24" customHeight="1" hidden="1" spans="1:6" x14ac:dyDescent="0.25" outlineLevel="1" collapsed="1">
      <c r="A3141" s="12" t="s">
        <v>499</v>
      </c>
      <c r="B3141" s="12"/>
      <c r="C3141" s="12"/>
      <c r="D3141" s="12"/>
      <c r="E3141" s="12"/>
      <c r="F3141" s="12"/>
    </row>
    <row r="3142" ht="6" customHeight="1" hidden="1" x14ac:dyDescent="0.25" outlineLevel="1" collapsed="1"/>
    <row r="3143" ht="22" customHeight="1" spans="1:6" x14ac:dyDescent="0.25">
      <c r="A3143" s="25" t="s">
        <v>630</v>
      </c>
      <c r="B3143" s="25"/>
      <c r="C3143" s="25"/>
      <c r="D3143" s="25"/>
      <c r="E3143" s="25"/>
      <c r="F3143" s="25"/>
    </row>
    <row r="3144" ht="20" customHeight="1" hidden="1" spans="1:6" x14ac:dyDescent="0.25" outlineLevel="1" collapsed="1">
      <c r="A3144" s="26" t="s">
        <v>460</v>
      </c>
      <c r="B3144" s="26" t="s">
        <v>461</v>
      </c>
      <c r="C3144" s="26" t="s">
        <v>462</v>
      </c>
      <c r="D3144" s="26" t="s">
        <v>32</v>
      </c>
      <c r="E3144" s="26" t="s">
        <v>463</v>
      </c>
      <c r="F3144" s="26" t="s">
        <v>464</v>
      </c>
    </row>
    <row r="3145" ht="36" customHeight="1" hidden="1" spans="1:6" x14ac:dyDescent="0.25" outlineLevel="1" collapsed="1">
      <c r="A3145" s="27">
        <v>4220</v>
      </c>
      <c r="B3145" s="28" t="s">
        <v>543</v>
      </c>
      <c r="C3145" s="27" t="s">
        <v>466</v>
      </c>
      <c r="D3145" s="29" t="s">
        <v>32</v>
      </c>
      <c r="E3145" s="36" t="s">
        <v>668</v>
      </c>
      <c r="F3145" s="28" t="s">
        <v>32</v>
      </c>
    </row>
    <row r="3146" ht="36" customHeight="1" hidden="1" spans="1:6" x14ac:dyDescent="0.25" outlineLevel="1" collapsed="1">
      <c r="A3146" s="27">
        <v>4240</v>
      </c>
      <c r="B3146" s="28" t="s">
        <v>471</v>
      </c>
      <c r="C3146" s="27" t="s">
        <v>472</v>
      </c>
      <c r="D3146" s="29" t="s">
        <v>32</v>
      </c>
      <c r="E3146" s="36" t="s">
        <v>668</v>
      </c>
      <c r="F3146" s="28" t="s">
        <v>32</v>
      </c>
    </row>
    <row r="3147" ht="36" customHeight="1" hidden="1" spans="1:6" x14ac:dyDescent="0.25" outlineLevel="1" collapsed="1">
      <c r="A3147" s="27">
        <v>4230</v>
      </c>
      <c r="B3147" s="28" t="s">
        <v>544</v>
      </c>
      <c r="C3147" s="27" t="s">
        <v>472</v>
      </c>
      <c r="D3147" s="29" t="s">
        <v>32</v>
      </c>
      <c r="E3147" s="36" t="s">
        <v>668</v>
      </c>
      <c r="F3147" s="28" t="s">
        <v>32</v>
      </c>
    </row>
    <row r="3148" ht="22" customHeight="1" hidden="1" spans="1:6" x14ac:dyDescent="0.25" outlineLevel="1" collapsed="1">
      <c r="A3148" s="34" t="s">
        <v>495</v>
      </c>
      <c r="B3148" s="34"/>
      <c r="C3148" s="34"/>
      <c r="D3148" s="34"/>
      <c r="E3148" s="34"/>
      <c r="F3148" s="34"/>
    </row>
    <row r="3149" ht="24" customHeight="1" hidden="1" spans="1:6" x14ac:dyDescent="0.25" outlineLevel="1" collapsed="1">
      <c r="A3149" s="12" t="s">
        <v>669</v>
      </c>
      <c r="B3149" s="12"/>
      <c r="C3149" s="12"/>
      <c r="D3149" s="12"/>
      <c r="E3149" s="12"/>
      <c r="F3149" s="12"/>
    </row>
    <row r="3150" ht="24" customHeight="1" hidden="1" spans="1:6" x14ac:dyDescent="0.25" outlineLevel="1" collapsed="1">
      <c r="A3150" s="12" t="s">
        <v>670</v>
      </c>
      <c r="B3150" s="12"/>
      <c r="C3150" s="12"/>
      <c r="D3150" s="12"/>
      <c r="E3150" s="12"/>
      <c r="F3150" s="12"/>
    </row>
    <row r="3151" ht="24" customHeight="1" hidden="1" spans="1:6" x14ac:dyDescent="0.25" outlineLevel="1" collapsed="1">
      <c r="A3151" s="12" t="s">
        <v>671</v>
      </c>
      <c r="B3151" s="12"/>
      <c r="C3151" s="12"/>
      <c r="D3151" s="12"/>
      <c r="E3151" s="12"/>
      <c r="F3151" s="12"/>
    </row>
    <row r="3152" ht="24" customHeight="1" hidden="1" spans="1:6" x14ac:dyDescent="0.25" outlineLevel="1" collapsed="1">
      <c r="A3152" s="12" t="s">
        <v>499</v>
      </c>
      <c r="B3152" s="12"/>
      <c r="C3152" s="12"/>
      <c r="D3152" s="12"/>
      <c r="E3152" s="12"/>
      <c r="F3152" s="12"/>
    </row>
    <row r="3153" ht="6" customHeight="1" hidden="1" x14ac:dyDescent="0.25" outlineLevel="1" collapsed="1"/>
    <row r="3154" ht="12" customHeight="1" x14ac:dyDescent="0.25"/>
    <row r="3155" ht="12" customHeight="1" x14ac:dyDescent="0.25"/>
    <row r="3156" ht="70" customHeight="1" spans="1:6" x14ac:dyDescent="0.25">
      <c r="A3156" s="7" t="s">
        <v>719</v>
      </c>
      <c r="B3156" s="7"/>
      <c r="C3156" s="7"/>
      <c r="D3156" s="7"/>
      <c r="E3156" s="7"/>
      <c r="F3156" s="7"/>
    </row>
    <row r="3157" ht="8" customHeight="1" x14ac:dyDescent="0.25"/>
    <row r="3158" ht="18" customHeight="1" spans="1:6" x14ac:dyDescent="0.25">
      <c r="A3158" s="23" t="s">
        <v>454</v>
      </c>
      <c r="B3158" s="23"/>
      <c r="C3158" s="23"/>
      <c r="D3158" s="23"/>
      <c r="E3158" s="23"/>
      <c r="F3158" s="23"/>
    </row>
  </sheetData>
  <mergeCells count="1032">
    <mergeCell ref="A2:F2"/>
    <mergeCell ref="A3:F3"/>
    <mergeCell ref="A4:F4"/>
    <mergeCell ref="A6:F6"/>
    <mergeCell ref="A7:F7"/>
    <mergeCell ref="A32:F32"/>
    <mergeCell ref="A33:F33"/>
    <mergeCell ref="A34:F34"/>
    <mergeCell ref="A35:F35"/>
    <mergeCell ref="A36:F36"/>
    <mergeCell ref="A38:F38"/>
    <mergeCell ref="A50:F50"/>
    <mergeCell ref="A51:F51"/>
    <mergeCell ref="A52:F52"/>
    <mergeCell ref="A53:F53"/>
    <mergeCell ref="A54:F54"/>
    <mergeCell ref="A55:F55"/>
    <mergeCell ref="A56:F56"/>
    <mergeCell ref="A57:F57"/>
    <mergeCell ref="A58:F58"/>
    <mergeCell ref="A60:F60"/>
    <mergeCell ref="A73:F73"/>
    <mergeCell ref="A74:F74"/>
    <mergeCell ref="A75:F75"/>
    <mergeCell ref="A76:F76"/>
    <mergeCell ref="A77:F77"/>
    <mergeCell ref="A78:F78"/>
    <mergeCell ref="A79:F79"/>
    <mergeCell ref="A80:F80"/>
    <mergeCell ref="A81:F81"/>
    <mergeCell ref="A82:F82"/>
    <mergeCell ref="A84:F84"/>
    <mergeCell ref="A105:F105"/>
    <mergeCell ref="A106:F106"/>
    <mergeCell ref="A107:F107"/>
    <mergeCell ref="A108:F108"/>
    <mergeCell ref="A109:F109"/>
    <mergeCell ref="A111:F111"/>
    <mergeCell ref="A131:F131"/>
    <mergeCell ref="A132:F132"/>
    <mergeCell ref="A133:F133"/>
    <mergeCell ref="A134:F134"/>
    <mergeCell ref="A135:F135"/>
    <mergeCell ref="A137:F137"/>
    <mergeCell ref="A157:F157"/>
    <mergeCell ref="A158:F158"/>
    <mergeCell ref="A159:F159"/>
    <mergeCell ref="A160:F160"/>
    <mergeCell ref="A161:F161"/>
    <mergeCell ref="A163:F163"/>
    <mergeCell ref="A183:F183"/>
    <mergeCell ref="A184:F184"/>
    <mergeCell ref="A185:F185"/>
    <mergeCell ref="A186:F186"/>
    <mergeCell ref="A187:F187"/>
    <mergeCell ref="A189:F189"/>
    <mergeCell ref="A209:F209"/>
    <mergeCell ref="A210:F210"/>
    <mergeCell ref="A211:F211"/>
    <mergeCell ref="A212:F212"/>
    <mergeCell ref="A213:F213"/>
    <mergeCell ref="A215:F215"/>
    <mergeCell ref="A235:F235"/>
    <mergeCell ref="A236:F236"/>
    <mergeCell ref="A237:F237"/>
    <mergeCell ref="A238:F238"/>
    <mergeCell ref="A239:F239"/>
    <mergeCell ref="A241:F241"/>
    <mergeCell ref="A261:F261"/>
    <mergeCell ref="A262:F262"/>
    <mergeCell ref="A263:F263"/>
    <mergeCell ref="A264:F264"/>
    <mergeCell ref="A265:F265"/>
    <mergeCell ref="A267:F267"/>
    <mergeCell ref="A274:F274"/>
    <mergeCell ref="A275:F275"/>
    <mergeCell ref="A276:F276"/>
    <mergeCell ref="A277:F277"/>
    <mergeCell ref="A278:F278"/>
    <mergeCell ref="A280:F280"/>
    <mergeCell ref="A305:F305"/>
    <mergeCell ref="A306:F306"/>
    <mergeCell ref="A307:F307"/>
    <mergeCell ref="A308:F308"/>
    <mergeCell ref="A309:F309"/>
    <mergeCell ref="A311:F311"/>
    <mergeCell ref="A336:F336"/>
    <mergeCell ref="A337:F337"/>
    <mergeCell ref="A338:F338"/>
    <mergeCell ref="A339:F339"/>
    <mergeCell ref="A340:F340"/>
    <mergeCell ref="A342:F342"/>
    <mergeCell ref="A367:F367"/>
    <mergeCell ref="A368:F368"/>
    <mergeCell ref="A369:F369"/>
    <mergeCell ref="A370:F370"/>
    <mergeCell ref="A371:F371"/>
    <mergeCell ref="A373:F373"/>
    <mergeCell ref="A398:F398"/>
    <mergeCell ref="A399:F399"/>
    <mergeCell ref="A400:F400"/>
    <mergeCell ref="A401:F401"/>
    <mergeCell ref="A402:F402"/>
    <mergeCell ref="A404:F404"/>
    <mergeCell ref="A429:F429"/>
    <mergeCell ref="A430:F430"/>
    <mergeCell ref="A431:F431"/>
    <mergeCell ref="A432:F432"/>
    <mergeCell ref="A433:F433"/>
    <mergeCell ref="A435:F435"/>
    <mergeCell ref="A460:F460"/>
    <mergeCell ref="A461:F461"/>
    <mergeCell ref="A462:F462"/>
    <mergeCell ref="A463:F463"/>
    <mergeCell ref="A464:F464"/>
    <mergeCell ref="A466:F466"/>
    <mergeCell ref="A491:F491"/>
    <mergeCell ref="A492:F492"/>
    <mergeCell ref="A493:F493"/>
    <mergeCell ref="A494:F494"/>
    <mergeCell ref="A495:F495"/>
    <mergeCell ref="A497:F497"/>
    <mergeCell ref="A522:F522"/>
    <mergeCell ref="A523:F523"/>
    <mergeCell ref="A524:F524"/>
    <mergeCell ref="A525:F525"/>
    <mergeCell ref="A526:F526"/>
    <mergeCell ref="A528:F528"/>
    <mergeCell ref="A533:F533"/>
    <mergeCell ref="A534:F534"/>
    <mergeCell ref="A535:F535"/>
    <mergeCell ref="A536:F536"/>
    <mergeCell ref="A537:F537"/>
    <mergeCell ref="A539:F539"/>
    <mergeCell ref="A561:F561"/>
    <mergeCell ref="A562:F562"/>
    <mergeCell ref="A563:F563"/>
    <mergeCell ref="A564:F564"/>
    <mergeCell ref="A565:F565"/>
    <mergeCell ref="A567:F567"/>
    <mergeCell ref="A580:F580"/>
    <mergeCell ref="A581:F581"/>
    <mergeCell ref="A582:F582"/>
    <mergeCell ref="A583:F583"/>
    <mergeCell ref="A584:F584"/>
    <mergeCell ref="A586:F586"/>
    <mergeCell ref="A591:F591"/>
    <mergeCell ref="A592:F592"/>
    <mergeCell ref="A593:F593"/>
    <mergeCell ref="A594:F594"/>
    <mergeCell ref="A595:F595"/>
    <mergeCell ref="A597:F597"/>
    <mergeCell ref="A602:F602"/>
    <mergeCell ref="A603:F603"/>
    <mergeCell ref="A604:F604"/>
    <mergeCell ref="A605:F605"/>
    <mergeCell ref="A606:F606"/>
    <mergeCell ref="A608:F608"/>
    <mergeCell ref="A613:F613"/>
    <mergeCell ref="A614:F614"/>
    <mergeCell ref="A615:F615"/>
    <mergeCell ref="A616:F616"/>
    <mergeCell ref="A617:F617"/>
    <mergeCell ref="A619:F619"/>
    <mergeCell ref="A624:F624"/>
    <mergeCell ref="A625:F625"/>
    <mergeCell ref="A626:F626"/>
    <mergeCell ref="A627:F627"/>
    <mergeCell ref="A628:F628"/>
    <mergeCell ref="A631:F631"/>
    <mergeCell ref="A632:F632"/>
    <mergeCell ref="A657:F657"/>
    <mergeCell ref="A658:F658"/>
    <mergeCell ref="A659:F659"/>
    <mergeCell ref="A660:F660"/>
    <mergeCell ref="A661:F661"/>
    <mergeCell ref="A663:F663"/>
    <mergeCell ref="A675:F675"/>
    <mergeCell ref="A676:F676"/>
    <mergeCell ref="A677:F677"/>
    <mergeCell ref="A678:F678"/>
    <mergeCell ref="A679:F679"/>
    <mergeCell ref="A680:F680"/>
    <mergeCell ref="A681:F681"/>
    <mergeCell ref="A682:F682"/>
    <mergeCell ref="A684:F684"/>
    <mergeCell ref="A697:F697"/>
    <mergeCell ref="A698:F698"/>
    <mergeCell ref="A699:F699"/>
    <mergeCell ref="A700:F700"/>
    <mergeCell ref="A701:F701"/>
    <mergeCell ref="A702:F702"/>
    <mergeCell ref="A703:F703"/>
    <mergeCell ref="A704:F704"/>
    <mergeCell ref="A705:F705"/>
    <mergeCell ref="A707:F707"/>
    <mergeCell ref="A727:F727"/>
    <mergeCell ref="A728:F728"/>
    <mergeCell ref="A729:F729"/>
    <mergeCell ref="A730:F730"/>
    <mergeCell ref="A731:F731"/>
    <mergeCell ref="A733:F733"/>
    <mergeCell ref="A752:F752"/>
    <mergeCell ref="A753:F753"/>
    <mergeCell ref="A754:F754"/>
    <mergeCell ref="A755:F755"/>
    <mergeCell ref="A756:F756"/>
    <mergeCell ref="A758:F758"/>
    <mergeCell ref="A777:F777"/>
    <mergeCell ref="A778:F778"/>
    <mergeCell ref="A779:F779"/>
    <mergeCell ref="A780:F780"/>
    <mergeCell ref="A781:F781"/>
    <mergeCell ref="A783:F783"/>
    <mergeCell ref="A802:F802"/>
    <mergeCell ref="A803:F803"/>
    <mergeCell ref="A804:F804"/>
    <mergeCell ref="A805:F805"/>
    <mergeCell ref="A806:F806"/>
    <mergeCell ref="A808:F808"/>
    <mergeCell ref="A827:F827"/>
    <mergeCell ref="A828:F828"/>
    <mergeCell ref="A829:F829"/>
    <mergeCell ref="A830:F830"/>
    <mergeCell ref="A831:F831"/>
    <mergeCell ref="A833:F833"/>
    <mergeCell ref="A852:F852"/>
    <mergeCell ref="A853:F853"/>
    <mergeCell ref="A854:F854"/>
    <mergeCell ref="A855:F855"/>
    <mergeCell ref="A856:F856"/>
    <mergeCell ref="A858:F858"/>
    <mergeCell ref="A877:F877"/>
    <mergeCell ref="A878:F878"/>
    <mergeCell ref="A879:F879"/>
    <mergeCell ref="A880:F880"/>
    <mergeCell ref="A881:F881"/>
    <mergeCell ref="A883:F883"/>
    <mergeCell ref="A890:F890"/>
    <mergeCell ref="A891:F891"/>
    <mergeCell ref="A892:F892"/>
    <mergeCell ref="A893:F893"/>
    <mergeCell ref="A894:F894"/>
    <mergeCell ref="A896:F896"/>
    <mergeCell ref="A921:F921"/>
    <mergeCell ref="A922:F922"/>
    <mergeCell ref="A923:F923"/>
    <mergeCell ref="A924:F924"/>
    <mergeCell ref="A925:F925"/>
    <mergeCell ref="A927:F927"/>
    <mergeCell ref="A952:F952"/>
    <mergeCell ref="A953:F953"/>
    <mergeCell ref="A954:F954"/>
    <mergeCell ref="A955:F955"/>
    <mergeCell ref="A956:F956"/>
    <mergeCell ref="A958:F958"/>
    <mergeCell ref="A983:F983"/>
    <mergeCell ref="A984:F984"/>
    <mergeCell ref="A985:F985"/>
    <mergeCell ref="A986:F986"/>
    <mergeCell ref="A987:F987"/>
    <mergeCell ref="A989:F989"/>
    <mergeCell ref="A1014:F1014"/>
    <mergeCell ref="A1015:F1015"/>
    <mergeCell ref="A1016:F1016"/>
    <mergeCell ref="A1017:F1017"/>
    <mergeCell ref="A1018:F1018"/>
    <mergeCell ref="A1020:F1020"/>
    <mergeCell ref="A1045:F1045"/>
    <mergeCell ref="A1046:F1046"/>
    <mergeCell ref="A1047:F1047"/>
    <mergeCell ref="A1048:F1048"/>
    <mergeCell ref="A1049:F1049"/>
    <mergeCell ref="A1051:F1051"/>
    <mergeCell ref="A1076:F1076"/>
    <mergeCell ref="A1077:F1077"/>
    <mergeCell ref="A1078:F1078"/>
    <mergeCell ref="A1079:F1079"/>
    <mergeCell ref="A1080:F1080"/>
    <mergeCell ref="A1082:F1082"/>
    <mergeCell ref="A1107:F1107"/>
    <mergeCell ref="A1108:F1108"/>
    <mergeCell ref="A1109:F1109"/>
    <mergeCell ref="A1110:F1110"/>
    <mergeCell ref="A1111:F1111"/>
    <mergeCell ref="A1113:F1113"/>
    <mergeCell ref="A1138:F1138"/>
    <mergeCell ref="A1139:F1139"/>
    <mergeCell ref="A1140:F1140"/>
    <mergeCell ref="A1141:F1141"/>
    <mergeCell ref="A1142:F1142"/>
    <mergeCell ref="A1144:F1144"/>
    <mergeCell ref="A1149:F1149"/>
    <mergeCell ref="A1150:F1150"/>
    <mergeCell ref="A1151:F1151"/>
    <mergeCell ref="A1152:F1152"/>
    <mergeCell ref="A1153:F1153"/>
    <mergeCell ref="A1155:F1155"/>
    <mergeCell ref="A1177:F1177"/>
    <mergeCell ref="A1178:F1178"/>
    <mergeCell ref="A1179:F1179"/>
    <mergeCell ref="A1180:F1180"/>
    <mergeCell ref="A1181:F1181"/>
    <mergeCell ref="A1183:F1183"/>
    <mergeCell ref="A1196:F1196"/>
    <mergeCell ref="A1197:F1197"/>
    <mergeCell ref="A1198:F1198"/>
    <mergeCell ref="A1199:F1199"/>
    <mergeCell ref="A1200:F1200"/>
    <mergeCell ref="A1202:F1202"/>
    <mergeCell ref="A1207:F1207"/>
    <mergeCell ref="A1208:F1208"/>
    <mergeCell ref="A1209:F1209"/>
    <mergeCell ref="A1210:F1210"/>
    <mergeCell ref="A1211:F1211"/>
    <mergeCell ref="A1213:F1213"/>
    <mergeCell ref="A1218:F1218"/>
    <mergeCell ref="A1219:F1219"/>
    <mergeCell ref="A1220:F1220"/>
    <mergeCell ref="A1221:F1221"/>
    <mergeCell ref="A1222:F1222"/>
    <mergeCell ref="A1224:F1224"/>
    <mergeCell ref="A1229:F1229"/>
    <mergeCell ref="A1230:F1230"/>
    <mergeCell ref="A1231:F1231"/>
    <mergeCell ref="A1232:F1232"/>
    <mergeCell ref="A1233:F1233"/>
    <mergeCell ref="A1235:F1235"/>
    <mergeCell ref="A1240:F1240"/>
    <mergeCell ref="A1241:F1241"/>
    <mergeCell ref="A1242:F1242"/>
    <mergeCell ref="A1243:F1243"/>
    <mergeCell ref="A1244:F1244"/>
    <mergeCell ref="A1247:F1247"/>
    <mergeCell ref="A1248:F1248"/>
    <mergeCell ref="A1253:F1253"/>
    <mergeCell ref="A1255:F1255"/>
    <mergeCell ref="A1260:F1260"/>
    <mergeCell ref="A1262:F1262"/>
    <mergeCell ref="A1268:F1268"/>
    <mergeCell ref="A1270:F1270"/>
    <mergeCell ref="A1275:F1275"/>
    <mergeCell ref="A1277:F1277"/>
    <mergeCell ref="A1282:F1282"/>
    <mergeCell ref="A1284:F1284"/>
    <mergeCell ref="A1289:F1289"/>
    <mergeCell ref="A1291:F1291"/>
    <mergeCell ref="A1296:F1296"/>
    <mergeCell ref="A1298:F1298"/>
    <mergeCell ref="A1303:F1303"/>
    <mergeCell ref="A1305:F1305"/>
    <mergeCell ref="A1310:F1310"/>
    <mergeCell ref="A1312:F1312"/>
    <mergeCell ref="A1317:F1317"/>
    <mergeCell ref="A1319:F1319"/>
    <mergeCell ref="A1324:F1324"/>
    <mergeCell ref="A1326:F1326"/>
    <mergeCell ref="A1331:F1331"/>
    <mergeCell ref="A1333:F1333"/>
    <mergeCell ref="A1338:F1338"/>
    <mergeCell ref="A1340:F1340"/>
    <mergeCell ref="A1345:F1345"/>
    <mergeCell ref="A1347:F1347"/>
    <mergeCell ref="A1352:F1352"/>
    <mergeCell ref="A1354:F1354"/>
    <mergeCell ref="A1359:F1359"/>
    <mergeCell ref="A1361:F1361"/>
    <mergeCell ref="A1366:F1366"/>
    <mergeCell ref="A1368:F1368"/>
    <mergeCell ref="A1373:F1373"/>
    <mergeCell ref="A1375:F1375"/>
    <mergeCell ref="A1380:F1380"/>
    <mergeCell ref="A1382:F1382"/>
    <mergeCell ref="A1387:F1387"/>
    <mergeCell ref="A1389:F1389"/>
    <mergeCell ref="A1394:F1394"/>
    <mergeCell ref="A1396:F1396"/>
    <mergeCell ref="A1401:F1401"/>
    <mergeCell ref="A1403:F1403"/>
    <mergeCell ref="A1408:F1408"/>
    <mergeCell ref="A1410:F1410"/>
    <mergeCell ref="A1415:F1415"/>
    <mergeCell ref="A1417:F1417"/>
    <mergeCell ref="A1422:F1422"/>
    <mergeCell ref="A1424:F1424"/>
    <mergeCell ref="A1429:F1429"/>
    <mergeCell ref="A1432:F1432"/>
    <mergeCell ref="A1433:F1433"/>
    <mergeCell ref="A1448:F1448"/>
    <mergeCell ref="A1449:F1449"/>
    <mergeCell ref="A1450:F1450"/>
    <mergeCell ref="A1451:F1451"/>
    <mergeCell ref="A1452:F1452"/>
    <mergeCell ref="A1454:F1454"/>
    <mergeCell ref="A1461:F1461"/>
    <mergeCell ref="A1462:F1462"/>
    <mergeCell ref="A1463:F1463"/>
    <mergeCell ref="A1464:F1464"/>
    <mergeCell ref="A1465:F1465"/>
    <mergeCell ref="A1466:F1466"/>
    <mergeCell ref="A1468:F1468"/>
    <mergeCell ref="A1476:F1476"/>
    <mergeCell ref="A1477:F1477"/>
    <mergeCell ref="A1478:F1478"/>
    <mergeCell ref="A1479:F1479"/>
    <mergeCell ref="A1480:F1480"/>
    <mergeCell ref="A1481:F1481"/>
    <mergeCell ref="A1482:F1482"/>
    <mergeCell ref="A1484:F1484"/>
    <mergeCell ref="A1501:F1501"/>
    <mergeCell ref="A1502:F1502"/>
    <mergeCell ref="A1503:F1503"/>
    <mergeCell ref="A1504:F1504"/>
    <mergeCell ref="A1505:F1505"/>
    <mergeCell ref="A1507:F1507"/>
    <mergeCell ref="A1512:F1512"/>
    <mergeCell ref="A1513:F1513"/>
    <mergeCell ref="A1514:F1514"/>
    <mergeCell ref="A1515:F1515"/>
    <mergeCell ref="A1516:F1516"/>
    <mergeCell ref="A1518:F1518"/>
    <mergeCell ref="A1523:F1523"/>
    <mergeCell ref="A1524:F1524"/>
    <mergeCell ref="A1525:F1525"/>
    <mergeCell ref="A1526:F1526"/>
    <mergeCell ref="A1527:F1527"/>
    <mergeCell ref="A1529:F1529"/>
    <mergeCell ref="A1534:F1534"/>
    <mergeCell ref="A1535:F1535"/>
    <mergeCell ref="A1536:F1536"/>
    <mergeCell ref="A1537:F1537"/>
    <mergeCell ref="A1538:F1538"/>
    <mergeCell ref="A1540:F1540"/>
    <mergeCell ref="A1545:F1545"/>
    <mergeCell ref="A1546:F1546"/>
    <mergeCell ref="A1547:F1547"/>
    <mergeCell ref="A1548:F1548"/>
    <mergeCell ref="A1549:F1549"/>
    <mergeCell ref="A1551:F1551"/>
    <mergeCell ref="A1556:F1556"/>
    <mergeCell ref="A1557:F1557"/>
    <mergeCell ref="A1558:F1558"/>
    <mergeCell ref="A1559:F1559"/>
    <mergeCell ref="A1560:F1560"/>
    <mergeCell ref="A1562:F1562"/>
    <mergeCell ref="A1578:F1578"/>
    <mergeCell ref="A1579:F1579"/>
    <mergeCell ref="A1580:F1580"/>
    <mergeCell ref="A1581:F1581"/>
    <mergeCell ref="A1582:F1582"/>
    <mergeCell ref="A1584:F1584"/>
    <mergeCell ref="A1589:F1589"/>
    <mergeCell ref="A1590:F1590"/>
    <mergeCell ref="A1591:F1591"/>
    <mergeCell ref="A1592:F1592"/>
    <mergeCell ref="A1593:F1593"/>
    <mergeCell ref="A1595:F1595"/>
    <mergeCell ref="A1600:F1600"/>
    <mergeCell ref="A1601:F1601"/>
    <mergeCell ref="A1602:F1602"/>
    <mergeCell ref="A1603:F1603"/>
    <mergeCell ref="A1604:F1604"/>
    <mergeCell ref="A1606:F1606"/>
    <mergeCell ref="A1611:F1611"/>
    <mergeCell ref="A1612:F1612"/>
    <mergeCell ref="A1613:F1613"/>
    <mergeCell ref="A1614:F1614"/>
    <mergeCell ref="A1615:F1615"/>
    <mergeCell ref="A1617:F1617"/>
    <mergeCell ref="A1622:F1622"/>
    <mergeCell ref="A1623:F1623"/>
    <mergeCell ref="A1624:F1624"/>
    <mergeCell ref="A1625:F1625"/>
    <mergeCell ref="A1626:F1626"/>
    <mergeCell ref="A1628:F1628"/>
    <mergeCell ref="A1633:F1633"/>
    <mergeCell ref="A1634:F1634"/>
    <mergeCell ref="A1635:F1635"/>
    <mergeCell ref="A1636:F1636"/>
    <mergeCell ref="A1637:F1637"/>
    <mergeCell ref="A1639:F1639"/>
    <mergeCell ref="A1644:F1644"/>
    <mergeCell ref="A1645:F1645"/>
    <mergeCell ref="A1646:F1646"/>
    <mergeCell ref="A1647:F1647"/>
    <mergeCell ref="A1648:F1648"/>
    <mergeCell ref="A1650:F1650"/>
    <mergeCell ref="A1665:F1665"/>
    <mergeCell ref="A1666:F1666"/>
    <mergeCell ref="A1667:F1667"/>
    <mergeCell ref="A1668:F1668"/>
    <mergeCell ref="A1669:F1669"/>
    <mergeCell ref="A1671:F1671"/>
    <mergeCell ref="A1686:F1686"/>
    <mergeCell ref="A1687:F1687"/>
    <mergeCell ref="A1688:F1688"/>
    <mergeCell ref="A1689:F1689"/>
    <mergeCell ref="A1690:F1690"/>
    <mergeCell ref="A1692:F1692"/>
    <mergeCell ref="A1697:F1697"/>
    <mergeCell ref="A1698:F1698"/>
    <mergeCell ref="A1699:F1699"/>
    <mergeCell ref="A1700:F1700"/>
    <mergeCell ref="A1701:F1701"/>
    <mergeCell ref="A1703:F1703"/>
    <mergeCell ref="A1708:F1708"/>
    <mergeCell ref="A1709:F1709"/>
    <mergeCell ref="A1710:F1710"/>
    <mergeCell ref="A1711:F1711"/>
    <mergeCell ref="A1712:F1712"/>
    <mergeCell ref="A1714:F1714"/>
    <mergeCell ref="A1719:F1719"/>
    <mergeCell ref="A1720:F1720"/>
    <mergeCell ref="A1721:F1721"/>
    <mergeCell ref="A1722:F1722"/>
    <mergeCell ref="A1723:F1723"/>
    <mergeCell ref="A1725:F1725"/>
    <mergeCell ref="A1730:F1730"/>
    <mergeCell ref="A1731:F1731"/>
    <mergeCell ref="A1732:F1732"/>
    <mergeCell ref="A1733:F1733"/>
    <mergeCell ref="A1734:F1734"/>
    <mergeCell ref="A1736:F1736"/>
    <mergeCell ref="A1741:F1741"/>
    <mergeCell ref="A1742:F1742"/>
    <mergeCell ref="A1743:F1743"/>
    <mergeCell ref="A1744:F1744"/>
    <mergeCell ref="A1745:F1745"/>
    <mergeCell ref="A1747:F1747"/>
    <mergeCell ref="A1752:F1752"/>
    <mergeCell ref="A1753:F1753"/>
    <mergeCell ref="A1754:F1754"/>
    <mergeCell ref="A1755:F1755"/>
    <mergeCell ref="A1756:F1756"/>
    <mergeCell ref="A1758:F1758"/>
    <mergeCell ref="A1773:F1773"/>
    <mergeCell ref="A1774:F1774"/>
    <mergeCell ref="A1775:F1775"/>
    <mergeCell ref="A1776:F1776"/>
    <mergeCell ref="A1777:F1777"/>
    <mergeCell ref="A1779:F1779"/>
    <mergeCell ref="A1794:F1794"/>
    <mergeCell ref="A1795:F1795"/>
    <mergeCell ref="A1796:F1796"/>
    <mergeCell ref="A1797:F1797"/>
    <mergeCell ref="A1798:F1798"/>
    <mergeCell ref="A1801:F1801"/>
    <mergeCell ref="A1802:F1802"/>
    <mergeCell ref="A1817:F1817"/>
    <mergeCell ref="A1818:F1818"/>
    <mergeCell ref="A1819:F1819"/>
    <mergeCell ref="A1820:F1820"/>
    <mergeCell ref="A1821:F1821"/>
    <mergeCell ref="A1823:F1823"/>
    <mergeCell ref="A1830:F1830"/>
    <mergeCell ref="A1831:F1831"/>
    <mergeCell ref="A1832:F1832"/>
    <mergeCell ref="A1833:F1833"/>
    <mergeCell ref="A1834:F1834"/>
    <mergeCell ref="A1835:F1835"/>
    <mergeCell ref="A1837:F1837"/>
    <mergeCell ref="A1845:F1845"/>
    <mergeCell ref="A1846:F1846"/>
    <mergeCell ref="A1847:F1847"/>
    <mergeCell ref="A1848:F1848"/>
    <mergeCell ref="A1849:F1849"/>
    <mergeCell ref="A1850:F1850"/>
    <mergeCell ref="A1851:F1851"/>
    <mergeCell ref="A1853:F1853"/>
    <mergeCell ref="A1870:F1870"/>
    <mergeCell ref="A1871:F1871"/>
    <mergeCell ref="A1872:F1872"/>
    <mergeCell ref="A1873:F1873"/>
    <mergeCell ref="A1874:F1874"/>
    <mergeCell ref="A1876:F1876"/>
    <mergeCell ref="A1881:F1881"/>
    <mergeCell ref="A1882:F1882"/>
    <mergeCell ref="A1883:F1883"/>
    <mergeCell ref="A1884:F1884"/>
    <mergeCell ref="A1885:F1885"/>
    <mergeCell ref="A1887:F1887"/>
    <mergeCell ref="A1892:F1892"/>
    <mergeCell ref="A1893:F1893"/>
    <mergeCell ref="A1894:F1894"/>
    <mergeCell ref="A1895:F1895"/>
    <mergeCell ref="A1896:F1896"/>
    <mergeCell ref="A1898:F1898"/>
    <mergeCell ref="A1903:F1903"/>
    <mergeCell ref="A1904:F1904"/>
    <mergeCell ref="A1905:F1905"/>
    <mergeCell ref="A1906:F1906"/>
    <mergeCell ref="A1907:F1907"/>
    <mergeCell ref="A1909:F1909"/>
    <mergeCell ref="A1914:F1914"/>
    <mergeCell ref="A1915:F1915"/>
    <mergeCell ref="A1916:F1916"/>
    <mergeCell ref="A1917:F1917"/>
    <mergeCell ref="A1918:F1918"/>
    <mergeCell ref="A1920:F1920"/>
    <mergeCell ref="A1925:F1925"/>
    <mergeCell ref="A1926:F1926"/>
    <mergeCell ref="A1927:F1927"/>
    <mergeCell ref="A1928:F1928"/>
    <mergeCell ref="A1929:F1929"/>
    <mergeCell ref="A1931:F1931"/>
    <mergeCell ref="A1947:F1947"/>
    <mergeCell ref="A1948:F1948"/>
    <mergeCell ref="A1949:F1949"/>
    <mergeCell ref="A1950:F1950"/>
    <mergeCell ref="A1951:F1951"/>
    <mergeCell ref="A1953:F1953"/>
    <mergeCell ref="A1958:F1958"/>
    <mergeCell ref="A1959:F1959"/>
    <mergeCell ref="A1960:F1960"/>
    <mergeCell ref="A1961:F1961"/>
    <mergeCell ref="A1962:F1962"/>
    <mergeCell ref="A1964:F1964"/>
    <mergeCell ref="A1969:F1969"/>
    <mergeCell ref="A1970:F1970"/>
    <mergeCell ref="A1971:F1971"/>
    <mergeCell ref="A1972:F1972"/>
    <mergeCell ref="A1973:F1973"/>
    <mergeCell ref="A1975:F1975"/>
    <mergeCell ref="A1980:F1980"/>
    <mergeCell ref="A1981:F1981"/>
    <mergeCell ref="A1982:F1982"/>
    <mergeCell ref="A1983:F1983"/>
    <mergeCell ref="A1984:F1984"/>
    <mergeCell ref="A1986:F1986"/>
    <mergeCell ref="A1991:F1991"/>
    <mergeCell ref="A1992:F1992"/>
    <mergeCell ref="A1993:F1993"/>
    <mergeCell ref="A1994:F1994"/>
    <mergeCell ref="A1995:F1995"/>
    <mergeCell ref="A1997:F1997"/>
    <mergeCell ref="A2002:F2002"/>
    <mergeCell ref="A2003:F2003"/>
    <mergeCell ref="A2004:F2004"/>
    <mergeCell ref="A2005:F2005"/>
    <mergeCell ref="A2006:F2006"/>
    <mergeCell ref="A2008:F2008"/>
    <mergeCell ref="A2013:F2013"/>
    <mergeCell ref="A2014:F2014"/>
    <mergeCell ref="A2015:F2015"/>
    <mergeCell ref="A2016:F2016"/>
    <mergeCell ref="A2017:F2017"/>
    <mergeCell ref="A2019:F2019"/>
    <mergeCell ref="A2034:F2034"/>
    <mergeCell ref="A2035:F2035"/>
    <mergeCell ref="A2036:F2036"/>
    <mergeCell ref="A2037:F2037"/>
    <mergeCell ref="A2038:F2038"/>
    <mergeCell ref="A2040:F2040"/>
    <mergeCell ref="A2055:F2055"/>
    <mergeCell ref="A2056:F2056"/>
    <mergeCell ref="A2057:F2057"/>
    <mergeCell ref="A2058:F2058"/>
    <mergeCell ref="A2059:F2059"/>
    <mergeCell ref="A2061:F2061"/>
    <mergeCell ref="A2066:F2066"/>
    <mergeCell ref="A2067:F2067"/>
    <mergeCell ref="A2068:F2068"/>
    <mergeCell ref="A2069:F2069"/>
    <mergeCell ref="A2070:F2070"/>
    <mergeCell ref="A2072:F2072"/>
    <mergeCell ref="A2077:F2077"/>
    <mergeCell ref="A2078:F2078"/>
    <mergeCell ref="A2079:F2079"/>
    <mergeCell ref="A2080:F2080"/>
    <mergeCell ref="A2081:F2081"/>
    <mergeCell ref="A2083:F2083"/>
    <mergeCell ref="A2088:F2088"/>
    <mergeCell ref="A2089:F2089"/>
    <mergeCell ref="A2090:F2090"/>
    <mergeCell ref="A2091:F2091"/>
    <mergeCell ref="A2092:F2092"/>
    <mergeCell ref="A2094:F2094"/>
    <mergeCell ref="A2099:F2099"/>
    <mergeCell ref="A2100:F2100"/>
    <mergeCell ref="A2101:F2101"/>
    <mergeCell ref="A2102:F2102"/>
    <mergeCell ref="A2103:F2103"/>
    <mergeCell ref="A2105:F2105"/>
    <mergeCell ref="A2110:F2110"/>
    <mergeCell ref="A2111:F2111"/>
    <mergeCell ref="A2112:F2112"/>
    <mergeCell ref="A2113:F2113"/>
    <mergeCell ref="A2114:F2114"/>
    <mergeCell ref="A2116:F2116"/>
    <mergeCell ref="A2121:F2121"/>
    <mergeCell ref="A2122:F2122"/>
    <mergeCell ref="A2123:F2123"/>
    <mergeCell ref="A2124:F2124"/>
    <mergeCell ref="A2125:F2125"/>
    <mergeCell ref="A2127:F2127"/>
    <mergeCell ref="A2142:F2142"/>
    <mergeCell ref="A2143:F2143"/>
    <mergeCell ref="A2144:F2144"/>
    <mergeCell ref="A2145:F2145"/>
    <mergeCell ref="A2146:F2146"/>
    <mergeCell ref="A2148:F2148"/>
    <mergeCell ref="A2163:F2163"/>
    <mergeCell ref="A2164:F2164"/>
    <mergeCell ref="A2165:F2165"/>
    <mergeCell ref="A2166:F2166"/>
    <mergeCell ref="A2167:F2167"/>
    <mergeCell ref="A2170:F2170"/>
    <mergeCell ref="A2171:F2171"/>
    <mergeCell ref="A2186:F2186"/>
    <mergeCell ref="A2187:F2187"/>
    <mergeCell ref="A2188:F2188"/>
    <mergeCell ref="A2189:F2189"/>
    <mergeCell ref="A2190:F2190"/>
    <mergeCell ref="A2192:F2192"/>
    <mergeCell ref="A2199:F2199"/>
    <mergeCell ref="A2200:F2200"/>
    <mergeCell ref="A2201:F2201"/>
    <mergeCell ref="A2202:F2202"/>
    <mergeCell ref="A2203:F2203"/>
    <mergeCell ref="A2204:F2204"/>
    <mergeCell ref="A2206:F2206"/>
    <mergeCell ref="A2214:F2214"/>
    <mergeCell ref="A2215:F2215"/>
    <mergeCell ref="A2216:F2216"/>
    <mergeCell ref="A2217:F2217"/>
    <mergeCell ref="A2218:F2218"/>
    <mergeCell ref="A2219:F2219"/>
    <mergeCell ref="A2220:F2220"/>
    <mergeCell ref="A2222:F2222"/>
    <mergeCell ref="A2239:F2239"/>
    <mergeCell ref="A2240:F2240"/>
    <mergeCell ref="A2241:F2241"/>
    <mergeCell ref="A2242:F2242"/>
    <mergeCell ref="A2243:F2243"/>
    <mergeCell ref="A2245:F2245"/>
    <mergeCell ref="A2250:F2250"/>
    <mergeCell ref="A2251:F2251"/>
    <mergeCell ref="A2252:F2252"/>
    <mergeCell ref="A2253:F2253"/>
    <mergeCell ref="A2254:F2254"/>
    <mergeCell ref="A2256:F2256"/>
    <mergeCell ref="A2261:F2261"/>
    <mergeCell ref="A2262:F2262"/>
    <mergeCell ref="A2263:F2263"/>
    <mergeCell ref="A2264:F2264"/>
    <mergeCell ref="A2265:F2265"/>
    <mergeCell ref="A2267:F2267"/>
    <mergeCell ref="A2272:F2272"/>
    <mergeCell ref="A2273:F2273"/>
    <mergeCell ref="A2274:F2274"/>
    <mergeCell ref="A2275:F2275"/>
    <mergeCell ref="A2276:F2276"/>
    <mergeCell ref="A2278:F2278"/>
    <mergeCell ref="A2283:F2283"/>
    <mergeCell ref="A2284:F2284"/>
    <mergeCell ref="A2285:F2285"/>
    <mergeCell ref="A2286:F2286"/>
    <mergeCell ref="A2287:F2287"/>
    <mergeCell ref="A2289:F2289"/>
    <mergeCell ref="A2294:F2294"/>
    <mergeCell ref="A2295:F2295"/>
    <mergeCell ref="A2296:F2296"/>
    <mergeCell ref="A2297:F2297"/>
    <mergeCell ref="A2298:F2298"/>
    <mergeCell ref="A2300:F2300"/>
    <mergeCell ref="A2316:F2316"/>
    <mergeCell ref="A2317:F2317"/>
    <mergeCell ref="A2318:F2318"/>
    <mergeCell ref="A2319:F2319"/>
    <mergeCell ref="A2320:F2320"/>
    <mergeCell ref="A2322:F2322"/>
    <mergeCell ref="A2327:F2327"/>
    <mergeCell ref="A2328:F2328"/>
    <mergeCell ref="A2329:F2329"/>
    <mergeCell ref="A2330:F2330"/>
    <mergeCell ref="A2331:F2331"/>
    <mergeCell ref="A2333:F2333"/>
    <mergeCell ref="A2338:F2338"/>
    <mergeCell ref="A2339:F2339"/>
    <mergeCell ref="A2340:F2340"/>
    <mergeCell ref="A2341:F2341"/>
    <mergeCell ref="A2342:F2342"/>
    <mergeCell ref="A2344:F2344"/>
    <mergeCell ref="A2349:F2349"/>
    <mergeCell ref="A2350:F2350"/>
    <mergeCell ref="A2351:F2351"/>
    <mergeCell ref="A2352:F2352"/>
    <mergeCell ref="A2353:F2353"/>
    <mergeCell ref="A2355:F2355"/>
    <mergeCell ref="A2360:F2360"/>
    <mergeCell ref="A2361:F2361"/>
    <mergeCell ref="A2362:F2362"/>
    <mergeCell ref="A2363:F2363"/>
    <mergeCell ref="A2364:F2364"/>
    <mergeCell ref="A2366:F2366"/>
    <mergeCell ref="A2371:F2371"/>
    <mergeCell ref="A2372:F2372"/>
    <mergeCell ref="A2373:F2373"/>
    <mergeCell ref="A2374:F2374"/>
    <mergeCell ref="A2375:F2375"/>
    <mergeCell ref="A2377:F2377"/>
    <mergeCell ref="A2382:F2382"/>
    <mergeCell ref="A2383:F2383"/>
    <mergeCell ref="A2384:F2384"/>
    <mergeCell ref="A2385:F2385"/>
    <mergeCell ref="A2386:F2386"/>
    <mergeCell ref="A2388:F2388"/>
    <mergeCell ref="A2403:F2403"/>
    <mergeCell ref="A2404:F2404"/>
    <mergeCell ref="A2405:F2405"/>
    <mergeCell ref="A2406:F2406"/>
    <mergeCell ref="A2407:F2407"/>
    <mergeCell ref="A2409:F2409"/>
    <mergeCell ref="A2424:F2424"/>
    <mergeCell ref="A2425:F2425"/>
    <mergeCell ref="A2426:F2426"/>
    <mergeCell ref="A2427:F2427"/>
    <mergeCell ref="A2428:F2428"/>
    <mergeCell ref="A2430:F2430"/>
    <mergeCell ref="A2435:F2435"/>
    <mergeCell ref="A2436:F2436"/>
    <mergeCell ref="A2437:F2437"/>
    <mergeCell ref="A2438:F2438"/>
    <mergeCell ref="A2439:F2439"/>
    <mergeCell ref="A2441:F2441"/>
    <mergeCell ref="A2446:F2446"/>
    <mergeCell ref="A2447:F2447"/>
    <mergeCell ref="A2448:F2448"/>
    <mergeCell ref="A2449:F2449"/>
    <mergeCell ref="A2450:F2450"/>
    <mergeCell ref="A2452:F2452"/>
    <mergeCell ref="A2457:F2457"/>
    <mergeCell ref="A2458:F2458"/>
    <mergeCell ref="A2459:F2459"/>
    <mergeCell ref="A2460:F2460"/>
    <mergeCell ref="A2461:F2461"/>
    <mergeCell ref="A2463:F2463"/>
    <mergeCell ref="A2468:F2468"/>
    <mergeCell ref="A2469:F2469"/>
    <mergeCell ref="A2470:F2470"/>
    <mergeCell ref="A2471:F2471"/>
    <mergeCell ref="A2472:F2472"/>
    <mergeCell ref="A2474:F2474"/>
    <mergeCell ref="A2479:F2479"/>
    <mergeCell ref="A2480:F2480"/>
    <mergeCell ref="A2481:F2481"/>
    <mergeCell ref="A2482:F2482"/>
    <mergeCell ref="A2483:F2483"/>
    <mergeCell ref="A2485:F2485"/>
    <mergeCell ref="A2490:F2490"/>
    <mergeCell ref="A2491:F2491"/>
    <mergeCell ref="A2492:F2492"/>
    <mergeCell ref="A2493:F2493"/>
    <mergeCell ref="A2494:F2494"/>
    <mergeCell ref="A2496:F2496"/>
    <mergeCell ref="A2511:F2511"/>
    <mergeCell ref="A2512:F2512"/>
    <mergeCell ref="A2513:F2513"/>
    <mergeCell ref="A2514:F2514"/>
    <mergeCell ref="A2515:F2515"/>
    <mergeCell ref="A2517:F2517"/>
    <mergeCell ref="A2532:F2532"/>
    <mergeCell ref="A2533:F2533"/>
    <mergeCell ref="A2534:F2534"/>
    <mergeCell ref="A2535:F2535"/>
    <mergeCell ref="A2536:F2536"/>
    <mergeCell ref="A2539:F2539"/>
    <mergeCell ref="A2540:F2540"/>
    <mergeCell ref="A2565:F2565"/>
    <mergeCell ref="A2566:F2566"/>
    <mergeCell ref="A2567:F2567"/>
    <mergeCell ref="A2568:F2568"/>
    <mergeCell ref="A2569:F2569"/>
    <mergeCell ref="A2571:F2571"/>
    <mergeCell ref="A2583:F2583"/>
    <mergeCell ref="A2584:F2584"/>
    <mergeCell ref="A2585:F2585"/>
    <mergeCell ref="A2586:F2586"/>
    <mergeCell ref="A2587:F2587"/>
    <mergeCell ref="A2588:F2588"/>
    <mergeCell ref="A2589:F2589"/>
    <mergeCell ref="A2590:F2590"/>
    <mergeCell ref="A2592:F2592"/>
    <mergeCell ref="A2605:F2605"/>
    <mergeCell ref="A2606:F2606"/>
    <mergeCell ref="A2607:F2607"/>
    <mergeCell ref="A2608:F2608"/>
    <mergeCell ref="A2609:F2609"/>
    <mergeCell ref="A2610:F2610"/>
    <mergeCell ref="A2611:F2611"/>
    <mergeCell ref="A2612:F2612"/>
    <mergeCell ref="A2613:F2613"/>
    <mergeCell ref="A2615:F2615"/>
    <mergeCell ref="A2635:F2635"/>
    <mergeCell ref="A2636:F2636"/>
    <mergeCell ref="A2637:F2637"/>
    <mergeCell ref="A2638:F2638"/>
    <mergeCell ref="A2639:F2639"/>
    <mergeCell ref="A2641:F2641"/>
    <mergeCell ref="A2660:F2660"/>
    <mergeCell ref="A2661:F2661"/>
    <mergeCell ref="A2662:F2662"/>
    <mergeCell ref="A2663:F2663"/>
    <mergeCell ref="A2664:F2664"/>
    <mergeCell ref="A2666:F2666"/>
    <mergeCell ref="A2685:F2685"/>
    <mergeCell ref="A2686:F2686"/>
    <mergeCell ref="A2687:F2687"/>
    <mergeCell ref="A2688:F2688"/>
    <mergeCell ref="A2689:F2689"/>
    <mergeCell ref="A2691:F2691"/>
    <mergeCell ref="A2710:F2710"/>
    <mergeCell ref="A2711:F2711"/>
    <mergeCell ref="A2712:F2712"/>
    <mergeCell ref="A2713:F2713"/>
    <mergeCell ref="A2714:F2714"/>
    <mergeCell ref="A2716:F2716"/>
    <mergeCell ref="A2735:F2735"/>
    <mergeCell ref="A2736:F2736"/>
    <mergeCell ref="A2737:F2737"/>
    <mergeCell ref="A2738:F2738"/>
    <mergeCell ref="A2739:F2739"/>
    <mergeCell ref="A2741:F2741"/>
    <mergeCell ref="A2760:F2760"/>
    <mergeCell ref="A2761:F2761"/>
    <mergeCell ref="A2762:F2762"/>
    <mergeCell ref="A2763:F2763"/>
    <mergeCell ref="A2764:F2764"/>
    <mergeCell ref="A2766:F2766"/>
    <mergeCell ref="A2785:F2785"/>
    <mergeCell ref="A2786:F2786"/>
    <mergeCell ref="A2787:F2787"/>
    <mergeCell ref="A2788:F2788"/>
    <mergeCell ref="A2789:F2789"/>
    <mergeCell ref="A2791:F2791"/>
    <mergeCell ref="A2798:F2798"/>
    <mergeCell ref="A2799:F2799"/>
    <mergeCell ref="A2800:F2800"/>
    <mergeCell ref="A2801:F2801"/>
    <mergeCell ref="A2802:F2802"/>
    <mergeCell ref="A2804:F2804"/>
    <mergeCell ref="A2829:F2829"/>
    <mergeCell ref="A2830:F2830"/>
    <mergeCell ref="A2831:F2831"/>
    <mergeCell ref="A2832:F2832"/>
    <mergeCell ref="A2833:F2833"/>
    <mergeCell ref="A2835:F2835"/>
    <mergeCell ref="A2860:F2860"/>
    <mergeCell ref="A2861:F2861"/>
    <mergeCell ref="A2862:F2862"/>
    <mergeCell ref="A2863:F2863"/>
    <mergeCell ref="A2864:F2864"/>
    <mergeCell ref="A2866:F2866"/>
    <mergeCell ref="A2891:F2891"/>
    <mergeCell ref="A2892:F2892"/>
    <mergeCell ref="A2893:F2893"/>
    <mergeCell ref="A2894:F2894"/>
    <mergeCell ref="A2895:F2895"/>
    <mergeCell ref="A2897:F2897"/>
    <mergeCell ref="A2922:F2922"/>
    <mergeCell ref="A2923:F2923"/>
    <mergeCell ref="A2924:F2924"/>
    <mergeCell ref="A2925:F2925"/>
    <mergeCell ref="A2926:F2926"/>
    <mergeCell ref="A2928:F2928"/>
    <mergeCell ref="A2953:F2953"/>
    <mergeCell ref="A2954:F2954"/>
    <mergeCell ref="A2955:F2955"/>
    <mergeCell ref="A2956:F2956"/>
    <mergeCell ref="A2957:F2957"/>
    <mergeCell ref="A2959:F2959"/>
    <mergeCell ref="A2984:F2984"/>
    <mergeCell ref="A2985:F2985"/>
    <mergeCell ref="A2986:F2986"/>
    <mergeCell ref="A2987:F2987"/>
    <mergeCell ref="A2988:F2988"/>
    <mergeCell ref="A2990:F2990"/>
    <mergeCell ref="A3015:F3015"/>
    <mergeCell ref="A3016:F3016"/>
    <mergeCell ref="A3017:F3017"/>
    <mergeCell ref="A3018:F3018"/>
    <mergeCell ref="A3019:F3019"/>
    <mergeCell ref="A3021:F3021"/>
    <mergeCell ref="A3046:F3046"/>
    <mergeCell ref="A3047:F3047"/>
    <mergeCell ref="A3048:F3048"/>
    <mergeCell ref="A3049:F3049"/>
    <mergeCell ref="A3050:F3050"/>
    <mergeCell ref="A3052:F3052"/>
    <mergeCell ref="A3057:F3057"/>
    <mergeCell ref="A3058:F3058"/>
    <mergeCell ref="A3059:F3059"/>
    <mergeCell ref="A3060:F3060"/>
    <mergeCell ref="A3061:F3061"/>
    <mergeCell ref="A3063:F3063"/>
    <mergeCell ref="A3085:F3085"/>
    <mergeCell ref="A3086:F3086"/>
    <mergeCell ref="A3087:F3087"/>
    <mergeCell ref="A3088:F3088"/>
    <mergeCell ref="A3089:F3089"/>
    <mergeCell ref="A3091:F3091"/>
    <mergeCell ref="A3104:F3104"/>
    <mergeCell ref="A3105:F3105"/>
    <mergeCell ref="A3106:F3106"/>
    <mergeCell ref="A3107:F3107"/>
    <mergeCell ref="A3108:F3108"/>
    <mergeCell ref="A3110:F3110"/>
    <mergeCell ref="A3115:F3115"/>
    <mergeCell ref="A3116:F3116"/>
    <mergeCell ref="A3117:F3117"/>
    <mergeCell ref="A3118:F3118"/>
    <mergeCell ref="A3119:F3119"/>
    <mergeCell ref="A3121:F3121"/>
    <mergeCell ref="A3126:F3126"/>
    <mergeCell ref="A3127:F3127"/>
    <mergeCell ref="A3128:F3128"/>
    <mergeCell ref="A3129:F3129"/>
    <mergeCell ref="A3130:F3130"/>
    <mergeCell ref="A3132:F3132"/>
    <mergeCell ref="A3137:F3137"/>
    <mergeCell ref="A3138:F3138"/>
    <mergeCell ref="A3139:F3139"/>
    <mergeCell ref="A3140:F3140"/>
    <mergeCell ref="A3141:F3141"/>
    <mergeCell ref="A3143:F3143"/>
    <mergeCell ref="A3148:F3148"/>
    <mergeCell ref="A3149:F3149"/>
    <mergeCell ref="A3150:F3150"/>
    <mergeCell ref="A3151:F3151"/>
    <mergeCell ref="A3152:F3152"/>
    <mergeCell ref="A3156:F3156"/>
    <mergeCell ref="A3158:F3158"/>
  </mergeCells>
  <printOptions horizontalCentered="1"/>
  <pageMargins left="0.3" right="0.3" top="0.3" bottom="0.3" header="0.5" footer="0.5"/>
  <pageSetup paperSize="3"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900"/>
  <sheetViews>
    <sheetView workbookViewId="0" showGridLines="0"/>
  </sheetViews>
  <sheetFormatPr defaultRowHeight="15" outlineLevelRow="0" outlineLevelCol="0" x14ac:dyDescent="55"/>
  <cols>
    <col min="1" max="1" width="14" customWidth="1"/>
    <col min="2" max="2" width="44" customWidth="1"/>
    <col min="3" max="3" width="8" customWidth="1"/>
    <col min="4" max="4" width="3" customWidth="1"/>
    <col min="5" max="5" width="60" customWidth="1"/>
    <col min="6" max="6" width="50" customWidth="1"/>
  </cols>
  <sheetData>
    <row r="1" ht="6" customHeight="1" spans="1:5" x14ac:dyDescent="0.25">
      <c r="A1" s="1"/>
      <c r="B1" s="1"/>
      <c r="C1" s="1"/>
      <c r="D1" s="1"/>
      <c r="E1" s="1"/>
    </row>
    <row r="2" ht="38" customHeight="1" spans="1:6" x14ac:dyDescent="0.25">
      <c r="A2" s="2" t="s">
        <v>720</v>
      </c>
      <c r="B2" s="2"/>
      <c r="C2" s="2"/>
      <c r="D2" s="2"/>
      <c r="E2" s="2"/>
      <c r="F2" s="2"/>
    </row>
    <row r="3" ht="24" customHeight="1" spans="1:6" x14ac:dyDescent="0.25">
      <c r="A3" s="3" t="s">
        <v>456</v>
      </c>
      <c r="B3" s="3"/>
      <c r="C3" s="3"/>
      <c r="D3" s="3"/>
      <c r="E3" s="3"/>
      <c r="F3" s="3"/>
    </row>
    <row r="4" ht="18" customHeight="1" spans="1:6" x14ac:dyDescent="0.25">
      <c r="A4" s="4" t="s">
        <v>721</v>
      </c>
      <c r="B4" s="4"/>
      <c r="C4" s="4"/>
      <c r="D4" s="4"/>
      <c r="E4" s="4"/>
      <c r="F4" s="4"/>
    </row>
    <row r="5" ht="10" customHeight="1" x14ac:dyDescent="0.25"/>
    <row r="6" ht="24" customHeight="1" spans="1:6" x14ac:dyDescent="0.25">
      <c r="A6" s="24" t="s">
        <v>458</v>
      </c>
      <c r="B6" s="24"/>
      <c r="C6" s="24"/>
      <c r="D6" s="24"/>
      <c r="E6" s="24"/>
      <c r="F6" s="24"/>
    </row>
    <row r="7" ht="22" customHeight="1" spans="1:6" x14ac:dyDescent="0.25">
      <c r="A7" s="25" t="s">
        <v>722</v>
      </c>
      <c r="B7" s="25"/>
      <c r="C7" s="25"/>
      <c r="D7" s="25"/>
      <c r="E7" s="25"/>
      <c r="F7" s="25"/>
    </row>
    <row r="8" ht="20" customHeight="1" hidden="1" spans="1:6" x14ac:dyDescent="0.25" outlineLevel="1" collapsed="1">
      <c r="A8" s="26" t="s">
        <v>460</v>
      </c>
      <c r="B8" s="26" t="s">
        <v>461</v>
      </c>
      <c r="C8" s="26" t="s">
        <v>462</v>
      </c>
      <c r="D8" s="26" t="s">
        <v>32</v>
      </c>
      <c r="E8" s="26" t="s">
        <v>463</v>
      </c>
      <c r="F8" s="26" t="s">
        <v>464</v>
      </c>
    </row>
    <row r="9" ht="51" customHeight="1" hidden="1" spans="1:6" x14ac:dyDescent="0.25" outlineLevel="1" collapsed="1">
      <c r="A9" s="27">
        <v>4122</v>
      </c>
      <c r="B9" s="28" t="s">
        <v>723</v>
      </c>
      <c r="C9" s="27" t="s">
        <v>466</v>
      </c>
      <c r="D9" s="29" t="s">
        <v>32</v>
      </c>
      <c r="E9" s="28" t="s">
        <v>473</v>
      </c>
      <c r="F9" s="28" t="s">
        <v>724</v>
      </c>
    </row>
    <row r="10" ht="21" customHeight="1" hidden="1" spans="1:6" x14ac:dyDescent="0.25" outlineLevel="1" collapsed="1">
      <c r="A10" s="30" t="s">
        <v>32</v>
      </c>
      <c r="B10" s="17" t="s">
        <v>32</v>
      </c>
      <c r="C10" s="30" t="s">
        <v>32</v>
      </c>
      <c r="D10" s="31" t="s">
        <v>32</v>
      </c>
      <c r="E10" s="17" t="s">
        <v>475</v>
      </c>
      <c r="F10" s="17" t="s">
        <v>32</v>
      </c>
    </row>
    <row r="11" ht="36" customHeight="1" hidden="1" spans="1:6" x14ac:dyDescent="0.25" outlineLevel="1" collapsed="1">
      <c r="A11" s="32" t="s">
        <v>32</v>
      </c>
      <c r="B11" s="12" t="s">
        <v>32</v>
      </c>
      <c r="C11" s="32" t="s">
        <v>32</v>
      </c>
      <c r="D11" s="31" t="s">
        <v>32</v>
      </c>
      <c r="E11" s="12" t="s">
        <v>476</v>
      </c>
      <c r="F11" s="12" t="s">
        <v>32</v>
      </c>
    </row>
    <row r="12" ht="21" customHeight="1" hidden="1" spans="1:6" x14ac:dyDescent="0.25" outlineLevel="1" collapsed="1">
      <c r="A12" s="30" t="s">
        <v>32</v>
      </c>
      <c r="B12" s="17" t="s">
        <v>32</v>
      </c>
      <c r="C12" s="30" t="s">
        <v>32</v>
      </c>
      <c r="D12" s="31" t="s">
        <v>32</v>
      </c>
      <c r="E12" s="17" t="s">
        <v>687</v>
      </c>
      <c r="F12" s="17" t="s">
        <v>32</v>
      </c>
    </row>
    <row r="13" ht="36" customHeight="1" hidden="1" spans="1:6" x14ac:dyDescent="0.25" outlineLevel="1" collapsed="1">
      <c r="A13" s="32" t="s">
        <v>32</v>
      </c>
      <c r="B13" s="12" t="s">
        <v>32</v>
      </c>
      <c r="C13" s="32" t="s">
        <v>32</v>
      </c>
      <c r="D13" s="31" t="s">
        <v>32</v>
      </c>
      <c r="E13" s="12" t="s">
        <v>478</v>
      </c>
      <c r="F13" s="12" t="s">
        <v>32</v>
      </c>
    </row>
    <row r="14" ht="21" customHeight="1" hidden="1" spans="1:6" x14ac:dyDescent="0.25" outlineLevel="1" collapsed="1">
      <c r="A14" s="30" t="s">
        <v>32</v>
      </c>
      <c r="B14" s="17" t="s">
        <v>32</v>
      </c>
      <c r="C14" s="30" t="s">
        <v>32</v>
      </c>
      <c r="D14" s="31" t="s">
        <v>32</v>
      </c>
      <c r="E14" s="17" t="s">
        <v>479</v>
      </c>
      <c r="F14" s="17" t="s">
        <v>32</v>
      </c>
    </row>
    <row r="15" ht="21" customHeight="1" hidden="1" spans="1:6" x14ac:dyDescent="0.25" outlineLevel="1" collapsed="1">
      <c r="A15" s="32" t="s">
        <v>32</v>
      </c>
      <c r="B15" s="12" t="s">
        <v>32</v>
      </c>
      <c r="C15" s="32" t="s">
        <v>32</v>
      </c>
      <c r="D15" s="31" t="s">
        <v>32</v>
      </c>
      <c r="E15" s="12" t="s">
        <v>725</v>
      </c>
      <c r="F15" s="12" t="s">
        <v>32</v>
      </c>
    </row>
    <row r="16" ht="36" customHeight="1" hidden="1" spans="1:6" x14ac:dyDescent="0.25" outlineLevel="1" collapsed="1">
      <c r="A16" s="30" t="s">
        <v>32</v>
      </c>
      <c r="B16" s="17" t="s">
        <v>32</v>
      </c>
      <c r="C16" s="30" t="s">
        <v>32</v>
      </c>
      <c r="D16" s="31" t="s">
        <v>32</v>
      </c>
      <c r="E16" s="35" t="s">
        <v>726</v>
      </c>
      <c r="F16" s="17" t="s">
        <v>32</v>
      </c>
    </row>
    <row r="17" ht="51" customHeight="1" hidden="1" spans="1:6" x14ac:dyDescent="0.25" outlineLevel="1" collapsed="1">
      <c r="A17" s="27">
        <v>4124</v>
      </c>
      <c r="B17" s="28" t="s">
        <v>727</v>
      </c>
      <c r="C17" s="27" t="s">
        <v>472</v>
      </c>
      <c r="D17" s="29" t="s">
        <v>32</v>
      </c>
      <c r="E17" s="28" t="s">
        <v>728</v>
      </c>
      <c r="F17" s="28" t="s">
        <v>729</v>
      </c>
    </row>
    <row r="18" ht="21" customHeight="1" hidden="1" spans="1:6" x14ac:dyDescent="0.25" outlineLevel="1" collapsed="1">
      <c r="A18" s="30" t="s">
        <v>32</v>
      </c>
      <c r="B18" s="17" t="s">
        <v>32</v>
      </c>
      <c r="C18" s="30" t="s">
        <v>32</v>
      </c>
      <c r="D18" s="31" t="s">
        <v>32</v>
      </c>
      <c r="E18" s="17" t="s">
        <v>617</v>
      </c>
      <c r="F18" s="17" t="s">
        <v>32</v>
      </c>
    </row>
    <row r="19" ht="21" customHeight="1" hidden="1" spans="1:6" x14ac:dyDescent="0.25" outlineLevel="1" collapsed="1">
      <c r="A19" s="32" t="s">
        <v>32</v>
      </c>
      <c r="B19" s="12" t="s">
        <v>32</v>
      </c>
      <c r="C19" s="32" t="s">
        <v>32</v>
      </c>
      <c r="D19" s="31" t="s">
        <v>32</v>
      </c>
      <c r="E19" s="12" t="s">
        <v>725</v>
      </c>
      <c r="F19" s="12" t="s">
        <v>32</v>
      </c>
    </row>
    <row r="20" ht="36" customHeight="1" hidden="1" spans="1:6" x14ac:dyDescent="0.25" outlineLevel="1" collapsed="1">
      <c r="A20" s="30" t="s">
        <v>32</v>
      </c>
      <c r="B20" s="17" t="s">
        <v>32</v>
      </c>
      <c r="C20" s="30" t="s">
        <v>32</v>
      </c>
      <c r="D20" s="31" t="s">
        <v>32</v>
      </c>
      <c r="E20" s="35" t="s">
        <v>726</v>
      </c>
      <c r="F20" s="17" t="s">
        <v>32</v>
      </c>
    </row>
    <row r="21" ht="22" customHeight="1" hidden="1" spans="1:6" x14ac:dyDescent="0.25" outlineLevel="1" collapsed="1">
      <c r="A21" s="34" t="s">
        <v>495</v>
      </c>
      <c r="B21" s="34"/>
      <c r="C21" s="34"/>
      <c r="D21" s="34"/>
      <c r="E21" s="34"/>
      <c r="F21" s="34"/>
    </row>
    <row r="22" ht="40" customHeight="1" hidden="1" spans="1:6" x14ac:dyDescent="0.25" outlineLevel="1" collapsed="1">
      <c r="A22" s="12" t="s">
        <v>730</v>
      </c>
      <c r="B22" s="12"/>
      <c r="C22" s="12"/>
      <c r="D22" s="12"/>
      <c r="E22" s="12"/>
      <c r="F22" s="12"/>
    </row>
    <row r="23" ht="40" customHeight="1" hidden="1" spans="1:6" x14ac:dyDescent="0.25" outlineLevel="1" collapsed="1">
      <c r="A23" s="12" t="s">
        <v>731</v>
      </c>
      <c r="B23" s="12"/>
      <c r="C23" s="12"/>
      <c r="D23" s="12"/>
      <c r="E23" s="12"/>
      <c r="F23" s="12"/>
    </row>
    <row r="24" ht="24" customHeight="1" hidden="1" spans="1:6" x14ac:dyDescent="0.25" outlineLevel="1" collapsed="1">
      <c r="A24" s="12" t="s">
        <v>732</v>
      </c>
      <c r="B24" s="12"/>
      <c r="C24" s="12"/>
      <c r="D24" s="12"/>
      <c r="E24" s="12"/>
      <c r="F24" s="12"/>
    </row>
    <row r="25" ht="6" customHeight="1" hidden="1" x14ac:dyDescent="0.25" outlineLevel="1" collapsed="1"/>
    <row r="26" ht="22" customHeight="1" spans="1:6" x14ac:dyDescent="0.25">
      <c r="A26" s="25" t="s">
        <v>733</v>
      </c>
      <c r="B26" s="25"/>
      <c r="C26" s="25"/>
      <c r="D26" s="25"/>
      <c r="E26" s="25"/>
      <c r="F26" s="25"/>
    </row>
    <row r="27" ht="20" customHeight="1" hidden="1" spans="1:6" x14ac:dyDescent="0.25" outlineLevel="1" collapsed="1">
      <c r="A27" s="26" t="s">
        <v>460</v>
      </c>
      <c r="B27" s="26" t="s">
        <v>461</v>
      </c>
      <c r="C27" s="26" t="s">
        <v>462</v>
      </c>
      <c r="D27" s="26" t="s">
        <v>32</v>
      </c>
      <c r="E27" s="26" t="s">
        <v>463</v>
      </c>
      <c r="F27" s="26" t="s">
        <v>464</v>
      </c>
    </row>
    <row r="28" ht="51" customHeight="1" hidden="1" spans="1:6" x14ac:dyDescent="0.25" outlineLevel="1" collapsed="1">
      <c r="A28" s="27">
        <v>4122</v>
      </c>
      <c r="B28" s="28" t="s">
        <v>734</v>
      </c>
      <c r="C28" s="27" t="s">
        <v>472</v>
      </c>
      <c r="D28" s="29" t="s">
        <v>32</v>
      </c>
      <c r="E28" s="28" t="s">
        <v>473</v>
      </c>
      <c r="F28" s="28" t="s">
        <v>724</v>
      </c>
    </row>
    <row r="29" ht="21" customHeight="1" hidden="1" spans="1:6" x14ac:dyDescent="0.25" outlineLevel="1" collapsed="1">
      <c r="A29" s="30" t="s">
        <v>32</v>
      </c>
      <c r="B29" s="17" t="s">
        <v>32</v>
      </c>
      <c r="C29" s="30" t="s">
        <v>32</v>
      </c>
      <c r="D29" s="31" t="s">
        <v>32</v>
      </c>
      <c r="E29" s="17" t="s">
        <v>475</v>
      </c>
      <c r="F29" s="17" t="s">
        <v>32</v>
      </c>
    </row>
    <row r="30" ht="36" customHeight="1" hidden="1" spans="1:6" x14ac:dyDescent="0.25" outlineLevel="1" collapsed="1">
      <c r="A30" s="32" t="s">
        <v>32</v>
      </c>
      <c r="B30" s="12" t="s">
        <v>32</v>
      </c>
      <c r="C30" s="32" t="s">
        <v>32</v>
      </c>
      <c r="D30" s="31" t="s">
        <v>32</v>
      </c>
      <c r="E30" s="12" t="s">
        <v>476</v>
      </c>
      <c r="F30" s="12" t="s">
        <v>32</v>
      </c>
    </row>
    <row r="31" ht="21" customHeight="1" hidden="1" spans="1:6" x14ac:dyDescent="0.25" outlineLevel="1" collapsed="1">
      <c r="A31" s="30" t="s">
        <v>32</v>
      </c>
      <c r="B31" s="17" t="s">
        <v>32</v>
      </c>
      <c r="C31" s="30" t="s">
        <v>32</v>
      </c>
      <c r="D31" s="31" t="s">
        <v>32</v>
      </c>
      <c r="E31" s="17" t="s">
        <v>687</v>
      </c>
      <c r="F31" s="17" t="s">
        <v>32</v>
      </c>
    </row>
    <row r="32" ht="36" customHeight="1" hidden="1" spans="1:6" x14ac:dyDescent="0.25" outlineLevel="1" collapsed="1">
      <c r="A32" s="32" t="s">
        <v>32</v>
      </c>
      <c r="B32" s="12" t="s">
        <v>32</v>
      </c>
      <c r="C32" s="32" t="s">
        <v>32</v>
      </c>
      <c r="D32" s="31" t="s">
        <v>32</v>
      </c>
      <c r="E32" s="12" t="s">
        <v>478</v>
      </c>
      <c r="F32" s="12" t="s">
        <v>32</v>
      </c>
    </row>
    <row r="33" ht="21" customHeight="1" hidden="1" spans="1:6" x14ac:dyDescent="0.25" outlineLevel="1" collapsed="1">
      <c r="A33" s="30" t="s">
        <v>32</v>
      </c>
      <c r="B33" s="17" t="s">
        <v>32</v>
      </c>
      <c r="C33" s="30" t="s">
        <v>32</v>
      </c>
      <c r="D33" s="31" t="s">
        <v>32</v>
      </c>
      <c r="E33" s="17" t="s">
        <v>479</v>
      </c>
      <c r="F33" s="17" t="s">
        <v>32</v>
      </c>
    </row>
    <row r="34" ht="21" customHeight="1" hidden="1" spans="1:6" x14ac:dyDescent="0.25" outlineLevel="1" collapsed="1">
      <c r="A34" s="32" t="s">
        <v>32</v>
      </c>
      <c r="B34" s="12" t="s">
        <v>32</v>
      </c>
      <c r="C34" s="32" t="s">
        <v>32</v>
      </c>
      <c r="D34" s="31" t="s">
        <v>32</v>
      </c>
      <c r="E34" s="12" t="s">
        <v>725</v>
      </c>
      <c r="F34" s="12" t="s">
        <v>32</v>
      </c>
    </row>
    <row r="35" ht="36" customHeight="1" hidden="1" spans="1:6" x14ac:dyDescent="0.25" outlineLevel="1" collapsed="1">
      <c r="A35" s="30" t="s">
        <v>32</v>
      </c>
      <c r="B35" s="17" t="s">
        <v>32</v>
      </c>
      <c r="C35" s="30" t="s">
        <v>32</v>
      </c>
      <c r="D35" s="31" t="s">
        <v>32</v>
      </c>
      <c r="E35" s="35" t="s">
        <v>726</v>
      </c>
      <c r="F35" s="17" t="s">
        <v>32</v>
      </c>
    </row>
    <row r="36" ht="51" customHeight="1" hidden="1" spans="1:6" x14ac:dyDescent="0.25" outlineLevel="1" collapsed="1">
      <c r="A36" s="27">
        <v>4124</v>
      </c>
      <c r="B36" s="28" t="s">
        <v>735</v>
      </c>
      <c r="C36" s="27" t="s">
        <v>466</v>
      </c>
      <c r="D36" s="29" t="s">
        <v>32</v>
      </c>
      <c r="E36" s="28" t="s">
        <v>728</v>
      </c>
      <c r="F36" s="28" t="s">
        <v>729</v>
      </c>
    </row>
    <row r="37" ht="21" customHeight="1" hidden="1" spans="1:6" x14ac:dyDescent="0.25" outlineLevel="1" collapsed="1">
      <c r="A37" s="30" t="s">
        <v>32</v>
      </c>
      <c r="B37" s="17" t="s">
        <v>32</v>
      </c>
      <c r="C37" s="30" t="s">
        <v>32</v>
      </c>
      <c r="D37" s="31" t="s">
        <v>32</v>
      </c>
      <c r="E37" s="17" t="s">
        <v>617</v>
      </c>
      <c r="F37" s="17" t="s">
        <v>32</v>
      </c>
    </row>
    <row r="38" ht="21" customHeight="1" hidden="1" spans="1:6" x14ac:dyDescent="0.25" outlineLevel="1" collapsed="1">
      <c r="A38" s="32" t="s">
        <v>32</v>
      </c>
      <c r="B38" s="12" t="s">
        <v>32</v>
      </c>
      <c r="C38" s="32" t="s">
        <v>32</v>
      </c>
      <c r="D38" s="31" t="s">
        <v>32</v>
      </c>
      <c r="E38" s="12" t="s">
        <v>725</v>
      </c>
      <c r="F38" s="12" t="s">
        <v>32</v>
      </c>
    </row>
    <row r="39" ht="36" customHeight="1" hidden="1" spans="1:6" x14ac:dyDescent="0.25" outlineLevel="1" collapsed="1">
      <c r="A39" s="30" t="s">
        <v>32</v>
      </c>
      <c r="B39" s="17" t="s">
        <v>32</v>
      </c>
      <c r="C39" s="30" t="s">
        <v>32</v>
      </c>
      <c r="D39" s="31" t="s">
        <v>32</v>
      </c>
      <c r="E39" s="35" t="s">
        <v>726</v>
      </c>
      <c r="F39" s="17" t="s">
        <v>32</v>
      </c>
    </row>
    <row r="40" ht="22" customHeight="1" hidden="1" spans="1:6" x14ac:dyDescent="0.25" outlineLevel="1" collapsed="1">
      <c r="A40" s="34" t="s">
        <v>495</v>
      </c>
      <c r="B40" s="34"/>
      <c r="C40" s="34"/>
      <c r="D40" s="34"/>
      <c r="E40" s="34"/>
      <c r="F40" s="34"/>
    </row>
    <row r="41" ht="40" customHeight="1" hidden="1" spans="1:6" x14ac:dyDescent="0.25" outlineLevel="1" collapsed="1">
      <c r="A41" s="12" t="s">
        <v>736</v>
      </c>
      <c r="B41" s="12"/>
      <c r="C41" s="12"/>
      <c r="D41" s="12"/>
      <c r="E41" s="12"/>
      <c r="F41" s="12"/>
    </row>
    <row r="42" ht="40" customHeight="1" hidden="1" spans="1:6" x14ac:dyDescent="0.25" outlineLevel="1" collapsed="1">
      <c r="A42" s="12" t="s">
        <v>737</v>
      </c>
      <c r="B42" s="12"/>
      <c r="C42" s="12"/>
      <c r="D42" s="12"/>
      <c r="E42" s="12"/>
      <c r="F42" s="12"/>
    </row>
    <row r="43" ht="24" customHeight="1" hidden="1" spans="1:6" x14ac:dyDescent="0.25" outlineLevel="1" collapsed="1">
      <c r="A43" s="12" t="s">
        <v>732</v>
      </c>
      <c r="B43" s="12"/>
      <c r="C43" s="12"/>
      <c r="D43" s="12"/>
      <c r="E43" s="12"/>
      <c r="F43" s="12"/>
    </row>
    <row r="44" ht="6" customHeight="1" hidden="1" x14ac:dyDescent="0.25" outlineLevel="1" collapsed="1"/>
    <row r="45" ht="22" customHeight="1" spans="1:6" x14ac:dyDescent="0.25">
      <c r="A45" s="25" t="s">
        <v>738</v>
      </c>
      <c r="B45" s="25"/>
      <c r="C45" s="25"/>
      <c r="D45" s="25"/>
      <c r="E45" s="25"/>
      <c r="F45" s="25"/>
    </row>
    <row r="46" ht="20" customHeight="1" hidden="1" spans="1:6" x14ac:dyDescent="0.25" outlineLevel="1" collapsed="1">
      <c r="A46" s="26" t="s">
        <v>460</v>
      </c>
      <c r="B46" s="26" t="s">
        <v>461</v>
      </c>
      <c r="C46" s="26" t="s">
        <v>462</v>
      </c>
      <c r="D46" s="26" t="s">
        <v>32</v>
      </c>
      <c r="E46" s="26" t="s">
        <v>463</v>
      </c>
      <c r="F46" s="26" t="s">
        <v>464</v>
      </c>
    </row>
    <row r="47" ht="51" customHeight="1" hidden="1" spans="1:6" x14ac:dyDescent="0.25" outlineLevel="1" collapsed="1">
      <c r="A47" s="27">
        <v>4122</v>
      </c>
      <c r="B47" s="28" t="s">
        <v>734</v>
      </c>
      <c r="C47" s="27" t="s">
        <v>472</v>
      </c>
      <c r="D47" s="29" t="s">
        <v>32</v>
      </c>
      <c r="E47" s="28" t="s">
        <v>473</v>
      </c>
      <c r="F47" s="28" t="s">
        <v>474</v>
      </c>
    </row>
    <row r="48" ht="21" customHeight="1" hidden="1" spans="1:6" x14ac:dyDescent="0.25" outlineLevel="1" collapsed="1">
      <c r="A48" s="30" t="s">
        <v>32</v>
      </c>
      <c r="B48" s="17" t="s">
        <v>32</v>
      </c>
      <c r="C48" s="30" t="s">
        <v>32</v>
      </c>
      <c r="D48" s="31" t="s">
        <v>32</v>
      </c>
      <c r="E48" s="17" t="s">
        <v>475</v>
      </c>
      <c r="F48" s="17" t="s">
        <v>32</v>
      </c>
    </row>
    <row r="49" ht="36" customHeight="1" hidden="1" spans="1:6" x14ac:dyDescent="0.25" outlineLevel="1" collapsed="1">
      <c r="A49" s="32" t="s">
        <v>32</v>
      </c>
      <c r="B49" s="12" t="s">
        <v>32</v>
      </c>
      <c r="C49" s="32" t="s">
        <v>32</v>
      </c>
      <c r="D49" s="31" t="s">
        <v>32</v>
      </c>
      <c r="E49" s="12" t="s">
        <v>476</v>
      </c>
      <c r="F49" s="12" t="s">
        <v>32</v>
      </c>
    </row>
    <row r="50" ht="21" customHeight="1" hidden="1" spans="1:6" x14ac:dyDescent="0.25" outlineLevel="1" collapsed="1">
      <c r="A50" s="30" t="s">
        <v>32</v>
      </c>
      <c r="B50" s="17" t="s">
        <v>32</v>
      </c>
      <c r="C50" s="30" t="s">
        <v>32</v>
      </c>
      <c r="D50" s="31" t="s">
        <v>32</v>
      </c>
      <c r="E50" s="17" t="s">
        <v>687</v>
      </c>
      <c r="F50" s="17" t="s">
        <v>32</v>
      </c>
    </row>
    <row r="51" ht="36" customHeight="1" hidden="1" spans="1:6" x14ac:dyDescent="0.25" outlineLevel="1" collapsed="1">
      <c r="A51" s="32" t="s">
        <v>32</v>
      </c>
      <c r="B51" s="12" t="s">
        <v>32</v>
      </c>
      <c r="C51" s="32" t="s">
        <v>32</v>
      </c>
      <c r="D51" s="31" t="s">
        <v>32</v>
      </c>
      <c r="E51" s="12" t="s">
        <v>478</v>
      </c>
      <c r="F51" s="12" t="s">
        <v>32</v>
      </c>
    </row>
    <row r="52" ht="21" customHeight="1" hidden="1" spans="1:6" x14ac:dyDescent="0.25" outlineLevel="1" collapsed="1">
      <c r="A52" s="30" t="s">
        <v>32</v>
      </c>
      <c r="B52" s="17" t="s">
        <v>32</v>
      </c>
      <c r="C52" s="30" t="s">
        <v>32</v>
      </c>
      <c r="D52" s="31" t="s">
        <v>32</v>
      </c>
      <c r="E52" s="17" t="s">
        <v>479</v>
      </c>
      <c r="F52" s="17" t="s">
        <v>32</v>
      </c>
    </row>
    <row r="53" ht="36" customHeight="1" hidden="1" spans="1:6" x14ac:dyDescent="0.25" outlineLevel="1" collapsed="1">
      <c r="A53" s="32" t="s">
        <v>32</v>
      </c>
      <c r="B53" s="12" t="s">
        <v>32</v>
      </c>
      <c r="C53" s="32" t="s">
        <v>32</v>
      </c>
      <c r="D53" s="31" t="s">
        <v>32</v>
      </c>
      <c r="E53" s="33" t="s">
        <v>618</v>
      </c>
      <c r="F53" s="12" t="s">
        <v>32</v>
      </c>
    </row>
    <row r="54" ht="51" customHeight="1" hidden="1" spans="1:6" x14ac:dyDescent="0.25" outlineLevel="1" collapsed="1">
      <c r="A54" s="27">
        <v>4124</v>
      </c>
      <c r="B54" s="28" t="s">
        <v>739</v>
      </c>
      <c r="C54" s="27" t="s">
        <v>466</v>
      </c>
      <c r="D54" s="29" t="s">
        <v>32</v>
      </c>
      <c r="E54" s="28" t="s">
        <v>728</v>
      </c>
      <c r="F54" s="28" t="s">
        <v>740</v>
      </c>
    </row>
    <row r="55" ht="21" customHeight="1" hidden="1" spans="1:6" x14ac:dyDescent="0.25" outlineLevel="1" collapsed="1">
      <c r="A55" s="30" t="s">
        <v>32</v>
      </c>
      <c r="B55" s="17" t="s">
        <v>32</v>
      </c>
      <c r="C55" s="30" t="s">
        <v>32</v>
      </c>
      <c r="D55" s="31" t="s">
        <v>32</v>
      </c>
      <c r="E55" s="17" t="s">
        <v>617</v>
      </c>
      <c r="F55" s="17" t="s">
        <v>32</v>
      </c>
    </row>
    <row r="56" ht="36" customHeight="1" hidden="1" spans="1:6" x14ac:dyDescent="0.25" outlineLevel="1" collapsed="1">
      <c r="A56" s="32" t="s">
        <v>32</v>
      </c>
      <c r="B56" s="12" t="s">
        <v>32</v>
      </c>
      <c r="C56" s="32" t="s">
        <v>32</v>
      </c>
      <c r="D56" s="31" t="s">
        <v>32</v>
      </c>
      <c r="E56" s="33" t="s">
        <v>618</v>
      </c>
      <c r="F56" s="12" t="s">
        <v>32</v>
      </c>
    </row>
    <row r="57" ht="22" customHeight="1" hidden="1" spans="1:6" x14ac:dyDescent="0.25" outlineLevel="1" collapsed="1">
      <c r="A57" s="34" t="s">
        <v>495</v>
      </c>
      <c r="B57" s="34"/>
      <c r="C57" s="34"/>
      <c r="D57" s="34"/>
      <c r="E57" s="34"/>
      <c r="F57" s="34"/>
    </row>
    <row r="58" ht="40" customHeight="1" hidden="1" spans="1:6" x14ac:dyDescent="0.25" outlineLevel="1" collapsed="1">
      <c r="A58" s="12" t="s">
        <v>741</v>
      </c>
      <c r="B58" s="12"/>
      <c r="C58" s="12"/>
      <c r="D58" s="12"/>
      <c r="E58" s="12"/>
      <c r="F58" s="12"/>
    </row>
    <row r="59" ht="24" customHeight="1" hidden="1" spans="1:6" x14ac:dyDescent="0.25" outlineLevel="1" collapsed="1">
      <c r="A59" s="12" t="s">
        <v>742</v>
      </c>
      <c r="B59" s="12"/>
      <c r="C59" s="12"/>
      <c r="D59" s="12"/>
      <c r="E59" s="12"/>
      <c r="F59" s="12"/>
    </row>
    <row r="60" ht="24" customHeight="1" hidden="1" spans="1:6" x14ac:dyDescent="0.25" outlineLevel="1" collapsed="1">
      <c r="A60" s="12" t="s">
        <v>732</v>
      </c>
      <c r="B60" s="12"/>
      <c r="C60" s="12"/>
      <c r="D60" s="12"/>
      <c r="E60" s="12"/>
      <c r="F60" s="12"/>
    </row>
    <row r="61" ht="6" customHeight="1" hidden="1" x14ac:dyDescent="0.25" outlineLevel="1" collapsed="1"/>
    <row r="62" ht="22" customHeight="1" spans="1:6" x14ac:dyDescent="0.25">
      <c r="A62" s="25" t="s">
        <v>743</v>
      </c>
      <c r="B62" s="25"/>
      <c r="C62" s="25"/>
      <c r="D62" s="25"/>
      <c r="E62" s="25"/>
      <c r="F62" s="25"/>
    </row>
    <row r="63" ht="20" customHeight="1" hidden="1" spans="1:6" x14ac:dyDescent="0.25" outlineLevel="1" collapsed="1">
      <c r="A63" s="26" t="s">
        <v>460</v>
      </c>
      <c r="B63" s="26" t="s">
        <v>461</v>
      </c>
      <c r="C63" s="26" t="s">
        <v>462</v>
      </c>
      <c r="D63" s="26" t="s">
        <v>32</v>
      </c>
      <c r="E63" s="26" t="s">
        <v>463</v>
      </c>
      <c r="F63" s="26" t="s">
        <v>464</v>
      </c>
    </row>
    <row r="64" ht="66" customHeight="1" hidden="1" spans="1:6" x14ac:dyDescent="0.25" outlineLevel="1" collapsed="1">
      <c r="A64" s="27">
        <v>4122</v>
      </c>
      <c r="B64" s="28" t="s">
        <v>744</v>
      </c>
      <c r="C64" s="27" t="s">
        <v>745</v>
      </c>
      <c r="D64" s="29" t="s">
        <v>32</v>
      </c>
      <c r="E64" s="28" t="s">
        <v>473</v>
      </c>
      <c r="F64" s="28" t="s">
        <v>474</v>
      </c>
    </row>
    <row r="65" ht="21" customHeight="1" hidden="1" spans="1:6" x14ac:dyDescent="0.25" outlineLevel="1" collapsed="1">
      <c r="A65" s="30" t="s">
        <v>32</v>
      </c>
      <c r="B65" s="17" t="s">
        <v>32</v>
      </c>
      <c r="C65" s="30" t="s">
        <v>32</v>
      </c>
      <c r="D65" s="31" t="s">
        <v>32</v>
      </c>
      <c r="E65" s="17" t="s">
        <v>475</v>
      </c>
      <c r="F65" s="17" t="s">
        <v>32</v>
      </c>
    </row>
    <row r="66" ht="36" customHeight="1" hidden="1" spans="1:6" x14ac:dyDescent="0.25" outlineLevel="1" collapsed="1">
      <c r="A66" s="32" t="s">
        <v>32</v>
      </c>
      <c r="B66" s="12" t="s">
        <v>32</v>
      </c>
      <c r="C66" s="32" t="s">
        <v>32</v>
      </c>
      <c r="D66" s="31" t="s">
        <v>32</v>
      </c>
      <c r="E66" s="12" t="s">
        <v>476</v>
      </c>
      <c r="F66" s="12" t="s">
        <v>32</v>
      </c>
    </row>
    <row r="67" ht="21" customHeight="1" hidden="1" spans="1:6" x14ac:dyDescent="0.25" outlineLevel="1" collapsed="1">
      <c r="A67" s="30" t="s">
        <v>32</v>
      </c>
      <c r="B67" s="17" t="s">
        <v>32</v>
      </c>
      <c r="C67" s="30" t="s">
        <v>32</v>
      </c>
      <c r="D67" s="31" t="s">
        <v>32</v>
      </c>
      <c r="E67" s="17" t="s">
        <v>687</v>
      </c>
      <c r="F67" s="17" t="s">
        <v>32</v>
      </c>
    </row>
    <row r="68" ht="36" customHeight="1" hidden="1" spans="1:6" x14ac:dyDescent="0.25" outlineLevel="1" collapsed="1">
      <c r="A68" s="32" t="s">
        <v>32</v>
      </c>
      <c r="B68" s="12" t="s">
        <v>32</v>
      </c>
      <c r="C68" s="32" t="s">
        <v>32</v>
      </c>
      <c r="D68" s="31" t="s">
        <v>32</v>
      </c>
      <c r="E68" s="12" t="s">
        <v>478</v>
      </c>
      <c r="F68" s="12" t="s">
        <v>32</v>
      </c>
    </row>
    <row r="69" ht="21" customHeight="1" hidden="1" spans="1:6" x14ac:dyDescent="0.25" outlineLevel="1" collapsed="1">
      <c r="A69" s="30" t="s">
        <v>32</v>
      </c>
      <c r="B69" s="17" t="s">
        <v>32</v>
      </c>
      <c r="C69" s="30" t="s">
        <v>32</v>
      </c>
      <c r="D69" s="31" t="s">
        <v>32</v>
      </c>
      <c r="E69" s="17" t="s">
        <v>479</v>
      </c>
      <c r="F69" s="17" t="s">
        <v>32</v>
      </c>
    </row>
    <row r="70" ht="36" customHeight="1" hidden="1" spans="1:6" x14ac:dyDescent="0.25" outlineLevel="1" collapsed="1">
      <c r="A70" s="32" t="s">
        <v>32</v>
      </c>
      <c r="B70" s="12" t="s">
        <v>32</v>
      </c>
      <c r="C70" s="32" t="s">
        <v>32</v>
      </c>
      <c r="D70" s="31" t="s">
        <v>32</v>
      </c>
      <c r="E70" s="33" t="s">
        <v>618</v>
      </c>
      <c r="F70" s="12" t="s">
        <v>32</v>
      </c>
    </row>
    <row r="71" ht="22" customHeight="1" hidden="1" spans="1:6" x14ac:dyDescent="0.25" outlineLevel="1" collapsed="1">
      <c r="A71" s="34" t="s">
        <v>495</v>
      </c>
      <c r="B71" s="34"/>
      <c r="C71" s="34"/>
      <c r="D71" s="34"/>
      <c r="E71" s="34"/>
      <c r="F71" s="34"/>
    </row>
    <row r="72" ht="40" customHeight="1" hidden="1" spans="1:6" x14ac:dyDescent="0.25" outlineLevel="1" collapsed="1">
      <c r="A72" s="12" t="s">
        <v>746</v>
      </c>
      <c r="B72" s="12"/>
      <c r="C72" s="12"/>
      <c r="D72" s="12"/>
      <c r="E72" s="12"/>
      <c r="F72" s="12"/>
    </row>
    <row r="73" ht="24" customHeight="1" hidden="1" spans="1:6" x14ac:dyDescent="0.25" outlineLevel="1" collapsed="1">
      <c r="A73" s="12" t="s">
        <v>732</v>
      </c>
      <c r="B73" s="12"/>
      <c r="C73" s="12"/>
      <c r="D73" s="12"/>
      <c r="E73" s="12"/>
      <c r="F73" s="12"/>
    </row>
    <row r="74" ht="6" customHeight="1" hidden="1" x14ac:dyDescent="0.25" outlineLevel="1" collapsed="1"/>
    <row r="75" ht="22" customHeight="1" spans="1:6" x14ac:dyDescent="0.25">
      <c r="A75" s="25" t="s">
        <v>747</v>
      </c>
      <c r="B75" s="25"/>
      <c r="C75" s="25"/>
      <c r="D75" s="25"/>
      <c r="E75" s="25"/>
      <c r="F75" s="25"/>
    </row>
    <row r="76" ht="20" customHeight="1" hidden="1" spans="1:6" x14ac:dyDescent="0.25" outlineLevel="1" collapsed="1">
      <c r="A76" s="26" t="s">
        <v>460</v>
      </c>
      <c r="B76" s="26" t="s">
        <v>461</v>
      </c>
      <c r="C76" s="26" t="s">
        <v>462</v>
      </c>
      <c r="D76" s="26" t="s">
        <v>32</v>
      </c>
      <c r="E76" s="26" t="s">
        <v>463</v>
      </c>
      <c r="F76" s="26" t="s">
        <v>464</v>
      </c>
    </row>
    <row r="77" ht="51" customHeight="1" hidden="1" spans="1:6" x14ac:dyDescent="0.25" outlineLevel="1" collapsed="1">
      <c r="A77" s="27">
        <v>4134</v>
      </c>
      <c r="B77" s="28" t="s">
        <v>748</v>
      </c>
      <c r="C77" s="27" t="s">
        <v>466</v>
      </c>
      <c r="D77" s="29" t="s">
        <v>32</v>
      </c>
      <c r="E77" s="28" t="s">
        <v>473</v>
      </c>
      <c r="F77" s="28" t="s">
        <v>724</v>
      </c>
    </row>
    <row r="78" ht="21" customHeight="1" hidden="1" spans="1:6" x14ac:dyDescent="0.25" outlineLevel="1" collapsed="1">
      <c r="A78" s="30" t="s">
        <v>32</v>
      </c>
      <c r="B78" s="17" t="s">
        <v>32</v>
      </c>
      <c r="C78" s="30" t="s">
        <v>32</v>
      </c>
      <c r="D78" s="31" t="s">
        <v>32</v>
      </c>
      <c r="E78" s="17" t="s">
        <v>475</v>
      </c>
      <c r="F78" s="17" t="s">
        <v>32</v>
      </c>
    </row>
    <row r="79" ht="36" customHeight="1" hidden="1" spans="1:6" x14ac:dyDescent="0.25" outlineLevel="1" collapsed="1">
      <c r="A79" s="32" t="s">
        <v>32</v>
      </c>
      <c r="B79" s="12" t="s">
        <v>32</v>
      </c>
      <c r="C79" s="32" t="s">
        <v>32</v>
      </c>
      <c r="D79" s="31" t="s">
        <v>32</v>
      </c>
      <c r="E79" s="12" t="s">
        <v>476</v>
      </c>
      <c r="F79" s="12" t="s">
        <v>32</v>
      </c>
    </row>
    <row r="80" ht="21" customHeight="1" hidden="1" spans="1:6" x14ac:dyDescent="0.25" outlineLevel="1" collapsed="1">
      <c r="A80" s="30" t="s">
        <v>32</v>
      </c>
      <c r="B80" s="17" t="s">
        <v>32</v>
      </c>
      <c r="C80" s="30" t="s">
        <v>32</v>
      </c>
      <c r="D80" s="31" t="s">
        <v>32</v>
      </c>
      <c r="E80" s="17" t="s">
        <v>687</v>
      </c>
      <c r="F80" s="17" t="s">
        <v>32</v>
      </c>
    </row>
    <row r="81" ht="36" customHeight="1" hidden="1" spans="1:6" x14ac:dyDescent="0.25" outlineLevel="1" collapsed="1">
      <c r="A81" s="32" t="s">
        <v>32</v>
      </c>
      <c r="B81" s="12" t="s">
        <v>32</v>
      </c>
      <c r="C81" s="32" t="s">
        <v>32</v>
      </c>
      <c r="D81" s="31" t="s">
        <v>32</v>
      </c>
      <c r="E81" s="12" t="s">
        <v>478</v>
      </c>
      <c r="F81" s="12" t="s">
        <v>32</v>
      </c>
    </row>
    <row r="82" ht="21" customHeight="1" hidden="1" spans="1:6" x14ac:dyDescent="0.25" outlineLevel="1" collapsed="1">
      <c r="A82" s="30" t="s">
        <v>32</v>
      </c>
      <c r="B82" s="17" t="s">
        <v>32</v>
      </c>
      <c r="C82" s="30" t="s">
        <v>32</v>
      </c>
      <c r="D82" s="31" t="s">
        <v>32</v>
      </c>
      <c r="E82" s="17" t="s">
        <v>479</v>
      </c>
      <c r="F82" s="17" t="s">
        <v>32</v>
      </c>
    </row>
    <row r="83" ht="21" customHeight="1" hidden="1" spans="1:6" x14ac:dyDescent="0.25" outlineLevel="1" collapsed="1">
      <c r="A83" s="32" t="s">
        <v>32</v>
      </c>
      <c r="B83" s="12" t="s">
        <v>32</v>
      </c>
      <c r="C83" s="32" t="s">
        <v>32</v>
      </c>
      <c r="D83" s="31" t="s">
        <v>32</v>
      </c>
      <c r="E83" s="12" t="s">
        <v>749</v>
      </c>
      <c r="F83" s="12" t="s">
        <v>32</v>
      </c>
    </row>
    <row r="84" ht="36" customHeight="1" hidden="1" spans="1:6" x14ac:dyDescent="0.25" outlineLevel="1" collapsed="1">
      <c r="A84" s="30" t="s">
        <v>32</v>
      </c>
      <c r="B84" s="17" t="s">
        <v>32</v>
      </c>
      <c r="C84" s="30" t="s">
        <v>32</v>
      </c>
      <c r="D84" s="31" t="s">
        <v>32</v>
      </c>
      <c r="E84" s="35" t="s">
        <v>726</v>
      </c>
      <c r="F84" s="17" t="s">
        <v>32</v>
      </c>
    </row>
    <row r="85" ht="51" customHeight="1" hidden="1" spans="1:6" x14ac:dyDescent="0.25" outlineLevel="1" collapsed="1">
      <c r="A85" s="27">
        <v>4136</v>
      </c>
      <c r="B85" s="28" t="s">
        <v>750</v>
      </c>
      <c r="C85" s="27" t="s">
        <v>472</v>
      </c>
      <c r="D85" s="29" t="s">
        <v>32</v>
      </c>
      <c r="E85" s="28" t="s">
        <v>751</v>
      </c>
      <c r="F85" s="28" t="s">
        <v>752</v>
      </c>
    </row>
    <row r="86" ht="21" customHeight="1" hidden="1" spans="1:6" x14ac:dyDescent="0.25" outlineLevel="1" collapsed="1">
      <c r="A86" s="30" t="s">
        <v>32</v>
      </c>
      <c r="B86" s="17" t="s">
        <v>32</v>
      </c>
      <c r="C86" s="30" t="s">
        <v>32</v>
      </c>
      <c r="D86" s="31" t="s">
        <v>32</v>
      </c>
      <c r="E86" s="17" t="s">
        <v>617</v>
      </c>
      <c r="F86" s="17" t="s">
        <v>32</v>
      </c>
    </row>
    <row r="87" ht="36" customHeight="1" hidden="1" spans="1:6" x14ac:dyDescent="0.25" outlineLevel="1" collapsed="1">
      <c r="A87" s="32" t="s">
        <v>32</v>
      </c>
      <c r="B87" s="12" t="s">
        <v>32</v>
      </c>
      <c r="C87" s="32" t="s">
        <v>32</v>
      </c>
      <c r="D87" s="31" t="s">
        <v>32</v>
      </c>
      <c r="E87" s="33" t="s">
        <v>726</v>
      </c>
      <c r="F87" s="12" t="s">
        <v>32</v>
      </c>
    </row>
    <row r="88" ht="22" customHeight="1" hidden="1" spans="1:6" x14ac:dyDescent="0.25" outlineLevel="1" collapsed="1">
      <c r="A88" s="34" t="s">
        <v>495</v>
      </c>
      <c r="B88" s="34"/>
      <c r="C88" s="34"/>
      <c r="D88" s="34"/>
      <c r="E88" s="34"/>
      <c r="F88" s="34"/>
    </row>
    <row r="89" ht="40" customHeight="1" hidden="1" spans="1:6" x14ac:dyDescent="0.25" outlineLevel="1" collapsed="1">
      <c r="A89" s="12" t="s">
        <v>753</v>
      </c>
      <c r="B89" s="12"/>
      <c r="C89" s="12"/>
      <c r="D89" s="12"/>
      <c r="E89" s="12"/>
      <c r="F89" s="12"/>
    </row>
    <row r="90" ht="24" customHeight="1" hidden="1" spans="1:6" x14ac:dyDescent="0.25" outlineLevel="1" collapsed="1">
      <c r="A90" s="12" t="s">
        <v>754</v>
      </c>
      <c r="B90" s="12"/>
      <c r="C90" s="12"/>
      <c r="D90" s="12"/>
      <c r="E90" s="12"/>
      <c r="F90" s="12"/>
    </row>
    <row r="91" ht="6" customHeight="1" hidden="1" x14ac:dyDescent="0.25" outlineLevel="1" collapsed="1"/>
    <row r="92" ht="22" customHeight="1" spans="1:6" x14ac:dyDescent="0.25">
      <c r="A92" s="25" t="s">
        <v>755</v>
      </c>
      <c r="B92" s="25"/>
      <c r="C92" s="25"/>
      <c r="D92" s="25"/>
      <c r="E92" s="25"/>
      <c r="F92" s="25"/>
    </row>
    <row r="93" ht="20" customHeight="1" hidden="1" spans="1:6" x14ac:dyDescent="0.25" outlineLevel="1" collapsed="1">
      <c r="A93" s="26" t="s">
        <v>460</v>
      </c>
      <c r="B93" s="26" t="s">
        <v>461</v>
      </c>
      <c r="C93" s="26" t="s">
        <v>462</v>
      </c>
      <c r="D93" s="26" t="s">
        <v>32</v>
      </c>
      <c r="E93" s="26" t="s">
        <v>463</v>
      </c>
      <c r="F93" s="26" t="s">
        <v>464</v>
      </c>
    </row>
    <row r="94" ht="51" customHeight="1" hidden="1" spans="1:6" x14ac:dyDescent="0.25" outlineLevel="1" collapsed="1">
      <c r="A94" s="27">
        <v>4152</v>
      </c>
      <c r="B94" s="28" t="s">
        <v>756</v>
      </c>
      <c r="C94" s="27" t="s">
        <v>745</v>
      </c>
      <c r="D94" s="29" t="s">
        <v>32</v>
      </c>
      <c r="E94" s="28" t="s">
        <v>473</v>
      </c>
      <c r="F94" s="28" t="s">
        <v>724</v>
      </c>
    </row>
    <row r="95" ht="21" customHeight="1" hidden="1" spans="1:6" x14ac:dyDescent="0.25" outlineLevel="1" collapsed="1">
      <c r="A95" s="30" t="s">
        <v>32</v>
      </c>
      <c r="B95" s="17" t="s">
        <v>32</v>
      </c>
      <c r="C95" s="30" t="s">
        <v>32</v>
      </c>
      <c r="D95" s="31" t="s">
        <v>32</v>
      </c>
      <c r="E95" s="17" t="s">
        <v>475</v>
      </c>
      <c r="F95" s="17" t="s">
        <v>32</v>
      </c>
    </row>
    <row r="96" ht="36" customHeight="1" hidden="1" spans="1:6" x14ac:dyDescent="0.25" outlineLevel="1" collapsed="1">
      <c r="A96" s="32" t="s">
        <v>32</v>
      </c>
      <c r="B96" s="12" t="s">
        <v>32</v>
      </c>
      <c r="C96" s="32" t="s">
        <v>32</v>
      </c>
      <c r="D96" s="31" t="s">
        <v>32</v>
      </c>
      <c r="E96" s="12" t="s">
        <v>476</v>
      </c>
      <c r="F96" s="12" t="s">
        <v>32</v>
      </c>
    </row>
    <row r="97" ht="21" customHeight="1" hidden="1" spans="1:6" x14ac:dyDescent="0.25" outlineLevel="1" collapsed="1">
      <c r="A97" s="30" t="s">
        <v>32</v>
      </c>
      <c r="B97" s="17" t="s">
        <v>32</v>
      </c>
      <c r="C97" s="30" t="s">
        <v>32</v>
      </c>
      <c r="D97" s="31" t="s">
        <v>32</v>
      </c>
      <c r="E97" s="17" t="s">
        <v>757</v>
      </c>
      <c r="F97" s="17" t="s">
        <v>32</v>
      </c>
    </row>
    <row r="98" ht="36" customHeight="1" hidden="1" spans="1:6" x14ac:dyDescent="0.25" outlineLevel="1" collapsed="1">
      <c r="A98" s="32" t="s">
        <v>32</v>
      </c>
      <c r="B98" s="12" t="s">
        <v>32</v>
      </c>
      <c r="C98" s="32" t="s">
        <v>32</v>
      </c>
      <c r="D98" s="31" t="s">
        <v>32</v>
      </c>
      <c r="E98" s="12" t="s">
        <v>478</v>
      </c>
      <c r="F98" s="12" t="s">
        <v>32</v>
      </c>
    </row>
    <row r="99" ht="21" customHeight="1" hidden="1" spans="1:6" x14ac:dyDescent="0.25" outlineLevel="1" collapsed="1">
      <c r="A99" s="30" t="s">
        <v>32</v>
      </c>
      <c r="B99" s="17" t="s">
        <v>32</v>
      </c>
      <c r="C99" s="30" t="s">
        <v>32</v>
      </c>
      <c r="D99" s="31" t="s">
        <v>32</v>
      </c>
      <c r="E99" s="17" t="s">
        <v>479</v>
      </c>
      <c r="F99" s="17" t="s">
        <v>32</v>
      </c>
    </row>
    <row r="100" ht="21" customHeight="1" hidden="1" spans="1:6" x14ac:dyDescent="0.25" outlineLevel="1" collapsed="1">
      <c r="A100" s="32" t="s">
        <v>32</v>
      </c>
      <c r="B100" s="12" t="s">
        <v>32</v>
      </c>
      <c r="C100" s="32" t="s">
        <v>32</v>
      </c>
      <c r="D100" s="31" t="s">
        <v>32</v>
      </c>
      <c r="E100" s="12" t="s">
        <v>725</v>
      </c>
      <c r="F100" s="12" t="s">
        <v>32</v>
      </c>
    </row>
    <row r="101" ht="36" customHeight="1" hidden="1" spans="1:6" x14ac:dyDescent="0.25" outlineLevel="1" collapsed="1">
      <c r="A101" s="30" t="s">
        <v>32</v>
      </c>
      <c r="B101" s="17" t="s">
        <v>32</v>
      </c>
      <c r="C101" s="30" t="s">
        <v>32</v>
      </c>
      <c r="D101" s="31" t="s">
        <v>32</v>
      </c>
      <c r="E101" s="35" t="s">
        <v>726</v>
      </c>
      <c r="F101" s="17" t="s">
        <v>32</v>
      </c>
    </row>
    <row r="102" ht="21" customHeight="1" hidden="1" spans="1:6" x14ac:dyDescent="0.25" outlineLevel="1" collapsed="1">
      <c r="A102" s="27">
        <v>4154</v>
      </c>
      <c r="B102" s="28" t="s">
        <v>739</v>
      </c>
      <c r="C102" s="27" t="s">
        <v>758</v>
      </c>
      <c r="D102" s="29" t="s">
        <v>32</v>
      </c>
      <c r="E102" s="28" t="s">
        <v>759</v>
      </c>
      <c r="F102" s="28" t="s">
        <v>32</v>
      </c>
    </row>
    <row r="103" ht="51" customHeight="1" hidden="1" spans="1:6" x14ac:dyDescent="0.25" outlineLevel="1" collapsed="1">
      <c r="A103" s="27">
        <v>4126</v>
      </c>
      <c r="B103" s="28" t="s">
        <v>760</v>
      </c>
      <c r="C103" s="27" t="s">
        <v>761</v>
      </c>
      <c r="D103" s="29" t="s">
        <v>32</v>
      </c>
      <c r="E103" s="36" t="s">
        <v>625</v>
      </c>
      <c r="F103" s="28" t="s">
        <v>32</v>
      </c>
    </row>
    <row r="104" ht="36" customHeight="1" hidden="1" spans="1:6" x14ac:dyDescent="0.25" outlineLevel="1" collapsed="1">
      <c r="A104" s="27">
        <v>4128</v>
      </c>
      <c r="B104" s="28" t="s">
        <v>762</v>
      </c>
      <c r="C104" s="27" t="s">
        <v>761</v>
      </c>
      <c r="D104" s="29" t="s">
        <v>32</v>
      </c>
      <c r="E104" s="36" t="s">
        <v>625</v>
      </c>
      <c r="F104" s="28" t="s">
        <v>32</v>
      </c>
    </row>
    <row r="105" ht="22" customHeight="1" hidden="1" spans="1:6" x14ac:dyDescent="0.25" outlineLevel="1" collapsed="1">
      <c r="A105" s="34" t="s">
        <v>495</v>
      </c>
      <c r="B105" s="34"/>
      <c r="C105" s="34"/>
      <c r="D105" s="34"/>
      <c r="E105" s="34"/>
      <c r="F105" s="34"/>
    </row>
    <row r="106" ht="40" customHeight="1" hidden="1" spans="1:6" x14ac:dyDescent="0.25" outlineLevel="1" collapsed="1">
      <c r="A106" s="12" t="s">
        <v>763</v>
      </c>
      <c r="B106" s="12"/>
      <c r="C106" s="12"/>
      <c r="D106" s="12"/>
      <c r="E106" s="12"/>
      <c r="F106" s="12"/>
    </row>
    <row r="107" ht="24" customHeight="1" hidden="1" spans="1:6" x14ac:dyDescent="0.25" outlineLevel="1" collapsed="1">
      <c r="A107" s="12" t="s">
        <v>764</v>
      </c>
      <c r="B107" s="12"/>
      <c r="C107" s="12"/>
      <c r="D107" s="12"/>
      <c r="E107" s="12"/>
      <c r="F107" s="12"/>
    </row>
    <row r="108" ht="24" customHeight="1" hidden="1" spans="1:6" x14ac:dyDescent="0.25" outlineLevel="1" collapsed="1">
      <c r="A108" s="12" t="s">
        <v>765</v>
      </c>
      <c r="B108" s="12"/>
      <c r="C108" s="12"/>
      <c r="D108" s="12"/>
      <c r="E108" s="12"/>
      <c r="F108" s="12"/>
    </row>
    <row r="109" ht="24" customHeight="1" hidden="1" spans="1:6" x14ac:dyDescent="0.25" outlineLevel="1" collapsed="1">
      <c r="A109" s="12" t="s">
        <v>766</v>
      </c>
      <c r="B109" s="12"/>
      <c r="C109" s="12"/>
      <c r="D109" s="12"/>
      <c r="E109" s="12"/>
      <c r="F109" s="12"/>
    </row>
    <row r="110" ht="24" customHeight="1" hidden="1" spans="1:6" x14ac:dyDescent="0.25" outlineLevel="1" collapsed="1">
      <c r="A110" s="12" t="s">
        <v>767</v>
      </c>
      <c r="B110" s="12"/>
      <c r="C110" s="12"/>
      <c r="D110" s="12"/>
      <c r="E110" s="12"/>
      <c r="F110" s="12"/>
    </row>
    <row r="111" ht="24" customHeight="1" hidden="1" spans="1:6" x14ac:dyDescent="0.25" outlineLevel="1" collapsed="1">
      <c r="A111" s="12" t="s">
        <v>768</v>
      </c>
      <c r="B111" s="12"/>
      <c r="C111" s="12"/>
      <c r="D111" s="12"/>
      <c r="E111" s="12"/>
      <c r="F111" s="12"/>
    </row>
    <row r="112" ht="6" customHeight="1" hidden="1" x14ac:dyDescent="0.25" outlineLevel="1" collapsed="1"/>
    <row r="113" ht="22" customHeight="1" spans="1:6" x14ac:dyDescent="0.25">
      <c r="A113" s="25" t="s">
        <v>769</v>
      </c>
      <c r="B113" s="25"/>
      <c r="C113" s="25"/>
      <c r="D113" s="25"/>
      <c r="E113" s="25"/>
      <c r="F113" s="25"/>
    </row>
    <row r="114" ht="20" customHeight="1" hidden="1" spans="1:6" x14ac:dyDescent="0.25" outlineLevel="1" collapsed="1">
      <c r="A114" s="26" t="s">
        <v>460</v>
      </c>
      <c r="B114" s="26" t="s">
        <v>461</v>
      </c>
      <c r="C114" s="26" t="s">
        <v>462</v>
      </c>
      <c r="D114" s="26" t="s">
        <v>32</v>
      </c>
      <c r="E114" s="26" t="s">
        <v>463</v>
      </c>
      <c r="F114" s="26" t="s">
        <v>464</v>
      </c>
    </row>
    <row r="115" ht="36" customHeight="1" hidden="1" spans="1:6" x14ac:dyDescent="0.25" outlineLevel="1" collapsed="1">
      <c r="A115" s="27">
        <v>4122</v>
      </c>
      <c r="B115" s="28" t="s">
        <v>36</v>
      </c>
      <c r="C115" s="27" t="s">
        <v>745</v>
      </c>
      <c r="D115" s="29" t="s">
        <v>32</v>
      </c>
      <c r="E115" s="36" t="s">
        <v>625</v>
      </c>
      <c r="F115" s="28" t="s">
        <v>32</v>
      </c>
    </row>
    <row r="116" ht="36" customHeight="1" hidden="1" spans="1:6" x14ac:dyDescent="0.25" outlineLevel="1" collapsed="1">
      <c r="A116" s="27">
        <v>4124</v>
      </c>
      <c r="B116" s="28" t="s">
        <v>739</v>
      </c>
      <c r="C116" s="27" t="s">
        <v>758</v>
      </c>
      <c r="D116" s="29" t="s">
        <v>32</v>
      </c>
      <c r="E116" s="36" t="s">
        <v>625</v>
      </c>
      <c r="F116" s="28" t="s">
        <v>32</v>
      </c>
    </row>
    <row r="117" ht="22" customHeight="1" hidden="1" spans="1:6" x14ac:dyDescent="0.25" outlineLevel="1" collapsed="1">
      <c r="A117" s="34" t="s">
        <v>495</v>
      </c>
      <c r="B117" s="34"/>
      <c r="C117" s="34"/>
      <c r="D117" s="34"/>
      <c r="E117" s="34"/>
      <c r="F117" s="34"/>
    </row>
    <row r="118" ht="24" customHeight="1" hidden="1" spans="1:6" x14ac:dyDescent="0.25" outlineLevel="1" collapsed="1">
      <c r="A118" s="12" t="s">
        <v>770</v>
      </c>
      <c r="B118" s="12"/>
      <c r="C118" s="12"/>
      <c r="D118" s="12"/>
      <c r="E118" s="12"/>
      <c r="F118" s="12"/>
    </row>
    <row r="119" ht="24" customHeight="1" hidden="1" spans="1:6" x14ac:dyDescent="0.25" outlineLevel="1" collapsed="1">
      <c r="A119" s="12" t="s">
        <v>771</v>
      </c>
      <c r="B119" s="12"/>
      <c r="C119" s="12"/>
      <c r="D119" s="12"/>
      <c r="E119" s="12"/>
      <c r="F119" s="12"/>
    </row>
    <row r="120" ht="24" customHeight="1" hidden="1" spans="1:6" x14ac:dyDescent="0.25" outlineLevel="1" collapsed="1">
      <c r="A120" s="12" t="s">
        <v>732</v>
      </c>
      <c r="B120" s="12"/>
      <c r="C120" s="12"/>
      <c r="D120" s="12"/>
      <c r="E120" s="12"/>
      <c r="F120" s="12"/>
    </row>
    <row r="121" ht="6" customHeight="1" hidden="1" x14ac:dyDescent="0.25" outlineLevel="1" collapsed="1"/>
    <row r="122" ht="22" customHeight="1" spans="1:6" x14ac:dyDescent="0.25">
      <c r="A122" s="25" t="s">
        <v>772</v>
      </c>
      <c r="B122" s="25"/>
      <c r="C122" s="25"/>
      <c r="D122" s="25"/>
      <c r="E122" s="25"/>
      <c r="F122" s="25"/>
    </row>
    <row r="123" ht="20" customHeight="1" hidden="1" spans="1:6" x14ac:dyDescent="0.25" outlineLevel="1" collapsed="1">
      <c r="A123" s="26" t="s">
        <v>460</v>
      </c>
      <c r="B123" s="26" t="s">
        <v>461</v>
      </c>
      <c r="C123" s="26" t="s">
        <v>462</v>
      </c>
      <c r="D123" s="26" t="s">
        <v>32</v>
      </c>
      <c r="E123" s="26" t="s">
        <v>463</v>
      </c>
      <c r="F123" s="26" t="s">
        <v>464</v>
      </c>
    </row>
    <row r="124" ht="36" customHeight="1" hidden="1" spans="1:6" x14ac:dyDescent="0.25" outlineLevel="1" collapsed="1">
      <c r="A124" s="27">
        <v>4122</v>
      </c>
      <c r="B124" s="28" t="s">
        <v>36</v>
      </c>
      <c r="C124" s="27" t="s">
        <v>745</v>
      </c>
      <c r="D124" s="29" t="s">
        <v>32</v>
      </c>
      <c r="E124" s="36" t="s">
        <v>625</v>
      </c>
      <c r="F124" s="28" t="s">
        <v>32</v>
      </c>
    </row>
    <row r="125" ht="36" customHeight="1" hidden="1" spans="1:6" x14ac:dyDescent="0.25" outlineLevel="1" collapsed="1">
      <c r="A125" s="27">
        <v>4124</v>
      </c>
      <c r="B125" s="28" t="s">
        <v>739</v>
      </c>
      <c r="C125" s="27" t="s">
        <v>758</v>
      </c>
      <c r="D125" s="29" t="s">
        <v>32</v>
      </c>
      <c r="E125" s="36" t="s">
        <v>625</v>
      </c>
      <c r="F125" s="28" t="s">
        <v>32</v>
      </c>
    </row>
    <row r="126" ht="22" customHeight="1" hidden="1" spans="1:6" x14ac:dyDescent="0.25" outlineLevel="1" collapsed="1">
      <c r="A126" s="34" t="s">
        <v>495</v>
      </c>
      <c r="B126" s="34"/>
      <c r="C126" s="34"/>
      <c r="D126" s="34"/>
      <c r="E126" s="34"/>
      <c r="F126" s="34"/>
    </row>
    <row r="127" ht="24" customHeight="1" hidden="1" spans="1:6" x14ac:dyDescent="0.25" outlineLevel="1" collapsed="1">
      <c r="A127" s="12" t="s">
        <v>770</v>
      </c>
      <c r="B127" s="12"/>
      <c r="C127" s="12"/>
      <c r="D127" s="12"/>
      <c r="E127" s="12"/>
      <c r="F127" s="12"/>
    </row>
    <row r="128" ht="24" customHeight="1" hidden="1" spans="1:6" x14ac:dyDescent="0.25" outlineLevel="1" collapsed="1">
      <c r="A128" s="12" t="s">
        <v>771</v>
      </c>
      <c r="B128" s="12"/>
      <c r="C128" s="12"/>
      <c r="D128" s="12"/>
      <c r="E128" s="12"/>
      <c r="F128" s="12"/>
    </row>
    <row r="129" ht="24" customHeight="1" hidden="1" spans="1:6" x14ac:dyDescent="0.25" outlineLevel="1" collapsed="1">
      <c r="A129" s="12" t="s">
        <v>732</v>
      </c>
      <c r="B129" s="12"/>
      <c r="C129" s="12"/>
      <c r="D129" s="12"/>
      <c r="E129" s="12"/>
      <c r="F129" s="12"/>
    </row>
    <row r="130" ht="6" customHeight="1" hidden="1" x14ac:dyDescent="0.25" outlineLevel="1" collapsed="1"/>
    <row r="131" ht="22" customHeight="1" spans="1:6" x14ac:dyDescent="0.25">
      <c r="A131" s="25" t="s">
        <v>773</v>
      </c>
      <c r="B131" s="25"/>
      <c r="C131" s="25"/>
      <c r="D131" s="25"/>
      <c r="E131" s="25"/>
      <c r="F131" s="25"/>
    </row>
    <row r="132" ht="20" customHeight="1" hidden="1" spans="1:6" x14ac:dyDescent="0.25" outlineLevel="1" collapsed="1">
      <c r="A132" s="26" t="s">
        <v>460</v>
      </c>
      <c r="B132" s="26" t="s">
        <v>461</v>
      </c>
      <c r="C132" s="26" t="s">
        <v>462</v>
      </c>
      <c r="D132" s="26" t="s">
        <v>32</v>
      </c>
      <c r="E132" s="26" t="s">
        <v>463</v>
      </c>
      <c r="F132" s="26" t="s">
        <v>464</v>
      </c>
    </row>
    <row r="133" ht="51" customHeight="1" hidden="1" spans="1:6" x14ac:dyDescent="0.25" outlineLevel="1" collapsed="1">
      <c r="A133" s="27">
        <v>4122</v>
      </c>
      <c r="B133" s="28" t="s">
        <v>36</v>
      </c>
      <c r="C133" s="27" t="s">
        <v>745</v>
      </c>
      <c r="D133" s="29" t="s">
        <v>32</v>
      </c>
      <c r="E133" s="28" t="s">
        <v>473</v>
      </c>
      <c r="F133" s="28" t="s">
        <v>474</v>
      </c>
    </row>
    <row r="134" ht="21" customHeight="1" hidden="1" spans="1:6" x14ac:dyDescent="0.25" outlineLevel="1" collapsed="1">
      <c r="A134" s="30" t="s">
        <v>32</v>
      </c>
      <c r="B134" s="17" t="s">
        <v>32</v>
      </c>
      <c r="C134" s="30" t="s">
        <v>32</v>
      </c>
      <c r="D134" s="31" t="s">
        <v>32</v>
      </c>
      <c r="E134" s="17" t="s">
        <v>475</v>
      </c>
      <c r="F134" s="17" t="s">
        <v>32</v>
      </c>
    </row>
    <row r="135" ht="36" customHeight="1" hidden="1" spans="1:6" x14ac:dyDescent="0.25" outlineLevel="1" collapsed="1">
      <c r="A135" s="32" t="s">
        <v>32</v>
      </c>
      <c r="B135" s="12" t="s">
        <v>32</v>
      </c>
      <c r="C135" s="32" t="s">
        <v>32</v>
      </c>
      <c r="D135" s="31" t="s">
        <v>32</v>
      </c>
      <c r="E135" s="12" t="s">
        <v>476</v>
      </c>
      <c r="F135" s="12" t="s">
        <v>32</v>
      </c>
    </row>
    <row r="136" ht="21" customHeight="1" hidden="1" spans="1:6" x14ac:dyDescent="0.25" outlineLevel="1" collapsed="1">
      <c r="A136" s="30" t="s">
        <v>32</v>
      </c>
      <c r="B136" s="17" t="s">
        <v>32</v>
      </c>
      <c r="C136" s="30" t="s">
        <v>32</v>
      </c>
      <c r="D136" s="31" t="s">
        <v>32</v>
      </c>
      <c r="E136" s="17" t="s">
        <v>687</v>
      </c>
      <c r="F136" s="17" t="s">
        <v>32</v>
      </c>
    </row>
    <row r="137" ht="36" customHeight="1" hidden="1" spans="1:6" x14ac:dyDescent="0.25" outlineLevel="1" collapsed="1">
      <c r="A137" s="32" t="s">
        <v>32</v>
      </c>
      <c r="B137" s="12" t="s">
        <v>32</v>
      </c>
      <c r="C137" s="32" t="s">
        <v>32</v>
      </c>
      <c r="D137" s="31" t="s">
        <v>32</v>
      </c>
      <c r="E137" s="12" t="s">
        <v>478</v>
      </c>
      <c r="F137" s="12" t="s">
        <v>32</v>
      </c>
    </row>
    <row r="138" ht="21" customHeight="1" hidden="1" spans="1:6" x14ac:dyDescent="0.25" outlineLevel="1" collapsed="1">
      <c r="A138" s="30" t="s">
        <v>32</v>
      </c>
      <c r="B138" s="17" t="s">
        <v>32</v>
      </c>
      <c r="C138" s="30" t="s">
        <v>32</v>
      </c>
      <c r="D138" s="31" t="s">
        <v>32</v>
      </c>
      <c r="E138" s="17" t="s">
        <v>479</v>
      </c>
      <c r="F138" s="17" t="s">
        <v>32</v>
      </c>
    </row>
    <row r="139" ht="36" customHeight="1" hidden="1" spans="1:6" x14ac:dyDescent="0.25" outlineLevel="1" collapsed="1">
      <c r="A139" s="32" t="s">
        <v>32</v>
      </c>
      <c r="B139" s="12" t="s">
        <v>32</v>
      </c>
      <c r="C139" s="32" t="s">
        <v>32</v>
      </c>
      <c r="D139" s="31" t="s">
        <v>32</v>
      </c>
      <c r="E139" s="33" t="s">
        <v>618</v>
      </c>
      <c r="F139" s="12" t="s">
        <v>32</v>
      </c>
    </row>
    <row r="140" ht="51" customHeight="1" hidden="1" spans="1:6" x14ac:dyDescent="0.25" outlineLevel="1" collapsed="1">
      <c r="A140" s="27">
        <v>4124</v>
      </c>
      <c r="B140" s="28" t="s">
        <v>739</v>
      </c>
      <c r="C140" s="27" t="s">
        <v>758</v>
      </c>
      <c r="D140" s="29" t="s">
        <v>32</v>
      </c>
      <c r="E140" s="28" t="s">
        <v>774</v>
      </c>
      <c r="F140" s="28" t="s">
        <v>775</v>
      </c>
    </row>
    <row r="141" ht="21" customHeight="1" hidden="1" spans="1:6" x14ac:dyDescent="0.25" outlineLevel="1" collapsed="1">
      <c r="A141" s="30" t="s">
        <v>32</v>
      </c>
      <c r="B141" s="17" t="s">
        <v>32</v>
      </c>
      <c r="C141" s="30" t="s">
        <v>32</v>
      </c>
      <c r="D141" s="31" t="s">
        <v>32</v>
      </c>
      <c r="E141" s="17" t="s">
        <v>776</v>
      </c>
      <c r="F141" s="17" t="s">
        <v>32</v>
      </c>
    </row>
    <row r="142" ht="21" customHeight="1" hidden="1" spans="1:6" x14ac:dyDescent="0.25" outlineLevel="1" collapsed="1">
      <c r="A142" s="32" t="s">
        <v>32</v>
      </c>
      <c r="B142" s="12" t="s">
        <v>32</v>
      </c>
      <c r="C142" s="32" t="s">
        <v>32</v>
      </c>
      <c r="D142" s="31" t="s">
        <v>32</v>
      </c>
      <c r="E142" s="12" t="s">
        <v>777</v>
      </c>
      <c r="F142" s="12" t="s">
        <v>32</v>
      </c>
    </row>
    <row r="143" ht="36" customHeight="1" hidden="1" spans="1:6" x14ac:dyDescent="0.25" outlineLevel="1" collapsed="1">
      <c r="A143" s="30" t="s">
        <v>32</v>
      </c>
      <c r="B143" s="17" t="s">
        <v>32</v>
      </c>
      <c r="C143" s="30" t="s">
        <v>32</v>
      </c>
      <c r="D143" s="31" t="s">
        <v>32</v>
      </c>
      <c r="E143" s="35" t="s">
        <v>618</v>
      </c>
      <c r="F143" s="17" t="s">
        <v>32</v>
      </c>
    </row>
    <row r="144" ht="22" customHeight="1" hidden="1" spans="1:6" x14ac:dyDescent="0.25" outlineLevel="1" collapsed="1">
      <c r="A144" s="34" t="s">
        <v>495</v>
      </c>
      <c r="B144" s="34"/>
      <c r="C144" s="34"/>
      <c r="D144" s="34"/>
      <c r="E144" s="34"/>
      <c r="F144" s="34"/>
    </row>
    <row r="145" ht="40" customHeight="1" hidden="1" spans="1:6" x14ac:dyDescent="0.25" outlineLevel="1" collapsed="1">
      <c r="A145" s="12" t="s">
        <v>746</v>
      </c>
      <c r="B145" s="12"/>
      <c r="C145" s="12"/>
      <c r="D145" s="12"/>
      <c r="E145" s="12"/>
      <c r="F145" s="12"/>
    </row>
    <row r="146" ht="40" customHeight="1" hidden="1" spans="1:6" x14ac:dyDescent="0.25" outlineLevel="1" collapsed="1">
      <c r="A146" s="12" t="s">
        <v>778</v>
      </c>
      <c r="B146" s="12"/>
      <c r="C146" s="12"/>
      <c r="D146" s="12"/>
      <c r="E146" s="12"/>
      <c r="F146" s="12"/>
    </row>
    <row r="147" ht="24" customHeight="1" hidden="1" spans="1:6" x14ac:dyDescent="0.25" outlineLevel="1" collapsed="1">
      <c r="A147" s="12" t="s">
        <v>732</v>
      </c>
      <c r="B147" s="12"/>
      <c r="C147" s="12"/>
      <c r="D147" s="12"/>
      <c r="E147" s="12"/>
      <c r="F147" s="12"/>
    </row>
    <row r="148" ht="6" customHeight="1" hidden="1" x14ac:dyDescent="0.25" outlineLevel="1" collapsed="1"/>
    <row r="149" ht="22" customHeight="1" spans="1:6" x14ac:dyDescent="0.25">
      <c r="A149" s="25" t="s">
        <v>779</v>
      </c>
      <c r="B149" s="25"/>
      <c r="C149" s="25"/>
      <c r="D149" s="25"/>
      <c r="E149" s="25"/>
      <c r="F149" s="25"/>
    </row>
    <row r="150" ht="20" customHeight="1" hidden="1" spans="1:6" x14ac:dyDescent="0.25" outlineLevel="1" collapsed="1">
      <c r="A150" s="26" t="s">
        <v>460</v>
      </c>
      <c r="B150" s="26" t="s">
        <v>461</v>
      </c>
      <c r="C150" s="26" t="s">
        <v>462</v>
      </c>
      <c r="D150" s="26" t="s">
        <v>32</v>
      </c>
      <c r="E150" s="26" t="s">
        <v>463</v>
      </c>
      <c r="F150" s="26" t="s">
        <v>464</v>
      </c>
    </row>
    <row r="151" ht="36" customHeight="1" hidden="1" spans="1:6" x14ac:dyDescent="0.25" outlineLevel="1" collapsed="1">
      <c r="A151" s="27">
        <v>4122</v>
      </c>
      <c r="B151" s="28" t="s">
        <v>36</v>
      </c>
      <c r="C151" s="27" t="s">
        <v>745</v>
      </c>
      <c r="D151" s="29" t="s">
        <v>32</v>
      </c>
      <c r="E151" s="36" t="s">
        <v>625</v>
      </c>
      <c r="F151" s="28" t="s">
        <v>32</v>
      </c>
    </row>
    <row r="152" ht="36" customHeight="1" hidden="1" spans="1:6" x14ac:dyDescent="0.25" outlineLevel="1" collapsed="1">
      <c r="A152" s="27">
        <v>4124</v>
      </c>
      <c r="B152" s="28" t="s">
        <v>739</v>
      </c>
      <c r="C152" s="27" t="s">
        <v>758</v>
      </c>
      <c r="D152" s="29" t="s">
        <v>32</v>
      </c>
      <c r="E152" s="36" t="s">
        <v>625</v>
      </c>
      <c r="F152" s="28" t="s">
        <v>32</v>
      </c>
    </row>
    <row r="153" ht="22" customHeight="1" hidden="1" spans="1:6" x14ac:dyDescent="0.25" outlineLevel="1" collapsed="1">
      <c r="A153" s="34" t="s">
        <v>495</v>
      </c>
      <c r="B153" s="34"/>
      <c r="C153" s="34"/>
      <c r="D153" s="34"/>
      <c r="E153" s="34"/>
      <c r="F153" s="34"/>
    </row>
    <row r="154" ht="24" customHeight="1" hidden="1" spans="1:6" x14ac:dyDescent="0.25" outlineLevel="1" collapsed="1">
      <c r="A154" s="12" t="s">
        <v>770</v>
      </c>
      <c r="B154" s="12"/>
      <c r="C154" s="12"/>
      <c r="D154" s="12"/>
      <c r="E154" s="12"/>
      <c r="F154" s="12"/>
    </row>
    <row r="155" ht="24" customHeight="1" hidden="1" spans="1:6" x14ac:dyDescent="0.25" outlineLevel="1" collapsed="1">
      <c r="A155" s="12" t="s">
        <v>771</v>
      </c>
      <c r="B155" s="12"/>
      <c r="C155" s="12"/>
      <c r="D155" s="12"/>
      <c r="E155" s="12"/>
      <c r="F155" s="12"/>
    </row>
    <row r="156" ht="24" customHeight="1" hidden="1" spans="1:6" x14ac:dyDescent="0.25" outlineLevel="1" collapsed="1">
      <c r="A156" s="12" t="s">
        <v>732</v>
      </c>
      <c r="B156" s="12"/>
      <c r="C156" s="12"/>
      <c r="D156" s="12"/>
      <c r="E156" s="12"/>
      <c r="F156" s="12"/>
    </row>
    <row r="157" ht="6" customHeight="1" hidden="1" x14ac:dyDescent="0.25" outlineLevel="1" collapsed="1"/>
    <row r="158" ht="22" customHeight="1" spans="1:6" x14ac:dyDescent="0.25">
      <c r="A158" s="25" t="s">
        <v>780</v>
      </c>
      <c r="B158" s="25"/>
      <c r="C158" s="25"/>
      <c r="D158" s="25"/>
      <c r="E158" s="25"/>
      <c r="F158" s="25"/>
    </row>
    <row r="159" ht="20" customHeight="1" hidden="1" spans="1:6" x14ac:dyDescent="0.25" outlineLevel="1" collapsed="1">
      <c r="A159" s="26" t="s">
        <v>460</v>
      </c>
      <c r="B159" s="26" t="s">
        <v>461</v>
      </c>
      <c r="C159" s="26" t="s">
        <v>462</v>
      </c>
      <c r="D159" s="26" t="s">
        <v>32</v>
      </c>
      <c r="E159" s="26" t="s">
        <v>463</v>
      </c>
      <c r="F159" s="26" t="s">
        <v>464</v>
      </c>
    </row>
    <row r="160" ht="21" customHeight="1" hidden="1" spans="1:6" x14ac:dyDescent="0.25" outlineLevel="1" collapsed="1">
      <c r="A160" s="27">
        <v>4122</v>
      </c>
      <c r="B160" s="28" t="s">
        <v>36</v>
      </c>
      <c r="C160" s="27" t="s">
        <v>745</v>
      </c>
      <c r="D160" s="29" t="s">
        <v>32</v>
      </c>
      <c r="E160" s="28" t="s">
        <v>518</v>
      </c>
      <c r="F160" s="28" t="s">
        <v>32</v>
      </c>
    </row>
    <row r="161" ht="21" customHeight="1" hidden="1" spans="1:6" x14ac:dyDescent="0.25" outlineLevel="1" collapsed="1">
      <c r="A161" s="27">
        <v>4124</v>
      </c>
      <c r="B161" s="28" t="s">
        <v>739</v>
      </c>
      <c r="C161" s="27" t="s">
        <v>758</v>
      </c>
      <c r="D161" s="29" t="s">
        <v>32</v>
      </c>
      <c r="E161" s="28" t="s">
        <v>506</v>
      </c>
      <c r="F161" s="28" t="s">
        <v>32</v>
      </c>
    </row>
    <row r="162" ht="22" customHeight="1" hidden="1" spans="1:6" x14ac:dyDescent="0.25" outlineLevel="1" collapsed="1">
      <c r="A162" s="34" t="s">
        <v>495</v>
      </c>
      <c r="B162" s="34"/>
      <c r="C162" s="34"/>
      <c r="D162" s="34"/>
      <c r="E162" s="34"/>
      <c r="F162" s="34"/>
    </row>
    <row r="163" ht="24" customHeight="1" hidden="1" spans="1:6" x14ac:dyDescent="0.25" outlineLevel="1" collapsed="1">
      <c r="A163" s="12" t="s">
        <v>781</v>
      </c>
      <c r="B163" s="12"/>
      <c r="C163" s="12"/>
      <c r="D163" s="12"/>
      <c r="E163" s="12"/>
      <c r="F163" s="12"/>
    </row>
    <row r="164" ht="24" customHeight="1" hidden="1" spans="1:6" x14ac:dyDescent="0.25" outlineLevel="1" collapsed="1">
      <c r="A164" s="12" t="s">
        <v>782</v>
      </c>
      <c r="B164" s="12"/>
      <c r="C164" s="12"/>
      <c r="D164" s="12"/>
      <c r="E164" s="12"/>
      <c r="F164" s="12"/>
    </row>
    <row r="165" ht="24" customHeight="1" hidden="1" spans="1:6" x14ac:dyDescent="0.25" outlineLevel="1" collapsed="1">
      <c r="A165" s="12" t="s">
        <v>732</v>
      </c>
      <c r="B165" s="12"/>
      <c r="C165" s="12"/>
      <c r="D165" s="12"/>
      <c r="E165" s="12"/>
      <c r="F165" s="12"/>
    </row>
    <row r="166" ht="6" customHeight="1" hidden="1" x14ac:dyDescent="0.25" outlineLevel="1" collapsed="1"/>
    <row r="167" ht="22" customHeight="1" spans="1:6" x14ac:dyDescent="0.25">
      <c r="A167" s="25" t="s">
        <v>783</v>
      </c>
      <c r="B167" s="25"/>
      <c r="C167" s="25"/>
      <c r="D167" s="25"/>
      <c r="E167" s="25"/>
      <c r="F167" s="25"/>
    </row>
    <row r="168" ht="20" customHeight="1" hidden="1" spans="1:6" x14ac:dyDescent="0.25" outlineLevel="1" collapsed="1">
      <c r="A168" s="26" t="s">
        <v>460</v>
      </c>
      <c r="B168" s="26" t="s">
        <v>461</v>
      </c>
      <c r="C168" s="26" t="s">
        <v>462</v>
      </c>
      <c r="D168" s="26" t="s">
        <v>32</v>
      </c>
      <c r="E168" s="26" t="s">
        <v>463</v>
      </c>
      <c r="F168" s="26" t="s">
        <v>464</v>
      </c>
    </row>
    <row r="169" ht="36" customHeight="1" hidden="1" spans="1:6" x14ac:dyDescent="0.25" outlineLevel="1" collapsed="1">
      <c r="A169" s="27">
        <v>4122</v>
      </c>
      <c r="B169" s="28" t="s">
        <v>36</v>
      </c>
      <c r="C169" s="27" t="s">
        <v>745</v>
      </c>
      <c r="D169" s="29" t="s">
        <v>32</v>
      </c>
      <c r="E169" s="36" t="s">
        <v>625</v>
      </c>
      <c r="F169" s="28" t="s">
        <v>32</v>
      </c>
    </row>
    <row r="170" ht="36" customHeight="1" hidden="1" spans="1:6" x14ac:dyDescent="0.25" outlineLevel="1" collapsed="1">
      <c r="A170" s="27">
        <v>4124</v>
      </c>
      <c r="B170" s="28" t="s">
        <v>739</v>
      </c>
      <c r="C170" s="27" t="s">
        <v>758</v>
      </c>
      <c r="D170" s="29" t="s">
        <v>32</v>
      </c>
      <c r="E170" s="36" t="s">
        <v>625</v>
      </c>
      <c r="F170" s="28" t="s">
        <v>32</v>
      </c>
    </row>
    <row r="171" ht="22" customHeight="1" hidden="1" spans="1:6" x14ac:dyDescent="0.25" outlineLevel="1" collapsed="1">
      <c r="A171" s="34" t="s">
        <v>495</v>
      </c>
      <c r="B171" s="34"/>
      <c r="C171" s="34"/>
      <c r="D171" s="34"/>
      <c r="E171" s="34"/>
      <c r="F171" s="34"/>
    </row>
    <row r="172" ht="24" customHeight="1" hidden="1" spans="1:6" x14ac:dyDescent="0.25" outlineLevel="1" collapsed="1">
      <c r="A172" s="12" t="s">
        <v>770</v>
      </c>
      <c r="B172" s="12"/>
      <c r="C172" s="12"/>
      <c r="D172" s="12"/>
      <c r="E172" s="12"/>
      <c r="F172" s="12"/>
    </row>
    <row r="173" ht="24" customHeight="1" hidden="1" spans="1:6" x14ac:dyDescent="0.25" outlineLevel="1" collapsed="1">
      <c r="A173" s="12" t="s">
        <v>771</v>
      </c>
      <c r="B173" s="12"/>
      <c r="C173" s="12"/>
      <c r="D173" s="12"/>
      <c r="E173" s="12"/>
      <c r="F173" s="12"/>
    </row>
    <row r="174" ht="24" customHeight="1" hidden="1" spans="1:6" x14ac:dyDescent="0.25" outlineLevel="1" collapsed="1">
      <c r="A174" s="12" t="s">
        <v>732</v>
      </c>
      <c r="B174" s="12"/>
      <c r="C174" s="12"/>
      <c r="D174" s="12"/>
      <c r="E174" s="12"/>
      <c r="F174" s="12"/>
    </row>
    <row r="175" ht="6" customHeight="1" hidden="1" x14ac:dyDescent="0.25" outlineLevel="1" collapsed="1"/>
    <row r="176" ht="12" customHeight="1" x14ac:dyDescent="0.25"/>
    <row r="177" ht="24" customHeight="1" spans="1:6" x14ac:dyDescent="0.25">
      <c r="A177" s="24" t="s">
        <v>631</v>
      </c>
      <c r="B177" s="24"/>
      <c r="C177" s="24"/>
      <c r="D177" s="24"/>
      <c r="E177" s="24"/>
      <c r="F177" s="24"/>
    </row>
    <row r="178" ht="22" customHeight="1" spans="1:6" x14ac:dyDescent="0.25">
      <c r="A178" s="25" t="s">
        <v>722</v>
      </c>
      <c r="B178" s="25"/>
      <c r="C178" s="25"/>
      <c r="D178" s="25"/>
      <c r="E178" s="25"/>
      <c r="F178" s="25"/>
    </row>
    <row r="179" ht="20" customHeight="1" hidden="1" spans="1:6" x14ac:dyDescent="0.25" outlineLevel="1" collapsed="1">
      <c r="A179" s="26" t="s">
        <v>460</v>
      </c>
      <c r="B179" s="26" t="s">
        <v>461</v>
      </c>
      <c r="C179" s="26" t="s">
        <v>462</v>
      </c>
      <c r="D179" s="26" t="s">
        <v>32</v>
      </c>
      <c r="E179" s="26" t="s">
        <v>463</v>
      </c>
      <c r="F179" s="26" t="s">
        <v>464</v>
      </c>
    </row>
    <row r="180" ht="51" customHeight="1" hidden="1" spans="1:6" x14ac:dyDescent="0.25" outlineLevel="1" collapsed="1">
      <c r="A180" s="27">
        <v>4122</v>
      </c>
      <c r="B180" s="28" t="s">
        <v>723</v>
      </c>
      <c r="C180" s="27" t="s">
        <v>466</v>
      </c>
      <c r="D180" s="29" t="s">
        <v>32</v>
      </c>
      <c r="E180" s="28" t="s">
        <v>473</v>
      </c>
      <c r="F180" s="28" t="s">
        <v>724</v>
      </c>
    </row>
    <row r="181" ht="21" customHeight="1" hidden="1" spans="1:6" x14ac:dyDescent="0.25" outlineLevel="1" collapsed="1">
      <c r="A181" s="30" t="s">
        <v>32</v>
      </c>
      <c r="B181" s="17" t="s">
        <v>32</v>
      </c>
      <c r="C181" s="30" t="s">
        <v>32</v>
      </c>
      <c r="D181" s="31" t="s">
        <v>32</v>
      </c>
      <c r="E181" s="17" t="s">
        <v>475</v>
      </c>
      <c r="F181" s="17" t="s">
        <v>32</v>
      </c>
    </row>
    <row r="182" ht="36" customHeight="1" hidden="1" spans="1:6" x14ac:dyDescent="0.25" outlineLevel="1" collapsed="1">
      <c r="A182" s="32" t="s">
        <v>32</v>
      </c>
      <c r="B182" s="12" t="s">
        <v>32</v>
      </c>
      <c r="C182" s="32" t="s">
        <v>32</v>
      </c>
      <c r="D182" s="31" t="s">
        <v>32</v>
      </c>
      <c r="E182" s="12" t="s">
        <v>476</v>
      </c>
      <c r="F182" s="12" t="s">
        <v>32</v>
      </c>
    </row>
    <row r="183" ht="21" customHeight="1" hidden="1" spans="1:6" x14ac:dyDescent="0.25" outlineLevel="1" collapsed="1">
      <c r="A183" s="30" t="s">
        <v>32</v>
      </c>
      <c r="B183" s="17" t="s">
        <v>32</v>
      </c>
      <c r="C183" s="30" t="s">
        <v>32</v>
      </c>
      <c r="D183" s="31" t="s">
        <v>32</v>
      </c>
      <c r="E183" s="17" t="s">
        <v>687</v>
      </c>
      <c r="F183" s="17" t="s">
        <v>32</v>
      </c>
    </row>
    <row r="184" ht="36" customHeight="1" hidden="1" spans="1:6" x14ac:dyDescent="0.25" outlineLevel="1" collapsed="1">
      <c r="A184" s="32" t="s">
        <v>32</v>
      </c>
      <c r="B184" s="12" t="s">
        <v>32</v>
      </c>
      <c r="C184" s="32" t="s">
        <v>32</v>
      </c>
      <c r="D184" s="31" t="s">
        <v>32</v>
      </c>
      <c r="E184" s="12" t="s">
        <v>478</v>
      </c>
      <c r="F184" s="12" t="s">
        <v>32</v>
      </c>
    </row>
    <row r="185" ht="21" customHeight="1" hidden="1" spans="1:6" x14ac:dyDescent="0.25" outlineLevel="1" collapsed="1">
      <c r="A185" s="30" t="s">
        <v>32</v>
      </c>
      <c r="B185" s="17" t="s">
        <v>32</v>
      </c>
      <c r="C185" s="30" t="s">
        <v>32</v>
      </c>
      <c r="D185" s="31" t="s">
        <v>32</v>
      </c>
      <c r="E185" s="17" t="s">
        <v>479</v>
      </c>
      <c r="F185" s="17" t="s">
        <v>32</v>
      </c>
    </row>
    <row r="186" ht="21" customHeight="1" hidden="1" spans="1:6" x14ac:dyDescent="0.25" outlineLevel="1" collapsed="1">
      <c r="A186" s="32" t="s">
        <v>32</v>
      </c>
      <c r="B186" s="12" t="s">
        <v>32</v>
      </c>
      <c r="C186" s="32" t="s">
        <v>32</v>
      </c>
      <c r="D186" s="31" t="s">
        <v>32</v>
      </c>
      <c r="E186" s="12" t="s">
        <v>725</v>
      </c>
      <c r="F186" s="12" t="s">
        <v>32</v>
      </c>
    </row>
    <row r="187" ht="36" customHeight="1" hidden="1" spans="1:6" x14ac:dyDescent="0.25" outlineLevel="1" collapsed="1">
      <c r="A187" s="30" t="s">
        <v>32</v>
      </c>
      <c r="B187" s="17" t="s">
        <v>32</v>
      </c>
      <c r="C187" s="30" t="s">
        <v>32</v>
      </c>
      <c r="D187" s="31" t="s">
        <v>32</v>
      </c>
      <c r="E187" s="35" t="s">
        <v>784</v>
      </c>
      <c r="F187" s="17" t="s">
        <v>32</v>
      </c>
    </row>
    <row r="188" ht="51" customHeight="1" hidden="1" spans="1:6" x14ac:dyDescent="0.25" outlineLevel="1" collapsed="1">
      <c r="A188" s="27">
        <v>4124</v>
      </c>
      <c r="B188" s="28" t="s">
        <v>727</v>
      </c>
      <c r="C188" s="27" t="s">
        <v>472</v>
      </c>
      <c r="D188" s="29" t="s">
        <v>32</v>
      </c>
      <c r="E188" s="28" t="s">
        <v>728</v>
      </c>
      <c r="F188" s="28" t="s">
        <v>729</v>
      </c>
    </row>
    <row r="189" ht="21" customHeight="1" hidden="1" spans="1:6" x14ac:dyDescent="0.25" outlineLevel="1" collapsed="1">
      <c r="A189" s="30" t="s">
        <v>32</v>
      </c>
      <c r="B189" s="17" t="s">
        <v>32</v>
      </c>
      <c r="C189" s="30" t="s">
        <v>32</v>
      </c>
      <c r="D189" s="31" t="s">
        <v>32</v>
      </c>
      <c r="E189" s="17" t="s">
        <v>617</v>
      </c>
      <c r="F189" s="17" t="s">
        <v>32</v>
      </c>
    </row>
    <row r="190" ht="21" customHeight="1" hidden="1" spans="1:6" x14ac:dyDescent="0.25" outlineLevel="1" collapsed="1">
      <c r="A190" s="32" t="s">
        <v>32</v>
      </c>
      <c r="B190" s="12" t="s">
        <v>32</v>
      </c>
      <c r="C190" s="32" t="s">
        <v>32</v>
      </c>
      <c r="D190" s="31" t="s">
        <v>32</v>
      </c>
      <c r="E190" s="12" t="s">
        <v>725</v>
      </c>
      <c r="F190" s="12" t="s">
        <v>32</v>
      </c>
    </row>
    <row r="191" ht="36" customHeight="1" hidden="1" spans="1:6" x14ac:dyDescent="0.25" outlineLevel="1" collapsed="1">
      <c r="A191" s="30" t="s">
        <v>32</v>
      </c>
      <c r="B191" s="17" t="s">
        <v>32</v>
      </c>
      <c r="C191" s="30" t="s">
        <v>32</v>
      </c>
      <c r="D191" s="31" t="s">
        <v>32</v>
      </c>
      <c r="E191" s="35" t="s">
        <v>784</v>
      </c>
      <c r="F191" s="17" t="s">
        <v>32</v>
      </c>
    </row>
    <row r="192" ht="22" customHeight="1" hidden="1" spans="1:6" x14ac:dyDescent="0.25" outlineLevel="1" collapsed="1">
      <c r="A192" s="34" t="s">
        <v>495</v>
      </c>
      <c r="B192" s="34"/>
      <c r="C192" s="34"/>
      <c r="D192" s="34"/>
      <c r="E192" s="34"/>
      <c r="F192" s="34"/>
    </row>
    <row r="193" ht="40" customHeight="1" hidden="1" spans="1:6" x14ac:dyDescent="0.25" outlineLevel="1" collapsed="1">
      <c r="A193" s="12" t="s">
        <v>785</v>
      </c>
      <c r="B193" s="12"/>
      <c r="C193" s="12"/>
      <c r="D193" s="12"/>
      <c r="E193" s="12"/>
      <c r="F193" s="12"/>
    </row>
    <row r="194" ht="40" customHeight="1" hidden="1" spans="1:6" x14ac:dyDescent="0.25" outlineLevel="1" collapsed="1">
      <c r="A194" s="12" t="s">
        <v>786</v>
      </c>
      <c r="B194" s="12"/>
      <c r="C194" s="12"/>
      <c r="D194" s="12"/>
      <c r="E194" s="12"/>
      <c r="F194" s="12"/>
    </row>
    <row r="195" ht="24" customHeight="1" hidden="1" spans="1:6" x14ac:dyDescent="0.25" outlineLevel="1" collapsed="1">
      <c r="A195" s="12" t="s">
        <v>732</v>
      </c>
      <c r="B195" s="12"/>
      <c r="C195" s="12"/>
      <c r="D195" s="12"/>
      <c r="E195" s="12"/>
      <c r="F195" s="12"/>
    </row>
    <row r="196" ht="6" customHeight="1" hidden="1" x14ac:dyDescent="0.25" outlineLevel="1" collapsed="1"/>
    <row r="197" ht="22" customHeight="1" spans="1:6" x14ac:dyDescent="0.25">
      <c r="A197" s="25" t="s">
        <v>733</v>
      </c>
      <c r="B197" s="25"/>
      <c r="C197" s="25"/>
      <c r="D197" s="25"/>
      <c r="E197" s="25"/>
      <c r="F197" s="25"/>
    </row>
    <row r="198" ht="20" customHeight="1" hidden="1" spans="1:6" x14ac:dyDescent="0.25" outlineLevel="1" collapsed="1">
      <c r="A198" s="26" t="s">
        <v>460</v>
      </c>
      <c r="B198" s="26" t="s">
        <v>461</v>
      </c>
      <c r="C198" s="26" t="s">
        <v>462</v>
      </c>
      <c r="D198" s="26" t="s">
        <v>32</v>
      </c>
      <c r="E198" s="26" t="s">
        <v>463</v>
      </c>
      <c r="F198" s="26" t="s">
        <v>464</v>
      </c>
    </row>
    <row r="199" ht="51" customHeight="1" hidden="1" spans="1:6" x14ac:dyDescent="0.25" outlineLevel="1" collapsed="1">
      <c r="A199" s="27">
        <v>4122</v>
      </c>
      <c r="B199" s="28" t="s">
        <v>734</v>
      </c>
      <c r="C199" s="27" t="s">
        <v>472</v>
      </c>
      <c r="D199" s="29" t="s">
        <v>32</v>
      </c>
      <c r="E199" s="28" t="s">
        <v>473</v>
      </c>
      <c r="F199" s="28" t="s">
        <v>724</v>
      </c>
    </row>
    <row r="200" ht="21" customHeight="1" hidden="1" spans="1:6" x14ac:dyDescent="0.25" outlineLevel="1" collapsed="1">
      <c r="A200" s="30" t="s">
        <v>32</v>
      </c>
      <c r="B200" s="17" t="s">
        <v>32</v>
      </c>
      <c r="C200" s="30" t="s">
        <v>32</v>
      </c>
      <c r="D200" s="31" t="s">
        <v>32</v>
      </c>
      <c r="E200" s="17" t="s">
        <v>475</v>
      </c>
      <c r="F200" s="17" t="s">
        <v>32</v>
      </c>
    </row>
    <row r="201" ht="36" customHeight="1" hidden="1" spans="1:6" x14ac:dyDescent="0.25" outlineLevel="1" collapsed="1">
      <c r="A201" s="32" t="s">
        <v>32</v>
      </c>
      <c r="B201" s="12" t="s">
        <v>32</v>
      </c>
      <c r="C201" s="32" t="s">
        <v>32</v>
      </c>
      <c r="D201" s="31" t="s">
        <v>32</v>
      </c>
      <c r="E201" s="12" t="s">
        <v>476</v>
      </c>
      <c r="F201" s="12" t="s">
        <v>32</v>
      </c>
    </row>
    <row r="202" ht="21" customHeight="1" hidden="1" spans="1:6" x14ac:dyDescent="0.25" outlineLevel="1" collapsed="1">
      <c r="A202" s="30" t="s">
        <v>32</v>
      </c>
      <c r="B202" s="17" t="s">
        <v>32</v>
      </c>
      <c r="C202" s="30" t="s">
        <v>32</v>
      </c>
      <c r="D202" s="31" t="s">
        <v>32</v>
      </c>
      <c r="E202" s="17" t="s">
        <v>687</v>
      </c>
      <c r="F202" s="17" t="s">
        <v>32</v>
      </c>
    </row>
    <row r="203" ht="36" customHeight="1" hidden="1" spans="1:6" x14ac:dyDescent="0.25" outlineLevel="1" collapsed="1">
      <c r="A203" s="32" t="s">
        <v>32</v>
      </c>
      <c r="B203" s="12" t="s">
        <v>32</v>
      </c>
      <c r="C203" s="32" t="s">
        <v>32</v>
      </c>
      <c r="D203" s="31" t="s">
        <v>32</v>
      </c>
      <c r="E203" s="12" t="s">
        <v>478</v>
      </c>
      <c r="F203" s="12" t="s">
        <v>32</v>
      </c>
    </row>
    <row r="204" ht="21" customHeight="1" hidden="1" spans="1:6" x14ac:dyDescent="0.25" outlineLevel="1" collapsed="1">
      <c r="A204" s="30" t="s">
        <v>32</v>
      </c>
      <c r="B204" s="17" t="s">
        <v>32</v>
      </c>
      <c r="C204" s="30" t="s">
        <v>32</v>
      </c>
      <c r="D204" s="31" t="s">
        <v>32</v>
      </c>
      <c r="E204" s="17" t="s">
        <v>479</v>
      </c>
      <c r="F204" s="17" t="s">
        <v>32</v>
      </c>
    </row>
    <row r="205" ht="21" customHeight="1" hidden="1" spans="1:6" x14ac:dyDescent="0.25" outlineLevel="1" collapsed="1">
      <c r="A205" s="32" t="s">
        <v>32</v>
      </c>
      <c r="B205" s="12" t="s">
        <v>32</v>
      </c>
      <c r="C205" s="32" t="s">
        <v>32</v>
      </c>
      <c r="D205" s="31" t="s">
        <v>32</v>
      </c>
      <c r="E205" s="12" t="s">
        <v>725</v>
      </c>
      <c r="F205" s="12" t="s">
        <v>32</v>
      </c>
    </row>
    <row r="206" ht="36" customHeight="1" hidden="1" spans="1:6" x14ac:dyDescent="0.25" outlineLevel="1" collapsed="1">
      <c r="A206" s="30" t="s">
        <v>32</v>
      </c>
      <c r="B206" s="17" t="s">
        <v>32</v>
      </c>
      <c r="C206" s="30" t="s">
        <v>32</v>
      </c>
      <c r="D206" s="31" t="s">
        <v>32</v>
      </c>
      <c r="E206" s="35" t="s">
        <v>784</v>
      </c>
      <c r="F206" s="17" t="s">
        <v>32</v>
      </c>
    </row>
    <row r="207" ht="51" customHeight="1" hidden="1" spans="1:6" x14ac:dyDescent="0.25" outlineLevel="1" collapsed="1">
      <c r="A207" s="27">
        <v>4124</v>
      </c>
      <c r="B207" s="28" t="s">
        <v>735</v>
      </c>
      <c r="C207" s="27" t="s">
        <v>466</v>
      </c>
      <c r="D207" s="29" t="s">
        <v>32</v>
      </c>
      <c r="E207" s="28" t="s">
        <v>728</v>
      </c>
      <c r="F207" s="28" t="s">
        <v>729</v>
      </c>
    </row>
    <row r="208" ht="21" customHeight="1" hidden="1" spans="1:6" x14ac:dyDescent="0.25" outlineLevel="1" collapsed="1">
      <c r="A208" s="30" t="s">
        <v>32</v>
      </c>
      <c r="B208" s="17" t="s">
        <v>32</v>
      </c>
      <c r="C208" s="30" t="s">
        <v>32</v>
      </c>
      <c r="D208" s="31" t="s">
        <v>32</v>
      </c>
      <c r="E208" s="17" t="s">
        <v>617</v>
      </c>
      <c r="F208" s="17" t="s">
        <v>32</v>
      </c>
    </row>
    <row r="209" ht="21" customHeight="1" hidden="1" spans="1:6" x14ac:dyDescent="0.25" outlineLevel="1" collapsed="1">
      <c r="A209" s="32" t="s">
        <v>32</v>
      </c>
      <c r="B209" s="12" t="s">
        <v>32</v>
      </c>
      <c r="C209" s="32" t="s">
        <v>32</v>
      </c>
      <c r="D209" s="31" t="s">
        <v>32</v>
      </c>
      <c r="E209" s="12" t="s">
        <v>725</v>
      </c>
      <c r="F209" s="12" t="s">
        <v>32</v>
      </c>
    </row>
    <row r="210" ht="36" customHeight="1" hidden="1" spans="1:6" x14ac:dyDescent="0.25" outlineLevel="1" collapsed="1">
      <c r="A210" s="30" t="s">
        <v>32</v>
      </c>
      <c r="B210" s="17" t="s">
        <v>32</v>
      </c>
      <c r="C210" s="30" t="s">
        <v>32</v>
      </c>
      <c r="D210" s="31" t="s">
        <v>32</v>
      </c>
      <c r="E210" s="35" t="s">
        <v>784</v>
      </c>
      <c r="F210" s="17" t="s">
        <v>32</v>
      </c>
    </row>
    <row r="211" ht="22" customHeight="1" hidden="1" spans="1:6" x14ac:dyDescent="0.25" outlineLevel="1" collapsed="1">
      <c r="A211" s="34" t="s">
        <v>495</v>
      </c>
      <c r="B211" s="34"/>
      <c r="C211" s="34"/>
      <c r="D211" s="34"/>
      <c r="E211" s="34"/>
      <c r="F211" s="34"/>
    </row>
    <row r="212" ht="40" customHeight="1" hidden="1" spans="1:6" x14ac:dyDescent="0.25" outlineLevel="1" collapsed="1">
      <c r="A212" s="12" t="s">
        <v>787</v>
      </c>
      <c r="B212" s="12"/>
      <c r="C212" s="12"/>
      <c r="D212" s="12"/>
      <c r="E212" s="12"/>
      <c r="F212" s="12"/>
    </row>
    <row r="213" ht="40" customHeight="1" hidden="1" spans="1:6" x14ac:dyDescent="0.25" outlineLevel="1" collapsed="1">
      <c r="A213" s="12" t="s">
        <v>788</v>
      </c>
      <c r="B213" s="12"/>
      <c r="C213" s="12"/>
      <c r="D213" s="12"/>
      <c r="E213" s="12"/>
      <c r="F213" s="12"/>
    </row>
    <row r="214" ht="24" customHeight="1" hidden="1" spans="1:6" x14ac:dyDescent="0.25" outlineLevel="1" collapsed="1">
      <c r="A214" s="12" t="s">
        <v>732</v>
      </c>
      <c r="B214" s="12"/>
      <c r="C214" s="12"/>
      <c r="D214" s="12"/>
      <c r="E214" s="12"/>
      <c r="F214" s="12"/>
    </row>
    <row r="215" ht="6" customHeight="1" hidden="1" x14ac:dyDescent="0.25" outlineLevel="1" collapsed="1"/>
    <row r="216" ht="22" customHeight="1" spans="1:6" x14ac:dyDescent="0.25">
      <c r="A216" s="25" t="s">
        <v>738</v>
      </c>
      <c r="B216" s="25"/>
      <c r="C216" s="25"/>
      <c r="D216" s="25"/>
      <c r="E216" s="25"/>
      <c r="F216" s="25"/>
    </row>
    <row r="217" ht="20" customHeight="1" hidden="1" spans="1:6" x14ac:dyDescent="0.25" outlineLevel="1" collapsed="1">
      <c r="A217" s="26" t="s">
        <v>460</v>
      </c>
      <c r="B217" s="26" t="s">
        <v>461</v>
      </c>
      <c r="C217" s="26" t="s">
        <v>462</v>
      </c>
      <c r="D217" s="26" t="s">
        <v>32</v>
      </c>
      <c r="E217" s="26" t="s">
        <v>463</v>
      </c>
      <c r="F217" s="26" t="s">
        <v>464</v>
      </c>
    </row>
    <row r="218" ht="51" customHeight="1" hidden="1" spans="1:6" x14ac:dyDescent="0.25" outlineLevel="1" collapsed="1">
      <c r="A218" s="27">
        <v>4122</v>
      </c>
      <c r="B218" s="28" t="s">
        <v>734</v>
      </c>
      <c r="C218" s="27" t="s">
        <v>472</v>
      </c>
      <c r="D218" s="29" t="s">
        <v>32</v>
      </c>
      <c r="E218" s="28" t="s">
        <v>473</v>
      </c>
      <c r="F218" s="28" t="s">
        <v>474</v>
      </c>
    </row>
    <row r="219" ht="21" customHeight="1" hidden="1" spans="1:6" x14ac:dyDescent="0.25" outlineLevel="1" collapsed="1">
      <c r="A219" s="30" t="s">
        <v>32</v>
      </c>
      <c r="B219" s="17" t="s">
        <v>32</v>
      </c>
      <c r="C219" s="30" t="s">
        <v>32</v>
      </c>
      <c r="D219" s="31" t="s">
        <v>32</v>
      </c>
      <c r="E219" s="17" t="s">
        <v>475</v>
      </c>
      <c r="F219" s="17" t="s">
        <v>32</v>
      </c>
    </row>
    <row r="220" ht="36" customHeight="1" hidden="1" spans="1:6" x14ac:dyDescent="0.25" outlineLevel="1" collapsed="1">
      <c r="A220" s="32" t="s">
        <v>32</v>
      </c>
      <c r="B220" s="12" t="s">
        <v>32</v>
      </c>
      <c r="C220" s="32" t="s">
        <v>32</v>
      </c>
      <c r="D220" s="31" t="s">
        <v>32</v>
      </c>
      <c r="E220" s="12" t="s">
        <v>476</v>
      </c>
      <c r="F220" s="12" t="s">
        <v>32</v>
      </c>
    </row>
    <row r="221" ht="21" customHeight="1" hidden="1" spans="1:6" x14ac:dyDescent="0.25" outlineLevel="1" collapsed="1">
      <c r="A221" s="30" t="s">
        <v>32</v>
      </c>
      <c r="B221" s="17" t="s">
        <v>32</v>
      </c>
      <c r="C221" s="30" t="s">
        <v>32</v>
      </c>
      <c r="D221" s="31" t="s">
        <v>32</v>
      </c>
      <c r="E221" s="17" t="s">
        <v>687</v>
      </c>
      <c r="F221" s="17" t="s">
        <v>32</v>
      </c>
    </row>
    <row r="222" ht="36" customHeight="1" hidden="1" spans="1:6" x14ac:dyDescent="0.25" outlineLevel="1" collapsed="1">
      <c r="A222" s="32" t="s">
        <v>32</v>
      </c>
      <c r="B222" s="12" t="s">
        <v>32</v>
      </c>
      <c r="C222" s="32" t="s">
        <v>32</v>
      </c>
      <c r="D222" s="31" t="s">
        <v>32</v>
      </c>
      <c r="E222" s="12" t="s">
        <v>478</v>
      </c>
      <c r="F222" s="12" t="s">
        <v>32</v>
      </c>
    </row>
    <row r="223" ht="21" customHeight="1" hidden="1" spans="1:6" x14ac:dyDescent="0.25" outlineLevel="1" collapsed="1">
      <c r="A223" s="30" t="s">
        <v>32</v>
      </c>
      <c r="B223" s="17" t="s">
        <v>32</v>
      </c>
      <c r="C223" s="30" t="s">
        <v>32</v>
      </c>
      <c r="D223" s="31" t="s">
        <v>32</v>
      </c>
      <c r="E223" s="17" t="s">
        <v>479</v>
      </c>
      <c r="F223" s="17" t="s">
        <v>32</v>
      </c>
    </row>
    <row r="224" ht="36" customHeight="1" hidden="1" spans="1:6" x14ac:dyDescent="0.25" outlineLevel="1" collapsed="1">
      <c r="A224" s="32" t="s">
        <v>32</v>
      </c>
      <c r="B224" s="12" t="s">
        <v>32</v>
      </c>
      <c r="C224" s="32" t="s">
        <v>32</v>
      </c>
      <c r="D224" s="31" t="s">
        <v>32</v>
      </c>
      <c r="E224" s="33" t="s">
        <v>664</v>
      </c>
      <c r="F224" s="12" t="s">
        <v>32</v>
      </c>
    </row>
    <row r="225" ht="51" customHeight="1" hidden="1" spans="1:6" x14ac:dyDescent="0.25" outlineLevel="1" collapsed="1">
      <c r="A225" s="27">
        <v>4124</v>
      </c>
      <c r="B225" s="28" t="s">
        <v>739</v>
      </c>
      <c r="C225" s="27" t="s">
        <v>466</v>
      </c>
      <c r="D225" s="29" t="s">
        <v>32</v>
      </c>
      <c r="E225" s="28" t="s">
        <v>728</v>
      </c>
      <c r="F225" s="28" t="s">
        <v>740</v>
      </c>
    </row>
    <row r="226" ht="21" customHeight="1" hidden="1" spans="1:6" x14ac:dyDescent="0.25" outlineLevel="1" collapsed="1">
      <c r="A226" s="30" t="s">
        <v>32</v>
      </c>
      <c r="B226" s="17" t="s">
        <v>32</v>
      </c>
      <c r="C226" s="30" t="s">
        <v>32</v>
      </c>
      <c r="D226" s="31" t="s">
        <v>32</v>
      </c>
      <c r="E226" s="17" t="s">
        <v>617</v>
      </c>
      <c r="F226" s="17" t="s">
        <v>32</v>
      </c>
    </row>
    <row r="227" ht="36" customHeight="1" hidden="1" spans="1:6" x14ac:dyDescent="0.25" outlineLevel="1" collapsed="1">
      <c r="A227" s="32" t="s">
        <v>32</v>
      </c>
      <c r="B227" s="12" t="s">
        <v>32</v>
      </c>
      <c r="C227" s="32" t="s">
        <v>32</v>
      </c>
      <c r="D227" s="31" t="s">
        <v>32</v>
      </c>
      <c r="E227" s="33" t="s">
        <v>664</v>
      </c>
      <c r="F227" s="12" t="s">
        <v>32</v>
      </c>
    </row>
    <row r="228" ht="22" customHeight="1" hidden="1" spans="1:6" x14ac:dyDescent="0.25" outlineLevel="1" collapsed="1">
      <c r="A228" s="34" t="s">
        <v>495</v>
      </c>
      <c r="B228" s="34"/>
      <c r="C228" s="34"/>
      <c r="D228" s="34"/>
      <c r="E228" s="34"/>
      <c r="F228" s="34"/>
    </row>
    <row r="229" ht="40" customHeight="1" hidden="1" spans="1:6" x14ac:dyDescent="0.25" outlineLevel="1" collapsed="1">
      <c r="A229" s="12" t="s">
        <v>789</v>
      </c>
      <c r="B229" s="12"/>
      <c r="C229" s="12"/>
      <c r="D229" s="12"/>
      <c r="E229" s="12"/>
      <c r="F229" s="12"/>
    </row>
    <row r="230" ht="24" customHeight="1" hidden="1" spans="1:6" x14ac:dyDescent="0.25" outlineLevel="1" collapsed="1">
      <c r="A230" s="12" t="s">
        <v>790</v>
      </c>
      <c r="B230" s="12"/>
      <c r="C230" s="12"/>
      <c r="D230" s="12"/>
      <c r="E230" s="12"/>
      <c r="F230" s="12"/>
    </row>
    <row r="231" ht="24" customHeight="1" hidden="1" spans="1:6" x14ac:dyDescent="0.25" outlineLevel="1" collapsed="1">
      <c r="A231" s="12" t="s">
        <v>732</v>
      </c>
      <c r="B231" s="12"/>
      <c r="C231" s="12"/>
      <c r="D231" s="12"/>
      <c r="E231" s="12"/>
      <c r="F231" s="12"/>
    </row>
    <row r="232" ht="6" customHeight="1" hidden="1" x14ac:dyDescent="0.25" outlineLevel="1" collapsed="1"/>
    <row r="233" ht="22" customHeight="1" spans="1:6" x14ac:dyDescent="0.25">
      <c r="A233" s="25" t="s">
        <v>743</v>
      </c>
      <c r="B233" s="25"/>
      <c r="C233" s="25"/>
      <c r="D233" s="25"/>
      <c r="E233" s="25"/>
      <c r="F233" s="25"/>
    </row>
    <row r="234" ht="20" customHeight="1" hidden="1" spans="1:6" x14ac:dyDescent="0.25" outlineLevel="1" collapsed="1">
      <c r="A234" s="26" t="s">
        <v>460</v>
      </c>
      <c r="B234" s="26" t="s">
        <v>461</v>
      </c>
      <c r="C234" s="26" t="s">
        <v>462</v>
      </c>
      <c r="D234" s="26" t="s">
        <v>32</v>
      </c>
      <c r="E234" s="26" t="s">
        <v>463</v>
      </c>
      <c r="F234" s="26" t="s">
        <v>464</v>
      </c>
    </row>
    <row r="235" ht="66" customHeight="1" hidden="1" spans="1:6" x14ac:dyDescent="0.25" outlineLevel="1" collapsed="1">
      <c r="A235" s="27">
        <v>4122</v>
      </c>
      <c r="B235" s="28" t="s">
        <v>744</v>
      </c>
      <c r="C235" s="27" t="s">
        <v>745</v>
      </c>
      <c r="D235" s="29" t="s">
        <v>32</v>
      </c>
      <c r="E235" s="28" t="s">
        <v>473</v>
      </c>
      <c r="F235" s="28" t="s">
        <v>474</v>
      </c>
    </row>
    <row r="236" ht="21" customHeight="1" hidden="1" spans="1:6" x14ac:dyDescent="0.25" outlineLevel="1" collapsed="1">
      <c r="A236" s="30" t="s">
        <v>32</v>
      </c>
      <c r="B236" s="17" t="s">
        <v>32</v>
      </c>
      <c r="C236" s="30" t="s">
        <v>32</v>
      </c>
      <c r="D236" s="31" t="s">
        <v>32</v>
      </c>
      <c r="E236" s="17" t="s">
        <v>475</v>
      </c>
      <c r="F236" s="17" t="s">
        <v>32</v>
      </c>
    </row>
    <row r="237" ht="36" customHeight="1" hidden="1" spans="1:6" x14ac:dyDescent="0.25" outlineLevel="1" collapsed="1">
      <c r="A237" s="32" t="s">
        <v>32</v>
      </c>
      <c r="B237" s="12" t="s">
        <v>32</v>
      </c>
      <c r="C237" s="32" t="s">
        <v>32</v>
      </c>
      <c r="D237" s="31" t="s">
        <v>32</v>
      </c>
      <c r="E237" s="12" t="s">
        <v>476</v>
      </c>
      <c r="F237" s="12" t="s">
        <v>32</v>
      </c>
    </row>
    <row r="238" ht="21" customHeight="1" hidden="1" spans="1:6" x14ac:dyDescent="0.25" outlineLevel="1" collapsed="1">
      <c r="A238" s="30" t="s">
        <v>32</v>
      </c>
      <c r="B238" s="17" t="s">
        <v>32</v>
      </c>
      <c r="C238" s="30" t="s">
        <v>32</v>
      </c>
      <c r="D238" s="31" t="s">
        <v>32</v>
      </c>
      <c r="E238" s="17" t="s">
        <v>687</v>
      </c>
      <c r="F238" s="17" t="s">
        <v>32</v>
      </c>
    </row>
    <row r="239" ht="36" customHeight="1" hidden="1" spans="1:6" x14ac:dyDescent="0.25" outlineLevel="1" collapsed="1">
      <c r="A239" s="32" t="s">
        <v>32</v>
      </c>
      <c r="B239" s="12" t="s">
        <v>32</v>
      </c>
      <c r="C239" s="32" t="s">
        <v>32</v>
      </c>
      <c r="D239" s="31" t="s">
        <v>32</v>
      </c>
      <c r="E239" s="12" t="s">
        <v>478</v>
      </c>
      <c r="F239" s="12" t="s">
        <v>32</v>
      </c>
    </row>
    <row r="240" ht="21" customHeight="1" hidden="1" spans="1:6" x14ac:dyDescent="0.25" outlineLevel="1" collapsed="1">
      <c r="A240" s="30" t="s">
        <v>32</v>
      </c>
      <c r="B240" s="17" t="s">
        <v>32</v>
      </c>
      <c r="C240" s="30" t="s">
        <v>32</v>
      </c>
      <c r="D240" s="31" t="s">
        <v>32</v>
      </c>
      <c r="E240" s="17" t="s">
        <v>479</v>
      </c>
      <c r="F240" s="17" t="s">
        <v>32</v>
      </c>
    </row>
    <row r="241" ht="36" customHeight="1" hidden="1" spans="1:6" x14ac:dyDescent="0.25" outlineLevel="1" collapsed="1">
      <c r="A241" s="32" t="s">
        <v>32</v>
      </c>
      <c r="B241" s="12" t="s">
        <v>32</v>
      </c>
      <c r="C241" s="32" t="s">
        <v>32</v>
      </c>
      <c r="D241" s="31" t="s">
        <v>32</v>
      </c>
      <c r="E241" s="33" t="s">
        <v>664</v>
      </c>
      <c r="F241" s="12" t="s">
        <v>32</v>
      </c>
    </row>
    <row r="242" ht="22" customHeight="1" hidden="1" spans="1:6" x14ac:dyDescent="0.25" outlineLevel="1" collapsed="1">
      <c r="A242" s="34" t="s">
        <v>495</v>
      </c>
      <c r="B242" s="34"/>
      <c r="C242" s="34"/>
      <c r="D242" s="34"/>
      <c r="E242" s="34"/>
      <c r="F242" s="34"/>
    </row>
    <row r="243" ht="40" customHeight="1" hidden="1" spans="1:6" x14ac:dyDescent="0.25" outlineLevel="1" collapsed="1">
      <c r="A243" s="12" t="s">
        <v>791</v>
      </c>
      <c r="B243" s="12"/>
      <c r="C243" s="12"/>
      <c r="D243" s="12"/>
      <c r="E243" s="12"/>
      <c r="F243" s="12"/>
    </row>
    <row r="244" ht="24" customHeight="1" hidden="1" spans="1:6" x14ac:dyDescent="0.25" outlineLevel="1" collapsed="1">
      <c r="A244" s="12" t="s">
        <v>732</v>
      </c>
      <c r="B244" s="12"/>
      <c r="C244" s="12"/>
      <c r="D244" s="12"/>
      <c r="E244" s="12"/>
      <c r="F244" s="12"/>
    </row>
    <row r="245" ht="6" customHeight="1" hidden="1" x14ac:dyDescent="0.25" outlineLevel="1" collapsed="1"/>
    <row r="246" ht="22" customHeight="1" spans="1:6" x14ac:dyDescent="0.25">
      <c r="A246" s="25" t="s">
        <v>747</v>
      </c>
      <c r="B246" s="25"/>
      <c r="C246" s="25"/>
      <c r="D246" s="25"/>
      <c r="E246" s="25"/>
      <c r="F246" s="25"/>
    </row>
    <row r="247" ht="20" customHeight="1" hidden="1" spans="1:6" x14ac:dyDescent="0.25" outlineLevel="1" collapsed="1">
      <c r="A247" s="26" t="s">
        <v>460</v>
      </c>
      <c r="B247" s="26" t="s">
        <v>461</v>
      </c>
      <c r="C247" s="26" t="s">
        <v>462</v>
      </c>
      <c r="D247" s="26" t="s">
        <v>32</v>
      </c>
      <c r="E247" s="26" t="s">
        <v>463</v>
      </c>
      <c r="F247" s="26" t="s">
        <v>464</v>
      </c>
    </row>
    <row r="248" ht="51" customHeight="1" hidden="1" spans="1:6" x14ac:dyDescent="0.25" outlineLevel="1" collapsed="1">
      <c r="A248" s="27">
        <v>4134</v>
      </c>
      <c r="B248" s="28" t="s">
        <v>748</v>
      </c>
      <c r="C248" s="27" t="s">
        <v>466</v>
      </c>
      <c r="D248" s="29" t="s">
        <v>32</v>
      </c>
      <c r="E248" s="28" t="s">
        <v>473</v>
      </c>
      <c r="F248" s="28" t="s">
        <v>724</v>
      </c>
    </row>
    <row r="249" ht="21" customHeight="1" hidden="1" spans="1:6" x14ac:dyDescent="0.25" outlineLevel="1" collapsed="1">
      <c r="A249" s="30" t="s">
        <v>32</v>
      </c>
      <c r="B249" s="17" t="s">
        <v>32</v>
      </c>
      <c r="C249" s="30" t="s">
        <v>32</v>
      </c>
      <c r="D249" s="31" t="s">
        <v>32</v>
      </c>
      <c r="E249" s="17" t="s">
        <v>475</v>
      </c>
      <c r="F249" s="17" t="s">
        <v>32</v>
      </c>
    </row>
    <row r="250" ht="36" customHeight="1" hidden="1" spans="1:6" x14ac:dyDescent="0.25" outlineLevel="1" collapsed="1">
      <c r="A250" s="32" t="s">
        <v>32</v>
      </c>
      <c r="B250" s="12" t="s">
        <v>32</v>
      </c>
      <c r="C250" s="32" t="s">
        <v>32</v>
      </c>
      <c r="D250" s="31" t="s">
        <v>32</v>
      </c>
      <c r="E250" s="12" t="s">
        <v>476</v>
      </c>
      <c r="F250" s="12" t="s">
        <v>32</v>
      </c>
    </row>
    <row r="251" ht="21" customHeight="1" hidden="1" spans="1:6" x14ac:dyDescent="0.25" outlineLevel="1" collapsed="1">
      <c r="A251" s="30" t="s">
        <v>32</v>
      </c>
      <c r="B251" s="17" t="s">
        <v>32</v>
      </c>
      <c r="C251" s="30" t="s">
        <v>32</v>
      </c>
      <c r="D251" s="31" t="s">
        <v>32</v>
      </c>
      <c r="E251" s="17" t="s">
        <v>687</v>
      </c>
      <c r="F251" s="17" t="s">
        <v>32</v>
      </c>
    </row>
    <row r="252" ht="36" customHeight="1" hidden="1" spans="1:6" x14ac:dyDescent="0.25" outlineLevel="1" collapsed="1">
      <c r="A252" s="32" t="s">
        <v>32</v>
      </c>
      <c r="B252" s="12" t="s">
        <v>32</v>
      </c>
      <c r="C252" s="32" t="s">
        <v>32</v>
      </c>
      <c r="D252" s="31" t="s">
        <v>32</v>
      </c>
      <c r="E252" s="12" t="s">
        <v>478</v>
      </c>
      <c r="F252" s="12" t="s">
        <v>32</v>
      </c>
    </row>
    <row r="253" ht="21" customHeight="1" hidden="1" spans="1:6" x14ac:dyDescent="0.25" outlineLevel="1" collapsed="1">
      <c r="A253" s="30" t="s">
        <v>32</v>
      </c>
      <c r="B253" s="17" t="s">
        <v>32</v>
      </c>
      <c r="C253" s="30" t="s">
        <v>32</v>
      </c>
      <c r="D253" s="31" t="s">
        <v>32</v>
      </c>
      <c r="E253" s="17" t="s">
        <v>479</v>
      </c>
      <c r="F253" s="17" t="s">
        <v>32</v>
      </c>
    </row>
    <row r="254" ht="21" customHeight="1" hidden="1" spans="1:6" x14ac:dyDescent="0.25" outlineLevel="1" collapsed="1">
      <c r="A254" s="32" t="s">
        <v>32</v>
      </c>
      <c r="B254" s="12" t="s">
        <v>32</v>
      </c>
      <c r="C254" s="32" t="s">
        <v>32</v>
      </c>
      <c r="D254" s="31" t="s">
        <v>32</v>
      </c>
      <c r="E254" s="12" t="s">
        <v>749</v>
      </c>
      <c r="F254" s="12" t="s">
        <v>32</v>
      </c>
    </row>
    <row r="255" ht="36" customHeight="1" hidden="1" spans="1:6" x14ac:dyDescent="0.25" outlineLevel="1" collapsed="1">
      <c r="A255" s="30" t="s">
        <v>32</v>
      </c>
      <c r="B255" s="17" t="s">
        <v>32</v>
      </c>
      <c r="C255" s="30" t="s">
        <v>32</v>
      </c>
      <c r="D255" s="31" t="s">
        <v>32</v>
      </c>
      <c r="E255" s="35" t="s">
        <v>784</v>
      </c>
      <c r="F255" s="17" t="s">
        <v>32</v>
      </c>
    </row>
    <row r="256" ht="51" customHeight="1" hidden="1" spans="1:6" x14ac:dyDescent="0.25" outlineLevel="1" collapsed="1">
      <c r="A256" s="27">
        <v>4136</v>
      </c>
      <c r="B256" s="28" t="s">
        <v>750</v>
      </c>
      <c r="C256" s="27" t="s">
        <v>472</v>
      </c>
      <c r="D256" s="29" t="s">
        <v>32</v>
      </c>
      <c r="E256" s="28" t="s">
        <v>751</v>
      </c>
      <c r="F256" s="28" t="s">
        <v>752</v>
      </c>
    </row>
    <row r="257" ht="21" customHeight="1" hidden="1" spans="1:6" x14ac:dyDescent="0.25" outlineLevel="1" collapsed="1">
      <c r="A257" s="30" t="s">
        <v>32</v>
      </c>
      <c r="B257" s="17" t="s">
        <v>32</v>
      </c>
      <c r="C257" s="30" t="s">
        <v>32</v>
      </c>
      <c r="D257" s="31" t="s">
        <v>32</v>
      </c>
      <c r="E257" s="17" t="s">
        <v>617</v>
      </c>
      <c r="F257" s="17" t="s">
        <v>32</v>
      </c>
    </row>
    <row r="258" ht="36" customHeight="1" hidden="1" spans="1:6" x14ac:dyDescent="0.25" outlineLevel="1" collapsed="1">
      <c r="A258" s="32" t="s">
        <v>32</v>
      </c>
      <c r="B258" s="12" t="s">
        <v>32</v>
      </c>
      <c r="C258" s="32" t="s">
        <v>32</v>
      </c>
      <c r="D258" s="31" t="s">
        <v>32</v>
      </c>
      <c r="E258" s="33" t="s">
        <v>784</v>
      </c>
      <c r="F258" s="12" t="s">
        <v>32</v>
      </c>
    </row>
    <row r="259" ht="22" customHeight="1" hidden="1" spans="1:6" x14ac:dyDescent="0.25" outlineLevel="1" collapsed="1">
      <c r="A259" s="34" t="s">
        <v>495</v>
      </c>
      <c r="B259" s="34"/>
      <c r="C259" s="34"/>
      <c r="D259" s="34"/>
      <c r="E259" s="34"/>
      <c r="F259" s="34"/>
    </row>
    <row r="260" ht="40" customHeight="1" hidden="1" spans="1:6" x14ac:dyDescent="0.25" outlineLevel="1" collapsed="1">
      <c r="A260" s="12" t="s">
        <v>792</v>
      </c>
      <c r="B260" s="12"/>
      <c r="C260" s="12"/>
      <c r="D260" s="12"/>
      <c r="E260" s="12"/>
      <c r="F260" s="12"/>
    </row>
    <row r="261" ht="24" customHeight="1" hidden="1" spans="1:6" x14ac:dyDescent="0.25" outlineLevel="1" collapsed="1">
      <c r="A261" s="12" t="s">
        <v>793</v>
      </c>
      <c r="B261" s="12"/>
      <c r="C261" s="12"/>
      <c r="D261" s="12"/>
      <c r="E261" s="12"/>
      <c r="F261" s="12"/>
    </row>
    <row r="262" ht="6" customHeight="1" hidden="1" x14ac:dyDescent="0.25" outlineLevel="1" collapsed="1"/>
    <row r="263" ht="22" customHeight="1" spans="1:6" x14ac:dyDescent="0.25">
      <c r="A263" s="25" t="s">
        <v>755</v>
      </c>
      <c r="B263" s="25"/>
      <c r="C263" s="25"/>
      <c r="D263" s="25"/>
      <c r="E263" s="25"/>
      <c r="F263" s="25"/>
    </row>
    <row r="264" ht="20" customHeight="1" hidden="1" spans="1:6" x14ac:dyDescent="0.25" outlineLevel="1" collapsed="1">
      <c r="A264" s="26" t="s">
        <v>460</v>
      </c>
      <c r="B264" s="26" t="s">
        <v>461</v>
      </c>
      <c r="C264" s="26" t="s">
        <v>462</v>
      </c>
      <c r="D264" s="26" t="s">
        <v>32</v>
      </c>
      <c r="E264" s="26" t="s">
        <v>463</v>
      </c>
      <c r="F264" s="26" t="s">
        <v>464</v>
      </c>
    </row>
    <row r="265" ht="51" customHeight="1" hidden="1" spans="1:6" x14ac:dyDescent="0.25" outlineLevel="1" collapsed="1">
      <c r="A265" s="27">
        <v>4152</v>
      </c>
      <c r="B265" s="28" t="s">
        <v>756</v>
      </c>
      <c r="C265" s="27" t="s">
        <v>745</v>
      </c>
      <c r="D265" s="29" t="s">
        <v>32</v>
      </c>
      <c r="E265" s="28" t="s">
        <v>473</v>
      </c>
      <c r="F265" s="28" t="s">
        <v>724</v>
      </c>
    </row>
    <row r="266" ht="21" customHeight="1" hidden="1" spans="1:6" x14ac:dyDescent="0.25" outlineLevel="1" collapsed="1">
      <c r="A266" s="30" t="s">
        <v>32</v>
      </c>
      <c r="B266" s="17" t="s">
        <v>32</v>
      </c>
      <c r="C266" s="30" t="s">
        <v>32</v>
      </c>
      <c r="D266" s="31" t="s">
        <v>32</v>
      </c>
      <c r="E266" s="17" t="s">
        <v>475</v>
      </c>
      <c r="F266" s="17" t="s">
        <v>32</v>
      </c>
    </row>
    <row r="267" ht="36" customHeight="1" hidden="1" spans="1:6" x14ac:dyDescent="0.25" outlineLevel="1" collapsed="1">
      <c r="A267" s="32" t="s">
        <v>32</v>
      </c>
      <c r="B267" s="12" t="s">
        <v>32</v>
      </c>
      <c r="C267" s="32" t="s">
        <v>32</v>
      </c>
      <c r="D267" s="31" t="s">
        <v>32</v>
      </c>
      <c r="E267" s="12" t="s">
        <v>476</v>
      </c>
      <c r="F267" s="12" t="s">
        <v>32</v>
      </c>
    </row>
    <row r="268" ht="21" customHeight="1" hidden="1" spans="1:6" x14ac:dyDescent="0.25" outlineLevel="1" collapsed="1">
      <c r="A268" s="30" t="s">
        <v>32</v>
      </c>
      <c r="B268" s="17" t="s">
        <v>32</v>
      </c>
      <c r="C268" s="30" t="s">
        <v>32</v>
      </c>
      <c r="D268" s="31" t="s">
        <v>32</v>
      </c>
      <c r="E268" s="17" t="s">
        <v>757</v>
      </c>
      <c r="F268" s="17" t="s">
        <v>32</v>
      </c>
    </row>
    <row r="269" ht="36" customHeight="1" hidden="1" spans="1:6" x14ac:dyDescent="0.25" outlineLevel="1" collapsed="1">
      <c r="A269" s="32" t="s">
        <v>32</v>
      </c>
      <c r="B269" s="12" t="s">
        <v>32</v>
      </c>
      <c r="C269" s="32" t="s">
        <v>32</v>
      </c>
      <c r="D269" s="31" t="s">
        <v>32</v>
      </c>
      <c r="E269" s="12" t="s">
        <v>478</v>
      </c>
      <c r="F269" s="12" t="s">
        <v>32</v>
      </c>
    </row>
    <row r="270" ht="21" customHeight="1" hidden="1" spans="1:6" x14ac:dyDescent="0.25" outlineLevel="1" collapsed="1">
      <c r="A270" s="30" t="s">
        <v>32</v>
      </c>
      <c r="B270" s="17" t="s">
        <v>32</v>
      </c>
      <c r="C270" s="30" t="s">
        <v>32</v>
      </c>
      <c r="D270" s="31" t="s">
        <v>32</v>
      </c>
      <c r="E270" s="17" t="s">
        <v>479</v>
      </c>
      <c r="F270" s="17" t="s">
        <v>32</v>
      </c>
    </row>
    <row r="271" ht="21" customHeight="1" hidden="1" spans="1:6" x14ac:dyDescent="0.25" outlineLevel="1" collapsed="1">
      <c r="A271" s="32" t="s">
        <v>32</v>
      </c>
      <c r="B271" s="12" t="s">
        <v>32</v>
      </c>
      <c r="C271" s="32" t="s">
        <v>32</v>
      </c>
      <c r="D271" s="31" t="s">
        <v>32</v>
      </c>
      <c r="E271" s="12" t="s">
        <v>725</v>
      </c>
      <c r="F271" s="12" t="s">
        <v>32</v>
      </c>
    </row>
    <row r="272" ht="36" customHeight="1" hidden="1" spans="1:6" x14ac:dyDescent="0.25" outlineLevel="1" collapsed="1">
      <c r="A272" s="30" t="s">
        <v>32</v>
      </c>
      <c r="B272" s="17" t="s">
        <v>32</v>
      </c>
      <c r="C272" s="30" t="s">
        <v>32</v>
      </c>
      <c r="D272" s="31" t="s">
        <v>32</v>
      </c>
      <c r="E272" s="35" t="s">
        <v>784</v>
      </c>
      <c r="F272" s="17" t="s">
        <v>32</v>
      </c>
    </row>
    <row r="273" ht="21" customHeight="1" hidden="1" spans="1:6" x14ac:dyDescent="0.25" outlineLevel="1" collapsed="1">
      <c r="A273" s="27">
        <v>4154</v>
      </c>
      <c r="B273" s="28" t="s">
        <v>739</v>
      </c>
      <c r="C273" s="27" t="s">
        <v>758</v>
      </c>
      <c r="D273" s="29" t="s">
        <v>32</v>
      </c>
      <c r="E273" s="28" t="s">
        <v>759</v>
      </c>
      <c r="F273" s="28" t="s">
        <v>32</v>
      </c>
    </row>
    <row r="274" ht="51" customHeight="1" hidden="1" spans="1:6" x14ac:dyDescent="0.25" outlineLevel="1" collapsed="1">
      <c r="A274" s="27">
        <v>4126</v>
      </c>
      <c r="B274" s="28" t="s">
        <v>760</v>
      </c>
      <c r="C274" s="27" t="s">
        <v>761</v>
      </c>
      <c r="D274" s="29" t="s">
        <v>32</v>
      </c>
      <c r="E274" s="36" t="s">
        <v>668</v>
      </c>
      <c r="F274" s="28" t="s">
        <v>32</v>
      </c>
    </row>
    <row r="275" ht="36" customHeight="1" hidden="1" spans="1:6" x14ac:dyDescent="0.25" outlineLevel="1" collapsed="1">
      <c r="A275" s="27">
        <v>4128</v>
      </c>
      <c r="B275" s="28" t="s">
        <v>762</v>
      </c>
      <c r="C275" s="27" t="s">
        <v>761</v>
      </c>
      <c r="D275" s="29" t="s">
        <v>32</v>
      </c>
      <c r="E275" s="36" t="s">
        <v>668</v>
      </c>
      <c r="F275" s="28" t="s">
        <v>32</v>
      </c>
    </row>
    <row r="276" ht="22" customHeight="1" hidden="1" spans="1:6" x14ac:dyDescent="0.25" outlineLevel="1" collapsed="1">
      <c r="A276" s="34" t="s">
        <v>495</v>
      </c>
      <c r="B276" s="34"/>
      <c r="C276" s="34"/>
      <c r="D276" s="34"/>
      <c r="E276" s="34"/>
      <c r="F276" s="34"/>
    </row>
    <row r="277" ht="40" customHeight="1" hidden="1" spans="1:6" x14ac:dyDescent="0.25" outlineLevel="1" collapsed="1">
      <c r="A277" s="12" t="s">
        <v>794</v>
      </c>
      <c r="B277" s="12"/>
      <c r="C277" s="12"/>
      <c r="D277" s="12"/>
      <c r="E277" s="12"/>
      <c r="F277" s="12"/>
    </row>
    <row r="278" ht="24" customHeight="1" hidden="1" spans="1:6" x14ac:dyDescent="0.25" outlineLevel="1" collapsed="1">
      <c r="A278" s="12" t="s">
        <v>795</v>
      </c>
      <c r="B278" s="12"/>
      <c r="C278" s="12"/>
      <c r="D278" s="12"/>
      <c r="E278" s="12"/>
      <c r="F278" s="12"/>
    </row>
    <row r="279" ht="24" customHeight="1" hidden="1" spans="1:6" x14ac:dyDescent="0.25" outlineLevel="1" collapsed="1">
      <c r="A279" s="12" t="s">
        <v>796</v>
      </c>
      <c r="B279" s="12"/>
      <c r="C279" s="12"/>
      <c r="D279" s="12"/>
      <c r="E279" s="12"/>
      <c r="F279" s="12"/>
    </row>
    <row r="280" ht="24" customHeight="1" hidden="1" spans="1:6" x14ac:dyDescent="0.25" outlineLevel="1" collapsed="1">
      <c r="A280" s="12" t="s">
        <v>797</v>
      </c>
      <c r="B280" s="12"/>
      <c r="C280" s="12"/>
      <c r="D280" s="12"/>
      <c r="E280" s="12"/>
      <c r="F280" s="12"/>
    </row>
    <row r="281" ht="24" customHeight="1" hidden="1" spans="1:6" x14ac:dyDescent="0.25" outlineLevel="1" collapsed="1">
      <c r="A281" s="12" t="s">
        <v>767</v>
      </c>
      <c r="B281" s="12"/>
      <c r="C281" s="12"/>
      <c r="D281" s="12"/>
      <c r="E281" s="12"/>
      <c r="F281" s="12"/>
    </row>
    <row r="282" ht="24" customHeight="1" hidden="1" spans="1:6" x14ac:dyDescent="0.25" outlineLevel="1" collapsed="1">
      <c r="A282" s="12" t="s">
        <v>768</v>
      </c>
      <c r="B282" s="12"/>
      <c r="C282" s="12"/>
      <c r="D282" s="12"/>
      <c r="E282" s="12"/>
      <c r="F282" s="12"/>
    </row>
    <row r="283" ht="6" customHeight="1" hidden="1" x14ac:dyDescent="0.25" outlineLevel="1" collapsed="1"/>
    <row r="284" ht="22" customHeight="1" spans="1:6" x14ac:dyDescent="0.25">
      <c r="A284" s="25" t="s">
        <v>769</v>
      </c>
      <c r="B284" s="25"/>
      <c r="C284" s="25"/>
      <c r="D284" s="25"/>
      <c r="E284" s="25"/>
      <c r="F284" s="25"/>
    </row>
    <row r="285" ht="20" customHeight="1" hidden="1" spans="1:6" x14ac:dyDescent="0.25" outlineLevel="1" collapsed="1">
      <c r="A285" s="26" t="s">
        <v>460</v>
      </c>
      <c r="B285" s="26" t="s">
        <v>461</v>
      </c>
      <c r="C285" s="26" t="s">
        <v>462</v>
      </c>
      <c r="D285" s="26" t="s">
        <v>32</v>
      </c>
      <c r="E285" s="26" t="s">
        <v>463</v>
      </c>
      <c r="F285" s="26" t="s">
        <v>464</v>
      </c>
    </row>
    <row r="286" ht="36" customHeight="1" hidden="1" spans="1:6" x14ac:dyDescent="0.25" outlineLevel="1" collapsed="1">
      <c r="A286" s="27">
        <v>4122</v>
      </c>
      <c r="B286" s="28" t="s">
        <v>36</v>
      </c>
      <c r="C286" s="27" t="s">
        <v>745</v>
      </c>
      <c r="D286" s="29" t="s">
        <v>32</v>
      </c>
      <c r="E286" s="36" t="s">
        <v>668</v>
      </c>
      <c r="F286" s="28" t="s">
        <v>32</v>
      </c>
    </row>
    <row r="287" ht="36" customHeight="1" hidden="1" spans="1:6" x14ac:dyDescent="0.25" outlineLevel="1" collapsed="1">
      <c r="A287" s="27">
        <v>4124</v>
      </c>
      <c r="B287" s="28" t="s">
        <v>739</v>
      </c>
      <c r="C287" s="27" t="s">
        <v>758</v>
      </c>
      <c r="D287" s="29" t="s">
        <v>32</v>
      </c>
      <c r="E287" s="36" t="s">
        <v>668</v>
      </c>
      <c r="F287" s="28" t="s">
        <v>32</v>
      </c>
    </row>
    <row r="288" ht="22" customHeight="1" hidden="1" spans="1:6" x14ac:dyDescent="0.25" outlineLevel="1" collapsed="1">
      <c r="A288" s="34" t="s">
        <v>495</v>
      </c>
      <c r="B288" s="34"/>
      <c r="C288" s="34"/>
      <c r="D288" s="34"/>
      <c r="E288" s="34"/>
      <c r="F288" s="34"/>
    </row>
    <row r="289" ht="24" customHeight="1" hidden="1" spans="1:6" x14ac:dyDescent="0.25" outlineLevel="1" collapsed="1">
      <c r="A289" s="12" t="s">
        <v>798</v>
      </c>
      <c r="B289" s="12"/>
      <c r="C289" s="12"/>
      <c r="D289" s="12"/>
      <c r="E289" s="12"/>
      <c r="F289" s="12"/>
    </row>
    <row r="290" ht="24" customHeight="1" hidden="1" spans="1:6" x14ac:dyDescent="0.25" outlineLevel="1" collapsed="1">
      <c r="A290" s="12" t="s">
        <v>799</v>
      </c>
      <c r="B290" s="12"/>
      <c r="C290" s="12"/>
      <c r="D290" s="12"/>
      <c r="E290" s="12"/>
      <c r="F290" s="12"/>
    </row>
    <row r="291" ht="24" customHeight="1" hidden="1" spans="1:6" x14ac:dyDescent="0.25" outlineLevel="1" collapsed="1">
      <c r="A291" s="12" t="s">
        <v>732</v>
      </c>
      <c r="B291" s="12"/>
      <c r="C291" s="12"/>
      <c r="D291" s="12"/>
      <c r="E291" s="12"/>
      <c r="F291" s="12"/>
    </row>
    <row r="292" ht="6" customHeight="1" hidden="1" x14ac:dyDescent="0.25" outlineLevel="1" collapsed="1"/>
    <row r="293" ht="22" customHeight="1" spans="1:6" x14ac:dyDescent="0.25">
      <c r="A293" s="25" t="s">
        <v>772</v>
      </c>
      <c r="B293" s="25"/>
      <c r="C293" s="25"/>
      <c r="D293" s="25"/>
      <c r="E293" s="25"/>
      <c r="F293" s="25"/>
    </row>
    <row r="294" ht="20" customHeight="1" hidden="1" spans="1:6" x14ac:dyDescent="0.25" outlineLevel="1" collapsed="1">
      <c r="A294" s="26" t="s">
        <v>460</v>
      </c>
      <c r="B294" s="26" t="s">
        <v>461</v>
      </c>
      <c r="C294" s="26" t="s">
        <v>462</v>
      </c>
      <c r="D294" s="26" t="s">
        <v>32</v>
      </c>
      <c r="E294" s="26" t="s">
        <v>463</v>
      </c>
      <c r="F294" s="26" t="s">
        <v>464</v>
      </c>
    </row>
    <row r="295" ht="36" customHeight="1" hidden="1" spans="1:6" x14ac:dyDescent="0.25" outlineLevel="1" collapsed="1">
      <c r="A295" s="27">
        <v>4122</v>
      </c>
      <c r="B295" s="28" t="s">
        <v>36</v>
      </c>
      <c r="C295" s="27" t="s">
        <v>745</v>
      </c>
      <c r="D295" s="29" t="s">
        <v>32</v>
      </c>
      <c r="E295" s="36" t="s">
        <v>668</v>
      </c>
      <c r="F295" s="28" t="s">
        <v>32</v>
      </c>
    </row>
    <row r="296" ht="36" customHeight="1" hidden="1" spans="1:6" x14ac:dyDescent="0.25" outlineLevel="1" collapsed="1">
      <c r="A296" s="27">
        <v>4124</v>
      </c>
      <c r="B296" s="28" t="s">
        <v>739</v>
      </c>
      <c r="C296" s="27" t="s">
        <v>758</v>
      </c>
      <c r="D296" s="29" t="s">
        <v>32</v>
      </c>
      <c r="E296" s="36" t="s">
        <v>668</v>
      </c>
      <c r="F296" s="28" t="s">
        <v>32</v>
      </c>
    </row>
    <row r="297" ht="22" customHeight="1" hidden="1" spans="1:6" x14ac:dyDescent="0.25" outlineLevel="1" collapsed="1">
      <c r="A297" s="34" t="s">
        <v>495</v>
      </c>
      <c r="B297" s="34"/>
      <c r="C297" s="34"/>
      <c r="D297" s="34"/>
      <c r="E297" s="34"/>
      <c r="F297" s="34"/>
    </row>
    <row r="298" ht="24" customHeight="1" hidden="1" spans="1:6" x14ac:dyDescent="0.25" outlineLevel="1" collapsed="1">
      <c r="A298" s="12" t="s">
        <v>798</v>
      </c>
      <c r="B298" s="12"/>
      <c r="C298" s="12"/>
      <c r="D298" s="12"/>
      <c r="E298" s="12"/>
      <c r="F298" s="12"/>
    </row>
    <row r="299" ht="24" customHeight="1" hidden="1" spans="1:6" x14ac:dyDescent="0.25" outlineLevel="1" collapsed="1">
      <c r="A299" s="12" t="s">
        <v>799</v>
      </c>
      <c r="B299" s="12"/>
      <c r="C299" s="12"/>
      <c r="D299" s="12"/>
      <c r="E299" s="12"/>
      <c r="F299" s="12"/>
    </row>
    <row r="300" ht="24" customHeight="1" hidden="1" spans="1:6" x14ac:dyDescent="0.25" outlineLevel="1" collapsed="1">
      <c r="A300" s="12" t="s">
        <v>732</v>
      </c>
      <c r="B300" s="12"/>
      <c r="C300" s="12"/>
      <c r="D300" s="12"/>
      <c r="E300" s="12"/>
      <c r="F300" s="12"/>
    </row>
    <row r="301" ht="6" customHeight="1" hidden="1" x14ac:dyDescent="0.25" outlineLevel="1" collapsed="1"/>
    <row r="302" ht="22" customHeight="1" spans="1:6" x14ac:dyDescent="0.25">
      <c r="A302" s="25" t="s">
        <v>773</v>
      </c>
      <c r="B302" s="25"/>
      <c r="C302" s="25"/>
      <c r="D302" s="25"/>
      <c r="E302" s="25"/>
      <c r="F302" s="25"/>
    </row>
    <row r="303" ht="20" customHeight="1" hidden="1" spans="1:6" x14ac:dyDescent="0.25" outlineLevel="1" collapsed="1">
      <c r="A303" s="26" t="s">
        <v>460</v>
      </c>
      <c r="B303" s="26" t="s">
        <v>461</v>
      </c>
      <c r="C303" s="26" t="s">
        <v>462</v>
      </c>
      <c r="D303" s="26" t="s">
        <v>32</v>
      </c>
      <c r="E303" s="26" t="s">
        <v>463</v>
      </c>
      <c r="F303" s="26" t="s">
        <v>464</v>
      </c>
    </row>
    <row r="304" ht="51" customHeight="1" hidden="1" spans="1:6" x14ac:dyDescent="0.25" outlineLevel="1" collapsed="1">
      <c r="A304" s="27">
        <v>4122</v>
      </c>
      <c r="B304" s="28" t="s">
        <v>36</v>
      </c>
      <c r="C304" s="27" t="s">
        <v>745</v>
      </c>
      <c r="D304" s="29" t="s">
        <v>32</v>
      </c>
      <c r="E304" s="28" t="s">
        <v>473</v>
      </c>
      <c r="F304" s="28" t="s">
        <v>474</v>
      </c>
    </row>
    <row r="305" ht="21" customHeight="1" hidden="1" spans="1:6" x14ac:dyDescent="0.25" outlineLevel="1" collapsed="1">
      <c r="A305" s="30" t="s">
        <v>32</v>
      </c>
      <c r="B305" s="17" t="s">
        <v>32</v>
      </c>
      <c r="C305" s="30" t="s">
        <v>32</v>
      </c>
      <c r="D305" s="31" t="s">
        <v>32</v>
      </c>
      <c r="E305" s="17" t="s">
        <v>475</v>
      </c>
      <c r="F305" s="17" t="s">
        <v>32</v>
      </c>
    </row>
    <row r="306" ht="36" customHeight="1" hidden="1" spans="1:6" x14ac:dyDescent="0.25" outlineLevel="1" collapsed="1">
      <c r="A306" s="32" t="s">
        <v>32</v>
      </c>
      <c r="B306" s="12" t="s">
        <v>32</v>
      </c>
      <c r="C306" s="32" t="s">
        <v>32</v>
      </c>
      <c r="D306" s="31" t="s">
        <v>32</v>
      </c>
      <c r="E306" s="12" t="s">
        <v>476</v>
      </c>
      <c r="F306" s="12" t="s">
        <v>32</v>
      </c>
    </row>
    <row r="307" ht="21" customHeight="1" hidden="1" spans="1:6" x14ac:dyDescent="0.25" outlineLevel="1" collapsed="1">
      <c r="A307" s="30" t="s">
        <v>32</v>
      </c>
      <c r="B307" s="17" t="s">
        <v>32</v>
      </c>
      <c r="C307" s="30" t="s">
        <v>32</v>
      </c>
      <c r="D307" s="31" t="s">
        <v>32</v>
      </c>
      <c r="E307" s="17" t="s">
        <v>687</v>
      </c>
      <c r="F307" s="17" t="s">
        <v>32</v>
      </c>
    </row>
    <row r="308" ht="36" customHeight="1" hidden="1" spans="1:6" x14ac:dyDescent="0.25" outlineLevel="1" collapsed="1">
      <c r="A308" s="32" t="s">
        <v>32</v>
      </c>
      <c r="B308" s="12" t="s">
        <v>32</v>
      </c>
      <c r="C308" s="32" t="s">
        <v>32</v>
      </c>
      <c r="D308" s="31" t="s">
        <v>32</v>
      </c>
      <c r="E308" s="12" t="s">
        <v>478</v>
      </c>
      <c r="F308" s="12" t="s">
        <v>32</v>
      </c>
    </row>
    <row r="309" ht="21" customHeight="1" hidden="1" spans="1:6" x14ac:dyDescent="0.25" outlineLevel="1" collapsed="1">
      <c r="A309" s="30" t="s">
        <v>32</v>
      </c>
      <c r="B309" s="17" t="s">
        <v>32</v>
      </c>
      <c r="C309" s="30" t="s">
        <v>32</v>
      </c>
      <c r="D309" s="31" t="s">
        <v>32</v>
      </c>
      <c r="E309" s="17" t="s">
        <v>479</v>
      </c>
      <c r="F309" s="17" t="s">
        <v>32</v>
      </c>
    </row>
    <row r="310" ht="36" customHeight="1" hidden="1" spans="1:6" x14ac:dyDescent="0.25" outlineLevel="1" collapsed="1">
      <c r="A310" s="32" t="s">
        <v>32</v>
      </c>
      <c r="B310" s="12" t="s">
        <v>32</v>
      </c>
      <c r="C310" s="32" t="s">
        <v>32</v>
      </c>
      <c r="D310" s="31" t="s">
        <v>32</v>
      </c>
      <c r="E310" s="33" t="s">
        <v>664</v>
      </c>
      <c r="F310" s="12" t="s">
        <v>32</v>
      </c>
    </row>
    <row r="311" ht="51" customHeight="1" hidden="1" spans="1:6" x14ac:dyDescent="0.25" outlineLevel="1" collapsed="1">
      <c r="A311" s="27">
        <v>4124</v>
      </c>
      <c r="B311" s="28" t="s">
        <v>739</v>
      </c>
      <c r="C311" s="27" t="s">
        <v>758</v>
      </c>
      <c r="D311" s="29" t="s">
        <v>32</v>
      </c>
      <c r="E311" s="28" t="s">
        <v>774</v>
      </c>
      <c r="F311" s="28" t="s">
        <v>775</v>
      </c>
    </row>
    <row r="312" ht="21" customHeight="1" hidden="1" spans="1:6" x14ac:dyDescent="0.25" outlineLevel="1" collapsed="1">
      <c r="A312" s="30" t="s">
        <v>32</v>
      </c>
      <c r="B312" s="17" t="s">
        <v>32</v>
      </c>
      <c r="C312" s="30" t="s">
        <v>32</v>
      </c>
      <c r="D312" s="31" t="s">
        <v>32</v>
      </c>
      <c r="E312" s="17" t="s">
        <v>776</v>
      </c>
      <c r="F312" s="17" t="s">
        <v>32</v>
      </c>
    </row>
    <row r="313" ht="21" customHeight="1" hidden="1" spans="1:6" x14ac:dyDescent="0.25" outlineLevel="1" collapsed="1">
      <c r="A313" s="32" t="s">
        <v>32</v>
      </c>
      <c r="B313" s="12" t="s">
        <v>32</v>
      </c>
      <c r="C313" s="32" t="s">
        <v>32</v>
      </c>
      <c r="D313" s="31" t="s">
        <v>32</v>
      </c>
      <c r="E313" s="12" t="s">
        <v>777</v>
      </c>
      <c r="F313" s="12" t="s">
        <v>32</v>
      </c>
    </row>
    <row r="314" ht="36" customHeight="1" hidden="1" spans="1:6" x14ac:dyDescent="0.25" outlineLevel="1" collapsed="1">
      <c r="A314" s="30" t="s">
        <v>32</v>
      </c>
      <c r="B314" s="17" t="s">
        <v>32</v>
      </c>
      <c r="C314" s="30" t="s">
        <v>32</v>
      </c>
      <c r="D314" s="31" t="s">
        <v>32</v>
      </c>
      <c r="E314" s="35" t="s">
        <v>664</v>
      </c>
      <c r="F314" s="17" t="s">
        <v>32</v>
      </c>
    </row>
    <row r="315" ht="22" customHeight="1" hidden="1" spans="1:6" x14ac:dyDescent="0.25" outlineLevel="1" collapsed="1">
      <c r="A315" s="34" t="s">
        <v>495</v>
      </c>
      <c r="B315" s="34"/>
      <c r="C315" s="34"/>
      <c r="D315" s="34"/>
      <c r="E315" s="34"/>
      <c r="F315" s="34"/>
    </row>
    <row r="316" ht="40" customHeight="1" hidden="1" spans="1:6" x14ac:dyDescent="0.25" outlineLevel="1" collapsed="1">
      <c r="A316" s="12" t="s">
        <v>791</v>
      </c>
      <c r="B316" s="12"/>
      <c r="C316" s="12"/>
      <c r="D316" s="12"/>
      <c r="E316" s="12"/>
      <c r="F316" s="12"/>
    </row>
    <row r="317" ht="40" customHeight="1" hidden="1" spans="1:6" x14ac:dyDescent="0.25" outlineLevel="1" collapsed="1">
      <c r="A317" s="12" t="s">
        <v>800</v>
      </c>
      <c r="B317" s="12"/>
      <c r="C317" s="12"/>
      <c r="D317" s="12"/>
      <c r="E317" s="12"/>
      <c r="F317" s="12"/>
    </row>
    <row r="318" ht="24" customHeight="1" hidden="1" spans="1:6" x14ac:dyDescent="0.25" outlineLevel="1" collapsed="1">
      <c r="A318" s="12" t="s">
        <v>732</v>
      </c>
      <c r="B318" s="12"/>
      <c r="C318" s="12"/>
      <c r="D318" s="12"/>
      <c r="E318" s="12"/>
      <c r="F318" s="12"/>
    </row>
    <row r="319" ht="6" customHeight="1" hidden="1" x14ac:dyDescent="0.25" outlineLevel="1" collapsed="1"/>
    <row r="320" ht="22" customHeight="1" spans="1:6" x14ac:dyDescent="0.25">
      <c r="A320" s="25" t="s">
        <v>779</v>
      </c>
      <c r="B320" s="25"/>
      <c r="C320" s="25"/>
      <c r="D320" s="25"/>
      <c r="E320" s="25"/>
      <c r="F320" s="25"/>
    </row>
    <row r="321" ht="20" customHeight="1" hidden="1" spans="1:6" x14ac:dyDescent="0.25" outlineLevel="1" collapsed="1">
      <c r="A321" s="26" t="s">
        <v>460</v>
      </c>
      <c r="B321" s="26" t="s">
        <v>461</v>
      </c>
      <c r="C321" s="26" t="s">
        <v>462</v>
      </c>
      <c r="D321" s="26" t="s">
        <v>32</v>
      </c>
      <c r="E321" s="26" t="s">
        <v>463</v>
      </c>
      <c r="F321" s="26" t="s">
        <v>464</v>
      </c>
    </row>
    <row r="322" ht="36" customHeight="1" hidden="1" spans="1:6" x14ac:dyDescent="0.25" outlineLevel="1" collapsed="1">
      <c r="A322" s="27">
        <v>4122</v>
      </c>
      <c r="B322" s="28" t="s">
        <v>36</v>
      </c>
      <c r="C322" s="27" t="s">
        <v>745</v>
      </c>
      <c r="D322" s="29" t="s">
        <v>32</v>
      </c>
      <c r="E322" s="36" t="s">
        <v>668</v>
      </c>
      <c r="F322" s="28" t="s">
        <v>32</v>
      </c>
    </row>
    <row r="323" ht="36" customHeight="1" hidden="1" spans="1:6" x14ac:dyDescent="0.25" outlineLevel="1" collapsed="1">
      <c r="A323" s="27">
        <v>4124</v>
      </c>
      <c r="B323" s="28" t="s">
        <v>739</v>
      </c>
      <c r="C323" s="27" t="s">
        <v>758</v>
      </c>
      <c r="D323" s="29" t="s">
        <v>32</v>
      </c>
      <c r="E323" s="36" t="s">
        <v>668</v>
      </c>
      <c r="F323" s="28" t="s">
        <v>32</v>
      </c>
    </row>
    <row r="324" ht="22" customHeight="1" hidden="1" spans="1:6" x14ac:dyDescent="0.25" outlineLevel="1" collapsed="1">
      <c r="A324" s="34" t="s">
        <v>495</v>
      </c>
      <c r="B324" s="34"/>
      <c r="C324" s="34"/>
      <c r="D324" s="34"/>
      <c r="E324" s="34"/>
      <c r="F324" s="34"/>
    </row>
    <row r="325" ht="24" customHeight="1" hidden="1" spans="1:6" x14ac:dyDescent="0.25" outlineLevel="1" collapsed="1">
      <c r="A325" s="12" t="s">
        <v>798</v>
      </c>
      <c r="B325" s="12"/>
      <c r="C325" s="12"/>
      <c r="D325" s="12"/>
      <c r="E325" s="12"/>
      <c r="F325" s="12"/>
    </row>
    <row r="326" ht="24" customHeight="1" hidden="1" spans="1:6" x14ac:dyDescent="0.25" outlineLevel="1" collapsed="1">
      <c r="A326" s="12" t="s">
        <v>799</v>
      </c>
      <c r="B326" s="12"/>
      <c r="C326" s="12"/>
      <c r="D326" s="12"/>
      <c r="E326" s="12"/>
      <c r="F326" s="12"/>
    </row>
    <row r="327" ht="24" customHeight="1" hidden="1" spans="1:6" x14ac:dyDescent="0.25" outlineLevel="1" collapsed="1">
      <c r="A327" s="12" t="s">
        <v>732</v>
      </c>
      <c r="B327" s="12"/>
      <c r="C327" s="12"/>
      <c r="D327" s="12"/>
      <c r="E327" s="12"/>
      <c r="F327" s="12"/>
    </row>
    <row r="328" ht="6" customHeight="1" hidden="1" x14ac:dyDescent="0.25" outlineLevel="1" collapsed="1"/>
    <row r="329" ht="22" customHeight="1" spans="1:6" x14ac:dyDescent="0.25">
      <c r="A329" s="25" t="s">
        <v>780</v>
      </c>
      <c r="B329" s="25"/>
      <c r="C329" s="25"/>
      <c r="D329" s="25"/>
      <c r="E329" s="25"/>
      <c r="F329" s="25"/>
    </row>
    <row r="330" ht="20" customHeight="1" hidden="1" spans="1:6" x14ac:dyDescent="0.25" outlineLevel="1" collapsed="1">
      <c r="A330" s="26" t="s">
        <v>460</v>
      </c>
      <c r="B330" s="26" t="s">
        <v>461</v>
      </c>
      <c r="C330" s="26" t="s">
        <v>462</v>
      </c>
      <c r="D330" s="26" t="s">
        <v>32</v>
      </c>
      <c r="E330" s="26" t="s">
        <v>463</v>
      </c>
      <c r="F330" s="26" t="s">
        <v>464</v>
      </c>
    </row>
    <row r="331" ht="21" customHeight="1" hidden="1" spans="1:6" x14ac:dyDescent="0.25" outlineLevel="1" collapsed="1">
      <c r="A331" s="27">
        <v>4122</v>
      </c>
      <c r="B331" s="28" t="s">
        <v>36</v>
      </c>
      <c r="C331" s="27" t="s">
        <v>745</v>
      </c>
      <c r="D331" s="29" t="s">
        <v>32</v>
      </c>
      <c r="E331" s="28" t="s">
        <v>518</v>
      </c>
      <c r="F331" s="28" t="s">
        <v>32</v>
      </c>
    </row>
    <row r="332" ht="21" customHeight="1" hidden="1" spans="1:6" x14ac:dyDescent="0.25" outlineLevel="1" collapsed="1">
      <c r="A332" s="27">
        <v>4124</v>
      </c>
      <c r="B332" s="28" t="s">
        <v>739</v>
      </c>
      <c r="C332" s="27" t="s">
        <v>758</v>
      </c>
      <c r="D332" s="29" t="s">
        <v>32</v>
      </c>
      <c r="E332" s="28" t="s">
        <v>506</v>
      </c>
      <c r="F332" s="28" t="s">
        <v>32</v>
      </c>
    </row>
    <row r="333" ht="22" customHeight="1" hidden="1" spans="1:6" x14ac:dyDescent="0.25" outlineLevel="1" collapsed="1">
      <c r="A333" s="34" t="s">
        <v>495</v>
      </c>
      <c r="B333" s="34"/>
      <c r="C333" s="34"/>
      <c r="D333" s="34"/>
      <c r="E333" s="34"/>
      <c r="F333" s="34"/>
    </row>
    <row r="334" ht="24" customHeight="1" hidden="1" spans="1:6" x14ac:dyDescent="0.25" outlineLevel="1" collapsed="1">
      <c r="A334" s="12" t="s">
        <v>801</v>
      </c>
      <c r="B334" s="12"/>
      <c r="C334" s="12"/>
      <c r="D334" s="12"/>
      <c r="E334" s="12"/>
      <c r="F334" s="12"/>
    </row>
    <row r="335" ht="24" customHeight="1" hidden="1" spans="1:6" x14ac:dyDescent="0.25" outlineLevel="1" collapsed="1">
      <c r="A335" s="12" t="s">
        <v>802</v>
      </c>
      <c r="B335" s="12"/>
      <c r="C335" s="12"/>
      <c r="D335" s="12"/>
      <c r="E335" s="12"/>
      <c r="F335" s="12"/>
    </row>
    <row r="336" ht="24" customHeight="1" hidden="1" spans="1:6" x14ac:dyDescent="0.25" outlineLevel="1" collapsed="1">
      <c r="A336" s="12" t="s">
        <v>732</v>
      </c>
      <c r="B336" s="12"/>
      <c r="C336" s="12"/>
      <c r="D336" s="12"/>
      <c r="E336" s="12"/>
      <c r="F336" s="12"/>
    </row>
    <row r="337" ht="6" customHeight="1" hidden="1" x14ac:dyDescent="0.25" outlineLevel="1" collapsed="1"/>
    <row r="338" ht="22" customHeight="1" spans="1:6" x14ac:dyDescent="0.25">
      <c r="A338" s="25" t="s">
        <v>783</v>
      </c>
      <c r="B338" s="25"/>
      <c r="C338" s="25"/>
      <c r="D338" s="25"/>
      <c r="E338" s="25"/>
      <c r="F338" s="25"/>
    </row>
    <row r="339" ht="20" customHeight="1" hidden="1" spans="1:6" x14ac:dyDescent="0.25" outlineLevel="1" collapsed="1">
      <c r="A339" s="26" t="s">
        <v>460</v>
      </c>
      <c r="B339" s="26" t="s">
        <v>461</v>
      </c>
      <c r="C339" s="26" t="s">
        <v>462</v>
      </c>
      <c r="D339" s="26" t="s">
        <v>32</v>
      </c>
      <c r="E339" s="26" t="s">
        <v>463</v>
      </c>
      <c r="F339" s="26" t="s">
        <v>464</v>
      </c>
    </row>
    <row r="340" ht="36" customHeight="1" hidden="1" spans="1:6" x14ac:dyDescent="0.25" outlineLevel="1" collapsed="1">
      <c r="A340" s="27">
        <v>4122</v>
      </c>
      <c r="B340" s="28" t="s">
        <v>36</v>
      </c>
      <c r="C340" s="27" t="s">
        <v>745</v>
      </c>
      <c r="D340" s="29" t="s">
        <v>32</v>
      </c>
      <c r="E340" s="36" t="s">
        <v>668</v>
      </c>
      <c r="F340" s="28" t="s">
        <v>32</v>
      </c>
    </row>
    <row r="341" ht="36" customHeight="1" hidden="1" spans="1:6" x14ac:dyDescent="0.25" outlineLevel="1" collapsed="1">
      <c r="A341" s="27">
        <v>4124</v>
      </c>
      <c r="B341" s="28" t="s">
        <v>739</v>
      </c>
      <c r="C341" s="27" t="s">
        <v>758</v>
      </c>
      <c r="D341" s="29" t="s">
        <v>32</v>
      </c>
      <c r="E341" s="36" t="s">
        <v>668</v>
      </c>
      <c r="F341" s="28" t="s">
        <v>32</v>
      </c>
    </row>
    <row r="342" ht="22" customHeight="1" hidden="1" spans="1:6" x14ac:dyDescent="0.25" outlineLevel="1" collapsed="1">
      <c r="A342" s="34" t="s">
        <v>495</v>
      </c>
      <c r="B342" s="34"/>
      <c r="C342" s="34"/>
      <c r="D342" s="34"/>
      <c r="E342" s="34"/>
      <c r="F342" s="34"/>
    </row>
    <row r="343" ht="24" customHeight="1" hidden="1" spans="1:6" x14ac:dyDescent="0.25" outlineLevel="1" collapsed="1">
      <c r="A343" s="12" t="s">
        <v>798</v>
      </c>
      <c r="B343" s="12"/>
      <c r="C343" s="12"/>
      <c r="D343" s="12"/>
      <c r="E343" s="12"/>
      <c r="F343" s="12"/>
    </row>
    <row r="344" ht="24" customHeight="1" hidden="1" spans="1:6" x14ac:dyDescent="0.25" outlineLevel="1" collapsed="1">
      <c r="A344" s="12" t="s">
        <v>799</v>
      </c>
      <c r="B344" s="12"/>
      <c r="C344" s="12"/>
      <c r="D344" s="12"/>
      <c r="E344" s="12"/>
      <c r="F344" s="12"/>
    </row>
    <row r="345" ht="24" customHeight="1" hidden="1" spans="1:6" x14ac:dyDescent="0.25" outlineLevel="1" collapsed="1">
      <c r="A345" s="12" t="s">
        <v>732</v>
      </c>
      <c r="B345" s="12"/>
      <c r="C345" s="12"/>
      <c r="D345" s="12"/>
      <c r="E345" s="12"/>
      <c r="F345" s="12"/>
    </row>
    <row r="346" ht="6" customHeight="1" hidden="1" x14ac:dyDescent="0.25" outlineLevel="1" collapsed="1"/>
    <row r="347" ht="12" customHeight="1" x14ac:dyDescent="0.25"/>
    <row r="348" ht="24" customHeight="1" spans="1:6" x14ac:dyDescent="0.25">
      <c r="A348" s="24" t="s">
        <v>672</v>
      </c>
      <c r="B348" s="24"/>
      <c r="C348" s="24"/>
      <c r="D348" s="24"/>
      <c r="E348" s="24"/>
      <c r="F348" s="24"/>
    </row>
    <row r="349" ht="22" customHeight="1" spans="1:6" x14ac:dyDescent="0.25">
      <c r="A349" s="25" t="s">
        <v>722</v>
      </c>
      <c r="B349" s="25"/>
      <c r="C349" s="25"/>
      <c r="D349" s="25"/>
      <c r="E349" s="25"/>
      <c r="F349" s="25"/>
    </row>
    <row r="350" ht="20" customHeight="1" hidden="1" spans="1:6" x14ac:dyDescent="0.25" outlineLevel="1" collapsed="1">
      <c r="A350" s="26" t="s">
        <v>460</v>
      </c>
      <c r="B350" s="26" t="s">
        <v>461</v>
      </c>
      <c r="C350" s="26" t="s">
        <v>462</v>
      </c>
      <c r="D350" s="26" t="s">
        <v>32</v>
      </c>
      <c r="E350" s="26" t="s">
        <v>463</v>
      </c>
      <c r="F350" s="26" t="s">
        <v>464</v>
      </c>
    </row>
    <row r="351" ht="20" customHeight="1" hidden="1" spans="1:6" x14ac:dyDescent="0.25" outlineLevel="1" collapsed="1">
      <c r="A351" s="27">
        <v>4122</v>
      </c>
      <c r="B351" s="28" t="s">
        <v>723</v>
      </c>
      <c r="C351" s="27" t="s">
        <v>466</v>
      </c>
      <c r="D351" s="37" t="s">
        <v>32</v>
      </c>
      <c r="E351" s="38" t="s">
        <v>673</v>
      </c>
      <c r="F351" s="28" t="s">
        <v>32</v>
      </c>
    </row>
    <row r="352" ht="20" customHeight="1" hidden="1" spans="1:6" x14ac:dyDescent="0.25" outlineLevel="1" collapsed="1">
      <c r="A352" s="27">
        <v>4124</v>
      </c>
      <c r="B352" s="28" t="s">
        <v>727</v>
      </c>
      <c r="C352" s="27" t="s">
        <v>472</v>
      </c>
      <c r="D352" s="37" t="s">
        <v>32</v>
      </c>
      <c r="E352" s="38" t="s">
        <v>673</v>
      </c>
      <c r="F352" s="28" t="s">
        <v>32</v>
      </c>
    </row>
    <row r="353" ht="22" customHeight="1" hidden="1" spans="1:6" x14ac:dyDescent="0.25" outlineLevel="1" collapsed="1">
      <c r="A353" s="34" t="s">
        <v>495</v>
      </c>
      <c r="B353" s="34"/>
      <c r="C353" s="34"/>
      <c r="D353" s="34"/>
      <c r="E353" s="34"/>
      <c r="F353" s="34"/>
    </row>
    <row r="354" ht="6" customHeight="1" hidden="1" x14ac:dyDescent="0.25" outlineLevel="1" collapsed="1"/>
    <row r="355" ht="22" customHeight="1" spans="1:6" x14ac:dyDescent="0.25">
      <c r="A355" s="25" t="s">
        <v>733</v>
      </c>
      <c r="B355" s="25"/>
      <c r="C355" s="25"/>
      <c r="D355" s="25"/>
      <c r="E355" s="25"/>
      <c r="F355" s="25"/>
    </row>
    <row r="356" ht="20" customHeight="1" hidden="1" spans="1:6" x14ac:dyDescent="0.25" outlineLevel="1" collapsed="1">
      <c r="A356" s="26" t="s">
        <v>460</v>
      </c>
      <c r="B356" s="26" t="s">
        <v>461</v>
      </c>
      <c r="C356" s="26" t="s">
        <v>462</v>
      </c>
      <c r="D356" s="26" t="s">
        <v>32</v>
      </c>
      <c r="E356" s="26" t="s">
        <v>463</v>
      </c>
      <c r="F356" s="26" t="s">
        <v>464</v>
      </c>
    </row>
    <row r="357" ht="20" customHeight="1" hidden="1" spans="1:6" x14ac:dyDescent="0.25" outlineLevel="1" collapsed="1">
      <c r="A357" s="27">
        <v>4122</v>
      </c>
      <c r="B357" s="28" t="s">
        <v>734</v>
      </c>
      <c r="C357" s="27" t="s">
        <v>472</v>
      </c>
      <c r="D357" s="37" t="s">
        <v>32</v>
      </c>
      <c r="E357" s="38" t="s">
        <v>673</v>
      </c>
      <c r="F357" s="28" t="s">
        <v>32</v>
      </c>
    </row>
    <row r="358" ht="20" customHeight="1" hidden="1" spans="1:6" x14ac:dyDescent="0.25" outlineLevel="1" collapsed="1">
      <c r="A358" s="27">
        <v>4124</v>
      </c>
      <c r="B358" s="28" t="s">
        <v>735</v>
      </c>
      <c r="C358" s="27" t="s">
        <v>466</v>
      </c>
      <c r="D358" s="37" t="s">
        <v>32</v>
      </c>
      <c r="E358" s="38" t="s">
        <v>673</v>
      </c>
      <c r="F358" s="28" t="s">
        <v>32</v>
      </c>
    </row>
    <row r="359" ht="22" customHeight="1" hidden="1" spans="1:6" x14ac:dyDescent="0.25" outlineLevel="1" collapsed="1">
      <c r="A359" s="34" t="s">
        <v>495</v>
      </c>
      <c r="B359" s="34"/>
      <c r="C359" s="34"/>
      <c r="D359" s="34"/>
      <c r="E359" s="34"/>
      <c r="F359" s="34"/>
    </row>
    <row r="360" ht="6" customHeight="1" hidden="1" x14ac:dyDescent="0.25" outlineLevel="1" collapsed="1"/>
    <row r="361" ht="22" customHeight="1" spans="1:6" x14ac:dyDescent="0.25">
      <c r="A361" s="25" t="s">
        <v>738</v>
      </c>
      <c r="B361" s="25"/>
      <c r="C361" s="25"/>
      <c r="D361" s="25"/>
      <c r="E361" s="25"/>
      <c r="F361" s="25"/>
    </row>
    <row r="362" ht="20" customHeight="1" hidden="1" spans="1:6" x14ac:dyDescent="0.25" outlineLevel="1" collapsed="1">
      <c r="A362" s="26" t="s">
        <v>460</v>
      </c>
      <c r="B362" s="26" t="s">
        <v>461</v>
      </c>
      <c r="C362" s="26" t="s">
        <v>462</v>
      </c>
      <c r="D362" s="26" t="s">
        <v>32</v>
      </c>
      <c r="E362" s="26" t="s">
        <v>463</v>
      </c>
      <c r="F362" s="26" t="s">
        <v>464</v>
      </c>
    </row>
    <row r="363" ht="20" customHeight="1" hidden="1" spans="1:6" x14ac:dyDescent="0.25" outlineLevel="1" collapsed="1">
      <c r="A363" s="27">
        <v>4122</v>
      </c>
      <c r="B363" s="28" t="s">
        <v>734</v>
      </c>
      <c r="C363" s="27" t="s">
        <v>472</v>
      </c>
      <c r="D363" s="37" t="s">
        <v>32</v>
      </c>
      <c r="E363" s="38" t="s">
        <v>673</v>
      </c>
      <c r="F363" s="28" t="s">
        <v>32</v>
      </c>
    </row>
    <row r="364" ht="20" customHeight="1" hidden="1" spans="1:6" x14ac:dyDescent="0.25" outlineLevel="1" collapsed="1">
      <c r="A364" s="27">
        <v>4124</v>
      </c>
      <c r="B364" s="28" t="s">
        <v>739</v>
      </c>
      <c r="C364" s="27" t="s">
        <v>466</v>
      </c>
      <c r="D364" s="37" t="s">
        <v>32</v>
      </c>
      <c r="E364" s="38" t="s">
        <v>673</v>
      </c>
      <c r="F364" s="28" t="s">
        <v>32</v>
      </c>
    </row>
    <row r="365" ht="22" customHeight="1" hidden="1" spans="1:6" x14ac:dyDescent="0.25" outlineLevel="1" collapsed="1">
      <c r="A365" s="34" t="s">
        <v>495</v>
      </c>
      <c r="B365" s="34"/>
      <c r="C365" s="34"/>
      <c r="D365" s="34"/>
      <c r="E365" s="34"/>
      <c r="F365" s="34"/>
    </row>
    <row r="366" ht="6" customHeight="1" hidden="1" x14ac:dyDescent="0.25" outlineLevel="1" collapsed="1"/>
    <row r="367" ht="22" customHeight="1" spans="1:6" x14ac:dyDescent="0.25">
      <c r="A367" s="25" t="s">
        <v>743</v>
      </c>
      <c r="B367" s="25"/>
      <c r="C367" s="25"/>
      <c r="D367" s="25"/>
      <c r="E367" s="25"/>
      <c r="F367" s="25"/>
    </row>
    <row r="368" ht="20" customHeight="1" hidden="1" spans="1:6" x14ac:dyDescent="0.25" outlineLevel="1" collapsed="1">
      <c r="A368" s="26" t="s">
        <v>460</v>
      </c>
      <c r="B368" s="26" t="s">
        <v>461</v>
      </c>
      <c r="C368" s="26" t="s">
        <v>462</v>
      </c>
      <c r="D368" s="26" t="s">
        <v>32</v>
      </c>
      <c r="E368" s="26" t="s">
        <v>463</v>
      </c>
      <c r="F368" s="26" t="s">
        <v>464</v>
      </c>
    </row>
    <row r="369" ht="20" customHeight="1" hidden="1" spans="1:6" x14ac:dyDescent="0.25" outlineLevel="1" collapsed="1">
      <c r="A369" s="27">
        <v>4122</v>
      </c>
      <c r="B369" s="28" t="s">
        <v>744</v>
      </c>
      <c r="C369" s="27" t="s">
        <v>745</v>
      </c>
      <c r="D369" s="37" t="s">
        <v>32</v>
      </c>
      <c r="E369" s="38" t="s">
        <v>673</v>
      </c>
      <c r="F369" s="28" t="s">
        <v>32</v>
      </c>
    </row>
    <row r="370" ht="22" customHeight="1" hidden="1" spans="1:6" x14ac:dyDescent="0.25" outlineLevel="1" collapsed="1">
      <c r="A370" s="34" t="s">
        <v>495</v>
      </c>
      <c r="B370" s="34"/>
      <c r="C370" s="34"/>
      <c r="D370" s="34"/>
      <c r="E370" s="34"/>
      <c r="F370" s="34"/>
    </row>
    <row r="371" ht="6" customHeight="1" hidden="1" x14ac:dyDescent="0.25" outlineLevel="1" collapsed="1"/>
    <row r="372" ht="22" customHeight="1" spans="1:6" x14ac:dyDescent="0.25">
      <c r="A372" s="25" t="s">
        <v>747</v>
      </c>
      <c r="B372" s="25"/>
      <c r="C372" s="25"/>
      <c r="D372" s="25"/>
      <c r="E372" s="25"/>
      <c r="F372" s="25"/>
    </row>
    <row r="373" ht="20" customHeight="1" hidden="1" spans="1:6" x14ac:dyDescent="0.25" outlineLevel="1" collapsed="1">
      <c r="A373" s="26" t="s">
        <v>460</v>
      </c>
      <c r="B373" s="26" t="s">
        <v>461</v>
      </c>
      <c r="C373" s="26" t="s">
        <v>462</v>
      </c>
      <c r="D373" s="26" t="s">
        <v>32</v>
      </c>
      <c r="E373" s="26" t="s">
        <v>463</v>
      </c>
      <c r="F373" s="26" t="s">
        <v>464</v>
      </c>
    </row>
    <row r="374" ht="20" customHeight="1" hidden="1" spans="1:6" x14ac:dyDescent="0.25" outlineLevel="1" collapsed="1">
      <c r="A374" s="27">
        <v>4134</v>
      </c>
      <c r="B374" s="28" t="s">
        <v>748</v>
      </c>
      <c r="C374" s="27" t="s">
        <v>466</v>
      </c>
      <c r="D374" s="37" t="s">
        <v>32</v>
      </c>
      <c r="E374" s="38" t="s">
        <v>673</v>
      </c>
      <c r="F374" s="28" t="s">
        <v>32</v>
      </c>
    </row>
    <row r="375" ht="20" customHeight="1" hidden="1" spans="1:6" x14ac:dyDescent="0.25" outlineLevel="1" collapsed="1">
      <c r="A375" s="27">
        <v>4136</v>
      </c>
      <c r="B375" s="28" t="s">
        <v>750</v>
      </c>
      <c r="C375" s="27" t="s">
        <v>472</v>
      </c>
      <c r="D375" s="37" t="s">
        <v>32</v>
      </c>
      <c r="E375" s="38" t="s">
        <v>673</v>
      </c>
      <c r="F375" s="28" t="s">
        <v>32</v>
      </c>
    </row>
    <row r="376" ht="22" customHeight="1" hidden="1" spans="1:6" x14ac:dyDescent="0.25" outlineLevel="1" collapsed="1">
      <c r="A376" s="34" t="s">
        <v>495</v>
      </c>
      <c r="B376" s="34"/>
      <c r="C376" s="34"/>
      <c r="D376" s="34"/>
      <c r="E376" s="34"/>
      <c r="F376" s="34"/>
    </row>
    <row r="377" ht="6" customHeight="1" hidden="1" x14ac:dyDescent="0.25" outlineLevel="1" collapsed="1"/>
    <row r="378" ht="22" customHeight="1" spans="1:6" x14ac:dyDescent="0.25">
      <c r="A378" s="25" t="s">
        <v>755</v>
      </c>
      <c r="B378" s="25"/>
      <c r="C378" s="25"/>
      <c r="D378" s="25"/>
      <c r="E378" s="25"/>
      <c r="F378" s="25"/>
    </row>
    <row r="379" ht="20" customHeight="1" hidden="1" spans="1:6" x14ac:dyDescent="0.25" outlineLevel="1" collapsed="1">
      <c r="A379" s="26" t="s">
        <v>460</v>
      </c>
      <c r="B379" s="26" t="s">
        <v>461</v>
      </c>
      <c r="C379" s="26" t="s">
        <v>462</v>
      </c>
      <c r="D379" s="26" t="s">
        <v>32</v>
      </c>
      <c r="E379" s="26" t="s">
        <v>463</v>
      </c>
      <c r="F379" s="26" t="s">
        <v>464</v>
      </c>
    </row>
    <row r="380" ht="20" customHeight="1" hidden="1" spans="1:6" x14ac:dyDescent="0.25" outlineLevel="1" collapsed="1">
      <c r="A380" s="27">
        <v>4152</v>
      </c>
      <c r="B380" s="28" t="s">
        <v>756</v>
      </c>
      <c r="C380" s="27" t="s">
        <v>745</v>
      </c>
      <c r="D380" s="37" t="s">
        <v>32</v>
      </c>
      <c r="E380" s="38" t="s">
        <v>673</v>
      </c>
      <c r="F380" s="28" t="s">
        <v>32</v>
      </c>
    </row>
    <row r="381" ht="20" customHeight="1" hidden="1" spans="1:6" x14ac:dyDescent="0.25" outlineLevel="1" collapsed="1">
      <c r="A381" s="27">
        <v>4154</v>
      </c>
      <c r="B381" s="28" t="s">
        <v>739</v>
      </c>
      <c r="C381" s="27" t="s">
        <v>758</v>
      </c>
      <c r="D381" s="37" t="s">
        <v>32</v>
      </c>
      <c r="E381" s="38" t="s">
        <v>673</v>
      </c>
      <c r="F381" s="28" t="s">
        <v>32</v>
      </c>
    </row>
    <row r="382" ht="20" customHeight="1" hidden="1" spans="1:6" x14ac:dyDescent="0.25" outlineLevel="1" collapsed="1">
      <c r="A382" s="27">
        <v>4126</v>
      </c>
      <c r="B382" s="28" t="s">
        <v>760</v>
      </c>
      <c r="C382" s="27" t="s">
        <v>761</v>
      </c>
      <c r="D382" s="37" t="s">
        <v>32</v>
      </c>
      <c r="E382" s="38" t="s">
        <v>673</v>
      </c>
      <c r="F382" s="28" t="s">
        <v>32</v>
      </c>
    </row>
    <row r="383" ht="20" customHeight="1" hidden="1" spans="1:6" x14ac:dyDescent="0.25" outlineLevel="1" collapsed="1">
      <c r="A383" s="27">
        <v>4128</v>
      </c>
      <c r="B383" s="28" t="s">
        <v>762</v>
      </c>
      <c r="C383" s="27" t="s">
        <v>761</v>
      </c>
      <c r="D383" s="37" t="s">
        <v>32</v>
      </c>
      <c r="E383" s="38" t="s">
        <v>673</v>
      </c>
      <c r="F383" s="28" t="s">
        <v>32</v>
      </c>
    </row>
    <row r="384" ht="22" customHeight="1" hidden="1" spans="1:6" x14ac:dyDescent="0.25" outlineLevel="1" collapsed="1">
      <c r="A384" s="34" t="s">
        <v>495</v>
      </c>
      <c r="B384" s="34"/>
      <c r="C384" s="34"/>
      <c r="D384" s="34"/>
      <c r="E384" s="34"/>
      <c r="F384" s="34"/>
    </row>
    <row r="385" ht="6" customHeight="1" hidden="1" x14ac:dyDescent="0.25" outlineLevel="1" collapsed="1"/>
    <row r="386" ht="22" customHeight="1" spans="1:6" x14ac:dyDescent="0.25">
      <c r="A386" s="25" t="s">
        <v>769</v>
      </c>
      <c r="B386" s="25"/>
      <c r="C386" s="25"/>
      <c r="D386" s="25"/>
      <c r="E386" s="25"/>
      <c r="F386" s="25"/>
    </row>
    <row r="387" ht="20" customHeight="1" hidden="1" spans="1:6" x14ac:dyDescent="0.25" outlineLevel="1" collapsed="1">
      <c r="A387" s="26" t="s">
        <v>460</v>
      </c>
      <c r="B387" s="26" t="s">
        <v>461</v>
      </c>
      <c r="C387" s="26" t="s">
        <v>462</v>
      </c>
      <c r="D387" s="26" t="s">
        <v>32</v>
      </c>
      <c r="E387" s="26" t="s">
        <v>463</v>
      </c>
      <c r="F387" s="26" t="s">
        <v>464</v>
      </c>
    </row>
    <row r="388" ht="20" customHeight="1" hidden="1" spans="1:6" x14ac:dyDescent="0.25" outlineLevel="1" collapsed="1">
      <c r="A388" s="27">
        <v>4122</v>
      </c>
      <c r="B388" s="28" t="s">
        <v>36</v>
      </c>
      <c r="C388" s="27" t="s">
        <v>745</v>
      </c>
      <c r="D388" s="37" t="s">
        <v>32</v>
      </c>
      <c r="E388" s="38" t="s">
        <v>673</v>
      </c>
      <c r="F388" s="28" t="s">
        <v>32</v>
      </c>
    </row>
    <row r="389" ht="20" customHeight="1" hidden="1" spans="1:6" x14ac:dyDescent="0.25" outlineLevel="1" collapsed="1">
      <c r="A389" s="27">
        <v>4124</v>
      </c>
      <c r="B389" s="28" t="s">
        <v>739</v>
      </c>
      <c r="C389" s="27" t="s">
        <v>758</v>
      </c>
      <c r="D389" s="37" t="s">
        <v>32</v>
      </c>
      <c r="E389" s="38" t="s">
        <v>673</v>
      </c>
      <c r="F389" s="28" t="s">
        <v>32</v>
      </c>
    </row>
    <row r="390" ht="22" customHeight="1" hidden="1" spans="1:6" x14ac:dyDescent="0.25" outlineLevel="1" collapsed="1">
      <c r="A390" s="34" t="s">
        <v>495</v>
      </c>
      <c r="B390" s="34"/>
      <c r="C390" s="34"/>
      <c r="D390" s="34"/>
      <c r="E390" s="34"/>
      <c r="F390" s="34"/>
    </row>
    <row r="391" ht="6" customHeight="1" hidden="1" x14ac:dyDescent="0.25" outlineLevel="1" collapsed="1"/>
    <row r="392" ht="22" customHeight="1" spans="1:6" x14ac:dyDescent="0.25">
      <c r="A392" s="25" t="s">
        <v>772</v>
      </c>
      <c r="B392" s="25"/>
      <c r="C392" s="25"/>
      <c r="D392" s="25"/>
      <c r="E392" s="25"/>
      <c r="F392" s="25"/>
    </row>
    <row r="393" ht="20" customHeight="1" hidden="1" spans="1:6" x14ac:dyDescent="0.25" outlineLevel="1" collapsed="1">
      <c r="A393" s="26" t="s">
        <v>460</v>
      </c>
      <c r="B393" s="26" t="s">
        <v>461</v>
      </c>
      <c r="C393" s="26" t="s">
        <v>462</v>
      </c>
      <c r="D393" s="26" t="s">
        <v>32</v>
      </c>
      <c r="E393" s="26" t="s">
        <v>463</v>
      </c>
      <c r="F393" s="26" t="s">
        <v>464</v>
      </c>
    </row>
    <row r="394" ht="20" customHeight="1" hidden="1" spans="1:6" x14ac:dyDescent="0.25" outlineLevel="1" collapsed="1">
      <c r="A394" s="27">
        <v>4122</v>
      </c>
      <c r="B394" s="28" t="s">
        <v>36</v>
      </c>
      <c r="C394" s="27" t="s">
        <v>745</v>
      </c>
      <c r="D394" s="37" t="s">
        <v>32</v>
      </c>
      <c r="E394" s="38" t="s">
        <v>673</v>
      </c>
      <c r="F394" s="28" t="s">
        <v>32</v>
      </c>
    </row>
    <row r="395" ht="20" customHeight="1" hidden="1" spans="1:6" x14ac:dyDescent="0.25" outlineLevel="1" collapsed="1">
      <c r="A395" s="27">
        <v>4124</v>
      </c>
      <c r="B395" s="28" t="s">
        <v>739</v>
      </c>
      <c r="C395" s="27" t="s">
        <v>758</v>
      </c>
      <c r="D395" s="37" t="s">
        <v>32</v>
      </c>
      <c r="E395" s="38" t="s">
        <v>673</v>
      </c>
      <c r="F395" s="28" t="s">
        <v>32</v>
      </c>
    </row>
    <row r="396" ht="22" customHeight="1" hidden="1" spans="1:6" x14ac:dyDescent="0.25" outlineLevel="1" collapsed="1">
      <c r="A396" s="34" t="s">
        <v>495</v>
      </c>
      <c r="B396" s="34"/>
      <c r="C396" s="34"/>
      <c r="D396" s="34"/>
      <c r="E396" s="34"/>
      <c r="F396" s="34"/>
    </row>
    <row r="397" ht="6" customHeight="1" hidden="1" x14ac:dyDescent="0.25" outlineLevel="1" collapsed="1"/>
    <row r="398" ht="22" customHeight="1" spans="1:6" x14ac:dyDescent="0.25">
      <c r="A398" s="25" t="s">
        <v>773</v>
      </c>
      <c r="B398" s="25"/>
      <c r="C398" s="25"/>
      <c r="D398" s="25"/>
      <c r="E398" s="25"/>
      <c r="F398" s="25"/>
    </row>
    <row r="399" ht="20" customHeight="1" hidden="1" spans="1:6" x14ac:dyDescent="0.25" outlineLevel="1" collapsed="1">
      <c r="A399" s="26" t="s">
        <v>460</v>
      </c>
      <c r="B399" s="26" t="s">
        <v>461</v>
      </c>
      <c r="C399" s="26" t="s">
        <v>462</v>
      </c>
      <c r="D399" s="26" t="s">
        <v>32</v>
      </c>
      <c r="E399" s="26" t="s">
        <v>463</v>
      </c>
      <c r="F399" s="26" t="s">
        <v>464</v>
      </c>
    </row>
    <row r="400" ht="20" customHeight="1" hidden="1" spans="1:6" x14ac:dyDescent="0.25" outlineLevel="1" collapsed="1">
      <c r="A400" s="27">
        <v>4122</v>
      </c>
      <c r="B400" s="28" t="s">
        <v>36</v>
      </c>
      <c r="C400" s="27" t="s">
        <v>745</v>
      </c>
      <c r="D400" s="37" t="s">
        <v>32</v>
      </c>
      <c r="E400" s="38" t="s">
        <v>673</v>
      </c>
      <c r="F400" s="28" t="s">
        <v>32</v>
      </c>
    </row>
    <row r="401" ht="20" customHeight="1" hidden="1" spans="1:6" x14ac:dyDescent="0.25" outlineLevel="1" collapsed="1">
      <c r="A401" s="27">
        <v>4124</v>
      </c>
      <c r="B401" s="28" t="s">
        <v>739</v>
      </c>
      <c r="C401" s="27" t="s">
        <v>758</v>
      </c>
      <c r="D401" s="37" t="s">
        <v>32</v>
      </c>
      <c r="E401" s="38" t="s">
        <v>673</v>
      </c>
      <c r="F401" s="28" t="s">
        <v>32</v>
      </c>
    </row>
    <row r="402" ht="22" customHeight="1" hidden="1" spans="1:6" x14ac:dyDescent="0.25" outlineLevel="1" collapsed="1">
      <c r="A402" s="34" t="s">
        <v>495</v>
      </c>
      <c r="B402" s="34"/>
      <c r="C402" s="34"/>
      <c r="D402" s="34"/>
      <c r="E402" s="34"/>
      <c r="F402" s="34"/>
    </row>
    <row r="403" ht="6" customHeight="1" hidden="1" x14ac:dyDescent="0.25" outlineLevel="1" collapsed="1"/>
    <row r="404" ht="22" customHeight="1" spans="1:6" x14ac:dyDescent="0.25">
      <c r="A404" s="25" t="s">
        <v>779</v>
      </c>
      <c r="B404" s="25"/>
      <c r="C404" s="25"/>
      <c r="D404" s="25"/>
      <c r="E404" s="25"/>
      <c r="F404" s="25"/>
    </row>
    <row r="405" ht="20" customHeight="1" hidden="1" spans="1:6" x14ac:dyDescent="0.25" outlineLevel="1" collapsed="1">
      <c r="A405" s="26" t="s">
        <v>460</v>
      </c>
      <c r="B405" s="26" t="s">
        <v>461</v>
      </c>
      <c r="C405" s="26" t="s">
        <v>462</v>
      </c>
      <c r="D405" s="26" t="s">
        <v>32</v>
      </c>
      <c r="E405" s="26" t="s">
        <v>463</v>
      </c>
      <c r="F405" s="26" t="s">
        <v>464</v>
      </c>
    </row>
    <row r="406" ht="20" customHeight="1" hidden="1" spans="1:6" x14ac:dyDescent="0.25" outlineLevel="1" collapsed="1">
      <c r="A406" s="27">
        <v>4122</v>
      </c>
      <c r="B406" s="28" t="s">
        <v>36</v>
      </c>
      <c r="C406" s="27" t="s">
        <v>745</v>
      </c>
      <c r="D406" s="37" t="s">
        <v>32</v>
      </c>
      <c r="E406" s="38" t="s">
        <v>673</v>
      </c>
      <c r="F406" s="28" t="s">
        <v>32</v>
      </c>
    </row>
    <row r="407" ht="20" customHeight="1" hidden="1" spans="1:6" x14ac:dyDescent="0.25" outlineLevel="1" collapsed="1">
      <c r="A407" s="27">
        <v>4124</v>
      </c>
      <c r="B407" s="28" t="s">
        <v>739</v>
      </c>
      <c r="C407" s="27" t="s">
        <v>758</v>
      </c>
      <c r="D407" s="37" t="s">
        <v>32</v>
      </c>
      <c r="E407" s="38" t="s">
        <v>673</v>
      </c>
      <c r="F407" s="28" t="s">
        <v>32</v>
      </c>
    </row>
    <row r="408" ht="22" customHeight="1" hidden="1" spans="1:6" x14ac:dyDescent="0.25" outlineLevel="1" collapsed="1">
      <c r="A408" s="34" t="s">
        <v>495</v>
      </c>
      <c r="B408" s="34"/>
      <c r="C408" s="34"/>
      <c r="D408" s="34"/>
      <c r="E408" s="34"/>
      <c r="F408" s="34"/>
    </row>
    <row r="409" ht="6" customHeight="1" hidden="1" x14ac:dyDescent="0.25" outlineLevel="1" collapsed="1"/>
    <row r="410" ht="22" customHeight="1" spans="1:6" x14ac:dyDescent="0.25">
      <c r="A410" s="25" t="s">
        <v>780</v>
      </c>
      <c r="B410" s="25"/>
      <c r="C410" s="25"/>
      <c r="D410" s="25"/>
      <c r="E410" s="25"/>
      <c r="F410" s="25"/>
    </row>
    <row r="411" ht="20" customHeight="1" hidden="1" spans="1:6" x14ac:dyDescent="0.25" outlineLevel="1" collapsed="1">
      <c r="A411" s="26" t="s">
        <v>460</v>
      </c>
      <c r="B411" s="26" t="s">
        <v>461</v>
      </c>
      <c r="C411" s="26" t="s">
        <v>462</v>
      </c>
      <c r="D411" s="26" t="s">
        <v>32</v>
      </c>
      <c r="E411" s="26" t="s">
        <v>463</v>
      </c>
      <c r="F411" s="26" t="s">
        <v>464</v>
      </c>
    </row>
    <row r="412" ht="20" customHeight="1" hidden="1" spans="1:6" x14ac:dyDescent="0.25" outlineLevel="1" collapsed="1">
      <c r="A412" s="27">
        <v>4122</v>
      </c>
      <c r="B412" s="28" t="s">
        <v>36</v>
      </c>
      <c r="C412" s="27" t="s">
        <v>745</v>
      </c>
      <c r="D412" s="37" t="s">
        <v>32</v>
      </c>
      <c r="E412" s="38" t="s">
        <v>673</v>
      </c>
      <c r="F412" s="28" t="s">
        <v>32</v>
      </c>
    </row>
    <row r="413" ht="20" customHeight="1" hidden="1" spans="1:6" x14ac:dyDescent="0.25" outlineLevel="1" collapsed="1">
      <c r="A413" s="27">
        <v>4124</v>
      </c>
      <c r="B413" s="28" t="s">
        <v>739</v>
      </c>
      <c r="C413" s="27" t="s">
        <v>758</v>
      </c>
      <c r="D413" s="37" t="s">
        <v>32</v>
      </c>
      <c r="E413" s="38" t="s">
        <v>673</v>
      </c>
      <c r="F413" s="28" t="s">
        <v>32</v>
      </c>
    </row>
    <row r="414" ht="22" customHeight="1" hidden="1" spans="1:6" x14ac:dyDescent="0.25" outlineLevel="1" collapsed="1">
      <c r="A414" s="34" t="s">
        <v>495</v>
      </c>
      <c r="B414" s="34"/>
      <c r="C414" s="34"/>
      <c r="D414" s="34"/>
      <c r="E414" s="34"/>
      <c r="F414" s="34"/>
    </row>
    <row r="415" ht="6" customHeight="1" hidden="1" x14ac:dyDescent="0.25" outlineLevel="1" collapsed="1"/>
    <row r="416" ht="22" customHeight="1" spans="1:6" x14ac:dyDescent="0.25">
      <c r="A416" s="25" t="s">
        <v>783</v>
      </c>
      <c r="B416" s="25"/>
      <c r="C416" s="25"/>
      <c r="D416" s="25"/>
      <c r="E416" s="25"/>
      <c r="F416" s="25"/>
    </row>
    <row r="417" ht="20" customHeight="1" hidden="1" spans="1:6" x14ac:dyDescent="0.25" outlineLevel="1" collapsed="1">
      <c r="A417" s="26" t="s">
        <v>460</v>
      </c>
      <c r="B417" s="26" t="s">
        <v>461</v>
      </c>
      <c r="C417" s="26" t="s">
        <v>462</v>
      </c>
      <c r="D417" s="26" t="s">
        <v>32</v>
      </c>
      <c r="E417" s="26" t="s">
        <v>463</v>
      </c>
      <c r="F417" s="26" t="s">
        <v>464</v>
      </c>
    </row>
    <row r="418" ht="20" customHeight="1" hidden="1" spans="1:6" x14ac:dyDescent="0.25" outlineLevel="1" collapsed="1">
      <c r="A418" s="27">
        <v>4122</v>
      </c>
      <c r="B418" s="28" t="s">
        <v>36</v>
      </c>
      <c r="C418" s="27" t="s">
        <v>745</v>
      </c>
      <c r="D418" s="37" t="s">
        <v>32</v>
      </c>
      <c r="E418" s="38" t="s">
        <v>673</v>
      </c>
      <c r="F418" s="28" t="s">
        <v>32</v>
      </c>
    </row>
    <row r="419" ht="20" customHeight="1" hidden="1" spans="1:6" x14ac:dyDescent="0.25" outlineLevel="1" collapsed="1">
      <c r="A419" s="27">
        <v>4124</v>
      </c>
      <c r="B419" s="28" t="s">
        <v>739</v>
      </c>
      <c r="C419" s="27" t="s">
        <v>758</v>
      </c>
      <c r="D419" s="37" t="s">
        <v>32</v>
      </c>
      <c r="E419" s="38" t="s">
        <v>673</v>
      </c>
      <c r="F419" s="28" t="s">
        <v>32</v>
      </c>
    </row>
    <row r="420" ht="22" customHeight="1" hidden="1" spans="1:6" x14ac:dyDescent="0.25" outlineLevel="1" collapsed="1">
      <c r="A420" s="34" t="s">
        <v>495</v>
      </c>
      <c r="B420" s="34"/>
      <c r="C420" s="34"/>
      <c r="D420" s="34"/>
      <c r="E420" s="34"/>
      <c r="F420" s="34"/>
    </row>
    <row r="421" ht="6" customHeight="1" hidden="1" x14ac:dyDescent="0.25" outlineLevel="1" collapsed="1"/>
    <row r="422" ht="12" customHeight="1" x14ac:dyDescent="0.25"/>
    <row r="423" ht="24" customHeight="1" spans="1:6" x14ac:dyDescent="0.25">
      <c r="A423" s="24" t="s">
        <v>674</v>
      </c>
      <c r="B423" s="24"/>
      <c r="C423" s="24"/>
      <c r="D423" s="24"/>
      <c r="E423" s="24"/>
      <c r="F423" s="24"/>
    </row>
    <row r="424" ht="22" customHeight="1" spans="1:6" x14ac:dyDescent="0.25">
      <c r="A424" s="25" t="s">
        <v>722</v>
      </c>
      <c r="B424" s="25"/>
      <c r="C424" s="25"/>
      <c r="D424" s="25"/>
      <c r="E424" s="25"/>
      <c r="F424" s="25"/>
    </row>
    <row r="425" ht="20" customHeight="1" hidden="1" spans="1:6" x14ac:dyDescent="0.25" outlineLevel="1" collapsed="1">
      <c r="A425" s="26" t="s">
        <v>460</v>
      </c>
      <c r="B425" s="26" t="s">
        <v>461</v>
      </c>
      <c r="C425" s="26" t="s">
        <v>462</v>
      </c>
      <c r="D425" s="26" t="s">
        <v>32</v>
      </c>
      <c r="E425" s="26" t="s">
        <v>463</v>
      </c>
      <c r="F425" s="26" t="s">
        <v>464</v>
      </c>
    </row>
    <row r="426" ht="21" customHeight="1" hidden="1" spans="1:6" x14ac:dyDescent="0.25" outlineLevel="1" collapsed="1">
      <c r="A426" s="27">
        <v>4122</v>
      </c>
      <c r="B426" s="28" t="s">
        <v>723</v>
      </c>
      <c r="C426" s="27" t="s">
        <v>466</v>
      </c>
      <c r="D426" s="29" t="s">
        <v>32</v>
      </c>
      <c r="E426" s="28" t="s">
        <v>676</v>
      </c>
      <c r="F426" s="28" t="s">
        <v>32</v>
      </c>
    </row>
    <row r="427" ht="36" customHeight="1" hidden="1" spans="1:6" x14ac:dyDescent="0.25" outlineLevel="1" collapsed="1">
      <c r="A427" s="27">
        <v>4124</v>
      </c>
      <c r="B427" s="28" t="s">
        <v>727</v>
      </c>
      <c r="C427" s="27" t="s">
        <v>472</v>
      </c>
      <c r="D427" s="29" t="s">
        <v>32</v>
      </c>
      <c r="E427" s="28" t="s">
        <v>759</v>
      </c>
      <c r="F427" s="28" t="s">
        <v>32</v>
      </c>
    </row>
    <row r="428" ht="22" customHeight="1" hidden="1" spans="1:6" x14ac:dyDescent="0.25" outlineLevel="1" collapsed="1">
      <c r="A428" s="34" t="s">
        <v>495</v>
      </c>
      <c r="B428" s="34"/>
      <c r="C428" s="34"/>
      <c r="D428" s="34"/>
      <c r="E428" s="34"/>
      <c r="F428" s="34"/>
    </row>
    <row r="429" ht="24" customHeight="1" hidden="1" spans="1:6" x14ac:dyDescent="0.25" outlineLevel="1" collapsed="1">
      <c r="A429" s="12" t="s">
        <v>803</v>
      </c>
      <c r="B429" s="12"/>
      <c r="C429" s="12"/>
      <c r="D429" s="12"/>
      <c r="E429" s="12"/>
      <c r="F429" s="12"/>
    </row>
    <row r="430" ht="24" customHeight="1" hidden="1" spans="1:6" x14ac:dyDescent="0.25" outlineLevel="1" collapsed="1">
      <c r="A430" s="12" t="s">
        <v>804</v>
      </c>
      <c r="B430" s="12"/>
      <c r="C430" s="12"/>
      <c r="D430" s="12"/>
      <c r="E430" s="12"/>
      <c r="F430" s="12"/>
    </row>
    <row r="431" ht="6" customHeight="1" hidden="1" x14ac:dyDescent="0.25" outlineLevel="1" collapsed="1"/>
    <row r="432" ht="22" customHeight="1" spans="1:6" x14ac:dyDescent="0.25">
      <c r="A432" s="25" t="s">
        <v>733</v>
      </c>
      <c r="B432" s="25"/>
      <c r="C432" s="25"/>
      <c r="D432" s="25"/>
      <c r="E432" s="25"/>
      <c r="F432" s="25"/>
    </row>
    <row r="433" ht="20" customHeight="1" hidden="1" spans="1:6" x14ac:dyDescent="0.25" outlineLevel="1" collapsed="1">
      <c r="A433" s="26" t="s">
        <v>460</v>
      </c>
      <c r="B433" s="26" t="s">
        <v>461</v>
      </c>
      <c r="C433" s="26" t="s">
        <v>462</v>
      </c>
      <c r="D433" s="26" t="s">
        <v>32</v>
      </c>
      <c r="E433" s="26" t="s">
        <v>463</v>
      </c>
      <c r="F433" s="26" t="s">
        <v>464</v>
      </c>
    </row>
    <row r="434" ht="21" customHeight="1" hidden="1" spans="1:6" x14ac:dyDescent="0.25" outlineLevel="1" collapsed="1">
      <c r="A434" s="27">
        <v>4122</v>
      </c>
      <c r="B434" s="28" t="s">
        <v>734</v>
      </c>
      <c r="C434" s="27" t="s">
        <v>472</v>
      </c>
      <c r="D434" s="29" t="s">
        <v>32</v>
      </c>
      <c r="E434" s="28" t="s">
        <v>676</v>
      </c>
      <c r="F434" s="28" t="s">
        <v>32</v>
      </c>
    </row>
    <row r="435" ht="36" customHeight="1" hidden="1" spans="1:6" x14ac:dyDescent="0.25" outlineLevel="1" collapsed="1">
      <c r="A435" s="27">
        <v>4124</v>
      </c>
      <c r="B435" s="28" t="s">
        <v>735</v>
      </c>
      <c r="C435" s="27" t="s">
        <v>466</v>
      </c>
      <c r="D435" s="29" t="s">
        <v>32</v>
      </c>
      <c r="E435" s="28" t="s">
        <v>759</v>
      </c>
      <c r="F435" s="28" t="s">
        <v>32</v>
      </c>
    </row>
    <row r="436" ht="22" customHeight="1" hidden="1" spans="1:6" x14ac:dyDescent="0.25" outlineLevel="1" collapsed="1">
      <c r="A436" s="34" t="s">
        <v>495</v>
      </c>
      <c r="B436" s="34"/>
      <c r="C436" s="34"/>
      <c r="D436" s="34"/>
      <c r="E436" s="34"/>
      <c r="F436" s="34"/>
    </row>
    <row r="437" ht="24" customHeight="1" hidden="1" spans="1:6" x14ac:dyDescent="0.25" outlineLevel="1" collapsed="1">
      <c r="A437" s="12" t="s">
        <v>805</v>
      </c>
      <c r="B437" s="12"/>
      <c r="C437" s="12"/>
      <c r="D437" s="12"/>
      <c r="E437" s="12"/>
      <c r="F437" s="12"/>
    </row>
    <row r="438" ht="24" customHeight="1" hidden="1" spans="1:6" x14ac:dyDescent="0.25" outlineLevel="1" collapsed="1">
      <c r="A438" s="12" t="s">
        <v>806</v>
      </c>
      <c r="B438" s="12"/>
      <c r="C438" s="12"/>
      <c r="D438" s="12"/>
      <c r="E438" s="12"/>
      <c r="F438" s="12"/>
    </row>
    <row r="439" ht="6" customHeight="1" hidden="1" x14ac:dyDescent="0.25" outlineLevel="1" collapsed="1"/>
    <row r="440" ht="22" customHeight="1" spans="1:6" x14ac:dyDescent="0.25">
      <c r="A440" s="25" t="s">
        <v>738</v>
      </c>
      <c r="B440" s="25"/>
      <c r="C440" s="25"/>
      <c r="D440" s="25"/>
      <c r="E440" s="25"/>
      <c r="F440" s="25"/>
    </row>
    <row r="441" ht="20" customHeight="1" hidden="1" spans="1:6" x14ac:dyDescent="0.25" outlineLevel="1" collapsed="1">
      <c r="A441" s="26" t="s">
        <v>460</v>
      </c>
      <c r="B441" s="26" t="s">
        <v>461</v>
      </c>
      <c r="C441" s="26" t="s">
        <v>462</v>
      </c>
      <c r="D441" s="26" t="s">
        <v>32</v>
      </c>
      <c r="E441" s="26" t="s">
        <v>463</v>
      </c>
      <c r="F441" s="26" t="s">
        <v>464</v>
      </c>
    </row>
    <row r="442" ht="36" customHeight="1" hidden="1" spans="1:6" x14ac:dyDescent="0.25" outlineLevel="1" collapsed="1">
      <c r="A442" s="27">
        <v>4122</v>
      </c>
      <c r="B442" s="28" t="s">
        <v>734</v>
      </c>
      <c r="C442" s="27" t="s">
        <v>472</v>
      </c>
      <c r="D442" s="29" t="s">
        <v>32</v>
      </c>
      <c r="E442" s="36" t="s">
        <v>699</v>
      </c>
      <c r="F442" s="28" t="s">
        <v>32</v>
      </c>
    </row>
    <row r="443" ht="21" customHeight="1" hidden="1" spans="1:6" x14ac:dyDescent="0.25" outlineLevel="1" collapsed="1">
      <c r="A443" s="27">
        <v>4124</v>
      </c>
      <c r="B443" s="28" t="s">
        <v>739</v>
      </c>
      <c r="C443" s="27" t="s">
        <v>466</v>
      </c>
      <c r="D443" s="29" t="s">
        <v>32</v>
      </c>
      <c r="E443" s="28" t="s">
        <v>759</v>
      </c>
      <c r="F443" s="28" t="s">
        <v>32</v>
      </c>
    </row>
    <row r="444" ht="22" customHeight="1" hidden="1" spans="1:6" x14ac:dyDescent="0.25" outlineLevel="1" collapsed="1">
      <c r="A444" s="34" t="s">
        <v>495</v>
      </c>
      <c r="B444" s="34"/>
      <c r="C444" s="34"/>
      <c r="D444" s="34"/>
      <c r="E444" s="34"/>
      <c r="F444" s="34"/>
    </row>
    <row r="445" ht="24" customHeight="1" hidden="1" spans="1:6" x14ac:dyDescent="0.25" outlineLevel="1" collapsed="1">
      <c r="A445" s="12" t="s">
        <v>807</v>
      </c>
      <c r="B445" s="12"/>
      <c r="C445" s="12"/>
      <c r="D445" s="12"/>
      <c r="E445" s="12"/>
      <c r="F445" s="12"/>
    </row>
    <row r="446" ht="24" customHeight="1" hidden="1" spans="1:6" x14ac:dyDescent="0.25" outlineLevel="1" collapsed="1">
      <c r="A446" s="12" t="s">
        <v>806</v>
      </c>
      <c r="B446" s="12"/>
      <c r="C446" s="12"/>
      <c r="D446" s="12"/>
      <c r="E446" s="12"/>
      <c r="F446" s="12"/>
    </row>
    <row r="447" ht="6" customHeight="1" hidden="1" x14ac:dyDescent="0.25" outlineLevel="1" collapsed="1"/>
    <row r="448" ht="22" customHeight="1" spans="1:6" x14ac:dyDescent="0.25">
      <c r="A448" s="25" t="s">
        <v>743</v>
      </c>
      <c r="B448" s="25"/>
      <c r="C448" s="25"/>
      <c r="D448" s="25"/>
      <c r="E448" s="25"/>
      <c r="F448" s="25"/>
    </row>
    <row r="449" ht="20" customHeight="1" hidden="1" spans="1:6" x14ac:dyDescent="0.25" outlineLevel="1" collapsed="1">
      <c r="A449" s="26" t="s">
        <v>460</v>
      </c>
      <c r="B449" s="26" t="s">
        <v>461</v>
      </c>
      <c r="C449" s="26" t="s">
        <v>462</v>
      </c>
      <c r="D449" s="26" t="s">
        <v>32</v>
      </c>
      <c r="E449" s="26" t="s">
        <v>463</v>
      </c>
      <c r="F449" s="26" t="s">
        <v>464</v>
      </c>
    </row>
    <row r="450" ht="66" customHeight="1" hidden="1" spans="1:6" x14ac:dyDescent="0.25" outlineLevel="1" collapsed="1">
      <c r="A450" s="27">
        <v>4122</v>
      </c>
      <c r="B450" s="28" t="s">
        <v>744</v>
      </c>
      <c r="C450" s="27" t="s">
        <v>745</v>
      </c>
      <c r="D450" s="29" t="s">
        <v>32</v>
      </c>
      <c r="E450" s="28" t="s">
        <v>518</v>
      </c>
      <c r="F450" s="28" t="s">
        <v>32</v>
      </c>
    </row>
    <row r="451" ht="22" customHeight="1" hidden="1" spans="1:6" x14ac:dyDescent="0.25" outlineLevel="1" collapsed="1">
      <c r="A451" s="34" t="s">
        <v>495</v>
      </c>
      <c r="B451" s="34"/>
      <c r="C451" s="34"/>
      <c r="D451" s="34"/>
      <c r="E451" s="34"/>
      <c r="F451" s="34"/>
    </row>
    <row r="452" ht="24" customHeight="1" hidden="1" spans="1:6" x14ac:dyDescent="0.25" outlineLevel="1" collapsed="1">
      <c r="A452" s="12" t="s">
        <v>808</v>
      </c>
      <c r="B452" s="12"/>
      <c r="C452" s="12"/>
      <c r="D452" s="12"/>
      <c r="E452" s="12"/>
      <c r="F452" s="12"/>
    </row>
    <row r="453" ht="40" customHeight="1" hidden="1" spans="1:6" x14ac:dyDescent="0.25" outlineLevel="1" collapsed="1">
      <c r="A453" s="12" t="s">
        <v>809</v>
      </c>
      <c r="B453" s="12"/>
      <c r="C453" s="12"/>
      <c r="D453" s="12"/>
      <c r="E453" s="12"/>
      <c r="F453" s="12"/>
    </row>
    <row r="454" ht="6" customHeight="1" hidden="1" x14ac:dyDescent="0.25" outlineLevel="1" collapsed="1"/>
    <row r="455" ht="22" customHeight="1" spans="1:6" x14ac:dyDescent="0.25">
      <c r="A455" s="25" t="s">
        <v>747</v>
      </c>
      <c r="B455" s="25"/>
      <c r="C455" s="25"/>
      <c r="D455" s="25"/>
      <c r="E455" s="25"/>
      <c r="F455" s="25"/>
    </row>
    <row r="456" ht="20" customHeight="1" hidden="1" spans="1:6" x14ac:dyDescent="0.25" outlineLevel="1" collapsed="1">
      <c r="A456" s="26" t="s">
        <v>460</v>
      </c>
      <c r="B456" s="26" t="s">
        <v>461</v>
      </c>
      <c r="C456" s="26" t="s">
        <v>462</v>
      </c>
      <c r="D456" s="26" t="s">
        <v>32</v>
      </c>
      <c r="E456" s="26" t="s">
        <v>463</v>
      </c>
      <c r="F456" s="26" t="s">
        <v>464</v>
      </c>
    </row>
    <row r="457" ht="21" customHeight="1" hidden="1" spans="1:6" x14ac:dyDescent="0.25" outlineLevel="1" collapsed="1">
      <c r="A457" s="27">
        <v>4134</v>
      </c>
      <c r="B457" s="28" t="s">
        <v>748</v>
      </c>
      <c r="C457" s="27" t="s">
        <v>466</v>
      </c>
      <c r="D457" s="29" t="s">
        <v>32</v>
      </c>
      <c r="E457" s="28" t="s">
        <v>676</v>
      </c>
      <c r="F457" s="28" t="s">
        <v>32</v>
      </c>
    </row>
    <row r="458" ht="21" customHeight="1" hidden="1" spans="1:6" x14ac:dyDescent="0.25" outlineLevel="1" collapsed="1">
      <c r="A458" s="27">
        <v>4136</v>
      </c>
      <c r="B458" s="28" t="s">
        <v>750</v>
      </c>
      <c r="C458" s="27" t="s">
        <v>472</v>
      </c>
      <c r="D458" s="29" t="s">
        <v>32</v>
      </c>
      <c r="E458" s="28" t="s">
        <v>759</v>
      </c>
      <c r="F458" s="28" t="s">
        <v>32</v>
      </c>
    </row>
    <row r="459" ht="22" customHeight="1" hidden="1" spans="1:6" x14ac:dyDescent="0.25" outlineLevel="1" collapsed="1">
      <c r="A459" s="34" t="s">
        <v>495</v>
      </c>
      <c r="B459" s="34"/>
      <c r="C459" s="34"/>
      <c r="D459" s="34"/>
      <c r="E459" s="34"/>
      <c r="F459" s="34"/>
    </row>
    <row r="460" ht="24" customHeight="1" hidden="1" spans="1:6" x14ac:dyDescent="0.25" outlineLevel="1" collapsed="1">
      <c r="A460" s="12" t="s">
        <v>810</v>
      </c>
      <c r="B460" s="12"/>
      <c r="C460" s="12"/>
      <c r="D460" s="12"/>
      <c r="E460" s="12"/>
      <c r="F460" s="12"/>
    </row>
    <row r="461" ht="24" customHeight="1" hidden="1" spans="1:6" x14ac:dyDescent="0.25" outlineLevel="1" collapsed="1">
      <c r="A461" s="12" t="s">
        <v>811</v>
      </c>
      <c r="B461" s="12"/>
      <c r="C461" s="12"/>
      <c r="D461" s="12"/>
      <c r="E461" s="12"/>
      <c r="F461" s="12"/>
    </row>
    <row r="462" ht="6" customHeight="1" hidden="1" x14ac:dyDescent="0.25" outlineLevel="1" collapsed="1"/>
    <row r="463" ht="22" customHeight="1" spans="1:6" x14ac:dyDescent="0.25">
      <c r="A463" s="25" t="s">
        <v>755</v>
      </c>
      <c r="B463" s="25"/>
      <c r="C463" s="25"/>
      <c r="D463" s="25"/>
      <c r="E463" s="25"/>
      <c r="F463" s="25"/>
    </row>
    <row r="464" ht="20" customHeight="1" hidden="1" spans="1:6" x14ac:dyDescent="0.25" outlineLevel="1" collapsed="1">
      <c r="A464" s="26" t="s">
        <v>460</v>
      </c>
      <c r="B464" s="26" t="s">
        <v>461</v>
      </c>
      <c r="C464" s="26" t="s">
        <v>462</v>
      </c>
      <c r="D464" s="26" t="s">
        <v>32</v>
      </c>
      <c r="E464" s="26" t="s">
        <v>463</v>
      </c>
      <c r="F464" s="26" t="s">
        <v>464</v>
      </c>
    </row>
    <row r="465" ht="36" customHeight="1" hidden="1" spans="1:6" x14ac:dyDescent="0.25" outlineLevel="1" collapsed="1">
      <c r="A465" s="27">
        <v>4152</v>
      </c>
      <c r="B465" s="28" t="s">
        <v>756</v>
      </c>
      <c r="C465" s="27" t="s">
        <v>745</v>
      </c>
      <c r="D465" s="29" t="s">
        <v>32</v>
      </c>
      <c r="E465" s="28" t="s">
        <v>676</v>
      </c>
      <c r="F465" s="28" t="s">
        <v>32</v>
      </c>
    </row>
    <row r="466" ht="21" customHeight="1" hidden="1" spans="1:6" x14ac:dyDescent="0.25" outlineLevel="1" collapsed="1">
      <c r="A466" s="27">
        <v>4154</v>
      </c>
      <c r="B466" s="28" t="s">
        <v>739</v>
      </c>
      <c r="C466" s="27" t="s">
        <v>758</v>
      </c>
      <c r="D466" s="29" t="s">
        <v>32</v>
      </c>
      <c r="E466" s="28" t="s">
        <v>812</v>
      </c>
      <c r="F466" s="28" t="s">
        <v>32</v>
      </c>
    </row>
    <row r="467" ht="51" customHeight="1" hidden="1" spans="1:6" x14ac:dyDescent="0.25" outlineLevel="1" collapsed="1">
      <c r="A467" s="27">
        <v>4126</v>
      </c>
      <c r="B467" s="28" t="s">
        <v>760</v>
      </c>
      <c r="C467" s="27" t="s">
        <v>761</v>
      </c>
      <c r="D467" s="29" t="s">
        <v>32</v>
      </c>
      <c r="E467" s="36" t="s">
        <v>699</v>
      </c>
      <c r="F467" s="28" t="s">
        <v>32</v>
      </c>
    </row>
    <row r="468" ht="36" customHeight="1" hidden="1" spans="1:6" x14ac:dyDescent="0.25" outlineLevel="1" collapsed="1">
      <c r="A468" s="27">
        <v>4128</v>
      </c>
      <c r="B468" s="28" t="s">
        <v>762</v>
      </c>
      <c r="C468" s="27" t="s">
        <v>761</v>
      </c>
      <c r="D468" s="29" t="s">
        <v>32</v>
      </c>
      <c r="E468" s="36" t="s">
        <v>699</v>
      </c>
      <c r="F468" s="28" t="s">
        <v>32</v>
      </c>
    </row>
    <row r="469" ht="22" customHeight="1" hidden="1" spans="1:6" x14ac:dyDescent="0.25" outlineLevel="1" collapsed="1">
      <c r="A469" s="34" t="s">
        <v>495</v>
      </c>
      <c r="B469" s="34"/>
      <c r="C469" s="34"/>
      <c r="D469" s="34"/>
      <c r="E469" s="34"/>
      <c r="F469" s="34"/>
    </row>
    <row r="470" ht="24" customHeight="1" hidden="1" spans="1:6" x14ac:dyDescent="0.25" outlineLevel="1" collapsed="1">
      <c r="A470" s="12" t="s">
        <v>813</v>
      </c>
      <c r="B470" s="12"/>
      <c r="C470" s="12"/>
      <c r="D470" s="12"/>
      <c r="E470" s="12"/>
      <c r="F470" s="12"/>
    </row>
    <row r="471" ht="24" customHeight="1" hidden="1" spans="1:6" x14ac:dyDescent="0.25" outlineLevel="1" collapsed="1">
      <c r="A471" s="12" t="s">
        <v>814</v>
      </c>
      <c r="B471" s="12"/>
      <c r="C471" s="12"/>
      <c r="D471" s="12"/>
      <c r="E471" s="12"/>
      <c r="F471" s="12"/>
    </row>
    <row r="472" ht="24" customHeight="1" hidden="1" spans="1:6" x14ac:dyDescent="0.25" outlineLevel="1" collapsed="1">
      <c r="A472" s="12" t="s">
        <v>815</v>
      </c>
      <c r="B472" s="12"/>
      <c r="C472" s="12"/>
      <c r="D472" s="12"/>
      <c r="E472" s="12"/>
      <c r="F472" s="12"/>
    </row>
    <row r="473" ht="24" customHeight="1" hidden="1" spans="1:6" x14ac:dyDescent="0.25" outlineLevel="1" collapsed="1">
      <c r="A473" s="12" t="s">
        <v>816</v>
      </c>
      <c r="B473" s="12"/>
      <c r="C473" s="12"/>
      <c r="D473" s="12"/>
      <c r="E473" s="12"/>
      <c r="F473" s="12"/>
    </row>
    <row r="474" ht="6" customHeight="1" hidden="1" x14ac:dyDescent="0.25" outlineLevel="1" collapsed="1"/>
    <row r="475" ht="22" customHeight="1" spans="1:6" x14ac:dyDescent="0.25">
      <c r="A475" s="25" t="s">
        <v>769</v>
      </c>
      <c r="B475" s="25"/>
      <c r="C475" s="25"/>
      <c r="D475" s="25"/>
      <c r="E475" s="25"/>
      <c r="F475" s="25"/>
    </row>
    <row r="476" ht="20" customHeight="1" hidden="1" spans="1:6" x14ac:dyDescent="0.25" outlineLevel="1" collapsed="1">
      <c r="A476" s="26" t="s">
        <v>460</v>
      </c>
      <c r="B476" s="26" t="s">
        <v>461</v>
      </c>
      <c r="C476" s="26" t="s">
        <v>462</v>
      </c>
      <c r="D476" s="26" t="s">
        <v>32</v>
      </c>
      <c r="E476" s="26" t="s">
        <v>463</v>
      </c>
      <c r="F476" s="26" t="s">
        <v>464</v>
      </c>
    </row>
    <row r="477" ht="36" customHeight="1" hidden="1" spans="1:6" x14ac:dyDescent="0.25" outlineLevel="1" collapsed="1">
      <c r="A477" s="27">
        <v>4122</v>
      </c>
      <c r="B477" s="28" t="s">
        <v>36</v>
      </c>
      <c r="C477" s="27" t="s">
        <v>745</v>
      </c>
      <c r="D477" s="29" t="s">
        <v>32</v>
      </c>
      <c r="E477" s="36" t="s">
        <v>699</v>
      </c>
      <c r="F477" s="28" t="s">
        <v>32</v>
      </c>
    </row>
    <row r="478" ht="36" customHeight="1" hidden="1" spans="1:6" x14ac:dyDescent="0.25" outlineLevel="1" collapsed="1">
      <c r="A478" s="27">
        <v>4124</v>
      </c>
      <c r="B478" s="28" t="s">
        <v>739</v>
      </c>
      <c r="C478" s="27" t="s">
        <v>758</v>
      </c>
      <c r="D478" s="29" t="s">
        <v>32</v>
      </c>
      <c r="E478" s="36" t="s">
        <v>699</v>
      </c>
      <c r="F478" s="28" t="s">
        <v>32</v>
      </c>
    </row>
    <row r="479" ht="22" customHeight="1" hidden="1" spans="1:6" x14ac:dyDescent="0.25" outlineLevel="1" collapsed="1">
      <c r="A479" s="34" t="s">
        <v>495</v>
      </c>
      <c r="B479" s="34"/>
      <c r="C479" s="34"/>
      <c r="D479" s="34"/>
      <c r="E479" s="34"/>
      <c r="F479" s="34"/>
    </row>
    <row r="480" ht="24" customHeight="1" hidden="1" spans="1:6" x14ac:dyDescent="0.25" outlineLevel="1" collapsed="1">
      <c r="A480" s="12" t="s">
        <v>817</v>
      </c>
      <c r="B480" s="12"/>
      <c r="C480" s="12"/>
      <c r="D480" s="12"/>
      <c r="E480" s="12"/>
      <c r="F480" s="12"/>
    </row>
    <row r="481" ht="24" customHeight="1" hidden="1" spans="1:6" x14ac:dyDescent="0.25" outlineLevel="1" collapsed="1">
      <c r="A481" s="12" t="s">
        <v>818</v>
      </c>
      <c r="B481" s="12"/>
      <c r="C481" s="12"/>
      <c r="D481" s="12"/>
      <c r="E481" s="12"/>
      <c r="F481" s="12"/>
    </row>
    <row r="482" ht="6" customHeight="1" hidden="1" x14ac:dyDescent="0.25" outlineLevel="1" collapsed="1"/>
    <row r="483" ht="22" customHeight="1" spans="1:6" x14ac:dyDescent="0.25">
      <c r="A483" s="25" t="s">
        <v>772</v>
      </c>
      <c r="B483" s="25"/>
      <c r="C483" s="25"/>
      <c r="D483" s="25"/>
      <c r="E483" s="25"/>
      <c r="F483" s="25"/>
    </row>
    <row r="484" ht="20" customHeight="1" hidden="1" spans="1:6" x14ac:dyDescent="0.25" outlineLevel="1" collapsed="1">
      <c r="A484" s="26" t="s">
        <v>460</v>
      </c>
      <c r="B484" s="26" t="s">
        <v>461</v>
      </c>
      <c r="C484" s="26" t="s">
        <v>462</v>
      </c>
      <c r="D484" s="26" t="s">
        <v>32</v>
      </c>
      <c r="E484" s="26" t="s">
        <v>463</v>
      </c>
      <c r="F484" s="26" t="s">
        <v>464</v>
      </c>
    </row>
    <row r="485" ht="36" customHeight="1" hidden="1" spans="1:6" x14ac:dyDescent="0.25" outlineLevel="1" collapsed="1">
      <c r="A485" s="27">
        <v>4122</v>
      </c>
      <c r="B485" s="28" t="s">
        <v>36</v>
      </c>
      <c r="C485" s="27" t="s">
        <v>745</v>
      </c>
      <c r="D485" s="29" t="s">
        <v>32</v>
      </c>
      <c r="E485" s="36" t="s">
        <v>699</v>
      </c>
      <c r="F485" s="28" t="s">
        <v>32</v>
      </c>
    </row>
    <row r="486" ht="36" customHeight="1" hidden="1" spans="1:6" x14ac:dyDescent="0.25" outlineLevel="1" collapsed="1">
      <c r="A486" s="27">
        <v>4124</v>
      </c>
      <c r="B486" s="28" t="s">
        <v>739</v>
      </c>
      <c r="C486" s="27" t="s">
        <v>758</v>
      </c>
      <c r="D486" s="29" t="s">
        <v>32</v>
      </c>
      <c r="E486" s="36" t="s">
        <v>699</v>
      </c>
      <c r="F486" s="28" t="s">
        <v>32</v>
      </c>
    </row>
    <row r="487" ht="22" customHeight="1" hidden="1" spans="1:6" x14ac:dyDescent="0.25" outlineLevel="1" collapsed="1">
      <c r="A487" s="34" t="s">
        <v>495</v>
      </c>
      <c r="B487" s="34"/>
      <c r="C487" s="34"/>
      <c r="D487" s="34"/>
      <c r="E487" s="34"/>
      <c r="F487" s="34"/>
    </row>
    <row r="488" ht="24" customHeight="1" hidden="1" spans="1:6" x14ac:dyDescent="0.25" outlineLevel="1" collapsed="1">
      <c r="A488" s="12" t="s">
        <v>817</v>
      </c>
      <c r="B488" s="12"/>
      <c r="C488" s="12"/>
      <c r="D488" s="12"/>
      <c r="E488" s="12"/>
      <c r="F488" s="12"/>
    </row>
    <row r="489" ht="24" customHeight="1" hidden="1" spans="1:6" x14ac:dyDescent="0.25" outlineLevel="1" collapsed="1">
      <c r="A489" s="12" t="s">
        <v>818</v>
      </c>
      <c r="B489" s="12"/>
      <c r="C489" s="12"/>
      <c r="D489" s="12"/>
      <c r="E489" s="12"/>
      <c r="F489" s="12"/>
    </row>
    <row r="490" ht="6" customHeight="1" hidden="1" x14ac:dyDescent="0.25" outlineLevel="1" collapsed="1"/>
    <row r="491" ht="22" customHeight="1" spans="1:6" x14ac:dyDescent="0.25">
      <c r="A491" s="25" t="s">
        <v>773</v>
      </c>
      <c r="B491" s="25"/>
      <c r="C491" s="25"/>
      <c r="D491" s="25"/>
      <c r="E491" s="25"/>
      <c r="F491" s="25"/>
    </row>
    <row r="492" ht="20" customHeight="1" hidden="1" spans="1:6" x14ac:dyDescent="0.25" outlineLevel="1" collapsed="1">
      <c r="A492" s="26" t="s">
        <v>460</v>
      </c>
      <c r="B492" s="26" t="s">
        <v>461</v>
      </c>
      <c r="C492" s="26" t="s">
        <v>462</v>
      </c>
      <c r="D492" s="26" t="s">
        <v>32</v>
      </c>
      <c r="E492" s="26" t="s">
        <v>463</v>
      </c>
      <c r="F492" s="26" t="s">
        <v>464</v>
      </c>
    </row>
    <row r="493" ht="36" customHeight="1" hidden="1" spans="1:6" x14ac:dyDescent="0.25" outlineLevel="1" collapsed="1">
      <c r="A493" s="27">
        <v>4122</v>
      </c>
      <c r="B493" s="28" t="s">
        <v>36</v>
      </c>
      <c r="C493" s="27" t="s">
        <v>745</v>
      </c>
      <c r="D493" s="29" t="s">
        <v>32</v>
      </c>
      <c r="E493" s="36" t="s">
        <v>699</v>
      </c>
      <c r="F493" s="28" t="s">
        <v>32</v>
      </c>
    </row>
    <row r="494" ht="36" customHeight="1" hidden="1" spans="1:6" x14ac:dyDescent="0.25" outlineLevel="1" collapsed="1">
      <c r="A494" s="27">
        <v>4124</v>
      </c>
      <c r="B494" s="28" t="s">
        <v>739</v>
      </c>
      <c r="C494" s="27" t="s">
        <v>758</v>
      </c>
      <c r="D494" s="29" t="s">
        <v>32</v>
      </c>
      <c r="E494" s="36" t="s">
        <v>699</v>
      </c>
      <c r="F494" s="28" t="s">
        <v>32</v>
      </c>
    </row>
    <row r="495" ht="22" customHeight="1" hidden="1" spans="1:6" x14ac:dyDescent="0.25" outlineLevel="1" collapsed="1">
      <c r="A495" s="34" t="s">
        <v>495</v>
      </c>
      <c r="B495" s="34"/>
      <c r="C495" s="34"/>
      <c r="D495" s="34"/>
      <c r="E495" s="34"/>
      <c r="F495" s="34"/>
    </row>
    <row r="496" ht="24" customHeight="1" hidden="1" spans="1:6" x14ac:dyDescent="0.25" outlineLevel="1" collapsed="1">
      <c r="A496" s="12" t="s">
        <v>817</v>
      </c>
      <c r="B496" s="12"/>
      <c r="C496" s="12"/>
      <c r="D496" s="12"/>
      <c r="E496" s="12"/>
      <c r="F496" s="12"/>
    </row>
    <row r="497" ht="24" customHeight="1" hidden="1" spans="1:6" x14ac:dyDescent="0.25" outlineLevel="1" collapsed="1">
      <c r="A497" s="12" t="s">
        <v>818</v>
      </c>
      <c r="B497" s="12"/>
      <c r="C497" s="12"/>
      <c r="D497" s="12"/>
      <c r="E497" s="12"/>
      <c r="F497" s="12"/>
    </row>
    <row r="498" ht="6" customHeight="1" hidden="1" x14ac:dyDescent="0.25" outlineLevel="1" collapsed="1"/>
    <row r="499" ht="22" customHeight="1" spans="1:6" x14ac:dyDescent="0.25">
      <c r="A499" s="25" t="s">
        <v>779</v>
      </c>
      <c r="B499" s="25"/>
      <c r="C499" s="25"/>
      <c r="D499" s="25"/>
      <c r="E499" s="25"/>
      <c r="F499" s="25"/>
    </row>
    <row r="500" ht="20" customHeight="1" hidden="1" spans="1:6" x14ac:dyDescent="0.25" outlineLevel="1" collapsed="1">
      <c r="A500" s="26" t="s">
        <v>460</v>
      </c>
      <c r="B500" s="26" t="s">
        <v>461</v>
      </c>
      <c r="C500" s="26" t="s">
        <v>462</v>
      </c>
      <c r="D500" s="26" t="s">
        <v>32</v>
      </c>
      <c r="E500" s="26" t="s">
        <v>463</v>
      </c>
      <c r="F500" s="26" t="s">
        <v>464</v>
      </c>
    </row>
    <row r="501" ht="36" customHeight="1" hidden="1" spans="1:6" x14ac:dyDescent="0.25" outlineLevel="1" collapsed="1">
      <c r="A501" s="27">
        <v>4122</v>
      </c>
      <c r="B501" s="28" t="s">
        <v>36</v>
      </c>
      <c r="C501" s="27" t="s">
        <v>745</v>
      </c>
      <c r="D501" s="29" t="s">
        <v>32</v>
      </c>
      <c r="E501" s="36" t="s">
        <v>699</v>
      </c>
      <c r="F501" s="28" t="s">
        <v>32</v>
      </c>
    </row>
    <row r="502" ht="36" customHeight="1" hidden="1" spans="1:6" x14ac:dyDescent="0.25" outlineLevel="1" collapsed="1">
      <c r="A502" s="27">
        <v>4124</v>
      </c>
      <c r="B502" s="28" t="s">
        <v>739</v>
      </c>
      <c r="C502" s="27" t="s">
        <v>758</v>
      </c>
      <c r="D502" s="29" t="s">
        <v>32</v>
      </c>
      <c r="E502" s="36" t="s">
        <v>699</v>
      </c>
      <c r="F502" s="28" t="s">
        <v>32</v>
      </c>
    </row>
    <row r="503" ht="22" customHeight="1" hidden="1" spans="1:6" x14ac:dyDescent="0.25" outlineLevel="1" collapsed="1">
      <c r="A503" s="34" t="s">
        <v>495</v>
      </c>
      <c r="B503" s="34"/>
      <c r="C503" s="34"/>
      <c r="D503" s="34"/>
      <c r="E503" s="34"/>
      <c r="F503" s="34"/>
    </row>
    <row r="504" ht="24" customHeight="1" hidden="1" spans="1:6" x14ac:dyDescent="0.25" outlineLevel="1" collapsed="1">
      <c r="A504" s="12" t="s">
        <v>817</v>
      </c>
      <c r="B504" s="12"/>
      <c r="C504" s="12"/>
      <c r="D504" s="12"/>
      <c r="E504" s="12"/>
      <c r="F504" s="12"/>
    </row>
    <row r="505" ht="24" customHeight="1" hidden="1" spans="1:6" x14ac:dyDescent="0.25" outlineLevel="1" collapsed="1">
      <c r="A505" s="12" t="s">
        <v>818</v>
      </c>
      <c r="B505" s="12"/>
      <c r="C505" s="12"/>
      <c r="D505" s="12"/>
      <c r="E505" s="12"/>
      <c r="F505" s="12"/>
    </row>
    <row r="506" ht="6" customHeight="1" hidden="1" x14ac:dyDescent="0.25" outlineLevel="1" collapsed="1"/>
    <row r="507" ht="22" customHeight="1" spans="1:6" x14ac:dyDescent="0.25">
      <c r="A507" s="25" t="s">
        <v>780</v>
      </c>
      <c r="B507" s="25"/>
      <c r="C507" s="25"/>
      <c r="D507" s="25"/>
      <c r="E507" s="25"/>
      <c r="F507" s="25"/>
    </row>
    <row r="508" ht="20" customHeight="1" hidden="1" spans="1:6" x14ac:dyDescent="0.25" outlineLevel="1" collapsed="1">
      <c r="A508" s="26" t="s">
        <v>460</v>
      </c>
      <c r="B508" s="26" t="s">
        <v>461</v>
      </c>
      <c r="C508" s="26" t="s">
        <v>462</v>
      </c>
      <c r="D508" s="26" t="s">
        <v>32</v>
      </c>
      <c r="E508" s="26" t="s">
        <v>463</v>
      </c>
      <c r="F508" s="26" t="s">
        <v>464</v>
      </c>
    </row>
    <row r="509" ht="21" customHeight="1" hidden="1" spans="1:6" x14ac:dyDescent="0.25" outlineLevel="1" collapsed="1">
      <c r="A509" s="27">
        <v>4122</v>
      </c>
      <c r="B509" s="28" t="s">
        <v>36</v>
      </c>
      <c r="C509" s="27" t="s">
        <v>745</v>
      </c>
      <c r="D509" s="29" t="s">
        <v>32</v>
      </c>
      <c r="E509" s="28" t="s">
        <v>518</v>
      </c>
      <c r="F509" s="28" t="s">
        <v>32</v>
      </c>
    </row>
    <row r="510" ht="21" customHeight="1" hidden="1" spans="1:6" x14ac:dyDescent="0.25" outlineLevel="1" collapsed="1">
      <c r="A510" s="27">
        <v>4124</v>
      </c>
      <c r="B510" s="28" t="s">
        <v>739</v>
      </c>
      <c r="C510" s="27" t="s">
        <v>758</v>
      </c>
      <c r="D510" s="29" t="s">
        <v>32</v>
      </c>
      <c r="E510" s="28" t="s">
        <v>506</v>
      </c>
      <c r="F510" s="28" t="s">
        <v>32</v>
      </c>
    </row>
    <row r="511" ht="22" customHeight="1" hidden="1" spans="1:6" x14ac:dyDescent="0.25" outlineLevel="1" collapsed="1">
      <c r="A511" s="34" t="s">
        <v>495</v>
      </c>
      <c r="B511" s="34"/>
      <c r="C511" s="34"/>
      <c r="D511" s="34"/>
      <c r="E511" s="34"/>
      <c r="F511" s="34"/>
    </row>
    <row r="512" ht="24" customHeight="1" hidden="1" spans="1:6" x14ac:dyDescent="0.25" outlineLevel="1" collapsed="1">
      <c r="A512" s="12" t="s">
        <v>808</v>
      </c>
      <c r="B512" s="12"/>
      <c r="C512" s="12"/>
      <c r="D512" s="12"/>
      <c r="E512" s="12"/>
      <c r="F512" s="12"/>
    </row>
    <row r="513" ht="24" customHeight="1" hidden="1" spans="1:6" x14ac:dyDescent="0.25" outlineLevel="1" collapsed="1">
      <c r="A513" s="12" t="s">
        <v>819</v>
      </c>
      <c r="B513" s="12"/>
      <c r="C513" s="12"/>
      <c r="D513" s="12"/>
      <c r="E513" s="12"/>
      <c r="F513" s="12"/>
    </row>
    <row r="514" ht="6" customHeight="1" hidden="1" x14ac:dyDescent="0.25" outlineLevel="1" collapsed="1"/>
    <row r="515" ht="22" customHeight="1" spans="1:6" x14ac:dyDescent="0.25">
      <c r="A515" s="25" t="s">
        <v>783</v>
      </c>
      <c r="B515" s="25"/>
      <c r="C515" s="25"/>
      <c r="D515" s="25"/>
      <c r="E515" s="25"/>
      <c r="F515" s="25"/>
    </row>
    <row r="516" ht="20" customHeight="1" hidden="1" spans="1:6" x14ac:dyDescent="0.25" outlineLevel="1" collapsed="1">
      <c r="A516" s="26" t="s">
        <v>460</v>
      </c>
      <c r="B516" s="26" t="s">
        <v>461</v>
      </c>
      <c r="C516" s="26" t="s">
        <v>462</v>
      </c>
      <c r="D516" s="26" t="s">
        <v>32</v>
      </c>
      <c r="E516" s="26" t="s">
        <v>463</v>
      </c>
      <c r="F516" s="26" t="s">
        <v>464</v>
      </c>
    </row>
    <row r="517" ht="21" customHeight="1" hidden="1" spans="1:6" x14ac:dyDescent="0.25" outlineLevel="1" collapsed="1">
      <c r="A517" s="27">
        <v>4122</v>
      </c>
      <c r="B517" s="28" t="s">
        <v>36</v>
      </c>
      <c r="C517" s="27" t="s">
        <v>745</v>
      </c>
      <c r="D517" s="29" t="s">
        <v>32</v>
      </c>
      <c r="E517" s="28" t="s">
        <v>676</v>
      </c>
      <c r="F517" s="28" t="s">
        <v>32</v>
      </c>
    </row>
    <row r="518" ht="21" customHeight="1" hidden="1" spans="1:6" x14ac:dyDescent="0.25" outlineLevel="1" collapsed="1">
      <c r="A518" s="27">
        <v>4124</v>
      </c>
      <c r="B518" s="28" t="s">
        <v>739</v>
      </c>
      <c r="C518" s="27" t="s">
        <v>758</v>
      </c>
      <c r="D518" s="29" t="s">
        <v>32</v>
      </c>
      <c r="E518" s="28" t="s">
        <v>712</v>
      </c>
      <c r="F518" s="28" t="s">
        <v>32</v>
      </c>
    </row>
    <row r="519" ht="22" customHeight="1" hidden="1" spans="1:6" x14ac:dyDescent="0.25" outlineLevel="1" collapsed="1">
      <c r="A519" s="34" t="s">
        <v>495</v>
      </c>
      <c r="B519" s="34"/>
      <c r="C519" s="34"/>
      <c r="D519" s="34"/>
      <c r="E519" s="34"/>
      <c r="F519" s="34"/>
    </row>
    <row r="520" ht="24" customHeight="1" hidden="1" spans="1:6" x14ac:dyDescent="0.25" outlineLevel="1" collapsed="1">
      <c r="A520" s="12" t="s">
        <v>820</v>
      </c>
      <c r="B520" s="12"/>
      <c r="C520" s="12"/>
      <c r="D520" s="12"/>
      <c r="E520" s="12"/>
      <c r="F520" s="12"/>
    </row>
    <row r="521" ht="24" customHeight="1" hidden="1" spans="1:6" x14ac:dyDescent="0.25" outlineLevel="1" collapsed="1">
      <c r="A521" s="12" t="s">
        <v>821</v>
      </c>
      <c r="B521" s="12"/>
      <c r="C521" s="12"/>
      <c r="D521" s="12"/>
      <c r="E521" s="12"/>
      <c r="F521" s="12"/>
    </row>
    <row r="522" ht="6" customHeight="1" hidden="1" x14ac:dyDescent="0.25" outlineLevel="1" collapsed="1"/>
    <row r="523" ht="12" customHeight="1" x14ac:dyDescent="0.25"/>
    <row r="524" ht="24" customHeight="1" spans="1:6" x14ac:dyDescent="0.25">
      <c r="A524" s="24" t="s">
        <v>716</v>
      </c>
      <c r="B524" s="24"/>
      <c r="C524" s="24"/>
      <c r="D524" s="24"/>
      <c r="E524" s="24"/>
      <c r="F524" s="24"/>
    </row>
    <row r="525" ht="22" customHeight="1" spans="1:6" x14ac:dyDescent="0.25">
      <c r="A525" s="25" t="s">
        <v>722</v>
      </c>
      <c r="B525" s="25"/>
      <c r="C525" s="25"/>
      <c r="D525" s="25"/>
      <c r="E525" s="25"/>
      <c r="F525" s="25"/>
    </row>
    <row r="526" ht="20" customHeight="1" hidden="1" spans="1:6" x14ac:dyDescent="0.25" outlineLevel="1" collapsed="1">
      <c r="A526" s="26" t="s">
        <v>460</v>
      </c>
      <c r="B526" s="26" t="s">
        <v>461</v>
      </c>
      <c r="C526" s="26" t="s">
        <v>462</v>
      </c>
      <c r="D526" s="26" t="s">
        <v>32</v>
      </c>
      <c r="E526" s="26" t="s">
        <v>463</v>
      </c>
      <c r="F526" s="26" t="s">
        <v>464</v>
      </c>
    </row>
    <row r="527" ht="21" customHeight="1" hidden="1" spans="1:6" x14ac:dyDescent="0.25" outlineLevel="1" collapsed="1">
      <c r="A527" s="27">
        <v>4122</v>
      </c>
      <c r="B527" s="28" t="s">
        <v>723</v>
      </c>
      <c r="C527" s="27" t="s">
        <v>466</v>
      </c>
      <c r="D527" s="29" t="s">
        <v>32</v>
      </c>
      <c r="E527" s="28" t="s">
        <v>676</v>
      </c>
      <c r="F527" s="28" t="s">
        <v>32</v>
      </c>
    </row>
    <row r="528" ht="36" customHeight="1" hidden="1" spans="1:6" x14ac:dyDescent="0.25" outlineLevel="1" collapsed="1">
      <c r="A528" s="27">
        <v>4124</v>
      </c>
      <c r="B528" s="28" t="s">
        <v>727</v>
      </c>
      <c r="C528" s="27" t="s">
        <v>472</v>
      </c>
      <c r="D528" s="29" t="s">
        <v>32</v>
      </c>
      <c r="E528" s="28" t="s">
        <v>759</v>
      </c>
      <c r="F528" s="28" t="s">
        <v>32</v>
      </c>
    </row>
    <row r="529" ht="22" customHeight="1" hidden="1" spans="1:6" x14ac:dyDescent="0.25" outlineLevel="1" collapsed="1">
      <c r="A529" s="34" t="s">
        <v>495</v>
      </c>
      <c r="B529" s="34"/>
      <c r="C529" s="34"/>
      <c r="D529" s="34"/>
      <c r="E529" s="34"/>
      <c r="F529" s="34"/>
    </row>
    <row r="530" ht="24" customHeight="1" hidden="1" spans="1:6" x14ac:dyDescent="0.25" outlineLevel="1" collapsed="1">
      <c r="A530" s="12" t="s">
        <v>803</v>
      </c>
      <c r="B530" s="12"/>
      <c r="C530" s="12"/>
      <c r="D530" s="12"/>
      <c r="E530" s="12"/>
      <c r="F530" s="12"/>
    </row>
    <row r="531" ht="24" customHeight="1" hidden="1" spans="1:6" x14ac:dyDescent="0.25" outlineLevel="1" collapsed="1">
      <c r="A531" s="12" t="s">
        <v>804</v>
      </c>
      <c r="B531" s="12"/>
      <c r="C531" s="12"/>
      <c r="D531" s="12"/>
      <c r="E531" s="12"/>
      <c r="F531" s="12"/>
    </row>
    <row r="532" ht="6" customHeight="1" hidden="1" x14ac:dyDescent="0.25" outlineLevel="1" collapsed="1"/>
    <row r="533" ht="22" customHeight="1" spans="1:6" x14ac:dyDescent="0.25">
      <c r="A533" s="25" t="s">
        <v>733</v>
      </c>
      <c r="B533" s="25"/>
      <c r="C533" s="25"/>
      <c r="D533" s="25"/>
      <c r="E533" s="25"/>
      <c r="F533" s="25"/>
    </row>
    <row r="534" ht="20" customHeight="1" hidden="1" spans="1:6" x14ac:dyDescent="0.25" outlineLevel="1" collapsed="1">
      <c r="A534" s="26" t="s">
        <v>460</v>
      </c>
      <c r="B534" s="26" t="s">
        <v>461</v>
      </c>
      <c r="C534" s="26" t="s">
        <v>462</v>
      </c>
      <c r="D534" s="26" t="s">
        <v>32</v>
      </c>
      <c r="E534" s="26" t="s">
        <v>463</v>
      </c>
      <c r="F534" s="26" t="s">
        <v>464</v>
      </c>
    </row>
    <row r="535" ht="21" customHeight="1" hidden="1" spans="1:6" x14ac:dyDescent="0.25" outlineLevel="1" collapsed="1">
      <c r="A535" s="27">
        <v>4122</v>
      </c>
      <c r="B535" s="28" t="s">
        <v>734</v>
      </c>
      <c r="C535" s="27" t="s">
        <v>472</v>
      </c>
      <c r="D535" s="29" t="s">
        <v>32</v>
      </c>
      <c r="E535" s="28" t="s">
        <v>676</v>
      </c>
      <c r="F535" s="28" t="s">
        <v>32</v>
      </c>
    </row>
    <row r="536" ht="36" customHeight="1" hidden="1" spans="1:6" x14ac:dyDescent="0.25" outlineLevel="1" collapsed="1">
      <c r="A536" s="27">
        <v>4124</v>
      </c>
      <c r="B536" s="28" t="s">
        <v>735</v>
      </c>
      <c r="C536" s="27" t="s">
        <v>466</v>
      </c>
      <c r="D536" s="29" t="s">
        <v>32</v>
      </c>
      <c r="E536" s="28" t="s">
        <v>759</v>
      </c>
      <c r="F536" s="28" t="s">
        <v>32</v>
      </c>
    </row>
    <row r="537" ht="22" customHeight="1" hidden="1" spans="1:6" x14ac:dyDescent="0.25" outlineLevel="1" collapsed="1">
      <c r="A537" s="34" t="s">
        <v>495</v>
      </c>
      <c r="B537" s="34"/>
      <c r="C537" s="34"/>
      <c r="D537" s="34"/>
      <c r="E537" s="34"/>
      <c r="F537" s="34"/>
    </row>
    <row r="538" ht="24" customHeight="1" hidden="1" spans="1:6" x14ac:dyDescent="0.25" outlineLevel="1" collapsed="1">
      <c r="A538" s="12" t="s">
        <v>805</v>
      </c>
      <c r="B538" s="12"/>
      <c r="C538" s="12"/>
      <c r="D538" s="12"/>
      <c r="E538" s="12"/>
      <c r="F538" s="12"/>
    </row>
    <row r="539" ht="24" customHeight="1" hidden="1" spans="1:6" x14ac:dyDescent="0.25" outlineLevel="1" collapsed="1">
      <c r="A539" s="12" t="s">
        <v>806</v>
      </c>
      <c r="B539" s="12"/>
      <c r="C539" s="12"/>
      <c r="D539" s="12"/>
      <c r="E539" s="12"/>
      <c r="F539" s="12"/>
    </row>
    <row r="540" ht="6" customHeight="1" hidden="1" x14ac:dyDescent="0.25" outlineLevel="1" collapsed="1"/>
    <row r="541" ht="22" customHeight="1" spans="1:6" x14ac:dyDescent="0.25">
      <c r="A541" s="25" t="s">
        <v>738</v>
      </c>
      <c r="B541" s="25"/>
      <c r="C541" s="25"/>
      <c r="D541" s="25"/>
      <c r="E541" s="25"/>
      <c r="F541" s="25"/>
    </row>
    <row r="542" ht="20" customHeight="1" hidden="1" spans="1:6" x14ac:dyDescent="0.25" outlineLevel="1" collapsed="1">
      <c r="A542" s="26" t="s">
        <v>460</v>
      </c>
      <c r="B542" s="26" t="s">
        <v>461</v>
      </c>
      <c r="C542" s="26" t="s">
        <v>462</v>
      </c>
      <c r="D542" s="26" t="s">
        <v>32</v>
      </c>
      <c r="E542" s="26" t="s">
        <v>463</v>
      </c>
      <c r="F542" s="26" t="s">
        <v>464</v>
      </c>
    </row>
    <row r="543" ht="36" customHeight="1" hidden="1" spans="1:6" x14ac:dyDescent="0.25" outlineLevel="1" collapsed="1">
      <c r="A543" s="27">
        <v>4122</v>
      </c>
      <c r="B543" s="28" t="s">
        <v>734</v>
      </c>
      <c r="C543" s="27" t="s">
        <v>472</v>
      </c>
      <c r="D543" s="29" t="s">
        <v>32</v>
      </c>
      <c r="E543" s="36" t="s">
        <v>699</v>
      </c>
      <c r="F543" s="28" t="s">
        <v>32</v>
      </c>
    </row>
    <row r="544" ht="21" customHeight="1" hidden="1" spans="1:6" x14ac:dyDescent="0.25" outlineLevel="1" collapsed="1">
      <c r="A544" s="27">
        <v>4124</v>
      </c>
      <c r="B544" s="28" t="s">
        <v>739</v>
      </c>
      <c r="C544" s="27" t="s">
        <v>466</v>
      </c>
      <c r="D544" s="29" t="s">
        <v>32</v>
      </c>
      <c r="E544" s="28" t="s">
        <v>759</v>
      </c>
      <c r="F544" s="28" t="s">
        <v>32</v>
      </c>
    </row>
    <row r="545" ht="22" customHeight="1" hidden="1" spans="1:6" x14ac:dyDescent="0.25" outlineLevel="1" collapsed="1">
      <c r="A545" s="34" t="s">
        <v>495</v>
      </c>
      <c r="B545" s="34"/>
      <c r="C545" s="34"/>
      <c r="D545" s="34"/>
      <c r="E545" s="34"/>
      <c r="F545" s="34"/>
    </row>
    <row r="546" ht="24" customHeight="1" hidden="1" spans="1:6" x14ac:dyDescent="0.25" outlineLevel="1" collapsed="1">
      <c r="A546" s="12" t="s">
        <v>807</v>
      </c>
      <c r="B546" s="12"/>
      <c r="C546" s="12"/>
      <c r="D546" s="12"/>
      <c r="E546" s="12"/>
      <c r="F546" s="12"/>
    </row>
    <row r="547" ht="24" customHeight="1" hidden="1" spans="1:6" x14ac:dyDescent="0.25" outlineLevel="1" collapsed="1">
      <c r="A547" s="12" t="s">
        <v>806</v>
      </c>
      <c r="B547" s="12"/>
      <c r="C547" s="12"/>
      <c r="D547" s="12"/>
      <c r="E547" s="12"/>
      <c r="F547" s="12"/>
    </row>
    <row r="548" ht="6" customHeight="1" hidden="1" x14ac:dyDescent="0.25" outlineLevel="1" collapsed="1"/>
    <row r="549" ht="22" customHeight="1" spans="1:6" x14ac:dyDescent="0.25">
      <c r="A549" s="25" t="s">
        <v>743</v>
      </c>
      <c r="B549" s="25"/>
      <c r="C549" s="25"/>
      <c r="D549" s="25"/>
      <c r="E549" s="25"/>
      <c r="F549" s="25"/>
    </row>
    <row r="550" ht="20" customHeight="1" hidden="1" spans="1:6" x14ac:dyDescent="0.25" outlineLevel="1" collapsed="1">
      <c r="A550" s="26" t="s">
        <v>460</v>
      </c>
      <c r="B550" s="26" t="s">
        <v>461</v>
      </c>
      <c r="C550" s="26" t="s">
        <v>462</v>
      </c>
      <c r="D550" s="26" t="s">
        <v>32</v>
      </c>
      <c r="E550" s="26" t="s">
        <v>463</v>
      </c>
      <c r="F550" s="26" t="s">
        <v>464</v>
      </c>
    </row>
    <row r="551" ht="66" customHeight="1" hidden="1" spans="1:6" x14ac:dyDescent="0.25" outlineLevel="1" collapsed="1">
      <c r="A551" s="27">
        <v>4122</v>
      </c>
      <c r="B551" s="28" t="s">
        <v>744</v>
      </c>
      <c r="C551" s="27" t="s">
        <v>745</v>
      </c>
      <c r="D551" s="29" t="s">
        <v>32</v>
      </c>
      <c r="E551" s="28" t="s">
        <v>518</v>
      </c>
      <c r="F551" s="28" t="s">
        <v>32</v>
      </c>
    </row>
    <row r="552" ht="22" customHeight="1" hidden="1" spans="1:6" x14ac:dyDescent="0.25" outlineLevel="1" collapsed="1">
      <c r="A552" s="34" t="s">
        <v>495</v>
      </c>
      <c r="B552" s="34"/>
      <c r="C552" s="34"/>
      <c r="D552" s="34"/>
      <c r="E552" s="34"/>
      <c r="F552" s="34"/>
    </row>
    <row r="553" ht="24" customHeight="1" hidden="1" spans="1:6" x14ac:dyDescent="0.25" outlineLevel="1" collapsed="1">
      <c r="A553" s="12" t="s">
        <v>808</v>
      </c>
      <c r="B553" s="12"/>
      <c r="C553" s="12"/>
      <c r="D553" s="12"/>
      <c r="E553" s="12"/>
      <c r="F553" s="12"/>
    </row>
    <row r="554" ht="40" customHeight="1" hidden="1" spans="1:6" x14ac:dyDescent="0.25" outlineLevel="1" collapsed="1">
      <c r="A554" s="12" t="s">
        <v>809</v>
      </c>
      <c r="B554" s="12"/>
      <c r="C554" s="12"/>
      <c r="D554" s="12"/>
      <c r="E554" s="12"/>
      <c r="F554" s="12"/>
    </row>
    <row r="555" ht="6" customHeight="1" hidden="1" x14ac:dyDescent="0.25" outlineLevel="1" collapsed="1"/>
    <row r="556" ht="22" customHeight="1" spans="1:6" x14ac:dyDescent="0.25">
      <c r="A556" s="25" t="s">
        <v>747</v>
      </c>
      <c r="B556" s="25"/>
      <c r="C556" s="25"/>
      <c r="D556" s="25"/>
      <c r="E556" s="25"/>
      <c r="F556" s="25"/>
    </row>
    <row r="557" ht="20" customHeight="1" hidden="1" spans="1:6" x14ac:dyDescent="0.25" outlineLevel="1" collapsed="1">
      <c r="A557" s="26" t="s">
        <v>460</v>
      </c>
      <c r="B557" s="26" t="s">
        <v>461</v>
      </c>
      <c r="C557" s="26" t="s">
        <v>462</v>
      </c>
      <c r="D557" s="26" t="s">
        <v>32</v>
      </c>
      <c r="E557" s="26" t="s">
        <v>463</v>
      </c>
      <c r="F557" s="26" t="s">
        <v>464</v>
      </c>
    </row>
    <row r="558" ht="21" customHeight="1" hidden="1" spans="1:6" x14ac:dyDescent="0.25" outlineLevel="1" collapsed="1">
      <c r="A558" s="27">
        <v>4134</v>
      </c>
      <c r="B558" s="28" t="s">
        <v>748</v>
      </c>
      <c r="C558" s="27" t="s">
        <v>466</v>
      </c>
      <c r="D558" s="29" t="s">
        <v>32</v>
      </c>
      <c r="E558" s="28" t="s">
        <v>676</v>
      </c>
      <c r="F558" s="28" t="s">
        <v>32</v>
      </c>
    </row>
    <row r="559" ht="21" customHeight="1" hidden="1" spans="1:6" x14ac:dyDescent="0.25" outlineLevel="1" collapsed="1">
      <c r="A559" s="27">
        <v>4136</v>
      </c>
      <c r="B559" s="28" t="s">
        <v>750</v>
      </c>
      <c r="C559" s="27" t="s">
        <v>472</v>
      </c>
      <c r="D559" s="29" t="s">
        <v>32</v>
      </c>
      <c r="E559" s="28" t="s">
        <v>759</v>
      </c>
      <c r="F559" s="28" t="s">
        <v>32</v>
      </c>
    </row>
    <row r="560" ht="22" customHeight="1" hidden="1" spans="1:6" x14ac:dyDescent="0.25" outlineLevel="1" collapsed="1">
      <c r="A560" s="34" t="s">
        <v>495</v>
      </c>
      <c r="B560" s="34"/>
      <c r="C560" s="34"/>
      <c r="D560" s="34"/>
      <c r="E560" s="34"/>
      <c r="F560" s="34"/>
    </row>
    <row r="561" ht="24" customHeight="1" hidden="1" spans="1:6" x14ac:dyDescent="0.25" outlineLevel="1" collapsed="1">
      <c r="A561" s="12" t="s">
        <v>810</v>
      </c>
      <c r="B561" s="12"/>
      <c r="C561" s="12"/>
      <c r="D561" s="12"/>
      <c r="E561" s="12"/>
      <c r="F561" s="12"/>
    </row>
    <row r="562" ht="24" customHeight="1" hidden="1" spans="1:6" x14ac:dyDescent="0.25" outlineLevel="1" collapsed="1">
      <c r="A562" s="12" t="s">
        <v>811</v>
      </c>
      <c r="B562" s="12"/>
      <c r="C562" s="12"/>
      <c r="D562" s="12"/>
      <c r="E562" s="12"/>
      <c r="F562" s="12"/>
    </row>
    <row r="563" ht="6" customHeight="1" hidden="1" x14ac:dyDescent="0.25" outlineLevel="1" collapsed="1"/>
    <row r="564" ht="22" customHeight="1" spans="1:6" x14ac:dyDescent="0.25">
      <c r="A564" s="25" t="s">
        <v>755</v>
      </c>
      <c r="B564" s="25"/>
      <c r="C564" s="25"/>
      <c r="D564" s="25"/>
      <c r="E564" s="25"/>
      <c r="F564" s="25"/>
    </row>
    <row r="565" ht="20" customHeight="1" hidden="1" spans="1:6" x14ac:dyDescent="0.25" outlineLevel="1" collapsed="1">
      <c r="A565" s="26" t="s">
        <v>460</v>
      </c>
      <c r="B565" s="26" t="s">
        <v>461</v>
      </c>
      <c r="C565" s="26" t="s">
        <v>462</v>
      </c>
      <c r="D565" s="26" t="s">
        <v>32</v>
      </c>
      <c r="E565" s="26" t="s">
        <v>463</v>
      </c>
      <c r="F565" s="26" t="s">
        <v>464</v>
      </c>
    </row>
    <row r="566" ht="36" customHeight="1" hidden="1" spans="1:6" x14ac:dyDescent="0.25" outlineLevel="1" collapsed="1">
      <c r="A566" s="27">
        <v>4152</v>
      </c>
      <c r="B566" s="28" t="s">
        <v>756</v>
      </c>
      <c r="C566" s="27" t="s">
        <v>745</v>
      </c>
      <c r="D566" s="29" t="s">
        <v>32</v>
      </c>
      <c r="E566" s="28" t="s">
        <v>676</v>
      </c>
      <c r="F566" s="28" t="s">
        <v>32</v>
      </c>
    </row>
    <row r="567" ht="21" customHeight="1" hidden="1" spans="1:6" x14ac:dyDescent="0.25" outlineLevel="1" collapsed="1">
      <c r="A567" s="27">
        <v>4154</v>
      </c>
      <c r="B567" s="28" t="s">
        <v>739</v>
      </c>
      <c r="C567" s="27" t="s">
        <v>758</v>
      </c>
      <c r="D567" s="29" t="s">
        <v>32</v>
      </c>
      <c r="E567" s="28" t="s">
        <v>812</v>
      </c>
      <c r="F567" s="28" t="s">
        <v>32</v>
      </c>
    </row>
    <row r="568" ht="51" customHeight="1" hidden="1" spans="1:6" x14ac:dyDescent="0.25" outlineLevel="1" collapsed="1">
      <c r="A568" s="27">
        <v>4126</v>
      </c>
      <c r="B568" s="28" t="s">
        <v>760</v>
      </c>
      <c r="C568" s="27" t="s">
        <v>761</v>
      </c>
      <c r="D568" s="29" t="s">
        <v>32</v>
      </c>
      <c r="E568" s="36" t="s">
        <v>699</v>
      </c>
      <c r="F568" s="28" t="s">
        <v>32</v>
      </c>
    </row>
    <row r="569" ht="36" customHeight="1" hidden="1" spans="1:6" x14ac:dyDescent="0.25" outlineLevel="1" collapsed="1">
      <c r="A569" s="27">
        <v>4128</v>
      </c>
      <c r="B569" s="28" t="s">
        <v>762</v>
      </c>
      <c r="C569" s="27" t="s">
        <v>761</v>
      </c>
      <c r="D569" s="29" t="s">
        <v>32</v>
      </c>
      <c r="E569" s="36" t="s">
        <v>699</v>
      </c>
      <c r="F569" s="28" t="s">
        <v>32</v>
      </c>
    </row>
    <row r="570" ht="22" customHeight="1" hidden="1" spans="1:6" x14ac:dyDescent="0.25" outlineLevel="1" collapsed="1">
      <c r="A570" s="34" t="s">
        <v>495</v>
      </c>
      <c r="B570" s="34"/>
      <c r="C570" s="34"/>
      <c r="D570" s="34"/>
      <c r="E570" s="34"/>
      <c r="F570" s="34"/>
    </row>
    <row r="571" ht="24" customHeight="1" hidden="1" spans="1:6" x14ac:dyDescent="0.25" outlineLevel="1" collapsed="1">
      <c r="A571" s="12" t="s">
        <v>813</v>
      </c>
      <c r="B571" s="12"/>
      <c r="C571" s="12"/>
      <c r="D571" s="12"/>
      <c r="E571" s="12"/>
      <c r="F571" s="12"/>
    </row>
    <row r="572" ht="24" customHeight="1" hidden="1" spans="1:6" x14ac:dyDescent="0.25" outlineLevel="1" collapsed="1">
      <c r="A572" s="12" t="s">
        <v>814</v>
      </c>
      <c r="B572" s="12"/>
      <c r="C572" s="12"/>
      <c r="D572" s="12"/>
      <c r="E572" s="12"/>
      <c r="F572" s="12"/>
    </row>
    <row r="573" ht="24" customHeight="1" hidden="1" spans="1:6" x14ac:dyDescent="0.25" outlineLevel="1" collapsed="1">
      <c r="A573" s="12" t="s">
        <v>815</v>
      </c>
      <c r="B573" s="12"/>
      <c r="C573" s="12"/>
      <c r="D573" s="12"/>
      <c r="E573" s="12"/>
      <c r="F573" s="12"/>
    </row>
    <row r="574" ht="24" customHeight="1" hidden="1" spans="1:6" x14ac:dyDescent="0.25" outlineLevel="1" collapsed="1">
      <c r="A574" s="12" t="s">
        <v>816</v>
      </c>
      <c r="B574" s="12"/>
      <c r="C574" s="12"/>
      <c r="D574" s="12"/>
      <c r="E574" s="12"/>
      <c r="F574" s="12"/>
    </row>
    <row r="575" ht="6" customHeight="1" hidden="1" x14ac:dyDescent="0.25" outlineLevel="1" collapsed="1"/>
    <row r="576" ht="22" customHeight="1" spans="1:6" x14ac:dyDescent="0.25">
      <c r="A576" s="25" t="s">
        <v>769</v>
      </c>
      <c r="B576" s="25"/>
      <c r="C576" s="25"/>
      <c r="D576" s="25"/>
      <c r="E576" s="25"/>
      <c r="F576" s="25"/>
    </row>
    <row r="577" ht="20" customHeight="1" hidden="1" spans="1:6" x14ac:dyDescent="0.25" outlineLevel="1" collapsed="1">
      <c r="A577" s="26" t="s">
        <v>460</v>
      </c>
      <c r="B577" s="26" t="s">
        <v>461</v>
      </c>
      <c r="C577" s="26" t="s">
        <v>462</v>
      </c>
      <c r="D577" s="26" t="s">
        <v>32</v>
      </c>
      <c r="E577" s="26" t="s">
        <v>463</v>
      </c>
      <c r="F577" s="26" t="s">
        <v>464</v>
      </c>
    </row>
    <row r="578" ht="36" customHeight="1" hidden="1" spans="1:6" x14ac:dyDescent="0.25" outlineLevel="1" collapsed="1">
      <c r="A578" s="27">
        <v>4122</v>
      </c>
      <c r="B578" s="28" t="s">
        <v>36</v>
      </c>
      <c r="C578" s="27" t="s">
        <v>745</v>
      </c>
      <c r="D578" s="29" t="s">
        <v>32</v>
      </c>
      <c r="E578" s="36" t="s">
        <v>699</v>
      </c>
      <c r="F578" s="28" t="s">
        <v>32</v>
      </c>
    </row>
    <row r="579" ht="36" customHeight="1" hidden="1" spans="1:6" x14ac:dyDescent="0.25" outlineLevel="1" collapsed="1">
      <c r="A579" s="27">
        <v>4124</v>
      </c>
      <c r="B579" s="28" t="s">
        <v>739</v>
      </c>
      <c r="C579" s="27" t="s">
        <v>758</v>
      </c>
      <c r="D579" s="29" t="s">
        <v>32</v>
      </c>
      <c r="E579" s="36" t="s">
        <v>699</v>
      </c>
      <c r="F579" s="28" t="s">
        <v>32</v>
      </c>
    </row>
    <row r="580" ht="22" customHeight="1" hidden="1" spans="1:6" x14ac:dyDescent="0.25" outlineLevel="1" collapsed="1">
      <c r="A580" s="34" t="s">
        <v>495</v>
      </c>
      <c r="B580" s="34"/>
      <c r="C580" s="34"/>
      <c r="D580" s="34"/>
      <c r="E580" s="34"/>
      <c r="F580" s="34"/>
    </row>
    <row r="581" ht="24" customHeight="1" hidden="1" spans="1:6" x14ac:dyDescent="0.25" outlineLevel="1" collapsed="1">
      <c r="A581" s="12" t="s">
        <v>817</v>
      </c>
      <c r="B581" s="12"/>
      <c r="C581" s="12"/>
      <c r="D581" s="12"/>
      <c r="E581" s="12"/>
      <c r="F581" s="12"/>
    </row>
    <row r="582" ht="24" customHeight="1" hidden="1" spans="1:6" x14ac:dyDescent="0.25" outlineLevel="1" collapsed="1">
      <c r="A582" s="12" t="s">
        <v>818</v>
      </c>
      <c r="B582" s="12"/>
      <c r="C582" s="12"/>
      <c r="D582" s="12"/>
      <c r="E582" s="12"/>
      <c r="F582" s="12"/>
    </row>
    <row r="583" ht="6" customHeight="1" hidden="1" x14ac:dyDescent="0.25" outlineLevel="1" collapsed="1"/>
    <row r="584" ht="22" customHeight="1" spans="1:6" x14ac:dyDescent="0.25">
      <c r="A584" s="25" t="s">
        <v>772</v>
      </c>
      <c r="B584" s="25"/>
      <c r="C584" s="25"/>
      <c r="D584" s="25"/>
      <c r="E584" s="25"/>
      <c r="F584" s="25"/>
    </row>
    <row r="585" ht="20" customHeight="1" hidden="1" spans="1:6" x14ac:dyDescent="0.25" outlineLevel="1" collapsed="1">
      <c r="A585" s="26" t="s">
        <v>460</v>
      </c>
      <c r="B585" s="26" t="s">
        <v>461</v>
      </c>
      <c r="C585" s="26" t="s">
        <v>462</v>
      </c>
      <c r="D585" s="26" t="s">
        <v>32</v>
      </c>
      <c r="E585" s="26" t="s">
        <v>463</v>
      </c>
      <c r="F585" s="26" t="s">
        <v>464</v>
      </c>
    </row>
    <row r="586" ht="36" customHeight="1" hidden="1" spans="1:6" x14ac:dyDescent="0.25" outlineLevel="1" collapsed="1">
      <c r="A586" s="27">
        <v>4122</v>
      </c>
      <c r="B586" s="28" t="s">
        <v>36</v>
      </c>
      <c r="C586" s="27" t="s">
        <v>745</v>
      </c>
      <c r="D586" s="29" t="s">
        <v>32</v>
      </c>
      <c r="E586" s="36" t="s">
        <v>699</v>
      </c>
      <c r="F586" s="28" t="s">
        <v>32</v>
      </c>
    </row>
    <row r="587" ht="36" customHeight="1" hidden="1" spans="1:6" x14ac:dyDescent="0.25" outlineLevel="1" collapsed="1">
      <c r="A587" s="27">
        <v>4124</v>
      </c>
      <c r="B587" s="28" t="s">
        <v>739</v>
      </c>
      <c r="C587" s="27" t="s">
        <v>758</v>
      </c>
      <c r="D587" s="29" t="s">
        <v>32</v>
      </c>
      <c r="E587" s="36" t="s">
        <v>699</v>
      </c>
      <c r="F587" s="28" t="s">
        <v>32</v>
      </c>
    </row>
    <row r="588" ht="22" customHeight="1" hidden="1" spans="1:6" x14ac:dyDescent="0.25" outlineLevel="1" collapsed="1">
      <c r="A588" s="34" t="s">
        <v>495</v>
      </c>
      <c r="B588" s="34"/>
      <c r="C588" s="34"/>
      <c r="D588" s="34"/>
      <c r="E588" s="34"/>
      <c r="F588" s="34"/>
    </row>
    <row r="589" ht="24" customHeight="1" hidden="1" spans="1:6" x14ac:dyDescent="0.25" outlineLevel="1" collapsed="1">
      <c r="A589" s="12" t="s">
        <v>817</v>
      </c>
      <c r="B589" s="12"/>
      <c r="C589" s="12"/>
      <c r="D589" s="12"/>
      <c r="E589" s="12"/>
      <c r="F589" s="12"/>
    </row>
    <row r="590" ht="24" customHeight="1" hidden="1" spans="1:6" x14ac:dyDescent="0.25" outlineLevel="1" collapsed="1">
      <c r="A590" s="12" t="s">
        <v>818</v>
      </c>
      <c r="B590" s="12"/>
      <c r="C590" s="12"/>
      <c r="D590" s="12"/>
      <c r="E590" s="12"/>
      <c r="F590" s="12"/>
    </row>
    <row r="591" ht="6" customHeight="1" hidden="1" x14ac:dyDescent="0.25" outlineLevel="1" collapsed="1"/>
    <row r="592" ht="22" customHeight="1" spans="1:6" x14ac:dyDescent="0.25">
      <c r="A592" s="25" t="s">
        <v>773</v>
      </c>
      <c r="B592" s="25"/>
      <c r="C592" s="25"/>
      <c r="D592" s="25"/>
      <c r="E592" s="25"/>
      <c r="F592" s="25"/>
    </row>
    <row r="593" ht="20" customHeight="1" hidden="1" spans="1:6" x14ac:dyDescent="0.25" outlineLevel="1" collapsed="1">
      <c r="A593" s="26" t="s">
        <v>460</v>
      </c>
      <c r="B593" s="26" t="s">
        <v>461</v>
      </c>
      <c r="C593" s="26" t="s">
        <v>462</v>
      </c>
      <c r="D593" s="26" t="s">
        <v>32</v>
      </c>
      <c r="E593" s="26" t="s">
        <v>463</v>
      </c>
      <c r="F593" s="26" t="s">
        <v>464</v>
      </c>
    </row>
    <row r="594" ht="36" customHeight="1" hidden="1" spans="1:6" x14ac:dyDescent="0.25" outlineLevel="1" collapsed="1">
      <c r="A594" s="27">
        <v>4122</v>
      </c>
      <c r="B594" s="28" t="s">
        <v>36</v>
      </c>
      <c r="C594" s="27" t="s">
        <v>745</v>
      </c>
      <c r="D594" s="29" t="s">
        <v>32</v>
      </c>
      <c r="E594" s="36" t="s">
        <v>699</v>
      </c>
      <c r="F594" s="28" t="s">
        <v>32</v>
      </c>
    </row>
    <row r="595" ht="36" customHeight="1" hidden="1" spans="1:6" x14ac:dyDescent="0.25" outlineLevel="1" collapsed="1">
      <c r="A595" s="27">
        <v>4124</v>
      </c>
      <c r="B595" s="28" t="s">
        <v>739</v>
      </c>
      <c r="C595" s="27" t="s">
        <v>758</v>
      </c>
      <c r="D595" s="29" t="s">
        <v>32</v>
      </c>
      <c r="E595" s="36" t="s">
        <v>699</v>
      </c>
      <c r="F595" s="28" t="s">
        <v>32</v>
      </c>
    </row>
    <row r="596" ht="22" customHeight="1" hidden="1" spans="1:6" x14ac:dyDescent="0.25" outlineLevel="1" collapsed="1">
      <c r="A596" s="34" t="s">
        <v>495</v>
      </c>
      <c r="B596" s="34"/>
      <c r="C596" s="34"/>
      <c r="D596" s="34"/>
      <c r="E596" s="34"/>
      <c r="F596" s="34"/>
    </row>
    <row r="597" ht="24" customHeight="1" hidden="1" spans="1:6" x14ac:dyDescent="0.25" outlineLevel="1" collapsed="1">
      <c r="A597" s="12" t="s">
        <v>817</v>
      </c>
      <c r="B597" s="12"/>
      <c r="C597" s="12"/>
      <c r="D597" s="12"/>
      <c r="E597" s="12"/>
      <c r="F597" s="12"/>
    </row>
    <row r="598" ht="24" customHeight="1" hidden="1" spans="1:6" x14ac:dyDescent="0.25" outlineLevel="1" collapsed="1">
      <c r="A598" s="12" t="s">
        <v>818</v>
      </c>
      <c r="B598" s="12"/>
      <c r="C598" s="12"/>
      <c r="D598" s="12"/>
      <c r="E598" s="12"/>
      <c r="F598" s="12"/>
    </row>
    <row r="599" ht="6" customHeight="1" hidden="1" x14ac:dyDescent="0.25" outlineLevel="1" collapsed="1"/>
    <row r="600" ht="22" customHeight="1" spans="1:6" x14ac:dyDescent="0.25">
      <c r="A600" s="25" t="s">
        <v>779</v>
      </c>
      <c r="B600" s="25"/>
      <c r="C600" s="25"/>
      <c r="D600" s="25"/>
      <c r="E600" s="25"/>
      <c r="F600" s="25"/>
    </row>
    <row r="601" ht="20" customHeight="1" hidden="1" spans="1:6" x14ac:dyDescent="0.25" outlineLevel="1" collapsed="1">
      <c r="A601" s="26" t="s">
        <v>460</v>
      </c>
      <c r="B601" s="26" t="s">
        <v>461</v>
      </c>
      <c r="C601" s="26" t="s">
        <v>462</v>
      </c>
      <c r="D601" s="26" t="s">
        <v>32</v>
      </c>
      <c r="E601" s="26" t="s">
        <v>463</v>
      </c>
      <c r="F601" s="26" t="s">
        <v>464</v>
      </c>
    </row>
    <row r="602" ht="36" customHeight="1" hidden="1" spans="1:6" x14ac:dyDescent="0.25" outlineLevel="1" collapsed="1">
      <c r="A602" s="27">
        <v>4122</v>
      </c>
      <c r="B602" s="28" t="s">
        <v>36</v>
      </c>
      <c r="C602" s="27" t="s">
        <v>745</v>
      </c>
      <c r="D602" s="29" t="s">
        <v>32</v>
      </c>
      <c r="E602" s="36" t="s">
        <v>699</v>
      </c>
      <c r="F602" s="28" t="s">
        <v>32</v>
      </c>
    </row>
    <row r="603" ht="36" customHeight="1" hidden="1" spans="1:6" x14ac:dyDescent="0.25" outlineLevel="1" collapsed="1">
      <c r="A603" s="27">
        <v>4124</v>
      </c>
      <c r="B603" s="28" t="s">
        <v>739</v>
      </c>
      <c r="C603" s="27" t="s">
        <v>758</v>
      </c>
      <c r="D603" s="29" t="s">
        <v>32</v>
      </c>
      <c r="E603" s="36" t="s">
        <v>699</v>
      </c>
      <c r="F603" s="28" t="s">
        <v>32</v>
      </c>
    </row>
    <row r="604" ht="22" customHeight="1" hidden="1" spans="1:6" x14ac:dyDescent="0.25" outlineLevel="1" collapsed="1">
      <c r="A604" s="34" t="s">
        <v>495</v>
      </c>
      <c r="B604" s="34"/>
      <c r="C604" s="34"/>
      <c r="D604" s="34"/>
      <c r="E604" s="34"/>
      <c r="F604" s="34"/>
    </row>
    <row r="605" ht="24" customHeight="1" hidden="1" spans="1:6" x14ac:dyDescent="0.25" outlineLevel="1" collapsed="1">
      <c r="A605" s="12" t="s">
        <v>817</v>
      </c>
      <c r="B605" s="12"/>
      <c r="C605" s="12"/>
      <c r="D605" s="12"/>
      <c r="E605" s="12"/>
      <c r="F605" s="12"/>
    </row>
    <row r="606" ht="24" customHeight="1" hidden="1" spans="1:6" x14ac:dyDescent="0.25" outlineLevel="1" collapsed="1">
      <c r="A606" s="12" t="s">
        <v>818</v>
      </c>
      <c r="B606" s="12"/>
      <c r="C606" s="12"/>
      <c r="D606" s="12"/>
      <c r="E606" s="12"/>
      <c r="F606" s="12"/>
    </row>
    <row r="607" ht="6" customHeight="1" hidden="1" x14ac:dyDescent="0.25" outlineLevel="1" collapsed="1"/>
    <row r="608" ht="22" customHeight="1" spans="1:6" x14ac:dyDescent="0.25">
      <c r="A608" s="25" t="s">
        <v>780</v>
      </c>
      <c r="B608" s="25"/>
      <c r="C608" s="25"/>
      <c r="D608" s="25"/>
      <c r="E608" s="25"/>
      <c r="F608" s="25"/>
    </row>
    <row r="609" ht="20" customHeight="1" hidden="1" spans="1:6" x14ac:dyDescent="0.25" outlineLevel="1" collapsed="1">
      <c r="A609" s="26" t="s">
        <v>460</v>
      </c>
      <c r="B609" s="26" t="s">
        <v>461</v>
      </c>
      <c r="C609" s="26" t="s">
        <v>462</v>
      </c>
      <c r="D609" s="26" t="s">
        <v>32</v>
      </c>
      <c r="E609" s="26" t="s">
        <v>463</v>
      </c>
      <c r="F609" s="26" t="s">
        <v>464</v>
      </c>
    </row>
    <row r="610" ht="21" customHeight="1" hidden="1" spans="1:6" x14ac:dyDescent="0.25" outlineLevel="1" collapsed="1">
      <c r="A610" s="27">
        <v>4122</v>
      </c>
      <c r="B610" s="28" t="s">
        <v>36</v>
      </c>
      <c r="C610" s="27" t="s">
        <v>745</v>
      </c>
      <c r="D610" s="29" t="s">
        <v>32</v>
      </c>
      <c r="E610" s="28" t="s">
        <v>518</v>
      </c>
      <c r="F610" s="28" t="s">
        <v>32</v>
      </c>
    </row>
    <row r="611" ht="21" customHeight="1" hidden="1" spans="1:6" x14ac:dyDescent="0.25" outlineLevel="1" collapsed="1">
      <c r="A611" s="27">
        <v>4124</v>
      </c>
      <c r="B611" s="28" t="s">
        <v>739</v>
      </c>
      <c r="C611" s="27" t="s">
        <v>758</v>
      </c>
      <c r="D611" s="29" t="s">
        <v>32</v>
      </c>
      <c r="E611" s="28" t="s">
        <v>506</v>
      </c>
      <c r="F611" s="28" t="s">
        <v>32</v>
      </c>
    </row>
    <row r="612" ht="22" customHeight="1" hidden="1" spans="1:6" x14ac:dyDescent="0.25" outlineLevel="1" collapsed="1">
      <c r="A612" s="34" t="s">
        <v>495</v>
      </c>
      <c r="B612" s="34"/>
      <c r="C612" s="34"/>
      <c r="D612" s="34"/>
      <c r="E612" s="34"/>
      <c r="F612" s="34"/>
    </row>
    <row r="613" ht="24" customHeight="1" hidden="1" spans="1:6" x14ac:dyDescent="0.25" outlineLevel="1" collapsed="1">
      <c r="A613" s="12" t="s">
        <v>808</v>
      </c>
      <c r="B613" s="12"/>
      <c r="C613" s="12"/>
      <c r="D613" s="12"/>
      <c r="E613" s="12"/>
      <c r="F613" s="12"/>
    </row>
    <row r="614" ht="24" customHeight="1" hidden="1" spans="1:6" x14ac:dyDescent="0.25" outlineLevel="1" collapsed="1">
      <c r="A614" s="12" t="s">
        <v>819</v>
      </c>
      <c r="B614" s="12"/>
      <c r="C614" s="12"/>
      <c r="D614" s="12"/>
      <c r="E614" s="12"/>
      <c r="F614" s="12"/>
    </row>
    <row r="615" ht="6" customHeight="1" hidden="1" x14ac:dyDescent="0.25" outlineLevel="1" collapsed="1"/>
    <row r="616" ht="22" customHeight="1" spans="1:6" x14ac:dyDescent="0.25">
      <c r="A616" s="25" t="s">
        <v>783</v>
      </c>
      <c r="B616" s="25"/>
      <c r="C616" s="25"/>
      <c r="D616" s="25"/>
      <c r="E616" s="25"/>
      <c r="F616" s="25"/>
    </row>
    <row r="617" ht="20" customHeight="1" hidden="1" spans="1:6" x14ac:dyDescent="0.25" outlineLevel="1" collapsed="1">
      <c r="A617" s="26" t="s">
        <v>460</v>
      </c>
      <c r="B617" s="26" t="s">
        <v>461</v>
      </c>
      <c r="C617" s="26" t="s">
        <v>462</v>
      </c>
      <c r="D617" s="26" t="s">
        <v>32</v>
      </c>
      <c r="E617" s="26" t="s">
        <v>463</v>
      </c>
      <c r="F617" s="26" t="s">
        <v>464</v>
      </c>
    </row>
    <row r="618" ht="21" customHeight="1" hidden="1" spans="1:6" x14ac:dyDescent="0.25" outlineLevel="1" collapsed="1">
      <c r="A618" s="27">
        <v>4122</v>
      </c>
      <c r="B618" s="28" t="s">
        <v>36</v>
      </c>
      <c r="C618" s="27" t="s">
        <v>745</v>
      </c>
      <c r="D618" s="29" t="s">
        <v>32</v>
      </c>
      <c r="E618" s="28" t="s">
        <v>676</v>
      </c>
      <c r="F618" s="28" t="s">
        <v>32</v>
      </c>
    </row>
    <row r="619" ht="21" customHeight="1" hidden="1" spans="1:6" x14ac:dyDescent="0.25" outlineLevel="1" collapsed="1">
      <c r="A619" s="27">
        <v>4124</v>
      </c>
      <c r="B619" s="28" t="s">
        <v>739</v>
      </c>
      <c r="C619" s="27" t="s">
        <v>758</v>
      </c>
      <c r="D619" s="29" t="s">
        <v>32</v>
      </c>
      <c r="E619" s="28" t="s">
        <v>712</v>
      </c>
      <c r="F619" s="28" t="s">
        <v>32</v>
      </c>
    </row>
    <row r="620" ht="22" customHeight="1" hidden="1" spans="1:6" x14ac:dyDescent="0.25" outlineLevel="1" collapsed="1">
      <c r="A620" s="34" t="s">
        <v>495</v>
      </c>
      <c r="B620" s="34"/>
      <c r="C620" s="34"/>
      <c r="D620" s="34"/>
      <c r="E620" s="34"/>
      <c r="F620" s="34"/>
    </row>
    <row r="621" ht="24" customHeight="1" hidden="1" spans="1:6" x14ac:dyDescent="0.25" outlineLevel="1" collapsed="1">
      <c r="A621" s="12" t="s">
        <v>820</v>
      </c>
      <c r="B621" s="12"/>
      <c r="C621" s="12"/>
      <c r="D621" s="12"/>
      <c r="E621" s="12"/>
      <c r="F621" s="12"/>
    </row>
    <row r="622" ht="24" customHeight="1" hidden="1" spans="1:6" x14ac:dyDescent="0.25" outlineLevel="1" collapsed="1">
      <c r="A622" s="12" t="s">
        <v>821</v>
      </c>
      <c r="B622" s="12"/>
      <c r="C622" s="12"/>
      <c r="D622" s="12"/>
      <c r="E622" s="12"/>
      <c r="F622" s="12"/>
    </row>
    <row r="623" ht="6" customHeight="1" hidden="1" x14ac:dyDescent="0.25" outlineLevel="1" collapsed="1"/>
    <row r="624" ht="12" customHeight="1" x14ac:dyDescent="0.25"/>
    <row r="625" ht="24" customHeight="1" spans="1:6" x14ac:dyDescent="0.25">
      <c r="A625" s="24" t="s">
        <v>717</v>
      </c>
      <c r="B625" s="24"/>
      <c r="C625" s="24"/>
      <c r="D625" s="24"/>
      <c r="E625" s="24"/>
      <c r="F625" s="24"/>
    </row>
    <row r="626" ht="22" customHeight="1" spans="1:6" x14ac:dyDescent="0.25">
      <c r="A626" s="25" t="s">
        <v>722</v>
      </c>
      <c r="B626" s="25"/>
      <c r="C626" s="25"/>
      <c r="D626" s="25"/>
      <c r="E626" s="25"/>
      <c r="F626" s="25"/>
    </row>
    <row r="627" ht="20" customHeight="1" hidden="1" spans="1:6" x14ac:dyDescent="0.25" outlineLevel="1" collapsed="1">
      <c r="A627" s="26" t="s">
        <v>460</v>
      </c>
      <c r="B627" s="26" t="s">
        <v>461</v>
      </c>
      <c r="C627" s="26" t="s">
        <v>462</v>
      </c>
      <c r="D627" s="26" t="s">
        <v>32</v>
      </c>
      <c r="E627" s="26" t="s">
        <v>463</v>
      </c>
      <c r="F627" s="26" t="s">
        <v>464</v>
      </c>
    </row>
    <row r="628" ht="21" customHeight="1" hidden="1" spans="1:6" x14ac:dyDescent="0.25" outlineLevel="1" collapsed="1">
      <c r="A628" s="27">
        <v>4122</v>
      </c>
      <c r="B628" s="28" t="s">
        <v>723</v>
      </c>
      <c r="C628" s="27" t="s">
        <v>466</v>
      </c>
      <c r="D628" s="29" t="s">
        <v>32</v>
      </c>
      <c r="E628" s="28" t="s">
        <v>676</v>
      </c>
      <c r="F628" s="28" t="s">
        <v>32</v>
      </c>
    </row>
    <row r="629" ht="36" customHeight="1" hidden="1" spans="1:6" x14ac:dyDescent="0.25" outlineLevel="1" collapsed="1">
      <c r="A629" s="27">
        <v>4124</v>
      </c>
      <c r="B629" s="28" t="s">
        <v>727</v>
      </c>
      <c r="C629" s="27" t="s">
        <v>472</v>
      </c>
      <c r="D629" s="29" t="s">
        <v>32</v>
      </c>
      <c r="E629" s="28" t="s">
        <v>759</v>
      </c>
      <c r="F629" s="28" t="s">
        <v>32</v>
      </c>
    </row>
    <row r="630" ht="22" customHeight="1" hidden="1" spans="1:6" x14ac:dyDescent="0.25" outlineLevel="1" collapsed="1">
      <c r="A630" s="34" t="s">
        <v>495</v>
      </c>
      <c r="B630" s="34"/>
      <c r="C630" s="34"/>
      <c r="D630" s="34"/>
      <c r="E630" s="34"/>
      <c r="F630" s="34"/>
    </row>
    <row r="631" ht="24" customHeight="1" hidden="1" spans="1:6" x14ac:dyDescent="0.25" outlineLevel="1" collapsed="1">
      <c r="A631" s="12" t="s">
        <v>803</v>
      </c>
      <c r="B631" s="12"/>
      <c r="C631" s="12"/>
      <c r="D631" s="12"/>
      <c r="E631" s="12"/>
      <c r="F631" s="12"/>
    </row>
    <row r="632" ht="24" customHeight="1" hidden="1" spans="1:6" x14ac:dyDescent="0.25" outlineLevel="1" collapsed="1">
      <c r="A632" s="12" t="s">
        <v>804</v>
      </c>
      <c r="B632" s="12"/>
      <c r="C632" s="12"/>
      <c r="D632" s="12"/>
      <c r="E632" s="12"/>
      <c r="F632" s="12"/>
    </row>
    <row r="633" ht="6" customHeight="1" hidden="1" x14ac:dyDescent="0.25" outlineLevel="1" collapsed="1"/>
    <row r="634" ht="22" customHeight="1" spans="1:6" x14ac:dyDescent="0.25">
      <c r="A634" s="25" t="s">
        <v>733</v>
      </c>
      <c r="B634" s="25"/>
      <c r="C634" s="25"/>
      <c r="D634" s="25"/>
      <c r="E634" s="25"/>
      <c r="F634" s="25"/>
    </row>
    <row r="635" ht="20" customHeight="1" hidden="1" spans="1:6" x14ac:dyDescent="0.25" outlineLevel="1" collapsed="1">
      <c r="A635" s="26" t="s">
        <v>460</v>
      </c>
      <c r="B635" s="26" t="s">
        <v>461</v>
      </c>
      <c r="C635" s="26" t="s">
        <v>462</v>
      </c>
      <c r="D635" s="26" t="s">
        <v>32</v>
      </c>
      <c r="E635" s="26" t="s">
        <v>463</v>
      </c>
      <c r="F635" s="26" t="s">
        <v>464</v>
      </c>
    </row>
    <row r="636" ht="21" customHeight="1" hidden="1" spans="1:6" x14ac:dyDescent="0.25" outlineLevel="1" collapsed="1">
      <c r="A636" s="27">
        <v>4122</v>
      </c>
      <c r="B636" s="28" t="s">
        <v>734</v>
      </c>
      <c r="C636" s="27" t="s">
        <v>472</v>
      </c>
      <c r="D636" s="29" t="s">
        <v>32</v>
      </c>
      <c r="E636" s="28" t="s">
        <v>676</v>
      </c>
      <c r="F636" s="28" t="s">
        <v>32</v>
      </c>
    </row>
    <row r="637" ht="36" customHeight="1" hidden="1" spans="1:6" x14ac:dyDescent="0.25" outlineLevel="1" collapsed="1">
      <c r="A637" s="27">
        <v>4124</v>
      </c>
      <c r="B637" s="28" t="s">
        <v>735</v>
      </c>
      <c r="C637" s="27" t="s">
        <v>466</v>
      </c>
      <c r="D637" s="29" t="s">
        <v>32</v>
      </c>
      <c r="E637" s="28" t="s">
        <v>759</v>
      </c>
      <c r="F637" s="28" t="s">
        <v>32</v>
      </c>
    </row>
    <row r="638" ht="22" customHeight="1" hidden="1" spans="1:6" x14ac:dyDescent="0.25" outlineLevel="1" collapsed="1">
      <c r="A638" s="34" t="s">
        <v>495</v>
      </c>
      <c r="B638" s="34"/>
      <c r="C638" s="34"/>
      <c r="D638" s="34"/>
      <c r="E638" s="34"/>
      <c r="F638" s="34"/>
    </row>
    <row r="639" ht="24" customHeight="1" hidden="1" spans="1:6" x14ac:dyDescent="0.25" outlineLevel="1" collapsed="1">
      <c r="A639" s="12" t="s">
        <v>805</v>
      </c>
      <c r="B639" s="12"/>
      <c r="C639" s="12"/>
      <c r="D639" s="12"/>
      <c r="E639" s="12"/>
      <c r="F639" s="12"/>
    </row>
    <row r="640" ht="24" customHeight="1" hidden="1" spans="1:6" x14ac:dyDescent="0.25" outlineLevel="1" collapsed="1">
      <c r="A640" s="12" t="s">
        <v>806</v>
      </c>
      <c r="B640" s="12"/>
      <c r="C640" s="12"/>
      <c r="D640" s="12"/>
      <c r="E640" s="12"/>
      <c r="F640" s="12"/>
    </row>
    <row r="641" ht="6" customHeight="1" hidden="1" x14ac:dyDescent="0.25" outlineLevel="1" collapsed="1"/>
    <row r="642" ht="22" customHeight="1" spans="1:6" x14ac:dyDescent="0.25">
      <c r="A642" s="25" t="s">
        <v>738</v>
      </c>
      <c r="B642" s="25"/>
      <c r="C642" s="25"/>
      <c r="D642" s="25"/>
      <c r="E642" s="25"/>
      <c r="F642" s="25"/>
    </row>
    <row r="643" ht="20" customHeight="1" hidden="1" spans="1:6" x14ac:dyDescent="0.25" outlineLevel="1" collapsed="1">
      <c r="A643" s="26" t="s">
        <v>460</v>
      </c>
      <c r="B643" s="26" t="s">
        <v>461</v>
      </c>
      <c r="C643" s="26" t="s">
        <v>462</v>
      </c>
      <c r="D643" s="26" t="s">
        <v>32</v>
      </c>
      <c r="E643" s="26" t="s">
        <v>463</v>
      </c>
      <c r="F643" s="26" t="s">
        <v>464</v>
      </c>
    </row>
    <row r="644" ht="36" customHeight="1" hidden="1" spans="1:6" x14ac:dyDescent="0.25" outlineLevel="1" collapsed="1">
      <c r="A644" s="27">
        <v>4122</v>
      </c>
      <c r="B644" s="28" t="s">
        <v>734</v>
      </c>
      <c r="C644" s="27" t="s">
        <v>472</v>
      </c>
      <c r="D644" s="29" t="s">
        <v>32</v>
      </c>
      <c r="E644" s="36" t="s">
        <v>699</v>
      </c>
      <c r="F644" s="28" t="s">
        <v>32</v>
      </c>
    </row>
    <row r="645" ht="21" customHeight="1" hidden="1" spans="1:6" x14ac:dyDescent="0.25" outlineLevel="1" collapsed="1">
      <c r="A645" s="27">
        <v>4124</v>
      </c>
      <c r="B645" s="28" t="s">
        <v>739</v>
      </c>
      <c r="C645" s="27" t="s">
        <v>466</v>
      </c>
      <c r="D645" s="29" t="s">
        <v>32</v>
      </c>
      <c r="E645" s="28" t="s">
        <v>759</v>
      </c>
      <c r="F645" s="28" t="s">
        <v>32</v>
      </c>
    </row>
    <row r="646" ht="22" customHeight="1" hidden="1" spans="1:6" x14ac:dyDescent="0.25" outlineLevel="1" collapsed="1">
      <c r="A646" s="34" t="s">
        <v>495</v>
      </c>
      <c r="B646" s="34"/>
      <c r="C646" s="34"/>
      <c r="D646" s="34"/>
      <c r="E646" s="34"/>
      <c r="F646" s="34"/>
    </row>
    <row r="647" ht="24" customHeight="1" hidden="1" spans="1:6" x14ac:dyDescent="0.25" outlineLevel="1" collapsed="1">
      <c r="A647" s="12" t="s">
        <v>807</v>
      </c>
      <c r="B647" s="12"/>
      <c r="C647" s="12"/>
      <c r="D647" s="12"/>
      <c r="E647" s="12"/>
      <c r="F647" s="12"/>
    </row>
    <row r="648" ht="24" customHeight="1" hidden="1" spans="1:6" x14ac:dyDescent="0.25" outlineLevel="1" collapsed="1">
      <c r="A648" s="12" t="s">
        <v>806</v>
      </c>
      <c r="B648" s="12"/>
      <c r="C648" s="12"/>
      <c r="D648" s="12"/>
      <c r="E648" s="12"/>
      <c r="F648" s="12"/>
    </row>
    <row r="649" ht="6" customHeight="1" hidden="1" x14ac:dyDescent="0.25" outlineLevel="1" collapsed="1"/>
    <row r="650" ht="22" customHeight="1" spans="1:6" x14ac:dyDescent="0.25">
      <c r="A650" s="25" t="s">
        <v>743</v>
      </c>
      <c r="B650" s="25"/>
      <c r="C650" s="25"/>
      <c r="D650" s="25"/>
      <c r="E650" s="25"/>
      <c r="F650" s="25"/>
    </row>
    <row r="651" ht="20" customHeight="1" hidden="1" spans="1:6" x14ac:dyDescent="0.25" outlineLevel="1" collapsed="1">
      <c r="A651" s="26" t="s">
        <v>460</v>
      </c>
      <c r="B651" s="26" t="s">
        <v>461</v>
      </c>
      <c r="C651" s="26" t="s">
        <v>462</v>
      </c>
      <c r="D651" s="26" t="s">
        <v>32</v>
      </c>
      <c r="E651" s="26" t="s">
        <v>463</v>
      </c>
      <c r="F651" s="26" t="s">
        <v>464</v>
      </c>
    </row>
    <row r="652" ht="66" customHeight="1" hidden="1" spans="1:6" x14ac:dyDescent="0.25" outlineLevel="1" collapsed="1">
      <c r="A652" s="27">
        <v>4122</v>
      </c>
      <c r="B652" s="28" t="s">
        <v>744</v>
      </c>
      <c r="C652" s="27" t="s">
        <v>745</v>
      </c>
      <c r="D652" s="29" t="s">
        <v>32</v>
      </c>
      <c r="E652" s="28" t="s">
        <v>518</v>
      </c>
      <c r="F652" s="28" t="s">
        <v>32</v>
      </c>
    </row>
    <row r="653" ht="22" customHeight="1" hidden="1" spans="1:6" x14ac:dyDescent="0.25" outlineLevel="1" collapsed="1">
      <c r="A653" s="34" t="s">
        <v>495</v>
      </c>
      <c r="B653" s="34"/>
      <c r="C653" s="34"/>
      <c r="D653" s="34"/>
      <c r="E653" s="34"/>
      <c r="F653" s="34"/>
    </row>
    <row r="654" ht="24" customHeight="1" hidden="1" spans="1:6" x14ac:dyDescent="0.25" outlineLevel="1" collapsed="1">
      <c r="A654" s="12" t="s">
        <v>808</v>
      </c>
      <c r="B654" s="12"/>
      <c r="C654" s="12"/>
      <c r="D654" s="12"/>
      <c r="E654" s="12"/>
      <c r="F654" s="12"/>
    </row>
    <row r="655" ht="40" customHeight="1" hidden="1" spans="1:6" x14ac:dyDescent="0.25" outlineLevel="1" collapsed="1">
      <c r="A655" s="12" t="s">
        <v>809</v>
      </c>
      <c r="B655" s="12"/>
      <c r="C655" s="12"/>
      <c r="D655" s="12"/>
      <c r="E655" s="12"/>
      <c r="F655" s="12"/>
    </row>
    <row r="656" ht="6" customHeight="1" hidden="1" x14ac:dyDescent="0.25" outlineLevel="1" collapsed="1"/>
    <row r="657" ht="22" customHeight="1" spans="1:6" x14ac:dyDescent="0.25">
      <c r="A657" s="25" t="s">
        <v>747</v>
      </c>
      <c r="B657" s="25"/>
      <c r="C657" s="25"/>
      <c r="D657" s="25"/>
      <c r="E657" s="25"/>
      <c r="F657" s="25"/>
    </row>
    <row r="658" ht="20" customHeight="1" hidden="1" spans="1:6" x14ac:dyDescent="0.25" outlineLevel="1" collapsed="1">
      <c r="A658" s="26" t="s">
        <v>460</v>
      </c>
      <c r="B658" s="26" t="s">
        <v>461</v>
      </c>
      <c r="C658" s="26" t="s">
        <v>462</v>
      </c>
      <c r="D658" s="26" t="s">
        <v>32</v>
      </c>
      <c r="E658" s="26" t="s">
        <v>463</v>
      </c>
      <c r="F658" s="26" t="s">
        <v>464</v>
      </c>
    </row>
    <row r="659" ht="21" customHeight="1" hidden="1" spans="1:6" x14ac:dyDescent="0.25" outlineLevel="1" collapsed="1">
      <c r="A659" s="27">
        <v>4134</v>
      </c>
      <c r="B659" s="28" t="s">
        <v>748</v>
      </c>
      <c r="C659" s="27" t="s">
        <v>466</v>
      </c>
      <c r="D659" s="29" t="s">
        <v>32</v>
      </c>
      <c r="E659" s="28" t="s">
        <v>676</v>
      </c>
      <c r="F659" s="28" t="s">
        <v>32</v>
      </c>
    </row>
    <row r="660" ht="21" customHeight="1" hidden="1" spans="1:6" x14ac:dyDescent="0.25" outlineLevel="1" collapsed="1">
      <c r="A660" s="27">
        <v>4136</v>
      </c>
      <c r="B660" s="28" t="s">
        <v>750</v>
      </c>
      <c r="C660" s="27" t="s">
        <v>472</v>
      </c>
      <c r="D660" s="29" t="s">
        <v>32</v>
      </c>
      <c r="E660" s="28" t="s">
        <v>759</v>
      </c>
      <c r="F660" s="28" t="s">
        <v>32</v>
      </c>
    </row>
    <row r="661" ht="22" customHeight="1" hidden="1" spans="1:6" x14ac:dyDescent="0.25" outlineLevel="1" collapsed="1">
      <c r="A661" s="34" t="s">
        <v>495</v>
      </c>
      <c r="B661" s="34"/>
      <c r="C661" s="34"/>
      <c r="D661" s="34"/>
      <c r="E661" s="34"/>
      <c r="F661" s="34"/>
    </row>
    <row r="662" ht="24" customHeight="1" hidden="1" spans="1:6" x14ac:dyDescent="0.25" outlineLevel="1" collapsed="1">
      <c r="A662" s="12" t="s">
        <v>810</v>
      </c>
      <c r="B662" s="12"/>
      <c r="C662" s="12"/>
      <c r="D662" s="12"/>
      <c r="E662" s="12"/>
      <c r="F662" s="12"/>
    </row>
    <row r="663" ht="24" customHeight="1" hidden="1" spans="1:6" x14ac:dyDescent="0.25" outlineLevel="1" collapsed="1">
      <c r="A663" s="12" t="s">
        <v>811</v>
      </c>
      <c r="B663" s="12"/>
      <c r="C663" s="12"/>
      <c r="D663" s="12"/>
      <c r="E663" s="12"/>
      <c r="F663" s="12"/>
    </row>
    <row r="664" ht="6" customHeight="1" hidden="1" x14ac:dyDescent="0.25" outlineLevel="1" collapsed="1"/>
    <row r="665" ht="22" customHeight="1" spans="1:6" x14ac:dyDescent="0.25">
      <c r="A665" s="25" t="s">
        <v>755</v>
      </c>
      <c r="B665" s="25"/>
      <c r="C665" s="25"/>
      <c r="D665" s="25"/>
      <c r="E665" s="25"/>
      <c r="F665" s="25"/>
    </row>
    <row r="666" ht="20" customHeight="1" hidden="1" spans="1:6" x14ac:dyDescent="0.25" outlineLevel="1" collapsed="1">
      <c r="A666" s="26" t="s">
        <v>460</v>
      </c>
      <c r="B666" s="26" t="s">
        <v>461</v>
      </c>
      <c r="C666" s="26" t="s">
        <v>462</v>
      </c>
      <c r="D666" s="26" t="s">
        <v>32</v>
      </c>
      <c r="E666" s="26" t="s">
        <v>463</v>
      </c>
      <c r="F666" s="26" t="s">
        <v>464</v>
      </c>
    </row>
    <row r="667" ht="36" customHeight="1" hidden="1" spans="1:6" x14ac:dyDescent="0.25" outlineLevel="1" collapsed="1">
      <c r="A667" s="27">
        <v>4152</v>
      </c>
      <c r="B667" s="28" t="s">
        <v>756</v>
      </c>
      <c r="C667" s="27" t="s">
        <v>745</v>
      </c>
      <c r="D667" s="29" t="s">
        <v>32</v>
      </c>
      <c r="E667" s="28" t="s">
        <v>676</v>
      </c>
      <c r="F667" s="28" t="s">
        <v>32</v>
      </c>
    </row>
    <row r="668" ht="21" customHeight="1" hidden="1" spans="1:6" x14ac:dyDescent="0.25" outlineLevel="1" collapsed="1">
      <c r="A668" s="27">
        <v>4154</v>
      </c>
      <c r="B668" s="28" t="s">
        <v>739</v>
      </c>
      <c r="C668" s="27" t="s">
        <v>758</v>
      </c>
      <c r="D668" s="29" t="s">
        <v>32</v>
      </c>
      <c r="E668" s="28" t="s">
        <v>812</v>
      </c>
      <c r="F668" s="28" t="s">
        <v>32</v>
      </c>
    </row>
    <row r="669" ht="51" customHeight="1" hidden="1" spans="1:6" x14ac:dyDescent="0.25" outlineLevel="1" collapsed="1">
      <c r="A669" s="27">
        <v>4126</v>
      </c>
      <c r="B669" s="28" t="s">
        <v>760</v>
      </c>
      <c r="C669" s="27" t="s">
        <v>761</v>
      </c>
      <c r="D669" s="29" t="s">
        <v>32</v>
      </c>
      <c r="E669" s="36" t="s">
        <v>699</v>
      </c>
      <c r="F669" s="28" t="s">
        <v>32</v>
      </c>
    </row>
    <row r="670" ht="36" customHeight="1" hidden="1" spans="1:6" x14ac:dyDescent="0.25" outlineLevel="1" collapsed="1">
      <c r="A670" s="27">
        <v>4128</v>
      </c>
      <c r="B670" s="28" t="s">
        <v>762</v>
      </c>
      <c r="C670" s="27" t="s">
        <v>761</v>
      </c>
      <c r="D670" s="29" t="s">
        <v>32</v>
      </c>
      <c r="E670" s="36" t="s">
        <v>699</v>
      </c>
      <c r="F670" s="28" t="s">
        <v>32</v>
      </c>
    </row>
    <row r="671" ht="22" customHeight="1" hidden="1" spans="1:6" x14ac:dyDescent="0.25" outlineLevel="1" collapsed="1">
      <c r="A671" s="34" t="s">
        <v>495</v>
      </c>
      <c r="B671" s="34"/>
      <c r="C671" s="34"/>
      <c r="D671" s="34"/>
      <c r="E671" s="34"/>
      <c r="F671" s="34"/>
    </row>
    <row r="672" ht="24" customHeight="1" hidden="1" spans="1:6" x14ac:dyDescent="0.25" outlineLevel="1" collapsed="1">
      <c r="A672" s="12" t="s">
        <v>813</v>
      </c>
      <c r="B672" s="12"/>
      <c r="C672" s="12"/>
      <c r="D672" s="12"/>
      <c r="E672" s="12"/>
      <c r="F672" s="12"/>
    </row>
    <row r="673" ht="24" customHeight="1" hidden="1" spans="1:6" x14ac:dyDescent="0.25" outlineLevel="1" collapsed="1">
      <c r="A673" s="12" t="s">
        <v>814</v>
      </c>
      <c r="B673" s="12"/>
      <c r="C673" s="12"/>
      <c r="D673" s="12"/>
      <c r="E673" s="12"/>
      <c r="F673" s="12"/>
    </row>
    <row r="674" ht="24" customHeight="1" hidden="1" spans="1:6" x14ac:dyDescent="0.25" outlineLevel="1" collapsed="1">
      <c r="A674" s="12" t="s">
        <v>815</v>
      </c>
      <c r="B674" s="12"/>
      <c r="C674" s="12"/>
      <c r="D674" s="12"/>
      <c r="E674" s="12"/>
      <c r="F674" s="12"/>
    </row>
    <row r="675" ht="24" customHeight="1" hidden="1" spans="1:6" x14ac:dyDescent="0.25" outlineLevel="1" collapsed="1">
      <c r="A675" s="12" t="s">
        <v>816</v>
      </c>
      <c r="B675" s="12"/>
      <c r="C675" s="12"/>
      <c r="D675" s="12"/>
      <c r="E675" s="12"/>
      <c r="F675" s="12"/>
    </row>
    <row r="676" ht="6" customHeight="1" hidden="1" x14ac:dyDescent="0.25" outlineLevel="1" collapsed="1"/>
    <row r="677" ht="22" customHeight="1" spans="1:6" x14ac:dyDescent="0.25">
      <c r="A677" s="25" t="s">
        <v>769</v>
      </c>
      <c r="B677" s="25"/>
      <c r="C677" s="25"/>
      <c r="D677" s="25"/>
      <c r="E677" s="25"/>
      <c r="F677" s="25"/>
    </row>
    <row r="678" ht="20" customHeight="1" hidden="1" spans="1:6" x14ac:dyDescent="0.25" outlineLevel="1" collapsed="1">
      <c r="A678" s="26" t="s">
        <v>460</v>
      </c>
      <c r="B678" s="26" t="s">
        <v>461</v>
      </c>
      <c r="C678" s="26" t="s">
        <v>462</v>
      </c>
      <c r="D678" s="26" t="s">
        <v>32</v>
      </c>
      <c r="E678" s="26" t="s">
        <v>463</v>
      </c>
      <c r="F678" s="26" t="s">
        <v>464</v>
      </c>
    </row>
    <row r="679" ht="36" customHeight="1" hidden="1" spans="1:6" x14ac:dyDescent="0.25" outlineLevel="1" collapsed="1">
      <c r="A679" s="27">
        <v>4122</v>
      </c>
      <c r="B679" s="28" t="s">
        <v>36</v>
      </c>
      <c r="C679" s="27" t="s">
        <v>745</v>
      </c>
      <c r="D679" s="29" t="s">
        <v>32</v>
      </c>
      <c r="E679" s="36" t="s">
        <v>699</v>
      </c>
      <c r="F679" s="28" t="s">
        <v>32</v>
      </c>
    </row>
    <row r="680" ht="36" customHeight="1" hidden="1" spans="1:6" x14ac:dyDescent="0.25" outlineLevel="1" collapsed="1">
      <c r="A680" s="27">
        <v>4124</v>
      </c>
      <c r="B680" s="28" t="s">
        <v>739</v>
      </c>
      <c r="C680" s="27" t="s">
        <v>758</v>
      </c>
      <c r="D680" s="29" t="s">
        <v>32</v>
      </c>
      <c r="E680" s="36" t="s">
        <v>699</v>
      </c>
      <c r="F680" s="28" t="s">
        <v>32</v>
      </c>
    </row>
    <row r="681" ht="22" customHeight="1" hidden="1" spans="1:6" x14ac:dyDescent="0.25" outlineLevel="1" collapsed="1">
      <c r="A681" s="34" t="s">
        <v>495</v>
      </c>
      <c r="B681" s="34"/>
      <c r="C681" s="34"/>
      <c r="D681" s="34"/>
      <c r="E681" s="34"/>
      <c r="F681" s="34"/>
    </row>
    <row r="682" ht="24" customHeight="1" hidden="1" spans="1:6" x14ac:dyDescent="0.25" outlineLevel="1" collapsed="1">
      <c r="A682" s="12" t="s">
        <v>817</v>
      </c>
      <c r="B682" s="12"/>
      <c r="C682" s="12"/>
      <c r="D682" s="12"/>
      <c r="E682" s="12"/>
      <c r="F682" s="12"/>
    </row>
    <row r="683" ht="24" customHeight="1" hidden="1" spans="1:6" x14ac:dyDescent="0.25" outlineLevel="1" collapsed="1">
      <c r="A683" s="12" t="s">
        <v>818</v>
      </c>
      <c r="B683" s="12"/>
      <c r="C683" s="12"/>
      <c r="D683" s="12"/>
      <c r="E683" s="12"/>
      <c r="F683" s="12"/>
    </row>
    <row r="684" ht="6" customHeight="1" hidden="1" x14ac:dyDescent="0.25" outlineLevel="1" collapsed="1"/>
    <row r="685" ht="22" customHeight="1" spans="1:6" x14ac:dyDescent="0.25">
      <c r="A685" s="25" t="s">
        <v>772</v>
      </c>
      <c r="B685" s="25"/>
      <c r="C685" s="25"/>
      <c r="D685" s="25"/>
      <c r="E685" s="25"/>
      <c r="F685" s="25"/>
    </row>
    <row r="686" ht="20" customHeight="1" hidden="1" spans="1:6" x14ac:dyDescent="0.25" outlineLevel="1" collapsed="1">
      <c r="A686" s="26" t="s">
        <v>460</v>
      </c>
      <c r="B686" s="26" t="s">
        <v>461</v>
      </c>
      <c r="C686" s="26" t="s">
        <v>462</v>
      </c>
      <c r="D686" s="26" t="s">
        <v>32</v>
      </c>
      <c r="E686" s="26" t="s">
        <v>463</v>
      </c>
      <c r="F686" s="26" t="s">
        <v>464</v>
      </c>
    </row>
    <row r="687" ht="36" customHeight="1" hidden="1" spans="1:6" x14ac:dyDescent="0.25" outlineLevel="1" collapsed="1">
      <c r="A687" s="27">
        <v>4122</v>
      </c>
      <c r="B687" s="28" t="s">
        <v>36</v>
      </c>
      <c r="C687" s="27" t="s">
        <v>745</v>
      </c>
      <c r="D687" s="29" t="s">
        <v>32</v>
      </c>
      <c r="E687" s="36" t="s">
        <v>699</v>
      </c>
      <c r="F687" s="28" t="s">
        <v>32</v>
      </c>
    </row>
    <row r="688" ht="36" customHeight="1" hidden="1" spans="1:6" x14ac:dyDescent="0.25" outlineLevel="1" collapsed="1">
      <c r="A688" s="27">
        <v>4124</v>
      </c>
      <c r="B688" s="28" t="s">
        <v>739</v>
      </c>
      <c r="C688" s="27" t="s">
        <v>758</v>
      </c>
      <c r="D688" s="29" t="s">
        <v>32</v>
      </c>
      <c r="E688" s="36" t="s">
        <v>699</v>
      </c>
      <c r="F688" s="28" t="s">
        <v>32</v>
      </c>
    </row>
    <row r="689" ht="22" customHeight="1" hidden="1" spans="1:6" x14ac:dyDescent="0.25" outlineLevel="1" collapsed="1">
      <c r="A689" s="34" t="s">
        <v>495</v>
      </c>
      <c r="B689" s="34"/>
      <c r="C689" s="34"/>
      <c r="D689" s="34"/>
      <c r="E689" s="34"/>
      <c r="F689" s="34"/>
    </row>
    <row r="690" ht="24" customHeight="1" hidden="1" spans="1:6" x14ac:dyDescent="0.25" outlineLevel="1" collapsed="1">
      <c r="A690" s="12" t="s">
        <v>817</v>
      </c>
      <c r="B690" s="12"/>
      <c r="C690" s="12"/>
      <c r="D690" s="12"/>
      <c r="E690" s="12"/>
      <c r="F690" s="12"/>
    </row>
    <row r="691" ht="24" customHeight="1" hidden="1" spans="1:6" x14ac:dyDescent="0.25" outlineLevel="1" collapsed="1">
      <c r="A691" s="12" t="s">
        <v>818</v>
      </c>
      <c r="B691" s="12"/>
      <c r="C691" s="12"/>
      <c r="D691" s="12"/>
      <c r="E691" s="12"/>
      <c r="F691" s="12"/>
    </row>
    <row r="692" ht="6" customHeight="1" hidden="1" x14ac:dyDescent="0.25" outlineLevel="1" collapsed="1"/>
    <row r="693" ht="22" customHeight="1" spans="1:6" x14ac:dyDescent="0.25">
      <c r="A693" s="25" t="s">
        <v>773</v>
      </c>
      <c r="B693" s="25"/>
      <c r="C693" s="25"/>
      <c r="D693" s="25"/>
      <c r="E693" s="25"/>
      <c r="F693" s="25"/>
    </row>
    <row r="694" ht="20" customHeight="1" hidden="1" spans="1:6" x14ac:dyDescent="0.25" outlineLevel="1" collapsed="1">
      <c r="A694" s="26" t="s">
        <v>460</v>
      </c>
      <c r="B694" s="26" t="s">
        <v>461</v>
      </c>
      <c r="C694" s="26" t="s">
        <v>462</v>
      </c>
      <c r="D694" s="26" t="s">
        <v>32</v>
      </c>
      <c r="E694" s="26" t="s">
        <v>463</v>
      </c>
      <c r="F694" s="26" t="s">
        <v>464</v>
      </c>
    </row>
    <row r="695" ht="36" customHeight="1" hidden="1" spans="1:6" x14ac:dyDescent="0.25" outlineLevel="1" collapsed="1">
      <c r="A695" s="27">
        <v>4122</v>
      </c>
      <c r="B695" s="28" t="s">
        <v>36</v>
      </c>
      <c r="C695" s="27" t="s">
        <v>745</v>
      </c>
      <c r="D695" s="29" t="s">
        <v>32</v>
      </c>
      <c r="E695" s="36" t="s">
        <v>699</v>
      </c>
      <c r="F695" s="28" t="s">
        <v>32</v>
      </c>
    </row>
    <row r="696" ht="36" customHeight="1" hidden="1" spans="1:6" x14ac:dyDescent="0.25" outlineLevel="1" collapsed="1">
      <c r="A696" s="27">
        <v>4124</v>
      </c>
      <c r="B696" s="28" t="s">
        <v>739</v>
      </c>
      <c r="C696" s="27" t="s">
        <v>758</v>
      </c>
      <c r="D696" s="29" t="s">
        <v>32</v>
      </c>
      <c r="E696" s="36" t="s">
        <v>699</v>
      </c>
      <c r="F696" s="28" t="s">
        <v>32</v>
      </c>
    </row>
    <row r="697" ht="22" customHeight="1" hidden="1" spans="1:6" x14ac:dyDescent="0.25" outlineLevel="1" collapsed="1">
      <c r="A697" s="34" t="s">
        <v>495</v>
      </c>
      <c r="B697" s="34"/>
      <c r="C697" s="34"/>
      <c r="D697" s="34"/>
      <c r="E697" s="34"/>
      <c r="F697" s="34"/>
    </row>
    <row r="698" ht="24" customHeight="1" hidden="1" spans="1:6" x14ac:dyDescent="0.25" outlineLevel="1" collapsed="1">
      <c r="A698" s="12" t="s">
        <v>817</v>
      </c>
      <c r="B698" s="12"/>
      <c r="C698" s="12"/>
      <c r="D698" s="12"/>
      <c r="E698" s="12"/>
      <c r="F698" s="12"/>
    </row>
    <row r="699" ht="24" customHeight="1" hidden="1" spans="1:6" x14ac:dyDescent="0.25" outlineLevel="1" collapsed="1">
      <c r="A699" s="12" t="s">
        <v>818</v>
      </c>
      <c r="B699" s="12"/>
      <c r="C699" s="12"/>
      <c r="D699" s="12"/>
      <c r="E699" s="12"/>
      <c r="F699" s="12"/>
    </row>
    <row r="700" ht="6" customHeight="1" hidden="1" x14ac:dyDescent="0.25" outlineLevel="1" collapsed="1"/>
    <row r="701" ht="22" customHeight="1" spans="1:6" x14ac:dyDescent="0.25">
      <c r="A701" s="25" t="s">
        <v>779</v>
      </c>
      <c r="B701" s="25"/>
      <c r="C701" s="25"/>
      <c r="D701" s="25"/>
      <c r="E701" s="25"/>
      <c r="F701" s="25"/>
    </row>
    <row r="702" ht="20" customHeight="1" hidden="1" spans="1:6" x14ac:dyDescent="0.25" outlineLevel="1" collapsed="1">
      <c r="A702" s="26" t="s">
        <v>460</v>
      </c>
      <c r="B702" s="26" t="s">
        <v>461</v>
      </c>
      <c r="C702" s="26" t="s">
        <v>462</v>
      </c>
      <c r="D702" s="26" t="s">
        <v>32</v>
      </c>
      <c r="E702" s="26" t="s">
        <v>463</v>
      </c>
      <c r="F702" s="26" t="s">
        <v>464</v>
      </c>
    </row>
    <row r="703" ht="36" customHeight="1" hidden="1" spans="1:6" x14ac:dyDescent="0.25" outlineLevel="1" collapsed="1">
      <c r="A703" s="27">
        <v>4122</v>
      </c>
      <c r="B703" s="28" t="s">
        <v>36</v>
      </c>
      <c r="C703" s="27" t="s">
        <v>745</v>
      </c>
      <c r="D703" s="29" t="s">
        <v>32</v>
      </c>
      <c r="E703" s="36" t="s">
        <v>699</v>
      </c>
      <c r="F703" s="28" t="s">
        <v>32</v>
      </c>
    </row>
    <row r="704" ht="36" customHeight="1" hidden="1" spans="1:6" x14ac:dyDescent="0.25" outlineLevel="1" collapsed="1">
      <c r="A704" s="27">
        <v>4124</v>
      </c>
      <c r="B704" s="28" t="s">
        <v>739</v>
      </c>
      <c r="C704" s="27" t="s">
        <v>758</v>
      </c>
      <c r="D704" s="29" t="s">
        <v>32</v>
      </c>
      <c r="E704" s="36" t="s">
        <v>699</v>
      </c>
      <c r="F704" s="28" t="s">
        <v>32</v>
      </c>
    </row>
    <row r="705" ht="22" customHeight="1" hidden="1" spans="1:6" x14ac:dyDescent="0.25" outlineLevel="1" collapsed="1">
      <c r="A705" s="34" t="s">
        <v>495</v>
      </c>
      <c r="B705" s="34"/>
      <c r="C705" s="34"/>
      <c r="D705" s="34"/>
      <c r="E705" s="34"/>
      <c r="F705" s="34"/>
    </row>
    <row r="706" ht="24" customHeight="1" hidden="1" spans="1:6" x14ac:dyDescent="0.25" outlineLevel="1" collapsed="1">
      <c r="A706" s="12" t="s">
        <v>817</v>
      </c>
      <c r="B706" s="12"/>
      <c r="C706" s="12"/>
      <c r="D706" s="12"/>
      <c r="E706" s="12"/>
      <c r="F706" s="12"/>
    </row>
    <row r="707" ht="24" customHeight="1" hidden="1" spans="1:6" x14ac:dyDescent="0.25" outlineLevel="1" collapsed="1">
      <c r="A707" s="12" t="s">
        <v>818</v>
      </c>
      <c r="B707" s="12"/>
      <c r="C707" s="12"/>
      <c r="D707" s="12"/>
      <c r="E707" s="12"/>
      <c r="F707" s="12"/>
    </row>
    <row r="708" ht="6" customHeight="1" hidden="1" x14ac:dyDescent="0.25" outlineLevel="1" collapsed="1"/>
    <row r="709" ht="22" customHeight="1" spans="1:6" x14ac:dyDescent="0.25">
      <c r="A709" s="25" t="s">
        <v>780</v>
      </c>
      <c r="B709" s="25"/>
      <c r="C709" s="25"/>
      <c r="D709" s="25"/>
      <c r="E709" s="25"/>
      <c r="F709" s="25"/>
    </row>
    <row r="710" ht="20" customHeight="1" hidden="1" spans="1:6" x14ac:dyDescent="0.25" outlineLevel="1" collapsed="1">
      <c r="A710" s="26" t="s">
        <v>460</v>
      </c>
      <c r="B710" s="26" t="s">
        <v>461</v>
      </c>
      <c r="C710" s="26" t="s">
        <v>462</v>
      </c>
      <c r="D710" s="26" t="s">
        <v>32</v>
      </c>
      <c r="E710" s="26" t="s">
        <v>463</v>
      </c>
      <c r="F710" s="26" t="s">
        <v>464</v>
      </c>
    </row>
    <row r="711" ht="21" customHeight="1" hidden="1" spans="1:6" x14ac:dyDescent="0.25" outlineLevel="1" collapsed="1">
      <c r="A711" s="27">
        <v>4122</v>
      </c>
      <c r="B711" s="28" t="s">
        <v>36</v>
      </c>
      <c r="C711" s="27" t="s">
        <v>745</v>
      </c>
      <c r="D711" s="29" t="s">
        <v>32</v>
      </c>
      <c r="E711" s="28" t="s">
        <v>518</v>
      </c>
      <c r="F711" s="28" t="s">
        <v>32</v>
      </c>
    </row>
    <row r="712" ht="21" customHeight="1" hidden="1" spans="1:6" x14ac:dyDescent="0.25" outlineLevel="1" collapsed="1">
      <c r="A712" s="27">
        <v>4124</v>
      </c>
      <c r="B712" s="28" t="s">
        <v>739</v>
      </c>
      <c r="C712" s="27" t="s">
        <v>758</v>
      </c>
      <c r="D712" s="29" t="s">
        <v>32</v>
      </c>
      <c r="E712" s="28" t="s">
        <v>506</v>
      </c>
      <c r="F712" s="28" t="s">
        <v>32</v>
      </c>
    </row>
    <row r="713" ht="22" customHeight="1" hidden="1" spans="1:6" x14ac:dyDescent="0.25" outlineLevel="1" collapsed="1">
      <c r="A713" s="34" t="s">
        <v>495</v>
      </c>
      <c r="B713" s="34"/>
      <c r="C713" s="34"/>
      <c r="D713" s="34"/>
      <c r="E713" s="34"/>
      <c r="F713" s="34"/>
    </row>
    <row r="714" ht="24" customHeight="1" hidden="1" spans="1:6" x14ac:dyDescent="0.25" outlineLevel="1" collapsed="1">
      <c r="A714" s="12" t="s">
        <v>808</v>
      </c>
      <c r="B714" s="12"/>
      <c r="C714" s="12"/>
      <c r="D714" s="12"/>
      <c r="E714" s="12"/>
      <c r="F714" s="12"/>
    </row>
    <row r="715" ht="24" customHeight="1" hidden="1" spans="1:6" x14ac:dyDescent="0.25" outlineLevel="1" collapsed="1">
      <c r="A715" s="12" t="s">
        <v>819</v>
      </c>
      <c r="B715" s="12"/>
      <c r="C715" s="12"/>
      <c r="D715" s="12"/>
      <c r="E715" s="12"/>
      <c r="F715" s="12"/>
    </row>
    <row r="716" ht="6" customHeight="1" hidden="1" x14ac:dyDescent="0.25" outlineLevel="1" collapsed="1"/>
    <row r="717" ht="22" customHeight="1" spans="1:6" x14ac:dyDescent="0.25">
      <c r="A717" s="25" t="s">
        <v>783</v>
      </c>
      <c r="B717" s="25"/>
      <c r="C717" s="25"/>
      <c r="D717" s="25"/>
      <c r="E717" s="25"/>
      <c r="F717" s="25"/>
    </row>
    <row r="718" ht="20" customHeight="1" hidden="1" spans="1:6" x14ac:dyDescent="0.25" outlineLevel="1" collapsed="1">
      <c r="A718" s="26" t="s">
        <v>460</v>
      </c>
      <c r="B718" s="26" t="s">
        <v>461</v>
      </c>
      <c r="C718" s="26" t="s">
        <v>462</v>
      </c>
      <c r="D718" s="26" t="s">
        <v>32</v>
      </c>
      <c r="E718" s="26" t="s">
        <v>463</v>
      </c>
      <c r="F718" s="26" t="s">
        <v>464</v>
      </c>
    </row>
    <row r="719" ht="21" customHeight="1" hidden="1" spans="1:6" x14ac:dyDescent="0.25" outlineLevel="1" collapsed="1">
      <c r="A719" s="27">
        <v>4122</v>
      </c>
      <c r="B719" s="28" t="s">
        <v>36</v>
      </c>
      <c r="C719" s="27" t="s">
        <v>745</v>
      </c>
      <c r="D719" s="29" t="s">
        <v>32</v>
      </c>
      <c r="E719" s="28" t="s">
        <v>676</v>
      </c>
      <c r="F719" s="28" t="s">
        <v>32</v>
      </c>
    </row>
    <row r="720" ht="21" customHeight="1" hidden="1" spans="1:6" x14ac:dyDescent="0.25" outlineLevel="1" collapsed="1">
      <c r="A720" s="27">
        <v>4124</v>
      </c>
      <c r="B720" s="28" t="s">
        <v>739</v>
      </c>
      <c r="C720" s="27" t="s">
        <v>758</v>
      </c>
      <c r="D720" s="29" t="s">
        <v>32</v>
      </c>
      <c r="E720" s="28" t="s">
        <v>712</v>
      </c>
      <c r="F720" s="28" t="s">
        <v>32</v>
      </c>
    </row>
    <row r="721" ht="22" customHeight="1" hidden="1" spans="1:6" x14ac:dyDescent="0.25" outlineLevel="1" collapsed="1">
      <c r="A721" s="34" t="s">
        <v>495</v>
      </c>
      <c r="B721" s="34"/>
      <c r="C721" s="34"/>
      <c r="D721" s="34"/>
      <c r="E721" s="34"/>
      <c r="F721" s="34"/>
    </row>
    <row r="722" ht="24" customHeight="1" hidden="1" spans="1:6" x14ac:dyDescent="0.25" outlineLevel="1" collapsed="1">
      <c r="A722" s="12" t="s">
        <v>820</v>
      </c>
      <c r="B722" s="12"/>
      <c r="C722" s="12"/>
      <c r="D722" s="12"/>
      <c r="E722" s="12"/>
      <c r="F722" s="12"/>
    </row>
    <row r="723" ht="24" customHeight="1" hidden="1" spans="1:6" x14ac:dyDescent="0.25" outlineLevel="1" collapsed="1">
      <c r="A723" s="12" t="s">
        <v>821</v>
      </c>
      <c r="B723" s="12"/>
      <c r="C723" s="12"/>
      <c r="D723" s="12"/>
      <c r="E723" s="12"/>
      <c r="F723" s="12"/>
    </row>
    <row r="724" ht="6" customHeight="1" hidden="1" x14ac:dyDescent="0.25" outlineLevel="1" collapsed="1"/>
    <row r="725" ht="12" customHeight="1" x14ac:dyDescent="0.25"/>
    <row r="726" ht="24" customHeight="1" spans="1:6" x14ac:dyDescent="0.25">
      <c r="A726" s="24" t="s">
        <v>718</v>
      </c>
      <c r="B726" s="24"/>
      <c r="C726" s="24"/>
      <c r="D726" s="24"/>
      <c r="E726" s="24"/>
      <c r="F726" s="24"/>
    </row>
    <row r="727" ht="22" customHeight="1" spans="1:6" x14ac:dyDescent="0.25">
      <c r="A727" s="25" t="s">
        <v>722</v>
      </c>
      <c r="B727" s="25"/>
      <c r="C727" s="25"/>
      <c r="D727" s="25"/>
      <c r="E727" s="25"/>
      <c r="F727" s="25"/>
    </row>
    <row r="728" ht="20" customHeight="1" hidden="1" spans="1:6" x14ac:dyDescent="0.25" outlineLevel="1" collapsed="1">
      <c r="A728" s="26" t="s">
        <v>460</v>
      </c>
      <c r="B728" s="26" t="s">
        <v>461</v>
      </c>
      <c r="C728" s="26" t="s">
        <v>462</v>
      </c>
      <c r="D728" s="26" t="s">
        <v>32</v>
      </c>
      <c r="E728" s="26" t="s">
        <v>463</v>
      </c>
      <c r="F728" s="26" t="s">
        <v>464</v>
      </c>
    </row>
    <row r="729" ht="51" customHeight="1" hidden="1" spans="1:6" x14ac:dyDescent="0.25" outlineLevel="1" collapsed="1">
      <c r="A729" s="27">
        <v>4122</v>
      </c>
      <c r="B729" s="28" t="s">
        <v>723</v>
      </c>
      <c r="C729" s="27" t="s">
        <v>466</v>
      </c>
      <c r="D729" s="29" t="s">
        <v>32</v>
      </c>
      <c r="E729" s="28" t="s">
        <v>473</v>
      </c>
      <c r="F729" s="28" t="s">
        <v>724</v>
      </c>
    </row>
    <row r="730" ht="21" customHeight="1" hidden="1" spans="1:6" x14ac:dyDescent="0.25" outlineLevel="1" collapsed="1">
      <c r="A730" s="30" t="s">
        <v>32</v>
      </c>
      <c r="B730" s="17" t="s">
        <v>32</v>
      </c>
      <c r="C730" s="30" t="s">
        <v>32</v>
      </c>
      <c r="D730" s="31" t="s">
        <v>32</v>
      </c>
      <c r="E730" s="17" t="s">
        <v>475</v>
      </c>
      <c r="F730" s="17" t="s">
        <v>32</v>
      </c>
    </row>
    <row r="731" ht="36" customHeight="1" hidden="1" spans="1:6" x14ac:dyDescent="0.25" outlineLevel="1" collapsed="1">
      <c r="A731" s="32" t="s">
        <v>32</v>
      </c>
      <c r="B731" s="12" t="s">
        <v>32</v>
      </c>
      <c r="C731" s="32" t="s">
        <v>32</v>
      </c>
      <c r="D731" s="31" t="s">
        <v>32</v>
      </c>
      <c r="E731" s="12" t="s">
        <v>476</v>
      </c>
      <c r="F731" s="12" t="s">
        <v>32</v>
      </c>
    </row>
    <row r="732" ht="21" customHeight="1" hidden="1" spans="1:6" x14ac:dyDescent="0.25" outlineLevel="1" collapsed="1">
      <c r="A732" s="30" t="s">
        <v>32</v>
      </c>
      <c r="B732" s="17" t="s">
        <v>32</v>
      </c>
      <c r="C732" s="30" t="s">
        <v>32</v>
      </c>
      <c r="D732" s="31" t="s">
        <v>32</v>
      </c>
      <c r="E732" s="17" t="s">
        <v>687</v>
      </c>
      <c r="F732" s="17" t="s">
        <v>32</v>
      </c>
    </row>
    <row r="733" ht="36" customHeight="1" hidden="1" spans="1:6" x14ac:dyDescent="0.25" outlineLevel="1" collapsed="1">
      <c r="A733" s="32" t="s">
        <v>32</v>
      </c>
      <c r="B733" s="12" t="s">
        <v>32</v>
      </c>
      <c r="C733" s="32" t="s">
        <v>32</v>
      </c>
      <c r="D733" s="31" t="s">
        <v>32</v>
      </c>
      <c r="E733" s="12" t="s">
        <v>478</v>
      </c>
      <c r="F733" s="12" t="s">
        <v>32</v>
      </c>
    </row>
    <row r="734" ht="21" customHeight="1" hidden="1" spans="1:6" x14ac:dyDescent="0.25" outlineLevel="1" collapsed="1">
      <c r="A734" s="30" t="s">
        <v>32</v>
      </c>
      <c r="B734" s="17" t="s">
        <v>32</v>
      </c>
      <c r="C734" s="30" t="s">
        <v>32</v>
      </c>
      <c r="D734" s="31" t="s">
        <v>32</v>
      </c>
      <c r="E734" s="17" t="s">
        <v>479</v>
      </c>
      <c r="F734" s="17" t="s">
        <v>32</v>
      </c>
    </row>
    <row r="735" ht="21" customHeight="1" hidden="1" spans="1:6" x14ac:dyDescent="0.25" outlineLevel="1" collapsed="1">
      <c r="A735" s="32" t="s">
        <v>32</v>
      </c>
      <c r="B735" s="12" t="s">
        <v>32</v>
      </c>
      <c r="C735" s="32" t="s">
        <v>32</v>
      </c>
      <c r="D735" s="31" t="s">
        <v>32</v>
      </c>
      <c r="E735" s="12" t="s">
        <v>725</v>
      </c>
      <c r="F735" s="12" t="s">
        <v>32</v>
      </c>
    </row>
    <row r="736" ht="36" customHeight="1" hidden="1" spans="1:6" x14ac:dyDescent="0.25" outlineLevel="1" collapsed="1">
      <c r="A736" s="30" t="s">
        <v>32</v>
      </c>
      <c r="B736" s="17" t="s">
        <v>32</v>
      </c>
      <c r="C736" s="30" t="s">
        <v>32</v>
      </c>
      <c r="D736" s="31" t="s">
        <v>32</v>
      </c>
      <c r="E736" s="35" t="s">
        <v>784</v>
      </c>
      <c r="F736" s="17" t="s">
        <v>32</v>
      </c>
    </row>
    <row r="737" ht="51" customHeight="1" hidden="1" spans="1:6" x14ac:dyDescent="0.25" outlineLevel="1" collapsed="1">
      <c r="A737" s="27">
        <v>4124</v>
      </c>
      <c r="B737" s="28" t="s">
        <v>727</v>
      </c>
      <c r="C737" s="27" t="s">
        <v>472</v>
      </c>
      <c r="D737" s="29" t="s">
        <v>32</v>
      </c>
      <c r="E737" s="28" t="s">
        <v>728</v>
      </c>
      <c r="F737" s="28" t="s">
        <v>729</v>
      </c>
    </row>
    <row r="738" ht="21" customHeight="1" hidden="1" spans="1:6" x14ac:dyDescent="0.25" outlineLevel="1" collapsed="1">
      <c r="A738" s="30" t="s">
        <v>32</v>
      </c>
      <c r="B738" s="17" t="s">
        <v>32</v>
      </c>
      <c r="C738" s="30" t="s">
        <v>32</v>
      </c>
      <c r="D738" s="31" t="s">
        <v>32</v>
      </c>
      <c r="E738" s="17" t="s">
        <v>617</v>
      </c>
      <c r="F738" s="17" t="s">
        <v>32</v>
      </c>
    </row>
    <row r="739" ht="21" customHeight="1" hidden="1" spans="1:6" x14ac:dyDescent="0.25" outlineLevel="1" collapsed="1">
      <c r="A739" s="32" t="s">
        <v>32</v>
      </c>
      <c r="B739" s="12" t="s">
        <v>32</v>
      </c>
      <c r="C739" s="32" t="s">
        <v>32</v>
      </c>
      <c r="D739" s="31" t="s">
        <v>32</v>
      </c>
      <c r="E739" s="12" t="s">
        <v>725</v>
      </c>
      <c r="F739" s="12" t="s">
        <v>32</v>
      </c>
    </row>
    <row r="740" ht="36" customHeight="1" hidden="1" spans="1:6" x14ac:dyDescent="0.25" outlineLevel="1" collapsed="1">
      <c r="A740" s="30" t="s">
        <v>32</v>
      </c>
      <c r="B740" s="17" t="s">
        <v>32</v>
      </c>
      <c r="C740" s="30" t="s">
        <v>32</v>
      </c>
      <c r="D740" s="31" t="s">
        <v>32</v>
      </c>
      <c r="E740" s="35" t="s">
        <v>784</v>
      </c>
      <c r="F740" s="17" t="s">
        <v>32</v>
      </c>
    </row>
    <row r="741" ht="22" customHeight="1" hidden="1" spans="1:6" x14ac:dyDescent="0.25" outlineLevel="1" collapsed="1">
      <c r="A741" s="34" t="s">
        <v>495</v>
      </c>
      <c r="B741" s="34"/>
      <c r="C741" s="34"/>
      <c r="D741" s="34"/>
      <c r="E741" s="34"/>
      <c r="F741" s="34"/>
    </row>
    <row r="742" ht="40" customHeight="1" hidden="1" spans="1:6" x14ac:dyDescent="0.25" outlineLevel="1" collapsed="1">
      <c r="A742" s="12" t="s">
        <v>785</v>
      </c>
      <c r="B742" s="12"/>
      <c r="C742" s="12"/>
      <c r="D742" s="12"/>
      <c r="E742" s="12"/>
      <c r="F742" s="12"/>
    </row>
    <row r="743" ht="40" customHeight="1" hidden="1" spans="1:6" x14ac:dyDescent="0.25" outlineLevel="1" collapsed="1">
      <c r="A743" s="12" t="s">
        <v>786</v>
      </c>
      <c r="B743" s="12"/>
      <c r="C743" s="12"/>
      <c r="D743" s="12"/>
      <c r="E743" s="12"/>
      <c r="F743" s="12"/>
    </row>
    <row r="744" ht="24" customHeight="1" hidden="1" spans="1:6" x14ac:dyDescent="0.25" outlineLevel="1" collapsed="1">
      <c r="A744" s="12" t="s">
        <v>732</v>
      </c>
      <c r="B744" s="12"/>
      <c r="C744" s="12"/>
      <c r="D744" s="12"/>
      <c r="E744" s="12"/>
      <c r="F744" s="12"/>
    </row>
    <row r="745" ht="6" customHeight="1" hidden="1" x14ac:dyDescent="0.25" outlineLevel="1" collapsed="1"/>
    <row r="746" ht="22" customHeight="1" spans="1:6" x14ac:dyDescent="0.25">
      <c r="A746" s="25" t="s">
        <v>733</v>
      </c>
      <c r="B746" s="25"/>
      <c r="C746" s="25"/>
      <c r="D746" s="25"/>
      <c r="E746" s="25"/>
      <c r="F746" s="25"/>
    </row>
    <row r="747" ht="20" customHeight="1" hidden="1" spans="1:6" x14ac:dyDescent="0.25" outlineLevel="1" collapsed="1">
      <c r="A747" s="26" t="s">
        <v>460</v>
      </c>
      <c r="B747" s="26" t="s">
        <v>461</v>
      </c>
      <c r="C747" s="26" t="s">
        <v>462</v>
      </c>
      <c r="D747" s="26" t="s">
        <v>32</v>
      </c>
      <c r="E747" s="26" t="s">
        <v>463</v>
      </c>
      <c r="F747" s="26" t="s">
        <v>464</v>
      </c>
    </row>
    <row r="748" ht="51" customHeight="1" hidden="1" spans="1:6" x14ac:dyDescent="0.25" outlineLevel="1" collapsed="1">
      <c r="A748" s="27">
        <v>4122</v>
      </c>
      <c r="B748" s="28" t="s">
        <v>734</v>
      </c>
      <c r="C748" s="27" t="s">
        <v>472</v>
      </c>
      <c r="D748" s="29" t="s">
        <v>32</v>
      </c>
      <c r="E748" s="28" t="s">
        <v>473</v>
      </c>
      <c r="F748" s="28" t="s">
        <v>724</v>
      </c>
    </row>
    <row r="749" ht="21" customHeight="1" hidden="1" spans="1:6" x14ac:dyDescent="0.25" outlineLevel="1" collapsed="1">
      <c r="A749" s="30" t="s">
        <v>32</v>
      </c>
      <c r="B749" s="17" t="s">
        <v>32</v>
      </c>
      <c r="C749" s="30" t="s">
        <v>32</v>
      </c>
      <c r="D749" s="31" t="s">
        <v>32</v>
      </c>
      <c r="E749" s="17" t="s">
        <v>475</v>
      </c>
      <c r="F749" s="17" t="s">
        <v>32</v>
      </c>
    </row>
    <row r="750" ht="36" customHeight="1" hidden="1" spans="1:6" x14ac:dyDescent="0.25" outlineLevel="1" collapsed="1">
      <c r="A750" s="32" t="s">
        <v>32</v>
      </c>
      <c r="B750" s="12" t="s">
        <v>32</v>
      </c>
      <c r="C750" s="32" t="s">
        <v>32</v>
      </c>
      <c r="D750" s="31" t="s">
        <v>32</v>
      </c>
      <c r="E750" s="12" t="s">
        <v>476</v>
      </c>
      <c r="F750" s="12" t="s">
        <v>32</v>
      </c>
    </row>
    <row r="751" ht="21" customHeight="1" hidden="1" spans="1:6" x14ac:dyDescent="0.25" outlineLevel="1" collapsed="1">
      <c r="A751" s="30" t="s">
        <v>32</v>
      </c>
      <c r="B751" s="17" t="s">
        <v>32</v>
      </c>
      <c r="C751" s="30" t="s">
        <v>32</v>
      </c>
      <c r="D751" s="31" t="s">
        <v>32</v>
      </c>
      <c r="E751" s="17" t="s">
        <v>687</v>
      </c>
      <c r="F751" s="17" t="s">
        <v>32</v>
      </c>
    </row>
    <row r="752" ht="36" customHeight="1" hidden="1" spans="1:6" x14ac:dyDescent="0.25" outlineLevel="1" collapsed="1">
      <c r="A752" s="32" t="s">
        <v>32</v>
      </c>
      <c r="B752" s="12" t="s">
        <v>32</v>
      </c>
      <c r="C752" s="32" t="s">
        <v>32</v>
      </c>
      <c r="D752" s="31" t="s">
        <v>32</v>
      </c>
      <c r="E752" s="12" t="s">
        <v>478</v>
      </c>
      <c r="F752" s="12" t="s">
        <v>32</v>
      </c>
    </row>
    <row r="753" ht="21" customHeight="1" hidden="1" spans="1:6" x14ac:dyDescent="0.25" outlineLevel="1" collapsed="1">
      <c r="A753" s="30" t="s">
        <v>32</v>
      </c>
      <c r="B753" s="17" t="s">
        <v>32</v>
      </c>
      <c r="C753" s="30" t="s">
        <v>32</v>
      </c>
      <c r="D753" s="31" t="s">
        <v>32</v>
      </c>
      <c r="E753" s="17" t="s">
        <v>479</v>
      </c>
      <c r="F753" s="17" t="s">
        <v>32</v>
      </c>
    </row>
    <row r="754" ht="21" customHeight="1" hidden="1" spans="1:6" x14ac:dyDescent="0.25" outlineLevel="1" collapsed="1">
      <c r="A754" s="32" t="s">
        <v>32</v>
      </c>
      <c r="B754" s="12" t="s">
        <v>32</v>
      </c>
      <c r="C754" s="32" t="s">
        <v>32</v>
      </c>
      <c r="D754" s="31" t="s">
        <v>32</v>
      </c>
      <c r="E754" s="12" t="s">
        <v>725</v>
      </c>
      <c r="F754" s="12" t="s">
        <v>32</v>
      </c>
    </row>
    <row r="755" ht="36" customHeight="1" hidden="1" spans="1:6" x14ac:dyDescent="0.25" outlineLevel="1" collapsed="1">
      <c r="A755" s="30" t="s">
        <v>32</v>
      </c>
      <c r="B755" s="17" t="s">
        <v>32</v>
      </c>
      <c r="C755" s="30" t="s">
        <v>32</v>
      </c>
      <c r="D755" s="31" t="s">
        <v>32</v>
      </c>
      <c r="E755" s="35" t="s">
        <v>784</v>
      </c>
      <c r="F755" s="17" t="s">
        <v>32</v>
      </c>
    </row>
    <row r="756" ht="51" customHeight="1" hidden="1" spans="1:6" x14ac:dyDescent="0.25" outlineLevel="1" collapsed="1">
      <c r="A756" s="27">
        <v>4124</v>
      </c>
      <c r="B756" s="28" t="s">
        <v>735</v>
      </c>
      <c r="C756" s="27" t="s">
        <v>466</v>
      </c>
      <c r="D756" s="29" t="s">
        <v>32</v>
      </c>
      <c r="E756" s="28" t="s">
        <v>728</v>
      </c>
      <c r="F756" s="28" t="s">
        <v>729</v>
      </c>
    </row>
    <row r="757" ht="21" customHeight="1" hidden="1" spans="1:6" x14ac:dyDescent="0.25" outlineLevel="1" collapsed="1">
      <c r="A757" s="30" t="s">
        <v>32</v>
      </c>
      <c r="B757" s="17" t="s">
        <v>32</v>
      </c>
      <c r="C757" s="30" t="s">
        <v>32</v>
      </c>
      <c r="D757" s="31" t="s">
        <v>32</v>
      </c>
      <c r="E757" s="17" t="s">
        <v>617</v>
      </c>
      <c r="F757" s="17" t="s">
        <v>32</v>
      </c>
    </row>
    <row r="758" ht="21" customHeight="1" hidden="1" spans="1:6" x14ac:dyDescent="0.25" outlineLevel="1" collapsed="1">
      <c r="A758" s="32" t="s">
        <v>32</v>
      </c>
      <c r="B758" s="12" t="s">
        <v>32</v>
      </c>
      <c r="C758" s="32" t="s">
        <v>32</v>
      </c>
      <c r="D758" s="31" t="s">
        <v>32</v>
      </c>
      <c r="E758" s="12" t="s">
        <v>725</v>
      </c>
      <c r="F758" s="12" t="s">
        <v>32</v>
      </c>
    </row>
    <row r="759" ht="36" customHeight="1" hidden="1" spans="1:6" x14ac:dyDescent="0.25" outlineLevel="1" collapsed="1">
      <c r="A759" s="30" t="s">
        <v>32</v>
      </c>
      <c r="B759" s="17" t="s">
        <v>32</v>
      </c>
      <c r="C759" s="30" t="s">
        <v>32</v>
      </c>
      <c r="D759" s="31" t="s">
        <v>32</v>
      </c>
      <c r="E759" s="35" t="s">
        <v>784</v>
      </c>
      <c r="F759" s="17" t="s">
        <v>32</v>
      </c>
    </row>
    <row r="760" ht="22" customHeight="1" hidden="1" spans="1:6" x14ac:dyDescent="0.25" outlineLevel="1" collapsed="1">
      <c r="A760" s="34" t="s">
        <v>495</v>
      </c>
      <c r="B760" s="34"/>
      <c r="C760" s="34"/>
      <c r="D760" s="34"/>
      <c r="E760" s="34"/>
      <c r="F760" s="34"/>
    </row>
    <row r="761" ht="40" customHeight="1" hidden="1" spans="1:6" x14ac:dyDescent="0.25" outlineLevel="1" collapsed="1">
      <c r="A761" s="12" t="s">
        <v>787</v>
      </c>
      <c r="B761" s="12"/>
      <c r="C761" s="12"/>
      <c r="D761" s="12"/>
      <c r="E761" s="12"/>
      <c r="F761" s="12"/>
    </row>
    <row r="762" ht="40" customHeight="1" hidden="1" spans="1:6" x14ac:dyDescent="0.25" outlineLevel="1" collapsed="1">
      <c r="A762" s="12" t="s">
        <v>788</v>
      </c>
      <c r="B762" s="12"/>
      <c r="C762" s="12"/>
      <c r="D762" s="12"/>
      <c r="E762" s="12"/>
      <c r="F762" s="12"/>
    </row>
    <row r="763" ht="24" customHeight="1" hidden="1" spans="1:6" x14ac:dyDescent="0.25" outlineLevel="1" collapsed="1">
      <c r="A763" s="12" t="s">
        <v>732</v>
      </c>
      <c r="B763" s="12"/>
      <c r="C763" s="12"/>
      <c r="D763" s="12"/>
      <c r="E763" s="12"/>
      <c r="F763" s="12"/>
    </row>
    <row r="764" ht="6" customHeight="1" hidden="1" x14ac:dyDescent="0.25" outlineLevel="1" collapsed="1"/>
    <row r="765" ht="22" customHeight="1" spans="1:6" x14ac:dyDescent="0.25">
      <c r="A765" s="25" t="s">
        <v>738</v>
      </c>
      <c r="B765" s="25"/>
      <c r="C765" s="25"/>
      <c r="D765" s="25"/>
      <c r="E765" s="25"/>
      <c r="F765" s="25"/>
    </row>
    <row r="766" ht="20" customHeight="1" hidden="1" spans="1:6" x14ac:dyDescent="0.25" outlineLevel="1" collapsed="1">
      <c r="A766" s="26" t="s">
        <v>460</v>
      </c>
      <c r="B766" s="26" t="s">
        <v>461</v>
      </c>
      <c r="C766" s="26" t="s">
        <v>462</v>
      </c>
      <c r="D766" s="26" t="s">
        <v>32</v>
      </c>
      <c r="E766" s="26" t="s">
        <v>463</v>
      </c>
      <c r="F766" s="26" t="s">
        <v>464</v>
      </c>
    </row>
    <row r="767" ht="51" customHeight="1" hidden="1" spans="1:6" x14ac:dyDescent="0.25" outlineLevel="1" collapsed="1">
      <c r="A767" s="27">
        <v>4122</v>
      </c>
      <c r="B767" s="28" t="s">
        <v>734</v>
      </c>
      <c r="C767" s="27" t="s">
        <v>472</v>
      </c>
      <c r="D767" s="29" t="s">
        <v>32</v>
      </c>
      <c r="E767" s="28" t="s">
        <v>473</v>
      </c>
      <c r="F767" s="28" t="s">
        <v>474</v>
      </c>
    </row>
    <row r="768" ht="21" customHeight="1" hidden="1" spans="1:6" x14ac:dyDescent="0.25" outlineLevel="1" collapsed="1">
      <c r="A768" s="30" t="s">
        <v>32</v>
      </c>
      <c r="B768" s="17" t="s">
        <v>32</v>
      </c>
      <c r="C768" s="30" t="s">
        <v>32</v>
      </c>
      <c r="D768" s="31" t="s">
        <v>32</v>
      </c>
      <c r="E768" s="17" t="s">
        <v>475</v>
      </c>
      <c r="F768" s="17" t="s">
        <v>32</v>
      </c>
    </row>
    <row r="769" ht="36" customHeight="1" hidden="1" spans="1:6" x14ac:dyDescent="0.25" outlineLevel="1" collapsed="1">
      <c r="A769" s="32" t="s">
        <v>32</v>
      </c>
      <c r="B769" s="12" t="s">
        <v>32</v>
      </c>
      <c r="C769" s="32" t="s">
        <v>32</v>
      </c>
      <c r="D769" s="31" t="s">
        <v>32</v>
      </c>
      <c r="E769" s="12" t="s">
        <v>476</v>
      </c>
      <c r="F769" s="12" t="s">
        <v>32</v>
      </c>
    </row>
    <row r="770" ht="21" customHeight="1" hidden="1" spans="1:6" x14ac:dyDescent="0.25" outlineLevel="1" collapsed="1">
      <c r="A770" s="30" t="s">
        <v>32</v>
      </c>
      <c r="B770" s="17" t="s">
        <v>32</v>
      </c>
      <c r="C770" s="30" t="s">
        <v>32</v>
      </c>
      <c r="D770" s="31" t="s">
        <v>32</v>
      </c>
      <c r="E770" s="17" t="s">
        <v>687</v>
      </c>
      <c r="F770" s="17" t="s">
        <v>32</v>
      </c>
    </row>
    <row r="771" ht="36" customHeight="1" hidden="1" spans="1:6" x14ac:dyDescent="0.25" outlineLevel="1" collapsed="1">
      <c r="A771" s="32" t="s">
        <v>32</v>
      </c>
      <c r="B771" s="12" t="s">
        <v>32</v>
      </c>
      <c r="C771" s="32" t="s">
        <v>32</v>
      </c>
      <c r="D771" s="31" t="s">
        <v>32</v>
      </c>
      <c r="E771" s="12" t="s">
        <v>478</v>
      </c>
      <c r="F771" s="12" t="s">
        <v>32</v>
      </c>
    </row>
    <row r="772" ht="21" customHeight="1" hidden="1" spans="1:6" x14ac:dyDescent="0.25" outlineLevel="1" collapsed="1">
      <c r="A772" s="30" t="s">
        <v>32</v>
      </c>
      <c r="B772" s="17" t="s">
        <v>32</v>
      </c>
      <c r="C772" s="30" t="s">
        <v>32</v>
      </c>
      <c r="D772" s="31" t="s">
        <v>32</v>
      </c>
      <c r="E772" s="17" t="s">
        <v>479</v>
      </c>
      <c r="F772" s="17" t="s">
        <v>32</v>
      </c>
    </row>
    <row r="773" ht="36" customHeight="1" hidden="1" spans="1:6" x14ac:dyDescent="0.25" outlineLevel="1" collapsed="1">
      <c r="A773" s="32" t="s">
        <v>32</v>
      </c>
      <c r="B773" s="12" t="s">
        <v>32</v>
      </c>
      <c r="C773" s="32" t="s">
        <v>32</v>
      </c>
      <c r="D773" s="31" t="s">
        <v>32</v>
      </c>
      <c r="E773" s="33" t="s">
        <v>664</v>
      </c>
      <c r="F773" s="12" t="s">
        <v>32</v>
      </c>
    </row>
    <row r="774" ht="51" customHeight="1" hidden="1" spans="1:6" x14ac:dyDescent="0.25" outlineLevel="1" collapsed="1">
      <c r="A774" s="27">
        <v>4124</v>
      </c>
      <c r="B774" s="28" t="s">
        <v>739</v>
      </c>
      <c r="C774" s="27" t="s">
        <v>466</v>
      </c>
      <c r="D774" s="29" t="s">
        <v>32</v>
      </c>
      <c r="E774" s="28" t="s">
        <v>728</v>
      </c>
      <c r="F774" s="28" t="s">
        <v>740</v>
      </c>
    </row>
    <row r="775" ht="21" customHeight="1" hidden="1" spans="1:6" x14ac:dyDescent="0.25" outlineLevel="1" collapsed="1">
      <c r="A775" s="30" t="s">
        <v>32</v>
      </c>
      <c r="B775" s="17" t="s">
        <v>32</v>
      </c>
      <c r="C775" s="30" t="s">
        <v>32</v>
      </c>
      <c r="D775" s="31" t="s">
        <v>32</v>
      </c>
      <c r="E775" s="17" t="s">
        <v>617</v>
      </c>
      <c r="F775" s="17" t="s">
        <v>32</v>
      </c>
    </row>
    <row r="776" ht="36" customHeight="1" hidden="1" spans="1:6" x14ac:dyDescent="0.25" outlineLevel="1" collapsed="1">
      <c r="A776" s="32" t="s">
        <v>32</v>
      </c>
      <c r="B776" s="12" t="s">
        <v>32</v>
      </c>
      <c r="C776" s="32" t="s">
        <v>32</v>
      </c>
      <c r="D776" s="31" t="s">
        <v>32</v>
      </c>
      <c r="E776" s="33" t="s">
        <v>664</v>
      </c>
      <c r="F776" s="12" t="s">
        <v>32</v>
      </c>
    </row>
    <row r="777" ht="22" customHeight="1" hidden="1" spans="1:6" x14ac:dyDescent="0.25" outlineLevel="1" collapsed="1">
      <c r="A777" s="34" t="s">
        <v>495</v>
      </c>
      <c r="B777" s="34"/>
      <c r="C777" s="34"/>
      <c r="D777" s="34"/>
      <c r="E777" s="34"/>
      <c r="F777" s="34"/>
    </row>
    <row r="778" ht="40" customHeight="1" hidden="1" spans="1:6" x14ac:dyDescent="0.25" outlineLevel="1" collapsed="1">
      <c r="A778" s="12" t="s">
        <v>789</v>
      </c>
      <c r="B778" s="12"/>
      <c r="C778" s="12"/>
      <c r="D778" s="12"/>
      <c r="E778" s="12"/>
      <c r="F778" s="12"/>
    </row>
    <row r="779" ht="24" customHeight="1" hidden="1" spans="1:6" x14ac:dyDescent="0.25" outlineLevel="1" collapsed="1">
      <c r="A779" s="12" t="s">
        <v>790</v>
      </c>
      <c r="B779" s="12"/>
      <c r="C779" s="12"/>
      <c r="D779" s="12"/>
      <c r="E779" s="12"/>
      <c r="F779" s="12"/>
    </row>
    <row r="780" ht="24" customHeight="1" hidden="1" spans="1:6" x14ac:dyDescent="0.25" outlineLevel="1" collapsed="1">
      <c r="A780" s="12" t="s">
        <v>732</v>
      </c>
      <c r="B780" s="12"/>
      <c r="C780" s="12"/>
      <c r="D780" s="12"/>
      <c r="E780" s="12"/>
      <c r="F780" s="12"/>
    </row>
    <row r="781" ht="6" customHeight="1" hidden="1" x14ac:dyDescent="0.25" outlineLevel="1" collapsed="1"/>
    <row r="782" ht="22" customHeight="1" spans="1:6" x14ac:dyDescent="0.25">
      <c r="A782" s="25" t="s">
        <v>743</v>
      </c>
      <c r="B782" s="25"/>
      <c r="C782" s="25"/>
      <c r="D782" s="25"/>
      <c r="E782" s="25"/>
      <c r="F782" s="25"/>
    </row>
    <row r="783" ht="20" customHeight="1" hidden="1" spans="1:6" x14ac:dyDescent="0.25" outlineLevel="1" collapsed="1">
      <c r="A783" s="26" t="s">
        <v>460</v>
      </c>
      <c r="B783" s="26" t="s">
        <v>461</v>
      </c>
      <c r="C783" s="26" t="s">
        <v>462</v>
      </c>
      <c r="D783" s="26" t="s">
        <v>32</v>
      </c>
      <c r="E783" s="26" t="s">
        <v>463</v>
      </c>
      <c r="F783" s="26" t="s">
        <v>464</v>
      </c>
    </row>
    <row r="784" ht="66" customHeight="1" hidden="1" spans="1:6" x14ac:dyDescent="0.25" outlineLevel="1" collapsed="1">
      <c r="A784" s="27">
        <v>4122</v>
      </c>
      <c r="B784" s="28" t="s">
        <v>744</v>
      </c>
      <c r="C784" s="27" t="s">
        <v>745</v>
      </c>
      <c r="D784" s="29" t="s">
        <v>32</v>
      </c>
      <c r="E784" s="28" t="s">
        <v>473</v>
      </c>
      <c r="F784" s="28" t="s">
        <v>474</v>
      </c>
    </row>
    <row r="785" ht="21" customHeight="1" hidden="1" spans="1:6" x14ac:dyDescent="0.25" outlineLevel="1" collapsed="1">
      <c r="A785" s="30" t="s">
        <v>32</v>
      </c>
      <c r="B785" s="17" t="s">
        <v>32</v>
      </c>
      <c r="C785" s="30" t="s">
        <v>32</v>
      </c>
      <c r="D785" s="31" t="s">
        <v>32</v>
      </c>
      <c r="E785" s="17" t="s">
        <v>475</v>
      </c>
      <c r="F785" s="17" t="s">
        <v>32</v>
      </c>
    </row>
    <row r="786" ht="36" customHeight="1" hidden="1" spans="1:6" x14ac:dyDescent="0.25" outlineLevel="1" collapsed="1">
      <c r="A786" s="32" t="s">
        <v>32</v>
      </c>
      <c r="B786" s="12" t="s">
        <v>32</v>
      </c>
      <c r="C786" s="32" t="s">
        <v>32</v>
      </c>
      <c r="D786" s="31" t="s">
        <v>32</v>
      </c>
      <c r="E786" s="12" t="s">
        <v>476</v>
      </c>
      <c r="F786" s="12" t="s">
        <v>32</v>
      </c>
    </row>
    <row r="787" ht="21" customHeight="1" hidden="1" spans="1:6" x14ac:dyDescent="0.25" outlineLevel="1" collapsed="1">
      <c r="A787" s="30" t="s">
        <v>32</v>
      </c>
      <c r="B787" s="17" t="s">
        <v>32</v>
      </c>
      <c r="C787" s="30" t="s">
        <v>32</v>
      </c>
      <c r="D787" s="31" t="s">
        <v>32</v>
      </c>
      <c r="E787" s="17" t="s">
        <v>687</v>
      </c>
      <c r="F787" s="17" t="s">
        <v>32</v>
      </c>
    </row>
    <row r="788" ht="36" customHeight="1" hidden="1" spans="1:6" x14ac:dyDescent="0.25" outlineLevel="1" collapsed="1">
      <c r="A788" s="32" t="s">
        <v>32</v>
      </c>
      <c r="B788" s="12" t="s">
        <v>32</v>
      </c>
      <c r="C788" s="32" t="s">
        <v>32</v>
      </c>
      <c r="D788" s="31" t="s">
        <v>32</v>
      </c>
      <c r="E788" s="12" t="s">
        <v>478</v>
      </c>
      <c r="F788" s="12" t="s">
        <v>32</v>
      </c>
    </row>
    <row r="789" ht="21" customHeight="1" hidden="1" spans="1:6" x14ac:dyDescent="0.25" outlineLevel="1" collapsed="1">
      <c r="A789" s="30" t="s">
        <v>32</v>
      </c>
      <c r="B789" s="17" t="s">
        <v>32</v>
      </c>
      <c r="C789" s="30" t="s">
        <v>32</v>
      </c>
      <c r="D789" s="31" t="s">
        <v>32</v>
      </c>
      <c r="E789" s="17" t="s">
        <v>479</v>
      </c>
      <c r="F789" s="17" t="s">
        <v>32</v>
      </c>
    </row>
    <row r="790" ht="36" customHeight="1" hidden="1" spans="1:6" x14ac:dyDescent="0.25" outlineLevel="1" collapsed="1">
      <c r="A790" s="32" t="s">
        <v>32</v>
      </c>
      <c r="B790" s="12" t="s">
        <v>32</v>
      </c>
      <c r="C790" s="32" t="s">
        <v>32</v>
      </c>
      <c r="D790" s="31" t="s">
        <v>32</v>
      </c>
      <c r="E790" s="33" t="s">
        <v>664</v>
      </c>
      <c r="F790" s="12" t="s">
        <v>32</v>
      </c>
    </row>
    <row r="791" ht="22" customHeight="1" hidden="1" spans="1:6" x14ac:dyDescent="0.25" outlineLevel="1" collapsed="1">
      <c r="A791" s="34" t="s">
        <v>495</v>
      </c>
      <c r="B791" s="34"/>
      <c r="C791" s="34"/>
      <c r="D791" s="34"/>
      <c r="E791" s="34"/>
      <c r="F791" s="34"/>
    </row>
    <row r="792" ht="40" customHeight="1" hidden="1" spans="1:6" x14ac:dyDescent="0.25" outlineLevel="1" collapsed="1">
      <c r="A792" s="12" t="s">
        <v>791</v>
      </c>
      <c r="B792" s="12"/>
      <c r="C792" s="12"/>
      <c r="D792" s="12"/>
      <c r="E792" s="12"/>
      <c r="F792" s="12"/>
    </row>
    <row r="793" ht="24" customHeight="1" hidden="1" spans="1:6" x14ac:dyDescent="0.25" outlineLevel="1" collapsed="1">
      <c r="A793" s="12" t="s">
        <v>732</v>
      </c>
      <c r="B793" s="12"/>
      <c r="C793" s="12"/>
      <c r="D793" s="12"/>
      <c r="E793" s="12"/>
      <c r="F793" s="12"/>
    </row>
    <row r="794" ht="6" customHeight="1" hidden="1" x14ac:dyDescent="0.25" outlineLevel="1" collapsed="1"/>
    <row r="795" ht="22" customHeight="1" spans="1:6" x14ac:dyDescent="0.25">
      <c r="A795" s="25" t="s">
        <v>747</v>
      </c>
      <c r="B795" s="25"/>
      <c r="C795" s="25"/>
      <c r="D795" s="25"/>
      <c r="E795" s="25"/>
      <c r="F795" s="25"/>
    </row>
    <row r="796" ht="20" customHeight="1" hidden="1" spans="1:6" x14ac:dyDescent="0.25" outlineLevel="1" collapsed="1">
      <c r="A796" s="26" t="s">
        <v>460</v>
      </c>
      <c r="B796" s="26" t="s">
        <v>461</v>
      </c>
      <c r="C796" s="26" t="s">
        <v>462</v>
      </c>
      <c r="D796" s="26" t="s">
        <v>32</v>
      </c>
      <c r="E796" s="26" t="s">
        <v>463</v>
      </c>
      <c r="F796" s="26" t="s">
        <v>464</v>
      </c>
    </row>
    <row r="797" ht="51" customHeight="1" hidden="1" spans="1:6" x14ac:dyDescent="0.25" outlineLevel="1" collapsed="1">
      <c r="A797" s="27">
        <v>4134</v>
      </c>
      <c r="B797" s="28" t="s">
        <v>748</v>
      </c>
      <c r="C797" s="27" t="s">
        <v>466</v>
      </c>
      <c r="D797" s="29" t="s">
        <v>32</v>
      </c>
      <c r="E797" s="28" t="s">
        <v>473</v>
      </c>
      <c r="F797" s="28" t="s">
        <v>724</v>
      </c>
    </row>
    <row r="798" ht="21" customHeight="1" hidden="1" spans="1:6" x14ac:dyDescent="0.25" outlineLevel="1" collapsed="1">
      <c r="A798" s="30" t="s">
        <v>32</v>
      </c>
      <c r="B798" s="17" t="s">
        <v>32</v>
      </c>
      <c r="C798" s="30" t="s">
        <v>32</v>
      </c>
      <c r="D798" s="31" t="s">
        <v>32</v>
      </c>
      <c r="E798" s="17" t="s">
        <v>475</v>
      </c>
      <c r="F798" s="17" t="s">
        <v>32</v>
      </c>
    </row>
    <row r="799" ht="36" customHeight="1" hidden="1" spans="1:6" x14ac:dyDescent="0.25" outlineLevel="1" collapsed="1">
      <c r="A799" s="32" t="s">
        <v>32</v>
      </c>
      <c r="B799" s="12" t="s">
        <v>32</v>
      </c>
      <c r="C799" s="32" t="s">
        <v>32</v>
      </c>
      <c r="D799" s="31" t="s">
        <v>32</v>
      </c>
      <c r="E799" s="12" t="s">
        <v>476</v>
      </c>
      <c r="F799" s="12" t="s">
        <v>32</v>
      </c>
    </row>
    <row r="800" ht="21" customHeight="1" hidden="1" spans="1:6" x14ac:dyDescent="0.25" outlineLevel="1" collapsed="1">
      <c r="A800" s="30" t="s">
        <v>32</v>
      </c>
      <c r="B800" s="17" t="s">
        <v>32</v>
      </c>
      <c r="C800" s="30" t="s">
        <v>32</v>
      </c>
      <c r="D800" s="31" t="s">
        <v>32</v>
      </c>
      <c r="E800" s="17" t="s">
        <v>687</v>
      </c>
      <c r="F800" s="17" t="s">
        <v>32</v>
      </c>
    </row>
    <row r="801" ht="36" customHeight="1" hidden="1" spans="1:6" x14ac:dyDescent="0.25" outlineLevel="1" collapsed="1">
      <c r="A801" s="32" t="s">
        <v>32</v>
      </c>
      <c r="B801" s="12" t="s">
        <v>32</v>
      </c>
      <c r="C801" s="32" t="s">
        <v>32</v>
      </c>
      <c r="D801" s="31" t="s">
        <v>32</v>
      </c>
      <c r="E801" s="12" t="s">
        <v>478</v>
      </c>
      <c r="F801" s="12" t="s">
        <v>32</v>
      </c>
    </row>
    <row r="802" ht="21" customHeight="1" hidden="1" spans="1:6" x14ac:dyDescent="0.25" outlineLevel="1" collapsed="1">
      <c r="A802" s="30" t="s">
        <v>32</v>
      </c>
      <c r="B802" s="17" t="s">
        <v>32</v>
      </c>
      <c r="C802" s="30" t="s">
        <v>32</v>
      </c>
      <c r="D802" s="31" t="s">
        <v>32</v>
      </c>
      <c r="E802" s="17" t="s">
        <v>479</v>
      </c>
      <c r="F802" s="17" t="s">
        <v>32</v>
      </c>
    </row>
    <row r="803" ht="21" customHeight="1" hidden="1" spans="1:6" x14ac:dyDescent="0.25" outlineLevel="1" collapsed="1">
      <c r="A803" s="32" t="s">
        <v>32</v>
      </c>
      <c r="B803" s="12" t="s">
        <v>32</v>
      </c>
      <c r="C803" s="32" t="s">
        <v>32</v>
      </c>
      <c r="D803" s="31" t="s">
        <v>32</v>
      </c>
      <c r="E803" s="12" t="s">
        <v>749</v>
      </c>
      <c r="F803" s="12" t="s">
        <v>32</v>
      </c>
    </row>
    <row r="804" ht="36" customHeight="1" hidden="1" spans="1:6" x14ac:dyDescent="0.25" outlineLevel="1" collapsed="1">
      <c r="A804" s="30" t="s">
        <v>32</v>
      </c>
      <c r="B804" s="17" t="s">
        <v>32</v>
      </c>
      <c r="C804" s="30" t="s">
        <v>32</v>
      </c>
      <c r="D804" s="31" t="s">
        <v>32</v>
      </c>
      <c r="E804" s="35" t="s">
        <v>784</v>
      </c>
      <c r="F804" s="17" t="s">
        <v>32</v>
      </c>
    </row>
    <row r="805" ht="51" customHeight="1" hidden="1" spans="1:6" x14ac:dyDescent="0.25" outlineLevel="1" collapsed="1">
      <c r="A805" s="27">
        <v>4136</v>
      </c>
      <c r="B805" s="28" t="s">
        <v>750</v>
      </c>
      <c r="C805" s="27" t="s">
        <v>472</v>
      </c>
      <c r="D805" s="29" t="s">
        <v>32</v>
      </c>
      <c r="E805" s="28" t="s">
        <v>751</v>
      </c>
      <c r="F805" s="28" t="s">
        <v>752</v>
      </c>
    </row>
    <row r="806" ht="21" customHeight="1" hidden="1" spans="1:6" x14ac:dyDescent="0.25" outlineLevel="1" collapsed="1">
      <c r="A806" s="30" t="s">
        <v>32</v>
      </c>
      <c r="B806" s="17" t="s">
        <v>32</v>
      </c>
      <c r="C806" s="30" t="s">
        <v>32</v>
      </c>
      <c r="D806" s="31" t="s">
        <v>32</v>
      </c>
      <c r="E806" s="17" t="s">
        <v>617</v>
      </c>
      <c r="F806" s="17" t="s">
        <v>32</v>
      </c>
    </row>
    <row r="807" ht="36" customHeight="1" hidden="1" spans="1:6" x14ac:dyDescent="0.25" outlineLevel="1" collapsed="1">
      <c r="A807" s="32" t="s">
        <v>32</v>
      </c>
      <c r="B807" s="12" t="s">
        <v>32</v>
      </c>
      <c r="C807" s="32" t="s">
        <v>32</v>
      </c>
      <c r="D807" s="31" t="s">
        <v>32</v>
      </c>
      <c r="E807" s="33" t="s">
        <v>784</v>
      </c>
      <c r="F807" s="12" t="s">
        <v>32</v>
      </c>
    </row>
    <row r="808" ht="22" customHeight="1" hidden="1" spans="1:6" x14ac:dyDescent="0.25" outlineLevel="1" collapsed="1">
      <c r="A808" s="34" t="s">
        <v>495</v>
      </c>
      <c r="B808" s="34"/>
      <c r="C808" s="34"/>
      <c r="D808" s="34"/>
      <c r="E808" s="34"/>
      <c r="F808" s="34"/>
    </row>
    <row r="809" ht="40" customHeight="1" hidden="1" spans="1:6" x14ac:dyDescent="0.25" outlineLevel="1" collapsed="1">
      <c r="A809" s="12" t="s">
        <v>792</v>
      </c>
      <c r="B809" s="12"/>
      <c r="C809" s="12"/>
      <c r="D809" s="12"/>
      <c r="E809" s="12"/>
      <c r="F809" s="12"/>
    </row>
    <row r="810" ht="24" customHeight="1" hidden="1" spans="1:6" x14ac:dyDescent="0.25" outlineLevel="1" collapsed="1">
      <c r="A810" s="12" t="s">
        <v>793</v>
      </c>
      <c r="B810" s="12"/>
      <c r="C810" s="12"/>
      <c r="D810" s="12"/>
      <c r="E810" s="12"/>
      <c r="F810" s="12"/>
    </row>
    <row r="811" ht="6" customHeight="1" hidden="1" x14ac:dyDescent="0.25" outlineLevel="1" collapsed="1"/>
    <row r="812" ht="22" customHeight="1" spans="1:6" x14ac:dyDescent="0.25">
      <c r="A812" s="25" t="s">
        <v>755</v>
      </c>
      <c r="B812" s="25"/>
      <c r="C812" s="25"/>
      <c r="D812" s="25"/>
      <c r="E812" s="25"/>
      <c r="F812" s="25"/>
    </row>
    <row r="813" ht="20" customHeight="1" hidden="1" spans="1:6" x14ac:dyDescent="0.25" outlineLevel="1" collapsed="1">
      <c r="A813" s="26" t="s">
        <v>460</v>
      </c>
      <c r="B813" s="26" t="s">
        <v>461</v>
      </c>
      <c r="C813" s="26" t="s">
        <v>462</v>
      </c>
      <c r="D813" s="26" t="s">
        <v>32</v>
      </c>
      <c r="E813" s="26" t="s">
        <v>463</v>
      </c>
      <c r="F813" s="26" t="s">
        <v>464</v>
      </c>
    </row>
    <row r="814" ht="51" customHeight="1" hidden="1" spans="1:6" x14ac:dyDescent="0.25" outlineLevel="1" collapsed="1">
      <c r="A814" s="27">
        <v>4152</v>
      </c>
      <c r="B814" s="28" t="s">
        <v>756</v>
      </c>
      <c r="C814" s="27" t="s">
        <v>745</v>
      </c>
      <c r="D814" s="29" t="s">
        <v>32</v>
      </c>
      <c r="E814" s="28" t="s">
        <v>473</v>
      </c>
      <c r="F814" s="28" t="s">
        <v>724</v>
      </c>
    </row>
    <row r="815" ht="21" customHeight="1" hidden="1" spans="1:6" x14ac:dyDescent="0.25" outlineLevel="1" collapsed="1">
      <c r="A815" s="30" t="s">
        <v>32</v>
      </c>
      <c r="B815" s="17" t="s">
        <v>32</v>
      </c>
      <c r="C815" s="30" t="s">
        <v>32</v>
      </c>
      <c r="D815" s="31" t="s">
        <v>32</v>
      </c>
      <c r="E815" s="17" t="s">
        <v>475</v>
      </c>
      <c r="F815" s="17" t="s">
        <v>32</v>
      </c>
    </row>
    <row r="816" ht="36" customHeight="1" hidden="1" spans="1:6" x14ac:dyDescent="0.25" outlineLevel="1" collapsed="1">
      <c r="A816" s="32" t="s">
        <v>32</v>
      </c>
      <c r="B816" s="12" t="s">
        <v>32</v>
      </c>
      <c r="C816" s="32" t="s">
        <v>32</v>
      </c>
      <c r="D816" s="31" t="s">
        <v>32</v>
      </c>
      <c r="E816" s="12" t="s">
        <v>476</v>
      </c>
      <c r="F816" s="12" t="s">
        <v>32</v>
      </c>
    </row>
    <row r="817" ht="21" customHeight="1" hidden="1" spans="1:6" x14ac:dyDescent="0.25" outlineLevel="1" collapsed="1">
      <c r="A817" s="30" t="s">
        <v>32</v>
      </c>
      <c r="B817" s="17" t="s">
        <v>32</v>
      </c>
      <c r="C817" s="30" t="s">
        <v>32</v>
      </c>
      <c r="D817" s="31" t="s">
        <v>32</v>
      </c>
      <c r="E817" s="17" t="s">
        <v>757</v>
      </c>
      <c r="F817" s="17" t="s">
        <v>32</v>
      </c>
    </row>
    <row r="818" ht="36" customHeight="1" hidden="1" spans="1:6" x14ac:dyDescent="0.25" outlineLevel="1" collapsed="1">
      <c r="A818" s="32" t="s">
        <v>32</v>
      </c>
      <c r="B818" s="12" t="s">
        <v>32</v>
      </c>
      <c r="C818" s="32" t="s">
        <v>32</v>
      </c>
      <c r="D818" s="31" t="s">
        <v>32</v>
      </c>
      <c r="E818" s="12" t="s">
        <v>478</v>
      </c>
      <c r="F818" s="12" t="s">
        <v>32</v>
      </c>
    </row>
    <row r="819" ht="21" customHeight="1" hidden="1" spans="1:6" x14ac:dyDescent="0.25" outlineLevel="1" collapsed="1">
      <c r="A819" s="30" t="s">
        <v>32</v>
      </c>
      <c r="B819" s="17" t="s">
        <v>32</v>
      </c>
      <c r="C819" s="30" t="s">
        <v>32</v>
      </c>
      <c r="D819" s="31" t="s">
        <v>32</v>
      </c>
      <c r="E819" s="17" t="s">
        <v>479</v>
      </c>
      <c r="F819" s="17" t="s">
        <v>32</v>
      </c>
    </row>
    <row r="820" ht="21" customHeight="1" hidden="1" spans="1:6" x14ac:dyDescent="0.25" outlineLevel="1" collapsed="1">
      <c r="A820" s="32" t="s">
        <v>32</v>
      </c>
      <c r="B820" s="12" t="s">
        <v>32</v>
      </c>
      <c r="C820" s="32" t="s">
        <v>32</v>
      </c>
      <c r="D820" s="31" t="s">
        <v>32</v>
      </c>
      <c r="E820" s="12" t="s">
        <v>725</v>
      </c>
      <c r="F820" s="12" t="s">
        <v>32</v>
      </c>
    </row>
    <row r="821" ht="36" customHeight="1" hidden="1" spans="1:6" x14ac:dyDescent="0.25" outlineLevel="1" collapsed="1">
      <c r="A821" s="30" t="s">
        <v>32</v>
      </c>
      <c r="B821" s="17" t="s">
        <v>32</v>
      </c>
      <c r="C821" s="30" t="s">
        <v>32</v>
      </c>
      <c r="D821" s="31" t="s">
        <v>32</v>
      </c>
      <c r="E821" s="35" t="s">
        <v>784</v>
      </c>
      <c r="F821" s="17" t="s">
        <v>32</v>
      </c>
    </row>
    <row r="822" ht="21" customHeight="1" hidden="1" spans="1:6" x14ac:dyDescent="0.25" outlineLevel="1" collapsed="1">
      <c r="A822" s="27">
        <v>4154</v>
      </c>
      <c r="B822" s="28" t="s">
        <v>739</v>
      </c>
      <c r="C822" s="27" t="s">
        <v>758</v>
      </c>
      <c r="D822" s="29" t="s">
        <v>32</v>
      </c>
      <c r="E822" s="28" t="s">
        <v>759</v>
      </c>
      <c r="F822" s="28" t="s">
        <v>32</v>
      </c>
    </row>
    <row r="823" ht="51" customHeight="1" hidden="1" spans="1:6" x14ac:dyDescent="0.25" outlineLevel="1" collapsed="1">
      <c r="A823" s="27">
        <v>4126</v>
      </c>
      <c r="B823" s="28" t="s">
        <v>760</v>
      </c>
      <c r="C823" s="27" t="s">
        <v>761</v>
      </c>
      <c r="D823" s="29" t="s">
        <v>32</v>
      </c>
      <c r="E823" s="36" t="s">
        <v>668</v>
      </c>
      <c r="F823" s="28" t="s">
        <v>32</v>
      </c>
    </row>
    <row r="824" ht="36" customHeight="1" hidden="1" spans="1:6" x14ac:dyDescent="0.25" outlineLevel="1" collapsed="1">
      <c r="A824" s="27">
        <v>4128</v>
      </c>
      <c r="B824" s="28" t="s">
        <v>762</v>
      </c>
      <c r="C824" s="27" t="s">
        <v>761</v>
      </c>
      <c r="D824" s="29" t="s">
        <v>32</v>
      </c>
      <c r="E824" s="36" t="s">
        <v>668</v>
      </c>
      <c r="F824" s="28" t="s">
        <v>32</v>
      </c>
    </row>
    <row r="825" ht="22" customHeight="1" hidden="1" spans="1:6" x14ac:dyDescent="0.25" outlineLevel="1" collapsed="1">
      <c r="A825" s="34" t="s">
        <v>495</v>
      </c>
      <c r="B825" s="34"/>
      <c r="C825" s="34"/>
      <c r="D825" s="34"/>
      <c r="E825" s="34"/>
      <c r="F825" s="34"/>
    </row>
    <row r="826" ht="40" customHeight="1" hidden="1" spans="1:6" x14ac:dyDescent="0.25" outlineLevel="1" collapsed="1">
      <c r="A826" s="12" t="s">
        <v>794</v>
      </c>
      <c r="B826" s="12"/>
      <c r="C826" s="12"/>
      <c r="D826" s="12"/>
      <c r="E826" s="12"/>
      <c r="F826" s="12"/>
    </row>
    <row r="827" ht="24" customHeight="1" hidden="1" spans="1:6" x14ac:dyDescent="0.25" outlineLevel="1" collapsed="1">
      <c r="A827" s="12" t="s">
        <v>795</v>
      </c>
      <c r="B827" s="12"/>
      <c r="C827" s="12"/>
      <c r="D827" s="12"/>
      <c r="E827" s="12"/>
      <c r="F827" s="12"/>
    </row>
    <row r="828" ht="24" customHeight="1" hidden="1" spans="1:6" x14ac:dyDescent="0.25" outlineLevel="1" collapsed="1">
      <c r="A828" s="12" t="s">
        <v>796</v>
      </c>
      <c r="B828" s="12"/>
      <c r="C828" s="12"/>
      <c r="D828" s="12"/>
      <c r="E828" s="12"/>
      <c r="F828" s="12"/>
    </row>
    <row r="829" ht="24" customHeight="1" hidden="1" spans="1:6" x14ac:dyDescent="0.25" outlineLevel="1" collapsed="1">
      <c r="A829" s="12" t="s">
        <v>797</v>
      </c>
      <c r="B829" s="12"/>
      <c r="C829" s="12"/>
      <c r="D829" s="12"/>
      <c r="E829" s="12"/>
      <c r="F829" s="12"/>
    </row>
    <row r="830" ht="24" customHeight="1" hidden="1" spans="1:6" x14ac:dyDescent="0.25" outlineLevel="1" collapsed="1">
      <c r="A830" s="12" t="s">
        <v>767</v>
      </c>
      <c r="B830" s="12"/>
      <c r="C830" s="12"/>
      <c r="D830" s="12"/>
      <c r="E830" s="12"/>
      <c r="F830" s="12"/>
    </row>
    <row r="831" ht="24" customHeight="1" hidden="1" spans="1:6" x14ac:dyDescent="0.25" outlineLevel="1" collapsed="1">
      <c r="A831" s="12" t="s">
        <v>768</v>
      </c>
      <c r="B831" s="12"/>
      <c r="C831" s="12"/>
      <c r="D831" s="12"/>
      <c r="E831" s="12"/>
      <c r="F831" s="12"/>
    </row>
    <row r="832" ht="6" customHeight="1" hidden="1" x14ac:dyDescent="0.25" outlineLevel="1" collapsed="1"/>
    <row r="833" ht="22" customHeight="1" spans="1:6" x14ac:dyDescent="0.25">
      <c r="A833" s="25" t="s">
        <v>769</v>
      </c>
      <c r="B833" s="25"/>
      <c r="C833" s="25"/>
      <c r="D833" s="25"/>
      <c r="E833" s="25"/>
      <c r="F833" s="25"/>
    </row>
    <row r="834" ht="20" customHeight="1" hidden="1" spans="1:6" x14ac:dyDescent="0.25" outlineLevel="1" collapsed="1">
      <c r="A834" s="26" t="s">
        <v>460</v>
      </c>
      <c r="B834" s="26" t="s">
        <v>461</v>
      </c>
      <c r="C834" s="26" t="s">
        <v>462</v>
      </c>
      <c r="D834" s="26" t="s">
        <v>32</v>
      </c>
      <c r="E834" s="26" t="s">
        <v>463</v>
      </c>
      <c r="F834" s="26" t="s">
        <v>464</v>
      </c>
    </row>
    <row r="835" ht="36" customHeight="1" hidden="1" spans="1:6" x14ac:dyDescent="0.25" outlineLevel="1" collapsed="1">
      <c r="A835" s="27">
        <v>4122</v>
      </c>
      <c r="B835" s="28" t="s">
        <v>36</v>
      </c>
      <c r="C835" s="27" t="s">
        <v>745</v>
      </c>
      <c r="D835" s="29" t="s">
        <v>32</v>
      </c>
      <c r="E835" s="36" t="s">
        <v>668</v>
      </c>
      <c r="F835" s="28" t="s">
        <v>32</v>
      </c>
    </row>
    <row r="836" ht="36" customHeight="1" hidden="1" spans="1:6" x14ac:dyDescent="0.25" outlineLevel="1" collapsed="1">
      <c r="A836" s="27">
        <v>4124</v>
      </c>
      <c r="B836" s="28" t="s">
        <v>739</v>
      </c>
      <c r="C836" s="27" t="s">
        <v>758</v>
      </c>
      <c r="D836" s="29" t="s">
        <v>32</v>
      </c>
      <c r="E836" s="36" t="s">
        <v>668</v>
      </c>
      <c r="F836" s="28" t="s">
        <v>32</v>
      </c>
    </row>
    <row r="837" ht="22" customHeight="1" hidden="1" spans="1:6" x14ac:dyDescent="0.25" outlineLevel="1" collapsed="1">
      <c r="A837" s="34" t="s">
        <v>495</v>
      </c>
      <c r="B837" s="34"/>
      <c r="C837" s="34"/>
      <c r="D837" s="34"/>
      <c r="E837" s="34"/>
      <c r="F837" s="34"/>
    </row>
    <row r="838" ht="24" customHeight="1" hidden="1" spans="1:6" x14ac:dyDescent="0.25" outlineLevel="1" collapsed="1">
      <c r="A838" s="12" t="s">
        <v>798</v>
      </c>
      <c r="B838" s="12"/>
      <c r="C838" s="12"/>
      <c r="D838" s="12"/>
      <c r="E838" s="12"/>
      <c r="F838" s="12"/>
    </row>
    <row r="839" ht="24" customHeight="1" hidden="1" spans="1:6" x14ac:dyDescent="0.25" outlineLevel="1" collapsed="1">
      <c r="A839" s="12" t="s">
        <v>799</v>
      </c>
      <c r="B839" s="12"/>
      <c r="C839" s="12"/>
      <c r="D839" s="12"/>
      <c r="E839" s="12"/>
      <c r="F839" s="12"/>
    </row>
    <row r="840" ht="24" customHeight="1" hidden="1" spans="1:6" x14ac:dyDescent="0.25" outlineLevel="1" collapsed="1">
      <c r="A840" s="12" t="s">
        <v>732</v>
      </c>
      <c r="B840" s="12"/>
      <c r="C840" s="12"/>
      <c r="D840" s="12"/>
      <c r="E840" s="12"/>
      <c r="F840" s="12"/>
    </row>
    <row r="841" ht="6" customHeight="1" hidden="1" x14ac:dyDescent="0.25" outlineLevel="1" collapsed="1"/>
    <row r="842" ht="22" customHeight="1" spans="1:6" x14ac:dyDescent="0.25">
      <c r="A842" s="25" t="s">
        <v>772</v>
      </c>
      <c r="B842" s="25"/>
      <c r="C842" s="25"/>
      <c r="D842" s="25"/>
      <c r="E842" s="25"/>
      <c r="F842" s="25"/>
    </row>
    <row r="843" ht="20" customHeight="1" hidden="1" spans="1:6" x14ac:dyDescent="0.25" outlineLevel="1" collapsed="1">
      <c r="A843" s="26" t="s">
        <v>460</v>
      </c>
      <c r="B843" s="26" t="s">
        <v>461</v>
      </c>
      <c r="C843" s="26" t="s">
        <v>462</v>
      </c>
      <c r="D843" s="26" t="s">
        <v>32</v>
      </c>
      <c r="E843" s="26" t="s">
        <v>463</v>
      </c>
      <c r="F843" s="26" t="s">
        <v>464</v>
      </c>
    </row>
    <row r="844" ht="36" customHeight="1" hidden="1" spans="1:6" x14ac:dyDescent="0.25" outlineLevel="1" collapsed="1">
      <c r="A844" s="27">
        <v>4122</v>
      </c>
      <c r="B844" s="28" t="s">
        <v>36</v>
      </c>
      <c r="C844" s="27" t="s">
        <v>745</v>
      </c>
      <c r="D844" s="29" t="s">
        <v>32</v>
      </c>
      <c r="E844" s="36" t="s">
        <v>668</v>
      </c>
      <c r="F844" s="28" t="s">
        <v>32</v>
      </c>
    </row>
    <row r="845" ht="36" customHeight="1" hidden="1" spans="1:6" x14ac:dyDescent="0.25" outlineLevel="1" collapsed="1">
      <c r="A845" s="27">
        <v>4124</v>
      </c>
      <c r="B845" s="28" t="s">
        <v>739</v>
      </c>
      <c r="C845" s="27" t="s">
        <v>758</v>
      </c>
      <c r="D845" s="29" t="s">
        <v>32</v>
      </c>
      <c r="E845" s="36" t="s">
        <v>668</v>
      </c>
      <c r="F845" s="28" t="s">
        <v>32</v>
      </c>
    </row>
    <row r="846" ht="22" customHeight="1" hidden="1" spans="1:6" x14ac:dyDescent="0.25" outlineLevel="1" collapsed="1">
      <c r="A846" s="34" t="s">
        <v>495</v>
      </c>
      <c r="B846" s="34"/>
      <c r="C846" s="34"/>
      <c r="D846" s="34"/>
      <c r="E846" s="34"/>
      <c r="F846" s="34"/>
    </row>
    <row r="847" ht="24" customHeight="1" hidden="1" spans="1:6" x14ac:dyDescent="0.25" outlineLevel="1" collapsed="1">
      <c r="A847" s="12" t="s">
        <v>798</v>
      </c>
      <c r="B847" s="12"/>
      <c r="C847" s="12"/>
      <c r="D847" s="12"/>
      <c r="E847" s="12"/>
      <c r="F847" s="12"/>
    </row>
    <row r="848" ht="24" customHeight="1" hidden="1" spans="1:6" x14ac:dyDescent="0.25" outlineLevel="1" collapsed="1">
      <c r="A848" s="12" t="s">
        <v>799</v>
      </c>
      <c r="B848" s="12"/>
      <c r="C848" s="12"/>
      <c r="D848" s="12"/>
      <c r="E848" s="12"/>
      <c r="F848" s="12"/>
    </row>
    <row r="849" ht="24" customHeight="1" hidden="1" spans="1:6" x14ac:dyDescent="0.25" outlineLevel="1" collapsed="1">
      <c r="A849" s="12" t="s">
        <v>732</v>
      </c>
      <c r="B849" s="12"/>
      <c r="C849" s="12"/>
      <c r="D849" s="12"/>
      <c r="E849" s="12"/>
      <c r="F849" s="12"/>
    </row>
    <row r="850" ht="6" customHeight="1" hidden="1" x14ac:dyDescent="0.25" outlineLevel="1" collapsed="1"/>
    <row r="851" ht="22" customHeight="1" spans="1:6" x14ac:dyDescent="0.25">
      <c r="A851" s="25" t="s">
        <v>773</v>
      </c>
      <c r="B851" s="25"/>
      <c r="C851" s="25"/>
      <c r="D851" s="25"/>
      <c r="E851" s="25"/>
      <c r="F851" s="25"/>
    </row>
    <row r="852" ht="20" customHeight="1" hidden="1" spans="1:6" x14ac:dyDescent="0.25" outlineLevel="1" collapsed="1">
      <c r="A852" s="26" t="s">
        <v>460</v>
      </c>
      <c r="B852" s="26" t="s">
        <v>461</v>
      </c>
      <c r="C852" s="26" t="s">
        <v>462</v>
      </c>
      <c r="D852" s="26" t="s">
        <v>32</v>
      </c>
      <c r="E852" s="26" t="s">
        <v>463</v>
      </c>
      <c r="F852" s="26" t="s">
        <v>464</v>
      </c>
    </row>
    <row r="853" ht="51" customHeight="1" hidden="1" spans="1:6" x14ac:dyDescent="0.25" outlineLevel="1" collapsed="1">
      <c r="A853" s="27">
        <v>4122</v>
      </c>
      <c r="B853" s="28" t="s">
        <v>36</v>
      </c>
      <c r="C853" s="27" t="s">
        <v>745</v>
      </c>
      <c r="D853" s="29" t="s">
        <v>32</v>
      </c>
      <c r="E853" s="28" t="s">
        <v>473</v>
      </c>
      <c r="F853" s="28" t="s">
        <v>474</v>
      </c>
    </row>
    <row r="854" ht="21" customHeight="1" hidden="1" spans="1:6" x14ac:dyDescent="0.25" outlineLevel="1" collapsed="1">
      <c r="A854" s="30" t="s">
        <v>32</v>
      </c>
      <c r="B854" s="17" t="s">
        <v>32</v>
      </c>
      <c r="C854" s="30" t="s">
        <v>32</v>
      </c>
      <c r="D854" s="31" t="s">
        <v>32</v>
      </c>
      <c r="E854" s="17" t="s">
        <v>475</v>
      </c>
      <c r="F854" s="17" t="s">
        <v>32</v>
      </c>
    </row>
    <row r="855" ht="36" customHeight="1" hidden="1" spans="1:6" x14ac:dyDescent="0.25" outlineLevel="1" collapsed="1">
      <c r="A855" s="32" t="s">
        <v>32</v>
      </c>
      <c r="B855" s="12" t="s">
        <v>32</v>
      </c>
      <c r="C855" s="32" t="s">
        <v>32</v>
      </c>
      <c r="D855" s="31" t="s">
        <v>32</v>
      </c>
      <c r="E855" s="12" t="s">
        <v>476</v>
      </c>
      <c r="F855" s="12" t="s">
        <v>32</v>
      </c>
    </row>
    <row r="856" ht="21" customHeight="1" hidden="1" spans="1:6" x14ac:dyDescent="0.25" outlineLevel="1" collapsed="1">
      <c r="A856" s="30" t="s">
        <v>32</v>
      </c>
      <c r="B856" s="17" t="s">
        <v>32</v>
      </c>
      <c r="C856" s="30" t="s">
        <v>32</v>
      </c>
      <c r="D856" s="31" t="s">
        <v>32</v>
      </c>
      <c r="E856" s="17" t="s">
        <v>687</v>
      </c>
      <c r="F856" s="17" t="s">
        <v>32</v>
      </c>
    </row>
    <row r="857" ht="36" customHeight="1" hidden="1" spans="1:6" x14ac:dyDescent="0.25" outlineLevel="1" collapsed="1">
      <c r="A857" s="32" t="s">
        <v>32</v>
      </c>
      <c r="B857" s="12" t="s">
        <v>32</v>
      </c>
      <c r="C857" s="32" t="s">
        <v>32</v>
      </c>
      <c r="D857" s="31" t="s">
        <v>32</v>
      </c>
      <c r="E857" s="12" t="s">
        <v>478</v>
      </c>
      <c r="F857" s="12" t="s">
        <v>32</v>
      </c>
    </row>
    <row r="858" ht="21" customHeight="1" hidden="1" spans="1:6" x14ac:dyDescent="0.25" outlineLevel="1" collapsed="1">
      <c r="A858" s="30" t="s">
        <v>32</v>
      </c>
      <c r="B858" s="17" t="s">
        <v>32</v>
      </c>
      <c r="C858" s="30" t="s">
        <v>32</v>
      </c>
      <c r="D858" s="31" t="s">
        <v>32</v>
      </c>
      <c r="E858" s="17" t="s">
        <v>479</v>
      </c>
      <c r="F858" s="17" t="s">
        <v>32</v>
      </c>
    </row>
    <row r="859" ht="36" customHeight="1" hidden="1" spans="1:6" x14ac:dyDescent="0.25" outlineLevel="1" collapsed="1">
      <c r="A859" s="32" t="s">
        <v>32</v>
      </c>
      <c r="B859" s="12" t="s">
        <v>32</v>
      </c>
      <c r="C859" s="32" t="s">
        <v>32</v>
      </c>
      <c r="D859" s="31" t="s">
        <v>32</v>
      </c>
      <c r="E859" s="33" t="s">
        <v>664</v>
      </c>
      <c r="F859" s="12" t="s">
        <v>32</v>
      </c>
    </row>
    <row r="860" ht="51" customHeight="1" hidden="1" spans="1:6" x14ac:dyDescent="0.25" outlineLevel="1" collapsed="1">
      <c r="A860" s="27">
        <v>4124</v>
      </c>
      <c r="B860" s="28" t="s">
        <v>739</v>
      </c>
      <c r="C860" s="27" t="s">
        <v>758</v>
      </c>
      <c r="D860" s="29" t="s">
        <v>32</v>
      </c>
      <c r="E860" s="28" t="s">
        <v>774</v>
      </c>
      <c r="F860" s="28" t="s">
        <v>775</v>
      </c>
    </row>
    <row r="861" ht="21" customHeight="1" hidden="1" spans="1:6" x14ac:dyDescent="0.25" outlineLevel="1" collapsed="1">
      <c r="A861" s="30" t="s">
        <v>32</v>
      </c>
      <c r="B861" s="17" t="s">
        <v>32</v>
      </c>
      <c r="C861" s="30" t="s">
        <v>32</v>
      </c>
      <c r="D861" s="31" t="s">
        <v>32</v>
      </c>
      <c r="E861" s="17" t="s">
        <v>776</v>
      </c>
      <c r="F861" s="17" t="s">
        <v>32</v>
      </c>
    </row>
    <row r="862" ht="21" customHeight="1" hidden="1" spans="1:6" x14ac:dyDescent="0.25" outlineLevel="1" collapsed="1">
      <c r="A862" s="32" t="s">
        <v>32</v>
      </c>
      <c r="B862" s="12" t="s">
        <v>32</v>
      </c>
      <c r="C862" s="32" t="s">
        <v>32</v>
      </c>
      <c r="D862" s="31" t="s">
        <v>32</v>
      </c>
      <c r="E862" s="12" t="s">
        <v>777</v>
      </c>
      <c r="F862" s="12" t="s">
        <v>32</v>
      </c>
    </row>
    <row r="863" ht="36" customHeight="1" hidden="1" spans="1:6" x14ac:dyDescent="0.25" outlineLevel="1" collapsed="1">
      <c r="A863" s="30" t="s">
        <v>32</v>
      </c>
      <c r="B863" s="17" t="s">
        <v>32</v>
      </c>
      <c r="C863" s="30" t="s">
        <v>32</v>
      </c>
      <c r="D863" s="31" t="s">
        <v>32</v>
      </c>
      <c r="E863" s="35" t="s">
        <v>664</v>
      </c>
      <c r="F863" s="17" t="s">
        <v>32</v>
      </c>
    </row>
    <row r="864" ht="22" customHeight="1" hidden="1" spans="1:6" x14ac:dyDescent="0.25" outlineLevel="1" collapsed="1">
      <c r="A864" s="34" t="s">
        <v>495</v>
      </c>
      <c r="B864" s="34"/>
      <c r="C864" s="34"/>
      <c r="D864" s="34"/>
      <c r="E864" s="34"/>
      <c r="F864" s="34"/>
    </row>
    <row r="865" ht="40" customHeight="1" hidden="1" spans="1:6" x14ac:dyDescent="0.25" outlineLevel="1" collapsed="1">
      <c r="A865" s="12" t="s">
        <v>791</v>
      </c>
      <c r="B865" s="12"/>
      <c r="C865" s="12"/>
      <c r="D865" s="12"/>
      <c r="E865" s="12"/>
      <c r="F865" s="12"/>
    </row>
    <row r="866" ht="40" customHeight="1" hidden="1" spans="1:6" x14ac:dyDescent="0.25" outlineLevel="1" collapsed="1">
      <c r="A866" s="12" t="s">
        <v>800</v>
      </c>
      <c r="B866" s="12"/>
      <c r="C866" s="12"/>
      <c r="D866" s="12"/>
      <c r="E866" s="12"/>
      <c r="F866" s="12"/>
    </row>
    <row r="867" ht="24" customHeight="1" hidden="1" spans="1:6" x14ac:dyDescent="0.25" outlineLevel="1" collapsed="1">
      <c r="A867" s="12" t="s">
        <v>732</v>
      </c>
      <c r="B867" s="12"/>
      <c r="C867" s="12"/>
      <c r="D867" s="12"/>
      <c r="E867" s="12"/>
      <c r="F867" s="12"/>
    </row>
    <row r="868" ht="6" customHeight="1" hidden="1" x14ac:dyDescent="0.25" outlineLevel="1" collapsed="1"/>
    <row r="869" ht="22" customHeight="1" spans="1:6" x14ac:dyDescent="0.25">
      <c r="A869" s="25" t="s">
        <v>779</v>
      </c>
      <c r="B869" s="25"/>
      <c r="C869" s="25"/>
      <c r="D869" s="25"/>
      <c r="E869" s="25"/>
      <c r="F869" s="25"/>
    </row>
    <row r="870" ht="20" customHeight="1" hidden="1" spans="1:6" x14ac:dyDescent="0.25" outlineLevel="1" collapsed="1">
      <c r="A870" s="26" t="s">
        <v>460</v>
      </c>
      <c r="B870" s="26" t="s">
        <v>461</v>
      </c>
      <c r="C870" s="26" t="s">
        <v>462</v>
      </c>
      <c r="D870" s="26" t="s">
        <v>32</v>
      </c>
      <c r="E870" s="26" t="s">
        <v>463</v>
      </c>
      <c r="F870" s="26" t="s">
        <v>464</v>
      </c>
    </row>
    <row r="871" ht="36" customHeight="1" hidden="1" spans="1:6" x14ac:dyDescent="0.25" outlineLevel="1" collapsed="1">
      <c r="A871" s="27">
        <v>4122</v>
      </c>
      <c r="B871" s="28" t="s">
        <v>36</v>
      </c>
      <c r="C871" s="27" t="s">
        <v>745</v>
      </c>
      <c r="D871" s="29" t="s">
        <v>32</v>
      </c>
      <c r="E871" s="36" t="s">
        <v>668</v>
      </c>
      <c r="F871" s="28" t="s">
        <v>32</v>
      </c>
    </row>
    <row r="872" ht="36" customHeight="1" hidden="1" spans="1:6" x14ac:dyDescent="0.25" outlineLevel="1" collapsed="1">
      <c r="A872" s="27">
        <v>4124</v>
      </c>
      <c r="B872" s="28" t="s">
        <v>739</v>
      </c>
      <c r="C872" s="27" t="s">
        <v>758</v>
      </c>
      <c r="D872" s="29" t="s">
        <v>32</v>
      </c>
      <c r="E872" s="36" t="s">
        <v>668</v>
      </c>
      <c r="F872" s="28" t="s">
        <v>32</v>
      </c>
    </row>
    <row r="873" ht="22" customHeight="1" hidden="1" spans="1:6" x14ac:dyDescent="0.25" outlineLevel="1" collapsed="1">
      <c r="A873" s="34" t="s">
        <v>495</v>
      </c>
      <c r="B873" s="34"/>
      <c r="C873" s="34"/>
      <c r="D873" s="34"/>
      <c r="E873" s="34"/>
      <c r="F873" s="34"/>
    </row>
    <row r="874" ht="24" customHeight="1" hidden="1" spans="1:6" x14ac:dyDescent="0.25" outlineLevel="1" collapsed="1">
      <c r="A874" s="12" t="s">
        <v>798</v>
      </c>
      <c r="B874" s="12"/>
      <c r="C874" s="12"/>
      <c r="D874" s="12"/>
      <c r="E874" s="12"/>
      <c r="F874" s="12"/>
    </row>
    <row r="875" ht="24" customHeight="1" hidden="1" spans="1:6" x14ac:dyDescent="0.25" outlineLevel="1" collapsed="1">
      <c r="A875" s="12" t="s">
        <v>799</v>
      </c>
      <c r="B875" s="12"/>
      <c r="C875" s="12"/>
      <c r="D875" s="12"/>
      <c r="E875" s="12"/>
      <c r="F875" s="12"/>
    </row>
    <row r="876" ht="24" customHeight="1" hidden="1" spans="1:6" x14ac:dyDescent="0.25" outlineLevel="1" collapsed="1">
      <c r="A876" s="12" t="s">
        <v>732</v>
      </c>
      <c r="B876" s="12"/>
      <c r="C876" s="12"/>
      <c r="D876" s="12"/>
      <c r="E876" s="12"/>
      <c r="F876" s="12"/>
    </row>
    <row r="877" ht="6" customHeight="1" hidden="1" x14ac:dyDescent="0.25" outlineLevel="1" collapsed="1"/>
    <row r="878" ht="22" customHeight="1" spans="1:6" x14ac:dyDescent="0.25">
      <c r="A878" s="25" t="s">
        <v>780</v>
      </c>
      <c r="B878" s="25"/>
      <c r="C878" s="25"/>
      <c r="D878" s="25"/>
      <c r="E878" s="25"/>
      <c r="F878" s="25"/>
    </row>
    <row r="879" ht="20" customHeight="1" hidden="1" spans="1:6" x14ac:dyDescent="0.25" outlineLevel="1" collapsed="1">
      <c r="A879" s="26" t="s">
        <v>460</v>
      </c>
      <c r="B879" s="26" t="s">
        <v>461</v>
      </c>
      <c r="C879" s="26" t="s">
        <v>462</v>
      </c>
      <c r="D879" s="26" t="s">
        <v>32</v>
      </c>
      <c r="E879" s="26" t="s">
        <v>463</v>
      </c>
      <c r="F879" s="26" t="s">
        <v>464</v>
      </c>
    </row>
    <row r="880" ht="21" customHeight="1" hidden="1" spans="1:6" x14ac:dyDescent="0.25" outlineLevel="1" collapsed="1">
      <c r="A880" s="27">
        <v>4122</v>
      </c>
      <c r="B880" s="28" t="s">
        <v>36</v>
      </c>
      <c r="C880" s="27" t="s">
        <v>745</v>
      </c>
      <c r="D880" s="29" t="s">
        <v>32</v>
      </c>
      <c r="E880" s="28" t="s">
        <v>518</v>
      </c>
      <c r="F880" s="28" t="s">
        <v>32</v>
      </c>
    </row>
    <row r="881" ht="21" customHeight="1" hidden="1" spans="1:6" x14ac:dyDescent="0.25" outlineLevel="1" collapsed="1">
      <c r="A881" s="27">
        <v>4124</v>
      </c>
      <c r="B881" s="28" t="s">
        <v>739</v>
      </c>
      <c r="C881" s="27" t="s">
        <v>758</v>
      </c>
      <c r="D881" s="29" t="s">
        <v>32</v>
      </c>
      <c r="E881" s="28" t="s">
        <v>506</v>
      </c>
      <c r="F881" s="28" t="s">
        <v>32</v>
      </c>
    </row>
    <row r="882" ht="22" customHeight="1" hidden="1" spans="1:6" x14ac:dyDescent="0.25" outlineLevel="1" collapsed="1">
      <c r="A882" s="34" t="s">
        <v>495</v>
      </c>
      <c r="B882" s="34"/>
      <c r="C882" s="34"/>
      <c r="D882" s="34"/>
      <c r="E882" s="34"/>
      <c r="F882" s="34"/>
    </row>
    <row r="883" ht="24" customHeight="1" hidden="1" spans="1:6" x14ac:dyDescent="0.25" outlineLevel="1" collapsed="1">
      <c r="A883" s="12" t="s">
        <v>801</v>
      </c>
      <c r="B883" s="12"/>
      <c r="C883" s="12"/>
      <c r="D883" s="12"/>
      <c r="E883" s="12"/>
      <c r="F883" s="12"/>
    </row>
    <row r="884" ht="24" customHeight="1" hidden="1" spans="1:6" x14ac:dyDescent="0.25" outlineLevel="1" collapsed="1">
      <c r="A884" s="12" t="s">
        <v>802</v>
      </c>
      <c r="B884" s="12"/>
      <c r="C884" s="12"/>
      <c r="D884" s="12"/>
      <c r="E884" s="12"/>
      <c r="F884" s="12"/>
    </row>
    <row r="885" ht="24" customHeight="1" hidden="1" spans="1:6" x14ac:dyDescent="0.25" outlineLevel="1" collapsed="1">
      <c r="A885" s="12" t="s">
        <v>732</v>
      </c>
      <c r="B885" s="12"/>
      <c r="C885" s="12"/>
      <c r="D885" s="12"/>
      <c r="E885" s="12"/>
      <c r="F885" s="12"/>
    </row>
    <row r="886" ht="6" customHeight="1" hidden="1" x14ac:dyDescent="0.25" outlineLevel="1" collapsed="1"/>
    <row r="887" ht="22" customHeight="1" spans="1:6" x14ac:dyDescent="0.25">
      <c r="A887" s="25" t="s">
        <v>783</v>
      </c>
      <c r="B887" s="25"/>
      <c r="C887" s="25"/>
      <c r="D887" s="25"/>
      <c r="E887" s="25"/>
      <c r="F887" s="25"/>
    </row>
    <row r="888" ht="20" customHeight="1" hidden="1" spans="1:6" x14ac:dyDescent="0.25" outlineLevel="1" collapsed="1">
      <c r="A888" s="26" t="s">
        <v>460</v>
      </c>
      <c r="B888" s="26" t="s">
        <v>461</v>
      </c>
      <c r="C888" s="26" t="s">
        <v>462</v>
      </c>
      <c r="D888" s="26" t="s">
        <v>32</v>
      </c>
      <c r="E888" s="26" t="s">
        <v>463</v>
      </c>
      <c r="F888" s="26" t="s">
        <v>464</v>
      </c>
    </row>
    <row r="889" ht="36" customHeight="1" hidden="1" spans="1:6" x14ac:dyDescent="0.25" outlineLevel="1" collapsed="1">
      <c r="A889" s="27">
        <v>4122</v>
      </c>
      <c r="B889" s="28" t="s">
        <v>36</v>
      </c>
      <c r="C889" s="27" t="s">
        <v>745</v>
      </c>
      <c r="D889" s="29" t="s">
        <v>32</v>
      </c>
      <c r="E889" s="36" t="s">
        <v>668</v>
      </c>
      <c r="F889" s="28" t="s">
        <v>32</v>
      </c>
    </row>
    <row r="890" ht="36" customHeight="1" hidden="1" spans="1:6" x14ac:dyDescent="0.25" outlineLevel="1" collapsed="1">
      <c r="A890" s="27">
        <v>4124</v>
      </c>
      <c r="B890" s="28" t="s">
        <v>739</v>
      </c>
      <c r="C890" s="27" t="s">
        <v>758</v>
      </c>
      <c r="D890" s="29" t="s">
        <v>32</v>
      </c>
      <c r="E890" s="36" t="s">
        <v>668</v>
      </c>
      <c r="F890" s="28" t="s">
        <v>32</v>
      </c>
    </row>
    <row r="891" ht="22" customHeight="1" hidden="1" spans="1:6" x14ac:dyDescent="0.25" outlineLevel="1" collapsed="1">
      <c r="A891" s="34" t="s">
        <v>495</v>
      </c>
      <c r="B891" s="34"/>
      <c r="C891" s="34"/>
      <c r="D891" s="34"/>
      <c r="E891" s="34"/>
      <c r="F891" s="34"/>
    </row>
    <row r="892" ht="24" customHeight="1" hidden="1" spans="1:6" x14ac:dyDescent="0.25" outlineLevel="1" collapsed="1">
      <c r="A892" s="12" t="s">
        <v>798</v>
      </c>
      <c r="B892" s="12"/>
      <c r="C892" s="12"/>
      <c r="D892" s="12"/>
      <c r="E892" s="12"/>
      <c r="F892" s="12"/>
    </row>
    <row r="893" ht="24" customHeight="1" hidden="1" spans="1:6" x14ac:dyDescent="0.25" outlineLevel="1" collapsed="1">
      <c r="A893" s="12" t="s">
        <v>799</v>
      </c>
      <c r="B893" s="12"/>
      <c r="C893" s="12"/>
      <c r="D893" s="12"/>
      <c r="E893" s="12"/>
      <c r="F893" s="12"/>
    </row>
    <row r="894" ht="24" customHeight="1" hidden="1" spans="1:6" x14ac:dyDescent="0.25" outlineLevel="1" collapsed="1">
      <c r="A894" s="12" t="s">
        <v>732</v>
      </c>
      <c r="B894" s="12"/>
      <c r="C894" s="12"/>
      <c r="D894" s="12"/>
      <c r="E894" s="12"/>
      <c r="F894" s="12"/>
    </row>
    <row r="895" ht="6" customHeight="1" hidden="1" x14ac:dyDescent="0.25" outlineLevel="1" collapsed="1"/>
    <row r="896" ht="12" customHeight="1" x14ac:dyDescent="0.25"/>
    <row r="897" ht="12" customHeight="1" x14ac:dyDescent="0.25"/>
    <row r="898" ht="70" customHeight="1" spans="1:6" x14ac:dyDescent="0.25">
      <c r="A898" s="7" t="s">
        <v>719</v>
      </c>
      <c r="B898" s="7"/>
      <c r="C898" s="7"/>
      <c r="D898" s="7"/>
      <c r="E898" s="7"/>
      <c r="F898" s="7"/>
    </row>
    <row r="899" ht="8" customHeight="1" x14ac:dyDescent="0.25"/>
    <row r="900" ht="18" customHeight="1" spans="1:6" x14ac:dyDescent="0.25">
      <c r="A900" s="23" t="s">
        <v>454</v>
      </c>
      <c r="B900" s="23"/>
      <c r="C900" s="23"/>
      <c r="D900" s="23"/>
      <c r="E900" s="23"/>
      <c r="F900" s="23"/>
    </row>
  </sheetData>
  <mergeCells count="369">
    <mergeCell ref="A2:F2"/>
    <mergeCell ref="A3:F3"/>
    <mergeCell ref="A4:F4"/>
    <mergeCell ref="A6:F6"/>
    <mergeCell ref="A7:F7"/>
    <mergeCell ref="A21:F21"/>
    <mergeCell ref="A22:F22"/>
    <mergeCell ref="A23:F23"/>
    <mergeCell ref="A24:F24"/>
    <mergeCell ref="A26:F26"/>
    <mergeCell ref="A40:F40"/>
    <mergeCell ref="A41:F41"/>
    <mergeCell ref="A42:F42"/>
    <mergeCell ref="A43:F43"/>
    <mergeCell ref="A45:F45"/>
    <mergeCell ref="A57:F57"/>
    <mergeCell ref="A58:F58"/>
    <mergeCell ref="A59:F59"/>
    <mergeCell ref="A60:F60"/>
    <mergeCell ref="A62:F62"/>
    <mergeCell ref="A71:F71"/>
    <mergeCell ref="A72:F72"/>
    <mergeCell ref="A73:F73"/>
    <mergeCell ref="A75:F75"/>
    <mergeCell ref="A88:F88"/>
    <mergeCell ref="A89:F89"/>
    <mergeCell ref="A90:F90"/>
    <mergeCell ref="A92:F92"/>
    <mergeCell ref="A105:F105"/>
    <mergeCell ref="A106:F106"/>
    <mergeCell ref="A107:F107"/>
    <mergeCell ref="A108:F108"/>
    <mergeCell ref="A109:F109"/>
    <mergeCell ref="A110:F110"/>
    <mergeCell ref="A111:F111"/>
    <mergeCell ref="A113:F113"/>
    <mergeCell ref="A117:F117"/>
    <mergeCell ref="A118:F118"/>
    <mergeCell ref="A119:F119"/>
    <mergeCell ref="A120:F120"/>
    <mergeCell ref="A122:F122"/>
    <mergeCell ref="A126:F126"/>
    <mergeCell ref="A127:F127"/>
    <mergeCell ref="A128:F128"/>
    <mergeCell ref="A129:F129"/>
    <mergeCell ref="A131:F131"/>
    <mergeCell ref="A144:F144"/>
    <mergeCell ref="A145:F145"/>
    <mergeCell ref="A146:F146"/>
    <mergeCell ref="A147:F147"/>
    <mergeCell ref="A149:F149"/>
    <mergeCell ref="A153:F153"/>
    <mergeCell ref="A154:F154"/>
    <mergeCell ref="A155:F155"/>
    <mergeCell ref="A156:F156"/>
    <mergeCell ref="A158:F158"/>
    <mergeCell ref="A162:F162"/>
    <mergeCell ref="A163:F163"/>
    <mergeCell ref="A164:F164"/>
    <mergeCell ref="A165:F165"/>
    <mergeCell ref="A167:F167"/>
    <mergeCell ref="A171:F171"/>
    <mergeCell ref="A172:F172"/>
    <mergeCell ref="A173:F173"/>
    <mergeCell ref="A174:F174"/>
    <mergeCell ref="A177:F177"/>
    <mergeCell ref="A178:F178"/>
    <mergeCell ref="A192:F192"/>
    <mergeCell ref="A193:F193"/>
    <mergeCell ref="A194:F194"/>
    <mergeCell ref="A195:F195"/>
    <mergeCell ref="A197:F197"/>
    <mergeCell ref="A211:F211"/>
    <mergeCell ref="A212:F212"/>
    <mergeCell ref="A213:F213"/>
    <mergeCell ref="A214:F214"/>
    <mergeCell ref="A216:F216"/>
    <mergeCell ref="A228:F228"/>
    <mergeCell ref="A229:F229"/>
    <mergeCell ref="A230:F230"/>
    <mergeCell ref="A231:F231"/>
    <mergeCell ref="A233:F233"/>
    <mergeCell ref="A242:F242"/>
    <mergeCell ref="A243:F243"/>
    <mergeCell ref="A244:F244"/>
    <mergeCell ref="A246:F246"/>
    <mergeCell ref="A259:F259"/>
    <mergeCell ref="A260:F260"/>
    <mergeCell ref="A261:F261"/>
    <mergeCell ref="A263:F263"/>
    <mergeCell ref="A276:F276"/>
    <mergeCell ref="A277:F277"/>
    <mergeCell ref="A278:F278"/>
    <mergeCell ref="A279:F279"/>
    <mergeCell ref="A280:F280"/>
    <mergeCell ref="A281:F281"/>
    <mergeCell ref="A282:F282"/>
    <mergeCell ref="A284:F284"/>
    <mergeCell ref="A288:F288"/>
    <mergeCell ref="A289:F289"/>
    <mergeCell ref="A290:F290"/>
    <mergeCell ref="A291:F291"/>
    <mergeCell ref="A293:F293"/>
    <mergeCell ref="A297:F297"/>
    <mergeCell ref="A298:F298"/>
    <mergeCell ref="A299:F299"/>
    <mergeCell ref="A300:F300"/>
    <mergeCell ref="A302:F302"/>
    <mergeCell ref="A315:F315"/>
    <mergeCell ref="A316:F316"/>
    <mergeCell ref="A317:F317"/>
    <mergeCell ref="A318:F318"/>
    <mergeCell ref="A320:F320"/>
    <mergeCell ref="A324:F324"/>
    <mergeCell ref="A325:F325"/>
    <mergeCell ref="A326:F326"/>
    <mergeCell ref="A327:F327"/>
    <mergeCell ref="A329:F329"/>
    <mergeCell ref="A333:F333"/>
    <mergeCell ref="A334:F334"/>
    <mergeCell ref="A335:F335"/>
    <mergeCell ref="A336:F336"/>
    <mergeCell ref="A338:F338"/>
    <mergeCell ref="A342:F342"/>
    <mergeCell ref="A343:F343"/>
    <mergeCell ref="A344:F344"/>
    <mergeCell ref="A345:F345"/>
    <mergeCell ref="A348:F348"/>
    <mergeCell ref="A349:F349"/>
    <mergeCell ref="A353:F353"/>
    <mergeCell ref="A355:F355"/>
    <mergeCell ref="A359:F359"/>
    <mergeCell ref="A361:F361"/>
    <mergeCell ref="A365:F365"/>
    <mergeCell ref="A367:F367"/>
    <mergeCell ref="A370:F370"/>
    <mergeCell ref="A372:F372"/>
    <mergeCell ref="A376:F376"/>
    <mergeCell ref="A378:F378"/>
    <mergeCell ref="A384:F384"/>
    <mergeCell ref="A386:F386"/>
    <mergeCell ref="A390:F390"/>
    <mergeCell ref="A392:F392"/>
    <mergeCell ref="A396:F396"/>
    <mergeCell ref="A398:F398"/>
    <mergeCell ref="A402:F402"/>
    <mergeCell ref="A404:F404"/>
    <mergeCell ref="A408:F408"/>
    <mergeCell ref="A410:F410"/>
    <mergeCell ref="A414:F414"/>
    <mergeCell ref="A416:F416"/>
    <mergeCell ref="A420:F420"/>
    <mergeCell ref="A423:F423"/>
    <mergeCell ref="A424:F424"/>
    <mergeCell ref="A428:F428"/>
    <mergeCell ref="A429:F429"/>
    <mergeCell ref="A430:F430"/>
    <mergeCell ref="A432:F432"/>
    <mergeCell ref="A436:F436"/>
    <mergeCell ref="A437:F437"/>
    <mergeCell ref="A438:F438"/>
    <mergeCell ref="A440:F440"/>
    <mergeCell ref="A444:F444"/>
    <mergeCell ref="A445:F445"/>
    <mergeCell ref="A446:F446"/>
    <mergeCell ref="A448:F448"/>
    <mergeCell ref="A451:F451"/>
    <mergeCell ref="A452:F452"/>
    <mergeCell ref="A453:F453"/>
    <mergeCell ref="A455:F455"/>
    <mergeCell ref="A459:F459"/>
    <mergeCell ref="A460:F460"/>
    <mergeCell ref="A461:F461"/>
    <mergeCell ref="A463:F463"/>
    <mergeCell ref="A469:F469"/>
    <mergeCell ref="A470:F470"/>
    <mergeCell ref="A471:F471"/>
    <mergeCell ref="A472:F472"/>
    <mergeCell ref="A473:F473"/>
    <mergeCell ref="A475:F475"/>
    <mergeCell ref="A479:F479"/>
    <mergeCell ref="A480:F480"/>
    <mergeCell ref="A481:F481"/>
    <mergeCell ref="A483:F483"/>
    <mergeCell ref="A487:F487"/>
    <mergeCell ref="A488:F488"/>
    <mergeCell ref="A489:F489"/>
    <mergeCell ref="A491:F491"/>
    <mergeCell ref="A495:F495"/>
    <mergeCell ref="A496:F496"/>
    <mergeCell ref="A497:F497"/>
    <mergeCell ref="A499:F499"/>
    <mergeCell ref="A503:F503"/>
    <mergeCell ref="A504:F504"/>
    <mergeCell ref="A505:F505"/>
    <mergeCell ref="A507:F507"/>
    <mergeCell ref="A511:F511"/>
    <mergeCell ref="A512:F512"/>
    <mergeCell ref="A513:F513"/>
    <mergeCell ref="A515:F515"/>
    <mergeCell ref="A519:F519"/>
    <mergeCell ref="A520:F520"/>
    <mergeCell ref="A521:F521"/>
    <mergeCell ref="A524:F524"/>
    <mergeCell ref="A525:F525"/>
    <mergeCell ref="A529:F529"/>
    <mergeCell ref="A530:F530"/>
    <mergeCell ref="A531:F531"/>
    <mergeCell ref="A533:F533"/>
    <mergeCell ref="A537:F537"/>
    <mergeCell ref="A538:F538"/>
    <mergeCell ref="A539:F539"/>
    <mergeCell ref="A541:F541"/>
    <mergeCell ref="A545:F545"/>
    <mergeCell ref="A546:F546"/>
    <mergeCell ref="A547:F547"/>
    <mergeCell ref="A549:F549"/>
    <mergeCell ref="A552:F552"/>
    <mergeCell ref="A553:F553"/>
    <mergeCell ref="A554:F554"/>
    <mergeCell ref="A556:F556"/>
    <mergeCell ref="A560:F560"/>
    <mergeCell ref="A561:F561"/>
    <mergeCell ref="A562:F562"/>
    <mergeCell ref="A564:F564"/>
    <mergeCell ref="A570:F570"/>
    <mergeCell ref="A571:F571"/>
    <mergeCell ref="A572:F572"/>
    <mergeCell ref="A573:F573"/>
    <mergeCell ref="A574:F574"/>
    <mergeCell ref="A576:F576"/>
    <mergeCell ref="A580:F580"/>
    <mergeCell ref="A581:F581"/>
    <mergeCell ref="A582:F582"/>
    <mergeCell ref="A584:F584"/>
    <mergeCell ref="A588:F588"/>
    <mergeCell ref="A589:F589"/>
    <mergeCell ref="A590:F590"/>
    <mergeCell ref="A592:F592"/>
    <mergeCell ref="A596:F596"/>
    <mergeCell ref="A597:F597"/>
    <mergeCell ref="A598:F598"/>
    <mergeCell ref="A600:F600"/>
    <mergeCell ref="A604:F604"/>
    <mergeCell ref="A605:F605"/>
    <mergeCell ref="A606:F606"/>
    <mergeCell ref="A608:F608"/>
    <mergeCell ref="A612:F612"/>
    <mergeCell ref="A613:F613"/>
    <mergeCell ref="A614:F614"/>
    <mergeCell ref="A616:F616"/>
    <mergeCell ref="A620:F620"/>
    <mergeCell ref="A621:F621"/>
    <mergeCell ref="A622:F622"/>
    <mergeCell ref="A625:F625"/>
    <mergeCell ref="A626:F626"/>
    <mergeCell ref="A630:F630"/>
    <mergeCell ref="A631:F631"/>
    <mergeCell ref="A632:F632"/>
    <mergeCell ref="A634:F634"/>
    <mergeCell ref="A638:F638"/>
    <mergeCell ref="A639:F639"/>
    <mergeCell ref="A640:F640"/>
    <mergeCell ref="A642:F642"/>
    <mergeCell ref="A646:F646"/>
    <mergeCell ref="A647:F647"/>
    <mergeCell ref="A648:F648"/>
    <mergeCell ref="A650:F650"/>
    <mergeCell ref="A653:F653"/>
    <mergeCell ref="A654:F654"/>
    <mergeCell ref="A655:F655"/>
    <mergeCell ref="A657:F657"/>
    <mergeCell ref="A661:F661"/>
    <mergeCell ref="A662:F662"/>
    <mergeCell ref="A663:F663"/>
    <mergeCell ref="A665:F665"/>
    <mergeCell ref="A671:F671"/>
    <mergeCell ref="A672:F672"/>
    <mergeCell ref="A673:F673"/>
    <mergeCell ref="A674:F674"/>
    <mergeCell ref="A675:F675"/>
    <mergeCell ref="A677:F677"/>
    <mergeCell ref="A681:F681"/>
    <mergeCell ref="A682:F682"/>
    <mergeCell ref="A683:F683"/>
    <mergeCell ref="A685:F685"/>
    <mergeCell ref="A689:F689"/>
    <mergeCell ref="A690:F690"/>
    <mergeCell ref="A691:F691"/>
    <mergeCell ref="A693:F693"/>
    <mergeCell ref="A697:F697"/>
    <mergeCell ref="A698:F698"/>
    <mergeCell ref="A699:F699"/>
    <mergeCell ref="A701:F701"/>
    <mergeCell ref="A705:F705"/>
    <mergeCell ref="A706:F706"/>
    <mergeCell ref="A707:F707"/>
    <mergeCell ref="A709:F709"/>
    <mergeCell ref="A713:F713"/>
    <mergeCell ref="A714:F714"/>
    <mergeCell ref="A715:F715"/>
    <mergeCell ref="A717:F717"/>
    <mergeCell ref="A721:F721"/>
    <mergeCell ref="A722:F722"/>
    <mergeCell ref="A723:F723"/>
    <mergeCell ref="A726:F726"/>
    <mergeCell ref="A727:F727"/>
    <mergeCell ref="A741:F741"/>
    <mergeCell ref="A742:F742"/>
    <mergeCell ref="A743:F743"/>
    <mergeCell ref="A744:F744"/>
    <mergeCell ref="A746:F746"/>
    <mergeCell ref="A760:F760"/>
    <mergeCell ref="A761:F761"/>
    <mergeCell ref="A762:F762"/>
    <mergeCell ref="A763:F763"/>
    <mergeCell ref="A765:F765"/>
    <mergeCell ref="A777:F777"/>
    <mergeCell ref="A778:F778"/>
    <mergeCell ref="A779:F779"/>
    <mergeCell ref="A780:F780"/>
    <mergeCell ref="A782:F782"/>
    <mergeCell ref="A791:F791"/>
    <mergeCell ref="A792:F792"/>
    <mergeCell ref="A793:F793"/>
    <mergeCell ref="A795:F795"/>
    <mergeCell ref="A808:F808"/>
    <mergeCell ref="A809:F809"/>
    <mergeCell ref="A810:F810"/>
    <mergeCell ref="A812:F812"/>
    <mergeCell ref="A825:F825"/>
    <mergeCell ref="A826:F826"/>
    <mergeCell ref="A827:F827"/>
    <mergeCell ref="A828:F828"/>
    <mergeCell ref="A829:F829"/>
    <mergeCell ref="A830:F830"/>
    <mergeCell ref="A831:F831"/>
    <mergeCell ref="A833:F833"/>
    <mergeCell ref="A837:F837"/>
    <mergeCell ref="A838:F838"/>
    <mergeCell ref="A839:F839"/>
    <mergeCell ref="A840:F840"/>
    <mergeCell ref="A842:F842"/>
    <mergeCell ref="A846:F846"/>
    <mergeCell ref="A847:F847"/>
    <mergeCell ref="A848:F848"/>
    <mergeCell ref="A849:F849"/>
    <mergeCell ref="A851:F851"/>
    <mergeCell ref="A864:F864"/>
    <mergeCell ref="A865:F865"/>
    <mergeCell ref="A866:F866"/>
    <mergeCell ref="A867:F867"/>
    <mergeCell ref="A869:F869"/>
    <mergeCell ref="A873:F873"/>
    <mergeCell ref="A874:F874"/>
    <mergeCell ref="A875:F875"/>
    <mergeCell ref="A876:F876"/>
    <mergeCell ref="A878:F878"/>
    <mergeCell ref="A882:F882"/>
    <mergeCell ref="A883:F883"/>
    <mergeCell ref="A884:F884"/>
    <mergeCell ref="A885:F885"/>
    <mergeCell ref="A887:F887"/>
    <mergeCell ref="A891:F891"/>
    <mergeCell ref="A892:F892"/>
    <mergeCell ref="A893:F893"/>
    <mergeCell ref="A894:F894"/>
    <mergeCell ref="A898:F898"/>
    <mergeCell ref="A900:F900"/>
  </mergeCells>
  <printOptions horizontalCentered="1"/>
  <pageMargins left="0.3" right="0.3" top="0.3" bottom="0.3" header="0.5" footer="0.5"/>
  <pageSetup paperSize="3"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526"/>
  <sheetViews>
    <sheetView workbookViewId="0" showGridLines="0"/>
  </sheetViews>
  <sheetFormatPr defaultRowHeight="15" outlineLevelRow="0" outlineLevelCol="0" x14ac:dyDescent="55"/>
  <cols>
    <col min="1" max="1" width="14" customWidth="1"/>
    <col min="2" max="2" width="44" customWidth="1"/>
    <col min="3" max="3" width="8" customWidth="1"/>
    <col min="4" max="4" width="3" customWidth="1"/>
    <col min="5" max="5" width="60" customWidth="1"/>
    <col min="6" max="6" width="50" customWidth="1"/>
  </cols>
  <sheetData>
    <row r="1" ht="6" customHeight="1" spans="1:5" x14ac:dyDescent="0.25">
      <c r="A1" s="1"/>
      <c r="B1" s="1"/>
      <c r="C1" s="1"/>
      <c r="D1" s="1"/>
      <c r="E1" s="1"/>
    </row>
    <row r="2" ht="38" customHeight="1" spans="1:6" x14ac:dyDescent="0.25">
      <c r="A2" s="2" t="s">
        <v>822</v>
      </c>
      <c r="B2" s="2"/>
      <c r="C2" s="2"/>
      <c r="D2" s="2"/>
      <c r="E2" s="2"/>
      <c r="F2" s="2"/>
    </row>
    <row r="3" ht="24" customHeight="1" spans="1:6" x14ac:dyDescent="0.25">
      <c r="A3" s="3" t="s">
        <v>456</v>
      </c>
      <c r="B3" s="3"/>
      <c r="C3" s="3"/>
      <c r="D3" s="3"/>
      <c r="E3" s="3"/>
      <c r="F3" s="3"/>
    </row>
    <row r="4" ht="18" customHeight="1" spans="1:6" x14ac:dyDescent="0.25">
      <c r="A4" s="4" t="s">
        <v>823</v>
      </c>
      <c r="B4" s="4"/>
      <c r="C4" s="4"/>
      <c r="D4" s="4"/>
      <c r="E4" s="4"/>
      <c r="F4" s="4"/>
    </row>
    <row r="5" ht="10" customHeight="1" x14ac:dyDescent="0.25"/>
    <row r="6" ht="24" customHeight="1" spans="1:6" x14ac:dyDescent="0.25">
      <c r="A6" s="24" t="s">
        <v>458</v>
      </c>
      <c r="B6" s="24"/>
      <c r="C6" s="24"/>
      <c r="D6" s="24"/>
      <c r="E6" s="24"/>
      <c r="F6" s="24"/>
    </row>
    <row r="7" ht="22" customHeight="1" spans="1:6" x14ac:dyDescent="0.25">
      <c r="A7" s="25" t="s">
        <v>824</v>
      </c>
      <c r="B7" s="25"/>
      <c r="C7" s="25"/>
      <c r="D7" s="25"/>
      <c r="E7" s="25"/>
      <c r="F7" s="25"/>
    </row>
    <row r="8" ht="20" customHeight="1" hidden="1" spans="1:6" x14ac:dyDescent="0.25" outlineLevel="1" collapsed="1">
      <c r="A8" s="26" t="s">
        <v>460</v>
      </c>
      <c r="B8" s="26" t="s">
        <v>461</v>
      </c>
      <c r="C8" s="26" t="s">
        <v>462</v>
      </c>
      <c r="D8" s="26" t="s">
        <v>32</v>
      </c>
      <c r="E8" s="26" t="s">
        <v>463</v>
      </c>
      <c r="F8" s="26" t="s">
        <v>464</v>
      </c>
    </row>
    <row r="9" ht="51" customHeight="1" hidden="1" spans="1:6" x14ac:dyDescent="0.25" outlineLevel="1" collapsed="1">
      <c r="A9" s="27">
        <v>4310</v>
      </c>
      <c r="B9" s="28" t="s">
        <v>825</v>
      </c>
      <c r="C9" s="27" t="s">
        <v>466</v>
      </c>
      <c r="D9" s="29" t="s">
        <v>32</v>
      </c>
      <c r="E9" s="28" t="s">
        <v>473</v>
      </c>
      <c r="F9" s="28" t="s">
        <v>474</v>
      </c>
    </row>
    <row r="10" ht="21" customHeight="1" hidden="1" spans="1:6" x14ac:dyDescent="0.25" outlineLevel="1" collapsed="1">
      <c r="A10" s="30" t="s">
        <v>32</v>
      </c>
      <c r="B10" s="17" t="s">
        <v>32</v>
      </c>
      <c r="C10" s="30" t="s">
        <v>32</v>
      </c>
      <c r="D10" s="31" t="s">
        <v>32</v>
      </c>
      <c r="E10" s="17" t="s">
        <v>475</v>
      </c>
      <c r="F10" s="17" t="s">
        <v>32</v>
      </c>
    </row>
    <row r="11" ht="36" customHeight="1" hidden="1" spans="1:6" x14ac:dyDescent="0.25" outlineLevel="1" collapsed="1">
      <c r="A11" s="32" t="s">
        <v>32</v>
      </c>
      <c r="B11" s="12" t="s">
        <v>32</v>
      </c>
      <c r="C11" s="32" t="s">
        <v>32</v>
      </c>
      <c r="D11" s="31" t="s">
        <v>32</v>
      </c>
      <c r="E11" s="12" t="s">
        <v>476</v>
      </c>
      <c r="F11" s="12" t="s">
        <v>32</v>
      </c>
    </row>
    <row r="12" ht="21" customHeight="1" hidden="1" spans="1:6" x14ac:dyDescent="0.25" outlineLevel="1" collapsed="1">
      <c r="A12" s="30" t="s">
        <v>32</v>
      </c>
      <c r="B12" s="17" t="s">
        <v>32</v>
      </c>
      <c r="C12" s="30" t="s">
        <v>32</v>
      </c>
      <c r="D12" s="31" t="s">
        <v>32</v>
      </c>
      <c r="E12" s="17" t="s">
        <v>826</v>
      </c>
      <c r="F12" s="17" t="s">
        <v>32</v>
      </c>
    </row>
    <row r="13" ht="36" customHeight="1" hidden="1" spans="1:6" x14ac:dyDescent="0.25" outlineLevel="1" collapsed="1">
      <c r="A13" s="32" t="s">
        <v>32</v>
      </c>
      <c r="B13" s="12" t="s">
        <v>32</v>
      </c>
      <c r="C13" s="32" t="s">
        <v>32</v>
      </c>
      <c r="D13" s="31" t="s">
        <v>32</v>
      </c>
      <c r="E13" s="12" t="s">
        <v>478</v>
      </c>
      <c r="F13" s="12" t="s">
        <v>32</v>
      </c>
    </row>
    <row r="14" ht="21" customHeight="1" hidden="1" spans="1:6" x14ac:dyDescent="0.25" outlineLevel="1" collapsed="1">
      <c r="A14" s="30" t="s">
        <v>32</v>
      </c>
      <c r="B14" s="17" t="s">
        <v>32</v>
      </c>
      <c r="C14" s="30" t="s">
        <v>32</v>
      </c>
      <c r="D14" s="31" t="s">
        <v>32</v>
      </c>
      <c r="E14" s="17" t="s">
        <v>479</v>
      </c>
      <c r="F14" s="17" t="s">
        <v>32</v>
      </c>
    </row>
    <row r="15" ht="36" customHeight="1" hidden="1" spans="1:6" x14ac:dyDescent="0.25" outlineLevel="1" collapsed="1">
      <c r="A15" s="32" t="s">
        <v>32</v>
      </c>
      <c r="B15" s="12" t="s">
        <v>32</v>
      </c>
      <c r="C15" s="32" t="s">
        <v>32</v>
      </c>
      <c r="D15" s="31" t="s">
        <v>32</v>
      </c>
      <c r="E15" s="33" t="s">
        <v>618</v>
      </c>
      <c r="F15" s="12" t="s">
        <v>32</v>
      </c>
    </row>
    <row r="16" ht="51" customHeight="1" hidden="1" spans="1:6" x14ac:dyDescent="0.25" outlineLevel="1" collapsed="1">
      <c r="A16" s="27">
        <v>4320</v>
      </c>
      <c r="B16" s="28" t="s">
        <v>827</v>
      </c>
      <c r="C16" s="27" t="s">
        <v>472</v>
      </c>
      <c r="D16" s="29" t="s">
        <v>32</v>
      </c>
      <c r="E16" s="28" t="s">
        <v>828</v>
      </c>
      <c r="F16" s="28" t="s">
        <v>829</v>
      </c>
    </row>
    <row r="17" ht="21" customHeight="1" hidden="1" spans="1:6" x14ac:dyDescent="0.25" outlineLevel="1" collapsed="1">
      <c r="A17" s="30" t="s">
        <v>32</v>
      </c>
      <c r="B17" s="17" t="s">
        <v>32</v>
      </c>
      <c r="C17" s="30" t="s">
        <v>32</v>
      </c>
      <c r="D17" s="31" t="s">
        <v>32</v>
      </c>
      <c r="E17" s="17" t="s">
        <v>830</v>
      </c>
      <c r="F17" s="17" t="s">
        <v>32</v>
      </c>
    </row>
    <row r="18" ht="66" customHeight="1" hidden="1" spans="1:6" x14ac:dyDescent="0.25" outlineLevel="1" collapsed="1">
      <c r="A18" s="27">
        <v>4335</v>
      </c>
      <c r="B18" s="28" t="s">
        <v>831</v>
      </c>
      <c r="C18" s="27" t="s">
        <v>745</v>
      </c>
      <c r="D18" s="29" t="s">
        <v>32</v>
      </c>
      <c r="E18" s="28" t="s">
        <v>832</v>
      </c>
      <c r="F18" s="28" t="s">
        <v>32</v>
      </c>
    </row>
    <row r="19" ht="51" customHeight="1" hidden="1" spans="1:6" x14ac:dyDescent="0.25" outlineLevel="1" collapsed="1">
      <c r="A19" s="27">
        <v>4337</v>
      </c>
      <c r="B19" s="28" t="s">
        <v>833</v>
      </c>
      <c r="C19" s="27" t="s">
        <v>472</v>
      </c>
      <c r="D19" s="29" t="s">
        <v>32</v>
      </c>
      <c r="E19" s="28" t="s">
        <v>834</v>
      </c>
      <c r="F19" s="28" t="s">
        <v>32</v>
      </c>
    </row>
    <row r="20" ht="36" customHeight="1" hidden="1" spans="1:6" x14ac:dyDescent="0.25" outlineLevel="1" collapsed="1">
      <c r="A20" s="27">
        <v>4350</v>
      </c>
      <c r="B20" s="28" t="s">
        <v>835</v>
      </c>
      <c r="C20" s="27" t="s">
        <v>466</v>
      </c>
      <c r="D20" s="29" t="s">
        <v>32</v>
      </c>
      <c r="E20" s="28" t="s">
        <v>836</v>
      </c>
      <c r="F20" s="28" t="s">
        <v>32</v>
      </c>
    </row>
    <row r="21" ht="22" customHeight="1" hidden="1" spans="1:6" x14ac:dyDescent="0.25" outlineLevel="1" collapsed="1">
      <c r="A21" s="34" t="s">
        <v>495</v>
      </c>
      <c r="B21" s="34"/>
      <c r="C21" s="34"/>
      <c r="D21" s="34"/>
      <c r="E21" s="34"/>
      <c r="F21" s="34"/>
    </row>
    <row r="22" ht="40" customHeight="1" hidden="1" spans="1:6" x14ac:dyDescent="0.25" outlineLevel="1" collapsed="1">
      <c r="A22" s="12" t="s">
        <v>837</v>
      </c>
      <c r="B22" s="12"/>
      <c r="C22" s="12"/>
      <c r="D22" s="12"/>
      <c r="E22" s="12"/>
      <c r="F22" s="12"/>
    </row>
    <row r="23" ht="24" customHeight="1" hidden="1" spans="1:6" x14ac:dyDescent="0.25" outlineLevel="1" collapsed="1">
      <c r="A23" s="12" t="s">
        <v>838</v>
      </c>
      <c r="B23" s="12"/>
      <c r="C23" s="12"/>
      <c r="D23" s="12"/>
      <c r="E23" s="12"/>
      <c r="F23" s="12"/>
    </row>
    <row r="24" ht="24" customHeight="1" hidden="1" spans="1:6" x14ac:dyDescent="0.25" outlineLevel="1" collapsed="1">
      <c r="A24" s="12" t="s">
        <v>839</v>
      </c>
      <c r="B24" s="12"/>
      <c r="C24" s="12"/>
      <c r="D24" s="12"/>
      <c r="E24" s="12"/>
      <c r="F24" s="12"/>
    </row>
    <row r="25" ht="24" customHeight="1" hidden="1" spans="1:6" x14ac:dyDescent="0.25" outlineLevel="1" collapsed="1">
      <c r="A25" s="12" t="s">
        <v>840</v>
      </c>
      <c r="B25" s="12"/>
      <c r="C25" s="12"/>
      <c r="D25" s="12"/>
      <c r="E25" s="12"/>
      <c r="F25" s="12"/>
    </row>
    <row r="26" ht="24" customHeight="1" hidden="1" spans="1:6" x14ac:dyDescent="0.25" outlineLevel="1" collapsed="1">
      <c r="A26" s="12" t="s">
        <v>841</v>
      </c>
      <c r="B26" s="12"/>
      <c r="C26" s="12"/>
      <c r="D26" s="12"/>
      <c r="E26" s="12"/>
      <c r="F26" s="12"/>
    </row>
    <row r="27" ht="24" customHeight="1" hidden="1" spans="1:6" x14ac:dyDescent="0.25" outlineLevel="1" collapsed="1">
      <c r="A27" s="12" t="s">
        <v>842</v>
      </c>
      <c r="B27" s="12"/>
      <c r="C27" s="12"/>
      <c r="D27" s="12"/>
      <c r="E27" s="12"/>
      <c r="F27" s="12"/>
    </row>
    <row r="28" ht="6" customHeight="1" hidden="1" x14ac:dyDescent="0.25" outlineLevel="1" collapsed="1"/>
    <row r="29" ht="22" customHeight="1" spans="1:6" x14ac:dyDescent="0.25">
      <c r="A29" s="25" t="s">
        <v>843</v>
      </c>
      <c r="B29" s="25"/>
      <c r="C29" s="25"/>
      <c r="D29" s="25"/>
      <c r="E29" s="25"/>
      <c r="F29" s="25"/>
    </row>
    <row r="30" ht="20" customHeight="1" hidden="1" spans="1:6" x14ac:dyDescent="0.25" outlineLevel="1" collapsed="1">
      <c r="A30" s="26" t="s">
        <v>460</v>
      </c>
      <c r="B30" s="26" t="s">
        <v>461</v>
      </c>
      <c r="C30" s="26" t="s">
        <v>462</v>
      </c>
      <c r="D30" s="26" t="s">
        <v>32</v>
      </c>
      <c r="E30" s="26" t="s">
        <v>463</v>
      </c>
      <c r="F30" s="26" t="s">
        <v>464</v>
      </c>
    </row>
    <row r="31" ht="51" customHeight="1" hidden="1" spans="1:6" x14ac:dyDescent="0.25" outlineLevel="1" collapsed="1">
      <c r="A31" s="27">
        <v>4310</v>
      </c>
      <c r="B31" s="28" t="s">
        <v>844</v>
      </c>
      <c r="C31" s="27" t="s">
        <v>466</v>
      </c>
      <c r="D31" s="29" t="s">
        <v>32</v>
      </c>
      <c r="E31" s="28" t="s">
        <v>473</v>
      </c>
      <c r="F31" s="28" t="s">
        <v>474</v>
      </c>
    </row>
    <row r="32" ht="21" customHeight="1" hidden="1" spans="1:6" x14ac:dyDescent="0.25" outlineLevel="1" collapsed="1">
      <c r="A32" s="30" t="s">
        <v>32</v>
      </c>
      <c r="B32" s="17" t="s">
        <v>32</v>
      </c>
      <c r="C32" s="30" t="s">
        <v>32</v>
      </c>
      <c r="D32" s="31" t="s">
        <v>32</v>
      </c>
      <c r="E32" s="17" t="s">
        <v>475</v>
      </c>
      <c r="F32" s="17" t="s">
        <v>32</v>
      </c>
    </row>
    <row r="33" ht="36" customHeight="1" hidden="1" spans="1:6" x14ac:dyDescent="0.25" outlineLevel="1" collapsed="1">
      <c r="A33" s="32" t="s">
        <v>32</v>
      </c>
      <c r="B33" s="12" t="s">
        <v>32</v>
      </c>
      <c r="C33" s="32" t="s">
        <v>32</v>
      </c>
      <c r="D33" s="31" t="s">
        <v>32</v>
      </c>
      <c r="E33" s="12" t="s">
        <v>476</v>
      </c>
      <c r="F33" s="12" t="s">
        <v>32</v>
      </c>
    </row>
    <row r="34" ht="21" customHeight="1" hidden="1" spans="1:6" x14ac:dyDescent="0.25" outlineLevel="1" collapsed="1">
      <c r="A34" s="30" t="s">
        <v>32</v>
      </c>
      <c r="B34" s="17" t="s">
        <v>32</v>
      </c>
      <c r="C34" s="30" t="s">
        <v>32</v>
      </c>
      <c r="D34" s="31" t="s">
        <v>32</v>
      </c>
      <c r="E34" s="17" t="s">
        <v>687</v>
      </c>
      <c r="F34" s="17" t="s">
        <v>32</v>
      </c>
    </row>
    <row r="35" ht="36" customHeight="1" hidden="1" spans="1:6" x14ac:dyDescent="0.25" outlineLevel="1" collapsed="1">
      <c r="A35" s="32" t="s">
        <v>32</v>
      </c>
      <c r="B35" s="12" t="s">
        <v>32</v>
      </c>
      <c r="C35" s="32" t="s">
        <v>32</v>
      </c>
      <c r="D35" s="31" t="s">
        <v>32</v>
      </c>
      <c r="E35" s="12" t="s">
        <v>478</v>
      </c>
      <c r="F35" s="12" t="s">
        <v>32</v>
      </c>
    </row>
    <row r="36" ht="21" customHeight="1" hidden="1" spans="1:6" x14ac:dyDescent="0.25" outlineLevel="1" collapsed="1">
      <c r="A36" s="30" t="s">
        <v>32</v>
      </c>
      <c r="B36" s="17" t="s">
        <v>32</v>
      </c>
      <c r="C36" s="30" t="s">
        <v>32</v>
      </c>
      <c r="D36" s="31" t="s">
        <v>32</v>
      </c>
      <c r="E36" s="17" t="s">
        <v>479</v>
      </c>
      <c r="F36" s="17" t="s">
        <v>32</v>
      </c>
    </row>
    <row r="37" ht="36" customHeight="1" hidden="1" spans="1:6" x14ac:dyDescent="0.25" outlineLevel="1" collapsed="1">
      <c r="A37" s="32" t="s">
        <v>32</v>
      </c>
      <c r="B37" s="12" t="s">
        <v>32</v>
      </c>
      <c r="C37" s="32" t="s">
        <v>32</v>
      </c>
      <c r="D37" s="31" t="s">
        <v>32</v>
      </c>
      <c r="E37" s="33" t="s">
        <v>618</v>
      </c>
      <c r="F37" s="12" t="s">
        <v>32</v>
      </c>
    </row>
    <row r="38" ht="51" customHeight="1" hidden="1" spans="1:6" x14ac:dyDescent="0.25" outlineLevel="1" collapsed="1">
      <c r="A38" s="27">
        <v>4320</v>
      </c>
      <c r="B38" s="28" t="s">
        <v>845</v>
      </c>
      <c r="C38" s="27" t="s">
        <v>472</v>
      </c>
      <c r="D38" s="29" t="s">
        <v>32</v>
      </c>
      <c r="E38" s="28" t="s">
        <v>502</v>
      </c>
      <c r="F38" s="28" t="s">
        <v>846</v>
      </c>
    </row>
    <row r="39" ht="36" customHeight="1" hidden="1" spans="1:6" x14ac:dyDescent="0.25" outlineLevel="1" collapsed="1">
      <c r="A39" s="30" t="s">
        <v>32</v>
      </c>
      <c r="B39" s="17" t="s">
        <v>32</v>
      </c>
      <c r="C39" s="30" t="s">
        <v>32</v>
      </c>
      <c r="D39" s="31" t="s">
        <v>32</v>
      </c>
      <c r="E39" s="17" t="s">
        <v>477</v>
      </c>
      <c r="F39" s="17" t="s">
        <v>32</v>
      </c>
    </row>
    <row r="40" ht="22" customHeight="1" hidden="1" spans="1:6" x14ac:dyDescent="0.25" outlineLevel="1" collapsed="1">
      <c r="A40" s="34" t="s">
        <v>495</v>
      </c>
      <c r="B40" s="34"/>
      <c r="C40" s="34"/>
      <c r="D40" s="34"/>
      <c r="E40" s="34"/>
      <c r="F40" s="34"/>
    </row>
    <row r="41" ht="40" customHeight="1" hidden="1" spans="1:6" x14ac:dyDescent="0.25" outlineLevel="1" collapsed="1">
      <c r="A41" s="12" t="s">
        <v>847</v>
      </c>
      <c r="B41" s="12"/>
      <c r="C41" s="12"/>
      <c r="D41" s="12"/>
      <c r="E41" s="12"/>
      <c r="F41" s="12"/>
    </row>
    <row r="42" ht="24" customHeight="1" hidden="1" spans="1:6" x14ac:dyDescent="0.25" outlineLevel="1" collapsed="1">
      <c r="A42" s="12" t="s">
        <v>848</v>
      </c>
      <c r="B42" s="12"/>
      <c r="C42" s="12"/>
      <c r="D42" s="12"/>
      <c r="E42" s="12"/>
      <c r="F42" s="12"/>
    </row>
    <row r="43" ht="24" customHeight="1" hidden="1" spans="1:6" x14ac:dyDescent="0.25" outlineLevel="1" collapsed="1">
      <c r="A43" s="12" t="s">
        <v>842</v>
      </c>
      <c r="B43" s="12"/>
      <c r="C43" s="12"/>
      <c r="D43" s="12"/>
      <c r="E43" s="12"/>
      <c r="F43" s="12"/>
    </row>
    <row r="44" ht="6" customHeight="1" hidden="1" x14ac:dyDescent="0.25" outlineLevel="1" collapsed="1"/>
    <row r="45" ht="22" customHeight="1" spans="1:6" x14ac:dyDescent="0.25">
      <c r="A45" s="25" t="s">
        <v>849</v>
      </c>
      <c r="B45" s="25"/>
      <c r="C45" s="25"/>
      <c r="D45" s="25"/>
      <c r="E45" s="25"/>
      <c r="F45" s="25"/>
    </row>
    <row r="46" ht="20" customHeight="1" hidden="1" spans="1:6" x14ac:dyDescent="0.25" outlineLevel="1" collapsed="1">
      <c r="A46" s="26" t="s">
        <v>460</v>
      </c>
      <c r="B46" s="26" t="s">
        <v>461</v>
      </c>
      <c r="C46" s="26" t="s">
        <v>462</v>
      </c>
      <c r="D46" s="26" t="s">
        <v>32</v>
      </c>
      <c r="E46" s="26" t="s">
        <v>463</v>
      </c>
      <c r="F46" s="26" t="s">
        <v>464</v>
      </c>
    </row>
    <row r="47" ht="36" customHeight="1" hidden="1" spans="1:6" x14ac:dyDescent="0.25" outlineLevel="1" collapsed="1">
      <c r="A47" s="27">
        <v>4310</v>
      </c>
      <c r="B47" s="28" t="s">
        <v>850</v>
      </c>
      <c r="C47" s="27" t="s">
        <v>466</v>
      </c>
      <c r="D47" s="29" t="s">
        <v>32</v>
      </c>
      <c r="E47" s="28" t="s">
        <v>851</v>
      </c>
      <c r="F47" s="28" t="s">
        <v>32</v>
      </c>
    </row>
    <row r="48" ht="36" customHeight="1" hidden="1" spans="1:6" x14ac:dyDescent="0.25" outlineLevel="1" collapsed="1">
      <c r="A48" s="27">
        <v>4320</v>
      </c>
      <c r="B48" s="28" t="s">
        <v>852</v>
      </c>
      <c r="C48" s="27" t="s">
        <v>472</v>
      </c>
      <c r="D48" s="29" t="s">
        <v>32</v>
      </c>
      <c r="E48" s="28" t="s">
        <v>853</v>
      </c>
      <c r="F48" s="28" t="s">
        <v>32</v>
      </c>
    </row>
    <row r="49" ht="22" customHeight="1" hidden="1" spans="1:6" x14ac:dyDescent="0.25" outlineLevel="1" collapsed="1">
      <c r="A49" s="34" t="s">
        <v>495</v>
      </c>
      <c r="B49" s="34"/>
      <c r="C49" s="34"/>
      <c r="D49" s="34"/>
      <c r="E49" s="34"/>
      <c r="F49" s="34"/>
    </row>
    <row r="50" ht="24" customHeight="1" hidden="1" spans="1:6" x14ac:dyDescent="0.25" outlineLevel="1" collapsed="1">
      <c r="A50" s="12" t="s">
        <v>854</v>
      </c>
      <c r="B50" s="12"/>
      <c r="C50" s="12"/>
      <c r="D50" s="12"/>
      <c r="E50" s="12"/>
      <c r="F50" s="12"/>
    </row>
    <row r="51" ht="24" customHeight="1" hidden="1" spans="1:6" x14ac:dyDescent="0.25" outlineLevel="1" collapsed="1">
      <c r="A51" s="12" t="s">
        <v>855</v>
      </c>
      <c r="B51" s="12"/>
      <c r="C51" s="12"/>
      <c r="D51" s="12"/>
      <c r="E51" s="12"/>
      <c r="F51" s="12"/>
    </row>
    <row r="52" ht="24" customHeight="1" hidden="1" spans="1:6" x14ac:dyDescent="0.25" outlineLevel="1" collapsed="1">
      <c r="A52" s="12" t="s">
        <v>842</v>
      </c>
      <c r="B52" s="12"/>
      <c r="C52" s="12"/>
      <c r="D52" s="12"/>
      <c r="E52" s="12"/>
      <c r="F52" s="12"/>
    </row>
    <row r="53" ht="6" customHeight="1" hidden="1" x14ac:dyDescent="0.25" outlineLevel="1" collapsed="1"/>
    <row r="54" ht="22" customHeight="1" spans="1:6" x14ac:dyDescent="0.25">
      <c r="A54" s="25" t="s">
        <v>856</v>
      </c>
      <c r="B54" s="25"/>
      <c r="C54" s="25"/>
      <c r="D54" s="25"/>
      <c r="E54" s="25"/>
      <c r="F54" s="25"/>
    </row>
    <row r="55" ht="20" customHeight="1" hidden="1" spans="1:6" x14ac:dyDescent="0.25" outlineLevel="1" collapsed="1">
      <c r="A55" s="26" t="s">
        <v>460</v>
      </c>
      <c r="B55" s="26" t="s">
        <v>461</v>
      </c>
      <c r="C55" s="26" t="s">
        <v>462</v>
      </c>
      <c r="D55" s="26" t="s">
        <v>32</v>
      </c>
      <c r="E55" s="26" t="s">
        <v>463</v>
      </c>
      <c r="F55" s="26" t="s">
        <v>464</v>
      </c>
    </row>
    <row r="56" ht="36" customHeight="1" hidden="1" spans="1:6" x14ac:dyDescent="0.25" outlineLevel="1" collapsed="1">
      <c r="A56" s="27">
        <v>4310</v>
      </c>
      <c r="B56" s="28" t="s">
        <v>850</v>
      </c>
      <c r="C56" s="27" t="s">
        <v>466</v>
      </c>
      <c r="D56" s="29" t="s">
        <v>32</v>
      </c>
      <c r="E56" s="36" t="s">
        <v>625</v>
      </c>
      <c r="F56" s="28" t="s">
        <v>32</v>
      </c>
    </row>
    <row r="57" ht="36" customHeight="1" hidden="1" spans="1:6" x14ac:dyDescent="0.25" outlineLevel="1" collapsed="1">
      <c r="A57" s="27">
        <v>4320</v>
      </c>
      <c r="B57" s="28" t="s">
        <v>852</v>
      </c>
      <c r="C57" s="27" t="s">
        <v>472</v>
      </c>
      <c r="D57" s="29" t="s">
        <v>32</v>
      </c>
      <c r="E57" s="36" t="s">
        <v>625</v>
      </c>
      <c r="F57" s="28" t="s">
        <v>32</v>
      </c>
    </row>
    <row r="58" ht="22" customHeight="1" hidden="1" spans="1:6" x14ac:dyDescent="0.25" outlineLevel="1" collapsed="1">
      <c r="A58" s="34" t="s">
        <v>495</v>
      </c>
      <c r="B58" s="34"/>
      <c r="C58" s="34"/>
      <c r="D58" s="34"/>
      <c r="E58" s="34"/>
      <c r="F58" s="34"/>
    </row>
    <row r="59" ht="24" customHeight="1" hidden="1" spans="1:6" x14ac:dyDescent="0.25" outlineLevel="1" collapsed="1">
      <c r="A59" s="12" t="s">
        <v>857</v>
      </c>
      <c r="B59" s="12"/>
      <c r="C59" s="12"/>
      <c r="D59" s="12"/>
      <c r="E59" s="12"/>
      <c r="F59" s="12"/>
    </row>
    <row r="60" ht="24" customHeight="1" hidden="1" spans="1:6" x14ac:dyDescent="0.25" outlineLevel="1" collapsed="1">
      <c r="A60" s="12" t="s">
        <v>858</v>
      </c>
      <c r="B60" s="12"/>
      <c r="C60" s="12"/>
      <c r="D60" s="12"/>
      <c r="E60" s="12"/>
      <c r="F60" s="12"/>
    </row>
    <row r="61" ht="24" customHeight="1" hidden="1" spans="1:6" x14ac:dyDescent="0.25" outlineLevel="1" collapsed="1">
      <c r="A61" s="12" t="s">
        <v>842</v>
      </c>
      <c r="B61" s="12"/>
      <c r="C61" s="12"/>
      <c r="D61" s="12"/>
      <c r="E61" s="12"/>
      <c r="F61" s="12"/>
    </row>
    <row r="62" ht="6" customHeight="1" hidden="1" x14ac:dyDescent="0.25" outlineLevel="1" collapsed="1"/>
    <row r="63" ht="22" customHeight="1" spans="1:6" x14ac:dyDescent="0.25">
      <c r="A63" s="25" t="s">
        <v>859</v>
      </c>
      <c r="B63" s="25"/>
      <c r="C63" s="25"/>
      <c r="D63" s="25"/>
      <c r="E63" s="25"/>
      <c r="F63" s="25"/>
    </row>
    <row r="64" ht="20" customHeight="1" hidden="1" spans="1:6" x14ac:dyDescent="0.25" outlineLevel="1" collapsed="1">
      <c r="A64" s="26" t="s">
        <v>460</v>
      </c>
      <c r="B64" s="26" t="s">
        <v>461</v>
      </c>
      <c r="C64" s="26" t="s">
        <v>462</v>
      </c>
      <c r="D64" s="26" t="s">
        <v>32</v>
      </c>
      <c r="E64" s="26" t="s">
        <v>463</v>
      </c>
      <c r="F64" s="26" t="s">
        <v>464</v>
      </c>
    </row>
    <row r="65" ht="36" customHeight="1" hidden="1" spans="1:6" x14ac:dyDescent="0.25" outlineLevel="1" collapsed="1">
      <c r="A65" s="27">
        <v>4310</v>
      </c>
      <c r="B65" s="28" t="s">
        <v>850</v>
      </c>
      <c r="C65" s="27" t="s">
        <v>466</v>
      </c>
      <c r="D65" s="29" t="s">
        <v>32</v>
      </c>
      <c r="E65" s="36" t="s">
        <v>625</v>
      </c>
      <c r="F65" s="28" t="s">
        <v>32</v>
      </c>
    </row>
    <row r="66" ht="36" customHeight="1" hidden="1" spans="1:6" x14ac:dyDescent="0.25" outlineLevel="1" collapsed="1">
      <c r="A66" s="27">
        <v>4320</v>
      </c>
      <c r="B66" s="28" t="s">
        <v>852</v>
      </c>
      <c r="C66" s="27" t="s">
        <v>472</v>
      </c>
      <c r="D66" s="29" t="s">
        <v>32</v>
      </c>
      <c r="E66" s="28" t="s">
        <v>506</v>
      </c>
      <c r="F66" s="28" t="s">
        <v>32</v>
      </c>
    </row>
    <row r="67" ht="22" customHeight="1" hidden="1" spans="1:6" x14ac:dyDescent="0.25" outlineLevel="1" collapsed="1">
      <c r="A67" s="34" t="s">
        <v>495</v>
      </c>
      <c r="B67" s="34"/>
      <c r="C67" s="34"/>
      <c r="D67" s="34"/>
      <c r="E67" s="34"/>
      <c r="F67" s="34"/>
    </row>
    <row r="68" ht="24" customHeight="1" hidden="1" spans="1:6" x14ac:dyDescent="0.25" outlineLevel="1" collapsed="1">
      <c r="A68" s="12" t="s">
        <v>857</v>
      </c>
      <c r="B68" s="12"/>
      <c r="C68" s="12"/>
      <c r="D68" s="12"/>
      <c r="E68" s="12"/>
      <c r="F68" s="12"/>
    </row>
    <row r="69" ht="24" customHeight="1" hidden="1" spans="1:6" x14ac:dyDescent="0.25" outlineLevel="1" collapsed="1">
      <c r="A69" s="12" t="s">
        <v>860</v>
      </c>
      <c r="B69" s="12"/>
      <c r="C69" s="12"/>
      <c r="D69" s="12"/>
      <c r="E69" s="12"/>
      <c r="F69" s="12"/>
    </row>
    <row r="70" ht="24" customHeight="1" hidden="1" spans="1:6" x14ac:dyDescent="0.25" outlineLevel="1" collapsed="1">
      <c r="A70" s="12" t="s">
        <v>842</v>
      </c>
      <c r="B70" s="12"/>
      <c r="C70" s="12"/>
      <c r="D70" s="12"/>
      <c r="E70" s="12"/>
      <c r="F70" s="12"/>
    </row>
    <row r="71" ht="6" customHeight="1" hidden="1" x14ac:dyDescent="0.25" outlineLevel="1" collapsed="1"/>
    <row r="72" ht="22" customHeight="1" spans="1:6" x14ac:dyDescent="0.25">
      <c r="A72" s="25" t="s">
        <v>861</v>
      </c>
      <c r="B72" s="25"/>
      <c r="C72" s="25"/>
      <c r="D72" s="25"/>
      <c r="E72" s="25"/>
      <c r="F72" s="25"/>
    </row>
    <row r="73" ht="20" customHeight="1" hidden="1" spans="1:6" x14ac:dyDescent="0.25" outlineLevel="1" collapsed="1">
      <c r="A73" s="26" t="s">
        <v>460</v>
      </c>
      <c r="B73" s="26" t="s">
        <v>461</v>
      </c>
      <c r="C73" s="26" t="s">
        <v>462</v>
      </c>
      <c r="D73" s="26" t="s">
        <v>32</v>
      </c>
      <c r="E73" s="26" t="s">
        <v>463</v>
      </c>
      <c r="F73" s="26" t="s">
        <v>464</v>
      </c>
    </row>
    <row r="74" ht="36" customHeight="1" hidden="1" spans="1:6" x14ac:dyDescent="0.25" outlineLevel="1" collapsed="1">
      <c r="A74" s="27">
        <v>4310</v>
      </c>
      <c r="B74" s="28" t="s">
        <v>850</v>
      </c>
      <c r="C74" s="27" t="s">
        <v>466</v>
      </c>
      <c r="D74" s="29" t="s">
        <v>32</v>
      </c>
      <c r="E74" s="36" t="s">
        <v>625</v>
      </c>
      <c r="F74" s="28" t="s">
        <v>32</v>
      </c>
    </row>
    <row r="75" ht="36" customHeight="1" hidden="1" spans="1:6" x14ac:dyDescent="0.25" outlineLevel="1" collapsed="1">
      <c r="A75" s="27">
        <v>4320</v>
      </c>
      <c r="B75" s="28" t="s">
        <v>852</v>
      </c>
      <c r="C75" s="27" t="s">
        <v>472</v>
      </c>
      <c r="D75" s="29" t="s">
        <v>32</v>
      </c>
      <c r="E75" s="28" t="s">
        <v>853</v>
      </c>
      <c r="F75" s="28" t="s">
        <v>32</v>
      </c>
    </row>
    <row r="76" ht="22" customHeight="1" hidden="1" spans="1:6" x14ac:dyDescent="0.25" outlineLevel="1" collapsed="1">
      <c r="A76" s="34" t="s">
        <v>495</v>
      </c>
      <c r="B76" s="34"/>
      <c r="C76" s="34"/>
      <c r="D76" s="34"/>
      <c r="E76" s="34"/>
      <c r="F76" s="34"/>
    </row>
    <row r="77" ht="24" customHeight="1" hidden="1" spans="1:6" x14ac:dyDescent="0.25" outlineLevel="1" collapsed="1">
      <c r="A77" s="12" t="s">
        <v>857</v>
      </c>
      <c r="B77" s="12"/>
      <c r="C77" s="12"/>
      <c r="D77" s="12"/>
      <c r="E77" s="12"/>
      <c r="F77" s="12"/>
    </row>
    <row r="78" ht="24" customHeight="1" hidden="1" spans="1:6" x14ac:dyDescent="0.25" outlineLevel="1" collapsed="1">
      <c r="A78" s="12" t="s">
        <v>855</v>
      </c>
      <c r="B78" s="12"/>
      <c r="C78" s="12"/>
      <c r="D78" s="12"/>
      <c r="E78" s="12"/>
      <c r="F78" s="12"/>
    </row>
    <row r="79" ht="24" customHeight="1" hidden="1" spans="1:6" x14ac:dyDescent="0.25" outlineLevel="1" collapsed="1">
      <c r="A79" s="12" t="s">
        <v>842</v>
      </c>
      <c r="B79" s="12"/>
      <c r="C79" s="12"/>
      <c r="D79" s="12"/>
      <c r="E79" s="12"/>
      <c r="F79" s="12"/>
    </row>
    <row r="80" ht="6" customHeight="1" hidden="1" x14ac:dyDescent="0.25" outlineLevel="1" collapsed="1"/>
    <row r="81" ht="22" customHeight="1" spans="1:6" x14ac:dyDescent="0.25">
      <c r="A81" s="25" t="s">
        <v>862</v>
      </c>
      <c r="B81" s="25"/>
      <c r="C81" s="25"/>
      <c r="D81" s="25"/>
      <c r="E81" s="25"/>
      <c r="F81" s="25"/>
    </row>
    <row r="82" ht="20" customHeight="1" hidden="1" spans="1:6" x14ac:dyDescent="0.25" outlineLevel="1" collapsed="1">
      <c r="A82" s="26" t="s">
        <v>460</v>
      </c>
      <c r="B82" s="26" t="s">
        <v>461</v>
      </c>
      <c r="C82" s="26" t="s">
        <v>462</v>
      </c>
      <c r="D82" s="26" t="s">
        <v>32</v>
      </c>
      <c r="E82" s="26" t="s">
        <v>463</v>
      </c>
      <c r="F82" s="26" t="s">
        <v>464</v>
      </c>
    </row>
    <row r="83" ht="36" customHeight="1" hidden="1" spans="1:6" x14ac:dyDescent="0.25" outlineLevel="1" collapsed="1">
      <c r="A83" s="27">
        <v>4310</v>
      </c>
      <c r="B83" s="28" t="s">
        <v>850</v>
      </c>
      <c r="C83" s="27" t="s">
        <v>466</v>
      </c>
      <c r="D83" s="29" t="s">
        <v>32</v>
      </c>
      <c r="E83" s="36" t="s">
        <v>625</v>
      </c>
      <c r="F83" s="28" t="s">
        <v>32</v>
      </c>
    </row>
    <row r="84" ht="36" customHeight="1" hidden="1" spans="1:6" x14ac:dyDescent="0.25" outlineLevel="1" collapsed="1">
      <c r="A84" s="27">
        <v>4320</v>
      </c>
      <c r="B84" s="28" t="s">
        <v>852</v>
      </c>
      <c r="C84" s="27" t="s">
        <v>472</v>
      </c>
      <c r="D84" s="29" t="s">
        <v>32</v>
      </c>
      <c r="E84" s="28" t="s">
        <v>853</v>
      </c>
      <c r="F84" s="28" t="s">
        <v>32</v>
      </c>
    </row>
    <row r="85" ht="22" customHeight="1" hidden="1" spans="1:6" x14ac:dyDescent="0.25" outlineLevel="1" collapsed="1">
      <c r="A85" s="34" t="s">
        <v>495</v>
      </c>
      <c r="B85" s="34"/>
      <c r="C85" s="34"/>
      <c r="D85" s="34"/>
      <c r="E85" s="34"/>
      <c r="F85" s="34"/>
    </row>
    <row r="86" ht="24" customHeight="1" hidden="1" spans="1:6" x14ac:dyDescent="0.25" outlineLevel="1" collapsed="1">
      <c r="A86" s="12" t="s">
        <v>857</v>
      </c>
      <c r="B86" s="12"/>
      <c r="C86" s="12"/>
      <c r="D86" s="12"/>
      <c r="E86" s="12"/>
      <c r="F86" s="12"/>
    </row>
    <row r="87" ht="24" customHeight="1" hidden="1" spans="1:6" x14ac:dyDescent="0.25" outlineLevel="1" collapsed="1">
      <c r="A87" s="12" t="s">
        <v>855</v>
      </c>
      <c r="B87" s="12"/>
      <c r="C87" s="12"/>
      <c r="D87" s="12"/>
      <c r="E87" s="12"/>
      <c r="F87" s="12"/>
    </row>
    <row r="88" ht="24" customHeight="1" hidden="1" spans="1:6" x14ac:dyDescent="0.25" outlineLevel="1" collapsed="1">
      <c r="A88" s="12" t="s">
        <v>842</v>
      </c>
      <c r="B88" s="12"/>
      <c r="C88" s="12"/>
      <c r="D88" s="12"/>
      <c r="E88" s="12"/>
      <c r="F88" s="12"/>
    </row>
    <row r="89" ht="6" customHeight="1" hidden="1" x14ac:dyDescent="0.25" outlineLevel="1" collapsed="1"/>
    <row r="90" ht="12" customHeight="1" x14ac:dyDescent="0.25"/>
    <row r="91" ht="24" customHeight="1" spans="1:6" x14ac:dyDescent="0.25">
      <c r="A91" s="24" t="s">
        <v>631</v>
      </c>
      <c r="B91" s="24"/>
      <c r="C91" s="24"/>
      <c r="D91" s="24"/>
      <c r="E91" s="24"/>
      <c r="F91" s="24"/>
    </row>
    <row r="92" ht="22" customHeight="1" spans="1:6" x14ac:dyDescent="0.25">
      <c r="A92" s="25" t="s">
        <v>824</v>
      </c>
      <c r="B92" s="25"/>
      <c r="C92" s="25"/>
      <c r="D92" s="25"/>
      <c r="E92" s="25"/>
      <c r="F92" s="25"/>
    </row>
    <row r="93" ht="20" customHeight="1" hidden="1" spans="1:6" x14ac:dyDescent="0.25" outlineLevel="1" collapsed="1">
      <c r="A93" s="26" t="s">
        <v>460</v>
      </c>
      <c r="B93" s="26" t="s">
        <v>461</v>
      </c>
      <c r="C93" s="26" t="s">
        <v>462</v>
      </c>
      <c r="D93" s="26" t="s">
        <v>32</v>
      </c>
      <c r="E93" s="26" t="s">
        <v>463</v>
      </c>
      <c r="F93" s="26" t="s">
        <v>464</v>
      </c>
    </row>
    <row r="94" ht="51" customHeight="1" hidden="1" spans="1:6" x14ac:dyDescent="0.25" outlineLevel="1" collapsed="1">
      <c r="A94" s="27">
        <v>4310</v>
      </c>
      <c r="B94" s="28" t="s">
        <v>825</v>
      </c>
      <c r="C94" s="27" t="s">
        <v>466</v>
      </c>
      <c r="D94" s="29" t="s">
        <v>32</v>
      </c>
      <c r="E94" s="28" t="s">
        <v>473</v>
      </c>
      <c r="F94" s="28" t="s">
        <v>863</v>
      </c>
    </row>
    <row r="95" ht="21" customHeight="1" hidden="1" spans="1:6" x14ac:dyDescent="0.25" outlineLevel="1" collapsed="1">
      <c r="A95" s="30" t="s">
        <v>32</v>
      </c>
      <c r="B95" s="17" t="s">
        <v>32</v>
      </c>
      <c r="C95" s="30" t="s">
        <v>32</v>
      </c>
      <c r="D95" s="31" t="s">
        <v>32</v>
      </c>
      <c r="E95" s="17" t="s">
        <v>475</v>
      </c>
      <c r="F95" s="17" t="s">
        <v>32</v>
      </c>
    </row>
    <row r="96" ht="36" customHeight="1" hidden="1" spans="1:6" x14ac:dyDescent="0.25" outlineLevel="1" collapsed="1">
      <c r="A96" s="32" t="s">
        <v>32</v>
      </c>
      <c r="B96" s="12" t="s">
        <v>32</v>
      </c>
      <c r="C96" s="32" t="s">
        <v>32</v>
      </c>
      <c r="D96" s="31" t="s">
        <v>32</v>
      </c>
      <c r="E96" s="12" t="s">
        <v>476</v>
      </c>
      <c r="F96" s="12" t="s">
        <v>32</v>
      </c>
    </row>
    <row r="97" ht="36" customHeight="1" hidden="1" spans="1:6" x14ac:dyDescent="0.25" outlineLevel="1" collapsed="1">
      <c r="A97" s="30" t="s">
        <v>32</v>
      </c>
      <c r="B97" s="17" t="s">
        <v>32</v>
      </c>
      <c r="C97" s="30" t="s">
        <v>32</v>
      </c>
      <c r="D97" s="31" t="s">
        <v>32</v>
      </c>
      <c r="E97" s="17" t="s">
        <v>478</v>
      </c>
      <c r="F97" s="17" t="s">
        <v>32</v>
      </c>
    </row>
    <row r="98" ht="21" customHeight="1" hidden="1" spans="1:6" x14ac:dyDescent="0.25" outlineLevel="1" collapsed="1">
      <c r="A98" s="32" t="s">
        <v>32</v>
      </c>
      <c r="B98" s="12" t="s">
        <v>32</v>
      </c>
      <c r="C98" s="32" t="s">
        <v>32</v>
      </c>
      <c r="D98" s="31" t="s">
        <v>32</v>
      </c>
      <c r="E98" s="12" t="s">
        <v>479</v>
      </c>
      <c r="F98" s="12" t="s">
        <v>32</v>
      </c>
    </row>
    <row r="99" ht="36" customHeight="1" hidden="1" spans="1:6" x14ac:dyDescent="0.25" outlineLevel="1" collapsed="1">
      <c r="A99" s="30" t="s">
        <v>32</v>
      </c>
      <c r="B99" s="17" t="s">
        <v>32</v>
      </c>
      <c r="C99" s="30" t="s">
        <v>32</v>
      </c>
      <c r="D99" s="31" t="s">
        <v>32</v>
      </c>
      <c r="E99" s="35" t="s">
        <v>864</v>
      </c>
      <c r="F99" s="17" t="s">
        <v>32</v>
      </c>
    </row>
    <row r="100" ht="36" customHeight="1" hidden="1" spans="1:6" x14ac:dyDescent="0.25" outlineLevel="1" collapsed="1">
      <c r="A100" s="27">
        <v>4320</v>
      </c>
      <c r="B100" s="28" t="s">
        <v>827</v>
      </c>
      <c r="C100" s="27" t="s">
        <v>472</v>
      </c>
      <c r="D100" s="29" t="s">
        <v>32</v>
      </c>
      <c r="E100" s="28" t="s">
        <v>853</v>
      </c>
      <c r="F100" s="28" t="s">
        <v>32</v>
      </c>
    </row>
    <row r="101" ht="66" customHeight="1" hidden="1" spans="1:6" x14ac:dyDescent="0.25" outlineLevel="1" collapsed="1">
      <c r="A101" s="27">
        <v>4335</v>
      </c>
      <c r="B101" s="28" t="s">
        <v>831</v>
      </c>
      <c r="C101" s="27" t="s">
        <v>745</v>
      </c>
      <c r="D101" s="29" t="s">
        <v>32</v>
      </c>
      <c r="E101" s="28" t="s">
        <v>832</v>
      </c>
      <c r="F101" s="28" t="s">
        <v>32</v>
      </c>
    </row>
    <row r="102" ht="51" customHeight="1" hidden="1" spans="1:6" x14ac:dyDescent="0.25" outlineLevel="1" collapsed="1">
      <c r="A102" s="27">
        <v>4337</v>
      </c>
      <c r="B102" s="28" t="s">
        <v>833</v>
      </c>
      <c r="C102" s="27" t="s">
        <v>472</v>
      </c>
      <c r="D102" s="29" t="s">
        <v>32</v>
      </c>
      <c r="E102" s="28" t="s">
        <v>834</v>
      </c>
      <c r="F102" s="28" t="s">
        <v>32</v>
      </c>
    </row>
    <row r="103" ht="36" customHeight="1" hidden="1" spans="1:6" x14ac:dyDescent="0.25" outlineLevel="1" collapsed="1">
      <c r="A103" s="27">
        <v>4350</v>
      </c>
      <c r="B103" s="28" t="s">
        <v>835</v>
      </c>
      <c r="C103" s="27" t="s">
        <v>466</v>
      </c>
      <c r="D103" s="29" t="s">
        <v>32</v>
      </c>
      <c r="E103" s="28" t="s">
        <v>836</v>
      </c>
      <c r="F103" s="28" t="s">
        <v>32</v>
      </c>
    </row>
    <row r="104" ht="22" customHeight="1" hidden="1" spans="1:6" x14ac:dyDescent="0.25" outlineLevel="1" collapsed="1">
      <c r="A104" s="34" t="s">
        <v>495</v>
      </c>
      <c r="B104" s="34"/>
      <c r="C104" s="34"/>
      <c r="D104" s="34"/>
      <c r="E104" s="34"/>
      <c r="F104" s="34"/>
    </row>
    <row r="105" ht="40" customHeight="1" hidden="1" spans="1:6" x14ac:dyDescent="0.25" outlineLevel="1" collapsed="1">
      <c r="A105" s="12" t="s">
        <v>865</v>
      </c>
      <c r="B105" s="12"/>
      <c r="C105" s="12"/>
      <c r="D105" s="12"/>
      <c r="E105" s="12"/>
      <c r="F105" s="12"/>
    </row>
    <row r="106" ht="24" customHeight="1" hidden="1" spans="1:6" x14ac:dyDescent="0.25" outlineLevel="1" collapsed="1">
      <c r="A106" s="12" t="s">
        <v>866</v>
      </c>
      <c r="B106" s="12"/>
      <c r="C106" s="12"/>
      <c r="D106" s="12"/>
      <c r="E106" s="12"/>
      <c r="F106" s="12"/>
    </row>
    <row r="107" ht="24" customHeight="1" hidden="1" spans="1:6" x14ac:dyDescent="0.25" outlineLevel="1" collapsed="1">
      <c r="A107" s="12" t="s">
        <v>867</v>
      </c>
      <c r="B107" s="12"/>
      <c r="C107" s="12"/>
      <c r="D107" s="12"/>
      <c r="E107" s="12"/>
      <c r="F107" s="12"/>
    </row>
    <row r="108" ht="24" customHeight="1" hidden="1" spans="1:6" x14ac:dyDescent="0.25" outlineLevel="1" collapsed="1">
      <c r="A108" s="12" t="s">
        <v>868</v>
      </c>
      <c r="B108" s="12"/>
      <c r="C108" s="12"/>
      <c r="D108" s="12"/>
      <c r="E108" s="12"/>
      <c r="F108" s="12"/>
    </row>
    <row r="109" ht="24" customHeight="1" hidden="1" spans="1:6" x14ac:dyDescent="0.25" outlineLevel="1" collapsed="1">
      <c r="A109" s="12" t="s">
        <v>869</v>
      </c>
      <c r="B109" s="12"/>
      <c r="C109" s="12"/>
      <c r="D109" s="12"/>
      <c r="E109" s="12"/>
      <c r="F109" s="12"/>
    </row>
    <row r="110" ht="24" customHeight="1" hidden="1" spans="1:6" x14ac:dyDescent="0.25" outlineLevel="1" collapsed="1">
      <c r="A110" s="12" t="s">
        <v>870</v>
      </c>
      <c r="B110" s="12"/>
      <c r="C110" s="12"/>
      <c r="D110" s="12"/>
      <c r="E110" s="12"/>
      <c r="F110" s="12"/>
    </row>
    <row r="111" ht="6" customHeight="1" hidden="1" x14ac:dyDescent="0.25" outlineLevel="1" collapsed="1"/>
    <row r="112" ht="22" customHeight="1" spans="1:6" x14ac:dyDescent="0.25">
      <c r="A112" s="25" t="s">
        <v>843</v>
      </c>
      <c r="B112" s="25"/>
      <c r="C112" s="25"/>
      <c r="D112" s="25"/>
      <c r="E112" s="25"/>
      <c r="F112" s="25"/>
    </row>
    <row r="113" ht="20" customHeight="1" hidden="1" spans="1:6" x14ac:dyDescent="0.25" outlineLevel="1" collapsed="1">
      <c r="A113" s="26" t="s">
        <v>460</v>
      </c>
      <c r="B113" s="26" t="s">
        <v>461</v>
      </c>
      <c r="C113" s="26" t="s">
        <v>462</v>
      </c>
      <c r="D113" s="26" t="s">
        <v>32</v>
      </c>
      <c r="E113" s="26" t="s">
        <v>463</v>
      </c>
      <c r="F113" s="26" t="s">
        <v>464</v>
      </c>
    </row>
    <row r="114" ht="51" customHeight="1" hidden="1" spans="1:6" x14ac:dyDescent="0.25" outlineLevel="1" collapsed="1">
      <c r="A114" s="27">
        <v>4310</v>
      </c>
      <c r="B114" s="28" t="s">
        <v>844</v>
      </c>
      <c r="C114" s="27" t="s">
        <v>466</v>
      </c>
      <c r="D114" s="29" t="s">
        <v>32</v>
      </c>
      <c r="E114" s="28" t="s">
        <v>473</v>
      </c>
      <c r="F114" s="28" t="s">
        <v>474</v>
      </c>
    </row>
    <row r="115" ht="21" customHeight="1" hidden="1" spans="1:6" x14ac:dyDescent="0.25" outlineLevel="1" collapsed="1">
      <c r="A115" s="30" t="s">
        <v>32</v>
      </c>
      <c r="B115" s="17" t="s">
        <v>32</v>
      </c>
      <c r="C115" s="30" t="s">
        <v>32</v>
      </c>
      <c r="D115" s="31" t="s">
        <v>32</v>
      </c>
      <c r="E115" s="17" t="s">
        <v>475</v>
      </c>
      <c r="F115" s="17" t="s">
        <v>32</v>
      </c>
    </row>
    <row r="116" ht="36" customHeight="1" hidden="1" spans="1:6" x14ac:dyDescent="0.25" outlineLevel="1" collapsed="1">
      <c r="A116" s="32" t="s">
        <v>32</v>
      </c>
      <c r="B116" s="12" t="s">
        <v>32</v>
      </c>
      <c r="C116" s="32" t="s">
        <v>32</v>
      </c>
      <c r="D116" s="31" t="s">
        <v>32</v>
      </c>
      <c r="E116" s="12" t="s">
        <v>476</v>
      </c>
      <c r="F116" s="12" t="s">
        <v>32</v>
      </c>
    </row>
    <row r="117" ht="21" customHeight="1" hidden="1" spans="1:6" x14ac:dyDescent="0.25" outlineLevel="1" collapsed="1">
      <c r="A117" s="30" t="s">
        <v>32</v>
      </c>
      <c r="B117" s="17" t="s">
        <v>32</v>
      </c>
      <c r="C117" s="30" t="s">
        <v>32</v>
      </c>
      <c r="D117" s="31" t="s">
        <v>32</v>
      </c>
      <c r="E117" s="17" t="s">
        <v>687</v>
      </c>
      <c r="F117" s="17" t="s">
        <v>32</v>
      </c>
    </row>
    <row r="118" ht="36" customHeight="1" hidden="1" spans="1:6" x14ac:dyDescent="0.25" outlineLevel="1" collapsed="1">
      <c r="A118" s="32" t="s">
        <v>32</v>
      </c>
      <c r="B118" s="12" t="s">
        <v>32</v>
      </c>
      <c r="C118" s="32" t="s">
        <v>32</v>
      </c>
      <c r="D118" s="31" t="s">
        <v>32</v>
      </c>
      <c r="E118" s="12" t="s">
        <v>478</v>
      </c>
      <c r="F118" s="12" t="s">
        <v>32</v>
      </c>
    </row>
    <row r="119" ht="21" customHeight="1" hidden="1" spans="1:6" x14ac:dyDescent="0.25" outlineLevel="1" collapsed="1">
      <c r="A119" s="30" t="s">
        <v>32</v>
      </c>
      <c r="B119" s="17" t="s">
        <v>32</v>
      </c>
      <c r="C119" s="30" t="s">
        <v>32</v>
      </c>
      <c r="D119" s="31" t="s">
        <v>32</v>
      </c>
      <c r="E119" s="17" t="s">
        <v>479</v>
      </c>
      <c r="F119" s="17" t="s">
        <v>32</v>
      </c>
    </row>
    <row r="120" ht="36" customHeight="1" hidden="1" spans="1:6" x14ac:dyDescent="0.25" outlineLevel="1" collapsed="1">
      <c r="A120" s="32" t="s">
        <v>32</v>
      </c>
      <c r="B120" s="12" t="s">
        <v>32</v>
      </c>
      <c r="C120" s="32" t="s">
        <v>32</v>
      </c>
      <c r="D120" s="31" t="s">
        <v>32</v>
      </c>
      <c r="E120" s="33" t="s">
        <v>664</v>
      </c>
      <c r="F120" s="12" t="s">
        <v>32</v>
      </c>
    </row>
    <row r="121" ht="51" customHeight="1" hidden="1" spans="1:6" x14ac:dyDescent="0.25" outlineLevel="1" collapsed="1">
      <c r="A121" s="27">
        <v>4320</v>
      </c>
      <c r="B121" s="28" t="s">
        <v>845</v>
      </c>
      <c r="C121" s="27" t="s">
        <v>472</v>
      </c>
      <c r="D121" s="29" t="s">
        <v>32</v>
      </c>
      <c r="E121" s="28" t="s">
        <v>637</v>
      </c>
      <c r="F121" s="28" t="s">
        <v>846</v>
      </c>
    </row>
    <row r="122" ht="36" customHeight="1" hidden="1" spans="1:6" x14ac:dyDescent="0.25" outlineLevel="1" collapsed="1">
      <c r="A122" s="30" t="s">
        <v>32</v>
      </c>
      <c r="B122" s="17" t="s">
        <v>32</v>
      </c>
      <c r="C122" s="30" t="s">
        <v>32</v>
      </c>
      <c r="D122" s="31" t="s">
        <v>32</v>
      </c>
      <c r="E122" s="17" t="s">
        <v>477</v>
      </c>
      <c r="F122" s="17" t="s">
        <v>32</v>
      </c>
    </row>
    <row r="123" ht="22" customHeight="1" hidden="1" spans="1:6" x14ac:dyDescent="0.25" outlineLevel="1" collapsed="1">
      <c r="A123" s="34" t="s">
        <v>495</v>
      </c>
      <c r="B123" s="34"/>
      <c r="C123" s="34"/>
      <c r="D123" s="34"/>
      <c r="E123" s="34"/>
      <c r="F123" s="34"/>
    </row>
    <row r="124" ht="40" customHeight="1" hidden="1" spans="1:6" x14ac:dyDescent="0.25" outlineLevel="1" collapsed="1">
      <c r="A124" s="12" t="s">
        <v>871</v>
      </c>
      <c r="B124" s="12"/>
      <c r="C124" s="12"/>
      <c r="D124" s="12"/>
      <c r="E124" s="12"/>
      <c r="F124" s="12"/>
    </row>
    <row r="125" ht="24" customHeight="1" hidden="1" spans="1:6" x14ac:dyDescent="0.25" outlineLevel="1" collapsed="1">
      <c r="A125" s="12" t="s">
        <v>872</v>
      </c>
      <c r="B125" s="12"/>
      <c r="C125" s="12"/>
      <c r="D125" s="12"/>
      <c r="E125" s="12"/>
      <c r="F125" s="12"/>
    </row>
    <row r="126" ht="24" customHeight="1" hidden="1" spans="1:6" x14ac:dyDescent="0.25" outlineLevel="1" collapsed="1">
      <c r="A126" s="12" t="s">
        <v>870</v>
      </c>
      <c r="B126" s="12"/>
      <c r="C126" s="12"/>
      <c r="D126" s="12"/>
      <c r="E126" s="12"/>
      <c r="F126" s="12"/>
    </row>
    <row r="127" ht="6" customHeight="1" hidden="1" x14ac:dyDescent="0.25" outlineLevel="1" collapsed="1"/>
    <row r="128" ht="22" customHeight="1" spans="1:6" x14ac:dyDescent="0.25">
      <c r="A128" s="25" t="s">
        <v>849</v>
      </c>
      <c r="B128" s="25"/>
      <c r="C128" s="25"/>
      <c r="D128" s="25"/>
      <c r="E128" s="25"/>
      <c r="F128" s="25"/>
    </row>
    <row r="129" ht="20" customHeight="1" hidden="1" spans="1:6" x14ac:dyDescent="0.25" outlineLevel="1" collapsed="1">
      <c r="A129" s="26" t="s">
        <v>460</v>
      </c>
      <c r="B129" s="26" t="s">
        <v>461</v>
      </c>
      <c r="C129" s="26" t="s">
        <v>462</v>
      </c>
      <c r="D129" s="26" t="s">
        <v>32</v>
      </c>
      <c r="E129" s="26" t="s">
        <v>463</v>
      </c>
      <c r="F129" s="26" t="s">
        <v>464</v>
      </c>
    </row>
    <row r="130" ht="36" customHeight="1" hidden="1" spans="1:6" x14ac:dyDescent="0.25" outlineLevel="1" collapsed="1">
      <c r="A130" s="27">
        <v>4310</v>
      </c>
      <c r="B130" s="28" t="s">
        <v>850</v>
      </c>
      <c r="C130" s="27" t="s">
        <v>466</v>
      </c>
      <c r="D130" s="29" t="s">
        <v>32</v>
      </c>
      <c r="E130" s="28" t="s">
        <v>851</v>
      </c>
      <c r="F130" s="28" t="s">
        <v>32</v>
      </c>
    </row>
    <row r="131" ht="36" customHeight="1" hidden="1" spans="1:6" x14ac:dyDescent="0.25" outlineLevel="1" collapsed="1">
      <c r="A131" s="27">
        <v>4320</v>
      </c>
      <c r="B131" s="28" t="s">
        <v>852</v>
      </c>
      <c r="C131" s="27" t="s">
        <v>472</v>
      </c>
      <c r="D131" s="29" t="s">
        <v>32</v>
      </c>
      <c r="E131" s="28" t="s">
        <v>853</v>
      </c>
      <c r="F131" s="28" t="s">
        <v>32</v>
      </c>
    </row>
    <row r="132" ht="22" customHeight="1" hidden="1" spans="1:6" x14ac:dyDescent="0.25" outlineLevel="1" collapsed="1">
      <c r="A132" s="34" t="s">
        <v>495</v>
      </c>
      <c r="B132" s="34"/>
      <c r="C132" s="34"/>
      <c r="D132" s="34"/>
      <c r="E132" s="34"/>
      <c r="F132" s="34"/>
    </row>
    <row r="133" ht="24" customHeight="1" hidden="1" spans="1:6" x14ac:dyDescent="0.25" outlineLevel="1" collapsed="1">
      <c r="A133" s="12" t="s">
        <v>873</v>
      </c>
      <c r="B133" s="12"/>
      <c r="C133" s="12"/>
      <c r="D133" s="12"/>
      <c r="E133" s="12"/>
      <c r="F133" s="12"/>
    </row>
    <row r="134" ht="24" customHeight="1" hidden="1" spans="1:6" x14ac:dyDescent="0.25" outlineLevel="1" collapsed="1">
      <c r="A134" s="12" t="s">
        <v>866</v>
      </c>
      <c r="B134" s="12"/>
      <c r="C134" s="12"/>
      <c r="D134" s="12"/>
      <c r="E134" s="12"/>
      <c r="F134" s="12"/>
    </row>
    <row r="135" ht="24" customHeight="1" hidden="1" spans="1:6" x14ac:dyDescent="0.25" outlineLevel="1" collapsed="1">
      <c r="A135" s="12" t="s">
        <v>870</v>
      </c>
      <c r="B135" s="12"/>
      <c r="C135" s="12"/>
      <c r="D135" s="12"/>
      <c r="E135" s="12"/>
      <c r="F135" s="12"/>
    </row>
    <row r="136" ht="6" customHeight="1" hidden="1" x14ac:dyDescent="0.25" outlineLevel="1" collapsed="1"/>
    <row r="137" ht="22" customHeight="1" spans="1:6" x14ac:dyDescent="0.25">
      <c r="A137" s="25" t="s">
        <v>856</v>
      </c>
      <c r="B137" s="25"/>
      <c r="C137" s="25"/>
      <c r="D137" s="25"/>
      <c r="E137" s="25"/>
      <c r="F137" s="25"/>
    </row>
    <row r="138" ht="20" customHeight="1" hidden="1" spans="1:6" x14ac:dyDescent="0.25" outlineLevel="1" collapsed="1">
      <c r="A138" s="26" t="s">
        <v>460</v>
      </c>
      <c r="B138" s="26" t="s">
        <v>461</v>
      </c>
      <c r="C138" s="26" t="s">
        <v>462</v>
      </c>
      <c r="D138" s="26" t="s">
        <v>32</v>
      </c>
      <c r="E138" s="26" t="s">
        <v>463</v>
      </c>
      <c r="F138" s="26" t="s">
        <v>464</v>
      </c>
    </row>
    <row r="139" ht="36" customHeight="1" hidden="1" spans="1:6" x14ac:dyDescent="0.25" outlineLevel="1" collapsed="1">
      <c r="A139" s="27">
        <v>4310</v>
      </c>
      <c r="B139" s="28" t="s">
        <v>850</v>
      </c>
      <c r="C139" s="27" t="s">
        <v>466</v>
      </c>
      <c r="D139" s="29" t="s">
        <v>32</v>
      </c>
      <c r="E139" s="36" t="s">
        <v>668</v>
      </c>
      <c r="F139" s="28" t="s">
        <v>32</v>
      </c>
    </row>
    <row r="140" ht="36" customHeight="1" hidden="1" spans="1:6" x14ac:dyDescent="0.25" outlineLevel="1" collapsed="1">
      <c r="A140" s="27">
        <v>4320</v>
      </c>
      <c r="B140" s="28" t="s">
        <v>852</v>
      </c>
      <c r="C140" s="27" t="s">
        <v>472</v>
      </c>
      <c r="D140" s="29" t="s">
        <v>32</v>
      </c>
      <c r="E140" s="36" t="s">
        <v>668</v>
      </c>
      <c r="F140" s="28" t="s">
        <v>32</v>
      </c>
    </row>
    <row r="141" ht="22" customHeight="1" hidden="1" spans="1:6" x14ac:dyDescent="0.25" outlineLevel="1" collapsed="1">
      <c r="A141" s="34" t="s">
        <v>495</v>
      </c>
      <c r="B141" s="34"/>
      <c r="C141" s="34"/>
      <c r="D141" s="34"/>
      <c r="E141" s="34"/>
      <c r="F141" s="34"/>
    </row>
    <row r="142" ht="24" customHeight="1" hidden="1" spans="1:6" x14ac:dyDescent="0.25" outlineLevel="1" collapsed="1">
      <c r="A142" s="12" t="s">
        <v>874</v>
      </c>
      <c r="B142" s="12"/>
      <c r="C142" s="12"/>
      <c r="D142" s="12"/>
      <c r="E142" s="12"/>
      <c r="F142" s="12"/>
    </row>
    <row r="143" ht="24" customHeight="1" hidden="1" spans="1:6" x14ac:dyDescent="0.25" outlineLevel="1" collapsed="1">
      <c r="A143" s="12" t="s">
        <v>875</v>
      </c>
      <c r="B143" s="12"/>
      <c r="C143" s="12"/>
      <c r="D143" s="12"/>
      <c r="E143" s="12"/>
      <c r="F143" s="12"/>
    </row>
    <row r="144" ht="24" customHeight="1" hidden="1" spans="1:6" x14ac:dyDescent="0.25" outlineLevel="1" collapsed="1">
      <c r="A144" s="12" t="s">
        <v>870</v>
      </c>
      <c r="B144" s="12"/>
      <c r="C144" s="12"/>
      <c r="D144" s="12"/>
      <c r="E144" s="12"/>
      <c r="F144" s="12"/>
    </row>
    <row r="145" ht="6" customHeight="1" hidden="1" x14ac:dyDescent="0.25" outlineLevel="1" collapsed="1"/>
    <row r="146" ht="22" customHeight="1" spans="1:6" x14ac:dyDescent="0.25">
      <c r="A146" s="25" t="s">
        <v>859</v>
      </c>
      <c r="B146" s="25"/>
      <c r="C146" s="25"/>
      <c r="D146" s="25"/>
      <c r="E146" s="25"/>
      <c r="F146" s="25"/>
    </row>
    <row r="147" ht="20" customHeight="1" hidden="1" spans="1:6" x14ac:dyDescent="0.25" outlineLevel="1" collapsed="1">
      <c r="A147" s="26" t="s">
        <v>460</v>
      </c>
      <c r="B147" s="26" t="s">
        <v>461</v>
      </c>
      <c r="C147" s="26" t="s">
        <v>462</v>
      </c>
      <c r="D147" s="26" t="s">
        <v>32</v>
      </c>
      <c r="E147" s="26" t="s">
        <v>463</v>
      </c>
      <c r="F147" s="26" t="s">
        <v>464</v>
      </c>
    </row>
    <row r="148" ht="36" customHeight="1" hidden="1" spans="1:6" x14ac:dyDescent="0.25" outlineLevel="1" collapsed="1">
      <c r="A148" s="27">
        <v>4310</v>
      </c>
      <c r="B148" s="28" t="s">
        <v>850</v>
      </c>
      <c r="C148" s="27" t="s">
        <v>466</v>
      </c>
      <c r="D148" s="29" t="s">
        <v>32</v>
      </c>
      <c r="E148" s="36" t="s">
        <v>668</v>
      </c>
      <c r="F148" s="28" t="s">
        <v>32</v>
      </c>
    </row>
    <row r="149" ht="36" customHeight="1" hidden="1" spans="1:6" x14ac:dyDescent="0.25" outlineLevel="1" collapsed="1">
      <c r="A149" s="27">
        <v>4320</v>
      </c>
      <c r="B149" s="28" t="s">
        <v>852</v>
      </c>
      <c r="C149" s="27" t="s">
        <v>472</v>
      </c>
      <c r="D149" s="29" t="s">
        <v>32</v>
      </c>
      <c r="E149" s="28" t="s">
        <v>506</v>
      </c>
      <c r="F149" s="28" t="s">
        <v>32</v>
      </c>
    </row>
    <row r="150" ht="22" customHeight="1" hidden="1" spans="1:6" x14ac:dyDescent="0.25" outlineLevel="1" collapsed="1">
      <c r="A150" s="34" t="s">
        <v>495</v>
      </c>
      <c r="B150" s="34"/>
      <c r="C150" s="34"/>
      <c r="D150" s="34"/>
      <c r="E150" s="34"/>
      <c r="F150" s="34"/>
    </row>
    <row r="151" ht="24" customHeight="1" hidden="1" spans="1:6" x14ac:dyDescent="0.25" outlineLevel="1" collapsed="1">
      <c r="A151" s="12" t="s">
        <v>874</v>
      </c>
      <c r="B151" s="12"/>
      <c r="C151" s="12"/>
      <c r="D151" s="12"/>
      <c r="E151" s="12"/>
      <c r="F151" s="12"/>
    </row>
    <row r="152" ht="24" customHeight="1" hidden="1" spans="1:6" x14ac:dyDescent="0.25" outlineLevel="1" collapsed="1">
      <c r="A152" s="12" t="s">
        <v>876</v>
      </c>
      <c r="B152" s="12"/>
      <c r="C152" s="12"/>
      <c r="D152" s="12"/>
      <c r="E152" s="12"/>
      <c r="F152" s="12"/>
    </row>
    <row r="153" ht="24" customHeight="1" hidden="1" spans="1:6" x14ac:dyDescent="0.25" outlineLevel="1" collapsed="1">
      <c r="A153" s="12" t="s">
        <v>870</v>
      </c>
      <c r="B153" s="12"/>
      <c r="C153" s="12"/>
      <c r="D153" s="12"/>
      <c r="E153" s="12"/>
      <c r="F153" s="12"/>
    </row>
    <row r="154" ht="6" customHeight="1" hidden="1" x14ac:dyDescent="0.25" outlineLevel="1" collapsed="1"/>
    <row r="155" ht="22" customHeight="1" spans="1:6" x14ac:dyDescent="0.25">
      <c r="A155" s="25" t="s">
        <v>861</v>
      </c>
      <c r="B155" s="25"/>
      <c r="C155" s="25"/>
      <c r="D155" s="25"/>
      <c r="E155" s="25"/>
      <c r="F155" s="25"/>
    </row>
    <row r="156" ht="20" customHeight="1" hidden="1" spans="1:6" x14ac:dyDescent="0.25" outlineLevel="1" collapsed="1">
      <c r="A156" s="26" t="s">
        <v>460</v>
      </c>
      <c r="B156" s="26" t="s">
        <v>461</v>
      </c>
      <c r="C156" s="26" t="s">
        <v>462</v>
      </c>
      <c r="D156" s="26" t="s">
        <v>32</v>
      </c>
      <c r="E156" s="26" t="s">
        <v>463</v>
      </c>
      <c r="F156" s="26" t="s">
        <v>464</v>
      </c>
    </row>
    <row r="157" ht="36" customHeight="1" hidden="1" spans="1:6" x14ac:dyDescent="0.25" outlineLevel="1" collapsed="1">
      <c r="A157" s="27">
        <v>4310</v>
      </c>
      <c r="B157" s="28" t="s">
        <v>850</v>
      </c>
      <c r="C157" s="27" t="s">
        <v>466</v>
      </c>
      <c r="D157" s="29" t="s">
        <v>32</v>
      </c>
      <c r="E157" s="36" t="s">
        <v>668</v>
      </c>
      <c r="F157" s="28" t="s">
        <v>32</v>
      </c>
    </row>
    <row r="158" ht="36" customHeight="1" hidden="1" spans="1:6" x14ac:dyDescent="0.25" outlineLevel="1" collapsed="1">
      <c r="A158" s="27">
        <v>4320</v>
      </c>
      <c r="B158" s="28" t="s">
        <v>852</v>
      </c>
      <c r="C158" s="27" t="s">
        <v>472</v>
      </c>
      <c r="D158" s="29" t="s">
        <v>32</v>
      </c>
      <c r="E158" s="28" t="s">
        <v>853</v>
      </c>
      <c r="F158" s="28" t="s">
        <v>32</v>
      </c>
    </row>
    <row r="159" ht="22" customHeight="1" hidden="1" spans="1:6" x14ac:dyDescent="0.25" outlineLevel="1" collapsed="1">
      <c r="A159" s="34" t="s">
        <v>495</v>
      </c>
      <c r="B159" s="34"/>
      <c r="C159" s="34"/>
      <c r="D159" s="34"/>
      <c r="E159" s="34"/>
      <c r="F159" s="34"/>
    </row>
    <row r="160" ht="24" customHeight="1" hidden="1" spans="1:6" x14ac:dyDescent="0.25" outlineLevel="1" collapsed="1">
      <c r="A160" s="12" t="s">
        <v>874</v>
      </c>
      <c r="B160" s="12"/>
      <c r="C160" s="12"/>
      <c r="D160" s="12"/>
      <c r="E160" s="12"/>
      <c r="F160" s="12"/>
    </row>
    <row r="161" ht="24" customHeight="1" hidden="1" spans="1:6" x14ac:dyDescent="0.25" outlineLevel="1" collapsed="1">
      <c r="A161" s="12" t="s">
        <v>866</v>
      </c>
      <c r="B161" s="12"/>
      <c r="C161" s="12"/>
      <c r="D161" s="12"/>
      <c r="E161" s="12"/>
      <c r="F161" s="12"/>
    </row>
    <row r="162" ht="24" customHeight="1" hidden="1" spans="1:6" x14ac:dyDescent="0.25" outlineLevel="1" collapsed="1">
      <c r="A162" s="12" t="s">
        <v>870</v>
      </c>
      <c r="B162" s="12"/>
      <c r="C162" s="12"/>
      <c r="D162" s="12"/>
      <c r="E162" s="12"/>
      <c r="F162" s="12"/>
    </row>
    <row r="163" ht="6" customHeight="1" hidden="1" x14ac:dyDescent="0.25" outlineLevel="1" collapsed="1"/>
    <row r="164" ht="22" customHeight="1" spans="1:6" x14ac:dyDescent="0.25">
      <c r="A164" s="25" t="s">
        <v>862</v>
      </c>
      <c r="B164" s="25"/>
      <c r="C164" s="25"/>
      <c r="D164" s="25"/>
      <c r="E164" s="25"/>
      <c r="F164" s="25"/>
    </row>
    <row r="165" ht="20" customHeight="1" hidden="1" spans="1:6" x14ac:dyDescent="0.25" outlineLevel="1" collapsed="1">
      <c r="A165" s="26" t="s">
        <v>460</v>
      </c>
      <c r="B165" s="26" t="s">
        <v>461</v>
      </c>
      <c r="C165" s="26" t="s">
        <v>462</v>
      </c>
      <c r="D165" s="26" t="s">
        <v>32</v>
      </c>
      <c r="E165" s="26" t="s">
        <v>463</v>
      </c>
      <c r="F165" s="26" t="s">
        <v>464</v>
      </c>
    </row>
    <row r="166" ht="36" customHeight="1" hidden="1" spans="1:6" x14ac:dyDescent="0.25" outlineLevel="1" collapsed="1">
      <c r="A166" s="27">
        <v>4310</v>
      </c>
      <c r="B166" s="28" t="s">
        <v>850</v>
      </c>
      <c r="C166" s="27" t="s">
        <v>466</v>
      </c>
      <c r="D166" s="29" t="s">
        <v>32</v>
      </c>
      <c r="E166" s="36" t="s">
        <v>668</v>
      </c>
      <c r="F166" s="28" t="s">
        <v>32</v>
      </c>
    </row>
    <row r="167" ht="36" customHeight="1" hidden="1" spans="1:6" x14ac:dyDescent="0.25" outlineLevel="1" collapsed="1">
      <c r="A167" s="27">
        <v>4320</v>
      </c>
      <c r="B167" s="28" t="s">
        <v>852</v>
      </c>
      <c r="C167" s="27" t="s">
        <v>472</v>
      </c>
      <c r="D167" s="29" t="s">
        <v>32</v>
      </c>
      <c r="E167" s="28" t="s">
        <v>853</v>
      </c>
      <c r="F167" s="28" t="s">
        <v>32</v>
      </c>
    </row>
    <row r="168" ht="22" customHeight="1" hidden="1" spans="1:6" x14ac:dyDescent="0.25" outlineLevel="1" collapsed="1">
      <c r="A168" s="34" t="s">
        <v>495</v>
      </c>
      <c r="B168" s="34"/>
      <c r="C168" s="34"/>
      <c r="D168" s="34"/>
      <c r="E168" s="34"/>
      <c r="F168" s="34"/>
    </row>
    <row r="169" ht="24" customHeight="1" hidden="1" spans="1:6" x14ac:dyDescent="0.25" outlineLevel="1" collapsed="1">
      <c r="A169" s="12" t="s">
        <v>874</v>
      </c>
      <c r="B169" s="12"/>
      <c r="C169" s="12"/>
      <c r="D169" s="12"/>
      <c r="E169" s="12"/>
      <c r="F169" s="12"/>
    </row>
    <row r="170" ht="24" customHeight="1" hidden="1" spans="1:6" x14ac:dyDescent="0.25" outlineLevel="1" collapsed="1">
      <c r="A170" s="12" t="s">
        <v>866</v>
      </c>
      <c r="B170" s="12"/>
      <c r="C170" s="12"/>
      <c r="D170" s="12"/>
      <c r="E170" s="12"/>
      <c r="F170" s="12"/>
    </row>
    <row r="171" ht="24" customHeight="1" hidden="1" spans="1:6" x14ac:dyDescent="0.25" outlineLevel="1" collapsed="1">
      <c r="A171" s="12" t="s">
        <v>870</v>
      </c>
      <c r="B171" s="12"/>
      <c r="C171" s="12"/>
      <c r="D171" s="12"/>
      <c r="E171" s="12"/>
      <c r="F171" s="12"/>
    </row>
    <row r="172" ht="6" customHeight="1" hidden="1" x14ac:dyDescent="0.25" outlineLevel="1" collapsed="1"/>
    <row r="173" ht="12" customHeight="1" x14ac:dyDescent="0.25"/>
    <row r="174" ht="24" customHeight="1" spans="1:6" x14ac:dyDescent="0.25">
      <c r="A174" s="24" t="s">
        <v>672</v>
      </c>
      <c r="B174" s="24"/>
      <c r="C174" s="24"/>
      <c r="D174" s="24"/>
      <c r="E174" s="24"/>
      <c r="F174" s="24"/>
    </row>
    <row r="175" ht="22" customHeight="1" spans="1:6" x14ac:dyDescent="0.25">
      <c r="A175" s="25" t="s">
        <v>824</v>
      </c>
      <c r="B175" s="25"/>
      <c r="C175" s="25"/>
      <c r="D175" s="25"/>
      <c r="E175" s="25"/>
      <c r="F175" s="25"/>
    </row>
    <row r="176" ht="20" customHeight="1" hidden="1" spans="1:6" x14ac:dyDescent="0.25" outlineLevel="1" collapsed="1">
      <c r="A176" s="26" t="s">
        <v>460</v>
      </c>
      <c r="B176" s="26" t="s">
        <v>461</v>
      </c>
      <c r="C176" s="26" t="s">
        <v>462</v>
      </c>
      <c r="D176" s="26" t="s">
        <v>32</v>
      </c>
      <c r="E176" s="26" t="s">
        <v>463</v>
      </c>
      <c r="F176" s="26" t="s">
        <v>464</v>
      </c>
    </row>
    <row r="177" ht="20" customHeight="1" hidden="1" spans="1:6" x14ac:dyDescent="0.25" outlineLevel="1" collapsed="1">
      <c r="A177" s="27">
        <v>4310</v>
      </c>
      <c r="B177" s="28" t="s">
        <v>825</v>
      </c>
      <c r="C177" s="27" t="s">
        <v>466</v>
      </c>
      <c r="D177" s="37" t="s">
        <v>32</v>
      </c>
      <c r="E177" s="38" t="s">
        <v>673</v>
      </c>
      <c r="F177" s="28" t="s">
        <v>32</v>
      </c>
    </row>
    <row r="178" ht="20" customHeight="1" hidden="1" spans="1:6" x14ac:dyDescent="0.25" outlineLevel="1" collapsed="1">
      <c r="A178" s="27">
        <v>4320</v>
      </c>
      <c r="B178" s="28" t="s">
        <v>827</v>
      </c>
      <c r="C178" s="27" t="s">
        <v>472</v>
      </c>
      <c r="D178" s="37" t="s">
        <v>32</v>
      </c>
      <c r="E178" s="38" t="s">
        <v>673</v>
      </c>
      <c r="F178" s="28" t="s">
        <v>32</v>
      </c>
    </row>
    <row r="179" ht="20" customHeight="1" hidden="1" spans="1:6" x14ac:dyDescent="0.25" outlineLevel="1" collapsed="1">
      <c r="A179" s="27">
        <v>4335</v>
      </c>
      <c r="B179" s="28" t="s">
        <v>831</v>
      </c>
      <c r="C179" s="27" t="s">
        <v>745</v>
      </c>
      <c r="D179" s="37" t="s">
        <v>32</v>
      </c>
      <c r="E179" s="38" t="s">
        <v>673</v>
      </c>
      <c r="F179" s="28" t="s">
        <v>32</v>
      </c>
    </row>
    <row r="180" ht="20" customHeight="1" hidden="1" spans="1:6" x14ac:dyDescent="0.25" outlineLevel="1" collapsed="1">
      <c r="A180" s="27">
        <v>4337</v>
      </c>
      <c r="B180" s="28" t="s">
        <v>833</v>
      </c>
      <c r="C180" s="27" t="s">
        <v>472</v>
      </c>
      <c r="D180" s="37" t="s">
        <v>32</v>
      </c>
      <c r="E180" s="38" t="s">
        <v>673</v>
      </c>
      <c r="F180" s="28" t="s">
        <v>32</v>
      </c>
    </row>
    <row r="181" ht="20" customHeight="1" hidden="1" spans="1:6" x14ac:dyDescent="0.25" outlineLevel="1" collapsed="1">
      <c r="A181" s="27">
        <v>4350</v>
      </c>
      <c r="B181" s="28" t="s">
        <v>835</v>
      </c>
      <c r="C181" s="27" t="s">
        <v>466</v>
      </c>
      <c r="D181" s="37" t="s">
        <v>32</v>
      </c>
      <c r="E181" s="38" t="s">
        <v>673</v>
      </c>
      <c r="F181" s="28" t="s">
        <v>32</v>
      </c>
    </row>
    <row r="182" ht="22" customHeight="1" hidden="1" spans="1:6" x14ac:dyDescent="0.25" outlineLevel="1" collapsed="1">
      <c r="A182" s="34" t="s">
        <v>495</v>
      </c>
      <c r="B182" s="34"/>
      <c r="C182" s="34"/>
      <c r="D182" s="34"/>
      <c r="E182" s="34"/>
      <c r="F182" s="34"/>
    </row>
    <row r="183" ht="6" customHeight="1" hidden="1" x14ac:dyDescent="0.25" outlineLevel="1" collapsed="1"/>
    <row r="184" ht="22" customHeight="1" spans="1:6" x14ac:dyDescent="0.25">
      <c r="A184" s="25" t="s">
        <v>843</v>
      </c>
      <c r="B184" s="25"/>
      <c r="C184" s="25"/>
      <c r="D184" s="25"/>
      <c r="E184" s="25"/>
      <c r="F184" s="25"/>
    </row>
    <row r="185" ht="20" customHeight="1" hidden="1" spans="1:6" x14ac:dyDescent="0.25" outlineLevel="1" collapsed="1">
      <c r="A185" s="26" t="s">
        <v>460</v>
      </c>
      <c r="B185" s="26" t="s">
        <v>461</v>
      </c>
      <c r="C185" s="26" t="s">
        <v>462</v>
      </c>
      <c r="D185" s="26" t="s">
        <v>32</v>
      </c>
      <c r="E185" s="26" t="s">
        <v>463</v>
      </c>
      <c r="F185" s="26" t="s">
        <v>464</v>
      </c>
    </row>
    <row r="186" ht="20" customHeight="1" hidden="1" spans="1:6" x14ac:dyDescent="0.25" outlineLevel="1" collapsed="1">
      <c r="A186" s="27">
        <v>4310</v>
      </c>
      <c r="B186" s="28" t="s">
        <v>844</v>
      </c>
      <c r="C186" s="27" t="s">
        <v>466</v>
      </c>
      <c r="D186" s="37" t="s">
        <v>32</v>
      </c>
      <c r="E186" s="38" t="s">
        <v>673</v>
      </c>
      <c r="F186" s="28" t="s">
        <v>32</v>
      </c>
    </row>
    <row r="187" ht="20" customHeight="1" hidden="1" spans="1:6" x14ac:dyDescent="0.25" outlineLevel="1" collapsed="1">
      <c r="A187" s="27">
        <v>4320</v>
      </c>
      <c r="B187" s="28" t="s">
        <v>845</v>
      </c>
      <c r="C187" s="27" t="s">
        <v>472</v>
      </c>
      <c r="D187" s="37" t="s">
        <v>32</v>
      </c>
      <c r="E187" s="38" t="s">
        <v>673</v>
      </c>
      <c r="F187" s="28" t="s">
        <v>32</v>
      </c>
    </row>
    <row r="188" ht="22" customHeight="1" hidden="1" spans="1:6" x14ac:dyDescent="0.25" outlineLevel="1" collapsed="1">
      <c r="A188" s="34" t="s">
        <v>495</v>
      </c>
      <c r="B188" s="34"/>
      <c r="C188" s="34"/>
      <c r="D188" s="34"/>
      <c r="E188" s="34"/>
      <c r="F188" s="34"/>
    </row>
    <row r="189" ht="6" customHeight="1" hidden="1" x14ac:dyDescent="0.25" outlineLevel="1" collapsed="1"/>
    <row r="190" ht="22" customHeight="1" spans="1:6" x14ac:dyDescent="0.25">
      <c r="A190" s="25" t="s">
        <v>849</v>
      </c>
      <c r="B190" s="25"/>
      <c r="C190" s="25"/>
      <c r="D190" s="25"/>
      <c r="E190" s="25"/>
      <c r="F190" s="25"/>
    </row>
    <row r="191" ht="20" customHeight="1" hidden="1" spans="1:6" x14ac:dyDescent="0.25" outlineLevel="1" collapsed="1">
      <c r="A191" s="26" t="s">
        <v>460</v>
      </c>
      <c r="B191" s="26" t="s">
        <v>461</v>
      </c>
      <c r="C191" s="26" t="s">
        <v>462</v>
      </c>
      <c r="D191" s="26" t="s">
        <v>32</v>
      </c>
      <c r="E191" s="26" t="s">
        <v>463</v>
      </c>
      <c r="F191" s="26" t="s">
        <v>464</v>
      </c>
    </row>
    <row r="192" ht="20" customHeight="1" hidden="1" spans="1:6" x14ac:dyDescent="0.25" outlineLevel="1" collapsed="1">
      <c r="A192" s="27">
        <v>4310</v>
      </c>
      <c r="B192" s="28" t="s">
        <v>850</v>
      </c>
      <c r="C192" s="27" t="s">
        <v>466</v>
      </c>
      <c r="D192" s="37" t="s">
        <v>32</v>
      </c>
      <c r="E192" s="38" t="s">
        <v>673</v>
      </c>
      <c r="F192" s="28" t="s">
        <v>32</v>
      </c>
    </row>
    <row r="193" ht="20" customHeight="1" hidden="1" spans="1:6" x14ac:dyDescent="0.25" outlineLevel="1" collapsed="1">
      <c r="A193" s="27">
        <v>4320</v>
      </c>
      <c r="B193" s="28" t="s">
        <v>852</v>
      </c>
      <c r="C193" s="27" t="s">
        <v>472</v>
      </c>
      <c r="D193" s="37" t="s">
        <v>32</v>
      </c>
      <c r="E193" s="38" t="s">
        <v>673</v>
      </c>
      <c r="F193" s="28" t="s">
        <v>32</v>
      </c>
    </row>
    <row r="194" ht="22" customHeight="1" hidden="1" spans="1:6" x14ac:dyDescent="0.25" outlineLevel="1" collapsed="1">
      <c r="A194" s="34" t="s">
        <v>495</v>
      </c>
      <c r="B194" s="34"/>
      <c r="C194" s="34"/>
      <c r="D194" s="34"/>
      <c r="E194" s="34"/>
      <c r="F194" s="34"/>
    </row>
    <row r="195" ht="6" customHeight="1" hidden="1" x14ac:dyDescent="0.25" outlineLevel="1" collapsed="1"/>
    <row r="196" ht="22" customHeight="1" spans="1:6" x14ac:dyDescent="0.25">
      <c r="A196" s="25" t="s">
        <v>856</v>
      </c>
      <c r="B196" s="25"/>
      <c r="C196" s="25"/>
      <c r="D196" s="25"/>
      <c r="E196" s="25"/>
      <c r="F196" s="25"/>
    </row>
    <row r="197" ht="20" customHeight="1" hidden="1" spans="1:6" x14ac:dyDescent="0.25" outlineLevel="1" collapsed="1">
      <c r="A197" s="26" t="s">
        <v>460</v>
      </c>
      <c r="B197" s="26" t="s">
        <v>461</v>
      </c>
      <c r="C197" s="26" t="s">
        <v>462</v>
      </c>
      <c r="D197" s="26" t="s">
        <v>32</v>
      </c>
      <c r="E197" s="26" t="s">
        <v>463</v>
      </c>
      <c r="F197" s="26" t="s">
        <v>464</v>
      </c>
    </row>
    <row r="198" ht="20" customHeight="1" hidden="1" spans="1:6" x14ac:dyDescent="0.25" outlineLevel="1" collapsed="1">
      <c r="A198" s="27">
        <v>4310</v>
      </c>
      <c r="B198" s="28" t="s">
        <v>850</v>
      </c>
      <c r="C198" s="27" t="s">
        <v>466</v>
      </c>
      <c r="D198" s="37" t="s">
        <v>32</v>
      </c>
      <c r="E198" s="38" t="s">
        <v>673</v>
      </c>
      <c r="F198" s="28" t="s">
        <v>32</v>
      </c>
    </row>
    <row r="199" ht="20" customHeight="1" hidden="1" spans="1:6" x14ac:dyDescent="0.25" outlineLevel="1" collapsed="1">
      <c r="A199" s="27">
        <v>4320</v>
      </c>
      <c r="B199" s="28" t="s">
        <v>852</v>
      </c>
      <c r="C199" s="27" t="s">
        <v>472</v>
      </c>
      <c r="D199" s="37" t="s">
        <v>32</v>
      </c>
      <c r="E199" s="38" t="s">
        <v>673</v>
      </c>
      <c r="F199" s="28" t="s">
        <v>32</v>
      </c>
    </row>
    <row r="200" ht="22" customHeight="1" hidden="1" spans="1:6" x14ac:dyDescent="0.25" outlineLevel="1" collapsed="1">
      <c r="A200" s="34" t="s">
        <v>495</v>
      </c>
      <c r="B200" s="34"/>
      <c r="C200" s="34"/>
      <c r="D200" s="34"/>
      <c r="E200" s="34"/>
      <c r="F200" s="34"/>
    </row>
    <row r="201" ht="6" customHeight="1" hidden="1" x14ac:dyDescent="0.25" outlineLevel="1" collapsed="1"/>
    <row r="202" ht="22" customHeight="1" spans="1:6" x14ac:dyDescent="0.25">
      <c r="A202" s="25" t="s">
        <v>859</v>
      </c>
      <c r="B202" s="25"/>
      <c r="C202" s="25"/>
      <c r="D202" s="25"/>
      <c r="E202" s="25"/>
      <c r="F202" s="25"/>
    </row>
    <row r="203" ht="20" customHeight="1" hidden="1" spans="1:6" x14ac:dyDescent="0.25" outlineLevel="1" collapsed="1">
      <c r="A203" s="26" t="s">
        <v>460</v>
      </c>
      <c r="B203" s="26" t="s">
        <v>461</v>
      </c>
      <c r="C203" s="26" t="s">
        <v>462</v>
      </c>
      <c r="D203" s="26" t="s">
        <v>32</v>
      </c>
      <c r="E203" s="26" t="s">
        <v>463</v>
      </c>
      <c r="F203" s="26" t="s">
        <v>464</v>
      </c>
    </row>
    <row r="204" ht="20" customHeight="1" hidden="1" spans="1:6" x14ac:dyDescent="0.25" outlineLevel="1" collapsed="1">
      <c r="A204" s="27">
        <v>4310</v>
      </c>
      <c r="B204" s="28" t="s">
        <v>850</v>
      </c>
      <c r="C204" s="27" t="s">
        <v>466</v>
      </c>
      <c r="D204" s="37" t="s">
        <v>32</v>
      </c>
      <c r="E204" s="38" t="s">
        <v>673</v>
      </c>
      <c r="F204" s="28" t="s">
        <v>32</v>
      </c>
    </row>
    <row r="205" ht="20" customHeight="1" hidden="1" spans="1:6" x14ac:dyDescent="0.25" outlineLevel="1" collapsed="1">
      <c r="A205" s="27">
        <v>4320</v>
      </c>
      <c r="B205" s="28" t="s">
        <v>852</v>
      </c>
      <c r="C205" s="27" t="s">
        <v>472</v>
      </c>
      <c r="D205" s="37" t="s">
        <v>32</v>
      </c>
      <c r="E205" s="38" t="s">
        <v>673</v>
      </c>
      <c r="F205" s="28" t="s">
        <v>32</v>
      </c>
    </row>
    <row r="206" ht="22" customHeight="1" hidden="1" spans="1:6" x14ac:dyDescent="0.25" outlineLevel="1" collapsed="1">
      <c r="A206" s="34" t="s">
        <v>495</v>
      </c>
      <c r="B206" s="34"/>
      <c r="C206" s="34"/>
      <c r="D206" s="34"/>
      <c r="E206" s="34"/>
      <c r="F206" s="34"/>
    </row>
    <row r="207" ht="6" customHeight="1" hidden="1" x14ac:dyDescent="0.25" outlineLevel="1" collapsed="1"/>
    <row r="208" ht="22" customHeight="1" spans="1:6" x14ac:dyDescent="0.25">
      <c r="A208" s="25" t="s">
        <v>861</v>
      </c>
      <c r="B208" s="25"/>
      <c r="C208" s="25"/>
      <c r="D208" s="25"/>
      <c r="E208" s="25"/>
      <c r="F208" s="25"/>
    </row>
    <row r="209" ht="20" customHeight="1" hidden="1" spans="1:6" x14ac:dyDescent="0.25" outlineLevel="1" collapsed="1">
      <c r="A209" s="26" t="s">
        <v>460</v>
      </c>
      <c r="B209" s="26" t="s">
        <v>461</v>
      </c>
      <c r="C209" s="26" t="s">
        <v>462</v>
      </c>
      <c r="D209" s="26" t="s">
        <v>32</v>
      </c>
      <c r="E209" s="26" t="s">
        <v>463</v>
      </c>
      <c r="F209" s="26" t="s">
        <v>464</v>
      </c>
    </row>
    <row r="210" ht="20" customHeight="1" hidden="1" spans="1:6" x14ac:dyDescent="0.25" outlineLevel="1" collapsed="1">
      <c r="A210" s="27">
        <v>4310</v>
      </c>
      <c r="B210" s="28" t="s">
        <v>850</v>
      </c>
      <c r="C210" s="27" t="s">
        <v>466</v>
      </c>
      <c r="D210" s="37" t="s">
        <v>32</v>
      </c>
      <c r="E210" s="38" t="s">
        <v>673</v>
      </c>
      <c r="F210" s="28" t="s">
        <v>32</v>
      </c>
    </row>
    <row r="211" ht="20" customHeight="1" hidden="1" spans="1:6" x14ac:dyDescent="0.25" outlineLevel="1" collapsed="1">
      <c r="A211" s="27">
        <v>4320</v>
      </c>
      <c r="B211" s="28" t="s">
        <v>852</v>
      </c>
      <c r="C211" s="27" t="s">
        <v>472</v>
      </c>
      <c r="D211" s="37" t="s">
        <v>32</v>
      </c>
      <c r="E211" s="38" t="s">
        <v>673</v>
      </c>
      <c r="F211" s="28" t="s">
        <v>32</v>
      </c>
    </row>
    <row r="212" ht="22" customHeight="1" hidden="1" spans="1:6" x14ac:dyDescent="0.25" outlineLevel="1" collapsed="1">
      <c r="A212" s="34" t="s">
        <v>495</v>
      </c>
      <c r="B212" s="34"/>
      <c r="C212" s="34"/>
      <c r="D212" s="34"/>
      <c r="E212" s="34"/>
      <c r="F212" s="34"/>
    </row>
    <row r="213" ht="6" customHeight="1" hidden="1" x14ac:dyDescent="0.25" outlineLevel="1" collapsed="1"/>
    <row r="214" ht="22" customHeight="1" spans="1:6" x14ac:dyDescent="0.25">
      <c r="A214" s="25" t="s">
        <v>862</v>
      </c>
      <c r="B214" s="25"/>
      <c r="C214" s="25"/>
      <c r="D214" s="25"/>
      <c r="E214" s="25"/>
      <c r="F214" s="25"/>
    </row>
    <row r="215" ht="20" customHeight="1" hidden="1" spans="1:6" x14ac:dyDescent="0.25" outlineLevel="1" collapsed="1">
      <c r="A215" s="26" t="s">
        <v>460</v>
      </c>
      <c r="B215" s="26" t="s">
        <v>461</v>
      </c>
      <c r="C215" s="26" t="s">
        <v>462</v>
      </c>
      <c r="D215" s="26" t="s">
        <v>32</v>
      </c>
      <c r="E215" s="26" t="s">
        <v>463</v>
      </c>
      <c r="F215" s="26" t="s">
        <v>464</v>
      </c>
    </row>
    <row r="216" ht="20" customHeight="1" hidden="1" spans="1:6" x14ac:dyDescent="0.25" outlineLevel="1" collapsed="1">
      <c r="A216" s="27">
        <v>4310</v>
      </c>
      <c r="B216" s="28" t="s">
        <v>850</v>
      </c>
      <c r="C216" s="27" t="s">
        <v>466</v>
      </c>
      <c r="D216" s="37" t="s">
        <v>32</v>
      </c>
      <c r="E216" s="38" t="s">
        <v>673</v>
      </c>
      <c r="F216" s="28" t="s">
        <v>32</v>
      </c>
    </row>
    <row r="217" ht="20" customHeight="1" hidden="1" spans="1:6" x14ac:dyDescent="0.25" outlineLevel="1" collapsed="1">
      <c r="A217" s="27">
        <v>4320</v>
      </c>
      <c r="B217" s="28" t="s">
        <v>852</v>
      </c>
      <c r="C217" s="27" t="s">
        <v>472</v>
      </c>
      <c r="D217" s="37" t="s">
        <v>32</v>
      </c>
      <c r="E217" s="38" t="s">
        <v>673</v>
      </c>
      <c r="F217" s="28" t="s">
        <v>32</v>
      </c>
    </row>
    <row r="218" ht="22" customHeight="1" hidden="1" spans="1:6" x14ac:dyDescent="0.25" outlineLevel="1" collapsed="1">
      <c r="A218" s="34" t="s">
        <v>495</v>
      </c>
      <c r="B218" s="34"/>
      <c r="C218" s="34"/>
      <c r="D218" s="34"/>
      <c r="E218" s="34"/>
      <c r="F218" s="34"/>
    </row>
    <row r="219" ht="6" customHeight="1" hidden="1" x14ac:dyDescent="0.25" outlineLevel="1" collapsed="1"/>
    <row r="220" ht="12" customHeight="1" x14ac:dyDescent="0.25"/>
    <row r="221" ht="24" customHeight="1" spans="1:6" x14ac:dyDescent="0.25">
      <c r="A221" s="24" t="s">
        <v>674</v>
      </c>
      <c r="B221" s="24"/>
      <c r="C221" s="24"/>
      <c r="D221" s="24"/>
      <c r="E221" s="24"/>
      <c r="F221" s="24"/>
    </row>
    <row r="222" ht="22" customHeight="1" spans="1:6" x14ac:dyDescent="0.25">
      <c r="A222" s="25" t="s">
        <v>824</v>
      </c>
      <c r="B222" s="25"/>
      <c r="C222" s="25"/>
      <c r="D222" s="25"/>
      <c r="E222" s="25"/>
      <c r="F222" s="25"/>
    </row>
    <row r="223" ht="20" customHeight="1" hidden="1" spans="1:6" x14ac:dyDescent="0.25" outlineLevel="1" collapsed="1">
      <c r="A223" s="26" t="s">
        <v>460</v>
      </c>
      <c r="B223" s="26" t="s">
        <v>461</v>
      </c>
      <c r="C223" s="26" t="s">
        <v>462</v>
      </c>
      <c r="D223" s="26" t="s">
        <v>32</v>
      </c>
      <c r="E223" s="26" t="s">
        <v>463</v>
      </c>
      <c r="F223" s="26" t="s">
        <v>464</v>
      </c>
    </row>
    <row r="224" ht="36" customHeight="1" hidden="1" spans="1:6" x14ac:dyDescent="0.25" outlineLevel="1" collapsed="1">
      <c r="A224" s="27">
        <v>4310</v>
      </c>
      <c r="B224" s="28" t="s">
        <v>825</v>
      </c>
      <c r="C224" s="27" t="s">
        <v>466</v>
      </c>
      <c r="D224" s="29" t="s">
        <v>32</v>
      </c>
      <c r="E224" s="28" t="s">
        <v>676</v>
      </c>
      <c r="F224" s="28" t="s">
        <v>32</v>
      </c>
    </row>
    <row r="225" ht="36" customHeight="1" hidden="1" spans="1:6" x14ac:dyDescent="0.25" outlineLevel="1" collapsed="1">
      <c r="A225" s="27">
        <v>4320</v>
      </c>
      <c r="B225" s="28" t="s">
        <v>827</v>
      </c>
      <c r="C225" s="27" t="s">
        <v>472</v>
      </c>
      <c r="D225" s="29" t="s">
        <v>32</v>
      </c>
      <c r="E225" s="28" t="s">
        <v>853</v>
      </c>
      <c r="F225" s="28" t="s">
        <v>32</v>
      </c>
    </row>
    <row r="226" ht="66" customHeight="1" hidden="1" spans="1:6" x14ac:dyDescent="0.25" outlineLevel="1" collapsed="1">
      <c r="A226" s="27">
        <v>4335</v>
      </c>
      <c r="B226" s="28" t="s">
        <v>831</v>
      </c>
      <c r="C226" s="27" t="s">
        <v>745</v>
      </c>
      <c r="D226" s="29" t="s">
        <v>32</v>
      </c>
      <c r="E226" s="28" t="s">
        <v>832</v>
      </c>
      <c r="F226" s="28" t="s">
        <v>32</v>
      </c>
    </row>
    <row r="227" ht="51" customHeight="1" hidden="1" spans="1:6" x14ac:dyDescent="0.25" outlineLevel="1" collapsed="1">
      <c r="A227" s="27">
        <v>4337</v>
      </c>
      <c r="B227" s="28" t="s">
        <v>833</v>
      </c>
      <c r="C227" s="27" t="s">
        <v>472</v>
      </c>
      <c r="D227" s="29" t="s">
        <v>32</v>
      </c>
      <c r="E227" s="36" t="s">
        <v>699</v>
      </c>
      <c r="F227" s="28" t="s">
        <v>32</v>
      </c>
    </row>
    <row r="228" ht="36" customHeight="1" hidden="1" spans="1:6" x14ac:dyDescent="0.25" outlineLevel="1" collapsed="1">
      <c r="A228" s="27">
        <v>4350</v>
      </c>
      <c r="B228" s="28" t="s">
        <v>835</v>
      </c>
      <c r="C228" s="27" t="s">
        <v>466</v>
      </c>
      <c r="D228" s="29" t="s">
        <v>32</v>
      </c>
      <c r="E228" s="28" t="s">
        <v>877</v>
      </c>
      <c r="F228" s="28" t="s">
        <v>32</v>
      </c>
    </row>
    <row r="229" ht="22" customHeight="1" hidden="1" spans="1:6" x14ac:dyDescent="0.25" outlineLevel="1" collapsed="1">
      <c r="A229" s="34" t="s">
        <v>495</v>
      </c>
      <c r="B229" s="34"/>
      <c r="C229" s="34"/>
      <c r="D229" s="34"/>
      <c r="E229" s="34"/>
      <c r="F229" s="34"/>
    </row>
    <row r="230" ht="24" customHeight="1" hidden="1" spans="1:6" x14ac:dyDescent="0.25" outlineLevel="1" collapsed="1">
      <c r="A230" s="12" t="s">
        <v>878</v>
      </c>
      <c r="B230" s="12"/>
      <c r="C230" s="12"/>
      <c r="D230" s="12"/>
      <c r="E230" s="12"/>
      <c r="F230" s="12"/>
    </row>
    <row r="231" ht="24" customHeight="1" hidden="1" spans="1:6" x14ac:dyDescent="0.25" outlineLevel="1" collapsed="1">
      <c r="A231" s="12" t="s">
        <v>879</v>
      </c>
      <c r="B231" s="12"/>
      <c r="C231" s="12"/>
      <c r="D231" s="12"/>
      <c r="E231" s="12"/>
      <c r="F231" s="12"/>
    </row>
    <row r="232" ht="24" customHeight="1" hidden="1" spans="1:6" x14ac:dyDescent="0.25" outlineLevel="1" collapsed="1">
      <c r="A232" s="12" t="s">
        <v>880</v>
      </c>
      <c r="B232" s="12"/>
      <c r="C232" s="12"/>
      <c r="D232" s="12"/>
      <c r="E232" s="12"/>
      <c r="F232" s="12"/>
    </row>
    <row r="233" ht="24" customHeight="1" hidden="1" spans="1:6" x14ac:dyDescent="0.25" outlineLevel="1" collapsed="1">
      <c r="A233" s="12" t="s">
        <v>881</v>
      </c>
      <c r="B233" s="12"/>
      <c r="C233" s="12"/>
      <c r="D233" s="12"/>
      <c r="E233" s="12"/>
      <c r="F233" s="12"/>
    </row>
    <row r="234" ht="24" customHeight="1" hidden="1" spans="1:6" x14ac:dyDescent="0.25" outlineLevel="1" collapsed="1">
      <c r="A234" s="12" t="s">
        <v>882</v>
      </c>
      <c r="B234" s="12"/>
      <c r="C234" s="12"/>
      <c r="D234" s="12"/>
      <c r="E234" s="12"/>
      <c r="F234" s="12"/>
    </row>
    <row r="235" ht="24" customHeight="1" hidden="1" spans="1:6" x14ac:dyDescent="0.25" outlineLevel="1" collapsed="1">
      <c r="A235" s="12" t="s">
        <v>883</v>
      </c>
      <c r="B235" s="12"/>
      <c r="C235" s="12"/>
      <c r="D235" s="12"/>
      <c r="E235" s="12"/>
      <c r="F235" s="12"/>
    </row>
    <row r="236" ht="6" customHeight="1" hidden="1" x14ac:dyDescent="0.25" outlineLevel="1" collapsed="1"/>
    <row r="237" ht="22" customHeight="1" spans="1:6" x14ac:dyDescent="0.25">
      <c r="A237" s="25" t="s">
        <v>843</v>
      </c>
      <c r="B237" s="25"/>
      <c r="C237" s="25"/>
      <c r="D237" s="25"/>
      <c r="E237" s="25"/>
      <c r="F237" s="25"/>
    </row>
    <row r="238" ht="20" customHeight="1" hidden="1" spans="1:6" x14ac:dyDescent="0.25" outlineLevel="1" collapsed="1">
      <c r="A238" s="26" t="s">
        <v>460</v>
      </c>
      <c r="B238" s="26" t="s">
        <v>461</v>
      </c>
      <c r="C238" s="26" t="s">
        <v>462</v>
      </c>
      <c r="D238" s="26" t="s">
        <v>32</v>
      </c>
      <c r="E238" s="26" t="s">
        <v>463</v>
      </c>
      <c r="F238" s="26" t="s">
        <v>464</v>
      </c>
    </row>
    <row r="239" ht="51" customHeight="1" hidden="1" spans="1:6" x14ac:dyDescent="0.25" outlineLevel="1" collapsed="1">
      <c r="A239" s="27">
        <v>4310</v>
      </c>
      <c r="B239" s="28" t="s">
        <v>844</v>
      </c>
      <c r="C239" s="27" t="s">
        <v>466</v>
      </c>
      <c r="D239" s="29" t="s">
        <v>32</v>
      </c>
      <c r="E239" s="28" t="s">
        <v>685</v>
      </c>
      <c r="F239" s="28" t="s">
        <v>686</v>
      </c>
    </row>
    <row r="240" ht="21" customHeight="1" hidden="1" spans="1:6" x14ac:dyDescent="0.25" outlineLevel="1" collapsed="1">
      <c r="A240" s="30" t="s">
        <v>32</v>
      </c>
      <c r="B240" s="17" t="s">
        <v>32</v>
      </c>
      <c r="C240" s="30" t="s">
        <v>32</v>
      </c>
      <c r="D240" s="31" t="s">
        <v>32</v>
      </c>
      <c r="E240" s="17" t="s">
        <v>687</v>
      </c>
      <c r="F240" s="17" t="s">
        <v>32</v>
      </c>
    </row>
    <row r="241" ht="21" customHeight="1" hidden="1" spans="1:6" x14ac:dyDescent="0.25" outlineLevel="1" collapsed="1">
      <c r="A241" s="32" t="s">
        <v>32</v>
      </c>
      <c r="B241" s="12" t="s">
        <v>32</v>
      </c>
      <c r="C241" s="32" t="s">
        <v>32</v>
      </c>
      <c r="D241" s="31" t="s">
        <v>32</v>
      </c>
      <c r="E241" s="33" t="s">
        <v>688</v>
      </c>
      <c r="F241" s="12" t="s">
        <v>32</v>
      </c>
    </row>
    <row r="242" ht="51" customHeight="1" hidden="1" spans="1:6" x14ac:dyDescent="0.25" outlineLevel="1" collapsed="1">
      <c r="A242" s="27">
        <v>4320</v>
      </c>
      <c r="B242" s="28" t="s">
        <v>845</v>
      </c>
      <c r="C242" s="27" t="s">
        <v>472</v>
      </c>
      <c r="D242" s="29" t="s">
        <v>32</v>
      </c>
      <c r="E242" s="28" t="s">
        <v>518</v>
      </c>
      <c r="F242" s="28" t="s">
        <v>32</v>
      </c>
    </row>
    <row r="243" ht="22" customHeight="1" hidden="1" spans="1:6" x14ac:dyDescent="0.25" outlineLevel="1" collapsed="1">
      <c r="A243" s="34" t="s">
        <v>495</v>
      </c>
      <c r="B243" s="34"/>
      <c r="C243" s="34"/>
      <c r="D243" s="34"/>
      <c r="E243" s="34"/>
      <c r="F243" s="34"/>
    </row>
    <row r="244" ht="24" customHeight="1" hidden="1" spans="1:6" x14ac:dyDescent="0.25" outlineLevel="1" collapsed="1">
      <c r="A244" s="12" t="s">
        <v>884</v>
      </c>
      <c r="B244" s="12"/>
      <c r="C244" s="12"/>
      <c r="D244" s="12"/>
      <c r="E244" s="12"/>
      <c r="F244" s="12"/>
    </row>
    <row r="245" ht="24" customHeight="1" hidden="1" spans="1:6" x14ac:dyDescent="0.25" outlineLevel="1" collapsed="1">
      <c r="A245" s="12" t="s">
        <v>885</v>
      </c>
      <c r="B245" s="12"/>
      <c r="C245" s="12"/>
      <c r="D245" s="12"/>
      <c r="E245" s="12"/>
      <c r="F245" s="12"/>
    </row>
    <row r="246" ht="24" customHeight="1" hidden="1" spans="1:6" x14ac:dyDescent="0.25" outlineLevel="1" collapsed="1">
      <c r="A246" s="12" t="s">
        <v>883</v>
      </c>
      <c r="B246" s="12"/>
      <c r="C246" s="12"/>
      <c r="D246" s="12"/>
      <c r="E246" s="12"/>
      <c r="F246" s="12"/>
    </row>
    <row r="247" ht="6" customHeight="1" hidden="1" x14ac:dyDescent="0.25" outlineLevel="1" collapsed="1"/>
    <row r="248" ht="22" customHeight="1" spans="1:6" x14ac:dyDescent="0.25">
      <c r="A248" s="25" t="s">
        <v>849</v>
      </c>
      <c r="B248" s="25"/>
      <c r="C248" s="25"/>
      <c r="D248" s="25"/>
      <c r="E248" s="25"/>
      <c r="F248" s="25"/>
    </row>
    <row r="249" ht="20" customHeight="1" hidden="1" spans="1:6" x14ac:dyDescent="0.25" outlineLevel="1" collapsed="1">
      <c r="A249" s="26" t="s">
        <v>460</v>
      </c>
      <c r="B249" s="26" t="s">
        <v>461</v>
      </c>
      <c r="C249" s="26" t="s">
        <v>462</v>
      </c>
      <c r="D249" s="26" t="s">
        <v>32</v>
      </c>
      <c r="E249" s="26" t="s">
        <v>463</v>
      </c>
      <c r="F249" s="26" t="s">
        <v>464</v>
      </c>
    </row>
    <row r="250" ht="36" customHeight="1" hidden="1" spans="1:6" x14ac:dyDescent="0.25" outlineLevel="1" collapsed="1">
      <c r="A250" s="27">
        <v>4310</v>
      </c>
      <c r="B250" s="28" t="s">
        <v>850</v>
      </c>
      <c r="C250" s="27" t="s">
        <v>466</v>
      </c>
      <c r="D250" s="29" t="s">
        <v>32</v>
      </c>
      <c r="E250" s="36" t="s">
        <v>699</v>
      </c>
      <c r="F250" s="28" t="s">
        <v>32</v>
      </c>
    </row>
    <row r="251" ht="36" customHeight="1" hidden="1" spans="1:6" x14ac:dyDescent="0.25" outlineLevel="1" collapsed="1">
      <c r="A251" s="27">
        <v>4320</v>
      </c>
      <c r="B251" s="28" t="s">
        <v>852</v>
      </c>
      <c r="C251" s="27" t="s">
        <v>472</v>
      </c>
      <c r="D251" s="29" t="s">
        <v>32</v>
      </c>
      <c r="E251" s="36" t="s">
        <v>699</v>
      </c>
      <c r="F251" s="28" t="s">
        <v>32</v>
      </c>
    </row>
    <row r="252" ht="22" customHeight="1" hidden="1" spans="1:6" x14ac:dyDescent="0.25" outlineLevel="1" collapsed="1">
      <c r="A252" s="34" t="s">
        <v>495</v>
      </c>
      <c r="B252" s="34"/>
      <c r="C252" s="34"/>
      <c r="D252" s="34"/>
      <c r="E252" s="34"/>
      <c r="F252" s="34"/>
    </row>
    <row r="253" ht="24" customHeight="1" hidden="1" spans="1:6" x14ac:dyDescent="0.25" outlineLevel="1" collapsed="1">
      <c r="A253" s="12" t="s">
        <v>886</v>
      </c>
      <c r="B253" s="12"/>
      <c r="C253" s="12"/>
      <c r="D253" s="12"/>
      <c r="E253" s="12"/>
      <c r="F253" s="12"/>
    </row>
    <row r="254" ht="24" customHeight="1" hidden="1" spans="1:6" x14ac:dyDescent="0.25" outlineLevel="1" collapsed="1">
      <c r="A254" s="12" t="s">
        <v>887</v>
      </c>
      <c r="B254" s="12"/>
      <c r="C254" s="12"/>
      <c r="D254" s="12"/>
      <c r="E254" s="12"/>
      <c r="F254" s="12"/>
    </row>
    <row r="255" ht="24" customHeight="1" hidden="1" spans="1:6" x14ac:dyDescent="0.25" outlineLevel="1" collapsed="1">
      <c r="A255" s="12" t="s">
        <v>883</v>
      </c>
      <c r="B255" s="12"/>
      <c r="C255" s="12"/>
      <c r="D255" s="12"/>
      <c r="E255" s="12"/>
      <c r="F255" s="12"/>
    </row>
    <row r="256" ht="6" customHeight="1" hidden="1" x14ac:dyDescent="0.25" outlineLevel="1" collapsed="1"/>
    <row r="257" ht="22" customHeight="1" spans="1:6" x14ac:dyDescent="0.25">
      <c r="A257" s="25" t="s">
        <v>856</v>
      </c>
      <c r="B257" s="25"/>
      <c r="C257" s="25"/>
      <c r="D257" s="25"/>
      <c r="E257" s="25"/>
      <c r="F257" s="25"/>
    </row>
    <row r="258" ht="20" customHeight="1" hidden="1" spans="1:6" x14ac:dyDescent="0.25" outlineLevel="1" collapsed="1">
      <c r="A258" s="26" t="s">
        <v>460</v>
      </c>
      <c r="B258" s="26" t="s">
        <v>461</v>
      </c>
      <c r="C258" s="26" t="s">
        <v>462</v>
      </c>
      <c r="D258" s="26" t="s">
        <v>32</v>
      </c>
      <c r="E258" s="26" t="s">
        <v>463</v>
      </c>
      <c r="F258" s="26" t="s">
        <v>464</v>
      </c>
    </row>
    <row r="259" ht="36" customHeight="1" hidden="1" spans="1:6" x14ac:dyDescent="0.25" outlineLevel="1" collapsed="1">
      <c r="A259" s="27">
        <v>4310</v>
      </c>
      <c r="B259" s="28" t="s">
        <v>850</v>
      </c>
      <c r="C259" s="27" t="s">
        <v>466</v>
      </c>
      <c r="D259" s="29" t="s">
        <v>32</v>
      </c>
      <c r="E259" s="28" t="s">
        <v>676</v>
      </c>
      <c r="F259" s="28" t="s">
        <v>32</v>
      </c>
    </row>
    <row r="260" ht="36" customHeight="1" hidden="1" spans="1:6" x14ac:dyDescent="0.25" outlineLevel="1" collapsed="1">
      <c r="A260" s="27">
        <v>4320</v>
      </c>
      <c r="B260" s="28" t="s">
        <v>852</v>
      </c>
      <c r="C260" s="27" t="s">
        <v>472</v>
      </c>
      <c r="D260" s="29" t="s">
        <v>32</v>
      </c>
      <c r="E260" s="28" t="s">
        <v>712</v>
      </c>
      <c r="F260" s="28" t="s">
        <v>32</v>
      </c>
    </row>
    <row r="261" ht="22" customHeight="1" hidden="1" spans="1:6" x14ac:dyDescent="0.25" outlineLevel="1" collapsed="1">
      <c r="A261" s="34" t="s">
        <v>495</v>
      </c>
      <c r="B261" s="34"/>
      <c r="C261" s="34"/>
      <c r="D261" s="34"/>
      <c r="E261" s="34"/>
      <c r="F261" s="34"/>
    </row>
    <row r="262" ht="24" customHeight="1" hidden="1" spans="1:6" x14ac:dyDescent="0.25" outlineLevel="1" collapsed="1">
      <c r="A262" s="12" t="s">
        <v>878</v>
      </c>
      <c r="B262" s="12"/>
      <c r="C262" s="12"/>
      <c r="D262" s="12"/>
      <c r="E262" s="12"/>
      <c r="F262" s="12"/>
    </row>
    <row r="263" ht="24" customHeight="1" hidden="1" spans="1:6" x14ac:dyDescent="0.25" outlineLevel="1" collapsed="1">
      <c r="A263" s="12" t="s">
        <v>888</v>
      </c>
      <c r="B263" s="12"/>
      <c r="C263" s="12"/>
      <c r="D263" s="12"/>
      <c r="E263" s="12"/>
      <c r="F263" s="12"/>
    </row>
    <row r="264" ht="24" customHeight="1" hidden="1" spans="1:6" x14ac:dyDescent="0.25" outlineLevel="1" collapsed="1">
      <c r="A264" s="12" t="s">
        <v>883</v>
      </c>
      <c r="B264" s="12"/>
      <c r="C264" s="12"/>
      <c r="D264" s="12"/>
      <c r="E264" s="12"/>
      <c r="F264" s="12"/>
    </row>
    <row r="265" ht="6" customHeight="1" hidden="1" x14ac:dyDescent="0.25" outlineLevel="1" collapsed="1"/>
    <row r="266" ht="22" customHeight="1" spans="1:6" x14ac:dyDescent="0.25">
      <c r="A266" s="25" t="s">
        <v>859</v>
      </c>
      <c r="B266" s="25"/>
      <c r="C266" s="25"/>
      <c r="D266" s="25"/>
      <c r="E266" s="25"/>
      <c r="F266" s="25"/>
    </row>
    <row r="267" ht="20" customHeight="1" hidden="1" spans="1:6" x14ac:dyDescent="0.25" outlineLevel="1" collapsed="1">
      <c r="A267" s="26" t="s">
        <v>460</v>
      </c>
      <c r="B267" s="26" t="s">
        <v>461</v>
      </c>
      <c r="C267" s="26" t="s">
        <v>462</v>
      </c>
      <c r="D267" s="26" t="s">
        <v>32</v>
      </c>
      <c r="E267" s="26" t="s">
        <v>463</v>
      </c>
      <c r="F267" s="26" t="s">
        <v>464</v>
      </c>
    </row>
    <row r="268" ht="36" customHeight="1" hidden="1" spans="1:6" x14ac:dyDescent="0.25" outlineLevel="1" collapsed="1">
      <c r="A268" s="27">
        <v>4310</v>
      </c>
      <c r="B268" s="28" t="s">
        <v>850</v>
      </c>
      <c r="C268" s="27" t="s">
        <v>466</v>
      </c>
      <c r="D268" s="29" t="s">
        <v>32</v>
      </c>
      <c r="E268" s="36" t="s">
        <v>699</v>
      </c>
      <c r="F268" s="28" t="s">
        <v>32</v>
      </c>
    </row>
    <row r="269" ht="36" customHeight="1" hidden="1" spans="1:6" x14ac:dyDescent="0.25" outlineLevel="1" collapsed="1">
      <c r="A269" s="27">
        <v>4320</v>
      </c>
      <c r="B269" s="28" t="s">
        <v>852</v>
      </c>
      <c r="C269" s="27" t="s">
        <v>472</v>
      </c>
      <c r="D269" s="29" t="s">
        <v>32</v>
      </c>
      <c r="E269" s="36" t="s">
        <v>699</v>
      </c>
      <c r="F269" s="28" t="s">
        <v>32</v>
      </c>
    </row>
    <row r="270" ht="22" customHeight="1" hidden="1" spans="1:6" x14ac:dyDescent="0.25" outlineLevel="1" collapsed="1">
      <c r="A270" s="34" t="s">
        <v>495</v>
      </c>
      <c r="B270" s="34"/>
      <c r="C270" s="34"/>
      <c r="D270" s="34"/>
      <c r="E270" s="34"/>
      <c r="F270" s="34"/>
    </row>
    <row r="271" ht="24" customHeight="1" hidden="1" spans="1:6" x14ac:dyDescent="0.25" outlineLevel="1" collapsed="1">
      <c r="A271" s="12" t="s">
        <v>886</v>
      </c>
      <c r="B271" s="12"/>
      <c r="C271" s="12"/>
      <c r="D271" s="12"/>
      <c r="E271" s="12"/>
      <c r="F271" s="12"/>
    </row>
    <row r="272" ht="24" customHeight="1" hidden="1" spans="1:6" x14ac:dyDescent="0.25" outlineLevel="1" collapsed="1">
      <c r="A272" s="12" t="s">
        <v>887</v>
      </c>
      <c r="B272" s="12"/>
      <c r="C272" s="12"/>
      <c r="D272" s="12"/>
      <c r="E272" s="12"/>
      <c r="F272" s="12"/>
    </row>
    <row r="273" ht="24" customHeight="1" hidden="1" spans="1:6" x14ac:dyDescent="0.25" outlineLevel="1" collapsed="1">
      <c r="A273" s="12" t="s">
        <v>883</v>
      </c>
      <c r="B273" s="12"/>
      <c r="C273" s="12"/>
      <c r="D273" s="12"/>
      <c r="E273" s="12"/>
      <c r="F273" s="12"/>
    </row>
    <row r="274" ht="6" customHeight="1" hidden="1" x14ac:dyDescent="0.25" outlineLevel="1" collapsed="1"/>
    <row r="275" ht="22" customHeight="1" spans="1:6" x14ac:dyDescent="0.25">
      <c r="A275" s="25" t="s">
        <v>861</v>
      </c>
      <c r="B275" s="25"/>
      <c r="C275" s="25"/>
      <c r="D275" s="25"/>
      <c r="E275" s="25"/>
      <c r="F275" s="25"/>
    </row>
    <row r="276" ht="20" customHeight="1" hidden="1" spans="1:6" x14ac:dyDescent="0.25" outlineLevel="1" collapsed="1">
      <c r="A276" s="26" t="s">
        <v>460</v>
      </c>
      <c r="B276" s="26" t="s">
        <v>461</v>
      </c>
      <c r="C276" s="26" t="s">
        <v>462</v>
      </c>
      <c r="D276" s="26" t="s">
        <v>32</v>
      </c>
      <c r="E276" s="26" t="s">
        <v>463</v>
      </c>
      <c r="F276" s="26" t="s">
        <v>464</v>
      </c>
    </row>
    <row r="277" ht="36" customHeight="1" hidden="1" spans="1:6" x14ac:dyDescent="0.25" outlineLevel="1" collapsed="1">
      <c r="A277" s="27">
        <v>4310</v>
      </c>
      <c r="B277" s="28" t="s">
        <v>850</v>
      </c>
      <c r="C277" s="27" t="s">
        <v>466</v>
      </c>
      <c r="D277" s="29" t="s">
        <v>32</v>
      </c>
      <c r="E277" s="36" t="s">
        <v>699</v>
      </c>
      <c r="F277" s="28" t="s">
        <v>32</v>
      </c>
    </row>
    <row r="278" ht="36" customHeight="1" hidden="1" spans="1:6" x14ac:dyDescent="0.25" outlineLevel="1" collapsed="1">
      <c r="A278" s="27">
        <v>4320</v>
      </c>
      <c r="B278" s="28" t="s">
        <v>852</v>
      </c>
      <c r="C278" s="27" t="s">
        <v>472</v>
      </c>
      <c r="D278" s="29" t="s">
        <v>32</v>
      </c>
      <c r="E278" s="36" t="s">
        <v>699</v>
      </c>
      <c r="F278" s="28" t="s">
        <v>32</v>
      </c>
    </row>
    <row r="279" ht="22" customHeight="1" hidden="1" spans="1:6" x14ac:dyDescent="0.25" outlineLevel="1" collapsed="1">
      <c r="A279" s="34" t="s">
        <v>495</v>
      </c>
      <c r="B279" s="34"/>
      <c r="C279" s="34"/>
      <c r="D279" s="34"/>
      <c r="E279" s="34"/>
      <c r="F279" s="34"/>
    </row>
    <row r="280" ht="24" customHeight="1" hidden="1" spans="1:6" x14ac:dyDescent="0.25" outlineLevel="1" collapsed="1">
      <c r="A280" s="12" t="s">
        <v>886</v>
      </c>
      <c r="B280" s="12"/>
      <c r="C280" s="12"/>
      <c r="D280" s="12"/>
      <c r="E280" s="12"/>
      <c r="F280" s="12"/>
    </row>
    <row r="281" ht="24" customHeight="1" hidden="1" spans="1:6" x14ac:dyDescent="0.25" outlineLevel="1" collapsed="1">
      <c r="A281" s="12" t="s">
        <v>887</v>
      </c>
      <c r="B281" s="12"/>
      <c r="C281" s="12"/>
      <c r="D281" s="12"/>
      <c r="E281" s="12"/>
      <c r="F281" s="12"/>
    </row>
    <row r="282" ht="24" customHeight="1" hidden="1" spans="1:6" x14ac:dyDescent="0.25" outlineLevel="1" collapsed="1">
      <c r="A282" s="12" t="s">
        <v>883</v>
      </c>
      <c r="B282" s="12"/>
      <c r="C282" s="12"/>
      <c r="D282" s="12"/>
      <c r="E282" s="12"/>
      <c r="F282" s="12"/>
    </row>
    <row r="283" ht="6" customHeight="1" hidden="1" x14ac:dyDescent="0.25" outlineLevel="1" collapsed="1"/>
    <row r="284" ht="22" customHeight="1" spans="1:6" x14ac:dyDescent="0.25">
      <c r="A284" s="25" t="s">
        <v>862</v>
      </c>
      <c r="B284" s="25"/>
      <c r="C284" s="25"/>
      <c r="D284" s="25"/>
      <c r="E284" s="25"/>
      <c r="F284" s="25"/>
    </row>
    <row r="285" ht="20" customHeight="1" hidden="1" spans="1:6" x14ac:dyDescent="0.25" outlineLevel="1" collapsed="1">
      <c r="A285" s="26" t="s">
        <v>460</v>
      </c>
      <c r="B285" s="26" t="s">
        <v>461</v>
      </c>
      <c r="C285" s="26" t="s">
        <v>462</v>
      </c>
      <c r="D285" s="26" t="s">
        <v>32</v>
      </c>
      <c r="E285" s="26" t="s">
        <v>463</v>
      </c>
      <c r="F285" s="26" t="s">
        <v>464</v>
      </c>
    </row>
    <row r="286" ht="36" customHeight="1" hidden="1" spans="1:6" x14ac:dyDescent="0.25" outlineLevel="1" collapsed="1">
      <c r="A286" s="27">
        <v>4310</v>
      </c>
      <c r="B286" s="28" t="s">
        <v>850</v>
      </c>
      <c r="C286" s="27" t="s">
        <v>466</v>
      </c>
      <c r="D286" s="29" t="s">
        <v>32</v>
      </c>
      <c r="E286" s="36" t="s">
        <v>699</v>
      </c>
      <c r="F286" s="28" t="s">
        <v>32</v>
      </c>
    </row>
    <row r="287" ht="36" customHeight="1" hidden="1" spans="1:6" x14ac:dyDescent="0.25" outlineLevel="1" collapsed="1">
      <c r="A287" s="27">
        <v>4320</v>
      </c>
      <c r="B287" s="28" t="s">
        <v>852</v>
      </c>
      <c r="C287" s="27" t="s">
        <v>472</v>
      </c>
      <c r="D287" s="29" t="s">
        <v>32</v>
      </c>
      <c r="E287" s="28" t="s">
        <v>853</v>
      </c>
      <c r="F287" s="28" t="s">
        <v>32</v>
      </c>
    </row>
    <row r="288" ht="22" customHeight="1" hidden="1" spans="1:6" x14ac:dyDescent="0.25" outlineLevel="1" collapsed="1">
      <c r="A288" s="34" t="s">
        <v>495</v>
      </c>
      <c r="B288" s="34"/>
      <c r="C288" s="34"/>
      <c r="D288" s="34"/>
      <c r="E288" s="34"/>
      <c r="F288" s="34"/>
    </row>
    <row r="289" ht="24" customHeight="1" hidden="1" spans="1:6" x14ac:dyDescent="0.25" outlineLevel="1" collapsed="1">
      <c r="A289" s="12" t="s">
        <v>886</v>
      </c>
      <c r="B289" s="12"/>
      <c r="C289" s="12"/>
      <c r="D289" s="12"/>
      <c r="E289" s="12"/>
      <c r="F289" s="12"/>
    </row>
    <row r="290" ht="24" customHeight="1" hidden="1" spans="1:6" x14ac:dyDescent="0.25" outlineLevel="1" collapsed="1">
      <c r="A290" s="12" t="s">
        <v>879</v>
      </c>
      <c r="B290" s="12"/>
      <c r="C290" s="12"/>
      <c r="D290" s="12"/>
      <c r="E290" s="12"/>
      <c r="F290" s="12"/>
    </row>
    <row r="291" ht="24" customHeight="1" hidden="1" spans="1:6" x14ac:dyDescent="0.25" outlineLevel="1" collapsed="1">
      <c r="A291" s="12" t="s">
        <v>883</v>
      </c>
      <c r="B291" s="12"/>
      <c r="C291" s="12"/>
      <c r="D291" s="12"/>
      <c r="E291" s="12"/>
      <c r="F291" s="12"/>
    </row>
    <row r="292" ht="6" customHeight="1" hidden="1" x14ac:dyDescent="0.25" outlineLevel="1" collapsed="1"/>
    <row r="293" ht="12" customHeight="1" x14ac:dyDescent="0.25"/>
    <row r="294" ht="24" customHeight="1" spans="1:6" x14ac:dyDescent="0.25">
      <c r="A294" s="24" t="s">
        <v>716</v>
      </c>
      <c r="B294" s="24"/>
      <c r="C294" s="24"/>
      <c r="D294" s="24"/>
      <c r="E294" s="24"/>
      <c r="F294" s="24"/>
    </row>
    <row r="295" ht="22" customHeight="1" spans="1:6" x14ac:dyDescent="0.25">
      <c r="A295" s="25" t="s">
        <v>824</v>
      </c>
      <c r="B295" s="25"/>
      <c r="C295" s="25"/>
      <c r="D295" s="25"/>
      <c r="E295" s="25"/>
      <c r="F295" s="25"/>
    </row>
    <row r="296" ht="20" customHeight="1" hidden="1" spans="1:6" x14ac:dyDescent="0.25" outlineLevel="1" collapsed="1">
      <c r="A296" s="26" t="s">
        <v>460</v>
      </c>
      <c r="B296" s="26" t="s">
        <v>461</v>
      </c>
      <c r="C296" s="26" t="s">
        <v>462</v>
      </c>
      <c r="D296" s="26" t="s">
        <v>32</v>
      </c>
      <c r="E296" s="26" t="s">
        <v>463</v>
      </c>
      <c r="F296" s="26" t="s">
        <v>464</v>
      </c>
    </row>
    <row r="297" ht="36" customHeight="1" hidden="1" spans="1:6" x14ac:dyDescent="0.25" outlineLevel="1" collapsed="1">
      <c r="A297" s="27">
        <v>4310</v>
      </c>
      <c r="B297" s="28" t="s">
        <v>825</v>
      </c>
      <c r="C297" s="27" t="s">
        <v>466</v>
      </c>
      <c r="D297" s="29" t="s">
        <v>32</v>
      </c>
      <c r="E297" s="28" t="s">
        <v>676</v>
      </c>
      <c r="F297" s="28" t="s">
        <v>32</v>
      </c>
    </row>
    <row r="298" ht="36" customHeight="1" hidden="1" spans="1:6" x14ac:dyDescent="0.25" outlineLevel="1" collapsed="1">
      <c r="A298" s="27">
        <v>4320</v>
      </c>
      <c r="B298" s="28" t="s">
        <v>827</v>
      </c>
      <c r="C298" s="27" t="s">
        <v>472</v>
      </c>
      <c r="D298" s="29" t="s">
        <v>32</v>
      </c>
      <c r="E298" s="28" t="s">
        <v>853</v>
      </c>
      <c r="F298" s="28" t="s">
        <v>32</v>
      </c>
    </row>
    <row r="299" ht="66" customHeight="1" hidden="1" spans="1:6" x14ac:dyDescent="0.25" outlineLevel="1" collapsed="1">
      <c r="A299" s="27">
        <v>4335</v>
      </c>
      <c r="B299" s="28" t="s">
        <v>831</v>
      </c>
      <c r="C299" s="27" t="s">
        <v>745</v>
      </c>
      <c r="D299" s="29" t="s">
        <v>32</v>
      </c>
      <c r="E299" s="28" t="s">
        <v>832</v>
      </c>
      <c r="F299" s="28" t="s">
        <v>32</v>
      </c>
    </row>
    <row r="300" ht="51" customHeight="1" hidden="1" spans="1:6" x14ac:dyDescent="0.25" outlineLevel="1" collapsed="1">
      <c r="A300" s="27">
        <v>4337</v>
      </c>
      <c r="B300" s="28" t="s">
        <v>833</v>
      </c>
      <c r="C300" s="27" t="s">
        <v>472</v>
      </c>
      <c r="D300" s="29" t="s">
        <v>32</v>
      </c>
      <c r="E300" s="36" t="s">
        <v>699</v>
      </c>
      <c r="F300" s="28" t="s">
        <v>32</v>
      </c>
    </row>
    <row r="301" ht="36" customHeight="1" hidden="1" spans="1:6" x14ac:dyDescent="0.25" outlineLevel="1" collapsed="1">
      <c r="A301" s="27">
        <v>4350</v>
      </c>
      <c r="B301" s="28" t="s">
        <v>835</v>
      </c>
      <c r="C301" s="27" t="s">
        <v>466</v>
      </c>
      <c r="D301" s="29" t="s">
        <v>32</v>
      </c>
      <c r="E301" s="28" t="s">
        <v>877</v>
      </c>
      <c r="F301" s="28" t="s">
        <v>32</v>
      </c>
    </row>
    <row r="302" ht="22" customHeight="1" hidden="1" spans="1:6" x14ac:dyDescent="0.25" outlineLevel="1" collapsed="1">
      <c r="A302" s="34" t="s">
        <v>495</v>
      </c>
      <c r="B302" s="34"/>
      <c r="C302" s="34"/>
      <c r="D302" s="34"/>
      <c r="E302" s="34"/>
      <c r="F302" s="34"/>
    </row>
    <row r="303" ht="24" customHeight="1" hidden="1" spans="1:6" x14ac:dyDescent="0.25" outlineLevel="1" collapsed="1">
      <c r="A303" s="12" t="s">
        <v>878</v>
      </c>
      <c r="B303" s="12"/>
      <c r="C303" s="12"/>
      <c r="D303" s="12"/>
      <c r="E303" s="12"/>
      <c r="F303" s="12"/>
    </row>
    <row r="304" ht="24" customHeight="1" hidden="1" spans="1:6" x14ac:dyDescent="0.25" outlineLevel="1" collapsed="1">
      <c r="A304" s="12" t="s">
        <v>879</v>
      </c>
      <c r="B304" s="12"/>
      <c r="C304" s="12"/>
      <c r="D304" s="12"/>
      <c r="E304" s="12"/>
      <c r="F304" s="12"/>
    </row>
    <row r="305" ht="24" customHeight="1" hidden="1" spans="1:6" x14ac:dyDescent="0.25" outlineLevel="1" collapsed="1">
      <c r="A305" s="12" t="s">
        <v>880</v>
      </c>
      <c r="B305" s="12"/>
      <c r="C305" s="12"/>
      <c r="D305" s="12"/>
      <c r="E305" s="12"/>
      <c r="F305" s="12"/>
    </row>
    <row r="306" ht="24" customHeight="1" hidden="1" spans="1:6" x14ac:dyDescent="0.25" outlineLevel="1" collapsed="1">
      <c r="A306" s="12" t="s">
        <v>881</v>
      </c>
      <c r="B306" s="12"/>
      <c r="C306" s="12"/>
      <c r="D306" s="12"/>
      <c r="E306" s="12"/>
      <c r="F306" s="12"/>
    </row>
    <row r="307" ht="24" customHeight="1" hidden="1" spans="1:6" x14ac:dyDescent="0.25" outlineLevel="1" collapsed="1">
      <c r="A307" s="12" t="s">
        <v>882</v>
      </c>
      <c r="B307" s="12"/>
      <c r="C307" s="12"/>
      <c r="D307" s="12"/>
      <c r="E307" s="12"/>
      <c r="F307" s="12"/>
    </row>
    <row r="308" ht="24" customHeight="1" hidden="1" spans="1:6" x14ac:dyDescent="0.25" outlineLevel="1" collapsed="1">
      <c r="A308" s="12" t="s">
        <v>883</v>
      </c>
      <c r="B308" s="12"/>
      <c r="C308" s="12"/>
      <c r="D308" s="12"/>
      <c r="E308" s="12"/>
      <c r="F308" s="12"/>
    </row>
    <row r="309" ht="6" customHeight="1" hidden="1" x14ac:dyDescent="0.25" outlineLevel="1" collapsed="1"/>
    <row r="310" ht="22" customHeight="1" spans="1:6" x14ac:dyDescent="0.25">
      <c r="A310" s="25" t="s">
        <v>843</v>
      </c>
      <c r="B310" s="25"/>
      <c r="C310" s="25"/>
      <c r="D310" s="25"/>
      <c r="E310" s="25"/>
      <c r="F310" s="25"/>
    </row>
    <row r="311" ht="20" customHeight="1" hidden="1" spans="1:6" x14ac:dyDescent="0.25" outlineLevel="1" collapsed="1">
      <c r="A311" s="26" t="s">
        <v>460</v>
      </c>
      <c r="B311" s="26" t="s">
        <v>461</v>
      </c>
      <c r="C311" s="26" t="s">
        <v>462</v>
      </c>
      <c r="D311" s="26" t="s">
        <v>32</v>
      </c>
      <c r="E311" s="26" t="s">
        <v>463</v>
      </c>
      <c r="F311" s="26" t="s">
        <v>464</v>
      </c>
    </row>
    <row r="312" ht="51" customHeight="1" hidden="1" spans="1:6" x14ac:dyDescent="0.25" outlineLevel="1" collapsed="1">
      <c r="A312" s="27">
        <v>4310</v>
      </c>
      <c r="B312" s="28" t="s">
        <v>844</v>
      </c>
      <c r="C312" s="27" t="s">
        <v>466</v>
      </c>
      <c r="D312" s="29" t="s">
        <v>32</v>
      </c>
      <c r="E312" s="28" t="s">
        <v>685</v>
      </c>
      <c r="F312" s="28" t="s">
        <v>686</v>
      </c>
    </row>
    <row r="313" ht="21" customHeight="1" hidden="1" spans="1:6" x14ac:dyDescent="0.25" outlineLevel="1" collapsed="1">
      <c r="A313" s="30" t="s">
        <v>32</v>
      </c>
      <c r="B313" s="17" t="s">
        <v>32</v>
      </c>
      <c r="C313" s="30" t="s">
        <v>32</v>
      </c>
      <c r="D313" s="31" t="s">
        <v>32</v>
      </c>
      <c r="E313" s="17" t="s">
        <v>687</v>
      </c>
      <c r="F313" s="17" t="s">
        <v>32</v>
      </c>
    </row>
    <row r="314" ht="21" customHeight="1" hidden="1" spans="1:6" x14ac:dyDescent="0.25" outlineLevel="1" collapsed="1">
      <c r="A314" s="32" t="s">
        <v>32</v>
      </c>
      <c r="B314" s="12" t="s">
        <v>32</v>
      </c>
      <c r="C314" s="32" t="s">
        <v>32</v>
      </c>
      <c r="D314" s="31" t="s">
        <v>32</v>
      </c>
      <c r="E314" s="33" t="s">
        <v>688</v>
      </c>
      <c r="F314" s="12" t="s">
        <v>32</v>
      </c>
    </row>
    <row r="315" ht="51" customHeight="1" hidden="1" spans="1:6" x14ac:dyDescent="0.25" outlineLevel="1" collapsed="1">
      <c r="A315" s="27">
        <v>4320</v>
      </c>
      <c r="B315" s="28" t="s">
        <v>845</v>
      </c>
      <c r="C315" s="27" t="s">
        <v>472</v>
      </c>
      <c r="D315" s="29" t="s">
        <v>32</v>
      </c>
      <c r="E315" s="28" t="s">
        <v>518</v>
      </c>
      <c r="F315" s="28" t="s">
        <v>32</v>
      </c>
    </row>
    <row r="316" ht="22" customHeight="1" hidden="1" spans="1:6" x14ac:dyDescent="0.25" outlineLevel="1" collapsed="1">
      <c r="A316" s="34" t="s">
        <v>495</v>
      </c>
      <c r="B316" s="34"/>
      <c r="C316" s="34"/>
      <c r="D316" s="34"/>
      <c r="E316" s="34"/>
      <c r="F316" s="34"/>
    </row>
    <row r="317" ht="24" customHeight="1" hidden="1" spans="1:6" x14ac:dyDescent="0.25" outlineLevel="1" collapsed="1">
      <c r="A317" s="12" t="s">
        <v>884</v>
      </c>
      <c r="B317" s="12"/>
      <c r="C317" s="12"/>
      <c r="D317" s="12"/>
      <c r="E317" s="12"/>
      <c r="F317" s="12"/>
    </row>
    <row r="318" ht="24" customHeight="1" hidden="1" spans="1:6" x14ac:dyDescent="0.25" outlineLevel="1" collapsed="1">
      <c r="A318" s="12" t="s">
        <v>885</v>
      </c>
      <c r="B318" s="12"/>
      <c r="C318" s="12"/>
      <c r="D318" s="12"/>
      <c r="E318" s="12"/>
      <c r="F318" s="12"/>
    </row>
    <row r="319" ht="24" customHeight="1" hidden="1" spans="1:6" x14ac:dyDescent="0.25" outlineLevel="1" collapsed="1">
      <c r="A319" s="12" t="s">
        <v>883</v>
      </c>
      <c r="B319" s="12"/>
      <c r="C319" s="12"/>
      <c r="D319" s="12"/>
      <c r="E319" s="12"/>
      <c r="F319" s="12"/>
    </row>
    <row r="320" ht="6" customHeight="1" hidden="1" x14ac:dyDescent="0.25" outlineLevel="1" collapsed="1"/>
    <row r="321" ht="22" customHeight="1" spans="1:6" x14ac:dyDescent="0.25">
      <c r="A321" s="25" t="s">
        <v>849</v>
      </c>
      <c r="B321" s="25"/>
      <c r="C321" s="25"/>
      <c r="D321" s="25"/>
      <c r="E321" s="25"/>
      <c r="F321" s="25"/>
    </row>
    <row r="322" ht="20" customHeight="1" hidden="1" spans="1:6" x14ac:dyDescent="0.25" outlineLevel="1" collapsed="1">
      <c r="A322" s="26" t="s">
        <v>460</v>
      </c>
      <c r="B322" s="26" t="s">
        <v>461</v>
      </c>
      <c r="C322" s="26" t="s">
        <v>462</v>
      </c>
      <c r="D322" s="26" t="s">
        <v>32</v>
      </c>
      <c r="E322" s="26" t="s">
        <v>463</v>
      </c>
      <c r="F322" s="26" t="s">
        <v>464</v>
      </c>
    </row>
    <row r="323" ht="36" customHeight="1" hidden="1" spans="1:6" x14ac:dyDescent="0.25" outlineLevel="1" collapsed="1">
      <c r="A323" s="27">
        <v>4310</v>
      </c>
      <c r="B323" s="28" t="s">
        <v>850</v>
      </c>
      <c r="C323" s="27" t="s">
        <v>466</v>
      </c>
      <c r="D323" s="29" t="s">
        <v>32</v>
      </c>
      <c r="E323" s="36" t="s">
        <v>699</v>
      </c>
      <c r="F323" s="28" t="s">
        <v>32</v>
      </c>
    </row>
    <row r="324" ht="36" customHeight="1" hidden="1" spans="1:6" x14ac:dyDescent="0.25" outlineLevel="1" collapsed="1">
      <c r="A324" s="27">
        <v>4320</v>
      </c>
      <c r="B324" s="28" t="s">
        <v>852</v>
      </c>
      <c r="C324" s="27" t="s">
        <v>472</v>
      </c>
      <c r="D324" s="29" t="s">
        <v>32</v>
      </c>
      <c r="E324" s="36" t="s">
        <v>699</v>
      </c>
      <c r="F324" s="28" t="s">
        <v>32</v>
      </c>
    </row>
    <row r="325" ht="22" customHeight="1" hidden="1" spans="1:6" x14ac:dyDescent="0.25" outlineLevel="1" collapsed="1">
      <c r="A325" s="34" t="s">
        <v>495</v>
      </c>
      <c r="B325" s="34"/>
      <c r="C325" s="34"/>
      <c r="D325" s="34"/>
      <c r="E325" s="34"/>
      <c r="F325" s="34"/>
    </row>
    <row r="326" ht="24" customHeight="1" hidden="1" spans="1:6" x14ac:dyDescent="0.25" outlineLevel="1" collapsed="1">
      <c r="A326" s="12" t="s">
        <v>886</v>
      </c>
      <c r="B326" s="12"/>
      <c r="C326" s="12"/>
      <c r="D326" s="12"/>
      <c r="E326" s="12"/>
      <c r="F326" s="12"/>
    </row>
    <row r="327" ht="24" customHeight="1" hidden="1" spans="1:6" x14ac:dyDescent="0.25" outlineLevel="1" collapsed="1">
      <c r="A327" s="12" t="s">
        <v>887</v>
      </c>
      <c r="B327" s="12"/>
      <c r="C327" s="12"/>
      <c r="D327" s="12"/>
      <c r="E327" s="12"/>
      <c r="F327" s="12"/>
    </row>
    <row r="328" ht="24" customHeight="1" hidden="1" spans="1:6" x14ac:dyDescent="0.25" outlineLevel="1" collapsed="1">
      <c r="A328" s="12" t="s">
        <v>883</v>
      </c>
      <c r="B328" s="12"/>
      <c r="C328" s="12"/>
      <c r="D328" s="12"/>
      <c r="E328" s="12"/>
      <c r="F328" s="12"/>
    </row>
    <row r="329" ht="6" customHeight="1" hidden="1" x14ac:dyDescent="0.25" outlineLevel="1" collapsed="1"/>
    <row r="330" ht="22" customHeight="1" spans="1:6" x14ac:dyDescent="0.25">
      <c r="A330" s="25" t="s">
        <v>856</v>
      </c>
      <c r="B330" s="25"/>
      <c r="C330" s="25"/>
      <c r="D330" s="25"/>
      <c r="E330" s="25"/>
      <c r="F330" s="25"/>
    </row>
    <row r="331" ht="20" customHeight="1" hidden="1" spans="1:6" x14ac:dyDescent="0.25" outlineLevel="1" collapsed="1">
      <c r="A331" s="26" t="s">
        <v>460</v>
      </c>
      <c r="B331" s="26" t="s">
        <v>461</v>
      </c>
      <c r="C331" s="26" t="s">
        <v>462</v>
      </c>
      <c r="D331" s="26" t="s">
        <v>32</v>
      </c>
      <c r="E331" s="26" t="s">
        <v>463</v>
      </c>
      <c r="F331" s="26" t="s">
        <v>464</v>
      </c>
    </row>
    <row r="332" ht="36" customHeight="1" hidden="1" spans="1:6" x14ac:dyDescent="0.25" outlineLevel="1" collapsed="1">
      <c r="A332" s="27">
        <v>4310</v>
      </c>
      <c r="B332" s="28" t="s">
        <v>850</v>
      </c>
      <c r="C332" s="27" t="s">
        <v>466</v>
      </c>
      <c r="D332" s="29" t="s">
        <v>32</v>
      </c>
      <c r="E332" s="28" t="s">
        <v>676</v>
      </c>
      <c r="F332" s="28" t="s">
        <v>32</v>
      </c>
    </row>
    <row r="333" ht="36" customHeight="1" hidden="1" spans="1:6" x14ac:dyDescent="0.25" outlineLevel="1" collapsed="1">
      <c r="A333" s="27">
        <v>4320</v>
      </c>
      <c r="B333" s="28" t="s">
        <v>852</v>
      </c>
      <c r="C333" s="27" t="s">
        <v>472</v>
      </c>
      <c r="D333" s="29" t="s">
        <v>32</v>
      </c>
      <c r="E333" s="28" t="s">
        <v>712</v>
      </c>
      <c r="F333" s="28" t="s">
        <v>32</v>
      </c>
    </row>
    <row r="334" ht="22" customHeight="1" hidden="1" spans="1:6" x14ac:dyDescent="0.25" outlineLevel="1" collapsed="1">
      <c r="A334" s="34" t="s">
        <v>495</v>
      </c>
      <c r="B334" s="34"/>
      <c r="C334" s="34"/>
      <c r="D334" s="34"/>
      <c r="E334" s="34"/>
      <c r="F334" s="34"/>
    </row>
    <row r="335" ht="24" customHeight="1" hidden="1" spans="1:6" x14ac:dyDescent="0.25" outlineLevel="1" collapsed="1">
      <c r="A335" s="12" t="s">
        <v>878</v>
      </c>
      <c r="B335" s="12"/>
      <c r="C335" s="12"/>
      <c r="D335" s="12"/>
      <c r="E335" s="12"/>
      <c r="F335" s="12"/>
    </row>
    <row r="336" ht="24" customHeight="1" hidden="1" spans="1:6" x14ac:dyDescent="0.25" outlineLevel="1" collapsed="1">
      <c r="A336" s="12" t="s">
        <v>888</v>
      </c>
      <c r="B336" s="12"/>
      <c r="C336" s="12"/>
      <c r="D336" s="12"/>
      <c r="E336" s="12"/>
      <c r="F336" s="12"/>
    </row>
    <row r="337" ht="24" customHeight="1" hidden="1" spans="1:6" x14ac:dyDescent="0.25" outlineLevel="1" collapsed="1">
      <c r="A337" s="12" t="s">
        <v>883</v>
      </c>
      <c r="B337" s="12"/>
      <c r="C337" s="12"/>
      <c r="D337" s="12"/>
      <c r="E337" s="12"/>
      <c r="F337" s="12"/>
    </row>
    <row r="338" ht="6" customHeight="1" hidden="1" x14ac:dyDescent="0.25" outlineLevel="1" collapsed="1"/>
    <row r="339" ht="22" customHeight="1" spans="1:6" x14ac:dyDescent="0.25">
      <c r="A339" s="25" t="s">
        <v>859</v>
      </c>
      <c r="B339" s="25"/>
      <c r="C339" s="25"/>
      <c r="D339" s="25"/>
      <c r="E339" s="25"/>
      <c r="F339" s="25"/>
    </row>
    <row r="340" ht="20" customHeight="1" hidden="1" spans="1:6" x14ac:dyDescent="0.25" outlineLevel="1" collapsed="1">
      <c r="A340" s="26" t="s">
        <v>460</v>
      </c>
      <c r="B340" s="26" t="s">
        <v>461</v>
      </c>
      <c r="C340" s="26" t="s">
        <v>462</v>
      </c>
      <c r="D340" s="26" t="s">
        <v>32</v>
      </c>
      <c r="E340" s="26" t="s">
        <v>463</v>
      </c>
      <c r="F340" s="26" t="s">
        <v>464</v>
      </c>
    </row>
    <row r="341" ht="36" customHeight="1" hidden="1" spans="1:6" x14ac:dyDescent="0.25" outlineLevel="1" collapsed="1">
      <c r="A341" s="27">
        <v>4310</v>
      </c>
      <c r="B341" s="28" t="s">
        <v>850</v>
      </c>
      <c r="C341" s="27" t="s">
        <v>466</v>
      </c>
      <c r="D341" s="29" t="s">
        <v>32</v>
      </c>
      <c r="E341" s="36" t="s">
        <v>699</v>
      </c>
      <c r="F341" s="28" t="s">
        <v>32</v>
      </c>
    </row>
    <row r="342" ht="36" customHeight="1" hidden="1" spans="1:6" x14ac:dyDescent="0.25" outlineLevel="1" collapsed="1">
      <c r="A342" s="27">
        <v>4320</v>
      </c>
      <c r="B342" s="28" t="s">
        <v>852</v>
      </c>
      <c r="C342" s="27" t="s">
        <v>472</v>
      </c>
      <c r="D342" s="29" t="s">
        <v>32</v>
      </c>
      <c r="E342" s="36" t="s">
        <v>699</v>
      </c>
      <c r="F342" s="28" t="s">
        <v>32</v>
      </c>
    </row>
    <row r="343" ht="22" customHeight="1" hidden="1" spans="1:6" x14ac:dyDescent="0.25" outlineLevel="1" collapsed="1">
      <c r="A343" s="34" t="s">
        <v>495</v>
      </c>
      <c r="B343" s="34"/>
      <c r="C343" s="34"/>
      <c r="D343" s="34"/>
      <c r="E343" s="34"/>
      <c r="F343" s="34"/>
    </row>
    <row r="344" ht="24" customHeight="1" hidden="1" spans="1:6" x14ac:dyDescent="0.25" outlineLevel="1" collapsed="1">
      <c r="A344" s="12" t="s">
        <v>886</v>
      </c>
      <c r="B344" s="12"/>
      <c r="C344" s="12"/>
      <c r="D344" s="12"/>
      <c r="E344" s="12"/>
      <c r="F344" s="12"/>
    </row>
    <row r="345" ht="24" customHeight="1" hidden="1" spans="1:6" x14ac:dyDescent="0.25" outlineLevel="1" collapsed="1">
      <c r="A345" s="12" t="s">
        <v>887</v>
      </c>
      <c r="B345" s="12"/>
      <c r="C345" s="12"/>
      <c r="D345" s="12"/>
      <c r="E345" s="12"/>
      <c r="F345" s="12"/>
    </row>
    <row r="346" ht="24" customHeight="1" hidden="1" spans="1:6" x14ac:dyDescent="0.25" outlineLevel="1" collapsed="1">
      <c r="A346" s="12" t="s">
        <v>883</v>
      </c>
      <c r="B346" s="12"/>
      <c r="C346" s="12"/>
      <c r="D346" s="12"/>
      <c r="E346" s="12"/>
      <c r="F346" s="12"/>
    </row>
    <row r="347" ht="6" customHeight="1" hidden="1" x14ac:dyDescent="0.25" outlineLevel="1" collapsed="1"/>
    <row r="348" ht="22" customHeight="1" spans="1:6" x14ac:dyDescent="0.25">
      <c r="A348" s="25" t="s">
        <v>861</v>
      </c>
      <c r="B348" s="25"/>
      <c r="C348" s="25"/>
      <c r="D348" s="25"/>
      <c r="E348" s="25"/>
      <c r="F348" s="25"/>
    </row>
    <row r="349" ht="20" customHeight="1" hidden="1" spans="1:6" x14ac:dyDescent="0.25" outlineLevel="1" collapsed="1">
      <c r="A349" s="26" t="s">
        <v>460</v>
      </c>
      <c r="B349" s="26" t="s">
        <v>461</v>
      </c>
      <c r="C349" s="26" t="s">
        <v>462</v>
      </c>
      <c r="D349" s="26" t="s">
        <v>32</v>
      </c>
      <c r="E349" s="26" t="s">
        <v>463</v>
      </c>
      <c r="F349" s="26" t="s">
        <v>464</v>
      </c>
    </row>
    <row r="350" ht="36" customHeight="1" hidden="1" spans="1:6" x14ac:dyDescent="0.25" outlineLevel="1" collapsed="1">
      <c r="A350" s="27">
        <v>4310</v>
      </c>
      <c r="B350" s="28" t="s">
        <v>850</v>
      </c>
      <c r="C350" s="27" t="s">
        <v>466</v>
      </c>
      <c r="D350" s="29" t="s">
        <v>32</v>
      </c>
      <c r="E350" s="36" t="s">
        <v>699</v>
      </c>
      <c r="F350" s="28" t="s">
        <v>32</v>
      </c>
    </row>
    <row r="351" ht="36" customHeight="1" hidden="1" spans="1:6" x14ac:dyDescent="0.25" outlineLevel="1" collapsed="1">
      <c r="A351" s="27">
        <v>4320</v>
      </c>
      <c r="B351" s="28" t="s">
        <v>852</v>
      </c>
      <c r="C351" s="27" t="s">
        <v>472</v>
      </c>
      <c r="D351" s="29" t="s">
        <v>32</v>
      </c>
      <c r="E351" s="36" t="s">
        <v>699</v>
      </c>
      <c r="F351" s="28" t="s">
        <v>32</v>
      </c>
    </row>
    <row r="352" ht="22" customHeight="1" hidden="1" spans="1:6" x14ac:dyDescent="0.25" outlineLevel="1" collapsed="1">
      <c r="A352" s="34" t="s">
        <v>495</v>
      </c>
      <c r="B352" s="34"/>
      <c r="C352" s="34"/>
      <c r="D352" s="34"/>
      <c r="E352" s="34"/>
      <c r="F352" s="34"/>
    </row>
    <row r="353" ht="24" customHeight="1" hidden="1" spans="1:6" x14ac:dyDescent="0.25" outlineLevel="1" collapsed="1">
      <c r="A353" s="12" t="s">
        <v>886</v>
      </c>
      <c r="B353" s="12"/>
      <c r="C353" s="12"/>
      <c r="D353" s="12"/>
      <c r="E353" s="12"/>
      <c r="F353" s="12"/>
    </row>
    <row r="354" ht="24" customHeight="1" hidden="1" spans="1:6" x14ac:dyDescent="0.25" outlineLevel="1" collapsed="1">
      <c r="A354" s="12" t="s">
        <v>887</v>
      </c>
      <c r="B354" s="12"/>
      <c r="C354" s="12"/>
      <c r="D354" s="12"/>
      <c r="E354" s="12"/>
      <c r="F354" s="12"/>
    </row>
    <row r="355" ht="24" customHeight="1" hidden="1" spans="1:6" x14ac:dyDescent="0.25" outlineLevel="1" collapsed="1">
      <c r="A355" s="12" t="s">
        <v>883</v>
      </c>
      <c r="B355" s="12"/>
      <c r="C355" s="12"/>
      <c r="D355" s="12"/>
      <c r="E355" s="12"/>
      <c r="F355" s="12"/>
    </row>
    <row r="356" ht="6" customHeight="1" hidden="1" x14ac:dyDescent="0.25" outlineLevel="1" collapsed="1"/>
    <row r="357" ht="22" customHeight="1" spans="1:6" x14ac:dyDescent="0.25">
      <c r="A357" s="25" t="s">
        <v>862</v>
      </c>
      <c r="B357" s="25"/>
      <c r="C357" s="25"/>
      <c r="D357" s="25"/>
      <c r="E357" s="25"/>
      <c r="F357" s="25"/>
    </row>
    <row r="358" ht="20" customHeight="1" hidden="1" spans="1:6" x14ac:dyDescent="0.25" outlineLevel="1" collapsed="1">
      <c r="A358" s="26" t="s">
        <v>460</v>
      </c>
      <c r="B358" s="26" t="s">
        <v>461</v>
      </c>
      <c r="C358" s="26" t="s">
        <v>462</v>
      </c>
      <c r="D358" s="26" t="s">
        <v>32</v>
      </c>
      <c r="E358" s="26" t="s">
        <v>463</v>
      </c>
      <c r="F358" s="26" t="s">
        <v>464</v>
      </c>
    </row>
    <row r="359" ht="36" customHeight="1" hidden="1" spans="1:6" x14ac:dyDescent="0.25" outlineLevel="1" collapsed="1">
      <c r="A359" s="27">
        <v>4310</v>
      </c>
      <c r="B359" s="28" t="s">
        <v>850</v>
      </c>
      <c r="C359" s="27" t="s">
        <v>466</v>
      </c>
      <c r="D359" s="29" t="s">
        <v>32</v>
      </c>
      <c r="E359" s="36" t="s">
        <v>699</v>
      </c>
      <c r="F359" s="28" t="s">
        <v>32</v>
      </c>
    </row>
    <row r="360" ht="36" customHeight="1" hidden="1" spans="1:6" x14ac:dyDescent="0.25" outlineLevel="1" collapsed="1">
      <c r="A360" s="27">
        <v>4320</v>
      </c>
      <c r="B360" s="28" t="s">
        <v>852</v>
      </c>
      <c r="C360" s="27" t="s">
        <v>472</v>
      </c>
      <c r="D360" s="29" t="s">
        <v>32</v>
      </c>
      <c r="E360" s="28" t="s">
        <v>853</v>
      </c>
      <c r="F360" s="28" t="s">
        <v>32</v>
      </c>
    </row>
    <row r="361" ht="22" customHeight="1" hidden="1" spans="1:6" x14ac:dyDescent="0.25" outlineLevel="1" collapsed="1">
      <c r="A361" s="34" t="s">
        <v>495</v>
      </c>
      <c r="B361" s="34"/>
      <c r="C361" s="34"/>
      <c r="D361" s="34"/>
      <c r="E361" s="34"/>
      <c r="F361" s="34"/>
    </row>
    <row r="362" ht="24" customHeight="1" hidden="1" spans="1:6" x14ac:dyDescent="0.25" outlineLevel="1" collapsed="1">
      <c r="A362" s="12" t="s">
        <v>886</v>
      </c>
      <c r="B362" s="12"/>
      <c r="C362" s="12"/>
      <c r="D362" s="12"/>
      <c r="E362" s="12"/>
      <c r="F362" s="12"/>
    </row>
    <row r="363" ht="24" customHeight="1" hidden="1" spans="1:6" x14ac:dyDescent="0.25" outlineLevel="1" collapsed="1">
      <c r="A363" s="12" t="s">
        <v>879</v>
      </c>
      <c r="B363" s="12"/>
      <c r="C363" s="12"/>
      <c r="D363" s="12"/>
      <c r="E363" s="12"/>
      <c r="F363" s="12"/>
    </row>
    <row r="364" ht="24" customHeight="1" hidden="1" spans="1:6" x14ac:dyDescent="0.25" outlineLevel="1" collapsed="1">
      <c r="A364" s="12" t="s">
        <v>883</v>
      </c>
      <c r="B364" s="12"/>
      <c r="C364" s="12"/>
      <c r="D364" s="12"/>
      <c r="E364" s="12"/>
      <c r="F364" s="12"/>
    </row>
    <row r="365" ht="6" customHeight="1" hidden="1" x14ac:dyDescent="0.25" outlineLevel="1" collapsed="1"/>
    <row r="366" ht="12" customHeight="1" x14ac:dyDescent="0.25"/>
    <row r="367" ht="24" customHeight="1" spans="1:6" x14ac:dyDescent="0.25">
      <c r="A367" s="24" t="s">
        <v>717</v>
      </c>
      <c r="B367" s="24"/>
      <c r="C367" s="24"/>
      <c r="D367" s="24"/>
      <c r="E367" s="24"/>
      <c r="F367" s="24"/>
    </row>
    <row r="368" ht="22" customHeight="1" spans="1:6" x14ac:dyDescent="0.25">
      <c r="A368" s="25" t="s">
        <v>824</v>
      </c>
      <c r="B368" s="25"/>
      <c r="C368" s="25"/>
      <c r="D368" s="25"/>
      <c r="E368" s="25"/>
      <c r="F368" s="25"/>
    </row>
    <row r="369" ht="20" customHeight="1" hidden="1" spans="1:6" x14ac:dyDescent="0.25" outlineLevel="1" collapsed="1">
      <c r="A369" s="26" t="s">
        <v>460</v>
      </c>
      <c r="B369" s="26" t="s">
        <v>461</v>
      </c>
      <c r="C369" s="26" t="s">
        <v>462</v>
      </c>
      <c r="D369" s="26" t="s">
        <v>32</v>
      </c>
      <c r="E369" s="26" t="s">
        <v>463</v>
      </c>
      <c r="F369" s="26" t="s">
        <v>464</v>
      </c>
    </row>
    <row r="370" ht="36" customHeight="1" hidden="1" spans="1:6" x14ac:dyDescent="0.25" outlineLevel="1" collapsed="1">
      <c r="A370" s="27">
        <v>4310</v>
      </c>
      <c r="B370" s="28" t="s">
        <v>825</v>
      </c>
      <c r="C370" s="27" t="s">
        <v>466</v>
      </c>
      <c r="D370" s="29" t="s">
        <v>32</v>
      </c>
      <c r="E370" s="28" t="s">
        <v>676</v>
      </c>
      <c r="F370" s="28" t="s">
        <v>32</v>
      </c>
    </row>
    <row r="371" ht="36" customHeight="1" hidden="1" spans="1:6" x14ac:dyDescent="0.25" outlineLevel="1" collapsed="1">
      <c r="A371" s="27">
        <v>4320</v>
      </c>
      <c r="B371" s="28" t="s">
        <v>827</v>
      </c>
      <c r="C371" s="27" t="s">
        <v>472</v>
      </c>
      <c r="D371" s="29" t="s">
        <v>32</v>
      </c>
      <c r="E371" s="28" t="s">
        <v>853</v>
      </c>
      <c r="F371" s="28" t="s">
        <v>32</v>
      </c>
    </row>
    <row r="372" ht="66" customHeight="1" hidden="1" spans="1:6" x14ac:dyDescent="0.25" outlineLevel="1" collapsed="1">
      <c r="A372" s="27">
        <v>4335</v>
      </c>
      <c r="B372" s="28" t="s">
        <v>831</v>
      </c>
      <c r="C372" s="27" t="s">
        <v>745</v>
      </c>
      <c r="D372" s="29" t="s">
        <v>32</v>
      </c>
      <c r="E372" s="28" t="s">
        <v>832</v>
      </c>
      <c r="F372" s="28" t="s">
        <v>32</v>
      </c>
    </row>
    <row r="373" ht="51" customHeight="1" hidden="1" spans="1:6" x14ac:dyDescent="0.25" outlineLevel="1" collapsed="1">
      <c r="A373" s="27">
        <v>4337</v>
      </c>
      <c r="B373" s="28" t="s">
        <v>833</v>
      </c>
      <c r="C373" s="27" t="s">
        <v>472</v>
      </c>
      <c r="D373" s="29" t="s">
        <v>32</v>
      </c>
      <c r="E373" s="36" t="s">
        <v>699</v>
      </c>
      <c r="F373" s="28" t="s">
        <v>32</v>
      </c>
    </row>
    <row r="374" ht="36" customHeight="1" hidden="1" spans="1:6" x14ac:dyDescent="0.25" outlineLevel="1" collapsed="1">
      <c r="A374" s="27">
        <v>4350</v>
      </c>
      <c r="B374" s="28" t="s">
        <v>835</v>
      </c>
      <c r="C374" s="27" t="s">
        <v>466</v>
      </c>
      <c r="D374" s="29" t="s">
        <v>32</v>
      </c>
      <c r="E374" s="28" t="s">
        <v>877</v>
      </c>
      <c r="F374" s="28" t="s">
        <v>32</v>
      </c>
    </row>
    <row r="375" ht="22" customHeight="1" hidden="1" spans="1:6" x14ac:dyDescent="0.25" outlineLevel="1" collapsed="1">
      <c r="A375" s="34" t="s">
        <v>495</v>
      </c>
      <c r="B375" s="34"/>
      <c r="C375" s="34"/>
      <c r="D375" s="34"/>
      <c r="E375" s="34"/>
      <c r="F375" s="34"/>
    </row>
    <row r="376" ht="24" customHeight="1" hidden="1" spans="1:6" x14ac:dyDescent="0.25" outlineLevel="1" collapsed="1">
      <c r="A376" s="12" t="s">
        <v>878</v>
      </c>
      <c r="B376" s="12"/>
      <c r="C376" s="12"/>
      <c r="D376" s="12"/>
      <c r="E376" s="12"/>
      <c r="F376" s="12"/>
    </row>
    <row r="377" ht="24" customHeight="1" hidden="1" spans="1:6" x14ac:dyDescent="0.25" outlineLevel="1" collapsed="1">
      <c r="A377" s="12" t="s">
        <v>879</v>
      </c>
      <c r="B377" s="12"/>
      <c r="C377" s="12"/>
      <c r="D377" s="12"/>
      <c r="E377" s="12"/>
      <c r="F377" s="12"/>
    </row>
    <row r="378" ht="24" customHeight="1" hidden="1" spans="1:6" x14ac:dyDescent="0.25" outlineLevel="1" collapsed="1">
      <c r="A378" s="12" t="s">
        <v>880</v>
      </c>
      <c r="B378" s="12"/>
      <c r="C378" s="12"/>
      <c r="D378" s="12"/>
      <c r="E378" s="12"/>
      <c r="F378" s="12"/>
    </row>
    <row r="379" ht="24" customHeight="1" hidden="1" spans="1:6" x14ac:dyDescent="0.25" outlineLevel="1" collapsed="1">
      <c r="A379" s="12" t="s">
        <v>881</v>
      </c>
      <c r="B379" s="12"/>
      <c r="C379" s="12"/>
      <c r="D379" s="12"/>
      <c r="E379" s="12"/>
      <c r="F379" s="12"/>
    </row>
    <row r="380" ht="24" customHeight="1" hidden="1" spans="1:6" x14ac:dyDescent="0.25" outlineLevel="1" collapsed="1">
      <c r="A380" s="12" t="s">
        <v>882</v>
      </c>
      <c r="B380" s="12"/>
      <c r="C380" s="12"/>
      <c r="D380" s="12"/>
      <c r="E380" s="12"/>
      <c r="F380" s="12"/>
    </row>
    <row r="381" ht="24" customHeight="1" hidden="1" spans="1:6" x14ac:dyDescent="0.25" outlineLevel="1" collapsed="1">
      <c r="A381" s="12" t="s">
        <v>883</v>
      </c>
      <c r="B381" s="12"/>
      <c r="C381" s="12"/>
      <c r="D381" s="12"/>
      <c r="E381" s="12"/>
      <c r="F381" s="12"/>
    </row>
    <row r="382" ht="6" customHeight="1" hidden="1" x14ac:dyDescent="0.25" outlineLevel="1" collapsed="1"/>
    <row r="383" ht="22" customHeight="1" spans="1:6" x14ac:dyDescent="0.25">
      <c r="A383" s="25" t="s">
        <v>843</v>
      </c>
      <c r="B383" s="25"/>
      <c r="C383" s="25"/>
      <c r="D383" s="25"/>
      <c r="E383" s="25"/>
      <c r="F383" s="25"/>
    </row>
    <row r="384" ht="20" customHeight="1" hidden="1" spans="1:6" x14ac:dyDescent="0.25" outlineLevel="1" collapsed="1">
      <c r="A384" s="26" t="s">
        <v>460</v>
      </c>
      <c r="B384" s="26" t="s">
        <v>461</v>
      </c>
      <c r="C384" s="26" t="s">
        <v>462</v>
      </c>
      <c r="D384" s="26" t="s">
        <v>32</v>
      </c>
      <c r="E384" s="26" t="s">
        <v>463</v>
      </c>
      <c r="F384" s="26" t="s">
        <v>464</v>
      </c>
    </row>
    <row r="385" ht="51" customHeight="1" hidden="1" spans="1:6" x14ac:dyDescent="0.25" outlineLevel="1" collapsed="1">
      <c r="A385" s="27">
        <v>4310</v>
      </c>
      <c r="B385" s="28" t="s">
        <v>844</v>
      </c>
      <c r="C385" s="27" t="s">
        <v>466</v>
      </c>
      <c r="D385" s="29" t="s">
        <v>32</v>
      </c>
      <c r="E385" s="28" t="s">
        <v>685</v>
      </c>
      <c r="F385" s="28" t="s">
        <v>686</v>
      </c>
    </row>
    <row r="386" ht="21" customHeight="1" hidden="1" spans="1:6" x14ac:dyDescent="0.25" outlineLevel="1" collapsed="1">
      <c r="A386" s="30" t="s">
        <v>32</v>
      </c>
      <c r="B386" s="17" t="s">
        <v>32</v>
      </c>
      <c r="C386" s="30" t="s">
        <v>32</v>
      </c>
      <c r="D386" s="31" t="s">
        <v>32</v>
      </c>
      <c r="E386" s="17" t="s">
        <v>687</v>
      </c>
      <c r="F386" s="17" t="s">
        <v>32</v>
      </c>
    </row>
    <row r="387" ht="21" customHeight="1" hidden="1" spans="1:6" x14ac:dyDescent="0.25" outlineLevel="1" collapsed="1">
      <c r="A387" s="32" t="s">
        <v>32</v>
      </c>
      <c r="B387" s="12" t="s">
        <v>32</v>
      </c>
      <c r="C387" s="32" t="s">
        <v>32</v>
      </c>
      <c r="D387" s="31" t="s">
        <v>32</v>
      </c>
      <c r="E387" s="33" t="s">
        <v>688</v>
      </c>
      <c r="F387" s="12" t="s">
        <v>32</v>
      </c>
    </row>
    <row r="388" ht="51" customHeight="1" hidden="1" spans="1:6" x14ac:dyDescent="0.25" outlineLevel="1" collapsed="1">
      <c r="A388" s="27">
        <v>4320</v>
      </c>
      <c r="B388" s="28" t="s">
        <v>845</v>
      </c>
      <c r="C388" s="27" t="s">
        <v>472</v>
      </c>
      <c r="D388" s="29" t="s">
        <v>32</v>
      </c>
      <c r="E388" s="28" t="s">
        <v>518</v>
      </c>
      <c r="F388" s="28" t="s">
        <v>32</v>
      </c>
    </row>
    <row r="389" ht="22" customHeight="1" hidden="1" spans="1:6" x14ac:dyDescent="0.25" outlineLevel="1" collapsed="1">
      <c r="A389" s="34" t="s">
        <v>495</v>
      </c>
      <c r="B389" s="34"/>
      <c r="C389" s="34"/>
      <c r="D389" s="34"/>
      <c r="E389" s="34"/>
      <c r="F389" s="34"/>
    </row>
    <row r="390" ht="24" customHeight="1" hidden="1" spans="1:6" x14ac:dyDescent="0.25" outlineLevel="1" collapsed="1">
      <c r="A390" s="12" t="s">
        <v>884</v>
      </c>
      <c r="B390" s="12"/>
      <c r="C390" s="12"/>
      <c r="D390" s="12"/>
      <c r="E390" s="12"/>
      <c r="F390" s="12"/>
    </row>
    <row r="391" ht="24" customHeight="1" hidden="1" spans="1:6" x14ac:dyDescent="0.25" outlineLevel="1" collapsed="1">
      <c r="A391" s="12" t="s">
        <v>885</v>
      </c>
      <c r="B391" s="12"/>
      <c r="C391" s="12"/>
      <c r="D391" s="12"/>
      <c r="E391" s="12"/>
      <c r="F391" s="12"/>
    </row>
    <row r="392" ht="24" customHeight="1" hidden="1" spans="1:6" x14ac:dyDescent="0.25" outlineLevel="1" collapsed="1">
      <c r="A392" s="12" t="s">
        <v>883</v>
      </c>
      <c r="B392" s="12"/>
      <c r="C392" s="12"/>
      <c r="D392" s="12"/>
      <c r="E392" s="12"/>
      <c r="F392" s="12"/>
    </row>
    <row r="393" ht="6" customHeight="1" hidden="1" x14ac:dyDescent="0.25" outlineLevel="1" collapsed="1"/>
    <row r="394" ht="22" customHeight="1" spans="1:6" x14ac:dyDescent="0.25">
      <c r="A394" s="25" t="s">
        <v>849</v>
      </c>
      <c r="B394" s="25"/>
      <c r="C394" s="25"/>
      <c r="D394" s="25"/>
      <c r="E394" s="25"/>
      <c r="F394" s="25"/>
    </row>
    <row r="395" ht="20" customHeight="1" hidden="1" spans="1:6" x14ac:dyDescent="0.25" outlineLevel="1" collapsed="1">
      <c r="A395" s="26" t="s">
        <v>460</v>
      </c>
      <c r="B395" s="26" t="s">
        <v>461</v>
      </c>
      <c r="C395" s="26" t="s">
        <v>462</v>
      </c>
      <c r="D395" s="26" t="s">
        <v>32</v>
      </c>
      <c r="E395" s="26" t="s">
        <v>463</v>
      </c>
      <c r="F395" s="26" t="s">
        <v>464</v>
      </c>
    </row>
    <row r="396" ht="36" customHeight="1" hidden="1" spans="1:6" x14ac:dyDescent="0.25" outlineLevel="1" collapsed="1">
      <c r="A396" s="27">
        <v>4310</v>
      </c>
      <c r="B396" s="28" t="s">
        <v>850</v>
      </c>
      <c r="C396" s="27" t="s">
        <v>466</v>
      </c>
      <c r="D396" s="29" t="s">
        <v>32</v>
      </c>
      <c r="E396" s="36" t="s">
        <v>699</v>
      </c>
      <c r="F396" s="28" t="s">
        <v>32</v>
      </c>
    </row>
    <row r="397" ht="36" customHeight="1" hidden="1" spans="1:6" x14ac:dyDescent="0.25" outlineLevel="1" collapsed="1">
      <c r="A397" s="27">
        <v>4320</v>
      </c>
      <c r="B397" s="28" t="s">
        <v>852</v>
      </c>
      <c r="C397" s="27" t="s">
        <v>472</v>
      </c>
      <c r="D397" s="29" t="s">
        <v>32</v>
      </c>
      <c r="E397" s="36" t="s">
        <v>699</v>
      </c>
      <c r="F397" s="28" t="s">
        <v>32</v>
      </c>
    </row>
    <row r="398" ht="22" customHeight="1" hidden="1" spans="1:6" x14ac:dyDescent="0.25" outlineLevel="1" collapsed="1">
      <c r="A398" s="34" t="s">
        <v>495</v>
      </c>
      <c r="B398" s="34"/>
      <c r="C398" s="34"/>
      <c r="D398" s="34"/>
      <c r="E398" s="34"/>
      <c r="F398" s="34"/>
    </row>
    <row r="399" ht="24" customHeight="1" hidden="1" spans="1:6" x14ac:dyDescent="0.25" outlineLevel="1" collapsed="1">
      <c r="A399" s="12" t="s">
        <v>886</v>
      </c>
      <c r="B399" s="12"/>
      <c r="C399" s="12"/>
      <c r="D399" s="12"/>
      <c r="E399" s="12"/>
      <c r="F399" s="12"/>
    </row>
    <row r="400" ht="24" customHeight="1" hidden="1" spans="1:6" x14ac:dyDescent="0.25" outlineLevel="1" collapsed="1">
      <c r="A400" s="12" t="s">
        <v>887</v>
      </c>
      <c r="B400" s="12"/>
      <c r="C400" s="12"/>
      <c r="D400" s="12"/>
      <c r="E400" s="12"/>
      <c r="F400" s="12"/>
    </row>
    <row r="401" ht="24" customHeight="1" hidden="1" spans="1:6" x14ac:dyDescent="0.25" outlineLevel="1" collapsed="1">
      <c r="A401" s="12" t="s">
        <v>883</v>
      </c>
      <c r="B401" s="12"/>
      <c r="C401" s="12"/>
      <c r="D401" s="12"/>
      <c r="E401" s="12"/>
      <c r="F401" s="12"/>
    </row>
    <row r="402" ht="6" customHeight="1" hidden="1" x14ac:dyDescent="0.25" outlineLevel="1" collapsed="1"/>
    <row r="403" ht="22" customHeight="1" spans="1:6" x14ac:dyDescent="0.25">
      <c r="A403" s="25" t="s">
        <v>856</v>
      </c>
      <c r="B403" s="25"/>
      <c r="C403" s="25"/>
      <c r="D403" s="25"/>
      <c r="E403" s="25"/>
      <c r="F403" s="25"/>
    </row>
    <row r="404" ht="20" customHeight="1" hidden="1" spans="1:6" x14ac:dyDescent="0.25" outlineLevel="1" collapsed="1">
      <c r="A404" s="26" t="s">
        <v>460</v>
      </c>
      <c r="B404" s="26" t="s">
        <v>461</v>
      </c>
      <c r="C404" s="26" t="s">
        <v>462</v>
      </c>
      <c r="D404" s="26" t="s">
        <v>32</v>
      </c>
      <c r="E404" s="26" t="s">
        <v>463</v>
      </c>
      <c r="F404" s="26" t="s">
        <v>464</v>
      </c>
    </row>
    <row r="405" ht="36" customHeight="1" hidden="1" spans="1:6" x14ac:dyDescent="0.25" outlineLevel="1" collapsed="1">
      <c r="A405" s="27">
        <v>4310</v>
      </c>
      <c r="B405" s="28" t="s">
        <v>850</v>
      </c>
      <c r="C405" s="27" t="s">
        <v>466</v>
      </c>
      <c r="D405" s="29" t="s">
        <v>32</v>
      </c>
      <c r="E405" s="28" t="s">
        <v>676</v>
      </c>
      <c r="F405" s="28" t="s">
        <v>32</v>
      </c>
    </row>
    <row r="406" ht="36" customHeight="1" hidden="1" spans="1:6" x14ac:dyDescent="0.25" outlineLevel="1" collapsed="1">
      <c r="A406" s="27">
        <v>4320</v>
      </c>
      <c r="B406" s="28" t="s">
        <v>852</v>
      </c>
      <c r="C406" s="27" t="s">
        <v>472</v>
      </c>
      <c r="D406" s="29" t="s">
        <v>32</v>
      </c>
      <c r="E406" s="28" t="s">
        <v>712</v>
      </c>
      <c r="F406" s="28" t="s">
        <v>32</v>
      </c>
    </row>
    <row r="407" ht="22" customHeight="1" hidden="1" spans="1:6" x14ac:dyDescent="0.25" outlineLevel="1" collapsed="1">
      <c r="A407" s="34" t="s">
        <v>495</v>
      </c>
      <c r="B407" s="34"/>
      <c r="C407" s="34"/>
      <c r="D407" s="34"/>
      <c r="E407" s="34"/>
      <c r="F407" s="34"/>
    </row>
    <row r="408" ht="24" customHeight="1" hidden="1" spans="1:6" x14ac:dyDescent="0.25" outlineLevel="1" collapsed="1">
      <c r="A408" s="12" t="s">
        <v>878</v>
      </c>
      <c r="B408" s="12"/>
      <c r="C408" s="12"/>
      <c r="D408" s="12"/>
      <c r="E408" s="12"/>
      <c r="F408" s="12"/>
    </row>
    <row r="409" ht="24" customHeight="1" hidden="1" spans="1:6" x14ac:dyDescent="0.25" outlineLevel="1" collapsed="1">
      <c r="A409" s="12" t="s">
        <v>888</v>
      </c>
      <c r="B409" s="12"/>
      <c r="C409" s="12"/>
      <c r="D409" s="12"/>
      <c r="E409" s="12"/>
      <c r="F409" s="12"/>
    </row>
    <row r="410" ht="24" customHeight="1" hidden="1" spans="1:6" x14ac:dyDescent="0.25" outlineLevel="1" collapsed="1">
      <c r="A410" s="12" t="s">
        <v>883</v>
      </c>
      <c r="B410" s="12"/>
      <c r="C410" s="12"/>
      <c r="D410" s="12"/>
      <c r="E410" s="12"/>
      <c r="F410" s="12"/>
    </row>
    <row r="411" ht="6" customHeight="1" hidden="1" x14ac:dyDescent="0.25" outlineLevel="1" collapsed="1"/>
    <row r="412" ht="22" customHeight="1" spans="1:6" x14ac:dyDescent="0.25">
      <c r="A412" s="25" t="s">
        <v>859</v>
      </c>
      <c r="B412" s="25"/>
      <c r="C412" s="25"/>
      <c r="D412" s="25"/>
      <c r="E412" s="25"/>
      <c r="F412" s="25"/>
    </row>
    <row r="413" ht="20" customHeight="1" hidden="1" spans="1:6" x14ac:dyDescent="0.25" outlineLevel="1" collapsed="1">
      <c r="A413" s="26" t="s">
        <v>460</v>
      </c>
      <c r="B413" s="26" t="s">
        <v>461</v>
      </c>
      <c r="C413" s="26" t="s">
        <v>462</v>
      </c>
      <c r="D413" s="26" t="s">
        <v>32</v>
      </c>
      <c r="E413" s="26" t="s">
        <v>463</v>
      </c>
      <c r="F413" s="26" t="s">
        <v>464</v>
      </c>
    </row>
    <row r="414" ht="36" customHeight="1" hidden="1" spans="1:6" x14ac:dyDescent="0.25" outlineLevel="1" collapsed="1">
      <c r="A414" s="27">
        <v>4310</v>
      </c>
      <c r="B414" s="28" t="s">
        <v>850</v>
      </c>
      <c r="C414" s="27" t="s">
        <v>466</v>
      </c>
      <c r="D414" s="29" t="s">
        <v>32</v>
      </c>
      <c r="E414" s="36" t="s">
        <v>699</v>
      </c>
      <c r="F414" s="28" t="s">
        <v>32</v>
      </c>
    </row>
    <row r="415" ht="36" customHeight="1" hidden="1" spans="1:6" x14ac:dyDescent="0.25" outlineLevel="1" collapsed="1">
      <c r="A415" s="27">
        <v>4320</v>
      </c>
      <c r="B415" s="28" t="s">
        <v>852</v>
      </c>
      <c r="C415" s="27" t="s">
        <v>472</v>
      </c>
      <c r="D415" s="29" t="s">
        <v>32</v>
      </c>
      <c r="E415" s="36" t="s">
        <v>699</v>
      </c>
      <c r="F415" s="28" t="s">
        <v>32</v>
      </c>
    </row>
    <row r="416" ht="22" customHeight="1" hidden="1" spans="1:6" x14ac:dyDescent="0.25" outlineLevel="1" collapsed="1">
      <c r="A416" s="34" t="s">
        <v>495</v>
      </c>
      <c r="B416" s="34"/>
      <c r="C416" s="34"/>
      <c r="D416" s="34"/>
      <c r="E416" s="34"/>
      <c r="F416" s="34"/>
    </row>
    <row r="417" ht="24" customHeight="1" hidden="1" spans="1:6" x14ac:dyDescent="0.25" outlineLevel="1" collapsed="1">
      <c r="A417" s="12" t="s">
        <v>886</v>
      </c>
      <c r="B417" s="12"/>
      <c r="C417" s="12"/>
      <c r="D417" s="12"/>
      <c r="E417" s="12"/>
      <c r="F417" s="12"/>
    </row>
    <row r="418" ht="24" customHeight="1" hidden="1" spans="1:6" x14ac:dyDescent="0.25" outlineLevel="1" collapsed="1">
      <c r="A418" s="12" t="s">
        <v>887</v>
      </c>
      <c r="B418" s="12"/>
      <c r="C418" s="12"/>
      <c r="D418" s="12"/>
      <c r="E418" s="12"/>
      <c r="F418" s="12"/>
    </row>
    <row r="419" ht="24" customHeight="1" hidden="1" spans="1:6" x14ac:dyDescent="0.25" outlineLevel="1" collapsed="1">
      <c r="A419" s="12" t="s">
        <v>883</v>
      </c>
      <c r="B419" s="12"/>
      <c r="C419" s="12"/>
      <c r="D419" s="12"/>
      <c r="E419" s="12"/>
      <c r="F419" s="12"/>
    </row>
    <row r="420" ht="6" customHeight="1" hidden="1" x14ac:dyDescent="0.25" outlineLevel="1" collapsed="1"/>
    <row r="421" ht="22" customHeight="1" spans="1:6" x14ac:dyDescent="0.25">
      <c r="A421" s="25" t="s">
        <v>861</v>
      </c>
      <c r="B421" s="25"/>
      <c r="C421" s="25"/>
      <c r="D421" s="25"/>
      <c r="E421" s="25"/>
      <c r="F421" s="25"/>
    </row>
    <row r="422" ht="20" customHeight="1" hidden="1" spans="1:6" x14ac:dyDescent="0.25" outlineLevel="1" collapsed="1">
      <c r="A422" s="26" t="s">
        <v>460</v>
      </c>
      <c r="B422" s="26" t="s">
        <v>461</v>
      </c>
      <c r="C422" s="26" t="s">
        <v>462</v>
      </c>
      <c r="D422" s="26" t="s">
        <v>32</v>
      </c>
      <c r="E422" s="26" t="s">
        <v>463</v>
      </c>
      <c r="F422" s="26" t="s">
        <v>464</v>
      </c>
    </row>
    <row r="423" ht="36" customHeight="1" hidden="1" spans="1:6" x14ac:dyDescent="0.25" outlineLevel="1" collapsed="1">
      <c r="A423" s="27">
        <v>4310</v>
      </c>
      <c r="B423" s="28" t="s">
        <v>850</v>
      </c>
      <c r="C423" s="27" t="s">
        <v>466</v>
      </c>
      <c r="D423" s="29" t="s">
        <v>32</v>
      </c>
      <c r="E423" s="36" t="s">
        <v>699</v>
      </c>
      <c r="F423" s="28" t="s">
        <v>32</v>
      </c>
    </row>
    <row r="424" ht="36" customHeight="1" hidden="1" spans="1:6" x14ac:dyDescent="0.25" outlineLevel="1" collapsed="1">
      <c r="A424" s="27">
        <v>4320</v>
      </c>
      <c r="B424" s="28" t="s">
        <v>852</v>
      </c>
      <c r="C424" s="27" t="s">
        <v>472</v>
      </c>
      <c r="D424" s="29" t="s">
        <v>32</v>
      </c>
      <c r="E424" s="36" t="s">
        <v>699</v>
      </c>
      <c r="F424" s="28" t="s">
        <v>32</v>
      </c>
    </row>
    <row r="425" ht="22" customHeight="1" hidden="1" spans="1:6" x14ac:dyDescent="0.25" outlineLevel="1" collapsed="1">
      <c r="A425" s="34" t="s">
        <v>495</v>
      </c>
      <c r="B425" s="34"/>
      <c r="C425" s="34"/>
      <c r="D425" s="34"/>
      <c r="E425" s="34"/>
      <c r="F425" s="34"/>
    </row>
    <row r="426" ht="24" customHeight="1" hidden="1" spans="1:6" x14ac:dyDescent="0.25" outlineLevel="1" collapsed="1">
      <c r="A426" s="12" t="s">
        <v>886</v>
      </c>
      <c r="B426" s="12"/>
      <c r="C426" s="12"/>
      <c r="D426" s="12"/>
      <c r="E426" s="12"/>
      <c r="F426" s="12"/>
    </row>
    <row r="427" ht="24" customHeight="1" hidden="1" spans="1:6" x14ac:dyDescent="0.25" outlineLevel="1" collapsed="1">
      <c r="A427" s="12" t="s">
        <v>887</v>
      </c>
      <c r="B427" s="12"/>
      <c r="C427" s="12"/>
      <c r="D427" s="12"/>
      <c r="E427" s="12"/>
      <c r="F427" s="12"/>
    </row>
    <row r="428" ht="24" customHeight="1" hidden="1" spans="1:6" x14ac:dyDescent="0.25" outlineLevel="1" collapsed="1">
      <c r="A428" s="12" t="s">
        <v>883</v>
      </c>
      <c r="B428" s="12"/>
      <c r="C428" s="12"/>
      <c r="D428" s="12"/>
      <c r="E428" s="12"/>
      <c r="F428" s="12"/>
    </row>
    <row r="429" ht="6" customHeight="1" hidden="1" x14ac:dyDescent="0.25" outlineLevel="1" collapsed="1"/>
    <row r="430" ht="22" customHeight="1" spans="1:6" x14ac:dyDescent="0.25">
      <c r="A430" s="25" t="s">
        <v>862</v>
      </c>
      <c r="B430" s="25"/>
      <c r="C430" s="25"/>
      <c r="D430" s="25"/>
      <c r="E430" s="25"/>
      <c r="F430" s="25"/>
    </row>
    <row r="431" ht="20" customHeight="1" hidden="1" spans="1:6" x14ac:dyDescent="0.25" outlineLevel="1" collapsed="1">
      <c r="A431" s="26" t="s">
        <v>460</v>
      </c>
      <c r="B431" s="26" t="s">
        <v>461</v>
      </c>
      <c r="C431" s="26" t="s">
        <v>462</v>
      </c>
      <c r="D431" s="26" t="s">
        <v>32</v>
      </c>
      <c r="E431" s="26" t="s">
        <v>463</v>
      </c>
      <c r="F431" s="26" t="s">
        <v>464</v>
      </c>
    </row>
    <row r="432" ht="36" customHeight="1" hidden="1" spans="1:6" x14ac:dyDescent="0.25" outlineLevel="1" collapsed="1">
      <c r="A432" s="27">
        <v>4310</v>
      </c>
      <c r="B432" s="28" t="s">
        <v>850</v>
      </c>
      <c r="C432" s="27" t="s">
        <v>466</v>
      </c>
      <c r="D432" s="29" t="s">
        <v>32</v>
      </c>
      <c r="E432" s="36" t="s">
        <v>699</v>
      </c>
      <c r="F432" s="28" t="s">
        <v>32</v>
      </c>
    </row>
    <row r="433" ht="36" customHeight="1" hidden="1" spans="1:6" x14ac:dyDescent="0.25" outlineLevel="1" collapsed="1">
      <c r="A433" s="27">
        <v>4320</v>
      </c>
      <c r="B433" s="28" t="s">
        <v>852</v>
      </c>
      <c r="C433" s="27" t="s">
        <v>472</v>
      </c>
      <c r="D433" s="29" t="s">
        <v>32</v>
      </c>
      <c r="E433" s="28" t="s">
        <v>853</v>
      </c>
      <c r="F433" s="28" t="s">
        <v>32</v>
      </c>
    </row>
    <row r="434" ht="22" customHeight="1" hidden="1" spans="1:6" x14ac:dyDescent="0.25" outlineLevel="1" collapsed="1">
      <c r="A434" s="34" t="s">
        <v>495</v>
      </c>
      <c r="B434" s="34"/>
      <c r="C434" s="34"/>
      <c r="D434" s="34"/>
      <c r="E434" s="34"/>
      <c r="F434" s="34"/>
    </row>
    <row r="435" ht="24" customHeight="1" hidden="1" spans="1:6" x14ac:dyDescent="0.25" outlineLevel="1" collapsed="1">
      <c r="A435" s="12" t="s">
        <v>886</v>
      </c>
      <c r="B435" s="12"/>
      <c r="C435" s="12"/>
      <c r="D435" s="12"/>
      <c r="E435" s="12"/>
      <c r="F435" s="12"/>
    </row>
    <row r="436" ht="24" customHeight="1" hidden="1" spans="1:6" x14ac:dyDescent="0.25" outlineLevel="1" collapsed="1">
      <c r="A436" s="12" t="s">
        <v>879</v>
      </c>
      <c r="B436" s="12"/>
      <c r="C436" s="12"/>
      <c r="D436" s="12"/>
      <c r="E436" s="12"/>
      <c r="F436" s="12"/>
    </row>
    <row r="437" ht="24" customHeight="1" hidden="1" spans="1:6" x14ac:dyDescent="0.25" outlineLevel="1" collapsed="1">
      <c r="A437" s="12" t="s">
        <v>883</v>
      </c>
      <c r="B437" s="12"/>
      <c r="C437" s="12"/>
      <c r="D437" s="12"/>
      <c r="E437" s="12"/>
      <c r="F437" s="12"/>
    </row>
    <row r="438" ht="6" customHeight="1" hidden="1" x14ac:dyDescent="0.25" outlineLevel="1" collapsed="1"/>
    <row r="439" ht="12" customHeight="1" x14ac:dyDescent="0.25"/>
    <row r="440" ht="24" customHeight="1" spans="1:6" x14ac:dyDescent="0.25">
      <c r="A440" s="24" t="s">
        <v>718</v>
      </c>
      <c r="B440" s="24"/>
      <c r="C440" s="24"/>
      <c r="D440" s="24"/>
      <c r="E440" s="24"/>
      <c r="F440" s="24"/>
    </row>
    <row r="441" ht="22" customHeight="1" spans="1:6" x14ac:dyDescent="0.25">
      <c r="A441" s="25" t="s">
        <v>824</v>
      </c>
      <c r="B441" s="25"/>
      <c r="C441" s="25"/>
      <c r="D441" s="25"/>
      <c r="E441" s="25"/>
      <c r="F441" s="25"/>
    </row>
    <row r="442" ht="20" customHeight="1" hidden="1" spans="1:6" x14ac:dyDescent="0.25" outlineLevel="1" collapsed="1">
      <c r="A442" s="26" t="s">
        <v>460</v>
      </c>
      <c r="B442" s="26" t="s">
        <v>461</v>
      </c>
      <c r="C442" s="26" t="s">
        <v>462</v>
      </c>
      <c r="D442" s="26" t="s">
        <v>32</v>
      </c>
      <c r="E442" s="26" t="s">
        <v>463</v>
      </c>
      <c r="F442" s="26" t="s">
        <v>464</v>
      </c>
    </row>
    <row r="443" ht="51" customHeight="1" hidden="1" spans="1:6" x14ac:dyDescent="0.25" outlineLevel="1" collapsed="1">
      <c r="A443" s="27">
        <v>4310</v>
      </c>
      <c r="B443" s="28" t="s">
        <v>825</v>
      </c>
      <c r="C443" s="27" t="s">
        <v>466</v>
      </c>
      <c r="D443" s="29" t="s">
        <v>32</v>
      </c>
      <c r="E443" s="28" t="s">
        <v>473</v>
      </c>
      <c r="F443" s="28" t="s">
        <v>863</v>
      </c>
    </row>
    <row r="444" ht="21" customHeight="1" hidden="1" spans="1:6" x14ac:dyDescent="0.25" outlineLevel="1" collapsed="1">
      <c r="A444" s="30" t="s">
        <v>32</v>
      </c>
      <c r="B444" s="17" t="s">
        <v>32</v>
      </c>
      <c r="C444" s="30" t="s">
        <v>32</v>
      </c>
      <c r="D444" s="31" t="s">
        <v>32</v>
      </c>
      <c r="E444" s="17" t="s">
        <v>475</v>
      </c>
      <c r="F444" s="17" t="s">
        <v>32</v>
      </c>
    </row>
    <row r="445" ht="36" customHeight="1" hidden="1" spans="1:6" x14ac:dyDescent="0.25" outlineLevel="1" collapsed="1">
      <c r="A445" s="32" t="s">
        <v>32</v>
      </c>
      <c r="B445" s="12" t="s">
        <v>32</v>
      </c>
      <c r="C445" s="32" t="s">
        <v>32</v>
      </c>
      <c r="D445" s="31" t="s">
        <v>32</v>
      </c>
      <c r="E445" s="12" t="s">
        <v>476</v>
      </c>
      <c r="F445" s="12" t="s">
        <v>32</v>
      </c>
    </row>
    <row r="446" ht="36" customHeight="1" hidden="1" spans="1:6" x14ac:dyDescent="0.25" outlineLevel="1" collapsed="1">
      <c r="A446" s="30" t="s">
        <v>32</v>
      </c>
      <c r="B446" s="17" t="s">
        <v>32</v>
      </c>
      <c r="C446" s="30" t="s">
        <v>32</v>
      </c>
      <c r="D446" s="31" t="s">
        <v>32</v>
      </c>
      <c r="E446" s="17" t="s">
        <v>478</v>
      </c>
      <c r="F446" s="17" t="s">
        <v>32</v>
      </c>
    </row>
    <row r="447" ht="21" customHeight="1" hidden="1" spans="1:6" x14ac:dyDescent="0.25" outlineLevel="1" collapsed="1">
      <c r="A447" s="32" t="s">
        <v>32</v>
      </c>
      <c r="B447" s="12" t="s">
        <v>32</v>
      </c>
      <c r="C447" s="32" t="s">
        <v>32</v>
      </c>
      <c r="D447" s="31" t="s">
        <v>32</v>
      </c>
      <c r="E447" s="12" t="s">
        <v>479</v>
      </c>
      <c r="F447" s="12" t="s">
        <v>32</v>
      </c>
    </row>
    <row r="448" ht="36" customHeight="1" hidden="1" spans="1:6" x14ac:dyDescent="0.25" outlineLevel="1" collapsed="1">
      <c r="A448" s="30" t="s">
        <v>32</v>
      </c>
      <c r="B448" s="17" t="s">
        <v>32</v>
      </c>
      <c r="C448" s="30" t="s">
        <v>32</v>
      </c>
      <c r="D448" s="31" t="s">
        <v>32</v>
      </c>
      <c r="E448" s="35" t="s">
        <v>864</v>
      </c>
      <c r="F448" s="17" t="s">
        <v>32</v>
      </c>
    </row>
    <row r="449" ht="36" customHeight="1" hidden="1" spans="1:6" x14ac:dyDescent="0.25" outlineLevel="1" collapsed="1">
      <c r="A449" s="27">
        <v>4320</v>
      </c>
      <c r="B449" s="28" t="s">
        <v>827</v>
      </c>
      <c r="C449" s="27" t="s">
        <v>472</v>
      </c>
      <c r="D449" s="29" t="s">
        <v>32</v>
      </c>
      <c r="E449" s="28" t="s">
        <v>853</v>
      </c>
      <c r="F449" s="28" t="s">
        <v>32</v>
      </c>
    </row>
    <row r="450" ht="66" customHeight="1" hidden="1" spans="1:6" x14ac:dyDescent="0.25" outlineLevel="1" collapsed="1">
      <c r="A450" s="27">
        <v>4335</v>
      </c>
      <c r="B450" s="28" t="s">
        <v>831</v>
      </c>
      <c r="C450" s="27" t="s">
        <v>745</v>
      </c>
      <c r="D450" s="29" t="s">
        <v>32</v>
      </c>
      <c r="E450" s="28" t="s">
        <v>832</v>
      </c>
      <c r="F450" s="28" t="s">
        <v>32</v>
      </c>
    </row>
    <row r="451" ht="51" customHeight="1" hidden="1" spans="1:6" x14ac:dyDescent="0.25" outlineLevel="1" collapsed="1">
      <c r="A451" s="27">
        <v>4337</v>
      </c>
      <c r="B451" s="28" t="s">
        <v>833</v>
      </c>
      <c r="C451" s="27" t="s">
        <v>472</v>
      </c>
      <c r="D451" s="29" t="s">
        <v>32</v>
      </c>
      <c r="E451" s="28" t="s">
        <v>834</v>
      </c>
      <c r="F451" s="28" t="s">
        <v>32</v>
      </c>
    </row>
    <row r="452" ht="36" customHeight="1" hidden="1" spans="1:6" x14ac:dyDescent="0.25" outlineLevel="1" collapsed="1">
      <c r="A452" s="27">
        <v>4350</v>
      </c>
      <c r="B452" s="28" t="s">
        <v>835</v>
      </c>
      <c r="C452" s="27" t="s">
        <v>466</v>
      </c>
      <c r="D452" s="29" t="s">
        <v>32</v>
      </c>
      <c r="E452" s="28" t="s">
        <v>836</v>
      </c>
      <c r="F452" s="28" t="s">
        <v>32</v>
      </c>
    </row>
    <row r="453" ht="22" customHeight="1" hidden="1" spans="1:6" x14ac:dyDescent="0.25" outlineLevel="1" collapsed="1">
      <c r="A453" s="34" t="s">
        <v>495</v>
      </c>
      <c r="B453" s="34"/>
      <c r="C453" s="34"/>
      <c r="D453" s="34"/>
      <c r="E453" s="34"/>
      <c r="F453" s="34"/>
    </row>
    <row r="454" ht="40" customHeight="1" hidden="1" spans="1:6" x14ac:dyDescent="0.25" outlineLevel="1" collapsed="1">
      <c r="A454" s="12" t="s">
        <v>865</v>
      </c>
      <c r="B454" s="12"/>
      <c r="C454" s="12"/>
      <c r="D454" s="12"/>
      <c r="E454" s="12"/>
      <c r="F454" s="12"/>
    </row>
    <row r="455" ht="24" customHeight="1" hidden="1" spans="1:6" x14ac:dyDescent="0.25" outlineLevel="1" collapsed="1">
      <c r="A455" s="12" t="s">
        <v>866</v>
      </c>
      <c r="B455" s="12"/>
      <c r="C455" s="12"/>
      <c r="D455" s="12"/>
      <c r="E455" s="12"/>
      <c r="F455" s="12"/>
    </row>
    <row r="456" ht="24" customHeight="1" hidden="1" spans="1:6" x14ac:dyDescent="0.25" outlineLevel="1" collapsed="1">
      <c r="A456" s="12" t="s">
        <v>867</v>
      </c>
      <c r="B456" s="12"/>
      <c r="C456" s="12"/>
      <c r="D456" s="12"/>
      <c r="E456" s="12"/>
      <c r="F456" s="12"/>
    </row>
    <row r="457" ht="24" customHeight="1" hidden="1" spans="1:6" x14ac:dyDescent="0.25" outlineLevel="1" collapsed="1">
      <c r="A457" s="12" t="s">
        <v>868</v>
      </c>
      <c r="B457" s="12"/>
      <c r="C457" s="12"/>
      <c r="D457" s="12"/>
      <c r="E457" s="12"/>
      <c r="F457" s="12"/>
    </row>
    <row r="458" ht="24" customHeight="1" hidden="1" spans="1:6" x14ac:dyDescent="0.25" outlineLevel="1" collapsed="1">
      <c r="A458" s="12" t="s">
        <v>869</v>
      </c>
      <c r="B458" s="12"/>
      <c r="C458" s="12"/>
      <c r="D458" s="12"/>
      <c r="E458" s="12"/>
      <c r="F458" s="12"/>
    </row>
    <row r="459" ht="24" customHeight="1" hidden="1" spans="1:6" x14ac:dyDescent="0.25" outlineLevel="1" collapsed="1">
      <c r="A459" s="12" t="s">
        <v>870</v>
      </c>
      <c r="B459" s="12"/>
      <c r="C459" s="12"/>
      <c r="D459" s="12"/>
      <c r="E459" s="12"/>
      <c r="F459" s="12"/>
    </row>
    <row r="460" ht="6" customHeight="1" hidden="1" x14ac:dyDescent="0.25" outlineLevel="1" collapsed="1"/>
    <row r="461" ht="22" customHeight="1" spans="1:6" x14ac:dyDescent="0.25">
      <c r="A461" s="25" t="s">
        <v>843</v>
      </c>
      <c r="B461" s="25"/>
      <c r="C461" s="25"/>
      <c r="D461" s="25"/>
      <c r="E461" s="25"/>
      <c r="F461" s="25"/>
    </row>
    <row r="462" ht="20" customHeight="1" hidden="1" spans="1:6" x14ac:dyDescent="0.25" outlineLevel="1" collapsed="1">
      <c r="A462" s="26" t="s">
        <v>460</v>
      </c>
      <c r="B462" s="26" t="s">
        <v>461</v>
      </c>
      <c r="C462" s="26" t="s">
        <v>462</v>
      </c>
      <c r="D462" s="26" t="s">
        <v>32</v>
      </c>
      <c r="E462" s="26" t="s">
        <v>463</v>
      </c>
      <c r="F462" s="26" t="s">
        <v>464</v>
      </c>
    </row>
    <row r="463" ht="51" customHeight="1" hidden="1" spans="1:6" x14ac:dyDescent="0.25" outlineLevel="1" collapsed="1">
      <c r="A463" s="27">
        <v>4310</v>
      </c>
      <c r="B463" s="28" t="s">
        <v>844</v>
      </c>
      <c r="C463" s="27" t="s">
        <v>466</v>
      </c>
      <c r="D463" s="29" t="s">
        <v>32</v>
      </c>
      <c r="E463" s="28" t="s">
        <v>473</v>
      </c>
      <c r="F463" s="28" t="s">
        <v>474</v>
      </c>
    </row>
    <row r="464" ht="21" customHeight="1" hidden="1" spans="1:6" x14ac:dyDescent="0.25" outlineLevel="1" collapsed="1">
      <c r="A464" s="30" t="s">
        <v>32</v>
      </c>
      <c r="B464" s="17" t="s">
        <v>32</v>
      </c>
      <c r="C464" s="30" t="s">
        <v>32</v>
      </c>
      <c r="D464" s="31" t="s">
        <v>32</v>
      </c>
      <c r="E464" s="17" t="s">
        <v>475</v>
      </c>
      <c r="F464" s="17" t="s">
        <v>32</v>
      </c>
    </row>
    <row r="465" ht="36" customHeight="1" hidden="1" spans="1:6" x14ac:dyDescent="0.25" outlineLevel="1" collapsed="1">
      <c r="A465" s="32" t="s">
        <v>32</v>
      </c>
      <c r="B465" s="12" t="s">
        <v>32</v>
      </c>
      <c r="C465" s="32" t="s">
        <v>32</v>
      </c>
      <c r="D465" s="31" t="s">
        <v>32</v>
      </c>
      <c r="E465" s="12" t="s">
        <v>476</v>
      </c>
      <c r="F465" s="12" t="s">
        <v>32</v>
      </c>
    </row>
    <row r="466" ht="21" customHeight="1" hidden="1" spans="1:6" x14ac:dyDescent="0.25" outlineLevel="1" collapsed="1">
      <c r="A466" s="30" t="s">
        <v>32</v>
      </c>
      <c r="B466" s="17" t="s">
        <v>32</v>
      </c>
      <c r="C466" s="30" t="s">
        <v>32</v>
      </c>
      <c r="D466" s="31" t="s">
        <v>32</v>
      </c>
      <c r="E466" s="17" t="s">
        <v>687</v>
      </c>
      <c r="F466" s="17" t="s">
        <v>32</v>
      </c>
    </row>
    <row r="467" ht="36" customHeight="1" hidden="1" spans="1:6" x14ac:dyDescent="0.25" outlineLevel="1" collapsed="1">
      <c r="A467" s="32" t="s">
        <v>32</v>
      </c>
      <c r="B467" s="12" t="s">
        <v>32</v>
      </c>
      <c r="C467" s="32" t="s">
        <v>32</v>
      </c>
      <c r="D467" s="31" t="s">
        <v>32</v>
      </c>
      <c r="E467" s="12" t="s">
        <v>478</v>
      </c>
      <c r="F467" s="12" t="s">
        <v>32</v>
      </c>
    </row>
    <row r="468" ht="21" customHeight="1" hidden="1" spans="1:6" x14ac:dyDescent="0.25" outlineLevel="1" collapsed="1">
      <c r="A468" s="30" t="s">
        <v>32</v>
      </c>
      <c r="B468" s="17" t="s">
        <v>32</v>
      </c>
      <c r="C468" s="30" t="s">
        <v>32</v>
      </c>
      <c r="D468" s="31" t="s">
        <v>32</v>
      </c>
      <c r="E468" s="17" t="s">
        <v>479</v>
      </c>
      <c r="F468" s="17" t="s">
        <v>32</v>
      </c>
    </row>
    <row r="469" ht="36" customHeight="1" hidden="1" spans="1:6" x14ac:dyDescent="0.25" outlineLevel="1" collapsed="1">
      <c r="A469" s="32" t="s">
        <v>32</v>
      </c>
      <c r="B469" s="12" t="s">
        <v>32</v>
      </c>
      <c r="C469" s="32" t="s">
        <v>32</v>
      </c>
      <c r="D469" s="31" t="s">
        <v>32</v>
      </c>
      <c r="E469" s="33" t="s">
        <v>664</v>
      </c>
      <c r="F469" s="12" t="s">
        <v>32</v>
      </c>
    </row>
    <row r="470" ht="51" customHeight="1" hidden="1" spans="1:6" x14ac:dyDescent="0.25" outlineLevel="1" collapsed="1">
      <c r="A470" s="27">
        <v>4320</v>
      </c>
      <c r="B470" s="28" t="s">
        <v>845</v>
      </c>
      <c r="C470" s="27" t="s">
        <v>472</v>
      </c>
      <c r="D470" s="29" t="s">
        <v>32</v>
      </c>
      <c r="E470" s="28" t="s">
        <v>637</v>
      </c>
      <c r="F470" s="28" t="s">
        <v>846</v>
      </c>
    </row>
    <row r="471" ht="36" customHeight="1" hidden="1" spans="1:6" x14ac:dyDescent="0.25" outlineLevel="1" collapsed="1">
      <c r="A471" s="30" t="s">
        <v>32</v>
      </c>
      <c r="B471" s="17" t="s">
        <v>32</v>
      </c>
      <c r="C471" s="30" t="s">
        <v>32</v>
      </c>
      <c r="D471" s="31" t="s">
        <v>32</v>
      </c>
      <c r="E471" s="17" t="s">
        <v>477</v>
      </c>
      <c r="F471" s="17" t="s">
        <v>32</v>
      </c>
    </row>
    <row r="472" ht="22" customHeight="1" hidden="1" spans="1:6" x14ac:dyDescent="0.25" outlineLevel="1" collapsed="1">
      <c r="A472" s="34" t="s">
        <v>495</v>
      </c>
      <c r="B472" s="34"/>
      <c r="C472" s="34"/>
      <c r="D472" s="34"/>
      <c r="E472" s="34"/>
      <c r="F472" s="34"/>
    </row>
    <row r="473" ht="40" customHeight="1" hidden="1" spans="1:6" x14ac:dyDescent="0.25" outlineLevel="1" collapsed="1">
      <c r="A473" s="12" t="s">
        <v>871</v>
      </c>
      <c r="B473" s="12"/>
      <c r="C473" s="12"/>
      <c r="D473" s="12"/>
      <c r="E473" s="12"/>
      <c r="F473" s="12"/>
    </row>
    <row r="474" ht="24" customHeight="1" hidden="1" spans="1:6" x14ac:dyDescent="0.25" outlineLevel="1" collapsed="1">
      <c r="A474" s="12" t="s">
        <v>872</v>
      </c>
      <c r="B474" s="12"/>
      <c r="C474" s="12"/>
      <c r="D474" s="12"/>
      <c r="E474" s="12"/>
      <c r="F474" s="12"/>
    </row>
    <row r="475" ht="24" customHeight="1" hidden="1" spans="1:6" x14ac:dyDescent="0.25" outlineLevel="1" collapsed="1">
      <c r="A475" s="12" t="s">
        <v>870</v>
      </c>
      <c r="B475" s="12"/>
      <c r="C475" s="12"/>
      <c r="D475" s="12"/>
      <c r="E475" s="12"/>
      <c r="F475" s="12"/>
    </row>
    <row r="476" ht="6" customHeight="1" hidden="1" x14ac:dyDescent="0.25" outlineLevel="1" collapsed="1"/>
    <row r="477" ht="22" customHeight="1" spans="1:6" x14ac:dyDescent="0.25">
      <c r="A477" s="25" t="s">
        <v>849</v>
      </c>
      <c r="B477" s="25"/>
      <c r="C477" s="25"/>
      <c r="D477" s="25"/>
      <c r="E477" s="25"/>
      <c r="F477" s="25"/>
    </row>
    <row r="478" ht="20" customHeight="1" hidden="1" spans="1:6" x14ac:dyDescent="0.25" outlineLevel="1" collapsed="1">
      <c r="A478" s="26" t="s">
        <v>460</v>
      </c>
      <c r="B478" s="26" t="s">
        <v>461</v>
      </c>
      <c r="C478" s="26" t="s">
        <v>462</v>
      </c>
      <c r="D478" s="26" t="s">
        <v>32</v>
      </c>
      <c r="E478" s="26" t="s">
        <v>463</v>
      </c>
      <c r="F478" s="26" t="s">
        <v>464</v>
      </c>
    </row>
    <row r="479" ht="36" customHeight="1" hidden="1" spans="1:6" x14ac:dyDescent="0.25" outlineLevel="1" collapsed="1">
      <c r="A479" s="27">
        <v>4310</v>
      </c>
      <c r="B479" s="28" t="s">
        <v>850</v>
      </c>
      <c r="C479" s="27" t="s">
        <v>466</v>
      </c>
      <c r="D479" s="29" t="s">
        <v>32</v>
      </c>
      <c r="E479" s="28" t="s">
        <v>851</v>
      </c>
      <c r="F479" s="28" t="s">
        <v>32</v>
      </c>
    </row>
    <row r="480" ht="36" customHeight="1" hidden="1" spans="1:6" x14ac:dyDescent="0.25" outlineLevel="1" collapsed="1">
      <c r="A480" s="27">
        <v>4320</v>
      </c>
      <c r="B480" s="28" t="s">
        <v>852</v>
      </c>
      <c r="C480" s="27" t="s">
        <v>472</v>
      </c>
      <c r="D480" s="29" t="s">
        <v>32</v>
      </c>
      <c r="E480" s="28" t="s">
        <v>853</v>
      </c>
      <c r="F480" s="28" t="s">
        <v>32</v>
      </c>
    </row>
    <row r="481" ht="22" customHeight="1" hidden="1" spans="1:6" x14ac:dyDescent="0.25" outlineLevel="1" collapsed="1">
      <c r="A481" s="34" t="s">
        <v>495</v>
      </c>
      <c r="B481" s="34"/>
      <c r="C481" s="34"/>
      <c r="D481" s="34"/>
      <c r="E481" s="34"/>
      <c r="F481" s="34"/>
    </row>
    <row r="482" ht="24" customHeight="1" hidden="1" spans="1:6" x14ac:dyDescent="0.25" outlineLevel="1" collapsed="1">
      <c r="A482" s="12" t="s">
        <v>873</v>
      </c>
      <c r="B482" s="12"/>
      <c r="C482" s="12"/>
      <c r="D482" s="12"/>
      <c r="E482" s="12"/>
      <c r="F482" s="12"/>
    </row>
    <row r="483" ht="24" customHeight="1" hidden="1" spans="1:6" x14ac:dyDescent="0.25" outlineLevel="1" collapsed="1">
      <c r="A483" s="12" t="s">
        <v>866</v>
      </c>
      <c r="B483" s="12"/>
      <c r="C483" s="12"/>
      <c r="D483" s="12"/>
      <c r="E483" s="12"/>
      <c r="F483" s="12"/>
    </row>
    <row r="484" ht="24" customHeight="1" hidden="1" spans="1:6" x14ac:dyDescent="0.25" outlineLevel="1" collapsed="1">
      <c r="A484" s="12" t="s">
        <v>870</v>
      </c>
      <c r="B484" s="12"/>
      <c r="C484" s="12"/>
      <c r="D484" s="12"/>
      <c r="E484" s="12"/>
      <c r="F484" s="12"/>
    </row>
    <row r="485" ht="6" customHeight="1" hidden="1" x14ac:dyDescent="0.25" outlineLevel="1" collapsed="1"/>
    <row r="486" ht="22" customHeight="1" spans="1:6" x14ac:dyDescent="0.25">
      <c r="A486" s="25" t="s">
        <v>856</v>
      </c>
      <c r="B486" s="25"/>
      <c r="C486" s="25"/>
      <c r="D486" s="25"/>
      <c r="E486" s="25"/>
      <c r="F486" s="25"/>
    </row>
    <row r="487" ht="20" customHeight="1" hidden="1" spans="1:6" x14ac:dyDescent="0.25" outlineLevel="1" collapsed="1">
      <c r="A487" s="26" t="s">
        <v>460</v>
      </c>
      <c r="B487" s="26" t="s">
        <v>461</v>
      </c>
      <c r="C487" s="26" t="s">
        <v>462</v>
      </c>
      <c r="D487" s="26" t="s">
        <v>32</v>
      </c>
      <c r="E487" s="26" t="s">
        <v>463</v>
      </c>
      <c r="F487" s="26" t="s">
        <v>464</v>
      </c>
    </row>
    <row r="488" ht="36" customHeight="1" hidden="1" spans="1:6" x14ac:dyDescent="0.25" outlineLevel="1" collapsed="1">
      <c r="A488" s="27">
        <v>4310</v>
      </c>
      <c r="B488" s="28" t="s">
        <v>850</v>
      </c>
      <c r="C488" s="27" t="s">
        <v>466</v>
      </c>
      <c r="D488" s="29" t="s">
        <v>32</v>
      </c>
      <c r="E488" s="36" t="s">
        <v>668</v>
      </c>
      <c r="F488" s="28" t="s">
        <v>32</v>
      </c>
    </row>
    <row r="489" ht="36" customHeight="1" hidden="1" spans="1:6" x14ac:dyDescent="0.25" outlineLevel="1" collapsed="1">
      <c r="A489" s="27">
        <v>4320</v>
      </c>
      <c r="B489" s="28" t="s">
        <v>852</v>
      </c>
      <c r="C489" s="27" t="s">
        <v>472</v>
      </c>
      <c r="D489" s="29" t="s">
        <v>32</v>
      </c>
      <c r="E489" s="36" t="s">
        <v>668</v>
      </c>
      <c r="F489" s="28" t="s">
        <v>32</v>
      </c>
    </row>
    <row r="490" ht="22" customHeight="1" hidden="1" spans="1:6" x14ac:dyDescent="0.25" outlineLevel="1" collapsed="1">
      <c r="A490" s="34" t="s">
        <v>495</v>
      </c>
      <c r="B490" s="34"/>
      <c r="C490" s="34"/>
      <c r="D490" s="34"/>
      <c r="E490" s="34"/>
      <c r="F490" s="34"/>
    </row>
    <row r="491" ht="24" customHeight="1" hidden="1" spans="1:6" x14ac:dyDescent="0.25" outlineLevel="1" collapsed="1">
      <c r="A491" s="12" t="s">
        <v>874</v>
      </c>
      <c r="B491" s="12"/>
      <c r="C491" s="12"/>
      <c r="D491" s="12"/>
      <c r="E491" s="12"/>
      <c r="F491" s="12"/>
    </row>
    <row r="492" ht="24" customHeight="1" hidden="1" spans="1:6" x14ac:dyDescent="0.25" outlineLevel="1" collapsed="1">
      <c r="A492" s="12" t="s">
        <v>875</v>
      </c>
      <c r="B492" s="12"/>
      <c r="C492" s="12"/>
      <c r="D492" s="12"/>
      <c r="E492" s="12"/>
      <c r="F492" s="12"/>
    </row>
    <row r="493" ht="24" customHeight="1" hidden="1" spans="1:6" x14ac:dyDescent="0.25" outlineLevel="1" collapsed="1">
      <c r="A493" s="12" t="s">
        <v>870</v>
      </c>
      <c r="B493" s="12"/>
      <c r="C493" s="12"/>
      <c r="D493" s="12"/>
      <c r="E493" s="12"/>
      <c r="F493" s="12"/>
    </row>
    <row r="494" ht="6" customHeight="1" hidden="1" x14ac:dyDescent="0.25" outlineLevel="1" collapsed="1"/>
    <row r="495" ht="22" customHeight="1" spans="1:6" x14ac:dyDescent="0.25">
      <c r="A495" s="25" t="s">
        <v>859</v>
      </c>
      <c r="B495" s="25"/>
      <c r="C495" s="25"/>
      <c r="D495" s="25"/>
      <c r="E495" s="25"/>
      <c r="F495" s="25"/>
    </row>
    <row r="496" ht="20" customHeight="1" hidden="1" spans="1:6" x14ac:dyDescent="0.25" outlineLevel="1" collapsed="1">
      <c r="A496" s="26" t="s">
        <v>460</v>
      </c>
      <c r="B496" s="26" t="s">
        <v>461</v>
      </c>
      <c r="C496" s="26" t="s">
        <v>462</v>
      </c>
      <c r="D496" s="26" t="s">
        <v>32</v>
      </c>
      <c r="E496" s="26" t="s">
        <v>463</v>
      </c>
      <c r="F496" s="26" t="s">
        <v>464</v>
      </c>
    </row>
    <row r="497" ht="36" customHeight="1" hidden="1" spans="1:6" x14ac:dyDescent="0.25" outlineLevel="1" collapsed="1">
      <c r="A497" s="27">
        <v>4310</v>
      </c>
      <c r="B497" s="28" t="s">
        <v>850</v>
      </c>
      <c r="C497" s="27" t="s">
        <v>466</v>
      </c>
      <c r="D497" s="29" t="s">
        <v>32</v>
      </c>
      <c r="E497" s="36" t="s">
        <v>668</v>
      </c>
      <c r="F497" s="28" t="s">
        <v>32</v>
      </c>
    </row>
    <row r="498" ht="36" customHeight="1" hidden="1" spans="1:6" x14ac:dyDescent="0.25" outlineLevel="1" collapsed="1">
      <c r="A498" s="27">
        <v>4320</v>
      </c>
      <c r="B498" s="28" t="s">
        <v>852</v>
      </c>
      <c r="C498" s="27" t="s">
        <v>472</v>
      </c>
      <c r="D498" s="29" t="s">
        <v>32</v>
      </c>
      <c r="E498" s="28" t="s">
        <v>506</v>
      </c>
      <c r="F498" s="28" t="s">
        <v>32</v>
      </c>
    </row>
    <row r="499" ht="22" customHeight="1" hidden="1" spans="1:6" x14ac:dyDescent="0.25" outlineLevel="1" collapsed="1">
      <c r="A499" s="34" t="s">
        <v>495</v>
      </c>
      <c r="B499" s="34"/>
      <c r="C499" s="34"/>
      <c r="D499" s="34"/>
      <c r="E499" s="34"/>
      <c r="F499" s="34"/>
    </row>
    <row r="500" ht="24" customHeight="1" hidden="1" spans="1:6" x14ac:dyDescent="0.25" outlineLevel="1" collapsed="1">
      <c r="A500" s="12" t="s">
        <v>874</v>
      </c>
      <c r="B500" s="12"/>
      <c r="C500" s="12"/>
      <c r="D500" s="12"/>
      <c r="E500" s="12"/>
      <c r="F500" s="12"/>
    </row>
    <row r="501" ht="24" customHeight="1" hidden="1" spans="1:6" x14ac:dyDescent="0.25" outlineLevel="1" collapsed="1">
      <c r="A501" s="12" t="s">
        <v>876</v>
      </c>
      <c r="B501" s="12"/>
      <c r="C501" s="12"/>
      <c r="D501" s="12"/>
      <c r="E501" s="12"/>
      <c r="F501" s="12"/>
    </row>
    <row r="502" ht="24" customHeight="1" hidden="1" spans="1:6" x14ac:dyDescent="0.25" outlineLevel="1" collapsed="1">
      <c r="A502" s="12" t="s">
        <v>870</v>
      </c>
      <c r="B502" s="12"/>
      <c r="C502" s="12"/>
      <c r="D502" s="12"/>
      <c r="E502" s="12"/>
      <c r="F502" s="12"/>
    </row>
    <row r="503" ht="6" customHeight="1" hidden="1" x14ac:dyDescent="0.25" outlineLevel="1" collapsed="1"/>
    <row r="504" ht="22" customHeight="1" spans="1:6" x14ac:dyDescent="0.25">
      <c r="A504" s="25" t="s">
        <v>861</v>
      </c>
      <c r="B504" s="25"/>
      <c r="C504" s="25"/>
      <c r="D504" s="25"/>
      <c r="E504" s="25"/>
      <c r="F504" s="25"/>
    </row>
    <row r="505" ht="20" customHeight="1" hidden="1" spans="1:6" x14ac:dyDescent="0.25" outlineLevel="1" collapsed="1">
      <c r="A505" s="26" t="s">
        <v>460</v>
      </c>
      <c r="B505" s="26" t="s">
        <v>461</v>
      </c>
      <c r="C505" s="26" t="s">
        <v>462</v>
      </c>
      <c r="D505" s="26" t="s">
        <v>32</v>
      </c>
      <c r="E505" s="26" t="s">
        <v>463</v>
      </c>
      <c r="F505" s="26" t="s">
        <v>464</v>
      </c>
    </row>
    <row r="506" ht="36" customHeight="1" hidden="1" spans="1:6" x14ac:dyDescent="0.25" outlineLevel="1" collapsed="1">
      <c r="A506" s="27">
        <v>4310</v>
      </c>
      <c r="B506" s="28" t="s">
        <v>850</v>
      </c>
      <c r="C506" s="27" t="s">
        <v>466</v>
      </c>
      <c r="D506" s="29" t="s">
        <v>32</v>
      </c>
      <c r="E506" s="36" t="s">
        <v>668</v>
      </c>
      <c r="F506" s="28" t="s">
        <v>32</v>
      </c>
    </row>
    <row r="507" ht="36" customHeight="1" hidden="1" spans="1:6" x14ac:dyDescent="0.25" outlineLevel="1" collapsed="1">
      <c r="A507" s="27">
        <v>4320</v>
      </c>
      <c r="B507" s="28" t="s">
        <v>852</v>
      </c>
      <c r="C507" s="27" t="s">
        <v>472</v>
      </c>
      <c r="D507" s="29" t="s">
        <v>32</v>
      </c>
      <c r="E507" s="28" t="s">
        <v>853</v>
      </c>
      <c r="F507" s="28" t="s">
        <v>32</v>
      </c>
    </row>
    <row r="508" ht="22" customHeight="1" hidden="1" spans="1:6" x14ac:dyDescent="0.25" outlineLevel="1" collapsed="1">
      <c r="A508" s="34" t="s">
        <v>495</v>
      </c>
      <c r="B508" s="34"/>
      <c r="C508" s="34"/>
      <c r="D508" s="34"/>
      <c r="E508" s="34"/>
      <c r="F508" s="34"/>
    </row>
    <row r="509" ht="24" customHeight="1" hidden="1" spans="1:6" x14ac:dyDescent="0.25" outlineLevel="1" collapsed="1">
      <c r="A509" s="12" t="s">
        <v>874</v>
      </c>
      <c r="B509" s="12"/>
      <c r="C509" s="12"/>
      <c r="D509" s="12"/>
      <c r="E509" s="12"/>
      <c r="F509" s="12"/>
    </row>
    <row r="510" ht="24" customHeight="1" hidden="1" spans="1:6" x14ac:dyDescent="0.25" outlineLevel="1" collapsed="1">
      <c r="A510" s="12" t="s">
        <v>866</v>
      </c>
      <c r="B510" s="12"/>
      <c r="C510" s="12"/>
      <c r="D510" s="12"/>
      <c r="E510" s="12"/>
      <c r="F510" s="12"/>
    </row>
    <row r="511" ht="24" customHeight="1" hidden="1" spans="1:6" x14ac:dyDescent="0.25" outlineLevel="1" collapsed="1">
      <c r="A511" s="12" t="s">
        <v>870</v>
      </c>
      <c r="B511" s="12"/>
      <c r="C511" s="12"/>
      <c r="D511" s="12"/>
      <c r="E511" s="12"/>
      <c r="F511" s="12"/>
    </row>
    <row r="512" ht="6" customHeight="1" hidden="1" x14ac:dyDescent="0.25" outlineLevel="1" collapsed="1"/>
    <row r="513" ht="22" customHeight="1" spans="1:6" x14ac:dyDescent="0.25">
      <c r="A513" s="25" t="s">
        <v>862</v>
      </c>
      <c r="B513" s="25"/>
      <c r="C513" s="25"/>
      <c r="D513" s="25"/>
      <c r="E513" s="25"/>
      <c r="F513" s="25"/>
    </row>
    <row r="514" ht="20" customHeight="1" hidden="1" spans="1:6" x14ac:dyDescent="0.25" outlineLevel="1" collapsed="1">
      <c r="A514" s="26" t="s">
        <v>460</v>
      </c>
      <c r="B514" s="26" t="s">
        <v>461</v>
      </c>
      <c r="C514" s="26" t="s">
        <v>462</v>
      </c>
      <c r="D514" s="26" t="s">
        <v>32</v>
      </c>
      <c r="E514" s="26" t="s">
        <v>463</v>
      </c>
      <c r="F514" s="26" t="s">
        <v>464</v>
      </c>
    </row>
    <row r="515" ht="36" customHeight="1" hidden="1" spans="1:6" x14ac:dyDescent="0.25" outlineLevel="1" collapsed="1">
      <c r="A515" s="27">
        <v>4310</v>
      </c>
      <c r="B515" s="28" t="s">
        <v>850</v>
      </c>
      <c r="C515" s="27" t="s">
        <v>466</v>
      </c>
      <c r="D515" s="29" t="s">
        <v>32</v>
      </c>
      <c r="E515" s="36" t="s">
        <v>668</v>
      </c>
      <c r="F515" s="28" t="s">
        <v>32</v>
      </c>
    </row>
    <row r="516" ht="36" customHeight="1" hidden="1" spans="1:6" x14ac:dyDescent="0.25" outlineLevel="1" collapsed="1">
      <c r="A516" s="27">
        <v>4320</v>
      </c>
      <c r="B516" s="28" t="s">
        <v>852</v>
      </c>
      <c r="C516" s="27" t="s">
        <v>472</v>
      </c>
      <c r="D516" s="29" t="s">
        <v>32</v>
      </c>
      <c r="E516" s="28" t="s">
        <v>853</v>
      </c>
      <c r="F516" s="28" t="s">
        <v>32</v>
      </c>
    </row>
    <row r="517" ht="22" customHeight="1" hidden="1" spans="1:6" x14ac:dyDescent="0.25" outlineLevel="1" collapsed="1">
      <c r="A517" s="34" t="s">
        <v>495</v>
      </c>
      <c r="B517" s="34"/>
      <c r="C517" s="34"/>
      <c r="D517" s="34"/>
      <c r="E517" s="34"/>
      <c r="F517" s="34"/>
    </row>
    <row r="518" ht="24" customHeight="1" hidden="1" spans="1:6" x14ac:dyDescent="0.25" outlineLevel="1" collapsed="1">
      <c r="A518" s="12" t="s">
        <v>874</v>
      </c>
      <c r="B518" s="12"/>
      <c r="C518" s="12"/>
      <c r="D518" s="12"/>
      <c r="E518" s="12"/>
      <c r="F518" s="12"/>
    </row>
    <row r="519" ht="24" customHeight="1" hidden="1" spans="1:6" x14ac:dyDescent="0.25" outlineLevel="1" collapsed="1">
      <c r="A519" s="12" t="s">
        <v>866</v>
      </c>
      <c r="B519" s="12"/>
      <c r="C519" s="12"/>
      <c r="D519" s="12"/>
      <c r="E519" s="12"/>
      <c r="F519" s="12"/>
    </row>
    <row r="520" ht="24" customHeight="1" hidden="1" spans="1:6" x14ac:dyDescent="0.25" outlineLevel="1" collapsed="1">
      <c r="A520" s="12" t="s">
        <v>870</v>
      </c>
      <c r="B520" s="12"/>
      <c r="C520" s="12"/>
      <c r="D520" s="12"/>
      <c r="E520" s="12"/>
      <c r="F520" s="12"/>
    </row>
    <row r="521" ht="6" customHeight="1" hidden="1" x14ac:dyDescent="0.25" outlineLevel="1" collapsed="1"/>
    <row r="522" ht="12" customHeight="1" x14ac:dyDescent="0.25"/>
    <row r="523" ht="12" customHeight="1" x14ac:dyDescent="0.25"/>
    <row r="524" ht="70" customHeight="1" spans="1:6" x14ac:dyDescent="0.25">
      <c r="A524" s="7" t="s">
        <v>719</v>
      </c>
      <c r="B524" s="7"/>
      <c r="C524" s="7"/>
      <c r="D524" s="7"/>
      <c r="E524" s="7"/>
      <c r="F524" s="7"/>
    </row>
    <row r="525" ht="8" customHeight="1" x14ac:dyDescent="0.25"/>
    <row r="526" ht="18" customHeight="1" spans="1:6" x14ac:dyDescent="0.25">
      <c r="A526" s="23" t="s">
        <v>454</v>
      </c>
      <c r="B526" s="23"/>
      <c r="C526" s="23"/>
      <c r="D526" s="23"/>
      <c r="E526" s="23"/>
      <c r="F526" s="23"/>
    </row>
  </sheetData>
  <mergeCells count="254">
    <mergeCell ref="A2:F2"/>
    <mergeCell ref="A3:F3"/>
    <mergeCell ref="A4:F4"/>
    <mergeCell ref="A6:F6"/>
    <mergeCell ref="A7:F7"/>
    <mergeCell ref="A21:F21"/>
    <mergeCell ref="A22:F22"/>
    <mergeCell ref="A23:F23"/>
    <mergeCell ref="A24:F24"/>
    <mergeCell ref="A25:F25"/>
    <mergeCell ref="A26:F26"/>
    <mergeCell ref="A27:F27"/>
    <mergeCell ref="A29:F29"/>
    <mergeCell ref="A40:F40"/>
    <mergeCell ref="A41:F41"/>
    <mergeCell ref="A42:F42"/>
    <mergeCell ref="A43:F43"/>
    <mergeCell ref="A45:F45"/>
    <mergeCell ref="A49:F49"/>
    <mergeCell ref="A50:F50"/>
    <mergeCell ref="A51:F51"/>
    <mergeCell ref="A52:F52"/>
    <mergeCell ref="A54:F54"/>
    <mergeCell ref="A58:F58"/>
    <mergeCell ref="A59:F59"/>
    <mergeCell ref="A60:F60"/>
    <mergeCell ref="A61:F61"/>
    <mergeCell ref="A63:F63"/>
    <mergeCell ref="A67:F67"/>
    <mergeCell ref="A68:F68"/>
    <mergeCell ref="A69:F69"/>
    <mergeCell ref="A70:F70"/>
    <mergeCell ref="A72:F72"/>
    <mergeCell ref="A76:F76"/>
    <mergeCell ref="A77:F77"/>
    <mergeCell ref="A78:F78"/>
    <mergeCell ref="A79:F79"/>
    <mergeCell ref="A81:F81"/>
    <mergeCell ref="A85:F85"/>
    <mergeCell ref="A86:F86"/>
    <mergeCell ref="A87:F87"/>
    <mergeCell ref="A88:F88"/>
    <mergeCell ref="A91:F91"/>
    <mergeCell ref="A92:F92"/>
    <mergeCell ref="A104:F104"/>
    <mergeCell ref="A105:F105"/>
    <mergeCell ref="A106:F106"/>
    <mergeCell ref="A107:F107"/>
    <mergeCell ref="A108:F108"/>
    <mergeCell ref="A109:F109"/>
    <mergeCell ref="A110:F110"/>
    <mergeCell ref="A112:F112"/>
    <mergeCell ref="A123:F123"/>
    <mergeCell ref="A124:F124"/>
    <mergeCell ref="A125:F125"/>
    <mergeCell ref="A126:F126"/>
    <mergeCell ref="A128:F128"/>
    <mergeCell ref="A132:F132"/>
    <mergeCell ref="A133:F133"/>
    <mergeCell ref="A134:F134"/>
    <mergeCell ref="A135:F135"/>
    <mergeCell ref="A137:F137"/>
    <mergeCell ref="A141:F141"/>
    <mergeCell ref="A142:F142"/>
    <mergeCell ref="A143:F143"/>
    <mergeCell ref="A144:F144"/>
    <mergeCell ref="A146:F146"/>
    <mergeCell ref="A150:F150"/>
    <mergeCell ref="A151:F151"/>
    <mergeCell ref="A152:F152"/>
    <mergeCell ref="A153:F153"/>
    <mergeCell ref="A155:F155"/>
    <mergeCell ref="A159:F159"/>
    <mergeCell ref="A160:F160"/>
    <mergeCell ref="A161:F161"/>
    <mergeCell ref="A162:F162"/>
    <mergeCell ref="A164:F164"/>
    <mergeCell ref="A168:F168"/>
    <mergeCell ref="A169:F169"/>
    <mergeCell ref="A170:F170"/>
    <mergeCell ref="A171:F171"/>
    <mergeCell ref="A174:F174"/>
    <mergeCell ref="A175:F175"/>
    <mergeCell ref="A182:F182"/>
    <mergeCell ref="A184:F184"/>
    <mergeCell ref="A188:F188"/>
    <mergeCell ref="A190:F190"/>
    <mergeCell ref="A194:F194"/>
    <mergeCell ref="A196:F196"/>
    <mergeCell ref="A200:F200"/>
    <mergeCell ref="A202:F202"/>
    <mergeCell ref="A206:F206"/>
    <mergeCell ref="A208:F208"/>
    <mergeCell ref="A212:F212"/>
    <mergeCell ref="A214:F214"/>
    <mergeCell ref="A218:F218"/>
    <mergeCell ref="A221:F221"/>
    <mergeCell ref="A222:F222"/>
    <mergeCell ref="A229:F229"/>
    <mergeCell ref="A230:F230"/>
    <mergeCell ref="A231:F231"/>
    <mergeCell ref="A232:F232"/>
    <mergeCell ref="A233:F233"/>
    <mergeCell ref="A234:F234"/>
    <mergeCell ref="A235:F235"/>
    <mergeCell ref="A237:F237"/>
    <mergeCell ref="A243:F243"/>
    <mergeCell ref="A244:F244"/>
    <mergeCell ref="A245:F245"/>
    <mergeCell ref="A246:F246"/>
    <mergeCell ref="A248:F248"/>
    <mergeCell ref="A252:F252"/>
    <mergeCell ref="A253:F253"/>
    <mergeCell ref="A254:F254"/>
    <mergeCell ref="A255:F255"/>
    <mergeCell ref="A257:F257"/>
    <mergeCell ref="A261:F261"/>
    <mergeCell ref="A262:F262"/>
    <mergeCell ref="A263:F263"/>
    <mergeCell ref="A264:F264"/>
    <mergeCell ref="A266:F266"/>
    <mergeCell ref="A270:F270"/>
    <mergeCell ref="A271:F271"/>
    <mergeCell ref="A272:F272"/>
    <mergeCell ref="A273:F273"/>
    <mergeCell ref="A275:F275"/>
    <mergeCell ref="A279:F279"/>
    <mergeCell ref="A280:F280"/>
    <mergeCell ref="A281:F281"/>
    <mergeCell ref="A282:F282"/>
    <mergeCell ref="A284:F284"/>
    <mergeCell ref="A288:F288"/>
    <mergeCell ref="A289:F289"/>
    <mergeCell ref="A290:F290"/>
    <mergeCell ref="A291:F291"/>
    <mergeCell ref="A294:F294"/>
    <mergeCell ref="A295:F295"/>
    <mergeCell ref="A302:F302"/>
    <mergeCell ref="A303:F303"/>
    <mergeCell ref="A304:F304"/>
    <mergeCell ref="A305:F305"/>
    <mergeCell ref="A306:F306"/>
    <mergeCell ref="A307:F307"/>
    <mergeCell ref="A308:F308"/>
    <mergeCell ref="A310:F310"/>
    <mergeCell ref="A316:F316"/>
    <mergeCell ref="A317:F317"/>
    <mergeCell ref="A318:F318"/>
    <mergeCell ref="A319:F319"/>
    <mergeCell ref="A321:F321"/>
    <mergeCell ref="A325:F325"/>
    <mergeCell ref="A326:F326"/>
    <mergeCell ref="A327:F327"/>
    <mergeCell ref="A328:F328"/>
    <mergeCell ref="A330:F330"/>
    <mergeCell ref="A334:F334"/>
    <mergeCell ref="A335:F335"/>
    <mergeCell ref="A336:F336"/>
    <mergeCell ref="A337:F337"/>
    <mergeCell ref="A339:F339"/>
    <mergeCell ref="A343:F343"/>
    <mergeCell ref="A344:F344"/>
    <mergeCell ref="A345:F345"/>
    <mergeCell ref="A346:F346"/>
    <mergeCell ref="A348:F348"/>
    <mergeCell ref="A352:F352"/>
    <mergeCell ref="A353:F353"/>
    <mergeCell ref="A354:F354"/>
    <mergeCell ref="A355:F355"/>
    <mergeCell ref="A357:F357"/>
    <mergeCell ref="A361:F361"/>
    <mergeCell ref="A362:F362"/>
    <mergeCell ref="A363:F363"/>
    <mergeCell ref="A364:F364"/>
    <mergeCell ref="A367:F367"/>
    <mergeCell ref="A368:F368"/>
    <mergeCell ref="A375:F375"/>
    <mergeCell ref="A376:F376"/>
    <mergeCell ref="A377:F377"/>
    <mergeCell ref="A378:F378"/>
    <mergeCell ref="A379:F379"/>
    <mergeCell ref="A380:F380"/>
    <mergeCell ref="A381:F381"/>
    <mergeCell ref="A383:F383"/>
    <mergeCell ref="A389:F389"/>
    <mergeCell ref="A390:F390"/>
    <mergeCell ref="A391:F391"/>
    <mergeCell ref="A392:F392"/>
    <mergeCell ref="A394:F394"/>
    <mergeCell ref="A398:F398"/>
    <mergeCell ref="A399:F399"/>
    <mergeCell ref="A400:F400"/>
    <mergeCell ref="A401:F401"/>
    <mergeCell ref="A403:F403"/>
    <mergeCell ref="A407:F407"/>
    <mergeCell ref="A408:F408"/>
    <mergeCell ref="A409:F409"/>
    <mergeCell ref="A410:F410"/>
    <mergeCell ref="A412:F412"/>
    <mergeCell ref="A416:F416"/>
    <mergeCell ref="A417:F417"/>
    <mergeCell ref="A418:F418"/>
    <mergeCell ref="A419:F419"/>
    <mergeCell ref="A421:F421"/>
    <mergeCell ref="A425:F425"/>
    <mergeCell ref="A426:F426"/>
    <mergeCell ref="A427:F427"/>
    <mergeCell ref="A428:F428"/>
    <mergeCell ref="A430:F430"/>
    <mergeCell ref="A434:F434"/>
    <mergeCell ref="A435:F435"/>
    <mergeCell ref="A436:F436"/>
    <mergeCell ref="A437:F437"/>
    <mergeCell ref="A440:F440"/>
    <mergeCell ref="A441:F441"/>
    <mergeCell ref="A453:F453"/>
    <mergeCell ref="A454:F454"/>
    <mergeCell ref="A455:F455"/>
    <mergeCell ref="A456:F456"/>
    <mergeCell ref="A457:F457"/>
    <mergeCell ref="A458:F458"/>
    <mergeCell ref="A459:F459"/>
    <mergeCell ref="A461:F461"/>
    <mergeCell ref="A472:F472"/>
    <mergeCell ref="A473:F473"/>
    <mergeCell ref="A474:F474"/>
    <mergeCell ref="A475:F475"/>
    <mergeCell ref="A477:F477"/>
    <mergeCell ref="A481:F481"/>
    <mergeCell ref="A482:F482"/>
    <mergeCell ref="A483:F483"/>
    <mergeCell ref="A484:F484"/>
    <mergeCell ref="A486:F486"/>
    <mergeCell ref="A490:F490"/>
    <mergeCell ref="A491:F491"/>
    <mergeCell ref="A492:F492"/>
    <mergeCell ref="A493:F493"/>
    <mergeCell ref="A495:F495"/>
    <mergeCell ref="A499:F499"/>
    <mergeCell ref="A500:F500"/>
    <mergeCell ref="A501:F501"/>
    <mergeCell ref="A502:F502"/>
    <mergeCell ref="A504:F504"/>
    <mergeCell ref="A508:F508"/>
    <mergeCell ref="A509:F509"/>
    <mergeCell ref="A510:F510"/>
    <mergeCell ref="A511:F511"/>
    <mergeCell ref="A513:F513"/>
    <mergeCell ref="A517:F517"/>
    <mergeCell ref="A518:F518"/>
    <mergeCell ref="A519:F519"/>
    <mergeCell ref="A520:F520"/>
    <mergeCell ref="A524:F524"/>
    <mergeCell ref="A526:F526"/>
  </mergeCells>
  <printOptions horizontalCentered="1"/>
  <pageMargins left="0.3" right="0.3" top="0.3" bottom="0.3" header="0.5" footer="0.5"/>
  <pageSetup paperSize="3"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332"/>
  <sheetViews>
    <sheetView workbookViewId="0" showGridLines="0"/>
  </sheetViews>
  <sheetFormatPr defaultRowHeight="15" outlineLevelRow="0" outlineLevelCol="0" x14ac:dyDescent="55"/>
  <cols>
    <col min="1" max="1" width="14" customWidth="1"/>
    <col min="2" max="2" width="44" customWidth="1"/>
    <col min="3" max="3" width="8" customWidth="1"/>
    <col min="4" max="4" width="3" customWidth="1"/>
    <col min="5" max="5" width="60" customWidth="1"/>
    <col min="6" max="6" width="50" customWidth="1"/>
  </cols>
  <sheetData>
    <row r="1" ht="6" customHeight="1" spans="1:5" x14ac:dyDescent="0.25">
      <c r="A1" s="1"/>
      <c r="B1" s="1"/>
      <c r="C1" s="1"/>
      <c r="D1" s="1"/>
      <c r="E1" s="1"/>
    </row>
    <row r="2" ht="38" customHeight="1" spans="1:6" x14ac:dyDescent="0.25">
      <c r="A2" s="2" t="s">
        <v>889</v>
      </c>
      <c r="B2" s="2"/>
      <c r="C2" s="2"/>
      <c r="D2" s="2"/>
      <c r="E2" s="2"/>
      <c r="F2" s="2"/>
    </row>
    <row r="3" ht="24" customHeight="1" spans="1:6" x14ac:dyDescent="0.25">
      <c r="A3" s="3" t="s">
        <v>456</v>
      </c>
      <c r="B3" s="3"/>
      <c r="C3" s="3"/>
      <c r="D3" s="3"/>
      <c r="E3" s="3"/>
      <c r="F3" s="3"/>
    </row>
    <row r="4" ht="18" customHeight="1" spans="1:6" x14ac:dyDescent="0.25">
      <c r="A4" s="4" t="s">
        <v>890</v>
      </c>
      <c r="B4" s="4"/>
      <c r="C4" s="4"/>
      <c r="D4" s="4"/>
      <c r="E4" s="4"/>
      <c r="F4" s="4"/>
    </row>
    <row r="5" ht="10" customHeight="1" x14ac:dyDescent="0.25"/>
    <row r="6" ht="24" customHeight="1" spans="1:6" x14ac:dyDescent="0.25">
      <c r="A6" s="24" t="s">
        <v>458</v>
      </c>
      <c r="B6" s="24"/>
      <c r="C6" s="24"/>
      <c r="D6" s="24"/>
      <c r="E6" s="24"/>
      <c r="F6" s="24"/>
    </row>
    <row r="7" ht="22" customHeight="1" spans="1:6" x14ac:dyDescent="0.25">
      <c r="A7" s="25" t="s">
        <v>891</v>
      </c>
      <c r="B7" s="25"/>
      <c r="C7" s="25"/>
      <c r="D7" s="25"/>
      <c r="E7" s="25"/>
      <c r="F7" s="25"/>
    </row>
    <row r="8" ht="20" customHeight="1" hidden="1" spans="1:6" x14ac:dyDescent="0.25" outlineLevel="1" collapsed="1">
      <c r="A8" s="26" t="s">
        <v>460</v>
      </c>
      <c r="B8" s="26" t="s">
        <v>461</v>
      </c>
      <c r="C8" s="26" t="s">
        <v>462</v>
      </c>
      <c r="D8" s="26" t="s">
        <v>32</v>
      </c>
      <c r="E8" s="26" t="s">
        <v>463</v>
      </c>
      <c r="F8" s="26" t="s">
        <v>464</v>
      </c>
    </row>
    <row r="9" ht="36" customHeight="1" hidden="1" spans="1:6" x14ac:dyDescent="0.25" outlineLevel="1" collapsed="1">
      <c r="A9" s="27">
        <v>3110</v>
      </c>
      <c r="B9" s="28" t="s">
        <v>892</v>
      </c>
      <c r="C9" s="27" t="s">
        <v>472</v>
      </c>
      <c r="D9" s="29" t="s">
        <v>32</v>
      </c>
      <c r="E9" s="36" t="s">
        <v>625</v>
      </c>
      <c r="F9" s="28" t="s">
        <v>32</v>
      </c>
    </row>
    <row r="10" ht="36" customHeight="1" hidden="1" spans="1:6" x14ac:dyDescent="0.25" outlineLevel="1" collapsed="1">
      <c r="A10" s="27">
        <v>3120</v>
      </c>
      <c r="B10" s="28" t="s">
        <v>893</v>
      </c>
      <c r="C10" s="27" t="s">
        <v>466</v>
      </c>
      <c r="D10" s="29" t="s">
        <v>32</v>
      </c>
      <c r="E10" s="36" t="s">
        <v>625</v>
      </c>
      <c r="F10" s="28" t="s">
        <v>32</v>
      </c>
    </row>
    <row r="11" ht="22" customHeight="1" hidden="1" spans="1:6" x14ac:dyDescent="0.25" outlineLevel="1" collapsed="1">
      <c r="A11" s="34" t="s">
        <v>495</v>
      </c>
      <c r="B11" s="34"/>
      <c r="C11" s="34"/>
      <c r="D11" s="34"/>
      <c r="E11" s="34"/>
      <c r="F11" s="34"/>
    </row>
    <row r="12" ht="24" customHeight="1" hidden="1" spans="1:6" x14ac:dyDescent="0.25" outlineLevel="1" collapsed="1">
      <c r="A12" s="12" t="s">
        <v>894</v>
      </c>
      <c r="B12" s="12"/>
      <c r="C12" s="12"/>
      <c r="D12" s="12"/>
      <c r="E12" s="12"/>
      <c r="F12" s="12"/>
    </row>
    <row r="13" ht="24" customHeight="1" hidden="1" spans="1:6" x14ac:dyDescent="0.25" outlineLevel="1" collapsed="1">
      <c r="A13" s="12" t="s">
        <v>895</v>
      </c>
      <c r="B13" s="12"/>
      <c r="C13" s="12"/>
      <c r="D13" s="12"/>
      <c r="E13" s="12"/>
      <c r="F13" s="12"/>
    </row>
    <row r="14" ht="6" customHeight="1" hidden="1" x14ac:dyDescent="0.25" outlineLevel="1" collapsed="1"/>
    <row r="15" ht="22" customHeight="1" spans="1:6" x14ac:dyDescent="0.25">
      <c r="A15" s="25" t="s">
        <v>896</v>
      </c>
      <c r="B15" s="25"/>
      <c r="C15" s="25"/>
      <c r="D15" s="25"/>
      <c r="E15" s="25"/>
      <c r="F15" s="25"/>
    </row>
    <row r="16" ht="20" customHeight="1" hidden="1" spans="1:6" x14ac:dyDescent="0.25" outlineLevel="1" collapsed="1">
      <c r="A16" s="26" t="s">
        <v>460</v>
      </c>
      <c r="B16" s="26" t="s">
        <v>461</v>
      </c>
      <c r="C16" s="26" t="s">
        <v>462</v>
      </c>
      <c r="D16" s="26" t="s">
        <v>32</v>
      </c>
      <c r="E16" s="26" t="s">
        <v>463</v>
      </c>
      <c r="F16" s="26" t="s">
        <v>464</v>
      </c>
    </row>
    <row r="17" ht="36" customHeight="1" hidden="1" spans="1:6" x14ac:dyDescent="0.25" outlineLevel="1" collapsed="1">
      <c r="A17" s="27">
        <v>3120</v>
      </c>
      <c r="B17" s="28" t="s">
        <v>897</v>
      </c>
      <c r="C17" s="27" t="s">
        <v>472</v>
      </c>
      <c r="D17" s="29" t="s">
        <v>32</v>
      </c>
      <c r="E17" s="36" t="s">
        <v>625</v>
      </c>
      <c r="F17" s="28" t="s">
        <v>32</v>
      </c>
    </row>
    <row r="18" ht="36" customHeight="1" hidden="1" spans="1:6" x14ac:dyDescent="0.25" outlineLevel="1" collapsed="1">
      <c r="A18" s="27">
        <v>3130</v>
      </c>
      <c r="B18" s="28" t="s">
        <v>898</v>
      </c>
      <c r="C18" s="27" t="s">
        <v>466</v>
      </c>
      <c r="D18" s="29" t="s">
        <v>32</v>
      </c>
      <c r="E18" s="36" t="s">
        <v>625</v>
      </c>
      <c r="F18" s="28" t="s">
        <v>32</v>
      </c>
    </row>
    <row r="19" ht="22" customHeight="1" hidden="1" spans="1:6" x14ac:dyDescent="0.25" outlineLevel="1" collapsed="1">
      <c r="A19" s="34" t="s">
        <v>495</v>
      </c>
      <c r="B19" s="34"/>
      <c r="C19" s="34"/>
      <c r="D19" s="34"/>
      <c r="E19" s="34"/>
      <c r="F19" s="34"/>
    </row>
    <row r="20" ht="24" customHeight="1" hidden="1" spans="1:6" x14ac:dyDescent="0.25" outlineLevel="1" collapsed="1">
      <c r="A20" s="12" t="s">
        <v>899</v>
      </c>
      <c r="B20" s="12"/>
      <c r="C20" s="12"/>
      <c r="D20" s="12"/>
      <c r="E20" s="12"/>
      <c r="F20" s="12"/>
    </row>
    <row r="21" ht="24" customHeight="1" hidden="1" spans="1:6" x14ac:dyDescent="0.25" outlineLevel="1" collapsed="1">
      <c r="A21" s="12" t="s">
        <v>900</v>
      </c>
      <c r="B21" s="12"/>
      <c r="C21" s="12"/>
      <c r="D21" s="12"/>
      <c r="E21" s="12"/>
      <c r="F21" s="12"/>
    </row>
    <row r="22" ht="6" customHeight="1" hidden="1" x14ac:dyDescent="0.25" outlineLevel="1" collapsed="1"/>
    <row r="23" ht="22" customHeight="1" spans="1:6" x14ac:dyDescent="0.25">
      <c r="A23" s="25" t="s">
        <v>901</v>
      </c>
      <c r="B23" s="25"/>
      <c r="C23" s="25"/>
      <c r="D23" s="25"/>
      <c r="E23" s="25"/>
      <c r="F23" s="25"/>
    </row>
    <row r="24" ht="20" customHeight="1" hidden="1" spans="1:6" x14ac:dyDescent="0.25" outlineLevel="1" collapsed="1">
      <c r="A24" s="26" t="s">
        <v>460</v>
      </c>
      <c r="B24" s="26" t="s">
        <v>461</v>
      </c>
      <c r="C24" s="26" t="s">
        <v>462</v>
      </c>
      <c r="D24" s="26" t="s">
        <v>32</v>
      </c>
      <c r="E24" s="26" t="s">
        <v>463</v>
      </c>
      <c r="F24" s="26" t="s">
        <v>464</v>
      </c>
    </row>
    <row r="25" ht="36" customHeight="1" hidden="1" spans="1:6" x14ac:dyDescent="0.25" outlineLevel="1" collapsed="1">
      <c r="A25" s="27">
        <v>3120</v>
      </c>
      <c r="B25" s="28" t="s">
        <v>902</v>
      </c>
      <c r="C25" s="27" t="s">
        <v>472</v>
      </c>
      <c r="D25" s="29" t="s">
        <v>32</v>
      </c>
      <c r="E25" s="36" t="s">
        <v>625</v>
      </c>
      <c r="F25" s="28" t="s">
        <v>32</v>
      </c>
    </row>
    <row r="26" ht="36" customHeight="1" hidden="1" spans="1:6" x14ac:dyDescent="0.25" outlineLevel="1" collapsed="1">
      <c r="A26" s="27">
        <v>3130</v>
      </c>
      <c r="B26" s="28" t="s">
        <v>903</v>
      </c>
      <c r="C26" s="27" t="s">
        <v>466</v>
      </c>
      <c r="D26" s="29" t="s">
        <v>32</v>
      </c>
      <c r="E26" s="36" t="s">
        <v>625</v>
      </c>
      <c r="F26" s="28" t="s">
        <v>32</v>
      </c>
    </row>
    <row r="27" ht="22" customHeight="1" hidden="1" spans="1:6" x14ac:dyDescent="0.25" outlineLevel="1" collapsed="1">
      <c r="A27" s="34" t="s">
        <v>495</v>
      </c>
      <c r="B27" s="34"/>
      <c r="C27" s="34"/>
      <c r="D27" s="34"/>
      <c r="E27" s="34"/>
      <c r="F27" s="34"/>
    </row>
    <row r="28" ht="24" customHeight="1" hidden="1" spans="1:6" x14ac:dyDescent="0.25" outlineLevel="1" collapsed="1">
      <c r="A28" s="12" t="s">
        <v>899</v>
      </c>
      <c r="B28" s="12"/>
      <c r="C28" s="12"/>
      <c r="D28" s="12"/>
      <c r="E28" s="12"/>
      <c r="F28" s="12"/>
    </row>
    <row r="29" ht="24" customHeight="1" hidden="1" spans="1:6" x14ac:dyDescent="0.25" outlineLevel="1" collapsed="1">
      <c r="A29" s="12" t="s">
        <v>900</v>
      </c>
      <c r="B29" s="12"/>
      <c r="C29" s="12"/>
      <c r="D29" s="12"/>
      <c r="E29" s="12"/>
      <c r="F29" s="12"/>
    </row>
    <row r="30" ht="6" customHeight="1" hidden="1" x14ac:dyDescent="0.25" outlineLevel="1" collapsed="1"/>
    <row r="31" ht="22" customHeight="1" spans="1:6" x14ac:dyDescent="0.25">
      <c r="A31" s="25" t="s">
        <v>904</v>
      </c>
      <c r="B31" s="25"/>
      <c r="C31" s="25"/>
      <c r="D31" s="25"/>
      <c r="E31" s="25"/>
      <c r="F31" s="25"/>
    </row>
    <row r="32" ht="20" customHeight="1" hidden="1" spans="1:6" x14ac:dyDescent="0.25" outlineLevel="1" collapsed="1">
      <c r="A32" s="26" t="s">
        <v>460</v>
      </c>
      <c r="B32" s="26" t="s">
        <v>461</v>
      </c>
      <c r="C32" s="26" t="s">
        <v>462</v>
      </c>
      <c r="D32" s="26" t="s">
        <v>32</v>
      </c>
      <c r="E32" s="26" t="s">
        <v>463</v>
      </c>
      <c r="F32" s="26" t="s">
        <v>464</v>
      </c>
    </row>
    <row r="33" ht="51" customHeight="1" hidden="1" spans="1:6" x14ac:dyDescent="0.25" outlineLevel="1" collapsed="1">
      <c r="A33" s="27">
        <v>3220</v>
      </c>
      <c r="B33" s="28" t="s">
        <v>905</v>
      </c>
      <c r="C33" s="27" t="s">
        <v>745</v>
      </c>
      <c r="D33" s="29" t="s">
        <v>32</v>
      </c>
      <c r="E33" s="36" t="s">
        <v>625</v>
      </c>
      <c r="F33" s="28" t="s">
        <v>32</v>
      </c>
    </row>
    <row r="34" ht="36" customHeight="1" hidden="1" spans="1:6" x14ac:dyDescent="0.25" outlineLevel="1" collapsed="1">
      <c r="A34" s="27">
        <v>3240</v>
      </c>
      <c r="B34" s="28" t="s">
        <v>906</v>
      </c>
      <c r="C34" s="27" t="s">
        <v>745</v>
      </c>
      <c r="D34" s="29" t="s">
        <v>32</v>
      </c>
      <c r="E34" s="36" t="s">
        <v>625</v>
      </c>
      <c r="F34" s="28" t="s">
        <v>32</v>
      </c>
    </row>
    <row r="35" ht="36" customHeight="1" hidden="1" spans="1:6" x14ac:dyDescent="0.25" outlineLevel="1" collapsed="1">
      <c r="A35" s="27">
        <v>3260</v>
      </c>
      <c r="B35" s="28" t="s">
        <v>907</v>
      </c>
      <c r="C35" s="27" t="s">
        <v>745</v>
      </c>
      <c r="D35" s="29" t="s">
        <v>32</v>
      </c>
      <c r="E35" s="36" t="s">
        <v>625</v>
      </c>
      <c r="F35" s="28" t="s">
        <v>32</v>
      </c>
    </row>
    <row r="36" ht="36" customHeight="1" hidden="1" spans="1:6" x14ac:dyDescent="0.25" outlineLevel="1" collapsed="1">
      <c r="A36" s="27">
        <v>3270</v>
      </c>
      <c r="B36" s="28" t="s">
        <v>908</v>
      </c>
      <c r="C36" s="27" t="s">
        <v>745</v>
      </c>
      <c r="D36" s="29" t="s">
        <v>32</v>
      </c>
      <c r="E36" s="36" t="s">
        <v>625</v>
      </c>
      <c r="F36" s="28" t="s">
        <v>32</v>
      </c>
    </row>
    <row r="37" ht="36" customHeight="1" hidden="1" spans="1:6" x14ac:dyDescent="0.25" outlineLevel="1" collapsed="1">
      <c r="A37" s="27">
        <v>3280</v>
      </c>
      <c r="B37" s="28" t="s">
        <v>909</v>
      </c>
      <c r="C37" s="27" t="s">
        <v>745</v>
      </c>
      <c r="D37" s="29" t="s">
        <v>32</v>
      </c>
      <c r="E37" s="36" t="s">
        <v>625</v>
      </c>
      <c r="F37" s="28" t="s">
        <v>32</v>
      </c>
    </row>
    <row r="38" ht="22" customHeight="1" hidden="1" spans="1:6" x14ac:dyDescent="0.25" outlineLevel="1" collapsed="1">
      <c r="A38" s="34" t="s">
        <v>495</v>
      </c>
      <c r="B38" s="34"/>
      <c r="C38" s="34"/>
      <c r="D38" s="34"/>
      <c r="E38" s="34"/>
      <c r="F38" s="34"/>
    </row>
    <row r="39" ht="24" customHeight="1" hidden="1" spans="1:6" x14ac:dyDescent="0.25" outlineLevel="1" collapsed="1">
      <c r="A39" s="12" t="s">
        <v>910</v>
      </c>
      <c r="B39" s="12"/>
      <c r="C39" s="12"/>
      <c r="D39" s="12"/>
      <c r="E39" s="12"/>
      <c r="F39" s="12"/>
    </row>
    <row r="40" ht="24" customHeight="1" hidden="1" spans="1:6" x14ac:dyDescent="0.25" outlineLevel="1" collapsed="1">
      <c r="A40" s="12" t="s">
        <v>911</v>
      </c>
      <c r="B40" s="12"/>
      <c r="C40" s="12"/>
      <c r="D40" s="12"/>
      <c r="E40" s="12"/>
      <c r="F40" s="12"/>
    </row>
    <row r="41" ht="24" customHeight="1" hidden="1" spans="1:6" x14ac:dyDescent="0.25" outlineLevel="1" collapsed="1">
      <c r="A41" s="12" t="s">
        <v>912</v>
      </c>
      <c r="B41" s="12"/>
      <c r="C41" s="12"/>
      <c r="D41" s="12"/>
      <c r="E41" s="12"/>
      <c r="F41" s="12"/>
    </row>
    <row r="42" ht="24" customHeight="1" hidden="1" spans="1:6" x14ac:dyDescent="0.25" outlineLevel="1" collapsed="1">
      <c r="A42" s="12" t="s">
        <v>913</v>
      </c>
      <c r="B42" s="12"/>
      <c r="C42" s="12"/>
      <c r="D42" s="12"/>
      <c r="E42" s="12"/>
      <c r="F42" s="12"/>
    </row>
    <row r="43" ht="24" customHeight="1" hidden="1" spans="1:6" x14ac:dyDescent="0.25" outlineLevel="1" collapsed="1">
      <c r="A43" s="12" t="s">
        <v>914</v>
      </c>
      <c r="B43" s="12"/>
      <c r="C43" s="12"/>
      <c r="D43" s="12"/>
      <c r="E43" s="12"/>
      <c r="F43" s="12"/>
    </row>
    <row r="44" ht="6" customHeight="1" hidden="1" x14ac:dyDescent="0.25" outlineLevel="1" collapsed="1"/>
    <row r="45" ht="22" customHeight="1" spans="1:6" x14ac:dyDescent="0.25">
      <c r="A45" s="25" t="s">
        <v>915</v>
      </c>
      <c r="B45" s="25"/>
      <c r="C45" s="25"/>
      <c r="D45" s="25"/>
      <c r="E45" s="25"/>
      <c r="F45" s="25"/>
    </row>
    <row r="46" ht="20" customHeight="1" hidden="1" spans="1:6" x14ac:dyDescent="0.25" outlineLevel="1" collapsed="1">
      <c r="A46" s="26" t="s">
        <v>460</v>
      </c>
      <c r="B46" s="26" t="s">
        <v>461</v>
      </c>
      <c r="C46" s="26" t="s">
        <v>462</v>
      </c>
      <c r="D46" s="26" t="s">
        <v>32</v>
      </c>
      <c r="E46" s="26" t="s">
        <v>463</v>
      </c>
      <c r="F46" s="26" t="s">
        <v>464</v>
      </c>
    </row>
    <row r="47" ht="36" customHeight="1" hidden="1" spans="1:6" x14ac:dyDescent="0.25" outlineLevel="1" collapsed="1">
      <c r="A47" s="27">
        <v>3120</v>
      </c>
      <c r="B47" s="28" t="s">
        <v>916</v>
      </c>
      <c r="C47" s="27" t="s">
        <v>466</v>
      </c>
      <c r="D47" s="29" t="s">
        <v>32</v>
      </c>
      <c r="E47" s="36" t="s">
        <v>625</v>
      </c>
      <c r="F47" s="28" t="s">
        <v>32</v>
      </c>
    </row>
    <row r="48" ht="36" customHeight="1" hidden="1" spans="1:6" x14ac:dyDescent="0.25" outlineLevel="1" collapsed="1">
      <c r="A48" s="27">
        <v>3110</v>
      </c>
      <c r="B48" s="28" t="s">
        <v>917</v>
      </c>
      <c r="C48" s="27" t="s">
        <v>472</v>
      </c>
      <c r="D48" s="29" t="s">
        <v>32</v>
      </c>
      <c r="E48" s="36" t="s">
        <v>625</v>
      </c>
      <c r="F48" s="28" t="s">
        <v>32</v>
      </c>
    </row>
    <row r="49" ht="22" customHeight="1" hidden="1" spans="1:6" x14ac:dyDescent="0.25" outlineLevel="1" collapsed="1">
      <c r="A49" s="34" t="s">
        <v>495</v>
      </c>
      <c r="B49" s="34"/>
      <c r="C49" s="34"/>
      <c r="D49" s="34"/>
      <c r="E49" s="34"/>
      <c r="F49" s="34"/>
    </row>
    <row r="50" ht="24" customHeight="1" hidden="1" spans="1:6" x14ac:dyDescent="0.25" outlineLevel="1" collapsed="1">
      <c r="A50" s="12" t="s">
        <v>895</v>
      </c>
      <c r="B50" s="12"/>
      <c r="C50" s="12"/>
      <c r="D50" s="12"/>
      <c r="E50" s="12"/>
      <c r="F50" s="12"/>
    </row>
    <row r="51" ht="24" customHeight="1" hidden="1" spans="1:6" x14ac:dyDescent="0.25" outlineLevel="1" collapsed="1">
      <c r="A51" s="12" t="s">
        <v>894</v>
      </c>
      <c r="B51" s="12"/>
      <c r="C51" s="12"/>
      <c r="D51" s="12"/>
      <c r="E51" s="12"/>
      <c r="F51" s="12"/>
    </row>
    <row r="52" ht="6" customHeight="1" hidden="1" x14ac:dyDescent="0.25" outlineLevel="1" collapsed="1"/>
    <row r="53" ht="12" customHeight="1" x14ac:dyDescent="0.25"/>
    <row r="54" ht="24" customHeight="1" spans="1:6" x14ac:dyDescent="0.25">
      <c r="A54" s="24" t="s">
        <v>631</v>
      </c>
      <c r="B54" s="24"/>
      <c r="C54" s="24"/>
      <c r="D54" s="24"/>
      <c r="E54" s="24"/>
      <c r="F54" s="24"/>
    </row>
    <row r="55" ht="22" customHeight="1" spans="1:6" x14ac:dyDescent="0.25">
      <c r="A55" s="25" t="s">
        <v>891</v>
      </c>
      <c r="B55" s="25"/>
      <c r="C55" s="25"/>
      <c r="D55" s="25"/>
      <c r="E55" s="25"/>
      <c r="F55" s="25"/>
    </row>
    <row r="56" ht="20" customHeight="1" hidden="1" spans="1:6" x14ac:dyDescent="0.25" outlineLevel="1" collapsed="1">
      <c r="A56" s="26" t="s">
        <v>460</v>
      </c>
      <c r="B56" s="26" t="s">
        <v>461</v>
      </c>
      <c r="C56" s="26" t="s">
        <v>462</v>
      </c>
      <c r="D56" s="26" t="s">
        <v>32</v>
      </c>
      <c r="E56" s="26" t="s">
        <v>463</v>
      </c>
      <c r="F56" s="26" t="s">
        <v>464</v>
      </c>
    </row>
    <row r="57" ht="36" customHeight="1" hidden="1" spans="1:6" x14ac:dyDescent="0.25" outlineLevel="1" collapsed="1">
      <c r="A57" s="27">
        <v>3110</v>
      </c>
      <c r="B57" s="28" t="s">
        <v>892</v>
      </c>
      <c r="C57" s="27" t="s">
        <v>472</v>
      </c>
      <c r="D57" s="29" t="s">
        <v>32</v>
      </c>
      <c r="E57" s="36" t="s">
        <v>668</v>
      </c>
      <c r="F57" s="28" t="s">
        <v>32</v>
      </c>
    </row>
    <row r="58" ht="36" customHeight="1" hidden="1" spans="1:6" x14ac:dyDescent="0.25" outlineLevel="1" collapsed="1">
      <c r="A58" s="27">
        <v>3120</v>
      </c>
      <c r="B58" s="28" t="s">
        <v>893</v>
      </c>
      <c r="C58" s="27" t="s">
        <v>466</v>
      </c>
      <c r="D58" s="29" t="s">
        <v>32</v>
      </c>
      <c r="E58" s="36" t="s">
        <v>668</v>
      </c>
      <c r="F58" s="28" t="s">
        <v>32</v>
      </c>
    </row>
    <row r="59" ht="22" customHeight="1" hidden="1" spans="1:6" x14ac:dyDescent="0.25" outlineLevel="1" collapsed="1">
      <c r="A59" s="34" t="s">
        <v>495</v>
      </c>
      <c r="B59" s="34"/>
      <c r="C59" s="34"/>
      <c r="D59" s="34"/>
      <c r="E59" s="34"/>
      <c r="F59" s="34"/>
    </row>
    <row r="60" ht="24" customHeight="1" hidden="1" spans="1:6" x14ac:dyDescent="0.25" outlineLevel="1" collapsed="1">
      <c r="A60" s="12" t="s">
        <v>918</v>
      </c>
      <c r="B60" s="12"/>
      <c r="C60" s="12"/>
      <c r="D60" s="12"/>
      <c r="E60" s="12"/>
      <c r="F60" s="12"/>
    </row>
    <row r="61" ht="24" customHeight="1" hidden="1" spans="1:6" x14ac:dyDescent="0.25" outlineLevel="1" collapsed="1">
      <c r="A61" s="12" t="s">
        <v>919</v>
      </c>
      <c r="B61" s="12"/>
      <c r="C61" s="12"/>
      <c r="D61" s="12"/>
      <c r="E61" s="12"/>
      <c r="F61" s="12"/>
    </row>
    <row r="62" ht="6" customHeight="1" hidden="1" x14ac:dyDescent="0.25" outlineLevel="1" collapsed="1"/>
    <row r="63" ht="22" customHeight="1" spans="1:6" x14ac:dyDescent="0.25">
      <c r="A63" s="25" t="s">
        <v>896</v>
      </c>
      <c r="B63" s="25"/>
      <c r="C63" s="25"/>
      <c r="D63" s="25"/>
      <c r="E63" s="25"/>
      <c r="F63" s="25"/>
    </row>
    <row r="64" ht="20" customHeight="1" hidden="1" spans="1:6" x14ac:dyDescent="0.25" outlineLevel="1" collapsed="1">
      <c r="A64" s="26" t="s">
        <v>460</v>
      </c>
      <c r="B64" s="26" t="s">
        <v>461</v>
      </c>
      <c r="C64" s="26" t="s">
        <v>462</v>
      </c>
      <c r="D64" s="26" t="s">
        <v>32</v>
      </c>
      <c r="E64" s="26" t="s">
        <v>463</v>
      </c>
      <c r="F64" s="26" t="s">
        <v>464</v>
      </c>
    </row>
    <row r="65" ht="36" customHeight="1" hidden="1" spans="1:6" x14ac:dyDescent="0.25" outlineLevel="1" collapsed="1">
      <c r="A65" s="27">
        <v>3120</v>
      </c>
      <c r="B65" s="28" t="s">
        <v>897</v>
      </c>
      <c r="C65" s="27" t="s">
        <v>472</v>
      </c>
      <c r="D65" s="29" t="s">
        <v>32</v>
      </c>
      <c r="E65" s="36" t="s">
        <v>668</v>
      </c>
      <c r="F65" s="28" t="s">
        <v>32</v>
      </c>
    </row>
    <row r="66" ht="36" customHeight="1" hidden="1" spans="1:6" x14ac:dyDescent="0.25" outlineLevel="1" collapsed="1">
      <c r="A66" s="27">
        <v>3130</v>
      </c>
      <c r="B66" s="28" t="s">
        <v>898</v>
      </c>
      <c r="C66" s="27" t="s">
        <v>466</v>
      </c>
      <c r="D66" s="29" t="s">
        <v>32</v>
      </c>
      <c r="E66" s="36" t="s">
        <v>668</v>
      </c>
      <c r="F66" s="28" t="s">
        <v>32</v>
      </c>
    </row>
    <row r="67" ht="22" customHeight="1" hidden="1" spans="1:6" x14ac:dyDescent="0.25" outlineLevel="1" collapsed="1">
      <c r="A67" s="34" t="s">
        <v>495</v>
      </c>
      <c r="B67" s="34"/>
      <c r="C67" s="34"/>
      <c r="D67" s="34"/>
      <c r="E67" s="34"/>
      <c r="F67" s="34"/>
    </row>
    <row r="68" ht="24" customHeight="1" hidden="1" spans="1:6" x14ac:dyDescent="0.25" outlineLevel="1" collapsed="1">
      <c r="A68" s="12" t="s">
        <v>920</v>
      </c>
      <c r="B68" s="12"/>
      <c r="C68" s="12"/>
      <c r="D68" s="12"/>
      <c r="E68" s="12"/>
      <c r="F68" s="12"/>
    </row>
    <row r="69" ht="24" customHeight="1" hidden="1" spans="1:6" x14ac:dyDescent="0.25" outlineLevel="1" collapsed="1">
      <c r="A69" s="12" t="s">
        <v>921</v>
      </c>
      <c r="B69" s="12"/>
      <c r="C69" s="12"/>
      <c r="D69" s="12"/>
      <c r="E69" s="12"/>
      <c r="F69" s="12"/>
    </row>
    <row r="70" ht="6" customHeight="1" hidden="1" x14ac:dyDescent="0.25" outlineLevel="1" collapsed="1"/>
    <row r="71" ht="22" customHeight="1" spans="1:6" x14ac:dyDescent="0.25">
      <c r="A71" s="25" t="s">
        <v>901</v>
      </c>
      <c r="B71" s="25"/>
      <c r="C71" s="25"/>
      <c r="D71" s="25"/>
      <c r="E71" s="25"/>
      <c r="F71" s="25"/>
    </row>
    <row r="72" ht="20" customHeight="1" hidden="1" spans="1:6" x14ac:dyDescent="0.25" outlineLevel="1" collapsed="1">
      <c r="A72" s="26" t="s">
        <v>460</v>
      </c>
      <c r="B72" s="26" t="s">
        <v>461</v>
      </c>
      <c r="C72" s="26" t="s">
        <v>462</v>
      </c>
      <c r="D72" s="26" t="s">
        <v>32</v>
      </c>
      <c r="E72" s="26" t="s">
        <v>463</v>
      </c>
      <c r="F72" s="26" t="s">
        <v>464</v>
      </c>
    </row>
    <row r="73" ht="36" customHeight="1" hidden="1" spans="1:6" x14ac:dyDescent="0.25" outlineLevel="1" collapsed="1">
      <c r="A73" s="27">
        <v>3120</v>
      </c>
      <c r="B73" s="28" t="s">
        <v>902</v>
      </c>
      <c r="C73" s="27" t="s">
        <v>472</v>
      </c>
      <c r="D73" s="29" t="s">
        <v>32</v>
      </c>
      <c r="E73" s="36" t="s">
        <v>668</v>
      </c>
      <c r="F73" s="28" t="s">
        <v>32</v>
      </c>
    </row>
    <row r="74" ht="36" customHeight="1" hidden="1" spans="1:6" x14ac:dyDescent="0.25" outlineLevel="1" collapsed="1">
      <c r="A74" s="27">
        <v>3130</v>
      </c>
      <c r="B74" s="28" t="s">
        <v>903</v>
      </c>
      <c r="C74" s="27" t="s">
        <v>466</v>
      </c>
      <c r="D74" s="29" t="s">
        <v>32</v>
      </c>
      <c r="E74" s="36" t="s">
        <v>668</v>
      </c>
      <c r="F74" s="28" t="s">
        <v>32</v>
      </c>
    </row>
    <row r="75" ht="22" customHeight="1" hidden="1" spans="1:6" x14ac:dyDescent="0.25" outlineLevel="1" collapsed="1">
      <c r="A75" s="34" t="s">
        <v>495</v>
      </c>
      <c r="B75" s="34"/>
      <c r="C75" s="34"/>
      <c r="D75" s="34"/>
      <c r="E75" s="34"/>
      <c r="F75" s="34"/>
    </row>
    <row r="76" ht="24" customHeight="1" hidden="1" spans="1:6" x14ac:dyDescent="0.25" outlineLevel="1" collapsed="1">
      <c r="A76" s="12" t="s">
        <v>920</v>
      </c>
      <c r="B76" s="12"/>
      <c r="C76" s="12"/>
      <c r="D76" s="12"/>
      <c r="E76" s="12"/>
      <c r="F76" s="12"/>
    </row>
    <row r="77" ht="24" customHeight="1" hidden="1" spans="1:6" x14ac:dyDescent="0.25" outlineLevel="1" collapsed="1">
      <c r="A77" s="12" t="s">
        <v>921</v>
      </c>
      <c r="B77" s="12"/>
      <c r="C77" s="12"/>
      <c r="D77" s="12"/>
      <c r="E77" s="12"/>
      <c r="F77" s="12"/>
    </row>
    <row r="78" ht="6" customHeight="1" hidden="1" x14ac:dyDescent="0.25" outlineLevel="1" collapsed="1"/>
    <row r="79" ht="22" customHeight="1" spans="1:6" x14ac:dyDescent="0.25">
      <c r="A79" s="25" t="s">
        <v>904</v>
      </c>
      <c r="B79" s="25"/>
      <c r="C79" s="25"/>
      <c r="D79" s="25"/>
      <c r="E79" s="25"/>
      <c r="F79" s="25"/>
    </row>
    <row r="80" ht="20" customHeight="1" hidden="1" spans="1:6" x14ac:dyDescent="0.25" outlineLevel="1" collapsed="1">
      <c r="A80" s="26" t="s">
        <v>460</v>
      </c>
      <c r="B80" s="26" t="s">
        <v>461</v>
      </c>
      <c r="C80" s="26" t="s">
        <v>462</v>
      </c>
      <c r="D80" s="26" t="s">
        <v>32</v>
      </c>
      <c r="E80" s="26" t="s">
        <v>463</v>
      </c>
      <c r="F80" s="26" t="s">
        <v>464</v>
      </c>
    </row>
    <row r="81" ht="51" customHeight="1" hidden="1" spans="1:6" x14ac:dyDescent="0.25" outlineLevel="1" collapsed="1">
      <c r="A81" s="27">
        <v>3220</v>
      </c>
      <c r="B81" s="28" t="s">
        <v>905</v>
      </c>
      <c r="C81" s="27" t="s">
        <v>745</v>
      </c>
      <c r="D81" s="29" t="s">
        <v>32</v>
      </c>
      <c r="E81" s="36" t="s">
        <v>668</v>
      </c>
      <c r="F81" s="28" t="s">
        <v>32</v>
      </c>
    </row>
    <row r="82" ht="36" customHeight="1" hidden="1" spans="1:6" x14ac:dyDescent="0.25" outlineLevel="1" collapsed="1">
      <c r="A82" s="27">
        <v>3240</v>
      </c>
      <c r="B82" s="28" t="s">
        <v>906</v>
      </c>
      <c r="C82" s="27" t="s">
        <v>745</v>
      </c>
      <c r="D82" s="29" t="s">
        <v>32</v>
      </c>
      <c r="E82" s="36" t="s">
        <v>668</v>
      </c>
      <c r="F82" s="28" t="s">
        <v>32</v>
      </c>
    </row>
    <row r="83" ht="36" customHeight="1" hidden="1" spans="1:6" x14ac:dyDescent="0.25" outlineLevel="1" collapsed="1">
      <c r="A83" s="27">
        <v>3260</v>
      </c>
      <c r="B83" s="28" t="s">
        <v>907</v>
      </c>
      <c r="C83" s="27" t="s">
        <v>745</v>
      </c>
      <c r="D83" s="29" t="s">
        <v>32</v>
      </c>
      <c r="E83" s="36" t="s">
        <v>668</v>
      </c>
      <c r="F83" s="28" t="s">
        <v>32</v>
      </c>
    </row>
    <row r="84" ht="36" customHeight="1" hidden="1" spans="1:6" x14ac:dyDescent="0.25" outlineLevel="1" collapsed="1">
      <c r="A84" s="27">
        <v>3270</v>
      </c>
      <c r="B84" s="28" t="s">
        <v>908</v>
      </c>
      <c r="C84" s="27" t="s">
        <v>745</v>
      </c>
      <c r="D84" s="29" t="s">
        <v>32</v>
      </c>
      <c r="E84" s="36" t="s">
        <v>668</v>
      </c>
      <c r="F84" s="28" t="s">
        <v>32</v>
      </c>
    </row>
    <row r="85" ht="36" customHeight="1" hidden="1" spans="1:6" x14ac:dyDescent="0.25" outlineLevel="1" collapsed="1">
      <c r="A85" s="27">
        <v>3280</v>
      </c>
      <c r="B85" s="28" t="s">
        <v>909</v>
      </c>
      <c r="C85" s="27" t="s">
        <v>745</v>
      </c>
      <c r="D85" s="29" t="s">
        <v>32</v>
      </c>
      <c r="E85" s="36" t="s">
        <v>668</v>
      </c>
      <c r="F85" s="28" t="s">
        <v>32</v>
      </c>
    </row>
    <row r="86" ht="22" customHeight="1" hidden="1" spans="1:6" x14ac:dyDescent="0.25" outlineLevel="1" collapsed="1">
      <c r="A86" s="34" t="s">
        <v>495</v>
      </c>
      <c r="B86" s="34"/>
      <c r="C86" s="34"/>
      <c r="D86" s="34"/>
      <c r="E86" s="34"/>
      <c r="F86" s="34"/>
    </row>
    <row r="87" ht="24" customHeight="1" hidden="1" spans="1:6" x14ac:dyDescent="0.25" outlineLevel="1" collapsed="1">
      <c r="A87" s="12" t="s">
        <v>922</v>
      </c>
      <c r="B87" s="12"/>
      <c r="C87" s="12"/>
      <c r="D87" s="12"/>
      <c r="E87" s="12"/>
      <c r="F87" s="12"/>
    </row>
    <row r="88" ht="24" customHeight="1" hidden="1" spans="1:6" x14ac:dyDescent="0.25" outlineLevel="1" collapsed="1">
      <c r="A88" s="12" t="s">
        <v>923</v>
      </c>
      <c r="B88" s="12"/>
      <c r="C88" s="12"/>
      <c r="D88" s="12"/>
      <c r="E88" s="12"/>
      <c r="F88" s="12"/>
    </row>
    <row r="89" ht="24" customHeight="1" hidden="1" spans="1:6" x14ac:dyDescent="0.25" outlineLevel="1" collapsed="1">
      <c r="A89" s="12" t="s">
        <v>924</v>
      </c>
      <c r="B89" s="12"/>
      <c r="C89" s="12"/>
      <c r="D89" s="12"/>
      <c r="E89" s="12"/>
      <c r="F89" s="12"/>
    </row>
    <row r="90" ht="24" customHeight="1" hidden="1" spans="1:6" x14ac:dyDescent="0.25" outlineLevel="1" collapsed="1">
      <c r="A90" s="12" t="s">
        <v>925</v>
      </c>
      <c r="B90" s="12"/>
      <c r="C90" s="12"/>
      <c r="D90" s="12"/>
      <c r="E90" s="12"/>
      <c r="F90" s="12"/>
    </row>
    <row r="91" ht="24" customHeight="1" hidden="1" spans="1:6" x14ac:dyDescent="0.25" outlineLevel="1" collapsed="1">
      <c r="A91" s="12" t="s">
        <v>926</v>
      </c>
      <c r="B91" s="12"/>
      <c r="C91" s="12"/>
      <c r="D91" s="12"/>
      <c r="E91" s="12"/>
      <c r="F91" s="12"/>
    </row>
    <row r="92" ht="6" customHeight="1" hidden="1" x14ac:dyDescent="0.25" outlineLevel="1" collapsed="1"/>
    <row r="93" ht="22" customHeight="1" spans="1:6" x14ac:dyDescent="0.25">
      <c r="A93" s="25" t="s">
        <v>915</v>
      </c>
      <c r="B93" s="25"/>
      <c r="C93" s="25"/>
      <c r="D93" s="25"/>
      <c r="E93" s="25"/>
      <c r="F93" s="25"/>
    </row>
    <row r="94" ht="20" customHeight="1" hidden="1" spans="1:6" x14ac:dyDescent="0.25" outlineLevel="1" collapsed="1">
      <c r="A94" s="26" t="s">
        <v>460</v>
      </c>
      <c r="B94" s="26" t="s">
        <v>461</v>
      </c>
      <c r="C94" s="26" t="s">
        <v>462</v>
      </c>
      <c r="D94" s="26" t="s">
        <v>32</v>
      </c>
      <c r="E94" s="26" t="s">
        <v>463</v>
      </c>
      <c r="F94" s="26" t="s">
        <v>464</v>
      </c>
    </row>
    <row r="95" ht="36" customHeight="1" hidden="1" spans="1:6" x14ac:dyDescent="0.25" outlineLevel="1" collapsed="1">
      <c r="A95" s="27">
        <v>3120</v>
      </c>
      <c r="B95" s="28" t="s">
        <v>916</v>
      </c>
      <c r="C95" s="27" t="s">
        <v>466</v>
      </c>
      <c r="D95" s="29" t="s">
        <v>32</v>
      </c>
      <c r="E95" s="36" t="s">
        <v>668</v>
      </c>
      <c r="F95" s="28" t="s">
        <v>32</v>
      </c>
    </row>
    <row r="96" ht="36" customHeight="1" hidden="1" spans="1:6" x14ac:dyDescent="0.25" outlineLevel="1" collapsed="1">
      <c r="A96" s="27">
        <v>3110</v>
      </c>
      <c r="B96" s="28" t="s">
        <v>917</v>
      </c>
      <c r="C96" s="27" t="s">
        <v>472</v>
      </c>
      <c r="D96" s="29" t="s">
        <v>32</v>
      </c>
      <c r="E96" s="36" t="s">
        <v>668</v>
      </c>
      <c r="F96" s="28" t="s">
        <v>32</v>
      </c>
    </row>
    <row r="97" ht="22" customHeight="1" hidden="1" spans="1:6" x14ac:dyDescent="0.25" outlineLevel="1" collapsed="1">
      <c r="A97" s="34" t="s">
        <v>495</v>
      </c>
      <c r="B97" s="34"/>
      <c r="C97" s="34"/>
      <c r="D97" s="34"/>
      <c r="E97" s="34"/>
      <c r="F97" s="34"/>
    </row>
    <row r="98" ht="24" customHeight="1" hidden="1" spans="1:6" x14ac:dyDescent="0.25" outlineLevel="1" collapsed="1">
      <c r="A98" s="12" t="s">
        <v>919</v>
      </c>
      <c r="B98" s="12"/>
      <c r="C98" s="12"/>
      <c r="D98" s="12"/>
      <c r="E98" s="12"/>
      <c r="F98" s="12"/>
    </row>
    <row r="99" ht="24" customHeight="1" hidden="1" spans="1:6" x14ac:dyDescent="0.25" outlineLevel="1" collapsed="1">
      <c r="A99" s="12" t="s">
        <v>918</v>
      </c>
      <c r="B99" s="12"/>
      <c r="C99" s="12"/>
      <c r="D99" s="12"/>
      <c r="E99" s="12"/>
      <c r="F99" s="12"/>
    </row>
    <row r="100" ht="6" customHeight="1" hidden="1" x14ac:dyDescent="0.25" outlineLevel="1" collapsed="1"/>
    <row r="101" ht="12" customHeight="1" x14ac:dyDescent="0.25"/>
    <row r="102" ht="24" customHeight="1" spans="1:6" x14ac:dyDescent="0.25">
      <c r="A102" s="24" t="s">
        <v>672</v>
      </c>
      <c r="B102" s="24"/>
      <c r="C102" s="24"/>
      <c r="D102" s="24"/>
      <c r="E102" s="24"/>
      <c r="F102" s="24"/>
    </row>
    <row r="103" ht="22" customHeight="1" spans="1:6" x14ac:dyDescent="0.25">
      <c r="A103" s="25" t="s">
        <v>891</v>
      </c>
      <c r="B103" s="25"/>
      <c r="C103" s="25"/>
      <c r="D103" s="25"/>
      <c r="E103" s="25"/>
      <c r="F103" s="25"/>
    </row>
    <row r="104" ht="20" customHeight="1" hidden="1" spans="1:6" x14ac:dyDescent="0.25" outlineLevel="1" collapsed="1">
      <c r="A104" s="26" t="s">
        <v>460</v>
      </c>
      <c r="B104" s="26" t="s">
        <v>461</v>
      </c>
      <c r="C104" s="26" t="s">
        <v>462</v>
      </c>
      <c r="D104" s="26" t="s">
        <v>32</v>
      </c>
      <c r="E104" s="26" t="s">
        <v>463</v>
      </c>
      <c r="F104" s="26" t="s">
        <v>464</v>
      </c>
    </row>
    <row r="105" ht="20" customHeight="1" hidden="1" spans="1:6" x14ac:dyDescent="0.25" outlineLevel="1" collapsed="1">
      <c r="A105" s="27">
        <v>3110</v>
      </c>
      <c r="B105" s="28" t="s">
        <v>892</v>
      </c>
      <c r="C105" s="27" t="s">
        <v>472</v>
      </c>
      <c r="D105" s="37" t="s">
        <v>32</v>
      </c>
      <c r="E105" s="38" t="s">
        <v>673</v>
      </c>
      <c r="F105" s="28" t="s">
        <v>32</v>
      </c>
    </row>
    <row r="106" ht="20" customHeight="1" hidden="1" spans="1:6" x14ac:dyDescent="0.25" outlineLevel="1" collapsed="1">
      <c r="A106" s="27">
        <v>3120</v>
      </c>
      <c r="B106" s="28" t="s">
        <v>893</v>
      </c>
      <c r="C106" s="27" t="s">
        <v>466</v>
      </c>
      <c r="D106" s="37" t="s">
        <v>32</v>
      </c>
      <c r="E106" s="38" t="s">
        <v>673</v>
      </c>
      <c r="F106" s="28" t="s">
        <v>32</v>
      </c>
    </row>
    <row r="107" ht="22" customHeight="1" hidden="1" spans="1:6" x14ac:dyDescent="0.25" outlineLevel="1" collapsed="1">
      <c r="A107" s="34" t="s">
        <v>495</v>
      </c>
      <c r="B107" s="34"/>
      <c r="C107" s="34"/>
      <c r="D107" s="34"/>
      <c r="E107" s="34"/>
      <c r="F107" s="34"/>
    </row>
    <row r="108" ht="6" customHeight="1" hidden="1" x14ac:dyDescent="0.25" outlineLevel="1" collapsed="1"/>
    <row r="109" ht="22" customHeight="1" spans="1:6" x14ac:dyDescent="0.25">
      <c r="A109" s="25" t="s">
        <v>896</v>
      </c>
      <c r="B109" s="25"/>
      <c r="C109" s="25"/>
      <c r="D109" s="25"/>
      <c r="E109" s="25"/>
      <c r="F109" s="25"/>
    </row>
    <row r="110" ht="20" customHeight="1" hidden="1" spans="1:6" x14ac:dyDescent="0.25" outlineLevel="1" collapsed="1">
      <c r="A110" s="26" t="s">
        <v>460</v>
      </c>
      <c r="B110" s="26" t="s">
        <v>461</v>
      </c>
      <c r="C110" s="26" t="s">
        <v>462</v>
      </c>
      <c r="D110" s="26" t="s">
        <v>32</v>
      </c>
      <c r="E110" s="26" t="s">
        <v>463</v>
      </c>
      <c r="F110" s="26" t="s">
        <v>464</v>
      </c>
    </row>
    <row r="111" ht="20" customHeight="1" hidden="1" spans="1:6" x14ac:dyDescent="0.25" outlineLevel="1" collapsed="1">
      <c r="A111" s="27">
        <v>3120</v>
      </c>
      <c r="B111" s="28" t="s">
        <v>897</v>
      </c>
      <c r="C111" s="27" t="s">
        <v>472</v>
      </c>
      <c r="D111" s="37" t="s">
        <v>32</v>
      </c>
      <c r="E111" s="38" t="s">
        <v>673</v>
      </c>
      <c r="F111" s="28" t="s">
        <v>32</v>
      </c>
    </row>
    <row r="112" ht="20" customHeight="1" hidden="1" spans="1:6" x14ac:dyDescent="0.25" outlineLevel="1" collapsed="1">
      <c r="A112" s="27">
        <v>3130</v>
      </c>
      <c r="B112" s="28" t="s">
        <v>898</v>
      </c>
      <c r="C112" s="27" t="s">
        <v>466</v>
      </c>
      <c r="D112" s="37" t="s">
        <v>32</v>
      </c>
      <c r="E112" s="38" t="s">
        <v>673</v>
      </c>
      <c r="F112" s="28" t="s">
        <v>32</v>
      </c>
    </row>
    <row r="113" ht="22" customHeight="1" hidden="1" spans="1:6" x14ac:dyDescent="0.25" outlineLevel="1" collapsed="1">
      <c r="A113" s="34" t="s">
        <v>495</v>
      </c>
      <c r="B113" s="34"/>
      <c r="C113" s="34"/>
      <c r="D113" s="34"/>
      <c r="E113" s="34"/>
      <c r="F113" s="34"/>
    </row>
    <row r="114" ht="6" customHeight="1" hidden="1" x14ac:dyDescent="0.25" outlineLevel="1" collapsed="1"/>
    <row r="115" ht="22" customHeight="1" spans="1:6" x14ac:dyDescent="0.25">
      <c r="A115" s="25" t="s">
        <v>901</v>
      </c>
      <c r="B115" s="25"/>
      <c r="C115" s="25"/>
      <c r="D115" s="25"/>
      <c r="E115" s="25"/>
      <c r="F115" s="25"/>
    </row>
    <row r="116" ht="20" customHeight="1" hidden="1" spans="1:6" x14ac:dyDescent="0.25" outlineLevel="1" collapsed="1">
      <c r="A116" s="26" t="s">
        <v>460</v>
      </c>
      <c r="B116" s="26" t="s">
        <v>461</v>
      </c>
      <c r="C116" s="26" t="s">
        <v>462</v>
      </c>
      <c r="D116" s="26" t="s">
        <v>32</v>
      </c>
      <c r="E116" s="26" t="s">
        <v>463</v>
      </c>
      <c r="F116" s="26" t="s">
        <v>464</v>
      </c>
    </row>
    <row r="117" ht="20" customHeight="1" hidden="1" spans="1:6" x14ac:dyDescent="0.25" outlineLevel="1" collapsed="1">
      <c r="A117" s="27">
        <v>3120</v>
      </c>
      <c r="B117" s="28" t="s">
        <v>902</v>
      </c>
      <c r="C117" s="27" t="s">
        <v>472</v>
      </c>
      <c r="D117" s="37" t="s">
        <v>32</v>
      </c>
      <c r="E117" s="38" t="s">
        <v>673</v>
      </c>
      <c r="F117" s="28" t="s">
        <v>32</v>
      </c>
    </row>
    <row r="118" ht="20" customHeight="1" hidden="1" spans="1:6" x14ac:dyDescent="0.25" outlineLevel="1" collapsed="1">
      <c r="A118" s="27">
        <v>3130</v>
      </c>
      <c r="B118" s="28" t="s">
        <v>903</v>
      </c>
      <c r="C118" s="27" t="s">
        <v>466</v>
      </c>
      <c r="D118" s="37" t="s">
        <v>32</v>
      </c>
      <c r="E118" s="38" t="s">
        <v>673</v>
      </c>
      <c r="F118" s="28" t="s">
        <v>32</v>
      </c>
    </row>
    <row r="119" ht="22" customHeight="1" hidden="1" spans="1:6" x14ac:dyDescent="0.25" outlineLevel="1" collapsed="1">
      <c r="A119" s="34" t="s">
        <v>495</v>
      </c>
      <c r="B119" s="34"/>
      <c r="C119" s="34"/>
      <c r="D119" s="34"/>
      <c r="E119" s="34"/>
      <c r="F119" s="34"/>
    </row>
    <row r="120" ht="6" customHeight="1" hidden="1" x14ac:dyDescent="0.25" outlineLevel="1" collapsed="1"/>
    <row r="121" ht="22" customHeight="1" spans="1:6" x14ac:dyDescent="0.25">
      <c r="A121" s="25" t="s">
        <v>904</v>
      </c>
      <c r="B121" s="25"/>
      <c r="C121" s="25"/>
      <c r="D121" s="25"/>
      <c r="E121" s="25"/>
      <c r="F121" s="25"/>
    </row>
    <row r="122" ht="20" customHeight="1" hidden="1" spans="1:6" x14ac:dyDescent="0.25" outlineLevel="1" collapsed="1">
      <c r="A122" s="26" t="s">
        <v>460</v>
      </c>
      <c r="B122" s="26" t="s">
        <v>461</v>
      </c>
      <c r="C122" s="26" t="s">
        <v>462</v>
      </c>
      <c r="D122" s="26" t="s">
        <v>32</v>
      </c>
      <c r="E122" s="26" t="s">
        <v>463</v>
      </c>
      <c r="F122" s="26" t="s">
        <v>464</v>
      </c>
    </row>
    <row r="123" ht="20" customHeight="1" hidden="1" spans="1:6" x14ac:dyDescent="0.25" outlineLevel="1" collapsed="1">
      <c r="A123" s="27">
        <v>3220</v>
      </c>
      <c r="B123" s="28" t="s">
        <v>905</v>
      </c>
      <c r="C123" s="27" t="s">
        <v>745</v>
      </c>
      <c r="D123" s="37" t="s">
        <v>32</v>
      </c>
      <c r="E123" s="38" t="s">
        <v>673</v>
      </c>
      <c r="F123" s="28" t="s">
        <v>32</v>
      </c>
    </row>
    <row r="124" ht="20" customHeight="1" hidden="1" spans="1:6" x14ac:dyDescent="0.25" outlineLevel="1" collapsed="1">
      <c r="A124" s="27">
        <v>3240</v>
      </c>
      <c r="B124" s="28" t="s">
        <v>906</v>
      </c>
      <c r="C124" s="27" t="s">
        <v>745</v>
      </c>
      <c r="D124" s="37" t="s">
        <v>32</v>
      </c>
      <c r="E124" s="38" t="s">
        <v>673</v>
      </c>
      <c r="F124" s="28" t="s">
        <v>32</v>
      </c>
    </row>
    <row r="125" ht="20" customHeight="1" hidden="1" spans="1:6" x14ac:dyDescent="0.25" outlineLevel="1" collapsed="1">
      <c r="A125" s="27">
        <v>3260</v>
      </c>
      <c r="B125" s="28" t="s">
        <v>907</v>
      </c>
      <c r="C125" s="27" t="s">
        <v>745</v>
      </c>
      <c r="D125" s="37" t="s">
        <v>32</v>
      </c>
      <c r="E125" s="38" t="s">
        <v>673</v>
      </c>
      <c r="F125" s="28" t="s">
        <v>32</v>
      </c>
    </row>
    <row r="126" ht="20" customHeight="1" hidden="1" spans="1:6" x14ac:dyDescent="0.25" outlineLevel="1" collapsed="1">
      <c r="A126" s="27">
        <v>3270</v>
      </c>
      <c r="B126" s="28" t="s">
        <v>908</v>
      </c>
      <c r="C126" s="27" t="s">
        <v>745</v>
      </c>
      <c r="D126" s="37" t="s">
        <v>32</v>
      </c>
      <c r="E126" s="38" t="s">
        <v>673</v>
      </c>
      <c r="F126" s="28" t="s">
        <v>32</v>
      </c>
    </row>
    <row r="127" ht="20" customHeight="1" hidden="1" spans="1:6" x14ac:dyDescent="0.25" outlineLevel="1" collapsed="1">
      <c r="A127" s="27">
        <v>3280</v>
      </c>
      <c r="B127" s="28" t="s">
        <v>909</v>
      </c>
      <c r="C127" s="27" t="s">
        <v>745</v>
      </c>
      <c r="D127" s="37" t="s">
        <v>32</v>
      </c>
      <c r="E127" s="38" t="s">
        <v>673</v>
      </c>
      <c r="F127" s="28" t="s">
        <v>32</v>
      </c>
    </row>
    <row r="128" ht="22" customHeight="1" hidden="1" spans="1:6" x14ac:dyDescent="0.25" outlineLevel="1" collapsed="1">
      <c r="A128" s="34" t="s">
        <v>495</v>
      </c>
      <c r="B128" s="34"/>
      <c r="C128" s="34"/>
      <c r="D128" s="34"/>
      <c r="E128" s="34"/>
      <c r="F128" s="34"/>
    </row>
    <row r="129" ht="6" customHeight="1" hidden="1" x14ac:dyDescent="0.25" outlineLevel="1" collapsed="1"/>
    <row r="130" ht="22" customHeight="1" spans="1:6" x14ac:dyDescent="0.25">
      <c r="A130" s="25" t="s">
        <v>915</v>
      </c>
      <c r="B130" s="25"/>
      <c r="C130" s="25"/>
      <c r="D130" s="25"/>
      <c r="E130" s="25"/>
      <c r="F130" s="25"/>
    </row>
    <row r="131" ht="20" customHeight="1" hidden="1" spans="1:6" x14ac:dyDescent="0.25" outlineLevel="1" collapsed="1">
      <c r="A131" s="26" t="s">
        <v>460</v>
      </c>
      <c r="B131" s="26" t="s">
        <v>461</v>
      </c>
      <c r="C131" s="26" t="s">
        <v>462</v>
      </c>
      <c r="D131" s="26" t="s">
        <v>32</v>
      </c>
      <c r="E131" s="26" t="s">
        <v>463</v>
      </c>
      <c r="F131" s="26" t="s">
        <v>464</v>
      </c>
    </row>
    <row r="132" ht="20" customHeight="1" hidden="1" spans="1:6" x14ac:dyDescent="0.25" outlineLevel="1" collapsed="1">
      <c r="A132" s="27">
        <v>3120</v>
      </c>
      <c r="B132" s="28" t="s">
        <v>916</v>
      </c>
      <c r="C132" s="27" t="s">
        <v>466</v>
      </c>
      <c r="D132" s="37" t="s">
        <v>32</v>
      </c>
      <c r="E132" s="38" t="s">
        <v>673</v>
      </c>
      <c r="F132" s="28" t="s">
        <v>32</v>
      </c>
    </row>
    <row r="133" ht="20" customHeight="1" hidden="1" spans="1:6" x14ac:dyDescent="0.25" outlineLevel="1" collapsed="1">
      <c r="A133" s="27">
        <v>3110</v>
      </c>
      <c r="B133" s="28" t="s">
        <v>917</v>
      </c>
      <c r="C133" s="27" t="s">
        <v>472</v>
      </c>
      <c r="D133" s="37" t="s">
        <v>32</v>
      </c>
      <c r="E133" s="38" t="s">
        <v>673</v>
      </c>
      <c r="F133" s="28" t="s">
        <v>32</v>
      </c>
    </row>
    <row r="134" ht="22" customHeight="1" hidden="1" spans="1:6" x14ac:dyDescent="0.25" outlineLevel="1" collapsed="1">
      <c r="A134" s="34" t="s">
        <v>495</v>
      </c>
      <c r="B134" s="34"/>
      <c r="C134" s="34"/>
      <c r="D134" s="34"/>
      <c r="E134" s="34"/>
      <c r="F134" s="34"/>
    </row>
    <row r="135" ht="6" customHeight="1" hidden="1" x14ac:dyDescent="0.25" outlineLevel="1" collapsed="1"/>
    <row r="136" ht="12" customHeight="1" x14ac:dyDescent="0.25"/>
    <row r="137" ht="24" customHeight="1" spans="1:6" x14ac:dyDescent="0.25">
      <c r="A137" s="24" t="s">
        <v>674</v>
      </c>
      <c r="B137" s="24"/>
      <c r="C137" s="24"/>
      <c r="D137" s="24"/>
      <c r="E137" s="24"/>
      <c r="F137" s="24"/>
    </row>
    <row r="138" ht="22" customHeight="1" spans="1:6" x14ac:dyDescent="0.25">
      <c r="A138" s="25" t="s">
        <v>891</v>
      </c>
      <c r="B138" s="25"/>
      <c r="C138" s="25"/>
      <c r="D138" s="25"/>
      <c r="E138" s="25"/>
      <c r="F138" s="25"/>
    </row>
    <row r="139" ht="20" customHeight="1" hidden="1" spans="1:6" x14ac:dyDescent="0.25" outlineLevel="1" collapsed="1">
      <c r="A139" s="26" t="s">
        <v>460</v>
      </c>
      <c r="B139" s="26" t="s">
        <v>461</v>
      </c>
      <c r="C139" s="26" t="s">
        <v>462</v>
      </c>
      <c r="D139" s="26" t="s">
        <v>32</v>
      </c>
      <c r="E139" s="26" t="s">
        <v>463</v>
      </c>
      <c r="F139" s="26" t="s">
        <v>464</v>
      </c>
    </row>
    <row r="140" ht="36" customHeight="1" hidden="1" spans="1:6" x14ac:dyDescent="0.25" outlineLevel="1" collapsed="1">
      <c r="A140" s="27">
        <v>3110</v>
      </c>
      <c r="B140" s="28" t="s">
        <v>892</v>
      </c>
      <c r="C140" s="27" t="s">
        <v>472</v>
      </c>
      <c r="D140" s="29" t="s">
        <v>32</v>
      </c>
      <c r="E140" s="36" t="s">
        <v>699</v>
      </c>
      <c r="F140" s="28" t="s">
        <v>32</v>
      </c>
    </row>
    <row r="141" ht="36" customHeight="1" hidden="1" spans="1:6" x14ac:dyDescent="0.25" outlineLevel="1" collapsed="1">
      <c r="A141" s="27">
        <v>3120</v>
      </c>
      <c r="B141" s="28" t="s">
        <v>893</v>
      </c>
      <c r="C141" s="27" t="s">
        <v>466</v>
      </c>
      <c r="D141" s="29" t="s">
        <v>32</v>
      </c>
      <c r="E141" s="36" t="s">
        <v>699</v>
      </c>
      <c r="F141" s="28" t="s">
        <v>32</v>
      </c>
    </row>
    <row r="142" ht="22" customHeight="1" hidden="1" spans="1:6" x14ac:dyDescent="0.25" outlineLevel="1" collapsed="1">
      <c r="A142" s="34" t="s">
        <v>495</v>
      </c>
      <c r="B142" s="34"/>
      <c r="C142" s="34"/>
      <c r="D142" s="34"/>
      <c r="E142" s="34"/>
      <c r="F142" s="34"/>
    </row>
    <row r="143" ht="24" customHeight="1" hidden="1" spans="1:6" x14ac:dyDescent="0.25" outlineLevel="1" collapsed="1">
      <c r="A143" s="12" t="s">
        <v>927</v>
      </c>
      <c r="B143" s="12"/>
      <c r="C143" s="12"/>
      <c r="D143" s="12"/>
      <c r="E143" s="12"/>
      <c r="F143" s="12"/>
    </row>
    <row r="144" ht="24" customHeight="1" hidden="1" spans="1:6" x14ac:dyDescent="0.25" outlineLevel="1" collapsed="1">
      <c r="A144" s="12" t="s">
        <v>928</v>
      </c>
      <c r="B144" s="12"/>
      <c r="C144" s="12"/>
      <c r="D144" s="12"/>
      <c r="E144" s="12"/>
      <c r="F144" s="12"/>
    </row>
    <row r="145" ht="6" customHeight="1" hidden="1" x14ac:dyDescent="0.25" outlineLevel="1" collapsed="1"/>
    <row r="146" ht="22" customHeight="1" spans="1:6" x14ac:dyDescent="0.25">
      <c r="A146" s="25" t="s">
        <v>896</v>
      </c>
      <c r="B146" s="25"/>
      <c r="C146" s="25"/>
      <c r="D146" s="25"/>
      <c r="E146" s="25"/>
      <c r="F146" s="25"/>
    </row>
    <row r="147" ht="20" customHeight="1" hidden="1" spans="1:6" x14ac:dyDescent="0.25" outlineLevel="1" collapsed="1">
      <c r="A147" s="26" t="s">
        <v>460</v>
      </c>
      <c r="B147" s="26" t="s">
        <v>461</v>
      </c>
      <c r="C147" s="26" t="s">
        <v>462</v>
      </c>
      <c r="D147" s="26" t="s">
        <v>32</v>
      </c>
      <c r="E147" s="26" t="s">
        <v>463</v>
      </c>
      <c r="F147" s="26" t="s">
        <v>464</v>
      </c>
    </row>
    <row r="148" ht="36" customHeight="1" hidden="1" spans="1:6" x14ac:dyDescent="0.25" outlineLevel="1" collapsed="1">
      <c r="A148" s="27">
        <v>3120</v>
      </c>
      <c r="B148" s="28" t="s">
        <v>897</v>
      </c>
      <c r="C148" s="27" t="s">
        <v>472</v>
      </c>
      <c r="D148" s="29" t="s">
        <v>32</v>
      </c>
      <c r="E148" s="36" t="s">
        <v>699</v>
      </c>
      <c r="F148" s="28" t="s">
        <v>32</v>
      </c>
    </row>
    <row r="149" ht="36" customHeight="1" hidden="1" spans="1:6" x14ac:dyDescent="0.25" outlineLevel="1" collapsed="1">
      <c r="A149" s="27">
        <v>3130</v>
      </c>
      <c r="B149" s="28" t="s">
        <v>898</v>
      </c>
      <c r="C149" s="27" t="s">
        <v>466</v>
      </c>
      <c r="D149" s="29" t="s">
        <v>32</v>
      </c>
      <c r="E149" s="36" t="s">
        <v>699</v>
      </c>
      <c r="F149" s="28" t="s">
        <v>32</v>
      </c>
    </row>
    <row r="150" ht="22" customHeight="1" hidden="1" spans="1:6" x14ac:dyDescent="0.25" outlineLevel="1" collapsed="1">
      <c r="A150" s="34" t="s">
        <v>495</v>
      </c>
      <c r="B150" s="34"/>
      <c r="C150" s="34"/>
      <c r="D150" s="34"/>
      <c r="E150" s="34"/>
      <c r="F150" s="34"/>
    </row>
    <row r="151" ht="24" customHeight="1" hidden="1" spans="1:6" x14ac:dyDescent="0.25" outlineLevel="1" collapsed="1">
      <c r="A151" s="12" t="s">
        <v>929</v>
      </c>
      <c r="B151" s="12"/>
      <c r="C151" s="12"/>
      <c r="D151" s="12"/>
      <c r="E151" s="12"/>
      <c r="F151" s="12"/>
    </row>
    <row r="152" ht="24" customHeight="1" hidden="1" spans="1:6" x14ac:dyDescent="0.25" outlineLevel="1" collapsed="1">
      <c r="A152" s="12" t="s">
        <v>930</v>
      </c>
      <c r="B152" s="12"/>
      <c r="C152" s="12"/>
      <c r="D152" s="12"/>
      <c r="E152" s="12"/>
      <c r="F152" s="12"/>
    </row>
    <row r="153" ht="6" customHeight="1" hidden="1" x14ac:dyDescent="0.25" outlineLevel="1" collapsed="1"/>
    <row r="154" ht="22" customHeight="1" spans="1:6" x14ac:dyDescent="0.25">
      <c r="A154" s="25" t="s">
        <v>901</v>
      </c>
      <c r="B154" s="25"/>
      <c r="C154" s="25"/>
      <c r="D154" s="25"/>
      <c r="E154" s="25"/>
      <c r="F154" s="25"/>
    </row>
    <row r="155" ht="20" customHeight="1" hidden="1" spans="1:6" x14ac:dyDescent="0.25" outlineLevel="1" collapsed="1">
      <c r="A155" s="26" t="s">
        <v>460</v>
      </c>
      <c r="B155" s="26" t="s">
        <v>461</v>
      </c>
      <c r="C155" s="26" t="s">
        <v>462</v>
      </c>
      <c r="D155" s="26" t="s">
        <v>32</v>
      </c>
      <c r="E155" s="26" t="s">
        <v>463</v>
      </c>
      <c r="F155" s="26" t="s">
        <v>464</v>
      </c>
    </row>
    <row r="156" ht="36" customHeight="1" hidden="1" spans="1:6" x14ac:dyDescent="0.25" outlineLevel="1" collapsed="1">
      <c r="A156" s="27">
        <v>3120</v>
      </c>
      <c r="B156" s="28" t="s">
        <v>902</v>
      </c>
      <c r="C156" s="27" t="s">
        <v>472</v>
      </c>
      <c r="D156" s="29" t="s">
        <v>32</v>
      </c>
      <c r="E156" s="36" t="s">
        <v>699</v>
      </c>
      <c r="F156" s="28" t="s">
        <v>32</v>
      </c>
    </row>
    <row r="157" ht="36" customHeight="1" hidden="1" spans="1:6" x14ac:dyDescent="0.25" outlineLevel="1" collapsed="1">
      <c r="A157" s="27">
        <v>3130</v>
      </c>
      <c r="B157" s="28" t="s">
        <v>903</v>
      </c>
      <c r="C157" s="27" t="s">
        <v>466</v>
      </c>
      <c r="D157" s="29" t="s">
        <v>32</v>
      </c>
      <c r="E157" s="36" t="s">
        <v>699</v>
      </c>
      <c r="F157" s="28" t="s">
        <v>32</v>
      </c>
    </row>
    <row r="158" ht="22" customHeight="1" hidden="1" spans="1:6" x14ac:dyDescent="0.25" outlineLevel="1" collapsed="1">
      <c r="A158" s="34" t="s">
        <v>495</v>
      </c>
      <c r="B158" s="34"/>
      <c r="C158" s="34"/>
      <c r="D158" s="34"/>
      <c r="E158" s="34"/>
      <c r="F158" s="34"/>
    </row>
    <row r="159" ht="24" customHeight="1" hidden="1" spans="1:6" x14ac:dyDescent="0.25" outlineLevel="1" collapsed="1">
      <c r="A159" s="12" t="s">
        <v>929</v>
      </c>
      <c r="B159" s="12"/>
      <c r="C159" s="12"/>
      <c r="D159" s="12"/>
      <c r="E159" s="12"/>
      <c r="F159" s="12"/>
    </row>
    <row r="160" ht="24" customHeight="1" hidden="1" spans="1:6" x14ac:dyDescent="0.25" outlineLevel="1" collapsed="1">
      <c r="A160" s="12" t="s">
        <v>930</v>
      </c>
      <c r="B160" s="12"/>
      <c r="C160" s="12"/>
      <c r="D160" s="12"/>
      <c r="E160" s="12"/>
      <c r="F160" s="12"/>
    </row>
    <row r="161" ht="6" customHeight="1" hidden="1" x14ac:dyDescent="0.25" outlineLevel="1" collapsed="1"/>
    <row r="162" ht="22" customHeight="1" spans="1:6" x14ac:dyDescent="0.25">
      <c r="A162" s="25" t="s">
        <v>904</v>
      </c>
      <c r="B162" s="25"/>
      <c r="C162" s="25"/>
      <c r="D162" s="25"/>
      <c r="E162" s="25"/>
      <c r="F162" s="25"/>
    </row>
    <row r="163" ht="20" customHeight="1" hidden="1" spans="1:6" x14ac:dyDescent="0.25" outlineLevel="1" collapsed="1">
      <c r="A163" s="26" t="s">
        <v>460</v>
      </c>
      <c r="B163" s="26" t="s">
        <v>461</v>
      </c>
      <c r="C163" s="26" t="s">
        <v>462</v>
      </c>
      <c r="D163" s="26" t="s">
        <v>32</v>
      </c>
      <c r="E163" s="26" t="s">
        <v>463</v>
      </c>
      <c r="F163" s="26" t="s">
        <v>464</v>
      </c>
    </row>
    <row r="164" ht="51" customHeight="1" hidden="1" spans="1:6" x14ac:dyDescent="0.25" outlineLevel="1" collapsed="1">
      <c r="A164" s="27">
        <v>3220</v>
      </c>
      <c r="B164" s="28" t="s">
        <v>905</v>
      </c>
      <c r="C164" s="27" t="s">
        <v>745</v>
      </c>
      <c r="D164" s="29" t="s">
        <v>32</v>
      </c>
      <c r="E164" s="36" t="s">
        <v>699</v>
      </c>
      <c r="F164" s="28" t="s">
        <v>32</v>
      </c>
    </row>
    <row r="165" ht="36" customHeight="1" hidden="1" spans="1:6" x14ac:dyDescent="0.25" outlineLevel="1" collapsed="1">
      <c r="A165" s="27">
        <v>3240</v>
      </c>
      <c r="B165" s="28" t="s">
        <v>906</v>
      </c>
      <c r="C165" s="27" t="s">
        <v>745</v>
      </c>
      <c r="D165" s="29" t="s">
        <v>32</v>
      </c>
      <c r="E165" s="36" t="s">
        <v>699</v>
      </c>
      <c r="F165" s="28" t="s">
        <v>32</v>
      </c>
    </row>
    <row r="166" ht="36" customHeight="1" hidden="1" spans="1:6" x14ac:dyDescent="0.25" outlineLevel="1" collapsed="1">
      <c r="A166" s="27">
        <v>3260</v>
      </c>
      <c r="B166" s="28" t="s">
        <v>907</v>
      </c>
      <c r="C166" s="27" t="s">
        <v>745</v>
      </c>
      <c r="D166" s="29" t="s">
        <v>32</v>
      </c>
      <c r="E166" s="36" t="s">
        <v>699</v>
      </c>
      <c r="F166" s="28" t="s">
        <v>32</v>
      </c>
    </row>
    <row r="167" ht="36" customHeight="1" hidden="1" spans="1:6" x14ac:dyDescent="0.25" outlineLevel="1" collapsed="1">
      <c r="A167" s="27">
        <v>3270</v>
      </c>
      <c r="B167" s="28" t="s">
        <v>908</v>
      </c>
      <c r="C167" s="27" t="s">
        <v>745</v>
      </c>
      <c r="D167" s="29" t="s">
        <v>32</v>
      </c>
      <c r="E167" s="36" t="s">
        <v>699</v>
      </c>
      <c r="F167" s="28" t="s">
        <v>32</v>
      </c>
    </row>
    <row r="168" ht="36" customHeight="1" hidden="1" spans="1:6" x14ac:dyDescent="0.25" outlineLevel="1" collapsed="1">
      <c r="A168" s="27">
        <v>3280</v>
      </c>
      <c r="B168" s="28" t="s">
        <v>909</v>
      </c>
      <c r="C168" s="27" t="s">
        <v>745</v>
      </c>
      <c r="D168" s="29" t="s">
        <v>32</v>
      </c>
      <c r="E168" s="36" t="s">
        <v>699</v>
      </c>
      <c r="F168" s="28" t="s">
        <v>32</v>
      </c>
    </row>
    <row r="169" ht="22" customHeight="1" hidden="1" spans="1:6" x14ac:dyDescent="0.25" outlineLevel="1" collapsed="1">
      <c r="A169" s="34" t="s">
        <v>495</v>
      </c>
      <c r="B169" s="34"/>
      <c r="C169" s="34"/>
      <c r="D169" s="34"/>
      <c r="E169" s="34"/>
      <c r="F169" s="34"/>
    </row>
    <row r="170" ht="24" customHeight="1" hidden="1" spans="1:6" x14ac:dyDescent="0.25" outlineLevel="1" collapsed="1">
      <c r="A170" s="12" t="s">
        <v>931</v>
      </c>
      <c r="B170" s="12"/>
      <c r="C170" s="12"/>
      <c r="D170" s="12"/>
      <c r="E170" s="12"/>
      <c r="F170" s="12"/>
    </row>
    <row r="171" ht="24" customHeight="1" hidden="1" spans="1:6" x14ac:dyDescent="0.25" outlineLevel="1" collapsed="1">
      <c r="A171" s="12" t="s">
        <v>932</v>
      </c>
      <c r="B171" s="12"/>
      <c r="C171" s="12"/>
      <c r="D171" s="12"/>
      <c r="E171" s="12"/>
      <c r="F171" s="12"/>
    </row>
    <row r="172" ht="24" customHeight="1" hidden="1" spans="1:6" x14ac:dyDescent="0.25" outlineLevel="1" collapsed="1">
      <c r="A172" s="12" t="s">
        <v>933</v>
      </c>
      <c r="B172" s="12"/>
      <c r="C172" s="12"/>
      <c r="D172" s="12"/>
      <c r="E172" s="12"/>
      <c r="F172" s="12"/>
    </row>
    <row r="173" ht="24" customHeight="1" hidden="1" spans="1:6" x14ac:dyDescent="0.25" outlineLevel="1" collapsed="1">
      <c r="A173" s="12" t="s">
        <v>934</v>
      </c>
      <c r="B173" s="12"/>
      <c r="C173" s="12"/>
      <c r="D173" s="12"/>
      <c r="E173" s="12"/>
      <c r="F173" s="12"/>
    </row>
    <row r="174" ht="24" customHeight="1" hidden="1" spans="1:6" x14ac:dyDescent="0.25" outlineLevel="1" collapsed="1">
      <c r="A174" s="12" t="s">
        <v>935</v>
      </c>
      <c r="B174" s="12"/>
      <c r="C174" s="12"/>
      <c r="D174" s="12"/>
      <c r="E174" s="12"/>
      <c r="F174" s="12"/>
    </row>
    <row r="175" ht="6" customHeight="1" hidden="1" x14ac:dyDescent="0.25" outlineLevel="1" collapsed="1"/>
    <row r="176" ht="22" customHeight="1" spans="1:6" x14ac:dyDescent="0.25">
      <c r="A176" s="25" t="s">
        <v>915</v>
      </c>
      <c r="B176" s="25"/>
      <c r="C176" s="25"/>
      <c r="D176" s="25"/>
      <c r="E176" s="25"/>
      <c r="F176" s="25"/>
    </row>
    <row r="177" ht="20" customHeight="1" hidden="1" spans="1:6" x14ac:dyDescent="0.25" outlineLevel="1" collapsed="1">
      <c r="A177" s="26" t="s">
        <v>460</v>
      </c>
      <c r="B177" s="26" t="s">
        <v>461</v>
      </c>
      <c r="C177" s="26" t="s">
        <v>462</v>
      </c>
      <c r="D177" s="26" t="s">
        <v>32</v>
      </c>
      <c r="E177" s="26" t="s">
        <v>463</v>
      </c>
      <c r="F177" s="26" t="s">
        <v>464</v>
      </c>
    </row>
    <row r="178" ht="36" customHeight="1" hidden="1" spans="1:6" x14ac:dyDescent="0.25" outlineLevel="1" collapsed="1">
      <c r="A178" s="27">
        <v>3120</v>
      </c>
      <c r="B178" s="28" t="s">
        <v>916</v>
      </c>
      <c r="C178" s="27" t="s">
        <v>466</v>
      </c>
      <c r="D178" s="29" t="s">
        <v>32</v>
      </c>
      <c r="E178" s="36" t="s">
        <v>699</v>
      </c>
      <c r="F178" s="28" t="s">
        <v>32</v>
      </c>
    </row>
    <row r="179" ht="36" customHeight="1" hidden="1" spans="1:6" x14ac:dyDescent="0.25" outlineLevel="1" collapsed="1">
      <c r="A179" s="27">
        <v>3110</v>
      </c>
      <c r="B179" s="28" t="s">
        <v>917</v>
      </c>
      <c r="C179" s="27" t="s">
        <v>472</v>
      </c>
      <c r="D179" s="29" t="s">
        <v>32</v>
      </c>
      <c r="E179" s="36" t="s">
        <v>699</v>
      </c>
      <c r="F179" s="28" t="s">
        <v>32</v>
      </c>
    </row>
    <row r="180" ht="22" customHeight="1" hidden="1" spans="1:6" x14ac:dyDescent="0.25" outlineLevel="1" collapsed="1">
      <c r="A180" s="34" t="s">
        <v>495</v>
      </c>
      <c r="B180" s="34"/>
      <c r="C180" s="34"/>
      <c r="D180" s="34"/>
      <c r="E180" s="34"/>
      <c r="F180" s="34"/>
    </row>
    <row r="181" ht="24" customHeight="1" hidden="1" spans="1:6" x14ac:dyDescent="0.25" outlineLevel="1" collapsed="1">
      <c r="A181" s="12" t="s">
        <v>928</v>
      </c>
      <c r="B181" s="12"/>
      <c r="C181" s="12"/>
      <c r="D181" s="12"/>
      <c r="E181" s="12"/>
      <c r="F181" s="12"/>
    </row>
    <row r="182" ht="24" customHeight="1" hidden="1" spans="1:6" x14ac:dyDescent="0.25" outlineLevel="1" collapsed="1">
      <c r="A182" s="12" t="s">
        <v>927</v>
      </c>
      <c r="B182" s="12"/>
      <c r="C182" s="12"/>
      <c r="D182" s="12"/>
      <c r="E182" s="12"/>
      <c r="F182" s="12"/>
    </row>
    <row r="183" ht="6" customHeight="1" hidden="1" x14ac:dyDescent="0.25" outlineLevel="1" collapsed="1"/>
    <row r="184" ht="12" customHeight="1" x14ac:dyDescent="0.25"/>
    <row r="185" ht="24" customHeight="1" spans="1:6" x14ac:dyDescent="0.25">
      <c r="A185" s="24" t="s">
        <v>716</v>
      </c>
      <c r="B185" s="24"/>
      <c r="C185" s="24"/>
      <c r="D185" s="24"/>
      <c r="E185" s="24"/>
      <c r="F185" s="24"/>
    </row>
    <row r="186" ht="22" customHeight="1" spans="1:6" x14ac:dyDescent="0.25">
      <c r="A186" s="25" t="s">
        <v>891</v>
      </c>
      <c r="B186" s="25"/>
      <c r="C186" s="25"/>
      <c r="D186" s="25"/>
      <c r="E186" s="25"/>
      <c r="F186" s="25"/>
    </row>
    <row r="187" ht="20" customHeight="1" hidden="1" spans="1:6" x14ac:dyDescent="0.25" outlineLevel="1" collapsed="1">
      <c r="A187" s="26" t="s">
        <v>460</v>
      </c>
      <c r="B187" s="26" t="s">
        <v>461</v>
      </c>
      <c r="C187" s="26" t="s">
        <v>462</v>
      </c>
      <c r="D187" s="26" t="s">
        <v>32</v>
      </c>
      <c r="E187" s="26" t="s">
        <v>463</v>
      </c>
      <c r="F187" s="26" t="s">
        <v>464</v>
      </c>
    </row>
    <row r="188" ht="36" customHeight="1" hidden="1" spans="1:6" x14ac:dyDescent="0.25" outlineLevel="1" collapsed="1">
      <c r="A188" s="27">
        <v>3110</v>
      </c>
      <c r="B188" s="28" t="s">
        <v>892</v>
      </c>
      <c r="C188" s="27" t="s">
        <v>472</v>
      </c>
      <c r="D188" s="29" t="s">
        <v>32</v>
      </c>
      <c r="E188" s="36" t="s">
        <v>699</v>
      </c>
      <c r="F188" s="28" t="s">
        <v>32</v>
      </c>
    </row>
    <row r="189" ht="36" customHeight="1" hidden="1" spans="1:6" x14ac:dyDescent="0.25" outlineLevel="1" collapsed="1">
      <c r="A189" s="27">
        <v>3120</v>
      </c>
      <c r="B189" s="28" t="s">
        <v>893</v>
      </c>
      <c r="C189" s="27" t="s">
        <v>466</v>
      </c>
      <c r="D189" s="29" t="s">
        <v>32</v>
      </c>
      <c r="E189" s="36" t="s">
        <v>699</v>
      </c>
      <c r="F189" s="28" t="s">
        <v>32</v>
      </c>
    </row>
    <row r="190" ht="22" customHeight="1" hidden="1" spans="1:6" x14ac:dyDescent="0.25" outlineLevel="1" collapsed="1">
      <c r="A190" s="34" t="s">
        <v>495</v>
      </c>
      <c r="B190" s="34"/>
      <c r="C190" s="34"/>
      <c r="D190" s="34"/>
      <c r="E190" s="34"/>
      <c r="F190" s="34"/>
    </row>
    <row r="191" ht="24" customHeight="1" hidden="1" spans="1:6" x14ac:dyDescent="0.25" outlineLevel="1" collapsed="1">
      <c r="A191" s="12" t="s">
        <v>927</v>
      </c>
      <c r="B191" s="12"/>
      <c r="C191" s="12"/>
      <c r="D191" s="12"/>
      <c r="E191" s="12"/>
      <c r="F191" s="12"/>
    </row>
    <row r="192" ht="24" customHeight="1" hidden="1" spans="1:6" x14ac:dyDescent="0.25" outlineLevel="1" collapsed="1">
      <c r="A192" s="12" t="s">
        <v>928</v>
      </c>
      <c r="B192" s="12"/>
      <c r="C192" s="12"/>
      <c r="D192" s="12"/>
      <c r="E192" s="12"/>
      <c r="F192" s="12"/>
    </row>
    <row r="193" ht="6" customHeight="1" hidden="1" x14ac:dyDescent="0.25" outlineLevel="1" collapsed="1"/>
    <row r="194" ht="22" customHeight="1" spans="1:6" x14ac:dyDescent="0.25">
      <c r="A194" s="25" t="s">
        <v>896</v>
      </c>
      <c r="B194" s="25"/>
      <c r="C194" s="25"/>
      <c r="D194" s="25"/>
      <c r="E194" s="25"/>
      <c r="F194" s="25"/>
    </row>
    <row r="195" ht="20" customHeight="1" hidden="1" spans="1:6" x14ac:dyDescent="0.25" outlineLevel="1" collapsed="1">
      <c r="A195" s="26" t="s">
        <v>460</v>
      </c>
      <c r="B195" s="26" t="s">
        <v>461</v>
      </c>
      <c r="C195" s="26" t="s">
        <v>462</v>
      </c>
      <c r="D195" s="26" t="s">
        <v>32</v>
      </c>
      <c r="E195" s="26" t="s">
        <v>463</v>
      </c>
      <c r="F195" s="26" t="s">
        <v>464</v>
      </c>
    </row>
    <row r="196" ht="36" customHeight="1" hidden="1" spans="1:6" x14ac:dyDescent="0.25" outlineLevel="1" collapsed="1">
      <c r="A196" s="27">
        <v>3120</v>
      </c>
      <c r="B196" s="28" t="s">
        <v>897</v>
      </c>
      <c r="C196" s="27" t="s">
        <v>472</v>
      </c>
      <c r="D196" s="29" t="s">
        <v>32</v>
      </c>
      <c r="E196" s="36" t="s">
        <v>699</v>
      </c>
      <c r="F196" s="28" t="s">
        <v>32</v>
      </c>
    </row>
    <row r="197" ht="36" customHeight="1" hidden="1" spans="1:6" x14ac:dyDescent="0.25" outlineLevel="1" collapsed="1">
      <c r="A197" s="27">
        <v>3130</v>
      </c>
      <c r="B197" s="28" t="s">
        <v>898</v>
      </c>
      <c r="C197" s="27" t="s">
        <v>466</v>
      </c>
      <c r="D197" s="29" t="s">
        <v>32</v>
      </c>
      <c r="E197" s="36" t="s">
        <v>699</v>
      </c>
      <c r="F197" s="28" t="s">
        <v>32</v>
      </c>
    </row>
    <row r="198" ht="22" customHeight="1" hidden="1" spans="1:6" x14ac:dyDescent="0.25" outlineLevel="1" collapsed="1">
      <c r="A198" s="34" t="s">
        <v>495</v>
      </c>
      <c r="B198" s="34"/>
      <c r="C198" s="34"/>
      <c r="D198" s="34"/>
      <c r="E198" s="34"/>
      <c r="F198" s="34"/>
    </row>
    <row r="199" ht="24" customHeight="1" hidden="1" spans="1:6" x14ac:dyDescent="0.25" outlineLevel="1" collapsed="1">
      <c r="A199" s="12" t="s">
        <v>929</v>
      </c>
      <c r="B199" s="12"/>
      <c r="C199" s="12"/>
      <c r="D199" s="12"/>
      <c r="E199" s="12"/>
      <c r="F199" s="12"/>
    </row>
    <row r="200" ht="24" customHeight="1" hidden="1" spans="1:6" x14ac:dyDescent="0.25" outlineLevel="1" collapsed="1">
      <c r="A200" s="12" t="s">
        <v>930</v>
      </c>
      <c r="B200" s="12"/>
      <c r="C200" s="12"/>
      <c r="D200" s="12"/>
      <c r="E200" s="12"/>
      <c r="F200" s="12"/>
    </row>
    <row r="201" ht="6" customHeight="1" hidden="1" x14ac:dyDescent="0.25" outlineLevel="1" collapsed="1"/>
    <row r="202" ht="22" customHeight="1" spans="1:6" x14ac:dyDescent="0.25">
      <c r="A202" s="25" t="s">
        <v>901</v>
      </c>
      <c r="B202" s="25"/>
      <c r="C202" s="25"/>
      <c r="D202" s="25"/>
      <c r="E202" s="25"/>
      <c r="F202" s="25"/>
    </row>
    <row r="203" ht="20" customHeight="1" hidden="1" spans="1:6" x14ac:dyDescent="0.25" outlineLevel="1" collapsed="1">
      <c r="A203" s="26" t="s">
        <v>460</v>
      </c>
      <c r="B203" s="26" t="s">
        <v>461</v>
      </c>
      <c r="C203" s="26" t="s">
        <v>462</v>
      </c>
      <c r="D203" s="26" t="s">
        <v>32</v>
      </c>
      <c r="E203" s="26" t="s">
        <v>463</v>
      </c>
      <c r="F203" s="26" t="s">
        <v>464</v>
      </c>
    </row>
    <row r="204" ht="36" customHeight="1" hidden="1" spans="1:6" x14ac:dyDescent="0.25" outlineLevel="1" collapsed="1">
      <c r="A204" s="27">
        <v>3120</v>
      </c>
      <c r="B204" s="28" t="s">
        <v>902</v>
      </c>
      <c r="C204" s="27" t="s">
        <v>472</v>
      </c>
      <c r="D204" s="29" t="s">
        <v>32</v>
      </c>
      <c r="E204" s="36" t="s">
        <v>699</v>
      </c>
      <c r="F204" s="28" t="s">
        <v>32</v>
      </c>
    </row>
    <row r="205" ht="36" customHeight="1" hidden="1" spans="1:6" x14ac:dyDescent="0.25" outlineLevel="1" collapsed="1">
      <c r="A205" s="27">
        <v>3130</v>
      </c>
      <c r="B205" s="28" t="s">
        <v>903</v>
      </c>
      <c r="C205" s="27" t="s">
        <v>466</v>
      </c>
      <c r="D205" s="29" t="s">
        <v>32</v>
      </c>
      <c r="E205" s="36" t="s">
        <v>699</v>
      </c>
      <c r="F205" s="28" t="s">
        <v>32</v>
      </c>
    </row>
    <row r="206" ht="22" customHeight="1" hidden="1" spans="1:6" x14ac:dyDescent="0.25" outlineLevel="1" collapsed="1">
      <c r="A206" s="34" t="s">
        <v>495</v>
      </c>
      <c r="B206" s="34"/>
      <c r="C206" s="34"/>
      <c r="D206" s="34"/>
      <c r="E206" s="34"/>
      <c r="F206" s="34"/>
    </row>
    <row r="207" ht="24" customHeight="1" hidden="1" spans="1:6" x14ac:dyDescent="0.25" outlineLevel="1" collapsed="1">
      <c r="A207" s="12" t="s">
        <v>929</v>
      </c>
      <c r="B207" s="12"/>
      <c r="C207" s="12"/>
      <c r="D207" s="12"/>
      <c r="E207" s="12"/>
      <c r="F207" s="12"/>
    </row>
    <row r="208" ht="24" customHeight="1" hidden="1" spans="1:6" x14ac:dyDescent="0.25" outlineLevel="1" collapsed="1">
      <c r="A208" s="12" t="s">
        <v>930</v>
      </c>
      <c r="B208" s="12"/>
      <c r="C208" s="12"/>
      <c r="D208" s="12"/>
      <c r="E208" s="12"/>
      <c r="F208" s="12"/>
    </row>
    <row r="209" ht="6" customHeight="1" hidden="1" x14ac:dyDescent="0.25" outlineLevel="1" collapsed="1"/>
    <row r="210" ht="22" customHeight="1" spans="1:6" x14ac:dyDescent="0.25">
      <c r="A210" s="25" t="s">
        <v>904</v>
      </c>
      <c r="B210" s="25"/>
      <c r="C210" s="25"/>
      <c r="D210" s="25"/>
      <c r="E210" s="25"/>
      <c r="F210" s="25"/>
    </row>
    <row r="211" ht="20" customHeight="1" hidden="1" spans="1:6" x14ac:dyDescent="0.25" outlineLevel="1" collapsed="1">
      <c r="A211" s="26" t="s">
        <v>460</v>
      </c>
      <c r="B211" s="26" t="s">
        <v>461</v>
      </c>
      <c r="C211" s="26" t="s">
        <v>462</v>
      </c>
      <c r="D211" s="26" t="s">
        <v>32</v>
      </c>
      <c r="E211" s="26" t="s">
        <v>463</v>
      </c>
      <c r="F211" s="26" t="s">
        <v>464</v>
      </c>
    </row>
    <row r="212" ht="51" customHeight="1" hidden="1" spans="1:6" x14ac:dyDescent="0.25" outlineLevel="1" collapsed="1">
      <c r="A212" s="27">
        <v>3220</v>
      </c>
      <c r="B212" s="28" t="s">
        <v>905</v>
      </c>
      <c r="C212" s="27" t="s">
        <v>745</v>
      </c>
      <c r="D212" s="29" t="s">
        <v>32</v>
      </c>
      <c r="E212" s="36" t="s">
        <v>699</v>
      </c>
      <c r="F212" s="28" t="s">
        <v>32</v>
      </c>
    </row>
    <row r="213" ht="36" customHeight="1" hidden="1" spans="1:6" x14ac:dyDescent="0.25" outlineLevel="1" collapsed="1">
      <c r="A213" s="27">
        <v>3240</v>
      </c>
      <c r="B213" s="28" t="s">
        <v>906</v>
      </c>
      <c r="C213" s="27" t="s">
        <v>745</v>
      </c>
      <c r="D213" s="29" t="s">
        <v>32</v>
      </c>
      <c r="E213" s="36" t="s">
        <v>699</v>
      </c>
      <c r="F213" s="28" t="s">
        <v>32</v>
      </c>
    </row>
    <row r="214" ht="36" customHeight="1" hidden="1" spans="1:6" x14ac:dyDescent="0.25" outlineLevel="1" collapsed="1">
      <c r="A214" s="27">
        <v>3260</v>
      </c>
      <c r="B214" s="28" t="s">
        <v>907</v>
      </c>
      <c r="C214" s="27" t="s">
        <v>745</v>
      </c>
      <c r="D214" s="29" t="s">
        <v>32</v>
      </c>
      <c r="E214" s="36" t="s">
        <v>699</v>
      </c>
      <c r="F214" s="28" t="s">
        <v>32</v>
      </c>
    </row>
    <row r="215" ht="36" customHeight="1" hidden="1" spans="1:6" x14ac:dyDescent="0.25" outlineLevel="1" collapsed="1">
      <c r="A215" s="27">
        <v>3270</v>
      </c>
      <c r="B215" s="28" t="s">
        <v>908</v>
      </c>
      <c r="C215" s="27" t="s">
        <v>745</v>
      </c>
      <c r="D215" s="29" t="s">
        <v>32</v>
      </c>
      <c r="E215" s="36" t="s">
        <v>699</v>
      </c>
      <c r="F215" s="28" t="s">
        <v>32</v>
      </c>
    </row>
    <row r="216" ht="36" customHeight="1" hidden="1" spans="1:6" x14ac:dyDescent="0.25" outlineLevel="1" collapsed="1">
      <c r="A216" s="27">
        <v>3280</v>
      </c>
      <c r="B216" s="28" t="s">
        <v>909</v>
      </c>
      <c r="C216" s="27" t="s">
        <v>745</v>
      </c>
      <c r="D216" s="29" t="s">
        <v>32</v>
      </c>
      <c r="E216" s="36" t="s">
        <v>699</v>
      </c>
      <c r="F216" s="28" t="s">
        <v>32</v>
      </c>
    </row>
    <row r="217" ht="22" customHeight="1" hidden="1" spans="1:6" x14ac:dyDescent="0.25" outlineLevel="1" collapsed="1">
      <c r="A217" s="34" t="s">
        <v>495</v>
      </c>
      <c r="B217" s="34"/>
      <c r="C217" s="34"/>
      <c r="D217" s="34"/>
      <c r="E217" s="34"/>
      <c r="F217" s="34"/>
    </row>
    <row r="218" ht="24" customHeight="1" hidden="1" spans="1:6" x14ac:dyDescent="0.25" outlineLevel="1" collapsed="1">
      <c r="A218" s="12" t="s">
        <v>931</v>
      </c>
      <c r="B218" s="12"/>
      <c r="C218" s="12"/>
      <c r="D218" s="12"/>
      <c r="E218" s="12"/>
      <c r="F218" s="12"/>
    </row>
    <row r="219" ht="24" customHeight="1" hidden="1" spans="1:6" x14ac:dyDescent="0.25" outlineLevel="1" collapsed="1">
      <c r="A219" s="12" t="s">
        <v>932</v>
      </c>
      <c r="B219" s="12"/>
      <c r="C219" s="12"/>
      <c r="D219" s="12"/>
      <c r="E219" s="12"/>
      <c r="F219" s="12"/>
    </row>
    <row r="220" ht="24" customHeight="1" hidden="1" spans="1:6" x14ac:dyDescent="0.25" outlineLevel="1" collapsed="1">
      <c r="A220" s="12" t="s">
        <v>933</v>
      </c>
      <c r="B220" s="12"/>
      <c r="C220" s="12"/>
      <c r="D220" s="12"/>
      <c r="E220" s="12"/>
      <c r="F220" s="12"/>
    </row>
    <row r="221" ht="24" customHeight="1" hidden="1" spans="1:6" x14ac:dyDescent="0.25" outlineLevel="1" collapsed="1">
      <c r="A221" s="12" t="s">
        <v>934</v>
      </c>
      <c r="B221" s="12"/>
      <c r="C221" s="12"/>
      <c r="D221" s="12"/>
      <c r="E221" s="12"/>
      <c r="F221" s="12"/>
    </row>
    <row r="222" ht="24" customHeight="1" hidden="1" spans="1:6" x14ac:dyDescent="0.25" outlineLevel="1" collapsed="1">
      <c r="A222" s="12" t="s">
        <v>935</v>
      </c>
      <c r="B222" s="12"/>
      <c r="C222" s="12"/>
      <c r="D222" s="12"/>
      <c r="E222" s="12"/>
      <c r="F222" s="12"/>
    </row>
    <row r="223" ht="6" customHeight="1" hidden="1" x14ac:dyDescent="0.25" outlineLevel="1" collapsed="1"/>
    <row r="224" ht="22" customHeight="1" spans="1:6" x14ac:dyDescent="0.25">
      <c r="A224" s="25" t="s">
        <v>915</v>
      </c>
      <c r="B224" s="25"/>
      <c r="C224" s="25"/>
      <c r="D224" s="25"/>
      <c r="E224" s="25"/>
      <c r="F224" s="25"/>
    </row>
    <row r="225" ht="20" customHeight="1" hidden="1" spans="1:6" x14ac:dyDescent="0.25" outlineLevel="1" collapsed="1">
      <c r="A225" s="26" t="s">
        <v>460</v>
      </c>
      <c r="B225" s="26" t="s">
        <v>461</v>
      </c>
      <c r="C225" s="26" t="s">
        <v>462</v>
      </c>
      <c r="D225" s="26" t="s">
        <v>32</v>
      </c>
      <c r="E225" s="26" t="s">
        <v>463</v>
      </c>
      <c r="F225" s="26" t="s">
        <v>464</v>
      </c>
    </row>
    <row r="226" ht="36" customHeight="1" hidden="1" spans="1:6" x14ac:dyDescent="0.25" outlineLevel="1" collapsed="1">
      <c r="A226" s="27">
        <v>3120</v>
      </c>
      <c r="B226" s="28" t="s">
        <v>916</v>
      </c>
      <c r="C226" s="27" t="s">
        <v>466</v>
      </c>
      <c r="D226" s="29" t="s">
        <v>32</v>
      </c>
      <c r="E226" s="36" t="s">
        <v>699</v>
      </c>
      <c r="F226" s="28" t="s">
        <v>32</v>
      </c>
    </row>
    <row r="227" ht="36" customHeight="1" hidden="1" spans="1:6" x14ac:dyDescent="0.25" outlineLevel="1" collapsed="1">
      <c r="A227" s="27">
        <v>3110</v>
      </c>
      <c r="B227" s="28" t="s">
        <v>917</v>
      </c>
      <c r="C227" s="27" t="s">
        <v>472</v>
      </c>
      <c r="D227" s="29" t="s">
        <v>32</v>
      </c>
      <c r="E227" s="36" t="s">
        <v>699</v>
      </c>
      <c r="F227" s="28" t="s">
        <v>32</v>
      </c>
    </row>
    <row r="228" ht="22" customHeight="1" hidden="1" spans="1:6" x14ac:dyDescent="0.25" outlineLevel="1" collapsed="1">
      <c r="A228" s="34" t="s">
        <v>495</v>
      </c>
      <c r="B228" s="34"/>
      <c r="C228" s="34"/>
      <c r="D228" s="34"/>
      <c r="E228" s="34"/>
      <c r="F228" s="34"/>
    </row>
    <row r="229" ht="24" customHeight="1" hidden="1" spans="1:6" x14ac:dyDescent="0.25" outlineLevel="1" collapsed="1">
      <c r="A229" s="12" t="s">
        <v>928</v>
      </c>
      <c r="B229" s="12"/>
      <c r="C229" s="12"/>
      <c r="D229" s="12"/>
      <c r="E229" s="12"/>
      <c r="F229" s="12"/>
    </row>
    <row r="230" ht="24" customHeight="1" hidden="1" spans="1:6" x14ac:dyDescent="0.25" outlineLevel="1" collapsed="1">
      <c r="A230" s="12" t="s">
        <v>927</v>
      </c>
      <c r="B230" s="12"/>
      <c r="C230" s="12"/>
      <c r="D230" s="12"/>
      <c r="E230" s="12"/>
      <c r="F230" s="12"/>
    </row>
    <row r="231" ht="6" customHeight="1" hidden="1" x14ac:dyDescent="0.25" outlineLevel="1" collapsed="1"/>
    <row r="232" ht="12" customHeight="1" x14ac:dyDescent="0.25"/>
    <row r="233" ht="24" customHeight="1" spans="1:6" x14ac:dyDescent="0.25">
      <c r="A233" s="24" t="s">
        <v>717</v>
      </c>
      <c r="B233" s="24"/>
      <c r="C233" s="24"/>
      <c r="D233" s="24"/>
      <c r="E233" s="24"/>
      <c r="F233" s="24"/>
    </row>
    <row r="234" ht="22" customHeight="1" spans="1:6" x14ac:dyDescent="0.25">
      <c r="A234" s="25" t="s">
        <v>891</v>
      </c>
      <c r="B234" s="25"/>
      <c r="C234" s="25"/>
      <c r="D234" s="25"/>
      <c r="E234" s="25"/>
      <c r="F234" s="25"/>
    </row>
    <row r="235" ht="20" customHeight="1" hidden="1" spans="1:6" x14ac:dyDescent="0.25" outlineLevel="1" collapsed="1">
      <c r="A235" s="26" t="s">
        <v>460</v>
      </c>
      <c r="B235" s="26" t="s">
        <v>461</v>
      </c>
      <c r="C235" s="26" t="s">
        <v>462</v>
      </c>
      <c r="D235" s="26" t="s">
        <v>32</v>
      </c>
      <c r="E235" s="26" t="s">
        <v>463</v>
      </c>
      <c r="F235" s="26" t="s">
        <v>464</v>
      </c>
    </row>
    <row r="236" ht="36" customHeight="1" hidden="1" spans="1:6" x14ac:dyDescent="0.25" outlineLevel="1" collapsed="1">
      <c r="A236" s="27">
        <v>3110</v>
      </c>
      <c r="B236" s="28" t="s">
        <v>892</v>
      </c>
      <c r="C236" s="27" t="s">
        <v>472</v>
      </c>
      <c r="D236" s="29" t="s">
        <v>32</v>
      </c>
      <c r="E236" s="36" t="s">
        <v>699</v>
      </c>
      <c r="F236" s="28" t="s">
        <v>32</v>
      </c>
    </row>
    <row r="237" ht="36" customHeight="1" hidden="1" spans="1:6" x14ac:dyDescent="0.25" outlineLevel="1" collapsed="1">
      <c r="A237" s="27">
        <v>3120</v>
      </c>
      <c r="B237" s="28" t="s">
        <v>893</v>
      </c>
      <c r="C237" s="27" t="s">
        <v>466</v>
      </c>
      <c r="D237" s="29" t="s">
        <v>32</v>
      </c>
      <c r="E237" s="36" t="s">
        <v>699</v>
      </c>
      <c r="F237" s="28" t="s">
        <v>32</v>
      </c>
    </row>
    <row r="238" ht="22" customHeight="1" hidden="1" spans="1:6" x14ac:dyDescent="0.25" outlineLevel="1" collapsed="1">
      <c r="A238" s="34" t="s">
        <v>495</v>
      </c>
      <c r="B238" s="34"/>
      <c r="C238" s="34"/>
      <c r="D238" s="34"/>
      <c r="E238" s="34"/>
      <c r="F238" s="34"/>
    </row>
    <row r="239" ht="24" customHeight="1" hidden="1" spans="1:6" x14ac:dyDescent="0.25" outlineLevel="1" collapsed="1">
      <c r="A239" s="12" t="s">
        <v>927</v>
      </c>
      <c r="B239" s="12"/>
      <c r="C239" s="12"/>
      <c r="D239" s="12"/>
      <c r="E239" s="12"/>
      <c r="F239" s="12"/>
    </row>
    <row r="240" ht="24" customHeight="1" hidden="1" spans="1:6" x14ac:dyDescent="0.25" outlineLevel="1" collapsed="1">
      <c r="A240" s="12" t="s">
        <v>928</v>
      </c>
      <c r="B240" s="12"/>
      <c r="C240" s="12"/>
      <c r="D240" s="12"/>
      <c r="E240" s="12"/>
      <c r="F240" s="12"/>
    </row>
    <row r="241" ht="6" customHeight="1" hidden="1" x14ac:dyDescent="0.25" outlineLevel="1" collapsed="1"/>
    <row r="242" ht="22" customHeight="1" spans="1:6" x14ac:dyDescent="0.25">
      <c r="A242" s="25" t="s">
        <v>896</v>
      </c>
      <c r="B242" s="25"/>
      <c r="C242" s="25"/>
      <c r="D242" s="25"/>
      <c r="E242" s="25"/>
      <c r="F242" s="25"/>
    </row>
    <row r="243" ht="20" customHeight="1" hidden="1" spans="1:6" x14ac:dyDescent="0.25" outlineLevel="1" collapsed="1">
      <c r="A243" s="26" t="s">
        <v>460</v>
      </c>
      <c r="B243" s="26" t="s">
        <v>461</v>
      </c>
      <c r="C243" s="26" t="s">
        <v>462</v>
      </c>
      <c r="D243" s="26" t="s">
        <v>32</v>
      </c>
      <c r="E243" s="26" t="s">
        <v>463</v>
      </c>
      <c r="F243" s="26" t="s">
        <v>464</v>
      </c>
    </row>
    <row r="244" ht="36" customHeight="1" hidden="1" spans="1:6" x14ac:dyDescent="0.25" outlineLevel="1" collapsed="1">
      <c r="A244" s="27">
        <v>3120</v>
      </c>
      <c r="B244" s="28" t="s">
        <v>897</v>
      </c>
      <c r="C244" s="27" t="s">
        <v>472</v>
      </c>
      <c r="D244" s="29" t="s">
        <v>32</v>
      </c>
      <c r="E244" s="36" t="s">
        <v>699</v>
      </c>
      <c r="F244" s="28" t="s">
        <v>32</v>
      </c>
    </row>
    <row r="245" ht="36" customHeight="1" hidden="1" spans="1:6" x14ac:dyDescent="0.25" outlineLevel="1" collapsed="1">
      <c r="A245" s="27">
        <v>3130</v>
      </c>
      <c r="B245" s="28" t="s">
        <v>898</v>
      </c>
      <c r="C245" s="27" t="s">
        <v>466</v>
      </c>
      <c r="D245" s="29" t="s">
        <v>32</v>
      </c>
      <c r="E245" s="36" t="s">
        <v>699</v>
      </c>
      <c r="F245" s="28" t="s">
        <v>32</v>
      </c>
    </row>
    <row r="246" ht="22" customHeight="1" hidden="1" spans="1:6" x14ac:dyDescent="0.25" outlineLevel="1" collapsed="1">
      <c r="A246" s="34" t="s">
        <v>495</v>
      </c>
      <c r="B246" s="34"/>
      <c r="C246" s="34"/>
      <c r="D246" s="34"/>
      <c r="E246" s="34"/>
      <c r="F246" s="34"/>
    </row>
    <row r="247" ht="24" customHeight="1" hidden="1" spans="1:6" x14ac:dyDescent="0.25" outlineLevel="1" collapsed="1">
      <c r="A247" s="12" t="s">
        <v>929</v>
      </c>
      <c r="B247" s="12"/>
      <c r="C247" s="12"/>
      <c r="D247" s="12"/>
      <c r="E247" s="12"/>
      <c r="F247" s="12"/>
    </row>
    <row r="248" ht="24" customHeight="1" hidden="1" spans="1:6" x14ac:dyDescent="0.25" outlineLevel="1" collapsed="1">
      <c r="A248" s="12" t="s">
        <v>930</v>
      </c>
      <c r="B248" s="12"/>
      <c r="C248" s="12"/>
      <c r="D248" s="12"/>
      <c r="E248" s="12"/>
      <c r="F248" s="12"/>
    </row>
    <row r="249" ht="6" customHeight="1" hidden="1" x14ac:dyDescent="0.25" outlineLevel="1" collapsed="1"/>
    <row r="250" ht="22" customHeight="1" spans="1:6" x14ac:dyDescent="0.25">
      <c r="A250" s="25" t="s">
        <v>901</v>
      </c>
      <c r="B250" s="25"/>
      <c r="C250" s="25"/>
      <c r="D250" s="25"/>
      <c r="E250" s="25"/>
      <c r="F250" s="25"/>
    </row>
    <row r="251" ht="20" customHeight="1" hidden="1" spans="1:6" x14ac:dyDescent="0.25" outlineLevel="1" collapsed="1">
      <c r="A251" s="26" t="s">
        <v>460</v>
      </c>
      <c r="B251" s="26" t="s">
        <v>461</v>
      </c>
      <c r="C251" s="26" t="s">
        <v>462</v>
      </c>
      <c r="D251" s="26" t="s">
        <v>32</v>
      </c>
      <c r="E251" s="26" t="s">
        <v>463</v>
      </c>
      <c r="F251" s="26" t="s">
        <v>464</v>
      </c>
    </row>
    <row r="252" ht="36" customHeight="1" hidden="1" spans="1:6" x14ac:dyDescent="0.25" outlineLevel="1" collapsed="1">
      <c r="A252" s="27">
        <v>3120</v>
      </c>
      <c r="B252" s="28" t="s">
        <v>902</v>
      </c>
      <c r="C252" s="27" t="s">
        <v>472</v>
      </c>
      <c r="D252" s="29" t="s">
        <v>32</v>
      </c>
      <c r="E252" s="36" t="s">
        <v>699</v>
      </c>
      <c r="F252" s="28" t="s">
        <v>32</v>
      </c>
    </row>
    <row r="253" ht="36" customHeight="1" hidden="1" spans="1:6" x14ac:dyDescent="0.25" outlineLevel="1" collapsed="1">
      <c r="A253" s="27">
        <v>3130</v>
      </c>
      <c r="B253" s="28" t="s">
        <v>903</v>
      </c>
      <c r="C253" s="27" t="s">
        <v>466</v>
      </c>
      <c r="D253" s="29" t="s">
        <v>32</v>
      </c>
      <c r="E253" s="36" t="s">
        <v>699</v>
      </c>
      <c r="F253" s="28" t="s">
        <v>32</v>
      </c>
    </row>
    <row r="254" ht="22" customHeight="1" hidden="1" spans="1:6" x14ac:dyDescent="0.25" outlineLevel="1" collapsed="1">
      <c r="A254" s="34" t="s">
        <v>495</v>
      </c>
      <c r="B254" s="34"/>
      <c r="C254" s="34"/>
      <c r="D254" s="34"/>
      <c r="E254" s="34"/>
      <c r="F254" s="34"/>
    </row>
    <row r="255" ht="24" customHeight="1" hidden="1" spans="1:6" x14ac:dyDescent="0.25" outlineLevel="1" collapsed="1">
      <c r="A255" s="12" t="s">
        <v>929</v>
      </c>
      <c r="B255" s="12"/>
      <c r="C255" s="12"/>
      <c r="D255" s="12"/>
      <c r="E255" s="12"/>
      <c r="F255" s="12"/>
    </row>
    <row r="256" ht="24" customHeight="1" hidden="1" spans="1:6" x14ac:dyDescent="0.25" outlineLevel="1" collapsed="1">
      <c r="A256" s="12" t="s">
        <v>930</v>
      </c>
      <c r="B256" s="12"/>
      <c r="C256" s="12"/>
      <c r="D256" s="12"/>
      <c r="E256" s="12"/>
      <c r="F256" s="12"/>
    </row>
    <row r="257" ht="6" customHeight="1" hidden="1" x14ac:dyDescent="0.25" outlineLevel="1" collapsed="1"/>
    <row r="258" ht="22" customHeight="1" spans="1:6" x14ac:dyDescent="0.25">
      <c r="A258" s="25" t="s">
        <v>904</v>
      </c>
      <c r="B258" s="25"/>
      <c r="C258" s="25"/>
      <c r="D258" s="25"/>
      <c r="E258" s="25"/>
      <c r="F258" s="25"/>
    </row>
    <row r="259" ht="20" customHeight="1" hidden="1" spans="1:6" x14ac:dyDescent="0.25" outlineLevel="1" collapsed="1">
      <c r="A259" s="26" t="s">
        <v>460</v>
      </c>
      <c r="B259" s="26" t="s">
        <v>461</v>
      </c>
      <c r="C259" s="26" t="s">
        <v>462</v>
      </c>
      <c r="D259" s="26" t="s">
        <v>32</v>
      </c>
      <c r="E259" s="26" t="s">
        <v>463</v>
      </c>
      <c r="F259" s="26" t="s">
        <v>464</v>
      </c>
    </row>
    <row r="260" ht="51" customHeight="1" hidden="1" spans="1:6" x14ac:dyDescent="0.25" outlineLevel="1" collapsed="1">
      <c r="A260" s="27">
        <v>3220</v>
      </c>
      <c r="B260" s="28" t="s">
        <v>905</v>
      </c>
      <c r="C260" s="27" t="s">
        <v>745</v>
      </c>
      <c r="D260" s="29" t="s">
        <v>32</v>
      </c>
      <c r="E260" s="36" t="s">
        <v>699</v>
      </c>
      <c r="F260" s="28" t="s">
        <v>32</v>
      </c>
    </row>
    <row r="261" ht="36" customHeight="1" hidden="1" spans="1:6" x14ac:dyDescent="0.25" outlineLevel="1" collapsed="1">
      <c r="A261" s="27">
        <v>3240</v>
      </c>
      <c r="B261" s="28" t="s">
        <v>906</v>
      </c>
      <c r="C261" s="27" t="s">
        <v>745</v>
      </c>
      <c r="D261" s="29" t="s">
        <v>32</v>
      </c>
      <c r="E261" s="36" t="s">
        <v>699</v>
      </c>
      <c r="F261" s="28" t="s">
        <v>32</v>
      </c>
    </row>
    <row r="262" ht="36" customHeight="1" hidden="1" spans="1:6" x14ac:dyDescent="0.25" outlineLevel="1" collapsed="1">
      <c r="A262" s="27">
        <v>3260</v>
      </c>
      <c r="B262" s="28" t="s">
        <v>907</v>
      </c>
      <c r="C262" s="27" t="s">
        <v>745</v>
      </c>
      <c r="D262" s="29" t="s">
        <v>32</v>
      </c>
      <c r="E262" s="36" t="s">
        <v>699</v>
      </c>
      <c r="F262" s="28" t="s">
        <v>32</v>
      </c>
    </row>
    <row r="263" ht="36" customHeight="1" hidden="1" spans="1:6" x14ac:dyDescent="0.25" outlineLevel="1" collapsed="1">
      <c r="A263" s="27">
        <v>3270</v>
      </c>
      <c r="B263" s="28" t="s">
        <v>908</v>
      </c>
      <c r="C263" s="27" t="s">
        <v>745</v>
      </c>
      <c r="D263" s="29" t="s">
        <v>32</v>
      </c>
      <c r="E263" s="36" t="s">
        <v>699</v>
      </c>
      <c r="F263" s="28" t="s">
        <v>32</v>
      </c>
    </row>
    <row r="264" ht="36" customHeight="1" hidden="1" spans="1:6" x14ac:dyDescent="0.25" outlineLevel="1" collapsed="1">
      <c r="A264" s="27">
        <v>3280</v>
      </c>
      <c r="B264" s="28" t="s">
        <v>909</v>
      </c>
      <c r="C264" s="27" t="s">
        <v>745</v>
      </c>
      <c r="D264" s="29" t="s">
        <v>32</v>
      </c>
      <c r="E264" s="36" t="s">
        <v>699</v>
      </c>
      <c r="F264" s="28" t="s">
        <v>32</v>
      </c>
    </row>
    <row r="265" ht="22" customHeight="1" hidden="1" spans="1:6" x14ac:dyDescent="0.25" outlineLevel="1" collapsed="1">
      <c r="A265" s="34" t="s">
        <v>495</v>
      </c>
      <c r="B265" s="34"/>
      <c r="C265" s="34"/>
      <c r="D265" s="34"/>
      <c r="E265" s="34"/>
      <c r="F265" s="34"/>
    </row>
    <row r="266" ht="24" customHeight="1" hidden="1" spans="1:6" x14ac:dyDescent="0.25" outlineLevel="1" collapsed="1">
      <c r="A266" s="12" t="s">
        <v>931</v>
      </c>
      <c r="B266" s="12"/>
      <c r="C266" s="12"/>
      <c r="D266" s="12"/>
      <c r="E266" s="12"/>
      <c r="F266" s="12"/>
    </row>
    <row r="267" ht="24" customHeight="1" hidden="1" spans="1:6" x14ac:dyDescent="0.25" outlineLevel="1" collapsed="1">
      <c r="A267" s="12" t="s">
        <v>932</v>
      </c>
      <c r="B267" s="12"/>
      <c r="C267" s="12"/>
      <c r="D267" s="12"/>
      <c r="E267" s="12"/>
      <c r="F267" s="12"/>
    </row>
    <row r="268" ht="24" customHeight="1" hidden="1" spans="1:6" x14ac:dyDescent="0.25" outlineLevel="1" collapsed="1">
      <c r="A268" s="12" t="s">
        <v>933</v>
      </c>
      <c r="B268" s="12"/>
      <c r="C268" s="12"/>
      <c r="D268" s="12"/>
      <c r="E268" s="12"/>
      <c r="F268" s="12"/>
    </row>
    <row r="269" ht="24" customHeight="1" hidden="1" spans="1:6" x14ac:dyDescent="0.25" outlineLevel="1" collapsed="1">
      <c r="A269" s="12" t="s">
        <v>934</v>
      </c>
      <c r="B269" s="12"/>
      <c r="C269" s="12"/>
      <c r="D269" s="12"/>
      <c r="E269" s="12"/>
      <c r="F269" s="12"/>
    </row>
    <row r="270" ht="24" customHeight="1" hidden="1" spans="1:6" x14ac:dyDescent="0.25" outlineLevel="1" collapsed="1">
      <c r="A270" s="12" t="s">
        <v>935</v>
      </c>
      <c r="B270" s="12"/>
      <c r="C270" s="12"/>
      <c r="D270" s="12"/>
      <c r="E270" s="12"/>
      <c r="F270" s="12"/>
    </row>
    <row r="271" ht="6" customHeight="1" hidden="1" x14ac:dyDescent="0.25" outlineLevel="1" collapsed="1"/>
    <row r="272" ht="22" customHeight="1" spans="1:6" x14ac:dyDescent="0.25">
      <c r="A272" s="25" t="s">
        <v>915</v>
      </c>
      <c r="B272" s="25"/>
      <c r="C272" s="25"/>
      <c r="D272" s="25"/>
      <c r="E272" s="25"/>
      <c r="F272" s="25"/>
    </row>
    <row r="273" ht="20" customHeight="1" hidden="1" spans="1:6" x14ac:dyDescent="0.25" outlineLevel="1" collapsed="1">
      <c r="A273" s="26" t="s">
        <v>460</v>
      </c>
      <c r="B273" s="26" t="s">
        <v>461</v>
      </c>
      <c r="C273" s="26" t="s">
        <v>462</v>
      </c>
      <c r="D273" s="26" t="s">
        <v>32</v>
      </c>
      <c r="E273" s="26" t="s">
        <v>463</v>
      </c>
      <c r="F273" s="26" t="s">
        <v>464</v>
      </c>
    </row>
    <row r="274" ht="36" customHeight="1" hidden="1" spans="1:6" x14ac:dyDescent="0.25" outlineLevel="1" collapsed="1">
      <c r="A274" s="27">
        <v>3120</v>
      </c>
      <c r="B274" s="28" t="s">
        <v>916</v>
      </c>
      <c r="C274" s="27" t="s">
        <v>466</v>
      </c>
      <c r="D274" s="29" t="s">
        <v>32</v>
      </c>
      <c r="E274" s="36" t="s">
        <v>699</v>
      </c>
      <c r="F274" s="28" t="s">
        <v>32</v>
      </c>
    </row>
    <row r="275" ht="36" customHeight="1" hidden="1" spans="1:6" x14ac:dyDescent="0.25" outlineLevel="1" collapsed="1">
      <c r="A275" s="27">
        <v>3110</v>
      </c>
      <c r="B275" s="28" t="s">
        <v>917</v>
      </c>
      <c r="C275" s="27" t="s">
        <v>472</v>
      </c>
      <c r="D275" s="29" t="s">
        <v>32</v>
      </c>
      <c r="E275" s="36" t="s">
        <v>699</v>
      </c>
      <c r="F275" s="28" t="s">
        <v>32</v>
      </c>
    </row>
    <row r="276" ht="22" customHeight="1" hidden="1" spans="1:6" x14ac:dyDescent="0.25" outlineLevel="1" collapsed="1">
      <c r="A276" s="34" t="s">
        <v>495</v>
      </c>
      <c r="B276" s="34"/>
      <c r="C276" s="34"/>
      <c r="D276" s="34"/>
      <c r="E276" s="34"/>
      <c r="F276" s="34"/>
    </row>
    <row r="277" ht="24" customHeight="1" hidden="1" spans="1:6" x14ac:dyDescent="0.25" outlineLevel="1" collapsed="1">
      <c r="A277" s="12" t="s">
        <v>928</v>
      </c>
      <c r="B277" s="12"/>
      <c r="C277" s="12"/>
      <c r="D277" s="12"/>
      <c r="E277" s="12"/>
      <c r="F277" s="12"/>
    </row>
    <row r="278" ht="24" customHeight="1" hidden="1" spans="1:6" x14ac:dyDescent="0.25" outlineLevel="1" collapsed="1">
      <c r="A278" s="12" t="s">
        <v>927</v>
      </c>
      <c r="B278" s="12"/>
      <c r="C278" s="12"/>
      <c r="D278" s="12"/>
      <c r="E278" s="12"/>
      <c r="F278" s="12"/>
    </row>
    <row r="279" ht="6" customHeight="1" hidden="1" x14ac:dyDescent="0.25" outlineLevel="1" collapsed="1"/>
    <row r="280" ht="12" customHeight="1" x14ac:dyDescent="0.25"/>
    <row r="281" ht="24" customHeight="1" spans="1:6" x14ac:dyDescent="0.25">
      <c r="A281" s="24" t="s">
        <v>718</v>
      </c>
      <c r="B281" s="24"/>
      <c r="C281" s="24"/>
      <c r="D281" s="24"/>
      <c r="E281" s="24"/>
      <c r="F281" s="24"/>
    </row>
    <row r="282" ht="22" customHeight="1" spans="1:6" x14ac:dyDescent="0.25">
      <c r="A282" s="25" t="s">
        <v>891</v>
      </c>
      <c r="B282" s="25"/>
      <c r="C282" s="25"/>
      <c r="D282" s="25"/>
      <c r="E282" s="25"/>
      <c r="F282" s="25"/>
    </row>
    <row r="283" ht="20" customHeight="1" hidden="1" spans="1:6" x14ac:dyDescent="0.25" outlineLevel="1" collapsed="1">
      <c r="A283" s="26" t="s">
        <v>460</v>
      </c>
      <c r="B283" s="26" t="s">
        <v>461</v>
      </c>
      <c r="C283" s="26" t="s">
        <v>462</v>
      </c>
      <c r="D283" s="26" t="s">
        <v>32</v>
      </c>
      <c r="E283" s="26" t="s">
        <v>463</v>
      </c>
      <c r="F283" s="26" t="s">
        <v>464</v>
      </c>
    </row>
    <row r="284" ht="36" customHeight="1" hidden="1" spans="1:6" x14ac:dyDescent="0.25" outlineLevel="1" collapsed="1">
      <c r="A284" s="27">
        <v>3110</v>
      </c>
      <c r="B284" s="28" t="s">
        <v>892</v>
      </c>
      <c r="C284" s="27" t="s">
        <v>472</v>
      </c>
      <c r="D284" s="29" t="s">
        <v>32</v>
      </c>
      <c r="E284" s="36" t="s">
        <v>668</v>
      </c>
      <c r="F284" s="28" t="s">
        <v>32</v>
      </c>
    </row>
    <row r="285" ht="36" customHeight="1" hidden="1" spans="1:6" x14ac:dyDescent="0.25" outlineLevel="1" collapsed="1">
      <c r="A285" s="27">
        <v>3120</v>
      </c>
      <c r="B285" s="28" t="s">
        <v>893</v>
      </c>
      <c r="C285" s="27" t="s">
        <v>466</v>
      </c>
      <c r="D285" s="29" t="s">
        <v>32</v>
      </c>
      <c r="E285" s="36" t="s">
        <v>668</v>
      </c>
      <c r="F285" s="28" t="s">
        <v>32</v>
      </c>
    </row>
    <row r="286" ht="22" customHeight="1" hidden="1" spans="1:6" x14ac:dyDescent="0.25" outlineLevel="1" collapsed="1">
      <c r="A286" s="34" t="s">
        <v>495</v>
      </c>
      <c r="B286" s="34"/>
      <c r="C286" s="34"/>
      <c r="D286" s="34"/>
      <c r="E286" s="34"/>
      <c r="F286" s="34"/>
    </row>
    <row r="287" ht="24" customHeight="1" hidden="1" spans="1:6" x14ac:dyDescent="0.25" outlineLevel="1" collapsed="1">
      <c r="A287" s="12" t="s">
        <v>918</v>
      </c>
      <c r="B287" s="12"/>
      <c r="C287" s="12"/>
      <c r="D287" s="12"/>
      <c r="E287" s="12"/>
      <c r="F287" s="12"/>
    </row>
    <row r="288" ht="24" customHeight="1" hidden="1" spans="1:6" x14ac:dyDescent="0.25" outlineLevel="1" collapsed="1">
      <c r="A288" s="12" t="s">
        <v>919</v>
      </c>
      <c r="B288" s="12"/>
      <c r="C288" s="12"/>
      <c r="D288" s="12"/>
      <c r="E288" s="12"/>
      <c r="F288" s="12"/>
    </row>
    <row r="289" ht="6" customHeight="1" hidden="1" x14ac:dyDescent="0.25" outlineLevel="1" collapsed="1"/>
    <row r="290" ht="22" customHeight="1" spans="1:6" x14ac:dyDescent="0.25">
      <c r="A290" s="25" t="s">
        <v>896</v>
      </c>
      <c r="B290" s="25"/>
      <c r="C290" s="25"/>
      <c r="D290" s="25"/>
      <c r="E290" s="25"/>
      <c r="F290" s="25"/>
    </row>
    <row r="291" ht="20" customHeight="1" hidden="1" spans="1:6" x14ac:dyDescent="0.25" outlineLevel="1" collapsed="1">
      <c r="A291" s="26" t="s">
        <v>460</v>
      </c>
      <c r="B291" s="26" t="s">
        <v>461</v>
      </c>
      <c r="C291" s="26" t="s">
        <v>462</v>
      </c>
      <c r="D291" s="26" t="s">
        <v>32</v>
      </c>
      <c r="E291" s="26" t="s">
        <v>463</v>
      </c>
      <c r="F291" s="26" t="s">
        <v>464</v>
      </c>
    </row>
    <row r="292" ht="36" customHeight="1" hidden="1" spans="1:6" x14ac:dyDescent="0.25" outlineLevel="1" collapsed="1">
      <c r="A292" s="27">
        <v>3120</v>
      </c>
      <c r="B292" s="28" t="s">
        <v>897</v>
      </c>
      <c r="C292" s="27" t="s">
        <v>472</v>
      </c>
      <c r="D292" s="29" t="s">
        <v>32</v>
      </c>
      <c r="E292" s="36" t="s">
        <v>668</v>
      </c>
      <c r="F292" s="28" t="s">
        <v>32</v>
      </c>
    </row>
    <row r="293" ht="36" customHeight="1" hidden="1" spans="1:6" x14ac:dyDescent="0.25" outlineLevel="1" collapsed="1">
      <c r="A293" s="27">
        <v>3130</v>
      </c>
      <c r="B293" s="28" t="s">
        <v>898</v>
      </c>
      <c r="C293" s="27" t="s">
        <v>466</v>
      </c>
      <c r="D293" s="29" t="s">
        <v>32</v>
      </c>
      <c r="E293" s="36" t="s">
        <v>668</v>
      </c>
      <c r="F293" s="28" t="s">
        <v>32</v>
      </c>
    </row>
    <row r="294" ht="22" customHeight="1" hidden="1" spans="1:6" x14ac:dyDescent="0.25" outlineLevel="1" collapsed="1">
      <c r="A294" s="34" t="s">
        <v>495</v>
      </c>
      <c r="B294" s="34"/>
      <c r="C294" s="34"/>
      <c r="D294" s="34"/>
      <c r="E294" s="34"/>
      <c r="F294" s="34"/>
    </row>
    <row r="295" ht="24" customHeight="1" hidden="1" spans="1:6" x14ac:dyDescent="0.25" outlineLevel="1" collapsed="1">
      <c r="A295" s="12" t="s">
        <v>920</v>
      </c>
      <c r="B295" s="12"/>
      <c r="C295" s="12"/>
      <c r="D295" s="12"/>
      <c r="E295" s="12"/>
      <c r="F295" s="12"/>
    </row>
    <row r="296" ht="24" customHeight="1" hidden="1" spans="1:6" x14ac:dyDescent="0.25" outlineLevel="1" collapsed="1">
      <c r="A296" s="12" t="s">
        <v>921</v>
      </c>
      <c r="B296" s="12"/>
      <c r="C296" s="12"/>
      <c r="D296" s="12"/>
      <c r="E296" s="12"/>
      <c r="F296" s="12"/>
    </row>
    <row r="297" ht="6" customHeight="1" hidden="1" x14ac:dyDescent="0.25" outlineLevel="1" collapsed="1"/>
    <row r="298" ht="22" customHeight="1" spans="1:6" x14ac:dyDescent="0.25">
      <c r="A298" s="25" t="s">
        <v>901</v>
      </c>
      <c r="B298" s="25"/>
      <c r="C298" s="25"/>
      <c r="D298" s="25"/>
      <c r="E298" s="25"/>
      <c r="F298" s="25"/>
    </row>
    <row r="299" ht="20" customHeight="1" hidden="1" spans="1:6" x14ac:dyDescent="0.25" outlineLevel="1" collapsed="1">
      <c r="A299" s="26" t="s">
        <v>460</v>
      </c>
      <c r="B299" s="26" t="s">
        <v>461</v>
      </c>
      <c r="C299" s="26" t="s">
        <v>462</v>
      </c>
      <c r="D299" s="26" t="s">
        <v>32</v>
      </c>
      <c r="E299" s="26" t="s">
        <v>463</v>
      </c>
      <c r="F299" s="26" t="s">
        <v>464</v>
      </c>
    </row>
    <row r="300" ht="36" customHeight="1" hidden="1" spans="1:6" x14ac:dyDescent="0.25" outlineLevel="1" collapsed="1">
      <c r="A300" s="27">
        <v>3120</v>
      </c>
      <c r="B300" s="28" t="s">
        <v>902</v>
      </c>
      <c r="C300" s="27" t="s">
        <v>472</v>
      </c>
      <c r="D300" s="29" t="s">
        <v>32</v>
      </c>
      <c r="E300" s="36" t="s">
        <v>668</v>
      </c>
      <c r="F300" s="28" t="s">
        <v>32</v>
      </c>
    </row>
    <row r="301" ht="36" customHeight="1" hidden="1" spans="1:6" x14ac:dyDescent="0.25" outlineLevel="1" collapsed="1">
      <c r="A301" s="27">
        <v>3130</v>
      </c>
      <c r="B301" s="28" t="s">
        <v>903</v>
      </c>
      <c r="C301" s="27" t="s">
        <v>466</v>
      </c>
      <c r="D301" s="29" t="s">
        <v>32</v>
      </c>
      <c r="E301" s="36" t="s">
        <v>668</v>
      </c>
      <c r="F301" s="28" t="s">
        <v>32</v>
      </c>
    </row>
    <row r="302" ht="22" customHeight="1" hidden="1" spans="1:6" x14ac:dyDescent="0.25" outlineLevel="1" collapsed="1">
      <c r="A302" s="34" t="s">
        <v>495</v>
      </c>
      <c r="B302" s="34"/>
      <c r="C302" s="34"/>
      <c r="D302" s="34"/>
      <c r="E302" s="34"/>
      <c r="F302" s="34"/>
    </row>
    <row r="303" ht="24" customHeight="1" hidden="1" spans="1:6" x14ac:dyDescent="0.25" outlineLevel="1" collapsed="1">
      <c r="A303" s="12" t="s">
        <v>920</v>
      </c>
      <c r="B303" s="12"/>
      <c r="C303" s="12"/>
      <c r="D303" s="12"/>
      <c r="E303" s="12"/>
      <c r="F303" s="12"/>
    </row>
    <row r="304" ht="24" customHeight="1" hidden="1" spans="1:6" x14ac:dyDescent="0.25" outlineLevel="1" collapsed="1">
      <c r="A304" s="12" t="s">
        <v>921</v>
      </c>
      <c r="B304" s="12"/>
      <c r="C304" s="12"/>
      <c r="D304" s="12"/>
      <c r="E304" s="12"/>
      <c r="F304" s="12"/>
    </row>
    <row r="305" ht="6" customHeight="1" hidden="1" x14ac:dyDescent="0.25" outlineLevel="1" collapsed="1"/>
    <row r="306" ht="22" customHeight="1" spans="1:6" x14ac:dyDescent="0.25">
      <c r="A306" s="25" t="s">
        <v>904</v>
      </c>
      <c r="B306" s="25"/>
      <c r="C306" s="25"/>
      <c r="D306" s="25"/>
      <c r="E306" s="25"/>
      <c r="F306" s="25"/>
    </row>
    <row r="307" ht="20" customHeight="1" hidden="1" spans="1:6" x14ac:dyDescent="0.25" outlineLevel="1" collapsed="1">
      <c r="A307" s="26" t="s">
        <v>460</v>
      </c>
      <c r="B307" s="26" t="s">
        <v>461</v>
      </c>
      <c r="C307" s="26" t="s">
        <v>462</v>
      </c>
      <c r="D307" s="26" t="s">
        <v>32</v>
      </c>
      <c r="E307" s="26" t="s">
        <v>463</v>
      </c>
      <c r="F307" s="26" t="s">
        <v>464</v>
      </c>
    </row>
    <row r="308" ht="51" customHeight="1" hidden="1" spans="1:6" x14ac:dyDescent="0.25" outlineLevel="1" collapsed="1">
      <c r="A308" s="27">
        <v>3220</v>
      </c>
      <c r="B308" s="28" t="s">
        <v>905</v>
      </c>
      <c r="C308" s="27" t="s">
        <v>745</v>
      </c>
      <c r="D308" s="29" t="s">
        <v>32</v>
      </c>
      <c r="E308" s="36" t="s">
        <v>668</v>
      </c>
      <c r="F308" s="28" t="s">
        <v>32</v>
      </c>
    </row>
    <row r="309" ht="36" customHeight="1" hidden="1" spans="1:6" x14ac:dyDescent="0.25" outlineLevel="1" collapsed="1">
      <c r="A309" s="27">
        <v>3240</v>
      </c>
      <c r="B309" s="28" t="s">
        <v>906</v>
      </c>
      <c r="C309" s="27" t="s">
        <v>745</v>
      </c>
      <c r="D309" s="29" t="s">
        <v>32</v>
      </c>
      <c r="E309" s="36" t="s">
        <v>668</v>
      </c>
      <c r="F309" s="28" t="s">
        <v>32</v>
      </c>
    </row>
    <row r="310" ht="36" customHeight="1" hidden="1" spans="1:6" x14ac:dyDescent="0.25" outlineLevel="1" collapsed="1">
      <c r="A310" s="27">
        <v>3260</v>
      </c>
      <c r="B310" s="28" t="s">
        <v>907</v>
      </c>
      <c r="C310" s="27" t="s">
        <v>745</v>
      </c>
      <c r="D310" s="29" t="s">
        <v>32</v>
      </c>
      <c r="E310" s="36" t="s">
        <v>668</v>
      </c>
      <c r="F310" s="28" t="s">
        <v>32</v>
      </c>
    </row>
    <row r="311" ht="36" customHeight="1" hidden="1" spans="1:6" x14ac:dyDescent="0.25" outlineLevel="1" collapsed="1">
      <c r="A311" s="27">
        <v>3270</v>
      </c>
      <c r="B311" s="28" t="s">
        <v>908</v>
      </c>
      <c r="C311" s="27" t="s">
        <v>745</v>
      </c>
      <c r="D311" s="29" t="s">
        <v>32</v>
      </c>
      <c r="E311" s="36" t="s">
        <v>668</v>
      </c>
      <c r="F311" s="28" t="s">
        <v>32</v>
      </c>
    </row>
    <row r="312" ht="36" customHeight="1" hidden="1" spans="1:6" x14ac:dyDescent="0.25" outlineLevel="1" collapsed="1">
      <c r="A312" s="27">
        <v>3280</v>
      </c>
      <c r="B312" s="28" t="s">
        <v>909</v>
      </c>
      <c r="C312" s="27" t="s">
        <v>745</v>
      </c>
      <c r="D312" s="29" t="s">
        <v>32</v>
      </c>
      <c r="E312" s="36" t="s">
        <v>668</v>
      </c>
      <c r="F312" s="28" t="s">
        <v>32</v>
      </c>
    </row>
    <row r="313" ht="22" customHeight="1" hidden="1" spans="1:6" x14ac:dyDescent="0.25" outlineLevel="1" collapsed="1">
      <c r="A313" s="34" t="s">
        <v>495</v>
      </c>
      <c r="B313" s="34"/>
      <c r="C313" s="34"/>
      <c r="D313" s="34"/>
      <c r="E313" s="34"/>
      <c r="F313" s="34"/>
    </row>
    <row r="314" ht="24" customHeight="1" hidden="1" spans="1:6" x14ac:dyDescent="0.25" outlineLevel="1" collapsed="1">
      <c r="A314" s="12" t="s">
        <v>922</v>
      </c>
      <c r="B314" s="12"/>
      <c r="C314" s="12"/>
      <c r="D314" s="12"/>
      <c r="E314" s="12"/>
      <c r="F314" s="12"/>
    </row>
    <row r="315" ht="24" customHeight="1" hidden="1" spans="1:6" x14ac:dyDescent="0.25" outlineLevel="1" collapsed="1">
      <c r="A315" s="12" t="s">
        <v>923</v>
      </c>
      <c r="B315" s="12"/>
      <c r="C315" s="12"/>
      <c r="D315" s="12"/>
      <c r="E315" s="12"/>
      <c r="F315" s="12"/>
    </row>
    <row r="316" ht="24" customHeight="1" hidden="1" spans="1:6" x14ac:dyDescent="0.25" outlineLevel="1" collapsed="1">
      <c r="A316" s="12" t="s">
        <v>924</v>
      </c>
      <c r="B316" s="12"/>
      <c r="C316" s="12"/>
      <c r="D316" s="12"/>
      <c r="E316" s="12"/>
      <c r="F316" s="12"/>
    </row>
    <row r="317" ht="24" customHeight="1" hidden="1" spans="1:6" x14ac:dyDescent="0.25" outlineLevel="1" collapsed="1">
      <c r="A317" s="12" t="s">
        <v>925</v>
      </c>
      <c r="B317" s="12"/>
      <c r="C317" s="12"/>
      <c r="D317" s="12"/>
      <c r="E317" s="12"/>
      <c r="F317" s="12"/>
    </row>
    <row r="318" ht="24" customHeight="1" hidden="1" spans="1:6" x14ac:dyDescent="0.25" outlineLevel="1" collapsed="1">
      <c r="A318" s="12" t="s">
        <v>926</v>
      </c>
      <c r="B318" s="12"/>
      <c r="C318" s="12"/>
      <c r="D318" s="12"/>
      <c r="E318" s="12"/>
      <c r="F318" s="12"/>
    </row>
    <row r="319" ht="6" customHeight="1" hidden="1" x14ac:dyDescent="0.25" outlineLevel="1" collapsed="1"/>
    <row r="320" ht="22" customHeight="1" spans="1:6" x14ac:dyDescent="0.25">
      <c r="A320" s="25" t="s">
        <v>915</v>
      </c>
      <c r="B320" s="25"/>
      <c r="C320" s="25"/>
      <c r="D320" s="25"/>
      <c r="E320" s="25"/>
      <c r="F320" s="25"/>
    </row>
    <row r="321" ht="20" customHeight="1" hidden="1" spans="1:6" x14ac:dyDescent="0.25" outlineLevel="1" collapsed="1">
      <c r="A321" s="26" t="s">
        <v>460</v>
      </c>
      <c r="B321" s="26" t="s">
        <v>461</v>
      </c>
      <c r="C321" s="26" t="s">
        <v>462</v>
      </c>
      <c r="D321" s="26" t="s">
        <v>32</v>
      </c>
      <c r="E321" s="26" t="s">
        <v>463</v>
      </c>
      <c r="F321" s="26" t="s">
        <v>464</v>
      </c>
    </row>
    <row r="322" ht="36" customHeight="1" hidden="1" spans="1:6" x14ac:dyDescent="0.25" outlineLevel="1" collapsed="1">
      <c r="A322" s="27">
        <v>3120</v>
      </c>
      <c r="B322" s="28" t="s">
        <v>916</v>
      </c>
      <c r="C322" s="27" t="s">
        <v>466</v>
      </c>
      <c r="D322" s="29" t="s">
        <v>32</v>
      </c>
      <c r="E322" s="36" t="s">
        <v>668</v>
      </c>
      <c r="F322" s="28" t="s">
        <v>32</v>
      </c>
    </row>
    <row r="323" ht="36" customHeight="1" hidden="1" spans="1:6" x14ac:dyDescent="0.25" outlineLevel="1" collapsed="1">
      <c r="A323" s="27">
        <v>3110</v>
      </c>
      <c r="B323" s="28" t="s">
        <v>917</v>
      </c>
      <c r="C323" s="27" t="s">
        <v>472</v>
      </c>
      <c r="D323" s="29" t="s">
        <v>32</v>
      </c>
      <c r="E323" s="36" t="s">
        <v>668</v>
      </c>
      <c r="F323" s="28" t="s">
        <v>32</v>
      </c>
    </row>
    <row r="324" ht="22" customHeight="1" hidden="1" spans="1:6" x14ac:dyDescent="0.25" outlineLevel="1" collapsed="1">
      <c r="A324" s="34" t="s">
        <v>495</v>
      </c>
      <c r="B324" s="34"/>
      <c r="C324" s="34"/>
      <c r="D324" s="34"/>
      <c r="E324" s="34"/>
      <c r="F324" s="34"/>
    </row>
    <row r="325" ht="24" customHeight="1" hidden="1" spans="1:6" x14ac:dyDescent="0.25" outlineLevel="1" collapsed="1">
      <c r="A325" s="12" t="s">
        <v>919</v>
      </c>
      <c r="B325" s="12"/>
      <c r="C325" s="12"/>
      <c r="D325" s="12"/>
      <c r="E325" s="12"/>
      <c r="F325" s="12"/>
    </row>
    <row r="326" ht="24" customHeight="1" hidden="1" spans="1:6" x14ac:dyDescent="0.25" outlineLevel="1" collapsed="1">
      <c r="A326" s="12" t="s">
        <v>918</v>
      </c>
      <c r="B326" s="12"/>
      <c r="C326" s="12"/>
      <c r="D326" s="12"/>
      <c r="E326" s="12"/>
      <c r="F326" s="12"/>
    </row>
    <row r="327" ht="6" customHeight="1" hidden="1" x14ac:dyDescent="0.25" outlineLevel="1" collapsed="1"/>
    <row r="328" ht="12" customHeight="1" x14ac:dyDescent="0.25"/>
    <row r="329" ht="12" customHeight="1" x14ac:dyDescent="0.25"/>
    <row r="330" ht="70" customHeight="1" spans="1:6" x14ac:dyDescent="0.25">
      <c r="A330" s="7" t="s">
        <v>719</v>
      </c>
      <c r="B330" s="7"/>
      <c r="C330" s="7"/>
      <c r="D330" s="7"/>
      <c r="E330" s="7"/>
      <c r="F330" s="7"/>
    </row>
    <row r="331" ht="8" customHeight="1" x14ac:dyDescent="0.25"/>
    <row r="332" ht="18" customHeight="1" spans="1:6" x14ac:dyDescent="0.25">
      <c r="A332" s="23" t="s">
        <v>454</v>
      </c>
      <c r="B332" s="23"/>
      <c r="C332" s="23"/>
      <c r="D332" s="23"/>
      <c r="E332" s="23"/>
      <c r="F332" s="23"/>
    </row>
  </sheetData>
  <mergeCells count="160">
    <mergeCell ref="A2:F2"/>
    <mergeCell ref="A3:F3"/>
    <mergeCell ref="A4:F4"/>
    <mergeCell ref="A6:F6"/>
    <mergeCell ref="A7:F7"/>
    <mergeCell ref="A11:F11"/>
    <mergeCell ref="A12:F12"/>
    <mergeCell ref="A13:F13"/>
    <mergeCell ref="A15:F15"/>
    <mergeCell ref="A19:F19"/>
    <mergeCell ref="A20:F20"/>
    <mergeCell ref="A21:F21"/>
    <mergeCell ref="A23:F23"/>
    <mergeCell ref="A27:F27"/>
    <mergeCell ref="A28:F28"/>
    <mergeCell ref="A29:F29"/>
    <mergeCell ref="A31:F31"/>
    <mergeCell ref="A38:F38"/>
    <mergeCell ref="A39:F39"/>
    <mergeCell ref="A40:F40"/>
    <mergeCell ref="A41:F41"/>
    <mergeCell ref="A42:F42"/>
    <mergeCell ref="A43:F43"/>
    <mergeCell ref="A45:F45"/>
    <mergeCell ref="A49:F49"/>
    <mergeCell ref="A50:F50"/>
    <mergeCell ref="A51:F51"/>
    <mergeCell ref="A54:F54"/>
    <mergeCell ref="A55:F55"/>
    <mergeCell ref="A59:F59"/>
    <mergeCell ref="A60:F60"/>
    <mergeCell ref="A61:F61"/>
    <mergeCell ref="A63:F63"/>
    <mergeCell ref="A67:F67"/>
    <mergeCell ref="A68:F68"/>
    <mergeCell ref="A69:F69"/>
    <mergeCell ref="A71:F71"/>
    <mergeCell ref="A75:F75"/>
    <mergeCell ref="A76:F76"/>
    <mergeCell ref="A77:F77"/>
    <mergeCell ref="A79:F79"/>
    <mergeCell ref="A86:F86"/>
    <mergeCell ref="A87:F87"/>
    <mergeCell ref="A88:F88"/>
    <mergeCell ref="A89:F89"/>
    <mergeCell ref="A90:F90"/>
    <mergeCell ref="A91:F91"/>
    <mergeCell ref="A93:F93"/>
    <mergeCell ref="A97:F97"/>
    <mergeCell ref="A98:F98"/>
    <mergeCell ref="A99:F99"/>
    <mergeCell ref="A102:F102"/>
    <mergeCell ref="A103:F103"/>
    <mergeCell ref="A107:F107"/>
    <mergeCell ref="A109:F109"/>
    <mergeCell ref="A113:F113"/>
    <mergeCell ref="A115:F115"/>
    <mergeCell ref="A119:F119"/>
    <mergeCell ref="A121:F121"/>
    <mergeCell ref="A128:F128"/>
    <mergeCell ref="A130:F130"/>
    <mergeCell ref="A134:F134"/>
    <mergeCell ref="A137:F137"/>
    <mergeCell ref="A138:F138"/>
    <mergeCell ref="A142:F142"/>
    <mergeCell ref="A143:F143"/>
    <mergeCell ref="A144:F144"/>
    <mergeCell ref="A146:F146"/>
    <mergeCell ref="A150:F150"/>
    <mergeCell ref="A151:F151"/>
    <mergeCell ref="A152:F152"/>
    <mergeCell ref="A154:F154"/>
    <mergeCell ref="A158:F158"/>
    <mergeCell ref="A159:F159"/>
    <mergeCell ref="A160:F160"/>
    <mergeCell ref="A162:F162"/>
    <mergeCell ref="A169:F169"/>
    <mergeCell ref="A170:F170"/>
    <mergeCell ref="A171:F171"/>
    <mergeCell ref="A172:F172"/>
    <mergeCell ref="A173:F173"/>
    <mergeCell ref="A174:F174"/>
    <mergeCell ref="A176:F176"/>
    <mergeCell ref="A180:F180"/>
    <mergeCell ref="A181:F181"/>
    <mergeCell ref="A182:F182"/>
    <mergeCell ref="A185:F185"/>
    <mergeCell ref="A186:F186"/>
    <mergeCell ref="A190:F190"/>
    <mergeCell ref="A191:F191"/>
    <mergeCell ref="A192:F192"/>
    <mergeCell ref="A194:F194"/>
    <mergeCell ref="A198:F198"/>
    <mergeCell ref="A199:F199"/>
    <mergeCell ref="A200:F200"/>
    <mergeCell ref="A202:F202"/>
    <mergeCell ref="A206:F206"/>
    <mergeCell ref="A207:F207"/>
    <mergeCell ref="A208:F208"/>
    <mergeCell ref="A210:F210"/>
    <mergeCell ref="A217:F217"/>
    <mergeCell ref="A218:F218"/>
    <mergeCell ref="A219:F219"/>
    <mergeCell ref="A220:F220"/>
    <mergeCell ref="A221:F221"/>
    <mergeCell ref="A222:F222"/>
    <mergeCell ref="A224:F224"/>
    <mergeCell ref="A228:F228"/>
    <mergeCell ref="A229:F229"/>
    <mergeCell ref="A230:F230"/>
    <mergeCell ref="A233:F233"/>
    <mergeCell ref="A234:F234"/>
    <mergeCell ref="A238:F238"/>
    <mergeCell ref="A239:F239"/>
    <mergeCell ref="A240:F240"/>
    <mergeCell ref="A242:F242"/>
    <mergeCell ref="A246:F246"/>
    <mergeCell ref="A247:F247"/>
    <mergeCell ref="A248:F248"/>
    <mergeCell ref="A250:F250"/>
    <mergeCell ref="A254:F254"/>
    <mergeCell ref="A255:F255"/>
    <mergeCell ref="A256:F256"/>
    <mergeCell ref="A258:F258"/>
    <mergeCell ref="A265:F265"/>
    <mergeCell ref="A266:F266"/>
    <mergeCell ref="A267:F267"/>
    <mergeCell ref="A268:F268"/>
    <mergeCell ref="A269:F269"/>
    <mergeCell ref="A270:F270"/>
    <mergeCell ref="A272:F272"/>
    <mergeCell ref="A276:F276"/>
    <mergeCell ref="A277:F277"/>
    <mergeCell ref="A278:F278"/>
    <mergeCell ref="A281:F281"/>
    <mergeCell ref="A282:F282"/>
    <mergeCell ref="A286:F286"/>
    <mergeCell ref="A287:F287"/>
    <mergeCell ref="A288:F288"/>
    <mergeCell ref="A290:F290"/>
    <mergeCell ref="A294:F294"/>
    <mergeCell ref="A295:F295"/>
    <mergeCell ref="A296:F296"/>
    <mergeCell ref="A298:F298"/>
    <mergeCell ref="A302:F302"/>
    <mergeCell ref="A303:F303"/>
    <mergeCell ref="A304:F304"/>
    <mergeCell ref="A306:F306"/>
    <mergeCell ref="A313:F313"/>
    <mergeCell ref="A314:F314"/>
    <mergeCell ref="A315:F315"/>
    <mergeCell ref="A316:F316"/>
    <mergeCell ref="A317:F317"/>
    <mergeCell ref="A318:F318"/>
    <mergeCell ref="A320:F320"/>
    <mergeCell ref="A324:F324"/>
    <mergeCell ref="A325:F325"/>
    <mergeCell ref="A326:F326"/>
    <mergeCell ref="A330:F330"/>
    <mergeCell ref="A332:F332"/>
  </mergeCells>
  <printOptions horizontalCentered="1"/>
  <pageMargins left="0.3" right="0.3" top="0.3" bottom="0.3" header="0.5" footer="0.5"/>
  <pageSetup paperSize="3"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809"/>
  <sheetViews>
    <sheetView workbookViewId="0">
      <pane ySplit="1" topLeftCell="A2" activePane="bottomLeft" state="frozen"/>
      <selection pane="bottomLeft"/>
    </sheetView>
  </sheetViews>
  <sheetFormatPr defaultRowHeight="15" outlineLevelRow="0" outlineLevelCol="0" x14ac:dyDescent="55"/>
  <cols>
    <col min="1" max="1" width="11.42578125" customWidth="1"/>
    <col min="2" max="2" width="3.7109375" customWidth="1"/>
    <col min="3" max="3" width="5.42578125" customWidth="1"/>
    <col min="4" max="4" width="5.7109375" customWidth="1"/>
    <col min="5" max="5" width="7.140625" customWidth="1"/>
    <col min="6" max="6" width="9.28515625" customWidth="1"/>
    <col min="7" max="7" width="13.140625" customWidth="1"/>
    <col min="8" max="8" width="8.28515625" customWidth="1"/>
    <col min="9" max="9" width="7.28515625" customWidth="1"/>
    <col min="10" max="10" width="36" customWidth="1"/>
  </cols>
  <sheetData>
    <row r="1" spans="1:10" s="39" customFormat="1" x14ac:dyDescent="0.25">
      <c r="A1" s="40" t="s">
        <v>936</v>
      </c>
      <c r="B1" s="40" t="s">
        <v>937</v>
      </c>
      <c r="C1" s="40" t="s">
        <v>938</v>
      </c>
      <c r="D1" s="40" t="s">
        <v>939</v>
      </c>
      <c r="E1" s="40" t="s">
        <v>940</v>
      </c>
      <c r="F1" s="40" t="s">
        <v>941</v>
      </c>
      <c r="G1" s="40" t="s">
        <v>942</v>
      </c>
      <c r="H1" s="40" t="s">
        <v>943</v>
      </c>
      <c r="I1" s="40" t="s">
        <v>944</v>
      </c>
      <c r="J1" s="40" t="s">
        <v>945</v>
      </c>
    </row>
    <row r="2" spans="1:9" x14ac:dyDescent="0.25">
      <c r="A2">
        <v>4230</v>
      </c>
      <c r="B2">
        <v>0</v>
      </c>
      <c r="C2" t="s">
        <v>946</v>
      </c>
      <c r="D2" t="s">
        <v>947</v>
      </c>
      <c r="E2" t="s">
        <v>117</v>
      </c>
      <c r="F2" t="s">
        <v>948</v>
      </c>
      <c r="G2">
        <v>1088888</v>
      </c>
      <c r="H2">
        <v>810600</v>
      </c>
      <c r="I2" t="s">
        <v>949</v>
      </c>
    </row>
    <row r="3" spans="1:9" x14ac:dyDescent="0.25">
      <c r="A3">
        <v>3120</v>
      </c>
      <c r="B3">
        <v>10</v>
      </c>
      <c r="C3" t="s">
        <v>950</v>
      </c>
      <c r="D3" t="s">
        <v>946</v>
      </c>
      <c r="E3" t="s">
        <v>49</v>
      </c>
      <c r="F3" t="s">
        <v>951</v>
      </c>
      <c r="G3">
        <v>1000000</v>
      </c>
      <c r="H3">
        <v>144000</v>
      </c>
      <c r="I3" t="s">
        <v>949</v>
      </c>
    </row>
    <row r="4" spans="1:9" x14ac:dyDescent="0.25">
      <c r="A4">
        <v>3120</v>
      </c>
      <c r="B4">
        <v>10</v>
      </c>
      <c r="C4" t="s">
        <v>950</v>
      </c>
      <c r="D4" t="s">
        <v>946</v>
      </c>
      <c r="E4" t="s">
        <v>49</v>
      </c>
      <c r="F4" t="s">
        <v>952</v>
      </c>
      <c r="G4">
        <v>1000000</v>
      </c>
      <c r="H4">
        <v>144000</v>
      </c>
      <c r="I4" t="s">
        <v>949</v>
      </c>
    </row>
    <row r="5" spans="1:9" x14ac:dyDescent="0.25">
      <c r="A5">
        <v>3120</v>
      </c>
      <c r="B5">
        <v>10</v>
      </c>
      <c r="C5" t="s">
        <v>950</v>
      </c>
      <c r="D5" t="s">
        <v>946</v>
      </c>
      <c r="E5" t="s">
        <v>49</v>
      </c>
      <c r="F5" t="s">
        <v>953</v>
      </c>
      <c r="G5">
        <v>1000000</v>
      </c>
      <c r="H5">
        <v>144000</v>
      </c>
      <c r="I5" t="s">
        <v>949</v>
      </c>
    </row>
    <row r="6" spans="1:9" x14ac:dyDescent="0.25">
      <c r="A6">
        <v>3120</v>
      </c>
      <c r="B6">
        <v>10</v>
      </c>
      <c r="C6" t="s">
        <v>950</v>
      </c>
      <c r="D6" t="s">
        <v>946</v>
      </c>
      <c r="E6" t="s">
        <v>49</v>
      </c>
      <c r="F6" t="s">
        <v>954</v>
      </c>
      <c r="G6">
        <v>1000000</v>
      </c>
      <c r="H6">
        <v>144000</v>
      </c>
      <c r="I6" t="s">
        <v>949</v>
      </c>
    </row>
    <row r="7" spans="1:9" x14ac:dyDescent="0.25">
      <c r="A7">
        <v>3120</v>
      </c>
      <c r="B7">
        <v>10</v>
      </c>
      <c r="C7" t="s">
        <v>950</v>
      </c>
      <c r="D7" t="s">
        <v>946</v>
      </c>
      <c r="E7" t="s">
        <v>49</v>
      </c>
      <c r="F7" t="s">
        <v>955</v>
      </c>
      <c r="G7">
        <v>1000000</v>
      </c>
      <c r="H7">
        <v>144000</v>
      </c>
      <c r="I7" t="s">
        <v>949</v>
      </c>
    </row>
    <row r="8" spans="1:9" x14ac:dyDescent="0.25">
      <c r="A8">
        <v>3120</v>
      </c>
      <c r="B8">
        <v>10</v>
      </c>
      <c r="C8" t="s">
        <v>950</v>
      </c>
      <c r="D8" t="s">
        <v>946</v>
      </c>
      <c r="E8" t="s">
        <v>49</v>
      </c>
      <c r="F8" t="s">
        <v>956</v>
      </c>
      <c r="G8">
        <v>1000000</v>
      </c>
      <c r="H8">
        <v>144000</v>
      </c>
      <c r="I8" t="s">
        <v>949</v>
      </c>
    </row>
    <row r="9" spans="1:9" x14ac:dyDescent="0.25">
      <c r="A9">
        <v>3120</v>
      </c>
      <c r="B9">
        <v>10</v>
      </c>
      <c r="C9" t="s">
        <v>950</v>
      </c>
      <c r="D9" t="s">
        <v>946</v>
      </c>
      <c r="E9" t="s">
        <v>49</v>
      </c>
      <c r="F9" t="s">
        <v>957</v>
      </c>
      <c r="G9">
        <v>1000000</v>
      </c>
      <c r="H9">
        <v>144000</v>
      </c>
      <c r="I9" t="s">
        <v>949</v>
      </c>
    </row>
    <row r="10" spans="1:9" x14ac:dyDescent="0.25">
      <c r="A10">
        <v>3120</v>
      </c>
      <c r="B10">
        <v>10</v>
      </c>
      <c r="C10" t="s">
        <v>950</v>
      </c>
      <c r="D10" t="s">
        <v>946</v>
      </c>
      <c r="E10" t="s">
        <v>49</v>
      </c>
      <c r="F10" t="s">
        <v>958</v>
      </c>
      <c r="G10">
        <v>1000000</v>
      </c>
      <c r="H10">
        <v>144000</v>
      </c>
      <c r="I10" t="s">
        <v>949</v>
      </c>
    </row>
    <row r="11" spans="1:9" x14ac:dyDescent="0.25">
      <c r="A11">
        <v>3120</v>
      </c>
      <c r="B11">
        <v>10</v>
      </c>
      <c r="C11" t="s">
        <v>950</v>
      </c>
      <c r="D11" t="s">
        <v>946</v>
      </c>
      <c r="E11" t="s">
        <v>49</v>
      </c>
      <c r="F11" t="s">
        <v>959</v>
      </c>
      <c r="G11">
        <v>1000000</v>
      </c>
      <c r="H11">
        <v>144000</v>
      </c>
      <c r="I11" t="s">
        <v>949</v>
      </c>
    </row>
    <row r="12" spans="1:9" x14ac:dyDescent="0.25">
      <c r="A12">
        <v>3120</v>
      </c>
      <c r="B12">
        <v>10</v>
      </c>
      <c r="C12" t="s">
        <v>950</v>
      </c>
      <c r="D12" t="s">
        <v>946</v>
      </c>
      <c r="E12" t="s">
        <v>49</v>
      </c>
      <c r="F12" t="s">
        <v>960</v>
      </c>
      <c r="G12">
        <v>1000000</v>
      </c>
      <c r="H12">
        <v>144000</v>
      </c>
      <c r="I12" t="s">
        <v>949</v>
      </c>
    </row>
    <row r="13" spans="1:9" x14ac:dyDescent="0.25">
      <c r="A13">
        <v>3120</v>
      </c>
      <c r="B13">
        <v>10</v>
      </c>
      <c r="C13" t="s">
        <v>950</v>
      </c>
      <c r="D13" t="s">
        <v>946</v>
      </c>
      <c r="E13" t="s">
        <v>49</v>
      </c>
      <c r="F13" t="s">
        <v>961</v>
      </c>
      <c r="G13">
        <v>1000000</v>
      </c>
      <c r="H13">
        <v>144000</v>
      </c>
      <c r="I13" t="s">
        <v>949</v>
      </c>
    </row>
    <row r="14" spans="1:9" x14ac:dyDescent="0.25">
      <c r="A14">
        <v>3120</v>
      </c>
      <c r="B14">
        <v>10</v>
      </c>
      <c r="C14" t="s">
        <v>962</v>
      </c>
      <c r="D14" t="s">
        <v>946</v>
      </c>
      <c r="E14" t="s">
        <v>49</v>
      </c>
      <c r="F14" t="s">
        <v>951</v>
      </c>
      <c r="G14">
        <v>1000000</v>
      </c>
      <c r="H14">
        <v>144000</v>
      </c>
      <c r="I14" t="s">
        <v>949</v>
      </c>
    </row>
    <row r="15" spans="1:9" x14ac:dyDescent="0.25">
      <c r="A15">
        <v>3120</v>
      </c>
      <c r="B15">
        <v>10</v>
      </c>
      <c r="C15" t="s">
        <v>962</v>
      </c>
      <c r="D15" t="s">
        <v>946</v>
      </c>
      <c r="E15" t="s">
        <v>49</v>
      </c>
      <c r="F15" t="s">
        <v>952</v>
      </c>
      <c r="G15">
        <v>1000000</v>
      </c>
      <c r="H15">
        <v>144000</v>
      </c>
      <c r="I15" t="s">
        <v>949</v>
      </c>
    </row>
    <row r="16" spans="1:9" x14ac:dyDescent="0.25">
      <c r="A16">
        <v>3120</v>
      </c>
      <c r="B16">
        <v>10</v>
      </c>
      <c r="C16" t="s">
        <v>962</v>
      </c>
      <c r="D16" t="s">
        <v>946</v>
      </c>
      <c r="E16" t="s">
        <v>49</v>
      </c>
      <c r="F16" t="s">
        <v>953</v>
      </c>
      <c r="G16">
        <v>1000000</v>
      </c>
      <c r="H16">
        <v>144000</v>
      </c>
      <c r="I16" t="s">
        <v>949</v>
      </c>
    </row>
    <row r="17" spans="1:9" x14ac:dyDescent="0.25">
      <c r="A17">
        <v>3120</v>
      </c>
      <c r="B17">
        <v>10</v>
      </c>
      <c r="C17" t="s">
        <v>962</v>
      </c>
      <c r="D17" t="s">
        <v>946</v>
      </c>
      <c r="E17" t="s">
        <v>49</v>
      </c>
      <c r="F17" t="s">
        <v>954</v>
      </c>
      <c r="G17">
        <v>1000000</v>
      </c>
      <c r="H17">
        <v>144000</v>
      </c>
      <c r="I17" t="s">
        <v>949</v>
      </c>
    </row>
    <row r="18" spans="1:9" x14ac:dyDescent="0.25">
      <c r="A18">
        <v>3120</v>
      </c>
      <c r="B18">
        <v>10</v>
      </c>
      <c r="C18" t="s">
        <v>962</v>
      </c>
      <c r="D18" t="s">
        <v>946</v>
      </c>
      <c r="E18" t="s">
        <v>49</v>
      </c>
      <c r="F18" t="s">
        <v>955</v>
      </c>
      <c r="G18">
        <v>1000000</v>
      </c>
      <c r="H18">
        <v>144000</v>
      </c>
      <c r="I18" t="s">
        <v>949</v>
      </c>
    </row>
    <row r="19" spans="1:9" x14ac:dyDescent="0.25">
      <c r="A19">
        <v>3120</v>
      </c>
      <c r="B19">
        <v>10</v>
      </c>
      <c r="C19" t="s">
        <v>962</v>
      </c>
      <c r="D19" t="s">
        <v>946</v>
      </c>
      <c r="E19" t="s">
        <v>49</v>
      </c>
      <c r="F19" t="s">
        <v>956</v>
      </c>
      <c r="G19">
        <v>1000000</v>
      </c>
      <c r="H19">
        <v>144000</v>
      </c>
      <c r="I19" t="s">
        <v>949</v>
      </c>
    </row>
    <row r="20" spans="1:9" x14ac:dyDescent="0.25">
      <c r="A20">
        <v>3120</v>
      </c>
      <c r="B20">
        <v>10</v>
      </c>
      <c r="C20" t="s">
        <v>962</v>
      </c>
      <c r="D20" t="s">
        <v>946</v>
      </c>
      <c r="E20" t="s">
        <v>49</v>
      </c>
      <c r="F20" t="s">
        <v>957</v>
      </c>
      <c r="G20">
        <v>1000000</v>
      </c>
      <c r="H20">
        <v>144000</v>
      </c>
      <c r="I20" t="s">
        <v>949</v>
      </c>
    </row>
    <row r="21" spans="1:9" x14ac:dyDescent="0.25">
      <c r="A21">
        <v>3120</v>
      </c>
      <c r="B21">
        <v>10</v>
      </c>
      <c r="C21" t="s">
        <v>962</v>
      </c>
      <c r="D21" t="s">
        <v>946</v>
      </c>
      <c r="E21" t="s">
        <v>49</v>
      </c>
      <c r="F21" t="s">
        <v>958</v>
      </c>
      <c r="G21">
        <v>1000000</v>
      </c>
      <c r="H21">
        <v>144000</v>
      </c>
      <c r="I21" t="s">
        <v>949</v>
      </c>
    </row>
    <row r="22" spans="1:9" x14ac:dyDescent="0.25">
      <c r="A22">
        <v>3120</v>
      </c>
      <c r="B22">
        <v>10</v>
      </c>
      <c r="C22" t="s">
        <v>962</v>
      </c>
      <c r="D22" t="s">
        <v>946</v>
      </c>
      <c r="E22" t="s">
        <v>49</v>
      </c>
      <c r="F22" t="s">
        <v>959</v>
      </c>
      <c r="G22">
        <v>1000000</v>
      </c>
      <c r="H22">
        <v>144000</v>
      </c>
      <c r="I22" t="s">
        <v>949</v>
      </c>
    </row>
    <row r="23" spans="1:9" x14ac:dyDescent="0.25">
      <c r="A23">
        <v>3120</v>
      </c>
      <c r="B23">
        <v>10</v>
      </c>
      <c r="C23" t="s">
        <v>962</v>
      </c>
      <c r="D23" t="s">
        <v>946</v>
      </c>
      <c r="E23" t="s">
        <v>49</v>
      </c>
      <c r="F23" t="s">
        <v>960</v>
      </c>
      <c r="G23">
        <v>1000000</v>
      </c>
      <c r="H23">
        <v>144000</v>
      </c>
      <c r="I23" t="s">
        <v>949</v>
      </c>
    </row>
    <row r="24" spans="1:9" x14ac:dyDescent="0.25">
      <c r="A24">
        <v>3120</v>
      </c>
      <c r="B24">
        <v>10</v>
      </c>
      <c r="C24" t="s">
        <v>962</v>
      </c>
      <c r="D24" t="s">
        <v>946</v>
      </c>
      <c r="E24" t="s">
        <v>49</v>
      </c>
      <c r="F24" t="s">
        <v>961</v>
      </c>
      <c r="G24">
        <v>1000000</v>
      </c>
      <c r="H24">
        <v>144000</v>
      </c>
      <c r="I24" t="s">
        <v>949</v>
      </c>
    </row>
    <row r="25" spans="1:9" x14ac:dyDescent="0.25">
      <c r="A25">
        <v>3120</v>
      </c>
      <c r="B25">
        <v>10</v>
      </c>
      <c r="C25" t="s">
        <v>963</v>
      </c>
      <c r="D25" t="s">
        <v>946</v>
      </c>
      <c r="E25" t="s">
        <v>49</v>
      </c>
      <c r="F25" t="s">
        <v>951</v>
      </c>
      <c r="G25">
        <v>1000000</v>
      </c>
      <c r="H25">
        <v>144000</v>
      </c>
      <c r="I25" t="s">
        <v>949</v>
      </c>
    </row>
    <row r="26" spans="1:9" x14ac:dyDescent="0.25">
      <c r="A26">
        <v>3120</v>
      </c>
      <c r="B26">
        <v>10</v>
      </c>
      <c r="C26" t="s">
        <v>963</v>
      </c>
      <c r="D26" t="s">
        <v>946</v>
      </c>
      <c r="E26" t="s">
        <v>49</v>
      </c>
      <c r="F26" t="s">
        <v>952</v>
      </c>
      <c r="G26">
        <v>1000000</v>
      </c>
      <c r="H26">
        <v>144000</v>
      </c>
      <c r="I26" t="s">
        <v>949</v>
      </c>
    </row>
    <row r="27" spans="1:9" x14ac:dyDescent="0.25">
      <c r="A27">
        <v>3120</v>
      </c>
      <c r="B27">
        <v>10</v>
      </c>
      <c r="C27" t="s">
        <v>963</v>
      </c>
      <c r="D27" t="s">
        <v>946</v>
      </c>
      <c r="E27" t="s">
        <v>49</v>
      </c>
      <c r="F27" t="s">
        <v>953</v>
      </c>
      <c r="G27">
        <v>1000000</v>
      </c>
      <c r="H27">
        <v>144000</v>
      </c>
      <c r="I27" t="s">
        <v>949</v>
      </c>
    </row>
    <row r="28" spans="1:9" x14ac:dyDescent="0.25">
      <c r="A28">
        <v>3120</v>
      </c>
      <c r="B28">
        <v>10</v>
      </c>
      <c r="C28" t="s">
        <v>963</v>
      </c>
      <c r="D28" t="s">
        <v>946</v>
      </c>
      <c r="E28" t="s">
        <v>49</v>
      </c>
      <c r="F28" t="s">
        <v>954</v>
      </c>
      <c r="G28">
        <v>1000000</v>
      </c>
      <c r="H28">
        <v>144000</v>
      </c>
      <c r="I28" t="s">
        <v>949</v>
      </c>
    </row>
    <row r="29" spans="1:9" x14ac:dyDescent="0.25">
      <c r="A29">
        <v>3120</v>
      </c>
      <c r="B29">
        <v>10</v>
      </c>
      <c r="C29" t="s">
        <v>963</v>
      </c>
      <c r="D29" t="s">
        <v>946</v>
      </c>
      <c r="E29" t="s">
        <v>49</v>
      </c>
      <c r="F29" t="s">
        <v>955</v>
      </c>
      <c r="G29">
        <v>1000000</v>
      </c>
      <c r="H29">
        <v>144000</v>
      </c>
      <c r="I29" t="s">
        <v>949</v>
      </c>
    </row>
    <row r="30" spans="1:9" x14ac:dyDescent="0.25">
      <c r="A30">
        <v>3120</v>
      </c>
      <c r="B30">
        <v>10</v>
      </c>
      <c r="C30" t="s">
        <v>963</v>
      </c>
      <c r="D30" t="s">
        <v>946</v>
      </c>
      <c r="E30" t="s">
        <v>49</v>
      </c>
      <c r="F30" t="s">
        <v>956</v>
      </c>
      <c r="G30">
        <v>1000000</v>
      </c>
      <c r="H30">
        <v>144000</v>
      </c>
      <c r="I30" t="s">
        <v>949</v>
      </c>
    </row>
    <row r="31" spans="1:9" x14ac:dyDescent="0.25">
      <c r="A31">
        <v>3120</v>
      </c>
      <c r="B31">
        <v>10</v>
      </c>
      <c r="C31" t="s">
        <v>963</v>
      </c>
      <c r="D31" t="s">
        <v>946</v>
      </c>
      <c r="E31" t="s">
        <v>49</v>
      </c>
      <c r="F31" t="s">
        <v>957</v>
      </c>
      <c r="G31">
        <v>1000000</v>
      </c>
      <c r="H31">
        <v>144000</v>
      </c>
      <c r="I31" t="s">
        <v>949</v>
      </c>
    </row>
    <row r="32" spans="1:9" x14ac:dyDescent="0.25">
      <c r="A32">
        <v>3120</v>
      </c>
      <c r="B32">
        <v>10</v>
      </c>
      <c r="C32" t="s">
        <v>963</v>
      </c>
      <c r="D32" t="s">
        <v>946</v>
      </c>
      <c r="E32" t="s">
        <v>49</v>
      </c>
      <c r="F32" t="s">
        <v>958</v>
      </c>
      <c r="G32">
        <v>1000000</v>
      </c>
      <c r="H32">
        <v>144000</v>
      </c>
      <c r="I32" t="s">
        <v>949</v>
      </c>
    </row>
    <row r="33" spans="1:9" x14ac:dyDescent="0.25">
      <c r="A33">
        <v>3120</v>
      </c>
      <c r="B33">
        <v>10</v>
      </c>
      <c r="C33" t="s">
        <v>963</v>
      </c>
      <c r="D33" t="s">
        <v>946</v>
      </c>
      <c r="E33" t="s">
        <v>49</v>
      </c>
      <c r="F33" t="s">
        <v>959</v>
      </c>
      <c r="G33">
        <v>1000000</v>
      </c>
      <c r="H33">
        <v>144000</v>
      </c>
      <c r="I33" t="s">
        <v>949</v>
      </c>
    </row>
    <row r="34" spans="1:9" x14ac:dyDescent="0.25">
      <c r="A34">
        <v>3120</v>
      </c>
      <c r="B34">
        <v>10</v>
      </c>
      <c r="C34" t="s">
        <v>963</v>
      </c>
      <c r="D34" t="s">
        <v>946</v>
      </c>
      <c r="E34" t="s">
        <v>49</v>
      </c>
      <c r="F34" t="s">
        <v>960</v>
      </c>
      <c r="G34">
        <v>1000000</v>
      </c>
      <c r="H34">
        <v>144000</v>
      </c>
      <c r="I34" t="s">
        <v>949</v>
      </c>
    </row>
    <row r="35" spans="1:9" x14ac:dyDescent="0.25">
      <c r="A35">
        <v>3120</v>
      </c>
      <c r="B35">
        <v>10</v>
      </c>
      <c r="C35" t="s">
        <v>963</v>
      </c>
      <c r="D35" t="s">
        <v>946</v>
      </c>
      <c r="E35" t="s">
        <v>49</v>
      </c>
      <c r="F35" t="s">
        <v>961</v>
      </c>
      <c r="G35">
        <v>1000000</v>
      </c>
      <c r="H35">
        <v>144000</v>
      </c>
      <c r="I35" t="s">
        <v>949</v>
      </c>
    </row>
    <row r="36" spans="1:9" x14ac:dyDescent="0.25">
      <c r="A36">
        <v>3401</v>
      </c>
      <c r="B36">
        <v>10</v>
      </c>
      <c r="C36" t="s">
        <v>950</v>
      </c>
      <c r="D36" t="s">
        <v>946</v>
      </c>
      <c r="E36" t="s">
        <v>49</v>
      </c>
      <c r="F36" t="s">
        <v>953</v>
      </c>
      <c r="G36">
        <v>1077777</v>
      </c>
      <c r="H36">
        <v>501020</v>
      </c>
      <c r="I36" t="s">
        <v>949</v>
      </c>
    </row>
    <row r="37" spans="1:9" x14ac:dyDescent="0.25">
      <c r="A37">
        <v>3401</v>
      </c>
      <c r="B37">
        <v>10</v>
      </c>
      <c r="C37" t="s">
        <v>950</v>
      </c>
      <c r="D37" t="s">
        <v>946</v>
      </c>
      <c r="E37" t="s">
        <v>49</v>
      </c>
      <c r="F37" t="s">
        <v>954</v>
      </c>
      <c r="G37">
        <v>1077777</v>
      </c>
      <c r="H37">
        <v>501030</v>
      </c>
      <c r="I37" t="s">
        <v>949</v>
      </c>
    </row>
    <row r="38" spans="1:9" x14ac:dyDescent="0.25">
      <c r="A38">
        <v>3401</v>
      </c>
      <c r="B38">
        <v>10</v>
      </c>
      <c r="C38" t="s">
        <v>950</v>
      </c>
      <c r="D38" t="s">
        <v>946</v>
      </c>
      <c r="E38" t="s">
        <v>49</v>
      </c>
      <c r="F38" t="s">
        <v>955</v>
      </c>
      <c r="G38">
        <v>1077777</v>
      </c>
      <c r="H38">
        <v>505100</v>
      </c>
      <c r="I38" t="s">
        <v>949</v>
      </c>
    </row>
    <row r="39" spans="1:9" x14ac:dyDescent="0.25">
      <c r="A39">
        <v>3401</v>
      </c>
      <c r="B39">
        <v>10</v>
      </c>
      <c r="C39" t="s">
        <v>950</v>
      </c>
      <c r="D39" t="s">
        <v>946</v>
      </c>
      <c r="E39" t="s">
        <v>49</v>
      </c>
      <c r="F39" t="s">
        <v>964</v>
      </c>
      <c r="G39">
        <v>1077777</v>
      </c>
      <c r="H39">
        <v>501070</v>
      </c>
      <c r="I39" t="s">
        <v>949</v>
      </c>
    </row>
    <row r="40" spans="1:9" x14ac:dyDescent="0.25">
      <c r="A40">
        <v>3401</v>
      </c>
      <c r="B40">
        <v>10</v>
      </c>
      <c r="C40" t="s">
        <v>950</v>
      </c>
      <c r="D40" t="s">
        <v>946</v>
      </c>
      <c r="E40" t="s">
        <v>49</v>
      </c>
      <c r="F40" t="s">
        <v>965</v>
      </c>
      <c r="G40">
        <v>1077777</v>
      </c>
      <c r="H40">
        <v>501080</v>
      </c>
      <c r="I40" t="s">
        <v>949</v>
      </c>
    </row>
    <row r="41" spans="1:9" x14ac:dyDescent="0.25">
      <c r="A41">
        <v>3401</v>
      </c>
      <c r="B41">
        <v>10</v>
      </c>
      <c r="C41" t="s">
        <v>950</v>
      </c>
      <c r="D41" t="s">
        <v>946</v>
      </c>
      <c r="E41" t="s">
        <v>49</v>
      </c>
      <c r="F41" t="s">
        <v>966</v>
      </c>
      <c r="G41">
        <v>1077777</v>
      </c>
      <c r="H41">
        <v>501040</v>
      </c>
      <c r="I41" t="s">
        <v>949</v>
      </c>
    </row>
    <row r="42" spans="1:9" x14ac:dyDescent="0.25">
      <c r="A42">
        <v>3401</v>
      </c>
      <c r="B42">
        <v>10</v>
      </c>
      <c r="C42" t="s">
        <v>950</v>
      </c>
      <c r="D42" t="s">
        <v>946</v>
      </c>
      <c r="E42" t="s">
        <v>49</v>
      </c>
      <c r="F42" t="s">
        <v>967</v>
      </c>
      <c r="G42">
        <v>1077777</v>
      </c>
      <c r="H42">
        <v>501050</v>
      </c>
      <c r="I42" t="s">
        <v>949</v>
      </c>
    </row>
    <row r="43" spans="1:9" x14ac:dyDescent="0.25">
      <c r="A43">
        <v>3401</v>
      </c>
      <c r="B43">
        <v>10</v>
      </c>
      <c r="C43" t="s">
        <v>950</v>
      </c>
      <c r="D43" t="s">
        <v>946</v>
      </c>
      <c r="E43" t="s">
        <v>49</v>
      </c>
      <c r="F43" t="s">
        <v>956</v>
      </c>
      <c r="G43">
        <v>1077777</v>
      </c>
      <c r="H43">
        <v>501090</v>
      </c>
      <c r="I43" t="s">
        <v>949</v>
      </c>
    </row>
    <row r="44" spans="1:9" x14ac:dyDescent="0.25">
      <c r="A44">
        <v>3401</v>
      </c>
      <c r="B44">
        <v>10</v>
      </c>
      <c r="C44" t="s">
        <v>950</v>
      </c>
      <c r="D44" t="s">
        <v>946</v>
      </c>
      <c r="E44" t="s">
        <v>49</v>
      </c>
      <c r="F44" t="s">
        <v>957</v>
      </c>
      <c r="G44">
        <v>1077777</v>
      </c>
      <c r="H44">
        <v>501090</v>
      </c>
      <c r="I44" t="s">
        <v>949</v>
      </c>
    </row>
    <row r="45" spans="1:9" x14ac:dyDescent="0.25">
      <c r="A45">
        <v>3401</v>
      </c>
      <c r="B45">
        <v>10</v>
      </c>
      <c r="C45" t="s">
        <v>950</v>
      </c>
      <c r="D45" t="s">
        <v>946</v>
      </c>
      <c r="E45" t="s">
        <v>49</v>
      </c>
      <c r="F45" t="s">
        <v>958</v>
      </c>
      <c r="G45">
        <v>1077777</v>
      </c>
      <c r="H45">
        <v>501090</v>
      </c>
      <c r="I45" t="s">
        <v>949</v>
      </c>
    </row>
    <row r="46" spans="1:9" x14ac:dyDescent="0.25">
      <c r="A46">
        <v>3401</v>
      </c>
      <c r="B46">
        <v>10</v>
      </c>
      <c r="C46" t="s">
        <v>950</v>
      </c>
      <c r="D46" t="s">
        <v>946</v>
      </c>
      <c r="E46" t="s">
        <v>49</v>
      </c>
      <c r="F46" t="s">
        <v>959</v>
      </c>
      <c r="G46">
        <v>1077777</v>
      </c>
      <c r="H46">
        <v>501095</v>
      </c>
      <c r="I46" t="s">
        <v>949</v>
      </c>
    </row>
    <row r="47" spans="1:9" x14ac:dyDescent="0.25">
      <c r="A47">
        <v>3401</v>
      </c>
      <c r="B47">
        <v>10</v>
      </c>
      <c r="C47" t="s">
        <v>950</v>
      </c>
      <c r="D47" t="s">
        <v>946</v>
      </c>
      <c r="E47" t="s">
        <v>49</v>
      </c>
      <c r="F47" t="s">
        <v>960</v>
      </c>
      <c r="G47">
        <v>1077777</v>
      </c>
      <c r="H47">
        <v>501095</v>
      </c>
      <c r="I47" t="s">
        <v>949</v>
      </c>
    </row>
    <row r="48" spans="1:9" x14ac:dyDescent="0.25">
      <c r="A48">
        <v>3401</v>
      </c>
      <c r="B48">
        <v>10</v>
      </c>
      <c r="C48" t="s">
        <v>950</v>
      </c>
      <c r="D48" t="s">
        <v>946</v>
      </c>
      <c r="E48" t="s">
        <v>49</v>
      </c>
      <c r="F48" t="s">
        <v>961</v>
      </c>
      <c r="G48">
        <v>1077777</v>
      </c>
      <c r="H48">
        <v>501095</v>
      </c>
      <c r="I48" t="s">
        <v>949</v>
      </c>
    </row>
    <row r="49" spans="1:9" x14ac:dyDescent="0.25">
      <c r="A49">
        <v>3401</v>
      </c>
      <c r="B49">
        <v>10</v>
      </c>
      <c r="C49" t="s">
        <v>962</v>
      </c>
      <c r="D49" t="s">
        <v>946</v>
      </c>
      <c r="E49" t="s">
        <v>49</v>
      </c>
      <c r="F49" t="s">
        <v>953</v>
      </c>
      <c r="G49">
        <v>1077777</v>
      </c>
      <c r="H49">
        <v>501020</v>
      </c>
      <c r="I49" t="s">
        <v>949</v>
      </c>
    </row>
    <row r="50" spans="1:9" x14ac:dyDescent="0.25">
      <c r="A50">
        <v>3401</v>
      </c>
      <c r="B50">
        <v>10</v>
      </c>
      <c r="C50" t="s">
        <v>962</v>
      </c>
      <c r="D50" t="s">
        <v>946</v>
      </c>
      <c r="E50" t="s">
        <v>49</v>
      </c>
      <c r="F50" t="s">
        <v>954</v>
      </c>
      <c r="G50">
        <v>1077777</v>
      </c>
      <c r="H50">
        <v>501030</v>
      </c>
      <c r="I50" t="s">
        <v>949</v>
      </c>
    </row>
    <row r="51" spans="1:9" x14ac:dyDescent="0.25">
      <c r="A51">
        <v>3401</v>
      </c>
      <c r="B51">
        <v>10</v>
      </c>
      <c r="C51" t="s">
        <v>962</v>
      </c>
      <c r="D51" t="s">
        <v>946</v>
      </c>
      <c r="E51" t="s">
        <v>49</v>
      </c>
      <c r="F51" t="s">
        <v>955</v>
      </c>
      <c r="G51">
        <v>1077777</v>
      </c>
      <c r="H51">
        <v>505100</v>
      </c>
      <c r="I51" t="s">
        <v>949</v>
      </c>
    </row>
    <row r="52" spans="1:9" x14ac:dyDescent="0.25">
      <c r="A52">
        <v>3401</v>
      </c>
      <c r="B52">
        <v>10</v>
      </c>
      <c r="C52" t="s">
        <v>962</v>
      </c>
      <c r="D52" t="s">
        <v>946</v>
      </c>
      <c r="E52" t="s">
        <v>49</v>
      </c>
      <c r="F52" t="s">
        <v>964</v>
      </c>
      <c r="G52">
        <v>1077777</v>
      </c>
      <c r="H52">
        <v>501070</v>
      </c>
      <c r="I52" t="s">
        <v>949</v>
      </c>
    </row>
    <row r="53" spans="1:9" x14ac:dyDescent="0.25">
      <c r="A53">
        <v>3401</v>
      </c>
      <c r="B53">
        <v>10</v>
      </c>
      <c r="C53" t="s">
        <v>962</v>
      </c>
      <c r="D53" t="s">
        <v>946</v>
      </c>
      <c r="E53" t="s">
        <v>49</v>
      </c>
      <c r="F53" t="s">
        <v>965</v>
      </c>
      <c r="G53">
        <v>1077777</v>
      </c>
      <c r="H53">
        <v>501080</v>
      </c>
      <c r="I53" t="s">
        <v>949</v>
      </c>
    </row>
    <row r="54" spans="1:9" x14ac:dyDescent="0.25">
      <c r="A54">
        <v>3401</v>
      </c>
      <c r="B54">
        <v>10</v>
      </c>
      <c r="C54" t="s">
        <v>962</v>
      </c>
      <c r="D54" t="s">
        <v>946</v>
      </c>
      <c r="E54" t="s">
        <v>49</v>
      </c>
      <c r="F54" t="s">
        <v>966</v>
      </c>
      <c r="G54">
        <v>1077777</v>
      </c>
      <c r="H54">
        <v>501040</v>
      </c>
      <c r="I54" t="s">
        <v>949</v>
      </c>
    </row>
    <row r="55" spans="1:9" x14ac:dyDescent="0.25">
      <c r="A55">
        <v>3401</v>
      </c>
      <c r="B55">
        <v>10</v>
      </c>
      <c r="C55" t="s">
        <v>962</v>
      </c>
      <c r="D55" t="s">
        <v>946</v>
      </c>
      <c r="E55" t="s">
        <v>49</v>
      </c>
      <c r="F55" t="s">
        <v>967</v>
      </c>
      <c r="G55">
        <v>1077777</v>
      </c>
      <c r="H55">
        <v>501050</v>
      </c>
      <c r="I55" t="s">
        <v>949</v>
      </c>
    </row>
    <row r="56" spans="1:9" x14ac:dyDescent="0.25">
      <c r="A56">
        <v>3401</v>
      </c>
      <c r="B56">
        <v>10</v>
      </c>
      <c r="C56" t="s">
        <v>962</v>
      </c>
      <c r="D56" t="s">
        <v>946</v>
      </c>
      <c r="E56" t="s">
        <v>49</v>
      </c>
      <c r="F56" t="s">
        <v>956</v>
      </c>
      <c r="G56">
        <v>1077777</v>
      </c>
      <c r="H56">
        <v>501090</v>
      </c>
      <c r="I56" t="s">
        <v>949</v>
      </c>
    </row>
    <row r="57" spans="1:9" x14ac:dyDescent="0.25">
      <c r="A57">
        <v>3401</v>
      </c>
      <c r="B57">
        <v>10</v>
      </c>
      <c r="C57" t="s">
        <v>962</v>
      </c>
      <c r="D57" t="s">
        <v>946</v>
      </c>
      <c r="E57" t="s">
        <v>49</v>
      </c>
      <c r="F57" t="s">
        <v>957</v>
      </c>
      <c r="G57">
        <v>1077777</v>
      </c>
      <c r="H57">
        <v>501090</v>
      </c>
      <c r="I57" t="s">
        <v>949</v>
      </c>
    </row>
    <row r="58" spans="1:9" x14ac:dyDescent="0.25">
      <c r="A58">
        <v>3401</v>
      </c>
      <c r="B58">
        <v>10</v>
      </c>
      <c r="C58" t="s">
        <v>962</v>
      </c>
      <c r="D58" t="s">
        <v>946</v>
      </c>
      <c r="E58" t="s">
        <v>49</v>
      </c>
      <c r="F58" t="s">
        <v>958</v>
      </c>
      <c r="G58">
        <v>1077777</v>
      </c>
      <c r="H58">
        <v>501090</v>
      </c>
      <c r="I58" t="s">
        <v>949</v>
      </c>
    </row>
    <row r="59" spans="1:9" x14ac:dyDescent="0.25">
      <c r="A59">
        <v>3401</v>
      </c>
      <c r="B59">
        <v>10</v>
      </c>
      <c r="C59" t="s">
        <v>962</v>
      </c>
      <c r="D59" t="s">
        <v>946</v>
      </c>
      <c r="E59" t="s">
        <v>49</v>
      </c>
      <c r="F59" t="s">
        <v>959</v>
      </c>
      <c r="G59">
        <v>1077777</v>
      </c>
      <c r="H59">
        <v>501095</v>
      </c>
      <c r="I59" t="s">
        <v>949</v>
      </c>
    </row>
    <row r="60" spans="1:9" x14ac:dyDescent="0.25">
      <c r="A60">
        <v>3401</v>
      </c>
      <c r="B60">
        <v>10</v>
      </c>
      <c r="C60" t="s">
        <v>962</v>
      </c>
      <c r="D60" t="s">
        <v>946</v>
      </c>
      <c r="E60" t="s">
        <v>49</v>
      </c>
      <c r="F60" t="s">
        <v>960</v>
      </c>
      <c r="G60">
        <v>1077777</v>
      </c>
      <c r="H60">
        <v>501095</v>
      </c>
      <c r="I60" t="s">
        <v>949</v>
      </c>
    </row>
    <row r="61" spans="1:9" x14ac:dyDescent="0.25">
      <c r="A61">
        <v>3401</v>
      </c>
      <c r="B61">
        <v>10</v>
      </c>
      <c r="C61" t="s">
        <v>962</v>
      </c>
      <c r="D61" t="s">
        <v>946</v>
      </c>
      <c r="E61" t="s">
        <v>49</v>
      </c>
      <c r="F61" t="s">
        <v>961</v>
      </c>
      <c r="G61">
        <v>1077777</v>
      </c>
      <c r="H61">
        <v>501095</v>
      </c>
      <c r="I61" t="s">
        <v>949</v>
      </c>
    </row>
    <row r="62" spans="1:9" x14ac:dyDescent="0.25">
      <c r="A62">
        <v>3401</v>
      </c>
      <c r="B62">
        <v>10</v>
      </c>
      <c r="C62" t="s">
        <v>963</v>
      </c>
      <c r="D62" t="s">
        <v>946</v>
      </c>
      <c r="E62" t="s">
        <v>49</v>
      </c>
      <c r="F62" t="s">
        <v>953</v>
      </c>
      <c r="G62">
        <v>1077777</v>
      </c>
      <c r="H62">
        <v>501020</v>
      </c>
      <c r="I62" t="s">
        <v>949</v>
      </c>
    </row>
    <row r="63" spans="1:9" x14ac:dyDescent="0.25">
      <c r="A63">
        <v>3401</v>
      </c>
      <c r="B63">
        <v>10</v>
      </c>
      <c r="C63" t="s">
        <v>963</v>
      </c>
      <c r="D63" t="s">
        <v>946</v>
      </c>
      <c r="E63" t="s">
        <v>49</v>
      </c>
      <c r="F63" t="s">
        <v>954</v>
      </c>
      <c r="G63">
        <v>1077777</v>
      </c>
      <c r="H63">
        <v>501030</v>
      </c>
      <c r="I63" t="s">
        <v>949</v>
      </c>
    </row>
    <row r="64" spans="1:9" x14ac:dyDescent="0.25">
      <c r="A64">
        <v>3401</v>
      </c>
      <c r="B64">
        <v>10</v>
      </c>
      <c r="C64" t="s">
        <v>963</v>
      </c>
      <c r="D64" t="s">
        <v>946</v>
      </c>
      <c r="E64" t="s">
        <v>49</v>
      </c>
      <c r="F64" t="s">
        <v>955</v>
      </c>
      <c r="G64">
        <v>1077777</v>
      </c>
      <c r="H64">
        <v>505100</v>
      </c>
      <c r="I64" t="s">
        <v>949</v>
      </c>
    </row>
    <row r="65" spans="1:9" x14ac:dyDescent="0.25">
      <c r="A65">
        <v>3401</v>
      </c>
      <c r="B65">
        <v>10</v>
      </c>
      <c r="C65" t="s">
        <v>963</v>
      </c>
      <c r="D65" t="s">
        <v>946</v>
      </c>
      <c r="E65" t="s">
        <v>49</v>
      </c>
      <c r="F65" t="s">
        <v>964</v>
      </c>
      <c r="G65">
        <v>1077777</v>
      </c>
      <c r="H65">
        <v>501070</v>
      </c>
      <c r="I65" t="s">
        <v>949</v>
      </c>
    </row>
    <row r="66" spans="1:9" x14ac:dyDescent="0.25">
      <c r="A66">
        <v>3401</v>
      </c>
      <c r="B66">
        <v>10</v>
      </c>
      <c r="C66" t="s">
        <v>963</v>
      </c>
      <c r="D66" t="s">
        <v>946</v>
      </c>
      <c r="E66" t="s">
        <v>49</v>
      </c>
      <c r="F66" t="s">
        <v>965</v>
      </c>
      <c r="G66">
        <v>1077777</v>
      </c>
      <c r="H66">
        <v>501080</v>
      </c>
      <c r="I66" t="s">
        <v>949</v>
      </c>
    </row>
    <row r="67" spans="1:9" x14ac:dyDescent="0.25">
      <c r="A67">
        <v>3401</v>
      </c>
      <c r="B67">
        <v>10</v>
      </c>
      <c r="C67" t="s">
        <v>963</v>
      </c>
      <c r="D67" t="s">
        <v>946</v>
      </c>
      <c r="E67" t="s">
        <v>49</v>
      </c>
      <c r="F67" t="s">
        <v>966</v>
      </c>
      <c r="G67">
        <v>1077777</v>
      </c>
      <c r="H67">
        <v>501040</v>
      </c>
      <c r="I67" t="s">
        <v>949</v>
      </c>
    </row>
    <row r="68" spans="1:9" x14ac:dyDescent="0.25">
      <c r="A68">
        <v>3401</v>
      </c>
      <c r="B68">
        <v>10</v>
      </c>
      <c r="C68" t="s">
        <v>963</v>
      </c>
      <c r="D68" t="s">
        <v>946</v>
      </c>
      <c r="E68" t="s">
        <v>49</v>
      </c>
      <c r="F68" t="s">
        <v>967</v>
      </c>
      <c r="G68">
        <v>1077777</v>
      </c>
      <c r="H68">
        <v>501050</v>
      </c>
      <c r="I68" t="s">
        <v>949</v>
      </c>
    </row>
    <row r="69" spans="1:9" x14ac:dyDescent="0.25">
      <c r="A69">
        <v>3401</v>
      </c>
      <c r="B69">
        <v>10</v>
      </c>
      <c r="C69" t="s">
        <v>963</v>
      </c>
      <c r="D69" t="s">
        <v>946</v>
      </c>
      <c r="E69" t="s">
        <v>49</v>
      </c>
      <c r="F69" t="s">
        <v>956</v>
      </c>
      <c r="G69">
        <v>1077777</v>
      </c>
      <c r="H69">
        <v>501090</v>
      </c>
      <c r="I69" t="s">
        <v>949</v>
      </c>
    </row>
    <row r="70" spans="1:9" x14ac:dyDescent="0.25">
      <c r="A70">
        <v>3401</v>
      </c>
      <c r="B70">
        <v>10</v>
      </c>
      <c r="C70" t="s">
        <v>963</v>
      </c>
      <c r="D70" t="s">
        <v>946</v>
      </c>
      <c r="E70" t="s">
        <v>49</v>
      </c>
      <c r="F70" t="s">
        <v>957</v>
      </c>
      <c r="G70">
        <v>1077777</v>
      </c>
      <c r="H70">
        <v>501090</v>
      </c>
      <c r="I70" t="s">
        <v>949</v>
      </c>
    </row>
    <row r="71" spans="1:9" x14ac:dyDescent="0.25">
      <c r="A71">
        <v>3401</v>
      </c>
      <c r="B71">
        <v>10</v>
      </c>
      <c r="C71" t="s">
        <v>963</v>
      </c>
      <c r="D71" t="s">
        <v>946</v>
      </c>
      <c r="E71" t="s">
        <v>49</v>
      </c>
      <c r="F71" t="s">
        <v>958</v>
      </c>
      <c r="G71">
        <v>1077777</v>
      </c>
      <c r="H71">
        <v>501090</v>
      </c>
      <c r="I71" t="s">
        <v>949</v>
      </c>
    </row>
    <row r="72" spans="1:9" x14ac:dyDescent="0.25">
      <c r="A72">
        <v>3401</v>
      </c>
      <c r="B72">
        <v>10</v>
      </c>
      <c r="C72" t="s">
        <v>963</v>
      </c>
      <c r="D72" t="s">
        <v>946</v>
      </c>
      <c r="E72" t="s">
        <v>49</v>
      </c>
      <c r="F72" t="s">
        <v>959</v>
      </c>
      <c r="G72">
        <v>1077777</v>
      </c>
      <c r="H72">
        <v>501095</v>
      </c>
      <c r="I72" t="s">
        <v>949</v>
      </c>
    </row>
    <row r="73" spans="1:9" x14ac:dyDescent="0.25">
      <c r="A73">
        <v>3401</v>
      </c>
      <c r="B73">
        <v>10</v>
      </c>
      <c r="C73" t="s">
        <v>963</v>
      </c>
      <c r="D73" t="s">
        <v>946</v>
      </c>
      <c r="E73" t="s">
        <v>49</v>
      </c>
      <c r="F73" t="s">
        <v>960</v>
      </c>
      <c r="G73">
        <v>1077777</v>
      </c>
      <c r="H73">
        <v>501095</v>
      </c>
      <c r="I73" t="s">
        <v>949</v>
      </c>
    </row>
    <row r="74" spans="1:9" x14ac:dyDescent="0.25">
      <c r="A74">
        <v>3401</v>
      </c>
      <c r="B74">
        <v>10</v>
      </c>
      <c r="C74" t="s">
        <v>963</v>
      </c>
      <c r="D74" t="s">
        <v>946</v>
      </c>
      <c r="E74" t="s">
        <v>49</v>
      </c>
      <c r="F74" t="s">
        <v>961</v>
      </c>
      <c r="G74">
        <v>1077777</v>
      </c>
      <c r="H74">
        <v>501095</v>
      </c>
      <c r="I74" t="s">
        <v>949</v>
      </c>
    </row>
    <row r="75" spans="1:9" x14ac:dyDescent="0.25">
      <c r="A75">
        <v>3120</v>
      </c>
      <c r="B75">
        <v>10</v>
      </c>
      <c r="C75" t="s">
        <v>950</v>
      </c>
      <c r="D75" t="s">
        <v>946</v>
      </c>
      <c r="E75" t="s">
        <v>100</v>
      </c>
      <c r="F75" t="s">
        <v>951</v>
      </c>
      <c r="G75">
        <v>1077777</v>
      </c>
      <c r="H75">
        <v>500221</v>
      </c>
      <c r="I75" t="s">
        <v>949</v>
      </c>
    </row>
    <row r="76" spans="1:9" x14ac:dyDescent="0.25">
      <c r="A76">
        <v>3120</v>
      </c>
      <c r="B76">
        <v>10</v>
      </c>
      <c r="C76" t="s">
        <v>950</v>
      </c>
      <c r="D76" t="s">
        <v>946</v>
      </c>
      <c r="E76" t="s">
        <v>100</v>
      </c>
      <c r="F76" t="s">
        <v>952</v>
      </c>
      <c r="G76">
        <v>1077777</v>
      </c>
      <c r="H76">
        <v>500221</v>
      </c>
      <c r="I76" t="s">
        <v>949</v>
      </c>
    </row>
    <row r="77" spans="1:9" x14ac:dyDescent="0.25">
      <c r="A77">
        <v>3120</v>
      </c>
      <c r="B77">
        <v>10</v>
      </c>
      <c r="C77" t="s">
        <v>962</v>
      </c>
      <c r="D77" t="s">
        <v>946</v>
      </c>
      <c r="E77" t="s">
        <v>100</v>
      </c>
      <c r="F77" t="s">
        <v>951</v>
      </c>
      <c r="G77">
        <v>1077777</v>
      </c>
      <c r="H77">
        <v>500221</v>
      </c>
      <c r="I77" t="s">
        <v>949</v>
      </c>
    </row>
    <row r="78" spans="1:9" x14ac:dyDescent="0.25">
      <c r="A78">
        <v>3120</v>
      </c>
      <c r="B78">
        <v>10</v>
      </c>
      <c r="C78" t="s">
        <v>962</v>
      </c>
      <c r="D78" t="s">
        <v>946</v>
      </c>
      <c r="E78" t="s">
        <v>100</v>
      </c>
      <c r="F78" t="s">
        <v>952</v>
      </c>
      <c r="G78">
        <v>1077777</v>
      </c>
      <c r="H78">
        <v>500221</v>
      </c>
      <c r="I78" t="s">
        <v>949</v>
      </c>
    </row>
    <row r="79" spans="1:9" x14ac:dyDescent="0.25">
      <c r="A79">
        <v>3120</v>
      </c>
      <c r="B79">
        <v>10</v>
      </c>
      <c r="C79" t="s">
        <v>963</v>
      </c>
      <c r="D79" t="s">
        <v>946</v>
      </c>
      <c r="E79" t="s">
        <v>100</v>
      </c>
      <c r="F79" t="s">
        <v>951</v>
      </c>
      <c r="G79">
        <v>1077777</v>
      </c>
      <c r="H79">
        <v>500221</v>
      </c>
      <c r="I79" t="s">
        <v>949</v>
      </c>
    </row>
    <row r="80" spans="1:9" x14ac:dyDescent="0.25">
      <c r="A80">
        <v>3120</v>
      </c>
      <c r="B80">
        <v>10</v>
      </c>
      <c r="C80" t="s">
        <v>963</v>
      </c>
      <c r="D80" t="s">
        <v>946</v>
      </c>
      <c r="E80" t="s">
        <v>100</v>
      </c>
      <c r="F80" t="s">
        <v>952</v>
      </c>
      <c r="G80">
        <v>1077777</v>
      </c>
      <c r="H80">
        <v>500221</v>
      </c>
      <c r="I80" t="s">
        <v>949</v>
      </c>
    </row>
    <row r="81" spans="1:9" x14ac:dyDescent="0.25">
      <c r="A81">
        <v>3120</v>
      </c>
      <c r="B81">
        <v>10</v>
      </c>
      <c r="C81" t="s">
        <v>950</v>
      </c>
      <c r="D81" t="s">
        <v>946</v>
      </c>
      <c r="E81" t="s">
        <v>104</v>
      </c>
      <c r="F81" t="s">
        <v>951</v>
      </c>
      <c r="G81">
        <v>1077777</v>
      </c>
      <c r="H81">
        <v>500221</v>
      </c>
      <c r="I81" t="s">
        <v>949</v>
      </c>
    </row>
    <row r="82" spans="1:9" x14ac:dyDescent="0.25">
      <c r="A82">
        <v>3120</v>
      </c>
      <c r="B82">
        <v>10</v>
      </c>
      <c r="C82" t="s">
        <v>950</v>
      </c>
      <c r="D82" t="s">
        <v>946</v>
      </c>
      <c r="E82" t="s">
        <v>104</v>
      </c>
      <c r="F82" t="s">
        <v>952</v>
      </c>
      <c r="G82">
        <v>1077777</v>
      </c>
      <c r="H82">
        <v>500221</v>
      </c>
      <c r="I82" t="s">
        <v>949</v>
      </c>
    </row>
    <row r="83" spans="1:9" x14ac:dyDescent="0.25">
      <c r="A83">
        <v>3120</v>
      </c>
      <c r="B83">
        <v>10</v>
      </c>
      <c r="C83" t="s">
        <v>962</v>
      </c>
      <c r="D83" t="s">
        <v>946</v>
      </c>
      <c r="E83" t="s">
        <v>104</v>
      </c>
      <c r="F83" t="s">
        <v>951</v>
      </c>
      <c r="G83">
        <v>1077777</v>
      </c>
      <c r="H83">
        <v>500221</v>
      </c>
      <c r="I83" t="s">
        <v>949</v>
      </c>
    </row>
    <row r="84" spans="1:9" x14ac:dyDescent="0.25">
      <c r="A84">
        <v>3120</v>
      </c>
      <c r="B84">
        <v>10</v>
      </c>
      <c r="C84" t="s">
        <v>962</v>
      </c>
      <c r="D84" t="s">
        <v>946</v>
      </c>
      <c r="E84" t="s">
        <v>104</v>
      </c>
      <c r="F84" t="s">
        <v>952</v>
      </c>
      <c r="G84">
        <v>1077777</v>
      </c>
      <c r="H84">
        <v>500221</v>
      </c>
      <c r="I84" t="s">
        <v>949</v>
      </c>
    </row>
    <row r="85" spans="1:9" x14ac:dyDescent="0.25">
      <c r="A85">
        <v>3120</v>
      </c>
      <c r="B85">
        <v>10</v>
      </c>
      <c r="C85" t="s">
        <v>963</v>
      </c>
      <c r="D85" t="s">
        <v>946</v>
      </c>
      <c r="E85" t="s">
        <v>104</v>
      </c>
      <c r="F85" t="s">
        <v>951</v>
      </c>
      <c r="G85">
        <v>1077777</v>
      </c>
      <c r="H85">
        <v>500221</v>
      </c>
      <c r="I85" t="s">
        <v>949</v>
      </c>
    </row>
    <row r="86" spans="1:9" x14ac:dyDescent="0.25">
      <c r="A86">
        <v>3120</v>
      </c>
      <c r="B86">
        <v>10</v>
      </c>
      <c r="C86" t="s">
        <v>963</v>
      </c>
      <c r="D86" t="s">
        <v>946</v>
      </c>
      <c r="E86" t="s">
        <v>104</v>
      </c>
      <c r="F86" t="s">
        <v>952</v>
      </c>
      <c r="G86">
        <v>1077777</v>
      </c>
      <c r="H86">
        <v>500221</v>
      </c>
      <c r="I86" t="s">
        <v>949</v>
      </c>
    </row>
    <row r="87" spans="1:9" x14ac:dyDescent="0.25">
      <c r="A87">
        <v>3120</v>
      </c>
      <c r="B87">
        <v>10</v>
      </c>
      <c r="C87" t="s">
        <v>950</v>
      </c>
      <c r="D87" t="s">
        <v>946</v>
      </c>
      <c r="E87" t="s">
        <v>108</v>
      </c>
      <c r="F87" t="s">
        <v>951</v>
      </c>
      <c r="G87">
        <v>1077777</v>
      </c>
      <c r="H87">
        <v>500221</v>
      </c>
      <c r="I87" t="s">
        <v>949</v>
      </c>
    </row>
    <row r="88" spans="1:9" x14ac:dyDescent="0.25">
      <c r="A88">
        <v>3120</v>
      </c>
      <c r="B88">
        <v>10</v>
      </c>
      <c r="C88" t="s">
        <v>950</v>
      </c>
      <c r="D88" t="s">
        <v>946</v>
      </c>
      <c r="E88" t="s">
        <v>108</v>
      </c>
      <c r="F88" t="s">
        <v>952</v>
      </c>
      <c r="G88">
        <v>1077777</v>
      </c>
      <c r="H88">
        <v>500221</v>
      </c>
      <c r="I88" t="s">
        <v>949</v>
      </c>
    </row>
    <row r="89" spans="1:9" x14ac:dyDescent="0.25">
      <c r="A89">
        <v>3120</v>
      </c>
      <c r="B89">
        <v>10</v>
      </c>
      <c r="C89" t="s">
        <v>962</v>
      </c>
      <c r="D89" t="s">
        <v>946</v>
      </c>
      <c r="E89" t="s">
        <v>108</v>
      </c>
      <c r="F89" t="s">
        <v>951</v>
      </c>
      <c r="G89">
        <v>1077777</v>
      </c>
      <c r="H89">
        <v>500221</v>
      </c>
      <c r="I89" t="s">
        <v>949</v>
      </c>
    </row>
    <row r="90" spans="1:9" x14ac:dyDescent="0.25">
      <c r="A90">
        <v>3120</v>
      </c>
      <c r="B90">
        <v>10</v>
      </c>
      <c r="C90" t="s">
        <v>962</v>
      </c>
      <c r="D90" t="s">
        <v>946</v>
      </c>
      <c r="E90" t="s">
        <v>108</v>
      </c>
      <c r="F90" t="s">
        <v>952</v>
      </c>
      <c r="G90">
        <v>1077777</v>
      </c>
      <c r="H90">
        <v>500221</v>
      </c>
      <c r="I90" t="s">
        <v>949</v>
      </c>
    </row>
    <row r="91" spans="1:9" x14ac:dyDescent="0.25">
      <c r="A91">
        <v>3120</v>
      </c>
      <c r="B91">
        <v>10</v>
      </c>
      <c r="C91" t="s">
        <v>963</v>
      </c>
      <c r="D91" t="s">
        <v>946</v>
      </c>
      <c r="E91" t="s">
        <v>108</v>
      </c>
      <c r="F91" t="s">
        <v>951</v>
      </c>
      <c r="G91">
        <v>1077777</v>
      </c>
      <c r="H91">
        <v>500221</v>
      </c>
      <c r="I91" t="s">
        <v>949</v>
      </c>
    </row>
    <row r="92" spans="1:9" x14ac:dyDescent="0.25">
      <c r="A92">
        <v>3120</v>
      </c>
      <c r="B92">
        <v>10</v>
      </c>
      <c r="C92" t="s">
        <v>963</v>
      </c>
      <c r="D92" t="s">
        <v>946</v>
      </c>
      <c r="E92" t="s">
        <v>108</v>
      </c>
      <c r="F92" t="s">
        <v>952</v>
      </c>
      <c r="G92">
        <v>1077777</v>
      </c>
      <c r="H92">
        <v>500221</v>
      </c>
      <c r="I92" t="s">
        <v>949</v>
      </c>
    </row>
    <row r="93" spans="1:9" x14ac:dyDescent="0.25">
      <c r="A93">
        <v>3120</v>
      </c>
      <c r="B93">
        <v>10</v>
      </c>
      <c r="C93" t="s">
        <v>950</v>
      </c>
      <c r="D93" t="s">
        <v>946</v>
      </c>
      <c r="E93" t="s">
        <v>121</v>
      </c>
      <c r="F93" t="s">
        <v>951</v>
      </c>
      <c r="G93">
        <v>1077777</v>
      </c>
      <c r="H93">
        <v>500221</v>
      </c>
      <c r="I93" t="s">
        <v>949</v>
      </c>
    </row>
    <row r="94" spans="1:9" x14ac:dyDescent="0.25">
      <c r="A94">
        <v>3120</v>
      </c>
      <c r="B94">
        <v>10</v>
      </c>
      <c r="C94" t="s">
        <v>962</v>
      </c>
      <c r="D94" t="s">
        <v>946</v>
      </c>
      <c r="E94" t="s">
        <v>121</v>
      </c>
      <c r="F94" t="s">
        <v>951</v>
      </c>
      <c r="G94">
        <v>1077777</v>
      </c>
      <c r="H94">
        <v>500221</v>
      </c>
      <c r="I94" t="s">
        <v>949</v>
      </c>
    </row>
    <row r="95" spans="1:9" x14ac:dyDescent="0.25">
      <c r="A95">
        <v>3120</v>
      </c>
      <c r="B95">
        <v>10</v>
      </c>
      <c r="C95" t="s">
        <v>963</v>
      </c>
      <c r="D95" t="s">
        <v>946</v>
      </c>
      <c r="E95" t="s">
        <v>121</v>
      </c>
      <c r="F95" t="s">
        <v>951</v>
      </c>
      <c r="G95">
        <v>1077777</v>
      </c>
      <c r="H95">
        <v>500221</v>
      </c>
      <c r="I95" t="s">
        <v>949</v>
      </c>
    </row>
    <row r="96" ht="22" customHeight="1" spans="1:10" x14ac:dyDescent="0.25">
      <c r="A96" s="41">
        <v>4152</v>
      </c>
      <c r="B96" s="41">
        <v>10</v>
      </c>
      <c r="C96" s="41" t="s">
        <v>946</v>
      </c>
      <c r="D96" s="41">
        <v>99</v>
      </c>
      <c r="E96" s="41" t="s">
        <v>243</v>
      </c>
      <c r="F96" s="41" t="s">
        <v>948</v>
      </c>
      <c r="G96" s="41">
        <v>1000000</v>
      </c>
      <c r="H96" s="41">
        <v>145000</v>
      </c>
      <c r="I96" s="41" t="s">
        <v>949</v>
      </c>
      <c r="J96" s="42" t="s">
        <v>968</v>
      </c>
    </row>
    <row r="97" ht="22" customHeight="1" spans="1:10" x14ac:dyDescent="0.25">
      <c r="A97" s="41">
        <v>4152</v>
      </c>
      <c r="B97" s="41">
        <v>10</v>
      </c>
      <c r="C97" s="41" t="s">
        <v>946</v>
      </c>
      <c r="D97" s="41">
        <v>99</v>
      </c>
      <c r="E97" s="41" t="s">
        <v>247</v>
      </c>
      <c r="F97" s="41" t="s">
        <v>948</v>
      </c>
      <c r="G97" s="41">
        <v>1000000</v>
      </c>
      <c r="H97" s="41">
        <v>145000</v>
      </c>
      <c r="I97" s="41" t="s">
        <v>949</v>
      </c>
      <c r="J97" s="42" t="s">
        <v>968</v>
      </c>
    </row>
    <row r="98" ht="22" customHeight="1" spans="1:10" x14ac:dyDescent="0.25">
      <c r="A98" s="41">
        <v>4152</v>
      </c>
      <c r="B98" s="41">
        <v>10</v>
      </c>
      <c r="C98" s="41" t="s">
        <v>946</v>
      </c>
      <c r="D98" s="41">
        <v>99</v>
      </c>
      <c r="E98" s="41" t="s">
        <v>251</v>
      </c>
      <c r="F98" s="41" t="s">
        <v>948</v>
      </c>
      <c r="G98" s="41">
        <v>1000000</v>
      </c>
      <c r="H98" s="41">
        <v>142000</v>
      </c>
      <c r="I98" s="41" t="s">
        <v>949</v>
      </c>
      <c r="J98" s="42" t="s">
        <v>968</v>
      </c>
    </row>
    <row r="99" ht="22" customHeight="1" spans="1:10" x14ac:dyDescent="0.25">
      <c r="A99" s="41">
        <v>4152</v>
      </c>
      <c r="B99" s="41">
        <v>10</v>
      </c>
      <c r="C99" s="41" t="s">
        <v>946</v>
      </c>
      <c r="D99" s="41">
        <v>99</v>
      </c>
      <c r="E99" s="41" t="s">
        <v>969</v>
      </c>
      <c r="F99" s="41" t="s">
        <v>948</v>
      </c>
      <c r="G99" s="41">
        <v>1000000</v>
      </c>
      <c r="H99" s="41">
        <v>141000</v>
      </c>
      <c r="I99" s="41" t="s">
        <v>970</v>
      </c>
      <c r="J99" s="42" t="s">
        <v>968</v>
      </c>
    </row>
    <row r="100" ht="22" customHeight="1" spans="1:10" x14ac:dyDescent="0.25">
      <c r="A100" s="41">
        <v>4152</v>
      </c>
      <c r="B100" s="41">
        <v>10</v>
      </c>
      <c r="C100" s="41" t="s">
        <v>946</v>
      </c>
      <c r="D100" s="41">
        <v>99</v>
      </c>
      <c r="E100" s="41" t="s">
        <v>255</v>
      </c>
      <c r="F100" s="41" t="s">
        <v>948</v>
      </c>
      <c r="G100" s="41">
        <v>1000000</v>
      </c>
      <c r="H100" s="41">
        <v>145000</v>
      </c>
      <c r="I100" s="41" t="s">
        <v>949</v>
      </c>
      <c r="J100" s="42" t="s">
        <v>968</v>
      </c>
    </row>
    <row r="101" ht="22" customHeight="1" spans="1:10" x14ac:dyDescent="0.25">
      <c r="A101" s="41">
        <v>4152</v>
      </c>
      <c r="B101" s="41">
        <v>10</v>
      </c>
      <c r="C101" s="41" t="s">
        <v>946</v>
      </c>
      <c r="D101" s="41">
        <v>99</v>
      </c>
      <c r="E101" s="41" t="s">
        <v>971</v>
      </c>
      <c r="F101" s="41" t="s">
        <v>948</v>
      </c>
      <c r="G101" s="41">
        <v>1000000</v>
      </c>
      <c r="H101" s="41">
        <v>141000</v>
      </c>
      <c r="I101" s="41" t="s">
        <v>972</v>
      </c>
      <c r="J101" s="42" t="s">
        <v>968</v>
      </c>
    </row>
    <row r="102" ht="22" customHeight="1" spans="1:10" x14ac:dyDescent="0.25">
      <c r="A102" s="41">
        <v>4152</v>
      </c>
      <c r="B102" s="41">
        <v>10</v>
      </c>
      <c r="C102" s="41" t="s">
        <v>946</v>
      </c>
      <c r="D102" s="41">
        <v>99</v>
      </c>
      <c r="E102" s="41" t="s">
        <v>263</v>
      </c>
      <c r="F102" s="41" t="s">
        <v>948</v>
      </c>
      <c r="G102" s="41">
        <v>1000000</v>
      </c>
      <c r="H102" s="41">
        <v>145000</v>
      </c>
      <c r="I102" s="41" t="s">
        <v>949</v>
      </c>
      <c r="J102" s="42" t="s">
        <v>968</v>
      </c>
    </row>
    <row r="103" ht="22" customHeight="1" spans="1:10" x14ac:dyDescent="0.25">
      <c r="A103" s="41">
        <v>4152</v>
      </c>
      <c r="B103" s="41">
        <v>10</v>
      </c>
      <c r="C103" s="41" t="s">
        <v>946</v>
      </c>
      <c r="D103" s="41">
        <v>99</v>
      </c>
      <c r="E103" s="41" t="s">
        <v>270</v>
      </c>
      <c r="F103" s="41" t="s">
        <v>948</v>
      </c>
      <c r="G103" s="41">
        <v>1000000</v>
      </c>
      <c r="H103" s="41">
        <v>145000</v>
      </c>
      <c r="I103" s="41" t="s">
        <v>949</v>
      </c>
      <c r="J103" s="42" t="s">
        <v>968</v>
      </c>
    </row>
    <row r="104" ht="22" customHeight="1" spans="1:10" x14ac:dyDescent="0.25">
      <c r="A104" s="41">
        <v>4152</v>
      </c>
      <c r="B104" s="41">
        <v>10</v>
      </c>
      <c r="C104" s="41" t="s">
        <v>946</v>
      </c>
      <c r="D104" s="41">
        <v>99</v>
      </c>
      <c r="E104" s="41" t="s">
        <v>274</v>
      </c>
      <c r="F104" s="41" t="s">
        <v>948</v>
      </c>
      <c r="G104" s="41">
        <v>1000000</v>
      </c>
      <c r="H104" s="41">
        <v>143000</v>
      </c>
      <c r="I104" s="41" t="s">
        <v>973</v>
      </c>
      <c r="J104" s="42" t="s">
        <v>968</v>
      </c>
    </row>
    <row r="105" ht="22" customHeight="1" spans="1:10" x14ac:dyDescent="0.25">
      <c r="A105" s="41">
        <v>4152</v>
      </c>
      <c r="B105" s="41">
        <v>10</v>
      </c>
      <c r="C105" s="41" t="s">
        <v>946</v>
      </c>
      <c r="D105" s="41">
        <v>99</v>
      </c>
      <c r="E105" s="41" t="s">
        <v>974</v>
      </c>
      <c r="F105" s="41" t="s">
        <v>948</v>
      </c>
      <c r="G105" s="41">
        <v>1000000</v>
      </c>
      <c r="H105" s="41">
        <v>141000</v>
      </c>
      <c r="I105" s="41" t="s">
        <v>975</v>
      </c>
      <c r="J105" s="42" t="s">
        <v>968</v>
      </c>
    </row>
    <row r="106" ht="22" customHeight="1" spans="1:10" x14ac:dyDescent="0.25">
      <c r="A106" s="41">
        <v>4152</v>
      </c>
      <c r="B106" s="41">
        <v>10</v>
      </c>
      <c r="C106" s="41" t="s">
        <v>946</v>
      </c>
      <c r="D106" s="41">
        <v>99</v>
      </c>
      <c r="E106" s="41" t="s">
        <v>278</v>
      </c>
      <c r="F106" s="41" t="s">
        <v>948</v>
      </c>
      <c r="G106" s="41">
        <v>1000000</v>
      </c>
      <c r="H106" s="41">
        <v>145000</v>
      </c>
      <c r="I106" s="41" t="s">
        <v>949</v>
      </c>
      <c r="J106" s="42" t="s">
        <v>968</v>
      </c>
    </row>
    <row r="107" ht="22" customHeight="1" spans="1:10" x14ac:dyDescent="0.25">
      <c r="A107" s="41">
        <v>4152</v>
      </c>
      <c r="B107" s="41">
        <v>10</v>
      </c>
      <c r="C107" s="41" t="s">
        <v>946</v>
      </c>
      <c r="D107" s="41">
        <v>99</v>
      </c>
      <c r="E107" s="41" t="s">
        <v>282</v>
      </c>
      <c r="F107" s="41" t="s">
        <v>948</v>
      </c>
      <c r="G107" s="41">
        <v>1000000</v>
      </c>
      <c r="H107" s="41">
        <v>143100</v>
      </c>
      <c r="I107" s="41" t="s">
        <v>949</v>
      </c>
      <c r="J107" s="42" t="s">
        <v>968</v>
      </c>
    </row>
    <row r="108" ht="22" customHeight="1" spans="1:10" x14ac:dyDescent="0.25">
      <c r="A108" s="41">
        <v>4152</v>
      </c>
      <c r="B108" s="41">
        <v>10</v>
      </c>
      <c r="C108" s="41" t="s">
        <v>946</v>
      </c>
      <c r="D108" s="41">
        <v>99</v>
      </c>
      <c r="E108" s="41" t="s">
        <v>286</v>
      </c>
      <c r="F108" s="41" t="s">
        <v>948</v>
      </c>
      <c r="G108" s="41">
        <v>1000000</v>
      </c>
      <c r="H108" s="41">
        <v>145000</v>
      </c>
      <c r="I108" s="41" t="s">
        <v>949</v>
      </c>
      <c r="J108" s="42" t="s">
        <v>968</v>
      </c>
    </row>
    <row r="109" ht="22" customHeight="1" spans="1:10" x14ac:dyDescent="0.25">
      <c r="A109" s="41">
        <v>4152</v>
      </c>
      <c r="B109" s="41">
        <v>10</v>
      </c>
      <c r="C109" s="41" t="s">
        <v>946</v>
      </c>
      <c r="D109" s="41">
        <v>99</v>
      </c>
      <c r="E109" s="41" t="s">
        <v>976</v>
      </c>
      <c r="F109" s="41" t="s">
        <v>948</v>
      </c>
      <c r="G109" s="41">
        <v>1000000</v>
      </c>
      <c r="H109" s="41">
        <v>141000</v>
      </c>
      <c r="I109" s="41" t="s">
        <v>977</v>
      </c>
      <c r="J109" s="42" t="s">
        <v>968</v>
      </c>
    </row>
    <row r="110" ht="22" customHeight="1" spans="1:10" x14ac:dyDescent="0.25">
      <c r="A110" s="41">
        <v>4152</v>
      </c>
      <c r="B110" s="41">
        <v>10</v>
      </c>
      <c r="C110" s="41" t="s">
        <v>946</v>
      </c>
      <c r="D110" s="41">
        <v>99</v>
      </c>
      <c r="E110" s="41" t="s">
        <v>290</v>
      </c>
      <c r="F110" s="41" t="s">
        <v>948</v>
      </c>
      <c r="G110" s="41">
        <v>1000000</v>
      </c>
      <c r="H110" s="41">
        <v>143000</v>
      </c>
      <c r="I110" s="41" t="s">
        <v>978</v>
      </c>
      <c r="J110" s="42" t="s">
        <v>968</v>
      </c>
    </row>
    <row r="111" ht="22" customHeight="1" spans="1:10" x14ac:dyDescent="0.25">
      <c r="A111" s="41">
        <v>4152</v>
      </c>
      <c r="B111" s="41">
        <v>10</v>
      </c>
      <c r="C111" s="41" t="s">
        <v>946</v>
      </c>
      <c r="D111" s="41">
        <v>99</v>
      </c>
      <c r="E111" s="41" t="s">
        <v>294</v>
      </c>
      <c r="F111" s="41" t="s">
        <v>948</v>
      </c>
      <c r="G111" s="41">
        <v>1000000</v>
      </c>
      <c r="H111" s="41">
        <v>143000</v>
      </c>
      <c r="I111" s="41" t="s">
        <v>979</v>
      </c>
      <c r="J111" s="42" t="s">
        <v>968</v>
      </c>
    </row>
    <row r="112" ht="22" customHeight="1" spans="1:10" x14ac:dyDescent="0.25">
      <c r="A112" s="41">
        <v>4152</v>
      </c>
      <c r="B112" s="41">
        <v>10</v>
      </c>
      <c r="C112" s="41" t="s">
        <v>946</v>
      </c>
      <c r="D112" s="41">
        <v>99</v>
      </c>
      <c r="E112" s="41" t="s">
        <v>980</v>
      </c>
      <c r="F112" s="41" t="s">
        <v>948</v>
      </c>
      <c r="G112" s="41">
        <v>1000000</v>
      </c>
      <c r="H112" s="41">
        <v>141000</v>
      </c>
      <c r="I112" s="41" t="s">
        <v>981</v>
      </c>
      <c r="J112" s="42" t="s">
        <v>968</v>
      </c>
    </row>
    <row r="113" ht="22" customHeight="1" spans="1:10" x14ac:dyDescent="0.25">
      <c r="A113" s="41">
        <v>4152</v>
      </c>
      <c r="B113" s="41">
        <v>10</v>
      </c>
      <c r="C113" s="41" t="s">
        <v>946</v>
      </c>
      <c r="D113" s="41">
        <v>99</v>
      </c>
      <c r="E113" s="41" t="s">
        <v>302</v>
      </c>
      <c r="F113" s="41" t="s">
        <v>948</v>
      </c>
      <c r="G113" s="41">
        <v>1000000</v>
      </c>
      <c r="H113" s="41">
        <v>143000</v>
      </c>
      <c r="I113" s="41" t="s">
        <v>982</v>
      </c>
      <c r="J113" s="42" t="s">
        <v>968</v>
      </c>
    </row>
    <row r="114" ht="22" customHeight="1" spans="1:10" x14ac:dyDescent="0.25">
      <c r="A114" s="41">
        <v>4152</v>
      </c>
      <c r="B114" s="41">
        <v>10</v>
      </c>
      <c r="C114" s="41" t="s">
        <v>946</v>
      </c>
      <c r="D114" s="41">
        <v>99</v>
      </c>
      <c r="E114" s="41" t="s">
        <v>306</v>
      </c>
      <c r="F114" s="41" t="s">
        <v>948</v>
      </c>
      <c r="G114" s="41">
        <v>1000000</v>
      </c>
      <c r="H114" s="41">
        <v>143000</v>
      </c>
      <c r="I114" s="41" t="s">
        <v>983</v>
      </c>
      <c r="J114" s="42" t="s">
        <v>968</v>
      </c>
    </row>
    <row r="115" ht="22" customHeight="1" spans="1:10" x14ac:dyDescent="0.25">
      <c r="A115" s="41">
        <v>4152</v>
      </c>
      <c r="B115" s="41">
        <v>10</v>
      </c>
      <c r="C115" s="41" t="s">
        <v>946</v>
      </c>
      <c r="D115" s="41">
        <v>99</v>
      </c>
      <c r="E115" s="41" t="s">
        <v>310</v>
      </c>
      <c r="F115" s="41" t="s">
        <v>948</v>
      </c>
      <c r="G115" s="41">
        <v>1000000</v>
      </c>
      <c r="H115" s="41">
        <v>145000</v>
      </c>
      <c r="I115" s="41" t="s">
        <v>949</v>
      </c>
      <c r="J115" s="42" t="s">
        <v>968</v>
      </c>
    </row>
    <row r="116" ht="22" customHeight="1" spans="1:10" x14ac:dyDescent="0.25">
      <c r="A116" s="41">
        <v>4152</v>
      </c>
      <c r="B116" s="41">
        <v>10</v>
      </c>
      <c r="C116" s="41" t="s">
        <v>946</v>
      </c>
      <c r="D116" s="41">
        <v>99</v>
      </c>
      <c r="E116" s="41" t="s">
        <v>314</v>
      </c>
      <c r="F116" s="41" t="s">
        <v>948</v>
      </c>
      <c r="G116" s="41">
        <v>1000000</v>
      </c>
      <c r="H116" s="41">
        <v>145000</v>
      </c>
      <c r="I116" s="41" t="s">
        <v>949</v>
      </c>
      <c r="J116" s="42" t="s">
        <v>968</v>
      </c>
    </row>
    <row r="117" ht="22" customHeight="1" spans="1:10" x14ac:dyDescent="0.25">
      <c r="A117" s="41">
        <v>4152</v>
      </c>
      <c r="B117" s="41">
        <v>10</v>
      </c>
      <c r="C117" s="41" t="s">
        <v>946</v>
      </c>
      <c r="D117" s="41">
        <v>99</v>
      </c>
      <c r="E117" s="41" t="s">
        <v>984</v>
      </c>
      <c r="F117" s="41" t="s">
        <v>948</v>
      </c>
      <c r="G117" s="41">
        <v>1000000</v>
      </c>
      <c r="H117" s="41">
        <v>141000</v>
      </c>
      <c r="I117" s="41" t="s">
        <v>985</v>
      </c>
      <c r="J117" s="42" t="s">
        <v>968</v>
      </c>
    </row>
    <row r="118" spans="1:9" x14ac:dyDescent="0.25">
      <c r="A118">
        <v>4141</v>
      </c>
      <c r="B118">
        <v>10</v>
      </c>
      <c r="C118" t="s">
        <v>946</v>
      </c>
      <c r="D118" t="s">
        <v>986</v>
      </c>
      <c r="E118" t="s">
        <v>243</v>
      </c>
      <c r="F118" t="s">
        <v>948</v>
      </c>
      <c r="G118">
        <v>1077777</v>
      </c>
      <c r="H118">
        <v>501010</v>
      </c>
      <c r="I118">
        <v>70</v>
      </c>
    </row>
    <row r="119" spans="1:9" x14ac:dyDescent="0.25">
      <c r="A119">
        <v>4220</v>
      </c>
      <c r="B119">
        <v>10</v>
      </c>
      <c r="C119" t="s">
        <v>946</v>
      </c>
      <c r="D119" t="s">
        <v>986</v>
      </c>
      <c r="E119" t="s">
        <v>243</v>
      </c>
      <c r="F119" t="s">
        <v>948</v>
      </c>
      <c r="G119">
        <v>1077777</v>
      </c>
      <c r="H119">
        <v>500220</v>
      </c>
      <c r="I119" t="s">
        <v>949</v>
      </c>
    </row>
    <row r="120" spans="1:9" x14ac:dyDescent="0.25">
      <c r="A120">
        <v>4230</v>
      </c>
      <c r="B120">
        <v>10</v>
      </c>
      <c r="C120" t="s">
        <v>946</v>
      </c>
      <c r="D120" t="s">
        <v>986</v>
      </c>
      <c r="E120" t="s">
        <v>243</v>
      </c>
      <c r="F120" t="s">
        <v>948</v>
      </c>
      <c r="G120">
        <v>1099999</v>
      </c>
      <c r="H120">
        <v>403055</v>
      </c>
      <c r="I120">
        <v>70</v>
      </c>
    </row>
    <row r="121" spans="1:9" x14ac:dyDescent="0.25">
      <c r="A121">
        <v>4240</v>
      </c>
      <c r="B121">
        <v>10</v>
      </c>
      <c r="C121" t="s">
        <v>946</v>
      </c>
      <c r="D121" t="s">
        <v>986</v>
      </c>
      <c r="E121" t="s">
        <v>243</v>
      </c>
      <c r="F121" t="s">
        <v>948</v>
      </c>
      <c r="G121">
        <v>1077777</v>
      </c>
      <c r="H121">
        <v>500221</v>
      </c>
      <c r="I121" t="s">
        <v>949</v>
      </c>
    </row>
    <row r="122" spans="1:9" x14ac:dyDescent="0.25">
      <c r="A122">
        <v>4141</v>
      </c>
      <c r="B122">
        <v>10</v>
      </c>
      <c r="C122" t="s">
        <v>946</v>
      </c>
      <c r="D122" t="s">
        <v>986</v>
      </c>
      <c r="E122" t="s">
        <v>247</v>
      </c>
      <c r="F122" t="s">
        <v>948</v>
      </c>
      <c r="G122">
        <v>1077777</v>
      </c>
      <c r="H122">
        <v>501010</v>
      </c>
      <c r="I122">
        <v>70</v>
      </c>
    </row>
    <row r="123" spans="1:9" x14ac:dyDescent="0.25">
      <c r="A123">
        <v>4220</v>
      </c>
      <c r="B123">
        <v>10</v>
      </c>
      <c r="C123" t="s">
        <v>946</v>
      </c>
      <c r="D123" t="s">
        <v>986</v>
      </c>
      <c r="E123" t="s">
        <v>247</v>
      </c>
      <c r="F123" t="s">
        <v>948</v>
      </c>
      <c r="G123">
        <v>1077777</v>
      </c>
      <c r="H123">
        <v>500220</v>
      </c>
      <c r="I123" t="s">
        <v>949</v>
      </c>
    </row>
    <row r="124" spans="1:9" x14ac:dyDescent="0.25">
      <c r="A124">
        <v>4230</v>
      </c>
      <c r="B124">
        <v>10</v>
      </c>
      <c r="C124" t="s">
        <v>946</v>
      </c>
      <c r="D124" t="s">
        <v>986</v>
      </c>
      <c r="E124" t="s">
        <v>247</v>
      </c>
      <c r="F124" t="s">
        <v>948</v>
      </c>
      <c r="G124">
        <v>1099999</v>
      </c>
      <c r="H124">
        <v>403025</v>
      </c>
      <c r="I124">
        <v>70</v>
      </c>
    </row>
    <row r="125" spans="1:9" x14ac:dyDescent="0.25">
      <c r="A125">
        <v>4240</v>
      </c>
      <c r="B125">
        <v>10</v>
      </c>
      <c r="C125" t="s">
        <v>946</v>
      </c>
      <c r="D125" t="s">
        <v>986</v>
      </c>
      <c r="E125" t="s">
        <v>247</v>
      </c>
      <c r="F125" t="s">
        <v>948</v>
      </c>
      <c r="G125">
        <v>1077777</v>
      </c>
      <c r="H125">
        <v>500221</v>
      </c>
      <c r="I125" t="s">
        <v>949</v>
      </c>
    </row>
    <row r="126" spans="1:9" x14ac:dyDescent="0.25">
      <c r="A126">
        <v>4141</v>
      </c>
      <c r="B126">
        <v>10</v>
      </c>
      <c r="C126" t="s">
        <v>946</v>
      </c>
      <c r="D126" t="s">
        <v>986</v>
      </c>
      <c r="E126" t="s">
        <v>251</v>
      </c>
      <c r="F126" t="s">
        <v>948</v>
      </c>
      <c r="G126">
        <v>1077777</v>
      </c>
      <c r="H126">
        <v>501010</v>
      </c>
      <c r="I126">
        <v>70</v>
      </c>
    </row>
    <row r="127" spans="1:9" x14ac:dyDescent="0.25">
      <c r="A127">
        <v>4220</v>
      </c>
      <c r="B127">
        <v>10</v>
      </c>
      <c r="C127" t="s">
        <v>946</v>
      </c>
      <c r="D127" t="s">
        <v>986</v>
      </c>
      <c r="E127" t="s">
        <v>251</v>
      </c>
      <c r="F127" t="s">
        <v>948</v>
      </c>
      <c r="G127">
        <v>1077777</v>
      </c>
      <c r="H127">
        <v>500220</v>
      </c>
      <c r="I127" t="s">
        <v>949</v>
      </c>
    </row>
    <row r="128" spans="1:9" x14ac:dyDescent="0.25">
      <c r="A128">
        <v>4230</v>
      </c>
      <c r="B128">
        <v>10</v>
      </c>
      <c r="C128" t="s">
        <v>946</v>
      </c>
      <c r="D128" t="s">
        <v>986</v>
      </c>
      <c r="E128" t="s">
        <v>251</v>
      </c>
      <c r="F128" t="s">
        <v>948</v>
      </c>
      <c r="G128">
        <v>1099999</v>
      </c>
      <c r="H128">
        <v>403045</v>
      </c>
      <c r="I128">
        <v>70</v>
      </c>
    </row>
    <row r="129" spans="1:9" x14ac:dyDescent="0.25">
      <c r="A129">
        <v>4240</v>
      </c>
      <c r="B129">
        <v>10</v>
      </c>
      <c r="C129" t="s">
        <v>946</v>
      </c>
      <c r="D129" t="s">
        <v>986</v>
      </c>
      <c r="E129" t="s">
        <v>251</v>
      </c>
      <c r="F129" t="s">
        <v>948</v>
      </c>
      <c r="G129">
        <v>1077777</v>
      </c>
      <c r="H129">
        <v>500221</v>
      </c>
      <c r="I129" t="s">
        <v>949</v>
      </c>
    </row>
    <row r="130" spans="1:9" x14ac:dyDescent="0.25">
      <c r="A130">
        <v>4141</v>
      </c>
      <c r="B130">
        <v>10</v>
      </c>
      <c r="C130" t="s">
        <v>946</v>
      </c>
      <c r="D130" t="s">
        <v>986</v>
      </c>
      <c r="E130" t="s">
        <v>969</v>
      </c>
      <c r="F130" t="s">
        <v>948</v>
      </c>
      <c r="G130">
        <v>1077777</v>
      </c>
      <c r="H130">
        <v>501010</v>
      </c>
      <c r="I130">
        <v>70</v>
      </c>
    </row>
    <row r="131" spans="1:9" x14ac:dyDescent="0.25">
      <c r="A131">
        <v>4220</v>
      </c>
      <c r="B131">
        <v>10</v>
      </c>
      <c r="C131" t="s">
        <v>946</v>
      </c>
      <c r="D131" t="s">
        <v>986</v>
      </c>
      <c r="E131" t="s">
        <v>969</v>
      </c>
      <c r="F131" t="s">
        <v>948</v>
      </c>
      <c r="G131">
        <v>1077777</v>
      </c>
      <c r="H131">
        <v>500220</v>
      </c>
      <c r="I131" t="s">
        <v>949</v>
      </c>
    </row>
    <row r="132" spans="1:9" x14ac:dyDescent="0.25">
      <c r="A132">
        <v>4230</v>
      </c>
      <c r="B132">
        <v>10</v>
      </c>
      <c r="C132" t="s">
        <v>946</v>
      </c>
      <c r="D132" t="s">
        <v>986</v>
      </c>
      <c r="E132" t="s">
        <v>969</v>
      </c>
      <c r="F132" t="s">
        <v>948</v>
      </c>
      <c r="G132">
        <v>1099999</v>
      </c>
      <c r="H132">
        <v>403915</v>
      </c>
      <c r="I132">
        <v>70</v>
      </c>
    </row>
    <row r="133" spans="1:9" x14ac:dyDescent="0.25">
      <c r="A133">
        <v>4240</v>
      </c>
      <c r="B133">
        <v>10</v>
      </c>
      <c r="C133" t="s">
        <v>946</v>
      </c>
      <c r="D133" t="s">
        <v>986</v>
      </c>
      <c r="E133" t="s">
        <v>969</v>
      </c>
      <c r="F133" t="s">
        <v>948</v>
      </c>
      <c r="G133">
        <v>1077777</v>
      </c>
      <c r="H133">
        <v>500221</v>
      </c>
      <c r="I133" t="s">
        <v>949</v>
      </c>
    </row>
    <row r="134" spans="1:9" x14ac:dyDescent="0.25">
      <c r="A134">
        <v>4141</v>
      </c>
      <c r="B134">
        <v>10</v>
      </c>
      <c r="C134" t="s">
        <v>946</v>
      </c>
      <c r="D134" t="s">
        <v>986</v>
      </c>
      <c r="E134" t="s">
        <v>255</v>
      </c>
      <c r="F134" t="s">
        <v>948</v>
      </c>
      <c r="G134">
        <v>1077777</v>
      </c>
      <c r="H134">
        <v>501010</v>
      </c>
      <c r="I134">
        <v>70</v>
      </c>
    </row>
    <row r="135" spans="1:9" x14ac:dyDescent="0.25">
      <c r="A135">
        <v>4220</v>
      </c>
      <c r="B135">
        <v>10</v>
      </c>
      <c r="C135" t="s">
        <v>946</v>
      </c>
      <c r="D135" t="s">
        <v>986</v>
      </c>
      <c r="E135" t="s">
        <v>255</v>
      </c>
      <c r="F135" t="s">
        <v>948</v>
      </c>
      <c r="G135">
        <v>1077777</v>
      </c>
      <c r="H135">
        <v>500220</v>
      </c>
      <c r="I135" t="s">
        <v>949</v>
      </c>
    </row>
    <row r="136" spans="1:9" x14ac:dyDescent="0.25">
      <c r="A136">
        <v>4230</v>
      </c>
      <c r="B136">
        <v>10</v>
      </c>
      <c r="C136" t="s">
        <v>946</v>
      </c>
      <c r="D136" t="s">
        <v>986</v>
      </c>
      <c r="E136" t="s">
        <v>255</v>
      </c>
      <c r="F136" t="s">
        <v>948</v>
      </c>
      <c r="G136">
        <v>1099999</v>
      </c>
      <c r="H136">
        <v>403075</v>
      </c>
      <c r="I136">
        <v>70</v>
      </c>
    </row>
    <row r="137" spans="1:9" x14ac:dyDescent="0.25">
      <c r="A137">
        <v>4240</v>
      </c>
      <c r="B137">
        <v>10</v>
      </c>
      <c r="C137" t="s">
        <v>946</v>
      </c>
      <c r="D137" t="s">
        <v>986</v>
      </c>
      <c r="E137" t="s">
        <v>255</v>
      </c>
      <c r="F137" t="s">
        <v>948</v>
      </c>
      <c r="G137">
        <v>1077777</v>
      </c>
      <c r="H137">
        <v>500221</v>
      </c>
      <c r="I137" t="s">
        <v>949</v>
      </c>
    </row>
    <row r="138" spans="1:9" x14ac:dyDescent="0.25">
      <c r="A138">
        <v>4141</v>
      </c>
      <c r="B138">
        <v>10</v>
      </c>
      <c r="C138" t="s">
        <v>946</v>
      </c>
      <c r="D138" t="s">
        <v>986</v>
      </c>
      <c r="E138" t="s">
        <v>971</v>
      </c>
      <c r="F138" t="s">
        <v>948</v>
      </c>
      <c r="G138">
        <v>1077777</v>
      </c>
      <c r="H138">
        <v>501010</v>
      </c>
      <c r="I138">
        <v>70</v>
      </c>
    </row>
    <row r="139" spans="1:9" x14ac:dyDescent="0.25">
      <c r="A139">
        <v>4220</v>
      </c>
      <c r="B139">
        <v>10</v>
      </c>
      <c r="C139" t="s">
        <v>946</v>
      </c>
      <c r="D139" t="s">
        <v>986</v>
      </c>
      <c r="E139" t="s">
        <v>971</v>
      </c>
      <c r="F139" t="s">
        <v>948</v>
      </c>
      <c r="G139">
        <v>1077777</v>
      </c>
      <c r="H139">
        <v>500220</v>
      </c>
      <c r="I139" t="s">
        <v>949</v>
      </c>
    </row>
    <row r="140" spans="1:9" x14ac:dyDescent="0.25">
      <c r="A140">
        <v>4230</v>
      </c>
      <c r="B140">
        <v>10</v>
      </c>
      <c r="C140" t="s">
        <v>946</v>
      </c>
      <c r="D140" t="s">
        <v>986</v>
      </c>
      <c r="E140" t="s">
        <v>971</v>
      </c>
      <c r="F140" t="s">
        <v>948</v>
      </c>
      <c r="G140">
        <v>1099999</v>
      </c>
      <c r="H140">
        <v>403915</v>
      </c>
      <c r="I140">
        <v>70</v>
      </c>
    </row>
    <row r="141" spans="1:9" x14ac:dyDescent="0.25">
      <c r="A141">
        <v>4240</v>
      </c>
      <c r="B141">
        <v>10</v>
      </c>
      <c r="C141" t="s">
        <v>946</v>
      </c>
      <c r="D141" t="s">
        <v>986</v>
      </c>
      <c r="E141" t="s">
        <v>971</v>
      </c>
      <c r="F141" t="s">
        <v>948</v>
      </c>
      <c r="G141">
        <v>1077777</v>
      </c>
      <c r="H141">
        <v>500221</v>
      </c>
      <c r="I141" t="s">
        <v>949</v>
      </c>
    </row>
    <row r="142" spans="1:9" x14ac:dyDescent="0.25">
      <c r="A142">
        <v>4230</v>
      </c>
      <c r="B142">
        <v>10</v>
      </c>
      <c r="C142" t="s">
        <v>946</v>
      </c>
      <c r="D142" t="s">
        <v>986</v>
      </c>
      <c r="E142" t="s">
        <v>259</v>
      </c>
      <c r="F142" t="s">
        <v>948</v>
      </c>
      <c r="G142">
        <v>1099999</v>
      </c>
      <c r="H142">
        <v>409005</v>
      </c>
      <c r="I142">
        <v>70</v>
      </c>
    </row>
    <row r="143" spans="1:9" x14ac:dyDescent="0.25">
      <c r="A143">
        <v>4141</v>
      </c>
      <c r="B143">
        <v>10</v>
      </c>
      <c r="C143" t="s">
        <v>946</v>
      </c>
      <c r="D143" t="s">
        <v>986</v>
      </c>
      <c r="E143" t="s">
        <v>263</v>
      </c>
      <c r="F143" t="s">
        <v>948</v>
      </c>
      <c r="G143">
        <v>1077777</v>
      </c>
      <c r="H143">
        <v>501010</v>
      </c>
      <c r="I143">
        <v>70</v>
      </c>
    </row>
    <row r="144" spans="1:9" x14ac:dyDescent="0.25">
      <c r="A144">
        <v>4220</v>
      </c>
      <c r="B144">
        <v>10</v>
      </c>
      <c r="C144" t="s">
        <v>946</v>
      </c>
      <c r="D144" t="s">
        <v>986</v>
      </c>
      <c r="E144" t="s">
        <v>263</v>
      </c>
      <c r="F144" t="s">
        <v>948</v>
      </c>
      <c r="G144">
        <v>1077777</v>
      </c>
      <c r="H144">
        <v>500220</v>
      </c>
      <c r="I144" t="s">
        <v>949</v>
      </c>
    </row>
    <row r="145" spans="1:9" x14ac:dyDescent="0.25">
      <c r="A145">
        <v>4230</v>
      </c>
      <c r="B145">
        <v>10</v>
      </c>
      <c r="C145" t="s">
        <v>946</v>
      </c>
      <c r="D145" t="s">
        <v>986</v>
      </c>
      <c r="E145" t="s">
        <v>263</v>
      </c>
      <c r="F145" t="s">
        <v>948</v>
      </c>
      <c r="G145">
        <v>1099999</v>
      </c>
      <c r="H145">
        <v>403045</v>
      </c>
      <c r="I145">
        <v>70</v>
      </c>
    </row>
    <row r="146" spans="1:9" x14ac:dyDescent="0.25">
      <c r="A146">
        <v>4240</v>
      </c>
      <c r="B146">
        <v>10</v>
      </c>
      <c r="C146" t="s">
        <v>946</v>
      </c>
      <c r="D146" t="s">
        <v>986</v>
      </c>
      <c r="E146" t="s">
        <v>263</v>
      </c>
      <c r="F146" t="s">
        <v>948</v>
      </c>
      <c r="G146">
        <v>1077777</v>
      </c>
      <c r="H146">
        <v>500221</v>
      </c>
      <c r="I146" t="s">
        <v>949</v>
      </c>
    </row>
    <row r="147" spans="1:9" x14ac:dyDescent="0.25">
      <c r="A147">
        <v>4141</v>
      </c>
      <c r="B147">
        <v>10</v>
      </c>
      <c r="C147" t="s">
        <v>946</v>
      </c>
      <c r="D147" t="s">
        <v>986</v>
      </c>
      <c r="E147" t="s">
        <v>100</v>
      </c>
      <c r="F147" t="s">
        <v>948</v>
      </c>
      <c r="G147">
        <v>1077777</v>
      </c>
      <c r="H147">
        <v>500220</v>
      </c>
      <c r="I147" t="s">
        <v>949</v>
      </c>
    </row>
    <row r="148" spans="1:9" x14ac:dyDescent="0.25">
      <c r="A148">
        <v>4220</v>
      </c>
      <c r="B148">
        <v>10</v>
      </c>
      <c r="C148" t="s">
        <v>946</v>
      </c>
      <c r="D148" t="s">
        <v>986</v>
      </c>
      <c r="E148" t="s">
        <v>100</v>
      </c>
      <c r="F148" t="s">
        <v>948</v>
      </c>
      <c r="G148">
        <v>1077777</v>
      </c>
      <c r="H148">
        <v>500220</v>
      </c>
      <c r="I148" t="s">
        <v>949</v>
      </c>
    </row>
    <row r="149" spans="1:9" x14ac:dyDescent="0.25">
      <c r="A149">
        <v>4230</v>
      </c>
      <c r="B149">
        <v>10</v>
      </c>
      <c r="C149" t="s">
        <v>946</v>
      </c>
      <c r="D149" t="s">
        <v>986</v>
      </c>
      <c r="E149" t="s">
        <v>100</v>
      </c>
      <c r="F149" t="s">
        <v>948</v>
      </c>
      <c r="G149">
        <v>1099999</v>
      </c>
      <c r="H149">
        <v>403045</v>
      </c>
      <c r="I149">
        <v>70</v>
      </c>
    </row>
    <row r="150" spans="1:9" x14ac:dyDescent="0.25">
      <c r="A150">
        <v>4240</v>
      </c>
      <c r="B150">
        <v>10</v>
      </c>
      <c r="C150" t="s">
        <v>946</v>
      </c>
      <c r="D150" t="s">
        <v>986</v>
      </c>
      <c r="E150" t="s">
        <v>100</v>
      </c>
      <c r="F150" t="s">
        <v>948</v>
      </c>
      <c r="G150">
        <v>1077777</v>
      </c>
      <c r="H150">
        <v>500221</v>
      </c>
      <c r="I150" t="s">
        <v>949</v>
      </c>
    </row>
    <row r="151" spans="1:9" x14ac:dyDescent="0.25">
      <c r="A151">
        <v>4230</v>
      </c>
      <c r="B151">
        <v>10</v>
      </c>
      <c r="C151" t="s">
        <v>946</v>
      </c>
      <c r="D151" t="s">
        <v>986</v>
      </c>
      <c r="E151" t="s">
        <v>987</v>
      </c>
      <c r="F151" t="s">
        <v>948</v>
      </c>
      <c r="G151">
        <v>1002305</v>
      </c>
      <c r="H151">
        <v>740150</v>
      </c>
      <c r="I151">
        <v>70</v>
      </c>
    </row>
    <row r="152" spans="1:9" x14ac:dyDescent="0.25">
      <c r="A152">
        <v>4141</v>
      </c>
      <c r="B152">
        <v>10</v>
      </c>
      <c r="C152" t="s">
        <v>946</v>
      </c>
      <c r="D152" t="s">
        <v>986</v>
      </c>
      <c r="E152" t="s">
        <v>270</v>
      </c>
      <c r="F152" t="s">
        <v>948</v>
      </c>
      <c r="G152">
        <v>1077777</v>
      </c>
      <c r="H152">
        <v>501010</v>
      </c>
      <c r="I152">
        <v>70</v>
      </c>
    </row>
    <row r="153" spans="1:9" x14ac:dyDescent="0.25">
      <c r="A153">
        <v>4220</v>
      </c>
      <c r="B153">
        <v>10</v>
      </c>
      <c r="C153" t="s">
        <v>946</v>
      </c>
      <c r="D153" t="s">
        <v>986</v>
      </c>
      <c r="E153" t="s">
        <v>270</v>
      </c>
      <c r="F153" t="s">
        <v>948</v>
      </c>
      <c r="G153">
        <v>1077777</v>
      </c>
      <c r="H153">
        <v>500220</v>
      </c>
      <c r="I153" t="s">
        <v>949</v>
      </c>
    </row>
    <row r="154" spans="1:9" x14ac:dyDescent="0.25">
      <c r="A154">
        <v>4230</v>
      </c>
      <c r="B154">
        <v>10</v>
      </c>
      <c r="C154" t="s">
        <v>946</v>
      </c>
      <c r="D154" t="s">
        <v>986</v>
      </c>
      <c r="E154" t="s">
        <v>270</v>
      </c>
      <c r="F154" t="s">
        <v>948</v>
      </c>
      <c r="G154">
        <v>1099999</v>
      </c>
      <c r="H154">
        <v>403065</v>
      </c>
      <c r="I154">
        <v>70</v>
      </c>
    </row>
    <row r="155" spans="1:9" x14ac:dyDescent="0.25">
      <c r="A155">
        <v>4240</v>
      </c>
      <c r="B155">
        <v>10</v>
      </c>
      <c r="C155" t="s">
        <v>946</v>
      </c>
      <c r="D155" t="s">
        <v>986</v>
      </c>
      <c r="E155" t="s">
        <v>270</v>
      </c>
      <c r="F155" t="s">
        <v>948</v>
      </c>
      <c r="G155">
        <v>1077777</v>
      </c>
      <c r="H155">
        <v>500221</v>
      </c>
      <c r="I155" t="s">
        <v>949</v>
      </c>
    </row>
    <row r="156" spans="1:9" x14ac:dyDescent="0.25">
      <c r="A156">
        <v>4141</v>
      </c>
      <c r="B156">
        <v>10</v>
      </c>
      <c r="C156" t="s">
        <v>946</v>
      </c>
      <c r="D156" t="s">
        <v>986</v>
      </c>
      <c r="E156" t="s">
        <v>274</v>
      </c>
      <c r="F156" t="s">
        <v>948</v>
      </c>
      <c r="G156">
        <v>1077777</v>
      </c>
      <c r="H156">
        <v>501010</v>
      </c>
      <c r="I156">
        <v>70</v>
      </c>
    </row>
    <row r="157" spans="1:9" x14ac:dyDescent="0.25">
      <c r="A157">
        <v>4220</v>
      </c>
      <c r="B157">
        <v>10</v>
      </c>
      <c r="C157" t="s">
        <v>946</v>
      </c>
      <c r="D157" t="s">
        <v>986</v>
      </c>
      <c r="E157" t="s">
        <v>274</v>
      </c>
      <c r="F157" t="s">
        <v>948</v>
      </c>
      <c r="G157">
        <v>1077777</v>
      </c>
      <c r="H157">
        <v>500220</v>
      </c>
      <c r="I157" t="s">
        <v>949</v>
      </c>
    </row>
    <row r="158" spans="1:9" x14ac:dyDescent="0.25">
      <c r="A158">
        <v>4230</v>
      </c>
      <c r="B158">
        <v>10</v>
      </c>
      <c r="C158" t="s">
        <v>946</v>
      </c>
      <c r="D158" t="s">
        <v>986</v>
      </c>
      <c r="E158" t="s">
        <v>274</v>
      </c>
      <c r="F158" t="s">
        <v>948</v>
      </c>
      <c r="G158">
        <v>1099999</v>
      </c>
      <c r="H158">
        <v>403045</v>
      </c>
      <c r="I158">
        <v>70</v>
      </c>
    </row>
    <row r="159" spans="1:9" x14ac:dyDescent="0.25">
      <c r="A159">
        <v>4240</v>
      </c>
      <c r="B159">
        <v>10</v>
      </c>
      <c r="C159" t="s">
        <v>946</v>
      </c>
      <c r="D159" t="s">
        <v>986</v>
      </c>
      <c r="E159" t="s">
        <v>274</v>
      </c>
      <c r="F159" t="s">
        <v>948</v>
      </c>
      <c r="G159">
        <v>1077777</v>
      </c>
      <c r="H159">
        <v>500221</v>
      </c>
      <c r="I159" t="s">
        <v>949</v>
      </c>
    </row>
    <row r="160" spans="1:9" x14ac:dyDescent="0.25">
      <c r="A160">
        <v>4141</v>
      </c>
      <c r="B160">
        <v>10</v>
      </c>
      <c r="C160" t="s">
        <v>946</v>
      </c>
      <c r="D160" t="s">
        <v>986</v>
      </c>
      <c r="E160" t="s">
        <v>974</v>
      </c>
      <c r="F160" t="s">
        <v>948</v>
      </c>
      <c r="G160">
        <v>1077777</v>
      </c>
      <c r="H160">
        <v>501010</v>
      </c>
      <c r="I160">
        <v>70</v>
      </c>
    </row>
    <row r="161" spans="1:9" x14ac:dyDescent="0.25">
      <c r="A161">
        <v>4220</v>
      </c>
      <c r="B161">
        <v>10</v>
      </c>
      <c r="C161" t="s">
        <v>946</v>
      </c>
      <c r="D161" t="s">
        <v>986</v>
      </c>
      <c r="E161" t="s">
        <v>974</v>
      </c>
      <c r="F161" t="s">
        <v>948</v>
      </c>
      <c r="G161">
        <v>1077777</v>
      </c>
      <c r="H161">
        <v>500220</v>
      </c>
      <c r="I161" t="s">
        <v>949</v>
      </c>
    </row>
    <row r="162" spans="1:9" x14ac:dyDescent="0.25">
      <c r="A162">
        <v>4230</v>
      </c>
      <c r="B162">
        <v>10</v>
      </c>
      <c r="C162" t="s">
        <v>946</v>
      </c>
      <c r="D162" t="s">
        <v>986</v>
      </c>
      <c r="E162" t="s">
        <v>974</v>
      </c>
      <c r="F162" t="s">
        <v>948</v>
      </c>
      <c r="G162">
        <v>1099999</v>
      </c>
      <c r="H162">
        <v>403915</v>
      </c>
      <c r="I162">
        <v>70</v>
      </c>
    </row>
    <row r="163" spans="1:9" x14ac:dyDescent="0.25">
      <c r="A163">
        <v>4240</v>
      </c>
      <c r="B163">
        <v>10</v>
      </c>
      <c r="C163" t="s">
        <v>946</v>
      </c>
      <c r="D163" t="s">
        <v>986</v>
      </c>
      <c r="E163" t="s">
        <v>974</v>
      </c>
      <c r="F163" t="s">
        <v>948</v>
      </c>
      <c r="G163">
        <v>1077777</v>
      </c>
      <c r="H163">
        <v>500221</v>
      </c>
      <c r="I163" t="s">
        <v>949</v>
      </c>
    </row>
    <row r="164" spans="1:9" x14ac:dyDescent="0.25">
      <c r="A164">
        <v>4141</v>
      </c>
      <c r="B164">
        <v>10</v>
      </c>
      <c r="C164" t="s">
        <v>946</v>
      </c>
      <c r="D164" t="s">
        <v>986</v>
      </c>
      <c r="E164" t="s">
        <v>104</v>
      </c>
      <c r="F164" t="s">
        <v>948</v>
      </c>
      <c r="G164">
        <v>1077777</v>
      </c>
      <c r="H164">
        <v>500220</v>
      </c>
      <c r="I164" t="s">
        <v>949</v>
      </c>
    </row>
    <row r="165" spans="1:9" x14ac:dyDescent="0.25">
      <c r="A165">
        <v>4220</v>
      </c>
      <c r="B165">
        <v>10</v>
      </c>
      <c r="C165" t="s">
        <v>946</v>
      </c>
      <c r="D165" t="s">
        <v>986</v>
      </c>
      <c r="E165" t="s">
        <v>104</v>
      </c>
      <c r="F165" t="s">
        <v>948</v>
      </c>
      <c r="G165">
        <v>1077777</v>
      </c>
      <c r="H165">
        <v>500220</v>
      </c>
      <c r="I165" t="s">
        <v>949</v>
      </c>
    </row>
    <row r="166" spans="1:9" x14ac:dyDescent="0.25">
      <c r="A166">
        <v>4230</v>
      </c>
      <c r="B166">
        <v>10</v>
      </c>
      <c r="C166" t="s">
        <v>946</v>
      </c>
      <c r="D166" t="s">
        <v>986</v>
      </c>
      <c r="E166" t="s">
        <v>104</v>
      </c>
      <c r="F166" t="s">
        <v>948</v>
      </c>
      <c r="G166">
        <v>1099999</v>
      </c>
      <c r="H166">
        <v>403045</v>
      </c>
      <c r="I166">
        <v>70</v>
      </c>
    </row>
    <row r="167" spans="1:9" x14ac:dyDescent="0.25">
      <c r="A167">
        <v>4240</v>
      </c>
      <c r="B167">
        <v>10</v>
      </c>
      <c r="C167" t="s">
        <v>946</v>
      </c>
      <c r="D167" t="s">
        <v>986</v>
      </c>
      <c r="E167" t="s">
        <v>104</v>
      </c>
      <c r="F167" t="s">
        <v>948</v>
      </c>
      <c r="G167">
        <v>1077777</v>
      </c>
      <c r="H167">
        <v>500221</v>
      </c>
      <c r="I167" t="s">
        <v>949</v>
      </c>
    </row>
    <row r="168" spans="1:9" x14ac:dyDescent="0.25">
      <c r="A168">
        <v>4141</v>
      </c>
      <c r="B168">
        <v>10</v>
      </c>
      <c r="C168" t="s">
        <v>946</v>
      </c>
      <c r="D168" t="s">
        <v>986</v>
      </c>
      <c r="E168" t="s">
        <v>278</v>
      </c>
      <c r="F168" t="s">
        <v>948</v>
      </c>
      <c r="G168">
        <v>1077777</v>
      </c>
      <c r="H168">
        <v>501010</v>
      </c>
      <c r="I168">
        <v>70</v>
      </c>
    </row>
    <row r="169" spans="1:9" x14ac:dyDescent="0.25">
      <c r="A169">
        <v>4220</v>
      </c>
      <c r="B169">
        <v>10</v>
      </c>
      <c r="C169" t="s">
        <v>946</v>
      </c>
      <c r="D169" t="s">
        <v>986</v>
      </c>
      <c r="E169" t="s">
        <v>278</v>
      </c>
      <c r="F169" t="s">
        <v>948</v>
      </c>
      <c r="G169">
        <v>1077777</v>
      </c>
      <c r="H169">
        <v>500220</v>
      </c>
      <c r="I169" t="s">
        <v>949</v>
      </c>
    </row>
    <row r="170" spans="1:9" x14ac:dyDescent="0.25">
      <c r="A170">
        <v>4230</v>
      </c>
      <c r="B170">
        <v>10</v>
      </c>
      <c r="C170" t="s">
        <v>946</v>
      </c>
      <c r="D170" t="s">
        <v>986</v>
      </c>
      <c r="E170" t="s">
        <v>278</v>
      </c>
      <c r="F170" t="s">
        <v>948</v>
      </c>
      <c r="G170">
        <v>1099999</v>
      </c>
      <c r="H170">
        <v>403055</v>
      </c>
      <c r="I170">
        <v>70</v>
      </c>
    </row>
    <row r="171" spans="1:9" x14ac:dyDescent="0.25">
      <c r="A171">
        <v>4240</v>
      </c>
      <c r="B171">
        <v>10</v>
      </c>
      <c r="C171" t="s">
        <v>946</v>
      </c>
      <c r="D171" t="s">
        <v>986</v>
      </c>
      <c r="E171" t="s">
        <v>278</v>
      </c>
      <c r="F171" t="s">
        <v>948</v>
      </c>
      <c r="G171">
        <v>1077777</v>
      </c>
      <c r="H171">
        <v>500221</v>
      </c>
      <c r="I171" t="s">
        <v>949</v>
      </c>
    </row>
    <row r="172" spans="1:9" x14ac:dyDescent="0.25">
      <c r="A172">
        <v>4141</v>
      </c>
      <c r="B172">
        <v>10</v>
      </c>
      <c r="C172" t="s">
        <v>946</v>
      </c>
      <c r="D172" t="s">
        <v>986</v>
      </c>
      <c r="E172" t="s">
        <v>282</v>
      </c>
      <c r="F172" t="s">
        <v>948</v>
      </c>
      <c r="G172">
        <v>1077777</v>
      </c>
      <c r="H172">
        <v>501010</v>
      </c>
      <c r="I172">
        <v>70</v>
      </c>
    </row>
    <row r="173" spans="1:9" x14ac:dyDescent="0.25">
      <c r="A173">
        <v>4220</v>
      </c>
      <c r="B173">
        <v>10</v>
      </c>
      <c r="C173" t="s">
        <v>946</v>
      </c>
      <c r="D173" t="s">
        <v>986</v>
      </c>
      <c r="E173" t="s">
        <v>282</v>
      </c>
      <c r="F173" t="s">
        <v>948</v>
      </c>
      <c r="G173">
        <v>1077777</v>
      </c>
      <c r="H173">
        <v>500220</v>
      </c>
      <c r="I173" t="s">
        <v>949</v>
      </c>
    </row>
    <row r="174" spans="1:9" x14ac:dyDescent="0.25">
      <c r="A174">
        <v>4230</v>
      </c>
      <c r="B174">
        <v>10</v>
      </c>
      <c r="C174" t="s">
        <v>946</v>
      </c>
      <c r="D174" t="s">
        <v>986</v>
      </c>
      <c r="E174" t="s">
        <v>282</v>
      </c>
      <c r="F174" t="s">
        <v>948</v>
      </c>
      <c r="G174">
        <v>1099999</v>
      </c>
      <c r="H174">
        <v>403045</v>
      </c>
      <c r="I174">
        <v>70</v>
      </c>
    </row>
    <row r="175" spans="1:9" x14ac:dyDescent="0.25">
      <c r="A175">
        <v>4240</v>
      </c>
      <c r="B175">
        <v>10</v>
      </c>
      <c r="C175" t="s">
        <v>946</v>
      </c>
      <c r="D175" t="s">
        <v>986</v>
      </c>
      <c r="E175" t="s">
        <v>282</v>
      </c>
      <c r="F175" t="s">
        <v>948</v>
      </c>
      <c r="G175">
        <v>1077777</v>
      </c>
      <c r="H175">
        <v>500221</v>
      </c>
      <c r="I175" t="s">
        <v>949</v>
      </c>
    </row>
    <row r="176" spans="1:9" x14ac:dyDescent="0.25">
      <c r="A176">
        <v>4141</v>
      </c>
      <c r="B176">
        <v>10</v>
      </c>
      <c r="C176" t="s">
        <v>946</v>
      </c>
      <c r="D176" t="s">
        <v>986</v>
      </c>
      <c r="E176" t="s">
        <v>286</v>
      </c>
      <c r="F176" t="s">
        <v>948</v>
      </c>
      <c r="G176">
        <v>1077777</v>
      </c>
      <c r="H176">
        <v>501010</v>
      </c>
      <c r="I176">
        <v>70</v>
      </c>
    </row>
    <row r="177" spans="1:9" x14ac:dyDescent="0.25">
      <c r="A177">
        <v>4220</v>
      </c>
      <c r="B177">
        <v>10</v>
      </c>
      <c r="C177" t="s">
        <v>946</v>
      </c>
      <c r="D177" t="s">
        <v>986</v>
      </c>
      <c r="E177" t="s">
        <v>286</v>
      </c>
      <c r="F177" t="s">
        <v>948</v>
      </c>
      <c r="G177">
        <v>1077777</v>
      </c>
      <c r="H177">
        <v>500220</v>
      </c>
      <c r="I177" t="s">
        <v>949</v>
      </c>
    </row>
    <row r="178" spans="1:9" x14ac:dyDescent="0.25">
      <c r="A178">
        <v>4230</v>
      </c>
      <c r="B178">
        <v>10</v>
      </c>
      <c r="C178" t="s">
        <v>946</v>
      </c>
      <c r="D178" t="s">
        <v>986</v>
      </c>
      <c r="E178" t="s">
        <v>286</v>
      </c>
      <c r="F178" t="s">
        <v>948</v>
      </c>
      <c r="G178">
        <v>1099999</v>
      </c>
      <c r="H178">
        <v>403035</v>
      </c>
      <c r="I178">
        <v>70</v>
      </c>
    </row>
    <row r="179" spans="1:9" x14ac:dyDescent="0.25">
      <c r="A179">
        <v>4240</v>
      </c>
      <c r="B179">
        <v>10</v>
      </c>
      <c r="C179" t="s">
        <v>946</v>
      </c>
      <c r="D179" t="s">
        <v>986</v>
      </c>
      <c r="E179" t="s">
        <v>286</v>
      </c>
      <c r="F179" t="s">
        <v>948</v>
      </c>
      <c r="G179">
        <v>1077777</v>
      </c>
      <c r="H179">
        <v>500221</v>
      </c>
      <c r="I179" t="s">
        <v>949</v>
      </c>
    </row>
    <row r="180" spans="1:9" x14ac:dyDescent="0.25">
      <c r="A180">
        <v>4141</v>
      </c>
      <c r="B180">
        <v>10</v>
      </c>
      <c r="C180" t="s">
        <v>946</v>
      </c>
      <c r="D180" t="s">
        <v>986</v>
      </c>
      <c r="E180" t="s">
        <v>976</v>
      </c>
      <c r="F180" t="s">
        <v>948</v>
      </c>
      <c r="G180">
        <v>1077777</v>
      </c>
      <c r="H180">
        <v>501010</v>
      </c>
      <c r="I180">
        <v>70</v>
      </c>
    </row>
    <row r="181" spans="1:9" x14ac:dyDescent="0.25">
      <c r="A181">
        <v>4220</v>
      </c>
      <c r="B181">
        <v>10</v>
      </c>
      <c r="C181" t="s">
        <v>946</v>
      </c>
      <c r="D181" t="s">
        <v>986</v>
      </c>
      <c r="E181" t="s">
        <v>976</v>
      </c>
      <c r="F181" t="s">
        <v>948</v>
      </c>
      <c r="G181">
        <v>1077777</v>
      </c>
      <c r="H181">
        <v>500220</v>
      </c>
      <c r="I181" t="s">
        <v>949</v>
      </c>
    </row>
    <row r="182" spans="1:9" x14ac:dyDescent="0.25">
      <c r="A182">
        <v>4230</v>
      </c>
      <c r="B182">
        <v>10</v>
      </c>
      <c r="C182" t="s">
        <v>946</v>
      </c>
      <c r="D182" t="s">
        <v>986</v>
      </c>
      <c r="E182" t="s">
        <v>976</v>
      </c>
      <c r="F182" t="s">
        <v>948</v>
      </c>
      <c r="G182">
        <v>1099999</v>
      </c>
      <c r="H182">
        <v>403915</v>
      </c>
      <c r="I182">
        <v>70</v>
      </c>
    </row>
    <row r="183" spans="1:9" x14ac:dyDescent="0.25">
      <c r="A183">
        <v>4240</v>
      </c>
      <c r="B183">
        <v>10</v>
      </c>
      <c r="C183" t="s">
        <v>946</v>
      </c>
      <c r="D183" t="s">
        <v>986</v>
      </c>
      <c r="E183" t="s">
        <v>976</v>
      </c>
      <c r="F183" t="s">
        <v>948</v>
      </c>
      <c r="G183">
        <v>1077777</v>
      </c>
      <c r="H183">
        <v>500221</v>
      </c>
      <c r="I183" t="s">
        <v>949</v>
      </c>
    </row>
    <row r="184" spans="1:9" x14ac:dyDescent="0.25">
      <c r="A184">
        <v>4141</v>
      </c>
      <c r="B184">
        <v>10</v>
      </c>
      <c r="C184" t="s">
        <v>946</v>
      </c>
      <c r="D184" t="s">
        <v>986</v>
      </c>
      <c r="E184" t="s">
        <v>290</v>
      </c>
      <c r="F184" t="s">
        <v>948</v>
      </c>
      <c r="G184">
        <v>1077777</v>
      </c>
      <c r="H184">
        <v>501010</v>
      </c>
      <c r="I184">
        <v>70</v>
      </c>
    </row>
    <row r="185" spans="1:9" x14ac:dyDescent="0.25">
      <c r="A185">
        <v>4220</v>
      </c>
      <c r="B185">
        <v>10</v>
      </c>
      <c r="C185" t="s">
        <v>946</v>
      </c>
      <c r="D185" t="s">
        <v>986</v>
      </c>
      <c r="E185" t="s">
        <v>290</v>
      </c>
      <c r="F185" t="s">
        <v>948</v>
      </c>
      <c r="G185">
        <v>1077777</v>
      </c>
      <c r="H185">
        <v>500220</v>
      </c>
      <c r="I185" t="s">
        <v>949</v>
      </c>
    </row>
    <row r="186" spans="1:9" x14ac:dyDescent="0.25">
      <c r="A186">
        <v>4230</v>
      </c>
      <c r="B186">
        <v>10</v>
      </c>
      <c r="C186" t="s">
        <v>946</v>
      </c>
      <c r="D186" t="s">
        <v>986</v>
      </c>
      <c r="E186" t="s">
        <v>290</v>
      </c>
      <c r="F186" t="s">
        <v>948</v>
      </c>
      <c r="G186">
        <v>1099999</v>
      </c>
      <c r="H186">
        <v>403045</v>
      </c>
      <c r="I186">
        <v>70</v>
      </c>
    </row>
    <row r="187" spans="1:9" x14ac:dyDescent="0.25">
      <c r="A187">
        <v>4240</v>
      </c>
      <c r="B187">
        <v>10</v>
      </c>
      <c r="C187" t="s">
        <v>946</v>
      </c>
      <c r="D187" t="s">
        <v>986</v>
      </c>
      <c r="E187" t="s">
        <v>290</v>
      </c>
      <c r="F187" t="s">
        <v>948</v>
      </c>
      <c r="G187">
        <v>1077777</v>
      </c>
      <c r="H187">
        <v>500221</v>
      </c>
      <c r="I187" t="s">
        <v>949</v>
      </c>
    </row>
    <row r="188" spans="1:9" x14ac:dyDescent="0.25">
      <c r="A188">
        <v>4141</v>
      </c>
      <c r="B188">
        <v>10</v>
      </c>
      <c r="C188" t="s">
        <v>946</v>
      </c>
      <c r="D188" t="s">
        <v>986</v>
      </c>
      <c r="E188" t="s">
        <v>294</v>
      </c>
      <c r="F188" t="s">
        <v>948</v>
      </c>
      <c r="G188">
        <v>1077777</v>
      </c>
      <c r="H188">
        <v>501010</v>
      </c>
      <c r="I188">
        <v>70</v>
      </c>
    </row>
    <row r="189" spans="1:9" x14ac:dyDescent="0.25">
      <c r="A189">
        <v>4220</v>
      </c>
      <c r="B189">
        <v>10</v>
      </c>
      <c r="C189" t="s">
        <v>946</v>
      </c>
      <c r="D189" t="s">
        <v>986</v>
      </c>
      <c r="E189" t="s">
        <v>294</v>
      </c>
      <c r="F189" t="s">
        <v>948</v>
      </c>
      <c r="G189">
        <v>1077777</v>
      </c>
      <c r="H189">
        <v>500220</v>
      </c>
      <c r="I189" t="s">
        <v>949</v>
      </c>
    </row>
    <row r="190" spans="1:9" x14ac:dyDescent="0.25">
      <c r="A190">
        <v>4230</v>
      </c>
      <c r="B190">
        <v>10</v>
      </c>
      <c r="C190" t="s">
        <v>946</v>
      </c>
      <c r="D190" t="s">
        <v>986</v>
      </c>
      <c r="E190" t="s">
        <v>294</v>
      </c>
      <c r="F190" t="s">
        <v>948</v>
      </c>
      <c r="G190">
        <v>1099999</v>
      </c>
      <c r="H190">
        <v>403045</v>
      </c>
      <c r="I190">
        <v>70</v>
      </c>
    </row>
    <row r="191" spans="1:9" x14ac:dyDescent="0.25">
      <c r="A191">
        <v>4240</v>
      </c>
      <c r="B191">
        <v>10</v>
      </c>
      <c r="C191" t="s">
        <v>946</v>
      </c>
      <c r="D191" t="s">
        <v>986</v>
      </c>
      <c r="E191" t="s">
        <v>294</v>
      </c>
      <c r="F191" t="s">
        <v>948</v>
      </c>
      <c r="G191">
        <v>1077777</v>
      </c>
      <c r="H191">
        <v>500221</v>
      </c>
      <c r="I191" t="s">
        <v>949</v>
      </c>
    </row>
    <row r="192" spans="1:9" x14ac:dyDescent="0.25">
      <c r="A192">
        <v>4230</v>
      </c>
      <c r="B192">
        <v>10</v>
      </c>
      <c r="C192" t="s">
        <v>946</v>
      </c>
      <c r="D192" t="s">
        <v>986</v>
      </c>
      <c r="E192" t="s">
        <v>298</v>
      </c>
      <c r="F192" t="s">
        <v>948</v>
      </c>
      <c r="G192">
        <v>1099999</v>
      </c>
      <c r="H192">
        <v>403085</v>
      </c>
      <c r="I192">
        <v>70</v>
      </c>
    </row>
    <row r="193" spans="1:9" x14ac:dyDescent="0.25">
      <c r="A193">
        <v>4141</v>
      </c>
      <c r="B193">
        <v>10</v>
      </c>
      <c r="C193" t="s">
        <v>946</v>
      </c>
      <c r="D193" t="s">
        <v>986</v>
      </c>
      <c r="E193" t="s">
        <v>980</v>
      </c>
      <c r="F193" t="s">
        <v>948</v>
      </c>
      <c r="G193">
        <v>1077777</v>
      </c>
      <c r="H193">
        <v>501010</v>
      </c>
      <c r="I193">
        <v>70</v>
      </c>
    </row>
    <row r="194" spans="1:9" x14ac:dyDescent="0.25">
      <c r="A194">
        <v>4220</v>
      </c>
      <c r="B194">
        <v>10</v>
      </c>
      <c r="C194" t="s">
        <v>946</v>
      </c>
      <c r="D194" t="s">
        <v>986</v>
      </c>
      <c r="E194" t="s">
        <v>980</v>
      </c>
      <c r="F194" t="s">
        <v>948</v>
      </c>
      <c r="G194">
        <v>1077777</v>
      </c>
      <c r="H194">
        <v>500220</v>
      </c>
      <c r="I194" t="s">
        <v>949</v>
      </c>
    </row>
    <row r="195" spans="1:9" x14ac:dyDescent="0.25">
      <c r="A195">
        <v>4230</v>
      </c>
      <c r="B195">
        <v>10</v>
      </c>
      <c r="C195" t="s">
        <v>946</v>
      </c>
      <c r="D195" t="s">
        <v>986</v>
      </c>
      <c r="E195" t="s">
        <v>980</v>
      </c>
      <c r="F195" t="s">
        <v>948</v>
      </c>
      <c r="G195">
        <v>1099999</v>
      </c>
      <c r="H195">
        <v>403915</v>
      </c>
      <c r="I195">
        <v>70</v>
      </c>
    </row>
    <row r="196" spans="1:9" x14ac:dyDescent="0.25">
      <c r="A196">
        <v>4240</v>
      </c>
      <c r="B196">
        <v>10</v>
      </c>
      <c r="C196" t="s">
        <v>946</v>
      </c>
      <c r="D196" t="s">
        <v>986</v>
      </c>
      <c r="E196" t="s">
        <v>980</v>
      </c>
      <c r="F196" t="s">
        <v>948</v>
      </c>
      <c r="G196">
        <v>1077777</v>
      </c>
      <c r="H196">
        <v>500221</v>
      </c>
      <c r="I196" t="s">
        <v>949</v>
      </c>
    </row>
    <row r="197" spans="1:9" x14ac:dyDescent="0.25">
      <c r="A197">
        <v>4141</v>
      </c>
      <c r="B197">
        <v>10</v>
      </c>
      <c r="C197" t="s">
        <v>946</v>
      </c>
      <c r="D197" t="s">
        <v>986</v>
      </c>
      <c r="E197" t="s">
        <v>302</v>
      </c>
      <c r="F197" t="s">
        <v>948</v>
      </c>
      <c r="G197">
        <v>1077777</v>
      </c>
      <c r="H197">
        <v>501010</v>
      </c>
      <c r="I197">
        <v>70</v>
      </c>
    </row>
    <row r="198" spans="1:9" x14ac:dyDescent="0.25">
      <c r="A198">
        <v>4220</v>
      </c>
      <c r="B198">
        <v>10</v>
      </c>
      <c r="C198" t="s">
        <v>946</v>
      </c>
      <c r="D198" t="s">
        <v>986</v>
      </c>
      <c r="E198" t="s">
        <v>302</v>
      </c>
      <c r="F198" t="s">
        <v>948</v>
      </c>
      <c r="G198">
        <v>1077777</v>
      </c>
      <c r="H198">
        <v>500220</v>
      </c>
      <c r="I198" t="s">
        <v>949</v>
      </c>
    </row>
    <row r="199" spans="1:9" x14ac:dyDescent="0.25">
      <c r="A199">
        <v>4230</v>
      </c>
      <c r="B199">
        <v>10</v>
      </c>
      <c r="C199" t="s">
        <v>946</v>
      </c>
      <c r="D199" t="s">
        <v>986</v>
      </c>
      <c r="E199" t="s">
        <v>302</v>
      </c>
      <c r="F199" t="s">
        <v>948</v>
      </c>
      <c r="G199">
        <v>1099999</v>
      </c>
      <c r="H199">
        <v>401905</v>
      </c>
      <c r="I199">
        <v>70</v>
      </c>
    </row>
    <row r="200" spans="1:9" x14ac:dyDescent="0.25">
      <c r="A200">
        <v>4240</v>
      </c>
      <c r="B200">
        <v>10</v>
      </c>
      <c r="C200" t="s">
        <v>946</v>
      </c>
      <c r="D200" t="s">
        <v>986</v>
      </c>
      <c r="E200" t="s">
        <v>302</v>
      </c>
      <c r="F200" t="s">
        <v>948</v>
      </c>
      <c r="G200">
        <v>1077777</v>
      </c>
      <c r="H200">
        <v>500221</v>
      </c>
      <c r="I200" t="s">
        <v>949</v>
      </c>
    </row>
    <row r="201" spans="1:9" x14ac:dyDescent="0.25">
      <c r="A201">
        <v>4141</v>
      </c>
      <c r="B201">
        <v>10</v>
      </c>
      <c r="C201" t="s">
        <v>946</v>
      </c>
      <c r="D201" t="s">
        <v>986</v>
      </c>
      <c r="E201" t="s">
        <v>306</v>
      </c>
      <c r="F201" t="s">
        <v>948</v>
      </c>
      <c r="G201">
        <v>1077777</v>
      </c>
      <c r="H201">
        <v>501010</v>
      </c>
      <c r="I201">
        <v>70</v>
      </c>
    </row>
    <row r="202" spans="1:9" x14ac:dyDescent="0.25">
      <c r="A202">
        <v>4220</v>
      </c>
      <c r="B202">
        <v>10</v>
      </c>
      <c r="C202" t="s">
        <v>946</v>
      </c>
      <c r="D202" t="s">
        <v>986</v>
      </c>
      <c r="E202" t="s">
        <v>306</v>
      </c>
      <c r="F202" t="s">
        <v>948</v>
      </c>
      <c r="G202">
        <v>1077777</v>
      </c>
      <c r="H202">
        <v>500220</v>
      </c>
      <c r="I202" t="s">
        <v>949</v>
      </c>
    </row>
    <row r="203" spans="1:9" x14ac:dyDescent="0.25">
      <c r="A203">
        <v>4230</v>
      </c>
      <c r="B203">
        <v>10</v>
      </c>
      <c r="C203" t="s">
        <v>946</v>
      </c>
      <c r="D203" t="s">
        <v>986</v>
      </c>
      <c r="E203" t="s">
        <v>306</v>
      </c>
      <c r="F203" t="s">
        <v>948</v>
      </c>
      <c r="G203">
        <v>1099999</v>
      </c>
      <c r="H203">
        <v>403045</v>
      </c>
      <c r="I203">
        <v>70</v>
      </c>
    </row>
    <row r="204" spans="1:9" x14ac:dyDescent="0.25">
      <c r="A204">
        <v>4240</v>
      </c>
      <c r="B204">
        <v>10</v>
      </c>
      <c r="C204" t="s">
        <v>946</v>
      </c>
      <c r="D204" t="s">
        <v>986</v>
      </c>
      <c r="E204" t="s">
        <v>306</v>
      </c>
      <c r="F204" t="s">
        <v>948</v>
      </c>
      <c r="G204">
        <v>1077777</v>
      </c>
      <c r="H204">
        <v>500221</v>
      </c>
      <c r="I204" t="s">
        <v>949</v>
      </c>
    </row>
    <row r="205" spans="1:9" x14ac:dyDescent="0.25">
      <c r="A205">
        <v>4141</v>
      </c>
      <c r="B205">
        <v>10</v>
      </c>
      <c r="C205" t="s">
        <v>946</v>
      </c>
      <c r="D205" t="s">
        <v>986</v>
      </c>
      <c r="E205" t="s">
        <v>108</v>
      </c>
      <c r="F205" t="s">
        <v>948</v>
      </c>
      <c r="G205">
        <v>1077777</v>
      </c>
      <c r="H205">
        <v>500220</v>
      </c>
      <c r="I205" t="s">
        <v>949</v>
      </c>
    </row>
    <row r="206" spans="1:9" x14ac:dyDescent="0.25">
      <c r="A206">
        <v>4220</v>
      </c>
      <c r="B206">
        <v>10</v>
      </c>
      <c r="C206" t="s">
        <v>946</v>
      </c>
      <c r="D206" t="s">
        <v>986</v>
      </c>
      <c r="E206" t="s">
        <v>108</v>
      </c>
      <c r="F206" t="s">
        <v>948</v>
      </c>
      <c r="G206">
        <v>1077777</v>
      </c>
      <c r="H206">
        <v>500220</v>
      </c>
      <c r="I206" t="s">
        <v>949</v>
      </c>
    </row>
    <row r="207" spans="1:9" x14ac:dyDescent="0.25">
      <c r="A207">
        <v>4230</v>
      </c>
      <c r="B207">
        <v>10</v>
      </c>
      <c r="C207" t="s">
        <v>946</v>
      </c>
      <c r="D207" t="s">
        <v>986</v>
      </c>
      <c r="E207" t="s">
        <v>108</v>
      </c>
      <c r="F207" t="s">
        <v>948</v>
      </c>
      <c r="G207">
        <v>1099999</v>
      </c>
      <c r="H207">
        <v>403045</v>
      </c>
      <c r="I207">
        <v>70</v>
      </c>
    </row>
    <row r="208" spans="1:9" x14ac:dyDescent="0.25">
      <c r="A208">
        <v>4240</v>
      </c>
      <c r="B208">
        <v>10</v>
      </c>
      <c r="C208" t="s">
        <v>946</v>
      </c>
      <c r="D208" t="s">
        <v>986</v>
      </c>
      <c r="E208" t="s">
        <v>108</v>
      </c>
      <c r="F208" t="s">
        <v>948</v>
      </c>
      <c r="G208">
        <v>1077777</v>
      </c>
      <c r="H208">
        <v>500221</v>
      </c>
      <c r="I208" t="s">
        <v>949</v>
      </c>
    </row>
    <row r="209" spans="1:9" x14ac:dyDescent="0.25">
      <c r="A209">
        <v>4141</v>
      </c>
      <c r="B209">
        <v>10</v>
      </c>
      <c r="C209" t="s">
        <v>946</v>
      </c>
      <c r="D209" t="s">
        <v>986</v>
      </c>
      <c r="E209" t="s">
        <v>310</v>
      </c>
      <c r="F209" t="s">
        <v>948</v>
      </c>
      <c r="G209">
        <v>1077777</v>
      </c>
      <c r="H209">
        <v>501010</v>
      </c>
      <c r="I209">
        <v>70</v>
      </c>
    </row>
    <row r="210" spans="1:9" x14ac:dyDescent="0.25">
      <c r="A210">
        <v>4220</v>
      </c>
      <c r="B210">
        <v>10</v>
      </c>
      <c r="C210" t="s">
        <v>946</v>
      </c>
      <c r="D210" t="s">
        <v>986</v>
      </c>
      <c r="E210" t="s">
        <v>310</v>
      </c>
      <c r="F210" t="s">
        <v>948</v>
      </c>
      <c r="G210">
        <v>1077777</v>
      </c>
      <c r="H210">
        <v>500220</v>
      </c>
      <c r="I210" t="s">
        <v>949</v>
      </c>
    </row>
    <row r="211" spans="1:9" x14ac:dyDescent="0.25">
      <c r="A211">
        <v>4230</v>
      </c>
      <c r="B211">
        <v>10</v>
      </c>
      <c r="C211" t="s">
        <v>946</v>
      </c>
      <c r="D211" t="s">
        <v>986</v>
      </c>
      <c r="E211" t="s">
        <v>310</v>
      </c>
      <c r="F211" t="s">
        <v>948</v>
      </c>
      <c r="G211">
        <v>1099999</v>
      </c>
      <c r="H211">
        <v>403015</v>
      </c>
      <c r="I211">
        <v>70</v>
      </c>
    </row>
    <row r="212" spans="1:9" x14ac:dyDescent="0.25">
      <c r="A212">
        <v>4240</v>
      </c>
      <c r="B212">
        <v>10</v>
      </c>
      <c r="C212" t="s">
        <v>946</v>
      </c>
      <c r="D212" t="s">
        <v>986</v>
      </c>
      <c r="E212" t="s">
        <v>310</v>
      </c>
      <c r="F212" t="s">
        <v>948</v>
      </c>
      <c r="G212">
        <v>1077777</v>
      </c>
      <c r="H212">
        <v>500221</v>
      </c>
      <c r="I212" t="s">
        <v>949</v>
      </c>
    </row>
    <row r="213" spans="1:9" x14ac:dyDescent="0.25">
      <c r="A213">
        <v>4141</v>
      </c>
      <c r="B213">
        <v>10</v>
      </c>
      <c r="C213" t="s">
        <v>946</v>
      </c>
      <c r="D213" t="s">
        <v>986</v>
      </c>
      <c r="E213" t="s">
        <v>314</v>
      </c>
      <c r="F213" t="s">
        <v>948</v>
      </c>
      <c r="G213">
        <v>1077777</v>
      </c>
      <c r="H213">
        <v>501010</v>
      </c>
      <c r="I213">
        <v>70</v>
      </c>
    </row>
    <row r="214" spans="1:9" x14ac:dyDescent="0.25">
      <c r="A214">
        <v>4220</v>
      </c>
      <c r="B214">
        <v>10</v>
      </c>
      <c r="C214" t="s">
        <v>946</v>
      </c>
      <c r="D214" t="s">
        <v>986</v>
      </c>
      <c r="E214" t="s">
        <v>314</v>
      </c>
      <c r="F214" t="s">
        <v>948</v>
      </c>
      <c r="G214">
        <v>1077777</v>
      </c>
      <c r="H214">
        <v>500220</v>
      </c>
      <c r="I214" t="s">
        <v>949</v>
      </c>
    </row>
    <row r="215" spans="1:9" x14ac:dyDescent="0.25">
      <c r="A215">
        <v>4230</v>
      </c>
      <c r="B215">
        <v>10</v>
      </c>
      <c r="C215" t="s">
        <v>946</v>
      </c>
      <c r="D215" t="s">
        <v>986</v>
      </c>
      <c r="E215" t="s">
        <v>314</v>
      </c>
      <c r="F215" t="s">
        <v>948</v>
      </c>
      <c r="G215">
        <v>1099999</v>
      </c>
      <c r="H215">
        <v>403065</v>
      </c>
      <c r="I215">
        <v>70</v>
      </c>
    </row>
    <row r="216" spans="1:9" x14ac:dyDescent="0.25">
      <c r="A216">
        <v>4240</v>
      </c>
      <c r="B216">
        <v>10</v>
      </c>
      <c r="C216" t="s">
        <v>946</v>
      </c>
      <c r="D216" t="s">
        <v>986</v>
      </c>
      <c r="E216" t="s">
        <v>314</v>
      </c>
      <c r="F216" t="s">
        <v>948</v>
      </c>
      <c r="G216">
        <v>1077777</v>
      </c>
      <c r="H216">
        <v>500221</v>
      </c>
      <c r="I216" t="s">
        <v>949</v>
      </c>
    </row>
    <row r="217" spans="1:9" x14ac:dyDescent="0.25">
      <c r="A217">
        <v>4141</v>
      </c>
      <c r="B217">
        <v>10</v>
      </c>
      <c r="C217" t="s">
        <v>946</v>
      </c>
      <c r="D217" t="s">
        <v>986</v>
      </c>
      <c r="E217" t="s">
        <v>113</v>
      </c>
      <c r="F217" t="s">
        <v>948</v>
      </c>
      <c r="G217">
        <v>1077777</v>
      </c>
      <c r="H217">
        <v>500220</v>
      </c>
      <c r="I217" t="s">
        <v>949</v>
      </c>
    </row>
    <row r="218" spans="1:9" x14ac:dyDescent="0.25">
      <c r="A218">
        <v>4220</v>
      </c>
      <c r="B218">
        <v>10</v>
      </c>
      <c r="C218" t="s">
        <v>946</v>
      </c>
      <c r="D218" t="s">
        <v>986</v>
      </c>
      <c r="E218" t="s">
        <v>113</v>
      </c>
      <c r="F218" t="s">
        <v>948</v>
      </c>
      <c r="G218">
        <v>1077777</v>
      </c>
      <c r="H218">
        <v>500220</v>
      </c>
      <c r="I218" t="s">
        <v>949</v>
      </c>
    </row>
    <row r="219" spans="1:9" x14ac:dyDescent="0.25">
      <c r="A219">
        <v>4230</v>
      </c>
      <c r="B219">
        <v>10</v>
      </c>
      <c r="C219" t="s">
        <v>946</v>
      </c>
      <c r="D219" t="s">
        <v>986</v>
      </c>
      <c r="E219" t="s">
        <v>113</v>
      </c>
      <c r="F219" t="s">
        <v>948</v>
      </c>
      <c r="G219">
        <v>1099999</v>
      </c>
      <c r="H219">
        <v>403085</v>
      </c>
      <c r="I219">
        <v>70</v>
      </c>
    </row>
    <row r="220" spans="1:9" x14ac:dyDescent="0.25">
      <c r="A220">
        <v>4240</v>
      </c>
      <c r="B220">
        <v>10</v>
      </c>
      <c r="C220" t="s">
        <v>946</v>
      </c>
      <c r="D220" t="s">
        <v>986</v>
      </c>
      <c r="E220" t="s">
        <v>113</v>
      </c>
      <c r="F220" t="s">
        <v>948</v>
      </c>
      <c r="G220">
        <v>1077777</v>
      </c>
      <c r="H220">
        <v>500221</v>
      </c>
      <c r="I220" t="s">
        <v>949</v>
      </c>
    </row>
    <row r="221" spans="1:9" x14ac:dyDescent="0.25">
      <c r="A221">
        <v>4141</v>
      </c>
      <c r="B221">
        <v>10</v>
      </c>
      <c r="C221" t="s">
        <v>946</v>
      </c>
      <c r="D221" t="s">
        <v>986</v>
      </c>
      <c r="E221" t="s">
        <v>117</v>
      </c>
      <c r="F221" t="s">
        <v>948</v>
      </c>
      <c r="G221">
        <v>1077777</v>
      </c>
      <c r="H221">
        <v>500220</v>
      </c>
      <c r="I221" t="s">
        <v>949</v>
      </c>
    </row>
    <row r="222" spans="1:9" x14ac:dyDescent="0.25">
      <c r="A222">
        <v>4220</v>
      </c>
      <c r="B222">
        <v>10</v>
      </c>
      <c r="C222" t="s">
        <v>946</v>
      </c>
      <c r="D222" t="s">
        <v>986</v>
      </c>
      <c r="E222" t="s">
        <v>117</v>
      </c>
      <c r="F222" t="s">
        <v>948</v>
      </c>
      <c r="G222">
        <v>1077777</v>
      </c>
      <c r="H222">
        <v>500220</v>
      </c>
      <c r="I222" t="s">
        <v>949</v>
      </c>
    </row>
    <row r="223" spans="1:9" x14ac:dyDescent="0.25">
      <c r="A223">
        <v>4230</v>
      </c>
      <c r="B223">
        <v>10</v>
      </c>
      <c r="C223" t="s">
        <v>946</v>
      </c>
      <c r="D223" t="s">
        <v>986</v>
      </c>
      <c r="E223" t="s">
        <v>117</v>
      </c>
      <c r="F223" t="s">
        <v>948</v>
      </c>
      <c r="G223">
        <v>1088888</v>
      </c>
      <c r="H223">
        <v>810600</v>
      </c>
      <c r="I223">
        <v>70</v>
      </c>
    </row>
    <row r="224" spans="1:9" x14ac:dyDescent="0.25">
      <c r="A224">
        <v>4240</v>
      </c>
      <c r="B224">
        <v>10</v>
      </c>
      <c r="C224" t="s">
        <v>946</v>
      </c>
      <c r="D224" t="s">
        <v>986</v>
      </c>
      <c r="E224" t="s">
        <v>117</v>
      </c>
      <c r="F224" t="s">
        <v>948</v>
      </c>
      <c r="G224">
        <v>1077777</v>
      </c>
      <c r="H224">
        <v>500221</v>
      </c>
      <c r="I224" t="s">
        <v>949</v>
      </c>
    </row>
    <row r="225" spans="1:9" x14ac:dyDescent="0.25">
      <c r="A225">
        <v>4141</v>
      </c>
      <c r="B225">
        <v>10</v>
      </c>
      <c r="C225" t="s">
        <v>946</v>
      </c>
      <c r="D225" t="s">
        <v>986</v>
      </c>
      <c r="E225" t="s">
        <v>121</v>
      </c>
      <c r="F225" t="s">
        <v>948</v>
      </c>
      <c r="G225">
        <v>1077777</v>
      </c>
      <c r="H225">
        <v>500220</v>
      </c>
      <c r="I225" t="s">
        <v>949</v>
      </c>
    </row>
    <row r="226" spans="1:9" x14ac:dyDescent="0.25">
      <c r="A226">
        <v>4220</v>
      </c>
      <c r="B226">
        <v>10</v>
      </c>
      <c r="C226" t="s">
        <v>946</v>
      </c>
      <c r="D226" t="s">
        <v>986</v>
      </c>
      <c r="E226" t="s">
        <v>121</v>
      </c>
      <c r="F226" t="s">
        <v>948</v>
      </c>
      <c r="G226">
        <v>1077777</v>
      </c>
      <c r="H226">
        <v>500220</v>
      </c>
      <c r="I226" t="s">
        <v>949</v>
      </c>
    </row>
    <row r="227" spans="1:9" x14ac:dyDescent="0.25">
      <c r="A227">
        <v>4230</v>
      </c>
      <c r="B227">
        <v>10</v>
      </c>
      <c r="C227" t="s">
        <v>946</v>
      </c>
      <c r="D227" t="s">
        <v>986</v>
      </c>
      <c r="E227" t="s">
        <v>121</v>
      </c>
      <c r="F227" t="s">
        <v>948</v>
      </c>
      <c r="G227">
        <v>1099999</v>
      </c>
      <c r="H227">
        <v>403045</v>
      </c>
      <c r="I227">
        <v>70</v>
      </c>
    </row>
    <row r="228" spans="1:9" x14ac:dyDescent="0.25">
      <c r="A228">
        <v>4240</v>
      </c>
      <c r="B228">
        <v>10</v>
      </c>
      <c r="C228" t="s">
        <v>946</v>
      </c>
      <c r="D228" t="s">
        <v>986</v>
      </c>
      <c r="E228" t="s">
        <v>121</v>
      </c>
      <c r="F228" t="s">
        <v>948</v>
      </c>
      <c r="G228">
        <v>1077777</v>
      </c>
      <c r="H228">
        <v>500221</v>
      </c>
      <c r="I228" t="s">
        <v>949</v>
      </c>
    </row>
    <row r="229" spans="1:9" x14ac:dyDescent="0.25">
      <c r="A229">
        <v>4141</v>
      </c>
      <c r="B229">
        <v>10</v>
      </c>
      <c r="C229" t="s">
        <v>946</v>
      </c>
      <c r="D229" t="s">
        <v>986</v>
      </c>
      <c r="E229" t="s">
        <v>984</v>
      </c>
      <c r="F229" t="s">
        <v>948</v>
      </c>
      <c r="G229">
        <v>1077777</v>
      </c>
      <c r="H229">
        <v>501010</v>
      </c>
      <c r="I229">
        <v>70</v>
      </c>
    </row>
    <row r="230" spans="1:9" x14ac:dyDescent="0.25">
      <c r="A230">
        <v>4220</v>
      </c>
      <c r="B230">
        <v>10</v>
      </c>
      <c r="C230" t="s">
        <v>946</v>
      </c>
      <c r="D230" t="s">
        <v>986</v>
      </c>
      <c r="E230" t="s">
        <v>984</v>
      </c>
      <c r="F230" t="s">
        <v>948</v>
      </c>
      <c r="G230">
        <v>1077777</v>
      </c>
      <c r="H230">
        <v>500220</v>
      </c>
      <c r="I230" t="s">
        <v>949</v>
      </c>
    </row>
    <row r="231" spans="1:9" x14ac:dyDescent="0.25">
      <c r="A231">
        <v>4230</v>
      </c>
      <c r="B231">
        <v>10</v>
      </c>
      <c r="C231" t="s">
        <v>946</v>
      </c>
      <c r="D231" t="s">
        <v>986</v>
      </c>
      <c r="E231" t="s">
        <v>984</v>
      </c>
      <c r="F231" t="s">
        <v>948</v>
      </c>
      <c r="G231">
        <v>1099999</v>
      </c>
      <c r="H231">
        <v>403915</v>
      </c>
      <c r="I231">
        <v>70</v>
      </c>
    </row>
    <row r="232" spans="1:9" x14ac:dyDescent="0.25">
      <c r="A232">
        <v>4240</v>
      </c>
      <c r="B232">
        <v>10</v>
      </c>
      <c r="C232" t="s">
        <v>946</v>
      </c>
      <c r="D232" t="s">
        <v>986</v>
      </c>
      <c r="E232" t="s">
        <v>984</v>
      </c>
      <c r="F232" t="s">
        <v>948</v>
      </c>
      <c r="G232">
        <v>1077777</v>
      </c>
      <c r="H232">
        <v>500221</v>
      </c>
      <c r="I232" t="s">
        <v>949</v>
      </c>
    </row>
    <row r="233" spans="1:9" x14ac:dyDescent="0.25">
      <c r="A233">
        <v>4141</v>
      </c>
      <c r="B233">
        <v>10</v>
      </c>
      <c r="C233" t="s">
        <v>946</v>
      </c>
      <c r="D233" t="s">
        <v>988</v>
      </c>
      <c r="E233" t="s">
        <v>243</v>
      </c>
      <c r="F233" t="s">
        <v>948</v>
      </c>
      <c r="G233">
        <v>1077777</v>
      </c>
      <c r="H233">
        <v>501010</v>
      </c>
      <c r="I233">
        <v>73</v>
      </c>
    </row>
    <row r="234" spans="1:9" x14ac:dyDescent="0.25">
      <c r="A234">
        <v>4220</v>
      </c>
      <c r="B234">
        <v>10</v>
      </c>
      <c r="C234" t="s">
        <v>946</v>
      </c>
      <c r="D234" t="s">
        <v>988</v>
      </c>
      <c r="E234" t="s">
        <v>243</v>
      </c>
      <c r="F234" t="s">
        <v>948</v>
      </c>
      <c r="G234">
        <v>1077777</v>
      </c>
      <c r="H234">
        <v>500220</v>
      </c>
      <c r="I234" t="s">
        <v>949</v>
      </c>
    </row>
    <row r="235" spans="1:9" x14ac:dyDescent="0.25">
      <c r="A235">
        <v>4230</v>
      </c>
      <c r="B235">
        <v>10</v>
      </c>
      <c r="C235" t="s">
        <v>946</v>
      </c>
      <c r="D235" t="s">
        <v>988</v>
      </c>
      <c r="E235" t="s">
        <v>243</v>
      </c>
      <c r="F235" t="s">
        <v>948</v>
      </c>
      <c r="G235">
        <v>1099999</v>
      </c>
      <c r="H235">
        <v>403055</v>
      </c>
      <c r="I235">
        <v>73</v>
      </c>
    </row>
    <row r="236" spans="1:9" x14ac:dyDescent="0.25">
      <c r="A236">
        <v>4240</v>
      </c>
      <c r="B236">
        <v>10</v>
      </c>
      <c r="C236" t="s">
        <v>946</v>
      </c>
      <c r="D236" t="s">
        <v>988</v>
      </c>
      <c r="E236" t="s">
        <v>243</v>
      </c>
      <c r="F236" t="s">
        <v>948</v>
      </c>
      <c r="G236">
        <v>1077777</v>
      </c>
      <c r="H236">
        <v>500221</v>
      </c>
      <c r="I236" t="s">
        <v>949</v>
      </c>
    </row>
    <row r="237" spans="1:9" x14ac:dyDescent="0.25">
      <c r="A237">
        <v>4141</v>
      </c>
      <c r="B237">
        <v>10</v>
      </c>
      <c r="C237" t="s">
        <v>946</v>
      </c>
      <c r="D237" t="s">
        <v>988</v>
      </c>
      <c r="E237" t="s">
        <v>247</v>
      </c>
      <c r="F237" t="s">
        <v>948</v>
      </c>
      <c r="G237">
        <v>1077777</v>
      </c>
      <c r="H237">
        <v>501010</v>
      </c>
      <c r="I237">
        <v>73</v>
      </c>
    </row>
    <row r="238" spans="1:9" x14ac:dyDescent="0.25">
      <c r="A238">
        <v>4220</v>
      </c>
      <c r="B238">
        <v>10</v>
      </c>
      <c r="C238" t="s">
        <v>946</v>
      </c>
      <c r="D238" t="s">
        <v>988</v>
      </c>
      <c r="E238" t="s">
        <v>247</v>
      </c>
      <c r="F238" t="s">
        <v>948</v>
      </c>
      <c r="G238">
        <v>1077777</v>
      </c>
      <c r="H238">
        <v>500220</v>
      </c>
      <c r="I238" t="s">
        <v>949</v>
      </c>
    </row>
    <row r="239" spans="1:9" x14ac:dyDescent="0.25">
      <c r="A239">
        <v>4230</v>
      </c>
      <c r="B239">
        <v>10</v>
      </c>
      <c r="C239" t="s">
        <v>946</v>
      </c>
      <c r="D239" t="s">
        <v>988</v>
      </c>
      <c r="E239" t="s">
        <v>247</v>
      </c>
      <c r="F239" t="s">
        <v>948</v>
      </c>
      <c r="G239">
        <v>1099999</v>
      </c>
      <c r="H239">
        <v>403025</v>
      </c>
      <c r="I239">
        <v>73</v>
      </c>
    </row>
    <row r="240" spans="1:9" x14ac:dyDescent="0.25">
      <c r="A240">
        <v>4240</v>
      </c>
      <c r="B240">
        <v>10</v>
      </c>
      <c r="C240" t="s">
        <v>946</v>
      </c>
      <c r="D240" t="s">
        <v>988</v>
      </c>
      <c r="E240" t="s">
        <v>247</v>
      </c>
      <c r="F240" t="s">
        <v>948</v>
      </c>
      <c r="G240">
        <v>1077777</v>
      </c>
      <c r="H240">
        <v>500221</v>
      </c>
      <c r="I240" t="s">
        <v>949</v>
      </c>
    </row>
    <row r="241" spans="1:9" x14ac:dyDescent="0.25">
      <c r="A241">
        <v>4141</v>
      </c>
      <c r="B241">
        <v>10</v>
      </c>
      <c r="C241" t="s">
        <v>946</v>
      </c>
      <c r="D241" t="s">
        <v>988</v>
      </c>
      <c r="E241" t="s">
        <v>251</v>
      </c>
      <c r="F241" t="s">
        <v>948</v>
      </c>
      <c r="G241">
        <v>1077777</v>
      </c>
      <c r="H241">
        <v>501010</v>
      </c>
      <c r="I241">
        <v>73</v>
      </c>
    </row>
    <row r="242" spans="1:9" x14ac:dyDescent="0.25">
      <c r="A242">
        <v>4220</v>
      </c>
      <c r="B242">
        <v>10</v>
      </c>
      <c r="C242" t="s">
        <v>946</v>
      </c>
      <c r="D242" t="s">
        <v>988</v>
      </c>
      <c r="E242" t="s">
        <v>251</v>
      </c>
      <c r="F242" t="s">
        <v>948</v>
      </c>
      <c r="G242">
        <v>1077777</v>
      </c>
      <c r="H242">
        <v>500220</v>
      </c>
      <c r="I242" t="s">
        <v>949</v>
      </c>
    </row>
    <row r="243" spans="1:9" x14ac:dyDescent="0.25">
      <c r="A243">
        <v>4230</v>
      </c>
      <c r="B243">
        <v>10</v>
      </c>
      <c r="C243" t="s">
        <v>946</v>
      </c>
      <c r="D243" t="s">
        <v>988</v>
      </c>
      <c r="E243" t="s">
        <v>251</v>
      </c>
      <c r="F243" t="s">
        <v>948</v>
      </c>
      <c r="G243">
        <v>1099999</v>
      </c>
      <c r="H243">
        <v>403045</v>
      </c>
      <c r="I243">
        <v>73</v>
      </c>
    </row>
    <row r="244" spans="1:9" x14ac:dyDescent="0.25">
      <c r="A244">
        <v>4240</v>
      </c>
      <c r="B244">
        <v>10</v>
      </c>
      <c r="C244" t="s">
        <v>946</v>
      </c>
      <c r="D244" t="s">
        <v>988</v>
      </c>
      <c r="E244" t="s">
        <v>251</v>
      </c>
      <c r="F244" t="s">
        <v>948</v>
      </c>
      <c r="G244">
        <v>1077777</v>
      </c>
      <c r="H244">
        <v>500221</v>
      </c>
      <c r="I244" t="s">
        <v>949</v>
      </c>
    </row>
    <row r="245" spans="1:9" x14ac:dyDescent="0.25">
      <c r="A245">
        <v>4141</v>
      </c>
      <c r="B245">
        <v>10</v>
      </c>
      <c r="C245" t="s">
        <v>946</v>
      </c>
      <c r="D245" t="s">
        <v>988</v>
      </c>
      <c r="E245" t="s">
        <v>969</v>
      </c>
      <c r="F245" t="s">
        <v>948</v>
      </c>
      <c r="G245">
        <v>1077777</v>
      </c>
      <c r="H245">
        <v>501010</v>
      </c>
      <c r="I245">
        <v>73</v>
      </c>
    </row>
    <row r="246" spans="1:9" x14ac:dyDescent="0.25">
      <c r="A246">
        <v>4220</v>
      </c>
      <c r="B246">
        <v>10</v>
      </c>
      <c r="C246" t="s">
        <v>946</v>
      </c>
      <c r="D246" t="s">
        <v>988</v>
      </c>
      <c r="E246" t="s">
        <v>969</v>
      </c>
      <c r="F246" t="s">
        <v>948</v>
      </c>
      <c r="G246">
        <v>1077777</v>
      </c>
      <c r="H246">
        <v>500220</v>
      </c>
      <c r="I246" t="s">
        <v>949</v>
      </c>
    </row>
    <row r="247" spans="1:9" x14ac:dyDescent="0.25">
      <c r="A247">
        <v>4230</v>
      </c>
      <c r="B247">
        <v>10</v>
      </c>
      <c r="C247" t="s">
        <v>946</v>
      </c>
      <c r="D247" t="s">
        <v>988</v>
      </c>
      <c r="E247" t="s">
        <v>969</v>
      </c>
      <c r="F247" t="s">
        <v>948</v>
      </c>
      <c r="G247">
        <v>1099999</v>
      </c>
      <c r="H247">
        <v>403915</v>
      </c>
      <c r="I247">
        <v>73</v>
      </c>
    </row>
    <row r="248" spans="1:9" x14ac:dyDescent="0.25">
      <c r="A248">
        <v>4240</v>
      </c>
      <c r="B248">
        <v>10</v>
      </c>
      <c r="C248" t="s">
        <v>946</v>
      </c>
      <c r="D248" t="s">
        <v>988</v>
      </c>
      <c r="E248" t="s">
        <v>969</v>
      </c>
      <c r="F248" t="s">
        <v>948</v>
      </c>
      <c r="G248">
        <v>1077777</v>
      </c>
      <c r="H248">
        <v>500221</v>
      </c>
      <c r="I248" t="s">
        <v>949</v>
      </c>
    </row>
    <row r="249" spans="1:9" x14ac:dyDescent="0.25">
      <c r="A249">
        <v>4141</v>
      </c>
      <c r="B249">
        <v>10</v>
      </c>
      <c r="C249" t="s">
        <v>946</v>
      </c>
      <c r="D249" t="s">
        <v>988</v>
      </c>
      <c r="E249" t="s">
        <v>255</v>
      </c>
      <c r="F249" t="s">
        <v>948</v>
      </c>
      <c r="G249">
        <v>1077777</v>
      </c>
      <c r="H249">
        <v>501010</v>
      </c>
      <c r="I249">
        <v>73</v>
      </c>
    </row>
    <row r="250" spans="1:9" x14ac:dyDescent="0.25">
      <c r="A250">
        <v>4220</v>
      </c>
      <c r="B250">
        <v>10</v>
      </c>
      <c r="C250" t="s">
        <v>946</v>
      </c>
      <c r="D250" t="s">
        <v>988</v>
      </c>
      <c r="E250" t="s">
        <v>255</v>
      </c>
      <c r="F250" t="s">
        <v>948</v>
      </c>
      <c r="G250">
        <v>1077777</v>
      </c>
      <c r="H250">
        <v>500220</v>
      </c>
      <c r="I250" t="s">
        <v>949</v>
      </c>
    </row>
    <row r="251" spans="1:9" x14ac:dyDescent="0.25">
      <c r="A251">
        <v>4230</v>
      </c>
      <c r="B251">
        <v>10</v>
      </c>
      <c r="C251" t="s">
        <v>946</v>
      </c>
      <c r="D251" t="s">
        <v>988</v>
      </c>
      <c r="E251" t="s">
        <v>255</v>
      </c>
      <c r="F251" t="s">
        <v>948</v>
      </c>
      <c r="G251">
        <v>1099999</v>
      </c>
      <c r="H251">
        <v>403075</v>
      </c>
      <c r="I251">
        <v>73</v>
      </c>
    </row>
    <row r="252" spans="1:9" x14ac:dyDescent="0.25">
      <c r="A252">
        <v>4240</v>
      </c>
      <c r="B252">
        <v>10</v>
      </c>
      <c r="C252" t="s">
        <v>946</v>
      </c>
      <c r="D252" t="s">
        <v>988</v>
      </c>
      <c r="E252" t="s">
        <v>255</v>
      </c>
      <c r="F252" t="s">
        <v>948</v>
      </c>
      <c r="G252">
        <v>1077777</v>
      </c>
      <c r="H252">
        <v>500221</v>
      </c>
      <c r="I252" t="s">
        <v>949</v>
      </c>
    </row>
    <row r="253" spans="1:9" x14ac:dyDescent="0.25">
      <c r="A253">
        <v>4141</v>
      </c>
      <c r="B253">
        <v>10</v>
      </c>
      <c r="C253" t="s">
        <v>946</v>
      </c>
      <c r="D253" t="s">
        <v>988</v>
      </c>
      <c r="E253" t="s">
        <v>971</v>
      </c>
      <c r="F253" t="s">
        <v>948</v>
      </c>
      <c r="G253">
        <v>1077777</v>
      </c>
      <c r="H253">
        <v>501010</v>
      </c>
      <c r="I253">
        <v>73</v>
      </c>
    </row>
    <row r="254" spans="1:9" x14ac:dyDescent="0.25">
      <c r="A254">
        <v>4220</v>
      </c>
      <c r="B254">
        <v>10</v>
      </c>
      <c r="C254" t="s">
        <v>946</v>
      </c>
      <c r="D254" t="s">
        <v>988</v>
      </c>
      <c r="E254" t="s">
        <v>971</v>
      </c>
      <c r="F254" t="s">
        <v>948</v>
      </c>
      <c r="G254">
        <v>1077777</v>
      </c>
      <c r="H254">
        <v>500220</v>
      </c>
      <c r="I254" t="s">
        <v>949</v>
      </c>
    </row>
    <row r="255" spans="1:9" x14ac:dyDescent="0.25">
      <c r="A255">
        <v>4230</v>
      </c>
      <c r="B255">
        <v>10</v>
      </c>
      <c r="C255" t="s">
        <v>946</v>
      </c>
      <c r="D255" t="s">
        <v>988</v>
      </c>
      <c r="E255" t="s">
        <v>971</v>
      </c>
      <c r="F255" t="s">
        <v>948</v>
      </c>
      <c r="G255">
        <v>1099999</v>
      </c>
      <c r="H255">
        <v>403915</v>
      </c>
      <c r="I255">
        <v>73</v>
      </c>
    </row>
    <row r="256" spans="1:9" x14ac:dyDescent="0.25">
      <c r="A256">
        <v>4240</v>
      </c>
      <c r="B256">
        <v>10</v>
      </c>
      <c r="C256" t="s">
        <v>946</v>
      </c>
      <c r="D256" t="s">
        <v>988</v>
      </c>
      <c r="E256" t="s">
        <v>971</v>
      </c>
      <c r="F256" t="s">
        <v>948</v>
      </c>
      <c r="G256">
        <v>1077777</v>
      </c>
      <c r="H256">
        <v>500221</v>
      </c>
      <c r="I256" t="s">
        <v>949</v>
      </c>
    </row>
    <row r="257" spans="1:9" x14ac:dyDescent="0.25">
      <c r="A257">
        <v>4230</v>
      </c>
      <c r="B257">
        <v>10</v>
      </c>
      <c r="C257" t="s">
        <v>946</v>
      </c>
      <c r="D257" t="s">
        <v>988</v>
      </c>
      <c r="E257" t="s">
        <v>259</v>
      </c>
      <c r="F257" t="s">
        <v>948</v>
      </c>
      <c r="G257">
        <v>1099999</v>
      </c>
      <c r="H257">
        <v>409005</v>
      </c>
      <c r="I257">
        <v>73</v>
      </c>
    </row>
    <row r="258" spans="1:9" x14ac:dyDescent="0.25">
      <c r="A258">
        <v>4141</v>
      </c>
      <c r="B258">
        <v>10</v>
      </c>
      <c r="C258" t="s">
        <v>946</v>
      </c>
      <c r="D258" t="s">
        <v>988</v>
      </c>
      <c r="E258" t="s">
        <v>263</v>
      </c>
      <c r="F258" t="s">
        <v>948</v>
      </c>
      <c r="G258">
        <v>1077777</v>
      </c>
      <c r="H258">
        <v>501010</v>
      </c>
      <c r="I258">
        <v>73</v>
      </c>
    </row>
    <row r="259" spans="1:9" x14ac:dyDescent="0.25">
      <c r="A259">
        <v>4220</v>
      </c>
      <c r="B259">
        <v>10</v>
      </c>
      <c r="C259" t="s">
        <v>946</v>
      </c>
      <c r="D259" t="s">
        <v>988</v>
      </c>
      <c r="E259" t="s">
        <v>263</v>
      </c>
      <c r="F259" t="s">
        <v>948</v>
      </c>
      <c r="G259">
        <v>1077777</v>
      </c>
      <c r="H259">
        <v>500220</v>
      </c>
      <c r="I259" t="s">
        <v>949</v>
      </c>
    </row>
    <row r="260" spans="1:9" x14ac:dyDescent="0.25">
      <c r="A260">
        <v>4230</v>
      </c>
      <c r="B260">
        <v>10</v>
      </c>
      <c r="C260" t="s">
        <v>946</v>
      </c>
      <c r="D260" t="s">
        <v>988</v>
      </c>
      <c r="E260" t="s">
        <v>263</v>
      </c>
      <c r="F260" t="s">
        <v>948</v>
      </c>
      <c r="G260">
        <v>1099999</v>
      </c>
      <c r="H260">
        <v>403045</v>
      </c>
      <c r="I260">
        <v>73</v>
      </c>
    </row>
    <row r="261" spans="1:9" x14ac:dyDescent="0.25">
      <c r="A261">
        <v>4240</v>
      </c>
      <c r="B261">
        <v>10</v>
      </c>
      <c r="C261" t="s">
        <v>946</v>
      </c>
      <c r="D261" t="s">
        <v>988</v>
      </c>
      <c r="E261" t="s">
        <v>263</v>
      </c>
      <c r="F261" t="s">
        <v>948</v>
      </c>
      <c r="G261">
        <v>1077777</v>
      </c>
      <c r="H261">
        <v>500221</v>
      </c>
      <c r="I261" t="s">
        <v>949</v>
      </c>
    </row>
    <row r="262" spans="1:9" x14ac:dyDescent="0.25">
      <c r="A262">
        <v>4141</v>
      </c>
      <c r="B262">
        <v>10</v>
      </c>
      <c r="C262" t="s">
        <v>946</v>
      </c>
      <c r="D262" t="s">
        <v>988</v>
      </c>
      <c r="E262" t="s">
        <v>100</v>
      </c>
      <c r="F262" t="s">
        <v>948</v>
      </c>
      <c r="G262">
        <v>1077777</v>
      </c>
      <c r="H262">
        <v>500220</v>
      </c>
      <c r="I262" t="s">
        <v>949</v>
      </c>
    </row>
    <row r="263" spans="1:9" x14ac:dyDescent="0.25">
      <c r="A263">
        <v>4220</v>
      </c>
      <c r="B263">
        <v>10</v>
      </c>
      <c r="C263" t="s">
        <v>946</v>
      </c>
      <c r="D263" t="s">
        <v>988</v>
      </c>
      <c r="E263" t="s">
        <v>100</v>
      </c>
      <c r="F263" t="s">
        <v>948</v>
      </c>
      <c r="G263">
        <v>1077777</v>
      </c>
      <c r="H263">
        <v>500220</v>
      </c>
      <c r="I263" t="s">
        <v>949</v>
      </c>
    </row>
    <row r="264" spans="1:9" x14ac:dyDescent="0.25">
      <c r="A264">
        <v>4230</v>
      </c>
      <c r="B264">
        <v>10</v>
      </c>
      <c r="C264" t="s">
        <v>946</v>
      </c>
      <c r="D264" t="s">
        <v>988</v>
      </c>
      <c r="E264" t="s">
        <v>100</v>
      </c>
      <c r="F264" t="s">
        <v>948</v>
      </c>
      <c r="G264">
        <v>1099999</v>
      </c>
      <c r="H264">
        <v>403045</v>
      </c>
      <c r="I264">
        <v>73</v>
      </c>
    </row>
    <row r="265" spans="1:9" x14ac:dyDescent="0.25">
      <c r="A265">
        <v>4240</v>
      </c>
      <c r="B265">
        <v>10</v>
      </c>
      <c r="C265" t="s">
        <v>946</v>
      </c>
      <c r="D265" t="s">
        <v>988</v>
      </c>
      <c r="E265" t="s">
        <v>100</v>
      </c>
      <c r="F265" t="s">
        <v>948</v>
      </c>
      <c r="G265">
        <v>1077777</v>
      </c>
      <c r="H265">
        <v>500221</v>
      </c>
      <c r="I265" t="s">
        <v>949</v>
      </c>
    </row>
    <row r="266" spans="1:9" x14ac:dyDescent="0.25">
      <c r="A266">
        <v>4230</v>
      </c>
      <c r="B266">
        <v>10</v>
      </c>
      <c r="C266" t="s">
        <v>946</v>
      </c>
      <c r="D266" t="s">
        <v>988</v>
      </c>
      <c r="E266" t="s">
        <v>987</v>
      </c>
      <c r="F266" t="s">
        <v>948</v>
      </c>
      <c r="G266">
        <v>1002305</v>
      </c>
      <c r="H266">
        <v>740150</v>
      </c>
      <c r="I266">
        <v>73</v>
      </c>
    </row>
    <row r="267" spans="1:9" x14ac:dyDescent="0.25">
      <c r="A267">
        <v>4141</v>
      </c>
      <c r="B267">
        <v>10</v>
      </c>
      <c r="C267" t="s">
        <v>946</v>
      </c>
      <c r="D267" t="s">
        <v>988</v>
      </c>
      <c r="E267" t="s">
        <v>270</v>
      </c>
      <c r="F267" t="s">
        <v>948</v>
      </c>
      <c r="G267">
        <v>1077777</v>
      </c>
      <c r="H267">
        <v>501010</v>
      </c>
      <c r="I267">
        <v>73</v>
      </c>
    </row>
    <row r="268" spans="1:9" x14ac:dyDescent="0.25">
      <c r="A268">
        <v>4220</v>
      </c>
      <c r="B268">
        <v>10</v>
      </c>
      <c r="C268" t="s">
        <v>946</v>
      </c>
      <c r="D268" t="s">
        <v>988</v>
      </c>
      <c r="E268" t="s">
        <v>270</v>
      </c>
      <c r="F268" t="s">
        <v>948</v>
      </c>
      <c r="G268">
        <v>1077777</v>
      </c>
      <c r="H268">
        <v>500220</v>
      </c>
      <c r="I268" t="s">
        <v>949</v>
      </c>
    </row>
    <row r="269" spans="1:9" x14ac:dyDescent="0.25">
      <c r="A269">
        <v>4230</v>
      </c>
      <c r="B269">
        <v>10</v>
      </c>
      <c r="C269" t="s">
        <v>946</v>
      </c>
      <c r="D269" t="s">
        <v>988</v>
      </c>
      <c r="E269" t="s">
        <v>270</v>
      </c>
      <c r="F269" t="s">
        <v>948</v>
      </c>
      <c r="G269">
        <v>1099999</v>
      </c>
      <c r="H269">
        <v>403065</v>
      </c>
      <c r="I269">
        <v>73</v>
      </c>
    </row>
    <row r="270" spans="1:9" x14ac:dyDescent="0.25">
      <c r="A270">
        <v>4240</v>
      </c>
      <c r="B270">
        <v>10</v>
      </c>
      <c r="C270" t="s">
        <v>946</v>
      </c>
      <c r="D270" t="s">
        <v>988</v>
      </c>
      <c r="E270" t="s">
        <v>270</v>
      </c>
      <c r="F270" t="s">
        <v>948</v>
      </c>
      <c r="G270">
        <v>1077777</v>
      </c>
      <c r="H270">
        <v>500221</v>
      </c>
      <c r="I270" t="s">
        <v>949</v>
      </c>
    </row>
    <row r="271" spans="1:9" x14ac:dyDescent="0.25">
      <c r="A271">
        <v>4141</v>
      </c>
      <c r="B271">
        <v>10</v>
      </c>
      <c r="C271" t="s">
        <v>946</v>
      </c>
      <c r="D271" t="s">
        <v>988</v>
      </c>
      <c r="E271" t="s">
        <v>274</v>
      </c>
      <c r="F271" t="s">
        <v>948</v>
      </c>
      <c r="G271">
        <v>1077777</v>
      </c>
      <c r="H271">
        <v>501010</v>
      </c>
      <c r="I271">
        <v>73</v>
      </c>
    </row>
    <row r="272" spans="1:9" x14ac:dyDescent="0.25">
      <c r="A272">
        <v>4220</v>
      </c>
      <c r="B272">
        <v>10</v>
      </c>
      <c r="C272" t="s">
        <v>946</v>
      </c>
      <c r="D272" t="s">
        <v>988</v>
      </c>
      <c r="E272" t="s">
        <v>274</v>
      </c>
      <c r="F272" t="s">
        <v>948</v>
      </c>
      <c r="G272">
        <v>1077777</v>
      </c>
      <c r="H272">
        <v>500220</v>
      </c>
      <c r="I272" t="s">
        <v>949</v>
      </c>
    </row>
    <row r="273" spans="1:9" x14ac:dyDescent="0.25">
      <c r="A273">
        <v>4230</v>
      </c>
      <c r="B273">
        <v>10</v>
      </c>
      <c r="C273" t="s">
        <v>946</v>
      </c>
      <c r="D273" t="s">
        <v>988</v>
      </c>
      <c r="E273" t="s">
        <v>274</v>
      </c>
      <c r="F273" t="s">
        <v>948</v>
      </c>
      <c r="G273">
        <v>1099999</v>
      </c>
      <c r="H273">
        <v>403045</v>
      </c>
      <c r="I273">
        <v>73</v>
      </c>
    </row>
    <row r="274" spans="1:9" x14ac:dyDescent="0.25">
      <c r="A274">
        <v>4240</v>
      </c>
      <c r="B274">
        <v>10</v>
      </c>
      <c r="C274" t="s">
        <v>946</v>
      </c>
      <c r="D274" t="s">
        <v>988</v>
      </c>
      <c r="E274" t="s">
        <v>274</v>
      </c>
      <c r="F274" t="s">
        <v>948</v>
      </c>
      <c r="G274">
        <v>1077777</v>
      </c>
      <c r="H274">
        <v>500221</v>
      </c>
      <c r="I274" t="s">
        <v>949</v>
      </c>
    </row>
    <row r="275" spans="1:9" x14ac:dyDescent="0.25">
      <c r="A275">
        <v>4141</v>
      </c>
      <c r="B275">
        <v>10</v>
      </c>
      <c r="C275" t="s">
        <v>946</v>
      </c>
      <c r="D275" t="s">
        <v>988</v>
      </c>
      <c r="E275" t="s">
        <v>974</v>
      </c>
      <c r="F275" t="s">
        <v>948</v>
      </c>
      <c r="G275">
        <v>1077777</v>
      </c>
      <c r="H275">
        <v>501010</v>
      </c>
      <c r="I275">
        <v>73</v>
      </c>
    </row>
    <row r="276" spans="1:9" x14ac:dyDescent="0.25">
      <c r="A276">
        <v>4220</v>
      </c>
      <c r="B276">
        <v>10</v>
      </c>
      <c r="C276" t="s">
        <v>946</v>
      </c>
      <c r="D276" t="s">
        <v>988</v>
      </c>
      <c r="E276" t="s">
        <v>974</v>
      </c>
      <c r="F276" t="s">
        <v>948</v>
      </c>
      <c r="G276">
        <v>1077777</v>
      </c>
      <c r="H276">
        <v>500220</v>
      </c>
      <c r="I276" t="s">
        <v>949</v>
      </c>
    </row>
    <row r="277" spans="1:9" x14ac:dyDescent="0.25">
      <c r="A277">
        <v>4230</v>
      </c>
      <c r="B277">
        <v>10</v>
      </c>
      <c r="C277" t="s">
        <v>946</v>
      </c>
      <c r="D277" t="s">
        <v>988</v>
      </c>
      <c r="E277" t="s">
        <v>974</v>
      </c>
      <c r="F277" t="s">
        <v>948</v>
      </c>
      <c r="G277">
        <v>1099999</v>
      </c>
      <c r="H277">
        <v>403915</v>
      </c>
      <c r="I277">
        <v>73</v>
      </c>
    </row>
    <row r="278" spans="1:9" x14ac:dyDescent="0.25">
      <c r="A278">
        <v>4240</v>
      </c>
      <c r="B278">
        <v>10</v>
      </c>
      <c r="C278" t="s">
        <v>946</v>
      </c>
      <c r="D278" t="s">
        <v>988</v>
      </c>
      <c r="E278" t="s">
        <v>974</v>
      </c>
      <c r="F278" t="s">
        <v>948</v>
      </c>
      <c r="G278">
        <v>1077777</v>
      </c>
      <c r="H278">
        <v>500221</v>
      </c>
      <c r="I278" t="s">
        <v>949</v>
      </c>
    </row>
    <row r="279" spans="1:9" x14ac:dyDescent="0.25">
      <c r="A279">
        <v>4141</v>
      </c>
      <c r="B279">
        <v>10</v>
      </c>
      <c r="C279" t="s">
        <v>946</v>
      </c>
      <c r="D279" t="s">
        <v>988</v>
      </c>
      <c r="E279" t="s">
        <v>104</v>
      </c>
      <c r="F279" t="s">
        <v>948</v>
      </c>
      <c r="G279">
        <v>1077777</v>
      </c>
      <c r="H279">
        <v>500220</v>
      </c>
      <c r="I279" t="s">
        <v>949</v>
      </c>
    </row>
    <row r="280" spans="1:9" x14ac:dyDescent="0.25">
      <c r="A280">
        <v>4220</v>
      </c>
      <c r="B280">
        <v>10</v>
      </c>
      <c r="C280" t="s">
        <v>946</v>
      </c>
      <c r="D280" t="s">
        <v>988</v>
      </c>
      <c r="E280" t="s">
        <v>104</v>
      </c>
      <c r="F280" t="s">
        <v>948</v>
      </c>
      <c r="G280">
        <v>1077777</v>
      </c>
      <c r="H280">
        <v>500220</v>
      </c>
      <c r="I280" t="s">
        <v>949</v>
      </c>
    </row>
    <row r="281" spans="1:9" x14ac:dyDescent="0.25">
      <c r="A281">
        <v>4230</v>
      </c>
      <c r="B281">
        <v>10</v>
      </c>
      <c r="C281" t="s">
        <v>946</v>
      </c>
      <c r="D281" t="s">
        <v>988</v>
      </c>
      <c r="E281" t="s">
        <v>104</v>
      </c>
      <c r="F281" t="s">
        <v>948</v>
      </c>
      <c r="G281">
        <v>1099999</v>
      </c>
      <c r="H281">
        <v>403045</v>
      </c>
      <c r="I281">
        <v>73</v>
      </c>
    </row>
    <row r="282" spans="1:9" x14ac:dyDescent="0.25">
      <c r="A282">
        <v>4240</v>
      </c>
      <c r="B282">
        <v>10</v>
      </c>
      <c r="C282" t="s">
        <v>946</v>
      </c>
      <c r="D282" t="s">
        <v>988</v>
      </c>
      <c r="E282" t="s">
        <v>104</v>
      </c>
      <c r="F282" t="s">
        <v>948</v>
      </c>
      <c r="G282">
        <v>1077777</v>
      </c>
      <c r="H282">
        <v>500221</v>
      </c>
      <c r="I282" t="s">
        <v>949</v>
      </c>
    </row>
    <row r="283" spans="1:9" x14ac:dyDescent="0.25">
      <c r="A283">
        <v>4141</v>
      </c>
      <c r="B283">
        <v>10</v>
      </c>
      <c r="C283" t="s">
        <v>946</v>
      </c>
      <c r="D283" t="s">
        <v>988</v>
      </c>
      <c r="E283" t="s">
        <v>278</v>
      </c>
      <c r="F283" t="s">
        <v>948</v>
      </c>
      <c r="G283">
        <v>1077777</v>
      </c>
      <c r="H283">
        <v>501010</v>
      </c>
      <c r="I283">
        <v>73</v>
      </c>
    </row>
    <row r="284" spans="1:9" x14ac:dyDescent="0.25">
      <c r="A284">
        <v>4220</v>
      </c>
      <c r="B284">
        <v>10</v>
      </c>
      <c r="C284" t="s">
        <v>946</v>
      </c>
      <c r="D284" t="s">
        <v>988</v>
      </c>
      <c r="E284" t="s">
        <v>278</v>
      </c>
      <c r="F284" t="s">
        <v>948</v>
      </c>
      <c r="G284">
        <v>1077777</v>
      </c>
      <c r="H284">
        <v>500220</v>
      </c>
      <c r="I284" t="s">
        <v>949</v>
      </c>
    </row>
    <row r="285" spans="1:9" x14ac:dyDescent="0.25">
      <c r="A285">
        <v>4230</v>
      </c>
      <c r="B285">
        <v>10</v>
      </c>
      <c r="C285" t="s">
        <v>946</v>
      </c>
      <c r="D285" t="s">
        <v>988</v>
      </c>
      <c r="E285" t="s">
        <v>278</v>
      </c>
      <c r="F285" t="s">
        <v>948</v>
      </c>
      <c r="G285">
        <v>1099999</v>
      </c>
      <c r="H285">
        <v>403055</v>
      </c>
      <c r="I285">
        <v>73</v>
      </c>
    </row>
    <row r="286" spans="1:9" x14ac:dyDescent="0.25">
      <c r="A286">
        <v>4240</v>
      </c>
      <c r="B286">
        <v>10</v>
      </c>
      <c r="C286" t="s">
        <v>946</v>
      </c>
      <c r="D286" t="s">
        <v>988</v>
      </c>
      <c r="E286" t="s">
        <v>278</v>
      </c>
      <c r="F286" t="s">
        <v>948</v>
      </c>
      <c r="G286">
        <v>1077777</v>
      </c>
      <c r="H286">
        <v>500221</v>
      </c>
      <c r="I286" t="s">
        <v>949</v>
      </c>
    </row>
    <row r="287" spans="1:9" x14ac:dyDescent="0.25">
      <c r="A287">
        <v>4141</v>
      </c>
      <c r="B287">
        <v>10</v>
      </c>
      <c r="C287" t="s">
        <v>946</v>
      </c>
      <c r="D287" t="s">
        <v>988</v>
      </c>
      <c r="E287" t="s">
        <v>282</v>
      </c>
      <c r="F287" t="s">
        <v>948</v>
      </c>
      <c r="G287">
        <v>1077777</v>
      </c>
      <c r="H287">
        <v>501010</v>
      </c>
      <c r="I287">
        <v>73</v>
      </c>
    </row>
    <row r="288" spans="1:9" x14ac:dyDescent="0.25">
      <c r="A288">
        <v>4220</v>
      </c>
      <c r="B288">
        <v>10</v>
      </c>
      <c r="C288" t="s">
        <v>946</v>
      </c>
      <c r="D288" t="s">
        <v>988</v>
      </c>
      <c r="E288" t="s">
        <v>282</v>
      </c>
      <c r="F288" t="s">
        <v>948</v>
      </c>
      <c r="G288">
        <v>1077777</v>
      </c>
      <c r="H288">
        <v>500220</v>
      </c>
      <c r="I288" t="s">
        <v>949</v>
      </c>
    </row>
    <row r="289" spans="1:9" x14ac:dyDescent="0.25">
      <c r="A289">
        <v>4230</v>
      </c>
      <c r="B289">
        <v>10</v>
      </c>
      <c r="C289" t="s">
        <v>946</v>
      </c>
      <c r="D289" t="s">
        <v>988</v>
      </c>
      <c r="E289" t="s">
        <v>282</v>
      </c>
      <c r="F289" t="s">
        <v>948</v>
      </c>
      <c r="G289">
        <v>1099999</v>
      </c>
      <c r="H289">
        <v>403045</v>
      </c>
      <c r="I289">
        <v>73</v>
      </c>
    </row>
    <row r="290" spans="1:9" x14ac:dyDescent="0.25">
      <c r="A290">
        <v>4240</v>
      </c>
      <c r="B290">
        <v>10</v>
      </c>
      <c r="C290" t="s">
        <v>946</v>
      </c>
      <c r="D290" t="s">
        <v>988</v>
      </c>
      <c r="E290" t="s">
        <v>282</v>
      </c>
      <c r="F290" t="s">
        <v>948</v>
      </c>
      <c r="G290">
        <v>1077777</v>
      </c>
      <c r="H290">
        <v>500221</v>
      </c>
      <c r="I290" t="s">
        <v>949</v>
      </c>
    </row>
    <row r="291" spans="1:9" x14ac:dyDescent="0.25">
      <c r="A291">
        <v>4141</v>
      </c>
      <c r="B291">
        <v>10</v>
      </c>
      <c r="C291" t="s">
        <v>946</v>
      </c>
      <c r="D291" t="s">
        <v>988</v>
      </c>
      <c r="E291" t="s">
        <v>286</v>
      </c>
      <c r="F291" t="s">
        <v>948</v>
      </c>
      <c r="G291">
        <v>1077777</v>
      </c>
      <c r="H291">
        <v>501010</v>
      </c>
      <c r="I291">
        <v>73</v>
      </c>
    </row>
    <row r="292" spans="1:9" x14ac:dyDescent="0.25">
      <c r="A292">
        <v>4220</v>
      </c>
      <c r="B292">
        <v>10</v>
      </c>
      <c r="C292" t="s">
        <v>946</v>
      </c>
      <c r="D292" t="s">
        <v>988</v>
      </c>
      <c r="E292" t="s">
        <v>286</v>
      </c>
      <c r="F292" t="s">
        <v>948</v>
      </c>
      <c r="G292">
        <v>1077777</v>
      </c>
      <c r="H292">
        <v>500220</v>
      </c>
      <c r="I292" t="s">
        <v>949</v>
      </c>
    </row>
    <row r="293" spans="1:9" x14ac:dyDescent="0.25">
      <c r="A293">
        <v>4230</v>
      </c>
      <c r="B293">
        <v>10</v>
      </c>
      <c r="C293" t="s">
        <v>946</v>
      </c>
      <c r="D293" t="s">
        <v>988</v>
      </c>
      <c r="E293" t="s">
        <v>286</v>
      </c>
      <c r="F293" t="s">
        <v>948</v>
      </c>
      <c r="G293">
        <v>1099999</v>
      </c>
      <c r="H293">
        <v>403035</v>
      </c>
      <c r="I293">
        <v>73</v>
      </c>
    </row>
    <row r="294" spans="1:9" x14ac:dyDescent="0.25">
      <c r="A294">
        <v>4240</v>
      </c>
      <c r="B294">
        <v>10</v>
      </c>
      <c r="C294" t="s">
        <v>946</v>
      </c>
      <c r="D294" t="s">
        <v>988</v>
      </c>
      <c r="E294" t="s">
        <v>286</v>
      </c>
      <c r="F294" t="s">
        <v>948</v>
      </c>
      <c r="G294">
        <v>1077777</v>
      </c>
      <c r="H294">
        <v>500221</v>
      </c>
      <c r="I294" t="s">
        <v>949</v>
      </c>
    </row>
    <row r="295" spans="1:9" x14ac:dyDescent="0.25">
      <c r="A295">
        <v>4141</v>
      </c>
      <c r="B295">
        <v>10</v>
      </c>
      <c r="C295" t="s">
        <v>946</v>
      </c>
      <c r="D295" t="s">
        <v>988</v>
      </c>
      <c r="E295" t="s">
        <v>976</v>
      </c>
      <c r="F295" t="s">
        <v>948</v>
      </c>
      <c r="G295">
        <v>1077777</v>
      </c>
      <c r="H295">
        <v>501010</v>
      </c>
      <c r="I295">
        <v>73</v>
      </c>
    </row>
    <row r="296" spans="1:9" x14ac:dyDescent="0.25">
      <c r="A296">
        <v>4220</v>
      </c>
      <c r="B296">
        <v>10</v>
      </c>
      <c r="C296" t="s">
        <v>946</v>
      </c>
      <c r="D296" t="s">
        <v>988</v>
      </c>
      <c r="E296" t="s">
        <v>976</v>
      </c>
      <c r="F296" t="s">
        <v>948</v>
      </c>
      <c r="G296">
        <v>1077777</v>
      </c>
      <c r="H296">
        <v>500220</v>
      </c>
      <c r="I296" t="s">
        <v>949</v>
      </c>
    </row>
    <row r="297" spans="1:9" x14ac:dyDescent="0.25">
      <c r="A297">
        <v>4230</v>
      </c>
      <c r="B297">
        <v>10</v>
      </c>
      <c r="C297" t="s">
        <v>946</v>
      </c>
      <c r="D297" t="s">
        <v>988</v>
      </c>
      <c r="E297" t="s">
        <v>976</v>
      </c>
      <c r="F297" t="s">
        <v>948</v>
      </c>
      <c r="G297">
        <v>1099999</v>
      </c>
      <c r="H297">
        <v>403915</v>
      </c>
      <c r="I297">
        <v>73</v>
      </c>
    </row>
    <row r="298" spans="1:9" x14ac:dyDescent="0.25">
      <c r="A298">
        <v>4240</v>
      </c>
      <c r="B298">
        <v>10</v>
      </c>
      <c r="C298" t="s">
        <v>946</v>
      </c>
      <c r="D298" t="s">
        <v>988</v>
      </c>
      <c r="E298" t="s">
        <v>976</v>
      </c>
      <c r="F298" t="s">
        <v>948</v>
      </c>
      <c r="G298">
        <v>1077777</v>
      </c>
      <c r="H298">
        <v>500221</v>
      </c>
      <c r="I298" t="s">
        <v>949</v>
      </c>
    </row>
    <row r="299" spans="1:9" x14ac:dyDescent="0.25">
      <c r="A299">
        <v>4141</v>
      </c>
      <c r="B299">
        <v>10</v>
      </c>
      <c r="C299" t="s">
        <v>946</v>
      </c>
      <c r="D299" t="s">
        <v>988</v>
      </c>
      <c r="E299" t="s">
        <v>290</v>
      </c>
      <c r="F299" t="s">
        <v>948</v>
      </c>
      <c r="G299">
        <v>1077777</v>
      </c>
      <c r="H299">
        <v>501010</v>
      </c>
      <c r="I299">
        <v>73</v>
      </c>
    </row>
    <row r="300" spans="1:9" x14ac:dyDescent="0.25">
      <c r="A300">
        <v>4220</v>
      </c>
      <c r="B300">
        <v>10</v>
      </c>
      <c r="C300" t="s">
        <v>946</v>
      </c>
      <c r="D300" t="s">
        <v>988</v>
      </c>
      <c r="E300" t="s">
        <v>290</v>
      </c>
      <c r="F300" t="s">
        <v>948</v>
      </c>
      <c r="G300">
        <v>1077777</v>
      </c>
      <c r="H300">
        <v>500220</v>
      </c>
      <c r="I300" t="s">
        <v>949</v>
      </c>
    </row>
    <row r="301" spans="1:9" x14ac:dyDescent="0.25">
      <c r="A301">
        <v>4230</v>
      </c>
      <c r="B301">
        <v>10</v>
      </c>
      <c r="C301" t="s">
        <v>946</v>
      </c>
      <c r="D301" t="s">
        <v>988</v>
      </c>
      <c r="E301" t="s">
        <v>290</v>
      </c>
      <c r="F301" t="s">
        <v>948</v>
      </c>
      <c r="G301">
        <v>1099999</v>
      </c>
      <c r="H301">
        <v>403045</v>
      </c>
      <c r="I301">
        <v>73</v>
      </c>
    </row>
    <row r="302" spans="1:9" x14ac:dyDescent="0.25">
      <c r="A302">
        <v>4240</v>
      </c>
      <c r="B302">
        <v>10</v>
      </c>
      <c r="C302" t="s">
        <v>946</v>
      </c>
      <c r="D302" t="s">
        <v>988</v>
      </c>
      <c r="E302" t="s">
        <v>290</v>
      </c>
      <c r="F302" t="s">
        <v>948</v>
      </c>
      <c r="G302">
        <v>1077777</v>
      </c>
      <c r="H302">
        <v>500221</v>
      </c>
      <c r="I302" t="s">
        <v>949</v>
      </c>
    </row>
    <row r="303" spans="1:9" x14ac:dyDescent="0.25">
      <c r="A303">
        <v>4141</v>
      </c>
      <c r="B303">
        <v>10</v>
      </c>
      <c r="C303" t="s">
        <v>946</v>
      </c>
      <c r="D303" t="s">
        <v>988</v>
      </c>
      <c r="E303" t="s">
        <v>294</v>
      </c>
      <c r="F303" t="s">
        <v>948</v>
      </c>
      <c r="G303">
        <v>1077777</v>
      </c>
      <c r="H303">
        <v>501010</v>
      </c>
      <c r="I303">
        <v>73</v>
      </c>
    </row>
    <row r="304" spans="1:9" x14ac:dyDescent="0.25">
      <c r="A304">
        <v>4220</v>
      </c>
      <c r="B304">
        <v>10</v>
      </c>
      <c r="C304" t="s">
        <v>946</v>
      </c>
      <c r="D304" t="s">
        <v>988</v>
      </c>
      <c r="E304" t="s">
        <v>294</v>
      </c>
      <c r="F304" t="s">
        <v>948</v>
      </c>
      <c r="G304">
        <v>1077777</v>
      </c>
      <c r="H304">
        <v>500220</v>
      </c>
      <c r="I304" t="s">
        <v>949</v>
      </c>
    </row>
    <row r="305" spans="1:9" x14ac:dyDescent="0.25">
      <c r="A305">
        <v>4230</v>
      </c>
      <c r="B305">
        <v>10</v>
      </c>
      <c r="C305" t="s">
        <v>946</v>
      </c>
      <c r="D305" t="s">
        <v>988</v>
      </c>
      <c r="E305" t="s">
        <v>294</v>
      </c>
      <c r="F305" t="s">
        <v>948</v>
      </c>
      <c r="G305">
        <v>1099999</v>
      </c>
      <c r="H305">
        <v>403045</v>
      </c>
      <c r="I305">
        <v>73</v>
      </c>
    </row>
    <row r="306" spans="1:9" x14ac:dyDescent="0.25">
      <c r="A306">
        <v>4240</v>
      </c>
      <c r="B306">
        <v>10</v>
      </c>
      <c r="C306" t="s">
        <v>946</v>
      </c>
      <c r="D306" t="s">
        <v>988</v>
      </c>
      <c r="E306" t="s">
        <v>294</v>
      </c>
      <c r="F306" t="s">
        <v>948</v>
      </c>
      <c r="G306">
        <v>1077777</v>
      </c>
      <c r="H306">
        <v>500221</v>
      </c>
      <c r="I306" t="s">
        <v>949</v>
      </c>
    </row>
    <row r="307" spans="1:9" x14ac:dyDescent="0.25">
      <c r="A307">
        <v>4230</v>
      </c>
      <c r="B307">
        <v>10</v>
      </c>
      <c r="C307" t="s">
        <v>946</v>
      </c>
      <c r="D307" t="s">
        <v>988</v>
      </c>
      <c r="E307" t="s">
        <v>298</v>
      </c>
      <c r="F307" t="s">
        <v>948</v>
      </c>
      <c r="G307">
        <v>1099999</v>
      </c>
      <c r="H307">
        <v>403085</v>
      </c>
      <c r="I307">
        <v>73</v>
      </c>
    </row>
    <row r="308" spans="1:9" x14ac:dyDescent="0.25">
      <c r="A308">
        <v>4141</v>
      </c>
      <c r="B308">
        <v>10</v>
      </c>
      <c r="C308" t="s">
        <v>946</v>
      </c>
      <c r="D308" t="s">
        <v>988</v>
      </c>
      <c r="E308" t="s">
        <v>980</v>
      </c>
      <c r="F308" t="s">
        <v>948</v>
      </c>
      <c r="G308">
        <v>1077777</v>
      </c>
      <c r="H308">
        <v>501010</v>
      </c>
      <c r="I308">
        <v>73</v>
      </c>
    </row>
    <row r="309" spans="1:9" x14ac:dyDescent="0.25">
      <c r="A309">
        <v>4220</v>
      </c>
      <c r="B309">
        <v>10</v>
      </c>
      <c r="C309" t="s">
        <v>946</v>
      </c>
      <c r="D309" t="s">
        <v>988</v>
      </c>
      <c r="E309" t="s">
        <v>980</v>
      </c>
      <c r="F309" t="s">
        <v>948</v>
      </c>
      <c r="G309">
        <v>1077777</v>
      </c>
      <c r="H309">
        <v>500220</v>
      </c>
      <c r="I309" t="s">
        <v>949</v>
      </c>
    </row>
    <row r="310" spans="1:9" x14ac:dyDescent="0.25">
      <c r="A310">
        <v>4230</v>
      </c>
      <c r="B310">
        <v>10</v>
      </c>
      <c r="C310" t="s">
        <v>946</v>
      </c>
      <c r="D310" t="s">
        <v>988</v>
      </c>
      <c r="E310" t="s">
        <v>980</v>
      </c>
      <c r="F310" t="s">
        <v>948</v>
      </c>
      <c r="G310">
        <v>1099999</v>
      </c>
      <c r="H310">
        <v>403915</v>
      </c>
      <c r="I310">
        <v>73</v>
      </c>
    </row>
    <row r="311" spans="1:9" x14ac:dyDescent="0.25">
      <c r="A311">
        <v>4240</v>
      </c>
      <c r="B311">
        <v>10</v>
      </c>
      <c r="C311" t="s">
        <v>946</v>
      </c>
      <c r="D311" t="s">
        <v>988</v>
      </c>
      <c r="E311" t="s">
        <v>980</v>
      </c>
      <c r="F311" t="s">
        <v>948</v>
      </c>
      <c r="G311">
        <v>1077777</v>
      </c>
      <c r="H311">
        <v>500221</v>
      </c>
      <c r="I311" t="s">
        <v>949</v>
      </c>
    </row>
    <row r="312" spans="1:9" x14ac:dyDescent="0.25">
      <c r="A312">
        <v>4141</v>
      </c>
      <c r="B312">
        <v>10</v>
      </c>
      <c r="C312" t="s">
        <v>946</v>
      </c>
      <c r="D312" t="s">
        <v>988</v>
      </c>
      <c r="E312" t="s">
        <v>302</v>
      </c>
      <c r="F312" t="s">
        <v>948</v>
      </c>
      <c r="G312">
        <v>1077777</v>
      </c>
      <c r="H312">
        <v>501010</v>
      </c>
      <c r="I312">
        <v>73</v>
      </c>
    </row>
    <row r="313" spans="1:9" x14ac:dyDescent="0.25">
      <c r="A313">
        <v>4220</v>
      </c>
      <c r="B313">
        <v>10</v>
      </c>
      <c r="C313" t="s">
        <v>946</v>
      </c>
      <c r="D313" t="s">
        <v>988</v>
      </c>
      <c r="E313" t="s">
        <v>302</v>
      </c>
      <c r="F313" t="s">
        <v>948</v>
      </c>
      <c r="G313">
        <v>1077777</v>
      </c>
      <c r="H313">
        <v>500220</v>
      </c>
      <c r="I313" t="s">
        <v>949</v>
      </c>
    </row>
    <row r="314" spans="1:9" x14ac:dyDescent="0.25">
      <c r="A314">
        <v>4230</v>
      </c>
      <c r="B314">
        <v>10</v>
      </c>
      <c r="C314" t="s">
        <v>946</v>
      </c>
      <c r="D314" t="s">
        <v>988</v>
      </c>
      <c r="E314" t="s">
        <v>302</v>
      </c>
      <c r="F314" t="s">
        <v>948</v>
      </c>
      <c r="G314">
        <v>1099999</v>
      </c>
      <c r="H314">
        <v>401905</v>
      </c>
      <c r="I314">
        <v>73</v>
      </c>
    </row>
    <row r="315" spans="1:9" x14ac:dyDescent="0.25">
      <c r="A315">
        <v>4240</v>
      </c>
      <c r="B315">
        <v>10</v>
      </c>
      <c r="C315" t="s">
        <v>946</v>
      </c>
      <c r="D315" t="s">
        <v>988</v>
      </c>
      <c r="E315" t="s">
        <v>302</v>
      </c>
      <c r="F315" t="s">
        <v>948</v>
      </c>
      <c r="G315">
        <v>1077777</v>
      </c>
      <c r="H315">
        <v>500221</v>
      </c>
      <c r="I315" t="s">
        <v>949</v>
      </c>
    </row>
    <row r="316" spans="1:9" x14ac:dyDescent="0.25">
      <c r="A316">
        <v>4141</v>
      </c>
      <c r="B316">
        <v>10</v>
      </c>
      <c r="C316" t="s">
        <v>946</v>
      </c>
      <c r="D316" t="s">
        <v>988</v>
      </c>
      <c r="E316" t="s">
        <v>306</v>
      </c>
      <c r="F316" t="s">
        <v>948</v>
      </c>
      <c r="G316">
        <v>1077777</v>
      </c>
      <c r="H316">
        <v>501010</v>
      </c>
      <c r="I316">
        <v>73</v>
      </c>
    </row>
    <row r="317" spans="1:9" x14ac:dyDescent="0.25">
      <c r="A317">
        <v>4220</v>
      </c>
      <c r="B317">
        <v>10</v>
      </c>
      <c r="C317" t="s">
        <v>946</v>
      </c>
      <c r="D317" t="s">
        <v>988</v>
      </c>
      <c r="E317" t="s">
        <v>306</v>
      </c>
      <c r="F317" t="s">
        <v>948</v>
      </c>
      <c r="G317">
        <v>1077777</v>
      </c>
      <c r="H317">
        <v>500220</v>
      </c>
      <c r="I317" t="s">
        <v>949</v>
      </c>
    </row>
    <row r="318" spans="1:9" x14ac:dyDescent="0.25">
      <c r="A318">
        <v>4230</v>
      </c>
      <c r="B318">
        <v>10</v>
      </c>
      <c r="C318" t="s">
        <v>946</v>
      </c>
      <c r="D318" t="s">
        <v>988</v>
      </c>
      <c r="E318" t="s">
        <v>306</v>
      </c>
      <c r="F318" t="s">
        <v>948</v>
      </c>
      <c r="G318">
        <v>1099999</v>
      </c>
      <c r="H318">
        <v>403045</v>
      </c>
      <c r="I318">
        <v>73</v>
      </c>
    </row>
    <row r="319" spans="1:9" x14ac:dyDescent="0.25">
      <c r="A319">
        <v>4240</v>
      </c>
      <c r="B319">
        <v>10</v>
      </c>
      <c r="C319" t="s">
        <v>946</v>
      </c>
      <c r="D319" t="s">
        <v>988</v>
      </c>
      <c r="E319" t="s">
        <v>306</v>
      </c>
      <c r="F319" t="s">
        <v>948</v>
      </c>
      <c r="G319">
        <v>1077777</v>
      </c>
      <c r="H319">
        <v>500221</v>
      </c>
      <c r="I319" t="s">
        <v>949</v>
      </c>
    </row>
    <row r="320" spans="1:9" x14ac:dyDescent="0.25">
      <c r="A320">
        <v>4141</v>
      </c>
      <c r="B320">
        <v>10</v>
      </c>
      <c r="C320" t="s">
        <v>946</v>
      </c>
      <c r="D320" t="s">
        <v>988</v>
      </c>
      <c r="E320" t="s">
        <v>108</v>
      </c>
      <c r="F320" t="s">
        <v>948</v>
      </c>
      <c r="G320">
        <v>1077777</v>
      </c>
      <c r="H320">
        <v>500220</v>
      </c>
      <c r="I320" t="s">
        <v>949</v>
      </c>
    </row>
    <row r="321" spans="1:9" x14ac:dyDescent="0.25">
      <c r="A321">
        <v>4220</v>
      </c>
      <c r="B321">
        <v>10</v>
      </c>
      <c r="C321" t="s">
        <v>946</v>
      </c>
      <c r="D321" t="s">
        <v>988</v>
      </c>
      <c r="E321" t="s">
        <v>108</v>
      </c>
      <c r="F321" t="s">
        <v>948</v>
      </c>
      <c r="G321">
        <v>1077777</v>
      </c>
      <c r="H321">
        <v>500220</v>
      </c>
      <c r="I321" t="s">
        <v>949</v>
      </c>
    </row>
    <row r="322" spans="1:9" x14ac:dyDescent="0.25">
      <c r="A322">
        <v>4230</v>
      </c>
      <c r="B322">
        <v>10</v>
      </c>
      <c r="C322" t="s">
        <v>946</v>
      </c>
      <c r="D322" t="s">
        <v>988</v>
      </c>
      <c r="E322" t="s">
        <v>108</v>
      </c>
      <c r="F322" t="s">
        <v>948</v>
      </c>
      <c r="G322">
        <v>1099999</v>
      </c>
      <c r="H322">
        <v>403045</v>
      </c>
      <c r="I322">
        <v>73</v>
      </c>
    </row>
    <row r="323" spans="1:9" x14ac:dyDescent="0.25">
      <c r="A323">
        <v>4240</v>
      </c>
      <c r="B323">
        <v>10</v>
      </c>
      <c r="C323" t="s">
        <v>946</v>
      </c>
      <c r="D323" t="s">
        <v>988</v>
      </c>
      <c r="E323" t="s">
        <v>108</v>
      </c>
      <c r="F323" t="s">
        <v>948</v>
      </c>
      <c r="G323">
        <v>1077777</v>
      </c>
      <c r="H323">
        <v>500221</v>
      </c>
      <c r="I323" t="s">
        <v>949</v>
      </c>
    </row>
    <row r="324" spans="1:9" x14ac:dyDescent="0.25">
      <c r="A324">
        <v>4141</v>
      </c>
      <c r="B324">
        <v>10</v>
      </c>
      <c r="C324" t="s">
        <v>946</v>
      </c>
      <c r="D324" t="s">
        <v>988</v>
      </c>
      <c r="E324" t="s">
        <v>310</v>
      </c>
      <c r="F324" t="s">
        <v>948</v>
      </c>
      <c r="G324">
        <v>1077777</v>
      </c>
      <c r="H324">
        <v>501010</v>
      </c>
      <c r="I324">
        <v>73</v>
      </c>
    </row>
    <row r="325" spans="1:9" x14ac:dyDescent="0.25">
      <c r="A325">
        <v>4220</v>
      </c>
      <c r="B325">
        <v>10</v>
      </c>
      <c r="C325" t="s">
        <v>946</v>
      </c>
      <c r="D325" t="s">
        <v>988</v>
      </c>
      <c r="E325" t="s">
        <v>310</v>
      </c>
      <c r="F325" t="s">
        <v>948</v>
      </c>
      <c r="G325">
        <v>1077777</v>
      </c>
      <c r="H325">
        <v>500220</v>
      </c>
      <c r="I325" t="s">
        <v>949</v>
      </c>
    </row>
    <row r="326" spans="1:9" x14ac:dyDescent="0.25">
      <c r="A326">
        <v>4230</v>
      </c>
      <c r="B326">
        <v>10</v>
      </c>
      <c r="C326" t="s">
        <v>946</v>
      </c>
      <c r="D326" t="s">
        <v>988</v>
      </c>
      <c r="E326" t="s">
        <v>310</v>
      </c>
      <c r="F326" t="s">
        <v>948</v>
      </c>
      <c r="G326">
        <v>1099999</v>
      </c>
      <c r="H326">
        <v>403015</v>
      </c>
      <c r="I326">
        <v>73</v>
      </c>
    </row>
    <row r="327" spans="1:9" x14ac:dyDescent="0.25">
      <c r="A327">
        <v>4240</v>
      </c>
      <c r="B327">
        <v>10</v>
      </c>
      <c r="C327" t="s">
        <v>946</v>
      </c>
      <c r="D327" t="s">
        <v>988</v>
      </c>
      <c r="E327" t="s">
        <v>310</v>
      </c>
      <c r="F327" t="s">
        <v>948</v>
      </c>
      <c r="G327">
        <v>1077777</v>
      </c>
      <c r="H327">
        <v>500221</v>
      </c>
      <c r="I327" t="s">
        <v>949</v>
      </c>
    </row>
    <row r="328" spans="1:9" x14ac:dyDescent="0.25">
      <c r="A328">
        <v>4141</v>
      </c>
      <c r="B328">
        <v>10</v>
      </c>
      <c r="C328" t="s">
        <v>946</v>
      </c>
      <c r="D328" t="s">
        <v>988</v>
      </c>
      <c r="E328" t="s">
        <v>314</v>
      </c>
      <c r="F328" t="s">
        <v>948</v>
      </c>
      <c r="G328">
        <v>1077777</v>
      </c>
      <c r="H328">
        <v>501010</v>
      </c>
      <c r="I328">
        <v>73</v>
      </c>
    </row>
    <row r="329" spans="1:9" x14ac:dyDescent="0.25">
      <c r="A329">
        <v>4220</v>
      </c>
      <c r="B329">
        <v>10</v>
      </c>
      <c r="C329" t="s">
        <v>946</v>
      </c>
      <c r="D329" t="s">
        <v>988</v>
      </c>
      <c r="E329" t="s">
        <v>314</v>
      </c>
      <c r="F329" t="s">
        <v>948</v>
      </c>
      <c r="G329">
        <v>1077777</v>
      </c>
      <c r="H329">
        <v>500220</v>
      </c>
      <c r="I329" t="s">
        <v>949</v>
      </c>
    </row>
    <row r="330" spans="1:9" x14ac:dyDescent="0.25">
      <c r="A330">
        <v>4230</v>
      </c>
      <c r="B330">
        <v>10</v>
      </c>
      <c r="C330" t="s">
        <v>946</v>
      </c>
      <c r="D330" t="s">
        <v>988</v>
      </c>
      <c r="E330" t="s">
        <v>314</v>
      </c>
      <c r="F330" t="s">
        <v>948</v>
      </c>
      <c r="G330">
        <v>1099999</v>
      </c>
      <c r="H330">
        <v>403065</v>
      </c>
      <c r="I330">
        <v>73</v>
      </c>
    </row>
    <row r="331" spans="1:9" x14ac:dyDescent="0.25">
      <c r="A331">
        <v>4240</v>
      </c>
      <c r="B331">
        <v>10</v>
      </c>
      <c r="C331" t="s">
        <v>946</v>
      </c>
      <c r="D331" t="s">
        <v>988</v>
      </c>
      <c r="E331" t="s">
        <v>314</v>
      </c>
      <c r="F331" t="s">
        <v>948</v>
      </c>
      <c r="G331">
        <v>1077777</v>
      </c>
      <c r="H331">
        <v>500221</v>
      </c>
      <c r="I331" t="s">
        <v>949</v>
      </c>
    </row>
    <row r="332" spans="1:9" x14ac:dyDescent="0.25">
      <c r="A332">
        <v>4141</v>
      </c>
      <c r="B332">
        <v>10</v>
      </c>
      <c r="C332" t="s">
        <v>946</v>
      </c>
      <c r="D332" t="s">
        <v>988</v>
      </c>
      <c r="E332" t="s">
        <v>113</v>
      </c>
      <c r="F332" t="s">
        <v>948</v>
      </c>
      <c r="G332">
        <v>1077777</v>
      </c>
      <c r="H332">
        <v>500220</v>
      </c>
      <c r="I332" t="s">
        <v>949</v>
      </c>
    </row>
    <row r="333" spans="1:9" x14ac:dyDescent="0.25">
      <c r="A333">
        <v>4220</v>
      </c>
      <c r="B333">
        <v>10</v>
      </c>
      <c r="C333" t="s">
        <v>946</v>
      </c>
      <c r="D333" t="s">
        <v>988</v>
      </c>
      <c r="E333" t="s">
        <v>113</v>
      </c>
      <c r="F333" t="s">
        <v>948</v>
      </c>
      <c r="G333">
        <v>1077777</v>
      </c>
      <c r="H333">
        <v>500220</v>
      </c>
      <c r="I333" t="s">
        <v>949</v>
      </c>
    </row>
    <row r="334" spans="1:9" x14ac:dyDescent="0.25">
      <c r="A334">
        <v>4230</v>
      </c>
      <c r="B334">
        <v>10</v>
      </c>
      <c r="C334" t="s">
        <v>946</v>
      </c>
      <c r="D334" t="s">
        <v>988</v>
      </c>
      <c r="E334" t="s">
        <v>113</v>
      </c>
      <c r="F334" t="s">
        <v>948</v>
      </c>
      <c r="G334">
        <v>1099999</v>
      </c>
      <c r="H334">
        <v>403085</v>
      </c>
      <c r="I334">
        <v>73</v>
      </c>
    </row>
    <row r="335" spans="1:9" x14ac:dyDescent="0.25">
      <c r="A335">
        <v>4240</v>
      </c>
      <c r="B335">
        <v>10</v>
      </c>
      <c r="C335" t="s">
        <v>946</v>
      </c>
      <c r="D335" t="s">
        <v>988</v>
      </c>
      <c r="E335" t="s">
        <v>113</v>
      </c>
      <c r="F335" t="s">
        <v>948</v>
      </c>
      <c r="G335">
        <v>1077777</v>
      </c>
      <c r="H335">
        <v>500221</v>
      </c>
      <c r="I335" t="s">
        <v>949</v>
      </c>
    </row>
    <row r="336" spans="1:9" x14ac:dyDescent="0.25">
      <c r="A336">
        <v>4141</v>
      </c>
      <c r="B336">
        <v>10</v>
      </c>
      <c r="C336" t="s">
        <v>946</v>
      </c>
      <c r="D336" t="s">
        <v>988</v>
      </c>
      <c r="E336" t="s">
        <v>117</v>
      </c>
      <c r="F336" t="s">
        <v>948</v>
      </c>
      <c r="G336">
        <v>1077777</v>
      </c>
      <c r="H336">
        <v>500220</v>
      </c>
      <c r="I336" t="s">
        <v>949</v>
      </c>
    </row>
    <row r="337" spans="1:9" x14ac:dyDescent="0.25">
      <c r="A337">
        <v>4220</v>
      </c>
      <c r="B337">
        <v>10</v>
      </c>
      <c r="C337" t="s">
        <v>946</v>
      </c>
      <c r="D337" t="s">
        <v>988</v>
      </c>
      <c r="E337" t="s">
        <v>117</v>
      </c>
      <c r="F337" t="s">
        <v>948</v>
      </c>
      <c r="G337">
        <v>1077777</v>
      </c>
      <c r="H337">
        <v>500220</v>
      </c>
      <c r="I337" t="s">
        <v>949</v>
      </c>
    </row>
    <row r="338" spans="1:9" x14ac:dyDescent="0.25">
      <c r="A338">
        <v>4230</v>
      </c>
      <c r="B338">
        <v>10</v>
      </c>
      <c r="C338" t="s">
        <v>946</v>
      </c>
      <c r="D338" t="s">
        <v>988</v>
      </c>
      <c r="E338" t="s">
        <v>117</v>
      </c>
      <c r="F338" t="s">
        <v>948</v>
      </c>
      <c r="G338">
        <v>1088888</v>
      </c>
      <c r="H338">
        <v>810600</v>
      </c>
      <c r="I338">
        <v>73</v>
      </c>
    </row>
    <row r="339" spans="1:9" x14ac:dyDescent="0.25">
      <c r="A339">
        <v>4240</v>
      </c>
      <c r="B339">
        <v>10</v>
      </c>
      <c r="C339" t="s">
        <v>946</v>
      </c>
      <c r="D339" t="s">
        <v>988</v>
      </c>
      <c r="E339" t="s">
        <v>117</v>
      </c>
      <c r="F339" t="s">
        <v>948</v>
      </c>
      <c r="G339">
        <v>1077777</v>
      </c>
      <c r="H339">
        <v>500221</v>
      </c>
      <c r="I339" t="s">
        <v>949</v>
      </c>
    </row>
    <row r="340" spans="1:9" x14ac:dyDescent="0.25">
      <c r="A340">
        <v>4141</v>
      </c>
      <c r="B340">
        <v>10</v>
      </c>
      <c r="C340" t="s">
        <v>946</v>
      </c>
      <c r="D340" t="s">
        <v>988</v>
      </c>
      <c r="E340" t="s">
        <v>121</v>
      </c>
      <c r="F340" t="s">
        <v>948</v>
      </c>
      <c r="G340">
        <v>1077777</v>
      </c>
      <c r="H340">
        <v>500220</v>
      </c>
      <c r="I340" t="s">
        <v>949</v>
      </c>
    </row>
    <row r="341" spans="1:9" x14ac:dyDescent="0.25">
      <c r="A341">
        <v>4220</v>
      </c>
      <c r="B341">
        <v>10</v>
      </c>
      <c r="C341" t="s">
        <v>946</v>
      </c>
      <c r="D341" t="s">
        <v>988</v>
      </c>
      <c r="E341" t="s">
        <v>121</v>
      </c>
      <c r="F341" t="s">
        <v>948</v>
      </c>
      <c r="G341">
        <v>1077777</v>
      </c>
      <c r="H341">
        <v>500220</v>
      </c>
      <c r="I341" t="s">
        <v>949</v>
      </c>
    </row>
    <row r="342" spans="1:9" x14ac:dyDescent="0.25">
      <c r="A342">
        <v>4230</v>
      </c>
      <c r="B342">
        <v>10</v>
      </c>
      <c r="C342" t="s">
        <v>946</v>
      </c>
      <c r="D342" t="s">
        <v>988</v>
      </c>
      <c r="E342" t="s">
        <v>121</v>
      </c>
      <c r="F342" t="s">
        <v>948</v>
      </c>
      <c r="G342">
        <v>1099999</v>
      </c>
      <c r="H342">
        <v>403045</v>
      </c>
      <c r="I342">
        <v>73</v>
      </c>
    </row>
    <row r="343" spans="1:9" x14ac:dyDescent="0.25">
      <c r="A343">
        <v>4240</v>
      </c>
      <c r="B343">
        <v>10</v>
      </c>
      <c r="C343" t="s">
        <v>946</v>
      </c>
      <c r="D343" t="s">
        <v>988</v>
      </c>
      <c r="E343" t="s">
        <v>121</v>
      </c>
      <c r="F343" t="s">
        <v>948</v>
      </c>
      <c r="G343">
        <v>1077777</v>
      </c>
      <c r="H343">
        <v>500221</v>
      </c>
      <c r="I343" t="s">
        <v>949</v>
      </c>
    </row>
    <row r="344" spans="1:9" x14ac:dyDescent="0.25">
      <c r="A344">
        <v>4141</v>
      </c>
      <c r="B344">
        <v>10</v>
      </c>
      <c r="C344" t="s">
        <v>946</v>
      </c>
      <c r="D344" t="s">
        <v>988</v>
      </c>
      <c r="E344" t="s">
        <v>984</v>
      </c>
      <c r="F344" t="s">
        <v>948</v>
      </c>
      <c r="G344">
        <v>1077777</v>
      </c>
      <c r="H344">
        <v>501010</v>
      </c>
      <c r="I344">
        <v>73</v>
      </c>
    </row>
    <row r="345" spans="1:9" x14ac:dyDescent="0.25">
      <c r="A345">
        <v>4220</v>
      </c>
      <c r="B345">
        <v>10</v>
      </c>
      <c r="C345" t="s">
        <v>946</v>
      </c>
      <c r="D345" t="s">
        <v>988</v>
      </c>
      <c r="E345" t="s">
        <v>984</v>
      </c>
      <c r="F345" t="s">
        <v>948</v>
      </c>
      <c r="G345">
        <v>1077777</v>
      </c>
      <c r="H345">
        <v>500220</v>
      </c>
      <c r="I345" t="s">
        <v>949</v>
      </c>
    </row>
    <row r="346" spans="1:9" x14ac:dyDescent="0.25">
      <c r="A346">
        <v>4230</v>
      </c>
      <c r="B346">
        <v>10</v>
      </c>
      <c r="C346" t="s">
        <v>946</v>
      </c>
      <c r="D346" t="s">
        <v>988</v>
      </c>
      <c r="E346" t="s">
        <v>984</v>
      </c>
      <c r="F346" t="s">
        <v>948</v>
      </c>
      <c r="G346">
        <v>1099999</v>
      </c>
      <c r="H346">
        <v>403915</v>
      </c>
      <c r="I346">
        <v>73</v>
      </c>
    </row>
    <row r="347" spans="1:9" x14ac:dyDescent="0.25">
      <c r="A347">
        <v>4240</v>
      </c>
      <c r="B347">
        <v>10</v>
      </c>
      <c r="C347" t="s">
        <v>946</v>
      </c>
      <c r="D347" t="s">
        <v>988</v>
      </c>
      <c r="E347" t="s">
        <v>984</v>
      </c>
      <c r="F347" t="s">
        <v>948</v>
      </c>
      <c r="G347">
        <v>1077777</v>
      </c>
      <c r="H347">
        <v>500221</v>
      </c>
      <c r="I347" t="s">
        <v>949</v>
      </c>
    </row>
    <row r="348" spans="1:9" x14ac:dyDescent="0.25">
      <c r="A348">
        <v>4141</v>
      </c>
      <c r="B348">
        <v>10</v>
      </c>
      <c r="C348" t="s">
        <v>946</v>
      </c>
      <c r="D348" t="s">
        <v>989</v>
      </c>
      <c r="E348" t="s">
        <v>243</v>
      </c>
      <c r="F348" t="s">
        <v>948</v>
      </c>
      <c r="G348">
        <v>1077777</v>
      </c>
      <c r="H348">
        <v>501010</v>
      </c>
      <c r="I348">
        <v>72</v>
      </c>
    </row>
    <row r="349" spans="1:9" x14ac:dyDescent="0.25">
      <c r="A349">
        <v>4220</v>
      </c>
      <c r="B349">
        <v>10</v>
      </c>
      <c r="C349" t="s">
        <v>946</v>
      </c>
      <c r="D349" t="s">
        <v>989</v>
      </c>
      <c r="E349" t="s">
        <v>243</v>
      </c>
      <c r="F349" t="s">
        <v>948</v>
      </c>
      <c r="G349">
        <v>1077777</v>
      </c>
      <c r="H349">
        <v>500220</v>
      </c>
      <c r="I349" t="s">
        <v>949</v>
      </c>
    </row>
    <row r="350" spans="1:9" x14ac:dyDescent="0.25">
      <c r="A350">
        <v>4230</v>
      </c>
      <c r="B350">
        <v>10</v>
      </c>
      <c r="C350" t="s">
        <v>946</v>
      </c>
      <c r="D350" t="s">
        <v>989</v>
      </c>
      <c r="E350" t="s">
        <v>243</v>
      </c>
      <c r="F350" t="s">
        <v>948</v>
      </c>
      <c r="G350">
        <v>1099999</v>
      </c>
      <c r="H350">
        <v>403055</v>
      </c>
      <c r="I350">
        <v>72</v>
      </c>
    </row>
    <row r="351" spans="1:9" x14ac:dyDescent="0.25">
      <c r="A351">
        <v>4240</v>
      </c>
      <c r="B351">
        <v>10</v>
      </c>
      <c r="C351" t="s">
        <v>946</v>
      </c>
      <c r="D351" t="s">
        <v>989</v>
      </c>
      <c r="E351" t="s">
        <v>243</v>
      </c>
      <c r="F351" t="s">
        <v>948</v>
      </c>
      <c r="G351">
        <v>1077777</v>
      </c>
      <c r="H351">
        <v>500221</v>
      </c>
      <c r="I351" t="s">
        <v>949</v>
      </c>
    </row>
    <row r="352" spans="1:9" x14ac:dyDescent="0.25">
      <c r="A352">
        <v>4141</v>
      </c>
      <c r="B352">
        <v>10</v>
      </c>
      <c r="C352" t="s">
        <v>946</v>
      </c>
      <c r="D352" t="s">
        <v>989</v>
      </c>
      <c r="E352" t="s">
        <v>247</v>
      </c>
      <c r="F352" t="s">
        <v>948</v>
      </c>
      <c r="G352">
        <v>1077777</v>
      </c>
      <c r="H352">
        <v>501010</v>
      </c>
      <c r="I352">
        <v>72</v>
      </c>
    </row>
    <row r="353" spans="1:9" x14ac:dyDescent="0.25">
      <c r="A353">
        <v>4220</v>
      </c>
      <c r="B353">
        <v>10</v>
      </c>
      <c r="C353" t="s">
        <v>946</v>
      </c>
      <c r="D353" t="s">
        <v>989</v>
      </c>
      <c r="E353" t="s">
        <v>247</v>
      </c>
      <c r="F353" t="s">
        <v>948</v>
      </c>
      <c r="G353">
        <v>1077777</v>
      </c>
      <c r="H353">
        <v>500220</v>
      </c>
      <c r="I353" t="s">
        <v>949</v>
      </c>
    </row>
    <row r="354" spans="1:9" x14ac:dyDescent="0.25">
      <c r="A354">
        <v>4230</v>
      </c>
      <c r="B354">
        <v>10</v>
      </c>
      <c r="C354" t="s">
        <v>946</v>
      </c>
      <c r="D354" t="s">
        <v>989</v>
      </c>
      <c r="E354" t="s">
        <v>247</v>
      </c>
      <c r="F354" t="s">
        <v>948</v>
      </c>
      <c r="G354">
        <v>1099999</v>
      </c>
      <c r="H354">
        <v>403025</v>
      </c>
      <c r="I354">
        <v>72</v>
      </c>
    </row>
    <row r="355" spans="1:9" x14ac:dyDescent="0.25">
      <c r="A355">
        <v>4240</v>
      </c>
      <c r="B355">
        <v>10</v>
      </c>
      <c r="C355" t="s">
        <v>946</v>
      </c>
      <c r="D355" t="s">
        <v>989</v>
      </c>
      <c r="E355" t="s">
        <v>247</v>
      </c>
      <c r="F355" t="s">
        <v>948</v>
      </c>
      <c r="G355">
        <v>1077777</v>
      </c>
      <c r="H355">
        <v>500221</v>
      </c>
      <c r="I355" t="s">
        <v>949</v>
      </c>
    </row>
    <row r="356" spans="1:9" x14ac:dyDescent="0.25">
      <c r="A356">
        <v>4141</v>
      </c>
      <c r="B356">
        <v>10</v>
      </c>
      <c r="C356" t="s">
        <v>946</v>
      </c>
      <c r="D356" t="s">
        <v>989</v>
      </c>
      <c r="E356" t="s">
        <v>251</v>
      </c>
      <c r="F356" t="s">
        <v>948</v>
      </c>
      <c r="G356">
        <v>1077777</v>
      </c>
      <c r="H356">
        <v>501010</v>
      </c>
      <c r="I356">
        <v>72</v>
      </c>
    </row>
    <row r="357" spans="1:9" x14ac:dyDescent="0.25">
      <c r="A357">
        <v>4220</v>
      </c>
      <c r="B357">
        <v>10</v>
      </c>
      <c r="C357" t="s">
        <v>946</v>
      </c>
      <c r="D357" t="s">
        <v>989</v>
      </c>
      <c r="E357" t="s">
        <v>251</v>
      </c>
      <c r="F357" t="s">
        <v>948</v>
      </c>
      <c r="G357">
        <v>1077777</v>
      </c>
      <c r="H357">
        <v>500220</v>
      </c>
      <c r="I357" t="s">
        <v>949</v>
      </c>
    </row>
    <row r="358" spans="1:9" x14ac:dyDescent="0.25">
      <c r="A358">
        <v>4230</v>
      </c>
      <c r="B358">
        <v>10</v>
      </c>
      <c r="C358" t="s">
        <v>946</v>
      </c>
      <c r="D358" t="s">
        <v>989</v>
      </c>
      <c r="E358" t="s">
        <v>251</v>
      </c>
      <c r="F358" t="s">
        <v>948</v>
      </c>
      <c r="G358">
        <v>1099999</v>
      </c>
      <c r="H358">
        <v>403045</v>
      </c>
      <c r="I358">
        <v>72</v>
      </c>
    </row>
    <row r="359" spans="1:9" x14ac:dyDescent="0.25">
      <c r="A359">
        <v>4240</v>
      </c>
      <c r="B359">
        <v>10</v>
      </c>
      <c r="C359" t="s">
        <v>946</v>
      </c>
      <c r="D359" t="s">
        <v>989</v>
      </c>
      <c r="E359" t="s">
        <v>251</v>
      </c>
      <c r="F359" t="s">
        <v>948</v>
      </c>
      <c r="G359">
        <v>1077777</v>
      </c>
      <c r="H359">
        <v>500221</v>
      </c>
      <c r="I359" t="s">
        <v>949</v>
      </c>
    </row>
    <row r="360" spans="1:9" x14ac:dyDescent="0.25">
      <c r="A360">
        <v>4141</v>
      </c>
      <c r="B360">
        <v>10</v>
      </c>
      <c r="C360" t="s">
        <v>946</v>
      </c>
      <c r="D360" t="s">
        <v>989</v>
      </c>
      <c r="E360" t="s">
        <v>969</v>
      </c>
      <c r="F360" t="s">
        <v>948</v>
      </c>
      <c r="G360">
        <v>1077777</v>
      </c>
      <c r="H360">
        <v>501010</v>
      </c>
      <c r="I360">
        <v>72</v>
      </c>
    </row>
    <row r="361" spans="1:9" x14ac:dyDescent="0.25">
      <c r="A361">
        <v>4220</v>
      </c>
      <c r="B361">
        <v>10</v>
      </c>
      <c r="C361" t="s">
        <v>946</v>
      </c>
      <c r="D361" t="s">
        <v>989</v>
      </c>
      <c r="E361" t="s">
        <v>969</v>
      </c>
      <c r="F361" t="s">
        <v>948</v>
      </c>
      <c r="G361">
        <v>1077777</v>
      </c>
      <c r="H361">
        <v>500220</v>
      </c>
      <c r="I361" t="s">
        <v>949</v>
      </c>
    </row>
    <row r="362" spans="1:9" x14ac:dyDescent="0.25">
      <c r="A362">
        <v>4230</v>
      </c>
      <c r="B362">
        <v>10</v>
      </c>
      <c r="C362" t="s">
        <v>946</v>
      </c>
      <c r="D362" t="s">
        <v>989</v>
      </c>
      <c r="E362" t="s">
        <v>969</v>
      </c>
      <c r="F362" t="s">
        <v>948</v>
      </c>
      <c r="G362">
        <v>1099999</v>
      </c>
      <c r="H362">
        <v>403915</v>
      </c>
      <c r="I362">
        <v>72</v>
      </c>
    </row>
    <row r="363" spans="1:9" x14ac:dyDescent="0.25">
      <c r="A363">
        <v>4240</v>
      </c>
      <c r="B363">
        <v>10</v>
      </c>
      <c r="C363" t="s">
        <v>946</v>
      </c>
      <c r="D363" t="s">
        <v>989</v>
      </c>
      <c r="E363" t="s">
        <v>969</v>
      </c>
      <c r="F363" t="s">
        <v>948</v>
      </c>
      <c r="G363">
        <v>1077777</v>
      </c>
      <c r="H363">
        <v>500221</v>
      </c>
      <c r="I363" t="s">
        <v>949</v>
      </c>
    </row>
    <row r="364" spans="1:9" x14ac:dyDescent="0.25">
      <c r="A364">
        <v>4141</v>
      </c>
      <c r="B364">
        <v>10</v>
      </c>
      <c r="C364" t="s">
        <v>946</v>
      </c>
      <c r="D364" t="s">
        <v>989</v>
      </c>
      <c r="E364" t="s">
        <v>255</v>
      </c>
      <c r="F364" t="s">
        <v>948</v>
      </c>
      <c r="G364">
        <v>1077777</v>
      </c>
      <c r="H364">
        <v>501010</v>
      </c>
      <c r="I364">
        <v>72</v>
      </c>
    </row>
    <row r="365" spans="1:9" x14ac:dyDescent="0.25">
      <c r="A365">
        <v>4220</v>
      </c>
      <c r="B365">
        <v>10</v>
      </c>
      <c r="C365" t="s">
        <v>946</v>
      </c>
      <c r="D365" t="s">
        <v>989</v>
      </c>
      <c r="E365" t="s">
        <v>255</v>
      </c>
      <c r="F365" t="s">
        <v>948</v>
      </c>
      <c r="G365">
        <v>1077777</v>
      </c>
      <c r="H365">
        <v>500220</v>
      </c>
      <c r="I365" t="s">
        <v>949</v>
      </c>
    </row>
    <row r="366" spans="1:9" x14ac:dyDescent="0.25">
      <c r="A366">
        <v>4230</v>
      </c>
      <c r="B366">
        <v>10</v>
      </c>
      <c r="C366" t="s">
        <v>946</v>
      </c>
      <c r="D366" t="s">
        <v>989</v>
      </c>
      <c r="E366" t="s">
        <v>255</v>
      </c>
      <c r="F366" t="s">
        <v>948</v>
      </c>
      <c r="G366">
        <v>1099999</v>
      </c>
      <c r="H366">
        <v>403075</v>
      </c>
      <c r="I366">
        <v>72</v>
      </c>
    </row>
    <row r="367" spans="1:9" x14ac:dyDescent="0.25">
      <c r="A367">
        <v>4240</v>
      </c>
      <c r="B367">
        <v>10</v>
      </c>
      <c r="C367" t="s">
        <v>946</v>
      </c>
      <c r="D367" t="s">
        <v>989</v>
      </c>
      <c r="E367" t="s">
        <v>255</v>
      </c>
      <c r="F367" t="s">
        <v>948</v>
      </c>
      <c r="G367">
        <v>1077777</v>
      </c>
      <c r="H367">
        <v>500221</v>
      </c>
      <c r="I367" t="s">
        <v>949</v>
      </c>
    </row>
    <row r="368" spans="1:9" x14ac:dyDescent="0.25">
      <c r="A368">
        <v>4141</v>
      </c>
      <c r="B368">
        <v>10</v>
      </c>
      <c r="C368" t="s">
        <v>946</v>
      </c>
      <c r="D368" t="s">
        <v>989</v>
      </c>
      <c r="E368" t="s">
        <v>971</v>
      </c>
      <c r="F368" t="s">
        <v>948</v>
      </c>
      <c r="G368">
        <v>1077777</v>
      </c>
      <c r="H368">
        <v>501010</v>
      </c>
      <c r="I368">
        <v>72</v>
      </c>
    </row>
    <row r="369" spans="1:9" x14ac:dyDescent="0.25">
      <c r="A369">
        <v>4220</v>
      </c>
      <c r="B369">
        <v>10</v>
      </c>
      <c r="C369" t="s">
        <v>946</v>
      </c>
      <c r="D369" t="s">
        <v>989</v>
      </c>
      <c r="E369" t="s">
        <v>971</v>
      </c>
      <c r="F369" t="s">
        <v>948</v>
      </c>
      <c r="G369">
        <v>1077777</v>
      </c>
      <c r="H369">
        <v>500220</v>
      </c>
      <c r="I369" t="s">
        <v>949</v>
      </c>
    </row>
    <row r="370" spans="1:9" x14ac:dyDescent="0.25">
      <c r="A370">
        <v>4230</v>
      </c>
      <c r="B370">
        <v>10</v>
      </c>
      <c r="C370" t="s">
        <v>946</v>
      </c>
      <c r="D370" t="s">
        <v>989</v>
      </c>
      <c r="E370" t="s">
        <v>971</v>
      </c>
      <c r="F370" t="s">
        <v>948</v>
      </c>
      <c r="G370">
        <v>1099999</v>
      </c>
      <c r="H370">
        <v>403915</v>
      </c>
      <c r="I370">
        <v>72</v>
      </c>
    </row>
    <row r="371" spans="1:9" x14ac:dyDescent="0.25">
      <c r="A371">
        <v>4240</v>
      </c>
      <c r="B371">
        <v>10</v>
      </c>
      <c r="C371" t="s">
        <v>946</v>
      </c>
      <c r="D371" t="s">
        <v>989</v>
      </c>
      <c r="E371" t="s">
        <v>971</v>
      </c>
      <c r="F371" t="s">
        <v>948</v>
      </c>
      <c r="G371">
        <v>1077777</v>
      </c>
      <c r="H371">
        <v>500221</v>
      </c>
      <c r="I371" t="s">
        <v>949</v>
      </c>
    </row>
    <row r="372" spans="1:9" x14ac:dyDescent="0.25">
      <c r="A372">
        <v>4230</v>
      </c>
      <c r="B372">
        <v>10</v>
      </c>
      <c r="C372" t="s">
        <v>946</v>
      </c>
      <c r="D372" t="s">
        <v>989</v>
      </c>
      <c r="E372" t="s">
        <v>259</v>
      </c>
      <c r="F372" t="s">
        <v>948</v>
      </c>
      <c r="G372">
        <v>1099999</v>
      </c>
      <c r="H372">
        <v>409005</v>
      </c>
      <c r="I372">
        <v>72</v>
      </c>
    </row>
    <row r="373" spans="1:9" x14ac:dyDescent="0.25">
      <c r="A373">
        <v>4141</v>
      </c>
      <c r="B373">
        <v>10</v>
      </c>
      <c r="C373" t="s">
        <v>946</v>
      </c>
      <c r="D373" t="s">
        <v>989</v>
      </c>
      <c r="E373" t="s">
        <v>263</v>
      </c>
      <c r="F373" t="s">
        <v>948</v>
      </c>
      <c r="G373">
        <v>1077777</v>
      </c>
      <c r="H373">
        <v>501010</v>
      </c>
      <c r="I373">
        <v>72</v>
      </c>
    </row>
    <row r="374" spans="1:9" x14ac:dyDescent="0.25">
      <c r="A374">
        <v>4220</v>
      </c>
      <c r="B374">
        <v>10</v>
      </c>
      <c r="C374" t="s">
        <v>946</v>
      </c>
      <c r="D374" t="s">
        <v>989</v>
      </c>
      <c r="E374" t="s">
        <v>263</v>
      </c>
      <c r="F374" t="s">
        <v>948</v>
      </c>
      <c r="G374">
        <v>1077777</v>
      </c>
      <c r="H374">
        <v>500220</v>
      </c>
      <c r="I374" t="s">
        <v>949</v>
      </c>
    </row>
    <row r="375" spans="1:9" x14ac:dyDescent="0.25">
      <c r="A375">
        <v>4230</v>
      </c>
      <c r="B375">
        <v>10</v>
      </c>
      <c r="C375" t="s">
        <v>946</v>
      </c>
      <c r="D375" t="s">
        <v>989</v>
      </c>
      <c r="E375" t="s">
        <v>263</v>
      </c>
      <c r="F375" t="s">
        <v>948</v>
      </c>
      <c r="G375">
        <v>1099999</v>
      </c>
      <c r="H375">
        <v>403045</v>
      </c>
      <c r="I375">
        <v>72</v>
      </c>
    </row>
    <row r="376" spans="1:9" x14ac:dyDescent="0.25">
      <c r="A376">
        <v>4240</v>
      </c>
      <c r="B376">
        <v>10</v>
      </c>
      <c r="C376" t="s">
        <v>946</v>
      </c>
      <c r="D376" t="s">
        <v>989</v>
      </c>
      <c r="E376" t="s">
        <v>263</v>
      </c>
      <c r="F376" t="s">
        <v>948</v>
      </c>
      <c r="G376">
        <v>1077777</v>
      </c>
      <c r="H376">
        <v>500221</v>
      </c>
      <c r="I376" t="s">
        <v>949</v>
      </c>
    </row>
    <row r="377" spans="1:9" x14ac:dyDescent="0.25">
      <c r="A377">
        <v>4141</v>
      </c>
      <c r="B377">
        <v>10</v>
      </c>
      <c r="C377" t="s">
        <v>946</v>
      </c>
      <c r="D377" t="s">
        <v>989</v>
      </c>
      <c r="E377" t="s">
        <v>100</v>
      </c>
      <c r="F377" t="s">
        <v>948</v>
      </c>
      <c r="G377">
        <v>1077777</v>
      </c>
      <c r="H377">
        <v>500220</v>
      </c>
      <c r="I377" t="s">
        <v>949</v>
      </c>
    </row>
    <row r="378" spans="1:9" x14ac:dyDescent="0.25">
      <c r="A378">
        <v>4220</v>
      </c>
      <c r="B378">
        <v>10</v>
      </c>
      <c r="C378" t="s">
        <v>946</v>
      </c>
      <c r="D378" t="s">
        <v>989</v>
      </c>
      <c r="E378" t="s">
        <v>100</v>
      </c>
      <c r="F378" t="s">
        <v>948</v>
      </c>
      <c r="G378">
        <v>1077777</v>
      </c>
      <c r="H378">
        <v>500220</v>
      </c>
      <c r="I378" t="s">
        <v>949</v>
      </c>
    </row>
    <row r="379" spans="1:9" x14ac:dyDescent="0.25">
      <c r="A379">
        <v>4230</v>
      </c>
      <c r="B379">
        <v>10</v>
      </c>
      <c r="C379" t="s">
        <v>946</v>
      </c>
      <c r="D379" t="s">
        <v>989</v>
      </c>
      <c r="E379" t="s">
        <v>100</v>
      </c>
      <c r="F379" t="s">
        <v>948</v>
      </c>
      <c r="G379">
        <v>1099999</v>
      </c>
      <c r="H379">
        <v>403045</v>
      </c>
      <c r="I379">
        <v>72</v>
      </c>
    </row>
    <row r="380" spans="1:9" x14ac:dyDescent="0.25">
      <c r="A380">
        <v>4240</v>
      </c>
      <c r="B380">
        <v>10</v>
      </c>
      <c r="C380" t="s">
        <v>946</v>
      </c>
      <c r="D380" t="s">
        <v>989</v>
      </c>
      <c r="E380" t="s">
        <v>100</v>
      </c>
      <c r="F380" t="s">
        <v>948</v>
      </c>
      <c r="G380">
        <v>1077777</v>
      </c>
      <c r="H380">
        <v>500221</v>
      </c>
      <c r="I380" t="s">
        <v>949</v>
      </c>
    </row>
    <row r="381" spans="1:9" x14ac:dyDescent="0.25">
      <c r="A381">
        <v>4230</v>
      </c>
      <c r="B381">
        <v>10</v>
      </c>
      <c r="C381" t="s">
        <v>946</v>
      </c>
      <c r="D381" t="s">
        <v>989</v>
      </c>
      <c r="E381" t="s">
        <v>987</v>
      </c>
      <c r="F381" t="s">
        <v>948</v>
      </c>
      <c r="G381">
        <v>1002305</v>
      </c>
      <c r="H381">
        <v>740150</v>
      </c>
      <c r="I381">
        <v>72</v>
      </c>
    </row>
    <row r="382" spans="1:9" x14ac:dyDescent="0.25">
      <c r="A382">
        <v>4141</v>
      </c>
      <c r="B382">
        <v>10</v>
      </c>
      <c r="C382" t="s">
        <v>946</v>
      </c>
      <c r="D382" t="s">
        <v>989</v>
      </c>
      <c r="E382" t="s">
        <v>270</v>
      </c>
      <c r="F382" t="s">
        <v>948</v>
      </c>
      <c r="G382">
        <v>1077777</v>
      </c>
      <c r="H382">
        <v>501010</v>
      </c>
      <c r="I382">
        <v>72</v>
      </c>
    </row>
    <row r="383" spans="1:9" x14ac:dyDescent="0.25">
      <c r="A383">
        <v>4220</v>
      </c>
      <c r="B383">
        <v>10</v>
      </c>
      <c r="C383" t="s">
        <v>946</v>
      </c>
      <c r="D383" t="s">
        <v>989</v>
      </c>
      <c r="E383" t="s">
        <v>270</v>
      </c>
      <c r="F383" t="s">
        <v>948</v>
      </c>
      <c r="G383">
        <v>1077777</v>
      </c>
      <c r="H383">
        <v>500220</v>
      </c>
      <c r="I383" t="s">
        <v>949</v>
      </c>
    </row>
    <row r="384" spans="1:9" x14ac:dyDescent="0.25">
      <c r="A384">
        <v>4230</v>
      </c>
      <c r="B384">
        <v>10</v>
      </c>
      <c r="C384" t="s">
        <v>946</v>
      </c>
      <c r="D384" t="s">
        <v>989</v>
      </c>
      <c r="E384" t="s">
        <v>270</v>
      </c>
      <c r="F384" t="s">
        <v>948</v>
      </c>
      <c r="G384">
        <v>1099999</v>
      </c>
      <c r="H384">
        <v>403065</v>
      </c>
      <c r="I384">
        <v>72</v>
      </c>
    </row>
    <row r="385" spans="1:9" x14ac:dyDescent="0.25">
      <c r="A385">
        <v>4240</v>
      </c>
      <c r="B385">
        <v>10</v>
      </c>
      <c r="C385" t="s">
        <v>946</v>
      </c>
      <c r="D385" t="s">
        <v>989</v>
      </c>
      <c r="E385" t="s">
        <v>270</v>
      </c>
      <c r="F385" t="s">
        <v>948</v>
      </c>
      <c r="G385">
        <v>1077777</v>
      </c>
      <c r="H385">
        <v>500221</v>
      </c>
      <c r="I385" t="s">
        <v>949</v>
      </c>
    </row>
    <row r="386" spans="1:9" x14ac:dyDescent="0.25">
      <c r="A386">
        <v>4141</v>
      </c>
      <c r="B386">
        <v>10</v>
      </c>
      <c r="C386" t="s">
        <v>946</v>
      </c>
      <c r="D386" t="s">
        <v>989</v>
      </c>
      <c r="E386" t="s">
        <v>274</v>
      </c>
      <c r="F386" t="s">
        <v>948</v>
      </c>
      <c r="G386">
        <v>1077777</v>
      </c>
      <c r="H386">
        <v>501010</v>
      </c>
      <c r="I386">
        <v>72</v>
      </c>
    </row>
    <row r="387" spans="1:9" x14ac:dyDescent="0.25">
      <c r="A387">
        <v>4220</v>
      </c>
      <c r="B387">
        <v>10</v>
      </c>
      <c r="C387" t="s">
        <v>946</v>
      </c>
      <c r="D387" t="s">
        <v>989</v>
      </c>
      <c r="E387" t="s">
        <v>274</v>
      </c>
      <c r="F387" t="s">
        <v>948</v>
      </c>
      <c r="G387">
        <v>1077777</v>
      </c>
      <c r="H387">
        <v>500220</v>
      </c>
      <c r="I387" t="s">
        <v>949</v>
      </c>
    </row>
    <row r="388" spans="1:9" x14ac:dyDescent="0.25">
      <c r="A388">
        <v>4230</v>
      </c>
      <c r="B388">
        <v>10</v>
      </c>
      <c r="C388" t="s">
        <v>946</v>
      </c>
      <c r="D388" t="s">
        <v>989</v>
      </c>
      <c r="E388" t="s">
        <v>274</v>
      </c>
      <c r="F388" t="s">
        <v>948</v>
      </c>
      <c r="G388">
        <v>1099999</v>
      </c>
      <c r="H388">
        <v>403045</v>
      </c>
      <c r="I388">
        <v>72</v>
      </c>
    </row>
    <row r="389" spans="1:9" x14ac:dyDescent="0.25">
      <c r="A389">
        <v>4240</v>
      </c>
      <c r="B389">
        <v>10</v>
      </c>
      <c r="C389" t="s">
        <v>946</v>
      </c>
      <c r="D389" t="s">
        <v>989</v>
      </c>
      <c r="E389" t="s">
        <v>274</v>
      </c>
      <c r="F389" t="s">
        <v>948</v>
      </c>
      <c r="G389">
        <v>1077777</v>
      </c>
      <c r="H389">
        <v>500221</v>
      </c>
      <c r="I389" t="s">
        <v>949</v>
      </c>
    </row>
    <row r="390" spans="1:9" x14ac:dyDescent="0.25">
      <c r="A390">
        <v>4141</v>
      </c>
      <c r="B390">
        <v>10</v>
      </c>
      <c r="C390" t="s">
        <v>946</v>
      </c>
      <c r="D390" t="s">
        <v>989</v>
      </c>
      <c r="E390" t="s">
        <v>974</v>
      </c>
      <c r="F390" t="s">
        <v>948</v>
      </c>
      <c r="G390">
        <v>1077777</v>
      </c>
      <c r="H390">
        <v>501010</v>
      </c>
      <c r="I390">
        <v>72</v>
      </c>
    </row>
    <row r="391" spans="1:9" x14ac:dyDescent="0.25">
      <c r="A391">
        <v>4220</v>
      </c>
      <c r="B391">
        <v>10</v>
      </c>
      <c r="C391" t="s">
        <v>946</v>
      </c>
      <c r="D391" t="s">
        <v>989</v>
      </c>
      <c r="E391" t="s">
        <v>974</v>
      </c>
      <c r="F391" t="s">
        <v>948</v>
      </c>
      <c r="G391">
        <v>1077777</v>
      </c>
      <c r="H391">
        <v>500220</v>
      </c>
      <c r="I391" t="s">
        <v>949</v>
      </c>
    </row>
    <row r="392" spans="1:9" x14ac:dyDescent="0.25">
      <c r="A392">
        <v>4230</v>
      </c>
      <c r="B392">
        <v>10</v>
      </c>
      <c r="C392" t="s">
        <v>946</v>
      </c>
      <c r="D392" t="s">
        <v>989</v>
      </c>
      <c r="E392" t="s">
        <v>974</v>
      </c>
      <c r="F392" t="s">
        <v>948</v>
      </c>
      <c r="G392">
        <v>1099999</v>
      </c>
      <c r="H392">
        <v>403915</v>
      </c>
      <c r="I392">
        <v>72</v>
      </c>
    </row>
    <row r="393" spans="1:9" x14ac:dyDescent="0.25">
      <c r="A393">
        <v>4240</v>
      </c>
      <c r="B393">
        <v>10</v>
      </c>
      <c r="C393" t="s">
        <v>946</v>
      </c>
      <c r="D393" t="s">
        <v>989</v>
      </c>
      <c r="E393" t="s">
        <v>974</v>
      </c>
      <c r="F393" t="s">
        <v>948</v>
      </c>
      <c r="G393">
        <v>1077777</v>
      </c>
      <c r="H393">
        <v>500221</v>
      </c>
      <c r="I393" t="s">
        <v>949</v>
      </c>
    </row>
    <row r="394" spans="1:9" x14ac:dyDescent="0.25">
      <c r="A394">
        <v>4141</v>
      </c>
      <c r="B394">
        <v>10</v>
      </c>
      <c r="C394" t="s">
        <v>946</v>
      </c>
      <c r="D394" t="s">
        <v>989</v>
      </c>
      <c r="E394" t="s">
        <v>104</v>
      </c>
      <c r="F394" t="s">
        <v>948</v>
      </c>
      <c r="G394">
        <v>1077777</v>
      </c>
      <c r="H394">
        <v>500220</v>
      </c>
      <c r="I394" t="s">
        <v>949</v>
      </c>
    </row>
    <row r="395" spans="1:9" x14ac:dyDescent="0.25">
      <c r="A395">
        <v>4220</v>
      </c>
      <c r="B395">
        <v>10</v>
      </c>
      <c r="C395" t="s">
        <v>946</v>
      </c>
      <c r="D395" t="s">
        <v>989</v>
      </c>
      <c r="E395" t="s">
        <v>104</v>
      </c>
      <c r="F395" t="s">
        <v>948</v>
      </c>
      <c r="G395">
        <v>1077777</v>
      </c>
      <c r="H395">
        <v>500220</v>
      </c>
      <c r="I395" t="s">
        <v>949</v>
      </c>
    </row>
    <row r="396" spans="1:9" x14ac:dyDescent="0.25">
      <c r="A396">
        <v>4230</v>
      </c>
      <c r="B396">
        <v>10</v>
      </c>
      <c r="C396" t="s">
        <v>946</v>
      </c>
      <c r="D396" t="s">
        <v>989</v>
      </c>
      <c r="E396" t="s">
        <v>104</v>
      </c>
      <c r="F396" t="s">
        <v>948</v>
      </c>
      <c r="G396">
        <v>1099999</v>
      </c>
      <c r="H396">
        <v>403045</v>
      </c>
      <c r="I396">
        <v>72</v>
      </c>
    </row>
    <row r="397" spans="1:9" x14ac:dyDescent="0.25">
      <c r="A397">
        <v>4240</v>
      </c>
      <c r="B397">
        <v>10</v>
      </c>
      <c r="C397" t="s">
        <v>946</v>
      </c>
      <c r="D397" t="s">
        <v>989</v>
      </c>
      <c r="E397" t="s">
        <v>104</v>
      </c>
      <c r="F397" t="s">
        <v>948</v>
      </c>
      <c r="G397">
        <v>1077777</v>
      </c>
      <c r="H397">
        <v>500221</v>
      </c>
      <c r="I397" t="s">
        <v>949</v>
      </c>
    </row>
    <row r="398" spans="1:9" x14ac:dyDescent="0.25">
      <c r="A398">
        <v>4141</v>
      </c>
      <c r="B398">
        <v>10</v>
      </c>
      <c r="C398" t="s">
        <v>946</v>
      </c>
      <c r="D398" t="s">
        <v>989</v>
      </c>
      <c r="E398" t="s">
        <v>278</v>
      </c>
      <c r="F398" t="s">
        <v>948</v>
      </c>
      <c r="G398">
        <v>1077777</v>
      </c>
      <c r="H398">
        <v>501010</v>
      </c>
      <c r="I398">
        <v>72</v>
      </c>
    </row>
    <row r="399" spans="1:9" x14ac:dyDescent="0.25">
      <c r="A399">
        <v>4220</v>
      </c>
      <c r="B399">
        <v>10</v>
      </c>
      <c r="C399" t="s">
        <v>946</v>
      </c>
      <c r="D399" t="s">
        <v>989</v>
      </c>
      <c r="E399" t="s">
        <v>278</v>
      </c>
      <c r="F399" t="s">
        <v>948</v>
      </c>
      <c r="G399">
        <v>1077777</v>
      </c>
      <c r="H399">
        <v>500220</v>
      </c>
      <c r="I399" t="s">
        <v>949</v>
      </c>
    </row>
    <row r="400" spans="1:9" x14ac:dyDescent="0.25">
      <c r="A400">
        <v>4230</v>
      </c>
      <c r="B400">
        <v>10</v>
      </c>
      <c r="C400" t="s">
        <v>946</v>
      </c>
      <c r="D400" t="s">
        <v>989</v>
      </c>
      <c r="E400" t="s">
        <v>278</v>
      </c>
      <c r="F400" t="s">
        <v>948</v>
      </c>
      <c r="G400">
        <v>1099999</v>
      </c>
      <c r="H400">
        <v>403055</v>
      </c>
      <c r="I400">
        <v>72</v>
      </c>
    </row>
    <row r="401" spans="1:9" x14ac:dyDescent="0.25">
      <c r="A401">
        <v>4240</v>
      </c>
      <c r="B401">
        <v>10</v>
      </c>
      <c r="C401" t="s">
        <v>946</v>
      </c>
      <c r="D401" t="s">
        <v>989</v>
      </c>
      <c r="E401" t="s">
        <v>278</v>
      </c>
      <c r="F401" t="s">
        <v>948</v>
      </c>
      <c r="G401">
        <v>1077777</v>
      </c>
      <c r="H401">
        <v>500221</v>
      </c>
      <c r="I401" t="s">
        <v>949</v>
      </c>
    </row>
    <row r="402" spans="1:9" x14ac:dyDescent="0.25">
      <c r="A402">
        <v>4141</v>
      </c>
      <c r="B402">
        <v>10</v>
      </c>
      <c r="C402" t="s">
        <v>946</v>
      </c>
      <c r="D402" t="s">
        <v>989</v>
      </c>
      <c r="E402" t="s">
        <v>282</v>
      </c>
      <c r="F402" t="s">
        <v>948</v>
      </c>
      <c r="G402">
        <v>1077777</v>
      </c>
      <c r="H402">
        <v>501010</v>
      </c>
      <c r="I402">
        <v>72</v>
      </c>
    </row>
    <row r="403" spans="1:9" x14ac:dyDescent="0.25">
      <c r="A403">
        <v>4220</v>
      </c>
      <c r="B403">
        <v>10</v>
      </c>
      <c r="C403" t="s">
        <v>946</v>
      </c>
      <c r="D403" t="s">
        <v>989</v>
      </c>
      <c r="E403" t="s">
        <v>282</v>
      </c>
      <c r="F403" t="s">
        <v>948</v>
      </c>
      <c r="G403">
        <v>1077777</v>
      </c>
      <c r="H403">
        <v>500220</v>
      </c>
      <c r="I403" t="s">
        <v>949</v>
      </c>
    </row>
    <row r="404" spans="1:9" x14ac:dyDescent="0.25">
      <c r="A404">
        <v>4230</v>
      </c>
      <c r="B404">
        <v>10</v>
      </c>
      <c r="C404" t="s">
        <v>946</v>
      </c>
      <c r="D404" t="s">
        <v>989</v>
      </c>
      <c r="E404" t="s">
        <v>282</v>
      </c>
      <c r="F404" t="s">
        <v>948</v>
      </c>
      <c r="G404">
        <v>1099999</v>
      </c>
      <c r="H404">
        <v>403045</v>
      </c>
      <c r="I404">
        <v>72</v>
      </c>
    </row>
    <row r="405" spans="1:9" x14ac:dyDescent="0.25">
      <c r="A405">
        <v>4240</v>
      </c>
      <c r="B405">
        <v>10</v>
      </c>
      <c r="C405" t="s">
        <v>946</v>
      </c>
      <c r="D405" t="s">
        <v>989</v>
      </c>
      <c r="E405" t="s">
        <v>282</v>
      </c>
      <c r="F405" t="s">
        <v>948</v>
      </c>
      <c r="G405">
        <v>1077777</v>
      </c>
      <c r="H405">
        <v>500221</v>
      </c>
      <c r="I405" t="s">
        <v>949</v>
      </c>
    </row>
    <row r="406" spans="1:9" x14ac:dyDescent="0.25">
      <c r="A406">
        <v>4141</v>
      </c>
      <c r="B406">
        <v>10</v>
      </c>
      <c r="C406" t="s">
        <v>946</v>
      </c>
      <c r="D406" t="s">
        <v>989</v>
      </c>
      <c r="E406" t="s">
        <v>286</v>
      </c>
      <c r="F406" t="s">
        <v>948</v>
      </c>
      <c r="G406">
        <v>1077777</v>
      </c>
      <c r="H406">
        <v>501010</v>
      </c>
      <c r="I406">
        <v>72</v>
      </c>
    </row>
    <row r="407" spans="1:9" x14ac:dyDescent="0.25">
      <c r="A407">
        <v>4220</v>
      </c>
      <c r="B407">
        <v>10</v>
      </c>
      <c r="C407" t="s">
        <v>946</v>
      </c>
      <c r="D407" t="s">
        <v>989</v>
      </c>
      <c r="E407" t="s">
        <v>286</v>
      </c>
      <c r="F407" t="s">
        <v>948</v>
      </c>
      <c r="G407">
        <v>1077777</v>
      </c>
      <c r="H407">
        <v>500220</v>
      </c>
      <c r="I407" t="s">
        <v>949</v>
      </c>
    </row>
    <row r="408" spans="1:9" x14ac:dyDescent="0.25">
      <c r="A408">
        <v>4230</v>
      </c>
      <c r="B408">
        <v>10</v>
      </c>
      <c r="C408" t="s">
        <v>946</v>
      </c>
      <c r="D408" t="s">
        <v>989</v>
      </c>
      <c r="E408" t="s">
        <v>286</v>
      </c>
      <c r="F408" t="s">
        <v>948</v>
      </c>
      <c r="G408">
        <v>1099999</v>
      </c>
      <c r="H408">
        <v>403035</v>
      </c>
      <c r="I408">
        <v>72</v>
      </c>
    </row>
    <row r="409" spans="1:9" x14ac:dyDescent="0.25">
      <c r="A409">
        <v>4240</v>
      </c>
      <c r="B409">
        <v>10</v>
      </c>
      <c r="C409" t="s">
        <v>946</v>
      </c>
      <c r="D409" t="s">
        <v>989</v>
      </c>
      <c r="E409" t="s">
        <v>286</v>
      </c>
      <c r="F409" t="s">
        <v>948</v>
      </c>
      <c r="G409">
        <v>1077777</v>
      </c>
      <c r="H409">
        <v>500221</v>
      </c>
      <c r="I409" t="s">
        <v>949</v>
      </c>
    </row>
    <row r="410" spans="1:9" x14ac:dyDescent="0.25">
      <c r="A410">
        <v>4141</v>
      </c>
      <c r="B410">
        <v>10</v>
      </c>
      <c r="C410" t="s">
        <v>946</v>
      </c>
      <c r="D410" t="s">
        <v>989</v>
      </c>
      <c r="E410" t="s">
        <v>976</v>
      </c>
      <c r="F410" t="s">
        <v>948</v>
      </c>
      <c r="G410">
        <v>1077777</v>
      </c>
      <c r="H410">
        <v>501010</v>
      </c>
      <c r="I410">
        <v>72</v>
      </c>
    </row>
    <row r="411" spans="1:9" x14ac:dyDescent="0.25">
      <c r="A411">
        <v>4220</v>
      </c>
      <c r="B411">
        <v>10</v>
      </c>
      <c r="C411" t="s">
        <v>946</v>
      </c>
      <c r="D411" t="s">
        <v>989</v>
      </c>
      <c r="E411" t="s">
        <v>976</v>
      </c>
      <c r="F411" t="s">
        <v>948</v>
      </c>
      <c r="G411">
        <v>1077777</v>
      </c>
      <c r="H411">
        <v>500220</v>
      </c>
      <c r="I411" t="s">
        <v>949</v>
      </c>
    </row>
    <row r="412" spans="1:9" x14ac:dyDescent="0.25">
      <c r="A412">
        <v>4230</v>
      </c>
      <c r="B412">
        <v>10</v>
      </c>
      <c r="C412" t="s">
        <v>946</v>
      </c>
      <c r="D412" t="s">
        <v>989</v>
      </c>
      <c r="E412" t="s">
        <v>976</v>
      </c>
      <c r="F412" t="s">
        <v>948</v>
      </c>
      <c r="G412">
        <v>1099999</v>
      </c>
      <c r="H412">
        <v>403915</v>
      </c>
      <c r="I412">
        <v>72</v>
      </c>
    </row>
    <row r="413" spans="1:9" x14ac:dyDescent="0.25">
      <c r="A413">
        <v>4240</v>
      </c>
      <c r="B413">
        <v>10</v>
      </c>
      <c r="C413" t="s">
        <v>946</v>
      </c>
      <c r="D413" t="s">
        <v>989</v>
      </c>
      <c r="E413" t="s">
        <v>976</v>
      </c>
      <c r="F413" t="s">
        <v>948</v>
      </c>
      <c r="G413">
        <v>1077777</v>
      </c>
      <c r="H413">
        <v>500221</v>
      </c>
      <c r="I413" t="s">
        <v>949</v>
      </c>
    </row>
    <row r="414" spans="1:9" x14ac:dyDescent="0.25">
      <c r="A414">
        <v>4141</v>
      </c>
      <c r="B414">
        <v>10</v>
      </c>
      <c r="C414" t="s">
        <v>946</v>
      </c>
      <c r="D414" t="s">
        <v>989</v>
      </c>
      <c r="E414" t="s">
        <v>290</v>
      </c>
      <c r="F414" t="s">
        <v>948</v>
      </c>
      <c r="G414">
        <v>1077777</v>
      </c>
      <c r="H414">
        <v>501010</v>
      </c>
      <c r="I414">
        <v>72</v>
      </c>
    </row>
    <row r="415" spans="1:9" x14ac:dyDescent="0.25">
      <c r="A415">
        <v>4220</v>
      </c>
      <c r="B415">
        <v>10</v>
      </c>
      <c r="C415" t="s">
        <v>946</v>
      </c>
      <c r="D415" t="s">
        <v>989</v>
      </c>
      <c r="E415" t="s">
        <v>290</v>
      </c>
      <c r="F415" t="s">
        <v>948</v>
      </c>
      <c r="G415">
        <v>1077777</v>
      </c>
      <c r="H415">
        <v>500220</v>
      </c>
      <c r="I415" t="s">
        <v>949</v>
      </c>
    </row>
    <row r="416" spans="1:9" x14ac:dyDescent="0.25">
      <c r="A416">
        <v>4230</v>
      </c>
      <c r="B416">
        <v>10</v>
      </c>
      <c r="C416" t="s">
        <v>946</v>
      </c>
      <c r="D416" t="s">
        <v>989</v>
      </c>
      <c r="E416" t="s">
        <v>290</v>
      </c>
      <c r="F416" t="s">
        <v>948</v>
      </c>
      <c r="G416">
        <v>1099999</v>
      </c>
      <c r="H416">
        <v>403045</v>
      </c>
      <c r="I416">
        <v>72</v>
      </c>
    </row>
    <row r="417" spans="1:9" x14ac:dyDescent="0.25">
      <c r="A417">
        <v>4240</v>
      </c>
      <c r="B417">
        <v>10</v>
      </c>
      <c r="C417" t="s">
        <v>946</v>
      </c>
      <c r="D417" t="s">
        <v>989</v>
      </c>
      <c r="E417" t="s">
        <v>290</v>
      </c>
      <c r="F417" t="s">
        <v>948</v>
      </c>
      <c r="G417">
        <v>1077777</v>
      </c>
      <c r="H417">
        <v>500221</v>
      </c>
      <c r="I417" t="s">
        <v>949</v>
      </c>
    </row>
    <row r="418" spans="1:9" x14ac:dyDescent="0.25">
      <c r="A418">
        <v>4141</v>
      </c>
      <c r="B418">
        <v>10</v>
      </c>
      <c r="C418" t="s">
        <v>946</v>
      </c>
      <c r="D418" t="s">
        <v>989</v>
      </c>
      <c r="E418" t="s">
        <v>294</v>
      </c>
      <c r="F418" t="s">
        <v>948</v>
      </c>
      <c r="G418">
        <v>1077777</v>
      </c>
      <c r="H418">
        <v>501010</v>
      </c>
      <c r="I418">
        <v>72</v>
      </c>
    </row>
    <row r="419" spans="1:9" x14ac:dyDescent="0.25">
      <c r="A419">
        <v>4220</v>
      </c>
      <c r="B419">
        <v>10</v>
      </c>
      <c r="C419" t="s">
        <v>946</v>
      </c>
      <c r="D419" t="s">
        <v>989</v>
      </c>
      <c r="E419" t="s">
        <v>294</v>
      </c>
      <c r="F419" t="s">
        <v>948</v>
      </c>
      <c r="G419">
        <v>1077777</v>
      </c>
      <c r="H419">
        <v>500220</v>
      </c>
      <c r="I419" t="s">
        <v>949</v>
      </c>
    </row>
    <row r="420" spans="1:9" x14ac:dyDescent="0.25">
      <c r="A420">
        <v>4230</v>
      </c>
      <c r="B420">
        <v>10</v>
      </c>
      <c r="C420" t="s">
        <v>946</v>
      </c>
      <c r="D420" t="s">
        <v>989</v>
      </c>
      <c r="E420" t="s">
        <v>294</v>
      </c>
      <c r="F420" t="s">
        <v>948</v>
      </c>
      <c r="G420">
        <v>1099999</v>
      </c>
      <c r="H420">
        <v>403045</v>
      </c>
      <c r="I420">
        <v>72</v>
      </c>
    </row>
    <row r="421" spans="1:9" x14ac:dyDescent="0.25">
      <c r="A421">
        <v>4240</v>
      </c>
      <c r="B421">
        <v>10</v>
      </c>
      <c r="C421" t="s">
        <v>946</v>
      </c>
      <c r="D421" t="s">
        <v>989</v>
      </c>
      <c r="E421" t="s">
        <v>294</v>
      </c>
      <c r="F421" t="s">
        <v>948</v>
      </c>
      <c r="G421">
        <v>1077777</v>
      </c>
      <c r="H421">
        <v>500221</v>
      </c>
      <c r="I421" t="s">
        <v>949</v>
      </c>
    </row>
    <row r="422" spans="1:9" x14ac:dyDescent="0.25">
      <c r="A422">
        <v>4230</v>
      </c>
      <c r="B422">
        <v>10</v>
      </c>
      <c r="C422" t="s">
        <v>946</v>
      </c>
      <c r="D422" t="s">
        <v>989</v>
      </c>
      <c r="E422" t="s">
        <v>298</v>
      </c>
      <c r="F422" t="s">
        <v>948</v>
      </c>
      <c r="G422">
        <v>1099999</v>
      </c>
      <c r="H422">
        <v>403085</v>
      </c>
      <c r="I422">
        <v>72</v>
      </c>
    </row>
    <row r="423" spans="1:9" x14ac:dyDescent="0.25">
      <c r="A423">
        <v>4141</v>
      </c>
      <c r="B423">
        <v>10</v>
      </c>
      <c r="C423" t="s">
        <v>946</v>
      </c>
      <c r="D423" t="s">
        <v>989</v>
      </c>
      <c r="E423" t="s">
        <v>980</v>
      </c>
      <c r="F423" t="s">
        <v>948</v>
      </c>
      <c r="G423">
        <v>1077777</v>
      </c>
      <c r="H423">
        <v>501010</v>
      </c>
      <c r="I423">
        <v>72</v>
      </c>
    </row>
    <row r="424" spans="1:9" x14ac:dyDescent="0.25">
      <c r="A424">
        <v>4220</v>
      </c>
      <c r="B424">
        <v>10</v>
      </c>
      <c r="C424" t="s">
        <v>946</v>
      </c>
      <c r="D424" t="s">
        <v>989</v>
      </c>
      <c r="E424" t="s">
        <v>980</v>
      </c>
      <c r="F424" t="s">
        <v>948</v>
      </c>
      <c r="G424">
        <v>1077777</v>
      </c>
      <c r="H424">
        <v>500220</v>
      </c>
      <c r="I424" t="s">
        <v>949</v>
      </c>
    </row>
    <row r="425" spans="1:9" x14ac:dyDescent="0.25">
      <c r="A425">
        <v>4230</v>
      </c>
      <c r="B425">
        <v>10</v>
      </c>
      <c r="C425" t="s">
        <v>946</v>
      </c>
      <c r="D425" t="s">
        <v>989</v>
      </c>
      <c r="E425" t="s">
        <v>980</v>
      </c>
      <c r="F425" t="s">
        <v>948</v>
      </c>
      <c r="G425">
        <v>1099999</v>
      </c>
      <c r="H425">
        <v>403915</v>
      </c>
      <c r="I425">
        <v>72</v>
      </c>
    </row>
    <row r="426" spans="1:9" x14ac:dyDescent="0.25">
      <c r="A426">
        <v>4240</v>
      </c>
      <c r="B426">
        <v>10</v>
      </c>
      <c r="C426" t="s">
        <v>946</v>
      </c>
      <c r="D426" t="s">
        <v>989</v>
      </c>
      <c r="E426" t="s">
        <v>980</v>
      </c>
      <c r="F426" t="s">
        <v>948</v>
      </c>
      <c r="G426">
        <v>1077777</v>
      </c>
      <c r="H426">
        <v>500221</v>
      </c>
      <c r="I426" t="s">
        <v>949</v>
      </c>
    </row>
    <row r="427" spans="1:9" x14ac:dyDescent="0.25">
      <c r="A427">
        <v>4141</v>
      </c>
      <c r="B427">
        <v>10</v>
      </c>
      <c r="C427" t="s">
        <v>946</v>
      </c>
      <c r="D427" t="s">
        <v>989</v>
      </c>
      <c r="E427" t="s">
        <v>302</v>
      </c>
      <c r="F427" t="s">
        <v>948</v>
      </c>
      <c r="G427">
        <v>1077777</v>
      </c>
      <c r="H427">
        <v>501010</v>
      </c>
      <c r="I427">
        <v>72</v>
      </c>
    </row>
    <row r="428" spans="1:9" x14ac:dyDescent="0.25">
      <c r="A428">
        <v>4220</v>
      </c>
      <c r="B428">
        <v>10</v>
      </c>
      <c r="C428" t="s">
        <v>946</v>
      </c>
      <c r="D428" t="s">
        <v>989</v>
      </c>
      <c r="E428" t="s">
        <v>302</v>
      </c>
      <c r="F428" t="s">
        <v>948</v>
      </c>
      <c r="G428">
        <v>1077777</v>
      </c>
      <c r="H428">
        <v>500220</v>
      </c>
      <c r="I428" t="s">
        <v>949</v>
      </c>
    </row>
    <row r="429" spans="1:9" x14ac:dyDescent="0.25">
      <c r="A429">
        <v>4230</v>
      </c>
      <c r="B429">
        <v>10</v>
      </c>
      <c r="C429" t="s">
        <v>946</v>
      </c>
      <c r="D429" t="s">
        <v>989</v>
      </c>
      <c r="E429" t="s">
        <v>302</v>
      </c>
      <c r="F429" t="s">
        <v>948</v>
      </c>
      <c r="G429">
        <v>1099999</v>
      </c>
      <c r="H429">
        <v>401905</v>
      </c>
      <c r="I429">
        <v>72</v>
      </c>
    </row>
    <row r="430" spans="1:9" x14ac:dyDescent="0.25">
      <c r="A430">
        <v>4240</v>
      </c>
      <c r="B430">
        <v>10</v>
      </c>
      <c r="C430" t="s">
        <v>946</v>
      </c>
      <c r="D430" t="s">
        <v>989</v>
      </c>
      <c r="E430" t="s">
        <v>302</v>
      </c>
      <c r="F430" t="s">
        <v>948</v>
      </c>
      <c r="G430">
        <v>1077777</v>
      </c>
      <c r="H430">
        <v>500221</v>
      </c>
      <c r="I430" t="s">
        <v>949</v>
      </c>
    </row>
    <row r="431" spans="1:9" x14ac:dyDescent="0.25">
      <c r="A431">
        <v>4141</v>
      </c>
      <c r="B431">
        <v>10</v>
      </c>
      <c r="C431" t="s">
        <v>946</v>
      </c>
      <c r="D431" t="s">
        <v>989</v>
      </c>
      <c r="E431" t="s">
        <v>306</v>
      </c>
      <c r="F431" t="s">
        <v>948</v>
      </c>
      <c r="G431">
        <v>1077777</v>
      </c>
      <c r="H431">
        <v>501010</v>
      </c>
      <c r="I431">
        <v>72</v>
      </c>
    </row>
    <row r="432" spans="1:9" x14ac:dyDescent="0.25">
      <c r="A432">
        <v>4220</v>
      </c>
      <c r="B432">
        <v>10</v>
      </c>
      <c r="C432" t="s">
        <v>946</v>
      </c>
      <c r="D432" t="s">
        <v>989</v>
      </c>
      <c r="E432" t="s">
        <v>306</v>
      </c>
      <c r="F432" t="s">
        <v>948</v>
      </c>
      <c r="G432">
        <v>1077777</v>
      </c>
      <c r="H432">
        <v>500220</v>
      </c>
      <c r="I432" t="s">
        <v>949</v>
      </c>
    </row>
    <row r="433" spans="1:9" x14ac:dyDescent="0.25">
      <c r="A433">
        <v>4230</v>
      </c>
      <c r="B433">
        <v>10</v>
      </c>
      <c r="C433" t="s">
        <v>946</v>
      </c>
      <c r="D433" t="s">
        <v>989</v>
      </c>
      <c r="E433" t="s">
        <v>306</v>
      </c>
      <c r="F433" t="s">
        <v>948</v>
      </c>
      <c r="G433">
        <v>1099999</v>
      </c>
      <c r="H433">
        <v>403045</v>
      </c>
      <c r="I433">
        <v>72</v>
      </c>
    </row>
    <row r="434" spans="1:9" x14ac:dyDescent="0.25">
      <c r="A434">
        <v>4240</v>
      </c>
      <c r="B434">
        <v>10</v>
      </c>
      <c r="C434" t="s">
        <v>946</v>
      </c>
      <c r="D434" t="s">
        <v>989</v>
      </c>
      <c r="E434" t="s">
        <v>306</v>
      </c>
      <c r="F434" t="s">
        <v>948</v>
      </c>
      <c r="G434">
        <v>1077777</v>
      </c>
      <c r="H434">
        <v>500221</v>
      </c>
      <c r="I434" t="s">
        <v>949</v>
      </c>
    </row>
    <row r="435" spans="1:9" x14ac:dyDescent="0.25">
      <c r="A435">
        <v>4141</v>
      </c>
      <c r="B435">
        <v>10</v>
      </c>
      <c r="C435" t="s">
        <v>946</v>
      </c>
      <c r="D435" t="s">
        <v>989</v>
      </c>
      <c r="E435" t="s">
        <v>108</v>
      </c>
      <c r="F435" t="s">
        <v>948</v>
      </c>
      <c r="G435">
        <v>1077777</v>
      </c>
      <c r="H435">
        <v>500220</v>
      </c>
      <c r="I435" t="s">
        <v>949</v>
      </c>
    </row>
    <row r="436" spans="1:9" x14ac:dyDescent="0.25">
      <c r="A436">
        <v>4220</v>
      </c>
      <c r="B436">
        <v>10</v>
      </c>
      <c r="C436" t="s">
        <v>946</v>
      </c>
      <c r="D436" t="s">
        <v>989</v>
      </c>
      <c r="E436" t="s">
        <v>108</v>
      </c>
      <c r="F436" t="s">
        <v>948</v>
      </c>
      <c r="G436">
        <v>1077777</v>
      </c>
      <c r="H436">
        <v>500220</v>
      </c>
      <c r="I436" t="s">
        <v>949</v>
      </c>
    </row>
    <row r="437" spans="1:9" x14ac:dyDescent="0.25">
      <c r="A437">
        <v>4230</v>
      </c>
      <c r="B437">
        <v>10</v>
      </c>
      <c r="C437" t="s">
        <v>946</v>
      </c>
      <c r="D437" t="s">
        <v>989</v>
      </c>
      <c r="E437" t="s">
        <v>108</v>
      </c>
      <c r="F437" t="s">
        <v>948</v>
      </c>
      <c r="G437">
        <v>1099999</v>
      </c>
      <c r="H437">
        <v>403045</v>
      </c>
      <c r="I437">
        <v>72</v>
      </c>
    </row>
    <row r="438" spans="1:9" x14ac:dyDescent="0.25">
      <c r="A438">
        <v>4240</v>
      </c>
      <c r="B438">
        <v>10</v>
      </c>
      <c r="C438" t="s">
        <v>946</v>
      </c>
      <c r="D438" t="s">
        <v>989</v>
      </c>
      <c r="E438" t="s">
        <v>108</v>
      </c>
      <c r="F438" t="s">
        <v>948</v>
      </c>
      <c r="G438">
        <v>1077777</v>
      </c>
      <c r="H438">
        <v>500221</v>
      </c>
      <c r="I438" t="s">
        <v>949</v>
      </c>
    </row>
    <row r="439" spans="1:9" x14ac:dyDescent="0.25">
      <c r="A439">
        <v>4141</v>
      </c>
      <c r="B439">
        <v>10</v>
      </c>
      <c r="C439" t="s">
        <v>946</v>
      </c>
      <c r="D439" t="s">
        <v>989</v>
      </c>
      <c r="E439" t="s">
        <v>310</v>
      </c>
      <c r="F439" t="s">
        <v>948</v>
      </c>
      <c r="G439">
        <v>1077777</v>
      </c>
      <c r="H439">
        <v>501010</v>
      </c>
      <c r="I439">
        <v>72</v>
      </c>
    </row>
    <row r="440" spans="1:9" x14ac:dyDescent="0.25">
      <c r="A440">
        <v>4220</v>
      </c>
      <c r="B440">
        <v>10</v>
      </c>
      <c r="C440" t="s">
        <v>946</v>
      </c>
      <c r="D440" t="s">
        <v>989</v>
      </c>
      <c r="E440" t="s">
        <v>310</v>
      </c>
      <c r="F440" t="s">
        <v>948</v>
      </c>
      <c r="G440">
        <v>1077777</v>
      </c>
      <c r="H440">
        <v>500220</v>
      </c>
      <c r="I440" t="s">
        <v>949</v>
      </c>
    </row>
    <row r="441" spans="1:9" x14ac:dyDescent="0.25">
      <c r="A441">
        <v>4230</v>
      </c>
      <c r="B441">
        <v>10</v>
      </c>
      <c r="C441" t="s">
        <v>946</v>
      </c>
      <c r="D441" t="s">
        <v>989</v>
      </c>
      <c r="E441" t="s">
        <v>310</v>
      </c>
      <c r="F441" t="s">
        <v>948</v>
      </c>
      <c r="G441">
        <v>1099999</v>
      </c>
      <c r="H441">
        <v>403015</v>
      </c>
      <c r="I441">
        <v>72</v>
      </c>
    </row>
    <row r="442" spans="1:9" x14ac:dyDescent="0.25">
      <c r="A442">
        <v>4240</v>
      </c>
      <c r="B442">
        <v>10</v>
      </c>
      <c r="C442" t="s">
        <v>946</v>
      </c>
      <c r="D442" t="s">
        <v>989</v>
      </c>
      <c r="E442" t="s">
        <v>310</v>
      </c>
      <c r="F442" t="s">
        <v>948</v>
      </c>
      <c r="G442">
        <v>1077777</v>
      </c>
      <c r="H442">
        <v>500221</v>
      </c>
      <c r="I442" t="s">
        <v>949</v>
      </c>
    </row>
    <row r="443" spans="1:9" x14ac:dyDescent="0.25">
      <c r="A443">
        <v>4141</v>
      </c>
      <c r="B443">
        <v>10</v>
      </c>
      <c r="C443" t="s">
        <v>946</v>
      </c>
      <c r="D443" t="s">
        <v>989</v>
      </c>
      <c r="E443" t="s">
        <v>314</v>
      </c>
      <c r="F443" t="s">
        <v>948</v>
      </c>
      <c r="G443">
        <v>1077777</v>
      </c>
      <c r="H443">
        <v>501010</v>
      </c>
      <c r="I443">
        <v>72</v>
      </c>
    </row>
    <row r="444" spans="1:9" x14ac:dyDescent="0.25">
      <c r="A444">
        <v>4220</v>
      </c>
      <c r="B444">
        <v>10</v>
      </c>
      <c r="C444" t="s">
        <v>946</v>
      </c>
      <c r="D444" t="s">
        <v>989</v>
      </c>
      <c r="E444" t="s">
        <v>314</v>
      </c>
      <c r="F444" t="s">
        <v>948</v>
      </c>
      <c r="G444">
        <v>1077777</v>
      </c>
      <c r="H444">
        <v>500220</v>
      </c>
      <c r="I444" t="s">
        <v>949</v>
      </c>
    </row>
    <row r="445" spans="1:9" x14ac:dyDescent="0.25">
      <c r="A445">
        <v>4230</v>
      </c>
      <c r="B445">
        <v>10</v>
      </c>
      <c r="C445" t="s">
        <v>946</v>
      </c>
      <c r="D445" t="s">
        <v>989</v>
      </c>
      <c r="E445" t="s">
        <v>314</v>
      </c>
      <c r="F445" t="s">
        <v>948</v>
      </c>
      <c r="G445">
        <v>1099999</v>
      </c>
      <c r="H445">
        <v>403065</v>
      </c>
      <c r="I445">
        <v>72</v>
      </c>
    </row>
    <row r="446" spans="1:9" x14ac:dyDescent="0.25">
      <c r="A446">
        <v>4240</v>
      </c>
      <c r="B446">
        <v>10</v>
      </c>
      <c r="C446" t="s">
        <v>946</v>
      </c>
      <c r="D446" t="s">
        <v>989</v>
      </c>
      <c r="E446" t="s">
        <v>314</v>
      </c>
      <c r="F446" t="s">
        <v>948</v>
      </c>
      <c r="G446">
        <v>1077777</v>
      </c>
      <c r="H446">
        <v>500221</v>
      </c>
      <c r="I446" t="s">
        <v>949</v>
      </c>
    </row>
    <row r="447" spans="1:9" x14ac:dyDescent="0.25">
      <c r="A447">
        <v>4141</v>
      </c>
      <c r="B447">
        <v>10</v>
      </c>
      <c r="C447" t="s">
        <v>946</v>
      </c>
      <c r="D447" t="s">
        <v>989</v>
      </c>
      <c r="E447" t="s">
        <v>113</v>
      </c>
      <c r="F447" t="s">
        <v>948</v>
      </c>
      <c r="G447">
        <v>1077777</v>
      </c>
      <c r="H447">
        <v>500220</v>
      </c>
      <c r="I447" t="s">
        <v>949</v>
      </c>
    </row>
    <row r="448" spans="1:9" x14ac:dyDescent="0.25">
      <c r="A448">
        <v>4220</v>
      </c>
      <c r="B448">
        <v>10</v>
      </c>
      <c r="C448" t="s">
        <v>946</v>
      </c>
      <c r="D448" t="s">
        <v>989</v>
      </c>
      <c r="E448" t="s">
        <v>113</v>
      </c>
      <c r="F448" t="s">
        <v>948</v>
      </c>
      <c r="G448">
        <v>1077777</v>
      </c>
      <c r="H448">
        <v>500220</v>
      </c>
      <c r="I448" t="s">
        <v>949</v>
      </c>
    </row>
    <row r="449" spans="1:9" x14ac:dyDescent="0.25">
      <c r="A449">
        <v>4230</v>
      </c>
      <c r="B449">
        <v>10</v>
      </c>
      <c r="C449" t="s">
        <v>946</v>
      </c>
      <c r="D449" t="s">
        <v>989</v>
      </c>
      <c r="E449" t="s">
        <v>113</v>
      </c>
      <c r="F449" t="s">
        <v>948</v>
      </c>
      <c r="G449">
        <v>1099999</v>
      </c>
      <c r="H449">
        <v>403085</v>
      </c>
      <c r="I449">
        <v>72</v>
      </c>
    </row>
    <row r="450" spans="1:9" x14ac:dyDescent="0.25">
      <c r="A450">
        <v>4240</v>
      </c>
      <c r="B450">
        <v>10</v>
      </c>
      <c r="C450" t="s">
        <v>946</v>
      </c>
      <c r="D450" t="s">
        <v>989</v>
      </c>
      <c r="E450" t="s">
        <v>113</v>
      </c>
      <c r="F450" t="s">
        <v>948</v>
      </c>
      <c r="G450">
        <v>1077777</v>
      </c>
      <c r="H450">
        <v>500221</v>
      </c>
      <c r="I450" t="s">
        <v>949</v>
      </c>
    </row>
    <row r="451" spans="1:9" x14ac:dyDescent="0.25">
      <c r="A451">
        <v>4141</v>
      </c>
      <c r="B451">
        <v>10</v>
      </c>
      <c r="C451" t="s">
        <v>946</v>
      </c>
      <c r="D451" t="s">
        <v>989</v>
      </c>
      <c r="E451" t="s">
        <v>117</v>
      </c>
      <c r="F451" t="s">
        <v>948</v>
      </c>
      <c r="G451">
        <v>1077777</v>
      </c>
      <c r="H451">
        <v>500220</v>
      </c>
      <c r="I451" t="s">
        <v>949</v>
      </c>
    </row>
    <row r="452" spans="1:9" x14ac:dyDescent="0.25">
      <c r="A452">
        <v>4220</v>
      </c>
      <c r="B452">
        <v>10</v>
      </c>
      <c r="C452" t="s">
        <v>946</v>
      </c>
      <c r="D452" t="s">
        <v>989</v>
      </c>
      <c r="E452" t="s">
        <v>117</v>
      </c>
      <c r="F452" t="s">
        <v>948</v>
      </c>
      <c r="G452">
        <v>1077777</v>
      </c>
      <c r="H452">
        <v>500220</v>
      </c>
      <c r="I452" t="s">
        <v>949</v>
      </c>
    </row>
    <row r="453" spans="1:9" x14ac:dyDescent="0.25">
      <c r="A453">
        <v>4230</v>
      </c>
      <c r="B453">
        <v>10</v>
      </c>
      <c r="C453" t="s">
        <v>946</v>
      </c>
      <c r="D453" t="s">
        <v>989</v>
      </c>
      <c r="E453" t="s">
        <v>117</v>
      </c>
      <c r="F453" t="s">
        <v>948</v>
      </c>
      <c r="G453">
        <v>1088888</v>
      </c>
      <c r="H453">
        <v>810600</v>
      </c>
      <c r="I453">
        <v>72</v>
      </c>
    </row>
    <row r="454" spans="1:9" x14ac:dyDescent="0.25">
      <c r="A454">
        <v>4240</v>
      </c>
      <c r="B454">
        <v>10</v>
      </c>
      <c r="C454" t="s">
        <v>946</v>
      </c>
      <c r="D454" t="s">
        <v>989</v>
      </c>
      <c r="E454" t="s">
        <v>117</v>
      </c>
      <c r="F454" t="s">
        <v>948</v>
      </c>
      <c r="G454">
        <v>1077777</v>
      </c>
      <c r="H454">
        <v>500221</v>
      </c>
      <c r="I454" t="s">
        <v>949</v>
      </c>
    </row>
    <row r="455" spans="1:9" x14ac:dyDescent="0.25">
      <c r="A455">
        <v>4141</v>
      </c>
      <c r="B455">
        <v>10</v>
      </c>
      <c r="C455" t="s">
        <v>946</v>
      </c>
      <c r="D455" t="s">
        <v>989</v>
      </c>
      <c r="E455" t="s">
        <v>121</v>
      </c>
      <c r="F455" t="s">
        <v>948</v>
      </c>
      <c r="G455">
        <v>1077777</v>
      </c>
      <c r="H455">
        <v>500220</v>
      </c>
      <c r="I455" t="s">
        <v>949</v>
      </c>
    </row>
    <row r="456" spans="1:9" x14ac:dyDescent="0.25">
      <c r="A456">
        <v>4220</v>
      </c>
      <c r="B456">
        <v>10</v>
      </c>
      <c r="C456" t="s">
        <v>946</v>
      </c>
      <c r="D456" t="s">
        <v>989</v>
      </c>
      <c r="E456" t="s">
        <v>121</v>
      </c>
      <c r="F456" t="s">
        <v>948</v>
      </c>
      <c r="G456">
        <v>1077777</v>
      </c>
      <c r="H456">
        <v>500220</v>
      </c>
      <c r="I456" t="s">
        <v>949</v>
      </c>
    </row>
    <row r="457" spans="1:9" x14ac:dyDescent="0.25">
      <c r="A457">
        <v>4230</v>
      </c>
      <c r="B457">
        <v>10</v>
      </c>
      <c r="C457" t="s">
        <v>946</v>
      </c>
      <c r="D457" t="s">
        <v>989</v>
      </c>
      <c r="E457" t="s">
        <v>121</v>
      </c>
      <c r="F457" t="s">
        <v>948</v>
      </c>
      <c r="G457">
        <v>1099999</v>
      </c>
      <c r="H457">
        <v>403045</v>
      </c>
      <c r="I457">
        <v>72</v>
      </c>
    </row>
    <row r="458" spans="1:9" x14ac:dyDescent="0.25">
      <c r="A458">
        <v>4240</v>
      </c>
      <c r="B458">
        <v>10</v>
      </c>
      <c r="C458" t="s">
        <v>946</v>
      </c>
      <c r="D458" t="s">
        <v>989</v>
      </c>
      <c r="E458" t="s">
        <v>121</v>
      </c>
      <c r="F458" t="s">
        <v>948</v>
      </c>
      <c r="G458">
        <v>1077777</v>
      </c>
      <c r="H458">
        <v>500221</v>
      </c>
      <c r="I458" t="s">
        <v>949</v>
      </c>
    </row>
    <row r="459" spans="1:9" x14ac:dyDescent="0.25">
      <c r="A459">
        <v>4141</v>
      </c>
      <c r="B459">
        <v>10</v>
      </c>
      <c r="C459" t="s">
        <v>946</v>
      </c>
      <c r="D459" t="s">
        <v>989</v>
      </c>
      <c r="E459" t="s">
        <v>984</v>
      </c>
      <c r="F459" t="s">
        <v>948</v>
      </c>
      <c r="G459">
        <v>1077777</v>
      </c>
      <c r="H459">
        <v>501010</v>
      </c>
      <c r="I459">
        <v>72</v>
      </c>
    </row>
    <row r="460" spans="1:9" x14ac:dyDescent="0.25">
      <c r="A460">
        <v>4220</v>
      </c>
      <c r="B460">
        <v>10</v>
      </c>
      <c r="C460" t="s">
        <v>946</v>
      </c>
      <c r="D460" t="s">
        <v>989</v>
      </c>
      <c r="E460" t="s">
        <v>984</v>
      </c>
      <c r="F460" t="s">
        <v>948</v>
      </c>
      <c r="G460">
        <v>1077777</v>
      </c>
      <c r="H460">
        <v>500220</v>
      </c>
      <c r="I460" t="s">
        <v>949</v>
      </c>
    </row>
    <row r="461" spans="1:9" x14ac:dyDescent="0.25">
      <c r="A461">
        <v>4230</v>
      </c>
      <c r="B461">
        <v>10</v>
      </c>
      <c r="C461" t="s">
        <v>946</v>
      </c>
      <c r="D461" t="s">
        <v>989</v>
      </c>
      <c r="E461" t="s">
        <v>984</v>
      </c>
      <c r="F461" t="s">
        <v>948</v>
      </c>
      <c r="G461">
        <v>1099999</v>
      </c>
      <c r="H461">
        <v>403915</v>
      </c>
      <c r="I461">
        <v>72</v>
      </c>
    </row>
    <row r="462" spans="1:9" x14ac:dyDescent="0.25">
      <c r="A462">
        <v>4240</v>
      </c>
      <c r="B462">
        <v>10</v>
      </c>
      <c r="C462" t="s">
        <v>946</v>
      </c>
      <c r="D462" t="s">
        <v>989</v>
      </c>
      <c r="E462" t="s">
        <v>984</v>
      </c>
      <c r="F462" t="s">
        <v>948</v>
      </c>
      <c r="G462">
        <v>1077777</v>
      </c>
      <c r="H462">
        <v>500221</v>
      </c>
      <c r="I462" t="s">
        <v>949</v>
      </c>
    </row>
    <row r="463" spans="1:9" x14ac:dyDescent="0.25">
      <c r="A463">
        <v>4245</v>
      </c>
      <c r="B463">
        <v>10</v>
      </c>
      <c r="C463" t="s">
        <v>946</v>
      </c>
      <c r="D463" t="s">
        <v>990</v>
      </c>
      <c r="E463" t="s">
        <v>49</v>
      </c>
      <c r="F463" t="s">
        <v>948</v>
      </c>
      <c r="G463">
        <v>5077777</v>
      </c>
      <c r="H463">
        <v>501010</v>
      </c>
      <c r="I463" t="s">
        <v>949</v>
      </c>
    </row>
    <row r="464" spans="1:9" x14ac:dyDescent="0.25">
      <c r="A464">
        <v>4141</v>
      </c>
      <c r="B464">
        <v>10</v>
      </c>
      <c r="C464" t="s">
        <v>946</v>
      </c>
      <c r="D464" t="s">
        <v>990</v>
      </c>
      <c r="E464" t="s">
        <v>243</v>
      </c>
      <c r="F464" t="s">
        <v>948</v>
      </c>
      <c r="G464">
        <v>1077777</v>
      </c>
      <c r="H464">
        <v>501010</v>
      </c>
      <c r="I464">
        <v>50</v>
      </c>
    </row>
    <row r="465" spans="1:9" x14ac:dyDescent="0.25">
      <c r="A465">
        <v>4220</v>
      </c>
      <c r="B465">
        <v>10</v>
      </c>
      <c r="C465" t="s">
        <v>946</v>
      </c>
      <c r="D465" t="s">
        <v>990</v>
      </c>
      <c r="E465" t="s">
        <v>243</v>
      </c>
      <c r="F465" t="s">
        <v>948</v>
      </c>
      <c r="G465">
        <v>1077777</v>
      </c>
      <c r="H465">
        <v>500220</v>
      </c>
      <c r="I465" t="s">
        <v>949</v>
      </c>
    </row>
    <row r="466" spans="1:9" x14ac:dyDescent="0.25">
      <c r="A466">
        <v>4230</v>
      </c>
      <c r="B466">
        <v>10</v>
      </c>
      <c r="C466" t="s">
        <v>946</v>
      </c>
      <c r="D466" t="s">
        <v>990</v>
      </c>
      <c r="E466" t="s">
        <v>243</v>
      </c>
      <c r="F466" t="s">
        <v>948</v>
      </c>
      <c r="G466">
        <v>1099999</v>
      </c>
      <c r="H466">
        <v>403055</v>
      </c>
      <c r="I466">
        <v>50</v>
      </c>
    </row>
    <row r="467" spans="1:9" x14ac:dyDescent="0.25">
      <c r="A467">
        <v>4240</v>
      </c>
      <c r="B467">
        <v>10</v>
      </c>
      <c r="C467" t="s">
        <v>946</v>
      </c>
      <c r="D467" t="s">
        <v>990</v>
      </c>
      <c r="E467" t="s">
        <v>243</v>
      </c>
      <c r="F467" t="s">
        <v>948</v>
      </c>
      <c r="G467">
        <v>1077777</v>
      </c>
      <c r="H467">
        <v>500221</v>
      </c>
      <c r="I467" t="s">
        <v>949</v>
      </c>
    </row>
    <row r="468" spans="1:9" x14ac:dyDescent="0.25">
      <c r="A468">
        <v>4141</v>
      </c>
      <c r="B468">
        <v>10</v>
      </c>
      <c r="C468" t="s">
        <v>946</v>
      </c>
      <c r="D468" t="s">
        <v>990</v>
      </c>
      <c r="E468" t="s">
        <v>247</v>
      </c>
      <c r="F468" t="s">
        <v>948</v>
      </c>
      <c r="G468">
        <v>1077777</v>
      </c>
      <c r="H468">
        <v>501010</v>
      </c>
      <c r="I468">
        <v>50</v>
      </c>
    </row>
    <row r="469" spans="1:9" x14ac:dyDescent="0.25">
      <c r="A469">
        <v>4220</v>
      </c>
      <c r="B469">
        <v>10</v>
      </c>
      <c r="C469" t="s">
        <v>946</v>
      </c>
      <c r="D469" t="s">
        <v>990</v>
      </c>
      <c r="E469" t="s">
        <v>247</v>
      </c>
      <c r="F469" t="s">
        <v>948</v>
      </c>
      <c r="G469">
        <v>1077777</v>
      </c>
      <c r="H469">
        <v>500220</v>
      </c>
      <c r="I469" t="s">
        <v>949</v>
      </c>
    </row>
    <row r="470" spans="1:9" x14ac:dyDescent="0.25">
      <c r="A470">
        <v>4230</v>
      </c>
      <c r="B470">
        <v>10</v>
      </c>
      <c r="C470" t="s">
        <v>946</v>
      </c>
      <c r="D470" t="s">
        <v>990</v>
      </c>
      <c r="E470" t="s">
        <v>247</v>
      </c>
      <c r="F470" t="s">
        <v>948</v>
      </c>
      <c r="G470">
        <v>1099999</v>
      </c>
      <c r="H470">
        <v>403025</v>
      </c>
      <c r="I470">
        <v>50</v>
      </c>
    </row>
    <row r="471" spans="1:9" x14ac:dyDescent="0.25">
      <c r="A471">
        <v>4240</v>
      </c>
      <c r="B471">
        <v>10</v>
      </c>
      <c r="C471" t="s">
        <v>946</v>
      </c>
      <c r="D471" t="s">
        <v>990</v>
      </c>
      <c r="E471" t="s">
        <v>247</v>
      </c>
      <c r="F471" t="s">
        <v>948</v>
      </c>
      <c r="G471">
        <v>1077777</v>
      </c>
      <c r="H471">
        <v>500221</v>
      </c>
      <c r="I471" t="s">
        <v>949</v>
      </c>
    </row>
    <row r="472" spans="1:9" x14ac:dyDescent="0.25">
      <c r="A472">
        <v>4141</v>
      </c>
      <c r="B472">
        <v>10</v>
      </c>
      <c r="C472" t="s">
        <v>946</v>
      </c>
      <c r="D472" t="s">
        <v>990</v>
      </c>
      <c r="E472" t="s">
        <v>251</v>
      </c>
      <c r="F472" t="s">
        <v>948</v>
      </c>
      <c r="G472">
        <v>1077777</v>
      </c>
      <c r="H472">
        <v>501010</v>
      </c>
      <c r="I472">
        <v>50</v>
      </c>
    </row>
    <row r="473" spans="1:9" x14ac:dyDescent="0.25">
      <c r="A473">
        <v>4220</v>
      </c>
      <c r="B473">
        <v>10</v>
      </c>
      <c r="C473" t="s">
        <v>946</v>
      </c>
      <c r="D473" t="s">
        <v>990</v>
      </c>
      <c r="E473" t="s">
        <v>251</v>
      </c>
      <c r="F473" t="s">
        <v>948</v>
      </c>
      <c r="G473">
        <v>1077777</v>
      </c>
      <c r="H473">
        <v>500220</v>
      </c>
      <c r="I473" t="s">
        <v>949</v>
      </c>
    </row>
    <row r="474" spans="1:9" x14ac:dyDescent="0.25">
      <c r="A474">
        <v>4230</v>
      </c>
      <c r="B474">
        <v>10</v>
      </c>
      <c r="C474" t="s">
        <v>946</v>
      </c>
      <c r="D474" t="s">
        <v>990</v>
      </c>
      <c r="E474" t="s">
        <v>251</v>
      </c>
      <c r="F474" t="s">
        <v>948</v>
      </c>
      <c r="G474">
        <v>1099999</v>
      </c>
      <c r="H474">
        <v>403045</v>
      </c>
      <c r="I474">
        <v>50</v>
      </c>
    </row>
    <row r="475" spans="1:9" x14ac:dyDescent="0.25">
      <c r="A475">
        <v>4240</v>
      </c>
      <c r="B475">
        <v>10</v>
      </c>
      <c r="C475" t="s">
        <v>946</v>
      </c>
      <c r="D475" t="s">
        <v>990</v>
      </c>
      <c r="E475" t="s">
        <v>251</v>
      </c>
      <c r="F475" t="s">
        <v>948</v>
      </c>
      <c r="G475">
        <v>1077777</v>
      </c>
      <c r="H475">
        <v>500221</v>
      </c>
      <c r="I475" t="s">
        <v>949</v>
      </c>
    </row>
    <row r="476" spans="1:9" x14ac:dyDescent="0.25">
      <c r="A476">
        <v>4141</v>
      </c>
      <c r="B476">
        <v>10</v>
      </c>
      <c r="C476" t="s">
        <v>946</v>
      </c>
      <c r="D476" t="s">
        <v>990</v>
      </c>
      <c r="E476" t="s">
        <v>969</v>
      </c>
      <c r="F476" t="s">
        <v>948</v>
      </c>
      <c r="G476">
        <v>1077777</v>
      </c>
      <c r="H476">
        <v>501010</v>
      </c>
      <c r="I476">
        <v>50</v>
      </c>
    </row>
    <row r="477" spans="1:9" x14ac:dyDescent="0.25">
      <c r="A477">
        <v>4220</v>
      </c>
      <c r="B477">
        <v>10</v>
      </c>
      <c r="C477" t="s">
        <v>946</v>
      </c>
      <c r="D477" t="s">
        <v>990</v>
      </c>
      <c r="E477" t="s">
        <v>969</v>
      </c>
      <c r="F477" t="s">
        <v>948</v>
      </c>
      <c r="G477">
        <v>1077777</v>
      </c>
      <c r="H477">
        <v>500220</v>
      </c>
      <c r="I477" t="s">
        <v>949</v>
      </c>
    </row>
    <row r="478" spans="1:9" x14ac:dyDescent="0.25">
      <c r="A478">
        <v>4230</v>
      </c>
      <c r="B478">
        <v>10</v>
      </c>
      <c r="C478" t="s">
        <v>946</v>
      </c>
      <c r="D478" t="s">
        <v>990</v>
      </c>
      <c r="E478" t="s">
        <v>969</v>
      </c>
      <c r="F478" t="s">
        <v>948</v>
      </c>
      <c r="G478">
        <v>1099999</v>
      </c>
      <c r="H478">
        <v>403915</v>
      </c>
      <c r="I478">
        <v>50</v>
      </c>
    </row>
    <row r="479" spans="1:9" x14ac:dyDescent="0.25">
      <c r="A479">
        <v>4240</v>
      </c>
      <c r="B479">
        <v>10</v>
      </c>
      <c r="C479" t="s">
        <v>946</v>
      </c>
      <c r="D479" t="s">
        <v>990</v>
      </c>
      <c r="E479" t="s">
        <v>969</v>
      </c>
      <c r="F479" t="s">
        <v>948</v>
      </c>
      <c r="G479">
        <v>1077777</v>
      </c>
      <c r="H479">
        <v>500221</v>
      </c>
      <c r="I479" t="s">
        <v>949</v>
      </c>
    </row>
    <row r="480" spans="1:9" x14ac:dyDescent="0.25">
      <c r="A480">
        <v>4141</v>
      </c>
      <c r="B480">
        <v>10</v>
      </c>
      <c r="C480" t="s">
        <v>946</v>
      </c>
      <c r="D480" t="s">
        <v>990</v>
      </c>
      <c r="E480" t="s">
        <v>255</v>
      </c>
      <c r="F480" t="s">
        <v>948</v>
      </c>
      <c r="G480">
        <v>1077777</v>
      </c>
      <c r="H480">
        <v>501010</v>
      </c>
      <c r="I480">
        <v>50</v>
      </c>
    </row>
    <row r="481" spans="1:9" x14ac:dyDescent="0.25">
      <c r="A481">
        <v>4220</v>
      </c>
      <c r="B481">
        <v>10</v>
      </c>
      <c r="C481" t="s">
        <v>946</v>
      </c>
      <c r="D481" t="s">
        <v>990</v>
      </c>
      <c r="E481" t="s">
        <v>255</v>
      </c>
      <c r="F481" t="s">
        <v>948</v>
      </c>
      <c r="G481">
        <v>1077777</v>
      </c>
      <c r="H481">
        <v>500220</v>
      </c>
      <c r="I481" t="s">
        <v>949</v>
      </c>
    </row>
    <row r="482" spans="1:9" x14ac:dyDescent="0.25">
      <c r="A482">
        <v>4230</v>
      </c>
      <c r="B482">
        <v>10</v>
      </c>
      <c r="C482" t="s">
        <v>946</v>
      </c>
      <c r="D482" t="s">
        <v>990</v>
      </c>
      <c r="E482" t="s">
        <v>255</v>
      </c>
      <c r="F482" t="s">
        <v>948</v>
      </c>
      <c r="G482">
        <v>1099999</v>
      </c>
      <c r="H482">
        <v>403075</v>
      </c>
      <c r="I482">
        <v>50</v>
      </c>
    </row>
    <row r="483" spans="1:9" x14ac:dyDescent="0.25">
      <c r="A483">
        <v>4240</v>
      </c>
      <c r="B483">
        <v>10</v>
      </c>
      <c r="C483" t="s">
        <v>946</v>
      </c>
      <c r="D483" t="s">
        <v>990</v>
      </c>
      <c r="E483" t="s">
        <v>255</v>
      </c>
      <c r="F483" t="s">
        <v>948</v>
      </c>
      <c r="G483">
        <v>1077777</v>
      </c>
      <c r="H483">
        <v>500221</v>
      </c>
      <c r="I483" t="s">
        <v>949</v>
      </c>
    </row>
    <row r="484" spans="1:9" x14ac:dyDescent="0.25">
      <c r="A484">
        <v>4141</v>
      </c>
      <c r="B484">
        <v>10</v>
      </c>
      <c r="C484" t="s">
        <v>946</v>
      </c>
      <c r="D484" t="s">
        <v>990</v>
      </c>
      <c r="E484" t="s">
        <v>971</v>
      </c>
      <c r="F484" t="s">
        <v>948</v>
      </c>
      <c r="G484">
        <v>1077777</v>
      </c>
      <c r="H484">
        <v>501010</v>
      </c>
      <c r="I484">
        <v>50</v>
      </c>
    </row>
    <row r="485" spans="1:9" x14ac:dyDescent="0.25">
      <c r="A485">
        <v>4220</v>
      </c>
      <c r="B485">
        <v>10</v>
      </c>
      <c r="C485" t="s">
        <v>946</v>
      </c>
      <c r="D485" t="s">
        <v>990</v>
      </c>
      <c r="E485" t="s">
        <v>971</v>
      </c>
      <c r="F485" t="s">
        <v>948</v>
      </c>
      <c r="G485">
        <v>1077777</v>
      </c>
      <c r="H485">
        <v>500220</v>
      </c>
      <c r="I485" t="s">
        <v>949</v>
      </c>
    </row>
    <row r="486" spans="1:9" x14ac:dyDescent="0.25">
      <c r="A486">
        <v>4230</v>
      </c>
      <c r="B486">
        <v>10</v>
      </c>
      <c r="C486" t="s">
        <v>946</v>
      </c>
      <c r="D486" t="s">
        <v>990</v>
      </c>
      <c r="E486" t="s">
        <v>971</v>
      </c>
      <c r="F486" t="s">
        <v>948</v>
      </c>
      <c r="G486">
        <v>1099999</v>
      </c>
      <c r="H486">
        <v>403915</v>
      </c>
      <c r="I486">
        <v>50</v>
      </c>
    </row>
    <row r="487" spans="1:9" x14ac:dyDescent="0.25">
      <c r="A487">
        <v>4240</v>
      </c>
      <c r="B487">
        <v>10</v>
      </c>
      <c r="C487" t="s">
        <v>946</v>
      </c>
      <c r="D487" t="s">
        <v>990</v>
      </c>
      <c r="E487" t="s">
        <v>971</v>
      </c>
      <c r="F487" t="s">
        <v>948</v>
      </c>
      <c r="G487">
        <v>1077777</v>
      </c>
      <c r="H487">
        <v>500221</v>
      </c>
      <c r="I487" t="s">
        <v>949</v>
      </c>
    </row>
    <row r="488" spans="1:9" x14ac:dyDescent="0.25">
      <c r="A488">
        <v>4230</v>
      </c>
      <c r="B488">
        <v>10</v>
      </c>
      <c r="C488" t="s">
        <v>946</v>
      </c>
      <c r="D488" t="s">
        <v>990</v>
      </c>
      <c r="E488" t="s">
        <v>259</v>
      </c>
      <c r="F488" t="s">
        <v>948</v>
      </c>
      <c r="G488">
        <v>1099999</v>
      </c>
      <c r="H488">
        <v>409005</v>
      </c>
      <c r="I488">
        <v>50</v>
      </c>
    </row>
    <row r="489" spans="1:9" x14ac:dyDescent="0.25">
      <c r="A489">
        <v>4141</v>
      </c>
      <c r="B489">
        <v>10</v>
      </c>
      <c r="C489" t="s">
        <v>946</v>
      </c>
      <c r="D489" t="s">
        <v>990</v>
      </c>
      <c r="E489" t="s">
        <v>263</v>
      </c>
      <c r="F489" t="s">
        <v>948</v>
      </c>
      <c r="G489">
        <v>1077777</v>
      </c>
      <c r="H489">
        <v>501010</v>
      </c>
      <c r="I489">
        <v>50</v>
      </c>
    </row>
    <row r="490" spans="1:9" x14ac:dyDescent="0.25">
      <c r="A490">
        <v>4220</v>
      </c>
      <c r="B490">
        <v>10</v>
      </c>
      <c r="C490" t="s">
        <v>946</v>
      </c>
      <c r="D490" t="s">
        <v>990</v>
      </c>
      <c r="E490" t="s">
        <v>263</v>
      </c>
      <c r="F490" t="s">
        <v>948</v>
      </c>
      <c r="G490">
        <v>1077777</v>
      </c>
      <c r="H490">
        <v>500220</v>
      </c>
      <c r="I490" t="s">
        <v>949</v>
      </c>
    </row>
    <row r="491" spans="1:9" x14ac:dyDescent="0.25">
      <c r="A491">
        <v>4230</v>
      </c>
      <c r="B491">
        <v>10</v>
      </c>
      <c r="C491" t="s">
        <v>946</v>
      </c>
      <c r="D491" t="s">
        <v>990</v>
      </c>
      <c r="E491" t="s">
        <v>263</v>
      </c>
      <c r="F491" t="s">
        <v>948</v>
      </c>
      <c r="G491">
        <v>1099999</v>
      </c>
      <c r="H491">
        <v>403045</v>
      </c>
      <c r="I491">
        <v>50</v>
      </c>
    </row>
    <row r="492" spans="1:9" x14ac:dyDescent="0.25">
      <c r="A492">
        <v>4240</v>
      </c>
      <c r="B492">
        <v>10</v>
      </c>
      <c r="C492" t="s">
        <v>946</v>
      </c>
      <c r="D492" t="s">
        <v>990</v>
      </c>
      <c r="E492" t="s">
        <v>263</v>
      </c>
      <c r="F492" t="s">
        <v>948</v>
      </c>
      <c r="G492">
        <v>1077777</v>
      </c>
      <c r="H492">
        <v>500221</v>
      </c>
      <c r="I492" t="s">
        <v>949</v>
      </c>
    </row>
    <row r="493" spans="1:9" x14ac:dyDescent="0.25">
      <c r="A493">
        <v>4141</v>
      </c>
      <c r="B493">
        <v>10</v>
      </c>
      <c r="C493" t="s">
        <v>946</v>
      </c>
      <c r="D493" t="s">
        <v>990</v>
      </c>
      <c r="E493" t="s">
        <v>100</v>
      </c>
      <c r="F493" t="s">
        <v>948</v>
      </c>
      <c r="G493">
        <v>1077777</v>
      </c>
      <c r="H493">
        <v>500220</v>
      </c>
      <c r="I493" t="s">
        <v>949</v>
      </c>
    </row>
    <row r="494" spans="1:9" x14ac:dyDescent="0.25">
      <c r="A494">
        <v>4220</v>
      </c>
      <c r="B494">
        <v>10</v>
      </c>
      <c r="C494" t="s">
        <v>946</v>
      </c>
      <c r="D494" t="s">
        <v>990</v>
      </c>
      <c r="E494" t="s">
        <v>100</v>
      </c>
      <c r="F494" t="s">
        <v>948</v>
      </c>
      <c r="G494">
        <v>1077777</v>
      </c>
      <c r="H494">
        <v>500220</v>
      </c>
      <c r="I494" t="s">
        <v>949</v>
      </c>
    </row>
    <row r="495" spans="1:9" x14ac:dyDescent="0.25">
      <c r="A495">
        <v>4230</v>
      </c>
      <c r="B495">
        <v>10</v>
      </c>
      <c r="C495" t="s">
        <v>946</v>
      </c>
      <c r="D495" t="s">
        <v>990</v>
      </c>
      <c r="E495" t="s">
        <v>100</v>
      </c>
      <c r="F495" t="s">
        <v>948</v>
      </c>
      <c r="G495">
        <v>1099999</v>
      </c>
      <c r="H495">
        <v>403045</v>
      </c>
      <c r="I495">
        <v>50</v>
      </c>
    </row>
    <row r="496" spans="1:9" x14ac:dyDescent="0.25">
      <c r="A496">
        <v>4240</v>
      </c>
      <c r="B496">
        <v>10</v>
      </c>
      <c r="C496" t="s">
        <v>946</v>
      </c>
      <c r="D496" t="s">
        <v>990</v>
      </c>
      <c r="E496" t="s">
        <v>100</v>
      </c>
      <c r="F496" t="s">
        <v>948</v>
      </c>
      <c r="G496">
        <v>1077777</v>
      </c>
      <c r="H496">
        <v>500221</v>
      </c>
      <c r="I496" t="s">
        <v>949</v>
      </c>
    </row>
    <row r="497" spans="1:9" x14ac:dyDescent="0.25">
      <c r="A497">
        <v>4230</v>
      </c>
      <c r="B497">
        <v>10</v>
      </c>
      <c r="C497" t="s">
        <v>946</v>
      </c>
      <c r="D497" t="s">
        <v>990</v>
      </c>
      <c r="E497" t="s">
        <v>987</v>
      </c>
      <c r="F497" t="s">
        <v>948</v>
      </c>
      <c r="G497">
        <v>1002305</v>
      </c>
      <c r="H497">
        <v>740150</v>
      </c>
      <c r="I497">
        <v>50</v>
      </c>
    </row>
    <row r="498" spans="1:9" x14ac:dyDescent="0.25">
      <c r="A498">
        <v>4141</v>
      </c>
      <c r="B498">
        <v>10</v>
      </c>
      <c r="C498" t="s">
        <v>946</v>
      </c>
      <c r="D498" t="s">
        <v>990</v>
      </c>
      <c r="E498" t="s">
        <v>270</v>
      </c>
      <c r="F498" t="s">
        <v>948</v>
      </c>
      <c r="G498">
        <v>1077777</v>
      </c>
      <c r="H498">
        <v>501010</v>
      </c>
      <c r="I498">
        <v>50</v>
      </c>
    </row>
    <row r="499" spans="1:9" x14ac:dyDescent="0.25">
      <c r="A499">
        <v>4220</v>
      </c>
      <c r="B499">
        <v>10</v>
      </c>
      <c r="C499" t="s">
        <v>946</v>
      </c>
      <c r="D499" t="s">
        <v>990</v>
      </c>
      <c r="E499" t="s">
        <v>270</v>
      </c>
      <c r="F499" t="s">
        <v>948</v>
      </c>
      <c r="G499">
        <v>1077777</v>
      </c>
      <c r="H499">
        <v>500220</v>
      </c>
      <c r="I499" t="s">
        <v>949</v>
      </c>
    </row>
    <row r="500" spans="1:9" x14ac:dyDescent="0.25">
      <c r="A500">
        <v>4230</v>
      </c>
      <c r="B500">
        <v>10</v>
      </c>
      <c r="C500" t="s">
        <v>946</v>
      </c>
      <c r="D500" t="s">
        <v>990</v>
      </c>
      <c r="E500" t="s">
        <v>270</v>
      </c>
      <c r="F500" t="s">
        <v>948</v>
      </c>
      <c r="G500">
        <v>1099999</v>
      </c>
      <c r="H500">
        <v>403065</v>
      </c>
      <c r="I500">
        <v>50</v>
      </c>
    </row>
    <row r="501" spans="1:9" x14ac:dyDescent="0.25">
      <c r="A501">
        <v>4240</v>
      </c>
      <c r="B501">
        <v>10</v>
      </c>
      <c r="C501" t="s">
        <v>946</v>
      </c>
      <c r="D501" t="s">
        <v>990</v>
      </c>
      <c r="E501" t="s">
        <v>270</v>
      </c>
      <c r="F501" t="s">
        <v>948</v>
      </c>
      <c r="G501">
        <v>1077777</v>
      </c>
      <c r="H501">
        <v>500221</v>
      </c>
      <c r="I501" t="s">
        <v>949</v>
      </c>
    </row>
    <row r="502" spans="1:9" x14ac:dyDescent="0.25">
      <c r="A502">
        <v>4141</v>
      </c>
      <c r="B502">
        <v>10</v>
      </c>
      <c r="C502" t="s">
        <v>946</v>
      </c>
      <c r="D502" t="s">
        <v>990</v>
      </c>
      <c r="E502" t="s">
        <v>274</v>
      </c>
      <c r="F502" t="s">
        <v>948</v>
      </c>
      <c r="G502">
        <v>1077777</v>
      </c>
      <c r="H502">
        <v>501010</v>
      </c>
      <c r="I502">
        <v>50</v>
      </c>
    </row>
    <row r="503" spans="1:9" x14ac:dyDescent="0.25">
      <c r="A503">
        <v>4220</v>
      </c>
      <c r="B503">
        <v>10</v>
      </c>
      <c r="C503" t="s">
        <v>946</v>
      </c>
      <c r="D503" t="s">
        <v>990</v>
      </c>
      <c r="E503" t="s">
        <v>274</v>
      </c>
      <c r="F503" t="s">
        <v>948</v>
      </c>
      <c r="G503">
        <v>1077777</v>
      </c>
      <c r="H503">
        <v>500220</v>
      </c>
      <c r="I503" t="s">
        <v>949</v>
      </c>
    </row>
    <row r="504" spans="1:9" x14ac:dyDescent="0.25">
      <c r="A504">
        <v>4230</v>
      </c>
      <c r="B504">
        <v>10</v>
      </c>
      <c r="C504" t="s">
        <v>946</v>
      </c>
      <c r="D504" t="s">
        <v>990</v>
      </c>
      <c r="E504" t="s">
        <v>274</v>
      </c>
      <c r="F504" t="s">
        <v>948</v>
      </c>
      <c r="G504">
        <v>1099999</v>
      </c>
      <c r="H504">
        <v>403045</v>
      </c>
      <c r="I504">
        <v>50</v>
      </c>
    </row>
    <row r="505" spans="1:9" x14ac:dyDescent="0.25">
      <c r="A505">
        <v>4240</v>
      </c>
      <c r="B505">
        <v>10</v>
      </c>
      <c r="C505" t="s">
        <v>946</v>
      </c>
      <c r="D505" t="s">
        <v>990</v>
      </c>
      <c r="E505" t="s">
        <v>274</v>
      </c>
      <c r="F505" t="s">
        <v>948</v>
      </c>
      <c r="G505">
        <v>1077777</v>
      </c>
      <c r="H505">
        <v>500221</v>
      </c>
      <c r="I505" t="s">
        <v>949</v>
      </c>
    </row>
    <row r="506" spans="1:9" x14ac:dyDescent="0.25">
      <c r="A506">
        <v>4141</v>
      </c>
      <c r="B506">
        <v>10</v>
      </c>
      <c r="C506" t="s">
        <v>946</v>
      </c>
      <c r="D506" t="s">
        <v>990</v>
      </c>
      <c r="E506" t="s">
        <v>974</v>
      </c>
      <c r="F506" t="s">
        <v>948</v>
      </c>
      <c r="G506">
        <v>1077777</v>
      </c>
      <c r="H506">
        <v>501010</v>
      </c>
      <c r="I506">
        <v>50</v>
      </c>
    </row>
    <row r="507" spans="1:9" x14ac:dyDescent="0.25">
      <c r="A507">
        <v>4220</v>
      </c>
      <c r="B507">
        <v>10</v>
      </c>
      <c r="C507" t="s">
        <v>946</v>
      </c>
      <c r="D507" t="s">
        <v>990</v>
      </c>
      <c r="E507" t="s">
        <v>974</v>
      </c>
      <c r="F507" t="s">
        <v>948</v>
      </c>
      <c r="G507">
        <v>1077777</v>
      </c>
      <c r="H507">
        <v>500220</v>
      </c>
      <c r="I507" t="s">
        <v>949</v>
      </c>
    </row>
    <row r="508" spans="1:9" x14ac:dyDescent="0.25">
      <c r="A508">
        <v>4230</v>
      </c>
      <c r="B508">
        <v>10</v>
      </c>
      <c r="C508" t="s">
        <v>946</v>
      </c>
      <c r="D508" t="s">
        <v>990</v>
      </c>
      <c r="E508" t="s">
        <v>974</v>
      </c>
      <c r="F508" t="s">
        <v>948</v>
      </c>
      <c r="G508">
        <v>1099999</v>
      </c>
      <c r="H508">
        <v>403915</v>
      </c>
      <c r="I508">
        <v>50</v>
      </c>
    </row>
    <row r="509" spans="1:9" x14ac:dyDescent="0.25">
      <c r="A509">
        <v>4240</v>
      </c>
      <c r="B509">
        <v>10</v>
      </c>
      <c r="C509" t="s">
        <v>946</v>
      </c>
      <c r="D509" t="s">
        <v>990</v>
      </c>
      <c r="E509" t="s">
        <v>974</v>
      </c>
      <c r="F509" t="s">
        <v>948</v>
      </c>
      <c r="G509">
        <v>1077777</v>
      </c>
      <c r="H509">
        <v>500221</v>
      </c>
      <c r="I509" t="s">
        <v>949</v>
      </c>
    </row>
    <row r="510" spans="1:9" x14ac:dyDescent="0.25">
      <c r="A510">
        <v>4141</v>
      </c>
      <c r="B510">
        <v>10</v>
      </c>
      <c r="C510" t="s">
        <v>946</v>
      </c>
      <c r="D510" t="s">
        <v>990</v>
      </c>
      <c r="E510" t="s">
        <v>104</v>
      </c>
      <c r="F510" t="s">
        <v>948</v>
      </c>
      <c r="G510">
        <v>1077777</v>
      </c>
      <c r="H510">
        <v>500220</v>
      </c>
      <c r="I510" t="s">
        <v>949</v>
      </c>
    </row>
    <row r="511" spans="1:9" x14ac:dyDescent="0.25">
      <c r="A511">
        <v>4220</v>
      </c>
      <c r="B511">
        <v>10</v>
      </c>
      <c r="C511" t="s">
        <v>946</v>
      </c>
      <c r="D511" t="s">
        <v>990</v>
      </c>
      <c r="E511" t="s">
        <v>104</v>
      </c>
      <c r="F511" t="s">
        <v>948</v>
      </c>
      <c r="G511">
        <v>1077777</v>
      </c>
      <c r="H511">
        <v>500220</v>
      </c>
      <c r="I511" t="s">
        <v>949</v>
      </c>
    </row>
    <row r="512" spans="1:9" x14ac:dyDescent="0.25">
      <c r="A512">
        <v>4230</v>
      </c>
      <c r="B512">
        <v>10</v>
      </c>
      <c r="C512" t="s">
        <v>946</v>
      </c>
      <c r="D512" t="s">
        <v>990</v>
      </c>
      <c r="E512" t="s">
        <v>104</v>
      </c>
      <c r="F512" t="s">
        <v>948</v>
      </c>
      <c r="G512">
        <v>1099999</v>
      </c>
      <c r="H512">
        <v>403045</v>
      </c>
      <c r="I512">
        <v>50</v>
      </c>
    </row>
    <row r="513" spans="1:9" x14ac:dyDescent="0.25">
      <c r="A513">
        <v>4240</v>
      </c>
      <c r="B513">
        <v>10</v>
      </c>
      <c r="C513" t="s">
        <v>946</v>
      </c>
      <c r="D513" t="s">
        <v>990</v>
      </c>
      <c r="E513" t="s">
        <v>104</v>
      </c>
      <c r="F513" t="s">
        <v>948</v>
      </c>
      <c r="G513">
        <v>1077777</v>
      </c>
      <c r="H513">
        <v>500221</v>
      </c>
      <c r="I513" t="s">
        <v>949</v>
      </c>
    </row>
    <row r="514" spans="1:9" x14ac:dyDescent="0.25">
      <c r="A514">
        <v>4141</v>
      </c>
      <c r="B514">
        <v>10</v>
      </c>
      <c r="C514" t="s">
        <v>946</v>
      </c>
      <c r="D514" t="s">
        <v>990</v>
      </c>
      <c r="E514" t="s">
        <v>278</v>
      </c>
      <c r="F514" t="s">
        <v>948</v>
      </c>
      <c r="G514">
        <v>1077777</v>
      </c>
      <c r="H514">
        <v>501010</v>
      </c>
      <c r="I514">
        <v>50</v>
      </c>
    </row>
    <row r="515" spans="1:9" x14ac:dyDescent="0.25">
      <c r="A515">
        <v>4220</v>
      </c>
      <c r="B515">
        <v>10</v>
      </c>
      <c r="C515" t="s">
        <v>946</v>
      </c>
      <c r="D515" t="s">
        <v>990</v>
      </c>
      <c r="E515" t="s">
        <v>278</v>
      </c>
      <c r="F515" t="s">
        <v>948</v>
      </c>
      <c r="G515">
        <v>1077777</v>
      </c>
      <c r="H515">
        <v>500220</v>
      </c>
      <c r="I515" t="s">
        <v>949</v>
      </c>
    </row>
    <row r="516" spans="1:9" x14ac:dyDescent="0.25">
      <c r="A516">
        <v>4230</v>
      </c>
      <c r="B516">
        <v>10</v>
      </c>
      <c r="C516" t="s">
        <v>946</v>
      </c>
      <c r="D516" t="s">
        <v>990</v>
      </c>
      <c r="E516" t="s">
        <v>278</v>
      </c>
      <c r="F516" t="s">
        <v>948</v>
      </c>
      <c r="G516">
        <v>1099999</v>
      </c>
      <c r="H516">
        <v>403055</v>
      </c>
      <c r="I516">
        <v>50</v>
      </c>
    </row>
    <row r="517" spans="1:9" x14ac:dyDescent="0.25">
      <c r="A517">
        <v>4240</v>
      </c>
      <c r="B517">
        <v>10</v>
      </c>
      <c r="C517" t="s">
        <v>946</v>
      </c>
      <c r="D517" t="s">
        <v>990</v>
      </c>
      <c r="E517" t="s">
        <v>278</v>
      </c>
      <c r="F517" t="s">
        <v>948</v>
      </c>
      <c r="G517">
        <v>1077777</v>
      </c>
      <c r="H517">
        <v>500221</v>
      </c>
      <c r="I517" t="s">
        <v>949</v>
      </c>
    </row>
    <row r="518" spans="1:9" x14ac:dyDescent="0.25">
      <c r="A518">
        <v>4141</v>
      </c>
      <c r="B518">
        <v>10</v>
      </c>
      <c r="C518" t="s">
        <v>946</v>
      </c>
      <c r="D518" t="s">
        <v>990</v>
      </c>
      <c r="E518" t="s">
        <v>282</v>
      </c>
      <c r="F518" t="s">
        <v>948</v>
      </c>
      <c r="G518">
        <v>1077777</v>
      </c>
      <c r="H518">
        <v>501010</v>
      </c>
      <c r="I518">
        <v>50</v>
      </c>
    </row>
    <row r="519" spans="1:9" x14ac:dyDescent="0.25">
      <c r="A519">
        <v>4220</v>
      </c>
      <c r="B519">
        <v>10</v>
      </c>
      <c r="C519" t="s">
        <v>946</v>
      </c>
      <c r="D519" t="s">
        <v>990</v>
      </c>
      <c r="E519" t="s">
        <v>282</v>
      </c>
      <c r="F519" t="s">
        <v>948</v>
      </c>
      <c r="G519">
        <v>1077777</v>
      </c>
      <c r="H519">
        <v>500220</v>
      </c>
      <c r="I519" t="s">
        <v>949</v>
      </c>
    </row>
    <row r="520" spans="1:9" x14ac:dyDescent="0.25">
      <c r="A520">
        <v>4230</v>
      </c>
      <c r="B520">
        <v>10</v>
      </c>
      <c r="C520" t="s">
        <v>946</v>
      </c>
      <c r="D520" t="s">
        <v>990</v>
      </c>
      <c r="E520" t="s">
        <v>282</v>
      </c>
      <c r="F520" t="s">
        <v>948</v>
      </c>
      <c r="G520">
        <v>1099999</v>
      </c>
      <c r="H520">
        <v>403045</v>
      </c>
      <c r="I520">
        <v>50</v>
      </c>
    </row>
    <row r="521" spans="1:9" x14ac:dyDescent="0.25">
      <c r="A521">
        <v>4240</v>
      </c>
      <c r="B521">
        <v>10</v>
      </c>
      <c r="C521" t="s">
        <v>946</v>
      </c>
      <c r="D521" t="s">
        <v>990</v>
      </c>
      <c r="E521" t="s">
        <v>282</v>
      </c>
      <c r="F521" t="s">
        <v>948</v>
      </c>
      <c r="G521">
        <v>1077777</v>
      </c>
      <c r="H521">
        <v>500221</v>
      </c>
      <c r="I521" t="s">
        <v>949</v>
      </c>
    </row>
    <row r="522" spans="1:9" x14ac:dyDescent="0.25">
      <c r="A522">
        <v>4141</v>
      </c>
      <c r="B522">
        <v>10</v>
      </c>
      <c r="C522" t="s">
        <v>946</v>
      </c>
      <c r="D522" t="s">
        <v>990</v>
      </c>
      <c r="E522" t="s">
        <v>286</v>
      </c>
      <c r="F522" t="s">
        <v>948</v>
      </c>
      <c r="G522">
        <v>1077777</v>
      </c>
      <c r="H522">
        <v>501010</v>
      </c>
      <c r="I522">
        <v>50</v>
      </c>
    </row>
    <row r="523" spans="1:9" x14ac:dyDescent="0.25">
      <c r="A523">
        <v>4220</v>
      </c>
      <c r="B523">
        <v>10</v>
      </c>
      <c r="C523" t="s">
        <v>946</v>
      </c>
      <c r="D523" t="s">
        <v>990</v>
      </c>
      <c r="E523" t="s">
        <v>286</v>
      </c>
      <c r="F523" t="s">
        <v>948</v>
      </c>
      <c r="G523">
        <v>1077777</v>
      </c>
      <c r="H523">
        <v>500220</v>
      </c>
      <c r="I523" t="s">
        <v>949</v>
      </c>
    </row>
    <row r="524" spans="1:9" x14ac:dyDescent="0.25">
      <c r="A524">
        <v>4230</v>
      </c>
      <c r="B524">
        <v>10</v>
      </c>
      <c r="C524" t="s">
        <v>946</v>
      </c>
      <c r="D524" t="s">
        <v>990</v>
      </c>
      <c r="E524" t="s">
        <v>286</v>
      </c>
      <c r="F524" t="s">
        <v>948</v>
      </c>
      <c r="G524">
        <v>1099999</v>
      </c>
      <c r="H524">
        <v>403035</v>
      </c>
      <c r="I524">
        <v>50</v>
      </c>
    </row>
    <row r="525" spans="1:9" x14ac:dyDescent="0.25">
      <c r="A525">
        <v>4240</v>
      </c>
      <c r="B525">
        <v>10</v>
      </c>
      <c r="C525" t="s">
        <v>946</v>
      </c>
      <c r="D525" t="s">
        <v>990</v>
      </c>
      <c r="E525" t="s">
        <v>286</v>
      </c>
      <c r="F525" t="s">
        <v>948</v>
      </c>
      <c r="G525">
        <v>1077777</v>
      </c>
      <c r="H525">
        <v>500221</v>
      </c>
      <c r="I525" t="s">
        <v>949</v>
      </c>
    </row>
    <row r="526" spans="1:9" x14ac:dyDescent="0.25">
      <c r="A526">
        <v>4141</v>
      </c>
      <c r="B526">
        <v>10</v>
      </c>
      <c r="C526" t="s">
        <v>946</v>
      </c>
      <c r="D526" t="s">
        <v>990</v>
      </c>
      <c r="E526" t="s">
        <v>976</v>
      </c>
      <c r="F526" t="s">
        <v>948</v>
      </c>
      <c r="G526">
        <v>1077777</v>
      </c>
      <c r="H526">
        <v>501010</v>
      </c>
      <c r="I526">
        <v>50</v>
      </c>
    </row>
    <row r="527" spans="1:9" x14ac:dyDescent="0.25">
      <c r="A527">
        <v>4220</v>
      </c>
      <c r="B527">
        <v>10</v>
      </c>
      <c r="C527" t="s">
        <v>946</v>
      </c>
      <c r="D527" t="s">
        <v>990</v>
      </c>
      <c r="E527" t="s">
        <v>976</v>
      </c>
      <c r="F527" t="s">
        <v>948</v>
      </c>
      <c r="G527">
        <v>1077777</v>
      </c>
      <c r="H527">
        <v>500220</v>
      </c>
      <c r="I527" t="s">
        <v>949</v>
      </c>
    </row>
    <row r="528" spans="1:9" x14ac:dyDescent="0.25">
      <c r="A528">
        <v>4230</v>
      </c>
      <c r="B528">
        <v>10</v>
      </c>
      <c r="C528" t="s">
        <v>946</v>
      </c>
      <c r="D528" t="s">
        <v>990</v>
      </c>
      <c r="E528" t="s">
        <v>976</v>
      </c>
      <c r="F528" t="s">
        <v>948</v>
      </c>
      <c r="G528">
        <v>1099999</v>
      </c>
      <c r="H528">
        <v>403915</v>
      </c>
      <c r="I528">
        <v>50</v>
      </c>
    </row>
    <row r="529" spans="1:9" x14ac:dyDescent="0.25">
      <c r="A529">
        <v>4240</v>
      </c>
      <c r="B529">
        <v>10</v>
      </c>
      <c r="C529" t="s">
        <v>946</v>
      </c>
      <c r="D529" t="s">
        <v>990</v>
      </c>
      <c r="E529" t="s">
        <v>976</v>
      </c>
      <c r="F529" t="s">
        <v>948</v>
      </c>
      <c r="G529">
        <v>1077777</v>
      </c>
      <c r="H529">
        <v>500221</v>
      </c>
      <c r="I529" t="s">
        <v>949</v>
      </c>
    </row>
    <row r="530" spans="1:9" x14ac:dyDescent="0.25">
      <c r="A530">
        <v>4141</v>
      </c>
      <c r="B530">
        <v>10</v>
      </c>
      <c r="C530" t="s">
        <v>946</v>
      </c>
      <c r="D530" t="s">
        <v>990</v>
      </c>
      <c r="E530" t="s">
        <v>290</v>
      </c>
      <c r="F530" t="s">
        <v>948</v>
      </c>
      <c r="G530">
        <v>1077777</v>
      </c>
      <c r="H530">
        <v>501010</v>
      </c>
      <c r="I530">
        <v>50</v>
      </c>
    </row>
    <row r="531" spans="1:9" x14ac:dyDescent="0.25">
      <c r="A531">
        <v>4220</v>
      </c>
      <c r="B531">
        <v>10</v>
      </c>
      <c r="C531" t="s">
        <v>946</v>
      </c>
      <c r="D531" t="s">
        <v>990</v>
      </c>
      <c r="E531" t="s">
        <v>290</v>
      </c>
      <c r="F531" t="s">
        <v>948</v>
      </c>
      <c r="G531">
        <v>1077777</v>
      </c>
      <c r="H531">
        <v>500220</v>
      </c>
      <c r="I531" t="s">
        <v>949</v>
      </c>
    </row>
    <row r="532" spans="1:9" x14ac:dyDescent="0.25">
      <c r="A532">
        <v>4230</v>
      </c>
      <c r="B532">
        <v>10</v>
      </c>
      <c r="C532" t="s">
        <v>946</v>
      </c>
      <c r="D532" t="s">
        <v>990</v>
      </c>
      <c r="E532" t="s">
        <v>290</v>
      </c>
      <c r="F532" t="s">
        <v>948</v>
      </c>
      <c r="G532">
        <v>1099999</v>
      </c>
      <c r="H532">
        <v>403045</v>
      </c>
      <c r="I532">
        <v>50</v>
      </c>
    </row>
    <row r="533" spans="1:9" x14ac:dyDescent="0.25">
      <c r="A533">
        <v>4240</v>
      </c>
      <c r="B533">
        <v>10</v>
      </c>
      <c r="C533" t="s">
        <v>946</v>
      </c>
      <c r="D533" t="s">
        <v>990</v>
      </c>
      <c r="E533" t="s">
        <v>290</v>
      </c>
      <c r="F533" t="s">
        <v>948</v>
      </c>
      <c r="G533">
        <v>1077777</v>
      </c>
      <c r="H533">
        <v>500221</v>
      </c>
      <c r="I533" t="s">
        <v>949</v>
      </c>
    </row>
    <row r="534" spans="1:9" x14ac:dyDescent="0.25">
      <c r="A534">
        <v>4141</v>
      </c>
      <c r="B534">
        <v>10</v>
      </c>
      <c r="C534" t="s">
        <v>946</v>
      </c>
      <c r="D534" t="s">
        <v>990</v>
      </c>
      <c r="E534" t="s">
        <v>294</v>
      </c>
      <c r="F534" t="s">
        <v>948</v>
      </c>
      <c r="G534">
        <v>1077777</v>
      </c>
      <c r="H534">
        <v>501010</v>
      </c>
      <c r="I534">
        <v>50</v>
      </c>
    </row>
    <row r="535" spans="1:9" x14ac:dyDescent="0.25">
      <c r="A535">
        <v>4220</v>
      </c>
      <c r="B535">
        <v>10</v>
      </c>
      <c r="C535" t="s">
        <v>946</v>
      </c>
      <c r="D535" t="s">
        <v>990</v>
      </c>
      <c r="E535" t="s">
        <v>294</v>
      </c>
      <c r="F535" t="s">
        <v>948</v>
      </c>
      <c r="G535">
        <v>1077777</v>
      </c>
      <c r="H535">
        <v>500220</v>
      </c>
      <c r="I535" t="s">
        <v>949</v>
      </c>
    </row>
    <row r="536" spans="1:9" x14ac:dyDescent="0.25">
      <c r="A536">
        <v>4230</v>
      </c>
      <c r="B536">
        <v>10</v>
      </c>
      <c r="C536" t="s">
        <v>946</v>
      </c>
      <c r="D536" t="s">
        <v>990</v>
      </c>
      <c r="E536" t="s">
        <v>294</v>
      </c>
      <c r="F536" t="s">
        <v>948</v>
      </c>
      <c r="G536">
        <v>1099999</v>
      </c>
      <c r="H536">
        <v>403045</v>
      </c>
      <c r="I536">
        <v>50</v>
      </c>
    </row>
    <row r="537" spans="1:9" x14ac:dyDescent="0.25">
      <c r="A537">
        <v>4240</v>
      </c>
      <c r="B537">
        <v>10</v>
      </c>
      <c r="C537" t="s">
        <v>946</v>
      </c>
      <c r="D537" t="s">
        <v>990</v>
      </c>
      <c r="E537" t="s">
        <v>294</v>
      </c>
      <c r="F537" t="s">
        <v>948</v>
      </c>
      <c r="G537">
        <v>1077777</v>
      </c>
      <c r="H537">
        <v>500221</v>
      </c>
      <c r="I537" t="s">
        <v>949</v>
      </c>
    </row>
    <row r="538" spans="1:9" x14ac:dyDescent="0.25">
      <c r="A538">
        <v>4230</v>
      </c>
      <c r="B538">
        <v>10</v>
      </c>
      <c r="C538" t="s">
        <v>946</v>
      </c>
      <c r="D538" t="s">
        <v>990</v>
      </c>
      <c r="E538" t="s">
        <v>298</v>
      </c>
      <c r="F538" t="s">
        <v>948</v>
      </c>
      <c r="G538">
        <v>1099999</v>
      </c>
      <c r="H538">
        <v>403085</v>
      </c>
      <c r="I538">
        <v>50</v>
      </c>
    </row>
    <row r="539" spans="1:9" x14ac:dyDescent="0.25">
      <c r="A539">
        <v>4141</v>
      </c>
      <c r="B539">
        <v>10</v>
      </c>
      <c r="C539" t="s">
        <v>946</v>
      </c>
      <c r="D539" t="s">
        <v>990</v>
      </c>
      <c r="E539" t="s">
        <v>980</v>
      </c>
      <c r="F539" t="s">
        <v>948</v>
      </c>
      <c r="G539">
        <v>1077777</v>
      </c>
      <c r="H539">
        <v>501010</v>
      </c>
      <c r="I539">
        <v>50</v>
      </c>
    </row>
    <row r="540" spans="1:9" x14ac:dyDescent="0.25">
      <c r="A540">
        <v>4220</v>
      </c>
      <c r="B540">
        <v>10</v>
      </c>
      <c r="C540" t="s">
        <v>946</v>
      </c>
      <c r="D540" t="s">
        <v>990</v>
      </c>
      <c r="E540" t="s">
        <v>980</v>
      </c>
      <c r="F540" t="s">
        <v>948</v>
      </c>
      <c r="G540">
        <v>1077777</v>
      </c>
      <c r="H540">
        <v>500220</v>
      </c>
      <c r="I540" t="s">
        <v>949</v>
      </c>
    </row>
    <row r="541" spans="1:9" x14ac:dyDescent="0.25">
      <c r="A541">
        <v>4230</v>
      </c>
      <c r="B541">
        <v>10</v>
      </c>
      <c r="C541" t="s">
        <v>946</v>
      </c>
      <c r="D541" t="s">
        <v>990</v>
      </c>
      <c r="E541" t="s">
        <v>980</v>
      </c>
      <c r="F541" t="s">
        <v>948</v>
      </c>
      <c r="G541">
        <v>1099999</v>
      </c>
      <c r="H541">
        <v>403915</v>
      </c>
      <c r="I541">
        <v>50</v>
      </c>
    </row>
    <row r="542" spans="1:9" x14ac:dyDescent="0.25">
      <c r="A542">
        <v>4240</v>
      </c>
      <c r="B542">
        <v>10</v>
      </c>
      <c r="C542" t="s">
        <v>946</v>
      </c>
      <c r="D542" t="s">
        <v>990</v>
      </c>
      <c r="E542" t="s">
        <v>980</v>
      </c>
      <c r="F542" t="s">
        <v>948</v>
      </c>
      <c r="G542">
        <v>1077777</v>
      </c>
      <c r="H542">
        <v>500221</v>
      </c>
      <c r="I542" t="s">
        <v>949</v>
      </c>
    </row>
    <row r="543" spans="1:9" x14ac:dyDescent="0.25">
      <c r="A543">
        <v>4141</v>
      </c>
      <c r="B543">
        <v>10</v>
      </c>
      <c r="C543" t="s">
        <v>946</v>
      </c>
      <c r="D543" t="s">
        <v>990</v>
      </c>
      <c r="E543" t="s">
        <v>302</v>
      </c>
      <c r="F543" t="s">
        <v>948</v>
      </c>
      <c r="G543">
        <v>1077777</v>
      </c>
      <c r="H543">
        <v>501010</v>
      </c>
      <c r="I543">
        <v>50</v>
      </c>
    </row>
    <row r="544" spans="1:9" x14ac:dyDescent="0.25">
      <c r="A544">
        <v>4220</v>
      </c>
      <c r="B544">
        <v>10</v>
      </c>
      <c r="C544" t="s">
        <v>946</v>
      </c>
      <c r="D544" t="s">
        <v>990</v>
      </c>
      <c r="E544" t="s">
        <v>302</v>
      </c>
      <c r="F544" t="s">
        <v>948</v>
      </c>
      <c r="G544">
        <v>1077777</v>
      </c>
      <c r="H544">
        <v>500220</v>
      </c>
      <c r="I544" t="s">
        <v>949</v>
      </c>
    </row>
    <row r="545" spans="1:9" x14ac:dyDescent="0.25">
      <c r="A545">
        <v>4230</v>
      </c>
      <c r="B545">
        <v>10</v>
      </c>
      <c r="C545" t="s">
        <v>946</v>
      </c>
      <c r="D545" t="s">
        <v>990</v>
      </c>
      <c r="E545" t="s">
        <v>302</v>
      </c>
      <c r="F545" t="s">
        <v>948</v>
      </c>
      <c r="G545">
        <v>1099999</v>
      </c>
      <c r="H545">
        <v>401905</v>
      </c>
      <c r="I545">
        <v>50</v>
      </c>
    </row>
    <row r="546" spans="1:9" x14ac:dyDescent="0.25">
      <c r="A546">
        <v>4240</v>
      </c>
      <c r="B546">
        <v>10</v>
      </c>
      <c r="C546" t="s">
        <v>946</v>
      </c>
      <c r="D546" t="s">
        <v>990</v>
      </c>
      <c r="E546" t="s">
        <v>302</v>
      </c>
      <c r="F546" t="s">
        <v>948</v>
      </c>
      <c r="G546">
        <v>1077777</v>
      </c>
      <c r="H546">
        <v>500221</v>
      </c>
      <c r="I546" t="s">
        <v>949</v>
      </c>
    </row>
    <row r="547" spans="1:9" x14ac:dyDescent="0.25">
      <c r="A547">
        <v>4141</v>
      </c>
      <c r="B547">
        <v>10</v>
      </c>
      <c r="C547" t="s">
        <v>946</v>
      </c>
      <c r="D547" t="s">
        <v>990</v>
      </c>
      <c r="E547" t="s">
        <v>306</v>
      </c>
      <c r="F547" t="s">
        <v>948</v>
      </c>
      <c r="G547">
        <v>1077777</v>
      </c>
      <c r="H547">
        <v>501010</v>
      </c>
      <c r="I547">
        <v>50</v>
      </c>
    </row>
    <row r="548" spans="1:9" x14ac:dyDescent="0.25">
      <c r="A548">
        <v>4220</v>
      </c>
      <c r="B548">
        <v>10</v>
      </c>
      <c r="C548" t="s">
        <v>946</v>
      </c>
      <c r="D548" t="s">
        <v>990</v>
      </c>
      <c r="E548" t="s">
        <v>306</v>
      </c>
      <c r="F548" t="s">
        <v>948</v>
      </c>
      <c r="G548">
        <v>1077777</v>
      </c>
      <c r="H548">
        <v>500220</v>
      </c>
      <c r="I548" t="s">
        <v>949</v>
      </c>
    </row>
    <row r="549" spans="1:9" x14ac:dyDescent="0.25">
      <c r="A549">
        <v>4230</v>
      </c>
      <c r="B549">
        <v>10</v>
      </c>
      <c r="C549" t="s">
        <v>946</v>
      </c>
      <c r="D549" t="s">
        <v>990</v>
      </c>
      <c r="E549" t="s">
        <v>306</v>
      </c>
      <c r="F549" t="s">
        <v>948</v>
      </c>
      <c r="G549">
        <v>1099999</v>
      </c>
      <c r="H549">
        <v>403045</v>
      </c>
      <c r="I549">
        <v>50</v>
      </c>
    </row>
    <row r="550" spans="1:9" x14ac:dyDescent="0.25">
      <c r="A550">
        <v>4240</v>
      </c>
      <c r="B550">
        <v>10</v>
      </c>
      <c r="C550" t="s">
        <v>946</v>
      </c>
      <c r="D550" t="s">
        <v>990</v>
      </c>
      <c r="E550" t="s">
        <v>306</v>
      </c>
      <c r="F550" t="s">
        <v>948</v>
      </c>
      <c r="G550">
        <v>1077777</v>
      </c>
      <c r="H550">
        <v>500221</v>
      </c>
      <c r="I550" t="s">
        <v>949</v>
      </c>
    </row>
    <row r="551" spans="1:9" x14ac:dyDescent="0.25">
      <c r="A551">
        <v>4141</v>
      </c>
      <c r="B551">
        <v>10</v>
      </c>
      <c r="C551" t="s">
        <v>946</v>
      </c>
      <c r="D551" t="s">
        <v>990</v>
      </c>
      <c r="E551" t="s">
        <v>108</v>
      </c>
      <c r="F551" t="s">
        <v>948</v>
      </c>
      <c r="G551">
        <v>1077777</v>
      </c>
      <c r="H551">
        <v>500220</v>
      </c>
      <c r="I551" t="s">
        <v>949</v>
      </c>
    </row>
    <row r="552" spans="1:9" x14ac:dyDescent="0.25">
      <c r="A552">
        <v>4220</v>
      </c>
      <c r="B552">
        <v>10</v>
      </c>
      <c r="C552" t="s">
        <v>946</v>
      </c>
      <c r="D552" t="s">
        <v>990</v>
      </c>
      <c r="E552" t="s">
        <v>108</v>
      </c>
      <c r="F552" t="s">
        <v>948</v>
      </c>
      <c r="G552">
        <v>1077777</v>
      </c>
      <c r="H552">
        <v>500220</v>
      </c>
      <c r="I552" t="s">
        <v>949</v>
      </c>
    </row>
    <row r="553" spans="1:9" x14ac:dyDescent="0.25">
      <c r="A553">
        <v>4230</v>
      </c>
      <c r="B553">
        <v>10</v>
      </c>
      <c r="C553" t="s">
        <v>946</v>
      </c>
      <c r="D553" t="s">
        <v>990</v>
      </c>
      <c r="E553" t="s">
        <v>108</v>
      </c>
      <c r="F553" t="s">
        <v>948</v>
      </c>
      <c r="G553">
        <v>1099999</v>
      </c>
      <c r="H553">
        <v>403045</v>
      </c>
      <c r="I553">
        <v>50</v>
      </c>
    </row>
    <row r="554" spans="1:9" x14ac:dyDescent="0.25">
      <c r="A554">
        <v>4240</v>
      </c>
      <c r="B554">
        <v>10</v>
      </c>
      <c r="C554" t="s">
        <v>946</v>
      </c>
      <c r="D554" t="s">
        <v>990</v>
      </c>
      <c r="E554" t="s">
        <v>108</v>
      </c>
      <c r="F554" t="s">
        <v>948</v>
      </c>
      <c r="G554">
        <v>1077777</v>
      </c>
      <c r="H554">
        <v>500221</v>
      </c>
      <c r="I554" t="s">
        <v>949</v>
      </c>
    </row>
    <row r="555" spans="1:9" x14ac:dyDescent="0.25">
      <c r="A555">
        <v>4141</v>
      </c>
      <c r="B555">
        <v>10</v>
      </c>
      <c r="C555" t="s">
        <v>946</v>
      </c>
      <c r="D555" t="s">
        <v>990</v>
      </c>
      <c r="E555" t="s">
        <v>310</v>
      </c>
      <c r="F555" t="s">
        <v>948</v>
      </c>
      <c r="G555">
        <v>1077777</v>
      </c>
      <c r="H555">
        <v>501010</v>
      </c>
      <c r="I555">
        <v>50</v>
      </c>
    </row>
    <row r="556" spans="1:9" x14ac:dyDescent="0.25">
      <c r="A556">
        <v>4220</v>
      </c>
      <c r="B556">
        <v>10</v>
      </c>
      <c r="C556" t="s">
        <v>946</v>
      </c>
      <c r="D556" t="s">
        <v>990</v>
      </c>
      <c r="E556" t="s">
        <v>310</v>
      </c>
      <c r="F556" t="s">
        <v>948</v>
      </c>
      <c r="G556">
        <v>1077777</v>
      </c>
      <c r="H556">
        <v>500220</v>
      </c>
      <c r="I556" t="s">
        <v>949</v>
      </c>
    </row>
    <row r="557" spans="1:9" x14ac:dyDescent="0.25">
      <c r="A557">
        <v>4230</v>
      </c>
      <c r="B557">
        <v>10</v>
      </c>
      <c r="C557" t="s">
        <v>946</v>
      </c>
      <c r="D557" t="s">
        <v>990</v>
      </c>
      <c r="E557" t="s">
        <v>310</v>
      </c>
      <c r="F557" t="s">
        <v>948</v>
      </c>
      <c r="G557">
        <v>1099999</v>
      </c>
      <c r="H557">
        <v>403015</v>
      </c>
      <c r="I557">
        <v>50</v>
      </c>
    </row>
    <row r="558" spans="1:9" x14ac:dyDescent="0.25">
      <c r="A558">
        <v>4240</v>
      </c>
      <c r="B558">
        <v>10</v>
      </c>
      <c r="C558" t="s">
        <v>946</v>
      </c>
      <c r="D558" t="s">
        <v>990</v>
      </c>
      <c r="E558" t="s">
        <v>310</v>
      </c>
      <c r="F558" t="s">
        <v>948</v>
      </c>
      <c r="G558">
        <v>1077777</v>
      </c>
      <c r="H558">
        <v>500221</v>
      </c>
      <c r="I558" t="s">
        <v>949</v>
      </c>
    </row>
    <row r="559" spans="1:9" x14ac:dyDescent="0.25">
      <c r="A559">
        <v>4141</v>
      </c>
      <c r="B559">
        <v>10</v>
      </c>
      <c r="C559" t="s">
        <v>946</v>
      </c>
      <c r="D559" t="s">
        <v>990</v>
      </c>
      <c r="E559" t="s">
        <v>314</v>
      </c>
      <c r="F559" t="s">
        <v>948</v>
      </c>
      <c r="G559">
        <v>1077777</v>
      </c>
      <c r="H559">
        <v>501010</v>
      </c>
      <c r="I559">
        <v>50</v>
      </c>
    </row>
    <row r="560" spans="1:9" x14ac:dyDescent="0.25">
      <c r="A560">
        <v>4220</v>
      </c>
      <c r="B560">
        <v>10</v>
      </c>
      <c r="C560" t="s">
        <v>946</v>
      </c>
      <c r="D560" t="s">
        <v>990</v>
      </c>
      <c r="E560" t="s">
        <v>314</v>
      </c>
      <c r="F560" t="s">
        <v>948</v>
      </c>
      <c r="G560">
        <v>1077777</v>
      </c>
      <c r="H560">
        <v>500220</v>
      </c>
      <c r="I560" t="s">
        <v>949</v>
      </c>
    </row>
    <row r="561" spans="1:9" x14ac:dyDescent="0.25">
      <c r="A561">
        <v>4230</v>
      </c>
      <c r="B561">
        <v>10</v>
      </c>
      <c r="C561" t="s">
        <v>946</v>
      </c>
      <c r="D561" t="s">
        <v>990</v>
      </c>
      <c r="E561" t="s">
        <v>314</v>
      </c>
      <c r="F561" t="s">
        <v>948</v>
      </c>
      <c r="G561">
        <v>1099999</v>
      </c>
      <c r="H561">
        <v>403065</v>
      </c>
      <c r="I561">
        <v>50</v>
      </c>
    </row>
    <row r="562" spans="1:9" x14ac:dyDescent="0.25">
      <c r="A562">
        <v>4240</v>
      </c>
      <c r="B562">
        <v>10</v>
      </c>
      <c r="C562" t="s">
        <v>946</v>
      </c>
      <c r="D562" t="s">
        <v>990</v>
      </c>
      <c r="E562" t="s">
        <v>314</v>
      </c>
      <c r="F562" t="s">
        <v>948</v>
      </c>
      <c r="G562">
        <v>1077777</v>
      </c>
      <c r="H562">
        <v>500221</v>
      </c>
      <c r="I562" t="s">
        <v>949</v>
      </c>
    </row>
    <row r="563" spans="1:9" x14ac:dyDescent="0.25">
      <c r="A563">
        <v>4141</v>
      </c>
      <c r="B563">
        <v>10</v>
      </c>
      <c r="C563" t="s">
        <v>946</v>
      </c>
      <c r="D563" t="s">
        <v>990</v>
      </c>
      <c r="E563" t="s">
        <v>113</v>
      </c>
      <c r="F563" t="s">
        <v>948</v>
      </c>
      <c r="G563">
        <v>1077777</v>
      </c>
      <c r="H563">
        <v>500220</v>
      </c>
      <c r="I563" t="s">
        <v>949</v>
      </c>
    </row>
    <row r="564" spans="1:9" x14ac:dyDescent="0.25">
      <c r="A564">
        <v>4220</v>
      </c>
      <c r="B564">
        <v>10</v>
      </c>
      <c r="C564" t="s">
        <v>946</v>
      </c>
      <c r="D564" t="s">
        <v>990</v>
      </c>
      <c r="E564" t="s">
        <v>113</v>
      </c>
      <c r="F564" t="s">
        <v>948</v>
      </c>
      <c r="G564">
        <v>1077777</v>
      </c>
      <c r="H564">
        <v>500220</v>
      </c>
      <c r="I564" t="s">
        <v>949</v>
      </c>
    </row>
    <row r="565" spans="1:9" x14ac:dyDescent="0.25">
      <c r="A565">
        <v>4230</v>
      </c>
      <c r="B565">
        <v>10</v>
      </c>
      <c r="C565" t="s">
        <v>946</v>
      </c>
      <c r="D565" t="s">
        <v>990</v>
      </c>
      <c r="E565" t="s">
        <v>113</v>
      </c>
      <c r="F565" t="s">
        <v>948</v>
      </c>
      <c r="G565">
        <v>1099999</v>
      </c>
      <c r="H565">
        <v>403085</v>
      </c>
      <c r="I565">
        <v>50</v>
      </c>
    </row>
    <row r="566" spans="1:9" x14ac:dyDescent="0.25">
      <c r="A566">
        <v>4240</v>
      </c>
      <c r="B566">
        <v>10</v>
      </c>
      <c r="C566" t="s">
        <v>946</v>
      </c>
      <c r="D566" t="s">
        <v>990</v>
      </c>
      <c r="E566" t="s">
        <v>113</v>
      </c>
      <c r="F566" t="s">
        <v>948</v>
      </c>
      <c r="G566">
        <v>1077777</v>
      </c>
      <c r="H566">
        <v>500221</v>
      </c>
      <c r="I566" t="s">
        <v>949</v>
      </c>
    </row>
    <row r="567" spans="1:9" x14ac:dyDescent="0.25">
      <c r="A567">
        <v>4141</v>
      </c>
      <c r="B567">
        <v>10</v>
      </c>
      <c r="C567" t="s">
        <v>946</v>
      </c>
      <c r="D567" t="s">
        <v>990</v>
      </c>
      <c r="E567" t="s">
        <v>117</v>
      </c>
      <c r="F567" t="s">
        <v>948</v>
      </c>
      <c r="G567">
        <v>1077777</v>
      </c>
      <c r="H567">
        <v>500220</v>
      </c>
      <c r="I567" t="s">
        <v>949</v>
      </c>
    </row>
    <row r="568" spans="1:9" x14ac:dyDescent="0.25">
      <c r="A568">
        <v>4220</v>
      </c>
      <c r="B568">
        <v>10</v>
      </c>
      <c r="C568" t="s">
        <v>946</v>
      </c>
      <c r="D568" t="s">
        <v>990</v>
      </c>
      <c r="E568" t="s">
        <v>117</v>
      </c>
      <c r="F568" t="s">
        <v>948</v>
      </c>
      <c r="G568">
        <v>1077777</v>
      </c>
      <c r="H568">
        <v>500220</v>
      </c>
      <c r="I568" t="s">
        <v>949</v>
      </c>
    </row>
    <row r="569" spans="1:9" x14ac:dyDescent="0.25">
      <c r="A569">
        <v>4230</v>
      </c>
      <c r="B569">
        <v>10</v>
      </c>
      <c r="C569" t="s">
        <v>946</v>
      </c>
      <c r="D569" t="s">
        <v>990</v>
      </c>
      <c r="E569" t="s">
        <v>117</v>
      </c>
      <c r="F569" t="s">
        <v>948</v>
      </c>
      <c r="G569">
        <v>1088888</v>
      </c>
      <c r="H569">
        <v>810600</v>
      </c>
      <c r="I569">
        <v>50</v>
      </c>
    </row>
    <row r="570" spans="1:9" x14ac:dyDescent="0.25">
      <c r="A570">
        <v>4240</v>
      </c>
      <c r="B570">
        <v>10</v>
      </c>
      <c r="C570" t="s">
        <v>946</v>
      </c>
      <c r="D570" t="s">
        <v>990</v>
      </c>
      <c r="E570" t="s">
        <v>117</v>
      </c>
      <c r="F570" t="s">
        <v>948</v>
      </c>
      <c r="G570">
        <v>1077777</v>
      </c>
      <c r="H570">
        <v>500221</v>
      </c>
      <c r="I570" t="s">
        <v>949</v>
      </c>
    </row>
    <row r="571" spans="1:9" x14ac:dyDescent="0.25">
      <c r="A571">
        <v>4141</v>
      </c>
      <c r="B571">
        <v>10</v>
      </c>
      <c r="C571" t="s">
        <v>946</v>
      </c>
      <c r="D571" t="s">
        <v>990</v>
      </c>
      <c r="E571" t="s">
        <v>121</v>
      </c>
      <c r="F571" t="s">
        <v>948</v>
      </c>
      <c r="G571">
        <v>1077777</v>
      </c>
      <c r="H571">
        <v>500220</v>
      </c>
      <c r="I571" t="s">
        <v>949</v>
      </c>
    </row>
    <row r="572" spans="1:9" x14ac:dyDescent="0.25">
      <c r="A572">
        <v>4220</v>
      </c>
      <c r="B572">
        <v>10</v>
      </c>
      <c r="C572" t="s">
        <v>946</v>
      </c>
      <c r="D572" t="s">
        <v>990</v>
      </c>
      <c r="E572" t="s">
        <v>121</v>
      </c>
      <c r="F572" t="s">
        <v>948</v>
      </c>
      <c r="G572">
        <v>1077777</v>
      </c>
      <c r="H572">
        <v>500220</v>
      </c>
      <c r="I572" t="s">
        <v>949</v>
      </c>
    </row>
    <row r="573" spans="1:9" x14ac:dyDescent="0.25">
      <c r="A573">
        <v>4230</v>
      </c>
      <c r="B573">
        <v>10</v>
      </c>
      <c r="C573" t="s">
        <v>946</v>
      </c>
      <c r="D573" t="s">
        <v>990</v>
      </c>
      <c r="E573" t="s">
        <v>121</v>
      </c>
      <c r="F573" t="s">
        <v>948</v>
      </c>
      <c r="G573">
        <v>1099999</v>
      </c>
      <c r="H573">
        <v>403045</v>
      </c>
      <c r="I573">
        <v>50</v>
      </c>
    </row>
    <row r="574" spans="1:9" x14ac:dyDescent="0.25">
      <c r="A574">
        <v>4240</v>
      </c>
      <c r="B574">
        <v>10</v>
      </c>
      <c r="C574" t="s">
        <v>946</v>
      </c>
      <c r="D574" t="s">
        <v>990</v>
      </c>
      <c r="E574" t="s">
        <v>121</v>
      </c>
      <c r="F574" t="s">
        <v>948</v>
      </c>
      <c r="G574">
        <v>1077777</v>
      </c>
      <c r="H574">
        <v>500221</v>
      </c>
      <c r="I574" t="s">
        <v>949</v>
      </c>
    </row>
    <row r="575" spans="1:9" x14ac:dyDescent="0.25">
      <c r="A575">
        <v>4141</v>
      </c>
      <c r="B575">
        <v>10</v>
      </c>
      <c r="C575" t="s">
        <v>946</v>
      </c>
      <c r="D575" t="s">
        <v>990</v>
      </c>
      <c r="E575" t="s">
        <v>984</v>
      </c>
      <c r="F575" t="s">
        <v>948</v>
      </c>
      <c r="G575">
        <v>1077777</v>
      </c>
      <c r="H575">
        <v>501010</v>
      </c>
      <c r="I575">
        <v>50</v>
      </c>
    </row>
    <row r="576" spans="1:9" x14ac:dyDescent="0.25">
      <c r="A576">
        <v>4220</v>
      </c>
      <c r="B576">
        <v>10</v>
      </c>
      <c r="C576" t="s">
        <v>946</v>
      </c>
      <c r="D576" t="s">
        <v>990</v>
      </c>
      <c r="E576" t="s">
        <v>984</v>
      </c>
      <c r="F576" t="s">
        <v>948</v>
      </c>
      <c r="G576">
        <v>1077777</v>
      </c>
      <c r="H576">
        <v>500220</v>
      </c>
      <c r="I576" t="s">
        <v>949</v>
      </c>
    </row>
    <row r="577" spans="1:9" x14ac:dyDescent="0.25">
      <c r="A577">
        <v>4230</v>
      </c>
      <c r="B577">
        <v>10</v>
      </c>
      <c r="C577" t="s">
        <v>946</v>
      </c>
      <c r="D577" t="s">
        <v>990</v>
      </c>
      <c r="E577" t="s">
        <v>984</v>
      </c>
      <c r="F577" t="s">
        <v>948</v>
      </c>
      <c r="G577">
        <v>1099999</v>
      </c>
      <c r="H577">
        <v>403915</v>
      </c>
      <c r="I577">
        <v>50</v>
      </c>
    </row>
    <row r="578" spans="1:9" x14ac:dyDescent="0.25">
      <c r="A578">
        <v>4240</v>
      </c>
      <c r="B578">
        <v>10</v>
      </c>
      <c r="C578" t="s">
        <v>946</v>
      </c>
      <c r="D578" t="s">
        <v>990</v>
      </c>
      <c r="E578" t="s">
        <v>984</v>
      </c>
      <c r="F578" t="s">
        <v>948</v>
      </c>
      <c r="G578">
        <v>1077777</v>
      </c>
      <c r="H578">
        <v>500221</v>
      </c>
      <c r="I578" t="s">
        <v>949</v>
      </c>
    </row>
    <row r="579" spans="1:9" x14ac:dyDescent="0.25">
      <c r="A579">
        <v>4141</v>
      </c>
      <c r="B579">
        <v>10</v>
      </c>
      <c r="C579" t="s">
        <v>946</v>
      </c>
      <c r="D579" t="s">
        <v>991</v>
      </c>
      <c r="E579" t="s">
        <v>243</v>
      </c>
      <c r="F579" t="s">
        <v>948</v>
      </c>
      <c r="G579">
        <v>1077777</v>
      </c>
      <c r="H579">
        <v>501010</v>
      </c>
      <c r="I579" t="s">
        <v>949</v>
      </c>
    </row>
    <row r="580" spans="1:9" x14ac:dyDescent="0.25">
      <c r="A580">
        <v>4220</v>
      </c>
      <c r="B580">
        <v>10</v>
      </c>
      <c r="C580" t="s">
        <v>946</v>
      </c>
      <c r="D580" t="s">
        <v>991</v>
      </c>
      <c r="E580" t="s">
        <v>243</v>
      </c>
      <c r="F580" t="s">
        <v>948</v>
      </c>
      <c r="G580">
        <v>1077777</v>
      </c>
      <c r="H580">
        <v>500220</v>
      </c>
      <c r="I580" t="s">
        <v>949</v>
      </c>
    </row>
    <row r="581" spans="1:9" x14ac:dyDescent="0.25">
      <c r="A581">
        <v>4230</v>
      </c>
      <c r="B581">
        <v>10</v>
      </c>
      <c r="C581" t="s">
        <v>946</v>
      </c>
      <c r="D581" t="s">
        <v>991</v>
      </c>
      <c r="E581" t="s">
        <v>243</v>
      </c>
      <c r="F581" t="s">
        <v>948</v>
      </c>
      <c r="G581">
        <v>1099999</v>
      </c>
      <c r="H581">
        <v>403052</v>
      </c>
      <c r="I581" t="s">
        <v>949</v>
      </c>
    </row>
    <row r="582" spans="1:9" x14ac:dyDescent="0.25">
      <c r="A582">
        <v>4240</v>
      </c>
      <c r="B582">
        <v>10</v>
      </c>
      <c r="C582" t="s">
        <v>946</v>
      </c>
      <c r="D582" t="s">
        <v>991</v>
      </c>
      <c r="E582" t="s">
        <v>243</v>
      </c>
      <c r="F582" t="s">
        <v>948</v>
      </c>
      <c r="G582">
        <v>1077777</v>
      </c>
      <c r="H582">
        <v>500221</v>
      </c>
      <c r="I582" t="s">
        <v>949</v>
      </c>
    </row>
    <row r="583" spans="1:9" x14ac:dyDescent="0.25">
      <c r="A583">
        <v>4141</v>
      </c>
      <c r="B583">
        <v>10</v>
      </c>
      <c r="C583" t="s">
        <v>946</v>
      </c>
      <c r="D583" t="s">
        <v>991</v>
      </c>
      <c r="E583" t="s">
        <v>247</v>
      </c>
      <c r="F583" t="s">
        <v>948</v>
      </c>
      <c r="G583">
        <v>1077777</v>
      </c>
      <c r="H583">
        <v>501010</v>
      </c>
      <c r="I583" t="s">
        <v>949</v>
      </c>
    </row>
    <row r="584" spans="1:9" x14ac:dyDescent="0.25">
      <c r="A584">
        <v>4220</v>
      </c>
      <c r="B584">
        <v>10</v>
      </c>
      <c r="C584" t="s">
        <v>946</v>
      </c>
      <c r="D584" t="s">
        <v>991</v>
      </c>
      <c r="E584" t="s">
        <v>247</v>
      </c>
      <c r="F584" t="s">
        <v>948</v>
      </c>
      <c r="G584">
        <v>1077777</v>
      </c>
      <c r="H584">
        <v>500220</v>
      </c>
      <c r="I584" t="s">
        <v>949</v>
      </c>
    </row>
    <row r="585" spans="1:9" x14ac:dyDescent="0.25">
      <c r="A585">
        <v>4230</v>
      </c>
      <c r="B585">
        <v>10</v>
      </c>
      <c r="C585" t="s">
        <v>946</v>
      </c>
      <c r="D585" t="s">
        <v>991</v>
      </c>
      <c r="E585" t="s">
        <v>247</v>
      </c>
      <c r="F585" t="s">
        <v>948</v>
      </c>
      <c r="G585">
        <v>1099999</v>
      </c>
      <c r="H585">
        <v>403022</v>
      </c>
      <c r="I585" t="s">
        <v>949</v>
      </c>
    </row>
    <row r="586" spans="1:9" x14ac:dyDescent="0.25">
      <c r="A586">
        <v>4240</v>
      </c>
      <c r="B586">
        <v>10</v>
      </c>
      <c r="C586" t="s">
        <v>946</v>
      </c>
      <c r="D586" t="s">
        <v>991</v>
      </c>
      <c r="E586" t="s">
        <v>247</v>
      </c>
      <c r="F586" t="s">
        <v>948</v>
      </c>
      <c r="G586">
        <v>1077777</v>
      </c>
      <c r="H586">
        <v>500221</v>
      </c>
      <c r="I586" t="s">
        <v>949</v>
      </c>
    </row>
    <row r="587" spans="1:9" x14ac:dyDescent="0.25">
      <c r="A587">
        <v>4141</v>
      </c>
      <c r="B587">
        <v>10</v>
      </c>
      <c r="C587" t="s">
        <v>946</v>
      </c>
      <c r="D587" t="s">
        <v>991</v>
      </c>
      <c r="E587" t="s">
        <v>251</v>
      </c>
      <c r="F587" t="s">
        <v>948</v>
      </c>
      <c r="G587">
        <v>1077777</v>
      </c>
      <c r="H587">
        <v>501010</v>
      </c>
      <c r="I587" t="s">
        <v>949</v>
      </c>
    </row>
    <row r="588" spans="1:9" x14ac:dyDescent="0.25">
      <c r="A588">
        <v>4220</v>
      </c>
      <c r="B588">
        <v>10</v>
      </c>
      <c r="C588" t="s">
        <v>946</v>
      </c>
      <c r="D588" t="s">
        <v>991</v>
      </c>
      <c r="E588" t="s">
        <v>251</v>
      </c>
      <c r="F588" t="s">
        <v>948</v>
      </c>
      <c r="G588">
        <v>1077777</v>
      </c>
      <c r="H588">
        <v>500220</v>
      </c>
      <c r="I588" t="s">
        <v>949</v>
      </c>
    </row>
    <row r="589" spans="1:9" x14ac:dyDescent="0.25">
      <c r="A589">
        <v>4230</v>
      </c>
      <c r="B589">
        <v>10</v>
      </c>
      <c r="C589" t="s">
        <v>946</v>
      </c>
      <c r="D589" t="s">
        <v>991</v>
      </c>
      <c r="E589" t="s">
        <v>251</v>
      </c>
      <c r="F589" t="s">
        <v>948</v>
      </c>
      <c r="G589">
        <v>1099999</v>
      </c>
      <c r="H589">
        <v>403042</v>
      </c>
      <c r="I589" t="s">
        <v>949</v>
      </c>
    </row>
    <row r="590" spans="1:9" x14ac:dyDescent="0.25">
      <c r="A590">
        <v>4240</v>
      </c>
      <c r="B590">
        <v>10</v>
      </c>
      <c r="C590" t="s">
        <v>946</v>
      </c>
      <c r="D590" t="s">
        <v>991</v>
      </c>
      <c r="E590" t="s">
        <v>251</v>
      </c>
      <c r="F590" t="s">
        <v>948</v>
      </c>
      <c r="G590">
        <v>1077777</v>
      </c>
      <c r="H590">
        <v>500221</v>
      </c>
      <c r="I590" t="s">
        <v>949</v>
      </c>
    </row>
    <row r="591" spans="1:9" x14ac:dyDescent="0.25">
      <c r="A591">
        <v>4141</v>
      </c>
      <c r="B591">
        <v>10</v>
      </c>
      <c r="C591" t="s">
        <v>946</v>
      </c>
      <c r="D591" t="s">
        <v>991</v>
      </c>
      <c r="E591" t="s">
        <v>969</v>
      </c>
      <c r="F591" t="s">
        <v>948</v>
      </c>
      <c r="G591">
        <v>1077777</v>
      </c>
      <c r="H591">
        <v>501010</v>
      </c>
      <c r="I591" t="s">
        <v>949</v>
      </c>
    </row>
    <row r="592" spans="1:9" x14ac:dyDescent="0.25">
      <c r="A592">
        <v>4220</v>
      </c>
      <c r="B592">
        <v>10</v>
      </c>
      <c r="C592" t="s">
        <v>946</v>
      </c>
      <c r="D592" t="s">
        <v>991</v>
      </c>
      <c r="E592" t="s">
        <v>969</v>
      </c>
      <c r="F592" t="s">
        <v>948</v>
      </c>
      <c r="G592">
        <v>1077777</v>
      </c>
      <c r="H592">
        <v>500220</v>
      </c>
      <c r="I592" t="s">
        <v>949</v>
      </c>
    </row>
    <row r="593" spans="1:9" x14ac:dyDescent="0.25">
      <c r="A593">
        <v>4230</v>
      </c>
      <c r="B593">
        <v>10</v>
      </c>
      <c r="C593" t="s">
        <v>946</v>
      </c>
      <c r="D593" t="s">
        <v>991</v>
      </c>
      <c r="E593" t="s">
        <v>969</v>
      </c>
      <c r="F593" t="s">
        <v>948</v>
      </c>
      <c r="G593">
        <v>1099999</v>
      </c>
      <c r="H593">
        <v>403912</v>
      </c>
      <c r="I593" t="s">
        <v>949</v>
      </c>
    </row>
    <row r="594" spans="1:9" x14ac:dyDescent="0.25">
      <c r="A594">
        <v>4240</v>
      </c>
      <c r="B594">
        <v>10</v>
      </c>
      <c r="C594" t="s">
        <v>946</v>
      </c>
      <c r="D594" t="s">
        <v>991</v>
      </c>
      <c r="E594" t="s">
        <v>969</v>
      </c>
      <c r="F594" t="s">
        <v>948</v>
      </c>
      <c r="G594">
        <v>1077777</v>
      </c>
      <c r="H594">
        <v>500221</v>
      </c>
      <c r="I594" t="s">
        <v>949</v>
      </c>
    </row>
    <row r="595" spans="1:9" x14ac:dyDescent="0.25">
      <c r="A595">
        <v>4141</v>
      </c>
      <c r="B595">
        <v>10</v>
      </c>
      <c r="C595" t="s">
        <v>946</v>
      </c>
      <c r="D595" t="s">
        <v>991</v>
      </c>
      <c r="E595" t="s">
        <v>255</v>
      </c>
      <c r="F595" t="s">
        <v>948</v>
      </c>
      <c r="G595">
        <v>1077777</v>
      </c>
      <c r="H595">
        <v>501010</v>
      </c>
      <c r="I595" t="s">
        <v>949</v>
      </c>
    </row>
    <row r="596" spans="1:9" x14ac:dyDescent="0.25">
      <c r="A596">
        <v>4220</v>
      </c>
      <c r="B596">
        <v>10</v>
      </c>
      <c r="C596" t="s">
        <v>946</v>
      </c>
      <c r="D596" t="s">
        <v>991</v>
      </c>
      <c r="E596" t="s">
        <v>255</v>
      </c>
      <c r="F596" t="s">
        <v>948</v>
      </c>
      <c r="G596">
        <v>1077777</v>
      </c>
      <c r="H596">
        <v>500220</v>
      </c>
      <c r="I596" t="s">
        <v>949</v>
      </c>
    </row>
    <row r="597" spans="1:9" x14ac:dyDescent="0.25">
      <c r="A597">
        <v>4230</v>
      </c>
      <c r="B597">
        <v>10</v>
      </c>
      <c r="C597" t="s">
        <v>946</v>
      </c>
      <c r="D597" t="s">
        <v>991</v>
      </c>
      <c r="E597" t="s">
        <v>255</v>
      </c>
      <c r="F597" t="s">
        <v>948</v>
      </c>
      <c r="G597">
        <v>1099999</v>
      </c>
      <c r="H597">
        <v>403072</v>
      </c>
      <c r="I597" t="s">
        <v>949</v>
      </c>
    </row>
    <row r="598" spans="1:9" x14ac:dyDescent="0.25">
      <c r="A598">
        <v>4240</v>
      </c>
      <c r="B598">
        <v>10</v>
      </c>
      <c r="C598" t="s">
        <v>946</v>
      </c>
      <c r="D598" t="s">
        <v>991</v>
      </c>
      <c r="E598" t="s">
        <v>255</v>
      </c>
      <c r="F598" t="s">
        <v>948</v>
      </c>
      <c r="G598">
        <v>1077777</v>
      </c>
      <c r="H598">
        <v>500221</v>
      </c>
      <c r="I598" t="s">
        <v>949</v>
      </c>
    </row>
    <row r="599" spans="1:9" x14ac:dyDescent="0.25">
      <c r="A599">
        <v>4141</v>
      </c>
      <c r="B599">
        <v>10</v>
      </c>
      <c r="C599" t="s">
        <v>946</v>
      </c>
      <c r="D599" t="s">
        <v>991</v>
      </c>
      <c r="E599" t="s">
        <v>971</v>
      </c>
      <c r="F599" t="s">
        <v>948</v>
      </c>
      <c r="G599">
        <v>1077777</v>
      </c>
      <c r="H599">
        <v>501010</v>
      </c>
      <c r="I599" t="s">
        <v>949</v>
      </c>
    </row>
    <row r="600" spans="1:9" x14ac:dyDescent="0.25">
      <c r="A600">
        <v>4220</v>
      </c>
      <c r="B600">
        <v>10</v>
      </c>
      <c r="C600" t="s">
        <v>946</v>
      </c>
      <c r="D600" t="s">
        <v>991</v>
      </c>
      <c r="E600" t="s">
        <v>971</v>
      </c>
      <c r="F600" t="s">
        <v>948</v>
      </c>
      <c r="G600">
        <v>1077777</v>
      </c>
      <c r="H600">
        <v>500220</v>
      </c>
      <c r="I600" t="s">
        <v>949</v>
      </c>
    </row>
    <row r="601" spans="1:9" x14ac:dyDescent="0.25">
      <c r="A601">
        <v>4230</v>
      </c>
      <c r="B601">
        <v>10</v>
      </c>
      <c r="C601" t="s">
        <v>946</v>
      </c>
      <c r="D601" t="s">
        <v>991</v>
      </c>
      <c r="E601" t="s">
        <v>971</v>
      </c>
      <c r="F601" t="s">
        <v>948</v>
      </c>
      <c r="G601">
        <v>1099999</v>
      </c>
      <c r="H601">
        <v>403912</v>
      </c>
      <c r="I601" t="s">
        <v>949</v>
      </c>
    </row>
    <row r="602" spans="1:9" x14ac:dyDescent="0.25">
      <c r="A602">
        <v>4240</v>
      </c>
      <c r="B602">
        <v>10</v>
      </c>
      <c r="C602" t="s">
        <v>946</v>
      </c>
      <c r="D602" t="s">
        <v>991</v>
      </c>
      <c r="E602" t="s">
        <v>971</v>
      </c>
      <c r="F602" t="s">
        <v>948</v>
      </c>
      <c r="G602">
        <v>1077777</v>
      </c>
      <c r="H602">
        <v>500221</v>
      </c>
      <c r="I602" t="s">
        <v>949</v>
      </c>
    </row>
    <row r="603" spans="1:9" x14ac:dyDescent="0.25">
      <c r="A603">
        <v>4230</v>
      </c>
      <c r="B603">
        <v>10</v>
      </c>
      <c r="C603" t="s">
        <v>946</v>
      </c>
      <c r="D603" t="s">
        <v>991</v>
      </c>
      <c r="E603" t="s">
        <v>259</v>
      </c>
      <c r="F603" t="s">
        <v>948</v>
      </c>
      <c r="G603">
        <v>1099999</v>
      </c>
      <c r="H603">
        <v>409002</v>
      </c>
      <c r="I603" t="s">
        <v>949</v>
      </c>
    </row>
    <row r="604" spans="1:9" x14ac:dyDescent="0.25">
      <c r="A604">
        <v>4141</v>
      </c>
      <c r="B604">
        <v>10</v>
      </c>
      <c r="C604" t="s">
        <v>946</v>
      </c>
      <c r="D604" t="s">
        <v>991</v>
      </c>
      <c r="E604" t="s">
        <v>263</v>
      </c>
      <c r="F604" t="s">
        <v>948</v>
      </c>
      <c r="G604">
        <v>1077777</v>
      </c>
      <c r="H604">
        <v>501010</v>
      </c>
      <c r="I604" t="s">
        <v>949</v>
      </c>
    </row>
    <row r="605" spans="1:9" x14ac:dyDescent="0.25">
      <c r="A605">
        <v>4220</v>
      </c>
      <c r="B605">
        <v>10</v>
      </c>
      <c r="C605" t="s">
        <v>946</v>
      </c>
      <c r="D605" t="s">
        <v>991</v>
      </c>
      <c r="E605" t="s">
        <v>263</v>
      </c>
      <c r="F605" t="s">
        <v>948</v>
      </c>
      <c r="G605">
        <v>1077777</v>
      </c>
      <c r="H605">
        <v>500220</v>
      </c>
      <c r="I605" t="s">
        <v>949</v>
      </c>
    </row>
    <row r="606" spans="1:9" x14ac:dyDescent="0.25">
      <c r="A606">
        <v>4230</v>
      </c>
      <c r="B606">
        <v>10</v>
      </c>
      <c r="C606" t="s">
        <v>946</v>
      </c>
      <c r="D606" t="s">
        <v>991</v>
      </c>
      <c r="E606" t="s">
        <v>263</v>
      </c>
      <c r="F606" t="s">
        <v>948</v>
      </c>
      <c r="G606">
        <v>1099999</v>
      </c>
      <c r="H606">
        <v>403042</v>
      </c>
      <c r="I606" t="s">
        <v>949</v>
      </c>
    </row>
    <row r="607" spans="1:9" x14ac:dyDescent="0.25">
      <c r="A607">
        <v>4240</v>
      </c>
      <c r="B607">
        <v>10</v>
      </c>
      <c r="C607" t="s">
        <v>946</v>
      </c>
      <c r="D607" t="s">
        <v>991</v>
      </c>
      <c r="E607" t="s">
        <v>263</v>
      </c>
      <c r="F607" t="s">
        <v>948</v>
      </c>
      <c r="G607">
        <v>1077777</v>
      </c>
      <c r="H607">
        <v>500221</v>
      </c>
      <c r="I607" t="s">
        <v>949</v>
      </c>
    </row>
    <row r="608" spans="1:9" x14ac:dyDescent="0.25">
      <c r="A608">
        <v>4141</v>
      </c>
      <c r="B608">
        <v>10</v>
      </c>
      <c r="C608" t="s">
        <v>946</v>
      </c>
      <c r="D608" t="s">
        <v>991</v>
      </c>
      <c r="E608" t="s">
        <v>100</v>
      </c>
      <c r="F608" t="s">
        <v>948</v>
      </c>
      <c r="G608">
        <v>1077777</v>
      </c>
      <c r="H608">
        <v>500220</v>
      </c>
      <c r="I608" t="s">
        <v>949</v>
      </c>
    </row>
    <row r="609" spans="1:9" x14ac:dyDescent="0.25">
      <c r="A609">
        <v>4220</v>
      </c>
      <c r="B609">
        <v>10</v>
      </c>
      <c r="C609" t="s">
        <v>946</v>
      </c>
      <c r="D609" t="s">
        <v>991</v>
      </c>
      <c r="E609" t="s">
        <v>100</v>
      </c>
      <c r="F609" t="s">
        <v>948</v>
      </c>
      <c r="G609">
        <v>1077777</v>
      </c>
      <c r="H609">
        <v>500220</v>
      </c>
      <c r="I609" t="s">
        <v>949</v>
      </c>
    </row>
    <row r="610" spans="1:9" x14ac:dyDescent="0.25">
      <c r="A610">
        <v>4230</v>
      </c>
      <c r="B610">
        <v>10</v>
      </c>
      <c r="C610" t="s">
        <v>946</v>
      </c>
      <c r="D610" t="s">
        <v>991</v>
      </c>
      <c r="E610" t="s">
        <v>100</v>
      </c>
      <c r="F610" t="s">
        <v>948</v>
      </c>
      <c r="G610">
        <v>1099999</v>
      </c>
      <c r="H610">
        <v>403042</v>
      </c>
      <c r="I610" t="s">
        <v>949</v>
      </c>
    </row>
    <row r="611" spans="1:9" x14ac:dyDescent="0.25">
      <c r="A611">
        <v>4240</v>
      </c>
      <c r="B611">
        <v>10</v>
      </c>
      <c r="C611" t="s">
        <v>946</v>
      </c>
      <c r="D611" t="s">
        <v>991</v>
      </c>
      <c r="E611" t="s">
        <v>100</v>
      </c>
      <c r="F611" t="s">
        <v>948</v>
      </c>
      <c r="G611">
        <v>1077777</v>
      </c>
      <c r="H611">
        <v>500221</v>
      </c>
      <c r="I611" t="s">
        <v>949</v>
      </c>
    </row>
    <row r="612" spans="1:9" x14ac:dyDescent="0.25">
      <c r="A612">
        <v>4230</v>
      </c>
      <c r="B612">
        <v>10</v>
      </c>
      <c r="C612" t="s">
        <v>946</v>
      </c>
      <c r="D612" t="s">
        <v>991</v>
      </c>
      <c r="E612" t="s">
        <v>987</v>
      </c>
      <c r="F612" t="s">
        <v>948</v>
      </c>
      <c r="G612">
        <v>1002305</v>
      </c>
      <c r="H612">
        <v>740150</v>
      </c>
      <c r="I612" t="s">
        <v>949</v>
      </c>
    </row>
    <row r="613" spans="1:9" x14ac:dyDescent="0.25">
      <c r="A613">
        <v>4141</v>
      </c>
      <c r="B613">
        <v>10</v>
      </c>
      <c r="C613" t="s">
        <v>946</v>
      </c>
      <c r="D613" t="s">
        <v>991</v>
      </c>
      <c r="E613" t="s">
        <v>270</v>
      </c>
      <c r="F613" t="s">
        <v>948</v>
      </c>
      <c r="G613">
        <v>1077777</v>
      </c>
      <c r="H613">
        <v>501010</v>
      </c>
      <c r="I613" t="s">
        <v>949</v>
      </c>
    </row>
    <row r="614" spans="1:9" x14ac:dyDescent="0.25">
      <c r="A614">
        <v>4220</v>
      </c>
      <c r="B614">
        <v>10</v>
      </c>
      <c r="C614" t="s">
        <v>946</v>
      </c>
      <c r="D614" t="s">
        <v>991</v>
      </c>
      <c r="E614" t="s">
        <v>270</v>
      </c>
      <c r="F614" t="s">
        <v>948</v>
      </c>
      <c r="G614">
        <v>1077777</v>
      </c>
      <c r="H614">
        <v>500220</v>
      </c>
      <c r="I614" t="s">
        <v>949</v>
      </c>
    </row>
    <row r="615" spans="1:9" x14ac:dyDescent="0.25">
      <c r="A615">
        <v>4230</v>
      </c>
      <c r="B615">
        <v>10</v>
      </c>
      <c r="C615" t="s">
        <v>946</v>
      </c>
      <c r="D615" t="s">
        <v>991</v>
      </c>
      <c r="E615" t="s">
        <v>270</v>
      </c>
      <c r="F615" t="s">
        <v>948</v>
      </c>
      <c r="G615">
        <v>1099999</v>
      </c>
      <c r="H615">
        <v>403062</v>
      </c>
      <c r="I615" t="s">
        <v>949</v>
      </c>
    </row>
    <row r="616" spans="1:9" x14ac:dyDescent="0.25">
      <c r="A616">
        <v>4240</v>
      </c>
      <c r="B616">
        <v>10</v>
      </c>
      <c r="C616" t="s">
        <v>946</v>
      </c>
      <c r="D616" t="s">
        <v>991</v>
      </c>
      <c r="E616" t="s">
        <v>270</v>
      </c>
      <c r="F616" t="s">
        <v>948</v>
      </c>
      <c r="G616">
        <v>1077777</v>
      </c>
      <c r="H616">
        <v>500221</v>
      </c>
      <c r="I616" t="s">
        <v>949</v>
      </c>
    </row>
    <row r="617" spans="1:9" x14ac:dyDescent="0.25">
      <c r="A617">
        <v>4141</v>
      </c>
      <c r="B617">
        <v>10</v>
      </c>
      <c r="C617" t="s">
        <v>946</v>
      </c>
      <c r="D617" t="s">
        <v>991</v>
      </c>
      <c r="E617" t="s">
        <v>274</v>
      </c>
      <c r="F617" t="s">
        <v>948</v>
      </c>
      <c r="G617">
        <v>1077777</v>
      </c>
      <c r="H617">
        <v>501010</v>
      </c>
      <c r="I617" t="s">
        <v>949</v>
      </c>
    </row>
    <row r="618" spans="1:9" x14ac:dyDescent="0.25">
      <c r="A618">
        <v>4220</v>
      </c>
      <c r="B618">
        <v>10</v>
      </c>
      <c r="C618" t="s">
        <v>946</v>
      </c>
      <c r="D618" t="s">
        <v>991</v>
      </c>
      <c r="E618" t="s">
        <v>274</v>
      </c>
      <c r="F618" t="s">
        <v>948</v>
      </c>
      <c r="G618">
        <v>1077777</v>
      </c>
      <c r="H618">
        <v>500220</v>
      </c>
      <c r="I618" t="s">
        <v>949</v>
      </c>
    </row>
    <row r="619" spans="1:9" x14ac:dyDescent="0.25">
      <c r="A619">
        <v>4230</v>
      </c>
      <c r="B619">
        <v>10</v>
      </c>
      <c r="C619" t="s">
        <v>946</v>
      </c>
      <c r="D619" t="s">
        <v>991</v>
      </c>
      <c r="E619" t="s">
        <v>274</v>
      </c>
      <c r="F619" t="s">
        <v>948</v>
      </c>
      <c r="G619">
        <v>1099999</v>
      </c>
      <c r="H619">
        <v>403042</v>
      </c>
      <c r="I619" t="s">
        <v>949</v>
      </c>
    </row>
    <row r="620" spans="1:9" x14ac:dyDescent="0.25">
      <c r="A620">
        <v>4240</v>
      </c>
      <c r="B620">
        <v>10</v>
      </c>
      <c r="C620" t="s">
        <v>946</v>
      </c>
      <c r="D620" t="s">
        <v>991</v>
      </c>
      <c r="E620" t="s">
        <v>274</v>
      </c>
      <c r="F620" t="s">
        <v>948</v>
      </c>
      <c r="G620">
        <v>1077777</v>
      </c>
      <c r="H620">
        <v>500221</v>
      </c>
      <c r="I620" t="s">
        <v>949</v>
      </c>
    </row>
    <row r="621" spans="1:9" x14ac:dyDescent="0.25">
      <c r="A621">
        <v>4141</v>
      </c>
      <c r="B621">
        <v>10</v>
      </c>
      <c r="C621" t="s">
        <v>946</v>
      </c>
      <c r="D621" t="s">
        <v>991</v>
      </c>
      <c r="E621" t="s">
        <v>974</v>
      </c>
      <c r="F621" t="s">
        <v>948</v>
      </c>
      <c r="G621">
        <v>1077777</v>
      </c>
      <c r="H621">
        <v>501010</v>
      </c>
      <c r="I621" t="s">
        <v>949</v>
      </c>
    </row>
    <row r="622" spans="1:9" x14ac:dyDescent="0.25">
      <c r="A622">
        <v>4220</v>
      </c>
      <c r="B622">
        <v>10</v>
      </c>
      <c r="C622" t="s">
        <v>946</v>
      </c>
      <c r="D622" t="s">
        <v>991</v>
      </c>
      <c r="E622" t="s">
        <v>974</v>
      </c>
      <c r="F622" t="s">
        <v>948</v>
      </c>
      <c r="G622">
        <v>1077777</v>
      </c>
      <c r="H622">
        <v>500220</v>
      </c>
      <c r="I622" t="s">
        <v>949</v>
      </c>
    </row>
    <row r="623" spans="1:9" x14ac:dyDescent="0.25">
      <c r="A623">
        <v>4230</v>
      </c>
      <c r="B623">
        <v>10</v>
      </c>
      <c r="C623" t="s">
        <v>946</v>
      </c>
      <c r="D623" t="s">
        <v>991</v>
      </c>
      <c r="E623" t="s">
        <v>974</v>
      </c>
      <c r="F623" t="s">
        <v>948</v>
      </c>
      <c r="G623">
        <v>1099999</v>
      </c>
      <c r="H623">
        <v>403912</v>
      </c>
      <c r="I623" t="s">
        <v>949</v>
      </c>
    </row>
    <row r="624" spans="1:9" x14ac:dyDescent="0.25">
      <c r="A624">
        <v>4240</v>
      </c>
      <c r="B624">
        <v>10</v>
      </c>
      <c r="C624" t="s">
        <v>946</v>
      </c>
      <c r="D624" t="s">
        <v>991</v>
      </c>
      <c r="E624" t="s">
        <v>974</v>
      </c>
      <c r="F624" t="s">
        <v>948</v>
      </c>
      <c r="G624">
        <v>1077777</v>
      </c>
      <c r="H624">
        <v>500221</v>
      </c>
      <c r="I624" t="s">
        <v>949</v>
      </c>
    </row>
    <row r="625" spans="1:9" x14ac:dyDescent="0.25">
      <c r="A625">
        <v>4141</v>
      </c>
      <c r="B625">
        <v>10</v>
      </c>
      <c r="C625" t="s">
        <v>946</v>
      </c>
      <c r="D625" t="s">
        <v>991</v>
      </c>
      <c r="E625" t="s">
        <v>104</v>
      </c>
      <c r="F625" t="s">
        <v>948</v>
      </c>
      <c r="G625">
        <v>1077777</v>
      </c>
      <c r="H625">
        <v>500220</v>
      </c>
      <c r="I625" t="s">
        <v>949</v>
      </c>
    </row>
    <row r="626" spans="1:9" x14ac:dyDescent="0.25">
      <c r="A626">
        <v>4220</v>
      </c>
      <c r="B626">
        <v>10</v>
      </c>
      <c r="C626" t="s">
        <v>946</v>
      </c>
      <c r="D626" t="s">
        <v>991</v>
      </c>
      <c r="E626" t="s">
        <v>104</v>
      </c>
      <c r="F626" t="s">
        <v>948</v>
      </c>
      <c r="G626">
        <v>1077777</v>
      </c>
      <c r="H626">
        <v>500220</v>
      </c>
      <c r="I626" t="s">
        <v>949</v>
      </c>
    </row>
    <row r="627" spans="1:9" x14ac:dyDescent="0.25">
      <c r="A627">
        <v>4230</v>
      </c>
      <c r="B627">
        <v>10</v>
      </c>
      <c r="C627" t="s">
        <v>946</v>
      </c>
      <c r="D627" t="s">
        <v>991</v>
      </c>
      <c r="E627" t="s">
        <v>104</v>
      </c>
      <c r="F627" t="s">
        <v>948</v>
      </c>
      <c r="G627">
        <v>1099999</v>
      </c>
      <c r="H627">
        <v>403042</v>
      </c>
      <c r="I627" t="s">
        <v>949</v>
      </c>
    </row>
    <row r="628" spans="1:9" x14ac:dyDescent="0.25">
      <c r="A628">
        <v>4240</v>
      </c>
      <c r="B628">
        <v>10</v>
      </c>
      <c r="C628" t="s">
        <v>946</v>
      </c>
      <c r="D628" t="s">
        <v>991</v>
      </c>
      <c r="E628" t="s">
        <v>104</v>
      </c>
      <c r="F628" t="s">
        <v>948</v>
      </c>
      <c r="G628">
        <v>1077777</v>
      </c>
      <c r="H628">
        <v>500221</v>
      </c>
      <c r="I628" t="s">
        <v>949</v>
      </c>
    </row>
    <row r="629" spans="1:9" x14ac:dyDescent="0.25">
      <c r="A629">
        <v>4141</v>
      </c>
      <c r="B629">
        <v>10</v>
      </c>
      <c r="C629" t="s">
        <v>946</v>
      </c>
      <c r="D629" t="s">
        <v>991</v>
      </c>
      <c r="E629" t="s">
        <v>278</v>
      </c>
      <c r="F629" t="s">
        <v>948</v>
      </c>
      <c r="G629">
        <v>1077777</v>
      </c>
      <c r="H629">
        <v>501010</v>
      </c>
      <c r="I629" t="s">
        <v>949</v>
      </c>
    </row>
    <row r="630" spans="1:9" x14ac:dyDescent="0.25">
      <c r="A630">
        <v>4220</v>
      </c>
      <c r="B630">
        <v>10</v>
      </c>
      <c r="C630" t="s">
        <v>946</v>
      </c>
      <c r="D630" t="s">
        <v>991</v>
      </c>
      <c r="E630" t="s">
        <v>278</v>
      </c>
      <c r="F630" t="s">
        <v>948</v>
      </c>
      <c r="G630">
        <v>1077777</v>
      </c>
      <c r="H630">
        <v>500220</v>
      </c>
      <c r="I630" t="s">
        <v>949</v>
      </c>
    </row>
    <row r="631" spans="1:9" x14ac:dyDescent="0.25">
      <c r="A631">
        <v>4230</v>
      </c>
      <c r="B631">
        <v>10</v>
      </c>
      <c r="C631" t="s">
        <v>946</v>
      </c>
      <c r="D631" t="s">
        <v>991</v>
      </c>
      <c r="E631" t="s">
        <v>278</v>
      </c>
      <c r="F631" t="s">
        <v>948</v>
      </c>
      <c r="G631">
        <v>1099999</v>
      </c>
      <c r="H631">
        <v>403052</v>
      </c>
      <c r="I631" t="s">
        <v>949</v>
      </c>
    </row>
    <row r="632" spans="1:9" x14ac:dyDescent="0.25">
      <c r="A632">
        <v>4240</v>
      </c>
      <c r="B632">
        <v>10</v>
      </c>
      <c r="C632" t="s">
        <v>946</v>
      </c>
      <c r="D632" t="s">
        <v>991</v>
      </c>
      <c r="E632" t="s">
        <v>278</v>
      </c>
      <c r="F632" t="s">
        <v>948</v>
      </c>
      <c r="G632">
        <v>1077777</v>
      </c>
      <c r="H632">
        <v>500221</v>
      </c>
      <c r="I632" t="s">
        <v>949</v>
      </c>
    </row>
    <row r="633" spans="1:9" x14ac:dyDescent="0.25">
      <c r="A633">
        <v>4141</v>
      </c>
      <c r="B633">
        <v>10</v>
      </c>
      <c r="C633" t="s">
        <v>946</v>
      </c>
      <c r="D633" t="s">
        <v>991</v>
      </c>
      <c r="E633" t="s">
        <v>282</v>
      </c>
      <c r="F633" t="s">
        <v>948</v>
      </c>
      <c r="G633">
        <v>1077777</v>
      </c>
      <c r="H633">
        <v>501010</v>
      </c>
      <c r="I633" t="s">
        <v>949</v>
      </c>
    </row>
    <row r="634" spans="1:9" x14ac:dyDescent="0.25">
      <c r="A634">
        <v>4220</v>
      </c>
      <c r="B634">
        <v>10</v>
      </c>
      <c r="C634" t="s">
        <v>946</v>
      </c>
      <c r="D634" t="s">
        <v>991</v>
      </c>
      <c r="E634" t="s">
        <v>282</v>
      </c>
      <c r="F634" t="s">
        <v>948</v>
      </c>
      <c r="G634">
        <v>1077777</v>
      </c>
      <c r="H634">
        <v>500220</v>
      </c>
      <c r="I634" t="s">
        <v>949</v>
      </c>
    </row>
    <row r="635" spans="1:9" x14ac:dyDescent="0.25">
      <c r="A635">
        <v>4230</v>
      </c>
      <c r="B635">
        <v>10</v>
      </c>
      <c r="C635" t="s">
        <v>946</v>
      </c>
      <c r="D635" t="s">
        <v>991</v>
      </c>
      <c r="E635" t="s">
        <v>282</v>
      </c>
      <c r="F635" t="s">
        <v>948</v>
      </c>
      <c r="G635">
        <v>1099999</v>
      </c>
      <c r="H635">
        <v>403042</v>
      </c>
      <c r="I635" t="s">
        <v>949</v>
      </c>
    </row>
    <row r="636" spans="1:9" x14ac:dyDescent="0.25">
      <c r="A636">
        <v>4240</v>
      </c>
      <c r="B636">
        <v>10</v>
      </c>
      <c r="C636" t="s">
        <v>946</v>
      </c>
      <c r="D636" t="s">
        <v>991</v>
      </c>
      <c r="E636" t="s">
        <v>282</v>
      </c>
      <c r="F636" t="s">
        <v>948</v>
      </c>
      <c r="G636">
        <v>1077777</v>
      </c>
      <c r="H636">
        <v>500221</v>
      </c>
      <c r="I636" t="s">
        <v>949</v>
      </c>
    </row>
    <row r="637" spans="1:9" x14ac:dyDescent="0.25">
      <c r="A637">
        <v>4141</v>
      </c>
      <c r="B637">
        <v>10</v>
      </c>
      <c r="C637" t="s">
        <v>946</v>
      </c>
      <c r="D637" t="s">
        <v>991</v>
      </c>
      <c r="E637" t="s">
        <v>286</v>
      </c>
      <c r="F637" t="s">
        <v>948</v>
      </c>
      <c r="G637">
        <v>1077777</v>
      </c>
      <c r="H637">
        <v>501010</v>
      </c>
      <c r="I637" t="s">
        <v>949</v>
      </c>
    </row>
    <row r="638" spans="1:9" x14ac:dyDescent="0.25">
      <c r="A638">
        <v>4220</v>
      </c>
      <c r="B638">
        <v>10</v>
      </c>
      <c r="C638" t="s">
        <v>946</v>
      </c>
      <c r="D638" t="s">
        <v>991</v>
      </c>
      <c r="E638" t="s">
        <v>286</v>
      </c>
      <c r="F638" t="s">
        <v>948</v>
      </c>
      <c r="G638">
        <v>1077777</v>
      </c>
      <c r="H638">
        <v>500220</v>
      </c>
      <c r="I638" t="s">
        <v>949</v>
      </c>
    </row>
    <row r="639" spans="1:9" x14ac:dyDescent="0.25">
      <c r="A639">
        <v>4230</v>
      </c>
      <c r="B639">
        <v>10</v>
      </c>
      <c r="C639" t="s">
        <v>946</v>
      </c>
      <c r="D639" t="s">
        <v>991</v>
      </c>
      <c r="E639" t="s">
        <v>286</v>
      </c>
      <c r="F639" t="s">
        <v>948</v>
      </c>
      <c r="G639">
        <v>1099999</v>
      </c>
      <c r="H639">
        <v>403032</v>
      </c>
      <c r="I639" t="s">
        <v>949</v>
      </c>
    </row>
    <row r="640" spans="1:9" x14ac:dyDescent="0.25">
      <c r="A640">
        <v>4240</v>
      </c>
      <c r="B640">
        <v>10</v>
      </c>
      <c r="C640" t="s">
        <v>946</v>
      </c>
      <c r="D640" t="s">
        <v>991</v>
      </c>
      <c r="E640" t="s">
        <v>286</v>
      </c>
      <c r="F640" t="s">
        <v>948</v>
      </c>
      <c r="G640">
        <v>1077777</v>
      </c>
      <c r="H640">
        <v>500221</v>
      </c>
      <c r="I640" t="s">
        <v>949</v>
      </c>
    </row>
    <row r="641" spans="1:9" x14ac:dyDescent="0.25">
      <c r="A641">
        <v>4141</v>
      </c>
      <c r="B641">
        <v>10</v>
      </c>
      <c r="C641" t="s">
        <v>946</v>
      </c>
      <c r="D641" t="s">
        <v>991</v>
      </c>
      <c r="E641" t="s">
        <v>976</v>
      </c>
      <c r="F641" t="s">
        <v>948</v>
      </c>
      <c r="G641">
        <v>1077777</v>
      </c>
      <c r="H641">
        <v>501010</v>
      </c>
      <c r="I641" t="s">
        <v>949</v>
      </c>
    </row>
    <row r="642" spans="1:9" x14ac:dyDescent="0.25">
      <c r="A642">
        <v>4220</v>
      </c>
      <c r="B642">
        <v>10</v>
      </c>
      <c r="C642" t="s">
        <v>946</v>
      </c>
      <c r="D642" t="s">
        <v>991</v>
      </c>
      <c r="E642" t="s">
        <v>976</v>
      </c>
      <c r="F642" t="s">
        <v>948</v>
      </c>
      <c r="G642">
        <v>1077777</v>
      </c>
      <c r="H642">
        <v>500220</v>
      </c>
      <c r="I642" t="s">
        <v>949</v>
      </c>
    </row>
    <row r="643" spans="1:9" x14ac:dyDescent="0.25">
      <c r="A643">
        <v>4230</v>
      </c>
      <c r="B643">
        <v>10</v>
      </c>
      <c r="C643" t="s">
        <v>946</v>
      </c>
      <c r="D643" t="s">
        <v>991</v>
      </c>
      <c r="E643" t="s">
        <v>976</v>
      </c>
      <c r="F643" t="s">
        <v>948</v>
      </c>
      <c r="G643">
        <v>1099999</v>
      </c>
      <c r="H643">
        <v>403912</v>
      </c>
      <c r="I643" t="s">
        <v>949</v>
      </c>
    </row>
    <row r="644" spans="1:9" x14ac:dyDescent="0.25">
      <c r="A644">
        <v>4240</v>
      </c>
      <c r="B644">
        <v>10</v>
      </c>
      <c r="C644" t="s">
        <v>946</v>
      </c>
      <c r="D644" t="s">
        <v>991</v>
      </c>
      <c r="E644" t="s">
        <v>976</v>
      </c>
      <c r="F644" t="s">
        <v>948</v>
      </c>
      <c r="G644">
        <v>1077777</v>
      </c>
      <c r="H644">
        <v>500221</v>
      </c>
      <c r="I644" t="s">
        <v>949</v>
      </c>
    </row>
    <row r="645" spans="1:9" x14ac:dyDescent="0.25">
      <c r="A645">
        <v>4141</v>
      </c>
      <c r="B645">
        <v>10</v>
      </c>
      <c r="C645" t="s">
        <v>946</v>
      </c>
      <c r="D645" t="s">
        <v>991</v>
      </c>
      <c r="E645" t="s">
        <v>290</v>
      </c>
      <c r="F645" t="s">
        <v>948</v>
      </c>
      <c r="G645">
        <v>1077777</v>
      </c>
      <c r="H645">
        <v>501010</v>
      </c>
      <c r="I645" t="s">
        <v>949</v>
      </c>
    </row>
    <row r="646" spans="1:9" x14ac:dyDescent="0.25">
      <c r="A646">
        <v>4220</v>
      </c>
      <c r="B646">
        <v>10</v>
      </c>
      <c r="C646" t="s">
        <v>946</v>
      </c>
      <c r="D646" t="s">
        <v>991</v>
      </c>
      <c r="E646" t="s">
        <v>290</v>
      </c>
      <c r="F646" t="s">
        <v>948</v>
      </c>
      <c r="G646">
        <v>1077777</v>
      </c>
      <c r="H646">
        <v>500220</v>
      </c>
      <c r="I646" t="s">
        <v>949</v>
      </c>
    </row>
    <row r="647" spans="1:9" x14ac:dyDescent="0.25">
      <c r="A647">
        <v>4230</v>
      </c>
      <c r="B647">
        <v>10</v>
      </c>
      <c r="C647" t="s">
        <v>946</v>
      </c>
      <c r="D647" t="s">
        <v>991</v>
      </c>
      <c r="E647" t="s">
        <v>290</v>
      </c>
      <c r="F647" t="s">
        <v>948</v>
      </c>
      <c r="G647">
        <v>1099999</v>
      </c>
      <c r="H647">
        <v>403042</v>
      </c>
      <c r="I647" t="s">
        <v>949</v>
      </c>
    </row>
    <row r="648" spans="1:9" x14ac:dyDescent="0.25">
      <c r="A648">
        <v>4240</v>
      </c>
      <c r="B648">
        <v>10</v>
      </c>
      <c r="C648" t="s">
        <v>946</v>
      </c>
      <c r="D648" t="s">
        <v>991</v>
      </c>
      <c r="E648" t="s">
        <v>290</v>
      </c>
      <c r="F648" t="s">
        <v>948</v>
      </c>
      <c r="G648">
        <v>1077777</v>
      </c>
      <c r="H648">
        <v>500221</v>
      </c>
      <c r="I648" t="s">
        <v>949</v>
      </c>
    </row>
    <row r="649" spans="1:9" x14ac:dyDescent="0.25">
      <c r="A649">
        <v>4141</v>
      </c>
      <c r="B649">
        <v>10</v>
      </c>
      <c r="C649" t="s">
        <v>946</v>
      </c>
      <c r="D649" t="s">
        <v>991</v>
      </c>
      <c r="E649" t="s">
        <v>294</v>
      </c>
      <c r="F649" t="s">
        <v>948</v>
      </c>
      <c r="G649">
        <v>1077777</v>
      </c>
      <c r="H649">
        <v>501010</v>
      </c>
      <c r="I649" t="s">
        <v>949</v>
      </c>
    </row>
    <row r="650" spans="1:9" x14ac:dyDescent="0.25">
      <c r="A650">
        <v>4220</v>
      </c>
      <c r="B650">
        <v>10</v>
      </c>
      <c r="C650" t="s">
        <v>946</v>
      </c>
      <c r="D650" t="s">
        <v>991</v>
      </c>
      <c r="E650" t="s">
        <v>294</v>
      </c>
      <c r="F650" t="s">
        <v>948</v>
      </c>
      <c r="G650">
        <v>1077777</v>
      </c>
      <c r="H650">
        <v>500220</v>
      </c>
      <c r="I650" t="s">
        <v>949</v>
      </c>
    </row>
    <row r="651" spans="1:9" x14ac:dyDescent="0.25">
      <c r="A651">
        <v>4230</v>
      </c>
      <c r="B651">
        <v>10</v>
      </c>
      <c r="C651" t="s">
        <v>946</v>
      </c>
      <c r="D651" t="s">
        <v>991</v>
      </c>
      <c r="E651" t="s">
        <v>294</v>
      </c>
      <c r="F651" t="s">
        <v>948</v>
      </c>
      <c r="G651">
        <v>1099999</v>
      </c>
      <c r="H651">
        <v>403042</v>
      </c>
      <c r="I651" t="s">
        <v>949</v>
      </c>
    </row>
    <row r="652" spans="1:9" x14ac:dyDescent="0.25">
      <c r="A652">
        <v>4240</v>
      </c>
      <c r="B652">
        <v>10</v>
      </c>
      <c r="C652" t="s">
        <v>946</v>
      </c>
      <c r="D652" t="s">
        <v>991</v>
      </c>
      <c r="E652" t="s">
        <v>294</v>
      </c>
      <c r="F652" t="s">
        <v>948</v>
      </c>
      <c r="G652">
        <v>1077777</v>
      </c>
      <c r="H652">
        <v>500221</v>
      </c>
      <c r="I652" t="s">
        <v>949</v>
      </c>
    </row>
    <row r="653" spans="1:9" x14ac:dyDescent="0.25">
      <c r="A653">
        <v>4230</v>
      </c>
      <c r="B653">
        <v>10</v>
      </c>
      <c r="C653" t="s">
        <v>946</v>
      </c>
      <c r="D653" t="s">
        <v>991</v>
      </c>
      <c r="E653" t="s">
        <v>298</v>
      </c>
      <c r="F653" t="s">
        <v>948</v>
      </c>
      <c r="G653">
        <v>1099999</v>
      </c>
      <c r="H653">
        <v>403082</v>
      </c>
      <c r="I653" t="s">
        <v>949</v>
      </c>
    </row>
    <row r="654" spans="1:9" x14ac:dyDescent="0.25">
      <c r="A654">
        <v>4141</v>
      </c>
      <c r="B654">
        <v>10</v>
      </c>
      <c r="C654" t="s">
        <v>946</v>
      </c>
      <c r="D654" t="s">
        <v>991</v>
      </c>
      <c r="E654" t="s">
        <v>980</v>
      </c>
      <c r="F654" t="s">
        <v>948</v>
      </c>
      <c r="G654">
        <v>1077777</v>
      </c>
      <c r="H654">
        <v>501010</v>
      </c>
      <c r="I654" t="s">
        <v>949</v>
      </c>
    </row>
    <row r="655" spans="1:9" x14ac:dyDescent="0.25">
      <c r="A655">
        <v>4220</v>
      </c>
      <c r="B655">
        <v>10</v>
      </c>
      <c r="C655" t="s">
        <v>946</v>
      </c>
      <c r="D655" t="s">
        <v>991</v>
      </c>
      <c r="E655" t="s">
        <v>980</v>
      </c>
      <c r="F655" t="s">
        <v>948</v>
      </c>
      <c r="G655">
        <v>1077777</v>
      </c>
      <c r="H655">
        <v>500220</v>
      </c>
      <c r="I655" t="s">
        <v>949</v>
      </c>
    </row>
    <row r="656" spans="1:9" x14ac:dyDescent="0.25">
      <c r="A656">
        <v>4230</v>
      </c>
      <c r="B656">
        <v>10</v>
      </c>
      <c r="C656" t="s">
        <v>946</v>
      </c>
      <c r="D656" t="s">
        <v>991</v>
      </c>
      <c r="E656" t="s">
        <v>980</v>
      </c>
      <c r="F656" t="s">
        <v>948</v>
      </c>
      <c r="G656">
        <v>1099999</v>
      </c>
      <c r="H656">
        <v>403912</v>
      </c>
      <c r="I656" t="s">
        <v>949</v>
      </c>
    </row>
    <row r="657" spans="1:9" x14ac:dyDescent="0.25">
      <c r="A657">
        <v>4240</v>
      </c>
      <c r="B657">
        <v>10</v>
      </c>
      <c r="C657" t="s">
        <v>946</v>
      </c>
      <c r="D657" t="s">
        <v>991</v>
      </c>
      <c r="E657" t="s">
        <v>980</v>
      </c>
      <c r="F657" t="s">
        <v>948</v>
      </c>
      <c r="G657">
        <v>1077777</v>
      </c>
      <c r="H657">
        <v>500221</v>
      </c>
      <c r="I657" t="s">
        <v>949</v>
      </c>
    </row>
    <row r="658" spans="1:9" x14ac:dyDescent="0.25">
      <c r="A658">
        <v>4141</v>
      </c>
      <c r="B658">
        <v>10</v>
      </c>
      <c r="C658" t="s">
        <v>946</v>
      </c>
      <c r="D658" t="s">
        <v>991</v>
      </c>
      <c r="E658" t="s">
        <v>302</v>
      </c>
      <c r="F658" t="s">
        <v>948</v>
      </c>
      <c r="G658">
        <v>1077777</v>
      </c>
      <c r="H658">
        <v>501010</v>
      </c>
      <c r="I658" t="s">
        <v>949</v>
      </c>
    </row>
    <row r="659" spans="1:9" x14ac:dyDescent="0.25">
      <c r="A659">
        <v>4220</v>
      </c>
      <c r="B659">
        <v>10</v>
      </c>
      <c r="C659" t="s">
        <v>946</v>
      </c>
      <c r="D659" t="s">
        <v>991</v>
      </c>
      <c r="E659" t="s">
        <v>302</v>
      </c>
      <c r="F659" t="s">
        <v>948</v>
      </c>
      <c r="G659">
        <v>1077777</v>
      </c>
      <c r="H659">
        <v>500220</v>
      </c>
      <c r="I659" t="s">
        <v>949</v>
      </c>
    </row>
    <row r="660" spans="1:9" x14ac:dyDescent="0.25">
      <c r="A660">
        <v>4230</v>
      </c>
      <c r="B660">
        <v>10</v>
      </c>
      <c r="C660" t="s">
        <v>946</v>
      </c>
      <c r="D660" t="s">
        <v>991</v>
      </c>
      <c r="E660" t="s">
        <v>302</v>
      </c>
      <c r="F660" t="s">
        <v>948</v>
      </c>
      <c r="G660">
        <v>1099999</v>
      </c>
      <c r="H660">
        <v>401902</v>
      </c>
      <c r="I660" t="s">
        <v>949</v>
      </c>
    </row>
    <row r="661" spans="1:9" x14ac:dyDescent="0.25">
      <c r="A661">
        <v>4240</v>
      </c>
      <c r="B661">
        <v>10</v>
      </c>
      <c r="C661" t="s">
        <v>946</v>
      </c>
      <c r="D661" t="s">
        <v>991</v>
      </c>
      <c r="E661" t="s">
        <v>302</v>
      </c>
      <c r="F661" t="s">
        <v>948</v>
      </c>
      <c r="G661">
        <v>1077777</v>
      </c>
      <c r="H661">
        <v>500221</v>
      </c>
      <c r="I661" t="s">
        <v>949</v>
      </c>
    </row>
    <row r="662" spans="1:9" x14ac:dyDescent="0.25">
      <c r="A662">
        <v>4141</v>
      </c>
      <c r="B662">
        <v>10</v>
      </c>
      <c r="C662" t="s">
        <v>946</v>
      </c>
      <c r="D662" t="s">
        <v>991</v>
      </c>
      <c r="E662" t="s">
        <v>306</v>
      </c>
      <c r="F662" t="s">
        <v>948</v>
      </c>
      <c r="G662">
        <v>1077777</v>
      </c>
      <c r="H662">
        <v>501010</v>
      </c>
      <c r="I662" t="s">
        <v>949</v>
      </c>
    </row>
    <row r="663" spans="1:9" x14ac:dyDescent="0.25">
      <c r="A663">
        <v>4220</v>
      </c>
      <c r="B663">
        <v>10</v>
      </c>
      <c r="C663" t="s">
        <v>946</v>
      </c>
      <c r="D663" t="s">
        <v>991</v>
      </c>
      <c r="E663" t="s">
        <v>306</v>
      </c>
      <c r="F663" t="s">
        <v>948</v>
      </c>
      <c r="G663">
        <v>1077777</v>
      </c>
      <c r="H663">
        <v>500220</v>
      </c>
      <c r="I663" t="s">
        <v>949</v>
      </c>
    </row>
    <row r="664" spans="1:9" x14ac:dyDescent="0.25">
      <c r="A664">
        <v>4230</v>
      </c>
      <c r="B664">
        <v>10</v>
      </c>
      <c r="C664" t="s">
        <v>946</v>
      </c>
      <c r="D664" t="s">
        <v>991</v>
      </c>
      <c r="E664" t="s">
        <v>306</v>
      </c>
      <c r="F664" t="s">
        <v>948</v>
      </c>
      <c r="G664">
        <v>1099999</v>
      </c>
      <c r="H664">
        <v>403042</v>
      </c>
      <c r="I664" t="s">
        <v>949</v>
      </c>
    </row>
    <row r="665" spans="1:9" x14ac:dyDescent="0.25">
      <c r="A665">
        <v>4240</v>
      </c>
      <c r="B665">
        <v>10</v>
      </c>
      <c r="C665" t="s">
        <v>946</v>
      </c>
      <c r="D665" t="s">
        <v>991</v>
      </c>
      <c r="E665" t="s">
        <v>306</v>
      </c>
      <c r="F665" t="s">
        <v>948</v>
      </c>
      <c r="G665">
        <v>1077777</v>
      </c>
      <c r="H665">
        <v>500221</v>
      </c>
      <c r="I665" t="s">
        <v>949</v>
      </c>
    </row>
    <row r="666" spans="1:9" x14ac:dyDescent="0.25">
      <c r="A666">
        <v>4141</v>
      </c>
      <c r="B666">
        <v>10</v>
      </c>
      <c r="C666" t="s">
        <v>946</v>
      </c>
      <c r="D666" t="s">
        <v>991</v>
      </c>
      <c r="E666" t="s">
        <v>108</v>
      </c>
      <c r="F666" t="s">
        <v>948</v>
      </c>
      <c r="G666">
        <v>1077777</v>
      </c>
      <c r="H666">
        <v>500220</v>
      </c>
      <c r="I666" t="s">
        <v>949</v>
      </c>
    </row>
    <row r="667" spans="1:9" x14ac:dyDescent="0.25">
      <c r="A667">
        <v>4220</v>
      </c>
      <c r="B667">
        <v>10</v>
      </c>
      <c r="C667" t="s">
        <v>946</v>
      </c>
      <c r="D667" t="s">
        <v>991</v>
      </c>
      <c r="E667" t="s">
        <v>108</v>
      </c>
      <c r="F667" t="s">
        <v>948</v>
      </c>
      <c r="G667">
        <v>1077777</v>
      </c>
      <c r="H667">
        <v>500220</v>
      </c>
      <c r="I667" t="s">
        <v>949</v>
      </c>
    </row>
    <row r="668" spans="1:9" x14ac:dyDescent="0.25">
      <c r="A668">
        <v>4230</v>
      </c>
      <c r="B668">
        <v>10</v>
      </c>
      <c r="C668" t="s">
        <v>946</v>
      </c>
      <c r="D668" t="s">
        <v>991</v>
      </c>
      <c r="E668" t="s">
        <v>108</v>
      </c>
      <c r="F668" t="s">
        <v>948</v>
      </c>
      <c r="G668">
        <v>1099999</v>
      </c>
      <c r="H668">
        <v>403042</v>
      </c>
      <c r="I668" t="s">
        <v>949</v>
      </c>
    </row>
    <row r="669" spans="1:9" x14ac:dyDescent="0.25">
      <c r="A669">
        <v>4240</v>
      </c>
      <c r="B669">
        <v>10</v>
      </c>
      <c r="C669" t="s">
        <v>946</v>
      </c>
      <c r="D669" t="s">
        <v>991</v>
      </c>
      <c r="E669" t="s">
        <v>108</v>
      </c>
      <c r="F669" t="s">
        <v>948</v>
      </c>
      <c r="G669">
        <v>1077777</v>
      </c>
      <c r="H669">
        <v>500221</v>
      </c>
      <c r="I669" t="s">
        <v>949</v>
      </c>
    </row>
    <row r="670" spans="1:9" x14ac:dyDescent="0.25">
      <c r="A670">
        <v>4141</v>
      </c>
      <c r="B670">
        <v>10</v>
      </c>
      <c r="C670" t="s">
        <v>946</v>
      </c>
      <c r="D670" t="s">
        <v>991</v>
      </c>
      <c r="E670" t="s">
        <v>310</v>
      </c>
      <c r="F670" t="s">
        <v>948</v>
      </c>
      <c r="G670">
        <v>1077777</v>
      </c>
      <c r="H670">
        <v>501010</v>
      </c>
      <c r="I670" t="s">
        <v>949</v>
      </c>
    </row>
    <row r="671" spans="1:9" x14ac:dyDescent="0.25">
      <c r="A671">
        <v>4220</v>
      </c>
      <c r="B671">
        <v>10</v>
      </c>
      <c r="C671" t="s">
        <v>946</v>
      </c>
      <c r="D671" t="s">
        <v>991</v>
      </c>
      <c r="E671" t="s">
        <v>310</v>
      </c>
      <c r="F671" t="s">
        <v>948</v>
      </c>
      <c r="G671">
        <v>1077777</v>
      </c>
      <c r="H671">
        <v>500220</v>
      </c>
      <c r="I671" t="s">
        <v>949</v>
      </c>
    </row>
    <row r="672" spans="1:9" x14ac:dyDescent="0.25">
      <c r="A672">
        <v>4230</v>
      </c>
      <c r="B672">
        <v>10</v>
      </c>
      <c r="C672" t="s">
        <v>946</v>
      </c>
      <c r="D672" t="s">
        <v>991</v>
      </c>
      <c r="E672" t="s">
        <v>310</v>
      </c>
      <c r="F672" t="s">
        <v>948</v>
      </c>
      <c r="G672">
        <v>1099999</v>
      </c>
      <c r="H672">
        <v>403012</v>
      </c>
      <c r="I672" t="s">
        <v>949</v>
      </c>
    </row>
    <row r="673" spans="1:9" x14ac:dyDescent="0.25">
      <c r="A673">
        <v>4240</v>
      </c>
      <c r="B673">
        <v>10</v>
      </c>
      <c r="C673" t="s">
        <v>946</v>
      </c>
      <c r="D673" t="s">
        <v>991</v>
      </c>
      <c r="E673" t="s">
        <v>310</v>
      </c>
      <c r="F673" t="s">
        <v>948</v>
      </c>
      <c r="G673">
        <v>1077777</v>
      </c>
      <c r="H673">
        <v>500221</v>
      </c>
      <c r="I673" t="s">
        <v>949</v>
      </c>
    </row>
    <row r="674" spans="1:9" x14ac:dyDescent="0.25">
      <c r="A674">
        <v>4141</v>
      </c>
      <c r="B674">
        <v>10</v>
      </c>
      <c r="C674" t="s">
        <v>946</v>
      </c>
      <c r="D674" t="s">
        <v>991</v>
      </c>
      <c r="E674" t="s">
        <v>314</v>
      </c>
      <c r="F674" t="s">
        <v>948</v>
      </c>
      <c r="G674">
        <v>1077777</v>
      </c>
      <c r="H674">
        <v>501010</v>
      </c>
      <c r="I674" t="s">
        <v>949</v>
      </c>
    </row>
    <row r="675" spans="1:9" x14ac:dyDescent="0.25">
      <c r="A675">
        <v>4220</v>
      </c>
      <c r="B675">
        <v>10</v>
      </c>
      <c r="C675" t="s">
        <v>946</v>
      </c>
      <c r="D675" t="s">
        <v>991</v>
      </c>
      <c r="E675" t="s">
        <v>314</v>
      </c>
      <c r="F675" t="s">
        <v>948</v>
      </c>
      <c r="G675">
        <v>1077777</v>
      </c>
      <c r="H675">
        <v>500220</v>
      </c>
      <c r="I675" t="s">
        <v>949</v>
      </c>
    </row>
    <row r="676" spans="1:9" x14ac:dyDescent="0.25">
      <c r="A676">
        <v>4230</v>
      </c>
      <c r="B676">
        <v>10</v>
      </c>
      <c r="C676" t="s">
        <v>946</v>
      </c>
      <c r="D676" t="s">
        <v>991</v>
      </c>
      <c r="E676" t="s">
        <v>314</v>
      </c>
      <c r="F676" t="s">
        <v>948</v>
      </c>
      <c r="G676">
        <v>1099999</v>
      </c>
      <c r="H676">
        <v>403062</v>
      </c>
      <c r="I676" t="s">
        <v>949</v>
      </c>
    </row>
    <row r="677" spans="1:9" x14ac:dyDescent="0.25">
      <c r="A677">
        <v>4240</v>
      </c>
      <c r="B677">
        <v>10</v>
      </c>
      <c r="C677" t="s">
        <v>946</v>
      </c>
      <c r="D677" t="s">
        <v>991</v>
      </c>
      <c r="E677" t="s">
        <v>314</v>
      </c>
      <c r="F677" t="s">
        <v>948</v>
      </c>
      <c r="G677">
        <v>1077777</v>
      </c>
      <c r="H677">
        <v>500221</v>
      </c>
      <c r="I677" t="s">
        <v>949</v>
      </c>
    </row>
    <row r="678" spans="1:9" x14ac:dyDescent="0.25">
      <c r="A678">
        <v>4141</v>
      </c>
      <c r="B678">
        <v>10</v>
      </c>
      <c r="C678" t="s">
        <v>946</v>
      </c>
      <c r="D678" t="s">
        <v>991</v>
      </c>
      <c r="E678" t="s">
        <v>113</v>
      </c>
      <c r="F678" t="s">
        <v>948</v>
      </c>
      <c r="G678">
        <v>1077777</v>
      </c>
      <c r="H678">
        <v>500220</v>
      </c>
      <c r="I678" t="s">
        <v>949</v>
      </c>
    </row>
    <row r="679" spans="1:9" x14ac:dyDescent="0.25">
      <c r="A679">
        <v>4220</v>
      </c>
      <c r="B679">
        <v>10</v>
      </c>
      <c r="C679" t="s">
        <v>946</v>
      </c>
      <c r="D679" t="s">
        <v>991</v>
      </c>
      <c r="E679" t="s">
        <v>113</v>
      </c>
      <c r="F679" t="s">
        <v>948</v>
      </c>
      <c r="G679">
        <v>1077777</v>
      </c>
      <c r="H679">
        <v>500220</v>
      </c>
      <c r="I679" t="s">
        <v>949</v>
      </c>
    </row>
    <row r="680" spans="1:9" x14ac:dyDescent="0.25">
      <c r="A680">
        <v>4230</v>
      </c>
      <c r="B680">
        <v>10</v>
      </c>
      <c r="C680" t="s">
        <v>946</v>
      </c>
      <c r="D680" t="s">
        <v>991</v>
      </c>
      <c r="E680" t="s">
        <v>113</v>
      </c>
      <c r="F680" t="s">
        <v>948</v>
      </c>
      <c r="G680">
        <v>1099999</v>
      </c>
      <c r="H680">
        <v>403082</v>
      </c>
      <c r="I680" t="s">
        <v>949</v>
      </c>
    </row>
    <row r="681" spans="1:9" x14ac:dyDescent="0.25">
      <c r="A681">
        <v>4240</v>
      </c>
      <c r="B681">
        <v>10</v>
      </c>
      <c r="C681" t="s">
        <v>946</v>
      </c>
      <c r="D681" t="s">
        <v>991</v>
      </c>
      <c r="E681" t="s">
        <v>113</v>
      </c>
      <c r="F681" t="s">
        <v>948</v>
      </c>
      <c r="G681">
        <v>1077777</v>
      </c>
      <c r="H681">
        <v>500221</v>
      </c>
      <c r="I681" t="s">
        <v>949</v>
      </c>
    </row>
    <row r="682" spans="1:9" x14ac:dyDescent="0.25">
      <c r="A682">
        <v>4141</v>
      </c>
      <c r="B682">
        <v>10</v>
      </c>
      <c r="C682" t="s">
        <v>946</v>
      </c>
      <c r="D682" t="s">
        <v>991</v>
      </c>
      <c r="E682" t="s">
        <v>117</v>
      </c>
      <c r="F682" t="s">
        <v>948</v>
      </c>
      <c r="G682">
        <v>1077777</v>
      </c>
      <c r="H682">
        <v>500220</v>
      </c>
      <c r="I682" t="s">
        <v>949</v>
      </c>
    </row>
    <row r="683" spans="1:9" x14ac:dyDescent="0.25">
      <c r="A683">
        <v>4220</v>
      </c>
      <c r="B683">
        <v>10</v>
      </c>
      <c r="C683" t="s">
        <v>946</v>
      </c>
      <c r="D683" t="s">
        <v>991</v>
      </c>
      <c r="E683" t="s">
        <v>117</v>
      </c>
      <c r="F683" t="s">
        <v>948</v>
      </c>
      <c r="G683">
        <v>1077777</v>
      </c>
      <c r="H683">
        <v>500220</v>
      </c>
      <c r="I683" t="s">
        <v>949</v>
      </c>
    </row>
    <row r="684" spans="1:9" x14ac:dyDescent="0.25">
      <c r="A684">
        <v>4230</v>
      </c>
      <c r="B684">
        <v>10</v>
      </c>
      <c r="C684" t="s">
        <v>946</v>
      </c>
      <c r="D684" t="s">
        <v>991</v>
      </c>
      <c r="E684" t="s">
        <v>117</v>
      </c>
      <c r="F684" t="s">
        <v>948</v>
      </c>
      <c r="G684">
        <v>1088888</v>
      </c>
      <c r="H684">
        <v>810600</v>
      </c>
      <c r="I684" t="s">
        <v>949</v>
      </c>
    </row>
    <row r="685" spans="1:9" x14ac:dyDescent="0.25">
      <c r="A685">
        <v>4240</v>
      </c>
      <c r="B685">
        <v>10</v>
      </c>
      <c r="C685" t="s">
        <v>946</v>
      </c>
      <c r="D685" t="s">
        <v>991</v>
      </c>
      <c r="E685" t="s">
        <v>117</v>
      </c>
      <c r="F685" t="s">
        <v>948</v>
      </c>
      <c r="G685">
        <v>1077777</v>
      </c>
      <c r="H685">
        <v>500221</v>
      </c>
      <c r="I685" t="s">
        <v>949</v>
      </c>
    </row>
    <row r="686" spans="1:9" x14ac:dyDescent="0.25">
      <c r="A686">
        <v>4141</v>
      </c>
      <c r="B686">
        <v>10</v>
      </c>
      <c r="C686" t="s">
        <v>946</v>
      </c>
      <c r="D686" t="s">
        <v>991</v>
      </c>
      <c r="E686" t="s">
        <v>121</v>
      </c>
      <c r="F686" t="s">
        <v>948</v>
      </c>
      <c r="G686">
        <v>1077777</v>
      </c>
      <c r="H686">
        <v>500220</v>
      </c>
      <c r="I686" t="s">
        <v>949</v>
      </c>
    </row>
    <row r="687" spans="1:9" x14ac:dyDescent="0.25">
      <c r="A687">
        <v>4220</v>
      </c>
      <c r="B687">
        <v>10</v>
      </c>
      <c r="C687" t="s">
        <v>946</v>
      </c>
      <c r="D687" t="s">
        <v>991</v>
      </c>
      <c r="E687" t="s">
        <v>121</v>
      </c>
      <c r="F687" t="s">
        <v>948</v>
      </c>
      <c r="G687">
        <v>1077777</v>
      </c>
      <c r="H687">
        <v>500220</v>
      </c>
      <c r="I687" t="s">
        <v>949</v>
      </c>
    </row>
    <row r="688" spans="1:9" x14ac:dyDescent="0.25">
      <c r="A688">
        <v>4230</v>
      </c>
      <c r="B688">
        <v>10</v>
      </c>
      <c r="C688" t="s">
        <v>946</v>
      </c>
      <c r="D688" t="s">
        <v>991</v>
      </c>
      <c r="E688" t="s">
        <v>121</v>
      </c>
      <c r="F688" t="s">
        <v>948</v>
      </c>
      <c r="G688">
        <v>1099999</v>
      </c>
      <c r="H688">
        <v>403042</v>
      </c>
      <c r="I688" t="s">
        <v>949</v>
      </c>
    </row>
    <row r="689" spans="1:9" x14ac:dyDescent="0.25">
      <c r="A689">
        <v>4240</v>
      </c>
      <c r="B689">
        <v>10</v>
      </c>
      <c r="C689" t="s">
        <v>946</v>
      </c>
      <c r="D689" t="s">
        <v>991</v>
      </c>
      <c r="E689" t="s">
        <v>121</v>
      </c>
      <c r="F689" t="s">
        <v>948</v>
      </c>
      <c r="G689">
        <v>1077777</v>
      </c>
      <c r="H689">
        <v>500221</v>
      </c>
      <c r="I689" t="s">
        <v>949</v>
      </c>
    </row>
    <row r="690" spans="1:9" x14ac:dyDescent="0.25">
      <c r="A690">
        <v>4141</v>
      </c>
      <c r="B690">
        <v>10</v>
      </c>
      <c r="C690" t="s">
        <v>946</v>
      </c>
      <c r="D690" t="s">
        <v>991</v>
      </c>
      <c r="E690" t="s">
        <v>984</v>
      </c>
      <c r="F690" t="s">
        <v>948</v>
      </c>
      <c r="G690">
        <v>1077777</v>
      </c>
      <c r="H690">
        <v>501010</v>
      </c>
      <c r="I690" t="s">
        <v>949</v>
      </c>
    </row>
    <row r="691" spans="1:9" x14ac:dyDescent="0.25">
      <c r="A691">
        <v>4220</v>
      </c>
      <c r="B691">
        <v>10</v>
      </c>
      <c r="C691" t="s">
        <v>946</v>
      </c>
      <c r="D691" t="s">
        <v>991</v>
      </c>
      <c r="E691" t="s">
        <v>984</v>
      </c>
      <c r="F691" t="s">
        <v>948</v>
      </c>
      <c r="G691">
        <v>1077777</v>
      </c>
      <c r="H691">
        <v>500220</v>
      </c>
      <c r="I691" t="s">
        <v>949</v>
      </c>
    </row>
    <row r="692" spans="1:9" x14ac:dyDescent="0.25">
      <c r="A692">
        <v>4230</v>
      </c>
      <c r="B692">
        <v>10</v>
      </c>
      <c r="C692" t="s">
        <v>946</v>
      </c>
      <c r="D692" t="s">
        <v>991</v>
      </c>
      <c r="E692" t="s">
        <v>984</v>
      </c>
      <c r="F692" t="s">
        <v>948</v>
      </c>
      <c r="G692">
        <v>1099999</v>
      </c>
      <c r="H692">
        <v>403912</v>
      </c>
      <c r="I692" t="s">
        <v>949</v>
      </c>
    </row>
    <row r="693" spans="1:9" x14ac:dyDescent="0.25">
      <c r="A693">
        <v>4240</v>
      </c>
      <c r="B693">
        <v>10</v>
      </c>
      <c r="C693" t="s">
        <v>946</v>
      </c>
      <c r="D693" t="s">
        <v>991</v>
      </c>
      <c r="E693" t="s">
        <v>984</v>
      </c>
      <c r="F693" t="s">
        <v>948</v>
      </c>
      <c r="G693">
        <v>1077777</v>
      </c>
      <c r="H693">
        <v>500221</v>
      </c>
      <c r="I693" t="s">
        <v>949</v>
      </c>
    </row>
    <row r="694" spans="1:9" x14ac:dyDescent="0.25">
      <c r="A694">
        <v>4141</v>
      </c>
      <c r="B694">
        <v>10</v>
      </c>
      <c r="C694" t="s">
        <v>946</v>
      </c>
      <c r="D694" t="s">
        <v>992</v>
      </c>
      <c r="E694" t="s">
        <v>243</v>
      </c>
      <c r="F694" t="s">
        <v>948</v>
      </c>
      <c r="G694">
        <v>1077777</v>
      </c>
      <c r="H694">
        <v>501010</v>
      </c>
      <c r="I694" t="s">
        <v>949</v>
      </c>
    </row>
    <row r="695" spans="1:9" x14ac:dyDescent="0.25">
      <c r="A695">
        <v>4220</v>
      </c>
      <c r="B695">
        <v>10</v>
      </c>
      <c r="C695" t="s">
        <v>946</v>
      </c>
      <c r="D695" t="s">
        <v>992</v>
      </c>
      <c r="E695" t="s">
        <v>243</v>
      </c>
      <c r="F695" t="s">
        <v>948</v>
      </c>
      <c r="G695">
        <v>1077777</v>
      </c>
      <c r="H695">
        <v>500220</v>
      </c>
      <c r="I695" t="s">
        <v>949</v>
      </c>
    </row>
    <row r="696" spans="1:9" x14ac:dyDescent="0.25">
      <c r="A696">
        <v>4230</v>
      </c>
      <c r="B696">
        <v>10</v>
      </c>
      <c r="C696" t="s">
        <v>946</v>
      </c>
      <c r="D696" t="s">
        <v>992</v>
      </c>
      <c r="E696" t="s">
        <v>243</v>
      </c>
      <c r="F696" t="s">
        <v>948</v>
      </c>
      <c r="G696">
        <v>1099999</v>
      </c>
      <c r="H696">
        <v>403052</v>
      </c>
      <c r="I696" t="s">
        <v>949</v>
      </c>
    </row>
    <row r="697" spans="1:9" x14ac:dyDescent="0.25">
      <c r="A697">
        <v>4240</v>
      </c>
      <c r="B697">
        <v>10</v>
      </c>
      <c r="C697" t="s">
        <v>946</v>
      </c>
      <c r="D697" t="s">
        <v>992</v>
      </c>
      <c r="E697" t="s">
        <v>243</v>
      </c>
      <c r="F697" t="s">
        <v>948</v>
      </c>
      <c r="G697">
        <v>1077777</v>
      </c>
      <c r="H697">
        <v>500221</v>
      </c>
      <c r="I697" t="s">
        <v>949</v>
      </c>
    </row>
    <row r="698" spans="1:9" x14ac:dyDescent="0.25">
      <c r="A698">
        <v>4141</v>
      </c>
      <c r="B698">
        <v>10</v>
      </c>
      <c r="C698" t="s">
        <v>946</v>
      </c>
      <c r="D698" t="s">
        <v>992</v>
      </c>
      <c r="E698" t="s">
        <v>247</v>
      </c>
      <c r="F698" t="s">
        <v>948</v>
      </c>
      <c r="G698">
        <v>1077777</v>
      </c>
      <c r="H698">
        <v>501010</v>
      </c>
      <c r="I698" t="s">
        <v>949</v>
      </c>
    </row>
    <row r="699" spans="1:9" x14ac:dyDescent="0.25">
      <c r="A699">
        <v>4220</v>
      </c>
      <c r="B699">
        <v>10</v>
      </c>
      <c r="C699" t="s">
        <v>946</v>
      </c>
      <c r="D699" t="s">
        <v>992</v>
      </c>
      <c r="E699" t="s">
        <v>247</v>
      </c>
      <c r="F699" t="s">
        <v>948</v>
      </c>
      <c r="G699">
        <v>1077777</v>
      </c>
      <c r="H699">
        <v>500220</v>
      </c>
      <c r="I699" t="s">
        <v>949</v>
      </c>
    </row>
    <row r="700" spans="1:9" x14ac:dyDescent="0.25">
      <c r="A700">
        <v>4230</v>
      </c>
      <c r="B700">
        <v>10</v>
      </c>
      <c r="C700" t="s">
        <v>946</v>
      </c>
      <c r="D700" t="s">
        <v>992</v>
      </c>
      <c r="E700" t="s">
        <v>247</v>
      </c>
      <c r="F700" t="s">
        <v>948</v>
      </c>
      <c r="G700">
        <v>1099999</v>
      </c>
      <c r="H700">
        <v>403022</v>
      </c>
      <c r="I700" t="s">
        <v>949</v>
      </c>
    </row>
    <row r="701" spans="1:9" x14ac:dyDescent="0.25">
      <c r="A701">
        <v>4240</v>
      </c>
      <c r="B701">
        <v>10</v>
      </c>
      <c r="C701" t="s">
        <v>946</v>
      </c>
      <c r="D701" t="s">
        <v>992</v>
      </c>
      <c r="E701" t="s">
        <v>247</v>
      </c>
      <c r="F701" t="s">
        <v>948</v>
      </c>
      <c r="G701">
        <v>1077777</v>
      </c>
      <c r="H701">
        <v>500221</v>
      </c>
      <c r="I701" t="s">
        <v>949</v>
      </c>
    </row>
    <row r="702" spans="1:9" x14ac:dyDescent="0.25">
      <c r="A702">
        <v>4141</v>
      </c>
      <c r="B702">
        <v>10</v>
      </c>
      <c r="C702" t="s">
        <v>946</v>
      </c>
      <c r="D702" t="s">
        <v>992</v>
      </c>
      <c r="E702" t="s">
        <v>251</v>
      </c>
      <c r="F702" t="s">
        <v>948</v>
      </c>
      <c r="G702">
        <v>1077777</v>
      </c>
      <c r="H702">
        <v>501010</v>
      </c>
      <c r="I702" t="s">
        <v>949</v>
      </c>
    </row>
    <row r="703" spans="1:9" x14ac:dyDescent="0.25">
      <c r="A703">
        <v>4220</v>
      </c>
      <c r="B703">
        <v>10</v>
      </c>
      <c r="C703" t="s">
        <v>946</v>
      </c>
      <c r="D703" t="s">
        <v>992</v>
      </c>
      <c r="E703" t="s">
        <v>251</v>
      </c>
      <c r="F703" t="s">
        <v>948</v>
      </c>
      <c r="G703">
        <v>1077777</v>
      </c>
      <c r="H703">
        <v>500220</v>
      </c>
      <c r="I703" t="s">
        <v>949</v>
      </c>
    </row>
    <row r="704" spans="1:9" x14ac:dyDescent="0.25">
      <c r="A704">
        <v>4230</v>
      </c>
      <c r="B704">
        <v>10</v>
      </c>
      <c r="C704" t="s">
        <v>946</v>
      </c>
      <c r="D704" t="s">
        <v>992</v>
      </c>
      <c r="E704" t="s">
        <v>251</v>
      </c>
      <c r="F704" t="s">
        <v>948</v>
      </c>
      <c r="G704">
        <v>1099999</v>
      </c>
      <c r="H704">
        <v>403042</v>
      </c>
      <c r="I704" t="s">
        <v>949</v>
      </c>
    </row>
    <row r="705" spans="1:9" x14ac:dyDescent="0.25">
      <c r="A705">
        <v>4240</v>
      </c>
      <c r="B705">
        <v>10</v>
      </c>
      <c r="C705" t="s">
        <v>946</v>
      </c>
      <c r="D705" t="s">
        <v>992</v>
      </c>
      <c r="E705" t="s">
        <v>251</v>
      </c>
      <c r="F705" t="s">
        <v>948</v>
      </c>
      <c r="G705">
        <v>1077777</v>
      </c>
      <c r="H705">
        <v>500221</v>
      </c>
      <c r="I705" t="s">
        <v>949</v>
      </c>
    </row>
    <row r="706" spans="1:9" x14ac:dyDescent="0.25">
      <c r="A706">
        <v>4141</v>
      </c>
      <c r="B706">
        <v>10</v>
      </c>
      <c r="C706" t="s">
        <v>946</v>
      </c>
      <c r="D706" t="s">
        <v>992</v>
      </c>
      <c r="E706" t="s">
        <v>969</v>
      </c>
      <c r="F706" t="s">
        <v>948</v>
      </c>
      <c r="G706">
        <v>1077777</v>
      </c>
      <c r="H706">
        <v>501010</v>
      </c>
      <c r="I706" t="s">
        <v>949</v>
      </c>
    </row>
    <row r="707" spans="1:9" x14ac:dyDescent="0.25">
      <c r="A707">
        <v>4220</v>
      </c>
      <c r="B707">
        <v>10</v>
      </c>
      <c r="C707" t="s">
        <v>946</v>
      </c>
      <c r="D707" t="s">
        <v>992</v>
      </c>
      <c r="E707" t="s">
        <v>969</v>
      </c>
      <c r="F707" t="s">
        <v>948</v>
      </c>
      <c r="G707">
        <v>1077777</v>
      </c>
      <c r="H707">
        <v>500220</v>
      </c>
      <c r="I707" t="s">
        <v>949</v>
      </c>
    </row>
    <row r="708" spans="1:9" x14ac:dyDescent="0.25">
      <c r="A708">
        <v>4230</v>
      </c>
      <c r="B708">
        <v>10</v>
      </c>
      <c r="C708" t="s">
        <v>946</v>
      </c>
      <c r="D708" t="s">
        <v>992</v>
      </c>
      <c r="E708" t="s">
        <v>969</v>
      </c>
      <c r="F708" t="s">
        <v>948</v>
      </c>
      <c r="G708">
        <v>1099999</v>
      </c>
      <c r="H708">
        <v>403912</v>
      </c>
      <c r="I708" t="s">
        <v>949</v>
      </c>
    </row>
    <row r="709" spans="1:9" x14ac:dyDescent="0.25">
      <c r="A709">
        <v>4240</v>
      </c>
      <c r="B709">
        <v>10</v>
      </c>
      <c r="C709" t="s">
        <v>946</v>
      </c>
      <c r="D709" t="s">
        <v>992</v>
      </c>
      <c r="E709" t="s">
        <v>969</v>
      </c>
      <c r="F709" t="s">
        <v>948</v>
      </c>
      <c r="G709">
        <v>1077777</v>
      </c>
      <c r="H709">
        <v>500221</v>
      </c>
      <c r="I709" t="s">
        <v>949</v>
      </c>
    </row>
    <row r="710" spans="1:9" x14ac:dyDescent="0.25">
      <c r="A710">
        <v>4141</v>
      </c>
      <c r="B710">
        <v>10</v>
      </c>
      <c r="C710" t="s">
        <v>946</v>
      </c>
      <c r="D710" t="s">
        <v>992</v>
      </c>
      <c r="E710" t="s">
        <v>255</v>
      </c>
      <c r="F710" t="s">
        <v>948</v>
      </c>
      <c r="G710">
        <v>1077777</v>
      </c>
      <c r="H710">
        <v>501010</v>
      </c>
      <c r="I710" t="s">
        <v>949</v>
      </c>
    </row>
    <row r="711" spans="1:9" x14ac:dyDescent="0.25">
      <c r="A711">
        <v>4220</v>
      </c>
      <c r="B711">
        <v>10</v>
      </c>
      <c r="C711" t="s">
        <v>946</v>
      </c>
      <c r="D711" t="s">
        <v>992</v>
      </c>
      <c r="E711" t="s">
        <v>255</v>
      </c>
      <c r="F711" t="s">
        <v>948</v>
      </c>
      <c r="G711">
        <v>1077777</v>
      </c>
      <c r="H711">
        <v>500220</v>
      </c>
      <c r="I711" t="s">
        <v>949</v>
      </c>
    </row>
    <row r="712" spans="1:9" x14ac:dyDescent="0.25">
      <c r="A712">
        <v>4230</v>
      </c>
      <c r="B712">
        <v>10</v>
      </c>
      <c r="C712" t="s">
        <v>946</v>
      </c>
      <c r="D712" t="s">
        <v>992</v>
      </c>
      <c r="E712" t="s">
        <v>255</v>
      </c>
      <c r="F712" t="s">
        <v>948</v>
      </c>
      <c r="G712">
        <v>1099999</v>
      </c>
      <c r="H712">
        <v>403072</v>
      </c>
      <c r="I712" t="s">
        <v>949</v>
      </c>
    </row>
    <row r="713" spans="1:9" x14ac:dyDescent="0.25">
      <c r="A713">
        <v>4240</v>
      </c>
      <c r="B713">
        <v>10</v>
      </c>
      <c r="C713" t="s">
        <v>946</v>
      </c>
      <c r="D713" t="s">
        <v>992</v>
      </c>
      <c r="E713" t="s">
        <v>255</v>
      </c>
      <c r="F713" t="s">
        <v>948</v>
      </c>
      <c r="G713">
        <v>1077777</v>
      </c>
      <c r="H713">
        <v>500221</v>
      </c>
      <c r="I713" t="s">
        <v>949</v>
      </c>
    </row>
    <row r="714" spans="1:9" x14ac:dyDescent="0.25">
      <c r="A714">
        <v>4141</v>
      </c>
      <c r="B714">
        <v>10</v>
      </c>
      <c r="C714" t="s">
        <v>946</v>
      </c>
      <c r="D714" t="s">
        <v>992</v>
      </c>
      <c r="E714" t="s">
        <v>971</v>
      </c>
      <c r="F714" t="s">
        <v>948</v>
      </c>
      <c r="G714">
        <v>1077777</v>
      </c>
      <c r="H714">
        <v>501010</v>
      </c>
      <c r="I714" t="s">
        <v>949</v>
      </c>
    </row>
    <row r="715" spans="1:9" x14ac:dyDescent="0.25">
      <c r="A715">
        <v>4220</v>
      </c>
      <c r="B715">
        <v>10</v>
      </c>
      <c r="C715" t="s">
        <v>946</v>
      </c>
      <c r="D715" t="s">
        <v>992</v>
      </c>
      <c r="E715" t="s">
        <v>971</v>
      </c>
      <c r="F715" t="s">
        <v>948</v>
      </c>
      <c r="G715">
        <v>1077777</v>
      </c>
      <c r="H715">
        <v>500220</v>
      </c>
      <c r="I715" t="s">
        <v>949</v>
      </c>
    </row>
    <row r="716" spans="1:9" x14ac:dyDescent="0.25">
      <c r="A716">
        <v>4230</v>
      </c>
      <c r="B716">
        <v>10</v>
      </c>
      <c r="C716" t="s">
        <v>946</v>
      </c>
      <c r="D716" t="s">
        <v>992</v>
      </c>
      <c r="E716" t="s">
        <v>971</v>
      </c>
      <c r="F716" t="s">
        <v>948</v>
      </c>
      <c r="G716">
        <v>1099999</v>
      </c>
      <c r="H716">
        <v>403912</v>
      </c>
      <c r="I716" t="s">
        <v>949</v>
      </c>
    </row>
    <row r="717" spans="1:9" x14ac:dyDescent="0.25">
      <c r="A717">
        <v>4240</v>
      </c>
      <c r="B717">
        <v>10</v>
      </c>
      <c r="C717" t="s">
        <v>946</v>
      </c>
      <c r="D717" t="s">
        <v>992</v>
      </c>
      <c r="E717" t="s">
        <v>971</v>
      </c>
      <c r="F717" t="s">
        <v>948</v>
      </c>
      <c r="G717">
        <v>1077777</v>
      </c>
      <c r="H717">
        <v>500221</v>
      </c>
      <c r="I717" t="s">
        <v>949</v>
      </c>
    </row>
    <row r="718" spans="1:9" x14ac:dyDescent="0.25">
      <c r="A718">
        <v>4230</v>
      </c>
      <c r="B718">
        <v>10</v>
      </c>
      <c r="C718" t="s">
        <v>946</v>
      </c>
      <c r="D718" t="s">
        <v>992</v>
      </c>
      <c r="E718" t="s">
        <v>259</v>
      </c>
      <c r="F718" t="s">
        <v>948</v>
      </c>
      <c r="G718">
        <v>1099999</v>
      </c>
      <c r="H718">
        <v>409002</v>
      </c>
      <c r="I718" t="s">
        <v>949</v>
      </c>
    </row>
    <row r="719" spans="1:9" x14ac:dyDescent="0.25">
      <c r="A719">
        <v>4141</v>
      </c>
      <c r="B719">
        <v>10</v>
      </c>
      <c r="C719" t="s">
        <v>946</v>
      </c>
      <c r="D719" t="s">
        <v>992</v>
      </c>
      <c r="E719" t="s">
        <v>263</v>
      </c>
      <c r="F719" t="s">
        <v>948</v>
      </c>
      <c r="G719">
        <v>1077777</v>
      </c>
      <c r="H719">
        <v>501010</v>
      </c>
      <c r="I719" t="s">
        <v>949</v>
      </c>
    </row>
    <row r="720" spans="1:9" x14ac:dyDescent="0.25">
      <c r="A720">
        <v>4220</v>
      </c>
      <c r="B720">
        <v>10</v>
      </c>
      <c r="C720" t="s">
        <v>946</v>
      </c>
      <c r="D720" t="s">
        <v>992</v>
      </c>
      <c r="E720" t="s">
        <v>263</v>
      </c>
      <c r="F720" t="s">
        <v>948</v>
      </c>
      <c r="G720">
        <v>1077777</v>
      </c>
      <c r="H720">
        <v>500220</v>
      </c>
      <c r="I720" t="s">
        <v>949</v>
      </c>
    </row>
    <row r="721" spans="1:9" x14ac:dyDescent="0.25">
      <c r="A721">
        <v>4230</v>
      </c>
      <c r="B721">
        <v>10</v>
      </c>
      <c r="C721" t="s">
        <v>946</v>
      </c>
      <c r="D721" t="s">
        <v>992</v>
      </c>
      <c r="E721" t="s">
        <v>263</v>
      </c>
      <c r="F721" t="s">
        <v>948</v>
      </c>
      <c r="G721">
        <v>1099999</v>
      </c>
      <c r="H721">
        <v>403042</v>
      </c>
      <c r="I721" t="s">
        <v>949</v>
      </c>
    </row>
    <row r="722" spans="1:9" x14ac:dyDescent="0.25">
      <c r="A722">
        <v>4240</v>
      </c>
      <c r="B722">
        <v>10</v>
      </c>
      <c r="C722" t="s">
        <v>946</v>
      </c>
      <c r="D722" t="s">
        <v>992</v>
      </c>
      <c r="E722" t="s">
        <v>263</v>
      </c>
      <c r="F722" t="s">
        <v>948</v>
      </c>
      <c r="G722">
        <v>1077777</v>
      </c>
      <c r="H722">
        <v>500221</v>
      </c>
      <c r="I722" t="s">
        <v>949</v>
      </c>
    </row>
    <row r="723" spans="1:9" x14ac:dyDescent="0.25">
      <c r="A723">
        <v>4141</v>
      </c>
      <c r="B723">
        <v>10</v>
      </c>
      <c r="C723" t="s">
        <v>946</v>
      </c>
      <c r="D723" t="s">
        <v>992</v>
      </c>
      <c r="E723" t="s">
        <v>100</v>
      </c>
      <c r="F723" t="s">
        <v>948</v>
      </c>
      <c r="G723">
        <v>1077777</v>
      </c>
      <c r="H723">
        <v>500220</v>
      </c>
      <c r="I723" t="s">
        <v>949</v>
      </c>
    </row>
    <row r="724" spans="1:9" x14ac:dyDescent="0.25">
      <c r="A724">
        <v>4220</v>
      </c>
      <c r="B724">
        <v>10</v>
      </c>
      <c r="C724" t="s">
        <v>946</v>
      </c>
      <c r="D724" t="s">
        <v>992</v>
      </c>
      <c r="E724" t="s">
        <v>100</v>
      </c>
      <c r="F724" t="s">
        <v>948</v>
      </c>
      <c r="G724">
        <v>1077777</v>
      </c>
      <c r="H724">
        <v>500220</v>
      </c>
      <c r="I724" t="s">
        <v>949</v>
      </c>
    </row>
    <row r="725" spans="1:9" x14ac:dyDescent="0.25">
      <c r="A725">
        <v>4230</v>
      </c>
      <c r="B725">
        <v>10</v>
      </c>
      <c r="C725" t="s">
        <v>946</v>
      </c>
      <c r="D725" t="s">
        <v>992</v>
      </c>
      <c r="E725" t="s">
        <v>100</v>
      </c>
      <c r="F725" t="s">
        <v>948</v>
      </c>
      <c r="G725">
        <v>1099999</v>
      </c>
      <c r="H725">
        <v>401042</v>
      </c>
      <c r="I725" t="s">
        <v>949</v>
      </c>
    </row>
    <row r="726" spans="1:9" x14ac:dyDescent="0.25">
      <c r="A726">
        <v>4240</v>
      </c>
      <c r="B726">
        <v>10</v>
      </c>
      <c r="C726" t="s">
        <v>946</v>
      </c>
      <c r="D726" t="s">
        <v>992</v>
      </c>
      <c r="E726" t="s">
        <v>100</v>
      </c>
      <c r="F726" t="s">
        <v>948</v>
      </c>
      <c r="G726">
        <v>1077777</v>
      </c>
      <c r="H726">
        <v>500221</v>
      </c>
      <c r="I726" t="s">
        <v>949</v>
      </c>
    </row>
    <row r="727" spans="1:9" x14ac:dyDescent="0.25">
      <c r="A727">
        <v>4230</v>
      </c>
      <c r="B727">
        <v>10</v>
      </c>
      <c r="C727" t="s">
        <v>946</v>
      </c>
      <c r="D727" t="s">
        <v>992</v>
      </c>
      <c r="E727" t="s">
        <v>987</v>
      </c>
      <c r="F727" t="s">
        <v>948</v>
      </c>
      <c r="G727">
        <v>1002305</v>
      </c>
      <c r="H727">
        <v>740150</v>
      </c>
      <c r="I727" t="s">
        <v>949</v>
      </c>
    </row>
    <row r="728" spans="1:9" x14ac:dyDescent="0.25">
      <c r="A728">
        <v>4141</v>
      </c>
      <c r="B728">
        <v>10</v>
      </c>
      <c r="C728" t="s">
        <v>946</v>
      </c>
      <c r="D728" t="s">
        <v>992</v>
      </c>
      <c r="E728" t="s">
        <v>270</v>
      </c>
      <c r="F728" t="s">
        <v>948</v>
      </c>
      <c r="G728">
        <v>1077777</v>
      </c>
      <c r="H728">
        <v>501010</v>
      </c>
      <c r="I728" t="s">
        <v>949</v>
      </c>
    </row>
    <row r="729" spans="1:9" x14ac:dyDescent="0.25">
      <c r="A729">
        <v>4220</v>
      </c>
      <c r="B729">
        <v>10</v>
      </c>
      <c r="C729" t="s">
        <v>946</v>
      </c>
      <c r="D729" t="s">
        <v>992</v>
      </c>
      <c r="E729" t="s">
        <v>270</v>
      </c>
      <c r="F729" t="s">
        <v>948</v>
      </c>
      <c r="G729">
        <v>1077777</v>
      </c>
      <c r="H729">
        <v>500220</v>
      </c>
      <c r="I729" t="s">
        <v>949</v>
      </c>
    </row>
    <row r="730" spans="1:9" x14ac:dyDescent="0.25">
      <c r="A730">
        <v>4230</v>
      </c>
      <c r="B730">
        <v>10</v>
      </c>
      <c r="C730" t="s">
        <v>946</v>
      </c>
      <c r="D730" t="s">
        <v>992</v>
      </c>
      <c r="E730" t="s">
        <v>270</v>
      </c>
      <c r="F730" t="s">
        <v>948</v>
      </c>
      <c r="G730">
        <v>1099999</v>
      </c>
      <c r="H730">
        <v>403062</v>
      </c>
      <c r="I730" t="s">
        <v>949</v>
      </c>
    </row>
    <row r="731" spans="1:9" x14ac:dyDescent="0.25">
      <c r="A731">
        <v>4240</v>
      </c>
      <c r="B731">
        <v>10</v>
      </c>
      <c r="C731" t="s">
        <v>946</v>
      </c>
      <c r="D731" t="s">
        <v>992</v>
      </c>
      <c r="E731" t="s">
        <v>270</v>
      </c>
      <c r="F731" t="s">
        <v>948</v>
      </c>
      <c r="G731">
        <v>1077777</v>
      </c>
      <c r="H731">
        <v>500221</v>
      </c>
      <c r="I731" t="s">
        <v>949</v>
      </c>
    </row>
    <row r="732" spans="1:9" x14ac:dyDescent="0.25">
      <c r="A732">
        <v>4141</v>
      </c>
      <c r="B732">
        <v>10</v>
      </c>
      <c r="C732" t="s">
        <v>946</v>
      </c>
      <c r="D732" t="s">
        <v>992</v>
      </c>
      <c r="E732" t="s">
        <v>274</v>
      </c>
      <c r="F732" t="s">
        <v>948</v>
      </c>
      <c r="G732">
        <v>1077777</v>
      </c>
      <c r="H732">
        <v>501010</v>
      </c>
      <c r="I732" t="s">
        <v>949</v>
      </c>
    </row>
    <row r="733" spans="1:9" x14ac:dyDescent="0.25">
      <c r="A733">
        <v>4220</v>
      </c>
      <c r="B733">
        <v>10</v>
      </c>
      <c r="C733" t="s">
        <v>946</v>
      </c>
      <c r="D733" t="s">
        <v>992</v>
      </c>
      <c r="E733" t="s">
        <v>274</v>
      </c>
      <c r="F733" t="s">
        <v>948</v>
      </c>
      <c r="G733">
        <v>1077777</v>
      </c>
      <c r="H733">
        <v>500220</v>
      </c>
      <c r="I733" t="s">
        <v>949</v>
      </c>
    </row>
    <row r="734" spans="1:9" x14ac:dyDescent="0.25">
      <c r="A734">
        <v>4230</v>
      </c>
      <c r="B734">
        <v>10</v>
      </c>
      <c r="C734" t="s">
        <v>946</v>
      </c>
      <c r="D734" t="s">
        <v>992</v>
      </c>
      <c r="E734" t="s">
        <v>274</v>
      </c>
      <c r="F734" t="s">
        <v>948</v>
      </c>
      <c r="G734">
        <v>1099999</v>
      </c>
      <c r="H734">
        <v>403042</v>
      </c>
      <c r="I734" t="s">
        <v>949</v>
      </c>
    </row>
    <row r="735" spans="1:9" x14ac:dyDescent="0.25">
      <c r="A735">
        <v>4240</v>
      </c>
      <c r="B735">
        <v>10</v>
      </c>
      <c r="C735" t="s">
        <v>946</v>
      </c>
      <c r="D735" t="s">
        <v>992</v>
      </c>
      <c r="E735" t="s">
        <v>274</v>
      </c>
      <c r="F735" t="s">
        <v>948</v>
      </c>
      <c r="G735">
        <v>1077777</v>
      </c>
      <c r="H735">
        <v>500221</v>
      </c>
      <c r="I735" t="s">
        <v>949</v>
      </c>
    </row>
    <row r="736" spans="1:9" x14ac:dyDescent="0.25">
      <c r="A736">
        <v>4141</v>
      </c>
      <c r="B736">
        <v>10</v>
      </c>
      <c r="C736" t="s">
        <v>946</v>
      </c>
      <c r="D736" t="s">
        <v>992</v>
      </c>
      <c r="E736" t="s">
        <v>974</v>
      </c>
      <c r="F736" t="s">
        <v>948</v>
      </c>
      <c r="G736">
        <v>1077777</v>
      </c>
      <c r="H736">
        <v>501010</v>
      </c>
      <c r="I736" t="s">
        <v>949</v>
      </c>
    </row>
    <row r="737" spans="1:9" x14ac:dyDescent="0.25">
      <c r="A737">
        <v>4220</v>
      </c>
      <c r="B737">
        <v>10</v>
      </c>
      <c r="C737" t="s">
        <v>946</v>
      </c>
      <c r="D737" t="s">
        <v>992</v>
      </c>
      <c r="E737" t="s">
        <v>974</v>
      </c>
      <c r="F737" t="s">
        <v>948</v>
      </c>
      <c r="G737">
        <v>1077777</v>
      </c>
      <c r="H737">
        <v>500220</v>
      </c>
      <c r="I737" t="s">
        <v>949</v>
      </c>
    </row>
    <row r="738" spans="1:9" x14ac:dyDescent="0.25">
      <c r="A738">
        <v>4230</v>
      </c>
      <c r="B738">
        <v>10</v>
      </c>
      <c r="C738" t="s">
        <v>946</v>
      </c>
      <c r="D738" t="s">
        <v>992</v>
      </c>
      <c r="E738" t="s">
        <v>974</v>
      </c>
      <c r="F738" t="s">
        <v>948</v>
      </c>
      <c r="G738">
        <v>1099999</v>
      </c>
      <c r="H738">
        <v>403912</v>
      </c>
      <c r="I738" t="s">
        <v>949</v>
      </c>
    </row>
    <row r="739" spans="1:9" x14ac:dyDescent="0.25">
      <c r="A739">
        <v>4240</v>
      </c>
      <c r="B739">
        <v>10</v>
      </c>
      <c r="C739" t="s">
        <v>946</v>
      </c>
      <c r="D739" t="s">
        <v>992</v>
      </c>
      <c r="E739" t="s">
        <v>974</v>
      </c>
      <c r="F739" t="s">
        <v>948</v>
      </c>
      <c r="G739">
        <v>1077777</v>
      </c>
      <c r="H739">
        <v>500221</v>
      </c>
      <c r="I739" t="s">
        <v>949</v>
      </c>
    </row>
    <row r="740" spans="1:9" x14ac:dyDescent="0.25">
      <c r="A740">
        <v>4141</v>
      </c>
      <c r="B740">
        <v>10</v>
      </c>
      <c r="C740" t="s">
        <v>946</v>
      </c>
      <c r="D740" t="s">
        <v>992</v>
      </c>
      <c r="E740" t="s">
        <v>104</v>
      </c>
      <c r="F740" t="s">
        <v>948</v>
      </c>
      <c r="G740">
        <v>1077777</v>
      </c>
      <c r="H740">
        <v>500220</v>
      </c>
      <c r="I740" t="s">
        <v>949</v>
      </c>
    </row>
    <row r="741" spans="1:9" x14ac:dyDescent="0.25">
      <c r="A741">
        <v>4220</v>
      </c>
      <c r="B741">
        <v>10</v>
      </c>
      <c r="C741" t="s">
        <v>946</v>
      </c>
      <c r="D741" t="s">
        <v>992</v>
      </c>
      <c r="E741" t="s">
        <v>104</v>
      </c>
      <c r="F741" t="s">
        <v>948</v>
      </c>
      <c r="G741">
        <v>1077777</v>
      </c>
      <c r="H741">
        <v>500220</v>
      </c>
      <c r="I741" t="s">
        <v>949</v>
      </c>
    </row>
    <row r="742" spans="1:9" x14ac:dyDescent="0.25">
      <c r="A742">
        <v>4230</v>
      </c>
      <c r="B742">
        <v>10</v>
      </c>
      <c r="C742" t="s">
        <v>946</v>
      </c>
      <c r="D742" t="s">
        <v>992</v>
      </c>
      <c r="E742" t="s">
        <v>104</v>
      </c>
      <c r="F742" t="s">
        <v>948</v>
      </c>
      <c r="G742">
        <v>1099999</v>
      </c>
      <c r="H742">
        <v>403042</v>
      </c>
      <c r="I742" t="s">
        <v>949</v>
      </c>
    </row>
    <row r="743" spans="1:9" x14ac:dyDescent="0.25">
      <c r="A743">
        <v>4240</v>
      </c>
      <c r="B743">
        <v>10</v>
      </c>
      <c r="C743" t="s">
        <v>946</v>
      </c>
      <c r="D743" t="s">
        <v>992</v>
      </c>
      <c r="E743" t="s">
        <v>104</v>
      </c>
      <c r="F743" t="s">
        <v>948</v>
      </c>
      <c r="G743">
        <v>1077777</v>
      </c>
      <c r="H743">
        <v>500221</v>
      </c>
      <c r="I743" t="s">
        <v>949</v>
      </c>
    </row>
    <row r="744" spans="1:9" x14ac:dyDescent="0.25">
      <c r="A744">
        <v>4141</v>
      </c>
      <c r="B744">
        <v>10</v>
      </c>
      <c r="C744" t="s">
        <v>946</v>
      </c>
      <c r="D744" t="s">
        <v>992</v>
      </c>
      <c r="E744" t="s">
        <v>278</v>
      </c>
      <c r="F744" t="s">
        <v>948</v>
      </c>
      <c r="G744">
        <v>1077777</v>
      </c>
      <c r="H744">
        <v>501010</v>
      </c>
      <c r="I744" t="s">
        <v>949</v>
      </c>
    </row>
    <row r="745" spans="1:9" x14ac:dyDescent="0.25">
      <c r="A745">
        <v>4220</v>
      </c>
      <c r="B745">
        <v>10</v>
      </c>
      <c r="C745" t="s">
        <v>946</v>
      </c>
      <c r="D745" t="s">
        <v>992</v>
      </c>
      <c r="E745" t="s">
        <v>278</v>
      </c>
      <c r="F745" t="s">
        <v>948</v>
      </c>
      <c r="G745">
        <v>1077777</v>
      </c>
      <c r="H745">
        <v>500220</v>
      </c>
      <c r="I745" t="s">
        <v>949</v>
      </c>
    </row>
    <row r="746" spans="1:9" x14ac:dyDescent="0.25">
      <c r="A746">
        <v>4230</v>
      </c>
      <c r="B746">
        <v>10</v>
      </c>
      <c r="C746" t="s">
        <v>946</v>
      </c>
      <c r="D746" t="s">
        <v>992</v>
      </c>
      <c r="E746" t="s">
        <v>278</v>
      </c>
      <c r="F746" t="s">
        <v>948</v>
      </c>
      <c r="G746">
        <v>1099999</v>
      </c>
      <c r="H746">
        <v>403052</v>
      </c>
      <c r="I746" t="s">
        <v>949</v>
      </c>
    </row>
    <row r="747" spans="1:9" x14ac:dyDescent="0.25">
      <c r="A747">
        <v>4240</v>
      </c>
      <c r="B747">
        <v>10</v>
      </c>
      <c r="C747" t="s">
        <v>946</v>
      </c>
      <c r="D747" t="s">
        <v>992</v>
      </c>
      <c r="E747" t="s">
        <v>278</v>
      </c>
      <c r="F747" t="s">
        <v>948</v>
      </c>
      <c r="G747">
        <v>1077777</v>
      </c>
      <c r="H747">
        <v>500221</v>
      </c>
      <c r="I747" t="s">
        <v>949</v>
      </c>
    </row>
    <row r="748" spans="1:9" x14ac:dyDescent="0.25">
      <c r="A748">
        <v>4141</v>
      </c>
      <c r="B748">
        <v>10</v>
      </c>
      <c r="C748" t="s">
        <v>946</v>
      </c>
      <c r="D748" t="s">
        <v>992</v>
      </c>
      <c r="E748" t="s">
        <v>282</v>
      </c>
      <c r="F748" t="s">
        <v>948</v>
      </c>
      <c r="G748">
        <v>1077777</v>
      </c>
      <c r="H748">
        <v>501010</v>
      </c>
      <c r="I748" t="s">
        <v>949</v>
      </c>
    </row>
    <row r="749" spans="1:9" x14ac:dyDescent="0.25">
      <c r="A749">
        <v>4220</v>
      </c>
      <c r="B749">
        <v>10</v>
      </c>
      <c r="C749" t="s">
        <v>946</v>
      </c>
      <c r="D749" t="s">
        <v>992</v>
      </c>
      <c r="E749" t="s">
        <v>282</v>
      </c>
      <c r="F749" t="s">
        <v>948</v>
      </c>
      <c r="G749">
        <v>1077777</v>
      </c>
      <c r="H749">
        <v>500220</v>
      </c>
      <c r="I749" t="s">
        <v>949</v>
      </c>
    </row>
    <row r="750" spans="1:9" x14ac:dyDescent="0.25">
      <c r="A750">
        <v>4240</v>
      </c>
      <c r="B750">
        <v>10</v>
      </c>
      <c r="C750" t="s">
        <v>946</v>
      </c>
      <c r="D750" t="s">
        <v>992</v>
      </c>
      <c r="E750" t="s">
        <v>282</v>
      </c>
      <c r="F750" t="s">
        <v>948</v>
      </c>
      <c r="G750">
        <v>1077777</v>
      </c>
      <c r="H750">
        <v>500221</v>
      </c>
      <c r="I750" t="s">
        <v>949</v>
      </c>
    </row>
    <row r="751" spans="1:9" x14ac:dyDescent="0.25">
      <c r="A751">
        <v>4141</v>
      </c>
      <c r="B751">
        <v>10</v>
      </c>
      <c r="C751" t="s">
        <v>946</v>
      </c>
      <c r="D751" t="s">
        <v>992</v>
      </c>
      <c r="E751" t="s">
        <v>286</v>
      </c>
      <c r="F751" t="s">
        <v>948</v>
      </c>
      <c r="G751">
        <v>1077777</v>
      </c>
      <c r="H751">
        <v>501010</v>
      </c>
      <c r="I751" t="s">
        <v>949</v>
      </c>
    </row>
    <row r="752" spans="1:9" x14ac:dyDescent="0.25">
      <c r="A752">
        <v>4220</v>
      </c>
      <c r="B752">
        <v>10</v>
      </c>
      <c r="C752" t="s">
        <v>946</v>
      </c>
      <c r="D752" t="s">
        <v>992</v>
      </c>
      <c r="E752" t="s">
        <v>286</v>
      </c>
      <c r="F752" t="s">
        <v>948</v>
      </c>
      <c r="G752">
        <v>1077777</v>
      </c>
      <c r="H752">
        <v>500220</v>
      </c>
      <c r="I752" t="s">
        <v>949</v>
      </c>
    </row>
    <row r="753" spans="1:9" x14ac:dyDescent="0.25">
      <c r="A753">
        <v>4230</v>
      </c>
      <c r="B753">
        <v>10</v>
      </c>
      <c r="C753" t="s">
        <v>946</v>
      </c>
      <c r="D753" t="s">
        <v>992</v>
      </c>
      <c r="E753" t="s">
        <v>286</v>
      </c>
      <c r="F753" t="s">
        <v>948</v>
      </c>
      <c r="G753">
        <v>1099999</v>
      </c>
      <c r="H753">
        <v>403032</v>
      </c>
      <c r="I753" t="s">
        <v>949</v>
      </c>
    </row>
    <row r="754" spans="1:9" x14ac:dyDescent="0.25">
      <c r="A754">
        <v>4240</v>
      </c>
      <c r="B754">
        <v>10</v>
      </c>
      <c r="C754" t="s">
        <v>946</v>
      </c>
      <c r="D754" t="s">
        <v>992</v>
      </c>
      <c r="E754" t="s">
        <v>286</v>
      </c>
      <c r="F754" t="s">
        <v>948</v>
      </c>
      <c r="G754">
        <v>1077777</v>
      </c>
      <c r="H754">
        <v>500221</v>
      </c>
      <c r="I754" t="s">
        <v>949</v>
      </c>
    </row>
    <row r="755" spans="1:9" x14ac:dyDescent="0.25">
      <c r="A755">
        <v>4141</v>
      </c>
      <c r="B755">
        <v>10</v>
      </c>
      <c r="C755" t="s">
        <v>946</v>
      </c>
      <c r="D755" t="s">
        <v>992</v>
      </c>
      <c r="E755" t="s">
        <v>976</v>
      </c>
      <c r="F755" t="s">
        <v>948</v>
      </c>
      <c r="G755">
        <v>1077777</v>
      </c>
      <c r="H755">
        <v>501010</v>
      </c>
      <c r="I755" t="s">
        <v>949</v>
      </c>
    </row>
    <row r="756" spans="1:9" x14ac:dyDescent="0.25">
      <c r="A756">
        <v>4220</v>
      </c>
      <c r="B756">
        <v>10</v>
      </c>
      <c r="C756" t="s">
        <v>946</v>
      </c>
      <c r="D756" t="s">
        <v>992</v>
      </c>
      <c r="E756" t="s">
        <v>976</v>
      </c>
      <c r="F756" t="s">
        <v>948</v>
      </c>
      <c r="G756">
        <v>1077777</v>
      </c>
      <c r="H756">
        <v>500220</v>
      </c>
      <c r="I756" t="s">
        <v>949</v>
      </c>
    </row>
    <row r="757" spans="1:9" x14ac:dyDescent="0.25">
      <c r="A757">
        <v>4230</v>
      </c>
      <c r="B757">
        <v>10</v>
      </c>
      <c r="C757" t="s">
        <v>946</v>
      </c>
      <c r="D757" t="s">
        <v>992</v>
      </c>
      <c r="E757" t="s">
        <v>976</v>
      </c>
      <c r="F757" t="s">
        <v>948</v>
      </c>
      <c r="G757">
        <v>1099999</v>
      </c>
      <c r="H757">
        <v>403912</v>
      </c>
      <c r="I757" t="s">
        <v>949</v>
      </c>
    </row>
    <row r="758" spans="1:9" x14ac:dyDescent="0.25">
      <c r="A758">
        <v>4240</v>
      </c>
      <c r="B758">
        <v>10</v>
      </c>
      <c r="C758" t="s">
        <v>946</v>
      </c>
      <c r="D758" t="s">
        <v>992</v>
      </c>
      <c r="E758" t="s">
        <v>976</v>
      </c>
      <c r="F758" t="s">
        <v>948</v>
      </c>
      <c r="G758">
        <v>1077777</v>
      </c>
      <c r="H758">
        <v>500221</v>
      </c>
      <c r="I758" t="s">
        <v>949</v>
      </c>
    </row>
    <row r="759" spans="1:9" x14ac:dyDescent="0.25">
      <c r="A759">
        <v>4141</v>
      </c>
      <c r="B759">
        <v>10</v>
      </c>
      <c r="C759" t="s">
        <v>946</v>
      </c>
      <c r="D759" t="s">
        <v>992</v>
      </c>
      <c r="E759" t="s">
        <v>290</v>
      </c>
      <c r="F759" t="s">
        <v>948</v>
      </c>
      <c r="G759">
        <v>1077777</v>
      </c>
      <c r="H759">
        <v>501010</v>
      </c>
      <c r="I759" t="s">
        <v>949</v>
      </c>
    </row>
    <row r="760" spans="1:9" x14ac:dyDescent="0.25">
      <c r="A760">
        <v>4220</v>
      </c>
      <c r="B760">
        <v>10</v>
      </c>
      <c r="C760" t="s">
        <v>946</v>
      </c>
      <c r="D760" t="s">
        <v>992</v>
      </c>
      <c r="E760" t="s">
        <v>290</v>
      </c>
      <c r="F760" t="s">
        <v>948</v>
      </c>
      <c r="G760">
        <v>1077777</v>
      </c>
      <c r="H760">
        <v>500220</v>
      </c>
      <c r="I760" t="s">
        <v>949</v>
      </c>
    </row>
    <row r="761" spans="1:9" x14ac:dyDescent="0.25">
      <c r="A761">
        <v>4230</v>
      </c>
      <c r="B761">
        <v>10</v>
      </c>
      <c r="C761" t="s">
        <v>946</v>
      </c>
      <c r="D761" t="s">
        <v>992</v>
      </c>
      <c r="E761" t="s">
        <v>290</v>
      </c>
      <c r="F761" t="s">
        <v>948</v>
      </c>
      <c r="G761">
        <v>1099999</v>
      </c>
      <c r="H761">
        <v>403042</v>
      </c>
      <c r="I761" t="s">
        <v>949</v>
      </c>
    </row>
    <row r="762" spans="1:9" x14ac:dyDescent="0.25">
      <c r="A762">
        <v>4240</v>
      </c>
      <c r="B762">
        <v>10</v>
      </c>
      <c r="C762" t="s">
        <v>946</v>
      </c>
      <c r="D762" t="s">
        <v>992</v>
      </c>
      <c r="E762" t="s">
        <v>290</v>
      </c>
      <c r="F762" t="s">
        <v>948</v>
      </c>
      <c r="G762">
        <v>1077777</v>
      </c>
      <c r="H762">
        <v>500221</v>
      </c>
      <c r="I762" t="s">
        <v>949</v>
      </c>
    </row>
    <row r="763" spans="1:9" x14ac:dyDescent="0.25">
      <c r="A763">
        <v>4141</v>
      </c>
      <c r="B763">
        <v>10</v>
      </c>
      <c r="C763" t="s">
        <v>946</v>
      </c>
      <c r="D763" t="s">
        <v>992</v>
      </c>
      <c r="E763" t="s">
        <v>294</v>
      </c>
      <c r="F763" t="s">
        <v>948</v>
      </c>
      <c r="G763">
        <v>1077777</v>
      </c>
      <c r="H763">
        <v>501010</v>
      </c>
      <c r="I763" t="s">
        <v>949</v>
      </c>
    </row>
    <row r="764" spans="1:9" x14ac:dyDescent="0.25">
      <c r="A764">
        <v>4220</v>
      </c>
      <c r="B764">
        <v>10</v>
      </c>
      <c r="C764" t="s">
        <v>946</v>
      </c>
      <c r="D764" t="s">
        <v>992</v>
      </c>
      <c r="E764" t="s">
        <v>294</v>
      </c>
      <c r="F764" t="s">
        <v>948</v>
      </c>
      <c r="G764">
        <v>1077777</v>
      </c>
      <c r="H764">
        <v>500220</v>
      </c>
      <c r="I764" t="s">
        <v>949</v>
      </c>
    </row>
    <row r="765" spans="1:9" x14ac:dyDescent="0.25">
      <c r="A765">
        <v>4230</v>
      </c>
      <c r="B765">
        <v>10</v>
      </c>
      <c r="C765" t="s">
        <v>946</v>
      </c>
      <c r="D765" t="s">
        <v>992</v>
      </c>
      <c r="E765" t="s">
        <v>294</v>
      </c>
      <c r="F765" t="s">
        <v>948</v>
      </c>
      <c r="G765">
        <v>1099999</v>
      </c>
      <c r="H765">
        <v>403042</v>
      </c>
      <c r="I765" t="s">
        <v>949</v>
      </c>
    </row>
    <row r="766" spans="1:9" x14ac:dyDescent="0.25">
      <c r="A766">
        <v>4240</v>
      </c>
      <c r="B766">
        <v>10</v>
      </c>
      <c r="C766" t="s">
        <v>946</v>
      </c>
      <c r="D766" t="s">
        <v>992</v>
      </c>
      <c r="E766" t="s">
        <v>294</v>
      </c>
      <c r="F766" t="s">
        <v>948</v>
      </c>
      <c r="G766">
        <v>1077777</v>
      </c>
      <c r="H766">
        <v>500221</v>
      </c>
      <c r="I766" t="s">
        <v>949</v>
      </c>
    </row>
    <row r="767" spans="1:9" x14ac:dyDescent="0.25">
      <c r="A767">
        <v>4230</v>
      </c>
      <c r="B767">
        <v>10</v>
      </c>
      <c r="C767" t="s">
        <v>946</v>
      </c>
      <c r="D767" t="s">
        <v>992</v>
      </c>
      <c r="E767" t="s">
        <v>298</v>
      </c>
      <c r="F767" t="s">
        <v>948</v>
      </c>
      <c r="G767">
        <v>1099999</v>
      </c>
      <c r="H767">
        <v>403082</v>
      </c>
      <c r="I767" t="s">
        <v>949</v>
      </c>
    </row>
    <row r="768" spans="1:9" x14ac:dyDescent="0.25">
      <c r="A768">
        <v>4141</v>
      </c>
      <c r="B768">
        <v>10</v>
      </c>
      <c r="C768" t="s">
        <v>946</v>
      </c>
      <c r="D768" t="s">
        <v>992</v>
      </c>
      <c r="E768" t="s">
        <v>980</v>
      </c>
      <c r="F768" t="s">
        <v>948</v>
      </c>
      <c r="G768">
        <v>1077777</v>
      </c>
      <c r="H768">
        <v>501010</v>
      </c>
      <c r="I768" t="s">
        <v>949</v>
      </c>
    </row>
    <row r="769" spans="1:9" x14ac:dyDescent="0.25">
      <c r="A769">
        <v>4220</v>
      </c>
      <c r="B769">
        <v>10</v>
      </c>
      <c r="C769" t="s">
        <v>946</v>
      </c>
      <c r="D769" t="s">
        <v>992</v>
      </c>
      <c r="E769" t="s">
        <v>980</v>
      </c>
      <c r="F769" t="s">
        <v>948</v>
      </c>
      <c r="G769">
        <v>1077777</v>
      </c>
      <c r="H769">
        <v>500220</v>
      </c>
      <c r="I769" t="s">
        <v>949</v>
      </c>
    </row>
    <row r="770" spans="1:9" x14ac:dyDescent="0.25">
      <c r="A770">
        <v>4230</v>
      </c>
      <c r="B770">
        <v>10</v>
      </c>
      <c r="C770" t="s">
        <v>946</v>
      </c>
      <c r="D770" t="s">
        <v>992</v>
      </c>
      <c r="E770" t="s">
        <v>980</v>
      </c>
      <c r="F770" t="s">
        <v>948</v>
      </c>
      <c r="G770">
        <v>1099999</v>
      </c>
      <c r="H770">
        <v>403912</v>
      </c>
      <c r="I770" t="s">
        <v>949</v>
      </c>
    </row>
    <row r="771" spans="1:9" x14ac:dyDescent="0.25">
      <c r="A771">
        <v>4240</v>
      </c>
      <c r="B771">
        <v>10</v>
      </c>
      <c r="C771" t="s">
        <v>946</v>
      </c>
      <c r="D771" t="s">
        <v>992</v>
      </c>
      <c r="E771" t="s">
        <v>980</v>
      </c>
      <c r="F771" t="s">
        <v>948</v>
      </c>
      <c r="G771">
        <v>1077777</v>
      </c>
      <c r="H771">
        <v>500221</v>
      </c>
      <c r="I771" t="s">
        <v>949</v>
      </c>
    </row>
    <row r="772" spans="1:9" x14ac:dyDescent="0.25">
      <c r="A772">
        <v>4141</v>
      </c>
      <c r="B772">
        <v>10</v>
      </c>
      <c r="C772" t="s">
        <v>946</v>
      </c>
      <c r="D772" t="s">
        <v>992</v>
      </c>
      <c r="E772" t="s">
        <v>302</v>
      </c>
      <c r="F772" t="s">
        <v>948</v>
      </c>
      <c r="G772">
        <v>1077777</v>
      </c>
      <c r="H772">
        <v>501010</v>
      </c>
      <c r="I772" t="s">
        <v>949</v>
      </c>
    </row>
    <row r="773" spans="1:9" x14ac:dyDescent="0.25">
      <c r="A773">
        <v>4220</v>
      </c>
      <c r="B773">
        <v>10</v>
      </c>
      <c r="C773" t="s">
        <v>946</v>
      </c>
      <c r="D773" t="s">
        <v>992</v>
      </c>
      <c r="E773" t="s">
        <v>302</v>
      </c>
      <c r="F773" t="s">
        <v>948</v>
      </c>
      <c r="G773">
        <v>1077777</v>
      </c>
      <c r="H773">
        <v>500220</v>
      </c>
      <c r="I773" t="s">
        <v>949</v>
      </c>
    </row>
    <row r="774" spans="1:9" x14ac:dyDescent="0.25">
      <c r="A774">
        <v>4230</v>
      </c>
      <c r="B774">
        <v>10</v>
      </c>
      <c r="C774" t="s">
        <v>946</v>
      </c>
      <c r="D774" t="s">
        <v>992</v>
      </c>
      <c r="E774" t="s">
        <v>302</v>
      </c>
      <c r="F774" t="s">
        <v>948</v>
      </c>
      <c r="G774">
        <v>1099999</v>
      </c>
      <c r="H774">
        <v>401902</v>
      </c>
      <c r="I774" t="s">
        <v>949</v>
      </c>
    </row>
    <row r="775" spans="1:9" x14ac:dyDescent="0.25">
      <c r="A775">
        <v>4240</v>
      </c>
      <c r="B775">
        <v>10</v>
      </c>
      <c r="C775" t="s">
        <v>946</v>
      </c>
      <c r="D775" t="s">
        <v>992</v>
      </c>
      <c r="E775" t="s">
        <v>302</v>
      </c>
      <c r="F775" t="s">
        <v>948</v>
      </c>
      <c r="G775">
        <v>1077777</v>
      </c>
      <c r="H775">
        <v>500221</v>
      </c>
      <c r="I775" t="s">
        <v>949</v>
      </c>
    </row>
    <row r="776" spans="1:9" x14ac:dyDescent="0.25">
      <c r="A776">
        <v>4141</v>
      </c>
      <c r="B776">
        <v>10</v>
      </c>
      <c r="C776" t="s">
        <v>946</v>
      </c>
      <c r="D776" t="s">
        <v>992</v>
      </c>
      <c r="E776" t="s">
        <v>306</v>
      </c>
      <c r="F776" t="s">
        <v>948</v>
      </c>
      <c r="G776">
        <v>1077777</v>
      </c>
      <c r="H776">
        <v>501010</v>
      </c>
      <c r="I776" t="s">
        <v>949</v>
      </c>
    </row>
    <row r="777" spans="1:9" x14ac:dyDescent="0.25">
      <c r="A777">
        <v>4220</v>
      </c>
      <c r="B777">
        <v>10</v>
      </c>
      <c r="C777" t="s">
        <v>946</v>
      </c>
      <c r="D777" t="s">
        <v>992</v>
      </c>
      <c r="E777" t="s">
        <v>306</v>
      </c>
      <c r="F777" t="s">
        <v>948</v>
      </c>
      <c r="G777">
        <v>1077777</v>
      </c>
      <c r="H777">
        <v>500220</v>
      </c>
      <c r="I777" t="s">
        <v>949</v>
      </c>
    </row>
    <row r="778" spans="1:9" x14ac:dyDescent="0.25">
      <c r="A778">
        <v>4230</v>
      </c>
      <c r="B778">
        <v>10</v>
      </c>
      <c r="C778" t="s">
        <v>946</v>
      </c>
      <c r="D778" t="s">
        <v>992</v>
      </c>
      <c r="E778" t="s">
        <v>306</v>
      </c>
      <c r="F778" t="s">
        <v>948</v>
      </c>
      <c r="G778">
        <v>1099999</v>
      </c>
      <c r="H778">
        <v>401042</v>
      </c>
      <c r="I778" t="s">
        <v>949</v>
      </c>
    </row>
    <row r="779" spans="1:9" x14ac:dyDescent="0.25">
      <c r="A779">
        <v>4240</v>
      </c>
      <c r="B779">
        <v>10</v>
      </c>
      <c r="C779" t="s">
        <v>946</v>
      </c>
      <c r="D779" t="s">
        <v>992</v>
      </c>
      <c r="E779" t="s">
        <v>306</v>
      </c>
      <c r="F779" t="s">
        <v>948</v>
      </c>
      <c r="G779">
        <v>1077777</v>
      </c>
      <c r="H779">
        <v>500221</v>
      </c>
      <c r="I779" t="s">
        <v>949</v>
      </c>
    </row>
    <row r="780" spans="1:9" x14ac:dyDescent="0.25">
      <c r="A780">
        <v>4141</v>
      </c>
      <c r="B780">
        <v>10</v>
      </c>
      <c r="C780" t="s">
        <v>946</v>
      </c>
      <c r="D780" t="s">
        <v>992</v>
      </c>
      <c r="E780" t="s">
        <v>108</v>
      </c>
      <c r="F780" t="s">
        <v>948</v>
      </c>
      <c r="G780">
        <v>1077777</v>
      </c>
      <c r="H780">
        <v>500220</v>
      </c>
      <c r="I780" t="s">
        <v>949</v>
      </c>
    </row>
    <row r="781" spans="1:9" x14ac:dyDescent="0.25">
      <c r="A781">
        <v>4220</v>
      </c>
      <c r="B781">
        <v>10</v>
      </c>
      <c r="C781" t="s">
        <v>946</v>
      </c>
      <c r="D781" t="s">
        <v>992</v>
      </c>
      <c r="E781" t="s">
        <v>108</v>
      </c>
      <c r="F781" t="s">
        <v>948</v>
      </c>
      <c r="G781">
        <v>1077777</v>
      </c>
      <c r="H781">
        <v>500220</v>
      </c>
      <c r="I781" t="s">
        <v>949</v>
      </c>
    </row>
    <row r="782" spans="1:9" x14ac:dyDescent="0.25">
      <c r="A782">
        <v>4240</v>
      </c>
      <c r="B782">
        <v>10</v>
      </c>
      <c r="C782" t="s">
        <v>946</v>
      </c>
      <c r="D782" t="s">
        <v>992</v>
      </c>
      <c r="E782" t="s">
        <v>108</v>
      </c>
      <c r="F782" t="s">
        <v>948</v>
      </c>
      <c r="G782">
        <v>1077777</v>
      </c>
      <c r="H782">
        <v>500221</v>
      </c>
      <c r="I782" t="s">
        <v>949</v>
      </c>
    </row>
    <row r="783" spans="1:9" x14ac:dyDescent="0.25">
      <c r="A783">
        <v>4141</v>
      </c>
      <c r="B783">
        <v>10</v>
      </c>
      <c r="C783" t="s">
        <v>946</v>
      </c>
      <c r="D783" t="s">
        <v>992</v>
      </c>
      <c r="E783" t="s">
        <v>310</v>
      </c>
      <c r="F783" t="s">
        <v>948</v>
      </c>
      <c r="G783">
        <v>1077777</v>
      </c>
      <c r="H783">
        <v>501010</v>
      </c>
      <c r="I783" t="s">
        <v>949</v>
      </c>
    </row>
    <row r="784" spans="1:9" x14ac:dyDescent="0.25">
      <c r="A784">
        <v>4220</v>
      </c>
      <c r="B784">
        <v>10</v>
      </c>
      <c r="C784" t="s">
        <v>946</v>
      </c>
      <c r="D784" t="s">
        <v>992</v>
      </c>
      <c r="E784" t="s">
        <v>310</v>
      </c>
      <c r="F784" t="s">
        <v>948</v>
      </c>
      <c r="G784">
        <v>1077777</v>
      </c>
      <c r="H784">
        <v>500220</v>
      </c>
      <c r="I784" t="s">
        <v>949</v>
      </c>
    </row>
    <row r="785" spans="1:9" x14ac:dyDescent="0.25">
      <c r="A785">
        <v>4230</v>
      </c>
      <c r="B785">
        <v>10</v>
      </c>
      <c r="C785" t="s">
        <v>946</v>
      </c>
      <c r="D785" t="s">
        <v>992</v>
      </c>
      <c r="E785" t="s">
        <v>310</v>
      </c>
      <c r="F785" t="s">
        <v>948</v>
      </c>
      <c r="G785">
        <v>1099999</v>
      </c>
      <c r="H785">
        <v>403012</v>
      </c>
      <c r="I785" t="s">
        <v>949</v>
      </c>
    </row>
    <row r="786" spans="1:9" x14ac:dyDescent="0.25">
      <c r="A786">
        <v>4240</v>
      </c>
      <c r="B786">
        <v>10</v>
      </c>
      <c r="C786" t="s">
        <v>946</v>
      </c>
      <c r="D786" t="s">
        <v>992</v>
      </c>
      <c r="E786" t="s">
        <v>310</v>
      </c>
      <c r="F786" t="s">
        <v>948</v>
      </c>
      <c r="G786">
        <v>1077777</v>
      </c>
      <c r="H786">
        <v>500221</v>
      </c>
      <c r="I786" t="s">
        <v>949</v>
      </c>
    </row>
    <row r="787" spans="1:9" x14ac:dyDescent="0.25">
      <c r="A787">
        <v>4141</v>
      </c>
      <c r="B787">
        <v>10</v>
      </c>
      <c r="C787" t="s">
        <v>946</v>
      </c>
      <c r="D787" t="s">
        <v>992</v>
      </c>
      <c r="E787" t="s">
        <v>314</v>
      </c>
      <c r="F787" t="s">
        <v>948</v>
      </c>
      <c r="G787">
        <v>1077777</v>
      </c>
      <c r="H787">
        <v>501010</v>
      </c>
      <c r="I787" t="s">
        <v>949</v>
      </c>
    </row>
    <row r="788" spans="1:9" x14ac:dyDescent="0.25">
      <c r="A788">
        <v>4220</v>
      </c>
      <c r="B788">
        <v>10</v>
      </c>
      <c r="C788" t="s">
        <v>946</v>
      </c>
      <c r="D788" t="s">
        <v>992</v>
      </c>
      <c r="E788" t="s">
        <v>314</v>
      </c>
      <c r="F788" t="s">
        <v>948</v>
      </c>
      <c r="G788">
        <v>1077777</v>
      </c>
      <c r="H788">
        <v>500220</v>
      </c>
      <c r="I788" t="s">
        <v>949</v>
      </c>
    </row>
    <row r="789" spans="1:9" x14ac:dyDescent="0.25">
      <c r="A789">
        <v>4230</v>
      </c>
      <c r="B789">
        <v>10</v>
      </c>
      <c r="C789" t="s">
        <v>946</v>
      </c>
      <c r="D789" t="s">
        <v>992</v>
      </c>
      <c r="E789" t="s">
        <v>314</v>
      </c>
      <c r="F789" t="s">
        <v>948</v>
      </c>
      <c r="G789">
        <v>1099999</v>
      </c>
      <c r="H789">
        <v>403062</v>
      </c>
      <c r="I789" t="s">
        <v>949</v>
      </c>
    </row>
    <row r="790" spans="1:9" x14ac:dyDescent="0.25">
      <c r="A790">
        <v>4240</v>
      </c>
      <c r="B790">
        <v>10</v>
      </c>
      <c r="C790" t="s">
        <v>946</v>
      </c>
      <c r="D790" t="s">
        <v>992</v>
      </c>
      <c r="E790" t="s">
        <v>314</v>
      </c>
      <c r="F790" t="s">
        <v>948</v>
      </c>
      <c r="G790">
        <v>1077777</v>
      </c>
      <c r="H790">
        <v>500221</v>
      </c>
      <c r="I790" t="s">
        <v>949</v>
      </c>
    </row>
    <row r="791" spans="1:9" x14ac:dyDescent="0.25">
      <c r="A791">
        <v>4141</v>
      </c>
      <c r="B791">
        <v>10</v>
      </c>
      <c r="C791" t="s">
        <v>946</v>
      </c>
      <c r="D791" t="s">
        <v>992</v>
      </c>
      <c r="E791" t="s">
        <v>113</v>
      </c>
      <c r="F791" t="s">
        <v>948</v>
      </c>
      <c r="G791">
        <v>1077777</v>
      </c>
      <c r="H791">
        <v>500220</v>
      </c>
      <c r="I791" t="s">
        <v>949</v>
      </c>
    </row>
    <row r="792" spans="1:9" x14ac:dyDescent="0.25">
      <c r="A792">
        <v>4220</v>
      </c>
      <c r="B792">
        <v>10</v>
      </c>
      <c r="C792" t="s">
        <v>946</v>
      </c>
      <c r="D792" t="s">
        <v>992</v>
      </c>
      <c r="E792" t="s">
        <v>113</v>
      </c>
      <c r="F792" t="s">
        <v>948</v>
      </c>
      <c r="G792">
        <v>1077777</v>
      </c>
      <c r="H792">
        <v>500220</v>
      </c>
      <c r="I792" t="s">
        <v>949</v>
      </c>
    </row>
    <row r="793" spans="1:9" x14ac:dyDescent="0.25">
      <c r="A793">
        <v>4230</v>
      </c>
      <c r="B793">
        <v>10</v>
      </c>
      <c r="C793" t="s">
        <v>946</v>
      </c>
      <c r="D793" t="s">
        <v>992</v>
      </c>
      <c r="E793" t="s">
        <v>113</v>
      </c>
      <c r="F793" t="s">
        <v>948</v>
      </c>
      <c r="G793">
        <v>1099999</v>
      </c>
      <c r="H793">
        <v>403082</v>
      </c>
      <c r="I793" t="s">
        <v>949</v>
      </c>
    </row>
    <row r="794" spans="1:9" x14ac:dyDescent="0.25">
      <c r="A794">
        <v>4240</v>
      </c>
      <c r="B794">
        <v>10</v>
      </c>
      <c r="C794" t="s">
        <v>946</v>
      </c>
      <c r="D794" t="s">
        <v>992</v>
      </c>
      <c r="E794" t="s">
        <v>113</v>
      </c>
      <c r="F794" t="s">
        <v>948</v>
      </c>
      <c r="G794">
        <v>1077777</v>
      </c>
      <c r="H794">
        <v>500221</v>
      </c>
      <c r="I794" t="s">
        <v>949</v>
      </c>
    </row>
    <row r="795" spans="1:9" x14ac:dyDescent="0.25">
      <c r="A795">
        <v>4141</v>
      </c>
      <c r="B795">
        <v>10</v>
      </c>
      <c r="C795" t="s">
        <v>946</v>
      </c>
      <c r="D795" t="s">
        <v>992</v>
      </c>
      <c r="E795" t="s">
        <v>117</v>
      </c>
      <c r="F795" t="s">
        <v>948</v>
      </c>
      <c r="G795">
        <v>1077777</v>
      </c>
      <c r="H795">
        <v>500220</v>
      </c>
      <c r="I795" t="s">
        <v>949</v>
      </c>
    </row>
    <row r="796" spans="1:9" x14ac:dyDescent="0.25">
      <c r="A796">
        <v>4220</v>
      </c>
      <c r="B796">
        <v>10</v>
      </c>
      <c r="C796" t="s">
        <v>946</v>
      </c>
      <c r="D796" t="s">
        <v>992</v>
      </c>
      <c r="E796" t="s">
        <v>117</v>
      </c>
      <c r="F796" t="s">
        <v>948</v>
      </c>
      <c r="G796">
        <v>1077777</v>
      </c>
      <c r="H796">
        <v>500220</v>
      </c>
      <c r="I796" t="s">
        <v>949</v>
      </c>
    </row>
    <row r="797" spans="1:9" x14ac:dyDescent="0.25">
      <c r="A797">
        <v>4230</v>
      </c>
      <c r="B797">
        <v>10</v>
      </c>
      <c r="C797" t="s">
        <v>946</v>
      </c>
      <c r="D797" t="s">
        <v>992</v>
      </c>
      <c r="E797" t="s">
        <v>117</v>
      </c>
      <c r="F797" t="s">
        <v>948</v>
      </c>
      <c r="G797">
        <v>1088888</v>
      </c>
      <c r="H797">
        <v>810600</v>
      </c>
      <c r="I797" t="s">
        <v>949</v>
      </c>
    </row>
    <row r="798" spans="1:9" x14ac:dyDescent="0.25">
      <c r="A798">
        <v>4240</v>
      </c>
      <c r="B798">
        <v>10</v>
      </c>
      <c r="C798" t="s">
        <v>946</v>
      </c>
      <c r="D798" t="s">
        <v>992</v>
      </c>
      <c r="E798" t="s">
        <v>117</v>
      </c>
      <c r="F798" t="s">
        <v>948</v>
      </c>
      <c r="G798">
        <v>1077777</v>
      </c>
      <c r="H798">
        <v>500221</v>
      </c>
      <c r="I798" t="s">
        <v>949</v>
      </c>
    </row>
    <row r="799" spans="1:9" x14ac:dyDescent="0.25">
      <c r="A799">
        <v>4141</v>
      </c>
      <c r="B799">
        <v>10</v>
      </c>
      <c r="C799" t="s">
        <v>946</v>
      </c>
      <c r="D799" t="s">
        <v>992</v>
      </c>
      <c r="E799" t="s">
        <v>121</v>
      </c>
      <c r="F799" t="s">
        <v>948</v>
      </c>
      <c r="G799">
        <v>1077777</v>
      </c>
      <c r="H799">
        <v>500220</v>
      </c>
      <c r="I799" t="s">
        <v>949</v>
      </c>
    </row>
    <row r="800" spans="1:9" x14ac:dyDescent="0.25">
      <c r="A800">
        <v>4220</v>
      </c>
      <c r="B800">
        <v>10</v>
      </c>
      <c r="C800" t="s">
        <v>946</v>
      </c>
      <c r="D800" t="s">
        <v>992</v>
      </c>
      <c r="E800" t="s">
        <v>121</v>
      </c>
      <c r="F800" t="s">
        <v>948</v>
      </c>
      <c r="G800">
        <v>1077777</v>
      </c>
      <c r="H800">
        <v>500220</v>
      </c>
      <c r="I800" t="s">
        <v>949</v>
      </c>
    </row>
    <row r="801" spans="1:9" x14ac:dyDescent="0.25">
      <c r="A801">
        <v>4230</v>
      </c>
      <c r="B801">
        <v>10</v>
      </c>
      <c r="C801" t="s">
        <v>946</v>
      </c>
      <c r="D801" t="s">
        <v>992</v>
      </c>
      <c r="E801" t="s">
        <v>121</v>
      </c>
      <c r="F801" t="s">
        <v>948</v>
      </c>
      <c r="G801">
        <v>1099999</v>
      </c>
      <c r="H801">
        <v>403042</v>
      </c>
      <c r="I801" t="s">
        <v>949</v>
      </c>
    </row>
    <row r="802" spans="1:9" x14ac:dyDescent="0.25">
      <c r="A802">
        <v>4240</v>
      </c>
      <c r="B802">
        <v>10</v>
      </c>
      <c r="C802" t="s">
        <v>946</v>
      </c>
      <c r="D802" t="s">
        <v>992</v>
      </c>
      <c r="E802" t="s">
        <v>121</v>
      </c>
      <c r="F802" t="s">
        <v>948</v>
      </c>
      <c r="G802">
        <v>1077777</v>
      </c>
      <c r="H802">
        <v>500221</v>
      </c>
      <c r="I802" t="s">
        <v>949</v>
      </c>
    </row>
    <row r="803" spans="1:9" x14ac:dyDescent="0.25">
      <c r="A803">
        <v>4141</v>
      </c>
      <c r="B803">
        <v>10</v>
      </c>
      <c r="C803" t="s">
        <v>946</v>
      </c>
      <c r="D803" t="s">
        <v>992</v>
      </c>
      <c r="E803" t="s">
        <v>984</v>
      </c>
      <c r="F803" t="s">
        <v>948</v>
      </c>
      <c r="G803">
        <v>1077777</v>
      </c>
      <c r="H803">
        <v>501010</v>
      </c>
      <c r="I803" t="s">
        <v>949</v>
      </c>
    </row>
    <row r="804" spans="1:9" x14ac:dyDescent="0.25">
      <c r="A804">
        <v>4220</v>
      </c>
      <c r="B804">
        <v>10</v>
      </c>
      <c r="C804" t="s">
        <v>946</v>
      </c>
      <c r="D804" t="s">
        <v>992</v>
      </c>
      <c r="E804" t="s">
        <v>984</v>
      </c>
      <c r="F804" t="s">
        <v>948</v>
      </c>
      <c r="G804">
        <v>1077777</v>
      </c>
      <c r="H804">
        <v>500220</v>
      </c>
      <c r="I804" t="s">
        <v>949</v>
      </c>
    </row>
    <row r="805" spans="1:9" x14ac:dyDescent="0.25">
      <c r="A805">
        <v>4230</v>
      </c>
      <c r="B805">
        <v>10</v>
      </c>
      <c r="C805" t="s">
        <v>946</v>
      </c>
      <c r="D805" t="s">
        <v>992</v>
      </c>
      <c r="E805" t="s">
        <v>984</v>
      </c>
      <c r="F805" t="s">
        <v>948</v>
      </c>
      <c r="G805">
        <v>1099999</v>
      </c>
      <c r="H805">
        <v>403912</v>
      </c>
      <c r="I805" t="s">
        <v>949</v>
      </c>
    </row>
    <row r="806" spans="1:9" x14ac:dyDescent="0.25">
      <c r="A806">
        <v>4240</v>
      </c>
      <c r="B806">
        <v>10</v>
      </c>
      <c r="C806" t="s">
        <v>946</v>
      </c>
      <c r="D806" t="s">
        <v>992</v>
      </c>
      <c r="E806" t="s">
        <v>984</v>
      </c>
      <c r="F806" t="s">
        <v>948</v>
      </c>
      <c r="G806">
        <v>1077777</v>
      </c>
      <c r="H806">
        <v>500221</v>
      </c>
      <c r="I806" t="s">
        <v>949</v>
      </c>
    </row>
    <row r="807" spans="1:9" x14ac:dyDescent="0.25">
      <c r="A807">
        <v>4141</v>
      </c>
      <c r="B807">
        <v>10</v>
      </c>
      <c r="C807" t="s">
        <v>946</v>
      </c>
      <c r="D807" t="s">
        <v>947</v>
      </c>
      <c r="E807" t="s">
        <v>243</v>
      </c>
      <c r="F807" t="s">
        <v>948</v>
      </c>
      <c r="G807">
        <v>1077777</v>
      </c>
      <c r="H807">
        <v>500220</v>
      </c>
      <c r="I807" t="s">
        <v>949</v>
      </c>
    </row>
    <row r="808" spans="1:9" x14ac:dyDescent="0.25">
      <c r="A808">
        <v>4220</v>
      </c>
      <c r="B808">
        <v>10</v>
      </c>
      <c r="C808" t="s">
        <v>946</v>
      </c>
      <c r="D808" t="s">
        <v>947</v>
      </c>
      <c r="E808" t="s">
        <v>243</v>
      </c>
      <c r="F808" t="s">
        <v>948</v>
      </c>
      <c r="G808">
        <v>1077777</v>
      </c>
      <c r="H808">
        <v>500220</v>
      </c>
      <c r="I808" t="s">
        <v>949</v>
      </c>
    </row>
    <row r="809" spans="1:9" x14ac:dyDescent="0.25">
      <c r="A809">
        <v>4230</v>
      </c>
      <c r="B809">
        <v>10</v>
      </c>
      <c r="C809" t="s">
        <v>946</v>
      </c>
      <c r="D809" t="s">
        <v>947</v>
      </c>
      <c r="E809" t="s">
        <v>243</v>
      </c>
      <c r="F809" t="s">
        <v>948</v>
      </c>
      <c r="G809">
        <v>1099999</v>
      </c>
      <c r="H809">
        <v>401052</v>
      </c>
      <c r="I809" t="s">
        <v>949</v>
      </c>
    </row>
    <row r="810" spans="1:9" x14ac:dyDescent="0.25">
      <c r="A810">
        <v>4240</v>
      </c>
      <c r="B810">
        <v>10</v>
      </c>
      <c r="C810" t="s">
        <v>946</v>
      </c>
      <c r="D810" t="s">
        <v>947</v>
      </c>
      <c r="E810" t="s">
        <v>243</v>
      </c>
      <c r="F810" t="s">
        <v>948</v>
      </c>
      <c r="G810">
        <v>1077777</v>
      </c>
      <c r="H810">
        <v>500221</v>
      </c>
      <c r="I810" t="s">
        <v>949</v>
      </c>
    </row>
    <row r="811" spans="1:9" x14ac:dyDescent="0.25">
      <c r="A811">
        <v>4141</v>
      </c>
      <c r="B811">
        <v>10</v>
      </c>
      <c r="C811" t="s">
        <v>946</v>
      </c>
      <c r="D811" t="s">
        <v>947</v>
      </c>
      <c r="E811" t="s">
        <v>247</v>
      </c>
      <c r="F811" t="s">
        <v>948</v>
      </c>
      <c r="G811">
        <v>1077777</v>
      </c>
      <c r="H811">
        <v>500220</v>
      </c>
      <c r="I811" t="s">
        <v>949</v>
      </c>
    </row>
    <row r="812" spans="1:9" x14ac:dyDescent="0.25">
      <c r="A812">
        <v>4220</v>
      </c>
      <c r="B812">
        <v>10</v>
      </c>
      <c r="C812" t="s">
        <v>946</v>
      </c>
      <c r="D812" t="s">
        <v>947</v>
      </c>
      <c r="E812" t="s">
        <v>247</v>
      </c>
      <c r="F812" t="s">
        <v>948</v>
      </c>
      <c r="G812">
        <v>1077777</v>
      </c>
      <c r="H812">
        <v>500220</v>
      </c>
      <c r="I812" t="s">
        <v>949</v>
      </c>
    </row>
    <row r="813" spans="1:9" x14ac:dyDescent="0.25">
      <c r="A813">
        <v>4230</v>
      </c>
      <c r="B813">
        <v>10</v>
      </c>
      <c r="C813" t="s">
        <v>946</v>
      </c>
      <c r="D813" t="s">
        <v>947</v>
      </c>
      <c r="E813" t="s">
        <v>247</v>
      </c>
      <c r="F813" t="s">
        <v>948</v>
      </c>
      <c r="G813">
        <v>1099999</v>
      </c>
      <c r="H813">
        <v>401022</v>
      </c>
      <c r="I813" t="s">
        <v>949</v>
      </c>
    </row>
    <row r="814" spans="1:9" x14ac:dyDescent="0.25">
      <c r="A814">
        <v>4240</v>
      </c>
      <c r="B814">
        <v>10</v>
      </c>
      <c r="C814" t="s">
        <v>946</v>
      </c>
      <c r="D814" t="s">
        <v>947</v>
      </c>
      <c r="E814" t="s">
        <v>247</v>
      </c>
      <c r="F814" t="s">
        <v>948</v>
      </c>
      <c r="G814">
        <v>1077777</v>
      </c>
      <c r="H814">
        <v>500221</v>
      </c>
      <c r="I814" t="s">
        <v>949</v>
      </c>
    </row>
    <row r="815" spans="1:9" x14ac:dyDescent="0.25">
      <c r="A815">
        <v>4141</v>
      </c>
      <c r="B815">
        <v>10</v>
      </c>
      <c r="C815" t="s">
        <v>946</v>
      </c>
      <c r="D815" t="s">
        <v>947</v>
      </c>
      <c r="E815" t="s">
        <v>251</v>
      </c>
      <c r="F815" t="s">
        <v>948</v>
      </c>
      <c r="G815">
        <v>1077777</v>
      </c>
      <c r="H815">
        <v>500220</v>
      </c>
      <c r="I815" t="s">
        <v>949</v>
      </c>
    </row>
    <row r="816" spans="1:9" x14ac:dyDescent="0.25">
      <c r="A816">
        <v>4220</v>
      </c>
      <c r="B816">
        <v>10</v>
      </c>
      <c r="C816" t="s">
        <v>946</v>
      </c>
      <c r="D816" t="s">
        <v>947</v>
      </c>
      <c r="E816" t="s">
        <v>251</v>
      </c>
      <c r="F816" t="s">
        <v>948</v>
      </c>
      <c r="G816">
        <v>1077777</v>
      </c>
      <c r="H816">
        <v>500220</v>
      </c>
      <c r="I816" t="s">
        <v>949</v>
      </c>
    </row>
    <row r="817" spans="1:9" x14ac:dyDescent="0.25">
      <c r="A817">
        <v>4230</v>
      </c>
      <c r="B817">
        <v>10</v>
      </c>
      <c r="C817" t="s">
        <v>946</v>
      </c>
      <c r="D817" t="s">
        <v>947</v>
      </c>
      <c r="E817" t="s">
        <v>251</v>
      </c>
      <c r="F817" t="s">
        <v>948</v>
      </c>
      <c r="G817">
        <v>1099999</v>
      </c>
      <c r="H817">
        <v>401042</v>
      </c>
      <c r="I817" t="s">
        <v>949</v>
      </c>
    </row>
    <row r="818" spans="1:9" x14ac:dyDescent="0.25">
      <c r="A818">
        <v>4240</v>
      </c>
      <c r="B818">
        <v>10</v>
      </c>
      <c r="C818" t="s">
        <v>946</v>
      </c>
      <c r="D818" t="s">
        <v>947</v>
      </c>
      <c r="E818" t="s">
        <v>251</v>
      </c>
      <c r="F818" t="s">
        <v>948</v>
      </c>
      <c r="G818">
        <v>1077777</v>
      </c>
      <c r="H818">
        <v>500221</v>
      </c>
      <c r="I818" t="s">
        <v>949</v>
      </c>
    </row>
    <row r="819" spans="1:9" x14ac:dyDescent="0.25">
      <c r="A819">
        <v>4141</v>
      </c>
      <c r="B819">
        <v>10</v>
      </c>
      <c r="C819" t="s">
        <v>946</v>
      </c>
      <c r="D819" t="s">
        <v>947</v>
      </c>
      <c r="E819" t="s">
        <v>969</v>
      </c>
      <c r="F819" t="s">
        <v>948</v>
      </c>
      <c r="G819">
        <v>1077777</v>
      </c>
      <c r="H819">
        <v>500220</v>
      </c>
      <c r="I819" t="s">
        <v>949</v>
      </c>
    </row>
    <row r="820" spans="1:9" x14ac:dyDescent="0.25">
      <c r="A820">
        <v>4220</v>
      </c>
      <c r="B820">
        <v>10</v>
      </c>
      <c r="C820" t="s">
        <v>946</v>
      </c>
      <c r="D820" t="s">
        <v>947</v>
      </c>
      <c r="E820" t="s">
        <v>969</v>
      </c>
      <c r="F820" t="s">
        <v>948</v>
      </c>
      <c r="G820">
        <v>1077777</v>
      </c>
      <c r="H820">
        <v>500220</v>
      </c>
      <c r="I820" t="s">
        <v>949</v>
      </c>
    </row>
    <row r="821" spans="1:9" x14ac:dyDescent="0.25">
      <c r="A821">
        <v>4230</v>
      </c>
      <c r="B821">
        <v>10</v>
      </c>
      <c r="C821" t="s">
        <v>946</v>
      </c>
      <c r="D821" t="s">
        <v>947</v>
      </c>
      <c r="E821" t="s">
        <v>969</v>
      </c>
      <c r="F821" t="s">
        <v>948</v>
      </c>
      <c r="G821">
        <v>1099999</v>
      </c>
      <c r="H821">
        <v>401912</v>
      </c>
      <c r="I821" t="s">
        <v>949</v>
      </c>
    </row>
    <row r="822" spans="1:9" x14ac:dyDescent="0.25">
      <c r="A822">
        <v>4240</v>
      </c>
      <c r="B822">
        <v>10</v>
      </c>
      <c r="C822" t="s">
        <v>946</v>
      </c>
      <c r="D822" t="s">
        <v>947</v>
      </c>
      <c r="E822" t="s">
        <v>969</v>
      </c>
      <c r="F822" t="s">
        <v>948</v>
      </c>
      <c r="G822">
        <v>1077777</v>
      </c>
      <c r="H822">
        <v>500221</v>
      </c>
      <c r="I822" t="s">
        <v>949</v>
      </c>
    </row>
    <row r="823" spans="1:9" x14ac:dyDescent="0.25">
      <c r="A823">
        <v>4141</v>
      </c>
      <c r="B823">
        <v>10</v>
      </c>
      <c r="C823" t="s">
        <v>946</v>
      </c>
      <c r="D823" t="s">
        <v>947</v>
      </c>
      <c r="E823" t="s">
        <v>255</v>
      </c>
      <c r="F823" t="s">
        <v>948</v>
      </c>
      <c r="G823">
        <v>1077777</v>
      </c>
      <c r="H823">
        <v>500220</v>
      </c>
      <c r="I823" t="s">
        <v>949</v>
      </c>
    </row>
    <row r="824" spans="1:9" x14ac:dyDescent="0.25">
      <c r="A824">
        <v>4220</v>
      </c>
      <c r="B824">
        <v>10</v>
      </c>
      <c r="C824" t="s">
        <v>946</v>
      </c>
      <c r="D824" t="s">
        <v>947</v>
      </c>
      <c r="E824" t="s">
        <v>255</v>
      </c>
      <c r="F824" t="s">
        <v>948</v>
      </c>
      <c r="G824">
        <v>1077777</v>
      </c>
      <c r="H824">
        <v>500220</v>
      </c>
      <c r="I824" t="s">
        <v>949</v>
      </c>
    </row>
    <row r="825" spans="1:9" x14ac:dyDescent="0.25">
      <c r="A825">
        <v>4230</v>
      </c>
      <c r="B825">
        <v>10</v>
      </c>
      <c r="C825" t="s">
        <v>946</v>
      </c>
      <c r="D825" t="s">
        <v>947</v>
      </c>
      <c r="E825" t="s">
        <v>255</v>
      </c>
      <c r="F825" t="s">
        <v>948</v>
      </c>
      <c r="G825">
        <v>1099999</v>
      </c>
      <c r="H825">
        <v>401072</v>
      </c>
      <c r="I825" t="s">
        <v>949</v>
      </c>
    </row>
    <row r="826" spans="1:9" x14ac:dyDescent="0.25">
      <c r="A826">
        <v>4240</v>
      </c>
      <c r="B826">
        <v>10</v>
      </c>
      <c r="C826" t="s">
        <v>946</v>
      </c>
      <c r="D826" t="s">
        <v>947</v>
      </c>
      <c r="E826" t="s">
        <v>255</v>
      </c>
      <c r="F826" t="s">
        <v>948</v>
      </c>
      <c r="G826">
        <v>1077777</v>
      </c>
      <c r="H826">
        <v>500221</v>
      </c>
      <c r="I826" t="s">
        <v>949</v>
      </c>
    </row>
    <row r="827" spans="1:9" x14ac:dyDescent="0.25">
      <c r="A827">
        <v>4141</v>
      </c>
      <c r="B827">
        <v>10</v>
      </c>
      <c r="C827" t="s">
        <v>946</v>
      </c>
      <c r="D827" t="s">
        <v>947</v>
      </c>
      <c r="E827" t="s">
        <v>971</v>
      </c>
      <c r="F827" t="s">
        <v>948</v>
      </c>
      <c r="G827">
        <v>1077777</v>
      </c>
      <c r="H827">
        <v>500220</v>
      </c>
      <c r="I827" t="s">
        <v>949</v>
      </c>
    </row>
    <row r="828" spans="1:9" x14ac:dyDescent="0.25">
      <c r="A828">
        <v>4220</v>
      </c>
      <c r="B828">
        <v>10</v>
      </c>
      <c r="C828" t="s">
        <v>946</v>
      </c>
      <c r="D828" t="s">
        <v>947</v>
      </c>
      <c r="E828" t="s">
        <v>971</v>
      </c>
      <c r="F828" t="s">
        <v>948</v>
      </c>
      <c r="G828">
        <v>1077777</v>
      </c>
      <c r="H828">
        <v>500220</v>
      </c>
      <c r="I828" t="s">
        <v>949</v>
      </c>
    </row>
    <row r="829" spans="1:9" x14ac:dyDescent="0.25">
      <c r="A829">
        <v>4230</v>
      </c>
      <c r="B829">
        <v>10</v>
      </c>
      <c r="C829" t="s">
        <v>946</v>
      </c>
      <c r="D829" t="s">
        <v>947</v>
      </c>
      <c r="E829" t="s">
        <v>971</v>
      </c>
      <c r="F829" t="s">
        <v>948</v>
      </c>
      <c r="G829">
        <v>1099999</v>
      </c>
      <c r="H829">
        <v>401912</v>
      </c>
      <c r="I829" t="s">
        <v>949</v>
      </c>
    </row>
    <row r="830" spans="1:9" x14ac:dyDescent="0.25">
      <c r="A830">
        <v>4240</v>
      </c>
      <c r="B830">
        <v>10</v>
      </c>
      <c r="C830" t="s">
        <v>946</v>
      </c>
      <c r="D830" t="s">
        <v>947</v>
      </c>
      <c r="E830" t="s">
        <v>971</v>
      </c>
      <c r="F830" t="s">
        <v>948</v>
      </c>
      <c r="G830">
        <v>1077777</v>
      </c>
      <c r="H830">
        <v>500221</v>
      </c>
      <c r="I830" t="s">
        <v>949</v>
      </c>
    </row>
    <row r="831" spans="1:9" x14ac:dyDescent="0.25">
      <c r="A831">
        <v>4230</v>
      </c>
      <c r="B831">
        <v>10</v>
      </c>
      <c r="C831" t="s">
        <v>946</v>
      </c>
      <c r="D831" t="s">
        <v>947</v>
      </c>
      <c r="E831" t="s">
        <v>259</v>
      </c>
      <c r="F831" t="s">
        <v>948</v>
      </c>
      <c r="G831">
        <v>1099999</v>
      </c>
      <c r="H831">
        <v>409002</v>
      </c>
      <c r="I831" t="s">
        <v>949</v>
      </c>
    </row>
    <row r="832" spans="1:9" x14ac:dyDescent="0.25">
      <c r="A832">
        <v>4141</v>
      </c>
      <c r="B832">
        <v>10</v>
      </c>
      <c r="C832" t="s">
        <v>946</v>
      </c>
      <c r="D832" t="s">
        <v>947</v>
      </c>
      <c r="E832" t="s">
        <v>263</v>
      </c>
      <c r="F832" t="s">
        <v>948</v>
      </c>
      <c r="G832">
        <v>1077777</v>
      </c>
      <c r="H832">
        <v>500200</v>
      </c>
      <c r="I832" t="s">
        <v>949</v>
      </c>
    </row>
    <row r="833" spans="1:9" x14ac:dyDescent="0.25">
      <c r="A833">
        <v>4220</v>
      </c>
      <c r="B833">
        <v>10</v>
      </c>
      <c r="C833" t="s">
        <v>946</v>
      </c>
      <c r="D833" t="s">
        <v>947</v>
      </c>
      <c r="E833" t="s">
        <v>263</v>
      </c>
      <c r="F833" t="s">
        <v>948</v>
      </c>
      <c r="G833">
        <v>1077777</v>
      </c>
      <c r="H833">
        <v>500200</v>
      </c>
      <c r="I833" t="s">
        <v>949</v>
      </c>
    </row>
    <row r="834" spans="1:9" x14ac:dyDescent="0.25">
      <c r="A834">
        <v>4230</v>
      </c>
      <c r="B834">
        <v>10</v>
      </c>
      <c r="C834" t="s">
        <v>946</v>
      </c>
      <c r="D834" t="s">
        <v>947</v>
      </c>
      <c r="E834" t="s">
        <v>263</v>
      </c>
      <c r="F834" t="s">
        <v>948</v>
      </c>
      <c r="G834">
        <v>1099999</v>
      </c>
      <c r="H834">
        <v>401042</v>
      </c>
      <c r="I834" t="s">
        <v>949</v>
      </c>
    </row>
    <row r="835" spans="1:9" x14ac:dyDescent="0.25">
      <c r="A835">
        <v>4240</v>
      </c>
      <c r="B835">
        <v>10</v>
      </c>
      <c r="C835" t="s">
        <v>946</v>
      </c>
      <c r="D835" t="s">
        <v>947</v>
      </c>
      <c r="E835" t="s">
        <v>263</v>
      </c>
      <c r="F835" t="s">
        <v>948</v>
      </c>
      <c r="G835">
        <v>1077777</v>
      </c>
      <c r="H835">
        <v>500221</v>
      </c>
      <c r="I835" t="s">
        <v>949</v>
      </c>
    </row>
    <row r="836" spans="1:9" x14ac:dyDescent="0.25">
      <c r="A836">
        <v>4141</v>
      </c>
      <c r="B836">
        <v>10</v>
      </c>
      <c r="C836" t="s">
        <v>946</v>
      </c>
      <c r="D836" t="s">
        <v>947</v>
      </c>
      <c r="E836" t="s">
        <v>100</v>
      </c>
      <c r="F836" t="s">
        <v>948</v>
      </c>
      <c r="G836">
        <v>1077777</v>
      </c>
      <c r="H836">
        <v>500220</v>
      </c>
      <c r="I836" t="s">
        <v>949</v>
      </c>
    </row>
    <row r="837" spans="1:9" x14ac:dyDescent="0.25">
      <c r="A837">
        <v>4220</v>
      </c>
      <c r="B837">
        <v>10</v>
      </c>
      <c r="C837" t="s">
        <v>946</v>
      </c>
      <c r="D837" t="s">
        <v>947</v>
      </c>
      <c r="E837" t="s">
        <v>100</v>
      </c>
      <c r="F837" t="s">
        <v>948</v>
      </c>
      <c r="G837">
        <v>1077777</v>
      </c>
      <c r="H837">
        <v>500220</v>
      </c>
      <c r="I837" t="s">
        <v>949</v>
      </c>
    </row>
    <row r="838" spans="1:9" x14ac:dyDescent="0.25">
      <c r="A838">
        <v>4230</v>
      </c>
      <c r="B838">
        <v>10</v>
      </c>
      <c r="C838" t="s">
        <v>946</v>
      </c>
      <c r="D838" t="s">
        <v>947</v>
      </c>
      <c r="E838" t="s">
        <v>100</v>
      </c>
      <c r="F838" t="s">
        <v>948</v>
      </c>
      <c r="G838">
        <v>1099999</v>
      </c>
      <c r="H838">
        <v>401042</v>
      </c>
      <c r="I838" t="s">
        <v>949</v>
      </c>
    </row>
    <row r="839" spans="1:9" x14ac:dyDescent="0.25">
      <c r="A839">
        <v>4240</v>
      </c>
      <c r="B839">
        <v>10</v>
      </c>
      <c r="C839" t="s">
        <v>946</v>
      </c>
      <c r="D839" t="s">
        <v>947</v>
      </c>
      <c r="E839" t="s">
        <v>100</v>
      </c>
      <c r="F839" t="s">
        <v>948</v>
      </c>
      <c r="G839">
        <v>1077777</v>
      </c>
      <c r="H839">
        <v>500221</v>
      </c>
      <c r="I839" t="s">
        <v>949</v>
      </c>
    </row>
    <row r="840" spans="1:9" x14ac:dyDescent="0.25">
      <c r="A840">
        <v>4230</v>
      </c>
      <c r="B840">
        <v>10</v>
      </c>
      <c r="C840" t="s">
        <v>946</v>
      </c>
      <c r="D840" t="s">
        <v>947</v>
      </c>
      <c r="E840" t="s">
        <v>987</v>
      </c>
      <c r="F840" t="s">
        <v>948</v>
      </c>
      <c r="G840">
        <v>1002305</v>
      </c>
      <c r="H840">
        <v>740150</v>
      </c>
      <c r="I840" t="s">
        <v>949</v>
      </c>
    </row>
    <row r="841" spans="1:9" x14ac:dyDescent="0.25">
      <c r="A841">
        <v>4141</v>
      </c>
      <c r="B841">
        <v>10</v>
      </c>
      <c r="C841" t="s">
        <v>946</v>
      </c>
      <c r="D841" t="s">
        <v>947</v>
      </c>
      <c r="E841" t="s">
        <v>270</v>
      </c>
      <c r="F841" t="s">
        <v>948</v>
      </c>
      <c r="G841">
        <v>1077777</v>
      </c>
      <c r="H841">
        <v>500220</v>
      </c>
      <c r="I841" t="s">
        <v>949</v>
      </c>
    </row>
    <row r="842" spans="1:9" x14ac:dyDescent="0.25">
      <c r="A842">
        <v>4220</v>
      </c>
      <c r="B842">
        <v>10</v>
      </c>
      <c r="C842" t="s">
        <v>946</v>
      </c>
      <c r="D842" t="s">
        <v>947</v>
      </c>
      <c r="E842" t="s">
        <v>270</v>
      </c>
      <c r="F842" t="s">
        <v>948</v>
      </c>
      <c r="G842">
        <v>1077777</v>
      </c>
      <c r="H842">
        <v>500220</v>
      </c>
      <c r="I842" t="s">
        <v>949</v>
      </c>
    </row>
    <row r="843" spans="1:9" x14ac:dyDescent="0.25">
      <c r="A843">
        <v>4230</v>
      </c>
      <c r="B843">
        <v>10</v>
      </c>
      <c r="C843" t="s">
        <v>946</v>
      </c>
      <c r="D843" t="s">
        <v>947</v>
      </c>
      <c r="E843" t="s">
        <v>270</v>
      </c>
      <c r="F843" t="s">
        <v>948</v>
      </c>
      <c r="G843">
        <v>1099999</v>
      </c>
      <c r="H843">
        <v>401062</v>
      </c>
      <c r="I843" t="s">
        <v>949</v>
      </c>
    </row>
    <row r="844" spans="1:9" x14ac:dyDescent="0.25">
      <c r="A844">
        <v>4240</v>
      </c>
      <c r="B844">
        <v>10</v>
      </c>
      <c r="C844" t="s">
        <v>946</v>
      </c>
      <c r="D844" t="s">
        <v>947</v>
      </c>
      <c r="E844" t="s">
        <v>270</v>
      </c>
      <c r="F844" t="s">
        <v>948</v>
      </c>
      <c r="G844">
        <v>1077777</v>
      </c>
      <c r="H844">
        <v>500221</v>
      </c>
      <c r="I844" t="s">
        <v>949</v>
      </c>
    </row>
    <row r="845" spans="1:9" x14ac:dyDescent="0.25">
      <c r="A845">
        <v>4141</v>
      </c>
      <c r="B845">
        <v>10</v>
      </c>
      <c r="C845" t="s">
        <v>946</v>
      </c>
      <c r="D845" t="s">
        <v>947</v>
      </c>
      <c r="E845" t="s">
        <v>274</v>
      </c>
      <c r="F845" t="s">
        <v>948</v>
      </c>
      <c r="G845">
        <v>1077777</v>
      </c>
      <c r="H845">
        <v>500220</v>
      </c>
      <c r="I845" t="s">
        <v>949</v>
      </c>
    </row>
    <row r="846" spans="1:9" x14ac:dyDescent="0.25">
      <c r="A846">
        <v>4220</v>
      </c>
      <c r="B846">
        <v>10</v>
      </c>
      <c r="C846" t="s">
        <v>946</v>
      </c>
      <c r="D846" t="s">
        <v>947</v>
      </c>
      <c r="E846" t="s">
        <v>274</v>
      </c>
      <c r="F846" t="s">
        <v>948</v>
      </c>
      <c r="G846">
        <v>1077777</v>
      </c>
      <c r="H846">
        <v>500220</v>
      </c>
      <c r="I846" t="s">
        <v>949</v>
      </c>
    </row>
    <row r="847" spans="1:9" x14ac:dyDescent="0.25">
      <c r="A847">
        <v>4230</v>
      </c>
      <c r="B847">
        <v>10</v>
      </c>
      <c r="C847" t="s">
        <v>946</v>
      </c>
      <c r="D847" t="s">
        <v>947</v>
      </c>
      <c r="E847" t="s">
        <v>274</v>
      </c>
      <c r="F847" t="s">
        <v>948</v>
      </c>
      <c r="G847">
        <v>1099999</v>
      </c>
      <c r="H847">
        <v>401042</v>
      </c>
      <c r="I847" t="s">
        <v>949</v>
      </c>
    </row>
    <row r="848" spans="1:9" x14ac:dyDescent="0.25">
      <c r="A848">
        <v>4240</v>
      </c>
      <c r="B848">
        <v>10</v>
      </c>
      <c r="C848" t="s">
        <v>946</v>
      </c>
      <c r="D848" t="s">
        <v>947</v>
      </c>
      <c r="E848" t="s">
        <v>274</v>
      </c>
      <c r="F848" t="s">
        <v>948</v>
      </c>
      <c r="G848">
        <v>1077777</v>
      </c>
      <c r="H848">
        <v>500221</v>
      </c>
      <c r="I848" t="s">
        <v>949</v>
      </c>
    </row>
    <row r="849" spans="1:9" x14ac:dyDescent="0.25">
      <c r="A849">
        <v>4141</v>
      </c>
      <c r="B849">
        <v>10</v>
      </c>
      <c r="C849" t="s">
        <v>946</v>
      </c>
      <c r="D849" t="s">
        <v>947</v>
      </c>
      <c r="E849" t="s">
        <v>974</v>
      </c>
      <c r="F849" t="s">
        <v>948</v>
      </c>
      <c r="G849">
        <v>1077777</v>
      </c>
      <c r="H849">
        <v>500220</v>
      </c>
      <c r="I849" t="s">
        <v>949</v>
      </c>
    </row>
    <row r="850" spans="1:9" x14ac:dyDescent="0.25">
      <c r="A850">
        <v>4220</v>
      </c>
      <c r="B850">
        <v>10</v>
      </c>
      <c r="C850" t="s">
        <v>946</v>
      </c>
      <c r="D850" t="s">
        <v>947</v>
      </c>
      <c r="E850" t="s">
        <v>974</v>
      </c>
      <c r="F850" t="s">
        <v>948</v>
      </c>
      <c r="G850">
        <v>1077777</v>
      </c>
      <c r="H850">
        <v>500220</v>
      </c>
      <c r="I850" t="s">
        <v>949</v>
      </c>
    </row>
    <row r="851" spans="1:9" x14ac:dyDescent="0.25">
      <c r="A851">
        <v>4230</v>
      </c>
      <c r="B851">
        <v>10</v>
      </c>
      <c r="C851" t="s">
        <v>946</v>
      </c>
      <c r="D851" t="s">
        <v>947</v>
      </c>
      <c r="E851" t="s">
        <v>974</v>
      </c>
      <c r="F851" t="s">
        <v>948</v>
      </c>
      <c r="G851">
        <v>1099999</v>
      </c>
      <c r="H851">
        <v>401912</v>
      </c>
      <c r="I851" t="s">
        <v>949</v>
      </c>
    </row>
    <row r="852" spans="1:9" x14ac:dyDescent="0.25">
      <c r="A852">
        <v>4240</v>
      </c>
      <c r="B852">
        <v>10</v>
      </c>
      <c r="C852" t="s">
        <v>946</v>
      </c>
      <c r="D852" t="s">
        <v>947</v>
      </c>
      <c r="E852" t="s">
        <v>974</v>
      </c>
      <c r="F852" t="s">
        <v>948</v>
      </c>
      <c r="G852">
        <v>1077777</v>
      </c>
      <c r="H852">
        <v>500221</v>
      </c>
      <c r="I852" t="s">
        <v>949</v>
      </c>
    </row>
    <row r="853" spans="1:9" x14ac:dyDescent="0.25">
      <c r="A853">
        <v>4141</v>
      </c>
      <c r="B853">
        <v>10</v>
      </c>
      <c r="C853" t="s">
        <v>946</v>
      </c>
      <c r="D853" t="s">
        <v>947</v>
      </c>
      <c r="E853" t="s">
        <v>104</v>
      </c>
      <c r="F853" t="s">
        <v>948</v>
      </c>
      <c r="G853">
        <v>1077777</v>
      </c>
      <c r="H853">
        <v>500220</v>
      </c>
      <c r="I853" t="s">
        <v>949</v>
      </c>
    </row>
    <row r="854" spans="1:9" x14ac:dyDescent="0.25">
      <c r="A854">
        <v>4220</v>
      </c>
      <c r="B854">
        <v>10</v>
      </c>
      <c r="C854" t="s">
        <v>946</v>
      </c>
      <c r="D854" t="s">
        <v>947</v>
      </c>
      <c r="E854" t="s">
        <v>104</v>
      </c>
      <c r="F854" t="s">
        <v>948</v>
      </c>
      <c r="G854">
        <v>1077777</v>
      </c>
      <c r="H854">
        <v>500220</v>
      </c>
      <c r="I854" t="s">
        <v>949</v>
      </c>
    </row>
    <row r="855" spans="1:9" x14ac:dyDescent="0.25">
      <c r="A855">
        <v>4230</v>
      </c>
      <c r="B855">
        <v>10</v>
      </c>
      <c r="C855" t="s">
        <v>946</v>
      </c>
      <c r="D855" t="s">
        <v>947</v>
      </c>
      <c r="E855" t="s">
        <v>104</v>
      </c>
      <c r="F855" t="s">
        <v>948</v>
      </c>
      <c r="G855">
        <v>1099999</v>
      </c>
      <c r="H855">
        <v>401042</v>
      </c>
      <c r="I855" t="s">
        <v>949</v>
      </c>
    </row>
    <row r="856" spans="1:9" x14ac:dyDescent="0.25">
      <c r="A856">
        <v>4240</v>
      </c>
      <c r="B856">
        <v>10</v>
      </c>
      <c r="C856" t="s">
        <v>946</v>
      </c>
      <c r="D856" t="s">
        <v>947</v>
      </c>
      <c r="E856" t="s">
        <v>104</v>
      </c>
      <c r="F856" t="s">
        <v>948</v>
      </c>
      <c r="G856">
        <v>1077777</v>
      </c>
      <c r="H856">
        <v>500221</v>
      </c>
      <c r="I856" t="s">
        <v>949</v>
      </c>
    </row>
    <row r="857" spans="1:9" x14ac:dyDescent="0.25">
      <c r="A857">
        <v>4141</v>
      </c>
      <c r="B857">
        <v>10</v>
      </c>
      <c r="C857" t="s">
        <v>946</v>
      </c>
      <c r="D857" t="s">
        <v>947</v>
      </c>
      <c r="E857" t="s">
        <v>278</v>
      </c>
      <c r="F857" t="s">
        <v>948</v>
      </c>
      <c r="G857">
        <v>1077777</v>
      </c>
      <c r="H857">
        <v>500220</v>
      </c>
      <c r="I857" t="s">
        <v>949</v>
      </c>
    </row>
    <row r="858" spans="1:9" x14ac:dyDescent="0.25">
      <c r="A858">
        <v>4220</v>
      </c>
      <c r="B858">
        <v>10</v>
      </c>
      <c r="C858" t="s">
        <v>946</v>
      </c>
      <c r="D858" t="s">
        <v>947</v>
      </c>
      <c r="E858" t="s">
        <v>278</v>
      </c>
      <c r="F858" t="s">
        <v>948</v>
      </c>
      <c r="G858">
        <v>1077777</v>
      </c>
      <c r="H858">
        <v>500220</v>
      </c>
      <c r="I858" t="s">
        <v>949</v>
      </c>
    </row>
    <row r="859" spans="1:9" x14ac:dyDescent="0.25">
      <c r="A859">
        <v>4230</v>
      </c>
      <c r="B859">
        <v>10</v>
      </c>
      <c r="C859" t="s">
        <v>946</v>
      </c>
      <c r="D859" t="s">
        <v>947</v>
      </c>
      <c r="E859" t="s">
        <v>278</v>
      </c>
      <c r="F859" t="s">
        <v>948</v>
      </c>
      <c r="G859">
        <v>1099999</v>
      </c>
      <c r="H859">
        <v>401052</v>
      </c>
      <c r="I859" t="s">
        <v>949</v>
      </c>
    </row>
    <row r="860" spans="1:9" x14ac:dyDescent="0.25">
      <c r="A860">
        <v>4240</v>
      </c>
      <c r="B860">
        <v>10</v>
      </c>
      <c r="C860" t="s">
        <v>946</v>
      </c>
      <c r="D860" t="s">
        <v>947</v>
      </c>
      <c r="E860" t="s">
        <v>278</v>
      </c>
      <c r="F860" t="s">
        <v>948</v>
      </c>
      <c r="G860">
        <v>1077777</v>
      </c>
      <c r="H860">
        <v>500221</v>
      </c>
      <c r="I860" t="s">
        <v>949</v>
      </c>
    </row>
    <row r="861" spans="1:9" x14ac:dyDescent="0.25">
      <c r="A861">
        <v>4141</v>
      </c>
      <c r="B861">
        <v>10</v>
      </c>
      <c r="C861" t="s">
        <v>946</v>
      </c>
      <c r="D861" t="s">
        <v>947</v>
      </c>
      <c r="E861" t="s">
        <v>282</v>
      </c>
      <c r="F861" t="s">
        <v>948</v>
      </c>
      <c r="G861">
        <v>1077777</v>
      </c>
      <c r="H861">
        <v>500220</v>
      </c>
      <c r="I861" t="s">
        <v>949</v>
      </c>
    </row>
    <row r="862" spans="1:9" x14ac:dyDescent="0.25">
      <c r="A862">
        <v>4220</v>
      </c>
      <c r="B862">
        <v>10</v>
      </c>
      <c r="C862" t="s">
        <v>946</v>
      </c>
      <c r="D862" t="s">
        <v>947</v>
      </c>
      <c r="E862" t="s">
        <v>282</v>
      </c>
      <c r="F862" t="s">
        <v>948</v>
      </c>
      <c r="G862">
        <v>1077777</v>
      </c>
      <c r="H862">
        <v>500220</v>
      </c>
      <c r="I862" t="s">
        <v>949</v>
      </c>
    </row>
    <row r="863" spans="1:9" x14ac:dyDescent="0.25">
      <c r="A863">
        <v>4230</v>
      </c>
      <c r="B863">
        <v>10</v>
      </c>
      <c r="C863" t="s">
        <v>946</v>
      </c>
      <c r="D863" t="s">
        <v>947</v>
      </c>
      <c r="E863" t="s">
        <v>282</v>
      </c>
      <c r="F863" t="s">
        <v>948</v>
      </c>
      <c r="G863">
        <v>1099999</v>
      </c>
      <c r="H863">
        <v>401042</v>
      </c>
      <c r="I863" t="s">
        <v>949</v>
      </c>
    </row>
    <row r="864" spans="1:9" x14ac:dyDescent="0.25">
      <c r="A864">
        <v>4240</v>
      </c>
      <c r="B864">
        <v>10</v>
      </c>
      <c r="C864" t="s">
        <v>946</v>
      </c>
      <c r="D864" t="s">
        <v>947</v>
      </c>
      <c r="E864" t="s">
        <v>282</v>
      </c>
      <c r="F864" t="s">
        <v>948</v>
      </c>
      <c r="G864">
        <v>1077777</v>
      </c>
      <c r="H864">
        <v>500221</v>
      </c>
      <c r="I864" t="s">
        <v>949</v>
      </c>
    </row>
    <row r="865" spans="1:9" x14ac:dyDescent="0.25">
      <c r="A865">
        <v>4141</v>
      </c>
      <c r="B865">
        <v>10</v>
      </c>
      <c r="C865" t="s">
        <v>946</v>
      </c>
      <c r="D865" t="s">
        <v>947</v>
      </c>
      <c r="E865" t="s">
        <v>286</v>
      </c>
      <c r="F865" t="s">
        <v>948</v>
      </c>
      <c r="G865">
        <v>1077777</v>
      </c>
      <c r="H865">
        <v>500220</v>
      </c>
      <c r="I865" t="s">
        <v>949</v>
      </c>
    </row>
    <row r="866" spans="1:9" x14ac:dyDescent="0.25">
      <c r="A866">
        <v>4220</v>
      </c>
      <c r="B866">
        <v>10</v>
      </c>
      <c r="C866" t="s">
        <v>946</v>
      </c>
      <c r="D866" t="s">
        <v>947</v>
      </c>
      <c r="E866" t="s">
        <v>286</v>
      </c>
      <c r="F866" t="s">
        <v>948</v>
      </c>
      <c r="G866">
        <v>1077777</v>
      </c>
      <c r="H866">
        <v>500220</v>
      </c>
      <c r="I866" t="s">
        <v>949</v>
      </c>
    </row>
    <row r="867" spans="1:9" x14ac:dyDescent="0.25">
      <c r="A867">
        <v>4230</v>
      </c>
      <c r="B867">
        <v>10</v>
      </c>
      <c r="C867" t="s">
        <v>946</v>
      </c>
      <c r="D867" t="s">
        <v>947</v>
      </c>
      <c r="E867" t="s">
        <v>286</v>
      </c>
      <c r="F867" t="s">
        <v>948</v>
      </c>
      <c r="G867">
        <v>1099999</v>
      </c>
      <c r="H867">
        <v>401032</v>
      </c>
      <c r="I867" t="s">
        <v>949</v>
      </c>
    </row>
    <row r="868" spans="1:9" x14ac:dyDescent="0.25">
      <c r="A868">
        <v>4240</v>
      </c>
      <c r="B868">
        <v>10</v>
      </c>
      <c r="C868" t="s">
        <v>946</v>
      </c>
      <c r="D868" t="s">
        <v>947</v>
      </c>
      <c r="E868" t="s">
        <v>286</v>
      </c>
      <c r="F868" t="s">
        <v>948</v>
      </c>
      <c r="G868">
        <v>1077777</v>
      </c>
      <c r="H868">
        <v>500221</v>
      </c>
      <c r="I868" t="s">
        <v>949</v>
      </c>
    </row>
    <row r="869" spans="1:9" x14ac:dyDescent="0.25">
      <c r="A869">
        <v>4141</v>
      </c>
      <c r="B869">
        <v>10</v>
      </c>
      <c r="C869" t="s">
        <v>946</v>
      </c>
      <c r="D869" t="s">
        <v>947</v>
      </c>
      <c r="E869" t="s">
        <v>976</v>
      </c>
      <c r="F869" t="s">
        <v>948</v>
      </c>
      <c r="G869">
        <v>1077777</v>
      </c>
      <c r="H869">
        <v>500220</v>
      </c>
      <c r="I869" t="s">
        <v>949</v>
      </c>
    </row>
    <row r="870" spans="1:9" x14ac:dyDescent="0.25">
      <c r="A870">
        <v>4220</v>
      </c>
      <c r="B870">
        <v>10</v>
      </c>
      <c r="C870" t="s">
        <v>946</v>
      </c>
      <c r="D870" t="s">
        <v>947</v>
      </c>
      <c r="E870" t="s">
        <v>976</v>
      </c>
      <c r="F870" t="s">
        <v>948</v>
      </c>
      <c r="G870">
        <v>1077777</v>
      </c>
      <c r="H870">
        <v>500220</v>
      </c>
      <c r="I870" t="s">
        <v>949</v>
      </c>
    </row>
    <row r="871" spans="1:9" x14ac:dyDescent="0.25">
      <c r="A871">
        <v>4230</v>
      </c>
      <c r="B871">
        <v>10</v>
      </c>
      <c r="C871" t="s">
        <v>946</v>
      </c>
      <c r="D871" t="s">
        <v>947</v>
      </c>
      <c r="E871" t="s">
        <v>976</v>
      </c>
      <c r="F871" t="s">
        <v>948</v>
      </c>
      <c r="G871">
        <v>1099999</v>
      </c>
      <c r="H871">
        <v>401912</v>
      </c>
      <c r="I871" t="s">
        <v>949</v>
      </c>
    </row>
    <row r="872" spans="1:9" x14ac:dyDescent="0.25">
      <c r="A872">
        <v>4240</v>
      </c>
      <c r="B872">
        <v>10</v>
      </c>
      <c r="C872" t="s">
        <v>946</v>
      </c>
      <c r="D872" t="s">
        <v>947</v>
      </c>
      <c r="E872" t="s">
        <v>976</v>
      </c>
      <c r="F872" t="s">
        <v>948</v>
      </c>
      <c r="G872">
        <v>1077777</v>
      </c>
      <c r="H872">
        <v>500221</v>
      </c>
      <c r="I872" t="s">
        <v>949</v>
      </c>
    </row>
    <row r="873" spans="1:9" x14ac:dyDescent="0.25">
      <c r="A873">
        <v>4141</v>
      </c>
      <c r="B873">
        <v>10</v>
      </c>
      <c r="C873" t="s">
        <v>946</v>
      </c>
      <c r="D873" t="s">
        <v>947</v>
      </c>
      <c r="E873" t="s">
        <v>290</v>
      </c>
      <c r="F873" t="s">
        <v>948</v>
      </c>
      <c r="G873">
        <v>1077777</v>
      </c>
      <c r="H873">
        <v>500220</v>
      </c>
      <c r="I873" t="s">
        <v>949</v>
      </c>
    </row>
    <row r="874" spans="1:9" x14ac:dyDescent="0.25">
      <c r="A874">
        <v>4220</v>
      </c>
      <c r="B874">
        <v>10</v>
      </c>
      <c r="C874" t="s">
        <v>946</v>
      </c>
      <c r="D874" t="s">
        <v>947</v>
      </c>
      <c r="E874" t="s">
        <v>290</v>
      </c>
      <c r="F874" t="s">
        <v>948</v>
      </c>
      <c r="G874">
        <v>1077777</v>
      </c>
      <c r="H874">
        <v>500220</v>
      </c>
      <c r="I874" t="s">
        <v>949</v>
      </c>
    </row>
    <row r="875" spans="1:9" x14ac:dyDescent="0.25">
      <c r="A875">
        <v>4230</v>
      </c>
      <c r="B875">
        <v>10</v>
      </c>
      <c r="C875" t="s">
        <v>946</v>
      </c>
      <c r="D875" t="s">
        <v>947</v>
      </c>
      <c r="E875" t="s">
        <v>290</v>
      </c>
      <c r="F875" t="s">
        <v>948</v>
      </c>
      <c r="G875">
        <v>1099999</v>
      </c>
      <c r="H875">
        <v>401042</v>
      </c>
      <c r="I875" t="s">
        <v>949</v>
      </c>
    </row>
    <row r="876" spans="1:9" x14ac:dyDescent="0.25">
      <c r="A876">
        <v>4240</v>
      </c>
      <c r="B876">
        <v>10</v>
      </c>
      <c r="C876" t="s">
        <v>946</v>
      </c>
      <c r="D876" t="s">
        <v>947</v>
      </c>
      <c r="E876" t="s">
        <v>290</v>
      </c>
      <c r="F876" t="s">
        <v>948</v>
      </c>
      <c r="G876">
        <v>1077777</v>
      </c>
      <c r="H876">
        <v>500221</v>
      </c>
      <c r="I876" t="s">
        <v>949</v>
      </c>
    </row>
    <row r="877" spans="1:9" x14ac:dyDescent="0.25">
      <c r="A877">
        <v>4141</v>
      </c>
      <c r="B877">
        <v>10</v>
      </c>
      <c r="C877" t="s">
        <v>946</v>
      </c>
      <c r="D877" t="s">
        <v>947</v>
      </c>
      <c r="E877" t="s">
        <v>294</v>
      </c>
      <c r="F877" t="s">
        <v>948</v>
      </c>
      <c r="G877">
        <v>1077777</v>
      </c>
      <c r="H877">
        <v>500220</v>
      </c>
      <c r="I877" t="s">
        <v>949</v>
      </c>
    </row>
    <row r="878" spans="1:9" x14ac:dyDescent="0.25">
      <c r="A878">
        <v>4220</v>
      </c>
      <c r="B878">
        <v>10</v>
      </c>
      <c r="C878" t="s">
        <v>946</v>
      </c>
      <c r="D878" t="s">
        <v>947</v>
      </c>
      <c r="E878" t="s">
        <v>294</v>
      </c>
      <c r="F878" t="s">
        <v>948</v>
      </c>
      <c r="G878">
        <v>1077777</v>
      </c>
      <c r="H878">
        <v>500220</v>
      </c>
      <c r="I878" t="s">
        <v>949</v>
      </c>
    </row>
    <row r="879" spans="1:9" x14ac:dyDescent="0.25">
      <c r="A879">
        <v>4230</v>
      </c>
      <c r="B879">
        <v>10</v>
      </c>
      <c r="C879" t="s">
        <v>946</v>
      </c>
      <c r="D879" t="s">
        <v>947</v>
      </c>
      <c r="E879" t="s">
        <v>294</v>
      </c>
      <c r="F879" t="s">
        <v>948</v>
      </c>
      <c r="G879">
        <v>1099999</v>
      </c>
      <c r="H879">
        <v>401042</v>
      </c>
      <c r="I879" t="s">
        <v>949</v>
      </c>
    </row>
    <row r="880" spans="1:9" x14ac:dyDescent="0.25">
      <c r="A880">
        <v>4240</v>
      </c>
      <c r="B880">
        <v>10</v>
      </c>
      <c r="C880" t="s">
        <v>946</v>
      </c>
      <c r="D880" t="s">
        <v>947</v>
      </c>
      <c r="E880" t="s">
        <v>294</v>
      </c>
      <c r="F880" t="s">
        <v>948</v>
      </c>
      <c r="G880">
        <v>1077777</v>
      </c>
      <c r="H880">
        <v>500221</v>
      </c>
      <c r="I880" t="s">
        <v>949</v>
      </c>
    </row>
    <row r="881" spans="1:9" x14ac:dyDescent="0.25">
      <c r="A881">
        <v>4230</v>
      </c>
      <c r="B881">
        <v>10</v>
      </c>
      <c r="C881" t="s">
        <v>946</v>
      </c>
      <c r="D881" t="s">
        <v>947</v>
      </c>
      <c r="E881" t="s">
        <v>298</v>
      </c>
      <c r="F881" t="s">
        <v>948</v>
      </c>
      <c r="G881">
        <v>1099999</v>
      </c>
      <c r="H881">
        <v>402082</v>
      </c>
      <c r="I881" t="s">
        <v>949</v>
      </c>
    </row>
    <row r="882" spans="1:9" x14ac:dyDescent="0.25">
      <c r="A882">
        <v>4141</v>
      </c>
      <c r="B882">
        <v>10</v>
      </c>
      <c r="C882" t="s">
        <v>946</v>
      </c>
      <c r="D882" t="s">
        <v>947</v>
      </c>
      <c r="E882" t="s">
        <v>980</v>
      </c>
      <c r="F882" t="s">
        <v>948</v>
      </c>
      <c r="G882">
        <v>1077777</v>
      </c>
      <c r="H882">
        <v>500220</v>
      </c>
      <c r="I882" t="s">
        <v>949</v>
      </c>
    </row>
    <row r="883" spans="1:9" x14ac:dyDescent="0.25">
      <c r="A883">
        <v>4220</v>
      </c>
      <c r="B883">
        <v>10</v>
      </c>
      <c r="C883" t="s">
        <v>946</v>
      </c>
      <c r="D883" t="s">
        <v>947</v>
      </c>
      <c r="E883" t="s">
        <v>980</v>
      </c>
      <c r="F883" t="s">
        <v>948</v>
      </c>
      <c r="G883">
        <v>1077777</v>
      </c>
      <c r="H883">
        <v>500220</v>
      </c>
      <c r="I883" t="s">
        <v>949</v>
      </c>
    </row>
    <row r="884" spans="1:9" x14ac:dyDescent="0.25">
      <c r="A884">
        <v>4230</v>
      </c>
      <c r="B884">
        <v>10</v>
      </c>
      <c r="C884" t="s">
        <v>946</v>
      </c>
      <c r="D884" t="s">
        <v>947</v>
      </c>
      <c r="E884" t="s">
        <v>980</v>
      </c>
      <c r="F884" t="s">
        <v>948</v>
      </c>
      <c r="G884">
        <v>1099999</v>
      </c>
      <c r="H884">
        <v>401912</v>
      </c>
      <c r="I884" t="s">
        <v>949</v>
      </c>
    </row>
    <row r="885" spans="1:9" x14ac:dyDescent="0.25">
      <c r="A885">
        <v>4240</v>
      </c>
      <c r="B885">
        <v>10</v>
      </c>
      <c r="C885" t="s">
        <v>946</v>
      </c>
      <c r="D885" t="s">
        <v>947</v>
      </c>
      <c r="E885" t="s">
        <v>980</v>
      </c>
      <c r="F885" t="s">
        <v>948</v>
      </c>
      <c r="G885">
        <v>1077777</v>
      </c>
      <c r="H885">
        <v>500221</v>
      </c>
      <c r="I885" t="s">
        <v>949</v>
      </c>
    </row>
    <row r="886" spans="1:9" x14ac:dyDescent="0.25">
      <c r="A886">
        <v>4141</v>
      </c>
      <c r="B886">
        <v>10</v>
      </c>
      <c r="C886" t="s">
        <v>946</v>
      </c>
      <c r="D886" t="s">
        <v>947</v>
      </c>
      <c r="E886" t="s">
        <v>302</v>
      </c>
      <c r="F886" t="s">
        <v>948</v>
      </c>
      <c r="G886">
        <v>1077777</v>
      </c>
      <c r="H886">
        <v>500220</v>
      </c>
      <c r="I886" t="s">
        <v>949</v>
      </c>
    </row>
    <row r="887" spans="1:9" x14ac:dyDescent="0.25">
      <c r="A887">
        <v>4220</v>
      </c>
      <c r="B887">
        <v>10</v>
      </c>
      <c r="C887" t="s">
        <v>946</v>
      </c>
      <c r="D887" t="s">
        <v>947</v>
      </c>
      <c r="E887" t="s">
        <v>302</v>
      </c>
      <c r="F887" t="s">
        <v>948</v>
      </c>
      <c r="G887">
        <v>1077777</v>
      </c>
      <c r="H887">
        <v>500220</v>
      </c>
      <c r="I887" t="s">
        <v>949</v>
      </c>
    </row>
    <row r="888" spans="1:9" x14ac:dyDescent="0.25">
      <c r="A888">
        <v>4230</v>
      </c>
      <c r="B888">
        <v>10</v>
      </c>
      <c r="C888" t="s">
        <v>946</v>
      </c>
      <c r="D888" t="s">
        <v>947</v>
      </c>
      <c r="E888" t="s">
        <v>302</v>
      </c>
      <c r="F888" t="s">
        <v>948</v>
      </c>
      <c r="G888">
        <v>1099999</v>
      </c>
      <c r="H888">
        <v>401902</v>
      </c>
      <c r="I888" t="s">
        <v>949</v>
      </c>
    </row>
    <row r="889" spans="1:9" x14ac:dyDescent="0.25">
      <c r="A889">
        <v>4240</v>
      </c>
      <c r="B889">
        <v>10</v>
      </c>
      <c r="C889" t="s">
        <v>946</v>
      </c>
      <c r="D889" t="s">
        <v>947</v>
      </c>
      <c r="E889" t="s">
        <v>302</v>
      </c>
      <c r="F889" t="s">
        <v>948</v>
      </c>
      <c r="G889">
        <v>1077777</v>
      </c>
      <c r="H889">
        <v>500221</v>
      </c>
      <c r="I889" t="s">
        <v>949</v>
      </c>
    </row>
    <row r="890" spans="1:9" x14ac:dyDescent="0.25">
      <c r="A890">
        <v>4141</v>
      </c>
      <c r="B890">
        <v>10</v>
      </c>
      <c r="C890" t="s">
        <v>946</v>
      </c>
      <c r="D890" t="s">
        <v>947</v>
      </c>
      <c r="E890" t="s">
        <v>306</v>
      </c>
      <c r="F890" t="s">
        <v>948</v>
      </c>
      <c r="G890">
        <v>1077777</v>
      </c>
      <c r="H890">
        <v>500220</v>
      </c>
      <c r="I890" t="s">
        <v>949</v>
      </c>
    </row>
    <row r="891" spans="1:9" x14ac:dyDescent="0.25">
      <c r="A891">
        <v>4220</v>
      </c>
      <c r="B891">
        <v>10</v>
      </c>
      <c r="C891" t="s">
        <v>946</v>
      </c>
      <c r="D891" t="s">
        <v>947</v>
      </c>
      <c r="E891" t="s">
        <v>306</v>
      </c>
      <c r="F891" t="s">
        <v>948</v>
      </c>
      <c r="G891">
        <v>1077777</v>
      </c>
      <c r="H891">
        <v>500220</v>
      </c>
      <c r="I891" t="s">
        <v>949</v>
      </c>
    </row>
    <row r="892" spans="1:9" x14ac:dyDescent="0.25">
      <c r="A892">
        <v>4230</v>
      </c>
      <c r="B892">
        <v>10</v>
      </c>
      <c r="C892" t="s">
        <v>946</v>
      </c>
      <c r="D892" t="s">
        <v>947</v>
      </c>
      <c r="E892" t="s">
        <v>306</v>
      </c>
      <c r="F892" t="s">
        <v>948</v>
      </c>
      <c r="G892">
        <v>1099999</v>
      </c>
      <c r="H892">
        <v>401042</v>
      </c>
      <c r="I892" t="s">
        <v>949</v>
      </c>
    </row>
    <row r="893" spans="1:9" x14ac:dyDescent="0.25">
      <c r="A893">
        <v>4240</v>
      </c>
      <c r="B893">
        <v>10</v>
      </c>
      <c r="C893" t="s">
        <v>946</v>
      </c>
      <c r="D893" t="s">
        <v>947</v>
      </c>
      <c r="E893" t="s">
        <v>306</v>
      </c>
      <c r="F893" t="s">
        <v>948</v>
      </c>
      <c r="G893">
        <v>1077777</v>
      </c>
      <c r="H893">
        <v>500221</v>
      </c>
      <c r="I893" t="s">
        <v>949</v>
      </c>
    </row>
    <row r="894" spans="1:9" x14ac:dyDescent="0.25">
      <c r="A894">
        <v>4141</v>
      </c>
      <c r="B894">
        <v>10</v>
      </c>
      <c r="C894" t="s">
        <v>946</v>
      </c>
      <c r="D894" t="s">
        <v>947</v>
      </c>
      <c r="E894" t="s">
        <v>108</v>
      </c>
      <c r="F894" t="s">
        <v>948</v>
      </c>
      <c r="G894">
        <v>1077777</v>
      </c>
      <c r="H894">
        <v>500220</v>
      </c>
      <c r="I894" t="s">
        <v>949</v>
      </c>
    </row>
    <row r="895" spans="1:9" x14ac:dyDescent="0.25">
      <c r="A895">
        <v>4220</v>
      </c>
      <c r="B895">
        <v>10</v>
      </c>
      <c r="C895" t="s">
        <v>946</v>
      </c>
      <c r="D895" t="s">
        <v>947</v>
      </c>
      <c r="E895" t="s">
        <v>108</v>
      </c>
      <c r="F895" t="s">
        <v>948</v>
      </c>
      <c r="G895">
        <v>1077777</v>
      </c>
      <c r="H895">
        <v>500220</v>
      </c>
      <c r="I895" t="s">
        <v>949</v>
      </c>
    </row>
    <row r="896" spans="1:9" x14ac:dyDescent="0.25">
      <c r="A896">
        <v>4230</v>
      </c>
      <c r="B896">
        <v>10</v>
      </c>
      <c r="C896" t="s">
        <v>946</v>
      </c>
      <c r="D896" t="s">
        <v>947</v>
      </c>
      <c r="E896" t="s">
        <v>108</v>
      </c>
      <c r="F896" t="s">
        <v>948</v>
      </c>
      <c r="G896">
        <v>1099999</v>
      </c>
      <c r="H896">
        <v>401042</v>
      </c>
      <c r="I896" t="s">
        <v>949</v>
      </c>
    </row>
    <row r="897" spans="1:9" x14ac:dyDescent="0.25">
      <c r="A897">
        <v>4240</v>
      </c>
      <c r="B897">
        <v>10</v>
      </c>
      <c r="C897" t="s">
        <v>946</v>
      </c>
      <c r="D897" t="s">
        <v>947</v>
      </c>
      <c r="E897" t="s">
        <v>108</v>
      </c>
      <c r="F897" t="s">
        <v>948</v>
      </c>
      <c r="G897">
        <v>1077777</v>
      </c>
      <c r="H897">
        <v>500221</v>
      </c>
      <c r="I897" t="s">
        <v>949</v>
      </c>
    </row>
    <row r="898" spans="1:9" x14ac:dyDescent="0.25">
      <c r="A898">
        <v>4141</v>
      </c>
      <c r="B898">
        <v>10</v>
      </c>
      <c r="C898" t="s">
        <v>946</v>
      </c>
      <c r="D898" t="s">
        <v>947</v>
      </c>
      <c r="E898" t="s">
        <v>310</v>
      </c>
      <c r="F898" t="s">
        <v>948</v>
      </c>
      <c r="G898">
        <v>1077777</v>
      </c>
      <c r="H898">
        <v>500220</v>
      </c>
      <c r="I898" t="s">
        <v>949</v>
      </c>
    </row>
    <row r="899" spans="1:9" x14ac:dyDescent="0.25">
      <c r="A899">
        <v>4220</v>
      </c>
      <c r="B899">
        <v>10</v>
      </c>
      <c r="C899" t="s">
        <v>946</v>
      </c>
      <c r="D899" t="s">
        <v>947</v>
      </c>
      <c r="E899" t="s">
        <v>310</v>
      </c>
      <c r="F899" t="s">
        <v>948</v>
      </c>
      <c r="G899">
        <v>1077777</v>
      </c>
      <c r="H899">
        <v>500220</v>
      </c>
      <c r="I899" t="s">
        <v>949</v>
      </c>
    </row>
    <row r="900" spans="1:9" x14ac:dyDescent="0.25">
      <c r="A900">
        <v>4230</v>
      </c>
      <c r="B900">
        <v>10</v>
      </c>
      <c r="C900" t="s">
        <v>946</v>
      </c>
      <c r="D900" t="s">
        <v>947</v>
      </c>
      <c r="E900" t="s">
        <v>310</v>
      </c>
      <c r="F900" t="s">
        <v>948</v>
      </c>
      <c r="G900">
        <v>1099999</v>
      </c>
      <c r="H900">
        <v>401012</v>
      </c>
      <c r="I900" t="s">
        <v>949</v>
      </c>
    </row>
    <row r="901" spans="1:9" x14ac:dyDescent="0.25">
      <c r="A901">
        <v>4240</v>
      </c>
      <c r="B901">
        <v>10</v>
      </c>
      <c r="C901" t="s">
        <v>946</v>
      </c>
      <c r="D901" t="s">
        <v>947</v>
      </c>
      <c r="E901" t="s">
        <v>310</v>
      </c>
      <c r="F901" t="s">
        <v>948</v>
      </c>
      <c r="G901">
        <v>1077777</v>
      </c>
      <c r="H901">
        <v>500221</v>
      </c>
      <c r="I901" t="s">
        <v>949</v>
      </c>
    </row>
    <row r="902" spans="1:9" x14ac:dyDescent="0.25">
      <c r="A902">
        <v>4141</v>
      </c>
      <c r="B902">
        <v>10</v>
      </c>
      <c r="C902" t="s">
        <v>946</v>
      </c>
      <c r="D902" t="s">
        <v>947</v>
      </c>
      <c r="E902" t="s">
        <v>314</v>
      </c>
      <c r="F902" t="s">
        <v>948</v>
      </c>
      <c r="G902">
        <v>1077777</v>
      </c>
      <c r="H902">
        <v>500220</v>
      </c>
      <c r="I902" t="s">
        <v>949</v>
      </c>
    </row>
    <row r="903" spans="1:9" x14ac:dyDescent="0.25">
      <c r="A903">
        <v>4220</v>
      </c>
      <c r="B903">
        <v>10</v>
      </c>
      <c r="C903" t="s">
        <v>946</v>
      </c>
      <c r="D903" t="s">
        <v>947</v>
      </c>
      <c r="E903" t="s">
        <v>314</v>
      </c>
      <c r="F903" t="s">
        <v>948</v>
      </c>
      <c r="G903">
        <v>1077777</v>
      </c>
      <c r="H903">
        <v>500220</v>
      </c>
      <c r="I903" t="s">
        <v>949</v>
      </c>
    </row>
    <row r="904" spans="1:9" x14ac:dyDescent="0.25">
      <c r="A904">
        <v>4230</v>
      </c>
      <c r="B904">
        <v>10</v>
      </c>
      <c r="C904" t="s">
        <v>946</v>
      </c>
      <c r="D904" t="s">
        <v>947</v>
      </c>
      <c r="E904" t="s">
        <v>314</v>
      </c>
      <c r="F904" t="s">
        <v>948</v>
      </c>
      <c r="G904">
        <v>1099999</v>
      </c>
      <c r="H904">
        <v>401062</v>
      </c>
      <c r="I904" t="s">
        <v>949</v>
      </c>
    </row>
    <row r="905" spans="1:9" x14ac:dyDescent="0.25">
      <c r="A905">
        <v>4240</v>
      </c>
      <c r="B905">
        <v>10</v>
      </c>
      <c r="C905" t="s">
        <v>946</v>
      </c>
      <c r="D905" t="s">
        <v>947</v>
      </c>
      <c r="E905" t="s">
        <v>314</v>
      </c>
      <c r="F905" t="s">
        <v>948</v>
      </c>
      <c r="G905">
        <v>1077777</v>
      </c>
      <c r="H905">
        <v>500221</v>
      </c>
      <c r="I905" t="s">
        <v>949</v>
      </c>
    </row>
    <row r="906" spans="1:9" x14ac:dyDescent="0.25">
      <c r="A906">
        <v>4141</v>
      </c>
      <c r="B906">
        <v>10</v>
      </c>
      <c r="C906" t="s">
        <v>946</v>
      </c>
      <c r="D906" t="s">
        <v>947</v>
      </c>
      <c r="E906" t="s">
        <v>113</v>
      </c>
      <c r="F906" t="s">
        <v>948</v>
      </c>
      <c r="G906">
        <v>1077777</v>
      </c>
      <c r="H906">
        <v>500220</v>
      </c>
      <c r="I906" t="s">
        <v>949</v>
      </c>
    </row>
    <row r="907" spans="1:9" x14ac:dyDescent="0.25">
      <c r="A907">
        <v>4220</v>
      </c>
      <c r="B907">
        <v>10</v>
      </c>
      <c r="C907" t="s">
        <v>946</v>
      </c>
      <c r="D907" t="s">
        <v>947</v>
      </c>
      <c r="E907" t="s">
        <v>113</v>
      </c>
      <c r="F907" t="s">
        <v>948</v>
      </c>
      <c r="G907">
        <v>1077777</v>
      </c>
      <c r="H907">
        <v>500220</v>
      </c>
      <c r="I907" t="s">
        <v>949</v>
      </c>
    </row>
    <row r="908" spans="1:9" x14ac:dyDescent="0.25">
      <c r="A908">
        <v>4230</v>
      </c>
      <c r="B908">
        <v>10</v>
      </c>
      <c r="C908" t="s">
        <v>946</v>
      </c>
      <c r="D908" t="s">
        <v>947</v>
      </c>
      <c r="E908" t="s">
        <v>113</v>
      </c>
      <c r="F908" t="s">
        <v>948</v>
      </c>
      <c r="G908">
        <v>1099999</v>
      </c>
      <c r="H908">
        <v>402082</v>
      </c>
      <c r="I908" t="s">
        <v>949</v>
      </c>
    </row>
    <row r="909" spans="1:9" x14ac:dyDescent="0.25">
      <c r="A909">
        <v>4240</v>
      </c>
      <c r="B909">
        <v>10</v>
      </c>
      <c r="C909" t="s">
        <v>946</v>
      </c>
      <c r="D909" t="s">
        <v>947</v>
      </c>
      <c r="E909" t="s">
        <v>113</v>
      </c>
      <c r="F909" t="s">
        <v>948</v>
      </c>
      <c r="G909">
        <v>1077777</v>
      </c>
      <c r="H909">
        <v>500221</v>
      </c>
      <c r="I909" t="s">
        <v>949</v>
      </c>
    </row>
    <row r="910" spans="1:9" x14ac:dyDescent="0.25">
      <c r="A910">
        <v>4141</v>
      </c>
      <c r="B910">
        <v>10</v>
      </c>
      <c r="C910" t="s">
        <v>946</v>
      </c>
      <c r="D910" t="s">
        <v>947</v>
      </c>
      <c r="E910" t="s">
        <v>117</v>
      </c>
      <c r="F910" t="s">
        <v>948</v>
      </c>
      <c r="G910">
        <v>1077777</v>
      </c>
      <c r="H910">
        <v>500220</v>
      </c>
      <c r="I910" t="s">
        <v>949</v>
      </c>
    </row>
    <row r="911" spans="1:9" x14ac:dyDescent="0.25">
      <c r="A911">
        <v>4220</v>
      </c>
      <c r="B911">
        <v>10</v>
      </c>
      <c r="C911" t="s">
        <v>946</v>
      </c>
      <c r="D911" t="s">
        <v>947</v>
      </c>
      <c r="E911" t="s">
        <v>117</v>
      </c>
      <c r="F911" t="s">
        <v>948</v>
      </c>
      <c r="G911">
        <v>1077777</v>
      </c>
      <c r="H911">
        <v>500220</v>
      </c>
      <c r="I911" t="s">
        <v>949</v>
      </c>
    </row>
    <row r="912" spans="1:9" x14ac:dyDescent="0.25">
      <c r="A912">
        <v>4240</v>
      </c>
      <c r="B912">
        <v>10</v>
      </c>
      <c r="C912" t="s">
        <v>946</v>
      </c>
      <c r="D912" t="s">
        <v>947</v>
      </c>
      <c r="E912" t="s">
        <v>117</v>
      </c>
      <c r="F912" t="s">
        <v>948</v>
      </c>
      <c r="G912">
        <v>1077777</v>
      </c>
      <c r="H912">
        <v>500221</v>
      </c>
      <c r="I912" t="s">
        <v>949</v>
      </c>
    </row>
    <row r="913" spans="1:9" x14ac:dyDescent="0.25">
      <c r="A913">
        <v>4141</v>
      </c>
      <c r="B913">
        <v>10</v>
      </c>
      <c r="C913" t="s">
        <v>946</v>
      </c>
      <c r="D913" t="s">
        <v>947</v>
      </c>
      <c r="E913" t="s">
        <v>121</v>
      </c>
      <c r="F913" t="s">
        <v>948</v>
      </c>
      <c r="G913">
        <v>1077777</v>
      </c>
      <c r="H913">
        <v>500220</v>
      </c>
      <c r="I913" t="s">
        <v>949</v>
      </c>
    </row>
    <row r="914" spans="1:9" x14ac:dyDescent="0.25">
      <c r="A914">
        <v>4220</v>
      </c>
      <c r="B914">
        <v>10</v>
      </c>
      <c r="C914" t="s">
        <v>946</v>
      </c>
      <c r="D914" t="s">
        <v>947</v>
      </c>
      <c r="E914" t="s">
        <v>121</v>
      </c>
      <c r="F914" t="s">
        <v>948</v>
      </c>
      <c r="G914">
        <v>1077777</v>
      </c>
      <c r="H914">
        <v>500220</v>
      </c>
      <c r="I914" t="s">
        <v>949</v>
      </c>
    </row>
    <row r="915" spans="1:9" x14ac:dyDescent="0.25">
      <c r="A915">
        <v>4230</v>
      </c>
      <c r="B915">
        <v>10</v>
      </c>
      <c r="C915" t="s">
        <v>946</v>
      </c>
      <c r="D915" t="s">
        <v>947</v>
      </c>
      <c r="E915" t="s">
        <v>121</v>
      </c>
      <c r="F915" t="s">
        <v>948</v>
      </c>
      <c r="G915">
        <v>1099999</v>
      </c>
      <c r="H915">
        <v>401042</v>
      </c>
      <c r="I915" t="s">
        <v>949</v>
      </c>
    </row>
    <row r="916" spans="1:9" x14ac:dyDescent="0.25">
      <c r="A916">
        <v>4240</v>
      </c>
      <c r="B916">
        <v>10</v>
      </c>
      <c r="C916" t="s">
        <v>946</v>
      </c>
      <c r="D916" t="s">
        <v>947</v>
      </c>
      <c r="E916" t="s">
        <v>121</v>
      </c>
      <c r="F916" t="s">
        <v>948</v>
      </c>
      <c r="G916">
        <v>1077777</v>
      </c>
      <c r="H916">
        <v>500221</v>
      </c>
      <c r="I916" t="s">
        <v>949</v>
      </c>
    </row>
    <row r="917" spans="1:9" x14ac:dyDescent="0.25">
      <c r="A917">
        <v>4141</v>
      </c>
      <c r="B917">
        <v>10</v>
      </c>
      <c r="C917" t="s">
        <v>946</v>
      </c>
      <c r="D917" t="s">
        <v>947</v>
      </c>
      <c r="E917" t="s">
        <v>984</v>
      </c>
      <c r="F917" t="s">
        <v>948</v>
      </c>
      <c r="G917">
        <v>1077777</v>
      </c>
      <c r="H917">
        <v>500220</v>
      </c>
      <c r="I917" t="s">
        <v>949</v>
      </c>
    </row>
    <row r="918" spans="1:9" x14ac:dyDescent="0.25">
      <c r="A918">
        <v>4220</v>
      </c>
      <c r="B918">
        <v>10</v>
      </c>
      <c r="C918" t="s">
        <v>946</v>
      </c>
      <c r="D918" t="s">
        <v>947</v>
      </c>
      <c r="E918" t="s">
        <v>984</v>
      </c>
      <c r="F918" t="s">
        <v>948</v>
      </c>
      <c r="G918">
        <v>1077777</v>
      </c>
      <c r="H918">
        <v>500220</v>
      </c>
      <c r="I918" t="s">
        <v>949</v>
      </c>
    </row>
    <row r="919" spans="1:9" x14ac:dyDescent="0.25">
      <c r="A919">
        <v>4230</v>
      </c>
      <c r="B919">
        <v>10</v>
      </c>
      <c r="C919" t="s">
        <v>946</v>
      </c>
      <c r="D919" t="s">
        <v>947</v>
      </c>
      <c r="E919" t="s">
        <v>984</v>
      </c>
      <c r="F919" t="s">
        <v>948</v>
      </c>
      <c r="G919">
        <v>1099999</v>
      </c>
      <c r="H919">
        <v>401912</v>
      </c>
      <c r="I919" t="s">
        <v>949</v>
      </c>
    </row>
    <row r="920" spans="1:9" x14ac:dyDescent="0.25">
      <c r="A920">
        <v>4240</v>
      </c>
      <c r="B920">
        <v>10</v>
      </c>
      <c r="C920" t="s">
        <v>946</v>
      </c>
      <c r="D920" t="s">
        <v>947</v>
      </c>
      <c r="E920" t="s">
        <v>984</v>
      </c>
      <c r="F920" t="s">
        <v>948</v>
      </c>
      <c r="G920">
        <v>1077777</v>
      </c>
      <c r="H920">
        <v>500221</v>
      </c>
      <c r="I920" t="s">
        <v>949</v>
      </c>
    </row>
    <row r="921" spans="1:9" x14ac:dyDescent="0.25">
      <c r="A921">
        <v>4230</v>
      </c>
      <c r="B921">
        <v>10</v>
      </c>
      <c r="C921" t="s">
        <v>946</v>
      </c>
      <c r="D921" t="s">
        <v>993</v>
      </c>
      <c r="E921" t="s">
        <v>49</v>
      </c>
      <c r="F921" t="s">
        <v>948</v>
      </c>
      <c r="G921">
        <v>1001305</v>
      </c>
      <c r="H921">
        <v>740250</v>
      </c>
      <c r="I921" t="s">
        <v>949</v>
      </c>
    </row>
    <row r="922" spans="1:9" x14ac:dyDescent="0.25">
      <c r="A922">
        <v>4141</v>
      </c>
      <c r="B922">
        <v>10</v>
      </c>
      <c r="C922" t="s">
        <v>946</v>
      </c>
      <c r="D922" t="s">
        <v>993</v>
      </c>
      <c r="E922" t="s">
        <v>243</v>
      </c>
      <c r="F922" t="s">
        <v>948</v>
      </c>
      <c r="G922">
        <v>1077777</v>
      </c>
      <c r="H922">
        <v>501010</v>
      </c>
      <c r="I922" t="s">
        <v>949</v>
      </c>
    </row>
    <row r="923" spans="1:9" x14ac:dyDescent="0.25">
      <c r="A923">
        <v>4220</v>
      </c>
      <c r="B923">
        <v>10</v>
      </c>
      <c r="C923" t="s">
        <v>946</v>
      </c>
      <c r="D923" t="s">
        <v>993</v>
      </c>
      <c r="E923" t="s">
        <v>243</v>
      </c>
      <c r="F923" t="s">
        <v>948</v>
      </c>
      <c r="G923">
        <v>1077777</v>
      </c>
      <c r="H923">
        <v>500220</v>
      </c>
      <c r="I923" t="s">
        <v>949</v>
      </c>
    </row>
    <row r="924" spans="1:9" x14ac:dyDescent="0.25">
      <c r="A924">
        <v>4240</v>
      </c>
      <c r="B924">
        <v>10</v>
      </c>
      <c r="C924" t="s">
        <v>946</v>
      </c>
      <c r="D924" t="s">
        <v>993</v>
      </c>
      <c r="E924" t="s">
        <v>243</v>
      </c>
      <c r="F924" t="s">
        <v>948</v>
      </c>
      <c r="G924">
        <v>1077777</v>
      </c>
      <c r="H924">
        <v>500221</v>
      </c>
      <c r="I924" t="s">
        <v>949</v>
      </c>
    </row>
    <row r="925" spans="1:9" x14ac:dyDescent="0.25">
      <c r="A925">
        <v>4141</v>
      </c>
      <c r="B925">
        <v>10</v>
      </c>
      <c r="C925" t="s">
        <v>946</v>
      </c>
      <c r="D925" t="s">
        <v>993</v>
      </c>
      <c r="E925" t="s">
        <v>247</v>
      </c>
      <c r="F925" t="s">
        <v>948</v>
      </c>
      <c r="G925">
        <v>1077777</v>
      </c>
      <c r="H925">
        <v>501010</v>
      </c>
      <c r="I925" t="s">
        <v>949</v>
      </c>
    </row>
    <row r="926" spans="1:9" x14ac:dyDescent="0.25">
      <c r="A926">
        <v>4220</v>
      </c>
      <c r="B926">
        <v>10</v>
      </c>
      <c r="C926" t="s">
        <v>946</v>
      </c>
      <c r="D926" t="s">
        <v>993</v>
      </c>
      <c r="E926" t="s">
        <v>247</v>
      </c>
      <c r="F926" t="s">
        <v>948</v>
      </c>
      <c r="G926">
        <v>1077777</v>
      </c>
      <c r="H926">
        <v>500220</v>
      </c>
      <c r="I926" t="s">
        <v>949</v>
      </c>
    </row>
    <row r="927" spans="1:9" x14ac:dyDescent="0.25">
      <c r="A927">
        <v>4240</v>
      </c>
      <c r="B927">
        <v>10</v>
      </c>
      <c r="C927" t="s">
        <v>946</v>
      </c>
      <c r="D927" t="s">
        <v>993</v>
      </c>
      <c r="E927" t="s">
        <v>247</v>
      </c>
      <c r="F927" t="s">
        <v>948</v>
      </c>
      <c r="G927">
        <v>1077777</v>
      </c>
      <c r="H927">
        <v>500221</v>
      </c>
      <c r="I927" t="s">
        <v>949</v>
      </c>
    </row>
    <row r="928" spans="1:9" x14ac:dyDescent="0.25">
      <c r="A928">
        <v>4141</v>
      </c>
      <c r="B928">
        <v>10</v>
      </c>
      <c r="C928" t="s">
        <v>946</v>
      </c>
      <c r="D928" t="s">
        <v>993</v>
      </c>
      <c r="E928" t="s">
        <v>251</v>
      </c>
      <c r="F928" t="s">
        <v>948</v>
      </c>
      <c r="G928">
        <v>1077777</v>
      </c>
      <c r="H928">
        <v>501010</v>
      </c>
      <c r="I928" t="s">
        <v>949</v>
      </c>
    </row>
    <row r="929" spans="1:9" x14ac:dyDescent="0.25">
      <c r="A929">
        <v>4220</v>
      </c>
      <c r="B929">
        <v>10</v>
      </c>
      <c r="C929" t="s">
        <v>946</v>
      </c>
      <c r="D929" t="s">
        <v>993</v>
      </c>
      <c r="E929" t="s">
        <v>251</v>
      </c>
      <c r="F929" t="s">
        <v>948</v>
      </c>
      <c r="G929">
        <v>1077777</v>
      </c>
      <c r="H929">
        <v>500220</v>
      </c>
      <c r="I929" t="s">
        <v>949</v>
      </c>
    </row>
    <row r="930" spans="1:9" x14ac:dyDescent="0.25">
      <c r="A930">
        <v>4240</v>
      </c>
      <c r="B930">
        <v>10</v>
      </c>
      <c r="C930" t="s">
        <v>946</v>
      </c>
      <c r="D930" t="s">
        <v>993</v>
      </c>
      <c r="E930" t="s">
        <v>251</v>
      </c>
      <c r="F930" t="s">
        <v>948</v>
      </c>
      <c r="G930">
        <v>1077777</v>
      </c>
      <c r="H930">
        <v>500221</v>
      </c>
      <c r="I930" t="s">
        <v>949</v>
      </c>
    </row>
    <row r="931" spans="1:9" x14ac:dyDescent="0.25">
      <c r="A931">
        <v>4141</v>
      </c>
      <c r="B931">
        <v>10</v>
      </c>
      <c r="C931" t="s">
        <v>946</v>
      </c>
      <c r="D931" t="s">
        <v>993</v>
      </c>
      <c r="E931" t="s">
        <v>969</v>
      </c>
      <c r="F931" t="s">
        <v>948</v>
      </c>
      <c r="G931">
        <v>1077777</v>
      </c>
      <c r="H931">
        <v>501010</v>
      </c>
      <c r="I931" t="s">
        <v>949</v>
      </c>
    </row>
    <row r="932" spans="1:9" x14ac:dyDescent="0.25">
      <c r="A932">
        <v>4220</v>
      </c>
      <c r="B932">
        <v>10</v>
      </c>
      <c r="C932" t="s">
        <v>946</v>
      </c>
      <c r="D932" t="s">
        <v>993</v>
      </c>
      <c r="E932" t="s">
        <v>969</v>
      </c>
      <c r="F932" t="s">
        <v>948</v>
      </c>
      <c r="G932">
        <v>1077777</v>
      </c>
      <c r="H932">
        <v>500220</v>
      </c>
      <c r="I932" t="s">
        <v>949</v>
      </c>
    </row>
    <row r="933" spans="1:9" x14ac:dyDescent="0.25">
      <c r="A933">
        <v>4240</v>
      </c>
      <c r="B933">
        <v>10</v>
      </c>
      <c r="C933" t="s">
        <v>946</v>
      </c>
      <c r="D933" t="s">
        <v>993</v>
      </c>
      <c r="E933" t="s">
        <v>969</v>
      </c>
      <c r="F933" t="s">
        <v>948</v>
      </c>
      <c r="G933">
        <v>1077777</v>
      </c>
      <c r="H933">
        <v>500221</v>
      </c>
      <c r="I933" t="s">
        <v>949</v>
      </c>
    </row>
    <row r="934" spans="1:9" x14ac:dyDescent="0.25">
      <c r="A934">
        <v>4141</v>
      </c>
      <c r="B934">
        <v>10</v>
      </c>
      <c r="C934" t="s">
        <v>946</v>
      </c>
      <c r="D934" t="s">
        <v>993</v>
      </c>
      <c r="E934" t="s">
        <v>255</v>
      </c>
      <c r="F934" t="s">
        <v>948</v>
      </c>
      <c r="G934">
        <v>1077777</v>
      </c>
      <c r="H934">
        <v>501010</v>
      </c>
      <c r="I934" t="s">
        <v>949</v>
      </c>
    </row>
    <row r="935" spans="1:9" x14ac:dyDescent="0.25">
      <c r="A935">
        <v>4220</v>
      </c>
      <c r="B935">
        <v>10</v>
      </c>
      <c r="C935" t="s">
        <v>946</v>
      </c>
      <c r="D935" t="s">
        <v>993</v>
      </c>
      <c r="E935" t="s">
        <v>255</v>
      </c>
      <c r="F935" t="s">
        <v>948</v>
      </c>
      <c r="G935">
        <v>1077777</v>
      </c>
      <c r="H935">
        <v>500220</v>
      </c>
      <c r="I935" t="s">
        <v>949</v>
      </c>
    </row>
    <row r="936" spans="1:9" x14ac:dyDescent="0.25">
      <c r="A936">
        <v>4240</v>
      </c>
      <c r="B936">
        <v>10</v>
      </c>
      <c r="C936" t="s">
        <v>946</v>
      </c>
      <c r="D936" t="s">
        <v>993</v>
      </c>
      <c r="E936" t="s">
        <v>255</v>
      </c>
      <c r="F936" t="s">
        <v>948</v>
      </c>
      <c r="G936">
        <v>1077777</v>
      </c>
      <c r="H936">
        <v>500221</v>
      </c>
      <c r="I936" t="s">
        <v>949</v>
      </c>
    </row>
    <row r="937" spans="1:9" x14ac:dyDescent="0.25">
      <c r="A937">
        <v>4141</v>
      </c>
      <c r="B937">
        <v>10</v>
      </c>
      <c r="C937" t="s">
        <v>946</v>
      </c>
      <c r="D937" t="s">
        <v>993</v>
      </c>
      <c r="E937" t="s">
        <v>971</v>
      </c>
      <c r="F937" t="s">
        <v>948</v>
      </c>
      <c r="G937">
        <v>1077777</v>
      </c>
      <c r="H937">
        <v>501010</v>
      </c>
      <c r="I937" t="s">
        <v>949</v>
      </c>
    </row>
    <row r="938" spans="1:9" x14ac:dyDescent="0.25">
      <c r="A938">
        <v>4220</v>
      </c>
      <c r="B938">
        <v>10</v>
      </c>
      <c r="C938" t="s">
        <v>946</v>
      </c>
      <c r="D938" t="s">
        <v>993</v>
      </c>
      <c r="E938" t="s">
        <v>971</v>
      </c>
      <c r="F938" t="s">
        <v>948</v>
      </c>
      <c r="G938">
        <v>1077777</v>
      </c>
      <c r="H938">
        <v>500220</v>
      </c>
      <c r="I938" t="s">
        <v>949</v>
      </c>
    </row>
    <row r="939" spans="1:9" x14ac:dyDescent="0.25">
      <c r="A939">
        <v>4240</v>
      </c>
      <c r="B939">
        <v>10</v>
      </c>
      <c r="C939" t="s">
        <v>946</v>
      </c>
      <c r="D939" t="s">
        <v>993</v>
      </c>
      <c r="E939" t="s">
        <v>971</v>
      </c>
      <c r="F939" t="s">
        <v>948</v>
      </c>
      <c r="G939">
        <v>1077777</v>
      </c>
      <c r="H939">
        <v>500221</v>
      </c>
      <c r="I939" t="s">
        <v>949</v>
      </c>
    </row>
    <row r="940" spans="1:9" x14ac:dyDescent="0.25">
      <c r="A940">
        <v>4141</v>
      </c>
      <c r="B940">
        <v>10</v>
      </c>
      <c r="C940" t="s">
        <v>946</v>
      </c>
      <c r="D940" t="s">
        <v>993</v>
      </c>
      <c r="E940" t="s">
        <v>263</v>
      </c>
      <c r="F940" t="s">
        <v>948</v>
      </c>
      <c r="G940">
        <v>1077777</v>
      </c>
      <c r="H940">
        <v>501010</v>
      </c>
      <c r="I940" t="s">
        <v>949</v>
      </c>
    </row>
    <row r="941" spans="1:9" x14ac:dyDescent="0.25">
      <c r="A941">
        <v>4220</v>
      </c>
      <c r="B941">
        <v>10</v>
      </c>
      <c r="C941" t="s">
        <v>946</v>
      </c>
      <c r="D941" t="s">
        <v>993</v>
      </c>
      <c r="E941" t="s">
        <v>263</v>
      </c>
      <c r="F941" t="s">
        <v>948</v>
      </c>
      <c r="G941">
        <v>1077777</v>
      </c>
      <c r="H941">
        <v>500220</v>
      </c>
      <c r="I941" t="s">
        <v>949</v>
      </c>
    </row>
    <row r="942" spans="1:9" x14ac:dyDescent="0.25">
      <c r="A942">
        <v>4240</v>
      </c>
      <c r="B942">
        <v>10</v>
      </c>
      <c r="C942" t="s">
        <v>946</v>
      </c>
      <c r="D942" t="s">
        <v>993</v>
      </c>
      <c r="E942" t="s">
        <v>263</v>
      </c>
      <c r="F942" t="s">
        <v>948</v>
      </c>
      <c r="G942">
        <v>1077777</v>
      </c>
      <c r="H942">
        <v>500221</v>
      </c>
      <c r="I942" t="s">
        <v>949</v>
      </c>
    </row>
    <row r="943" spans="1:9" x14ac:dyDescent="0.25">
      <c r="A943">
        <v>4141</v>
      </c>
      <c r="B943">
        <v>10</v>
      </c>
      <c r="C943" t="s">
        <v>946</v>
      </c>
      <c r="D943" t="s">
        <v>993</v>
      </c>
      <c r="E943" t="s">
        <v>100</v>
      </c>
      <c r="F943" t="s">
        <v>948</v>
      </c>
      <c r="G943">
        <v>1077777</v>
      </c>
      <c r="H943">
        <v>500220</v>
      </c>
      <c r="I943" t="s">
        <v>949</v>
      </c>
    </row>
    <row r="944" spans="1:9" x14ac:dyDescent="0.25">
      <c r="A944">
        <v>4220</v>
      </c>
      <c r="B944">
        <v>10</v>
      </c>
      <c r="C944" t="s">
        <v>946</v>
      </c>
      <c r="D944" t="s">
        <v>993</v>
      </c>
      <c r="E944" t="s">
        <v>100</v>
      </c>
      <c r="F944" t="s">
        <v>948</v>
      </c>
      <c r="G944">
        <v>1077777</v>
      </c>
      <c r="H944">
        <v>500220</v>
      </c>
      <c r="I944" t="s">
        <v>949</v>
      </c>
    </row>
    <row r="945" spans="1:9" x14ac:dyDescent="0.25">
      <c r="A945">
        <v>4240</v>
      </c>
      <c r="B945">
        <v>10</v>
      </c>
      <c r="C945" t="s">
        <v>946</v>
      </c>
      <c r="D945" t="s">
        <v>993</v>
      </c>
      <c r="E945" t="s">
        <v>100</v>
      </c>
      <c r="F945" t="s">
        <v>948</v>
      </c>
      <c r="G945">
        <v>1077777</v>
      </c>
      <c r="H945">
        <v>500221</v>
      </c>
      <c r="I945" t="s">
        <v>949</v>
      </c>
    </row>
    <row r="946" spans="1:9" x14ac:dyDescent="0.25">
      <c r="A946">
        <v>4141</v>
      </c>
      <c r="B946">
        <v>10</v>
      </c>
      <c r="C946" t="s">
        <v>946</v>
      </c>
      <c r="D946" t="s">
        <v>993</v>
      </c>
      <c r="E946" t="s">
        <v>270</v>
      </c>
      <c r="F946" t="s">
        <v>948</v>
      </c>
      <c r="G946">
        <v>1077777</v>
      </c>
      <c r="H946">
        <v>501010</v>
      </c>
      <c r="I946" t="s">
        <v>949</v>
      </c>
    </row>
    <row r="947" spans="1:9" x14ac:dyDescent="0.25">
      <c r="A947">
        <v>4220</v>
      </c>
      <c r="B947">
        <v>10</v>
      </c>
      <c r="C947" t="s">
        <v>946</v>
      </c>
      <c r="D947" t="s">
        <v>993</v>
      </c>
      <c r="E947" t="s">
        <v>270</v>
      </c>
      <c r="F947" t="s">
        <v>948</v>
      </c>
      <c r="G947">
        <v>1077777</v>
      </c>
      <c r="H947">
        <v>500220</v>
      </c>
      <c r="I947" t="s">
        <v>949</v>
      </c>
    </row>
    <row r="948" spans="1:9" x14ac:dyDescent="0.25">
      <c r="A948">
        <v>4240</v>
      </c>
      <c r="B948">
        <v>10</v>
      </c>
      <c r="C948" t="s">
        <v>946</v>
      </c>
      <c r="D948" t="s">
        <v>993</v>
      </c>
      <c r="E948" t="s">
        <v>270</v>
      </c>
      <c r="F948" t="s">
        <v>948</v>
      </c>
      <c r="G948">
        <v>1077777</v>
      </c>
      <c r="H948">
        <v>500221</v>
      </c>
      <c r="I948" t="s">
        <v>949</v>
      </c>
    </row>
    <row r="949" spans="1:9" x14ac:dyDescent="0.25">
      <c r="A949">
        <v>4141</v>
      </c>
      <c r="B949">
        <v>10</v>
      </c>
      <c r="C949" t="s">
        <v>946</v>
      </c>
      <c r="D949" t="s">
        <v>993</v>
      </c>
      <c r="E949" t="s">
        <v>274</v>
      </c>
      <c r="F949" t="s">
        <v>948</v>
      </c>
      <c r="G949">
        <v>1077777</v>
      </c>
      <c r="H949">
        <v>501010</v>
      </c>
      <c r="I949" t="s">
        <v>949</v>
      </c>
    </row>
    <row r="950" spans="1:9" x14ac:dyDescent="0.25">
      <c r="A950">
        <v>4220</v>
      </c>
      <c r="B950">
        <v>10</v>
      </c>
      <c r="C950" t="s">
        <v>946</v>
      </c>
      <c r="D950" t="s">
        <v>993</v>
      </c>
      <c r="E950" t="s">
        <v>274</v>
      </c>
      <c r="F950" t="s">
        <v>948</v>
      </c>
      <c r="G950">
        <v>1077777</v>
      </c>
      <c r="H950">
        <v>500220</v>
      </c>
      <c r="I950" t="s">
        <v>949</v>
      </c>
    </row>
    <row r="951" spans="1:9" x14ac:dyDescent="0.25">
      <c r="A951">
        <v>4240</v>
      </c>
      <c r="B951">
        <v>10</v>
      </c>
      <c r="C951" t="s">
        <v>946</v>
      </c>
      <c r="D951" t="s">
        <v>993</v>
      </c>
      <c r="E951" t="s">
        <v>274</v>
      </c>
      <c r="F951" t="s">
        <v>948</v>
      </c>
      <c r="G951">
        <v>1077777</v>
      </c>
      <c r="H951">
        <v>500221</v>
      </c>
      <c r="I951" t="s">
        <v>949</v>
      </c>
    </row>
    <row r="952" spans="1:9" x14ac:dyDescent="0.25">
      <c r="A952">
        <v>4141</v>
      </c>
      <c r="B952">
        <v>10</v>
      </c>
      <c r="C952" t="s">
        <v>946</v>
      </c>
      <c r="D952" t="s">
        <v>993</v>
      </c>
      <c r="E952" t="s">
        <v>974</v>
      </c>
      <c r="F952" t="s">
        <v>948</v>
      </c>
      <c r="G952">
        <v>1077777</v>
      </c>
      <c r="H952">
        <v>501010</v>
      </c>
      <c r="I952" t="s">
        <v>949</v>
      </c>
    </row>
    <row r="953" spans="1:9" x14ac:dyDescent="0.25">
      <c r="A953">
        <v>4220</v>
      </c>
      <c r="B953">
        <v>10</v>
      </c>
      <c r="C953" t="s">
        <v>946</v>
      </c>
      <c r="D953" t="s">
        <v>993</v>
      </c>
      <c r="E953" t="s">
        <v>974</v>
      </c>
      <c r="F953" t="s">
        <v>948</v>
      </c>
      <c r="G953">
        <v>1077777</v>
      </c>
      <c r="H953">
        <v>500220</v>
      </c>
      <c r="I953" t="s">
        <v>949</v>
      </c>
    </row>
    <row r="954" spans="1:9" x14ac:dyDescent="0.25">
      <c r="A954">
        <v>4240</v>
      </c>
      <c r="B954">
        <v>10</v>
      </c>
      <c r="C954" t="s">
        <v>946</v>
      </c>
      <c r="D954" t="s">
        <v>993</v>
      </c>
      <c r="E954" t="s">
        <v>974</v>
      </c>
      <c r="F954" t="s">
        <v>948</v>
      </c>
      <c r="G954">
        <v>1077777</v>
      </c>
      <c r="H954">
        <v>500221</v>
      </c>
      <c r="I954" t="s">
        <v>949</v>
      </c>
    </row>
    <row r="955" spans="1:9" x14ac:dyDescent="0.25">
      <c r="A955">
        <v>4141</v>
      </c>
      <c r="B955">
        <v>10</v>
      </c>
      <c r="C955" t="s">
        <v>946</v>
      </c>
      <c r="D955" t="s">
        <v>993</v>
      </c>
      <c r="E955" t="s">
        <v>104</v>
      </c>
      <c r="F955" t="s">
        <v>948</v>
      </c>
      <c r="G955">
        <v>1077777</v>
      </c>
      <c r="H955">
        <v>500220</v>
      </c>
      <c r="I955" t="s">
        <v>949</v>
      </c>
    </row>
    <row r="956" spans="1:9" x14ac:dyDescent="0.25">
      <c r="A956">
        <v>4220</v>
      </c>
      <c r="B956">
        <v>10</v>
      </c>
      <c r="C956" t="s">
        <v>946</v>
      </c>
      <c r="D956" t="s">
        <v>993</v>
      </c>
      <c r="E956" t="s">
        <v>104</v>
      </c>
      <c r="F956" t="s">
        <v>948</v>
      </c>
      <c r="G956">
        <v>1077777</v>
      </c>
      <c r="H956">
        <v>500220</v>
      </c>
      <c r="I956" t="s">
        <v>949</v>
      </c>
    </row>
    <row r="957" spans="1:9" x14ac:dyDescent="0.25">
      <c r="A957">
        <v>4240</v>
      </c>
      <c r="B957">
        <v>10</v>
      </c>
      <c r="C957" t="s">
        <v>946</v>
      </c>
      <c r="D957" t="s">
        <v>993</v>
      </c>
      <c r="E957" t="s">
        <v>104</v>
      </c>
      <c r="F957" t="s">
        <v>948</v>
      </c>
      <c r="G957">
        <v>1077777</v>
      </c>
      <c r="H957">
        <v>500221</v>
      </c>
      <c r="I957" t="s">
        <v>949</v>
      </c>
    </row>
    <row r="958" spans="1:9" x14ac:dyDescent="0.25">
      <c r="A958">
        <v>4141</v>
      </c>
      <c r="B958">
        <v>10</v>
      </c>
      <c r="C958" t="s">
        <v>946</v>
      </c>
      <c r="D958" t="s">
        <v>993</v>
      </c>
      <c r="E958" t="s">
        <v>278</v>
      </c>
      <c r="F958" t="s">
        <v>948</v>
      </c>
      <c r="G958">
        <v>1077777</v>
      </c>
      <c r="H958">
        <v>501010</v>
      </c>
      <c r="I958" t="s">
        <v>949</v>
      </c>
    </row>
    <row r="959" spans="1:9" x14ac:dyDescent="0.25">
      <c r="A959">
        <v>4220</v>
      </c>
      <c r="B959">
        <v>10</v>
      </c>
      <c r="C959" t="s">
        <v>946</v>
      </c>
      <c r="D959" t="s">
        <v>993</v>
      </c>
      <c r="E959" t="s">
        <v>278</v>
      </c>
      <c r="F959" t="s">
        <v>948</v>
      </c>
      <c r="G959">
        <v>1077777</v>
      </c>
      <c r="H959">
        <v>500220</v>
      </c>
      <c r="I959" t="s">
        <v>949</v>
      </c>
    </row>
    <row r="960" spans="1:9" x14ac:dyDescent="0.25">
      <c r="A960">
        <v>4240</v>
      </c>
      <c r="B960">
        <v>10</v>
      </c>
      <c r="C960" t="s">
        <v>946</v>
      </c>
      <c r="D960" t="s">
        <v>993</v>
      </c>
      <c r="E960" t="s">
        <v>278</v>
      </c>
      <c r="F960" t="s">
        <v>948</v>
      </c>
      <c r="G960">
        <v>1077777</v>
      </c>
      <c r="H960">
        <v>500221</v>
      </c>
      <c r="I960" t="s">
        <v>949</v>
      </c>
    </row>
    <row r="961" spans="1:9" x14ac:dyDescent="0.25">
      <c r="A961">
        <v>4141</v>
      </c>
      <c r="B961">
        <v>10</v>
      </c>
      <c r="C961" t="s">
        <v>946</v>
      </c>
      <c r="D961" t="s">
        <v>993</v>
      </c>
      <c r="E961" t="s">
        <v>282</v>
      </c>
      <c r="F961" t="s">
        <v>948</v>
      </c>
      <c r="G961">
        <v>1077777</v>
      </c>
      <c r="H961">
        <v>501010</v>
      </c>
      <c r="I961" t="s">
        <v>949</v>
      </c>
    </row>
    <row r="962" spans="1:9" x14ac:dyDescent="0.25">
      <c r="A962">
        <v>4220</v>
      </c>
      <c r="B962">
        <v>10</v>
      </c>
      <c r="C962" t="s">
        <v>946</v>
      </c>
      <c r="D962" t="s">
        <v>993</v>
      </c>
      <c r="E962" t="s">
        <v>282</v>
      </c>
      <c r="F962" t="s">
        <v>948</v>
      </c>
      <c r="G962">
        <v>1077777</v>
      </c>
      <c r="H962">
        <v>500220</v>
      </c>
      <c r="I962" t="s">
        <v>949</v>
      </c>
    </row>
    <row r="963" spans="1:9" x14ac:dyDescent="0.25">
      <c r="A963">
        <v>4240</v>
      </c>
      <c r="B963">
        <v>10</v>
      </c>
      <c r="C963" t="s">
        <v>946</v>
      </c>
      <c r="D963" t="s">
        <v>993</v>
      </c>
      <c r="E963" t="s">
        <v>282</v>
      </c>
      <c r="F963" t="s">
        <v>948</v>
      </c>
      <c r="G963">
        <v>1077777</v>
      </c>
      <c r="H963">
        <v>500221</v>
      </c>
      <c r="I963" t="s">
        <v>949</v>
      </c>
    </row>
    <row r="964" spans="1:9" x14ac:dyDescent="0.25">
      <c r="A964">
        <v>4141</v>
      </c>
      <c r="B964">
        <v>10</v>
      </c>
      <c r="C964" t="s">
        <v>946</v>
      </c>
      <c r="D964" t="s">
        <v>993</v>
      </c>
      <c r="E964" t="s">
        <v>286</v>
      </c>
      <c r="F964" t="s">
        <v>948</v>
      </c>
      <c r="G964">
        <v>1077777</v>
      </c>
      <c r="H964">
        <v>501010</v>
      </c>
      <c r="I964" t="s">
        <v>949</v>
      </c>
    </row>
    <row r="965" spans="1:9" x14ac:dyDescent="0.25">
      <c r="A965">
        <v>4220</v>
      </c>
      <c r="B965">
        <v>10</v>
      </c>
      <c r="C965" t="s">
        <v>946</v>
      </c>
      <c r="D965" t="s">
        <v>993</v>
      </c>
      <c r="E965" t="s">
        <v>286</v>
      </c>
      <c r="F965" t="s">
        <v>948</v>
      </c>
      <c r="G965">
        <v>1077777</v>
      </c>
      <c r="H965">
        <v>500220</v>
      </c>
      <c r="I965" t="s">
        <v>949</v>
      </c>
    </row>
    <row r="966" spans="1:9" x14ac:dyDescent="0.25">
      <c r="A966">
        <v>4240</v>
      </c>
      <c r="B966">
        <v>10</v>
      </c>
      <c r="C966" t="s">
        <v>946</v>
      </c>
      <c r="D966" t="s">
        <v>993</v>
      </c>
      <c r="E966" t="s">
        <v>286</v>
      </c>
      <c r="F966" t="s">
        <v>948</v>
      </c>
      <c r="G966">
        <v>1077777</v>
      </c>
      <c r="H966">
        <v>500221</v>
      </c>
      <c r="I966" t="s">
        <v>949</v>
      </c>
    </row>
    <row r="967" spans="1:9" x14ac:dyDescent="0.25">
      <c r="A967">
        <v>4141</v>
      </c>
      <c r="B967">
        <v>10</v>
      </c>
      <c r="C967" t="s">
        <v>946</v>
      </c>
      <c r="D967" t="s">
        <v>993</v>
      </c>
      <c r="E967" t="s">
        <v>976</v>
      </c>
      <c r="F967" t="s">
        <v>948</v>
      </c>
      <c r="G967">
        <v>1077777</v>
      </c>
      <c r="H967">
        <v>501010</v>
      </c>
      <c r="I967" t="s">
        <v>949</v>
      </c>
    </row>
    <row r="968" spans="1:9" x14ac:dyDescent="0.25">
      <c r="A968">
        <v>4220</v>
      </c>
      <c r="B968">
        <v>10</v>
      </c>
      <c r="C968" t="s">
        <v>946</v>
      </c>
      <c r="D968" t="s">
        <v>993</v>
      </c>
      <c r="E968" t="s">
        <v>976</v>
      </c>
      <c r="F968" t="s">
        <v>948</v>
      </c>
      <c r="G968">
        <v>1077777</v>
      </c>
      <c r="H968">
        <v>500220</v>
      </c>
      <c r="I968" t="s">
        <v>949</v>
      </c>
    </row>
    <row r="969" spans="1:9" x14ac:dyDescent="0.25">
      <c r="A969">
        <v>4240</v>
      </c>
      <c r="B969">
        <v>10</v>
      </c>
      <c r="C969" t="s">
        <v>946</v>
      </c>
      <c r="D969" t="s">
        <v>993</v>
      </c>
      <c r="E969" t="s">
        <v>976</v>
      </c>
      <c r="F969" t="s">
        <v>948</v>
      </c>
      <c r="G969">
        <v>1077777</v>
      </c>
      <c r="H969">
        <v>500221</v>
      </c>
      <c r="I969" t="s">
        <v>949</v>
      </c>
    </row>
    <row r="970" spans="1:9" x14ac:dyDescent="0.25">
      <c r="A970">
        <v>4141</v>
      </c>
      <c r="B970">
        <v>10</v>
      </c>
      <c r="C970" t="s">
        <v>946</v>
      </c>
      <c r="D970" t="s">
        <v>993</v>
      </c>
      <c r="E970" t="s">
        <v>290</v>
      </c>
      <c r="F970" t="s">
        <v>948</v>
      </c>
      <c r="G970">
        <v>1077777</v>
      </c>
      <c r="H970">
        <v>501010</v>
      </c>
      <c r="I970" t="s">
        <v>949</v>
      </c>
    </row>
    <row r="971" spans="1:9" x14ac:dyDescent="0.25">
      <c r="A971">
        <v>4220</v>
      </c>
      <c r="B971">
        <v>10</v>
      </c>
      <c r="C971" t="s">
        <v>946</v>
      </c>
      <c r="D971" t="s">
        <v>993</v>
      </c>
      <c r="E971" t="s">
        <v>290</v>
      </c>
      <c r="F971" t="s">
        <v>948</v>
      </c>
      <c r="G971">
        <v>1077777</v>
      </c>
      <c r="H971">
        <v>500220</v>
      </c>
      <c r="I971" t="s">
        <v>949</v>
      </c>
    </row>
    <row r="972" spans="1:9" x14ac:dyDescent="0.25">
      <c r="A972">
        <v>4240</v>
      </c>
      <c r="B972">
        <v>10</v>
      </c>
      <c r="C972" t="s">
        <v>946</v>
      </c>
      <c r="D972" t="s">
        <v>993</v>
      </c>
      <c r="E972" t="s">
        <v>290</v>
      </c>
      <c r="F972" t="s">
        <v>948</v>
      </c>
      <c r="G972">
        <v>1077777</v>
      </c>
      <c r="H972">
        <v>500221</v>
      </c>
      <c r="I972" t="s">
        <v>949</v>
      </c>
    </row>
    <row r="973" spans="1:9" x14ac:dyDescent="0.25">
      <c r="A973">
        <v>4141</v>
      </c>
      <c r="B973">
        <v>10</v>
      </c>
      <c r="C973" t="s">
        <v>946</v>
      </c>
      <c r="D973" t="s">
        <v>993</v>
      </c>
      <c r="E973" t="s">
        <v>294</v>
      </c>
      <c r="F973" t="s">
        <v>948</v>
      </c>
      <c r="G973">
        <v>1077777</v>
      </c>
      <c r="H973">
        <v>501010</v>
      </c>
      <c r="I973" t="s">
        <v>949</v>
      </c>
    </row>
    <row r="974" spans="1:9" x14ac:dyDescent="0.25">
      <c r="A974">
        <v>4220</v>
      </c>
      <c r="B974">
        <v>10</v>
      </c>
      <c r="C974" t="s">
        <v>946</v>
      </c>
      <c r="D974" t="s">
        <v>993</v>
      </c>
      <c r="E974" t="s">
        <v>294</v>
      </c>
      <c r="F974" t="s">
        <v>948</v>
      </c>
      <c r="G974">
        <v>1077777</v>
      </c>
      <c r="H974">
        <v>500220</v>
      </c>
      <c r="I974" t="s">
        <v>949</v>
      </c>
    </row>
    <row r="975" spans="1:9" x14ac:dyDescent="0.25">
      <c r="A975">
        <v>4240</v>
      </c>
      <c r="B975">
        <v>10</v>
      </c>
      <c r="C975" t="s">
        <v>946</v>
      </c>
      <c r="D975" t="s">
        <v>993</v>
      </c>
      <c r="E975" t="s">
        <v>294</v>
      </c>
      <c r="F975" t="s">
        <v>948</v>
      </c>
      <c r="G975">
        <v>1077777</v>
      </c>
      <c r="H975">
        <v>500221</v>
      </c>
      <c r="I975" t="s">
        <v>949</v>
      </c>
    </row>
    <row r="976" spans="1:9" x14ac:dyDescent="0.25">
      <c r="A976">
        <v>4141</v>
      </c>
      <c r="B976">
        <v>10</v>
      </c>
      <c r="C976" t="s">
        <v>946</v>
      </c>
      <c r="D976" t="s">
        <v>993</v>
      </c>
      <c r="E976" t="s">
        <v>980</v>
      </c>
      <c r="F976" t="s">
        <v>948</v>
      </c>
      <c r="G976">
        <v>1077777</v>
      </c>
      <c r="H976">
        <v>501010</v>
      </c>
      <c r="I976" t="s">
        <v>949</v>
      </c>
    </row>
    <row r="977" spans="1:9" x14ac:dyDescent="0.25">
      <c r="A977">
        <v>4220</v>
      </c>
      <c r="B977">
        <v>10</v>
      </c>
      <c r="C977" t="s">
        <v>946</v>
      </c>
      <c r="D977" t="s">
        <v>993</v>
      </c>
      <c r="E977" t="s">
        <v>980</v>
      </c>
      <c r="F977" t="s">
        <v>948</v>
      </c>
      <c r="G977">
        <v>1077777</v>
      </c>
      <c r="H977">
        <v>500220</v>
      </c>
      <c r="I977" t="s">
        <v>949</v>
      </c>
    </row>
    <row r="978" spans="1:9" x14ac:dyDescent="0.25">
      <c r="A978">
        <v>4240</v>
      </c>
      <c r="B978">
        <v>10</v>
      </c>
      <c r="C978" t="s">
        <v>946</v>
      </c>
      <c r="D978" t="s">
        <v>993</v>
      </c>
      <c r="E978" t="s">
        <v>980</v>
      </c>
      <c r="F978" t="s">
        <v>948</v>
      </c>
      <c r="G978">
        <v>1077777</v>
      </c>
      <c r="H978">
        <v>500221</v>
      </c>
      <c r="I978" t="s">
        <v>949</v>
      </c>
    </row>
    <row r="979" spans="1:9" x14ac:dyDescent="0.25">
      <c r="A979">
        <v>4141</v>
      </c>
      <c r="B979">
        <v>10</v>
      </c>
      <c r="C979" t="s">
        <v>946</v>
      </c>
      <c r="D979" t="s">
        <v>993</v>
      </c>
      <c r="E979" t="s">
        <v>302</v>
      </c>
      <c r="F979" t="s">
        <v>948</v>
      </c>
      <c r="G979">
        <v>1077777</v>
      </c>
      <c r="H979">
        <v>501010</v>
      </c>
      <c r="I979" t="s">
        <v>949</v>
      </c>
    </row>
    <row r="980" spans="1:9" x14ac:dyDescent="0.25">
      <c r="A980">
        <v>4220</v>
      </c>
      <c r="B980">
        <v>10</v>
      </c>
      <c r="C980" t="s">
        <v>946</v>
      </c>
      <c r="D980" t="s">
        <v>993</v>
      </c>
      <c r="E980" t="s">
        <v>302</v>
      </c>
      <c r="F980" t="s">
        <v>948</v>
      </c>
      <c r="G980">
        <v>1077777</v>
      </c>
      <c r="H980">
        <v>500220</v>
      </c>
      <c r="I980" t="s">
        <v>949</v>
      </c>
    </row>
    <row r="981" spans="1:9" x14ac:dyDescent="0.25">
      <c r="A981">
        <v>4240</v>
      </c>
      <c r="B981">
        <v>10</v>
      </c>
      <c r="C981" t="s">
        <v>946</v>
      </c>
      <c r="D981" t="s">
        <v>993</v>
      </c>
      <c r="E981" t="s">
        <v>302</v>
      </c>
      <c r="F981" t="s">
        <v>948</v>
      </c>
      <c r="G981">
        <v>1077777</v>
      </c>
      <c r="H981">
        <v>500221</v>
      </c>
      <c r="I981" t="s">
        <v>949</v>
      </c>
    </row>
    <row r="982" spans="1:9" x14ac:dyDescent="0.25">
      <c r="A982">
        <v>4141</v>
      </c>
      <c r="B982">
        <v>10</v>
      </c>
      <c r="C982" t="s">
        <v>946</v>
      </c>
      <c r="D982" t="s">
        <v>993</v>
      </c>
      <c r="E982" t="s">
        <v>306</v>
      </c>
      <c r="F982" t="s">
        <v>948</v>
      </c>
      <c r="G982">
        <v>1077777</v>
      </c>
      <c r="H982">
        <v>501010</v>
      </c>
      <c r="I982" t="s">
        <v>949</v>
      </c>
    </row>
    <row r="983" spans="1:9" x14ac:dyDescent="0.25">
      <c r="A983">
        <v>4220</v>
      </c>
      <c r="B983">
        <v>10</v>
      </c>
      <c r="C983" t="s">
        <v>946</v>
      </c>
      <c r="D983" t="s">
        <v>993</v>
      </c>
      <c r="E983" t="s">
        <v>306</v>
      </c>
      <c r="F983" t="s">
        <v>948</v>
      </c>
      <c r="G983">
        <v>1077777</v>
      </c>
      <c r="H983">
        <v>500220</v>
      </c>
      <c r="I983" t="s">
        <v>949</v>
      </c>
    </row>
    <row r="984" spans="1:9" x14ac:dyDescent="0.25">
      <c r="A984">
        <v>4240</v>
      </c>
      <c r="B984">
        <v>10</v>
      </c>
      <c r="C984" t="s">
        <v>946</v>
      </c>
      <c r="D984" t="s">
        <v>993</v>
      </c>
      <c r="E984" t="s">
        <v>306</v>
      </c>
      <c r="F984" t="s">
        <v>948</v>
      </c>
      <c r="G984">
        <v>1077777</v>
      </c>
      <c r="H984">
        <v>500221</v>
      </c>
      <c r="I984" t="s">
        <v>949</v>
      </c>
    </row>
    <row r="985" spans="1:9" x14ac:dyDescent="0.25">
      <c r="A985">
        <v>4141</v>
      </c>
      <c r="B985">
        <v>10</v>
      </c>
      <c r="C985" t="s">
        <v>946</v>
      </c>
      <c r="D985" t="s">
        <v>993</v>
      </c>
      <c r="E985" t="s">
        <v>108</v>
      </c>
      <c r="F985" t="s">
        <v>948</v>
      </c>
      <c r="G985">
        <v>1077777</v>
      </c>
      <c r="H985">
        <v>500220</v>
      </c>
      <c r="I985" t="s">
        <v>949</v>
      </c>
    </row>
    <row r="986" spans="1:9" x14ac:dyDescent="0.25">
      <c r="A986">
        <v>4220</v>
      </c>
      <c r="B986">
        <v>10</v>
      </c>
      <c r="C986" t="s">
        <v>946</v>
      </c>
      <c r="D986" t="s">
        <v>993</v>
      </c>
      <c r="E986" t="s">
        <v>108</v>
      </c>
      <c r="F986" t="s">
        <v>948</v>
      </c>
      <c r="G986">
        <v>1077777</v>
      </c>
      <c r="H986">
        <v>500220</v>
      </c>
      <c r="I986" t="s">
        <v>949</v>
      </c>
    </row>
    <row r="987" spans="1:9" x14ac:dyDescent="0.25">
      <c r="A987">
        <v>4240</v>
      </c>
      <c r="B987">
        <v>10</v>
      </c>
      <c r="C987" t="s">
        <v>946</v>
      </c>
      <c r="D987" t="s">
        <v>993</v>
      </c>
      <c r="E987" t="s">
        <v>108</v>
      </c>
      <c r="F987" t="s">
        <v>948</v>
      </c>
      <c r="G987">
        <v>1077777</v>
      </c>
      <c r="H987">
        <v>500221</v>
      </c>
      <c r="I987" t="s">
        <v>949</v>
      </c>
    </row>
    <row r="988" spans="1:9" x14ac:dyDescent="0.25">
      <c r="A988">
        <v>4141</v>
      </c>
      <c r="B988">
        <v>10</v>
      </c>
      <c r="C988" t="s">
        <v>946</v>
      </c>
      <c r="D988" t="s">
        <v>993</v>
      </c>
      <c r="E988" t="s">
        <v>310</v>
      </c>
      <c r="F988" t="s">
        <v>948</v>
      </c>
      <c r="G988">
        <v>1077777</v>
      </c>
      <c r="H988">
        <v>501010</v>
      </c>
      <c r="I988" t="s">
        <v>949</v>
      </c>
    </row>
    <row r="989" spans="1:9" x14ac:dyDescent="0.25">
      <c r="A989">
        <v>4220</v>
      </c>
      <c r="B989">
        <v>10</v>
      </c>
      <c r="C989" t="s">
        <v>946</v>
      </c>
      <c r="D989" t="s">
        <v>993</v>
      </c>
      <c r="E989" t="s">
        <v>310</v>
      </c>
      <c r="F989" t="s">
        <v>948</v>
      </c>
      <c r="G989">
        <v>1077777</v>
      </c>
      <c r="H989">
        <v>500220</v>
      </c>
      <c r="I989" t="s">
        <v>949</v>
      </c>
    </row>
    <row r="990" spans="1:9" x14ac:dyDescent="0.25">
      <c r="A990">
        <v>4240</v>
      </c>
      <c r="B990">
        <v>10</v>
      </c>
      <c r="C990" t="s">
        <v>946</v>
      </c>
      <c r="D990" t="s">
        <v>993</v>
      </c>
      <c r="E990" t="s">
        <v>310</v>
      </c>
      <c r="F990" t="s">
        <v>948</v>
      </c>
      <c r="G990">
        <v>1077777</v>
      </c>
      <c r="H990">
        <v>500221</v>
      </c>
      <c r="I990" t="s">
        <v>949</v>
      </c>
    </row>
    <row r="991" spans="1:9" x14ac:dyDescent="0.25">
      <c r="A991">
        <v>4141</v>
      </c>
      <c r="B991">
        <v>10</v>
      </c>
      <c r="C991" t="s">
        <v>946</v>
      </c>
      <c r="D991" t="s">
        <v>993</v>
      </c>
      <c r="E991" t="s">
        <v>314</v>
      </c>
      <c r="F991" t="s">
        <v>948</v>
      </c>
      <c r="G991">
        <v>1077777</v>
      </c>
      <c r="H991">
        <v>501010</v>
      </c>
      <c r="I991" t="s">
        <v>949</v>
      </c>
    </row>
    <row r="992" spans="1:9" x14ac:dyDescent="0.25">
      <c r="A992">
        <v>4220</v>
      </c>
      <c r="B992">
        <v>10</v>
      </c>
      <c r="C992" t="s">
        <v>946</v>
      </c>
      <c r="D992" t="s">
        <v>993</v>
      </c>
      <c r="E992" t="s">
        <v>314</v>
      </c>
      <c r="F992" t="s">
        <v>948</v>
      </c>
      <c r="G992">
        <v>1077777</v>
      </c>
      <c r="H992">
        <v>500220</v>
      </c>
      <c r="I992" t="s">
        <v>949</v>
      </c>
    </row>
    <row r="993" spans="1:9" x14ac:dyDescent="0.25">
      <c r="A993">
        <v>4240</v>
      </c>
      <c r="B993">
        <v>10</v>
      </c>
      <c r="C993" t="s">
        <v>946</v>
      </c>
      <c r="D993" t="s">
        <v>993</v>
      </c>
      <c r="E993" t="s">
        <v>314</v>
      </c>
      <c r="F993" t="s">
        <v>948</v>
      </c>
      <c r="G993">
        <v>1077777</v>
      </c>
      <c r="H993">
        <v>500221</v>
      </c>
      <c r="I993" t="s">
        <v>949</v>
      </c>
    </row>
    <row r="994" spans="1:9" x14ac:dyDescent="0.25">
      <c r="A994">
        <v>4141</v>
      </c>
      <c r="B994">
        <v>10</v>
      </c>
      <c r="C994" t="s">
        <v>946</v>
      </c>
      <c r="D994" t="s">
        <v>993</v>
      </c>
      <c r="E994" t="s">
        <v>113</v>
      </c>
      <c r="F994" t="s">
        <v>948</v>
      </c>
      <c r="G994">
        <v>1077777</v>
      </c>
      <c r="H994">
        <v>500220</v>
      </c>
      <c r="I994" t="s">
        <v>949</v>
      </c>
    </row>
    <row r="995" spans="1:9" x14ac:dyDescent="0.25">
      <c r="A995">
        <v>4220</v>
      </c>
      <c r="B995">
        <v>10</v>
      </c>
      <c r="C995" t="s">
        <v>946</v>
      </c>
      <c r="D995" t="s">
        <v>993</v>
      </c>
      <c r="E995" t="s">
        <v>113</v>
      </c>
      <c r="F995" t="s">
        <v>948</v>
      </c>
      <c r="G995">
        <v>1077777</v>
      </c>
      <c r="H995">
        <v>500220</v>
      </c>
      <c r="I995" t="s">
        <v>949</v>
      </c>
    </row>
    <row r="996" spans="1:9" x14ac:dyDescent="0.25">
      <c r="A996">
        <v>4240</v>
      </c>
      <c r="B996">
        <v>10</v>
      </c>
      <c r="C996" t="s">
        <v>946</v>
      </c>
      <c r="D996" t="s">
        <v>993</v>
      </c>
      <c r="E996" t="s">
        <v>113</v>
      </c>
      <c r="F996" t="s">
        <v>948</v>
      </c>
      <c r="G996">
        <v>1077777</v>
      </c>
      <c r="H996">
        <v>500221</v>
      </c>
      <c r="I996" t="s">
        <v>949</v>
      </c>
    </row>
    <row r="997" spans="1:9" x14ac:dyDescent="0.25">
      <c r="A997">
        <v>4141</v>
      </c>
      <c r="B997">
        <v>10</v>
      </c>
      <c r="C997" t="s">
        <v>946</v>
      </c>
      <c r="D997" t="s">
        <v>993</v>
      </c>
      <c r="E997" t="s">
        <v>117</v>
      </c>
      <c r="F997" t="s">
        <v>948</v>
      </c>
      <c r="G997">
        <v>1077777</v>
      </c>
      <c r="H997">
        <v>500220</v>
      </c>
      <c r="I997" t="s">
        <v>949</v>
      </c>
    </row>
    <row r="998" spans="1:9" x14ac:dyDescent="0.25">
      <c r="A998">
        <v>4220</v>
      </c>
      <c r="B998">
        <v>10</v>
      </c>
      <c r="C998" t="s">
        <v>946</v>
      </c>
      <c r="D998" t="s">
        <v>993</v>
      </c>
      <c r="E998" t="s">
        <v>117</v>
      </c>
      <c r="F998" t="s">
        <v>948</v>
      </c>
      <c r="G998">
        <v>1077777</v>
      </c>
      <c r="H998">
        <v>500220</v>
      </c>
      <c r="I998" t="s">
        <v>949</v>
      </c>
    </row>
    <row r="999" spans="1:9" x14ac:dyDescent="0.25">
      <c r="A999">
        <v>4240</v>
      </c>
      <c r="B999">
        <v>10</v>
      </c>
      <c r="C999" t="s">
        <v>946</v>
      </c>
      <c r="D999" t="s">
        <v>993</v>
      </c>
      <c r="E999" t="s">
        <v>117</v>
      </c>
      <c r="F999" t="s">
        <v>948</v>
      </c>
      <c r="G999">
        <v>1077777</v>
      </c>
      <c r="H999">
        <v>500221</v>
      </c>
      <c r="I999" t="s">
        <v>949</v>
      </c>
    </row>
    <row r="1000" spans="1:9" x14ac:dyDescent="0.25">
      <c r="A1000">
        <v>4141</v>
      </c>
      <c r="B1000">
        <v>10</v>
      </c>
      <c r="C1000" t="s">
        <v>946</v>
      </c>
      <c r="D1000" t="s">
        <v>993</v>
      </c>
      <c r="E1000" t="s">
        <v>121</v>
      </c>
      <c r="F1000" t="s">
        <v>948</v>
      </c>
      <c r="G1000">
        <v>1077777</v>
      </c>
      <c r="H1000">
        <v>500220</v>
      </c>
      <c r="I1000" t="s">
        <v>949</v>
      </c>
    </row>
    <row r="1001" spans="1:9" x14ac:dyDescent="0.25">
      <c r="A1001">
        <v>4220</v>
      </c>
      <c r="B1001">
        <v>10</v>
      </c>
      <c r="C1001" t="s">
        <v>946</v>
      </c>
      <c r="D1001" t="s">
        <v>993</v>
      </c>
      <c r="E1001" t="s">
        <v>121</v>
      </c>
      <c r="F1001" t="s">
        <v>948</v>
      </c>
      <c r="G1001">
        <v>1077777</v>
      </c>
      <c r="H1001">
        <v>500220</v>
      </c>
      <c r="I1001" t="s">
        <v>949</v>
      </c>
    </row>
    <row r="1002" spans="1:9" x14ac:dyDescent="0.25">
      <c r="A1002">
        <v>4240</v>
      </c>
      <c r="B1002">
        <v>10</v>
      </c>
      <c r="C1002" t="s">
        <v>946</v>
      </c>
      <c r="D1002" t="s">
        <v>993</v>
      </c>
      <c r="E1002" t="s">
        <v>121</v>
      </c>
      <c r="F1002" t="s">
        <v>948</v>
      </c>
      <c r="G1002">
        <v>1077777</v>
      </c>
      <c r="H1002">
        <v>500221</v>
      </c>
      <c r="I1002" t="s">
        <v>949</v>
      </c>
    </row>
    <row r="1003" spans="1:9" x14ac:dyDescent="0.25">
      <c r="A1003">
        <v>4141</v>
      </c>
      <c r="B1003">
        <v>10</v>
      </c>
      <c r="C1003" t="s">
        <v>946</v>
      </c>
      <c r="D1003" t="s">
        <v>993</v>
      </c>
      <c r="E1003" t="s">
        <v>984</v>
      </c>
      <c r="F1003" t="s">
        <v>948</v>
      </c>
      <c r="G1003">
        <v>1077777</v>
      </c>
      <c r="H1003">
        <v>501010</v>
      </c>
      <c r="I1003" t="s">
        <v>949</v>
      </c>
    </row>
    <row r="1004" spans="1:9" x14ac:dyDescent="0.25">
      <c r="A1004">
        <v>4220</v>
      </c>
      <c r="B1004">
        <v>10</v>
      </c>
      <c r="C1004" t="s">
        <v>946</v>
      </c>
      <c r="D1004" t="s">
        <v>993</v>
      </c>
      <c r="E1004" t="s">
        <v>984</v>
      </c>
      <c r="F1004" t="s">
        <v>948</v>
      </c>
      <c r="G1004">
        <v>1077777</v>
      </c>
      <c r="H1004">
        <v>500220</v>
      </c>
      <c r="I1004" t="s">
        <v>949</v>
      </c>
    </row>
    <row r="1005" spans="1:9" x14ac:dyDescent="0.25">
      <c r="A1005">
        <v>4240</v>
      </c>
      <c r="B1005">
        <v>10</v>
      </c>
      <c r="C1005" t="s">
        <v>946</v>
      </c>
      <c r="D1005" t="s">
        <v>993</v>
      </c>
      <c r="E1005" t="s">
        <v>984</v>
      </c>
      <c r="F1005" t="s">
        <v>948</v>
      </c>
      <c r="G1005">
        <v>1077777</v>
      </c>
      <c r="H1005">
        <v>500221</v>
      </c>
      <c r="I1005" t="s">
        <v>949</v>
      </c>
    </row>
    <row r="1006" spans="1:9" x14ac:dyDescent="0.25">
      <c r="A1006">
        <v>4140</v>
      </c>
      <c r="B1006">
        <v>10</v>
      </c>
      <c r="C1006" t="s">
        <v>946</v>
      </c>
      <c r="D1006" t="s">
        <v>38</v>
      </c>
      <c r="E1006" t="s">
        <v>49</v>
      </c>
      <c r="F1006" t="s">
        <v>948</v>
      </c>
      <c r="G1006">
        <v>1077777</v>
      </c>
      <c r="H1006">
        <v>500460</v>
      </c>
      <c r="I1006" t="s">
        <v>949</v>
      </c>
    </row>
    <row r="1007" spans="1:9" x14ac:dyDescent="0.25">
      <c r="A1007">
        <v>4141</v>
      </c>
      <c r="B1007">
        <v>10</v>
      </c>
      <c r="C1007" t="s">
        <v>946</v>
      </c>
      <c r="D1007" t="s">
        <v>38</v>
      </c>
      <c r="E1007" t="s">
        <v>49</v>
      </c>
      <c r="F1007" t="s">
        <v>948</v>
      </c>
      <c r="G1007">
        <v>1077777</v>
      </c>
      <c r="H1007">
        <v>500460</v>
      </c>
      <c r="I1007" t="s">
        <v>949</v>
      </c>
    </row>
    <row r="1008" ht="22" customHeight="1" spans="1:10" x14ac:dyDescent="0.25">
      <c r="A1008" s="41">
        <v>4162</v>
      </c>
      <c r="B1008" s="41">
        <v>10</v>
      </c>
      <c r="C1008" s="41" t="s">
        <v>946</v>
      </c>
      <c r="D1008" s="41" t="s">
        <v>38</v>
      </c>
      <c r="E1008" s="41" t="s">
        <v>49</v>
      </c>
      <c r="F1008" s="41" t="s">
        <v>948</v>
      </c>
      <c r="G1008" s="41">
        <v>1000000</v>
      </c>
      <c r="H1008" s="41">
        <v>14200</v>
      </c>
      <c r="I1008" s="41" t="s">
        <v>949</v>
      </c>
      <c r="J1008" s="42" t="s">
        <v>994</v>
      </c>
    </row>
    <row r="1009" ht="22" customHeight="1" spans="1:10" x14ac:dyDescent="0.25">
      <c r="A1009" s="41">
        <v>4164</v>
      </c>
      <c r="B1009" s="41">
        <v>10</v>
      </c>
      <c r="C1009" s="41" t="s">
        <v>946</v>
      </c>
      <c r="D1009" s="41" t="s">
        <v>38</v>
      </c>
      <c r="E1009" s="41" t="s">
        <v>49</v>
      </c>
      <c r="F1009" s="41" t="s">
        <v>948</v>
      </c>
      <c r="G1009" s="41">
        <v>1000000</v>
      </c>
      <c r="H1009" s="41">
        <v>14200</v>
      </c>
      <c r="I1009" s="41" t="s">
        <v>949</v>
      </c>
      <c r="J1009" s="42" t="s">
        <v>995</v>
      </c>
    </row>
    <row r="1010" spans="1:9" x14ac:dyDescent="0.25">
      <c r="A1010">
        <v>4122</v>
      </c>
      <c r="B1010">
        <v>10</v>
      </c>
      <c r="C1010" t="s">
        <v>946</v>
      </c>
      <c r="D1010" t="s">
        <v>38</v>
      </c>
      <c r="E1010" t="s">
        <v>243</v>
      </c>
      <c r="F1010" t="s">
        <v>948</v>
      </c>
      <c r="G1010">
        <v>1000000</v>
      </c>
      <c r="H1010">
        <v>145000</v>
      </c>
      <c r="I1010" t="s">
        <v>949</v>
      </c>
    </row>
    <row r="1011" spans="1:9" x14ac:dyDescent="0.25">
      <c r="A1011">
        <v>4124</v>
      </c>
      <c r="B1011">
        <v>10</v>
      </c>
      <c r="C1011" t="s">
        <v>946</v>
      </c>
      <c r="D1011" t="s">
        <v>38</v>
      </c>
      <c r="E1011" t="s">
        <v>243</v>
      </c>
      <c r="F1011" t="s">
        <v>948</v>
      </c>
      <c r="G1011">
        <v>1077777</v>
      </c>
      <c r="H1011">
        <v>500465</v>
      </c>
      <c r="I1011" t="s">
        <v>949</v>
      </c>
    </row>
    <row r="1012" spans="1:9" x14ac:dyDescent="0.25">
      <c r="A1012">
        <v>4126</v>
      </c>
      <c r="B1012">
        <v>10</v>
      </c>
      <c r="C1012" t="s">
        <v>946</v>
      </c>
      <c r="D1012" t="s">
        <v>38</v>
      </c>
      <c r="E1012" t="s">
        <v>243</v>
      </c>
      <c r="F1012" t="s">
        <v>948</v>
      </c>
      <c r="G1012">
        <v>1000000</v>
      </c>
      <c r="H1012">
        <v>145000</v>
      </c>
      <c r="I1012" t="s">
        <v>949</v>
      </c>
    </row>
    <row r="1013" spans="1:9" x14ac:dyDescent="0.25">
      <c r="A1013">
        <v>4128</v>
      </c>
      <c r="B1013">
        <v>10</v>
      </c>
      <c r="C1013" t="s">
        <v>946</v>
      </c>
      <c r="D1013" t="s">
        <v>38</v>
      </c>
      <c r="E1013" t="s">
        <v>243</v>
      </c>
      <c r="F1013" t="s">
        <v>948</v>
      </c>
      <c r="G1013">
        <v>1077777</v>
      </c>
      <c r="H1013">
        <v>500460</v>
      </c>
      <c r="I1013" t="s">
        <v>949</v>
      </c>
    </row>
    <row r="1014" spans="1:9" x14ac:dyDescent="0.25">
      <c r="A1014">
        <v>4122</v>
      </c>
      <c r="B1014">
        <v>10</v>
      </c>
      <c r="C1014" t="s">
        <v>946</v>
      </c>
      <c r="D1014" t="s">
        <v>38</v>
      </c>
      <c r="E1014" t="s">
        <v>247</v>
      </c>
      <c r="F1014" t="s">
        <v>948</v>
      </c>
      <c r="G1014">
        <v>1000000</v>
      </c>
      <c r="H1014">
        <v>145000</v>
      </c>
      <c r="I1014" t="s">
        <v>949</v>
      </c>
    </row>
    <row r="1015" spans="1:9" x14ac:dyDescent="0.25">
      <c r="A1015">
        <v>4124</v>
      </c>
      <c r="B1015">
        <v>10</v>
      </c>
      <c r="C1015" t="s">
        <v>946</v>
      </c>
      <c r="D1015" t="s">
        <v>38</v>
      </c>
      <c r="E1015" t="s">
        <v>247</v>
      </c>
      <c r="F1015" t="s">
        <v>948</v>
      </c>
      <c r="G1015">
        <v>1077777</v>
      </c>
      <c r="H1015">
        <v>500465</v>
      </c>
      <c r="I1015" t="s">
        <v>949</v>
      </c>
    </row>
    <row r="1016" spans="1:9" x14ac:dyDescent="0.25">
      <c r="A1016">
        <v>4126</v>
      </c>
      <c r="B1016">
        <v>10</v>
      </c>
      <c r="C1016" t="s">
        <v>946</v>
      </c>
      <c r="D1016" t="s">
        <v>38</v>
      </c>
      <c r="E1016" t="s">
        <v>247</v>
      </c>
      <c r="F1016" t="s">
        <v>948</v>
      </c>
      <c r="G1016">
        <v>1000000</v>
      </c>
      <c r="H1016">
        <v>145000</v>
      </c>
      <c r="I1016" t="s">
        <v>949</v>
      </c>
    </row>
    <row r="1017" spans="1:9" x14ac:dyDescent="0.25">
      <c r="A1017">
        <v>4128</v>
      </c>
      <c r="B1017">
        <v>10</v>
      </c>
      <c r="C1017" t="s">
        <v>946</v>
      </c>
      <c r="D1017" t="s">
        <v>38</v>
      </c>
      <c r="E1017" t="s">
        <v>247</v>
      </c>
      <c r="F1017" t="s">
        <v>948</v>
      </c>
      <c r="G1017">
        <v>1077777</v>
      </c>
      <c r="H1017">
        <v>500460</v>
      </c>
      <c r="I1017" t="s">
        <v>949</v>
      </c>
    </row>
    <row r="1018" spans="1:9" x14ac:dyDescent="0.25">
      <c r="A1018">
        <v>4122</v>
      </c>
      <c r="B1018">
        <v>10</v>
      </c>
      <c r="C1018" t="s">
        <v>946</v>
      </c>
      <c r="D1018" t="s">
        <v>38</v>
      </c>
      <c r="E1018" t="s">
        <v>251</v>
      </c>
      <c r="F1018" t="s">
        <v>948</v>
      </c>
      <c r="G1018">
        <v>1000000</v>
      </c>
      <c r="H1018">
        <v>142000</v>
      </c>
      <c r="I1018" t="s">
        <v>949</v>
      </c>
    </row>
    <row r="1019" spans="1:9" x14ac:dyDescent="0.25">
      <c r="A1019">
        <v>4124</v>
      </c>
      <c r="B1019">
        <v>10</v>
      </c>
      <c r="C1019" t="s">
        <v>946</v>
      </c>
      <c r="D1019" t="s">
        <v>38</v>
      </c>
      <c r="E1019" t="s">
        <v>251</v>
      </c>
      <c r="F1019" t="s">
        <v>948</v>
      </c>
      <c r="G1019">
        <v>1077777</v>
      </c>
      <c r="H1019">
        <v>500465</v>
      </c>
      <c r="I1019" t="s">
        <v>949</v>
      </c>
    </row>
    <row r="1020" spans="1:9" x14ac:dyDescent="0.25">
      <c r="A1020">
        <v>4126</v>
      </c>
      <c r="B1020">
        <v>10</v>
      </c>
      <c r="C1020" t="s">
        <v>946</v>
      </c>
      <c r="D1020" t="s">
        <v>38</v>
      </c>
      <c r="E1020" t="s">
        <v>251</v>
      </c>
      <c r="F1020" t="s">
        <v>948</v>
      </c>
      <c r="G1020">
        <v>1000000</v>
      </c>
      <c r="H1020">
        <v>142000</v>
      </c>
      <c r="I1020" t="s">
        <v>949</v>
      </c>
    </row>
    <row r="1021" spans="1:9" x14ac:dyDescent="0.25">
      <c r="A1021">
        <v>4128</v>
      </c>
      <c r="B1021">
        <v>10</v>
      </c>
      <c r="C1021" t="s">
        <v>946</v>
      </c>
      <c r="D1021" t="s">
        <v>38</v>
      </c>
      <c r="E1021" t="s">
        <v>251</v>
      </c>
      <c r="F1021" t="s">
        <v>948</v>
      </c>
      <c r="G1021">
        <v>1077777</v>
      </c>
      <c r="H1021">
        <v>500460</v>
      </c>
      <c r="I1021" t="s">
        <v>949</v>
      </c>
    </row>
    <row r="1022" spans="1:9" x14ac:dyDescent="0.25">
      <c r="A1022">
        <v>4122</v>
      </c>
      <c r="B1022">
        <v>10</v>
      </c>
      <c r="C1022" t="s">
        <v>946</v>
      </c>
      <c r="D1022" t="s">
        <v>38</v>
      </c>
      <c r="E1022" t="s">
        <v>969</v>
      </c>
      <c r="F1022" t="s">
        <v>948</v>
      </c>
      <c r="G1022">
        <v>1000000</v>
      </c>
      <c r="H1022">
        <v>141000</v>
      </c>
      <c r="I1022" t="s">
        <v>970</v>
      </c>
    </row>
    <row r="1023" spans="1:9" x14ac:dyDescent="0.25">
      <c r="A1023">
        <v>4124</v>
      </c>
      <c r="B1023">
        <v>10</v>
      </c>
      <c r="C1023" t="s">
        <v>946</v>
      </c>
      <c r="D1023" t="s">
        <v>38</v>
      </c>
      <c r="E1023" t="s">
        <v>969</v>
      </c>
      <c r="F1023" t="s">
        <v>948</v>
      </c>
      <c r="G1023">
        <v>1077777</v>
      </c>
      <c r="H1023">
        <v>500465</v>
      </c>
      <c r="I1023" t="s">
        <v>949</v>
      </c>
    </row>
    <row r="1024" spans="1:9" x14ac:dyDescent="0.25">
      <c r="A1024">
        <v>4126</v>
      </c>
      <c r="B1024">
        <v>10</v>
      </c>
      <c r="C1024" t="s">
        <v>946</v>
      </c>
      <c r="D1024" t="s">
        <v>38</v>
      </c>
      <c r="E1024" t="s">
        <v>969</v>
      </c>
      <c r="F1024" t="s">
        <v>948</v>
      </c>
      <c r="G1024">
        <v>1000000</v>
      </c>
      <c r="H1024">
        <v>141000</v>
      </c>
      <c r="I1024" t="s">
        <v>970</v>
      </c>
    </row>
    <row r="1025" spans="1:9" x14ac:dyDescent="0.25">
      <c r="A1025">
        <v>4128</v>
      </c>
      <c r="B1025">
        <v>10</v>
      </c>
      <c r="C1025" t="s">
        <v>946</v>
      </c>
      <c r="D1025" t="s">
        <v>38</v>
      </c>
      <c r="E1025" t="s">
        <v>969</v>
      </c>
      <c r="F1025" t="s">
        <v>948</v>
      </c>
      <c r="G1025">
        <v>1077777</v>
      </c>
      <c r="H1025">
        <v>500460</v>
      </c>
      <c r="I1025" t="s">
        <v>949</v>
      </c>
    </row>
    <row r="1026" spans="1:9" x14ac:dyDescent="0.25">
      <c r="A1026">
        <v>4122</v>
      </c>
      <c r="B1026">
        <v>10</v>
      </c>
      <c r="C1026" t="s">
        <v>946</v>
      </c>
      <c r="D1026" t="s">
        <v>38</v>
      </c>
      <c r="E1026" t="s">
        <v>255</v>
      </c>
      <c r="F1026" t="s">
        <v>948</v>
      </c>
      <c r="G1026">
        <v>1000000</v>
      </c>
      <c r="H1026">
        <v>145000</v>
      </c>
      <c r="I1026" t="s">
        <v>949</v>
      </c>
    </row>
    <row r="1027" spans="1:9" x14ac:dyDescent="0.25">
      <c r="A1027">
        <v>4124</v>
      </c>
      <c r="B1027">
        <v>10</v>
      </c>
      <c r="C1027" t="s">
        <v>946</v>
      </c>
      <c r="D1027" t="s">
        <v>38</v>
      </c>
      <c r="E1027" t="s">
        <v>255</v>
      </c>
      <c r="F1027" t="s">
        <v>948</v>
      </c>
      <c r="G1027">
        <v>1077777</v>
      </c>
      <c r="H1027">
        <v>500465</v>
      </c>
      <c r="I1027" t="s">
        <v>949</v>
      </c>
    </row>
    <row r="1028" spans="1:9" x14ac:dyDescent="0.25">
      <c r="A1028">
        <v>4126</v>
      </c>
      <c r="B1028">
        <v>10</v>
      </c>
      <c r="C1028" t="s">
        <v>946</v>
      </c>
      <c r="D1028" t="s">
        <v>38</v>
      </c>
      <c r="E1028" t="s">
        <v>255</v>
      </c>
      <c r="F1028" t="s">
        <v>948</v>
      </c>
      <c r="G1028">
        <v>1000000</v>
      </c>
      <c r="H1028">
        <v>145000</v>
      </c>
      <c r="I1028" t="s">
        <v>949</v>
      </c>
    </row>
    <row r="1029" spans="1:9" x14ac:dyDescent="0.25">
      <c r="A1029">
        <v>4128</v>
      </c>
      <c r="B1029">
        <v>10</v>
      </c>
      <c r="C1029" t="s">
        <v>946</v>
      </c>
      <c r="D1029" t="s">
        <v>38</v>
      </c>
      <c r="E1029" t="s">
        <v>255</v>
      </c>
      <c r="F1029" t="s">
        <v>948</v>
      </c>
      <c r="G1029">
        <v>1077777</v>
      </c>
      <c r="H1029">
        <v>500460</v>
      </c>
      <c r="I1029" t="s">
        <v>949</v>
      </c>
    </row>
    <row r="1030" spans="1:9" x14ac:dyDescent="0.25">
      <c r="A1030">
        <v>4122</v>
      </c>
      <c r="B1030">
        <v>10</v>
      </c>
      <c r="C1030" t="s">
        <v>946</v>
      </c>
      <c r="D1030" t="s">
        <v>38</v>
      </c>
      <c r="E1030" t="s">
        <v>971</v>
      </c>
      <c r="F1030" t="s">
        <v>948</v>
      </c>
      <c r="G1030">
        <v>1000000</v>
      </c>
      <c r="H1030">
        <v>141000</v>
      </c>
      <c r="I1030" t="s">
        <v>972</v>
      </c>
    </row>
    <row r="1031" spans="1:9" x14ac:dyDescent="0.25">
      <c r="A1031">
        <v>4124</v>
      </c>
      <c r="B1031">
        <v>10</v>
      </c>
      <c r="C1031" t="s">
        <v>946</v>
      </c>
      <c r="D1031" t="s">
        <v>38</v>
      </c>
      <c r="E1031" t="s">
        <v>971</v>
      </c>
      <c r="F1031" t="s">
        <v>948</v>
      </c>
      <c r="G1031">
        <v>1077777</v>
      </c>
      <c r="H1031">
        <v>500465</v>
      </c>
      <c r="I1031" t="s">
        <v>949</v>
      </c>
    </row>
    <row r="1032" spans="1:9" x14ac:dyDescent="0.25">
      <c r="A1032">
        <v>4126</v>
      </c>
      <c r="B1032">
        <v>10</v>
      </c>
      <c r="C1032" t="s">
        <v>946</v>
      </c>
      <c r="D1032" t="s">
        <v>38</v>
      </c>
      <c r="E1032" t="s">
        <v>971</v>
      </c>
      <c r="F1032" t="s">
        <v>948</v>
      </c>
      <c r="G1032">
        <v>1000000</v>
      </c>
      <c r="H1032">
        <v>141000</v>
      </c>
      <c r="I1032" t="s">
        <v>972</v>
      </c>
    </row>
    <row r="1033" spans="1:9" x14ac:dyDescent="0.25">
      <c r="A1033">
        <v>4128</v>
      </c>
      <c r="B1033">
        <v>10</v>
      </c>
      <c r="C1033" t="s">
        <v>946</v>
      </c>
      <c r="D1033" t="s">
        <v>38</v>
      </c>
      <c r="E1033" t="s">
        <v>971</v>
      </c>
      <c r="F1033" t="s">
        <v>948</v>
      </c>
      <c r="G1033">
        <v>1077777</v>
      </c>
      <c r="H1033">
        <v>500460</v>
      </c>
      <c r="I1033" t="s">
        <v>949</v>
      </c>
    </row>
    <row r="1034" spans="1:9" x14ac:dyDescent="0.25">
      <c r="A1034">
        <v>4122</v>
      </c>
      <c r="B1034">
        <v>10</v>
      </c>
      <c r="C1034" t="s">
        <v>946</v>
      </c>
      <c r="D1034" t="s">
        <v>38</v>
      </c>
      <c r="E1034" t="s">
        <v>263</v>
      </c>
      <c r="F1034" t="s">
        <v>948</v>
      </c>
      <c r="G1034">
        <v>1000000</v>
      </c>
      <c r="H1034">
        <v>145000</v>
      </c>
      <c r="I1034" t="s">
        <v>949</v>
      </c>
    </row>
    <row r="1035" spans="1:9" x14ac:dyDescent="0.25">
      <c r="A1035">
        <v>4124</v>
      </c>
      <c r="B1035">
        <v>10</v>
      </c>
      <c r="C1035" t="s">
        <v>946</v>
      </c>
      <c r="D1035" t="s">
        <v>38</v>
      </c>
      <c r="E1035" t="s">
        <v>263</v>
      </c>
      <c r="F1035" t="s">
        <v>948</v>
      </c>
      <c r="G1035">
        <v>1077777</v>
      </c>
      <c r="H1035">
        <v>500465</v>
      </c>
      <c r="I1035" t="s">
        <v>949</v>
      </c>
    </row>
    <row r="1036" spans="1:9" x14ac:dyDescent="0.25">
      <c r="A1036">
        <v>4126</v>
      </c>
      <c r="B1036">
        <v>10</v>
      </c>
      <c r="C1036" t="s">
        <v>946</v>
      </c>
      <c r="D1036" t="s">
        <v>38</v>
      </c>
      <c r="E1036" t="s">
        <v>263</v>
      </c>
      <c r="F1036" t="s">
        <v>948</v>
      </c>
      <c r="G1036">
        <v>1000000</v>
      </c>
      <c r="H1036">
        <v>145000</v>
      </c>
      <c r="I1036" t="s">
        <v>949</v>
      </c>
    </row>
    <row r="1037" spans="1:9" x14ac:dyDescent="0.25">
      <c r="A1037">
        <v>4128</v>
      </c>
      <c r="B1037">
        <v>10</v>
      </c>
      <c r="C1037" t="s">
        <v>946</v>
      </c>
      <c r="D1037" t="s">
        <v>38</v>
      </c>
      <c r="E1037" t="s">
        <v>263</v>
      </c>
      <c r="F1037" t="s">
        <v>948</v>
      </c>
      <c r="G1037">
        <v>1077777</v>
      </c>
      <c r="H1037">
        <v>500460</v>
      </c>
      <c r="I1037" t="s">
        <v>949</v>
      </c>
    </row>
    <row r="1038" spans="1:9" x14ac:dyDescent="0.25">
      <c r="A1038">
        <v>4122</v>
      </c>
      <c r="B1038">
        <v>10</v>
      </c>
      <c r="C1038" t="s">
        <v>946</v>
      </c>
      <c r="D1038" t="s">
        <v>38</v>
      </c>
      <c r="E1038" t="s">
        <v>100</v>
      </c>
      <c r="F1038" t="s">
        <v>948</v>
      </c>
      <c r="G1038">
        <v>1077777</v>
      </c>
      <c r="H1038">
        <v>500220</v>
      </c>
      <c r="I1038" t="s">
        <v>949</v>
      </c>
    </row>
    <row r="1039" spans="1:9" x14ac:dyDescent="0.25">
      <c r="A1039">
        <v>4124</v>
      </c>
      <c r="B1039">
        <v>10</v>
      </c>
      <c r="C1039" t="s">
        <v>946</v>
      </c>
      <c r="D1039" t="s">
        <v>38</v>
      </c>
      <c r="E1039" t="s">
        <v>100</v>
      </c>
      <c r="F1039" t="s">
        <v>948</v>
      </c>
      <c r="G1039">
        <v>1077777</v>
      </c>
      <c r="H1039">
        <v>500221</v>
      </c>
      <c r="I1039" t="s">
        <v>949</v>
      </c>
    </row>
    <row r="1040" spans="1:9" x14ac:dyDescent="0.25">
      <c r="A1040">
        <v>4126</v>
      </c>
      <c r="B1040">
        <v>10</v>
      </c>
      <c r="C1040" t="s">
        <v>946</v>
      </c>
      <c r="D1040" t="s">
        <v>38</v>
      </c>
      <c r="E1040" t="s">
        <v>100</v>
      </c>
      <c r="F1040" t="s">
        <v>948</v>
      </c>
      <c r="G1040">
        <v>1077777</v>
      </c>
      <c r="H1040">
        <v>500220</v>
      </c>
      <c r="I1040" t="s">
        <v>949</v>
      </c>
    </row>
    <row r="1041" spans="1:9" x14ac:dyDescent="0.25">
      <c r="A1041">
        <v>4128</v>
      </c>
      <c r="B1041">
        <v>10</v>
      </c>
      <c r="C1041" t="s">
        <v>946</v>
      </c>
      <c r="D1041" t="s">
        <v>38</v>
      </c>
      <c r="E1041" t="s">
        <v>100</v>
      </c>
      <c r="F1041" t="s">
        <v>948</v>
      </c>
      <c r="G1041">
        <v>1077777</v>
      </c>
      <c r="H1041">
        <v>500221</v>
      </c>
      <c r="I1041" t="s">
        <v>949</v>
      </c>
    </row>
    <row r="1042" spans="1:9" x14ac:dyDescent="0.25">
      <c r="A1042">
        <v>4122</v>
      </c>
      <c r="B1042">
        <v>10</v>
      </c>
      <c r="C1042" t="s">
        <v>946</v>
      </c>
      <c r="D1042" t="s">
        <v>38</v>
      </c>
      <c r="E1042" t="s">
        <v>270</v>
      </c>
      <c r="F1042" t="s">
        <v>948</v>
      </c>
      <c r="G1042">
        <v>1000000</v>
      </c>
      <c r="H1042">
        <v>145000</v>
      </c>
      <c r="I1042" t="s">
        <v>949</v>
      </c>
    </row>
    <row r="1043" spans="1:9" x14ac:dyDescent="0.25">
      <c r="A1043">
        <v>4124</v>
      </c>
      <c r="B1043">
        <v>10</v>
      </c>
      <c r="C1043" t="s">
        <v>946</v>
      </c>
      <c r="D1043" t="s">
        <v>38</v>
      </c>
      <c r="E1043" t="s">
        <v>270</v>
      </c>
      <c r="F1043" t="s">
        <v>948</v>
      </c>
      <c r="G1043">
        <v>1077777</v>
      </c>
      <c r="H1043">
        <v>500465</v>
      </c>
      <c r="I1043" t="s">
        <v>949</v>
      </c>
    </row>
    <row r="1044" spans="1:9" x14ac:dyDescent="0.25">
      <c r="A1044">
        <v>4126</v>
      </c>
      <c r="B1044">
        <v>10</v>
      </c>
      <c r="C1044" t="s">
        <v>946</v>
      </c>
      <c r="D1044" t="s">
        <v>38</v>
      </c>
      <c r="E1044" t="s">
        <v>270</v>
      </c>
      <c r="F1044" t="s">
        <v>948</v>
      </c>
      <c r="G1044">
        <v>1000000</v>
      </c>
      <c r="H1044">
        <v>145000</v>
      </c>
      <c r="I1044" t="s">
        <v>949</v>
      </c>
    </row>
    <row r="1045" spans="1:9" x14ac:dyDescent="0.25">
      <c r="A1045">
        <v>4128</v>
      </c>
      <c r="B1045">
        <v>10</v>
      </c>
      <c r="C1045" t="s">
        <v>946</v>
      </c>
      <c r="D1045" t="s">
        <v>38</v>
      </c>
      <c r="E1045" t="s">
        <v>270</v>
      </c>
      <c r="F1045" t="s">
        <v>948</v>
      </c>
      <c r="G1045">
        <v>1077777</v>
      </c>
      <c r="H1045">
        <v>500460</v>
      </c>
      <c r="I1045" t="s">
        <v>949</v>
      </c>
    </row>
    <row r="1046" spans="1:9" x14ac:dyDescent="0.25">
      <c r="A1046">
        <v>4122</v>
      </c>
      <c r="B1046">
        <v>10</v>
      </c>
      <c r="C1046" t="s">
        <v>946</v>
      </c>
      <c r="D1046" t="s">
        <v>38</v>
      </c>
      <c r="E1046" t="s">
        <v>274</v>
      </c>
      <c r="F1046" t="s">
        <v>948</v>
      </c>
      <c r="G1046">
        <v>1000000</v>
      </c>
      <c r="H1046">
        <v>143000</v>
      </c>
      <c r="I1046" t="s">
        <v>973</v>
      </c>
    </row>
    <row r="1047" spans="1:9" x14ac:dyDescent="0.25">
      <c r="A1047">
        <v>4124</v>
      </c>
      <c r="B1047">
        <v>10</v>
      </c>
      <c r="C1047" t="s">
        <v>946</v>
      </c>
      <c r="D1047" t="s">
        <v>38</v>
      </c>
      <c r="E1047" t="s">
        <v>274</v>
      </c>
      <c r="F1047" t="s">
        <v>948</v>
      </c>
      <c r="G1047">
        <v>1077777</v>
      </c>
      <c r="H1047">
        <v>500465</v>
      </c>
      <c r="I1047" t="s">
        <v>949</v>
      </c>
    </row>
    <row r="1048" spans="1:9" x14ac:dyDescent="0.25">
      <c r="A1048">
        <v>4126</v>
      </c>
      <c r="B1048">
        <v>10</v>
      </c>
      <c r="C1048" t="s">
        <v>946</v>
      </c>
      <c r="D1048" t="s">
        <v>38</v>
      </c>
      <c r="E1048" t="s">
        <v>274</v>
      </c>
      <c r="F1048" t="s">
        <v>948</v>
      </c>
      <c r="G1048">
        <v>1000000</v>
      </c>
      <c r="H1048">
        <v>143000</v>
      </c>
      <c r="I1048" t="s">
        <v>973</v>
      </c>
    </row>
    <row r="1049" spans="1:9" x14ac:dyDescent="0.25">
      <c r="A1049">
        <v>4128</v>
      </c>
      <c r="B1049">
        <v>10</v>
      </c>
      <c r="C1049" t="s">
        <v>946</v>
      </c>
      <c r="D1049" t="s">
        <v>38</v>
      </c>
      <c r="E1049" t="s">
        <v>274</v>
      </c>
      <c r="F1049" t="s">
        <v>948</v>
      </c>
      <c r="G1049">
        <v>1077777</v>
      </c>
      <c r="H1049">
        <v>500460</v>
      </c>
      <c r="I1049" t="s">
        <v>949</v>
      </c>
    </row>
    <row r="1050" spans="1:9" x14ac:dyDescent="0.25">
      <c r="A1050">
        <v>4122</v>
      </c>
      <c r="B1050">
        <v>10</v>
      </c>
      <c r="C1050" t="s">
        <v>946</v>
      </c>
      <c r="D1050" t="s">
        <v>38</v>
      </c>
      <c r="E1050" t="s">
        <v>974</v>
      </c>
      <c r="F1050" t="s">
        <v>948</v>
      </c>
      <c r="G1050">
        <v>1000000</v>
      </c>
      <c r="H1050">
        <v>141000</v>
      </c>
      <c r="I1050" t="s">
        <v>975</v>
      </c>
    </row>
    <row r="1051" spans="1:9" x14ac:dyDescent="0.25">
      <c r="A1051">
        <v>4124</v>
      </c>
      <c r="B1051">
        <v>10</v>
      </c>
      <c r="C1051" t="s">
        <v>946</v>
      </c>
      <c r="D1051" t="s">
        <v>38</v>
      </c>
      <c r="E1051" t="s">
        <v>974</v>
      </c>
      <c r="F1051" t="s">
        <v>948</v>
      </c>
      <c r="G1051">
        <v>1077777</v>
      </c>
      <c r="H1051">
        <v>500465</v>
      </c>
      <c r="I1051" t="s">
        <v>949</v>
      </c>
    </row>
    <row r="1052" spans="1:9" x14ac:dyDescent="0.25">
      <c r="A1052">
        <v>4126</v>
      </c>
      <c r="B1052">
        <v>10</v>
      </c>
      <c r="C1052" t="s">
        <v>946</v>
      </c>
      <c r="D1052" t="s">
        <v>38</v>
      </c>
      <c r="E1052" t="s">
        <v>974</v>
      </c>
      <c r="F1052" t="s">
        <v>948</v>
      </c>
      <c r="G1052">
        <v>1000000</v>
      </c>
      <c r="H1052">
        <v>141000</v>
      </c>
      <c r="I1052" t="s">
        <v>975</v>
      </c>
    </row>
    <row r="1053" spans="1:9" x14ac:dyDescent="0.25">
      <c r="A1053">
        <v>4128</v>
      </c>
      <c r="B1053">
        <v>10</v>
      </c>
      <c r="C1053" t="s">
        <v>946</v>
      </c>
      <c r="D1053" t="s">
        <v>38</v>
      </c>
      <c r="E1053" t="s">
        <v>974</v>
      </c>
      <c r="F1053" t="s">
        <v>948</v>
      </c>
      <c r="G1053">
        <v>1077777</v>
      </c>
      <c r="H1053">
        <v>500460</v>
      </c>
      <c r="I1053" t="s">
        <v>949</v>
      </c>
    </row>
    <row r="1054" spans="1:9" x14ac:dyDescent="0.25">
      <c r="A1054">
        <v>4122</v>
      </c>
      <c r="B1054">
        <v>10</v>
      </c>
      <c r="C1054" t="s">
        <v>946</v>
      </c>
      <c r="D1054" t="s">
        <v>38</v>
      </c>
      <c r="E1054" t="s">
        <v>104</v>
      </c>
      <c r="F1054" t="s">
        <v>948</v>
      </c>
      <c r="G1054">
        <v>1077777</v>
      </c>
      <c r="H1054">
        <v>500220</v>
      </c>
      <c r="I1054" t="s">
        <v>949</v>
      </c>
    </row>
    <row r="1055" spans="1:9" x14ac:dyDescent="0.25">
      <c r="A1055">
        <v>4124</v>
      </c>
      <c r="B1055">
        <v>10</v>
      </c>
      <c r="C1055" t="s">
        <v>946</v>
      </c>
      <c r="D1055" t="s">
        <v>38</v>
      </c>
      <c r="E1055" t="s">
        <v>104</v>
      </c>
      <c r="F1055" t="s">
        <v>948</v>
      </c>
      <c r="G1055">
        <v>1077777</v>
      </c>
      <c r="H1055">
        <v>500221</v>
      </c>
      <c r="I1055" t="s">
        <v>949</v>
      </c>
    </row>
    <row r="1056" spans="1:9" x14ac:dyDescent="0.25">
      <c r="A1056">
        <v>4126</v>
      </c>
      <c r="B1056">
        <v>10</v>
      </c>
      <c r="C1056" t="s">
        <v>946</v>
      </c>
      <c r="D1056" t="s">
        <v>38</v>
      </c>
      <c r="E1056" t="s">
        <v>104</v>
      </c>
      <c r="F1056" t="s">
        <v>948</v>
      </c>
      <c r="G1056">
        <v>1077777</v>
      </c>
      <c r="H1056">
        <v>500220</v>
      </c>
      <c r="I1056" t="s">
        <v>949</v>
      </c>
    </row>
    <row r="1057" spans="1:9" x14ac:dyDescent="0.25">
      <c r="A1057">
        <v>4128</v>
      </c>
      <c r="B1057">
        <v>10</v>
      </c>
      <c r="C1057" t="s">
        <v>946</v>
      </c>
      <c r="D1057" t="s">
        <v>38</v>
      </c>
      <c r="E1057" t="s">
        <v>104</v>
      </c>
      <c r="F1057" t="s">
        <v>948</v>
      </c>
      <c r="G1057">
        <v>1077777</v>
      </c>
      <c r="H1057">
        <v>500221</v>
      </c>
      <c r="I1057" t="s">
        <v>949</v>
      </c>
    </row>
    <row r="1058" spans="1:9" x14ac:dyDescent="0.25">
      <c r="A1058">
        <v>4122</v>
      </c>
      <c r="B1058">
        <v>10</v>
      </c>
      <c r="C1058" t="s">
        <v>946</v>
      </c>
      <c r="D1058" t="s">
        <v>38</v>
      </c>
      <c r="E1058" t="s">
        <v>278</v>
      </c>
      <c r="F1058" t="s">
        <v>948</v>
      </c>
      <c r="G1058">
        <v>1000000</v>
      </c>
      <c r="H1058">
        <v>145000</v>
      </c>
      <c r="I1058" t="s">
        <v>949</v>
      </c>
    </row>
    <row r="1059" spans="1:9" x14ac:dyDescent="0.25">
      <c r="A1059">
        <v>4124</v>
      </c>
      <c r="B1059">
        <v>10</v>
      </c>
      <c r="C1059" t="s">
        <v>946</v>
      </c>
      <c r="D1059" t="s">
        <v>38</v>
      </c>
      <c r="E1059" t="s">
        <v>278</v>
      </c>
      <c r="F1059" t="s">
        <v>948</v>
      </c>
      <c r="G1059">
        <v>1077777</v>
      </c>
      <c r="H1059">
        <v>500465</v>
      </c>
      <c r="I1059" t="s">
        <v>949</v>
      </c>
    </row>
    <row r="1060" spans="1:9" x14ac:dyDescent="0.25">
      <c r="A1060">
        <v>4126</v>
      </c>
      <c r="B1060">
        <v>10</v>
      </c>
      <c r="C1060" t="s">
        <v>946</v>
      </c>
      <c r="D1060" t="s">
        <v>38</v>
      </c>
      <c r="E1060" t="s">
        <v>278</v>
      </c>
      <c r="F1060" t="s">
        <v>948</v>
      </c>
      <c r="G1060">
        <v>1000000</v>
      </c>
      <c r="H1060">
        <v>145000</v>
      </c>
      <c r="I1060" t="s">
        <v>949</v>
      </c>
    </row>
    <row r="1061" spans="1:9" x14ac:dyDescent="0.25">
      <c r="A1061">
        <v>4128</v>
      </c>
      <c r="B1061">
        <v>10</v>
      </c>
      <c r="C1061" t="s">
        <v>946</v>
      </c>
      <c r="D1061" t="s">
        <v>38</v>
      </c>
      <c r="E1061" t="s">
        <v>278</v>
      </c>
      <c r="F1061" t="s">
        <v>948</v>
      </c>
      <c r="G1061">
        <v>1077777</v>
      </c>
      <c r="H1061">
        <v>500460</v>
      </c>
      <c r="I1061" t="s">
        <v>949</v>
      </c>
    </row>
    <row r="1062" spans="1:9" x14ac:dyDescent="0.25">
      <c r="A1062">
        <v>4122</v>
      </c>
      <c r="B1062">
        <v>10</v>
      </c>
      <c r="C1062" t="s">
        <v>946</v>
      </c>
      <c r="D1062" t="s">
        <v>38</v>
      </c>
      <c r="E1062" t="s">
        <v>282</v>
      </c>
      <c r="F1062" t="s">
        <v>948</v>
      </c>
      <c r="G1062">
        <v>1000000</v>
      </c>
      <c r="H1062">
        <v>143100</v>
      </c>
      <c r="I1062" t="s">
        <v>949</v>
      </c>
    </row>
    <row r="1063" spans="1:9" x14ac:dyDescent="0.25">
      <c r="A1063">
        <v>4124</v>
      </c>
      <c r="B1063">
        <v>10</v>
      </c>
      <c r="C1063" t="s">
        <v>946</v>
      </c>
      <c r="D1063" t="s">
        <v>38</v>
      </c>
      <c r="E1063" t="s">
        <v>282</v>
      </c>
      <c r="F1063" t="s">
        <v>948</v>
      </c>
      <c r="G1063">
        <v>1077777</v>
      </c>
      <c r="H1063">
        <v>500465</v>
      </c>
      <c r="I1063" t="s">
        <v>949</v>
      </c>
    </row>
    <row r="1064" spans="1:9" x14ac:dyDescent="0.25">
      <c r="A1064">
        <v>4126</v>
      </c>
      <c r="B1064">
        <v>10</v>
      </c>
      <c r="C1064" t="s">
        <v>946</v>
      </c>
      <c r="D1064" t="s">
        <v>38</v>
      </c>
      <c r="E1064" t="s">
        <v>282</v>
      </c>
      <c r="F1064" t="s">
        <v>948</v>
      </c>
      <c r="G1064">
        <v>1000000</v>
      </c>
      <c r="H1064">
        <v>143100</v>
      </c>
      <c r="I1064" t="s">
        <v>949</v>
      </c>
    </row>
    <row r="1065" spans="1:9" x14ac:dyDescent="0.25">
      <c r="A1065">
        <v>4128</v>
      </c>
      <c r="B1065">
        <v>10</v>
      </c>
      <c r="C1065" t="s">
        <v>946</v>
      </c>
      <c r="D1065" t="s">
        <v>38</v>
      </c>
      <c r="E1065" t="s">
        <v>282</v>
      </c>
      <c r="F1065" t="s">
        <v>948</v>
      </c>
      <c r="G1065">
        <v>1077777</v>
      </c>
      <c r="H1065">
        <v>500460</v>
      </c>
      <c r="I1065" t="s">
        <v>949</v>
      </c>
    </row>
    <row r="1066" ht="22" customHeight="1" spans="1:10" x14ac:dyDescent="0.25">
      <c r="A1066" s="41">
        <v>4122</v>
      </c>
      <c r="B1066" s="41">
        <v>10</v>
      </c>
      <c r="C1066" s="41" t="s">
        <v>946</v>
      </c>
      <c r="D1066" s="41" t="s">
        <v>38</v>
      </c>
      <c r="E1066" s="41" t="s">
        <v>39</v>
      </c>
      <c r="F1066" s="41" t="s">
        <v>948</v>
      </c>
      <c r="G1066" s="41">
        <v>1077777</v>
      </c>
      <c r="H1066" s="41">
        <v>501090</v>
      </c>
      <c r="I1066" s="41" t="s">
        <v>949</v>
      </c>
      <c r="J1066" s="42" t="s">
        <v>996</v>
      </c>
    </row>
    <row r="1067" ht="22" customHeight="1" spans="1:10" x14ac:dyDescent="0.25">
      <c r="A1067" s="41">
        <v>4124</v>
      </c>
      <c r="B1067" s="41">
        <v>10</v>
      </c>
      <c r="C1067" s="41" t="s">
        <v>946</v>
      </c>
      <c r="D1067" s="41" t="s">
        <v>38</v>
      </c>
      <c r="E1067" s="41" t="s">
        <v>39</v>
      </c>
      <c r="F1067" s="41" t="s">
        <v>948</v>
      </c>
      <c r="G1067" s="41">
        <v>1077777</v>
      </c>
      <c r="H1067" s="41">
        <v>501090</v>
      </c>
      <c r="I1067" s="41" t="s">
        <v>949</v>
      </c>
      <c r="J1067" s="42" t="s">
        <v>997</v>
      </c>
    </row>
    <row r="1068" spans="1:9" x14ac:dyDescent="0.25">
      <c r="A1068">
        <v>4122</v>
      </c>
      <c r="B1068">
        <v>10</v>
      </c>
      <c r="C1068" t="s">
        <v>946</v>
      </c>
      <c r="D1068" t="s">
        <v>38</v>
      </c>
      <c r="E1068" t="s">
        <v>286</v>
      </c>
      <c r="F1068" t="s">
        <v>948</v>
      </c>
      <c r="G1068">
        <v>1000000</v>
      </c>
      <c r="H1068">
        <v>145000</v>
      </c>
      <c r="I1068" t="s">
        <v>949</v>
      </c>
    </row>
    <row r="1069" spans="1:9" x14ac:dyDescent="0.25">
      <c r="A1069">
        <v>4124</v>
      </c>
      <c r="B1069">
        <v>10</v>
      </c>
      <c r="C1069" t="s">
        <v>946</v>
      </c>
      <c r="D1069" t="s">
        <v>38</v>
      </c>
      <c r="E1069" t="s">
        <v>286</v>
      </c>
      <c r="F1069" t="s">
        <v>948</v>
      </c>
      <c r="G1069">
        <v>1077777</v>
      </c>
      <c r="H1069">
        <v>500465</v>
      </c>
      <c r="I1069" t="s">
        <v>949</v>
      </c>
    </row>
    <row r="1070" spans="1:9" x14ac:dyDescent="0.25">
      <c r="A1070">
        <v>4126</v>
      </c>
      <c r="B1070">
        <v>10</v>
      </c>
      <c r="C1070" t="s">
        <v>946</v>
      </c>
      <c r="D1070" t="s">
        <v>38</v>
      </c>
      <c r="E1070" t="s">
        <v>286</v>
      </c>
      <c r="F1070" t="s">
        <v>948</v>
      </c>
      <c r="G1070">
        <v>1000000</v>
      </c>
      <c r="H1070">
        <v>145000</v>
      </c>
      <c r="I1070" t="s">
        <v>949</v>
      </c>
    </row>
    <row r="1071" spans="1:9" x14ac:dyDescent="0.25">
      <c r="A1071">
        <v>4128</v>
      </c>
      <c r="B1071">
        <v>10</v>
      </c>
      <c r="C1071" t="s">
        <v>946</v>
      </c>
      <c r="D1071" t="s">
        <v>38</v>
      </c>
      <c r="E1071" t="s">
        <v>286</v>
      </c>
      <c r="F1071" t="s">
        <v>948</v>
      </c>
      <c r="G1071">
        <v>1077777</v>
      </c>
      <c r="H1071">
        <v>500460</v>
      </c>
      <c r="I1071" t="s">
        <v>949</v>
      </c>
    </row>
    <row r="1072" spans="1:9" x14ac:dyDescent="0.25">
      <c r="A1072">
        <v>4122</v>
      </c>
      <c r="B1072">
        <v>10</v>
      </c>
      <c r="C1072" t="s">
        <v>946</v>
      </c>
      <c r="D1072" t="s">
        <v>38</v>
      </c>
      <c r="E1072" t="s">
        <v>976</v>
      </c>
      <c r="F1072" t="s">
        <v>948</v>
      </c>
      <c r="G1072">
        <v>1000000</v>
      </c>
      <c r="H1072">
        <v>141000</v>
      </c>
      <c r="I1072" t="s">
        <v>977</v>
      </c>
    </row>
    <row r="1073" spans="1:9" x14ac:dyDescent="0.25">
      <c r="A1073">
        <v>4124</v>
      </c>
      <c r="B1073">
        <v>10</v>
      </c>
      <c r="C1073" t="s">
        <v>946</v>
      </c>
      <c r="D1073" t="s">
        <v>38</v>
      </c>
      <c r="E1073" t="s">
        <v>976</v>
      </c>
      <c r="F1073" t="s">
        <v>948</v>
      </c>
      <c r="G1073">
        <v>1077777</v>
      </c>
      <c r="H1073">
        <v>500465</v>
      </c>
      <c r="I1073" t="s">
        <v>949</v>
      </c>
    </row>
    <row r="1074" spans="1:9" x14ac:dyDescent="0.25">
      <c r="A1074">
        <v>4126</v>
      </c>
      <c r="B1074">
        <v>10</v>
      </c>
      <c r="C1074" t="s">
        <v>946</v>
      </c>
      <c r="D1074" t="s">
        <v>38</v>
      </c>
      <c r="E1074" t="s">
        <v>976</v>
      </c>
      <c r="F1074" t="s">
        <v>948</v>
      </c>
      <c r="G1074">
        <v>1000000</v>
      </c>
      <c r="H1074">
        <v>141000</v>
      </c>
      <c r="I1074" t="s">
        <v>977</v>
      </c>
    </row>
    <row r="1075" spans="1:9" x14ac:dyDescent="0.25">
      <c r="A1075">
        <v>4128</v>
      </c>
      <c r="B1075">
        <v>10</v>
      </c>
      <c r="C1075" t="s">
        <v>946</v>
      </c>
      <c r="D1075" t="s">
        <v>38</v>
      </c>
      <c r="E1075" t="s">
        <v>976</v>
      </c>
      <c r="F1075" t="s">
        <v>948</v>
      </c>
      <c r="G1075">
        <v>1077777</v>
      </c>
      <c r="H1075">
        <v>500460</v>
      </c>
      <c r="I1075" t="s">
        <v>949</v>
      </c>
    </row>
    <row r="1076" spans="1:9" x14ac:dyDescent="0.25">
      <c r="A1076">
        <v>4122</v>
      </c>
      <c r="B1076">
        <v>10</v>
      </c>
      <c r="C1076" t="s">
        <v>946</v>
      </c>
      <c r="D1076" t="s">
        <v>38</v>
      </c>
      <c r="E1076" t="s">
        <v>290</v>
      </c>
      <c r="F1076" t="s">
        <v>948</v>
      </c>
      <c r="G1076">
        <v>1000000</v>
      </c>
      <c r="H1076">
        <v>143000</v>
      </c>
      <c r="I1076" t="s">
        <v>978</v>
      </c>
    </row>
    <row r="1077" spans="1:9" x14ac:dyDescent="0.25">
      <c r="A1077">
        <v>4124</v>
      </c>
      <c r="B1077">
        <v>10</v>
      </c>
      <c r="C1077" t="s">
        <v>946</v>
      </c>
      <c r="D1077" t="s">
        <v>38</v>
      </c>
      <c r="E1077" t="s">
        <v>290</v>
      </c>
      <c r="F1077" t="s">
        <v>948</v>
      </c>
      <c r="G1077">
        <v>1077777</v>
      </c>
      <c r="H1077">
        <v>500465</v>
      </c>
      <c r="I1077" t="s">
        <v>949</v>
      </c>
    </row>
    <row r="1078" spans="1:9" x14ac:dyDescent="0.25">
      <c r="A1078">
        <v>4126</v>
      </c>
      <c r="B1078">
        <v>10</v>
      </c>
      <c r="C1078" t="s">
        <v>946</v>
      </c>
      <c r="D1078" t="s">
        <v>38</v>
      </c>
      <c r="E1078" t="s">
        <v>290</v>
      </c>
      <c r="F1078" t="s">
        <v>948</v>
      </c>
      <c r="G1078">
        <v>1000000</v>
      </c>
      <c r="H1078">
        <v>143000</v>
      </c>
      <c r="I1078" t="s">
        <v>978</v>
      </c>
    </row>
    <row r="1079" spans="1:9" x14ac:dyDescent="0.25">
      <c r="A1079">
        <v>4128</v>
      </c>
      <c r="B1079">
        <v>10</v>
      </c>
      <c r="C1079" t="s">
        <v>946</v>
      </c>
      <c r="D1079" t="s">
        <v>38</v>
      </c>
      <c r="E1079" t="s">
        <v>290</v>
      </c>
      <c r="F1079" t="s">
        <v>948</v>
      </c>
      <c r="G1079">
        <v>1077777</v>
      </c>
      <c r="H1079">
        <v>500460</v>
      </c>
      <c r="I1079" t="s">
        <v>949</v>
      </c>
    </row>
    <row r="1080" spans="1:9" x14ac:dyDescent="0.25">
      <c r="A1080">
        <v>4122</v>
      </c>
      <c r="B1080">
        <v>10</v>
      </c>
      <c r="C1080" t="s">
        <v>946</v>
      </c>
      <c r="D1080" t="s">
        <v>38</v>
      </c>
      <c r="E1080" t="s">
        <v>294</v>
      </c>
      <c r="F1080" t="s">
        <v>948</v>
      </c>
      <c r="G1080">
        <v>1000000</v>
      </c>
      <c r="H1080">
        <v>143000</v>
      </c>
      <c r="I1080" t="s">
        <v>979</v>
      </c>
    </row>
    <row r="1081" spans="1:9" x14ac:dyDescent="0.25">
      <c r="A1081">
        <v>4124</v>
      </c>
      <c r="B1081">
        <v>10</v>
      </c>
      <c r="C1081" t="s">
        <v>946</v>
      </c>
      <c r="D1081" t="s">
        <v>38</v>
      </c>
      <c r="E1081" t="s">
        <v>294</v>
      </c>
      <c r="F1081" t="s">
        <v>948</v>
      </c>
      <c r="G1081">
        <v>1077777</v>
      </c>
      <c r="H1081">
        <v>500465</v>
      </c>
      <c r="I1081" t="s">
        <v>949</v>
      </c>
    </row>
    <row r="1082" spans="1:9" x14ac:dyDescent="0.25">
      <c r="A1082">
        <v>4126</v>
      </c>
      <c r="B1082">
        <v>10</v>
      </c>
      <c r="C1082" t="s">
        <v>946</v>
      </c>
      <c r="D1082" t="s">
        <v>38</v>
      </c>
      <c r="E1082" t="s">
        <v>294</v>
      </c>
      <c r="F1082" t="s">
        <v>948</v>
      </c>
      <c r="G1082">
        <v>1000000</v>
      </c>
      <c r="H1082">
        <v>143000</v>
      </c>
      <c r="I1082" t="s">
        <v>979</v>
      </c>
    </row>
    <row r="1083" spans="1:9" x14ac:dyDescent="0.25">
      <c r="A1083">
        <v>4128</v>
      </c>
      <c r="B1083">
        <v>10</v>
      </c>
      <c r="C1083" t="s">
        <v>946</v>
      </c>
      <c r="D1083" t="s">
        <v>38</v>
      </c>
      <c r="E1083" t="s">
        <v>294</v>
      </c>
      <c r="F1083" t="s">
        <v>948</v>
      </c>
      <c r="G1083">
        <v>1077777</v>
      </c>
      <c r="H1083">
        <v>500460</v>
      </c>
      <c r="I1083" t="s">
        <v>949</v>
      </c>
    </row>
    <row r="1084" spans="1:9" x14ac:dyDescent="0.25">
      <c r="A1084">
        <v>4122</v>
      </c>
      <c r="B1084">
        <v>10</v>
      </c>
      <c r="C1084" t="s">
        <v>946</v>
      </c>
      <c r="D1084" t="s">
        <v>38</v>
      </c>
      <c r="E1084" t="s">
        <v>980</v>
      </c>
      <c r="F1084" t="s">
        <v>948</v>
      </c>
      <c r="G1084">
        <v>1000000</v>
      </c>
      <c r="H1084">
        <v>141000</v>
      </c>
      <c r="I1084" t="s">
        <v>981</v>
      </c>
    </row>
    <row r="1085" spans="1:9" x14ac:dyDescent="0.25">
      <c r="A1085">
        <v>4124</v>
      </c>
      <c r="B1085">
        <v>10</v>
      </c>
      <c r="C1085" t="s">
        <v>946</v>
      </c>
      <c r="D1085" t="s">
        <v>38</v>
      </c>
      <c r="E1085" t="s">
        <v>980</v>
      </c>
      <c r="F1085" t="s">
        <v>948</v>
      </c>
      <c r="G1085">
        <v>1077777</v>
      </c>
      <c r="H1085">
        <v>500465</v>
      </c>
      <c r="I1085" t="s">
        <v>949</v>
      </c>
    </row>
    <row r="1086" spans="1:9" x14ac:dyDescent="0.25">
      <c r="A1086">
        <v>4126</v>
      </c>
      <c r="B1086">
        <v>10</v>
      </c>
      <c r="C1086" t="s">
        <v>946</v>
      </c>
      <c r="D1086" t="s">
        <v>38</v>
      </c>
      <c r="E1086" t="s">
        <v>980</v>
      </c>
      <c r="F1086" t="s">
        <v>948</v>
      </c>
      <c r="G1086">
        <v>1000000</v>
      </c>
      <c r="H1086">
        <v>141000</v>
      </c>
      <c r="I1086" t="s">
        <v>981</v>
      </c>
    </row>
    <row r="1087" spans="1:9" x14ac:dyDescent="0.25">
      <c r="A1087">
        <v>4128</v>
      </c>
      <c r="B1087">
        <v>10</v>
      </c>
      <c r="C1087" t="s">
        <v>946</v>
      </c>
      <c r="D1087" t="s">
        <v>38</v>
      </c>
      <c r="E1087" t="s">
        <v>980</v>
      </c>
      <c r="F1087" t="s">
        <v>948</v>
      </c>
      <c r="G1087">
        <v>1077777</v>
      </c>
      <c r="H1087">
        <v>500460</v>
      </c>
      <c r="I1087" t="s">
        <v>949</v>
      </c>
    </row>
    <row r="1088" spans="1:9" x14ac:dyDescent="0.25">
      <c r="A1088">
        <v>4122</v>
      </c>
      <c r="B1088">
        <v>10</v>
      </c>
      <c r="C1088" t="s">
        <v>946</v>
      </c>
      <c r="D1088" t="s">
        <v>38</v>
      </c>
      <c r="E1088" t="s">
        <v>302</v>
      </c>
      <c r="F1088" t="s">
        <v>948</v>
      </c>
      <c r="G1088">
        <v>1000000</v>
      </c>
      <c r="H1088">
        <v>143000</v>
      </c>
      <c r="I1088" t="s">
        <v>982</v>
      </c>
    </row>
    <row r="1089" spans="1:9" x14ac:dyDescent="0.25">
      <c r="A1089">
        <v>4124</v>
      </c>
      <c r="B1089">
        <v>10</v>
      </c>
      <c r="C1089" t="s">
        <v>946</v>
      </c>
      <c r="D1089" t="s">
        <v>38</v>
      </c>
      <c r="E1089" t="s">
        <v>302</v>
      </c>
      <c r="F1089" t="s">
        <v>948</v>
      </c>
      <c r="G1089">
        <v>1077777</v>
      </c>
      <c r="H1089">
        <v>500465</v>
      </c>
      <c r="I1089" t="s">
        <v>949</v>
      </c>
    </row>
    <row r="1090" spans="1:9" x14ac:dyDescent="0.25">
      <c r="A1090">
        <v>4126</v>
      </c>
      <c r="B1090">
        <v>10</v>
      </c>
      <c r="C1090" t="s">
        <v>946</v>
      </c>
      <c r="D1090" t="s">
        <v>38</v>
      </c>
      <c r="E1090" t="s">
        <v>302</v>
      </c>
      <c r="F1090" t="s">
        <v>948</v>
      </c>
      <c r="G1090">
        <v>1000000</v>
      </c>
      <c r="H1090">
        <v>143000</v>
      </c>
      <c r="I1090" t="s">
        <v>982</v>
      </c>
    </row>
    <row r="1091" spans="1:9" x14ac:dyDescent="0.25">
      <c r="A1091">
        <v>4128</v>
      </c>
      <c r="B1091">
        <v>10</v>
      </c>
      <c r="C1091" t="s">
        <v>946</v>
      </c>
      <c r="D1091" t="s">
        <v>38</v>
      </c>
      <c r="E1091" t="s">
        <v>302</v>
      </c>
      <c r="F1091" t="s">
        <v>948</v>
      </c>
      <c r="G1091">
        <v>1077777</v>
      </c>
      <c r="H1091">
        <v>500460</v>
      </c>
      <c r="I1091" t="s">
        <v>949</v>
      </c>
    </row>
    <row r="1092" spans="1:9" x14ac:dyDescent="0.25">
      <c r="A1092">
        <v>4122</v>
      </c>
      <c r="B1092">
        <v>10</v>
      </c>
      <c r="C1092" t="s">
        <v>946</v>
      </c>
      <c r="D1092" t="s">
        <v>38</v>
      </c>
      <c r="E1092" t="s">
        <v>306</v>
      </c>
      <c r="F1092" t="s">
        <v>948</v>
      </c>
      <c r="G1092">
        <v>1000000</v>
      </c>
      <c r="H1092">
        <v>143000</v>
      </c>
      <c r="I1092" t="s">
        <v>983</v>
      </c>
    </row>
    <row r="1093" spans="1:9" x14ac:dyDescent="0.25">
      <c r="A1093">
        <v>4124</v>
      </c>
      <c r="B1093">
        <v>10</v>
      </c>
      <c r="C1093" t="s">
        <v>946</v>
      </c>
      <c r="D1093" t="s">
        <v>38</v>
      </c>
      <c r="E1093" t="s">
        <v>306</v>
      </c>
      <c r="F1093" t="s">
        <v>948</v>
      </c>
      <c r="G1093">
        <v>1077777</v>
      </c>
      <c r="H1093">
        <v>500465</v>
      </c>
      <c r="I1093" t="s">
        <v>949</v>
      </c>
    </row>
    <row r="1094" spans="1:9" x14ac:dyDescent="0.25">
      <c r="A1094">
        <v>4126</v>
      </c>
      <c r="B1094">
        <v>10</v>
      </c>
      <c r="C1094" t="s">
        <v>946</v>
      </c>
      <c r="D1094" t="s">
        <v>38</v>
      </c>
      <c r="E1094" t="s">
        <v>306</v>
      </c>
      <c r="F1094" t="s">
        <v>948</v>
      </c>
      <c r="G1094">
        <v>1000000</v>
      </c>
      <c r="H1094">
        <v>143000</v>
      </c>
      <c r="I1094" t="s">
        <v>983</v>
      </c>
    </row>
    <row r="1095" spans="1:9" x14ac:dyDescent="0.25">
      <c r="A1095">
        <v>4128</v>
      </c>
      <c r="B1095">
        <v>10</v>
      </c>
      <c r="C1095" t="s">
        <v>946</v>
      </c>
      <c r="D1095" t="s">
        <v>38</v>
      </c>
      <c r="E1095" t="s">
        <v>306</v>
      </c>
      <c r="F1095" t="s">
        <v>948</v>
      </c>
      <c r="G1095">
        <v>1077777</v>
      </c>
      <c r="H1095">
        <v>500460</v>
      </c>
      <c r="I1095" t="s">
        <v>949</v>
      </c>
    </row>
    <row r="1096" spans="1:9" x14ac:dyDescent="0.25">
      <c r="A1096">
        <v>4122</v>
      </c>
      <c r="B1096">
        <v>10</v>
      </c>
      <c r="C1096" t="s">
        <v>946</v>
      </c>
      <c r="D1096" t="s">
        <v>38</v>
      </c>
      <c r="E1096" t="s">
        <v>108</v>
      </c>
      <c r="F1096" t="s">
        <v>948</v>
      </c>
      <c r="G1096">
        <v>1077777</v>
      </c>
      <c r="H1096">
        <v>500220</v>
      </c>
      <c r="I1096" t="s">
        <v>949</v>
      </c>
    </row>
    <row r="1097" spans="1:9" x14ac:dyDescent="0.25">
      <c r="A1097">
        <v>4124</v>
      </c>
      <c r="B1097">
        <v>10</v>
      </c>
      <c r="C1097" t="s">
        <v>946</v>
      </c>
      <c r="D1097" t="s">
        <v>38</v>
      </c>
      <c r="E1097" t="s">
        <v>108</v>
      </c>
      <c r="F1097" t="s">
        <v>948</v>
      </c>
      <c r="G1097">
        <v>1077777</v>
      </c>
      <c r="H1097">
        <v>500221</v>
      </c>
      <c r="I1097" t="s">
        <v>949</v>
      </c>
    </row>
    <row r="1098" spans="1:9" x14ac:dyDescent="0.25">
      <c r="A1098">
        <v>4126</v>
      </c>
      <c r="B1098">
        <v>10</v>
      </c>
      <c r="C1098" t="s">
        <v>946</v>
      </c>
      <c r="D1098" t="s">
        <v>38</v>
      </c>
      <c r="E1098" t="s">
        <v>108</v>
      </c>
      <c r="F1098" t="s">
        <v>948</v>
      </c>
      <c r="G1098">
        <v>1077777</v>
      </c>
      <c r="H1098">
        <v>500220</v>
      </c>
      <c r="I1098" t="s">
        <v>949</v>
      </c>
    </row>
    <row r="1099" spans="1:9" x14ac:dyDescent="0.25">
      <c r="A1099">
        <v>4128</v>
      </c>
      <c r="B1099">
        <v>10</v>
      </c>
      <c r="C1099" t="s">
        <v>946</v>
      </c>
      <c r="D1099" t="s">
        <v>38</v>
      </c>
      <c r="E1099" t="s">
        <v>108</v>
      </c>
      <c r="F1099" t="s">
        <v>948</v>
      </c>
      <c r="G1099">
        <v>1077777</v>
      </c>
      <c r="H1099">
        <v>500221</v>
      </c>
      <c r="I1099" t="s">
        <v>949</v>
      </c>
    </row>
    <row r="1100" spans="1:9" x14ac:dyDescent="0.25">
      <c r="A1100">
        <v>4122</v>
      </c>
      <c r="B1100">
        <v>10</v>
      </c>
      <c r="C1100" t="s">
        <v>946</v>
      </c>
      <c r="D1100" t="s">
        <v>38</v>
      </c>
      <c r="E1100" t="s">
        <v>310</v>
      </c>
      <c r="F1100" t="s">
        <v>948</v>
      </c>
      <c r="G1100">
        <v>1000000</v>
      </c>
      <c r="H1100">
        <v>145000</v>
      </c>
      <c r="I1100" t="s">
        <v>949</v>
      </c>
    </row>
    <row r="1101" spans="1:9" x14ac:dyDescent="0.25">
      <c r="A1101">
        <v>4124</v>
      </c>
      <c r="B1101">
        <v>10</v>
      </c>
      <c r="C1101" t="s">
        <v>946</v>
      </c>
      <c r="D1101" t="s">
        <v>38</v>
      </c>
      <c r="E1101" t="s">
        <v>310</v>
      </c>
      <c r="F1101" t="s">
        <v>948</v>
      </c>
      <c r="G1101">
        <v>1077777</v>
      </c>
      <c r="H1101">
        <v>500465</v>
      </c>
      <c r="I1101" t="s">
        <v>949</v>
      </c>
    </row>
    <row r="1102" spans="1:9" x14ac:dyDescent="0.25">
      <c r="A1102">
        <v>4126</v>
      </c>
      <c r="B1102">
        <v>10</v>
      </c>
      <c r="C1102" t="s">
        <v>946</v>
      </c>
      <c r="D1102" t="s">
        <v>38</v>
      </c>
      <c r="E1102" t="s">
        <v>310</v>
      </c>
      <c r="F1102" t="s">
        <v>948</v>
      </c>
      <c r="G1102">
        <v>1000000</v>
      </c>
      <c r="H1102">
        <v>145000</v>
      </c>
      <c r="I1102" t="s">
        <v>949</v>
      </c>
    </row>
    <row r="1103" spans="1:9" x14ac:dyDescent="0.25">
      <c r="A1103">
        <v>4128</v>
      </c>
      <c r="B1103">
        <v>10</v>
      </c>
      <c r="C1103" t="s">
        <v>946</v>
      </c>
      <c r="D1103" t="s">
        <v>38</v>
      </c>
      <c r="E1103" t="s">
        <v>310</v>
      </c>
      <c r="F1103" t="s">
        <v>948</v>
      </c>
      <c r="G1103">
        <v>1077777</v>
      </c>
      <c r="H1103">
        <v>500460</v>
      </c>
      <c r="I1103" t="s">
        <v>949</v>
      </c>
    </row>
    <row r="1104" spans="1:9" x14ac:dyDescent="0.25">
      <c r="A1104">
        <v>4122</v>
      </c>
      <c r="B1104">
        <v>10</v>
      </c>
      <c r="C1104" t="s">
        <v>946</v>
      </c>
      <c r="D1104" t="s">
        <v>38</v>
      </c>
      <c r="E1104" t="s">
        <v>314</v>
      </c>
      <c r="F1104" t="s">
        <v>948</v>
      </c>
      <c r="G1104">
        <v>1000000</v>
      </c>
      <c r="H1104">
        <v>145000</v>
      </c>
      <c r="I1104" t="s">
        <v>949</v>
      </c>
    </row>
    <row r="1105" spans="1:9" x14ac:dyDescent="0.25">
      <c r="A1105">
        <v>4124</v>
      </c>
      <c r="B1105">
        <v>10</v>
      </c>
      <c r="C1105" t="s">
        <v>946</v>
      </c>
      <c r="D1105" t="s">
        <v>38</v>
      </c>
      <c r="E1105" t="s">
        <v>314</v>
      </c>
      <c r="F1105" t="s">
        <v>948</v>
      </c>
      <c r="G1105">
        <v>1077777</v>
      </c>
      <c r="H1105">
        <v>500465</v>
      </c>
      <c r="I1105" t="s">
        <v>949</v>
      </c>
    </row>
    <row r="1106" spans="1:9" x14ac:dyDescent="0.25">
      <c r="A1106">
        <v>4126</v>
      </c>
      <c r="B1106">
        <v>10</v>
      </c>
      <c r="C1106" t="s">
        <v>946</v>
      </c>
      <c r="D1106" t="s">
        <v>38</v>
      </c>
      <c r="E1106" t="s">
        <v>314</v>
      </c>
      <c r="F1106" t="s">
        <v>948</v>
      </c>
      <c r="G1106">
        <v>1000000</v>
      </c>
      <c r="H1106">
        <v>145000</v>
      </c>
      <c r="I1106" t="s">
        <v>949</v>
      </c>
    </row>
    <row r="1107" spans="1:9" x14ac:dyDescent="0.25">
      <c r="A1107">
        <v>4128</v>
      </c>
      <c r="B1107">
        <v>10</v>
      </c>
      <c r="C1107" t="s">
        <v>946</v>
      </c>
      <c r="D1107" t="s">
        <v>38</v>
      </c>
      <c r="E1107" t="s">
        <v>314</v>
      </c>
      <c r="F1107" t="s">
        <v>948</v>
      </c>
      <c r="G1107">
        <v>1077777</v>
      </c>
      <c r="H1107">
        <v>500460</v>
      </c>
      <c r="I1107" t="s">
        <v>949</v>
      </c>
    </row>
    <row r="1108" spans="1:9" x14ac:dyDescent="0.25">
      <c r="A1108">
        <v>4122</v>
      </c>
      <c r="B1108">
        <v>10</v>
      </c>
      <c r="C1108" t="s">
        <v>946</v>
      </c>
      <c r="D1108" t="s">
        <v>38</v>
      </c>
      <c r="E1108" t="s">
        <v>121</v>
      </c>
      <c r="F1108" t="s">
        <v>948</v>
      </c>
      <c r="G1108">
        <v>1077777</v>
      </c>
      <c r="H1108">
        <v>500220</v>
      </c>
      <c r="I1108" t="s">
        <v>949</v>
      </c>
    </row>
    <row r="1109" spans="1:9" x14ac:dyDescent="0.25">
      <c r="A1109">
        <v>4124</v>
      </c>
      <c r="B1109">
        <v>10</v>
      </c>
      <c r="C1109" t="s">
        <v>946</v>
      </c>
      <c r="D1109" t="s">
        <v>38</v>
      </c>
      <c r="E1109" t="s">
        <v>121</v>
      </c>
      <c r="F1109" t="s">
        <v>948</v>
      </c>
      <c r="G1109">
        <v>1077777</v>
      </c>
      <c r="H1109">
        <v>500221</v>
      </c>
      <c r="I1109" t="s">
        <v>949</v>
      </c>
    </row>
    <row r="1110" spans="1:9" x14ac:dyDescent="0.25">
      <c r="A1110">
        <v>4126</v>
      </c>
      <c r="B1110">
        <v>10</v>
      </c>
      <c r="C1110" t="s">
        <v>946</v>
      </c>
      <c r="D1110" t="s">
        <v>38</v>
      </c>
      <c r="E1110" t="s">
        <v>121</v>
      </c>
      <c r="F1110" t="s">
        <v>948</v>
      </c>
      <c r="G1110">
        <v>1077777</v>
      </c>
      <c r="H1110">
        <v>500220</v>
      </c>
      <c r="I1110" t="s">
        <v>949</v>
      </c>
    </row>
    <row r="1111" spans="1:9" x14ac:dyDescent="0.25">
      <c r="A1111">
        <v>4128</v>
      </c>
      <c r="B1111">
        <v>10</v>
      </c>
      <c r="C1111" t="s">
        <v>946</v>
      </c>
      <c r="D1111" t="s">
        <v>38</v>
      </c>
      <c r="E1111" t="s">
        <v>121</v>
      </c>
      <c r="F1111" t="s">
        <v>948</v>
      </c>
      <c r="G1111">
        <v>1077777</v>
      </c>
      <c r="H1111">
        <v>500221</v>
      </c>
      <c r="I1111" t="s">
        <v>949</v>
      </c>
    </row>
    <row r="1112" spans="1:9" x14ac:dyDescent="0.25">
      <c r="A1112">
        <v>4122</v>
      </c>
      <c r="B1112">
        <v>10</v>
      </c>
      <c r="C1112" t="s">
        <v>946</v>
      </c>
      <c r="D1112" t="s">
        <v>38</v>
      </c>
      <c r="E1112" t="s">
        <v>984</v>
      </c>
      <c r="F1112" t="s">
        <v>948</v>
      </c>
      <c r="G1112">
        <v>1000000</v>
      </c>
      <c r="H1112">
        <v>141000</v>
      </c>
      <c r="I1112" t="s">
        <v>985</v>
      </c>
    </row>
    <row r="1113" spans="1:9" x14ac:dyDescent="0.25">
      <c r="A1113">
        <v>4124</v>
      </c>
      <c r="B1113">
        <v>10</v>
      </c>
      <c r="C1113" t="s">
        <v>946</v>
      </c>
      <c r="D1113" t="s">
        <v>38</v>
      </c>
      <c r="E1113" t="s">
        <v>984</v>
      </c>
      <c r="F1113" t="s">
        <v>948</v>
      </c>
      <c r="G1113">
        <v>1077777</v>
      </c>
      <c r="H1113">
        <v>500465</v>
      </c>
      <c r="I1113" t="s">
        <v>949</v>
      </c>
    </row>
    <row r="1114" spans="1:9" x14ac:dyDescent="0.25">
      <c r="A1114">
        <v>4126</v>
      </c>
      <c r="B1114">
        <v>10</v>
      </c>
      <c r="C1114" t="s">
        <v>946</v>
      </c>
      <c r="D1114" t="s">
        <v>38</v>
      </c>
      <c r="E1114" t="s">
        <v>984</v>
      </c>
      <c r="F1114" t="s">
        <v>948</v>
      </c>
      <c r="G1114">
        <v>1000000</v>
      </c>
      <c r="H1114">
        <v>141000</v>
      </c>
      <c r="I1114" t="s">
        <v>985</v>
      </c>
    </row>
    <row r="1115" spans="1:9" x14ac:dyDescent="0.25">
      <c r="A1115">
        <v>4128</v>
      </c>
      <c r="B1115">
        <v>10</v>
      </c>
      <c r="C1115" t="s">
        <v>946</v>
      </c>
      <c r="D1115" t="s">
        <v>38</v>
      </c>
      <c r="E1115" t="s">
        <v>984</v>
      </c>
      <c r="F1115" t="s">
        <v>948</v>
      </c>
      <c r="G1115">
        <v>1077777</v>
      </c>
      <c r="H1115">
        <v>500460</v>
      </c>
      <c r="I1115" t="s">
        <v>949</v>
      </c>
    </row>
    <row r="1116" spans="1:9" x14ac:dyDescent="0.25">
      <c r="A1116">
        <v>4134</v>
      </c>
      <c r="B1116">
        <v>10</v>
      </c>
      <c r="C1116" t="s">
        <v>946</v>
      </c>
      <c r="D1116" t="s">
        <v>998</v>
      </c>
      <c r="E1116" t="s">
        <v>243</v>
      </c>
      <c r="F1116" t="s">
        <v>948</v>
      </c>
      <c r="G1116">
        <v>1000000</v>
      </c>
      <c r="H1116">
        <v>145000</v>
      </c>
      <c r="I1116" t="s">
        <v>949</v>
      </c>
    </row>
    <row r="1117" spans="1:9" x14ac:dyDescent="0.25">
      <c r="A1117">
        <v>4136</v>
      </c>
      <c r="B1117">
        <v>10</v>
      </c>
      <c r="C1117" t="s">
        <v>946</v>
      </c>
      <c r="D1117" t="s">
        <v>998</v>
      </c>
      <c r="E1117" t="s">
        <v>243</v>
      </c>
      <c r="F1117" t="s">
        <v>948</v>
      </c>
      <c r="G1117">
        <v>1077777</v>
      </c>
      <c r="H1117">
        <v>500461</v>
      </c>
      <c r="I1117" t="s">
        <v>949</v>
      </c>
    </row>
    <row r="1118" spans="1:9" x14ac:dyDescent="0.25">
      <c r="A1118">
        <v>4134</v>
      </c>
      <c r="B1118">
        <v>10</v>
      </c>
      <c r="C1118" t="s">
        <v>946</v>
      </c>
      <c r="D1118" t="s">
        <v>998</v>
      </c>
      <c r="E1118" t="s">
        <v>247</v>
      </c>
      <c r="F1118" t="s">
        <v>948</v>
      </c>
      <c r="G1118">
        <v>1000000</v>
      </c>
      <c r="H1118">
        <v>145000</v>
      </c>
      <c r="I1118" t="s">
        <v>949</v>
      </c>
    </row>
    <row r="1119" spans="1:9" x14ac:dyDescent="0.25">
      <c r="A1119">
        <v>4136</v>
      </c>
      <c r="B1119">
        <v>10</v>
      </c>
      <c r="C1119" t="s">
        <v>946</v>
      </c>
      <c r="D1119" t="s">
        <v>998</v>
      </c>
      <c r="E1119" t="s">
        <v>247</v>
      </c>
      <c r="F1119" t="s">
        <v>948</v>
      </c>
      <c r="G1119">
        <v>1077777</v>
      </c>
      <c r="H1119">
        <v>500461</v>
      </c>
      <c r="I1119" t="s">
        <v>949</v>
      </c>
    </row>
    <row r="1120" spans="1:9" x14ac:dyDescent="0.25">
      <c r="A1120">
        <v>4134</v>
      </c>
      <c r="B1120">
        <v>10</v>
      </c>
      <c r="C1120" t="s">
        <v>946</v>
      </c>
      <c r="D1120" t="s">
        <v>998</v>
      </c>
      <c r="E1120" t="s">
        <v>251</v>
      </c>
      <c r="F1120" t="s">
        <v>948</v>
      </c>
      <c r="G1120">
        <v>1000000</v>
      </c>
      <c r="H1120">
        <v>142000</v>
      </c>
      <c r="I1120" t="s">
        <v>949</v>
      </c>
    </row>
    <row r="1121" spans="1:9" x14ac:dyDescent="0.25">
      <c r="A1121">
        <v>4136</v>
      </c>
      <c r="B1121">
        <v>10</v>
      </c>
      <c r="C1121" t="s">
        <v>946</v>
      </c>
      <c r="D1121" t="s">
        <v>998</v>
      </c>
      <c r="E1121" t="s">
        <v>251</v>
      </c>
      <c r="F1121" t="s">
        <v>948</v>
      </c>
      <c r="G1121">
        <v>1077777</v>
      </c>
      <c r="H1121">
        <v>500461</v>
      </c>
      <c r="I1121" t="s">
        <v>949</v>
      </c>
    </row>
    <row r="1122" spans="1:9" x14ac:dyDescent="0.25">
      <c r="A1122">
        <v>4134</v>
      </c>
      <c r="B1122">
        <v>10</v>
      </c>
      <c r="C1122" t="s">
        <v>946</v>
      </c>
      <c r="D1122" t="s">
        <v>998</v>
      </c>
      <c r="E1122" t="s">
        <v>969</v>
      </c>
      <c r="F1122" t="s">
        <v>948</v>
      </c>
      <c r="G1122">
        <v>1000000</v>
      </c>
      <c r="H1122">
        <v>141000</v>
      </c>
      <c r="I1122" t="s">
        <v>970</v>
      </c>
    </row>
    <row r="1123" spans="1:9" x14ac:dyDescent="0.25">
      <c r="A1123">
        <v>4136</v>
      </c>
      <c r="B1123">
        <v>10</v>
      </c>
      <c r="C1123" t="s">
        <v>946</v>
      </c>
      <c r="D1123" t="s">
        <v>998</v>
      </c>
      <c r="E1123" t="s">
        <v>969</v>
      </c>
      <c r="F1123" t="s">
        <v>948</v>
      </c>
      <c r="G1123">
        <v>1077777</v>
      </c>
      <c r="H1123">
        <v>500461</v>
      </c>
      <c r="I1123" t="s">
        <v>949</v>
      </c>
    </row>
    <row r="1124" spans="1:9" x14ac:dyDescent="0.25">
      <c r="A1124">
        <v>4134</v>
      </c>
      <c r="B1124">
        <v>10</v>
      </c>
      <c r="C1124" t="s">
        <v>946</v>
      </c>
      <c r="D1124" t="s">
        <v>998</v>
      </c>
      <c r="E1124" t="s">
        <v>255</v>
      </c>
      <c r="F1124" t="s">
        <v>948</v>
      </c>
      <c r="G1124">
        <v>1000000</v>
      </c>
      <c r="H1124">
        <v>145000</v>
      </c>
      <c r="I1124" t="s">
        <v>949</v>
      </c>
    </row>
    <row r="1125" spans="1:9" x14ac:dyDescent="0.25">
      <c r="A1125">
        <v>4136</v>
      </c>
      <c r="B1125">
        <v>10</v>
      </c>
      <c r="C1125" t="s">
        <v>946</v>
      </c>
      <c r="D1125" t="s">
        <v>998</v>
      </c>
      <c r="E1125" t="s">
        <v>255</v>
      </c>
      <c r="F1125" t="s">
        <v>948</v>
      </c>
      <c r="G1125">
        <v>1077777</v>
      </c>
      <c r="H1125">
        <v>500461</v>
      </c>
      <c r="I1125" t="s">
        <v>949</v>
      </c>
    </row>
    <row r="1126" spans="1:9" x14ac:dyDescent="0.25">
      <c r="A1126">
        <v>4134</v>
      </c>
      <c r="B1126">
        <v>10</v>
      </c>
      <c r="C1126" t="s">
        <v>946</v>
      </c>
      <c r="D1126" t="s">
        <v>998</v>
      </c>
      <c r="E1126" t="s">
        <v>971</v>
      </c>
      <c r="F1126" t="s">
        <v>948</v>
      </c>
      <c r="G1126">
        <v>1000000</v>
      </c>
      <c r="H1126">
        <v>141000</v>
      </c>
      <c r="I1126" t="s">
        <v>972</v>
      </c>
    </row>
    <row r="1127" spans="1:9" x14ac:dyDescent="0.25">
      <c r="A1127">
        <v>4136</v>
      </c>
      <c r="B1127">
        <v>10</v>
      </c>
      <c r="C1127" t="s">
        <v>946</v>
      </c>
      <c r="D1127" t="s">
        <v>998</v>
      </c>
      <c r="E1127" t="s">
        <v>971</v>
      </c>
      <c r="F1127" t="s">
        <v>948</v>
      </c>
      <c r="G1127">
        <v>1077777</v>
      </c>
      <c r="H1127">
        <v>500461</v>
      </c>
      <c r="I1127" t="s">
        <v>949</v>
      </c>
    </row>
    <row r="1128" spans="1:9" x14ac:dyDescent="0.25">
      <c r="A1128">
        <v>4134</v>
      </c>
      <c r="B1128">
        <v>10</v>
      </c>
      <c r="C1128" t="s">
        <v>946</v>
      </c>
      <c r="D1128" t="s">
        <v>998</v>
      </c>
      <c r="E1128" t="s">
        <v>263</v>
      </c>
      <c r="F1128" t="s">
        <v>948</v>
      </c>
      <c r="G1128">
        <v>1000000</v>
      </c>
      <c r="H1128">
        <v>145000</v>
      </c>
      <c r="I1128" t="s">
        <v>949</v>
      </c>
    </row>
    <row r="1129" spans="1:9" x14ac:dyDescent="0.25">
      <c r="A1129">
        <v>4136</v>
      </c>
      <c r="B1129">
        <v>10</v>
      </c>
      <c r="C1129" t="s">
        <v>946</v>
      </c>
      <c r="D1129" t="s">
        <v>998</v>
      </c>
      <c r="E1129" t="s">
        <v>263</v>
      </c>
      <c r="F1129" t="s">
        <v>948</v>
      </c>
      <c r="G1129">
        <v>1077777</v>
      </c>
      <c r="H1129">
        <v>500461</v>
      </c>
      <c r="I1129" t="s">
        <v>949</v>
      </c>
    </row>
    <row r="1130" spans="1:9" x14ac:dyDescent="0.25">
      <c r="A1130">
        <v>4134</v>
      </c>
      <c r="B1130">
        <v>10</v>
      </c>
      <c r="C1130" t="s">
        <v>946</v>
      </c>
      <c r="D1130" t="s">
        <v>998</v>
      </c>
      <c r="E1130" t="s">
        <v>100</v>
      </c>
      <c r="F1130" t="s">
        <v>948</v>
      </c>
      <c r="G1130">
        <v>1077777</v>
      </c>
      <c r="H1130">
        <v>500220</v>
      </c>
      <c r="I1130" t="s">
        <v>949</v>
      </c>
    </row>
    <row r="1131" spans="1:9" x14ac:dyDescent="0.25">
      <c r="A1131">
        <v>4136</v>
      </c>
      <c r="B1131">
        <v>10</v>
      </c>
      <c r="C1131" t="s">
        <v>946</v>
      </c>
      <c r="D1131" t="s">
        <v>998</v>
      </c>
      <c r="E1131" t="s">
        <v>100</v>
      </c>
      <c r="F1131" t="s">
        <v>948</v>
      </c>
      <c r="G1131">
        <v>1077777</v>
      </c>
      <c r="H1131">
        <v>500221</v>
      </c>
      <c r="I1131" t="s">
        <v>949</v>
      </c>
    </row>
    <row r="1132" spans="1:9" x14ac:dyDescent="0.25">
      <c r="A1132">
        <v>4134</v>
      </c>
      <c r="B1132">
        <v>10</v>
      </c>
      <c r="C1132" t="s">
        <v>946</v>
      </c>
      <c r="D1132" t="s">
        <v>998</v>
      </c>
      <c r="E1132" t="s">
        <v>270</v>
      </c>
      <c r="F1132" t="s">
        <v>948</v>
      </c>
      <c r="G1132">
        <v>1000000</v>
      </c>
      <c r="H1132">
        <v>145000</v>
      </c>
      <c r="I1132" t="s">
        <v>949</v>
      </c>
    </row>
    <row r="1133" spans="1:9" x14ac:dyDescent="0.25">
      <c r="A1133">
        <v>4136</v>
      </c>
      <c r="B1133">
        <v>10</v>
      </c>
      <c r="C1133" t="s">
        <v>946</v>
      </c>
      <c r="D1133" t="s">
        <v>998</v>
      </c>
      <c r="E1133" t="s">
        <v>270</v>
      </c>
      <c r="F1133" t="s">
        <v>948</v>
      </c>
      <c r="G1133">
        <v>1077777</v>
      </c>
      <c r="H1133">
        <v>500461</v>
      </c>
      <c r="I1133" t="s">
        <v>949</v>
      </c>
    </row>
    <row r="1134" spans="1:9" x14ac:dyDescent="0.25">
      <c r="A1134">
        <v>4134</v>
      </c>
      <c r="B1134">
        <v>10</v>
      </c>
      <c r="C1134" t="s">
        <v>946</v>
      </c>
      <c r="D1134" t="s">
        <v>998</v>
      </c>
      <c r="E1134" t="s">
        <v>274</v>
      </c>
      <c r="F1134" t="s">
        <v>948</v>
      </c>
      <c r="G1134">
        <v>1000000</v>
      </c>
      <c r="H1134">
        <v>143000</v>
      </c>
      <c r="I1134" t="s">
        <v>973</v>
      </c>
    </row>
    <row r="1135" spans="1:9" x14ac:dyDescent="0.25">
      <c r="A1135">
        <v>4136</v>
      </c>
      <c r="B1135">
        <v>10</v>
      </c>
      <c r="C1135" t="s">
        <v>946</v>
      </c>
      <c r="D1135" t="s">
        <v>998</v>
      </c>
      <c r="E1135" t="s">
        <v>274</v>
      </c>
      <c r="F1135" t="s">
        <v>948</v>
      </c>
      <c r="G1135">
        <v>1077777</v>
      </c>
      <c r="H1135">
        <v>500461</v>
      </c>
      <c r="I1135" t="s">
        <v>949</v>
      </c>
    </row>
    <row r="1136" spans="1:9" x14ac:dyDescent="0.25">
      <c r="A1136">
        <v>4134</v>
      </c>
      <c r="B1136">
        <v>10</v>
      </c>
      <c r="C1136" t="s">
        <v>946</v>
      </c>
      <c r="D1136" t="s">
        <v>998</v>
      </c>
      <c r="E1136" t="s">
        <v>974</v>
      </c>
      <c r="F1136" t="s">
        <v>948</v>
      </c>
      <c r="G1136">
        <v>1000000</v>
      </c>
      <c r="H1136">
        <v>141000</v>
      </c>
      <c r="I1136" t="s">
        <v>975</v>
      </c>
    </row>
    <row r="1137" spans="1:9" x14ac:dyDescent="0.25">
      <c r="A1137">
        <v>4136</v>
      </c>
      <c r="B1137">
        <v>10</v>
      </c>
      <c r="C1137" t="s">
        <v>946</v>
      </c>
      <c r="D1137" t="s">
        <v>998</v>
      </c>
      <c r="E1137" t="s">
        <v>974</v>
      </c>
      <c r="F1137" t="s">
        <v>948</v>
      </c>
      <c r="G1137">
        <v>1077777</v>
      </c>
      <c r="H1137">
        <v>500461</v>
      </c>
      <c r="I1137" t="s">
        <v>949</v>
      </c>
    </row>
    <row r="1138" spans="1:9" x14ac:dyDescent="0.25">
      <c r="A1138">
        <v>4134</v>
      </c>
      <c r="B1138">
        <v>10</v>
      </c>
      <c r="C1138" t="s">
        <v>946</v>
      </c>
      <c r="D1138" t="s">
        <v>998</v>
      </c>
      <c r="E1138" t="s">
        <v>104</v>
      </c>
      <c r="F1138" t="s">
        <v>948</v>
      </c>
      <c r="G1138">
        <v>1077777</v>
      </c>
      <c r="H1138">
        <v>500220</v>
      </c>
      <c r="I1138" t="s">
        <v>949</v>
      </c>
    </row>
    <row r="1139" spans="1:9" x14ac:dyDescent="0.25">
      <c r="A1139">
        <v>4136</v>
      </c>
      <c r="B1139">
        <v>10</v>
      </c>
      <c r="C1139" t="s">
        <v>946</v>
      </c>
      <c r="D1139" t="s">
        <v>998</v>
      </c>
      <c r="E1139" t="s">
        <v>104</v>
      </c>
      <c r="F1139" t="s">
        <v>948</v>
      </c>
      <c r="G1139">
        <v>1077777</v>
      </c>
      <c r="H1139">
        <v>500221</v>
      </c>
      <c r="I1139" t="s">
        <v>949</v>
      </c>
    </row>
    <row r="1140" spans="1:9" x14ac:dyDescent="0.25">
      <c r="A1140">
        <v>4134</v>
      </c>
      <c r="B1140">
        <v>10</v>
      </c>
      <c r="C1140" t="s">
        <v>946</v>
      </c>
      <c r="D1140" t="s">
        <v>998</v>
      </c>
      <c r="E1140" t="s">
        <v>278</v>
      </c>
      <c r="F1140" t="s">
        <v>948</v>
      </c>
      <c r="G1140">
        <v>1000000</v>
      </c>
      <c r="H1140">
        <v>145000</v>
      </c>
      <c r="I1140" t="s">
        <v>949</v>
      </c>
    </row>
    <row r="1141" spans="1:9" x14ac:dyDescent="0.25">
      <c r="A1141">
        <v>4136</v>
      </c>
      <c r="B1141">
        <v>10</v>
      </c>
      <c r="C1141" t="s">
        <v>946</v>
      </c>
      <c r="D1141" t="s">
        <v>998</v>
      </c>
      <c r="E1141" t="s">
        <v>278</v>
      </c>
      <c r="F1141" t="s">
        <v>948</v>
      </c>
      <c r="G1141">
        <v>1077777</v>
      </c>
      <c r="H1141">
        <v>500461</v>
      </c>
      <c r="I1141" t="s">
        <v>949</v>
      </c>
    </row>
    <row r="1142" spans="1:9" x14ac:dyDescent="0.25">
      <c r="A1142">
        <v>4134</v>
      </c>
      <c r="B1142">
        <v>10</v>
      </c>
      <c r="C1142" t="s">
        <v>946</v>
      </c>
      <c r="D1142" t="s">
        <v>998</v>
      </c>
      <c r="E1142" t="s">
        <v>282</v>
      </c>
      <c r="F1142" t="s">
        <v>948</v>
      </c>
      <c r="G1142">
        <v>1000000</v>
      </c>
      <c r="H1142">
        <v>143100</v>
      </c>
      <c r="I1142" t="s">
        <v>949</v>
      </c>
    </row>
    <row r="1143" spans="1:9" x14ac:dyDescent="0.25">
      <c r="A1143">
        <v>4136</v>
      </c>
      <c r="B1143">
        <v>10</v>
      </c>
      <c r="C1143" t="s">
        <v>946</v>
      </c>
      <c r="D1143" t="s">
        <v>998</v>
      </c>
      <c r="E1143" t="s">
        <v>282</v>
      </c>
      <c r="F1143" t="s">
        <v>948</v>
      </c>
      <c r="G1143">
        <v>1077777</v>
      </c>
      <c r="H1143">
        <v>500461</v>
      </c>
      <c r="I1143" t="s">
        <v>949</v>
      </c>
    </row>
    <row r="1144" spans="1:9" x14ac:dyDescent="0.25">
      <c r="A1144">
        <v>4134</v>
      </c>
      <c r="B1144">
        <v>10</v>
      </c>
      <c r="C1144" t="s">
        <v>946</v>
      </c>
      <c r="D1144" t="s">
        <v>998</v>
      </c>
      <c r="E1144" t="s">
        <v>39</v>
      </c>
      <c r="F1144" t="s">
        <v>948</v>
      </c>
      <c r="G1144">
        <v>1077777</v>
      </c>
      <c r="H1144">
        <v>501095</v>
      </c>
      <c r="I1144" t="s">
        <v>949</v>
      </c>
    </row>
    <row r="1145" spans="1:9" x14ac:dyDescent="0.25">
      <c r="A1145">
        <v>4136</v>
      </c>
      <c r="B1145">
        <v>10</v>
      </c>
      <c r="C1145" t="s">
        <v>946</v>
      </c>
      <c r="D1145" t="s">
        <v>998</v>
      </c>
      <c r="E1145" t="s">
        <v>39</v>
      </c>
      <c r="F1145" t="s">
        <v>948</v>
      </c>
      <c r="G1145">
        <v>1077777</v>
      </c>
      <c r="H1145">
        <v>500461</v>
      </c>
      <c r="I1145" t="s">
        <v>949</v>
      </c>
    </row>
    <row r="1146" spans="1:9" x14ac:dyDescent="0.25">
      <c r="A1146">
        <v>4134</v>
      </c>
      <c r="B1146">
        <v>10</v>
      </c>
      <c r="C1146" t="s">
        <v>946</v>
      </c>
      <c r="D1146" t="s">
        <v>998</v>
      </c>
      <c r="E1146" t="s">
        <v>286</v>
      </c>
      <c r="F1146" t="s">
        <v>948</v>
      </c>
      <c r="G1146">
        <v>1000000</v>
      </c>
      <c r="H1146">
        <v>145000</v>
      </c>
      <c r="I1146" t="s">
        <v>949</v>
      </c>
    </row>
    <row r="1147" spans="1:9" x14ac:dyDescent="0.25">
      <c r="A1147">
        <v>4136</v>
      </c>
      <c r="B1147">
        <v>10</v>
      </c>
      <c r="C1147" t="s">
        <v>946</v>
      </c>
      <c r="D1147" t="s">
        <v>998</v>
      </c>
      <c r="E1147" t="s">
        <v>286</v>
      </c>
      <c r="F1147" t="s">
        <v>948</v>
      </c>
      <c r="G1147">
        <v>1077777</v>
      </c>
      <c r="H1147">
        <v>500461</v>
      </c>
      <c r="I1147" t="s">
        <v>949</v>
      </c>
    </row>
    <row r="1148" spans="1:9" x14ac:dyDescent="0.25">
      <c r="A1148">
        <v>4134</v>
      </c>
      <c r="B1148">
        <v>10</v>
      </c>
      <c r="C1148" t="s">
        <v>946</v>
      </c>
      <c r="D1148" t="s">
        <v>998</v>
      </c>
      <c r="E1148" t="s">
        <v>976</v>
      </c>
      <c r="F1148" t="s">
        <v>948</v>
      </c>
      <c r="G1148">
        <v>1000000</v>
      </c>
      <c r="H1148">
        <v>141000</v>
      </c>
      <c r="I1148" t="s">
        <v>977</v>
      </c>
    </row>
    <row r="1149" spans="1:9" x14ac:dyDescent="0.25">
      <c r="A1149">
        <v>4136</v>
      </c>
      <c r="B1149">
        <v>10</v>
      </c>
      <c r="C1149" t="s">
        <v>946</v>
      </c>
      <c r="D1149" t="s">
        <v>998</v>
      </c>
      <c r="E1149" t="s">
        <v>976</v>
      </c>
      <c r="F1149" t="s">
        <v>948</v>
      </c>
      <c r="G1149">
        <v>1077777</v>
      </c>
      <c r="H1149">
        <v>500461</v>
      </c>
      <c r="I1149" t="s">
        <v>949</v>
      </c>
    </row>
    <row r="1150" spans="1:9" x14ac:dyDescent="0.25">
      <c r="A1150">
        <v>4134</v>
      </c>
      <c r="B1150">
        <v>10</v>
      </c>
      <c r="C1150" t="s">
        <v>946</v>
      </c>
      <c r="D1150" t="s">
        <v>998</v>
      </c>
      <c r="E1150" t="s">
        <v>290</v>
      </c>
      <c r="F1150" t="s">
        <v>948</v>
      </c>
      <c r="G1150">
        <v>1000000</v>
      </c>
      <c r="H1150">
        <v>143000</v>
      </c>
      <c r="I1150" t="s">
        <v>978</v>
      </c>
    </row>
    <row r="1151" spans="1:9" x14ac:dyDescent="0.25">
      <c r="A1151">
        <v>4136</v>
      </c>
      <c r="B1151">
        <v>10</v>
      </c>
      <c r="C1151" t="s">
        <v>946</v>
      </c>
      <c r="D1151" t="s">
        <v>998</v>
      </c>
      <c r="E1151" t="s">
        <v>290</v>
      </c>
      <c r="F1151" t="s">
        <v>948</v>
      </c>
      <c r="G1151">
        <v>1077777</v>
      </c>
      <c r="H1151">
        <v>500461</v>
      </c>
      <c r="I1151" t="s">
        <v>949</v>
      </c>
    </row>
    <row r="1152" spans="1:9" x14ac:dyDescent="0.25">
      <c r="A1152">
        <v>4134</v>
      </c>
      <c r="B1152">
        <v>10</v>
      </c>
      <c r="C1152" t="s">
        <v>946</v>
      </c>
      <c r="D1152" t="s">
        <v>998</v>
      </c>
      <c r="E1152" t="s">
        <v>294</v>
      </c>
      <c r="F1152" t="s">
        <v>948</v>
      </c>
      <c r="G1152">
        <v>1000000</v>
      </c>
      <c r="H1152">
        <v>143000</v>
      </c>
      <c r="I1152" t="s">
        <v>979</v>
      </c>
    </row>
    <row r="1153" spans="1:9" x14ac:dyDescent="0.25">
      <c r="A1153">
        <v>4136</v>
      </c>
      <c r="B1153">
        <v>10</v>
      </c>
      <c r="C1153" t="s">
        <v>946</v>
      </c>
      <c r="D1153" t="s">
        <v>998</v>
      </c>
      <c r="E1153" t="s">
        <v>294</v>
      </c>
      <c r="F1153" t="s">
        <v>948</v>
      </c>
      <c r="G1153">
        <v>1077777</v>
      </c>
      <c r="H1153">
        <v>500461</v>
      </c>
      <c r="I1153" t="s">
        <v>949</v>
      </c>
    </row>
    <row r="1154" spans="1:9" x14ac:dyDescent="0.25">
      <c r="A1154">
        <v>4134</v>
      </c>
      <c r="B1154">
        <v>10</v>
      </c>
      <c r="C1154" t="s">
        <v>946</v>
      </c>
      <c r="D1154" t="s">
        <v>998</v>
      </c>
      <c r="E1154" t="s">
        <v>980</v>
      </c>
      <c r="F1154" t="s">
        <v>948</v>
      </c>
      <c r="G1154">
        <v>1000000</v>
      </c>
      <c r="H1154">
        <v>141000</v>
      </c>
      <c r="I1154" t="s">
        <v>981</v>
      </c>
    </row>
    <row r="1155" spans="1:9" x14ac:dyDescent="0.25">
      <c r="A1155">
        <v>4136</v>
      </c>
      <c r="B1155">
        <v>10</v>
      </c>
      <c r="C1155" t="s">
        <v>946</v>
      </c>
      <c r="D1155" t="s">
        <v>998</v>
      </c>
      <c r="E1155" t="s">
        <v>980</v>
      </c>
      <c r="F1155" t="s">
        <v>948</v>
      </c>
      <c r="G1155">
        <v>1077777</v>
      </c>
      <c r="H1155">
        <v>500461</v>
      </c>
      <c r="I1155" t="s">
        <v>949</v>
      </c>
    </row>
    <row r="1156" spans="1:9" x14ac:dyDescent="0.25">
      <c r="A1156">
        <v>4134</v>
      </c>
      <c r="B1156">
        <v>10</v>
      </c>
      <c r="C1156" t="s">
        <v>946</v>
      </c>
      <c r="D1156" t="s">
        <v>998</v>
      </c>
      <c r="E1156" t="s">
        <v>302</v>
      </c>
      <c r="F1156" t="s">
        <v>948</v>
      </c>
      <c r="G1156">
        <v>1000000</v>
      </c>
      <c r="H1156">
        <v>143000</v>
      </c>
      <c r="I1156" t="s">
        <v>982</v>
      </c>
    </row>
    <row r="1157" spans="1:9" x14ac:dyDescent="0.25">
      <c r="A1157">
        <v>4136</v>
      </c>
      <c r="B1157">
        <v>10</v>
      </c>
      <c r="C1157" t="s">
        <v>946</v>
      </c>
      <c r="D1157" t="s">
        <v>998</v>
      </c>
      <c r="E1157" t="s">
        <v>302</v>
      </c>
      <c r="F1157" t="s">
        <v>948</v>
      </c>
      <c r="G1157">
        <v>1077777</v>
      </c>
      <c r="H1157">
        <v>500461</v>
      </c>
      <c r="I1157" t="s">
        <v>949</v>
      </c>
    </row>
    <row r="1158" spans="1:9" x14ac:dyDescent="0.25">
      <c r="A1158">
        <v>4134</v>
      </c>
      <c r="B1158">
        <v>10</v>
      </c>
      <c r="C1158" t="s">
        <v>946</v>
      </c>
      <c r="D1158" t="s">
        <v>998</v>
      </c>
      <c r="E1158" t="s">
        <v>306</v>
      </c>
      <c r="F1158" t="s">
        <v>948</v>
      </c>
      <c r="G1158">
        <v>1000000</v>
      </c>
      <c r="H1158">
        <v>143000</v>
      </c>
      <c r="I1158" t="s">
        <v>983</v>
      </c>
    </row>
    <row r="1159" spans="1:9" x14ac:dyDescent="0.25">
      <c r="A1159">
        <v>4136</v>
      </c>
      <c r="B1159">
        <v>10</v>
      </c>
      <c r="C1159" t="s">
        <v>946</v>
      </c>
      <c r="D1159" t="s">
        <v>998</v>
      </c>
      <c r="E1159" t="s">
        <v>306</v>
      </c>
      <c r="F1159" t="s">
        <v>948</v>
      </c>
      <c r="G1159">
        <v>1077777</v>
      </c>
      <c r="H1159">
        <v>500461</v>
      </c>
      <c r="I1159" t="s">
        <v>949</v>
      </c>
    </row>
    <row r="1160" spans="1:9" x14ac:dyDescent="0.25">
      <c r="A1160">
        <v>4134</v>
      </c>
      <c r="B1160">
        <v>10</v>
      </c>
      <c r="C1160" t="s">
        <v>946</v>
      </c>
      <c r="D1160" t="s">
        <v>998</v>
      </c>
      <c r="E1160" t="s">
        <v>108</v>
      </c>
      <c r="F1160" t="s">
        <v>948</v>
      </c>
      <c r="G1160">
        <v>1077777</v>
      </c>
      <c r="H1160">
        <v>500220</v>
      </c>
      <c r="I1160" t="s">
        <v>949</v>
      </c>
    </row>
    <row r="1161" spans="1:9" x14ac:dyDescent="0.25">
      <c r="A1161">
        <v>4136</v>
      </c>
      <c r="B1161">
        <v>10</v>
      </c>
      <c r="C1161" t="s">
        <v>946</v>
      </c>
      <c r="D1161" t="s">
        <v>998</v>
      </c>
      <c r="E1161" t="s">
        <v>108</v>
      </c>
      <c r="F1161" t="s">
        <v>948</v>
      </c>
      <c r="G1161">
        <v>1077777</v>
      </c>
      <c r="H1161">
        <v>500221</v>
      </c>
      <c r="I1161" t="s">
        <v>949</v>
      </c>
    </row>
    <row r="1162" spans="1:9" x14ac:dyDescent="0.25">
      <c r="A1162">
        <v>4134</v>
      </c>
      <c r="B1162">
        <v>10</v>
      </c>
      <c r="C1162" t="s">
        <v>946</v>
      </c>
      <c r="D1162" t="s">
        <v>998</v>
      </c>
      <c r="E1162" t="s">
        <v>310</v>
      </c>
      <c r="F1162" t="s">
        <v>948</v>
      </c>
      <c r="G1162">
        <v>1000000</v>
      </c>
      <c r="H1162">
        <v>145000</v>
      </c>
      <c r="I1162" t="s">
        <v>949</v>
      </c>
    </row>
    <row r="1163" spans="1:9" x14ac:dyDescent="0.25">
      <c r="A1163">
        <v>4136</v>
      </c>
      <c r="B1163">
        <v>10</v>
      </c>
      <c r="C1163" t="s">
        <v>946</v>
      </c>
      <c r="D1163" t="s">
        <v>998</v>
      </c>
      <c r="E1163" t="s">
        <v>310</v>
      </c>
      <c r="F1163" t="s">
        <v>948</v>
      </c>
      <c r="G1163">
        <v>1077777</v>
      </c>
      <c r="H1163">
        <v>500461</v>
      </c>
      <c r="I1163" t="s">
        <v>949</v>
      </c>
    </row>
    <row r="1164" spans="1:9" x14ac:dyDescent="0.25">
      <c r="A1164">
        <v>4134</v>
      </c>
      <c r="B1164">
        <v>10</v>
      </c>
      <c r="C1164" t="s">
        <v>946</v>
      </c>
      <c r="D1164" t="s">
        <v>998</v>
      </c>
      <c r="E1164" t="s">
        <v>314</v>
      </c>
      <c r="F1164" t="s">
        <v>948</v>
      </c>
      <c r="G1164">
        <v>1000000</v>
      </c>
      <c r="H1164">
        <v>145000</v>
      </c>
      <c r="I1164" t="s">
        <v>949</v>
      </c>
    </row>
    <row r="1165" spans="1:9" x14ac:dyDescent="0.25">
      <c r="A1165">
        <v>4136</v>
      </c>
      <c r="B1165">
        <v>10</v>
      </c>
      <c r="C1165" t="s">
        <v>946</v>
      </c>
      <c r="D1165" t="s">
        <v>998</v>
      </c>
      <c r="E1165" t="s">
        <v>314</v>
      </c>
      <c r="F1165" t="s">
        <v>948</v>
      </c>
      <c r="G1165">
        <v>1077777</v>
      </c>
      <c r="H1165">
        <v>500461</v>
      </c>
      <c r="I1165" t="s">
        <v>949</v>
      </c>
    </row>
    <row r="1166" spans="1:9" x14ac:dyDescent="0.25">
      <c r="A1166">
        <v>4134</v>
      </c>
      <c r="B1166">
        <v>10</v>
      </c>
      <c r="C1166" t="s">
        <v>946</v>
      </c>
      <c r="D1166" t="s">
        <v>998</v>
      </c>
      <c r="E1166" t="s">
        <v>121</v>
      </c>
      <c r="F1166" t="s">
        <v>948</v>
      </c>
      <c r="G1166">
        <v>1077777</v>
      </c>
      <c r="H1166">
        <v>500220</v>
      </c>
      <c r="I1166" t="s">
        <v>949</v>
      </c>
    </row>
    <row r="1167" spans="1:9" x14ac:dyDescent="0.25">
      <c r="A1167">
        <v>4136</v>
      </c>
      <c r="B1167">
        <v>10</v>
      </c>
      <c r="C1167" t="s">
        <v>946</v>
      </c>
      <c r="D1167" t="s">
        <v>998</v>
      </c>
      <c r="E1167" t="s">
        <v>121</v>
      </c>
      <c r="F1167" t="s">
        <v>948</v>
      </c>
      <c r="G1167">
        <v>1077777</v>
      </c>
      <c r="H1167">
        <v>500221</v>
      </c>
      <c r="I1167" t="s">
        <v>949</v>
      </c>
    </row>
    <row r="1168" spans="1:9" x14ac:dyDescent="0.25">
      <c r="A1168">
        <v>4134</v>
      </c>
      <c r="B1168">
        <v>10</v>
      </c>
      <c r="C1168" t="s">
        <v>946</v>
      </c>
      <c r="D1168" t="s">
        <v>998</v>
      </c>
      <c r="E1168" t="s">
        <v>984</v>
      </c>
      <c r="F1168" t="s">
        <v>948</v>
      </c>
      <c r="G1168">
        <v>1000000</v>
      </c>
      <c r="H1168">
        <v>141000</v>
      </c>
      <c r="I1168" t="s">
        <v>985</v>
      </c>
    </row>
    <row r="1169" spans="1:9" x14ac:dyDescent="0.25">
      <c r="A1169">
        <v>4136</v>
      </c>
      <c r="B1169">
        <v>10</v>
      </c>
      <c r="C1169" t="s">
        <v>946</v>
      </c>
      <c r="D1169" t="s">
        <v>998</v>
      </c>
      <c r="E1169" t="s">
        <v>984</v>
      </c>
      <c r="F1169" t="s">
        <v>948</v>
      </c>
      <c r="G1169">
        <v>1077777</v>
      </c>
      <c r="H1169">
        <v>500461</v>
      </c>
      <c r="I1169" t="s">
        <v>949</v>
      </c>
    </row>
    <row r="1170" spans="1:9" x14ac:dyDescent="0.25">
      <c r="A1170">
        <v>3130</v>
      </c>
      <c r="B1170">
        <v>10</v>
      </c>
      <c r="C1170" t="s">
        <v>950</v>
      </c>
      <c r="D1170" t="s">
        <v>999</v>
      </c>
      <c r="E1170" t="s">
        <v>49</v>
      </c>
      <c r="F1170" t="s">
        <v>951</v>
      </c>
      <c r="G1170">
        <v>1000000</v>
      </c>
      <c r="H1170">
        <v>145000</v>
      </c>
      <c r="I1170" t="s">
        <v>949</v>
      </c>
    </row>
    <row r="1171" spans="1:9" x14ac:dyDescent="0.25">
      <c r="A1171">
        <v>3130</v>
      </c>
      <c r="B1171">
        <v>10</v>
      </c>
      <c r="C1171" t="s">
        <v>950</v>
      </c>
      <c r="D1171" t="s">
        <v>999</v>
      </c>
      <c r="E1171" t="s">
        <v>49</v>
      </c>
      <c r="F1171" t="s">
        <v>952</v>
      </c>
      <c r="G1171">
        <v>1000000</v>
      </c>
      <c r="H1171">
        <v>145000</v>
      </c>
      <c r="I1171" t="s">
        <v>949</v>
      </c>
    </row>
    <row r="1172" spans="1:9" x14ac:dyDescent="0.25">
      <c r="A1172">
        <v>3130</v>
      </c>
      <c r="B1172">
        <v>10</v>
      </c>
      <c r="C1172" t="s">
        <v>950</v>
      </c>
      <c r="D1172" t="s">
        <v>999</v>
      </c>
      <c r="E1172" t="s">
        <v>49</v>
      </c>
      <c r="F1172" t="s">
        <v>953</v>
      </c>
      <c r="G1172">
        <v>1000000</v>
      </c>
      <c r="H1172">
        <v>145000</v>
      </c>
      <c r="I1172" t="s">
        <v>949</v>
      </c>
    </row>
    <row r="1173" spans="1:9" x14ac:dyDescent="0.25">
      <c r="A1173">
        <v>3130</v>
      </c>
      <c r="B1173">
        <v>10</v>
      </c>
      <c r="C1173" t="s">
        <v>950</v>
      </c>
      <c r="D1173" t="s">
        <v>999</v>
      </c>
      <c r="E1173" t="s">
        <v>49</v>
      </c>
      <c r="F1173" t="s">
        <v>954</v>
      </c>
      <c r="G1173">
        <v>1000000</v>
      </c>
      <c r="H1173">
        <v>145000</v>
      </c>
      <c r="I1173" t="s">
        <v>949</v>
      </c>
    </row>
    <row r="1174" spans="1:9" x14ac:dyDescent="0.25">
      <c r="A1174">
        <v>3130</v>
      </c>
      <c r="B1174">
        <v>10</v>
      </c>
      <c r="C1174" t="s">
        <v>950</v>
      </c>
      <c r="D1174" t="s">
        <v>999</v>
      </c>
      <c r="E1174" t="s">
        <v>49</v>
      </c>
      <c r="F1174" t="s">
        <v>955</v>
      </c>
      <c r="G1174">
        <v>1000000</v>
      </c>
      <c r="H1174">
        <v>145000</v>
      </c>
      <c r="I1174" t="s">
        <v>949</v>
      </c>
    </row>
    <row r="1175" spans="1:9" x14ac:dyDescent="0.25">
      <c r="A1175">
        <v>3130</v>
      </c>
      <c r="B1175">
        <v>10</v>
      </c>
      <c r="C1175" t="s">
        <v>950</v>
      </c>
      <c r="D1175" t="s">
        <v>999</v>
      </c>
      <c r="E1175" t="s">
        <v>49</v>
      </c>
      <c r="F1175" t="s">
        <v>956</v>
      </c>
      <c r="G1175">
        <v>1000000</v>
      </c>
      <c r="H1175">
        <v>145000</v>
      </c>
      <c r="I1175" t="s">
        <v>949</v>
      </c>
    </row>
    <row r="1176" spans="1:9" x14ac:dyDescent="0.25">
      <c r="A1176">
        <v>3130</v>
      </c>
      <c r="B1176">
        <v>10</v>
      </c>
      <c r="C1176" t="s">
        <v>950</v>
      </c>
      <c r="D1176" t="s">
        <v>999</v>
      </c>
      <c r="E1176" t="s">
        <v>49</v>
      </c>
      <c r="F1176" t="s">
        <v>957</v>
      </c>
      <c r="G1176">
        <v>1000000</v>
      </c>
      <c r="H1176">
        <v>145000</v>
      </c>
      <c r="I1176" t="s">
        <v>949</v>
      </c>
    </row>
    <row r="1177" spans="1:9" x14ac:dyDescent="0.25">
      <c r="A1177">
        <v>3130</v>
      </c>
      <c r="B1177">
        <v>10</v>
      </c>
      <c r="C1177" t="s">
        <v>950</v>
      </c>
      <c r="D1177" t="s">
        <v>999</v>
      </c>
      <c r="E1177" t="s">
        <v>49</v>
      </c>
      <c r="F1177" t="s">
        <v>958</v>
      </c>
      <c r="G1177">
        <v>1000000</v>
      </c>
      <c r="H1177">
        <v>145000</v>
      </c>
      <c r="I1177" t="s">
        <v>949</v>
      </c>
    </row>
    <row r="1178" spans="1:9" x14ac:dyDescent="0.25">
      <c r="A1178">
        <v>3130</v>
      </c>
      <c r="B1178">
        <v>10</v>
      </c>
      <c r="C1178" t="s">
        <v>950</v>
      </c>
      <c r="D1178" t="s">
        <v>999</v>
      </c>
      <c r="E1178" t="s">
        <v>49</v>
      </c>
      <c r="F1178" t="s">
        <v>959</v>
      </c>
      <c r="G1178">
        <v>1000000</v>
      </c>
      <c r="H1178">
        <v>145000</v>
      </c>
      <c r="I1178" t="s">
        <v>949</v>
      </c>
    </row>
    <row r="1179" spans="1:9" x14ac:dyDescent="0.25">
      <c r="A1179">
        <v>3130</v>
      </c>
      <c r="B1179">
        <v>10</v>
      </c>
      <c r="C1179" t="s">
        <v>950</v>
      </c>
      <c r="D1179" t="s">
        <v>999</v>
      </c>
      <c r="E1179" t="s">
        <v>49</v>
      </c>
      <c r="F1179" t="s">
        <v>960</v>
      </c>
      <c r="G1179">
        <v>1000000</v>
      </c>
      <c r="H1179">
        <v>145000</v>
      </c>
      <c r="I1179" t="s">
        <v>949</v>
      </c>
    </row>
    <row r="1180" spans="1:9" x14ac:dyDescent="0.25">
      <c r="A1180">
        <v>3130</v>
      </c>
      <c r="B1180">
        <v>10</v>
      </c>
      <c r="C1180" t="s">
        <v>950</v>
      </c>
      <c r="D1180" t="s">
        <v>999</v>
      </c>
      <c r="E1180" t="s">
        <v>49</v>
      </c>
      <c r="F1180" t="s">
        <v>961</v>
      </c>
      <c r="G1180">
        <v>1000000</v>
      </c>
      <c r="H1180">
        <v>145000</v>
      </c>
      <c r="I1180" t="s">
        <v>949</v>
      </c>
    </row>
    <row r="1181" spans="1:9" x14ac:dyDescent="0.25">
      <c r="A1181">
        <v>3130</v>
      </c>
      <c r="B1181">
        <v>10</v>
      </c>
      <c r="C1181" t="s">
        <v>962</v>
      </c>
      <c r="D1181" t="s">
        <v>999</v>
      </c>
      <c r="E1181" t="s">
        <v>49</v>
      </c>
      <c r="F1181" t="s">
        <v>951</v>
      </c>
      <c r="G1181">
        <v>1000000</v>
      </c>
      <c r="H1181">
        <v>145000</v>
      </c>
      <c r="I1181" t="s">
        <v>949</v>
      </c>
    </row>
    <row r="1182" spans="1:9" x14ac:dyDescent="0.25">
      <c r="A1182">
        <v>3130</v>
      </c>
      <c r="B1182">
        <v>10</v>
      </c>
      <c r="C1182" t="s">
        <v>962</v>
      </c>
      <c r="D1182" t="s">
        <v>999</v>
      </c>
      <c r="E1182" t="s">
        <v>49</v>
      </c>
      <c r="F1182" t="s">
        <v>952</v>
      </c>
      <c r="G1182">
        <v>1000000</v>
      </c>
      <c r="H1182">
        <v>145000</v>
      </c>
      <c r="I1182" t="s">
        <v>949</v>
      </c>
    </row>
    <row r="1183" spans="1:9" x14ac:dyDescent="0.25">
      <c r="A1183">
        <v>3130</v>
      </c>
      <c r="B1183">
        <v>10</v>
      </c>
      <c r="C1183" t="s">
        <v>962</v>
      </c>
      <c r="D1183" t="s">
        <v>999</v>
      </c>
      <c r="E1183" t="s">
        <v>49</v>
      </c>
      <c r="F1183" t="s">
        <v>953</v>
      </c>
      <c r="G1183">
        <v>1000000</v>
      </c>
      <c r="H1183">
        <v>145000</v>
      </c>
      <c r="I1183" t="s">
        <v>949</v>
      </c>
    </row>
    <row r="1184" spans="1:9" x14ac:dyDescent="0.25">
      <c r="A1184">
        <v>3130</v>
      </c>
      <c r="B1184">
        <v>10</v>
      </c>
      <c r="C1184" t="s">
        <v>962</v>
      </c>
      <c r="D1184" t="s">
        <v>999</v>
      </c>
      <c r="E1184" t="s">
        <v>49</v>
      </c>
      <c r="F1184" t="s">
        <v>954</v>
      </c>
      <c r="G1184">
        <v>1000000</v>
      </c>
      <c r="H1184">
        <v>145000</v>
      </c>
      <c r="I1184" t="s">
        <v>949</v>
      </c>
    </row>
    <row r="1185" spans="1:9" x14ac:dyDescent="0.25">
      <c r="A1185">
        <v>3130</v>
      </c>
      <c r="B1185">
        <v>10</v>
      </c>
      <c r="C1185" t="s">
        <v>962</v>
      </c>
      <c r="D1185" t="s">
        <v>999</v>
      </c>
      <c r="E1185" t="s">
        <v>49</v>
      </c>
      <c r="F1185" t="s">
        <v>955</v>
      </c>
      <c r="G1185">
        <v>1000000</v>
      </c>
      <c r="H1185">
        <v>145000</v>
      </c>
      <c r="I1185" t="s">
        <v>949</v>
      </c>
    </row>
    <row r="1186" spans="1:9" x14ac:dyDescent="0.25">
      <c r="A1186">
        <v>3130</v>
      </c>
      <c r="B1186">
        <v>10</v>
      </c>
      <c r="C1186" t="s">
        <v>962</v>
      </c>
      <c r="D1186" t="s">
        <v>999</v>
      </c>
      <c r="E1186" t="s">
        <v>49</v>
      </c>
      <c r="F1186" t="s">
        <v>956</v>
      </c>
      <c r="G1186">
        <v>1000000</v>
      </c>
      <c r="H1186">
        <v>145000</v>
      </c>
      <c r="I1186" t="s">
        <v>949</v>
      </c>
    </row>
    <row r="1187" spans="1:9" x14ac:dyDescent="0.25">
      <c r="A1187">
        <v>3130</v>
      </c>
      <c r="B1187">
        <v>10</v>
      </c>
      <c r="C1187" t="s">
        <v>962</v>
      </c>
      <c r="D1187" t="s">
        <v>999</v>
      </c>
      <c r="E1187" t="s">
        <v>49</v>
      </c>
      <c r="F1187" t="s">
        <v>957</v>
      </c>
      <c r="G1187">
        <v>1000000</v>
      </c>
      <c r="H1187">
        <v>145000</v>
      </c>
      <c r="I1187" t="s">
        <v>949</v>
      </c>
    </row>
    <row r="1188" spans="1:9" x14ac:dyDescent="0.25">
      <c r="A1188">
        <v>3130</v>
      </c>
      <c r="B1188">
        <v>10</v>
      </c>
      <c r="C1188" t="s">
        <v>962</v>
      </c>
      <c r="D1188" t="s">
        <v>999</v>
      </c>
      <c r="E1188" t="s">
        <v>49</v>
      </c>
      <c r="F1188" t="s">
        <v>958</v>
      </c>
      <c r="G1188">
        <v>1000000</v>
      </c>
      <c r="H1188">
        <v>145000</v>
      </c>
      <c r="I1188" t="s">
        <v>949</v>
      </c>
    </row>
    <row r="1189" spans="1:9" x14ac:dyDescent="0.25">
      <c r="A1189">
        <v>3130</v>
      </c>
      <c r="B1189">
        <v>10</v>
      </c>
      <c r="C1189" t="s">
        <v>962</v>
      </c>
      <c r="D1189" t="s">
        <v>999</v>
      </c>
      <c r="E1189" t="s">
        <v>49</v>
      </c>
      <c r="F1189" t="s">
        <v>959</v>
      </c>
      <c r="G1189">
        <v>1000000</v>
      </c>
      <c r="H1189">
        <v>145000</v>
      </c>
      <c r="I1189" t="s">
        <v>949</v>
      </c>
    </row>
    <row r="1190" spans="1:9" x14ac:dyDescent="0.25">
      <c r="A1190">
        <v>3130</v>
      </c>
      <c r="B1190">
        <v>10</v>
      </c>
      <c r="C1190" t="s">
        <v>962</v>
      </c>
      <c r="D1190" t="s">
        <v>999</v>
      </c>
      <c r="E1190" t="s">
        <v>49</v>
      </c>
      <c r="F1190" t="s">
        <v>960</v>
      </c>
      <c r="G1190">
        <v>1000000</v>
      </c>
      <c r="H1190">
        <v>145000</v>
      </c>
      <c r="I1190" t="s">
        <v>949</v>
      </c>
    </row>
    <row r="1191" spans="1:9" x14ac:dyDescent="0.25">
      <c r="A1191">
        <v>3130</v>
      </c>
      <c r="B1191">
        <v>10</v>
      </c>
      <c r="C1191" t="s">
        <v>962</v>
      </c>
      <c r="D1191" t="s">
        <v>999</v>
      </c>
      <c r="E1191" t="s">
        <v>49</v>
      </c>
      <c r="F1191" t="s">
        <v>961</v>
      </c>
      <c r="G1191">
        <v>1000000</v>
      </c>
      <c r="H1191">
        <v>145000</v>
      </c>
      <c r="I1191" t="s">
        <v>949</v>
      </c>
    </row>
    <row r="1192" spans="1:9" x14ac:dyDescent="0.25">
      <c r="A1192">
        <v>3130</v>
      </c>
      <c r="B1192">
        <v>10</v>
      </c>
      <c r="C1192" t="s">
        <v>963</v>
      </c>
      <c r="D1192" t="s">
        <v>999</v>
      </c>
      <c r="E1192" t="s">
        <v>49</v>
      </c>
      <c r="F1192" t="s">
        <v>951</v>
      </c>
      <c r="G1192">
        <v>1000000</v>
      </c>
      <c r="H1192">
        <v>145000</v>
      </c>
      <c r="I1192" t="s">
        <v>949</v>
      </c>
    </row>
    <row r="1193" spans="1:9" x14ac:dyDescent="0.25">
      <c r="A1193">
        <v>3130</v>
      </c>
      <c r="B1193">
        <v>10</v>
      </c>
      <c r="C1193" t="s">
        <v>963</v>
      </c>
      <c r="D1193" t="s">
        <v>999</v>
      </c>
      <c r="E1193" t="s">
        <v>49</v>
      </c>
      <c r="F1193" t="s">
        <v>952</v>
      </c>
      <c r="G1193">
        <v>1000000</v>
      </c>
      <c r="H1193">
        <v>145000</v>
      </c>
      <c r="I1193" t="s">
        <v>949</v>
      </c>
    </row>
    <row r="1194" spans="1:9" x14ac:dyDescent="0.25">
      <c r="A1194">
        <v>3130</v>
      </c>
      <c r="B1194">
        <v>10</v>
      </c>
      <c r="C1194" t="s">
        <v>963</v>
      </c>
      <c r="D1194" t="s">
        <v>999</v>
      </c>
      <c r="E1194" t="s">
        <v>49</v>
      </c>
      <c r="F1194" t="s">
        <v>953</v>
      </c>
      <c r="G1194">
        <v>1000000</v>
      </c>
      <c r="H1194">
        <v>145000</v>
      </c>
      <c r="I1194" t="s">
        <v>949</v>
      </c>
    </row>
    <row r="1195" spans="1:9" x14ac:dyDescent="0.25">
      <c r="A1195">
        <v>3130</v>
      </c>
      <c r="B1195">
        <v>10</v>
      </c>
      <c r="C1195" t="s">
        <v>963</v>
      </c>
      <c r="D1195" t="s">
        <v>999</v>
      </c>
      <c r="E1195" t="s">
        <v>49</v>
      </c>
      <c r="F1195" t="s">
        <v>954</v>
      </c>
      <c r="G1195">
        <v>1000000</v>
      </c>
      <c r="H1195">
        <v>145000</v>
      </c>
      <c r="I1195" t="s">
        <v>949</v>
      </c>
    </row>
    <row r="1196" spans="1:9" x14ac:dyDescent="0.25">
      <c r="A1196">
        <v>3130</v>
      </c>
      <c r="B1196">
        <v>10</v>
      </c>
      <c r="C1196" t="s">
        <v>963</v>
      </c>
      <c r="D1196" t="s">
        <v>999</v>
      </c>
      <c r="E1196" t="s">
        <v>49</v>
      </c>
      <c r="F1196" t="s">
        <v>955</v>
      </c>
      <c r="G1196">
        <v>1000000</v>
      </c>
      <c r="H1196">
        <v>145000</v>
      </c>
      <c r="I1196" t="s">
        <v>949</v>
      </c>
    </row>
    <row r="1197" spans="1:9" x14ac:dyDescent="0.25">
      <c r="A1197">
        <v>3130</v>
      </c>
      <c r="B1197">
        <v>10</v>
      </c>
      <c r="C1197" t="s">
        <v>963</v>
      </c>
      <c r="D1197" t="s">
        <v>999</v>
      </c>
      <c r="E1197" t="s">
        <v>49</v>
      </c>
      <c r="F1197" t="s">
        <v>956</v>
      </c>
      <c r="G1197">
        <v>1000000</v>
      </c>
      <c r="H1197">
        <v>145000</v>
      </c>
      <c r="I1197" t="s">
        <v>949</v>
      </c>
    </row>
    <row r="1198" spans="1:9" x14ac:dyDescent="0.25">
      <c r="A1198">
        <v>3130</v>
      </c>
      <c r="B1198">
        <v>10</v>
      </c>
      <c r="C1198" t="s">
        <v>963</v>
      </c>
      <c r="D1198" t="s">
        <v>999</v>
      </c>
      <c r="E1198" t="s">
        <v>49</v>
      </c>
      <c r="F1198" t="s">
        <v>957</v>
      </c>
      <c r="G1198">
        <v>1000000</v>
      </c>
      <c r="H1198">
        <v>145000</v>
      </c>
      <c r="I1198" t="s">
        <v>949</v>
      </c>
    </row>
    <row r="1199" spans="1:9" x14ac:dyDescent="0.25">
      <c r="A1199">
        <v>3130</v>
      </c>
      <c r="B1199">
        <v>10</v>
      </c>
      <c r="C1199" t="s">
        <v>963</v>
      </c>
      <c r="D1199" t="s">
        <v>999</v>
      </c>
      <c r="E1199" t="s">
        <v>49</v>
      </c>
      <c r="F1199" t="s">
        <v>958</v>
      </c>
      <c r="G1199">
        <v>1000000</v>
      </c>
      <c r="H1199">
        <v>145000</v>
      </c>
      <c r="I1199" t="s">
        <v>949</v>
      </c>
    </row>
    <row r="1200" spans="1:9" x14ac:dyDescent="0.25">
      <c r="A1200">
        <v>3130</v>
      </c>
      <c r="B1200">
        <v>10</v>
      </c>
      <c r="C1200" t="s">
        <v>963</v>
      </c>
      <c r="D1200" t="s">
        <v>999</v>
      </c>
      <c r="E1200" t="s">
        <v>49</v>
      </c>
      <c r="F1200" t="s">
        <v>959</v>
      </c>
      <c r="G1200">
        <v>1000000</v>
      </c>
      <c r="H1200">
        <v>145000</v>
      </c>
      <c r="I1200" t="s">
        <v>949</v>
      </c>
    </row>
    <row r="1201" spans="1:9" x14ac:dyDescent="0.25">
      <c r="A1201">
        <v>3130</v>
      </c>
      <c r="B1201">
        <v>10</v>
      </c>
      <c r="C1201" t="s">
        <v>963</v>
      </c>
      <c r="D1201" t="s">
        <v>999</v>
      </c>
      <c r="E1201" t="s">
        <v>49</v>
      </c>
      <c r="F1201" t="s">
        <v>960</v>
      </c>
      <c r="G1201">
        <v>1000000</v>
      </c>
      <c r="H1201">
        <v>145000</v>
      </c>
      <c r="I1201" t="s">
        <v>949</v>
      </c>
    </row>
    <row r="1202" spans="1:9" x14ac:dyDescent="0.25">
      <c r="A1202">
        <v>3130</v>
      </c>
      <c r="B1202">
        <v>10</v>
      </c>
      <c r="C1202" t="s">
        <v>963</v>
      </c>
      <c r="D1202" t="s">
        <v>999</v>
      </c>
      <c r="E1202" t="s">
        <v>49</v>
      </c>
      <c r="F1202" t="s">
        <v>961</v>
      </c>
      <c r="G1202">
        <v>1000000</v>
      </c>
      <c r="H1202">
        <v>145000</v>
      </c>
      <c r="I1202" t="s">
        <v>949</v>
      </c>
    </row>
    <row r="1203" spans="1:9" x14ac:dyDescent="0.25">
      <c r="A1203">
        <v>3400</v>
      </c>
      <c r="B1203">
        <v>10</v>
      </c>
      <c r="C1203" t="s">
        <v>962</v>
      </c>
      <c r="D1203" t="s">
        <v>999</v>
      </c>
      <c r="E1203" t="s">
        <v>49</v>
      </c>
      <c r="F1203" t="s">
        <v>959</v>
      </c>
      <c r="G1203">
        <v>1001355</v>
      </c>
      <c r="H1203">
        <v>500400</v>
      </c>
      <c r="I1203" t="s">
        <v>983</v>
      </c>
    </row>
    <row r="1204" spans="1:9" x14ac:dyDescent="0.25">
      <c r="A1204">
        <v>3400</v>
      </c>
      <c r="B1204">
        <v>10</v>
      </c>
      <c r="C1204" t="s">
        <v>962</v>
      </c>
      <c r="D1204" t="s">
        <v>999</v>
      </c>
      <c r="E1204" t="s">
        <v>49</v>
      </c>
      <c r="F1204" t="s">
        <v>960</v>
      </c>
      <c r="G1204">
        <v>1001355</v>
      </c>
      <c r="H1204">
        <v>500400</v>
      </c>
      <c r="I1204" t="s">
        <v>949</v>
      </c>
    </row>
    <row r="1205" spans="1:9" x14ac:dyDescent="0.25">
      <c r="A1205">
        <v>3400</v>
      </c>
      <c r="B1205">
        <v>10</v>
      </c>
      <c r="C1205" t="s">
        <v>962</v>
      </c>
      <c r="D1205" t="s">
        <v>999</v>
      </c>
      <c r="E1205" t="s">
        <v>49</v>
      </c>
      <c r="F1205" t="s">
        <v>961</v>
      </c>
      <c r="G1205">
        <v>1001355</v>
      </c>
      <c r="H1205">
        <v>500400</v>
      </c>
      <c r="I1205" t="s">
        <v>949</v>
      </c>
    </row>
    <row r="1206" ht="22" customHeight="1" spans="1:10" x14ac:dyDescent="0.25">
      <c r="A1206" s="43">
        <v>3130</v>
      </c>
      <c r="B1206" s="43">
        <v>10</v>
      </c>
      <c r="C1206" s="43" t="s">
        <v>950</v>
      </c>
      <c r="D1206" s="43" t="s">
        <v>999</v>
      </c>
      <c r="E1206" s="43" t="s">
        <v>243</v>
      </c>
      <c r="F1206" s="43" t="s">
        <v>951</v>
      </c>
      <c r="G1206" s="43">
        <v>1000000</v>
      </c>
      <c r="H1206" s="43">
        <v>145000</v>
      </c>
      <c r="I1206" s="43" t="s">
        <v>949</v>
      </c>
      <c r="J1206" s="44" t="s">
        <v>1000</v>
      </c>
    </row>
    <row r="1207" ht="22" customHeight="1" spans="1:10" x14ac:dyDescent="0.25">
      <c r="A1207" s="43">
        <v>3130</v>
      </c>
      <c r="B1207" s="43">
        <v>10</v>
      </c>
      <c r="C1207" s="43" t="s">
        <v>950</v>
      </c>
      <c r="D1207" s="43" t="s">
        <v>999</v>
      </c>
      <c r="E1207" s="43" t="s">
        <v>243</v>
      </c>
      <c r="F1207" s="43" t="s">
        <v>952</v>
      </c>
      <c r="G1207" s="43">
        <v>1000000</v>
      </c>
      <c r="H1207" s="43">
        <v>145000</v>
      </c>
      <c r="I1207" s="43" t="s">
        <v>949</v>
      </c>
      <c r="J1207" s="44" t="s">
        <v>1000</v>
      </c>
    </row>
    <row r="1208" ht="22" customHeight="1" spans="1:10" x14ac:dyDescent="0.25">
      <c r="A1208" s="43">
        <v>3130</v>
      </c>
      <c r="B1208" s="43">
        <v>10</v>
      </c>
      <c r="C1208" s="43" t="s">
        <v>950</v>
      </c>
      <c r="D1208" s="43" t="s">
        <v>999</v>
      </c>
      <c r="E1208" s="43" t="s">
        <v>243</v>
      </c>
      <c r="F1208" s="43" t="s">
        <v>953</v>
      </c>
      <c r="G1208" s="43">
        <v>1000000</v>
      </c>
      <c r="H1208" s="43">
        <v>145000</v>
      </c>
      <c r="I1208" s="43" t="s">
        <v>949</v>
      </c>
      <c r="J1208" s="44" t="s">
        <v>1000</v>
      </c>
    </row>
    <row r="1209" ht="22" customHeight="1" spans="1:10" x14ac:dyDescent="0.25">
      <c r="A1209" s="43">
        <v>3130</v>
      </c>
      <c r="B1209" s="43">
        <v>10</v>
      </c>
      <c r="C1209" s="43" t="s">
        <v>950</v>
      </c>
      <c r="D1209" s="43" t="s">
        <v>999</v>
      </c>
      <c r="E1209" s="43" t="s">
        <v>243</v>
      </c>
      <c r="F1209" s="43" t="s">
        <v>954</v>
      </c>
      <c r="G1209" s="43">
        <v>1000000</v>
      </c>
      <c r="H1209" s="43">
        <v>145000</v>
      </c>
      <c r="I1209" s="43" t="s">
        <v>949</v>
      </c>
      <c r="J1209" s="44" t="s">
        <v>1000</v>
      </c>
    </row>
    <row r="1210" ht="22" customHeight="1" spans="1:10" x14ac:dyDescent="0.25">
      <c r="A1210" s="43">
        <v>3130</v>
      </c>
      <c r="B1210" s="43">
        <v>10</v>
      </c>
      <c r="C1210" s="43" t="s">
        <v>950</v>
      </c>
      <c r="D1210" s="43" t="s">
        <v>999</v>
      </c>
      <c r="E1210" s="43" t="s">
        <v>243</v>
      </c>
      <c r="F1210" s="43" t="s">
        <v>955</v>
      </c>
      <c r="G1210" s="43">
        <v>1000000</v>
      </c>
      <c r="H1210" s="43">
        <v>145000</v>
      </c>
      <c r="I1210" s="43" t="s">
        <v>949</v>
      </c>
      <c r="J1210" s="44" t="s">
        <v>1000</v>
      </c>
    </row>
    <row r="1211" ht="22" customHeight="1" spans="1:10" x14ac:dyDescent="0.25">
      <c r="A1211" s="43">
        <v>3130</v>
      </c>
      <c r="B1211" s="43">
        <v>10</v>
      </c>
      <c r="C1211" s="43" t="s">
        <v>950</v>
      </c>
      <c r="D1211" s="43" t="s">
        <v>999</v>
      </c>
      <c r="E1211" s="43" t="s">
        <v>243</v>
      </c>
      <c r="F1211" s="43" t="s">
        <v>956</v>
      </c>
      <c r="G1211" s="43">
        <v>1000000</v>
      </c>
      <c r="H1211" s="43">
        <v>145000</v>
      </c>
      <c r="I1211" s="43" t="s">
        <v>949</v>
      </c>
      <c r="J1211" s="44" t="s">
        <v>1000</v>
      </c>
    </row>
    <row r="1212" ht="22" customHeight="1" spans="1:10" x14ac:dyDescent="0.25">
      <c r="A1212" s="43">
        <v>3130</v>
      </c>
      <c r="B1212" s="43">
        <v>10</v>
      </c>
      <c r="C1212" s="43" t="s">
        <v>950</v>
      </c>
      <c r="D1212" s="43" t="s">
        <v>999</v>
      </c>
      <c r="E1212" s="43" t="s">
        <v>243</v>
      </c>
      <c r="F1212" s="43" t="s">
        <v>957</v>
      </c>
      <c r="G1212" s="43">
        <v>1000000</v>
      </c>
      <c r="H1212" s="43">
        <v>145000</v>
      </c>
      <c r="I1212" s="43" t="s">
        <v>949</v>
      </c>
      <c r="J1212" s="44" t="s">
        <v>1000</v>
      </c>
    </row>
    <row r="1213" ht="22" customHeight="1" spans="1:10" x14ac:dyDescent="0.25">
      <c r="A1213" s="43">
        <v>3130</v>
      </c>
      <c r="B1213" s="43">
        <v>10</v>
      </c>
      <c r="C1213" s="43" t="s">
        <v>950</v>
      </c>
      <c r="D1213" s="43" t="s">
        <v>999</v>
      </c>
      <c r="E1213" s="43" t="s">
        <v>243</v>
      </c>
      <c r="F1213" s="43" t="s">
        <v>958</v>
      </c>
      <c r="G1213" s="43">
        <v>1000000</v>
      </c>
      <c r="H1213" s="43">
        <v>145000</v>
      </c>
      <c r="I1213" s="43" t="s">
        <v>949</v>
      </c>
      <c r="J1213" s="44" t="s">
        <v>1000</v>
      </c>
    </row>
    <row r="1214" ht="22" customHeight="1" spans="1:10" x14ac:dyDescent="0.25">
      <c r="A1214" s="43">
        <v>3130</v>
      </c>
      <c r="B1214" s="43">
        <v>10</v>
      </c>
      <c r="C1214" s="43" t="s">
        <v>950</v>
      </c>
      <c r="D1214" s="43" t="s">
        <v>999</v>
      </c>
      <c r="E1214" s="43" t="s">
        <v>243</v>
      </c>
      <c r="F1214" s="43" t="s">
        <v>959</v>
      </c>
      <c r="G1214" s="43">
        <v>1000000</v>
      </c>
      <c r="H1214" s="43">
        <v>145000</v>
      </c>
      <c r="I1214" s="43" t="s">
        <v>949</v>
      </c>
      <c r="J1214" s="44" t="s">
        <v>1000</v>
      </c>
    </row>
    <row r="1215" ht="22" customHeight="1" spans="1:10" x14ac:dyDescent="0.25">
      <c r="A1215" s="43">
        <v>3130</v>
      </c>
      <c r="B1215" s="43">
        <v>10</v>
      </c>
      <c r="C1215" s="43" t="s">
        <v>950</v>
      </c>
      <c r="D1215" s="43" t="s">
        <v>999</v>
      </c>
      <c r="E1215" s="43" t="s">
        <v>243</v>
      </c>
      <c r="F1215" s="43" t="s">
        <v>960</v>
      </c>
      <c r="G1215" s="43">
        <v>1000000</v>
      </c>
      <c r="H1215" s="43">
        <v>145000</v>
      </c>
      <c r="I1215" s="43" t="s">
        <v>949</v>
      </c>
      <c r="J1215" s="44" t="s">
        <v>1000</v>
      </c>
    </row>
    <row r="1216" ht="22" customHeight="1" spans="1:10" x14ac:dyDescent="0.25">
      <c r="A1216" s="43">
        <v>3130</v>
      </c>
      <c r="B1216" s="43">
        <v>10</v>
      </c>
      <c r="C1216" s="43" t="s">
        <v>950</v>
      </c>
      <c r="D1216" s="43" t="s">
        <v>999</v>
      </c>
      <c r="E1216" s="43" t="s">
        <v>243</v>
      </c>
      <c r="F1216" s="43" t="s">
        <v>961</v>
      </c>
      <c r="G1216" s="43">
        <v>1000000</v>
      </c>
      <c r="H1216" s="43">
        <v>145000</v>
      </c>
      <c r="I1216" s="43" t="s">
        <v>949</v>
      </c>
      <c r="J1216" s="44" t="s">
        <v>1000</v>
      </c>
    </row>
    <row r="1217" ht="22" customHeight="1" spans="1:10" x14ac:dyDescent="0.25">
      <c r="A1217" s="43">
        <v>3130</v>
      </c>
      <c r="B1217" s="43">
        <v>10</v>
      </c>
      <c r="C1217" s="43" t="s">
        <v>962</v>
      </c>
      <c r="D1217" s="43" t="s">
        <v>999</v>
      </c>
      <c r="E1217" s="43" t="s">
        <v>243</v>
      </c>
      <c r="F1217" s="43" t="s">
        <v>951</v>
      </c>
      <c r="G1217" s="43">
        <v>1000000</v>
      </c>
      <c r="H1217" s="43">
        <v>145000</v>
      </c>
      <c r="I1217" s="43" t="s">
        <v>949</v>
      </c>
      <c r="J1217" s="44" t="s">
        <v>1000</v>
      </c>
    </row>
    <row r="1218" ht="22" customHeight="1" spans="1:10" x14ac:dyDescent="0.25">
      <c r="A1218" s="43">
        <v>3130</v>
      </c>
      <c r="B1218" s="43">
        <v>10</v>
      </c>
      <c r="C1218" s="43" t="s">
        <v>962</v>
      </c>
      <c r="D1218" s="43" t="s">
        <v>999</v>
      </c>
      <c r="E1218" s="43" t="s">
        <v>243</v>
      </c>
      <c r="F1218" s="43" t="s">
        <v>952</v>
      </c>
      <c r="G1218" s="43">
        <v>1000000</v>
      </c>
      <c r="H1218" s="43">
        <v>145000</v>
      </c>
      <c r="I1218" s="43" t="s">
        <v>949</v>
      </c>
      <c r="J1218" s="44" t="s">
        <v>1000</v>
      </c>
    </row>
    <row r="1219" ht="22" customHeight="1" spans="1:10" x14ac:dyDescent="0.25">
      <c r="A1219" s="43">
        <v>3130</v>
      </c>
      <c r="B1219" s="43">
        <v>10</v>
      </c>
      <c r="C1219" s="43" t="s">
        <v>962</v>
      </c>
      <c r="D1219" s="43" t="s">
        <v>999</v>
      </c>
      <c r="E1219" s="43" t="s">
        <v>243</v>
      </c>
      <c r="F1219" s="43" t="s">
        <v>953</v>
      </c>
      <c r="G1219" s="43">
        <v>1000000</v>
      </c>
      <c r="H1219" s="43">
        <v>145000</v>
      </c>
      <c r="I1219" s="43" t="s">
        <v>949</v>
      </c>
      <c r="J1219" s="44" t="s">
        <v>1000</v>
      </c>
    </row>
    <row r="1220" ht="22" customHeight="1" spans="1:10" x14ac:dyDescent="0.25">
      <c r="A1220" s="43">
        <v>3130</v>
      </c>
      <c r="B1220" s="43">
        <v>10</v>
      </c>
      <c r="C1220" s="43" t="s">
        <v>962</v>
      </c>
      <c r="D1220" s="43" t="s">
        <v>999</v>
      </c>
      <c r="E1220" s="43" t="s">
        <v>243</v>
      </c>
      <c r="F1220" s="43" t="s">
        <v>954</v>
      </c>
      <c r="G1220" s="43">
        <v>1000000</v>
      </c>
      <c r="H1220" s="43">
        <v>145000</v>
      </c>
      <c r="I1220" s="43" t="s">
        <v>949</v>
      </c>
      <c r="J1220" s="44" t="s">
        <v>1000</v>
      </c>
    </row>
    <row r="1221" ht="22" customHeight="1" spans="1:10" x14ac:dyDescent="0.25">
      <c r="A1221" s="43">
        <v>3130</v>
      </c>
      <c r="B1221" s="43">
        <v>10</v>
      </c>
      <c r="C1221" s="43" t="s">
        <v>962</v>
      </c>
      <c r="D1221" s="43" t="s">
        <v>999</v>
      </c>
      <c r="E1221" s="43" t="s">
        <v>243</v>
      </c>
      <c r="F1221" s="43" t="s">
        <v>955</v>
      </c>
      <c r="G1221" s="43">
        <v>1000000</v>
      </c>
      <c r="H1221" s="43">
        <v>145000</v>
      </c>
      <c r="I1221" s="43" t="s">
        <v>949</v>
      </c>
      <c r="J1221" s="44" t="s">
        <v>1000</v>
      </c>
    </row>
    <row r="1222" ht="22" customHeight="1" spans="1:10" x14ac:dyDescent="0.25">
      <c r="A1222" s="43">
        <v>3130</v>
      </c>
      <c r="B1222" s="43">
        <v>10</v>
      </c>
      <c r="C1222" s="43" t="s">
        <v>962</v>
      </c>
      <c r="D1222" s="43" t="s">
        <v>999</v>
      </c>
      <c r="E1222" s="43" t="s">
        <v>243</v>
      </c>
      <c r="F1222" s="43" t="s">
        <v>956</v>
      </c>
      <c r="G1222" s="43">
        <v>1000000</v>
      </c>
      <c r="H1222" s="43">
        <v>145000</v>
      </c>
      <c r="I1222" s="43" t="s">
        <v>949</v>
      </c>
      <c r="J1222" s="44" t="s">
        <v>1000</v>
      </c>
    </row>
    <row r="1223" ht="22" customHeight="1" spans="1:10" x14ac:dyDescent="0.25">
      <c r="A1223" s="43">
        <v>3130</v>
      </c>
      <c r="B1223" s="43">
        <v>10</v>
      </c>
      <c r="C1223" s="43" t="s">
        <v>962</v>
      </c>
      <c r="D1223" s="43" t="s">
        <v>999</v>
      </c>
      <c r="E1223" s="43" t="s">
        <v>243</v>
      </c>
      <c r="F1223" s="43" t="s">
        <v>957</v>
      </c>
      <c r="G1223" s="43">
        <v>1000000</v>
      </c>
      <c r="H1223" s="43">
        <v>145000</v>
      </c>
      <c r="I1223" s="43" t="s">
        <v>949</v>
      </c>
      <c r="J1223" s="44" t="s">
        <v>1000</v>
      </c>
    </row>
    <row r="1224" ht="22" customHeight="1" spans="1:10" x14ac:dyDescent="0.25">
      <c r="A1224" s="43">
        <v>3130</v>
      </c>
      <c r="B1224" s="43">
        <v>10</v>
      </c>
      <c r="C1224" s="43" t="s">
        <v>962</v>
      </c>
      <c r="D1224" s="43" t="s">
        <v>999</v>
      </c>
      <c r="E1224" s="43" t="s">
        <v>243</v>
      </c>
      <c r="F1224" s="43" t="s">
        <v>958</v>
      </c>
      <c r="G1224" s="43">
        <v>1000000</v>
      </c>
      <c r="H1224" s="43">
        <v>145000</v>
      </c>
      <c r="I1224" s="43" t="s">
        <v>949</v>
      </c>
      <c r="J1224" s="44" t="s">
        <v>1000</v>
      </c>
    </row>
    <row r="1225" ht="22" customHeight="1" spans="1:10" x14ac:dyDescent="0.25">
      <c r="A1225" s="43">
        <v>3130</v>
      </c>
      <c r="B1225" s="43">
        <v>10</v>
      </c>
      <c r="C1225" s="43" t="s">
        <v>962</v>
      </c>
      <c r="D1225" s="43" t="s">
        <v>999</v>
      </c>
      <c r="E1225" s="43" t="s">
        <v>243</v>
      </c>
      <c r="F1225" s="43" t="s">
        <v>959</v>
      </c>
      <c r="G1225" s="43">
        <v>1000000</v>
      </c>
      <c r="H1225" s="43">
        <v>145000</v>
      </c>
      <c r="I1225" s="43" t="s">
        <v>949</v>
      </c>
      <c r="J1225" s="44" t="s">
        <v>1000</v>
      </c>
    </row>
    <row r="1226" ht="22" customHeight="1" spans="1:10" x14ac:dyDescent="0.25">
      <c r="A1226" s="43">
        <v>3130</v>
      </c>
      <c r="B1226" s="43">
        <v>10</v>
      </c>
      <c r="C1226" s="43" t="s">
        <v>962</v>
      </c>
      <c r="D1226" s="43" t="s">
        <v>999</v>
      </c>
      <c r="E1226" s="43" t="s">
        <v>243</v>
      </c>
      <c r="F1226" s="43" t="s">
        <v>960</v>
      </c>
      <c r="G1226" s="43">
        <v>1000000</v>
      </c>
      <c r="H1226" s="43">
        <v>145000</v>
      </c>
      <c r="I1226" s="43" t="s">
        <v>949</v>
      </c>
      <c r="J1226" s="44" t="s">
        <v>1000</v>
      </c>
    </row>
    <row r="1227" ht="22" customHeight="1" spans="1:10" x14ac:dyDescent="0.25">
      <c r="A1227" s="43">
        <v>3130</v>
      </c>
      <c r="B1227" s="43">
        <v>10</v>
      </c>
      <c r="C1227" s="43" t="s">
        <v>962</v>
      </c>
      <c r="D1227" s="43" t="s">
        <v>999</v>
      </c>
      <c r="E1227" s="43" t="s">
        <v>243</v>
      </c>
      <c r="F1227" s="43" t="s">
        <v>961</v>
      </c>
      <c r="G1227" s="43">
        <v>1000000</v>
      </c>
      <c r="H1227" s="43">
        <v>145000</v>
      </c>
      <c r="I1227" s="43" t="s">
        <v>949</v>
      </c>
      <c r="J1227" s="44" t="s">
        <v>1000</v>
      </c>
    </row>
    <row r="1228" ht="22" customHeight="1" spans="1:10" x14ac:dyDescent="0.25">
      <c r="A1228" s="43">
        <v>3130</v>
      </c>
      <c r="B1228" s="43">
        <v>10</v>
      </c>
      <c r="C1228" s="43" t="s">
        <v>963</v>
      </c>
      <c r="D1228" s="43" t="s">
        <v>999</v>
      </c>
      <c r="E1228" s="43" t="s">
        <v>243</v>
      </c>
      <c r="F1228" s="43" t="s">
        <v>951</v>
      </c>
      <c r="G1228" s="43">
        <v>1000000</v>
      </c>
      <c r="H1228" s="43">
        <v>145000</v>
      </c>
      <c r="I1228" s="43" t="s">
        <v>949</v>
      </c>
      <c r="J1228" s="44" t="s">
        <v>1000</v>
      </c>
    </row>
    <row r="1229" ht="22" customHeight="1" spans="1:10" x14ac:dyDescent="0.25">
      <c r="A1229" s="43">
        <v>3130</v>
      </c>
      <c r="B1229" s="43">
        <v>10</v>
      </c>
      <c r="C1229" s="43" t="s">
        <v>963</v>
      </c>
      <c r="D1229" s="43" t="s">
        <v>999</v>
      </c>
      <c r="E1229" s="43" t="s">
        <v>243</v>
      </c>
      <c r="F1229" s="43" t="s">
        <v>952</v>
      </c>
      <c r="G1229" s="43">
        <v>1000000</v>
      </c>
      <c r="H1229" s="43">
        <v>145000</v>
      </c>
      <c r="I1229" s="43" t="s">
        <v>949</v>
      </c>
      <c r="J1229" s="44" t="s">
        <v>1000</v>
      </c>
    </row>
    <row r="1230" ht="22" customHeight="1" spans="1:10" x14ac:dyDescent="0.25">
      <c r="A1230" s="43">
        <v>3130</v>
      </c>
      <c r="B1230" s="43">
        <v>10</v>
      </c>
      <c r="C1230" s="43" t="s">
        <v>963</v>
      </c>
      <c r="D1230" s="43" t="s">
        <v>999</v>
      </c>
      <c r="E1230" s="43" t="s">
        <v>243</v>
      </c>
      <c r="F1230" s="43" t="s">
        <v>953</v>
      </c>
      <c r="G1230" s="43">
        <v>1000000</v>
      </c>
      <c r="H1230" s="43">
        <v>145000</v>
      </c>
      <c r="I1230" s="43" t="s">
        <v>949</v>
      </c>
      <c r="J1230" s="44" t="s">
        <v>1000</v>
      </c>
    </row>
    <row r="1231" ht="22" customHeight="1" spans="1:10" x14ac:dyDescent="0.25">
      <c r="A1231" s="43">
        <v>3130</v>
      </c>
      <c r="B1231" s="43">
        <v>10</v>
      </c>
      <c r="C1231" s="43" t="s">
        <v>963</v>
      </c>
      <c r="D1231" s="43" t="s">
        <v>999</v>
      </c>
      <c r="E1231" s="43" t="s">
        <v>243</v>
      </c>
      <c r="F1231" s="43" t="s">
        <v>954</v>
      </c>
      <c r="G1231" s="43">
        <v>1000000</v>
      </c>
      <c r="H1231" s="43">
        <v>145000</v>
      </c>
      <c r="I1231" s="43" t="s">
        <v>949</v>
      </c>
      <c r="J1231" s="44" t="s">
        <v>1000</v>
      </c>
    </row>
    <row r="1232" ht="22" customHeight="1" spans="1:10" x14ac:dyDescent="0.25">
      <c r="A1232" s="43">
        <v>3130</v>
      </c>
      <c r="B1232" s="43">
        <v>10</v>
      </c>
      <c r="C1232" s="43" t="s">
        <v>963</v>
      </c>
      <c r="D1232" s="43" t="s">
        <v>999</v>
      </c>
      <c r="E1232" s="43" t="s">
        <v>243</v>
      </c>
      <c r="F1232" s="43" t="s">
        <v>955</v>
      </c>
      <c r="G1232" s="43">
        <v>1000000</v>
      </c>
      <c r="H1232" s="43">
        <v>145000</v>
      </c>
      <c r="I1232" s="43" t="s">
        <v>949</v>
      </c>
      <c r="J1232" s="44" t="s">
        <v>1000</v>
      </c>
    </row>
    <row r="1233" ht="22" customHeight="1" spans="1:10" x14ac:dyDescent="0.25">
      <c r="A1233" s="43">
        <v>3130</v>
      </c>
      <c r="B1233" s="43">
        <v>10</v>
      </c>
      <c r="C1233" s="43" t="s">
        <v>963</v>
      </c>
      <c r="D1233" s="43" t="s">
        <v>999</v>
      </c>
      <c r="E1233" s="43" t="s">
        <v>243</v>
      </c>
      <c r="F1233" s="43" t="s">
        <v>956</v>
      </c>
      <c r="G1233" s="43">
        <v>1000000</v>
      </c>
      <c r="H1233" s="43">
        <v>145000</v>
      </c>
      <c r="I1233" s="43" t="s">
        <v>949</v>
      </c>
      <c r="J1233" s="44" t="s">
        <v>1000</v>
      </c>
    </row>
    <row r="1234" ht="22" customHeight="1" spans="1:10" x14ac:dyDescent="0.25">
      <c r="A1234" s="43">
        <v>3130</v>
      </c>
      <c r="B1234" s="43">
        <v>10</v>
      </c>
      <c r="C1234" s="43" t="s">
        <v>963</v>
      </c>
      <c r="D1234" s="43" t="s">
        <v>999</v>
      </c>
      <c r="E1234" s="43" t="s">
        <v>243</v>
      </c>
      <c r="F1234" s="43" t="s">
        <v>957</v>
      </c>
      <c r="G1234" s="43">
        <v>1000000</v>
      </c>
      <c r="H1234" s="43">
        <v>145000</v>
      </c>
      <c r="I1234" s="43" t="s">
        <v>949</v>
      </c>
      <c r="J1234" s="44" t="s">
        <v>1000</v>
      </c>
    </row>
    <row r="1235" ht="22" customHeight="1" spans="1:10" x14ac:dyDescent="0.25">
      <c r="A1235" s="43">
        <v>3130</v>
      </c>
      <c r="B1235" s="43">
        <v>10</v>
      </c>
      <c r="C1235" s="43" t="s">
        <v>963</v>
      </c>
      <c r="D1235" s="43" t="s">
        <v>999</v>
      </c>
      <c r="E1235" s="43" t="s">
        <v>243</v>
      </c>
      <c r="F1235" s="43" t="s">
        <v>958</v>
      </c>
      <c r="G1235" s="43">
        <v>1000000</v>
      </c>
      <c r="H1235" s="43">
        <v>145000</v>
      </c>
      <c r="I1235" s="43" t="s">
        <v>949</v>
      </c>
      <c r="J1235" s="44" t="s">
        <v>1000</v>
      </c>
    </row>
    <row r="1236" ht="22" customHeight="1" spans="1:10" x14ac:dyDescent="0.25">
      <c r="A1236" s="43">
        <v>3130</v>
      </c>
      <c r="B1236" s="43">
        <v>10</v>
      </c>
      <c r="C1236" s="43" t="s">
        <v>963</v>
      </c>
      <c r="D1236" s="43" t="s">
        <v>999</v>
      </c>
      <c r="E1236" s="43" t="s">
        <v>243</v>
      </c>
      <c r="F1236" s="43" t="s">
        <v>959</v>
      </c>
      <c r="G1236" s="43">
        <v>1000000</v>
      </c>
      <c r="H1236" s="43">
        <v>145000</v>
      </c>
      <c r="I1236" s="43" t="s">
        <v>949</v>
      </c>
      <c r="J1236" s="44" t="s">
        <v>1000</v>
      </c>
    </row>
    <row r="1237" ht="22" customHeight="1" spans="1:10" x14ac:dyDescent="0.25">
      <c r="A1237" s="43">
        <v>3130</v>
      </c>
      <c r="B1237" s="43">
        <v>10</v>
      </c>
      <c r="C1237" s="43" t="s">
        <v>963</v>
      </c>
      <c r="D1237" s="43" t="s">
        <v>999</v>
      </c>
      <c r="E1237" s="43" t="s">
        <v>243</v>
      </c>
      <c r="F1237" s="43" t="s">
        <v>960</v>
      </c>
      <c r="G1237" s="43">
        <v>1000000</v>
      </c>
      <c r="H1237" s="43">
        <v>145000</v>
      </c>
      <c r="I1237" s="43" t="s">
        <v>949</v>
      </c>
      <c r="J1237" s="44" t="s">
        <v>1000</v>
      </c>
    </row>
    <row r="1238" ht="22" customHeight="1" spans="1:10" x14ac:dyDescent="0.25">
      <c r="A1238" s="43">
        <v>3130</v>
      </c>
      <c r="B1238" s="43">
        <v>10</v>
      </c>
      <c r="C1238" s="43" t="s">
        <v>963</v>
      </c>
      <c r="D1238" s="43" t="s">
        <v>999</v>
      </c>
      <c r="E1238" s="43" t="s">
        <v>243</v>
      </c>
      <c r="F1238" s="43" t="s">
        <v>961</v>
      </c>
      <c r="G1238" s="43">
        <v>1000000</v>
      </c>
      <c r="H1238" s="43">
        <v>145000</v>
      </c>
      <c r="I1238" s="43" t="s">
        <v>949</v>
      </c>
      <c r="J1238" s="44" t="s">
        <v>1000</v>
      </c>
    </row>
    <row r="1239" ht="22" customHeight="1" spans="1:10" x14ac:dyDescent="0.25">
      <c r="A1239" s="43">
        <v>3130</v>
      </c>
      <c r="B1239" s="43">
        <v>10</v>
      </c>
      <c r="C1239" s="43" t="s">
        <v>950</v>
      </c>
      <c r="D1239" s="43" t="s">
        <v>999</v>
      </c>
      <c r="E1239" s="43" t="s">
        <v>247</v>
      </c>
      <c r="F1239" s="43" t="s">
        <v>951</v>
      </c>
      <c r="G1239" s="43">
        <v>1000000</v>
      </c>
      <c r="H1239" s="43">
        <v>145000</v>
      </c>
      <c r="I1239" s="43" t="s">
        <v>949</v>
      </c>
      <c r="J1239" s="44" t="s">
        <v>1000</v>
      </c>
    </row>
    <row r="1240" ht="22" customHeight="1" spans="1:10" x14ac:dyDescent="0.25">
      <c r="A1240" s="43">
        <v>3130</v>
      </c>
      <c r="B1240" s="43">
        <v>10</v>
      </c>
      <c r="C1240" s="43" t="s">
        <v>950</v>
      </c>
      <c r="D1240" s="43" t="s">
        <v>999</v>
      </c>
      <c r="E1240" s="43" t="s">
        <v>247</v>
      </c>
      <c r="F1240" s="43" t="s">
        <v>952</v>
      </c>
      <c r="G1240" s="43">
        <v>1000000</v>
      </c>
      <c r="H1240" s="43">
        <v>145000</v>
      </c>
      <c r="I1240" s="43" t="s">
        <v>949</v>
      </c>
      <c r="J1240" s="44" t="s">
        <v>1000</v>
      </c>
    </row>
    <row r="1241" ht="22" customHeight="1" spans="1:10" x14ac:dyDescent="0.25">
      <c r="A1241" s="43">
        <v>3130</v>
      </c>
      <c r="B1241" s="43">
        <v>10</v>
      </c>
      <c r="C1241" s="43" t="s">
        <v>950</v>
      </c>
      <c r="D1241" s="43" t="s">
        <v>999</v>
      </c>
      <c r="E1241" s="43" t="s">
        <v>247</v>
      </c>
      <c r="F1241" s="43" t="s">
        <v>953</v>
      </c>
      <c r="G1241" s="43">
        <v>1000000</v>
      </c>
      <c r="H1241" s="43">
        <v>145000</v>
      </c>
      <c r="I1241" s="43" t="s">
        <v>949</v>
      </c>
      <c r="J1241" s="44" t="s">
        <v>1000</v>
      </c>
    </row>
    <row r="1242" ht="22" customHeight="1" spans="1:10" x14ac:dyDescent="0.25">
      <c r="A1242" s="43">
        <v>3130</v>
      </c>
      <c r="B1242" s="43">
        <v>10</v>
      </c>
      <c r="C1242" s="43" t="s">
        <v>950</v>
      </c>
      <c r="D1242" s="43" t="s">
        <v>999</v>
      </c>
      <c r="E1242" s="43" t="s">
        <v>247</v>
      </c>
      <c r="F1242" s="43" t="s">
        <v>954</v>
      </c>
      <c r="G1242" s="43">
        <v>1000000</v>
      </c>
      <c r="H1242" s="43">
        <v>145000</v>
      </c>
      <c r="I1242" s="43" t="s">
        <v>949</v>
      </c>
      <c r="J1242" s="44" t="s">
        <v>1000</v>
      </c>
    </row>
    <row r="1243" ht="22" customHeight="1" spans="1:10" x14ac:dyDescent="0.25">
      <c r="A1243" s="43">
        <v>3130</v>
      </c>
      <c r="B1243" s="43">
        <v>10</v>
      </c>
      <c r="C1243" s="43" t="s">
        <v>950</v>
      </c>
      <c r="D1243" s="43" t="s">
        <v>999</v>
      </c>
      <c r="E1243" s="43" t="s">
        <v>247</v>
      </c>
      <c r="F1243" s="43" t="s">
        <v>955</v>
      </c>
      <c r="G1243" s="43">
        <v>1000000</v>
      </c>
      <c r="H1243" s="43">
        <v>145000</v>
      </c>
      <c r="I1243" s="43" t="s">
        <v>949</v>
      </c>
      <c r="J1243" s="44" t="s">
        <v>1000</v>
      </c>
    </row>
    <row r="1244" ht="22" customHeight="1" spans="1:10" x14ac:dyDescent="0.25">
      <c r="A1244" s="43">
        <v>3130</v>
      </c>
      <c r="B1244" s="43">
        <v>10</v>
      </c>
      <c r="C1244" s="43" t="s">
        <v>950</v>
      </c>
      <c r="D1244" s="43" t="s">
        <v>999</v>
      </c>
      <c r="E1244" s="43" t="s">
        <v>247</v>
      </c>
      <c r="F1244" s="43" t="s">
        <v>956</v>
      </c>
      <c r="G1244" s="43">
        <v>1000000</v>
      </c>
      <c r="H1244" s="43">
        <v>145000</v>
      </c>
      <c r="I1244" s="43" t="s">
        <v>949</v>
      </c>
      <c r="J1244" s="44" t="s">
        <v>1000</v>
      </c>
    </row>
    <row r="1245" ht="22" customHeight="1" spans="1:10" x14ac:dyDescent="0.25">
      <c r="A1245" s="43">
        <v>3130</v>
      </c>
      <c r="B1245" s="43">
        <v>10</v>
      </c>
      <c r="C1245" s="43" t="s">
        <v>950</v>
      </c>
      <c r="D1245" s="43" t="s">
        <v>999</v>
      </c>
      <c r="E1245" s="43" t="s">
        <v>247</v>
      </c>
      <c r="F1245" s="43" t="s">
        <v>957</v>
      </c>
      <c r="G1245" s="43">
        <v>1000000</v>
      </c>
      <c r="H1245" s="43">
        <v>145000</v>
      </c>
      <c r="I1245" s="43" t="s">
        <v>949</v>
      </c>
      <c r="J1245" s="44" t="s">
        <v>1000</v>
      </c>
    </row>
    <row r="1246" ht="22" customHeight="1" spans="1:10" x14ac:dyDescent="0.25">
      <c r="A1246" s="43">
        <v>3130</v>
      </c>
      <c r="B1246" s="43">
        <v>10</v>
      </c>
      <c r="C1246" s="43" t="s">
        <v>950</v>
      </c>
      <c r="D1246" s="43" t="s">
        <v>999</v>
      </c>
      <c r="E1246" s="43" t="s">
        <v>247</v>
      </c>
      <c r="F1246" s="43" t="s">
        <v>958</v>
      </c>
      <c r="G1246" s="43">
        <v>1000000</v>
      </c>
      <c r="H1246" s="43">
        <v>145000</v>
      </c>
      <c r="I1246" s="43" t="s">
        <v>949</v>
      </c>
      <c r="J1246" s="44" t="s">
        <v>1000</v>
      </c>
    </row>
    <row r="1247" ht="22" customHeight="1" spans="1:10" x14ac:dyDescent="0.25">
      <c r="A1247" s="43">
        <v>3130</v>
      </c>
      <c r="B1247" s="43">
        <v>10</v>
      </c>
      <c r="C1247" s="43" t="s">
        <v>950</v>
      </c>
      <c r="D1247" s="43" t="s">
        <v>999</v>
      </c>
      <c r="E1247" s="43" t="s">
        <v>247</v>
      </c>
      <c r="F1247" s="43" t="s">
        <v>959</v>
      </c>
      <c r="G1247" s="43">
        <v>1000000</v>
      </c>
      <c r="H1247" s="43">
        <v>145000</v>
      </c>
      <c r="I1247" s="43" t="s">
        <v>949</v>
      </c>
      <c r="J1247" s="44" t="s">
        <v>1000</v>
      </c>
    </row>
    <row r="1248" ht="22" customHeight="1" spans="1:10" x14ac:dyDescent="0.25">
      <c r="A1248" s="43">
        <v>3130</v>
      </c>
      <c r="B1248" s="43">
        <v>10</v>
      </c>
      <c r="C1248" s="43" t="s">
        <v>950</v>
      </c>
      <c r="D1248" s="43" t="s">
        <v>999</v>
      </c>
      <c r="E1248" s="43" t="s">
        <v>247</v>
      </c>
      <c r="F1248" s="43" t="s">
        <v>960</v>
      </c>
      <c r="G1248" s="43">
        <v>1000000</v>
      </c>
      <c r="H1248" s="43">
        <v>145000</v>
      </c>
      <c r="I1248" s="43" t="s">
        <v>949</v>
      </c>
      <c r="J1248" s="44" t="s">
        <v>1000</v>
      </c>
    </row>
    <row r="1249" ht="22" customHeight="1" spans="1:10" x14ac:dyDescent="0.25">
      <c r="A1249" s="43">
        <v>3130</v>
      </c>
      <c r="B1249" s="43">
        <v>10</v>
      </c>
      <c r="C1249" s="43" t="s">
        <v>950</v>
      </c>
      <c r="D1249" s="43" t="s">
        <v>999</v>
      </c>
      <c r="E1249" s="43" t="s">
        <v>247</v>
      </c>
      <c r="F1249" s="43" t="s">
        <v>961</v>
      </c>
      <c r="G1249" s="43">
        <v>1000000</v>
      </c>
      <c r="H1249" s="43">
        <v>145000</v>
      </c>
      <c r="I1249" s="43" t="s">
        <v>949</v>
      </c>
      <c r="J1249" s="44" t="s">
        <v>1000</v>
      </c>
    </row>
    <row r="1250" ht="22" customHeight="1" spans="1:10" x14ac:dyDescent="0.25">
      <c r="A1250" s="43">
        <v>3130</v>
      </c>
      <c r="B1250" s="43">
        <v>10</v>
      </c>
      <c r="C1250" s="43" t="s">
        <v>962</v>
      </c>
      <c r="D1250" s="43" t="s">
        <v>999</v>
      </c>
      <c r="E1250" s="43" t="s">
        <v>247</v>
      </c>
      <c r="F1250" s="43" t="s">
        <v>951</v>
      </c>
      <c r="G1250" s="43">
        <v>1000000</v>
      </c>
      <c r="H1250" s="43">
        <v>145000</v>
      </c>
      <c r="I1250" s="43" t="s">
        <v>949</v>
      </c>
      <c r="J1250" s="44" t="s">
        <v>1000</v>
      </c>
    </row>
    <row r="1251" ht="22" customHeight="1" spans="1:10" x14ac:dyDescent="0.25">
      <c r="A1251" s="43">
        <v>3130</v>
      </c>
      <c r="B1251" s="43">
        <v>10</v>
      </c>
      <c r="C1251" s="43" t="s">
        <v>962</v>
      </c>
      <c r="D1251" s="43" t="s">
        <v>999</v>
      </c>
      <c r="E1251" s="43" t="s">
        <v>247</v>
      </c>
      <c r="F1251" s="43" t="s">
        <v>952</v>
      </c>
      <c r="G1251" s="43">
        <v>1000000</v>
      </c>
      <c r="H1251" s="43">
        <v>145000</v>
      </c>
      <c r="I1251" s="43" t="s">
        <v>949</v>
      </c>
      <c r="J1251" s="44" t="s">
        <v>1000</v>
      </c>
    </row>
    <row r="1252" ht="22" customHeight="1" spans="1:10" x14ac:dyDescent="0.25">
      <c r="A1252" s="43">
        <v>3130</v>
      </c>
      <c r="B1252" s="43">
        <v>10</v>
      </c>
      <c r="C1252" s="43" t="s">
        <v>962</v>
      </c>
      <c r="D1252" s="43" t="s">
        <v>999</v>
      </c>
      <c r="E1252" s="43" t="s">
        <v>247</v>
      </c>
      <c r="F1252" s="43" t="s">
        <v>953</v>
      </c>
      <c r="G1252" s="43">
        <v>1000000</v>
      </c>
      <c r="H1252" s="43">
        <v>145000</v>
      </c>
      <c r="I1252" s="43" t="s">
        <v>949</v>
      </c>
      <c r="J1252" s="44" t="s">
        <v>1000</v>
      </c>
    </row>
    <row r="1253" ht="22" customHeight="1" spans="1:10" x14ac:dyDescent="0.25">
      <c r="A1253" s="43">
        <v>3130</v>
      </c>
      <c r="B1253" s="43">
        <v>10</v>
      </c>
      <c r="C1253" s="43" t="s">
        <v>962</v>
      </c>
      <c r="D1253" s="43" t="s">
        <v>999</v>
      </c>
      <c r="E1253" s="43" t="s">
        <v>247</v>
      </c>
      <c r="F1253" s="43" t="s">
        <v>954</v>
      </c>
      <c r="G1253" s="43">
        <v>1000000</v>
      </c>
      <c r="H1253" s="43">
        <v>145000</v>
      </c>
      <c r="I1253" s="43" t="s">
        <v>949</v>
      </c>
      <c r="J1253" s="44" t="s">
        <v>1000</v>
      </c>
    </row>
    <row r="1254" ht="22" customHeight="1" spans="1:10" x14ac:dyDescent="0.25">
      <c r="A1254" s="43">
        <v>3130</v>
      </c>
      <c r="B1254" s="43">
        <v>10</v>
      </c>
      <c r="C1254" s="43" t="s">
        <v>962</v>
      </c>
      <c r="D1254" s="43" t="s">
        <v>999</v>
      </c>
      <c r="E1254" s="43" t="s">
        <v>247</v>
      </c>
      <c r="F1254" s="43" t="s">
        <v>955</v>
      </c>
      <c r="G1254" s="43">
        <v>1000000</v>
      </c>
      <c r="H1254" s="43">
        <v>145000</v>
      </c>
      <c r="I1254" s="43" t="s">
        <v>949</v>
      </c>
      <c r="J1254" s="44" t="s">
        <v>1000</v>
      </c>
    </row>
    <row r="1255" ht="22" customHeight="1" spans="1:10" x14ac:dyDescent="0.25">
      <c r="A1255" s="43">
        <v>3130</v>
      </c>
      <c r="B1255" s="43">
        <v>10</v>
      </c>
      <c r="C1255" s="43" t="s">
        <v>962</v>
      </c>
      <c r="D1255" s="43" t="s">
        <v>999</v>
      </c>
      <c r="E1255" s="43" t="s">
        <v>247</v>
      </c>
      <c r="F1255" s="43" t="s">
        <v>956</v>
      </c>
      <c r="G1255" s="43">
        <v>1000000</v>
      </c>
      <c r="H1255" s="43">
        <v>145000</v>
      </c>
      <c r="I1255" s="43" t="s">
        <v>949</v>
      </c>
      <c r="J1255" s="44" t="s">
        <v>1000</v>
      </c>
    </row>
    <row r="1256" ht="22" customHeight="1" spans="1:10" x14ac:dyDescent="0.25">
      <c r="A1256" s="43">
        <v>3130</v>
      </c>
      <c r="B1256" s="43">
        <v>10</v>
      </c>
      <c r="C1256" s="43" t="s">
        <v>962</v>
      </c>
      <c r="D1256" s="43" t="s">
        <v>999</v>
      </c>
      <c r="E1256" s="43" t="s">
        <v>247</v>
      </c>
      <c r="F1256" s="43" t="s">
        <v>957</v>
      </c>
      <c r="G1256" s="43">
        <v>1000000</v>
      </c>
      <c r="H1256" s="43">
        <v>145000</v>
      </c>
      <c r="I1256" s="43" t="s">
        <v>949</v>
      </c>
      <c r="J1256" s="44" t="s">
        <v>1000</v>
      </c>
    </row>
    <row r="1257" ht="22" customHeight="1" spans="1:10" x14ac:dyDescent="0.25">
      <c r="A1257" s="43">
        <v>3130</v>
      </c>
      <c r="B1257" s="43">
        <v>10</v>
      </c>
      <c r="C1257" s="43" t="s">
        <v>962</v>
      </c>
      <c r="D1257" s="43" t="s">
        <v>999</v>
      </c>
      <c r="E1257" s="43" t="s">
        <v>247</v>
      </c>
      <c r="F1257" s="43" t="s">
        <v>958</v>
      </c>
      <c r="G1257" s="43">
        <v>1000000</v>
      </c>
      <c r="H1257" s="43">
        <v>145000</v>
      </c>
      <c r="I1257" s="43" t="s">
        <v>949</v>
      </c>
      <c r="J1257" s="44" t="s">
        <v>1000</v>
      </c>
    </row>
    <row r="1258" ht="22" customHeight="1" spans="1:10" x14ac:dyDescent="0.25">
      <c r="A1258" s="43">
        <v>3130</v>
      </c>
      <c r="B1258" s="43">
        <v>10</v>
      </c>
      <c r="C1258" s="43" t="s">
        <v>962</v>
      </c>
      <c r="D1258" s="43" t="s">
        <v>999</v>
      </c>
      <c r="E1258" s="43" t="s">
        <v>247</v>
      </c>
      <c r="F1258" s="43" t="s">
        <v>959</v>
      </c>
      <c r="G1258" s="43">
        <v>1000000</v>
      </c>
      <c r="H1258" s="43">
        <v>145000</v>
      </c>
      <c r="I1258" s="43" t="s">
        <v>949</v>
      </c>
      <c r="J1258" s="44" t="s">
        <v>1000</v>
      </c>
    </row>
    <row r="1259" ht="22" customHeight="1" spans="1:10" x14ac:dyDescent="0.25">
      <c r="A1259" s="43">
        <v>3130</v>
      </c>
      <c r="B1259" s="43">
        <v>10</v>
      </c>
      <c r="C1259" s="43" t="s">
        <v>962</v>
      </c>
      <c r="D1259" s="43" t="s">
        <v>999</v>
      </c>
      <c r="E1259" s="43" t="s">
        <v>247</v>
      </c>
      <c r="F1259" s="43" t="s">
        <v>960</v>
      </c>
      <c r="G1259" s="43">
        <v>1000000</v>
      </c>
      <c r="H1259" s="43">
        <v>145000</v>
      </c>
      <c r="I1259" s="43" t="s">
        <v>949</v>
      </c>
      <c r="J1259" s="44" t="s">
        <v>1000</v>
      </c>
    </row>
    <row r="1260" ht="22" customHeight="1" spans="1:10" x14ac:dyDescent="0.25">
      <c r="A1260" s="43">
        <v>3130</v>
      </c>
      <c r="B1260" s="43">
        <v>10</v>
      </c>
      <c r="C1260" s="43" t="s">
        <v>962</v>
      </c>
      <c r="D1260" s="43" t="s">
        <v>999</v>
      </c>
      <c r="E1260" s="43" t="s">
        <v>247</v>
      </c>
      <c r="F1260" s="43" t="s">
        <v>961</v>
      </c>
      <c r="G1260" s="43">
        <v>1000000</v>
      </c>
      <c r="H1260" s="43">
        <v>145000</v>
      </c>
      <c r="I1260" s="43" t="s">
        <v>949</v>
      </c>
      <c r="J1260" s="44" t="s">
        <v>1000</v>
      </c>
    </row>
    <row r="1261" ht="22" customHeight="1" spans="1:10" x14ac:dyDescent="0.25">
      <c r="A1261" s="43">
        <v>3130</v>
      </c>
      <c r="B1261" s="43">
        <v>10</v>
      </c>
      <c r="C1261" s="43" t="s">
        <v>963</v>
      </c>
      <c r="D1261" s="43" t="s">
        <v>999</v>
      </c>
      <c r="E1261" s="43" t="s">
        <v>247</v>
      </c>
      <c r="F1261" s="43" t="s">
        <v>951</v>
      </c>
      <c r="G1261" s="43">
        <v>1000000</v>
      </c>
      <c r="H1261" s="43">
        <v>145000</v>
      </c>
      <c r="I1261" s="43" t="s">
        <v>949</v>
      </c>
      <c r="J1261" s="44" t="s">
        <v>1000</v>
      </c>
    </row>
    <row r="1262" ht="22" customHeight="1" spans="1:10" x14ac:dyDescent="0.25">
      <c r="A1262" s="43">
        <v>3130</v>
      </c>
      <c r="B1262" s="43">
        <v>10</v>
      </c>
      <c r="C1262" s="43" t="s">
        <v>963</v>
      </c>
      <c r="D1262" s="43" t="s">
        <v>999</v>
      </c>
      <c r="E1262" s="43" t="s">
        <v>247</v>
      </c>
      <c r="F1262" s="43" t="s">
        <v>952</v>
      </c>
      <c r="G1262" s="43">
        <v>1000000</v>
      </c>
      <c r="H1262" s="43">
        <v>145000</v>
      </c>
      <c r="I1262" s="43" t="s">
        <v>949</v>
      </c>
      <c r="J1262" s="44" t="s">
        <v>1000</v>
      </c>
    </row>
    <row r="1263" ht="22" customHeight="1" spans="1:10" x14ac:dyDescent="0.25">
      <c r="A1263" s="43">
        <v>3130</v>
      </c>
      <c r="B1263" s="43">
        <v>10</v>
      </c>
      <c r="C1263" s="43" t="s">
        <v>963</v>
      </c>
      <c r="D1263" s="43" t="s">
        <v>999</v>
      </c>
      <c r="E1263" s="43" t="s">
        <v>247</v>
      </c>
      <c r="F1263" s="43" t="s">
        <v>953</v>
      </c>
      <c r="G1263" s="43">
        <v>1000000</v>
      </c>
      <c r="H1263" s="43">
        <v>145000</v>
      </c>
      <c r="I1263" s="43" t="s">
        <v>949</v>
      </c>
      <c r="J1263" s="44" t="s">
        <v>1000</v>
      </c>
    </row>
    <row r="1264" ht="22" customHeight="1" spans="1:10" x14ac:dyDescent="0.25">
      <c r="A1264" s="43">
        <v>3130</v>
      </c>
      <c r="B1264" s="43">
        <v>10</v>
      </c>
      <c r="C1264" s="43" t="s">
        <v>963</v>
      </c>
      <c r="D1264" s="43" t="s">
        <v>999</v>
      </c>
      <c r="E1264" s="43" t="s">
        <v>247</v>
      </c>
      <c r="F1264" s="43" t="s">
        <v>954</v>
      </c>
      <c r="G1264" s="43">
        <v>1000000</v>
      </c>
      <c r="H1264" s="43">
        <v>145000</v>
      </c>
      <c r="I1264" s="43" t="s">
        <v>949</v>
      </c>
      <c r="J1264" s="44" t="s">
        <v>1000</v>
      </c>
    </row>
    <row r="1265" ht="22" customHeight="1" spans="1:10" x14ac:dyDescent="0.25">
      <c r="A1265" s="43">
        <v>3130</v>
      </c>
      <c r="B1265" s="43">
        <v>10</v>
      </c>
      <c r="C1265" s="43" t="s">
        <v>963</v>
      </c>
      <c r="D1265" s="43" t="s">
        <v>999</v>
      </c>
      <c r="E1265" s="43" t="s">
        <v>247</v>
      </c>
      <c r="F1265" s="43" t="s">
        <v>955</v>
      </c>
      <c r="G1265" s="43">
        <v>1000000</v>
      </c>
      <c r="H1265" s="43">
        <v>145000</v>
      </c>
      <c r="I1265" s="43" t="s">
        <v>949</v>
      </c>
      <c r="J1265" s="44" t="s">
        <v>1000</v>
      </c>
    </row>
    <row r="1266" ht="22" customHeight="1" spans="1:10" x14ac:dyDescent="0.25">
      <c r="A1266" s="43">
        <v>3130</v>
      </c>
      <c r="B1266" s="43">
        <v>10</v>
      </c>
      <c r="C1266" s="43" t="s">
        <v>963</v>
      </c>
      <c r="D1266" s="43" t="s">
        <v>999</v>
      </c>
      <c r="E1266" s="43" t="s">
        <v>247</v>
      </c>
      <c r="F1266" s="43" t="s">
        <v>956</v>
      </c>
      <c r="G1266" s="43">
        <v>1000000</v>
      </c>
      <c r="H1266" s="43">
        <v>145000</v>
      </c>
      <c r="I1266" s="43" t="s">
        <v>949</v>
      </c>
      <c r="J1266" s="44" t="s">
        <v>1000</v>
      </c>
    </row>
    <row r="1267" ht="22" customHeight="1" spans="1:10" x14ac:dyDescent="0.25">
      <c r="A1267" s="43">
        <v>3130</v>
      </c>
      <c r="B1267" s="43">
        <v>10</v>
      </c>
      <c r="C1267" s="43" t="s">
        <v>963</v>
      </c>
      <c r="D1267" s="43" t="s">
        <v>999</v>
      </c>
      <c r="E1267" s="43" t="s">
        <v>247</v>
      </c>
      <c r="F1267" s="43" t="s">
        <v>957</v>
      </c>
      <c r="G1267" s="43">
        <v>1000000</v>
      </c>
      <c r="H1267" s="43">
        <v>145000</v>
      </c>
      <c r="I1267" s="43" t="s">
        <v>949</v>
      </c>
      <c r="J1267" s="44" t="s">
        <v>1000</v>
      </c>
    </row>
    <row r="1268" ht="22" customHeight="1" spans="1:10" x14ac:dyDescent="0.25">
      <c r="A1268" s="43">
        <v>3130</v>
      </c>
      <c r="B1268" s="43">
        <v>10</v>
      </c>
      <c r="C1268" s="43" t="s">
        <v>963</v>
      </c>
      <c r="D1268" s="43" t="s">
        <v>999</v>
      </c>
      <c r="E1268" s="43" t="s">
        <v>247</v>
      </c>
      <c r="F1268" s="43" t="s">
        <v>958</v>
      </c>
      <c r="G1268" s="43">
        <v>1000000</v>
      </c>
      <c r="H1268" s="43">
        <v>145000</v>
      </c>
      <c r="I1268" s="43" t="s">
        <v>949</v>
      </c>
      <c r="J1268" s="44" t="s">
        <v>1000</v>
      </c>
    </row>
    <row r="1269" ht="22" customHeight="1" spans="1:10" x14ac:dyDescent="0.25">
      <c r="A1269" s="43">
        <v>3130</v>
      </c>
      <c r="B1269" s="43">
        <v>10</v>
      </c>
      <c r="C1269" s="43" t="s">
        <v>963</v>
      </c>
      <c r="D1269" s="43" t="s">
        <v>999</v>
      </c>
      <c r="E1269" s="43" t="s">
        <v>247</v>
      </c>
      <c r="F1269" s="43" t="s">
        <v>959</v>
      </c>
      <c r="G1269" s="43">
        <v>1000000</v>
      </c>
      <c r="H1269" s="43">
        <v>145000</v>
      </c>
      <c r="I1269" s="43" t="s">
        <v>949</v>
      </c>
      <c r="J1269" s="44" t="s">
        <v>1000</v>
      </c>
    </row>
    <row r="1270" ht="22" customHeight="1" spans="1:10" x14ac:dyDescent="0.25">
      <c r="A1270" s="43">
        <v>3130</v>
      </c>
      <c r="B1270" s="43">
        <v>10</v>
      </c>
      <c r="C1270" s="43" t="s">
        <v>963</v>
      </c>
      <c r="D1270" s="43" t="s">
        <v>999</v>
      </c>
      <c r="E1270" s="43" t="s">
        <v>247</v>
      </c>
      <c r="F1270" s="43" t="s">
        <v>960</v>
      </c>
      <c r="G1270" s="43">
        <v>1000000</v>
      </c>
      <c r="H1270" s="43">
        <v>145000</v>
      </c>
      <c r="I1270" s="43" t="s">
        <v>949</v>
      </c>
      <c r="J1270" s="44" t="s">
        <v>1000</v>
      </c>
    </row>
    <row r="1271" ht="22" customHeight="1" spans="1:10" x14ac:dyDescent="0.25">
      <c r="A1271" s="43">
        <v>3130</v>
      </c>
      <c r="B1271" s="43">
        <v>10</v>
      </c>
      <c r="C1271" s="43" t="s">
        <v>963</v>
      </c>
      <c r="D1271" s="43" t="s">
        <v>999</v>
      </c>
      <c r="E1271" s="43" t="s">
        <v>247</v>
      </c>
      <c r="F1271" s="43" t="s">
        <v>961</v>
      </c>
      <c r="G1271" s="43">
        <v>1000000</v>
      </c>
      <c r="H1271" s="43">
        <v>145000</v>
      </c>
      <c r="I1271" s="43" t="s">
        <v>949</v>
      </c>
      <c r="J1271" s="44" t="s">
        <v>1000</v>
      </c>
    </row>
    <row r="1272" spans="1:9" x14ac:dyDescent="0.25">
      <c r="A1272">
        <v>3130</v>
      </c>
      <c r="B1272">
        <v>10</v>
      </c>
      <c r="C1272" t="s">
        <v>950</v>
      </c>
      <c r="D1272" t="s">
        <v>999</v>
      </c>
      <c r="E1272" t="s">
        <v>251</v>
      </c>
      <c r="F1272" t="s">
        <v>951</v>
      </c>
      <c r="G1272">
        <v>1000000</v>
      </c>
      <c r="H1272">
        <v>142000</v>
      </c>
      <c r="I1272" t="s">
        <v>949</v>
      </c>
    </row>
    <row r="1273" spans="1:9" x14ac:dyDescent="0.25">
      <c r="A1273">
        <v>3130</v>
      </c>
      <c r="B1273">
        <v>10</v>
      </c>
      <c r="C1273" t="s">
        <v>950</v>
      </c>
      <c r="D1273" t="s">
        <v>999</v>
      </c>
      <c r="E1273" t="s">
        <v>251</v>
      </c>
      <c r="F1273" t="s">
        <v>952</v>
      </c>
      <c r="G1273">
        <v>1000000</v>
      </c>
      <c r="H1273">
        <v>142000</v>
      </c>
      <c r="I1273" t="s">
        <v>949</v>
      </c>
    </row>
    <row r="1274" spans="1:9" x14ac:dyDescent="0.25">
      <c r="A1274">
        <v>3130</v>
      </c>
      <c r="B1274">
        <v>10</v>
      </c>
      <c r="C1274" t="s">
        <v>950</v>
      </c>
      <c r="D1274" t="s">
        <v>999</v>
      </c>
      <c r="E1274" t="s">
        <v>251</v>
      </c>
      <c r="F1274" t="s">
        <v>953</v>
      </c>
      <c r="G1274">
        <v>1000000</v>
      </c>
      <c r="H1274">
        <v>142000</v>
      </c>
      <c r="I1274" t="s">
        <v>949</v>
      </c>
    </row>
    <row r="1275" spans="1:9" x14ac:dyDescent="0.25">
      <c r="A1275">
        <v>3130</v>
      </c>
      <c r="B1275">
        <v>10</v>
      </c>
      <c r="C1275" t="s">
        <v>950</v>
      </c>
      <c r="D1275" t="s">
        <v>999</v>
      </c>
      <c r="E1275" t="s">
        <v>251</v>
      </c>
      <c r="F1275" t="s">
        <v>954</v>
      </c>
      <c r="G1275">
        <v>1000000</v>
      </c>
      <c r="H1275">
        <v>142000</v>
      </c>
      <c r="I1275" t="s">
        <v>949</v>
      </c>
    </row>
    <row r="1276" spans="1:9" x14ac:dyDescent="0.25">
      <c r="A1276">
        <v>3130</v>
      </c>
      <c r="B1276">
        <v>10</v>
      </c>
      <c r="C1276" t="s">
        <v>950</v>
      </c>
      <c r="D1276" t="s">
        <v>999</v>
      </c>
      <c r="E1276" t="s">
        <v>251</v>
      </c>
      <c r="F1276" t="s">
        <v>955</v>
      </c>
      <c r="G1276">
        <v>1000000</v>
      </c>
      <c r="H1276">
        <v>142000</v>
      </c>
      <c r="I1276" t="s">
        <v>949</v>
      </c>
    </row>
    <row r="1277" spans="1:9" x14ac:dyDescent="0.25">
      <c r="A1277">
        <v>3130</v>
      </c>
      <c r="B1277">
        <v>10</v>
      </c>
      <c r="C1277" t="s">
        <v>950</v>
      </c>
      <c r="D1277" t="s">
        <v>999</v>
      </c>
      <c r="E1277" t="s">
        <v>251</v>
      </c>
      <c r="F1277" t="s">
        <v>956</v>
      </c>
      <c r="G1277">
        <v>1000000</v>
      </c>
      <c r="H1277">
        <v>142000</v>
      </c>
      <c r="I1277" t="s">
        <v>949</v>
      </c>
    </row>
    <row r="1278" spans="1:9" x14ac:dyDescent="0.25">
      <c r="A1278">
        <v>3130</v>
      </c>
      <c r="B1278">
        <v>10</v>
      </c>
      <c r="C1278" t="s">
        <v>950</v>
      </c>
      <c r="D1278" t="s">
        <v>999</v>
      </c>
      <c r="E1278" t="s">
        <v>251</v>
      </c>
      <c r="F1278" t="s">
        <v>957</v>
      </c>
      <c r="G1278">
        <v>1000000</v>
      </c>
      <c r="H1278">
        <v>142000</v>
      </c>
      <c r="I1278" t="s">
        <v>949</v>
      </c>
    </row>
    <row r="1279" spans="1:9" x14ac:dyDescent="0.25">
      <c r="A1279">
        <v>3130</v>
      </c>
      <c r="B1279">
        <v>10</v>
      </c>
      <c r="C1279" t="s">
        <v>950</v>
      </c>
      <c r="D1279" t="s">
        <v>999</v>
      </c>
      <c r="E1279" t="s">
        <v>251</v>
      </c>
      <c r="F1279" t="s">
        <v>958</v>
      </c>
      <c r="G1279">
        <v>1000000</v>
      </c>
      <c r="H1279">
        <v>142000</v>
      </c>
      <c r="I1279" t="s">
        <v>949</v>
      </c>
    </row>
    <row r="1280" spans="1:9" x14ac:dyDescent="0.25">
      <c r="A1280">
        <v>3130</v>
      </c>
      <c r="B1280">
        <v>10</v>
      </c>
      <c r="C1280" t="s">
        <v>950</v>
      </c>
      <c r="D1280" t="s">
        <v>999</v>
      </c>
      <c r="E1280" t="s">
        <v>251</v>
      </c>
      <c r="F1280" t="s">
        <v>959</v>
      </c>
      <c r="G1280">
        <v>1000000</v>
      </c>
      <c r="H1280">
        <v>142000</v>
      </c>
      <c r="I1280" t="s">
        <v>949</v>
      </c>
    </row>
    <row r="1281" spans="1:9" x14ac:dyDescent="0.25">
      <c r="A1281">
        <v>3130</v>
      </c>
      <c r="B1281">
        <v>10</v>
      </c>
      <c r="C1281" t="s">
        <v>950</v>
      </c>
      <c r="D1281" t="s">
        <v>999</v>
      </c>
      <c r="E1281" t="s">
        <v>251</v>
      </c>
      <c r="F1281" t="s">
        <v>960</v>
      </c>
      <c r="G1281">
        <v>1000000</v>
      </c>
      <c r="H1281">
        <v>142000</v>
      </c>
      <c r="I1281" t="s">
        <v>949</v>
      </c>
    </row>
    <row r="1282" spans="1:9" x14ac:dyDescent="0.25">
      <c r="A1282">
        <v>3130</v>
      </c>
      <c r="B1282">
        <v>10</v>
      </c>
      <c r="C1282" t="s">
        <v>950</v>
      </c>
      <c r="D1282" t="s">
        <v>999</v>
      </c>
      <c r="E1282" t="s">
        <v>251</v>
      </c>
      <c r="F1282" t="s">
        <v>961</v>
      </c>
      <c r="G1282">
        <v>1000000</v>
      </c>
      <c r="H1282">
        <v>142000</v>
      </c>
      <c r="I1282" t="s">
        <v>949</v>
      </c>
    </row>
    <row r="1283" spans="1:9" x14ac:dyDescent="0.25">
      <c r="A1283">
        <v>3130</v>
      </c>
      <c r="B1283">
        <v>10</v>
      </c>
      <c r="C1283" t="s">
        <v>962</v>
      </c>
      <c r="D1283" t="s">
        <v>999</v>
      </c>
      <c r="E1283" t="s">
        <v>251</v>
      </c>
      <c r="F1283" t="s">
        <v>951</v>
      </c>
      <c r="G1283">
        <v>1000000</v>
      </c>
      <c r="H1283">
        <v>142000</v>
      </c>
      <c r="I1283" t="s">
        <v>949</v>
      </c>
    </row>
    <row r="1284" spans="1:9" x14ac:dyDescent="0.25">
      <c r="A1284">
        <v>3130</v>
      </c>
      <c r="B1284">
        <v>10</v>
      </c>
      <c r="C1284" t="s">
        <v>962</v>
      </c>
      <c r="D1284" t="s">
        <v>999</v>
      </c>
      <c r="E1284" t="s">
        <v>251</v>
      </c>
      <c r="F1284" t="s">
        <v>952</v>
      </c>
      <c r="G1284">
        <v>1000000</v>
      </c>
      <c r="H1284">
        <v>142000</v>
      </c>
      <c r="I1284" t="s">
        <v>949</v>
      </c>
    </row>
    <row r="1285" spans="1:9" x14ac:dyDescent="0.25">
      <c r="A1285">
        <v>3130</v>
      </c>
      <c r="B1285">
        <v>10</v>
      </c>
      <c r="C1285" t="s">
        <v>962</v>
      </c>
      <c r="D1285" t="s">
        <v>999</v>
      </c>
      <c r="E1285" t="s">
        <v>251</v>
      </c>
      <c r="F1285" t="s">
        <v>953</v>
      </c>
      <c r="G1285">
        <v>1000000</v>
      </c>
      <c r="H1285">
        <v>142000</v>
      </c>
      <c r="I1285" t="s">
        <v>949</v>
      </c>
    </row>
    <row r="1286" spans="1:9" x14ac:dyDescent="0.25">
      <c r="A1286">
        <v>3130</v>
      </c>
      <c r="B1286">
        <v>10</v>
      </c>
      <c r="C1286" t="s">
        <v>962</v>
      </c>
      <c r="D1286" t="s">
        <v>999</v>
      </c>
      <c r="E1286" t="s">
        <v>251</v>
      </c>
      <c r="F1286" t="s">
        <v>954</v>
      </c>
      <c r="G1286">
        <v>1000000</v>
      </c>
      <c r="H1286">
        <v>142000</v>
      </c>
      <c r="I1286" t="s">
        <v>949</v>
      </c>
    </row>
    <row r="1287" spans="1:9" x14ac:dyDescent="0.25">
      <c r="A1287">
        <v>3130</v>
      </c>
      <c r="B1287">
        <v>10</v>
      </c>
      <c r="C1287" t="s">
        <v>962</v>
      </c>
      <c r="D1287" t="s">
        <v>999</v>
      </c>
      <c r="E1287" t="s">
        <v>251</v>
      </c>
      <c r="F1287" t="s">
        <v>955</v>
      </c>
      <c r="G1287">
        <v>1000000</v>
      </c>
      <c r="H1287">
        <v>142000</v>
      </c>
      <c r="I1287" t="s">
        <v>949</v>
      </c>
    </row>
    <row r="1288" spans="1:9" x14ac:dyDescent="0.25">
      <c r="A1288">
        <v>3130</v>
      </c>
      <c r="B1288">
        <v>10</v>
      </c>
      <c r="C1288" t="s">
        <v>962</v>
      </c>
      <c r="D1288" t="s">
        <v>999</v>
      </c>
      <c r="E1288" t="s">
        <v>251</v>
      </c>
      <c r="F1288" t="s">
        <v>956</v>
      </c>
      <c r="G1288">
        <v>1000000</v>
      </c>
      <c r="H1288">
        <v>142000</v>
      </c>
      <c r="I1288" t="s">
        <v>949</v>
      </c>
    </row>
    <row r="1289" spans="1:9" x14ac:dyDescent="0.25">
      <c r="A1289">
        <v>3130</v>
      </c>
      <c r="B1289">
        <v>10</v>
      </c>
      <c r="C1289" t="s">
        <v>962</v>
      </c>
      <c r="D1289" t="s">
        <v>999</v>
      </c>
      <c r="E1289" t="s">
        <v>251</v>
      </c>
      <c r="F1289" t="s">
        <v>957</v>
      </c>
      <c r="G1289">
        <v>1000000</v>
      </c>
      <c r="H1289">
        <v>142000</v>
      </c>
      <c r="I1289" t="s">
        <v>949</v>
      </c>
    </row>
    <row r="1290" spans="1:9" x14ac:dyDescent="0.25">
      <c r="A1290">
        <v>3130</v>
      </c>
      <c r="B1290">
        <v>10</v>
      </c>
      <c r="C1290" t="s">
        <v>962</v>
      </c>
      <c r="D1290" t="s">
        <v>999</v>
      </c>
      <c r="E1290" t="s">
        <v>251</v>
      </c>
      <c r="F1290" t="s">
        <v>958</v>
      </c>
      <c r="G1290">
        <v>1000000</v>
      </c>
      <c r="H1290">
        <v>142000</v>
      </c>
      <c r="I1290" t="s">
        <v>949</v>
      </c>
    </row>
    <row r="1291" spans="1:9" x14ac:dyDescent="0.25">
      <c r="A1291">
        <v>3130</v>
      </c>
      <c r="B1291">
        <v>10</v>
      </c>
      <c r="C1291" t="s">
        <v>962</v>
      </c>
      <c r="D1291" t="s">
        <v>999</v>
      </c>
      <c r="E1291" t="s">
        <v>251</v>
      </c>
      <c r="F1291" t="s">
        <v>959</v>
      </c>
      <c r="G1291">
        <v>1000000</v>
      </c>
      <c r="H1291">
        <v>142000</v>
      </c>
      <c r="I1291" t="s">
        <v>949</v>
      </c>
    </row>
    <row r="1292" spans="1:9" x14ac:dyDescent="0.25">
      <c r="A1292">
        <v>3130</v>
      </c>
      <c r="B1292">
        <v>10</v>
      </c>
      <c r="C1292" t="s">
        <v>962</v>
      </c>
      <c r="D1292" t="s">
        <v>999</v>
      </c>
      <c r="E1292" t="s">
        <v>251</v>
      </c>
      <c r="F1292" t="s">
        <v>960</v>
      </c>
      <c r="G1292">
        <v>1000000</v>
      </c>
      <c r="H1292">
        <v>142000</v>
      </c>
      <c r="I1292" t="s">
        <v>949</v>
      </c>
    </row>
    <row r="1293" spans="1:9" x14ac:dyDescent="0.25">
      <c r="A1293">
        <v>3130</v>
      </c>
      <c r="B1293">
        <v>10</v>
      </c>
      <c r="C1293" t="s">
        <v>962</v>
      </c>
      <c r="D1293" t="s">
        <v>999</v>
      </c>
      <c r="E1293" t="s">
        <v>251</v>
      </c>
      <c r="F1293" t="s">
        <v>961</v>
      </c>
      <c r="G1293">
        <v>1000000</v>
      </c>
      <c r="H1293">
        <v>142000</v>
      </c>
      <c r="I1293" t="s">
        <v>949</v>
      </c>
    </row>
    <row r="1294" spans="1:9" x14ac:dyDescent="0.25">
      <c r="A1294">
        <v>3130</v>
      </c>
      <c r="B1294">
        <v>10</v>
      </c>
      <c r="C1294" t="s">
        <v>963</v>
      </c>
      <c r="D1294" t="s">
        <v>999</v>
      </c>
      <c r="E1294" t="s">
        <v>251</v>
      </c>
      <c r="F1294" t="s">
        <v>951</v>
      </c>
      <c r="G1294">
        <v>1000000</v>
      </c>
      <c r="H1294">
        <v>142000</v>
      </c>
      <c r="I1294" t="s">
        <v>949</v>
      </c>
    </row>
    <row r="1295" spans="1:9" x14ac:dyDescent="0.25">
      <c r="A1295">
        <v>3130</v>
      </c>
      <c r="B1295">
        <v>10</v>
      </c>
      <c r="C1295" t="s">
        <v>963</v>
      </c>
      <c r="D1295" t="s">
        <v>999</v>
      </c>
      <c r="E1295" t="s">
        <v>251</v>
      </c>
      <c r="F1295" t="s">
        <v>952</v>
      </c>
      <c r="G1295">
        <v>1000000</v>
      </c>
      <c r="H1295">
        <v>142000</v>
      </c>
      <c r="I1295" t="s">
        <v>949</v>
      </c>
    </row>
    <row r="1296" spans="1:9" x14ac:dyDescent="0.25">
      <c r="A1296">
        <v>3130</v>
      </c>
      <c r="B1296">
        <v>10</v>
      </c>
      <c r="C1296" t="s">
        <v>963</v>
      </c>
      <c r="D1296" t="s">
        <v>999</v>
      </c>
      <c r="E1296" t="s">
        <v>251</v>
      </c>
      <c r="F1296" t="s">
        <v>953</v>
      </c>
      <c r="G1296">
        <v>1000000</v>
      </c>
      <c r="H1296">
        <v>142000</v>
      </c>
      <c r="I1296" t="s">
        <v>949</v>
      </c>
    </row>
    <row r="1297" spans="1:9" x14ac:dyDescent="0.25">
      <c r="A1297">
        <v>3130</v>
      </c>
      <c r="B1297">
        <v>10</v>
      </c>
      <c r="C1297" t="s">
        <v>963</v>
      </c>
      <c r="D1297" t="s">
        <v>999</v>
      </c>
      <c r="E1297" t="s">
        <v>251</v>
      </c>
      <c r="F1297" t="s">
        <v>954</v>
      </c>
      <c r="G1297">
        <v>1000000</v>
      </c>
      <c r="H1297">
        <v>142000</v>
      </c>
      <c r="I1297" t="s">
        <v>949</v>
      </c>
    </row>
    <row r="1298" spans="1:9" x14ac:dyDescent="0.25">
      <c r="A1298">
        <v>3130</v>
      </c>
      <c r="B1298">
        <v>10</v>
      </c>
      <c r="C1298" t="s">
        <v>963</v>
      </c>
      <c r="D1298" t="s">
        <v>999</v>
      </c>
      <c r="E1298" t="s">
        <v>251</v>
      </c>
      <c r="F1298" t="s">
        <v>955</v>
      </c>
      <c r="G1298">
        <v>1000000</v>
      </c>
      <c r="H1298">
        <v>142000</v>
      </c>
      <c r="I1298" t="s">
        <v>949</v>
      </c>
    </row>
    <row r="1299" spans="1:9" x14ac:dyDescent="0.25">
      <c r="A1299">
        <v>3130</v>
      </c>
      <c r="B1299">
        <v>10</v>
      </c>
      <c r="C1299" t="s">
        <v>963</v>
      </c>
      <c r="D1299" t="s">
        <v>999</v>
      </c>
      <c r="E1299" t="s">
        <v>251</v>
      </c>
      <c r="F1299" t="s">
        <v>956</v>
      </c>
      <c r="G1299">
        <v>1000000</v>
      </c>
      <c r="H1299">
        <v>142000</v>
      </c>
      <c r="I1299" t="s">
        <v>949</v>
      </c>
    </row>
    <row r="1300" spans="1:9" x14ac:dyDescent="0.25">
      <c r="A1300">
        <v>3130</v>
      </c>
      <c r="B1300">
        <v>10</v>
      </c>
      <c r="C1300" t="s">
        <v>963</v>
      </c>
      <c r="D1300" t="s">
        <v>999</v>
      </c>
      <c r="E1300" t="s">
        <v>251</v>
      </c>
      <c r="F1300" t="s">
        <v>957</v>
      </c>
      <c r="G1300">
        <v>1000000</v>
      </c>
      <c r="H1300">
        <v>142000</v>
      </c>
      <c r="I1300" t="s">
        <v>949</v>
      </c>
    </row>
    <row r="1301" spans="1:9" x14ac:dyDescent="0.25">
      <c r="A1301">
        <v>3130</v>
      </c>
      <c r="B1301">
        <v>10</v>
      </c>
      <c r="C1301" t="s">
        <v>963</v>
      </c>
      <c r="D1301" t="s">
        <v>999</v>
      </c>
      <c r="E1301" t="s">
        <v>251</v>
      </c>
      <c r="F1301" t="s">
        <v>958</v>
      </c>
      <c r="G1301">
        <v>1000000</v>
      </c>
      <c r="H1301">
        <v>142000</v>
      </c>
      <c r="I1301" t="s">
        <v>949</v>
      </c>
    </row>
    <row r="1302" spans="1:9" x14ac:dyDescent="0.25">
      <c r="A1302">
        <v>3130</v>
      </c>
      <c r="B1302">
        <v>10</v>
      </c>
      <c r="C1302" t="s">
        <v>963</v>
      </c>
      <c r="D1302" t="s">
        <v>999</v>
      </c>
      <c r="E1302" t="s">
        <v>251</v>
      </c>
      <c r="F1302" t="s">
        <v>959</v>
      </c>
      <c r="G1302">
        <v>1000000</v>
      </c>
      <c r="H1302">
        <v>142000</v>
      </c>
      <c r="I1302" t="s">
        <v>949</v>
      </c>
    </row>
    <row r="1303" spans="1:9" x14ac:dyDescent="0.25">
      <c r="A1303">
        <v>3130</v>
      </c>
      <c r="B1303">
        <v>10</v>
      </c>
      <c r="C1303" t="s">
        <v>963</v>
      </c>
      <c r="D1303" t="s">
        <v>999</v>
      </c>
      <c r="E1303" t="s">
        <v>251</v>
      </c>
      <c r="F1303" t="s">
        <v>960</v>
      </c>
      <c r="G1303">
        <v>1000000</v>
      </c>
      <c r="H1303">
        <v>142000</v>
      </c>
      <c r="I1303" t="s">
        <v>949</v>
      </c>
    </row>
    <row r="1304" spans="1:9" x14ac:dyDescent="0.25">
      <c r="A1304">
        <v>3130</v>
      </c>
      <c r="B1304">
        <v>10</v>
      </c>
      <c r="C1304" t="s">
        <v>963</v>
      </c>
      <c r="D1304" t="s">
        <v>999</v>
      </c>
      <c r="E1304" t="s">
        <v>251</v>
      </c>
      <c r="F1304" t="s">
        <v>961</v>
      </c>
      <c r="G1304">
        <v>1000000</v>
      </c>
      <c r="H1304">
        <v>142000</v>
      </c>
      <c r="I1304" t="s">
        <v>949</v>
      </c>
    </row>
    <row r="1305" spans="1:9" x14ac:dyDescent="0.25">
      <c r="A1305">
        <v>3130</v>
      </c>
      <c r="B1305">
        <v>10</v>
      </c>
      <c r="C1305" t="s">
        <v>950</v>
      </c>
      <c r="D1305" t="s">
        <v>999</v>
      </c>
      <c r="E1305" t="s">
        <v>969</v>
      </c>
      <c r="F1305" t="s">
        <v>951</v>
      </c>
      <c r="G1305">
        <v>1000000</v>
      </c>
      <c r="H1305">
        <v>141000</v>
      </c>
      <c r="I1305" t="s">
        <v>970</v>
      </c>
    </row>
    <row r="1306" spans="1:9" x14ac:dyDescent="0.25">
      <c r="A1306">
        <v>3130</v>
      </c>
      <c r="B1306">
        <v>10</v>
      </c>
      <c r="C1306" t="s">
        <v>950</v>
      </c>
      <c r="D1306" t="s">
        <v>999</v>
      </c>
      <c r="E1306" t="s">
        <v>969</v>
      </c>
      <c r="F1306" t="s">
        <v>952</v>
      </c>
      <c r="G1306">
        <v>1000000</v>
      </c>
      <c r="H1306">
        <v>141000</v>
      </c>
      <c r="I1306" t="s">
        <v>970</v>
      </c>
    </row>
    <row r="1307" spans="1:9" x14ac:dyDescent="0.25">
      <c r="A1307">
        <v>3130</v>
      </c>
      <c r="B1307">
        <v>10</v>
      </c>
      <c r="C1307" t="s">
        <v>950</v>
      </c>
      <c r="D1307" t="s">
        <v>999</v>
      </c>
      <c r="E1307" t="s">
        <v>969</v>
      </c>
      <c r="F1307" t="s">
        <v>953</v>
      </c>
      <c r="G1307">
        <v>1000000</v>
      </c>
      <c r="H1307">
        <v>141000</v>
      </c>
      <c r="I1307" t="s">
        <v>970</v>
      </c>
    </row>
    <row r="1308" spans="1:9" x14ac:dyDescent="0.25">
      <c r="A1308">
        <v>3130</v>
      </c>
      <c r="B1308">
        <v>10</v>
      </c>
      <c r="C1308" t="s">
        <v>950</v>
      </c>
      <c r="D1308" t="s">
        <v>999</v>
      </c>
      <c r="E1308" t="s">
        <v>969</v>
      </c>
      <c r="F1308" t="s">
        <v>954</v>
      </c>
      <c r="G1308">
        <v>1000000</v>
      </c>
      <c r="H1308">
        <v>141000</v>
      </c>
      <c r="I1308" t="s">
        <v>970</v>
      </c>
    </row>
    <row r="1309" spans="1:9" x14ac:dyDescent="0.25">
      <c r="A1309">
        <v>3130</v>
      </c>
      <c r="B1309">
        <v>10</v>
      </c>
      <c r="C1309" t="s">
        <v>950</v>
      </c>
      <c r="D1309" t="s">
        <v>999</v>
      </c>
      <c r="E1309" t="s">
        <v>969</v>
      </c>
      <c r="F1309" t="s">
        <v>955</v>
      </c>
      <c r="G1309">
        <v>1000000</v>
      </c>
      <c r="H1309">
        <v>141000</v>
      </c>
      <c r="I1309" t="s">
        <v>970</v>
      </c>
    </row>
    <row r="1310" spans="1:9" x14ac:dyDescent="0.25">
      <c r="A1310">
        <v>3130</v>
      </c>
      <c r="B1310">
        <v>10</v>
      </c>
      <c r="C1310" t="s">
        <v>950</v>
      </c>
      <c r="D1310" t="s">
        <v>999</v>
      </c>
      <c r="E1310" t="s">
        <v>969</v>
      </c>
      <c r="F1310" t="s">
        <v>956</v>
      </c>
      <c r="G1310">
        <v>1000000</v>
      </c>
      <c r="H1310">
        <v>141000</v>
      </c>
      <c r="I1310" t="s">
        <v>970</v>
      </c>
    </row>
    <row r="1311" spans="1:9" x14ac:dyDescent="0.25">
      <c r="A1311">
        <v>3130</v>
      </c>
      <c r="B1311">
        <v>10</v>
      </c>
      <c r="C1311" t="s">
        <v>950</v>
      </c>
      <c r="D1311" t="s">
        <v>999</v>
      </c>
      <c r="E1311" t="s">
        <v>969</v>
      </c>
      <c r="F1311" t="s">
        <v>957</v>
      </c>
      <c r="G1311">
        <v>1000000</v>
      </c>
      <c r="H1311">
        <v>141000</v>
      </c>
      <c r="I1311" t="s">
        <v>970</v>
      </c>
    </row>
    <row r="1312" spans="1:9" x14ac:dyDescent="0.25">
      <c r="A1312">
        <v>3130</v>
      </c>
      <c r="B1312">
        <v>10</v>
      </c>
      <c r="C1312" t="s">
        <v>950</v>
      </c>
      <c r="D1312" t="s">
        <v>999</v>
      </c>
      <c r="E1312" t="s">
        <v>969</v>
      </c>
      <c r="F1312" t="s">
        <v>958</v>
      </c>
      <c r="G1312">
        <v>1000000</v>
      </c>
      <c r="H1312">
        <v>141000</v>
      </c>
      <c r="I1312" t="s">
        <v>970</v>
      </c>
    </row>
    <row r="1313" spans="1:9" x14ac:dyDescent="0.25">
      <c r="A1313">
        <v>3130</v>
      </c>
      <c r="B1313">
        <v>10</v>
      </c>
      <c r="C1313" t="s">
        <v>950</v>
      </c>
      <c r="D1313" t="s">
        <v>999</v>
      </c>
      <c r="E1313" t="s">
        <v>969</v>
      </c>
      <c r="F1313" t="s">
        <v>959</v>
      </c>
      <c r="G1313">
        <v>1000000</v>
      </c>
      <c r="H1313">
        <v>141000</v>
      </c>
      <c r="I1313" t="s">
        <v>970</v>
      </c>
    </row>
    <row r="1314" spans="1:9" x14ac:dyDescent="0.25">
      <c r="A1314">
        <v>3130</v>
      </c>
      <c r="B1314">
        <v>10</v>
      </c>
      <c r="C1314" t="s">
        <v>950</v>
      </c>
      <c r="D1314" t="s">
        <v>999</v>
      </c>
      <c r="E1314" t="s">
        <v>969</v>
      </c>
      <c r="F1314" t="s">
        <v>960</v>
      </c>
      <c r="G1314">
        <v>1000000</v>
      </c>
      <c r="H1314">
        <v>141000</v>
      </c>
      <c r="I1314" t="s">
        <v>970</v>
      </c>
    </row>
    <row r="1315" spans="1:9" x14ac:dyDescent="0.25">
      <c r="A1315">
        <v>3130</v>
      </c>
      <c r="B1315">
        <v>10</v>
      </c>
      <c r="C1315" t="s">
        <v>950</v>
      </c>
      <c r="D1315" t="s">
        <v>999</v>
      </c>
      <c r="E1315" t="s">
        <v>969</v>
      </c>
      <c r="F1315" t="s">
        <v>961</v>
      </c>
      <c r="G1315">
        <v>1000000</v>
      </c>
      <c r="H1315">
        <v>141000</v>
      </c>
      <c r="I1315" t="s">
        <v>970</v>
      </c>
    </row>
    <row r="1316" spans="1:9" x14ac:dyDescent="0.25">
      <c r="A1316">
        <v>3130</v>
      </c>
      <c r="B1316">
        <v>10</v>
      </c>
      <c r="C1316" t="s">
        <v>962</v>
      </c>
      <c r="D1316" t="s">
        <v>999</v>
      </c>
      <c r="E1316" t="s">
        <v>969</v>
      </c>
      <c r="F1316" t="s">
        <v>951</v>
      </c>
      <c r="G1316">
        <v>1000000</v>
      </c>
      <c r="H1316">
        <v>141000</v>
      </c>
      <c r="I1316" t="s">
        <v>970</v>
      </c>
    </row>
    <row r="1317" spans="1:9" x14ac:dyDescent="0.25">
      <c r="A1317">
        <v>3130</v>
      </c>
      <c r="B1317">
        <v>10</v>
      </c>
      <c r="C1317" t="s">
        <v>962</v>
      </c>
      <c r="D1317" t="s">
        <v>999</v>
      </c>
      <c r="E1317" t="s">
        <v>969</v>
      </c>
      <c r="F1317" t="s">
        <v>952</v>
      </c>
      <c r="G1317">
        <v>1000000</v>
      </c>
      <c r="H1317">
        <v>141000</v>
      </c>
      <c r="I1317" t="s">
        <v>970</v>
      </c>
    </row>
    <row r="1318" spans="1:9" x14ac:dyDescent="0.25">
      <c r="A1318">
        <v>3130</v>
      </c>
      <c r="B1318">
        <v>10</v>
      </c>
      <c r="C1318" t="s">
        <v>962</v>
      </c>
      <c r="D1318" t="s">
        <v>999</v>
      </c>
      <c r="E1318" t="s">
        <v>969</v>
      </c>
      <c r="F1318" t="s">
        <v>953</v>
      </c>
      <c r="G1318">
        <v>1000000</v>
      </c>
      <c r="H1318">
        <v>141000</v>
      </c>
      <c r="I1318" t="s">
        <v>970</v>
      </c>
    </row>
    <row r="1319" spans="1:9" x14ac:dyDescent="0.25">
      <c r="A1319">
        <v>3130</v>
      </c>
      <c r="B1319">
        <v>10</v>
      </c>
      <c r="C1319" t="s">
        <v>962</v>
      </c>
      <c r="D1319" t="s">
        <v>999</v>
      </c>
      <c r="E1319" t="s">
        <v>969</v>
      </c>
      <c r="F1319" t="s">
        <v>954</v>
      </c>
      <c r="G1319">
        <v>1000000</v>
      </c>
      <c r="H1319">
        <v>141000</v>
      </c>
      <c r="I1319" t="s">
        <v>970</v>
      </c>
    </row>
    <row r="1320" spans="1:9" x14ac:dyDescent="0.25">
      <c r="A1320">
        <v>3130</v>
      </c>
      <c r="B1320">
        <v>10</v>
      </c>
      <c r="C1320" t="s">
        <v>962</v>
      </c>
      <c r="D1320" t="s">
        <v>999</v>
      </c>
      <c r="E1320" t="s">
        <v>969</v>
      </c>
      <c r="F1320" t="s">
        <v>955</v>
      </c>
      <c r="G1320">
        <v>1000000</v>
      </c>
      <c r="H1320">
        <v>141000</v>
      </c>
      <c r="I1320" t="s">
        <v>970</v>
      </c>
    </row>
    <row r="1321" spans="1:9" x14ac:dyDescent="0.25">
      <c r="A1321">
        <v>3130</v>
      </c>
      <c r="B1321">
        <v>10</v>
      </c>
      <c r="C1321" t="s">
        <v>962</v>
      </c>
      <c r="D1321" t="s">
        <v>999</v>
      </c>
      <c r="E1321" t="s">
        <v>969</v>
      </c>
      <c r="F1321" t="s">
        <v>956</v>
      </c>
      <c r="G1321">
        <v>1000000</v>
      </c>
      <c r="H1321">
        <v>141000</v>
      </c>
      <c r="I1321" t="s">
        <v>970</v>
      </c>
    </row>
    <row r="1322" spans="1:9" x14ac:dyDescent="0.25">
      <c r="A1322">
        <v>3130</v>
      </c>
      <c r="B1322">
        <v>10</v>
      </c>
      <c r="C1322" t="s">
        <v>962</v>
      </c>
      <c r="D1322" t="s">
        <v>999</v>
      </c>
      <c r="E1322" t="s">
        <v>969</v>
      </c>
      <c r="F1322" t="s">
        <v>957</v>
      </c>
      <c r="G1322">
        <v>1000000</v>
      </c>
      <c r="H1322">
        <v>141000</v>
      </c>
      <c r="I1322" t="s">
        <v>970</v>
      </c>
    </row>
    <row r="1323" spans="1:9" x14ac:dyDescent="0.25">
      <c r="A1323">
        <v>3130</v>
      </c>
      <c r="B1323">
        <v>10</v>
      </c>
      <c r="C1323" t="s">
        <v>962</v>
      </c>
      <c r="D1323" t="s">
        <v>999</v>
      </c>
      <c r="E1323" t="s">
        <v>969</v>
      </c>
      <c r="F1323" t="s">
        <v>958</v>
      </c>
      <c r="G1323">
        <v>1000000</v>
      </c>
      <c r="H1323">
        <v>141000</v>
      </c>
      <c r="I1323" t="s">
        <v>970</v>
      </c>
    </row>
    <row r="1324" spans="1:9" x14ac:dyDescent="0.25">
      <c r="A1324">
        <v>3130</v>
      </c>
      <c r="B1324">
        <v>10</v>
      </c>
      <c r="C1324" t="s">
        <v>962</v>
      </c>
      <c r="D1324" t="s">
        <v>999</v>
      </c>
      <c r="E1324" t="s">
        <v>969</v>
      </c>
      <c r="F1324" t="s">
        <v>959</v>
      </c>
      <c r="G1324">
        <v>1000000</v>
      </c>
      <c r="H1324">
        <v>141000</v>
      </c>
      <c r="I1324" t="s">
        <v>970</v>
      </c>
    </row>
    <row r="1325" spans="1:9" x14ac:dyDescent="0.25">
      <c r="A1325">
        <v>3130</v>
      </c>
      <c r="B1325">
        <v>10</v>
      </c>
      <c r="C1325" t="s">
        <v>962</v>
      </c>
      <c r="D1325" t="s">
        <v>999</v>
      </c>
      <c r="E1325" t="s">
        <v>969</v>
      </c>
      <c r="F1325" t="s">
        <v>960</v>
      </c>
      <c r="G1325">
        <v>1000000</v>
      </c>
      <c r="H1325">
        <v>141000</v>
      </c>
      <c r="I1325" t="s">
        <v>970</v>
      </c>
    </row>
    <row r="1326" spans="1:9" x14ac:dyDescent="0.25">
      <c r="A1326">
        <v>3130</v>
      </c>
      <c r="B1326">
        <v>10</v>
      </c>
      <c r="C1326" t="s">
        <v>962</v>
      </c>
      <c r="D1326" t="s">
        <v>999</v>
      </c>
      <c r="E1326" t="s">
        <v>969</v>
      </c>
      <c r="F1326" t="s">
        <v>961</v>
      </c>
      <c r="G1326">
        <v>1000000</v>
      </c>
      <c r="H1326">
        <v>141000</v>
      </c>
      <c r="I1326" t="s">
        <v>970</v>
      </c>
    </row>
    <row r="1327" spans="1:9" x14ac:dyDescent="0.25">
      <c r="A1327">
        <v>3130</v>
      </c>
      <c r="B1327">
        <v>10</v>
      </c>
      <c r="C1327" t="s">
        <v>963</v>
      </c>
      <c r="D1327" t="s">
        <v>999</v>
      </c>
      <c r="E1327" t="s">
        <v>969</v>
      </c>
      <c r="F1327" t="s">
        <v>951</v>
      </c>
      <c r="G1327">
        <v>1000000</v>
      </c>
      <c r="H1327">
        <v>141000</v>
      </c>
      <c r="I1327" t="s">
        <v>970</v>
      </c>
    </row>
    <row r="1328" spans="1:9" x14ac:dyDescent="0.25">
      <c r="A1328">
        <v>3130</v>
      </c>
      <c r="B1328">
        <v>10</v>
      </c>
      <c r="C1328" t="s">
        <v>963</v>
      </c>
      <c r="D1328" t="s">
        <v>999</v>
      </c>
      <c r="E1328" t="s">
        <v>969</v>
      </c>
      <c r="F1328" t="s">
        <v>952</v>
      </c>
      <c r="G1328">
        <v>1000000</v>
      </c>
      <c r="H1328">
        <v>141000</v>
      </c>
      <c r="I1328" t="s">
        <v>970</v>
      </c>
    </row>
    <row r="1329" spans="1:9" x14ac:dyDescent="0.25">
      <c r="A1329">
        <v>3130</v>
      </c>
      <c r="B1329">
        <v>10</v>
      </c>
      <c r="C1329" t="s">
        <v>963</v>
      </c>
      <c r="D1329" t="s">
        <v>999</v>
      </c>
      <c r="E1329" t="s">
        <v>969</v>
      </c>
      <c r="F1329" t="s">
        <v>953</v>
      </c>
      <c r="G1329">
        <v>1000000</v>
      </c>
      <c r="H1329">
        <v>141000</v>
      </c>
      <c r="I1329" t="s">
        <v>970</v>
      </c>
    </row>
    <row r="1330" spans="1:9" x14ac:dyDescent="0.25">
      <c r="A1330">
        <v>3130</v>
      </c>
      <c r="B1330">
        <v>10</v>
      </c>
      <c r="C1330" t="s">
        <v>963</v>
      </c>
      <c r="D1330" t="s">
        <v>999</v>
      </c>
      <c r="E1330" t="s">
        <v>969</v>
      </c>
      <c r="F1330" t="s">
        <v>954</v>
      </c>
      <c r="G1330">
        <v>1000000</v>
      </c>
      <c r="H1330">
        <v>141000</v>
      </c>
      <c r="I1330" t="s">
        <v>970</v>
      </c>
    </row>
    <row r="1331" spans="1:9" x14ac:dyDescent="0.25">
      <c r="A1331">
        <v>3130</v>
      </c>
      <c r="B1331">
        <v>10</v>
      </c>
      <c r="C1331" t="s">
        <v>963</v>
      </c>
      <c r="D1331" t="s">
        <v>999</v>
      </c>
      <c r="E1331" t="s">
        <v>969</v>
      </c>
      <c r="F1331" t="s">
        <v>955</v>
      </c>
      <c r="G1331">
        <v>1000000</v>
      </c>
      <c r="H1331">
        <v>141000</v>
      </c>
      <c r="I1331" t="s">
        <v>970</v>
      </c>
    </row>
    <row r="1332" spans="1:9" x14ac:dyDescent="0.25">
      <c r="A1332">
        <v>3130</v>
      </c>
      <c r="B1332">
        <v>10</v>
      </c>
      <c r="C1332" t="s">
        <v>963</v>
      </c>
      <c r="D1332" t="s">
        <v>999</v>
      </c>
      <c r="E1332" t="s">
        <v>969</v>
      </c>
      <c r="F1332" t="s">
        <v>956</v>
      </c>
      <c r="G1332">
        <v>1000000</v>
      </c>
      <c r="H1332">
        <v>141000</v>
      </c>
      <c r="I1332" t="s">
        <v>970</v>
      </c>
    </row>
    <row r="1333" spans="1:9" x14ac:dyDescent="0.25">
      <c r="A1333">
        <v>3130</v>
      </c>
      <c r="B1333">
        <v>10</v>
      </c>
      <c r="C1333" t="s">
        <v>963</v>
      </c>
      <c r="D1333" t="s">
        <v>999</v>
      </c>
      <c r="E1333" t="s">
        <v>969</v>
      </c>
      <c r="F1333" t="s">
        <v>957</v>
      </c>
      <c r="G1333">
        <v>1000000</v>
      </c>
      <c r="H1333">
        <v>141000</v>
      </c>
      <c r="I1333" t="s">
        <v>970</v>
      </c>
    </row>
    <row r="1334" spans="1:9" x14ac:dyDescent="0.25">
      <c r="A1334">
        <v>3130</v>
      </c>
      <c r="B1334">
        <v>10</v>
      </c>
      <c r="C1334" t="s">
        <v>963</v>
      </c>
      <c r="D1334" t="s">
        <v>999</v>
      </c>
      <c r="E1334" t="s">
        <v>969</v>
      </c>
      <c r="F1334" t="s">
        <v>958</v>
      </c>
      <c r="G1334">
        <v>1000000</v>
      </c>
      <c r="H1334">
        <v>141000</v>
      </c>
      <c r="I1334" t="s">
        <v>970</v>
      </c>
    </row>
    <row r="1335" spans="1:9" x14ac:dyDescent="0.25">
      <c r="A1335">
        <v>3130</v>
      </c>
      <c r="B1335">
        <v>10</v>
      </c>
      <c r="C1335" t="s">
        <v>963</v>
      </c>
      <c r="D1335" t="s">
        <v>999</v>
      </c>
      <c r="E1335" t="s">
        <v>969</v>
      </c>
      <c r="F1335" t="s">
        <v>959</v>
      </c>
      <c r="G1335">
        <v>1000000</v>
      </c>
      <c r="H1335">
        <v>141000</v>
      </c>
      <c r="I1335" t="s">
        <v>970</v>
      </c>
    </row>
    <row r="1336" spans="1:9" x14ac:dyDescent="0.25">
      <c r="A1336">
        <v>3130</v>
      </c>
      <c r="B1336">
        <v>10</v>
      </c>
      <c r="C1336" t="s">
        <v>963</v>
      </c>
      <c r="D1336" t="s">
        <v>999</v>
      </c>
      <c r="E1336" t="s">
        <v>969</v>
      </c>
      <c r="F1336" t="s">
        <v>960</v>
      </c>
      <c r="G1336">
        <v>1000000</v>
      </c>
      <c r="H1336">
        <v>141000</v>
      </c>
      <c r="I1336" t="s">
        <v>970</v>
      </c>
    </row>
    <row r="1337" spans="1:9" x14ac:dyDescent="0.25">
      <c r="A1337">
        <v>3130</v>
      </c>
      <c r="B1337">
        <v>10</v>
      </c>
      <c r="C1337" t="s">
        <v>963</v>
      </c>
      <c r="D1337" t="s">
        <v>999</v>
      </c>
      <c r="E1337" t="s">
        <v>969</v>
      </c>
      <c r="F1337" t="s">
        <v>961</v>
      </c>
      <c r="G1337">
        <v>1000000</v>
      </c>
      <c r="H1337">
        <v>141000</v>
      </c>
      <c r="I1337" t="s">
        <v>970</v>
      </c>
    </row>
    <row r="1338" ht="22" customHeight="1" spans="1:10" x14ac:dyDescent="0.25">
      <c r="A1338" s="43">
        <v>3130</v>
      </c>
      <c r="B1338" s="43">
        <v>10</v>
      </c>
      <c r="C1338" s="43" t="s">
        <v>950</v>
      </c>
      <c r="D1338" s="43" t="s">
        <v>999</v>
      </c>
      <c r="E1338" s="43" t="s">
        <v>255</v>
      </c>
      <c r="F1338" s="43" t="s">
        <v>951</v>
      </c>
      <c r="G1338" s="43">
        <v>1000000</v>
      </c>
      <c r="H1338" s="43">
        <v>145000</v>
      </c>
      <c r="I1338" s="43" t="s">
        <v>949</v>
      </c>
      <c r="J1338" s="44" t="s">
        <v>1000</v>
      </c>
    </row>
    <row r="1339" ht="22" customHeight="1" spans="1:10" x14ac:dyDescent="0.25">
      <c r="A1339" s="43">
        <v>3130</v>
      </c>
      <c r="B1339" s="43">
        <v>10</v>
      </c>
      <c r="C1339" s="43" t="s">
        <v>950</v>
      </c>
      <c r="D1339" s="43" t="s">
        <v>999</v>
      </c>
      <c r="E1339" s="43" t="s">
        <v>255</v>
      </c>
      <c r="F1339" s="43" t="s">
        <v>952</v>
      </c>
      <c r="G1339" s="43">
        <v>1000000</v>
      </c>
      <c r="H1339" s="43">
        <v>145000</v>
      </c>
      <c r="I1339" s="43" t="s">
        <v>949</v>
      </c>
      <c r="J1339" s="44" t="s">
        <v>1000</v>
      </c>
    </row>
    <row r="1340" ht="22" customHeight="1" spans="1:10" x14ac:dyDescent="0.25">
      <c r="A1340" s="43">
        <v>3130</v>
      </c>
      <c r="B1340" s="43">
        <v>10</v>
      </c>
      <c r="C1340" s="43" t="s">
        <v>950</v>
      </c>
      <c r="D1340" s="43" t="s">
        <v>999</v>
      </c>
      <c r="E1340" s="43" t="s">
        <v>255</v>
      </c>
      <c r="F1340" s="43" t="s">
        <v>953</v>
      </c>
      <c r="G1340" s="43">
        <v>1000000</v>
      </c>
      <c r="H1340" s="43">
        <v>145000</v>
      </c>
      <c r="I1340" s="43" t="s">
        <v>949</v>
      </c>
      <c r="J1340" s="44" t="s">
        <v>1000</v>
      </c>
    </row>
    <row r="1341" ht="22" customHeight="1" spans="1:10" x14ac:dyDescent="0.25">
      <c r="A1341" s="43">
        <v>3130</v>
      </c>
      <c r="B1341" s="43">
        <v>10</v>
      </c>
      <c r="C1341" s="43" t="s">
        <v>950</v>
      </c>
      <c r="D1341" s="43" t="s">
        <v>999</v>
      </c>
      <c r="E1341" s="43" t="s">
        <v>255</v>
      </c>
      <c r="F1341" s="43" t="s">
        <v>954</v>
      </c>
      <c r="G1341" s="43">
        <v>1000000</v>
      </c>
      <c r="H1341" s="43">
        <v>145000</v>
      </c>
      <c r="I1341" s="43" t="s">
        <v>949</v>
      </c>
      <c r="J1341" s="44" t="s">
        <v>1000</v>
      </c>
    </row>
    <row r="1342" ht="22" customHeight="1" spans="1:10" x14ac:dyDescent="0.25">
      <c r="A1342" s="43">
        <v>3130</v>
      </c>
      <c r="B1342" s="43">
        <v>10</v>
      </c>
      <c r="C1342" s="43" t="s">
        <v>950</v>
      </c>
      <c r="D1342" s="43" t="s">
        <v>999</v>
      </c>
      <c r="E1342" s="43" t="s">
        <v>255</v>
      </c>
      <c r="F1342" s="43" t="s">
        <v>955</v>
      </c>
      <c r="G1342" s="43">
        <v>1000000</v>
      </c>
      <c r="H1342" s="43">
        <v>145000</v>
      </c>
      <c r="I1342" s="43" t="s">
        <v>949</v>
      </c>
      <c r="J1342" s="44" t="s">
        <v>1000</v>
      </c>
    </row>
    <row r="1343" ht="22" customHeight="1" spans="1:10" x14ac:dyDescent="0.25">
      <c r="A1343" s="43">
        <v>3130</v>
      </c>
      <c r="B1343" s="43">
        <v>10</v>
      </c>
      <c r="C1343" s="43" t="s">
        <v>950</v>
      </c>
      <c r="D1343" s="43" t="s">
        <v>999</v>
      </c>
      <c r="E1343" s="43" t="s">
        <v>255</v>
      </c>
      <c r="F1343" s="43" t="s">
        <v>956</v>
      </c>
      <c r="G1343" s="43">
        <v>1000000</v>
      </c>
      <c r="H1343" s="43">
        <v>145000</v>
      </c>
      <c r="I1343" s="43" t="s">
        <v>949</v>
      </c>
      <c r="J1343" s="44" t="s">
        <v>1000</v>
      </c>
    </row>
    <row r="1344" ht="22" customHeight="1" spans="1:10" x14ac:dyDescent="0.25">
      <c r="A1344" s="43">
        <v>3130</v>
      </c>
      <c r="B1344" s="43">
        <v>10</v>
      </c>
      <c r="C1344" s="43" t="s">
        <v>950</v>
      </c>
      <c r="D1344" s="43" t="s">
        <v>999</v>
      </c>
      <c r="E1344" s="43" t="s">
        <v>255</v>
      </c>
      <c r="F1344" s="43" t="s">
        <v>957</v>
      </c>
      <c r="G1344" s="43">
        <v>1000000</v>
      </c>
      <c r="H1344" s="43">
        <v>145000</v>
      </c>
      <c r="I1344" s="43" t="s">
        <v>949</v>
      </c>
      <c r="J1344" s="44" t="s">
        <v>1000</v>
      </c>
    </row>
    <row r="1345" ht="22" customHeight="1" spans="1:10" x14ac:dyDescent="0.25">
      <c r="A1345" s="43">
        <v>3130</v>
      </c>
      <c r="B1345" s="43">
        <v>10</v>
      </c>
      <c r="C1345" s="43" t="s">
        <v>950</v>
      </c>
      <c r="D1345" s="43" t="s">
        <v>999</v>
      </c>
      <c r="E1345" s="43" t="s">
        <v>255</v>
      </c>
      <c r="F1345" s="43" t="s">
        <v>958</v>
      </c>
      <c r="G1345" s="43">
        <v>1000000</v>
      </c>
      <c r="H1345" s="43">
        <v>145000</v>
      </c>
      <c r="I1345" s="43" t="s">
        <v>949</v>
      </c>
      <c r="J1345" s="44" t="s">
        <v>1000</v>
      </c>
    </row>
    <row r="1346" ht="22" customHeight="1" spans="1:10" x14ac:dyDescent="0.25">
      <c r="A1346" s="43">
        <v>3130</v>
      </c>
      <c r="B1346" s="43">
        <v>10</v>
      </c>
      <c r="C1346" s="43" t="s">
        <v>950</v>
      </c>
      <c r="D1346" s="43" t="s">
        <v>999</v>
      </c>
      <c r="E1346" s="43" t="s">
        <v>255</v>
      </c>
      <c r="F1346" s="43" t="s">
        <v>959</v>
      </c>
      <c r="G1346" s="43">
        <v>1000000</v>
      </c>
      <c r="H1346" s="43">
        <v>145000</v>
      </c>
      <c r="I1346" s="43" t="s">
        <v>949</v>
      </c>
      <c r="J1346" s="44" t="s">
        <v>1000</v>
      </c>
    </row>
    <row r="1347" ht="22" customHeight="1" spans="1:10" x14ac:dyDescent="0.25">
      <c r="A1347" s="43">
        <v>3130</v>
      </c>
      <c r="B1347" s="43">
        <v>10</v>
      </c>
      <c r="C1347" s="43" t="s">
        <v>950</v>
      </c>
      <c r="D1347" s="43" t="s">
        <v>999</v>
      </c>
      <c r="E1347" s="43" t="s">
        <v>255</v>
      </c>
      <c r="F1347" s="43" t="s">
        <v>960</v>
      </c>
      <c r="G1347" s="43">
        <v>1000000</v>
      </c>
      <c r="H1347" s="43">
        <v>145000</v>
      </c>
      <c r="I1347" s="43" t="s">
        <v>949</v>
      </c>
      <c r="J1347" s="44" t="s">
        <v>1000</v>
      </c>
    </row>
    <row r="1348" ht="22" customHeight="1" spans="1:10" x14ac:dyDescent="0.25">
      <c r="A1348" s="43">
        <v>3130</v>
      </c>
      <c r="B1348" s="43">
        <v>10</v>
      </c>
      <c r="C1348" s="43" t="s">
        <v>950</v>
      </c>
      <c r="D1348" s="43" t="s">
        <v>999</v>
      </c>
      <c r="E1348" s="43" t="s">
        <v>255</v>
      </c>
      <c r="F1348" s="43" t="s">
        <v>961</v>
      </c>
      <c r="G1348" s="43">
        <v>1000000</v>
      </c>
      <c r="H1348" s="43">
        <v>145000</v>
      </c>
      <c r="I1348" s="43" t="s">
        <v>949</v>
      </c>
      <c r="J1348" s="44" t="s">
        <v>1000</v>
      </c>
    </row>
    <row r="1349" ht="22" customHeight="1" spans="1:10" x14ac:dyDescent="0.25">
      <c r="A1349" s="43">
        <v>3130</v>
      </c>
      <c r="B1349" s="43">
        <v>10</v>
      </c>
      <c r="C1349" s="43" t="s">
        <v>962</v>
      </c>
      <c r="D1349" s="43" t="s">
        <v>999</v>
      </c>
      <c r="E1349" s="43" t="s">
        <v>255</v>
      </c>
      <c r="F1349" s="43" t="s">
        <v>951</v>
      </c>
      <c r="G1349" s="43">
        <v>1000000</v>
      </c>
      <c r="H1349" s="43">
        <v>145000</v>
      </c>
      <c r="I1349" s="43" t="s">
        <v>949</v>
      </c>
      <c r="J1349" s="44" t="s">
        <v>1000</v>
      </c>
    </row>
    <row r="1350" ht="22" customHeight="1" spans="1:10" x14ac:dyDescent="0.25">
      <c r="A1350" s="43">
        <v>3130</v>
      </c>
      <c r="B1350" s="43">
        <v>10</v>
      </c>
      <c r="C1350" s="43" t="s">
        <v>962</v>
      </c>
      <c r="D1350" s="43" t="s">
        <v>999</v>
      </c>
      <c r="E1350" s="43" t="s">
        <v>255</v>
      </c>
      <c r="F1350" s="43" t="s">
        <v>952</v>
      </c>
      <c r="G1350" s="43">
        <v>1000000</v>
      </c>
      <c r="H1350" s="43">
        <v>145000</v>
      </c>
      <c r="I1350" s="43" t="s">
        <v>949</v>
      </c>
      <c r="J1350" s="44" t="s">
        <v>1000</v>
      </c>
    </row>
    <row r="1351" ht="22" customHeight="1" spans="1:10" x14ac:dyDescent="0.25">
      <c r="A1351" s="43">
        <v>3130</v>
      </c>
      <c r="B1351" s="43">
        <v>10</v>
      </c>
      <c r="C1351" s="43" t="s">
        <v>962</v>
      </c>
      <c r="D1351" s="43" t="s">
        <v>999</v>
      </c>
      <c r="E1351" s="43" t="s">
        <v>255</v>
      </c>
      <c r="F1351" s="43" t="s">
        <v>953</v>
      </c>
      <c r="G1351" s="43">
        <v>1000000</v>
      </c>
      <c r="H1351" s="43">
        <v>145000</v>
      </c>
      <c r="I1351" s="43" t="s">
        <v>949</v>
      </c>
      <c r="J1351" s="44" t="s">
        <v>1000</v>
      </c>
    </row>
    <row r="1352" ht="22" customHeight="1" spans="1:10" x14ac:dyDescent="0.25">
      <c r="A1352" s="43">
        <v>3130</v>
      </c>
      <c r="B1352" s="43">
        <v>10</v>
      </c>
      <c r="C1352" s="43" t="s">
        <v>962</v>
      </c>
      <c r="D1352" s="43" t="s">
        <v>999</v>
      </c>
      <c r="E1352" s="43" t="s">
        <v>255</v>
      </c>
      <c r="F1352" s="43" t="s">
        <v>954</v>
      </c>
      <c r="G1352" s="43">
        <v>1000000</v>
      </c>
      <c r="H1352" s="43">
        <v>145000</v>
      </c>
      <c r="I1352" s="43" t="s">
        <v>949</v>
      </c>
      <c r="J1352" s="44" t="s">
        <v>1000</v>
      </c>
    </row>
    <row r="1353" ht="22" customHeight="1" spans="1:10" x14ac:dyDescent="0.25">
      <c r="A1353" s="43">
        <v>3130</v>
      </c>
      <c r="B1353" s="43">
        <v>10</v>
      </c>
      <c r="C1353" s="43" t="s">
        <v>962</v>
      </c>
      <c r="D1353" s="43" t="s">
        <v>999</v>
      </c>
      <c r="E1353" s="43" t="s">
        <v>255</v>
      </c>
      <c r="F1353" s="43" t="s">
        <v>955</v>
      </c>
      <c r="G1353" s="43">
        <v>1000000</v>
      </c>
      <c r="H1353" s="43">
        <v>145000</v>
      </c>
      <c r="I1353" s="43" t="s">
        <v>949</v>
      </c>
      <c r="J1353" s="44" t="s">
        <v>1000</v>
      </c>
    </row>
    <row r="1354" ht="22" customHeight="1" spans="1:10" x14ac:dyDescent="0.25">
      <c r="A1354" s="43">
        <v>3130</v>
      </c>
      <c r="B1354" s="43">
        <v>10</v>
      </c>
      <c r="C1354" s="43" t="s">
        <v>962</v>
      </c>
      <c r="D1354" s="43" t="s">
        <v>999</v>
      </c>
      <c r="E1354" s="43" t="s">
        <v>255</v>
      </c>
      <c r="F1354" s="43" t="s">
        <v>956</v>
      </c>
      <c r="G1354" s="43">
        <v>1000000</v>
      </c>
      <c r="H1354" s="43">
        <v>145000</v>
      </c>
      <c r="I1354" s="43" t="s">
        <v>949</v>
      </c>
      <c r="J1354" s="44" t="s">
        <v>1000</v>
      </c>
    </row>
    <row r="1355" ht="22" customHeight="1" spans="1:10" x14ac:dyDescent="0.25">
      <c r="A1355" s="43">
        <v>3130</v>
      </c>
      <c r="B1355" s="43">
        <v>10</v>
      </c>
      <c r="C1355" s="43" t="s">
        <v>962</v>
      </c>
      <c r="D1355" s="43" t="s">
        <v>999</v>
      </c>
      <c r="E1355" s="43" t="s">
        <v>255</v>
      </c>
      <c r="F1355" s="43" t="s">
        <v>957</v>
      </c>
      <c r="G1355" s="43">
        <v>1000000</v>
      </c>
      <c r="H1355" s="43">
        <v>145000</v>
      </c>
      <c r="I1355" s="43" t="s">
        <v>949</v>
      </c>
      <c r="J1355" s="44" t="s">
        <v>1000</v>
      </c>
    </row>
    <row r="1356" ht="22" customHeight="1" spans="1:10" x14ac:dyDescent="0.25">
      <c r="A1356" s="43">
        <v>3130</v>
      </c>
      <c r="B1356" s="43">
        <v>10</v>
      </c>
      <c r="C1356" s="43" t="s">
        <v>962</v>
      </c>
      <c r="D1356" s="43" t="s">
        <v>999</v>
      </c>
      <c r="E1356" s="43" t="s">
        <v>255</v>
      </c>
      <c r="F1356" s="43" t="s">
        <v>958</v>
      </c>
      <c r="G1356" s="43">
        <v>1000000</v>
      </c>
      <c r="H1356" s="43">
        <v>145000</v>
      </c>
      <c r="I1356" s="43" t="s">
        <v>949</v>
      </c>
      <c r="J1356" s="44" t="s">
        <v>1000</v>
      </c>
    </row>
    <row r="1357" ht="22" customHeight="1" spans="1:10" x14ac:dyDescent="0.25">
      <c r="A1357" s="43">
        <v>3130</v>
      </c>
      <c r="B1357" s="43">
        <v>10</v>
      </c>
      <c r="C1357" s="43" t="s">
        <v>962</v>
      </c>
      <c r="D1357" s="43" t="s">
        <v>999</v>
      </c>
      <c r="E1357" s="43" t="s">
        <v>255</v>
      </c>
      <c r="F1357" s="43" t="s">
        <v>959</v>
      </c>
      <c r="G1357" s="43">
        <v>1000000</v>
      </c>
      <c r="H1357" s="43">
        <v>145000</v>
      </c>
      <c r="I1357" s="43" t="s">
        <v>949</v>
      </c>
      <c r="J1357" s="44" t="s">
        <v>1000</v>
      </c>
    </row>
    <row r="1358" ht="22" customHeight="1" spans="1:10" x14ac:dyDescent="0.25">
      <c r="A1358" s="43">
        <v>3130</v>
      </c>
      <c r="B1358" s="43">
        <v>10</v>
      </c>
      <c r="C1358" s="43" t="s">
        <v>962</v>
      </c>
      <c r="D1358" s="43" t="s">
        <v>999</v>
      </c>
      <c r="E1358" s="43" t="s">
        <v>255</v>
      </c>
      <c r="F1358" s="43" t="s">
        <v>960</v>
      </c>
      <c r="G1358" s="43">
        <v>1000000</v>
      </c>
      <c r="H1358" s="43">
        <v>145000</v>
      </c>
      <c r="I1358" s="43" t="s">
        <v>949</v>
      </c>
      <c r="J1358" s="44" t="s">
        <v>1000</v>
      </c>
    </row>
    <row r="1359" ht="22" customHeight="1" spans="1:10" x14ac:dyDescent="0.25">
      <c r="A1359" s="43">
        <v>3130</v>
      </c>
      <c r="B1359" s="43">
        <v>10</v>
      </c>
      <c r="C1359" s="43" t="s">
        <v>962</v>
      </c>
      <c r="D1359" s="43" t="s">
        <v>999</v>
      </c>
      <c r="E1359" s="43" t="s">
        <v>255</v>
      </c>
      <c r="F1359" s="43" t="s">
        <v>961</v>
      </c>
      <c r="G1359" s="43">
        <v>1000000</v>
      </c>
      <c r="H1359" s="43">
        <v>145000</v>
      </c>
      <c r="I1359" s="43" t="s">
        <v>949</v>
      </c>
      <c r="J1359" s="44" t="s">
        <v>1000</v>
      </c>
    </row>
    <row r="1360" ht="22" customHeight="1" spans="1:10" x14ac:dyDescent="0.25">
      <c r="A1360" s="43">
        <v>3130</v>
      </c>
      <c r="B1360" s="43">
        <v>10</v>
      </c>
      <c r="C1360" s="43" t="s">
        <v>963</v>
      </c>
      <c r="D1360" s="43" t="s">
        <v>999</v>
      </c>
      <c r="E1360" s="43" t="s">
        <v>255</v>
      </c>
      <c r="F1360" s="43" t="s">
        <v>951</v>
      </c>
      <c r="G1360" s="43">
        <v>1000000</v>
      </c>
      <c r="H1360" s="43">
        <v>145000</v>
      </c>
      <c r="I1360" s="43" t="s">
        <v>949</v>
      </c>
      <c r="J1360" s="44" t="s">
        <v>1000</v>
      </c>
    </row>
    <row r="1361" ht="22" customHeight="1" spans="1:10" x14ac:dyDescent="0.25">
      <c r="A1361" s="43">
        <v>3130</v>
      </c>
      <c r="B1361" s="43">
        <v>10</v>
      </c>
      <c r="C1361" s="43" t="s">
        <v>963</v>
      </c>
      <c r="D1361" s="43" t="s">
        <v>999</v>
      </c>
      <c r="E1361" s="43" t="s">
        <v>255</v>
      </c>
      <c r="F1361" s="43" t="s">
        <v>952</v>
      </c>
      <c r="G1361" s="43">
        <v>1000000</v>
      </c>
      <c r="H1361" s="43">
        <v>145000</v>
      </c>
      <c r="I1361" s="43" t="s">
        <v>949</v>
      </c>
      <c r="J1361" s="44" t="s">
        <v>1000</v>
      </c>
    </row>
    <row r="1362" ht="22" customHeight="1" spans="1:10" x14ac:dyDescent="0.25">
      <c r="A1362" s="43">
        <v>3130</v>
      </c>
      <c r="B1362" s="43">
        <v>10</v>
      </c>
      <c r="C1362" s="43" t="s">
        <v>963</v>
      </c>
      <c r="D1362" s="43" t="s">
        <v>999</v>
      </c>
      <c r="E1362" s="43" t="s">
        <v>255</v>
      </c>
      <c r="F1362" s="43" t="s">
        <v>953</v>
      </c>
      <c r="G1362" s="43">
        <v>1000000</v>
      </c>
      <c r="H1362" s="43">
        <v>145000</v>
      </c>
      <c r="I1362" s="43" t="s">
        <v>949</v>
      </c>
      <c r="J1362" s="44" t="s">
        <v>1000</v>
      </c>
    </row>
    <row r="1363" ht="22" customHeight="1" spans="1:10" x14ac:dyDescent="0.25">
      <c r="A1363" s="43">
        <v>3130</v>
      </c>
      <c r="B1363" s="43">
        <v>10</v>
      </c>
      <c r="C1363" s="43" t="s">
        <v>963</v>
      </c>
      <c r="D1363" s="43" t="s">
        <v>999</v>
      </c>
      <c r="E1363" s="43" t="s">
        <v>255</v>
      </c>
      <c r="F1363" s="43" t="s">
        <v>954</v>
      </c>
      <c r="G1363" s="43">
        <v>1000000</v>
      </c>
      <c r="H1363" s="43">
        <v>145000</v>
      </c>
      <c r="I1363" s="43" t="s">
        <v>949</v>
      </c>
      <c r="J1363" s="44" t="s">
        <v>1000</v>
      </c>
    </row>
    <row r="1364" ht="22" customHeight="1" spans="1:10" x14ac:dyDescent="0.25">
      <c r="A1364" s="43">
        <v>3130</v>
      </c>
      <c r="B1364" s="43">
        <v>10</v>
      </c>
      <c r="C1364" s="43" t="s">
        <v>963</v>
      </c>
      <c r="D1364" s="43" t="s">
        <v>999</v>
      </c>
      <c r="E1364" s="43" t="s">
        <v>255</v>
      </c>
      <c r="F1364" s="43" t="s">
        <v>955</v>
      </c>
      <c r="G1364" s="43">
        <v>1000000</v>
      </c>
      <c r="H1364" s="43">
        <v>145000</v>
      </c>
      <c r="I1364" s="43" t="s">
        <v>949</v>
      </c>
      <c r="J1364" s="44" t="s">
        <v>1000</v>
      </c>
    </row>
    <row r="1365" ht="22" customHeight="1" spans="1:10" x14ac:dyDescent="0.25">
      <c r="A1365" s="43">
        <v>3130</v>
      </c>
      <c r="B1365" s="43">
        <v>10</v>
      </c>
      <c r="C1365" s="43" t="s">
        <v>963</v>
      </c>
      <c r="D1365" s="43" t="s">
        <v>999</v>
      </c>
      <c r="E1365" s="43" t="s">
        <v>255</v>
      </c>
      <c r="F1365" s="43" t="s">
        <v>956</v>
      </c>
      <c r="G1365" s="43">
        <v>1000000</v>
      </c>
      <c r="H1365" s="43">
        <v>145000</v>
      </c>
      <c r="I1365" s="43" t="s">
        <v>949</v>
      </c>
      <c r="J1365" s="44" t="s">
        <v>1000</v>
      </c>
    </row>
    <row r="1366" ht="22" customHeight="1" spans="1:10" x14ac:dyDescent="0.25">
      <c r="A1366" s="43">
        <v>3130</v>
      </c>
      <c r="B1366" s="43">
        <v>10</v>
      </c>
      <c r="C1366" s="43" t="s">
        <v>963</v>
      </c>
      <c r="D1366" s="43" t="s">
        <v>999</v>
      </c>
      <c r="E1366" s="43" t="s">
        <v>255</v>
      </c>
      <c r="F1366" s="43" t="s">
        <v>957</v>
      </c>
      <c r="G1366" s="43">
        <v>1000000</v>
      </c>
      <c r="H1366" s="43">
        <v>145000</v>
      </c>
      <c r="I1366" s="43" t="s">
        <v>949</v>
      </c>
      <c r="J1366" s="44" t="s">
        <v>1000</v>
      </c>
    </row>
    <row r="1367" ht="22" customHeight="1" spans="1:10" x14ac:dyDescent="0.25">
      <c r="A1367" s="43">
        <v>3130</v>
      </c>
      <c r="B1367" s="43">
        <v>10</v>
      </c>
      <c r="C1367" s="43" t="s">
        <v>963</v>
      </c>
      <c r="D1367" s="43" t="s">
        <v>999</v>
      </c>
      <c r="E1367" s="43" t="s">
        <v>255</v>
      </c>
      <c r="F1367" s="43" t="s">
        <v>958</v>
      </c>
      <c r="G1367" s="43">
        <v>1000000</v>
      </c>
      <c r="H1367" s="43">
        <v>145000</v>
      </c>
      <c r="I1367" s="43" t="s">
        <v>949</v>
      </c>
      <c r="J1367" s="44" t="s">
        <v>1000</v>
      </c>
    </row>
    <row r="1368" ht="22" customHeight="1" spans="1:10" x14ac:dyDescent="0.25">
      <c r="A1368" s="43">
        <v>3130</v>
      </c>
      <c r="B1368" s="43">
        <v>10</v>
      </c>
      <c r="C1368" s="43" t="s">
        <v>963</v>
      </c>
      <c r="D1368" s="43" t="s">
        <v>999</v>
      </c>
      <c r="E1368" s="43" t="s">
        <v>255</v>
      </c>
      <c r="F1368" s="43" t="s">
        <v>959</v>
      </c>
      <c r="G1368" s="43">
        <v>1000000</v>
      </c>
      <c r="H1368" s="43">
        <v>145000</v>
      </c>
      <c r="I1368" s="43" t="s">
        <v>949</v>
      </c>
      <c r="J1368" s="44" t="s">
        <v>1000</v>
      </c>
    </row>
    <row r="1369" ht="22" customHeight="1" spans="1:10" x14ac:dyDescent="0.25">
      <c r="A1369" s="43">
        <v>3130</v>
      </c>
      <c r="B1369" s="43">
        <v>10</v>
      </c>
      <c r="C1369" s="43" t="s">
        <v>963</v>
      </c>
      <c r="D1369" s="43" t="s">
        <v>999</v>
      </c>
      <c r="E1369" s="43" t="s">
        <v>255</v>
      </c>
      <c r="F1369" s="43" t="s">
        <v>960</v>
      </c>
      <c r="G1369" s="43">
        <v>1000000</v>
      </c>
      <c r="H1369" s="43">
        <v>145000</v>
      </c>
      <c r="I1369" s="43" t="s">
        <v>949</v>
      </c>
      <c r="J1369" s="44" t="s">
        <v>1000</v>
      </c>
    </row>
    <row r="1370" ht="22" customHeight="1" spans="1:10" x14ac:dyDescent="0.25">
      <c r="A1370" s="43">
        <v>3130</v>
      </c>
      <c r="B1370" s="43">
        <v>10</v>
      </c>
      <c r="C1370" s="43" t="s">
        <v>963</v>
      </c>
      <c r="D1370" s="43" t="s">
        <v>999</v>
      </c>
      <c r="E1370" s="43" t="s">
        <v>255</v>
      </c>
      <c r="F1370" s="43" t="s">
        <v>961</v>
      </c>
      <c r="G1370" s="43">
        <v>1000000</v>
      </c>
      <c r="H1370" s="43">
        <v>145000</v>
      </c>
      <c r="I1370" s="43" t="s">
        <v>949</v>
      </c>
      <c r="J1370" s="44" t="s">
        <v>1000</v>
      </c>
    </row>
    <row r="1371" spans="1:9" x14ac:dyDescent="0.25">
      <c r="A1371">
        <v>3130</v>
      </c>
      <c r="B1371">
        <v>10</v>
      </c>
      <c r="C1371" t="s">
        <v>950</v>
      </c>
      <c r="D1371" t="s">
        <v>999</v>
      </c>
      <c r="E1371" t="s">
        <v>971</v>
      </c>
      <c r="F1371" t="s">
        <v>951</v>
      </c>
      <c r="G1371">
        <v>1000000</v>
      </c>
      <c r="H1371">
        <v>141000</v>
      </c>
      <c r="I1371" t="s">
        <v>972</v>
      </c>
    </row>
    <row r="1372" spans="1:9" x14ac:dyDescent="0.25">
      <c r="A1372">
        <v>3130</v>
      </c>
      <c r="B1372">
        <v>10</v>
      </c>
      <c r="C1372" t="s">
        <v>950</v>
      </c>
      <c r="D1372" t="s">
        <v>999</v>
      </c>
      <c r="E1372" t="s">
        <v>971</v>
      </c>
      <c r="F1372" t="s">
        <v>952</v>
      </c>
      <c r="G1372">
        <v>1000000</v>
      </c>
      <c r="H1372">
        <v>141000</v>
      </c>
      <c r="I1372" t="s">
        <v>972</v>
      </c>
    </row>
    <row r="1373" spans="1:9" x14ac:dyDescent="0.25">
      <c r="A1373">
        <v>3130</v>
      </c>
      <c r="B1373">
        <v>10</v>
      </c>
      <c r="C1373" t="s">
        <v>950</v>
      </c>
      <c r="D1373" t="s">
        <v>999</v>
      </c>
      <c r="E1373" t="s">
        <v>971</v>
      </c>
      <c r="F1373" t="s">
        <v>953</v>
      </c>
      <c r="G1373">
        <v>1000000</v>
      </c>
      <c r="H1373">
        <v>141000</v>
      </c>
      <c r="I1373" t="s">
        <v>972</v>
      </c>
    </row>
    <row r="1374" spans="1:9" x14ac:dyDescent="0.25">
      <c r="A1374">
        <v>3130</v>
      </c>
      <c r="B1374">
        <v>10</v>
      </c>
      <c r="C1374" t="s">
        <v>950</v>
      </c>
      <c r="D1374" t="s">
        <v>999</v>
      </c>
      <c r="E1374" t="s">
        <v>971</v>
      </c>
      <c r="F1374" t="s">
        <v>954</v>
      </c>
      <c r="G1374">
        <v>1000000</v>
      </c>
      <c r="H1374">
        <v>141000</v>
      </c>
      <c r="I1374" t="s">
        <v>972</v>
      </c>
    </row>
    <row r="1375" spans="1:9" x14ac:dyDescent="0.25">
      <c r="A1375">
        <v>3130</v>
      </c>
      <c r="B1375">
        <v>10</v>
      </c>
      <c r="C1375" t="s">
        <v>950</v>
      </c>
      <c r="D1375" t="s">
        <v>999</v>
      </c>
      <c r="E1375" t="s">
        <v>971</v>
      </c>
      <c r="F1375" t="s">
        <v>955</v>
      </c>
      <c r="G1375">
        <v>1000000</v>
      </c>
      <c r="H1375">
        <v>141000</v>
      </c>
      <c r="I1375" t="s">
        <v>972</v>
      </c>
    </row>
    <row r="1376" spans="1:9" x14ac:dyDescent="0.25">
      <c r="A1376">
        <v>3130</v>
      </c>
      <c r="B1376">
        <v>10</v>
      </c>
      <c r="C1376" t="s">
        <v>950</v>
      </c>
      <c r="D1376" t="s">
        <v>999</v>
      </c>
      <c r="E1376" t="s">
        <v>971</v>
      </c>
      <c r="F1376" t="s">
        <v>956</v>
      </c>
      <c r="G1376">
        <v>1000000</v>
      </c>
      <c r="H1376">
        <v>141000</v>
      </c>
      <c r="I1376" t="s">
        <v>972</v>
      </c>
    </row>
    <row r="1377" spans="1:9" x14ac:dyDescent="0.25">
      <c r="A1377">
        <v>3130</v>
      </c>
      <c r="B1377">
        <v>10</v>
      </c>
      <c r="C1377" t="s">
        <v>950</v>
      </c>
      <c r="D1377" t="s">
        <v>999</v>
      </c>
      <c r="E1377" t="s">
        <v>971</v>
      </c>
      <c r="F1377" t="s">
        <v>957</v>
      </c>
      <c r="G1377">
        <v>1000000</v>
      </c>
      <c r="H1377">
        <v>141000</v>
      </c>
      <c r="I1377" t="s">
        <v>972</v>
      </c>
    </row>
    <row r="1378" spans="1:9" x14ac:dyDescent="0.25">
      <c r="A1378">
        <v>3130</v>
      </c>
      <c r="B1378">
        <v>10</v>
      </c>
      <c r="C1378" t="s">
        <v>950</v>
      </c>
      <c r="D1378" t="s">
        <v>999</v>
      </c>
      <c r="E1378" t="s">
        <v>971</v>
      </c>
      <c r="F1378" t="s">
        <v>958</v>
      </c>
      <c r="G1378">
        <v>1000000</v>
      </c>
      <c r="H1378">
        <v>141000</v>
      </c>
      <c r="I1378" t="s">
        <v>972</v>
      </c>
    </row>
    <row r="1379" spans="1:9" x14ac:dyDescent="0.25">
      <c r="A1379">
        <v>3130</v>
      </c>
      <c r="B1379">
        <v>10</v>
      </c>
      <c r="C1379" t="s">
        <v>950</v>
      </c>
      <c r="D1379" t="s">
        <v>999</v>
      </c>
      <c r="E1379" t="s">
        <v>971</v>
      </c>
      <c r="F1379" t="s">
        <v>959</v>
      </c>
      <c r="G1379">
        <v>1000000</v>
      </c>
      <c r="H1379">
        <v>141000</v>
      </c>
      <c r="I1379" t="s">
        <v>972</v>
      </c>
    </row>
    <row r="1380" spans="1:9" x14ac:dyDescent="0.25">
      <c r="A1380">
        <v>3130</v>
      </c>
      <c r="B1380">
        <v>10</v>
      </c>
      <c r="C1380" t="s">
        <v>950</v>
      </c>
      <c r="D1380" t="s">
        <v>999</v>
      </c>
      <c r="E1380" t="s">
        <v>971</v>
      </c>
      <c r="F1380" t="s">
        <v>960</v>
      </c>
      <c r="G1380">
        <v>1000000</v>
      </c>
      <c r="H1380">
        <v>141000</v>
      </c>
      <c r="I1380" t="s">
        <v>972</v>
      </c>
    </row>
    <row r="1381" spans="1:9" x14ac:dyDescent="0.25">
      <c r="A1381">
        <v>3130</v>
      </c>
      <c r="B1381">
        <v>10</v>
      </c>
      <c r="C1381" t="s">
        <v>950</v>
      </c>
      <c r="D1381" t="s">
        <v>999</v>
      </c>
      <c r="E1381" t="s">
        <v>971</v>
      </c>
      <c r="F1381" t="s">
        <v>961</v>
      </c>
      <c r="G1381">
        <v>1000000</v>
      </c>
      <c r="H1381">
        <v>141000</v>
      </c>
      <c r="I1381" t="s">
        <v>972</v>
      </c>
    </row>
    <row r="1382" spans="1:9" x14ac:dyDescent="0.25">
      <c r="A1382">
        <v>3130</v>
      </c>
      <c r="B1382">
        <v>10</v>
      </c>
      <c r="C1382" t="s">
        <v>962</v>
      </c>
      <c r="D1382" t="s">
        <v>999</v>
      </c>
      <c r="E1382" t="s">
        <v>971</v>
      </c>
      <c r="F1382" t="s">
        <v>951</v>
      </c>
      <c r="G1382">
        <v>1000000</v>
      </c>
      <c r="H1382">
        <v>141000</v>
      </c>
      <c r="I1382" t="s">
        <v>972</v>
      </c>
    </row>
    <row r="1383" spans="1:9" x14ac:dyDescent="0.25">
      <c r="A1383">
        <v>3130</v>
      </c>
      <c r="B1383">
        <v>10</v>
      </c>
      <c r="C1383" t="s">
        <v>962</v>
      </c>
      <c r="D1383" t="s">
        <v>999</v>
      </c>
      <c r="E1383" t="s">
        <v>971</v>
      </c>
      <c r="F1383" t="s">
        <v>952</v>
      </c>
      <c r="G1383">
        <v>1000000</v>
      </c>
      <c r="H1383">
        <v>141000</v>
      </c>
      <c r="I1383" t="s">
        <v>972</v>
      </c>
    </row>
    <row r="1384" spans="1:9" x14ac:dyDescent="0.25">
      <c r="A1384">
        <v>3130</v>
      </c>
      <c r="B1384">
        <v>10</v>
      </c>
      <c r="C1384" t="s">
        <v>962</v>
      </c>
      <c r="D1384" t="s">
        <v>999</v>
      </c>
      <c r="E1384" t="s">
        <v>971</v>
      </c>
      <c r="F1384" t="s">
        <v>953</v>
      </c>
      <c r="G1384">
        <v>1000000</v>
      </c>
      <c r="H1384">
        <v>141000</v>
      </c>
      <c r="I1384" t="s">
        <v>972</v>
      </c>
    </row>
    <row r="1385" spans="1:9" x14ac:dyDescent="0.25">
      <c r="A1385">
        <v>3130</v>
      </c>
      <c r="B1385">
        <v>10</v>
      </c>
      <c r="C1385" t="s">
        <v>962</v>
      </c>
      <c r="D1385" t="s">
        <v>999</v>
      </c>
      <c r="E1385" t="s">
        <v>971</v>
      </c>
      <c r="F1385" t="s">
        <v>954</v>
      </c>
      <c r="G1385">
        <v>1000000</v>
      </c>
      <c r="H1385">
        <v>141000</v>
      </c>
      <c r="I1385" t="s">
        <v>972</v>
      </c>
    </row>
    <row r="1386" spans="1:9" x14ac:dyDescent="0.25">
      <c r="A1386">
        <v>3130</v>
      </c>
      <c r="B1386">
        <v>10</v>
      </c>
      <c r="C1386" t="s">
        <v>962</v>
      </c>
      <c r="D1386" t="s">
        <v>999</v>
      </c>
      <c r="E1386" t="s">
        <v>971</v>
      </c>
      <c r="F1386" t="s">
        <v>955</v>
      </c>
      <c r="G1386">
        <v>1000000</v>
      </c>
      <c r="H1386">
        <v>141000</v>
      </c>
      <c r="I1386" t="s">
        <v>972</v>
      </c>
    </row>
    <row r="1387" spans="1:9" x14ac:dyDescent="0.25">
      <c r="A1387">
        <v>3130</v>
      </c>
      <c r="B1387">
        <v>10</v>
      </c>
      <c r="C1387" t="s">
        <v>962</v>
      </c>
      <c r="D1387" t="s">
        <v>999</v>
      </c>
      <c r="E1387" t="s">
        <v>971</v>
      </c>
      <c r="F1387" t="s">
        <v>956</v>
      </c>
      <c r="G1387">
        <v>1000000</v>
      </c>
      <c r="H1387">
        <v>141000</v>
      </c>
      <c r="I1387" t="s">
        <v>972</v>
      </c>
    </row>
    <row r="1388" spans="1:9" x14ac:dyDescent="0.25">
      <c r="A1388">
        <v>3130</v>
      </c>
      <c r="B1388">
        <v>10</v>
      </c>
      <c r="C1388" t="s">
        <v>962</v>
      </c>
      <c r="D1388" t="s">
        <v>999</v>
      </c>
      <c r="E1388" t="s">
        <v>971</v>
      </c>
      <c r="F1388" t="s">
        <v>957</v>
      </c>
      <c r="G1388">
        <v>1000000</v>
      </c>
      <c r="H1388">
        <v>141000</v>
      </c>
      <c r="I1388" t="s">
        <v>972</v>
      </c>
    </row>
    <row r="1389" spans="1:9" x14ac:dyDescent="0.25">
      <c r="A1389">
        <v>3130</v>
      </c>
      <c r="B1389">
        <v>10</v>
      </c>
      <c r="C1389" t="s">
        <v>962</v>
      </c>
      <c r="D1389" t="s">
        <v>999</v>
      </c>
      <c r="E1389" t="s">
        <v>971</v>
      </c>
      <c r="F1389" t="s">
        <v>958</v>
      </c>
      <c r="G1389">
        <v>1000000</v>
      </c>
      <c r="H1389">
        <v>141000</v>
      </c>
      <c r="I1389" t="s">
        <v>972</v>
      </c>
    </row>
    <row r="1390" spans="1:9" x14ac:dyDescent="0.25">
      <c r="A1390">
        <v>3130</v>
      </c>
      <c r="B1390">
        <v>10</v>
      </c>
      <c r="C1390" t="s">
        <v>962</v>
      </c>
      <c r="D1390" t="s">
        <v>999</v>
      </c>
      <c r="E1390" t="s">
        <v>971</v>
      </c>
      <c r="F1390" t="s">
        <v>959</v>
      </c>
      <c r="G1390">
        <v>1000000</v>
      </c>
      <c r="H1390">
        <v>141000</v>
      </c>
      <c r="I1390" t="s">
        <v>972</v>
      </c>
    </row>
    <row r="1391" spans="1:9" x14ac:dyDescent="0.25">
      <c r="A1391">
        <v>3130</v>
      </c>
      <c r="B1391">
        <v>10</v>
      </c>
      <c r="C1391" t="s">
        <v>962</v>
      </c>
      <c r="D1391" t="s">
        <v>999</v>
      </c>
      <c r="E1391" t="s">
        <v>971</v>
      </c>
      <c r="F1391" t="s">
        <v>960</v>
      </c>
      <c r="G1391">
        <v>1000000</v>
      </c>
      <c r="H1391">
        <v>141000</v>
      </c>
      <c r="I1391" t="s">
        <v>972</v>
      </c>
    </row>
    <row r="1392" spans="1:9" x14ac:dyDescent="0.25">
      <c r="A1392">
        <v>3130</v>
      </c>
      <c r="B1392">
        <v>10</v>
      </c>
      <c r="C1392" t="s">
        <v>962</v>
      </c>
      <c r="D1392" t="s">
        <v>999</v>
      </c>
      <c r="E1392" t="s">
        <v>971</v>
      </c>
      <c r="F1392" t="s">
        <v>961</v>
      </c>
      <c r="G1392">
        <v>1000000</v>
      </c>
      <c r="H1392">
        <v>141000</v>
      </c>
      <c r="I1392" t="s">
        <v>972</v>
      </c>
    </row>
    <row r="1393" spans="1:9" x14ac:dyDescent="0.25">
      <c r="A1393">
        <v>3130</v>
      </c>
      <c r="B1393">
        <v>10</v>
      </c>
      <c r="C1393" t="s">
        <v>963</v>
      </c>
      <c r="D1393" t="s">
        <v>999</v>
      </c>
      <c r="E1393" t="s">
        <v>971</v>
      </c>
      <c r="F1393" t="s">
        <v>951</v>
      </c>
      <c r="G1393">
        <v>1000000</v>
      </c>
      <c r="H1393">
        <v>141000</v>
      </c>
      <c r="I1393" t="s">
        <v>972</v>
      </c>
    </row>
    <row r="1394" spans="1:9" x14ac:dyDescent="0.25">
      <c r="A1394">
        <v>3130</v>
      </c>
      <c r="B1394">
        <v>10</v>
      </c>
      <c r="C1394" t="s">
        <v>963</v>
      </c>
      <c r="D1394" t="s">
        <v>999</v>
      </c>
      <c r="E1394" t="s">
        <v>971</v>
      </c>
      <c r="F1394" t="s">
        <v>952</v>
      </c>
      <c r="G1394">
        <v>1000000</v>
      </c>
      <c r="H1394">
        <v>141000</v>
      </c>
      <c r="I1394" t="s">
        <v>972</v>
      </c>
    </row>
    <row r="1395" spans="1:9" x14ac:dyDescent="0.25">
      <c r="A1395">
        <v>3130</v>
      </c>
      <c r="B1395">
        <v>10</v>
      </c>
      <c r="C1395" t="s">
        <v>963</v>
      </c>
      <c r="D1395" t="s">
        <v>999</v>
      </c>
      <c r="E1395" t="s">
        <v>971</v>
      </c>
      <c r="F1395" t="s">
        <v>953</v>
      </c>
      <c r="G1395">
        <v>1000000</v>
      </c>
      <c r="H1395">
        <v>141000</v>
      </c>
      <c r="I1395" t="s">
        <v>972</v>
      </c>
    </row>
    <row r="1396" spans="1:9" x14ac:dyDescent="0.25">
      <c r="A1396">
        <v>3130</v>
      </c>
      <c r="B1396">
        <v>10</v>
      </c>
      <c r="C1396" t="s">
        <v>963</v>
      </c>
      <c r="D1396" t="s">
        <v>999</v>
      </c>
      <c r="E1396" t="s">
        <v>971</v>
      </c>
      <c r="F1396" t="s">
        <v>954</v>
      </c>
      <c r="G1396">
        <v>1000000</v>
      </c>
      <c r="H1396">
        <v>141000</v>
      </c>
      <c r="I1396" t="s">
        <v>972</v>
      </c>
    </row>
    <row r="1397" spans="1:9" x14ac:dyDescent="0.25">
      <c r="A1397">
        <v>3130</v>
      </c>
      <c r="B1397">
        <v>10</v>
      </c>
      <c r="C1397" t="s">
        <v>963</v>
      </c>
      <c r="D1397" t="s">
        <v>999</v>
      </c>
      <c r="E1397" t="s">
        <v>971</v>
      </c>
      <c r="F1397" t="s">
        <v>955</v>
      </c>
      <c r="G1397">
        <v>1000000</v>
      </c>
      <c r="H1397">
        <v>141000</v>
      </c>
      <c r="I1397" t="s">
        <v>972</v>
      </c>
    </row>
    <row r="1398" spans="1:9" x14ac:dyDescent="0.25">
      <c r="A1398">
        <v>3130</v>
      </c>
      <c r="B1398">
        <v>10</v>
      </c>
      <c r="C1398" t="s">
        <v>963</v>
      </c>
      <c r="D1398" t="s">
        <v>999</v>
      </c>
      <c r="E1398" t="s">
        <v>971</v>
      </c>
      <c r="F1398" t="s">
        <v>956</v>
      </c>
      <c r="G1398">
        <v>1000000</v>
      </c>
      <c r="H1398">
        <v>141000</v>
      </c>
      <c r="I1398" t="s">
        <v>972</v>
      </c>
    </row>
    <row r="1399" spans="1:9" x14ac:dyDescent="0.25">
      <c r="A1399">
        <v>3130</v>
      </c>
      <c r="B1399">
        <v>10</v>
      </c>
      <c r="C1399" t="s">
        <v>963</v>
      </c>
      <c r="D1399" t="s">
        <v>999</v>
      </c>
      <c r="E1399" t="s">
        <v>971</v>
      </c>
      <c r="F1399" t="s">
        <v>957</v>
      </c>
      <c r="G1399">
        <v>1000000</v>
      </c>
      <c r="H1399">
        <v>141000</v>
      </c>
      <c r="I1399" t="s">
        <v>972</v>
      </c>
    </row>
    <row r="1400" spans="1:9" x14ac:dyDescent="0.25">
      <c r="A1400">
        <v>3130</v>
      </c>
      <c r="B1400">
        <v>10</v>
      </c>
      <c r="C1400" t="s">
        <v>963</v>
      </c>
      <c r="D1400" t="s">
        <v>999</v>
      </c>
      <c r="E1400" t="s">
        <v>971</v>
      </c>
      <c r="F1400" t="s">
        <v>958</v>
      </c>
      <c r="G1400">
        <v>1000000</v>
      </c>
      <c r="H1400">
        <v>141000</v>
      </c>
      <c r="I1400" t="s">
        <v>972</v>
      </c>
    </row>
    <row r="1401" spans="1:9" x14ac:dyDescent="0.25">
      <c r="A1401">
        <v>3130</v>
      </c>
      <c r="B1401">
        <v>10</v>
      </c>
      <c r="C1401" t="s">
        <v>963</v>
      </c>
      <c r="D1401" t="s">
        <v>999</v>
      </c>
      <c r="E1401" t="s">
        <v>971</v>
      </c>
      <c r="F1401" t="s">
        <v>959</v>
      </c>
      <c r="G1401">
        <v>1000000</v>
      </c>
      <c r="H1401">
        <v>141000</v>
      </c>
      <c r="I1401" t="s">
        <v>972</v>
      </c>
    </row>
    <row r="1402" spans="1:9" x14ac:dyDescent="0.25">
      <c r="A1402">
        <v>3130</v>
      </c>
      <c r="B1402">
        <v>10</v>
      </c>
      <c r="C1402" t="s">
        <v>963</v>
      </c>
      <c r="D1402" t="s">
        <v>999</v>
      </c>
      <c r="E1402" t="s">
        <v>971</v>
      </c>
      <c r="F1402" t="s">
        <v>960</v>
      </c>
      <c r="G1402">
        <v>1000000</v>
      </c>
      <c r="H1402">
        <v>141000</v>
      </c>
      <c r="I1402" t="s">
        <v>972</v>
      </c>
    </row>
    <row r="1403" spans="1:9" x14ac:dyDescent="0.25">
      <c r="A1403">
        <v>3130</v>
      </c>
      <c r="B1403">
        <v>10</v>
      </c>
      <c r="C1403" t="s">
        <v>963</v>
      </c>
      <c r="D1403" t="s">
        <v>999</v>
      </c>
      <c r="E1403" t="s">
        <v>971</v>
      </c>
      <c r="F1403" t="s">
        <v>961</v>
      </c>
      <c r="G1403">
        <v>1000000</v>
      </c>
      <c r="H1403">
        <v>141000</v>
      </c>
      <c r="I1403" t="s">
        <v>972</v>
      </c>
    </row>
    <row r="1404" ht="22" customHeight="1" spans="1:10" x14ac:dyDescent="0.25">
      <c r="A1404" s="43">
        <v>3130</v>
      </c>
      <c r="B1404" s="43">
        <v>10</v>
      </c>
      <c r="C1404" s="43" t="s">
        <v>950</v>
      </c>
      <c r="D1404" s="43" t="s">
        <v>999</v>
      </c>
      <c r="E1404" s="43" t="s">
        <v>263</v>
      </c>
      <c r="F1404" s="43" t="s">
        <v>951</v>
      </c>
      <c r="G1404" s="43">
        <v>1000000</v>
      </c>
      <c r="H1404" s="43">
        <v>145000</v>
      </c>
      <c r="I1404" s="43" t="s">
        <v>949</v>
      </c>
      <c r="J1404" s="44" t="s">
        <v>1000</v>
      </c>
    </row>
    <row r="1405" ht="22" customHeight="1" spans="1:10" x14ac:dyDescent="0.25">
      <c r="A1405" s="43">
        <v>3130</v>
      </c>
      <c r="B1405" s="43">
        <v>10</v>
      </c>
      <c r="C1405" s="43" t="s">
        <v>950</v>
      </c>
      <c r="D1405" s="43" t="s">
        <v>999</v>
      </c>
      <c r="E1405" s="43" t="s">
        <v>263</v>
      </c>
      <c r="F1405" s="43" t="s">
        <v>952</v>
      </c>
      <c r="G1405" s="43">
        <v>1000000</v>
      </c>
      <c r="H1405" s="43">
        <v>145000</v>
      </c>
      <c r="I1405" s="43" t="s">
        <v>949</v>
      </c>
      <c r="J1405" s="44" t="s">
        <v>1000</v>
      </c>
    </row>
    <row r="1406" ht="22" customHeight="1" spans="1:10" x14ac:dyDescent="0.25">
      <c r="A1406" s="43">
        <v>3130</v>
      </c>
      <c r="B1406" s="43">
        <v>10</v>
      </c>
      <c r="C1406" s="43" t="s">
        <v>950</v>
      </c>
      <c r="D1406" s="43" t="s">
        <v>999</v>
      </c>
      <c r="E1406" s="43" t="s">
        <v>263</v>
      </c>
      <c r="F1406" s="43" t="s">
        <v>953</v>
      </c>
      <c r="G1406" s="43">
        <v>1000000</v>
      </c>
      <c r="H1406" s="43">
        <v>145000</v>
      </c>
      <c r="I1406" s="43" t="s">
        <v>949</v>
      </c>
      <c r="J1406" s="44" t="s">
        <v>1000</v>
      </c>
    </row>
    <row r="1407" ht="22" customHeight="1" spans="1:10" x14ac:dyDescent="0.25">
      <c r="A1407" s="43">
        <v>3130</v>
      </c>
      <c r="B1407" s="43">
        <v>10</v>
      </c>
      <c r="C1407" s="43" t="s">
        <v>950</v>
      </c>
      <c r="D1407" s="43" t="s">
        <v>999</v>
      </c>
      <c r="E1407" s="43" t="s">
        <v>263</v>
      </c>
      <c r="F1407" s="43" t="s">
        <v>954</v>
      </c>
      <c r="G1407" s="43">
        <v>1000000</v>
      </c>
      <c r="H1407" s="43">
        <v>145000</v>
      </c>
      <c r="I1407" s="43" t="s">
        <v>949</v>
      </c>
      <c r="J1407" s="44" t="s">
        <v>1000</v>
      </c>
    </row>
    <row r="1408" ht="22" customHeight="1" spans="1:10" x14ac:dyDescent="0.25">
      <c r="A1408" s="43">
        <v>3130</v>
      </c>
      <c r="B1408" s="43">
        <v>10</v>
      </c>
      <c r="C1408" s="43" t="s">
        <v>950</v>
      </c>
      <c r="D1408" s="43" t="s">
        <v>999</v>
      </c>
      <c r="E1408" s="43" t="s">
        <v>263</v>
      </c>
      <c r="F1408" s="43" t="s">
        <v>955</v>
      </c>
      <c r="G1408" s="43">
        <v>1000000</v>
      </c>
      <c r="H1408" s="43">
        <v>145000</v>
      </c>
      <c r="I1408" s="43" t="s">
        <v>949</v>
      </c>
      <c r="J1408" s="44" t="s">
        <v>1000</v>
      </c>
    </row>
    <row r="1409" ht="22" customHeight="1" spans="1:10" x14ac:dyDescent="0.25">
      <c r="A1409" s="43">
        <v>3130</v>
      </c>
      <c r="B1409" s="43">
        <v>10</v>
      </c>
      <c r="C1409" s="43" t="s">
        <v>950</v>
      </c>
      <c r="D1409" s="43" t="s">
        <v>999</v>
      </c>
      <c r="E1409" s="43" t="s">
        <v>263</v>
      </c>
      <c r="F1409" s="43" t="s">
        <v>956</v>
      </c>
      <c r="G1409" s="43">
        <v>1000000</v>
      </c>
      <c r="H1409" s="43">
        <v>145000</v>
      </c>
      <c r="I1409" s="43" t="s">
        <v>949</v>
      </c>
      <c r="J1409" s="44" t="s">
        <v>1000</v>
      </c>
    </row>
    <row r="1410" ht="22" customHeight="1" spans="1:10" x14ac:dyDescent="0.25">
      <c r="A1410" s="43">
        <v>3130</v>
      </c>
      <c r="B1410" s="43">
        <v>10</v>
      </c>
      <c r="C1410" s="43" t="s">
        <v>950</v>
      </c>
      <c r="D1410" s="43" t="s">
        <v>999</v>
      </c>
      <c r="E1410" s="43" t="s">
        <v>263</v>
      </c>
      <c r="F1410" s="43" t="s">
        <v>957</v>
      </c>
      <c r="G1410" s="43">
        <v>1000000</v>
      </c>
      <c r="H1410" s="43">
        <v>145000</v>
      </c>
      <c r="I1410" s="43" t="s">
        <v>949</v>
      </c>
      <c r="J1410" s="44" t="s">
        <v>1000</v>
      </c>
    </row>
    <row r="1411" ht="22" customHeight="1" spans="1:10" x14ac:dyDescent="0.25">
      <c r="A1411" s="43">
        <v>3130</v>
      </c>
      <c r="B1411" s="43">
        <v>10</v>
      </c>
      <c r="C1411" s="43" t="s">
        <v>950</v>
      </c>
      <c r="D1411" s="43" t="s">
        <v>999</v>
      </c>
      <c r="E1411" s="43" t="s">
        <v>263</v>
      </c>
      <c r="F1411" s="43" t="s">
        <v>958</v>
      </c>
      <c r="G1411" s="43">
        <v>1000000</v>
      </c>
      <c r="H1411" s="43">
        <v>145000</v>
      </c>
      <c r="I1411" s="43" t="s">
        <v>949</v>
      </c>
      <c r="J1411" s="44" t="s">
        <v>1000</v>
      </c>
    </row>
    <row r="1412" ht="22" customHeight="1" spans="1:10" x14ac:dyDescent="0.25">
      <c r="A1412" s="43">
        <v>3130</v>
      </c>
      <c r="B1412" s="43">
        <v>10</v>
      </c>
      <c r="C1412" s="43" t="s">
        <v>950</v>
      </c>
      <c r="D1412" s="43" t="s">
        <v>999</v>
      </c>
      <c r="E1412" s="43" t="s">
        <v>263</v>
      </c>
      <c r="F1412" s="43" t="s">
        <v>959</v>
      </c>
      <c r="G1412" s="43">
        <v>1000000</v>
      </c>
      <c r="H1412" s="43">
        <v>145000</v>
      </c>
      <c r="I1412" s="43" t="s">
        <v>949</v>
      </c>
      <c r="J1412" s="44" t="s">
        <v>1000</v>
      </c>
    </row>
    <row r="1413" ht="22" customHeight="1" spans="1:10" x14ac:dyDescent="0.25">
      <c r="A1413" s="43">
        <v>3130</v>
      </c>
      <c r="B1413" s="43">
        <v>10</v>
      </c>
      <c r="C1413" s="43" t="s">
        <v>950</v>
      </c>
      <c r="D1413" s="43" t="s">
        <v>999</v>
      </c>
      <c r="E1413" s="43" t="s">
        <v>263</v>
      </c>
      <c r="F1413" s="43" t="s">
        <v>960</v>
      </c>
      <c r="G1413" s="43">
        <v>1000000</v>
      </c>
      <c r="H1413" s="43">
        <v>145000</v>
      </c>
      <c r="I1413" s="43" t="s">
        <v>949</v>
      </c>
      <c r="J1413" s="44" t="s">
        <v>1000</v>
      </c>
    </row>
    <row r="1414" ht="22" customHeight="1" spans="1:10" x14ac:dyDescent="0.25">
      <c r="A1414" s="43">
        <v>3130</v>
      </c>
      <c r="B1414" s="43">
        <v>10</v>
      </c>
      <c r="C1414" s="43" t="s">
        <v>950</v>
      </c>
      <c r="D1414" s="43" t="s">
        <v>999</v>
      </c>
      <c r="E1414" s="43" t="s">
        <v>263</v>
      </c>
      <c r="F1414" s="43" t="s">
        <v>961</v>
      </c>
      <c r="G1414" s="43">
        <v>1000000</v>
      </c>
      <c r="H1414" s="43">
        <v>145000</v>
      </c>
      <c r="I1414" s="43" t="s">
        <v>949</v>
      </c>
      <c r="J1414" s="44" t="s">
        <v>1000</v>
      </c>
    </row>
    <row r="1415" ht="22" customHeight="1" spans="1:10" x14ac:dyDescent="0.25">
      <c r="A1415" s="43">
        <v>3130</v>
      </c>
      <c r="B1415" s="43">
        <v>10</v>
      </c>
      <c r="C1415" s="43" t="s">
        <v>962</v>
      </c>
      <c r="D1415" s="43" t="s">
        <v>999</v>
      </c>
      <c r="E1415" s="43" t="s">
        <v>263</v>
      </c>
      <c r="F1415" s="43" t="s">
        <v>951</v>
      </c>
      <c r="G1415" s="43">
        <v>1000000</v>
      </c>
      <c r="H1415" s="43">
        <v>145000</v>
      </c>
      <c r="I1415" s="43" t="s">
        <v>949</v>
      </c>
      <c r="J1415" s="44" t="s">
        <v>1000</v>
      </c>
    </row>
    <row r="1416" ht="22" customHeight="1" spans="1:10" x14ac:dyDescent="0.25">
      <c r="A1416" s="43">
        <v>3130</v>
      </c>
      <c r="B1416" s="43">
        <v>10</v>
      </c>
      <c r="C1416" s="43" t="s">
        <v>962</v>
      </c>
      <c r="D1416" s="43" t="s">
        <v>999</v>
      </c>
      <c r="E1416" s="43" t="s">
        <v>263</v>
      </c>
      <c r="F1416" s="43" t="s">
        <v>952</v>
      </c>
      <c r="G1416" s="43">
        <v>1000000</v>
      </c>
      <c r="H1416" s="43">
        <v>145000</v>
      </c>
      <c r="I1416" s="43" t="s">
        <v>949</v>
      </c>
      <c r="J1416" s="44" t="s">
        <v>1000</v>
      </c>
    </row>
    <row r="1417" ht="22" customHeight="1" spans="1:10" x14ac:dyDescent="0.25">
      <c r="A1417" s="43">
        <v>3130</v>
      </c>
      <c r="B1417" s="43">
        <v>10</v>
      </c>
      <c r="C1417" s="43" t="s">
        <v>962</v>
      </c>
      <c r="D1417" s="43" t="s">
        <v>999</v>
      </c>
      <c r="E1417" s="43" t="s">
        <v>263</v>
      </c>
      <c r="F1417" s="43" t="s">
        <v>953</v>
      </c>
      <c r="G1417" s="43">
        <v>1000000</v>
      </c>
      <c r="H1417" s="43">
        <v>145000</v>
      </c>
      <c r="I1417" s="43" t="s">
        <v>949</v>
      </c>
      <c r="J1417" s="44" t="s">
        <v>1000</v>
      </c>
    </row>
    <row r="1418" ht="22" customHeight="1" spans="1:10" x14ac:dyDescent="0.25">
      <c r="A1418" s="43">
        <v>3130</v>
      </c>
      <c r="B1418" s="43">
        <v>10</v>
      </c>
      <c r="C1418" s="43" t="s">
        <v>962</v>
      </c>
      <c r="D1418" s="43" t="s">
        <v>999</v>
      </c>
      <c r="E1418" s="43" t="s">
        <v>263</v>
      </c>
      <c r="F1418" s="43" t="s">
        <v>954</v>
      </c>
      <c r="G1418" s="43">
        <v>1000000</v>
      </c>
      <c r="H1418" s="43">
        <v>145000</v>
      </c>
      <c r="I1418" s="43" t="s">
        <v>949</v>
      </c>
      <c r="J1418" s="44" t="s">
        <v>1000</v>
      </c>
    </row>
    <row r="1419" ht="22" customHeight="1" spans="1:10" x14ac:dyDescent="0.25">
      <c r="A1419" s="43">
        <v>3130</v>
      </c>
      <c r="B1419" s="43">
        <v>10</v>
      </c>
      <c r="C1419" s="43" t="s">
        <v>962</v>
      </c>
      <c r="D1419" s="43" t="s">
        <v>999</v>
      </c>
      <c r="E1419" s="43" t="s">
        <v>263</v>
      </c>
      <c r="F1419" s="43" t="s">
        <v>955</v>
      </c>
      <c r="G1419" s="43">
        <v>1000000</v>
      </c>
      <c r="H1419" s="43">
        <v>145000</v>
      </c>
      <c r="I1419" s="43" t="s">
        <v>949</v>
      </c>
      <c r="J1419" s="44" t="s">
        <v>1000</v>
      </c>
    </row>
    <row r="1420" ht="22" customHeight="1" spans="1:10" x14ac:dyDescent="0.25">
      <c r="A1420" s="43">
        <v>3130</v>
      </c>
      <c r="B1420" s="43">
        <v>10</v>
      </c>
      <c r="C1420" s="43" t="s">
        <v>962</v>
      </c>
      <c r="D1420" s="43" t="s">
        <v>999</v>
      </c>
      <c r="E1420" s="43" t="s">
        <v>263</v>
      </c>
      <c r="F1420" s="43" t="s">
        <v>956</v>
      </c>
      <c r="G1420" s="43">
        <v>1000000</v>
      </c>
      <c r="H1420" s="43">
        <v>145000</v>
      </c>
      <c r="I1420" s="43" t="s">
        <v>949</v>
      </c>
      <c r="J1420" s="44" t="s">
        <v>1000</v>
      </c>
    </row>
    <row r="1421" ht="22" customHeight="1" spans="1:10" x14ac:dyDescent="0.25">
      <c r="A1421" s="43">
        <v>3130</v>
      </c>
      <c r="B1421" s="43">
        <v>10</v>
      </c>
      <c r="C1421" s="43" t="s">
        <v>962</v>
      </c>
      <c r="D1421" s="43" t="s">
        <v>999</v>
      </c>
      <c r="E1421" s="43" t="s">
        <v>263</v>
      </c>
      <c r="F1421" s="43" t="s">
        <v>957</v>
      </c>
      <c r="G1421" s="43">
        <v>1000000</v>
      </c>
      <c r="H1421" s="43">
        <v>145000</v>
      </c>
      <c r="I1421" s="43" t="s">
        <v>949</v>
      </c>
      <c r="J1421" s="44" t="s">
        <v>1000</v>
      </c>
    </row>
    <row r="1422" ht="22" customHeight="1" spans="1:10" x14ac:dyDescent="0.25">
      <c r="A1422" s="43">
        <v>3130</v>
      </c>
      <c r="B1422" s="43">
        <v>10</v>
      </c>
      <c r="C1422" s="43" t="s">
        <v>962</v>
      </c>
      <c r="D1422" s="43" t="s">
        <v>999</v>
      </c>
      <c r="E1422" s="43" t="s">
        <v>263</v>
      </c>
      <c r="F1422" s="43" t="s">
        <v>958</v>
      </c>
      <c r="G1422" s="43">
        <v>1000000</v>
      </c>
      <c r="H1422" s="43">
        <v>145000</v>
      </c>
      <c r="I1422" s="43" t="s">
        <v>949</v>
      </c>
      <c r="J1422" s="44" t="s">
        <v>1000</v>
      </c>
    </row>
    <row r="1423" ht="22" customHeight="1" spans="1:10" x14ac:dyDescent="0.25">
      <c r="A1423" s="43">
        <v>3130</v>
      </c>
      <c r="B1423" s="43">
        <v>10</v>
      </c>
      <c r="C1423" s="43" t="s">
        <v>962</v>
      </c>
      <c r="D1423" s="43" t="s">
        <v>999</v>
      </c>
      <c r="E1423" s="43" t="s">
        <v>263</v>
      </c>
      <c r="F1423" s="43" t="s">
        <v>959</v>
      </c>
      <c r="G1423" s="43">
        <v>1000000</v>
      </c>
      <c r="H1423" s="43">
        <v>145000</v>
      </c>
      <c r="I1423" s="43" t="s">
        <v>949</v>
      </c>
      <c r="J1423" s="44" t="s">
        <v>1000</v>
      </c>
    </row>
    <row r="1424" ht="22" customHeight="1" spans="1:10" x14ac:dyDescent="0.25">
      <c r="A1424" s="43">
        <v>3130</v>
      </c>
      <c r="B1424" s="43">
        <v>10</v>
      </c>
      <c r="C1424" s="43" t="s">
        <v>962</v>
      </c>
      <c r="D1424" s="43" t="s">
        <v>999</v>
      </c>
      <c r="E1424" s="43" t="s">
        <v>263</v>
      </c>
      <c r="F1424" s="43" t="s">
        <v>960</v>
      </c>
      <c r="G1424" s="43">
        <v>1000000</v>
      </c>
      <c r="H1424" s="43">
        <v>145000</v>
      </c>
      <c r="I1424" s="43" t="s">
        <v>949</v>
      </c>
      <c r="J1424" s="44" t="s">
        <v>1000</v>
      </c>
    </row>
    <row r="1425" ht="22" customHeight="1" spans="1:10" x14ac:dyDescent="0.25">
      <c r="A1425" s="43">
        <v>3130</v>
      </c>
      <c r="B1425" s="43">
        <v>10</v>
      </c>
      <c r="C1425" s="43" t="s">
        <v>962</v>
      </c>
      <c r="D1425" s="43" t="s">
        <v>999</v>
      </c>
      <c r="E1425" s="43" t="s">
        <v>263</v>
      </c>
      <c r="F1425" s="43" t="s">
        <v>961</v>
      </c>
      <c r="G1425" s="43">
        <v>1000000</v>
      </c>
      <c r="H1425" s="43">
        <v>145000</v>
      </c>
      <c r="I1425" s="43" t="s">
        <v>949</v>
      </c>
      <c r="J1425" s="44" t="s">
        <v>1000</v>
      </c>
    </row>
    <row r="1426" ht="22" customHeight="1" spans="1:10" x14ac:dyDescent="0.25">
      <c r="A1426" s="43">
        <v>3130</v>
      </c>
      <c r="B1426" s="43">
        <v>10</v>
      </c>
      <c r="C1426" s="43" t="s">
        <v>963</v>
      </c>
      <c r="D1426" s="43" t="s">
        <v>999</v>
      </c>
      <c r="E1426" s="43" t="s">
        <v>263</v>
      </c>
      <c r="F1426" s="43" t="s">
        <v>951</v>
      </c>
      <c r="G1426" s="43">
        <v>1000000</v>
      </c>
      <c r="H1426" s="43">
        <v>145000</v>
      </c>
      <c r="I1426" s="43" t="s">
        <v>949</v>
      </c>
      <c r="J1426" s="44" t="s">
        <v>1000</v>
      </c>
    </row>
    <row r="1427" ht="22" customHeight="1" spans="1:10" x14ac:dyDescent="0.25">
      <c r="A1427" s="43">
        <v>3130</v>
      </c>
      <c r="B1427" s="43">
        <v>10</v>
      </c>
      <c r="C1427" s="43" t="s">
        <v>963</v>
      </c>
      <c r="D1427" s="43" t="s">
        <v>999</v>
      </c>
      <c r="E1427" s="43" t="s">
        <v>263</v>
      </c>
      <c r="F1427" s="43" t="s">
        <v>952</v>
      </c>
      <c r="G1427" s="43">
        <v>1000000</v>
      </c>
      <c r="H1427" s="43">
        <v>145000</v>
      </c>
      <c r="I1427" s="43" t="s">
        <v>949</v>
      </c>
      <c r="J1427" s="44" t="s">
        <v>1000</v>
      </c>
    </row>
    <row r="1428" ht="22" customHeight="1" spans="1:10" x14ac:dyDescent="0.25">
      <c r="A1428" s="43">
        <v>3130</v>
      </c>
      <c r="B1428" s="43">
        <v>10</v>
      </c>
      <c r="C1428" s="43" t="s">
        <v>963</v>
      </c>
      <c r="D1428" s="43" t="s">
        <v>999</v>
      </c>
      <c r="E1428" s="43" t="s">
        <v>263</v>
      </c>
      <c r="F1428" s="43" t="s">
        <v>953</v>
      </c>
      <c r="G1428" s="43">
        <v>1000000</v>
      </c>
      <c r="H1428" s="43">
        <v>145000</v>
      </c>
      <c r="I1428" s="43" t="s">
        <v>949</v>
      </c>
      <c r="J1428" s="44" t="s">
        <v>1000</v>
      </c>
    </row>
    <row r="1429" ht="22" customHeight="1" spans="1:10" x14ac:dyDescent="0.25">
      <c r="A1429" s="43">
        <v>3130</v>
      </c>
      <c r="B1429" s="43">
        <v>10</v>
      </c>
      <c r="C1429" s="43" t="s">
        <v>963</v>
      </c>
      <c r="D1429" s="43" t="s">
        <v>999</v>
      </c>
      <c r="E1429" s="43" t="s">
        <v>263</v>
      </c>
      <c r="F1429" s="43" t="s">
        <v>954</v>
      </c>
      <c r="G1429" s="43">
        <v>1000000</v>
      </c>
      <c r="H1429" s="43">
        <v>145000</v>
      </c>
      <c r="I1429" s="43" t="s">
        <v>949</v>
      </c>
      <c r="J1429" s="44" t="s">
        <v>1000</v>
      </c>
    </row>
    <row r="1430" ht="22" customHeight="1" spans="1:10" x14ac:dyDescent="0.25">
      <c r="A1430" s="43">
        <v>3130</v>
      </c>
      <c r="B1430" s="43">
        <v>10</v>
      </c>
      <c r="C1430" s="43" t="s">
        <v>963</v>
      </c>
      <c r="D1430" s="43" t="s">
        <v>999</v>
      </c>
      <c r="E1430" s="43" t="s">
        <v>263</v>
      </c>
      <c r="F1430" s="43" t="s">
        <v>955</v>
      </c>
      <c r="G1430" s="43">
        <v>1000000</v>
      </c>
      <c r="H1430" s="43">
        <v>145000</v>
      </c>
      <c r="I1430" s="43" t="s">
        <v>949</v>
      </c>
      <c r="J1430" s="44" t="s">
        <v>1000</v>
      </c>
    </row>
    <row r="1431" ht="22" customHeight="1" spans="1:10" x14ac:dyDescent="0.25">
      <c r="A1431" s="43">
        <v>3130</v>
      </c>
      <c r="B1431" s="43">
        <v>10</v>
      </c>
      <c r="C1431" s="43" t="s">
        <v>963</v>
      </c>
      <c r="D1431" s="43" t="s">
        <v>999</v>
      </c>
      <c r="E1431" s="43" t="s">
        <v>263</v>
      </c>
      <c r="F1431" s="43" t="s">
        <v>956</v>
      </c>
      <c r="G1431" s="43">
        <v>1000000</v>
      </c>
      <c r="H1431" s="43">
        <v>145000</v>
      </c>
      <c r="I1431" s="43" t="s">
        <v>949</v>
      </c>
      <c r="J1431" s="44" t="s">
        <v>1000</v>
      </c>
    </row>
    <row r="1432" ht="22" customHeight="1" spans="1:10" x14ac:dyDescent="0.25">
      <c r="A1432" s="43">
        <v>3130</v>
      </c>
      <c r="B1432" s="43">
        <v>10</v>
      </c>
      <c r="C1432" s="43" t="s">
        <v>963</v>
      </c>
      <c r="D1432" s="43" t="s">
        <v>999</v>
      </c>
      <c r="E1432" s="43" t="s">
        <v>263</v>
      </c>
      <c r="F1432" s="43" t="s">
        <v>957</v>
      </c>
      <c r="G1432" s="43">
        <v>1000000</v>
      </c>
      <c r="H1432" s="43">
        <v>145000</v>
      </c>
      <c r="I1432" s="43" t="s">
        <v>949</v>
      </c>
      <c r="J1432" s="44" t="s">
        <v>1000</v>
      </c>
    </row>
    <row r="1433" ht="22" customHeight="1" spans="1:10" x14ac:dyDescent="0.25">
      <c r="A1433" s="43">
        <v>3130</v>
      </c>
      <c r="B1433" s="43">
        <v>10</v>
      </c>
      <c r="C1433" s="43" t="s">
        <v>963</v>
      </c>
      <c r="D1433" s="43" t="s">
        <v>999</v>
      </c>
      <c r="E1433" s="43" t="s">
        <v>263</v>
      </c>
      <c r="F1433" s="43" t="s">
        <v>958</v>
      </c>
      <c r="G1433" s="43">
        <v>1000000</v>
      </c>
      <c r="H1433" s="43">
        <v>145000</v>
      </c>
      <c r="I1433" s="43" t="s">
        <v>949</v>
      </c>
      <c r="J1433" s="44" t="s">
        <v>1000</v>
      </c>
    </row>
    <row r="1434" ht="22" customHeight="1" spans="1:10" x14ac:dyDescent="0.25">
      <c r="A1434" s="43">
        <v>3130</v>
      </c>
      <c r="B1434" s="43">
        <v>10</v>
      </c>
      <c r="C1434" s="43" t="s">
        <v>963</v>
      </c>
      <c r="D1434" s="43" t="s">
        <v>999</v>
      </c>
      <c r="E1434" s="43" t="s">
        <v>263</v>
      </c>
      <c r="F1434" s="43" t="s">
        <v>959</v>
      </c>
      <c r="G1434" s="43">
        <v>1000000</v>
      </c>
      <c r="H1434" s="43">
        <v>145000</v>
      </c>
      <c r="I1434" s="43" t="s">
        <v>949</v>
      </c>
      <c r="J1434" s="44" t="s">
        <v>1000</v>
      </c>
    </row>
    <row r="1435" ht="22" customHeight="1" spans="1:10" x14ac:dyDescent="0.25">
      <c r="A1435" s="43">
        <v>3130</v>
      </c>
      <c r="B1435" s="43">
        <v>10</v>
      </c>
      <c r="C1435" s="43" t="s">
        <v>963</v>
      </c>
      <c r="D1435" s="43" t="s">
        <v>999</v>
      </c>
      <c r="E1435" s="43" t="s">
        <v>263</v>
      </c>
      <c r="F1435" s="43" t="s">
        <v>960</v>
      </c>
      <c r="G1435" s="43">
        <v>1000000</v>
      </c>
      <c r="H1435" s="43">
        <v>145000</v>
      </c>
      <c r="I1435" s="43" t="s">
        <v>949</v>
      </c>
      <c r="J1435" s="44" t="s">
        <v>1000</v>
      </c>
    </row>
    <row r="1436" ht="22" customHeight="1" spans="1:10" x14ac:dyDescent="0.25">
      <c r="A1436" s="43">
        <v>3130</v>
      </c>
      <c r="B1436" s="43">
        <v>10</v>
      </c>
      <c r="C1436" s="43" t="s">
        <v>963</v>
      </c>
      <c r="D1436" s="43" t="s">
        <v>999</v>
      </c>
      <c r="E1436" s="43" t="s">
        <v>263</v>
      </c>
      <c r="F1436" s="43" t="s">
        <v>961</v>
      </c>
      <c r="G1436" s="43">
        <v>1000000</v>
      </c>
      <c r="H1436" s="43">
        <v>145000</v>
      </c>
      <c r="I1436" s="43" t="s">
        <v>949</v>
      </c>
      <c r="J1436" s="44" t="s">
        <v>1000</v>
      </c>
    </row>
    <row r="1437" spans="1:9" x14ac:dyDescent="0.25">
      <c r="A1437">
        <v>3130</v>
      </c>
      <c r="B1437">
        <v>10</v>
      </c>
      <c r="C1437" t="s">
        <v>950</v>
      </c>
      <c r="D1437" t="s">
        <v>999</v>
      </c>
      <c r="E1437" t="s">
        <v>100</v>
      </c>
      <c r="F1437" t="s">
        <v>951</v>
      </c>
      <c r="G1437">
        <v>1077777</v>
      </c>
      <c r="H1437">
        <v>500220</v>
      </c>
      <c r="I1437" t="s">
        <v>949</v>
      </c>
    </row>
    <row r="1438" spans="1:9" x14ac:dyDescent="0.25">
      <c r="A1438">
        <v>3130</v>
      </c>
      <c r="B1438">
        <v>10</v>
      </c>
      <c r="C1438" t="s">
        <v>950</v>
      </c>
      <c r="D1438" t="s">
        <v>999</v>
      </c>
      <c r="E1438" t="s">
        <v>100</v>
      </c>
      <c r="F1438" t="s">
        <v>952</v>
      </c>
      <c r="G1438">
        <v>1077777</v>
      </c>
      <c r="H1438">
        <v>500220</v>
      </c>
      <c r="I1438" t="s">
        <v>949</v>
      </c>
    </row>
    <row r="1439" spans="1:9" x14ac:dyDescent="0.25">
      <c r="A1439">
        <v>3130</v>
      </c>
      <c r="B1439">
        <v>10</v>
      </c>
      <c r="C1439" t="s">
        <v>950</v>
      </c>
      <c r="D1439" t="s">
        <v>999</v>
      </c>
      <c r="E1439" t="s">
        <v>100</v>
      </c>
      <c r="F1439" t="s">
        <v>953</v>
      </c>
      <c r="G1439">
        <v>1077777</v>
      </c>
      <c r="H1439">
        <v>500220</v>
      </c>
      <c r="I1439" t="s">
        <v>949</v>
      </c>
    </row>
    <row r="1440" spans="1:9" x14ac:dyDescent="0.25">
      <c r="A1440">
        <v>3130</v>
      </c>
      <c r="B1440">
        <v>10</v>
      </c>
      <c r="C1440" t="s">
        <v>950</v>
      </c>
      <c r="D1440" t="s">
        <v>999</v>
      </c>
      <c r="E1440" t="s">
        <v>100</v>
      </c>
      <c r="F1440" t="s">
        <v>954</v>
      </c>
      <c r="G1440">
        <v>1077777</v>
      </c>
      <c r="H1440">
        <v>500220</v>
      </c>
      <c r="I1440" t="s">
        <v>949</v>
      </c>
    </row>
    <row r="1441" spans="1:9" x14ac:dyDescent="0.25">
      <c r="A1441">
        <v>3130</v>
      </c>
      <c r="B1441">
        <v>10</v>
      </c>
      <c r="C1441" t="s">
        <v>950</v>
      </c>
      <c r="D1441" t="s">
        <v>999</v>
      </c>
      <c r="E1441" t="s">
        <v>100</v>
      </c>
      <c r="F1441" t="s">
        <v>955</v>
      </c>
      <c r="G1441">
        <v>1077777</v>
      </c>
      <c r="H1441">
        <v>500220</v>
      </c>
      <c r="I1441" t="s">
        <v>949</v>
      </c>
    </row>
    <row r="1442" spans="1:9" x14ac:dyDescent="0.25">
      <c r="A1442">
        <v>3130</v>
      </c>
      <c r="B1442">
        <v>10</v>
      </c>
      <c r="C1442" t="s">
        <v>950</v>
      </c>
      <c r="D1442" t="s">
        <v>999</v>
      </c>
      <c r="E1442" t="s">
        <v>100</v>
      </c>
      <c r="F1442" t="s">
        <v>956</v>
      </c>
      <c r="G1442">
        <v>1077777</v>
      </c>
      <c r="H1442">
        <v>500220</v>
      </c>
      <c r="I1442" t="s">
        <v>949</v>
      </c>
    </row>
    <row r="1443" spans="1:9" x14ac:dyDescent="0.25">
      <c r="A1443">
        <v>3130</v>
      </c>
      <c r="B1443">
        <v>10</v>
      </c>
      <c r="C1443" t="s">
        <v>950</v>
      </c>
      <c r="D1443" t="s">
        <v>999</v>
      </c>
      <c r="E1443" t="s">
        <v>100</v>
      </c>
      <c r="F1443" t="s">
        <v>957</v>
      </c>
      <c r="G1443">
        <v>1077777</v>
      </c>
      <c r="H1443">
        <v>500220</v>
      </c>
      <c r="I1443" t="s">
        <v>949</v>
      </c>
    </row>
    <row r="1444" spans="1:9" x14ac:dyDescent="0.25">
      <c r="A1444">
        <v>3130</v>
      </c>
      <c r="B1444">
        <v>10</v>
      </c>
      <c r="C1444" t="s">
        <v>950</v>
      </c>
      <c r="D1444" t="s">
        <v>999</v>
      </c>
      <c r="E1444" t="s">
        <v>100</v>
      </c>
      <c r="F1444" t="s">
        <v>958</v>
      </c>
      <c r="G1444">
        <v>1077777</v>
      </c>
      <c r="H1444">
        <v>500220</v>
      </c>
      <c r="I1444" t="s">
        <v>949</v>
      </c>
    </row>
    <row r="1445" spans="1:9" x14ac:dyDescent="0.25">
      <c r="A1445">
        <v>3130</v>
      </c>
      <c r="B1445">
        <v>10</v>
      </c>
      <c r="C1445" t="s">
        <v>950</v>
      </c>
      <c r="D1445" t="s">
        <v>999</v>
      </c>
      <c r="E1445" t="s">
        <v>100</v>
      </c>
      <c r="F1445" t="s">
        <v>959</v>
      </c>
      <c r="G1445">
        <v>1077777</v>
      </c>
      <c r="H1445">
        <v>500220</v>
      </c>
      <c r="I1445" t="s">
        <v>949</v>
      </c>
    </row>
    <row r="1446" spans="1:9" x14ac:dyDescent="0.25">
      <c r="A1446">
        <v>3130</v>
      </c>
      <c r="B1446">
        <v>10</v>
      </c>
      <c r="C1446" t="s">
        <v>950</v>
      </c>
      <c r="D1446" t="s">
        <v>999</v>
      </c>
      <c r="E1446" t="s">
        <v>100</v>
      </c>
      <c r="F1446" t="s">
        <v>960</v>
      </c>
      <c r="G1446">
        <v>1077777</v>
      </c>
      <c r="H1446">
        <v>500220</v>
      </c>
      <c r="I1446" t="s">
        <v>949</v>
      </c>
    </row>
    <row r="1447" spans="1:9" x14ac:dyDescent="0.25">
      <c r="A1447">
        <v>3130</v>
      </c>
      <c r="B1447">
        <v>10</v>
      </c>
      <c r="C1447" t="s">
        <v>950</v>
      </c>
      <c r="D1447" t="s">
        <v>999</v>
      </c>
      <c r="E1447" t="s">
        <v>100</v>
      </c>
      <c r="F1447" t="s">
        <v>961</v>
      </c>
      <c r="G1447">
        <v>1077777</v>
      </c>
      <c r="H1447">
        <v>500220</v>
      </c>
      <c r="I1447" t="s">
        <v>949</v>
      </c>
    </row>
    <row r="1448" spans="1:9" x14ac:dyDescent="0.25">
      <c r="A1448">
        <v>3130</v>
      </c>
      <c r="B1448">
        <v>10</v>
      </c>
      <c r="C1448" t="s">
        <v>962</v>
      </c>
      <c r="D1448" t="s">
        <v>999</v>
      </c>
      <c r="E1448" t="s">
        <v>100</v>
      </c>
      <c r="F1448" t="s">
        <v>951</v>
      </c>
      <c r="G1448">
        <v>1077777</v>
      </c>
      <c r="H1448">
        <v>500220</v>
      </c>
      <c r="I1448" t="s">
        <v>949</v>
      </c>
    </row>
    <row r="1449" spans="1:9" x14ac:dyDescent="0.25">
      <c r="A1449">
        <v>3130</v>
      </c>
      <c r="B1449">
        <v>10</v>
      </c>
      <c r="C1449" t="s">
        <v>962</v>
      </c>
      <c r="D1449" t="s">
        <v>999</v>
      </c>
      <c r="E1449" t="s">
        <v>100</v>
      </c>
      <c r="F1449" t="s">
        <v>952</v>
      </c>
      <c r="G1449">
        <v>1077777</v>
      </c>
      <c r="H1449">
        <v>500220</v>
      </c>
      <c r="I1449" t="s">
        <v>949</v>
      </c>
    </row>
    <row r="1450" spans="1:9" x14ac:dyDescent="0.25">
      <c r="A1450">
        <v>3130</v>
      </c>
      <c r="B1450">
        <v>10</v>
      </c>
      <c r="C1450" t="s">
        <v>962</v>
      </c>
      <c r="D1450" t="s">
        <v>999</v>
      </c>
      <c r="E1450" t="s">
        <v>100</v>
      </c>
      <c r="F1450" t="s">
        <v>953</v>
      </c>
      <c r="G1450">
        <v>1077777</v>
      </c>
      <c r="H1450">
        <v>500220</v>
      </c>
      <c r="I1450" t="s">
        <v>949</v>
      </c>
    </row>
    <row r="1451" spans="1:9" x14ac:dyDescent="0.25">
      <c r="A1451">
        <v>3130</v>
      </c>
      <c r="B1451">
        <v>10</v>
      </c>
      <c r="C1451" t="s">
        <v>962</v>
      </c>
      <c r="D1451" t="s">
        <v>999</v>
      </c>
      <c r="E1451" t="s">
        <v>100</v>
      </c>
      <c r="F1451" t="s">
        <v>954</v>
      </c>
      <c r="G1451">
        <v>1077777</v>
      </c>
      <c r="H1451">
        <v>500220</v>
      </c>
      <c r="I1451" t="s">
        <v>949</v>
      </c>
    </row>
    <row r="1452" spans="1:9" x14ac:dyDescent="0.25">
      <c r="A1452">
        <v>3130</v>
      </c>
      <c r="B1452">
        <v>10</v>
      </c>
      <c r="C1452" t="s">
        <v>962</v>
      </c>
      <c r="D1452" t="s">
        <v>999</v>
      </c>
      <c r="E1452" t="s">
        <v>100</v>
      </c>
      <c r="F1452" t="s">
        <v>955</v>
      </c>
      <c r="G1452">
        <v>1077777</v>
      </c>
      <c r="H1452">
        <v>500220</v>
      </c>
      <c r="I1452" t="s">
        <v>949</v>
      </c>
    </row>
    <row r="1453" spans="1:9" x14ac:dyDescent="0.25">
      <c r="A1453">
        <v>3130</v>
      </c>
      <c r="B1453">
        <v>10</v>
      </c>
      <c r="C1453" t="s">
        <v>962</v>
      </c>
      <c r="D1453" t="s">
        <v>999</v>
      </c>
      <c r="E1453" t="s">
        <v>100</v>
      </c>
      <c r="F1453" t="s">
        <v>956</v>
      </c>
      <c r="G1453">
        <v>1077777</v>
      </c>
      <c r="H1453">
        <v>500220</v>
      </c>
      <c r="I1453" t="s">
        <v>949</v>
      </c>
    </row>
    <row r="1454" spans="1:9" x14ac:dyDescent="0.25">
      <c r="A1454">
        <v>3130</v>
      </c>
      <c r="B1454">
        <v>10</v>
      </c>
      <c r="C1454" t="s">
        <v>962</v>
      </c>
      <c r="D1454" t="s">
        <v>999</v>
      </c>
      <c r="E1454" t="s">
        <v>100</v>
      </c>
      <c r="F1454" t="s">
        <v>957</v>
      </c>
      <c r="G1454">
        <v>1077777</v>
      </c>
      <c r="H1454">
        <v>500220</v>
      </c>
      <c r="I1454" t="s">
        <v>949</v>
      </c>
    </row>
    <row r="1455" spans="1:9" x14ac:dyDescent="0.25">
      <c r="A1455">
        <v>3130</v>
      </c>
      <c r="B1455">
        <v>10</v>
      </c>
      <c r="C1455" t="s">
        <v>962</v>
      </c>
      <c r="D1455" t="s">
        <v>999</v>
      </c>
      <c r="E1455" t="s">
        <v>100</v>
      </c>
      <c r="F1455" t="s">
        <v>958</v>
      </c>
      <c r="G1455">
        <v>1077777</v>
      </c>
      <c r="H1455">
        <v>500220</v>
      </c>
      <c r="I1455" t="s">
        <v>949</v>
      </c>
    </row>
    <row r="1456" spans="1:9" x14ac:dyDescent="0.25">
      <c r="A1456">
        <v>3130</v>
      </c>
      <c r="B1456">
        <v>10</v>
      </c>
      <c r="C1456" t="s">
        <v>962</v>
      </c>
      <c r="D1456" t="s">
        <v>999</v>
      </c>
      <c r="E1456" t="s">
        <v>100</v>
      </c>
      <c r="F1456" t="s">
        <v>959</v>
      </c>
      <c r="G1456">
        <v>1077777</v>
      </c>
      <c r="H1456">
        <v>500220</v>
      </c>
      <c r="I1456" t="s">
        <v>949</v>
      </c>
    </row>
    <row r="1457" spans="1:9" x14ac:dyDescent="0.25">
      <c r="A1457">
        <v>3130</v>
      </c>
      <c r="B1457">
        <v>10</v>
      </c>
      <c r="C1457" t="s">
        <v>962</v>
      </c>
      <c r="D1457" t="s">
        <v>999</v>
      </c>
      <c r="E1457" t="s">
        <v>100</v>
      </c>
      <c r="F1457" t="s">
        <v>960</v>
      </c>
      <c r="G1457">
        <v>1077777</v>
      </c>
      <c r="H1457">
        <v>500220</v>
      </c>
      <c r="I1457" t="s">
        <v>949</v>
      </c>
    </row>
    <row r="1458" spans="1:9" x14ac:dyDescent="0.25">
      <c r="A1458">
        <v>3130</v>
      </c>
      <c r="B1458">
        <v>10</v>
      </c>
      <c r="C1458" t="s">
        <v>962</v>
      </c>
      <c r="D1458" t="s">
        <v>999</v>
      </c>
      <c r="E1458" t="s">
        <v>100</v>
      </c>
      <c r="F1458" t="s">
        <v>961</v>
      </c>
      <c r="G1458">
        <v>1077777</v>
      </c>
      <c r="H1458">
        <v>500220</v>
      </c>
      <c r="I1458" t="s">
        <v>949</v>
      </c>
    </row>
    <row r="1459" spans="1:9" x14ac:dyDescent="0.25">
      <c r="A1459">
        <v>3130</v>
      </c>
      <c r="B1459">
        <v>10</v>
      </c>
      <c r="C1459" t="s">
        <v>963</v>
      </c>
      <c r="D1459" t="s">
        <v>999</v>
      </c>
      <c r="E1459" t="s">
        <v>100</v>
      </c>
      <c r="F1459" t="s">
        <v>951</v>
      </c>
      <c r="G1459">
        <v>1077777</v>
      </c>
      <c r="H1459">
        <v>500220</v>
      </c>
      <c r="I1459" t="s">
        <v>949</v>
      </c>
    </row>
    <row r="1460" spans="1:9" x14ac:dyDescent="0.25">
      <c r="A1460">
        <v>3130</v>
      </c>
      <c r="B1460">
        <v>10</v>
      </c>
      <c r="C1460" t="s">
        <v>963</v>
      </c>
      <c r="D1460" t="s">
        <v>999</v>
      </c>
      <c r="E1460" t="s">
        <v>100</v>
      </c>
      <c r="F1460" t="s">
        <v>952</v>
      </c>
      <c r="G1460">
        <v>1077777</v>
      </c>
      <c r="H1460">
        <v>500220</v>
      </c>
      <c r="I1460" t="s">
        <v>949</v>
      </c>
    </row>
    <row r="1461" spans="1:9" x14ac:dyDescent="0.25">
      <c r="A1461">
        <v>3130</v>
      </c>
      <c r="B1461">
        <v>10</v>
      </c>
      <c r="C1461" t="s">
        <v>963</v>
      </c>
      <c r="D1461" t="s">
        <v>999</v>
      </c>
      <c r="E1461" t="s">
        <v>100</v>
      </c>
      <c r="F1461" t="s">
        <v>953</v>
      </c>
      <c r="G1461">
        <v>1077777</v>
      </c>
      <c r="H1461">
        <v>500220</v>
      </c>
      <c r="I1461" t="s">
        <v>949</v>
      </c>
    </row>
    <row r="1462" spans="1:9" x14ac:dyDescent="0.25">
      <c r="A1462">
        <v>3130</v>
      </c>
      <c r="B1462">
        <v>10</v>
      </c>
      <c r="C1462" t="s">
        <v>963</v>
      </c>
      <c r="D1462" t="s">
        <v>999</v>
      </c>
      <c r="E1462" t="s">
        <v>100</v>
      </c>
      <c r="F1462" t="s">
        <v>954</v>
      </c>
      <c r="G1462">
        <v>1077777</v>
      </c>
      <c r="H1462">
        <v>500220</v>
      </c>
      <c r="I1462" t="s">
        <v>949</v>
      </c>
    </row>
    <row r="1463" spans="1:9" x14ac:dyDescent="0.25">
      <c r="A1463">
        <v>3130</v>
      </c>
      <c r="B1463">
        <v>10</v>
      </c>
      <c r="C1463" t="s">
        <v>963</v>
      </c>
      <c r="D1463" t="s">
        <v>999</v>
      </c>
      <c r="E1463" t="s">
        <v>100</v>
      </c>
      <c r="F1463" t="s">
        <v>955</v>
      </c>
      <c r="G1463">
        <v>1077777</v>
      </c>
      <c r="H1463">
        <v>500220</v>
      </c>
      <c r="I1463" t="s">
        <v>949</v>
      </c>
    </row>
    <row r="1464" spans="1:9" x14ac:dyDescent="0.25">
      <c r="A1464">
        <v>3130</v>
      </c>
      <c r="B1464">
        <v>10</v>
      </c>
      <c r="C1464" t="s">
        <v>963</v>
      </c>
      <c r="D1464" t="s">
        <v>999</v>
      </c>
      <c r="E1464" t="s">
        <v>100</v>
      </c>
      <c r="F1464" t="s">
        <v>956</v>
      </c>
      <c r="G1464">
        <v>1077777</v>
      </c>
      <c r="H1464">
        <v>500220</v>
      </c>
      <c r="I1464" t="s">
        <v>949</v>
      </c>
    </row>
    <row r="1465" spans="1:9" x14ac:dyDescent="0.25">
      <c r="A1465">
        <v>3130</v>
      </c>
      <c r="B1465">
        <v>10</v>
      </c>
      <c r="C1465" t="s">
        <v>963</v>
      </c>
      <c r="D1465" t="s">
        <v>999</v>
      </c>
      <c r="E1465" t="s">
        <v>100</v>
      </c>
      <c r="F1465" t="s">
        <v>957</v>
      </c>
      <c r="G1465">
        <v>1077777</v>
      </c>
      <c r="H1465">
        <v>500220</v>
      </c>
      <c r="I1465" t="s">
        <v>949</v>
      </c>
    </row>
    <row r="1466" spans="1:9" x14ac:dyDescent="0.25">
      <c r="A1466">
        <v>3130</v>
      </c>
      <c r="B1466">
        <v>10</v>
      </c>
      <c r="C1466" t="s">
        <v>963</v>
      </c>
      <c r="D1466" t="s">
        <v>999</v>
      </c>
      <c r="E1466" t="s">
        <v>100</v>
      </c>
      <c r="F1466" t="s">
        <v>958</v>
      </c>
      <c r="G1466">
        <v>1077777</v>
      </c>
      <c r="H1466">
        <v>500220</v>
      </c>
      <c r="I1466" t="s">
        <v>949</v>
      </c>
    </row>
    <row r="1467" spans="1:9" x14ac:dyDescent="0.25">
      <c r="A1467">
        <v>3130</v>
      </c>
      <c r="B1467">
        <v>10</v>
      </c>
      <c r="C1467" t="s">
        <v>963</v>
      </c>
      <c r="D1467" t="s">
        <v>999</v>
      </c>
      <c r="E1467" t="s">
        <v>100</v>
      </c>
      <c r="F1467" t="s">
        <v>959</v>
      </c>
      <c r="G1467">
        <v>1077777</v>
      </c>
      <c r="H1467">
        <v>500220</v>
      </c>
      <c r="I1467" t="s">
        <v>949</v>
      </c>
    </row>
    <row r="1468" spans="1:9" x14ac:dyDescent="0.25">
      <c r="A1468">
        <v>3130</v>
      </c>
      <c r="B1468">
        <v>10</v>
      </c>
      <c r="C1468" t="s">
        <v>963</v>
      </c>
      <c r="D1468" t="s">
        <v>999</v>
      </c>
      <c r="E1468" t="s">
        <v>100</v>
      </c>
      <c r="F1468" t="s">
        <v>960</v>
      </c>
      <c r="G1468">
        <v>1077777</v>
      </c>
      <c r="H1468">
        <v>500220</v>
      </c>
      <c r="I1468" t="s">
        <v>949</v>
      </c>
    </row>
    <row r="1469" spans="1:9" x14ac:dyDescent="0.25">
      <c r="A1469">
        <v>3130</v>
      </c>
      <c r="B1469">
        <v>10</v>
      </c>
      <c r="C1469" t="s">
        <v>963</v>
      </c>
      <c r="D1469" t="s">
        <v>999</v>
      </c>
      <c r="E1469" t="s">
        <v>100</v>
      </c>
      <c r="F1469" t="s">
        <v>961</v>
      </c>
      <c r="G1469">
        <v>1077777</v>
      </c>
      <c r="H1469">
        <v>500220</v>
      </c>
      <c r="I1469" t="s">
        <v>949</v>
      </c>
    </row>
    <row r="1470" ht="22" customHeight="1" spans="1:10" x14ac:dyDescent="0.25">
      <c r="A1470" s="43">
        <v>3130</v>
      </c>
      <c r="B1470" s="43">
        <v>10</v>
      </c>
      <c r="C1470" s="43" t="s">
        <v>950</v>
      </c>
      <c r="D1470" s="43" t="s">
        <v>999</v>
      </c>
      <c r="E1470" s="43" t="s">
        <v>270</v>
      </c>
      <c r="F1470" s="43" t="s">
        <v>951</v>
      </c>
      <c r="G1470" s="43">
        <v>1000000</v>
      </c>
      <c r="H1470" s="43">
        <v>145000</v>
      </c>
      <c r="I1470" s="43" t="s">
        <v>949</v>
      </c>
      <c r="J1470" s="44" t="s">
        <v>1000</v>
      </c>
    </row>
    <row r="1471" ht="22" customHeight="1" spans="1:10" x14ac:dyDescent="0.25">
      <c r="A1471" s="43">
        <v>3130</v>
      </c>
      <c r="B1471" s="43">
        <v>10</v>
      </c>
      <c r="C1471" s="43" t="s">
        <v>950</v>
      </c>
      <c r="D1471" s="43" t="s">
        <v>999</v>
      </c>
      <c r="E1471" s="43" t="s">
        <v>270</v>
      </c>
      <c r="F1471" s="43" t="s">
        <v>952</v>
      </c>
      <c r="G1471" s="43">
        <v>1000000</v>
      </c>
      <c r="H1471" s="43">
        <v>145000</v>
      </c>
      <c r="I1471" s="43" t="s">
        <v>949</v>
      </c>
      <c r="J1471" s="44" t="s">
        <v>1000</v>
      </c>
    </row>
    <row r="1472" ht="22" customHeight="1" spans="1:10" x14ac:dyDescent="0.25">
      <c r="A1472" s="43">
        <v>3130</v>
      </c>
      <c r="B1472" s="43">
        <v>10</v>
      </c>
      <c r="C1472" s="43" t="s">
        <v>950</v>
      </c>
      <c r="D1472" s="43" t="s">
        <v>999</v>
      </c>
      <c r="E1472" s="43" t="s">
        <v>270</v>
      </c>
      <c r="F1472" s="43" t="s">
        <v>953</v>
      </c>
      <c r="G1472" s="43">
        <v>1000000</v>
      </c>
      <c r="H1472" s="43">
        <v>145000</v>
      </c>
      <c r="I1472" s="43" t="s">
        <v>949</v>
      </c>
      <c r="J1472" s="44" t="s">
        <v>1000</v>
      </c>
    </row>
    <row r="1473" ht="22" customHeight="1" spans="1:10" x14ac:dyDescent="0.25">
      <c r="A1473" s="43">
        <v>3130</v>
      </c>
      <c r="B1473" s="43">
        <v>10</v>
      </c>
      <c r="C1473" s="43" t="s">
        <v>950</v>
      </c>
      <c r="D1473" s="43" t="s">
        <v>999</v>
      </c>
      <c r="E1473" s="43" t="s">
        <v>270</v>
      </c>
      <c r="F1473" s="43" t="s">
        <v>954</v>
      </c>
      <c r="G1473" s="43">
        <v>1000000</v>
      </c>
      <c r="H1473" s="43">
        <v>145000</v>
      </c>
      <c r="I1473" s="43" t="s">
        <v>949</v>
      </c>
      <c r="J1473" s="44" t="s">
        <v>1000</v>
      </c>
    </row>
    <row r="1474" ht="22" customHeight="1" spans="1:10" x14ac:dyDescent="0.25">
      <c r="A1474" s="43">
        <v>3130</v>
      </c>
      <c r="B1474" s="43">
        <v>10</v>
      </c>
      <c r="C1474" s="43" t="s">
        <v>950</v>
      </c>
      <c r="D1474" s="43" t="s">
        <v>999</v>
      </c>
      <c r="E1474" s="43" t="s">
        <v>270</v>
      </c>
      <c r="F1474" s="43" t="s">
        <v>955</v>
      </c>
      <c r="G1474" s="43">
        <v>1000000</v>
      </c>
      <c r="H1474" s="43">
        <v>145000</v>
      </c>
      <c r="I1474" s="43" t="s">
        <v>949</v>
      </c>
      <c r="J1474" s="44" t="s">
        <v>1000</v>
      </c>
    </row>
    <row r="1475" ht="22" customHeight="1" spans="1:10" x14ac:dyDescent="0.25">
      <c r="A1475" s="43">
        <v>3130</v>
      </c>
      <c r="B1475" s="43">
        <v>10</v>
      </c>
      <c r="C1475" s="43" t="s">
        <v>950</v>
      </c>
      <c r="D1475" s="43" t="s">
        <v>999</v>
      </c>
      <c r="E1475" s="43" t="s">
        <v>270</v>
      </c>
      <c r="F1475" s="43" t="s">
        <v>956</v>
      </c>
      <c r="G1475" s="43">
        <v>1000000</v>
      </c>
      <c r="H1475" s="43">
        <v>145000</v>
      </c>
      <c r="I1475" s="43" t="s">
        <v>949</v>
      </c>
      <c r="J1475" s="44" t="s">
        <v>1000</v>
      </c>
    </row>
    <row r="1476" ht="22" customHeight="1" spans="1:10" x14ac:dyDescent="0.25">
      <c r="A1476" s="43">
        <v>3130</v>
      </c>
      <c r="B1476" s="43">
        <v>10</v>
      </c>
      <c r="C1476" s="43" t="s">
        <v>950</v>
      </c>
      <c r="D1476" s="43" t="s">
        <v>999</v>
      </c>
      <c r="E1476" s="43" t="s">
        <v>270</v>
      </c>
      <c r="F1476" s="43" t="s">
        <v>957</v>
      </c>
      <c r="G1476" s="43">
        <v>1000000</v>
      </c>
      <c r="H1476" s="43">
        <v>145000</v>
      </c>
      <c r="I1476" s="43" t="s">
        <v>949</v>
      </c>
      <c r="J1476" s="44" t="s">
        <v>1000</v>
      </c>
    </row>
    <row r="1477" ht="22" customHeight="1" spans="1:10" x14ac:dyDescent="0.25">
      <c r="A1477" s="43">
        <v>3130</v>
      </c>
      <c r="B1477" s="43">
        <v>10</v>
      </c>
      <c r="C1477" s="43" t="s">
        <v>950</v>
      </c>
      <c r="D1477" s="43" t="s">
        <v>999</v>
      </c>
      <c r="E1477" s="43" t="s">
        <v>270</v>
      </c>
      <c r="F1477" s="43" t="s">
        <v>958</v>
      </c>
      <c r="G1477" s="43">
        <v>1000000</v>
      </c>
      <c r="H1477" s="43">
        <v>145000</v>
      </c>
      <c r="I1477" s="43" t="s">
        <v>949</v>
      </c>
      <c r="J1477" s="44" t="s">
        <v>1000</v>
      </c>
    </row>
    <row r="1478" ht="22" customHeight="1" spans="1:10" x14ac:dyDescent="0.25">
      <c r="A1478" s="43">
        <v>3130</v>
      </c>
      <c r="B1478" s="43">
        <v>10</v>
      </c>
      <c r="C1478" s="43" t="s">
        <v>950</v>
      </c>
      <c r="D1478" s="43" t="s">
        <v>999</v>
      </c>
      <c r="E1478" s="43" t="s">
        <v>270</v>
      </c>
      <c r="F1478" s="43" t="s">
        <v>959</v>
      </c>
      <c r="G1478" s="43">
        <v>1000000</v>
      </c>
      <c r="H1478" s="43">
        <v>145000</v>
      </c>
      <c r="I1478" s="43" t="s">
        <v>949</v>
      </c>
      <c r="J1478" s="44" t="s">
        <v>1000</v>
      </c>
    </row>
    <row r="1479" ht="22" customHeight="1" spans="1:10" x14ac:dyDescent="0.25">
      <c r="A1479" s="43">
        <v>3130</v>
      </c>
      <c r="B1479" s="43">
        <v>10</v>
      </c>
      <c r="C1479" s="43" t="s">
        <v>950</v>
      </c>
      <c r="D1479" s="43" t="s">
        <v>999</v>
      </c>
      <c r="E1479" s="43" t="s">
        <v>270</v>
      </c>
      <c r="F1479" s="43" t="s">
        <v>960</v>
      </c>
      <c r="G1479" s="43">
        <v>1000000</v>
      </c>
      <c r="H1479" s="43">
        <v>145000</v>
      </c>
      <c r="I1479" s="43" t="s">
        <v>949</v>
      </c>
      <c r="J1479" s="44" t="s">
        <v>1000</v>
      </c>
    </row>
    <row r="1480" ht="22" customHeight="1" spans="1:10" x14ac:dyDescent="0.25">
      <c r="A1480" s="43">
        <v>3130</v>
      </c>
      <c r="B1480" s="43">
        <v>10</v>
      </c>
      <c r="C1480" s="43" t="s">
        <v>950</v>
      </c>
      <c r="D1480" s="43" t="s">
        <v>999</v>
      </c>
      <c r="E1480" s="43" t="s">
        <v>270</v>
      </c>
      <c r="F1480" s="43" t="s">
        <v>961</v>
      </c>
      <c r="G1480" s="43">
        <v>1000000</v>
      </c>
      <c r="H1480" s="43">
        <v>145000</v>
      </c>
      <c r="I1480" s="43" t="s">
        <v>949</v>
      </c>
      <c r="J1480" s="44" t="s">
        <v>1000</v>
      </c>
    </row>
    <row r="1481" ht="22" customHeight="1" spans="1:10" x14ac:dyDescent="0.25">
      <c r="A1481" s="43">
        <v>3130</v>
      </c>
      <c r="B1481" s="43">
        <v>10</v>
      </c>
      <c r="C1481" s="43" t="s">
        <v>962</v>
      </c>
      <c r="D1481" s="43" t="s">
        <v>999</v>
      </c>
      <c r="E1481" s="43" t="s">
        <v>270</v>
      </c>
      <c r="F1481" s="43" t="s">
        <v>951</v>
      </c>
      <c r="G1481" s="43">
        <v>1000000</v>
      </c>
      <c r="H1481" s="43">
        <v>145000</v>
      </c>
      <c r="I1481" s="43" t="s">
        <v>949</v>
      </c>
      <c r="J1481" s="44" t="s">
        <v>1000</v>
      </c>
    </row>
    <row r="1482" ht="22" customHeight="1" spans="1:10" x14ac:dyDescent="0.25">
      <c r="A1482" s="43">
        <v>3130</v>
      </c>
      <c r="B1482" s="43">
        <v>10</v>
      </c>
      <c r="C1482" s="43" t="s">
        <v>962</v>
      </c>
      <c r="D1482" s="43" t="s">
        <v>999</v>
      </c>
      <c r="E1482" s="43" t="s">
        <v>270</v>
      </c>
      <c r="F1482" s="43" t="s">
        <v>952</v>
      </c>
      <c r="G1482" s="43">
        <v>1000000</v>
      </c>
      <c r="H1482" s="43">
        <v>145000</v>
      </c>
      <c r="I1482" s="43" t="s">
        <v>949</v>
      </c>
      <c r="J1482" s="44" t="s">
        <v>1000</v>
      </c>
    </row>
    <row r="1483" ht="22" customHeight="1" spans="1:10" x14ac:dyDescent="0.25">
      <c r="A1483" s="43">
        <v>3130</v>
      </c>
      <c r="B1483" s="43">
        <v>10</v>
      </c>
      <c r="C1483" s="43" t="s">
        <v>962</v>
      </c>
      <c r="D1483" s="43" t="s">
        <v>999</v>
      </c>
      <c r="E1483" s="43" t="s">
        <v>270</v>
      </c>
      <c r="F1483" s="43" t="s">
        <v>953</v>
      </c>
      <c r="G1483" s="43">
        <v>1000000</v>
      </c>
      <c r="H1483" s="43">
        <v>145000</v>
      </c>
      <c r="I1483" s="43" t="s">
        <v>949</v>
      </c>
      <c r="J1483" s="44" t="s">
        <v>1000</v>
      </c>
    </row>
    <row r="1484" ht="22" customHeight="1" spans="1:10" x14ac:dyDescent="0.25">
      <c r="A1484" s="43">
        <v>3130</v>
      </c>
      <c r="B1484" s="43">
        <v>10</v>
      </c>
      <c r="C1484" s="43" t="s">
        <v>962</v>
      </c>
      <c r="D1484" s="43" t="s">
        <v>999</v>
      </c>
      <c r="E1484" s="43" t="s">
        <v>270</v>
      </c>
      <c r="F1484" s="43" t="s">
        <v>954</v>
      </c>
      <c r="G1484" s="43">
        <v>1000000</v>
      </c>
      <c r="H1484" s="43">
        <v>145000</v>
      </c>
      <c r="I1484" s="43" t="s">
        <v>949</v>
      </c>
      <c r="J1484" s="44" t="s">
        <v>1000</v>
      </c>
    </row>
    <row r="1485" ht="22" customHeight="1" spans="1:10" x14ac:dyDescent="0.25">
      <c r="A1485" s="43">
        <v>3130</v>
      </c>
      <c r="B1485" s="43">
        <v>10</v>
      </c>
      <c r="C1485" s="43" t="s">
        <v>962</v>
      </c>
      <c r="D1485" s="43" t="s">
        <v>999</v>
      </c>
      <c r="E1485" s="43" t="s">
        <v>270</v>
      </c>
      <c r="F1485" s="43" t="s">
        <v>955</v>
      </c>
      <c r="G1485" s="43">
        <v>1000000</v>
      </c>
      <c r="H1485" s="43">
        <v>145000</v>
      </c>
      <c r="I1485" s="43" t="s">
        <v>949</v>
      </c>
      <c r="J1485" s="44" t="s">
        <v>1000</v>
      </c>
    </row>
    <row r="1486" ht="22" customHeight="1" spans="1:10" x14ac:dyDescent="0.25">
      <c r="A1486" s="43">
        <v>3130</v>
      </c>
      <c r="B1486" s="43">
        <v>10</v>
      </c>
      <c r="C1486" s="43" t="s">
        <v>962</v>
      </c>
      <c r="D1486" s="43" t="s">
        <v>999</v>
      </c>
      <c r="E1486" s="43" t="s">
        <v>270</v>
      </c>
      <c r="F1486" s="43" t="s">
        <v>956</v>
      </c>
      <c r="G1486" s="43">
        <v>1000000</v>
      </c>
      <c r="H1486" s="43">
        <v>145000</v>
      </c>
      <c r="I1486" s="43" t="s">
        <v>949</v>
      </c>
      <c r="J1486" s="44" t="s">
        <v>1000</v>
      </c>
    </row>
    <row r="1487" ht="22" customHeight="1" spans="1:10" x14ac:dyDescent="0.25">
      <c r="A1487" s="43">
        <v>3130</v>
      </c>
      <c r="B1487" s="43">
        <v>10</v>
      </c>
      <c r="C1487" s="43" t="s">
        <v>962</v>
      </c>
      <c r="D1487" s="43" t="s">
        <v>999</v>
      </c>
      <c r="E1487" s="43" t="s">
        <v>270</v>
      </c>
      <c r="F1487" s="43" t="s">
        <v>957</v>
      </c>
      <c r="G1487" s="43">
        <v>1000000</v>
      </c>
      <c r="H1487" s="43">
        <v>145000</v>
      </c>
      <c r="I1487" s="43" t="s">
        <v>949</v>
      </c>
      <c r="J1487" s="44" t="s">
        <v>1000</v>
      </c>
    </row>
    <row r="1488" ht="22" customHeight="1" spans="1:10" x14ac:dyDescent="0.25">
      <c r="A1488" s="43">
        <v>3130</v>
      </c>
      <c r="B1488" s="43">
        <v>10</v>
      </c>
      <c r="C1488" s="43" t="s">
        <v>962</v>
      </c>
      <c r="D1488" s="43" t="s">
        <v>999</v>
      </c>
      <c r="E1488" s="43" t="s">
        <v>270</v>
      </c>
      <c r="F1488" s="43" t="s">
        <v>958</v>
      </c>
      <c r="G1488" s="43">
        <v>1000000</v>
      </c>
      <c r="H1488" s="43">
        <v>145000</v>
      </c>
      <c r="I1488" s="43" t="s">
        <v>949</v>
      </c>
      <c r="J1488" s="44" t="s">
        <v>1000</v>
      </c>
    </row>
    <row r="1489" ht="22" customHeight="1" spans="1:10" x14ac:dyDescent="0.25">
      <c r="A1489" s="43">
        <v>3130</v>
      </c>
      <c r="B1489" s="43">
        <v>10</v>
      </c>
      <c r="C1489" s="43" t="s">
        <v>962</v>
      </c>
      <c r="D1489" s="43" t="s">
        <v>999</v>
      </c>
      <c r="E1489" s="43" t="s">
        <v>270</v>
      </c>
      <c r="F1489" s="43" t="s">
        <v>959</v>
      </c>
      <c r="G1489" s="43">
        <v>1000000</v>
      </c>
      <c r="H1489" s="43">
        <v>145000</v>
      </c>
      <c r="I1489" s="43" t="s">
        <v>949</v>
      </c>
      <c r="J1489" s="44" t="s">
        <v>1000</v>
      </c>
    </row>
    <row r="1490" ht="22" customHeight="1" spans="1:10" x14ac:dyDescent="0.25">
      <c r="A1490" s="43">
        <v>3130</v>
      </c>
      <c r="B1490" s="43">
        <v>10</v>
      </c>
      <c r="C1490" s="43" t="s">
        <v>962</v>
      </c>
      <c r="D1490" s="43" t="s">
        <v>999</v>
      </c>
      <c r="E1490" s="43" t="s">
        <v>270</v>
      </c>
      <c r="F1490" s="43" t="s">
        <v>960</v>
      </c>
      <c r="G1490" s="43">
        <v>1000000</v>
      </c>
      <c r="H1490" s="43">
        <v>145000</v>
      </c>
      <c r="I1490" s="43" t="s">
        <v>949</v>
      </c>
      <c r="J1490" s="44" t="s">
        <v>1000</v>
      </c>
    </row>
    <row r="1491" ht="22" customHeight="1" spans="1:10" x14ac:dyDescent="0.25">
      <c r="A1491" s="43">
        <v>3130</v>
      </c>
      <c r="B1491" s="43">
        <v>10</v>
      </c>
      <c r="C1491" s="43" t="s">
        <v>962</v>
      </c>
      <c r="D1491" s="43" t="s">
        <v>999</v>
      </c>
      <c r="E1491" s="43" t="s">
        <v>270</v>
      </c>
      <c r="F1491" s="43" t="s">
        <v>961</v>
      </c>
      <c r="G1491" s="43">
        <v>1000000</v>
      </c>
      <c r="H1491" s="43">
        <v>145000</v>
      </c>
      <c r="I1491" s="43" t="s">
        <v>949</v>
      </c>
      <c r="J1491" s="44" t="s">
        <v>1000</v>
      </c>
    </row>
    <row r="1492" ht="22" customHeight="1" spans="1:10" x14ac:dyDescent="0.25">
      <c r="A1492" s="43">
        <v>3130</v>
      </c>
      <c r="B1492" s="43">
        <v>10</v>
      </c>
      <c r="C1492" s="43" t="s">
        <v>963</v>
      </c>
      <c r="D1492" s="43" t="s">
        <v>999</v>
      </c>
      <c r="E1492" s="43" t="s">
        <v>270</v>
      </c>
      <c r="F1492" s="43" t="s">
        <v>951</v>
      </c>
      <c r="G1492" s="43">
        <v>1000000</v>
      </c>
      <c r="H1492" s="43">
        <v>145000</v>
      </c>
      <c r="I1492" s="43" t="s">
        <v>949</v>
      </c>
      <c r="J1492" s="44" t="s">
        <v>1000</v>
      </c>
    </row>
    <row r="1493" ht="22" customHeight="1" spans="1:10" x14ac:dyDescent="0.25">
      <c r="A1493" s="43">
        <v>3130</v>
      </c>
      <c r="B1493" s="43">
        <v>10</v>
      </c>
      <c r="C1493" s="43" t="s">
        <v>963</v>
      </c>
      <c r="D1493" s="43" t="s">
        <v>999</v>
      </c>
      <c r="E1493" s="43" t="s">
        <v>270</v>
      </c>
      <c r="F1493" s="43" t="s">
        <v>952</v>
      </c>
      <c r="G1493" s="43">
        <v>1000000</v>
      </c>
      <c r="H1493" s="43">
        <v>145000</v>
      </c>
      <c r="I1493" s="43" t="s">
        <v>949</v>
      </c>
      <c r="J1493" s="44" t="s">
        <v>1000</v>
      </c>
    </row>
    <row r="1494" ht="22" customHeight="1" spans="1:10" x14ac:dyDescent="0.25">
      <c r="A1494" s="43">
        <v>3130</v>
      </c>
      <c r="B1494" s="43">
        <v>10</v>
      </c>
      <c r="C1494" s="43" t="s">
        <v>963</v>
      </c>
      <c r="D1494" s="43" t="s">
        <v>999</v>
      </c>
      <c r="E1494" s="43" t="s">
        <v>270</v>
      </c>
      <c r="F1494" s="43" t="s">
        <v>953</v>
      </c>
      <c r="G1494" s="43">
        <v>1000000</v>
      </c>
      <c r="H1494" s="43">
        <v>145000</v>
      </c>
      <c r="I1494" s="43" t="s">
        <v>949</v>
      </c>
      <c r="J1494" s="44" t="s">
        <v>1000</v>
      </c>
    </row>
    <row r="1495" ht="22" customHeight="1" spans="1:10" x14ac:dyDescent="0.25">
      <c r="A1495" s="43">
        <v>3130</v>
      </c>
      <c r="B1495" s="43">
        <v>10</v>
      </c>
      <c r="C1495" s="43" t="s">
        <v>963</v>
      </c>
      <c r="D1495" s="43" t="s">
        <v>999</v>
      </c>
      <c r="E1495" s="43" t="s">
        <v>270</v>
      </c>
      <c r="F1495" s="43" t="s">
        <v>954</v>
      </c>
      <c r="G1495" s="43">
        <v>1000000</v>
      </c>
      <c r="H1495" s="43">
        <v>145000</v>
      </c>
      <c r="I1495" s="43" t="s">
        <v>949</v>
      </c>
      <c r="J1495" s="44" t="s">
        <v>1000</v>
      </c>
    </row>
    <row r="1496" ht="22" customHeight="1" spans="1:10" x14ac:dyDescent="0.25">
      <c r="A1496" s="43">
        <v>3130</v>
      </c>
      <c r="B1496" s="43">
        <v>10</v>
      </c>
      <c r="C1496" s="43" t="s">
        <v>963</v>
      </c>
      <c r="D1496" s="43" t="s">
        <v>999</v>
      </c>
      <c r="E1496" s="43" t="s">
        <v>270</v>
      </c>
      <c r="F1496" s="43" t="s">
        <v>955</v>
      </c>
      <c r="G1496" s="43">
        <v>1000000</v>
      </c>
      <c r="H1496" s="43">
        <v>145000</v>
      </c>
      <c r="I1496" s="43" t="s">
        <v>949</v>
      </c>
      <c r="J1496" s="44" t="s">
        <v>1000</v>
      </c>
    </row>
    <row r="1497" ht="22" customHeight="1" spans="1:10" x14ac:dyDescent="0.25">
      <c r="A1497" s="43">
        <v>3130</v>
      </c>
      <c r="B1497" s="43">
        <v>10</v>
      </c>
      <c r="C1497" s="43" t="s">
        <v>963</v>
      </c>
      <c r="D1497" s="43" t="s">
        <v>999</v>
      </c>
      <c r="E1497" s="43" t="s">
        <v>270</v>
      </c>
      <c r="F1497" s="43" t="s">
        <v>956</v>
      </c>
      <c r="G1497" s="43">
        <v>1000000</v>
      </c>
      <c r="H1497" s="43">
        <v>145000</v>
      </c>
      <c r="I1497" s="43" t="s">
        <v>949</v>
      </c>
      <c r="J1497" s="44" t="s">
        <v>1000</v>
      </c>
    </row>
    <row r="1498" ht="22" customHeight="1" spans="1:10" x14ac:dyDescent="0.25">
      <c r="A1498" s="43">
        <v>3130</v>
      </c>
      <c r="B1498" s="43">
        <v>10</v>
      </c>
      <c r="C1498" s="43" t="s">
        <v>963</v>
      </c>
      <c r="D1498" s="43" t="s">
        <v>999</v>
      </c>
      <c r="E1498" s="43" t="s">
        <v>270</v>
      </c>
      <c r="F1498" s="43" t="s">
        <v>957</v>
      </c>
      <c r="G1498" s="43">
        <v>1000000</v>
      </c>
      <c r="H1498" s="43">
        <v>145000</v>
      </c>
      <c r="I1498" s="43" t="s">
        <v>949</v>
      </c>
      <c r="J1498" s="44" t="s">
        <v>1000</v>
      </c>
    </row>
    <row r="1499" ht="22" customHeight="1" spans="1:10" x14ac:dyDescent="0.25">
      <c r="A1499" s="43">
        <v>3130</v>
      </c>
      <c r="B1499" s="43">
        <v>10</v>
      </c>
      <c r="C1499" s="43" t="s">
        <v>963</v>
      </c>
      <c r="D1499" s="43" t="s">
        <v>999</v>
      </c>
      <c r="E1499" s="43" t="s">
        <v>270</v>
      </c>
      <c r="F1499" s="43" t="s">
        <v>958</v>
      </c>
      <c r="G1499" s="43">
        <v>1000000</v>
      </c>
      <c r="H1499" s="43">
        <v>145000</v>
      </c>
      <c r="I1499" s="43" t="s">
        <v>949</v>
      </c>
      <c r="J1499" s="44" t="s">
        <v>1000</v>
      </c>
    </row>
    <row r="1500" ht="22" customHeight="1" spans="1:10" x14ac:dyDescent="0.25">
      <c r="A1500" s="43">
        <v>3130</v>
      </c>
      <c r="B1500" s="43">
        <v>10</v>
      </c>
      <c r="C1500" s="43" t="s">
        <v>963</v>
      </c>
      <c r="D1500" s="43" t="s">
        <v>999</v>
      </c>
      <c r="E1500" s="43" t="s">
        <v>270</v>
      </c>
      <c r="F1500" s="43" t="s">
        <v>959</v>
      </c>
      <c r="G1500" s="43">
        <v>1000000</v>
      </c>
      <c r="H1500" s="43">
        <v>145000</v>
      </c>
      <c r="I1500" s="43" t="s">
        <v>949</v>
      </c>
      <c r="J1500" s="44" t="s">
        <v>1000</v>
      </c>
    </row>
    <row r="1501" ht="22" customHeight="1" spans="1:10" x14ac:dyDescent="0.25">
      <c r="A1501" s="43">
        <v>3130</v>
      </c>
      <c r="B1501" s="43">
        <v>10</v>
      </c>
      <c r="C1501" s="43" t="s">
        <v>963</v>
      </c>
      <c r="D1501" s="43" t="s">
        <v>999</v>
      </c>
      <c r="E1501" s="43" t="s">
        <v>270</v>
      </c>
      <c r="F1501" s="43" t="s">
        <v>960</v>
      </c>
      <c r="G1501" s="43">
        <v>1000000</v>
      </c>
      <c r="H1501" s="43">
        <v>145000</v>
      </c>
      <c r="I1501" s="43" t="s">
        <v>949</v>
      </c>
      <c r="J1501" s="44" t="s">
        <v>1000</v>
      </c>
    </row>
    <row r="1502" ht="22" customHeight="1" spans="1:10" x14ac:dyDescent="0.25">
      <c r="A1502" s="43">
        <v>3130</v>
      </c>
      <c r="B1502" s="43">
        <v>10</v>
      </c>
      <c r="C1502" s="43" t="s">
        <v>963</v>
      </c>
      <c r="D1502" s="43" t="s">
        <v>999</v>
      </c>
      <c r="E1502" s="43" t="s">
        <v>270</v>
      </c>
      <c r="F1502" s="43" t="s">
        <v>961</v>
      </c>
      <c r="G1502" s="43">
        <v>1000000</v>
      </c>
      <c r="H1502" s="43">
        <v>145000</v>
      </c>
      <c r="I1502" s="43" t="s">
        <v>949</v>
      </c>
      <c r="J1502" s="44" t="s">
        <v>1000</v>
      </c>
    </row>
    <row r="1503" spans="1:9" x14ac:dyDescent="0.25">
      <c r="A1503">
        <v>3130</v>
      </c>
      <c r="B1503">
        <v>10</v>
      </c>
      <c r="C1503" t="s">
        <v>950</v>
      </c>
      <c r="D1503" t="s">
        <v>999</v>
      </c>
      <c r="E1503" t="s">
        <v>274</v>
      </c>
      <c r="F1503" t="s">
        <v>951</v>
      </c>
      <c r="G1503">
        <v>1000000</v>
      </c>
      <c r="H1503">
        <v>143000</v>
      </c>
      <c r="I1503" t="s">
        <v>973</v>
      </c>
    </row>
    <row r="1504" spans="1:9" x14ac:dyDescent="0.25">
      <c r="A1504">
        <v>3130</v>
      </c>
      <c r="B1504">
        <v>10</v>
      </c>
      <c r="C1504" t="s">
        <v>950</v>
      </c>
      <c r="D1504" t="s">
        <v>999</v>
      </c>
      <c r="E1504" t="s">
        <v>274</v>
      </c>
      <c r="F1504" t="s">
        <v>952</v>
      </c>
      <c r="G1504">
        <v>1000000</v>
      </c>
      <c r="H1504">
        <v>143000</v>
      </c>
      <c r="I1504" t="s">
        <v>973</v>
      </c>
    </row>
    <row r="1505" spans="1:9" x14ac:dyDescent="0.25">
      <c r="A1505">
        <v>3130</v>
      </c>
      <c r="B1505">
        <v>10</v>
      </c>
      <c r="C1505" t="s">
        <v>950</v>
      </c>
      <c r="D1505" t="s">
        <v>999</v>
      </c>
      <c r="E1505" t="s">
        <v>274</v>
      </c>
      <c r="F1505" t="s">
        <v>953</v>
      </c>
      <c r="G1505">
        <v>1000000</v>
      </c>
      <c r="H1505">
        <v>143000</v>
      </c>
      <c r="I1505" t="s">
        <v>973</v>
      </c>
    </row>
    <row r="1506" spans="1:9" x14ac:dyDescent="0.25">
      <c r="A1506">
        <v>3130</v>
      </c>
      <c r="B1506">
        <v>10</v>
      </c>
      <c r="C1506" t="s">
        <v>950</v>
      </c>
      <c r="D1506" t="s">
        <v>999</v>
      </c>
      <c r="E1506" t="s">
        <v>274</v>
      </c>
      <c r="F1506" t="s">
        <v>954</v>
      </c>
      <c r="G1506">
        <v>1000000</v>
      </c>
      <c r="H1506">
        <v>143000</v>
      </c>
      <c r="I1506" t="s">
        <v>973</v>
      </c>
    </row>
    <row r="1507" spans="1:9" x14ac:dyDescent="0.25">
      <c r="A1507">
        <v>3130</v>
      </c>
      <c r="B1507">
        <v>10</v>
      </c>
      <c r="C1507" t="s">
        <v>950</v>
      </c>
      <c r="D1507" t="s">
        <v>999</v>
      </c>
      <c r="E1507" t="s">
        <v>274</v>
      </c>
      <c r="F1507" t="s">
        <v>955</v>
      </c>
      <c r="G1507">
        <v>1000000</v>
      </c>
      <c r="H1507">
        <v>143000</v>
      </c>
      <c r="I1507" t="s">
        <v>973</v>
      </c>
    </row>
    <row r="1508" spans="1:9" x14ac:dyDescent="0.25">
      <c r="A1508">
        <v>3130</v>
      </c>
      <c r="B1508">
        <v>10</v>
      </c>
      <c r="C1508" t="s">
        <v>950</v>
      </c>
      <c r="D1508" t="s">
        <v>999</v>
      </c>
      <c r="E1508" t="s">
        <v>274</v>
      </c>
      <c r="F1508" t="s">
        <v>956</v>
      </c>
      <c r="G1508">
        <v>1000000</v>
      </c>
      <c r="H1508">
        <v>143000</v>
      </c>
      <c r="I1508" t="s">
        <v>973</v>
      </c>
    </row>
    <row r="1509" spans="1:9" x14ac:dyDescent="0.25">
      <c r="A1509">
        <v>3130</v>
      </c>
      <c r="B1509">
        <v>10</v>
      </c>
      <c r="C1509" t="s">
        <v>950</v>
      </c>
      <c r="D1509" t="s">
        <v>999</v>
      </c>
      <c r="E1509" t="s">
        <v>274</v>
      </c>
      <c r="F1509" t="s">
        <v>957</v>
      </c>
      <c r="G1509">
        <v>1000000</v>
      </c>
      <c r="H1509">
        <v>143000</v>
      </c>
      <c r="I1509" t="s">
        <v>973</v>
      </c>
    </row>
    <row r="1510" spans="1:9" x14ac:dyDescent="0.25">
      <c r="A1510">
        <v>3130</v>
      </c>
      <c r="B1510">
        <v>10</v>
      </c>
      <c r="C1510" t="s">
        <v>950</v>
      </c>
      <c r="D1510" t="s">
        <v>999</v>
      </c>
      <c r="E1510" t="s">
        <v>274</v>
      </c>
      <c r="F1510" t="s">
        <v>958</v>
      </c>
      <c r="G1510">
        <v>1000000</v>
      </c>
      <c r="H1510">
        <v>143000</v>
      </c>
      <c r="I1510" t="s">
        <v>973</v>
      </c>
    </row>
    <row r="1511" spans="1:9" x14ac:dyDescent="0.25">
      <c r="A1511">
        <v>3130</v>
      </c>
      <c r="B1511">
        <v>10</v>
      </c>
      <c r="C1511" t="s">
        <v>950</v>
      </c>
      <c r="D1511" t="s">
        <v>999</v>
      </c>
      <c r="E1511" t="s">
        <v>274</v>
      </c>
      <c r="F1511" t="s">
        <v>959</v>
      </c>
      <c r="G1511">
        <v>1000000</v>
      </c>
      <c r="H1511">
        <v>143000</v>
      </c>
      <c r="I1511" t="s">
        <v>973</v>
      </c>
    </row>
    <row r="1512" spans="1:9" x14ac:dyDescent="0.25">
      <c r="A1512">
        <v>3130</v>
      </c>
      <c r="B1512">
        <v>10</v>
      </c>
      <c r="C1512" t="s">
        <v>950</v>
      </c>
      <c r="D1512" t="s">
        <v>999</v>
      </c>
      <c r="E1512" t="s">
        <v>274</v>
      </c>
      <c r="F1512" t="s">
        <v>960</v>
      </c>
      <c r="G1512">
        <v>1000000</v>
      </c>
      <c r="H1512">
        <v>143000</v>
      </c>
      <c r="I1512" t="s">
        <v>973</v>
      </c>
    </row>
    <row r="1513" spans="1:9" x14ac:dyDescent="0.25">
      <c r="A1513">
        <v>3130</v>
      </c>
      <c r="B1513">
        <v>10</v>
      </c>
      <c r="C1513" t="s">
        <v>950</v>
      </c>
      <c r="D1513" t="s">
        <v>999</v>
      </c>
      <c r="E1513" t="s">
        <v>274</v>
      </c>
      <c r="F1513" t="s">
        <v>961</v>
      </c>
      <c r="G1513">
        <v>1000000</v>
      </c>
      <c r="H1513">
        <v>143000</v>
      </c>
      <c r="I1513" t="s">
        <v>973</v>
      </c>
    </row>
    <row r="1514" spans="1:9" x14ac:dyDescent="0.25">
      <c r="A1514">
        <v>3130</v>
      </c>
      <c r="B1514">
        <v>10</v>
      </c>
      <c r="C1514" t="s">
        <v>962</v>
      </c>
      <c r="D1514" t="s">
        <v>999</v>
      </c>
      <c r="E1514" t="s">
        <v>274</v>
      </c>
      <c r="F1514" t="s">
        <v>951</v>
      </c>
      <c r="G1514">
        <v>1000000</v>
      </c>
      <c r="H1514">
        <v>143000</v>
      </c>
      <c r="I1514" t="s">
        <v>973</v>
      </c>
    </row>
    <row r="1515" spans="1:9" x14ac:dyDescent="0.25">
      <c r="A1515">
        <v>3130</v>
      </c>
      <c r="B1515">
        <v>10</v>
      </c>
      <c r="C1515" t="s">
        <v>962</v>
      </c>
      <c r="D1515" t="s">
        <v>999</v>
      </c>
      <c r="E1515" t="s">
        <v>274</v>
      </c>
      <c r="F1515" t="s">
        <v>952</v>
      </c>
      <c r="G1515">
        <v>1000000</v>
      </c>
      <c r="H1515">
        <v>143000</v>
      </c>
      <c r="I1515" t="s">
        <v>973</v>
      </c>
    </row>
    <row r="1516" spans="1:9" x14ac:dyDescent="0.25">
      <c r="A1516">
        <v>3130</v>
      </c>
      <c r="B1516">
        <v>10</v>
      </c>
      <c r="C1516" t="s">
        <v>962</v>
      </c>
      <c r="D1516" t="s">
        <v>999</v>
      </c>
      <c r="E1516" t="s">
        <v>274</v>
      </c>
      <c r="F1516" t="s">
        <v>953</v>
      </c>
      <c r="G1516">
        <v>1000000</v>
      </c>
      <c r="H1516">
        <v>143000</v>
      </c>
      <c r="I1516" t="s">
        <v>973</v>
      </c>
    </row>
    <row r="1517" spans="1:9" x14ac:dyDescent="0.25">
      <c r="A1517">
        <v>3130</v>
      </c>
      <c r="B1517">
        <v>10</v>
      </c>
      <c r="C1517" t="s">
        <v>962</v>
      </c>
      <c r="D1517" t="s">
        <v>999</v>
      </c>
      <c r="E1517" t="s">
        <v>274</v>
      </c>
      <c r="F1517" t="s">
        <v>954</v>
      </c>
      <c r="G1517">
        <v>1000000</v>
      </c>
      <c r="H1517">
        <v>143000</v>
      </c>
      <c r="I1517" t="s">
        <v>973</v>
      </c>
    </row>
    <row r="1518" spans="1:9" x14ac:dyDescent="0.25">
      <c r="A1518">
        <v>3130</v>
      </c>
      <c r="B1518">
        <v>10</v>
      </c>
      <c r="C1518" t="s">
        <v>962</v>
      </c>
      <c r="D1518" t="s">
        <v>999</v>
      </c>
      <c r="E1518" t="s">
        <v>274</v>
      </c>
      <c r="F1518" t="s">
        <v>955</v>
      </c>
      <c r="G1518">
        <v>1000000</v>
      </c>
      <c r="H1518">
        <v>143000</v>
      </c>
      <c r="I1518" t="s">
        <v>973</v>
      </c>
    </row>
    <row r="1519" spans="1:9" x14ac:dyDescent="0.25">
      <c r="A1519">
        <v>3130</v>
      </c>
      <c r="B1519">
        <v>10</v>
      </c>
      <c r="C1519" t="s">
        <v>962</v>
      </c>
      <c r="D1519" t="s">
        <v>999</v>
      </c>
      <c r="E1519" t="s">
        <v>274</v>
      </c>
      <c r="F1519" t="s">
        <v>956</v>
      </c>
      <c r="G1519">
        <v>1000000</v>
      </c>
      <c r="H1519">
        <v>143000</v>
      </c>
      <c r="I1519" t="s">
        <v>973</v>
      </c>
    </row>
    <row r="1520" spans="1:9" x14ac:dyDescent="0.25">
      <c r="A1520">
        <v>3130</v>
      </c>
      <c r="B1520">
        <v>10</v>
      </c>
      <c r="C1520" t="s">
        <v>962</v>
      </c>
      <c r="D1520" t="s">
        <v>999</v>
      </c>
      <c r="E1520" t="s">
        <v>274</v>
      </c>
      <c r="F1520" t="s">
        <v>957</v>
      </c>
      <c r="G1520">
        <v>1000000</v>
      </c>
      <c r="H1520">
        <v>143000</v>
      </c>
      <c r="I1520" t="s">
        <v>973</v>
      </c>
    </row>
    <row r="1521" spans="1:9" x14ac:dyDescent="0.25">
      <c r="A1521">
        <v>3130</v>
      </c>
      <c r="B1521">
        <v>10</v>
      </c>
      <c r="C1521" t="s">
        <v>962</v>
      </c>
      <c r="D1521" t="s">
        <v>999</v>
      </c>
      <c r="E1521" t="s">
        <v>274</v>
      </c>
      <c r="F1521" t="s">
        <v>958</v>
      </c>
      <c r="G1521">
        <v>1000000</v>
      </c>
      <c r="H1521">
        <v>143000</v>
      </c>
      <c r="I1521" t="s">
        <v>973</v>
      </c>
    </row>
    <row r="1522" spans="1:9" x14ac:dyDescent="0.25">
      <c r="A1522">
        <v>3130</v>
      </c>
      <c r="B1522">
        <v>10</v>
      </c>
      <c r="C1522" t="s">
        <v>962</v>
      </c>
      <c r="D1522" t="s">
        <v>999</v>
      </c>
      <c r="E1522" t="s">
        <v>274</v>
      </c>
      <c r="F1522" t="s">
        <v>959</v>
      </c>
      <c r="G1522">
        <v>1000000</v>
      </c>
      <c r="H1522">
        <v>143000</v>
      </c>
      <c r="I1522" t="s">
        <v>973</v>
      </c>
    </row>
    <row r="1523" spans="1:9" x14ac:dyDescent="0.25">
      <c r="A1523">
        <v>3130</v>
      </c>
      <c r="B1523">
        <v>10</v>
      </c>
      <c r="C1523" t="s">
        <v>962</v>
      </c>
      <c r="D1523" t="s">
        <v>999</v>
      </c>
      <c r="E1523" t="s">
        <v>274</v>
      </c>
      <c r="F1523" t="s">
        <v>960</v>
      </c>
      <c r="G1523">
        <v>1000000</v>
      </c>
      <c r="H1523">
        <v>143000</v>
      </c>
      <c r="I1523" t="s">
        <v>973</v>
      </c>
    </row>
    <row r="1524" spans="1:9" x14ac:dyDescent="0.25">
      <c r="A1524">
        <v>3130</v>
      </c>
      <c r="B1524">
        <v>10</v>
      </c>
      <c r="C1524" t="s">
        <v>962</v>
      </c>
      <c r="D1524" t="s">
        <v>999</v>
      </c>
      <c r="E1524" t="s">
        <v>274</v>
      </c>
      <c r="F1524" t="s">
        <v>961</v>
      </c>
      <c r="G1524">
        <v>1000000</v>
      </c>
      <c r="H1524">
        <v>143000</v>
      </c>
      <c r="I1524" t="s">
        <v>973</v>
      </c>
    </row>
    <row r="1525" spans="1:9" x14ac:dyDescent="0.25">
      <c r="A1525">
        <v>3130</v>
      </c>
      <c r="B1525">
        <v>10</v>
      </c>
      <c r="C1525" t="s">
        <v>963</v>
      </c>
      <c r="D1525" t="s">
        <v>999</v>
      </c>
      <c r="E1525" t="s">
        <v>274</v>
      </c>
      <c r="F1525" t="s">
        <v>951</v>
      </c>
      <c r="G1525">
        <v>1000000</v>
      </c>
      <c r="H1525">
        <v>143000</v>
      </c>
      <c r="I1525" t="s">
        <v>973</v>
      </c>
    </row>
    <row r="1526" spans="1:9" x14ac:dyDescent="0.25">
      <c r="A1526">
        <v>3130</v>
      </c>
      <c r="B1526">
        <v>10</v>
      </c>
      <c r="C1526" t="s">
        <v>963</v>
      </c>
      <c r="D1526" t="s">
        <v>999</v>
      </c>
      <c r="E1526" t="s">
        <v>274</v>
      </c>
      <c r="F1526" t="s">
        <v>952</v>
      </c>
      <c r="G1526">
        <v>1000000</v>
      </c>
      <c r="H1526">
        <v>143000</v>
      </c>
      <c r="I1526" t="s">
        <v>973</v>
      </c>
    </row>
    <row r="1527" spans="1:9" x14ac:dyDescent="0.25">
      <c r="A1527">
        <v>3130</v>
      </c>
      <c r="B1527">
        <v>10</v>
      </c>
      <c r="C1527" t="s">
        <v>963</v>
      </c>
      <c r="D1527" t="s">
        <v>999</v>
      </c>
      <c r="E1527" t="s">
        <v>274</v>
      </c>
      <c r="F1527" t="s">
        <v>953</v>
      </c>
      <c r="G1527">
        <v>1000000</v>
      </c>
      <c r="H1527">
        <v>143000</v>
      </c>
      <c r="I1527" t="s">
        <v>973</v>
      </c>
    </row>
    <row r="1528" spans="1:9" x14ac:dyDescent="0.25">
      <c r="A1528">
        <v>3130</v>
      </c>
      <c r="B1528">
        <v>10</v>
      </c>
      <c r="C1528" t="s">
        <v>963</v>
      </c>
      <c r="D1528" t="s">
        <v>999</v>
      </c>
      <c r="E1528" t="s">
        <v>274</v>
      </c>
      <c r="F1528" t="s">
        <v>954</v>
      </c>
      <c r="G1528">
        <v>1000000</v>
      </c>
      <c r="H1528">
        <v>143000</v>
      </c>
      <c r="I1528" t="s">
        <v>973</v>
      </c>
    </row>
    <row r="1529" spans="1:9" x14ac:dyDescent="0.25">
      <c r="A1529">
        <v>3130</v>
      </c>
      <c r="B1529">
        <v>10</v>
      </c>
      <c r="C1529" t="s">
        <v>963</v>
      </c>
      <c r="D1529" t="s">
        <v>999</v>
      </c>
      <c r="E1529" t="s">
        <v>274</v>
      </c>
      <c r="F1529" t="s">
        <v>955</v>
      </c>
      <c r="G1529">
        <v>1000000</v>
      </c>
      <c r="H1529">
        <v>143000</v>
      </c>
      <c r="I1529" t="s">
        <v>973</v>
      </c>
    </row>
    <row r="1530" spans="1:9" x14ac:dyDescent="0.25">
      <c r="A1530">
        <v>3130</v>
      </c>
      <c r="B1530">
        <v>10</v>
      </c>
      <c r="C1530" t="s">
        <v>963</v>
      </c>
      <c r="D1530" t="s">
        <v>999</v>
      </c>
      <c r="E1530" t="s">
        <v>274</v>
      </c>
      <c r="F1530" t="s">
        <v>956</v>
      </c>
      <c r="G1530">
        <v>1000000</v>
      </c>
      <c r="H1530">
        <v>143000</v>
      </c>
      <c r="I1530" t="s">
        <v>973</v>
      </c>
    </row>
    <row r="1531" spans="1:9" x14ac:dyDescent="0.25">
      <c r="A1531">
        <v>3130</v>
      </c>
      <c r="B1531">
        <v>10</v>
      </c>
      <c r="C1531" t="s">
        <v>963</v>
      </c>
      <c r="D1531" t="s">
        <v>999</v>
      </c>
      <c r="E1531" t="s">
        <v>274</v>
      </c>
      <c r="F1531" t="s">
        <v>957</v>
      </c>
      <c r="G1531">
        <v>1000000</v>
      </c>
      <c r="H1531">
        <v>143000</v>
      </c>
      <c r="I1531" t="s">
        <v>973</v>
      </c>
    </row>
    <row r="1532" spans="1:9" x14ac:dyDescent="0.25">
      <c r="A1532">
        <v>3130</v>
      </c>
      <c r="B1532">
        <v>10</v>
      </c>
      <c r="C1532" t="s">
        <v>963</v>
      </c>
      <c r="D1532" t="s">
        <v>999</v>
      </c>
      <c r="E1532" t="s">
        <v>274</v>
      </c>
      <c r="F1532" t="s">
        <v>958</v>
      </c>
      <c r="G1532">
        <v>1000000</v>
      </c>
      <c r="H1532">
        <v>143000</v>
      </c>
      <c r="I1532" t="s">
        <v>973</v>
      </c>
    </row>
    <row r="1533" spans="1:9" x14ac:dyDescent="0.25">
      <c r="A1533">
        <v>3130</v>
      </c>
      <c r="B1533">
        <v>10</v>
      </c>
      <c r="C1533" t="s">
        <v>963</v>
      </c>
      <c r="D1533" t="s">
        <v>999</v>
      </c>
      <c r="E1533" t="s">
        <v>274</v>
      </c>
      <c r="F1533" t="s">
        <v>959</v>
      </c>
      <c r="G1533">
        <v>1000000</v>
      </c>
      <c r="H1533">
        <v>143000</v>
      </c>
      <c r="I1533" t="s">
        <v>973</v>
      </c>
    </row>
    <row r="1534" spans="1:9" x14ac:dyDescent="0.25">
      <c r="A1534">
        <v>3130</v>
      </c>
      <c r="B1534">
        <v>10</v>
      </c>
      <c r="C1534" t="s">
        <v>963</v>
      </c>
      <c r="D1534" t="s">
        <v>999</v>
      </c>
      <c r="E1534" t="s">
        <v>274</v>
      </c>
      <c r="F1534" t="s">
        <v>960</v>
      </c>
      <c r="G1534">
        <v>1000000</v>
      </c>
      <c r="H1534">
        <v>143000</v>
      </c>
      <c r="I1534" t="s">
        <v>973</v>
      </c>
    </row>
    <row r="1535" spans="1:9" x14ac:dyDescent="0.25">
      <c r="A1535">
        <v>3130</v>
      </c>
      <c r="B1535">
        <v>10</v>
      </c>
      <c r="C1535" t="s">
        <v>963</v>
      </c>
      <c r="D1535" t="s">
        <v>999</v>
      </c>
      <c r="E1535" t="s">
        <v>274</v>
      </c>
      <c r="F1535" t="s">
        <v>961</v>
      </c>
      <c r="G1535">
        <v>1000000</v>
      </c>
      <c r="H1535">
        <v>143000</v>
      </c>
      <c r="I1535" t="s">
        <v>973</v>
      </c>
    </row>
    <row r="1536" spans="1:9" x14ac:dyDescent="0.25">
      <c r="A1536">
        <v>3130</v>
      </c>
      <c r="B1536">
        <v>10</v>
      </c>
      <c r="C1536" t="s">
        <v>950</v>
      </c>
      <c r="D1536" t="s">
        <v>999</v>
      </c>
      <c r="E1536" t="s">
        <v>974</v>
      </c>
      <c r="F1536" t="s">
        <v>951</v>
      </c>
      <c r="G1536">
        <v>1000000</v>
      </c>
      <c r="H1536">
        <v>141000</v>
      </c>
      <c r="I1536" t="s">
        <v>975</v>
      </c>
    </row>
    <row r="1537" spans="1:9" x14ac:dyDescent="0.25">
      <c r="A1537">
        <v>3130</v>
      </c>
      <c r="B1537">
        <v>10</v>
      </c>
      <c r="C1537" t="s">
        <v>950</v>
      </c>
      <c r="D1537" t="s">
        <v>999</v>
      </c>
      <c r="E1537" t="s">
        <v>974</v>
      </c>
      <c r="F1537" t="s">
        <v>952</v>
      </c>
      <c r="G1537">
        <v>1000000</v>
      </c>
      <c r="H1537">
        <v>141000</v>
      </c>
      <c r="I1537" t="s">
        <v>975</v>
      </c>
    </row>
    <row r="1538" spans="1:9" x14ac:dyDescent="0.25">
      <c r="A1538">
        <v>3130</v>
      </c>
      <c r="B1538">
        <v>10</v>
      </c>
      <c r="C1538" t="s">
        <v>950</v>
      </c>
      <c r="D1538" t="s">
        <v>999</v>
      </c>
      <c r="E1538" t="s">
        <v>974</v>
      </c>
      <c r="F1538" t="s">
        <v>953</v>
      </c>
      <c r="G1538">
        <v>1000000</v>
      </c>
      <c r="H1538">
        <v>141000</v>
      </c>
      <c r="I1538" t="s">
        <v>975</v>
      </c>
    </row>
    <row r="1539" spans="1:9" x14ac:dyDescent="0.25">
      <c r="A1539">
        <v>3130</v>
      </c>
      <c r="B1539">
        <v>10</v>
      </c>
      <c r="C1539" t="s">
        <v>950</v>
      </c>
      <c r="D1539" t="s">
        <v>999</v>
      </c>
      <c r="E1539" t="s">
        <v>974</v>
      </c>
      <c r="F1539" t="s">
        <v>954</v>
      </c>
      <c r="G1539">
        <v>1000000</v>
      </c>
      <c r="H1539">
        <v>141000</v>
      </c>
      <c r="I1539" t="s">
        <v>975</v>
      </c>
    </row>
    <row r="1540" spans="1:9" x14ac:dyDescent="0.25">
      <c r="A1540">
        <v>3130</v>
      </c>
      <c r="B1540">
        <v>10</v>
      </c>
      <c r="C1540" t="s">
        <v>950</v>
      </c>
      <c r="D1540" t="s">
        <v>999</v>
      </c>
      <c r="E1540" t="s">
        <v>974</v>
      </c>
      <c r="F1540" t="s">
        <v>955</v>
      </c>
      <c r="G1540">
        <v>1000000</v>
      </c>
      <c r="H1540">
        <v>141000</v>
      </c>
      <c r="I1540" t="s">
        <v>975</v>
      </c>
    </row>
    <row r="1541" spans="1:9" x14ac:dyDescent="0.25">
      <c r="A1541">
        <v>3130</v>
      </c>
      <c r="B1541">
        <v>10</v>
      </c>
      <c r="C1541" t="s">
        <v>950</v>
      </c>
      <c r="D1541" t="s">
        <v>999</v>
      </c>
      <c r="E1541" t="s">
        <v>974</v>
      </c>
      <c r="F1541" t="s">
        <v>956</v>
      </c>
      <c r="G1541">
        <v>1000000</v>
      </c>
      <c r="H1541">
        <v>141000</v>
      </c>
      <c r="I1541" t="s">
        <v>975</v>
      </c>
    </row>
    <row r="1542" spans="1:9" x14ac:dyDescent="0.25">
      <c r="A1542">
        <v>3130</v>
      </c>
      <c r="B1542">
        <v>10</v>
      </c>
      <c r="C1542" t="s">
        <v>950</v>
      </c>
      <c r="D1542" t="s">
        <v>999</v>
      </c>
      <c r="E1542" t="s">
        <v>974</v>
      </c>
      <c r="F1542" t="s">
        <v>957</v>
      </c>
      <c r="G1542">
        <v>1000000</v>
      </c>
      <c r="H1542">
        <v>141000</v>
      </c>
      <c r="I1542" t="s">
        <v>975</v>
      </c>
    </row>
    <row r="1543" spans="1:9" x14ac:dyDescent="0.25">
      <c r="A1543">
        <v>3130</v>
      </c>
      <c r="B1543">
        <v>10</v>
      </c>
      <c r="C1543" t="s">
        <v>950</v>
      </c>
      <c r="D1543" t="s">
        <v>999</v>
      </c>
      <c r="E1543" t="s">
        <v>974</v>
      </c>
      <c r="F1543" t="s">
        <v>958</v>
      </c>
      <c r="G1543">
        <v>1000000</v>
      </c>
      <c r="H1543">
        <v>141000</v>
      </c>
      <c r="I1543" t="s">
        <v>975</v>
      </c>
    </row>
    <row r="1544" spans="1:9" x14ac:dyDescent="0.25">
      <c r="A1544">
        <v>3130</v>
      </c>
      <c r="B1544">
        <v>10</v>
      </c>
      <c r="C1544" t="s">
        <v>950</v>
      </c>
      <c r="D1544" t="s">
        <v>999</v>
      </c>
      <c r="E1544" t="s">
        <v>974</v>
      </c>
      <c r="F1544" t="s">
        <v>959</v>
      </c>
      <c r="G1544">
        <v>1000000</v>
      </c>
      <c r="H1544">
        <v>141000</v>
      </c>
      <c r="I1544" t="s">
        <v>975</v>
      </c>
    </row>
    <row r="1545" spans="1:9" x14ac:dyDescent="0.25">
      <c r="A1545">
        <v>3130</v>
      </c>
      <c r="B1545">
        <v>10</v>
      </c>
      <c r="C1545" t="s">
        <v>950</v>
      </c>
      <c r="D1545" t="s">
        <v>999</v>
      </c>
      <c r="E1545" t="s">
        <v>974</v>
      </c>
      <c r="F1545" t="s">
        <v>960</v>
      </c>
      <c r="G1545">
        <v>1000000</v>
      </c>
      <c r="H1545">
        <v>141000</v>
      </c>
      <c r="I1545" t="s">
        <v>975</v>
      </c>
    </row>
    <row r="1546" spans="1:9" x14ac:dyDescent="0.25">
      <c r="A1546">
        <v>3130</v>
      </c>
      <c r="B1546">
        <v>10</v>
      </c>
      <c r="C1546" t="s">
        <v>950</v>
      </c>
      <c r="D1546" t="s">
        <v>999</v>
      </c>
      <c r="E1546" t="s">
        <v>974</v>
      </c>
      <c r="F1546" t="s">
        <v>961</v>
      </c>
      <c r="G1546">
        <v>1000000</v>
      </c>
      <c r="H1546">
        <v>141000</v>
      </c>
      <c r="I1546" t="s">
        <v>975</v>
      </c>
    </row>
    <row r="1547" spans="1:9" x14ac:dyDescent="0.25">
      <c r="A1547">
        <v>3130</v>
      </c>
      <c r="B1547">
        <v>10</v>
      </c>
      <c r="C1547" t="s">
        <v>962</v>
      </c>
      <c r="D1547" t="s">
        <v>999</v>
      </c>
      <c r="E1547" t="s">
        <v>974</v>
      </c>
      <c r="F1547" t="s">
        <v>951</v>
      </c>
      <c r="G1547">
        <v>1000000</v>
      </c>
      <c r="H1547">
        <v>141000</v>
      </c>
      <c r="I1547" t="s">
        <v>975</v>
      </c>
    </row>
    <row r="1548" spans="1:9" x14ac:dyDescent="0.25">
      <c r="A1548">
        <v>3130</v>
      </c>
      <c r="B1548">
        <v>10</v>
      </c>
      <c r="C1548" t="s">
        <v>962</v>
      </c>
      <c r="D1548" t="s">
        <v>999</v>
      </c>
      <c r="E1548" t="s">
        <v>974</v>
      </c>
      <c r="F1548" t="s">
        <v>952</v>
      </c>
      <c r="G1548">
        <v>1000000</v>
      </c>
      <c r="H1548">
        <v>141000</v>
      </c>
      <c r="I1548" t="s">
        <v>975</v>
      </c>
    </row>
    <row r="1549" spans="1:9" x14ac:dyDescent="0.25">
      <c r="A1549">
        <v>3130</v>
      </c>
      <c r="B1549">
        <v>10</v>
      </c>
      <c r="C1549" t="s">
        <v>962</v>
      </c>
      <c r="D1549" t="s">
        <v>999</v>
      </c>
      <c r="E1549" t="s">
        <v>974</v>
      </c>
      <c r="F1549" t="s">
        <v>953</v>
      </c>
      <c r="G1549">
        <v>1000000</v>
      </c>
      <c r="H1549">
        <v>141000</v>
      </c>
      <c r="I1549" t="s">
        <v>975</v>
      </c>
    </row>
    <row r="1550" spans="1:9" x14ac:dyDescent="0.25">
      <c r="A1550">
        <v>3130</v>
      </c>
      <c r="B1550">
        <v>10</v>
      </c>
      <c r="C1550" t="s">
        <v>962</v>
      </c>
      <c r="D1550" t="s">
        <v>999</v>
      </c>
      <c r="E1550" t="s">
        <v>974</v>
      </c>
      <c r="F1550" t="s">
        <v>954</v>
      </c>
      <c r="G1550">
        <v>1000000</v>
      </c>
      <c r="H1550">
        <v>141000</v>
      </c>
      <c r="I1550" t="s">
        <v>975</v>
      </c>
    </row>
    <row r="1551" spans="1:9" x14ac:dyDescent="0.25">
      <c r="A1551">
        <v>3130</v>
      </c>
      <c r="B1551">
        <v>10</v>
      </c>
      <c r="C1551" t="s">
        <v>962</v>
      </c>
      <c r="D1551" t="s">
        <v>999</v>
      </c>
      <c r="E1551" t="s">
        <v>974</v>
      </c>
      <c r="F1551" t="s">
        <v>955</v>
      </c>
      <c r="G1551">
        <v>1000000</v>
      </c>
      <c r="H1551">
        <v>141000</v>
      </c>
      <c r="I1551" t="s">
        <v>975</v>
      </c>
    </row>
    <row r="1552" spans="1:9" x14ac:dyDescent="0.25">
      <c r="A1552">
        <v>3130</v>
      </c>
      <c r="B1552">
        <v>10</v>
      </c>
      <c r="C1552" t="s">
        <v>962</v>
      </c>
      <c r="D1552" t="s">
        <v>999</v>
      </c>
      <c r="E1552" t="s">
        <v>974</v>
      </c>
      <c r="F1552" t="s">
        <v>956</v>
      </c>
      <c r="G1552">
        <v>1000000</v>
      </c>
      <c r="H1552">
        <v>141000</v>
      </c>
      <c r="I1552" t="s">
        <v>975</v>
      </c>
    </row>
    <row r="1553" spans="1:9" x14ac:dyDescent="0.25">
      <c r="A1553">
        <v>3130</v>
      </c>
      <c r="B1553">
        <v>10</v>
      </c>
      <c r="C1553" t="s">
        <v>962</v>
      </c>
      <c r="D1553" t="s">
        <v>999</v>
      </c>
      <c r="E1553" t="s">
        <v>974</v>
      </c>
      <c r="F1553" t="s">
        <v>957</v>
      </c>
      <c r="G1553">
        <v>1000000</v>
      </c>
      <c r="H1553">
        <v>141000</v>
      </c>
      <c r="I1553" t="s">
        <v>975</v>
      </c>
    </row>
    <row r="1554" spans="1:9" x14ac:dyDescent="0.25">
      <c r="A1554">
        <v>3130</v>
      </c>
      <c r="B1554">
        <v>10</v>
      </c>
      <c r="C1554" t="s">
        <v>962</v>
      </c>
      <c r="D1554" t="s">
        <v>999</v>
      </c>
      <c r="E1554" t="s">
        <v>974</v>
      </c>
      <c r="F1554" t="s">
        <v>958</v>
      </c>
      <c r="G1554">
        <v>1000000</v>
      </c>
      <c r="H1554">
        <v>141000</v>
      </c>
      <c r="I1554" t="s">
        <v>975</v>
      </c>
    </row>
    <row r="1555" spans="1:9" x14ac:dyDescent="0.25">
      <c r="A1555">
        <v>3130</v>
      </c>
      <c r="B1555">
        <v>10</v>
      </c>
      <c r="C1555" t="s">
        <v>962</v>
      </c>
      <c r="D1555" t="s">
        <v>999</v>
      </c>
      <c r="E1555" t="s">
        <v>974</v>
      </c>
      <c r="F1555" t="s">
        <v>959</v>
      </c>
      <c r="G1555">
        <v>1000000</v>
      </c>
      <c r="H1555">
        <v>141000</v>
      </c>
      <c r="I1555" t="s">
        <v>975</v>
      </c>
    </row>
    <row r="1556" spans="1:9" x14ac:dyDescent="0.25">
      <c r="A1556">
        <v>3130</v>
      </c>
      <c r="B1556">
        <v>10</v>
      </c>
      <c r="C1556" t="s">
        <v>962</v>
      </c>
      <c r="D1556" t="s">
        <v>999</v>
      </c>
      <c r="E1556" t="s">
        <v>974</v>
      </c>
      <c r="F1556" t="s">
        <v>960</v>
      </c>
      <c r="G1556">
        <v>1000000</v>
      </c>
      <c r="H1556">
        <v>141000</v>
      </c>
      <c r="I1556" t="s">
        <v>975</v>
      </c>
    </row>
    <row r="1557" spans="1:9" x14ac:dyDescent="0.25">
      <c r="A1557">
        <v>3130</v>
      </c>
      <c r="B1557">
        <v>10</v>
      </c>
      <c r="C1557" t="s">
        <v>962</v>
      </c>
      <c r="D1557" t="s">
        <v>999</v>
      </c>
      <c r="E1557" t="s">
        <v>974</v>
      </c>
      <c r="F1557" t="s">
        <v>961</v>
      </c>
      <c r="G1557">
        <v>1000000</v>
      </c>
      <c r="H1557">
        <v>141000</v>
      </c>
      <c r="I1557" t="s">
        <v>975</v>
      </c>
    </row>
    <row r="1558" spans="1:9" x14ac:dyDescent="0.25">
      <c r="A1558">
        <v>3130</v>
      </c>
      <c r="B1558">
        <v>10</v>
      </c>
      <c r="C1558" t="s">
        <v>963</v>
      </c>
      <c r="D1558" t="s">
        <v>999</v>
      </c>
      <c r="E1558" t="s">
        <v>974</v>
      </c>
      <c r="F1558" t="s">
        <v>951</v>
      </c>
      <c r="G1558">
        <v>1000000</v>
      </c>
      <c r="H1558">
        <v>141000</v>
      </c>
      <c r="I1558" t="s">
        <v>975</v>
      </c>
    </row>
    <row r="1559" spans="1:9" x14ac:dyDescent="0.25">
      <c r="A1559">
        <v>3130</v>
      </c>
      <c r="B1559">
        <v>10</v>
      </c>
      <c r="C1559" t="s">
        <v>963</v>
      </c>
      <c r="D1559" t="s">
        <v>999</v>
      </c>
      <c r="E1559" t="s">
        <v>974</v>
      </c>
      <c r="F1559" t="s">
        <v>952</v>
      </c>
      <c r="G1559">
        <v>1000000</v>
      </c>
      <c r="H1559">
        <v>141000</v>
      </c>
      <c r="I1559" t="s">
        <v>975</v>
      </c>
    </row>
    <row r="1560" spans="1:9" x14ac:dyDescent="0.25">
      <c r="A1560">
        <v>3130</v>
      </c>
      <c r="B1560">
        <v>10</v>
      </c>
      <c r="C1560" t="s">
        <v>963</v>
      </c>
      <c r="D1560" t="s">
        <v>999</v>
      </c>
      <c r="E1560" t="s">
        <v>974</v>
      </c>
      <c r="F1560" t="s">
        <v>953</v>
      </c>
      <c r="G1560">
        <v>1000000</v>
      </c>
      <c r="H1560">
        <v>141000</v>
      </c>
      <c r="I1560" t="s">
        <v>975</v>
      </c>
    </row>
    <row r="1561" spans="1:9" x14ac:dyDescent="0.25">
      <c r="A1561">
        <v>3130</v>
      </c>
      <c r="B1561">
        <v>10</v>
      </c>
      <c r="C1561" t="s">
        <v>963</v>
      </c>
      <c r="D1561" t="s">
        <v>999</v>
      </c>
      <c r="E1561" t="s">
        <v>974</v>
      </c>
      <c r="F1561" t="s">
        <v>954</v>
      </c>
      <c r="G1561">
        <v>1000000</v>
      </c>
      <c r="H1561">
        <v>141000</v>
      </c>
      <c r="I1561" t="s">
        <v>975</v>
      </c>
    </row>
    <row r="1562" spans="1:9" x14ac:dyDescent="0.25">
      <c r="A1562">
        <v>3130</v>
      </c>
      <c r="B1562">
        <v>10</v>
      </c>
      <c r="C1562" t="s">
        <v>963</v>
      </c>
      <c r="D1562" t="s">
        <v>999</v>
      </c>
      <c r="E1562" t="s">
        <v>974</v>
      </c>
      <c r="F1562" t="s">
        <v>955</v>
      </c>
      <c r="G1562">
        <v>1000000</v>
      </c>
      <c r="H1562">
        <v>141000</v>
      </c>
      <c r="I1562" t="s">
        <v>975</v>
      </c>
    </row>
    <row r="1563" spans="1:9" x14ac:dyDescent="0.25">
      <c r="A1563">
        <v>3130</v>
      </c>
      <c r="B1563">
        <v>10</v>
      </c>
      <c r="C1563" t="s">
        <v>963</v>
      </c>
      <c r="D1563" t="s">
        <v>999</v>
      </c>
      <c r="E1563" t="s">
        <v>974</v>
      </c>
      <c r="F1563" t="s">
        <v>956</v>
      </c>
      <c r="G1563">
        <v>1000000</v>
      </c>
      <c r="H1563">
        <v>141000</v>
      </c>
      <c r="I1563" t="s">
        <v>975</v>
      </c>
    </row>
    <row r="1564" spans="1:9" x14ac:dyDescent="0.25">
      <c r="A1564">
        <v>3130</v>
      </c>
      <c r="B1564">
        <v>10</v>
      </c>
      <c r="C1564" t="s">
        <v>963</v>
      </c>
      <c r="D1564" t="s">
        <v>999</v>
      </c>
      <c r="E1564" t="s">
        <v>974</v>
      </c>
      <c r="F1564" t="s">
        <v>957</v>
      </c>
      <c r="G1564">
        <v>1000000</v>
      </c>
      <c r="H1564">
        <v>141000</v>
      </c>
      <c r="I1564" t="s">
        <v>975</v>
      </c>
    </row>
    <row r="1565" spans="1:9" x14ac:dyDescent="0.25">
      <c r="A1565">
        <v>3130</v>
      </c>
      <c r="B1565">
        <v>10</v>
      </c>
      <c r="C1565" t="s">
        <v>963</v>
      </c>
      <c r="D1565" t="s">
        <v>999</v>
      </c>
      <c r="E1565" t="s">
        <v>974</v>
      </c>
      <c r="F1565" t="s">
        <v>958</v>
      </c>
      <c r="G1565">
        <v>1000000</v>
      </c>
      <c r="H1565">
        <v>141000</v>
      </c>
      <c r="I1565" t="s">
        <v>975</v>
      </c>
    </row>
    <row r="1566" spans="1:9" x14ac:dyDescent="0.25">
      <c r="A1566">
        <v>3130</v>
      </c>
      <c r="B1566">
        <v>10</v>
      </c>
      <c r="C1566" t="s">
        <v>963</v>
      </c>
      <c r="D1566" t="s">
        <v>999</v>
      </c>
      <c r="E1566" t="s">
        <v>974</v>
      </c>
      <c r="F1566" t="s">
        <v>959</v>
      </c>
      <c r="G1566">
        <v>1000000</v>
      </c>
      <c r="H1566">
        <v>141000</v>
      </c>
      <c r="I1566" t="s">
        <v>975</v>
      </c>
    </row>
    <row r="1567" spans="1:9" x14ac:dyDescent="0.25">
      <c r="A1567">
        <v>3130</v>
      </c>
      <c r="B1567">
        <v>10</v>
      </c>
      <c r="C1567" t="s">
        <v>963</v>
      </c>
      <c r="D1567" t="s">
        <v>999</v>
      </c>
      <c r="E1567" t="s">
        <v>974</v>
      </c>
      <c r="F1567" t="s">
        <v>960</v>
      </c>
      <c r="G1567">
        <v>1000000</v>
      </c>
      <c r="H1567">
        <v>141000</v>
      </c>
      <c r="I1567" t="s">
        <v>975</v>
      </c>
    </row>
    <row r="1568" spans="1:9" x14ac:dyDescent="0.25">
      <c r="A1568">
        <v>3130</v>
      </c>
      <c r="B1568">
        <v>10</v>
      </c>
      <c r="C1568" t="s">
        <v>963</v>
      </c>
      <c r="D1568" t="s">
        <v>999</v>
      </c>
      <c r="E1568" t="s">
        <v>974</v>
      </c>
      <c r="F1568" t="s">
        <v>961</v>
      </c>
      <c r="G1568">
        <v>1000000</v>
      </c>
      <c r="H1568">
        <v>141000</v>
      </c>
      <c r="I1568" t="s">
        <v>975</v>
      </c>
    </row>
    <row r="1569" spans="1:9" x14ac:dyDescent="0.25">
      <c r="A1569">
        <v>3130</v>
      </c>
      <c r="B1569">
        <v>10</v>
      </c>
      <c r="C1569" t="s">
        <v>950</v>
      </c>
      <c r="D1569" t="s">
        <v>999</v>
      </c>
      <c r="E1569" t="s">
        <v>104</v>
      </c>
      <c r="F1569" t="s">
        <v>951</v>
      </c>
      <c r="G1569">
        <v>1077777</v>
      </c>
      <c r="H1569">
        <v>500220</v>
      </c>
      <c r="I1569" t="s">
        <v>949</v>
      </c>
    </row>
    <row r="1570" spans="1:9" x14ac:dyDescent="0.25">
      <c r="A1570">
        <v>3130</v>
      </c>
      <c r="B1570">
        <v>10</v>
      </c>
      <c r="C1570" t="s">
        <v>950</v>
      </c>
      <c r="D1570" t="s">
        <v>999</v>
      </c>
      <c r="E1570" t="s">
        <v>104</v>
      </c>
      <c r="F1570" t="s">
        <v>952</v>
      </c>
      <c r="G1570">
        <v>1077777</v>
      </c>
      <c r="H1570">
        <v>500220</v>
      </c>
      <c r="I1570" t="s">
        <v>949</v>
      </c>
    </row>
    <row r="1571" spans="1:9" x14ac:dyDescent="0.25">
      <c r="A1571">
        <v>3130</v>
      </c>
      <c r="B1571">
        <v>10</v>
      </c>
      <c r="C1571" t="s">
        <v>950</v>
      </c>
      <c r="D1571" t="s">
        <v>999</v>
      </c>
      <c r="E1571" t="s">
        <v>104</v>
      </c>
      <c r="F1571" t="s">
        <v>953</v>
      </c>
      <c r="G1571">
        <v>1077777</v>
      </c>
      <c r="H1571">
        <v>500220</v>
      </c>
      <c r="I1571" t="s">
        <v>949</v>
      </c>
    </row>
    <row r="1572" spans="1:9" x14ac:dyDescent="0.25">
      <c r="A1572">
        <v>3130</v>
      </c>
      <c r="B1572">
        <v>10</v>
      </c>
      <c r="C1572" t="s">
        <v>950</v>
      </c>
      <c r="D1572" t="s">
        <v>999</v>
      </c>
      <c r="E1572" t="s">
        <v>104</v>
      </c>
      <c r="F1572" t="s">
        <v>954</v>
      </c>
      <c r="G1572">
        <v>1077777</v>
      </c>
      <c r="H1572">
        <v>500220</v>
      </c>
      <c r="I1572" t="s">
        <v>949</v>
      </c>
    </row>
    <row r="1573" spans="1:9" x14ac:dyDescent="0.25">
      <c r="A1573">
        <v>3130</v>
      </c>
      <c r="B1573">
        <v>10</v>
      </c>
      <c r="C1573" t="s">
        <v>950</v>
      </c>
      <c r="D1573" t="s">
        <v>999</v>
      </c>
      <c r="E1573" t="s">
        <v>104</v>
      </c>
      <c r="F1573" t="s">
        <v>955</v>
      </c>
      <c r="G1573">
        <v>1077777</v>
      </c>
      <c r="H1573">
        <v>500220</v>
      </c>
      <c r="I1573" t="s">
        <v>949</v>
      </c>
    </row>
    <row r="1574" spans="1:9" x14ac:dyDescent="0.25">
      <c r="A1574">
        <v>3130</v>
      </c>
      <c r="B1574">
        <v>10</v>
      </c>
      <c r="C1574" t="s">
        <v>950</v>
      </c>
      <c r="D1574" t="s">
        <v>999</v>
      </c>
      <c r="E1574" t="s">
        <v>104</v>
      </c>
      <c r="F1574" t="s">
        <v>956</v>
      </c>
      <c r="G1574">
        <v>1077777</v>
      </c>
      <c r="H1574">
        <v>500220</v>
      </c>
      <c r="I1574" t="s">
        <v>949</v>
      </c>
    </row>
    <row r="1575" spans="1:9" x14ac:dyDescent="0.25">
      <c r="A1575">
        <v>3130</v>
      </c>
      <c r="B1575">
        <v>10</v>
      </c>
      <c r="C1575" t="s">
        <v>950</v>
      </c>
      <c r="D1575" t="s">
        <v>999</v>
      </c>
      <c r="E1575" t="s">
        <v>104</v>
      </c>
      <c r="F1575" t="s">
        <v>957</v>
      </c>
      <c r="G1575">
        <v>1077777</v>
      </c>
      <c r="H1575">
        <v>500220</v>
      </c>
      <c r="I1575" t="s">
        <v>949</v>
      </c>
    </row>
    <row r="1576" spans="1:9" x14ac:dyDescent="0.25">
      <c r="A1576">
        <v>3130</v>
      </c>
      <c r="B1576">
        <v>10</v>
      </c>
      <c r="C1576" t="s">
        <v>950</v>
      </c>
      <c r="D1576" t="s">
        <v>999</v>
      </c>
      <c r="E1576" t="s">
        <v>104</v>
      </c>
      <c r="F1576" t="s">
        <v>958</v>
      </c>
      <c r="G1576">
        <v>1077777</v>
      </c>
      <c r="H1576">
        <v>500220</v>
      </c>
      <c r="I1576" t="s">
        <v>949</v>
      </c>
    </row>
    <row r="1577" spans="1:9" x14ac:dyDescent="0.25">
      <c r="A1577">
        <v>3130</v>
      </c>
      <c r="B1577">
        <v>10</v>
      </c>
      <c r="C1577" t="s">
        <v>950</v>
      </c>
      <c r="D1577" t="s">
        <v>999</v>
      </c>
      <c r="E1577" t="s">
        <v>104</v>
      </c>
      <c r="F1577" t="s">
        <v>959</v>
      </c>
      <c r="G1577">
        <v>1077777</v>
      </c>
      <c r="H1577">
        <v>500220</v>
      </c>
      <c r="I1577" t="s">
        <v>949</v>
      </c>
    </row>
    <row r="1578" spans="1:9" x14ac:dyDescent="0.25">
      <c r="A1578">
        <v>3130</v>
      </c>
      <c r="B1578">
        <v>10</v>
      </c>
      <c r="C1578" t="s">
        <v>950</v>
      </c>
      <c r="D1578" t="s">
        <v>999</v>
      </c>
      <c r="E1578" t="s">
        <v>104</v>
      </c>
      <c r="F1578" t="s">
        <v>960</v>
      </c>
      <c r="G1578">
        <v>1077777</v>
      </c>
      <c r="H1578">
        <v>500220</v>
      </c>
      <c r="I1578" t="s">
        <v>949</v>
      </c>
    </row>
    <row r="1579" spans="1:9" x14ac:dyDescent="0.25">
      <c r="A1579">
        <v>3130</v>
      </c>
      <c r="B1579">
        <v>10</v>
      </c>
      <c r="C1579" t="s">
        <v>950</v>
      </c>
      <c r="D1579" t="s">
        <v>999</v>
      </c>
      <c r="E1579" t="s">
        <v>104</v>
      </c>
      <c r="F1579" t="s">
        <v>961</v>
      </c>
      <c r="G1579">
        <v>1077777</v>
      </c>
      <c r="H1579">
        <v>500220</v>
      </c>
      <c r="I1579" t="s">
        <v>949</v>
      </c>
    </row>
    <row r="1580" spans="1:9" x14ac:dyDescent="0.25">
      <c r="A1580">
        <v>3130</v>
      </c>
      <c r="B1580">
        <v>10</v>
      </c>
      <c r="C1580" t="s">
        <v>962</v>
      </c>
      <c r="D1580" t="s">
        <v>999</v>
      </c>
      <c r="E1580" t="s">
        <v>104</v>
      </c>
      <c r="F1580" t="s">
        <v>951</v>
      </c>
      <c r="G1580">
        <v>1077777</v>
      </c>
      <c r="H1580">
        <v>500220</v>
      </c>
      <c r="I1580" t="s">
        <v>949</v>
      </c>
    </row>
    <row r="1581" spans="1:9" x14ac:dyDescent="0.25">
      <c r="A1581">
        <v>3130</v>
      </c>
      <c r="B1581">
        <v>10</v>
      </c>
      <c r="C1581" t="s">
        <v>962</v>
      </c>
      <c r="D1581" t="s">
        <v>999</v>
      </c>
      <c r="E1581" t="s">
        <v>104</v>
      </c>
      <c r="F1581" t="s">
        <v>952</v>
      </c>
      <c r="G1581">
        <v>1077777</v>
      </c>
      <c r="H1581">
        <v>500220</v>
      </c>
      <c r="I1581" t="s">
        <v>949</v>
      </c>
    </row>
    <row r="1582" spans="1:9" x14ac:dyDescent="0.25">
      <c r="A1582">
        <v>3130</v>
      </c>
      <c r="B1582">
        <v>10</v>
      </c>
      <c r="C1582" t="s">
        <v>962</v>
      </c>
      <c r="D1582" t="s">
        <v>999</v>
      </c>
      <c r="E1582" t="s">
        <v>104</v>
      </c>
      <c r="F1582" t="s">
        <v>953</v>
      </c>
      <c r="G1582">
        <v>1077777</v>
      </c>
      <c r="H1582">
        <v>500220</v>
      </c>
      <c r="I1582" t="s">
        <v>949</v>
      </c>
    </row>
    <row r="1583" spans="1:9" x14ac:dyDescent="0.25">
      <c r="A1583">
        <v>3130</v>
      </c>
      <c r="B1583">
        <v>10</v>
      </c>
      <c r="C1583" t="s">
        <v>962</v>
      </c>
      <c r="D1583" t="s">
        <v>999</v>
      </c>
      <c r="E1583" t="s">
        <v>104</v>
      </c>
      <c r="F1583" t="s">
        <v>954</v>
      </c>
      <c r="G1583">
        <v>1077777</v>
      </c>
      <c r="H1583">
        <v>500220</v>
      </c>
      <c r="I1583" t="s">
        <v>949</v>
      </c>
    </row>
    <row r="1584" spans="1:9" x14ac:dyDescent="0.25">
      <c r="A1584">
        <v>3130</v>
      </c>
      <c r="B1584">
        <v>10</v>
      </c>
      <c r="C1584" t="s">
        <v>962</v>
      </c>
      <c r="D1584" t="s">
        <v>999</v>
      </c>
      <c r="E1584" t="s">
        <v>104</v>
      </c>
      <c r="F1584" t="s">
        <v>955</v>
      </c>
      <c r="G1584">
        <v>1077777</v>
      </c>
      <c r="H1584">
        <v>500220</v>
      </c>
      <c r="I1584" t="s">
        <v>949</v>
      </c>
    </row>
    <row r="1585" spans="1:9" x14ac:dyDescent="0.25">
      <c r="A1585">
        <v>3130</v>
      </c>
      <c r="B1585">
        <v>10</v>
      </c>
      <c r="C1585" t="s">
        <v>962</v>
      </c>
      <c r="D1585" t="s">
        <v>999</v>
      </c>
      <c r="E1585" t="s">
        <v>104</v>
      </c>
      <c r="F1585" t="s">
        <v>956</v>
      </c>
      <c r="G1585">
        <v>1077777</v>
      </c>
      <c r="H1585">
        <v>500220</v>
      </c>
      <c r="I1585" t="s">
        <v>949</v>
      </c>
    </row>
    <row r="1586" spans="1:9" x14ac:dyDescent="0.25">
      <c r="A1586">
        <v>3130</v>
      </c>
      <c r="B1586">
        <v>10</v>
      </c>
      <c r="C1586" t="s">
        <v>962</v>
      </c>
      <c r="D1586" t="s">
        <v>999</v>
      </c>
      <c r="E1586" t="s">
        <v>104</v>
      </c>
      <c r="F1586" t="s">
        <v>957</v>
      </c>
      <c r="G1586">
        <v>1077777</v>
      </c>
      <c r="H1586">
        <v>500220</v>
      </c>
      <c r="I1586" t="s">
        <v>949</v>
      </c>
    </row>
    <row r="1587" spans="1:9" x14ac:dyDescent="0.25">
      <c r="A1587">
        <v>3130</v>
      </c>
      <c r="B1587">
        <v>10</v>
      </c>
      <c r="C1587" t="s">
        <v>962</v>
      </c>
      <c r="D1587" t="s">
        <v>999</v>
      </c>
      <c r="E1587" t="s">
        <v>104</v>
      </c>
      <c r="F1587" t="s">
        <v>958</v>
      </c>
      <c r="G1587">
        <v>1077777</v>
      </c>
      <c r="H1587">
        <v>500220</v>
      </c>
      <c r="I1587" t="s">
        <v>949</v>
      </c>
    </row>
    <row r="1588" spans="1:9" x14ac:dyDescent="0.25">
      <c r="A1588">
        <v>3130</v>
      </c>
      <c r="B1588">
        <v>10</v>
      </c>
      <c r="C1588" t="s">
        <v>962</v>
      </c>
      <c r="D1588" t="s">
        <v>999</v>
      </c>
      <c r="E1588" t="s">
        <v>104</v>
      </c>
      <c r="F1588" t="s">
        <v>959</v>
      </c>
      <c r="G1588">
        <v>1077777</v>
      </c>
      <c r="H1588">
        <v>500220</v>
      </c>
      <c r="I1588" t="s">
        <v>949</v>
      </c>
    </row>
    <row r="1589" spans="1:9" x14ac:dyDescent="0.25">
      <c r="A1589">
        <v>3130</v>
      </c>
      <c r="B1589">
        <v>10</v>
      </c>
      <c r="C1589" t="s">
        <v>962</v>
      </c>
      <c r="D1589" t="s">
        <v>999</v>
      </c>
      <c r="E1589" t="s">
        <v>104</v>
      </c>
      <c r="F1589" t="s">
        <v>960</v>
      </c>
      <c r="G1589">
        <v>1077777</v>
      </c>
      <c r="H1589">
        <v>500220</v>
      </c>
      <c r="I1589" t="s">
        <v>949</v>
      </c>
    </row>
    <row r="1590" spans="1:9" x14ac:dyDescent="0.25">
      <c r="A1590">
        <v>3130</v>
      </c>
      <c r="B1590">
        <v>10</v>
      </c>
      <c r="C1590" t="s">
        <v>962</v>
      </c>
      <c r="D1590" t="s">
        <v>999</v>
      </c>
      <c r="E1590" t="s">
        <v>104</v>
      </c>
      <c r="F1590" t="s">
        <v>961</v>
      </c>
      <c r="G1590">
        <v>1077777</v>
      </c>
      <c r="H1590">
        <v>500220</v>
      </c>
      <c r="I1590" t="s">
        <v>949</v>
      </c>
    </row>
    <row r="1591" spans="1:9" x14ac:dyDescent="0.25">
      <c r="A1591">
        <v>3130</v>
      </c>
      <c r="B1591">
        <v>10</v>
      </c>
      <c r="C1591" t="s">
        <v>963</v>
      </c>
      <c r="D1591" t="s">
        <v>999</v>
      </c>
      <c r="E1591" t="s">
        <v>104</v>
      </c>
      <c r="F1591" t="s">
        <v>951</v>
      </c>
      <c r="G1591">
        <v>1077777</v>
      </c>
      <c r="H1591">
        <v>500220</v>
      </c>
      <c r="I1591" t="s">
        <v>949</v>
      </c>
    </row>
    <row r="1592" spans="1:9" x14ac:dyDescent="0.25">
      <c r="A1592">
        <v>3130</v>
      </c>
      <c r="B1592">
        <v>10</v>
      </c>
      <c r="C1592" t="s">
        <v>963</v>
      </c>
      <c r="D1592" t="s">
        <v>999</v>
      </c>
      <c r="E1592" t="s">
        <v>104</v>
      </c>
      <c r="F1592" t="s">
        <v>952</v>
      </c>
      <c r="G1592">
        <v>1077777</v>
      </c>
      <c r="H1592">
        <v>500220</v>
      </c>
      <c r="I1592" t="s">
        <v>949</v>
      </c>
    </row>
    <row r="1593" spans="1:9" x14ac:dyDescent="0.25">
      <c r="A1593">
        <v>3130</v>
      </c>
      <c r="B1593">
        <v>10</v>
      </c>
      <c r="C1593" t="s">
        <v>963</v>
      </c>
      <c r="D1593" t="s">
        <v>999</v>
      </c>
      <c r="E1593" t="s">
        <v>104</v>
      </c>
      <c r="F1593" t="s">
        <v>953</v>
      </c>
      <c r="G1593">
        <v>1077777</v>
      </c>
      <c r="H1593">
        <v>500220</v>
      </c>
      <c r="I1593" t="s">
        <v>949</v>
      </c>
    </row>
    <row r="1594" spans="1:9" x14ac:dyDescent="0.25">
      <c r="A1594">
        <v>3130</v>
      </c>
      <c r="B1594">
        <v>10</v>
      </c>
      <c r="C1594" t="s">
        <v>963</v>
      </c>
      <c r="D1594" t="s">
        <v>999</v>
      </c>
      <c r="E1594" t="s">
        <v>104</v>
      </c>
      <c r="F1594" t="s">
        <v>954</v>
      </c>
      <c r="G1594">
        <v>1077777</v>
      </c>
      <c r="H1594">
        <v>500220</v>
      </c>
      <c r="I1594" t="s">
        <v>949</v>
      </c>
    </row>
    <row r="1595" spans="1:9" x14ac:dyDescent="0.25">
      <c r="A1595">
        <v>3130</v>
      </c>
      <c r="B1595">
        <v>10</v>
      </c>
      <c r="C1595" t="s">
        <v>963</v>
      </c>
      <c r="D1595" t="s">
        <v>999</v>
      </c>
      <c r="E1595" t="s">
        <v>104</v>
      </c>
      <c r="F1595" t="s">
        <v>955</v>
      </c>
      <c r="G1595">
        <v>1077777</v>
      </c>
      <c r="H1595">
        <v>500220</v>
      </c>
      <c r="I1595" t="s">
        <v>949</v>
      </c>
    </row>
    <row r="1596" spans="1:9" x14ac:dyDescent="0.25">
      <c r="A1596">
        <v>3130</v>
      </c>
      <c r="B1596">
        <v>10</v>
      </c>
      <c r="C1596" t="s">
        <v>963</v>
      </c>
      <c r="D1596" t="s">
        <v>999</v>
      </c>
      <c r="E1596" t="s">
        <v>104</v>
      </c>
      <c r="F1596" t="s">
        <v>956</v>
      </c>
      <c r="G1596">
        <v>1077777</v>
      </c>
      <c r="H1596">
        <v>500220</v>
      </c>
      <c r="I1596" t="s">
        <v>949</v>
      </c>
    </row>
    <row r="1597" spans="1:9" x14ac:dyDescent="0.25">
      <c r="A1597">
        <v>3130</v>
      </c>
      <c r="B1597">
        <v>10</v>
      </c>
      <c r="C1597" t="s">
        <v>963</v>
      </c>
      <c r="D1597" t="s">
        <v>999</v>
      </c>
      <c r="E1597" t="s">
        <v>104</v>
      </c>
      <c r="F1597" t="s">
        <v>957</v>
      </c>
      <c r="G1597">
        <v>1077777</v>
      </c>
      <c r="H1597">
        <v>500220</v>
      </c>
      <c r="I1597" t="s">
        <v>949</v>
      </c>
    </row>
    <row r="1598" spans="1:9" x14ac:dyDescent="0.25">
      <c r="A1598">
        <v>3130</v>
      </c>
      <c r="B1598">
        <v>10</v>
      </c>
      <c r="C1598" t="s">
        <v>963</v>
      </c>
      <c r="D1598" t="s">
        <v>999</v>
      </c>
      <c r="E1598" t="s">
        <v>104</v>
      </c>
      <c r="F1598" t="s">
        <v>958</v>
      </c>
      <c r="G1598">
        <v>1077777</v>
      </c>
      <c r="H1598">
        <v>500220</v>
      </c>
      <c r="I1598" t="s">
        <v>949</v>
      </c>
    </row>
    <row r="1599" spans="1:9" x14ac:dyDescent="0.25">
      <c r="A1599">
        <v>3130</v>
      </c>
      <c r="B1599">
        <v>10</v>
      </c>
      <c r="C1599" t="s">
        <v>963</v>
      </c>
      <c r="D1599" t="s">
        <v>999</v>
      </c>
      <c r="E1599" t="s">
        <v>104</v>
      </c>
      <c r="F1599" t="s">
        <v>959</v>
      </c>
      <c r="G1599">
        <v>1077777</v>
      </c>
      <c r="H1599">
        <v>500220</v>
      </c>
      <c r="I1599" t="s">
        <v>949</v>
      </c>
    </row>
    <row r="1600" spans="1:9" x14ac:dyDescent="0.25">
      <c r="A1600">
        <v>3130</v>
      </c>
      <c r="B1600">
        <v>10</v>
      </c>
      <c r="C1600" t="s">
        <v>963</v>
      </c>
      <c r="D1600" t="s">
        <v>999</v>
      </c>
      <c r="E1600" t="s">
        <v>104</v>
      </c>
      <c r="F1600" t="s">
        <v>960</v>
      </c>
      <c r="G1600">
        <v>1077777</v>
      </c>
      <c r="H1600">
        <v>500220</v>
      </c>
      <c r="I1600" t="s">
        <v>949</v>
      </c>
    </row>
    <row r="1601" spans="1:9" x14ac:dyDescent="0.25">
      <c r="A1601">
        <v>3130</v>
      </c>
      <c r="B1601">
        <v>10</v>
      </c>
      <c r="C1601" t="s">
        <v>963</v>
      </c>
      <c r="D1601" t="s">
        <v>999</v>
      </c>
      <c r="E1601" t="s">
        <v>104</v>
      </c>
      <c r="F1601" t="s">
        <v>961</v>
      </c>
      <c r="G1601">
        <v>1077777</v>
      </c>
      <c r="H1601">
        <v>500220</v>
      </c>
      <c r="I1601" t="s">
        <v>949</v>
      </c>
    </row>
    <row r="1602" ht="22" customHeight="1" spans="1:10" x14ac:dyDescent="0.25">
      <c r="A1602" s="43">
        <v>3130</v>
      </c>
      <c r="B1602" s="43">
        <v>10</v>
      </c>
      <c r="C1602" s="43" t="s">
        <v>950</v>
      </c>
      <c r="D1602" s="43" t="s">
        <v>999</v>
      </c>
      <c r="E1602" s="43" t="s">
        <v>278</v>
      </c>
      <c r="F1602" s="43" t="s">
        <v>951</v>
      </c>
      <c r="G1602" s="43">
        <v>1000000</v>
      </c>
      <c r="H1602" s="43">
        <v>145000</v>
      </c>
      <c r="I1602" s="43" t="s">
        <v>949</v>
      </c>
      <c r="J1602" s="44" t="s">
        <v>1000</v>
      </c>
    </row>
    <row r="1603" ht="22" customHeight="1" spans="1:10" x14ac:dyDescent="0.25">
      <c r="A1603" s="43">
        <v>3130</v>
      </c>
      <c r="B1603" s="43">
        <v>10</v>
      </c>
      <c r="C1603" s="43" t="s">
        <v>950</v>
      </c>
      <c r="D1603" s="43" t="s">
        <v>999</v>
      </c>
      <c r="E1603" s="43" t="s">
        <v>278</v>
      </c>
      <c r="F1603" s="43" t="s">
        <v>952</v>
      </c>
      <c r="G1603" s="43">
        <v>1000000</v>
      </c>
      <c r="H1603" s="43">
        <v>145000</v>
      </c>
      <c r="I1603" s="43" t="s">
        <v>949</v>
      </c>
      <c r="J1603" s="44" t="s">
        <v>1000</v>
      </c>
    </row>
    <row r="1604" ht="22" customHeight="1" spans="1:10" x14ac:dyDescent="0.25">
      <c r="A1604" s="43">
        <v>3130</v>
      </c>
      <c r="B1604" s="43">
        <v>10</v>
      </c>
      <c r="C1604" s="43" t="s">
        <v>950</v>
      </c>
      <c r="D1604" s="43" t="s">
        <v>999</v>
      </c>
      <c r="E1604" s="43" t="s">
        <v>278</v>
      </c>
      <c r="F1604" s="43" t="s">
        <v>953</v>
      </c>
      <c r="G1604" s="43">
        <v>1000000</v>
      </c>
      <c r="H1604" s="43">
        <v>145000</v>
      </c>
      <c r="I1604" s="43" t="s">
        <v>949</v>
      </c>
      <c r="J1604" s="44" t="s">
        <v>1000</v>
      </c>
    </row>
    <row r="1605" ht="22" customHeight="1" spans="1:10" x14ac:dyDescent="0.25">
      <c r="A1605" s="43">
        <v>3130</v>
      </c>
      <c r="B1605" s="43">
        <v>10</v>
      </c>
      <c r="C1605" s="43" t="s">
        <v>950</v>
      </c>
      <c r="D1605" s="43" t="s">
        <v>999</v>
      </c>
      <c r="E1605" s="43" t="s">
        <v>278</v>
      </c>
      <c r="F1605" s="43" t="s">
        <v>954</v>
      </c>
      <c r="G1605" s="43">
        <v>1000000</v>
      </c>
      <c r="H1605" s="43">
        <v>145000</v>
      </c>
      <c r="I1605" s="43" t="s">
        <v>949</v>
      </c>
      <c r="J1605" s="44" t="s">
        <v>1000</v>
      </c>
    </row>
    <row r="1606" ht="22" customHeight="1" spans="1:10" x14ac:dyDescent="0.25">
      <c r="A1606" s="43">
        <v>3130</v>
      </c>
      <c r="B1606" s="43">
        <v>10</v>
      </c>
      <c r="C1606" s="43" t="s">
        <v>950</v>
      </c>
      <c r="D1606" s="43" t="s">
        <v>999</v>
      </c>
      <c r="E1606" s="43" t="s">
        <v>278</v>
      </c>
      <c r="F1606" s="43" t="s">
        <v>955</v>
      </c>
      <c r="G1606" s="43">
        <v>1000000</v>
      </c>
      <c r="H1606" s="43">
        <v>145000</v>
      </c>
      <c r="I1606" s="43" t="s">
        <v>949</v>
      </c>
      <c r="J1606" s="44" t="s">
        <v>1000</v>
      </c>
    </row>
    <row r="1607" ht="22" customHeight="1" spans="1:10" x14ac:dyDescent="0.25">
      <c r="A1607" s="43">
        <v>3130</v>
      </c>
      <c r="B1607" s="43">
        <v>10</v>
      </c>
      <c r="C1607" s="43" t="s">
        <v>950</v>
      </c>
      <c r="D1607" s="43" t="s">
        <v>999</v>
      </c>
      <c r="E1607" s="43" t="s">
        <v>278</v>
      </c>
      <c r="F1607" s="43" t="s">
        <v>956</v>
      </c>
      <c r="G1607" s="43">
        <v>1000000</v>
      </c>
      <c r="H1607" s="43">
        <v>145000</v>
      </c>
      <c r="I1607" s="43" t="s">
        <v>949</v>
      </c>
      <c r="J1607" s="44" t="s">
        <v>1000</v>
      </c>
    </row>
    <row r="1608" ht="22" customHeight="1" spans="1:10" x14ac:dyDescent="0.25">
      <c r="A1608" s="43">
        <v>3130</v>
      </c>
      <c r="B1608" s="43">
        <v>10</v>
      </c>
      <c r="C1608" s="43" t="s">
        <v>950</v>
      </c>
      <c r="D1608" s="43" t="s">
        <v>999</v>
      </c>
      <c r="E1608" s="43" t="s">
        <v>278</v>
      </c>
      <c r="F1608" s="43" t="s">
        <v>957</v>
      </c>
      <c r="G1608" s="43">
        <v>1000000</v>
      </c>
      <c r="H1608" s="43">
        <v>145000</v>
      </c>
      <c r="I1608" s="43" t="s">
        <v>949</v>
      </c>
      <c r="J1608" s="44" t="s">
        <v>1000</v>
      </c>
    </row>
    <row r="1609" ht="22" customHeight="1" spans="1:10" x14ac:dyDescent="0.25">
      <c r="A1609" s="43">
        <v>3130</v>
      </c>
      <c r="B1609" s="43">
        <v>10</v>
      </c>
      <c r="C1609" s="43" t="s">
        <v>950</v>
      </c>
      <c r="D1609" s="43" t="s">
        <v>999</v>
      </c>
      <c r="E1609" s="43" t="s">
        <v>278</v>
      </c>
      <c r="F1609" s="43" t="s">
        <v>958</v>
      </c>
      <c r="G1609" s="43">
        <v>1000000</v>
      </c>
      <c r="H1609" s="43">
        <v>145000</v>
      </c>
      <c r="I1609" s="43" t="s">
        <v>949</v>
      </c>
      <c r="J1609" s="44" t="s">
        <v>1000</v>
      </c>
    </row>
    <row r="1610" ht="22" customHeight="1" spans="1:10" x14ac:dyDescent="0.25">
      <c r="A1610" s="43">
        <v>3130</v>
      </c>
      <c r="B1610" s="43">
        <v>10</v>
      </c>
      <c r="C1610" s="43" t="s">
        <v>950</v>
      </c>
      <c r="D1610" s="43" t="s">
        <v>999</v>
      </c>
      <c r="E1610" s="43" t="s">
        <v>278</v>
      </c>
      <c r="F1610" s="43" t="s">
        <v>959</v>
      </c>
      <c r="G1610" s="43">
        <v>1000000</v>
      </c>
      <c r="H1610" s="43">
        <v>145000</v>
      </c>
      <c r="I1610" s="43" t="s">
        <v>949</v>
      </c>
      <c r="J1610" s="44" t="s">
        <v>1000</v>
      </c>
    </row>
    <row r="1611" ht="22" customHeight="1" spans="1:10" x14ac:dyDescent="0.25">
      <c r="A1611" s="43">
        <v>3130</v>
      </c>
      <c r="B1611" s="43">
        <v>10</v>
      </c>
      <c r="C1611" s="43" t="s">
        <v>950</v>
      </c>
      <c r="D1611" s="43" t="s">
        <v>999</v>
      </c>
      <c r="E1611" s="43" t="s">
        <v>278</v>
      </c>
      <c r="F1611" s="43" t="s">
        <v>960</v>
      </c>
      <c r="G1611" s="43">
        <v>1000000</v>
      </c>
      <c r="H1611" s="43">
        <v>145000</v>
      </c>
      <c r="I1611" s="43" t="s">
        <v>949</v>
      </c>
      <c r="J1611" s="44" t="s">
        <v>1000</v>
      </c>
    </row>
    <row r="1612" ht="22" customHeight="1" spans="1:10" x14ac:dyDescent="0.25">
      <c r="A1612" s="43">
        <v>3130</v>
      </c>
      <c r="B1612" s="43">
        <v>10</v>
      </c>
      <c r="C1612" s="43" t="s">
        <v>950</v>
      </c>
      <c r="D1612" s="43" t="s">
        <v>999</v>
      </c>
      <c r="E1612" s="43" t="s">
        <v>278</v>
      </c>
      <c r="F1612" s="43" t="s">
        <v>961</v>
      </c>
      <c r="G1612" s="43">
        <v>1000000</v>
      </c>
      <c r="H1612" s="43">
        <v>145000</v>
      </c>
      <c r="I1612" s="43" t="s">
        <v>949</v>
      </c>
      <c r="J1612" s="44" t="s">
        <v>1000</v>
      </c>
    </row>
    <row r="1613" ht="22" customHeight="1" spans="1:10" x14ac:dyDescent="0.25">
      <c r="A1613" s="43">
        <v>3130</v>
      </c>
      <c r="B1613" s="43">
        <v>10</v>
      </c>
      <c r="C1613" s="43" t="s">
        <v>962</v>
      </c>
      <c r="D1613" s="43" t="s">
        <v>999</v>
      </c>
      <c r="E1613" s="43" t="s">
        <v>278</v>
      </c>
      <c r="F1613" s="43" t="s">
        <v>951</v>
      </c>
      <c r="G1613" s="43">
        <v>1000000</v>
      </c>
      <c r="H1613" s="43">
        <v>145000</v>
      </c>
      <c r="I1613" s="43" t="s">
        <v>949</v>
      </c>
      <c r="J1613" s="44" t="s">
        <v>1000</v>
      </c>
    </row>
    <row r="1614" ht="22" customHeight="1" spans="1:10" x14ac:dyDescent="0.25">
      <c r="A1614" s="43">
        <v>3130</v>
      </c>
      <c r="B1614" s="43">
        <v>10</v>
      </c>
      <c r="C1614" s="43" t="s">
        <v>962</v>
      </c>
      <c r="D1614" s="43" t="s">
        <v>999</v>
      </c>
      <c r="E1614" s="43" t="s">
        <v>278</v>
      </c>
      <c r="F1614" s="43" t="s">
        <v>952</v>
      </c>
      <c r="G1614" s="43">
        <v>1000000</v>
      </c>
      <c r="H1614" s="43">
        <v>145000</v>
      </c>
      <c r="I1614" s="43" t="s">
        <v>949</v>
      </c>
      <c r="J1614" s="44" t="s">
        <v>1000</v>
      </c>
    </row>
    <row r="1615" ht="22" customHeight="1" spans="1:10" x14ac:dyDescent="0.25">
      <c r="A1615" s="43">
        <v>3130</v>
      </c>
      <c r="B1615" s="43">
        <v>10</v>
      </c>
      <c r="C1615" s="43" t="s">
        <v>962</v>
      </c>
      <c r="D1615" s="43" t="s">
        <v>999</v>
      </c>
      <c r="E1615" s="43" t="s">
        <v>278</v>
      </c>
      <c r="F1615" s="43" t="s">
        <v>953</v>
      </c>
      <c r="G1615" s="43">
        <v>1000000</v>
      </c>
      <c r="H1615" s="43">
        <v>145000</v>
      </c>
      <c r="I1615" s="43" t="s">
        <v>949</v>
      </c>
      <c r="J1615" s="44" t="s">
        <v>1000</v>
      </c>
    </row>
    <row r="1616" ht="22" customHeight="1" spans="1:10" x14ac:dyDescent="0.25">
      <c r="A1616" s="43">
        <v>3130</v>
      </c>
      <c r="B1616" s="43">
        <v>10</v>
      </c>
      <c r="C1616" s="43" t="s">
        <v>962</v>
      </c>
      <c r="D1616" s="43" t="s">
        <v>999</v>
      </c>
      <c r="E1616" s="43" t="s">
        <v>278</v>
      </c>
      <c r="F1616" s="43" t="s">
        <v>954</v>
      </c>
      <c r="G1616" s="43">
        <v>1000000</v>
      </c>
      <c r="H1616" s="43">
        <v>145000</v>
      </c>
      <c r="I1616" s="43" t="s">
        <v>949</v>
      </c>
      <c r="J1616" s="44" t="s">
        <v>1000</v>
      </c>
    </row>
    <row r="1617" ht="22" customHeight="1" spans="1:10" x14ac:dyDescent="0.25">
      <c r="A1617" s="43">
        <v>3130</v>
      </c>
      <c r="B1617" s="43">
        <v>10</v>
      </c>
      <c r="C1617" s="43" t="s">
        <v>962</v>
      </c>
      <c r="D1617" s="43" t="s">
        <v>999</v>
      </c>
      <c r="E1617" s="43" t="s">
        <v>278</v>
      </c>
      <c r="F1617" s="43" t="s">
        <v>955</v>
      </c>
      <c r="G1617" s="43">
        <v>1000000</v>
      </c>
      <c r="H1617" s="43">
        <v>145000</v>
      </c>
      <c r="I1617" s="43" t="s">
        <v>949</v>
      </c>
      <c r="J1617" s="44" t="s">
        <v>1000</v>
      </c>
    </row>
    <row r="1618" ht="22" customHeight="1" spans="1:10" x14ac:dyDescent="0.25">
      <c r="A1618" s="43">
        <v>3130</v>
      </c>
      <c r="B1618" s="43">
        <v>10</v>
      </c>
      <c r="C1618" s="43" t="s">
        <v>962</v>
      </c>
      <c r="D1618" s="43" t="s">
        <v>999</v>
      </c>
      <c r="E1618" s="43" t="s">
        <v>278</v>
      </c>
      <c r="F1618" s="43" t="s">
        <v>956</v>
      </c>
      <c r="G1618" s="43">
        <v>1000000</v>
      </c>
      <c r="H1618" s="43">
        <v>145000</v>
      </c>
      <c r="I1618" s="43" t="s">
        <v>949</v>
      </c>
      <c r="J1618" s="44" t="s">
        <v>1000</v>
      </c>
    </row>
    <row r="1619" ht="22" customHeight="1" spans="1:10" x14ac:dyDescent="0.25">
      <c r="A1619" s="43">
        <v>3130</v>
      </c>
      <c r="B1619" s="43">
        <v>10</v>
      </c>
      <c r="C1619" s="43" t="s">
        <v>962</v>
      </c>
      <c r="D1619" s="43" t="s">
        <v>999</v>
      </c>
      <c r="E1619" s="43" t="s">
        <v>278</v>
      </c>
      <c r="F1619" s="43" t="s">
        <v>957</v>
      </c>
      <c r="G1619" s="43">
        <v>1000000</v>
      </c>
      <c r="H1619" s="43">
        <v>145000</v>
      </c>
      <c r="I1619" s="43" t="s">
        <v>949</v>
      </c>
      <c r="J1619" s="44" t="s">
        <v>1000</v>
      </c>
    </row>
    <row r="1620" ht="22" customHeight="1" spans="1:10" x14ac:dyDescent="0.25">
      <c r="A1620" s="43">
        <v>3130</v>
      </c>
      <c r="B1620" s="43">
        <v>10</v>
      </c>
      <c r="C1620" s="43" t="s">
        <v>962</v>
      </c>
      <c r="D1620" s="43" t="s">
        <v>999</v>
      </c>
      <c r="E1620" s="43" t="s">
        <v>278</v>
      </c>
      <c r="F1620" s="43" t="s">
        <v>958</v>
      </c>
      <c r="G1620" s="43">
        <v>1000000</v>
      </c>
      <c r="H1620" s="43">
        <v>145000</v>
      </c>
      <c r="I1620" s="43" t="s">
        <v>949</v>
      </c>
      <c r="J1620" s="44" t="s">
        <v>1000</v>
      </c>
    </row>
    <row r="1621" ht="22" customHeight="1" spans="1:10" x14ac:dyDescent="0.25">
      <c r="A1621" s="43">
        <v>3130</v>
      </c>
      <c r="B1621" s="43">
        <v>10</v>
      </c>
      <c r="C1621" s="43" t="s">
        <v>962</v>
      </c>
      <c r="D1621" s="43" t="s">
        <v>999</v>
      </c>
      <c r="E1621" s="43" t="s">
        <v>278</v>
      </c>
      <c r="F1621" s="43" t="s">
        <v>959</v>
      </c>
      <c r="G1621" s="43">
        <v>1000000</v>
      </c>
      <c r="H1621" s="43">
        <v>145000</v>
      </c>
      <c r="I1621" s="43" t="s">
        <v>949</v>
      </c>
      <c r="J1621" s="44" t="s">
        <v>1000</v>
      </c>
    </row>
    <row r="1622" ht="22" customHeight="1" spans="1:10" x14ac:dyDescent="0.25">
      <c r="A1622" s="43">
        <v>3130</v>
      </c>
      <c r="B1622" s="43">
        <v>10</v>
      </c>
      <c r="C1622" s="43" t="s">
        <v>962</v>
      </c>
      <c r="D1622" s="43" t="s">
        <v>999</v>
      </c>
      <c r="E1622" s="43" t="s">
        <v>278</v>
      </c>
      <c r="F1622" s="43" t="s">
        <v>960</v>
      </c>
      <c r="G1622" s="43">
        <v>1000000</v>
      </c>
      <c r="H1622" s="43">
        <v>145000</v>
      </c>
      <c r="I1622" s="43" t="s">
        <v>949</v>
      </c>
      <c r="J1622" s="44" t="s">
        <v>1000</v>
      </c>
    </row>
    <row r="1623" ht="22" customHeight="1" spans="1:10" x14ac:dyDescent="0.25">
      <c r="A1623" s="43">
        <v>3130</v>
      </c>
      <c r="B1623" s="43">
        <v>10</v>
      </c>
      <c r="C1623" s="43" t="s">
        <v>962</v>
      </c>
      <c r="D1623" s="43" t="s">
        <v>999</v>
      </c>
      <c r="E1623" s="43" t="s">
        <v>278</v>
      </c>
      <c r="F1623" s="43" t="s">
        <v>961</v>
      </c>
      <c r="G1623" s="43">
        <v>1000000</v>
      </c>
      <c r="H1623" s="43">
        <v>145000</v>
      </c>
      <c r="I1623" s="43" t="s">
        <v>949</v>
      </c>
      <c r="J1623" s="44" t="s">
        <v>1000</v>
      </c>
    </row>
    <row r="1624" ht="22" customHeight="1" spans="1:10" x14ac:dyDescent="0.25">
      <c r="A1624" s="43">
        <v>3130</v>
      </c>
      <c r="B1624" s="43">
        <v>10</v>
      </c>
      <c r="C1624" s="43" t="s">
        <v>963</v>
      </c>
      <c r="D1624" s="43" t="s">
        <v>999</v>
      </c>
      <c r="E1624" s="43" t="s">
        <v>278</v>
      </c>
      <c r="F1624" s="43" t="s">
        <v>951</v>
      </c>
      <c r="G1624" s="43">
        <v>1000000</v>
      </c>
      <c r="H1624" s="43">
        <v>145000</v>
      </c>
      <c r="I1624" s="43" t="s">
        <v>949</v>
      </c>
      <c r="J1624" s="44" t="s">
        <v>1000</v>
      </c>
    </row>
    <row r="1625" ht="22" customHeight="1" spans="1:10" x14ac:dyDescent="0.25">
      <c r="A1625" s="43">
        <v>3130</v>
      </c>
      <c r="B1625" s="43">
        <v>10</v>
      </c>
      <c r="C1625" s="43" t="s">
        <v>963</v>
      </c>
      <c r="D1625" s="43" t="s">
        <v>999</v>
      </c>
      <c r="E1625" s="43" t="s">
        <v>278</v>
      </c>
      <c r="F1625" s="43" t="s">
        <v>952</v>
      </c>
      <c r="G1625" s="43">
        <v>1000000</v>
      </c>
      <c r="H1625" s="43">
        <v>145000</v>
      </c>
      <c r="I1625" s="43" t="s">
        <v>949</v>
      </c>
      <c r="J1625" s="44" t="s">
        <v>1000</v>
      </c>
    </row>
    <row r="1626" ht="22" customHeight="1" spans="1:10" x14ac:dyDescent="0.25">
      <c r="A1626" s="43">
        <v>3130</v>
      </c>
      <c r="B1626" s="43">
        <v>10</v>
      </c>
      <c r="C1626" s="43" t="s">
        <v>963</v>
      </c>
      <c r="D1626" s="43" t="s">
        <v>999</v>
      </c>
      <c r="E1626" s="43" t="s">
        <v>278</v>
      </c>
      <c r="F1626" s="43" t="s">
        <v>953</v>
      </c>
      <c r="G1626" s="43">
        <v>1000000</v>
      </c>
      <c r="H1626" s="43">
        <v>145000</v>
      </c>
      <c r="I1626" s="43" t="s">
        <v>949</v>
      </c>
      <c r="J1626" s="44" t="s">
        <v>1000</v>
      </c>
    </row>
    <row r="1627" ht="22" customHeight="1" spans="1:10" x14ac:dyDescent="0.25">
      <c r="A1627" s="43">
        <v>3130</v>
      </c>
      <c r="B1627" s="43">
        <v>10</v>
      </c>
      <c r="C1627" s="43" t="s">
        <v>963</v>
      </c>
      <c r="D1627" s="43" t="s">
        <v>999</v>
      </c>
      <c r="E1627" s="43" t="s">
        <v>278</v>
      </c>
      <c r="F1627" s="43" t="s">
        <v>954</v>
      </c>
      <c r="G1627" s="43">
        <v>1000000</v>
      </c>
      <c r="H1627" s="43">
        <v>145000</v>
      </c>
      <c r="I1627" s="43" t="s">
        <v>949</v>
      </c>
      <c r="J1627" s="44" t="s">
        <v>1000</v>
      </c>
    </row>
    <row r="1628" ht="22" customHeight="1" spans="1:10" x14ac:dyDescent="0.25">
      <c r="A1628" s="43">
        <v>3130</v>
      </c>
      <c r="B1628" s="43">
        <v>10</v>
      </c>
      <c r="C1628" s="43" t="s">
        <v>963</v>
      </c>
      <c r="D1628" s="43" t="s">
        <v>999</v>
      </c>
      <c r="E1628" s="43" t="s">
        <v>278</v>
      </c>
      <c r="F1628" s="43" t="s">
        <v>955</v>
      </c>
      <c r="G1628" s="43">
        <v>1000000</v>
      </c>
      <c r="H1628" s="43">
        <v>145000</v>
      </c>
      <c r="I1628" s="43" t="s">
        <v>949</v>
      </c>
      <c r="J1628" s="44" t="s">
        <v>1000</v>
      </c>
    </row>
    <row r="1629" ht="22" customHeight="1" spans="1:10" x14ac:dyDescent="0.25">
      <c r="A1629" s="43">
        <v>3130</v>
      </c>
      <c r="B1629" s="43">
        <v>10</v>
      </c>
      <c r="C1629" s="43" t="s">
        <v>963</v>
      </c>
      <c r="D1629" s="43" t="s">
        <v>999</v>
      </c>
      <c r="E1629" s="43" t="s">
        <v>278</v>
      </c>
      <c r="F1629" s="43" t="s">
        <v>956</v>
      </c>
      <c r="G1629" s="43">
        <v>1000000</v>
      </c>
      <c r="H1629" s="43">
        <v>145000</v>
      </c>
      <c r="I1629" s="43" t="s">
        <v>949</v>
      </c>
      <c r="J1629" s="44" t="s">
        <v>1000</v>
      </c>
    </row>
    <row r="1630" ht="22" customHeight="1" spans="1:10" x14ac:dyDescent="0.25">
      <c r="A1630" s="43">
        <v>3130</v>
      </c>
      <c r="B1630" s="43">
        <v>10</v>
      </c>
      <c r="C1630" s="43" t="s">
        <v>963</v>
      </c>
      <c r="D1630" s="43" t="s">
        <v>999</v>
      </c>
      <c r="E1630" s="43" t="s">
        <v>278</v>
      </c>
      <c r="F1630" s="43" t="s">
        <v>957</v>
      </c>
      <c r="G1630" s="43">
        <v>1000000</v>
      </c>
      <c r="H1630" s="43">
        <v>145000</v>
      </c>
      <c r="I1630" s="43" t="s">
        <v>949</v>
      </c>
      <c r="J1630" s="44" t="s">
        <v>1000</v>
      </c>
    </row>
    <row r="1631" ht="22" customHeight="1" spans="1:10" x14ac:dyDescent="0.25">
      <c r="A1631" s="43">
        <v>3130</v>
      </c>
      <c r="B1631" s="43">
        <v>10</v>
      </c>
      <c r="C1631" s="43" t="s">
        <v>963</v>
      </c>
      <c r="D1631" s="43" t="s">
        <v>999</v>
      </c>
      <c r="E1631" s="43" t="s">
        <v>278</v>
      </c>
      <c r="F1631" s="43" t="s">
        <v>958</v>
      </c>
      <c r="G1631" s="43">
        <v>1000000</v>
      </c>
      <c r="H1631" s="43">
        <v>145000</v>
      </c>
      <c r="I1631" s="43" t="s">
        <v>949</v>
      </c>
      <c r="J1631" s="44" t="s">
        <v>1000</v>
      </c>
    </row>
    <row r="1632" ht="22" customHeight="1" spans="1:10" x14ac:dyDescent="0.25">
      <c r="A1632" s="43">
        <v>3130</v>
      </c>
      <c r="B1632" s="43">
        <v>10</v>
      </c>
      <c r="C1632" s="43" t="s">
        <v>963</v>
      </c>
      <c r="D1632" s="43" t="s">
        <v>999</v>
      </c>
      <c r="E1632" s="43" t="s">
        <v>278</v>
      </c>
      <c r="F1632" s="43" t="s">
        <v>959</v>
      </c>
      <c r="G1632" s="43">
        <v>1000000</v>
      </c>
      <c r="H1632" s="43">
        <v>145000</v>
      </c>
      <c r="I1632" s="43" t="s">
        <v>949</v>
      </c>
      <c r="J1632" s="44" t="s">
        <v>1000</v>
      </c>
    </row>
    <row r="1633" ht="22" customHeight="1" spans="1:10" x14ac:dyDescent="0.25">
      <c r="A1633" s="43">
        <v>3130</v>
      </c>
      <c r="B1633" s="43">
        <v>10</v>
      </c>
      <c r="C1633" s="43" t="s">
        <v>963</v>
      </c>
      <c r="D1633" s="43" t="s">
        <v>999</v>
      </c>
      <c r="E1633" s="43" t="s">
        <v>278</v>
      </c>
      <c r="F1633" s="43" t="s">
        <v>960</v>
      </c>
      <c r="G1633" s="43">
        <v>1000000</v>
      </c>
      <c r="H1633" s="43">
        <v>145000</v>
      </c>
      <c r="I1633" s="43" t="s">
        <v>949</v>
      </c>
      <c r="J1633" s="44" t="s">
        <v>1000</v>
      </c>
    </row>
    <row r="1634" ht="22" customHeight="1" spans="1:10" x14ac:dyDescent="0.25">
      <c r="A1634" s="43">
        <v>3130</v>
      </c>
      <c r="B1634" s="43">
        <v>10</v>
      </c>
      <c r="C1634" s="43" t="s">
        <v>963</v>
      </c>
      <c r="D1634" s="43" t="s">
        <v>999</v>
      </c>
      <c r="E1634" s="43" t="s">
        <v>278</v>
      </c>
      <c r="F1634" s="43" t="s">
        <v>961</v>
      </c>
      <c r="G1634" s="43">
        <v>1000000</v>
      </c>
      <c r="H1634" s="43">
        <v>145000</v>
      </c>
      <c r="I1634" s="43" t="s">
        <v>949</v>
      </c>
      <c r="J1634" s="44" t="s">
        <v>1000</v>
      </c>
    </row>
    <row r="1635" spans="1:9" x14ac:dyDescent="0.25">
      <c r="A1635">
        <v>3130</v>
      </c>
      <c r="B1635">
        <v>10</v>
      </c>
      <c r="C1635" t="s">
        <v>950</v>
      </c>
      <c r="D1635" t="s">
        <v>999</v>
      </c>
      <c r="E1635" t="s">
        <v>282</v>
      </c>
      <c r="F1635" t="s">
        <v>951</v>
      </c>
      <c r="G1635">
        <v>1000000</v>
      </c>
      <c r="H1635">
        <v>143100</v>
      </c>
      <c r="I1635" t="s">
        <v>949</v>
      </c>
    </row>
    <row r="1636" spans="1:9" x14ac:dyDescent="0.25">
      <c r="A1636">
        <v>3130</v>
      </c>
      <c r="B1636">
        <v>10</v>
      </c>
      <c r="C1636" t="s">
        <v>950</v>
      </c>
      <c r="D1636" t="s">
        <v>999</v>
      </c>
      <c r="E1636" t="s">
        <v>282</v>
      </c>
      <c r="F1636" t="s">
        <v>952</v>
      </c>
      <c r="G1636">
        <v>1000000</v>
      </c>
      <c r="H1636">
        <v>143100</v>
      </c>
      <c r="I1636" t="s">
        <v>949</v>
      </c>
    </row>
    <row r="1637" spans="1:9" x14ac:dyDescent="0.25">
      <c r="A1637">
        <v>3130</v>
      </c>
      <c r="B1637">
        <v>10</v>
      </c>
      <c r="C1637" t="s">
        <v>950</v>
      </c>
      <c r="D1637" t="s">
        <v>999</v>
      </c>
      <c r="E1637" t="s">
        <v>282</v>
      </c>
      <c r="F1637" t="s">
        <v>953</v>
      </c>
      <c r="G1637">
        <v>1000000</v>
      </c>
      <c r="H1637">
        <v>143100</v>
      </c>
      <c r="I1637" t="s">
        <v>949</v>
      </c>
    </row>
    <row r="1638" spans="1:9" x14ac:dyDescent="0.25">
      <c r="A1638">
        <v>3130</v>
      </c>
      <c r="B1638">
        <v>10</v>
      </c>
      <c r="C1638" t="s">
        <v>950</v>
      </c>
      <c r="D1638" t="s">
        <v>999</v>
      </c>
      <c r="E1638" t="s">
        <v>282</v>
      </c>
      <c r="F1638" t="s">
        <v>954</v>
      </c>
      <c r="G1638">
        <v>1000000</v>
      </c>
      <c r="H1638">
        <v>143100</v>
      </c>
      <c r="I1638" t="s">
        <v>949</v>
      </c>
    </row>
    <row r="1639" spans="1:9" x14ac:dyDescent="0.25">
      <c r="A1639">
        <v>3130</v>
      </c>
      <c r="B1639">
        <v>10</v>
      </c>
      <c r="C1639" t="s">
        <v>950</v>
      </c>
      <c r="D1639" t="s">
        <v>999</v>
      </c>
      <c r="E1639" t="s">
        <v>282</v>
      </c>
      <c r="F1639" t="s">
        <v>955</v>
      </c>
      <c r="G1639">
        <v>1000000</v>
      </c>
      <c r="H1639">
        <v>143100</v>
      </c>
      <c r="I1639" t="s">
        <v>949</v>
      </c>
    </row>
    <row r="1640" spans="1:9" x14ac:dyDescent="0.25">
      <c r="A1640">
        <v>3130</v>
      </c>
      <c r="B1640">
        <v>10</v>
      </c>
      <c r="C1640" t="s">
        <v>950</v>
      </c>
      <c r="D1640" t="s">
        <v>999</v>
      </c>
      <c r="E1640" t="s">
        <v>282</v>
      </c>
      <c r="F1640" t="s">
        <v>956</v>
      </c>
      <c r="G1640">
        <v>1000000</v>
      </c>
      <c r="H1640">
        <v>143100</v>
      </c>
      <c r="I1640" t="s">
        <v>949</v>
      </c>
    </row>
    <row r="1641" spans="1:9" x14ac:dyDescent="0.25">
      <c r="A1641">
        <v>3130</v>
      </c>
      <c r="B1641">
        <v>10</v>
      </c>
      <c r="C1641" t="s">
        <v>950</v>
      </c>
      <c r="D1641" t="s">
        <v>999</v>
      </c>
      <c r="E1641" t="s">
        <v>282</v>
      </c>
      <c r="F1641" t="s">
        <v>957</v>
      </c>
      <c r="G1641">
        <v>1000000</v>
      </c>
      <c r="H1641">
        <v>143100</v>
      </c>
      <c r="I1641" t="s">
        <v>949</v>
      </c>
    </row>
    <row r="1642" spans="1:9" x14ac:dyDescent="0.25">
      <c r="A1642">
        <v>3130</v>
      </c>
      <c r="B1642">
        <v>10</v>
      </c>
      <c r="C1642" t="s">
        <v>950</v>
      </c>
      <c r="D1642" t="s">
        <v>999</v>
      </c>
      <c r="E1642" t="s">
        <v>282</v>
      </c>
      <c r="F1642" t="s">
        <v>958</v>
      </c>
      <c r="G1642">
        <v>1000000</v>
      </c>
      <c r="H1642">
        <v>143100</v>
      </c>
      <c r="I1642" t="s">
        <v>949</v>
      </c>
    </row>
    <row r="1643" spans="1:9" x14ac:dyDescent="0.25">
      <c r="A1643">
        <v>3130</v>
      </c>
      <c r="B1643">
        <v>10</v>
      </c>
      <c r="C1643" t="s">
        <v>950</v>
      </c>
      <c r="D1643" t="s">
        <v>999</v>
      </c>
      <c r="E1643" t="s">
        <v>282</v>
      </c>
      <c r="F1643" t="s">
        <v>959</v>
      </c>
      <c r="G1643">
        <v>1000000</v>
      </c>
      <c r="H1643">
        <v>143100</v>
      </c>
      <c r="I1643" t="s">
        <v>949</v>
      </c>
    </row>
    <row r="1644" spans="1:9" x14ac:dyDescent="0.25">
      <c r="A1644">
        <v>3130</v>
      </c>
      <c r="B1644">
        <v>10</v>
      </c>
      <c r="C1644" t="s">
        <v>950</v>
      </c>
      <c r="D1644" t="s">
        <v>999</v>
      </c>
      <c r="E1644" t="s">
        <v>282</v>
      </c>
      <c r="F1644" t="s">
        <v>960</v>
      </c>
      <c r="G1644">
        <v>1000000</v>
      </c>
      <c r="H1644">
        <v>143100</v>
      </c>
      <c r="I1644" t="s">
        <v>949</v>
      </c>
    </row>
    <row r="1645" spans="1:9" x14ac:dyDescent="0.25">
      <c r="A1645">
        <v>3130</v>
      </c>
      <c r="B1645">
        <v>10</v>
      </c>
      <c r="C1645" t="s">
        <v>950</v>
      </c>
      <c r="D1645" t="s">
        <v>999</v>
      </c>
      <c r="E1645" t="s">
        <v>282</v>
      </c>
      <c r="F1645" t="s">
        <v>961</v>
      </c>
      <c r="G1645">
        <v>1000000</v>
      </c>
      <c r="H1645">
        <v>143100</v>
      </c>
      <c r="I1645" t="s">
        <v>949</v>
      </c>
    </row>
    <row r="1646" spans="1:9" x14ac:dyDescent="0.25">
      <c r="A1646">
        <v>3130</v>
      </c>
      <c r="B1646">
        <v>10</v>
      </c>
      <c r="C1646" t="s">
        <v>962</v>
      </c>
      <c r="D1646" t="s">
        <v>999</v>
      </c>
      <c r="E1646" t="s">
        <v>282</v>
      </c>
      <c r="F1646" t="s">
        <v>951</v>
      </c>
      <c r="G1646">
        <v>1000000</v>
      </c>
      <c r="H1646">
        <v>143100</v>
      </c>
      <c r="I1646" t="s">
        <v>949</v>
      </c>
    </row>
    <row r="1647" spans="1:9" x14ac:dyDescent="0.25">
      <c r="A1647">
        <v>3130</v>
      </c>
      <c r="B1647">
        <v>10</v>
      </c>
      <c r="C1647" t="s">
        <v>962</v>
      </c>
      <c r="D1647" t="s">
        <v>999</v>
      </c>
      <c r="E1647" t="s">
        <v>282</v>
      </c>
      <c r="F1647" t="s">
        <v>952</v>
      </c>
      <c r="G1647">
        <v>1000000</v>
      </c>
      <c r="H1647">
        <v>143100</v>
      </c>
      <c r="I1647" t="s">
        <v>949</v>
      </c>
    </row>
    <row r="1648" spans="1:9" x14ac:dyDescent="0.25">
      <c r="A1648">
        <v>3130</v>
      </c>
      <c r="B1648">
        <v>10</v>
      </c>
      <c r="C1648" t="s">
        <v>962</v>
      </c>
      <c r="D1648" t="s">
        <v>999</v>
      </c>
      <c r="E1648" t="s">
        <v>282</v>
      </c>
      <c r="F1648" t="s">
        <v>953</v>
      </c>
      <c r="G1648">
        <v>1000000</v>
      </c>
      <c r="H1648">
        <v>143100</v>
      </c>
      <c r="I1648" t="s">
        <v>949</v>
      </c>
    </row>
    <row r="1649" spans="1:9" x14ac:dyDescent="0.25">
      <c r="A1649">
        <v>3130</v>
      </c>
      <c r="B1649">
        <v>10</v>
      </c>
      <c r="C1649" t="s">
        <v>962</v>
      </c>
      <c r="D1649" t="s">
        <v>999</v>
      </c>
      <c r="E1649" t="s">
        <v>282</v>
      </c>
      <c r="F1649" t="s">
        <v>954</v>
      </c>
      <c r="G1649">
        <v>1000000</v>
      </c>
      <c r="H1649">
        <v>143100</v>
      </c>
      <c r="I1649" t="s">
        <v>949</v>
      </c>
    </row>
    <row r="1650" spans="1:9" x14ac:dyDescent="0.25">
      <c r="A1650">
        <v>3130</v>
      </c>
      <c r="B1650">
        <v>10</v>
      </c>
      <c r="C1650" t="s">
        <v>962</v>
      </c>
      <c r="D1650" t="s">
        <v>999</v>
      </c>
      <c r="E1650" t="s">
        <v>282</v>
      </c>
      <c r="F1650" t="s">
        <v>955</v>
      </c>
      <c r="G1650">
        <v>1000000</v>
      </c>
      <c r="H1650">
        <v>143100</v>
      </c>
      <c r="I1650" t="s">
        <v>949</v>
      </c>
    </row>
    <row r="1651" spans="1:9" x14ac:dyDescent="0.25">
      <c r="A1651">
        <v>3130</v>
      </c>
      <c r="B1651">
        <v>10</v>
      </c>
      <c r="C1651" t="s">
        <v>962</v>
      </c>
      <c r="D1651" t="s">
        <v>999</v>
      </c>
      <c r="E1651" t="s">
        <v>282</v>
      </c>
      <c r="F1651" t="s">
        <v>956</v>
      </c>
      <c r="G1651">
        <v>1000000</v>
      </c>
      <c r="H1651">
        <v>143100</v>
      </c>
      <c r="I1651" t="s">
        <v>949</v>
      </c>
    </row>
    <row r="1652" spans="1:9" x14ac:dyDescent="0.25">
      <c r="A1652">
        <v>3130</v>
      </c>
      <c r="B1652">
        <v>10</v>
      </c>
      <c r="C1652" t="s">
        <v>962</v>
      </c>
      <c r="D1652" t="s">
        <v>999</v>
      </c>
      <c r="E1652" t="s">
        <v>282</v>
      </c>
      <c r="F1652" t="s">
        <v>957</v>
      </c>
      <c r="G1652">
        <v>1000000</v>
      </c>
      <c r="H1652">
        <v>143100</v>
      </c>
      <c r="I1652" t="s">
        <v>949</v>
      </c>
    </row>
    <row r="1653" spans="1:9" x14ac:dyDescent="0.25">
      <c r="A1653">
        <v>3130</v>
      </c>
      <c r="B1653">
        <v>10</v>
      </c>
      <c r="C1653" t="s">
        <v>962</v>
      </c>
      <c r="D1653" t="s">
        <v>999</v>
      </c>
      <c r="E1653" t="s">
        <v>282</v>
      </c>
      <c r="F1653" t="s">
        <v>958</v>
      </c>
      <c r="G1653">
        <v>1000000</v>
      </c>
      <c r="H1653">
        <v>143100</v>
      </c>
      <c r="I1653" t="s">
        <v>949</v>
      </c>
    </row>
    <row r="1654" spans="1:9" x14ac:dyDescent="0.25">
      <c r="A1654">
        <v>3130</v>
      </c>
      <c r="B1654">
        <v>10</v>
      </c>
      <c r="C1654" t="s">
        <v>962</v>
      </c>
      <c r="D1654" t="s">
        <v>999</v>
      </c>
      <c r="E1654" t="s">
        <v>282</v>
      </c>
      <c r="F1654" t="s">
        <v>959</v>
      </c>
      <c r="G1654">
        <v>1000000</v>
      </c>
      <c r="H1654">
        <v>143100</v>
      </c>
      <c r="I1654" t="s">
        <v>949</v>
      </c>
    </row>
    <row r="1655" spans="1:9" x14ac:dyDescent="0.25">
      <c r="A1655">
        <v>3130</v>
      </c>
      <c r="B1655">
        <v>10</v>
      </c>
      <c r="C1655" t="s">
        <v>962</v>
      </c>
      <c r="D1655" t="s">
        <v>999</v>
      </c>
      <c r="E1655" t="s">
        <v>282</v>
      </c>
      <c r="F1655" t="s">
        <v>960</v>
      </c>
      <c r="G1655">
        <v>1000000</v>
      </c>
      <c r="H1655">
        <v>143100</v>
      </c>
      <c r="I1655" t="s">
        <v>949</v>
      </c>
    </row>
    <row r="1656" spans="1:9" x14ac:dyDescent="0.25">
      <c r="A1656">
        <v>3130</v>
      </c>
      <c r="B1656">
        <v>10</v>
      </c>
      <c r="C1656" t="s">
        <v>962</v>
      </c>
      <c r="D1656" t="s">
        <v>999</v>
      </c>
      <c r="E1656" t="s">
        <v>282</v>
      </c>
      <c r="F1656" t="s">
        <v>961</v>
      </c>
      <c r="G1656">
        <v>1000000</v>
      </c>
      <c r="H1656">
        <v>143100</v>
      </c>
      <c r="I1656" t="s">
        <v>949</v>
      </c>
    </row>
    <row r="1657" spans="1:9" x14ac:dyDescent="0.25">
      <c r="A1657">
        <v>3130</v>
      </c>
      <c r="B1657">
        <v>10</v>
      </c>
      <c r="C1657" t="s">
        <v>963</v>
      </c>
      <c r="D1657" t="s">
        <v>999</v>
      </c>
      <c r="E1657" t="s">
        <v>282</v>
      </c>
      <c r="F1657" t="s">
        <v>951</v>
      </c>
      <c r="G1657">
        <v>1000000</v>
      </c>
      <c r="H1657">
        <v>143100</v>
      </c>
      <c r="I1657" t="s">
        <v>949</v>
      </c>
    </row>
    <row r="1658" spans="1:9" x14ac:dyDescent="0.25">
      <c r="A1658">
        <v>3130</v>
      </c>
      <c r="B1658">
        <v>10</v>
      </c>
      <c r="C1658" t="s">
        <v>963</v>
      </c>
      <c r="D1658" t="s">
        <v>999</v>
      </c>
      <c r="E1658" t="s">
        <v>282</v>
      </c>
      <c r="F1658" t="s">
        <v>952</v>
      </c>
      <c r="G1658">
        <v>1000000</v>
      </c>
      <c r="H1658">
        <v>143100</v>
      </c>
      <c r="I1658" t="s">
        <v>949</v>
      </c>
    </row>
    <row r="1659" spans="1:9" x14ac:dyDescent="0.25">
      <c r="A1659">
        <v>3130</v>
      </c>
      <c r="B1659">
        <v>10</v>
      </c>
      <c r="C1659" t="s">
        <v>963</v>
      </c>
      <c r="D1659" t="s">
        <v>999</v>
      </c>
      <c r="E1659" t="s">
        <v>282</v>
      </c>
      <c r="F1659" t="s">
        <v>953</v>
      </c>
      <c r="G1659">
        <v>1000000</v>
      </c>
      <c r="H1659">
        <v>143100</v>
      </c>
      <c r="I1659" t="s">
        <v>949</v>
      </c>
    </row>
    <row r="1660" spans="1:9" x14ac:dyDescent="0.25">
      <c r="A1660">
        <v>3130</v>
      </c>
      <c r="B1660">
        <v>10</v>
      </c>
      <c r="C1660" t="s">
        <v>963</v>
      </c>
      <c r="D1660" t="s">
        <v>999</v>
      </c>
      <c r="E1660" t="s">
        <v>282</v>
      </c>
      <c r="F1660" t="s">
        <v>954</v>
      </c>
      <c r="G1660">
        <v>1000000</v>
      </c>
      <c r="H1660">
        <v>143100</v>
      </c>
      <c r="I1660" t="s">
        <v>949</v>
      </c>
    </row>
    <row r="1661" spans="1:9" x14ac:dyDescent="0.25">
      <c r="A1661">
        <v>3130</v>
      </c>
      <c r="B1661">
        <v>10</v>
      </c>
      <c r="C1661" t="s">
        <v>963</v>
      </c>
      <c r="D1661" t="s">
        <v>999</v>
      </c>
      <c r="E1661" t="s">
        <v>282</v>
      </c>
      <c r="F1661" t="s">
        <v>955</v>
      </c>
      <c r="G1661">
        <v>1000000</v>
      </c>
      <c r="H1661">
        <v>143100</v>
      </c>
      <c r="I1661" t="s">
        <v>949</v>
      </c>
    </row>
    <row r="1662" spans="1:9" x14ac:dyDescent="0.25">
      <c r="A1662">
        <v>3130</v>
      </c>
      <c r="B1662">
        <v>10</v>
      </c>
      <c r="C1662" t="s">
        <v>963</v>
      </c>
      <c r="D1662" t="s">
        <v>999</v>
      </c>
      <c r="E1662" t="s">
        <v>282</v>
      </c>
      <c r="F1662" t="s">
        <v>956</v>
      </c>
      <c r="G1662">
        <v>1000000</v>
      </c>
      <c r="H1662">
        <v>143100</v>
      </c>
      <c r="I1662" t="s">
        <v>949</v>
      </c>
    </row>
    <row r="1663" spans="1:9" x14ac:dyDescent="0.25">
      <c r="A1663">
        <v>3130</v>
      </c>
      <c r="B1663">
        <v>10</v>
      </c>
      <c r="C1663" t="s">
        <v>963</v>
      </c>
      <c r="D1663" t="s">
        <v>999</v>
      </c>
      <c r="E1663" t="s">
        <v>282</v>
      </c>
      <c r="F1663" t="s">
        <v>957</v>
      </c>
      <c r="G1663">
        <v>1000000</v>
      </c>
      <c r="H1663">
        <v>143100</v>
      </c>
      <c r="I1663" t="s">
        <v>949</v>
      </c>
    </row>
    <row r="1664" spans="1:9" x14ac:dyDescent="0.25">
      <c r="A1664">
        <v>3130</v>
      </c>
      <c r="B1664">
        <v>10</v>
      </c>
      <c r="C1664" t="s">
        <v>963</v>
      </c>
      <c r="D1664" t="s">
        <v>999</v>
      </c>
      <c r="E1664" t="s">
        <v>282</v>
      </c>
      <c r="F1664" t="s">
        <v>958</v>
      </c>
      <c r="G1664">
        <v>1000000</v>
      </c>
      <c r="H1664">
        <v>143100</v>
      </c>
      <c r="I1664" t="s">
        <v>949</v>
      </c>
    </row>
    <row r="1665" spans="1:9" x14ac:dyDescent="0.25">
      <c r="A1665">
        <v>3130</v>
      </c>
      <c r="B1665">
        <v>10</v>
      </c>
      <c r="C1665" t="s">
        <v>963</v>
      </c>
      <c r="D1665" t="s">
        <v>999</v>
      </c>
      <c r="E1665" t="s">
        <v>282</v>
      </c>
      <c r="F1665" t="s">
        <v>959</v>
      </c>
      <c r="G1665">
        <v>1000000</v>
      </c>
      <c r="H1665">
        <v>143100</v>
      </c>
      <c r="I1665" t="s">
        <v>949</v>
      </c>
    </row>
    <row r="1666" spans="1:9" x14ac:dyDescent="0.25">
      <c r="A1666">
        <v>3130</v>
      </c>
      <c r="B1666">
        <v>10</v>
      </c>
      <c r="C1666" t="s">
        <v>963</v>
      </c>
      <c r="D1666" t="s">
        <v>999</v>
      </c>
      <c r="E1666" t="s">
        <v>282</v>
      </c>
      <c r="F1666" t="s">
        <v>960</v>
      </c>
      <c r="G1666">
        <v>1000000</v>
      </c>
      <c r="H1666">
        <v>143100</v>
      </c>
      <c r="I1666" t="s">
        <v>949</v>
      </c>
    </row>
    <row r="1667" spans="1:9" x14ac:dyDescent="0.25">
      <c r="A1667">
        <v>3130</v>
      </c>
      <c r="B1667">
        <v>10</v>
      </c>
      <c r="C1667" t="s">
        <v>963</v>
      </c>
      <c r="D1667" t="s">
        <v>999</v>
      </c>
      <c r="E1667" t="s">
        <v>282</v>
      </c>
      <c r="F1667" t="s">
        <v>961</v>
      </c>
      <c r="G1667">
        <v>1000000</v>
      </c>
      <c r="H1667">
        <v>143100</v>
      </c>
      <c r="I1667" t="s">
        <v>949</v>
      </c>
    </row>
    <row r="1668" spans="1:9" x14ac:dyDescent="0.25">
      <c r="A1668">
        <v>3130</v>
      </c>
      <c r="B1668">
        <v>10</v>
      </c>
      <c r="C1668" t="s">
        <v>950</v>
      </c>
      <c r="D1668" t="s">
        <v>999</v>
      </c>
      <c r="E1668" t="s">
        <v>39</v>
      </c>
      <c r="F1668" t="s">
        <v>951</v>
      </c>
      <c r="G1668">
        <v>1077777</v>
      </c>
      <c r="H1668">
        <v>501090</v>
      </c>
      <c r="I1668" t="s">
        <v>949</v>
      </c>
    </row>
    <row r="1669" spans="1:9" x14ac:dyDescent="0.25">
      <c r="A1669">
        <v>3130</v>
      </c>
      <c r="B1669">
        <v>10</v>
      </c>
      <c r="C1669" t="s">
        <v>950</v>
      </c>
      <c r="D1669" t="s">
        <v>999</v>
      </c>
      <c r="E1669" t="s">
        <v>39</v>
      </c>
      <c r="F1669" t="s">
        <v>952</v>
      </c>
      <c r="G1669">
        <v>1077777</v>
      </c>
      <c r="H1669">
        <v>501090</v>
      </c>
      <c r="I1669" t="s">
        <v>949</v>
      </c>
    </row>
    <row r="1670" spans="1:9" x14ac:dyDescent="0.25">
      <c r="A1670">
        <v>3130</v>
      </c>
      <c r="B1670">
        <v>10</v>
      </c>
      <c r="C1670" t="s">
        <v>950</v>
      </c>
      <c r="D1670" t="s">
        <v>999</v>
      </c>
      <c r="E1670" t="s">
        <v>39</v>
      </c>
      <c r="F1670" t="s">
        <v>953</v>
      </c>
      <c r="G1670">
        <v>1077777</v>
      </c>
      <c r="H1670">
        <v>501090</v>
      </c>
      <c r="I1670" t="s">
        <v>949</v>
      </c>
    </row>
    <row r="1671" spans="1:9" x14ac:dyDescent="0.25">
      <c r="A1671">
        <v>3130</v>
      </c>
      <c r="B1671">
        <v>10</v>
      </c>
      <c r="C1671" t="s">
        <v>950</v>
      </c>
      <c r="D1671" t="s">
        <v>999</v>
      </c>
      <c r="E1671" t="s">
        <v>39</v>
      </c>
      <c r="F1671" t="s">
        <v>954</v>
      </c>
      <c r="G1671">
        <v>1077777</v>
      </c>
      <c r="H1671">
        <v>501090</v>
      </c>
      <c r="I1671" t="s">
        <v>949</v>
      </c>
    </row>
    <row r="1672" spans="1:9" x14ac:dyDescent="0.25">
      <c r="A1672">
        <v>3130</v>
      </c>
      <c r="B1672">
        <v>10</v>
      </c>
      <c r="C1672" t="s">
        <v>950</v>
      </c>
      <c r="D1672" t="s">
        <v>999</v>
      </c>
      <c r="E1672" t="s">
        <v>39</v>
      </c>
      <c r="F1672" t="s">
        <v>955</v>
      </c>
      <c r="G1672">
        <v>1077777</v>
      </c>
      <c r="H1672">
        <v>501090</v>
      </c>
      <c r="I1672" t="s">
        <v>949</v>
      </c>
    </row>
    <row r="1673" spans="1:9" x14ac:dyDescent="0.25">
      <c r="A1673">
        <v>3130</v>
      </c>
      <c r="B1673">
        <v>10</v>
      </c>
      <c r="C1673" t="s">
        <v>950</v>
      </c>
      <c r="D1673" t="s">
        <v>999</v>
      </c>
      <c r="E1673" t="s">
        <v>39</v>
      </c>
      <c r="F1673" t="s">
        <v>956</v>
      </c>
      <c r="G1673">
        <v>1077777</v>
      </c>
      <c r="H1673">
        <v>501090</v>
      </c>
      <c r="I1673" t="s">
        <v>949</v>
      </c>
    </row>
    <row r="1674" spans="1:9" x14ac:dyDescent="0.25">
      <c r="A1674">
        <v>3130</v>
      </c>
      <c r="B1674">
        <v>10</v>
      </c>
      <c r="C1674" t="s">
        <v>950</v>
      </c>
      <c r="D1674" t="s">
        <v>999</v>
      </c>
      <c r="E1674" t="s">
        <v>39</v>
      </c>
      <c r="F1674" t="s">
        <v>957</v>
      </c>
      <c r="G1674">
        <v>1077777</v>
      </c>
      <c r="H1674">
        <v>501090</v>
      </c>
      <c r="I1674" t="s">
        <v>949</v>
      </c>
    </row>
    <row r="1675" spans="1:9" x14ac:dyDescent="0.25">
      <c r="A1675">
        <v>3130</v>
      </c>
      <c r="B1675">
        <v>10</v>
      </c>
      <c r="C1675" t="s">
        <v>950</v>
      </c>
      <c r="D1675" t="s">
        <v>999</v>
      </c>
      <c r="E1675" t="s">
        <v>39</v>
      </c>
      <c r="F1675" t="s">
        <v>958</v>
      </c>
      <c r="G1675">
        <v>1077777</v>
      </c>
      <c r="H1675">
        <v>501090</v>
      </c>
      <c r="I1675" t="s">
        <v>949</v>
      </c>
    </row>
    <row r="1676" spans="1:9" x14ac:dyDescent="0.25">
      <c r="A1676">
        <v>3130</v>
      </c>
      <c r="B1676">
        <v>10</v>
      </c>
      <c r="C1676" t="s">
        <v>950</v>
      </c>
      <c r="D1676" t="s">
        <v>999</v>
      </c>
      <c r="E1676" t="s">
        <v>39</v>
      </c>
      <c r="F1676" t="s">
        <v>959</v>
      </c>
      <c r="G1676">
        <v>1077777</v>
      </c>
      <c r="H1676">
        <v>501090</v>
      </c>
      <c r="I1676" t="s">
        <v>949</v>
      </c>
    </row>
    <row r="1677" spans="1:9" x14ac:dyDescent="0.25">
      <c r="A1677">
        <v>3130</v>
      </c>
      <c r="B1677">
        <v>10</v>
      </c>
      <c r="C1677" t="s">
        <v>950</v>
      </c>
      <c r="D1677" t="s">
        <v>999</v>
      </c>
      <c r="E1677" t="s">
        <v>39</v>
      </c>
      <c r="F1677" t="s">
        <v>960</v>
      </c>
      <c r="G1677">
        <v>1077777</v>
      </c>
      <c r="H1677">
        <v>501090</v>
      </c>
      <c r="I1677" t="s">
        <v>949</v>
      </c>
    </row>
    <row r="1678" spans="1:9" x14ac:dyDescent="0.25">
      <c r="A1678">
        <v>3130</v>
      </c>
      <c r="B1678">
        <v>10</v>
      </c>
      <c r="C1678" t="s">
        <v>950</v>
      </c>
      <c r="D1678" t="s">
        <v>999</v>
      </c>
      <c r="E1678" t="s">
        <v>39</v>
      </c>
      <c r="F1678" t="s">
        <v>961</v>
      </c>
      <c r="G1678">
        <v>1077777</v>
      </c>
      <c r="H1678">
        <v>501090</v>
      </c>
      <c r="I1678" t="s">
        <v>949</v>
      </c>
    </row>
    <row r="1679" spans="1:9" x14ac:dyDescent="0.25">
      <c r="A1679">
        <v>3130</v>
      </c>
      <c r="B1679">
        <v>10</v>
      </c>
      <c r="C1679" t="s">
        <v>962</v>
      </c>
      <c r="D1679" t="s">
        <v>999</v>
      </c>
      <c r="E1679" t="s">
        <v>39</v>
      </c>
      <c r="F1679" t="s">
        <v>951</v>
      </c>
      <c r="G1679">
        <v>1077777</v>
      </c>
      <c r="H1679">
        <v>501090</v>
      </c>
      <c r="I1679" t="s">
        <v>949</v>
      </c>
    </row>
    <row r="1680" spans="1:9" x14ac:dyDescent="0.25">
      <c r="A1680">
        <v>3130</v>
      </c>
      <c r="B1680">
        <v>10</v>
      </c>
      <c r="C1680" t="s">
        <v>962</v>
      </c>
      <c r="D1680" t="s">
        <v>999</v>
      </c>
      <c r="E1680" t="s">
        <v>39</v>
      </c>
      <c r="F1680" t="s">
        <v>952</v>
      </c>
      <c r="G1680">
        <v>1077777</v>
      </c>
      <c r="H1680">
        <v>501090</v>
      </c>
      <c r="I1680" t="s">
        <v>949</v>
      </c>
    </row>
    <row r="1681" spans="1:9" x14ac:dyDescent="0.25">
      <c r="A1681">
        <v>3130</v>
      </c>
      <c r="B1681">
        <v>10</v>
      </c>
      <c r="C1681" t="s">
        <v>962</v>
      </c>
      <c r="D1681" t="s">
        <v>999</v>
      </c>
      <c r="E1681" t="s">
        <v>39</v>
      </c>
      <c r="F1681" t="s">
        <v>953</v>
      </c>
      <c r="G1681">
        <v>1077777</v>
      </c>
      <c r="H1681">
        <v>501090</v>
      </c>
      <c r="I1681" t="s">
        <v>949</v>
      </c>
    </row>
    <row r="1682" spans="1:9" x14ac:dyDescent="0.25">
      <c r="A1682">
        <v>3130</v>
      </c>
      <c r="B1682">
        <v>10</v>
      </c>
      <c r="C1682" t="s">
        <v>962</v>
      </c>
      <c r="D1682" t="s">
        <v>999</v>
      </c>
      <c r="E1682" t="s">
        <v>39</v>
      </c>
      <c r="F1682" t="s">
        <v>954</v>
      </c>
      <c r="G1682">
        <v>1077777</v>
      </c>
      <c r="H1682">
        <v>501090</v>
      </c>
      <c r="I1682" t="s">
        <v>949</v>
      </c>
    </row>
    <row r="1683" spans="1:9" x14ac:dyDescent="0.25">
      <c r="A1683">
        <v>3130</v>
      </c>
      <c r="B1683">
        <v>10</v>
      </c>
      <c r="C1683" t="s">
        <v>962</v>
      </c>
      <c r="D1683" t="s">
        <v>999</v>
      </c>
      <c r="E1683" t="s">
        <v>39</v>
      </c>
      <c r="F1683" t="s">
        <v>955</v>
      </c>
      <c r="G1683">
        <v>1077777</v>
      </c>
      <c r="H1683">
        <v>501090</v>
      </c>
      <c r="I1683" t="s">
        <v>949</v>
      </c>
    </row>
    <row r="1684" spans="1:9" x14ac:dyDescent="0.25">
      <c r="A1684">
        <v>3130</v>
      </c>
      <c r="B1684">
        <v>10</v>
      </c>
      <c r="C1684" t="s">
        <v>962</v>
      </c>
      <c r="D1684" t="s">
        <v>999</v>
      </c>
      <c r="E1684" t="s">
        <v>39</v>
      </c>
      <c r="F1684" t="s">
        <v>956</v>
      </c>
      <c r="G1684">
        <v>1077777</v>
      </c>
      <c r="H1684">
        <v>501090</v>
      </c>
      <c r="I1684" t="s">
        <v>949</v>
      </c>
    </row>
    <row r="1685" spans="1:9" x14ac:dyDescent="0.25">
      <c r="A1685">
        <v>3130</v>
      </c>
      <c r="B1685">
        <v>10</v>
      </c>
      <c r="C1685" t="s">
        <v>962</v>
      </c>
      <c r="D1685" t="s">
        <v>999</v>
      </c>
      <c r="E1685" t="s">
        <v>39</v>
      </c>
      <c r="F1685" t="s">
        <v>957</v>
      </c>
      <c r="G1685">
        <v>1077777</v>
      </c>
      <c r="H1685">
        <v>501090</v>
      </c>
      <c r="I1685" t="s">
        <v>949</v>
      </c>
    </row>
    <row r="1686" spans="1:9" x14ac:dyDescent="0.25">
      <c r="A1686">
        <v>3130</v>
      </c>
      <c r="B1686">
        <v>10</v>
      </c>
      <c r="C1686" t="s">
        <v>962</v>
      </c>
      <c r="D1686" t="s">
        <v>999</v>
      </c>
      <c r="E1686" t="s">
        <v>39</v>
      </c>
      <c r="F1686" t="s">
        <v>958</v>
      </c>
      <c r="G1686">
        <v>1077777</v>
      </c>
      <c r="H1686">
        <v>501090</v>
      </c>
      <c r="I1686" t="s">
        <v>949</v>
      </c>
    </row>
    <row r="1687" spans="1:9" x14ac:dyDescent="0.25">
      <c r="A1687">
        <v>3130</v>
      </c>
      <c r="B1687">
        <v>10</v>
      </c>
      <c r="C1687" t="s">
        <v>962</v>
      </c>
      <c r="D1687" t="s">
        <v>999</v>
      </c>
      <c r="E1687" t="s">
        <v>39</v>
      </c>
      <c r="F1687" t="s">
        <v>959</v>
      </c>
      <c r="G1687">
        <v>1077777</v>
      </c>
      <c r="H1687">
        <v>501090</v>
      </c>
      <c r="I1687" t="s">
        <v>949</v>
      </c>
    </row>
    <row r="1688" spans="1:9" x14ac:dyDescent="0.25">
      <c r="A1688">
        <v>3130</v>
      </c>
      <c r="B1688">
        <v>10</v>
      </c>
      <c r="C1688" t="s">
        <v>962</v>
      </c>
      <c r="D1688" t="s">
        <v>999</v>
      </c>
      <c r="E1688" t="s">
        <v>39</v>
      </c>
      <c r="F1688" t="s">
        <v>960</v>
      </c>
      <c r="G1688">
        <v>1077777</v>
      </c>
      <c r="H1688">
        <v>501090</v>
      </c>
      <c r="I1688" t="s">
        <v>949</v>
      </c>
    </row>
    <row r="1689" spans="1:9" x14ac:dyDescent="0.25">
      <c r="A1689">
        <v>3130</v>
      </c>
      <c r="B1689">
        <v>10</v>
      </c>
      <c r="C1689" t="s">
        <v>962</v>
      </c>
      <c r="D1689" t="s">
        <v>999</v>
      </c>
      <c r="E1689" t="s">
        <v>39</v>
      </c>
      <c r="F1689" t="s">
        <v>961</v>
      </c>
      <c r="G1689">
        <v>1077777</v>
      </c>
      <c r="H1689">
        <v>501090</v>
      </c>
      <c r="I1689" t="s">
        <v>949</v>
      </c>
    </row>
    <row r="1690" spans="1:9" x14ac:dyDescent="0.25">
      <c r="A1690">
        <v>3130</v>
      </c>
      <c r="B1690">
        <v>10</v>
      </c>
      <c r="C1690" t="s">
        <v>963</v>
      </c>
      <c r="D1690" t="s">
        <v>999</v>
      </c>
      <c r="E1690" t="s">
        <v>39</v>
      </c>
      <c r="F1690" t="s">
        <v>951</v>
      </c>
      <c r="G1690">
        <v>1077777</v>
      </c>
      <c r="H1690">
        <v>501090</v>
      </c>
      <c r="I1690" t="s">
        <v>949</v>
      </c>
    </row>
    <row r="1691" spans="1:9" x14ac:dyDescent="0.25">
      <c r="A1691">
        <v>3130</v>
      </c>
      <c r="B1691">
        <v>10</v>
      </c>
      <c r="C1691" t="s">
        <v>963</v>
      </c>
      <c r="D1691" t="s">
        <v>999</v>
      </c>
      <c r="E1691" t="s">
        <v>39</v>
      </c>
      <c r="F1691" t="s">
        <v>952</v>
      </c>
      <c r="G1691">
        <v>1077777</v>
      </c>
      <c r="H1691">
        <v>501090</v>
      </c>
      <c r="I1691" t="s">
        <v>949</v>
      </c>
    </row>
    <row r="1692" spans="1:9" x14ac:dyDescent="0.25">
      <c r="A1692">
        <v>3130</v>
      </c>
      <c r="B1692">
        <v>10</v>
      </c>
      <c r="C1692" t="s">
        <v>963</v>
      </c>
      <c r="D1692" t="s">
        <v>999</v>
      </c>
      <c r="E1692" t="s">
        <v>39</v>
      </c>
      <c r="F1692" t="s">
        <v>953</v>
      </c>
      <c r="G1692">
        <v>1077777</v>
      </c>
      <c r="H1692">
        <v>501090</v>
      </c>
      <c r="I1692" t="s">
        <v>949</v>
      </c>
    </row>
    <row r="1693" spans="1:9" x14ac:dyDescent="0.25">
      <c r="A1693">
        <v>3130</v>
      </c>
      <c r="B1693">
        <v>10</v>
      </c>
      <c r="C1693" t="s">
        <v>963</v>
      </c>
      <c r="D1693" t="s">
        <v>999</v>
      </c>
      <c r="E1693" t="s">
        <v>39</v>
      </c>
      <c r="F1693" t="s">
        <v>954</v>
      </c>
      <c r="G1693">
        <v>1077777</v>
      </c>
      <c r="H1693">
        <v>501090</v>
      </c>
      <c r="I1693" t="s">
        <v>949</v>
      </c>
    </row>
    <row r="1694" spans="1:9" x14ac:dyDescent="0.25">
      <c r="A1694">
        <v>3130</v>
      </c>
      <c r="B1694">
        <v>10</v>
      </c>
      <c r="C1694" t="s">
        <v>963</v>
      </c>
      <c r="D1694" t="s">
        <v>999</v>
      </c>
      <c r="E1694" t="s">
        <v>39</v>
      </c>
      <c r="F1694" t="s">
        <v>955</v>
      </c>
      <c r="G1694">
        <v>1077777</v>
      </c>
      <c r="H1694">
        <v>501090</v>
      </c>
      <c r="I1694" t="s">
        <v>949</v>
      </c>
    </row>
    <row r="1695" spans="1:9" x14ac:dyDescent="0.25">
      <c r="A1695">
        <v>3130</v>
      </c>
      <c r="B1695">
        <v>10</v>
      </c>
      <c r="C1695" t="s">
        <v>963</v>
      </c>
      <c r="D1695" t="s">
        <v>999</v>
      </c>
      <c r="E1695" t="s">
        <v>39</v>
      </c>
      <c r="F1695" t="s">
        <v>956</v>
      </c>
      <c r="G1695">
        <v>1077777</v>
      </c>
      <c r="H1695">
        <v>501090</v>
      </c>
      <c r="I1695" t="s">
        <v>949</v>
      </c>
    </row>
    <row r="1696" spans="1:9" x14ac:dyDescent="0.25">
      <c r="A1696">
        <v>3130</v>
      </c>
      <c r="B1696">
        <v>10</v>
      </c>
      <c r="C1696" t="s">
        <v>963</v>
      </c>
      <c r="D1696" t="s">
        <v>999</v>
      </c>
      <c r="E1696" t="s">
        <v>39</v>
      </c>
      <c r="F1696" t="s">
        <v>957</v>
      </c>
      <c r="G1696">
        <v>1077777</v>
      </c>
      <c r="H1696">
        <v>501090</v>
      </c>
      <c r="I1696" t="s">
        <v>949</v>
      </c>
    </row>
    <row r="1697" spans="1:9" x14ac:dyDescent="0.25">
      <c r="A1697">
        <v>3130</v>
      </c>
      <c r="B1697">
        <v>10</v>
      </c>
      <c r="C1697" t="s">
        <v>963</v>
      </c>
      <c r="D1697" t="s">
        <v>999</v>
      </c>
      <c r="E1697" t="s">
        <v>39</v>
      </c>
      <c r="F1697" t="s">
        <v>958</v>
      </c>
      <c r="G1697">
        <v>1077777</v>
      </c>
      <c r="H1697">
        <v>501090</v>
      </c>
      <c r="I1697" t="s">
        <v>949</v>
      </c>
    </row>
    <row r="1698" spans="1:9" x14ac:dyDescent="0.25">
      <c r="A1698">
        <v>3130</v>
      </c>
      <c r="B1698">
        <v>10</v>
      </c>
      <c r="C1698" t="s">
        <v>963</v>
      </c>
      <c r="D1698" t="s">
        <v>999</v>
      </c>
      <c r="E1698" t="s">
        <v>39</v>
      </c>
      <c r="F1698" t="s">
        <v>959</v>
      </c>
      <c r="G1698">
        <v>1077777</v>
      </c>
      <c r="H1698">
        <v>501090</v>
      </c>
      <c r="I1698" t="s">
        <v>949</v>
      </c>
    </row>
    <row r="1699" spans="1:9" x14ac:dyDescent="0.25">
      <c r="A1699">
        <v>3130</v>
      </c>
      <c r="B1699">
        <v>10</v>
      </c>
      <c r="C1699" t="s">
        <v>963</v>
      </c>
      <c r="D1699" t="s">
        <v>999</v>
      </c>
      <c r="E1699" t="s">
        <v>39</v>
      </c>
      <c r="F1699" t="s">
        <v>960</v>
      </c>
      <c r="G1699">
        <v>1077777</v>
      </c>
      <c r="H1699">
        <v>501090</v>
      </c>
      <c r="I1699" t="s">
        <v>949</v>
      </c>
    </row>
    <row r="1700" spans="1:9" x14ac:dyDescent="0.25">
      <c r="A1700">
        <v>3130</v>
      </c>
      <c r="B1700">
        <v>10</v>
      </c>
      <c r="C1700" t="s">
        <v>963</v>
      </c>
      <c r="D1700" t="s">
        <v>999</v>
      </c>
      <c r="E1700" t="s">
        <v>39</v>
      </c>
      <c r="F1700" t="s">
        <v>961</v>
      </c>
      <c r="G1700">
        <v>1077777</v>
      </c>
      <c r="H1700">
        <v>501090</v>
      </c>
      <c r="I1700" t="s">
        <v>949</v>
      </c>
    </row>
    <row r="1701" ht="22" customHeight="1" spans="1:10" x14ac:dyDescent="0.25">
      <c r="A1701" s="43">
        <v>3130</v>
      </c>
      <c r="B1701" s="43">
        <v>10</v>
      </c>
      <c r="C1701" s="43" t="s">
        <v>950</v>
      </c>
      <c r="D1701" s="43" t="s">
        <v>999</v>
      </c>
      <c r="E1701" s="43" t="s">
        <v>286</v>
      </c>
      <c r="F1701" s="43" t="s">
        <v>951</v>
      </c>
      <c r="G1701" s="43">
        <v>1000000</v>
      </c>
      <c r="H1701" s="43">
        <v>145000</v>
      </c>
      <c r="I1701" s="43" t="s">
        <v>949</v>
      </c>
      <c r="J1701" s="44" t="s">
        <v>1000</v>
      </c>
    </row>
    <row r="1702" ht="22" customHeight="1" spans="1:10" x14ac:dyDescent="0.25">
      <c r="A1702" s="43">
        <v>3130</v>
      </c>
      <c r="B1702" s="43">
        <v>10</v>
      </c>
      <c r="C1702" s="43" t="s">
        <v>950</v>
      </c>
      <c r="D1702" s="43" t="s">
        <v>999</v>
      </c>
      <c r="E1702" s="43" t="s">
        <v>286</v>
      </c>
      <c r="F1702" s="43" t="s">
        <v>952</v>
      </c>
      <c r="G1702" s="43">
        <v>1000000</v>
      </c>
      <c r="H1702" s="43">
        <v>145000</v>
      </c>
      <c r="I1702" s="43" t="s">
        <v>949</v>
      </c>
      <c r="J1702" s="44" t="s">
        <v>1000</v>
      </c>
    </row>
    <row r="1703" ht="22" customHeight="1" spans="1:10" x14ac:dyDescent="0.25">
      <c r="A1703" s="43">
        <v>3130</v>
      </c>
      <c r="B1703" s="43">
        <v>10</v>
      </c>
      <c r="C1703" s="43" t="s">
        <v>950</v>
      </c>
      <c r="D1703" s="43" t="s">
        <v>999</v>
      </c>
      <c r="E1703" s="43" t="s">
        <v>286</v>
      </c>
      <c r="F1703" s="43" t="s">
        <v>953</v>
      </c>
      <c r="G1703" s="43">
        <v>1000000</v>
      </c>
      <c r="H1703" s="43">
        <v>145000</v>
      </c>
      <c r="I1703" s="43" t="s">
        <v>949</v>
      </c>
      <c r="J1703" s="44" t="s">
        <v>1000</v>
      </c>
    </row>
    <row r="1704" ht="22" customHeight="1" spans="1:10" x14ac:dyDescent="0.25">
      <c r="A1704" s="43">
        <v>3130</v>
      </c>
      <c r="B1704" s="43">
        <v>10</v>
      </c>
      <c r="C1704" s="43" t="s">
        <v>950</v>
      </c>
      <c r="D1704" s="43" t="s">
        <v>999</v>
      </c>
      <c r="E1704" s="43" t="s">
        <v>286</v>
      </c>
      <c r="F1704" s="43" t="s">
        <v>954</v>
      </c>
      <c r="G1704" s="43">
        <v>1000000</v>
      </c>
      <c r="H1704" s="43">
        <v>145000</v>
      </c>
      <c r="I1704" s="43" t="s">
        <v>949</v>
      </c>
      <c r="J1704" s="44" t="s">
        <v>1000</v>
      </c>
    </row>
    <row r="1705" ht="22" customHeight="1" spans="1:10" x14ac:dyDescent="0.25">
      <c r="A1705" s="43">
        <v>3130</v>
      </c>
      <c r="B1705" s="43">
        <v>10</v>
      </c>
      <c r="C1705" s="43" t="s">
        <v>950</v>
      </c>
      <c r="D1705" s="43" t="s">
        <v>999</v>
      </c>
      <c r="E1705" s="43" t="s">
        <v>286</v>
      </c>
      <c r="F1705" s="43" t="s">
        <v>955</v>
      </c>
      <c r="G1705" s="43">
        <v>1000000</v>
      </c>
      <c r="H1705" s="43">
        <v>145000</v>
      </c>
      <c r="I1705" s="43" t="s">
        <v>949</v>
      </c>
      <c r="J1705" s="44" t="s">
        <v>1000</v>
      </c>
    </row>
    <row r="1706" ht="22" customHeight="1" spans="1:10" x14ac:dyDescent="0.25">
      <c r="A1706" s="43">
        <v>3130</v>
      </c>
      <c r="B1706" s="43">
        <v>10</v>
      </c>
      <c r="C1706" s="43" t="s">
        <v>950</v>
      </c>
      <c r="D1706" s="43" t="s">
        <v>999</v>
      </c>
      <c r="E1706" s="43" t="s">
        <v>286</v>
      </c>
      <c r="F1706" s="43" t="s">
        <v>956</v>
      </c>
      <c r="G1706" s="43">
        <v>1000000</v>
      </c>
      <c r="H1706" s="43">
        <v>145000</v>
      </c>
      <c r="I1706" s="43" t="s">
        <v>949</v>
      </c>
      <c r="J1706" s="44" t="s">
        <v>1000</v>
      </c>
    </row>
    <row r="1707" ht="22" customHeight="1" spans="1:10" x14ac:dyDescent="0.25">
      <c r="A1707" s="43">
        <v>3130</v>
      </c>
      <c r="B1707" s="43">
        <v>10</v>
      </c>
      <c r="C1707" s="43" t="s">
        <v>950</v>
      </c>
      <c r="D1707" s="43" t="s">
        <v>999</v>
      </c>
      <c r="E1707" s="43" t="s">
        <v>286</v>
      </c>
      <c r="F1707" s="43" t="s">
        <v>957</v>
      </c>
      <c r="G1707" s="43">
        <v>1000000</v>
      </c>
      <c r="H1707" s="43">
        <v>145000</v>
      </c>
      <c r="I1707" s="43" t="s">
        <v>949</v>
      </c>
      <c r="J1707" s="44" t="s">
        <v>1000</v>
      </c>
    </row>
    <row r="1708" ht="22" customHeight="1" spans="1:10" x14ac:dyDescent="0.25">
      <c r="A1708" s="43">
        <v>3130</v>
      </c>
      <c r="B1708" s="43">
        <v>10</v>
      </c>
      <c r="C1708" s="43" t="s">
        <v>950</v>
      </c>
      <c r="D1708" s="43" t="s">
        <v>999</v>
      </c>
      <c r="E1708" s="43" t="s">
        <v>286</v>
      </c>
      <c r="F1708" s="43" t="s">
        <v>958</v>
      </c>
      <c r="G1708" s="43">
        <v>1000000</v>
      </c>
      <c r="H1708" s="43">
        <v>145000</v>
      </c>
      <c r="I1708" s="43" t="s">
        <v>949</v>
      </c>
      <c r="J1708" s="44" t="s">
        <v>1000</v>
      </c>
    </row>
    <row r="1709" ht="22" customHeight="1" spans="1:10" x14ac:dyDescent="0.25">
      <c r="A1709" s="43">
        <v>3130</v>
      </c>
      <c r="B1709" s="43">
        <v>10</v>
      </c>
      <c r="C1709" s="43" t="s">
        <v>950</v>
      </c>
      <c r="D1709" s="43" t="s">
        <v>999</v>
      </c>
      <c r="E1709" s="43" t="s">
        <v>286</v>
      </c>
      <c r="F1709" s="43" t="s">
        <v>959</v>
      </c>
      <c r="G1709" s="43">
        <v>1000000</v>
      </c>
      <c r="H1709" s="43">
        <v>145000</v>
      </c>
      <c r="I1709" s="43" t="s">
        <v>949</v>
      </c>
      <c r="J1709" s="44" t="s">
        <v>1000</v>
      </c>
    </row>
    <row r="1710" ht="22" customHeight="1" spans="1:10" x14ac:dyDescent="0.25">
      <c r="A1710" s="43">
        <v>3130</v>
      </c>
      <c r="B1710" s="43">
        <v>10</v>
      </c>
      <c r="C1710" s="43" t="s">
        <v>950</v>
      </c>
      <c r="D1710" s="43" t="s">
        <v>999</v>
      </c>
      <c r="E1710" s="43" t="s">
        <v>286</v>
      </c>
      <c r="F1710" s="43" t="s">
        <v>960</v>
      </c>
      <c r="G1710" s="43">
        <v>1000000</v>
      </c>
      <c r="H1710" s="43">
        <v>145000</v>
      </c>
      <c r="I1710" s="43" t="s">
        <v>949</v>
      </c>
      <c r="J1710" s="44" t="s">
        <v>1000</v>
      </c>
    </row>
    <row r="1711" ht="22" customHeight="1" spans="1:10" x14ac:dyDescent="0.25">
      <c r="A1711" s="43">
        <v>3130</v>
      </c>
      <c r="B1711" s="43">
        <v>10</v>
      </c>
      <c r="C1711" s="43" t="s">
        <v>950</v>
      </c>
      <c r="D1711" s="43" t="s">
        <v>999</v>
      </c>
      <c r="E1711" s="43" t="s">
        <v>286</v>
      </c>
      <c r="F1711" s="43" t="s">
        <v>961</v>
      </c>
      <c r="G1711" s="43">
        <v>1000000</v>
      </c>
      <c r="H1711" s="43">
        <v>145000</v>
      </c>
      <c r="I1711" s="43" t="s">
        <v>949</v>
      </c>
      <c r="J1711" s="44" t="s">
        <v>1000</v>
      </c>
    </row>
    <row r="1712" ht="22" customHeight="1" spans="1:10" x14ac:dyDescent="0.25">
      <c r="A1712" s="43">
        <v>3130</v>
      </c>
      <c r="B1712" s="43">
        <v>10</v>
      </c>
      <c r="C1712" s="43" t="s">
        <v>962</v>
      </c>
      <c r="D1712" s="43" t="s">
        <v>999</v>
      </c>
      <c r="E1712" s="43" t="s">
        <v>286</v>
      </c>
      <c r="F1712" s="43" t="s">
        <v>951</v>
      </c>
      <c r="G1712" s="43">
        <v>1000000</v>
      </c>
      <c r="H1712" s="43">
        <v>145000</v>
      </c>
      <c r="I1712" s="43" t="s">
        <v>949</v>
      </c>
      <c r="J1712" s="44" t="s">
        <v>1000</v>
      </c>
    </row>
    <row r="1713" ht="22" customHeight="1" spans="1:10" x14ac:dyDescent="0.25">
      <c r="A1713" s="43">
        <v>3130</v>
      </c>
      <c r="B1713" s="43">
        <v>10</v>
      </c>
      <c r="C1713" s="43" t="s">
        <v>962</v>
      </c>
      <c r="D1713" s="43" t="s">
        <v>999</v>
      </c>
      <c r="E1713" s="43" t="s">
        <v>286</v>
      </c>
      <c r="F1713" s="43" t="s">
        <v>952</v>
      </c>
      <c r="G1713" s="43">
        <v>1000000</v>
      </c>
      <c r="H1713" s="43">
        <v>145000</v>
      </c>
      <c r="I1713" s="43" t="s">
        <v>949</v>
      </c>
      <c r="J1713" s="44" t="s">
        <v>1000</v>
      </c>
    </row>
    <row r="1714" ht="22" customHeight="1" spans="1:10" x14ac:dyDescent="0.25">
      <c r="A1714" s="43">
        <v>3130</v>
      </c>
      <c r="B1714" s="43">
        <v>10</v>
      </c>
      <c r="C1714" s="43" t="s">
        <v>962</v>
      </c>
      <c r="D1714" s="43" t="s">
        <v>999</v>
      </c>
      <c r="E1714" s="43" t="s">
        <v>286</v>
      </c>
      <c r="F1714" s="43" t="s">
        <v>953</v>
      </c>
      <c r="G1714" s="43">
        <v>1000000</v>
      </c>
      <c r="H1714" s="43">
        <v>145000</v>
      </c>
      <c r="I1714" s="43" t="s">
        <v>949</v>
      </c>
      <c r="J1714" s="44" t="s">
        <v>1000</v>
      </c>
    </row>
    <row r="1715" ht="22" customHeight="1" spans="1:10" x14ac:dyDescent="0.25">
      <c r="A1715" s="43">
        <v>3130</v>
      </c>
      <c r="B1715" s="43">
        <v>10</v>
      </c>
      <c r="C1715" s="43" t="s">
        <v>962</v>
      </c>
      <c r="D1715" s="43" t="s">
        <v>999</v>
      </c>
      <c r="E1715" s="43" t="s">
        <v>286</v>
      </c>
      <c r="F1715" s="43" t="s">
        <v>954</v>
      </c>
      <c r="G1715" s="43">
        <v>1000000</v>
      </c>
      <c r="H1715" s="43">
        <v>145000</v>
      </c>
      <c r="I1715" s="43" t="s">
        <v>949</v>
      </c>
      <c r="J1715" s="44" t="s">
        <v>1000</v>
      </c>
    </row>
    <row r="1716" ht="22" customHeight="1" spans="1:10" x14ac:dyDescent="0.25">
      <c r="A1716" s="43">
        <v>3130</v>
      </c>
      <c r="B1716" s="43">
        <v>10</v>
      </c>
      <c r="C1716" s="43" t="s">
        <v>962</v>
      </c>
      <c r="D1716" s="43" t="s">
        <v>999</v>
      </c>
      <c r="E1716" s="43" t="s">
        <v>286</v>
      </c>
      <c r="F1716" s="43" t="s">
        <v>955</v>
      </c>
      <c r="G1716" s="43">
        <v>1000000</v>
      </c>
      <c r="H1716" s="43">
        <v>145000</v>
      </c>
      <c r="I1716" s="43" t="s">
        <v>949</v>
      </c>
      <c r="J1716" s="44" t="s">
        <v>1000</v>
      </c>
    </row>
    <row r="1717" ht="22" customHeight="1" spans="1:10" x14ac:dyDescent="0.25">
      <c r="A1717" s="43">
        <v>3130</v>
      </c>
      <c r="B1717" s="43">
        <v>10</v>
      </c>
      <c r="C1717" s="43" t="s">
        <v>962</v>
      </c>
      <c r="D1717" s="43" t="s">
        <v>999</v>
      </c>
      <c r="E1717" s="43" t="s">
        <v>286</v>
      </c>
      <c r="F1717" s="43" t="s">
        <v>956</v>
      </c>
      <c r="G1717" s="43">
        <v>1000000</v>
      </c>
      <c r="H1717" s="43">
        <v>145000</v>
      </c>
      <c r="I1717" s="43" t="s">
        <v>949</v>
      </c>
      <c r="J1717" s="44" t="s">
        <v>1000</v>
      </c>
    </row>
    <row r="1718" ht="22" customHeight="1" spans="1:10" x14ac:dyDescent="0.25">
      <c r="A1718" s="43">
        <v>3130</v>
      </c>
      <c r="B1718" s="43">
        <v>10</v>
      </c>
      <c r="C1718" s="43" t="s">
        <v>962</v>
      </c>
      <c r="D1718" s="43" t="s">
        <v>999</v>
      </c>
      <c r="E1718" s="43" t="s">
        <v>286</v>
      </c>
      <c r="F1718" s="43" t="s">
        <v>957</v>
      </c>
      <c r="G1718" s="43">
        <v>1000000</v>
      </c>
      <c r="H1718" s="43">
        <v>145000</v>
      </c>
      <c r="I1718" s="43" t="s">
        <v>949</v>
      </c>
      <c r="J1718" s="44" t="s">
        <v>1000</v>
      </c>
    </row>
    <row r="1719" ht="22" customHeight="1" spans="1:10" x14ac:dyDescent="0.25">
      <c r="A1719" s="43">
        <v>3130</v>
      </c>
      <c r="B1719" s="43">
        <v>10</v>
      </c>
      <c r="C1719" s="43" t="s">
        <v>962</v>
      </c>
      <c r="D1719" s="43" t="s">
        <v>999</v>
      </c>
      <c r="E1719" s="43" t="s">
        <v>286</v>
      </c>
      <c r="F1719" s="43" t="s">
        <v>958</v>
      </c>
      <c r="G1719" s="43">
        <v>1000000</v>
      </c>
      <c r="H1719" s="43">
        <v>145000</v>
      </c>
      <c r="I1719" s="43" t="s">
        <v>949</v>
      </c>
      <c r="J1719" s="44" t="s">
        <v>1000</v>
      </c>
    </row>
    <row r="1720" ht="22" customHeight="1" spans="1:10" x14ac:dyDescent="0.25">
      <c r="A1720" s="43">
        <v>3130</v>
      </c>
      <c r="B1720" s="43">
        <v>10</v>
      </c>
      <c r="C1720" s="43" t="s">
        <v>962</v>
      </c>
      <c r="D1720" s="43" t="s">
        <v>999</v>
      </c>
      <c r="E1720" s="43" t="s">
        <v>286</v>
      </c>
      <c r="F1720" s="43" t="s">
        <v>959</v>
      </c>
      <c r="G1720" s="43">
        <v>1000000</v>
      </c>
      <c r="H1720" s="43">
        <v>145000</v>
      </c>
      <c r="I1720" s="43" t="s">
        <v>949</v>
      </c>
      <c r="J1720" s="44" t="s">
        <v>1000</v>
      </c>
    </row>
    <row r="1721" ht="22" customHeight="1" spans="1:10" x14ac:dyDescent="0.25">
      <c r="A1721" s="43">
        <v>3130</v>
      </c>
      <c r="B1721" s="43">
        <v>10</v>
      </c>
      <c r="C1721" s="43" t="s">
        <v>962</v>
      </c>
      <c r="D1721" s="43" t="s">
        <v>999</v>
      </c>
      <c r="E1721" s="43" t="s">
        <v>286</v>
      </c>
      <c r="F1721" s="43" t="s">
        <v>960</v>
      </c>
      <c r="G1721" s="43">
        <v>1000000</v>
      </c>
      <c r="H1721" s="43">
        <v>145000</v>
      </c>
      <c r="I1721" s="43" t="s">
        <v>949</v>
      </c>
      <c r="J1721" s="44" t="s">
        <v>1000</v>
      </c>
    </row>
    <row r="1722" ht="22" customHeight="1" spans="1:10" x14ac:dyDescent="0.25">
      <c r="A1722" s="43">
        <v>3130</v>
      </c>
      <c r="B1722" s="43">
        <v>10</v>
      </c>
      <c r="C1722" s="43" t="s">
        <v>962</v>
      </c>
      <c r="D1722" s="43" t="s">
        <v>999</v>
      </c>
      <c r="E1722" s="43" t="s">
        <v>286</v>
      </c>
      <c r="F1722" s="43" t="s">
        <v>961</v>
      </c>
      <c r="G1722" s="43">
        <v>1000000</v>
      </c>
      <c r="H1722" s="43">
        <v>145000</v>
      </c>
      <c r="I1722" s="43" t="s">
        <v>949</v>
      </c>
      <c r="J1722" s="44" t="s">
        <v>1000</v>
      </c>
    </row>
    <row r="1723" ht="22" customHeight="1" spans="1:10" x14ac:dyDescent="0.25">
      <c r="A1723" s="43">
        <v>3130</v>
      </c>
      <c r="B1723" s="43">
        <v>10</v>
      </c>
      <c r="C1723" s="43" t="s">
        <v>963</v>
      </c>
      <c r="D1723" s="43" t="s">
        <v>999</v>
      </c>
      <c r="E1723" s="43" t="s">
        <v>286</v>
      </c>
      <c r="F1723" s="43" t="s">
        <v>951</v>
      </c>
      <c r="G1723" s="43">
        <v>1000000</v>
      </c>
      <c r="H1723" s="43">
        <v>145000</v>
      </c>
      <c r="I1723" s="43" t="s">
        <v>949</v>
      </c>
      <c r="J1723" s="44" t="s">
        <v>1000</v>
      </c>
    </row>
    <row r="1724" ht="22" customHeight="1" spans="1:10" x14ac:dyDescent="0.25">
      <c r="A1724" s="43">
        <v>3130</v>
      </c>
      <c r="B1724" s="43">
        <v>10</v>
      </c>
      <c r="C1724" s="43" t="s">
        <v>963</v>
      </c>
      <c r="D1724" s="43" t="s">
        <v>999</v>
      </c>
      <c r="E1724" s="43" t="s">
        <v>286</v>
      </c>
      <c r="F1724" s="43" t="s">
        <v>952</v>
      </c>
      <c r="G1724" s="43">
        <v>1000000</v>
      </c>
      <c r="H1724" s="43">
        <v>145000</v>
      </c>
      <c r="I1724" s="43" t="s">
        <v>949</v>
      </c>
      <c r="J1724" s="44" t="s">
        <v>1000</v>
      </c>
    </row>
    <row r="1725" ht="22" customHeight="1" spans="1:10" x14ac:dyDescent="0.25">
      <c r="A1725" s="43">
        <v>3130</v>
      </c>
      <c r="B1725" s="43">
        <v>10</v>
      </c>
      <c r="C1725" s="43" t="s">
        <v>963</v>
      </c>
      <c r="D1725" s="43" t="s">
        <v>999</v>
      </c>
      <c r="E1725" s="43" t="s">
        <v>286</v>
      </c>
      <c r="F1725" s="43" t="s">
        <v>953</v>
      </c>
      <c r="G1725" s="43">
        <v>1000000</v>
      </c>
      <c r="H1725" s="43">
        <v>145000</v>
      </c>
      <c r="I1725" s="43" t="s">
        <v>949</v>
      </c>
      <c r="J1725" s="44" t="s">
        <v>1000</v>
      </c>
    </row>
    <row r="1726" ht="22" customHeight="1" spans="1:10" x14ac:dyDescent="0.25">
      <c r="A1726" s="43">
        <v>3130</v>
      </c>
      <c r="B1726" s="43">
        <v>10</v>
      </c>
      <c r="C1726" s="43" t="s">
        <v>963</v>
      </c>
      <c r="D1726" s="43" t="s">
        <v>999</v>
      </c>
      <c r="E1726" s="43" t="s">
        <v>286</v>
      </c>
      <c r="F1726" s="43" t="s">
        <v>954</v>
      </c>
      <c r="G1726" s="43">
        <v>1000000</v>
      </c>
      <c r="H1726" s="43">
        <v>145000</v>
      </c>
      <c r="I1726" s="43" t="s">
        <v>949</v>
      </c>
      <c r="J1726" s="44" t="s">
        <v>1000</v>
      </c>
    </row>
    <row r="1727" ht="22" customHeight="1" spans="1:10" x14ac:dyDescent="0.25">
      <c r="A1727" s="43">
        <v>3130</v>
      </c>
      <c r="B1727" s="43">
        <v>10</v>
      </c>
      <c r="C1727" s="43" t="s">
        <v>963</v>
      </c>
      <c r="D1727" s="43" t="s">
        <v>999</v>
      </c>
      <c r="E1727" s="43" t="s">
        <v>286</v>
      </c>
      <c r="F1727" s="43" t="s">
        <v>955</v>
      </c>
      <c r="G1727" s="43">
        <v>1000000</v>
      </c>
      <c r="H1727" s="43">
        <v>145000</v>
      </c>
      <c r="I1727" s="43" t="s">
        <v>949</v>
      </c>
      <c r="J1727" s="44" t="s">
        <v>1000</v>
      </c>
    </row>
    <row r="1728" ht="22" customHeight="1" spans="1:10" x14ac:dyDescent="0.25">
      <c r="A1728" s="43">
        <v>3130</v>
      </c>
      <c r="B1728" s="43">
        <v>10</v>
      </c>
      <c r="C1728" s="43" t="s">
        <v>963</v>
      </c>
      <c r="D1728" s="43" t="s">
        <v>999</v>
      </c>
      <c r="E1728" s="43" t="s">
        <v>286</v>
      </c>
      <c r="F1728" s="43" t="s">
        <v>956</v>
      </c>
      <c r="G1728" s="43">
        <v>1000000</v>
      </c>
      <c r="H1728" s="43">
        <v>145000</v>
      </c>
      <c r="I1728" s="43" t="s">
        <v>949</v>
      </c>
      <c r="J1728" s="44" t="s">
        <v>1000</v>
      </c>
    </row>
    <row r="1729" ht="22" customHeight="1" spans="1:10" x14ac:dyDescent="0.25">
      <c r="A1729" s="43">
        <v>3130</v>
      </c>
      <c r="B1729" s="43">
        <v>10</v>
      </c>
      <c r="C1729" s="43" t="s">
        <v>963</v>
      </c>
      <c r="D1729" s="43" t="s">
        <v>999</v>
      </c>
      <c r="E1729" s="43" t="s">
        <v>286</v>
      </c>
      <c r="F1729" s="43" t="s">
        <v>957</v>
      </c>
      <c r="G1729" s="43">
        <v>1000000</v>
      </c>
      <c r="H1729" s="43">
        <v>145000</v>
      </c>
      <c r="I1729" s="43" t="s">
        <v>949</v>
      </c>
      <c r="J1729" s="44" t="s">
        <v>1000</v>
      </c>
    </row>
    <row r="1730" ht="22" customHeight="1" spans="1:10" x14ac:dyDescent="0.25">
      <c r="A1730" s="43">
        <v>3130</v>
      </c>
      <c r="B1730" s="43">
        <v>10</v>
      </c>
      <c r="C1730" s="43" t="s">
        <v>963</v>
      </c>
      <c r="D1730" s="43" t="s">
        <v>999</v>
      </c>
      <c r="E1730" s="43" t="s">
        <v>286</v>
      </c>
      <c r="F1730" s="43" t="s">
        <v>958</v>
      </c>
      <c r="G1730" s="43">
        <v>1000000</v>
      </c>
      <c r="H1730" s="43">
        <v>145000</v>
      </c>
      <c r="I1730" s="43" t="s">
        <v>949</v>
      </c>
      <c r="J1730" s="44" t="s">
        <v>1000</v>
      </c>
    </row>
    <row r="1731" ht="22" customHeight="1" spans="1:10" x14ac:dyDescent="0.25">
      <c r="A1731" s="43">
        <v>3130</v>
      </c>
      <c r="B1731" s="43">
        <v>10</v>
      </c>
      <c r="C1731" s="43" t="s">
        <v>963</v>
      </c>
      <c r="D1731" s="43" t="s">
        <v>999</v>
      </c>
      <c r="E1731" s="43" t="s">
        <v>286</v>
      </c>
      <c r="F1731" s="43" t="s">
        <v>959</v>
      </c>
      <c r="G1731" s="43">
        <v>1000000</v>
      </c>
      <c r="H1731" s="43">
        <v>145000</v>
      </c>
      <c r="I1731" s="43" t="s">
        <v>949</v>
      </c>
      <c r="J1731" s="44" t="s">
        <v>1000</v>
      </c>
    </row>
    <row r="1732" ht="22" customHeight="1" spans="1:10" x14ac:dyDescent="0.25">
      <c r="A1732" s="43">
        <v>3130</v>
      </c>
      <c r="B1732" s="43">
        <v>10</v>
      </c>
      <c r="C1732" s="43" t="s">
        <v>963</v>
      </c>
      <c r="D1732" s="43" t="s">
        <v>999</v>
      </c>
      <c r="E1732" s="43" t="s">
        <v>286</v>
      </c>
      <c r="F1732" s="43" t="s">
        <v>960</v>
      </c>
      <c r="G1732" s="43">
        <v>1000000</v>
      </c>
      <c r="H1732" s="43">
        <v>145000</v>
      </c>
      <c r="I1732" s="43" t="s">
        <v>949</v>
      </c>
      <c r="J1732" s="44" t="s">
        <v>1000</v>
      </c>
    </row>
    <row r="1733" ht="22" customHeight="1" spans="1:10" x14ac:dyDescent="0.25">
      <c r="A1733" s="43">
        <v>3130</v>
      </c>
      <c r="B1733" s="43">
        <v>10</v>
      </c>
      <c r="C1733" s="43" t="s">
        <v>963</v>
      </c>
      <c r="D1733" s="43" t="s">
        <v>999</v>
      </c>
      <c r="E1733" s="43" t="s">
        <v>286</v>
      </c>
      <c r="F1733" s="43" t="s">
        <v>961</v>
      </c>
      <c r="G1733" s="43">
        <v>1000000</v>
      </c>
      <c r="H1733" s="43">
        <v>145000</v>
      </c>
      <c r="I1733" s="43" t="s">
        <v>949</v>
      </c>
      <c r="J1733" s="44" t="s">
        <v>1000</v>
      </c>
    </row>
    <row r="1734" spans="1:9" x14ac:dyDescent="0.25">
      <c r="A1734">
        <v>3130</v>
      </c>
      <c r="B1734">
        <v>10</v>
      </c>
      <c r="C1734" t="s">
        <v>950</v>
      </c>
      <c r="D1734" t="s">
        <v>999</v>
      </c>
      <c r="E1734" t="s">
        <v>976</v>
      </c>
      <c r="F1734" t="s">
        <v>951</v>
      </c>
      <c r="G1734">
        <v>1000000</v>
      </c>
      <c r="H1734">
        <v>141000</v>
      </c>
      <c r="I1734" t="s">
        <v>977</v>
      </c>
    </row>
    <row r="1735" spans="1:9" x14ac:dyDescent="0.25">
      <c r="A1735">
        <v>3130</v>
      </c>
      <c r="B1735">
        <v>10</v>
      </c>
      <c r="C1735" t="s">
        <v>950</v>
      </c>
      <c r="D1735" t="s">
        <v>999</v>
      </c>
      <c r="E1735" t="s">
        <v>976</v>
      </c>
      <c r="F1735" t="s">
        <v>952</v>
      </c>
      <c r="G1735">
        <v>1000000</v>
      </c>
      <c r="H1735">
        <v>141000</v>
      </c>
      <c r="I1735" t="s">
        <v>977</v>
      </c>
    </row>
    <row r="1736" spans="1:9" x14ac:dyDescent="0.25">
      <c r="A1736">
        <v>3130</v>
      </c>
      <c r="B1736">
        <v>10</v>
      </c>
      <c r="C1736" t="s">
        <v>950</v>
      </c>
      <c r="D1736" t="s">
        <v>999</v>
      </c>
      <c r="E1736" t="s">
        <v>976</v>
      </c>
      <c r="F1736" t="s">
        <v>953</v>
      </c>
      <c r="G1736">
        <v>1000000</v>
      </c>
      <c r="H1736">
        <v>141000</v>
      </c>
      <c r="I1736" t="s">
        <v>977</v>
      </c>
    </row>
    <row r="1737" spans="1:9" x14ac:dyDescent="0.25">
      <c r="A1737">
        <v>3130</v>
      </c>
      <c r="B1737">
        <v>10</v>
      </c>
      <c r="C1737" t="s">
        <v>950</v>
      </c>
      <c r="D1737" t="s">
        <v>999</v>
      </c>
      <c r="E1737" t="s">
        <v>976</v>
      </c>
      <c r="F1737" t="s">
        <v>954</v>
      </c>
      <c r="G1737">
        <v>1000000</v>
      </c>
      <c r="H1737">
        <v>141000</v>
      </c>
      <c r="I1737" t="s">
        <v>977</v>
      </c>
    </row>
    <row r="1738" spans="1:9" x14ac:dyDescent="0.25">
      <c r="A1738">
        <v>3130</v>
      </c>
      <c r="B1738">
        <v>10</v>
      </c>
      <c r="C1738" t="s">
        <v>950</v>
      </c>
      <c r="D1738" t="s">
        <v>999</v>
      </c>
      <c r="E1738" t="s">
        <v>976</v>
      </c>
      <c r="F1738" t="s">
        <v>955</v>
      </c>
      <c r="G1738">
        <v>1000000</v>
      </c>
      <c r="H1738">
        <v>141000</v>
      </c>
      <c r="I1738" t="s">
        <v>977</v>
      </c>
    </row>
    <row r="1739" spans="1:9" x14ac:dyDescent="0.25">
      <c r="A1739">
        <v>3130</v>
      </c>
      <c r="B1739">
        <v>10</v>
      </c>
      <c r="C1739" t="s">
        <v>950</v>
      </c>
      <c r="D1739" t="s">
        <v>999</v>
      </c>
      <c r="E1739" t="s">
        <v>976</v>
      </c>
      <c r="F1739" t="s">
        <v>956</v>
      </c>
      <c r="G1739">
        <v>1000000</v>
      </c>
      <c r="H1739">
        <v>141000</v>
      </c>
      <c r="I1739" t="s">
        <v>977</v>
      </c>
    </row>
    <row r="1740" spans="1:9" x14ac:dyDescent="0.25">
      <c r="A1740">
        <v>3130</v>
      </c>
      <c r="B1740">
        <v>10</v>
      </c>
      <c r="C1740" t="s">
        <v>950</v>
      </c>
      <c r="D1740" t="s">
        <v>999</v>
      </c>
      <c r="E1740" t="s">
        <v>976</v>
      </c>
      <c r="F1740" t="s">
        <v>957</v>
      </c>
      <c r="G1740">
        <v>1000000</v>
      </c>
      <c r="H1740">
        <v>141000</v>
      </c>
      <c r="I1740" t="s">
        <v>977</v>
      </c>
    </row>
    <row r="1741" spans="1:9" x14ac:dyDescent="0.25">
      <c r="A1741">
        <v>3130</v>
      </c>
      <c r="B1741">
        <v>10</v>
      </c>
      <c r="C1741" t="s">
        <v>950</v>
      </c>
      <c r="D1741" t="s">
        <v>999</v>
      </c>
      <c r="E1741" t="s">
        <v>976</v>
      </c>
      <c r="F1741" t="s">
        <v>958</v>
      </c>
      <c r="G1741">
        <v>1000000</v>
      </c>
      <c r="H1741">
        <v>141000</v>
      </c>
      <c r="I1741" t="s">
        <v>977</v>
      </c>
    </row>
    <row r="1742" spans="1:9" x14ac:dyDescent="0.25">
      <c r="A1742">
        <v>3130</v>
      </c>
      <c r="B1742">
        <v>10</v>
      </c>
      <c r="C1742" t="s">
        <v>950</v>
      </c>
      <c r="D1742" t="s">
        <v>999</v>
      </c>
      <c r="E1742" t="s">
        <v>976</v>
      </c>
      <c r="F1742" t="s">
        <v>959</v>
      </c>
      <c r="G1742">
        <v>1000000</v>
      </c>
      <c r="H1742">
        <v>141000</v>
      </c>
      <c r="I1742" t="s">
        <v>977</v>
      </c>
    </row>
    <row r="1743" spans="1:9" x14ac:dyDescent="0.25">
      <c r="A1743">
        <v>3130</v>
      </c>
      <c r="B1743">
        <v>10</v>
      </c>
      <c r="C1743" t="s">
        <v>950</v>
      </c>
      <c r="D1743" t="s">
        <v>999</v>
      </c>
      <c r="E1743" t="s">
        <v>976</v>
      </c>
      <c r="F1743" t="s">
        <v>960</v>
      </c>
      <c r="G1743">
        <v>1000000</v>
      </c>
      <c r="H1743">
        <v>141000</v>
      </c>
      <c r="I1743" t="s">
        <v>977</v>
      </c>
    </row>
    <row r="1744" spans="1:9" x14ac:dyDescent="0.25">
      <c r="A1744">
        <v>3130</v>
      </c>
      <c r="B1744">
        <v>10</v>
      </c>
      <c r="C1744" t="s">
        <v>950</v>
      </c>
      <c r="D1744" t="s">
        <v>999</v>
      </c>
      <c r="E1744" t="s">
        <v>976</v>
      </c>
      <c r="F1744" t="s">
        <v>961</v>
      </c>
      <c r="G1744">
        <v>1000000</v>
      </c>
      <c r="H1744">
        <v>141000</v>
      </c>
      <c r="I1744" t="s">
        <v>977</v>
      </c>
    </row>
    <row r="1745" spans="1:9" x14ac:dyDescent="0.25">
      <c r="A1745">
        <v>3130</v>
      </c>
      <c r="B1745">
        <v>10</v>
      </c>
      <c r="C1745" t="s">
        <v>962</v>
      </c>
      <c r="D1745" t="s">
        <v>999</v>
      </c>
      <c r="E1745" t="s">
        <v>976</v>
      </c>
      <c r="F1745" t="s">
        <v>951</v>
      </c>
      <c r="G1745">
        <v>1000000</v>
      </c>
      <c r="H1745">
        <v>141000</v>
      </c>
      <c r="I1745" t="s">
        <v>977</v>
      </c>
    </row>
    <row r="1746" spans="1:9" x14ac:dyDescent="0.25">
      <c r="A1746">
        <v>3130</v>
      </c>
      <c r="B1746">
        <v>10</v>
      </c>
      <c r="C1746" t="s">
        <v>962</v>
      </c>
      <c r="D1746" t="s">
        <v>999</v>
      </c>
      <c r="E1746" t="s">
        <v>976</v>
      </c>
      <c r="F1746" t="s">
        <v>952</v>
      </c>
      <c r="G1746">
        <v>1000000</v>
      </c>
      <c r="H1746">
        <v>141000</v>
      </c>
      <c r="I1746" t="s">
        <v>977</v>
      </c>
    </row>
    <row r="1747" spans="1:9" x14ac:dyDescent="0.25">
      <c r="A1747">
        <v>3130</v>
      </c>
      <c r="B1747">
        <v>10</v>
      </c>
      <c r="C1747" t="s">
        <v>962</v>
      </c>
      <c r="D1747" t="s">
        <v>999</v>
      </c>
      <c r="E1747" t="s">
        <v>976</v>
      </c>
      <c r="F1747" t="s">
        <v>953</v>
      </c>
      <c r="G1747">
        <v>1000000</v>
      </c>
      <c r="H1747">
        <v>141000</v>
      </c>
      <c r="I1747" t="s">
        <v>977</v>
      </c>
    </row>
    <row r="1748" spans="1:9" x14ac:dyDescent="0.25">
      <c r="A1748">
        <v>3130</v>
      </c>
      <c r="B1748">
        <v>10</v>
      </c>
      <c r="C1748" t="s">
        <v>962</v>
      </c>
      <c r="D1748" t="s">
        <v>999</v>
      </c>
      <c r="E1748" t="s">
        <v>976</v>
      </c>
      <c r="F1748" t="s">
        <v>954</v>
      </c>
      <c r="G1748">
        <v>1000000</v>
      </c>
      <c r="H1748">
        <v>141000</v>
      </c>
      <c r="I1748" t="s">
        <v>977</v>
      </c>
    </row>
    <row r="1749" spans="1:9" x14ac:dyDescent="0.25">
      <c r="A1749">
        <v>3130</v>
      </c>
      <c r="B1749">
        <v>10</v>
      </c>
      <c r="C1749" t="s">
        <v>962</v>
      </c>
      <c r="D1749" t="s">
        <v>999</v>
      </c>
      <c r="E1749" t="s">
        <v>976</v>
      </c>
      <c r="F1749" t="s">
        <v>955</v>
      </c>
      <c r="G1749">
        <v>1000000</v>
      </c>
      <c r="H1749">
        <v>141000</v>
      </c>
      <c r="I1749" t="s">
        <v>977</v>
      </c>
    </row>
    <row r="1750" spans="1:9" x14ac:dyDescent="0.25">
      <c r="A1750">
        <v>3130</v>
      </c>
      <c r="B1750">
        <v>10</v>
      </c>
      <c r="C1750" t="s">
        <v>962</v>
      </c>
      <c r="D1750" t="s">
        <v>999</v>
      </c>
      <c r="E1750" t="s">
        <v>976</v>
      </c>
      <c r="F1750" t="s">
        <v>956</v>
      </c>
      <c r="G1750">
        <v>1000000</v>
      </c>
      <c r="H1750">
        <v>141000</v>
      </c>
      <c r="I1750" t="s">
        <v>977</v>
      </c>
    </row>
    <row r="1751" spans="1:9" x14ac:dyDescent="0.25">
      <c r="A1751">
        <v>3130</v>
      </c>
      <c r="B1751">
        <v>10</v>
      </c>
      <c r="C1751" t="s">
        <v>962</v>
      </c>
      <c r="D1751" t="s">
        <v>999</v>
      </c>
      <c r="E1751" t="s">
        <v>976</v>
      </c>
      <c r="F1751" t="s">
        <v>957</v>
      </c>
      <c r="G1751">
        <v>1000000</v>
      </c>
      <c r="H1751">
        <v>141000</v>
      </c>
      <c r="I1751" t="s">
        <v>977</v>
      </c>
    </row>
    <row r="1752" spans="1:9" x14ac:dyDescent="0.25">
      <c r="A1752">
        <v>3130</v>
      </c>
      <c r="B1752">
        <v>10</v>
      </c>
      <c r="C1752" t="s">
        <v>962</v>
      </c>
      <c r="D1752" t="s">
        <v>999</v>
      </c>
      <c r="E1752" t="s">
        <v>976</v>
      </c>
      <c r="F1752" t="s">
        <v>958</v>
      </c>
      <c r="G1752">
        <v>1000000</v>
      </c>
      <c r="H1752">
        <v>141000</v>
      </c>
      <c r="I1752" t="s">
        <v>977</v>
      </c>
    </row>
    <row r="1753" spans="1:9" x14ac:dyDescent="0.25">
      <c r="A1753">
        <v>3130</v>
      </c>
      <c r="B1753">
        <v>10</v>
      </c>
      <c r="C1753" t="s">
        <v>962</v>
      </c>
      <c r="D1753" t="s">
        <v>999</v>
      </c>
      <c r="E1753" t="s">
        <v>976</v>
      </c>
      <c r="F1753" t="s">
        <v>959</v>
      </c>
      <c r="G1753">
        <v>1000000</v>
      </c>
      <c r="H1753">
        <v>141000</v>
      </c>
      <c r="I1753" t="s">
        <v>977</v>
      </c>
    </row>
    <row r="1754" spans="1:9" x14ac:dyDescent="0.25">
      <c r="A1754">
        <v>3130</v>
      </c>
      <c r="B1754">
        <v>10</v>
      </c>
      <c r="C1754" t="s">
        <v>962</v>
      </c>
      <c r="D1754" t="s">
        <v>999</v>
      </c>
      <c r="E1754" t="s">
        <v>976</v>
      </c>
      <c r="F1754" t="s">
        <v>960</v>
      </c>
      <c r="G1754">
        <v>1000000</v>
      </c>
      <c r="H1754">
        <v>141000</v>
      </c>
      <c r="I1754" t="s">
        <v>977</v>
      </c>
    </row>
    <row r="1755" spans="1:9" x14ac:dyDescent="0.25">
      <c r="A1755">
        <v>3130</v>
      </c>
      <c r="B1755">
        <v>10</v>
      </c>
      <c r="C1755" t="s">
        <v>962</v>
      </c>
      <c r="D1755" t="s">
        <v>999</v>
      </c>
      <c r="E1755" t="s">
        <v>976</v>
      </c>
      <c r="F1755" t="s">
        <v>961</v>
      </c>
      <c r="G1755">
        <v>1000000</v>
      </c>
      <c r="H1755">
        <v>141000</v>
      </c>
      <c r="I1755" t="s">
        <v>977</v>
      </c>
    </row>
    <row r="1756" spans="1:9" x14ac:dyDescent="0.25">
      <c r="A1756">
        <v>3130</v>
      </c>
      <c r="B1756">
        <v>10</v>
      </c>
      <c r="C1756" t="s">
        <v>963</v>
      </c>
      <c r="D1756" t="s">
        <v>999</v>
      </c>
      <c r="E1756" t="s">
        <v>976</v>
      </c>
      <c r="F1756" t="s">
        <v>951</v>
      </c>
      <c r="G1756">
        <v>1000000</v>
      </c>
      <c r="H1756">
        <v>141000</v>
      </c>
      <c r="I1756" t="s">
        <v>977</v>
      </c>
    </row>
    <row r="1757" spans="1:9" x14ac:dyDescent="0.25">
      <c r="A1757">
        <v>3130</v>
      </c>
      <c r="B1757">
        <v>10</v>
      </c>
      <c r="C1757" t="s">
        <v>963</v>
      </c>
      <c r="D1757" t="s">
        <v>999</v>
      </c>
      <c r="E1757" t="s">
        <v>976</v>
      </c>
      <c r="F1757" t="s">
        <v>952</v>
      </c>
      <c r="G1757">
        <v>1000000</v>
      </c>
      <c r="H1757">
        <v>141000</v>
      </c>
      <c r="I1757" t="s">
        <v>977</v>
      </c>
    </row>
    <row r="1758" spans="1:9" x14ac:dyDescent="0.25">
      <c r="A1758">
        <v>3130</v>
      </c>
      <c r="B1758">
        <v>10</v>
      </c>
      <c r="C1758" t="s">
        <v>963</v>
      </c>
      <c r="D1758" t="s">
        <v>999</v>
      </c>
      <c r="E1758" t="s">
        <v>976</v>
      </c>
      <c r="F1758" t="s">
        <v>953</v>
      </c>
      <c r="G1758">
        <v>1000000</v>
      </c>
      <c r="H1758">
        <v>141000</v>
      </c>
      <c r="I1758" t="s">
        <v>977</v>
      </c>
    </row>
    <row r="1759" spans="1:9" x14ac:dyDescent="0.25">
      <c r="A1759">
        <v>3130</v>
      </c>
      <c r="B1759">
        <v>10</v>
      </c>
      <c r="C1759" t="s">
        <v>963</v>
      </c>
      <c r="D1759" t="s">
        <v>999</v>
      </c>
      <c r="E1759" t="s">
        <v>976</v>
      </c>
      <c r="F1759" t="s">
        <v>954</v>
      </c>
      <c r="G1759">
        <v>1000000</v>
      </c>
      <c r="H1759">
        <v>141000</v>
      </c>
      <c r="I1759" t="s">
        <v>977</v>
      </c>
    </row>
    <row r="1760" spans="1:9" x14ac:dyDescent="0.25">
      <c r="A1760">
        <v>3130</v>
      </c>
      <c r="B1760">
        <v>10</v>
      </c>
      <c r="C1760" t="s">
        <v>963</v>
      </c>
      <c r="D1760" t="s">
        <v>999</v>
      </c>
      <c r="E1760" t="s">
        <v>976</v>
      </c>
      <c r="F1760" t="s">
        <v>955</v>
      </c>
      <c r="G1760">
        <v>1000000</v>
      </c>
      <c r="H1760">
        <v>141000</v>
      </c>
      <c r="I1760" t="s">
        <v>977</v>
      </c>
    </row>
    <row r="1761" spans="1:9" x14ac:dyDescent="0.25">
      <c r="A1761">
        <v>3130</v>
      </c>
      <c r="B1761">
        <v>10</v>
      </c>
      <c r="C1761" t="s">
        <v>963</v>
      </c>
      <c r="D1761" t="s">
        <v>999</v>
      </c>
      <c r="E1761" t="s">
        <v>976</v>
      </c>
      <c r="F1761" t="s">
        <v>956</v>
      </c>
      <c r="G1761">
        <v>1000000</v>
      </c>
      <c r="H1761">
        <v>141000</v>
      </c>
      <c r="I1761" t="s">
        <v>977</v>
      </c>
    </row>
    <row r="1762" spans="1:9" x14ac:dyDescent="0.25">
      <c r="A1762">
        <v>3130</v>
      </c>
      <c r="B1762">
        <v>10</v>
      </c>
      <c r="C1762" t="s">
        <v>963</v>
      </c>
      <c r="D1762" t="s">
        <v>999</v>
      </c>
      <c r="E1762" t="s">
        <v>976</v>
      </c>
      <c r="F1762" t="s">
        <v>957</v>
      </c>
      <c r="G1762">
        <v>1000000</v>
      </c>
      <c r="H1762">
        <v>141000</v>
      </c>
      <c r="I1762" t="s">
        <v>977</v>
      </c>
    </row>
    <row r="1763" spans="1:9" x14ac:dyDescent="0.25">
      <c r="A1763">
        <v>3130</v>
      </c>
      <c r="B1763">
        <v>10</v>
      </c>
      <c r="C1763" t="s">
        <v>963</v>
      </c>
      <c r="D1763" t="s">
        <v>999</v>
      </c>
      <c r="E1763" t="s">
        <v>976</v>
      </c>
      <c r="F1763" t="s">
        <v>958</v>
      </c>
      <c r="G1763">
        <v>1000000</v>
      </c>
      <c r="H1763">
        <v>141000</v>
      </c>
      <c r="I1763" t="s">
        <v>977</v>
      </c>
    </row>
    <row r="1764" spans="1:9" x14ac:dyDescent="0.25">
      <c r="A1764">
        <v>3130</v>
      </c>
      <c r="B1764">
        <v>10</v>
      </c>
      <c r="C1764" t="s">
        <v>963</v>
      </c>
      <c r="D1764" t="s">
        <v>999</v>
      </c>
      <c r="E1764" t="s">
        <v>976</v>
      </c>
      <c r="F1764" t="s">
        <v>959</v>
      </c>
      <c r="G1764">
        <v>1000000</v>
      </c>
      <c r="H1764">
        <v>141000</v>
      </c>
      <c r="I1764" t="s">
        <v>977</v>
      </c>
    </row>
    <row r="1765" spans="1:9" x14ac:dyDescent="0.25">
      <c r="A1765">
        <v>3130</v>
      </c>
      <c r="B1765">
        <v>10</v>
      </c>
      <c r="C1765" t="s">
        <v>963</v>
      </c>
      <c r="D1765" t="s">
        <v>999</v>
      </c>
      <c r="E1765" t="s">
        <v>976</v>
      </c>
      <c r="F1765" t="s">
        <v>960</v>
      </c>
      <c r="G1765">
        <v>1000000</v>
      </c>
      <c r="H1765">
        <v>141000</v>
      </c>
      <c r="I1765" t="s">
        <v>977</v>
      </c>
    </row>
    <row r="1766" spans="1:9" x14ac:dyDescent="0.25">
      <c r="A1766">
        <v>3130</v>
      </c>
      <c r="B1766">
        <v>10</v>
      </c>
      <c r="C1766" t="s">
        <v>963</v>
      </c>
      <c r="D1766" t="s">
        <v>999</v>
      </c>
      <c r="E1766" t="s">
        <v>976</v>
      </c>
      <c r="F1766" t="s">
        <v>961</v>
      </c>
      <c r="G1766">
        <v>1000000</v>
      </c>
      <c r="H1766">
        <v>141000</v>
      </c>
      <c r="I1766" t="s">
        <v>977</v>
      </c>
    </row>
    <row r="1767" spans="1:9" x14ac:dyDescent="0.25">
      <c r="A1767">
        <v>3130</v>
      </c>
      <c r="B1767">
        <v>10</v>
      </c>
      <c r="C1767" t="s">
        <v>950</v>
      </c>
      <c r="D1767" t="s">
        <v>999</v>
      </c>
      <c r="E1767" t="s">
        <v>290</v>
      </c>
      <c r="F1767" t="s">
        <v>951</v>
      </c>
      <c r="G1767">
        <v>1000000</v>
      </c>
      <c r="H1767">
        <v>143000</v>
      </c>
      <c r="I1767" t="s">
        <v>978</v>
      </c>
    </row>
    <row r="1768" spans="1:9" x14ac:dyDescent="0.25">
      <c r="A1768">
        <v>3130</v>
      </c>
      <c r="B1768">
        <v>10</v>
      </c>
      <c r="C1768" t="s">
        <v>950</v>
      </c>
      <c r="D1768" t="s">
        <v>999</v>
      </c>
      <c r="E1768" t="s">
        <v>290</v>
      </c>
      <c r="F1768" t="s">
        <v>952</v>
      </c>
      <c r="G1768">
        <v>1000000</v>
      </c>
      <c r="H1768">
        <v>143000</v>
      </c>
      <c r="I1768" t="s">
        <v>978</v>
      </c>
    </row>
    <row r="1769" spans="1:9" x14ac:dyDescent="0.25">
      <c r="A1769">
        <v>3130</v>
      </c>
      <c r="B1769">
        <v>10</v>
      </c>
      <c r="C1769" t="s">
        <v>950</v>
      </c>
      <c r="D1769" t="s">
        <v>999</v>
      </c>
      <c r="E1769" t="s">
        <v>290</v>
      </c>
      <c r="F1769" t="s">
        <v>953</v>
      </c>
      <c r="G1769">
        <v>1000000</v>
      </c>
      <c r="H1769">
        <v>143000</v>
      </c>
      <c r="I1769" t="s">
        <v>978</v>
      </c>
    </row>
    <row r="1770" spans="1:9" x14ac:dyDescent="0.25">
      <c r="A1770">
        <v>3130</v>
      </c>
      <c r="B1770">
        <v>10</v>
      </c>
      <c r="C1770" t="s">
        <v>950</v>
      </c>
      <c r="D1770" t="s">
        <v>999</v>
      </c>
      <c r="E1770" t="s">
        <v>290</v>
      </c>
      <c r="F1770" t="s">
        <v>954</v>
      </c>
      <c r="G1770">
        <v>1000000</v>
      </c>
      <c r="H1770">
        <v>143000</v>
      </c>
      <c r="I1770" t="s">
        <v>978</v>
      </c>
    </row>
    <row r="1771" spans="1:9" x14ac:dyDescent="0.25">
      <c r="A1771">
        <v>3130</v>
      </c>
      <c r="B1771">
        <v>10</v>
      </c>
      <c r="C1771" t="s">
        <v>950</v>
      </c>
      <c r="D1771" t="s">
        <v>999</v>
      </c>
      <c r="E1771" t="s">
        <v>290</v>
      </c>
      <c r="F1771" t="s">
        <v>955</v>
      </c>
      <c r="G1771">
        <v>1000000</v>
      </c>
      <c r="H1771">
        <v>143000</v>
      </c>
      <c r="I1771" t="s">
        <v>978</v>
      </c>
    </row>
    <row r="1772" spans="1:9" x14ac:dyDescent="0.25">
      <c r="A1772">
        <v>3130</v>
      </c>
      <c r="B1772">
        <v>10</v>
      </c>
      <c r="C1772" t="s">
        <v>950</v>
      </c>
      <c r="D1772" t="s">
        <v>999</v>
      </c>
      <c r="E1772" t="s">
        <v>290</v>
      </c>
      <c r="F1772" t="s">
        <v>956</v>
      </c>
      <c r="G1772">
        <v>1000000</v>
      </c>
      <c r="H1772">
        <v>143000</v>
      </c>
      <c r="I1772" t="s">
        <v>978</v>
      </c>
    </row>
    <row r="1773" spans="1:9" x14ac:dyDescent="0.25">
      <c r="A1773">
        <v>3130</v>
      </c>
      <c r="B1773">
        <v>10</v>
      </c>
      <c r="C1773" t="s">
        <v>950</v>
      </c>
      <c r="D1773" t="s">
        <v>999</v>
      </c>
      <c r="E1773" t="s">
        <v>290</v>
      </c>
      <c r="F1773" t="s">
        <v>957</v>
      </c>
      <c r="G1773">
        <v>1000000</v>
      </c>
      <c r="H1773">
        <v>143000</v>
      </c>
      <c r="I1773" t="s">
        <v>978</v>
      </c>
    </row>
    <row r="1774" spans="1:9" x14ac:dyDescent="0.25">
      <c r="A1774">
        <v>3130</v>
      </c>
      <c r="B1774">
        <v>10</v>
      </c>
      <c r="C1774" t="s">
        <v>950</v>
      </c>
      <c r="D1774" t="s">
        <v>999</v>
      </c>
      <c r="E1774" t="s">
        <v>290</v>
      </c>
      <c r="F1774" t="s">
        <v>958</v>
      </c>
      <c r="G1774">
        <v>1000000</v>
      </c>
      <c r="H1774">
        <v>143000</v>
      </c>
      <c r="I1774" t="s">
        <v>978</v>
      </c>
    </row>
    <row r="1775" spans="1:9" x14ac:dyDescent="0.25">
      <c r="A1775">
        <v>3130</v>
      </c>
      <c r="B1775">
        <v>10</v>
      </c>
      <c r="C1775" t="s">
        <v>950</v>
      </c>
      <c r="D1775" t="s">
        <v>999</v>
      </c>
      <c r="E1775" t="s">
        <v>290</v>
      </c>
      <c r="F1775" t="s">
        <v>959</v>
      </c>
      <c r="G1775">
        <v>1000000</v>
      </c>
      <c r="H1775">
        <v>143000</v>
      </c>
      <c r="I1775" t="s">
        <v>978</v>
      </c>
    </row>
    <row r="1776" spans="1:9" x14ac:dyDescent="0.25">
      <c r="A1776">
        <v>3130</v>
      </c>
      <c r="B1776">
        <v>10</v>
      </c>
      <c r="C1776" t="s">
        <v>950</v>
      </c>
      <c r="D1776" t="s">
        <v>999</v>
      </c>
      <c r="E1776" t="s">
        <v>290</v>
      </c>
      <c r="F1776" t="s">
        <v>960</v>
      </c>
      <c r="G1776">
        <v>1000000</v>
      </c>
      <c r="H1776">
        <v>143000</v>
      </c>
      <c r="I1776" t="s">
        <v>978</v>
      </c>
    </row>
    <row r="1777" spans="1:9" x14ac:dyDescent="0.25">
      <c r="A1777">
        <v>3130</v>
      </c>
      <c r="B1777">
        <v>10</v>
      </c>
      <c r="C1777" t="s">
        <v>950</v>
      </c>
      <c r="D1777" t="s">
        <v>999</v>
      </c>
      <c r="E1777" t="s">
        <v>290</v>
      </c>
      <c r="F1777" t="s">
        <v>961</v>
      </c>
      <c r="G1777">
        <v>1000000</v>
      </c>
      <c r="H1777">
        <v>143000</v>
      </c>
      <c r="I1777" t="s">
        <v>978</v>
      </c>
    </row>
    <row r="1778" spans="1:9" x14ac:dyDescent="0.25">
      <c r="A1778">
        <v>3130</v>
      </c>
      <c r="B1778">
        <v>10</v>
      </c>
      <c r="C1778" t="s">
        <v>962</v>
      </c>
      <c r="D1778" t="s">
        <v>999</v>
      </c>
      <c r="E1778" t="s">
        <v>290</v>
      </c>
      <c r="F1778" t="s">
        <v>951</v>
      </c>
      <c r="G1778">
        <v>1000000</v>
      </c>
      <c r="H1778">
        <v>143000</v>
      </c>
      <c r="I1778" t="s">
        <v>978</v>
      </c>
    </row>
    <row r="1779" spans="1:9" x14ac:dyDescent="0.25">
      <c r="A1779">
        <v>3130</v>
      </c>
      <c r="B1779">
        <v>10</v>
      </c>
      <c r="C1779" t="s">
        <v>962</v>
      </c>
      <c r="D1779" t="s">
        <v>999</v>
      </c>
      <c r="E1779" t="s">
        <v>290</v>
      </c>
      <c r="F1779" t="s">
        <v>952</v>
      </c>
      <c r="G1779">
        <v>1000000</v>
      </c>
      <c r="H1779">
        <v>143000</v>
      </c>
      <c r="I1779" t="s">
        <v>978</v>
      </c>
    </row>
    <row r="1780" spans="1:9" x14ac:dyDescent="0.25">
      <c r="A1780">
        <v>3130</v>
      </c>
      <c r="B1780">
        <v>10</v>
      </c>
      <c r="C1780" t="s">
        <v>962</v>
      </c>
      <c r="D1780" t="s">
        <v>999</v>
      </c>
      <c r="E1780" t="s">
        <v>290</v>
      </c>
      <c r="F1780" t="s">
        <v>953</v>
      </c>
      <c r="G1780">
        <v>1000000</v>
      </c>
      <c r="H1780">
        <v>143000</v>
      </c>
      <c r="I1780" t="s">
        <v>978</v>
      </c>
    </row>
    <row r="1781" spans="1:9" x14ac:dyDescent="0.25">
      <c r="A1781">
        <v>3130</v>
      </c>
      <c r="B1781">
        <v>10</v>
      </c>
      <c r="C1781" t="s">
        <v>962</v>
      </c>
      <c r="D1781" t="s">
        <v>999</v>
      </c>
      <c r="E1781" t="s">
        <v>290</v>
      </c>
      <c r="F1781" t="s">
        <v>954</v>
      </c>
      <c r="G1781">
        <v>1000000</v>
      </c>
      <c r="H1781">
        <v>143000</v>
      </c>
      <c r="I1781" t="s">
        <v>978</v>
      </c>
    </row>
    <row r="1782" spans="1:9" x14ac:dyDescent="0.25">
      <c r="A1782">
        <v>3130</v>
      </c>
      <c r="B1782">
        <v>10</v>
      </c>
      <c r="C1782" t="s">
        <v>962</v>
      </c>
      <c r="D1782" t="s">
        <v>999</v>
      </c>
      <c r="E1782" t="s">
        <v>290</v>
      </c>
      <c r="F1782" t="s">
        <v>955</v>
      </c>
      <c r="G1782">
        <v>1000000</v>
      </c>
      <c r="H1782">
        <v>143000</v>
      </c>
      <c r="I1782" t="s">
        <v>978</v>
      </c>
    </row>
    <row r="1783" spans="1:9" x14ac:dyDescent="0.25">
      <c r="A1783">
        <v>3130</v>
      </c>
      <c r="B1783">
        <v>10</v>
      </c>
      <c r="C1783" t="s">
        <v>962</v>
      </c>
      <c r="D1783" t="s">
        <v>999</v>
      </c>
      <c r="E1783" t="s">
        <v>290</v>
      </c>
      <c r="F1783" t="s">
        <v>956</v>
      </c>
      <c r="G1783">
        <v>1000000</v>
      </c>
      <c r="H1783">
        <v>143000</v>
      </c>
      <c r="I1783" t="s">
        <v>978</v>
      </c>
    </row>
    <row r="1784" spans="1:9" x14ac:dyDescent="0.25">
      <c r="A1784">
        <v>3130</v>
      </c>
      <c r="B1784">
        <v>10</v>
      </c>
      <c r="C1784" t="s">
        <v>962</v>
      </c>
      <c r="D1784" t="s">
        <v>999</v>
      </c>
      <c r="E1784" t="s">
        <v>290</v>
      </c>
      <c r="F1784" t="s">
        <v>957</v>
      </c>
      <c r="G1784">
        <v>1000000</v>
      </c>
      <c r="H1784">
        <v>143000</v>
      </c>
      <c r="I1784" t="s">
        <v>978</v>
      </c>
    </row>
    <row r="1785" spans="1:9" x14ac:dyDescent="0.25">
      <c r="A1785">
        <v>3130</v>
      </c>
      <c r="B1785">
        <v>10</v>
      </c>
      <c r="C1785" t="s">
        <v>962</v>
      </c>
      <c r="D1785" t="s">
        <v>999</v>
      </c>
      <c r="E1785" t="s">
        <v>290</v>
      </c>
      <c r="F1785" t="s">
        <v>958</v>
      </c>
      <c r="G1785">
        <v>1000000</v>
      </c>
      <c r="H1785">
        <v>143000</v>
      </c>
      <c r="I1785" t="s">
        <v>978</v>
      </c>
    </row>
    <row r="1786" spans="1:9" x14ac:dyDescent="0.25">
      <c r="A1786">
        <v>3130</v>
      </c>
      <c r="B1786">
        <v>10</v>
      </c>
      <c r="C1786" t="s">
        <v>962</v>
      </c>
      <c r="D1786" t="s">
        <v>999</v>
      </c>
      <c r="E1786" t="s">
        <v>290</v>
      </c>
      <c r="F1786" t="s">
        <v>959</v>
      </c>
      <c r="G1786">
        <v>1000000</v>
      </c>
      <c r="H1786">
        <v>143000</v>
      </c>
      <c r="I1786" t="s">
        <v>978</v>
      </c>
    </row>
    <row r="1787" spans="1:9" x14ac:dyDescent="0.25">
      <c r="A1787">
        <v>3130</v>
      </c>
      <c r="B1787">
        <v>10</v>
      </c>
      <c r="C1787" t="s">
        <v>962</v>
      </c>
      <c r="D1787" t="s">
        <v>999</v>
      </c>
      <c r="E1787" t="s">
        <v>290</v>
      </c>
      <c r="F1787" t="s">
        <v>960</v>
      </c>
      <c r="G1787">
        <v>1000000</v>
      </c>
      <c r="H1787">
        <v>143000</v>
      </c>
      <c r="I1787" t="s">
        <v>978</v>
      </c>
    </row>
    <row r="1788" spans="1:9" x14ac:dyDescent="0.25">
      <c r="A1788">
        <v>3130</v>
      </c>
      <c r="B1788">
        <v>10</v>
      </c>
      <c r="C1788" t="s">
        <v>962</v>
      </c>
      <c r="D1788" t="s">
        <v>999</v>
      </c>
      <c r="E1788" t="s">
        <v>290</v>
      </c>
      <c r="F1788" t="s">
        <v>961</v>
      </c>
      <c r="G1788">
        <v>1000000</v>
      </c>
      <c r="H1788">
        <v>143000</v>
      </c>
      <c r="I1788" t="s">
        <v>978</v>
      </c>
    </row>
    <row r="1789" spans="1:9" x14ac:dyDescent="0.25">
      <c r="A1789">
        <v>3130</v>
      </c>
      <c r="B1789">
        <v>10</v>
      </c>
      <c r="C1789" t="s">
        <v>963</v>
      </c>
      <c r="D1789" t="s">
        <v>999</v>
      </c>
      <c r="E1789" t="s">
        <v>290</v>
      </c>
      <c r="F1789" t="s">
        <v>951</v>
      </c>
      <c r="G1789">
        <v>1000000</v>
      </c>
      <c r="H1789">
        <v>143000</v>
      </c>
      <c r="I1789" t="s">
        <v>978</v>
      </c>
    </row>
    <row r="1790" spans="1:9" x14ac:dyDescent="0.25">
      <c r="A1790">
        <v>3130</v>
      </c>
      <c r="B1790">
        <v>10</v>
      </c>
      <c r="C1790" t="s">
        <v>963</v>
      </c>
      <c r="D1790" t="s">
        <v>999</v>
      </c>
      <c r="E1790" t="s">
        <v>290</v>
      </c>
      <c r="F1790" t="s">
        <v>952</v>
      </c>
      <c r="G1790">
        <v>1000000</v>
      </c>
      <c r="H1790">
        <v>143000</v>
      </c>
      <c r="I1790" t="s">
        <v>978</v>
      </c>
    </row>
    <row r="1791" spans="1:9" x14ac:dyDescent="0.25">
      <c r="A1791">
        <v>3130</v>
      </c>
      <c r="B1791">
        <v>10</v>
      </c>
      <c r="C1791" t="s">
        <v>963</v>
      </c>
      <c r="D1791" t="s">
        <v>999</v>
      </c>
      <c r="E1791" t="s">
        <v>290</v>
      </c>
      <c r="F1791" t="s">
        <v>953</v>
      </c>
      <c r="G1791">
        <v>1000000</v>
      </c>
      <c r="H1791">
        <v>143000</v>
      </c>
      <c r="I1791" t="s">
        <v>978</v>
      </c>
    </row>
    <row r="1792" spans="1:9" x14ac:dyDescent="0.25">
      <c r="A1792">
        <v>3130</v>
      </c>
      <c r="B1792">
        <v>10</v>
      </c>
      <c r="C1792" t="s">
        <v>963</v>
      </c>
      <c r="D1792" t="s">
        <v>999</v>
      </c>
      <c r="E1792" t="s">
        <v>290</v>
      </c>
      <c r="F1792" t="s">
        <v>954</v>
      </c>
      <c r="G1792">
        <v>1000000</v>
      </c>
      <c r="H1792">
        <v>143000</v>
      </c>
      <c r="I1792" t="s">
        <v>978</v>
      </c>
    </row>
    <row r="1793" spans="1:9" x14ac:dyDescent="0.25">
      <c r="A1793">
        <v>3130</v>
      </c>
      <c r="B1793">
        <v>10</v>
      </c>
      <c r="C1793" t="s">
        <v>963</v>
      </c>
      <c r="D1793" t="s">
        <v>999</v>
      </c>
      <c r="E1793" t="s">
        <v>290</v>
      </c>
      <c r="F1793" t="s">
        <v>955</v>
      </c>
      <c r="G1793">
        <v>1000000</v>
      </c>
      <c r="H1793">
        <v>143000</v>
      </c>
      <c r="I1793" t="s">
        <v>978</v>
      </c>
    </row>
    <row r="1794" spans="1:9" x14ac:dyDescent="0.25">
      <c r="A1794">
        <v>3130</v>
      </c>
      <c r="B1794">
        <v>10</v>
      </c>
      <c r="C1794" t="s">
        <v>963</v>
      </c>
      <c r="D1794" t="s">
        <v>999</v>
      </c>
      <c r="E1794" t="s">
        <v>290</v>
      </c>
      <c r="F1794" t="s">
        <v>956</v>
      </c>
      <c r="G1794">
        <v>1000000</v>
      </c>
      <c r="H1794">
        <v>143000</v>
      </c>
      <c r="I1794" t="s">
        <v>978</v>
      </c>
    </row>
    <row r="1795" spans="1:9" x14ac:dyDescent="0.25">
      <c r="A1795">
        <v>3130</v>
      </c>
      <c r="B1795">
        <v>10</v>
      </c>
      <c r="C1795" t="s">
        <v>963</v>
      </c>
      <c r="D1795" t="s">
        <v>999</v>
      </c>
      <c r="E1795" t="s">
        <v>290</v>
      </c>
      <c r="F1795" t="s">
        <v>957</v>
      </c>
      <c r="G1795">
        <v>1000000</v>
      </c>
      <c r="H1795">
        <v>143000</v>
      </c>
      <c r="I1795" t="s">
        <v>978</v>
      </c>
    </row>
    <row r="1796" spans="1:9" x14ac:dyDescent="0.25">
      <c r="A1796">
        <v>3130</v>
      </c>
      <c r="B1796">
        <v>10</v>
      </c>
      <c r="C1796" t="s">
        <v>963</v>
      </c>
      <c r="D1796" t="s">
        <v>999</v>
      </c>
      <c r="E1796" t="s">
        <v>290</v>
      </c>
      <c r="F1796" t="s">
        <v>958</v>
      </c>
      <c r="G1796">
        <v>1000000</v>
      </c>
      <c r="H1796">
        <v>143000</v>
      </c>
      <c r="I1796" t="s">
        <v>978</v>
      </c>
    </row>
    <row r="1797" spans="1:9" x14ac:dyDescent="0.25">
      <c r="A1797">
        <v>3130</v>
      </c>
      <c r="B1797">
        <v>10</v>
      </c>
      <c r="C1797" t="s">
        <v>963</v>
      </c>
      <c r="D1797" t="s">
        <v>999</v>
      </c>
      <c r="E1797" t="s">
        <v>290</v>
      </c>
      <c r="F1797" t="s">
        <v>959</v>
      </c>
      <c r="G1797">
        <v>1000000</v>
      </c>
      <c r="H1797">
        <v>143000</v>
      </c>
      <c r="I1797" t="s">
        <v>978</v>
      </c>
    </row>
    <row r="1798" spans="1:9" x14ac:dyDescent="0.25">
      <c r="A1798">
        <v>3130</v>
      </c>
      <c r="B1798">
        <v>10</v>
      </c>
      <c r="C1798" t="s">
        <v>963</v>
      </c>
      <c r="D1798" t="s">
        <v>999</v>
      </c>
      <c r="E1798" t="s">
        <v>290</v>
      </c>
      <c r="F1798" t="s">
        <v>960</v>
      </c>
      <c r="G1798">
        <v>1000000</v>
      </c>
      <c r="H1798">
        <v>143000</v>
      </c>
      <c r="I1798" t="s">
        <v>978</v>
      </c>
    </row>
    <row r="1799" spans="1:9" x14ac:dyDescent="0.25">
      <c r="A1799">
        <v>3130</v>
      </c>
      <c r="B1799">
        <v>10</v>
      </c>
      <c r="C1799" t="s">
        <v>963</v>
      </c>
      <c r="D1799" t="s">
        <v>999</v>
      </c>
      <c r="E1799" t="s">
        <v>290</v>
      </c>
      <c r="F1799" t="s">
        <v>961</v>
      </c>
      <c r="G1799">
        <v>1000000</v>
      </c>
      <c r="H1799">
        <v>143000</v>
      </c>
      <c r="I1799" t="s">
        <v>978</v>
      </c>
    </row>
    <row r="1800" spans="1:9" x14ac:dyDescent="0.25">
      <c r="A1800">
        <v>3130</v>
      </c>
      <c r="B1800">
        <v>10</v>
      </c>
      <c r="C1800" t="s">
        <v>950</v>
      </c>
      <c r="D1800" t="s">
        <v>999</v>
      </c>
      <c r="E1800" t="s">
        <v>294</v>
      </c>
      <c r="F1800" t="s">
        <v>951</v>
      </c>
      <c r="G1800">
        <v>1000000</v>
      </c>
      <c r="H1800">
        <v>143000</v>
      </c>
      <c r="I1800" t="s">
        <v>979</v>
      </c>
    </row>
    <row r="1801" spans="1:9" x14ac:dyDescent="0.25">
      <c r="A1801">
        <v>3130</v>
      </c>
      <c r="B1801">
        <v>10</v>
      </c>
      <c r="C1801" t="s">
        <v>950</v>
      </c>
      <c r="D1801" t="s">
        <v>999</v>
      </c>
      <c r="E1801" t="s">
        <v>294</v>
      </c>
      <c r="F1801" t="s">
        <v>952</v>
      </c>
      <c r="G1801">
        <v>1000000</v>
      </c>
      <c r="H1801">
        <v>143000</v>
      </c>
      <c r="I1801" t="s">
        <v>979</v>
      </c>
    </row>
    <row r="1802" spans="1:9" x14ac:dyDescent="0.25">
      <c r="A1802">
        <v>3130</v>
      </c>
      <c r="B1802">
        <v>10</v>
      </c>
      <c r="C1802" t="s">
        <v>950</v>
      </c>
      <c r="D1802" t="s">
        <v>999</v>
      </c>
      <c r="E1802" t="s">
        <v>294</v>
      </c>
      <c r="F1802" t="s">
        <v>953</v>
      </c>
      <c r="G1802">
        <v>1000000</v>
      </c>
      <c r="H1802">
        <v>143000</v>
      </c>
      <c r="I1802" t="s">
        <v>979</v>
      </c>
    </row>
    <row r="1803" spans="1:9" x14ac:dyDescent="0.25">
      <c r="A1803">
        <v>3130</v>
      </c>
      <c r="B1803">
        <v>10</v>
      </c>
      <c r="C1803" t="s">
        <v>950</v>
      </c>
      <c r="D1803" t="s">
        <v>999</v>
      </c>
      <c r="E1803" t="s">
        <v>294</v>
      </c>
      <c r="F1803" t="s">
        <v>954</v>
      </c>
      <c r="G1803">
        <v>1000000</v>
      </c>
      <c r="H1803">
        <v>143000</v>
      </c>
      <c r="I1803" t="s">
        <v>979</v>
      </c>
    </row>
    <row r="1804" spans="1:9" x14ac:dyDescent="0.25">
      <c r="A1804">
        <v>3130</v>
      </c>
      <c r="B1804">
        <v>10</v>
      </c>
      <c r="C1804" t="s">
        <v>950</v>
      </c>
      <c r="D1804" t="s">
        <v>999</v>
      </c>
      <c r="E1804" t="s">
        <v>294</v>
      </c>
      <c r="F1804" t="s">
        <v>955</v>
      </c>
      <c r="G1804">
        <v>1000000</v>
      </c>
      <c r="H1804">
        <v>143000</v>
      </c>
      <c r="I1804" t="s">
        <v>979</v>
      </c>
    </row>
    <row r="1805" spans="1:9" x14ac:dyDescent="0.25">
      <c r="A1805">
        <v>3130</v>
      </c>
      <c r="B1805">
        <v>10</v>
      </c>
      <c r="C1805" t="s">
        <v>950</v>
      </c>
      <c r="D1805" t="s">
        <v>999</v>
      </c>
      <c r="E1805" t="s">
        <v>294</v>
      </c>
      <c r="F1805" t="s">
        <v>956</v>
      </c>
      <c r="G1805">
        <v>1000000</v>
      </c>
      <c r="H1805">
        <v>143000</v>
      </c>
      <c r="I1805" t="s">
        <v>979</v>
      </c>
    </row>
    <row r="1806" spans="1:9" x14ac:dyDescent="0.25">
      <c r="A1806">
        <v>3130</v>
      </c>
      <c r="B1806">
        <v>10</v>
      </c>
      <c r="C1806" t="s">
        <v>950</v>
      </c>
      <c r="D1806" t="s">
        <v>999</v>
      </c>
      <c r="E1806" t="s">
        <v>294</v>
      </c>
      <c r="F1806" t="s">
        <v>957</v>
      </c>
      <c r="G1806">
        <v>1000000</v>
      </c>
      <c r="H1806">
        <v>143000</v>
      </c>
      <c r="I1806" t="s">
        <v>979</v>
      </c>
    </row>
    <row r="1807" spans="1:9" x14ac:dyDescent="0.25">
      <c r="A1807">
        <v>3130</v>
      </c>
      <c r="B1807">
        <v>10</v>
      </c>
      <c r="C1807" t="s">
        <v>950</v>
      </c>
      <c r="D1807" t="s">
        <v>999</v>
      </c>
      <c r="E1807" t="s">
        <v>294</v>
      </c>
      <c r="F1807" t="s">
        <v>958</v>
      </c>
      <c r="G1807">
        <v>1000000</v>
      </c>
      <c r="H1807">
        <v>143000</v>
      </c>
      <c r="I1807" t="s">
        <v>979</v>
      </c>
    </row>
    <row r="1808" spans="1:9" x14ac:dyDescent="0.25">
      <c r="A1808">
        <v>3130</v>
      </c>
      <c r="B1808">
        <v>10</v>
      </c>
      <c r="C1808" t="s">
        <v>950</v>
      </c>
      <c r="D1808" t="s">
        <v>999</v>
      </c>
      <c r="E1808" t="s">
        <v>294</v>
      </c>
      <c r="F1808" t="s">
        <v>959</v>
      </c>
      <c r="G1808">
        <v>1000000</v>
      </c>
      <c r="H1808">
        <v>143000</v>
      </c>
      <c r="I1808" t="s">
        <v>979</v>
      </c>
    </row>
    <row r="1809" spans="1:9" x14ac:dyDescent="0.25">
      <c r="A1809">
        <v>3130</v>
      </c>
      <c r="B1809">
        <v>10</v>
      </c>
      <c r="C1809" t="s">
        <v>950</v>
      </c>
      <c r="D1809" t="s">
        <v>999</v>
      </c>
      <c r="E1809" t="s">
        <v>294</v>
      </c>
      <c r="F1809" t="s">
        <v>960</v>
      </c>
      <c r="G1809">
        <v>1000000</v>
      </c>
      <c r="H1809">
        <v>143000</v>
      </c>
      <c r="I1809" t="s">
        <v>979</v>
      </c>
    </row>
    <row r="1810" spans="1:9" x14ac:dyDescent="0.25">
      <c r="A1810">
        <v>3130</v>
      </c>
      <c r="B1810">
        <v>10</v>
      </c>
      <c r="C1810" t="s">
        <v>950</v>
      </c>
      <c r="D1810" t="s">
        <v>999</v>
      </c>
      <c r="E1810" t="s">
        <v>294</v>
      </c>
      <c r="F1810" t="s">
        <v>961</v>
      </c>
      <c r="G1810">
        <v>1000000</v>
      </c>
      <c r="H1810">
        <v>143000</v>
      </c>
      <c r="I1810" t="s">
        <v>979</v>
      </c>
    </row>
    <row r="1811" spans="1:9" x14ac:dyDescent="0.25">
      <c r="A1811">
        <v>3130</v>
      </c>
      <c r="B1811">
        <v>10</v>
      </c>
      <c r="C1811" t="s">
        <v>962</v>
      </c>
      <c r="D1811" t="s">
        <v>999</v>
      </c>
      <c r="E1811" t="s">
        <v>294</v>
      </c>
      <c r="F1811" t="s">
        <v>951</v>
      </c>
      <c r="G1811">
        <v>1000000</v>
      </c>
      <c r="H1811">
        <v>143000</v>
      </c>
      <c r="I1811" t="s">
        <v>979</v>
      </c>
    </row>
    <row r="1812" spans="1:9" x14ac:dyDescent="0.25">
      <c r="A1812">
        <v>3130</v>
      </c>
      <c r="B1812">
        <v>10</v>
      </c>
      <c r="C1812" t="s">
        <v>962</v>
      </c>
      <c r="D1812" t="s">
        <v>999</v>
      </c>
      <c r="E1812" t="s">
        <v>294</v>
      </c>
      <c r="F1812" t="s">
        <v>952</v>
      </c>
      <c r="G1812">
        <v>1000000</v>
      </c>
      <c r="H1812">
        <v>143000</v>
      </c>
      <c r="I1812" t="s">
        <v>979</v>
      </c>
    </row>
    <row r="1813" spans="1:9" x14ac:dyDescent="0.25">
      <c r="A1813">
        <v>3130</v>
      </c>
      <c r="B1813">
        <v>10</v>
      </c>
      <c r="C1813" t="s">
        <v>962</v>
      </c>
      <c r="D1813" t="s">
        <v>999</v>
      </c>
      <c r="E1813" t="s">
        <v>294</v>
      </c>
      <c r="F1813" t="s">
        <v>953</v>
      </c>
      <c r="G1813">
        <v>1000000</v>
      </c>
      <c r="H1813">
        <v>143000</v>
      </c>
      <c r="I1813" t="s">
        <v>979</v>
      </c>
    </row>
    <row r="1814" spans="1:9" x14ac:dyDescent="0.25">
      <c r="A1814">
        <v>3130</v>
      </c>
      <c r="B1814">
        <v>10</v>
      </c>
      <c r="C1814" t="s">
        <v>962</v>
      </c>
      <c r="D1814" t="s">
        <v>999</v>
      </c>
      <c r="E1814" t="s">
        <v>294</v>
      </c>
      <c r="F1814" t="s">
        <v>954</v>
      </c>
      <c r="G1814">
        <v>1000000</v>
      </c>
      <c r="H1814">
        <v>143000</v>
      </c>
      <c r="I1814" t="s">
        <v>979</v>
      </c>
    </row>
    <row r="1815" spans="1:9" x14ac:dyDescent="0.25">
      <c r="A1815">
        <v>3130</v>
      </c>
      <c r="B1815">
        <v>10</v>
      </c>
      <c r="C1815" t="s">
        <v>962</v>
      </c>
      <c r="D1815" t="s">
        <v>999</v>
      </c>
      <c r="E1815" t="s">
        <v>294</v>
      </c>
      <c r="F1815" t="s">
        <v>955</v>
      </c>
      <c r="G1815">
        <v>1000000</v>
      </c>
      <c r="H1815">
        <v>143000</v>
      </c>
      <c r="I1815" t="s">
        <v>979</v>
      </c>
    </row>
    <row r="1816" spans="1:9" x14ac:dyDescent="0.25">
      <c r="A1816">
        <v>3130</v>
      </c>
      <c r="B1816">
        <v>10</v>
      </c>
      <c r="C1816" t="s">
        <v>962</v>
      </c>
      <c r="D1816" t="s">
        <v>999</v>
      </c>
      <c r="E1816" t="s">
        <v>294</v>
      </c>
      <c r="F1816" t="s">
        <v>956</v>
      </c>
      <c r="G1816">
        <v>1000000</v>
      </c>
      <c r="H1816">
        <v>143000</v>
      </c>
      <c r="I1816" t="s">
        <v>979</v>
      </c>
    </row>
    <row r="1817" spans="1:9" x14ac:dyDescent="0.25">
      <c r="A1817">
        <v>3130</v>
      </c>
      <c r="B1817">
        <v>10</v>
      </c>
      <c r="C1817" t="s">
        <v>962</v>
      </c>
      <c r="D1817" t="s">
        <v>999</v>
      </c>
      <c r="E1817" t="s">
        <v>294</v>
      </c>
      <c r="F1817" t="s">
        <v>957</v>
      </c>
      <c r="G1817">
        <v>1000000</v>
      </c>
      <c r="H1817">
        <v>143000</v>
      </c>
      <c r="I1817" t="s">
        <v>979</v>
      </c>
    </row>
    <row r="1818" spans="1:9" x14ac:dyDescent="0.25">
      <c r="A1818">
        <v>3130</v>
      </c>
      <c r="B1818">
        <v>10</v>
      </c>
      <c r="C1818" t="s">
        <v>962</v>
      </c>
      <c r="D1818" t="s">
        <v>999</v>
      </c>
      <c r="E1818" t="s">
        <v>294</v>
      </c>
      <c r="F1818" t="s">
        <v>958</v>
      </c>
      <c r="G1818">
        <v>1000000</v>
      </c>
      <c r="H1818">
        <v>143000</v>
      </c>
      <c r="I1818" t="s">
        <v>979</v>
      </c>
    </row>
    <row r="1819" spans="1:9" x14ac:dyDescent="0.25">
      <c r="A1819">
        <v>3130</v>
      </c>
      <c r="B1819">
        <v>10</v>
      </c>
      <c r="C1819" t="s">
        <v>962</v>
      </c>
      <c r="D1819" t="s">
        <v>999</v>
      </c>
      <c r="E1819" t="s">
        <v>294</v>
      </c>
      <c r="F1819" t="s">
        <v>959</v>
      </c>
      <c r="G1819">
        <v>1000000</v>
      </c>
      <c r="H1819">
        <v>143000</v>
      </c>
      <c r="I1819" t="s">
        <v>979</v>
      </c>
    </row>
    <row r="1820" spans="1:9" x14ac:dyDescent="0.25">
      <c r="A1820">
        <v>3130</v>
      </c>
      <c r="B1820">
        <v>10</v>
      </c>
      <c r="C1820" t="s">
        <v>962</v>
      </c>
      <c r="D1820" t="s">
        <v>999</v>
      </c>
      <c r="E1820" t="s">
        <v>294</v>
      </c>
      <c r="F1820" t="s">
        <v>960</v>
      </c>
      <c r="G1820">
        <v>1000000</v>
      </c>
      <c r="H1820">
        <v>143000</v>
      </c>
      <c r="I1820" t="s">
        <v>979</v>
      </c>
    </row>
    <row r="1821" spans="1:9" x14ac:dyDescent="0.25">
      <c r="A1821">
        <v>3130</v>
      </c>
      <c r="B1821">
        <v>10</v>
      </c>
      <c r="C1821" t="s">
        <v>962</v>
      </c>
      <c r="D1821" t="s">
        <v>999</v>
      </c>
      <c r="E1821" t="s">
        <v>294</v>
      </c>
      <c r="F1821" t="s">
        <v>961</v>
      </c>
      <c r="G1821">
        <v>1000000</v>
      </c>
      <c r="H1821">
        <v>143000</v>
      </c>
      <c r="I1821" t="s">
        <v>979</v>
      </c>
    </row>
    <row r="1822" spans="1:9" x14ac:dyDescent="0.25">
      <c r="A1822">
        <v>3130</v>
      </c>
      <c r="B1822">
        <v>10</v>
      </c>
      <c r="C1822" t="s">
        <v>963</v>
      </c>
      <c r="D1822" t="s">
        <v>999</v>
      </c>
      <c r="E1822" t="s">
        <v>294</v>
      </c>
      <c r="F1822" t="s">
        <v>951</v>
      </c>
      <c r="G1822">
        <v>1000000</v>
      </c>
      <c r="H1822">
        <v>143000</v>
      </c>
      <c r="I1822" t="s">
        <v>979</v>
      </c>
    </row>
    <row r="1823" spans="1:9" x14ac:dyDescent="0.25">
      <c r="A1823">
        <v>3130</v>
      </c>
      <c r="B1823">
        <v>10</v>
      </c>
      <c r="C1823" t="s">
        <v>963</v>
      </c>
      <c r="D1823" t="s">
        <v>999</v>
      </c>
      <c r="E1823" t="s">
        <v>294</v>
      </c>
      <c r="F1823" t="s">
        <v>952</v>
      </c>
      <c r="G1823">
        <v>1000000</v>
      </c>
      <c r="H1823">
        <v>143000</v>
      </c>
      <c r="I1823" t="s">
        <v>979</v>
      </c>
    </row>
    <row r="1824" spans="1:9" x14ac:dyDescent="0.25">
      <c r="A1824">
        <v>3130</v>
      </c>
      <c r="B1824">
        <v>10</v>
      </c>
      <c r="C1824" t="s">
        <v>963</v>
      </c>
      <c r="D1824" t="s">
        <v>999</v>
      </c>
      <c r="E1824" t="s">
        <v>294</v>
      </c>
      <c r="F1824" t="s">
        <v>953</v>
      </c>
      <c r="G1824">
        <v>1000000</v>
      </c>
      <c r="H1824">
        <v>143000</v>
      </c>
      <c r="I1824" t="s">
        <v>979</v>
      </c>
    </row>
    <row r="1825" spans="1:9" x14ac:dyDescent="0.25">
      <c r="A1825">
        <v>3130</v>
      </c>
      <c r="B1825">
        <v>10</v>
      </c>
      <c r="C1825" t="s">
        <v>963</v>
      </c>
      <c r="D1825" t="s">
        <v>999</v>
      </c>
      <c r="E1825" t="s">
        <v>294</v>
      </c>
      <c r="F1825" t="s">
        <v>954</v>
      </c>
      <c r="G1825">
        <v>1000000</v>
      </c>
      <c r="H1825">
        <v>143000</v>
      </c>
      <c r="I1825" t="s">
        <v>979</v>
      </c>
    </row>
    <row r="1826" spans="1:9" x14ac:dyDescent="0.25">
      <c r="A1826">
        <v>3130</v>
      </c>
      <c r="B1826">
        <v>10</v>
      </c>
      <c r="C1826" t="s">
        <v>963</v>
      </c>
      <c r="D1826" t="s">
        <v>999</v>
      </c>
      <c r="E1826" t="s">
        <v>294</v>
      </c>
      <c r="F1826" t="s">
        <v>955</v>
      </c>
      <c r="G1826">
        <v>1000000</v>
      </c>
      <c r="H1826">
        <v>143000</v>
      </c>
      <c r="I1826" t="s">
        <v>979</v>
      </c>
    </row>
    <row r="1827" spans="1:9" x14ac:dyDescent="0.25">
      <c r="A1827">
        <v>3130</v>
      </c>
      <c r="B1827">
        <v>10</v>
      </c>
      <c r="C1827" t="s">
        <v>963</v>
      </c>
      <c r="D1827" t="s">
        <v>999</v>
      </c>
      <c r="E1827" t="s">
        <v>294</v>
      </c>
      <c r="F1827" t="s">
        <v>956</v>
      </c>
      <c r="G1827">
        <v>1000000</v>
      </c>
      <c r="H1827">
        <v>143000</v>
      </c>
      <c r="I1827" t="s">
        <v>979</v>
      </c>
    </row>
    <row r="1828" spans="1:9" x14ac:dyDescent="0.25">
      <c r="A1828">
        <v>3130</v>
      </c>
      <c r="B1828">
        <v>10</v>
      </c>
      <c r="C1828" t="s">
        <v>963</v>
      </c>
      <c r="D1828" t="s">
        <v>999</v>
      </c>
      <c r="E1828" t="s">
        <v>294</v>
      </c>
      <c r="F1828" t="s">
        <v>957</v>
      </c>
      <c r="G1828">
        <v>1000000</v>
      </c>
      <c r="H1828">
        <v>143000</v>
      </c>
      <c r="I1828" t="s">
        <v>979</v>
      </c>
    </row>
    <row r="1829" spans="1:9" x14ac:dyDescent="0.25">
      <c r="A1829">
        <v>3130</v>
      </c>
      <c r="B1829">
        <v>10</v>
      </c>
      <c r="C1829" t="s">
        <v>963</v>
      </c>
      <c r="D1829" t="s">
        <v>999</v>
      </c>
      <c r="E1829" t="s">
        <v>294</v>
      </c>
      <c r="F1829" t="s">
        <v>958</v>
      </c>
      <c r="G1829">
        <v>1000000</v>
      </c>
      <c r="H1829">
        <v>143000</v>
      </c>
      <c r="I1829" t="s">
        <v>979</v>
      </c>
    </row>
    <row r="1830" spans="1:9" x14ac:dyDescent="0.25">
      <c r="A1830">
        <v>3130</v>
      </c>
      <c r="B1830">
        <v>10</v>
      </c>
      <c r="C1830" t="s">
        <v>963</v>
      </c>
      <c r="D1830" t="s">
        <v>999</v>
      </c>
      <c r="E1830" t="s">
        <v>294</v>
      </c>
      <c r="F1830" t="s">
        <v>959</v>
      </c>
      <c r="G1830">
        <v>1000000</v>
      </c>
      <c r="H1830">
        <v>143000</v>
      </c>
      <c r="I1830" t="s">
        <v>979</v>
      </c>
    </row>
    <row r="1831" spans="1:9" x14ac:dyDescent="0.25">
      <c r="A1831">
        <v>3130</v>
      </c>
      <c r="B1831">
        <v>10</v>
      </c>
      <c r="C1831" t="s">
        <v>963</v>
      </c>
      <c r="D1831" t="s">
        <v>999</v>
      </c>
      <c r="E1831" t="s">
        <v>294</v>
      </c>
      <c r="F1831" t="s">
        <v>960</v>
      </c>
      <c r="G1831">
        <v>1000000</v>
      </c>
      <c r="H1831">
        <v>143000</v>
      </c>
      <c r="I1831" t="s">
        <v>979</v>
      </c>
    </row>
    <row r="1832" spans="1:9" x14ac:dyDescent="0.25">
      <c r="A1832">
        <v>3130</v>
      </c>
      <c r="B1832">
        <v>10</v>
      </c>
      <c r="C1832" t="s">
        <v>963</v>
      </c>
      <c r="D1832" t="s">
        <v>999</v>
      </c>
      <c r="E1832" t="s">
        <v>294</v>
      </c>
      <c r="F1832" t="s">
        <v>961</v>
      </c>
      <c r="G1832">
        <v>1000000</v>
      </c>
      <c r="H1832">
        <v>143000</v>
      </c>
      <c r="I1832" t="s">
        <v>979</v>
      </c>
    </row>
    <row r="1833" spans="1:9" x14ac:dyDescent="0.25">
      <c r="A1833">
        <v>3130</v>
      </c>
      <c r="B1833">
        <v>10</v>
      </c>
      <c r="C1833" t="s">
        <v>950</v>
      </c>
      <c r="D1833" t="s">
        <v>999</v>
      </c>
      <c r="E1833" t="s">
        <v>980</v>
      </c>
      <c r="F1833" t="s">
        <v>951</v>
      </c>
      <c r="G1833">
        <v>1000000</v>
      </c>
      <c r="H1833">
        <v>141000</v>
      </c>
      <c r="I1833" t="s">
        <v>981</v>
      </c>
    </row>
    <row r="1834" spans="1:9" x14ac:dyDescent="0.25">
      <c r="A1834">
        <v>3130</v>
      </c>
      <c r="B1834">
        <v>10</v>
      </c>
      <c r="C1834" t="s">
        <v>950</v>
      </c>
      <c r="D1834" t="s">
        <v>999</v>
      </c>
      <c r="E1834" t="s">
        <v>980</v>
      </c>
      <c r="F1834" t="s">
        <v>952</v>
      </c>
      <c r="G1834">
        <v>1000000</v>
      </c>
      <c r="H1834">
        <v>141000</v>
      </c>
      <c r="I1834" t="s">
        <v>981</v>
      </c>
    </row>
    <row r="1835" spans="1:9" x14ac:dyDescent="0.25">
      <c r="A1835">
        <v>3130</v>
      </c>
      <c r="B1835">
        <v>10</v>
      </c>
      <c r="C1835" t="s">
        <v>950</v>
      </c>
      <c r="D1835" t="s">
        <v>999</v>
      </c>
      <c r="E1835" t="s">
        <v>980</v>
      </c>
      <c r="F1835" t="s">
        <v>953</v>
      </c>
      <c r="G1835">
        <v>1000000</v>
      </c>
      <c r="H1835">
        <v>141000</v>
      </c>
      <c r="I1835" t="s">
        <v>981</v>
      </c>
    </row>
    <row r="1836" spans="1:9" x14ac:dyDescent="0.25">
      <c r="A1836">
        <v>3130</v>
      </c>
      <c r="B1836">
        <v>10</v>
      </c>
      <c r="C1836" t="s">
        <v>950</v>
      </c>
      <c r="D1836" t="s">
        <v>999</v>
      </c>
      <c r="E1836" t="s">
        <v>980</v>
      </c>
      <c r="F1836" t="s">
        <v>954</v>
      </c>
      <c r="G1836">
        <v>1000000</v>
      </c>
      <c r="H1836">
        <v>141000</v>
      </c>
      <c r="I1836" t="s">
        <v>981</v>
      </c>
    </row>
    <row r="1837" spans="1:9" x14ac:dyDescent="0.25">
      <c r="A1837">
        <v>3130</v>
      </c>
      <c r="B1837">
        <v>10</v>
      </c>
      <c r="C1837" t="s">
        <v>950</v>
      </c>
      <c r="D1837" t="s">
        <v>999</v>
      </c>
      <c r="E1837" t="s">
        <v>980</v>
      </c>
      <c r="F1837" t="s">
        <v>955</v>
      </c>
      <c r="G1837">
        <v>1000000</v>
      </c>
      <c r="H1837">
        <v>141000</v>
      </c>
      <c r="I1837" t="s">
        <v>981</v>
      </c>
    </row>
    <row r="1838" spans="1:9" x14ac:dyDescent="0.25">
      <c r="A1838">
        <v>3130</v>
      </c>
      <c r="B1838">
        <v>10</v>
      </c>
      <c r="C1838" t="s">
        <v>950</v>
      </c>
      <c r="D1838" t="s">
        <v>999</v>
      </c>
      <c r="E1838" t="s">
        <v>980</v>
      </c>
      <c r="F1838" t="s">
        <v>956</v>
      </c>
      <c r="G1838">
        <v>1000000</v>
      </c>
      <c r="H1838">
        <v>141000</v>
      </c>
      <c r="I1838" t="s">
        <v>981</v>
      </c>
    </row>
    <row r="1839" spans="1:9" x14ac:dyDescent="0.25">
      <c r="A1839">
        <v>3130</v>
      </c>
      <c r="B1839">
        <v>10</v>
      </c>
      <c r="C1839" t="s">
        <v>950</v>
      </c>
      <c r="D1839" t="s">
        <v>999</v>
      </c>
      <c r="E1839" t="s">
        <v>980</v>
      </c>
      <c r="F1839" t="s">
        <v>957</v>
      </c>
      <c r="G1839">
        <v>1000000</v>
      </c>
      <c r="H1839">
        <v>141000</v>
      </c>
      <c r="I1839" t="s">
        <v>981</v>
      </c>
    </row>
    <row r="1840" spans="1:9" x14ac:dyDescent="0.25">
      <c r="A1840">
        <v>3130</v>
      </c>
      <c r="B1840">
        <v>10</v>
      </c>
      <c r="C1840" t="s">
        <v>950</v>
      </c>
      <c r="D1840" t="s">
        <v>999</v>
      </c>
      <c r="E1840" t="s">
        <v>980</v>
      </c>
      <c r="F1840" t="s">
        <v>958</v>
      </c>
      <c r="G1840">
        <v>1000000</v>
      </c>
      <c r="H1840">
        <v>141000</v>
      </c>
      <c r="I1840" t="s">
        <v>981</v>
      </c>
    </row>
    <row r="1841" spans="1:9" x14ac:dyDescent="0.25">
      <c r="A1841">
        <v>3130</v>
      </c>
      <c r="B1841">
        <v>10</v>
      </c>
      <c r="C1841" t="s">
        <v>950</v>
      </c>
      <c r="D1841" t="s">
        <v>999</v>
      </c>
      <c r="E1841" t="s">
        <v>980</v>
      </c>
      <c r="F1841" t="s">
        <v>959</v>
      </c>
      <c r="G1841">
        <v>1000000</v>
      </c>
      <c r="H1841">
        <v>141000</v>
      </c>
      <c r="I1841" t="s">
        <v>981</v>
      </c>
    </row>
    <row r="1842" spans="1:9" x14ac:dyDescent="0.25">
      <c r="A1842">
        <v>3130</v>
      </c>
      <c r="B1842">
        <v>10</v>
      </c>
      <c r="C1842" t="s">
        <v>950</v>
      </c>
      <c r="D1842" t="s">
        <v>999</v>
      </c>
      <c r="E1842" t="s">
        <v>980</v>
      </c>
      <c r="F1842" t="s">
        <v>960</v>
      </c>
      <c r="G1842">
        <v>1000000</v>
      </c>
      <c r="H1842">
        <v>141000</v>
      </c>
      <c r="I1842" t="s">
        <v>981</v>
      </c>
    </row>
    <row r="1843" spans="1:9" x14ac:dyDescent="0.25">
      <c r="A1843">
        <v>3130</v>
      </c>
      <c r="B1843">
        <v>10</v>
      </c>
      <c r="C1843" t="s">
        <v>950</v>
      </c>
      <c r="D1843" t="s">
        <v>999</v>
      </c>
      <c r="E1843" t="s">
        <v>980</v>
      </c>
      <c r="F1843" t="s">
        <v>961</v>
      </c>
      <c r="G1843">
        <v>1000000</v>
      </c>
      <c r="H1843">
        <v>141000</v>
      </c>
      <c r="I1843" t="s">
        <v>981</v>
      </c>
    </row>
    <row r="1844" spans="1:9" x14ac:dyDescent="0.25">
      <c r="A1844">
        <v>3130</v>
      </c>
      <c r="B1844">
        <v>10</v>
      </c>
      <c r="C1844" t="s">
        <v>962</v>
      </c>
      <c r="D1844" t="s">
        <v>999</v>
      </c>
      <c r="E1844" t="s">
        <v>980</v>
      </c>
      <c r="F1844" t="s">
        <v>951</v>
      </c>
      <c r="G1844">
        <v>1000000</v>
      </c>
      <c r="H1844">
        <v>141000</v>
      </c>
      <c r="I1844" t="s">
        <v>981</v>
      </c>
    </row>
    <row r="1845" spans="1:9" x14ac:dyDescent="0.25">
      <c r="A1845">
        <v>3130</v>
      </c>
      <c r="B1845">
        <v>10</v>
      </c>
      <c r="C1845" t="s">
        <v>962</v>
      </c>
      <c r="D1845" t="s">
        <v>999</v>
      </c>
      <c r="E1845" t="s">
        <v>980</v>
      </c>
      <c r="F1845" t="s">
        <v>952</v>
      </c>
      <c r="G1845">
        <v>1000000</v>
      </c>
      <c r="H1845">
        <v>141000</v>
      </c>
      <c r="I1845" t="s">
        <v>981</v>
      </c>
    </row>
    <row r="1846" spans="1:9" x14ac:dyDescent="0.25">
      <c r="A1846">
        <v>3130</v>
      </c>
      <c r="B1846">
        <v>10</v>
      </c>
      <c r="C1846" t="s">
        <v>962</v>
      </c>
      <c r="D1846" t="s">
        <v>999</v>
      </c>
      <c r="E1846" t="s">
        <v>980</v>
      </c>
      <c r="F1846" t="s">
        <v>953</v>
      </c>
      <c r="G1846">
        <v>1000000</v>
      </c>
      <c r="H1846">
        <v>141000</v>
      </c>
      <c r="I1846" t="s">
        <v>981</v>
      </c>
    </row>
    <row r="1847" spans="1:9" x14ac:dyDescent="0.25">
      <c r="A1847">
        <v>3130</v>
      </c>
      <c r="B1847">
        <v>10</v>
      </c>
      <c r="C1847" t="s">
        <v>962</v>
      </c>
      <c r="D1847" t="s">
        <v>999</v>
      </c>
      <c r="E1847" t="s">
        <v>980</v>
      </c>
      <c r="F1847" t="s">
        <v>954</v>
      </c>
      <c r="G1847">
        <v>1000000</v>
      </c>
      <c r="H1847">
        <v>141000</v>
      </c>
      <c r="I1847" t="s">
        <v>981</v>
      </c>
    </row>
    <row r="1848" spans="1:9" x14ac:dyDescent="0.25">
      <c r="A1848">
        <v>3130</v>
      </c>
      <c r="B1848">
        <v>10</v>
      </c>
      <c r="C1848" t="s">
        <v>962</v>
      </c>
      <c r="D1848" t="s">
        <v>999</v>
      </c>
      <c r="E1848" t="s">
        <v>980</v>
      </c>
      <c r="F1848" t="s">
        <v>955</v>
      </c>
      <c r="G1848">
        <v>1000000</v>
      </c>
      <c r="H1848">
        <v>141000</v>
      </c>
      <c r="I1848" t="s">
        <v>981</v>
      </c>
    </row>
    <row r="1849" spans="1:9" x14ac:dyDescent="0.25">
      <c r="A1849">
        <v>3130</v>
      </c>
      <c r="B1849">
        <v>10</v>
      </c>
      <c r="C1849" t="s">
        <v>962</v>
      </c>
      <c r="D1849" t="s">
        <v>999</v>
      </c>
      <c r="E1849" t="s">
        <v>980</v>
      </c>
      <c r="F1849" t="s">
        <v>956</v>
      </c>
      <c r="G1849">
        <v>1000000</v>
      </c>
      <c r="H1849">
        <v>141000</v>
      </c>
      <c r="I1849" t="s">
        <v>981</v>
      </c>
    </row>
    <row r="1850" spans="1:9" x14ac:dyDescent="0.25">
      <c r="A1850">
        <v>3130</v>
      </c>
      <c r="B1850">
        <v>10</v>
      </c>
      <c r="C1850" t="s">
        <v>962</v>
      </c>
      <c r="D1850" t="s">
        <v>999</v>
      </c>
      <c r="E1850" t="s">
        <v>980</v>
      </c>
      <c r="F1850" t="s">
        <v>957</v>
      </c>
      <c r="G1850">
        <v>1000000</v>
      </c>
      <c r="H1850">
        <v>141000</v>
      </c>
      <c r="I1850" t="s">
        <v>981</v>
      </c>
    </row>
    <row r="1851" spans="1:9" x14ac:dyDescent="0.25">
      <c r="A1851">
        <v>3130</v>
      </c>
      <c r="B1851">
        <v>10</v>
      </c>
      <c r="C1851" t="s">
        <v>962</v>
      </c>
      <c r="D1851" t="s">
        <v>999</v>
      </c>
      <c r="E1851" t="s">
        <v>980</v>
      </c>
      <c r="F1851" t="s">
        <v>958</v>
      </c>
      <c r="G1851">
        <v>1000000</v>
      </c>
      <c r="H1851">
        <v>141000</v>
      </c>
      <c r="I1851" t="s">
        <v>981</v>
      </c>
    </row>
    <row r="1852" spans="1:9" x14ac:dyDescent="0.25">
      <c r="A1852">
        <v>3130</v>
      </c>
      <c r="B1852">
        <v>10</v>
      </c>
      <c r="C1852" t="s">
        <v>962</v>
      </c>
      <c r="D1852" t="s">
        <v>999</v>
      </c>
      <c r="E1852" t="s">
        <v>980</v>
      </c>
      <c r="F1852" t="s">
        <v>959</v>
      </c>
      <c r="G1852">
        <v>1000000</v>
      </c>
      <c r="H1852">
        <v>141000</v>
      </c>
      <c r="I1852" t="s">
        <v>981</v>
      </c>
    </row>
    <row r="1853" spans="1:9" x14ac:dyDescent="0.25">
      <c r="A1853">
        <v>3130</v>
      </c>
      <c r="B1853">
        <v>10</v>
      </c>
      <c r="C1853" t="s">
        <v>962</v>
      </c>
      <c r="D1853" t="s">
        <v>999</v>
      </c>
      <c r="E1853" t="s">
        <v>980</v>
      </c>
      <c r="F1853" t="s">
        <v>960</v>
      </c>
      <c r="G1853">
        <v>1000000</v>
      </c>
      <c r="H1853">
        <v>141000</v>
      </c>
      <c r="I1853" t="s">
        <v>981</v>
      </c>
    </row>
    <row r="1854" spans="1:9" x14ac:dyDescent="0.25">
      <c r="A1854">
        <v>3130</v>
      </c>
      <c r="B1854">
        <v>10</v>
      </c>
      <c r="C1854" t="s">
        <v>962</v>
      </c>
      <c r="D1854" t="s">
        <v>999</v>
      </c>
      <c r="E1854" t="s">
        <v>980</v>
      </c>
      <c r="F1854" t="s">
        <v>961</v>
      </c>
      <c r="G1854">
        <v>1000000</v>
      </c>
      <c r="H1854">
        <v>141000</v>
      </c>
      <c r="I1854" t="s">
        <v>981</v>
      </c>
    </row>
    <row r="1855" spans="1:9" x14ac:dyDescent="0.25">
      <c r="A1855">
        <v>3130</v>
      </c>
      <c r="B1855">
        <v>10</v>
      </c>
      <c r="C1855" t="s">
        <v>963</v>
      </c>
      <c r="D1855" t="s">
        <v>999</v>
      </c>
      <c r="E1855" t="s">
        <v>980</v>
      </c>
      <c r="F1855" t="s">
        <v>951</v>
      </c>
      <c r="G1855">
        <v>1000000</v>
      </c>
      <c r="H1855">
        <v>141000</v>
      </c>
      <c r="I1855" t="s">
        <v>981</v>
      </c>
    </row>
    <row r="1856" spans="1:9" x14ac:dyDescent="0.25">
      <c r="A1856">
        <v>3130</v>
      </c>
      <c r="B1856">
        <v>10</v>
      </c>
      <c r="C1856" t="s">
        <v>963</v>
      </c>
      <c r="D1856" t="s">
        <v>999</v>
      </c>
      <c r="E1856" t="s">
        <v>980</v>
      </c>
      <c r="F1856" t="s">
        <v>952</v>
      </c>
      <c r="G1856">
        <v>1000000</v>
      </c>
      <c r="H1856">
        <v>141000</v>
      </c>
      <c r="I1856" t="s">
        <v>981</v>
      </c>
    </row>
    <row r="1857" spans="1:9" x14ac:dyDescent="0.25">
      <c r="A1857">
        <v>3130</v>
      </c>
      <c r="B1857">
        <v>10</v>
      </c>
      <c r="C1857" t="s">
        <v>963</v>
      </c>
      <c r="D1857" t="s">
        <v>999</v>
      </c>
      <c r="E1857" t="s">
        <v>980</v>
      </c>
      <c r="F1857" t="s">
        <v>953</v>
      </c>
      <c r="G1857">
        <v>1000000</v>
      </c>
      <c r="H1857">
        <v>141000</v>
      </c>
      <c r="I1857" t="s">
        <v>981</v>
      </c>
    </row>
    <row r="1858" spans="1:9" x14ac:dyDescent="0.25">
      <c r="A1858">
        <v>3130</v>
      </c>
      <c r="B1858">
        <v>10</v>
      </c>
      <c r="C1858" t="s">
        <v>963</v>
      </c>
      <c r="D1858" t="s">
        <v>999</v>
      </c>
      <c r="E1858" t="s">
        <v>980</v>
      </c>
      <c r="F1858" t="s">
        <v>954</v>
      </c>
      <c r="G1858">
        <v>1000000</v>
      </c>
      <c r="H1858">
        <v>141000</v>
      </c>
      <c r="I1858" t="s">
        <v>981</v>
      </c>
    </row>
    <row r="1859" spans="1:9" x14ac:dyDescent="0.25">
      <c r="A1859">
        <v>3130</v>
      </c>
      <c r="B1859">
        <v>10</v>
      </c>
      <c r="C1859" t="s">
        <v>963</v>
      </c>
      <c r="D1859" t="s">
        <v>999</v>
      </c>
      <c r="E1859" t="s">
        <v>980</v>
      </c>
      <c r="F1859" t="s">
        <v>955</v>
      </c>
      <c r="G1859">
        <v>1000000</v>
      </c>
      <c r="H1859">
        <v>141000</v>
      </c>
      <c r="I1859" t="s">
        <v>981</v>
      </c>
    </row>
    <row r="1860" spans="1:9" x14ac:dyDescent="0.25">
      <c r="A1860">
        <v>3130</v>
      </c>
      <c r="B1860">
        <v>10</v>
      </c>
      <c r="C1860" t="s">
        <v>963</v>
      </c>
      <c r="D1860" t="s">
        <v>999</v>
      </c>
      <c r="E1860" t="s">
        <v>980</v>
      </c>
      <c r="F1860" t="s">
        <v>956</v>
      </c>
      <c r="G1860">
        <v>1000000</v>
      </c>
      <c r="H1860">
        <v>141000</v>
      </c>
      <c r="I1860" t="s">
        <v>981</v>
      </c>
    </row>
    <row r="1861" spans="1:9" x14ac:dyDescent="0.25">
      <c r="A1861">
        <v>3130</v>
      </c>
      <c r="B1861">
        <v>10</v>
      </c>
      <c r="C1861" t="s">
        <v>963</v>
      </c>
      <c r="D1861" t="s">
        <v>999</v>
      </c>
      <c r="E1861" t="s">
        <v>980</v>
      </c>
      <c r="F1861" t="s">
        <v>957</v>
      </c>
      <c r="G1861">
        <v>1000000</v>
      </c>
      <c r="H1861">
        <v>141000</v>
      </c>
      <c r="I1861" t="s">
        <v>981</v>
      </c>
    </row>
    <row r="1862" spans="1:9" x14ac:dyDescent="0.25">
      <c r="A1862">
        <v>3130</v>
      </c>
      <c r="B1862">
        <v>10</v>
      </c>
      <c r="C1862" t="s">
        <v>963</v>
      </c>
      <c r="D1862" t="s">
        <v>999</v>
      </c>
      <c r="E1862" t="s">
        <v>980</v>
      </c>
      <c r="F1862" t="s">
        <v>958</v>
      </c>
      <c r="G1862">
        <v>1000000</v>
      </c>
      <c r="H1862">
        <v>141000</v>
      </c>
      <c r="I1862" t="s">
        <v>981</v>
      </c>
    </row>
    <row r="1863" spans="1:9" x14ac:dyDescent="0.25">
      <c r="A1863">
        <v>3130</v>
      </c>
      <c r="B1863">
        <v>10</v>
      </c>
      <c r="C1863" t="s">
        <v>963</v>
      </c>
      <c r="D1863" t="s">
        <v>999</v>
      </c>
      <c r="E1863" t="s">
        <v>980</v>
      </c>
      <c r="F1863" t="s">
        <v>959</v>
      </c>
      <c r="G1863">
        <v>1000000</v>
      </c>
      <c r="H1863">
        <v>141000</v>
      </c>
      <c r="I1863" t="s">
        <v>981</v>
      </c>
    </row>
    <row r="1864" spans="1:9" x14ac:dyDescent="0.25">
      <c r="A1864">
        <v>3130</v>
      </c>
      <c r="B1864">
        <v>10</v>
      </c>
      <c r="C1864" t="s">
        <v>963</v>
      </c>
      <c r="D1864" t="s">
        <v>999</v>
      </c>
      <c r="E1864" t="s">
        <v>980</v>
      </c>
      <c r="F1864" t="s">
        <v>960</v>
      </c>
      <c r="G1864">
        <v>1000000</v>
      </c>
      <c r="H1864">
        <v>141000</v>
      </c>
      <c r="I1864" t="s">
        <v>981</v>
      </c>
    </row>
    <row r="1865" spans="1:9" x14ac:dyDescent="0.25">
      <c r="A1865">
        <v>3130</v>
      </c>
      <c r="B1865">
        <v>10</v>
      </c>
      <c r="C1865" t="s">
        <v>963</v>
      </c>
      <c r="D1865" t="s">
        <v>999</v>
      </c>
      <c r="E1865" t="s">
        <v>980</v>
      </c>
      <c r="F1865" t="s">
        <v>961</v>
      </c>
      <c r="G1865">
        <v>1000000</v>
      </c>
      <c r="H1865">
        <v>141000</v>
      </c>
      <c r="I1865" t="s">
        <v>981</v>
      </c>
    </row>
    <row r="1866" spans="1:9" x14ac:dyDescent="0.25">
      <c r="A1866">
        <v>3130</v>
      </c>
      <c r="B1866">
        <v>10</v>
      </c>
      <c r="C1866" t="s">
        <v>950</v>
      </c>
      <c r="D1866" t="s">
        <v>999</v>
      </c>
      <c r="E1866" t="s">
        <v>302</v>
      </c>
      <c r="F1866" t="s">
        <v>951</v>
      </c>
      <c r="G1866">
        <v>1000000</v>
      </c>
      <c r="H1866">
        <v>143000</v>
      </c>
      <c r="I1866" t="s">
        <v>982</v>
      </c>
    </row>
    <row r="1867" spans="1:9" x14ac:dyDescent="0.25">
      <c r="A1867">
        <v>3130</v>
      </c>
      <c r="B1867">
        <v>10</v>
      </c>
      <c r="C1867" t="s">
        <v>950</v>
      </c>
      <c r="D1867" t="s">
        <v>999</v>
      </c>
      <c r="E1867" t="s">
        <v>302</v>
      </c>
      <c r="F1867" t="s">
        <v>952</v>
      </c>
      <c r="G1867">
        <v>1000000</v>
      </c>
      <c r="H1867">
        <v>143000</v>
      </c>
      <c r="I1867" t="s">
        <v>982</v>
      </c>
    </row>
    <row r="1868" spans="1:9" x14ac:dyDescent="0.25">
      <c r="A1868">
        <v>3130</v>
      </c>
      <c r="B1868">
        <v>10</v>
      </c>
      <c r="C1868" t="s">
        <v>950</v>
      </c>
      <c r="D1868" t="s">
        <v>999</v>
      </c>
      <c r="E1868" t="s">
        <v>302</v>
      </c>
      <c r="F1868" t="s">
        <v>953</v>
      </c>
      <c r="G1868">
        <v>1000000</v>
      </c>
      <c r="H1868">
        <v>143000</v>
      </c>
      <c r="I1868" t="s">
        <v>982</v>
      </c>
    </row>
    <row r="1869" spans="1:9" x14ac:dyDescent="0.25">
      <c r="A1869">
        <v>3130</v>
      </c>
      <c r="B1869">
        <v>10</v>
      </c>
      <c r="C1869" t="s">
        <v>950</v>
      </c>
      <c r="D1869" t="s">
        <v>999</v>
      </c>
      <c r="E1869" t="s">
        <v>302</v>
      </c>
      <c r="F1869" t="s">
        <v>954</v>
      </c>
      <c r="G1869">
        <v>1000000</v>
      </c>
      <c r="H1869">
        <v>143000</v>
      </c>
      <c r="I1869" t="s">
        <v>982</v>
      </c>
    </row>
    <row r="1870" spans="1:9" x14ac:dyDescent="0.25">
      <c r="A1870">
        <v>3130</v>
      </c>
      <c r="B1870">
        <v>10</v>
      </c>
      <c r="C1870" t="s">
        <v>950</v>
      </c>
      <c r="D1870" t="s">
        <v>999</v>
      </c>
      <c r="E1870" t="s">
        <v>302</v>
      </c>
      <c r="F1870" t="s">
        <v>955</v>
      </c>
      <c r="G1870">
        <v>1000000</v>
      </c>
      <c r="H1870">
        <v>143000</v>
      </c>
      <c r="I1870" t="s">
        <v>982</v>
      </c>
    </row>
    <row r="1871" spans="1:9" x14ac:dyDescent="0.25">
      <c r="A1871">
        <v>3130</v>
      </c>
      <c r="B1871">
        <v>10</v>
      </c>
      <c r="C1871" t="s">
        <v>950</v>
      </c>
      <c r="D1871" t="s">
        <v>999</v>
      </c>
      <c r="E1871" t="s">
        <v>302</v>
      </c>
      <c r="F1871" t="s">
        <v>956</v>
      </c>
      <c r="G1871">
        <v>1000000</v>
      </c>
      <c r="H1871">
        <v>143000</v>
      </c>
      <c r="I1871" t="s">
        <v>982</v>
      </c>
    </row>
    <row r="1872" spans="1:9" x14ac:dyDescent="0.25">
      <c r="A1872">
        <v>3130</v>
      </c>
      <c r="B1872">
        <v>10</v>
      </c>
      <c r="C1872" t="s">
        <v>950</v>
      </c>
      <c r="D1872" t="s">
        <v>999</v>
      </c>
      <c r="E1872" t="s">
        <v>302</v>
      </c>
      <c r="F1872" t="s">
        <v>957</v>
      </c>
      <c r="G1872">
        <v>1000000</v>
      </c>
      <c r="H1872">
        <v>143000</v>
      </c>
      <c r="I1872" t="s">
        <v>982</v>
      </c>
    </row>
    <row r="1873" spans="1:9" x14ac:dyDescent="0.25">
      <c r="A1873">
        <v>3130</v>
      </c>
      <c r="B1873">
        <v>10</v>
      </c>
      <c r="C1873" t="s">
        <v>950</v>
      </c>
      <c r="D1873" t="s">
        <v>999</v>
      </c>
      <c r="E1873" t="s">
        <v>302</v>
      </c>
      <c r="F1873" t="s">
        <v>958</v>
      </c>
      <c r="G1873">
        <v>1000000</v>
      </c>
      <c r="H1873">
        <v>143000</v>
      </c>
      <c r="I1873" t="s">
        <v>982</v>
      </c>
    </row>
    <row r="1874" spans="1:9" x14ac:dyDescent="0.25">
      <c r="A1874">
        <v>3130</v>
      </c>
      <c r="B1874">
        <v>10</v>
      </c>
      <c r="C1874" t="s">
        <v>950</v>
      </c>
      <c r="D1874" t="s">
        <v>999</v>
      </c>
      <c r="E1874" t="s">
        <v>302</v>
      </c>
      <c r="F1874" t="s">
        <v>959</v>
      </c>
      <c r="G1874">
        <v>1000000</v>
      </c>
      <c r="H1874">
        <v>143000</v>
      </c>
      <c r="I1874" t="s">
        <v>982</v>
      </c>
    </row>
    <row r="1875" spans="1:9" x14ac:dyDescent="0.25">
      <c r="A1875">
        <v>3130</v>
      </c>
      <c r="B1875">
        <v>10</v>
      </c>
      <c r="C1875" t="s">
        <v>950</v>
      </c>
      <c r="D1875" t="s">
        <v>999</v>
      </c>
      <c r="E1875" t="s">
        <v>302</v>
      </c>
      <c r="F1875" t="s">
        <v>960</v>
      </c>
      <c r="G1875">
        <v>1000000</v>
      </c>
      <c r="H1875">
        <v>143000</v>
      </c>
      <c r="I1875" t="s">
        <v>982</v>
      </c>
    </row>
    <row r="1876" spans="1:9" x14ac:dyDescent="0.25">
      <c r="A1876">
        <v>3130</v>
      </c>
      <c r="B1876">
        <v>10</v>
      </c>
      <c r="C1876" t="s">
        <v>950</v>
      </c>
      <c r="D1876" t="s">
        <v>999</v>
      </c>
      <c r="E1876" t="s">
        <v>302</v>
      </c>
      <c r="F1876" t="s">
        <v>961</v>
      </c>
      <c r="G1876">
        <v>1000000</v>
      </c>
      <c r="H1876">
        <v>143000</v>
      </c>
      <c r="I1876" t="s">
        <v>982</v>
      </c>
    </row>
    <row r="1877" spans="1:9" x14ac:dyDescent="0.25">
      <c r="A1877">
        <v>3130</v>
      </c>
      <c r="B1877">
        <v>10</v>
      </c>
      <c r="C1877" t="s">
        <v>962</v>
      </c>
      <c r="D1877" t="s">
        <v>999</v>
      </c>
      <c r="E1877" t="s">
        <v>302</v>
      </c>
      <c r="F1877" t="s">
        <v>951</v>
      </c>
      <c r="G1877">
        <v>1000000</v>
      </c>
      <c r="H1877">
        <v>143000</v>
      </c>
      <c r="I1877" t="s">
        <v>982</v>
      </c>
    </row>
    <row r="1878" spans="1:9" x14ac:dyDescent="0.25">
      <c r="A1878">
        <v>3130</v>
      </c>
      <c r="B1878">
        <v>10</v>
      </c>
      <c r="C1878" t="s">
        <v>962</v>
      </c>
      <c r="D1878" t="s">
        <v>999</v>
      </c>
      <c r="E1878" t="s">
        <v>302</v>
      </c>
      <c r="F1878" t="s">
        <v>952</v>
      </c>
      <c r="G1878">
        <v>1000000</v>
      </c>
      <c r="H1878">
        <v>143000</v>
      </c>
      <c r="I1878" t="s">
        <v>982</v>
      </c>
    </row>
    <row r="1879" spans="1:9" x14ac:dyDescent="0.25">
      <c r="A1879">
        <v>3130</v>
      </c>
      <c r="B1879">
        <v>10</v>
      </c>
      <c r="C1879" t="s">
        <v>962</v>
      </c>
      <c r="D1879" t="s">
        <v>999</v>
      </c>
      <c r="E1879" t="s">
        <v>302</v>
      </c>
      <c r="F1879" t="s">
        <v>953</v>
      </c>
      <c r="G1879">
        <v>1000000</v>
      </c>
      <c r="H1879">
        <v>143000</v>
      </c>
      <c r="I1879" t="s">
        <v>982</v>
      </c>
    </row>
    <row r="1880" spans="1:9" x14ac:dyDescent="0.25">
      <c r="A1880">
        <v>3130</v>
      </c>
      <c r="B1880">
        <v>10</v>
      </c>
      <c r="C1880" t="s">
        <v>962</v>
      </c>
      <c r="D1880" t="s">
        <v>999</v>
      </c>
      <c r="E1880" t="s">
        <v>302</v>
      </c>
      <c r="F1880" t="s">
        <v>954</v>
      </c>
      <c r="G1880">
        <v>1000000</v>
      </c>
      <c r="H1880">
        <v>143000</v>
      </c>
      <c r="I1880" t="s">
        <v>982</v>
      </c>
    </row>
    <row r="1881" spans="1:9" x14ac:dyDescent="0.25">
      <c r="A1881">
        <v>3130</v>
      </c>
      <c r="B1881">
        <v>10</v>
      </c>
      <c r="C1881" t="s">
        <v>962</v>
      </c>
      <c r="D1881" t="s">
        <v>999</v>
      </c>
      <c r="E1881" t="s">
        <v>302</v>
      </c>
      <c r="F1881" t="s">
        <v>955</v>
      </c>
      <c r="G1881">
        <v>1000000</v>
      </c>
      <c r="H1881">
        <v>143000</v>
      </c>
      <c r="I1881" t="s">
        <v>982</v>
      </c>
    </row>
    <row r="1882" spans="1:9" x14ac:dyDescent="0.25">
      <c r="A1882">
        <v>3130</v>
      </c>
      <c r="B1882">
        <v>10</v>
      </c>
      <c r="C1882" t="s">
        <v>962</v>
      </c>
      <c r="D1882" t="s">
        <v>999</v>
      </c>
      <c r="E1882" t="s">
        <v>302</v>
      </c>
      <c r="F1882" t="s">
        <v>956</v>
      </c>
      <c r="G1882">
        <v>1000000</v>
      </c>
      <c r="H1882">
        <v>143000</v>
      </c>
      <c r="I1882" t="s">
        <v>982</v>
      </c>
    </row>
    <row r="1883" spans="1:9" x14ac:dyDescent="0.25">
      <c r="A1883">
        <v>3130</v>
      </c>
      <c r="B1883">
        <v>10</v>
      </c>
      <c r="C1883" t="s">
        <v>962</v>
      </c>
      <c r="D1883" t="s">
        <v>999</v>
      </c>
      <c r="E1883" t="s">
        <v>302</v>
      </c>
      <c r="F1883" t="s">
        <v>957</v>
      </c>
      <c r="G1883">
        <v>1000000</v>
      </c>
      <c r="H1883">
        <v>143000</v>
      </c>
      <c r="I1883" t="s">
        <v>982</v>
      </c>
    </row>
    <row r="1884" spans="1:9" x14ac:dyDescent="0.25">
      <c r="A1884">
        <v>3130</v>
      </c>
      <c r="B1884">
        <v>10</v>
      </c>
      <c r="C1884" t="s">
        <v>962</v>
      </c>
      <c r="D1884" t="s">
        <v>999</v>
      </c>
      <c r="E1884" t="s">
        <v>302</v>
      </c>
      <c r="F1884" t="s">
        <v>958</v>
      </c>
      <c r="G1884">
        <v>1000000</v>
      </c>
      <c r="H1884">
        <v>143000</v>
      </c>
      <c r="I1884" t="s">
        <v>982</v>
      </c>
    </row>
    <row r="1885" spans="1:9" x14ac:dyDescent="0.25">
      <c r="A1885">
        <v>3130</v>
      </c>
      <c r="B1885">
        <v>10</v>
      </c>
      <c r="C1885" t="s">
        <v>962</v>
      </c>
      <c r="D1885" t="s">
        <v>999</v>
      </c>
      <c r="E1885" t="s">
        <v>302</v>
      </c>
      <c r="F1885" t="s">
        <v>959</v>
      </c>
      <c r="G1885">
        <v>1000000</v>
      </c>
      <c r="H1885">
        <v>143000</v>
      </c>
      <c r="I1885" t="s">
        <v>982</v>
      </c>
    </row>
    <row r="1886" spans="1:9" x14ac:dyDescent="0.25">
      <c r="A1886">
        <v>3130</v>
      </c>
      <c r="B1886">
        <v>10</v>
      </c>
      <c r="C1886" t="s">
        <v>962</v>
      </c>
      <c r="D1886" t="s">
        <v>999</v>
      </c>
      <c r="E1886" t="s">
        <v>302</v>
      </c>
      <c r="F1886" t="s">
        <v>960</v>
      </c>
      <c r="G1886">
        <v>1000000</v>
      </c>
      <c r="H1886">
        <v>143000</v>
      </c>
      <c r="I1886" t="s">
        <v>982</v>
      </c>
    </row>
    <row r="1887" spans="1:9" x14ac:dyDescent="0.25">
      <c r="A1887">
        <v>3130</v>
      </c>
      <c r="B1887">
        <v>10</v>
      </c>
      <c r="C1887" t="s">
        <v>962</v>
      </c>
      <c r="D1887" t="s">
        <v>999</v>
      </c>
      <c r="E1887" t="s">
        <v>302</v>
      </c>
      <c r="F1887" t="s">
        <v>961</v>
      </c>
      <c r="G1887">
        <v>1000000</v>
      </c>
      <c r="H1887">
        <v>143000</v>
      </c>
      <c r="I1887" t="s">
        <v>982</v>
      </c>
    </row>
    <row r="1888" spans="1:9" x14ac:dyDescent="0.25">
      <c r="A1888">
        <v>3130</v>
      </c>
      <c r="B1888">
        <v>10</v>
      </c>
      <c r="C1888" t="s">
        <v>963</v>
      </c>
      <c r="D1888" t="s">
        <v>999</v>
      </c>
      <c r="E1888" t="s">
        <v>302</v>
      </c>
      <c r="F1888" t="s">
        <v>951</v>
      </c>
      <c r="G1888">
        <v>1000000</v>
      </c>
      <c r="H1888">
        <v>143000</v>
      </c>
      <c r="I1888" t="s">
        <v>982</v>
      </c>
    </row>
    <row r="1889" spans="1:9" x14ac:dyDescent="0.25">
      <c r="A1889">
        <v>3130</v>
      </c>
      <c r="B1889">
        <v>10</v>
      </c>
      <c r="C1889" t="s">
        <v>963</v>
      </c>
      <c r="D1889" t="s">
        <v>999</v>
      </c>
      <c r="E1889" t="s">
        <v>302</v>
      </c>
      <c r="F1889" t="s">
        <v>952</v>
      </c>
      <c r="G1889">
        <v>1000000</v>
      </c>
      <c r="H1889">
        <v>143000</v>
      </c>
      <c r="I1889" t="s">
        <v>982</v>
      </c>
    </row>
    <row r="1890" spans="1:9" x14ac:dyDescent="0.25">
      <c r="A1890">
        <v>3130</v>
      </c>
      <c r="B1890">
        <v>10</v>
      </c>
      <c r="C1890" t="s">
        <v>963</v>
      </c>
      <c r="D1890" t="s">
        <v>999</v>
      </c>
      <c r="E1890" t="s">
        <v>302</v>
      </c>
      <c r="F1890" t="s">
        <v>953</v>
      </c>
      <c r="G1890">
        <v>1000000</v>
      </c>
      <c r="H1890">
        <v>143000</v>
      </c>
      <c r="I1890" t="s">
        <v>982</v>
      </c>
    </row>
    <row r="1891" spans="1:9" x14ac:dyDescent="0.25">
      <c r="A1891">
        <v>3130</v>
      </c>
      <c r="B1891">
        <v>10</v>
      </c>
      <c r="C1891" t="s">
        <v>963</v>
      </c>
      <c r="D1891" t="s">
        <v>999</v>
      </c>
      <c r="E1891" t="s">
        <v>302</v>
      </c>
      <c r="F1891" t="s">
        <v>954</v>
      </c>
      <c r="G1891">
        <v>1000000</v>
      </c>
      <c r="H1891">
        <v>143000</v>
      </c>
      <c r="I1891" t="s">
        <v>982</v>
      </c>
    </row>
    <row r="1892" spans="1:9" x14ac:dyDescent="0.25">
      <c r="A1892">
        <v>3130</v>
      </c>
      <c r="B1892">
        <v>10</v>
      </c>
      <c r="C1892" t="s">
        <v>963</v>
      </c>
      <c r="D1892" t="s">
        <v>999</v>
      </c>
      <c r="E1892" t="s">
        <v>302</v>
      </c>
      <c r="F1892" t="s">
        <v>955</v>
      </c>
      <c r="G1892">
        <v>1000000</v>
      </c>
      <c r="H1892">
        <v>143000</v>
      </c>
      <c r="I1892" t="s">
        <v>982</v>
      </c>
    </row>
    <row r="1893" spans="1:9" x14ac:dyDescent="0.25">
      <c r="A1893">
        <v>3130</v>
      </c>
      <c r="B1893">
        <v>10</v>
      </c>
      <c r="C1893" t="s">
        <v>963</v>
      </c>
      <c r="D1893" t="s">
        <v>999</v>
      </c>
      <c r="E1893" t="s">
        <v>302</v>
      </c>
      <c r="F1893" t="s">
        <v>956</v>
      </c>
      <c r="G1893">
        <v>1000000</v>
      </c>
      <c r="H1893">
        <v>143000</v>
      </c>
      <c r="I1893" t="s">
        <v>982</v>
      </c>
    </row>
    <row r="1894" spans="1:9" x14ac:dyDescent="0.25">
      <c r="A1894">
        <v>3130</v>
      </c>
      <c r="B1894">
        <v>10</v>
      </c>
      <c r="C1894" t="s">
        <v>963</v>
      </c>
      <c r="D1894" t="s">
        <v>999</v>
      </c>
      <c r="E1894" t="s">
        <v>302</v>
      </c>
      <c r="F1894" t="s">
        <v>957</v>
      </c>
      <c r="G1894">
        <v>1000000</v>
      </c>
      <c r="H1894">
        <v>143000</v>
      </c>
      <c r="I1894" t="s">
        <v>982</v>
      </c>
    </row>
    <row r="1895" spans="1:9" x14ac:dyDescent="0.25">
      <c r="A1895">
        <v>3130</v>
      </c>
      <c r="B1895">
        <v>10</v>
      </c>
      <c r="C1895" t="s">
        <v>963</v>
      </c>
      <c r="D1895" t="s">
        <v>999</v>
      </c>
      <c r="E1895" t="s">
        <v>302</v>
      </c>
      <c r="F1895" t="s">
        <v>958</v>
      </c>
      <c r="G1895">
        <v>1000000</v>
      </c>
      <c r="H1895">
        <v>143000</v>
      </c>
      <c r="I1895" t="s">
        <v>982</v>
      </c>
    </row>
    <row r="1896" spans="1:9" x14ac:dyDescent="0.25">
      <c r="A1896">
        <v>3130</v>
      </c>
      <c r="B1896">
        <v>10</v>
      </c>
      <c r="C1896" t="s">
        <v>963</v>
      </c>
      <c r="D1896" t="s">
        <v>999</v>
      </c>
      <c r="E1896" t="s">
        <v>302</v>
      </c>
      <c r="F1896" t="s">
        <v>959</v>
      </c>
      <c r="G1896">
        <v>1000000</v>
      </c>
      <c r="H1896">
        <v>143000</v>
      </c>
      <c r="I1896" t="s">
        <v>982</v>
      </c>
    </row>
    <row r="1897" spans="1:9" x14ac:dyDescent="0.25">
      <c r="A1897">
        <v>3130</v>
      </c>
      <c r="B1897">
        <v>10</v>
      </c>
      <c r="C1897" t="s">
        <v>963</v>
      </c>
      <c r="D1897" t="s">
        <v>999</v>
      </c>
      <c r="E1897" t="s">
        <v>302</v>
      </c>
      <c r="F1897" t="s">
        <v>960</v>
      </c>
      <c r="G1897">
        <v>1000000</v>
      </c>
      <c r="H1897">
        <v>143000</v>
      </c>
      <c r="I1897" t="s">
        <v>982</v>
      </c>
    </row>
    <row r="1898" spans="1:9" x14ac:dyDescent="0.25">
      <c r="A1898">
        <v>3130</v>
      </c>
      <c r="B1898">
        <v>10</v>
      </c>
      <c r="C1898" t="s">
        <v>963</v>
      </c>
      <c r="D1898" t="s">
        <v>999</v>
      </c>
      <c r="E1898" t="s">
        <v>302</v>
      </c>
      <c r="F1898" t="s">
        <v>961</v>
      </c>
      <c r="G1898">
        <v>1000000</v>
      </c>
      <c r="H1898">
        <v>143000</v>
      </c>
      <c r="I1898" t="s">
        <v>982</v>
      </c>
    </row>
    <row r="1899" spans="1:9" x14ac:dyDescent="0.25">
      <c r="A1899">
        <v>3130</v>
      </c>
      <c r="B1899">
        <v>10</v>
      </c>
      <c r="C1899" t="s">
        <v>950</v>
      </c>
      <c r="D1899" t="s">
        <v>999</v>
      </c>
      <c r="E1899" t="s">
        <v>306</v>
      </c>
      <c r="F1899" t="s">
        <v>951</v>
      </c>
      <c r="G1899">
        <v>1000000</v>
      </c>
      <c r="H1899">
        <v>143000</v>
      </c>
      <c r="I1899" t="s">
        <v>983</v>
      </c>
    </row>
    <row r="1900" spans="1:9" x14ac:dyDescent="0.25">
      <c r="A1900">
        <v>3130</v>
      </c>
      <c r="B1900">
        <v>10</v>
      </c>
      <c r="C1900" t="s">
        <v>950</v>
      </c>
      <c r="D1900" t="s">
        <v>999</v>
      </c>
      <c r="E1900" t="s">
        <v>306</v>
      </c>
      <c r="F1900" t="s">
        <v>952</v>
      </c>
      <c r="G1900">
        <v>1000000</v>
      </c>
      <c r="H1900">
        <v>143000</v>
      </c>
      <c r="I1900" t="s">
        <v>983</v>
      </c>
    </row>
    <row r="1901" spans="1:9" x14ac:dyDescent="0.25">
      <c r="A1901">
        <v>3130</v>
      </c>
      <c r="B1901">
        <v>10</v>
      </c>
      <c r="C1901" t="s">
        <v>950</v>
      </c>
      <c r="D1901" t="s">
        <v>999</v>
      </c>
      <c r="E1901" t="s">
        <v>306</v>
      </c>
      <c r="F1901" t="s">
        <v>953</v>
      </c>
      <c r="G1901">
        <v>1000000</v>
      </c>
      <c r="H1901">
        <v>143000</v>
      </c>
      <c r="I1901" t="s">
        <v>983</v>
      </c>
    </row>
    <row r="1902" spans="1:9" x14ac:dyDescent="0.25">
      <c r="A1902">
        <v>3130</v>
      </c>
      <c r="B1902">
        <v>10</v>
      </c>
      <c r="C1902" t="s">
        <v>950</v>
      </c>
      <c r="D1902" t="s">
        <v>999</v>
      </c>
      <c r="E1902" t="s">
        <v>306</v>
      </c>
      <c r="F1902" t="s">
        <v>954</v>
      </c>
      <c r="G1902">
        <v>1000000</v>
      </c>
      <c r="H1902">
        <v>143000</v>
      </c>
      <c r="I1902" t="s">
        <v>983</v>
      </c>
    </row>
    <row r="1903" spans="1:9" x14ac:dyDescent="0.25">
      <c r="A1903">
        <v>3130</v>
      </c>
      <c r="B1903">
        <v>10</v>
      </c>
      <c r="C1903" t="s">
        <v>950</v>
      </c>
      <c r="D1903" t="s">
        <v>999</v>
      </c>
      <c r="E1903" t="s">
        <v>306</v>
      </c>
      <c r="F1903" t="s">
        <v>955</v>
      </c>
      <c r="G1903">
        <v>1000000</v>
      </c>
      <c r="H1903">
        <v>143000</v>
      </c>
      <c r="I1903" t="s">
        <v>983</v>
      </c>
    </row>
    <row r="1904" spans="1:9" x14ac:dyDescent="0.25">
      <c r="A1904">
        <v>3130</v>
      </c>
      <c r="B1904">
        <v>10</v>
      </c>
      <c r="C1904" t="s">
        <v>950</v>
      </c>
      <c r="D1904" t="s">
        <v>999</v>
      </c>
      <c r="E1904" t="s">
        <v>306</v>
      </c>
      <c r="F1904" t="s">
        <v>956</v>
      </c>
      <c r="G1904">
        <v>1000000</v>
      </c>
      <c r="H1904">
        <v>143000</v>
      </c>
      <c r="I1904" t="s">
        <v>983</v>
      </c>
    </row>
    <row r="1905" spans="1:9" x14ac:dyDescent="0.25">
      <c r="A1905">
        <v>3130</v>
      </c>
      <c r="B1905">
        <v>10</v>
      </c>
      <c r="C1905" t="s">
        <v>950</v>
      </c>
      <c r="D1905" t="s">
        <v>999</v>
      </c>
      <c r="E1905" t="s">
        <v>306</v>
      </c>
      <c r="F1905" t="s">
        <v>957</v>
      </c>
      <c r="G1905">
        <v>1000000</v>
      </c>
      <c r="H1905">
        <v>143000</v>
      </c>
      <c r="I1905" t="s">
        <v>983</v>
      </c>
    </row>
    <row r="1906" spans="1:9" x14ac:dyDescent="0.25">
      <c r="A1906">
        <v>3130</v>
      </c>
      <c r="B1906">
        <v>10</v>
      </c>
      <c r="C1906" t="s">
        <v>950</v>
      </c>
      <c r="D1906" t="s">
        <v>999</v>
      </c>
      <c r="E1906" t="s">
        <v>306</v>
      </c>
      <c r="F1906" t="s">
        <v>958</v>
      </c>
      <c r="G1906">
        <v>1000000</v>
      </c>
      <c r="H1906">
        <v>143000</v>
      </c>
      <c r="I1906" t="s">
        <v>983</v>
      </c>
    </row>
    <row r="1907" spans="1:9" x14ac:dyDescent="0.25">
      <c r="A1907">
        <v>3130</v>
      </c>
      <c r="B1907">
        <v>10</v>
      </c>
      <c r="C1907" t="s">
        <v>950</v>
      </c>
      <c r="D1907" t="s">
        <v>999</v>
      </c>
      <c r="E1907" t="s">
        <v>306</v>
      </c>
      <c r="F1907" t="s">
        <v>959</v>
      </c>
      <c r="G1907">
        <v>1000000</v>
      </c>
      <c r="H1907">
        <v>143000</v>
      </c>
      <c r="I1907" t="s">
        <v>983</v>
      </c>
    </row>
    <row r="1908" spans="1:9" x14ac:dyDescent="0.25">
      <c r="A1908">
        <v>3130</v>
      </c>
      <c r="B1908">
        <v>10</v>
      </c>
      <c r="C1908" t="s">
        <v>950</v>
      </c>
      <c r="D1908" t="s">
        <v>999</v>
      </c>
      <c r="E1908" t="s">
        <v>306</v>
      </c>
      <c r="F1908" t="s">
        <v>960</v>
      </c>
      <c r="G1908">
        <v>1000000</v>
      </c>
      <c r="H1908">
        <v>143000</v>
      </c>
      <c r="I1908" t="s">
        <v>983</v>
      </c>
    </row>
    <row r="1909" spans="1:9" x14ac:dyDescent="0.25">
      <c r="A1909">
        <v>3130</v>
      </c>
      <c r="B1909">
        <v>10</v>
      </c>
      <c r="C1909" t="s">
        <v>950</v>
      </c>
      <c r="D1909" t="s">
        <v>999</v>
      </c>
      <c r="E1909" t="s">
        <v>306</v>
      </c>
      <c r="F1909" t="s">
        <v>961</v>
      </c>
      <c r="G1909">
        <v>1000000</v>
      </c>
      <c r="H1909">
        <v>143000</v>
      </c>
      <c r="I1909" t="s">
        <v>983</v>
      </c>
    </row>
    <row r="1910" spans="1:9" x14ac:dyDescent="0.25">
      <c r="A1910">
        <v>3130</v>
      </c>
      <c r="B1910">
        <v>10</v>
      </c>
      <c r="C1910" t="s">
        <v>962</v>
      </c>
      <c r="D1910" t="s">
        <v>999</v>
      </c>
      <c r="E1910" t="s">
        <v>306</v>
      </c>
      <c r="F1910" t="s">
        <v>951</v>
      </c>
      <c r="G1910">
        <v>1000000</v>
      </c>
      <c r="H1910">
        <v>143000</v>
      </c>
      <c r="I1910" t="s">
        <v>983</v>
      </c>
    </row>
    <row r="1911" spans="1:9" x14ac:dyDescent="0.25">
      <c r="A1911">
        <v>3130</v>
      </c>
      <c r="B1911">
        <v>10</v>
      </c>
      <c r="C1911" t="s">
        <v>962</v>
      </c>
      <c r="D1911" t="s">
        <v>999</v>
      </c>
      <c r="E1911" t="s">
        <v>306</v>
      </c>
      <c r="F1911" t="s">
        <v>952</v>
      </c>
      <c r="G1911">
        <v>1000000</v>
      </c>
      <c r="H1911">
        <v>143000</v>
      </c>
      <c r="I1911" t="s">
        <v>983</v>
      </c>
    </row>
    <row r="1912" spans="1:9" x14ac:dyDescent="0.25">
      <c r="A1912">
        <v>3130</v>
      </c>
      <c r="B1912">
        <v>10</v>
      </c>
      <c r="C1912" t="s">
        <v>962</v>
      </c>
      <c r="D1912" t="s">
        <v>999</v>
      </c>
      <c r="E1912" t="s">
        <v>306</v>
      </c>
      <c r="F1912" t="s">
        <v>953</v>
      </c>
      <c r="G1912">
        <v>1000000</v>
      </c>
      <c r="H1912">
        <v>143000</v>
      </c>
      <c r="I1912" t="s">
        <v>983</v>
      </c>
    </row>
    <row r="1913" spans="1:9" x14ac:dyDescent="0.25">
      <c r="A1913">
        <v>3130</v>
      </c>
      <c r="B1913">
        <v>10</v>
      </c>
      <c r="C1913" t="s">
        <v>962</v>
      </c>
      <c r="D1913" t="s">
        <v>999</v>
      </c>
      <c r="E1913" t="s">
        <v>306</v>
      </c>
      <c r="F1913" t="s">
        <v>954</v>
      </c>
      <c r="G1913">
        <v>1000000</v>
      </c>
      <c r="H1913">
        <v>143000</v>
      </c>
      <c r="I1913" t="s">
        <v>983</v>
      </c>
    </row>
    <row r="1914" spans="1:9" x14ac:dyDescent="0.25">
      <c r="A1914">
        <v>3130</v>
      </c>
      <c r="B1914">
        <v>10</v>
      </c>
      <c r="C1914" t="s">
        <v>962</v>
      </c>
      <c r="D1914" t="s">
        <v>999</v>
      </c>
      <c r="E1914" t="s">
        <v>306</v>
      </c>
      <c r="F1914" t="s">
        <v>955</v>
      </c>
      <c r="G1914">
        <v>1000000</v>
      </c>
      <c r="H1914">
        <v>143000</v>
      </c>
      <c r="I1914" t="s">
        <v>983</v>
      </c>
    </row>
    <row r="1915" spans="1:9" x14ac:dyDescent="0.25">
      <c r="A1915">
        <v>3130</v>
      </c>
      <c r="B1915">
        <v>10</v>
      </c>
      <c r="C1915" t="s">
        <v>962</v>
      </c>
      <c r="D1915" t="s">
        <v>999</v>
      </c>
      <c r="E1915" t="s">
        <v>306</v>
      </c>
      <c r="F1915" t="s">
        <v>956</v>
      </c>
      <c r="G1915">
        <v>1000000</v>
      </c>
      <c r="H1915">
        <v>143000</v>
      </c>
      <c r="I1915" t="s">
        <v>983</v>
      </c>
    </row>
    <row r="1916" spans="1:9" x14ac:dyDescent="0.25">
      <c r="A1916">
        <v>3130</v>
      </c>
      <c r="B1916">
        <v>10</v>
      </c>
      <c r="C1916" t="s">
        <v>962</v>
      </c>
      <c r="D1916" t="s">
        <v>999</v>
      </c>
      <c r="E1916" t="s">
        <v>306</v>
      </c>
      <c r="F1916" t="s">
        <v>957</v>
      </c>
      <c r="G1916">
        <v>1000000</v>
      </c>
      <c r="H1916">
        <v>143000</v>
      </c>
      <c r="I1916" t="s">
        <v>983</v>
      </c>
    </row>
    <row r="1917" spans="1:9" x14ac:dyDescent="0.25">
      <c r="A1917">
        <v>3130</v>
      </c>
      <c r="B1917">
        <v>10</v>
      </c>
      <c r="C1917" t="s">
        <v>962</v>
      </c>
      <c r="D1917" t="s">
        <v>999</v>
      </c>
      <c r="E1917" t="s">
        <v>306</v>
      </c>
      <c r="F1917" t="s">
        <v>958</v>
      </c>
      <c r="G1917">
        <v>1000000</v>
      </c>
      <c r="H1917">
        <v>143000</v>
      </c>
      <c r="I1917" t="s">
        <v>983</v>
      </c>
    </row>
    <row r="1918" spans="1:9" x14ac:dyDescent="0.25">
      <c r="A1918">
        <v>3130</v>
      </c>
      <c r="B1918">
        <v>10</v>
      </c>
      <c r="C1918" t="s">
        <v>962</v>
      </c>
      <c r="D1918" t="s">
        <v>999</v>
      </c>
      <c r="E1918" t="s">
        <v>306</v>
      </c>
      <c r="F1918" t="s">
        <v>959</v>
      </c>
      <c r="G1918">
        <v>1000000</v>
      </c>
      <c r="H1918">
        <v>143000</v>
      </c>
      <c r="I1918" t="s">
        <v>983</v>
      </c>
    </row>
    <row r="1919" spans="1:9" x14ac:dyDescent="0.25">
      <c r="A1919">
        <v>3130</v>
      </c>
      <c r="B1919">
        <v>10</v>
      </c>
      <c r="C1919" t="s">
        <v>962</v>
      </c>
      <c r="D1919" t="s">
        <v>999</v>
      </c>
      <c r="E1919" t="s">
        <v>306</v>
      </c>
      <c r="F1919" t="s">
        <v>960</v>
      </c>
      <c r="G1919">
        <v>1000000</v>
      </c>
      <c r="H1919">
        <v>143000</v>
      </c>
      <c r="I1919" t="s">
        <v>983</v>
      </c>
    </row>
    <row r="1920" spans="1:9" x14ac:dyDescent="0.25">
      <c r="A1920">
        <v>3130</v>
      </c>
      <c r="B1920">
        <v>10</v>
      </c>
      <c r="C1920" t="s">
        <v>962</v>
      </c>
      <c r="D1920" t="s">
        <v>999</v>
      </c>
      <c r="E1920" t="s">
        <v>306</v>
      </c>
      <c r="F1920" t="s">
        <v>961</v>
      </c>
      <c r="G1920">
        <v>1000000</v>
      </c>
      <c r="H1920">
        <v>143000</v>
      </c>
      <c r="I1920" t="s">
        <v>983</v>
      </c>
    </row>
    <row r="1921" spans="1:9" x14ac:dyDescent="0.25">
      <c r="A1921">
        <v>3130</v>
      </c>
      <c r="B1921">
        <v>10</v>
      </c>
      <c r="C1921" t="s">
        <v>963</v>
      </c>
      <c r="D1921" t="s">
        <v>999</v>
      </c>
      <c r="E1921" t="s">
        <v>306</v>
      </c>
      <c r="F1921" t="s">
        <v>951</v>
      </c>
      <c r="G1921">
        <v>1000000</v>
      </c>
      <c r="H1921">
        <v>143000</v>
      </c>
      <c r="I1921" t="s">
        <v>983</v>
      </c>
    </row>
    <row r="1922" spans="1:9" x14ac:dyDescent="0.25">
      <c r="A1922">
        <v>3130</v>
      </c>
      <c r="B1922">
        <v>10</v>
      </c>
      <c r="C1922" t="s">
        <v>963</v>
      </c>
      <c r="D1922" t="s">
        <v>999</v>
      </c>
      <c r="E1922" t="s">
        <v>306</v>
      </c>
      <c r="F1922" t="s">
        <v>952</v>
      </c>
      <c r="G1922">
        <v>1000000</v>
      </c>
      <c r="H1922">
        <v>143000</v>
      </c>
      <c r="I1922" t="s">
        <v>983</v>
      </c>
    </row>
    <row r="1923" spans="1:9" x14ac:dyDescent="0.25">
      <c r="A1923">
        <v>3130</v>
      </c>
      <c r="B1923">
        <v>10</v>
      </c>
      <c r="C1923" t="s">
        <v>963</v>
      </c>
      <c r="D1923" t="s">
        <v>999</v>
      </c>
      <c r="E1923" t="s">
        <v>306</v>
      </c>
      <c r="F1923" t="s">
        <v>953</v>
      </c>
      <c r="G1923">
        <v>1000000</v>
      </c>
      <c r="H1923">
        <v>143000</v>
      </c>
      <c r="I1923" t="s">
        <v>983</v>
      </c>
    </row>
    <row r="1924" spans="1:9" x14ac:dyDescent="0.25">
      <c r="A1924">
        <v>3130</v>
      </c>
      <c r="B1924">
        <v>10</v>
      </c>
      <c r="C1924" t="s">
        <v>963</v>
      </c>
      <c r="D1924" t="s">
        <v>999</v>
      </c>
      <c r="E1924" t="s">
        <v>306</v>
      </c>
      <c r="F1924" t="s">
        <v>954</v>
      </c>
      <c r="G1924">
        <v>1000000</v>
      </c>
      <c r="H1924">
        <v>143000</v>
      </c>
      <c r="I1924" t="s">
        <v>983</v>
      </c>
    </row>
    <row r="1925" spans="1:9" x14ac:dyDescent="0.25">
      <c r="A1925">
        <v>3130</v>
      </c>
      <c r="B1925">
        <v>10</v>
      </c>
      <c r="C1925" t="s">
        <v>963</v>
      </c>
      <c r="D1925" t="s">
        <v>999</v>
      </c>
      <c r="E1925" t="s">
        <v>306</v>
      </c>
      <c r="F1925" t="s">
        <v>955</v>
      </c>
      <c r="G1925">
        <v>1000000</v>
      </c>
      <c r="H1925">
        <v>143000</v>
      </c>
      <c r="I1925" t="s">
        <v>983</v>
      </c>
    </row>
    <row r="1926" spans="1:9" x14ac:dyDescent="0.25">
      <c r="A1926">
        <v>3130</v>
      </c>
      <c r="B1926">
        <v>10</v>
      </c>
      <c r="C1926" t="s">
        <v>963</v>
      </c>
      <c r="D1926" t="s">
        <v>999</v>
      </c>
      <c r="E1926" t="s">
        <v>306</v>
      </c>
      <c r="F1926" t="s">
        <v>956</v>
      </c>
      <c r="G1926">
        <v>1000000</v>
      </c>
      <c r="H1926">
        <v>143000</v>
      </c>
      <c r="I1926" t="s">
        <v>983</v>
      </c>
    </row>
    <row r="1927" spans="1:9" x14ac:dyDescent="0.25">
      <c r="A1927">
        <v>3130</v>
      </c>
      <c r="B1927">
        <v>10</v>
      </c>
      <c r="C1927" t="s">
        <v>963</v>
      </c>
      <c r="D1927" t="s">
        <v>999</v>
      </c>
      <c r="E1927" t="s">
        <v>306</v>
      </c>
      <c r="F1927" t="s">
        <v>957</v>
      </c>
      <c r="G1927">
        <v>1000000</v>
      </c>
      <c r="H1927">
        <v>143000</v>
      </c>
      <c r="I1927" t="s">
        <v>983</v>
      </c>
    </row>
    <row r="1928" spans="1:9" x14ac:dyDescent="0.25">
      <c r="A1928">
        <v>3130</v>
      </c>
      <c r="B1928">
        <v>10</v>
      </c>
      <c r="C1928" t="s">
        <v>963</v>
      </c>
      <c r="D1928" t="s">
        <v>999</v>
      </c>
      <c r="E1928" t="s">
        <v>306</v>
      </c>
      <c r="F1928" t="s">
        <v>958</v>
      </c>
      <c r="G1928">
        <v>1000000</v>
      </c>
      <c r="H1928">
        <v>143000</v>
      </c>
      <c r="I1928" t="s">
        <v>983</v>
      </c>
    </row>
    <row r="1929" spans="1:9" x14ac:dyDescent="0.25">
      <c r="A1929">
        <v>3130</v>
      </c>
      <c r="B1929">
        <v>10</v>
      </c>
      <c r="C1929" t="s">
        <v>963</v>
      </c>
      <c r="D1929" t="s">
        <v>999</v>
      </c>
      <c r="E1929" t="s">
        <v>306</v>
      </c>
      <c r="F1929" t="s">
        <v>959</v>
      </c>
      <c r="G1929">
        <v>1000000</v>
      </c>
      <c r="H1929">
        <v>143000</v>
      </c>
      <c r="I1929" t="s">
        <v>983</v>
      </c>
    </row>
    <row r="1930" spans="1:9" x14ac:dyDescent="0.25">
      <c r="A1930">
        <v>3130</v>
      </c>
      <c r="B1930">
        <v>10</v>
      </c>
      <c r="C1930" t="s">
        <v>963</v>
      </c>
      <c r="D1930" t="s">
        <v>999</v>
      </c>
      <c r="E1930" t="s">
        <v>306</v>
      </c>
      <c r="F1930" t="s">
        <v>960</v>
      </c>
      <c r="G1930">
        <v>1000000</v>
      </c>
      <c r="H1930">
        <v>143000</v>
      </c>
      <c r="I1930" t="s">
        <v>983</v>
      </c>
    </row>
    <row r="1931" spans="1:9" x14ac:dyDescent="0.25">
      <c r="A1931">
        <v>3130</v>
      </c>
      <c r="B1931">
        <v>10</v>
      </c>
      <c r="C1931" t="s">
        <v>963</v>
      </c>
      <c r="D1931" t="s">
        <v>999</v>
      </c>
      <c r="E1931" t="s">
        <v>306</v>
      </c>
      <c r="F1931" t="s">
        <v>961</v>
      </c>
      <c r="G1931">
        <v>1000000</v>
      </c>
      <c r="H1931">
        <v>143000</v>
      </c>
      <c r="I1931" t="s">
        <v>983</v>
      </c>
    </row>
    <row r="1932" spans="1:9" x14ac:dyDescent="0.25">
      <c r="A1932">
        <v>3130</v>
      </c>
      <c r="B1932">
        <v>10</v>
      </c>
      <c r="C1932" t="s">
        <v>950</v>
      </c>
      <c r="D1932" t="s">
        <v>999</v>
      </c>
      <c r="E1932" t="s">
        <v>108</v>
      </c>
      <c r="F1932" t="s">
        <v>951</v>
      </c>
      <c r="G1932">
        <v>1077777</v>
      </c>
      <c r="H1932">
        <v>500220</v>
      </c>
      <c r="I1932" t="s">
        <v>949</v>
      </c>
    </row>
    <row r="1933" spans="1:9" x14ac:dyDescent="0.25">
      <c r="A1933">
        <v>3130</v>
      </c>
      <c r="B1933">
        <v>10</v>
      </c>
      <c r="C1933" t="s">
        <v>950</v>
      </c>
      <c r="D1933" t="s">
        <v>999</v>
      </c>
      <c r="E1933" t="s">
        <v>108</v>
      </c>
      <c r="F1933" t="s">
        <v>952</v>
      </c>
      <c r="G1933">
        <v>1077777</v>
      </c>
      <c r="H1933">
        <v>500220</v>
      </c>
      <c r="I1933" t="s">
        <v>949</v>
      </c>
    </row>
    <row r="1934" spans="1:9" x14ac:dyDescent="0.25">
      <c r="A1934">
        <v>3130</v>
      </c>
      <c r="B1934">
        <v>10</v>
      </c>
      <c r="C1934" t="s">
        <v>962</v>
      </c>
      <c r="D1934" t="s">
        <v>999</v>
      </c>
      <c r="E1934" t="s">
        <v>108</v>
      </c>
      <c r="F1934" t="s">
        <v>951</v>
      </c>
      <c r="G1934">
        <v>1077777</v>
      </c>
      <c r="H1934">
        <v>500220</v>
      </c>
      <c r="I1934" t="s">
        <v>949</v>
      </c>
    </row>
    <row r="1935" spans="1:9" x14ac:dyDescent="0.25">
      <c r="A1935">
        <v>3130</v>
      </c>
      <c r="B1935">
        <v>10</v>
      </c>
      <c r="C1935" t="s">
        <v>962</v>
      </c>
      <c r="D1935" t="s">
        <v>999</v>
      </c>
      <c r="E1935" t="s">
        <v>108</v>
      </c>
      <c r="F1935" t="s">
        <v>952</v>
      </c>
      <c r="G1935">
        <v>1077777</v>
      </c>
      <c r="H1935">
        <v>500220</v>
      </c>
      <c r="I1935" t="s">
        <v>949</v>
      </c>
    </row>
    <row r="1936" spans="1:9" x14ac:dyDescent="0.25">
      <c r="A1936">
        <v>3130</v>
      </c>
      <c r="B1936">
        <v>10</v>
      </c>
      <c r="C1936" t="s">
        <v>963</v>
      </c>
      <c r="D1936" t="s">
        <v>999</v>
      </c>
      <c r="E1936" t="s">
        <v>108</v>
      </c>
      <c r="F1936" t="s">
        <v>951</v>
      </c>
      <c r="G1936">
        <v>1077777</v>
      </c>
      <c r="H1936">
        <v>500220</v>
      </c>
      <c r="I1936" t="s">
        <v>949</v>
      </c>
    </row>
    <row r="1937" spans="1:9" x14ac:dyDescent="0.25">
      <c r="A1937">
        <v>3130</v>
      </c>
      <c r="B1937">
        <v>10</v>
      </c>
      <c r="C1937" t="s">
        <v>963</v>
      </c>
      <c r="D1937" t="s">
        <v>999</v>
      </c>
      <c r="E1937" t="s">
        <v>108</v>
      </c>
      <c r="F1937" t="s">
        <v>952</v>
      </c>
      <c r="G1937">
        <v>1077777</v>
      </c>
      <c r="H1937">
        <v>500220</v>
      </c>
      <c r="I1937" t="s">
        <v>949</v>
      </c>
    </row>
    <row r="1938" ht="22" customHeight="1" spans="1:10" x14ac:dyDescent="0.25">
      <c r="A1938" s="43">
        <v>3130</v>
      </c>
      <c r="B1938" s="43">
        <v>10</v>
      </c>
      <c r="C1938" s="43" t="s">
        <v>950</v>
      </c>
      <c r="D1938" s="43" t="s">
        <v>999</v>
      </c>
      <c r="E1938" s="43" t="s">
        <v>310</v>
      </c>
      <c r="F1938" s="43" t="s">
        <v>951</v>
      </c>
      <c r="G1938" s="43">
        <v>1000000</v>
      </c>
      <c r="H1938" s="43">
        <v>145000</v>
      </c>
      <c r="I1938" s="43" t="s">
        <v>949</v>
      </c>
      <c r="J1938" s="44" t="s">
        <v>1000</v>
      </c>
    </row>
    <row r="1939" ht="22" customHeight="1" spans="1:10" x14ac:dyDescent="0.25">
      <c r="A1939" s="43">
        <v>3130</v>
      </c>
      <c r="B1939" s="43">
        <v>10</v>
      </c>
      <c r="C1939" s="43" t="s">
        <v>950</v>
      </c>
      <c r="D1939" s="43" t="s">
        <v>999</v>
      </c>
      <c r="E1939" s="43" t="s">
        <v>310</v>
      </c>
      <c r="F1939" s="43" t="s">
        <v>952</v>
      </c>
      <c r="G1939" s="43">
        <v>1000000</v>
      </c>
      <c r="H1939" s="43">
        <v>145000</v>
      </c>
      <c r="I1939" s="43" t="s">
        <v>949</v>
      </c>
      <c r="J1939" s="44" t="s">
        <v>1000</v>
      </c>
    </row>
    <row r="1940" ht="22" customHeight="1" spans="1:10" x14ac:dyDescent="0.25">
      <c r="A1940" s="43">
        <v>3130</v>
      </c>
      <c r="B1940" s="43">
        <v>10</v>
      </c>
      <c r="C1940" s="43" t="s">
        <v>950</v>
      </c>
      <c r="D1940" s="43" t="s">
        <v>999</v>
      </c>
      <c r="E1940" s="43" t="s">
        <v>310</v>
      </c>
      <c r="F1940" s="43" t="s">
        <v>953</v>
      </c>
      <c r="G1940" s="43">
        <v>1000000</v>
      </c>
      <c r="H1940" s="43">
        <v>145000</v>
      </c>
      <c r="I1940" s="43" t="s">
        <v>949</v>
      </c>
      <c r="J1940" s="44" t="s">
        <v>1000</v>
      </c>
    </row>
    <row r="1941" ht="22" customHeight="1" spans="1:10" x14ac:dyDescent="0.25">
      <c r="A1941" s="43">
        <v>3130</v>
      </c>
      <c r="B1941" s="43">
        <v>10</v>
      </c>
      <c r="C1941" s="43" t="s">
        <v>950</v>
      </c>
      <c r="D1941" s="43" t="s">
        <v>999</v>
      </c>
      <c r="E1941" s="43" t="s">
        <v>310</v>
      </c>
      <c r="F1941" s="43" t="s">
        <v>954</v>
      </c>
      <c r="G1941" s="43">
        <v>1000000</v>
      </c>
      <c r="H1941" s="43">
        <v>145000</v>
      </c>
      <c r="I1941" s="43" t="s">
        <v>949</v>
      </c>
      <c r="J1941" s="44" t="s">
        <v>1000</v>
      </c>
    </row>
    <row r="1942" ht="22" customHeight="1" spans="1:10" x14ac:dyDescent="0.25">
      <c r="A1942" s="43">
        <v>3130</v>
      </c>
      <c r="B1942" s="43">
        <v>10</v>
      </c>
      <c r="C1942" s="43" t="s">
        <v>950</v>
      </c>
      <c r="D1942" s="43" t="s">
        <v>999</v>
      </c>
      <c r="E1942" s="43" t="s">
        <v>310</v>
      </c>
      <c r="F1942" s="43" t="s">
        <v>955</v>
      </c>
      <c r="G1942" s="43">
        <v>1000000</v>
      </c>
      <c r="H1942" s="43">
        <v>145000</v>
      </c>
      <c r="I1942" s="43" t="s">
        <v>949</v>
      </c>
      <c r="J1942" s="44" t="s">
        <v>1000</v>
      </c>
    </row>
    <row r="1943" ht="22" customHeight="1" spans="1:10" x14ac:dyDescent="0.25">
      <c r="A1943" s="43">
        <v>3130</v>
      </c>
      <c r="B1943" s="43">
        <v>10</v>
      </c>
      <c r="C1943" s="43" t="s">
        <v>950</v>
      </c>
      <c r="D1943" s="43" t="s">
        <v>999</v>
      </c>
      <c r="E1943" s="43" t="s">
        <v>310</v>
      </c>
      <c r="F1943" s="43" t="s">
        <v>956</v>
      </c>
      <c r="G1943" s="43">
        <v>1000000</v>
      </c>
      <c r="H1943" s="43">
        <v>145000</v>
      </c>
      <c r="I1943" s="43" t="s">
        <v>949</v>
      </c>
      <c r="J1943" s="44" t="s">
        <v>1000</v>
      </c>
    </row>
    <row r="1944" ht="22" customHeight="1" spans="1:10" x14ac:dyDescent="0.25">
      <c r="A1944" s="43">
        <v>3130</v>
      </c>
      <c r="B1944" s="43">
        <v>10</v>
      </c>
      <c r="C1944" s="43" t="s">
        <v>950</v>
      </c>
      <c r="D1944" s="43" t="s">
        <v>999</v>
      </c>
      <c r="E1944" s="43" t="s">
        <v>310</v>
      </c>
      <c r="F1944" s="43" t="s">
        <v>957</v>
      </c>
      <c r="G1944" s="43">
        <v>1000000</v>
      </c>
      <c r="H1944" s="43">
        <v>145000</v>
      </c>
      <c r="I1944" s="43" t="s">
        <v>949</v>
      </c>
      <c r="J1944" s="44" t="s">
        <v>1000</v>
      </c>
    </row>
    <row r="1945" ht="22" customHeight="1" spans="1:10" x14ac:dyDescent="0.25">
      <c r="A1945" s="43">
        <v>3130</v>
      </c>
      <c r="B1945" s="43">
        <v>10</v>
      </c>
      <c r="C1945" s="43" t="s">
        <v>950</v>
      </c>
      <c r="D1945" s="43" t="s">
        <v>999</v>
      </c>
      <c r="E1945" s="43" t="s">
        <v>310</v>
      </c>
      <c r="F1945" s="43" t="s">
        <v>958</v>
      </c>
      <c r="G1945" s="43">
        <v>1000000</v>
      </c>
      <c r="H1945" s="43">
        <v>145000</v>
      </c>
      <c r="I1945" s="43" t="s">
        <v>949</v>
      </c>
      <c r="J1945" s="44" t="s">
        <v>1000</v>
      </c>
    </row>
    <row r="1946" ht="22" customHeight="1" spans="1:10" x14ac:dyDescent="0.25">
      <c r="A1946" s="43">
        <v>3130</v>
      </c>
      <c r="B1946" s="43">
        <v>10</v>
      </c>
      <c r="C1946" s="43" t="s">
        <v>950</v>
      </c>
      <c r="D1946" s="43" t="s">
        <v>999</v>
      </c>
      <c r="E1946" s="43" t="s">
        <v>310</v>
      </c>
      <c r="F1946" s="43" t="s">
        <v>959</v>
      </c>
      <c r="G1946" s="43">
        <v>1000000</v>
      </c>
      <c r="H1946" s="43">
        <v>145000</v>
      </c>
      <c r="I1946" s="43" t="s">
        <v>949</v>
      </c>
      <c r="J1946" s="44" t="s">
        <v>1000</v>
      </c>
    </row>
    <row r="1947" ht="22" customHeight="1" spans="1:10" x14ac:dyDescent="0.25">
      <c r="A1947" s="43">
        <v>3130</v>
      </c>
      <c r="B1947" s="43">
        <v>10</v>
      </c>
      <c r="C1947" s="43" t="s">
        <v>950</v>
      </c>
      <c r="D1947" s="43" t="s">
        <v>999</v>
      </c>
      <c r="E1947" s="43" t="s">
        <v>310</v>
      </c>
      <c r="F1947" s="43" t="s">
        <v>960</v>
      </c>
      <c r="G1947" s="43">
        <v>1000000</v>
      </c>
      <c r="H1947" s="43">
        <v>145000</v>
      </c>
      <c r="I1947" s="43" t="s">
        <v>949</v>
      </c>
      <c r="J1947" s="44" t="s">
        <v>1000</v>
      </c>
    </row>
    <row r="1948" ht="22" customHeight="1" spans="1:10" x14ac:dyDescent="0.25">
      <c r="A1948" s="43">
        <v>3130</v>
      </c>
      <c r="B1948" s="43">
        <v>10</v>
      </c>
      <c r="C1948" s="43" t="s">
        <v>950</v>
      </c>
      <c r="D1948" s="43" t="s">
        <v>999</v>
      </c>
      <c r="E1948" s="43" t="s">
        <v>310</v>
      </c>
      <c r="F1948" s="43" t="s">
        <v>961</v>
      </c>
      <c r="G1948" s="43">
        <v>1000000</v>
      </c>
      <c r="H1948" s="43">
        <v>145000</v>
      </c>
      <c r="I1948" s="43" t="s">
        <v>949</v>
      </c>
      <c r="J1948" s="44" t="s">
        <v>1000</v>
      </c>
    </row>
    <row r="1949" ht="22" customHeight="1" spans="1:10" x14ac:dyDescent="0.25">
      <c r="A1949" s="43">
        <v>3130</v>
      </c>
      <c r="B1949" s="43">
        <v>10</v>
      </c>
      <c r="C1949" s="43" t="s">
        <v>962</v>
      </c>
      <c r="D1949" s="43" t="s">
        <v>999</v>
      </c>
      <c r="E1949" s="43" t="s">
        <v>310</v>
      </c>
      <c r="F1949" s="43" t="s">
        <v>951</v>
      </c>
      <c r="G1949" s="43">
        <v>1000000</v>
      </c>
      <c r="H1949" s="43">
        <v>145000</v>
      </c>
      <c r="I1949" s="43" t="s">
        <v>949</v>
      </c>
      <c r="J1949" s="44" t="s">
        <v>1000</v>
      </c>
    </row>
    <row r="1950" ht="22" customHeight="1" spans="1:10" x14ac:dyDescent="0.25">
      <c r="A1950" s="43">
        <v>3130</v>
      </c>
      <c r="B1950" s="43">
        <v>10</v>
      </c>
      <c r="C1950" s="43" t="s">
        <v>962</v>
      </c>
      <c r="D1950" s="43" t="s">
        <v>999</v>
      </c>
      <c r="E1950" s="43" t="s">
        <v>310</v>
      </c>
      <c r="F1950" s="43" t="s">
        <v>952</v>
      </c>
      <c r="G1950" s="43">
        <v>1000000</v>
      </c>
      <c r="H1950" s="43">
        <v>145000</v>
      </c>
      <c r="I1950" s="43" t="s">
        <v>949</v>
      </c>
      <c r="J1950" s="44" t="s">
        <v>1000</v>
      </c>
    </row>
    <row r="1951" ht="22" customHeight="1" spans="1:10" x14ac:dyDescent="0.25">
      <c r="A1951" s="43">
        <v>3130</v>
      </c>
      <c r="B1951" s="43">
        <v>10</v>
      </c>
      <c r="C1951" s="43" t="s">
        <v>962</v>
      </c>
      <c r="D1951" s="43" t="s">
        <v>999</v>
      </c>
      <c r="E1951" s="43" t="s">
        <v>310</v>
      </c>
      <c r="F1951" s="43" t="s">
        <v>953</v>
      </c>
      <c r="G1951" s="43">
        <v>1000000</v>
      </c>
      <c r="H1951" s="43">
        <v>145000</v>
      </c>
      <c r="I1951" s="43" t="s">
        <v>949</v>
      </c>
      <c r="J1951" s="44" t="s">
        <v>1000</v>
      </c>
    </row>
    <row r="1952" ht="22" customHeight="1" spans="1:10" x14ac:dyDescent="0.25">
      <c r="A1952" s="43">
        <v>3130</v>
      </c>
      <c r="B1952" s="43">
        <v>10</v>
      </c>
      <c r="C1952" s="43" t="s">
        <v>962</v>
      </c>
      <c r="D1952" s="43" t="s">
        <v>999</v>
      </c>
      <c r="E1952" s="43" t="s">
        <v>310</v>
      </c>
      <c r="F1952" s="43" t="s">
        <v>954</v>
      </c>
      <c r="G1952" s="43">
        <v>1000000</v>
      </c>
      <c r="H1952" s="43">
        <v>145000</v>
      </c>
      <c r="I1952" s="43" t="s">
        <v>949</v>
      </c>
      <c r="J1952" s="44" t="s">
        <v>1000</v>
      </c>
    </row>
    <row r="1953" ht="22" customHeight="1" spans="1:10" x14ac:dyDescent="0.25">
      <c r="A1953" s="43">
        <v>3130</v>
      </c>
      <c r="B1953" s="43">
        <v>10</v>
      </c>
      <c r="C1953" s="43" t="s">
        <v>962</v>
      </c>
      <c r="D1953" s="43" t="s">
        <v>999</v>
      </c>
      <c r="E1953" s="43" t="s">
        <v>310</v>
      </c>
      <c r="F1953" s="43" t="s">
        <v>955</v>
      </c>
      <c r="G1953" s="43">
        <v>1000000</v>
      </c>
      <c r="H1953" s="43">
        <v>145000</v>
      </c>
      <c r="I1953" s="43" t="s">
        <v>949</v>
      </c>
      <c r="J1953" s="44" t="s">
        <v>1000</v>
      </c>
    </row>
    <row r="1954" ht="22" customHeight="1" spans="1:10" x14ac:dyDescent="0.25">
      <c r="A1954" s="43">
        <v>3130</v>
      </c>
      <c r="B1954" s="43">
        <v>10</v>
      </c>
      <c r="C1954" s="43" t="s">
        <v>962</v>
      </c>
      <c r="D1954" s="43" t="s">
        <v>999</v>
      </c>
      <c r="E1954" s="43" t="s">
        <v>310</v>
      </c>
      <c r="F1954" s="43" t="s">
        <v>956</v>
      </c>
      <c r="G1954" s="43">
        <v>1000000</v>
      </c>
      <c r="H1954" s="43">
        <v>145000</v>
      </c>
      <c r="I1954" s="43" t="s">
        <v>949</v>
      </c>
      <c r="J1954" s="44" t="s">
        <v>1000</v>
      </c>
    </row>
    <row r="1955" ht="22" customHeight="1" spans="1:10" x14ac:dyDescent="0.25">
      <c r="A1955" s="43">
        <v>3130</v>
      </c>
      <c r="B1955" s="43">
        <v>10</v>
      </c>
      <c r="C1955" s="43" t="s">
        <v>962</v>
      </c>
      <c r="D1955" s="43" t="s">
        <v>999</v>
      </c>
      <c r="E1955" s="43" t="s">
        <v>310</v>
      </c>
      <c r="F1955" s="43" t="s">
        <v>957</v>
      </c>
      <c r="G1955" s="43">
        <v>1000000</v>
      </c>
      <c r="H1955" s="43">
        <v>145000</v>
      </c>
      <c r="I1955" s="43" t="s">
        <v>949</v>
      </c>
      <c r="J1955" s="44" t="s">
        <v>1000</v>
      </c>
    </row>
    <row r="1956" ht="22" customHeight="1" spans="1:10" x14ac:dyDescent="0.25">
      <c r="A1956" s="43">
        <v>3130</v>
      </c>
      <c r="B1956" s="43">
        <v>10</v>
      </c>
      <c r="C1956" s="43" t="s">
        <v>962</v>
      </c>
      <c r="D1956" s="43" t="s">
        <v>999</v>
      </c>
      <c r="E1956" s="43" t="s">
        <v>310</v>
      </c>
      <c r="F1956" s="43" t="s">
        <v>958</v>
      </c>
      <c r="G1956" s="43">
        <v>1000000</v>
      </c>
      <c r="H1956" s="43">
        <v>145000</v>
      </c>
      <c r="I1956" s="43" t="s">
        <v>949</v>
      </c>
      <c r="J1956" s="44" t="s">
        <v>1000</v>
      </c>
    </row>
    <row r="1957" ht="22" customHeight="1" spans="1:10" x14ac:dyDescent="0.25">
      <c r="A1957" s="43">
        <v>3130</v>
      </c>
      <c r="B1957" s="43">
        <v>10</v>
      </c>
      <c r="C1957" s="43" t="s">
        <v>962</v>
      </c>
      <c r="D1957" s="43" t="s">
        <v>999</v>
      </c>
      <c r="E1957" s="43" t="s">
        <v>310</v>
      </c>
      <c r="F1957" s="43" t="s">
        <v>959</v>
      </c>
      <c r="G1957" s="43">
        <v>1000000</v>
      </c>
      <c r="H1957" s="43">
        <v>145000</v>
      </c>
      <c r="I1957" s="43" t="s">
        <v>949</v>
      </c>
      <c r="J1957" s="44" t="s">
        <v>1000</v>
      </c>
    </row>
    <row r="1958" ht="22" customHeight="1" spans="1:10" x14ac:dyDescent="0.25">
      <c r="A1958" s="43">
        <v>3130</v>
      </c>
      <c r="B1958" s="43">
        <v>10</v>
      </c>
      <c r="C1958" s="43" t="s">
        <v>962</v>
      </c>
      <c r="D1958" s="43" t="s">
        <v>999</v>
      </c>
      <c r="E1958" s="43" t="s">
        <v>310</v>
      </c>
      <c r="F1958" s="43" t="s">
        <v>960</v>
      </c>
      <c r="G1958" s="43">
        <v>1000000</v>
      </c>
      <c r="H1958" s="43">
        <v>145000</v>
      </c>
      <c r="I1958" s="43" t="s">
        <v>949</v>
      </c>
      <c r="J1958" s="44" t="s">
        <v>1000</v>
      </c>
    </row>
    <row r="1959" ht="22" customHeight="1" spans="1:10" x14ac:dyDescent="0.25">
      <c r="A1959" s="43">
        <v>3130</v>
      </c>
      <c r="B1959" s="43">
        <v>10</v>
      </c>
      <c r="C1959" s="43" t="s">
        <v>962</v>
      </c>
      <c r="D1959" s="43" t="s">
        <v>999</v>
      </c>
      <c r="E1959" s="43" t="s">
        <v>310</v>
      </c>
      <c r="F1959" s="43" t="s">
        <v>961</v>
      </c>
      <c r="G1959" s="43">
        <v>1000000</v>
      </c>
      <c r="H1959" s="43">
        <v>145000</v>
      </c>
      <c r="I1959" s="43" t="s">
        <v>949</v>
      </c>
      <c r="J1959" s="44" t="s">
        <v>1000</v>
      </c>
    </row>
    <row r="1960" ht="22" customHeight="1" spans="1:10" x14ac:dyDescent="0.25">
      <c r="A1960" s="43">
        <v>3130</v>
      </c>
      <c r="B1960" s="43">
        <v>10</v>
      </c>
      <c r="C1960" s="43" t="s">
        <v>963</v>
      </c>
      <c r="D1960" s="43" t="s">
        <v>999</v>
      </c>
      <c r="E1960" s="43" t="s">
        <v>310</v>
      </c>
      <c r="F1960" s="43" t="s">
        <v>951</v>
      </c>
      <c r="G1960" s="43">
        <v>1000000</v>
      </c>
      <c r="H1960" s="43">
        <v>145000</v>
      </c>
      <c r="I1960" s="43" t="s">
        <v>949</v>
      </c>
      <c r="J1960" s="44" t="s">
        <v>1000</v>
      </c>
    </row>
    <row r="1961" ht="22" customHeight="1" spans="1:10" x14ac:dyDescent="0.25">
      <c r="A1961" s="43">
        <v>3130</v>
      </c>
      <c r="B1961" s="43">
        <v>10</v>
      </c>
      <c r="C1961" s="43" t="s">
        <v>963</v>
      </c>
      <c r="D1961" s="43" t="s">
        <v>999</v>
      </c>
      <c r="E1961" s="43" t="s">
        <v>310</v>
      </c>
      <c r="F1961" s="43" t="s">
        <v>952</v>
      </c>
      <c r="G1961" s="43">
        <v>1000000</v>
      </c>
      <c r="H1961" s="43">
        <v>145000</v>
      </c>
      <c r="I1961" s="43" t="s">
        <v>949</v>
      </c>
      <c r="J1961" s="44" t="s">
        <v>1000</v>
      </c>
    </row>
    <row r="1962" ht="22" customHeight="1" spans="1:10" x14ac:dyDescent="0.25">
      <c r="A1962" s="43">
        <v>3130</v>
      </c>
      <c r="B1962" s="43">
        <v>10</v>
      </c>
      <c r="C1962" s="43" t="s">
        <v>963</v>
      </c>
      <c r="D1962" s="43" t="s">
        <v>999</v>
      </c>
      <c r="E1962" s="43" t="s">
        <v>310</v>
      </c>
      <c r="F1962" s="43" t="s">
        <v>953</v>
      </c>
      <c r="G1962" s="43">
        <v>1000000</v>
      </c>
      <c r="H1962" s="43">
        <v>145000</v>
      </c>
      <c r="I1962" s="43" t="s">
        <v>949</v>
      </c>
      <c r="J1962" s="44" t="s">
        <v>1000</v>
      </c>
    </row>
    <row r="1963" ht="22" customHeight="1" spans="1:10" x14ac:dyDescent="0.25">
      <c r="A1963" s="43">
        <v>3130</v>
      </c>
      <c r="B1963" s="43">
        <v>10</v>
      </c>
      <c r="C1963" s="43" t="s">
        <v>963</v>
      </c>
      <c r="D1963" s="43" t="s">
        <v>999</v>
      </c>
      <c r="E1963" s="43" t="s">
        <v>310</v>
      </c>
      <c r="F1963" s="43" t="s">
        <v>954</v>
      </c>
      <c r="G1963" s="43">
        <v>1000000</v>
      </c>
      <c r="H1963" s="43">
        <v>145000</v>
      </c>
      <c r="I1963" s="43" t="s">
        <v>949</v>
      </c>
      <c r="J1963" s="44" t="s">
        <v>1000</v>
      </c>
    </row>
    <row r="1964" ht="22" customHeight="1" spans="1:10" x14ac:dyDescent="0.25">
      <c r="A1964" s="43">
        <v>3130</v>
      </c>
      <c r="B1964" s="43">
        <v>10</v>
      </c>
      <c r="C1964" s="43" t="s">
        <v>963</v>
      </c>
      <c r="D1964" s="43" t="s">
        <v>999</v>
      </c>
      <c r="E1964" s="43" t="s">
        <v>310</v>
      </c>
      <c r="F1964" s="43" t="s">
        <v>955</v>
      </c>
      <c r="G1964" s="43">
        <v>1000000</v>
      </c>
      <c r="H1964" s="43">
        <v>145000</v>
      </c>
      <c r="I1964" s="43" t="s">
        <v>949</v>
      </c>
      <c r="J1964" s="44" t="s">
        <v>1000</v>
      </c>
    </row>
    <row r="1965" ht="22" customHeight="1" spans="1:10" x14ac:dyDescent="0.25">
      <c r="A1965" s="43">
        <v>3130</v>
      </c>
      <c r="B1965" s="43">
        <v>10</v>
      </c>
      <c r="C1965" s="43" t="s">
        <v>963</v>
      </c>
      <c r="D1965" s="43" t="s">
        <v>999</v>
      </c>
      <c r="E1965" s="43" t="s">
        <v>310</v>
      </c>
      <c r="F1965" s="43" t="s">
        <v>956</v>
      </c>
      <c r="G1965" s="43">
        <v>1000000</v>
      </c>
      <c r="H1965" s="43">
        <v>145000</v>
      </c>
      <c r="I1965" s="43" t="s">
        <v>949</v>
      </c>
      <c r="J1965" s="44" t="s">
        <v>1000</v>
      </c>
    </row>
    <row r="1966" ht="22" customHeight="1" spans="1:10" x14ac:dyDescent="0.25">
      <c r="A1966" s="43">
        <v>3130</v>
      </c>
      <c r="B1966" s="43">
        <v>10</v>
      </c>
      <c r="C1966" s="43" t="s">
        <v>963</v>
      </c>
      <c r="D1966" s="43" t="s">
        <v>999</v>
      </c>
      <c r="E1966" s="43" t="s">
        <v>310</v>
      </c>
      <c r="F1966" s="43" t="s">
        <v>957</v>
      </c>
      <c r="G1966" s="43">
        <v>1000000</v>
      </c>
      <c r="H1966" s="43">
        <v>145000</v>
      </c>
      <c r="I1966" s="43" t="s">
        <v>949</v>
      </c>
      <c r="J1966" s="44" t="s">
        <v>1000</v>
      </c>
    </row>
    <row r="1967" ht="22" customHeight="1" spans="1:10" x14ac:dyDescent="0.25">
      <c r="A1967" s="43">
        <v>3130</v>
      </c>
      <c r="B1967" s="43">
        <v>10</v>
      </c>
      <c r="C1967" s="43" t="s">
        <v>963</v>
      </c>
      <c r="D1967" s="43" t="s">
        <v>999</v>
      </c>
      <c r="E1967" s="43" t="s">
        <v>310</v>
      </c>
      <c r="F1967" s="43" t="s">
        <v>958</v>
      </c>
      <c r="G1967" s="43">
        <v>1000000</v>
      </c>
      <c r="H1967" s="43">
        <v>145000</v>
      </c>
      <c r="I1967" s="43" t="s">
        <v>949</v>
      </c>
      <c r="J1967" s="44" t="s">
        <v>1000</v>
      </c>
    </row>
    <row r="1968" ht="22" customHeight="1" spans="1:10" x14ac:dyDescent="0.25">
      <c r="A1968" s="43">
        <v>3130</v>
      </c>
      <c r="B1968" s="43">
        <v>10</v>
      </c>
      <c r="C1968" s="43" t="s">
        <v>963</v>
      </c>
      <c r="D1968" s="43" t="s">
        <v>999</v>
      </c>
      <c r="E1968" s="43" t="s">
        <v>310</v>
      </c>
      <c r="F1968" s="43" t="s">
        <v>959</v>
      </c>
      <c r="G1968" s="43">
        <v>1000000</v>
      </c>
      <c r="H1968" s="43">
        <v>145000</v>
      </c>
      <c r="I1968" s="43" t="s">
        <v>949</v>
      </c>
      <c r="J1968" s="44" t="s">
        <v>1000</v>
      </c>
    </row>
    <row r="1969" ht="22" customHeight="1" spans="1:10" x14ac:dyDescent="0.25">
      <c r="A1969" s="43">
        <v>3130</v>
      </c>
      <c r="B1969" s="43">
        <v>10</v>
      </c>
      <c r="C1969" s="43" t="s">
        <v>963</v>
      </c>
      <c r="D1969" s="43" t="s">
        <v>999</v>
      </c>
      <c r="E1969" s="43" t="s">
        <v>310</v>
      </c>
      <c r="F1969" s="43" t="s">
        <v>960</v>
      </c>
      <c r="G1969" s="43">
        <v>1000000</v>
      </c>
      <c r="H1969" s="43">
        <v>145000</v>
      </c>
      <c r="I1969" s="43" t="s">
        <v>949</v>
      </c>
      <c r="J1969" s="44" t="s">
        <v>1000</v>
      </c>
    </row>
    <row r="1970" ht="22" customHeight="1" spans="1:10" x14ac:dyDescent="0.25">
      <c r="A1970" s="43">
        <v>3130</v>
      </c>
      <c r="B1970" s="43">
        <v>10</v>
      </c>
      <c r="C1970" s="43" t="s">
        <v>963</v>
      </c>
      <c r="D1970" s="43" t="s">
        <v>999</v>
      </c>
      <c r="E1970" s="43" t="s">
        <v>310</v>
      </c>
      <c r="F1970" s="43" t="s">
        <v>961</v>
      </c>
      <c r="G1970" s="43">
        <v>1000000</v>
      </c>
      <c r="H1970" s="43">
        <v>145000</v>
      </c>
      <c r="I1970" s="43" t="s">
        <v>949</v>
      </c>
      <c r="J1970" s="44" t="s">
        <v>1000</v>
      </c>
    </row>
    <row r="1971" ht="22" customHeight="1" spans="1:10" x14ac:dyDescent="0.25">
      <c r="A1971" s="43">
        <v>3130</v>
      </c>
      <c r="B1971" s="43">
        <v>10</v>
      </c>
      <c r="C1971" s="43" t="s">
        <v>950</v>
      </c>
      <c r="D1971" s="43" t="s">
        <v>999</v>
      </c>
      <c r="E1971" s="43" t="s">
        <v>314</v>
      </c>
      <c r="F1971" s="43" t="s">
        <v>951</v>
      </c>
      <c r="G1971" s="43">
        <v>1000000</v>
      </c>
      <c r="H1971" s="43">
        <v>145000</v>
      </c>
      <c r="I1971" s="43" t="s">
        <v>949</v>
      </c>
      <c r="J1971" s="44" t="s">
        <v>1000</v>
      </c>
    </row>
    <row r="1972" ht="22" customHeight="1" spans="1:10" x14ac:dyDescent="0.25">
      <c r="A1972" s="43">
        <v>3130</v>
      </c>
      <c r="B1972" s="43">
        <v>10</v>
      </c>
      <c r="C1972" s="43" t="s">
        <v>950</v>
      </c>
      <c r="D1972" s="43" t="s">
        <v>999</v>
      </c>
      <c r="E1972" s="43" t="s">
        <v>314</v>
      </c>
      <c r="F1972" s="43" t="s">
        <v>952</v>
      </c>
      <c r="G1972" s="43">
        <v>1000000</v>
      </c>
      <c r="H1972" s="43">
        <v>145000</v>
      </c>
      <c r="I1972" s="43" t="s">
        <v>949</v>
      </c>
      <c r="J1972" s="44" t="s">
        <v>1000</v>
      </c>
    </row>
    <row r="1973" ht="22" customHeight="1" spans="1:10" x14ac:dyDescent="0.25">
      <c r="A1973" s="43">
        <v>3130</v>
      </c>
      <c r="B1973" s="43">
        <v>10</v>
      </c>
      <c r="C1973" s="43" t="s">
        <v>950</v>
      </c>
      <c r="D1973" s="43" t="s">
        <v>999</v>
      </c>
      <c r="E1973" s="43" t="s">
        <v>314</v>
      </c>
      <c r="F1973" s="43" t="s">
        <v>953</v>
      </c>
      <c r="G1973" s="43">
        <v>1000000</v>
      </c>
      <c r="H1973" s="43">
        <v>145000</v>
      </c>
      <c r="I1973" s="43" t="s">
        <v>949</v>
      </c>
      <c r="J1973" s="44" t="s">
        <v>1000</v>
      </c>
    </row>
    <row r="1974" ht="22" customHeight="1" spans="1:10" x14ac:dyDescent="0.25">
      <c r="A1974" s="43">
        <v>3130</v>
      </c>
      <c r="B1974" s="43">
        <v>10</v>
      </c>
      <c r="C1974" s="43" t="s">
        <v>950</v>
      </c>
      <c r="D1974" s="43" t="s">
        <v>999</v>
      </c>
      <c r="E1974" s="43" t="s">
        <v>314</v>
      </c>
      <c r="F1974" s="43" t="s">
        <v>954</v>
      </c>
      <c r="G1974" s="43">
        <v>1000000</v>
      </c>
      <c r="H1974" s="43">
        <v>145000</v>
      </c>
      <c r="I1974" s="43" t="s">
        <v>949</v>
      </c>
      <c r="J1974" s="44" t="s">
        <v>1000</v>
      </c>
    </row>
    <row r="1975" ht="22" customHeight="1" spans="1:10" x14ac:dyDescent="0.25">
      <c r="A1975" s="43">
        <v>3130</v>
      </c>
      <c r="B1975" s="43">
        <v>10</v>
      </c>
      <c r="C1975" s="43" t="s">
        <v>950</v>
      </c>
      <c r="D1975" s="43" t="s">
        <v>999</v>
      </c>
      <c r="E1975" s="43" t="s">
        <v>314</v>
      </c>
      <c r="F1975" s="43" t="s">
        <v>955</v>
      </c>
      <c r="G1975" s="43">
        <v>1000000</v>
      </c>
      <c r="H1975" s="43">
        <v>145000</v>
      </c>
      <c r="I1975" s="43" t="s">
        <v>949</v>
      </c>
      <c r="J1975" s="44" t="s">
        <v>1000</v>
      </c>
    </row>
    <row r="1976" ht="22" customHeight="1" spans="1:10" x14ac:dyDescent="0.25">
      <c r="A1976" s="43">
        <v>3130</v>
      </c>
      <c r="B1976" s="43">
        <v>10</v>
      </c>
      <c r="C1976" s="43" t="s">
        <v>950</v>
      </c>
      <c r="D1976" s="43" t="s">
        <v>999</v>
      </c>
      <c r="E1976" s="43" t="s">
        <v>314</v>
      </c>
      <c r="F1976" s="43" t="s">
        <v>956</v>
      </c>
      <c r="G1976" s="43">
        <v>1000000</v>
      </c>
      <c r="H1976" s="43">
        <v>145000</v>
      </c>
      <c r="I1976" s="43" t="s">
        <v>949</v>
      </c>
      <c r="J1976" s="44" t="s">
        <v>1000</v>
      </c>
    </row>
    <row r="1977" ht="22" customHeight="1" spans="1:10" x14ac:dyDescent="0.25">
      <c r="A1977" s="43">
        <v>3130</v>
      </c>
      <c r="B1977" s="43">
        <v>10</v>
      </c>
      <c r="C1977" s="43" t="s">
        <v>950</v>
      </c>
      <c r="D1977" s="43" t="s">
        <v>999</v>
      </c>
      <c r="E1977" s="43" t="s">
        <v>314</v>
      </c>
      <c r="F1977" s="43" t="s">
        <v>957</v>
      </c>
      <c r="G1977" s="43">
        <v>1000000</v>
      </c>
      <c r="H1977" s="43">
        <v>145000</v>
      </c>
      <c r="I1977" s="43" t="s">
        <v>949</v>
      </c>
      <c r="J1977" s="44" t="s">
        <v>1000</v>
      </c>
    </row>
    <row r="1978" ht="22" customHeight="1" spans="1:10" x14ac:dyDescent="0.25">
      <c r="A1978" s="43">
        <v>3130</v>
      </c>
      <c r="B1978" s="43">
        <v>10</v>
      </c>
      <c r="C1978" s="43" t="s">
        <v>950</v>
      </c>
      <c r="D1978" s="43" t="s">
        <v>999</v>
      </c>
      <c r="E1978" s="43" t="s">
        <v>314</v>
      </c>
      <c r="F1978" s="43" t="s">
        <v>958</v>
      </c>
      <c r="G1978" s="43">
        <v>1000000</v>
      </c>
      <c r="H1978" s="43">
        <v>145000</v>
      </c>
      <c r="I1978" s="43" t="s">
        <v>949</v>
      </c>
      <c r="J1978" s="44" t="s">
        <v>1000</v>
      </c>
    </row>
    <row r="1979" ht="22" customHeight="1" spans="1:10" x14ac:dyDescent="0.25">
      <c r="A1979" s="43">
        <v>3130</v>
      </c>
      <c r="B1979" s="43">
        <v>10</v>
      </c>
      <c r="C1979" s="43" t="s">
        <v>950</v>
      </c>
      <c r="D1979" s="43" t="s">
        <v>999</v>
      </c>
      <c r="E1979" s="43" t="s">
        <v>314</v>
      </c>
      <c r="F1979" s="43" t="s">
        <v>959</v>
      </c>
      <c r="G1979" s="43">
        <v>1000000</v>
      </c>
      <c r="H1979" s="43">
        <v>145000</v>
      </c>
      <c r="I1979" s="43" t="s">
        <v>949</v>
      </c>
      <c r="J1979" s="44" t="s">
        <v>1000</v>
      </c>
    </row>
    <row r="1980" ht="22" customHeight="1" spans="1:10" x14ac:dyDescent="0.25">
      <c r="A1980" s="43">
        <v>3130</v>
      </c>
      <c r="B1980" s="43">
        <v>10</v>
      </c>
      <c r="C1980" s="43" t="s">
        <v>950</v>
      </c>
      <c r="D1980" s="43" t="s">
        <v>999</v>
      </c>
      <c r="E1980" s="43" t="s">
        <v>314</v>
      </c>
      <c r="F1980" s="43" t="s">
        <v>960</v>
      </c>
      <c r="G1980" s="43">
        <v>1000000</v>
      </c>
      <c r="H1980" s="43">
        <v>145000</v>
      </c>
      <c r="I1980" s="43" t="s">
        <v>949</v>
      </c>
      <c r="J1980" s="44" t="s">
        <v>1000</v>
      </c>
    </row>
    <row r="1981" ht="22" customHeight="1" spans="1:10" x14ac:dyDescent="0.25">
      <c r="A1981" s="43">
        <v>3130</v>
      </c>
      <c r="B1981" s="43">
        <v>10</v>
      </c>
      <c r="C1981" s="43" t="s">
        <v>950</v>
      </c>
      <c r="D1981" s="43" t="s">
        <v>999</v>
      </c>
      <c r="E1981" s="43" t="s">
        <v>314</v>
      </c>
      <c r="F1981" s="43" t="s">
        <v>961</v>
      </c>
      <c r="G1981" s="43">
        <v>1000000</v>
      </c>
      <c r="H1981" s="43">
        <v>145000</v>
      </c>
      <c r="I1981" s="43" t="s">
        <v>949</v>
      </c>
      <c r="J1981" s="44" t="s">
        <v>1000</v>
      </c>
    </row>
    <row r="1982" ht="22" customHeight="1" spans="1:10" x14ac:dyDescent="0.25">
      <c r="A1982" s="43">
        <v>3130</v>
      </c>
      <c r="B1982" s="43">
        <v>10</v>
      </c>
      <c r="C1982" s="43" t="s">
        <v>962</v>
      </c>
      <c r="D1982" s="43" t="s">
        <v>999</v>
      </c>
      <c r="E1982" s="43" t="s">
        <v>314</v>
      </c>
      <c r="F1982" s="43" t="s">
        <v>951</v>
      </c>
      <c r="G1982" s="43">
        <v>1000000</v>
      </c>
      <c r="H1982" s="43">
        <v>145000</v>
      </c>
      <c r="I1982" s="43" t="s">
        <v>949</v>
      </c>
      <c r="J1982" s="44" t="s">
        <v>1000</v>
      </c>
    </row>
    <row r="1983" ht="22" customHeight="1" spans="1:10" x14ac:dyDescent="0.25">
      <c r="A1983" s="43">
        <v>3130</v>
      </c>
      <c r="B1983" s="43">
        <v>10</v>
      </c>
      <c r="C1983" s="43" t="s">
        <v>962</v>
      </c>
      <c r="D1983" s="43" t="s">
        <v>999</v>
      </c>
      <c r="E1983" s="43" t="s">
        <v>314</v>
      </c>
      <c r="F1983" s="43" t="s">
        <v>952</v>
      </c>
      <c r="G1983" s="43">
        <v>1000000</v>
      </c>
      <c r="H1983" s="43">
        <v>145000</v>
      </c>
      <c r="I1983" s="43" t="s">
        <v>949</v>
      </c>
      <c r="J1983" s="44" t="s">
        <v>1000</v>
      </c>
    </row>
    <row r="1984" ht="22" customHeight="1" spans="1:10" x14ac:dyDescent="0.25">
      <c r="A1984" s="43">
        <v>3130</v>
      </c>
      <c r="B1984" s="43">
        <v>10</v>
      </c>
      <c r="C1984" s="43" t="s">
        <v>962</v>
      </c>
      <c r="D1984" s="43" t="s">
        <v>999</v>
      </c>
      <c r="E1984" s="43" t="s">
        <v>314</v>
      </c>
      <c r="F1984" s="43" t="s">
        <v>953</v>
      </c>
      <c r="G1984" s="43">
        <v>1000000</v>
      </c>
      <c r="H1984" s="43">
        <v>145000</v>
      </c>
      <c r="I1984" s="43" t="s">
        <v>949</v>
      </c>
      <c r="J1984" s="44" t="s">
        <v>1000</v>
      </c>
    </row>
    <row r="1985" ht="22" customHeight="1" spans="1:10" x14ac:dyDescent="0.25">
      <c r="A1985" s="43">
        <v>3130</v>
      </c>
      <c r="B1985" s="43">
        <v>10</v>
      </c>
      <c r="C1985" s="43" t="s">
        <v>962</v>
      </c>
      <c r="D1985" s="43" t="s">
        <v>999</v>
      </c>
      <c r="E1985" s="43" t="s">
        <v>314</v>
      </c>
      <c r="F1985" s="43" t="s">
        <v>954</v>
      </c>
      <c r="G1985" s="43">
        <v>1000000</v>
      </c>
      <c r="H1985" s="43">
        <v>145000</v>
      </c>
      <c r="I1985" s="43" t="s">
        <v>949</v>
      </c>
      <c r="J1985" s="44" t="s">
        <v>1000</v>
      </c>
    </row>
    <row r="1986" ht="22" customHeight="1" spans="1:10" x14ac:dyDescent="0.25">
      <c r="A1986" s="43">
        <v>3130</v>
      </c>
      <c r="B1986" s="43">
        <v>10</v>
      </c>
      <c r="C1986" s="43" t="s">
        <v>962</v>
      </c>
      <c r="D1986" s="43" t="s">
        <v>999</v>
      </c>
      <c r="E1986" s="43" t="s">
        <v>314</v>
      </c>
      <c r="F1986" s="43" t="s">
        <v>955</v>
      </c>
      <c r="G1986" s="43">
        <v>1000000</v>
      </c>
      <c r="H1986" s="43">
        <v>145000</v>
      </c>
      <c r="I1986" s="43" t="s">
        <v>949</v>
      </c>
      <c r="J1986" s="44" t="s">
        <v>1000</v>
      </c>
    </row>
    <row r="1987" ht="22" customHeight="1" spans="1:10" x14ac:dyDescent="0.25">
      <c r="A1987" s="43">
        <v>3130</v>
      </c>
      <c r="B1987" s="43">
        <v>10</v>
      </c>
      <c r="C1987" s="43" t="s">
        <v>962</v>
      </c>
      <c r="D1987" s="43" t="s">
        <v>999</v>
      </c>
      <c r="E1987" s="43" t="s">
        <v>314</v>
      </c>
      <c r="F1987" s="43" t="s">
        <v>956</v>
      </c>
      <c r="G1987" s="43">
        <v>1000000</v>
      </c>
      <c r="H1987" s="43">
        <v>145000</v>
      </c>
      <c r="I1987" s="43" t="s">
        <v>949</v>
      </c>
      <c r="J1987" s="44" t="s">
        <v>1000</v>
      </c>
    </row>
    <row r="1988" ht="22" customHeight="1" spans="1:10" x14ac:dyDescent="0.25">
      <c r="A1988" s="43">
        <v>3130</v>
      </c>
      <c r="B1988" s="43">
        <v>10</v>
      </c>
      <c r="C1988" s="43" t="s">
        <v>962</v>
      </c>
      <c r="D1988" s="43" t="s">
        <v>999</v>
      </c>
      <c r="E1988" s="43" t="s">
        <v>314</v>
      </c>
      <c r="F1988" s="43" t="s">
        <v>957</v>
      </c>
      <c r="G1988" s="43">
        <v>1000000</v>
      </c>
      <c r="H1988" s="43">
        <v>145000</v>
      </c>
      <c r="I1988" s="43" t="s">
        <v>949</v>
      </c>
      <c r="J1988" s="44" t="s">
        <v>1000</v>
      </c>
    </row>
    <row r="1989" ht="22" customHeight="1" spans="1:10" x14ac:dyDescent="0.25">
      <c r="A1989" s="43">
        <v>3130</v>
      </c>
      <c r="B1989" s="43">
        <v>10</v>
      </c>
      <c r="C1989" s="43" t="s">
        <v>962</v>
      </c>
      <c r="D1989" s="43" t="s">
        <v>999</v>
      </c>
      <c r="E1989" s="43" t="s">
        <v>314</v>
      </c>
      <c r="F1989" s="43" t="s">
        <v>958</v>
      </c>
      <c r="G1989" s="43">
        <v>1000000</v>
      </c>
      <c r="H1989" s="43">
        <v>145000</v>
      </c>
      <c r="I1989" s="43" t="s">
        <v>949</v>
      </c>
      <c r="J1989" s="44" t="s">
        <v>1000</v>
      </c>
    </row>
    <row r="1990" ht="22" customHeight="1" spans="1:10" x14ac:dyDescent="0.25">
      <c r="A1990" s="43">
        <v>3130</v>
      </c>
      <c r="B1990" s="43">
        <v>10</v>
      </c>
      <c r="C1990" s="43" t="s">
        <v>962</v>
      </c>
      <c r="D1990" s="43" t="s">
        <v>999</v>
      </c>
      <c r="E1990" s="43" t="s">
        <v>314</v>
      </c>
      <c r="F1990" s="43" t="s">
        <v>959</v>
      </c>
      <c r="G1990" s="43">
        <v>1000000</v>
      </c>
      <c r="H1990" s="43">
        <v>145000</v>
      </c>
      <c r="I1990" s="43" t="s">
        <v>949</v>
      </c>
      <c r="J1990" s="44" t="s">
        <v>1000</v>
      </c>
    </row>
    <row r="1991" ht="22" customHeight="1" spans="1:10" x14ac:dyDescent="0.25">
      <c r="A1991" s="43">
        <v>3130</v>
      </c>
      <c r="B1991" s="43">
        <v>10</v>
      </c>
      <c r="C1991" s="43" t="s">
        <v>962</v>
      </c>
      <c r="D1991" s="43" t="s">
        <v>999</v>
      </c>
      <c r="E1991" s="43" t="s">
        <v>314</v>
      </c>
      <c r="F1991" s="43" t="s">
        <v>960</v>
      </c>
      <c r="G1991" s="43">
        <v>1000000</v>
      </c>
      <c r="H1991" s="43">
        <v>145000</v>
      </c>
      <c r="I1991" s="43" t="s">
        <v>949</v>
      </c>
      <c r="J1991" s="44" t="s">
        <v>1000</v>
      </c>
    </row>
    <row r="1992" ht="22" customHeight="1" spans="1:10" x14ac:dyDescent="0.25">
      <c r="A1992" s="43">
        <v>3130</v>
      </c>
      <c r="B1992" s="43">
        <v>10</v>
      </c>
      <c r="C1992" s="43" t="s">
        <v>962</v>
      </c>
      <c r="D1992" s="43" t="s">
        <v>999</v>
      </c>
      <c r="E1992" s="43" t="s">
        <v>314</v>
      </c>
      <c r="F1992" s="43" t="s">
        <v>961</v>
      </c>
      <c r="G1992" s="43">
        <v>1000000</v>
      </c>
      <c r="H1992" s="43">
        <v>145000</v>
      </c>
      <c r="I1992" s="43" t="s">
        <v>949</v>
      </c>
      <c r="J1992" s="44" t="s">
        <v>1000</v>
      </c>
    </row>
    <row r="1993" ht="22" customHeight="1" spans="1:10" x14ac:dyDescent="0.25">
      <c r="A1993" s="43">
        <v>3130</v>
      </c>
      <c r="B1993" s="43">
        <v>10</v>
      </c>
      <c r="C1993" s="43" t="s">
        <v>963</v>
      </c>
      <c r="D1993" s="43" t="s">
        <v>999</v>
      </c>
      <c r="E1993" s="43" t="s">
        <v>314</v>
      </c>
      <c r="F1993" s="43" t="s">
        <v>951</v>
      </c>
      <c r="G1993" s="43">
        <v>1000000</v>
      </c>
      <c r="H1993" s="43">
        <v>145000</v>
      </c>
      <c r="I1993" s="43" t="s">
        <v>949</v>
      </c>
      <c r="J1993" s="44" t="s">
        <v>1000</v>
      </c>
    </row>
    <row r="1994" ht="22" customHeight="1" spans="1:10" x14ac:dyDescent="0.25">
      <c r="A1994" s="43">
        <v>3130</v>
      </c>
      <c r="B1994" s="43">
        <v>10</v>
      </c>
      <c r="C1994" s="43" t="s">
        <v>963</v>
      </c>
      <c r="D1994" s="43" t="s">
        <v>999</v>
      </c>
      <c r="E1994" s="43" t="s">
        <v>314</v>
      </c>
      <c r="F1994" s="43" t="s">
        <v>952</v>
      </c>
      <c r="G1994" s="43">
        <v>1000000</v>
      </c>
      <c r="H1994" s="43">
        <v>145000</v>
      </c>
      <c r="I1994" s="43" t="s">
        <v>949</v>
      </c>
      <c r="J1994" s="44" t="s">
        <v>1000</v>
      </c>
    </row>
    <row r="1995" ht="22" customHeight="1" spans="1:10" x14ac:dyDescent="0.25">
      <c r="A1995" s="43">
        <v>3130</v>
      </c>
      <c r="B1995" s="43">
        <v>10</v>
      </c>
      <c r="C1995" s="43" t="s">
        <v>963</v>
      </c>
      <c r="D1995" s="43" t="s">
        <v>999</v>
      </c>
      <c r="E1995" s="43" t="s">
        <v>314</v>
      </c>
      <c r="F1995" s="43" t="s">
        <v>953</v>
      </c>
      <c r="G1995" s="43">
        <v>1000000</v>
      </c>
      <c r="H1995" s="43">
        <v>145000</v>
      </c>
      <c r="I1995" s="43" t="s">
        <v>949</v>
      </c>
      <c r="J1995" s="44" t="s">
        <v>1000</v>
      </c>
    </row>
    <row r="1996" ht="22" customHeight="1" spans="1:10" x14ac:dyDescent="0.25">
      <c r="A1996" s="43">
        <v>3130</v>
      </c>
      <c r="B1996" s="43">
        <v>10</v>
      </c>
      <c r="C1996" s="43" t="s">
        <v>963</v>
      </c>
      <c r="D1996" s="43" t="s">
        <v>999</v>
      </c>
      <c r="E1996" s="43" t="s">
        <v>314</v>
      </c>
      <c r="F1996" s="43" t="s">
        <v>954</v>
      </c>
      <c r="G1996" s="43">
        <v>1000000</v>
      </c>
      <c r="H1996" s="43">
        <v>145000</v>
      </c>
      <c r="I1996" s="43" t="s">
        <v>949</v>
      </c>
      <c r="J1996" s="44" t="s">
        <v>1000</v>
      </c>
    </row>
    <row r="1997" ht="22" customHeight="1" spans="1:10" x14ac:dyDescent="0.25">
      <c r="A1997" s="43">
        <v>3130</v>
      </c>
      <c r="B1997" s="43">
        <v>10</v>
      </c>
      <c r="C1997" s="43" t="s">
        <v>963</v>
      </c>
      <c r="D1997" s="43" t="s">
        <v>999</v>
      </c>
      <c r="E1997" s="43" t="s">
        <v>314</v>
      </c>
      <c r="F1997" s="43" t="s">
        <v>955</v>
      </c>
      <c r="G1997" s="43">
        <v>1000000</v>
      </c>
      <c r="H1997" s="43">
        <v>145000</v>
      </c>
      <c r="I1997" s="43" t="s">
        <v>949</v>
      </c>
      <c r="J1997" s="44" t="s">
        <v>1000</v>
      </c>
    </row>
    <row r="1998" ht="22" customHeight="1" spans="1:10" x14ac:dyDescent="0.25">
      <c r="A1998" s="43">
        <v>3130</v>
      </c>
      <c r="B1998" s="43">
        <v>10</v>
      </c>
      <c r="C1998" s="43" t="s">
        <v>963</v>
      </c>
      <c r="D1998" s="43" t="s">
        <v>999</v>
      </c>
      <c r="E1998" s="43" t="s">
        <v>314</v>
      </c>
      <c r="F1998" s="43" t="s">
        <v>956</v>
      </c>
      <c r="G1998" s="43">
        <v>1000000</v>
      </c>
      <c r="H1998" s="43">
        <v>145000</v>
      </c>
      <c r="I1998" s="43" t="s">
        <v>949</v>
      </c>
      <c r="J1998" s="44" t="s">
        <v>1000</v>
      </c>
    </row>
    <row r="1999" ht="22" customHeight="1" spans="1:10" x14ac:dyDescent="0.25">
      <c r="A1999" s="43">
        <v>3130</v>
      </c>
      <c r="B1999" s="43">
        <v>10</v>
      </c>
      <c r="C1999" s="43" t="s">
        <v>963</v>
      </c>
      <c r="D1999" s="43" t="s">
        <v>999</v>
      </c>
      <c r="E1999" s="43" t="s">
        <v>314</v>
      </c>
      <c r="F1999" s="43" t="s">
        <v>957</v>
      </c>
      <c r="G1999" s="43">
        <v>1000000</v>
      </c>
      <c r="H1999" s="43">
        <v>145000</v>
      </c>
      <c r="I1999" s="43" t="s">
        <v>949</v>
      </c>
      <c r="J1999" s="44" t="s">
        <v>1000</v>
      </c>
    </row>
    <row r="2000" ht="22" customHeight="1" spans="1:10" x14ac:dyDescent="0.25">
      <c r="A2000" s="43">
        <v>3130</v>
      </c>
      <c r="B2000" s="43">
        <v>10</v>
      </c>
      <c r="C2000" s="43" t="s">
        <v>963</v>
      </c>
      <c r="D2000" s="43" t="s">
        <v>999</v>
      </c>
      <c r="E2000" s="43" t="s">
        <v>314</v>
      </c>
      <c r="F2000" s="43" t="s">
        <v>958</v>
      </c>
      <c r="G2000" s="43">
        <v>1000000</v>
      </c>
      <c r="H2000" s="43">
        <v>145000</v>
      </c>
      <c r="I2000" s="43" t="s">
        <v>949</v>
      </c>
      <c r="J2000" s="44" t="s">
        <v>1000</v>
      </c>
    </row>
    <row r="2001" ht="22" customHeight="1" spans="1:10" x14ac:dyDescent="0.25">
      <c r="A2001" s="43">
        <v>3130</v>
      </c>
      <c r="B2001" s="43">
        <v>10</v>
      </c>
      <c r="C2001" s="43" t="s">
        <v>963</v>
      </c>
      <c r="D2001" s="43" t="s">
        <v>999</v>
      </c>
      <c r="E2001" s="43" t="s">
        <v>314</v>
      </c>
      <c r="F2001" s="43" t="s">
        <v>959</v>
      </c>
      <c r="G2001" s="43">
        <v>1000000</v>
      </c>
      <c r="H2001" s="43">
        <v>145000</v>
      </c>
      <c r="I2001" s="43" t="s">
        <v>949</v>
      </c>
      <c r="J2001" s="44" t="s">
        <v>1000</v>
      </c>
    </row>
    <row r="2002" ht="22" customHeight="1" spans="1:10" x14ac:dyDescent="0.25">
      <c r="A2002" s="43">
        <v>3130</v>
      </c>
      <c r="B2002" s="43">
        <v>10</v>
      </c>
      <c r="C2002" s="43" t="s">
        <v>963</v>
      </c>
      <c r="D2002" s="43" t="s">
        <v>999</v>
      </c>
      <c r="E2002" s="43" t="s">
        <v>314</v>
      </c>
      <c r="F2002" s="43" t="s">
        <v>960</v>
      </c>
      <c r="G2002" s="43">
        <v>1000000</v>
      </c>
      <c r="H2002" s="43">
        <v>145000</v>
      </c>
      <c r="I2002" s="43" t="s">
        <v>949</v>
      </c>
      <c r="J2002" s="44" t="s">
        <v>1000</v>
      </c>
    </row>
    <row r="2003" ht="22" customHeight="1" spans="1:10" x14ac:dyDescent="0.25">
      <c r="A2003" s="43">
        <v>3130</v>
      </c>
      <c r="B2003" s="43">
        <v>10</v>
      </c>
      <c r="C2003" s="43" t="s">
        <v>963</v>
      </c>
      <c r="D2003" s="43" t="s">
        <v>999</v>
      </c>
      <c r="E2003" s="43" t="s">
        <v>314</v>
      </c>
      <c r="F2003" s="43" t="s">
        <v>961</v>
      </c>
      <c r="G2003" s="43">
        <v>1000000</v>
      </c>
      <c r="H2003" s="43">
        <v>145000</v>
      </c>
      <c r="I2003" s="43" t="s">
        <v>949</v>
      </c>
      <c r="J2003" s="44" t="s">
        <v>1000</v>
      </c>
    </row>
    <row r="2004" spans="1:9" x14ac:dyDescent="0.25">
      <c r="A2004">
        <v>3130</v>
      </c>
      <c r="B2004">
        <v>10</v>
      </c>
      <c r="C2004" t="s">
        <v>950</v>
      </c>
      <c r="D2004" t="s">
        <v>999</v>
      </c>
      <c r="E2004" t="s">
        <v>121</v>
      </c>
      <c r="F2004" t="s">
        <v>951</v>
      </c>
      <c r="G2004">
        <v>1077777</v>
      </c>
      <c r="H2004">
        <v>500220</v>
      </c>
      <c r="I2004" t="s">
        <v>949</v>
      </c>
    </row>
    <row r="2005" spans="1:9" x14ac:dyDescent="0.25">
      <c r="A2005">
        <v>3130</v>
      </c>
      <c r="B2005">
        <v>10</v>
      </c>
      <c r="C2005" t="s">
        <v>962</v>
      </c>
      <c r="D2005" t="s">
        <v>999</v>
      </c>
      <c r="E2005" t="s">
        <v>121</v>
      </c>
      <c r="F2005" t="s">
        <v>951</v>
      </c>
      <c r="G2005">
        <v>1077777</v>
      </c>
      <c r="H2005">
        <v>500220</v>
      </c>
      <c r="I2005" t="s">
        <v>949</v>
      </c>
    </row>
    <row r="2006" spans="1:9" x14ac:dyDescent="0.25">
      <c r="A2006">
        <v>3130</v>
      </c>
      <c r="B2006">
        <v>10</v>
      </c>
      <c r="C2006" t="s">
        <v>963</v>
      </c>
      <c r="D2006" t="s">
        <v>999</v>
      </c>
      <c r="E2006" t="s">
        <v>121</v>
      </c>
      <c r="F2006" t="s">
        <v>951</v>
      </c>
      <c r="G2006">
        <v>1077777</v>
      </c>
      <c r="H2006">
        <v>500220</v>
      </c>
      <c r="I2006" t="s">
        <v>949</v>
      </c>
    </row>
    <row r="2007" spans="1:9" x14ac:dyDescent="0.25">
      <c r="A2007">
        <v>3130</v>
      </c>
      <c r="B2007">
        <v>10</v>
      </c>
      <c r="C2007" t="s">
        <v>950</v>
      </c>
      <c r="D2007" t="s">
        <v>999</v>
      </c>
      <c r="E2007" t="s">
        <v>984</v>
      </c>
      <c r="F2007" t="s">
        <v>951</v>
      </c>
      <c r="G2007">
        <v>1000000</v>
      </c>
      <c r="H2007">
        <v>141000</v>
      </c>
      <c r="I2007" t="s">
        <v>985</v>
      </c>
    </row>
    <row r="2008" spans="1:9" x14ac:dyDescent="0.25">
      <c r="A2008">
        <v>3130</v>
      </c>
      <c r="B2008">
        <v>10</v>
      </c>
      <c r="C2008" t="s">
        <v>950</v>
      </c>
      <c r="D2008" t="s">
        <v>999</v>
      </c>
      <c r="E2008" t="s">
        <v>984</v>
      </c>
      <c r="F2008" t="s">
        <v>952</v>
      </c>
      <c r="G2008">
        <v>1000000</v>
      </c>
      <c r="H2008">
        <v>141000</v>
      </c>
      <c r="I2008" t="s">
        <v>985</v>
      </c>
    </row>
    <row r="2009" spans="1:9" x14ac:dyDescent="0.25">
      <c r="A2009">
        <v>3130</v>
      </c>
      <c r="B2009">
        <v>10</v>
      </c>
      <c r="C2009" t="s">
        <v>950</v>
      </c>
      <c r="D2009" t="s">
        <v>999</v>
      </c>
      <c r="E2009" t="s">
        <v>984</v>
      </c>
      <c r="F2009" t="s">
        <v>953</v>
      </c>
      <c r="G2009">
        <v>1000000</v>
      </c>
      <c r="H2009">
        <v>141000</v>
      </c>
      <c r="I2009" t="s">
        <v>985</v>
      </c>
    </row>
    <row r="2010" spans="1:9" x14ac:dyDescent="0.25">
      <c r="A2010">
        <v>3130</v>
      </c>
      <c r="B2010">
        <v>10</v>
      </c>
      <c r="C2010" t="s">
        <v>950</v>
      </c>
      <c r="D2010" t="s">
        <v>999</v>
      </c>
      <c r="E2010" t="s">
        <v>984</v>
      </c>
      <c r="F2010" t="s">
        <v>954</v>
      </c>
      <c r="G2010">
        <v>1000000</v>
      </c>
      <c r="H2010">
        <v>141000</v>
      </c>
      <c r="I2010" t="s">
        <v>985</v>
      </c>
    </row>
    <row r="2011" spans="1:9" x14ac:dyDescent="0.25">
      <c r="A2011">
        <v>3130</v>
      </c>
      <c r="B2011">
        <v>10</v>
      </c>
      <c r="C2011" t="s">
        <v>950</v>
      </c>
      <c r="D2011" t="s">
        <v>999</v>
      </c>
      <c r="E2011" t="s">
        <v>984</v>
      </c>
      <c r="F2011" t="s">
        <v>955</v>
      </c>
      <c r="G2011">
        <v>1000000</v>
      </c>
      <c r="H2011">
        <v>141000</v>
      </c>
      <c r="I2011" t="s">
        <v>985</v>
      </c>
    </row>
    <row r="2012" spans="1:9" x14ac:dyDescent="0.25">
      <c r="A2012">
        <v>3130</v>
      </c>
      <c r="B2012">
        <v>10</v>
      </c>
      <c r="C2012" t="s">
        <v>950</v>
      </c>
      <c r="D2012" t="s">
        <v>999</v>
      </c>
      <c r="E2012" t="s">
        <v>984</v>
      </c>
      <c r="F2012" t="s">
        <v>956</v>
      </c>
      <c r="G2012">
        <v>1000000</v>
      </c>
      <c r="H2012">
        <v>141000</v>
      </c>
      <c r="I2012" t="s">
        <v>985</v>
      </c>
    </row>
    <row r="2013" spans="1:9" x14ac:dyDescent="0.25">
      <c r="A2013">
        <v>3130</v>
      </c>
      <c r="B2013">
        <v>10</v>
      </c>
      <c r="C2013" t="s">
        <v>950</v>
      </c>
      <c r="D2013" t="s">
        <v>999</v>
      </c>
      <c r="E2013" t="s">
        <v>984</v>
      </c>
      <c r="F2013" t="s">
        <v>957</v>
      </c>
      <c r="G2013">
        <v>1000000</v>
      </c>
      <c r="H2013">
        <v>141000</v>
      </c>
      <c r="I2013" t="s">
        <v>985</v>
      </c>
    </row>
    <row r="2014" spans="1:9" x14ac:dyDescent="0.25">
      <c r="A2014">
        <v>3130</v>
      </c>
      <c r="B2014">
        <v>10</v>
      </c>
      <c r="C2014" t="s">
        <v>950</v>
      </c>
      <c r="D2014" t="s">
        <v>999</v>
      </c>
      <c r="E2014" t="s">
        <v>984</v>
      </c>
      <c r="F2014" t="s">
        <v>958</v>
      </c>
      <c r="G2014">
        <v>1000000</v>
      </c>
      <c r="H2014">
        <v>141000</v>
      </c>
      <c r="I2014" t="s">
        <v>985</v>
      </c>
    </row>
    <row r="2015" spans="1:9" x14ac:dyDescent="0.25">
      <c r="A2015">
        <v>3130</v>
      </c>
      <c r="B2015">
        <v>10</v>
      </c>
      <c r="C2015" t="s">
        <v>950</v>
      </c>
      <c r="D2015" t="s">
        <v>999</v>
      </c>
      <c r="E2015" t="s">
        <v>984</v>
      </c>
      <c r="F2015" t="s">
        <v>959</v>
      </c>
      <c r="G2015">
        <v>1000000</v>
      </c>
      <c r="H2015">
        <v>141000</v>
      </c>
      <c r="I2015" t="s">
        <v>985</v>
      </c>
    </row>
    <row r="2016" spans="1:9" x14ac:dyDescent="0.25">
      <c r="A2016">
        <v>3130</v>
      </c>
      <c r="B2016">
        <v>10</v>
      </c>
      <c r="C2016" t="s">
        <v>950</v>
      </c>
      <c r="D2016" t="s">
        <v>999</v>
      </c>
      <c r="E2016" t="s">
        <v>984</v>
      </c>
      <c r="F2016" t="s">
        <v>960</v>
      </c>
      <c r="G2016">
        <v>1000000</v>
      </c>
      <c r="H2016">
        <v>141000</v>
      </c>
      <c r="I2016" t="s">
        <v>985</v>
      </c>
    </row>
    <row r="2017" spans="1:9" x14ac:dyDescent="0.25">
      <c r="A2017">
        <v>3130</v>
      </c>
      <c r="B2017">
        <v>10</v>
      </c>
      <c r="C2017" t="s">
        <v>950</v>
      </c>
      <c r="D2017" t="s">
        <v>999</v>
      </c>
      <c r="E2017" t="s">
        <v>984</v>
      </c>
      <c r="F2017" t="s">
        <v>961</v>
      </c>
      <c r="G2017">
        <v>1000000</v>
      </c>
      <c r="H2017">
        <v>141000</v>
      </c>
      <c r="I2017" t="s">
        <v>985</v>
      </c>
    </row>
    <row r="2018" spans="1:9" x14ac:dyDescent="0.25">
      <c r="A2018">
        <v>3130</v>
      </c>
      <c r="B2018">
        <v>10</v>
      </c>
      <c r="C2018" t="s">
        <v>962</v>
      </c>
      <c r="D2018" t="s">
        <v>999</v>
      </c>
      <c r="E2018" t="s">
        <v>984</v>
      </c>
      <c r="F2018" t="s">
        <v>951</v>
      </c>
      <c r="G2018">
        <v>1000000</v>
      </c>
      <c r="H2018">
        <v>141000</v>
      </c>
      <c r="I2018" t="s">
        <v>985</v>
      </c>
    </row>
    <row r="2019" spans="1:9" x14ac:dyDescent="0.25">
      <c r="A2019">
        <v>3130</v>
      </c>
      <c r="B2019">
        <v>10</v>
      </c>
      <c r="C2019" t="s">
        <v>962</v>
      </c>
      <c r="D2019" t="s">
        <v>999</v>
      </c>
      <c r="E2019" t="s">
        <v>984</v>
      </c>
      <c r="F2019" t="s">
        <v>952</v>
      </c>
      <c r="G2019">
        <v>1000000</v>
      </c>
      <c r="H2019">
        <v>141000</v>
      </c>
      <c r="I2019" t="s">
        <v>985</v>
      </c>
    </row>
    <row r="2020" spans="1:9" x14ac:dyDescent="0.25">
      <c r="A2020">
        <v>3130</v>
      </c>
      <c r="B2020">
        <v>10</v>
      </c>
      <c r="C2020" t="s">
        <v>962</v>
      </c>
      <c r="D2020" t="s">
        <v>999</v>
      </c>
      <c r="E2020" t="s">
        <v>984</v>
      </c>
      <c r="F2020" t="s">
        <v>953</v>
      </c>
      <c r="G2020">
        <v>1000000</v>
      </c>
      <c r="H2020">
        <v>141000</v>
      </c>
      <c r="I2020" t="s">
        <v>985</v>
      </c>
    </row>
    <row r="2021" spans="1:9" x14ac:dyDescent="0.25">
      <c r="A2021">
        <v>3130</v>
      </c>
      <c r="B2021">
        <v>10</v>
      </c>
      <c r="C2021" t="s">
        <v>962</v>
      </c>
      <c r="D2021" t="s">
        <v>999</v>
      </c>
      <c r="E2021" t="s">
        <v>984</v>
      </c>
      <c r="F2021" t="s">
        <v>954</v>
      </c>
      <c r="G2021">
        <v>1000000</v>
      </c>
      <c r="H2021">
        <v>141000</v>
      </c>
      <c r="I2021" t="s">
        <v>985</v>
      </c>
    </row>
    <row r="2022" spans="1:9" x14ac:dyDescent="0.25">
      <c r="A2022">
        <v>3130</v>
      </c>
      <c r="B2022">
        <v>10</v>
      </c>
      <c r="C2022" t="s">
        <v>962</v>
      </c>
      <c r="D2022" t="s">
        <v>999</v>
      </c>
      <c r="E2022" t="s">
        <v>984</v>
      </c>
      <c r="F2022" t="s">
        <v>955</v>
      </c>
      <c r="G2022">
        <v>1000000</v>
      </c>
      <c r="H2022">
        <v>141000</v>
      </c>
      <c r="I2022" t="s">
        <v>985</v>
      </c>
    </row>
    <row r="2023" spans="1:9" x14ac:dyDescent="0.25">
      <c r="A2023">
        <v>3130</v>
      </c>
      <c r="B2023">
        <v>10</v>
      </c>
      <c r="C2023" t="s">
        <v>962</v>
      </c>
      <c r="D2023" t="s">
        <v>999</v>
      </c>
      <c r="E2023" t="s">
        <v>984</v>
      </c>
      <c r="F2023" t="s">
        <v>956</v>
      </c>
      <c r="G2023">
        <v>1000000</v>
      </c>
      <c r="H2023">
        <v>141000</v>
      </c>
      <c r="I2023" t="s">
        <v>985</v>
      </c>
    </row>
    <row r="2024" spans="1:9" x14ac:dyDescent="0.25">
      <c r="A2024">
        <v>3130</v>
      </c>
      <c r="B2024">
        <v>10</v>
      </c>
      <c r="C2024" t="s">
        <v>962</v>
      </c>
      <c r="D2024" t="s">
        <v>999</v>
      </c>
      <c r="E2024" t="s">
        <v>984</v>
      </c>
      <c r="F2024" t="s">
        <v>957</v>
      </c>
      <c r="G2024">
        <v>1000000</v>
      </c>
      <c r="H2024">
        <v>141000</v>
      </c>
      <c r="I2024" t="s">
        <v>985</v>
      </c>
    </row>
    <row r="2025" spans="1:9" x14ac:dyDescent="0.25">
      <c r="A2025">
        <v>3130</v>
      </c>
      <c r="B2025">
        <v>10</v>
      </c>
      <c r="C2025" t="s">
        <v>962</v>
      </c>
      <c r="D2025" t="s">
        <v>999</v>
      </c>
      <c r="E2025" t="s">
        <v>984</v>
      </c>
      <c r="F2025" t="s">
        <v>958</v>
      </c>
      <c r="G2025">
        <v>1000000</v>
      </c>
      <c r="H2025">
        <v>141000</v>
      </c>
      <c r="I2025" t="s">
        <v>985</v>
      </c>
    </row>
    <row r="2026" spans="1:9" x14ac:dyDescent="0.25">
      <c r="A2026">
        <v>3130</v>
      </c>
      <c r="B2026">
        <v>10</v>
      </c>
      <c r="C2026" t="s">
        <v>962</v>
      </c>
      <c r="D2026" t="s">
        <v>999</v>
      </c>
      <c r="E2026" t="s">
        <v>984</v>
      </c>
      <c r="F2026" t="s">
        <v>959</v>
      </c>
      <c r="G2026">
        <v>1000000</v>
      </c>
      <c r="H2026">
        <v>141000</v>
      </c>
      <c r="I2026" t="s">
        <v>985</v>
      </c>
    </row>
    <row r="2027" spans="1:9" x14ac:dyDescent="0.25">
      <c r="A2027">
        <v>3130</v>
      </c>
      <c r="B2027">
        <v>10</v>
      </c>
      <c r="C2027" t="s">
        <v>962</v>
      </c>
      <c r="D2027" t="s">
        <v>999</v>
      </c>
      <c r="E2027" t="s">
        <v>984</v>
      </c>
      <c r="F2027" t="s">
        <v>960</v>
      </c>
      <c r="G2027">
        <v>1000000</v>
      </c>
      <c r="H2027">
        <v>141000</v>
      </c>
      <c r="I2027" t="s">
        <v>985</v>
      </c>
    </row>
    <row r="2028" spans="1:9" x14ac:dyDescent="0.25">
      <c r="A2028">
        <v>3130</v>
      </c>
      <c r="B2028">
        <v>10</v>
      </c>
      <c r="C2028" t="s">
        <v>962</v>
      </c>
      <c r="D2028" t="s">
        <v>999</v>
      </c>
      <c r="E2028" t="s">
        <v>984</v>
      </c>
      <c r="F2028" t="s">
        <v>961</v>
      </c>
      <c r="G2028">
        <v>1000000</v>
      </c>
      <c r="H2028">
        <v>141000</v>
      </c>
      <c r="I2028" t="s">
        <v>985</v>
      </c>
    </row>
    <row r="2029" spans="1:9" x14ac:dyDescent="0.25">
      <c r="A2029">
        <v>3130</v>
      </c>
      <c r="B2029">
        <v>10</v>
      </c>
      <c r="C2029" t="s">
        <v>963</v>
      </c>
      <c r="D2029" t="s">
        <v>999</v>
      </c>
      <c r="E2029" t="s">
        <v>984</v>
      </c>
      <c r="F2029" t="s">
        <v>951</v>
      </c>
      <c r="G2029">
        <v>1000000</v>
      </c>
      <c r="H2029">
        <v>141000</v>
      </c>
      <c r="I2029" t="s">
        <v>985</v>
      </c>
    </row>
    <row r="2030" spans="1:9" x14ac:dyDescent="0.25">
      <c r="A2030">
        <v>3130</v>
      </c>
      <c r="B2030">
        <v>10</v>
      </c>
      <c r="C2030" t="s">
        <v>963</v>
      </c>
      <c r="D2030" t="s">
        <v>999</v>
      </c>
      <c r="E2030" t="s">
        <v>984</v>
      </c>
      <c r="F2030" t="s">
        <v>952</v>
      </c>
      <c r="G2030">
        <v>1000000</v>
      </c>
      <c r="H2030">
        <v>141000</v>
      </c>
      <c r="I2030" t="s">
        <v>985</v>
      </c>
    </row>
    <row r="2031" spans="1:9" x14ac:dyDescent="0.25">
      <c r="A2031">
        <v>3130</v>
      </c>
      <c r="B2031">
        <v>10</v>
      </c>
      <c r="C2031" t="s">
        <v>963</v>
      </c>
      <c r="D2031" t="s">
        <v>999</v>
      </c>
      <c r="E2031" t="s">
        <v>984</v>
      </c>
      <c r="F2031" t="s">
        <v>953</v>
      </c>
      <c r="G2031">
        <v>1000000</v>
      </c>
      <c r="H2031">
        <v>141000</v>
      </c>
      <c r="I2031" t="s">
        <v>985</v>
      </c>
    </row>
    <row r="2032" spans="1:9" x14ac:dyDescent="0.25">
      <c r="A2032">
        <v>3130</v>
      </c>
      <c r="B2032">
        <v>10</v>
      </c>
      <c r="C2032" t="s">
        <v>963</v>
      </c>
      <c r="D2032" t="s">
        <v>999</v>
      </c>
      <c r="E2032" t="s">
        <v>984</v>
      </c>
      <c r="F2032" t="s">
        <v>954</v>
      </c>
      <c r="G2032">
        <v>1000000</v>
      </c>
      <c r="H2032">
        <v>141000</v>
      </c>
      <c r="I2032" t="s">
        <v>985</v>
      </c>
    </row>
    <row r="2033" spans="1:9" x14ac:dyDescent="0.25">
      <c r="A2033">
        <v>3130</v>
      </c>
      <c r="B2033">
        <v>10</v>
      </c>
      <c r="C2033" t="s">
        <v>963</v>
      </c>
      <c r="D2033" t="s">
        <v>999</v>
      </c>
      <c r="E2033" t="s">
        <v>984</v>
      </c>
      <c r="F2033" t="s">
        <v>955</v>
      </c>
      <c r="G2033">
        <v>1000000</v>
      </c>
      <c r="H2033">
        <v>141000</v>
      </c>
      <c r="I2033" t="s">
        <v>985</v>
      </c>
    </row>
    <row r="2034" spans="1:9" x14ac:dyDescent="0.25">
      <c r="A2034">
        <v>3130</v>
      </c>
      <c r="B2034">
        <v>10</v>
      </c>
      <c r="C2034" t="s">
        <v>963</v>
      </c>
      <c r="D2034" t="s">
        <v>999</v>
      </c>
      <c r="E2034" t="s">
        <v>984</v>
      </c>
      <c r="F2034" t="s">
        <v>956</v>
      </c>
      <c r="G2034">
        <v>1000000</v>
      </c>
      <c r="H2034">
        <v>141000</v>
      </c>
      <c r="I2034" t="s">
        <v>985</v>
      </c>
    </row>
    <row r="2035" spans="1:9" x14ac:dyDescent="0.25">
      <c r="A2035">
        <v>3130</v>
      </c>
      <c r="B2035">
        <v>10</v>
      </c>
      <c r="C2035" t="s">
        <v>963</v>
      </c>
      <c r="D2035" t="s">
        <v>999</v>
      </c>
      <c r="E2035" t="s">
        <v>984</v>
      </c>
      <c r="F2035" t="s">
        <v>957</v>
      </c>
      <c r="G2035">
        <v>1000000</v>
      </c>
      <c r="H2035">
        <v>141000</v>
      </c>
      <c r="I2035" t="s">
        <v>985</v>
      </c>
    </row>
    <row r="2036" spans="1:9" x14ac:dyDescent="0.25">
      <c r="A2036">
        <v>3130</v>
      </c>
      <c r="B2036">
        <v>10</v>
      </c>
      <c r="C2036" t="s">
        <v>963</v>
      </c>
      <c r="D2036" t="s">
        <v>999</v>
      </c>
      <c r="E2036" t="s">
        <v>984</v>
      </c>
      <c r="F2036" t="s">
        <v>958</v>
      </c>
      <c r="G2036">
        <v>1000000</v>
      </c>
      <c r="H2036">
        <v>141000</v>
      </c>
      <c r="I2036" t="s">
        <v>985</v>
      </c>
    </row>
    <row r="2037" spans="1:9" x14ac:dyDescent="0.25">
      <c r="A2037">
        <v>3130</v>
      </c>
      <c r="B2037">
        <v>10</v>
      </c>
      <c r="C2037" t="s">
        <v>963</v>
      </c>
      <c r="D2037" t="s">
        <v>999</v>
      </c>
      <c r="E2037" t="s">
        <v>984</v>
      </c>
      <c r="F2037" t="s">
        <v>959</v>
      </c>
      <c r="G2037">
        <v>1000000</v>
      </c>
      <c r="H2037">
        <v>141000</v>
      </c>
      <c r="I2037" t="s">
        <v>985</v>
      </c>
    </row>
    <row r="2038" spans="1:9" x14ac:dyDescent="0.25">
      <c r="A2038">
        <v>3130</v>
      </c>
      <c r="B2038">
        <v>10</v>
      </c>
      <c r="C2038" t="s">
        <v>963</v>
      </c>
      <c r="D2038" t="s">
        <v>999</v>
      </c>
      <c r="E2038" t="s">
        <v>984</v>
      </c>
      <c r="F2038" t="s">
        <v>960</v>
      </c>
      <c r="G2038">
        <v>1000000</v>
      </c>
      <c r="H2038">
        <v>141000</v>
      </c>
      <c r="I2038" t="s">
        <v>985</v>
      </c>
    </row>
    <row r="2039" spans="1:9" x14ac:dyDescent="0.25">
      <c r="A2039">
        <v>3130</v>
      </c>
      <c r="B2039">
        <v>10</v>
      </c>
      <c r="C2039" t="s">
        <v>963</v>
      </c>
      <c r="D2039" t="s">
        <v>999</v>
      </c>
      <c r="E2039" t="s">
        <v>984</v>
      </c>
      <c r="F2039" t="s">
        <v>961</v>
      </c>
      <c r="G2039">
        <v>1000000</v>
      </c>
      <c r="H2039">
        <v>141000</v>
      </c>
      <c r="I2039" t="s">
        <v>985</v>
      </c>
    </row>
    <row r="2040" spans="1:9" x14ac:dyDescent="0.25">
      <c r="A2040">
        <v>4141</v>
      </c>
      <c r="B2040">
        <v>10</v>
      </c>
      <c r="C2040" t="s">
        <v>946</v>
      </c>
      <c r="D2040" t="s">
        <v>1001</v>
      </c>
      <c r="E2040" t="s">
        <v>49</v>
      </c>
      <c r="F2040" t="s">
        <v>948</v>
      </c>
      <c r="G2040">
        <v>1077777</v>
      </c>
      <c r="H2040">
        <v>500460</v>
      </c>
      <c r="I2040" t="s">
        <v>949</v>
      </c>
    </row>
    <row r="2041" ht="22" customHeight="1" spans="1:10" x14ac:dyDescent="0.25">
      <c r="A2041" s="41">
        <v>4162</v>
      </c>
      <c r="B2041" s="41">
        <v>10</v>
      </c>
      <c r="C2041" s="41" t="s">
        <v>946</v>
      </c>
      <c r="D2041" s="41" t="s">
        <v>1001</v>
      </c>
      <c r="E2041" s="41" t="s">
        <v>49</v>
      </c>
      <c r="F2041" s="41" t="s">
        <v>948</v>
      </c>
      <c r="G2041" s="41">
        <v>1000000</v>
      </c>
      <c r="H2041" s="41">
        <v>14200</v>
      </c>
      <c r="I2041" s="41" t="s">
        <v>949</v>
      </c>
      <c r="J2041" s="42" t="s">
        <v>1002</v>
      </c>
    </row>
    <row r="2042" ht="22" customHeight="1" spans="1:10" x14ac:dyDescent="0.25">
      <c r="A2042" s="41">
        <v>4164</v>
      </c>
      <c r="B2042" s="41">
        <v>10</v>
      </c>
      <c r="C2042" s="41" t="s">
        <v>946</v>
      </c>
      <c r="D2042" s="41" t="s">
        <v>1001</v>
      </c>
      <c r="E2042" s="41" t="s">
        <v>49</v>
      </c>
      <c r="F2042" s="41" t="s">
        <v>948</v>
      </c>
      <c r="G2042" s="41">
        <v>1000000</v>
      </c>
      <c r="H2042" s="41">
        <v>14200</v>
      </c>
      <c r="I2042" s="41" t="s">
        <v>949</v>
      </c>
      <c r="J2042" s="42" t="s">
        <v>1003</v>
      </c>
    </row>
    <row r="2043" spans="1:9" x14ac:dyDescent="0.25">
      <c r="A2043">
        <v>4122</v>
      </c>
      <c r="B2043">
        <v>10</v>
      </c>
      <c r="C2043" t="s">
        <v>946</v>
      </c>
      <c r="D2043" t="s">
        <v>1001</v>
      </c>
      <c r="E2043" t="s">
        <v>243</v>
      </c>
      <c r="F2043" t="s">
        <v>948</v>
      </c>
      <c r="G2043">
        <v>1000000</v>
      </c>
      <c r="H2043">
        <v>145000</v>
      </c>
      <c r="I2043" t="s">
        <v>949</v>
      </c>
    </row>
    <row r="2044" spans="1:9" x14ac:dyDescent="0.25">
      <c r="A2044">
        <v>4124</v>
      </c>
      <c r="B2044">
        <v>10</v>
      </c>
      <c r="C2044" t="s">
        <v>946</v>
      </c>
      <c r="D2044" t="s">
        <v>1001</v>
      </c>
      <c r="E2044" t="s">
        <v>243</v>
      </c>
      <c r="F2044" t="s">
        <v>948</v>
      </c>
      <c r="G2044">
        <v>1077777</v>
      </c>
      <c r="H2044">
        <v>500465</v>
      </c>
      <c r="I2044" t="s">
        <v>949</v>
      </c>
    </row>
    <row r="2045" spans="1:9" x14ac:dyDescent="0.25">
      <c r="A2045">
        <v>4126</v>
      </c>
      <c r="B2045">
        <v>10</v>
      </c>
      <c r="C2045" t="s">
        <v>946</v>
      </c>
      <c r="D2045" t="s">
        <v>1001</v>
      </c>
      <c r="E2045" t="s">
        <v>243</v>
      </c>
      <c r="F2045" t="s">
        <v>948</v>
      </c>
      <c r="G2045">
        <v>1000000</v>
      </c>
      <c r="H2045">
        <v>145000</v>
      </c>
      <c r="I2045" t="s">
        <v>949</v>
      </c>
    </row>
    <row r="2046" spans="1:9" x14ac:dyDescent="0.25">
      <c r="A2046">
        <v>4128</v>
      </c>
      <c r="B2046">
        <v>10</v>
      </c>
      <c r="C2046" t="s">
        <v>946</v>
      </c>
      <c r="D2046" t="s">
        <v>1001</v>
      </c>
      <c r="E2046" t="s">
        <v>243</v>
      </c>
      <c r="F2046" t="s">
        <v>948</v>
      </c>
      <c r="G2046">
        <v>1077777</v>
      </c>
      <c r="H2046">
        <v>500460</v>
      </c>
      <c r="I2046" t="s">
        <v>949</v>
      </c>
    </row>
    <row r="2047" spans="1:9" x14ac:dyDescent="0.25">
      <c r="A2047">
        <v>4122</v>
      </c>
      <c r="B2047">
        <v>10</v>
      </c>
      <c r="C2047" t="s">
        <v>946</v>
      </c>
      <c r="D2047" t="s">
        <v>1001</v>
      </c>
      <c r="E2047" t="s">
        <v>247</v>
      </c>
      <c r="F2047" t="s">
        <v>948</v>
      </c>
      <c r="G2047">
        <v>1000000</v>
      </c>
      <c r="H2047">
        <v>145000</v>
      </c>
      <c r="I2047" t="s">
        <v>949</v>
      </c>
    </row>
    <row r="2048" spans="1:9" x14ac:dyDescent="0.25">
      <c r="A2048">
        <v>4124</v>
      </c>
      <c r="B2048">
        <v>10</v>
      </c>
      <c r="C2048" t="s">
        <v>946</v>
      </c>
      <c r="D2048" t="s">
        <v>1001</v>
      </c>
      <c r="E2048" t="s">
        <v>247</v>
      </c>
      <c r="F2048" t="s">
        <v>948</v>
      </c>
      <c r="G2048">
        <v>1077777</v>
      </c>
      <c r="H2048">
        <v>500465</v>
      </c>
      <c r="I2048" t="s">
        <v>949</v>
      </c>
    </row>
    <row r="2049" spans="1:9" x14ac:dyDescent="0.25">
      <c r="A2049">
        <v>4126</v>
      </c>
      <c r="B2049">
        <v>10</v>
      </c>
      <c r="C2049" t="s">
        <v>946</v>
      </c>
      <c r="D2049" t="s">
        <v>1001</v>
      </c>
      <c r="E2049" t="s">
        <v>247</v>
      </c>
      <c r="F2049" t="s">
        <v>948</v>
      </c>
      <c r="G2049">
        <v>1000000</v>
      </c>
      <c r="H2049">
        <v>145000</v>
      </c>
      <c r="I2049" t="s">
        <v>949</v>
      </c>
    </row>
    <row r="2050" spans="1:9" x14ac:dyDescent="0.25">
      <c r="A2050">
        <v>4128</v>
      </c>
      <c r="B2050">
        <v>10</v>
      </c>
      <c r="C2050" t="s">
        <v>946</v>
      </c>
      <c r="D2050" t="s">
        <v>1001</v>
      </c>
      <c r="E2050" t="s">
        <v>247</v>
      </c>
      <c r="F2050" t="s">
        <v>948</v>
      </c>
      <c r="G2050">
        <v>1077777</v>
      </c>
      <c r="H2050">
        <v>500460</v>
      </c>
      <c r="I2050" t="s">
        <v>949</v>
      </c>
    </row>
    <row r="2051" spans="1:9" x14ac:dyDescent="0.25">
      <c r="A2051">
        <v>4122</v>
      </c>
      <c r="B2051">
        <v>10</v>
      </c>
      <c r="C2051" t="s">
        <v>946</v>
      </c>
      <c r="D2051" t="s">
        <v>1001</v>
      </c>
      <c r="E2051" t="s">
        <v>251</v>
      </c>
      <c r="F2051" t="s">
        <v>948</v>
      </c>
      <c r="G2051">
        <v>1000000</v>
      </c>
      <c r="H2051">
        <v>142000</v>
      </c>
      <c r="I2051" t="s">
        <v>949</v>
      </c>
    </row>
    <row r="2052" spans="1:9" x14ac:dyDescent="0.25">
      <c r="A2052">
        <v>4124</v>
      </c>
      <c r="B2052">
        <v>10</v>
      </c>
      <c r="C2052" t="s">
        <v>946</v>
      </c>
      <c r="D2052" t="s">
        <v>1001</v>
      </c>
      <c r="E2052" t="s">
        <v>251</v>
      </c>
      <c r="F2052" t="s">
        <v>948</v>
      </c>
      <c r="G2052">
        <v>1077777</v>
      </c>
      <c r="H2052">
        <v>500465</v>
      </c>
      <c r="I2052" t="s">
        <v>949</v>
      </c>
    </row>
    <row r="2053" spans="1:9" x14ac:dyDescent="0.25">
      <c r="A2053">
        <v>4126</v>
      </c>
      <c r="B2053">
        <v>10</v>
      </c>
      <c r="C2053" t="s">
        <v>946</v>
      </c>
      <c r="D2053" t="s">
        <v>1001</v>
      </c>
      <c r="E2053" t="s">
        <v>251</v>
      </c>
      <c r="F2053" t="s">
        <v>948</v>
      </c>
      <c r="G2053">
        <v>1000000</v>
      </c>
      <c r="H2053">
        <v>142000</v>
      </c>
      <c r="I2053" t="s">
        <v>949</v>
      </c>
    </row>
    <row r="2054" spans="1:9" x14ac:dyDescent="0.25">
      <c r="A2054">
        <v>4128</v>
      </c>
      <c r="B2054">
        <v>10</v>
      </c>
      <c r="C2054" t="s">
        <v>946</v>
      </c>
      <c r="D2054" t="s">
        <v>1001</v>
      </c>
      <c r="E2054" t="s">
        <v>251</v>
      </c>
      <c r="F2054" t="s">
        <v>948</v>
      </c>
      <c r="G2054">
        <v>1077777</v>
      </c>
      <c r="H2054">
        <v>500460</v>
      </c>
      <c r="I2054" t="s">
        <v>949</v>
      </c>
    </row>
    <row r="2055" spans="1:9" x14ac:dyDescent="0.25">
      <c r="A2055">
        <v>4122</v>
      </c>
      <c r="B2055">
        <v>10</v>
      </c>
      <c r="C2055" t="s">
        <v>946</v>
      </c>
      <c r="D2055" t="s">
        <v>1001</v>
      </c>
      <c r="E2055" t="s">
        <v>969</v>
      </c>
      <c r="F2055" t="s">
        <v>948</v>
      </c>
      <c r="G2055">
        <v>1000000</v>
      </c>
      <c r="H2055">
        <v>141000</v>
      </c>
      <c r="I2055" t="s">
        <v>970</v>
      </c>
    </row>
    <row r="2056" spans="1:9" x14ac:dyDescent="0.25">
      <c r="A2056">
        <v>4124</v>
      </c>
      <c r="B2056">
        <v>10</v>
      </c>
      <c r="C2056" t="s">
        <v>946</v>
      </c>
      <c r="D2056" t="s">
        <v>1001</v>
      </c>
      <c r="E2056" t="s">
        <v>969</v>
      </c>
      <c r="F2056" t="s">
        <v>948</v>
      </c>
      <c r="G2056">
        <v>1077777</v>
      </c>
      <c r="H2056">
        <v>500465</v>
      </c>
      <c r="I2056" t="s">
        <v>949</v>
      </c>
    </row>
    <row r="2057" spans="1:9" x14ac:dyDescent="0.25">
      <c r="A2057">
        <v>4126</v>
      </c>
      <c r="B2057">
        <v>10</v>
      </c>
      <c r="C2057" t="s">
        <v>946</v>
      </c>
      <c r="D2057" t="s">
        <v>1001</v>
      </c>
      <c r="E2057" t="s">
        <v>969</v>
      </c>
      <c r="F2057" t="s">
        <v>948</v>
      </c>
      <c r="G2057">
        <v>1000000</v>
      </c>
      <c r="H2057">
        <v>141000</v>
      </c>
      <c r="I2057" t="s">
        <v>970</v>
      </c>
    </row>
    <row r="2058" spans="1:9" x14ac:dyDescent="0.25">
      <c r="A2058">
        <v>4128</v>
      </c>
      <c r="B2058">
        <v>10</v>
      </c>
      <c r="C2058" t="s">
        <v>946</v>
      </c>
      <c r="D2058" t="s">
        <v>1001</v>
      </c>
      <c r="E2058" t="s">
        <v>969</v>
      </c>
      <c r="F2058" t="s">
        <v>948</v>
      </c>
      <c r="G2058">
        <v>1077777</v>
      </c>
      <c r="H2058">
        <v>500460</v>
      </c>
      <c r="I2058" t="s">
        <v>949</v>
      </c>
    </row>
    <row r="2059" spans="1:9" x14ac:dyDescent="0.25">
      <c r="A2059">
        <v>4122</v>
      </c>
      <c r="B2059">
        <v>10</v>
      </c>
      <c r="C2059" t="s">
        <v>946</v>
      </c>
      <c r="D2059" t="s">
        <v>1001</v>
      </c>
      <c r="E2059" t="s">
        <v>255</v>
      </c>
      <c r="F2059" t="s">
        <v>948</v>
      </c>
      <c r="G2059">
        <v>1000000</v>
      </c>
      <c r="H2059">
        <v>145000</v>
      </c>
      <c r="I2059" t="s">
        <v>949</v>
      </c>
    </row>
    <row r="2060" spans="1:9" x14ac:dyDescent="0.25">
      <c r="A2060">
        <v>4124</v>
      </c>
      <c r="B2060">
        <v>10</v>
      </c>
      <c r="C2060" t="s">
        <v>946</v>
      </c>
      <c r="D2060" t="s">
        <v>1001</v>
      </c>
      <c r="E2060" t="s">
        <v>255</v>
      </c>
      <c r="F2060" t="s">
        <v>948</v>
      </c>
      <c r="G2060">
        <v>1077777</v>
      </c>
      <c r="H2060">
        <v>500465</v>
      </c>
      <c r="I2060" t="s">
        <v>949</v>
      </c>
    </row>
    <row r="2061" spans="1:9" x14ac:dyDescent="0.25">
      <c r="A2061">
        <v>4126</v>
      </c>
      <c r="B2061">
        <v>10</v>
      </c>
      <c r="C2061" t="s">
        <v>946</v>
      </c>
      <c r="D2061" t="s">
        <v>1001</v>
      </c>
      <c r="E2061" t="s">
        <v>255</v>
      </c>
      <c r="F2061" t="s">
        <v>948</v>
      </c>
      <c r="G2061">
        <v>1000000</v>
      </c>
      <c r="H2061">
        <v>145000</v>
      </c>
      <c r="I2061" t="s">
        <v>949</v>
      </c>
    </row>
    <row r="2062" spans="1:9" x14ac:dyDescent="0.25">
      <c r="A2062">
        <v>4128</v>
      </c>
      <c r="B2062">
        <v>10</v>
      </c>
      <c r="C2062" t="s">
        <v>946</v>
      </c>
      <c r="D2062" t="s">
        <v>1001</v>
      </c>
      <c r="E2062" t="s">
        <v>255</v>
      </c>
      <c r="F2062" t="s">
        <v>948</v>
      </c>
      <c r="G2062">
        <v>1077777</v>
      </c>
      <c r="H2062">
        <v>500460</v>
      </c>
      <c r="I2062" t="s">
        <v>949</v>
      </c>
    </row>
    <row r="2063" spans="1:9" x14ac:dyDescent="0.25">
      <c r="A2063">
        <v>4122</v>
      </c>
      <c r="B2063">
        <v>10</v>
      </c>
      <c r="C2063" t="s">
        <v>946</v>
      </c>
      <c r="D2063" t="s">
        <v>1001</v>
      </c>
      <c r="E2063" t="s">
        <v>971</v>
      </c>
      <c r="F2063" t="s">
        <v>948</v>
      </c>
      <c r="G2063">
        <v>1000000</v>
      </c>
      <c r="H2063">
        <v>141000</v>
      </c>
      <c r="I2063" t="s">
        <v>972</v>
      </c>
    </row>
    <row r="2064" spans="1:9" x14ac:dyDescent="0.25">
      <c r="A2064">
        <v>4124</v>
      </c>
      <c r="B2064">
        <v>10</v>
      </c>
      <c r="C2064" t="s">
        <v>946</v>
      </c>
      <c r="D2064" t="s">
        <v>1001</v>
      </c>
      <c r="E2064" t="s">
        <v>971</v>
      </c>
      <c r="F2064" t="s">
        <v>948</v>
      </c>
      <c r="G2064">
        <v>1077777</v>
      </c>
      <c r="H2064">
        <v>500465</v>
      </c>
      <c r="I2064" t="s">
        <v>949</v>
      </c>
    </row>
    <row r="2065" spans="1:9" x14ac:dyDescent="0.25">
      <c r="A2065">
        <v>4126</v>
      </c>
      <c r="B2065">
        <v>10</v>
      </c>
      <c r="C2065" t="s">
        <v>946</v>
      </c>
      <c r="D2065" t="s">
        <v>1001</v>
      </c>
      <c r="E2065" t="s">
        <v>971</v>
      </c>
      <c r="F2065" t="s">
        <v>948</v>
      </c>
      <c r="G2065">
        <v>1000000</v>
      </c>
      <c r="H2065">
        <v>141000</v>
      </c>
      <c r="I2065" t="s">
        <v>972</v>
      </c>
    </row>
    <row r="2066" spans="1:9" x14ac:dyDescent="0.25">
      <c r="A2066">
        <v>4128</v>
      </c>
      <c r="B2066">
        <v>10</v>
      </c>
      <c r="C2066" t="s">
        <v>946</v>
      </c>
      <c r="D2066" t="s">
        <v>1001</v>
      </c>
      <c r="E2066" t="s">
        <v>971</v>
      </c>
      <c r="F2066" t="s">
        <v>948</v>
      </c>
      <c r="G2066">
        <v>1077777</v>
      </c>
      <c r="H2066">
        <v>500460</v>
      </c>
      <c r="I2066" t="s">
        <v>949</v>
      </c>
    </row>
    <row r="2067" spans="1:9" x14ac:dyDescent="0.25">
      <c r="A2067">
        <v>4122</v>
      </c>
      <c r="B2067">
        <v>10</v>
      </c>
      <c r="C2067" t="s">
        <v>946</v>
      </c>
      <c r="D2067" t="s">
        <v>1001</v>
      </c>
      <c r="E2067" t="s">
        <v>263</v>
      </c>
      <c r="F2067" t="s">
        <v>948</v>
      </c>
      <c r="G2067">
        <v>1000000</v>
      </c>
      <c r="H2067">
        <v>145000</v>
      </c>
      <c r="I2067" t="s">
        <v>949</v>
      </c>
    </row>
    <row r="2068" spans="1:9" x14ac:dyDescent="0.25">
      <c r="A2068">
        <v>4124</v>
      </c>
      <c r="B2068">
        <v>10</v>
      </c>
      <c r="C2068" t="s">
        <v>946</v>
      </c>
      <c r="D2068" t="s">
        <v>1001</v>
      </c>
      <c r="E2068" t="s">
        <v>263</v>
      </c>
      <c r="F2068" t="s">
        <v>948</v>
      </c>
      <c r="G2068">
        <v>1077777</v>
      </c>
      <c r="H2068">
        <v>500465</v>
      </c>
      <c r="I2068" t="s">
        <v>949</v>
      </c>
    </row>
    <row r="2069" spans="1:9" x14ac:dyDescent="0.25">
      <c r="A2069">
        <v>4126</v>
      </c>
      <c r="B2069">
        <v>10</v>
      </c>
      <c r="C2069" t="s">
        <v>946</v>
      </c>
      <c r="D2069" t="s">
        <v>1001</v>
      </c>
      <c r="E2069" t="s">
        <v>263</v>
      </c>
      <c r="F2069" t="s">
        <v>948</v>
      </c>
      <c r="G2069">
        <v>1000000</v>
      </c>
      <c r="H2069">
        <v>145000</v>
      </c>
      <c r="I2069" t="s">
        <v>949</v>
      </c>
    </row>
    <row r="2070" spans="1:9" x14ac:dyDescent="0.25">
      <c r="A2070">
        <v>4128</v>
      </c>
      <c r="B2070">
        <v>10</v>
      </c>
      <c r="C2070" t="s">
        <v>946</v>
      </c>
      <c r="D2070" t="s">
        <v>1001</v>
      </c>
      <c r="E2070" t="s">
        <v>263</v>
      </c>
      <c r="F2070" t="s">
        <v>948</v>
      </c>
      <c r="G2070">
        <v>1077777</v>
      </c>
      <c r="H2070">
        <v>500460</v>
      </c>
      <c r="I2070" t="s">
        <v>949</v>
      </c>
    </row>
    <row r="2071" spans="1:9" x14ac:dyDescent="0.25">
      <c r="A2071">
        <v>4122</v>
      </c>
      <c r="B2071">
        <v>10</v>
      </c>
      <c r="C2071" t="s">
        <v>946</v>
      </c>
      <c r="D2071" t="s">
        <v>1001</v>
      </c>
      <c r="E2071" t="s">
        <v>100</v>
      </c>
      <c r="F2071" t="s">
        <v>948</v>
      </c>
      <c r="G2071">
        <v>1077777</v>
      </c>
      <c r="H2071">
        <v>500220</v>
      </c>
      <c r="I2071" t="s">
        <v>949</v>
      </c>
    </row>
    <row r="2072" spans="1:9" x14ac:dyDescent="0.25">
      <c r="A2072">
        <v>4124</v>
      </c>
      <c r="B2072">
        <v>10</v>
      </c>
      <c r="C2072" t="s">
        <v>946</v>
      </c>
      <c r="D2072" t="s">
        <v>1001</v>
      </c>
      <c r="E2072" t="s">
        <v>100</v>
      </c>
      <c r="F2072" t="s">
        <v>948</v>
      </c>
      <c r="G2072">
        <v>1077777</v>
      </c>
      <c r="H2072">
        <v>500221</v>
      </c>
      <c r="I2072" t="s">
        <v>949</v>
      </c>
    </row>
    <row r="2073" spans="1:9" x14ac:dyDescent="0.25">
      <c r="A2073">
        <v>4126</v>
      </c>
      <c r="B2073">
        <v>10</v>
      </c>
      <c r="C2073" t="s">
        <v>946</v>
      </c>
      <c r="D2073" t="s">
        <v>1001</v>
      </c>
      <c r="E2073" t="s">
        <v>100</v>
      </c>
      <c r="F2073" t="s">
        <v>948</v>
      </c>
      <c r="G2073">
        <v>1077777</v>
      </c>
      <c r="H2073">
        <v>500220</v>
      </c>
      <c r="I2073" t="s">
        <v>949</v>
      </c>
    </row>
    <row r="2074" spans="1:9" x14ac:dyDescent="0.25">
      <c r="A2074">
        <v>4128</v>
      </c>
      <c r="B2074">
        <v>10</v>
      </c>
      <c r="C2074" t="s">
        <v>946</v>
      </c>
      <c r="D2074" t="s">
        <v>1001</v>
      </c>
      <c r="E2074" t="s">
        <v>100</v>
      </c>
      <c r="F2074" t="s">
        <v>948</v>
      </c>
      <c r="G2074">
        <v>1077777</v>
      </c>
      <c r="H2074">
        <v>500221</v>
      </c>
      <c r="I2074" t="s">
        <v>949</v>
      </c>
    </row>
    <row r="2075" spans="1:9" x14ac:dyDescent="0.25">
      <c r="A2075">
        <v>4122</v>
      </c>
      <c r="B2075">
        <v>10</v>
      </c>
      <c r="C2075" t="s">
        <v>946</v>
      </c>
      <c r="D2075" t="s">
        <v>1001</v>
      </c>
      <c r="E2075" t="s">
        <v>270</v>
      </c>
      <c r="F2075" t="s">
        <v>948</v>
      </c>
      <c r="G2075">
        <v>1000000</v>
      </c>
      <c r="H2075">
        <v>145000</v>
      </c>
      <c r="I2075" t="s">
        <v>949</v>
      </c>
    </row>
    <row r="2076" spans="1:9" x14ac:dyDescent="0.25">
      <c r="A2076">
        <v>4124</v>
      </c>
      <c r="B2076">
        <v>10</v>
      </c>
      <c r="C2076" t="s">
        <v>946</v>
      </c>
      <c r="D2076" t="s">
        <v>1001</v>
      </c>
      <c r="E2076" t="s">
        <v>270</v>
      </c>
      <c r="F2076" t="s">
        <v>948</v>
      </c>
      <c r="G2076">
        <v>1077777</v>
      </c>
      <c r="H2076">
        <v>500465</v>
      </c>
      <c r="I2076" t="s">
        <v>949</v>
      </c>
    </row>
    <row r="2077" spans="1:9" x14ac:dyDescent="0.25">
      <c r="A2077">
        <v>4126</v>
      </c>
      <c r="B2077">
        <v>10</v>
      </c>
      <c r="C2077" t="s">
        <v>946</v>
      </c>
      <c r="D2077" t="s">
        <v>1001</v>
      </c>
      <c r="E2077" t="s">
        <v>270</v>
      </c>
      <c r="F2077" t="s">
        <v>948</v>
      </c>
      <c r="G2077">
        <v>1000000</v>
      </c>
      <c r="H2077">
        <v>145000</v>
      </c>
      <c r="I2077" t="s">
        <v>949</v>
      </c>
    </row>
    <row r="2078" spans="1:9" x14ac:dyDescent="0.25">
      <c r="A2078">
        <v>4128</v>
      </c>
      <c r="B2078">
        <v>10</v>
      </c>
      <c r="C2078" t="s">
        <v>946</v>
      </c>
      <c r="D2078" t="s">
        <v>1001</v>
      </c>
      <c r="E2078" t="s">
        <v>270</v>
      </c>
      <c r="F2078" t="s">
        <v>948</v>
      </c>
      <c r="G2078">
        <v>1077777</v>
      </c>
      <c r="H2078">
        <v>500460</v>
      </c>
      <c r="I2078" t="s">
        <v>949</v>
      </c>
    </row>
    <row r="2079" spans="1:9" x14ac:dyDescent="0.25">
      <c r="A2079">
        <v>4122</v>
      </c>
      <c r="B2079">
        <v>10</v>
      </c>
      <c r="C2079" t="s">
        <v>946</v>
      </c>
      <c r="D2079" t="s">
        <v>1001</v>
      </c>
      <c r="E2079" t="s">
        <v>274</v>
      </c>
      <c r="F2079" t="s">
        <v>948</v>
      </c>
      <c r="G2079">
        <v>1000000</v>
      </c>
      <c r="H2079">
        <v>143000</v>
      </c>
      <c r="I2079" t="s">
        <v>973</v>
      </c>
    </row>
    <row r="2080" spans="1:9" x14ac:dyDescent="0.25">
      <c r="A2080">
        <v>4124</v>
      </c>
      <c r="B2080">
        <v>10</v>
      </c>
      <c r="C2080" t="s">
        <v>946</v>
      </c>
      <c r="D2080" t="s">
        <v>1001</v>
      </c>
      <c r="E2080" t="s">
        <v>274</v>
      </c>
      <c r="F2080" t="s">
        <v>948</v>
      </c>
      <c r="G2080">
        <v>1077777</v>
      </c>
      <c r="H2080">
        <v>500465</v>
      </c>
      <c r="I2080" t="s">
        <v>949</v>
      </c>
    </row>
    <row r="2081" spans="1:9" x14ac:dyDescent="0.25">
      <c r="A2081">
        <v>4126</v>
      </c>
      <c r="B2081">
        <v>10</v>
      </c>
      <c r="C2081" t="s">
        <v>946</v>
      </c>
      <c r="D2081" t="s">
        <v>1001</v>
      </c>
      <c r="E2081" t="s">
        <v>274</v>
      </c>
      <c r="F2081" t="s">
        <v>948</v>
      </c>
      <c r="G2081">
        <v>1000000</v>
      </c>
      <c r="H2081">
        <v>143000</v>
      </c>
      <c r="I2081" t="s">
        <v>973</v>
      </c>
    </row>
    <row r="2082" spans="1:9" x14ac:dyDescent="0.25">
      <c r="A2082">
        <v>4128</v>
      </c>
      <c r="B2082">
        <v>10</v>
      </c>
      <c r="C2082" t="s">
        <v>946</v>
      </c>
      <c r="D2082" t="s">
        <v>1001</v>
      </c>
      <c r="E2082" t="s">
        <v>274</v>
      </c>
      <c r="F2082" t="s">
        <v>948</v>
      </c>
      <c r="G2082">
        <v>1077777</v>
      </c>
      <c r="H2082">
        <v>500460</v>
      </c>
      <c r="I2082" t="s">
        <v>949</v>
      </c>
    </row>
    <row r="2083" spans="1:9" x14ac:dyDescent="0.25">
      <c r="A2083">
        <v>4122</v>
      </c>
      <c r="B2083">
        <v>10</v>
      </c>
      <c r="C2083" t="s">
        <v>946</v>
      </c>
      <c r="D2083" t="s">
        <v>1001</v>
      </c>
      <c r="E2083" t="s">
        <v>974</v>
      </c>
      <c r="F2083" t="s">
        <v>948</v>
      </c>
      <c r="G2083">
        <v>1000000</v>
      </c>
      <c r="H2083">
        <v>141000</v>
      </c>
      <c r="I2083" t="s">
        <v>975</v>
      </c>
    </row>
    <row r="2084" spans="1:9" x14ac:dyDescent="0.25">
      <c r="A2084">
        <v>4124</v>
      </c>
      <c r="B2084">
        <v>10</v>
      </c>
      <c r="C2084" t="s">
        <v>946</v>
      </c>
      <c r="D2084" t="s">
        <v>1001</v>
      </c>
      <c r="E2084" t="s">
        <v>974</v>
      </c>
      <c r="F2084" t="s">
        <v>948</v>
      </c>
      <c r="G2084">
        <v>1077777</v>
      </c>
      <c r="H2084">
        <v>500465</v>
      </c>
      <c r="I2084" t="s">
        <v>949</v>
      </c>
    </row>
    <row r="2085" spans="1:9" x14ac:dyDescent="0.25">
      <c r="A2085">
        <v>4126</v>
      </c>
      <c r="B2085">
        <v>10</v>
      </c>
      <c r="C2085" t="s">
        <v>946</v>
      </c>
      <c r="D2085" t="s">
        <v>1001</v>
      </c>
      <c r="E2085" t="s">
        <v>974</v>
      </c>
      <c r="F2085" t="s">
        <v>948</v>
      </c>
      <c r="G2085">
        <v>1000000</v>
      </c>
      <c r="H2085">
        <v>141000</v>
      </c>
      <c r="I2085" t="s">
        <v>975</v>
      </c>
    </row>
    <row r="2086" spans="1:9" x14ac:dyDescent="0.25">
      <c r="A2086">
        <v>4128</v>
      </c>
      <c r="B2086">
        <v>10</v>
      </c>
      <c r="C2086" t="s">
        <v>946</v>
      </c>
      <c r="D2086" t="s">
        <v>1001</v>
      </c>
      <c r="E2086" t="s">
        <v>974</v>
      </c>
      <c r="F2086" t="s">
        <v>948</v>
      </c>
      <c r="G2086">
        <v>1077777</v>
      </c>
      <c r="H2086">
        <v>500460</v>
      </c>
      <c r="I2086" t="s">
        <v>949</v>
      </c>
    </row>
    <row r="2087" spans="1:9" x14ac:dyDescent="0.25">
      <c r="A2087">
        <v>4122</v>
      </c>
      <c r="B2087">
        <v>10</v>
      </c>
      <c r="C2087" t="s">
        <v>946</v>
      </c>
      <c r="D2087" t="s">
        <v>1001</v>
      </c>
      <c r="E2087" t="s">
        <v>104</v>
      </c>
      <c r="F2087" t="s">
        <v>948</v>
      </c>
      <c r="G2087">
        <v>1077777</v>
      </c>
      <c r="H2087">
        <v>500220</v>
      </c>
      <c r="I2087" t="s">
        <v>949</v>
      </c>
    </row>
    <row r="2088" spans="1:9" x14ac:dyDescent="0.25">
      <c r="A2088">
        <v>4124</v>
      </c>
      <c r="B2088">
        <v>10</v>
      </c>
      <c r="C2088" t="s">
        <v>946</v>
      </c>
      <c r="D2088" t="s">
        <v>1001</v>
      </c>
      <c r="E2088" t="s">
        <v>104</v>
      </c>
      <c r="F2088" t="s">
        <v>948</v>
      </c>
      <c r="G2088">
        <v>1077777</v>
      </c>
      <c r="H2088">
        <v>500221</v>
      </c>
      <c r="I2088" t="s">
        <v>949</v>
      </c>
    </row>
    <row r="2089" spans="1:9" x14ac:dyDescent="0.25">
      <c r="A2089">
        <v>4126</v>
      </c>
      <c r="B2089">
        <v>10</v>
      </c>
      <c r="C2089" t="s">
        <v>946</v>
      </c>
      <c r="D2089" t="s">
        <v>1001</v>
      </c>
      <c r="E2089" t="s">
        <v>104</v>
      </c>
      <c r="F2089" t="s">
        <v>948</v>
      </c>
      <c r="G2089">
        <v>1077777</v>
      </c>
      <c r="H2089">
        <v>500220</v>
      </c>
      <c r="I2089" t="s">
        <v>949</v>
      </c>
    </row>
    <row r="2090" spans="1:9" x14ac:dyDescent="0.25">
      <c r="A2090">
        <v>4128</v>
      </c>
      <c r="B2090">
        <v>10</v>
      </c>
      <c r="C2090" t="s">
        <v>946</v>
      </c>
      <c r="D2090" t="s">
        <v>1001</v>
      </c>
      <c r="E2090" t="s">
        <v>104</v>
      </c>
      <c r="F2090" t="s">
        <v>948</v>
      </c>
      <c r="G2090">
        <v>1077777</v>
      </c>
      <c r="H2090">
        <v>500221</v>
      </c>
      <c r="I2090" t="s">
        <v>949</v>
      </c>
    </row>
    <row r="2091" spans="1:9" x14ac:dyDescent="0.25">
      <c r="A2091">
        <v>4122</v>
      </c>
      <c r="B2091">
        <v>10</v>
      </c>
      <c r="C2091" t="s">
        <v>946</v>
      </c>
      <c r="D2091" t="s">
        <v>1001</v>
      </c>
      <c r="E2091" t="s">
        <v>278</v>
      </c>
      <c r="F2091" t="s">
        <v>948</v>
      </c>
      <c r="G2091">
        <v>1000000</v>
      </c>
      <c r="H2091">
        <v>145000</v>
      </c>
      <c r="I2091" t="s">
        <v>949</v>
      </c>
    </row>
    <row r="2092" spans="1:9" x14ac:dyDescent="0.25">
      <c r="A2092">
        <v>4124</v>
      </c>
      <c r="B2092">
        <v>10</v>
      </c>
      <c r="C2092" t="s">
        <v>946</v>
      </c>
      <c r="D2092" t="s">
        <v>1001</v>
      </c>
      <c r="E2092" t="s">
        <v>278</v>
      </c>
      <c r="F2092" t="s">
        <v>948</v>
      </c>
      <c r="G2092">
        <v>1077777</v>
      </c>
      <c r="H2092">
        <v>500465</v>
      </c>
      <c r="I2092" t="s">
        <v>949</v>
      </c>
    </row>
    <row r="2093" spans="1:9" x14ac:dyDescent="0.25">
      <c r="A2093">
        <v>4126</v>
      </c>
      <c r="B2093">
        <v>10</v>
      </c>
      <c r="C2093" t="s">
        <v>946</v>
      </c>
      <c r="D2093" t="s">
        <v>1001</v>
      </c>
      <c r="E2093" t="s">
        <v>278</v>
      </c>
      <c r="F2093" t="s">
        <v>948</v>
      </c>
      <c r="G2093">
        <v>1000000</v>
      </c>
      <c r="H2093">
        <v>145000</v>
      </c>
      <c r="I2093" t="s">
        <v>949</v>
      </c>
    </row>
    <row r="2094" spans="1:9" x14ac:dyDescent="0.25">
      <c r="A2094">
        <v>4128</v>
      </c>
      <c r="B2094">
        <v>10</v>
      </c>
      <c r="C2094" t="s">
        <v>946</v>
      </c>
      <c r="D2094" t="s">
        <v>1001</v>
      </c>
      <c r="E2094" t="s">
        <v>278</v>
      </c>
      <c r="F2094" t="s">
        <v>948</v>
      </c>
      <c r="G2094">
        <v>1077777</v>
      </c>
      <c r="H2094">
        <v>500460</v>
      </c>
      <c r="I2094" t="s">
        <v>949</v>
      </c>
    </row>
    <row r="2095" spans="1:9" x14ac:dyDescent="0.25">
      <c r="A2095">
        <v>4122</v>
      </c>
      <c r="B2095">
        <v>10</v>
      </c>
      <c r="C2095" t="s">
        <v>946</v>
      </c>
      <c r="D2095" t="s">
        <v>1001</v>
      </c>
      <c r="E2095" t="s">
        <v>282</v>
      </c>
      <c r="F2095" t="s">
        <v>948</v>
      </c>
      <c r="G2095">
        <v>1000000</v>
      </c>
      <c r="H2095">
        <v>143100</v>
      </c>
      <c r="I2095" t="s">
        <v>949</v>
      </c>
    </row>
    <row r="2096" spans="1:9" x14ac:dyDescent="0.25">
      <c r="A2096">
        <v>4124</v>
      </c>
      <c r="B2096">
        <v>10</v>
      </c>
      <c r="C2096" t="s">
        <v>946</v>
      </c>
      <c r="D2096" t="s">
        <v>1001</v>
      </c>
      <c r="E2096" t="s">
        <v>282</v>
      </c>
      <c r="F2096" t="s">
        <v>948</v>
      </c>
      <c r="G2096">
        <v>1077777</v>
      </c>
      <c r="H2096">
        <v>500465</v>
      </c>
      <c r="I2096" t="s">
        <v>949</v>
      </c>
    </row>
    <row r="2097" spans="1:9" x14ac:dyDescent="0.25">
      <c r="A2097">
        <v>4126</v>
      </c>
      <c r="B2097">
        <v>10</v>
      </c>
      <c r="C2097" t="s">
        <v>946</v>
      </c>
      <c r="D2097" t="s">
        <v>1001</v>
      </c>
      <c r="E2097" t="s">
        <v>282</v>
      </c>
      <c r="F2097" t="s">
        <v>948</v>
      </c>
      <c r="G2097">
        <v>1000000</v>
      </c>
      <c r="H2097">
        <v>143100</v>
      </c>
      <c r="I2097" t="s">
        <v>949</v>
      </c>
    </row>
    <row r="2098" spans="1:9" x14ac:dyDescent="0.25">
      <c r="A2098">
        <v>4128</v>
      </c>
      <c r="B2098">
        <v>10</v>
      </c>
      <c r="C2098" t="s">
        <v>946</v>
      </c>
      <c r="D2098" t="s">
        <v>1001</v>
      </c>
      <c r="E2098" t="s">
        <v>282</v>
      </c>
      <c r="F2098" t="s">
        <v>948</v>
      </c>
      <c r="G2098">
        <v>1077777</v>
      </c>
      <c r="H2098">
        <v>500460</v>
      </c>
      <c r="I2098" t="s">
        <v>949</v>
      </c>
    </row>
    <row r="2099" spans="1:9" x14ac:dyDescent="0.25">
      <c r="A2099">
        <v>4122</v>
      </c>
      <c r="B2099">
        <v>10</v>
      </c>
      <c r="C2099" t="s">
        <v>946</v>
      </c>
      <c r="D2099" t="s">
        <v>1001</v>
      </c>
      <c r="E2099" t="s">
        <v>286</v>
      </c>
      <c r="F2099" t="s">
        <v>948</v>
      </c>
      <c r="G2099">
        <v>1000000</v>
      </c>
      <c r="H2099">
        <v>145000</v>
      </c>
      <c r="I2099" t="s">
        <v>949</v>
      </c>
    </row>
    <row r="2100" spans="1:9" x14ac:dyDescent="0.25">
      <c r="A2100">
        <v>4124</v>
      </c>
      <c r="B2100">
        <v>10</v>
      </c>
      <c r="C2100" t="s">
        <v>946</v>
      </c>
      <c r="D2100" t="s">
        <v>1001</v>
      </c>
      <c r="E2100" t="s">
        <v>286</v>
      </c>
      <c r="F2100" t="s">
        <v>948</v>
      </c>
      <c r="G2100">
        <v>1077777</v>
      </c>
      <c r="H2100">
        <v>500465</v>
      </c>
      <c r="I2100" t="s">
        <v>949</v>
      </c>
    </row>
    <row r="2101" spans="1:9" x14ac:dyDescent="0.25">
      <c r="A2101">
        <v>4126</v>
      </c>
      <c r="B2101">
        <v>10</v>
      </c>
      <c r="C2101" t="s">
        <v>946</v>
      </c>
      <c r="D2101" t="s">
        <v>1001</v>
      </c>
      <c r="E2101" t="s">
        <v>286</v>
      </c>
      <c r="F2101" t="s">
        <v>948</v>
      </c>
      <c r="G2101">
        <v>1000000</v>
      </c>
      <c r="H2101">
        <v>145000</v>
      </c>
      <c r="I2101" t="s">
        <v>949</v>
      </c>
    </row>
    <row r="2102" spans="1:9" x14ac:dyDescent="0.25">
      <c r="A2102">
        <v>4128</v>
      </c>
      <c r="B2102">
        <v>10</v>
      </c>
      <c r="C2102" t="s">
        <v>946</v>
      </c>
      <c r="D2102" t="s">
        <v>1001</v>
      </c>
      <c r="E2102" t="s">
        <v>286</v>
      </c>
      <c r="F2102" t="s">
        <v>948</v>
      </c>
      <c r="G2102">
        <v>1077777</v>
      </c>
      <c r="H2102">
        <v>500460</v>
      </c>
      <c r="I2102" t="s">
        <v>949</v>
      </c>
    </row>
    <row r="2103" spans="1:9" x14ac:dyDescent="0.25">
      <c r="A2103">
        <v>4122</v>
      </c>
      <c r="B2103">
        <v>10</v>
      </c>
      <c r="C2103" t="s">
        <v>946</v>
      </c>
      <c r="D2103" t="s">
        <v>1001</v>
      </c>
      <c r="E2103" t="s">
        <v>976</v>
      </c>
      <c r="F2103" t="s">
        <v>948</v>
      </c>
      <c r="G2103">
        <v>1000000</v>
      </c>
      <c r="H2103">
        <v>141000</v>
      </c>
      <c r="I2103" t="s">
        <v>977</v>
      </c>
    </row>
    <row r="2104" spans="1:9" x14ac:dyDescent="0.25">
      <c r="A2104">
        <v>4124</v>
      </c>
      <c r="B2104">
        <v>10</v>
      </c>
      <c r="C2104" t="s">
        <v>946</v>
      </c>
      <c r="D2104" t="s">
        <v>1001</v>
      </c>
      <c r="E2104" t="s">
        <v>976</v>
      </c>
      <c r="F2104" t="s">
        <v>948</v>
      </c>
      <c r="G2104">
        <v>1077777</v>
      </c>
      <c r="H2104">
        <v>500465</v>
      </c>
      <c r="I2104" t="s">
        <v>949</v>
      </c>
    </row>
    <row r="2105" spans="1:9" x14ac:dyDescent="0.25">
      <c r="A2105">
        <v>4126</v>
      </c>
      <c r="B2105">
        <v>10</v>
      </c>
      <c r="C2105" t="s">
        <v>946</v>
      </c>
      <c r="D2105" t="s">
        <v>1001</v>
      </c>
      <c r="E2105" t="s">
        <v>976</v>
      </c>
      <c r="F2105" t="s">
        <v>948</v>
      </c>
      <c r="G2105">
        <v>1000000</v>
      </c>
      <c r="H2105">
        <v>141000</v>
      </c>
      <c r="I2105" t="s">
        <v>977</v>
      </c>
    </row>
    <row r="2106" spans="1:9" x14ac:dyDescent="0.25">
      <c r="A2106">
        <v>4128</v>
      </c>
      <c r="B2106">
        <v>10</v>
      </c>
      <c r="C2106" t="s">
        <v>946</v>
      </c>
      <c r="D2106" t="s">
        <v>1001</v>
      </c>
      <c r="E2106" t="s">
        <v>976</v>
      </c>
      <c r="F2106" t="s">
        <v>948</v>
      </c>
      <c r="G2106">
        <v>1077777</v>
      </c>
      <c r="H2106">
        <v>500460</v>
      </c>
      <c r="I2106" t="s">
        <v>949</v>
      </c>
    </row>
    <row r="2107" spans="1:9" x14ac:dyDescent="0.25">
      <c r="A2107">
        <v>4122</v>
      </c>
      <c r="B2107">
        <v>10</v>
      </c>
      <c r="C2107" t="s">
        <v>946</v>
      </c>
      <c r="D2107" t="s">
        <v>1001</v>
      </c>
      <c r="E2107" t="s">
        <v>290</v>
      </c>
      <c r="F2107" t="s">
        <v>948</v>
      </c>
      <c r="G2107">
        <v>1000000</v>
      </c>
      <c r="H2107">
        <v>143000</v>
      </c>
      <c r="I2107" t="s">
        <v>978</v>
      </c>
    </row>
    <row r="2108" spans="1:9" x14ac:dyDescent="0.25">
      <c r="A2108">
        <v>4124</v>
      </c>
      <c r="B2108">
        <v>10</v>
      </c>
      <c r="C2108" t="s">
        <v>946</v>
      </c>
      <c r="D2108" t="s">
        <v>1001</v>
      </c>
      <c r="E2108" t="s">
        <v>290</v>
      </c>
      <c r="F2108" t="s">
        <v>948</v>
      </c>
      <c r="G2108">
        <v>1077777</v>
      </c>
      <c r="H2108">
        <v>500465</v>
      </c>
      <c r="I2108" t="s">
        <v>949</v>
      </c>
    </row>
    <row r="2109" spans="1:9" x14ac:dyDescent="0.25">
      <c r="A2109">
        <v>4126</v>
      </c>
      <c r="B2109">
        <v>10</v>
      </c>
      <c r="C2109" t="s">
        <v>946</v>
      </c>
      <c r="D2109" t="s">
        <v>1001</v>
      </c>
      <c r="E2109" t="s">
        <v>290</v>
      </c>
      <c r="F2109" t="s">
        <v>948</v>
      </c>
      <c r="G2109">
        <v>1000000</v>
      </c>
      <c r="H2109">
        <v>143000</v>
      </c>
      <c r="I2109" t="s">
        <v>978</v>
      </c>
    </row>
    <row r="2110" spans="1:9" x14ac:dyDescent="0.25">
      <c r="A2110">
        <v>4128</v>
      </c>
      <c r="B2110">
        <v>10</v>
      </c>
      <c r="C2110" t="s">
        <v>946</v>
      </c>
      <c r="D2110" t="s">
        <v>1001</v>
      </c>
      <c r="E2110" t="s">
        <v>290</v>
      </c>
      <c r="F2110" t="s">
        <v>948</v>
      </c>
      <c r="G2110">
        <v>1077777</v>
      </c>
      <c r="H2110">
        <v>500460</v>
      </c>
      <c r="I2110" t="s">
        <v>949</v>
      </c>
    </row>
    <row r="2111" spans="1:9" x14ac:dyDescent="0.25">
      <c r="A2111">
        <v>4122</v>
      </c>
      <c r="B2111">
        <v>10</v>
      </c>
      <c r="C2111" t="s">
        <v>946</v>
      </c>
      <c r="D2111" t="s">
        <v>1001</v>
      </c>
      <c r="E2111" t="s">
        <v>294</v>
      </c>
      <c r="F2111" t="s">
        <v>948</v>
      </c>
      <c r="G2111">
        <v>1000000</v>
      </c>
      <c r="H2111">
        <v>143000</v>
      </c>
      <c r="I2111" t="s">
        <v>979</v>
      </c>
    </row>
    <row r="2112" spans="1:9" x14ac:dyDescent="0.25">
      <c r="A2112">
        <v>4124</v>
      </c>
      <c r="B2112">
        <v>10</v>
      </c>
      <c r="C2112" t="s">
        <v>946</v>
      </c>
      <c r="D2112" t="s">
        <v>1001</v>
      </c>
      <c r="E2112" t="s">
        <v>294</v>
      </c>
      <c r="F2112" t="s">
        <v>948</v>
      </c>
      <c r="G2112">
        <v>1077777</v>
      </c>
      <c r="H2112">
        <v>500465</v>
      </c>
      <c r="I2112" t="s">
        <v>949</v>
      </c>
    </row>
    <row r="2113" spans="1:9" x14ac:dyDescent="0.25">
      <c r="A2113">
        <v>4126</v>
      </c>
      <c r="B2113">
        <v>10</v>
      </c>
      <c r="C2113" t="s">
        <v>946</v>
      </c>
      <c r="D2113" t="s">
        <v>1001</v>
      </c>
      <c r="E2113" t="s">
        <v>294</v>
      </c>
      <c r="F2113" t="s">
        <v>948</v>
      </c>
      <c r="G2113">
        <v>1000000</v>
      </c>
      <c r="H2113">
        <v>143000</v>
      </c>
      <c r="I2113" t="s">
        <v>979</v>
      </c>
    </row>
    <row r="2114" spans="1:9" x14ac:dyDescent="0.25">
      <c r="A2114">
        <v>4128</v>
      </c>
      <c r="B2114">
        <v>10</v>
      </c>
      <c r="C2114" t="s">
        <v>946</v>
      </c>
      <c r="D2114" t="s">
        <v>1001</v>
      </c>
      <c r="E2114" t="s">
        <v>294</v>
      </c>
      <c r="F2114" t="s">
        <v>948</v>
      </c>
      <c r="G2114">
        <v>1077777</v>
      </c>
      <c r="H2114">
        <v>500460</v>
      </c>
      <c r="I2114" t="s">
        <v>949</v>
      </c>
    </row>
    <row r="2115" spans="1:9" x14ac:dyDescent="0.25">
      <c r="A2115">
        <v>4122</v>
      </c>
      <c r="B2115">
        <v>10</v>
      </c>
      <c r="C2115" t="s">
        <v>946</v>
      </c>
      <c r="D2115" t="s">
        <v>1001</v>
      </c>
      <c r="E2115" t="s">
        <v>980</v>
      </c>
      <c r="F2115" t="s">
        <v>948</v>
      </c>
      <c r="G2115">
        <v>1000000</v>
      </c>
      <c r="H2115">
        <v>141000</v>
      </c>
      <c r="I2115" t="s">
        <v>981</v>
      </c>
    </row>
    <row r="2116" spans="1:9" x14ac:dyDescent="0.25">
      <c r="A2116">
        <v>4124</v>
      </c>
      <c r="B2116">
        <v>10</v>
      </c>
      <c r="C2116" t="s">
        <v>946</v>
      </c>
      <c r="D2116" t="s">
        <v>1001</v>
      </c>
      <c r="E2116" t="s">
        <v>980</v>
      </c>
      <c r="F2116" t="s">
        <v>948</v>
      </c>
      <c r="G2116">
        <v>1077777</v>
      </c>
      <c r="H2116">
        <v>500465</v>
      </c>
      <c r="I2116" t="s">
        <v>949</v>
      </c>
    </row>
    <row r="2117" spans="1:9" x14ac:dyDescent="0.25">
      <c r="A2117">
        <v>4126</v>
      </c>
      <c r="B2117">
        <v>10</v>
      </c>
      <c r="C2117" t="s">
        <v>946</v>
      </c>
      <c r="D2117" t="s">
        <v>1001</v>
      </c>
      <c r="E2117" t="s">
        <v>980</v>
      </c>
      <c r="F2117" t="s">
        <v>948</v>
      </c>
      <c r="G2117">
        <v>1000000</v>
      </c>
      <c r="H2117">
        <v>141000</v>
      </c>
      <c r="I2117" t="s">
        <v>981</v>
      </c>
    </row>
    <row r="2118" spans="1:9" x14ac:dyDescent="0.25">
      <c r="A2118">
        <v>4128</v>
      </c>
      <c r="B2118">
        <v>10</v>
      </c>
      <c r="C2118" t="s">
        <v>946</v>
      </c>
      <c r="D2118" t="s">
        <v>1001</v>
      </c>
      <c r="E2118" t="s">
        <v>980</v>
      </c>
      <c r="F2118" t="s">
        <v>948</v>
      </c>
      <c r="G2118">
        <v>1077777</v>
      </c>
      <c r="H2118">
        <v>500460</v>
      </c>
      <c r="I2118" t="s">
        <v>949</v>
      </c>
    </row>
    <row r="2119" spans="1:9" x14ac:dyDescent="0.25">
      <c r="A2119">
        <v>4122</v>
      </c>
      <c r="B2119">
        <v>10</v>
      </c>
      <c r="C2119" t="s">
        <v>946</v>
      </c>
      <c r="D2119" t="s">
        <v>1001</v>
      </c>
      <c r="E2119" t="s">
        <v>302</v>
      </c>
      <c r="F2119" t="s">
        <v>948</v>
      </c>
      <c r="G2119">
        <v>1000000</v>
      </c>
      <c r="H2119">
        <v>143000</v>
      </c>
      <c r="I2119" t="s">
        <v>982</v>
      </c>
    </row>
    <row r="2120" spans="1:9" x14ac:dyDescent="0.25">
      <c r="A2120">
        <v>4124</v>
      </c>
      <c r="B2120">
        <v>10</v>
      </c>
      <c r="C2120" t="s">
        <v>946</v>
      </c>
      <c r="D2120" t="s">
        <v>1001</v>
      </c>
      <c r="E2120" t="s">
        <v>302</v>
      </c>
      <c r="F2120" t="s">
        <v>948</v>
      </c>
      <c r="G2120">
        <v>1077777</v>
      </c>
      <c r="H2120">
        <v>500465</v>
      </c>
      <c r="I2120" t="s">
        <v>949</v>
      </c>
    </row>
    <row r="2121" spans="1:9" x14ac:dyDescent="0.25">
      <c r="A2121">
        <v>4126</v>
      </c>
      <c r="B2121">
        <v>10</v>
      </c>
      <c r="C2121" t="s">
        <v>946</v>
      </c>
      <c r="D2121" t="s">
        <v>1001</v>
      </c>
      <c r="E2121" t="s">
        <v>302</v>
      </c>
      <c r="F2121" t="s">
        <v>948</v>
      </c>
      <c r="G2121">
        <v>1000000</v>
      </c>
      <c r="H2121">
        <v>143000</v>
      </c>
      <c r="I2121" t="s">
        <v>982</v>
      </c>
    </row>
    <row r="2122" spans="1:9" x14ac:dyDescent="0.25">
      <c r="A2122">
        <v>4128</v>
      </c>
      <c r="B2122">
        <v>10</v>
      </c>
      <c r="C2122" t="s">
        <v>946</v>
      </c>
      <c r="D2122" t="s">
        <v>1001</v>
      </c>
      <c r="E2122" t="s">
        <v>302</v>
      </c>
      <c r="F2122" t="s">
        <v>948</v>
      </c>
      <c r="G2122">
        <v>1077777</v>
      </c>
      <c r="H2122">
        <v>500460</v>
      </c>
      <c r="I2122" t="s">
        <v>949</v>
      </c>
    </row>
    <row r="2123" spans="1:9" x14ac:dyDescent="0.25">
      <c r="A2123">
        <v>4122</v>
      </c>
      <c r="B2123">
        <v>10</v>
      </c>
      <c r="C2123" t="s">
        <v>946</v>
      </c>
      <c r="D2123" t="s">
        <v>1001</v>
      </c>
      <c r="E2123" t="s">
        <v>306</v>
      </c>
      <c r="F2123" t="s">
        <v>948</v>
      </c>
      <c r="G2123">
        <v>1000000</v>
      </c>
      <c r="H2123">
        <v>143000</v>
      </c>
      <c r="I2123" t="s">
        <v>983</v>
      </c>
    </row>
    <row r="2124" spans="1:9" x14ac:dyDescent="0.25">
      <c r="A2124">
        <v>4124</v>
      </c>
      <c r="B2124">
        <v>10</v>
      </c>
      <c r="C2124" t="s">
        <v>946</v>
      </c>
      <c r="D2124" t="s">
        <v>1001</v>
      </c>
      <c r="E2124" t="s">
        <v>306</v>
      </c>
      <c r="F2124" t="s">
        <v>948</v>
      </c>
      <c r="G2124">
        <v>1077777</v>
      </c>
      <c r="H2124">
        <v>500465</v>
      </c>
      <c r="I2124" t="s">
        <v>949</v>
      </c>
    </row>
    <row r="2125" spans="1:9" x14ac:dyDescent="0.25">
      <c r="A2125">
        <v>4126</v>
      </c>
      <c r="B2125">
        <v>10</v>
      </c>
      <c r="C2125" t="s">
        <v>946</v>
      </c>
      <c r="D2125" t="s">
        <v>1001</v>
      </c>
      <c r="E2125" t="s">
        <v>306</v>
      </c>
      <c r="F2125" t="s">
        <v>948</v>
      </c>
      <c r="G2125">
        <v>1000000</v>
      </c>
      <c r="H2125">
        <v>143000</v>
      </c>
      <c r="I2125" t="s">
        <v>983</v>
      </c>
    </row>
    <row r="2126" spans="1:9" x14ac:dyDescent="0.25">
      <c r="A2126">
        <v>4128</v>
      </c>
      <c r="B2126">
        <v>10</v>
      </c>
      <c r="C2126" t="s">
        <v>946</v>
      </c>
      <c r="D2126" t="s">
        <v>1001</v>
      </c>
      <c r="E2126" t="s">
        <v>306</v>
      </c>
      <c r="F2126" t="s">
        <v>948</v>
      </c>
      <c r="G2126">
        <v>1077777</v>
      </c>
      <c r="H2126">
        <v>500460</v>
      </c>
      <c r="I2126" t="s">
        <v>949</v>
      </c>
    </row>
    <row r="2127" spans="1:9" x14ac:dyDescent="0.25">
      <c r="A2127">
        <v>4122</v>
      </c>
      <c r="B2127">
        <v>10</v>
      </c>
      <c r="C2127" t="s">
        <v>946</v>
      </c>
      <c r="D2127" t="s">
        <v>1001</v>
      </c>
      <c r="E2127" t="s">
        <v>108</v>
      </c>
      <c r="F2127" t="s">
        <v>948</v>
      </c>
      <c r="G2127">
        <v>1077777</v>
      </c>
      <c r="H2127">
        <v>500220</v>
      </c>
      <c r="I2127" t="s">
        <v>949</v>
      </c>
    </row>
    <row r="2128" spans="1:9" x14ac:dyDescent="0.25">
      <c r="A2128">
        <v>4124</v>
      </c>
      <c r="B2128">
        <v>10</v>
      </c>
      <c r="C2128" t="s">
        <v>946</v>
      </c>
      <c r="D2128" t="s">
        <v>1001</v>
      </c>
      <c r="E2128" t="s">
        <v>108</v>
      </c>
      <c r="F2128" t="s">
        <v>948</v>
      </c>
      <c r="G2128">
        <v>1077777</v>
      </c>
      <c r="H2128">
        <v>500221</v>
      </c>
      <c r="I2128" t="s">
        <v>949</v>
      </c>
    </row>
    <row r="2129" spans="1:9" x14ac:dyDescent="0.25">
      <c r="A2129">
        <v>4126</v>
      </c>
      <c r="B2129">
        <v>10</v>
      </c>
      <c r="C2129" t="s">
        <v>946</v>
      </c>
      <c r="D2129" t="s">
        <v>1001</v>
      </c>
      <c r="E2129" t="s">
        <v>108</v>
      </c>
      <c r="F2129" t="s">
        <v>948</v>
      </c>
      <c r="G2129">
        <v>1077777</v>
      </c>
      <c r="H2129">
        <v>500220</v>
      </c>
      <c r="I2129" t="s">
        <v>949</v>
      </c>
    </row>
    <row r="2130" spans="1:9" x14ac:dyDescent="0.25">
      <c r="A2130">
        <v>4128</v>
      </c>
      <c r="B2130">
        <v>10</v>
      </c>
      <c r="C2130" t="s">
        <v>946</v>
      </c>
      <c r="D2130" t="s">
        <v>1001</v>
      </c>
      <c r="E2130" t="s">
        <v>108</v>
      </c>
      <c r="F2130" t="s">
        <v>948</v>
      </c>
      <c r="G2130">
        <v>1077777</v>
      </c>
      <c r="H2130">
        <v>500221</v>
      </c>
      <c r="I2130" t="s">
        <v>949</v>
      </c>
    </row>
    <row r="2131" spans="1:9" x14ac:dyDescent="0.25">
      <c r="A2131">
        <v>4122</v>
      </c>
      <c r="B2131">
        <v>10</v>
      </c>
      <c r="C2131" t="s">
        <v>946</v>
      </c>
      <c r="D2131" t="s">
        <v>1001</v>
      </c>
      <c r="E2131" t="s">
        <v>310</v>
      </c>
      <c r="F2131" t="s">
        <v>948</v>
      </c>
      <c r="G2131">
        <v>1000000</v>
      </c>
      <c r="H2131">
        <v>145000</v>
      </c>
      <c r="I2131" t="s">
        <v>949</v>
      </c>
    </row>
    <row r="2132" spans="1:9" x14ac:dyDescent="0.25">
      <c r="A2132">
        <v>4124</v>
      </c>
      <c r="B2132">
        <v>10</v>
      </c>
      <c r="C2132" t="s">
        <v>946</v>
      </c>
      <c r="D2132" t="s">
        <v>1001</v>
      </c>
      <c r="E2132" t="s">
        <v>310</v>
      </c>
      <c r="F2132" t="s">
        <v>948</v>
      </c>
      <c r="G2132">
        <v>1077777</v>
      </c>
      <c r="H2132">
        <v>500465</v>
      </c>
      <c r="I2132" t="s">
        <v>949</v>
      </c>
    </row>
    <row r="2133" spans="1:9" x14ac:dyDescent="0.25">
      <c r="A2133">
        <v>4126</v>
      </c>
      <c r="B2133">
        <v>10</v>
      </c>
      <c r="C2133" t="s">
        <v>946</v>
      </c>
      <c r="D2133" t="s">
        <v>1001</v>
      </c>
      <c r="E2133" t="s">
        <v>310</v>
      </c>
      <c r="F2133" t="s">
        <v>948</v>
      </c>
      <c r="G2133">
        <v>1000000</v>
      </c>
      <c r="H2133">
        <v>145000</v>
      </c>
      <c r="I2133" t="s">
        <v>949</v>
      </c>
    </row>
    <row r="2134" spans="1:9" x14ac:dyDescent="0.25">
      <c r="A2134">
        <v>4128</v>
      </c>
      <c r="B2134">
        <v>10</v>
      </c>
      <c r="C2134" t="s">
        <v>946</v>
      </c>
      <c r="D2134" t="s">
        <v>1001</v>
      </c>
      <c r="E2134" t="s">
        <v>310</v>
      </c>
      <c r="F2134" t="s">
        <v>948</v>
      </c>
      <c r="G2134">
        <v>1077777</v>
      </c>
      <c r="H2134">
        <v>500460</v>
      </c>
      <c r="I2134" t="s">
        <v>949</v>
      </c>
    </row>
    <row r="2135" spans="1:9" x14ac:dyDescent="0.25">
      <c r="A2135">
        <v>4122</v>
      </c>
      <c r="B2135">
        <v>10</v>
      </c>
      <c r="C2135" t="s">
        <v>946</v>
      </c>
      <c r="D2135" t="s">
        <v>1001</v>
      </c>
      <c r="E2135" t="s">
        <v>314</v>
      </c>
      <c r="F2135" t="s">
        <v>948</v>
      </c>
      <c r="G2135">
        <v>1000000</v>
      </c>
      <c r="H2135">
        <v>145000</v>
      </c>
      <c r="I2135" t="s">
        <v>949</v>
      </c>
    </row>
    <row r="2136" spans="1:9" x14ac:dyDescent="0.25">
      <c r="A2136">
        <v>4124</v>
      </c>
      <c r="B2136">
        <v>10</v>
      </c>
      <c r="C2136" t="s">
        <v>946</v>
      </c>
      <c r="D2136" t="s">
        <v>1001</v>
      </c>
      <c r="E2136" t="s">
        <v>314</v>
      </c>
      <c r="F2136" t="s">
        <v>948</v>
      </c>
      <c r="G2136">
        <v>1077777</v>
      </c>
      <c r="H2136">
        <v>500465</v>
      </c>
      <c r="I2136" t="s">
        <v>949</v>
      </c>
    </row>
    <row r="2137" spans="1:9" x14ac:dyDescent="0.25">
      <c r="A2137">
        <v>4126</v>
      </c>
      <c r="B2137">
        <v>10</v>
      </c>
      <c r="C2137" t="s">
        <v>946</v>
      </c>
      <c r="D2137" t="s">
        <v>1001</v>
      </c>
      <c r="E2137" t="s">
        <v>314</v>
      </c>
      <c r="F2137" t="s">
        <v>948</v>
      </c>
      <c r="G2137">
        <v>1000000</v>
      </c>
      <c r="H2137">
        <v>145000</v>
      </c>
      <c r="I2137" t="s">
        <v>949</v>
      </c>
    </row>
    <row r="2138" spans="1:9" x14ac:dyDescent="0.25">
      <c r="A2138">
        <v>4128</v>
      </c>
      <c r="B2138">
        <v>10</v>
      </c>
      <c r="C2138" t="s">
        <v>946</v>
      </c>
      <c r="D2138" t="s">
        <v>1001</v>
      </c>
      <c r="E2138" t="s">
        <v>314</v>
      </c>
      <c r="F2138" t="s">
        <v>948</v>
      </c>
      <c r="G2138">
        <v>1077777</v>
      </c>
      <c r="H2138">
        <v>500460</v>
      </c>
      <c r="I2138" t="s">
        <v>949</v>
      </c>
    </row>
    <row r="2139" spans="1:9" x14ac:dyDescent="0.25">
      <c r="A2139">
        <v>4122</v>
      </c>
      <c r="B2139">
        <v>10</v>
      </c>
      <c r="C2139" t="s">
        <v>946</v>
      </c>
      <c r="D2139" t="s">
        <v>1001</v>
      </c>
      <c r="E2139" t="s">
        <v>121</v>
      </c>
      <c r="F2139" t="s">
        <v>948</v>
      </c>
      <c r="G2139">
        <v>1077777</v>
      </c>
      <c r="H2139">
        <v>500220</v>
      </c>
      <c r="I2139" t="s">
        <v>949</v>
      </c>
    </row>
    <row r="2140" spans="1:9" x14ac:dyDescent="0.25">
      <c r="A2140">
        <v>4124</v>
      </c>
      <c r="B2140">
        <v>10</v>
      </c>
      <c r="C2140" t="s">
        <v>946</v>
      </c>
      <c r="D2140" t="s">
        <v>1001</v>
      </c>
      <c r="E2140" t="s">
        <v>121</v>
      </c>
      <c r="F2140" t="s">
        <v>948</v>
      </c>
      <c r="G2140">
        <v>1077777</v>
      </c>
      <c r="H2140">
        <v>500221</v>
      </c>
      <c r="I2140" t="s">
        <v>949</v>
      </c>
    </row>
    <row r="2141" spans="1:9" x14ac:dyDescent="0.25">
      <c r="A2141">
        <v>4126</v>
      </c>
      <c r="B2141">
        <v>10</v>
      </c>
      <c r="C2141" t="s">
        <v>946</v>
      </c>
      <c r="D2141" t="s">
        <v>1001</v>
      </c>
      <c r="E2141" t="s">
        <v>121</v>
      </c>
      <c r="F2141" t="s">
        <v>948</v>
      </c>
      <c r="G2141">
        <v>1077777</v>
      </c>
      <c r="H2141">
        <v>500220</v>
      </c>
      <c r="I2141" t="s">
        <v>949</v>
      </c>
    </row>
    <row r="2142" spans="1:9" x14ac:dyDescent="0.25">
      <c r="A2142">
        <v>4128</v>
      </c>
      <c r="B2142">
        <v>10</v>
      </c>
      <c r="C2142" t="s">
        <v>946</v>
      </c>
      <c r="D2142" t="s">
        <v>1001</v>
      </c>
      <c r="E2142" t="s">
        <v>121</v>
      </c>
      <c r="F2142" t="s">
        <v>948</v>
      </c>
      <c r="G2142">
        <v>1077777</v>
      </c>
      <c r="H2142">
        <v>500221</v>
      </c>
      <c r="I2142" t="s">
        <v>949</v>
      </c>
    </row>
    <row r="2143" spans="1:9" x14ac:dyDescent="0.25">
      <c r="A2143">
        <v>4122</v>
      </c>
      <c r="B2143">
        <v>10</v>
      </c>
      <c r="C2143" t="s">
        <v>946</v>
      </c>
      <c r="D2143" t="s">
        <v>1001</v>
      </c>
      <c r="E2143" t="s">
        <v>984</v>
      </c>
      <c r="F2143" t="s">
        <v>948</v>
      </c>
      <c r="G2143">
        <v>1000000</v>
      </c>
      <c r="H2143">
        <v>141000</v>
      </c>
      <c r="I2143" t="s">
        <v>985</v>
      </c>
    </row>
    <row r="2144" spans="1:9" x14ac:dyDescent="0.25">
      <c r="A2144">
        <v>4124</v>
      </c>
      <c r="B2144">
        <v>10</v>
      </c>
      <c r="C2144" t="s">
        <v>946</v>
      </c>
      <c r="D2144" t="s">
        <v>1001</v>
      </c>
      <c r="E2144" t="s">
        <v>984</v>
      </c>
      <c r="F2144" t="s">
        <v>948</v>
      </c>
      <c r="G2144">
        <v>1077777</v>
      </c>
      <c r="H2144">
        <v>500465</v>
      </c>
      <c r="I2144" t="s">
        <v>949</v>
      </c>
    </row>
    <row r="2145" spans="1:9" x14ac:dyDescent="0.25">
      <c r="A2145">
        <v>4126</v>
      </c>
      <c r="B2145">
        <v>10</v>
      </c>
      <c r="C2145" t="s">
        <v>946</v>
      </c>
      <c r="D2145" t="s">
        <v>1001</v>
      </c>
      <c r="E2145" t="s">
        <v>984</v>
      </c>
      <c r="F2145" t="s">
        <v>948</v>
      </c>
      <c r="G2145">
        <v>1000000</v>
      </c>
      <c r="H2145">
        <v>141000</v>
      </c>
      <c r="I2145" t="s">
        <v>985</v>
      </c>
    </row>
    <row r="2146" spans="1:9" x14ac:dyDescent="0.25">
      <c r="A2146">
        <v>4128</v>
      </c>
      <c r="B2146">
        <v>10</v>
      </c>
      <c r="C2146" t="s">
        <v>946</v>
      </c>
      <c r="D2146" t="s">
        <v>1001</v>
      </c>
      <c r="E2146" t="s">
        <v>984</v>
      </c>
      <c r="F2146" t="s">
        <v>948</v>
      </c>
      <c r="G2146">
        <v>1077777</v>
      </c>
      <c r="H2146">
        <v>500460</v>
      </c>
      <c r="I2146" t="s">
        <v>949</v>
      </c>
    </row>
    <row r="2147" spans="1:9" x14ac:dyDescent="0.25">
      <c r="A2147">
        <v>4122</v>
      </c>
      <c r="B2147">
        <v>10</v>
      </c>
      <c r="C2147" t="s">
        <v>946</v>
      </c>
      <c r="D2147" t="s">
        <v>1004</v>
      </c>
      <c r="E2147" t="s">
        <v>49</v>
      </c>
      <c r="F2147" t="s">
        <v>948</v>
      </c>
      <c r="G2147">
        <v>1077777</v>
      </c>
      <c r="H2147">
        <v>500220</v>
      </c>
      <c r="I2147" t="s">
        <v>949</v>
      </c>
    </row>
    <row r="2148" spans="1:9" x14ac:dyDescent="0.25">
      <c r="A2148">
        <v>4124</v>
      </c>
      <c r="B2148">
        <v>10</v>
      </c>
      <c r="C2148" t="s">
        <v>946</v>
      </c>
      <c r="D2148" t="s">
        <v>1004</v>
      </c>
      <c r="E2148" t="s">
        <v>49</v>
      </c>
      <c r="F2148" t="s">
        <v>948</v>
      </c>
      <c r="G2148">
        <v>1077777</v>
      </c>
      <c r="H2148">
        <v>500221</v>
      </c>
      <c r="I2148" t="s">
        <v>949</v>
      </c>
    </row>
    <row r="2149" spans="1:9" x14ac:dyDescent="0.25">
      <c r="A2149">
        <v>3110</v>
      </c>
      <c r="B2149">
        <v>10</v>
      </c>
      <c r="C2149" t="s">
        <v>950</v>
      </c>
      <c r="D2149" t="s">
        <v>1005</v>
      </c>
      <c r="E2149" t="s">
        <v>243</v>
      </c>
      <c r="F2149" t="s">
        <v>951</v>
      </c>
      <c r="G2149">
        <v>1000000</v>
      </c>
      <c r="H2149">
        <v>145000</v>
      </c>
      <c r="I2149" t="s">
        <v>949</v>
      </c>
    </row>
    <row r="2150" spans="1:9" x14ac:dyDescent="0.25">
      <c r="A2150">
        <v>3110</v>
      </c>
      <c r="B2150">
        <v>10</v>
      </c>
      <c r="C2150" t="s">
        <v>950</v>
      </c>
      <c r="D2150" t="s">
        <v>1005</v>
      </c>
      <c r="E2150" t="s">
        <v>243</v>
      </c>
      <c r="F2150" t="s">
        <v>952</v>
      </c>
      <c r="G2150">
        <v>1000000</v>
      </c>
      <c r="H2150">
        <v>145000</v>
      </c>
      <c r="I2150" t="s">
        <v>949</v>
      </c>
    </row>
    <row r="2151" spans="1:9" x14ac:dyDescent="0.25">
      <c r="A2151">
        <v>3110</v>
      </c>
      <c r="B2151">
        <v>10</v>
      </c>
      <c r="C2151" t="s">
        <v>962</v>
      </c>
      <c r="D2151" t="s">
        <v>1005</v>
      </c>
      <c r="E2151" t="s">
        <v>243</v>
      </c>
      <c r="F2151" t="s">
        <v>951</v>
      </c>
      <c r="G2151">
        <v>1000000</v>
      </c>
      <c r="H2151">
        <v>145000</v>
      </c>
      <c r="I2151" t="s">
        <v>949</v>
      </c>
    </row>
    <row r="2152" spans="1:9" x14ac:dyDescent="0.25">
      <c r="A2152">
        <v>3110</v>
      </c>
      <c r="B2152">
        <v>10</v>
      </c>
      <c r="C2152" t="s">
        <v>962</v>
      </c>
      <c r="D2152" t="s">
        <v>1005</v>
      </c>
      <c r="E2152" t="s">
        <v>243</v>
      </c>
      <c r="F2152" t="s">
        <v>952</v>
      </c>
      <c r="G2152">
        <v>1000000</v>
      </c>
      <c r="H2152">
        <v>145000</v>
      </c>
      <c r="I2152" t="s">
        <v>949</v>
      </c>
    </row>
    <row r="2153" spans="1:9" x14ac:dyDescent="0.25">
      <c r="A2153">
        <v>3110</v>
      </c>
      <c r="B2153">
        <v>10</v>
      </c>
      <c r="C2153" t="s">
        <v>963</v>
      </c>
      <c r="D2153" t="s">
        <v>1005</v>
      </c>
      <c r="E2153" t="s">
        <v>243</v>
      </c>
      <c r="F2153" t="s">
        <v>951</v>
      </c>
      <c r="G2153">
        <v>1000000</v>
      </c>
      <c r="H2153">
        <v>145000</v>
      </c>
      <c r="I2153" t="s">
        <v>949</v>
      </c>
    </row>
    <row r="2154" spans="1:9" x14ac:dyDescent="0.25">
      <c r="A2154">
        <v>3110</v>
      </c>
      <c r="B2154">
        <v>10</v>
      </c>
      <c r="C2154" t="s">
        <v>963</v>
      </c>
      <c r="D2154" t="s">
        <v>1005</v>
      </c>
      <c r="E2154" t="s">
        <v>243</v>
      </c>
      <c r="F2154" t="s">
        <v>952</v>
      </c>
      <c r="G2154">
        <v>1000000</v>
      </c>
      <c r="H2154">
        <v>145000</v>
      </c>
      <c r="I2154" t="s">
        <v>949</v>
      </c>
    </row>
    <row r="2155" spans="1:9" x14ac:dyDescent="0.25">
      <c r="A2155">
        <v>3110</v>
      </c>
      <c r="B2155">
        <v>10</v>
      </c>
      <c r="C2155" t="s">
        <v>950</v>
      </c>
      <c r="D2155" t="s">
        <v>1005</v>
      </c>
      <c r="E2155" t="s">
        <v>247</v>
      </c>
      <c r="F2155" t="s">
        <v>951</v>
      </c>
      <c r="G2155">
        <v>1000000</v>
      </c>
      <c r="H2155">
        <v>145000</v>
      </c>
      <c r="I2155" t="s">
        <v>949</v>
      </c>
    </row>
    <row r="2156" spans="1:9" x14ac:dyDescent="0.25">
      <c r="A2156">
        <v>3110</v>
      </c>
      <c r="B2156">
        <v>10</v>
      </c>
      <c r="C2156" t="s">
        <v>950</v>
      </c>
      <c r="D2156" t="s">
        <v>1005</v>
      </c>
      <c r="E2156" t="s">
        <v>247</v>
      </c>
      <c r="F2156" t="s">
        <v>952</v>
      </c>
      <c r="G2156">
        <v>1000000</v>
      </c>
      <c r="H2156">
        <v>145000</v>
      </c>
      <c r="I2156" t="s">
        <v>949</v>
      </c>
    </row>
    <row r="2157" spans="1:9" x14ac:dyDescent="0.25">
      <c r="A2157">
        <v>3110</v>
      </c>
      <c r="B2157">
        <v>10</v>
      </c>
      <c r="C2157" t="s">
        <v>962</v>
      </c>
      <c r="D2157" t="s">
        <v>1005</v>
      </c>
      <c r="E2157" t="s">
        <v>247</v>
      </c>
      <c r="F2157" t="s">
        <v>951</v>
      </c>
      <c r="G2157">
        <v>1000000</v>
      </c>
      <c r="H2157">
        <v>145000</v>
      </c>
      <c r="I2157" t="s">
        <v>949</v>
      </c>
    </row>
    <row r="2158" spans="1:9" x14ac:dyDescent="0.25">
      <c r="A2158">
        <v>3110</v>
      </c>
      <c r="B2158">
        <v>10</v>
      </c>
      <c r="C2158" t="s">
        <v>962</v>
      </c>
      <c r="D2158" t="s">
        <v>1005</v>
      </c>
      <c r="E2158" t="s">
        <v>247</v>
      </c>
      <c r="F2158" t="s">
        <v>952</v>
      </c>
      <c r="G2158">
        <v>1000000</v>
      </c>
      <c r="H2158">
        <v>145000</v>
      </c>
      <c r="I2158" t="s">
        <v>949</v>
      </c>
    </row>
    <row r="2159" spans="1:9" x14ac:dyDescent="0.25">
      <c r="A2159">
        <v>3110</v>
      </c>
      <c r="B2159">
        <v>10</v>
      </c>
      <c r="C2159" t="s">
        <v>963</v>
      </c>
      <c r="D2159" t="s">
        <v>1005</v>
      </c>
      <c r="E2159" t="s">
        <v>247</v>
      </c>
      <c r="F2159" t="s">
        <v>951</v>
      </c>
      <c r="G2159">
        <v>1000000</v>
      </c>
      <c r="H2159">
        <v>145000</v>
      </c>
      <c r="I2159" t="s">
        <v>949</v>
      </c>
    </row>
    <row r="2160" spans="1:9" x14ac:dyDescent="0.25">
      <c r="A2160">
        <v>3110</v>
      </c>
      <c r="B2160">
        <v>10</v>
      </c>
      <c r="C2160" t="s">
        <v>963</v>
      </c>
      <c r="D2160" t="s">
        <v>1005</v>
      </c>
      <c r="E2160" t="s">
        <v>247</v>
      </c>
      <c r="F2160" t="s">
        <v>952</v>
      </c>
      <c r="G2160">
        <v>1000000</v>
      </c>
      <c r="H2160">
        <v>145000</v>
      </c>
      <c r="I2160" t="s">
        <v>949</v>
      </c>
    </row>
    <row r="2161" spans="1:9" x14ac:dyDescent="0.25">
      <c r="A2161">
        <v>3110</v>
      </c>
      <c r="B2161">
        <v>10</v>
      </c>
      <c r="C2161" t="s">
        <v>950</v>
      </c>
      <c r="D2161" t="s">
        <v>1005</v>
      </c>
      <c r="E2161" t="s">
        <v>251</v>
      </c>
      <c r="F2161" t="s">
        <v>951</v>
      </c>
      <c r="G2161">
        <v>1000000</v>
      </c>
      <c r="H2161">
        <v>142000</v>
      </c>
      <c r="I2161" t="s">
        <v>949</v>
      </c>
    </row>
    <row r="2162" spans="1:9" x14ac:dyDescent="0.25">
      <c r="A2162">
        <v>3110</v>
      </c>
      <c r="B2162">
        <v>10</v>
      </c>
      <c r="C2162" t="s">
        <v>950</v>
      </c>
      <c r="D2162" t="s">
        <v>1005</v>
      </c>
      <c r="E2162" t="s">
        <v>251</v>
      </c>
      <c r="F2162" t="s">
        <v>952</v>
      </c>
      <c r="G2162">
        <v>1000000</v>
      </c>
      <c r="H2162">
        <v>142000</v>
      </c>
      <c r="I2162" t="s">
        <v>949</v>
      </c>
    </row>
    <row r="2163" spans="1:9" x14ac:dyDescent="0.25">
      <c r="A2163">
        <v>3110</v>
      </c>
      <c r="B2163">
        <v>10</v>
      </c>
      <c r="C2163" t="s">
        <v>962</v>
      </c>
      <c r="D2163" t="s">
        <v>1005</v>
      </c>
      <c r="E2163" t="s">
        <v>251</v>
      </c>
      <c r="F2163" t="s">
        <v>951</v>
      </c>
      <c r="G2163">
        <v>1000000</v>
      </c>
      <c r="H2163">
        <v>142000</v>
      </c>
      <c r="I2163" t="s">
        <v>949</v>
      </c>
    </row>
    <row r="2164" spans="1:9" x14ac:dyDescent="0.25">
      <c r="A2164">
        <v>3110</v>
      </c>
      <c r="B2164">
        <v>10</v>
      </c>
      <c r="C2164" t="s">
        <v>962</v>
      </c>
      <c r="D2164" t="s">
        <v>1005</v>
      </c>
      <c r="E2164" t="s">
        <v>251</v>
      </c>
      <c r="F2164" t="s">
        <v>952</v>
      </c>
      <c r="G2164">
        <v>1000000</v>
      </c>
      <c r="H2164">
        <v>142000</v>
      </c>
      <c r="I2164" t="s">
        <v>949</v>
      </c>
    </row>
    <row r="2165" spans="1:9" x14ac:dyDescent="0.25">
      <c r="A2165">
        <v>3110</v>
      </c>
      <c r="B2165">
        <v>10</v>
      </c>
      <c r="C2165" t="s">
        <v>963</v>
      </c>
      <c r="D2165" t="s">
        <v>1005</v>
      </c>
      <c r="E2165" t="s">
        <v>251</v>
      </c>
      <c r="F2165" t="s">
        <v>951</v>
      </c>
      <c r="G2165">
        <v>1000000</v>
      </c>
      <c r="H2165">
        <v>142000</v>
      </c>
      <c r="I2165" t="s">
        <v>949</v>
      </c>
    </row>
    <row r="2166" spans="1:9" x14ac:dyDescent="0.25">
      <c r="A2166">
        <v>3110</v>
      </c>
      <c r="B2166">
        <v>10</v>
      </c>
      <c r="C2166" t="s">
        <v>963</v>
      </c>
      <c r="D2166" t="s">
        <v>1005</v>
      </c>
      <c r="E2166" t="s">
        <v>251</v>
      </c>
      <c r="F2166" t="s">
        <v>952</v>
      </c>
      <c r="G2166">
        <v>1000000</v>
      </c>
      <c r="H2166">
        <v>142000</v>
      </c>
      <c r="I2166" t="s">
        <v>949</v>
      </c>
    </row>
    <row r="2167" spans="1:9" x14ac:dyDescent="0.25">
      <c r="A2167">
        <v>3110</v>
      </c>
      <c r="B2167">
        <v>10</v>
      </c>
      <c r="C2167" t="s">
        <v>950</v>
      </c>
      <c r="D2167" t="s">
        <v>1005</v>
      </c>
      <c r="E2167" t="s">
        <v>969</v>
      </c>
      <c r="F2167" t="s">
        <v>951</v>
      </c>
      <c r="G2167">
        <v>1000000</v>
      </c>
      <c r="H2167">
        <v>141000</v>
      </c>
      <c r="I2167" t="s">
        <v>970</v>
      </c>
    </row>
    <row r="2168" spans="1:9" x14ac:dyDescent="0.25">
      <c r="A2168">
        <v>3110</v>
      </c>
      <c r="B2168">
        <v>10</v>
      </c>
      <c r="C2168" t="s">
        <v>950</v>
      </c>
      <c r="D2168" t="s">
        <v>1005</v>
      </c>
      <c r="E2168" t="s">
        <v>969</v>
      </c>
      <c r="F2168" t="s">
        <v>952</v>
      </c>
      <c r="G2168">
        <v>1000000</v>
      </c>
      <c r="H2168">
        <v>141000</v>
      </c>
      <c r="I2168" t="s">
        <v>970</v>
      </c>
    </row>
    <row r="2169" spans="1:9" x14ac:dyDescent="0.25">
      <c r="A2169">
        <v>3110</v>
      </c>
      <c r="B2169">
        <v>10</v>
      </c>
      <c r="C2169" t="s">
        <v>962</v>
      </c>
      <c r="D2169" t="s">
        <v>1005</v>
      </c>
      <c r="E2169" t="s">
        <v>969</v>
      </c>
      <c r="F2169" t="s">
        <v>951</v>
      </c>
      <c r="G2169">
        <v>1000000</v>
      </c>
      <c r="H2169">
        <v>141000</v>
      </c>
      <c r="I2169" t="s">
        <v>970</v>
      </c>
    </row>
    <row r="2170" spans="1:9" x14ac:dyDescent="0.25">
      <c r="A2170">
        <v>3110</v>
      </c>
      <c r="B2170">
        <v>10</v>
      </c>
      <c r="C2170" t="s">
        <v>962</v>
      </c>
      <c r="D2170" t="s">
        <v>1005</v>
      </c>
      <c r="E2170" t="s">
        <v>969</v>
      </c>
      <c r="F2170" t="s">
        <v>952</v>
      </c>
      <c r="G2170">
        <v>1000000</v>
      </c>
      <c r="H2170">
        <v>141000</v>
      </c>
      <c r="I2170" t="s">
        <v>970</v>
      </c>
    </row>
    <row r="2171" spans="1:9" x14ac:dyDescent="0.25">
      <c r="A2171">
        <v>3110</v>
      </c>
      <c r="B2171">
        <v>10</v>
      </c>
      <c r="C2171" t="s">
        <v>963</v>
      </c>
      <c r="D2171" t="s">
        <v>1005</v>
      </c>
      <c r="E2171" t="s">
        <v>969</v>
      </c>
      <c r="F2171" t="s">
        <v>951</v>
      </c>
      <c r="G2171">
        <v>1000000</v>
      </c>
      <c r="H2171">
        <v>141000</v>
      </c>
      <c r="I2171" t="s">
        <v>970</v>
      </c>
    </row>
    <row r="2172" spans="1:9" x14ac:dyDescent="0.25">
      <c r="A2172">
        <v>3110</v>
      </c>
      <c r="B2172">
        <v>10</v>
      </c>
      <c r="C2172" t="s">
        <v>963</v>
      </c>
      <c r="D2172" t="s">
        <v>1005</v>
      </c>
      <c r="E2172" t="s">
        <v>969</v>
      </c>
      <c r="F2172" t="s">
        <v>952</v>
      </c>
      <c r="G2172">
        <v>1000000</v>
      </c>
      <c r="H2172">
        <v>141000</v>
      </c>
      <c r="I2172" t="s">
        <v>970</v>
      </c>
    </row>
    <row r="2173" spans="1:9" x14ac:dyDescent="0.25">
      <c r="A2173">
        <v>3110</v>
      </c>
      <c r="B2173">
        <v>10</v>
      </c>
      <c r="C2173" t="s">
        <v>950</v>
      </c>
      <c r="D2173" t="s">
        <v>1005</v>
      </c>
      <c r="E2173" t="s">
        <v>255</v>
      </c>
      <c r="F2173" t="s">
        <v>951</v>
      </c>
      <c r="G2173">
        <v>1000000</v>
      </c>
      <c r="H2173">
        <v>145000</v>
      </c>
      <c r="I2173" t="s">
        <v>949</v>
      </c>
    </row>
    <row r="2174" spans="1:9" x14ac:dyDescent="0.25">
      <c r="A2174">
        <v>3110</v>
      </c>
      <c r="B2174">
        <v>10</v>
      </c>
      <c r="C2174" t="s">
        <v>950</v>
      </c>
      <c r="D2174" t="s">
        <v>1005</v>
      </c>
      <c r="E2174" t="s">
        <v>255</v>
      </c>
      <c r="F2174" t="s">
        <v>952</v>
      </c>
      <c r="G2174">
        <v>1000000</v>
      </c>
      <c r="H2174">
        <v>145000</v>
      </c>
      <c r="I2174" t="s">
        <v>949</v>
      </c>
    </row>
    <row r="2175" spans="1:9" x14ac:dyDescent="0.25">
      <c r="A2175">
        <v>3110</v>
      </c>
      <c r="B2175">
        <v>10</v>
      </c>
      <c r="C2175" t="s">
        <v>962</v>
      </c>
      <c r="D2175" t="s">
        <v>1005</v>
      </c>
      <c r="E2175" t="s">
        <v>255</v>
      </c>
      <c r="F2175" t="s">
        <v>951</v>
      </c>
      <c r="G2175">
        <v>1000000</v>
      </c>
      <c r="H2175">
        <v>145000</v>
      </c>
      <c r="I2175" t="s">
        <v>949</v>
      </c>
    </row>
    <row r="2176" spans="1:9" x14ac:dyDescent="0.25">
      <c r="A2176">
        <v>3110</v>
      </c>
      <c r="B2176">
        <v>10</v>
      </c>
      <c r="C2176" t="s">
        <v>962</v>
      </c>
      <c r="D2176" t="s">
        <v>1005</v>
      </c>
      <c r="E2176" t="s">
        <v>255</v>
      </c>
      <c r="F2176" t="s">
        <v>952</v>
      </c>
      <c r="G2176">
        <v>1000000</v>
      </c>
      <c r="H2176">
        <v>145000</v>
      </c>
      <c r="I2176" t="s">
        <v>949</v>
      </c>
    </row>
    <row r="2177" spans="1:9" x14ac:dyDescent="0.25">
      <c r="A2177">
        <v>3110</v>
      </c>
      <c r="B2177">
        <v>10</v>
      </c>
      <c r="C2177" t="s">
        <v>963</v>
      </c>
      <c r="D2177" t="s">
        <v>1005</v>
      </c>
      <c r="E2177" t="s">
        <v>255</v>
      </c>
      <c r="F2177" t="s">
        <v>951</v>
      </c>
      <c r="G2177">
        <v>1000000</v>
      </c>
      <c r="H2177">
        <v>145000</v>
      </c>
      <c r="I2177" t="s">
        <v>949</v>
      </c>
    </row>
    <row r="2178" spans="1:9" x14ac:dyDescent="0.25">
      <c r="A2178">
        <v>3110</v>
      </c>
      <c r="B2178">
        <v>10</v>
      </c>
      <c r="C2178" t="s">
        <v>963</v>
      </c>
      <c r="D2178" t="s">
        <v>1005</v>
      </c>
      <c r="E2178" t="s">
        <v>255</v>
      </c>
      <c r="F2178" t="s">
        <v>952</v>
      </c>
      <c r="G2178">
        <v>1000000</v>
      </c>
      <c r="H2178">
        <v>145000</v>
      </c>
      <c r="I2178" t="s">
        <v>949</v>
      </c>
    </row>
    <row r="2179" spans="1:9" x14ac:dyDescent="0.25">
      <c r="A2179">
        <v>3110</v>
      </c>
      <c r="B2179">
        <v>10</v>
      </c>
      <c r="C2179" t="s">
        <v>950</v>
      </c>
      <c r="D2179" t="s">
        <v>1005</v>
      </c>
      <c r="E2179" t="s">
        <v>971</v>
      </c>
      <c r="F2179" t="s">
        <v>951</v>
      </c>
      <c r="G2179">
        <v>1000000</v>
      </c>
      <c r="H2179">
        <v>141000</v>
      </c>
      <c r="I2179" t="s">
        <v>972</v>
      </c>
    </row>
    <row r="2180" spans="1:9" x14ac:dyDescent="0.25">
      <c r="A2180">
        <v>3110</v>
      </c>
      <c r="B2180">
        <v>10</v>
      </c>
      <c r="C2180" t="s">
        <v>950</v>
      </c>
      <c r="D2180" t="s">
        <v>1005</v>
      </c>
      <c r="E2180" t="s">
        <v>971</v>
      </c>
      <c r="F2180" t="s">
        <v>952</v>
      </c>
      <c r="G2180">
        <v>1000000</v>
      </c>
      <c r="H2180">
        <v>141000</v>
      </c>
      <c r="I2180" t="s">
        <v>972</v>
      </c>
    </row>
    <row r="2181" spans="1:9" x14ac:dyDescent="0.25">
      <c r="A2181">
        <v>3110</v>
      </c>
      <c r="B2181">
        <v>10</v>
      </c>
      <c r="C2181" t="s">
        <v>962</v>
      </c>
      <c r="D2181" t="s">
        <v>1005</v>
      </c>
      <c r="E2181" t="s">
        <v>971</v>
      </c>
      <c r="F2181" t="s">
        <v>951</v>
      </c>
      <c r="G2181">
        <v>1000000</v>
      </c>
      <c r="H2181">
        <v>141000</v>
      </c>
      <c r="I2181" t="s">
        <v>972</v>
      </c>
    </row>
    <row r="2182" spans="1:9" x14ac:dyDescent="0.25">
      <c r="A2182">
        <v>3110</v>
      </c>
      <c r="B2182">
        <v>10</v>
      </c>
      <c r="C2182" t="s">
        <v>962</v>
      </c>
      <c r="D2182" t="s">
        <v>1005</v>
      </c>
      <c r="E2182" t="s">
        <v>971</v>
      </c>
      <c r="F2182" t="s">
        <v>952</v>
      </c>
      <c r="G2182">
        <v>1000000</v>
      </c>
      <c r="H2182">
        <v>141000</v>
      </c>
      <c r="I2182" t="s">
        <v>972</v>
      </c>
    </row>
    <row r="2183" spans="1:9" x14ac:dyDescent="0.25">
      <c r="A2183">
        <v>3110</v>
      </c>
      <c r="B2183">
        <v>10</v>
      </c>
      <c r="C2183" t="s">
        <v>963</v>
      </c>
      <c r="D2183" t="s">
        <v>1005</v>
      </c>
      <c r="E2183" t="s">
        <v>971</v>
      </c>
      <c r="F2183" t="s">
        <v>951</v>
      </c>
      <c r="G2183">
        <v>1000000</v>
      </c>
      <c r="H2183">
        <v>141000</v>
      </c>
      <c r="I2183" t="s">
        <v>972</v>
      </c>
    </row>
    <row r="2184" spans="1:9" x14ac:dyDescent="0.25">
      <c r="A2184">
        <v>3110</v>
      </c>
      <c r="B2184">
        <v>10</v>
      </c>
      <c r="C2184" t="s">
        <v>963</v>
      </c>
      <c r="D2184" t="s">
        <v>1005</v>
      </c>
      <c r="E2184" t="s">
        <v>971</v>
      </c>
      <c r="F2184" t="s">
        <v>952</v>
      </c>
      <c r="G2184">
        <v>1000000</v>
      </c>
      <c r="H2184">
        <v>141000</v>
      </c>
      <c r="I2184" t="s">
        <v>972</v>
      </c>
    </row>
    <row r="2185" spans="1:9" x14ac:dyDescent="0.25">
      <c r="A2185">
        <v>3110</v>
      </c>
      <c r="B2185">
        <v>10</v>
      </c>
      <c r="C2185" t="s">
        <v>950</v>
      </c>
      <c r="D2185" t="s">
        <v>1005</v>
      </c>
      <c r="E2185" t="s">
        <v>263</v>
      </c>
      <c r="F2185" t="s">
        <v>951</v>
      </c>
      <c r="G2185">
        <v>1000000</v>
      </c>
      <c r="H2185">
        <v>145000</v>
      </c>
      <c r="I2185" t="s">
        <v>949</v>
      </c>
    </row>
    <row r="2186" spans="1:9" x14ac:dyDescent="0.25">
      <c r="A2186">
        <v>3110</v>
      </c>
      <c r="B2186">
        <v>10</v>
      </c>
      <c r="C2186" t="s">
        <v>950</v>
      </c>
      <c r="D2186" t="s">
        <v>1005</v>
      </c>
      <c r="E2186" t="s">
        <v>263</v>
      </c>
      <c r="F2186" t="s">
        <v>952</v>
      </c>
      <c r="G2186">
        <v>1000000</v>
      </c>
      <c r="H2186">
        <v>145000</v>
      </c>
      <c r="I2186" t="s">
        <v>949</v>
      </c>
    </row>
    <row r="2187" spans="1:9" x14ac:dyDescent="0.25">
      <c r="A2187">
        <v>3110</v>
      </c>
      <c r="B2187">
        <v>10</v>
      </c>
      <c r="C2187" t="s">
        <v>962</v>
      </c>
      <c r="D2187" t="s">
        <v>1005</v>
      </c>
      <c r="E2187" t="s">
        <v>263</v>
      </c>
      <c r="F2187" t="s">
        <v>951</v>
      </c>
      <c r="G2187">
        <v>1000000</v>
      </c>
      <c r="H2187">
        <v>145000</v>
      </c>
      <c r="I2187" t="s">
        <v>949</v>
      </c>
    </row>
    <row r="2188" spans="1:9" x14ac:dyDescent="0.25">
      <c r="A2188">
        <v>3110</v>
      </c>
      <c r="B2188">
        <v>10</v>
      </c>
      <c r="C2188" t="s">
        <v>962</v>
      </c>
      <c r="D2188" t="s">
        <v>1005</v>
      </c>
      <c r="E2188" t="s">
        <v>263</v>
      </c>
      <c r="F2188" t="s">
        <v>952</v>
      </c>
      <c r="G2188">
        <v>1000000</v>
      </c>
      <c r="H2188">
        <v>145000</v>
      </c>
      <c r="I2188" t="s">
        <v>949</v>
      </c>
    </row>
    <row r="2189" spans="1:9" x14ac:dyDescent="0.25">
      <c r="A2189">
        <v>3110</v>
      </c>
      <c r="B2189">
        <v>10</v>
      </c>
      <c r="C2189" t="s">
        <v>963</v>
      </c>
      <c r="D2189" t="s">
        <v>1005</v>
      </c>
      <c r="E2189" t="s">
        <v>263</v>
      </c>
      <c r="F2189" t="s">
        <v>951</v>
      </c>
      <c r="G2189">
        <v>1000000</v>
      </c>
      <c r="H2189">
        <v>145000</v>
      </c>
      <c r="I2189" t="s">
        <v>949</v>
      </c>
    </row>
    <row r="2190" spans="1:9" x14ac:dyDescent="0.25">
      <c r="A2190">
        <v>3110</v>
      </c>
      <c r="B2190">
        <v>10</v>
      </c>
      <c r="C2190" t="s">
        <v>963</v>
      </c>
      <c r="D2190" t="s">
        <v>1005</v>
      </c>
      <c r="E2190" t="s">
        <v>263</v>
      </c>
      <c r="F2190" t="s">
        <v>952</v>
      </c>
      <c r="G2190">
        <v>1000000</v>
      </c>
      <c r="H2190">
        <v>145000</v>
      </c>
      <c r="I2190" t="s">
        <v>949</v>
      </c>
    </row>
    <row r="2191" spans="1:9" x14ac:dyDescent="0.25">
      <c r="A2191">
        <v>3110</v>
      </c>
      <c r="B2191">
        <v>10</v>
      </c>
      <c r="C2191" t="s">
        <v>950</v>
      </c>
      <c r="D2191" t="s">
        <v>1005</v>
      </c>
      <c r="E2191" t="s">
        <v>100</v>
      </c>
      <c r="F2191" t="s">
        <v>951</v>
      </c>
      <c r="G2191">
        <v>1077777</v>
      </c>
      <c r="H2191">
        <v>500220</v>
      </c>
      <c r="I2191" t="s">
        <v>949</v>
      </c>
    </row>
    <row r="2192" spans="1:9" x14ac:dyDescent="0.25">
      <c r="A2192">
        <v>3110</v>
      </c>
      <c r="B2192">
        <v>10</v>
      </c>
      <c r="C2192" t="s">
        <v>950</v>
      </c>
      <c r="D2192" t="s">
        <v>1005</v>
      </c>
      <c r="E2192" t="s">
        <v>100</v>
      </c>
      <c r="F2192" t="s">
        <v>952</v>
      </c>
      <c r="G2192">
        <v>1077777</v>
      </c>
      <c r="H2192">
        <v>500220</v>
      </c>
      <c r="I2192" t="s">
        <v>949</v>
      </c>
    </row>
    <row r="2193" spans="1:9" x14ac:dyDescent="0.25">
      <c r="A2193">
        <v>3110</v>
      </c>
      <c r="B2193">
        <v>10</v>
      </c>
      <c r="C2193" t="s">
        <v>962</v>
      </c>
      <c r="D2193" t="s">
        <v>1005</v>
      </c>
      <c r="E2193" t="s">
        <v>100</v>
      </c>
      <c r="F2193" t="s">
        <v>951</v>
      </c>
      <c r="G2193">
        <v>1077777</v>
      </c>
      <c r="H2193">
        <v>500220</v>
      </c>
      <c r="I2193" t="s">
        <v>949</v>
      </c>
    </row>
    <row r="2194" spans="1:9" x14ac:dyDescent="0.25">
      <c r="A2194">
        <v>3110</v>
      </c>
      <c r="B2194">
        <v>10</v>
      </c>
      <c r="C2194" t="s">
        <v>962</v>
      </c>
      <c r="D2194" t="s">
        <v>1005</v>
      </c>
      <c r="E2194" t="s">
        <v>100</v>
      </c>
      <c r="F2194" t="s">
        <v>952</v>
      </c>
      <c r="G2194">
        <v>1077777</v>
      </c>
      <c r="H2194">
        <v>500220</v>
      </c>
      <c r="I2194" t="s">
        <v>949</v>
      </c>
    </row>
    <row r="2195" spans="1:9" x14ac:dyDescent="0.25">
      <c r="A2195">
        <v>3110</v>
      </c>
      <c r="B2195">
        <v>10</v>
      </c>
      <c r="C2195" t="s">
        <v>963</v>
      </c>
      <c r="D2195" t="s">
        <v>1005</v>
      </c>
      <c r="E2195" t="s">
        <v>100</v>
      </c>
      <c r="F2195" t="s">
        <v>951</v>
      </c>
      <c r="G2195">
        <v>1077777</v>
      </c>
      <c r="H2195">
        <v>500220</v>
      </c>
      <c r="I2195" t="s">
        <v>949</v>
      </c>
    </row>
    <row r="2196" spans="1:9" x14ac:dyDescent="0.25">
      <c r="A2196">
        <v>3110</v>
      </c>
      <c r="B2196">
        <v>10</v>
      </c>
      <c r="C2196" t="s">
        <v>963</v>
      </c>
      <c r="D2196" t="s">
        <v>1005</v>
      </c>
      <c r="E2196" t="s">
        <v>100</v>
      </c>
      <c r="F2196" t="s">
        <v>952</v>
      </c>
      <c r="G2196">
        <v>1077777</v>
      </c>
      <c r="H2196">
        <v>500220</v>
      </c>
      <c r="I2196" t="s">
        <v>949</v>
      </c>
    </row>
    <row r="2197" spans="1:9" x14ac:dyDescent="0.25">
      <c r="A2197">
        <v>3110</v>
      </c>
      <c r="B2197">
        <v>10</v>
      </c>
      <c r="C2197" t="s">
        <v>950</v>
      </c>
      <c r="D2197" t="s">
        <v>1005</v>
      </c>
      <c r="E2197" t="s">
        <v>270</v>
      </c>
      <c r="F2197" t="s">
        <v>951</v>
      </c>
      <c r="G2197">
        <v>1000000</v>
      </c>
      <c r="H2197">
        <v>145000</v>
      </c>
      <c r="I2197" t="s">
        <v>949</v>
      </c>
    </row>
    <row r="2198" spans="1:9" x14ac:dyDescent="0.25">
      <c r="A2198">
        <v>3110</v>
      </c>
      <c r="B2198">
        <v>10</v>
      </c>
      <c r="C2198" t="s">
        <v>950</v>
      </c>
      <c r="D2198" t="s">
        <v>1005</v>
      </c>
      <c r="E2198" t="s">
        <v>270</v>
      </c>
      <c r="F2198" t="s">
        <v>952</v>
      </c>
      <c r="G2198">
        <v>1000000</v>
      </c>
      <c r="H2198">
        <v>145000</v>
      </c>
      <c r="I2198" t="s">
        <v>949</v>
      </c>
    </row>
    <row r="2199" spans="1:9" x14ac:dyDescent="0.25">
      <c r="A2199">
        <v>3110</v>
      </c>
      <c r="B2199">
        <v>10</v>
      </c>
      <c r="C2199" t="s">
        <v>962</v>
      </c>
      <c r="D2199" t="s">
        <v>1005</v>
      </c>
      <c r="E2199" t="s">
        <v>270</v>
      </c>
      <c r="F2199" t="s">
        <v>951</v>
      </c>
      <c r="G2199">
        <v>1000000</v>
      </c>
      <c r="H2199">
        <v>145000</v>
      </c>
      <c r="I2199" t="s">
        <v>949</v>
      </c>
    </row>
    <row r="2200" spans="1:9" x14ac:dyDescent="0.25">
      <c r="A2200">
        <v>3110</v>
      </c>
      <c r="B2200">
        <v>10</v>
      </c>
      <c r="C2200" t="s">
        <v>962</v>
      </c>
      <c r="D2200" t="s">
        <v>1005</v>
      </c>
      <c r="E2200" t="s">
        <v>270</v>
      </c>
      <c r="F2200" t="s">
        <v>952</v>
      </c>
      <c r="G2200">
        <v>1000000</v>
      </c>
      <c r="H2200">
        <v>145000</v>
      </c>
      <c r="I2200" t="s">
        <v>949</v>
      </c>
    </row>
    <row r="2201" spans="1:9" x14ac:dyDescent="0.25">
      <c r="A2201">
        <v>3110</v>
      </c>
      <c r="B2201">
        <v>10</v>
      </c>
      <c r="C2201" t="s">
        <v>963</v>
      </c>
      <c r="D2201" t="s">
        <v>1005</v>
      </c>
      <c r="E2201" t="s">
        <v>270</v>
      </c>
      <c r="F2201" t="s">
        <v>951</v>
      </c>
      <c r="G2201">
        <v>1000000</v>
      </c>
      <c r="H2201">
        <v>145000</v>
      </c>
      <c r="I2201" t="s">
        <v>949</v>
      </c>
    </row>
    <row r="2202" spans="1:9" x14ac:dyDescent="0.25">
      <c r="A2202">
        <v>3110</v>
      </c>
      <c r="B2202">
        <v>10</v>
      </c>
      <c r="C2202" t="s">
        <v>963</v>
      </c>
      <c r="D2202" t="s">
        <v>1005</v>
      </c>
      <c r="E2202" t="s">
        <v>270</v>
      </c>
      <c r="F2202" t="s">
        <v>952</v>
      </c>
      <c r="G2202">
        <v>1000000</v>
      </c>
      <c r="H2202">
        <v>145000</v>
      </c>
      <c r="I2202" t="s">
        <v>949</v>
      </c>
    </row>
    <row r="2203" spans="1:9" x14ac:dyDescent="0.25">
      <c r="A2203">
        <v>3110</v>
      </c>
      <c r="B2203">
        <v>10</v>
      </c>
      <c r="C2203" t="s">
        <v>950</v>
      </c>
      <c r="D2203" t="s">
        <v>1005</v>
      </c>
      <c r="E2203" t="s">
        <v>274</v>
      </c>
      <c r="F2203" t="s">
        <v>951</v>
      </c>
      <c r="G2203">
        <v>1000000</v>
      </c>
      <c r="H2203">
        <v>143000</v>
      </c>
      <c r="I2203" t="s">
        <v>973</v>
      </c>
    </row>
    <row r="2204" spans="1:9" x14ac:dyDescent="0.25">
      <c r="A2204">
        <v>3110</v>
      </c>
      <c r="B2204">
        <v>10</v>
      </c>
      <c r="C2204" t="s">
        <v>950</v>
      </c>
      <c r="D2204" t="s">
        <v>1005</v>
      </c>
      <c r="E2204" t="s">
        <v>274</v>
      </c>
      <c r="F2204" t="s">
        <v>952</v>
      </c>
      <c r="G2204">
        <v>1000000</v>
      </c>
      <c r="H2204">
        <v>143000</v>
      </c>
      <c r="I2204" t="s">
        <v>973</v>
      </c>
    </row>
    <row r="2205" spans="1:9" x14ac:dyDescent="0.25">
      <c r="A2205">
        <v>3110</v>
      </c>
      <c r="B2205">
        <v>10</v>
      </c>
      <c r="C2205" t="s">
        <v>950</v>
      </c>
      <c r="D2205" t="s">
        <v>1005</v>
      </c>
      <c r="E2205" t="s">
        <v>274</v>
      </c>
      <c r="F2205" t="s">
        <v>956</v>
      </c>
      <c r="G2205">
        <v>1000000</v>
      </c>
      <c r="H2205">
        <v>143000</v>
      </c>
      <c r="I2205" t="s">
        <v>973</v>
      </c>
    </row>
    <row r="2206" spans="1:9" x14ac:dyDescent="0.25">
      <c r="A2206">
        <v>3110</v>
      </c>
      <c r="B2206">
        <v>10</v>
      </c>
      <c r="C2206" t="s">
        <v>950</v>
      </c>
      <c r="D2206" t="s">
        <v>1005</v>
      </c>
      <c r="E2206" t="s">
        <v>274</v>
      </c>
      <c r="F2206" t="s">
        <v>957</v>
      </c>
      <c r="G2206">
        <v>1000000</v>
      </c>
      <c r="H2206">
        <v>143000</v>
      </c>
      <c r="I2206" t="s">
        <v>973</v>
      </c>
    </row>
    <row r="2207" spans="1:9" x14ac:dyDescent="0.25">
      <c r="A2207">
        <v>3110</v>
      </c>
      <c r="B2207">
        <v>10</v>
      </c>
      <c r="C2207" t="s">
        <v>950</v>
      </c>
      <c r="D2207" t="s">
        <v>1005</v>
      </c>
      <c r="E2207" t="s">
        <v>274</v>
      </c>
      <c r="F2207" t="s">
        <v>958</v>
      </c>
      <c r="G2207">
        <v>1000000</v>
      </c>
      <c r="H2207">
        <v>143000</v>
      </c>
      <c r="I2207" t="s">
        <v>973</v>
      </c>
    </row>
    <row r="2208" spans="1:9" x14ac:dyDescent="0.25">
      <c r="A2208">
        <v>3110</v>
      </c>
      <c r="B2208">
        <v>10</v>
      </c>
      <c r="C2208" t="s">
        <v>962</v>
      </c>
      <c r="D2208" t="s">
        <v>1005</v>
      </c>
      <c r="E2208" t="s">
        <v>274</v>
      </c>
      <c r="F2208" t="s">
        <v>951</v>
      </c>
      <c r="G2208">
        <v>1000000</v>
      </c>
      <c r="H2208">
        <v>143000</v>
      </c>
      <c r="I2208" t="s">
        <v>973</v>
      </c>
    </row>
    <row r="2209" spans="1:9" x14ac:dyDescent="0.25">
      <c r="A2209">
        <v>3110</v>
      </c>
      <c r="B2209">
        <v>10</v>
      </c>
      <c r="C2209" t="s">
        <v>962</v>
      </c>
      <c r="D2209" t="s">
        <v>1005</v>
      </c>
      <c r="E2209" t="s">
        <v>274</v>
      </c>
      <c r="F2209" t="s">
        <v>952</v>
      </c>
      <c r="G2209">
        <v>1000000</v>
      </c>
      <c r="H2209">
        <v>143000</v>
      </c>
      <c r="I2209" t="s">
        <v>973</v>
      </c>
    </row>
    <row r="2210" spans="1:9" x14ac:dyDescent="0.25">
      <c r="A2210">
        <v>3110</v>
      </c>
      <c r="B2210">
        <v>10</v>
      </c>
      <c r="C2210" t="s">
        <v>962</v>
      </c>
      <c r="D2210" t="s">
        <v>1005</v>
      </c>
      <c r="E2210" t="s">
        <v>274</v>
      </c>
      <c r="F2210" t="s">
        <v>956</v>
      </c>
      <c r="G2210">
        <v>1000000</v>
      </c>
      <c r="H2210">
        <v>143000</v>
      </c>
      <c r="I2210" t="s">
        <v>973</v>
      </c>
    </row>
    <row r="2211" spans="1:9" x14ac:dyDescent="0.25">
      <c r="A2211">
        <v>3110</v>
      </c>
      <c r="B2211">
        <v>10</v>
      </c>
      <c r="C2211" t="s">
        <v>962</v>
      </c>
      <c r="D2211" t="s">
        <v>1005</v>
      </c>
      <c r="E2211" t="s">
        <v>274</v>
      </c>
      <c r="F2211" t="s">
        <v>957</v>
      </c>
      <c r="G2211">
        <v>1000000</v>
      </c>
      <c r="H2211">
        <v>143000</v>
      </c>
      <c r="I2211" t="s">
        <v>973</v>
      </c>
    </row>
    <row r="2212" spans="1:9" x14ac:dyDescent="0.25">
      <c r="A2212">
        <v>3110</v>
      </c>
      <c r="B2212">
        <v>10</v>
      </c>
      <c r="C2212" t="s">
        <v>962</v>
      </c>
      <c r="D2212" t="s">
        <v>1005</v>
      </c>
      <c r="E2212" t="s">
        <v>274</v>
      </c>
      <c r="F2212" t="s">
        <v>958</v>
      </c>
      <c r="G2212">
        <v>1000000</v>
      </c>
      <c r="H2212">
        <v>143000</v>
      </c>
      <c r="I2212" t="s">
        <v>973</v>
      </c>
    </row>
    <row r="2213" spans="1:9" x14ac:dyDescent="0.25">
      <c r="A2213">
        <v>3110</v>
      </c>
      <c r="B2213">
        <v>10</v>
      </c>
      <c r="C2213" t="s">
        <v>963</v>
      </c>
      <c r="D2213" t="s">
        <v>1005</v>
      </c>
      <c r="E2213" t="s">
        <v>274</v>
      </c>
      <c r="F2213" t="s">
        <v>951</v>
      </c>
      <c r="G2213">
        <v>1000000</v>
      </c>
      <c r="H2213">
        <v>143000</v>
      </c>
      <c r="I2213" t="s">
        <v>973</v>
      </c>
    </row>
    <row r="2214" spans="1:9" x14ac:dyDescent="0.25">
      <c r="A2214">
        <v>3110</v>
      </c>
      <c r="B2214">
        <v>10</v>
      </c>
      <c r="C2214" t="s">
        <v>963</v>
      </c>
      <c r="D2214" t="s">
        <v>1005</v>
      </c>
      <c r="E2214" t="s">
        <v>274</v>
      </c>
      <c r="F2214" t="s">
        <v>952</v>
      </c>
      <c r="G2214">
        <v>1000000</v>
      </c>
      <c r="H2214">
        <v>143000</v>
      </c>
      <c r="I2214" t="s">
        <v>973</v>
      </c>
    </row>
    <row r="2215" spans="1:9" x14ac:dyDescent="0.25">
      <c r="A2215">
        <v>3110</v>
      </c>
      <c r="B2215">
        <v>10</v>
      </c>
      <c r="C2215" t="s">
        <v>963</v>
      </c>
      <c r="D2215" t="s">
        <v>1005</v>
      </c>
      <c r="E2215" t="s">
        <v>274</v>
      </c>
      <c r="F2215" t="s">
        <v>956</v>
      </c>
      <c r="G2215">
        <v>1000000</v>
      </c>
      <c r="H2215">
        <v>143000</v>
      </c>
      <c r="I2215" t="s">
        <v>973</v>
      </c>
    </row>
    <row r="2216" spans="1:9" x14ac:dyDescent="0.25">
      <c r="A2216">
        <v>3110</v>
      </c>
      <c r="B2216">
        <v>10</v>
      </c>
      <c r="C2216" t="s">
        <v>963</v>
      </c>
      <c r="D2216" t="s">
        <v>1005</v>
      </c>
      <c r="E2216" t="s">
        <v>274</v>
      </c>
      <c r="F2216" t="s">
        <v>957</v>
      </c>
      <c r="G2216">
        <v>1000000</v>
      </c>
      <c r="H2216">
        <v>143000</v>
      </c>
      <c r="I2216" t="s">
        <v>973</v>
      </c>
    </row>
    <row r="2217" spans="1:9" x14ac:dyDescent="0.25">
      <c r="A2217">
        <v>3110</v>
      </c>
      <c r="B2217">
        <v>10</v>
      </c>
      <c r="C2217" t="s">
        <v>963</v>
      </c>
      <c r="D2217" t="s">
        <v>1005</v>
      </c>
      <c r="E2217" t="s">
        <v>274</v>
      </c>
      <c r="F2217" t="s">
        <v>958</v>
      </c>
      <c r="G2217">
        <v>1000000</v>
      </c>
      <c r="H2217">
        <v>143000</v>
      </c>
      <c r="I2217" t="s">
        <v>973</v>
      </c>
    </row>
    <row r="2218" spans="1:9" x14ac:dyDescent="0.25">
      <c r="A2218">
        <v>3110</v>
      </c>
      <c r="B2218">
        <v>10</v>
      </c>
      <c r="C2218" t="s">
        <v>950</v>
      </c>
      <c r="D2218" t="s">
        <v>1005</v>
      </c>
      <c r="E2218" t="s">
        <v>974</v>
      </c>
      <c r="F2218" t="s">
        <v>951</v>
      </c>
      <c r="G2218">
        <v>1000000</v>
      </c>
      <c r="H2218">
        <v>141000</v>
      </c>
      <c r="I2218" t="s">
        <v>975</v>
      </c>
    </row>
    <row r="2219" spans="1:9" x14ac:dyDescent="0.25">
      <c r="A2219">
        <v>3110</v>
      </c>
      <c r="B2219">
        <v>10</v>
      </c>
      <c r="C2219" t="s">
        <v>950</v>
      </c>
      <c r="D2219" t="s">
        <v>1005</v>
      </c>
      <c r="E2219" t="s">
        <v>974</v>
      </c>
      <c r="F2219" t="s">
        <v>952</v>
      </c>
      <c r="G2219">
        <v>1000000</v>
      </c>
      <c r="H2219">
        <v>141000</v>
      </c>
      <c r="I2219" t="s">
        <v>975</v>
      </c>
    </row>
    <row r="2220" spans="1:9" x14ac:dyDescent="0.25">
      <c r="A2220">
        <v>3110</v>
      </c>
      <c r="B2220">
        <v>10</v>
      </c>
      <c r="C2220" t="s">
        <v>962</v>
      </c>
      <c r="D2220" t="s">
        <v>1005</v>
      </c>
      <c r="E2220" t="s">
        <v>974</v>
      </c>
      <c r="F2220" t="s">
        <v>951</v>
      </c>
      <c r="G2220">
        <v>1000000</v>
      </c>
      <c r="H2220">
        <v>141000</v>
      </c>
      <c r="I2220" t="s">
        <v>975</v>
      </c>
    </row>
    <row r="2221" spans="1:9" x14ac:dyDescent="0.25">
      <c r="A2221">
        <v>3110</v>
      </c>
      <c r="B2221">
        <v>10</v>
      </c>
      <c r="C2221" t="s">
        <v>962</v>
      </c>
      <c r="D2221" t="s">
        <v>1005</v>
      </c>
      <c r="E2221" t="s">
        <v>974</v>
      </c>
      <c r="F2221" t="s">
        <v>952</v>
      </c>
      <c r="G2221">
        <v>1000000</v>
      </c>
      <c r="H2221">
        <v>141000</v>
      </c>
      <c r="I2221" t="s">
        <v>975</v>
      </c>
    </row>
    <row r="2222" spans="1:9" x14ac:dyDescent="0.25">
      <c r="A2222">
        <v>3110</v>
      </c>
      <c r="B2222">
        <v>10</v>
      </c>
      <c r="C2222" t="s">
        <v>963</v>
      </c>
      <c r="D2222" t="s">
        <v>1005</v>
      </c>
      <c r="E2222" t="s">
        <v>974</v>
      </c>
      <c r="F2222" t="s">
        <v>951</v>
      </c>
      <c r="G2222">
        <v>1000000</v>
      </c>
      <c r="H2222">
        <v>141000</v>
      </c>
      <c r="I2222" t="s">
        <v>975</v>
      </c>
    </row>
    <row r="2223" spans="1:9" x14ac:dyDescent="0.25">
      <c r="A2223">
        <v>3110</v>
      </c>
      <c r="B2223">
        <v>10</v>
      </c>
      <c r="C2223" t="s">
        <v>963</v>
      </c>
      <c r="D2223" t="s">
        <v>1005</v>
      </c>
      <c r="E2223" t="s">
        <v>974</v>
      </c>
      <c r="F2223" t="s">
        <v>952</v>
      </c>
      <c r="G2223">
        <v>1000000</v>
      </c>
      <c r="H2223">
        <v>141000</v>
      </c>
      <c r="I2223" t="s">
        <v>975</v>
      </c>
    </row>
    <row r="2224" spans="1:9" x14ac:dyDescent="0.25">
      <c r="A2224">
        <v>3110</v>
      </c>
      <c r="B2224">
        <v>10</v>
      </c>
      <c r="C2224" t="s">
        <v>950</v>
      </c>
      <c r="D2224" t="s">
        <v>1005</v>
      </c>
      <c r="E2224" t="s">
        <v>104</v>
      </c>
      <c r="F2224" t="s">
        <v>951</v>
      </c>
      <c r="G2224">
        <v>1077777</v>
      </c>
      <c r="H2224">
        <v>500220</v>
      </c>
      <c r="I2224" t="s">
        <v>949</v>
      </c>
    </row>
    <row r="2225" spans="1:9" x14ac:dyDescent="0.25">
      <c r="A2225">
        <v>3110</v>
      </c>
      <c r="B2225">
        <v>10</v>
      </c>
      <c r="C2225" t="s">
        <v>950</v>
      </c>
      <c r="D2225" t="s">
        <v>1005</v>
      </c>
      <c r="E2225" t="s">
        <v>104</v>
      </c>
      <c r="F2225" t="s">
        <v>952</v>
      </c>
      <c r="G2225">
        <v>1077777</v>
      </c>
      <c r="H2225">
        <v>500220</v>
      </c>
      <c r="I2225" t="s">
        <v>949</v>
      </c>
    </row>
    <row r="2226" spans="1:9" x14ac:dyDescent="0.25">
      <c r="A2226">
        <v>3110</v>
      </c>
      <c r="B2226">
        <v>10</v>
      </c>
      <c r="C2226" t="s">
        <v>962</v>
      </c>
      <c r="D2226" t="s">
        <v>1005</v>
      </c>
      <c r="E2226" t="s">
        <v>104</v>
      </c>
      <c r="F2226" t="s">
        <v>951</v>
      </c>
      <c r="G2226">
        <v>1077777</v>
      </c>
      <c r="H2226">
        <v>500220</v>
      </c>
      <c r="I2226" t="s">
        <v>949</v>
      </c>
    </row>
    <row r="2227" spans="1:9" x14ac:dyDescent="0.25">
      <c r="A2227">
        <v>3110</v>
      </c>
      <c r="B2227">
        <v>10</v>
      </c>
      <c r="C2227" t="s">
        <v>962</v>
      </c>
      <c r="D2227" t="s">
        <v>1005</v>
      </c>
      <c r="E2227" t="s">
        <v>104</v>
      </c>
      <c r="F2227" t="s">
        <v>952</v>
      </c>
      <c r="G2227">
        <v>1077777</v>
      </c>
      <c r="H2227">
        <v>500220</v>
      </c>
      <c r="I2227" t="s">
        <v>949</v>
      </c>
    </row>
    <row r="2228" spans="1:9" x14ac:dyDescent="0.25">
      <c r="A2228">
        <v>3110</v>
      </c>
      <c r="B2228">
        <v>10</v>
      </c>
      <c r="C2228" t="s">
        <v>963</v>
      </c>
      <c r="D2228" t="s">
        <v>1005</v>
      </c>
      <c r="E2228" t="s">
        <v>104</v>
      </c>
      <c r="F2228" t="s">
        <v>951</v>
      </c>
      <c r="G2228">
        <v>1077777</v>
      </c>
      <c r="H2228">
        <v>500220</v>
      </c>
      <c r="I2228" t="s">
        <v>949</v>
      </c>
    </row>
    <row r="2229" spans="1:9" x14ac:dyDescent="0.25">
      <c r="A2229">
        <v>3110</v>
      </c>
      <c r="B2229">
        <v>10</v>
      </c>
      <c r="C2229" t="s">
        <v>963</v>
      </c>
      <c r="D2229" t="s">
        <v>1005</v>
      </c>
      <c r="E2229" t="s">
        <v>104</v>
      </c>
      <c r="F2229" t="s">
        <v>952</v>
      </c>
      <c r="G2229">
        <v>1077777</v>
      </c>
      <c r="H2229">
        <v>500220</v>
      </c>
      <c r="I2229" t="s">
        <v>949</v>
      </c>
    </row>
    <row r="2230" spans="1:9" x14ac:dyDescent="0.25">
      <c r="A2230">
        <v>3110</v>
      </c>
      <c r="B2230">
        <v>10</v>
      </c>
      <c r="C2230" t="s">
        <v>950</v>
      </c>
      <c r="D2230" t="s">
        <v>1005</v>
      </c>
      <c r="E2230" t="s">
        <v>278</v>
      </c>
      <c r="F2230" t="s">
        <v>951</v>
      </c>
      <c r="G2230">
        <v>1000000</v>
      </c>
      <c r="H2230">
        <v>145000</v>
      </c>
      <c r="I2230" t="s">
        <v>949</v>
      </c>
    </row>
    <row r="2231" spans="1:9" x14ac:dyDescent="0.25">
      <c r="A2231">
        <v>3110</v>
      </c>
      <c r="B2231">
        <v>10</v>
      </c>
      <c r="C2231" t="s">
        <v>950</v>
      </c>
      <c r="D2231" t="s">
        <v>1005</v>
      </c>
      <c r="E2231" t="s">
        <v>278</v>
      </c>
      <c r="F2231" t="s">
        <v>952</v>
      </c>
      <c r="G2231">
        <v>1000000</v>
      </c>
      <c r="H2231">
        <v>145000</v>
      </c>
      <c r="I2231" t="s">
        <v>949</v>
      </c>
    </row>
    <row r="2232" spans="1:9" x14ac:dyDescent="0.25">
      <c r="A2232">
        <v>3110</v>
      </c>
      <c r="B2232">
        <v>10</v>
      </c>
      <c r="C2232" t="s">
        <v>962</v>
      </c>
      <c r="D2232" t="s">
        <v>1005</v>
      </c>
      <c r="E2232" t="s">
        <v>278</v>
      </c>
      <c r="F2232" t="s">
        <v>951</v>
      </c>
      <c r="G2232">
        <v>1000000</v>
      </c>
      <c r="H2232">
        <v>145000</v>
      </c>
      <c r="I2232" t="s">
        <v>949</v>
      </c>
    </row>
    <row r="2233" spans="1:9" x14ac:dyDescent="0.25">
      <c r="A2233">
        <v>3110</v>
      </c>
      <c r="B2233">
        <v>10</v>
      </c>
      <c r="C2233" t="s">
        <v>962</v>
      </c>
      <c r="D2233" t="s">
        <v>1005</v>
      </c>
      <c r="E2233" t="s">
        <v>278</v>
      </c>
      <c r="F2233" t="s">
        <v>952</v>
      </c>
      <c r="G2233">
        <v>1000000</v>
      </c>
      <c r="H2233">
        <v>145000</v>
      </c>
      <c r="I2233" t="s">
        <v>949</v>
      </c>
    </row>
    <row r="2234" spans="1:9" x14ac:dyDescent="0.25">
      <c r="A2234">
        <v>3110</v>
      </c>
      <c r="B2234">
        <v>10</v>
      </c>
      <c r="C2234" t="s">
        <v>963</v>
      </c>
      <c r="D2234" t="s">
        <v>1005</v>
      </c>
      <c r="E2234" t="s">
        <v>278</v>
      </c>
      <c r="F2234" t="s">
        <v>951</v>
      </c>
      <c r="G2234">
        <v>1000000</v>
      </c>
      <c r="H2234">
        <v>145000</v>
      </c>
      <c r="I2234" t="s">
        <v>949</v>
      </c>
    </row>
    <row r="2235" spans="1:9" x14ac:dyDescent="0.25">
      <c r="A2235">
        <v>3110</v>
      </c>
      <c r="B2235">
        <v>10</v>
      </c>
      <c r="C2235" t="s">
        <v>963</v>
      </c>
      <c r="D2235" t="s">
        <v>1005</v>
      </c>
      <c r="E2235" t="s">
        <v>278</v>
      </c>
      <c r="F2235" t="s">
        <v>952</v>
      </c>
      <c r="G2235">
        <v>1000000</v>
      </c>
      <c r="H2235">
        <v>145000</v>
      </c>
      <c r="I2235" t="s">
        <v>949</v>
      </c>
    </row>
    <row r="2236" spans="1:9" x14ac:dyDescent="0.25">
      <c r="A2236">
        <v>3110</v>
      </c>
      <c r="B2236">
        <v>10</v>
      </c>
      <c r="C2236" t="s">
        <v>950</v>
      </c>
      <c r="D2236" t="s">
        <v>1005</v>
      </c>
      <c r="E2236" t="s">
        <v>282</v>
      </c>
      <c r="F2236" t="s">
        <v>951</v>
      </c>
      <c r="G2236">
        <v>1000000</v>
      </c>
      <c r="H2236">
        <v>143100</v>
      </c>
      <c r="I2236" t="s">
        <v>949</v>
      </c>
    </row>
    <row r="2237" spans="1:9" x14ac:dyDescent="0.25">
      <c r="A2237">
        <v>3110</v>
      </c>
      <c r="B2237">
        <v>10</v>
      </c>
      <c r="C2237" t="s">
        <v>950</v>
      </c>
      <c r="D2237" t="s">
        <v>1005</v>
      </c>
      <c r="E2237" t="s">
        <v>282</v>
      </c>
      <c r="F2237" t="s">
        <v>952</v>
      </c>
      <c r="G2237">
        <v>1000000</v>
      </c>
      <c r="H2237">
        <v>143100</v>
      </c>
      <c r="I2237" t="s">
        <v>949</v>
      </c>
    </row>
    <row r="2238" spans="1:9" x14ac:dyDescent="0.25">
      <c r="A2238">
        <v>3110</v>
      </c>
      <c r="B2238">
        <v>10</v>
      </c>
      <c r="C2238" t="s">
        <v>962</v>
      </c>
      <c r="D2238" t="s">
        <v>1005</v>
      </c>
      <c r="E2238" t="s">
        <v>282</v>
      </c>
      <c r="F2238" t="s">
        <v>951</v>
      </c>
      <c r="G2238">
        <v>1000000</v>
      </c>
      <c r="H2238">
        <v>143100</v>
      </c>
      <c r="I2238" t="s">
        <v>949</v>
      </c>
    </row>
    <row r="2239" spans="1:9" x14ac:dyDescent="0.25">
      <c r="A2239">
        <v>3110</v>
      </c>
      <c r="B2239">
        <v>10</v>
      </c>
      <c r="C2239" t="s">
        <v>962</v>
      </c>
      <c r="D2239" t="s">
        <v>1005</v>
      </c>
      <c r="E2239" t="s">
        <v>282</v>
      </c>
      <c r="F2239" t="s">
        <v>952</v>
      </c>
      <c r="G2239">
        <v>1000000</v>
      </c>
      <c r="H2239">
        <v>143100</v>
      </c>
      <c r="I2239" t="s">
        <v>949</v>
      </c>
    </row>
    <row r="2240" spans="1:9" x14ac:dyDescent="0.25">
      <c r="A2240">
        <v>3110</v>
      </c>
      <c r="B2240">
        <v>10</v>
      </c>
      <c r="C2240" t="s">
        <v>963</v>
      </c>
      <c r="D2240" t="s">
        <v>1005</v>
      </c>
      <c r="E2240" t="s">
        <v>282</v>
      </c>
      <c r="F2240" t="s">
        <v>951</v>
      </c>
      <c r="G2240">
        <v>1000000</v>
      </c>
      <c r="H2240">
        <v>143100</v>
      </c>
      <c r="I2240" t="s">
        <v>949</v>
      </c>
    </row>
    <row r="2241" spans="1:9" x14ac:dyDescent="0.25">
      <c r="A2241">
        <v>3110</v>
      </c>
      <c r="B2241">
        <v>10</v>
      </c>
      <c r="C2241" t="s">
        <v>963</v>
      </c>
      <c r="D2241" t="s">
        <v>1005</v>
      </c>
      <c r="E2241" t="s">
        <v>282</v>
      </c>
      <c r="F2241" t="s">
        <v>952</v>
      </c>
      <c r="G2241">
        <v>1000000</v>
      </c>
      <c r="H2241">
        <v>143100</v>
      </c>
      <c r="I2241" t="s">
        <v>949</v>
      </c>
    </row>
    <row r="2242" spans="1:9" x14ac:dyDescent="0.25">
      <c r="A2242">
        <v>3110</v>
      </c>
      <c r="B2242">
        <v>10</v>
      </c>
      <c r="C2242" t="s">
        <v>950</v>
      </c>
      <c r="D2242" t="s">
        <v>1005</v>
      </c>
      <c r="E2242" t="s">
        <v>39</v>
      </c>
      <c r="F2242" t="s">
        <v>956</v>
      </c>
      <c r="G2242">
        <v>1077777</v>
      </c>
      <c r="H2242">
        <v>501090</v>
      </c>
      <c r="I2242" t="s">
        <v>949</v>
      </c>
    </row>
    <row r="2243" spans="1:9" x14ac:dyDescent="0.25">
      <c r="A2243">
        <v>3110</v>
      </c>
      <c r="B2243">
        <v>10</v>
      </c>
      <c r="C2243" t="s">
        <v>950</v>
      </c>
      <c r="D2243" t="s">
        <v>1005</v>
      </c>
      <c r="E2243" t="s">
        <v>39</v>
      </c>
      <c r="F2243" t="s">
        <v>957</v>
      </c>
      <c r="G2243">
        <v>1077777</v>
      </c>
      <c r="H2243">
        <v>501090</v>
      </c>
      <c r="I2243" t="s">
        <v>949</v>
      </c>
    </row>
    <row r="2244" spans="1:9" x14ac:dyDescent="0.25">
      <c r="A2244">
        <v>3110</v>
      </c>
      <c r="B2244">
        <v>10</v>
      </c>
      <c r="C2244" t="s">
        <v>950</v>
      </c>
      <c r="D2244" t="s">
        <v>1005</v>
      </c>
      <c r="E2244" t="s">
        <v>39</v>
      </c>
      <c r="F2244" t="s">
        <v>958</v>
      </c>
      <c r="G2244">
        <v>1077777</v>
      </c>
      <c r="H2244">
        <v>501090</v>
      </c>
      <c r="I2244" t="s">
        <v>949</v>
      </c>
    </row>
    <row r="2245" spans="1:9" x14ac:dyDescent="0.25">
      <c r="A2245">
        <v>3110</v>
      </c>
      <c r="B2245">
        <v>10</v>
      </c>
      <c r="C2245" t="s">
        <v>962</v>
      </c>
      <c r="D2245" t="s">
        <v>1005</v>
      </c>
      <c r="E2245" t="s">
        <v>39</v>
      </c>
      <c r="F2245" t="s">
        <v>956</v>
      </c>
      <c r="G2245">
        <v>1077777</v>
      </c>
      <c r="H2245">
        <v>501090</v>
      </c>
      <c r="I2245" t="s">
        <v>949</v>
      </c>
    </row>
    <row r="2246" spans="1:9" x14ac:dyDescent="0.25">
      <c r="A2246">
        <v>3110</v>
      </c>
      <c r="B2246">
        <v>10</v>
      </c>
      <c r="C2246" t="s">
        <v>962</v>
      </c>
      <c r="D2246" t="s">
        <v>1005</v>
      </c>
      <c r="E2246" t="s">
        <v>39</v>
      </c>
      <c r="F2246" t="s">
        <v>957</v>
      </c>
      <c r="G2246">
        <v>1077777</v>
      </c>
      <c r="H2246">
        <v>501090</v>
      </c>
      <c r="I2246" t="s">
        <v>949</v>
      </c>
    </row>
    <row r="2247" spans="1:9" x14ac:dyDescent="0.25">
      <c r="A2247">
        <v>3110</v>
      </c>
      <c r="B2247">
        <v>10</v>
      </c>
      <c r="C2247" t="s">
        <v>962</v>
      </c>
      <c r="D2247" t="s">
        <v>1005</v>
      </c>
      <c r="E2247" t="s">
        <v>39</v>
      </c>
      <c r="F2247" t="s">
        <v>958</v>
      </c>
      <c r="G2247">
        <v>1077777</v>
      </c>
      <c r="H2247">
        <v>501090</v>
      </c>
      <c r="I2247" t="s">
        <v>949</v>
      </c>
    </row>
    <row r="2248" spans="1:9" x14ac:dyDescent="0.25">
      <c r="A2248">
        <v>3110</v>
      </c>
      <c r="B2248">
        <v>10</v>
      </c>
      <c r="C2248" t="s">
        <v>963</v>
      </c>
      <c r="D2248" t="s">
        <v>1005</v>
      </c>
      <c r="E2248" t="s">
        <v>39</v>
      </c>
      <c r="F2248" t="s">
        <v>956</v>
      </c>
      <c r="G2248">
        <v>1077777</v>
      </c>
      <c r="H2248">
        <v>501090</v>
      </c>
      <c r="I2248" t="s">
        <v>949</v>
      </c>
    </row>
    <row r="2249" spans="1:9" x14ac:dyDescent="0.25">
      <c r="A2249">
        <v>3110</v>
      </c>
      <c r="B2249">
        <v>10</v>
      </c>
      <c r="C2249" t="s">
        <v>963</v>
      </c>
      <c r="D2249" t="s">
        <v>1005</v>
      </c>
      <c r="E2249" t="s">
        <v>39</v>
      </c>
      <c r="F2249" t="s">
        <v>957</v>
      </c>
      <c r="G2249">
        <v>1077777</v>
      </c>
      <c r="H2249">
        <v>501090</v>
      </c>
      <c r="I2249" t="s">
        <v>949</v>
      </c>
    </row>
    <row r="2250" spans="1:9" x14ac:dyDescent="0.25">
      <c r="A2250">
        <v>3110</v>
      </c>
      <c r="B2250">
        <v>10</v>
      </c>
      <c r="C2250" t="s">
        <v>963</v>
      </c>
      <c r="D2250" t="s">
        <v>1005</v>
      </c>
      <c r="E2250" t="s">
        <v>39</v>
      </c>
      <c r="F2250" t="s">
        <v>958</v>
      </c>
      <c r="G2250">
        <v>1077777</v>
      </c>
      <c r="H2250">
        <v>501090</v>
      </c>
      <c r="I2250" t="s">
        <v>949</v>
      </c>
    </row>
    <row r="2251" spans="1:9" x14ac:dyDescent="0.25">
      <c r="A2251">
        <v>3110</v>
      </c>
      <c r="B2251">
        <v>10</v>
      </c>
      <c r="C2251" t="s">
        <v>950</v>
      </c>
      <c r="D2251" t="s">
        <v>1005</v>
      </c>
      <c r="E2251" t="s">
        <v>286</v>
      </c>
      <c r="F2251" t="s">
        <v>951</v>
      </c>
      <c r="G2251">
        <v>1000000</v>
      </c>
      <c r="H2251">
        <v>145000</v>
      </c>
      <c r="I2251" t="s">
        <v>949</v>
      </c>
    </row>
    <row r="2252" spans="1:9" x14ac:dyDescent="0.25">
      <c r="A2252">
        <v>3110</v>
      </c>
      <c r="B2252">
        <v>10</v>
      </c>
      <c r="C2252" t="s">
        <v>950</v>
      </c>
      <c r="D2252" t="s">
        <v>1005</v>
      </c>
      <c r="E2252" t="s">
        <v>286</v>
      </c>
      <c r="F2252" t="s">
        <v>952</v>
      </c>
      <c r="G2252">
        <v>1000000</v>
      </c>
      <c r="H2252">
        <v>145000</v>
      </c>
      <c r="I2252" t="s">
        <v>949</v>
      </c>
    </row>
    <row r="2253" spans="1:9" x14ac:dyDescent="0.25">
      <c r="A2253">
        <v>3110</v>
      </c>
      <c r="B2253">
        <v>10</v>
      </c>
      <c r="C2253" t="s">
        <v>962</v>
      </c>
      <c r="D2253" t="s">
        <v>1005</v>
      </c>
      <c r="E2253" t="s">
        <v>286</v>
      </c>
      <c r="F2253" t="s">
        <v>951</v>
      </c>
      <c r="G2253">
        <v>1000000</v>
      </c>
      <c r="H2253">
        <v>145000</v>
      </c>
      <c r="I2253" t="s">
        <v>949</v>
      </c>
    </row>
    <row r="2254" spans="1:9" x14ac:dyDescent="0.25">
      <c r="A2254">
        <v>3110</v>
      </c>
      <c r="B2254">
        <v>10</v>
      </c>
      <c r="C2254" t="s">
        <v>962</v>
      </c>
      <c r="D2254" t="s">
        <v>1005</v>
      </c>
      <c r="E2254" t="s">
        <v>286</v>
      </c>
      <c r="F2254" t="s">
        <v>952</v>
      </c>
      <c r="G2254">
        <v>1000000</v>
      </c>
      <c r="H2254">
        <v>145000</v>
      </c>
      <c r="I2254" t="s">
        <v>949</v>
      </c>
    </row>
    <row r="2255" spans="1:9" x14ac:dyDescent="0.25">
      <c r="A2255">
        <v>3110</v>
      </c>
      <c r="B2255">
        <v>10</v>
      </c>
      <c r="C2255" t="s">
        <v>963</v>
      </c>
      <c r="D2255" t="s">
        <v>1005</v>
      </c>
      <c r="E2255" t="s">
        <v>286</v>
      </c>
      <c r="F2255" t="s">
        <v>951</v>
      </c>
      <c r="G2255">
        <v>1000000</v>
      </c>
      <c r="H2255">
        <v>145000</v>
      </c>
      <c r="I2255" t="s">
        <v>949</v>
      </c>
    </row>
    <row r="2256" spans="1:9" x14ac:dyDescent="0.25">
      <c r="A2256">
        <v>3110</v>
      </c>
      <c r="B2256">
        <v>10</v>
      </c>
      <c r="C2256" t="s">
        <v>963</v>
      </c>
      <c r="D2256" t="s">
        <v>1005</v>
      </c>
      <c r="E2256" t="s">
        <v>286</v>
      </c>
      <c r="F2256" t="s">
        <v>952</v>
      </c>
      <c r="G2256">
        <v>1000000</v>
      </c>
      <c r="H2256">
        <v>145000</v>
      </c>
      <c r="I2256" t="s">
        <v>949</v>
      </c>
    </row>
    <row r="2257" spans="1:9" x14ac:dyDescent="0.25">
      <c r="A2257">
        <v>3110</v>
      </c>
      <c r="B2257">
        <v>10</v>
      </c>
      <c r="C2257" t="s">
        <v>950</v>
      </c>
      <c r="D2257" t="s">
        <v>1005</v>
      </c>
      <c r="E2257" t="s">
        <v>976</v>
      </c>
      <c r="F2257" t="s">
        <v>951</v>
      </c>
      <c r="G2257">
        <v>1000000</v>
      </c>
      <c r="H2257">
        <v>141000</v>
      </c>
      <c r="I2257" t="s">
        <v>977</v>
      </c>
    </row>
    <row r="2258" spans="1:9" x14ac:dyDescent="0.25">
      <c r="A2258">
        <v>3110</v>
      </c>
      <c r="B2258">
        <v>10</v>
      </c>
      <c r="C2258" t="s">
        <v>950</v>
      </c>
      <c r="D2258" t="s">
        <v>1005</v>
      </c>
      <c r="E2258" t="s">
        <v>976</v>
      </c>
      <c r="F2258" t="s">
        <v>952</v>
      </c>
      <c r="G2258">
        <v>1000000</v>
      </c>
      <c r="H2258">
        <v>141000</v>
      </c>
      <c r="I2258" t="s">
        <v>977</v>
      </c>
    </row>
    <row r="2259" spans="1:9" x14ac:dyDescent="0.25">
      <c r="A2259">
        <v>3110</v>
      </c>
      <c r="B2259">
        <v>10</v>
      </c>
      <c r="C2259" t="s">
        <v>962</v>
      </c>
      <c r="D2259" t="s">
        <v>1005</v>
      </c>
      <c r="E2259" t="s">
        <v>976</v>
      </c>
      <c r="F2259" t="s">
        <v>951</v>
      </c>
      <c r="G2259">
        <v>1000000</v>
      </c>
      <c r="H2259">
        <v>141000</v>
      </c>
      <c r="I2259" t="s">
        <v>977</v>
      </c>
    </row>
    <row r="2260" spans="1:9" x14ac:dyDescent="0.25">
      <c r="A2260">
        <v>3110</v>
      </c>
      <c r="B2260">
        <v>10</v>
      </c>
      <c r="C2260" t="s">
        <v>962</v>
      </c>
      <c r="D2260" t="s">
        <v>1005</v>
      </c>
      <c r="E2260" t="s">
        <v>976</v>
      </c>
      <c r="F2260" t="s">
        <v>952</v>
      </c>
      <c r="G2260">
        <v>1000000</v>
      </c>
      <c r="H2260">
        <v>141000</v>
      </c>
      <c r="I2260" t="s">
        <v>977</v>
      </c>
    </row>
    <row r="2261" spans="1:9" x14ac:dyDescent="0.25">
      <c r="A2261">
        <v>3110</v>
      </c>
      <c r="B2261">
        <v>10</v>
      </c>
      <c r="C2261" t="s">
        <v>963</v>
      </c>
      <c r="D2261" t="s">
        <v>1005</v>
      </c>
      <c r="E2261" t="s">
        <v>976</v>
      </c>
      <c r="F2261" t="s">
        <v>951</v>
      </c>
      <c r="G2261">
        <v>1000000</v>
      </c>
      <c r="H2261">
        <v>141000</v>
      </c>
      <c r="I2261" t="s">
        <v>977</v>
      </c>
    </row>
    <row r="2262" spans="1:9" x14ac:dyDescent="0.25">
      <c r="A2262">
        <v>3110</v>
      </c>
      <c r="B2262">
        <v>10</v>
      </c>
      <c r="C2262" t="s">
        <v>963</v>
      </c>
      <c r="D2262" t="s">
        <v>1005</v>
      </c>
      <c r="E2262" t="s">
        <v>976</v>
      </c>
      <c r="F2262" t="s">
        <v>952</v>
      </c>
      <c r="G2262">
        <v>1000000</v>
      </c>
      <c r="H2262">
        <v>141000</v>
      </c>
      <c r="I2262" t="s">
        <v>977</v>
      </c>
    </row>
    <row r="2263" spans="1:9" x14ac:dyDescent="0.25">
      <c r="A2263">
        <v>3110</v>
      </c>
      <c r="B2263">
        <v>10</v>
      </c>
      <c r="C2263" t="s">
        <v>950</v>
      </c>
      <c r="D2263" t="s">
        <v>1005</v>
      </c>
      <c r="E2263" t="s">
        <v>290</v>
      </c>
      <c r="F2263" t="s">
        <v>951</v>
      </c>
      <c r="G2263">
        <v>1000000</v>
      </c>
      <c r="H2263">
        <v>143000</v>
      </c>
      <c r="I2263" t="s">
        <v>978</v>
      </c>
    </row>
    <row r="2264" spans="1:9" x14ac:dyDescent="0.25">
      <c r="A2264">
        <v>3110</v>
      </c>
      <c r="B2264">
        <v>10</v>
      </c>
      <c r="C2264" t="s">
        <v>950</v>
      </c>
      <c r="D2264" t="s">
        <v>1005</v>
      </c>
      <c r="E2264" t="s">
        <v>290</v>
      </c>
      <c r="F2264" t="s">
        <v>952</v>
      </c>
      <c r="G2264">
        <v>1000000</v>
      </c>
      <c r="H2264">
        <v>143000</v>
      </c>
      <c r="I2264" t="s">
        <v>978</v>
      </c>
    </row>
    <row r="2265" spans="1:9" x14ac:dyDescent="0.25">
      <c r="A2265">
        <v>3110</v>
      </c>
      <c r="B2265">
        <v>10</v>
      </c>
      <c r="C2265" t="s">
        <v>950</v>
      </c>
      <c r="D2265" t="s">
        <v>1005</v>
      </c>
      <c r="E2265" t="s">
        <v>290</v>
      </c>
      <c r="F2265" t="s">
        <v>956</v>
      </c>
      <c r="G2265">
        <v>1000000</v>
      </c>
      <c r="H2265">
        <v>143000</v>
      </c>
      <c r="I2265" t="s">
        <v>978</v>
      </c>
    </row>
    <row r="2266" spans="1:9" x14ac:dyDescent="0.25">
      <c r="A2266">
        <v>3110</v>
      </c>
      <c r="B2266">
        <v>10</v>
      </c>
      <c r="C2266" t="s">
        <v>950</v>
      </c>
      <c r="D2266" t="s">
        <v>1005</v>
      </c>
      <c r="E2266" t="s">
        <v>290</v>
      </c>
      <c r="F2266" t="s">
        <v>957</v>
      </c>
      <c r="G2266">
        <v>1000000</v>
      </c>
      <c r="H2266">
        <v>143000</v>
      </c>
      <c r="I2266" t="s">
        <v>978</v>
      </c>
    </row>
    <row r="2267" spans="1:9" x14ac:dyDescent="0.25">
      <c r="A2267">
        <v>3110</v>
      </c>
      <c r="B2267">
        <v>10</v>
      </c>
      <c r="C2267" t="s">
        <v>950</v>
      </c>
      <c r="D2267" t="s">
        <v>1005</v>
      </c>
      <c r="E2267" t="s">
        <v>290</v>
      </c>
      <c r="F2267" t="s">
        <v>958</v>
      </c>
      <c r="G2267">
        <v>1000000</v>
      </c>
      <c r="H2267">
        <v>143000</v>
      </c>
      <c r="I2267" t="s">
        <v>978</v>
      </c>
    </row>
    <row r="2268" spans="1:9" x14ac:dyDescent="0.25">
      <c r="A2268">
        <v>3110</v>
      </c>
      <c r="B2268">
        <v>10</v>
      </c>
      <c r="C2268" t="s">
        <v>962</v>
      </c>
      <c r="D2268" t="s">
        <v>1005</v>
      </c>
      <c r="E2268" t="s">
        <v>290</v>
      </c>
      <c r="F2268" t="s">
        <v>951</v>
      </c>
      <c r="G2268">
        <v>1000000</v>
      </c>
      <c r="H2268">
        <v>143000</v>
      </c>
      <c r="I2268" t="s">
        <v>978</v>
      </c>
    </row>
    <row r="2269" spans="1:9" x14ac:dyDescent="0.25">
      <c r="A2269">
        <v>3110</v>
      </c>
      <c r="B2269">
        <v>10</v>
      </c>
      <c r="C2269" t="s">
        <v>962</v>
      </c>
      <c r="D2269" t="s">
        <v>1005</v>
      </c>
      <c r="E2269" t="s">
        <v>290</v>
      </c>
      <c r="F2269" t="s">
        <v>952</v>
      </c>
      <c r="G2269">
        <v>1000000</v>
      </c>
      <c r="H2269">
        <v>143000</v>
      </c>
      <c r="I2269" t="s">
        <v>978</v>
      </c>
    </row>
    <row r="2270" spans="1:9" x14ac:dyDescent="0.25">
      <c r="A2270">
        <v>3110</v>
      </c>
      <c r="B2270">
        <v>10</v>
      </c>
      <c r="C2270" t="s">
        <v>962</v>
      </c>
      <c r="D2270" t="s">
        <v>1005</v>
      </c>
      <c r="E2270" t="s">
        <v>290</v>
      </c>
      <c r="F2270" t="s">
        <v>956</v>
      </c>
      <c r="G2270">
        <v>1000000</v>
      </c>
      <c r="H2270">
        <v>143000</v>
      </c>
      <c r="I2270" t="s">
        <v>978</v>
      </c>
    </row>
    <row r="2271" spans="1:9" x14ac:dyDescent="0.25">
      <c r="A2271">
        <v>3110</v>
      </c>
      <c r="B2271">
        <v>10</v>
      </c>
      <c r="C2271" t="s">
        <v>962</v>
      </c>
      <c r="D2271" t="s">
        <v>1005</v>
      </c>
      <c r="E2271" t="s">
        <v>290</v>
      </c>
      <c r="F2271" t="s">
        <v>957</v>
      </c>
      <c r="G2271">
        <v>1000000</v>
      </c>
      <c r="H2271">
        <v>143000</v>
      </c>
      <c r="I2271" t="s">
        <v>978</v>
      </c>
    </row>
    <row r="2272" spans="1:9" x14ac:dyDescent="0.25">
      <c r="A2272">
        <v>3110</v>
      </c>
      <c r="B2272">
        <v>10</v>
      </c>
      <c r="C2272" t="s">
        <v>962</v>
      </c>
      <c r="D2272" t="s">
        <v>1005</v>
      </c>
      <c r="E2272" t="s">
        <v>290</v>
      </c>
      <c r="F2272" t="s">
        <v>958</v>
      </c>
      <c r="G2272">
        <v>1000000</v>
      </c>
      <c r="H2272">
        <v>143000</v>
      </c>
      <c r="I2272" t="s">
        <v>978</v>
      </c>
    </row>
    <row r="2273" spans="1:9" x14ac:dyDescent="0.25">
      <c r="A2273">
        <v>3110</v>
      </c>
      <c r="B2273">
        <v>10</v>
      </c>
      <c r="C2273" t="s">
        <v>963</v>
      </c>
      <c r="D2273" t="s">
        <v>1005</v>
      </c>
      <c r="E2273" t="s">
        <v>290</v>
      </c>
      <c r="F2273" t="s">
        <v>951</v>
      </c>
      <c r="G2273">
        <v>1000000</v>
      </c>
      <c r="H2273">
        <v>143000</v>
      </c>
      <c r="I2273" t="s">
        <v>978</v>
      </c>
    </row>
    <row r="2274" spans="1:9" x14ac:dyDescent="0.25">
      <c r="A2274">
        <v>3110</v>
      </c>
      <c r="B2274">
        <v>10</v>
      </c>
      <c r="C2274" t="s">
        <v>963</v>
      </c>
      <c r="D2274" t="s">
        <v>1005</v>
      </c>
      <c r="E2274" t="s">
        <v>290</v>
      </c>
      <c r="F2274" t="s">
        <v>952</v>
      </c>
      <c r="G2274">
        <v>1000000</v>
      </c>
      <c r="H2274">
        <v>143000</v>
      </c>
      <c r="I2274" t="s">
        <v>978</v>
      </c>
    </row>
    <row r="2275" spans="1:9" x14ac:dyDescent="0.25">
      <c r="A2275">
        <v>3110</v>
      </c>
      <c r="B2275">
        <v>10</v>
      </c>
      <c r="C2275" t="s">
        <v>963</v>
      </c>
      <c r="D2275" t="s">
        <v>1005</v>
      </c>
      <c r="E2275" t="s">
        <v>290</v>
      </c>
      <c r="F2275" t="s">
        <v>956</v>
      </c>
      <c r="G2275">
        <v>1000000</v>
      </c>
      <c r="H2275">
        <v>143000</v>
      </c>
      <c r="I2275" t="s">
        <v>978</v>
      </c>
    </row>
    <row r="2276" spans="1:9" x14ac:dyDescent="0.25">
      <c r="A2276">
        <v>3110</v>
      </c>
      <c r="B2276">
        <v>10</v>
      </c>
      <c r="C2276" t="s">
        <v>963</v>
      </c>
      <c r="D2276" t="s">
        <v>1005</v>
      </c>
      <c r="E2276" t="s">
        <v>290</v>
      </c>
      <c r="F2276" t="s">
        <v>957</v>
      </c>
      <c r="G2276">
        <v>1000000</v>
      </c>
      <c r="H2276">
        <v>143000</v>
      </c>
      <c r="I2276" t="s">
        <v>978</v>
      </c>
    </row>
    <row r="2277" spans="1:9" x14ac:dyDescent="0.25">
      <c r="A2277">
        <v>3110</v>
      </c>
      <c r="B2277">
        <v>10</v>
      </c>
      <c r="C2277" t="s">
        <v>963</v>
      </c>
      <c r="D2277" t="s">
        <v>1005</v>
      </c>
      <c r="E2277" t="s">
        <v>290</v>
      </c>
      <c r="F2277" t="s">
        <v>958</v>
      </c>
      <c r="G2277">
        <v>1000000</v>
      </c>
      <c r="H2277">
        <v>143000</v>
      </c>
      <c r="I2277" t="s">
        <v>978</v>
      </c>
    </row>
    <row r="2278" spans="1:9" x14ac:dyDescent="0.25">
      <c r="A2278">
        <v>3110</v>
      </c>
      <c r="B2278">
        <v>10</v>
      </c>
      <c r="C2278" t="s">
        <v>950</v>
      </c>
      <c r="D2278" t="s">
        <v>1005</v>
      </c>
      <c r="E2278" t="s">
        <v>294</v>
      </c>
      <c r="F2278" t="s">
        <v>951</v>
      </c>
      <c r="G2278">
        <v>1000000</v>
      </c>
      <c r="H2278">
        <v>143000</v>
      </c>
      <c r="I2278" t="s">
        <v>979</v>
      </c>
    </row>
    <row r="2279" spans="1:9" x14ac:dyDescent="0.25">
      <c r="A2279">
        <v>3110</v>
      </c>
      <c r="B2279">
        <v>10</v>
      </c>
      <c r="C2279" t="s">
        <v>950</v>
      </c>
      <c r="D2279" t="s">
        <v>1005</v>
      </c>
      <c r="E2279" t="s">
        <v>294</v>
      </c>
      <c r="F2279" t="s">
        <v>952</v>
      </c>
      <c r="G2279">
        <v>1000000</v>
      </c>
      <c r="H2279">
        <v>143000</v>
      </c>
      <c r="I2279" t="s">
        <v>979</v>
      </c>
    </row>
    <row r="2280" spans="1:9" x14ac:dyDescent="0.25">
      <c r="A2280">
        <v>3110</v>
      </c>
      <c r="B2280">
        <v>10</v>
      </c>
      <c r="C2280" t="s">
        <v>950</v>
      </c>
      <c r="D2280" t="s">
        <v>1005</v>
      </c>
      <c r="E2280" t="s">
        <v>294</v>
      </c>
      <c r="F2280" t="s">
        <v>956</v>
      </c>
      <c r="G2280">
        <v>1000000</v>
      </c>
      <c r="H2280">
        <v>143000</v>
      </c>
      <c r="I2280" t="s">
        <v>979</v>
      </c>
    </row>
    <row r="2281" spans="1:9" x14ac:dyDescent="0.25">
      <c r="A2281">
        <v>3110</v>
      </c>
      <c r="B2281">
        <v>10</v>
      </c>
      <c r="C2281" t="s">
        <v>950</v>
      </c>
      <c r="D2281" t="s">
        <v>1005</v>
      </c>
      <c r="E2281" t="s">
        <v>294</v>
      </c>
      <c r="F2281" t="s">
        <v>957</v>
      </c>
      <c r="G2281">
        <v>1000000</v>
      </c>
      <c r="H2281">
        <v>143000</v>
      </c>
      <c r="I2281" t="s">
        <v>979</v>
      </c>
    </row>
    <row r="2282" spans="1:9" x14ac:dyDescent="0.25">
      <c r="A2282">
        <v>3110</v>
      </c>
      <c r="B2282">
        <v>10</v>
      </c>
      <c r="C2282" t="s">
        <v>950</v>
      </c>
      <c r="D2282" t="s">
        <v>1005</v>
      </c>
      <c r="E2282" t="s">
        <v>294</v>
      </c>
      <c r="F2282" t="s">
        <v>958</v>
      </c>
      <c r="G2282">
        <v>1000000</v>
      </c>
      <c r="H2282">
        <v>143000</v>
      </c>
      <c r="I2282" t="s">
        <v>979</v>
      </c>
    </row>
    <row r="2283" spans="1:9" x14ac:dyDescent="0.25">
      <c r="A2283">
        <v>3110</v>
      </c>
      <c r="B2283">
        <v>10</v>
      </c>
      <c r="C2283" t="s">
        <v>962</v>
      </c>
      <c r="D2283" t="s">
        <v>1005</v>
      </c>
      <c r="E2283" t="s">
        <v>294</v>
      </c>
      <c r="F2283" t="s">
        <v>951</v>
      </c>
      <c r="G2283">
        <v>1000000</v>
      </c>
      <c r="H2283">
        <v>143000</v>
      </c>
      <c r="I2283" t="s">
        <v>979</v>
      </c>
    </row>
    <row r="2284" spans="1:9" x14ac:dyDescent="0.25">
      <c r="A2284">
        <v>3110</v>
      </c>
      <c r="B2284">
        <v>10</v>
      </c>
      <c r="C2284" t="s">
        <v>962</v>
      </c>
      <c r="D2284" t="s">
        <v>1005</v>
      </c>
      <c r="E2284" t="s">
        <v>294</v>
      </c>
      <c r="F2284" t="s">
        <v>952</v>
      </c>
      <c r="G2284">
        <v>1000000</v>
      </c>
      <c r="H2284">
        <v>143000</v>
      </c>
      <c r="I2284" t="s">
        <v>979</v>
      </c>
    </row>
    <row r="2285" spans="1:9" x14ac:dyDescent="0.25">
      <c r="A2285">
        <v>3110</v>
      </c>
      <c r="B2285">
        <v>10</v>
      </c>
      <c r="C2285" t="s">
        <v>962</v>
      </c>
      <c r="D2285" t="s">
        <v>1005</v>
      </c>
      <c r="E2285" t="s">
        <v>294</v>
      </c>
      <c r="F2285" t="s">
        <v>956</v>
      </c>
      <c r="G2285">
        <v>1000000</v>
      </c>
      <c r="H2285">
        <v>143000</v>
      </c>
      <c r="I2285" t="s">
        <v>979</v>
      </c>
    </row>
    <row r="2286" spans="1:9" x14ac:dyDescent="0.25">
      <c r="A2286">
        <v>3110</v>
      </c>
      <c r="B2286">
        <v>10</v>
      </c>
      <c r="C2286" t="s">
        <v>962</v>
      </c>
      <c r="D2286" t="s">
        <v>1005</v>
      </c>
      <c r="E2286" t="s">
        <v>294</v>
      </c>
      <c r="F2286" t="s">
        <v>957</v>
      </c>
      <c r="G2286">
        <v>1000000</v>
      </c>
      <c r="H2286">
        <v>143000</v>
      </c>
      <c r="I2286" t="s">
        <v>979</v>
      </c>
    </row>
    <row r="2287" spans="1:9" x14ac:dyDescent="0.25">
      <c r="A2287">
        <v>3110</v>
      </c>
      <c r="B2287">
        <v>10</v>
      </c>
      <c r="C2287" t="s">
        <v>962</v>
      </c>
      <c r="D2287" t="s">
        <v>1005</v>
      </c>
      <c r="E2287" t="s">
        <v>294</v>
      </c>
      <c r="F2287" t="s">
        <v>958</v>
      </c>
      <c r="G2287">
        <v>1000000</v>
      </c>
      <c r="H2287">
        <v>143000</v>
      </c>
      <c r="I2287" t="s">
        <v>979</v>
      </c>
    </row>
    <row r="2288" spans="1:9" x14ac:dyDescent="0.25">
      <c r="A2288">
        <v>3110</v>
      </c>
      <c r="B2288">
        <v>10</v>
      </c>
      <c r="C2288" t="s">
        <v>963</v>
      </c>
      <c r="D2288" t="s">
        <v>1005</v>
      </c>
      <c r="E2288" t="s">
        <v>294</v>
      </c>
      <c r="F2288" t="s">
        <v>951</v>
      </c>
      <c r="G2288">
        <v>1000000</v>
      </c>
      <c r="H2288">
        <v>143000</v>
      </c>
      <c r="I2288" t="s">
        <v>979</v>
      </c>
    </row>
    <row r="2289" spans="1:9" x14ac:dyDescent="0.25">
      <c r="A2289">
        <v>3110</v>
      </c>
      <c r="B2289">
        <v>10</v>
      </c>
      <c r="C2289" t="s">
        <v>963</v>
      </c>
      <c r="D2289" t="s">
        <v>1005</v>
      </c>
      <c r="E2289" t="s">
        <v>294</v>
      </c>
      <c r="F2289" t="s">
        <v>952</v>
      </c>
      <c r="G2289">
        <v>1000000</v>
      </c>
      <c r="H2289">
        <v>143000</v>
      </c>
      <c r="I2289" t="s">
        <v>979</v>
      </c>
    </row>
    <row r="2290" spans="1:9" x14ac:dyDescent="0.25">
      <c r="A2290">
        <v>3110</v>
      </c>
      <c r="B2290">
        <v>10</v>
      </c>
      <c r="C2290" t="s">
        <v>963</v>
      </c>
      <c r="D2290" t="s">
        <v>1005</v>
      </c>
      <c r="E2290" t="s">
        <v>294</v>
      </c>
      <c r="F2290" t="s">
        <v>956</v>
      </c>
      <c r="G2290">
        <v>1000000</v>
      </c>
      <c r="H2290">
        <v>143000</v>
      </c>
      <c r="I2290" t="s">
        <v>979</v>
      </c>
    </row>
    <row r="2291" spans="1:9" x14ac:dyDescent="0.25">
      <c r="A2291">
        <v>3110</v>
      </c>
      <c r="B2291">
        <v>10</v>
      </c>
      <c r="C2291" t="s">
        <v>963</v>
      </c>
      <c r="D2291" t="s">
        <v>1005</v>
      </c>
      <c r="E2291" t="s">
        <v>294</v>
      </c>
      <c r="F2291" t="s">
        <v>957</v>
      </c>
      <c r="G2291">
        <v>1000000</v>
      </c>
      <c r="H2291">
        <v>143000</v>
      </c>
      <c r="I2291" t="s">
        <v>979</v>
      </c>
    </row>
    <row r="2292" spans="1:9" x14ac:dyDescent="0.25">
      <c r="A2292">
        <v>3110</v>
      </c>
      <c r="B2292">
        <v>10</v>
      </c>
      <c r="C2292" t="s">
        <v>963</v>
      </c>
      <c r="D2292" t="s">
        <v>1005</v>
      </c>
      <c r="E2292" t="s">
        <v>294</v>
      </c>
      <c r="F2292" t="s">
        <v>958</v>
      </c>
      <c r="G2292">
        <v>1000000</v>
      </c>
      <c r="H2292">
        <v>143000</v>
      </c>
      <c r="I2292" t="s">
        <v>979</v>
      </c>
    </row>
    <row r="2293" spans="1:9" x14ac:dyDescent="0.25">
      <c r="A2293">
        <v>3110</v>
      </c>
      <c r="B2293">
        <v>10</v>
      </c>
      <c r="C2293" t="s">
        <v>950</v>
      </c>
      <c r="D2293" t="s">
        <v>1005</v>
      </c>
      <c r="E2293" t="s">
        <v>980</v>
      </c>
      <c r="F2293" t="s">
        <v>951</v>
      </c>
      <c r="G2293">
        <v>1000000</v>
      </c>
      <c r="H2293">
        <v>141000</v>
      </c>
      <c r="I2293" t="s">
        <v>981</v>
      </c>
    </row>
    <row r="2294" spans="1:9" x14ac:dyDescent="0.25">
      <c r="A2294">
        <v>3110</v>
      </c>
      <c r="B2294">
        <v>10</v>
      </c>
      <c r="C2294" t="s">
        <v>950</v>
      </c>
      <c r="D2294" t="s">
        <v>1005</v>
      </c>
      <c r="E2294" t="s">
        <v>980</v>
      </c>
      <c r="F2294" t="s">
        <v>952</v>
      </c>
      <c r="G2294">
        <v>1000000</v>
      </c>
      <c r="H2294">
        <v>141000</v>
      </c>
      <c r="I2294" t="s">
        <v>981</v>
      </c>
    </row>
    <row r="2295" spans="1:9" x14ac:dyDescent="0.25">
      <c r="A2295">
        <v>3110</v>
      </c>
      <c r="B2295">
        <v>10</v>
      </c>
      <c r="C2295" t="s">
        <v>962</v>
      </c>
      <c r="D2295" t="s">
        <v>1005</v>
      </c>
      <c r="E2295" t="s">
        <v>980</v>
      </c>
      <c r="F2295" t="s">
        <v>951</v>
      </c>
      <c r="G2295">
        <v>1000000</v>
      </c>
      <c r="H2295">
        <v>141000</v>
      </c>
      <c r="I2295" t="s">
        <v>981</v>
      </c>
    </row>
    <row r="2296" spans="1:9" x14ac:dyDescent="0.25">
      <c r="A2296">
        <v>3110</v>
      </c>
      <c r="B2296">
        <v>10</v>
      </c>
      <c r="C2296" t="s">
        <v>962</v>
      </c>
      <c r="D2296" t="s">
        <v>1005</v>
      </c>
      <c r="E2296" t="s">
        <v>980</v>
      </c>
      <c r="F2296" t="s">
        <v>952</v>
      </c>
      <c r="G2296">
        <v>1000000</v>
      </c>
      <c r="H2296">
        <v>141000</v>
      </c>
      <c r="I2296" t="s">
        <v>981</v>
      </c>
    </row>
    <row r="2297" spans="1:9" x14ac:dyDescent="0.25">
      <c r="A2297">
        <v>3110</v>
      </c>
      <c r="B2297">
        <v>10</v>
      </c>
      <c r="C2297" t="s">
        <v>963</v>
      </c>
      <c r="D2297" t="s">
        <v>1005</v>
      </c>
      <c r="E2297" t="s">
        <v>980</v>
      </c>
      <c r="F2297" t="s">
        <v>951</v>
      </c>
      <c r="G2297">
        <v>1000000</v>
      </c>
      <c r="H2297">
        <v>141000</v>
      </c>
      <c r="I2297" t="s">
        <v>981</v>
      </c>
    </row>
    <row r="2298" spans="1:9" x14ac:dyDescent="0.25">
      <c r="A2298">
        <v>3110</v>
      </c>
      <c r="B2298">
        <v>10</v>
      </c>
      <c r="C2298" t="s">
        <v>963</v>
      </c>
      <c r="D2298" t="s">
        <v>1005</v>
      </c>
      <c r="E2298" t="s">
        <v>980</v>
      </c>
      <c r="F2298" t="s">
        <v>952</v>
      </c>
      <c r="G2298">
        <v>1000000</v>
      </c>
      <c r="H2298">
        <v>141000</v>
      </c>
      <c r="I2298" t="s">
        <v>981</v>
      </c>
    </row>
    <row r="2299" spans="1:9" x14ac:dyDescent="0.25">
      <c r="A2299">
        <v>3110</v>
      </c>
      <c r="B2299">
        <v>10</v>
      </c>
      <c r="C2299" t="s">
        <v>950</v>
      </c>
      <c r="D2299" t="s">
        <v>1005</v>
      </c>
      <c r="E2299" t="s">
        <v>302</v>
      </c>
      <c r="F2299" t="s">
        <v>951</v>
      </c>
      <c r="G2299">
        <v>1000000</v>
      </c>
      <c r="H2299">
        <v>143000</v>
      </c>
      <c r="I2299" t="s">
        <v>982</v>
      </c>
    </row>
    <row r="2300" spans="1:9" x14ac:dyDescent="0.25">
      <c r="A2300">
        <v>3110</v>
      </c>
      <c r="B2300">
        <v>10</v>
      </c>
      <c r="C2300" t="s">
        <v>950</v>
      </c>
      <c r="D2300" t="s">
        <v>1005</v>
      </c>
      <c r="E2300" t="s">
        <v>302</v>
      </c>
      <c r="F2300" t="s">
        <v>952</v>
      </c>
      <c r="G2300">
        <v>1000000</v>
      </c>
      <c r="H2300">
        <v>143000</v>
      </c>
      <c r="I2300" t="s">
        <v>982</v>
      </c>
    </row>
    <row r="2301" spans="1:9" x14ac:dyDescent="0.25">
      <c r="A2301">
        <v>3110</v>
      </c>
      <c r="B2301">
        <v>10</v>
      </c>
      <c r="C2301" t="s">
        <v>950</v>
      </c>
      <c r="D2301" t="s">
        <v>1005</v>
      </c>
      <c r="E2301" t="s">
        <v>302</v>
      </c>
      <c r="F2301" t="s">
        <v>956</v>
      </c>
      <c r="G2301">
        <v>1000000</v>
      </c>
      <c r="H2301">
        <v>143000</v>
      </c>
      <c r="I2301" t="s">
        <v>982</v>
      </c>
    </row>
    <row r="2302" spans="1:9" x14ac:dyDescent="0.25">
      <c r="A2302">
        <v>3110</v>
      </c>
      <c r="B2302">
        <v>10</v>
      </c>
      <c r="C2302" t="s">
        <v>950</v>
      </c>
      <c r="D2302" t="s">
        <v>1005</v>
      </c>
      <c r="E2302" t="s">
        <v>302</v>
      </c>
      <c r="F2302" t="s">
        <v>957</v>
      </c>
      <c r="G2302">
        <v>1000000</v>
      </c>
      <c r="H2302">
        <v>143000</v>
      </c>
      <c r="I2302" t="s">
        <v>982</v>
      </c>
    </row>
    <row r="2303" spans="1:9" x14ac:dyDescent="0.25">
      <c r="A2303">
        <v>3110</v>
      </c>
      <c r="B2303">
        <v>10</v>
      </c>
      <c r="C2303" t="s">
        <v>950</v>
      </c>
      <c r="D2303" t="s">
        <v>1005</v>
      </c>
      <c r="E2303" t="s">
        <v>302</v>
      </c>
      <c r="F2303" t="s">
        <v>958</v>
      </c>
      <c r="G2303">
        <v>1000000</v>
      </c>
      <c r="H2303">
        <v>143000</v>
      </c>
      <c r="I2303" t="s">
        <v>982</v>
      </c>
    </row>
    <row r="2304" spans="1:9" x14ac:dyDescent="0.25">
      <c r="A2304">
        <v>3110</v>
      </c>
      <c r="B2304">
        <v>10</v>
      </c>
      <c r="C2304" t="s">
        <v>962</v>
      </c>
      <c r="D2304" t="s">
        <v>1005</v>
      </c>
      <c r="E2304" t="s">
        <v>302</v>
      </c>
      <c r="F2304" t="s">
        <v>951</v>
      </c>
      <c r="G2304">
        <v>1000000</v>
      </c>
      <c r="H2304">
        <v>143000</v>
      </c>
      <c r="I2304" t="s">
        <v>982</v>
      </c>
    </row>
    <row r="2305" spans="1:9" x14ac:dyDescent="0.25">
      <c r="A2305">
        <v>3110</v>
      </c>
      <c r="B2305">
        <v>10</v>
      </c>
      <c r="C2305" t="s">
        <v>962</v>
      </c>
      <c r="D2305" t="s">
        <v>1005</v>
      </c>
      <c r="E2305" t="s">
        <v>302</v>
      </c>
      <c r="F2305" t="s">
        <v>952</v>
      </c>
      <c r="G2305">
        <v>1000000</v>
      </c>
      <c r="H2305">
        <v>143000</v>
      </c>
      <c r="I2305" t="s">
        <v>982</v>
      </c>
    </row>
    <row r="2306" spans="1:9" x14ac:dyDescent="0.25">
      <c r="A2306">
        <v>3110</v>
      </c>
      <c r="B2306">
        <v>10</v>
      </c>
      <c r="C2306" t="s">
        <v>962</v>
      </c>
      <c r="D2306" t="s">
        <v>1005</v>
      </c>
      <c r="E2306" t="s">
        <v>302</v>
      </c>
      <c r="F2306" t="s">
        <v>956</v>
      </c>
      <c r="G2306">
        <v>1000000</v>
      </c>
      <c r="H2306">
        <v>143000</v>
      </c>
      <c r="I2306" t="s">
        <v>982</v>
      </c>
    </row>
    <row r="2307" spans="1:9" x14ac:dyDescent="0.25">
      <c r="A2307">
        <v>3110</v>
      </c>
      <c r="B2307">
        <v>10</v>
      </c>
      <c r="C2307" t="s">
        <v>962</v>
      </c>
      <c r="D2307" t="s">
        <v>1005</v>
      </c>
      <c r="E2307" t="s">
        <v>302</v>
      </c>
      <c r="F2307" t="s">
        <v>957</v>
      </c>
      <c r="G2307">
        <v>1000000</v>
      </c>
      <c r="H2307">
        <v>143000</v>
      </c>
      <c r="I2307" t="s">
        <v>982</v>
      </c>
    </row>
    <row r="2308" spans="1:9" x14ac:dyDescent="0.25">
      <c r="A2308">
        <v>3110</v>
      </c>
      <c r="B2308">
        <v>10</v>
      </c>
      <c r="C2308" t="s">
        <v>962</v>
      </c>
      <c r="D2308" t="s">
        <v>1005</v>
      </c>
      <c r="E2308" t="s">
        <v>302</v>
      </c>
      <c r="F2308" t="s">
        <v>958</v>
      </c>
      <c r="G2308">
        <v>1000000</v>
      </c>
      <c r="H2308">
        <v>143000</v>
      </c>
      <c r="I2308" t="s">
        <v>982</v>
      </c>
    </row>
    <row r="2309" spans="1:9" x14ac:dyDescent="0.25">
      <c r="A2309">
        <v>3110</v>
      </c>
      <c r="B2309">
        <v>10</v>
      </c>
      <c r="C2309" t="s">
        <v>963</v>
      </c>
      <c r="D2309" t="s">
        <v>1005</v>
      </c>
      <c r="E2309" t="s">
        <v>302</v>
      </c>
      <c r="F2309" t="s">
        <v>951</v>
      </c>
      <c r="G2309">
        <v>1000000</v>
      </c>
      <c r="H2309">
        <v>143000</v>
      </c>
      <c r="I2309" t="s">
        <v>982</v>
      </c>
    </row>
    <row r="2310" spans="1:9" x14ac:dyDescent="0.25">
      <c r="A2310">
        <v>3110</v>
      </c>
      <c r="B2310">
        <v>10</v>
      </c>
      <c r="C2310" t="s">
        <v>963</v>
      </c>
      <c r="D2310" t="s">
        <v>1005</v>
      </c>
      <c r="E2310" t="s">
        <v>302</v>
      </c>
      <c r="F2310" t="s">
        <v>952</v>
      </c>
      <c r="G2310">
        <v>1000000</v>
      </c>
      <c r="H2310">
        <v>143000</v>
      </c>
      <c r="I2310" t="s">
        <v>982</v>
      </c>
    </row>
    <row r="2311" spans="1:9" x14ac:dyDescent="0.25">
      <c r="A2311">
        <v>3110</v>
      </c>
      <c r="B2311">
        <v>10</v>
      </c>
      <c r="C2311" t="s">
        <v>963</v>
      </c>
      <c r="D2311" t="s">
        <v>1005</v>
      </c>
      <c r="E2311" t="s">
        <v>302</v>
      </c>
      <c r="F2311" t="s">
        <v>956</v>
      </c>
      <c r="G2311">
        <v>1000000</v>
      </c>
      <c r="H2311">
        <v>143000</v>
      </c>
      <c r="I2311" t="s">
        <v>982</v>
      </c>
    </row>
    <row r="2312" spans="1:9" x14ac:dyDescent="0.25">
      <c r="A2312">
        <v>3110</v>
      </c>
      <c r="B2312">
        <v>10</v>
      </c>
      <c r="C2312" t="s">
        <v>963</v>
      </c>
      <c r="D2312" t="s">
        <v>1005</v>
      </c>
      <c r="E2312" t="s">
        <v>302</v>
      </c>
      <c r="F2312" t="s">
        <v>957</v>
      </c>
      <c r="G2312">
        <v>1000000</v>
      </c>
      <c r="H2312">
        <v>143000</v>
      </c>
      <c r="I2312" t="s">
        <v>982</v>
      </c>
    </row>
    <row r="2313" spans="1:9" x14ac:dyDescent="0.25">
      <c r="A2313">
        <v>3110</v>
      </c>
      <c r="B2313">
        <v>10</v>
      </c>
      <c r="C2313" t="s">
        <v>963</v>
      </c>
      <c r="D2313" t="s">
        <v>1005</v>
      </c>
      <c r="E2313" t="s">
        <v>302</v>
      </c>
      <c r="F2313" t="s">
        <v>958</v>
      </c>
      <c r="G2313">
        <v>1000000</v>
      </c>
      <c r="H2313">
        <v>143000</v>
      </c>
      <c r="I2313" t="s">
        <v>982</v>
      </c>
    </row>
    <row r="2314" spans="1:9" x14ac:dyDescent="0.25">
      <c r="A2314">
        <v>3110</v>
      </c>
      <c r="B2314">
        <v>10</v>
      </c>
      <c r="C2314" t="s">
        <v>950</v>
      </c>
      <c r="D2314" t="s">
        <v>1005</v>
      </c>
      <c r="E2314" t="s">
        <v>306</v>
      </c>
      <c r="F2314" t="s">
        <v>951</v>
      </c>
      <c r="G2314">
        <v>1000000</v>
      </c>
      <c r="H2314">
        <v>143000</v>
      </c>
      <c r="I2314" t="s">
        <v>983</v>
      </c>
    </row>
    <row r="2315" spans="1:9" x14ac:dyDescent="0.25">
      <c r="A2315">
        <v>3110</v>
      </c>
      <c r="B2315">
        <v>10</v>
      </c>
      <c r="C2315" t="s">
        <v>950</v>
      </c>
      <c r="D2315" t="s">
        <v>1005</v>
      </c>
      <c r="E2315" t="s">
        <v>306</v>
      </c>
      <c r="F2315" t="s">
        <v>952</v>
      </c>
      <c r="G2315">
        <v>1000000</v>
      </c>
      <c r="H2315">
        <v>143000</v>
      </c>
      <c r="I2315" t="s">
        <v>983</v>
      </c>
    </row>
    <row r="2316" spans="1:9" x14ac:dyDescent="0.25">
      <c r="A2316">
        <v>3110</v>
      </c>
      <c r="B2316">
        <v>10</v>
      </c>
      <c r="C2316" t="s">
        <v>950</v>
      </c>
      <c r="D2316" t="s">
        <v>1005</v>
      </c>
      <c r="E2316" t="s">
        <v>306</v>
      </c>
      <c r="F2316" t="s">
        <v>956</v>
      </c>
      <c r="G2316">
        <v>1000000</v>
      </c>
      <c r="H2316">
        <v>143000</v>
      </c>
      <c r="I2316" t="s">
        <v>983</v>
      </c>
    </row>
    <row r="2317" spans="1:9" x14ac:dyDescent="0.25">
      <c r="A2317">
        <v>3110</v>
      </c>
      <c r="B2317">
        <v>10</v>
      </c>
      <c r="C2317" t="s">
        <v>950</v>
      </c>
      <c r="D2317" t="s">
        <v>1005</v>
      </c>
      <c r="E2317" t="s">
        <v>306</v>
      </c>
      <c r="F2317" t="s">
        <v>957</v>
      </c>
      <c r="G2317">
        <v>1000000</v>
      </c>
      <c r="H2317">
        <v>143000</v>
      </c>
      <c r="I2317" t="s">
        <v>983</v>
      </c>
    </row>
    <row r="2318" spans="1:9" x14ac:dyDescent="0.25">
      <c r="A2318">
        <v>3110</v>
      </c>
      <c r="B2318">
        <v>10</v>
      </c>
      <c r="C2318" t="s">
        <v>950</v>
      </c>
      <c r="D2318" t="s">
        <v>1005</v>
      </c>
      <c r="E2318" t="s">
        <v>306</v>
      </c>
      <c r="F2318" t="s">
        <v>958</v>
      </c>
      <c r="G2318">
        <v>1000000</v>
      </c>
      <c r="H2318">
        <v>143000</v>
      </c>
      <c r="I2318" t="s">
        <v>983</v>
      </c>
    </row>
    <row r="2319" spans="1:9" x14ac:dyDescent="0.25">
      <c r="A2319">
        <v>3110</v>
      </c>
      <c r="B2319">
        <v>10</v>
      </c>
      <c r="C2319" t="s">
        <v>962</v>
      </c>
      <c r="D2319" t="s">
        <v>1005</v>
      </c>
      <c r="E2319" t="s">
        <v>306</v>
      </c>
      <c r="F2319" t="s">
        <v>951</v>
      </c>
      <c r="G2319">
        <v>1000000</v>
      </c>
      <c r="H2319">
        <v>143000</v>
      </c>
      <c r="I2319" t="s">
        <v>983</v>
      </c>
    </row>
    <row r="2320" spans="1:9" x14ac:dyDescent="0.25">
      <c r="A2320">
        <v>3110</v>
      </c>
      <c r="B2320">
        <v>10</v>
      </c>
      <c r="C2320" t="s">
        <v>962</v>
      </c>
      <c r="D2320" t="s">
        <v>1005</v>
      </c>
      <c r="E2320" t="s">
        <v>306</v>
      </c>
      <c r="F2320" t="s">
        <v>952</v>
      </c>
      <c r="G2320">
        <v>1000000</v>
      </c>
      <c r="H2320">
        <v>143000</v>
      </c>
      <c r="I2320" t="s">
        <v>983</v>
      </c>
    </row>
    <row r="2321" spans="1:9" x14ac:dyDescent="0.25">
      <c r="A2321">
        <v>3110</v>
      </c>
      <c r="B2321">
        <v>10</v>
      </c>
      <c r="C2321" t="s">
        <v>962</v>
      </c>
      <c r="D2321" t="s">
        <v>1005</v>
      </c>
      <c r="E2321" t="s">
        <v>306</v>
      </c>
      <c r="F2321" t="s">
        <v>956</v>
      </c>
      <c r="G2321">
        <v>1000000</v>
      </c>
      <c r="H2321">
        <v>143000</v>
      </c>
      <c r="I2321" t="s">
        <v>983</v>
      </c>
    </row>
    <row r="2322" spans="1:9" x14ac:dyDescent="0.25">
      <c r="A2322">
        <v>3110</v>
      </c>
      <c r="B2322">
        <v>10</v>
      </c>
      <c r="C2322" t="s">
        <v>962</v>
      </c>
      <c r="D2322" t="s">
        <v>1005</v>
      </c>
      <c r="E2322" t="s">
        <v>306</v>
      </c>
      <c r="F2322" t="s">
        <v>957</v>
      </c>
      <c r="G2322">
        <v>1000000</v>
      </c>
      <c r="H2322">
        <v>143000</v>
      </c>
      <c r="I2322" t="s">
        <v>983</v>
      </c>
    </row>
    <row r="2323" spans="1:9" x14ac:dyDescent="0.25">
      <c r="A2323">
        <v>3110</v>
      </c>
      <c r="B2323">
        <v>10</v>
      </c>
      <c r="C2323" t="s">
        <v>962</v>
      </c>
      <c r="D2323" t="s">
        <v>1005</v>
      </c>
      <c r="E2323" t="s">
        <v>306</v>
      </c>
      <c r="F2323" t="s">
        <v>958</v>
      </c>
      <c r="G2323">
        <v>1000000</v>
      </c>
      <c r="H2323">
        <v>143000</v>
      </c>
      <c r="I2323" t="s">
        <v>983</v>
      </c>
    </row>
    <row r="2324" spans="1:9" x14ac:dyDescent="0.25">
      <c r="A2324">
        <v>3110</v>
      </c>
      <c r="B2324">
        <v>10</v>
      </c>
      <c r="C2324" t="s">
        <v>963</v>
      </c>
      <c r="D2324" t="s">
        <v>1005</v>
      </c>
      <c r="E2324" t="s">
        <v>306</v>
      </c>
      <c r="F2324" t="s">
        <v>951</v>
      </c>
      <c r="G2324">
        <v>1000000</v>
      </c>
      <c r="H2324">
        <v>143000</v>
      </c>
      <c r="I2324" t="s">
        <v>983</v>
      </c>
    </row>
    <row r="2325" spans="1:9" x14ac:dyDescent="0.25">
      <c r="A2325">
        <v>3110</v>
      </c>
      <c r="B2325">
        <v>10</v>
      </c>
      <c r="C2325" t="s">
        <v>963</v>
      </c>
      <c r="D2325" t="s">
        <v>1005</v>
      </c>
      <c r="E2325" t="s">
        <v>306</v>
      </c>
      <c r="F2325" t="s">
        <v>952</v>
      </c>
      <c r="G2325">
        <v>1000000</v>
      </c>
      <c r="H2325">
        <v>143000</v>
      </c>
      <c r="I2325" t="s">
        <v>983</v>
      </c>
    </row>
    <row r="2326" spans="1:9" x14ac:dyDescent="0.25">
      <c r="A2326">
        <v>3110</v>
      </c>
      <c r="B2326">
        <v>10</v>
      </c>
      <c r="C2326" t="s">
        <v>963</v>
      </c>
      <c r="D2326" t="s">
        <v>1005</v>
      </c>
      <c r="E2326" t="s">
        <v>306</v>
      </c>
      <c r="F2326" t="s">
        <v>956</v>
      </c>
      <c r="G2326">
        <v>1000000</v>
      </c>
      <c r="H2326">
        <v>143000</v>
      </c>
      <c r="I2326" t="s">
        <v>983</v>
      </c>
    </row>
    <row r="2327" spans="1:9" x14ac:dyDescent="0.25">
      <c r="A2327">
        <v>3110</v>
      </c>
      <c r="B2327">
        <v>10</v>
      </c>
      <c r="C2327" t="s">
        <v>963</v>
      </c>
      <c r="D2327" t="s">
        <v>1005</v>
      </c>
      <c r="E2327" t="s">
        <v>306</v>
      </c>
      <c r="F2327" t="s">
        <v>957</v>
      </c>
      <c r="G2327">
        <v>1000000</v>
      </c>
      <c r="H2327">
        <v>143000</v>
      </c>
      <c r="I2327" t="s">
        <v>983</v>
      </c>
    </row>
    <row r="2328" spans="1:9" x14ac:dyDescent="0.25">
      <c r="A2328">
        <v>3110</v>
      </c>
      <c r="B2328">
        <v>10</v>
      </c>
      <c r="C2328" t="s">
        <v>963</v>
      </c>
      <c r="D2328" t="s">
        <v>1005</v>
      </c>
      <c r="E2328" t="s">
        <v>306</v>
      </c>
      <c r="F2328" t="s">
        <v>958</v>
      </c>
      <c r="G2328">
        <v>1000000</v>
      </c>
      <c r="H2328">
        <v>143000</v>
      </c>
      <c r="I2328" t="s">
        <v>983</v>
      </c>
    </row>
    <row r="2329" spans="1:9" x14ac:dyDescent="0.25">
      <c r="A2329">
        <v>3110</v>
      </c>
      <c r="B2329">
        <v>10</v>
      </c>
      <c r="C2329" t="s">
        <v>950</v>
      </c>
      <c r="D2329" t="s">
        <v>1005</v>
      </c>
      <c r="E2329" t="s">
        <v>108</v>
      </c>
      <c r="F2329" t="s">
        <v>951</v>
      </c>
      <c r="G2329">
        <v>1077777</v>
      </c>
      <c r="H2329">
        <v>500220</v>
      </c>
      <c r="I2329" t="s">
        <v>949</v>
      </c>
    </row>
    <row r="2330" spans="1:9" x14ac:dyDescent="0.25">
      <c r="A2330">
        <v>3110</v>
      </c>
      <c r="B2330">
        <v>10</v>
      </c>
      <c r="C2330" t="s">
        <v>950</v>
      </c>
      <c r="D2330" t="s">
        <v>1005</v>
      </c>
      <c r="E2330" t="s">
        <v>108</v>
      </c>
      <c r="F2330" t="s">
        <v>952</v>
      </c>
      <c r="G2330">
        <v>1077777</v>
      </c>
      <c r="H2330">
        <v>500220</v>
      </c>
      <c r="I2330" t="s">
        <v>949</v>
      </c>
    </row>
    <row r="2331" spans="1:9" x14ac:dyDescent="0.25">
      <c r="A2331">
        <v>3110</v>
      </c>
      <c r="B2331">
        <v>10</v>
      </c>
      <c r="C2331" t="s">
        <v>962</v>
      </c>
      <c r="D2331" t="s">
        <v>1005</v>
      </c>
      <c r="E2331" t="s">
        <v>108</v>
      </c>
      <c r="F2331" t="s">
        <v>951</v>
      </c>
      <c r="G2331">
        <v>1077777</v>
      </c>
      <c r="H2331">
        <v>500220</v>
      </c>
      <c r="I2331" t="s">
        <v>949</v>
      </c>
    </row>
    <row r="2332" spans="1:9" x14ac:dyDescent="0.25">
      <c r="A2332">
        <v>3110</v>
      </c>
      <c r="B2332">
        <v>10</v>
      </c>
      <c r="C2332" t="s">
        <v>962</v>
      </c>
      <c r="D2332" t="s">
        <v>1005</v>
      </c>
      <c r="E2332" t="s">
        <v>108</v>
      </c>
      <c r="F2332" t="s">
        <v>952</v>
      </c>
      <c r="G2332">
        <v>1077777</v>
      </c>
      <c r="H2332">
        <v>500220</v>
      </c>
      <c r="I2332" t="s">
        <v>949</v>
      </c>
    </row>
    <row r="2333" spans="1:9" x14ac:dyDescent="0.25">
      <c r="A2333">
        <v>3110</v>
      </c>
      <c r="B2333">
        <v>10</v>
      </c>
      <c r="C2333" t="s">
        <v>963</v>
      </c>
      <c r="D2333" t="s">
        <v>1005</v>
      </c>
      <c r="E2333" t="s">
        <v>108</v>
      </c>
      <c r="F2333" t="s">
        <v>951</v>
      </c>
      <c r="G2333">
        <v>1077777</v>
      </c>
      <c r="H2333">
        <v>500220</v>
      </c>
      <c r="I2333" t="s">
        <v>949</v>
      </c>
    </row>
    <row r="2334" spans="1:9" x14ac:dyDescent="0.25">
      <c r="A2334">
        <v>3110</v>
      </c>
      <c r="B2334">
        <v>10</v>
      </c>
      <c r="C2334" t="s">
        <v>963</v>
      </c>
      <c r="D2334" t="s">
        <v>1005</v>
      </c>
      <c r="E2334" t="s">
        <v>108</v>
      </c>
      <c r="F2334" t="s">
        <v>952</v>
      </c>
      <c r="G2334">
        <v>1077777</v>
      </c>
      <c r="H2334">
        <v>500220</v>
      </c>
      <c r="I2334" t="s">
        <v>949</v>
      </c>
    </row>
    <row r="2335" spans="1:9" x14ac:dyDescent="0.25">
      <c r="A2335">
        <v>3110</v>
      </c>
      <c r="B2335">
        <v>10</v>
      </c>
      <c r="C2335" t="s">
        <v>950</v>
      </c>
      <c r="D2335" t="s">
        <v>1005</v>
      </c>
      <c r="E2335" t="s">
        <v>310</v>
      </c>
      <c r="F2335" t="s">
        <v>951</v>
      </c>
      <c r="G2335">
        <v>1000000</v>
      </c>
      <c r="H2335">
        <v>145000</v>
      </c>
      <c r="I2335" t="s">
        <v>949</v>
      </c>
    </row>
    <row r="2336" spans="1:9" x14ac:dyDescent="0.25">
      <c r="A2336">
        <v>3110</v>
      </c>
      <c r="B2336">
        <v>10</v>
      </c>
      <c r="C2336" t="s">
        <v>950</v>
      </c>
      <c r="D2336" t="s">
        <v>1005</v>
      </c>
      <c r="E2336" t="s">
        <v>310</v>
      </c>
      <c r="F2336" t="s">
        <v>952</v>
      </c>
      <c r="G2336">
        <v>1000000</v>
      </c>
      <c r="H2336">
        <v>145000</v>
      </c>
      <c r="I2336" t="s">
        <v>949</v>
      </c>
    </row>
    <row r="2337" spans="1:9" x14ac:dyDescent="0.25">
      <c r="A2337">
        <v>3110</v>
      </c>
      <c r="B2337">
        <v>10</v>
      </c>
      <c r="C2337" t="s">
        <v>962</v>
      </c>
      <c r="D2337" t="s">
        <v>1005</v>
      </c>
      <c r="E2337" t="s">
        <v>310</v>
      </c>
      <c r="F2337" t="s">
        <v>951</v>
      </c>
      <c r="G2337">
        <v>1000000</v>
      </c>
      <c r="H2337">
        <v>145000</v>
      </c>
      <c r="I2337" t="s">
        <v>949</v>
      </c>
    </row>
    <row r="2338" spans="1:9" x14ac:dyDescent="0.25">
      <c r="A2338">
        <v>3110</v>
      </c>
      <c r="B2338">
        <v>10</v>
      </c>
      <c r="C2338" t="s">
        <v>962</v>
      </c>
      <c r="D2338" t="s">
        <v>1005</v>
      </c>
      <c r="E2338" t="s">
        <v>310</v>
      </c>
      <c r="F2338" t="s">
        <v>952</v>
      </c>
      <c r="G2338">
        <v>1000000</v>
      </c>
      <c r="H2338">
        <v>145000</v>
      </c>
      <c r="I2338" t="s">
        <v>949</v>
      </c>
    </row>
    <row r="2339" spans="1:9" x14ac:dyDescent="0.25">
      <c r="A2339">
        <v>3110</v>
      </c>
      <c r="B2339">
        <v>10</v>
      </c>
      <c r="C2339" t="s">
        <v>963</v>
      </c>
      <c r="D2339" t="s">
        <v>1005</v>
      </c>
      <c r="E2339" t="s">
        <v>310</v>
      </c>
      <c r="F2339" t="s">
        <v>951</v>
      </c>
      <c r="G2339">
        <v>1000000</v>
      </c>
      <c r="H2339">
        <v>145000</v>
      </c>
      <c r="I2339" t="s">
        <v>949</v>
      </c>
    </row>
    <row r="2340" spans="1:9" x14ac:dyDescent="0.25">
      <c r="A2340">
        <v>3110</v>
      </c>
      <c r="B2340">
        <v>10</v>
      </c>
      <c r="C2340" t="s">
        <v>963</v>
      </c>
      <c r="D2340" t="s">
        <v>1005</v>
      </c>
      <c r="E2340" t="s">
        <v>310</v>
      </c>
      <c r="F2340" t="s">
        <v>952</v>
      </c>
      <c r="G2340">
        <v>1000000</v>
      </c>
      <c r="H2340">
        <v>145000</v>
      </c>
      <c r="I2340" t="s">
        <v>949</v>
      </c>
    </row>
    <row r="2341" spans="1:9" x14ac:dyDescent="0.25">
      <c r="A2341">
        <v>3110</v>
      </c>
      <c r="B2341">
        <v>10</v>
      </c>
      <c r="C2341" t="s">
        <v>950</v>
      </c>
      <c r="D2341" t="s">
        <v>1005</v>
      </c>
      <c r="E2341" t="s">
        <v>314</v>
      </c>
      <c r="F2341" t="s">
        <v>951</v>
      </c>
      <c r="G2341">
        <v>1000000</v>
      </c>
      <c r="H2341">
        <v>145000</v>
      </c>
      <c r="I2341" t="s">
        <v>949</v>
      </c>
    </row>
    <row r="2342" spans="1:9" x14ac:dyDescent="0.25">
      <c r="A2342">
        <v>3110</v>
      </c>
      <c r="B2342">
        <v>10</v>
      </c>
      <c r="C2342" t="s">
        <v>950</v>
      </c>
      <c r="D2342" t="s">
        <v>1005</v>
      </c>
      <c r="E2342" t="s">
        <v>314</v>
      </c>
      <c r="F2342" t="s">
        <v>952</v>
      </c>
      <c r="G2342">
        <v>1000000</v>
      </c>
      <c r="H2342">
        <v>145000</v>
      </c>
      <c r="I2342" t="s">
        <v>949</v>
      </c>
    </row>
    <row r="2343" spans="1:9" x14ac:dyDescent="0.25">
      <c r="A2343">
        <v>3110</v>
      </c>
      <c r="B2343">
        <v>10</v>
      </c>
      <c r="C2343" t="s">
        <v>962</v>
      </c>
      <c r="D2343" t="s">
        <v>1005</v>
      </c>
      <c r="E2343" t="s">
        <v>314</v>
      </c>
      <c r="F2343" t="s">
        <v>951</v>
      </c>
      <c r="G2343">
        <v>1000000</v>
      </c>
      <c r="H2343">
        <v>145000</v>
      </c>
      <c r="I2343" t="s">
        <v>949</v>
      </c>
    </row>
    <row r="2344" spans="1:9" x14ac:dyDescent="0.25">
      <c r="A2344">
        <v>3110</v>
      </c>
      <c r="B2344">
        <v>10</v>
      </c>
      <c r="C2344" t="s">
        <v>962</v>
      </c>
      <c r="D2344" t="s">
        <v>1005</v>
      </c>
      <c r="E2344" t="s">
        <v>314</v>
      </c>
      <c r="F2344" t="s">
        <v>952</v>
      </c>
      <c r="G2344">
        <v>1000000</v>
      </c>
      <c r="H2344">
        <v>145000</v>
      </c>
      <c r="I2344" t="s">
        <v>949</v>
      </c>
    </row>
    <row r="2345" spans="1:9" x14ac:dyDescent="0.25">
      <c r="A2345">
        <v>3110</v>
      </c>
      <c r="B2345">
        <v>10</v>
      </c>
      <c r="C2345" t="s">
        <v>963</v>
      </c>
      <c r="D2345" t="s">
        <v>1005</v>
      </c>
      <c r="E2345" t="s">
        <v>314</v>
      </c>
      <c r="F2345" t="s">
        <v>951</v>
      </c>
      <c r="G2345">
        <v>1000000</v>
      </c>
      <c r="H2345">
        <v>145000</v>
      </c>
      <c r="I2345" t="s">
        <v>949</v>
      </c>
    </row>
    <row r="2346" spans="1:9" x14ac:dyDescent="0.25">
      <c r="A2346">
        <v>3110</v>
      </c>
      <c r="B2346">
        <v>10</v>
      </c>
      <c r="C2346" t="s">
        <v>963</v>
      </c>
      <c r="D2346" t="s">
        <v>1005</v>
      </c>
      <c r="E2346" t="s">
        <v>314</v>
      </c>
      <c r="F2346" t="s">
        <v>952</v>
      </c>
      <c r="G2346">
        <v>1000000</v>
      </c>
      <c r="H2346">
        <v>145000</v>
      </c>
      <c r="I2346" t="s">
        <v>949</v>
      </c>
    </row>
    <row r="2347" spans="1:9" x14ac:dyDescent="0.25">
      <c r="A2347">
        <v>3110</v>
      </c>
      <c r="B2347">
        <v>10</v>
      </c>
      <c r="C2347" t="s">
        <v>950</v>
      </c>
      <c r="D2347" t="s">
        <v>1005</v>
      </c>
      <c r="E2347" t="s">
        <v>121</v>
      </c>
      <c r="F2347" t="s">
        <v>951</v>
      </c>
      <c r="G2347">
        <v>1077777</v>
      </c>
      <c r="H2347">
        <v>500220</v>
      </c>
      <c r="I2347" t="s">
        <v>949</v>
      </c>
    </row>
    <row r="2348" spans="1:9" x14ac:dyDescent="0.25">
      <c r="A2348">
        <v>3110</v>
      </c>
      <c r="B2348">
        <v>10</v>
      </c>
      <c r="C2348" t="s">
        <v>962</v>
      </c>
      <c r="D2348" t="s">
        <v>1005</v>
      </c>
      <c r="E2348" t="s">
        <v>121</v>
      </c>
      <c r="F2348" t="s">
        <v>951</v>
      </c>
      <c r="G2348">
        <v>1077777</v>
      </c>
      <c r="H2348">
        <v>500220</v>
      </c>
      <c r="I2348" t="s">
        <v>949</v>
      </c>
    </row>
    <row r="2349" spans="1:9" x14ac:dyDescent="0.25">
      <c r="A2349">
        <v>3110</v>
      </c>
      <c r="B2349">
        <v>10</v>
      </c>
      <c r="C2349" t="s">
        <v>963</v>
      </c>
      <c r="D2349" t="s">
        <v>1005</v>
      </c>
      <c r="E2349" t="s">
        <v>121</v>
      </c>
      <c r="F2349" t="s">
        <v>951</v>
      </c>
      <c r="G2349">
        <v>1077777</v>
      </c>
      <c r="H2349">
        <v>500220</v>
      </c>
      <c r="I2349" t="s">
        <v>949</v>
      </c>
    </row>
    <row r="2350" spans="1:9" x14ac:dyDescent="0.25">
      <c r="A2350">
        <v>3110</v>
      </c>
      <c r="B2350">
        <v>10</v>
      </c>
      <c r="C2350" t="s">
        <v>950</v>
      </c>
      <c r="D2350" t="s">
        <v>1005</v>
      </c>
      <c r="E2350" t="s">
        <v>984</v>
      </c>
      <c r="F2350" t="s">
        <v>951</v>
      </c>
      <c r="G2350">
        <v>1000000</v>
      </c>
      <c r="H2350">
        <v>141000</v>
      </c>
      <c r="I2350" t="s">
        <v>985</v>
      </c>
    </row>
    <row r="2351" spans="1:9" x14ac:dyDescent="0.25">
      <c r="A2351">
        <v>3110</v>
      </c>
      <c r="B2351">
        <v>10</v>
      </c>
      <c r="C2351" t="s">
        <v>950</v>
      </c>
      <c r="D2351" t="s">
        <v>1005</v>
      </c>
      <c r="E2351" t="s">
        <v>984</v>
      </c>
      <c r="F2351" t="s">
        <v>952</v>
      </c>
      <c r="G2351">
        <v>1000000</v>
      </c>
      <c r="H2351">
        <v>141000</v>
      </c>
      <c r="I2351" t="s">
        <v>985</v>
      </c>
    </row>
    <row r="2352" spans="1:9" x14ac:dyDescent="0.25">
      <c r="A2352">
        <v>3110</v>
      </c>
      <c r="B2352">
        <v>10</v>
      </c>
      <c r="C2352" t="s">
        <v>962</v>
      </c>
      <c r="D2352" t="s">
        <v>1005</v>
      </c>
      <c r="E2352" t="s">
        <v>984</v>
      </c>
      <c r="F2352" t="s">
        <v>951</v>
      </c>
      <c r="G2352">
        <v>1000000</v>
      </c>
      <c r="H2352">
        <v>141000</v>
      </c>
      <c r="I2352" t="s">
        <v>985</v>
      </c>
    </row>
    <row r="2353" spans="1:9" x14ac:dyDescent="0.25">
      <c r="A2353">
        <v>3110</v>
      </c>
      <c r="B2353">
        <v>10</v>
      </c>
      <c r="C2353" t="s">
        <v>962</v>
      </c>
      <c r="D2353" t="s">
        <v>1005</v>
      </c>
      <c r="E2353" t="s">
        <v>984</v>
      </c>
      <c r="F2353" t="s">
        <v>952</v>
      </c>
      <c r="G2353">
        <v>1000000</v>
      </c>
      <c r="H2353">
        <v>141000</v>
      </c>
      <c r="I2353" t="s">
        <v>985</v>
      </c>
    </row>
    <row r="2354" spans="1:9" x14ac:dyDescent="0.25">
      <c r="A2354">
        <v>3110</v>
      </c>
      <c r="B2354">
        <v>10</v>
      </c>
      <c r="C2354" t="s">
        <v>963</v>
      </c>
      <c r="D2354" t="s">
        <v>1005</v>
      </c>
      <c r="E2354" t="s">
        <v>984</v>
      </c>
      <c r="F2354" t="s">
        <v>951</v>
      </c>
      <c r="G2354">
        <v>1000000</v>
      </c>
      <c r="H2354">
        <v>141000</v>
      </c>
      <c r="I2354" t="s">
        <v>985</v>
      </c>
    </row>
    <row r="2355" spans="1:9" x14ac:dyDescent="0.25">
      <c r="A2355">
        <v>3110</v>
      </c>
      <c r="B2355">
        <v>10</v>
      </c>
      <c r="C2355" t="s">
        <v>963</v>
      </c>
      <c r="D2355" t="s">
        <v>1005</v>
      </c>
      <c r="E2355" t="s">
        <v>984</v>
      </c>
      <c r="F2355" t="s">
        <v>952</v>
      </c>
      <c r="G2355">
        <v>1000000</v>
      </c>
      <c r="H2355">
        <v>141000</v>
      </c>
      <c r="I2355" t="s">
        <v>985</v>
      </c>
    </row>
    <row r="2356" ht="22" customHeight="1" spans="1:10" x14ac:dyDescent="0.25">
      <c r="A2356" s="41">
        <v>4154</v>
      </c>
      <c r="B2356" s="41">
        <v>10</v>
      </c>
      <c r="C2356" s="41" t="s">
        <v>946</v>
      </c>
      <c r="D2356" s="41" t="s">
        <v>1006</v>
      </c>
      <c r="E2356" s="41" t="s">
        <v>49</v>
      </c>
      <c r="F2356" s="41" t="s">
        <v>948</v>
      </c>
      <c r="G2356" s="41">
        <v>1077777</v>
      </c>
      <c r="H2356" s="41">
        <v>500465</v>
      </c>
      <c r="I2356" s="41" t="s">
        <v>949</v>
      </c>
      <c r="J2356" s="42" t="s">
        <v>1007</v>
      </c>
    </row>
    <row r="2357" spans="1:9" x14ac:dyDescent="0.25">
      <c r="A2357">
        <v>4152</v>
      </c>
      <c r="B2357">
        <v>10</v>
      </c>
      <c r="C2357" t="s">
        <v>946</v>
      </c>
      <c r="D2357" t="s">
        <v>1006</v>
      </c>
      <c r="E2357" t="s">
        <v>243</v>
      </c>
      <c r="F2357" t="s">
        <v>948</v>
      </c>
      <c r="G2357">
        <v>1000000</v>
      </c>
      <c r="H2357">
        <v>145000</v>
      </c>
      <c r="I2357" t="s">
        <v>949</v>
      </c>
    </row>
    <row r="2358" spans="1:9" x14ac:dyDescent="0.25">
      <c r="A2358">
        <v>4152</v>
      </c>
      <c r="B2358">
        <v>10</v>
      </c>
      <c r="C2358" t="s">
        <v>946</v>
      </c>
      <c r="D2358" t="s">
        <v>1006</v>
      </c>
      <c r="E2358" t="s">
        <v>247</v>
      </c>
      <c r="F2358" t="s">
        <v>948</v>
      </c>
      <c r="G2358">
        <v>1000000</v>
      </c>
      <c r="H2358">
        <v>145000</v>
      </c>
      <c r="I2358" t="s">
        <v>949</v>
      </c>
    </row>
    <row r="2359" spans="1:9" x14ac:dyDescent="0.25">
      <c r="A2359">
        <v>4152</v>
      </c>
      <c r="B2359">
        <v>10</v>
      </c>
      <c r="C2359" t="s">
        <v>946</v>
      </c>
      <c r="D2359" t="s">
        <v>1006</v>
      </c>
      <c r="E2359" t="s">
        <v>251</v>
      </c>
      <c r="F2359" t="s">
        <v>948</v>
      </c>
      <c r="G2359">
        <v>1000000</v>
      </c>
      <c r="H2359">
        <v>142000</v>
      </c>
      <c r="I2359" t="s">
        <v>949</v>
      </c>
    </row>
    <row r="2360" spans="1:9" x14ac:dyDescent="0.25">
      <c r="A2360">
        <v>4152</v>
      </c>
      <c r="B2360">
        <v>10</v>
      </c>
      <c r="C2360" t="s">
        <v>946</v>
      </c>
      <c r="D2360" t="s">
        <v>1006</v>
      </c>
      <c r="E2360" t="s">
        <v>969</v>
      </c>
      <c r="F2360" t="s">
        <v>948</v>
      </c>
      <c r="G2360">
        <v>1000000</v>
      </c>
      <c r="H2360">
        <v>141000</v>
      </c>
      <c r="I2360" t="s">
        <v>970</v>
      </c>
    </row>
    <row r="2361" spans="1:9" x14ac:dyDescent="0.25">
      <c r="A2361">
        <v>4152</v>
      </c>
      <c r="B2361">
        <v>10</v>
      </c>
      <c r="C2361" t="s">
        <v>946</v>
      </c>
      <c r="D2361" t="s">
        <v>1006</v>
      </c>
      <c r="E2361" t="s">
        <v>255</v>
      </c>
      <c r="F2361" t="s">
        <v>948</v>
      </c>
      <c r="G2361">
        <v>1000000</v>
      </c>
      <c r="H2361">
        <v>145000</v>
      </c>
      <c r="I2361" t="s">
        <v>949</v>
      </c>
    </row>
    <row r="2362" spans="1:9" x14ac:dyDescent="0.25">
      <c r="A2362">
        <v>4152</v>
      </c>
      <c r="B2362">
        <v>10</v>
      </c>
      <c r="C2362" t="s">
        <v>946</v>
      </c>
      <c r="D2362" t="s">
        <v>1006</v>
      </c>
      <c r="E2362" t="s">
        <v>971</v>
      </c>
      <c r="F2362" t="s">
        <v>948</v>
      </c>
      <c r="G2362">
        <v>1000000</v>
      </c>
      <c r="H2362">
        <v>141000</v>
      </c>
      <c r="I2362" t="s">
        <v>972</v>
      </c>
    </row>
    <row r="2363" spans="1:9" x14ac:dyDescent="0.25">
      <c r="A2363">
        <v>4152</v>
      </c>
      <c r="B2363">
        <v>10</v>
      </c>
      <c r="C2363" t="s">
        <v>946</v>
      </c>
      <c r="D2363" t="s">
        <v>1006</v>
      </c>
      <c r="E2363" t="s">
        <v>263</v>
      </c>
      <c r="F2363" t="s">
        <v>948</v>
      </c>
      <c r="G2363">
        <v>1000000</v>
      </c>
      <c r="H2363">
        <v>145000</v>
      </c>
      <c r="I2363" t="s">
        <v>949</v>
      </c>
    </row>
    <row r="2364" ht="22" customHeight="1" spans="1:10" x14ac:dyDescent="0.25">
      <c r="A2364" s="41">
        <v>4152</v>
      </c>
      <c r="B2364" s="41">
        <v>10</v>
      </c>
      <c r="C2364" s="41" t="s">
        <v>946</v>
      </c>
      <c r="D2364" s="41" t="s">
        <v>1006</v>
      </c>
      <c r="E2364" s="41" t="s">
        <v>100</v>
      </c>
      <c r="F2364" s="41" t="s">
        <v>948</v>
      </c>
      <c r="G2364" s="41">
        <v>1077777</v>
      </c>
      <c r="H2364" s="41">
        <v>500465</v>
      </c>
      <c r="I2364" s="41" t="s">
        <v>949</v>
      </c>
      <c r="J2364" s="42" t="s">
        <v>1008</v>
      </c>
    </row>
    <row r="2365" spans="1:9" x14ac:dyDescent="0.25">
      <c r="A2365">
        <v>4152</v>
      </c>
      <c r="B2365">
        <v>10</v>
      </c>
      <c r="C2365" t="s">
        <v>946</v>
      </c>
      <c r="D2365" t="s">
        <v>1006</v>
      </c>
      <c r="E2365" t="s">
        <v>270</v>
      </c>
      <c r="F2365" t="s">
        <v>948</v>
      </c>
      <c r="G2365">
        <v>1000000</v>
      </c>
      <c r="H2365">
        <v>145000</v>
      </c>
      <c r="I2365" t="s">
        <v>949</v>
      </c>
    </row>
    <row r="2366" spans="1:9" x14ac:dyDescent="0.25">
      <c r="A2366">
        <v>4152</v>
      </c>
      <c r="B2366">
        <v>10</v>
      </c>
      <c r="C2366" t="s">
        <v>946</v>
      </c>
      <c r="D2366" t="s">
        <v>1006</v>
      </c>
      <c r="E2366" t="s">
        <v>274</v>
      </c>
      <c r="F2366" t="s">
        <v>948</v>
      </c>
      <c r="G2366">
        <v>1000000</v>
      </c>
      <c r="H2366">
        <v>143000</v>
      </c>
      <c r="I2366" t="s">
        <v>973</v>
      </c>
    </row>
    <row r="2367" spans="1:9" x14ac:dyDescent="0.25">
      <c r="A2367">
        <v>4152</v>
      </c>
      <c r="B2367">
        <v>10</v>
      </c>
      <c r="C2367" t="s">
        <v>946</v>
      </c>
      <c r="D2367" t="s">
        <v>1006</v>
      </c>
      <c r="E2367" t="s">
        <v>974</v>
      </c>
      <c r="F2367" t="s">
        <v>948</v>
      </c>
      <c r="G2367">
        <v>1000000</v>
      </c>
      <c r="H2367">
        <v>141000</v>
      </c>
      <c r="I2367" t="s">
        <v>975</v>
      </c>
    </row>
    <row r="2368" ht="22" customHeight="1" spans="1:10" x14ac:dyDescent="0.25">
      <c r="A2368" s="41">
        <v>4152</v>
      </c>
      <c r="B2368" s="41">
        <v>10</v>
      </c>
      <c r="C2368" s="41" t="s">
        <v>946</v>
      </c>
      <c r="D2368" s="41" t="s">
        <v>1006</v>
      </c>
      <c r="E2368" s="41" t="s">
        <v>104</v>
      </c>
      <c r="F2368" s="41" t="s">
        <v>948</v>
      </c>
      <c r="G2368" s="41">
        <v>1077777</v>
      </c>
      <c r="H2368" s="41">
        <v>500465</v>
      </c>
      <c r="I2368" s="41" t="s">
        <v>949</v>
      </c>
      <c r="J2368" s="42" t="s">
        <v>1008</v>
      </c>
    </row>
    <row r="2369" spans="1:9" x14ac:dyDescent="0.25">
      <c r="A2369">
        <v>4152</v>
      </c>
      <c r="B2369">
        <v>10</v>
      </c>
      <c r="C2369" t="s">
        <v>946</v>
      </c>
      <c r="D2369" t="s">
        <v>1006</v>
      </c>
      <c r="E2369" t="s">
        <v>278</v>
      </c>
      <c r="F2369" t="s">
        <v>948</v>
      </c>
      <c r="G2369">
        <v>1000000</v>
      </c>
      <c r="H2369">
        <v>145000</v>
      </c>
      <c r="I2369" t="s">
        <v>949</v>
      </c>
    </row>
    <row r="2370" spans="1:9" x14ac:dyDescent="0.25">
      <c r="A2370">
        <v>4152</v>
      </c>
      <c r="B2370">
        <v>10</v>
      </c>
      <c r="C2370" t="s">
        <v>946</v>
      </c>
      <c r="D2370" t="s">
        <v>1006</v>
      </c>
      <c r="E2370" t="s">
        <v>282</v>
      </c>
      <c r="F2370" t="s">
        <v>948</v>
      </c>
      <c r="G2370">
        <v>1000000</v>
      </c>
      <c r="H2370">
        <v>143100</v>
      </c>
      <c r="I2370" t="s">
        <v>949</v>
      </c>
    </row>
    <row r="2371" spans="1:9" x14ac:dyDescent="0.25">
      <c r="A2371">
        <v>4152</v>
      </c>
      <c r="B2371">
        <v>10</v>
      </c>
      <c r="C2371" t="s">
        <v>946</v>
      </c>
      <c r="D2371" t="s">
        <v>1006</v>
      </c>
      <c r="E2371" t="s">
        <v>286</v>
      </c>
      <c r="F2371" t="s">
        <v>948</v>
      </c>
      <c r="G2371">
        <v>1000000</v>
      </c>
      <c r="H2371">
        <v>145000</v>
      </c>
      <c r="I2371" t="s">
        <v>949</v>
      </c>
    </row>
    <row r="2372" spans="1:9" x14ac:dyDescent="0.25">
      <c r="A2372">
        <v>4152</v>
      </c>
      <c r="B2372">
        <v>10</v>
      </c>
      <c r="C2372" t="s">
        <v>946</v>
      </c>
      <c r="D2372" t="s">
        <v>1006</v>
      </c>
      <c r="E2372" t="s">
        <v>976</v>
      </c>
      <c r="F2372" t="s">
        <v>948</v>
      </c>
      <c r="G2372">
        <v>1000000</v>
      </c>
      <c r="H2372">
        <v>141000</v>
      </c>
      <c r="I2372" t="s">
        <v>977</v>
      </c>
    </row>
    <row r="2373" spans="1:9" x14ac:dyDescent="0.25">
      <c r="A2373">
        <v>4152</v>
      </c>
      <c r="B2373">
        <v>10</v>
      </c>
      <c r="C2373" t="s">
        <v>946</v>
      </c>
      <c r="D2373" t="s">
        <v>1006</v>
      </c>
      <c r="E2373" t="s">
        <v>290</v>
      </c>
      <c r="F2373" t="s">
        <v>948</v>
      </c>
      <c r="G2373">
        <v>1000000</v>
      </c>
      <c r="H2373">
        <v>143000</v>
      </c>
      <c r="I2373" t="s">
        <v>978</v>
      </c>
    </row>
    <row r="2374" spans="1:9" x14ac:dyDescent="0.25">
      <c r="A2374">
        <v>4152</v>
      </c>
      <c r="B2374">
        <v>10</v>
      </c>
      <c r="C2374" t="s">
        <v>946</v>
      </c>
      <c r="D2374" t="s">
        <v>1006</v>
      </c>
      <c r="E2374" t="s">
        <v>294</v>
      </c>
      <c r="F2374" t="s">
        <v>948</v>
      </c>
      <c r="G2374">
        <v>1000000</v>
      </c>
      <c r="H2374">
        <v>143000</v>
      </c>
      <c r="I2374" t="s">
        <v>979</v>
      </c>
    </row>
    <row r="2375" spans="1:9" x14ac:dyDescent="0.25">
      <c r="A2375">
        <v>4152</v>
      </c>
      <c r="B2375">
        <v>10</v>
      </c>
      <c r="C2375" t="s">
        <v>946</v>
      </c>
      <c r="D2375" t="s">
        <v>1006</v>
      </c>
      <c r="E2375" t="s">
        <v>980</v>
      </c>
      <c r="F2375" t="s">
        <v>948</v>
      </c>
      <c r="G2375">
        <v>1000000</v>
      </c>
      <c r="H2375">
        <v>141000</v>
      </c>
      <c r="I2375" t="s">
        <v>981</v>
      </c>
    </row>
    <row r="2376" spans="1:9" x14ac:dyDescent="0.25">
      <c r="A2376">
        <v>4152</v>
      </c>
      <c r="B2376">
        <v>10</v>
      </c>
      <c r="C2376" t="s">
        <v>946</v>
      </c>
      <c r="D2376" t="s">
        <v>1006</v>
      </c>
      <c r="E2376" t="s">
        <v>302</v>
      </c>
      <c r="F2376" t="s">
        <v>948</v>
      </c>
      <c r="G2376">
        <v>1000000</v>
      </c>
      <c r="H2376">
        <v>143000</v>
      </c>
      <c r="I2376" t="s">
        <v>982</v>
      </c>
    </row>
    <row r="2377" spans="1:9" x14ac:dyDescent="0.25">
      <c r="A2377">
        <v>4152</v>
      </c>
      <c r="B2377">
        <v>10</v>
      </c>
      <c r="C2377" t="s">
        <v>946</v>
      </c>
      <c r="D2377" t="s">
        <v>1006</v>
      </c>
      <c r="E2377" t="s">
        <v>306</v>
      </c>
      <c r="F2377" t="s">
        <v>948</v>
      </c>
      <c r="G2377">
        <v>1000000</v>
      </c>
      <c r="H2377">
        <v>143000</v>
      </c>
      <c r="I2377" t="s">
        <v>983</v>
      </c>
    </row>
    <row r="2378" ht="22" customHeight="1" spans="1:10" x14ac:dyDescent="0.25">
      <c r="A2378" s="41">
        <v>4152</v>
      </c>
      <c r="B2378" s="41">
        <v>10</v>
      </c>
      <c r="C2378" s="41" t="s">
        <v>946</v>
      </c>
      <c r="D2378" s="41" t="s">
        <v>1006</v>
      </c>
      <c r="E2378" s="41" t="s">
        <v>108</v>
      </c>
      <c r="F2378" s="41" t="s">
        <v>948</v>
      </c>
      <c r="G2378" s="41">
        <v>1077777</v>
      </c>
      <c r="H2378" s="41">
        <v>500465</v>
      </c>
      <c r="I2378" s="41" t="s">
        <v>949</v>
      </c>
      <c r="J2378" s="42" t="s">
        <v>1008</v>
      </c>
    </row>
    <row r="2379" spans="1:9" x14ac:dyDescent="0.25">
      <c r="A2379">
        <v>4152</v>
      </c>
      <c r="B2379">
        <v>10</v>
      </c>
      <c r="C2379" t="s">
        <v>946</v>
      </c>
      <c r="D2379" t="s">
        <v>1006</v>
      </c>
      <c r="E2379" t="s">
        <v>310</v>
      </c>
      <c r="F2379" t="s">
        <v>948</v>
      </c>
      <c r="G2379">
        <v>1000000</v>
      </c>
      <c r="H2379">
        <v>145000</v>
      </c>
      <c r="I2379" t="s">
        <v>949</v>
      </c>
    </row>
    <row r="2380" spans="1:9" x14ac:dyDescent="0.25">
      <c r="A2380">
        <v>4152</v>
      </c>
      <c r="B2380">
        <v>10</v>
      </c>
      <c r="C2380" t="s">
        <v>946</v>
      </c>
      <c r="D2380" t="s">
        <v>1006</v>
      </c>
      <c r="E2380" t="s">
        <v>314</v>
      </c>
      <c r="F2380" t="s">
        <v>948</v>
      </c>
      <c r="G2380">
        <v>1000000</v>
      </c>
      <c r="H2380">
        <v>145000</v>
      </c>
      <c r="I2380" t="s">
        <v>949</v>
      </c>
    </row>
    <row r="2381" ht="22" customHeight="1" spans="1:10" x14ac:dyDescent="0.25">
      <c r="A2381" s="41">
        <v>4152</v>
      </c>
      <c r="B2381" s="41">
        <v>10</v>
      </c>
      <c r="C2381" s="41" t="s">
        <v>946</v>
      </c>
      <c r="D2381" s="41" t="s">
        <v>1006</v>
      </c>
      <c r="E2381" s="41" t="s">
        <v>121</v>
      </c>
      <c r="F2381" s="41" t="s">
        <v>948</v>
      </c>
      <c r="G2381" s="41">
        <v>1077777</v>
      </c>
      <c r="H2381" s="41">
        <v>500465</v>
      </c>
      <c r="I2381" s="41" t="s">
        <v>949</v>
      </c>
      <c r="J2381" s="42" t="s">
        <v>1008</v>
      </c>
    </row>
    <row r="2382" spans="1:9" x14ac:dyDescent="0.25">
      <c r="A2382">
        <v>4152</v>
      </c>
      <c r="B2382">
        <v>10</v>
      </c>
      <c r="C2382" t="s">
        <v>946</v>
      </c>
      <c r="D2382" t="s">
        <v>1006</v>
      </c>
      <c r="E2382" t="s">
        <v>984</v>
      </c>
      <c r="F2382" t="s">
        <v>948</v>
      </c>
      <c r="G2382">
        <v>1000000</v>
      </c>
      <c r="H2382">
        <v>141000</v>
      </c>
      <c r="I2382" t="s">
        <v>985</v>
      </c>
    </row>
    <row r="2383" spans="1:9" x14ac:dyDescent="0.25">
      <c r="A2383">
        <v>3130</v>
      </c>
      <c r="B2383">
        <v>10</v>
      </c>
      <c r="C2383" t="s">
        <v>950</v>
      </c>
      <c r="D2383" t="s">
        <v>1009</v>
      </c>
      <c r="E2383" t="s">
        <v>49</v>
      </c>
      <c r="F2383" t="s">
        <v>951</v>
      </c>
      <c r="G2383">
        <v>1077777</v>
      </c>
      <c r="H2383">
        <v>501100</v>
      </c>
      <c r="I2383" t="s">
        <v>949</v>
      </c>
    </row>
    <row r="2384" spans="1:9" x14ac:dyDescent="0.25">
      <c r="A2384">
        <v>3130</v>
      </c>
      <c r="B2384">
        <v>10</v>
      </c>
      <c r="C2384" t="s">
        <v>950</v>
      </c>
      <c r="D2384" t="s">
        <v>1009</v>
      </c>
      <c r="E2384" t="s">
        <v>49</v>
      </c>
      <c r="F2384" t="s">
        <v>952</v>
      </c>
      <c r="G2384">
        <v>1077777</v>
      </c>
      <c r="H2384">
        <v>501100</v>
      </c>
      <c r="I2384" t="s">
        <v>949</v>
      </c>
    </row>
    <row r="2385" spans="1:9" x14ac:dyDescent="0.25">
      <c r="A2385">
        <v>3130</v>
      </c>
      <c r="B2385">
        <v>10</v>
      </c>
      <c r="C2385" t="s">
        <v>950</v>
      </c>
      <c r="D2385" t="s">
        <v>1009</v>
      </c>
      <c r="E2385" t="s">
        <v>49</v>
      </c>
      <c r="F2385" t="s">
        <v>953</v>
      </c>
      <c r="G2385">
        <v>1077777</v>
      </c>
      <c r="H2385">
        <v>501100</v>
      </c>
      <c r="I2385" t="s">
        <v>949</v>
      </c>
    </row>
    <row r="2386" spans="1:9" x14ac:dyDescent="0.25">
      <c r="A2386">
        <v>3130</v>
      </c>
      <c r="B2386">
        <v>10</v>
      </c>
      <c r="C2386" t="s">
        <v>950</v>
      </c>
      <c r="D2386" t="s">
        <v>1009</v>
      </c>
      <c r="E2386" t="s">
        <v>49</v>
      </c>
      <c r="F2386" t="s">
        <v>954</v>
      </c>
      <c r="G2386">
        <v>1077777</v>
      </c>
      <c r="H2386">
        <v>501100</v>
      </c>
      <c r="I2386" t="s">
        <v>949</v>
      </c>
    </row>
    <row r="2387" spans="1:9" x14ac:dyDescent="0.25">
      <c r="A2387">
        <v>3130</v>
      </c>
      <c r="B2387">
        <v>10</v>
      </c>
      <c r="C2387" t="s">
        <v>950</v>
      </c>
      <c r="D2387" t="s">
        <v>1009</v>
      </c>
      <c r="E2387" t="s">
        <v>49</v>
      </c>
      <c r="F2387" t="s">
        <v>955</v>
      </c>
      <c r="G2387">
        <v>1077777</v>
      </c>
      <c r="H2387">
        <v>501100</v>
      </c>
      <c r="I2387" t="s">
        <v>949</v>
      </c>
    </row>
    <row r="2388" spans="1:9" x14ac:dyDescent="0.25">
      <c r="A2388">
        <v>3130</v>
      </c>
      <c r="B2388">
        <v>10</v>
      </c>
      <c r="C2388" t="s">
        <v>950</v>
      </c>
      <c r="D2388" t="s">
        <v>1009</v>
      </c>
      <c r="E2388" t="s">
        <v>49</v>
      </c>
      <c r="F2388" t="s">
        <v>956</v>
      </c>
      <c r="G2388">
        <v>1077777</v>
      </c>
      <c r="H2388">
        <v>501100</v>
      </c>
      <c r="I2388" t="s">
        <v>949</v>
      </c>
    </row>
    <row r="2389" spans="1:9" x14ac:dyDescent="0.25">
      <c r="A2389">
        <v>3130</v>
      </c>
      <c r="B2389">
        <v>10</v>
      </c>
      <c r="C2389" t="s">
        <v>950</v>
      </c>
      <c r="D2389" t="s">
        <v>1009</v>
      </c>
      <c r="E2389" t="s">
        <v>49</v>
      </c>
      <c r="F2389" t="s">
        <v>957</v>
      </c>
      <c r="G2389">
        <v>1077777</v>
      </c>
      <c r="H2389">
        <v>501100</v>
      </c>
      <c r="I2389" t="s">
        <v>949</v>
      </c>
    </row>
    <row r="2390" spans="1:9" x14ac:dyDescent="0.25">
      <c r="A2390">
        <v>3130</v>
      </c>
      <c r="B2390">
        <v>10</v>
      </c>
      <c r="C2390" t="s">
        <v>950</v>
      </c>
      <c r="D2390" t="s">
        <v>1009</v>
      </c>
      <c r="E2390" t="s">
        <v>49</v>
      </c>
      <c r="F2390" t="s">
        <v>958</v>
      </c>
      <c r="G2390">
        <v>1077777</v>
      </c>
      <c r="H2390">
        <v>501100</v>
      </c>
      <c r="I2390" t="s">
        <v>949</v>
      </c>
    </row>
    <row r="2391" spans="1:9" x14ac:dyDescent="0.25">
      <c r="A2391">
        <v>3130</v>
      </c>
      <c r="B2391">
        <v>10</v>
      </c>
      <c r="C2391" t="s">
        <v>950</v>
      </c>
      <c r="D2391" t="s">
        <v>1009</v>
      </c>
      <c r="E2391" t="s">
        <v>49</v>
      </c>
      <c r="F2391" t="s">
        <v>959</v>
      </c>
      <c r="G2391">
        <v>1077777</v>
      </c>
      <c r="H2391">
        <v>501100</v>
      </c>
      <c r="I2391" t="s">
        <v>949</v>
      </c>
    </row>
    <row r="2392" spans="1:9" x14ac:dyDescent="0.25">
      <c r="A2392">
        <v>3130</v>
      </c>
      <c r="B2392">
        <v>10</v>
      </c>
      <c r="C2392" t="s">
        <v>950</v>
      </c>
      <c r="D2392" t="s">
        <v>1009</v>
      </c>
      <c r="E2392" t="s">
        <v>49</v>
      </c>
      <c r="F2392" t="s">
        <v>960</v>
      </c>
      <c r="G2392">
        <v>1077777</v>
      </c>
      <c r="H2392">
        <v>501100</v>
      </c>
      <c r="I2392" t="s">
        <v>949</v>
      </c>
    </row>
    <row r="2393" spans="1:9" x14ac:dyDescent="0.25">
      <c r="A2393">
        <v>3130</v>
      </c>
      <c r="B2393">
        <v>10</v>
      </c>
      <c r="C2393" t="s">
        <v>950</v>
      </c>
      <c r="D2393" t="s">
        <v>1009</v>
      </c>
      <c r="E2393" t="s">
        <v>49</v>
      </c>
      <c r="F2393" t="s">
        <v>961</v>
      </c>
      <c r="G2393">
        <v>1077777</v>
      </c>
      <c r="H2393">
        <v>501100</v>
      </c>
      <c r="I2393" t="s">
        <v>949</v>
      </c>
    </row>
    <row r="2394" spans="1:9" x14ac:dyDescent="0.25">
      <c r="A2394">
        <v>3130</v>
      </c>
      <c r="B2394">
        <v>10</v>
      </c>
      <c r="C2394" t="s">
        <v>962</v>
      </c>
      <c r="D2394" t="s">
        <v>1009</v>
      </c>
      <c r="E2394" t="s">
        <v>49</v>
      </c>
      <c r="F2394" t="s">
        <v>951</v>
      </c>
      <c r="G2394">
        <v>1077777</v>
      </c>
      <c r="H2394">
        <v>501100</v>
      </c>
      <c r="I2394" t="s">
        <v>949</v>
      </c>
    </row>
    <row r="2395" spans="1:9" x14ac:dyDescent="0.25">
      <c r="A2395">
        <v>3130</v>
      </c>
      <c r="B2395">
        <v>10</v>
      </c>
      <c r="C2395" t="s">
        <v>962</v>
      </c>
      <c r="D2395" t="s">
        <v>1009</v>
      </c>
      <c r="E2395" t="s">
        <v>49</v>
      </c>
      <c r="F2395" t="s">
        <v>952</v>
      </c>
      <c r="G2395">
        <v>1077777</v>
      </c>
      <c r="H2395">
        <v>501100</v>
      </c>
      <c r="I2395" t="s">
        <v>949</v>
      </c>
    </row>
    <row r="2396" spans="1:9" x14ac:dyDescent="0.25">
      <c r="A2396">
        <v>3130</v>
      </c>
      <c r="B2396">
        <v>10</v>
      </c>
      <c r="C2396" t="s">
        <v>962</v>
      </c>
      <c r="D2396" t="s">
        <v>1009</v>
      </c>
      <c r="E2396" t="s">
        <v>49</v>
      </c>
      <c r="F2396" t="s">
        <v>953</v>
      </c>
      <c r="G2396">
        <v>1077777</v>
      </c>
      <c r="H2396">
        <v>501100</v>
      </c>
      <c r="I2396" t="s">
        <v>949</v>
      </c>
    </row>
    <row r="2397" spans="1:9" x14ac:dyDescent="0.25">
      <c r="A2397">
        <v>3130</v>
      </c>
      <c r="B2397">
        <v>10</v>
      </c>
      <c r="C2397" t="s">
        <v>962</v>
      </c>
      <c r="D2397" t="s">
        <v>1009</v>
      </c>
      <c r="E2397" t="s">
        <v>49</v>
      </c>
      <c r="F2397" t="s">
        <v>954</v>
      </c>
      <c r="G2397">
        <v>1077777</v>
      </c>
      <c r="H2397">
        <v>501100</v>
      </c>
      <c r="I2397" t="s">
        <v>949</v>
      </c>
    </row>
    <row r="2398" spans="1:9" x14ac:dyDescent="0.25">
      <c r="A2398">
        <v>3130</v>
      </c>
      <c r="B2398">
        <v>10</v>
      </c>
      <c r="C2398" t="s">
        <v>962</v>
      </c>
      <c r="D2398" t="s">
        <v>1009</v>
      </c>
      <c r="E2398" t="s">
        <v>49</v>
      </c>
      <c r="F2398" t="s">
        <v>955</v>
      </c>
      <c r="G2398">
        <v>1077777</v>
      </c>
      <c r="H2398">
        <v>501100</v>
      </c>
      <c r="I2398" t="s">
        <v>949</v>
      </c>
    </row>
    <row r="2399" spans="1:9" x14ac:dyDescent="0.25">
      <c r="A2399">
        <v>3130</v>
      </c>
      <c r="B2399">
        <v>10</v>
      </c>
      <c r="C2399" t="s">
        <v>962</v>
      </c>
      <c r="D2399" t="s">
        <v>1009</v>
      </c>
      <c r="E2399" t="s">
        <v>49</v>
      </c>
      <c r="F2399" t="s">
        <v>956</v>
      </c>
      <c r="G2399">
        <v>1077777</v>
      </c>
      <c r="H2399">
        <v>501100</v>
      </c>
      <c r="I2399" t="s">
        <v>949</v>
      </c>
    </row>
    <row r="2400" spans="1:9" x14ac:dyDescent="0.25">
      <c r="A2400">
        <v>3130</v>
      </c>
      <c r="B2400">
        <v>10</v>
      </c>
      <c r="C2400" t="s">
        <v>962</v>
      </c>
      <c r="D2400" t="s">
        <v>1009</v>
      </c>
      <c r="E2400" t="s">
        <v>49</v>
      </c>
      <c r="F2400" t="s">
        <v>957</v>
      </c>
      <c r="G2400">
        <v>1077777</v>
      </c>
      <c r="H2400">
        <v>501100</v>
      </c>
      <c r="I2400" t="s">
        <v>949</v>
      </c>
    </row>
    <row r="2401" spans="1:9" x14ac:dyDescent="0.25">
      <c r="A2401">
        <v>3130</v>
      </c>
      <c r="B2401">
        <v>10</v>
      </c>
      <c r="C2401" t="s">
        <v>962</v>
      </c>
      <c r="D2401" t="s">
        <v>1009</v>
      </c>
      <c r="E2401" t="s">
        <v>49</v>
      </c>
      <c r="F2401" t="s">
        <v>958</v>
      </c>
      <c r="G2401">
        <v>1077777</v>
      </c>
      <c r="H2401">
        <v>501100</v>
      </c>
      <c r="I2401" t="s">
        <v>949</v>
      </c>
    </row>
    <row r="2402" spans="1:9" x14ac:dyDescent="0.25">
      <c r="A2402">
        <v>3130</v>
      </c>
      <c r="B2402">
        <v>10</v>
      </c>
      <c r="C2402" t="s">
        <v>962</v>
      </c>
      <c r="D2402" t="s">
        <v>1009</v>
      </c>
      <c r="E2402" t="s">
        <v>49</v>
      </c>
      <c r="F2402" t="s">
        <v>959</v>
      </c>
      <c r="G2402">
        <v>1077777</v>
      </c>
      <c r="H2402">
        <v>501100</v>
      </c>
      <c r="I2402" t="s">
        <v>949</v>
      </c>
    </row>
    <row r="2403" spans="1:9" x14ac:dyDescent="0.25">
      <c r="A2403">
        <v>3130</v>
      </c>
      <c r="B2403">
        <v>10</v>
      </c>
      <c r="C2403" t="s">
        <v>962</v>
      </c>
      <c r="D2403" t="s">
        <v>1009</v>
      </c>
      <c r="E2403" t="s">
        <v>49</v>
      </c>
      <c r="F2403" t="s">
        <v>960</v>
      </c>
      <c r="G2403">
        <v>1077777</v>
      </c>
      <c r="H2403">
        <v>501100</v>
      </c>
      <c r="I2403" t="s">
        <v>949</v>
      </c>
    </row>
    <row r="2404" spans="1:9" x14ac:dyDescent="0.25">
      <c r="A2404">
        <v>3130</v>
      </c>
      <c r="B2404">
        <v>10</v>
      </c>
      <c r="C2404" t="s">
        <v>962</v>
      </c>
      <c r="D2404" t="s">
        <v>1009</v>
      </c>
      <c r="E2404" t="s">
        <v>49</v>
      </c>
      <c r="F2404" t="s">
        <v>961</v>
      </c>
      <c r="G2404">
        <v>1077777</v>
      </c>
      <c r="H2404">
        <v>501100</v>
      </c>
      <c r="I2404" t="s">
        <v>949</v>
      </c>
    </row>
    <row r="2405" spans="1:9" x14ac:dyDescent="0.25">
      <c r="A2405">
        <v>3130</v>
      </c>
      <c r="B2405">
        <v>10</v>
      </c>
      <c r="C2405" t="s">
        <v>963</v>
      </c>
      <c r="D2405" t="s">
        <v>1009</v>
      </c>
      <c r="E2405" t="s">
        <v>49</v>
      </c>
      <c r="F2405" t="s">
        <v>951</v>
      </c>
      <c r="G2405">
        <v>1077777</v>
      </c>
      <c r="H2405">
        <v>501100</v>
      </c>
      <c r="I2405" t="s">
        <v>949</v>
      </c>
    </row>
    <row r="2406" spans="1:9" x14ac:dyDescent="0.25">
      <c r="A2406">
        <v>3130</v>
      </c>
      <c r="B2406">
        <v>10</v>
      </c>
      <c r="C2406" t="s">
        <v>963</v>
      </c>
      <c r="D2406" t="s">
        <v>1009</v>
      </c>
      <c r="E2406" t="s">
        <v>49</v>
      </c>
      <c r="F2406" t="s">
        <v>952</v>
      </c>
      <c r="G2406">
        <v>1077777</v>
      </c>
      <c r="H2406">
        <v>501100</v>
      </c>
      <c r="I2406" t="s">
        <v>949</v>
      </c>
    </row>
    <row r="2407" spans="1:9" x14ac:dyDescent="0.25">
      <c r="A2407">
        <v>3130</v>
      </c>
      <c r="B2407">
        <v>10</v>
      </c>
      <c r="C2407" t="s">
        <v>963</v>
      </c>
      <c r="D2407" t="s">
        <v>1009</v>
      </c>
      <c r="E2407" t="s">
        <v>49</v>
      </c>
      <c r="F2407" t="s">
        <v>953</v>
      </c>
      <c r="G2407">
        <v>1077777</v>
      </c>
      <c r="H2407">
        <v>501100</v>
      </c>
      <c r="I2407" t="s">
        <v>949</v>
      </c>
    </row>
    <row r="2408" spans="1:9" x14ac:dyDescent="0.25">
      <c r="A2408">
        <v>3130</v>
      </c>
      <c r="B2408">
        <v>10</v>
      </c>
      <c r="C2408" t="s">
        <v>963</v>
      </c>
      <c r="D2408" t="s">
        <v>1009</v>
      </c>
      <c r="E2408" t="s">
        <v>49</v>
      </c>
      <c r="F2408" t="s">
        <v>954</v>
      </c>
      <c r="G2408">
        <v>1077777</v>
      </c>
      <c r="H2408">
        <v>501100</v>
      </c>
      <c r="I2408" t="s">
        <v>949</v>
      </c>
    </row>
    <row r="2409" spans="1:9" x14ac:dyDescent="0.25">
      <c r="A2409">
        <v>3130</v>
      </c>
      <c r="B2409">
        <v>10</v>
      </c>
      <c r="C2409" t="s">
        <v>963</v>
      </c>
      <c r="D2409" t="s">
        <v>1009</v>
      </c>
      <c r="E2409" t="s">
        <v>49</v>
      </c>
      <c r="F2409" t="s">
        <v>955</v>
      </c>
      <c r="G2409">
        <v>1077777</v>
      </c>
      <c r="H2409">
        <v>501100</v>
      </c>
      <c r="I2409" t="s">
        <v>949</v>
      </c>
    </row>
    <row r="2410" spans="1:9" x14ac:dyDescent="0.25">
      <c r="A2410">
        <v>3130</v>
      </c>
      <c r="B2410">
        <v>10</v>
      </c>
      <c r="C2410" t="s">
        <v>963</v>
      </c>
      <c r="D2410" t="s">
        <v>1009</v>
      </c>
      <c r="E2410" t="s">
        <v>49</v>
      </c>
      <c r="F2410" t="s">
        <v>956</v>
      </c>
      <c r="G2410">
        <v>1077777</v>
      </c>
      <c r="H2410">
        <v>501100</v>
      </c>
      <c r="I2410" t="s">
        <v>949</v>
      </c>
    </row>
    <row r="2411" spans="1:9" x14ac:dyDescent="0.25">
      <c r="A2411">
        <v>3130</v>
      </c>
      <c r="B2411">
        <v>10</v>
      </c>
      <c r="C2411" t="s">
        <v>963</v>
      </c>
      <c r="D2411" t="s">
        <v>1009</v>
      </c>
      <c r="E2411" t="s">
        <v>49</v>
      </c>
      <c r="F2411" t="s">
        <v>957</v>
      </c>
      <c r="G2411">
        <v>1077777</v>
      </c>
      <c r="H2411">
        <v>501100</v>
      </c>
      <c r="I2411" t="s">
        <v>949</v>
      </c>
    </row>
    <row r="2412" spans="1:9" x14ac:dyDescent="0.25">
      <c r="A2412">
        <v>3130</v>
      </c>
      <c r="B2412">
        <v>10</v>
      </c>
      <c r="C2412" t="s">
        <v>963</v>
      </c>
      <c r="D2412" t="s">
        <v>1009</v>
      </c>
      <c r="E2412" t="s">
        <v>49</v>
      </c>
      <c r="F2412" t="s">
        <v>958</v>
      </c>
      <c r="G2412">
        <v>1077777</v>
      </c>
      <c r="H2412">
        <v>501100</v>
      </c>
      <c r="I2412" t="s">
        <v>949</v>
      </c>
    </row>
    <row r="2413" spans="1:9" x14ac:dyDescent="0.25">
      <c r="A2413">
        <v>3130</v>
      </c>
      <c r="B2413">
        <v>10</v>
      </c>
      <c r="C2413" t="s">
        <v>963</v>
      </c>
      <c r="D2413" t="s">
        <v>1009</v>
      </c>
      <c r="E2413" t="s">
        <v>49</v>
      </c>
      <c r="F2413" t="s">
        <v>959</v>
      </c>
      <c r="G2413">
        <v>1077777</v>
      </c>
      <c r="H2413">
        <v>501100</v>
      </c>
      <c r="I2413" t="s">
        <v>949</v>
      </c>
    </row>
    <row r="2414" spans="1:9" x14ac:dyDescent="0.25">
      <c r="A2414">
        <v>3130</v>
      </c>
      <c r="B2414">
        <v>10</v>
      </c>
      <c r="C2414" t="s">
        <v>963</v>
      </c>
      <c r="D2414" t="s">
        <v>1009</v>
      </c>
      <c r="E2414" t="s">
        <v>49</v>
      </c>
      <c r="F2414" t="s">
        <v>960</v>
      </c>
      <c r="G2414">
        <v>1077777</v>
      </c>
      <c r="H2414">
        <v>501100</v>
      </c>
      <c r="I2414" t="s">
        <v>949</v>
      </c>
    </row>
    <row r="2415" spans="1:9" x14ac:dyDescent="0.25">
      <c r="A2415">
        <v>3130</v>
      </c>
      <c r="B2415">
        <v>10</v>
      </c>
      <c r="C2415" t="s">
        <v>963</v>
      </c>
      <c r="D2415" t="s">
        <v>1009</v>
      </c>
      <c r="E2415" t="s">
        <v>49</v>
      </c>
      <c r="F2415" t="s">
        <v>961</v>
      </c>
      <c r="G2415">
        <v>1077777</v>
      </c>
      <c r="H2415">
        <v>501100</v>
      </c>
      <c r="I2415" t="s">
        <v>949</v>
      </c>
    </row>
    <row r="2416" ht="22" customHeight="1" spans="1:10" x14ac:dyDescent="0.25">
      <c r="A2416" s="43">
        <v>3130</v>
      </c>
      <c r="B2416" s="43">
        <v>10</v>
      </c>
      <c r="C2416" s="43" t="s">
        <v>950</v>
      </c>
      <c r="D2416" s="43" t="s">
        <v>1009</v>
      </c>
      <c r="E2416" s="43" t="s">
        <v>243</v>
      </c>
      <c r="F2416" s="43" t="s">
        <v>951</v>
      </c>
      <c r="G2416" s="43">
        <v>1077777</v>
      </c>
      <c r="H2416" s="43">
        <v>501100</v>
      </c>
      <c r="I2416" s="43" t="s">
        <v>949</v>
      </c>
      <c r="J2416" s="44" t="s">
        <v>1000</v>
      </c>
    </row>
    <row r="2417" ht="22" customHeight="1" spans="1:10" x14ac:dyDescent="0.25">
      <c r="A2417" s="43">
        <v>3130</v>
      </c>
      <c r="B2417" s="43">
        <v>10</v>
      </c>
      <c r="C2417" s="43" t="s">
        <v>950</v>
      </c>
      <c r="D2417" s="43" t="s">
        <v>1009</v>
      </c>
      <c r="E2417" s="43" t="s">
        <v>243</v>
      </c>
      <c r="F2417" s="43" t="s">
        <v>952</v>
      </c>
      <c r="G2417" s="43">
        <v>1077777</v>
      </c>
      <c r="H2417" s="43">
        <v>501100</v>
      </c>
      <c r="I2417" s="43" t="s">
        <v>949</v>
      </c>
      <c r="J2417" s="44" t="s">
        <v>1000</v>
      </c>
    </row>
    <row r="2418" ht="22" customHeight="1" spans="1:10" x14ac:dyDescent="0.25">
      <c r="A2418" s="43">
        <v>3130</v>
      </c>
      <c r="B2418" s="43">
        <v>10</v>
      </c>
      <c r="C2418" s="43" t="s">
        <v>950</v>
      </c>
      <c r="D2418" s="43" t="s">
        <v>1009</v>
      </c>
      <c r="E2418" s="43" t="s">
        <v>243</v>
      </c>
      <c r="F2418" s="43" t="s">
        <v>953</v>
      </c>
      <c r="G2418" s="43">
        <v>1077777</v>
      </c>
      <c r="H2418" s="43">
        <v>501100</v>
      </c>
      <c r="I2418" s="43" t="s">
        <v>949</v>
      </c>
      <c r="J2418" s="44" t="s">
        <v>1000</v>
      </c>
    </row>
    <row r="2419" ht="22" customHeight="1" spans="1:10" x14ac:dyDescent="0.25">
      <c r="A2419" s="43">
        <v>3130</v>
      </c>
      <c r="B2419" s="43">
        <v>10</v>
      </c>
      <c r="C2419" s="43" t="s">
        <v>950</v>
      </c>
      <c r="D2419" s="43" t="s">
        <v>1009</v>
      </c>
      <c r="E2419" s="43" t="s">
        <v>243</v>
      </c>
      <c r="F2419" s="43" t="s">
        <v>954</v>
      </c>
      <c r="G2419" s="43">
        <v>1077777</v>
      </c>
      <c r="H2419" s="43">
        <v>501100</v>
      </c>
      <c r="I2419" s="43" t="s">
        <v>949</v>
      </c>
      <c r="J2419" s="44" t="s">
        <v>1000</v>
      </c>
    </row>
    <row r="2420" ht="22" customHeight="1" spans="1:10" x14ac:dyDescent="0.25">
      <c r="A2420" s="43">
        <v>3130</v>
      </c>
      <c r="B2420" s="43">
        <v>10</v>
      </c>
      <c r="C2420" s="43" t="s">
        <v>950</v>
      </c>
      <c r="D2420" s="43" t="s">
        <v>1009</v>
      </c>
      <c r="E2420" s="43" t="s">
        <v>243</v>
      </c>
      <c r="F2420" s="43" t="s">
        <v>955</v>
      </c>
      <c r="G2420" s="43">
        <v>1077777</v>
      </c>
      <c r="H2420" s="43">
        <v>501100</v>
      </c>
      <c r="I2420" s="43" t="s">
        <v>949</v>
      </c>
      <c r="J2420" s="44" t="s">
        <v>1000</v>
      </c>
    </row>
    <row r="2421" ht="22" customHeight="1" spans="1:10" x14ac:dyDescent="0.25">
      <c r="A2421" s="43">
        <v>3130</v>
      </c>
      <c r="B2421" s="43">
        <v>10</v>
      </c>
      <c r="C2421" s="43" t="s">
        <v>950</v>
      </c>
      <c r="D2421" s="43" t="s">
        <v>1009</v>
      </c>
      <c r="E2421" s="43" t="s">
        <v>243</v>
      </c>
      <c r="F2421" s="43" t="s">
        <v>956</v>
      </c>
      <c r="G2421" s="43">
        <v>1077777</v>
      </c>
      <c r="H2421" s="43">
        <v>501100</v>
      </c>
      <c r="I2421" s="43" t="s">
        <v>949</v>
      </c>
      <c r="J2421" s="44" t="s">
        <v>1000</v>
      </c>
    </row>
    <row r="2422" ht="22" customHeight="1" spans="1:10" x14ac:dyDescent="0.25">
      <c r="A2422" s="43">
        <v>3130</v>
      </c>
      <c r="B2422" s="43">
        <v>10</v>
      </c>
      <c r="C2422" s="43" t="s">
        <v>950</v>
      </c>
      <c r="D2422" s="43" t="s">
        <v>1009</v>
      </c>
      <c r="E2422" s="43" t="s">
        <v>243</v>
      </c>
      <c r="F2422" s="43" t="s">
        <v>957</v>
      </c>
      <c r="G2422" s="43">
        <v>1077777</v>
      </c>
      <c r="H2422" s="43">
        <v>501100</v>
      </c>
      <c r="I2422" s="43" t="s">
        <v>949</v>
      </c>
      <c r="J2422" s="44" t="s">
        <v>1000</v>
      </c>
    </row>
    <row r="2423" ht="22" customHeight="1" spans="1:10" x14ac:dyDescent="0.25">
      <c r="A2423" s="43">
        <v>3130</v>
      </c>
      <c r="B2423" s="43">
        <v>10</v>
      </c>
      <c r="C2423" s="43" t="s">
        <v>950</v>
      </c>
      <c r="D2423" s="43" t="s">
        <v>1009</v>
      </c>
      <c r="E2423" s="43" t="s">
        <v>243</v>
      </c>
      <c r="F2423" s="43" t="s">
        <v>958</v>
      </c>
      <c r="G2423" s="43">
        <v>1077777</v>
      </c>
      <c r="H2423" s="43">
        <v>501100</v>
      </c>
      <c r="I2423" s="43" t="s">
        <v>949</v>
      </c>
      <c r="J2423" s="44" t="s">
        <v>1000</v>
      </c>
    </row>
    <row r="2424" ht="22" customHeight="1" spans="1:10" x14ac:dyDescent="0.25">
      <c r="A2424" s="43">
        <v>3130</v>
      </c>
      <c r="B2424" s="43">
        <v>10</v>
      </c>
      <c r="C2424" s="43" t="s">
        <v>950</v>
      </c>
      <c r="D2424" s="43" t="s">
        <v>1009</v>
      </c>
      <c r="E2424" s="43" t="s">
        <v>243</v>
      </c>
      <c r="F2424" s="43" t="s">
        <v>959</v>
      </c>
      <c r="G2424" s="43">
        <v>1077777</v>
      </c>
      <c r="H2424" s="43">
        <v>501100</v>
      </c>
      <c r="I2424" s="43" t="s">
        <v>949</v>
      </c>
      <c r="J2424" s="44" t="s">
        <v>1000</v>
      </c>
    </row>
    <row r="2425" ht="22" customHeight="1" spans="1:10" x14ac:dyDescent="0.25">
      <c r="A2425" s="43">
        <v>3130</v>
      </c>
      <c r="B2425" s="43">
        <v>10</v>
      </c>
      <c r="C2425" s="43" t="s">
        <v>950</v>
      </c>
      <c r="D2425" s="43" t="s">
        <v>1009</v>
      </c>
      <c r="E2425" s="43" t="s">
        <v>243</v>
      </c>
      <c r="F2425" s="43" t="s">
        <v>960</v>
      </c>
      <c r="G2425" s="43">
        <v>1077777</v>
      </c>
      <c r="H2425" s="43">
        <v>501100</v>
      </c>
      <c r="I2425" s="43" t="s">
        <v>949</v>
      </c>
      <c r="J2425" s="44" t="s">
        <v>1000</v>
      </c>
    </row>
    <row r="2426" ht="22" customHeight="1" spans="1:10" x14ac:dyDescent="0.25">
      <c r="A2426" s="43">
        <v>3130</v>
      </c>
      <c r="B2426" s="43">
        <v>10</v>
      </c>
      <c r="C2426" s="43" t="s">
        <v>950</v>
      </c>
      <c r="D2426" s="43" t="s">
        <v>1009</v>
      </c>
      <c r="E2426" s="43" t="s">
        <v>243</v>
      </c>
      <c r="F2426" s="43" t="s">
        <v>961</v>
      </c>
      <c r="G2426" s="43">
        <v>1077777</v>
      </c>
      <c r="H2426" s="43">
        <v>501100</v>
      </c>
      <c r="I2426" s="43" t="s">
        <v>949</v>
      </c>
      <c r="J2426" s="44" t="s">
        <v>1000</v>
      </c>
    </row>
    <row r="2427" ht="22" customHeight="1" spans="1:10" x14ac:dyDescent="0.25">
      <c r="A2427" s="43">
        <v>3130</v>
      </c>
      <c r="B2427" s="43">
        <v>10</v>
      </c>
      <c r="C2427" s="43" t="s">
        <v>962</v>
      </c>
      <c r="D2427" s="43" t="s">
        <v>1009</v>
      </c>
      <c r="E2427" s="43" t="s">
        <v>243</v>
      </c>
      <c r="F2427" s="43" t="s">
        <v>951</v>
      </c>
      <c r="G2427" s="43">
        <v>1077777</v>
      </c>
      <c r="H2427" s="43">
        <v>501100</v>
      </c>
      <c r="I2427" s="43" t="s">
        <v>949</v>
      </c>
      <c r="J2427" s="44" t="s">
        <v>1000</v>
      </c>
    </row>
    <row r="2428" ht="22" customHeight="1" spans="1:10" x14ac:dyDescent="0.25">
      <c r="A2428" s="43">
        <v>3130</v>
      </c>
      <c r="B2428" s="43">
        <v>10</v>
      </c>
      <c r="C2428" s="43" t="s">
        <v>962</v>
      </c>
      <c r="D2428" s="43" t="s">
        <v>1009</v>
      </c>
      <c r="E2428" s="43" t="s">
        <v>243</v>
      </c>
      <c r="F2428" s="43" t="s">
        <v>952</v>
      </c>
      <c r="G2428" s="43">
        <v>1077777</v>
      </c>
      <c r="H2428" s="43">
        <v>501100</v>
      </c>
      <c r="I2428" s="43" t="s">
        <v>949</v>
      </c>
      <c r="J2428" s="44" t="s">
        <v>1000</v>
      </c>
    </row>
    <row r="2429" ht="22" customHeight="1" spans="1:10" x14ac:dyDescent="0.25">
      <c r="A2429" s="43">
        <v>3130</v>
      </c>
      <c r="B2429" s="43">
        <v>10</v>
      </c>
      <c r="C2429" s="43" t="s">
        <v>962</v>
      </c>
      <c r="D2429" s="43" t="s">
        <v>1009</v>
      </c>
      <c r="E2429" s="43" t="s">
        <v>243</v>
      </c>
      <c r="F2429" s="43" t="s">
        <v>953</v>
      </c>
      <c r="G2429" s="43">
        <v>1077777</v>
      </c>
      <c r="H2429" s="43">
        <v>501100</v>
      </c>
      <c r="I2429" s="43" t="s">
        <v>949</v>
      </c>
      <c r="J2429" s="44" t="s">
        <v>1000</v>
      </c>
    </row>
    <row r="2430" ht="22" customHeight="1" spans="1:10" x14ac:dyDescent="0.25">
      <c r="A2430" s="43">
        <v>3130</v>
      </c>
      <c r="B2430" s="43">
        <v>10</v>
      </c>
      <c r="C2430" s="43" t="s">
        <v>962</v>
      </c>
      <c r="D2430" s="43" t="s">
        <v>1009</v>
      </c>
      <c r="E2430" s="43" t="s">
        <v>243</v>
      </c>
      <c r="F2430" s="43" t="s">
        <v>954</v>
      </c>
      <c r="G2430" s="43">
        <v>1077777</v>
      </c>
      <c r="H2430" s="43">
        <v>501100</v>
      </c>
      <c r="I2430" s="43" t="s">
        <v>949</v>
      </c>
      <c r="J2430" s="44" t="s">
        <v>1000</v>
      </c>
    </row>
    <row r="2431" ht="22" customHeight="1" spans="1:10" x14ac:dyDescent="0.25">
      <c r="A2431" s="43">
        <v>3130</v>
      </c>
      <c r="B2431" s="43">
        <v>10</v>
      </c>
      <c r="C2431" s="43" t="s">
        <v>962</v>
      </c>
      <c r="D2431" s="43" t="s">
        <v>1009</v>
      </c>
      <c r="E2431" s="43" t="s">
        <v>243</v>
      </c>
      <c r="F2431" s="43" t="s">
        <v>955</v>
      </c>
      <c r="G2431" s="43">
        <v>1077777</v>
      </c>
      <c r="H2431" s="43">
        <v>501100</v>
      </c>
      <c r="I2431" s="43" t="s">
        <v>949</v>
      </c>
      <c r="J2431" s="44" t="s">
        <v>1000</v>
      </c>
    </row>
    <row r="2432" ht="22" customHeight="1" spans="1:10" x14ac:dyDescent="0.25">
      <c r="A2432" s="43">
        <v>3130</v>
      </c>
      <c r="B2432" s="43">
        <v>10</v>
      </c>
      <c r="C2432" s="43" t="s">
        <v>962</v>
      </c>
      <c r="D2432" s="43" t="s">
        <v>1009</v>
      </c>
      <c r="E2432" s="43" t="s">
        <v>243</v>
      </c>
      <c r="F2432" s="43" t="s">
        <v>956</v>
      </c>
      <c r="G2432" s="43">
        <v>1077777</v>
      </c>
      <c r="H2432" s="43">
        <v>501100</v>
      </c>
      <c r="I2432" s="43" t="s">
        <v>949</v>
      </c>
      <c r="J2432" s="44" t="s">
        <v>1000</v>
      </c>
    </row>
    <row r="2433" ht="22" customHeight="1" spans="1:10" x14ac:dyDescent="0.25">
      <c r="A2433" s="43">
        <v>3130</v>
      </c>
      <c r="B2433" s="43">
        <v>10</v>
      </c>
      <c r="C2433" s="43" t="s">
        <v>962</v>
      </c>
      <c r="D2433" s="43" t="s">
        <v>1009</v>
      </c>
      <c r="E2433" s="43" t="s">
        <v>243</v>
      </c>
      <c r="F2433" s="43" t="s">
        <v>957</v>
      </c>
      <c r="G2433" s="43">
        <v>1077777</v>
      </c>
      <c r="H2433" s="43">
        <v>501100</v>
      </c>
      <c r="I2433" s="43" t="s">
        <v>949</v>
      </c>
      <c r="J2433" s="44" t="s">
        <v>1000</v>
      </c>
    </row>
    <row r="2434" ht="22" customHeight="1" spans="1:10" x14ac:dyDescent="0.25">
      <c r="A2434" s="43">
        <v>3130</v>
      </c>
      <c r="B2434" s="43">
        <v>10</v>
      </c>
      <c r="C2434" s="43" t="s">
        <v>962</v>
      </c>
      <c r="D2434" s="43" t="s">
        <v>1009</v>
      </c>
      <c r="E2434" s="43" t="s">
        <v>243</v>
      </c>
      <c r="F2434" s="43" t="s">
        <v>958</v>
      </c>
      <c r="G2434" s="43">
        <v>1077777</v>
      </c>
      <c r="H2434" s="43">
        <v>501100</v>
      </c>
      <c r="I2434" s="43" t="s">
        <v>949</v>
      </c>
      <c r="J2434" s="44" t="s">
        <v>1000</v>
      </c>
    </row>
    <row r="2435" ht="22" customHeight="1" spans="1:10" x14ac:dyDescent="0.25">
      <c r="A2435" s="43">
        <v>3130</v>
      </c>
      <c r="B2435" s="43">
        <v>10</v>
      </c>
      <c r="C2435" s="43" t="s">
        <v>962</v>
      </c>
      <c r="D2435" s="43" t="s">
        <v>1009</v>
      </c>
      <c r="E2435" s="43" t="s">
        <v>243</v>
      </c>
      <c r="F2435" s="43" t="s">
        <v>959</v>
      </c>
      <c r="G2435" s="43">
        <v>1077777</v>
      </c>
      <c r="H2435" s="43">
        <v>501100</v>
      </c>
      <c r="I2435" s="43" t="s">
        <v>949</v>
      </c>
      <c r="J2435" s="44" t="s">
        <v>1000</v>
      </c>
    </row>
    <row r="2436" ht="22" customHeight="1" spans="1:10" x14ac:dyDescent="0.25">
      <c r="A2436" s="43">
        <v>3130</v>
      </c>
      <c r="B2436" s="43">
        <v>10</v>
      </c>
      <c r="C2436" s="43" t="s">
        <v>962</v>
      </c>
      <c r="D2436" s="43" t="s">
        <v>1009</v>
      </c>
      <c r="E2436" s="43" t="s">
        <v>243</v>
      </c>
      <c r="F2436" s="43" t="s">
        <v>960</v>
      </c>
      <c r="G2436" s="43">
        <v>1077777</v>
      </c>
      <c r="H2436" s="43">
        <v>501100</v>
      </c>
      <c r="I2436" s="43" t="s">
        <v>949</v>
      </c>
      <c r="J2436" s="44" t="s">
        <v>1000</v>
      </c>
    </row>
    <row r="2437" ht="22" customHeight="1" spans="1:10" x14ac:dyDescent="0.25">
      <c r="A2437" s="43">
        <v>3130</v>
      </c>
      <c r="B2437" s="43">
        <v>10</v>
      </c>
      <c r="C2437" s="43" t="s">
        <v>962</v>
      </c>
      <c r="D2437" s="43" t="s">
        <v>1009</v>
      </c>
      <c r="E2437" s="43" t="s">
        <v>243</v>
      </c>
      <c r="F2437" s="43" t="s">
        <v>961</v>
      </c>
      <c r="G2437" s="43">
        <v>1077777</v>
      </c>
      <c r="H2437" s="43">
        <v>501100</v>
      </c>
      <c r="I2437" s="43" t="s">
        <v>949</v>
      </c>
      <c r="J2437" s="44" t="s">
        <v>1000</v>
      </c>
    </row>
    <row r="2438" ht="22" customHeight="1" spans="1:10" x14ac:dyDescent="0.25">
      <c r="A2438" s="43">
        <v>3130</v>
      </c>
      <c r="B2438" s="43">
        <v>10</v>
      </c>
      <c r="C2438" s="43" t="s">
        <v>963</v>
      </c>
      <c r="D2438" s="43" t="s">
        <v>1009</v>
      </c>
      <c r="E2438" s="43" t="s">
        <v>243</v>
      </c>
      <c r="F2438" s="43" t="s">
        <v>951</v>
      </c>
      <c r="G2438" s="43">
        <v>1077777</v>
      </c>
      <c r="H2438" s="43">
        <v>501100</v>
      </c>
      <c r="I2438" s="43" t="s">
        <v>949</v>
      </c>
      <c r="J2438" s="44" t="s">
        <v>1000</v>
      </c>
    </row>
    <row r="2439" ht="22" customHeight="1" spans="1:10" x14ac:dyDescent="0.25">
      <c r="A2439" s="43">
        <v>3130</v>
      </c>
      <c r="B2439" s="43">
        <v>10</v>
      </c>
      <c r="C2439" s="43" t="s">
        <v>963</v>
      </c>
      <c r="D2439" s="43" t="s">
        <v>1009</v>
      </c>
      <c r="E2439" s="43" t="s">
        <v>243</v>
      </c>
      <c r="F2439" s="43" t="s">
        <v>952</v>
      </c>
      <c r="G2439" s="43">
        <v>1077777</v>
      </c>
      <c r="H2439" s="43">
        <v>501100</v>
      </c>
      <c r="I2439" s="43" t="s">
        <v>949</v>
      </c>
      <c r="J2439" s="44" t="s">
        <v>1000</v>
      </c>
    </row>
    <row r="2440" ht="22" customHeight="1" spans="1:10" x14ac:dyDescent="0.25">
      <c r="A2440" s="43">
        <v>3130</v>
      </c>
      <c r="B2440" s="43">
        <v>10</v>
      </c>
      <c r="C2440" s="43" t="s">
        <v>963</v>
      </c>
      <c r="D2440" s="43" t="s">
        <v>1009</v>
      </c>
      <c r="E2440" s="43" t="s">
        <v>243</v>
      </c>
      <c r="F2440" s="43" t="s">
        <v>953</v>
      </c>
      <c r="G2440" s="43">
        <v>1077777</v>
      </c>
      <c r="H2440" s="43">
        <v>501100</v>
      </c>
      <c r="I2440" s="43" t="s">
        <v>949</v>
      </c>
      <c r="J2440" s="44" t="s">
        <v>1000</v>
      </c>
    </row>
    <row r="2441" ht="22" customHeight="1" spans="1:10" x14ac:dyDescent="0.25">
      <c r="A2441" s="43">
        <v>3130</v>
      </c>
      <c r="B2441" s="43">
        <v>10</v>
      </c>
      <c r="C2441" s="43" t="s">
        <v>963</v>
      </c>
      <c r="D2441" s="43" t="s">
        <v>1009</v>
      </c>
      <c r="E2441" s="43" t="s">
        <v>243</v>
      </c>
      <c r="F2441" s="43" t="s">
        <v>954</v>
      </c>
      <c r="G2441" s="43">
        <v>1077777</v>
      </c>
      <c r="H2441" s="43">
        <v>501100</v>
      </c>
      <c r="I2441" s="43" t="s">
        <v>949</v>
      </c>
      <c r="J2441" s="44" t="s">
        <v>1000</v>
      </c>
    </row>
    <row r="2442" ht="22" customHeight="1" spans="1:10" x14ac:dyDescent="0.25">
      <c r="A2442" s="43">
        <v>3130</v>
      </c>
      <c r="B2442" s="43">
        <v>10</v>
      </c>
      <c r="C2442" s="43" t="s">
        <v>963</v>
      </c>
      <c r="D2442" s="43" t="s">
        <v>1009</v>
      </c>
      <c r="E2442" s="43" t="s">
        <v>243</v>
      </c>
      <c r="F2442" s="43" t="s">
        <v>955</v>
      </c>
      <c r="G2442" s="43">
        <v>1077777</v>
      </c>
      <c r="H2442" s="43">
        <v>501100</v>
      </c>
      <c r="I2442" s="43" t="s">
        <v>949</v>
      </c>
      <c r="J2442" s="44" t="s">
        <v>1000</v>
      </c>
    </row>
    <row r="2443" ht="22" customHeight="1" spans="1:10" x14ac:dyDescent="0.25">
      <c r="A2443" s="43">
        <v>3130</v>
      </c>
      <c r="B2443" s="43">
        <v>10</v>
      </c>
      <c r="C2443" s="43" t="s">
        <v>963</v>
      </c>
      <c r="D2443" s="43" t="s">
        <v>1009</v>
      </c>
      <c r="E2443" s="43" t="s">
        <v>243</v>
      </c>
      <c r="F2443" s="43" t="s">
        <v>956</v>
      </c>
      <c r="G2443" s="43">
        <v>1077777</v>
      </c>
      <c r="H2443" s="43">
        <v>501100</v>
      </c>
      <c r="I2443" s="43" t="s">
        <v>949</v>
      </c>
      <c r="J2443" s="44" t="s">
        <v>1000</v>
      </c>
    </row>
    <row r="2444" ht="22" customHeight="1" spans="1:10" x14ac:dyDescent="0.25">
      <c r="A2444" s="43">
        <v>3130</v>
      </c>
      <c r="B2444" s="43">
        <v>10</v>
      </c>
      <c r="C2444" s="43" t="s">
        <v>963</v>
      </c>
      <c r="D2444" s="43" t="s">
        <v>1009</v>
      </c>
      <c r="E2444" s="43" t="s">
        <v>243</v>
      </c>
      <c r="F2444" s="43" t="s">
        <v>957</v>
      </c>
      <c r="G2444" s="43">
        <v>1077777</v>
      </c>
      <c r="H2444" s="43">
        <v>501100</v>
      </c>
      <c r="I2444" s="43" t="s">
        <v>949</v>
      </c>
      <c r="J2444" s="44" t="s">
        <v>1000</v>
      </c>
    </row>
    <row r="2445" ht="22" customHeight="1" spans="1:10" x14ac:dyDescent="0.25">
      <c r="A2445" s="43">
        <v>3130</v>
      </c>
      <c r="B2445" s="43">
        <v>10</v>
      </c>
      <c r="C2445" s="43" t="s">
        <v>963</v>
      </c>
      <c r="D2445" s="43" t="s">
        <v>1009</v>
      </c>
      <c r="E2445" s="43" t="s">
        <v>243</v>
      </c>
      <c r="F2445" s="43" t="s">
        <v>958</v>
      </c>
      <c r="G2445" s="43">
        <v>1077777</v>
      </c>
      <c r="H2445" s="43">
        <v>501100</v>
      </c>
      <c r="I2445" s="43" t="s">
        <v>949</v>
      </c>
      <c r="J2445" s="44" t="s">
        <v>1000</v>
      </c>
    </row>
    <row r="2446" ht="22" customHeight="1" spans="1:10" x14ac:dyDescent="0.25">
      <c r="A2446" s="43">
        <v>3130</v>
      </c>
      <c r="B2446" s="43">
        <v>10</v>
      </c>
      <c r="C2446" s="43" t="s">
        <v>963</v>
      </c>
      <c r="D2446" s="43" t="s">
        <v>1009</v>
      </c>
      <c r="E2446" s="43" t="s">
        <v>243</v>
      </c>
      <c r="F2446" s="43" t="s">
        <v>959</v>
      </c>
      <c r="G2446" s="43">
        <v>1077777</v>
      </c>
      <c r="H2446" s="43">
        <v>501100</v>
      </c>
      <c r="I2446" s="43" t="s">
        <v>949</v>
      </c>
      <c r="J2446" s="44" t="s">
        <v>1000</v>
      </c>
    </row>
    <row r="2447" ht="22" customHeight="1" spans="1:10" x14ac:dyDescent="0.25">
      <c r="A2447" s="43">
        <v>3130</v>
      </c>
      <c r="B2447" s="43">
        <v>10</v>
      </c>
      <c r="C2447" s="43" t="s">
        <v>963</v>
      </c>
      <c r="D2447" s="43" t="s">
        <v>1009</v>
      </c>
      <c r="E2447" s="43" t="s">
        <v>243</v>
      </c>
      <c r="F2447" s="43" t="s">
        <v>960</v>
      </c>
      <c r="G2447" s="43">
        <v>1077777</v>
      </c>
      <c r="H2447" s="43">
        <v>501100</v>
      </c>
      <c r="I2447" s="43" t="s">
        <v>949</v>
      </c>
      <c r="J2447" s="44" t="s">
        <v>1000</v>
      </c>
    </row>
    <row r="2448" ht="22" customHeight="1" spans="1:10" x14ac:dyDescent="0.25">
      <c r="A2448" s="43">
        <v>3130</v>
      </c>
      <c r="B2448" s="43">
        <v>10</v>
      </c>
      <c r="C2448" s="43" t="s">
        <v>963</v>
      </c>
      <c r="D2448" s="43" t="s">
        <v>1009</v>
      </c>
      <c r="E2448" s="43" t="s">
        <v>243</v>
      </c>
      <c r="F2448" s="43" t="s">
        <v>961</v>
      </c>
      <c r="G2448" s="43">
        <v>1077777</v>
      </c>
      <c r="H2448" s="43">
        <v>501100</v>
      </c>
      <c r="I2448" s="43" t="s">
        <v>949</v>
      </c>
      <c r="J2448" s="44" t="s">
        <v>1000</v>
      </c>
    </row>
    <row r="2449" spans="1:9" x14ac:dyDescent="0.25">
      <c r="A2449">
        <v>4122</v>
      </c>
      <c r="B2449">
        <v>10</v>
      </c>
      <c r="C2449" t="s">
        <v>946</v>
      </c>
      <c r="D2449" t="s">
        <v>1009</v>
      </c>
      <c r="E2449" t="s">
        <v>243</v>
      </c>
      <c r="F2449" t="s">
        <v>948</v>
      </c>
      <c r="G2449">
        <v>1000000</v>
      </c>
      <c r="H2449">
        <v>145000</v>
      </c>
      <c r="I2449" t="s">
        <v>949</v>
      </c>
    </row>
    <row r="2450" spans="1:9" x14ac:dyDescent="0.25">
      <c r="A2450">
        <v>4124</v>
      </c>
      <c r="B2450">
        <v>10</v>
      </c>
      <c r="C2450" t="s">
        <v>946</v>
      </c>
      <c r="D2450" t="s">
        <v>1009</v>
      </c>
      <c r="E2450" t="s">
        <v>243</v>
      </c>
      <c r="F2450" t="s">
        <v>948</v>
      </c>
      <c r="G2450">
        <v>1077777</v>
      </c>
      <c r="H2450">
        <v>501100</v>
      </c>
      <c r="I2450" t="s">
        <v>949</v>
      </c>
    </row>
    <row r="2451" ht="22" customHeight="1" spans="1:10" x14ac:dyDescent="0.25">
      <c r="A2451" s="43">
        <v>3130</v>
      </c>
      <c r="B2451" s="43">
        <v>10</v>
      </c>
      <c r="C2451" s="43" t="s">
        <v>950</v>
      </c>
      <c r="D2451" s="43" t="s">
        <v>1009</v>
      </c>
      <c r="E2451" s="43" t="s">
        <v>247</v>
      </c>
      <c r="F2451" s="43" t="s">
        <v>951</v>
      </c>
      <c r="G2451" s="43">
        <v>1077777</v>
      </c>
      <c r="H2451" s="43">
        <v>501100</v>
      </c>
      <c r="I2451" s="43" t="s">
        <v>949</v>
      </c>
      <c r="J2451" s="44" t="s">
        <v>1000</v>
      </c>
    </row>
    <row r="2452" ht="22" customHeight="1" spans="1:10" x14ac:dyDescent="0.25">
      <c r="A2452" s="43">
        <v>3130</v>
      </c>
      <c r="B2452" s="43">
        <v>10</v>
      </c>
      <c r="C2452" s="43" t="s">
        <v>950</v>
      </c>
      <c r="D2452" s="43" t="s">
        <v>1009</v>
      </c>
      <c r="E2452" s="43" t="s">
        <v>247</v>
      </c>
      <c r="F2452" s="43" t="s">
        <v>952</v>
      </c>
      <c r="G2452" s="43">
        <v>1077777</v>
      </c>
      <c r="H2452" s="43">
        <v>501100</v>
      </c>
      <c r="I2452" s="43" t="s">
        <v>949</v>
      </c>
      <c r="J2452" s="44" t="s">
        <v>1000</v>
      </c>
    </row>
    <row r="2453" ht="22" customHeight="1" spans="1:10" x14ac:dyDescent="0.25">
      <c r="A2453" s="43">
        <v>3130</v>
      </c>
      <c r="B2453" s="43">
        <v>10</v>
      </c>
      <c r="C2453" s="43" t="s">
        <v>950</v>
      </c>
      <c r="D2453" s="43" t="s">
        <v>1009</v>
      </c>
      <c r="E2453" s="43" t="s">
        <v>247</v>
      </c>
      <c r="F2453" s="43" t="s">
        <v>953</v>
      </c>
      <c r="G2453" s="43">
        <v>1077777</v>
      </c>
      <c r="H2453" s="43">
        <v>501100</v>
      </c>
      <c r="I2453" s="43" t="s">
        <v>949</v>
      </c>
      <c r="J2453" s="44" t="s">
        <v>1000</v>
      </c>
    </row>
    <row r="2454" ht="22" customHeight="1" spans="1:10" x14ac:dyDescent="0.25">
      <c r="A2454" s="43">
        <v>3130</v>
      </c>
      <c r="B2454" s="43">
        <v>10</v>
      </c>
      <c r="C2454" s="43" t="s">
        <v>950</v>
      </c>
      <c r="D2454" s="43" t="s">
        <v>1009</v>
      </c>
      <c r="E2454" s="43" t="s">
        <v>247</v>
      </c>
      <c r="F2454" s="43" t="s">
        <v>954</v>
      </c>
      <c r="G2454" s="43">
        <v>1077777</v>
      </c>
      <c r="H2454" s="43">
        <v>501100</v>
      </c>
      <c r="I2454" s="43" t="s">
        <v>949</v>
      </c>
      <c r="J2454" s="44" t="s">
        <v>1000</v>
      </c>
    </row>
    <row r="2455" ht="22" customHeight="1" spans="1:10" x14ac:dyDescent="0.25">
      <c r="A2455" s="43">
        <v>3130</v>
      </c>
      <c r="B2455" s="43">
        <v>10</v>
      </c>
      <c r="C2455" s="43" t="s">
        <v>950</v>
      </c>
      <c r="D2455" s="43" t="s">
        <v>1009</v>
      </c>
      <c r="E2455" s="43" t="s">
        <v>247</v>
      </c>
      <c r="F2455" s="43" t="s">
        <v>955</v>
      </c>
      <c r="G2455" s="43">
        <v>1077777</v>
      </c>
      <c r="H2455" s="43">
        <v>501100</v>
      </c>
      <c r="I2455" s="43" t="s">
        <v>949</v>
      </c>
      <c r="J2455" s="44" t="s">
        <v>1000</v>
      </c>
    </row>
    <row r="2456" ht="22" customHeight="1" spans="1:10" x14ac:dyDescent="0.25">
      <c r="A2456" s="43">
        <v>3130</v>
      </c>
      <c r="B2456" s="43">
        <v>10</v>
      </c>
      <c r="C2456" s="43" t="s">
        <v>950</v>
      </c>
      <c r="D2456" s="43" t="s">
        <v>1009</v>
      </c>
      <c r="E2456" s="43" t="s">
        <v>247</v>
      </c>
      <c r="F2456" s="43" t="s">
        <v>956</v>
      </c>
      <c r="G2456" s="43">
        <v>1077777</v>
      </c>
      <c r="H2456" s="43">
        <v>501100</v>
      </c>
      <c r="I2456" s="43" t="s">
        <v>949</v>
      </c>
      <c r="J2456" s="44" t="s">
        <v>1000</v>
      </c>
    </row>
    <row r="2457" ht="22" customHeight="1" spans="1:10" x14ac:dyDescent="0.25">
      <c r="A2457" s="43">
        <v>3130</v>
      </c>
      <c r="B2457" s="43">
        <v>10</v>
      </c>
      <c r="C2457" s="43" t="s">
        <v>950</v>
      </c>
      <c r="D2457" s="43" t="s">
        <v>1009</v>
      </c>
      <c r="E2457" s="43" t="s">
        <v>247</v>
      </c>
      <c r="F2457" s="43" t="s">
        <v>957</v>
      </c>
      <c r="G2457" s="43">
        <v>1077777</v>
      </c>
      <c r="H2457" s="43">
        <v>501100</v>
      </c>
      <c r="I2457" s="43" t="s">
        <v>949</v>
      </c>
      <c r="J2457" s="44" t="s">
        <v>1000</v>
      </c>
    </row>
    <row r="2458" ht="22" customHeight="1" spans="1:10" x14ac:dyDescent="0.25">
      <c r="A2458" s="43">
        <v>3130</v>
      </c>
      <c r="B2458" s="43">
        <v>10</v>
      </c>
      <c r="C2458" s="43" t="s">
        <v>950</v>
      </c>
      <c r="D2458" s="43" t="s">
        <v>1009</v>
      </c>
      <c r="E2458" s="43" t="s">
        <v>247</v>
      </c>
      <c r="F2458" s="43" t="s">
        <v>958</v>
      </c>
      <c r="G2458" s="43">
        <v>1077777</v>
      </c>
      <c r="H2458" s="43">
        <v>501100</v>
      </c>
      <c r="I2458" s="43" t="s">
        <v>949</v>
      </c>
      <c r="J2458" s="44" t="s">
        <v>1000</v>
      </c>
    </row>
    <row r="2459" ht="22" customHeight="1" spans="1:10" x14ac:dyDescent="0.25">
      <c r="A2459" s="43">
        <v>3130</v>
      </c>
      <c r="B2459" s="43">
        <v>10</v>
      </c>
      <c r="C2459" s="43" t="s">
        <v>950</v>
      </c>
      <c r="D2459" s="43" t="s">
        <v>1009</v>
      </c>
      <c r="E2459" s="43" t="s">
        <v>247</v>
      </c>
      <c r="F2459" s="43" t="s">
        <v>959</v>
      </c>
      <c r="G2459" s="43">
        <v>1077777</v>
      </c>
      <c r="H2459" s="43">
        <v>501100</v>
      </c>
      <c r="I2459" s="43" t="s">
        <v>949</v>
      </c>
      <c r="J2459" s="44" t="s">
        <v>1000</v>
      </c>
    </row>
    <row r="2460" ht="22" customHeight="1" spans="1:10" x14ac:dyDescent="0.25">
      <c r="A2460" s="43">
        <v>3130</v>
      </c>
      <c r="B2460" s="43">
        <v>10</v>
      </c>
      <c r="C2460" s="43" t="s">
        <v>950</v>
      </c>
      <c r="D2460" s="43" t="s">
        <v>1009</v>
      </c>
      <c r="E2460" s="43" t="s">
        <v>247</v>
      </c>
      <c r="F2460" s="43" t="s">
        <v>960</v>
      </c>
      <c r="G2460" s="43">
        <v>1077777</v>
      </c>
      <c r="H2460" s="43">
        <v>501100</v>
      </c>
      <c r="I2460" s="43" t="s">
        <v>949</v>
      </c>
      <c r="J2460" s="44" t="s">
        <v>1000</v>
      </c>
    </row>
    <row r="2461" ht="22" customHeight="1" spans="1:10" x14ac:dyDescent="0.25">
      <c r="A2461" s="43">
        <v>3130</v>
      </c>
      <c r="B2461" s="43">
        <v>10</v>
      </c>
      <c r="C2461" s="43" t="s">
        <v>950</v>
      </c>
      <c r="D2461" s="43" t="s">
        <v>1009</v>
      </c>
      <c r="E2461" s="43" t="s">
        <v>247</v>
      </c>
      <c r="F2461" s="43" t="s">
        <v>961</v>
      </c>
      <c r="G2461" s="43">
        <v>1077777</v>
      </c>
      <c r="H2461" s="43">
        <v>501100</v>
      </c>
      <c r="I2461" s="43" t="s">
        <v>949</v>
      </c>
      <c r="J2461" s="44" t="s">
        <v>1000</v>
      </c>
    </row>
    <row r="2462" ht="22" customHeight="1" spans="1:10" x14ac:dyDescent="0.25">
      <c r="A2462" s="43">
        <v>3130</v>
      </c>
      <c r="B2462" s="43">
        <v>10</v>
      </c>
      <c r="C2462" s="43" t="s">
        <v>962</v>
      </c>
      <c r="D2462" s="43" t="s">
        <v>1009</v>
      </c>
      <c r="E2462" s="43" t="s">
        <v>247</v>
      </c>
      <c r="F2462" s="43" t="s">
        <v>951</v>
      </c>
      <c r="G2462" s="43">
        <v>1077777</v>
      </c>
      <c r="H2462" s="43">
        <v>501100</v>
      </c>
      <c r="I2462" s="43" t="s">
        <v>949</v>
      </c>
      <c r="J2462" s="44" t="s">
        <v>1000</v>
      </c>
    </row>
    <row r="2463" ht="22" customHeight="1" spans="1:10" x14ac:dyDescent="0.25">
      <c r="A2463" s="43">
        <v>3130</v>
      </c>
      <c r="B2463" s="43">
        <v>10</v>
      </c>
      <c r="C2463" s="43" t="s">
        <v>962</v>
      </c>
      <c r="D2463" s="43" t="s">
        <v>1009</v>
      </c>
      <c r="E2463" s="43" t="s">
        <v>247</v>
      </c>
      <c r="F2463" s="43" t="s">
        <v>952</v>
      </c>
      <c r="G2463" s="43">
        <v>1077777</v>
      </c>
      <c r="H2463" s="43">
        <v>501100</v>
      </c>
      <c r="I2463" s="43" t="s">
        <v>949</v>
      </c>
      <c r="J2463" s="44" t="s">
        <v>1000</v>
      </c>
    </row>
    <row r="2464" ht="22" customHeight="1" spans="1:10" x14ac:dyDescent="0.25">
      <c r="A2464" s="43">
        <v>3130</v>
      </c>
      <c r="B2464" s="43">
        <v>10</v>
      </c>
      <c r="C2464" s="43" t="s">
        <v>962</v>
      </c>
      <c r="D2464" s="43" t="s">
        <v>1009</v>
      </c>
      <c r="E2464" s="43" t="s">
        <v>247</v>
      </c>
      <c r="F2464" s="43" t="s">
        <v>953</v>
      </c>
      <c r="G2464" s="43">
        <v>1077777</v>
      </c>
      <c r="H2464" s="43">
        <v>501100</v>
      </c>
      <c r="I2464" s="43" t="s">
        <v>949</v>
      </c>
      <c r="J2464" s="44" t="s">
        <v>1000</v>
      </c>
    </row>
    <row r="2465" ht="22" customHeight="1" spans="1:10" x14ac:dyDescent="0.25">
      <c r="A2465" s="43">
        <v>3130</v>
      </c>
      <c r="B2465" s="43">
        <v>10</v>
      </c>
      <c r="C2465" s="43" t="s">
        <v>962</v>
      </c>
      <c r="D2465" s="43" t="s">
        <v>1009</v>
      </c>
      <c r="E2465" s="43" t="s">
        <v>247</v>
      </c>
      <c r="F2465" s="43" t="s">
        <v>954</v>
      </c>
      <c r="G2465" s="43">
        <v>1077777</v>
      </c>
      <c r="H2465" s="43">
        <v>501100</v>
      </c>
      <c r="I2465" s="43" t="s">
        <v>949</v>
      </c>
      <c r="J2465" s="44" t="s">
        <v>1000</v>
      </c>
    </row>
    <row r="2466" ht="22" customHeight="1" spans="1:10" x14ac:dyDescent="0.25">
      <c r="A2466" s="43">
        <v>3130</v>
      </c>
      <c r="B2466" s="43">
        <v>10</v>
      </c>
      <c r="C2466" s="43" t="s">
        <v>962</v>
      </c>
      <c r="D2466" s="43" t="s">
        <v>1009</v>
      </c>
      <c r="E2466" s="43" t="s">
        <v>247</v>
      </c>
      <c r="F2466" s="43" t="s">
        <v>955</v>
      </c>
      <c r="G2466" s="43">
        <v>1077777</v>
      </c>
      <c r="H2466" s="43">
        <v>501100</v>
      </c>
      <c r="I2466" s="43" t="s">
        <v>949</v>
      </c>
      <c r="J2466" s="44" t="s">
        <v>1000</v>
      </c>
    </row>
    <row r="2467" ht="22" customHeight="1" spans="1:10" x14ac:dyDescent="0.25">
      <c r="A2467" s="43">
        <v>3130</v>
      </c>
      <c r="B2467" s="43">
        <v>10</v>
      </c>
      <c r="C2467" s="43" t="s">
        <v>962</v>
      </c>
      <c r="D2467" s="43" t="s">
        <v>1009</v>
      </c>
      <c r="E2467" s="43" t="s">
        <v>247</v>
      </c>
      <c r="F2467" s="43" t="s">
        <v>956</v>
      </c>
      <c r="G2467" s="43">
        <v>1077777</v>
      </c>
      <c r="H2467" s="43">
        <v>501100</v>
      </c>
      <c r="I2467" s="43" t="s">
        <v>949</v>
      </c>
      <c r="J2467" s="44" t="s">
        <v>1000</v>
      </c>
    </row>
    <row r="2468" ht="22" customHeight="1" spans="1:10" x14ac:dyDescent="0.25">
      <c r="A2468" s="43">
        <v>3130</v>
      </c>
      <c r="B2468" s="43">
        <v>10</v>
      </c>
      <c r="C2468" s="43" t="s">
        <v>962</v>
      </c>
      <c r="D2468" s="43" t="s">
        <v>1009</v>
      </c>
      <c r="E2468" s="43" t="s">
        <v>247</v>
      </c>
      <c r="F2468" s="43" t="s">
        <v>957</v>
      </c>
      <c r="G2468" s="43">
        <v>1077777</v>
      </c>
      <c r="H2468" s="43">
        <v>501100</v>
      </c>
      <c r="I2468" s="43" t="s">
        <v>949</v>
      </c>
      <c r="J2468" s="44" t="s">
        <v>1000</v>
      </c>
    </row>
    <row r="2469" ht="22" customHeight="1" spans="1:10" x14ac:dyDescent="0.25">
      <c r="A2469" s="43">
        <v>3130</v>
      </c>
      <c r="B2469" s="43">
        <v>10</v>
      </c>
      <c r="C2469" s="43" t="s">
        <v>962</v>
      </c>
      <c r="D2469" s="43" t="s">
        <v>1009</v>
      </c>
      <c r="E2469" s="43" t="s">
        <v>247</v>
      </c>
      <c r="F2469" s="43" t="s">
        <v>958</v>
      </c>
      <c r="G2469" s="43">
        <v>1077777</v>
      </c>
      <c r="H2469" s="43">
        <v>501100</v>
      </c>
      <c r="I2469" s="43" t="s">
        <v>949</v>
      </c>
      <c r="J2469" s="44" t="s">
        <v>1000</v>
      </c>
    </row>
    <row r="2470" ht="22" customHeight="1" spans="1:10" x14ac:dyDescent="0.25">
      <c r="A2470" s="43">
        <v>3130</v>
      </c>
      <c r="B2470" s="43">
        <v>10</v>
      </c>
      <c r="C2470" s="43" t="s">
        <v>962</v>
      </c>
      <c r="D2470" s="43" t="s">
        <v>1009</v>
      </c>
      <c r="E2470" s="43" t="s">
        <v>247</v>
      </c>
      <c r="F2470" s="43" t="s">
        <v>959</v>
      </c>
      <c r="G2470" s="43">
        <v>1077777</v>
      </c>
      <c r="H2470" s="43">
        <v>501100</v>
      </c>
      <c r="I2470" s="43" t="s">
        <v>949</v>
      </c>
      <c r="J2470" s="44" t="s">
        <v>1000</v>
      </c>
    </row>
    <row r="2471" ht="22" customHeight="1" spans="1:10" x14ac:dyDescent="0.25">
      <c r="A2471" s="43">
        <v>3130</v>
      </c>
      <c r="B2471" s="43">
        <v>10</v>
      </c>
      <c r="C2471" s="43" t="s">
        <v>962</v>
      </c>
      <c r="D2471" s="43" t="s">
        <v>1009</v>
      </c>
      <c r="E2471" s="43" t="s">
        <v>247</v>
      </c>
      <c r="F2471" s="43" t="s">
        <v>960</v>
      </c>
      <c r="G2471" s="43">
        <v>1077777</v>
      </c>
      <c r="H2471" s="43">
        <v>501100</v>
      </c>
      <c r="I2471" s="43" t="s">
        <v>949</v>
      </c>
      <c r="J2471" s="44" t="s">
        <v>1000</v>
      </c>
    </row>
    <row r="2472" ht="22" customHeight="1" spans="1:10" x14ac:dyDescent="0.25">
      <c r="A2472" s="43">
        <v>3130</v>
      </c>
      <c r="B2472" s="43">
        <v>10</v>
      </c>
      <c r="C2472" s="43" t="s">
        <v>962</v>
      </c>
      <c r="D2472" s="43" t="s">
        <v>1009</v>
      </c>
      <c r="E2472" s="43" t="s">
        <v>247</v>
      </c>
      <c r="F2472" s="43" t="s">
        <v>961</v>
      </c>
      <c r="G2472" s="43">
        <v>1077777</v>
      </c>
      <c r="H2472" s="43">
        <v>501100</v>
      </c>
      <c r="I2472" s="43" t="s">
        <v>949</v>
      </c>
      <c r="J2472" s="44" t="s">
        <v>1000</v>
      </c>
    </row>
    <row r="2473" ht="22" customHeight="1" spans="1:10" x14ac:dyDescent="0.25">
      <c r="A2473" s="43">
        <v>3130</v>
      </c>
      <c r="B2473" s="43">
        <v>10</v>
      </c>
      <c r="C2473" s="43" t="s">
        <v>963</v>
      </c>
      <c r="D2473" s="43" t="s">
        <v>1009</v>
      </c>
      <c r="E2473" s="43" t="s">
        <v>247</v>
      </c>
      <c r="F2473" s="43" t="s">
        <v>951</v>
      </c>
      <c r="G2473" s="43">
        <v>1077777</v>
      </c>
      <c r="H2473" s="43">
        <v>501100</v>
      </c>
      <c r="I2473" s="43" t="s">
        <v>949</v>
      </c>
      <c r="J2473" s="44" t="s">
        <v>1000</v>
      </c>
    </row>
    <row r="2474" ht="22" customHeight="1" spans="1:10" x14ac:dyDescent="0.25">
      <c r="A2474" s="43">
        <v>3130</v>
      </c>
      <c r="B2474" s="43">
        <v>10</v>
      </c>
      <c r="C2474" s="43" t="s">
        <v>963</v>
      </c>
      <c r="D2474" s="43" t="s">
        <v>1009</v>
      </c>
      <c r="E2474" s="43" t="s">
        <v>247</v>
      </c>
      <c r="F2474" s="43" t="s">
        <v>952</v>
      </c>
      <c r="G2474" s="43">
        <v>1077777</v>
      </c>
      <c r="H2474" s="43">
        <v>501100</v>
      </c>
      <c r="I2474" s="43" t="s">
        <v>949</v>
      </c>
      <c r="J2474" s="44" t="s">
        <v>1000</v>
      </c>
    </row>
    <row r="2475" ht="22" customHeight="1" spans="1:10" x14ac:dyDescent="0.25">
      <c r="A2475" s="43">
        <v>3130</v>
      </c>
      <c r="B2475" s="43">
        <v>10</v>
      </c>
      <c r="C2475" s="43" t="s">
        <v>963</v>
      </c>
      <c r="D2475" s="43" t="s">
        <v>1009</v>
      </c>
      <c r="E2475" s="43" t="s">
        <v>247</v>
      </c>
      <c r="F2475" s="43" t="s">
        <v>953</v>
      </c>
      <c r="G2475" s="43">
        <v>1077777</v>
      </c>
      <c r="H2475" s="43">
        <v>501100</v>
      </c>
      <c r="I2475" s="43" t="s">
        <v>949</v>
      </c>
      <c r="J2475" s="44" t="s">
        <v>1000</v>
      </c>
    </row>
    <row r="2476" ht="22" customHeight="1" spans="1:10" x14ac:dyDescent="0.25">
      <c r="A2476" s="43">
        <v>3130</v>
      </c>
      <c r="B2476" s="43">
        <v>10</v>
      </c>
      <c r="C2476" s="43" t="s">
        <v>963</v>
      </c>
      <c r="D2476" s="43" t="s">
        <v>1009</v>
      </c>
      <c r="E2476" s="43" t="s">
        <v>247</v>
      </c>
      <c r="F2476" s="43" t="s">
        <v>954</v>
      </c>
      <c r="G2476" s="43">
        <v>1077777</v>
      </c>
      <c r="H2476" s="43">
        <v>501100</v>
      </c>
      <c r="I2476" s="43" t="s">
        <v>949</v>
      </c>
      <c r="J2476" s="44" t="s">
        <v>1000</v>
      </c>
    </row>
    <row r="2477" ht="22" customHeight="1" spans="1:10" x14ac:dyDescent="0.25">
      <c r="A2477" s="43">
        <v>3130</v>
      </c>
      <c r="B2477" s="43">
        <v>10</v>
      </c>
      <c r="C2477" s="43" t="s">
        <v>963</v>
      </c>
      <c r="D2477" s="43" t="s">
        <v>1009</v>
      </c>
      <c r="E2477" s="43" t="s">
        <v>247</v>
      </c>
      <c r="F2477" s="43" t="s">
        <v>955</v>
      </c>
      <c r="G2477" s="43">
        <v>1077777</v>
      </c>
      <c r="H2477" s="43">
        <v>501100</v>
      </c>
      <c r="I2477" s="43" t="s">
        <v>949</v>
      </c>
      <c r="J2477" s="44" t="s">
        <v>1000</v>
      </c>
    </row>
    <row r="2478" ht="22" customHeight="1" spans="1:10" x14ac:dyDescent="0.25">
      <c r="A2478" s="43">
        <v>3130</v>
      </c>
      <c r="B2478" s="43">
        <v>10</v>
      </c>
      <c r="C2478" s="43" t="s">
        <v>963</v>
      </c>
      <c r="D2478" s="43" t="s">
        <v>1009</v>
      </c>
      <c r="E2478" s="43" t="s">
        <v>247</v>
      </c>
      <c r="F2478" s="43" t="s">
        <v>956</v>
      </c>
      <c r="G2478" s="43">
        <v>1077777</v>
      </c>
      <c r="H2478" s="43">
        <v>501100</v>
      </c>
      <c r="I2478" s="43" t="s">
        <v>949</v>
      </c>
      <c r="J2478" s="44" t="s">
        <v>1000</v>
      </c>
    </row>
    <row r="2479" ht="22" customHeight="1" spans="1:10" x14ac:dyDescent="0.25">
      <c r="A2479" s="43">
        <v>3130</v>
      </c>
      <c r="B2479" s="43">
        <v>10</v>
      </c>
      <c r="C2479" s="43" t="s">
        <v>963</v>
      </c>
      <c r="D2479" s="43" t="s">
        <v>1009</v>
      </c>
      <c r="E2479" s="43" t="s">
        <v>247</v>
      </c>
      <c r="F2479" s="43" t="s">
        <v>957</v>
      </c>
      <c r="G2479" s="43">
        <v>1077777</v>
      </c>
      <c r="H2479" s="43">
        <v>501100</v>
      </c>
      <c r="I2479" s="43" t="s">
        <v>949</v>
      </c>
      <c r="J2479" s="44" t="s">
        <v>1000</v>
      </c>
    </row>
    <row r="2480" ht="22" customHeight="1" spans="1:10" x14ac:dyDescent="0.25">
      <c r="A2480" s="43">
        <v>3130</v>
      </c>
      <c r="B2480" s="43">
        <v>10</v>
      </c>
      <c r="C2480" s="43" t="s">
        <v>963</v>
      </c>
      <c r="D2480" s="43" t="s">
        <v>1009</v>
      </c>
      <c r="E2480" s="43" t="s">
        <v>247</v>
      </c>
      <c r="F2480" s="43" t="s">
        <v>958</v>
      </c>
      <c r="G2480" s="43">
        <v>1077777</v>
      </c>
      <c r="H2480" s="43">
        <v>501100</v>
      </c>
      <c r="I2480" s="43" t="s">
        <v>949</v>
      </c>
      <c r="J2480" s="44" t="s">
        <v>1000</v>
      </c>
    </row>
    <row r="2481" ht="22" customHeight="1" spans="1:10" x14ac:dyDescent="0.25">
      <c r="A2481" s="43">
        <v>3130</v>
      </c>
      <c r="B2481" s="43">
        <v>10</v>
      </c>
      <c r="C2481" s="43" t="s">
        <v>963</v>
      </c>
      <c r="D2481" s="43" t="s">
        <v>1009</v>
      </c>
      <c r="E2481" s="43" t="s">
        <v>247</v>
      </c>
      <c r="F2481" s="43" t="s">
        <v>959</v>
      </c>
      <c r="G2481" s="43">
        <v>1077777</v>
      </c>
      <c r="H2481" s="43">
        <v>501100</v>
      </c>
      <c r="I2481" s="43" t="s">
        <v>949</v>
      </c>
      <c r="J2481" s="44" t="s">
        <v>1000</v>
      </c>
    </row>
    <row r="2482" ht="22" customHeight="1" spans="1:10" x14ac:dyDescent="0.25">
      <c r="A2482" s="43">
        <v>3130</v>
      </c>
      <c r="B2482" s="43">
        <v>10</v>
      </c>
      <c r="C2482" s="43" t="s">
        <v>963</v>
      </c>
      <c r="D2482" s="43" t="s">
        <v>1009</v>
      </c>
      <c r="E2482" s="43" t="s">
        <v>247</v>
      </c>
      <c r="F2482" s="43" t="s">
        <v>960</v>
      </c>
      <c r="G2482" s="43">
        <v>1077777</v>
      </c>
      <c r="H2482" s="43">
        <v>501100</v>
      </c>
      <c r="I2482" s="43" t="s">
        <v>949</v>
      </c>
      <c r="J2482" s="44" t="s">
        <v>1000</v>
      </c>
    </row>
    <row r="2483" ht="22" customHeight="1" spans="1:10" x14ac:dyDescent="0.25">
      <c r="A2483" s="43">
        <v>3130</v>
      </c>
      <c r="B2483" s="43">
        <v>10</v>
      </c>
      <c r="C2483" s="43" t="s">
        <v>963</v>
      </c>
      <c r="D2483" s="43" t="s">
        <v>1009</v>
      </c>
      <c r="E2483" s="43" t="s">
        <v>247</v>
      </c>
      <c r="F2483" s="43" t="s">
        <v>961</v>
      </c>
      <c r="G2483" s="43">
        <v>1077777</v>
      </c>
      <c r="H2483" s="43">
        <v>501100</v>
      </c>
      <c r="I2483" s="43" t="s">
        <v>949</v>
      </c>
      <c r="J2483" s="44" t="s">
        <v>1000</v>
      </c>
    </row>
    <row r="2484" spans="1:9" x14ac:dyDescent="0.25">
      <c r="A2484">
        <v>4122</v>
      </c>
      <c r="B2484">
        <v>10</v>
      </c>
      <c r="C2484" t="s">
        <v>946</v>
      </c>
      <c r="D2484" t="s">
        <v>1009</v>
      </c>
      <c r="E2484" t="s">
        <v>247</v>
      </c>
      <c r="F2484" t="s">
        <v>948</v>
      </c>
      <c r="G2484">
        <v>1000000</v>
      </c>
      <c r="H2484">
        <v>145000</v>
      </c>
      <c r="I2484" t="s">
        <v>949</v>
      </c>
    </row>
    <row r="2485" spans="1:9" x14ac:dyDescent="0.25">
      <c r="A2485">
        <v>4124</v>
      </c>
      <c r="B2485">
        <v>10</v>
      </c>
      <c r="C2485" t="s">
        <v>946</v>
      </c>
      <c r="D2485" t="s">
        <v>1009</v>
      </c>
      <c r="E2485" t="s">
        <v>247</v>
      </c>
      <c r="F2485" t="s">
        <v>948</v>
      </c>
      <c r="G2485">
        <v>1077777</v>
      </c>
      <c r="H2485">
        <v>501100</v>
      </c>
      <c r="I2485" t="s">
        <v>949</v>
      </c>
    </row>
    <row r="2486" ht="22" customHeight="1" spans="1:10" x14ac:dyDescent="0.25">
      <c r="A2486" s="43">
        <v>3130</v>
      </c>
      <c r="B2486" s="43">
        <v>10</v>
      </c>
      <c r="C2486" s="43" t="s">
        <v>950</v>
      </c>
      <c r="D2486" s="43" t="s">
        <v>1009</v>
      </c>
      <c r="E2486" s="43" t="s">
        <v>251</v>
      </c>
      <c r="F2486" s="43" t="s">
        <v>951</v>
      </c>
      <c r="G2486" s="43">
        <v>1077777</v>
      </c>
      <c r="H2486" s="43">
        <v>501100</v>
      </c>
      <c r="I2486" s="43" t="s">
        <v>949</v>
      </c>
      <c r="J2486" s="44" t="s">
        <v>1000</v>
      </c>
    </row>
    <row r="2487" ht="22" customHeight="1" spans="1:10" x14ac:dyDescent="0.25">
      <c r="A2487" s="43">
        <v>3130</v>
      </c>
      <c r="B2487" s="43">
        <v>10</v>
      </c>
      <c r="C2487" s="43" t="s">
        <v>950</v>
      </c>
      <c r="D2487" s="43" t="s">
        <v>1009</v>
      </c>
      <c r="E2487" s="43" t="s">
        <v>251</v>
      </c>
      <c r="F2487" s="43" t="s">
        <v>952</v>
      </c>
      <c r="G2487" s="43">
        <v>1077777</v>
      </c>
      <c r="H2487" s="43">
        <v>501100</v>
      </c>
      <c r="I2487" s="43" t="s">
        <v>949</v>
      </c>
      <c r="J2487" s="44" t="s">
        <v>1000</v>
      </c>
    </row>
    <row r="2488" ht="22" customHeight="1" spans="1:10" x14ac:dyDescent="0.25">
      <c r="A2488" s="43">
        <v>3130</v>
      </c>
      <c r="B2488" s="43">
        <v>10</v>
      </c>
      <c r="C2488" s="43" t="s">
        <v>950</v>
      </c>
      <c r="D2488" s="43" t="s">
        <v>1009</v>
      </c>
      <c r="E2488" s="43" t="s">
        <v>251</v>
      </c>
      <c r="F2488" s="43" t="s">
        <v>953</v>
      </c>
      <c r="G2488" s="43">
        <v>1077777</v>
      </c>
      <c r="H2488" s="43">
        <v>501100</v>
      </c>
      <c r="I2488" s="43" t="s">
        <v>949</v>
      </c>
      <c r="J2488" s="44" t="s">
        <v>1000</v>
      </c>
    </row>
    <row r="2489" ht="22" customHeight="1" spans="1:10" x14ac:dyDescent="0.25">
      <c r="A2489" s="43">
        <v>3130</v>
      </c>
      <c r="B2489" s="43">
        <v>10</v>
      </c>
      <c r="C2489" s="43" t="s">
        <v>950</v>
      </c>
      <c r="D2489" s="43" t="s">
        <v>1009</v>
      </c>
      <c r="E2489" s="43" t="s">
        <v>251</v>
      </c>
      <c r="F2489" s="43" t="s">
        <v>954</v>
      </c>
      <c r="G2489" s="43">
        <v>1077777</v>
      </c>
      <c r="H2489" s="43">
        <v>501100</v>
      </c>
      <c r="I2489" s="43" t="s">
        <v>949</v>
      </c>
      <c r="J2489" s="44" t="s">
        <v>1000</v>
      </c>
    </row>
    <row r="2490" ht="22" customHeight="1" spans="1:10" x14ac:dyDescent="0.25">
      <c r="A2490" s="43">
        <v>3130</v>
      </c>
      <c r="B2490" s="43">
        <v>10</v>
      </c>
      <c r="C2490" s="43" t="s">
        <v>950</v>
      </c>
      <c r="D2490" s="43" t="s">
        <v>1009</v>
      </c>
      <c r="E2490" s="43" t="s">
        <v>251</v>
      </c>
      <c r="F2490" s="43" t="s">
        <v>955</v>
      </c>
      <c r="G2490" s="43">
        <v>1077777</v>
      </c>
      <c r="H2490" s="43">
        <v>501100</v>
      </c>
      <c r="I2490" s="43" t="s">
        <v>949</v>
      </c>
      <c r="J2490" s="44" t="s">
        <v>1000</v>
      </c>
    </row>
    <row r="2491" ht="22" customHeight="1" spans="1:10" x14ac:dyDescent="0.25">
      <c r="A2491" s="43">
        <v>3130</v>
      </c>
      <c r="B2491" s="43">
        <v>10</v>
      </c>
      <c r="C2491" s="43" t="s">
        <v>950</v>
      </c>
      <c r="D2491" s="43" t="s">
        <v>1009</v>
      </c>
      <c r="E2491" s="43" t="s">
        <v>251</v>
      </c>
      <c r="F2491" s="43" t="s">
        <v>956</v>
      </c>
      <c r="G2491" s="43">
        <v>1077777</v>
      </c>
      <c r="H2491" s="43">
        <v>501100</v>
      </c>
      <c r="I2491" s="43" t="s">
        <v>949</v>
      </c>
      <c r="J2491" s="44" t="s">
        <v>1000</v>
      </c>
    </row>
    <row r="2492" ht="22" customHeight="1" spans="1:10" x14ac:dyDescent="0.25">
      <c r="A2492" s="43">
        <v>3130</v>
      </c>
      <c r="B2492" s="43">
        <v>10</v>
      </c>
      <c r="C2492" s="43" t="s">
        <v>950</v>
      </c>
      <c r="D2492" s="43" t="s">
        <v>1009</v>
      </c>
      <c r="E2492" s="43" t="s">
        <v>251</v>
      </c>
      <c r="F2492" s="43" t="s">
        <v>957</v>
      </c>
      <c r="G2492" s="43">
        <v>1077777</v>
      </c>
      <c r="H2492" s="43">
        <v>501100</v>
      </c>
      <c r="I2492" s="43" t="s">
        <v>949</v>
      </c>
      <c r="J2492" s="44" t="s">
        <v>1000</v>
      </c>
    </row>
    <row r="2493" ht="22" customHeight="1" spans="1:10" x14ac:dyDescent="0.25">
      <c r="A2493" s="43">
        <v>3130</v>
      </c>
      <c r="B2493" s="43">
        <v>10</v>
      </c>
      <c r="C2493" s="43" t="s">
        <v>950</v>
      </c>
      <c r="D2493" s="43" t="s">
        <v>1009</v>
      </c>
      <c r="E2493" s="43" t="s">
        <v>251</v>
      </c>
      <c r="F2493" s="43" t="s">
        <v>958</v>
      </c>
      <c r="G2493" s="43">
        <v>1077777</v>
      </c>
      <c r="H2493" s="43">
        <v>501100</v>
      </c>
      <c r="I2493" s="43" t="s">
        <v>949</v>
      </c>
      <c r="J2493" s="44" t="s">
        <v>1000</v>
      </c>
    </row>
    <row r="2494" ht="22" customHeight="1" spans="1:10" x14ac:dyDescent="0.25">
      <c r="A2494" s="43">
        <v>3130</v>
      </c>
      <c r="B2494" s="43">
        <v>10</v>
      </c>
      <c r="C2494" s="43" t="s">
        <v>950</v>
      </c>
      <c r="D2494" s="43" t="s">
        <v>1009</v>
      </c>
      <c r="E2494" s="43" t="s">
        <v>251</v>
      </c>
      <c r="F2494" s="43" t="s">
        <v>959</v>
      </c>
      <c r="G2494" s="43">
        <v>1077777</v>
      </c>
      <c r="H2494" s="43">
        <v>501100</v>
      </c>
      <c r="I2494" s="43" t="s">
        <v>949</v>
      </c>
      <c r="J2494" s="44" t="s">
        <v>1000</v>
      </c>
    </row>
    <row r="2495" ht="22" customHeight="1" spans="1:10" x14ac:dyDescent="0.25">
      <c r="A2495" s="43">
        <v>3130</v>
      </c>
      <c r="B2495" s="43">
        <v>10</v>
      </c>
      <c r="C2495" s="43" t="s">
        <v>950</v>
      </c>
      <c r="D2495" s="43" t="s">
        <v>1009</v>
      </c>
      <c r="E2495" s="43" t="s">
        <v>251</v>
      </c>
      <c r="F2495" s="43" t="s">
        <v>960</v>
      </c>
      <c r="G2495" s="43">
        <v>1077777</v>
      </c>
      <c r="H2495" s="43">
        <v>501100</v>
      </c>
      <c r="I2495" s="43" t="s">
        <v>949</v>
      </c>
      <c r="J2495" s="44" t="s">
        <v>1000</v>
      </c>
    </row>
    <row r="2496" ht="22" customHeight="1" spans="1:10" x14ac:dyDescent="0.25">
      <c r="A2496" s="43">
        <v>3130</v>
      </c>
      <c r="B2496" s="43">
        <v>10</v>
      </c>
      <c r="C2496" s="43" t="s">
        <v>950</v>
      </c>
      <c r="D2496" s="43" t="s">
        <v>1009</v>
      </c>
      <c r="E2496" s="43" t="s">
        <v>251</v>
      </c>
      <c r="F2496" s="43" t="s">
        <v>961</v>
      </c>
      <c r="G2496" s="43">
        <v>1077777</v>
      </c>
      <c r="H2496" s="43">
        <v>501100</v>
      </c>
      <c r="I2496" s="43" t="s">
        <v>949</v>
      </c>
      <c r="J2496" s="44" t="s">
        <v>1000</v>
      </c>
    </row>
    <row r="2497" ht="22" customHeight="1" spans="1:10" x14ac:dyDescent="0.25">
      <c r="A2497" s="43">
        <v>3130</v>
      </c>
      <c r="B2497" s="43">
        <v>10</v>
      </c>
      <c r="C2497" s="43" t="s">
        <v>962</v>
      </c>
      <c r="D2497" s="43" t="s">
        <v>1009</v>
      </c>
      <c r="E2497" s="43" t="s">
        <v>251</v>
      </c>
      <c r="F2497" s="43" t="s">
        <v>951</v>
      </c>
      <c r="G2497" s="43">
        <v>1077777</v>
      </c>
      <c r="H2497" s="43">
        <v>501100</v>
      </c>
      <c r="I2497" s="43" t="s">
        <v>949</v>
      </c>
      <c r="J2497" s="44" t="s">
        <v>1000</v>
      </c>
    </row>
    <row r="2498" ht="22" customHeight="1" spans="1:10" x14ac:dyDescent="0.25">
      <c r="A2498" s="43">
        <v>3130</v>
      </c>
      <c r="B2498" s="43">
        <v>10</v>
      </c>
      <c r="C2498" s="43" t="s">
        <v>962</v>
      </c>
      <c r="D2498" s="43" t="s">
        <v>1009</v>
      </c>
      <c r="E2498" s="43" t="s">
        <v>251</v>
      </c>
      <c r="F2498" s="43" t="s">
        <v>952</v>
      </c>
      <c r="G2498" s="43">
        <v>1077777</v>
      </c>
      <c r="H2498" s="43">
        <v>501100</v>
      </c>
      <c r="I2498" s="43" t="s">
        <v>949</v>
      </c>
      <c r="J2498" s="44" t="s">
        <v>1000</v>
      </c>
    </row>
    <row r="2499" ht="22" customHeight="1" spans="1:10" x14ac:dyDescent="0.25">
      <c r="A2499" s="43">
        <v>3130</v>
      </c>
      <c r="B2499" s="43">
        <v>10</v>
      </c>
      <c r="C2499" s="43" t="s">
        <v>962</v>
      </c>
      <c r="D2499" s="43" t="s">
        <v>1009</v>
      </c>
      <c r="E2499" s="43" t="s">
        <v>251</v>
      </c>
      <c r="F2499" s="43" t="s">
        <v>953</v>
      </c>
      <c r="G2499" s="43">
        <v>1077777</v>
      </c>
      <c r="H2499" s="43">
        <v>501100</v>
      </c>
      <c r="I2499" s="43" t="s">
        <v>949</v>
      </c>
      <c r="J2499" s="44" t="s">
        <v>1000</v>
      </c>
    </row>
    <row r="2500" ht="22" customHeight="1" spans="1:10" x14ac:dyDescent="0.25">
      <c r="A2500" s="43">
        <v>3130</v>
      </c>
      <c r="B2500" s="43">
        <v>10</v>
      </c>
      <c r="C2500" s="43" t="s">
        <v>962</v>
      </c>
      <c r="D2500" s="43" t="s">
        <v>1009</v>
      </c>
      <c r="E2500" s="43" t="s">
        <v>251</v>
      </c>
      <c r="F2500" s="43" t="s">
        <v>954</v>
      </c>
      <c r="G2500" s="43">
        <v>1077777</v>
      </c>
      <c r="H2500" s="43">
        <v>501100</v>
      </c>
      <c r="I2500" s="43" t="s">
        <v>949</v>
      </c>
      <c r="J2500" s="44" t="s">
        <v>1000</v>
      </c>
    </row>
    <row r="2501" ht="22" customHeight="1" spans="1:10" x14ac:dyDescent="0.25">
      <c r="A2501" s="43">
        <v>3130</v>
      </c>
      <c r="B2501" s="43">
        <v>10</v>
      </c>
      <c r="C2501" s="43" t="s">
        <v>962</v>
      </c>
      <c r="D2501" s="43" t="s">
        <v>1009</v>
      </c>
      <c r="E2501" s="43" t="s">
        <v>251</v>
      </c>
      <c r="F2501" s="43" t="s">
        <v>955</v>
      </c>
      <c r="G2501" s="43">
        <v>1077777</v>
      </c>
      <c r="H2501" s="43">
        <v>501100</v>
      </c>
      <c r="I2501" s="43" t="s">
        <v>949</v>
      </c>
      <c r="J2501" s="44" t="s">
        <v>1000</v>
      </c>
    </row>
    <row r="2502" ht="22" customHeight="1" spans="1:10" x14ac:dyDescent="0.25">
      <c r="A2502" s="43">
        <v>3130</v>
      </c>
      <c r="B2502" s="43">
        <v>10</v>
      </c>
      <c r="C2502" s="43" t="s">
        <v>962</v>
      </c>
      <c r="D2502" s="43" t="s">
        <v>1009</v>
      </c>
      <c r="E2502" s="43" t="s">
        <v>251</v>
      </c>
      <c r="F2502" s="43" t="s">
        <v>956</v>
      </c>
      <c r="G2502" s="43">
        <v>1077777</v>
      </c>
      <c r="H2502" s="43">
        <v>501100</v>
      </c>
      <c r="I2502" s="43" t="s">
        <v>949</v>
      </c>
      <c r="J2502" s="44" t="s">
        <v>1000</v>
      </c>
    </row>
    <row r="2503" ht="22" customHeight="1" spans="1:10" x14ac:dyDescent="0.25">
      <c r="A2503" s="43">
        <v>3130</v>
      </c>
      <c r="B2503" s="43">
        <v>10</v>
      </c>
      <c r="C2503" s="43" t="s">
        <v>962</v>
      </c>
      <c r="D2503" s="43" t="s">
        <v>1009</v>
      </c>
      <c r="E2503" s="43" t="s">
        <v>251</v>
      </c>
      <c r="F2503" s="43" t="s">
        <v>957</v>
      </c>
      <c r="G2503" s="43">
        <v>1077777</v>
      </c>
      <c r="H2503" s="43">
        <v>501100</v>
      </c>
      <c r="I2503" s="43" t="s">
        <v>949</v>
      </c>
      <c r="J2503" s="44" t="s">
        <v>1000</v>
      </c>
    </row>
    <row r="2504" ht="22" customHeight="1" spans="1:10" x14ac:dyDescent="0.25">
      <c r="A2504" s="43">
        <v>3130</v>
      </c>
      <c r="B2504" s="43">
        <v>10</v>
      </c>
      <c r="C2504" s="43" t="s">
        <v>962</v>
      </c>
      <c r="D2504" s="43" t="s">
        <v>1009</v>
      </c>
      <c r="E2504" s="43" t="s">
        <v>251</v>
      </c>
      <c r="F2504" s="43" t="s">
        <v>958</v>
      </c>
      <c r="G2504" s="43">
        <v>1077777</v>
      </c>
      <c r="H2504" s="43">
        <v>501100</v>
      </c>
      <c r="I2504" s="43" t="s">
        <v>949</v>
      </c>
      <c r="J2504" s="44" t="s">
        <v>1000</v>
      </c>
    </row>
    <row r="2505" ht="22" customHeight="1" spans="1:10" x14ac:dyDescent="0.25">
      <c r="A2505" s="43">
        <v>3130</v>
      </c>
      <c r="B2505" s="43">
        <v>10</v>
      </c>
      <c r="C2505" s="43" t="s">
        <v>962</v>
      </c>
      <c r="D2505" s="43" t="s">
        <v>1009</v>
      </c>
      <c r="E2505" s="43" t="s">
        <v>251</v>
      </c>
      <c r="F2505" s="43" t="s">
        <v>959</v>
      </c>
      <c r="G2505" s="43">
        <v>1077777</v>
      </c>
      <c r="H2505" s="43">
        <v>501100</v>
      </c>
      <c r="I2505" s="43" t="s">
        <v>949</v>
      </c>
      <c r="J2505" s="44" t="s">
        <v>1000</v>
      </c>
    </row>
    <row r="2506" ht="22" customHeight="1" spans="1:10" x14ac:dyDescent="0.25">
      <c r="A2506" s="43">
        <v>3130</v>
      </c>
      <c r="B2506" s="43">
        <v>10</v>
      </c>
      <c r="C2506" s="43" t="s">
        <v>962</v>
      </c>
      <c r="D2506" s="43" t="s">
        <v>1009</v>
      </c>
      <c r="E2506" s="43" t="s">
        <v>251</v>
      </c>
      <c r="F2506" s="43" t="s">
        <v>960</v>
      </c>
      <c r="G2506" s="43">
        <v>1077777</v>
      </c>
      <c r="H2506" s="43">
        <v>501100</v>
      </c>
      <c r="I2506" s="43" t="s">
        <v>949</v>
      </c>
      <c r="J2506" s="44" t="s">
        <v>1000</v>
      </c>
    </row>
    <row r="2507" ht="22" customHeight="1" spans="1:10" x14ac:dyDescent="0.25">
      <c r="A2507" s="43">
        <v>3130</v>
      </c>
      <c r="B2507" s="43">
        <v>10</v>
      </c>
      <c r="C2507" s="43" t="s">
        <v>962</v>
      </c>
      <c r="D2507" s="43" t="s">
        <v>1009</v>
      </c>
      <c r="E2507" s="43" t="s">
        <v>251</v>
      </c>
      <c r="F2507" s="43" t="s">
        <v>961</v>
      </c>
      <c r="G2507" s="43">
        <v>1077777</v>
      </c>
      <c r="H2507" s="43">
        <v>501100</v>
      </c>
      <c r="I2507" s="43" t="s">
        <v>949</v>
      </c>
      <c r="J2507" s="44" t="s">
        <v>1000</v>
      </c>
    </row>
    <row r="2508" ht="22" customHeight="1" spans="1:10" x14ac:dyDescent="0.25">
      <c r="A2508" s="43">
        <v>3130</v>
      </c>
      <c r="B2508" s="43">
        <v>10</v>
      </c>
      <c r="C2508" s="43" t="s">
        <v>963</v>
      </c>
      <c r="D2508" s="43" t="s">
        <v>1009</v>
      </c>
      <c r="E2508" s="43" t="s">
        <v>251</v>
      </c>
      <c r="F2508" s="43" t="s">
        <v>951</v>
      </c>
      <c r="G2508" s="43">
        <v>1077777</v>
      </c>
      <c r="H2508" s="43">
        <v>501100</v>
      </c>
      <c r="I2508" s="43" t="s">
        <v>949</v>
      </c>
      <c r="J2508" s="44" t="s">
        <v>1000</v>
      </c>
    </row>
    <row r="2509" ht="22" customHeight="1" spans="1:10" x14ac:dyDescent="0.25">
      <c r="A2509" s="43">
        <v>3130</v>
      </c>
      <c r="B2509" s="43">
        <v>10</v>
      </c>
      <c r="C2509" s="43" t="s">
        <v>963</v>
      </c>
      <c r="D2509" s="43" t="s">
        <v>1009</v>
      </c>
      <c r="E2509" s="43" t="s">
        <v>251</v>
      </c>
      <c r="F2509" s="43" t="s">
        <v>952</v>
      </c>
      <c r="G2509" s="43">
        <v>1077777</v>
      </c>
      <c r="H2509" s="43">
        <v>501100</v>
      </c>
      <c r="I2509" s="43" t="s">
        <v>949</v>
      </c>
      <c r="J2509" s="44" t="s">
        <v>1000</v>
      </c>
    </row>
    <row r="2510" ht="22" customHeight="1" spans="1:10" x14ac:dyDescent="0.25">
      <c r="A2510" s="43">
        <v>3130</v>
      </c>
      <c r="B2510" s="43">
        <v>10</v>
      </c>
      <c r="C2510" s="43" t="s">
        <v>963</v>
      </c>
      <c r="D2510" s="43" t="s">
        <v>1009</v>
      </c>
      <c r="E2510" s="43" t="s">
        <v>251</v>
      </c>
      <c r="F2510" s="43" t="s">
        <v>953</v>
      </c>
      <c r="G2510" s="43">
        <v>1077777</v>
      </c>
      <c r="H2510" s="43">
        <v>501100</v>
      </c>
      <c r="I2510" s="43" t="s">
        <v>949</v>
      </c>
      <c r="J2510" s="44" t="s">
        <v>1000</v>
      </c>
    </row>
    <row r="2511" ht="22" customHeight="1" spans="1:10" x14ac:dyDescent="0.25">
      <c r="A2511" s="43">
        <v>3130</v>
      </c>
      <c r="B2511" s="43">
        <v>10</v>
      </c>
      <c r="C2511" s="43" t="s">
        <v>963</v>
      </c>
      <c r="D2511" s="43" t="s">
        <v>1009</v>
      </c>
      <c r="E2511" s="43" t="s">
        <v>251</v>
      </c>
      <c r="F2511" s="43" t="s">
        <v>954</v>
      </c>
      <c r="G2511" s="43">
        <v>1077777</v>
      </c>
      <c r="H2511" s="43">
        <v>501100</v>
      </c>
      <c r="I2511" s="43" t="s">
        <v>949</v>
      </c>
      <c r="J2511" s="44" t="s">
        <v>1000</v>
      </c>
    </row>
    <row r="2512" ht="22" customHeight="1" spans="1:10" x14ac:dyDescent="0.25">
      <c r="A2512" s="43">
        <v>3130</v>
      </c>
      <c r="B2512" s="43">
        <v>10</v>
      </c>
      <c r="C2512" s="43" t="s">
        <v>963</v>
      </c>
      <c r="D2512" s="43" t="s">
        <v>1009</v>
      </c>
      <c r="E2512" s="43" t="s">
        <v>251</v>
      </c>
      <c r="F2512" s="43" t="s">
        <v>955</v>
      </c>
      <c r="G2512" s="43">
        <v>1077777</v>
      </c>
      <c r="H2512" s="43">
        <v>501100</v>
      </c>
      <c r="I2512" s="43" t="s">
        <v>949</v>
      </c>
      <c r="J2512" s="44" t="s">
        <v>1000</v>
      </c>
    </row>
    <row r="2513" ht="22" customHeight="1" spans="1:10" x14ac:dyDescent="0.25">
      <c r="A2513" s="43">
        <v>3130</v>
      </c>
      <c r="B2513" s="43">
        <v>10</v>
      </c>
      <c r="C2513" s="43" t="s">
        <v>963</v>
      </c>
      <c r="D2513" s="43" t="s">
        <v>1009</v>
      </c>
      <c r="E2513" s="43" t="s">
        <v>251</v>
      </c>
      <c r="F2513" s="43" t="s">
        <v>956</v>
      </c>
      <c r="G2513" s="43">
        <v>1077777</v>
      </c>
      <c r="H2513" s="43">
        <v>501100</v>
      </c>
      <c r="I2513" s="43" t="s">
        <v>949</v>
      </c>
      <c r="J2513" s="44" t="s">
        <v>1000</v>
      </c>
    </row>
    <row r="2514" ht="22" customHeight="1" spans="1:10" x14ac:dyDescent="0.25">
      <c r="A2514" s="43">
        <v>3130</v>
      </c>
      <c r="B2514" s="43">
        <v>10</v>
      </c>
      <c r="C2514" s="43" t="s">
        <v>963</v>
      </c>
      <c r="D2514" s="43" t="s">
        <v>1009</v>
      </c>
      <c r="E2514" s="43" t="s">
        <v>251</v>
      </c>
      <c r="F2514" s="43" t="s">
        <v>957</v>
      </c>
      <c r="G2514" s="43">
        <v>1077777</v>
      </c>
      <c r="H2514" s="43">
        <v>501100</v>
      </c>
      <c r="I2514" s="43" t="s">
        <v>949</v>
      </c>
      <c r="J2514" s="44" t="s">
        <v>1000</v>
      </c>
    </row>
    <row r="2515" ht="22" customHeight="1" spans="1:10" x14ac:dyDescent="0.25">
      <c r="A2515" s="43">
        <v>3130</v>
      </c>
      <c r="B2515" s="43">
        <v>10</v>
      </c>
      <c r="C2515" s="43" t="s">
        <v>963</v>
      </c>
      <c r="D2515" s="43" t="s">
        <v>1009</v>
      </c>
      <c r="E2515" s="43" t="s">
        <v>251</v>
      </c>
      <c r="F2515" s="43" t="s">
        <v>958</v>
      </c>
      <c r="G2515" s="43">
        <v>1077777</v>
      </c>
      <c r="H2515" s="43">
        <v>501100</v>
      </c>
      <c r="I2515" s="43" t="s">
        <v>949</v>
      </c>
      <c r="J2515" s="44" t="s">
        <v>1000</v>
      </c>
    </row>
    <row r="2516" ht="22" customHeight="1" spans="1:10" x14ac:dyDescent="0.25">
      <c r="A2516" s="43">
        <v>3130</v>
      </c>
      <c r="B2516" s="43">
        <v>10</v>
      </c>
      <c r="C2516" s="43" t="s">
        <v>963</v>
      </c>
      <c r="D2516" s="43" t="s">
        <v>1009</v>
      </c>
      <c r="E2516" s="43" t="s">
        <v>251</v>
      </c>
      <c r="F2516" s="43" t="s">
        <v>959</v>
      </c>
      <c r="G2516" s="43">
        <v>1077777</v>
      </c>
      <c r="H2516" s="43">
        <v>501100</v>
      </c>
      <c r="I2516" s="43" t="s">
        <v>949</v>
      </c>
      <c r="J2516" s="44" t="s">
        <v>1000</v>
      </c>
    </row>
    <row r="2517" ht="22" customHeight="1" spans="1:10" x14ac:dyDescent="0.25">
      <c r="A2517" s="43">
        <v>3130</v>
      </c>
      <c r="B2517" s="43">
        <v>10</v>
      </c>
      <c r="C2517" s="43" t="s">
        <v>963</v>
      </c>
      <c r="D2517" s="43" t="s">
        <v>1009</v>
      </c>
      <c r="E2517" s="43" t="s">
        <v>251</v>
      </c>
      <c r="F2517" s="43" t="s">
        <v>960</v>
      </c>
      <c r="G2517" s="43">
        <v>1077777</v>
      </c>
      <c r="H2517" s="43">
        <v>501100</v>
      </c>
      <c r="I2517" s="43" t="s">
        <v>949</v>
      </c>
      <c r="J2517" s="44" t="s">
        <v>1000</v>
      </c>
    </row>
    <row r="2518" ht="22" customHeight="1" spans="1:10" x14ac:dyDescent="0.25">
      <c r="A2518" s="43">
        <v>3130</v>
      </c>
      <c r="B2518" s="43">
        <v>10</v>
      </c>
      <c r="C2518" s="43" t="s">
        <v>963</v>
      </c>
      <c r="D2518" s="43" t="s">
        <v>1009</v>
      </c>
      <c r="E2518" s="43" t="s">
        <v>251</v>
      </c>
      <c r="F2518" s="43" t="s">
        <v>961</v>
      </c>
      <c r="G2518" s="43">
        <v>1077777</v>
      </c>
      <c r="H2518" s="43">
        <v>501100</v>
      </c>
      <c r="I2518" s="43" t="s">
        <v>949</v>
      </c>
      <c r="J2518" s="44" t="s">
        <v>1000</v>
      </c>
    </row>
    <row r="2519" spans="1:9" x14ac:dyDescent="0.25">
      <c r="A2519">
        <v>4122</v>
      </c>
      <c r="B2519">
        <v>10</v>
      </c>
      <c r="C2519" t="s">
        <v>946</v>
      </c>
      <c r="D2519" t="s">
        <v>1009</v>
      </c>
      <c r="E2519" t="s">
        <v>251</v>
      </c>
      <c r="F2519" t="s">
        <v>948</v>
      </c>
      <c r="G2519">
        <v>1000000</v>
      </c>
      <c r="H2519">
        <v>142000</v>
      </c>
      <c r="I2519" t="s">
        <v>949</v>
      </c>
    </row>
    <row r="2520" spans="1:9" x14ac:dyDescent="0.25">
      <c r="A2520">
        <v>4124</v>
      </c>
      <c r="B2520">
        <v>10</v>
      </c>
      <c r="C2520" t="s">
        <v>946</v>
      </c>
      <c r="D2520" t="s">
        <v>1009</v>
      </c>
      <c r="E2520" t="s">
        <v>251</v>
      </c>
      <c r="F2520" t="s">
        <v>948</v>
      </c>
      <c r="G2520">
        <v>1077777</v>
      </c>
      <c r="H2520">
        <v>501100</v>
      </c>
      <c r="I2520" t="s">
        <v>949</v>
      </c>
    </row>
    <row r="2521" ht="22" customHeight="1" spans="1:10" x14ac:dyDescent="0.25">
      <c r="A2521" s="43">
        <v>3130</v>
      </c>
      <c r="B2521" s="43">
        <v>10</v>
      </c>
      <c r="C2521" s="43" t="s">
        <v>950</v>
      </c>
      <c r="D2521" s="43" t="s">
        <v>1009</v>
      </c>
      <c r="E2521" s="43" t="s">
        <v>969</v>
      </c>
      <c r="F2521" s="43" t="s">
        <v>951</v>
      </c>
      <c r="G2521" s="43">
        <v>1077777</v>
      </c>
      <c r="H2521" s="43">
        <v>501100</v>
      </c>
      <c r="I2521" s="43" t="s">
        <v>949</v>
      </c>
      <c r="J2521" s="44" t="s">
        <v>1000</v>
      </c>
    </row>
    <row r="2522" ht="22" customHeight="1" spans="1:10" x14ac:dyDescent="0.25">
      <c r="A2522" s="43">
        <v>3130</v>
      </c>
      <c r="B2522" s="43">
        <v>10</v>
      </c>
      <c r="C2522" s="43" t="s">
        <v>950</v>
      </c>
      <c r="D2522" s="43" t="s">
        <v>1009</v>
      </c>
      <c r="E2522" s="43" t="s">
        <v>969</v>
      </c>
      <c r="F2522" s="43" t="s">
        <v>952</v>
      </c>
      <c r="G2522" s="43">
        <v>1077777</v>
      </c>
      <c r="H2522" s="43">
        <v>501100</v>
      </c>
      <c r="I2522" s="43" t="s">
        <v>949</v>
      </c>
      <c r="J2522" s="44" t="s">
        <v>1000</v>
      </c>
    </row>
    <row r="2523" ht="22" customHeight="1" spans="1:10" x14ac:dyDescent="0.25">
      <c r="A2523" s="43">
        <v>3130</v>
      </c>
      <c r="B2523" s="43">
        <v>10</v>
      </c>
      <c r="C2523" s="43" t="s">
        <v>950</v>
      </c>
      <c r="D2523" s="43" t="s">
        <v>1009</v>
      </c>
      <c r="E2523" s="43" t="s">
        <v>969</v>
      </c>
      <c r="F2523" s="43" t="s">
        <v>953</v>
      </c>
      <c r="G2523" s="43">
        <v>1077777</v>
      </c>
      <c r="H2523" s="43">
        <v>501100</v>
      </c>
      <c r="I2523" s="43" t="s">
        <v>949</v>
      </c>
      <c r="J2523" s="44" t="s">
        <v>1000</v>
      </c>
    </row>
    <row r="2524" ht="22" customHeight="1" spans="1:10" x14ac:dyDescent="0.25">
      <c r="A2524" s="43">
        <v>3130</v>
      </c>
      <c r="B2524" s="43">
        <v>10</v>
      </c>
      <c r="C2524" s="43" t="s">
        <v>950</v>
      </c>
      <c r="D2524" s="43" t="s">
        <v>1009</v>
      </c>
      <c r="E2524" s="43" t="s">
        <v>969</v>
      </c>
      <c r="F2524" s="43" t="s">
        <v>954</v>
      </c>
      <c r="G2524" s="43">
        <v>1077777</v>
      </c>
      <c r="H2524" s="43">
        <v>501100</v>
      </c>
      <c r="I2524" s="43" t="s">
        <v>949</v>
      </c>
      <c r="J2524" s="44" t="s">
        <v>1000</v>
      </c>
    </row>
    <row r="2525" ht="22" customHeight="1" spans="1:10" x14ac:dyDescent="0.25">
      <c r="A2525" s="43">
        <v>3130</v>
      </c>
      <c r="B2525" s="43">
        <v>10</v>
      </c>
      <c r="C2525" s="43" t="s">
        <v>950</v>
      </c>
      <c r="D2525" s="43" t="s">
        <v>1009</v>
      </c>
      <c r="E2525" s="43" t="s">
        <v>969</v>
      </c>
      <c r="F2525" s="43" t="s">
        <v>955</v>
      </c>
      <c r="G2525" s="43">
        <v>1077777</v>
      </c>
      <c r="H2525" s="43">
        <v>501100</v>
      </c>
      <c r="I2525" s="43" t="s">
        <v>949</v>
      </c>
      <c r="J2525" s="44" t="s">
        <v>1000</v>
      </c>
    </row>
    <row r="2526" ht="22" customHeight="1" spans="1:10" x14ac:dyDescent="0.25">
      <c r="A2526" s="43">
        <v>3130</v>
      </c>
      <c r="B2526" s="43">
        <v>10</v>
      </c>
      <c r="C2526" s="43" t="s">
        <v>950</v>
      </c>
      <c r="D2526" s="43" t="s">
        <v>1009</v>
      </c>
      <c r="E2526" s="43" t="s">
        <v>969</v>
      </c>
      <c r="F2526" s="43" t="s">
        <v>956</v>
      </c>
      <c r="G2526" s="43">
        <v>1077777</v>
      </c>
      <c r="H2526" s="43">
        <v>501100</v>
      </c>
      <c r="I2526" s="43" t="s">
        <v>949</v>
      </c>
      <c r="J2526" s="44" t="s">
        <v>1000</v>
      </c>
    </row>
    <row r="2527" ht="22" customHeight="1" spans="1:10" x14ac:dyDescent="0.25">
      <c r="A2527" s="43">
        <v>3130</v>
      </c>
      <c r="B2527" s="43">
        <v>10</v>
      </c>
      <c r="C2527" s="43" t="s">
        <v>950</v>
      </c>
      <c r="D2527" s="43" t="s">
        <v>1009</v>
      </c>
      <c r="E2527" s="43" t="s">
        <v>969</v>
      </c>
      <c r="F2527" s="43" t="s">
        <v>957</v>
      </c>
      <c r="G2527" s="43">
        <v>1077777</v>
      </c>
      <c r="H2527" s="43">
        <v>501100</v>
      </c>
      <c r="I2527" s="43" t="s">
        <v>949</v>
      </c>
      <c r="J2527" s="44" t="s">
        <v>1000</v>
      </c>
    </row>
    <row r="2528" ht="22" customHeight="1" spans="1:10" x14ac:dyDescent="0.25">
      <c r="A2528" s="43">
        <v>3130</v>
      </c>
      <c r="B2528" s="43">
        <v>10</v>
      </c>
      <c r="C2528" s="43" t="s">
        <v>950</v>
      </c>
      <c r="D2528" s="43" t="s">
        <v>1009</v>
      </c>
      <c r="E2528" s="43" t="s">
        <v>969</v>
      </c>
      <c r="F2528" s="43" t="s">
        <v>958</v>
      </c>
      <c r="G2528" s="43">
        <v>1077777</v>
      </c>
      <c r="H2528" s="43">
        <v>501100</v>
      </c>
      <c r="I2528" s="43" t="s">
        <v>949</v>
      </c>
      <c r="J2528" s="44" t="s">
        <v>1000</v>
      </c>
    </row>
    <row r="2529" ht="22" customHeight="1" spans="1:10" x14ac:dyDescent="0.25">
      <c r="A2529" s="43">
        <v>3130</v>
      </c>
      <c r="B2529" s="43">
        <v>10</v>
      </c>
      <c r="C2529" s="43" t="s">
        <v>950</v>
      </c>
      <c r="D2529" s="43" t="s">
        <v>1009</v>
      </c>
      <c r="E2529" s="43" t="s">
        <v>969</v>
      </c>
      <c r="F2529" s="43" t="s">
        <v>959</v>
      </c>
      <c r="G2529" s="43">
        <v>1077777</v>
      </c>
      <c r="H2529" s="43">
        <v>501100</v>
      </c>
      <c r="I2529" s="43" t="s">
        <v>949</v>
      </c>
      <c r="J2529" s="44" t="s">
        <v>1000</v>
      </c>
    </row>
    <row r="2530" ht="22" customHeight="1" spans="1:10" x14ac:dyDescent="0.25">
      <c r="A2530" s="43">
        <v>3130</v>
      </c>
      <c r="B2530" s="43">
        <v>10</v>
      </c>
      <c r="C2530" s="43" t="s">
        <v>950</v>
      </c>
      <c r="D2530" s="43" t="s">
        <v>1009</v>
      </c>
      <c r="E2530" s="43" t="s">
        <v>969</v>
      </c>
      <c r="F2530" s="43" t="s">
        <v>960</v>
      </c>
      <c r="G2530" s="43">
        <v>1077777</v>
      </c>
      <c r="H2530" s="43">
        <v>501100</v>
      </c>
      <c r="I2530" s="43" t="s">
        <v>949</v>
      </c>
      <c r="J2530" s="44" t="s">
        <v>1000</v>
      </c>
    </row>
    <row r="2531" ht="22" customHeight="1" spans="1:10" x14ac:dyDescent="0.25">
      <c r="A2531" s="43">
        <v>3130</v>
      </c>
      <c r="B2531" s="43">
        <v>10</v>
      </c>
      <c r="C2531" s="43" t="s">
        <v>950</v>
      </c>
      <c r="D2531" s="43" t="s">
        <v>1009</v>
      </c>
      <c r="E2531" s="43" t="s">
        <v>969</v>
      </c>
      <c r="F2531" s="43" t="s">
        <v>961</v>
      </c>
      <c r="G2531" s="43">
        <v>1077777</v>
      </c>
      <c r="H2531" s="43">
        <v>501100</v>
      </c>
      <c r="I2531" s="43" t="s">
        <v>949</v>
      </c>
      <c r="J2531" s="44" t="s">
        <v>1000</v>
      </c>
    </row>
    <row r="2532" ht="22" customHeight="1" spans="1:10" x14ac:dyDescent="0.25">
      <c r="A2532" s="43">
        <v>3130</v>
      </c>
      <c r="B2532" s="43">
        <v>10</v>
      </c>
      <c r="C2532" s="43" t="s">
        <v>962</v>
      </c>
      <c r="D2532" s="43" t="s">
        <v>1009</v>
      </c>
      <c r="E2532" s="43" t="s">
        <v>969</v>
      </c>
      <c r="F2532" s="43" t="s">
        <v>951</v>
      </c>
      <c r="G2532" s="43">
        <v>1077777</v>
      </c>
      <c r="H2532" s="43">
        <v>501100</v>
      </c>
      <c r="I2532" s="43" t="s">
        <v>949</v>
      </c>
      <c r="J2532" s="44" t="s">
        <v>1000</v>
      </c>
    </row>
    <row r="2533" ht="22" customHeight="1" spans="1:10" x14ac:dyDescent="0.25">
      <c r="A2533" s="43">
        <v>3130</v>
      </c>
      <c r="B2533" s="43">
        <v>10</v>
      </c>
      <c r="C2533" s="43" t="s">
        <v>962</v>
      </c>
      <c r="D2533" s="43" t="s">
        <v>1009</v>
      </c>
      <c r="E2533" s="43" t="s">
        <v>969</v>
      </c>
      <c r="F2533" s="43" t="s">
        <v>952</v>
      </c>
      <c r="G2533" s="43">
        <v>1077777</v>
      </c>
      <c r="H2533" s="43">
        <v>501100</v>
      </c>
      <c r="I2533" s="43" t="s">
        <v>949</v>
      </c>
      <c r="J2533" s="44" t="s">
        <v>1000</v>
      </c>
    </row>
    <row r="2534" ht="22" customHeight="1" spans="1:10" x14ac:dyDescent="0.25">
      <c r="A2534" s="43">
        <v>3130</v>
      </c>
      <c r="B2534" s="43">
        <v>10</v>
      </c>
      <c r="C2534" s="43" t="s">
        <v>962</v>
      </c>
      <c r="D2534" s="43" t="s">
        <v>1009</v>
      </c>
      <c r="E2534" s="43" t="s">
        <v>969</v>
      </c>
      <c r="F2534" s="43" t="s">
        <v>953</v>
      </c>
      <c r="G2534" s="43">
        <v>1077777</v>
      </c>
      <c r="H2534" s="43">
        <v>501100</v>
      </c>
      <c r="I2534" s="43" t="s">
        <v>949</v>
      </c>
      <c r="J2534" s="44" t="s">
        <v>1000</v>
      </c>
    </row>
    <row r="2535" ht="22" customHeight="1" spans="1:10" x14ac:dyDescent="0.25">
      <c r="A2535" s="43">
        <v>3130</v>
      </c>
      <c r="B2535" s="43">
        <v>10</v>
      </c>
      <c r="C2535" s="43" t="s">
        <v>962</v>
      </c>
      <c r="D2535" s="43" t="s">
        <v>1009</v>
      </c>
      <c r="E2535" s="43" t="s">
        <v>969</v>
      </c>
      <c r="F2535" s="43" t="s">
        <v>954</v>
      </c>
      <c r="G2535" s="43">
        <v>1077777</v>
      </c>
      <c r="H2535" s="43">
        <v>501100</v>
      </c>
      <c r="I2535" s="43" t="s">
        <v>949</v>
      </c>
      <c r="J2535" s="44" t="s">
        <v>1000</v>
      </c>
    </row>
    <row r="2536" ht="22" customHeight="1" spans="1:10" x14ac:dyDescent="0.25">
      <c r="A2536" s="43">
        <v>3130</v>
      </c>
      <c r="B2536" s="43">
        <v>10</v>
      </c>
      <c r="C2536" s="43" t="s">
        <v>962</v>
      </c>
      <c r="D2536" s="43" t="s">
        <v>1009</v>
      </c>
      <c r="E2536" s="43" t="s">
        <v>969</v>
      </c>
      <c r="F2536" s="43" t="s">
        <v>955</v>
      </c>
      <c r="G2536" s="43">
        <v>1077777</v>
      </c>
      <c r="H2536" s="43">
        <v>501100</v>
      </c>
      <c r="I2536" s="43" t="s">
        <v>949</v>
      </c>
      <c r="J2536" s="44" t="s">
        <v>1000</v>
      </c>
    </row>
    <row r="2537" ht="22" customHeight="1" spans="1:10" x14ac:dyDescent="0.25">
      <c r="A2537" s="43">
        <v>3130</v>
      </c>
      <c r="B2537" s="43">
        <v>10</v>
      </c>
      <c r="C2537" s="43" t="s">
        <v>962</v>
      </c>
      <c r="D2537" s="43" t="s">
        <v>1009</v>
      </c>
      <c r="E2537" s="43" t="s">
        <v>969</v>
      </c>
      <c r="F2537" s="43" t="s">
        <v>956</v>
      </c>
      <c r="G2537" s="43">
        <v>1077777</v>
      </c>
      <c r="H2537" s="43">
        <v>501100</v>
      </c>
      <c r="I2537" s="43" t="s">
        <v>949</v>
      </c>
      <c r="J2537" s="44" t="s">
        <v>1000</v>
      </c>
    </row>
    <row r="2538" ht="22" customHeight="1" spans="1:10" x14ac:dyDescent="0.25">
      <c r="A2538" s="43">
        <v>3130</v>
      </c>
      <c r="B2538" s="43">
        <v>10</v>
      </c>
      <c r="C2538" s="43" t="s">
        <v>962</v>
      </c>
      <c r="D2538" s="43" t="s">
        <v>1009</v>
      </c>
      <c r="E2538" s="43" t="s">
        <v>969</v>
      </c>
      <c r="F2538" s="43" t="s">
        <v>957</v>
      </c>
      <c r="G2538" s="43">
        <v>1077777</v>
      </c>
      <c r="H2538" s="43">
        <v>501100</v>
      </c>
      <c r="I2538" s="43" t="s">
        <v>949</v>
      </c>
      <c r="J2538" s="44" t="s">
        <v>1000</v>
      </c>
    </row>
    <row r="2539" ht="22" customHeight="1" spans="1:10" x14ac:dyDescent="0.25">
      <c r="A2539" s="43">
        <v>3130</v>
      </c>
      <c r="B2539" s="43">
        <v>10</v>
      </c>
      <c r="C2539" s="43" t="s">
        <v>962</v>
      </c>
      <c r="D2539" s="43" t="s">
        <v>1009</v>
      </c>
      <c r="E2539" s="43" t="s">
        <v>969</v>
      </c>
      <c r="F2539" s="43" t="s">
        <v>958</v>
      </c>
      <c r="G2539" s="43">
        <v>1077777</v>
      </c>
      <c r="H2539" s="43">
        <v>501100</v>
      </c>
      <c r="I2539" s="43" t="s">
        <v>949</v>
      </c>
      <c r="J2539" s="44" t="s">
        <v>1000</v>
      </c>
    </row>
    <row r="2540" ht="22" customHeight="1" spans="1:10" x14ac:dyDescent="0.25">
      <c r="A2540" s="43">
        <v>3130</v>
      </c>
      <c r="B2540" s="43">
        <v>10</v>
      </c>
      <c r="C2540" s="43" t="s">
        <v>962</v>
      </c>
      <c r="D2540" s="43" t="s">
        <v>1009</v>
      </c>
      <c r="E2540" s="43" t="s">
        <v>969</v>
      </c>
      <c r="F2540" s="43" t="s">
        <v>959</v>
      </c>
      <c r="G2540" s="43">
        <v>1077777</v>
      </c>
      <c r="H2540" s="43">
        <v>501100</v>
      </c>
      <c r="I2540" s="43" t="s">
        <v>949</v>
      </c>
      <c r="J2540" s="44" t="s">
        <v>1000</v>
      </c>
    </row>
    <row r="2541" ht="22" customHeight="1" spans="1:10" x14ac:dyDescent="0.25">
      <c r="A2541" s="43">
        <v>3130</v>
      </c>
      <c r="B2541" s="43">
        <v>10</v>
      </c>
      <c r="C2541" s="43" t="s">
        <v>962</v>
      </c>
      <c r="D2541" s="43" t="s">
        <v>1009</v>
      </c>
      <c r="E2541" s="43" t="s">
        <v>969</v>
      </c>
      <c r="F2541" s="43" t="s">
        <v>960</v>
      </c>
      <c r="G2541" s="43">
        <v>1077777</v>
      </c>
      <c r="H2541" s="43">
        <v>501100</v>
      </c>
      <c r="I2541" s="43" t="s">
        <v>949</v>
      </c>
      <c r="J2541" s="44" t="s">
        <v>1000</v>
      </c>
    </row>
    <row r="2542" ht="22" customHeight="1" spans="1:10" x14ac:dyDescent="0.25">
      <c r="A2542" s="43">
        <v>3130</v>
      </c>
      <c r="B2542" s="43">
        <v>10</v>
      </c>
      <c r="C2542" s="43" t="s">
        <v>962</v>
      </c>
      <c r="D2542" s="43" t="s">
        <v>1009</v>
      </c>
      <c r="E2542" s="43" t="s">
        <v>969</v>
      </c>
      <c r="F2542" s="43" t="s">
        <v>961</v>
      </c>
      <c r="G2542" s="43">
        <v>1077777</v>
      </c>
      <c r="H2542" s="43">
        <v>501100</v>
      </c>
      <c r="I2542" s="43" t="s">
        <v>949</v>
      </c>
      <c r="J2542" s="44" t="s">
        <v>1000</v>
      </c>
    </row>
    <row r="2543" ht="22" customHeight="1" spans="1:10" x14ac:dyDescent="0.25">
      <c r="A2543" s="43">
        <v>3130</v>
      </c>
      <c r="B2543" s="43">
        <v>10</v>
      </c>
      <c r="C2543" s="43" t="s">
        <v>963</v>
      </c>
      <c r="D2543" s="43" t="s">
        <v>1009</v>
      </c>
      <c r="E2543" s="43" t="s">
        <v>969</v>
      </c>
      <c r="F2543" s="43" t="s">
        <v>951</v>
      </c>
      <c r="G2543" s="43">
        <v>1077777</v>
      </c>
      <c r="H2543" s="43">
        <v>501100</v>
      </c>
      <c r="I2543" s="43" t="s">
        <v>949</v>
      </c>
      <c r="J2543" s="44" t="s">
        <v>1000</v>
      </c>
    </row>
    <row r="2544" ht="22" customHeight="1" spans="1:10" x14ac:dyDescent="0.25">
      <c r="A2544" s="43">
        <v>3130</v>
      </c>
      <c r="B2544" s="43">
        <v>10</v>
      </c>
      <c r="C2544" s="43" t="s">
        <v>963</v>
      </c>
      <c r="D2544" s="43" t="s">
        <v>1009</v>
      </c>
      <c r="E2544" s="43" t="s">
        <v>969</v>
      </c>
      <c r="F2544" s="43" t="s">
        <v>952</v>
      </c>
      <c r="G2544" s="43">
        <v>1077777</v>
      </c>
      <c r="H2544" s="43">
        <v>501100</v>
      </c>
      <c r="I2544" s="43" t="s">
        <v>949</v>
      </c>
      <c r="J2544" s="44" t="s">
        <v>1000</v>
      </c>
    </row>
    <row r="2545" ht="22" customHeight="1" spans="1:10" x14ac:dyDescent="0.25">
      <c r="A2545" s="43">
        <v>3130</v>
      </c>
      <c r="B2545" s="43">
        <v>10</v>
      </c>
      <c r="C2545" s="43" t="s">
        <v>963</v>
      </c>
      <c r="D2545" s="43" t="s">
        <v>1009</v>
      </c>
      <c r="E2545" s="43" t="s">
        <v>969</v>
      </c>
      <c r="F2545" s="43" t="s">
        <v>953</v>
      </c>
      <c r="G2545" s="43">
        <v>1077777</v>
      </c>
      <c r="H2545" s="43">
        <v>501100</v>
      </c>
      <c r="I2545" s="43" t="s">
        <v>949</v>
      </c>
      <c r="J2545" s="44" t="s">
        <v>1000</v>
      </c>
    </row>
    <row r="2546" ht="22" customHeight="1" spans="1:10" x14ac:dyDescent="0.25">
      <c r="A2546" s="43">
        <v>3130</v>
      </c>
      <c r="B2546" s="43">
        <v>10</v>
      </c>
      <c r="C2546" s="43" t="s">
        <v>963</v>
      </c>
      <c r="D2546" s="43" t="s">
        <v>1009</v>
      </c>
      <c r="E2546" s="43" t="s">
        <v>969</v>
      </c>
      <c r="F2546" s="43" t="s">
        <v>954</v>
      </c>
      <c r="G2546" s="43">
        <v>1077777</v>
      </c>
      <c r="H2546" s="43">
        <v>501100</v>
      </c>
      <c r="I2546" s="43" t="s">
        <v>949</v>
      </c>
      <c r="J2546" s="44" t="s">
        <v>1000</v>
      </c>
    </row>
    <row r="2547" ht="22" customHeight="1" spans="1:10" x14ac:dyDescent="0.25">
      <c r="A2547" s="43">
        <v>3130</v>
      </c>
      <c r="B2547" s="43">
        <v>10</v>
      </c>
      <c r="C2547" s="43" t="s">
        <v>963</v>
      </c>
      <c r="D2547" s="43" t="s">
        <v>1009</v>
      </c>
      <c r="E2547" s="43" t="s">
        <v>969</v>
      </c>
      <c r="F2547" s="43" t="s">
        <v>955</v>
      </c>
      <c r="G2547" s="43">
        <v>1077777</v>
      </c>
      <c r="H2547" s="43">
        <v>501100</v>
      </c>
      <c r="I2547" s="43" t="s">
        <v>949</v>
      </c>
      <c r="J2547" s="44" t="s">
        <v>1000</v>
      </c>
    </row>
    <row r="2548" ht="22" customHeight="1" spans="1:10" x14ac:dyDescent="0.25">
      <c r="A2548" s="43">
        <v>3130</v>
      </c>
      <c r="B2548" s="43">
        <v>10</v>
      </c>
      <c r="C2548" s="43" t="s">
        <v>963</v>
      </c>
      <c r="D2548" s="43" t="s">
        <v>1009</v>
      </c>
      <c r="E2548" s="43" t="s">
        <v>969</v>
      </c>
      <c r="F2548" s="43" t="s">
        <v>956</v>
      </c>
      <c r="G2548" s="43">
        <v>1077777</v>
      </c>
      <c r="H2548" s="43">
        <v>501100</v>
      </c>
      <c r="I2548" s="43" t="s">
        <v>949</v>
      </c>
      <c r="J2548" s="44" t="s">
        <v>1000</v>
      </c>
    </row>
    <row r="2549" ht="22" customHeight="1" spans="1:10" x14ac:dyDescent="0.25">
      <c r="A2549" s="43">
        <v>3130</v>
      </c>
      <c r="B2549" s="43">
        <v>10</v>
      </c>
      <c r="C2549" s="43" t="s">
        <v>963</v>
      </c>
      <c r="D2549" s="43" t="s">
        <v>1009</v>
      </c>
      <c r="E2549" s="43" t="s">
        <v>969</v>
      </c>
      <c r="F2549" s="43" t="s">
        <v>957</v>
      </c>
      <c r="G2549" s="43">
        <v>1077777</v>
      </c>
      <c r="H2549" s="43">
        <v>501100</v>
      </c>
      <c r="I2549" s="43" t="s">
        <v>949</v>
      </c>
      <c r="J2549" s="44" t="s">
        <v>1000</v>
      </c>
    </row>
    <row r="2550" ht="22" customHeight="1" spans="1:10" x14ac:dyDescent="0.25">
      <c r="A2550" s="43">
        <v>3130</v>
      </c>
      <c r="B2550" s="43">
        <v>10</v>
      </c>
      <c r="C2550" s="43" t="s">
        <v>963</v>
      </c>
      <c r="D2550" s="43" t="s">
        <v>1009</v>
      </c>
      <c r="E2550" s="43" t="s">
        <v>969</v>
      </c>
      <c r="F2550" s="43" t="s">
        <v>958</v>
      </c>
      <c r="G2550" s="43">
        <v>1077777</v>
      </c>
      <c r="H2550" s="43">
        <v>501100</v>
      </c>
      <c r="I2550" s="43" t="s">
        <v>949</v>
      </c>
      <c r="J2550" s="44" t="s">
        <v>1000</v>
      </c>
    </row>
    <row r="2551" ht="22" customHeight="1" spans="1:10" x14ac:dyDescent="0.25">
      <c r="A2551" s="43">
        <v>3130</v>
      </c>
      <c r="B2551" s="43">
        <v>10</v>
      </c>
      <c r="C2551" s="43" t="s">
        <v>963</v>
      </c>
      <c r="D2551" s="43" t="s">
        <v>1009</v>
      </c>
      <c r="E2551" s="43" t="s">
        <v>969</v>
      </c>
      <c r="F2551" s="43" t="s">
        <v>959</v>
      </c>
      <c r="G2551" s="43">
        <v>1077777</v>
      </c>
      <c r="H2551" s="43">
        <v>501100</v>
      </c>
      <c r="I2551" s="43" t="s">
        <v>949</v>
      </c>
      <c r="J2551" s="44" t="s">
        <v>1000</v>
      </c>
    </row>
    <row r="2552" ht="22" customHeight="1" spans="1:10" x14ac:dyDescent="0.25">
      <c r="A2552" s="43">
        <v>3130</v>
      </c>
      <c r="B2552" s="43">
        <v>10</v>
      </c>
      <c r="C2552" s="43" t="s">
        <v>963</v>
      </c>
      <c r="D2552" s="43" t="s">
        <v>1009</v>
      </c>
      <c r="E2552" s="43" t="s">
        <v>969</v>
      </c>
      <c r="F2552" s="43" t="s">
        <v>960</v>
      </c>
      <c r="G2552" s="43">
        <v>1077777</v>
      </c>
      <c r="H2552" s="43">
        <v>501100</v>
      </c>
      <c r="I2552" s="43" t="s">
        <v>949</v>
      </c>
      <c r="J2552" s="44" t="s">
        <v>1000</v>
      </c>
    </row>
    <row r="2553" ht="22" customHeight="1" spans="1:10" x14ac:dyDescent="0.25">
      <c r="A2553" s="43">
        <v>3130</v>
      </c>
      <c r="B2553" s="43">
        <v>10</v>
      </c>
      <c r="C2553" s="43" t="s">
        <v>963</v>
      </c>
      <c r="D2553" s="43" t="s">
        <v>1009</v>
      </c>
      <c r="E2553" s="43" t="s">
        <v>969</v>
      </c>
      <c r="F2553" s="43" t="s">
        <v>961</v>
      </c>
      <c r="G2553" s="43">
        <v>1077777</v>
      </c>
      <c r="H2553" s="43">
        <v>501100</v>
      </c>
      <c r="I2553" s="43" t="s">
        <v>949</v>
      </c>
      <c r="J2553" s="44" t="s">
        <v>1000</v>
      </c>
    </row>
    <row r="2554" spans="1:9" x14ac:dyDescent="0.25">
      <c r="A2554">
        <v>4122</v>
      </c>
      <c r="B2554">
        <v>10</v>
      </c>
      <c r="C2554" t="s">
        <v>946</v>
      </c>
      <c r="D2554" t="s">
        <v>1009</v>
      </c>
      <c r="E2554" t="s">
        <v>969</v>
      </c>
      <c r="F2554" t="s">
        <v>948</v>
      </c>
      <c r="G2554">
        <v>1000000</v>
      </c>
      <c r="H2554">
        <v>141000</v>
      </c>
      <c r="I2554" t="s">
        <v>970</v>
      </c>
    </row>
    <row r="2555" spans="1:9" x14ac:dyDescent="0.25">
      <c r="A2555">
        <v>4124</v>
      </c>
      <c r="B2555">
        <v>10</v>
      </c>
      <c r="C2555" t="s">
        <v>946</v>
      </c>
      <c r="D2555" t="s">
        <v>1009</v>
      </c>
      <c r="E2555" t="s">
        <v>969</v>
      </c>
      <c r="F2555" t="s">
        <v>948</v>
      </c>
      <c r="G2555">
        <v>1077777</v>
      </c>
      <c r="H2555">
        <v>501100</v>
      </c>
      <c r="I2555" t="s">
        <v>949</v>
      </c>
    </row>
    <row r="2556" ht="22" customHeight="1" spans="1:10" x14ac:dyDescent="0.25">
      <c r="A2556" s="43">
        <v>3130</v>
      </c>
      <c r="B2556" s="43">
        <v>10</v>
      </c>
      <c r="C2556" s="43" t="s">
        <v>950</v>
      </c>
      <c r="D2556" s="43" t="s">
        <v>1009</v>
      </c>
      <c r="E2556" s="43" t="s">
        <v>255</v>
      </c>
      <c r="F2556" s="43" t="s">
        <v>951</v>
      </c>
      <c r="G2556" s="43">
        <v>1077777</v>
      </c>
      <c r="H2556" s="43">
        <v>501100</v>
      </c>
      <c r="I2556" s="43" t="s">
        <v>949</v>
      </c>
      <c r="J2556" s="44" t="s">
        <v>1000</v>
      </c>
    </row>
    <row r="2557" ht="22" customHeight="1" spans="1:10" x14ac:dyDescent="0.25">
      <c r="A2557" s="43">
        <v>3130</v>
      </c>
      <c r="B2557" s="43">
        <v>10</v>
      </c>
      <c r="C2557" s="43" t="s">
        <v>950</v>
      </c>
      <c r="D2557" s="43" t="s">
        <v>1009</v>
      </c>
      <c r="E2557" s="43" t="s">
        <v>255</v>
      </c>
      <c r="F2557" s="43" t="s">
        <v>952</v>
      </c>
      <c r="G2557" s="43">
        <v>1077777</v>
      </c>
      <c r="H2557" s="43">
        <v>501100</v>
      </c>
      <c r="I2557" s="43" t="s">
        <v>949</v>
      </c>
      <c r="J2557" s="44" t="s">
        <v>1000</v>
      </c>
    </row>
    <row r="2558" ht="22" customHeight="1" spans="1:10" x14ac:dyDescent="0.25">
      <c r="A2558" s="43">
        <v>3130</v>
      </c>
      <c r="B2558" s="43">
        <v>10</v>
      </c>
      <c r="C2558" s="43" t="s">
        <v>950</v>
      </c>
      <c r="D2558" s="43" t="s">
        <v>1009</v>
      </c>
      <c r="E2558" s="43" t="s">
        <v>255</v>
      </c>
      <c r="F2558" s="43" t="s">
        <v>953</v>
      </c>
      <c r="G2558" s="43">
        <v>1077777</v>
      </c>
      <c r="H2558" s="43">
        <v>501100</v>
      </c>
      <c r="I2558" s="43" t="s">
        <v>949</v>
      </c>
      <c r="J2558" s="44" t="s">
        <v>1000</v>
      </c>
    </row>
    <row r="2559" ht="22" customHeight="1" spans="1:10" x14ac:dyDescent="0.25">
      <c r="A2559" s="43">
        <v>3130</v>
      </c>
      <c r="B2559" s="43">
        <v>10</v>
      </c>
      <c r="C2559" s="43" t="s">
        <v>950</v>
      </c>
      <c r="D2559" s="43" t="s">
        <v>1009</v>
      </c>
      <c r="E2559" s="43" t="s">
        <v>255</v>
      </c>
      <c r="F2559" s="43" t="s">
        <v>954</v>
      </c>
      <c r="G2559" s="43">
        <v>1077777</v>
      </c>
      <c r="H2559" s="43">
        <v>501100</v>
      </c>
      <c r="I2559" s="43" t="s">
        <v>949</v>
      </c>
      <c r="J2559" s="44" t="s">
        <v>1000</v>
      </c>
    </row>
    <row r="2560" ht="22" customHeight="1" spans="1:10" x14ac:dyDescent="0.25">
      <c r="A2560" s="43">
        <v>3130</v>
      </c>
      <c r="B2560" s="43">
        <v>10</v>
      </c>
      <c r="C2560" s="43" t="s">
        <v>950</v>
      </c>
      <c r="D2560" s="43" t="s">
        <v>1009</v>
      </c>
      <c r="E2560" s="43" t="s">
        <v>255</v>
      </c>
      <c r="F2560" s="43" t="s">
        <v>955</v>
      </c>
      <c r="G2560" s="43">
        <v>1077777</v>
      </c>
      <c r="H2560" s="43">
        <v>501100</v>
      </c>
      <c r="I2560" s="43" t="s">
        <v>949</v>
      </c>
      <c r="J2560" s="44" t="s">
        <v>1000</v>
      </c>
    </row>
    <row r="2561" ht="22" customHeight="1" spans="1:10" x14ac:dyDescent="0.25">
      <c r="A2561" s="43">
        <v>3130</v>
      </c>
      <c r="B2561" s="43">
        <v>10</v>
      </c>
      <c r="C2561" s="43" t="s">
        <v>950</v>
      </c>
      <c r="D2561" s="43" t="s">
        <v>1009</v>
      </c>
      <c r="E2561" s="43" t="s">
        <v>255</v>
      </c>
      <c r="F2561" s="43" t="s">
        <v>956</v>
      </c>
      <c r="G2561" s="43">
        <v>1077777</v>
      </c>
      <c r="H2561" s="43">
        <v>501100</v>
      </c>
      <c r="I2561" s="43" t="s">
        <v>949</v>
      </c>
      <c r="J2561" s="44" t="s">
        <v>1000</v>
      </c>
    </row>
    <row r="2562" ht="22" customHeight="1" spans="1:10" x14ac:dyDescent="0.25">
      <c r="A2562" s="43">
        <v>3130</v>
      </c>
      <c r="B2562" s="43">
        <v>10</v>
      </c>
      <c r="C2562" s="43" t="s">
        <v>950</v>
      </c>
      <c r="D2562" s="43" t="s">
        <v>1009</v>
      </c>
      <c r="E2562" s="43" t="s">
        <v>255</v>
      </c>
      <c r="F2562" s="43" t="s">
        <v>957</v>
      </c>
      <c r="G2562" s="43">
        <v>1077777</v>
      </c>
      <c r="H2562" s="43">
        <v>501100</v>
      </c>
      <c r="I2562" s="43" t="s">
        <v>949</v>
      </c>
      <c r="J2562" s="44" t="s">
        <v>1000</v>
      </c>
    </row>
    <row r="2563" ht="22" customHeight="1" spans="1:10" x14ac:dyDescent="0.25">
      <c r="A2563" s="43">
        <v>3130</v>
      </c>
      <c r="B2563" s="43">
        <v>10</v>
      </c>
      <c r="C2563" s="43" t="s">
        <v>950</v>
      </c>
      <c r="D2563" s="43" t="s">
        <v>1009</v>
      </c>
      <c r="E2563" s="43" t="s">
        <v>255</v>
      </c>
      <c r="F2563" s="43" t="s">
        <v>958</v>
      </c>
      <c r="G2563" s="43">
        <v>1077777</v>
      </c>
      <c r="H2563" s="43">
        <v>501100</v>
      </c>
      <c r="I2563" s="43" t="s">
        <v>949</v>
      </c>
      <c r="J2563" s="44" t="s">
        <v>1000</v>
      </c>
    </row>
    <row r="2564" ht="22" customHeight="1" spans="1:10" x14ac:dyDescent="0.25">
      <c r="A2564" s="43">
        <v>3130</v>
      </c>
      <c r="B2564" s="43">
        <v>10</v>
      </c>
      <c r="C2564" s="43" t="s">
        <v>950</v>
      </c>
      <c r="D2564" s="43" t="s">
        <v>1009</v>
      </c>
      <c r="E2564" s="43" t="s">
        <v>255</v>
      </c>
      <c r="F2564" s="43" t="s">
        <v>959</v>
      </c>
      <c r="G2564" s="43">
        <v>1077777</v>
      </c>
      <c r="H2564" s="43">
        <v>501100</v>
      </c>
      <c r="I2564" s="43" t="s">
        <v>949</v>
      </c>
      <c r="J2564" s="44" t="s">
        <v>1000</v>
      </c>
    </row>
    <row r="2565" ht="22" customHeight="1" spans="1:10" x14ac:dyDescent="0.25">
      <c r="A2565" s="43">
        <v>3130</v>
      </c>
      <c r="B2565" s="43">
        <v>10</v>
      </c>
      <c r="C2565" s="43" t="s">
        <v>950</v>
      </c>
      <c r="D2565" s="43" t="s">
        <v>1009</v>
      </c>
      <c r="E2565" s="43" t="s">
        <v>255</v>
      </c>
      <c r="F2565" s="43" t="s">
        <v>960</v>
      </c>
      <c r="G2565" s="43">
        <v>1077777</v>
      </c>
      <c r="H2565" s="43">
        <v>501100</v>
      </c>
      <c r="I2565" s="43" t="s">
        <v>949</v>
      </c>
      <c r="J2565" s="44" t="s">
        <v>1000</v>
      </c>
    </row>
    <row r="2566" ht="22" customHeight="1" spans="1:10" x14ac:dyDescent="0.25">
      <c r="A2566" s="43">
        <v>3130</v>
      </c>
      <c r="B2566" s="43">
        <v>10</v>
      </c>
      <c r="C2566" s="43" t="s">
        <v>950</v>
      </c>
      <c r="D2566" s="43" t="s">
        <v>1009</v>
      </c>
      <c r="E2566" s="43" t="s">
        <v>255</v>
      </c>
      <c r="F2566" s="43" t="s">
        <v>961</v>
      </c>
      <c r="G2566" s="43">
        <v>1077777</v>
      </c>
      <c r="H2566" s="43">
        <v>501100</v>
      </c>
      <c r="I2566" s="43" t="s">
        <v>949</v>
      </c>
      <c r="J2566" s="44" t="s">
        <v>1000</v>
      </c>
    </row>
    <row r="2567" ht="22" customHeight="1" spans="1:10" x14ac:dyDescent="0.25">
      <c r="A2567" s="43">
        <v>3130</v>
      </c>
      <c r="B2567" s="43">
        <v>10</v>
      </c>
      <c r="C2567" s="43" t="s">
        <v>962</v>
      </c>
      <c r="D2567" s="43" t="s">
        <v>1009</v>
      </c>
      <c r="E2567" s="43" t="s">
        <v>255</v>
      </c>
      <c r="F2567" s="43" t="s">
        <v>951</v>
      </c>
      <c r="G2567" s="43">
        <v>1077777</v>
      </c>
      <c r="H2567" s="43">
        <v>501100</v>
      </c>
      <c r="I2567" s="43" t="s">
        <v>949</v>
      </c>
      <c r="J2567" s="44" t="s">
        <v>1000</v>
      </c>
    </row>
    <row r="2568" ht="22" customHeight="1" spans="1:10" x14ac:dyDescent="0.25">
      <c r="A2568" s="43">
        <v>3130</v>
      </c>
      <c r="B2568" s="43">
        <v>10</v>
      </c>
      <c r="C2568" s="43" t="s">
        <v>962</v>
      </c>
      <c r="D2568" s="43" t="s">
        <v>1009</v>
      </c>
      <c r="E2568" s="43" t="s">
        <v>255</v>
      </c>
      <c r="F2568" s="43" t="s">
        <v>952</v>
      </c>
      <c r="G2568" s="43">
        <v>1077777</v>
      </c>
      <c r="H2568" s="43">
        <v>501100</v>
      </c>
      <c r="I2568" s="43" t="s">
        <v>949</v>
      </c>
      <c r="J2568" s="44" t="s">
        <v>1000</v>
      </c>
    </row>
    <row r="2569" ht="22" customHeight="1" spans="1:10" x14ac:dyDescent="0.25">
      <c r="A2569" s="43">
        <v>3130</v>
      </c>
      <c r="B2569" s="43">
        <v>10</v>
      </c>
      <c r="C2569" s="43" t="s">
        <v>962</v>
      </c>
      <c r="D2569" s="43" t="s">
        <v>1009</v>
      </c>
      <c r="E2569" s="43" t="s">
        <v>255</v>
      </c>
      <c r="F2569" s="43" t="s">
        <v>953</v>
      </c>
      <c r="G2569" s="43">
        <v>1077777</v>
      </c>
      <c r="H2569" s="43">
        <v>501100</v>
      </c>
      <c r="I2569" s="43" t="s">
        <v>949</v>
      </c>
      <c r="J2569" s="44" t="s">
        <v>1000</v>
      </c>
    </row>
    <row r="2570" ht="22" customHeight="1" spans="1:10" x14ac:dyDescent="0.25">
      <c r="A2570" s="43">
        <v>3130</v>
      </c>
      <c r="B2570" s="43">
        <v>10</v>
      </c>
      <c r="C2570" s="43" t="s">
        <v>962</v>
      </c>
      <c r="D2570" s="43" t="s">
        <v>1009</v>
      </c>
      <c r="E2570" s="43" t="s">
        <v>255</v>
      </c>
      <c r="F2570" s="43" t="s">
        <v>954</v>
      </c>
      <c r="G2570" s="43">
        <v>1077777</v>
      </c>
      <c r="H2570" s="43">
        <v>501100</v>
      </c>
      <c r="I2570" s="43" t="s">
        <v>949</v>
      </c>
      <c r="J2570" s="44" t="s">
        <v>1000</v>
      </c>
    </row>
    <row r="2571" ht="22" customHeight="1" spans="1:10" x14ac:dyDescent="0.25">
      <c r="A2571" s="43">
        <v>3130</v>
      </c>
      <c r="B2571" s="43">
        <v>10</v>
      </c>
      <c r="C2571" s="43" t="s">
        <v>962</v>
      </c>
      <c r="D2571" s="43" t="s">
        <v>1009</v>
      </c>
      <c r="E2571" s="43" t="s">
        <v>255</v>
      </c>
      <c r="F2571" s="43" t="s">
        <v>955</v>
      </c>
      <c r="G2571" s="43">
        <v>1077777</v>
      </c>
      <c r="H2571" s="43">
        <v>501100</v>
      </c>
      <c r="I2571" s="43" t="s">
        <v>949</v>
      </c>
      <c r="J2571" s="44" t="s">
        <v>1000</v>
      </c>
    </row>
    <row r="2572" ht="22" customHeight="1" spans="1:10" x14ac:dyDescent="0.25">
      <c r="A2572" s="43">
        <v>3130</v>
      </c>
      <c r="B2572" s="43">
        <v>10</v>
      </c>
      <c r="C2572" s="43" t="s">
        <v>962</v>
      </c>
      <c r="D2572" s="43" t="s">
        <v>1009</v>
      </c>
      <c r="E2572" s="43" t="s">
        <v>255</v>
      </c>
      <c r="F2572" s="43" t="s">
        <v>956</v>
      </c>
      <c r="G2572" s="43">
        <v>1077777</v>
      </c>
      <c r="H2572" s="43">
        <v>501100</v>
      </c>
      <c r="I2572" s="43" t="s">
        <v>949</v>
      </c>
      <c r="J2572" s="44" t="s">
        <v>1000</v>
      </c>
    </row>
    <row r="2573" ht="22" customHeight="1" spans="1:10" x14ac:dyDescent="0.25">
      <c r="A2573" s="43">
        <v>3130</v>
      </c>
      <c r="B2573" s="43">
        <v>10</v>
      </c>
      <c r="C2573" s="43" t="s">
        <v>962</v>
      </c>
      <c r="D2573" s="43" t="s">
        <v>1009</v>
      </c>
      <c r="E2573" s="43" t="s">
        <v>255</v>
      </c>
      <c r="F2573" s="43" t="s">
        <v>957</v>
      </c>
      <c r="G2573" s="43">
        <v>1077777</v>
      </c>
      <c r="H2573" s="43">
        <v>501100</v>
      </c>
      <c r="I2573" s="43" t="s">
        <v>949</v>
      </c>
      <c r="J2573" s="44" t="s">
        <v>1000</v>
      </c>
    </row>
    <row r="2574" ht="22" customHeight="1" spans="1:10" x14ac:dyDescent="0.25">
      <c r="A2574" s="43">
        <v>3130</v>
      </c>
      <c r="B2574" s="43">
        <v>10</v>
      </c>
      <c r="C2574" s="43" t="s">
        <v>962</v>
      </c>
      <c r="D2574" s="43" t="s">
        <v>1009</v>
      </c>
      <c r="E2574" s="43" t="s">
        <v>255</v>
      </c>
      <c r="F2574" s="43" t="s">
        <v>958</v>
      </c>
      <c r="G2574" s="43">
        <v>1077777</v>
      </c>
      <c r="H2574" s="43">
        <v>501100</v>
      </c>
      <c r="I2574" s="43" t="s">
        <v>949</v>
      </c>
      <c r="J2574" s="44" t="s">
        <v>1000</v>
      </c>
    </row>
    <row r="2575" ht="22" customHeight="1" spans="1:10" x14ac:dyDescent="0.25">
      <c r="A2575" s="43">
        <v>3130</v>
      </c>
      <c r="B2575" s="43">
        <v>10</v>
      </c>
      <c r="C2575" s="43" t="s">
        <v>962</v>
      </c>
      <c r="D2575" s="43" t="s">
        <v>1009</v>
      </c>
      <c r="E2575" s="43" t="s">
        <v>255</v>
      </c>
      <c r="F2575" s="43" t="s">
        <v>959</v>
      </c>
      <c r="G2575" s="43">
        <v>1077777</v>
      </c>
      <c r="H2575" s="43">
        <v>501100</v>
      </c>
      <c r="I2575" s="43" t="s">
        <v>949</v>
      </c>
      <c r="J2575" s="44" t="s">
        <v>1000</v>
      </c>
    </row>
    <row r="2576" ht="22" customHeight="1" spans="1:10" x14ac:dyDescent="0.25">
      <c r="A2576" s="43">
        <v>3130</v>
      </c>
      <c r="B2576" s="43">
        <v>10</v>
      </c>
      <c r="C2576" s="43" t="s">
        <v>962</v>
      </c>
      <c r="D2576" s="43" t="s">
        <v>1009</v>
      </c>
      <c r="E2576" s="43" t="s">
        <v>255</v>
      </c>
      <c r="F2576" s="43" t="s">
        <v>960</v>
      </c>
      <c r="G2576" s="43">
        <v>1077777</v>
      </c>
      <c r="H2576" s="43">
        <v>501100</v>
      </c>
      <c r="I2576" s="43" t="s">
        <v>949</v>
      </c>
      <c r="J2576" s="44" t="s">
        <v>1000</v>
      </c>
    </row>
    <row r="2577" ht="22" customHeight="1" spans="1:10" x14ac:dyDescent="0.25">
      <c r="A2577" s="43">
        <v>3130</v>
      </c>
      <c r="B2577" s="43">
        <v>10</v>
      </c>
      <c r="C2577" s="43" t="s">
        <v>962</v>
      </c>
      <c r="D2577" s="43" t="s">
        <v>1009</v>
      </c>
      <c r="E2577" s="43" t="s">
        <v>255</v>
      </c>
      <c r="F2577" s="43" t="s">
        <v>961</v>
      </c>
      <c r="G2577" s="43">
        <v>1077777</v>
      </c>
      <c r="H2577" s="43">
        <v>501100</v>
      </c>
      <c r="I2577" s="43" t="s">
        <v>949</v>
      </c>
      <c r="J2577" s="44" t="s">
        <v>1000</v>
      </c>
    </row>
    <row r="2578" ht="22" customHeight="1" spans="1:10" x14ac:dyDescent="0.25">
      <c r="A2578" s="43">
        <v>3130</v>
      </c>
      <c r="B2578" s="43">
        <v>10</v>
      </c>
      <c r="C2578" s="43" t="s">
        <v>963</v>
      </c>
      <c r="D2578" s="43" t="s">
        <v>1009</v>
      </c>
      <c r="E2578" s="43" t="s">
        <v>255</v>
      </c>
      <c r="F2578" s="43" t="s">
        <v>951</v>
      </c>
      <c r="G2578" s="43">
        <v>1077777</v>
      </c>
      <c r="H2578" s="43">
        <v>501100</v>
      </c>
      <c r="I2578" s="43" t="s">
        <v>949</v>
      </c>
      <c r="J2578" s="44" t="s">
        <v>1000</v>
      </c>
    </row>
    <row r="2579" ht="22" customHeight="1" spans="1:10" x14ac:dyDescent="0.25">
      <c r="A2579" s="43">
        <v>3130</v>
      </c>
      <c r="B2579" s="43">
        <v>10</v>
      </c>
      <c r="C2579" s="43" t="s">
        <v>963</v>
      </c>
      <c r="D2579" s="43" t="s">
        <v>1009</v>
      </c>
      <c r="E2579" s="43" t="s">
        <v>255</v>
      </c>
      <c r="F2579" s="43" t="s">
        <v>952</v>
      </c>
      <c r="G2579" s="43">
        <v>1077777</v>
      </c>
      <c r="H2579" s="43">
        <v>501100</v>
      </c>
      <c r="I2579" s="43" t="s">
        <v>949</v>
      </c>
      <c r="J2579" s="44" t="s">
        <v>1000</v>
      </c>
    </row>
    <row r="2580" ht="22" customHeight="1" spans="1:10" x14ac:dyDescent="0.25">
      <c r="A2580" s="43">
        <v>3130</v>
      </c>
      <c r="B2580" s="43">
        <v>10</v>
      </c>
      <c r="C2580" s="43" t="s">
        <v>963</v>
      </c>
      <c r="D2580" s="43" t="s">
        <v>1009</v>
      </c>
      <c r="E2580" s="43" t="s">
        <v>255</v>
      </c>
      <c r="F2580" s="43" t="s">
        <v>953</v>
      </c>
      <c r="G2580" s="43">
        <v>1077777</v>
      </c>
      <c r="H2580" s="43">
        <v>501100</v>
      </c>
      <c r="I2580" s="43" t="s">
        <v>949</v>
      </c>
      <c r="J2580" s="44" t="s">
        <v>1000</v>
      </c>
    </row>
    <row r="2581" ht="22" customHeight="1" spans="1:10" x14ac:dyDescent="0.25">
      <c r="A2581" s="43">
        <v>3130</v>
      </c>
      <c r="B2581" s="43">
        <v>10</v>
      </c>
      <c r="C2581" s="43" t="s">
        <v>963</v>
      </c>
      <c r="D2581" s="43" t="s">
        <v>1009</v>
      </c>
      <c r="E2581" s="43" t="s">
        <v>255</v>
      </c>
      <c r="F2581" s="43" t="s">
        <v>954</v>
      </c>
      <c r="G2581" s="43">
        <v>1077777</v>
      </c>
      <c r="H2581" s="43">
        <v>501100</v>
      </c>
      <c r="I2581" s="43" t="s">
        <v>949</v>
      </c>
      <c r="J2581" s="44" t="s">
        <v>1000</v>
      </c>
    </row>
    <row r="2582" ht="22" customHeight="1" spans="1:10" x14ac:dyDescent="0.25">
      <c r="A2582" s="43">
        <v>3130</v>
      </c>
      <c r="B2582" s="43">
        <v>10</v>
      </c>
      <c r="C2582" s="43" t="s">
        <v>963</v>
      </c>
      <c r="D2582" s="43" t="s">
        <v>1009</v>
      </c>
      <c r="E2582" s="43" t="s">
        <v>255</v>
      </c>
      <c r="F2582" s="43" t="s">
        <v>955</v>
      </c>
      <c r="G2582" s="43">
        <v>1077777</v>
      </c>
      <c r="H2582" s="43">
        <v>501100</v>
      </c>
      <c r="I2582" s="43" t="s">
        <v>949</v>
      </c>
      <c r="J2582" s="44" t="s">
        <v>1000</v>
      </c>
    </row>
    <row r="2583" ht="22" customHeight="1" spans="1:10" x14ac:dyDescent="0.25">
      <c r="A2583" s="43">
        <v>3130</v>
      </c>
      <c r="B2583" s="43">
        <v>10</v>
      </c>
      <c r="C2583" s="43" t="s">
        <v>963</v>
      </c>
      <c r="D2583" s="43" t="s">
        <v>1009</v>
      </c>
      <c r="E2583" s="43" t="s">
        <v>255</v>
      </c>
      <c r="F2583" s="43" t="s">
        <v>956</v>
      </c>
      <c r="G2583" s="43">
        <v>1077777</v>
      </c>
      <c r="H2583" s="43">
        <v>501100</v>
      </c>
      <c r="I2583" s="43" t="s">
        <v>949</v>
      </c>
      <c r="J2583" s="44" t="s">
        <v>1000</v>
      </c>
    </row>
    <row r="2584" ht="22" customHeight="1" spans="1:10" x14ac:dyDescent="0.25">
      <c r="A2584" s="43">
        <v>3130</v>
      </c>
      <c r="B2584" s="43">
        <v>10</v>
      </c>
      <c r="C2584" s="43" t="s">
        <v>963</v>
      </c>
      <c r="D2584" s="43" t="s">
        <v>1009</v>
      </c>
      <c r="E2584" s="43" t="s">
        <v>255</v>
      </c>
      <c r="F2584" s="43" t="s">
        <v>957</v>
      </c>
      <c r="G2584" s="43">
        <v>1077777</v>
      </c>
      <c r="H2584" s="43">
        <v>501100</v>
      </c>
      <c r="I2584" s="43" t="s">
        <v>949</v>
      </c>
      <c r="J2584" s="44" t="s">
        <v>1000</v>
      </c>
    </row>
    <row r="2585" ht="22" customHeight="1" spans="1:10" x14ac:dyDescent="0.25">
      <c r="A2585" s="43">
        <v>3130</v>
      </c>
      <c r="B2585" s="43">
        <v>10</v>
      </c>
      <c r="C2585" s="43" t="s">
        <v>963</v>
      </c>
      <c r="D2585" s="43" t="s">
        <v>1009</v>
      </c>
      <c r="E2585" s="43" t="s">
        <v>255</v>
      </c>
      <c r="F2585" s="43" t="s">
        <v>958</v>
      </c>
      <c r="G2585" s="43">
        <v>1077777</v>
      </c>
      <c r="H2585" s="43">
        <v>501100</v>
      </c>
      <c r="I2585" s="43" t="s">
        <v>949</v>
      </c>
      <c r="J2585" s="44" t="s">
        <v>1000</v>
      </c>
    </row>
    <row r="2586" ht="22" customHeight="1" spans="1:10" x14ac:dyDescent="0.25">
      <c r="A2586" s="43">
        <v>3130</v>
      </c>
      <c r="B2586" s="43">
        <v>10</v>
      </c>
      <c r="C2586" s="43" t="s">
        <v>963</v>
      </c>
      <c r="D2586" s="43" t="s">
        <v>1009</v>
      </c>
      <c r="E2586" s="43" t="s">
        <v>255</v>
      </c>
      <c r="F2586" s="43" t="s">
        <v>959</v>
      </c>
      <c r="G2586" s="43">
        <v>1077777</v>
      </c>
      <c r="H2586" s="43">
        <v>501100</v>
      </c>
      <c r="I2586" s="43" t="s">
        <v>949</v>
      </c>
      <c r="J2586" s="44" t="s">
        <v>1000</v>
      </c>
    </row>
    <row r="2587" ht="22" customHeight="1" spans="1:10" x14ac:dyDescent="0.25">
      <c r="A2587" s="43">
        <v>3130</v>
      </c>
      <c r="B2587" s="43">
        <v>10</v>
      </c>
      <c r="C2587" s="43" t="s">
        <v>963</v>
      </c>
      <c r="D2587" s="43" t="s">
        <v>1009</v>
      </c>
      <c r="E2587" s="43" t="s">
        <v>255</v>
      </c>
      <c r="F2587" s="43" t="s">
        <v>960</v>
      </c>
      <c r="G2587" s="43">
        <v>1077777</v>
      </c>
      <c r="H2587" s="43">
        <v>501100</v>
      </c>
      <c r="I2587" s="43" t="s">
        <v>949</v>
      </c>
      <c r="J2587" s="44" t="s">
        <v>1000</v>
      </c>
    </row>
    <row r="2588" ht="22" customHeight="1" spans="1:10" x14ac:dyDescent="0.25">
      <c r="A2588" s="43">
        <v>3130</v>
      </c>
      <c r="B2588" s="43">
        <v>10</v>
      </c>
      <c r="C2588" s="43" t="s">
        <v>963</v>
      </c>
      <c r="D2588" s="43" t="s">
        <v>1009</v>
      </c>
      <c r="E2588" s="43" t="s">
        <v>255</v>
      </c>
      <c r="F2588" s="43" t="s">
        <v>961</v>
      </c>
      <c r="G2588" s="43">
        <v>1077777</v>
      </c>
      <c r="H2588" s="43">
        <v>501100</v>
      </c>
      <c r="I2588" s="43" t="s">
        <v>949</v>
      </c>
      <c r="J2588" s="44" t="s">
        <v>1000</v>
      </c>
    </row>
    <row r="2589" spans="1:9" x14ac:dyDescent="0.25">
      <c r="A2589">
        <v>4122</v>
      </c>
      <c r="B2589">
        <v>10</v>
      </c>
      <c r="C2589" t="s">
        <v>946</v>
      </c>
      <c r="D2589" t="s">
        <v>1009</v>
      </c>
      <c r="E2589" t="s">
        <v>255</v>
      </c>
      <c r="F2589" t="s">
        <v>948</v>
      </c>
      <c r="G2589">
        <v>1000000</v>
      </c>
      <c r="H2589">
        <v>145000</v>
      </c>
      <c r="I2589" t="s">
        <v>949</v>
      </c>
    </row>
    <row r="2590" spans="1:9" x14ac:dyDescent="0.25">
      <c r="A2590">
        <v>4124</v>
      </c>
      <c r="B2590">
        <v>10</v>
      </c>
      <c r="C2590" t="s">
        <v>946</v>
      </c>
      <c r="D2590" t="s">
        <v>1009</v>
      </c>
      <c r="E2590" t="s">
        <v>255</v>
      </c>
      <c r="F2590" t="s">
        <v>948</v>
      </c>
      <c r="G2590">
        <v>1077777</v>
      </c>
      <c r="H2590">
        <v>501100</v>
      </c>
      <c r="I2590" t="s">
        <v>949</v>
      </c>
    </row>
    <row r="2591" ht="22" customHeight="1" spans="1:10" x14ac:dyDescent="0.25">
      <c r="A2591" s="43">
        <v>3130</v>
      </c>
      <c r="B2591" s="43">
        <v>10</v>
      </c>
      <c r="C2591" s="43" t="s">
        <v>950</v>
      </c>
      <c r="D2591" s="43" t="s">
        <v>1009</v>
      </c>
      <c r="E2591" s="43" t="s">
        <v>971</v>
      </c>
      <c r="F2591" s="43" t="s">
        <v>951</v>
      </c>
      <c r="G2591" s="43">
        <v>1077777</v>
      </c>
      <c r="H2591" s="43">
        <v>501100</v>
      </c>
      <c r="I2591" s="43" t="s">
        <v>949</v>
      </c>
      <c r="J2591" s="44" t="s">
        <v>1000</v>
      </c>
    </row>
    <row r="2592" ht="22" customHeight="1" spans="1:10" x14ac:dyDescent="0.25">
      <c r="A2592" s="43">
        <v>3130</v>
      </c>
      <c r="B2592" s="43">
        <v>10</v>
      </c>
      <c r="C2592" s="43" t="s">
        <v>950</v>
      </c>
      <c r="D2592" s="43" t="s">
        <v>1009</v>
      </c>
      <c r="E2592" s="43" t="s">
        <v>971</v>
      </c>
      <c r="F2592" s="43" t="s">
        <v>952</v>
      </c>
      <c r="G2592" s="43">
        <v>1077777</v>
      </c>
      <c r="H2592" s="43">
        <v>501100</v>
      </c>
      <c r="I2592" s="43" t="s">
        <v>949</v>
      </c>
      <c r="J2592" s="44" t="s">
        <v>1000</v>
      </c>
    </row>
    <row r="2593" ht="22" customHeight="1" spans="1:10" x14ac:dyDescent="0.25">
      <c r="A2593" s="43">
        <v>3130</v>
      </c>
      <c r="B2593" s="43">
        <v>10</v>
      </c>
      <c r="C2593" s="43" t="s">
        <v>950</v>
      </c>
      <c r="D2593" s="43" t="s">
        <v>1009</v>
      </c>
      <c r="E2593" s="43" t="s">
        <v>971</v>
      </c>
      <c r="F2593" s="43" t="s">
        <v>953</v>
      </c>
      <c r="G2593" s="43">
        <v>1077777</v>
      </c>
      <c r="H2593" s="43">
        <v>501100</v>
      </c>
      <c r="I2593" s="43" t="s">
        <v>949</v>
      </c>
      <c r="J2593" s="44" t="s">
        <v>1000</v>
      </c>
    </row>
    <row r="2594" ht="22" customHeight="1" spans="1:10" x14ac:dyDescent="0.25">
      <c r="A2594" s="43">
        <v>3130</v>
      </c>
      <c r="B2594" s="43">
        <v>10</v>
      </c>
      <c r="C2594" s="43" t="s">
        <v>950</v>
      </c>
      <c r="D2594" s="43" t="s">
        <v>1009</v>
      </c>
      <c r="E2594" s="43" t="s">
        <v>971</v>
      </c>
      <c r="F2594" s="43" t="s">
        <v>954</v>
      </c>
      <c r="G2594" s="43">
        <v>1077777</v>
      </c>
      <c r="H2594" s="43">
        <v>501100</v>
      </c>
      <c r="I2594" s="43" t="s">
        <v>949</v>
      </c>
      <c r="J2594" s="44" t="s">
        <v>1000</v>
      </c>
    </row>
    <row r="2595" ht="22" customHeight="1" spans="1:10" x14ac:dyDescent="0.25">
      <c r="A2595" s="43">
        <v>3130</v>
      </c>
      <c r="B2595" s="43">
        <v>10</v>
      </c>
      <c r="C2595" s="43" t="s">
        <v>950</v>
      </c>
      <c r="D2595" s="43" t="s">
        <v>1009</v>
      </c>
      <c r="E2595" s="43" t="s">
        <v>971</v>
      </c>
      <c r="F2595" s="43" t="s">
        <v>955</v>
      </c>
      <c r="G2595" s="43">
        <v>1077777</v>
      </c>
      <c r="H2595" s="43">
        <v>501100</v>
      </c>
      <c r="I2595" s="43" t="s">
        <v>949</v>
      </c>
      <c r="J2595" s="44" t="s">
        <v>1000</v>
      </c>
    </row>
    <row r="2596" ht="22" customHeight="1" spans="1:10" x14ac:dyDescent="0.25">
      <c r="A2596" s="43">
        <v>3130</v>
      </c>
      <c r="B2596" s="43">
        <v>10</v>
      </c>
      <c r="C2596" s="43" t="s">
        <v>950</v>
      </c>
      <c r="D2596" s="43" t="s">
        <v>1009</v>
      </c>
      <c r="E2596" s="43" t="s">
        <v>971</v>
      </c>
      <c r="F2596" s="43" t="s">
        <v>956</v>
      </c>
      <c r="G2596" s="43">
        <v>1077777</v>
      </c>
      <c r="H2596" s="43">
        <v>501100</v>
      </c>
      <c r="I2596" s="43" t="s">
        <v>949</v>
      </c>
      <c r="J2596" s="44" t="s">
        <v>1000</v>
      </c>
    </row>
    <row r="2597" ht="22" customHeight="1" spans="1:10" x14ac:dyDescent="0.25">
      <c r="A2597" s="43">
        <v>3130</v>
      </c>
      <c r="B2597" s="43">
        <v>10</v>
      </c>
      <c r="C2597" s="43" t="s">
        <v>950</v>
      </c>
      <c r="D2597" s="43" t="s">
        <v>1009</v>
      </c>
      <c r="E2597" s="43" t="s">
        <v>971</v>
      </c>
      <c r="F2597" s="43" t="s">
        <v>957</v>
      </c>
      <c r="G2597" s="43">
        <v>1077777</v>
      </c>
      <c r="H2597" s="43">
        <v>501100</v>
      </c>
      <c r="I2597" s="43" t="s">
        <v>949</v>
      </c>
      <c r="J2597" s="44" t="s">
        <v>1000</v>
      </c>
    </row>
    <row r="2598" ht="22" customHeight="1" spans="1:10" x14ac:dyDescent="0.25">
      <c r="A2598" s="43">
        <v>3130</v>
      </c>
      <c r="B2598" s="43">
        <v>10</v>
      </c>
      <c r="C2598" s="43" t="s">
        <v>950</v>
      </c>
      <c r="D2598" s="43" t="s">
        <v>1009</v>
      </c>
      <c r="E2598" s="43" t="s">
        <v>971</v>
      </c>
      <c r="F2598" s="43" t="s">
        <v>958</v>
      </c>
      <c r="G2598" s="43">
        <v>1077777</v>
      </c>
      <c r="H2598" s="43">
        <v>501100</v>
      </c>
      <c r="I2598" s="43" t="s">
        <v>949</v>
      </c>
      <c r="J2598" s="44" t="s">
        <v>1000</v>
      </c>
    </row>
    <row r="2599" ht="22" customHeight="1" spans="1:10" x14ac:dyDescent="0.25">
      <c r="A2599" s="43">
        <v>3130</v>
      </c>
      <c r="B2599" s="43">
        <v>10</v>
      </c>
      <c r="C2599" s="43" t="s">
        <v>950</v>
      </c>
      <c r="D2599" s="43" t="s">
        <v>1009</v>
      </c>
      <c r="E2599" s="43" t="s">
        <v>971</v>
      </c>
      <c r="F2599" s="43" t="s">
        <v>959</v>
      </c>
      <c r="G2599" s="43">
        <v>1077777</v>
      </c>
      <c r="H2599" s="43">
        <v>501100</v>
      </c>
      <c r="I2599" s="43" t="s">
        <v>949</v>
      </c>
      <c r="J2599" s="44" t="s">
        <v>1000</v>
      </c>
    </row>
    <row r="2600" ht="22" customHeight="1" spans="1:10" x14ac:dyDescent="0.25">
      <c r="A2600" s="43">
        <v>3130</v>
      </c>
      <c r="B2600" s="43">
        <v>10</v>
      </c>
      <c r="C2600" s="43" t="s">
        <v>950</v>
      </c>
      <c r="D2600" s="43" t="s">
        <v>1009</v>
      </c>
      <c r="E2600" s="43" t="s">
        <v>971</v>
      </c>
      <c r="F2600" s="43" t="s">
        <v>960</v>
      </c>
      <c r="G2600" s="43">
        <v>1077777</v>
      </c>
      <c r="H2600" s="43">
        <v>501100</v>
      </c>
      <c r="I2600" s="43" t="s">
        <v>949</v>
      </c>
      <c r="J2600" s="44" t="s">
        <v>1000</v>
      </c>
    </row>
    <row r="2601" ht="22" customHeight="1" spans="1:10" x14ac:dyDescent="0.25">
      <c r="A2601" s="43">
        <v>3130</v>
      </c>
      <c r="B2601" s="43">
        <v>10</v>
      </c>
      <c r="C2601" s="43" t="s">
        <v>950</v>
      </c>
      <c r="D2601" s="43" t="s">
        <v>1009</v>
      </c>
      <c r="E2601" s="43" t="s">
        <v>971</v>
      </c>
      <c r="F2601" s="43" t="s">
        <v>961</v>
      </c>
      <c r="G2601" s="43">
        <v>1077777</v>
      </c>
      <c r="H2601" s="43">
        <v>501100</v>
      </c>
      <c r="I2601" s="43" t="s">
        <v>949</v>
      </c>
      <c r="J2601" s="44" t="s">
        <v>1000</v>
      </c>
    </row>
    <row r="2602" ht="22" customHeight="1" spans="1:10" x14ac:dyDescent="0.25">
      <c r="A2602" s="43">
        <v>3130</v>
      </c>
      <c r="B2602" s="43">
        <v>10</v>
      </c>
      <c r="C2602" s="43" t="s">
        <v>962</v>
      </c>
      <c r="D2602" s="43" t="s">
        <v>1009</v>
      </c>
      <c r="E2602" s="43" t="s">
        <v>971</v>
      </c>
      <c r="F2602" s="43" t="s">
        <v>951</v>
      </c>
      <c r="G2602" s="43">
        <v>1077777</v>
      </c>
      <c r="H2602" s="43">
        <v>501100</v>
      </c>
      <c r="I2602" s="43" t="s">
        <v>949</v>
      </c>
      <c r="J2602" s="44" t="s">
        <v>1000</v>
      </c>
    </row>
    <row r="2603" ht="22" customHeight="1" spans="1:10" x14ac:dyDescent="0.25">
      <c r="A2603" s="43">
        <v>3130</v>
      </c>
      <c r="B2603" s="43">
        <v>10</v>
      </c>
      <c r="C2603" s="43" t="s">
        <v>962</v>
      </c>
      <c r="D2603" s="43" t="s">
        <v>1009</v>
      </c>
      <c r="E2603" s="43" t="s">
        <v>971</v>
      </c>
      <c r="F2603" s="43" t="s">
        <v>952</v>
      </c>
      <c r="G2603" s="43">
        <v>1077777</v>
      </c>
      <c r="H2603" s="43">
        <v>501100</v>
      </c>
      <c r="I2603" s="43" t="s">
        <v>949</v>
      </c>
      <c r="J2603" s="44" t="s">
        <v>1000</v>
      </c>
    </row>
    <row r="2604" ht="22" customHeight="1" spans="1:10" x14ac:dyDescent="0.25">
      <c r="A2604" s="43">
        <v>3130</v>
      </c>
      <c r="B2604" s="43">
        <v>10</v>
      </c>
      <c r="C2604" s="43" t="s">
        <v>962</v>
      </c>
      <c r="D2604" s="43" t="s">
        <v>1009</v>
      </c>
      <c r="E2604" s="43" t="s">
        <v>971</v>
      </c>
      <c r="F2604" s="43" t="s">
        <v>953</v>
      </c>
      <c r="G2604" s="43">
        <v>1077777</v>
      </c>
      <c r="H2604" s="43">
        <v>501100</v>
      </c>
      <c r="I2604" s="43" t="s">
        <v>949</v>
      </c>
      <c r="J2604" s="44" t="s">
        <v>1000</v>
      </c>
    </row>
    <row r="2605" ht="22" customHeight="1" spans="1:10" x14ac:dyDescent="0.25">
      <c r="A2605" s="43">
        <v>3130</v>
      </c>
      <c r="B2605" s="43">
        <v>10</v>
      </c>
      <c r="C2605" s="43" t="s">
        <v>962</v>
      </c>
      <c r="D2605" s="43" t="s">
        <v>1009</v>
      </c>
      <c r="E2605" s="43" t="s">
        <v>971</v>
      </c>
      <c r="F2605" s="43" t="s">
        <v>954</v>
      </c>
      <c r="G2605" s="43">
        <v>1077777</v>
      </c>
      <c r="H2605" s="43">
        <v>501100</v>
      </c>
      <c r="I2605" s="43" t="s">
        <v>949</v>
      </c>
      <c r="J2605" s="44" t="s">
        <v>1000</v>
      </c>
    </row>
    <row r="2606" ht="22" customHeight="1" spans="1:10" x14ac:dyDescent="0.25">
      <c r="A2606" s="43">
        <v>3130</v>
      </c>
      <c r="B2606" s="43">
        <v>10</v>
      </c>
      <c r="C2606" s="43" t="s">
        <v>962</v>
      </c>
      <c r="D2606" s="43" t="s">
        <v>1009</v>
      </c>
      <c r="E2606" s="43" t="s">
        <v>971</v>
      </c>
      <c r="F2606" s="43" t="s">
        <v>955</v>
      </c>
      <c r="G2606" s="43">
        <v>1077777</v>
      </c>
      <c r="H2606" s="43">
        <v>501100</v>
      </c>
      <c r="I2606" s="43" t="s">
        <v>949</v>
      </c>
      <c r="J2606" s="44" t="s">
        <v>1000</v>
      </c>
    </row>
    <row r="2607" ht="22" customHeight="1" spans="1:10" x14ac:dyDescent="0.25">
      <c r="A2607" s="43">
        <v>3130</v>
      </c>
      <c r="B2607" s="43">
        <v>10</v>
      </c>
      <c r="C2607" s="43" t="s">
        <v>962</v>
      </c>
      <c r="D2607" s="43" t="s">
        <v>1009</v>
      </c>
      <c r="E2607" s="43" t="s">
        <v>971</v>
      </c>
      <c r="F2607" s="43" t="s">
        <v>956</v>
      </c>
      <c r="G2607" s="43">
        <v>1077777</v>
      </c>
      <c r="H2607" s="43">
        <v>501100</v>
      </c>
      <c r="I2607" s="43" t="s">
        <v>949</v>
      </c>
      <c r="J2607" s="44" t="s">
        <v>1000</v>
      </c>
    </row>
    <row r="2608" ht="22" customHeight="1" spans="1:10" x14ac:dyDescent="0.25">
      <c r="A2608" s="43">
        <v>3130</v>
      </c>
      <c r="B2608" s="43">
        <v>10</v>
      </c>
      <c r="C2608" s="43" t="s">
        <v>962</v>
      </c>
      <c r="D2608" s="43" t="s">
        <v>1009</v>
      </c>
      <c r="E2608" s="43" t="s">
        <v>971</v>
      </c>
      <c r="F2608" s="43" t="s">
        <v>957</v>
      </c>
      <c r="G2608" s="43">
        <v>1077777</v>
      </c>
      <c r="H2608" s="43">
        <v>501100</v>
      </c>
      <c r="I2608" s="43" t="s">
        <v>949</v>
      </c>
      <c r="J2608" s="44" t="s">
        <v>1000</v>
      </c>
    </row>
    <row r="2609" ht="22" customHeight="1" spans="1:10" x14ac:dyDescent="0.25">
      <c r="A2609" s="43">
        <v>3130</v>
      </c>
      <c r="B2609" s="43">
        <v>10</v>
      </c>
      <c r="C2609" s="43" t="s">
        <v>962</v>
      </c>
      <c r="D2609" s="43" t="s">
        <v>1009</v>
      </c>
      <c r="E2609" s="43" t="s">
        <v>971</v>
      </c>
      <c r="F2609" s="43" t="s">
        <v>958</v>
      </c>
      <c r="G2609" s="43">
        <v>1077777</v>
      </c>
      <c r="H2609" s="43">
        <v>501100</v>
      </c>
      <c r="I2609" s="43" t="s">
        <v>949</v>
      </c>
      <c r="J2609" s="44" t="s">
        <v>1000</v>
      </c>
    </row>
    <row r="2610" ht="22" customHeight="1" spans="1:10" x14ac:dyDescent="0.25">
      <c r="A2610" s="43">
        <v>3130</v>
      </c>
      <c r="B2610" s="43">
        <v>10</v>
      </c>
      <c r="C2610" s="43" t="s">
        <v>962</v>
      </c>
      <c r="D2610" s="43" t="s">
        <v>1009</v>
      </c>
      <c r="E2610" s="43" t="s">
        <v>971</v>
      </c>
      <c r="F2610" s="43" t="s">
        <v>959</v>
      </c>
      <c r="G2610" s="43">
        <v>1077777</v>
      </c>
      <c r="H2610" s="43">
        <v>501100</v>
      </c>
      <c r="I2610" s="43" t="s">
        <v>949</v>
      </c>
      <c r="J2610" s="44" t="s">
        <v>1000</v>
      </c>
    </row>
    <row r="2611" ht="22" customHeight="1" spans="1:10" x14ac:dyDescent="0.25">
      <c r="A2611" s="43">
        <v>3130</v>
      </c>
      <c r="B2611" s="43">
        <v>10</v>
      </c>
      <c r="C2611" s="43" t="s">
        <v>962</v>
      </c>
      <c r="D2611" s="43" t="s">
        <v>1009</v>
      </c>
      <c r="E2611" s="43" t="s">
        <v>971</v>
      </c>
      <c r="F2611" s="43" t="s">
        <v>960</v>
      </c>
      <c r="G2611" s="43">
        <v>1077777</v>
      </c>
      <c r="H2611" s="43">
        <v>501100</v>
      </c>
      <c r="I2611" s="43" t="s">
        <v>949</v>
      </c>
      <c r="J2611" s="44" t="s">
        <v>1000</v>
      </c>
    </row>
    <row r="2612" ht="22" customHeight="1" spans="1:10" x14ac:dyDescent="0.25">
      <c r="A2612" s="43">
        <v>3130</v>
      </c>
      <c r="B2612" s="43">
        <v>10</v>
      </c>
      <c r="C2612" s="43" t="s">
        <v>962</v>
      </c>
      <c r="D2612" s="43" t="s">
        <v>1009</v>
      </c>
      <c r="E2612" s="43" t="s">
        <v>971</v>
      </c>
      <c r="F2612" s="43" t="s">
        <v>961</v>
      </c>
      <c r="G2612" s="43">
        <v>1077777</v>
      </c>
      <c r="H2612" s="43">
        <v>501100</v>
      </c>
      <c r="I2612" s="43" t="s">
        <v>949</v>
      </c>
      <c r="J2612" s="44" t="s">
        <v>1000</v>
      </c>
    </row>
    <row r="2613" ht="22" customHeight="1" spans="1:10" x14ac:dyDescent="0.25">
      <c r="A2613" s="43">
        <v>3130</v>
      </c>
      <c r="B2613" s="43">
        <v>10</v>
      </c>
      <c r="C2613" s="43" t="s">
        <v>963</v>
      </c>
      <c r="D2613" s="43" t="s">
        <v>1009</v>
      </c>
      <c r="E2613" s="43" t="s">
        <v>971</v>
      </c>
      <c r="F2613" s="43" t="s">
        <v>951</v>
      </c>
      <c r="G2613" s="43">
        <v>1077777</v>
      </c>
      <c r="H2613" s="43">
        <v>501100</v>
      </c>
      <c r="I2613" s="43" t="s">
        <v>949</v>
      </c>
      <c r="J2613" s="44" t="s">
        <v>1000</v>
      </c>
    </row>
    <row r="2614" ht="22" customHeight="1" spans="1:10" x14ac:dyDescent="0.25">
      <c r="A2614" s="43">
        <v>3130</v>
      </c>
      <c r="B2614" s="43">
        <v>10</v>
      </c>
      <c r="C2614" s="43" t="s">
        <v>963</v>
      </c>
      <c r="D2614" s="43" t="s">
        <v>1009</v>
      </c>
      <c r="E2614" s="43" t="s">
        <v>971</v>
      </c>
      <c r="F2614" s="43" t="s">
        <v>952</v>
      </c>
      <c r="G2614" s="43">
        <v>1077777</v>
      </c>
      <c r="H2614" s="43">
        <v>501100</v>
      </c>
      <c r="I2614" s="43" t="s">
        <v>949</v>
      </c>
      <c r="J2614" s="44" t="s">
        <v>1000</v>
      </c>
    </row>
    <row r="2615" ht="22" customHeight="1" spans="1:10" x14ac:dyDescent="0.25">
      <c r="A2615" s="43">
        <v>3130</v>
      </c>
      <c r="B2615" s="43">
        <v>10</v>
      </c>
      <c r="C2615" s="43" t="s">
        <v>963</v>
      </c>
      <c r="D2615" s="43" t="s">
        <v>1009</v>
      </c>
      <c r="E2615" s="43" t="s">
        <v>971</v>
      </c>
      <c r="F2615" s="43" t="s">
        <v>953</v>
      </c>
      <c r="G2615" s="43">
        <v>1077777</v>
      </c>
      <c r="H2615" s="43">
        <v>501100</v>
      </c>
      <c r="I2615" s="43" t="s">
        <v>949</v>
      </c>
      <c r="J2615" s="44" t="s">
        <v>1000</v>
      </c>
    </row>
    <row r="2616" ht="22" customHeight="1" spans="1:10" x14ac:dyDescent="0.25">
      <c r="A2616" s="43">
        <v>3130</v>
      </c>
      <c r="B2616" s="43">
        <v>10</v>
      </c>
      <c r="C2616" s="43" t="s">
        <v>963</v>
      </c>
      <c r="D2616" s="43" t="s">
        <v>1009</v>
      </c>
      <c r="E2616" s="43" t="s">
        <v>971</v>
      </c>
      <c r="F2616" s="43" t="s">
        <v>954</v>
      </c>
      <c r="G2616" s="43">
        <v>1077777</v>
      </c>
      <c r="H2616" s="43">
        <v>501100</v>
      </c>
      <c r="I2616" s="43" t="s">
        <v>949</v>
      </c>
      <c r="J2616" s="44" t="s">
        <v>1000</v>
      </c>
    </row>
    <row r="2617" ht="22" customHeight="1" spans="1:10" x14ac:dyDescent="0.25">
      <c r="A2617" s="43">
        <v>3130</v>
      </c>
      <c r="B2617" s="43">
        <v>10</v>
      </c>
      <c r="C2617" s="43" t="s">
        <v>963</v>
      </c>
      <c r="D2617" s="43" t="s">
        <v>1009</v>
      </c>
      <c r="E2617" s="43" t="s">
        <v>971</v>
      </c>
      <c r="F2617" s="43" t="s">
        <v>955</v>
      </c>
      <c r="G2617" s="43">
        <v>1077777</v>
      </c>
      <c r="H2617" s="43">
        <v>501100</v>
      </c>
      <c r="I2617" s="43" t="s">
        <v>949</v>
      </c>
      <c r="J2617" s="44" t="s">
        <v>1000</v>
      </c>
    </row>
    <row r="2618" ht="22" customHeight="1" spans="1:10" x14ac:dyDescent="0.25">
      <c r="A2618" s="43">
        <v>3130</v>
      </c>
      <c r="B2618" s="43">
        <v>10</v>
      </c>
      <c r="C2618" s="43" t="s">
        <v>963</v>
      </c>
      <c r="D2618" s="43" t="s">
        <v>1009</v>
      </c>
      <c r="E2618" s="43" t="s">
        <v>971</v>
      </c>
      <c r="F2618" s="43" t="s">
        <v>956</v>
      </c>
      <c r="G2618" s="43">
        <v>1077777</v>
      </c>
      <c r="H2618" s="43">
        <v>501100</v>
      </c>
      <c r="I2618" s="43" t="s">
        <v>949</v>
      </c>
      <c r="J2618" s="44" t="s">
        <v>1000</v>
      </c>
    </row>
    <row r="2619" ht="22" customHeight="1" spans="1:10" x14ac:dyDescent="0.25">
      <c r="A2619" s="43">
        <v>3130</v>
      </c>
      <c r="B2619" s="43">
        <v>10</v>
      </c>
      <c r="C2619" s="43" t="s">
        <v>963</v>
      </c>
      <c r="D2619" s="43" t="s">
        <v>1009</v>
      </c>
      <c r="E2619" s="43" t="s">
        <v>971</v>
      </c>
      <c r="F2619" s="43" t="s">
        <v>957</v>
      </c>
      <c r="G2619" s="43">
        <v>1077777</v>
      </c>
      <c r="H2619" s="43">
        <v>501100</v>
      </c>
      <c r="I2619" s="43" t="s">
        <v>949</v>
      </c>
      <c r="J2619" s="44" t="s">
        <v>1000</v>
      </c>
    </row>
    <row r="2620" ht="22" customHeight="1" spans="1:10" x14ac:dyDescent="0.25">
      <c r="A2620" s="43">
        <v>3130</v>
      </c>
      <c r="B2620" s="43">
        <v>10</v>
      </c>
      <c r="C2620" s="43" t="s">
        <v>963</v>
      </c>
      <c r="D2620" s="43" t="s">
        <v>1009</v>
      </c>
      <c r="E2620" s="43" t="s">
        <v>971</v>
      </c>
      <c r="F2620" s="43" t="s">
        <v>958</v>
      </c>
      <c r="G2620" s="43">
        <v>1077777</v>
      </c>
      <c r="H2620" s="43">
        <v>501100</v>
      </c>
      <c r="I2620" s="43" t="s">
        <v>949</v>
      </c>
      <c r="J2620" s="44" t="s">
        <v>1000</v>
      </c>
    </row>
    <row r="2621" ht="22" customHeight="1" spans="1:10" x14ac:dyDescent="0.25">
      <c r="A2621" s="43">
        <v>3130</v>
      </c>
      <c r="B2621" s="43">
        <v>10</v>
      </c>
      <c r="C2621" s="43" t="s">
        <v>963</v>
      </c>
      <c r="D2621" s="43" t="s">
        <v>1009</v>
      </c>
      <c r="E2621" s="43" t="s">
        <v>971</v>
      </c>
      <c r="F2621" s="43" t="s">
        <v>959</v>
      </c>
      <c r="G2621" s="43">
        <v>1077777</v>
      </c>
      <c r="H2621" s="43">
        <v>501100</v>
      </c>
      <c r="I2621" s="43" t="s">
        <v>949</v>
      </c>
      <c r="J2621" s="44" t="s">
        <v>1000</v>
      </c>
    </row>
    <row r="2622" ht="22" customHeight="1" spans="1:10" x14ac:dyDescent="0.25">
      <c r="A2622" s="43">
        <v>3130</v>
      </c>
      <c r="B2622" s="43">
        <v>10</v>
      </c>
      <c r="C2622" s="43" t="s">
        <v>963</v>
      </c>
      <c r="D2622" s="43" t="s">
        <v>1009</v>
      </c>
      <c r="E2622" s="43" t="s">
        <v>971</v>
      </c>
      <c r="F2622" s="43" t="s">
        <v>960</v>
      </c>
      <c r="G2622" s="43">
        <v>1077777</v>
      </c>
      <c r="H2622" s="43">
        <v>501100</v>
      </c>
      <c r="I2622" s="43" t="s">
        <v>949</v>
      </c>
      <c r="J2622" s="44" t="s">
        <v>1000</v>
      </c>
    </row>
    <row r="2623" ht="22" customHeight="1" spans="1:10" x14ac:dyDescent="0.25">
      <c r="A2623" s="43">
        <v>3130</v>
      </c>
      <c r="B2623" s="43">
        <v>10</v>
      </c>
      <c r="C2623" s="43" t="s">
        <v>963</v>
      </c>
      <c r="D2623" s="43" t="s">
        <v>1009</v>
      </c>
      <c r="E2623" s="43" t="s">
        <v>971</v>
      </c>
      <c r="F2623" s="43" t="s">
        <v>961</v>
      </c>
      <c r="G2623" s="43">
        <v>1077777</v>
      </c>
      <c r="H2623" s="43">
        <v>501100</v>
      </c>
      <c r="I2623" s="43" t="s">
        <v>949</v>
      </c>
      <c r="J2623" s="44" t="s">
        <v>1000</v>
      </c>
    </row>
    <row r="2624" spans="1:9" x14ac:dyDescent="0.25">
      <c r="A2624">
        <v>4122</v>
      </c>
      <c r="B2624">
        <v>10</v>
      </c>
      <c r="C2624" t="s">
        <v>946</v>
      </c>
      <c r="D2624" t="s">
        <v>1009</v>
      </c>
      <c r="E2624" t="s">
        <v>971</v>
      </c>
      <c r="F2624" t="s">
        <v>948</v>
      </c>
      <c r="G2624">
        <v>1000000</v>
      </c>
      <c r="H2624">
        <v>141000</v>
      </c>
      <c r="I2624" t="s">
        <v>972</v>
      </c>
    </row>
    <row r="2625" spans="1:9" x14ac:dyDescent="0.25">
      <c r="A2625">
        <v>4124</v>
      </c>
      <c r="B2625">
        <v>10</v>
      </c>
      <c r="C2625" t="s">
        <v>946</v>
      </c>
      <c r="D2625" t="s">
        <v>1009</v>
      </c>
      <c r="E2625" t="s">
        <v>971</v>
      </c>
      <c r="F2625" t="s">
        <v>948</v>
      </c>
      <c r="G2625">
        <v>1077777</v>
      </c>
      <c r="H2625">
        <v>501100</v>
      </c>
      <c r="I2625" t="s">
        <v>949</v>
      </c>
    </row>
    <row r="2626" ht="22" customHeight="1" spans="1:10" x14ac:dyDescent="0.25">
      <c r="A2626" s="43">
        <v>3130</v>
      </c>
      <c r="B2626" s="43">
        <v>10</v>
      </c>
      <c r="C2626" s="43" t="s">
        <v>950</v>
      </c>
      <c r="D2626" s="43" t="s">
        <v>1009</v>
      </c>
      <c r="E2626" s="43" t="s">
        <v>263</v>
      </c>
      <c r="F2626" s="43" t="s">
        <v>951</v>
      </c>
      <c r="G2626" s="43">
        <v>1077777</v>
      </c>
      <c r="H2626" s="43">
        <v>501100</v>
      </c>
      <c r="I2626" s="43" t="s">
        <v>949</v>
      </c>
      <c r="J2626" s="44" t="s">
        <v>1000</v>
      </c>
    </row>
    <row r="2627" ht="22" customHeight="1" spans="1:10" x14ac:dyDescent="0.25">
      <c r="A2627" s="43">
        <v>3130</v>
      </c>
      <c r="B2627" s="43">
        <v>10</v>
      </c>
      <c r="C2627" s="43" t="s">
        <v>950</v>
      </c>
      <c r="D2627" s="43" t="s">
        <v>1009</v>
      </c>
      <c r="E2627" s="43" t="s">
        <v>263</v>
      </c>
      <c r="F2627" s="43" t="s">
        <v>952</v>
      </c>
      <c r="G2627" s="43">
        <v>1077777</v>
      </c>
      <c r="H2627" s="43">
        <v>501100</v>
      </c>
      <c r="I2627" s="43" t="s">
        <v>949</v>
      </c>
      <c r="J2627" s="44" t="s">
        <v>1000</v>
      </c>
    </row>
    <row r="2628" ht="22" customHeight="1" spans="1:10" x14ac:dyDescent="0.25">
      <c r="A2628" s="43">
        <v>3130</v>
      </c>
      <c r="B2628" s="43">
        <v>10</v>
      </c>
      <c r="C2628" s="43" t="s">
        <v>950</v>
      </c>
      <c r="D2628" s="43" t="s">
        <v>1009</v>
      </c>
      <c r="E2628" s="43" t="s">
        <v>263</v>
      </c>
      <c r="F2628" s="43" t="s">
        <v>953</v>
      </c>
      <c r="G2628" s="43">
        <v>1077777</v>
      </c>
      <c r="H2628" s="43">
        <v>501100</v>
      </c>
      <c r="I2628" s="43" t="s">
        <v>949</v>
      </c>
      <c r="J2628" s="44" t="s">
        <v>1000</v>
      </c>
    </row>
    <row r="2629" ht="22" customHeight="1" spans="1:10" x14ac:dyDescent="0.25">
      <c r="A2629" s="43">
        <v>3130</v>
      </c>
      <c r="B2629" s="43">
        <v>10</v>
      </c>
      <c r="C2629" s="43" t="s">
        <v>950</v>
      </c>
      <c r="D2629" s="43" t="s">
        <v>1009</v>
      </c>
      <c r="E2629" s="43" t="s">
        <v>263</v>
      </c>
      <c r="F2629" s="43" t="s">
        <v>954</v>
      </c>
      <c r="G2629" s="43">
        <v>1077777</v>
      </c>
      <c r="H2629" s="43">
        <v>501100</v>
      </c>
      <c r="I2629" s="43" t="s">
        <v>949</v>
      </c>
      <c r="J2629" s="44" t="s">
        <v>1000</v>
      </c>
    </row>
    <row r="2630" ht="22" customHeight="1" spans="1:10" x14ac:dyDescent="0.25">
      <c r="A2630" s="43">
        <v>3130</v>
      </c>
      <c r="B2630" s="43">
        <v>10</v>
      </c>
      <c r="C2630" s="43" t="s">
        <v>950</v>
      </c>
      <c r="D2630" s="43" t="s">
        <v>1009</v>
      </c>
      <c r="E2630" s="43" t="s">
        <v>263</v>
      </c>
      <c r="F2630" s="43" t="s">
        <v>955</v>
      </c>
      <c r="G2630" s="43">
        <v>1077777</v>
      </c>
      <c r="H2630" s="43">
        <v>501100</v>
      </c>
      <c r="I2630" s="43" t="s">
        <v>949</v>
      </c>
      <c r="J2630" s="44" t="s">
        <v>1000</v>
      </c>
    </row>
    <row r="2631" ht="22" customHeight="1" spans="1:10" x14ac:dyDescent="0.25">
      <c r="A2631" s="43">
        <v>3130</v>
      </c>
      <c r="B2631" s="43">
        <v>10</v>
      </c>
      <c r="C2631" s="43" t="s">
        <v>950</v>
      </c>
      <c r="D2631" s="43" t="s">
        <v>1009</v>
      </c>
      <c r="E2631" s="43" t="s">
        <v>263</v>
      </c>
      <c r="F2631" s="43" t="s">
        <v>956</v>
      </c>
      <c r="G2631" s="43">
        <v>1077777</v>
      </c>
      <c r="H2631" s="43">
        <v>501100</v>
      </c>
      <c r="I2631" s="43" t="s">
        <v>949</v>
      </c>
      <c r="J2631" s="44" t="s">
        <v>1000</v>
      </c>
    </row>
    <row r="2632" ht="22" customHeight="1" spans="1:10" x14ac:dyDescent="0.25">
      <c r="A2632" s="43">
        <v>3130</v>
      </c>
      <c r="B2632" s="43">
        <v>10</v>
      </c>
      <c r="C2632" s="43" t="s">
        <v>950</v>
      </c>
      <c r="D2632" s="43" t="s">
        <v>1009</v>
      </c>
      <c r="E2632" s="43" t="s">
        <v>263</v>
      </c>
      <c r="F2632" s="43" t="s">
        <v>957</v>
      </c>
      <c r="G2632" s="43">
        <v>1077777</v>
      </c>
      <c r="H2632" s="43">
        <v>501100</v>
      </c>
      <c r="I2632" s="43" t="s">
        <v>949</v>
      </c>
      <c r="J2632" s="44" t="s">
        <v>1000</v>
      </c>
    </row>
    <row r="2633" ht="22" customHeight="1" spans="1:10" x14ac:dyDescent="0.25">
      <c r="A2633" s="43">
        <v>3130</v>
      </c>
      <c r="B2633" s="43">
        <v>10</v>
      </c>
      <c r="C2633" s="43" t="s">
        <v>950</v>
      </c>
      <c r="D2633" s="43" t="s">
        <v>1009</v>
      </c>
      <c r="E2633" s="43" t="s">
        <v>263</v>
      </c>
      <c r="F2633" s="43" t="s">
        <v>958</v>
      </c>
      <c r="G2633" s="43">
        <v>1077777</v>
      </c>
      <c r="H2633" s="43">
        <v>501100</v>
      </c>
      <c r="I2633" s="43" t="s">
        <v>949</v>
      </c>
      <c r="J2633" s="44" t="s">
        <v>1000</v>
      </c>
    </row>
    <row r="2634" ht="22" customHeight="1" spans="1:10" x14ac:dyDescent="0.25">
      <c r="A2634" s="43">
        <v>3130</v>
      </c>
      <c r="B2634" s="43">
        <v>10</v>
      </c>
      <c r="C2634" s="43" t="s">
        <v>950</v>
      </c>
      <c r="D2634" s="43" t="s">
        <v>1009</v>
      </c>
      <c r="E2634" s="43" t="s">
        <v>263</v>
      </c>
      <c r="F2634" s="43" t="s">
        <v>959</v>
      </c>
      <c r="G2634" s="43">
        <v>1077777</v>
      </c>
      <c r="H2634" s="43">
        <v>501100</v>
      </c>
      <c r="I2634" s="43" t="s">
        <v>949</v>
      </c>
      <c r="J2634" s="44" t="s">
        <v>1000</v>
      </c>
    </row>
    <row r="2635" ht="22" customHeight="1" spans="1:10" x14ac:dyDescent="0.25">
      <c r="A2635" s="43">
        <v>3130</v>
      </c>
      <c r="B2635" s="43">
        <v>10</v>
      </c>
      <c r="C2635" s="43" t="s">
        <v>950</v>
      </c>
      <c r="D2635" s="43" t="s">
        <v>1009</v>
      </c>
      <c r="E2635" s="43" t="s">
        <v>263</v>
      </c>
      <c r="F2635" s="43" t="s">
        <v>960</v>
      </c>
      <c r="G2635" s="43">
        <v>1077777</v>
      </c>
      <c r="H2635" s="43">
        <v>501100</v>
      </c>
      <c r="I2635" s="43" t="s">
        <v>949</v>
      </c>
      <c r="J2635" s="44" t="s">
        <v>1000</v>
      </c>
    </row>
    <row r="2636" ht="22" customHeight="1" spans="1:10" x14ac:dyDescent="0.25">
      <c r="A2636" s="43">
        <v>3130</v>
      </c>
      <c r="B2636" s="43">
        <v>10</v>
      </c>
      <c r="C2636" s="43" t="s">
        <v>950</v>
      </c>
      <c r="D2636" s="43" t="s">
        <v>1009</v>
      </c>
      <c r="E2636" s="43" t="s">
        <v>263</v>
      </c>
      <c r="F2636" s="43" t="s">
        <v>961</v>
      </c>
      <c r="G2636" s="43">
        <v>1077777</v>
      </c>
      <c r="H2636" s="43">
        <v>501100</v>
      </c>
      <c r="I2636" s="43" t="s">
        <v>949</v>
      </c>
      <c r="J2636" s="44" t="s">
        <v>1000</v>
      </c>
    </row>
    <row r="2637" ht="22" customHeight="1" spans="1:10" x14ac:dyDescent="0.25">
      <c r="A2637" s="43">
        <v>3130</v>
      </c>
      <c r="B2637" s="43">
        <v>10</v>
      </c>
      <c r="C2637" s="43" t="s">
        <v>962</v>
      </c>
      <c r="D2637" s="43" t="s">
        <v>1009</v>
      </c>
      <c r="E2637" s="43" t="s">
        <v>263</v>
      </c>
      <c r="F2637" s="43" t="s">
        <v>951</v>
      </c>
      <c r="G2637" s="43">
        <v>1077777</v>
      </c>
      <c r="H2637" s="43">
        <v>501100</v>
      </c>
      <c r="I2637" s="43" t="s">
        <v>949</v>
      </c>
      <c r="J2637" s="44" t="s">
        <v>1000</v>
      </c>
    </row>
    <row r="2638" ht="22" customHeight="1" spans="1:10" x14ac:dyDescent="0.25">
      <c r="A2638" s="43">
        <v>3130</v>
      </c>
      <c r="B2638" s="43">
        <v>10</v>
      </c>
      <c r="C2638" s="43" t="s">
        <v>962</v>
      </c>
      <c r="D2638" s="43" t="s">
        <v>1009</v>
      </c>
      <c r="E2638" s="43" t="s">
        <v>263</v>
      </c>
      <c r="F2638" s="43" t="s">
        <v>952</v>
      </c>
      <c r="G2638" s="43">
        <v>1077777</v>
      </c>
      <c r="H2638" s="43">
        <v>501100</v>
      </c>
      <c r="I2638" s="43" t="s">
        <v>949</v>
      </c>
      <c r="J2638" s="44" t="s">
        <v>1000</v>
      </c>
    </row>
    <row r="2639" ht="22" customHeight="1" spans="1:10" x14ac:dyDescent="0.25">
      <c r="A2639" s="43">
        <v>3130</v>
      </c>
      <c r="B2639" s="43">
        <v>10</v>
      </c>
      <c r="C2639" s="43" t="s">
        <v>962</v>
      </c>
      <c r="D2639" s="43" t="s">
        <v>1009</v>
      </c>
      <c r="E2639" s="43" t="s">
        <v>263</v>
      </c>
      <c r="F2639" s="43" t="s">
        <v>953</v>
      </c>
      <c r="G2639" s="43">
        <v>1077777</v>
      </c>
      <c r="H2639" s="43">
        <v>501100</v>
      </c>
      <c r="I2639" s="43" t="s">
        <v>949</v>
      </c>
      <c r="J2639" s="44" t="s">
        <v>1000</v>
      </c>
    </row>
    <row r="2640" ht="22" customHeight="1" spans="1:10" x14ac:dyDescent="0.25">
      <c r="A2640" s="43">
        <v>3130</v>
      </c>
      <c r="B2640" s="43">
        <v>10</v>
      </c>
      <c r="C2640" s="43" t="s">
        <v>962</v>
      </c>
      <c r="D2640" s="43" t="s">
        <v>1009</v>
      </c>
      <c r="E2640" s="43" t="s">
        <v>263</v>
      </c>
      <c r="F2640" s="43" t="s">
        <v>954</v>
      </c>
      <c r="G2640" s="43">
        <v>1077777</v>
      </c>
      <c r="H2640" s="43">
        <v>501100</v>
      </c>
      <c r="I2640" s="43" t="s">
        <v>949</v>
      </c>
      <c r="J2640" s="44" t="s">
        <v>1000</v>
      </c>
    </row>
    <row r="2641" ht="22" customHeight="1" spans="1:10" x14ac:dyDescent="0.25">
      <c r="A2641" s="43">
        <v>3130</v>
      </c>
      <c r="B2641" s="43">
        <v>10</v>
      </c>
      <c r="C2641" s="43" t="s">
        <v>962</v>
      </c>
      <c r="D2641" s="43" t="s">
        <v>1009</v>
      </c>
      <c r="E2641" s="43" t="s">
        <v>263</v>
      </c>
      <c r="F2641" s="43" t="s">
        <v>955</v>
      </c>
      <c r="G2641" s="43">
        <v>1077777</v>
      </c>
      <c r="H2641" s="43">
        <v>501100</v>
      </c>
      <c r="I2641" s="43" t="s">
        <v>949</v>
      </c>
      <c r="J2641" s="44" t="s">
        <v>1000</v>
      </c>
    </row>
    <row r="2642" ht="22" customHeight="1" spans="1:10" x14ac:dyDescent="0.25">
      <c r="A2642" s="43">
        <v>3130</v>
      </c>
      <c r="B2642" s="43">
        <v>10</v>
      </c>
      <c r="C2642" s="43" t="s">
        <v>962</v>
      </c>
      <c r="D2642" s="43" t="s">
        <v>1009</v>
      </c>
      <c r="E2642" s="43" t="s">
        <v>263</v>
      </c>
      <c r="F2642" s="43" t="s">
        <v>956</v>
      </c>
      <c r="G2642" s="43">
        <v>1077777</v>
      </c>
      <c r="H2642" s="43">
        <v>501100</v>
      </c>
      <c r="I2642" s="43" t="s">
        <v>949</v>
      </c>
      <c r="J2642" s="44" t="s">
        <v>1000</v>
      </c>
    </row>
    <row r="2643" ht="22" customHeight="1" spans="1:10" x14ac:dyDescent="0.25">
      <c r="A2643" s="43">
        <v>3130</v>
      </c>
      <c r="B2643" s="43">
        <v>10</v>
      </c>
      <c r="C2643" s="43" t="s">
        <v>962</v>
      </c>
      <c r="D2643" s="43" t="s">
        <v>1009</v>
      </c>
      <c r="E2643" s="43" t="s">
        <v>263</v>
      </c>
      <c r="F2643" s="43" t="s">
        <v>957</v>
      </c>
      <c r="G2643" s="43">
        <v>1077777</v>
      </c>
      <c r="H2643" s="43">
        <v>501100</v>
      </c>
      <c r="I2643" s="43" t="s">
        <v>949</v>
      </c>
      <c r="J2643" s="44" t="s">
        <v>1000</v>
      </c>
    </row>
    <row r="2644" ht="22" customHeight="1" spans="1:10" x14ac:dyDescent="0.25">
      <c r="A2644" s="43">
        <v>3130</v>
      </c>
      <c r="B2644" s="43">
        <v>10</v>
      </c>
      <c r="C2644" s="43" t="s">
        <v>962</v>
      </c>
      <c r="D2644" s="43" t="s">
        <v>1009</v>
      </c>
      <c r="E2644" s="43" t="s">
        <v>263</v>
      </c>
      <c r="F2644" s="43" t="s">
        <v>958</v>
      </c>
      <c r="G2644" s="43">
        <v>1077777</v>
      </c>
      <c r="H2644" s="43">
        <v>501100</v>
      </c>
      <c r="I2644" s="43" t="s">
        <v>949</v>
      </c>
      <c r="J2644" s="44" t="s">
        <v>1000</v>
      </c>
    </row>
    <row r="2645" ht="22" customHeight="1" spans="1:10" x14ac:dyDescent="0.25">
      <c r="A2645" s="43">
        <v>3130</v>
      </c>
      <c r="B2645" s="43">
        <v>10</v>
      </c>
      <c r="C2645" s="43" t="s">
        <v>962</v>
      </c>
      <c r="D2645" s="43" t="s">
        <v>1009</v>
      </c>
      <c r="E2645" s="43" t="s">
        <v>263</v>
      </c>
      <c r="F2645" s="43" t="s">
        <v>959</v>
      </c>
      <c r="G2645" s="43">
        <v>1077777</v>
      </c>
      <c r="H2645" s="43">
        <v>501100</v>
      </c>
      <c r="I2645" s="43" t="s">
        <v>949</v>
      </c>
      <c r="J2645" s="44" t="s">
        <v>1000</v>
      </c>
    </row>
    <row r="2646" ht="22" customHeight="1" spans="1:10" x14ac:dyDescent="0.25">
      <c r="A2646" s="43">
        <v>3130</v>
      </c>
      <c r="B2646" s="43">
        <v>10</v>
      </c>
      <c r="C2646" s="43" t="s">
        <v>962</v>
      </c>
      <c r="D2646" s="43" t="s">
        <v>1009</v>
      </c>
      <c r="E2646" s="43" t="s">
        <v>263</v>
      </c>
      <c r="F2646" s="43" t="s">
        <v>960</v>
      </c>
      <c r="G2646" s="43">
        <v>1077777</v>
      </c>
      <c r="H2646" s="43">
        <v>501100</v>
      </c>
      <c r="I2646" s="43" t="s">
        <v>949</v>
      </c>
      <c r="J2646" s="44" t="s">
        <v>1000</v>
      </c>
    </row>
    <row r="2647" ht="22" customHeight="1" spans="1:10" x14ac:dyDescent="0.25">
      <c r="A2647" s="43">
        <v>3130</v>
      </c>
      <c r="B2647" s="43">
        <v>10</v>
      </c>
      <c r="C2647" s="43" t="s">
        <v>962</v>
      </c>
      <c r="D2647" s="43" t="s">
        <v>1009</v>
      </c>
      <c r="E2647" s="43" t="s">
        <v>263</v>
      </c>
      <c r="F2647" s="43" t="s">
        <v>961</v>
      </c>
      <c r="G2647" s="43">
        <v>1077777</v>
      </c>
      <c r="H2647" s="43">
        <v>501100</v>
      </c>
      <c r="I2647" s="43" t="s">
        <v>949</v>
      </c>
      <c r="J2647" s="44" t="s">
        <v>1000</v>
      </c>
    </row>
    <row r="2648" ht="22" customHeight="1" spans="1:10" x14ac:dyDescent="0.25">
      <c r="A2648" s="43">
        <v>3130</v>
      </c>
      <c r="B2648" s="43">
        <v>10</v>
      </c>
      <c r="C2648" s="43" t="s">
        <v>963</v>
      </c>
      <c r="D2648" s="43" t="s">
        <v>1009</v>
      </c>
      <c r="E2648" s="43" t="s">
        <v>263</v>
      </c>
      <c r="F2648" s="43" t="s">
        <v>951</v>
      </c>
      <c r="G2648" s="43">
        <v>1077777</v>
      </c>
      <c r="H2648" s="43">
        <v>501100</v>
      </c>
      <c r="I2648" s="43" t="s">
        <v>949</v>
      </c>
      <c r="J2648" s="44" t="s">
        <v>1000</v>
      </c>
    </row>
    <row r="2649" ht="22" customHeight="1" spans="1:10" x14ac:dyDescent="0.25">
      <c r="A2649" s="43">
        <v>3130</v>
      </c>
      <c r="B2649" s="43">
        <v>10</v>
      </c>
      <c r="C2649" s="43" t="s">
        <v>963</v>
      </c>
      <c r="D2649" s="43" t="s">
        <v>1009</v>
      </c>
      <c r="E2649" s="43" t="s">
        <v>263</v>
      </c>
      <c r="F2649" s="43" t="s">
        <v>952</v>
      </c>
      <c r="G2649" s="43">
        <v>1077777</v>
      </c>
      <c r="H2649" s="43">
        <v>501100</v>
      </c>
      <c r="I2649" s="43" t="s">
        <v>949</v>
      </c>
      <c r="J2649" s="44" t="s">
        <v>1000</v>
      </c>
    </row>
    <row r="2650" ht="22" customHeight="1" spans="1:10" x14ac:dyDescent="0.25">
      <c r="A2650" s="43">
        <v>3130</v>
      </c>
      <c r="B2650" s="43">
        <v>10</v>
      </c>
      <c r="C2650" s="43" t="s">
        <v>963</v>
      </c>
      <c r="D2650" s="43" t="s">
        <v>1009</v>
      </c>
      <c r="E2650" s="43" t="s">
        <v>263</v>
      </c>
      <c r="F2650" s="43" t="s">
        <v>953</v>
      </c>
      <c r="G2650" s="43">
        <v>1077777</v>
      </c>
      <c r="H2650" s="43">
        <v>501100</v>
      </c>
      <c r="I2650" s="43" t="s">
        <v>949</v>
      </c>
      <c r="J2650" s="44" t="s">
        <v>1000</v>
      </c>
    </row>
    <row r="2651" ht="22" customHeight="1" spans="1:10" x14ac:dyDescent="0.25">
      <c r="A2651" s="43">
        <v>3130</v>
      </c>
      <c r="B2651" s="43">
        <v>10</v>
      </c>
      <c r="C2651" s="43" t="s">
        <v>963</v>
      </c>
      <c r="D2651" s="43" t="s">
        <v>1009</v>
      </c>
      <c r="E2651" s="43" t="s">
        <v>263</v>
      </c>
      <c r="F2651" s="43" t="s">
        <v>954</v>
      </c>
      <c r="G2651" s="43">
        <v>1077777</v>
      </c>
      <c r="H2651" s="43">
        <v>501100</v>
      </c>
      <c r="I2651" s="43" t="s">
        <v>949</v>
      </c>
      <c r="J2651" s="44" t="s">
        <v>1000</v>
      </c>
    </row>
    <row r="2652" ht="22" customHeight="1" spans="1:10" x14ac:dyDescent="0.25">
      <c r="A2652" s="43">
        <v>3130</v>
      </c>
      <c r="B2652" s="43">
        <v>10</v>
      </c>
      <c r="C2652" s="43" t="s">
        <v>963</v>
      </c>
      <c r="D2652" s="43" t="s">
        <v>1009</v>
      </c>
      <c r="E2652" s="43" t="s">
        <v>263</v>
      </c>
      <c r="F2652" s="43" t="s">
        <v>955</v>
      </c>
      <c r="G2652" s="43">
        <v>1077777</v>
      </c>
      <c r="H2652" s="43">
        <v>501100</v>
      </c>
      <c r="I2652" s="43" t="s">
        <v>949</v>
      </c>
      <c r="J2652" s="44" t="s">
        <v>1000</v>
      </c>
    </row>
    <row r="2653" ht="22" customHeight="1" spans="1:10" x14ac:dyDescent="0.25">
      <c r="A2653" s="43">
        <v>3130</v>
      </c>
      <c r="B2653" s="43">
        <v>10</v>
      </c>
      <c r="C2653" s="43" t="s">
        <v>963</v>
      </c>
      <c r="D2653" s="43" t="s">
        <v>1009</v>
      </c>
      <c r="E2653" s="43" t="s">
        <v>263</v>
      </c>
      <c r="F2653" s="43" t="s">
        <v>956</v>
      </c>
      <c r="G2653" s="43">
        <v>1077777</v>
      </c>
      <c r="H2653" s="43">
        <v>501100</v>
      </c>
      <c r="I2653" s="43" t="s">
        <v>949</v>
      </c>
      <c r="J2653" s="44" t="s">
        <v>1000</v>
      </c>
    </row>
    <row r="2654" ht="22" customHeight="1" spans="1:10" x14ac:dyDescent="0.25">
      <c r="A2654" s="43">
        <v>3130</v>
      </c>
      <c r="B2654" s="43">
        <v>10</v>
      </c>
      <c r="C2654" s="43" t="s">
        <v>963</v>
      </c>
      <c r="D2654" s="43" t="s">
        <v>1009</v>
      </c>
      <c r="E2654" s="43" t="s">
        <v>263</v>
      </c>
      <c r="F2654" s="43" t="s">
        <v>957</v>
      </c>
      <c r="G2654" s="43">
        <v>1077777</v>
      </c>
      <c r="H2654" s="43">
        <v>501100</v>
      </c>
      <c r="I2654" s="43" t="s">
        <v>949</v>
      </c>
      <c r="J2654" s="44" t="s">
        <v>1000</v>
      </c>
    </row>
    <row r="2655" ht="22" customHeight="1" spans="1:10" x14ac:dyDescent="0.25">
      <c r="A2655" s="43">
        <v>3130</v>
      </c>
      <c r="B2655" s="43">
        <v>10</v>
      </c>
      <c r="C2655" s="43" t="s">
        <v>963</v>
      </c>
      <c r="D2655" s="43" t="s">
        <v>1009</v>
      </c>
      <c r="E2655" s="43" t="s">
        <v>263</v>
      </c>
      <c r="F2655" s="43" t="s">
        <v>958</v>
      </c>
      <c r="G2655" s="43">
        <v>1077777</v>
      </c>
      <c r="H2655" s="43">
        <v>501100</v>
      </c>
      <c r="I2655" s="43" t="s">
        <v>949</v>
      </c>
      <c r="J2655" s="44" t="s">
        <v>1000</v>
      </c>
    </row>
    <row r="2656" ht="22" customHeight="1" spans="1:10" x14ac:dyDescent="0.25">
      <c r="A2656" s="43">
        <v>3130</v>
      </c>
      <c r="B2656" s="43">
        <v>10</v>
      </c>
      <c r="C2656" s="43" t="s">
        <v>963</v>
      </c>
      <c r="D2656" s="43" t="s">
        <v>1009</v>
      </c>
      <c r="E2656" s="43" t="s">
        <v>263</v>
      </c>
      <c r="F2656" s="43" t="s">
        <v>959</v>
      </c>
      <c r="G2656" s="43">
        <v>1077777</v>
      </c>
      <c r="H2656" s="43">
        <v>501100</v>
      </c>
      <c r="I2656" s="43" t="s">
        <v>949</v>
      </c>
      <c r="J2656" s="44" t="s">
        <v>1000</v>
      </c>
    </row>
    <row r="2657" ht="22" customHeight="1" spans="1:10" x14ac:dyDescent="0.25">
      <c r="A2657" s="43">
        <v>3130</v>
      </c>
      <c r="B2657" s="43">
        <v>10</v>
      </c>
      <c r="C2657" s="43" t="s">
        <v>963</v>
      </c>
      <c r="D2657" s="43" t="s">
        <v>1009</v>
      </c>
      <c r="E2657" s="43" t="s">
        <v>263</v>
      </c>
      <c r="F2657" s="43" t="s">
        <v>960</v>
      </c>
      <c r="G2657" s="43">
        <v>1077777</v>
      </c>
      <c r="H2657" s="43">
        <v>501100</v>
      </c>
      <c r="I2657" s="43" t="s">
        <v>949</v>
      </c>
      <c r="J2657" s="44" t="s">
        <v>1000</v>
      </c>
    </row>
    <row r="2658" ht="22" customHeight="1" spans="1:10" x14ac:dyDescent="0.25">
      <c r="A2658" s="43">
        <v>3130</v>
      </c>
      <c r="B2658" s="43">
        <v>10</v>
      </c>
      <c r="C2658" s="43" t="s">
        <v>963</v>
      </c>
      <c r="D2658" s="43" t="s">
        <v>1009</v>
      </c>
      <c r="E2658" s="43" t="s">
        <v>263</v>
      </c>
      <c r="F2658" s="43" t="s">
        <v>961</v>
      </c>
      <c r="G2658" s="43">
        <v>1077777</v>
      </c>
      <c r="H2658" s="43">
        <v>501100</v>
      </c>
      <c r="I2658" s="43" t="s">
        <v>949</v>
      </c>
      <c r="J2658" s="44" t="s">
        <v>1000</v>
      </c>
    </row>
    <row r="2659" spans="1:9" x14ac:dyDescent="0.25">
      <c r="A2659">
        <v>4122</v>
      </c>
      <c r="B2659">
        <v>10</v>
      </c>
      <c r="C2659" t="s">
        <v>946</v>
      </c>
      <c r="D2659" t="s">
        <v>1009</v>
      </c>
      <c r="E2659" t="s">
        <v>263</v>
      </c>
      <c r="F2659" t="s">
        <v>948</v>
      </c>
      <c r="G2659">
        <v>1000000</v>
      </c>
      <c r="H2659">
        <v>145000</v>
      </c>
      <c r="I2659" t="s">
        <v>949</v>
      </c>
    </row>
    <row r="2660" spans="1:9" x14ac:dyDescent="0.25">
      <c r="A2660">
        <v>4124</v>
      </c>
      <c r="B2660">
        <v>10</v>
      </c>
      <c r="C2660" t="s">
        <v>946</v>
      </c>
      <c r="D2660" t="s">
        <v>1009</v>
      </c>
      <c r="E2660" t="s">
        <v>263</v>
      </c>
      <c r="F2660" t="s">
        <v>948</v>
      </c>
      <c r="G2660">
        <v>1077777</v>
      </c>
      <c r="H2660">
        <v>501100</v>
      </c>
      <c r="I2660" t="s">
        <v>949</v>
      </c>
    </row>
    <row r="2661" spans="1:9" x14ac:dyDescent="0.25">
      <c r="A2661">
        <v>3130</v>
      </c>
      <c r="B2661">
        <v>10</v>
      </c>
      <c r="C2661" t="s">
        <v>950</v>
      </c>
      <c r="D2661" t="s">
        <v>1009</v>
      </c>
      <c r="E2661" t="s">
        <v>100</v>
      </c>
      <c r="F2661" t="s">
        <v>951</v>
      </c>
      <c r="G2661">
        <v>1077777</v>
      </c>
      <c r="H2661">
        <v>500220</v>
      </c>
      <c r="I2661" t="s">
        <v>949</v>
      </c>
    </row>
    <row r="2662" spans="1:9" x14ac:dyDescent="0.25">
      <c r="A2662">
        <v>3130</v>
      </c>
      <c r="B2662">
        <v>10</v>
      </c>
      <c r="C2662" t="s">
        <v>950</v>
      </c>
      <c r="D2662" t="s">
        <v>1009</v>
      </c>
      <c r="E2662" t="s">
        <v>100</v>
      </c>
      <c r="F2662" t="s">
        <v>952</v>
      </c>
      <c r="G2662">
        <v>1077777</v>
      </c>
      <c r="H2662">
        <v>500220</v>
      </c>
      <c r="I2662" t="s">
        <v>949</v>
      </c>
    </row>
    <row r="2663" spans="1:9" x14ac:dyDescent="0.25">
      <c r="A2663">
        <v>3130</v>
      </c>
      <c r="B2663">
        <v>10</v>
      </c>
      <c r="C2663" t="s">
        <v>950</v>
      </c>
      <c r="D2663" t="s">
        <v>1009</v>
      </c>
      <c r="E2663" t="s">
        <v>100</v>
      </c>
      <c r="F2663" t="s">
        <v>953</v>
      </c>
      <c r="G2663">
        <v>1077777</v>
      </c>
      <c r="H2663">
        <v>500220</v>
      </c>
      <c r="I2663" t="s">
        <v>949</v>
      </c>
    </row>
    <row r="2664" spans="1:9" x14ac:dyDescent="0.25">
      <c r="A2664">
        <v>3130</v>
      </c>
      <c r="B2664">
        <v>10</v>
      </c>
      <c r="C2664" t="s">
        <v>950</v>
      </c>
      <c r="D2664" t="s">
        <v>1009</v>
      </c>
      <c r="E2664" t="s">
        <v>100</v>
      </c>
      <c r="F2664" t="s">
        <v>954</v>
      </c>
      <c r="G2664">
        <v>1077777</v>
      </c>
      <c r="H2664">
        <v>500220</v>
      </c>
      <c r="I2664" t="s">
        <v>949</v>
      </c>
    </row>
    <row r="2665" spans="1:9" x14ac:dyDescent="0.25">
      <c r="A2665">
        <v>3130</v>
      </c>
      <c r="B2665">
        <v>10</v>
      </c>
      <c r="C2665" t="s">
        <v>950</v>
      </c>
      <c r="D2665" t="s">
        <v>1009</v>
      </c>
      <c r="E2665" t="s">
        <v>100</v>
      </c>
      <c r="F2665" t="s">
        <v>955</v>
      </c>
      <c r="G2665">
        <v>1077777</v>
      </c>
      <c r="H2665">
        <v>500220</v>
      </c>
      <c r="I2665" t="s">
        <v>949</v>
      </c>
    </row>
    <row r="2666" spans="1:9" x14ac:dyDescent="0.25">
      <c r="A2666">
        <v>3130</v>
      </c>
      <c r="B2666">
        <v>10</v>
      </c>
      <c r="C2666" t="s">
        <v>950</v>
      </c>
      <c r="D2666" t="s">
        <v>1009</v>
      </c>
      <c r="E2666" t="s">
        <v>100</v>
      </c>
      <c r="F2666" t="s">
        <v>956</v>
      </c>
      <c r="G2666">
        <v>1077777</v>
      </c>
      <c r="H2666">
        <v>500220</v>
      </c>
      <c r="I2666" t="s">
        <v>949</v>
      </c>
    </row>
    <row r="2667" spans="1:9" x14ac:dyDescent="0.25">
      <c r="A2667">
        <v>3130</v>
      </c>
      <c r="B2667">
        <v>10</v>
      </c>
      <c r="C2667" t="s">
        <v>950</v>
      </c>
      <c r="D2667" t="s">
        <v>1009</v>
      </c>
      <c r="E2667" t="s">
        <v>100</v>
      </c>
      <c r="F2667" t="s">
        <v>957</v>
      </c>
      <c r="G2667">
        <v>1077777</v>
      </c>
      <c r="H2667">
        <v>500220</v>
      </c>
      <c r="I2667" t="s">
        <v>949</v>
      </c>
    </row>
    <row r="2668" spans="1:9" x14ac:dyDescent="0.25">
      <c r="A2668">
        <v>3130</v>
      </c>
      <c r="B2668">
        <v>10</v>
      </c>
      <c r="C2668" t="s">
        <v>950</v>
      </c>
      <c r="D2668" t="s">
        <v>1009</v>
      </c>
      <c r="E2668" t="s">
        <v>100</v>
      </c>
      <c r="F2668" t="s">
        <v>958</v>
      </c>
      <c r="G2668">
        <v>1077777</v>
      </c>
      <c r="H2668">
        <v>500220</v>
      </c>
      <c r="I2668" t="s">
        <v>949</v>
      </c>
    </row>
    <row r="2669" spans="1:9" x14ac:dyDescent="0.25">
      <c r="A2669">
        <v>3130</v>
      </c>
      <c r="B2669">
        <v>10</v>
      </c>
      <c r="C2669" t="s">
        <v>950</v>
      </c>
      <c r="D2669" t="s">
        <v>1009</v>
      </c>
      <c r="E2669" t="s">
        <v>100</v>
      </c>
      <c r="F2669" t="s">
        <v>959</v>
      </c>
      <c r="G2669">
        <v>1077777</v>
      </c>
      <c r="H2669">
        <v>500220</v>
      </c>
      <c r="I2669" t="s">
        <v>949</v>
      </c>
    </row>
    <row r="2670" spans="1:9" x14ac:dyDescent="0.25">
      <c r="A2670">
        <v>3130</v>
      </c>
      <c r="B2670">
        <v>10</v>
      </c>
      <c r="C2670" t="s">
        <v>950</v>
      </c>
      <c r="D2670" t="s">
        <v>1009</v>
      </c>
      <c r="E2670" t="s">
        <v>100</v>
      </c>
      <c r="F2670" t="s">
        <v>960</v>
      </c>
      <c r="G2670">
        <v>1077777</v>
      </c>
      <c r="H2670">
        <v>500220</v>
      </c>
      <c r="I2670" t="s">
        <v>949</v>
      </c>
    </row>
    <row r="2671" spans="1:9" x14ac:dyDescent="0.25">
      <c r="A2671">
        <v>3130</v>
      </c>
      <c r="B2671">
        <v>10</v>
      </c>
      <c r="C2671" t="s">
        <v>950</v>
      </c>
      <c r="D2671" t="s">
        <v>1009</v>
      </c>
      <c r="E2671" t="s">
        <v>100</v>
      </c>
      <c r="F2671" t="s">
        <v>961</v>
      </c>
      <c r="G2671">
        <v>1077777</v>
      </c>
      <c r="H2671">
        <v>500220</v>
      </c>
      <c r="I2671" t="s">
        <v>949</v>
      </c>
    </row>
    <row r="2672" spans="1:9" x14ac:dyDescent="0.25">
      <c r="A2672">
        <v>3130</v>
      </c>
      <c r="B2672">
        <v>10</v>
      </c>
      <c r="C2672" t="s">
        <v>962</v>
      </c>
      <c r="D2672" t="s">
        <v>1009</v>
      </c>
      <c r="E2672" t="s">
        <v>100</v>
      </c>
      <c r="F2672" t="s">
        <v>951</v>
      </c>
      <c r="G2672">
        <v>1077777</v>
      </c>
      <c r="H2672">
        <v>500220</v>
      </c>
      <c r="I2672" t="s">
        <v>949</v>
      </c>
    </row>
    <row r="2673" spans="1:9" x14ac:dyDescent="0.25">
      <c r="A2673">
        <v>3130</v>
      </c>
      <c r="B2673">
        <v>10</v>
      </c>
      <c r="C2673" t="s">
        <v>962</v>
      </c>
      <c r="D2673" t="s">
        <v>1009</v>
      </c>
      <c r="E2673" t="s">
        <v>100</v>
      </c>
      <c r="F2673" t="s">
        <v>952</v>
      </c>
      <c r="G2673">
        <v>1077777</v>
      </c>
      <c r="H2673">
        <v>500220</v>
      </c>
      <c r="I2673" t="s">
        <v>949</v>
      </c>
    </row>
    <row r="2674" spans="1:9" x14ac:dyDescent="0.25">
      <c r="A2674">
        <v>3130</v>
      </c>
      <c r="B2674">
        <v>10</v>
      </c>
      <c r="C2674" t="s">
        <v>962</v>
      </c>
      <c r="D2674" t="s">
        <v>1009</v>
      </c>
      <c r="E2674" t="s">
        <v>100</v>
      </c>
      <c r="F2674" t="s">
        <v>953</v>
      </c>
      <c r="G2674">
        <v>1077777</v>
      </c>
      <c r="H2674">
        <v>500220</v>
      </c>
      <c r="I2674" t="s">
        <v>949</v>
      </c>
    </row>
    <row r="2675" spans="1:9" x14ac:dyDescent="0.25">
      <c r="A2675">
        <v>3130</v>
      </c>
      <c r="B2675">
        <v>10</v>
      </c>
      <c r="C2675" t="s">
        <v>962</v>
      </c>
      <c r="D2675" t="s">
        <v>1009</v>
      </c>
      <c r="E2675" t="s">
        <v>100</v>
      </c>
      <c r="F2675" t="s">
        <v>954</v>
      </c>
      <c r="G2675">
        <v>1077777</v>
      </c>
      <c r="H2675">
        <v>500220</v>
      </c>
      <c r="I2675" t="s">
        <v>949</v>
      </c>
    </row>
    <row r="2676" spans="1:9" x14ac:dyDescent="0.25">
      <c r="A2676">
        <v>3130</v>
      </c>
      <c r="B2676">
        <v>10</v>
      </c>
      <c r="C2676" t="s">
        <v>962</v>
      </c>
      <c r="D2676" t="s">
        <v>1009</v>
      </c>
      <c r="E2676" t="s">
        <v>100</v>
      </c>
      <c r="F2676" t="s">
        <v>955</v>
      </c>
      <c r="G2676">
        <v>1077777</v>
      </c>
      <c r="H2676">
        <v>500220</v>
      </c>
      <c r="I2676" t="s">
        <v>949</v>
      </c>
    </row>
    <row r="2677" spans="1:9" x14ac:dyDescent="0.25">
      <c r="A2677">
        <v>3130</v>
      </c>
      <c r="B2677">
        <v>10</v>
      </c>
      <c r="C2677" t="s">
        <v>962</v>
      </c>
      <c r="D2677" t="s">
        <v>1009</v>
      </c>
      <c r="E2677" t="s">
        <v>100</v>
      </c>
      <c r="F2677" t="s">
        <v>956</v>
      </c>
      <c r="G2677">
        <v>1077777</v>
      </c>
      <c r="H2677">
        <v>500220</v>
      </c>
      <c r="I2677" t="s">
        <v>949</v>
      </c>
    </row>
    <row r="2678" spans="1:9" x14ac:dyDescent="0.25">
      <c r="A2678">
        <v>3130</v>
      </c>
      <c r="B2678">
        <v>10</v>
      </c>
      <c r="C2678" t="s">
        <v>962</v>
      </c>
      <c r="D2678" t="s">
        <v>1009</v>
      </c>
      <c r="E2678" t="s">
        <v>100</v>
      </c>
      <c r="F2678" t="s">
        <v>957</v>
      </c>
      <c r="G2678">
        <v>1077777</v>
      </c>
      <c r="H2678">
        <v>500220</v>
      </c>
      <c r="I2678" t="s">
        <v>949</v>
      </c>
    </row>
    <row r="2679" spans="1:9" x14ac:dyDescent="0.25">
      <c r="A2679">
        <v>3130</v>
      </c>
      <c r="B2679">
        <v>10</v>
      </c>
      <c r="C2679" t="s">
        <v>962</v>
      </c>
      <c r="D2679" t="s">
        <v>1009</v>
      </c>
      <c r="E2679" t="s">
        <v>100</v>
      </c>
      <c r="F2679" t="s">
        <v>958</v>
      </c>
      <c r="G2679">
        <v>1077777</v>
      </c>
      <c r="H2679">
        <v>500220</v>
      </c>
      <c r="I2679" t="s">
        <v>949</v>
      </c>
    </row>
    <row r="2680" spans="1:9" x14ac:dyDescent="0.25">
      <c r="A2680">
        <v>3130</v>
      </c>
      <c r="B2680">
        <v>10</v>
      </c>
      <c r="C2680" t="s">
        <v>962</v>
      </c>
      <c r="D2680" t="s">
        <v>1009</v>
      </c>
      <c r="E2680" t="s">
        <v>100</v>
      </c>
      <c r="F2680" t="s">
        <v>959</v>
      </c>
      <c r="G2680">
        <v>1077777</v>
      </c>
      <c r="H2680">
        <v>500220</v>
      </c>
      <c r="I2680" t="s">
        <v>949</v>
      </c>
    </row>
    <row r="2681" spans="1:9" x14ac:dyDescent="0.25">
      <c r="A2681">
        <v>3130</v>
      </c>
      <c r="B2681">
        <v>10</v>
      </c>
      <c r="C2681" t="s">
        <v>962</v>
      </c>
      <c r="D2681" t="s">
        <v>1009</v>
      </c>
      <c r="E2681" t="s">
        <v>100</v>
      </c>
      <c r="F2681" t="s">
        <v>960</v>
      </c>
      <c r="G2681">
        <v>1077777</v>
      </c>
      <c r="H2681">
        <v>500220</v>
      </c>
      <c r="I2681" t="s">
        <v>949</v>
      </c>
    </row>
    <row r="2682" spans="1:9" x14ac:dyDescent="0.25">
      <c r="A2682">
        <v>3130</v>
      </c>
      <c r="B2682">
        <v>10</v>
      </c>
      <c r="C2682" t="s">
        <v>962</v>
      </c>
      <c r="D2682" t="s">
        <v>1009</v>
      </c>
      <c r="E2682" t="s">
        <v>100</v>
      </c>
      <c r="F2682" t="s">
        <v>961</v>
      </c>
      <c r="G2682">
        <v>1077777</v>
      </c>
      <c r="H2682">
        <v>500220</v>
      </c>
      <c r="I2682" t="s">
        <v>949</v>
      </c>
    </row>
    <row r="2683" spans="1:9" x14ac:dyDescent="0.25">
      <c r="A2683">
        <v>3130</v>
      </c>
      <c r="B2683">
        <v>10</v>
      </c>
      <c r="C2683" t="s">
        <v>963</v>
      </c>
      <c r="D2683" t="s">
        <v>1009</v>
      </c>
      <c r="E2683" t="s">
        <v>100</v>
      </c>
      <c r="F2683" t="s">
        <v>951</v>
      </c>
      <c r="G2683">
        <v>1077777</v>
      </c>
      <c r="H2683">
        <v>500220</v>
      </c>
      <c r="I2683" t="s">
        <v>949</v>
      </c>
    </row>
    <row r="2684" spans="1:9" x14ac:dyDescent="0.25">
      <c r="A2684">
        <v>3130</v>
      </c>
      <c r="B2684">
        <v>10</v>
      </c>
      <c r="C2684" t="s">
        <v>963</v>
      </c>
      <c r="D2684" t="s">
        <v>1009</v>
      </c>
      <c r="E2684" t="s">
        <v>100</v>
      </c>
      <c r="F2684" t="s">
        <v>952</v>
      </c>
      <c r="G2684">
        <v>1077777</v>
      </c>
      <c r="H2684">
        <v>500220</v>
      </c>
      <c r="I2684" t="s">
        <v>949</v>
      </c>
    </row>
    <row r="2685" spans="1:9" x14ac:dyDescent="0.25">
      <c r="A2685">
        <v>3130</v>
      </c>
      <c r="B2685">
        <v>10</v>
      </c>
      <c r="C2685" t="s">
        <v>963</v>
      </c>
      <c r="D2685" t="s">
        <v>1009</v>
      </c>
      <c r="E2685" t="s">
        <v>100</v>
      </c>
      <c r="F2685" t="s">
        <v>953</v>
      </c>
      <c r="G2685">
        <v>1077777</v>
      </c>
      <c r="H2685">
        <v>500220</v>
      </c>
      <c r="I2685" t="s">
        <v>949</v>
      </c>
    </row>
    <row r="2686" spans="1:9" x14ac:dyDescent="0.25">
      <c r="A2686">
        <v>3130</v>
      </c>
      <c r="B2686">
        <v>10</v>
      </c>
      <c r="C2686" t="s">
        <v>963</v>
      </c>
      <c r="D2686" t="s">
        <v>1009</v>
      </c>
      <c r="E2686" t="s">
        <v>100</v>
      </c>
      <c r="F2686" t="s">
        <v>954</v>
      </c>
      <c r="G2686">
        <v>1077777</v>
      </c>
      <c r="H2686">
        <v>500220</v>
      </c>
      <c r="I2686" t="s">
        <v>949</v>
      </c>
    </row>
    <row r="2687" spans="1:9" x14ac:dyDescent="0.25">
      <c r="A2687">
        <v>3130</v>
      </c>
      <c r="B2687">
        <v>10</v>
      </c>
      <c r="C2687" t="s">
        <v>963</v>
      </c>
      <c r="D2687" t="s">
        <v>1009</v>
      </c>
      <c r="E2687" t="s">
        <v>100</v>
      </c>
      <c r="F2687" t="s">
        <v>955</v>
      </c>
      <c r="G2687">
        <v>1077777</v>
      </c>
      <c r="H2687">
        <v>500220</v>
      </c>
      <c r="I2687" t="s">
        <v>949</v>
      </c>
    </row>
    <row r="2688" spans="1:9" x14ac:dyDescent="0.25">
      <c r="A2688">
        <v>3130</v>
      </c>
      <c r="B2688">
        <v>10</v>
      </c>
      <c r="C2688" t="s">
        <v>963</v>
      </c>
      <c r="D2688" t="s">
        <v>1009</v>
      </c>
      <c r="E2688" t="s">
        <v>100</v>
      </c>
      <c r="F2688" t="s">
        <v>956</v>
      </c>
      <c r="G2688">
        <v>1077777</v>
      </c>
      <c r="H2688">
        <v>500220</v>
      </c>
      <c r="I2688" t="s">
        <v>949</v>
      </c>
    </row>
    <row r="2689" spans="1:9" x14ac:dyDescent="0.25">
      <c r="A2689">
        <v>3130</v>
      </c>
      <c r="B2689">
        <v>10</v>
      </c>
      <c r="C2689" t="s">
        <v>963</v>
      </c>
      <c r="D2689" t="s">
        <v>1009</v>
      </c>
      <c r="E2689" t="s">
        <v>100</v>
      </c>
      <c r="F2689" t="s">
        <v>957</v>
      </c>
      <c r="G2689">
        <v>1077777</v>
      </c>
      <c r="H2689">
        <v>500220</v>
      </c>
      <c r="I2689" t="s">
        <v>949</v>
      </c>
    </row>
    <row r="2690" spans="1:9" x14ac:dyDescent="0.25">
      <c r="A2690">
        <v>3130</v>
      </c>
      <c r="B2690">
        <v>10</v>
      </c>
      <c r="C2690" t="s">
        <v>963</v>
      </c>
      <c r="D2690" t="s">
        <v>1009</v>
      </c>
      <c r="E2690" t="s">
        <v>100</v>
      </c>
      <c r="F2690" t="s">
        <v>958</v>
      </c>
      <c r="G2690">
        <v>1077777</v>
      </c>
      <c r="H2690">
        <v>500220</v>
      </c>
      <c r="I2690" t="s">
        <v>949</v>
      </c>
    </row>
    <row r="2691" spans="1:9" x14ac:dyDescent="0.25">
      <c r="A2691">
        <v>3130</v>
      </c>
      <c r="B2691">
        <v>10</v>
      </c>
      <c r="C2691" t="s">
        <v>963</v>
      </c>
      <c r="D2691" t="s">
        <v>1009</v>
      </c>
      <c r="E2691" t="s">
        <v>100</v>
      </c>
      <c r="F2691" t="s">
        <v>959</v>
      </c>
      <c r="G2691">
        <v>1077777</v>
      </c>
      <c r="H2691">
        <v>500220</v>
      </c>
      <c r="I2691" t="s">
        <v>949</v>
      </c>
    </row>
    <row r="2692" spans="1:9" x14ac:dyDescent="0.25">
      <c r="A2692">
        <v>3130</v>
      </c>
      <c r="B2692">
        <v>10</v>
      </c>
      <c r="C2692" t="s">
        <v>963</v>
      </c>
      <c r="D2692" t="s">
        <v>1009</v>
      </c>
      <c r="E2692" t="s">
        <v>100</v>
      </c>
      <c r="F2692" t="s">
        <v>960</v>
      </c>
      <c r="G2692">
        <v>1077777</v>
      </c>
      <c r="H2692">
        <v>500220</v>
      </c>
      <c r="I2692" t="s">
        <v>949</v>
      </c>
    </row>
    <row r="2693" spans="1:9" x14ac:dyDescent="0.25">
      <c r="A2693">
        <v>3130</v>
      </c>
      <c r="B2693">
        <v>10</v>
      </c>
      <c r="C2693" t="s">
        <v>963</v>
      </c>
      <c r="D2693" t="s">
        <v>1009</v>
      </c>
      <c r="E2693" t="s">
        <v>100</v>
      </c>
      <c r="F2693" t="s">
        <v>961</v>
      </c>
      <c r="G2693">
        <v>1077777</v>
      </c>
      <c r="H2693">
        <v>500220</v>
      </c>
      <c r="I2693" t="s">
        <v>949</v>
      </c>
    </row>
    <row r="2694" spans="1:9" x14ac:dyDescent="0.25">
      <c r="A2694">
        <v>4122</v>
      </c>
      <c r="B2694">
        <v>10</v>
      </c>
      <c r="C2694" t="s">
        <v>946</v>
      </c>
      <c r="D2694" t="s">
        <v>1009</v>
      </c>
      <c r="E2694" t="s">
        <v>100</v>
      </c>
      <c r="F2694" t="s">
        <v>948</v>
      </c>
      <c r="G2694">
        <v>1077777</v>
      </c>
      <c r="H2694">
        <v>500220</v>
      </c>
      <c r="I2694" t="s">
        <v>949</v>
      </c>
    </row>
    <row r="2695" spans="1:9" x14ac:dyDescent="0.25">
      <c r="A2695">
        <v>4124</v>
      </c>
      <c r="B2695">
        <v>10</v>
      </c>
      <c r="C2695" t="s">
        <v>946</v>
      </c>
      <c r="D2695" t="s">
        <v>1009</v>
      </c>
      <c r="E2695" t="s">
        <v>100</v>
      </c>
      <c r="F2695" t="s">
        <v>948</v>
      </c>
      <c r="G2695">
        <v>1077777</v>
      </c>
      <c r="H2695">
        <v>500221</v>
      </c>
      <c r="I2695" t="s">
        <v>949</v>
      </c>
    </row>
    <row r="2696" ht="22" customHeight="1" spans="1:10" x14ac:dyDescent="0.25">
      <c r="A2696" s="43">
        <v>3130</v>
      </c>
      <c r="B2696" s="43">
        <v>10</v>
      </c>
      <c r="C2696" s="43" t="s">
        <v>950</v>
      </c>
      <c r="D2696" s="43" t="s">
        <v>1009</v>
      </c>
      <c r="E2696" s="43" t="s">
        <v>270</v>
      </c>
      <c r="F2696" s="43" t="s">
        <v>951</v>
      </c>
      <c r="G2696" s="43">
        <v>1077777</v>
      </c>
      <c r="H2696" s="43">
        <v>501100</v>
      </c>
      <c r="I2696" s="43" t="s">
        <v>949</v>
      </c>
      <c r="J2696" s="44" t="s">
        <v>1000</v>
      </c>
    </row>
    <row r="2697" ht="22" customHeight="1" spans="1:10" x14ac:dyDescent="0.25">
      <c r="A2697" s="43">
        <v>3130</v>
      </c>
      <c r="B2697" s="43">
        <v>10</v>
      </c>
      <c r="C2697" s="43" t="s">
        <v>950</v>
      </c>
      <c r="D2697" s="43" t="s">
        <v>1009</v>
      </c>
      <c r="E2697" s="43" t="s">
        <v>270</v>
      </c>
      <c r="F2697" s="43" t="s">
        <v>952</v>
      </c>
      <c r="G2697" s="43">
        <v>1077777</v>
      </c>
      <c r="H2697" s="43">
        <v>501100</v>
      </c>
      <c r="I2697" s="43" t="s">
        <v>949</v>
      </c>
      <c r="J2697" s="44" t="s">
        <v>1000</v>
      </c>
    </row>
    <row r="2698" ht="22" customHeight="1" spans="1:10" x14ac:dyDescent="0.25">
      <c r="A2698" s="43">
        <v>3130</v>
      </c>
      <c r="B2698" s="43">
        <v>10</v>
      </c>
      <c r="C2698" s="43" t="s">
        <v>950</v>
      </c>
      <c r="D2698" s="43" t="s">
        <v>1009</v>
      </c>
      <c r="E2698" s="43" t="s">
        <v>270</v>
      </c>
      <c r="F2698" s="43" t="s">
        <v>953</v>
      </c>
      <c r="G2698" s="43">
        <v>1077777</v>
      </c>
      <c r="H2698" s="43">
        <v>501100</v>
      </c>
      <c r="I2698" s="43" t="s">
        <v>949</v>
      </c>
      <c r="J2698" s="44" t="s">
        <v>1000</v>
      </c>
    </row>
    <row r="2699" ht="22" customHeight="1" spans="1:10" x14ac:dyDescent="0.25">
      <c r="A2699" s="43">
        <v>3130</v>
      </c>
      <c r="B2699" s="43">
        <v>10</v>
      </c>
      <c r="C2699" s="43" t="s">
        <v>950</v>
      </c>
      <c r="D2699" s="43" t="s">
        <v>1009</v>
      </c>
      <c r="E2699" s="43" t="s">
        <v>270</v>
      </c>
      <c r="F2699" s="43" t="s">
        <v>954</v>
      </c>
      <c r="G2699" s="43">
        <v>1077777</v>
      </c>
      <c r="H2699" s="43">
        <v>501100</v>
      </c>
      <c r="I2699" s="43" t="s">
        <v>949</v>
      </c>
      <c r="J2699" s="44" t="s">
        <v>1000</v>
      </c>
    </row>
    <row r="2700" ht="22" customHeight="1" spans="1:10" x14ac:dyDescent="0.25">
      <c r="A2700" s="43">
        <v>3130</v>
      </c>
      <c r="B2700" s="43">
        <v>10</v>
      </c>
      <c r="C2700" s="43" t="s">
        <v>950</v>
      </c>
      <c r="D2700" s="43" t="s">
        <v>1009</v>
      </c>
      <c r="E2700" s="43" t="s">
        <v>270</v>
      </c>
      <c r="F2700" s="43" t="s">
        <v>955</v>
      </c>
      <c r="G2700" s="43">
        <v>1077777</v>
      </c>
      <c r="H2700" s="43">
        <v>501100</v>
      </c>
      <c r="I2700" s="43" t="s">
        <v>949</v>
      </c>
      <c r="J2700" s="44" t="s">
        <v>1000</v>
      </c>
    </row>
    <row r="2701" ht="22" customHeight="1" spans="1:10" x14ac:dyDescent="0.25">
      <c r="A2701" s="43">
        <v>3130</v>
      </c>
      <c r="B2701" s="43">
        <v>10</v>
      </c>
      <c r="C2701" s="43" t="s">
        <v>950</v>
      </c>
      <c r="D2701" s="43" t="s">
        <v>1009</v>
      </c>
      <c r="E2701" s="43" t="s">
        <v>270</v>
      </c>
      <c r="F2701" s="43" t="s">
        <v>956</v>
      </c>
      <c r="G2701" s="43">
        <v>1077777</v>
      </c>
      <c r="H2701" s="43">
        <v>501100</v>
      </c>
      <c r="I2701" s="43" t="s">
        <v>949</v>
      </c>
      <c r="J2701" s="44" t="s">
        <v>1000</v>
      </c>
    </row>
    <row r="2702" ht="22" customHeight="1" spans="1:10" x14ac:dyDescent="0.25">
      <c r="A2702" s="43">
        <v>3130</v>
      </c>
      <c r="B2702" s="43">
        <v>10</v>
      </c>
      <c r="C2702" s="43" t="s">
        <v>950</v>
      </c>
      <c r="D2702" s="43" t="s">
        <v>1009</v>
      </c>
      <c r="E2702" s="43" t="s">
        <v>270</v>
      </c>
      <c r="F2702" s="43" t="s">
        <v>957</v>
      </c>
      <c r="G2702" s="43">
        <v>1077777</v>
      </c>
      <c r="H2702" s="43">
        <v>501100</v>
      </c>
      <c r="I2702" s="43" t="s">
        <v>949</v>
      </c>
      <c r="J2702" s="44" t="s">
        <v>1000</v>
      </c>
    </row>
    <row r="2703" ht="22" customHeight="1" spans="1:10" x14ac:dyDescent="0.25">
      <c r="A2703" s="43">
        <v>3130</v>
      </c>
      <c r="B2703" s="43">
        <v>10</v>
      </c>
      <c r="C2703" s="43" t="s">
        <v>950</v>
      </c>
      <c r="D2703" s="43" t="s">
        <v>1009</v>
      </c>
      <c r="E2703" s="43" t="s">
        <v>270</v>
      </c>
      <c r="F2703" s="43" t="s">
        <v>958</v>
      </c>
      <c r="G2703" s="43">
        <v>1077777</v>
      </c>
      <c r="H2703" s="43">
        <v>501100</v>
      </c>
      <c r="I2703" s="43" t="s">
        <v>949</v>
      </c>
      <c r="J2703" s="44" t="s">
        <v>1000</v>
      </c>
    </row>
    <row r="2704" ht="22" customHeight="1" spans="1:10" x14ac:dyDescent="0.25">
      <c r="A2704" s="43">
        <v>3130</v>
      </c>
      <c r="B2704" s="43">
        <v>10</v>
      </c>
      <c r="C2704" s="43" t="s">
        <v>950</v>
      </c>
      <c r="D2704" s="43" t="s">
        <v>1009</v>
      </c>
      <c r="E2704" s="43" t="s">
        <v>270</v>
      </c>
      <c r="F2704" s="43" t="s">
        <v>959</v>
      </c>
      <c r="G2704" s="43">
        <v>1077777</v>
      </c>
      <c r="H2704" s="43">
        <v>501100</v>
      </c>
      <c r="I2704" s="43" t="s">
        <v>949</v>
      </c>
      <c r="J2704" s="44" t="s">
        <v>1000</v>
      </c>
    </row>
    <row r="2705" ht="22" customHeight="1" spans="1:10" x14ac:dyDescent="0.25">
      <c r="A2705" s="43">
        <v>3130</v>
      </c>
      <c r="B2705" s="43">
        <v>10</v>
      </c>
      <c r="C2705" s="43" t="s">
        <v>950</v>
      </c>
      <c r="D2705" s="43" t="s">
        <v>1009</v>
      </c>
      <c r="E2705" s="43" t="s">
        <v>270</v>
      </c>
      <c r="F2705" s="43" t="s">
        <v>960</v>
      </c>
      <c r="G2705" s="43">
        <v>1077777</v>
      </c>
      <c r="H2705" s="43">
        <v>501100</v>
      </c>
      <c r="I2705" s="43" t="s">
        <v>949</v>
      </c>
      <c r="J2705" s="44" t="s">
        <v>1000</v>
      </c>
    </row>
    <row r="2706" ht="22" customHeight="1" spans="1:10" x14ac:dyDescent="0.25">
      <c r="A2706" s="43">
        <v>3130</v>
      </c>
      <c r="B2706" s="43">
        <v>10</v>
      </c>
      <c r="C2706" s="43" t="s">
        <v>950</v>
      </c>
      <c r="D2706" s="43" t="s">
        <v>1009</v>
      </c>
      <c r="E2706" s="43" t="s">
        <v>270</v>
      </c>
      <c r="F2706" s="43" t="s">
        <v>961</v>
      </c>
      <c r="G2706" s="43">
        <v>1077777</v>
      </c>
      <c r="H2706" s="43">
        <v>501100</v>
      </c>
      <c r="I2706" s="43" t="s">
        <v>949</v>
      </c>
      <c r="J2706" s="44" t="s">
        <v>1000</v>
      </c>
    </row>
    <row r="2707" ht="22" customHeight="1" spans="1:10" x14ac:dyDescent="0.25">
      <c r="A2707" s="43">
        <v>3130</v>
      </c>
      <c r="B2707" s="43">
        <v>10</v>
      </c>
      <c r="C2707" s="43" t="s">
        <v>962</v>
      </c>
      <c r="D2707" s="43" t="s">
        <v>1009</v>
      </c>
      <c r="E2707" s="43" t="s">
        <v>270</v>
      </c>
      <c r="F2707" s="43" t="s">
        <v>951</v>
      </c>
      <c r="G2707" s="43">
        <v>1077777</v>
      </c>
      <c r="H2707" s="43">
        <v>501100</v>
      </c>
      <c r="I2707" s="43" t="s">
        <v>949</v>
      </c>
      <c r="J2707" s="44" t="s">
        <v>1000</v>
      </c>
    </row>
    <row r="2708" ht="22" customHeight="1" spans="1:10" x14ac:dyDescent="0.25">
      <c r="A2708" s="43">
        <v>3130</v>
      </c>
      <c r="B2708" s="43">
        <v>10</v>
      </c>
      <c r="C2708" s="43" t="s">
        <v>962</v>
      </c>
      <c r="D2708" s="43" t="s">
        <v>1009</v>
      </c>
      <c r="E2708" s="43" t="s">
        <v>270</v>
      </c>
      <c r="F2708" s="43" t="s">
        <v>952</v>
      </c>
      <c r="G2708" s="43">
        <v>1077777</v>
      </c>
      <c r="H2708" s="43">
        <v>501100</v>
      </c>
      <c r="I2708" s="43" t="s">
        <v>949</v>
      </c>
      <c r="J2708" s="44" t="s">
        <v>1000</v>
      </c>
    </row>
    <row r="2709" ht="22" customHeight="1" spans="1:10" x14ac:dyDescent="0.25">
      <c r="A2709" s="43">
        <v>3130</v>
      </c>
      <c r="B2709" s="43">
        <v>10</v>
      </c>
      <c r="C2709" s="43" t="s">
        <v>962</v>
      </c>
      <c r="D2709" s="43" t="s">
        <v>1009</v>
      </c>
      <c r="E2709" s="43" t="s">
        <v>270</v>
      </c>
      <c r="F2709" s="43" t="s">
        <v>953</v>
      </c>
      <c r="G2709" s="43">
        <v>1077777</v>
      </c>
      <c r="H2709" s="43">
        <v>501100</v>
      </c>
      <c r="I2709" s="43" t="s">
        <v>949</v>
      </c>
      <c r="J2709" s="44" t="s">
        <v>1000</v>
      </c>
    </row>
    <row r="2710" ht="22" customHeight="1" spans="1:10" x14ac:dyDescent="0.25">
      <c r="A2710" s="43">
        <v>3130</v>
      </c>
      <c r="B2710" s="43">
        <v>10</v>
      </c>
      <c r="C2710" s="43" t="s">
        <v>962</v>
      </c>
      <c r="D2710" s="43" t="s">
        <v>1009</v>
      </c>
      <c r="E2710" s="43" t="s">
        <v>270</v>
      </c>
      <c r="F2710" s="43" t="s">
        <v>954</v>
      </c>
      <c r="G2710" s="43">
        <v>1077777</v>
      </c>
      <c r="H2710" s="43">
        <v>501100</v>
      </c>
      <c r="I2710" s="43" t="s">
        <v>949</v>
      </c>
      <c r="J2710" s="44" t="s">
        <v>1000</v>
      </c>
    </row>
    <row r="2711" ht="22" customHeight="1" spans="1:10" x14ac:dyDescent="0.25">
      <c r="A2711" s="43">
        <v>3130</v>
      </c>
      <c r="B2711" s="43">
        <v>10</v>
      </c>
      <c r="C2711" s="43" t="s">
        <v>962</v>
      </c>
      <c r="D2711" s="43" t="s">
        <v>1009</v>
      </c>
      <c r="E2711" s="43" t="s">
        <v>270</v>
      </c>
      <c r="F2711" s="43" t="s">
        <v>955</v>
      </c>
      <c r="G2711" s="43">
        <v>1077777</v>
      </c>
      <c r="H2711" s="43">
        <v>501100</v>
      </c>
      <c r="I2711" s="43" t="s">
        <v>949</v>
      </c>
      <c r="J2711" s="44" t="s">
        <v>1000</v>
      </c>
    </row>
    <row r="2712" ht="22" customHeight="1" spans="1:10" x14ac:dyDescent="0.25">
      <c r="A2712" s="43">
        <v>3130</v>
      </c>
      <c r="B2712" s="43">
        <v>10</v>
      </c>
      <c r="C2712" s="43" t="s">
        <v>962</v>
      </c>
      <c r="D2712" s="43" t="s">
        <v>1009</v>
      </c>
      <c r="E2712" s="43" t="s">
        <v>270</v>
      </c>
      <c r="F2712" s="43" t="s">
        <v>956</v>
      </c>
      <c r="G2712" s="43">
        <v>1077777</v>
      </c>
      <c r="H2712" s="43">
        <v>501100</v>
      </c>
      <c r="I2712" s="43" t="s">
        <v>949</v>
      </c>
      <c r="J2712" s="44" t="s">
        <v>1000</v>
      </c>
    </row>
    <row r="2713" ht="22" customHeight="1" spans="1:10" x14ac:dyDescent="0.25">
      <c r="A2713" s="43">
        <v>3130</v>
      </c>
      <c r="B2713" s="43">
        <v>10</v>
      </c>
      <c r="C2713" s="43" t="s">
        <v>962</v>
      </c>
      <c r="D2713" s="43" t="s">
        <v>1009</v>
      </c>
      <c r="E2713" s="43" t="s">
        <v>270</v>
      </c>
      <c r="F2713" s="43" t="s">
        <v>957</v>
      </c>
      <c r="G2713" s="43">
        <v>1077777</v>
      </c>
      <c r="H2713" s="43">
        <v>501100</v>
      </c>
      <c r="I2713" s="43" t="s">
        <v>949</v>
      </c>
      <c r="J2713" s="44" t="s">
        <v>1000</v>
      </c>
    </row>
    <row r="2714" ht="22" customHeight="1" spans="1:10" x14ac:dyDescent="0.25">
      <c r="A2714" s="43">
        <v>3130</v>
      </c>
      <c r="B2714" s="43">
        <v>10</v>
      </c>
      <c r="C2714" s="43" t="s">
        <v>962</v>
      </c>
      <c r="D2714" s="43" t="s">
        <v>1009</v>
      </c>
      <c r="E2714" s="43" t="s">
        <v>270</v>
      </c>
      <c r="F2714" s="43" t="s">
        <v>958</v>
      </c>
      <c r="G2714" s="43">
        <v>1077777</v>
      </c>
      <c r="H2714" s="43">
        <v>501100</v>
      </c>
      <c r="I2714" s="43" t="s">
        <v>949</v>
      </c>
      <c r="J2714" s="44" t="s">
        <v>1000</v>
      </c>
    </row>
    <row r="2715" ht="22" customHeight="1" spans="1:10" x14ac:dyDescent="0.25">
      <c r="A2715" s="43">
        <v>3130</v>
      </c>
      <c r="B2715" s="43">
        <v>10</v>
      </c>
      <c r="C2715" s="43" t="s">
        <v>962</v>
      </c>
      <c r="D2715" s="43" t="s">
        <v>1009</v>
      </c>
      <c r="E2715" s="43" t="s">
        <v>270</v>
      </c>
      <c r="F2715" s="43" t="s">
        <v>959</v>
      </c>
      <c r="G2715" s="43">
        <v>1077777</v>
      </c>
      <c r="H2715" s="43">
        <v>501100</v>
      </c>
      <c r="I2715" s="43" t="s">
        <v>949</v>
      </c>
      <c r="J2715" s="44" t="s">
        <v>1000</v>
      </c>
    </row>
    <row r="2716" ht="22" customHeight="1" spans="1:10" x14ac:dyDescent="0.25">
      <c r="A2716" s="43">
        <v>3130</v>
      </c>
      <c r="B2716" s="43">
        <v>10</v>
      </c>
      <c r="C2716" s="43" t="s">
        <v>962</v>
      </c>
      <c r="D2716" s="43" t="s">
        <v>1009</v>
      </c>
      <c r="E2716" s="43" t="s">
        <v>270</v>
      </c>
      <c r="F2716" s="43" t="s">
        <v>960</v>
      </c>
      <c r="G2716" s="43">
        <v>1077777</v>
      </c>
      <c r="H2716" s="43">
        <v>501100</v>
      </c>
      <c r="I2716" s="43" t="s">
        <v>949</v>
      </c>
      <c r="J2716" s="44" t="s">
        <v>1000</v>
      </c>
    </row>
    <row r="2717" ht="22" customHeight="1" spans="1:10" x14ac:dyDescent="0.25">
      <c r="A2717" s="43">
        <v>3130</v>
      </c>
      <c r="B2717" s="43">
        <v>10</v>
      </c>
      <c r="C2717" s="43" t="s">
        <v>962</v>
      </c>
      <c r="D2717" s="43" t="s">
        <v>1009</v>
      </c>
      <c r="E2717" s="43" t="s">
        <v>270</v>
      </c>
      <c r="F2717" s="43" t="s">
        <v>961</v>
      </c>
      <c r="G2717" s="43">
        <v>1077777</v>
      </c>
      <c r="H2717" s="43">
        <v>501100</v>
      </c>
      <c r="I2717" s="43" t="s">
        <v>949</v>
      </c>
      <c r="J2717" s="44" t="s">
        <v>1000</v>
      </c>
    </row>
    <row r="2718" ht="22" customHeight="1" spans="1:10" x14ac:dyDescent="0.25">
      <c r="A2718" s="43">
        <v>3130</v>
      </c>
      <c r="B2718" s="43">
        <v>10</v>
      </c>
      <c r="C2718" s="43" t="s">
        <v>963</v>
      </c>
      <c r="D2718" s="43" t="s">
        <v>1009</v>
      </c>
      <c r="E2718" s="43" t="s">
        <v>270</v>
      </c>
      <c r="F2718" s="43" t="s">
        <v>951</v>
      </c>
      <c r="G2718" s="43">
        <v>1077777</v>
      </c>
      <c r="H2718" s="43">
        <v>501100</v>
      </c>
      <c r="I2718" s="43" t="s">
        <v>949</v>
      </c>
      <c r="J2718" s="44" t="s">
        <v>1000</v>
      </c>
    </row>
    <row r="2719" ht="22" customHeight="1" spans="1:10" x14ac:dyDescent="0.25">
      <c r="A2719" s="43">
        <v>3130</v>
      </c>
      <c r="B2719" s="43">
        <v>10</v>
      </c>
      <c r="C2719" s="43" t="s">
        <v>963</v>
      </c>
      <c r="D2719" s="43" t="s">
        <v>1009</v>
      </c>
      <c r="E2719" s="43" t="s">
        <v>270</v>
      </c>
      <c r="F2719" s="43" t="s">
        <v>952</v>
      </c>
      <c r="G2719" s="43">
        <v>1077777</v>
      </c>
      <c r="H2719" s="43">
        <v>501100</v>
      </c>
      <c r="I2719" s="43" t="s">
        <v>949</v>
      </c>
      <c r="J2719" s="44" t="s">
        <v>1000</v>
      </c>
    </row>
    <row r="2720" ht="22" customHeight="1" spans="1:10" x14ac:dyDescent="0.25">
      <c r="A2720" s="43">
        <v>3130</v>
      </c>
      <c r="B2720" s="43">
        <v>10</v>
      </c>
      <c r="C2720" s="43" t="s">
        <v>963</v>
      </c>
      <c r="D2720" s="43" t="s">
        <v>1009</v>
      </c>
      <c r="E2720" s="43" t="s">
        <v>270</v>
      </c>
      <c r="F2720" s="43" t="s">
        <v>953</v>
      </c>
      <c r="G2720" s="43">
        <v>1077777</v>
      </c>
      <c r="H2720" s="43">
        <v>501100</v>
      </c>
      <c r="I2720" s="43" t="s">
        <v>949</v>
      </c>
      <c r="J2720" s="44" t="s">
        <v>1000</v>
      </c>
    </row>
    <row r="2721" ht="22" customHeight="1" spans="1:10" x14ac:dyDescent="0.25">
      <c r="A2721" s="43">
        <v>3130</v>
      </c>
      <c r="B2721" s="43">
        <v>10</v>
      </c>
      <c r="C2721" s="43" t="s">
        <v>963</v>
      </c>
      <c r="D2721" s="43" t="s">
        <v>1009</v>
      </c>
      <c r="E2721" s="43" t="s">
        <v>270</v>
      </c>
      <c r="F2721" s="43" t="s">
        <v>954</v>
      </c>
      <c r="G2721" s="43">
        <v>1077777</v>
      </c>
      <c r="H2721" s="43">
        <v>501100</v>
      </c>
      <c r="I2721" s="43" t="s">
        <v>949</v>
      </c>
      <c r="J2721" s="44" t="s">
        <v>1000</v>
      </c>
    </row>
    <row r="2722" ht="22" customHeight="1" spans="1:10" x14ac:dyDescent="0.25">
      <c r="A2722" s="43">
        <v>3130</v>
      </c>
      <c r="B2722" s="43">
        <v>10</v>
      </c>
      <c r="C2722" s="43" t="s">
        <v>963</v>
      </c>
      <c r="D2722" s="43" t="s">
        <v>1009</v>
      </c>
      <c r="E2722" s="43" t="s">
        <v>270</v>
      </c>
      <c r="F2722" s="43" t="s">
        <v>955</v>
      </c>
      <c r="G2722" s="43">
        <v>1077777</v>
      </c>
      <c r="H2722" s="43">
        <v>501100</v>
      </c>
      <c r="I2722" s="43" t="s">
        <v>949</v>
      </c>
      <c r="J2722" s="44" t="s">
        <v>1000</v>
      </c>
    </row>
    <row r="2723" ht="22" customHeight="1" spans="1:10" x14ac:dyDescent="0.25">
      <c r="A2723" s="43">
        <v>3130</v>
      </c>
      <c r="B2723" s="43">
        <v>10</v>
      </c>
      <c r="C2723" s="43" t="s">
        <v>963</v>
      </c>
      <c r="D2723" s="43" t="s">
        <v>1009</v>
      </c>
      <c r="E2723" s="43" t="s">
        <v>270</v>
      </c>
      <c r="F2723" s="43" t="s">
        <v>956</v>
      </c>
      <c r="G2723" s="43">
        <v>1077777</v>
      </c>
      <c r="H2723" s="43">
        <v>501100</v>
      </c>
      <c r="I2723" s="43" t="s">
        <v>949</v>
      </c>
      <c r="J2723" s="44" t="s">
        <v>1000</v>
      </c>
    </row>
    <row r="2724" ht="22" customHeight="1" spans="1:10" x14ac:dyDescent="0.25">
      <c r="A2724" s="43">
        <v>3130</v>
      </c>
      <c r="B2724" s="43">
        <v>10</v>
      </c>
      <c r="C2724" s="43" t="s">
        <v>963</v>
      </c>
      <c r="D2724" s="43" t="s">
        <v>1009</v>
      </c>
      <c r="E2724" s="43" t="s">
        <v>270</v>
      </c>
      <c r="F2724" s="43" t="s">
        <v>957</v>
      </c>
      <c r="G2724" s="43">
        <v>1077777</v>
      </c>
      <c r="H2724" s="43">
        <v>501100</v>
      </c>
      <c r="I2724" s="43" t="s">
        <v>949</v>
      </c>
      <c r="J2724" s="44" t="s">
        <v>1000</v>
      </c>
    </row>
    <row r="2725" ht="22" customHeight="1" spans="1:10" x14ac:dyDescent="0.25">
      <c r="A2725" s="43">
        <v>3130</v>
      </c>
      <c r="B2725" s="43">
        <v>10</v>
      </c>
      <c r="C2725" s="43" t="s">
        <v>963</v>
      </c>
      <c r="D2725" s="43" t="s">
        <v>1009</v>
      </c>
      <c r="E2725" s="43" t="s">
        <v>270</v>
      </c>
      <c r="F2725" s="43" t="s">
        <v>958</v>
      </c>
      <c r="G2725" s="43">
        <v>1077777</v>
      </c>
      <c r="H2725" s="43">
        <v>501100</v>
      </c>
      <c r="I2725" s="43" t="s">
        <v>949</v>
      </c>
      <c r="J2725" s="44" t="s">
        <v>1000</v>
      </c>
    </row>
    <row r="2726" ht="22" customHeight="1" spans="1:10" x14ac:dyDescent="0.25">
      <c r="A2726" s="43">
        <v>3130</v>
      </c>
      <c r="B2726" s="43">
        <v>10</v>
      </c>
      <c r="C2726" s="43" t="s">
        <v>963</v>
      </c>
      <c r="D2726" s="43" t="s">
        <v>1009</v>
      </c>
      <c r="E2726" s="43" t="s">
        <v>270</v>
      </c>
      <c r="F2726" s="43" t="s">
        <v>959</v>
      </c>
      <c r="G2726" s="43">
        <v>1077777</v>
      </c>
      <c r="H2726" s="43">
        <v>501100</v>
      </c>
      <c r="I2726" s="43" t="s">
        <v>949</v>
      </c>
      <c r="J2726" s="44" t="s">
        <v>1000</v>
      </c>
    </row>
    <row r="2727" ht="22" customHeight="1" spans="1:10" x14ac:dyDescent="0.25">
      <c r="A2727" s="43">
        <v>3130</v>
      </c>
      <c r="B2727" s="43">
        <v>10</v>
      </c>
      <c r="C2727" s="43" t="s">
        <v>963</v>
      </c>
      <c r="D2727" s="43" t="s">
        <v>1009</v>
      </c>
      <c r="E2727" s="43" t="s">
        <v>270</v>
      </c>
      <c r="F2727" s="43" t="s">
        <v>960</v>
      </c>
      <c r="G2727" s="43">
        <v>1077777</v>
      </c>
      <c r="H2727" s="43">
        <v>501100</v>
      </c>
      <c r="I2727" s="43" t="s">
        <v>949</v>
      </c>
      <c r="J2727" s="44" t="s">
        <v>1000</v>
      </c>
    </row>
    <row r="2728" ht="22" customHeight="1" spans="1:10" x14ac:dyDescent="0.25">
      <c r="A2728" s="43">
        <v>3130</v>
      </c>
      <c r="B2728" s="43">
        <v>10</v>
      </c>
      <c r="C2728" s="43" t="s">
        <v>963</v>
      </c>
      <c r="D2728" s="43" t="s">
        <v>1009</v>
      </c>
      <c r="E2728" s="43" t="s">
        <v>270</v>
      </c>
      <c r="F2728" s="43" t="s">
        <v>961</v>
      </c>
      <c r="G2728" s="43">
        <v>1077777</v>
      </c>
      <c r="H2728" s="43">
        <v>501100</v>
      </c>
      <c r="I2728" s="43" t="s">
        <v>949</v>
      </c>
      <c r="J2728" s="44" t="s">
        <v>1000</v>
      </c>
    </row>
    <row r="2729" spans="1:9" x14ac:dyDescent="0.25">
      <c r="A2729">
        <v>4122</v>
      </c>
      <c r="B2729">
        <v>10</v>
      </c>
      <c r="C2729" t="s">
        <v>946</v>
      </c>
      <c r="D2729" t="s">
        <v>1009</v>
      </c>
      <c r="E2729" t="s">
        <v>270</v>
      </c>
      <c r="F2729" t="s">
        <v>948</v>
      </c>
      <c r="G2729">
        <v>1000000</v>
      </c>
      <c r="H2729">
        <v>145000</v>
      </c>
      <c r="I2729" t="s">
        <v>949</v>
      </c>
    </row>
    <row r="2730" spans="1:9" x14ac:dyDescent="0.25">
      <c r="A2730">
        <v>4124</v>
      </c>
      <c r="B2730">
        <v>10</v>
      </c>
      <c r="C2730" t="s">
        <v>946</v>
      </c>
      <c r="D2730" t="s">
        <v>1009</v>
      </c>
      <c r="E2730" t="s">
        <v>270</v>
      </c>
      <c r="F2730" t="s">
        <v>948</v>
      </c>
      <c r="G2730">
        <v>1077777</v>
      </c>
      <c r="H2730">
        <v>501100</v>
      </c>
      <c r="I2730" t="s">
        <v>949</v>
      </c>
    </row>
    <row r="2731" ht="22" customHeight="1" spans="1:10" x14ac:dyDescent="0.25">
      <c r="A2731" s="43">
        <v>3130</v>
      </c>
      <c r="B2731" s="43">
        <v>10</v>
      </c>
      <c r="C2731" s="43" t="s">
        <v>950</v>
      </c>
      <c r="D2731" s="43" t="s">
        <v>1009</v>
      </c>
      <c r="E2731" s="43" t="s">
        <v>274</v>
      </c>
      <c r="F2731" s="43" t="s">
        <v>951</v>
      </c>
      <c r="G2731" s="43">
        <v>1077777</v>
      </c>
      <c r="H2731" s="43">
        <v>501100</v>
      </c>
      <c r="I2731" s="43" t="s">
        <v>949</v>
      </c>
      <c r="J2731" s="44" t="s">
        <v>1000</v>
      </c>
    </row>
    <row r="2732" ht="22" customHeight="1" spans="1:10" x14ac:dyDescent="0.25">
      <c r="A2732" s="43">
        <v>3130</v>
      </c>
      <c r="B2732" s="43">
        <v>10</v>
      </c>
      <c r="C2732" s="43" t="s">
        <v>950</v>
      </c>
      <c r="D2732" s="43" t="s">
        <v>1009</v>
      </c>
      <c r="E2732" s="43" t="s">
        <v>274</v>
      </c>
      <c r="F2732" s="43" t="s">
        <v>952</v>
      </c>
      <c r="G2732" s="43">
        <v>1077777</v>
      </c>
      <c r="H2732" s="43">
        <v>501100</v>
      </c>
      <c r="I2732" s="43" t="s">
        <v>949</v>
      </c>
      <c r="J2732" s="44" t="s">
        <v>1000</v>
      </c>
    </row>
    <row r="2733" ht="22" customHeight="1" spans="1:10" x14ac:dyDescent="0.25">
      <c r="A2733" s="43">
        <v>3130</v>
      </c>
      <c r="B2733" s="43">
        <v>10</v>
      </c>
      <c r="C2733" s="43" t="s">
        <v>950</v>
      </c>
      <c r="D2733" s="43" t="s">
        <v>1009</v>
      </c>
      <c r="E2733" s="43" t="s">
        <v>274</v>
      </c>
      <c r="F2733" s="43" t="s">
        <v>953</v>
      </c>
      <c r="G2733" s="43">
        <v>1077777</v>
      </c>
      <c r="H2733" s="43">
        <v>501100</v>
      </c>
      <c r="I2733" s="43" t="s">
        <v>949</v>
      </c>
      <c r="J2733" s="44" t="s">
        <v>1000</v>
      </c>
    </row>
    <row r="2734" ht="22" customHeight="1" spans="1:10" x14ac:dyDescent="0.25">
      <c r="A2734" s="43">
        <v>3130</v>
      </c>
      <c r="B2734" s="43">
        <v>10</v>
      </c>
      <c r="C2734" s="43" t="s">
        <v>950</v>
      </c>
      <c r="D2734" s="43" t="s">
        <v>1009</v>
      </c>
      <c r="E2734" s="43" t="s">
        <v>274</v>
      </c>
      <c r="F2734" s="43" t="s">
        <v>954</v>
      </c>
      <c r="G2734" s="43">
        <v>1077777</v>
      </c>
      <c r="H2734" s="43">
        <v>501100</v>
      </c>
      <c r="I2734" s="43" t="s">
        <v>949</v>
      </c>
      <c r="J2734" s="44" t="s">
        <v>1000</v>
      </c>
    </row>
    <row r="2735" ht="22" customHeight="1" spans="1:10" x14ac:dyDescent="0.25">
      <c r="A2735" s="43">
        <v>3130</v>
      </c>
      <c r="B2735" s="43">
        <v>10</v>
      </c>
      <c r="C2735" s="43" t="s">
        <v>950</v>
      </c>
      <c r="D2735" s="43" t="s">
        <v>1009</v>
      </c>
      <c r="E2735" s="43" t="s">
        <v>274</v>
      </c>
      <c r="F2735" s="43" t="s">
        <v>955</v>
      </c>
      <c r="G2735" s="43">
        <v>1077777</v>
      </c>
      <c r="H2735" s="43">
        <v>501100</v>
      </c>
      <c r="I2735" s="43" t="s">
        <v>949</v>
      </c>
      <c r="J2735" s="44" t="s">
        <v>1000</v>
      </c>
    </row>
    <row r="2736" ht="22" customHeight="1" spans="1:10" x14ac:dyDescent="0.25">
      <c r="A2736" s="43">
        <v>3130</v>
      </c>
      <c r="B2736" s="43">
        <v>10</v>
      </c>
      <c r="C2736" s="43" t="s">
        <v>950</v>
      </c>
      <c r="D2736" s="43" t="s">
        <v>1009</v>
      </c>
      <c r="E2736" s="43" t="s">
        <v>274</v>
      </c>
      <c r="F2736" s="43" t="s">
        <v>956</v>
      </c>
      <c r="G2736" s="43">
        <v>1077777</v>
      </c>
      <c r="H2736" s="43">
        <v>501100</v>
      </c>
      <c r="I2736" s="43" t="s">
        <v>949</v>
      </c>
      <c r="J2736" s="44" t="s">
        <v>1000</v>
      </c>
    </row>
    <row r="2737" ht="22" customHeight="1" spans="1:10" x14ac:dyDescent="0.25">
      <c r="A2737" s="43">
        <v>3130</v>
      </c>
      <c r="B2737" s="43">
        <v>10</v>
      </c>
      <c r="C2737" s="43" t="s">
        <v>950</v>
      </c>
      <c r="D2737" s="43" t="s">
        <v>1009</v>
      </c>
      <c r="E2737" s="43" t="s">
        <v>274</v>
      </c>
      <c r="F2737" s="43" t="s">
        <v>957</v>
      </c>
      <c r="G2737" s="43">
        <v>1077777</v>
      </c>
      <c r="H2737" s="43">
        <v>501100</v>
      </c>
      <c r="I2737" s="43" t="s">
        <v>949</v>
      </c>
      <c r="J2737" s="44" t="s">
        <v>1000</v>
      </c>
    </row>
    <row r="2738" ht="22" customHeight="1" spans="1:10" x14ac:dyDescent="0.25">
      <c r="A2738" s="43">
        <v>3130</v>
      </c>
      <c r="B2738" s="43">
        <v>10</v>
      </c>
      <c r="C2738" s="43" t="s">
        <v>950</v>
      </c>
      <c r="D2738" s="43" t="s">
        <v>1009</v>
      </c>
      <c r="E2738" s="43" t="s">
        <v>274</v>
      </c>
      <c r="F2738" s="43" t="s">
        <v>958</v>
      </c>
      <c r="G2738" s="43">
        <v>1077777</v>
      </c>
      <c r="H2738" s="43">
        <v>501100</v>
      </c>
      <c r="I2738" s="43" t="s">
        <v>949</v>
      </c>
      <c r="J2738" s="44" t="s">
        <v>1000</v>
      </c>
    </row>
    <row r="2739" ht="22" customHeight="1" spans="1:10" x14ac:dyDescent="0.25">
      <c r="A2739" s="43">
        <v>3130</v>
      </c>
      <c r="B2739" s="43">
        <v>10</v>
      </c>
      <c r="C2739" s="43" t="s">
        <v>950</v>
      </c>
      <c r="D2739" s="43" t="s">
        <v>1009</v>
      </c>
      <c r="E2739" s="43" t="s">
        <v>274</v>
      </c>
      <c r="F2739" s="43" t="s">
        <v>959</v>
      </c>
      <c r="G2739" s="43">
        <v>1077777</v>
      </c>
      <c r="H2739" s="43">
        <v>501100</v>
      </c>
      <c r="I2739" s="43" t="s">
        <v>949</v>
      </c>
      <c r="J2739" s="44" t="s">
        <v>1000</v>
      </c>
    </row>
    <row r="2740" ht="22" customHeight="1" spans="1:10" x14ac:dyDescent="0.25">
      <c r="A2740" s="43">
        <v>3130</v>
      </c>
      <c r="B2740" s="43">
        <v>10</v>
      </c>
      <c r="C2740" s="43" t="s">
        <v>950</v>
      </c>
      <c r="D2740" s="43" t="s">
        <v>1009</v>
      </c>
      <c r="E2740" s="43" t="s">
        <v>274</v>
      </c>
      <c r="F2740" s="43" t="s">
        <v>960</v>
      </c>
      <c r="G2740" s="43">
        <v>1077777</v>
      </c>
      <c r="H2740" s="43">
        <v>501100</v>
      </c>
      <c r="I2740" s="43" t="s">
        <v>949</v>
      </c>
      <c r="J2740" s="44" t="s">
        <v>1000</v>
      </c>
    </row>
    <row r="2741" ht="22" customHeight="1" spans="1:10" x14ac:dyDescent="0.25">
      <c r="A2741" s="43">
        <v>3130</v>
      </c>
      <c r="B2741" s="43">
        <v>10</v>
      </c>
      <c r="C2741" s="43" t="s">
        <v>950</v>
      </c>
      <c r="D2741" s="43" t="s">
        <v>1009</v>
      </c>
      <c r="E2741" s="43" t="s">
        <v>274</v>
      </c>
      <c r="F2741" s="43" t="s">
        <v>961</v>
      </c>
      <c r="G2741" s="43">
        <v>1077777</v>
      </c>
      <c r="H2741" s="43">
        <v>501100</v>
      </c>
      <c r="I2741" s="43" t="s">
        <v>949</v>
      </c>
      <c r="J2741" s="44" t="s">
        <v>1000</v>
      </c>
    </row>
    <row r="2742" ht="22" customHeight="1" spans="1:10" x14ac:dyDescent="0.25">
      <c r="A2742" s="43">
        <v>3130</v>
      </c>
      <c r="B2742" s="43">
        <v>10</v>
      </c>
      <c r="C2742" s="43" t="s">
        <v>962</v>
      </c>
      <c r="D2742" s="43" t="s">
        <v>1009</v>
      </c>
      <c r="E2742" s="43" t="s">
        <v>274</v>
      </c>
      <c r="F2742" s="43" t="s">
        <v>951</v>
      </c>
      <c r="G2742" s="43">
        <v>1077777</v>
      </c>
      <c r="H2742" s="43">
        <v>501100</v>
      </c>
      <c r="I2742" s="43" t="s">
        <v>949</v>
      </c>
      <c r="J2742" s="44" t="s">
        <v>1000</v>
      </c>
    </row>
    <row r="2743" ht="22" customHeight="1" spans="1:10" x14ac:dyDescent="0.25">
      <c r="A2743" s="43">
        <v>3130</v>
      </c>
      <c r="B2743" s="43">
        <v>10</v>
      </c>
      <c r="C2743" s="43" t="s">
        <v>962</v>
      </c>
      <c r="D2743" s="43" t="s">
        <v>1009</v>
      </c>
      <c r="E2743" s="43" t="s">
        <v>274</v>
      </c>
      <c r="F2743" s="43" t="s">
        <v>952</v>
      </c>
      <c r="G2743" s="43">
        <v>1077777</v>
      </c>
      <c r="H2743" s="43">
        <v>501100</v>
      </c>
      <c r="I2743" s="43" t="s">
        <v>949</v>
      </c>
      <c r="J2743" s="44" t="s">
        <v>1000</v>
      </c>
    </row>
    <row r="2744" ht="22" customHeight="1" spans="1:10" x14ac:dyDescent="0.25">
      <c r="A2744" s="43">
        <v>3130</v>
      </c>
      <c r="B2744" s="43">
        <v>10</v>
      </c>
      <c r="C2744" s="43" t="s">
        <v>962</v>
      </c>
      <c r="D2744" s="43" t="s">
        <v>1009</v>
      </c>
      <c r="E2744" s="43" t="s">
        <v>274</v>
      </c>
      <c r="F2744" s="43" t="s">
        <v>953</v>
      </c>
      <c r="G2744" s="43">
        <v>1077777</v>
      </c>
      <c r="H2744" s="43">
        <v>501100</v>
      </c>
      <c r="I2744" s="43" t="s">
        <v>949</v>
      </c>
      <c r="J2744" s="44" t="s">
        <v>1000</v>
      </c>
    </row>
    <row r="2745" ht="22" customHeight="1" spans="1:10" x14ac:dyDescent="0.25">
      <c r="A2745" s="43">
        <v>3130</v>
      </c>
      <c r="B2745" s="43">
        <v>10</v>
      </c>
      <c r="C2745" s="43" t="s">
        <v>962</v>
      </c>
      <c r="D2745" s="43" t="s">
        <v>1009</v>
      </c>
      <c r="E2745" s="43" t="s">
        <v>274</v>
      </c>
      <c r="F2745" s="43" t="s">
        <v>954</v>
      </c>
      <c r="G2745" s="43">
        <v>1077777</v>
      </c>
      <c r="H2745" s="43">
        <v>501100</v>
      </c>
      <c r="I2745" s="43" t="s">
        <v>949</v>
      </c>
      <c r="J2745" s="44" t="s">
        <v>1000</v>
      </c>
    </row>
    <row r="2746" ht="22" customHeight="1" spans="1:10" x14ac:dyDescent="0.25">
      <c r="A2746" s="43">
        <v>3130</v>
      </c>
      <c r="B2746" s="43">
        <v>10</v>
      </c>
      <c r="C2746" s="43" t="s">
        <v>962</v>
      </c>
      <c r="D2746" s="43" t="s">
        <v>1009</v>
      </c>
      <c r="E2746" s="43" t="s">
        <v>274</v>
      </c>
      <c r="F2746" s="43" t="s">
        <v>955</v>
      </c>
      <c r="G2746" s="43">
        <v>1077777</v>
      </c>
      <c r="H2746" s="43">
        <v>501100</v>
      </c>
      <c r="I2746" s="43" t="s">
        <v>949</v>
      </c>
      <c r="J2746" s="44" t="s">
        <v>1000</v>
      </c>
    </row>
    <row r="2747" ht="22" customHeight="1" spans="1:10" x14ac:dyDescent="0.25">
      <c r="A2747" s="43">
        <v>3130</v>
      </c>
      <c r="B2747" s="43">
        <v>10</v>
      </c>
      <c r="C2747" s="43" t="s">
        <v>962</v>
      </c>
      <c r="D2747" s="43" t="s">
        <v>1009</v>
      </c>
      <c r="E2747" s="43" t="s">
        <v>274</v>
      </c>
      <c r="F2747" s="43" t="s">
        <v>956</v>
      </c>
      <c r="G2747" s="43">
        <v>1077777</v>
      </c>
      <c r="H2747" s="43">
        <v>501100</v>
      </c>
      <c r="I2747" s="43" t="s">
        <v>949</v>
      </c>
      <c r="J2747" s="44" t="s">
        <v>1000</v>
      </c>
    </row>
    <row r="2748" ht="22" customHeight="1" spans="1:10" x14ac:dyDescent="0.25">
      <c r="A2748" s="43">
        <v>3130</v>
      </c>
      <c r="B2748" s="43">
        <v>10</v>
      </c>
      <c r="C2748" s="43" t="s">
        <v>962</v>
      </c>
      <c r="D2748" s="43" t="s">
        <v>1009</v>
      </c>
      <c r="E2748" s="43" t="s">
        <v>274</v>
      </c>
      <c r="F2748" s="43" t="s">
        <v>957</v>
      </c>
      <c r="G2748" s="43">
        <v>1077777</v>
      </c>
      <c r="H2748" s="43">
        <v>501100</v>
      </c>
      <c r="I2748" s="43" t="s">
        <v>949</v>
      </c>
      <c r="J2748" s="44" t="s">
        <v>1000</v>
      </c>
    </row>
    <row r="2749" ht="22" customHeight="1" spans="1:10" x14ac:dyDescent="0.25">
      <c r="A2749" s="43">
        <v>3130</v>
      </c>
      <c r="B2749" s="43">
        <v>10</v>
      </c>
      <c r="C2749" s="43" t="s">
        <v>962</v>
      </c>
      <c r="D2749" s="43" t="s">
        <v>1009</v>
      </c>
      <c r="E2749" s="43" t="s">
        <v>274</v>
      </c>
      <c r="F2749" s="43" t="s">
        <v>958</v>
      </c>
      <c r="G2749" s="43">
        <v>1077777</v>
      </c>
      <c r="H2749" s="43">
        <v>501100</v>
      </c>
      <c r="I2749" s="43" t="s">
        <v>949</v>
      </c>
      <c r="J2749" s="44" t="s">
        <v>1000</v>
      </c>
    </row>
    <row r="2750" ht="22" customHeight="1" spans="1:10" x14ac:dyDescent="0.25">
      <c r="A2750" s="43">
        <v>3130</v>
      </c>
      <c r="B2750" s="43">
        <v>10</v>
      </c>
      <c r="C2750" s="43" t="s">
        <v>962</v>
      </c>
      <c r="D2750" s="43" t="s">
        <v>1009</v>
      </c>
      <c r="E2750" s="43" t="s">
        <v>274</v>
      </c>
      <c r="F2750" s="43" t="s">
        <v>959</v>
      </c>
      <c r="G2750" s="43">
        <v>1077777</v>
      </c>
      <c r="H2750" s="43">
        <v>501100</v>
      </c>
      <c r="I2750" s="43" t="s">
        <v>949</v>
      </c>
      <c r="J2750" s="44" t="s">
        <v>1000</v>
      </c>
    </row>
    <row r="2751" ht="22" customHeight="1" spans="1:10" x14ac:dyDescent="0.25">
      <c r="A2751" s="43">
        <v>3130</v>
      </c>
      <c r="B2751" s="43">
        <v>10</v>
      </c>
      <c r="C2751" s="43" t="s">
        <v>962</v>
      </c>
      <c r="D2751" s="43" t="s">
        <v>1009</v>
      </c>
      <c r="E2751" s="43" t="s">
        <v>274</v>
      </c>
      <c r="F2751" s="43" t="s">
        <v>960</v>
      </c>
      <c r="G2751" s="43">
        <v>1077777</v>
      </c>
      <c r="H2751" s="43">
        <v>501100</v>
      </c>
      <c r="I2751" s="43" t="s">
        <v>949</v>
      </c>
      <c r="J2751" s="44" t="s">
        <v>1000</v>
      </c>
    </row>
    <row r="2752" ht="22" customHeight="1" spans="1:10" x14ac:dyDescent="0.25">
      <c r="A2752" s="43">
        <v>3130</v>
      </c>
      <c r="B2752" s="43">
        <v>10</v>
      </c>
      <c r="C2752" s="43" t="s">
        <v>962</v>
      </c>
      <c r="D2752" s="43" t="s">
        <v>1009</v>
      </c>
      <c r="E2752" s="43" t="s">
        <v>274</v>
      </c>
      <c r="F2752" s="43" t="s">
        <v>961</v>
      </c>
      <c r="G2752" s="43">
        <v>1077777</v>
      </c>
      <c r="H2752" s="43">
        <v>501100</v>
      </c>
      <c r="I2752" s="43" t="s">
        <v>949</v>
      </c>
      <c r="J2752" s="44" t="s">
        <v>1000</v>
      </c>
    </row>
    <row r="2753" ht="22" customHeight="1" spans="1:10" x14ac:dyDescent="0.25">
      <c r="A2753" s="43">
        <v>3130</v>
      </c>
      <c r="B2753" s="43">
        <v>10</v>
      </c>
      <c r="C2753" s="43" t="s">
        <v>963</v>
      </c>
      <c r="D2753" s="43" t="s">
        <v>1009</v>
      </c>
      <c r="E2753" s="43" t="s">
        <v>274</v>
      </c>
      <c r="F2753" s="43" t="s">
        <v>951</v>
      </c>
      <c r="G2753" s="43">
        <v>1077777</v>
      </c>
      <c r="H2753" s="43">
        <v>501100</v>
      </c>
      <c r="I2753" s="43" t="s">
        <v>949</v>
      </c>
      <c r="J2753" s="44" t="s">
        <v>1000</v>
      </c>
    </row>
    <row r="2754" ht="22" customHeight="1" spans="1:10" x14ac:dyDescent="0.25">
      <c r="A2754" s="43">
        <v>3130</v>
      </c>
      <c r="B2754" s="43">
        <v>10</v>
      </c>
      <c r="C2754" s="43" t="s">
        <v>963</v>
      </c>
      <c r="D2754" s="43" t="s">
        <v>1009</v>
      </c>
      <c r="E2754" s="43" t="s">
        <v>274</v>
      </c>
      <c r="F2754" s="43" t="s">
        <v>952</v>
      </c>
      <c r="G2754" s="43">
        <v>1077777</v>
      </c>
      <c r="H2754" s="43">
        <v>501100</v>
      </c>
      <c r="I2754" s="43" t="s">
        <v>949</v>
      </c>
      <c r="J2754" s="44" t="s">
        <v>1000</v>
      </c>
    </row>
    <row r="2755" ht="22" customHeight="1" spans="1:10" x14ac:dyDescent="0.25">
      <c r="A2755" s="43">
        <v>3130</v>
      </c>
      <c r="B2755" s="43">
        <v>10</v>
      </c>
      <c r="C2755" s="43" t="s">
        <v>963</v>
      </c>
      <c r="D2755" s="43" t="s">
        <v>1009</v>
      </c>
      <c r="E2755" s="43" t="s">
        <v>274</v>
      </c>
      <c r="F2755" s="43" t="s">
        <v>953</v>
      </c>
      <c r="G2755" s="43">
        <v>1077777</v>
      </c>
      <c r="H2755" s="43">
        <v>501100</v>
      </c>
      <c r="I2755" s="43" t="s">
        <v>949</v>
      </c>
      <c r="J2755" s="44" t="s">
        <v>1000</v>
      </c>
    </row>
    <row r="2756" ht="22" customHeight="1" spans="1:10" x14ac:dyDescent="0.25">
      <c r="A2756" s="43">
        <v>3130</v>
      </c>
      <c r="B2756" s="43">
        <v>10</v>
      </c>
      <c r="C2756" s="43" t="s">
        <v>963</v>
      </c>
      <c r="D2756" s="43" t="s">
        <v>1009</v>
      </c>
      <c r="E2756" s="43" t="s">
        <v>274</v>
      </c>
      <c r="F2756" s="43" t="s">
        <v>954</v>
      </c>
      <c r="G2756" s="43">
        <v>1077777</v>
      </c>
      <c r="H2756" s="43">
        <v>501100</v>
      </c>
      <c r="I2756" s="43" t="s">
        <v>949</v>
      </c>
      <c r="J2756" s="44" t="s">
        <v>1000</v>
      </c>
    </row>
    <row r="2757" ht="22" customHeight="1" spans="1:10" x14ac:dyDescent="0.25">
      <c r="A2757" s="43">
        <v>3130</v>
      </c>
      <c r="B2757" s="43">
        <v>10</v>
      </c>
      <c r="C2757" s="43" t="s">
        <v>963</v>
      </c>
      <c r="D2757" s="43" t="s">
        <v>1009</v>
      </c>
      <c r="E2757" s="43" t="s">
        <v>274</v>
      </c>
      <c r="F2757" s="43" t="s">
        <v>955</v>
      </c>
      <c r="G2757" s="43">
        <v>1077777</v>
      </c>
      <c r="H2757" s="43">
        <v>501100</v>
      </c>
      <c r="I2757" s="43" t="s">
        <v>949</v>
      </c>
      <c r="J2757" s="44" t="s">
        <v>1000</v>
      </c>
    </row>
    <row r="2758" ht="22" customHeight="1" spans="1:10" x14ac:dyDescent="0.25">
      <c r="A2758" s="43">
        <v>3130</v>
      </c>
      <c r="B2758" s="43">
        <v>10</v>
      </c>
      <c r="C2758" s="43" t="s">
        <v>963</v>
      </c>
      <c r="D2758" s="43" t="s">
        <v>1009</v>
      </c>
      <c r="E2758" s="43" t="s">
        <v>274</v>
      </c>
      <c r="F2758" s="43" t="s">
        <v>956</v>
      </c>
      <c r="G2758" s="43">
        <v>1077777</v>
      </c>
      <c r="H2758" s="43">
        <v>501100</v>
      </c>
      <c r="I2758" s="43" t="s">
        <v>949</v>
      </c>
      <c r="J2758" s="44" t="s">
        <v>1000</v>
      </c>
    </row>
    <row r="2759" ht="22" customHeight="1" spans="1:10" x14ac:dyDescent="0.25">
      <c r="A2759" s="43">
        <v>3130</v>
      </c>
      <c r="B2759" s="43">
        <v>10</v>
      </c>
      <c r="C2759" s="43" t="s">
        <v>963</v>
      </c>
      <c r="D2759" s="43" t="s">
        <v>1009</v>
      </c>
      <c r="E2759" s="43" t="s">
        <v>274</v>
      </c>
      <c r="F2759" s="43" t="s">
        <v>957</v>
      </c>
      <c r="G2759" s="43">
        <v>1077777</v>
      </c>
      <c r="H2759" s="43">
        <v>501100</v>
      </c>
      <c r="I2759" s="43" t="s">
        <v>949</v>
      </c>
      <c r="J2759" s="44" t="s">
        <v>1000</v>
      </c>
    </row>
    <row r="2760" ht="22" customHeight="1" spans="1:10" x14ac:dyDescent="0.25">
      <c r="A2760" s="43">
        <v>3130</v>
      </c>
      <c r="B2760" s="43">
        <v>10</v>
      </c>
      <c r="C2760" s="43" t="s">
        <v>963</v>
      </c>
      <c r="D2760" s="43" t="s">
        <v>1009</v>
      </c>
      <c r="E2760" s="43" t="s">
        <v>274</v>
      </c>
      <c r="F2760" s="43" t="s">
        <v>958</v>
      </c>
      <c r="G2760" s="43">
        <v>1077777</v>
      </c>
      <c r="H2760" s="43">
        <v>501100</v>
      </c>
      <c r="I2760" s="43" t="s">
        <v>949</v>
      </c>
      <c r="J2760" s="44" t="s">
        <v>1000</v>
      </c>
    </row>
    <row r="2761" ht="22" customHeight="1" spans="1:10" x14ac:dyDescent="0.25">
      <c r="A2761" s="43">
        <v>3130</v>
      </c>
      <c r="B2761" s="43">
        <v>10</v>
      </c>
      <c r="C2761" s="43" t="s">
        <v>963</v>
      </c>
      <c r="D2761" s="43" t="s">
        <v>1009</v>
      </c>
      <c r="E2761" s="43" t="s">
        <v>274</v>
      </c>
      <c r="F2761" s="43" t="s">
        <v>959</v>
      </c>
      <c r="G2761" s="43">
        <v>1077777</v>
      </c>
      <c r="H2761" s="43">
        <v>501100</v>
      </c>
      <c r="I2761" s="43" t="s">
        <v>949</v>
      </c>
      <c r="J2761" s="44" t="s">
        <v>1000</v>
      </c>
    </row>
    <row r="2762" ht="22" customHeight="1" spans="1:10" x14ac:dyDescent="0.25">
      <c r="A2762" s="43">
        <v>3130</v>
      </c>
      <c r="B2762" s="43">
        <v>10</v>
      </c>
      <c r="C2762" s="43" t="s">
        <v>963</v>
      </c>
      <c r="D2762" s="43" t="s">
        <v>1009</v>
      </c>
      <c r="E2762" s="43" t="s">
        <v>274</v>
      </c>
      <c r="F2762" s="43" t="s">
        <v>960</v>
      </c>
      <c r="G2762" s="43">
        <v>1077777</v>
      </c>
      <c r="H2762" s="43">
        <v>501100</v>
      </c>
      <c r="I2762" s="43" t="s">
        <v>949</v>
      </c>
      <c r="J2762" s="44" t="s">
        <v>1000</v>
      </c>
    </row>
    <row r="2763" ht="22" customHeight="1" spans="1:10" x14ac:dyDescent="0.25">
      <c r="A2763" s="43">
        <v>3130</v>
      </c>
      <c r="B2763" s="43">
        <v>10</v>
      </c>
      <c r="C2763" s="43" t="s">
        <v>963</v>
      </c>
      <c r="D2763" s="43" t="s">
        <v>1009</v>
      </c>
      <c r="E2763" s="43" t="s">
        <v>274</v>
      </c>
      <c r="F2763" s="43" t="s">
        <v>961</v>
      </c>
      <c r="G2763" s="43">
        <v>1077777</v>
      </c>
      <c r="H2763" s="43">
        <v>501100</v>
      </c>
      <c r="I2763" s="43" t="s">
        <v>949</v>
      </c>
      <c r="J2763" s="44" t="s">
        <v>1000</v>
      </c>
    </row>
    <row r="2764" spans="1:9" x14ac:dyDescent="0.25">
      <c r="A2764">
        <v>4122</v>
      </c>
      <c r="B2764">
        <v>10</v>
      </c>
      <c r="C2764" t="s">
        <v>946</v>
      </c>
      <c r="D2764" t="s">
        <v>1009</v>
      </c>
      <c r="E2764" t="s">
        <v>274</v>
      </c>
      <c r="F2764" t="s">
        <v>948</v>
      </c>
      <c r="G2764">
        <v>1000000</v>
      </c>
      <c r="H2764">
        <v>143000</v>
      </c>
      <c r="I2764" t="s">
        <v>973</v>
      </c>
    </row>
    <row r="2765" spans="1:9" x14ac:dyDescent="0.25">
      <c r="A2765">
        <v>4124</v>
      </c>
      <c r="B2765">
        <v>10</v>
      </c>
      <c r="C2765" t="s">
        <v>946</v>
      </c>
      <c r="D2765" t="s">
        <v>1009</v>
      </c>
      <c r="E2765" t="s">
        <v>274</v>
      </c>
      <c r="F2765" t="s">
        <v>948</v>
      </c>
      <c r="G2765">
        <v>1077777</v>
      </c>
      <c r="H2765">
        <v>501100</v>
      </c>
      <c r="I2765" t="s">
        <v>949</v>
      </c>
    </row>
    <row r="2766" ht="22" customHeight="1" spans="1:10" x14ac:dyDescent="0.25">
      <c r="A2766" s="43">
        <v>3130</v>
      </c>
      <c r="B2766" s="43">
        <v>10</v>
      </c>
      <c r="C2766" s="43" t="s">
        <v>950</v>
      </c>
      <c r="D2766" s="43" t="s">
        <v>1009</v>
      </c>
      <c r="E2766" s="43" t="s">
        <v>974</v>
      </c>
      <c r="F2766" s="43" t="s">
        <v>951</v>
      </c>
      <c r="G2766" s="43">
        <v>1077777</v>
      </c>
      <c r="H2766" s="43">
        <v>501100</v>
      </c>
      <c r="I2766" s="43" t="s">
        <v>949</v>
      </c>
      <c r="J2766" s="44" t="s">
        <v>1000</v>
      </c>
    </row>
    <row r="2767" ht="22" customHeight="1" spans="1:10" x14ac:dyDescent="0.25">
      <c r="A2767" s="43">
        <v>3130</v>
      </c>
      <c r="B2767" s="43">
        <v>10</v>
      </c>
      <c r="C2767" s="43" t="s">
        <v>950</v>
      </c>
      <c r="D2767" s="43" t="s">
        <v>1009</v>
      </c>
      <c r="E2767" s="43" t="s">
        <v>974</v>
      </c>
      <c r="F2767" s="43" t="s">
        <v>952</v>
      </c>
      <c r="G2767" s="43">
        <v>1077777</v>
      </c>
      <c r="H2767" s="43">
        <v>501100</v>
      </c>
      <c r="I2767" s="43" t="s">
        <v>949</v>
      </c>
      <c r="J2767" s="44" t="s">
        <v>1000</v>
      </c>
    </row>
    <row r="2768" ht="22" customHeight="1" spans="1:10" x14ac:dyDescent="0.25">
      <c r="A2768" s="43">
        <v>3130</v>
      </c>
      <c r="B2768" s="43">
        <v>10</v>
      </c>
      <c r="C2768" s="43" t="s">
        <v>950</v>
      </c>
      <c r="D2768" s="43" t="s">
        <v>1009</v>
      </c>
      <c r="E2768" s="43" t="s">
        <v>974</v>
      </c>
      <c r="F2768" s="43" t="s">
        <v>953</v>
      </c>
      <c r="G2768" s="43">
        <v>1077777</v>
      </c>
      <c r="H2768" s="43">
        <v>501100</v>
      </c>
      <c r="I2768" s="43" t="s">
        <v>949</v>
      </c>
      <c r="J2768" s="44" t="s">
        <v>1000</v>
      </c>
    </row>
    <row r="2769" ht="22" customHeight="1" spans="1:10" x14ac:dyDescent="0.25">
      <c r="A2769" s="43">
        <v>3130</v>
      </c>
      <c r="B2769" s="43">
        <v>10</v>
      </c>
      <c r="C2769" s="43" t="s">
        <v>950</v>
      </c>
      <c r="D2769" s="43" t="s">
        <v>1009</v>
      </c>
      <c r="E2769" s="43" t="s">
        <v>974</v>
      </c>
      <c r="F2769" s="43" t="s">
        <v>954</v>
      </c>
      <c r="G2769" s="43">
        <v>1077777</v>
      </c>
      <c r="H2769" s="43">
        <v>501100</v>
      </c>
      <c r="I2769" s="43" t="s">
        <v>949</v>
      </c>
      <c r="J2769" s="44" t="s">
        <v>1000</v>
      </c>
    </row>
    <row r="2770" ht="22" customHeight="1" spans="1:10" x14ac:dyDescent="0.25">
      <c r="A2770" s="43">
        <v>3130</v>
      </c>
      <c r="B2770" s="43">
        <v>10</v>
      </c>
      <c r="C2770" s="43" t="s">
        <v>950</v>
      </c>
      <c r="D2770" s="43" t="s">
        <v>1009</v>
      </c>
      <c r="E2770" s="43" t="s">
        <v>974</v>
      </c>
      <c r="F2770" s="43" t="s">
        <v>955</v>
      </c>
      <c r="G2770" s="43">
        <v>1077777</v>
      </c>
      <c r="H2770" s="43">
        <v>501100</v>
      </c>
      <c r="I2770" s="43" t="s">
        <v>949</v>
      </c>
      <c r="J2770" s="44" t="s">
        <v>1000</v>
      </c>
    </row>
    <row r="2771" ht="22" customHeight="1" spans="1:10" x14ac:dyDescent="0.25">
      <c r="A2771" s="43">
        <v>3130</v>
      </c>
      <c r="B2771" s="43">
        <v>10</v>
      </c>
      <c r="C2771" s="43" t="s">
        <v>950</v>
      </c>
      <c r="D2771" s="43" t="s">
        <v>1009</v>
      </c>
      <c r="E2771" s="43" t="s">
        <v>974</v>
      </c>
      <c r="F2771" s="43" t="s">
        <v>956</v>
      </c>
      <c r="G2771" s="43">
        <v>1077777</v>
      </c>
      <c r="H2771" s="43">
        <v>501100</v>
      </c>
      <c r="I2771" s="43" t="s">
        <v>949</v>
      </c>
      <c r="J2771" s="44" t="s">
        <v>1000</v>
      </c>
    </row>
    <row r="2772" ht="22" customHeight="1" spans="1:10" x14ac:dyDescent="0.25">
      <c r="A2772" s="43">
        <v>3130</v>
      </c>
      <c r="B2772" s="43">
        <v>10</v>
      </c>
      <c r="C2772" s="43" t="s">
        <v>950</v>
      </c>
      <c r="D2772" s="43" t="s">
        <v>1009</v>
      </c>
      <c r="E2772" s="43" t="s">
        <v>974</v>
      </c>
      <c r="F2772" s="43" t="s">
        <v>957</v>
      </c>
      <c r="G2772" s="43">
        <v>1077777</v>
      </c>
      <c r="H2772" s="43">
        <v>501100</v>
      </c>
      <c r="I2772" s="43" t="s">
        <v>949</v>
      </c>
      <c r="J2772" s="44" t="s">
        <v>1000</v>
      </c>
    </row>
    <row r="2773" ht="22" customHeight="1" spans="1:10" x14ac:dyDescent="0.25">
      <c r="A2773" s="43">
        <v>3130</v>
      </c>
      <c r="B2773" s="43">
        <v>10</v>
      </c>
      <c r="C2773" s="43" t="s">
        <v>950</v>
      </c>
      <c r="D2773" s="43" t="s">
        <v>1009</v>
      </c>
      <c r="E2773" s="43" t="s">
        <v>974</v>
      </c>
      <c r="F2773" s="43" t="s">
        <v>958</v>
      </c>
      <c r="G2773" s="43">
        <v>1077777</v>
      </c>
      <c r="H2773" s="43">
        <v>501100</v>
      </c>
      <c r="I2773" s="43" t="s">
        <v>949</v>
      </c>
      <c r="J2773" s="44" t="s">
        <v>1000</v>
      </c>
    </row>
    <row r="2774" ht="22" customHeight="1" spans="1:10" x14ac:dyDescent="0.25">
      <c r="A2774" s="43">
        <v>3130</v>
      </c>
      <c r="B2774" s="43">
        <v>10</v>
      </c>
      <c r="C2774" s="43" t="s">
        <v>950</v>
      </c>
      <c r="D2774" s="43" t="s">
        <v>1009</v>
      </c>
      <c r="E2774" s="43" t="s">
        <v>974</v>
      </c>
      <c r="F2774" s="43" t="s">
        <v>959</v>
      </c>
      <c r="G2774" s="43">
        <v>1077777</v>
      </c>
      <c r="H2774" s="43">
        <v>501100</v>
      </c>
      <c r="I2774" s="43" t="s">
        <v>949</v>
      </c>
      <c r="J2774" s="44" t="s">
        <v>1000</v>
      </c>
    </row>
    <row r="2775" ht="22" customHeight="1" spans="1:10" x14ac:dyDescent="0.25">
      <c r="A2775" s="43">
        <v>3130</v>
      </c>
      <c r="B2775" s="43">
        <v>10</v>
      </c>
      <c r="C2775" s="43" t="s">
        <v>950</v>
      </c>
      <c r="D2775" s="43" t="s">
        <v>1009</v>
      </c>
      <c r="E2775" s="43" t="s">
        <v>974</v>
      </c>
      <c r="F2775" s="43" t="s">
        <v>960</v>
      </c>
      <c r="G2775" s="43">
        <v>1077777</v>
      </c>
      <c r="H2775" s="43">
        <v>501100</v>
      </c>
      <c r="I2775" s="43" t="s">
        <v>949</v>
      </c>
      <c r="J2775" s="44" t="s">
        <v>1000</v>
      </c>
    </row>
    <row r="2776" ht="22" customHeight="1" spans="1:10" x14ac:dyDescent="0.25">
      <c r="A2776" s="43">
        <v>3130</v>
      </c>
      <c r="B2776" s="43">
        <v>10</v>
      </c>
      <c r="C2776" s="43" t="s">
        <v>950</v>
      </c>
      <c r="D2776" s="43" t="s">
        <v>1009</v>
      </c>
      <c r="E2776" s="43" t="s">
        <v>974</v>
      </c>
      <c r="F2776" s="43" t="s">
        <v>961</v>
      </c>
      <c r="G2776" s="43">
        <v>1077777</v>
      </c>
      <c r="H2776" s="43">
        <v>501100</v>
      </c>
      <c r="I2776" s="43" t="s">
        <v>949</v>
      </c>
      <c r="J2776" s="44" t="s">
        <v>1000</v>
      </c>
    </row>
    <row r="2777" ht="22" customHeight="1" spans="1:10" x14ac:dyDescent="0.25">
      <c r="A2777" s="43">
        <v>3130</v>
      </c>
      <c r="B2777" s="43">
        <v>10</v>
      </c>
      <c r="C2777" s="43" t="s">
        <v>962</v>
      </c>
      <c r="D2777" s="43" t="s">
        <v>1009</v>
      </c>
      <c r="E2777" s="43" t="s">
        <v>974</v>
      </c>
      <c r="F2777" s="43" t="s">
        <v>951</v>
      </c>
      <c r="G2777" s="43">
        <v>1077777</v>
      </c>
      <c r="H2777" s="43">
        <v>501100</v>
      </c>
      <c r="I2777" s="43" t="s">
        <v>949</v>
      </c>
      <c r="J2777" s="44" t="s">
        <v>1000</v>
      </c>
    </row>
    <row r="2778" ht="22" customHeight="1" spans="1:10" x14ac:dyDescent="0.25">
      <c r="A2778" s="43">
        <v>3130</v>
      </c>
      <c r="B2778" s="43">
        <v>10</v>
      </c>
      <c r="C2778" s="43" t="s">
        <v>962</v>
      </c>
      <c r="D2778" s="43" t="s">
        <v>1009</v>
      </c>
      <c r="E2778" s="43" t="s">
        <v>974</v>
      </c>
      <c r="F2778" s="43" t="s">
        <v>952</v>
      </c>
      <c r="G2778" s="43">
        <v>1077777</v>
      </c>
      <c r="H2778" s="43">
        <v>501100</v>
      </c>
      <c r="I2778" s="43" t="s">
        <v>949</v>
      </c>
      <c r="J2778" s="44" t="s">
        <v>1000</v>
      </c>
    </row>
    <row r="2779" ht="22" customHeight="1" spans="1:10" x14ac:dyDescent="0.25">
      <c r="A2779" s="43">
        <v>3130</v>
      </c>
      <c r="B2779" s="43">
        <v>10</v>
      </c>
      <c r="C2779" s="43" t="s">
        <v>962</v>
      </c>
      <c r="D2779" s="43" t="s">
        <v>1009</v>
      </c>
      <c r="E2779" s="43" t="s">
        <v>974</v>
      </c>
      <c r="F2779" s="43" t="s">
        <v>953</v>
      </c>
      <c r="G2779" s="43">
        <v>1077777</v>
      </c>
      <c r="H2779" s="43">
        <v>501100</v>
      </c>
      <c r="I2779" s="43" t="s">
        <v>949</v>
      </c>
      <c r="J2779" s="44" t="s">
        <v>1000</v>
      </c>
    </row>
    <row r="2780" ht="22" customHeight="1" spans="1:10" x14ac:dyDescent="0.25">
      <c r="A2780" s="43">
        <v>3130</v>
      </c>
      <c r="B2780" s="43">
        <v>10</v>
      </c>
      <c r="C2780" s="43" t="s">
        <v>962</v>
      </c>
      <c r="D2780" s="43" t="s">
        <v>1009</v>
      </c>
      <c r="E2780" s="43" t="s">
        <v>974</v>
      </c>
      <c r="F2780" s="43" t="s">
        <v>954</v>
      </c>
      <c r="G2780" s="43">
        <v>1077777</v>
      </c>
      <c r="H2780" s="43">
        <v>501100</v>
      </c>
      <c r="I2780" s="43" t="s">
        <v>949</v>
      </c>
      <c r="J2780" s="44" t="s">
        <v>1000</v>
      </c>
    </row>
    <row r="2781" ht="22" customHeight="1" spans="1:10" x14ac:dyDescent="0.25">
      <c r="A2781" s="43">
        <v>3130</v>
      </c>
      <c r="B2781" s="43">
        <v>10</v>
      </c>
      <c r="C2781" s="43" t="s">
        <v>962</v>
      </c>
      <c r="D2781" s="43" t="s">
        <v>1009</v>
      </c>
      <c r="E2781" s="43" t="s">
        <v>974</v>
      </c>
      <c r="F2781" s="43" t="s">
        <v>955</v>
      </c>
      <c r="G2781" s="43">
        <v>1077777</v>
      </c>
      <c r="H2781" s="43">
        <v>501100</v>
      </c>
      <c r="I2781" s="43" t="s">
        <v>949</v>
      </c>
      <c r="J2781" s="44" t="s">
        <v>1000</v>
      </c>
    </row>
    <row r="2782" ht="22" customHeight="1" spans="1:10" x14ac:dyDescent="0.25">
      <c r="A2782" s="43">
        <v>3130</v>
      </c>
      <c r="B2782" s="43">
        <v>10</v>
      </c>
      <c r="C2782" s="43" t="s">
        <v>962</v>
      </c>
      <c r="D2782" s="43" t="s">
        <v>1009</v>
      </c>
      <c r="E2782" s="43" t="s">
        <v>974</v>
      </c>
      <c r="F2782" s="43" t="s">
        <v>956</v>
      </c>
      <c r="G2782" s="43">
        <v>1077777</v>
      </c>
      <c r="H2782" s="43">
        <v>501100</v>
      </c>
      <c r="I2782" s="43" t="s">
        <v>949</v>
      </c>
      <c r="J2782" s="44" t="s">
        <v>1000</v>
      </c>
    </row>
    <row r="2783" ht="22" customHeight="1" spans="1:10" x14ac:dyDescent="0.25">
      <c r="A2783" s="43">
        <v>3130</v>
      </c>
      <c r="B2783" s="43">
        <v>10</v>
      </c>
      <c r="C2783" s="43" t="s">
        <v>962</v>
      </c>
      <c r="D2783" s="43" t="s">
        <v>1009</v>
      </c>
      <c r="E2783" s="43" t="s">
        <v>974</v>
      </c>
      <c r="F2783" s="43" t="s">
        <v>957</v>
      </c>
      <c r="G2783" s="43">
        <v>1077777</v>
      </c>
      <c r="H2783" s="43">
        <v>501100</v>
      </c>
      <c r="I2783" s="43" t="s">
        <v>949</v>
      </c>
      <c r="J2783" s="44" t="s">
        <v>1000</v>
      </c>
    </row>
    <row r="2784" ht="22" customHeight="1" spans="1:10" x14ac:dyDescent="0.25">
      <c r="A2784" s="43">
        <v>3130</v>
      </c>
      <c r="B2784" s="43">
        <v>10</v>
      </c>
      <c r="C2784" s="43" t="s">
        <v>962</v>
      </c>
      <c r="D2784" s="43" t="s">
        <v>1009</v>
      </c>
      <c r="E2784" s="43" t="s">
        <v>974</v>
      </c>
      <c r="F2784" s="43" t="s">
        <v>958</v>
      </c>
      <c r="G2784" s="43">
        <v>1077777</v>
      </c>
      <c r="H2784" s="43">
        <v>501100</v>
      </c>
      <c r="I2784" s="43" t="s">
        <v>949</v>
      </c>
      <c r="J2784" s="44" t="s">
        <v>1000</v>
      </c>
    </row>
    <row r="2785" ht="22" customHeight="1" spans="1:10" x14ac:dyDescent="0.25">
      <c r="A2785" s="43">
        <v>3130</v>
      </c>
      <c r="B2785" s="43">
        <v>10</v>
      </c>
      <c r="C2785" s="43" t="s">
        <v>962</v>
      </c>
      <c r="D2785" s="43" t="s">
        <v>1009</v>
      </c>
      <c r="E2785" s="43" t="s">
        <v>974</v>
      </c>
      <c r="F2785" s="43" t="s">
        <v>959</v>
      </c>
      <c r="G2785" s="43">
        <v>1077777</v>
      </c>
      <c r="H2785" s="43">
        <v>501100</v>
      </c>
      <c r="I2785" s="43" t="s">
        <v>949</v>
      </c>
      <c r="J2785" s="44" t="s">
        <v>1000</v>
      </c>
    </row>
    <row r="2786" ht="22" customHeight="1" spans="1:10" x14ac:dyDescent="0.25">
      <c r="A2786" s="43">
        <v>3130</v>
      </c>
      <c r="B2786" s="43">
        <v>10</v>
      </c>
      <c r="C2786" s="43" t="s">
        <v>962</v>
      </c>
      <c r="D2786" s="43" t="s">
        <v>1009</v>
      </c>
      <c r="E2786" s="43" t="s">
        <v>974</v>
      </c>
      <c r="F2786" s="43" t="s">
        <v>960</v>
      </c>
      <c r="G2786" s="43">
        <v>1077777</v>
      </c>
      <c r="H2786" s="43">
        <v>501100</v>
      </c>
      <c r="I2786" s="43" t="s">
        <v>949</v>
      </c>
      <c r="J2786" s="44" t="s">
        <v>1000</v>
      </c>
    </row>
    <row r="2787" ht="22" customHeight="1" spans="1:10" x14ac:dyDescent="0.25">
      <c r="A2787" s="43">
        <v>3130</v>
      </c>
      <c r="B2787" s="43">
        <v>10</v>
      </c>
      <c r="C2787" s="43" t="s">
        <v>962</v>
      </c>
      <c r="D2787" s="43" t="s">
        <v>1009</v>
      </c>
      <c r="E2787" s="43" t="s">
        <v>974</v>
      </c>
      <c r="F2787" s="43" t="s">
        <v>961</v>
      </c>
      <c r="G2787" s="43">
        <v>1077777</v>
      </c>
      <c r="H2787" s="43">
        <v>501100</v>
      </c>
      <c r="I2787" s="43" t="s">
        <v>949</v>
      </c>
      <c r="J2787" s="44" t="s">
        <v>1000</v>
      </c>
    </row>
    <row r="2788" ht="22" customHeight="1" spans="1:10" x14ac:dyDescent="0.25">
      <c r="A2788" s="43">
        <v>3130</v>
      </c>
      <c r="B2788" s="43">
        <v>10</v>
      </c>
      <c r="C2788" s="43" t="s">
        <v>963</v>
      </c>
      <c r="D2788" s="43" t="s">
        <v>1009</v>
      </c>
      <c r="E2788" s="43" t="s">
        <v>974</v>
      </c>
      <c r="F2788" s="43" t="s">
        <v>951</v>
      </c>
      <c r="G2788" s="43">
        <v>1077777</v>
      </c>
      <c r="H2788" s="43">
        <v>501100</v>
      </c>
      <c r="I2788" s="43" t="s">
        <v>949</v>
      </c>
      <c r="J2788" s="44" t="s">
        <v>1000</v>
      </c>
    </row>
    <row r="2789" ht="22" customHeight="1" spans="1:10" x14ac:dyDescent="0.25">
      <c r="A2789" s="43">
        <v>3130</v>
      </c>
      <c r="B2789" s="43">
        <v>10</v>
      </c>
      <c r="C2789" s="43" t="s">
        <v>963</v>
      </c>
      <c r="D2789" s="43" t="s">
        <v>1009</v>
      </c>
      <c r="E2789" s="43" t="s">
        <v>974</v>
      </c>
      <c r="F2789" s="43" t="s">
        <v>952</v>
      </c>
      <c r="G2789" s="43">
        <v>1077777</v>
      </c>
      <c r="H2789" s="43">
        <v>501100</v>
      </c>
      <c r="I2789" s="43" t="s">
        <v>949</v>
      </c>
      <c r="J2789" s="44" t="s">
        <v>1000</v>
      </c>
    </row>
    <row r="2790" ht="22" customHeight="1" spans="1:10" x14ac:dyDescent="0.25">
      <c r="A2790" s="43">
        <v>3130</v>
      </c>
      <c r="B2790" s="43">
        <v>10</v>
      </c>
      <c r="C2790" s="43" t="s">
        <v>963</v>
      </c>
      <c r="D2790" s="43" t="s">
        <v>1009</v>
      </c>
      <c r="E2790" s="43" t="s">
        <v>974</v>
      </c>
      <c r="F2790" s="43" t="s">
        <v>953</v>
      </c>
      <c r="G2790" s="43">
        <v>1077777</v>
      </c>
      <c r="H2790" s="43">
        <v>501100</v>
      </c>
      <c r="I2790" s="43" t="s">
        <v>949</v>
      </c>
      <c r="J2790" s="44" t="s">
        <v>1000</v>
      </c>
    </row>
    <row r="2791" ht="22" customHeight="1" spans="1:10" x14ac:dyDescent="0.25">
      <c r="A2791" s="43">
        <v>3130</v>
      </c>
      <c r="B2791" s="43">
        <v>10</v>
      </c>
      <c r="C2791" s="43" t="s">
        <v>963</v>
      </c>
      <c r="D2791" s="43" t="s">
        <v>1009</v>
      </c>
      <c r="E2791" s="43" t="s">
        <v>974</v>
      </c>
      <c r="F2791" s="43" t="s">
        <v>954</v>
      </c>
      <c r="G2791" s="43">
        <v>1077777</v>
      </c>
      <c r="H2791" s="43">
        <v>501100</v>
      </c>
      <c r="I2791" s="43" t="s">
        <v>949</v>
      </c>
      <c r="J2791" s="44" t="s">
        <v>1000</v>
      </c>
    </row>
    <row r="2792" ht="22" customHeight="1" spans="1:10" x14ac:dyDescent="0.25">
      <c r="A2792" s="43">
        <v>3130</v>
      </c>
      <c r="B2792" s="43">
        <v>10</v>
      </c>
      <c r="C2792" s="43" t="s">
        <v>963</v>
      </c>
      <c r="D2792" s="43" t="s">
        <v>1009</v>
      </c>
      <c r="E2792" s="43" t="s">
        <v>974</v>
      </c>
      <c r="F2792" s="43" t="s">
        <v>955</v>
      </c>
      <c r="G2792" s="43">
        <v>1077777</v>
      </c>
      <c r="H2792" s="43">
        <v>501100</v>
      </c>
      <c r="I2792" s="43" t="s">
        <v>949</v>
      </c>
      <c r="J2792" s="44" t="s">
        <v>1000</v>
      </c>
    </row>
    <row r="2793" ht="22" customHeight="1" spans="1:10" x14ac:dyDescent="0.25">
      <c r="A2793" s="43">
        <v>3130</v>
      </c>
      <c r="B2793" s="43">
        <v>10</v>
      </c>
      <c r="C2793" s="43" t="s">
        <v>963</v>
      </c>
      <c r="D2793" s="43" t="s">
        <v>1009</v>
      </c>
      <c r="E2793" s="43" t="s">
        <v>974</v>
      </c>
      <c r="F2793" s="43" t="s">
        <v>956</v>
      </c>
      <c r="G2793" s="43">
        <v>1077777</v>
      </c>
      <c r="H2793" s="43">
        <v>501100</v>
      </c>
      <c r="I2793" s="43" t="s">
        <v>949</v>
      </c>
      <c r="J2793" s="44" t="s">
        <v>1000</v>
      </c>
    </row>
    <row r="2794" ht="22" customHeight="1" spans="1:10" x14ac:dyDescent="0.25">
      <c r="A2794" s="43">
        <v>3130</v>
      </c>
      <c r="B2794" s="43">
        <v>10</v>
      </c>
      <c r="C2794" s="43" t="s">
        <v>963</v>
      </c>
      <c r="D2794" s="43" t="s">
        <v>1009</v>
      </c>
      <c r="E2794" s="43" t="s">
        <v>974</v>
      </c>
      <c r="F2794" s="43" t="s">
        <v>957</v>
      </c>
      <c r="G2794" s="43">
        <v>1077777</v>
      </c>
      <c r="H2794" s="43">
        <v>501100</v>
      </c>
      <c r="I2794" s="43" t="s">
        <v>949</v>
      </c>
      <c r="J2794" s="44" t="s">
        <v>1000</v>
      </c>
    </row>
    <row r="2795" ht="22" customHeight="1" spans="1:10" x14ac:dyDescent="0.25">
      <c r="A2795" s="43">
        <v>3130</v>
      </c>
      <c r="B2795" s="43">
        <v>10</v>
      </c>
      <c r="C2795" s="43" t="s">
        <v>963</v>
      </c>
      <c r="D2795" s="43" t="s">
        <v>1009</v>
      </c>
      <c r="E2795" s="43" t="s">
        <v>974</v>
      </c>
      <c r="F2795" s="43" t="s">
        <v>958</v>
      </c>
      <c r="G2795" s="43">
        <v>1077777</v>
      </c>
      <c r="H2795" s="43">
        <v>501100</v>
      </c>
      <c r="I2795" s="43" t="s">
        <v>949</v>
      </c>
      <c r="J2795" s="44" t="s">
        <v>1000</v>
      </c>
    </row>
    <row r="2796" ht="22" customHeight="1" spans="1:10" x14ac:dyDescent="0.25">
      <c r="A2796" s="43">
        <v>3130</v>
      </c>
      <c r="B2796" s="43">
        <v>10</v>
      </c>
      <c r="C2796" s="43" t="s">
        <v>963</v>
      </c>
      <c r="D2796" s="43" t="s">
        <v>1009</v>
      </c>
      <c r="E2796" s="43" t="s">
        <v>974</v>
      </c>
      <c r="F2796" s="43" t="s">
        <v>959</v>
      </c>
      <c r="G2796" s="43">
        <v>1077777</v>
      </c>
      <c r="H2796" s="43">
        <v>501100</v>
      </c>
      <c r="I2796" s="43" t="s">
        <v>949</v>
      </c>
      <c r="J2796" s="44" t="s">
        <v>1000</v>
      </c>
    </row>
    <row r="2797" ht="22" customHeight="1" spans="1:10" x14ac:dyDescent="0.25">
      <c r="A2797" s="43">
        <v>3130</v>
      </c>
      <c r="B2797" s="43">
        <v>10</v>
      </c>
      <c r="C2797" s="43" t="s">
        <v>963</v>
      </c>
      <c r="D2797" s="43" t="s">
        <v>1009</v>
      </c>
      <c r="E2797" s="43" t="s">
        <v>974</v>
      </c>
      <c r="F2797" s="43" t="s">
        <v>960</v>
      </c>
      <c r="G2797" s="43">
        <v>1077777</v>
      </c>
      <c r="H2797" s="43">
        <v>501100</v>
      </c>
      <c r="I2797" s="43" t="s">
        <v>949</v>
      </c>
      <c r="J2797" s="44" t="s">
        <v>1000</v>
      </c>
    </row>
    <row r="2798" ht="22" customHeight="1" spans="1:10" x14ac:dyDescent="0.25">
      <c r="A2798" s="43">
        <v>3130</v>
      </c>
      <c r="B2798" s="43">
        <v>10</v>
      </c>
      <c r="C2798" s="43" t="s">
        <v>963</v>
      </c>
      <c r="D2798" s="43" t="s">
        <v>1009</v>
      </c>
      <c r="E2798" s="43" t="s">
        <v>974</v>
      </c>
      <c r="F2798" s="43" t="s">
        <v>961</v>
      </c>
      <c r="G2798" s="43">
        <v>1077777</v>
      </c>
      <c r="H2798" s="43">
        <v>501100</v>
      </c>
      <c r="I2798" s="43" t="s">
        <v>949</v>
      </c>
      <c r="J2798" s="44" t="s">
        <v>1000</v>
      </c>
    </row>
    <row r="2799" spans="1:9" x14ac:dyDescent="0.25">
      <c r="A2799">
        <v>4122</v>
      </c>
      <c r="B2799">
        <v>10</v>
      </c>
      <c r="C2799" t="s">
        <v>946</v>
      </c>
      <c r="D2799" t="s">
        <v>1009</v>
      </c>
      <c r="E2799" t="s">
        <v>974</v>
      </c>
      <c r="F2799" t="s">
        <v>948</v>
      </c>
      <c r="G2799">
        <v>1000000</v>
      </c>
      <c r="H2799">
        <v>141000</v>
      </c>
      <c r="I2799" t="s">
        <v>975</v>
      </c>
    </row>
    <row r="2800" spans="1:9" x14ac:dyDescent="0.25">
      <c r="A2800">
        <v>4124</v>
      </c>
      <c r="B2800">
        <v>10</v>
      </c>
      <c r="C2800" t="s">
        <v>946</v>
      </c>
      <c r="D2800" t="s">
        <v>1009</v>
      </c>
      <c r="E2800" t="s">
        <v>974</v>
      </c>
      <c r="F2800" t="s">
        <v>948</v>
      </c>
      <c r="G2800">
        <v>1077777</v>
      </c>
      <c r="H2800">
        <v>501100</v>
      </c>
      <c r="I2800" t="s">
        <v>949</v>
      </c>
    </row>
    <row r="2801" spans="1:9" x14ac:dyDescent="0.25">
      <c r="A2801">
        <v>3130</v>
      </c>
      <c r="B2801">
        <v>10</v>
      </c>
      <c r="C2801" t="s">
        <v>950</v>
      </c>
      <c r="D2801" t="s">
        <v>1009</v>
      </c>
      <c r="E2801" t="s">
        <v>104</v>
      </c>
      <c r="F2801" t="s">
        <v>951</v>
      </c>
      <c r="G2801">
        <v>1077777</v>
      </c>
      <c r="H2801">
        <v>500220</v>
      </c>
      <c r="I2801" t="s">
        <v>949</v>
      </c>
    </row>
    <row r="2802" spans="1:9" x14ac:dyDescent="0.25">
      <c r="A2802">
        <v>3130</v>
      </c>
      <c r="B2802">
        <v>10</v>
      </c>
      <c r="C2802" t="s">
        <v>950</v>
      </c>
      <c r="D2802" t="s">
        <v>1009</v>
      </c>
      <c r="E2802" t="s">
        <v>104</v>
      </c>
      <c r="F2802" t="s">
        <v>952</v>
      </c>
      <c r="G2802">
        <v>1077777</v>
      </c>
      <c r="H2802">
        <v>500220</v>
      </c>
      <c r="I2802" t="s">
        <v>949</v>
      </c>
    </row>
    <row r="2803" spans="1:9" x14ac:dyDescent="0.25">
      <c r="A2803">
        <v>3130</v>
      </c>
      <c r="B2803">
        <v>10</v>
      </c>
      <c r="C2803" t="s">
        <v>950</v>
      </c>
      <c r="D2803" t="s">
        <v>1009</v>
      </c>
      <c r="E2803" t="s">
        <v>104</v>
      </c>
      <c r="F2803" t="s">
        <v>953</v>
      </c>
      <c r="G2803">
        <v>1077777</v>
      </c>
      <c r="H2803">
        <v>500220</v>
      </c>
      <c r="I2803" t="s">
        <v>949</v>
      </c>
    </row>
    <row r="2804" spans="1:9" x14ac:dyDescent="0.25">
      <c r="A2804">
        <v>3130</v>
      </c>
      <c r="B2804">
        <v>10</v>
      </c>
      <c r="C2804" t="s">
        <v>950</v>
      </c>
      <c r="D2804" t="s">
        <v>1009</v>
      </c>
      <c r="E2804" t="s">
        <v>104</v>
      </c>
      <c r="F2804" t="s">
        <v>954</v>
      </c>
      <c r="G2804">
        <v>1077777</v>
      </c>
      <c r="H2804">
        <v>500220</v>
      </c>
      <c r="I2804" t="s">
        <v>949</v>
      </c>
    </row>
    <row r="2805" spans="1:9" x14ac:dyDescent="0.25">
      <c r="A2805">
        <v>3130</v>
      </c>
      <c r="B2805">
        <v>10</v>
      </c>
      <c r="C2805" t="s">
        <v>950</v>
      </c>
      <c r="D2805" t="s">
        <v>1009</v>
      </c>
      <c r="E2805" t="s">
        <v>104</v>
      </c>
      <c r="F2805" t="s">
        <v>955</v>
      </c>
      <c r="G2805">
        <v>1077777</v>
      </c>
      <c r="H2805">
        <v>500220</v>
      </c>
      <c r="I2805" t="s">
        <v>949</v>
      </c>
    </row>
    <row r="2806" spans="1:9" x14ac:dyDescent="0.25">
      <c r="A2806">
        <v>3130</v>
      </c>
      <c r="B2806">
        <v>10</v>
      </c>
      <c r="C2806" t="s">
        <v>950</v>
      </c>
      <c r="D2806" t="s">
        <v>1009</v>
      </c>
      <c r="E2806" t="s">
        <v>104</v>
      </c>
      <c r="F2806" t="s">
        <v>956</v>
      </c>
      <c r="G2806">
        <v>1077777</v>
      </c>
      <c r="H2806">
        <v>500220</v>
      </c>
      <c r="I2806" t="s">
        <v>949</v>
      </c>
    </row>
    <row r="2807" spans="1:9" x14ac:dyDescent="0.25">
      <c r="A2807">
        <v>3130</v>
      </c>
      <c r="B2807">
        <v>10</v>
      </c>
      <c r="C2807" t="s">
        <v>950</v>
      </c>
      <c r="D2807" t="s">
        <v>1009</v>
      </c>
      <c r="E2807" t="s">
        <v>104</v>
      </c>
      <c r="F2807" t="s">
        <v>957</v>
      </c>
      <c r="G2807">
        <v>1077777</v>
      </c>
      <c r="H2807">
        <v>500220</v>
      </c>
      <c r="I2807" t="s">
        <v>949</v>
      </c>
    </row>
    <row r="2808" spans="1:9" x14ac:dyDescent="0.25">
      <c r="A2808">
        <v>3130</v>
      </c>
      <c r="B2808">
        <v>10</v>
      </c>
      <c r="C2808" t="s">
        <v>950</v>
      </c>
      <c r="D2808" t="s">
        <v>1009</v>
      </c>
      <c r="E2808" t="s">
        <v>104</v>
      </c>
      <c r="F2808" t="s">
        <v>958</v>
      </c>
      <c r="G2808">
        <v>1077777</v>
      </c>
      <c r="H2808">
        <v>500220</v>
      </c>
      <c r="I2808" t="s">
        <v>949</v>
      </c>
    </row>
    <row r="2809" spans="1:9" x14ac:dyDescent="0.25">
      <c r="A2809">
        <v>3130</v>
      </c>
      <c r="B2809">
        <v>10</v>
      </c>
      <c r="C2809" t="s">
        <v>950</v>
      </c>
      <c r="D2809" t="s">
        <v>1009</v>
      </c>
      <c r="E2809" t="s">
        <v>104</v>
      </c>
      <c r="F2809" t="s">
        <v>959</v>
      </c>
      <c r="G2809">
        <v>1077777</v>
      </c>
      <c r="H2809">
        <v>500220</v>
      </c>
      <c r="I2809" t="s">
        <v>949</v>
      </c>
    </row>
    <row r="2810" spans="1:9" x14ac:dyDescent="0.25">
      <c r="A2810">
        <v>3130</v>
      </c>
      <c r="B2810">
        <v>10</v>
      </c>
      <c r="C2810" t="s">
        <v>950</v>
      </c>
      <c r="D2810" t="s">
        <v>1009</v>
      </c>
      <c r="E2810" t="s">
        <v>104</v>
      </c>
      <c r="F2810" t="s">
        <v>960</v>
      </c>
      <c r="G2810">
        <v>1077777</v>
      </c>
      <c r="H2810">
        <v>500220</v>
      </c>
      <c r="I2810" t="s">
        <v>949</v>
      </c>
    </row>
    <row r="2811" spans="1:9" x14ac:dyDescent="0.25">
      <c r="A2811">
        <v>3130</v>
      </c>
      <c r="B2811">
        <v>10</v>
      </c>
      <c r="C2811" t="s">
        <v>950</v>
      </c>
      <c r="D2811" t="s">
        <v>1009</v>
      </c>
      <c r="E2811" t="s">
        <v>104</v>
      </c>
      <c r="F2811" t="s">
        <v>961</v>
      </c>
      <c r="G2811">
        <v>1077777</v>
      </c>
      <c r="H2811">
        <v>500220</v>
      </c>
      <c r="I2811" t="s">
        <v>949</v>
      </c>
    </row>
    <row r="2812" spans="1:9" x14ac:dyDescent="0.25">
      <c r="A2812">
        <v>3130</v>
      </c>
      <c r="B2812">
        <v>10</v>
      </c>
      <c r="C2812" t="s">
        <v>962</v>
      </c>
      <c r="D2812" t="s">
        <v>1009</v>
      </c>
      <c r="E2812" t="s">
        <v>104</v>
      </c>
      <c r="F2812" t="s">
        <v>951</v>
      </c>
      <c r="G2812">
        <v>1077777</v>
      </c>
      <c r="H2812">
        <v>500220</v>
      </c>
      <c r="I2812" t="s">
        <v>949</v>
      </c>
    </row>
    <row r="2813" spans="1:9" x14ac:dyDescent="0.25">
      <c r="A2813">
        <v>3130</v>
      </c>
      <c r="B2813">
        <v>10</v>
      </c>
      <c r="C2813" t="s">
        <v>962</v>
      </c>
      <c r="D2813" t="s">
        <v>1009</v>
      </c>
      <c r="E2813" t="s">
        <v>104</v>
      </c>
      <c r="F2813" t="s">
        <v>952</v>
      </c>
      <c r="G2813">
        <v>1077777</v>
      </c>
      <c r="H2813">
        <v>500220</v>
      </c>
      <c r="I2813" t="s">
        <v>949</v>
      </c>
    </row>
    <row r="2814" spans="1:9" x14ac:dyDescent="0.25">
      <c r="A2814">
        <v>3130</v>
      </c>
      <c r="B2814">
        <v>10</v>
      </c>
      <c r="C2814" t="s">
        <v>962</v>
      </c>
      <c r="D2814" t="s">
        <v>1009</v>
      </c>
      <c r="E2814" t="s">
        <v>104</v>
      </c>
      <c r="F2814" t="s">
        <v>953</v>
      </c>
      <c r="G2814">
        <v>1077777</v>
      </c>
      <c r="H2814">
        <v>500220</v>
      </c>
      <c r="I2814" t="s">
        <v>949</v>
      </c>
    </row>
    <row r="2815" spans="1:9" x14ac:dyDescent="0.25">
      <c r="A2815">
        <v>3130</v>
      </c>
      <c r="B2815">
        <v>10</v>
      </c>
      <c r="C2815" t="s">
        <v>962</v>
      </c>
      <c r="D2815" t="s">
        <v>1009</v>
      </c>
      <c r="E2815" t="s">
        <v>104</v>
      </c>
      <c r="F2815" t="s">
        <v>954</v>
      </c>
      <c r="G2815">
        <v>1077777</v>
      </c>
      <c r="H2815">
        <v>500220</v>
      </c>
      <c r="I2815" t="s">
        <v>949</v>
      </c>
    </row>
    <row r="2816" spans="1:9" x14ac:dyDescent="0.25">
      <c r="A2816">
        <v>3130</v>
      </c>
      <c r="B2816">
        <v>10</v>
      </c>
      <c r="C2816" t="s">
        <v>962</v>
      </c>
      <c r="D2816" t="s">
        <v>1009</v>
      </c>
      <c r="E2816" t="s">
        <v>104</v>
      </c>
      <c r="F2816" t="s">
        <v>955</v>
      </c>
      <c r="G2816">
        <v>1077777</v>
      </c>
      <c r="H2816">
        <v>500220</v>
      </c>
      <c r="I2816" t="s">
        <v>949</v>
      </c>
    </row>
    <row r="2817" spans="1:9" x14ac:dyDescent="0.25">
      <c r="A2817">
        <v>3130</v>
      </c>
      <c r="B2817">
        <v>10</v>
      </c>
      <c r="C2817" t="s">
        <v>962</v>
      </c>
      <c r="D2817" t="s">
        <v>1009</v>
      </c>
      <c r="E2817" t="s">
        <v>104</v>
      </c>
      <c r="F2817" t="s">
        <v>956</v>
      </c>
      <c r="G2817">
        <v>1077777</v>
      </c>
      <c r="H2817">
        <v>500220</v>
      </c>
      <c r="I2817" t="s">
        <v>949</v>
      </c>
    </row>
    <row r="2818" spans="1:9" x14ac:dyDescent="0.25">
      <c r="A2818">
        <v>3130</v>
      </c>
      <c r="B2818">
        <v>10</v>
      </c>
      <c r="C2818" t="s">
        <v>962</v>
      </c>
      <c r="D2818" t="s">
        <v>1009</v>
      </c>
      <c r="E2818" t="s">
        <v>104</v>
      </c>
      <c r="F2818" t="s">
        <v>957</v>
      </c>
      <c r="G2818">
        <v>1077777</v>
      </c>
      <c r="H2818">
        <v>500220</v>
      </c>
      <c r="I2818" t="s">
        <v>949</v>
      </c>
    </row>
    <row r="2819" spans="1:9" x14ac:dyDescent="0.25">
      <c r="A2819">
        <v>3130</v>
      </c>
      <c r="B2819">
        <v>10</v>
      </c>
      <c r="C2819" t="s">
        <v>962</v>
      </c>
      <c r="D2819" t="s">
        <v>1009</v>
      </c>
      <c r="E2819" t="s">
        <v>104</v>
      </c>
      <c r="F2819" t="s">
        <v>958</v>
      </c>
      <c r="G2819">
        <v>1077777</v>
      </c>
      <c r="H2819">
        <v>500220</v>
      </c>
      <c r="I2819" t="s">
        <v>949</v>
      </c>
    </row>
    <row r="2820" spans="1:9" x14ac:dyDescent="0.25">
      <c r="A2820">
        <v>3130</v>
      </c>
      <c r="B2820">
        <v>10</v>
      </c>
      <c r="C2820" t="s">
        <v>962</v>
      </c>
      <c r="D2820" t="s">
        <v>1009</v>
      </c>
      <c r="E2820" t="s">
        <v>104</v>
      </c>
      <c r="F2820" t="s">
        <v>959</v>
      </c>
      <c r="G2820">
        <v>1077777</v>
      </c>
      <c r="H2820">
        <v>500220</v>
      </c>
      <c r="I2820" t="s">
        <v>949</v>
      </c>
    </row>
    <row r="2821" spans="1:9" x14ac:dyDescent="0.25">
      <c r="A2821">
        <v>3130</v>
      </c>
      <c r="B2821">
        <v>10</v>
      </c>
      <c r="C2821" t="s">
        <v>962</v>
      </c>
      <c r="D2821" t="s">
        <v>1009</v>
      </c>
      <c r="E2821" t="s">
        <v>104</v>
      </c>
      <c r="F2821" t="s">
        <v>960</v>
      </c>
      <c r="G2821">
        <v>1077777</v>
      </c>
      <c r="H2821">
        <v>500220</v>
      </c>
      <c r="I2821" t="s">
        <v>949</v>
      </c>
    </row>
    <row r="2822" spans="1:9" x14ac:dyDescent="0.25">
      <c r="A2822">
        <v>3130</v>
      </c>
      <c r="B2822">
        <v>10</v>
      </c>
      <c r="C2822" t="s">
        <v>962</v>
      </c>
      <c r="D2822" t="s">
        <v>1009</v>
      </c>
      <c r="E2822" t="s">
        <v>104</v>
      </c>
      <c r="F2822" t="s">
        <v>961</v>
      </c>
      <c r="G2822">
        <v>1077777</v>
      </c>
      <c r="H2822">
        <v>500220</v>
      </c>
      <c r="I2822" t="s">
        <v>949</v>
      </c>
    </row>
    <row r="2823" spans="1:9" x14ac:dyDescent="0.25">
      <c r="A2823">
        <v>3130</v>
      </c>
      <c r="B2823">
        <v>10</v>
      </c>
      <c r="C2823" t="s">
        <v>963</v>
      </c>
      <c r="D2823" t="s">
        <v>1009</v>
      </c>
      <c r="E2823" t="s">
        <v>104</v>
      </c>
      <c r="F2823" t="s">
        <v>951</v>
      </c>
      <c r="G2823">
        <v>1077777</v>
      </c>
      <c r="H2823">
        <v>500220</v>
      </c>
      <c r="I2823" t="s">
        <v>949</v>
      </c>
    </row>
    <row r="2824" spans="1:9" x14ac:dyDescent="0.25">
      <c r="A2824">
        <v>3130</v>
      </c>
      <c r="B2824">
        <v>10</v>
      </c>
      <c r="C2824" t="s">
        <v>963</v>
      </c>
      <c r="D2824" t="s">
        <v>1009</v>
      </c>
      <c r="E2824" t="s">
        <v>104</v>
      </c>
      <c r="F2824" t="s">
        <v>952</v>
      </c>
      <c r="G2824">
        <v>1077777</v>
      </c>
      <c r="H2824">
        <v>500220</v>
      </c>
      <c r="I2824" t="s">
        <v>949</v>
      </c>
    </row>
    <row r="2825" spans="1:9" x14ac:dyDescent="0.25">
      <c r="A2825">
        <v>3130</v>
      </c>
      <c r="B2825">
        <v>10</v>
      </c>
      <c r="C2825" t="s">
        <v>963</v>
      </c>
      <c r="D2825" t="s">
        <v>1009</v>
      </c>
      <c r="E2825" t="s">
        <v>104</v>
      </c>
      <c r="F2825" t="s">
        <v>953</v>
      </c>
      <c r="G2825">
        <v>1077777</v>
      </c>
      <c r="H2825">
        <v>500220</v>
      </c>
      <c r="I2825" t="s">
        <v>949</v>
      </c>
    </row>
    <row r="2826" spans="1:9" x14ac:dyDescent="0.25">
      <c r="A2826">
        <v>3130</v>
      </c>
      <c r="B2826">
        <v>10</v>
      </c>
      <c r="C2826" t="s">
        <v>963</v>
      </c>
      <c r="D2826" t="s">
        <v>1009</v>
      </c>
      <c r="E2826" t="s">
        <v>104</v>
      </c>
      <c r="F2826" t="s">
        <v>954</v>
      </c>
      <c r="G2826">
        <v>1077777</v>
      </c>
      <c r="H2826">
        <v>500220</v>
      </c>
      <c r="I2826" t="s">
        <v>949</v>
      </c>
    </row>
    <row r="2827" spans="1:9" x14ac:dyDescent="0.25">
      <c r="A2827">
        <v>3130</v>
      </c>
      <c r="B2827">
        <v>10</v>
      </c>
      <c r="C2827" t="s">
        <v>963</v>
      </c>
      <c r="D2827" t="s">
        <v>1009</v>
      </c>
      <c r="E2827" t="s">
        <v>104</v>
      </c>
      <c r="F2827" t="s">
        <v>955</v>
      </c>
      <c r="G2827">
        <v>1077777</v>
      </c>
      <c r="H2827">
        <v>500220</v>
      </c>
      <c r="I2827" t="s">
        <v>949</v>
      </c>
    </row>
    <row r="2828" spans="1:9" x14ac:dyDescent="0.25">
      <c r="A2828">
        <v>3130</v>
      </c>
      <c r="B2828">
        <v>10</v>
      </c>
      <c r="C2828" t="s">
        <v>963</v>
      </c>
      <c r="D2828" t="s">
        <v>1009</v>
      </c>
      <c r="E2828" t="s">
        <v>104</v>
      </c>
      <c r="F2828" t="s">
        <v>956</v>
      </c>
      <c r="G2828">
        <v>1077777</v>
      </c>
      <c r="H2828">
        <v>500220</v>
      </c>
      <c r="I2828" t="s">
        <v>949</v>
      </c>
    </row>
    <row r="2829" spans="1:9" x14ac:dyDescent="0.25">
      <c r="A2829">
        <v>3130</v>
      </c>
      <c r="B2829">
        <v>10</v>
      </c>
      <c r="C2829" t="s">
        <v>963</v>
      </c>
      <c r="D2829" t="s">
        <v>1009</v>
      </c>
      <c r="E2829" t="s">
        <v>104</v>
      </c>
      <c r="F2829" t="s">
        <v>957</v>
      </c>
      <c r="G2829">
        <v>1077777</v>
      </c>
      <c r="H2829">
        <v>500220</v>
      </c>
      <c r="I2829" t="s">
        <v>949</v>
      </c>
    </row>
    <row r="2830" spans="1:9" x14ac:dyDescent="0.25">
      <c r="A2830">
        <v>3130</v>
      </c>
      <c r="B2830">
        <v>10</v>
      </c>
      <c r="C2830" t="s">
        <v>963</v>
      </c>
      <c r="D2830" t="s">
        <v>1009</v>
      </c>
      <c r="E2830" t="s">
        <v>104</v>
      </c>
      <c r="F2830" t="s">
        <v>958</v>
      </c>
      <c r="G2830">
        <v>1077777</v>
      </c>
      <c r="H2830">
        <v>500220</v>
      </c>
      <c r="I2830" t="s">
        <v>949</v>
      </c>
    </row>
    <row r="2831" spans="1:9" x14ac:dyDescent="0.25">
      <c r="A2831">
        <v>3130</v>
      </c>
      <c r="B2831">
        <v>10</v>
      </c>
      <c r="C2831" t="s">
        <v>963</v>
      </c>
      <c r="D2831" t="s">
        <v>1009</v>
      </c>
      <c r="E2831" t="s">
        <v>104</v>
      </c>
      <c r="F2831" t="s">
        <v>959</v>
      </c>
      <c r="G2831">
        <v>1077777</v>
      </c>
      <c r="H2831">
        <v>500220</v>
      </c>
      <c r="I2831" t="s">
        <v>949</v>
      </c>
    </row>
    <row r="2832" spans="1:9" x14ac:dyDescent="0.25">
      <c r="A2832">
        <v>3130</v>
      </c>
      <c r="B2832">
        <v>10</v>
      </c>
      <c r="C2832" t="s">
        <v>963</v>
      </c>
      <c r="D2832" t="s">
        <v>1009</v>
      </c>
      <c r="E2832" t="s">
        <v>104</v>
      </c>
      <c r="F2832" t="s">
        <v>960</v>
      </c>
      <c r="G2832">
        <v>1077777</v>
      </c>
      <c r="H2832">
        <v>500220</v>
      </c>
      <c r="I2832" t="s">
        <v>949</v>
      </c>
    </row>
    <row r="2833" spans="1:9" x14ac:dyDescent="0.25">
      <c r="A2833">
        <v>3130</v>
      </c>
      <c r="B2833">
        <v>10</v>
      </c>
      <c r="C2833" t="s">
        <v>963</v>
      </c>
      <c r="D2833" t="s">
        <v>1009</v>
      </c>
      <c r="E2833" t="s">
        <v>104</v>
      </c>
      <c r="F2833" t="s">
        <v>961</v>
      </c>
      <c r="G2833">
        <v>1077777</v>
      </c>
      <c r="H2833">
        <v>500220</v>
      </c>
      <c r="I2833" t="s">
        <v>949</v>
      </c>
    </row>
    <row r="2834" spans="1:9" x14ac:dyDescent="0.25">
      <c r="A2834">
        <v>4122</v>
      </c>
      <c r="B2834">
        <v>10</v>
      </c>
      <c r="C2834" t="s">
        <v>946</v>
      </c>
      <c r="D2834" t="s">
        <v>1009</v>
      </c>
      <c r="E2834" t="s">
        <v>104</v>
      </c>
      <c r="F2834" t="s">
        <v>948</v>
      </c>
      <c r="G2834">
        <v>1077777</v>
      </c>
      <c r="H2834">
        <v>500220</v>
      </c>
      <c r="I2834" t="s">
        <v>949</v>
      </c>
    </row>
    <row r="2835" spans="1:9" x14ac:dyDescent="0.25">
      <c r="A2835">
        <v>4124</v>
      </c>
      <c r="B2835">
        <v>10</v>
      </c>
      <c r="C2835" t="s">
        <v>946</v>
      </c>
      <c r="D2835" t="s">
        <v>1009</v>
      </c>
      <c r="E2835" t="s">
        <v>104</v>
      </c>
      <c r="F2835" t="s">
        <v>948</v>
      </c>
      <c r="G2835">
        <v>1077777</v>
      </c>
      <c r="H2835">
        <v>500221</v>
      </c>
      <c r="I2835" t="s">
        <v>949</v>
      </c>
    </row>
    <row r="2836" ht="22" customHeight="1" spans="1:10" x14ac:dyDescent="0.25">
      <c r="A2836" s="43">
        <v>3130</v>
      </c>
      <c r="B2836" s="43">
        <v>10</v>
      </c>
      <c r="C2836" s="43" t="s">
        <v>950</v>
      </c>
      <c r="D2836" s="43" t="s">
        <v>1009</v>
      </c>
      <c r="E2836" s="43" t="s">
        <v>278</v>
      </c>
      <c r="F2836" s="43" t="s">
        <v>951</v>
      </c>
      <c r="G2836" s="43">
        <v>1077777</v>
      </c>
      <c r="H2836" s="43">
        <v>501100</v>
      </c>
      <c r="I2836" s="43" t="s">
        <v>949</v>
      </c>
      <c r="J2836" s="44" t="s">
        <v>1000</v>
      </c>
    </row>
    <row r="2837" ht="22" customHeight="1" spans="1:10" x14ac:dyDescent="0.25">
      <c r="A2837" s="43">
        <v>3130</v>
      </c>
      <c r="B2837" s="43">
        <v>10</v>
      </c>
      <c r="C2837" s="43" t="s">
        <v>950</v>
      </c>
      <c r="D2837" s="43" t="s">
        <v>1009</v>
      </c>
      <c r="E2837" s="43" t="s">
        <v>278</v>
      </c>
      <c r="F2837" s="43" t="s">
        <v>952</v>
      </c>
      <c r="G2837" s="43">
        <v>1077777</v>
      </c>
      <c r="H2837" s="43">
        <v>501100</v>
      </c>
      <c r="I2837" s="43" t="s">
        <v>949</v>
      </c>
      <c r="J2837" s="44" t="s">
        <v>1000</v>
      </c>
    </row>
    <row r="2838" ht="22" customHeight="1" spans="1:10" x14ac:dyDescent="0.25">
      <c r="A2838" s="43">
        <v>3130</v>
      </c>
      <c r="B2838" s="43">
        <v>10</v>
      </c>
      <c r="C2838" s="43" t="s">
        <v>950</v>
      </c>
      <c r="D2838" s="43" t="s">
        <v>1009</v>
      </c>
      <c r="E2838" s="43" t="s">
        <v>278</v>
      </c>
      <c r="F2838" s="43" t="s">
        <v>953</v>
      </c>
      <c r="G2838" s="43">
        <v>1077777</v>
      </c>
      <c r="H2838" s="43">
        <v>501100</v>
      </c>
      <c r="I2838" s="43" t="s">
        <v>949</v>
      </c>
      <c r="J2838" s="44" t="s">
        <v>1000</v>
      </c>
    </row>
    <row r="2839" ht="22" customHeight="1" spans="1:10" x14ac:dyDescent="0.25">
      <c r="A2839" s="43">
        <v>3130</v>
      </c>
      <c r="B2839" s="43">
        <v>10</v>
      </c>
      <c r="C2839" s="43" t="s">
        <v>950</v>
      </c>
      <c r="D2839" s="43" t="s">
        <v>1009</v>
      </c>
      <c r="E2839" s="43" t="s">
        <v>278</v>
      </c>
      <c r="F2839" s="43" t="s">
        <v>954</v>
      </c>
      <c r="G2839" s="43">
        <v>1077777</v>
      </c>
      <c r="H2839" s="43">
        <v>501100</v>
      </c>
      <c r="I2839" s="43" t="s">
        <v>949</v>
      </c>
      <c r="J2839" s="44" t="s">
        <v>1000</v>
      </c>
    </row>
    <row r="2840" ht="22" customHeight="1" spans="1:10" x14ac:dyDescent="0.25">
      <c r="A2840" s="43">
        <v>3130</v>
      </c>
      <c r="B2840" s="43">
        <v>10</v>
      </c>
      <c r="C2840" s="43" t="s">
        <v>950</v>
      </c>
      <c r="D2840" s="43" t="s">
        <v>1009</v>
      </c>
      <c r="E2840" s="43" t="s">
        <v>278</v>
      </c>
      <c r="F2840" s="43" t="s">
        <v>955</v>
      </c>
      <c r="G2840" s="43">
        <v>1077777</v>
      </c>
      <c r="H2840" s="43">
        <v>501100</v>
      </c>
      <c r="I2840" s="43" t="s">
        <v>949</v>
      </c>
      <c r="J2840" s="44" t="s">
        <v>1000</v>
      </c>
    </row>
    <row r="2841" ht="22" customHeight="1" spans="1:10" x14ac:dyDescent="0.25">
      <c r="A2841" s="43">
        <v>3130</v>
      </c>
      <c r="B2841" s="43">
        <v>10</v>
      </c>
      <c r="C2841" s="43" t="s">
        <v>950</v>
      </c>
      <c r="D2841" s="43" t="s">
        <v>1009</v>
      </c>
      <c r="E2841" s="43" t="s">
        <v>278</v>
      </c>
      <c r="F2841" s="43" t="s">
        <v>956</v>
      </c>
      <c r="G2841" s="43">
        <v>1077777</v>
      </c>
      <c r="H2841" s="43">
        <v>501100</v>
      </c>
      <c r="I2841" s="43" t="s">
        <v>949</v>
      </c>
      <c r="J2841" s="44" t="s">
        <v>1000</v>
      </c>
    </row>
    <row r="2842" ht="22" customHeight="1" spans="1:10" x14ac:dyDescent="0.25">
      <c r="A2842" s="43">
        <v>3130</v>
      </c>
      <c r="B2842" s="43">
        <v>10</v>
      </c>
      <c r="C2842" s="43" t="s">
        <v>950</v>
      </c>
      <c r="D2842" s="43" t="s">
        <v>1009</v>
      </c>
      <c r="E2842" s="43" t="s">
        <v>278</v>
      </c>
      <c r="F2842" s="43" t="s">
        <v>957</v>
      </c>
      <c r="G2842" s="43">
        <v>1077777</v>
      </c>
      <c r="H2842" s="43">
        <v>501100</v>
      </c>
      <c r="I2842" s="43" t="s">
        <v>949</v>
      </c>
      <c r="J2842" s="44" t="s">
        <v>1000</v>
      </c>
    </row>
    <row r="2843" ht="22" customHeight="1" spans="1:10" x14ac:dyDescent="0.25">
      <c r="A2843" s="43">
        <v>3130</v>
      </c>
      <c r="B2843" s="43">
        <v>10</v>
      </c>
      <c r="C2843" s="43" t="s">
        <v>950</v>
      </c>
      <c r="D2843" s="43" t="s">
        <v>1009</v>
      </c>
      <c r="E2843" s="43" t="s">
        <v>278</v>
      </c>
      <c r="F2843" s="43" t="s">
        <v>958</v>
      </c>
      <c r="G2843" s="43">
        <v>1077777</v>
      </c>
      <c r="H2843" s="43">
        <v>501100</v>
      </c>
      <c r="I2843" s="43" t="s">
        <v>949</v>
      </c>
      <c r="J2843" s="44" t="s">
        <v>1000</v>
      </c>
    </row>
    <row r="2844" ht="22" customHeight="1" spans="1:10" x14ac:dyDescent="0.25">
      <c r="A2844" s="43">
        <v>3130</v>
      </c>
      <c r="B2844" s="43">
        <v>10</v>
      </c>
      <c r="C2844" s="43" t="s">
        <v>950</v>
      </c>
      <c r="D2844" s="43" t="s">
        <v>1009</v>
      </c>
      <c r="E2844" s="43" t="s">
        <v>278</v>
      </c>
      <c r="F2844" s="43" t="s">
        <v>959</v>
      </c>
      <c r="G2844" s="43">
        <v>1077777</v>
      </c>
      <c r="H2844" s="43">
        <v>501100</v>
      </c>
      <c r="I2844" s="43" t="s">
        <v>949</v>
      </c>
      <c r="J2844" s="44" t="s">
        <v>1000</v>
      </c>
    </row>
    <row r="2845" ht="22" customHeight="1" spans="1:10" x14ac:dyDescent="0.25">
      <c r="A2845" s="43">
        <v>3130</v>
      </c>
      <c r="B2845" s="43">
        <v>10</v>
      </c>
      <c r="C2845" s="43" t="s">
        <v>950</v>
      </c>
      <c r="D2845" s="43" t="s">
        <v>1009</v>
      </c>
      <c r="E2845" s="43" t="s">
        <v>278</v>
      </c>
      <c r="F2845" s="43" t="s">
        <v>960</v>
      </c>
      <c r="G2845" s="43">
        <v>1077777</v>
      </c>
      <c r="H2845" s="43">
        <v>501100</v>
      </c>
      <c r="I2845" s="43" t="s">
        <v>949</v>
      </c>
      <c r="J2845" s="44" t="s">
        <v>1000</v>
      </c>
    </row>
    <row r="2846" ht="22" customHeight="1" spans="1:10" x14ac:dyDescent="0.25">
      <c r="A2846" s="43">
        <v>3130</v>
      </c>
      <c r="B2846" s="43">
        <v>10</v>
      </c>
      <c r="C2846" s="43" t="s">
        <v>950</v>
      </c>
      <c r="D2846" s="43" t="s">
        <v>1009</v>
      </c>
      <c r="E2846" s="43" t="s">
        <v>278</v>
      </c>
      <c r="F2846" s="43" t="s">
        <v>961</v>
      </c>
      <c r="G2846" s="43">
        <v>1077777</v>
      </c>
      <c r="H2846" s="43">
        <v>501100</v>
      </c>
      <c r="I2846" s="43" t="s">
        <v>949</v>
      </c>
      <c r="J2846" s="44" t="s">
        <v>1000</v>
      </c>
    </row>
    <row r="2847" ht="22" customHeight="1" spans="1:10" x14ac:dyDescent="0.25">
      <c r="A2847" s="43">
        <v>3130</v>
      </c>
      <c r="B2847" s="43">
        <v>10</v>
      </c>
      <c r="C2847" s="43" t="s">
        <v>962</v>
      </c>
      <c r="D2847" s="43" t="s">
        <v>1009</v>
      </c>
      <c r="E2847" s="43" t="s">
        <v>278</v>
      </c>
      <c r="F2847" s="43" t="s">
        <v>951</v>
      </c>
      <c r="G2847" s="43">
        <v>1077777</v>
      </c>
      <c r="H2847" s="43">
        <v>501100</v>
      </c>
      <c r="I2847" s="43" t="s">
        <v>949</v>
      </c>
      <c r="J2847" s="44" t="s">
        <v>1000</v>
      </c>
    </row>
    <row r="2848" ht="22" customHeight="1" spans="1:10" x14ac:dyDescent="0.25">
      <c r="A2848" s="43">
        <v>3130</v>
      </c>
      <c r="B2848" s="43">
        <v>10</v>
      </c>
      <c r="C2848" s="43" t="s">
        <v>962</v>
      </c>
      <c r="D2848" s="43" t="s">
        <v>1009</v>
      </c>
      <c r="E2848" s="43" t="s">
        <v>278</v>
      </c>
      <c r="F2848" s="43" t="s">
        <v>952</v>
      </c>
      <c r="G2848" s="43">
        <v>1077777</v>
      </c>
      <c r="H2848" s="43">
        <v>501100</v>
      </c>
      <c r="I2848" s="43" t="s">
        <v>949</v>
      </c>
      <c r="J2848" s="44" t="s">
        <v>1000</v>
      </c>
    </row>
    <row r="2849" ht="22" customHeight="1" spans="1:10" x14ac:dyDescent="0.25">
      <c r="A2849" s="43">
        <v>3130</v>
      </c>
      <c r="B2849" s="43">
        <v>10</v>
      </c>
      <c r="C2849" s="43" t="s">
        <v>962</v>
      </c>
      <c r="D2849" s="43" t="s">
        <v>1009</v>
      </c>
      <c r="E2849" s="43" t="s">
        <v>278</v>
      </c>
      <c r="F2849" s="43" t="s">
        <v>953</v>
      </c>
      <c r="G2849" s="43">
        <v>1077777</v>
      </c>
      <c r="H2849" s="43">
        <v>501100</v>
      </c>
      <c r="I2849" s="43" t="s">
        <v>949</v>
      </c>
      <c r="J2849" s="44" t="s">
        <v>1000</v>
      </c>
    </row>
    <row r="2850" ht="22" customHeight="1" spans="1:10" x14ac:dyDescent="0.25">
      <c r="A2850" s="43">
        <v>3130</v>
      </c>
      <c r="B2850" s="43">
        <v>10</v>
      </c>
      <c r="C2850" s="43" t="s">
        <v>962</v>
      </c>
      <c r="D2850" s="43" t="s">
        <v>1009</v>
      </c>
      <c r="E2850" s="43" t="s">
        <v>278</v>
      </c>
      <c r="F2850" s="43" t="s">
        <v>954</v>
      </c>
      <c r="G2850" s="43">
        <v>1077777</v>
      </c>
      <c r="H2850" s="43">
        <v>501100</v>
      </c>
      <c r="I2850" s="43" t="s">
        <v>949</v>
      </c>
      <c r="J2850" s="44" t="s">
        <v>1000</v>
      </c>
    </row>
    <row r="2851" ht="22" customHeight="1" spans="1:10" x14ac:dyDescent="0.25">
      <c r="A2851" s="43">
        <v>3130</v>
      </c>
      <c r="B2851" s="43">
        <v>10</v>
      </c>
      <c r="C2851" s="43" t="s">
        <v>962</v>
      </c>
      <c r="D2851" s="43" t="s">
        <v>1009</v>
      </c>
      <c r="E2851" s="43" t="s">
        <v>278</v>
      </c>
      <c r="F2851" s="43" t="s">
        <v>955</v>
      </c>
      <c r="G2851" s="43">
        <v>1077777</v>
      </c>
      <c r="H2851" s="43">
        <v>501100</v>
      </c>
      <c r="I2851" s="43" t="s">
        <v>949</v>
      </c>
      <c r="J2851" s="44" t="s">
        <v>1000</v>
      </c>
    </row>
    <row r="2852" ht="22" customHeight="1" spans="1:10" x14ac:dyDescent="0.25">
      <c r="A2852" s="43">
        <v>3130</v>
      </c>
      <c r="B2852" s="43">
        <v>10</v>
      </c>
      <c r="C2852" s="43" t="s">
        <v>962</v>
      </c>
      <c r="D2852" s="43" t="s">
        <v>1009</v>
      </c>
      <c r="E2852" s="43" t="s">
        <v>278</v>
      </c>
      <c r="F2852" s="43" t="s">
        <v>956</v>
      </c>
      <c r="G2852" s="43">
        <v>1077777</v>
      </c>
      <c r="H2852" s="43">
        <v>501100</v>
      </c>
      <c r="I2852" s="43" t="s">
        <v>949</v>
      </c>
      <c r="J2852" s="44" t="s">
        <v>1000</v>
      </c>
    </row>
    <row r="2853" ht="22" customHeight="1" spans="1:10" x14ac:dyDescent="0.25">
      <c r="A2853" s="43">
        <v>3130</v>
      </c>
      <c r="B2853" s="43">
        <v>10</v>
      </c>
      <c r="C2853" s="43" t="s">
        <v>962</v>
      </c>
      <c r="D2853" s="43" t="s">
        <v>1009</v>
      </c>
      <c r="E2853" s="43" t="s">
        <v>278</v>
      </c>
      <c r="F2853" s="43" t="s">
        <v>957</v>
      </c>
      <c r="G2853" s="43">
        <v>1077777</v>
      </c>
      <c r="H2853" s="43">
        <v>501100</v>
      </c>
      <c r="I2853" s="43" t="s">
        <v>949</v>
      </c>
      <c r="J2853" s="44" t="s">
        <v>1000</v>
      </c>
    </row>
    <row r="2854" ht="22" customHeight="1" spans="1:10" x14ac:dyDescent="0.25">
      <c r="A2854" s="43">
        <v>3130</v>
      </c>
      <c r="B2854" s="43">
        <v>10</v>
      </c>
      <c r="C2854" s="43" t="s">
        <v>962</v>
      </c>
      <c r="D2854" s="43" t="s">
        <v>1009</v>
      </c>
      <c r="E2854" s="43" t="s">
        <v>278</v>
      </c>
      <c r="F2854" s="43" t="s">
        <v>958</v>
      </c>
      <c r="G2854" s="43">
        <v>1077777</v>
      </c>
      <c r="H2854" s="43">
        <v>501100</v>
      </c>
      <c r="I2854" s="43" t="s">
        <v>949</v>
      </c>
      <c r="J2854" s="44" t="s">
        <v>1000</v>
      </c>
    </row>
    <row r="2855" ht="22" customHeight="1" spans="1:10" x14ac:dyDescent="0.25">
      <c r="A2855" s="43">
        <v>3130</v>
      </c>
      <c r="B2855" s="43">
        <v>10</v>
      </c>
      <c r="C2855" s="43" t="s">
        <v>962</v>
      </c>
      <c r="D2855" s="43" t="s">
        <v>1009</v>
      </c>
      <c r="E2855" s="43" t="s">
        <v>278</v>
      </c>
      <c r="F2855" s="43" t="s">
        <v>959</v>
      </c>
      <c r="G2855" s="43">
        <v>1077777</v>
      </c>
      <c r="H2855" s="43">
        <v>501100</v>
      </c>
      <c r="I2855" s="43" t="s">
        <v>949</v>
      </c>
      <c r="J2855" s="44" t="s">
        <v>1000</v>
      </c>
    </row>
    <row r="2856" ht="22" customHeight="1" spans="1:10" x14ac:dyDescent="0.25">
      <c r="A2856" s="43">
        <v>3130</v>
      </c>
      <c r="B2856" s="43">
        <v>10</v>
      </c>
      <c r="C2856" s="43" t="s">
        <v>962</v>
      </c>
      <c r="D2856" s="43" t="s">
        <v>1009</v>
      </c>
      <c r="E2856" s="43" t="s">
        <v>278</v>
      </c>
      <c r="F2856" s="43" t="s">
        <v>960</v>
      </c>
      <c r="G2856" s="43">
        <v>1077777</v>
      </c>
      <c r="H2856" s="43">
        <v>501100</v>
      </c>
      <c r="I2856" s="43" t="s">
        <v>949</v>
      </c>
      <c r="J2856" s="44" t="s">
        <v>1000</v>
      </c>
    </row>
    <row r="2857" ht="22" customHeight="1" spans="1:10" x14ac:dyDescent="0.25">
      <c r="A2857" s="43">
        <v>3130</v>
      </c>
      <c r="B2857" s="43">
        <v>10</v>
      </c>
      <c r="C2857" s="43" t="s">
        <v>962</v>
      </c>
      <c r="D2857" s="43" t="s">
        <v>1009</v>
      </c>
      <c r="E2857" s="43" t="s">
        <v>278</v>
      </c>
      <c r="F2857" s="43" t="s">
        <v>961</v>
      </c>
      <c r="G2857" s="43">
        <v>1077777</v>
      </c>
      <c r="H2857" s="43">
        <v>501100</v>
      </c>
      <c r="I2857" s="43" t="s">
        <v>949</v>
      </c>
      <c r="J2857" s="44" t="s">
        <v>1000</v>
      </c>
    </row>
    <row r="2858" ht="22" customHeight="1" spans="1:10" x14ac:dyDescent="0.25">
      <c r="A2858" s="43">
        <v>3130</v>
      </c>
      <c r="B2858" s="43">
        <v>10</v>
      </c>
      <c r="C2858" s="43" t="s">
        <v>963</v>
      </c>
      <c r="D2858" s="43" t="s">
        <v>1009</v>
      </c>
      <c r="E2858" s="43" t="s">
        <v>278</v>
      </c>
      <c r="F2858" s="43" t="s">
        <v>951</v>
      </c>
      <c r="G2858" s="43">
        <v>1077777</v>
      </c>
      <c r="H2858" s="43">
        <v>501100</v>
      </c>
      <c r="I2858" s="43" t="s">
        <v>949</v>
      </c>
      <c r="J2858" s="44" t="s">
        <v>1000</v>
      </c>
    </row>
    <row r="2859" ht="22" customHeight="1" spans="1:10" x14ac:dyDescent="0.25">
      <c r="A2859" s="43">
        <v>3130</v>
      </c>
      <c r="B2859" s="43">
        <v>10</v>
      </c>
      <c r="C2859" s="43" t="s">
        <v>963</v>
      </c>
      <c r="D2859" s="43" t="s">
        <v>1009</v>
      </c>
      <c r="E2859" s="43" t="s">
        <v>278</v>
      </c>
      <c r="F2859" s="43" t="s">
        <v>952</v>
      </c>
      <c r="G2859" s="43">
        <v>1077777</v>
      </c>
      <c r="H2859" s="43">
        <v>501100</v>
      </c>
      <c r="I2859" s="43" t="s">
        <v>949</v>
      </c>
      <c r="J2859" s="44" t="s">
        <v>1000</v>
      </c>
    </row>
    <row r="2860" ht="22" customHeight="1" spans="1:10" x14ac:dyDescent="0.25">
      <c r="A2860" s="43">
        <v>3130</v>
      </c>
      <c r="B2860" s="43">
        <v>10</v>
      </c>
      <c r="C2860" s="43" t="s">
        <v>963</v>
      </c>
      <c r="D2860" s="43" t="s">
        <v>1009</v>
      </c>
      <c r="E2860" s="43" t="s">
        <v>278</v>
      </c>
      <c r="F2860" s="43" t="s">
        <v>953</v>
      </c>
      <c r="G2860" s="43">
        <v>1077777</v>
      </c>
      <c r="H2860" s="43">
        <v>501100</v>
      </c>
      <c r="I2860" s="43" t="s">
        <v>949</v>
      </c>
      <c r="J2860" s="44" t="s">
        <v>1000</v>
      </c>
    </row>
    <row r="2861" ht="22" customHeight="1" spans="1:10" x14ac:dyDescent="0.25">
      <c r="A2861" s="43">
        <v>3130</v>
      </c>
      <c r="B2861" s="43">
        <v>10</v>
      </c>
      <c r="C2861" s="43" t="s">
        <v>963</v>
      </c>
      <c r="D2861" s="43" t="s">
        <v>1009</v>
      </c>
      <c r="E2861" s="43" t="s">
        <v>278</v>
      </c>
      <c r="F2861" s="43" t="s">
        <v>954</v>
      </c>
      <c r="G2861" s="43">
        <v>1077777</v>
      </c>
      <c r="H2861" s="43">
        <v>501100</v>
      </c>
      <c r="I2861" s="43" t="s">
        <v>949</v>
      </c>
      <c r="J2861" s="44" t="s">
        <v>1000</v>
      </c>
    </row>
    <row r="2862" ht="22" customHeight="1" spans="1:10" x14ac:dyDescent="0.25">
      <c r="A2862" s="43">
        <v>3130</v>
      </c>
      <c r="B2862" s="43">
        <v>10</v>
      </c>
      <c r="C2862" s="43" t="s">
        <v>963</v>
      </c>
      <c r="D2862" s="43" t="s">
        <v>1009</v>
      </c>
      <c r="E2862" s="43" t="s">
        <v>278</v>
      </c>
      <c r="F2862" s="43" t="s">
        <v>955</v>
      </c>
      <c r="G2862" s="43">
        <v>1077777</v>
      </c>
      <c r="H2862" s="43">
        <v>501100</v>
      </c>
      <c r="I2862" s="43" t="s">
        <v>949</v>
      </c>
      <c r="J2862" s="44" t="s">
        <v>1000</v>
      </c>
    </row>
    <row r="2863" ht="22" customHeight="1" spans="1:10" x14ac:dyDescent="0.25">
      <c r="A2863" s="43">
        <v>3130</v>
      </c>
      <c r="B2863" s="43">
        <v>10</v>
      </c>
      <c r="C2863" s="43" t="s">
        <v>963</v>
      </c>
      <c r="D2863" s="43" t="s">
        <v>1009</v>
      </c>
      <c r="E2863" s="43" t="s">
        <v>278</v>
      </c>
      <c r="F2863" s="43" t="s">
        <v>956</v>
      </c>
      <c r="G2863" s="43">
        <v>1077777</v>
      </c>
      <c r="H2863" s="43">
        <v>501100</v>
      </c>
      <c r="I2863" s="43" t="s">
        <v>949</v>
      </c>
      <c r="J2863" s="44" t="s">
        <v>1000</v>
      </c>
    </row>
    <row r="2864" ht="22" customHeight="1" spans="1:10" x14ac:dyDescent="0.25">
      <c r="A2864" s="43">
        <v>3130</v>
      </c>
      <c r="B2864" s="43">
        <v>10</v>
      </c>
      <c r="C2864" s="43" t="s">
        <v>963</v>
      </c>
      <c r="D2864" s="43" t="s">
        <v>1009</v>
      </c>
      <c r="E2864" s="43" t="s">
        <v>278</v>
      </c>
      <c r="F2864" s="43" t="s">
        <v>957</v>
      </c>
      <c r="G2864" s="43">
        <v>1077777</v>
      </c>
      <c r="H2864" s="43">
        <v>501100</v>
      </c>
      <c r="I2864" s="43" t="s">
        <v>949</v>
      </c>
      <c r="J2864" s="44" t="s">
        <v>1000</v>
      </c>
    </row>
    <row r="2865" ht="22" customHeight="1" spans="1:10" x14ac:dyDescent="0.25">
      <c r="A2865" s="43">
        <v>3130</v>
      </c>
      <c r="B2865" s="43">
        <v>10</v>
      </c>
      <c r="C2865" s="43" t="s">
        <v>963</v>
      </c>
      <c r="D2865" s="43" t="s">
        <v>1009</v>
      </c>
      <c r="E2865" s="43" t="s">
        <v>278</v>
      </c>
      <c r="F2865" s="43" t="s">
        <v>958</v>
      </c>
      <c r="G2865" s="43">
        <v>1077777</v>
      </c>
      <c r="H2865" s="43">
        <v>501100</v>
      </c>
      <c r="I2865" s="43" t="s">
        <v>949</v>
      </c>
      <c r="J2865" s="44" t="s">
        <v>1000</v>
      </c>
    </row>
    <row r="2866" ht="22" customHeight="1" spans="1:10" x14ac:dyDescent="0.25">
      <c r="A2866" s="43">
        <v>3130</v>
      </c>
      <c r="B2866" s="43">
        <v>10</v>
      </c>
      <c r="C2866" s="43" t="s">
        <v>963</v>
      </c>
      <c r="D2866" s="43" t="s">
        <v>1009</v>
      </c>
      <c r="E2866" s="43" t="s">
        <v>278</v>
      </c>
      <c r="F2866" s="43" t="s">
        <v>959</v>
      </c>
      <c r="G2866" s="43">
        <v>1077777</v>
      </c>
      <c r="H2866" s="43">
        <v>501100</v>
      </c>
      <c r="I2866" s="43" t="s">
        <v>949</v>
      </c>
      <c r="J2866" s="44" t="s">
        <v>1000</v>
      </c>
    </row>
    <row r="2867" ht="22" customHeight="1" spans="1:10" x14ac:dyDescent="0.25">
      <c r="A2867" s="43">
        <v>3130</v>
      </c>
      <c r="B2867" s="43">
        <v>10</v>
      </c>
      <c r="C2867" s="43" t="s">
        <v>963</v>
      </c>
      <c r="D2867" s="43" t="s">
        <v>1009</v>
      </c>
      <c r="E2867" s="43" t="s">
        <v>278</v>
      </c>
      <c r="F2867" s="43" t="s">
        <v>960</v>
      </c>
      <c r="G2867" s="43">
        <v>1077777</v>
      </c>
      <c r="H2867" s="43">
        <v>501100</v>
      </c>
      <c r="I2867" s="43" t="s">
        <v>949</v>
      </c>
      <c r="J2867" s="44" t="s">
        <v>1000</v>
      </c>
    </row>
    <row r="2868" ht="22" customHeight="1" spans="1:10" x14ac:dyDescent="0.25">
      <c r="A2868" s="43">
        <v>3130</v>
      </c>
      <c r="B2868" s="43">
        <v>10</v>
      </c>
      <c r="C2868" s="43" t="s">
        <v>963</v>
      </c>
      <c r="D2868" s="43" t="s">
        <v>1009</v>
      </c>
      <c r="E2868" s="43" t="s">
        <v>278</v>
      </c>
      <c r="F2868" s="43" t="s">
        <v>961</v>
      </c>
      <c r="G2868" s="43">
        <v>1077777</v>
      </c>
      <c r="H2868" s="43">
        <v>501100</v>
      </c>
      <c r="I2868" s="43" t="s">
        <v>949</v>
      </c>
      <c r="J2868" s="44" t="s">
        <v>1000</v>
      </c>
    </row>
    <row r="2869" spans="1:9" x14ac:dyDescent="0.25">
      <c r="A2869">
        <v>4122</v>
      </c>
      <c r="B2869">
        <v>10</v>
      </c>
      <c r="C2869" t="s">
        <v>946</v>
      </c>
      <c r="D2869" t="s">
        <v>1009</v>
      </c>
      <c r="E2869" t="s">
        <v>278</v>
      </c>
      <c r="F2869" t="s">
        <v>948</v>
      </c>
      <c r="G2869">
        <v>1000000</v>
      </c>
      <c r="H2869">
        <v>145000</v>
      </c>
      <c r="I2869" t="s">
        <v>949</v>
      </c>
    </row>
    <row r="2870" spans="1:9" x14ac:dyDescent="0.25">
      <c r="A2870">
        <v>4124</v>
      </c>
      <c r="B2870">
        <v>10</v>
      </c>
      <c r="C2870" t="s">
        <v>946</v>
      </c>
      <c r="D2870" t="s">
        <v>1009</v>
      </c>
      <c r="E2870" t="s">
        <v>278</v>
      </c>
      <c r="F2870" t="s">
        <v>948</v>
      </c>
      <c r="G2870">
        <v>1077777</v>
      </c>
      <c r="H2870">
        <v>501100</v>
      </c>
      <c r="I2870" t="s">
        <v>949</v>
      </c>
    </row>
    <row r="2871" ht="22" customHeight="1" spans="1:10" x14ac:dyDescent="0.25">
      <c r="A2871" s="43">
        <v>3130</v>
      </c>
      <c r="B2871" s="43">
        <v>10</v>
      </c>
      <c r="C2871" s="43" t="s">
        <v>950</v>
      </c>
      <c r="D2871" s="43" t="s">
        <v>1009</v>
      </c>
      <c r="E2871" s="43" t="s">
        <v>282</v>
      </c>
      <c r="F2871" s="43" t="s">
        <v>951</v>
      </c>
      <c r="G2871" s="43">
        <v>1077777</v>
      </c>
      <c r="H2871" s="43">
        <v>501100</v>
      </c>
      <c r="I2871" s="43" t="s">
        <v>949</v>
      </c>
      <c r="J2871" s="44" t="s">
        <v>1000</v>
      </c>
    </row>
    <row r="2872" ht="22" customHeight="1" spans="1:10" x14ac:dyDescent="0.25">
      <c r="A2872" s="43">
        <v>3130</v>
      </c>
      <c r="B2872" s="43">
        <v>10</v>
      </c>
      <c r="C2872" s="43" t="s">
        <v>950</v>
      </c>
      <c r="D2872" s="43" t="s">
        <v>1009</v>
      </c>
      <c r="E2872" s="43" t="s">
        <v>282</v>
      </c>
      <c r="F2872" s="43" t="s">
        <v>952</v>
      </c>
      <c r="G2872" s="43">
        <v>1077777</v>
      </c>
      <c r="H2872" s="43">
        <v>501100</v>
      </c>
      <c r="I2872" s="43" t="s">
        <v>949</v>
      </c>
      <c r="J2872" s="44" t="s">
        <v>1000</v>
      </c>
    </row>
    <row r="2873" ht="22" customHeight="1" spans="1:10" x14ac:dyDescent="0.25">
      <c r="A2873" s="43">
        <v>3130</v>
      </c>
      <c r="B2873" s="43">
        <v>10</v>
      </c>
      <c r="C2873" s="43" t="s">
        <v>950</v>
      </c>
      <c r="D2873" s="43" t="s">
        <v>1009</v>
      </c>
      <c r="E2873" s="43" t="s">
        <v>282</v>
      </c>
      <c r="F2873" s="43" t="s">
        <v>953</v>
      </c>
      <c r="G2873" s="43">
        <v>1077777</v>
      </c>
      <c r="H2873" s="43">
        <v>501100</v>
      </c>
      <c r="I2873" s="43" t="s">
        <v>949</v>
      </c>
      <c r="J2873" s="44" t="s">
        <v>1000</v>
      </c>
    </row>
    <row r="2874" ht="22" customHeight="1" spans="1:10" x14ac:dyDescent="0.25">
      <c r="A2874" s="43">
        <v>3130</v>
      </c>
      <c r="B2874" s="43">
        <v>10</v>
      </c>
      <c r="C2874" s="43" t="s">
        <v>950</v>
      </c>
      <c r="D2874" s="43" t="s">
        <v>1009</v>
      </c>
      <c r="E2874" s="43" t="s">
        <v>282</v>
      </c>
      <c r="F2874" s="43" t="s">
        <v>954</v>
      </c>
      <c r="G2874" s="43">
        <v>1077777</v>
      </c>
      <c r="H2874" s="43">
        <v>501100</v>
      </c>
      <c r="I2874" s="43" t="s">
        <v>949</v>
      </c>
      <c r="J2874" s="44" t="s">
        <v>1000</v>
      </c>
    </row>
    <row r="2875" ht="22" customHeight="1" spans="1:10" x14ac:dyDescent="0.25">
      <c r="A2875" s="43">
        <v>3130</v>
      </c>
      <c r="B2875" s="43">
        <v>10</v>
      </c>
      <c r="C2875" s="43" t="s">
        <v>950</v>
      </c>
      <c r="D2875" s="43" t="s">
        <v>1009</v>
      </c>
      <c r="E2875" s="43" t="s">
        <v>282</v>
      </c>
      <c r="F2875" s="43" t="s">
        <v>955</v>
      </c>
      <c r="G2875" s="43">
        <v>1077777</v>
      </c>
      <c r="H2875" s="43">
        <v>501100</v>
      </c>
      <c r="I2875" s="43" t="s">
        <v>949</v>
      </c>
      <c r="J2875" s="44" t="s">
        <v>1000</v>
      </c>
    </row>
    <row r="2876" ht="22" customHeight="1" spans="1:10" x14ac:dyDescent="0.25">
      <c r="A2876" s="43">
        <v>3130</v>
      </c>
      <c r="B2876" s="43">
        <v>10</v>
      </c>
      <c r="C2876" s="43" t="s">
        <v>950</v>
      </c>
      <c r="D2876" s="43" t="s">
        <v>1009</v>
      </c>
      <c r="E2876" s="43" t="s">
        <v>282</v>
      </c>
      <c r="F2876" s="43" t="s">
        <v>956</v>
      </c>
      <c r="G2876" s="43">
        <v>1077777</v>
      </c>
      <c r="H2876" s="43">
        <v>501100</v>
      </c>
      <c r="I2876" s="43" t="s">
        <v>949</v>
      </c>
      <c r="J2876" s="44" t="s">
        <v>1000</v>
      </c>
    </row>
    <row r="2877" ht="22" customHeight="1" spans="1:10" x14ac:dyDescent="0.25">
      <c r="A2877" s="43">
        <v>3130</v>
      </c>
      <c r="B2877" s="43">
        <v>10</v>
      </c>
      <c r="C2877" s="43" t="s">
        <v>950</v>
      </c>
      <c r="D2877" s="43" t="s">
        <v>1009</v>
      </c>
      <c r="E2877" s="43" t="s">
        <v>282</v>
      </c>
      <c r="F2877" s="43" t="s">
        <v>957</v>
      </c>
      <c r="G2877" s="43">
        <v>1077777</v>
      </c>
      <c r="H2877" s="43">
        <v>501100</v>
      </c>
      <c r="I2877" s="43" t="s">
        <v>949</v>
      </c>
      <c r="J2877" s="44" t="s">
        <v>1000</v>
      </c>
    </row>
    <row r="2878" ht="22" customHeight="1" spans="1:10" x14ac:dyDescent="0.25">
      <c r="A2878" s="43">
        <v>3130</v>
      </c>
      <c r="B2878" s="43">
        <v>10</v>
      </c>
      <c r="C2878" s="43" t="s">
        <v>950</v>
      </c>
      <c r="D2878" s="43" t="s">
        <v>1009</v>
      </c>
      <c r="E2878" s="43" t="s">
        <v>282</v>
      </c>
      <c r="F2878" s="43" t="s">
        <v>958</v>
      </c>
      <c r="G2878" s="43">
        <v>1077777</v>
      </c>
      <c r="H2878" s="43">
        <v>501100</v>
      </c>
      <c r="I2878" s="43" t="s">
        <v>949</v>
      </c>
      <c r="J2878" s="44" t="s">
        <v>1000</v>
      </c>
    </row>
    <row r="2879" ht="22" customHeight="1" spans="1:10" x14ac:dyDescent="0.25">
      <c r="A2879" s="43">
        <v>3130</v>
      </c>
      <c r="B2879" s="43">
        <v>10</v>
      </c>
      <c r="C2879" s="43" t="s">
        <v>950</v>
      </c>
      <c r="D2879" s="43" t="s">
        <v>1009</v>
      </c>
      <c r="E2879" s="43" t="s">
        <v>282</v>
      </c>
      <c r="F2879" s="43" t="s">
        <v>959</v>
      </c>
      <c r="G2879" s="43">
        <v>1077777</v>
      </c>
      <c r="H2879" s="43">
        <v>501100</v>
      </c>
      <c r="I2879" s="43" t="s">
        <v>949</v>
      </c>
      <c r="J2879" s="44" t="s">
        <v>1000</v>
      </c>
    </row>
    <row r="2880" ht="22" customHeight="1" spans="1:10" x14ac:dyDescent="0.25">
      <c r="A2880" s="43">
        <v>3130</v>
      </c>
      <c r="B2880" s="43">
        <v>10</v>
      </c>
      <c r="C2880" s="43" t="s">
        <v>950</v>
      </c>
      <c r="D2880" s="43" t="s">
        <v>1009</v>
      </c>
      <c r="E2880" s="43" t="s">
        <v>282</v>
      </c>
      <c r="F2880" s="43" t="s">
        <v>960</v>
      </c>
      <c r="G2880" s="43">
        <v>1077777</v>
      </c>
      <c r="H2880" s="43">
        <v>501100</v>
      </c>
      <c r="I2880" s="43" t="s">
        <v>949</v>
      </c>
      <c r="J2880" s="44" t="s">
        <v>1000</v>
      </c>
    </row>
    <row r="2881" ht="22" customHeight="1" spans="1:10" x14ac:dyDescent="0.25">
      <c r="A2881" s="43">
        <v>3130</v>
      </c>
      <c r="B2881" s="43">
        <v>10</v>
      </c>
      <c r="C2881" s="43" t="s">
        <v>950</v>
      </c>
      <c r="D2881" s="43" t="s">
        <v>1009</v>
      </c>
      <c r="E2881" s="43" t="s">
        <v>282</v>
      </c>
      <c r="F2881" s="43" t="s">
        <v>961</v>
      </c>
      <c r="G2881" s="43">
        <v>1077777</v>
      </c>
      <c r="H2881" s="43">
        <v>501100</v>
      </c>
      <c r="I2881" s="43" t="s">
        <v>949</v>
      </c>
      <c r="J2881" s="44" t="s">
        <v>1000</v>
      </c>
    </row>
    <row r="2882" ht="22" customHeight="1" spans="1:10" x14ac:dyDescent="0.25">
      <c r="A2882" s="43">
        <v>3130</v>
      </c>
      <c r="B2882" s="43">
        <v>10</v>
      </c>
      <c r="C2882" s="43" t="s">
        <v>962</v>
      </c>
      <c r="D2882" s="43" t="s">
        <v>1009</v>
      </c>
      <c r="E2882" s="43" t="s">
        <v>282</v>
      </c>
      <c r="F2882" s="43" t="s">
        <v>951</v>
      </c>
      <c r="G2882" s="43">
        <v>1077777</v>
      </c>
      <c r="H2882" s="43">
        <v>501100</v>
      </c>
      <c r="I2882" s="43" t="s">
        <v>949</v>
      </c>
      <c r="J2882" s="44" t="s">
        <v>1000</v>
      </c>
    </row>
    <row r="2883" ht="22" customHeight="1" spans="1:10" x14ac:dyDescent="0.25">
      <c r="A2883" s="43">
        <v>3130</v>
      </c>
      <c r="B2883" s="43">
        <v>10</v>
      </c>
      <c r="C2883" s="43" t="s">
        <v>962</v>
      </c>
      <c r="D2883" s="43" t="s">
        <v>1009</v>
      </c>
      <c r="E2883" s="43" t="s">
        <v>282</v>
      </c>
      <c r="F2883" s="43" t="s">
        <v>952</v>
      </c>
      <c r="G2883" s="43">
        <v>1077777</v>
      </c>
      <c r="H2883" s="43">
        <v>501100</v>
      </c>
      <c r="I2883" s="43" t="s">
        <v>949</v>
      </c>
      <c r="J2883" s="44" t="s">
        <v>1000</v>
      </c>
    </row>
    <row r="2884" ht="22" customHeight="1" spans="1:10" x14ac:dyDescent="0.25">
      <c r="A2884" s="43">
        <v>3130</v>
      </c>
      <c r="B2884" s="43">
        <v>10</v>
      </c>
      <c r="C2884" s="43" t="s">
        <v>962</v>
      </c>
      <c r="D2884" s="43" t="s">
        <v>1009</v>
      </c>
      <c r="E2884" s="43" t="s">
        <v>282</v>
      </c>
      <c r="F2884" s="43" t="s">
        <v>953</v>
      </c>
      <c r="G2884" s="43">
        <v>1077777</v>
      </c>
      <c r="H2884" s="43">
        <v>501100</v>
      </c>
      <c r="I2884" s="43" t="s">
        <v>949</v>
      </c>
      <c r="J2884" s="44" t="s">
        <v>1000</v>
      </c>
    </row>
    <row r="2885" ht="22" customHeight="1" spans="1:10" x14ac:dyDescent="0.25">
      <c r="A2885" s="43">
        <v>3130</v>
      </c>
      <c r="B2885" s="43">
        <v>10</v>
      </c>
      <c r="C2885" s="43" t="s">
        <v>962</v>
      </c>
      <c r="D2885" s="43" t="s">
        <v>1009</v>
      </c>
      <c r="E2885" s="43" t="s">
        <v>282</v>
      </c>
      <c r="F2885" s="43" t="s">
        <v>954</v>
      </c>
      <c r="G2885" s="43">
        <v>1077777</v>
      </c>
      <c r="H2885" s="43">
        <v>501100</v>
      </c>
      <c r="I2885" s="43" t="s">
        <v>949</v>
      </c>
      <c r="J2885" s="44" t="s">
        <v>1000</v>
      </c>
    </row>
    <row r="2886" ht="22" customHeight="1" spans="1:10" x14ac:dyDescent="0.25">
      <c r="A2886" s="43">
        <v>3130</v>
      </c>
      <c r="B2886" s="43">
        <v>10</v>
      </c>
      <c r="C2886" s="43" t="s">
        <v>962</v>
      </c>
      <c r="D2886" s="43" t="s">
        <v>1009</v>
      </c>
      <c r="E2886" s="43" t="s">
        <v>282</v>
      </c>
      <c r="F2886" s="43" t="s">
        <v>955</v>
      </c>
      <c r="G2886" s="43">
        <v>1077777</v>
      </c>
      <c r="H2886" s="43">
        <v>501100</v>
      </c>
      <c r="I2886" s="43" t="s">
        <v>949</v>
      </c>
      <c r="J2886" s="44" t="s">
        <v>1000</v>
      </c>
    </row>
    <row r="2887" ht="22" customHeight="1" spans="1:10" x14ac:dyDescent="0.25">
      <c r="A2887" s="43">
        <v>3130</v>
      </c>
      <c r="B2887" s="43">
        <v>10</v>
      </c>
      <c r="C2887" s="43" t="s">
        <v>962</v>
      </c>
      <c r="D2887" s="43" t="s">
        <v>1009</v>
      </c>
      <c r="E2887" s="43" t="s">
        <v>282</v>
      </c>
      <c r="F2887" s="43" t="s">
        <v>956</v>
      </c>
      <c r="G2887" s="43">
        <v>1077777</v>
      </c>
      <c r="H2887" s="43">
        <v>501100</v>
      </c>
      <c r="I2887" s="43" t="s">
        <v>949</v>
      </c>
      <c r="J2887" s="44" t="s">
        <v>1000</v>
      </c>
    </row>
    <row r="2888" ht="22" customHeight="1" spans="1:10" x14ac:dyDescent="0.25">
      <c r="A2888" s="43">
        <v>3130</v>
      </c>
      <c r="B2888" s="43">
        <v>10</v>
      </c>
      <c r="C2888" s="43" t="s">
        <v>962</v>
      </c>
      <c r="D2888" s="43" t="s">
        <v>1009</v>
      </c>
      <c r="E2888" s="43" t="s">
        <v>282</v>
      </c>
      <c r="F2888" s="43" t="s">
        <v>957</v>
      </c>
      <c r="G2888" s="43">
        <v>1077777</v>
      </c>
      <c r="H2888" s="43">
        <v>501100</v>
      </c>
      <c r="I2888" s="43" t="s">
        <v>949</v>
      </c>
      <c r="J2888" s="44" t="s">
        <v>1000</v>
      </c>
    </row>
    <row r="2889" ht="22" customHeight="1" spans="1:10" x14ac:dyDescent="0.25">
      <c r="A2889" s="43">
        <v>3130</v>
      </c>
      <c r="B2889" s="43">
        <v>10</v>
      </c>
      <c r="C2889" s="43" t="s">
        <v>962</v>
      </c>
      <c r="D2889" s="43" t="s">
        <v>1009</v>
      </c>
      <c r="E2889" s="43" t="s">
        <v>282</v>
      </c>
      <c r="F2889" s="43" t="s">
        <v>958</v>
      </c>
      <c r="G2889" s="43">
        <v>1077777</v>
      </c>
      <c r="H2889" s="43">
        <v>501100</v>
      </c>
      <c r="I2889" s="43" t="s">
        <v>949</v>
      </c>
      <c r="J2889" s="44" t="s">
        <v>1000</v>
      </c>
    </row>
    <row r="2890" ht="22" customHeight="1" spans="1:10" x14ac:dyDescent="0.25">
      <c r="A2890" s="43">
        <v>3130</v>
      </c>
      <c r="B2890" s="43">
        <v>10</v>
      </c>
      <c r="C2890" s="43" t="s">
        <v>962</v>
      </c>
      <c r="D2890" s="43" t="s">
        <v>1009</v>
      </c>
      <c r="E2890" s="43" t="s">
        <v>282</v>
      </c>
      <c r="F2890" s="43" t="s">
        <v>959</v>
      </c>
      <c r="G2890" s="43">
        <v>1077777</v>
      </c>
      <c r="H2890" s="43">
        <v>501100</v>
      </c>
      <c r="I2890" s="43" t="s">
        <v>949</v>
      </c>
      <c r="J2890" s="44" t="s">
        <v>1000</v>
      </c>
    </row>
    <row r="2891" ht="22" customHeight="1" spans="1:10" x14ac:dyDescent="0.25">
      <c r="A2891" s="43">
        <v>3130</v>
      </c>
      <c r="B2891" s="43">
        <v>10</v>
      </c>
      <c r="C2891" s="43" t="s">
        <v>962</v>
      </c>
      <c r="D2891" s="43" t="s">
        <v>1009</v>
      </c>
      <c r="E2891" s="43" t="s">
        <v>282</v>
      </c>
      <c r="F2891" s="43" t="s">
        <v>960</v>
      </c>
      <c r="G2891" s="43">
        <v>1077777</v>
      </c>
      <c r="H2891" s="43">
        <v>501100</v>
      </c>
      <c r="I2891" s="43" t="s">
        <v>949</v>
      </c>
      <c r="J2891" s="44" t="s">
        <v>1000</v>
      </c>
    </row>
    <row r="2892" ht="22" customHeight="1" spans="1:10" x14ac:dyDescent="0.25">
      <c r="A2892" s="43">
        <v>3130</v>
      </c>
      <c r="B2892" s="43">
        <v>10</v>
      </c>
      <c r="C2892" s="43" t="s">
        <v>962</v>
      </c>
      <c r="D2892" s="43" t="s">
        <v>1009</v>
      </c>
      <c r="E2892" s="43" t="s">
        <v>282</v>
      </c>
      <c r="F2892" s="43" t="s">
        <v>961</v>
      </c>
      <c r="G2892" s="43">
        <v>1077777</v>
      </c>
      <c r="H2892" s="43">
        <v>501100</v>
      </c>
      <c r="I2892" s="43" t="s">
        <v>949</v>
      </c>
      <c r="J2892" s="44" t="s">
        <v>1000</v>
      </c>
    </row>
    <row r="2893" ht="22" customHeight="1" spans="1:10" x14ac:dyDescent="0.25">
      <c r="A2893" s="43">
        <v>3130</v>
      </c>
      <c r="B2893" s="43">
        <v>10</v>
      </c>
      <c r="C2893" s="43" t="s">
        <v>963</v>
      </c>
      <c r="D2893" s="43" t="s">
        <v>1009</v>
      </c>
      <c r="E2893" s="43" t="s">
        <v>282</v>
      </c>
      <c r="F2893" s="43" t="s">
        <v>951</v>
      </c>
      <c r="G2893" s="43">
        <v>1077777</v>
      </c>
      <c r="H2893" s="43">
        <v>501100</v>
      </c>
      <c r="I2893" s="43" t="s">
        <v>949</v>
      </c>
      <c r="J2893" s="44" t="s">
        <v>1000</v>
      </c>
    </row>
    <row r="2894" ht="22" customHeight="1" spans="1:10" x14ac:dyDescent="0.25">
      <c r="A2894" s="43">
        <v>3130</v>
      </c>
      <c r="B2894" s="43">
        <v>10</v>
      </c>
      <c r="C2894" s="43" t="s">
        <v>963</v>
      </c>
      <c r="D2894" s="43" t="s">
        <v>1009</v>
      </c>
      <c r="E2894" s="43" t="s">
        <v>282</v>
      </c>
      <c r="F2894" s="43" t="s">
        <v>952</v>
      </c>
      <c r="G2894" s="43">
        <v>1077777</v>
      </c>
      <c r="H2894" s="43">
        <v>501100</v>
      </c>
      <c r="I2894" s="43" t="s">
        <v>949</v>
      </c>
      <c r="J2894" s="44" t="s">
        <v>1000</v>
      </c>
    </row>
    <row r="2895" ht="22" customHeight="1" spans="1:10" x14ac:dyDescent="0.25">
      <c r="A2895" s="43">
        <v>3130</v>
      </c>
      <c r="B2895" s="43">
        <v>10</v>
      </c>
      <c r="C2895" s="43" t="s">
        <v>963</v>
      </c>
      <c r="D2895" s="43" t="s">
        <v>1009</v>
      </c>
      <c r="E2895" s="43" t="s">
        <v>282</v>
      </c>
      <c r="F2895" s="43" t="s">
        <v>953</v>
      </c>
      <c r="G2895" s="43">
        <v>1077777</v>
      </c>
      <c r="H2895" s="43">
        <v>501100</v>
      </c>
      <c r="I2895" s="43" t="s">
        <v>949</v>
      </c>
      <c r="J2895" s="44" t="s">
        <v>1000</v>
      </c>
    </row>
    <row r="2896" ht="22" customHeight="1" spans="1:10" x14ac:dyDescent="0.25">
      <c r="A2896" s="43">
        <v>3130</v>
      </c>
      <c r="B2896" s="43">
        <v>10</v>
      </c>
      <c r="C2896" s="43" t="s">
        <v>963</v>
      </c>
      <c r="D2896" s="43" t="s">
        <v>1009</v>
      </c>
      <c r="E2896" s="43" t="s">
        <v>282</v>
      </c>
      <c r="F2896" s="43" t="s">
        <v>954</v>
      </c>
      <c r="G2896" s="43">
        <v>1077777</v>
      </c>
      <c r="H2896" s="43">
        <v>501100</v>
      </c>
      <c r="I2896" s="43" t="s">
        <v>949</v>
      </c>
      <c r="J2896" s="44" t="s">
        <v>1000</v>
      </c>
    </row>
    <row r="2897" ht="22" customHeight="1" spans="1:10" x14ac:dyDescent="0.25">
      <c r="A2897" s="43">
        <v>3130</v>
      </c>
      <c r="B2897" s="43">
        <v>10</v>
      </c>
      <c r="C2897" s="43" t="s">
        <v>963</v>
      </c>
      <c r="D2897" s="43" t="s">
        <v>1009</v>
      </c>
      <c r="E2897" s="43" t="s">
        <v>282</v>
      </c>
      <c r="F2897" s="43" t="s">
        <v>955</v>
      </c>
      <c r="G2897" s="43">
        <v>1077777</v>
      </c>
      <c r="H2897" s="43">
        <v>501100</v>
      </c>
      <c r="I2897" s="43" t="s">
        <v>949</v>
      </c>
      <c r="J2897" s="44" t="s">
        <v>1000</v>
      </c>
    </row>
    <row r="2898" ht="22" customHeight="1" spans="1:10" x14ac:dyDescent="0.25">
      <c r="A2898" s="43">
        <v>3130</v>
      </c>
      <c r="B2898" s="43">
        <v>10</v>
      </c>
      <c r="C2898" s="43" t="s">
        <v>963</v>
      </c>
      <c r="D2898" s="43" t="s">
        <v>1009</v>
      </c>
      <c r="E2898" s="43" t="s">
        <v>282</v>
      </c>
      <c r="F2898" s="43" t="s">
        <v>956</v>
      </c>
      <c r="G2898" s="43">
        <v>1077777</v>
      </c>
      <c r="H2898" s="43">
        <v>501100</v>
      </c>
      <c r="I2898" s="43" t="s">
        <v>949</v>
      </c>
      <c r="J2898" s="44" t="s">
        <v>1000</v>
      </c>
    </row>
    <row r="2899" ht="22" customHeight="1" spans="1:10" x14ac:dyDescent="0.25">
      <c r="A2899" s="43">
        <v>3130</v>
      </c>
      <c r="B2899" s="43">
        <v>10</v>
      </c>
      <c r="C2899" s="43" t="s">
        <v>963</v>
      </c>
      <c r="D2899" s="43" t="s">
        <v>1009</v>
      </c>
      <c r="E2899" s="43" t="s">
        <v>282</v>
      </c>
      <c r="F2899" s="43" t="s">
        <v>957</v>
      </c>
      <c r="G2899" s="43">
        <v>1077777</v>
      </c>
      <c r="H2899" s="43">
        <v>501100</v>
      </c>
      <c r="I2899" s="43" t="s">
        <v>949</v>
      </c>
      <c r="J2899" s="44" t="s">
        <v>1000</v>
      </c>
    </row>
    <row r="2900" ht="22" customHeight="1" spans="1:10" x14ac:dyDescent="0.25">
      <c r="A2900" s="43">
        <v>3130</v>
      </c>
      <c r="B2900" s="43">
        <v>10</v>
      </c>
      <c r="C2900" s="43" t="s">
        <v>963</v>
      </c>
      <c r="D2900" s="43" t="s">
        <v>1009</v>
      </c>
      <c r="E2900" s="43" t="s">
        <v>282</v>
      </c>
      <c r="F2900" s="43" t="s">
        <v>958</v>
      </c>
      <c r="G2900" s="43">
        <v>1077777</v>
      </c>
      <c r="H2900" s="43">
        <v>501100</v>
      </c>
      <c r="I2900" s="43" t="s">
        <v>949</v>
      </c>
      <c r="J2900" s="44" t="s">
        <v>1000</v>
      </c>
    </row>
    <row r="2901" ht="22" customHeight="1" spans="1:10" x14ac:dyDescent="0.25">
      <c r="A2901" s="43">
        <v>3130</v>
      </c>
      <c r="B2901" s="43">
        <v>10</v>
      </c>
      <c r="C2901" s="43" t="s">
        <v>963</v>
      </c>
      <c r="D2901" s="43" t="s">
        <v>1009</v>
      </c>
      <c r="E2901" s="43" t="s">
        <v>282</v>
      </c>
      <c r="F2901" s="43" t="s">
        <v>959</v>
      </c>
      <c r="G2901" s="43">
        <v>1077777</v>
      </c>
      <c r="H2901" s="43">
        <v>501100</v>
      </c>
      <c r="I2901" s="43" t="s">
        <v>949</v>
      </c>
      <c r="J2901" s="44" t="s">
        <v>1000</v>
      </c>
    </row>
    <row r="2902" ht="22" customHeight="1" spans="1:10" x14ac:dyDescent="0.25">
      <c r="A2902" s="43">
        <v>3130</v>
      </c>
      <c r="B2902" s="43">
        <v>10</v>
      </c>
      <c r="C2902" s="43" t="s">
        <v>963</v>
      </c>
      <c r="D2902" s="43" t="s">
        <v>1009</v>
      </c>
      <c r="E2902" s="43" t="s">
        <v>282</v>
      </c>
      <c r="F2902" s="43" t="s">
        <v>960</v>
      </c>
      <c r="G2902" s="43">
        <v>1077777</v>
      </c>
      <c r="H2902" s="43">
        <v>501100</v>
      </c>
      <c r="I2902" s="43" t="s">
        <v>949</v>
      </c>
      <c r="J2902" s="44" t="s">
        <v>1000</v>
      </c>
    </row>
    <row r="2903" ht="22" customHeight="1" spans="1:10" x14ac:dyDescent="0.25">
      <c r="A2903" s="43">
        <v>3130</v>
      </c>
      <c r="B2903" s="43">
        <v>10</v>
      </c>
      <c r="C2903" s="43" t="s">
        <v>963</v>
      </c>
      <c r="D2903" s="43" t="s">
        <v>1009</v>
      </c>
      <c r="E2903" s="43" t="s">
        <v>282</v>
      </c>
      <c r="F2903" s="43" t="s">
        <v>961</v>
      </c>
      <c r="G2903" s="43">
        <v>1077777</v>
      </c>
      <c r="H2903" s="43">
        <v>501100</v>
      </c>
      <c r="I2903" s="43" t="s">
        <v>949</v>
      </c>
      <c r="J2903" s="44" t="s">
        <v>1000</v>
      </c>
    </row>
    <row r="2904" spans="1:9" x14ac:dyDescent="0.25">
      <c r="A2904">
        <v>4122</v>
      </c>
      <c r="B2904">
        <v>10</v>
      </c>
      <c r="C2904" t="s">
        <v>946</v>
      </c>
      <c r="D2904" t="s">
        <v>1009</v>
      </c>
      <c r="E2904" t="s">
        <v>282</v>
      </c>
      <c r="F2904" t="s">
        <v>948</v>
      </c>
      <c r="G2904">
        <v>1000000</v>
      </c>
      <c r="H2904">
        <v>143100</v>
      </c>
      <c r="I2904" t="s">
        <v>949</v>
      </c>
    </row>
    <row r="2905" spans="1:9" x14ac:dyDescent="0.25">
      <c r="A2905">
        <v>4124</v>
      </c>
      <c r="B2905">
        <v>10</v>
      </c>
      <c r="C2905" t="s">
        <v>946</v>
      </c>
      <c r="D2905" t="s">
        <v>1009</v>
      </c>
      <c r="E2905" t="s">
        <v>282</v>
      </c>
      <c r="F2905" t="s">
        <v>948</v>
      </c>
      <c r="G2905">
        <v>1077777</v>
      </c>
      <c r="H2905">
        <v>501100</v>
      </c>
      <c r="I2905" t="s">
        <v>949</v>
      </c>
    </row>
    <row r="2906" ht="22" customHeight="1" spans="1:10" x14ac:dyDescent="0.25">
      <c r="A2906" s="43">
        <v>3130</v>
      </c>
      <c r="B2906" s="43">
        <v>10</v>
      </c>
      <c r="C2906" s="43" t="s">
        <v>950</v>
      </c>
      <c r="D2906" s="43" t="s">
        <v>1009</v>
      </c>
      <c r="E2906" s="43" t="s">
        <v>39</v>
      </c>
      <c r="F2906" s="43" t="s">
        <v>951</v>
      </c>
      <c r="G2906" s="43">
        <v>1077777</v>
      </c>
      <c r="H2906" s="43">
        <v>501100</v>
      </c>
      <c r="I2906" s="43" t="s">
        <v>949</v>
      </c>
      <c r="J2906" s="44" t="s">
        <v>1000</v>
      </c>
    </row>
    <row r="2907" ht="22" customHeight="1" spans="1:10" x14ac:dyDescent="0.25">
      <c r="A2907" s="43">
        <v>3130</v>
      </c>
      <c r="B2907" s="43">
        <v>10</v>
      </c>
      <c r="C2907" s="43" t="s">
        <v>950</v>
      </c>
      <c r="D2907" s="43" t="s">
        <v>1009</v>
      </c>
      <c r="E2907" s="43" t="s">
        <v>39</v>
      </c>
      <c r="F2907" s="43" t="s">
        <v>952</v>
      </c>
      <c r="G2907" s="43">
        <v>1077777</v>
      </c>
      <c r="H2907" s="43">
        <v>501100</v>
      </c>
      <c r="I2907" s="43" t="s">
        <v>949</v>
      </c>
      <c r="J2907" s="44" t="s">
        <v>1000</v>
      </c>
    </row>
    <row r="2908" ht="22" customHeight="1" spans="1:10" x14ac:dyDescent="0.25">
      <c r="A2908" s="43">
        <v>3130</v>
      </c>
      <c r="B2908" s="43">
        <v>10</v>
      </c>
      <c r="C2908" s="43" t="s">
        <v>950</v>
      </c>
      <c r="D2908" s="43" t="s">
        <v>1009</v>
      </c>
      <c r="E2908" s="43" t="s">
        <v>39</v>
      </c>
      <c r="F2908" s="43" t="s">
        <v>953</v>
      </c>
      <c r="G2908" s="43">
        <v>1077777</v>
      </c>
      <c r="H2908" s="43">
        <v>501100</v>
      </c>
      <c r="I2908" s="43" t="s">
        <v>949</v>
      </c>
      <c r="J2908" s="44" t="s">
        <v>1000</v>
      </c>
    </row>
    <row r="2909" ht="22" customHeight="1" spans="1:10" x14ac:dyDescent="0.25">
      <c r="A2909" s="43">
        <v>3130</v>
      </c>
      <c r="B2909" s="43">
        <v>10</v>
      </c>
      <c r="C2909" s="43" t="s">
        <v>950</v>
      </c>
      <c r="D2909" s="43" t="s">
        <v>1009</v>
      </c>
      <c r="E2909" s="43" t="s">
        <v>39</v>
      </c>
      <c r="F2909" s="43" t="s">
        <v>954</v>
      </c>
      <c r="G2909" s="43">
        <v>1077777</v>
      </c>
      <c r="H2909" s="43">
        <v>501100</v>
      </c>
      <c r="I2909" s="43" t="s">
        <v>949</v>
      </c>
      <c r="J2909" s="44" t="s">
        <v>1000</v>
      </c>
    </row>
    <row r="2910" ht="22" customHeight="1" spans="1:10" x14ac:dyDescent="0.25">
      <c r="A2910" s="43">
        <v>3130</v>
      </c>
      <c r="B2910" s="43">
        <v>10</v>
      </c>
      <c r="C2910" s="43" t="s">
        <v>950</v>
      </c>
      <c r="D2910" s="43" t="s">
        <v>1009</v>
      </c>
      <c r="E2910" s="43" t="s">
        <v>39</v>
      </c>
      <c r="F2910" s="43" t="s">
        <v>955</v>
      </c>
      <c r="G2910" s="43">
        <v>1077777</v>
      </c>
      <c r="H2910" s="43">
        <v>501100</v>
      </c>
      <c r="I2910" s="43" t="s">
        <v>949</v>
      </c>
      <c r="J2910" s="44" t="s">
        <v>1000</v>
      </c>
    </row>
    <row r="2911" ht="22" customHeight="1" spans="1:10" x14ac:dyDescent="0.25">
      <c r="A2911" s="43">
        <v>3130</v>
      </c>
      <c r="B2911" s="43">
        <v>10</v>
      </c>
      <c r="C2911" s="43" t="s">
        <v>950</v>
      </c>
      <c r="D2911" s="43" t="s">
        <v>1009</v>
      </c>
      <c r="E2911" s="43" t="s">
        <v>39</v>
      </c>
      <c r="F2911" s="43" t="s">
        <v>956</v>
      </c>
      <c r="G2911" s="43">
        <v>1077777</v>
      </c>
      <c r="H2911" s="43">
        <v>501100</v>
      </c>
      <c r="I2911" s="43" t="s">
        <v>949</v>
      </c>
      <c r="J2911" s="44" t="s">
        <v>1000</v>
      </c>
    </row>
    <row r="2912" ht="22" customHeight="1" spans="1:10" x14ac:dyDescent="0.25">
      <c r="A2912" s="43">
        <v>3130</v>
      </c>
      <c r="B2912" s="43">
        <v>10</v>
      </c>
      <c r="C2912" s="43" t="s">
        <v>950</v>
      </c>
      <c r="D2912" s="43" t="s">
        <v>1009</v>
      </c>
      <c r="E2912" s="43" t="s">
        <v>39</v>
      </c>
      <c r="F2912" s="43" t="s">
        <v>957</v>
      </c>
      <c r="G2912" s="43">
        <v>1077777</v>
      </c>
      <c r="H2912" s="43">
        <v>501100</v>
      </c>
      <c r="I2912" s="43" t="s">
        <v>949</v>
      </c>
      <c r="J2912" s="44" t="s">
        <v>1000</v>
      </c>
    </row>
    <row r="2913" ht="22" customHeight="1" spans="1:10" x14ac:dyDescent="0.25">
      <c r="A2913" s="43">
        <v>3130</v>
      </c>
      <c r="B2913" s="43">
        <v>10</v>
      </c>
      <c r="C2913" s="43" t="s">
        <v>950</v>
      </c>
      <c r="D2913" s="43" t="s">
        <v>1009</v>
      </c>
      <c r="E2913" s="43" t="s">
        <v>39</v>
      </c>
      <c r="F2913" s="43" t="s">
        <v>958</v>
      </c>
      <c r="G2913" s="43">
        <v>1077777</v>
      </c>
      <c r="H2913" s="43">
        <v>501100</v>
      </c>
      <c r="I2913" s="43" t="s">
        <v>949</v>
      </c>
      <c r="J2913" s="44" t="s">
        <v>1000</v>
      </c>
    </row>
    <row r="2914" ht="22" customHeight="1" spans="1:10" x14ac:dyDescent="0.25">
      <c r="A2914" s="43">
        <v>3130</v>
      </c>
      <c r="B2914" s="43">
        <v>10</v>
      </c>
      <c r="C2914" s="43" t="s">
        <v>950</v>
      </c>
      <c r="D2914" s="43" t="s">
        <v>1009</v>
      </c>
      <c r="E2914" s="43" t="s">
        <v>39</v>
      </c>
      <c r="F2914" s="43" t="s">
        <v>959</v>
      </c>
      <c r="G2914" s="43">
        <v>1077777</v>
      </c>
      <c r="H2914" s="43">
        <v>501100</v>
      </c>
      <c r="I2914" s="43" t="s">
        <v>949</v>
      </c>
      <c r="J2914" s="44" t="s">
        <v>1000</v>
      </c>
    </row>
    <row r="2915" ht="22" customHeight="1" spans="1:10" x14ac:dyDescent="0.25">
      <c r="A2915" s="43">
        <v>3130</v>
      </c>
      <c r="B2915" s="43">
        <v>10</v>
      </c>
      <c r="C2915" s="43" t="s">
        <v>950</v>
      </c>
      <c r="D2915" s="43" t="s">
        <v>1009</v>
      </c>
      <c r="E2915" s="43" t="s">
        <v>39</v>
      </c>
      <c r="F2915" s="43" t="s">
        <v>960</v>
      </c>
      <c r="G2915" s="43">
        <v>1077777</v>
      </c>
      <c r="H2915" s="43">
        <v>501100</v>
      </c>
      <c r="I2915" s="43" t="s">
        <v>949</v>
      </c>
      <c r="J2915" s="44" t="s">
        <v>1000</v>
      </c>
    </row>
    <row r="2916" ht="22" customHeight="1" spans="1:10" x14ac:dyDescent="0.25">
      <c r="A2916" s="43">
        <v>3130</v>
      </c>
      <c r="B2916" s="43">
        <v>10</v>
      </c>
      <c r="C2916" s="43" t="s">
        <v>950</v>
      </c>
      <c r="D2916" s="43" t="s">
        <v>1009</v>
      </c>
      <c r="E2916" s="43" t="s">
        <v>39</v>
      </c>
      <c r="F2916" s="43" t="s">
        <v>961</v>
      </c>
      <c r="G2916" s="43">
        <v>1077777</v>
      </c>
      <c r="H2916" s="43">
        <v>501100</v>
      </c>
      <c r="I2916" s="43" t="s">
        <v>949</v>
      </c>
      <c r="J2916" s="44" t="s">
        <v>1000</v>
      </c>
    </row>
    <row r="2917" ht="22" customHeight="1" spans="1:10" x14ac:dyDescent="0.25">
      <c r="A2917" s="43">
        <v>3130</v>
      </c>
      <c r="B2917" s="43">
        <v>10</v>
      </c>
      <c r="C2917" s="43" t="s">
        <v>962</v>
      </c>
      <c r="D2917" s="43" t="s">
        <v>1009</v>
      </c>
      <c r="E2917" s="43" t="s">
        <v>39</v>
      </c>
      <c r="F2917" s="43" t="s">
        <v>951</v>
      </c>
      <c r="G2917" s="43">
        <v>1077777</v>
      </c>
      <c r="H2917" s="43">
        <v>501100</v>
      </c>
      <c r="I2917" s="43" t="s">
        <v>949</v>
      </c>
      <c r="J2917" s="44" t="s">
        <v>1000</v>
      </c>
    </row>
    <row r="2918" ht="22" customHeight="1" spans="1:10" x14ac:dyDescent="0.25">
      <c r="A2918" s="43">
        <v>3130</v>
      </c>
      <c r="B2918" s="43">
        <v>10</v>
      </c>
      <c r="C2918" s="43" t="s">
        <v>962</v>
      </c>
      <c r="D2918" s="43" t="s">
        <v>1009</v>
      </c>
      <c r="E2918" s="43" t="s">
        <v>39</v>
      </c>
      <c r="F2918" s="43" t="s">
        <v>952</v>
      </c>
      <c r="G2918" s="43">
        <v>1077777</v>
      </c>
      <c r="H2918" s="43">
        <v>501100</v>
      </c>
      <c r="I2918" s="43" t="s">
        <v>949</v>
      </c>
      <c r="J2918" s="44" t="s">
        <v>1000</v>
      </c>
    </row>
    <row r="2919" ht="22" customHeight="1" spans="1:10" x14ac:dyDescent="0.25">
      <c r="A2919" s="43">
        <v>3130</v>
      </c>
      <c r="B2919" s="43">
        <v>10</v>
      </c>
      <c r="C2919" s="43" t="s">
        <v>962</v>
      </c>
      <c r="D2919" s="43" t="s">
        <v>1009</v>
      </c>
      <c r="E2919" s="43" t="s">
        <v>39</v>
      </c>
      <c r="F2919" s="43" t="s">
        <v>953</v>
      </c>
      <c r="G2919" s="43">
        <v>1077777</v>
      </c>
      <c r="H2919" s="43">
        <v>501100</v>
      </c>
      <c r="I2919" s="43" t="s">
        <v>949</v>
      </c>
      <c r="J2919" s="44" t="s">
        <v>1000</v>
      </c>
    </row>
    <row r="2920" ht="22" customHeight="1" spans="1:10" x14ac:dyDescent="0.25">
      <c r="A2920" s="43">
        <v>3130</v>
      </c>
      <c r="B2920" s="43">
        <v>10</v>
      </c>
      <c r="C2920" s="43" t="s">
        <v>962</v>
      </c>
      <c r="D2920" s="43" t="s">
        <v>1009</v>
      </c>
      <c r="E2920" s="43" t="s">
        <v>39</v>
      </c>
      <c r="F2920" s="43" t="s">
        <v>954</v>
      </c>
      <c r="G2920" s="43">
        <v>1077777</v>
      </c>
      <c r="H2920" s="43">
        <v>501100</v>
      </c>
      <c r="I2920" s="43" t="s">
        <v>949</v>
      </c>
      <c r="J2920" s="44" t="s">
        <v>1000</v>
      </c>
    </row>
    <row r="2921" ht="22" customHeight="1" spans="1:10" x14ac:dyDescent="0.25">
      <c r="A2921" s="43">
        <v>3130</v>
      </c>
      <c r="B2921" s="43">
        <v>10</v>
      </c>
      <c r="C2921" s="43" t="s">
        <v>962</v>
      </c>
      <c r="D2921" s="43" t="s">
        <v>1009</v>
      </c>
      <c r="E2921" s="43" t="s">
        <v>39</v>
      </c>
      <c r="F2921" s="43" t="s">
        <v>955</v>
      </c>
      <c r="G2921" s="43">
        <v>1077777</v>
      </c>
      <c r="H2921" s="43">
        <v>501100</v>
      </c>
      <c r="I2921" s="43" t="s">
        <v>949</v>
      </c>
      <c r="J2921" s="44" t="s">
        <v>1000</v>
      </c>
    </row>
    <row r="2922" ht="22" customHeight="1" spans="1:10" x14ac:dyDescent="0.25">
      <c r="A2922" s="43">
        <v>3130</v>
      </c>
      <c r="B2922" s="43">
        <v>10</v>
      </c>
      <c r="C2922" s="43" t="s">
        <v>962</v>
      </c>
      <c r="D2922" s="43" t="s">
        <v>1009</v>
      </c>
      <c r="E2922" s="43" t="s">
        <v>39</v>
      </c>
      <c r="F2922" s="43" t="s">
        <v>956</v>
      </c>
      <c r="G2922" s="43">
        <v>1077777</v>
      </c>
      <c r="H2922" s="43">
        <v>501100</v>
      </c>
      <c r="I2922" s="43" t="s">
        <v>949</v>
      </c>
      <c r="J2922" s="44" t="s">
        <v>1000</v>
      </c>
    </row>
    <row r="2923" ht="22" customHeight="1" spans="1:10" x14ac:dyDescent="0.25">
      <c r="A2923" s="43">
        <v>3130</v>
      </c>
      <c r="B2923" s="43">
        <v>10</v>
      </c>
      <c r="C2923" s="43" t="s">
        <v>962</v>
      </c>
      <c r="D2923" s="43" t="s">
        <v>1009</v>
      </c>
      <c r="E2923" s="43" t="s">
        <v>39</v>
      </c>
      <c r="F2923" s="43" t="s">
        <v>957</v>
      </c>
      <c r="G2923" s="43">
        <v>1077777</v>
      </c>
      <c r="H2923" s="43">
        <v>501100</v>
      </c>
      <c r="I2923" s="43" t="s">
        <v>949</v>
      </c>
      <c r="J2923" s="44" t="s">
        <v>1000</v>
      </c>
    </row>
    <row r="2924" ht="22" customHeight="1" spans="1:10" x14ac:dyDescent="0.25">
      <c r="A2924" s="43">
        <v>3130</v>
      </c>
      <c r="B2924" s="43">
        <v>10</v>
      </c>
      <c r="C2924" s="43" t="s">
        <v>962</v>
      </c>
      <c r="D2924" s="43" t="s">
        <v>1009</v>
      </c>
      <c r="E2924" s="43" t="s">
        <v>39</v>
      </c>
      <c r="F2924" s="43" t="s">
        <v>958</v>
      </c>
      <c r="G2924" s="43">
        <v>1077777</v>
      </c>
      <c r="H2924" s="43">
        <v>501100</v>
      </c>
      <c r="I2924" s="43" t="s">
        <v>949</v>
      </c>
      <c r="J2924" s="44" t="s">
        <v>1000</v>
      </c>
    </row>
    <row r="2925" ht="22" customHeight="1" spans="1:10" x14ac:dyDescent="0.25">
      <c r="A2925" s="43">
        <v>3130</v>
      </c>
      <c r="B2925" s="43">
        <v>10</v>
      </c>
      <c r="C2925" s="43" t="s">
        <v>962</v>
      </c>
      <c r="D2925" s="43" t="s">
        <v>1009</v>
      </c>
      <c r="E2925" s="43" t="s">
        <v>39</v>
      </c>
      <c r="F2925" s="43" t="s">
        <v>959</v>
      </c>
      <c r="G2925" s="43">
        <v>1077777</v>
      </c>
      <c r="H2925" s="43">
        <v>501100</v>
      </c>
      <c r="I2925" s="43" t="s">
        <v>949</v>
      </c>
      <c r="J2925" s="44" t="s">
        <v>1000</v>
      </c>
    </row>
    <row r="2926" ht="22" customHeight="1" spans="1:10" x14ac:dyDescent="0.25">
      <c r="A2926" s="43">
        <v>3130</v>
      </c>
      <c r="B2926" s="43">
        <v>10</v>
      </c>
      <c r="C2926" s="43" t="s">
        <v>962</v>
      </c>
      <c r="D2926" s="43" t="s">
        <v>1009</v>
      </c>
      <c r="E2926" s="43" t="s">
        <v>39</v>
      </c>
      <c r="F2926" s="43" t="s">
        <v>960</v>
      </c>
      <c r="G2926" s="43">
        <v>1077777</v>
      </c>
      <c r="H2926" s="43">
        <v>501100</v>
      </c>
      <c r="I2926" s="43" t="s">
        <v>949</v>
      </c>
      <c r="J2926" s="44" t="s">
        <v>1000</v>
      </c>
    </row>
    <row r="2927" ht="22" customHeight="1" spans="1:10" x14ac:dyDescent="0.25">
      <c r="A2927" s="43">
        <v>3130</v>
      </c>
      <c r="B2927" s="43">
        <v>10</v>
      </c>
      <c r="C2927" s="43" t="s">
        <v>962</v>
      </c>
      <c r="D2927" s="43" t="s">
        <v>1009</v>
      </c>
      <c r="E2927" s="43" t="s">
        <v>39</v>
      </c>
      <c r="F2927" s="43" t="s">
        <v>961</v>
      </c>
      <c r="G2927" s="43">
        <v>1077777</v>
      </c>
      <c r="H2927" s="43">
        <v>501100</v>
      </c>
      <c r="I2927" s="43" t="s">
        <v>949</v>
      </c>
      <c r="J2927" s="44" t="s">
        <v>1000</v>
      </c>
    </row>
    <row r="2928" ht="22" customHeight="1" spans="1:10" x14ac:dyDescent="0.25">
      <c r="A2928" s="43">
        <v>3130</v>
      </c>
      <c r="B2928" s="43">
        <v>10</v>
      </c>
      <c r="C2928" s="43" t="s">
        <v>963</v>
      </c>
      <c r="D2928" s="43" t="s">
        <v>1009</v>
      </c>
      <c r="E2928" s="43" t="s">
        <v>39</v>
      </c>
      <c r="F2928" s="43" t="s">
        <v>951</v>
      </c>
      <c r="G2928" s="43">
        <v>1077777</v>
      </c>
      <c r="H2928" s="43">
        <v>501100</v>
      </c>
      <c r="I2928" s="43" t="s">
        <v>949</v>
      </c>
      <c r="J2928" s="44" t="s">
        <v>1000</v>
      </c>
    </row>
    <row r="2929" ht="22" customHeight="1" spans="1:10" x14ac:dyDescent="0.25">
      <c r="A2929" s="43">
        <v>3130</v>
      </c>
      <c r="B2929" s="43">
        <v>10</v>
      </c>
      <c r="C2929" s="43" t="s">
        <v>963</v>
      </c>
      <c r="D2929" s="43" t="s">
        <v>1009</v>
      </c>
      <c r="E2929" s="43" t="s">
        <v>39</v>
      </c>
      <c r="F2929" s="43" t="s">
        <v>952</v>
      </c>
      <c r="G2929" s="43">
        <v>1077777</v>
      </c>
      <c r="H2929" s="43">
        <v>501100</v>
      </c>
      <c r="I2929" s="43" t="s">
        <v>949</v>
      </c>
      <c r="J2929" s="44" t="s">
        <v>1000</v>
      </c>
    </row>
    <row r="2930" ht="22" customHeight="1" spans="1:10" x14ac:dyDescent="0.25">
      <c r="A2930" s="43">
        <v>3130</v>
      </c>
      <c r="B2930" s="43">
        <v>10</v>
      </c>
      <c r="C2930" s="43" t="s">
        <v>963</v>
      </c>
      <c r="D2930" s="43" t="s">
        <v>1009</v>
      </c>
      <c r="E2930" s="43" t="s">
        <v>39</v>
      </c>
      <c r="F2930" s="43" t="s">
        <v>953</v>
      </c>
      <c r="G2930" s="43">
        <v>1077777</v>
      </c>
      <c r="H2930" s="43">
        <v>501100</v>
      </c>
      <c r="I2930" s="43" t="s">
        <v>949</v>
      </c>
      <c r="J2930" s="44" t="s">
        <v>1000</v>
      </c>
    </row>
    <row r="2931" ht="22" customHeight="1" spans="1:10" x14ac:dyDescent="0.25">
      <c r="A2931" s="43">
        <v>3130</v>
      </c>
      <c r="B2931" s="43">
        <v>10</v>
      </c>
      <c r="C2931" s="43" t="s">
        <v>963</v>
      </c>
      <c r="D2931" s="43" t="s">
        <v>1009</v>
      </c>
      <c r="E2931" s="43" t="s">
        <v>39</v>
      </c>
      <c r="F2931" s="43" t="s">
        <v>954</v>
      </c>
      <c r="G2931" s="43">
        <v>1077777</v>
      </c>
      <c r="H2931" s="43">
        <v>501100</v>
      </c>
      <c r="I2931" s="43" t="s">
        <v>949</v>
      </c>
      <c r="J2931" s="44" t="s">
        <v>1000</v>
      </c>
    </row>
    <row r="2932" ht="22" customHeight="1" spans="1:10" x14ac:dyDescent="0.25">
      <c r="A2932" s="43">
        <v>3130</v>
      </c>
      <c r="B2932" s="43">
        <v>10</v>
      </c>
      <c r="C2932" s="43" t="s">
        <v>963</v>
      </c>
      <c r="D2932" s="43" t="s">
        <v>1009</v>
      </c>
      <c r="E2932" s="43" t="s">
        <v>39</v>
      </c>
      <c r="F2932" s="43" t="s">
        <v>955</v>
      </c>
      <c r="G2932" s="43">
        <v>1077777</v>
      </c>
      <c r="H2932" s="43">
        <v>501100</v>
      </c>
      <c r="I2932" s="43" t="s">
        <v>949</v>
      </c>
      <c r="J2932" s="44" t="s">
        <v>1000</v>
      </c>
    </row>
    <row r="2933" ht="22" customHeight="1" spans="1:10" x14ac:dyDescent="0.25">
      <c r="A2933" s="43">
        <v>3130</v>
      </c>
      <c r="B2933" s="43">
        <v>10</v>
      </c>
      <c r="C2933" s="43" t="s">
        <v>963</v>
      </c>
      <c r="D2933" s="43" t="s">
        <v>1009</v>
      </c>
      <c r="E2933" s="43" t="s">
        <v>39</v>
      </c>
      <c r="F2933" s="43" t="s">
        <v>956</v>
      </c>
      <c r="G2933" s="43">
        <v>1077777</v>
      </c>
      <c r="H2933" s="43">
        <v>501100</v>
      </c>
      <c r="I2933" s="43" t="s">
        <v>949</v>
      </c>
      <c r="J2933" s="44" t="s">
        <v>1000</v>
      </c>
    </row>
    <row r="2934" ht="22" customHeight="1" spans="1:10" x14ac:dyDescent="0.25">
      <c r="A2934" s="43">
        <v>3130</v>
      </c>
      <c r="B2934" s="43">
        <v>10</v>
      </c>
      <c r="C2934" s="43" t="s">
        <v>963</v>
      </c>
      <c r="D2934" s="43" t="s">
        <v>1009</v>
      </c>
      <c r="E2934" s="43" t="s">
        <v>39</v>
      </c>
      <c r="F2934" s="43" t="s">
        <v>957</v>
      </c>
      <c r="G2934" s="43">
        <v>1077777</v>
      </c>
      <c r="H2934" s="43">
        <v>501100</v>
      </c>
      <c r="I2934" s="43" t="s">
        <v>949</v>
      </c>
      <c r="J2934" s="44" t="s">
        <v>1000</v>
      </c>
    </row>
    <row r="2935" ht="22" customHeight="1" spans="1:10" x14ac:dyDescent="0.25">
      <c r="A2935" s="43">
        <v>3130</v>
      </c>
      <c r="B2935" s="43">
        <v>10</v>
      </c>
      <c r="C2935" s="43" t="s">
        <v>963</v>
      </c>
      <c r="D2935" s="43" t="s">
        <v>1009</v>
      </c>
      <c r="E2935" s="43" t="s">
        <v>39</v>
      </c>
      <c r="F2935" s="43" t="s">
        <v>958</v>
      </c>
      <c r="G2935" s="43">
        <v>1077777</v>
      </c>
      <c r="H2935" s="43">
        <v>501100</v>
      </c>
      <c r="I2935" s="43" t="s">
        <v>949</v>
      </c>
      <c r="J2935" s="44" t="s">
        <v>1000</v>
      </c>
    </row>
    <row r="2936" ht="22" customHeight="1" spans="1:10" x14ac:dyDescent="0.25">
      <c r="A2936" s="43">
        <v>3130</v>
      </c>
      <c r="B2936" s="43">
        <v>10</v>
      </c>
      <c r="C2936" s="43" t="s">
        <v>963</v>
      </c>
      <c r="D2936" s="43" t="s">
        <v>1009</v>
      </c>
      <c r="E2936" s="43" t="s">
        <v>39</v>
      </c>
      <c r="F2936" s="43" t="s">
        <v>959</v>
      </c>
      <c r="G2936" s="43">
        <v>1077777</v>
      </c>
      <c r="H2936" s="43">
        <v>501100</v>
      </c>
      <c r="I2936" s="43" t="s">
        <v>949</v>
      </c>
      <c r="J2936" s="44" t="s">
        <v>1000</v>
      </c>
    </row>
    <row r="2937" ht="22" customHeight="1" spans="1:10" x14ac:dyDescent="0.25">
      <c r="A2937" s="43">
        <v>3130</v>
      </c>
      <c r="B2937" s="43">
        <v>10</v>
      </c>
      <c r="C2937" s="43" t="s">
        <v>963</v>
      </c>
      <c r="D2937" s="43" t="s">
        <v>1009</v>
      </c>
      <c r="E2937" s="43" t="s">
        <v>39</v>
      </c>
      <c r="F2937" s="43" t="s">
        <v>960</v>
      </c>
      <c r="G2937" s="43">
        <v>1077777</v>
      </c>
      <c r="H2937" s="43">
        <v>501100</v>
      </c>
      <c r="I2937" s="43" t="s">
        <v>949</v>
      </c>
      <c r="J2937" s="44" t="s">
        <v>1000</v>
      </c>
    </row>
    <row r="2938" ht="22" customHeight="1" spans="1:10" x14ac:dyDescent="0.25">
      <c r="A2938" s="43">
        <v>3130</v>
      </c>
      <c r="B2938" s="43">
        <v>10</v>
      </c>
      <c r="C2938" s="43" t="s">
        <v>963</v>
      </c>
      <c r="D2938" s="43" t="s">
        <v>1009</v>
      </c>
      <c r="E2938" s="43" t="s">
        <v>39</v>
      </c>
      <c r="F2938" s="43" t="s">
        <v>961</v>
      </c>
      <c r="G2938" s="43">
        <v>1077777</v>
      </c>
      <c r="H2938" s="43">
        <v>501100</v>
      </c>
      <c r="I2938" s="43" t="s">
        <v>949</v>
      </c>
      <c r="J2938" s="44" t="s">
        <v>1000</v>
      </c>
    </row>
    <row r="2939" ht="22" customHeight="1" spans="1:10" x14ac:dyDescent="0.25">
      <c r="A2939" s="43">
        <v>3130</v>
      </c>
      <c r="B2939" s="43">
        <v>10</v>
      </c>
      <c r="C2939" s="43" t="s">
        <v>950</v>
      </c>
      <c r="D2939" s="43" t="s">
        <v>1009</v>
      </c>
      <c r="E2939" s="43" t="s">
        <v>286</v>
      </c>
      <c r="F2939" s="43" t="s">
        <v>951</v>
      </c>
      <c r="G2939" s="43">
        <v>1077777</v>
      </c>
      <c r="H2939" s="43">
        <v>501100</v>
      </c>
      <c r="I2939" s="43" t="s">
        <v>949</v>
      </c>
      <c r="J2939" s="44" t="s">
        <v>1000</v>
      </c>
    </row>
    <row r="2940" ht="22" customHeight="1" spans="1:10" x14ac:dyDescent="0.25">
      <c r="A2940" s="43">
        <v>3130</v>
      </c>
      <c r="B2940" s="43">
        <v>10</v>
      </c>
      <c r="C2940" s="43" t="s">
        <v>950</v>
      </c>
      <c r="D2940" s="43" t="s">
        <v>1009</v>
      </c>
      <c r="E2940" s="43" t="s">
        <v>286</v>
      </c>
      <c r="F2940" s="43" t="s">
        <v>952</v>
      </c>
      <c r="G2940" s="43">
        <v>1077777</v>
      </c>
      <c r="H2940" s="43">
        <v>501100</v>
      </c>
      <c r="I2940" s="43" t="s">
        <v>949</v>
      </c>
      <c r="J2940" s="44" t="s">
        <v>1000</v>
      </c>
    </row>
    <row r="2941" ht="22" customHeight="1" spans="1:10" x14ac:dyDescent="0.25">
      <c r="A2941" s="43">
        <v>3130</v>
      </c>
      <c r="B2941" s="43">
        <v>10</v>
      </c>
      <c r="C2941" s="43" t="s">
        <v>950</v>
      </c>
      <c r="D2941" s="43" t="s">
        <v>1009</v>
      </c>
      <c r="E2941" s="43" t="s">
        <v>286</v>
      </c>
      <c r="F2941" s="43" t="s">
        <v>953</v>
      </c>
      <c r="G2941" s="43">
        <v>1077777</v>
      </c>
      <c r="H2941" s="43">
        <v>501100</v>
      </c>
      <c r="I2941" s="43" t="s">
        <v>949</v>
      </c>
      <c r="J2941" s="44" t="s">
        <v>1000</v>
      </c>
    </row>
    <row r="2942" ht="22" customHeight="1" spans="1:10" x14ac:dyDescent="0.25">
      <c r="A2942" s="43">
        <v>3130</v>
      </c>
      <c r="B2942" s="43">
        <v>10</v>
      </c>
      <c r="C2942" s="43" t="s">
        <v>950</v>
      </c>
      <c r="D2942" s="43" t="s">
        <v>1009</v>
      </c>
      <c r="E2942" s="43" t="s">
        <v>286</v>
      </c>
      <c r="F2942" s="43" t="s">
        <v>954</v>
      </c>
      <c r="G2942" s="43">
        <v>1077777</v>
      </c>
      <c r="H2942" s="43">
        <v>501100</v>
      </c>
      <c r="I2942" s="43" t="s">
        <v>949</v>
      </c>
      <c r="J2942" s="44" t="s">
        <v>1000</v>
      </c>
    </row>
    <row r="2943" ht="22" customHeight="1" spans="1:10" x14ac:dyDescent="0.25">
      <c r="A2943" s="43">
        <v>3130</v>
      </c>
      <c r="B2943" s="43">
        <v>10</v>
      </c>
      <c r="C2943" s="43" t="s">
        <v>950</v>
      </c>
      <c r="D2943" s="43" t="s">
        <v>1009</v>
      </c>
      <c r="E2943" s="43" t="s">
        <v>286</v>
      </c>
      <c r="F2943" s="43" t="s">
        <v>955</v>
      </c>
      <c r="G2943" s="43">
        <v>1077777</v>
      </c>
      <c r="H2943" s="43">
        <v>501100</v>
      </c>
      <c r="I2943" s="43" t="s">
        <v>949</v>
      </c>
      <c r="J2943" s="44" t="s">
        <v>1000</v>
      </c>
    </row>
    <row r="2944" ht="22" customHeight="1" spans="1:10" x14ac:dyDescent="0.25">
      <c r="A2944" s="43">
        <v>3130</v>
      </c>
      <c r="B2944" s="43">
        <v>10</v>
      </c>
      <c r="C2944" s="43" t="s">
        <v>950</v>
      </c>
      <c r="D2944" s="43" t="s">
        <v>1009</v>
      </c>
      <c r="E2944" s="43" t="s">
        <v>286</v>
      </c>
      <c r="F2944" s="43" t="s">
        <v>956</v>
      </c>
      <c r="G2944" s="43">
        <v>1077777</v>
      </c>
      <c r="H2944" s="43">
        <v>501100</v>
      </c>
      <c r="I2944" s="43" t="s">
        <v>949</v>
      </c>
      <c r="J2944" s="44" t="s">
        <v>1000</v>
      </c>
    </row>
    <row r="2945" ht="22" customHeight="1" spans="1:10" x14ac:dyDescent="0.25">
      <c r="A2945" s="43">
        <v>3130</v>
      </c>
      <c r="B2945" s="43">
        <v>10</v>
      </c>
      <c r="C2945" s="43" t="s">
        <v>950</v>
      </c>
      <c r="D2945" s="43" t="s">
        <v>1009</v>
      </c>
      <c r="E2945" s="43" t="s">
        <v>286</v>
      </c>
      <c r="F2945" s="43" t="s">
        <v>957</v>
      </c>
      <c r="G2945" s="43">
        <v>1077777</v>
      </c>
      <c r="H2945" s="43">
        <v>501100</v>
      </c>
      <c r="I2945" s="43" t="s">
        <v>949</v>
      </c>
      <c r="J2945" s="44" t="s">
        <v>1000</v>
      </c>
    </row>
    <row r="2946" ht="22" customHeight="1" spans="1:10" x14ac:dyDescent="0.25">
      <c r="A2946" s="43">
        <v>3130</v>
      </c>
      <c r="B2946" s="43">
        <v>10</v>
      </c>
      <c r="C2946" s="43" t="s">
        <v>950</v>
      </c>
      <c r="D2946" s="43" t="s">
        <v>1009</v>
      </c>
      <c r="E2946" s="43" t="s">
        <v>286</v>
      </c>
      <c r="F2946" s="43" t="s">
        <v>958</v>
      </c>
      <c r="G2946" s="43">
        <v>1077777</v>
      </c>
      <c r="H2946" s="43">
        <v>501100</v>
      </c>
      <c r="I2946" s="43" t="s">
        <v>949</v>
      </c>
      <c r="J2946" s="44" t="s">
        <v>1000</v>
      </c>
    </row>
    <row r="2947" ht="22" customHeight="1" spans="1:10" x14ac:dyDescent="0.25">
      <c r="A2947" s="43">
        <v>3130</v>
      </c>
      <c r="B2947" s="43">
        <v>10</v>
      </c>
      <c r="C2947" s="43" t="s">
        <v>950</v>
      </c>
      <c r="D2947" s="43" t="s">
        <v>1009</v>
      </c>
      <c r="E2947" s="43" t="s">
        <v>286</v>
      </c>
      <c r="F2947" s="43" t="s">
        <v>959</v>
      </c>
      <c r="G2947" s="43">
        <v>1077777</v>
      </c>
      <c r="H2947" s="43">
        <v>501100</v>
      </c>
      <c r="I2947" s="43" t="s">
        <v>949</v>
      </c>
      <c r="J2947" s="44" t="s">
        <v>1000</v>
      </c>
    </row>
    <row r="2948" ht="22" customHeight="1" spans="1:10" x14ac:dyDescent="0.25">
      <c r="A2948" s="43">
        <v>3130</v>
      </c>
      <c r="B2948" s="43">
        <v>10</v>
      </c>
      <c r="C2948" s="43" t="s">
        <v>950</v>
      </c>
      <c r="D2948" s="43" t="s">
        <v>1009</v>
      </c>
      <c r="E2948" s="43" t="s">
        <v>286</v>
      </c>
      <c r="F2948" s="43" t="s">
        <v>960</v>
      </c>
      <c r="G2948" s="43">
        <v>1077777</v>
      </c>
      <c r="H2948" s="43">
        <v>501100</v>
      </c>
      <c r="I2948" s="43" t="s">
        <v>949</v>
      </c>
      <c r="J2948" s="44" t="s">
        <v>1000</v>
      </c>
    </row>
    <row r="2949" ht="22" customHeight="1" spans="1:10" x14ac:dyDescent="0.25">
      <c r="A2949" s="43">
        <v>3130</v>
      </c>
      <c r="B2949" s="43">
        <v>10</v>
      </c>
      <c r="C2949" s="43" t="s">
        <v>950</v>
      </c>
      <c r="D2949" s="43" t="s">
        <v>1009</v>
      </c>
      <c r="E2949" s="43" t="s">
        <v>286</v>
      </c>
      <c r="F2949" s="43" t="s">
        <v>961</v>
      </c>
      <c r="G2949" s="43">
        <v>1077777</v>
      </c>
      <c r="H2949" s="43">
        <v>501100</v>
      </c>
      <c r="I2949" s="43" t="s">
        <v>949</v>
      </c>
      <c r="J2949" s="44" t="s">
        <v>1000</v>
      </c>
    </row>
    <row r="2950" ht="22" customHeight="1" spans="1:10" x14ac:dyDescent="0.25">
      <c r="A2950" s="43">
        <v>3130</v>
      </c>
      <c r="B2950" s="43">
        <v>10</v>
      </c>
      <c r="C2950" s="43" t="s">
        <v>962</v>
      </c>
      <c r="D2950" s="43" t="s">
        <v>1009</v>
      </c>
      <c r="E2950" s="43" t="s">
        <v>286</v>
      </c>
      <c r="F2950" s="43" t="s">
        <v>951</v>
      </c>
      <c r="G2950" s="43">
        <v>1077777</v>
      </c>
      <c r="H2950" s="43">
        <v>501100</v>
      </c>
      <c r="I2950" s="43" t="s">
        <v>949</v>
      </c>
      <c r="J2950" s="44" t="s">
        <v>1000</v>
      </c>
    </row>
    <row r="2951" ht="22" customHeight="1" spans="1:10" x14ac:dyDescent="0.25">
      <c r="A2951" s="43">
        <v>3130</v>
      </c>
      <c r="B2951" s="43">
        <v>10</v>
      </c>
      <c r="C2951" s="43" t="s">
        <v>962</v>
      </c>
      <c r="D2951" s="43" t="s">
        <v>1009</v>
      </c>
      <c r="E2951" s="43" t="s">
        <v>286</v>
      </c>
      <c r="F2951" s="43" t="s">
        <v>952</v>
      </c>
      <c r="G2951" s="43">
        <v>1077777</v>
      </c>
      <c r="H2951" s="43">
        <v>501100</v>
      </c>
      <c r="I2951" s="43" t="s">
        <v>949</v>
      </c>
      <c r="J2951" s="44" t="s">
        <v>1000</v>
      </c>
    </row>
    <row r="2952" ht="22" customHeight="1" spans="1:10" x14ac:dyDescent="0.25">
      <c r="A2952" s="43">
        <v>3130</v>
      </c>
      <c r="B2952" s="43">
        <v>10</v>
      </c>
      <c r="C2952" s="43" t="s">
        <v>962</v>
      </c>
      <c r="D2952" s="43" t="s">
        <v>1009</v>
      </c>
      <c r="E2952" s="43" t="s">
        <v>286</v>
      </c>
      <c r="F2952" s="43" t="s">
        <v>953</v>
      </c>
      <c r="G2952" s="43">
        <v>1077777</v>
      </c>
      <c r="H2952" s="43">
        <v>501100</v>
      </c>
      <c r="I2952" s="43" t="s">
        <v>949</v>
      </c>
      <c r="J2952" s="44" t="s">
        <v>1000</v>
      </c>
    </row>
    <row r="2953" ht="22" customHeight="1" spans="1:10" x14ac:dyDescent="0.25">
      <c r="A2953" s="43">
        <v>3130</v>
      </c>
      <c r="B2953" s="43">
        <v>10</v>
      </c>
      <c r="C2953" s="43" t="s">
        <v>962</v>
      </c>
      <c r="D2953" s="43" t="s">
        <v>1009</v>
      </c>
      <c r="E2953" s="43" t="s">
        <v>286</v>
      </c>
      <c r="F2953" s="43" t="s">
        <v>954</v>
      </c>
      <c r="G2953" s="43">
        <v>1077777</v>
      </c>
      <c r="H2953" s="43">
        <v>501100</v>
      </c>
      <c r="I2953" s="43" t="s">
        <v>949</v>
      </c>
      <c r="J2953" s="44" t="s">
        <v>1000</v>
      </c>
    </row>
    <row r="2954" ht="22" customHeight="1" spans="1:10" x14ac:dyDescent="0.25">
      <c r="A2954" s="43">
        <v>3130</v>
      </c>
      <c r="B2954" s="43">
        <v>10</v>
      </c>
      <c r="C2954" s="43" t="s">
        <v>962</v>
      </c>
      <c r="D2954" s="43" t="s">
        <v>1009</v>
      </c>
      <c r="E2954" s="43" t="s">
        <v>286</v>
      </c>
      <c r="F2954" s="43" t="s">
        <v>955</v>
      </c>
      <c r="G2954" s="43">
        <v>1077777</v>
      </c>
      <c r="H2954" s="43">
        <v>501100</v>
      </c>
      <c r="I2954" s="43" t="s">
        <v>949</v>
      </c>
      <c r="J2954" s="44" t="s">
        <v>1000</v>
      </c>
    </row>
    <row r="2955" ht="22" customHeight="1" spans="1:10" x14ac:dyDescent="0.25">
      <c r="A2955" s="43">
        <v>3130</v>
      </c>
      <c r="B2955" s="43">
        <v>10</v>
      </c>
      <c r="C2955" s="43" t="s">
        <v>962</v>
      </c>
      <c r="D2955" s="43" t="s">
        <v>1009</v>
      </c>
      <c r="E2955" s="43" t="s">
        <v>286</v>
      </c>
      <c r="F2955" s="43" t="s">
        <v>956</v>
      </c>
      <c r="G2955" s="43">
        <v>1077777</v>
      </c>
      <c r="H2955" s="43">
        <v>501100</v>
      </c>
      <c r="I2955" s="43" t="s">
        <v>949</v>
      </c>
      <c r="J2955" s="44" t="s">
        <v>1000</v>
      </c>
    </row>
    <row r="2956" ht="22" customHeight="1" spans="1:10" x14ac:dyDescent="0.25">
      <c r="A2956" s="43">
        <v>3130</v>
      </c>
      <c r="B2956" s="43">
        <v>10</v>
      </c>
      <c r="C2956" s="43" t="s">
        <v>962</v>
      </c>
      <c r="D2956" s="43" t="s">
        <v>1009</v>
      </c>
      <c r="E2956" s="43" t="s">
        <v>286</v>
      </c>
      <c r="F2956" s="43" t="s">
        <v>957</v>
      </c>
      <c r="G2956" s="43">
        <v>1077777</v>
      </c>
      <c r="H2956" s="43">
        <v>501100</v>
      </c>
      <c r="I2956" s="43" t="s">
        <v>949</v>
      </c>
      <c r="J2956" s="44" t="s">
        <v>1000</v>
      </c>
    </row>
    <row r="2957" ht="22" customHeight="1" spans="1:10" x14ac:dyDescent="0.25">
      <c r="A2957" s="43">
        <v>3130</v>
      </c>
      <c r="B2957" s="43">
        <v>10</v>
      </c>
      <c r="C2957" s="43" t="s">
        <v>962</v>
      </c>
      <c r="D2957" s="43" t="s">
        <v>1009</v>
      </c>
      <c r="E2957" s="43" t="s">
        <v>286</v>
      </c>
      <c r="F2957" s="43" t="s">
        <v>958</v>
      </c>
      <c r="G2957" s="43">
        <v>1077777</v>
      </c>
      <c r="H2957" s="43">
        <v>501100</v>
      </c>
      <c r="I2957" s="43" t="s">
        <v>949</v>
      </c>
      <c r="J2957" s="44" t="s">
        <v>1000</v>
      </c>
    </row>
    <row r="2958" ht="22" customHeight="1" spans="1:10" x14ac:dyDescent="0.25">
      <c r="A2958" s="43">
        <v>3130</v>
      </c>
      <c r="B2958" s="43">
        <v>10</v>
      </c>
      <c r="C2958" s="43" t="s">
        <v>962</v>
      </c>
      <c r="D2958" s="43" t="s">
        <v>1009</v>
      </c>
      <c r="E2958" s="43" t="s">
        <v>286</v>
      </c>
      <c r="F2958" s="43" t="s">
        <v>959</v>
      </c>
      <c r="G2958" s="43">
        <v>1077777</v>
      </c>
      <c r="H2958" s="43">
        <v>501100</v>
      </c>
      <c r="I2958" s="43" t="s">
        <v>949</v>
      </c>
      <c r="J2958" s="44" t="s">
        <v>1000</v>
      </c>
    </row>
    <row r="2959" ht="22" customHeight="1" spans="1:10" x14ac:dyDescent="0.25">
      <c r="A2959" s="43">
        <v>3130</v>
      </c>
      <c r="B2959" s="43">
        <v>10</v>
      </c>
      <c r="C2959" s="43" t="s">
        <v>962</v>
      </c>
      <c r="D2959" s="43" t="s">
        <v>1009</v>
      </c>
      <c r="E2959" s="43" t="s">
        <v>286</v>
      </c>
      <c r="F2959" s="43" t="s">
        <v>960</v>
      </c>
      <c r="G2959" s="43">
        <v>1077777</v>
      </c>
      <c r="H2959" s="43">
        <v>501100</v>
      </c>
      <c r="I2959" s="43" t="s">
        <v>949</v>
      </c>
      <c r="J2959" s="44" t="s">
        <v>1000</v>
      </c>
    </row>
    <row r="2960" ht="22" customHeight="1" spans="1:10" x14ac:dyDescent="0.25">
      <c r="A2960" s="43">
        <v>3130</v>
      </c>
      <c r="B2960" s="43">
        <v>10</v>
      </c>
      <c r="C2960" s="43" t="s">
        <v>962</v>
      </c>
      <c r="D2960" s="43" t="s">
        <v>1009</v>
      </c>
      <c r="E2960" s="43" t="s">
        <v>286</v>
      </c>
      <c r="F2960" s="43" t="s">
        <v>961</v>
      </c>
      <c r="G2960" s="43">
        <v>1077777</v>
      </c>
      <c r="H2960" s="43">
        <v>501100</v>
      </c>
      <c r="I2960" s="43" t="s">
        <v>949</v>
      </c>
      <c r="J2960" s="44" t="s">
        <v>1000</v>
      </c>
    </row>
    <row r="2961" ht="22" customHeight="1" spans="1:10" x14ac:dyDescent="0.25">
      <c r="A2961" s="43">
        <v>3130</v>
      </c>
      <c r="B2961" s="43">
        <v>10</v>
      </c>
      <c r="C2961" s="43" t="s">
        <v>963</v>
      </c>
      <c r="D2961" s="43" t="s">
        <v>1009</v>
      </c>
      <c r="E2961" s="43" t="s">
        <v>286</v>
      </c>
      <c r="F2961" s="43" t="s">
        <v>951</v>
      </c>
      <c r="G2961" s="43">
        <v>1077777</v>
      </c>
      <c r="H2961" s="43">
        <v>501100</v>
      </c>
      <c r="I2961" s="43" t="s">
        <v>949</v>
      </c>
      <c r="J2961" s="44" t="s">
        <v>1000</v>
      </c>
    </row>
    <row r="2962" ht="22" customHeight="1" spans="1:10" x14ac:dyDescent="0.25">
      <c r="A2962" s="43">
        <v>3130</v>
      </c>
      <c r="B2962" s="43">
        <v>10</v>
      </c>
      <c r="C2962" s="43" t="s">
        <v>963</v>
      </c>
      <c r="D2962" s="43" t="s">
        <v>1009</v>
      </c>
      <c r="E2962" s="43" t="s">
        <v>286</v>
      </c>
      <c r="F2962" s="43" t="s">
        <v>952</v>
      </c>
      <c r="G2962" s="43">
        <v>1077777</v>
      </c>
      <c r="H2962" s="43">
        <v>501100</v>
      </c>
      <c r="I2962" s="43" t="s">
        <v>949</v>
      </c>
      <c r="J2962" s="44" t="s">
        <v>1000</v>
      </c>
    </row>
    <row r="2963" ht="22" customHeight="1" spans="1:10" x14ac:dyDescent="0.25">
      <c r="A2963" s="43">
        <v>3130</v>
      </c>
      <c r="B2963" s="43">
        <v>10</v>
      </c>
      <c r="C2963" s="43" t="s">
        <v>963</v>
      </c>
      <c r="D2963" s="43" t="s">
        <v>1009</v>
      </c>
      <c r="E2963" s="43" t="s">
        <v>286</v>
      </c>
      <c r="F2963" s="43" t="s">
        <v>953</v>
      </c>
      <c r="G2963" s="43">
        <v>1077777</v>
      </c>
      <c r="H2963" s="43">
        <v>501100</v>
      </c>
      <c r="I2963" s="43" t="s">
        <v>949</v>
      </c>
      <c r="J2963" s="44" t="s">
        <v>1000</v>
      </c>
    </row>
    <row r="2964" ht="22" customHeight="1" spans="1:10" x14ac:dyDescent="0.25">
      <c r="A2964" s="43">
        <v>3130</v>
      </c>
      <c r="B2964" s="43">
        <v>10</v>
      </c>
      <c r="C2964" s="43" t="s">
        <v>963</v>
      </c>
      <c r="D2964" s="43" t="s">
        <v>1009</v>
      </c>
      <c r="E2964" s="43" t="s">
        <v>286</v>
      </c>
      <c r="F2964" s="43" t="s">
        <v>954</v>
      </c>
      <c r="G2964" s="43">
        <v>1077777</v>
      </c>
      <c r="H2964" s="43">
        <v>501100</v>
      </c>
      <c r="I2964" s="43" t="s">
        <v>949</v>
      </c>
      <c r="J2964" s="44" t="s">
        <v>1000</v>
      </c>
    </row>
    <row r="2965" ht="22" customHeight="1" spans="1:10" x14ac:dyDescent="0.25">
      <c r="A2965" s="43">
        <v>3130</v>
      </c>
      <c r="B2965" s="43">
        <v>10</v>
      </c>
      <c r="C2965" s="43" t="s">
        <v>963</v>
      </c>
      <c r="D2965" s="43" t="s">
        <v>1009</v>
      </c>
      <c r="E2965" s="43" t="s">
        <v>286</v>
      </c>
      <c r="F2965" s="43" t="s">
        <v>955</v>
      </c>
      <c r="G2965" s="43">
        <v>1077777</v>
      </c>
      <c r="H2965" s="43">
        <v>501100</v>
      </c>
      <c r="I2965" s="43" t="s">
        <v>949</v>
      </c>
      <c r="J2965" s="44" t="s">
        <v>1000</v>
      </c>
    </row>
    <row r="2966" ht="22" customHeight="1" spans="1:10" x14ac:dyDescent="0.25">
      <c r="A2966" s="43">
        <v>3130</v>
      </c>
      <c r="B2966" s="43">
        <v>10</v>
      </c>
      <c r="C2966" s="43" t="s">
        <v>963</v>
      </c>
      <c r="D2966" s="43" t="s">
        <v>1009</v>
      </c>
      <c r="E2966" s="43" t="s">
        <v>286</v>
      </c>
      <c r="F2966" s="43" t="s">
        <v>956</v>
      </c>
      <c r="G2966" s="43">
        <v>1077777</v>
      </c>
      <c r="H2966" s="43">
        <v>501100</v>
      </c>
      <c r="I2966" s="43" t="s">
        <v>949</v>
      </c>
      <c r="J2966" s="44" t="s">
        <v>1000</v>
      </c>
    </row>
    <row r="2967" ht="22" customHeight="1" spans="1:10" x14ac:dyDescent="0.25">
      <c r="A2967" s="43">
        <v>3130</v>
      </c>
      <c r="B2967" s="43">
        <v>10</v>
      </c>
      <c r="C2967" s="43" t="s">
        <v>963</v>
      </c>
      <c r="D2967" s="43" t="s">
        <v>1009</v>
      </c>
      <c r="E2967" s="43" t="s">
        <v>286</v>
      </c>
      <c r="F2967" s="43" t="s">
        <v>957</v>
      </c>
      <c r="G2967" s="43">
        <v>1077777</v>
      </c>
      <c r="H2967" s="43">
        <v>501100</v>
      </c>
      <c r="I2967" s="43" t="s">
        <v>949</v>
      </c>
      <c r="J2967" s="44" t="s">
        <v>1000</v>
      </c>
    </row>
    <row r="2968" ht="22" customHeight="1" spans="1:10" x14ac:dyDescent="0.25">
      <c r="A2968" s="43">
        <v>3130</v>
      </c>
      <c r="B2968" s="43">
        <v>10</v>
      </c>
      <c r="C2968" s="43" t="s">
        <v>963</v>
      </c>
      <c r="D2968" s="43" t="s">
        <v>1009</v>
      </c>
      <c r="E2968" s="43" t="s">
        <v>286</v>
      </c>
      <c r="F2968" s="43" t="s">
        <v>958</v>
      </c>
      <c r="G2968" s="43">
        <v>1077777</v>
      </c>
      <c r="H2968" s="43">
        <v>501100</v>
      </c>
      <c r="I2968" s="43" t="s">
        <v>949</v>
      </c>
      <c r="J2968" s="44" t="s">
        <v>1000</v>
      </c>
    </row>
    <row r="2969" ht="22" customHeight="1" spans="1:10" x14ac:dyDescent="0.25">
      <c r="A2969" s="43">
        <v>3130</v>
      </c>
      <c r="B2969" s="43">
        <v>10</v>
      </c>
      <c r="C2969" s="43" t="s">
        <v>963</v>
      </c>
      <c r="D2969" s="43" t="s">
        <v>1009</v>
      </c>
      <c r="E2969" s="43" t="s">
        <v>286</v>
      </c>
      <c r="F2969" s="43" t="s">
        <v>959</v>
      </c>
      <c r="G2969" s="43">
        <v>1077777</v>
      </c>
      <c r="H2969" s="43">
        <v>501100</v>
      </c>
      <c r="I2969" s="43" t="s">
        <v>949</v>
      </c>
      <c r="J2969" s="44" t="s">
        <v>1000</v>
      </c>
    </row>
    <row r="2970" ht="22" customHeight="1" spans="1:10" x14ac:dyDescent="0.25">
      <c r="A2970" s="43">
        <v>3130</v>
      </c>
      <c r="B2970" s="43">
        <v>10</v>
      </c>
      <c r="C2970" s="43" t="s">
        <v>963</v>
      </c>
      <c r="D2970" s="43" t="s">
        <v>1009</v>
      </c>
      <c r="E2970" s="43" t="s">
        <v>286</v>
      </c>
      <c r="F2970" s="43" t="s">
        <v>960</v>
      </c>
      <c r="G2970" s="43">
        <v>1077777</v>
      </c>
      <c r="H2970" s="43">
        <v>501100</v>
      </c>
      <c r="I2970" s="43" t="s">
        <v>949</v>
      </c>
      <c r="J2970" s="44" t="s">
        <v>1000</v>
      </c>
    </row>
    <row r="2971" ht="22" customHeight="1" spans="1:10" x14ac:dyDescent="0.25">
      <c r="A2971" s="43">
        <v>3130</v>
      </c>
      <c r="B2971" s="43">
        <v>10</v>
      </c>
      <c r="C2971" s="43" t="s">
        <v>963</v>
      </c>
      <c r="D2971" s="43" t="s">
        <v>1009</v>
      </c>
      <c r="E2971" s="43" t="s">
        <v>286</v>
      </c>
      <c r="F2971" s="43" t="s">
        <v>961</v>
      </c>
      <c r="G2971" s="43">
        <v>1077777</v>
      </c>
      <c r="H2971" s="43">
        <v>501100</v>
      </c>
      <c r="I2971" s="43" t="s">
        <v>949</v>
      </c>
      <c r="J2971" s="44" t="s">
        <v>1000</v>
      </c>
    </row>
    <row r="2972" spans="1:9" x14ac:dyDescent="0.25">
      <c r="A2972">
        <v>4122</v>
      </c>
      <c r="B2972">
        <v>10</v>
      </c>
      <c r="C2972" t="s">
        <v>946</v>
      </c>
      <c r="D2972" t="s">
        <v>1009</v>
      </c>
      <c r="E2972" t="s">
        <v>286</v>
      </c>
      <c r="F2972" t="s">
        <v>948</v>
      </c>
      <c r="G2972">
        <v>1000000</v>
      </c>
      <c r="H2972">
        <v>145000</v>
      </c>
      <c r="I2972" t="s">
        <v>949</v>
      </c>
    </row>
    <row r="2973" spans="1:9" x14ac:dyDescent="0.25">
      <c r="A2973">
        <v>4124</v>
      </c>
      <c r="B2973">
        <v>10</v>
      </c>
      <c r="C2973" t="s">
        <v>946</v>
      </c>
      <c r="D2973" t="s">
        <v>1009</v>
      </c>
      <c r="E2973" t="s">
        <v>286</v>
      </c>
      <c r="F2973" t="s">
        <v>948</v>
      </c>
      <c r="G2973">
        <v>1077777</v>
      </c>
      <c r="H2973">
        <v>501100</v>
      </c>
      <c r="I2973" t="s">
        <v>949</v>
      </c>
    </row>
    <row r="2974" ht="22" customHeight="1" spans="1:10" x14ac:dyDescent="0.25">
      <c r="A2974" s="43">
        <v>3130</v>
      </c>
      <c r="B2974" s="43">
        <v>10</v>
      </c>
      <c r="C2974" s="43" t="s">
        <v>950</v>
      </c>
      <c r="D2974" s="43" t="s">
        <v>1009</v>
      </c>
      <c r="E2974" s="43" t="s">
        <v>976</v>
      </c>
      <c r="F2974" s="43" t="s">
        <v>951</v>
      </c>
      <c r="G2974" s="43">
        <v>1077777</v>
      </c>
      <c r="H2974" s="43">
        <v>501100</v>
      </c>
      <c r="I2974" s="43" t="s">
        <v>949</v>
      </c>
      <c r="J2974" s="44" t="s">
        <v>1000</v>
      </c>
    </row>
    <row r="2975" ht="22" customHeight="1" spans="1:10" x14ac:dyDescent="0.25">
      <c r="A2975" s="43">
        <v>3130</v>
      </c>
      <c r="B2975" s="43">
        <v>10</v>
      </c>
      <c r="C2975" s="43" t="s">
        <v>950</v>
      </c>
      <c r="D2975" s="43" t="s">
        <v>1009</v>
      </c>
      <c r="E2975" s="43" t="s">
        <v>976</v>
      </c>
      <c r="F2975" s="43" t="s">
        <v>952</v>
      </c>
      <c r="G2975" s="43">
        <v>1077777</v>
      </c>
      <c r="H2975" s="43">
        <v>501100</v>
      </c>
      <c r="I2975" s="43" t="s">
        <v>949</v>
      </c>
      <c r="J2975" s="44" t="s">
        <v>1000</v>
      </c>
    </row>
    <row r="2976" ht="22" customHeight="1" spans="1:10" x14ac:dyDescent="0.25">
      <c r="A2976" s="43">
        <v>3130</v>
      </c>
      <c r="B2976" s="43">
        <v>10</v>
      </c>
      <c r="C2976" s="43" t="s">
        <v>950</v>
      </c>
      <c r="D2976" s="43" t="s">
        <v>1009</v>
      </c>
      <c r="E2976" s="43" t="s">
        <v>976</v>
      </c>
      <c r="F2976" s="43" t="s">
        <v>953</v>
      </c>
      <c r="G2976" s="43">
        <v>1077777</v>
      </c>
      <c r="H2976" s="43">
        <v>501100</v>
      </c>
      <c r="I2976" s="43" t="s">
        <v>949</v>
      </c>
      <c r="J2976" s="44" t="s">
        <v>1000</v>
      </c>
    </row>
    <row r="2977" ht="22" customHeight="1" spans="1:10" x14ac:dyDescent="0.25">
      <c r="A2977" s="43">
        <v>3130</v>
      </c>
      <c r="B2977" s="43">
        <v>10</v>
      </c>
      <c r="C2977" s="43" t="s">
        <v>950</v>
      </c>
      <c r="D2977" s="43" t="s">
        <v>1009</v>
      </c>
      <c r="E2977" s="43" t="s">
        <v>976</v>
      </c>
      <c r="F2977" s="43" t="s">
        <v>954</v>
      </c>
      <c r="G2977" s="43">
        <v>1077777</v>
      </c>
      <c r="H2977" s="43">
        <v>501100</v>
      </c>
      <c r="I2977" s="43" t="s">
        <v>949</v>
      </c>
      <c r="J2977" s="44" t="s">
        <v>1000</v>
      </c>
    </row>
    <row r="2978" ht="22" customHeight="1" spans="1:10" x14ac:dyDescent="0.25">
      <c r="A2978" s="43">
        <v>3130</v>
      </c>
      <c r="B2978" s="43">
        <v>10</v>
      </c>
      <c r="C2978" s="43" t="s">
        <v>950</v>
      </c>
      <c r="D2978" s="43" t="s">
        <v>1009</v>
      </c>
      <c r="E2978" s="43" t="s">
        <v>976</v>
      </c>
      <c r="F2978" s="43" t="s">
        <v>955</v>
      </c>
      <c r="G2978" s="43">
        <v>1077777</v>
      </c>
      <c r="H2978" s="43">
        <v>501100</v>
      </c>
      <c r="I2978" s="43" t="s">
        <v>949</v>
      </c>
      <c r="J2978" s="44" t="s">
        <v>1000</v>
      </c>
    </row>
    <row r="2979" ht="22" customHeight="1" spans="1:10" x14ac:dyDescent="0.25">
      <c r="A2979" s="43">
        <v>3130</v>
      </c>
      <c r="B2979" s="43">
        <v>10</v>
      </c>
      <c r="C2979" s="43" t="s">
        <v>950</v>
      </c>
      <c r="D2979" s="43" t="s">
        <v>1009</v>
      </c>
      <c r="E2979" s="43" t="s">
        <v>976</v>
      </c>
      <c r="F2979" s="43" t="s">
        <v>956</v>
      </c>
      <c r="G2979" s="43">
        <v>1077777</v>
      </c>
      <c r="H2979" s="43">
        <v>501100</v>
      </c>
      <c r="I2979" s="43" t="s">
        <v>949</v>
      </c>
      <c r="J2979" s="44" t="s">
        <v>1000</v>
      </c>
    </row>
    <row r="2980" ht="22" customHeight="1" spans="1:10" x14ac:dyDescent="0.25">
      <c r="A2980" s="43">
        <v>3130</v>
      </c>
      <c r="B2980" s="43">
        <v>10</v>
      </c>
      <c r="C2980" s="43" t="s">
        <v>950</v>
      </c>
      <c r="D2980" s="43" t="s">
        <v>1009</v>
      </c>
      <c r="E2980" s="43" t="s">
        <v>976</v>
      </c>
      <c r="F2980" s="43" t="s">
        <v>957</v>
      </c>
      <c r="G2980" s="43">
        <v>1077777</v>
      </c>
      <c r="H2980" s="43">
        <v>501100</v>
      </c>
      <c r="I2980" s="43" t="s">
        <v>949</v>
      </c>
      <c r="J2980" s="44" t="s">
        <v>1000</v>
      </c>
    </row>
    <row r="2981" ht="22" customHeight="1" spans="1:10" x14ac:dyDescent="0.25">
      <c r="A2981" s="43">
        <v>3130</v>
      </c>
      <c r="B2981" s="43">
        <v>10</v>
      </c>
      <c r="C2981" s="43" t="s">
        <v>950</v>
      </c>
      <c r="D2981" s="43" t="s">
        <v>1009</v>
      </c>
      <c r="E2981" s="43" t="s">
        <v>976</v>
      </c>
      <c r="F2981" s="43" t="s">
        <v>958</v>
      </c>
      <c r="G2981" s="43">
        <v>1077777</v>
      </c>
      <c r="H2981" s="43">
        <v>501100</v>
      </c>
      <c r="I2981" s="43" t="s">
        <v>949</v>
      </c>
      <c r="J2981" s="44" t="s">
        <v>1000</v>
      </c>
    </row>
    <row r="2982" ht="22" customHeight="1" spans="1:10" x14ac:dyDescent="0.25">
      <c r="A2982" s="43">
        <v>3130</v>
      </c>
      <c r="B2982" s="43">
        <v>10</v>
      </c>
      <c r="C2982" s="43" t="s">
        <v>950</v>
      </c>
      <c r="D2982" s="43" t="s">
        <v>1009</v>
      </c>
      <c r="E2982" s="43" t="s">
        <v>976</v>
      </c>
      <c r="F2982" s="43" t="s">
        <v>959</v>
      </c>
      <c r="G2982" s="43">
        <v>1077777</v>
      </c>
      <c r="H2982" s="43">
        <v>501100</v>
      </c>
      <c r="I2982" s="43" t="s">
        <v>949</v>
      </c>
      <c r="J2982" s="44" t="s">
        <v>1000</v>
      </c>
    </row>
    <row r="2983" ht="22" customHeight="1" spans="1:10" x14ac:dyDescent="0.25">
      <c r="A2983" s="43">
        <v>3130</v>
      </c>
      <c r="B2983" s="43">
        <v>10</v>
      </c>
      <c r="C2983" s="43" t="s">
        <v>950</v>
      </c>
      <c r="D2983" s="43" t="s">
        <v>1009</v>
      </c>
      <c r="E2983" s="43" t="s">
        <v>976</v>
      </c>
      <c r="F2983" s="43" t="s">
        <v>960</v>
      </c>
      <c r="G2983" s="43">
        <v>1077777</v>
      </c>
      <c r="H2983" s="43">
        <v>501100</v>
      </c>
      <c r="I2983" s="43" t="s">
        <v>949</v>
      </c>
      <c r="J2983" s="44" t="s">
        <v>1000</v>
      </c>
    </row>
    <row r="2984" ht="22" customHeight="1" spans="1:10" x14ac:dyDescent="0.25">
      <c r="A2984" s="43">
        <v>3130</v>
      </c>
      <c r="B2984" s="43">
        <v>10</v>
      </c>
      <c r="C2984" s="43" t="s">
        <v>950</v>
      </c>
      <c r="D2984" s="43" t="s">
        <v>1009</v>
      </c>
      <c r="E2984" s="43" t="s">
        <v>976</v>
      </c>
      <c r="F2984" s="43" t="s">
        <v>961</v>
      </c>
      <c r="G2984" s="43">
        <v>1077777</v>
      </c>
      <c r="H2984" s="43">
        <v>501100</v>
      </c>
      <c r="I2984" s="43" t="s">
        <v>949</v>
      </c>
      <c r="J2984" s="44" t="s">
        <v>1000</v>
      </c>
    </row>
    <row r="2985" ht="22" customHeight="1" spans="1:10" x14ac:dyDescent="0.25">
      <c r="A2985" s="43">
        <v>3130</v>
      </c>
      <c r="B2985" s="43">
        <v>10</v>
      </c>
      <c r="C2985" s="43" t="s">
        <v>962</v>
      </c>
      <c r="D2985" s="43" t="s">
        <v>1009</v>
      </c>
      <c r="E2985" s="43" t="s">
        <v>976</v>
      </c>
      <c r="F2985" s="43" t="s">
        <v>951</v>
      </c>
      <c r="G2985" s="43">
        <v>1077777</v>
      </c>
      <c r="H2985" s="43">
        <v>501100</v>
      </c>
      <c r="I2985" s="43" t="s">
        <v>949</v>
      </c>
      <c r="J2985" s="44" t="s">
        <v>1000</v>
      </c>
    </row>
    <row r="2986" ht="22" customHeight="1" spans="1:10" x14ac:dyDescent="0.25">
      <c r="A2986" s="43">
        <v>3130</v>
      </c>
      <c r="B2986" s="43">
        <v>10</v>
      </c>
      <c r="C2986" s="43" t="s">
        <v>962</v>
      </c>
      <c r="D2986" s="43" t="s">
        <v>1009</v>
      </c>
      <c r="E2986" s="43" t="s">
        <v>976</v>
      </c>
      <c r="F2986" s="43" t="s">
        <v>952</v>
      </c>
      <c r="G2986" s="43">
        <v>1077777</v>
      </c>
      <c r="H2986" s="43">
        <v>501100</v>
      </c>
      <c r="I2986" s="43" t="s">
        <v>949</v>
      </c>
      <c r="J2986" s="44" t="s">
        <v>1000</v>
      </c>
    </row>
    <row r="2987" ht="22" customHeight="1" spans="1:10" x14ac:dyDescent="0.25">
      <c r="A2987" s="43">
        <v>3130</v>
      </c>
      <c r="B2987" s="43">
        <v>10</v>
      </c>
      <c r="C2987" s="43" t="s">
        <v>962</v>
      </c>
      <c r="D2987" s="43" t="s">
        <v>1009</v>
      </c>
      <c r="E2987" s="43" t="s">
        <v>976</v>
      </c>
      <c r="F2987" s="43" t="s">
        <v>953</v>
      </c>
      <c r="G2987" s="43">
        <v>1077777</v>
      </c>
      <c r="H2987" s="43">
        <v>501100</v>
      </c>
      <c r="I2987" s="43" t="s">
        <v>949</v>
      </c>
      <c r="J2987" s="44" t="s">
        <v>1000</v>
      </c>
    </row>
    <row r="2988" ht="22" customHeight="1" spans="1:10" x14ac:dyDescent="0.25">
      <c r="A2988" s="43">
        <v>3130</v>
      </c>
      <c r="B2988" s="43">
        <v>10</v>
      </c>
      <c r="C2988" s="43" t="s">
        <v>962</v>
      </c>
      <c r="D2988" s="43" t="s">
        <v>1009</v>
      </c>
      <c r="E2988" s="43" t="s">
        <v>976</v>
      </c>
      <c r="F2988" s="43" t="s">
        <v>954</v>
      </c>
      <c r="G2988" s="43">
        <v>1077777</v>
      </c>
      <c r="H2988" s="43">
        <v>501100</v>
      </c>
      <c r="I2988" s="43" t="s">
        <v>949</v>
      </c>
      <c r="J2988" s="44" t="s">
        <v>1000</v>
      </c>
    </row>
    <row r="2989" ht="22" customHeight="1" spans="1:10" x14ac:dyDescent="0.25">
      <c r="A2989" s="43">
        <v>3130</v>
      </c>
      <c r="B2989" s="43">
        <v>10</v>
      </c>
      <c r="C2989" s="43" t="s">
        <v>962</v>
      </c>
      <c r="D2989" s="43" t="s">
        <v>1009</v>
      </c>
      <c r="E2989" s="43" t="s">
        <v>976</v>
      </c>
      <c r="F2989" s="43" t="s">
        <v>955</v>
      </c>
      <c r="G2989" s="43">
        <v>1077777</v>
      </c>
      <c r="H2989" s="43">
        <v>501100</v>
      </c>
      <c r="I2989" s="43" t="s">
        <v>949</v>
      </c>
      <c r="J2989" s="44" t="s">
        <v>1000</v>
      </c>
    </row>
    <row r="2990" ht="22" customHeight="1" spans="1:10" x14ac:dyDescent="0.25">
      <c r="A2990" s="43">
        <v>3130</v>
      </c>
      <c r="B2990" s="43">
        <v>10</v>
      </c>
      <c r="C2990" s="43" t="s">
        <v>962</v>
      </c>
      <c r="D2990" s="43" t="s">
        <v>1009</v>
      </c>
      <c r="E2990" s="43" t="s">
        <v>976</v>
      </c>
      <c r="F2990" s="43" t="s">
        <v>956</v>
      </c>
      <c r="G2990" s="43">
        <v>1077777</v>
      </c>
      <c r="H2990" s="43">
        <v>501100</v>
      </c>
      <c r="I2990" s="43" t="s">
        <v>949</v>
      </c>
      <c r="J2990" s="44" t="s">
        <v>1000</v>
      </c>
    </row>
    <row r="2991" ht="22" customHeight="1" spans="1:10" x14ac:dyDescent="0.25">
      <c r="A2991" s="43">
        <v>3130</v>
      </c>
      <c r="B2991" s="43">
        <v>10</v>
      </c>
      <c r="C2991" s="43" t="s">
        <v>962</v>
      </c>
      <c r="D2991" s="43" t="s">
        <v>1009</v>
      </c>
      <c r="E2991" s="43" t="s">
        <v>976</v>
      </c>
      <c r="F2991" s="43" t="s">
        <v>957</v>
      </c>
      <c r="G2991" s="43">
        <v>1077777</v>
      </c>
      <c r="H2991" s="43">
        <v>501100</v>
      </c>
      <c r="I2991" s="43" t="s">
        <v>949</v>
      </c>
      <c r="J2991" s="44" t="s">
        <v>1000</v>
      </c>
    </row>
    <row r="2992" ht="22" customHeight="1" spans="1:10" x14ac:dyDescent="0.25">
      <c r="A2992" s="43">
        <v>3130</v>
      </c>
      <c r="B2992" s="43">
        <v>10</v>
      </c>
      <c r="C2992" s="43" t="s">
        <v>962</v>
      </c>
      <c r="D2992" s="43" t="s">
        <v>1009</v>
      </c>
      <c r="E2992" s="43" t="s">
        <v>976</v>
      </c>
      <c r="F2992" s="43" t="s">
        <v>958</v>
      </c>
      <c r="G2992" s="43">
        <v>1077777</v>
      </c>
      <c r="H2992" s="43">
        <v>501100</v>
      </c>
      <c r="I2992" s="43" t="s">
        <v>949</v>
      </c>
      <c r="J2992" s="44" t="s">
        <v>1000</v>
      </c>
    </row>
    <row r="2993" ht="22" customHeight="1" spans="1:10" x14ac:dyDescent="0.25">
      <c r="A2993" s="43">
        <v>3130</v>
      </c>
      <c r="B2993" s="43">
        <v>10</v>
      </c>
      <c r="C2993" s="43" t="s">
        <v>962</v>
      </c>
      <c r="D2993" s="43" t="s">
        <v>1009</v>
      </c>
      <c r="E2993" s="43" t="s">
        <v>976</v>
      </c>
      <c r="F2993" s="43" t="s">
        <v>959</v>
      </c>
      <c r="G2993" s="43">
        <v>1077777</v>
      </c>
      <c r="H2993" s="43">
        <v>501100</v>
      </c>
      <c r="I2993" s="43" t="s">
        <v>949</v>
      </c>
      <c r="J2993" s="44" t="s">
        <v>1000</v>
      </c>
    </row>
    <row r="2994" ht="22" customHeight="1" spans="1:10" x14ac:dyDescent="0.25">
      <c r="A2994" s="43">
        <v>3130</v>
      </c>
      <c r="B2994" s="43">
        <v>10</v>
      </c>
      <c r="C2994" s="43" t="s">
        <v>962</v>
      </c>
      <c r="D2994" s="43" t="s">
        <v>1009</v>
      </c>
      <c r="E2994" s="43" t="s">
        <v>976</v>
      </c>
      <c r="F2994" s="43" t="s">
        <v>960</v>
      </c>
      <c r="G2994" s="43">
        <v>1077777</v>
      </c>
      <c r="H2994" s="43">
        <v>501100</v>
      </c>
      <c r="I2994" s="43" t="s">
        <v>949</v>
      </c>
      <c r="J2994" s="44" t="s">
        <v>1000</v>
      </c>
    </row>
    <row r="2995" ht="22" customHeight="1" spans="1:10" x14ac:dyDescent="0.25">
      <c r="A2995" s="43">
        <v>3130</v>
      </c>
      <c r="B2995" s="43">
        <v>10</v>
      </c>
      <c r="C2995" s="43" t="s">
        <v>962</v>
      </c>
      <c r="D2995" s="43" t="s">
        <v>1009</v>
      </c>
      <c r="E2995" s="43" t="s">
        <v>976</v>
      </c>
      <c r="F2995" s="43" t="s">
        <v>961</v>
      </c>
      <c r="G2995" s="43">
        <v>1077777</v>
      </c>
      <c r="H2995" s="43">
        <v>501100</v>
      </c>
      <c r="I2995" s="43" t="s">
        <v>949</v>
      </c>
      <c r="J2995" s="44" t="s">
        <v>1000</v>
      </c>
    </row>
    <row r="2996" ht="22" customHeight="1" spans="1:10" x14ac:dyDescent="0.25">
      <c r="A2996" s="43">
        <v>3130</v>
      </c>
      <c r="B2996" s="43">
        <v>10</v>
      </c>
      <c r="C2996" s="43" t="s">
        <v>963</v>
      </c>
      <c r="D2996" s="43" t="s">
        <v>1009</v>
      </c>
      <c r="E2996" s="43" t="s">
        <v>976</v>
      </c>
      <c r="F2996" s="43" t="s">
        <v>951</v>
      </c>
      <c r="G2996" s="43">
        <v>1077777</v>
      </c>
      <c r="H2996" s="43">
        <v>501100</v>
      </c>
      <c r="I2996" s="43" t="s">
        <v>949</v>
      </c>
      <c r="J2996" s="44" t="s">
        <v>1000</v>
      </c>
    </row>
    <row r="2997" ht="22" customHeight="1" spans="1:10" x14ac:dyDescent="0.25">
      <c r="A2997" s="43">
        <v>3130</v>
      </c>
      <c r="B2997" s="43">
        <v>10</v>
      </c>
      <c r="C2997" s="43" t="s">
        <v>963</v>
      </c>
      <c r="D2997" s="43" t="s">
        <v>1009</v>
      </c>
      <c r="E2997" s="43" t="s">
        <v>976</v>
      </c>
      <c r="F2997" s="43" t="s">
        <v>952</v>
      </c>
      <c r="G2997" s="43">
        <v>1077777</v>
      </c>
      <c r="H2997" s="43">
        <v>501100</v>
      </c>
      <c r="I2997" s="43" t="s">
        <v>949</v>
      </c>
      <c r="J2997" s="44" t="s">
        <v>1000</v>
      </c>
    </row>
    <row r="2998" ht="22" customHeight="1" spans="1:10" x14ac:dyDescent="0.25">
      <c r="A2998" s="43">
        <v>3130</v>
      </c>
      <c r="B2998" s="43">
        <v>10</v>
      </c>
      <c r="C2998" s="43" t="s">
        <v>963</v>
      </c>
      <c r="D2998" s="43" t="s">
        <v>1009</v>
      </c>
      <c r="E2998" s="43" t="s">
        <v>976</v>
      </c>
      <c r="F2998" s="43" t="s">
        <v>953</v>
      </c>
      <c r="G2998" s="43">
        <v>1077777</v>
      </c>
      <c r="H2998" s="43">
        <v>501100</v>
      </c>
      <c r="I2998" s="43" t="s">
        <v>949</v>
      </c>
      <c r="J2998" s="44" t="s">
        <v>1000</v>
      </c>
    </row>
    <row r="2999" ht="22" customHeight="1" spans="1:10" x14ac:dyDescent="0.25">
      <c r="A2999" s="43">
        <v>3130</v>
      </c>
      <c r="B2999" s="43">
        <v>10</v>
      </c>
      <c r="C2999" s="43" t="s">
        <v>963</v>
      </c>
      <c r="D2999" s="43" t="s">
        <v>1009</v>
      </c>
      <c r="E2999" s="43" t="s">
        <v>976</v>
      </c>
      <c r="F2999" s="43" t="s">
        <v>954</v>
      </c>
      <c r="G2999" s="43">
        <v>1077777</v>
      </c>
      <c r="H2999" s="43">
        <v>501100</v>
      </c>
      <c r="I2999" s="43" t="s">
        <v>949</v>
      </c>
      <c r="J2999" s="44" t="s">
        <v>1000</v>
      </c>
    </row>
    <row r="3000" ht="22" customHeight="1" spans="1:10" x14ac:dyDescent="0.25">
      <c r="A3000" s="43">
        <v>3130</v>
      </c>
      <c r="B3000" s="43">
        <v>10</v>
      </c>
      <c r="C3000" s="43" t="s">
        <v>963</v>
      </c>
      <c r="D3000" s="43" t="s">
        <v>1009</v>
      </c>
      <c r="E3000" s="43" t="s">
        <v>976</v>
      </c>
      <c r="F3000" s="43" t="s">
        <v>955</v>
      </c>
      <c r="G3000" s="43">
        <v>1077777</v>
      </c>
      <c r="H3000" s="43">
        <v>501100</v>
      </c>
      <c r="I3000" s="43" t="s">
        <v>949</v>
      </c>
      <c r="J3000" s="44" t="s">
        <v>1000</v>
      </c>
    </row>
    <row r="3001" ht="22" customHeight="1" spans="1:10" x14ac:dyDescent="0.25">
      <c r="A3001" s="43">
        <v>3130</v>
      </c>
      <c r="B3001" s="43">
        <v>10</v>
      </c>
      <c r="C3001" s="43" t="s">
        <v>963</v>
      </c>
      <c r="D3001" s="43" t="s">
        <v>1009</v>
      </c>
      <c r="E3001" s="43" t="s">
        <v>976</v>
      </c>
      <c r="F3001" s="43" t="s">
        <v>956</v>
      </c>
      <c r="G3001" s="43">
        <v>1077777</v>
      </c>
      <c r="H3001" s="43">
        <v>501100</v>
      </c>
      <c r="I3001" s="43" t="s">
        <v>949</v>
      </c>
      <c r="J3001" s="44" t="s">
        <v>1000</v>
      </c>
    </row>
    <row r="3002" ht="22" customHeight="1" spans="1:10" x14ac:dyDescent="0.25">
      <c r="A3002" s="43">
        <v>3130</v>
      </c>
      <c r="B3002" s="43">
        <v>10</v>
      </c>
      <c r="C3002" s="43" t="s">
        <v>963</v>
      </c>
      <c r="D3002" s="43" t="s">
        <v>1009</v>
      </c>
      <c r="E3002" s="43" t="s">
        <v>976</v>
      </c>
      <c r="F3002" s="43" t="s">
        <v>957</v>
      </c>
      <c r="G3002" s="43">
        <v>1077777</v>
      </c>
      <c r="H3002" s="43">
        <v>501100</v>
      </c>
      <c r="I3002" s="43" t="s">
        <v>949</v>
      </c>
      <c r="J3002" s="44" t="s">
        <v>1000</v>
      </c>
    </row>
    <row r="3003" ht="22" customHeight="1" spans="1:10" x14ac:dyDescent="0.25">
      <c r="A3003" s="43">
        <v>3130</v>
      </c>
      <c r="B3003" s="43">
        <v>10</v>
      </c>
      <c r="C3003" s="43" t="s">
        <v>963</v>
      </c>
      <c r="D3003" s="43" t="s">
        <v>1009</v>
      </c>
      <c r="E3003" s="43" t="s">
        <v>976</v>
      </c>
      <c r="F3003" s="43" t="s">
        <v>958</v>
      </c>
      <c r="G3003" s="43">
        <v>1077777</v>
      </c>
      <c r="H3003" s="43">
        <v>501100</v>
      </c>
      <c r="I3003" s="43" t="s">
        <v>949</v>
      </c>
      <c r="J3003" s="44" t="s">
        <v>1000</v>
      </c>
    </row>
    <row r="3004" ht="22" customHeight="1" spans="1:10" x14ac:dyDescent="0.25">
      <c r="A3004" s="43">
        <v>3130</v>
      </c>
      <c r="B3004" s="43">
        <v>10</v>
      </c>
      <c r="C3004" s="43" t="s">
        <v>963</v>
      </c>
      <c r="D3004" s="43" t="s">
        <v>1009</v>
      </c>
      <c r="E3004" s="43" t="s">
        <v>976</v>
      </c>
      <c r="F3004" s="43" t="s">
        <v>959</v>
      </c>
      <c r="G3004" s="43">
        <v>1077777</v>
      </c>
      <c r="H3004" s="43">
        <v>501100</v>
      </c>
      <c r="I3004" s="43" t="s">
        <v>949</v>
      </c>
      <c r="J3004" s="44" t="s">
        <v>1000</v>
      </c>
    </row>
    <row r="3005" ht="22" customHeight="1" spans="1:10" x14ac:dyDescent="0.25">
      <c r="A3005" s="43">
        <v>3130</v>
      </c>
      <c r="B3005" s="43">
        <v>10</v>
      </c>
      <c r="C3005" s="43" t="s">
        <v>963</v>
      </c>
      <c r="D3005" s="43" t="s">
        <v>1009</v>
      </c>
      <c r="E3005" s="43" t="s">
        <v>976</v>
      </c>
      <c r="F3005" s="43" t="s">
        <v>960</v>
      </c>
      <c r="G3005" s="43">
        <v>1077777</v>
      </c>
      <c r="H3005" s="43">
        <v>501100</v>
      </c>
      <c r="I3005" s="43" t="s">
        <v>949</v>
      </c>
      <c r="J3005" s="44" t="s">
        <v>1000</v>
      </c>
    </row>
    <row r="3006" ht="22" customHeight="1" spans="1:10" x14ac:dyDescent="0.25">
      <c r="A3006" s="43">
        <v>3130</v>
      </c>
      <c r="B3006" s="43">
        <v>10</v>
      </c>
      <c r="C3006" s="43" t="s">
        <v>963</v>
      </c>
      <c r="D3006" s="43" t="s">
        <v>1009</v>
      </c>
      <c r="E3006" s="43" t="s">
        <v>976</v>
      </c>
      <c r="F3006" s="43" t="s">
        <v>961</v>
      </c>
      <c r="G3006" s="43">
        <v>1077777</v>
      </c>
      <c r="H3006" s="43">
        <v>501100</v>
      </c>
      <c r="I3006" s="43" t="s">
        <v>949</v>
      </c>
      <c r="J3006" s="44" t="s">
        <v>1000</v>
      </c>
    </row>
    <row r="3007" spans="1:9" x14ac:dyDescent="0.25">
      <c r="A3007">
        <v>4122</v>
      </c>
      <c r="B3007">
        <v>10</v>
      </c>
      <c r="C3007" t="s">
        <v>946</v>
      </c>
      <c r="D3007" t="s">
        <v>1009</v>
      </c>
      <c r="E3007" t="s">
        <v>976</v>
      </c>
      <c r="F3007" t="s">
        <v>948</v>
      </c>
      <c r="G3007">
        <v>1000000</v>
      </c>
      <c r="H3007">
        <v>141000</v>
      </c>
      <c r="I3007" t="s">
        <v>977</v>
      </c>
    </row>
    <row r="3008" spans="1:9" x14ac:dyDescent="0.25">
      <c r="A3008">
        <v>4124</v>
      </c>
      <c r="B3008">
        <v>10</v>
      </c>
      <c r="C3008" t="s">
        <v>946</v>
      </c>
      <c r="D3008" t="s">
        <v>1009</v>
      </c>
      <c r="E3008" t="s">
        <v>976</v>
      </c>
      <c r="F3008" t="s">
        <v>948</v>
      </c>
      <c r="G3008">
        <v>1077777</v>
      </c>
      <c r="H3008">
        <v>501100</v>
      </c>
      <c r="I3008" t="s">
        <v>949</v>
      </c>
    </row>
    <row r="3009" ht="22" customHeight="1" spans="1:10" x14ac:dyDescent="0.25">
      <c r="A3009" s="43">
        <v>3130</v>
      </c>
      <c r="B3009" s="43">
        <v>10</v>
      </c>
      <c r="C3009" s="43" t="s">
        <v>950</v>
      </c>
      <c r="D3009" s="43" t="s">
        <v>1009</v>
      </c>
      <c r="E3009" s="43" t="s">
        <v>290</v>
      </c>
      <c r="F3009" s="43" t="s">
        <v>951</v>
      </c>
      <c r="G3009" s="43">
        <v>1077777</v>
      </c>
      <c r="H3009" s="43">
        <v>501100</v>
      </c>
      <c r="I3009" s="43" t="s">
        <v>949</v>
      </c>
      <c r="J3009" s="44" t="s">
        <v>1000</v>
      </c>
    </row>
    <row r="3010" ht="22" customHeight="1" spans="1:10" x14ac:dyDescent="0.25">
      <c r="A3010" s="43">
        <v>3130</v>
      </c>
      <c r="B3010" s="43">
        <v>10</v>
      </c>
      <c r="C3010" s="43" t="s">
        <v>950</v>
      </c>
      <c r="D3010" s="43" t="s">
        <v>1009</v>
      </c>
      <c r="E3010" s="43" t="s">
        <v>290</v>
      </c>
      <c r="F3010" s="43" t="s">
        <v>952</v>
      </c>
      <c r="G3010" s="43">
        <v>1077777</v>
      </c>
      <c r="H3010" s="43">
        <v>501100</v>
      </c>
      <c r="I3010" s="43" t="s">
        <v>949</v>
      </c>
      <c r="J3010" s="44" t="s">
        <v>1000</v>
      </c>
    </row>
    <row r="3011" ht="22" customHeight="1" spans="1:10" x14ac:dyDescent="0.25">
      <c r="A3011" s="43">
        <v>3130</v>
      </c>
      <c r="B3011" s="43">
        <v>10</v>
      </c>
      <c r="C3011" s="43" t="s">
        <v>950</v>
      </c>
      <c r="D3011" s="43" t="s">
        <v>1009</v>
      </c>
      <c r="E3011" s="43" t="s">
        <v>290</v>
      </c>
      <c r="F3011" s="43" t="s">
        <v>953</v>
      </c>
      <c r="G3011" s="43">
        <v>1077777</v>
      </c>
      <c r="H3011" s="43">
        <v>501100</v>
      </c>
      <c r="I3011" s="43" t="s">
        <v>949</v>
      </c>
      <c r="J3011" s="44" t="s">
        <v>1000</v>
      </c>
    </row>
    <row r="3012" ht="22" customHeight="1" spans="1:10" x14ac:dyDescent="0.25">
      <c r="A3012" s="43">
        <v>3130</v>
      </c>
      <c r="B3012" s="43">
        <v>10</v>
      </c>
      <c r="C3012" s="43" t="s">
        <v>950</v>
      </c>
      <c r="D3012" s="43" t="s">
        <v>1009</v>
      </c>
      <c r="E3012" s="43" t="s">
        <v>290</v>
      </c>
      <c r="F3012" s="43" t="s">
        <v>954</v>
      </c>
      <c r="G3012" s="43">
        <v>1077777</v>
      </c>
      <c r="H3012" s="43">
        <v>501100</v>
      </c>
      <c r="I3012" s="43" t="s">
        <v>949</v>
      </c>
      <c r="J3012" s="44" t="s">
        <v>1000</v>
      </c>
    </row>
    <row r="3013" ht="22" customHeight="1" spans="1:10" x14ac:dyDescent="0.25">
      <c r="A3013" s="43">
        <v>3130</v>
      </c>
      <c r="B3013" s="43">
        <v>10</v>
      </c>
      <c r="C3013" s="43" t="s">
        <v>950</v>
      </c>
      <c r="D3013" s="43" t="s">
        <v>1009</v>
      </c>
      <c r="E3013" s="43" t="s">
        <v>290</v>
      </c>
      <c r="F3013" s="43" t="s">
        <v>955</v>
      </c>
      <c r="G3013" s="43">
        <v>1077777</v>
      </c>
      <c r="H3013" s="43">
        <v>501100</v>
      </c>
      <c r="I3013" s="43" t="s">
        <v>949</v>
      </c>
      <c r="J3013" s="44" t="s">
        <v>1000</v>
      </c>
    </row>
    <row r="3014" ht="22" customHeight="1" spans="1:10" x14ac:dyDescent="0.25">
      <c r="A3014" s="43">
        <v>3130</v>
      </c>
      <c r="B3014" s="43">
        <v>10</v>
      </c>
      <c r="C3014" s="43" t="s">
        <v>950</v>
      </c>
      <c r="D3014" s="43" t="s">
        <v>1009</v>
      </c>
      <c r="E3014" s="43" t="s">
        <v>290</v>
      </c>
      <c r="F3014" s="43" t="s">
        <v>956</v>
      </c>
      <c r="G3014" s="43">
        <v>1077777</v>
      </c>
      <c r="H3014" s="43">
        <v>501100</v>
      </c>
      <c r="I3014" s="43" t="s">
        <v>949</v>
      </c>
      <c r="J3014" s="44" t="s">
        <v>1000</v>
      </c>
    </row>
    <row r="3015" ht="22" customHeight="1" spans="1:10" x14ac:dyDescent="0.25">
      <c r="A3015" s="43">
        <v>3130</v>
      </c>
      <c r="B3015" s="43">
        <v>10</v>
      </c>
      <c r="C3015" s="43" t="s">
        <v>950</v>
      </c>
      <c r="D3015" s="43" t="s">
        <v>1009</v>
      </c>
      <c r="E3015" s="43" t="s">
        <v>290</v>
      </c>
      <c r="F3015" s="43" t="s">
        <v>957</v>
      </c>
      <c r="G3015" s="43">
        <v>1077777</v>
      </c>
      <c r="H3015" s="43">
        <v>501100</v>
      </c>
      <c r="I3015" s="43" t="s">
        <v>949</v>
      </c>
      <c r="J3015" s="44" t="s">
        <v>1000</v>
      </c>
    </row>
    <row r="3016" ht="22" customHeight="1" spans="1:10" x14ac:dyDescent="0.25">
      <c r="A3016" s="43">
        <v>3130</v>
      </c>
      <c r="B3016" s="43">
        <v>10</v>
      </c>
      <c r="C3016" s="43" t="s">
        <v>950</v>
      </c>
      <c r="D3016" s="43" t="s">
        <v>1009</v>
      </c>
      <c r="E3016" s="43" t="s">
        <v>290</v>
      </c>
      <c r="F3016" s="43" t="s">
        <v>958</v>
      </c>
      <c r="G3016" s="43">
        <v>1077777</v>
      </c>
      <c r="H3016" s="43">
        <v>501100</v>
      </c>
      <c r="I3016" s="43" t="s">
        <v>949</v>
      </c>
      <c r="J3016" s="44" t="s">
        <v>1000</v>
      </c>
    </row>
    <row r="3017" ht="22" customHeight="1" spans="1:10" x14ac:dyDescent="0.25">
      <c r="A3017" s="43">
        <v>3130</v>
      </c>
      <c r="B3017" s="43">
        <v>10</v>
      </c>
      <c r="C3017" s="43" t="s">
        <v>950</v>
      </c>
      <c r="D3017" s="43" t="s">
        <v>1009</v>
      </c>
      <c r="E3017" s="43" t="s">
        <v>290</v>
      </c>
      <c r="F3017" s="43" t="s">
        <v>959</v>
      </c>
      <c r="G3017" s="43">
        <v>1077777</v>
      </c>
      <c r="H3017" s="43">
        <v>501100</v>
      </c>
      <c r="I3017" s="43" t="s">
        <v>949</v>
      </c>
      <c r="J3017" s="44" t="s">
        <v>1000</v>
      </c>
    </row>
    <row r="3018" ht="22" customHeight="1" spans="1:10" x14ac:dyDescent="0.25">
      <c r="A3018" s="43">
        <v>3130</v>
      </c>
      <c r="B3018" s="43">
        <v>10</v>
      </c>
      <c r="C3018" s="43" t="s">
        <v>950</v>
      </c>
      <c r="D3018" s="43" t="s">
        <v>1009</v>
      </c>
      <c r="E3018" s="43" t="s">
        <v>290</v>
      </c>
      <c r="F3018" s="43" t="s">
        <v>960</v>
      </c>
      <c r="G3018" s="43">
        <v>1077777</v>
      </c>
      <c r="H3018" s="43">
        <v>501100</v>
      </c>
      <c r="I3018" s="43" t="s">
        <v>949</v>
      </c>
      <c r="J3018" s="44" t="s">
        <v>1000</v>
      </c>
    </row>
    <row r="3019" ht="22" customHeight="1" spans="1:10" x14ac:dyDescent="0.25">
      <c r="A3019" s="43">
        <v>3130</v>
      </c>
      <c r="B3019" s="43">
        <v>10</v>
      </c>
      <c r="C3019" s="43" t="s">
        <v>950</v>
      </c>
      <c r="D3019" s="43" t="s">
        <v>1009</v>
      </c>
      <c r="E3019" s="43" t="s">
        <v>290</v>
      </c>
      <c r="F3019" s="43" t="s">
        <v>961</v>
      </c>
      <c r="G3019" s="43">
        <v>1077777</v>
      </c>
      <c r="H3019" s="43">
        <v>501100</v>
      </c>
      <c r="I3019" s="43" t="s">
        <v>949</v>
      </c>
      <c r="J3019" s="44" t="s">
        <v>1000</v>
      </c>
    </row>
    <row r="3020" ht="22" customHeight="1" spans="1:10" x14ac:dyDescent="0.25">
      <c r="A3020" s="43">
        <v>3130</v>
      </c>
      <c r="B3020" s="43">
        <v>10</v>
      </c>
      <c r="C3020" s="43" t="s">
        <v>962</v>
      </c>
      <c r="D3020" s="43" t="s">
        <v>1009</v>
      </c>
      <c r="E3020" s="43" t="s">
        <v>290</v>
      </c>
      <c r="F3020" s="43" t="s">
        <v>951</v>
      </c>
      <c r="G3020" s="43">
        <v>1077777</v>
      </c>
      <c r="H3020" s="43">
        <v>501100</v>
      </c>
      <c r="I3020" s="43" t="s">
        <v>949</v>
      </c>
      <c r="J3020" s="44" t="s">
        <v>1000</v>
      </c>
    </row>
    <row r="3021" ht="22" customHeight="1" spans="1:10" x14ac:dyDescent="0.25">
      <c r="A3021" s="43">
        <v>3130</v>
      </c>
      <c r="B3021" s="43">
        <v>10</v>
      </c>
      <c r="C3021" s="43" t="s">
        <v>962</v>
      </c>
      <c r="D3021" s="43" t="s">
        <v>1009</v>
      </c>
      <c r="E3021" s="43" t="s">
        <v>290</v>
      </c>
      <c r="F3021" s="43" t="s">
        <v>952</v>
      </c>
      <c r="G3021" s="43">
        <v>1077777</v>
      </c>
      <c r="H3021" s="43">
        <v>501100</v>
      </c>
      <c r="I3021" s="43" t="s">
        <v>949</v>
      </c>
      <c r="J3021" s="44" t="s">
        <v>1000</v>
      </c>
    </row>
    <row r="3022" ht="22" customHeight="1" spans="1:10" x14ac:dyDescent="0.25">
      <c r="A3022" s="43">
        <v>3130</v>
      </c>
      <c r="B3022" s="43">
        <v>10</v>
      </c>
      <c r="C3022" s="43" t="s">
        <v>962</v>
      </c>
      <c r="D3022" s="43" t="s">
        <v>1009</v>
      </c>
      <c r="E3022" s="43" t="s">
        <v>290</v>
      </c>
      <c r="F3022" s="43" t="s">
        <v>953</v>
      </c>
      <c r="G3022" s="43">
        <v>1077777</v>
      </c>
      <c r="H3022" s="43">
        <v>501100</v>
      </c>
      <c r="I3022" s="43" t="s">
        <v>949</v>
      </c>
      <c r="J3022" s="44" t="s">
        <v>1000</v>
      </c>
    </row>
    <row r="3023" ht="22" customHeight="1" spans="1:10" x14ac:dyDescent="0.25">
      <c r="A3023" s="43">
        <v>3130</v>
      </c>
      <c r="B3023" s="43">
        <v>10</v>
      </c>
      <c r="C3023" s="43" t="s">
        <v>962</v>
      </c>
      <c r="D3023" s="43" t="s">
        <v>1009</v>
      </c>
      <c r="E3023" s="43" t="s">
        <v>290</v>
      </c>
      <c r="F3023" s="43" t="s">
        <v>954</v>
      </c>
      <c r="G3023" s="43">
        <v>1077777</v>
      </c>
      <c r="H3023" s="43">
        <v>501100</v>
      </c>
      <c r="I3023" s="43" t="s">
        <v>949</v>
      </c>
      <c r="J3023" s="44" t="s">
        <v>1000</v>
      </c>
    </row>
    <row r="3024" ht="22" customHeight="1" spans="1:10" x14ac:dyDescent="0.25">
      <c r="A3024" s="43">
        <v>3130</v>
      </c>
      <c r="B3024" s="43">
        <v>10</v>
      </c>
      <c r="C3024" s="43" t="s">
        <v>962</v>
      </c>
      <c r="D3024" s="43" t="s">
        <v>1009</v>
      </c>
      <c r="E3024" s="43" t="s">
        <v>290</v>
      </c>
      <c r="F3024" s="43" t="s">
        <v>955</v>
      </c>
      <c r="G3024" s="43">
        <v>1077777</v>
      </c>
      <c r="H3024" s="43">
        <v>501100</v>
      </c>
      <c r="I3024" s="43" t="s">
        <v>949</v>
      </c>
      <c r="J3024" s="44" t="s">
        <v>1000</v>
      </c>
    </row>
    <row r="3025" ht="22" customHeight="1" spans="1:10" x14ac:dyDescent="0.25">
      <c r="A3025" s="43">
        <v>3130</v>
      </c>
      <c r="B3025" s="43">
        <v>10</v>
      </c>
      <c r="C3025" s="43" t="s">
        <v>962</v>
      </c>
      <c r="D3025" s="43" t="s">
        <v>1009</v>
      </c>
      <c r="E3025" s="43" t="s">
        <v>290</v>
      </c>
      <c r="F3025" s="43" t="s">
        <v>956</v>
      </c>
      <c r="G3025" s="43">
        <v>1077777</v>
      </c>
      <c r="H3025" s="43">
        <v>501100</v>
      </c>
      <c r="I3025" s="43" t="s">
        <v>949</v>
      </c>
      <c r="J3025" s="44" t="s">
        <v>1000</v>
      </c>
    </row>
    <row r="3026" ht="22" customHeight="1" spans="1:10" x14ac:dyDescent="0.25">
      <c r="A3026" s="43">
        <v>3130</v>
      </c>
      <c r="B3026" s="43">
        <v>10</v>
      </c>
      <c r="C3026" s="43" t="s">
        <v>962</v>
      </c>
      <c r="D3026" s="43" t="s">
        <v>1009</v>
      </c>
      <c r="E3026" s="43" t="s">
        <v>290</v>
      </c>
      <c r="F3026" s="43" t="s">
        <v>957</v>
      </c>
      <c r="G3026" s="43">
        <v>1077777</v>
      </c>
      <c r="H3026" s="43">
        <v>501100</v>
      </c>
      <c r="I3026" s="43" t="s">
        <v>949</v>
      </c>
      <c r="J3026" s="44" t="s">
        <v>1000</v>
      </c>
    </row>
    <row r="3027" ht="22" customHeight="1" spans="1:10" x14ac:dyDescent="0.25">
      <c r="A3027" s="43">
        <v>3130</v>
      </c>
      <c r="B3027" s="43">
        <v>10</v>
      </c>
      <c r="C3027" s="43" t="s">
        <v>962</v>
      </c>
      <c r="D3027" s="43" t="s">
        <v>1009</v>
      </c>
      <c r="E3027" s="43" t="s">
        <v>290</v>
      </c>
      <c r="F3027" s="43" t="s">
        <v>958</v>
      </c>
      <c r="G3027" s="43">
        <v>1077777</v>
      </c>
      <c r="H3027" s="43">
        <v>501100</v>
      </c>
      <c r="I3027" s="43" t="s">
        <v>949</v>
      </c>
      <c r="J3027" s="44" t="s">
        <v>1000</v>
      </c>
    </row>
    <row r="3028" ht="22" customHeight="1" spans="1:10" x14ac:dyDescent="0.25">
      <c r="A3028" s="43">
        <v>3130</v>
      </c>
      <c r="B3028" s="43">
        <v>10</v>
      </c>
      <c r="C3028" s="43" t="s">
        <v>962</v>
      </c>
      <c r="D3028" s="43" t="s">
        <v>1009</v>
      </c>
      <c r="E3028" s="43" t="s">
        <v>290</v>
      </c>
      <c r="F3028" s="43" t="s">
        <v>959</v>
      </c>
      <c r="G3028" s="43">
        <v>1077777</v>
      </c>
      <c r="H3028" s="43">
        <v>501100</v>
      </c>
      <c r="I3028" s="43" t="s">
        <v>949</v>
      </c>
      <c r="J3028" s="44" t="s">
        <v>1000</v>
      </c>
    </row>
    <row r="3029" ht="22" customHeight="1" spans="1:10" x14ac:dyDescent="0.25">
      <c r="A3029" s="43">
        <v>3130</v>
      </c>
      <c r="B3029" s="43">
        <v>10</v>
      </c>
      <c r="C3029" s="43" t="s">
        <v>962</v>
      </c>
      <c r="D3029" s="43" t="s">
        <v>1009</v>
      </c>
      <c r="E3029" s="43" t="s">
        <v>290</v>
      </c>
      <c r="F3029" s="43" t="s">
        <v>960</v>
      </c>
      <c r="G3029" s="43">
        <v>1077777</v>
      </c>
      <c r="H3029" s="43">
        <v>501100</v>
      </c>
      <c r="I3029" s="43" t="s">
        <v>949</v>
      </c>
      <c r="J3029" s="44" t="s">
        <v>1000</v>
      </c>
    </row>
    <row r="3030" ht="22" customHeight="1" spans="1:10" x14ac:dyDescent="0.25">
      <c r="A3030" s="43">
        <v>3130</v>
      </c>
      <c r="B3030" s="43">
        <v>10</v>
      </c>
      <c r="C3030" s="43" t="s">
        <v>962</v>
      </c>
      <c r="D3030" s="43" t="s">
        <v>1009</v>
      </c>
      <c r="E3030" s="43" t="s">
        <v>290</v>
      </c>
      <c r="F3030" s="43" t="s">
        <v>961</v>
      </c>
      <c r="G3030" s="43">
        <v>1077777</v>
      </c>
      <c r="H3030" s="43">
        <v>501100</v>
      </c>
      <c r="I3030" s="43" t="s">
        <v>949</v>
      </c>
      <c r="J3030" s="44" t="s">
        <v>1000</v>
      </c>
    </row>
    <row r="3031" ht="22" customHeight="1" spans="1:10" x14ac:dyDescent="0.25">
      <c r="A3031" s="43">
        <v>3130</v>
      </c>
      <c r="B3031" s="43">
        <v>10</v>
      </c>
      <c r="C3031" s="43" t="s">
        <v>963</v>
      </c>
      <c r="D3031" s="43" t="s">
        <v>1009</v>
      </c>
      <c r="E3031" s="43" t="s">
        <v>290</v>
      </c>
      <c r="F3031" s="43" t="s">
        <v>951</v>
      </c>
      <c r="G3031" s="43">
        <v>1077777</v>
      </c>
      <c r="H3031" s="43">
        <v>501100</v>
      </c>
      <c r="I3031" s="43" t="s">
        <v>949</v>
      </c>
      <c r="J3031" s="44" t="s">
        <v>1000</v>
      </c>
    </row>
    <row r="3032" ht="22" customHeight="1" spans="1:10" x14ac:dyDescent="0.25">
      <c r="A3032" s="43">
        <v>3130</v>
      </c>
      <c r="B3032" s="43">
        <v>10</v>
      </c>
      <c r="C3032" s="43" t="s">
        <v>963</v>
      </c>
      <c r="D3032" s="43" t="s">
        <v>1009</v>
      </c>
      <c r="E3032" s="43" t="s">
        <v>290</v>
      </c>
      <c r="F3032" s="43" t="s">
        <v>952</v>
      </c>
      <c r="G3032" s="43">
        <v>1077777</v>
      </c>
      <c r="H3032" s="43">
        <v>501100</v>
      </c>
      <c r="I3032" s="43" t="s">
        <v>949</v>
      </c>
      <c r="J3032" s="44" t="s">
        <v>1000</v>
      </c>
    </row>
    <row r="3033" ht="22" customHeight="1" spans="1:10" x14ac:dyDescent="0.25">
      <c r="A3033" s="43">
        <v>3130</v>
      </c>
      <c r="B3033" s="43">
        <v>10</v>
      </c>
      <c r="C3033" s="43" t="s">
        <v>963</v>
      </c>
      <c r="D3033" s="43" t="s">
        <v>1009</v>
      </c>
      <c r="E3033" s="43" t="s">
        <v>290</v>
      </c>
      <c r="F3033" s="43" t="s">
        <v>953</v>
      </c>
      <c r="G3033" s="43">
        <v>1077777</v>
      </c>
      <c r="H3033" s="43">
        <v>501100</v>
      </c>
      <c r="I3033" s="43" t="s">
        <v>949</v>
      </c>
      <c r="J3033" s="44" t="s">
        <v>1000</v>
      </c>
    </row>
    <row r="3034" ht="22" customHeight="1" spans="1:10" x14ac:dyDescent="0.25">
      <c r="A3034" s="43">
        <v>3130</v>
      </c>
      <c r="B3034" s="43">
        <v>10</v>
      </c>
      <c r="C3034" s="43" t="s">
        <v>963</v>
      </c>
      <c r="D3034" s="43" t="s">
        <v>1009</v>
      </c>
      <c r="E3034" s="43" t="s">
        <v>290</v>
      </c>
      <c r="F3034" s="43" t="s">
        <v>954</v>
      </c>
      <c r="G3034" s="43">
        <v>1077777</v>
      </c>
      <c r="H3034" s="43">
        <v>501100</v>
      </c>
      <c r="I3034" s="43" t="s">
        <v>949</v>
      </c>
      <c r="J3034" s="44" t="s">
        <v>1000</v>
      </c>
    </row>
    <row r="3035" ht="22" customHeight="1" spans="1:10" x14ac:dyDescent="0.25">
      <c r="A3035" s="43">
        <v>3130</v>
      </c>
      <c r="B3035" s="43">
        <v>10</v>
      </c>
      <c r="C3035" s="43" t="s">
        <v>963</v>
      </c>
      <c r="D3035" s="43" t="s">
        <v>1009</v>
      </c>
      <c r="E3035" s="43" t="s">
        <v>290</v>
      </c>
      <c r="F3035" s="43" t="s">
        <v>955</v>
      </c>
      <c r="G3035" s="43">
        <v>1077777</v>
      </c>
      <c r="H3035" s="43">
        <v>501100</v>
      </c>
      <c r="I3035" s="43" t="s">
        <v>949</v>
      </c>
      <c r="J3035" s="44" t="s">
        <v>1000</v>
      </c>
    </row>
    <row r="3036" ht="22" customHeight="1" spans="1:10" x14ac:dyDescent="0.25">
      <c r="A3036" s="43">
        <v>3130</v>
      </c>
      <c r="B3036" s="43">
        <v>10</v>
      </c>
      <c r="C3036" s="43" t="s">
        <v>963</v>
      </c>
      <c r="D3036" s="43" t="s">
        <v>1009</v>
      </c>
      <c r="E3036" s="43" t="s">
        <v>290</v>
      </c>
      <c r="F3036" s="43" t="s">
        <v>956</v>
      </c>
      <c r="G3036" s="43">
        <v>1077777</v>
      </c>
      <c r="H3036" s="43">
        <v>501100</v>
      </c>
      <c r="I3036" s="43" t="s">
        <v>949</v>
      </c>
      <c r="J3036" s="44" t="s">
        <v>1000</v>
      </c>
    </row>
    <row r="3037" ht="22" customHeight="1" spans="1:10" x14ac:dyDescent="0.25">
      <c r="A3037" s="43">
        <v>3130</v>
      </c>
      <c r="B3037" s="43">
        <v>10</v>
      </c>
      <c r="C3037" s="43" t="s">
        <v>963</v>
      </c>
      <c r="D3037" s="43" t="s">
        <v>1009</v>
      </c>
      <c r="E3037" s="43" t="s">
        <v>290</v>
      </c>
      <c r="F3037" s="43" t="s">
        <v>957</v>
      </c>
      <c r="G3037" s="43">
        <v>1077777</v>
      </c>
      <c r="H3037" s="43">
        <v>501100</v>
      </c>
      <c r="I3037" s="43" t="s">
        <v>949</v>
      </c>
      <c r="J3037" s="44" t="s">
        <v>1000</v>
      </c>
    </row>
    <row r="3038" ht="22" customHeight="1" spans="1:10" x14ac:dyDescent="0.25">
      <c r="A3038" s="43">
        <v>3130</v>
      </c>
      <c r="B3038" s="43">
        <v>10</v>
      </c>
      <c r="C3038" s="43" t="s">
        <v>963</v>
      </c>
      <c r="D3038" s="43" t="s">
        <v>1009</v>
      </c>
      <c r="E3038" s="43" t="s">
        <v>290</v>
      </c>
      <c r="F3038" s="43" t="s">
        <v>958</v>
      </c>
      <c r="G3038" s="43">
        <v>1077777</v>
      </c>
      <c r="H3038" s="43">
        <v>501100</v>
      </c>
      <c r="I3038" s="43" t="s">
        <v>949</v>
      </c>
      <c r="J3038" s="44" t="s">
        <v>1000</v>
      </c>
    </row>
    <row r="3039" ht="22" customHeight="1" spans="1:10" x14ac:dyDescent="0.25">
      <c r="A3039" s="43">
        <v>3130</v>
      </c>
      <c r="B3039" s="43">
        <v>10</v>
      </c>
      <c r="C3039" s="43" t="s">
        <v>963</v>
      </c>
      <c r="D3039" s="43" t="s">
        <v>1009</v>
      </c>
      <c r="E3039" s="43" t="s">
        <v>290</v>
      </c>
      <c r="F3039" s="43" t="s">
        <v>959</v>
      </c>
      <c r="G3039" s="43">
        <v>1077777</v>
      </c>
      <c r="H3039" s="43">
        <v>501100</v>
      </c>
      <c r="I3039" s="43" t="s">
        <v>949</v>
      </c>
      <c r="J3039" s="44" t="s">
        <v>1000</v>
      </c>
    </row>
    <row r="3040" ht="22" customHeight="1" spans="1:10" x14ac:dyDescent="0.25">
      <c r="A3040" s="43">
        <v>3130</v>
      </c>
      <c r="B3040" s="43">
        <v>10</v>
      </c>
      <c r="C3040" s="43" t="s">
        <v>963</v>
      </c>
      <c r="D3040" s="43" t="s">
        <v>1009</v>
      </c>
      <c r="E3040" s="43" t="s">
        <v>290</v>
      </c>
      <c r="F3040" s="43" t="s">
        <v>960</v>
      </c>
      <c r="G3040" s="43">
        <v>1077777</v>
      </c>
      <c r="H3040" s="43">
        <v>501100</v>
      </c>
      <c r="I3040" s="43" t="s">
        <v>949</v>
      </c>
      <c r="J3040" s="44" t="s">
        <v>1000</v>
      </c>
    </row>
    <row r="3041" ht="22" customHeight="1" spans="1:10" x14ac:dyDescent="0.25">
      <c r="A3041" s="43">
        <v>3130</v>
      </c>
      <c r="B3041" s="43">
        <v>10</v>
      </c>
      <c r="C3041" s="43" t="s">
        <v>963</v>
      </c>
      <c r="D3041" s="43" t="s">
        <v>1009</v>
      </c>
      <c r="E3041" s="43" t="s">
        <v>290</v>
      </c>
      <c r="F3041" s="43" t="s">
        <v>961</v>
      </c>
      <c r="G3041" s="43">
        <v>1077777</v>
      </c>
      <c r="H3041" s="43">
        <v>501100</v>
      </c>
      <c r="I3041" s="43" t="s">
        <v>949</v>
      </c>
      <c r="J3041" s="44" t="s">
        <v>1000</v>
      </c>
    </row>
    <row r="3042" spans="1:9" x14ac:dyDescent="0.25">
      <c r="A3042">
        <v>4122</v>
      </c>
      <c r="B3042">
        <v>10</v>
      </c>
      <c r="C3042" t="s">
        <v>946</v>
      </c>
      <c r="D3042" t="s">
        <v>1009</v>
      </c>
      <c r="E3042" t="s">
        <v>290</v>
      </c>
      <c r="F3042" t="s">
        <v>948</v>
      </c>
      <c r="G3042">
        <v>1000000</v>
      </c>
      <c r="H3042">
        <v>143000</v>
      </c>
      <c r="I3042" t="s">
        <v>978</v>
      </c>
    </row>
    <row r="3043" spans="1:9" x14ac:dyDescent="0.25">
      <c r="A3043">
        <v>4124</v>
      </c>
      <c r="B3043">
        <v>10</v>
      </c>
      <c r="C3043" t="s">
        <v>946</v>
      </c>
      <c r="D3043" t="s">
        <v>1009</v>
      </c>
      <c r="E3043" t="s">
        <v>290</v>
      </c>
      <c r="F3043" t="s">
        <v>948</v>
      </c>
      <c r="G3043">
        <v>1077777</v>
      </c>
      <c r="H3043">
        <v>501100</v>
      </c>
      <c r="I3043" t="s">
        <v>949</v>
      </c>
    </row>
    <row r="3044" ht="22" customHeight="1" spans="1:10" x14ac:dyDescent="0.25">
      <c r="A3044" s="43">
        <v>3130</v>
      </c>
      <c r="B3044" s="43">
        <v>10</v>
      </c>
      <c r="C3044" s="43" t="s">
        <v>950</v>
      </c>
      <c r="D3044" s="43" t="s">
        <v>1009</v>
      </c>
      <c r="E3044" s="43" t="s">
        <v>294</v>
      </c>
      <c r="F3044" s="43" t="s">
        <v>951</v>
      </c>
      <c r="G3044" s="43">
        <v>1077777</v>
      </c>
      <c r="H3044" s="43">
        <v>501100</v>
      </c>
      <c r="I3044" s="43" t="s">
        <v>949</v>
      </c>
      <c r="J3044" s="44" t="s">
        <v>1000</v>
      </c>
    </row>
    <row r="3045" ht="22" customHeight="1" spans="1:10" x14ac:dyDescent="0.25">
      <c r="A3045" s="43">
        <v>3130</v>
      </c>
      <c r="B3045" s="43">
        <v>10</v>
      </c>
      <c r="C3045" s="43" t="s">
        <v>950</v>
      </c>
      <c r="D3045" s="43" t="s">
        <v>1009</v>
      </c>
      <c r="E3045" s="43" t="s">
        <v>294</v>
      </c>
      <c r="F3045" s="43" t="s">
        <v>952</v>
      </c>
      <c r="G3045" s="43">
        <v>1077777</v>
      </c>
      <c r="H3045" s="43">
        <v>501100</v>
      </c>
      <c r="I3045" s="43" t="s">
        <v>949</v>
      </c>
      <c r="J3045" s="44" t="s">
        <v>1000</v>
      </c>
    </row>
    <row r="3046" ht="22" customHeight="1" spans="1:10" x14ac:dyDescent="0.25">
      <c r="A3046" s="43">
        <v>3130</v>
      </c>
      <c r="B3046" s="43">
        <v>10</v>
      </c>
      <c r="C3046" s="43" t="s">
        <v>950</v>
      </c>
      <c r="D3046" s="43" t="s">
        <v>1009</v>
      </c>
      <c r="E3046" s="43" t="s">
        <v>294</v>
      </c>
      <c r="F3046" s="43" t="s">
        <v>953</v>
      </c>
      <c r="G3046" s="43">
        <v>1077777</v>
      </c>
      <c r="H3046" s="43">
        <v>501100</v>
      </c>
      <c r="I3046" s="43" t="s">
        <v>949</v>
      </c>
      <c r="J3046" s="44" t="s">
        <v>1000</v>
      </c>
    </row>
    <row r="3047" ht="22" customHeight="1" spans="1:10" x14ac:dyDescent="0.25">
      <c r="A3047" s="43">
        <v>3130</v>
      </c>
      <c r="B3047" s="43">
        <v>10</v>
      </c>
      <c r="C3047" s="43" t="s">
        <v>950</v>
      </c>
      <c r="D3047" s="43" t="s">
        <v>1009</v>
      </c>
      <c r="E3047" s="43" t="s">
        <v>294</v>
      </c>
      <c r="F3047" s="43" t="s">
        <v>954</v>
      </c>
      <c r="G3047" s="43">
        <v>1077777</v>
      </c>
      <c r="H3047" s="43">
        <v>501100</v>
      </c>
      <c r="I3047" s="43" t="s">
        <v>949</v>
      </c>
      <c r="J3047" s="44" t="s">
        <v>1000</v>
      </c>
    </row>
    <row r="3048" ht="22" customHeight="1" spans="1:10" x14ac:dyDescent="0.25">
      <c r="A3048" s="43">
        <v>3130</v>
      </c>
      <c r="B3048" s="43">
        <v>10</v>
      </c>
      <c r="C3048" s="43" t="s">
        <v>950</v>
      </c>
      <c r="D3048" s="43" t="s">
        <v>1009</v>
      </c>
      <c r="E3048" s="43" t="s">
        <v>294</v>
      </c>
      <c r="F3048" s="43" t="s">
        <v>955</v>
      </c>
      <c r="G3048" s="43">
        <v>1077777</v>
      </c>
      <c r="H3048" s="43">
        <v>501100</v>
      </c>
      <c r="I3048" s="43" t="s">
        <v>949</v>
      </c>
      <c r="J3048" s="44" t="s">
        <v>1000</v>
      </c>
    </row>
    <row r="3049" ht="22" customHeight="1" spans="1:10" x14ac:dyDescent="0.25">
      <c r="A3049" s="43">
        <v>3130</v>
      </c>
      <c r="B3049" s="43">
        <v>10</v>
      </c>
      <c r="C3049" s="43" t="s">
        <v>950</v>
      </c>
      <c r="D3049" s="43" t="s">
        <v>1009</v>
      </c>
      <c r="E3049" s="43" t="s">
        <v>294</v>
      </c>
      <c r="F3049" s="43" t="s">
        <v>956</v>
      </c>
      <c r="G3049" s="43">
        <v>1077777</v>
      </c>
      <c r="H3049" s="43">
        <v>501100</v>
      </c>
      <c r="I3049" s="43" t="s">
        <v>949</v>
      </c>
      <c r="J3049" s="44" t="s">
        <v>1000</v>
      </c>
    </row>
    <row r="3050" ht="22" customHeight="1" spans="1:10" x14ac:dyDescent="0.25">
      <c r="A3050" s="43">
        <v>3130</v>
      </c>
      <c r="B3050" s="43">
        <v>10</v>
      </c>
      <c r="C3050" s="43" t="s">
        <v>950</v>
      </c>
      <c r="D3050" s="43" t="s">
        <v>1009</v>
      </c>
      <c r="E3050" s="43" t="s">
        <v>294</v>
      </c>
      <c r="F3050" s="43" t="s">
        <v>957</v>
      </c>
      <c r="G3050" s="43">
        <v>1077777</v>
      </c>
      <c r="H3050" s="43">
        <v>501100</v>
      </c>
      <c r="I3050" s="43" t="s">
        <v>949</v>
      </c>
      <c r="J3050" s="44" t="s">
        <v>1000</v>
      </c>
    </row>
    <row r="3051" ht="22" customHeight="1" spans="1:10" x14ac:dyDescent="0.25">
      <c r="A3051" s="43">
        <v>3130</v>
      </c>
      <c r="B3051" s="43">
        <v>10</v>
      </c>
      <c r="C3051" s="43" t="s">
        <v>950</v>
      </c>
      <c r="D3051" s="43" t="s">
        <v>1009</v>
      </c>
      <c r="E3051" s="43" t="s">
        <v>294</v>
      </c>
      <c r="F3051" s="43" t="s">
        <v>958</v>
      </c>
      <c r="G3051" s="43">
        <v>1077777</v>
      </c>
      <c r="H3051" s="43">
        <v>501100</v>
      </c>
      <c r="I3051" s="43" t="s">
        <v>949</v>
      </c>
      <c r="J3051" s="44" t="s">
        <v>1000</v>
      </c>
    </row>
    <row r="3052" ht="22" customHeight="1" spans="1:10" x14ac:dyDescent="0.25">
      <c r="A3052" s="43">
        <v>3130</v>
      </c>
      <c r="B3052" s="43">
        <v>10</v>
      </c>
      <c r="C3052" s="43" t="s">
        <v>950</v>
      </c>
      <c r="D3052" s="43" t="s">
        <v>1009</v>
      </c>
      <c r="E3052" s="43" t="s">
        <v>294</v>
      </c>
      <c r="F3052" s="43" t="s">
        <v>959</v>
      </c>
      <c r="G3052" s="43">
        <v>1077777</v>
      </c>
      <c r="H3052" s="43">
        <v>501100</v>
      </c>
      <c r="I3052" s="43" t="s">
        <v>949</v>
      </c>
      <c r="J3052" s="44" t="s">
        <v>1000</v>
      </c>
    </row>
    <row r="3053" ht="22" customHeight="1" spans="1:10" x14ac:dyDescent="0.25">
      <c r="A3053" s="43">
        <v>3130</v>
      </c>
      <c r="B3053" s="43">
        <v>10</v>
      </c>
      <c r="C3053" s="43" t="s">
        <v>950</v>
      </c>
      <c r="D3053" s="43" t="s">
        <v>1009</v>
      </c>
      <c r="E3053" s="43" t="s">
        <v>294</v>
      </c>
      <c r="F3053" s="43" t="s">
        <v>960</v>
      </c>
      <c r="G3053" s="43">
        <v>1077777</v>
      </c>
      <c r="H3053" s="43">
        <v>501100</v>
      </c>
      <c r="I3053" s="43" t="s">
        <v>949</v>
      </c>
      <c r="J3053" s="44" t="s">
        <v>1000</v>
      </c>
    </row>
    <row r="3054" ht="22" customHeight="1" spans="1:10" x14ac:dyDescent="0.25">
      <c r="A3054" s="43">
        <v>3130</v>
      </c>
      <c r="B3054" s="43">
        <v>10</v>
      </c>
      <c r="C3054" s="43" t="s">
        <v>950</v>
      </c>
      <c r="D3054" s="43" t="s">
        <v>1009</v>
      </c>
      <c r="E3054" s="43" t="s">
        <v>294</v>
      </c>
      <c r="F3054" s="43" t="s">
        <v>961</v>
      </c>
      <c r="G3054" s="43">
        <v>1077777</v>
      </c>
      <c r="H3054" s="43">
        <v>501100</v>
      </c>
      <c r="I3054" s="43" t="s">
        <v>949</v>
      </c>
      <c r="J3054" s="44" t="s">
        <v>1000</v>
      </c>
    </row>
    <row r="3055" ht="22" customHeight="1" spans="1:10" x14ac:dyDescent="0.25">
      <c r="A3055" s="43">
        <v>3130</v>
      </c>
      <c r="B3055" s="43">
        <v>10</v>
      </c>
      <c r="C3055" s="43" t="s">
        <v>962</v>
      </c>
      <c r="D3055" s="43" t="s">
        <v>1009</v>
      </c>
      <c r="E3055" s="43" t="s">
        <v>294</v>
      </c>
      <c r="F3055" s="43" t="s">
        <v>951</v>
      </c>
      <c r="G3055" s="43">
        <v>1077777</v>
      </c>
      <c r="H3055" s="43">
        <v>501100</v>
      </c>
      <c r="I3055" s="43" t="s">
        <v>949</v>
      </c>
      <c r="J3055" s="44" t="s">
        <v>1000</v>
      </c>
    </row>
    <row r="3056" ht="22" customHeight="1" spans="1:10" x14ac:dyDescent="0.25">
      <c r="A3056" s="43">
        <v>3130</v>
      </c>
      <c r="B3056" s="43">
        <v>10</v>
      </c>
      <c r="C3056" s="43" t="s">
        <v>962</v>
      </c>
      <c r="D3056" s="43" t="s">
        <v>1009</v>
      </c>
      <c r="E3056" s="43" t="s">
        <v>294</v>
      </c>
      <c r="F3056" s="43" t="s">
        <v>952</v>
      </c>
      <c r="G3056" s="43">
        <v>1077777</v>
      </c>
      <c r="H3056" s="43">
        <v>501100</v>
      </c>
      <c r="I3056" s="43" t="s">
        <v>949</v>
      </c>
      <c r="J3056" s="44" t="s">
        <v>1000</v>
      </c>
    </row>
    <row r="3057" ht="22" customHeight="1" spans="1:10" x14ac:dyDescent="0.25">
      <c r="A3057" s="43">
        <v>3130</v>
      </c>
      <c r="B3057" s="43">
        <v>10</v>
      </c>
      <c r="C3057" s="43" t="s">
        <v>962</v>
      </c>
      <c r="D3057" s="43" t="s">
        <v>1009</v>
      </c>
      <c r="E3057" s="43" t="s">
        <v>294</v>
      </c>
      <c r="F3057" s="43" t="s">
        <v>953</v>
      </c>
      <c r="G3057" s="43">
        <v>1077777</v>
      </c>
      <c r="H3057" s="43">
        <v>501100</v>
      </c>
      <c r="I3057" s="43" t="s">
        <v>949</v>
      </c>
      <c r="J3057" s="44" t="s">
        <v>1000</v>
      </c>
    </row>
    <row r="3058" ht="22" customHeight="1" spans="1:10" x14ac:dyDescent="0.25">
      <c r="A3058" s="43">
        <v>3130</v>
      </c>
      <c r="B3058" s="43">
        <v>10</v>
      </c>
      <c r="C3058" s="43" t="s">
        <v>962</v>
      </c>
      <c r="D3058" s="43" t="s">
        <v>1009</v>
      </c>
      <c r="E3058" s="43" t="s">
        <v>294</v>
      </c>
      <c r="F3058" s="43" t="s">
        <v>954</v>
      </c>
      <c r="G3058" s="43">
        <v>1077777</v>
      </c>
      <c r="H3058" s="43">
        <v>501100</v>
      </c>
      <c r="I3058" s="43" t="s">
        <v>949</v>
      </c>
      <c r="J3058" s="44" t="s">
        <v>1000</v>
      </c>
    </row>
    <row r="3059" ht="22" customHeight="1" spans="1:10" x14ac:dyDescent="0.25">
      <c r="A3059" s="43">
        <v>3130</v>
      </c>
      <c r="B3059" s="43">
        <v>10</v>
      </c>
      <c r="C3059" s="43" t="s">
        <v>962</v>
      </c>
      <c r="D3059" s="43" t="s">
        <v>1009</v>
      </c>
      <c r="E3059" s="43" t="s">
        <v>294</v>
      </c>
      <c r="F3059" s="43" t="s">
        <v>955</v>
      </c>
      <c r="G3059" s="43">
        <v>1077777</v>
      </c>
      <c r="H3059" s="43">
        <v>501100</v>
      </c>
      <c r="I3059" s="43" t="s">
        <v>949</v>
      </c>
      <c r="J3059" s="44" t="s">
        <v>1000</v>
      </c>
    </row>
    <row r="3060" ht="22" customHeight="1" spans="1:10" x14ac:dyDescent="0.25">
      <c r="A3060" s="43">
        <v>3130</v>
      </c>
      <c r="B3060" s="43">
        <v>10</v>
      </c>
      <c r="C3060" s="43" t="s">
        <v>962</v>
      </c>
      <c r="D3060" s="43" t="s">
        <v>1009</v>
      </c>
      <c r="E3060" s="43" t="s">
        <v>294</v>
      </c>
      <c r="F3060" s="43" t="s">
        <v>956</v>
      </c>
      <c r="G3060" s="43">
        <v>1077777</v>
      </c>
      <c r="H3060" s="43">
        <v>501100</v>
      </c>
      <c r="I3060" s="43" t="s">
        <v>949</v>
      </c>
      <c r="J3060" s="44" t="s">
        <v>1000</v>
      </c>
    </row>
    <row r="3061" ht="22" customHeight="1" spans="1:10" x14ac:dyDescent="0.25">
      <c r="A3061" s="43">
        <v>3130</v>
      </c>
      <c r="B3061" s="43">
        <v>10</v>
      </c>
      <c r="C3061" s="43" t="s">
        <v>962</v>
      </c>
      <c r="D3061" s="43" t="s">
        <v>1009</v>
      </c>
      <c r="E3061" s="43" t="s">
        <v>294</v>
      </c>
      <c r="F3061" s="43" t="s">
        <v>957</v>
      </c>
      <c r="G3061" s="43">
        <v>1077777</v>
      </c>
      <c r="H3061" s="43">
        <v>501100</v>
      </c>
      <c r="I3061" s="43" t="s">
        <v>949</v>
      </c>
      <c r="J3061" s="44" t="s">
        <v>1000</v>
      </c>
    </row>
    <row r="3062" ht="22" customHeight="1" spans="1:10" x14ac:dyDescent="0.25">
      <c r="A3062" s="43">
        <v>3130</v>
      </c>
      <c r="B3062" s="43">
        <v>10</v>
      </c>
      <c r="C3062" s="43" t="s">
        <v>962</v>
      </c>
      <c r="D3062" s="43" t="s">
        <v>1009</v>
      </c>
      <c r="E3062" s="43" t="s">
        <v>294</v>
      </c>
      <c r="F3062" s="43" t="s">
        <v>958</v>
      </c>
      <c r="G3062" s="43">
        <v>1077777</v>
      </c>
      <c r="H3062" s="43">
        <v>501100</v>
      </c>
      <c r="I3062" s="43" t="s">
        <v>949</v>
      </c>
      <c r="J3062" s="44" t="s">
        <v>1000</v>
      </c>
    </row>
    <row r="3063" ht="22" customHeight="1" spans="1:10" x14ac:dyDescent="0.25">
      <c r="A3063" s="43">
        <v>3130</v>
      </c>
      <c r="B3063" s="43">
        <v>10</v>
      </c>
      <c r="C3063" s="43" t="s">
        <v>962</v>
      </c>
      <c r="D3063" s="43" t="s">
        <v>1009</v>
      </c>
      <c r="E3063" s="43" t="s">
        <v>294</v>
      </c>
      <c r="F3063" s="43" t="s">
        <v>959</v>
      </c>
      <c r="G3063" s="43">
        <v>1077777</v>
      </c>
      <c r="H3063" s="43">
        <v>501100</v>
      </c>
      <c r="I3063" s="43" t="s">
        <v>949</v>
      </c>
      <c r="J3063" s="44" t="s">
        <v>1000</v>
      </c>
    </row>
    <row r="3064" ht="22" customHeight="1" spans="1:10" x14ac:dyDescent="0.25">
      <c r="A3064" s="43">
        <v>3130</v>
      </c>
      <c r="B3064" s="43">
        <v>10</v>
      </c>
      <c r="C3064" s="43" t="s">
        <v>962</v>
      </c>
      <c r="D3064" s="43" t="s">
        <v>1009</v>
      </c>
      <c r="E3064" s="43" t="s">
        <v>294</v>
      </c>
      <c r="F3064" s="43" t="s">
        <v>960</v>
      </c>
      <c r="G3064" s="43">
        <v>1077777</v>
      </c>
      <c r="H3064" s="43">
        <v>501100</v>
      </c>
      <c r="I3064" s="43" t="s">
        <v>949</v>
      </c>
      <c r="J3064" s="44" t="s">
        <v>1000</v>
      </c>
    </row>
    <row r="3065" ht="22" customHeight="1" spans="1:10" x14ac:dyDescent="0.25">
      <c r="A3065" s="43">
        <v>3130</v>
      </c>
      <c r="B3065" s="43">
        <v>10</v>
      </c>
      <c r="C3065" s="43" t="s">
        <v>962</v>
      </c>
      <c r="D3065" s="43" t="s">
        <v>1009</v>
      </c>
      <c r="E3065" s="43" t="s">
        <v>294</v>
      </c>
      <c r="F3065" s="43" t="s">
        <v>961</v>
      </c>
      <c r="G3065" s="43">
        <v>1077777</v>
      </c>
      <c r="H3065" s="43">
        <v>501100</v>
      </c>
      <c r="I3065" s="43" t="s">
        <v>949</v>
      </c>
      <c r="J3065" s="44" t="s">
        <v>1000</v>
      </c>
    </row>
    <row r="3066" ht="22" customHeight="1" spans="1:10" x14ac:dyDescent="0.25">
      <c r="A3066" s="43">
        <v>3130</v>
      </c>
      <c r="B3066" s="43">
        <v>10</v>
      </c>
      <c r="C3066" s="43" t="s">
        <v>963</v>
      </c>
      <c r="D3066" s="43" t="s">
        <v>1009</v>
      </c>
      <c r="E3066" s="43" t="s">
        <v>294</v>
      </c>
      <c r="F3066" s="43" t="s">
        <v>951</v>
      </c>
      <c r="G3066" s="43">
        <v>1077777</v>
      </c>
      <c r="H3066" s="43">
        <v>501100</v>
      </c>
      <c r="I3066" s="43" t="s">
        <v>949</v>
      </c>
      <c r="J3066" s="44" t="s">
        <v>1000</v>
      </c>
    </row>
    <row r="3067" ht="22" customHeight="1" spans="1:10" x14ac:dyDescent="0.25">
      <c r="A3067" s="43">
        <v>3130</v>
      </c>
      <c r="B3067" s="43">
        <v>10</v>
      </c>
      <c r="C3067" s="43" t="s">
        <v>963</v>
      </c>
      <c r="D3067" s="43" t="s">
        <v>1009</v>
      </c>
      <c r="E3067" s="43" t="s">
        <v>294</v>
      </c>
      <c r="F3067" s="43" t="s">
        <v>952</v>
      </c>
      <c r="G3067" s="43">
        <v>1077777</v>
      </c>
      <c r="H3067" s="43">
        <v>501100</v>
      </c>
      <c r="I3067" s="43" t="s">
        <v>949</v>
      </c>
      <c r="J3067" s="44" t="s">
        <v>1000</v>
      </c>
    </row>
    <row r="3068" ht="22" customHeight="1" spans="1:10" x14ac:dyDescent="0.25">
      <c r="A3068" s="43">
        <v>3130</v>
      </c>
      <c r="B3068" s="43">
        <v>10</v>
      </c>
      <c r="C3068" s="43" t="s">
        <v>963</v>
      </c>
      <c r="D3068" s="43" t="s">
        <v>1009</v>
      </c>
      <c r="E3068" s="43" t="s">
        <v>294</v>
      </c>
      <c r="F3068" s="43" t="s">
        <v>953</v>
      </c>
      <c r="G3068" s="43">
        <v>1077777</v>
      </c>
      <c r="H3068" s="43">
        <v>501100</v>
      </c>
      <c r="I3068" s="43" t="s">
        <v>949</v>
      </c>
      <c r="J3068" s="44" t="s">
        <v>1000</v>
      </c>
    </row>
    <row r="3069" ht="22" customHeight="1" spans="1:10" x14ac:dyDescent="0.25">
      <c r="A3069" s="43">
        <v>3130</v>
      </c>
      <c r="B3069" s="43">
        <v>10</v>
      </c>
      <c r="C3069" s="43" t="s">
        <v>963</v>
      </c>
      <c r="D3069" s="43" t="s">
        <v>1009</v>
      </c>
      <c r="E3069" s="43" t="s">
        <v>294</v>
      </c>
      <c r="F3069" s="43" t="s">
        <v>954</v>
      </c>
      <c r="G3069" s="43">
        <v>1077777</v>
      </c>
      <c r="H3069" s="43">
        <v>501100</v>
      </c>
      <c r="I3069" s="43" t="s">
        <v>949</v>
      </c>
      <c r="J3069" s="44" t="s">
        <v>1000</v>
      </c>
    </row>
    <row r="3070" ht="22" customHeight="1" spans="1:10" x14ac:dyDescent="0.25">
      <c r="A3070" s="43">
        <v>3130</v>
      </c>
      <c r="B3070" s="43">
        <v>10</v>
      </c>
      <c r="C3070" s="43" t="s">
        <v>963</v>
      </c>
      <c r="D3070" s="43" t="s">
        <v>1009</v>
      </c>
      <c r="E3070" s="43" t="s">
        <v>294</v>
      </c>
      <c r="F3070" s="43" t="s">
        <v>955</v>
      </c>
      <c r="G3070" s="43">
        <v>1077777</v>
      </c>
      <c r="H3070" s="43">
        <v>501100</v>
      </c>
      <c r="I3070" s="43" t="s">
        <v>949</v>
      </c>
      <c r="J3070" s="44" t="s">
        <v>1000</v>
      </c>
    </row>
    <row r="3071" ht="22" customHeight="1" spans="1:10" x14ac:dyDescent="0.25">
      <c r="A3071" s="43">
        <v>3130</v>
      </c>
      <c r="B3071" s="43">
        <v>10</v>
      </c>
      <c r="C3071" s="43" t="s">
        <v>963</v>
      </c>
      <c r="D3071" s="43" t="s">
        <v>1009</v>
      </c>
      <c r="E3071" s="43" t="s">
        <v>294</v>
      </c>
      <c r="F3071" s="43" t="s">
        <v>956</v>
      </c>
      <c r="G3071" s="43">
        <v>1077777</v>
      </c>
      <c r="H3071" s="43">
        <v>501100</v>
      </c>
      <c r="I3071" s="43" t="s">
        <v>949</v>
      </c>
      <c r="J3071" s="44" t="s">
        <v>1000</v>
      </c>
    </row>
    <row r="3072" ht="22" customHeight="1" spans="1:10" x14ac:dyDescent="0.25">
      <c r="A3072" s="43">
        <v>3130</v>
      </c>
      <c r="B3072" s="43">
        <v>10</v>
      </c>
      <c r="C3072" s="43" t="s">
        <v>963</v>
      </c>
      <c r="D3072" s="43" t="s">
        <v>1009</v>
      </c>
      <c r="E3072" s="43" t="s">
        <v>294</v>
      </c>
      <c r="F3072" s="43" t="s">
        <v>957</v>
      </c>
      <c r="G3072" s="43">
        <v>1077777</v>
      </c>
      <c r="H3072" s="43">
        <v>501100</v>
      </c>
      <c r="I3072" s="43" t="s">
        <v>949</v>
      </c>
      <c r="J3072" s="44" t="s">
        <v>1000</v>
      </c>
    </row>
    <row r="3073" ht="22" customHeight="1" spans="1:10" x14ac:dyDescent="0.25">
      <c r="A3073" s="43">
        <v>3130</v>
      </c>
      <c r="B3073" s="43">
        <v>10</v>
      </c>
      <c r="C3073" s="43" t="s">
        <v>963</v>
      </c>
      <c r="D3073" s="43" t="s">
        <v>1009</v>
      </c>
      <c r="E3073" s="43" t="s">
        <v>294</v>
      </c>
      <c r="F3073" s="43" t="s">
        <v>958</v>
      </c>
      <c r="G3073" s="43">
        <v>1077777</v>
      </c>
      <c r="H3073" s="43">
        <v>501100</v>
      </c>
      <c r="I3073" s="43" t="s">
        <v>949</v>
      </c>
      <c r="J3073" s="44" t="s">
        <v>1000</v>
      </c>
    </row>
    <row r="3074" ht="22" customHeight="1" spans="1:10" x14ac:dyDescent="0.25">
      <c r="A3074" s="43">
        <v>3130</v>
      </c>
      <c r="B3074" s="43">
        <v>10</v>
      </c>
      <c r="C3074" s="43" t="s">
        <v>963</v>
      </c>
      <c r="D3074" s="43" t="s">
        <v>1009</v>
      </c>
      <c r="E3074" s="43" t="s">
        <v>294</v>
      </c>
      <c r="F3074" s="43" t="s">
        <v>959</v>
      </c>
      <c r="G3074" s="43">
        <v>1077777</v>
      </c>
      <c r="H3074" s="43">
        <v>501100</v>
      </c>
      <c r="I3074" s="43" t="s">
        <v>949</v>
      </c>
      <c r="J3074" s="44" t="s">
        <v>1000</v>
      </c>
    </row>
    <row r="3075" ht="22" customHeight="1" spans="1:10" x14ac:dyDescent="0.25">
      <c r="A3075" s="43">
        <v>3130</v>
      </c>
      <c r="B3075" s="43">
        <v>10</v>
      </c>
      <c r="C3075" s="43" t="s">
        <v>963</v>
      </c>
      <c r="D3075" s="43" t="s">
        <v>1009</v>
      </c>
      <c r="E3075" s="43" t="s">
        <v>294</v>
      </c>
      <c r="F3075" s="43" t="s">
        <v>960</v>
      </c>
      <c r="G3075" s="43">
        <v>1077777</v>
      </c>
      <c r="H3075" s="43">
        <v>501100</v>
      </c>
      <c r="I3075" s="43" t="s">
        <v>949</v>
      </c>
      <c r="J3075" s="44" t="s">
        <v>1000</v>
      </c>
    </row>
    <row r="3076" ht="22" customHeight="1" spans="1:10" x14ac:dyDescent="0.25">
      <c r="A3076" s="43">
        <v>3130</v>
      </c>
      <c r="B3076" s="43">
        <v>10</v>
      </c>
      <c r="C3076" s="43" t="s">
        <v>963</v>
      </c>
      <c r="D3076" s="43" t="s">
        <v>1009</v>
      </c>
      <c r="E3076" s="43" t="s">
        <v>294</v>
      </c>
      <c r="F3076" s="43" t="s">
        <v>961</v>
      </c>
      <c r="G3076" s="43">
        <v>1077777</v>
      </c>
      <c r="H3076" s="43">
        <v>501100</v>
      </c>
      <c r="I3076" s="43" t="s">
        <v>949</v>
      </c>
      <c r="J3076" s="44" t="s">
        <v>1000</v>
      </c>
    </row>
    <row r="3077" spans="1:9" x14ac:dyDescent="0.25">
      <c r="A3077">
        <v>4122</v>
      </c>
      <c r="B3077">
        <v>10</v>
      </c>
      <c r="C3077" t="s">
        <v>946</v>
      </c>
      <c r="D3077" t="s">
        <v>1009</v>
      </c>
      <c r="E3077" t="s">
        <v>294</v>
      </c>
      <c r="F3077" t="s">
        <v>948</v>
      </c>
      <c r="G3077">
        <v>1000000</v>
      </c>
      <c r="H3077">
        <v>143000</v>
      </c>
      <c r="I3077" t="s">
        <v>979</v>
      </c>
    </row>
    <row r="3078" spans="1:9" x14ac:dyDescent="0.25">
      <c r="A3078">
        <v>4124</v>
      </c>
      <c r="B3078">
        <v>10</v>
      </c>
      <c r="C3078" t="s">
        <v>946</v>
      </c>
      <c r="D3078" t="s">
        <v>1009</v>
      </c>
      <c r="E3078" t="s">
        <v>294</v>
      </c>
      <c r="F3078" t="s">
        <v>948</v>
      </c>
      <c r="G3078">
        <v>1077777</v>
      </c>
      <c r="H3078">
        <v>501100</v>
      </c>
      <c r="I3078" t="s">
        <v>949</v>
      </c>
    </row>
    <row r="3079" ht="22" customHeight="1" spans="1:10" x14ac:dyDescent="0.25">
      <c r="A3079" s="43">
        <v>3130</v>
      </c>
      <c r="B3079" s="43">
        <v>10</v>
      </c>
      <c r="C3079" s="43" t="s">
        <v>950</v>
      </c>
      <c r="D3079" s="43" t="s">
        <v>1009</v>
      </c>
      <c r="E3079" s="43" t="s">
        <v>980</v>
      </c>
      <c r="F3079" s="43" t="s">
        <v>951</v>
      </c>
      <c r="G3079" s="43">
        <v>1077777</v>
      </c>
      <c r="H3079" s="43">
        <v>501100</v>
      </c>
      <c r="I3079" s="43" t="s">
        <v>949</v>
      </c>
      <c r="J3079" s="44" t="s">
        <v>1000</v>
      </c>
    </row>
    <row r="3080" ht="22" customHeight="1" spans="1:10" x14ac:dyDescent="0.25">
      <c r="A3080" s="43">
        <v>3130</v>
      </c>
      <c r="B3080" s="43">
        <v>10</v>
      </c>
      <c r="C3080" s="43" t="s">
        <v>950</v>
      </c>
      <c r="D3080" s="43" t="s">
        <v>1009</v>
      </c>
      <c r="E3080" s="43" t="s">
        <v>980</v>
      </c>
      <c r="F3080" s="43" t="s">
        <v>952</v>
      </c>
      <c r="G3080" s="43">
        <v>1077777</v>
      </c>
      <c r="H3080" s="43">
        <v>501100</v>
      </c>
      <c r="I3080" s="43" t="s">
        <v>949</v>
      </c>
      <c r="J3080" s="44" t="s">
        <v>1000</v>
      </c>
    </row>
    <row r="3081" ht="22" customHeight="1" spans="1:10" x14ac:dyDescent="0.25">
      <c r="A3081" s="43">
        <v>3130</v>
      </c>
      <c r="B3081" s="43">
        <v>10</v>
      </c>
      <c r="C3081" s="43" t="s">
        <v>950</v>
      </c>
      <c r="D3081" s="43" t="s">
        <v>1009</v>
      </c>
      <c r="E3081" s="43" t="s">
        <v>980</v>
      </c>
      <c r="F3081" s="43" t="s">
        <v>953</v>
      </c>
      <c r="G3081" s="43">
        <v>1077777</v>
      </c>
      <c r="H3081" s="43">
        <v>501100</v>
      </c>
      <c r="I3081" s="43" t="s">
        <v>949</v>
      </c>
      <c r="J3081" s="44" t="s">
        <v>1000</v>
      </c>
    </row>
    <row r="3082" ht="22" customHeight="1" spans="1:10" x14ac:dyDescent="0.25">
      <c r="A3082" s="43">
        <v>3130</v>
      </c>
      <c r="B3082" s="43">
        <v>10</v>
      </c>
      <c r="C3082" s="43" t="s">
        <v>950</v>
      </c>
      <c r="D3082" s="43" t="s">
        <v>1009</v>
      </c>
      <c r="E3082" s="43" t="s">
        <v>980</v>
      </c>
      <c r="F3082" s="43" t="s">
        <v>954</v>
      </c>
      <c r="G3082" s="43">
        <v>1077777</v>
      </c>
      <c r="H3082" s="43">
        <v>501100</v>
      </c>
      <c r="I3082" s="43" t="s">
        <v>949</v>
      </c>
      <c r="J3082" s="44" t="s">
        <v>1000</v>
      </c>
    </row>
    <row r="3083" ht="22" customHeight="1" spans="1:10" x14ac:dyDescent="0.25">
      <c r="A3083" s="43">
        <v>3130</v>
      </c>
      <c r="B3083" s="43">
        <v>10</v>
      </c>
      <c r="C3083" s="43" t="s">
        <v>950</v>
      </c>
      <c r="D3083" s="43" t="s">
        <v>1009</v>
      </c>
      <c r="E3083" s="43" t="s">
        <v>980</v>
      </c>
      <c r="F3083" s="43" t="s">
        <v>955</v>
      </c>
      <c r="G3083" s="43">
        <v>1077777</v>
      </c>
      <c r="H3083" s="43">
        <v>501100</v>
      </c>
      <c r="I3083" s="43" t="s">
        <v>949</v>
      </c>
      <c r="J3083" s="44" t="s">
        <v>1000</v>
      </c>
    </row>
    <row r="3084" ht="22" customHeight="1" spans="1:10" x14ac:dyDescent="0.25">
      <c r="A3084" s="43">
        <v>3130</v>
      </c>
      <c r="B3084" s="43">
        <v>10</v>
      </c>
      <c r="C3084" s="43" t="s">
        <v>950</v>
      </c>
      <c r="D3084" s="43" t="s">
        <v>1009</v>
      </c>
      <c r="E3084" s="43" t="s">
        <v>980</v>
      </c>
      <c r="F3084" s="43" t="s">
        <v>956</v>
      </c>
      <c r="G3084" s="43">
        <v>1077777</v>
      </c>
      <c r="H3084" s="43">
        <v>501100</v>
      </c>
      <c r="I3084" s="43" t="s">
        <v>949</v>
      </c>
      <c r="J3084" s="44" t="s">
        <v>1000</v>
      </c>
    </row>
    <row r="3085" ht="22" customHeight="1" spans="1:10" x14ac:dyDescent="0.25">
      <c r="A3085" s="43">
        <v>3130</v>
      </c>
      <c r="B3085" s="43">
        <v>10</v>
      </c>
      <c r="C3085" s="43" t="s">
        <v>950</v>
      </c>
      <c r="D3085" s="43" t="s">
        <v>1009</v>
      </c>
      <c r="E3085" s="43" t="s">
        <v>980</v>
      </c>
      <c r="F3085" s="43" t="s">
        <v>957</v>
      </c>
      <c r="G3085" s="43">
        <v>1077777</v>
      </c>
      <c r="H3085" s="43">
        <v>501100</v>
      </c>
      <c r="I3085" s="43" t="s">
        <v>949</v>
      </c>
      <c r="J3085" s="44" t="s">
        <v>1000</v>
      </c>
    </row>
    <row r="3086" ht="22" customHeight="1" spans="1:10" x14ac:dyDescent="0.25">
      <c r="A3086" s="43">
        <v>3130</v>
      </c>
      <c r="B3086" s="43">
        <v>10</v>
      </c>
      <c r="C3086" s="43" t="s">
        <v>950</v>
      </c>
      <c r="D3086" s="43" t="s">
        <v>1009</v>
      </c>
      <c r="E3086" s="43" t="s">
        <v>980</v>
      </c>
      <c r="F3086" s="43" t="s">
        <v>958</v>
      </c>
      <c r="G3086" s="43">
        <v>1077777</v>
      </c>
      <c r="H3086" s="43">
        <v>501100</v>
      </c>
      <c r="I3086" s="43" t="s">
        <v>949</v>
      </c>
      <c r="J3086" s="44" t="s">
        <v>1000</v>
      </c>
    </row>
    <row r="3087" ht="22" customHeight="1" spans="1:10" x14ac:dyDescent="0.25">
      <c r="A3087" s="43">
        <v>3130</v>
      </c>
      <c r="B3087" s="43">
        <v>10</v>
      </c>
      <c r="C3087" s="43" t="s">
        <v>950</v>
      </c>
      <c r="D3087" s="43" t="s">
        <v>1009</v>
      </c>
      <c r="E3087" s="43" t="s">
        <v>980</v>
      </c>
      <c r="F3087" s="43" t="s">
        <v>959</v>
      </c>
      <c r="G3087" s="43">
        <v>1077777</v>
      </c>
      <c r="H3087" s="43">
        <v>501100</v>
      </c>
      <c r="I3087" s="43" t="s">
        <v>949</v>
      </c>
      <c r="J3087" s="44" t="s">
        <v>1000</v>
      </c>
    </row>
    <row r="3088" ht="22" customHeight="1" spans="1:10" x14ac:dyDescent="0.25">
      <c r="A3088" s="43">
        <v>3130</v>
      </c>
      <c r="B3088" s="43">
        <v>10</v>
      </c>
      <c r="C3088" s="43" t="s">
        <v>950</v>
      </c>
      <c r="D3088" s="43" t="s">
        <v>1009</v>
      </c>
      <c r="E3088" s="43" t="s">
        <v>980</v>
      </c>
      <c r="F3088" s="43" t="s">
        <v>960</v>
      </c>
      <c r="G3088" s="43">
        <v>1077777</v>
      </c>
      <c r="H3088" s="43">
        <v>501100</v>
      </c>
      <c r="I3088" s="43" t="s">
        <v>949</v>
      </c>
      <c r="J3088" s="44" t="s">
        <v>1000</v>
      </c>
    </row>
    <row r="3089" ht="22" customHeight="1" spans="1:10" x14ac:dyDescent="0.25">
      <c r="A3089" s="43">
        <v>3130</v>
      </c>
      <c r="B3089" s="43">
        <v>10</v>
      </c>
      <c r="C3089" s="43" t="s">
        <v>950</v>
      </c>
      <c r="D3089" s="43" t="s">
        <v>1009</v>
      </c>
      <c r="E3089" s="43" t="s">
        <v>980</v>
      </c>
      <c r="F3089" s="43" t="s">
        <v>961</v>
      </c>
      <c r="G3089" s="43">
        <v>1077777</v>
      </c>
      <c r="H3089" s="43">
        <v>501100</v>
      </c>
      <c r="I3089" s="43" t="s">
        <v>949</v>
      </c>
      <c r="J3089" s="44" t="s">
        <v>1000</v>
      </c>
    </row>
    <row r="3090" ht="22" customHeight="1" spans="1:10" x14ac:dyDescent="0.25">
      <c r="A3090" s="43">
        <v>3130</v>
      </c>
      <c r="B3090" s="43">
        <v>10</v>
      </c>
      <c r="C3090" s="43" t="s">
        <v>962</v>
      </c>
      <c r="D3090" s="43" t="s">
        <v>1009</v>
      </c>
      <c r="E3090" s="43" t="s">
        <v>980</v>
      </c>
      <c r="F3090" s="43" t="s">
        <v>951</v>
      </c>
      <c r="G3090" s="43">
        <v>1077777</v>
      </c>
      <c r="H3090" s="43">
        <v>501100</v>
      </c>
      <c r="I3090" s="43" t="s">
        <v>949</v>
      </c>
      <c r="J3090" s="44" t="s">
        <v>1000</v>
      </c>
    </row>
    <row r="3091" ht="22" customHeight="1" spans="1:10" x14ac:dyDescent="0.25">
      <c r="A3091" s="43">
        <v>3130</v>
      </c>
      <c r="B3091" s="43">
        <v>10</v>
      </c>
      <c r="C3091" s="43" t="s">
        <v>962</v>
      </c>
      <c r="D3091" s="43" t="s">
        <v>1009</v>
      </c>
      <c r="E3091" s="43" t="s">
        <v>980</v>
      </c>
      <c r="F3091" s="43" t="s">
        <v>952</v>
      </c>
      <c r="G3091" s="43">
        <v>1077777</v>
      </c>
      <c r="H3091" s="43">
        <v>501100</v>
      </c>
      <c r="I3091" s="43" t="s">
        <v>949</v>
      </c>
      <c r="J3091" s="44" t="s">
        <v>1000</v>
      </c>
    </row>
    <row r="3092" ht="22" customHeight="1" spans="1:10" x14ac:dyDescent="0.25">
      <c r="A3092" s="43">
        <v>3130</v>
      </c>
      <c r="B3092" s="43">
        <v>10</v>
      </c>
      <c r="C3092" s="43" t="s">
        <v>962</v>
      </c>
      <c r="D3092" s="43" t="s">
        <v>1009</v>
      </c>
      <c r="E3092" s="43" t="s">
        <v>980</v>
      </c>
      <c r="F3092" s="43" t="s">
        <v>953</v>
      </c>
      <c r="G3092" s="43">
        <v>1077777</v>
      </c>
      <c r="H3092" s="43">
        <v>501100</v>
      </c>
      <c r="I3092" s="43" t="s">
        <v>949</v>
      </c>
      <c r="J3092" s="44" t="s">
        <v>1000</v>
      </c>
    </row>
    <row r="3093" ht="22" customHeight="1" spans="1:10" x14ac:dyDescent="0.25">
      <c r="A3093" s="43">
        <v>3130</v>
      </c>
      <c r="B3093" s="43">
        <v>10</v>
      </c>
      <c r="C3093" s="43" t="s">
        <v>962</v>
      </c>
      <c r="D3093" s="43" t="s">
        <v>1009</v>
      </c>
      <c r="E3093" s="43" t="s">
        <v>980</v>
      </c>
      <c r="F3093" s="43" t="s">
        <v>954</v>
      </c>
      <c r="G3093" s="43">
        <v>1077777</v>
      </c>
      <c r="H3093" s="43">
        <v>501100</v>
      </c>
      <c r="I3093" s="43" t="s">
        <v>949</v>
      </c>
      <c r="J3093" s="44" t="s">
        <v>1000</v>
      </c>
    </row>
    <row r="3094" ht="22" customHeight="1" spans="1:10" x14ac:dyDescent="0.25">
      <c r="A3094" s="43">
        <v>3130</v>
      </c>
      <c r="B3094" s="43">
        <v>10</v>
      </c>
      <c r="C3094" s="43" t="s">
        <v>962</v>
      </c>
      <c r="D3094" s="43" t="s">
        <v>1009</v>
      </c>
      <c r="E3094" s="43" t="s">
        <v>980</v>
      </c>
      <c r="F3094" s="43" t="s">
        <v>955</v>
      </c>
      <c r="G3094" s="43">
        <v>1077777</v>
      </c>
      <c r="H3094" s="43">
        <v>501100</v>
      </c>
      <c r="I3094" s="43" t="s">
        <v>949</v>
      </c>
      <c r="J3094" s="44" t="s">
        <v>1000</v>
      </c>
    </row>
    <row r="3095" ht="22" customHeight="1" spans="1:10" x14ac:dyDescent="0.25">
      <c r="A3095" s="43">
        <v>3130</v>
      </c>
      <c r="B3095" s="43">
        <v>10</v>
      </c>
      <c r="C3095" s="43" t="s">
        <v>962</v>
      </c>
      <c r="D3095" s="43" t="s">
        <v>1009</v>
      </c>
      <c r="E3095" s="43" t="s">
        <v>980</v>
      </c>
      <c r="F3095" s="43" t="s">
        <v>956</v>
      </c>
      <c r="G3095" s="43">
        <v>1077777</v>
      </c>
      <c r="H3095" s="43">
        <v>501100</v>
      </c>
      <c r="I3095" s="43" t="s">
        <v>949</v>
      </c>
      <c r="J3095" s="44" t="s">
        <v>1000</v>
      </c>
    </row>
    <row r="3096" ht="22" customHeight="1" spans="1:10" x14ac:dyDescent="0.25">
      <c r="A3096" s="43">
        <v>3130</v>
      </c>
      <c r="B3096" s="43">
        <v>10</v>
      </c>
      <c r="C3096" s="43" t="s">
        <v>962</v>
      </c>
      <c r="D3096" s="43" t="s">
        <v>1009</v>
      </c>
      <c r="E3096" s="43" t="s">
        <v>980</v>
      </c>
      <c r="F3096" s="43" t="s">
        <v>957</v>
      </c>
      <c r="G3096" s="43">
        <v>1077777</v>
      </c>
      <c r="H3096" s="43">
        <v>501100</v>
      </c>
      <c r="I3096" s="43" t="s">
        <v>949</v>
      </c>
      <c r="J3096" s="44" t="s">
        <v>1000</v>
      </c>
    </row>
    <row r="3097" ht="22" customHeight="1" spans="1:10" x14ac:dyDescent="0.25">
      <c r="A3097" s="43">
        <v>3130</v>
      </c>
      <c r="B3097" s="43">
        <v>10</v>
      </c>
      <c r="C3097" s="43" t="s">
        <v>962</v>
      </c>
      <c r="D3097" s="43" t="s">
        <v>1009</v>
      </c>
      <c r="E3097" s="43" t="s">
        <v>980</v>
      </c>
      <c r="F3097" s="43" t="s">
        <v>958</v>
      </c>
      <c r="G3097" s="43">
        <v>1077777</v>
      </c>
      <c r="H3097" s="43">
        <v>501100</v>
      </c>
      <c r="I3097" s="43" t="s">
        <v>949</v>
      </c>
      <c r="J3097" s="44" t="s">
        <v>1000</v>
      </c>
    </row>
    <row r="3098" ht="22" customHeight="1" spans="1:10" x14ac:dyDescent="0.25">
      <c r="A3098" s="43">
        <v>3130</v>
      </c>
      <c r="B3098" s="43">
        <v>10</v>
      </c>
      <c r="C3098" s="43" t="s">
        <v>962</v>
      </c>
      <c r="D3098" s="43" t="s">
        <v>1009</v>
      </c>
      <c r="E3098" s="43" t="s">
        <v>980</v>
      </c>
      <c r="F3098" s="43" t="s">
        <v>959</v>
      </c>
      <c r="G3098" s="43">
        <v>1077777</v>
      </c>
      <c r="H3098" s="43">
        <v>501100</v>
      </c>
      <c r="I3098" s="43" t="s">
        <v>949</v>
      </c>
      <c r="J3098" s="44" t="s">
        <v>1000</v>
      </c>
    </row>
    <row r="3099" ht="22" customHeight="1" spans="1:10" x14ac:dyDescent="0.25">
      <c r="A3099" s="43">
        <v>3130</v>
      </c>
      <c r="B3099" s="43">
        <v>10</v>
      </c>
      <c r="C3099" s="43" t="s">
        <v>962</v>
      </c>
      <c r="D3099" s="43" t="s">
        <v>1009</v>
      </c>
      <c r="E3099" s="43" t="s">
        <v>980</v>
      </c>
      <c r="F3099" s="43" t="s">
        <v>960</v>
      </c>
      <c r="G3099" s="43">
        <v>1077777</v>
      </c>
      <c r="H3099" s="43">
        <v>501100</v>
      </c>
      <c r="I3099" s="43" t="s">
        <v>949</v>
      </c>
      <c r="J3099" s="44" t="s">
        <v>1000</v>
      </c>
    </row>
    <row r="3100" ht="22" customHeight="1" spans="1:10" x14ac:dyDescent="0.25">
      <c r="A3100" s="43">
        <v>3130</v>
      </c>
      <c r="B3100" s="43">
        <v>10</v>
      </c>
      <c r="C3100" s="43" t="s">
        <v>962</v>
      </c>
      <c r="D3100" s="43" t="s">
        <v>1009</v>
      </c>
      <c r="E3100" s="43" t="s">
        <v>980</v>
      </c>
      <c r="F3100" s="43" t="s">
        <v>961</v>
      </c>
      <c r="G3100" s="43">
        <v>1077777</v>
      </c>
      <c r="H3100" s="43">
        <v>501100</v>
      </c>
      <c r="I3100" s="43" t="s">
        <v>949</v>
      </c>
      <c r="J3100" s="44" t="s">
        <v>1000</v>
      </c>
    </row>
    <row r="3101" ht="22" customHeight="1" spans="1:10" x14ac:dyDescent="0.25">
      <c r="A3101" s="43">
        <v>3130</v>
      </c>
      <c r="B3101" s="43">
        <v>10</v>
      </c>
      <c r="C3101" s="43" t="s">
        <v>963</v>
      </c>
      <c r="D3101" s="43" t="s">
        <v>1009</v>
      </c>
      <c r="E3101" s="43" t="s">
        <v>980</v>
      </c>
      <c r="F3101" s="43" t="s">
        <v>951</v>
      </c>
      <c r="G3101" s="43">
        <v>1077777</v>
      </c>
      <c r="H3101" s="43">
        <v>501100</v>
      </c>
      <c r="I3101" s="43" t="s">
        <v>949</v>
      </c>
      <c r="J3101" s="44" t="s">
        <v>1000</v>
      </c>
    </row>
    <row r="3102" ht="22" customHeight="1" spans="1:10" x14ac:dyDescent="0.25">
      <c r="A3102" s="43">
        <v>3130</v>
      </c>
      <c r="B3102" s="43">
        <v>10</v>
      </c>
      <c r="C3102" s="43" t="s">
        <v>963</v>
      </c>
      <c r="D3102" s="43" t="s">
        <v>1009</v>
      </c>
      <c r="E3102" s="43" t="s">
        <v>980</v>
      </c>
      <c r="F3102" s="43" t="s">
        <v>952</v>
      </c>
      <c r="G3102" s="43">
        <v>1077777</v>
      </c>
      <c r="H3102" s="43">
        <v>501100</v>
      </c>
      <c r="I3102" s="43" t="s">
        <v>949</v>
      </c>
      <c r="J3102" s="44" t="s">
        <v>1000</v>
      </c>
    </row>
    <row r="3103" ht="22" customHeight="1" spans="1:10" x14ac:dyDescent="0.25">
      <c r="A3103" s="43">
        <v>3130</v>
      </c>
      <c r="B3103" s="43">
        <v>10</v>
      </c>
      <c r="C3103" s="43" t="s">
        <v>963</v>
      </c>
      <c r="D3103" s="43" t="s">
        <v>1009</v>
      </c>
      <c r="E3103" s="43" t="s">
        <v>980</v>
      </c>
      <c r="F3103" s="43" t="s">
        <v>953</v>
      </c>
      <c r="G3103" s="43">
        <v>1077777</v>
      </c>
      <c r="H3103" s="43">
        <v>501100</v>
      </c>
      <c r="I3103" s="43" t="s">
        <v>949</v>
      </c>
      <c r="J3103" s="44" t="s">
        <v>1000</v>
      </c>
    </row>
    <row r="3104" ht="22" customHeight="1" spans="1:10" x14ac:dyDescent="0.25">
      <c r="A3104" s="43">
        <v>3130</v>
      </c>
      <c r="B3104" s="43">
        <v>10</v>
      </c>
      <c r="C3104" s="43" t="s">
        <v>963</v>
      </c>
      <c r="D3104" s="43" t="s">
        <v>1009</v>
      </c>
      <c r="E3104" s="43" t="s">
        <v>980</v>
      </c>
      <c r="F3104" s="43" t="s">
        <v>954</v>
      </c>
      <c r="G3104" s="43">
        <v>1077777</v>
      </c>
      <c r="H3104" s="43">
        <v>501100</v>
      </c>
      <c r="I3104" s="43" t="s">
        <v>949</v>
      </c>
      <c r="J3104" s="44" t="s">
        <v>1000</v>
      </c>
    </row>
    <row r="3105" ht="22" customHeight="1" spans="1:10" x14ac:dyDescent="0.25">
      <c r="A3105" s="43">
        <v>3130</v>
      </c>
      <c r="B3105" s="43">
        <v>10</v>
      </c>
      <c r="C3105" s="43" t="s">
        <v>963</v>
      </c>
      <c r="D3105" s="43" t="s">
        <v>1009</v>
      </c>
      <c r="E3105" s="43" t="s">
        <v>980</v>
      </c>
      <c r="F3105" s="43" t="s">
        <v>955</v>
      </c>
      <c r="G3105" s="43">
        <v>1077777</v>
      </c>
      <c r="H3105" s="43">
        <v>501100</v>
      </c>
      <c r="I3105" s="43" t="s">
        <v>949</v>
      </c>
      <c r="J3105" s="44" t="s">
        <v>1000</v>
      </c>
    </row>
    <row r="3106" ht="22" customHeight="1" spans="1:10" x14ac:dyDescent="0.25">
      <c r="A3106" s="43">
        <v>3130</v>
      </c>
      <c r="B3106" s="43">
        <v>10</v>
      </c>
      <c r="C3106" s="43" t="s">
        <v>963</v>
      </c>
      <c r="D3106" s="43" t="s">
        <v>1009</v>
      </c>
      <c r="E3106" s="43" t="s">
        <v>980</v>
      </c>
      <c r="F3106" s="43" t="s">
        <v>956</v>
      </c>
      <c r="G3106" s="43">
        <v>1077777</v>
      </c>
      <c r="H3106" s="43">
        <v>501100</v>
      </c>
      <c r="I3106" s="43" t="s">
        <v>949</v>
      </c>
      <c r="J3106" s="44" t="s">
        <v>1000</v>
      </c>
    </row>
    <row r="3107" ht="22" customHeight="1" spans="1:10" x14ac:dyDescent="0.25">
      <c r="A3107" s="43">
        <v>3130</v>
      </c>
      <c r="B3107" s="43">
        <v>10</v>
      </c>
      <c r="C3107" s="43" t="s">
        <v>963</v>
      </c>
      <c r="D3107" s="43" t="s">
        <v>1009</v>
      </c>
      <c r="E3107" s="43" t="s">
        <v>980</v>
      </c>
      <c r="F3107" s="43" t="s">
        <v>957</v>
      </c>
      <c r="G3107" s="43">
        <v>1077777</v>
      </c>
      <c r="H3107" s="43">
        <v>501100</v>
      </c>
      <c r="I3107" s="43" t="s">
        <v>949</v>
      </c>
      <c r="J3107" s="44" t="s">
        <v>1000</v>
      </c>
    </row>
    <row r="3108" ht="22" customHeight="1" spans="1:10" x14ac:dyDescent="0.25">
      <c r="A3108" s="43">
        <v>3130</v>
      </c>
      <c r="B3108" s="43">
        <v>10</v>
      </c>
      <c r="C3108" s="43" t="s">
        <v>963</v>
      </c>
      <c r="D3108" s="43" t="s">
        <v>1009</v>
      </c>
      <c r="E3108" s="43" t="s">
        <v>980</v>
      </c>
      <c r="F3108" s="43" t="s">
        <v>958</v>
      </c>
      <c r="G3108" s="43">
        <v>1077777</v>
      </c>
      <c r="H3108" s="43">
        <v>501100</v>
      </c>
      <c r="I3108" s="43" t="s">
        <v>949</v>
      </c>
      <c r="J3108" s="44" t="s">
        <v>1000</v>
      </c>
    </row>
    <row r="3109" ht="22" customHeight="1" spans="1:10" x14ac:dyDescent="0.25">
      <c r="A3109" s="43">
        <v>3130</v>
      </c>
      <c r="B3109" s="43">
        <v>10</v>
      </c>
      <c r="C3109" s="43" t="s">
        <v>963</v>
      </c>
      <c r="D3109" s="43" t="s">
        <v>1009</v>
      </c>
      <c r="E3109" s="43" t="s">
        <v>980</v>
      </c>
      <c r="F3109" s="43" t="s">
        <v>959</v>
      </c>
      <c r="G3109" s="43">
        <v>1077777</v>
      </c>
      <c r="H3109" s="43">
        <v>501100</v>
      </c>
      <c r="I3109" s="43" t="s">
        <v>949</v>
      </c>
      <c r="J3109" s="44" t="s">
        <v>1000</v>
      </c>
    </row>
    <row r="3110" ht="22" customHeight="1" spans="1:10" x14ac:dyDescent="0.25">
      <c r="A3110" s="43">
        <v>3130</v>
      </c>
      <c r="B3110" s="43">
        <v>10</v>
      </c>
      <c r="C3110" s="43" t="s">
        <v>963</v>
      </c>
      <c r="D3110" s="43" t="s">
        <v>1009</v>
      </c>
      <c r="E3110" s="43" t="s">
        <v>980</v>
      </c>
      <c r="F3110" s="43" t="s">
        <v>960</v>
      </c>
      <c r="G3110" s="43">
        <v>1077777</v>
      </c>
      <c r="H3110" s="43">
        <v>501100</v>
      </c>
      <c r="I3110" s="43" t="s">
        <v>949</v>
      </c>
      <c r="J3110" s="44" t="s">
        <v>1000</v>
      </c>
    </row>
    <row r="3111" ht="22" customHeight="1" spans="1:10" x14ac:dyDescent="0.25">
      <c r="A3111" s="43">
        <v>3130</v>
      </c>
      <c r="B3111" s="43">
        <v>10</v>
      </c>
      <c r="C3111" s="43" t="s">
        <v>963</v>
      </c>
      <c r="D3111" s="43" t="s">
        <v>1009</v>
      </c>
      <c r="E3111" s="43" t="s">
        <v>980</v>
      </c>
      <c r="F3111" s="43" t="s">
        <v>961</v>
      </c>
      <c r="G3111" s="43">
        <v>1077777</v>
      </c>
      <c r="H3111" s="43">
        <v>501100</v>
      </c>
      <c r="I3111" s="43" t="s">
        <v>949</v>
      </c>
      <c r="J3111" s="44" t="s">
        <v>1000</v>
      </c>
    </row>
    <row r="3112" spans="1:9" x14ac:dyDescent="0.25">
      <c r="A3112">
        <v>4122</v>
      </c>
      <c r="B3112">
        <v>10</v>
      </c>
      <c r="C3112" t="s">
        <v>946</v>
      </c>
      <c r="D3112" t="s">
        <v>1009</v>
      </c>
      <c r="E3112" t="s">
        <v>980</v>
      </c>
      <c r="F3112" t="s">
        <v>948</v>
      </c>
      <c r="G3112">
        <v>1000000</v>
      </c>
      <c r="H3112">
        <v>141000</v>
      </c>
      <c r="I3112" t="s">
        <v>981</v>
      </c>
    </row>
    <row r="3113" spans="1:9" x14ac:dyDescent="0.25">
      <c r="A3113">
        <v>4124</v>
      </c>
      <c r="B3113">
        <v>10</v>
      </c>
      <c r="C3113" t="s">
        <v>946</v>
      </c>
      <c r="D3113" t="s">
        <v>1009</v>
      </c>
      <c r="E3113" t="s">
        <v>980</v>
      </c>
      <c r="F3113" t="s">
        <v>948</v>
      </c>
      <c r="G3113">
        <v>1077777</v>
      </c>
      <c r="H3113">
        <v>501100</v>
      </c>
      <c r="I3113" t="s">
        <v>949</v>
      </c>
    </row>
    <row r="3114" ht="22" customHeight="1" spans="1:10" x14ac:dyDescent="0.25">
      <c r="A3114" s="43">
        <v>3130</v>
      </c>
      <c r="B3114" s="43">
        <v>10</v>
      </c>
      <c r="C3114" s="43" t="s">
        <v>950</v>
      </c>
      <c r="D3114" s="43" t="s">
        <v>1009</v>
      </c>
      <c r="E3114" s="43" t="s">
        <v>302</v>
      </c>
      <c r="F3114" s="43" t="s">
        <v>951</v>
      </c>
      <c r="G3114" s="43">
        <v>1077777</v>
      </c>
      <c r="H3114" s="43">
        <v>501100</v>
      </c>
      <c r="I3114" s="43" t="s">
        <v>949</v>
      </c>
      <c r="J3114" s="44" t="s">
        <v>1000</v>
      </c>
    </row>
    <row r="3115" ht="22" customHeight="1" spans="1:10" x14ac:dyDescent="0.25">
      <c r="A3115" s="43">
        <v>3130</v>
      </c>
      <c r="B3115" s="43">
        <v>10</v>
      </c>
      <c r="C3115" s="43" t="s">
        <v>950</v>
      </c>
      <c r="D3115" s="43" t="s">
        <v>1009</v>
      </c>
      <c r="E3115" s="43" t="s">
        <v>302</v>
      </c>
      <c r="F3115" s="43" t="s">
        <v>952</v>
      </c>
      <c r="G3115" s="43">
        <v>1077777</v>
      </c>
      <c r="H3115" s="43">
        <v>501100</v>
      </c>
      <c r="I3115" s="43" t="s">
        <v>949</v>
      </c>
      <c r="J3115" s="44" t="s">
        <v>1000</v>
      </c>
    </row>
    <row r="3116" ht="22" customHeight="1" spans="1:10" x14ac:dyDescent="0.25">
      <c r="A3116" s="43">
        <v>3130</v>
      </c>
      <c r="B3116" s="43">
        <v>10</v>
      </c>
      <c r="C3116" s="43" t="s">
        <v>950</v>
      </c>
      <c r="D3116" s="43" t="s">
        <v>1009</v>
      </c>
      <c r="E3116" s="43" t="s">
        <v>302</v>
      </c>
      <c r="F3116" s="43" t="s">
        <v>953</v>
      </c>
      <c r="G3116" s="43">
        <v>1077777</v>
      </c>
      <c r="H3116" s="43">
        <v>501100</v>
      </c>
      <c r="I3116" s="43" t="s">
        <v>949</v>
      </c>
      <c r="J3116" s="44" t="s">
        <v>1000</v>
      </c>
    </row>
    <row r="3117" ht="22" customHeight="1" spans="1:10" x14ac:dyDescent="0.25">
      <c r="A3117" s="43">
        <v>3130</v>
      </c>
      <c r="B3117" s="43">
        <v>10</v>
      </c>
      <c r="C3117" s="43" t="s">
        <v>950</v>
      </c>
      <c r="D3117" s="43" t="s">
        <v>1009</v>
      </c>
      <c r="E3117" s="43" t="s">
        <v>302</v>
      </c>
      <c r="F3117" s="43" t="s">
        <v>954</v>
      </c>
      <c r="G3117" s="43">
        <v>1077777</v>
      </c>
      <c r="H3117" s="43">
        <v>501100</v>
      </c>
      <c r="I3117" s="43" t="s">
        <v>949</v>
      </c>
      <c r="J3117" s="44" t="s">
        <v>1000</v>
      </c>
    </row>
    <row r="3118" ht="22" customHeight="1" spans="1:10" x14ac:dyDescent="0.25">
      <c r="A3118" s="43">
        <v>3130</v>
      </c>
      <c r="B3118" s="43">
        <v>10</v>
      </c>
      <c r="C3118" s="43" t="s">
        <v>950</v>
      </c>
      <c r="D3118" s="43" t="s">
        <v>1009</v>
      </c>
      <c r="E3118" s="43" t="s">
        <v>302</v>
      </c>
      <c r="F3118" s="43" t="s">
        <v>955</v>
      </c>
      <c r="G3118" s="43">
        <v>1077777</v>
      </c>
      <c r="H3118" s="43">
        <v>501100</v>
      </c>
      <c r="I3118" s="43" t="s">
        <v>949</v>
      </c>
      <c r="J3118" s="44" t="s">
        <v>1000</v>
      </c>
    </row>
    <row r="3119" ht="22" customHeight="1" spans="1:10" x14ac:dyDescent="0.25">
      <c r="A3119" s="43">
        <v>3130</v>
      </c>
      <c r="B3119" s="43">
        <v>10</v>
      </c>
      <c r="C3119" s="43" t="s">
        <v>950</v>
      </c>
      <c r="D3119" s="43" t="s">
        <v>1009</v>
      </c>
      <c r="E3119" s="43" t="s">
        <v>302</v>
      </c>
      <c r="F3119" s="43" t="s">
        <v>956</v>
      </c>
      <c r="G3119" s="43">
        <v>1077777</v>
      </c>
      <c r="H3119" s="43">
        <v>501100</v>
      </c>
      <c r="I3119" s="43" t="s">
        <v>949</v>
      </c>
      <c r="J3119" s="44" t="s">
        <v>1000</v>
      </c>
    </row>
    <row r="3120" ht="22" customHeight="1" spans="1:10" x14ac:dyDescent="0.25">
      <c r="A3120" s="43">
        <v>3130</v>
      </c>
      <c r="B3120" s="43">
        <v>10</v>
      </c>
      <c r="C3120" s="43" t="s">
        <v>950</v>
      </c>
      <c r="D3120" s="43" t="s">
        <v>1009</v>
      </c>
      <c r="E3120" s="43" t="s">
        <v>302</v>
      </c>
      <c r="F3120" s="43" t="s">
        <v>957</v>
      </c>
      <c r="G3120" s="43">
        <v>1077777</v>
      </c>
      <c r="H3120" s="43">
        <v>501100</v>
      </c>
      <c r="I3120" s="43" t="s">
        <v>949</v>
      </c>
      <c r="J3120" s="44" t="s">
        <v>1000</v>
      </c>
    </row>
    <row r="3121" ht="22" customHeight="1" spans="1:10" x14ac:dyDescent="0.25">
      <c r="A3121" s="43">
        <v>3130</v>
      </c>
      <c r="B3121" s="43">
        <v>10</v>
      </c>
      <c r="C3121" s="43" t="s">
        <v>950</v>
      </c>
      <c r="D3121" s="43" t="s">
        <v>1009</v>
      </c>
      <c r="E3121" s="43" t="s">
        <v>302</v>
      </c>
      <c r="F3121" s="43" t="s">
        <v>958</v>
      </c>
      <c r="G3121" s="43">
        <v>1077777</v>
      </c>
      <c r="H3121" s="43">
        <v>501100</v>
      </c>
      <c r="I3121" s="43" t="s">
        <v>949</v>
      </c>
      <c r="J3121" s="44" t="s">
        <v>1000</v>
      </c>
    </row>
    <row r="3122" ht="22" customHeight="1" spans="1:10" x14ac:dyDescent="0.25">
      <c r="A3122" s="43">
        <v>3130</v>
      </c>
      <c r="B3122" s="43">
        <v>10</v>
      </c>
      <c r="C3122" s="43" t="s">
        <v>950</v>
      </c>
      <c r="D3122" s="43" t="s">
        <v>1009</v>
      </c>
      <c r="E3122" s="43" t="s">
        <v>302</v>
      </c>
      <c r="F3122" s="43" t="s">
        <v>959</v>
      </c>
      <c r="G3122" s="43">
        <v>1077777</v>
      </c>
      <c r="H3122" s="43">
        <v>501100</v>
      </c>
      <c r="I3122" s="43" t="s">
        <v>949</v>
      </c>
      <c r="J3122" s="44" t="s">
        <v>1000</v>
      </c>
    </row>
    <row r="3123" ht="22" customHeight="1" spans="1:10" x14ac:dyDescent="0.25">
      <c r="A3123" s="43">
        <v>3130</v>
      </c>
      <c r="B3123" s="43">
        <v>10</v>
      </c>
      <c r="C3123" s="43" t="s">
        <v>950</v>
      </c>
      <c r="D3123" s="43" t="s">
        <v>1009</v>
      </c>
      <c r="E3123" s="43" t="s">
        <v>302</v>
      </c>
      <c r="F3123" s="43" t="s">
        <v>960</v>
      </c>
      <c r="G3123" s="43">
        <v>1077777</v>
      </c>
      <c r="H3123" s="43">
        <v>501100</v>
      </c>
      <c r="I3123" s="43" t="s">
        <v>949</v>
      </c>
      <c r="J3123" s="44" t="s">
        <v>1000</v>
      </c>
    </row>
    <row r="3124" ht="22" customHeight="1" spans="1:10" x14ac:dyDescent="0.25">
      <c r="A3124" s="43">
        <v>3130</v>
      </c>
      <c r="B3124" s="43">
        <v>10</v>
      </c>
      <c r="C3124" s="43" t="s">
        <v>950</v>
      </c>
      <c r="D3124" s="43" t="s">
        <v>1009</v>
      </c>
      <c r="E3124" s="43" t="s">
        <v>302</v>
      </c>
      <c r="F3124" s="43" t="s">
        <v>961</v>
      </c>
      <c r="G3124" s="43">
        <v>1077777</v>
      </c>
      <c r="H3124" s="43">
        <v>501100</v>
      </c>
      <c r="I3124" s="43" t="s">
        <v>949</v>
      </c>
      <c r="J3124" s="44" t="s">
        <v>1000</v>
      </c>
    </row>
    <row r="3125" ht="22" customHeight="1" spans="1:10" x14ac:dyDescent="0.25">
      <c r="A3125" s="43">
        <v>3130</v>
      </c>
      <c r="B3125" s="43">
        <v>10</v>
      </c>
      <c r="C3125" s="43" t="s">
        <v>962</v>
      </c>
      <c r="D3125" s="43" t="s">
        <v>1009</v>
      </c>
      <c r="E3125" s="43" t="s">
        <v>302</v>
      </c>
      <c r="F3125" s="43" t="s">
        <v>951</v>
      </c>
      <c r="G3125" s="43">
        <v>1077777</v>
      </c>
      <c r="H3125" s="43">
        <v>501100</v>
      </c>
      <c r="I3125" s="43" t="s">
        <v>949</v>
      </c>
      <c r="J3125" s="44" t="s">
        <v>1000</v>
      </c>
    </row>
    <row r="3126" ht="22" customHeight="1" spans="1:10" x14ac:dyDescent="0.25">
      <c r="A3126" s="43">
        <v>3130</v>
      </c>
      <c r="B3126" s="43">
        <v>10</v>
      </c>
      <c r="C3126" s="43" t="s">
        <v>962</v>
      </c>
      <c r="D3126" s="43" t="s">
        <v>1009</v>
      </c>
      <c r="E3126" s="43" t="s">
        <v>302</v>
      </c>
      <c r="F3126" s="43" t="s">
        <v>952</v>
      </c>
      <c r="G3126" s="43">
        <v>1077777</v>
      </c>
      <c r="H3126" s="43">
        <v>501100</v>
      </c>
      <c r="I3126" s="43" t="s">
        <v>949</v>
      </c>
      <c r="J3126" s="44" t="s">
        <v>1000</v>
      </c>
    </row>
    <row r="3127" ht="22" customHeight="1" spans="1:10" x14ac:dyDescent="0.25">
      <c r="A3127" s="43">
        <v>3130</v>
      </c>
      <c r="B3127" s="43">
        <v>10</v>
      </c>
      <c r="C3127" s="43" t="s">
        <v>962</v>
      </c>
      <c r="D3127" s="43" t="s">
        <v>1009</v>
      </c>
      <c r="E3127" s="43" t="s">
        <v>302</v>
      </c>
      <c r="F3127" s="43" t="s">
        <v>953</v>
      </c>
      <c r="G3127" s="43">
        <v>1077777</v>
      </c>
      <c r="H3127" s="43">
        <v>501100</v>
      </c>
      <c r="I3127" s="43" t="s">
        <v>949</v>
      </c>
      <c r="J3127" s="44" t="s">
        <v>1000</v>
      </c>
    </row>
    <row r="3128" ht="22" customHeight="1" spans="1:10" x14ac:dyDescent="0.25">
      <c r="A3128" s="43">
        <v>3130</v>
      </c>
      <c r="B3128" s="43">
        <v>10</v>
      </c>
      <c r="C3128" s="43" t="s">
        <v>962</v>
      </c>
      <c r="D3128" s="43" t="s">
        <v>1009</v>
      </c>
      <c r="E3128" s="43" t="s">
        <v>302</v>
      </c>
      <c r="F3128" s="43" t="s">
        <v>954</v>
      </c>
      <c r="G3128" s="43">
        <v>1077777</v>
      </c>
      <c r="H3128" s="43">
        <v>501100</v>
      </c>
      <c r="I3128" s="43" t="s">
        <v>949</v>
      </c>
      <c r="J3128" s="44" t="s">
        <v>1000</v>
      </c>
    </row>
    <row r="3129" ht="22" customHeight="1" spans="1:10" x14ac:dyDescent="0.25">
      <c r="A3129" s="43">
        <v>3130</v>
      </c>
      <c r="B3129" s="43">
        <v>10</v>
      </c>
      <c r="C3129" s="43" t="s">
        <v>962</v>
      </c>
      <c r="D3129" s="43" t="s">
        <v>1009</v>
      </c>
      <c r="E3129" s="43" t="s">
        <v>302</v>
      </c>
      <c r="F3129" s="43" t="s">
        <v>955</v>
      </c>
      <c r="G3129" s="43">
        <v>1077777</v>
      </c>
      <c r="H3129" s="43">
        <v>501100</v>
      </c>
      <c r="I3129" s="43" t="s">
        <v>949</v>
      </c>
      <c r="J3129" s="44" t="s">
        <v>1000</v>
      </c>
    </row>
    <row r="3130" ht="22" customHeight="1" spans="1:10" x14ac:dyDescent="0.25">
      <c r="A3130" s="43">
        <v>3130</v>
      </c>
      <c r="B3130" s="43">
        <v>10</v>
      </c>
      <c r="C3130" s="43" t="s">
        <v>962</v>
      </c>
      <c r="D3130" s="43" t="s">
        <v>1009</v>
      </c>
      <c r="E3130" s="43" t="s">
        <v>302</v>
      </c>
      <c r="F3130" s="43" t="s">
        <v>956</v>
      </c>
      <c r="G3130" s="43">
        <v>1077777</v>
      </c>
      <c r="H3130" s="43">
        <v>501100</v>
      </c>
      <c r="I3130" s="43" t="s">
        <v>949</v>
      </c>
      <c r="J3130" s="44" t="s">
        <v>1000</v>
      </c>
    </row>
    <row r="3131" ht="22" customHeight="1" spans="1:10" x14ac:dyDescent="0.25">
      <c r="A3131" s="43">
        <v>3130</v>
      </c>
      <c r="B3131" s="43">
        <v>10</v>
      </c>
      <c r="C3131" s="43" t="s">
        <v>962</v>
      </c>
      <c r="D3131" s="43" t="s">
        <v>1009</v>
      </c>
      <c r="E3131" s="43" t="s">
        <v>302</v>
      </c>
      <c r="F3131" s="43" t="s">
        <v>957</v>
      </c>
      <c r="G3131" s="43">
        <v>1077777</v>
      </c>
      <c r="H3131" s="43">
        <v>501100</v>
      </c>
      <c r="I3131" s="43" t="s">
        <v>949</v>
      </c>
      <c r="J3131" s="44" t="s">
        <v>1000</v>
      </c>
    </row>
    <row r="3132" ht="22" customHeight="1" spans="1:10" x14ac:dyDescent="0.25">
      <c r="A3132" s="43">
        <v>3130</v>
      </c>
      <c r="B3132" s="43">
        <v>10</v>
      </c>
      <c r="C3132" s="43" t="s">
        <v>962</v>
      </c>
      <c r="D3132" s="43" t="s">
        <v>1009</v>
      </c>
      <c r="E3132" s="43" t="s">
        <v>302</v>
      </c>
      <c r="F3132" s="43" t="s">
        <v>958</v>
      </c>
      <c r="G3132" s="43">
        <v>1077777</v>
      </c>
      <c r="H3132" s="43">
        <v>501100</v>
      </c>
      <c r="I3132" s="43" t="s">
        <v>949</v>
      </c>
      <c r="J3132" s="44" t="s">
        <v>1000</v>
      </c>
    </row>
    <row r="3133" ht="22" customHeight="1" spans="1:10" x14ac:dyDescent="0.25">
      <c r="A3133" s="43">
        <v>3130</v>
      </c>
      <c r="B3133" s="43">
        <v>10</v>
      </c>
      <c r="C3133" s="43" t="s">
        <v>962</v>
      </c>
      <c r="D3133" s="43" t="s">
        <v>1009</v>
      </c>
      <c r="E3133" s="43" t="s">
        <v>302</v>
      </c>
      <c r="F3133" s="43" t="s">
        <v>959</v>
      </c>
      <c r="G3133" s="43">
        <v>1077777</v>
      </c>
      <c r="H3133" s="43">
        <v>501100</v>
      </c>
      <c r="I3133" s="43" t="s">
        <v>949</v>
      </c>
      <c r="J3133" s="44" t="s">
        <v>1000</v>
      </c>
    </row>
    <row r="3134" ht="22" customHeight="1" spans="1:10" x14ac:dyDescent="0.25">
      <c r="A3134" s="43">
        <v>3130</v>
      </c>
      <c r="B3134" s="43">
        <v>10</v>
      </c>
      <c r="C3134" s="43" t="s">
        <v>962</v>
      </c>
      <c r="D3134" s="43" t="s">
        <v>1009</v>
      </c>
      <c r="E3134" s="43" t="s">
        <v>302</v>
      </c>
      <c r="F3134" s="43" t="s">
        <v>960</v>
      </c>
      <c r="G3134" s="43">
        <v>1077777</v>
      </c>
      <c r="H3134" s="43">
        <v>501100</v>
      </c>
      <c r="I3134" s="43" t="s">
        <v>949</v>
      </c>
      <c r="J3134" s="44" t="s">
        <v>1000</v>
      </c>
    </row>
    <row r="3135" ht="22" customHeight="1" spans="1:10" x14ac:dyDescent="0.25">
      <c r="A3135" s="43">
        <v>3130</v>
      </c>
      <c r="B3135" s="43">
        <v>10</v>
      </c>
      <c r="C3135" s="43" t="s">
        <v>962</v>
      </c>
      <c r="D3135" s="43" t="s">
        <v>1009</v>
      </c>
      <c r="E3135" s="43" t="s">
        <v>302</v>
      </c>
      <c r="F3135" s="43" t="s">
        <v>961</v>
      </c>
      <c r="G3135" s="43">
        <v>1077777</v>
      </c>
      <c r="H3135" s="43">
        <v>501100</v>
      </c>
      <c r="I3135" s="43" t="s">
        <v>949</v>
      </c>
      <c r="J3135" s="44" t="s">
        <v>1000</v>
      </c>
    </row>
    <row r="3136" ht="22" customHeight="1" spans="1:10" x14ac:dyDescent="0.25">
      <c r="A3136" s="43">
        <v>3130</v>
      </c>
      <c r="B3136" s="43">
        <v>10</v>
      </c>
      <c r="C3136" s="43" t="s">
        <v>963</v>
      </c>
      <c r="D3136" s="43" t="s">
        <v>1009</v>
      </c>
      <c r="E3136" s="43" t="s">
        <v>302</v>
      </c>
      <c r="F3136" s="43" t="s">
        <v>951</v>
      </c>
      <c r="G3136" s="43">
        <v>1077777</v>
      </c>
      <c r="H3136" s="43">
        <v>501100</v>
      </c>
      <c r="I3136" s="43" t="s">
        <v>949</v>
      </c>
      <c r="J3136" s="44" t="s">
        <v>1000</v>
      </c>
    </row>
    <row r="3137" ht="22" customHeight="1" spans="1:10" x14ac:dyDescent="0.25">
      <c r="A3137" s="43">
        <v>3130</v>
      </c>
      <c r="B3137" s="43">
        <v>10</v>
      </c>
      <c r="C3137" s="43" t="s">
        <v>963</v>
      </c>
      <c r="D3137" s="43" t="s">
        <v>1009</v>
      </c>
      <c r="E3137" s="43" t="s">
        <v>302</v>
      </c>
      <c r="F3137" s="43" t="s">
        <v>952</v>
      </c>
      <c r="G3137" s="43">
        <v>1077777</v>
      </c>
      <c r="H3137" s="43">
        <v>501100</v>
      </c>
      <c r="I3137" s="43" t="s">
        <v>949</v>
      </c>
      <c r="J3137" s="44" t="s">
        <v>1000</v>
      </c>
    </row>
    <row r="3138" ht="22" customHeight="1" spans="1:10" x14ac:dyDescent="0.25">
      <c r="A3138" s="43">
        <v>3130</v>
      </c>
      <c r="B3138" s="43">
        <v>10</v>
      </c>
      <c r="C3138" s="43" t="s">
        <v>963</v>
      </c>
      <c r="D3138" s="43" t="s">
        <v>1009</v>
      </c>
      <c r="E3138" s="43" t="s">
        <v>302</v>
      </c>
      <c r="F3138" s="43" t="s">
        <v>953</v>
      </c>
      <c r="G3138" s="43">
        <v>1077777</v>
      </c>
      <c r="H3138" s="43">
        <v>501100</v>
      </c>
      <c r="I3138" s="43" t="s">
        <v>949</v>
      </c>
      <c r="J3138" s="44" t="s">
        <v>1000</v>
      </c>
    </row>
    <row r="3139" ht="22" customHeight="1" spans="1:10" x14ac:dyDescent="0.25">
      <c r="A3139" s="43">
        <v>3130</v>
      </c>
      <c r="B3139" s="43">
        <v>10</v>
      </c>
      <c r="C3139" s="43" t="s">
        <v>963</v>
      </c>
      <c r="D3139" s="43" t="s">
        <v>1009</v>
      </c>
      <c r="E3139" s="43" t="s">
        <v>302</v>
      </c>
      <c r="F3139" s="43" t="s">
        <v>954</v>
      </c>
      <c r="G3139" s="43">
        <v>1077777</v>
      </c>
      <c r="H3139" s="43">
        <v>501100</v>
      </c>
      <c r="I3139" s="43" t="s">
        <v>949</v>
      </c>
      <c r="J3139" s="44" t="s">
        <v>1000</v>
      </c>
    </row>
    <row r="3140" ht="22" customHeight="1" spans="1:10" x14ac:dyDescent="0.25">
      <c r="A3140" s="43">
        <v>3130</v>
      </c>
      <c r="B3140" s="43">
        <v>10</v>
      </c>
      <c r="C3140" s="43" t="s">
        <v>963</v>
      </c>
      <c r="D3140" s="43" t="s">
        <v>1009</v>
      </c>
      <c r="E3140" s="43" t="s">
        <v>302</v>
      </c>
      <c r="F3140" s="43" t="s">
        <v>955</v>
      </c>
      <c r="G3140" s="43">
        <v>1077777</v>
      </c>
      <c r="H3140" s="43">
        <v>501100</v>
      </c>
      <c r="I3140" s="43" t="s">
        <v>949</v>
      </c>
      <c r="J3140" s="44" t="s">
        <v>1000</v>
      </c>
    </row>
    <row r="3141" ht="22" customHeight="1" spans="1:10" x14ac:dyDescent="0.25">
      <c r="A3141" s="43">
        <v>3130</v>
      </c>
      <c r="B3141" s="43">
        <v>10</v>
      </c>
      <c r="C3141" s="43" t="s">
        <v>963</v>
      </c>
      <c r="D3141" s="43" t="s">
        <v>1009</v>
      </c>
      <c r="E3141" s="43" t="s">
        <v>302</v>
      </c>
      <c r="F3141" s="43" t="s">
        <v>956</v>
      </c>
      <c r="G3141" s="43">
        <v>1077777</v>
      </c>
      <c r="H3141" s="43">
        <v>501100</v>
      </c>
      <c r="I3141" s="43" t="s">
        <v>949</v>
      </c>
      <c r="J3141" s="44" t="s">
        <v>1000</v>
      </c>
    </row>
    <row r="3142" ht="22" customHeight="1" spans="1:10" x14ac:dyDescent="0.25">
      <c r="A3142" s="43">
        <v>3130</v>
      </c>
      <c r="B3142" s="43">
        <v>10</v>
      </c>
      <c r="C3142" s="43" t="s">
        <v>963</v>
      </c>
      <c r="D3142" s="43" t="s">
        <v>1009</v>
      </c>
      <c r="E3142" s="43" t="s">
        <v>302</v>
      </c>
      <c r="F3142" s="43" t="s">
        <v>957</v>
      </c>
      <c r="G3142" s="43">
        <v>1077777</v>
      </c>
      <c r="H3142" s="43">
        <v>501100</v>
      </c>
      <c r="I3142" s="43" t="s">
        <v>949</v>
      </c>
      <c r="J3142" s="44" t="s">
        <v>1000</v>
      </c>
    </row>
    <row r="3143" ht="22" customHeight="1" spans="1:10" x14ac:dyDescent="0.25">
      <c r="A3143" s="43">
        <v>3130</v>
      </c>
      <c r="B3143" s="43">
        <v>10</v>
      </c>
      <c r="C3143" s="43" t="s">
        <v>963</v>
      </c>
      <c r="D3143" s="43" t="s">
        <v>1009</v>
      </c>
      <c r="E3143" s="43" t="s">
        <v>302</v>
      </c>
      <c r="F3143" s="43" t="s">
        <v>958</v>
      </c>
      <c r="G3143" s="43">
        <v>1077777</v>
      </c>
      <c r="H3143" s="43">
        <v>501100</v>
      </c>
      <c r="I3143" s="43" t="s">
        <v>949</v>
      </c>
      <c r="J3143" s="44" t="s">
        <v>1000</v>
      </c>
    </row>
    <row r="3144" ht="22" customHeight="1" spans="1:10" x14ac:dyDescent="0.25">
      <c r="A3144" s="43">
        <v>3130</v>
      </c>
      <c r="B3144" s="43">
        <v>10</v>
      </c>
      <c r="C3144" s="43" t="s">
        <v>963</v>
      </c>
      <c r="D3144" s="43" t="s">
        <v>1009</v>
      </c>
      <c r="E3144" s="43" t="s">
        <v>302</v>
      </c>
      <c r="F3144" s="43" t="s">
        <v>959</v>
      </c>
      <c r="G3144" s="43">
        <v>1077777</v>
      </c>
      <c r="H3144" s="43">
        <v>501100</v>
      </c>
      <c r="I3144" s="43" t="s">
        <v>949</v>
      </c>
      <c r="J3144" s="44" t="s">
        <v>1000</v>
      </c>
    </row>
    <row r="3145" ht="22" customHeight="1" spans="1:10" x14ac:dyDescent="0.25">
      <c r="A3145" s="43">
        <v>3130</v>
      </c>
      <c r="B3145" s="43">
        <v>10</v>
      </c>
      <c r="C3145" s="43" t="s">
        <v>963</v>
      </c>
      <c r="D3145" s="43" t="s">
        <v>1009</v>
      </c>
      <c r="E3145" s="43" t="s">
        <v>302</v>
      </c>
      <c r="F3145" s="43" t="s">
        <v>960</v>
      </c>
      <c r="G3145" s="43">
        <v>1077777</v>
      </c>
      <c r="H3145" s="43">
        <v>501100</v>
      </c>
      <c r="I3145" s="43" t="s">
        <v>949</v>
      </c>
      <c r="J3145" s="44" t="s">
        <v>1000</v>
      </c>
    </row>
    <row r="3146" ht="22" customHeight="1" spans="1:10" x14ac:dyDescent="0.25">
      <c r="A3146" s="43">
        <v>3130</v>
      </c>
      <c r="B3146" s="43">
        <v>10</v>
      </c>
      <c r="C3146" s="43" t="s">
        <v>963</v>
      </c>
      <c r="D3146" s="43" t="s">
        <v>1009</v>
      </c>
      <c r="E3146" s="43" t="s">
        <v>302</v>
      </c>
      <c r="F3146" s="43" t="s">
        <v>961</v>
      </c>
      <c r="G3146" s="43">
        <v>1077777</v>
      </c>
      <c r="H3146" s="43">
        <v>501100</v>
      </c>
      <c r="I3146" s="43" t="s">
        <v>949</v>
      </c>
      <c r="J3146" s="44" t="s">
        <v>1000</v>
      </c>
    </row>
    <row r="3147" spans="1:9" x14ac:dyDescent="0.25">
      <c r="A3147">
        <v>4122</v>
      </c>
      <c r="B3147">
        <v>10</v>
      </c>
      <c r="C3147" t="s">
        <v>946</v>
      </c>
      <c r="D3147" t="s">
        <v>1009</v>
      </c>
      <c r="E3147" t="s">
        <v>302</v>
      </c>
      <c r="F3147" t="s">
        <v>948</v>
      </c>
      <c r="G3147">
        <v>1000000</v>
      </c>
      <c r="H3147">
        <v>143000</v>
      </c>
      <c r="I3147" t="s">
        <v>982</v>
      </c>
    </row>
    <row r="3148" spans="1:9" x14ac:dyDescent="0.25">
      <c r="A3148">
        <v>4124</v>
      </c>
      <c r="B3148">
        <v>10</v>
      </c>
      <c r="C3148" t="s">
        <v>946</v>
      </c>
      <c r="D3148" t="s">
        <v>1009</v>
      </c>
      <c r="E3148" t="s">
        <v>302</v>
      </c>
      <c r="F3148" t="s">
        <v>948</v>
      </c>
      <c r="G3148">
        <v>1077777</v>
      </c>
      <c r="H3148">
        <v>501100</v>
      </c>
      <c r="I3148" t="s">
        <v>949</v>
      </c>
    </row>
    <row r="3149" ht="22" customHeight="1" spans="1:10" x14ac:dyDescent="0.25">
      <c r="A3149" s="43">
        <v>3130</v>
      </c>
      <c r="B3149" s="43">
        <v>10</v>
      </c>
      <c r="C3149" s="43" t="s">
        <v>950</v>
      </c>
      <c r="D3149" s="43" t="s">
        <v>1009</v>
      </c>
      <c r="E3149" s="43" t="s">
        <v>306</v>
      </c>
      <c r="F3149" s="43" t="s">
        <v>951</v>
      </c>
      <c r="G3149" s="43">
        <v>1077777</v>
      </c>
      <c r="H3149" s="43">
        <v>501100</v>
      </c>
      <c r="I3149" s="43" t="s">
        <v>949</v>
      </c>
      <c r="J3149" s="44" t="s">
        <v>1000</v>
      </c>
    </row>
    <row r="3150" ht="22" customHeight="1" spans="1:10" x14ac:dyDescent="0.25">
      <c r="A3150" s="43">
        <v>3130</v>
      </c>
      <c r="B3150" s="43">
        <v>10</v>
      </c>
      <c r="C3150" s="43" t="s">
        <v>950</v>
      </c>
      <c r="D3150" s="43" t="s">
        <v>1009</v>
      </c>
      <c r="E3150" s="43" t="s">
        <v>306</v>
      </c>
      <c r="F3150" s="43" t="s">
        <v>952</v>
      </c>
      <c r="G3150" s="43">
        <v>1077777</v>
      </c>
      <c r="H3150" s="43">
        <v>501100</v>
      </c>
      <c r="I3150" s="43" t="s">
        <v>949</v>
      </c>
      <c r="J3150" s="44" t="s">
        <v>1000</v>
      </c>
    </row>
    <row r="3151" ht="22" customHeight="1" spans="1:10" x14ac:dyDescent="0.25">
      <c r="A3151" s="43">
        <v>3130</v>
      </c>
      <c r="B3151" s="43">
        <v>10</v>
      </c>
      <c r="C3151" s="43" t="s">
        <v>950</v>
      </c>
      <c r="D3151" s="43" t="s">
        <v>1009</v>
      </c>
      <c r="E3151" s="43" t="s">
        <v>306</v>
      </c>
      <c r="F3151" s="43" t="s">
        <v>953</v>
      </c>
      <c r="G3151" s="43">
        <v>1077777</v>
      </c>
      <c r="H3151" s="43">
        <v>501100</v>
      </c>
      <c r="I3151" s="43" t="s">
        <v>949</v>
      </c>
      <c r="J3151" s="44" t="s">
        <v>1000</v>
      </c>
    </row>
    <row r="3152" ht="22" customHeight="1" spans="1:10" x14ac:dyDescent="0.25">
      <c r="A3152" s="43">
        <v>3130</v>
      </c>
      <c r="B3152" s="43">
        <v>10</v>
      </c>
      <c r="C3152" s="43" t="s">
        <v>950</v>
      </c>
      <c r="D3152" s="43" t="s">
        <v>1009</v>
      </c>
      <c r="E3152" s="43" t="s">
        <v>306</v>
      </c>
      <c r="F3152" s="43" t="s">
        <v>954</v>
      </c>
      <c r="G3152" s="43">
        <v>1077777</v>
      </c>
      <c r="H3152" s="43">
        <v>501100</v>
      </c>
      <c r="I3152" s="43" t="s">
        <v>949</v>
      </c>
      <c r="J3152" s="44" t="s">
        <v>1000</v>
      </c>
    </row>
    <row r="3153" ht="22" customHeight="1" spans="1:10" x14ac:dyDescent="0.25">
      <c r="A3153" s="43">
        <v>3130</v>
      </c>
      <c r="B3153" s="43">
        <v>10</v>
      </c>
      <c r="C3153" s="43" t="s">
        <v>950</v>
      </c>
      <c r="D3153" s="43" t="s">
        <v>1009</v>
      </c>
      <c r="E3153" s="43" t="s">
        <v>306</v>
      </c>
      <c r="F3153" s="43" t="s">
        <v>955</v>
      </c>
      <c r="G3153" s="43">
        <v>1077777</v>
      </c>
      <c r="H3153" s="43">
        <v>501100</v>
      </c>
      <c r="I3153" s="43" t="s">
        <v>949</v>
      </c>
      <c r="J3153" s="44" t="s">
        <v>1000</v>
      </c>
    </row>
    <row r="3154" ht="22" customHeight="1" spans="1:10" x14ac:dyDescent="0.25">
      <c r="A3154" s="43">
        <v>3130</v>
      </c>
      <c r="B3154" s="43">
        <v>10</v>
      </c>
      <c r="C3154" s="43" t="s">
        <v>950</v>
      </c>
      <c r="D3154" s="43" t="s">
        <v>1009</v>
      </c>
      <c r="E3154" s="43" t="s">
        <v>306</v>
      </c>
      <c r="F3154" s="43" t="s">
        <v>956</v>
      </c>
      <c r="G3154" s="43">
        <v>1077777</v>
      </c>
      <c r="H3154" s="43">
        <v>501100</v>
      </c>
      <c r="I3154" s="43" t="s">
        <v>949</v>
      </c>
      <c r="J3154" s="44" t="s">
        <v>1000</v>
      </c>
    </row>
    <row r="3155" ht="22" customHeight="1" spans="1:10" x14ac:dyDescent="0.25">
      <c r="A3155" s="43">
        <v>3130</v>
      </c>
      <c r="B3155" s="43">
        <v>10</v>
      </c>
      <c r="C3155" s="43" t="s">
        <v>950</v>
      </c>
      <c r="D3155" s="43" t="s">
        <v>1009</v>
      </c>
      <c r="E3155" s="43" t="s">
        <v>306</v>
      </c>
      <c r="F3155" s="43" t="s">
        <v>957</v>
      </c>
      <c r="G3155" s="43">
        <v>1077777</v>
      </c>
      <c r="H3155" s="43">
        <v>501100</v>
      </c>
      <c r="I3155" s="43" t="s">
        <v>949</v>
      </c>
      <c r="J3155" s="44" t="s">
        <v>1000</v>
      </c>
    </row>
    <row r="3156" ht="22" customHeight="1" spans="1:10" x14ac:dyDescent="0.25">
      <c r="A3156" s="43">
        <v>3130</v>
      </c>
      <c r="B3156" s="43">
        <v>10</v>
      </c>
      <c r="C3156" s="43" t="s">
        <v>950</v>
      </c>
      <c r="D3156" s="43" t="s">
        <v>1009</v>
      </c>
      <c r="E3156" s="43" t="s">
        <v>306</v>
      </c>
      <c r="F3156" s="43" t="s">
        <v>958</v>
      </c>
      <c r="G3156" s="43">
        <v>1077777</v>
      </c>
      <c r="H3156" s="43">
        <v>501100</v>
      </c>
      <c r="I3156" s="43" t="s">
        <v>949</v>
      </c>
      <c r="J3156" s="44" t="s">
        <v>1000</v>
      </c>
    </row>
    <row r="3157" ht="22" customHeight="1" spans="1:10" x14ac:dyDescent="0.25">
      <c r="A3157" s="43">
        <v>3130</v>
      </c>
      <c r="B3157" s="43">
        <v>10</v>
      </c>
      <c r="C3157" s="43" t="s">
        <v>950</v>
      </c>
      <c r="D3157" s="43" t="s">
        <v>1009</v>
      </c>
      <c r="E3157" s="43" t="s">
        <v>306</v>
      </c>
      <c r="F3157" s="43" t="s">
        <v>959</v>
      </c>
      <c r="G3157" s="43">
        <v>1077777</v>
      </c>
      <c r="H3157" s="43">
        <v>501100</v>
      </c>
      <c r="I3157" s="43" t="s">
        <v>949</v>
      </c>
      <c r="J3157" s="44" t="s">
        <v>1000</v>
      </c>
    </row>
    <row r="3158" ht="22" customHeight="1" spans="1:10" x14ac:dyDescent="0.25">
      <c r="A3158" s="43">
        <v>3130</v>
      </c>
      <c r="B3158" s="43">
        <v>10</v>
      </c>
      <c r="C3158" s="43" t="s">
        <v>950</v>
      </c>
      <c r="D3158" s="43" t="s">
        <v>1009</v>
      </c>
      <c r="E3158" s="43" t="s">
        <v>306</v>
      </c>
      <c r="F3158" s="43" t="s">
        <v>960</v>
      </c>
      <c r="G3158" s="43">
        <v>1077777</v>
      </c>
      <c r="H3158" s="43">
        <v>501100</v>
      </c>
      <c r="I3158" s="43" t="s">
        <v>949</v>
      </c>
      <c r="J3158" s="44" t="s">
        <v>1000</v>
      </c>
    </row>
    <row r="3159" ht="22" customHeight="1" spans="1:10" x14ac:dyDescent="0.25">
      <c r="A3159" s="43">
        <v>3130</v>
      </c>
      <c r="B3159" s="43">
        <v>10</v>
      </c>
      <c r="C3159" s="43" t="s">
        <v>950</v>
      </c>
      <c r="D3159" s="43" t="s">
        <v>1009</v>
      </c>
      <c r="E3159" s="43" t="s">
        <v>306</v>
      </c>
      <c r="F3159" s="43" t="s">
        <v>961</v>
      </c>
      <c r="G3159" s="43">
        <v>1077777</v>
      </c>
      <c r="H3159" s="43">
        <v>501100</v>
      </c>
      <c r="I3159" s="43" t="s">
        <v>949</v>
      </c>
      <c r="J3159" s="44" t="s">
        <v>1000</v>
      </c>
    </row>
    <row r="3160" ht="22" customHeight="1" spans="1:10" x14ac:dyDescent="0.25">
      <c r="A3160" s="43">
        <v>3130</v>
      </c>
      <c r="B3160" s="43">
        <v>10</v>
      </c>
      <c r="C3160" s="43" t="s">
        <v>962</v>
      </c>
      <c r="D3160" s="43" t="s">
        <v>1009</v>
      </c>
      <c r="E3160" s="43" t="s">
        <v>306</v>
      </c>
      <c r="F3160" s="43" t="s">
        <v>951</v>
      </c>
      <c r="G3160" s="43">
        <v>1077777</v>
      </c>
      <c r="H3160" s="43">
        <v>501100</v>
      </c>
      <c r="I3160" s="43" t="s">
        <v>949</v>
      </c>
      <c r="J3160" s="44" t="s">
        <v>1000</v>
      </c>
    </row>
    <row r="3161" ht="22" customHeight="1" spans="1:10" x14ac:dyDescent="0.25">
      <c r="A3161" s="43">
        <v>3130</v>
      </c>
      <c r="B3161" s="43">
        <v>10</v>
      </c>
      <c r="C3161" s="43" t="s">
        <v>962</v>
      </c>
      <c r="D3161" s="43" t="s">
        <v>1009</v>
      </c>
      <c r="E3161" s="43" t="s">
        <v>306</v>
      </c>
      <c r="F3161" s="43" t="s">
        <v>952</v>
      </c>
      <c r="G3161" s="43">
        <v>1077777</v>
      </c>
      <c r="H3161" s="43">
        <v>501100</v>
      </c>
      <c r="I3161" s="43" t="s">
        <v>949</v>
      </c>
      <c r="J3161" s="44" t="s">
        <v>1000</v>
      </c>
    </row>
    <row r="3162" ht="22" customHeight="1" spans="1:10" x14ac:dyDescent="0.25">
      <c r="A3162" s="43">
        <v>3130</v>
      </c>
      <c r="B3162" s="43">
        <v>10</v>
      </c>
      <c r="C3162" s="43" t="s">
        <v>962</v>
      </c>
      <c r="D3162" s="43" t="s">
        <v>1009</v>
      </c>
      <c r="E3162" s="43" t="s">
        <v>306</v>
      </c>
      <c r="F3162" s="43" t="s">
        <v>953</v>
      </c>
      <c r="G3162" s="43">
        <v>1077777</v>
      </c>
      <c r="H3162" s="43">
        <v>501100</v>
      </c>
      <c r="I3162" s="43" t="s">
        <v>949</v>
      </c>
      <c r="J3162" s="44" t="s">
        <v>1000</v>
      </c>
    </row>
    <row r="3163" ht="22" customHeight="1" spans="1:10" x14ac:dyDescent="0.25">
      <c r="A3163" s="43">
        <v>3130</v>
      </c>
      <c r="B3163" s="43">
        <v>10</v>
      </c>
      <c r="C3163" s="43" t="s">
        <v>962</v>
      </c>
      <c r="D3163" s="43" t="s">
        <v>1009</v>
      </c>
      <c r="E3163" s="43" t="s">
        <v>306</v>
      </c>
      <c r="F3163" s="43" t="s">
        <v>954</v>
      </c>
      <c r="G3163" s="43">
        <v>1077777</v>
      </c>
      <c r="H3163" s="43">
        <v>501100</v>
      </c>
      <c r="I3163" s="43" t="s">
        <v>949</v>
      </c>
      <c r="J3163" s="44" t="s">
        <v>1000</v>
      </c>
    </row>
    <row r="3164" ht="22" customHeight="1" spans="1:10" x14ac:dyDescent="0.25">
      <c r="A3164" s="43">
        <v>3130</v>
      </c>
      <c r="B3164" s="43">
        <v>10</v>
      </c>
      <c r="C3164" s="43" t="s">
        <v>962</v>
      </c>
      <c r="D3164" s="43" t="s">
        <v>1009</v>
      </c>
      <c r="E3164" s="43" t="s">
        <v>306</v>
      </c>
      <c r="F3164" s="43" t="s">
        <v>955</v>
      </c>
      <c r="G3164" s="43">
        <v>1077777</v>
      </c>
      <c r="H3164" s="43">
        <v>501100</v>
      </c>
      <c r="I3164" s="43" t="s">
        <v>949</v>
      </c>
      <c r="J3164" s="44" t="s">
        <v>1000</v>
      </c>
    </row>
    <row r="3165" ht="22" customHeight="1" spans="1:10" x14ac:dyDescent="0.25">
      <c r="A3165" s="43">
        <v>3130</v>
      </c>
      <c r="B3165" s="43">
        <v>10</v>
      </c>
      <c r="C3165" s="43" t="s">
        <v>962</v>
      </c>
      <c r="D3165" s="43" t="s">
        <v>1009</v>
      </c>
      <c r="E3165" s="43" t="s">
        <v>306</v>
      </c>
      <c r="F3165" s="43" t="s">
        <v>956</v>
      </c>
      <c r="G3165" s="43">
        <v>1077777</v>
      </c>
      <c r="H3165" s="43">
        <v>501100</v>
      </c>
      <c r="I3165" s="43" t="s">
        <v>949</v>
      </c>
      <c r="J3165" s="44" t="s">
        <v>1000</v>
      </c>
    </row>
    <row r="3166" ht="22" customHeight="1" spans="1:10" x14ac:dyDescent="0.25">
      <c r="A3166" s="43">
        <v>3130</v>
      </c>
      <c r="B3166" s="43">
        <v>10</v>
      </c>
      <c r="C3166" s="43" t="s">
        <v>962</v>
      </c>
      <c r="D3166" s="43" t="s">
        <v>1009</v>
      </c>
      <c r="E3166" s="43" t="s">
        <v>306</v>
      </c>
      <c r="F3166" s="43" t="s">
        <v>957</v>
      </c>
      <c r="G3166" s="43">
        <v>1077777</v>
      </c>
      <c r="H3166" s="43">
        <v>501100</v>
      </c>
      <c r="I3166" s="43" t="s">
        <v>949</v>
      </c>
      <c r="J3166" s="44" t="s">
        <v>1000</v>
      </c>
    </row>
    <row r="3167" ht="22" customHeight="1" spans="1:10" x14ac:dyDescent="0.25">
      <c r="A3167" s="43">
        <v>3130</v>
      </c>
      <c r="B3167" s="43">
        <v>10</v>
      </c>
      <c r="C3167" s="43" t="s">
        <v>962</v>
      </c>
      <c r="D3167" s="43" t="s">
        <v>1009</v>
      </c>
      <c r="E3167" s="43" t="s">
        <v>306</v>
      </c>
      <c r="F3167" s="43" t="s">
        <v>958</v>
      </c>
      <c r="G3167" s="43">
        <v>1077777</v>
      </c>
      <c r="H3167" s="43">
        <v>501100</v>
      </c>
      <c r="I3167" s="43" t="s">
        <v>949</v>
      </c>
      <c r="J3167" s="44" t="s">
        <v>1000</v>
      </c>
    </row>
    <row r="3168" ht="22" customHeight="1" spans="1:10" x14ac:dyDescent="0.25">
      <c r="A3168" s="43">
        <v>3130</v>
      </c>
      <c r="B3168" s="43">
        <v>10</v>
      </c>
      <c r="C3168" s="43" t="s">
        <v>962</v>
      </c>
      <c r="D3168" s="43" t="s">
        <v>1009</v>
      </c>
      <c r="E3168" s="43" t="s">
        <v>306</v>
      </c>
      <c r="F3168" s="43" t="s">
        <v>959</v>
      </c>
      <c r="G3168" s="43">
        <v>1077777</v>
      </c>
      <c r="H3168" s="43">
        <v>501100</v>
      </c>
      <c r="I3168" s="43" t="s">
        <v>949</v>
      </c>
      <c r="J3168" s="44" t="s">
        <v>1000</v>
      </c>
    </row>
    <row r="3169" ht="22" customHeight="1" spans="1:10" x14ac:dyDescent="0.25">
      <c r="A3169" s="43">
        <v>3130</v>
      </c>
      <c r="B3169" s="43">
        <v>10</v>
      </c>
      <c r="C3169" s="43" t="s">
        <v>962</v>
      </c>
      <c r="D3169" s="43" t="s">
        <v>1009</v>
      </c>
      <c r="E3169" s="43" t="s">
        <v>306</v>
      </c>
      <c r="F3169" s="43" t="s">
        <v>960</v>
      </c>
      <c r="G3169" s="43">
        <v>1077777</v>
      </c>
      <c r="H3169" s="43">
        <v>501100</v>
      </c>
      <c r="I3169" s="43" t="s">
        <v>949</v>
      </c>
      <c r="J3169" s="44" t="s">
        <v>1000</v>
      </c>
    </row>
    <row r="3170" ht="22" customHeight="1" spans="1:10" x14ac:dyDescent="0.25">
      <c r="A3170" s="43">
        <v>3130</v>
      </c>
      <c r="B3170" s="43">
        <v>10</v>
      </c>
      <c r="C3170" s="43" t="s">
        <v>962</v>
      </c>
      <c r="D3170" s="43" t="s">
        <v>1009</v>
      </c>
      <c r="E3170" s="43" t="s">
        <v>306</v>
      </c>
      <c r="F3170" s="43" t="s">
        <v>961</v>
      </c>
      <c r="G3170" s="43">
        <v>1077777</v>
      </c>
      <c r="H3170" s="43">
        <v>501100</v>
      </c>
      <c r="I3170" s="43" t="s">
        <v>949</v>
      </c>
      <c r="J3170" s="44" t="s">
        <v>1000</v>
      </c>
    </row>
    <row r="3171" ht="22" customHeight="1" spans="1:10" x14ac:dyDescent="0.25">
      <c r="A3171" s="43">
        <v>3130</v>
      </c>
      <c r="B3171" s="43">
        <v>10</v>
      </c>
      <c r="C3171" s="43" t="s">
        <v>963</v>
      </c>
      <c r="D3171" s="43" t="s">
        <v>1009</v>
      </c>
      <c r="E3171" s="43" t="s">
        <v>306</v>
      </c>
      <c r="F3171" s="43" t="s">
        <v>951</v>
      </c>
      <c r="G3171" s="43">
        <v>1077777</v>
      </c>
      <c r="H3171" s="43">
        <v>501100</v>
      </c>
      <c r="I3171" s="43" t="s">
        <v>949</v>
      </c>
      <c r="J3171" s="44" t="s">
        <v>1000</v>
      </c>
    </row>
    <row r="3172" ht="22" customHeight="1" spans="1:10" x14ac:dyDescent="0.25">
      <c r="A3172" s="43">
        <v>3130</v>
      </c>
      <c r="B3172" s="43">
        <v>10</v>
      </c>
      <c r="C3172" s="43" t="s">
        <v>963</v>
      </c>
      <c r="D3172" s="43" t="s">
        <v>1009</v>
      </c>
      <c r="E3172" s="43" t="s">
        <v>306</v>
      </c>
      <c r="F3172" s="43" t="s">
        <v>952</v>
      </c>
      <c r="G3172" s="43">
        <v>1077777</v>
      </c>
      <c r="H3172" s="43">
        <v>501100</v>
      </c>
      <c r="I3172" s="43" t="s">
        <v>949</v>
      </c>
      <c r="J3172" s="44" t="s">
        <v>1000</v>
      </c>
    </row>
    <row r="3173" ht="22" customHeight="1" spans="1:10" x14ac:dyDescent="0.25">
      <c r="A3173" s="43">
        <v>3130</v>
      </c>
      <c r="B3173" s="43">
        <v>10</v>
      </c>
      <c r="C3173" s="43" t="s">
        <v>963</v>
      </c>
      <c r="D3173" s="43" t="s">
        <v>1009</v>
      </c>
      <c r="E3173" s="43" t="s">
        <v>306</v>
      </c>
      <c r="F3173" s="43" t="s">
        <v>953</v>
      </c>
      <c r="G3173" s="43">
        <v>1077777</v>
      </c>
      <c r="H3173" s="43">
        <v>501100</v>
      </c>
      <c r="I3173" s="43" t="s">
        <v>949</v>
      </c>
      <c r="J3173" s="44" t="s">
        <v>1000</v>
      </c>
    </row>
    <row r="3174" ht="22" customHeight="1" spans="1:10" x14ac:dyDescent="0.25">
      <c r="A3174" s="43">
        <v>3130</v>
      </c>
      <c r="B3174" s="43">
        <v>10</v>
      </c>
      <c r="C3174" s="43" t="s">
        <v>963</v>
      </c>
      <c r="D3174" s="43" t="s">
        <v>1009</v>
      </c>
      <c r="E3174" s="43" t="s">
        <v>306</v>
      </c>
      <c r="F3174" s="43" t="s">
        <v>954</v>
      </c>
      <c r="G3174" s="43">
        <v>1077777</v>
      </c>
      <c r="H3174" s="43">
        <v>501100</v>
      </c>
      <c r="I3174" s="43" t="s">
        <v>949</v>
      </c>
      <c r="J3174" s="44" t="s">
        <v>1000</v>
      </c>
    </row>
    <row r="3175" ht="22" customHeight="1" spans="1:10" x14ac:dyDescent="0.25">
      <c r="A3175" s="43">
        <v>3130</v>
      </c>
      <c r="B3175" s="43">
        <v>10</v>
      </c>
      <c r="C3175" s="43" t="s">
        <v>963</v>
      </c>
      <c r="D3175" s="43" t="s">
        <v>1009</v>
      </c>
      <c r="E3175" s="43" t="s">
        <v>306</v>
      </c>
      <c r="F3175" s="43" t="s">
        <v>955</v>
      </c>
      <c r="G3175" s="43">
        <v>1077777</v>
      </c>
      <c r="H3175" s="43">
        <v>501100</v>
      </c>
      <c r="I3175" s="43" t="s">
        <v>949</v>
      </c>
      <c r="J3175" s="44" t="s">
        <v>1000</v>
      </c>
    </row>
    <row r="3176" ht="22" customHeight="1" spans="1:10" x14ac:dyDescent="0.25">
      <c r="A3176" s="43">
        <v>3130</v>
      </c>
      <c r="B3176" s="43">
        <v>10</v>
      </c>
      <c r="C3176" s="43" t="s">
        <v>963</v>
      </c>
      <c r="D3176" s="43" t="s">
        <v>1009</v>
      </c>
      <c r="E3176" s="43" t="s">
        <v>306</v>
      </c>
      <c r="F3176" s="43" t="s">
        <v>956</v>
      </c>
      <c r="G3176" s="43">
        <v>1077777</v>
      </c>
      <c r="H3176" s="43">
        <v>501100</v>
      </c>
      <c r="I3176" s="43" t="s">
        <v>949</v>
      </c>
      <c r="J3176" s="44" t="s">
        <v>1000</v>
      </c>
    </row>
    <row r="3177" ht="22" customHeight="1" spans="1:10" x14ac:dyDescent="0.25">
      <c r="A3177" s="43">
        <v>3130</v>
      </c>
      <c r="B3177" s="43">
        <v>10</v>
      </c>
      <c r="C3177" s="43" t="s">
        <v>963</v>
      </c>
      <c r="D3177" s="43" t="s">
        <v>1009</v>
      </c>
      <c r="E3177" s="43" t="s">
        <v>306</v>
      </c>
      <c r="F3177" s="43" t="s">
        <v>957</v>
      </c>
      <c r="G3177" s="43">
        <v>1077777</v>
      </c>
      <c r="H3177" s="43">
        <v>501100</v>
      </c>
      <c r="I3177" s="43" t="s">
        <v>949</v>
      </c>
      <c r="J3177" s="44" t="s">
        <v>1000</v>
      </c>
    </row>
    <row r="3178" ht="22" customHeight="1" spans="1:10" x14ac:dyDescent="0.25">
      <c r="A3178" s="43">
        <v>3130</v>
      </c>
      <c r="B3178" s="43">
        <v>10</v>
      </c>
      <c r="C3178" s="43" t="s">
        <v>963</v>
      </c>
      <c r="D3178" s="43" t="s">
        <v>1009</v>
      </c>
      <c r="E3178" s="43" t="s">
        <v>306</v>
      </c>
      <c r="F3178" s="43" t="s">
        <v>958</v>
      </c>
      <c r="G3178" s="43">
        <v>1077777</v>
      </c>
      <c r="H3178" s="43">
        <v>501100</v>
      </c>
      <c r="I3178" s="43" t="s">
        <v>949</v>
      </c>
      <c r="J3178" s="44" t="s">
        <v>1000</v>
      </c>
    </row>
    <row r="3179" ht="22" customHeight="1" spans="1:10" x14ac:dyDescent="0.25">
      <c r="A3179" s="43">
        <v>3130</v>
      </c>
      <c r="B3179" s="43">
        <v>10</v>
      </c>
      <c r="C3179" s="43" t="s">
        <v>963</v>
      </c>
      <c r="D3179" s="43" t="s">
        <v>1009</v>
      </c>
      <c r="E3179" s="43" t="s">
        <v>306</v>
      </c>
      <c r="F3179" s="43" t="s">
        <v>959</v>
      </c>
      <c r="G3179" s="43">
        <v>1077777</v>
      </c>
      <c r="H3179" s="43">
        <v>501100</v>
      </c>
      <c r="I3179" s="43" t="s">
        <v>949</v>
      </c>
      <c r="J3179" s="44" t="s">
        <v>1000</v>
      </c>
    </row>
    <row r="3180" ht="22" customHeight="1" spans="1:10" x14ac:dyDescent="0.25">
      <c r="A3180" s="43">
        <v>3130</v>
      </c>
      <c r="B3180" s="43">
        <v>10</v>
      </c>
      <c r="C3180" s="43" t="s">
        <v>963</v>
      </c>
      <c r="D3180" s="43" t="s">
        <v>1009</v>
      </c>
      <c r="E3180" s="43" t="s">
        <v>306</v>
      </c>
      <c r="F3180" s="43" t="s">
        <v>960</v>
      </c>
      <c r="G3180" s="43">
        <v>1077777</v>
      </c>
      <c r="H3180" s="43">
        <v>501100</v>
      </c>
      <c r="I3180" s="43" t="s">
        <v>949</v>
      </c>
      <c r="J3180" s="44" t="s">
        <v>1000</v>
      </c>
    </row>
    <row r="3181" ht="22" customHeight="1" spans="1:10" x14ac:dyDescent="0.25">
      <c r="A3181" s="43">
        <v>3130</v>
      </c>
      <c r="B3181" s="43">
        <v>10</v>
      </c>
      <c r="C3181" s="43" t="s">
        <v>963</v>
      </c>
      <c r="D3181" s="43" t="s">
        <v>1009</v>
      </c>
      <c r="E3181" s="43" t="s">
        <v>306</v>
      </c>
      <c r="F3181" s="43" t="s">
        <v>961</v>
      </c>
      <c r="G3181" s="43">
        <v>1077777</v>
      </c>
      <c r="H3181" s="43">
        <v>501100</v>
      </c>
      <c r="I3181" s="43" t="s">
        <v>949</v>
      </c>
      <c r="J3181" s="44" t="s">
        <v>1000</v>
      </c>
    </row>
    <row r="3182" spans="1:9" x14ac:dyDescent="0.25">
      <c r="A3182">
        <v>4122</v>
      </c>
      <c r="B3182">
        <v>10</v>
      </c>
      <c r="C3182" t="s">
        <v>946</v>
      </c>
      <c r="D3182" t="s">
        <v>1009</v>
      </c>
      <c r="E3182" t="s">
        <v>306</v>
      </c>
      <c r="F3182" t="s">
        <v>948</v>
      </c>
      <c r="G3182">
        <v>1000000</v>
      </c>
      <c r="H3182">
        <v>143000</v>
      </c>
      <c r="I3182" t="s">
        <v>983</v>
      </c>
    </row>
    <row r="3183" spans="1:9" x14ac:dyDescent="0.25">
      <c r="A3183">
        <v>4124</v>
      </c>
      <c r="B3183">
        <v>10</v>
      </c>
      <c r="C3183" t="s">
        <v>946</v>
      </c>
      <c r="D3183" t="s">
        <v>1009</v>
      </c>
      <c r="E3183" t="s">
        <v>306</v>
      </c>
      <c r="F3183" t="s">
        <v>948</v>
      </c>
      <c r="G3183">
        <v>1077777</v>
      </c>
      <c r="H3183">
        <v>501100</v>
      </c>
      <c r="I3183" t="s">
        <v>949</v>
      </c>
    </row>
    <row r="3184" spans="1:9" x14ac:dyDescent="0.25">
      <c r="A3184">
        <v>3130</v>
      </c>
      <c r="B3184">
        <v>10</v>
      </c>
      <c r="C3184" t="s">
        <v>950</v>
      </c>
      <c r="D3184" t="s">
        <v>1009</v>
      </c>
      <c r="E3184" t="s">
        <v>108</v>
      </c>
      <c r="F3184" t="s">
        <v>951</v>
      </c>
      <c r="G3184">
        <v>1077777</v>
      </c>
      <c r="H3184">
        <v>500220</v>
      </c>
      <c r="I3184" t="s">
        <v>949</v>
      </c>
    </row>
    <row r="3185" spans="1:9" x14ac:dyDescent="0.25">
      <c r="A3185">
        <v>3130</v>
      </c>
      <c r="B3185">
        <v>10</v>
      </c>
      <c r="C3185" t="s">
        <v>950</v>
      </c>
      <c r="D3185" t="s">
        <v>1009</v>
      </c>
      <c r="E3185" t="s">
        <v>108</v>
      </c>
      <c r="F3185" t="s">
        <v>952</v>
      </c>
      <c r="G3185">
        <v>1077777</v>
      </c>
      <c r="H3185">
        <v>500220</v>
      </c>
      <c r="I3185" t="s">
        <v>949</v>
      </c>
    </row>
    <row r="3186" spans="1:9" x14ac:dyDescent="0.25">
      <c r="A3186">
        <v>3130</v>
      </c>
      <c r="B3186">
        <v>10</v>
      </c>
      <c r="C3186" t="s">
        <v>962</v>
      </c>
      <c r="D3186" t="s">
        <v>1009</v>
      </c>
      <c r="E3186" t="s">
        <v>108</v>
      </c>
      <c r="F3186" t="s">
        <v>951</v>
      </c>
      <c r="G3186">
        <v>1077777</v>
      </c>
      <c r="H3186">
        <v>500220</v>
      </c>
      <c r="I3186" t="s">
        <v>949</v>
      </c>
    </row>
    <row r="3187" spans="1:9" x14ac:dyDescent="0.25">
      <c r="A3187">
        <v>3130</v>
      </c>
      <c r="B3187">
        <v>10</v>
      </c>
      <c r="C3187" t="s">
        <v>962</v>
      </c>
      <c r="D3187" t="s">
        <v>1009</v>
      </c>
      <c r="E3187" t="s">
        <v>108</v>
      </c>
      <c r="F3187" t="s">
        <v>952</v>
      </c>
      <c r="G3187">
        <v>1077777</v>
      </c>
      <c r="H3187">
        <v>500220</v>
      </c>
      <c r="I3187" t="s">
        <v>949</v>
      </c>
    </row>
    <row r="3188" spans="1:9" x14ac:dyDescent="0.25">
      <c r="A3188">
        <v>3130</v>
      </c>
      <c r="B3188">
        <v>10</v>
      </c>
      <c r="C3188" t="s">
        <v>963</v>
      </c>
      <c r="D3188" t="s">
        <v>1009</v>
      </c>
      <c r="E3188" t="s">
        <v>108</v>
      </c>
      <c r="F3188" t="s">
        <v>951</v>
      </c>
      <c r="G3188">
        <v>1077777</v>
      </c>
      <c r="H3188">
        <v>500220</v>
      </c>
      <c r="I3188" t="s">
        <v>949</v>
      </c>
    </row>
    <row r="3189" spans="1:9" x14ac:dyDescent="0.25">
      <c r="A3189">
        <v>3130</v>
      </c>
      <c r="B3189">
        <v>10</v>
      </c>
      <c r="C3189" t="s">
        <v>963</v>
      </c>
      <c r="D3189" t="s">
        <v>1009</v>
      </c>
      <c r="E3189" t="s">
        <v>108</v>
      </c>
      <c r="F3189" t="s">
        <v>952</v>
      </c>
      <c r="G3189">
        <v>1077777</v>
      </c>
      <c r="H3189">
        <v>500220</v>
      </c>
      <c r="I3189" t="s">
        <v>949</v>
      </c>
    </row>
    <row r="3190" spans="1:9" x14ac:dyDescent="0.25">
      <c r="A3190">
        <v>4122</v>
      </c>
      <c r="B3190">
        <v>10</v>
      </c>
      <c r="C3190" t="s">
        <v>946</v>
      </c>
      <c r="D3190" t="s">
        <v>1009</v>
      </c>
      <c r="E3190" t="s">
        <v>108</v>
      </c>
      <c r="F3190" t="s">
        <v>948</v>
      </c>
      <c r="G3190">
        <v>1077777</v>
      </c>
      <c r="H3190">
        <v>500220</v>
      </c>
      <c r="I3190" t="s">
        <v>949</v>
      </c>
    </row>
    <row r="3191" spans="1:9" x14ac:dyDescent="0.25">
      <c r="A3191">
        <v>4124</v>
      </c>
      <c r="B3191">
        <v>10</v>
      </c>
      <c r="C3191" t="s">
        <v>946</v>
      </c>
      <c r="D3191" t="s">
        <v>1009</v>
      </c>
      <c r="E3191" t="s">
        <v>108</v>
      </c>
      <c r="F3191" t="s">
        <v>948</v>
      </c>
      <c r="G3191">
        <v>1077777</v>
      </c>
      <c r="H3191">
        <v>500221</v>
      </c>
      <c r="I3191" t="s">
        <v>949</v>
      </c>
    </row>
    <row r="3192" ht="22" customHeight="1" spans="1:10" x14ac:dyDescent="0.25">
      <c r="A3192" s="43">
        <v>3130</v>
      </c>
      <c r="B3192" s="43">
        <v>10</v>
      </c>
      <c r="C3192" s="43" t="s">
        <v>950</v>
      </c>
      <c r="D3192" s="43" t="s">
        <v>1009</v>
      </c>
      <c r="E3192" s="43" t="s">
        <v>310</v>
      </c>
      <c r="F3192" s="43" t="s">
        <v>951</v>
      </c>
      <c r="G3192" s="43">
        <v>1077777</v>
      </c>
      <c r="H3192" s="43">
        <v>501100</v>
      </c>
      <c r="I3192" s="43" t="s">
        <v>949</v>
      </c>
      <c r="J3192" s="44" t="s">
        <v>1000</v>
      </c>
    </row>
    <row r="3193" ht="22" customHeight="1" spans="1:10" x14ac:dyDescent="0.25">
      <c r="A3193" s="43">
        <v>3130</v>
      </c>
      <c r="B3193" s="43">
        <v>10</v>
      </c>
      <c r="C3193" s="43" t="s">
        <v>950</v>
      </c>
      <c r="D3193" s="43" t="s">
        <v>1009</v>
      </c>
      <c r="E3193" s="43" t="s">
        <v>310</v>
      </c>
      <c r="F3193" s="43" t="s">
        <v>952</v>
      </c>
      <c r="G3193" s="43">
        <v>1077777</v>
      </c>
      <c r="H3193" s="43">
        <v>501100</v>
      </c>
      <c r="I3193" s="43" t="s">
        <v>949</v>
      </c>
      <c r="J3193" s="44" t="s">
        <v>1000</v>
      </c>
    </row>
    <row r="3194" ht="22" customHeight="1" spans="1:10" x14ac:dyDescent="0.25">
      <c r="A3194" s="43">
        <v>3130</v>
      </c>
      <c r="B3194" s="43">
        <v>10</v>
      </c>
      <c r="C3194" s="43" t="s">
        <v>950</v>
      </c>
      <c r="D3194" s="43" t="s">
        <v>1009</v>
      </c>
      <c r="E3194" s="43" t="s">
        <v>310</v>
      </c>
      <c r="F3194" s="43" t="s">
        <v>953</v>
      </c>
      <c r="G3194" s="43">
        <v>1077777</v>
      </c>
      <c r="H3194" s="43">
        <v>501100</v>
      </c>
      <c r="I3194" s="43" t="s">
        <v>949</v>
      </c>
      <c r="J3194" s="44" t="s">
        <v>1000</v>
      </c>
    </row>
    <row r="3195" ht="22" customHeight="1" spans="1:10" x14ac:dyDescent="0.25">
      <c r="A3195" s="43">
        <v>3130</v>
      </c>
      <c r="B3195" s="43">
        <v>10</v>
      </c>
      <c r="C3195" s="43" t="s">
        <v>950</v>
      </c>
      <c r="D3195" s="43" t="s">
        <v>1009</v>
      </c>
      <c r="E3195" s="43" t="s">
        <v>310</v>
      </c>
      <c r="F3195" s="43" t="s">
        <v>954</v>
      </c>
      <c r="G3195" s="43">
        <v>1077777</v>
      </c>
      <c r="H3195" s="43">
        <v>501100</v>
      </c>
      <c r="I3195" s="43" t="s">
        <v>949</v>
      </c>
      <c r="J3195" s="44" t="s">
        <v>1000</v>
      </c>
    </row>
    <row r="3196" ht="22" customHeight="1" spans="1:10" x14ac:dyDescent="0.25">
      <c r="A3196" s="43">
        <v>3130</v>
      </c>
      <c r="B3196" s="43">
        <v>10</v>
      </c>
      <c r="C3196" s="43" t="s">
        <v>950</v>
      </c>
      <c r="D3196" s="43" t="s">
        <v>1009</v>
      </c>
      <c r="E3196" s="43" t="s">
        <v>310</v>
      </c>
      <c r="F3196" s="43" t="s">
        <v>955</v>
      </c>
      <c r="G3196" s="43">
        <v>1077777</v>
      </c>
      <c r="H3196" s="43">
        <v>501100</v>
      </c>
      <c r="I3196" s="43" t="s">
        <v>949</v>
      </c>
      <c r="J3196" s="44" t="s">
        <v>1000</v>
      </c>
    </row>
    <row r="3197" ht="22" customHeight="1" spans="1:10" x14ac:dyDescent="0.25">
      <c r="A3197" s="43">
        <v>3130</v>
      </c>
      <c r="B3197" s="43">
        <v>10</v>
      </c>
      <c r="C3197" s="43" t="s">
        <v>950</v>
      </c>
      <c r="D3197" s="43" t="s">
        <v>1009</v>
      </c>
      <c r="E3197" s="43" t="s">
        <v>310</v>
      </c>
      <c r="F3197" s="43" t="s">
        <v>956</v>
      </c>
      <c r="G3197" s="43">
        <v>1077777</v>
      </c>
      <c r="H3197" s="43">
        <v>501100</v>
      </c>
      <c r="I3197" s="43" t="s">
        <v>949</v>
      </c>
      <c r="J3197" s="44" t="s">
        <v>1000</v>
      </c>
    </row>
    <row r="3198" ht="22" customHeight="1" spans="1:10" x14ac:dyDescent="0.25">
      <c r="A3198" s="43">
        <v>3130</v>
      </c>
      <c r="B3198" s="43">
        <v>10</v>
      </c>
      <c r="C3198" s="43" t="s">
        <v>950</v>
      </c>
      <c r="D3198" s="43" t="s">
        <v>1009</v>
      </c>
      <c r="E3198" s="43" t="s">
        <v>310</v>
      </c>
      <c r="F3198" s="43" t="s">
        <v>957</v>
      </c>
      <c r="G3198" s="43">
        <v>1077777</v>
      </c>
      <c r="H3198" s="43">
        <v>501100</v>
      </c>
      <c r="I3198" s="43" t="s">
        <v>949</v>
      </c>
      <c r="J3198" s="44" t="s">
        <v>1000</v>
      </c>
    </row>
    <row r="3199" ht="22" customHeight="1" spans="1:10" x14ac:dyDescent="0.25">
      <c r="A3199" s="43">
        <v>3130</v>
      </c>
      <c r="B3199" s="43">
        <v>10</v>
      </c>
      <c r="C3199" s="43" t="s">
        <v>950</v>
      </c>
      <c r="D3199" s="43" t="s">
        <v>1009</v>
      </c>
      <c r="E3199" s="43" t="s">
        <v>310</v>
      </c>
      <c r="F3199" s="43" t="s">
        <v>958</v>
      </c>
      <c r="G3199" s="43">
        <v>1077777</v>
      </c>
      <c r="H3199" s="43">
        <v>501100</v>
      </c>
      <c r="I3199" s="43" t="s">
        <v>949</v>
      </c>
      <c r="J3199" s="44" t="s">
        <v>1000</v>
      </c>
    </row>
    <row r="3200" ht="22" customHeight="1" spans="1:10" x14ac:dyDescent="0.25">
      <c r="A3200" s="43">
        <v>3130</v>
      </c>
      <c r="B3200" s="43">
        <v>10</v>
      </c>
      <c r="C3200" s="43" t="s">
        <v>950</v>
      </c>
      <c r="D3200" s="43" t="s">
        <v>1009</v>
      </c>
      <c r="E3200" s="43" t="s">
        <v>310</v>
      </c>
      <c r="F3200" s="43" t="s">
        <v>959</v>
      </c>
      <c r="G3200" s="43">
        <v>1077777</v>
      </c>
      <c r="H3200" s="43">
        <v>501100</v>
      </c>
      <c r="I3200" s="43" t="s">
        <v>949</v>
      </c>
      <c r="J3200" s="44" t="s">
        <v>1000</v>
      </c>
    </row>
    <row r="3201" ht="22" customHeight="1" spans="1:10" x14ac:dyDescent="0.25">
      <c r="A3201" s="43">
        <v>3130</v>
      </c>
      <c r="B3201" s="43">
        <v>10</v>
      </c>
      <c r="C3201" s="43" t="s">
        <v>950</v>
      </c>
      <c r="D3201" s="43" t="s">
        <v>1009</v>
      </c>
      <c r="E3201" s="43" t="s">
        <v>310</v>
      </c>
      <c r="F3201" s="43" t="s">
        <v>960</v>
      </c>
      <c r="G3201" s="43">
        <v>1077777</v>
      </c>
      <c r="H3201" s="43">
        <v>501100</v>
      </c>
      <c r="I3201" s="43" t="s">
        <v>949</v>
      </c>
      <c r="J3201" s="44" t="s">
        <v>1000</v>
      </c>
    </row>
    <row r="3202" ht="22" customHeight="1" spans="1:10" x14ac:dyDescent="0.25">
      <c r="A3202" s="43">
        <v>3130</v>
      </c>
      <c r="B3202" s="43">
        <v>10</v>
      </c>
      <c r="C3202" s="43" t="s">
        <v>950</v>
      </c>
      <c r="D3202" s="43" t="s">
        <v>1009</v>
      </c>
      <c r="E3202" s="43" t="s">
        <v>310</v>
      </c>
      <c r="F3202" s="43" t="s">
        <v>961</v>
      </c>
      <c r="G3202" s="43">
        <v>1077777</v>
      </c>
      <c r="H3202" s="43">
        <v>501100</v>
      </c>
      <c r="I3202" s="43" t="s">
        <v>949</v>
      </c>
      <c r="J3202" s="44" t="s">
        <v>1000</v>
      </c>
    </row>
    <row r="3203" ht="22" customHeight="1" spans="1:10" x14ac:dyDescent="0.25">
      <c r="A3203" s="43">
        <v>3130</v>
      </c>
      <c r="B3203" s="43">
        <v>10</v>
      </c>
      <c r="C3203" s="43" t="s">
        <v>962</v>
      </c>
      <c r="D3203" s="43" t="s">
        <v>1009</v>
      </c>
      <c r="E3203" s="43" t="s">
        <v>310</v>
      </c>
      <c r="F3203" s="43" t="s">
        <v>951</v>
      </c>
      <c r="G3203" s="43">
        <v>1077777</v>
      </c>
      <c r="H3203" s="43">
        <v>501100</v>
      </c>
      <c r="I3203" s="43" t="s">
        <v>949</v>
      </c>
      <c r="J3203" s="44" t="s">
        <v>1000</v>
      </c>
    </row>
    <row r="3204" ht="22" customHeight="1" spans="1:10" x14ac:dyDescent="0.25">
      <c r="A3204" s="43">
        <v>3130</v>
      </c>
      <c r="B3204" s="43">
        <v>10</v>
      </c>
      <c r="C3204" s="43" t="s">
        <v>962</v>
      </c>
      <c r="D3204" s="43" t="s">
        <v>1009</v>
      </c>
      <c r="E3204" s="43" t="s">
        <v>310</v>
      </c>
      <c r="F3204" s="43" t="s">
        <v>952</v>
      </c>
      <c r="G3204" s="43">
        <v>1077777</v>
      </c>
      <c r="H3204" s="43">
        <v>501100</v>
      </c>
      <c r="I3204" s="43" t="s">
        <v>949</v>
      </c>
      <c r="J3204" s="44" t="s">
        <v>1000</v>
      </c>
    </row>
    <row r="3205" ht="22" customHeight="1" spans="1:10" x14ac:dyDescent="0.25">
      <c r="A3205" s="43">
        <v>3130</v>
      </c>
      <c r="B3205" s="43">
        <v>10</v>
      </c>
      <c r="C3205" s="43" t="s">
        <v>962</v>
      </c>
      <c r="D3205" s="43" t="s">
        <v>1009</v>
      </c>
      <c r="E3205" s="43" t="s">
        <v>310</v>
      </c>
      <c r="F3205" s="43" t="s">
        <v>953</v>
      </c>
      <c r="G3205" s="43">
        <v>1077777</v>
      </c>
      <c r="H3205" s="43">
        <v>501100</v>
      </c>
      <c r="I3205" s="43" t="s">
        <v>949</v>
      </c>
      <c r="J3205" s="44" t="s">
        <v>1000</v>
      </c>
    </row>
    <row r="3206" ht="22" customHeight="1" spans="1:10" x14ac:dyDescent="0.25">
      <c r="A3206" s="43">
        <v>3130</v>
      </c>
      <c r="B3206" s="43">
        <v>10</v>
      </c>
      <c r="C3206" s="43" t="s">
        <v>962</v>
      </c>
      <c r="D3206" s="43" t="s">
        <v>1009</v>
      </c>
      <c r="E3206" s="43" t="s">
        <v>310</v>
      </c>
      <c r="F3206" s="43" t="s">
        <v>954</v>
      </c>
      <c r="G3206" s="43">
        <v>1077777</v>
      </c>
      <c r="H3206" s="43">
        <v>501100</v>
      </c>
      <c r="I3206" s="43" t="s">
        <v>949</v>
      </c>
      <c r="J3206" s="44" t="s">
        <v>1000</v>
      </c>
    </row>
    <row r="3207" ht="22" customHeight="1" spans="1:10" x14ac:dyDescent="0.25">
      <c r="A3207" s="43">
        <v>3130</v>
      </c>
      <c r="B3207" s="43">
        <v>10</v>
      </c>
      <c r="C3207" s="43" t="s">
        <v>962</v>
      </c>
      <c r="D3207" s="43" t="s">
        <v>1009</v>
      </c>
      <c r="E3207" s="43" t="s">
        <v>310</v>
      </c>
      <c r="F3207" s="43" t="s">
        <v>955</v>
      </c>
      <c r="G3207" s="43">
        <v>1077777</v>
      </c>
      <c r="H3207" s="43">
        <v>501100</v>
      </c>
      <c r="I3207" s="43" t="s">
        <v>949</v>
      </c>
      <c r="J3207" s="44" t="s">
        <v>1000</v>
      </c>
    </row>
    <row r="3208" ht="22" customHeight="1" spans="1:10" x14ac:dyDescent="0.25">
      <c r="A3208" s="43">
        <v>3130</v>
      </c>
      <c r="B3208" s="43">
        <v>10</v>
      </c>
      <c r="C3208" s="43" t="s">
        <v>962</v>
      </c>
      <c r="D3208" s="43" t="s">
        <v>1009</v>
      </c>
      <c r="E3208" s="43" t="s">
        <v>310</v>
      </c>
      <c r="F3208" s="43" t="s">
        <v>956</v>
      </c>
      <c r="G3208" s="43">
        <v>1077777</v>
      </c>
      <c r="H3208" s="43">
        <v>501100</v>
      </c>
      <c r="I3208" s="43" t="s">
        <v>949</v>
      </c>
      <c r="J3208" s="44" t="s">
        <v>1000</v>
      </c>
    </row>
    <row r="3209" ht="22" customHeight="1" spans="1:10" x14ac:dyDescent="0.25">
      <c r="A3209" s="43">
        <v>3130</v>
      </c>
      <c r="B3209" s="43">
        <v>10</v>
      </c>
      <c r="C3209" s="43" t="s">
        <v>962</v>
      </c>
      <c r="D3209" s="43" t="s">
        <v>1009</v>
      </c>
      <c r="E3209" s="43" t="s">
        <v>310</v>
      </c>
      <c r="F3209" s="43" t="s">
        <v>957</v>
      </c>
      <c r="G3209" s="43">
        <v>1077777</v>
      </c>
      <c r="H3209" s="43">
        <v>501100</v>
      </c>
      <c r="I3209" s="43" t="s">
        <v>949</v>
      </c>
      <c r="J3209" s="44" t="s">
        <v>1000</v>
      </c>
    </row>
    <row r="3210" ht="22" customHeight="1" spans="1:10" x14ac:dyDescent="0.25">
      <c r="A3210" s="43">
        <v>3130</v>
      </c>
      <c r="B3210" s="43">
        <v>10</v>
      </c>
      <c r="C3210" s="43" t="s">
        <v>962</v>
      </c>
      <c r="D3210" s="43" t="s">
        <v>1009</v>
      </c>
      <c r="E3210" s="43" t="s">
        <v>310</v>
      </c>
      <c r="F3210" s="43" t="s">
        <v>958</v>
      </c>
      <c r="G3210" s="43">
        <v>1077777</v>
      </c>
      <c r="H3210" s="43">
        <v>501100</v>
      </c>
      <c r="I3210" s="43" t="s">
        <v>949</v>
      </c>
      <c r="J3210" s="44" t="s">
        <v>1000</v>
      </c>
    </row>
    <row r="3211" ht="22" customHeight="1" spans="1:10" x14ac:dyDescent="0.25">
      <c r="A3211" s="43">
        <v>3130</v>
      </c>
      <c r="B3211" s="43">
        <v>10</v>
      </c>
      <c r="C3211" s="43" t="s">
        <v>962</v>
      </c>
      <c r="D3211" s="43" t="s">
        <v>1009</v>
      </c>
      <c r="E3211" s="43" t="s">
        <v>310</v>
      </c>
      <c r="F3211" s="43" t="s">
        <v>959</v>
      </c>
      <c r="G3211" s="43">
        <v>1077777</v>
      </c>
      <c r="H3211" s="43">
        <v>501100</v>
      </c>
      <c r="I3211" s="43" t="s">
        <v>949</v>
      </c>
      <c r="J3211" s="44" t="s">
        <v>1000</v>
      </c>
    </row>
    <row r="3212" ht="22" customHeight="1" spans="1:10" x14ac:dyDescent="0.25">
      <c r="A3212" s="43">
        <v>3130</v>
      </c>
      <c r="B3212" s="43">
        <v>10</v>
      </c>
      <c r="C3212" s="43" t="s">
        <v>962</v>
      </c>
      <c r="D3212" s="43" t="s">
        <v>1009</v>
      </c>
      <c r="E3212" s="43" t="s">
        <v>310</v>
      </c>
      <c r="F3212" s="43" t="s">
        <v>960</v>
      </c>
      <c r="G3212" s="43">
        <v>1077777</v>
      </c>
      <c r="H3212" s="43">
        <v>501100</v>
      </c>
      <c r="I3212" s="43" t="s">
        <v>949</v>
      </c>
      <c r="J3212" s="44" t="s">
        <v>1000</v>
      </c>
    </row>
    <row r="3213" ht="22" customHeight="1" spans="1:10" x14ac:dyDescent="0.25">
      <c r="A3213" s="43">
        <v>3130</v>
      </c>
      <c r="B3213" s="43">
        <v>10</v>
      </c>
      <c r="C3213" s="43" t="s">
        <v>962</v>
      </c>
      <c r="D3213" s="43" t="s">
        <v>1009</v>
      </c>
      <c r="E3213" s="43" t="s">
        <v>310</v>
      </c>
      <c r="F3213" s="43" t="s">
        <v>961</v>
      </c>
      <c r="G3213" s="43">
        <v>1077777</v>
      </c>
      <c r="H3213" s="43">
        <v>501100</v>
      </c>
      <c r="I3213" s="43" t="s">
        <v>949</v>
      </c>
      <c r="J3213" s="44" t="s">
        <v>1000</v>
      </c>
    </row>
    <row r="3214" ht="22" customHeight="1" spans="1:10" x14ac:dyDescent="0.25">
      <c r="A3214" s="43">
        <v>3130</v>
      </c>
      <c r="B3214" s="43">
        <v>10</v>
      </c>
      <c r="C3214" s="43" t="s">
        <v>963</v>
      </c>
      <c r="D3214" s="43" t="s">
        <v>1009</v>
      </c>
      <c r="E3214" s="43" t="s">
        <v>310</v>
      </c>
      <c r="F3214" s="43" t="s">
        <v>951</v>
      </c>
      <c r="G3214" s="43">
        <v>1077777</v>
      </c>
      <c r="H3214" s="43">
        <v>501100</v>
      </c>
      <c r="I3214" s="43" t="s">
        <v>949</v>
      </c>
      <c r="J3214" s="44" t="s">
        <v>1000</v>
      </c>
    </row>
    <row r="3215" ht="22" customHeight="1" spans="1:10" x14ac:dyDescent="0.25">
      <c r="A3215" s="43">
        <v>3130</v>
      </c>
      <c r="B3215" s="43">
        <v>10</v>
      </c>
      <c r="C3215" s="43" t="s">
        <v>963</v>
      </c>
      <c r="D3215" s="43" t="s">
        <v>1009</v>
      </c>
      <c r="E3215" s="43" t="s">
        <v>310</v>
      </c>
      <c r="F3215" s="43" t="s">
        <v>952</v>
      </c>
      <c r="G3215" s="43">
        <v>1077777</v>
      </c>
      <c r="H3215" s="43">
        <v>501100</v>
      </c>
      <c r="I3215" s="43" t="s">
        <v>949</v>
      </c>
      <c r="J3215" s="44" t="s">
        <v>1000</v>
      </c>
    </row>
    <row r="3216" ht="22" customHeight="1" spans="1:10" x14ac:dyDescent="0.25">
      <c r="A3216" s="43">
        <v>3130</v>
      </c>
      <c r="B3216" s="43">
        <v>10</v>
      </c>
      <c r="C3216" s="43" t="s">
        <v>963</v>
      </c>
      <c r="D3216" s="43" t="s">
        <v>1009</v>
      </c>
      <c r="E3216" s="43" t="s">
        <v>310</v>
      </c>
      <c r="F3216" s="43" t="s">
        <v>953</v>
      </c>
      <c r="G3216" s="43">
        <v>1077777</v>
      </c>
      <c r="H3216" s="43">
        <v>501100</v>
      </c>
      <c r="I3216" s="43" t="s">
        <v>949</v>
      </c>
      <c r="J3216" s="44" t="s">
        <v>1000</v>
      </c>
    </row>
    <row r="3217" ht="22" customHeight="1" spans="1:10" x14ac:dyDescent="0.25">
      <c r="A3217" s="43">
        <v>3130</v>
      </c>
      <c r="B3217" s="43">
        <v>10</v>
      </c>
      <c r="C3217" s="43" t="s">
        <v>963</v>
      </c>
      <c r="D3217" s="43" t="s">
        <v>1009</v>
      </c>
      <c r="E3217" s="43" t="s">
        <v>310</v>
      </c>
      <c r="F3217" s="43" t="s">
        <v>954</v>
      </c>
      <c r="G3217" s="43">
        <v>1077777</v>
      </c>
      <c r="H3217" s="43">
        <v>501100</v>
      </c>
      <c r="I3217" s="43" t="s">
        <v>949</v>
      </c>
      <c r="J3217" s="44" t="s">
        <v>1000</v>
      </c>
    </row>
    <row r="3218" ht="22" customHeight="1" spans="1:10" x14ac:dyDescent="0.25">
      <c r="A3218" s="43">
        <v>3130</v>
      </c>
      <c r="B3218" s="43">
        <v>10</v>
      </c>
      <c r="C3218" s="43" t="s">
        <v>963</v>
      </c>
      <c r="D3218" s="43" t="s">
        <v>1009</v>
      </c>
      <c r="E3218" s="43" t="s">
        <v>310</v>
      </c>
      <c r="F3218" s="43" t="s">
        <v>955</v>
      </c>
      <c r="G3218" s="43">
        <v>1077777</v>
      </c>
      <c r="H3218" s="43">
        <v>501100</v>
      </c>
      <c r="I3218" s="43" t="s">
        <v>949</v>
      </c>
      <c r="J3218" s="44" t="s">
        <v>1000</v>
      </c>
    </row>
    <row r="3219" ht="22" customHeight="1" spans="1:10" x14ac:dyDescent="0.25">
      <c r="A3219" s="43">
        <v>3130</v>
      </c>
      <c r="B3219" s="43">
        <v>10</v>
      </c>
      <c r="C3219" s="43" t="s">
        <v>963</v>
      </c>
      <c r="D3219" s="43" t="s">
        <v>1009</v>
      </c>
      <c r="E3219" s="43" t="s">
        <v>310</v>
      </c>
      <c r="F3219" s="43" t="s">
        <v>956</v>
      </c>
      <c r="G3219" s="43">
        <v>1077777</v>
      </c>
      <c r="H3219" s="43">
        <v>501100</v>
      </c>
      <c r="I3219" s="43" t="s">
        <v>949</v>
      </c>
      <c r="J3219" s="44" t="s">
        <v>1000</v>
      </c>
    </row>
    <row r="3220" ht="22" customHeight="1" spans="1:10" x14ac:dyDescent="0.25">
      <c r="A3220" s="43">
        <v>3130</v>
      </c>
      <c r="B3220" s="43">
        <v>10</v>
      </c>
      <c r="C3220" s="43" t="s">
        <v>963</v>
      </c>
      <c r="D3220" s="43" t="s">
        <v>1009</v>
      </c>
      <c r="E3220" s="43" t="s">
        <v>310</v>
      </c>
      <c r="F3220" s="43" t="s">
        <v>957</v>
      </c>
      <c r="G3220" s="43">
        <v>1077777</v>
      </c>
      <c r="H3220" s="43">
        <v>501100</v>
      </c>
      <c r="I3220" s="43" t="s">
        <v>949</v>
      </c>
      <c r="J3220" s="44" t="s">
        <v>1000</v>
      </c>
    </row>
    <row r="3221" ht="22" customHeight="1" spans="1:10" x14ac:dyDescent="0.25">
      <c r="A3221" s="43">
        <v>3130</v>
      </c>
      <c r="B3221" s="43">
        <v>10</v>
      </c>
      <c r="C3221" s="43" t="s">
        <v>963</v>
      </c>
      <c r="D3221" s="43" t="s">
        <v>1009</v>
      </c>
      <c r="E3221" s="43" t="s">
        <v>310</v>
      </c>
      <c r="F3221" s="43" t="s">
        <v>958</v>
      </c>
      <c r="G3221" s="43">
        <v>1077777</v>
      </c>
      <c r="H3221" s="43">
        <v>501100</v>
      </c>
      <c r="I3221" s="43" t="s">
        <v>949</v>
      </c>
      <c r="J3221" s="44" t="s">
        <v>1000</v>
      </c>
    </row>
    <row r="3222" ht="22" customHeight="1" spans="1:10" x14ac:dyDescent="0.25">
      <c r="A3222" s="43">
        <v>3130</v>
      </c>
      <c r="B3222" s="43">
        <v>10</v>
      </c>
      <c r="C3222" s="43" t="s">
        <v>963</v>
      </c>
      <c r="D3222" s="43" t="s">
        <v>1009</v>
      </c>
      <c r="E3222" s="43" t="s">
        <v>310</v>
      </c>
      <c r="F3222" s="43" t="s">
        <v>959</v>
      </c>
      <c r="G3222" s="43">
        <v>1077777</v>
      </c>
      <c r="H3222" s="43">
        <v>501100</v>
      </c>
      <c r="I3222" s="43" t="s">
        <v>949</v>
      </c>
      <c r="J3222" s="44" t="s">
        <v>1000</v>
      </c>
    </row>
    <row r="3223" ht="22" customHeight="1" spans="1:10" x14ac:dyDescent="0.25">
      <c r="A3223" s="43">
        <v>3130</v>
      </c>
      <c r="B3223" s="43">
        <v>10</v>
      </c>
      <c r="C3223" s="43" t="s">
        <v>963</v>
      </c>
      <c r="D3223" s="43" t="s">
        <v>1009</v>
      </c>
      <c r="E3223" s="43" t="s">
        <v>310</v>
      </c>
      <c r="F3223" s="43" t="s">
        <v>960</v>
      </c>
      <c r="G3223" s="43">
        <v>1077777</v>
      </c>
      <c r="H3223" s="43">
        <v>501100</v>
      </c>
      <c r="I3223" s="43" t="s">
        <v>949</v>
      </c>
      <c r="J3223" s="44" t="s">
        <v>1000</v>
      </c>
    </row>
    <row r="3224" ht="22" customHeight="1" spans="1:10" x14ac:dyDescent="0.25">
      <c r="A3224" s="43">
        <v>3130</v>
      </c>
      <c r="B3224" s="43">
        <v>10</v>
      </c>
      <c r="C3224" s="43" t="s">
        <v>963</v>
      </c>
      <c r="D3224" s="43" t="s">
        <v>1009</v>
      </c>
      <c r="E3224" s="43" t="s">
        <v>310</v>
      </c>
      <c r="F3224" s="43" t="s">
        <v>961</v>
      </c>
      <c r="G3224" s="43">
        <v>1077777</v>
      </c>
      <c r="H3224" s="43">
        <v>501100</v>
      </c>
      <c r="I3224" s="43" t="s">
        <v>949</v>
      </c>
      <c r="J3224" s="44" t="s">
        <v>1000</v>
      </c>
    </row>
    <row r="3225" spans="1:9" x14ac:dyDescent="0.25">
      <c r="A3225">
        <v>4122</v>
      </c>
      <c r="B3225">
        <v>10</v>
      </c>
      <c r="C3225" t="s">
        <v>946</v>
      </c>
      <c r="D3225" t="s">
        <v>1009</v>
      </c>
      <c r="E3225" t="s">
        <v>310</v>
      </c>
      <c r="F3225" t="s">
        <v>948</v>
      </c>
      <c r="G3225">
        <v>1000000</v>
      </c>
      <c r="H3225">
        <v>145000</v>
      </c>
      <c r="I3225" t="s">
        <v>949</v>
      </c>
    </row>
    <row r="3226" spans="1:9" x14ac:dyDescent="0.25">
      <c r="A3226">
        <v>4124</v>
      </c>
      <c r="B3226">
        <v>10</v>
      </c>
      <c r="C3226" t="s">
        <v>946</v>
      </c>
      <c r="D3226" t="s">
        <v>1009</v>
      </c>
      <c r="E3226" t="s">
        <v>310</v>
      </c>
      <c r="F3226" t="s">
        <v>948</v>
      </c>
      <c r="G3226">
        <v>1077777</v>
      </c>
      <c r="H3226">
        <v>501100</v>
      </c>
      <c r="I3226" t="s">
        <v>949</v>
      </c>
    </row>
    <row r="3227" ht="22" customHeight="1" spans="1:10" x14ac:dyDescent="0.25">
      <c r="A3227" s="43">
        <v>3130</v>
      </c>
      <c r="B3227" s="43">
        <v>10</v>
      </c>
      <c r="C3227" s="43" t="s">
        <v>950</v>
      </c>
      <c r="D3227" s="43" t="s">
        <v>1009</v>
      </c>
      <c r="E3227" s="43" t="s">
        <v>314</v>
      </c>
      <c r="F3227" s="43" t="s">
        <v>951</v>
      </c>
      <c r="G3227" s="43">
        <v>1077777</v>
      </c>
      <c r="H3227" s="43">
        <v>501100</v>
      </c>
      <c r="I3227" s="43" t="s">
        <v>949</v>
      </c>
      <c r="J3227" s="44" t="s">
        <v>1000</v>
      </c>
    </row>
    <row r="3228" ht="22" customHeight="1" spans="1:10" x14ac:dyDescent="0.25">
      <c r="A3228" s="43">
        <v>3130</v>
      </c>
      <c r="B3228" s="43">
        <v>10</v>
      </c>
      <c r="C3228" s="43" t="s">
        <v>950</v>
      </c>
      <c r="D3228" s="43" t="s">
        <v>1009</v>
      </c>
      <c r="E3228" s="43" t="s">
        <v>314</v>
      </c>
      <c r="F3228" s="43" t="s">
        <v>952</v>
      </c>
      <c r="G3228" s="43">
        <v>1077777</v>
      </c>
      <c r="H3228" s="43">
        <v>501100</v>
      </c>
      <c r="I3228" s="43" t="s">
        <v>949</v>
      </c>
      <c r="J3228" s="44" t="s">
        <v>1000</v>
      </c>
    </row>
    <row r="3229" ht="22" customHeight="1" spans="1:10" x14ac:dyDescent="0.25">
      <c r="A3229" s="43">
        <v>3130</v>
      </c>
      <c r="B3229" s="43">
        <v>10</v>
      </c>
      <c r="C3229" s="43" t="s">
        <v>950</v>
      </c>
      <c r="D3229" s="43" t="s">
        <v>1009</v>
      </c>
      <c r="E3229" s="43" t="s">
        <v>314</v>
      </c>
      <c r="F3229" s="43" t="s">
        <v>953</v>
      </c>
      <c r="G3229" s="43">
        <v>1077777</v>
      </c>
      <c r="H3229" s="43">
        <v>501100</v>
      </c>
      <c r="I3229" s="43" t="s">
        <v>949</v>
      </c>
      <c r="J3229" s="44" t="s">
        <v>1000</v>
      </c>
    </row>
    <row r="3230" ht="22" customHeight="1" spans="1:10" x14ac:dyDescent="0.25">
      <c r="A3230" s="43">
        <v>3130</v>
      </c>
      <c r="B3230" s="43">
        <v>10</v>
      </c>
      <c r="C3230" s="43" t="s">
        <v>950</v>
      </c>
      <c r="D3230" s="43" t="s">
        <v>1009</v>
      </c>
      <c r="E3230" s="43" t="s">
        <v>314</v>
      </c>
      <c r="F3230" s="43" t="s">
        <v>954</v>
      </c>
      <c r="G3230" s="43">
        <v>1077777</v>
      </c>
      <c r="H3230" s="43">
        <v>501100</v>
      </c>
      <c r="I3230" s="43" t="s">
        <v>949</v>
      </c>
      <c r="J3230" s="44" t="s">
        <v>1000</v>
      </c>
    </row>
    <row r="3231" ht="22" customHeight="1" spans="1:10" x14ac:dyDescent="0.25">
      <c r="A3231" s="43">
        <v>3130</v>
      </c>
      <c r="B3231" s="43">
        <v>10</v>
      </c>
      <c r="C3231" s="43" t="s">
        <v>950</v>
      </c>
      <c r="D3231" s="43" t="s">
        <v>1009</v>
      </c>
      <c r="E3231" s="43" t="s">
        <v>314</v>
      </c>
      <c r="F3231" s="43" t="s">
        <v>955</v>
      </c>
      <c r="G3231" s="43">
        <v>1077777</v>
      </c>
      <c r="H3231" s="43">
        <v>501100</v>
      </c>
      <c r="I3231" s="43" t="s">
        <v>949</v>
      </c>
      <c r="J3231" s="44" t="s">
        <v>1000</v>
      </c>
    </row>
    <row r="3232" ht="22" customHeight="1" spans="1:10" x14ac:dyDescent="0.25">
      <c r="A3232" s="43">
        <v>3130</v>
      </c>
      <c r="B3232" s="43">
        <v>10</v>
      </c>
      <c r="C3232" s="43" t="s">
        <v>950</v>
      </c>
      <c r="D3232" s="43" t="s">
        <v>1009</v>
      </c>
      <c r="E3232" s="43" t="s">
        <v>314</v>
      </c>
      <c r="F3232" s="43" t="s">
        <v>956</v>
      </c>
      <c r="G3232" s="43">
        <v>1077777</v>
      </c>
      <c r="H3232" s="43">
        <v>501100</v>
      </c>
      <c r="I3232" s="43" t="s">
        <v>949</v>
      </c>
      <c r="J3232" s="44" t="s">
        <v>1000</v>
      </c>
    </row>
    <row r="3233" ht="22" customHeight="1" spans="1:10" x14ac:dyDescent="0.25">
      <c r="A3233" s="43">
        <v>3130</v>
      </c>
      <c r="B3233" s="43">
        <v>10</v>
      </c>
      <c r="C3233" s="43" t="s">
        <v>950</v>
      </c>
      <c r="D3233" s="43" t="s">
        <v>1009</v>
      </c>
      <c r="E3233" s="43" t="s">
        <v>314</v>
      </c>
      <c r="F3233" s="43" t="s">
        <v>957</v>
      </c>
      <c r="G3233" s="43">
        <v>1077777</v>
      </c>
      <c r="H3233" s="43">
        <v>501100</v>
      </c>
      <c r="I3233" s="43" t="s">
        <v>949</v>
      </c>
      <c r="J3233" s="44" t="s">
        <v>1000</v>
      </c>
    </row>
    <row r="3234" ht="22" customHeight="1" spans="1:10" x14ac:dyDescent="0.25">
      <c r="A3234" s="43">
        <v>3130</v>
      </c>
      <c r="B3234" s="43">
        <v>10</v>
      </c>
      <c r="C3234" s="43" t="s">
        <v>950</v>
      </c>
      <c r="D3234" s="43" t="s">
        <v>1009</v>
      </c>
      <c r="E3234" s="43" t="s">
        <v>314</v>
      </c>
      <c r="F3234" s="43" t="s">
        <v>958</v>
      </c>
      <c r="G3234" s="43">
        <v>1077777</v>
      </c>
      <c r="H3234" s="43">
        <v>501100</v>
      </c>
      <c r="I3234" s="43" t="s">
        <v>949</v>
      </c>
      <c r="J3234" s="44" t="s">
        <v>1000</v>
      </c>
    </row>
    <row r="3235" ht="22" customHeight="1" spans="1:10" x14ac:dyDescent="0.25">
      <c r="A3235" s="43">
        <v>3130</v>
      </c>
      <c r="B3235" s="43">
        <v>10</v>
      </c>
      <c r="C3235" s="43" t="s">
        <v>950</v>
      </c>
      <c r="D3235" s="43" t="s">
        <v>1009</v>
      </c>
      <c r="E3235" s="43" t="s">
        <v>314</v>
      </c>
      <c r="F3235" s="43" t="s">
        <v>959</v>
      </c>
      <c r="G3235" s="43">
        <v>1077777</v>
      </c>
      <c r="H3235" s="43">
        <v>501100</v>
      </c>
      <c r="I3235" s="43" t="s">
        <v>949</v>
      </c>
      <c r="J3235" s="44" t="s">
        <v>1000</v>
      </c>
    </row>
    <row r="3236" ht="22" customHeight="1" spans="1:10" x14ac:dyDescent="0.25">
      <c r="A3236" s="43">
        <v>3130</v>
      </c>
      <c r="B3236" s="43">
        <v>10</v>
      </c>
      <c r="C3236" s="43" t="s">
        <v>950</v>
      </c>
      <c r="D3236" s="43" t="s">
        <v>1009</v>
      </c>
      <c r="E3236" s="43" t="s">
        <v>314</v>
      </c>
      <c r="F3236" s="43" t="s">
        <v>960</v>
      </c>
      <c r="G3236" s="43">
        <v>1077777</v>
      </c>
      <c r="H3236" s="43">
        <v>501100</v>
      </c>
      <c r="I3236" s="43" t="s">
        <v>949</v>
      </c>
      <c r="J3236" s="44" t="s">
        <v>1000</v>
      </c>
    </row>
    <row r="3237" ht="22" customHeight="1" spans="1:10" x14ac:dyDescent="0.25">
      <c r="A3237" s="43">
        <v>3130</v>
      </c>
      <c r="B3237" s="43">
        <v>10</v>
      </c>
      <c r="C3237" s="43" t="s">
        <v>950</v>
      </c>
      <c r="D3237" s="43" t="s">
        <v>1009</v>
      </c>
      <c r="E3237" s="43" t="s">
        <v>314</v>
      </c>
      <c r="F3237" s="43" t="s">
        <v>961</v>
      </c>
      <c r="G3237" s="43">
        <v>1077777</v>
      </c>
      <c r="H3237" s="43">
        <v>501100</v>
      </c>
      <c r="I3237" s="43" t="s">
        <v>949</v>
      </c>
      <c r="J3237" s="44" t="s">
        <v>1000</v>
      </c>
    </row>
    <row r="3238" ht="22" customHeight="1" spans="1:10" x14ac:dyDescent="0.25">
      <c r="A3238" s="43">
        <v>3130</v>
      </c>
      <c r="B3238" s="43">
        <v>10</v>
      </c>
      <c r="C3238" s="43" t="s">
        <v>962</v>
      </c>
      <c r="D3238" s="43" t="s">
        <v>1009</v>
      </c>
      <c r="E3238" s="43" t="s">
        <v>314</v>
      </c>
      <c r="F3238" s="43" t="s">
        <v>951</v>
      </c>
      <c r="G3238" s="43">
        <v>1077777</v>
      </c>
      <c r="H3238" s="43">
        <v>501100</v>
      </c>
      <c r="I3238" s="43" t="s">
        <v>949</v>
      </c>
      <c r="J3238" s="44" t="s">
        <v>1000</v>
      </c>
    </row>
    <row r="3239" ht="22" customHeight="1" spans="1:10" x14ac:dyDescent="0.25">
      <c r="A3239" s="43">
        <v>3130</v>
      </c>
      <c r="B3239" s="43">
        <v>10</v>
      </c>
      <c r="C3239" s="43" t="s">
        <v>962</v>
      </c>
      <c r="D3239" s="43" t="s">
        <v>1009</v>
      </c>
      <c r="E3239" s="43" t="s">
        <v>314</v>
      </c>
      <c r="F3239" s="43" t="s">
        <v>952</v>
      </c>
      <c r="G3239" s="43">
        <v>1077777</v>
      </c>
      <c r="H3239" s="43">
        <v>501100</v>
      </c>
      <c r="I3239" s="43" t="s">
        <v>949</v>
      </c>
      <c r="J3239" s="44" t="s">
        <v>1000</v>
      </c>
    </row>
    <row r="3240" ht="22" customHeight="1" spans="1:10" x14ac:dyDescent="0.25">
      <c r="A3240" s="43">
        <v>3130</v>
      </c>
      <c r="B3240" s="43">
        <v>10</v>
      </c>
      <c r="C3240" s="43" t="s">
        <v>962</v>
      </c>
      <c r="D3240" s="43" t="s">
        <v>1009</v>
      </c>
      <c r="E3240" s="43" t="s">
        <v>314</v>
      </c>
      <c r="F3240" s="43" t="s">
        <v>953</v>
      </c>
      <c r="G3240" s="43">
        <v>1077777</v>
      </c>
      <c r="H3240" s="43">
        <v>501100</v>
      </c>
      <c r="I3240" s="43" t="s">
        <v>949</v>
      </c>
      <c r="J3240" s="44" t="s">
        <v>1000</v>
      </c>
    </row>
    <row r="3241" ht="22" customHeight="1" spans="1:10" x14ac:dyDescent="0.25">
      <c r="A3241" s="43">
        <v>3130</v>
      </c>
      <c r="B3241" s="43">
        <v>10</v>
      </c>
      <c r="C3241" s="43" t="s">
        <v>962</v>
      </c>
      <c r="D3241" s="43" t="s">
        <v>1009</v>
      </c>
      <c r="E3241" s="43" t="s">
        <v>314</v>
      </c>
      <c r="F3241" s="43" t="s">
        <v>954</v>
      </c>
      <c r="G3241" s="43">
        <v>1077777</v>
      </c>
      <c r="H3241" s="43">
        <v>501100</v>
      </c>
      <c r="I3241" s="43" t="s">
        <v>949</v>
      </c>
      <c r="J3241" s="44" t="s">
        <v>1000</v>
      </c>
    </row>
    <row r="3242" ht="22" customHeight="1" spans="1:10" x14ac:dyDescent="0.25">
      <c r="A3242" s="43">
        <v>3130</v>
      </c>
      <c r="B3242" s="43">
        <v>10</v>
      </c>
      <c r="C3242" s="43" t="s">
        <v>962</v>
      </c>
      <c r="D3242" s="43" t="s">
        <v>1009</v>
      </c>
      <c r="E3242" s="43" t="s">
        <v>314</v>
      </c>
      <c r="F3242" s="43" t="s">
        <v>955</v>
      </c>
      <c r="G3242" s="43">
        <v>1077777</v>
      </c>
      <c r="H3242" s="43">
        <v>501100</v>
      </c>
      <c r="I3242" s="43" t="s">
        <v>949</v>
      </c>
      <c r="J3242" s="44" t="s">
        <v>1000</v>
      </c>
    </row>
    <row r="3243" ht="22" customHeight="1" spans="1:10" x14ac:dyDescent="0.25">
      <c r="A3243" s="43">
        <v>3130</v>
      </c>
      <c r="B3243" s="43">
        <v>10</v>
      </c>
      <c r="C3243" s="43" t="s">
        <v>962</v>
      </c>
      <c r="D3243" s="43" t="s">
        <v>1009</v>
      </c>
      <c r="E3243" s="43" t="s">
        <v>314</v>
      </c>
      <c r="F3243" s="43" t="s">
        <v>956</v>
      </c>
      <c r="G3243" s="43">
        <v>1077777</v>
      </c>
      <c r="H3243" s="43">
        <v>501100</v>
      </c>
      <c r="I3243" s="43" t="s">
        <v>949</v>
      </c>
      <c r="J3243" s="44" t="s">
        <v>1000</v>
      </c>
    </row>
    <row r="3244" ht="22" customHeight="1" spans="1:10" x14ac:dyDescent="0.25">
      <c r="A3244" s="43">
        <v>3130</v>
      </c>
      <c r="B3244" s="43">
        <v>10</v>
      </c>
      <c r="C3244" s="43" t="s">
        <v>962</v>
      </c>
      <c r="D3244" s="43" t="s">
        <v>1009</v>
      </c>
      <c r="E3244" s="43" t="s">
        <v>314</v>
      </c>
      <c r="F3244" s="43" t="s">
        <v>957</v>
      </c>
      <c r="G3244" s="43">
        <v>1077777</v>
      </c>
      <c r="H3244" s="43">
        <v>501100</v>
      </c>
      <c r="I3244" s="43" t="s">
        <v>949</v>
      </c>
      <c r="J3244" s="44" t="s">
        <v>1000</v>
      </c>
    </row>
    <row r="3245" ht="22" customHeight="1" spans="1:10" x14ac:dyDescent="0.25">
      <c r="A3245" s="43">
        <v>3130</v>
      </c>
      <c r="B3245" s="43">
        <v>10</v>
      </c>
      <c r="C3245" s="43" t="s">
        <v>962</v>
      </c>
      <c r="D3245" s="43" t="s">
        <v>1009</v>
      </c>
      <c r="E3245" s="43" t="s">
        <v>314</v>
      </c>
      <c r="F3245" s="43" t="s">
        <v>958</v>
      </c>
      <c r="G3245" s="43">
        <v>1077777</v>
      </c>
      <c r="H3245" s="43">
        <v>501100</v>
      </c>
      <c r="I3245" s="43" t="s">
        <v>949</v>
      </c>
      <c r="J3245" s="44" t="s">
        <v>1000</v>
      </c>
    </row>
    <row r="3246" ht="22" customHeight="1" spans="1:10" x14ac:dyDescent="0.25">
      <c r="A3246" s="43">
        <v>3130</v>
      </c>
      <c r="B3246" s="43">
        <v>10</v>
      </c>
      <c r="C3246" s="43" t="s">
        <v>962</v>
      </c>
      <c r="D3246" s="43" t="s">
        <v>1009</v>
      </c>
      <c r="E3246" s="43" t="s">
        <v>314</v>
      </c>
      <c r="F3246" s="43" t="s">
        <v>959</v>
      </c>
      <c r="G3246" s="43">
        <v>1077777</v>
      </c>
      <c r="H3246" s="43">
        <v>501100</v>
      </c>
      <c r="I3246" s="43" t="s">
        <v>949</v>
      </c>
      <c r="J3246" s="44" t="s">
        <v>1000</v>
      </c>
    </row>
    <row r="3247" ht="22" customHeight="1" spans="1:10" x14ac:dyDescent="0.25">
      <c r="A3247" s="43">
        <v>3130</v>
      </c>
      <c r="B3247" s="43">
        <v>10</v>
      </c>
      <c r="C3247" s="43" t="s">
        <v>962</v>
      </c>
      <c r="D3247" s="43" t="s">
        <v>1009</v>
      </c>
      <c r="E3247" s="43" t="s">
        <v>314</v>
      </c>
      <c r="F3247" s="43" t="s">
        <v>960</v>
      </c>
      <c r="G3247" s="43">
        <v>1077777</v>
      </c>
      <c r="H3247" s="43">
        <v>501100</v>
      </c>
      <c r="I3247" s="43" t="s">
        <v>949</v>
      </c>
      <c r="J3247" s="44" t="s">
        <v>1000</v>
      </c>
    </row>
    <row r="3248" ht="22" customHeight="1" spans="1:10" x14ac:dyDescent="0.25">
      <c r="A3248" s="43">
        <v>3130</v>
      </c>
      <c r="B3248" s="43">
        <v>10</v>
      </c>
      <c r="C3248" s="43" t="s">
        <v>962</v>
      </c>
      <c r="D3248" s="43" t="s">
        <v>1009</v>
      </c>
      <c r="E3248" s="43" t="s">
        <v>314</v>
      </c>
      <c r="F3248" s="43" t="s">
        <v>961</v>
      </c>
      <c r="G3248" s="43">
        <v>1077777</v>
      </c>
      <c r="H3248" s="43">
        <v>501100</v>
      </c>
      <c r="I3248" s="43" t="s">
        <v>949</v>
      </c>
      <c r="J3248" s="44" t="s">
        <v>1000</v>
      </c>
    </row>
    <row r="3249" ht="22" customHeight="1" spans="1:10" x14ac:dyDescent="0.25">
      <c r="A3249" s="43">
        <v>3130</v>
      </c>
      <c r="B3249" s="43">
        <v>10</v>
      </c>
      <c r="C3249" s="43" t="s">
        <v>963</v>
      </c>
      <c r="D3249" s="43" t="s">
        <v>1009</v>
      </c>
      <c r="E3249" s="43" t="s">
        <v>314</v>
      </c>
      <c r="F3249" s="43" t="s">
        <v>951</v>
      </c>
      <c r="G3249" s="43">
        <v>1077777</v>
      </c>
      <c r="H3249" s="43">
        <v>501100</v>
      </c>
      <c r="I3249" s="43" t="s">
        <v>949</v>
      </c>
      <c r="J3249" s="44" t="s">
        <v>1000</v>
      </c>
    </row>
    <row r="3250" ht="22" customHeight="1" spans="1:10" x14ac:dyDescent="0.25">
      <c r="A3250" s="43">
        <v>3130</v>
      </c>
      <c r="B3250" s="43">
        <v>10</v>
      </c>
      <c r="C3250" s="43" t="s">
        <v>963</v>
      </c>
      <c r="D3250" s="43" t="s">
        <v>1009</v>
      </c>
      <c r="E3250" s="43" t="s">
        <v>314</v>
      </c>
      <c r="F3250" s="43" t="s">
        <v>952</v>
      </c>
      <c r="G3250" s="43">
        <v>1077777</v>
      </c>
      <c r="H3250" s="43">
        <v>501100</v>
      </c>
      <c r="I3250" s="43" t="s">
        <v>949</v>
      </c>
      <c r="J3250" s="44" t="s">
        <v>1000</v>
      </c>
    </row>
    <row r="3251" ht="22" customHeight="1" spans="1:10" x14ac:dyDescent="0.25">
      <c r="A3251" s="43">
        <v>3130</v>
      </c>
      <c r="B3251" s="43">
        <v>10</v>
      </c>
      <c r="C3251" s="43" t="s">
        <v>963</v>
      </c>
      <c r="D3251" s="43" t="s">
        <v>1009</v>
      </c>
      <c r="E3251" s="43" t="s">
        <v>314</v>
      </c>
      <c r="F3251" s="43" t="s">
        <v>953</v>
      </c>
      <c r="G3251" s="43">
        <v>1077777</v>
      </c>
      <c r="H3251" s="43">
        <v>501100</v>
      </c>
      <c r="I3251" s="43" t="s">
        <v>949</v>
      </c>
      <c r="J3251" s="44" t="s">
        <v>1000</v>
      </c>
    </row>
    <row r="3252" ht="22" customHeight="1" spans="1:10" x14ac:dyDescent="0.25">
      <c r="A3252" s="43">
        <v>3130</v>
      </c>
      <c r="B3252" s="43">
        <v>10</v>
      </c>
      <c r="C3252" s="43" t="s">
        <v>963</v>
      </c>
      <c r="D3252" s="43" t="s">
        <v>1009</v>
      </c>
      <c r="E3252" s="43" t="s">
        <v>314</v>
      </c>
      <c r="F3252" s="43" t="s">
        <v>954</v>
      </c>
      <c r="G3252" s="43">
        <v>1077777</v>
      </c>
      <c r="H3252" s="43">
        <v>501100</v>
      </c>
      <c r="I3252" s="43" t="s">
        <v>949</v>
      </c>
      <c r="J3252" s="44" t="s">
        <v>1000</v>
      </c>
    </row>
    <row r="3253" ht="22" customHeight="1" spans="1:10" x14ac:dyDescent="0.25">
      <c r="A3253" s="43">
        <v>3130</v>
      </c>
      <c r="B3253" s="43">
        <v>10</v>
      </c>
      <c r="C3253" s="43" t="s">
        <v>963</v>
      </c>
      <c r="D3253" s="43" t="s">
        <v>1009</v>
      </c>
      <c r="E3253" s="43" t="s">
        <v>314</v>
      </c>
      <c r="F3253" s="43" t="s">
        <v>955</v>
      </c>
      <c r="G3253" s="43">
        <v>1077777</v>
      </c>
      <c r="H3253" s="43">
        <v>501100</v>
      </c>
      <c r="I3253" s="43" t="s">
        <v>949</v>
      </c>
      <c r="J3253" s="44" t="s">
        <v>1000</v>
      </c>
    </row>
    <row r="3254" ht="22" customHeight="1" spans="1:10" x14ac:dyDescent="0.25">
      <c r="A3254" s="43">
        <v>3130</v>
      </c>
      <c r="B3254" s="43">
        <v>10</v>
      </c>
      <c r="C3254" s="43" t="s">
        <v>963</v>
      </c>
      <c r="D3254" s="43" t="s">
        <v>1009</v>
      </c>
      <c r="E3254" s="43" t="s">
        <v>314</v>
      </c>
      <c r="F3254" s="43" t="s">
        <v>956</v>
      </c>
      <c r="G3254" s="43">
        <v>1077777</v>
      </c>
      <c r="H3254" s="43">
        <v>501100</v>
      </c>
      <c r="I3254" s="43" t="s">
        <v>949</v>
      </c>
      <c r="J3254" s="44" t="s">
        <v>1000</v>
      </c>
    </row>
    <row r="3255" ht="22" customHeight="1" spans="1:10" x14ac:dyDescent="0.25">
      <c r="A3255" s="43">
        <v>3130</v>
      </c>
      <c r="B3255" s="43">
        <v>10</v>
      </c>
      <c r="C3255" s="43" t="s">
        <v>963</v>
      </c>
      <c r="D3255" s="43" t="s">
        <v>1009</v>
      </c>
      <c r="E3255" s="43" t="s">
        <v>314</v>
      </c>
      <c r="F3255" s="43" t="s">
        <v>957</v>
      </c>
      <c r="G3255" s="43">
        <v>1077777</v>
      </c>
      <c r="H3255" s="43">
        <v>501100</v>
      </c>
      <c r="I3255" s="43" t="s">
        <v>949</v>
      </c>
      <c r="J3255" s="44" t="s">
        <v>1000</v>
      </c>
    </row>
    <row r="3256" ht="22" customHeight="1" spans="1:10" x14ac:dyDescent="0.25">
      <c r="A3256" s="43">
        <v>3130</v>
      </c>
      <c r="B3256" s="43">
        <v>10</v>
      </c>
      <c r="C3256" s="43" t="s">
        <v>963</v>
      </c>
      <c r="D3256" s="43" t="s">
        <v>1009</v>
      </c>
      <c r="E3256" s="43" t="s">
        <v>314</v>
      </c>
      <c r="F3256" s="43" t="s">
        <v>958</v>
      </c>
      <c r="G3256" s="43">
        <v>1077777</v>
      </c>
      <c r="H3256" s="43">
        <v>501100</v>
      </c>
      <c r="I3256" s="43" t="s">
        <v>949</v>
      </c>
      <c r="J3256" s="44" t="s">
        <v>1000</v>
      </c>
    </row>
    <row r="3257" ht="22" customHeight="1" spans="1:10" x14ac:dyDescent="0.25">
      <c r="A3257" s="43">
        <v>3130</v>
      </c>
      <c r="B3257" s="43">
        <v>10</v>
      </c>
      <c r="C3257" s="43" t="s">
        <v>963</v>
      </c>
      <c r="D3257" s="43" t="s">
        <v>1009</v>
      </c>
      <c r="E3257" s="43" t="s">
        <v>314</v>
      </c>
      <c r="F3257" s="43" t="s">
        <v>959</v>
      </c>
      <c r="G3257" s="43">
        <v>1077777</v>
      </c>
      <c r="H3257" s="43">
        <v>501100</v>
      </c>
      <c r="I3257" s="43" t="s">
        <v>949</v>
      </c>
      <c r="J3257" s="44" t="s">
        <v>1000</v>
      </c>
    </row>
    <row r="3258" ht="22" customHeight="1" spans="1:10" x14ac:dyDescent="0.25">
      <c r="A3258" s="43">
        <v>3130</v>
      </c>
      <c r="B3258" s="43">
        <v>10</v>
      </c>
      <c r="C3258" s="43" t="s">
        <v>963</v>
      </c>
      <c r="D3258" s="43" t="s">
        <v>1009</v>
      </c>
      <c r="E3258" s="43" t="s">
        <v>314</v>
      </c>
      <c r="F3258" s="43" t="s">
        <v>960</v>
      </c>
      <c r="G3258" s="43">
        <v>1077777</v>
      </c>
      <c r="H3258" s="43">
        <v>501100</v>
      </c>
      <c r="I3258" s="43" t="s">
        <v>949</v>
      </c>
      <c r="J3258" s="44" t="s">
        <v>1000</v>
      </c>
    </row>
    <row r="3259" ht="22" customHeight="1" spans="1:10" x14ac:dyDescent="0.25">
      <c r="A3259" s="43">
        <v>3130</v>
      </c>
      <c r="B3259" s="43">
        <v>10</v>
      </c>
      <c r="C3259" s="43" t="s">
        <v>963</v>
      </c>
      <c r="D3259" s="43" t="s">
        <v>1009</v>
      </c>
      <c r="E3259" s="43" t="s">
        <v>314</v>
      </c>
      <c r="F3259" s="43" t="s">
        <v>961</v>
      </c>
      <c r="G3259" s="43">
        <v>1077777</v>
      </c>
      <c r="H3259" s="43">
        <v>501100</v>
      </c>
      <c r="I3259" s="43" t="s">
        <v>949</v>
      </c>
      <c r="J3259" s="44" t="s">
        <v>1000</v>
      </c>
    </row>
    <row r="3260" spans="1:9" x14ac:dyDescent="0.25">
      <c r="A3260">
        <v>4122</v>
      </c>
      <c r="B3260">
        <v>10</v>
      </c>
      <c r="C3260" t="s">
        <v>946</v>
      </c>
      <c r="D3260" t="s">
        <v>1009</v>
      </c>
      <c r="E3260" t="s">
        <v>314</v>
      </c>
      <c r="F3260" t="s">
        <v>948</v>
      </c>
      <c r="G3260">
        <v>1000000</v>
      </c>
      <c r="H3260">
        <v>145000</v>
      </c>
      <c r="I3260" t="s">
        <v>949</v>
      </c>
    </row>
    <row r="3261" spans="1:9" x14ac:dyDescent="0.25">
      <c r="A3261">
        <v>4124</v>
      </c>
      <c r="B3261">
        <v>10</v>
      </c>
      <c r="C3261" t="s">
        <v>946</v>
      </c>
      <c r="D3261" t="s">
        <v>1009</v>
      </c>
      <c r="E3261" t="s">
        <v>314</v>
      </c>
      <c r="F3261" t="s">
        <v>948</v>
      </c>
      <c r="G3261">
        <v>1077777</v>
      </c>
      <c r="H3261">
        <v>501100</v>
      </c>
      <c r="I3261" t="s">
        <v>949</v>
      </c>
    </row>
    <row r="3262" spans="1:9" x14ac:dyDescent="0.25">
      <c r="A3262">
        <v>3130</v>
      </c>
      <c r="B3262">
        <v>10</v>
      </c>
      <c r="C3262" t="s">
        <v>950</v>
      </c>
      <c r="D3262" t="s">
        <v>1009</v>
      </c>
      <c r="E3262" t="s">
        <v>121</v>
      </c>
      <c r="F3262" t="s">
        <v>951</v>
      </c>
      <c r="G3262">
        <v>1077777</v>
      </c>
      <c r="H3262">
        <v>500220</v>
      </c>
      <c r="I3262" t="s">
        <v>949</v>
      </c>
    </row>
    <row r="3263" spans="1:9" x14ac:dyDescent="0.25">
      <c r="A3263">
        <v>3130</v>
      </c>
      <c r="B3263">
        <v>10</v>
      </c>
      <c r="C3263" t="s">
        <v>962</v>
      </c>
      <c r="D3263" t="s">
        <v>1009</v>
      </c>
      <c r="E3263" t="s">
        <v>121</v>
      </c>
      <c r="F3263" t="s">
        <v>951</v>
      </c>
      <c r="G3263">
        <v>1077777</v>
      </c>
      <c r="H3263">
        <v>500220</v>
      </c>
      <c r="I3263" t="s">
        <v>949</v>
      </c>
    </row>
    <row r="3264" spans="1:9" x14ac:dyDescent="0.25">
      <c r="A3264">
        <v>3130</v>
      </c>
      <c r="B3264">
        <v>10</v>
      </c>
      <c r="C3264" t="s">
        <v>963</v>
      </c>
      <c r="D3264" t="s">
        <v>1009</v>
      </c>
      <c r="E3264" t="s">
        <v>121</v>
      </c>
      <c r="F3264" t="s">
        <v>951</v>
      </c>
      <c r="G3264">
        <v>1077777</v>
      </c>
      <c r="H3264">
        <v>500220</v>
      </c>
      <c r="I3264" t="s">
        <v>949</v>
      </c>
    </row>
    <row r="3265" spans="1:9" x14ac:dyDescent="0.25">
      <c r="A3265">
        <v>4122</v>
      </c>
      <c r="B3265">
        <v>10</v>
      </c>
      <c r="C3265" t="s">
        <v>946</v>
      </c>
      <c r="D3265" t="s">
        <v>1009</v>
      </c>
      <c r="E3265" t="s">
        <v>121</v>
      </c>
      <c r="F3265" t="s">
        <v>948</v>
      </c>
      <c r="G3265">
        <v>1077777</v>
      </c>
      <c r="H3265">
        <v>500220</v>
      </c>
      <c r="I3265" t="s">
        <v>949</v>
      </c>
    </row>
    <row r="3266" spans="1:9" x14ac:dyDescent="0.25">
      <c r="A3266">
        <v>4124</v>
      </c>
      <c r="B3266">
        <v>10</v>
      </c>
      <c r="C3266" t="s">
        <v>946</v>
      </c>
      <c r="D3266" t="s">
        <v>1009</v>
      </c>
      <c r="E3266" t="s">
        <v>121</v>
      </c>
      <c r="F3266" t="s">
        <v>948</v>
      </c>
      <c r="G3266">
        <v>1077777</v>
      </c>
      <c r="H3266">
        <v>50220</v>
      </c>
      <c r="I3266" t="s">
        <v>949</v>
      </c>
    </row>
    <row r="3267" ht="22" customHeight="1" spans="1:10" x14ac:dyDescent="0.25">
      <c r="A3267" s="43">
        <v>3130</v>
      </c>
      <c r="B3267" s="43">
        <v>10</v>
      </c>
      <c r="C3267" s="43" t="s">
        <v>950</v>
      </c>
      <c r="D3267" s="43" t="s">
        <v>1009</v>
      </c>
      <c r="E3267" s="43" t="s">
        <v>984</v>
      </c>
      <c r="F3267" s="43" t="s">
        <v>951</v>
      </c>
      <c r="G3267" s="43">
        <v>1077777</v>
      </c>
      <c r="H3267" s="43">
        <v>501100</v>
      </c>
      <c r="I3267" s="43" t="s">
        <v>949</v>
      </c>
      <c r="J3267" s="44" t="s">
        <v>1000</v>
      </c>
    </row>
    <row r="3268" ht="22" customHeight="1" spans="1:10" x14ac:dyDescent="0.25">
      <c r="A3268" s="43">
        <v>3130</v>
      </c>
      <c r="B3268" s="43">
        <v>10</v>
      </c>
      <c r="C3268" s="43" t="s">
        <v>950</v>
      </c>
      <c r="D3268" s="43" t="s">
        <v>1009</v>
      </c>
      <c r="E3268" s="43" t="s">
        <v>984</v>
      </c>
      <c r="F3268" s="43" t="s">
        <v>952</v>
      </c>
      <c r="G3268" s="43">
        <v>1077777</v>
      </c>
      <c r="H3268" s="43">
        <v>501100</v>
      </c>
      <c r="I3268" s="43" t="s">
        <v>949</v>
      </c>
      <c r="J3268" s="44" t="s">
        <v>1000</v>
      </c>
    </row>
    <row r="3269" ht="22" customHeight="1" spans="1:10" x14ac:dyDescent="0.25">
      <c r="A3269" s="43">
        <v>3130</v>
      </c>
      <c r="B3269" s="43">
        <v>10</v>
      </c>
      <c r="C3269" s="43" t="s">
        <v>950</v>
      </c>
      <c r="D3269" s="43" t="s">
        <v>1009</v>
      </c>
      <c r="E3269" s="43" t="s">
        <v>984</v>
      </c>
      <c r="F3269" s="43" t="s">
        <v>953</v>
      </c>
      <c r="G3269" s="43">
        <v>1077777</v>
      </c>
      <c r="H3269" s="43">
        <v>501100</v>
      </c>
      <c r="I3269" s="43" t="s">
        <v>949</v>
      </c>
      <c r="J3269" s="44" t="s">
        <v>1000</v>
      </c>
    </row>
    <row r="3270" ht="22" customHeight="1" spans="1:10" x14ac:dyDescent="0.25">
      <c r="A3270" s="43">
        <v>3130</v>
      </c>
      <c r="B3270" s="43">
        <v>10</v>
      </c>
      <c r="C3270" s="43" t="s">
        <v>950</v>
      </c>
      <c r="D3270" s="43" t="s">
        <v>1009</v>
      </c>
      <c r="E3270" s="43" t="s">
        <v>984</v>
      </c>
      <c r="F3270" s="43" t="s">
        <v>954</v>
      </c>
      <c r="G3270" s="43">
        <v>1077777</v>
      </c>
      <c r="H3270" s="43">
        <v>501100</v>
      </c>
      <c r="I3270" s="43" t="s">
        <v>949</v>
      </c>
      <c r="J3270" s="44" t="s">
        <v>1000</v>
      </c>
    </row>
    <row r="3271" ht="22" customHeight="1" spans="1:10" x14ac:dyDescent="0.25">
      <c r="A3271" s="43">
        <v>3130</v>
      </c>
      <c r="B3271" s="43">
        <v>10</v>
      </c>
      <c r="C3271" s="43" t="s">
        <v>950</v>
      </c>
      <c r="D3271" s="43" t="s">
        <v>1009</v>
      </c>
      <c r="E3271" s="43" t="s">
        <v>984</v>
      </c>
      <c r="F3271" s="43" t="s">
        <v>955</v>
      </c>
      <c r="G3271" s="43">
        <v>1077777</v>
      </c>
      <c r="H3271" s="43">
        <v>501100</v>
      </c>
      <c r="I3271" s="43" t="s">
        <v>949</v>
      </c>
      <c r="J3271" s="44" t="s">
        <v>1000</v>
      </c>
    </row>
    <row r="3272" ht="22" customHeight="1" spans="1:10" x14ac:dyDescent="0.25">
      <c r="A3272" s="43">
        <v>3130</v>
      </c>
      <c r="B3272" s="43">
        <v>10</v>
      </c>
      <c r="C3272" s="43" t="s">
        <v>950</v>
      </c>
      <c r="D3272" s="43" t="s">
        <v>1009</v>
      </c>
      <c r="E3272" s="43" t="s">
        <v>984</v>
      </c>
      <c r="F3272" s="43" t="s">
        <v>956</v>
      </c>
      <c r="G3272" s="43">
        <v>1077777</v>
      </c>
      <c r="H3272" s="43">
        <v>501100</v>
      </c>
      <c r="I3272" s="43" t="s">
        <v>949</v>
      </c>
      <c r="J3272" s="44" t="s">
        <v>1000</v>
      </c>
    </row>
    <row r="3273" ht="22" customHeight="1" spans="1:10" x14ac:dyDescent="0.25">
      <c r="A3273" s="43">
        <v>3130</v>
      </c>
      <c r="B3273" s="43">
        <v>10</v>
      </c>
      <c r="C3273" s="43" t="s">
        <v>950</v>
      </c>
      <c r="D3273" s="43" t="s">
        <v>1009</v>
      </c>
      <c r="E3273" s="43" t="s">
        <v>984</v>
      </c>
      <c r="F3273" s="43" t="s">
        <v>957</v>
      </c>
      <c r="G3273" s="43">
        <v>1077777</v>
      </c>
      <c r="H3273" s="43">
        <v>501100</v>
      </c>
      <c r="I3273" s="43" t="s">
        <v>949</v>
      </c>
      <c r="J3273" s="44" t="s">
        <v>1000</v>
      </c>
    </row>
    <row r="3274" ht="22" customHeight="1" spans="1:10" x14ac:dyDescent="0.25">
      <c r="A3274" s="43">
        <v>3130</v>
      </c>
      <c r="B3274" s="43">
        <v>10</v>
      </c>
      <c r="C3274" s="43" t="s">
        <v>950</v>
      </c>
      <c r="D3274" s="43" t="s">
        <v>1009</v>
      </c>
      <c r="E3274" s="43" t="s">
        <v>984</v>
      </c>
      <c r="F3274" s="43" t="s">
        <v>958</v>
      </c>
      <c r="G3274" s="43">
        <v>1077777</v>
      </c>
      <c r="H3274" s="43">
        <v>501100</v>
      </c>
      <c r="I3274" s="43" t="s">
        <v>949</v>
      </c>
      <c r="J3274" s="44" t="s">
        <v>1000</v>
      </c>
    </row>
    <row r="3275" ht="22" customHeight="1" spans="1:10" x14ac:dyDescent="0.25">
      <c r="A3275" s="43">
        <v>3130</v>
      </c>
      <c r="B3275" s="43">
        <v>10</v>
      </c>
      <c r="C3275" s="43" t="s">
        <v>950</v>
      </c>
      <c r="D3275" s="43" t="s">
        <v>1009</v>
      </c>
      <c r="E3275" s="43" t="s">
        <v>984</v>
      </c>
      <c r="F3275" s="43" t="s">
        <v>959</v>
      </c>
      <c r="G3275" s="43">
        <v>1077777</v>
      </c>
      <c r="H3275" s="43">
        <v>501100</v>
      </c>
      <c r="I3275" s="43" t="s">
        <v>949</v>
      </c>
      <c r="J3275" s="44" t="s">
        <v>1000</v>
      </c>
    </row>
    <row r="3276" ht="22" customHeight="1" spans="1:10" x14ac:dyDescent="0.25">
      <c r="A3276" s="43">
        <v>3130</v>
      </c>
      <c r="B3276" s="43">
        <v>10</v>
      </c>
      <c r="C3276" s="43" t="s">
        <v>950</v>
      </c>
      <c r="D3276" s="43" t="s">
        <v>1009</v>
      </c>
      <c r="E3276" s="43" t="s">
        <v>984</v>
      </c>
      <c r="F3276" s="43" t="s">
        <v>960</v>
      </c>
      <c r="G3276" s="43">
        <v>1077777</v>
      </c>
      <c r="H3276" s="43">
        <v>501100</v>
      </c>
      <c r="I3276" s="43" t="s">
        <v>949</v>
      </c>
      <c r="J3276" s="44" t="s">
        <v>1000</v>
      </c>
    </row>
    <row r="3277" ht="22" customHeight="1" spans="1:10" x14ac:dyDescent="0.25">
      <c r="A3277" s="43">
        <v>3130</v>
      </c>
      <c r="B3277" s="43">
        <v>10</v>
      </c>
      <c r="C3277" s="43" t="s">
        <v>950</v>
      </c>
      <c r="D3277" s="43" t="s">
        <v>1009</v>
      </c>
      <c r="E3277" s="43" t="s">
        <v>984</v>
      </c>
      <c r="F3277" s="43" t="s">
        <v>961</v>
      </c>
      <c r="G3277" s="43">
        <v>1077777</v>
      </c>
      <c r="H3277" s="43">
        <v>501100</v>
      </c>
      <c r="I3277" s="43" t="s">
        <v>949</v>
      </c>
      <c r="J3277" s="44" t="s">
        <v>1000</v>
      </c>
    </row>
    <row r="3278" ht="22" customHeight="1" spans="1:10" x14ac:dyDescent="0.25">
      <c r="A3278" s="43">
        <v>3130</v>
      </c>
      <c r="B3278" s="43">
        <v>10</v>
      </c>
      <c r="C3278" s="43" t="s">
        <v>962</v>
      </c>
      <c r="D3278" s="43" t="s">
        <v>1009</v>
      </c>
      <c r="E3278" s="43" t="s">
        <v>984</v>
      </c>
      <c r="F3278" s="43" t="s">
        <v>951</v>
      </c>
      <c r="G3278" s="43">
        <v>1077777</v>
      </c>
      <c r="H3278" s="43">
        <v>501100</v>
      </c>
      <c r="I3278" s="43" t="s">
        <v>949</v>
      </c>
      <c r="J3278" s="44" t="s">
        <v>1000</v>
      </c>
    </row>
    <row r="3279" ht="22" customHeight="1" spans="1:10" x14ac:dyDescent="0.25">
      <c r="A3279" s="43">
        <v>3130</v>
      </c>
      <c r="B3279" s="43">
        <v>10</v>
      </c>
      <c r="C3279" s="43" t="s">
        <v>962</v>
      </c>
      <c r="D3279" s="43" t="s">
        <v>1009</v>
      </c>
      <c r="E3279" s="43" t="s">
        <v>984</v>
      </c>
      <c r="F3279" s="43" t="s">
        <v>952</v>
      </c>
      <c r="G3279" s="43">
        <v>1077777</v>
      </c>
      <c r="H3279" s="43">
        <v>501100</v>
      </c>
      <c r="I3279" s="43" t="s">
        <v>949</v>
      </c>
      <c r="J3279" s="44" t="s">
        <v>1000</v>
      </c>
    </row>
    <row r="3280" ht="22" customHeight="1" spans="1:10" x14ac:dyDescent="0.25">
      <c r="A3280" s="43">
        <v>3130</v>
      </c>
      <c r="B3280" s="43">
        <v>10</v>
      </c>
      <c r="C3280" s="43" t="s">
        <v>962</v>
      </c>
      <c r="D3280" s="43" t="s">
        <v>1009</v>
      </c>
      <c r="E3280" s="43" t="s">
        <v>984</v>
      </c>
      <c r="F3280" s="43" t="s">
        <v>953</v>
      </c>
      <c r="G3280" s="43">
        <v>1077777</v>
      </c>
      <c r="H3280" s="43">
        <v>501100</v>
      </c>
      <c r="I3280" s="43" t="s">
        <v>949</v>
      </c>
      <c r="J3280" s="44" t="s">
        <v>1000</v>
      </c>
    </row>
    <row r="3281" ht="22" customHeight="1" spans="1:10" x14ac:dyDescent="0.25">
      <c r="A3281" s="43">
        <v>3130</v>
      </c>
      <c r="B3281" s="43">
        <v>10</v>
      </c>
      <c r="C3281" s="43" t="s">
        <v>962</v>
      </c>
      <c r="D3281" s="43" t="s">
        <v>1009</v>
      </c>
      <c r="E3281" s="43" t="s">
        <v>984</v>
      </c>
      <c r="F3281" s="43" t="s">
        <v>954</v>
      </c>
      <c r="G3281" s="43">
        <v>1077777</v>
      </c>
      <c r="H3281" s="43">
        <v>501100</v>
      </c>
      <c r="I3281" s="43" t="s">
        <v>949</v>
      </c>
      <c r="J3281" s="44" t="s">
        <v>1000</v>
      </c>
    </row>
    <row r="3282" ht="22" customHeight="1" spans="1:10" x14ac:dyDescent="0.25">
      <c r="A3282" s="43">
        <v>3130</v>
      </c>
      <c r="B3282" s="43">
        <v>10</v>
      </c>
      <c r="C3282" s="43" t="s">
        <v>962</v>
      </c>
      <c r="D3282" s="43" t="s">
        <v>1009</v>
      </c>
      <c r="E3282" s="43" t="s">
        <v>984</v>
      </c>
      <c r="F3282" s="43" t="s">
        <v>955</v>
      </c>
      <c r="G3282" s="43">
        <v>1077777</v>
      </c>
      <c r="H3282" s="43">
        <v>501100</v>
      </c>
      <c r="I3282" s="43" t="s">
        <v>949</v>
      </c>
      <c r="J3282" s="44" t="s">
        <v>1000</v>
      </c>
    </row>
    <row r="3283" ht="22" customHeight="1" spans="1:10" x14ac:dyDescent="0.25">
      <c r="A3283" s="43">
        <v>3130</v>
      </c>
      <c r="B3283" s="43">
        <v>10</v>
      </c>
      <c r="C3283" s="43" t="s">
        <v>962</v>
      </c>
      <c r="D3283" s="43" t="s">
        <v>1009</v>
      </c>
      <c r="E3283" s="43" t="s">
        <v>984</v>
      </c>
      <c r="F3283" s="43" t="s">
        <v>956</v>
      </c>
      <c r="G3283" s="43">
        <v>1077777</v>
      </c>
      <c r="H3283" s="43">
        <v>501100</v>
      </c>
      <c r="I3283" s="43" t="s">
        <v>949</v>
      </c>
      <c r="J3283" s="44" t="s">
        <v>1000</v>
      </c>
    </row>
    <row r="3284" ht="22" customHeight="1" spans="1:10" x14ac:dyDescent="0.25">
      <c r="A3284" s="43">
        <v>3130</v>
      </c>
      <c r="B3284" s="43">
        <v>10</v>
      </c>
      <c r="C3284" s="43" t="s">
        <v>962</v>
      </c>
      <c r="D3284" s="43" t="s">
        <v>1009</v>
      </c>
      <c r="E3284" s="43" t="s">
        <v>984</v>
      </c>
      <c r="F3284" s="43" t="s">
        <v>957</v>
      </c>
      <c r="G3284" s="43">
        <v>1077777</v>
      </c>
      <c r="H3284" s="43">
        <v>501100</v>
      </c>
      <c r="I3284" s="43" t="s">
        <v>949</v>
      </c>
      <c r="J3284" s="44" t="s">
        <v>1000</v>
      </c>
    </row>
    <row r="3285" ht="22" customHeight="1" spans="1:10" x14ac:dyDescent="0.25">
      <c r="A3285" s="43">
        <v>3130</v>
      </c>
      <c r="B3285" s="43">
        <v>10</v>
      </c>
      <c r="C3285" s="43" t="s">
        <v>962</v>
      </c>
      <c r="D3285" s="43" t="s">
        <v>1009</v>
      </c>
      <c r="E3285" s="43" t="s">
        <v>984</v>
      </c>
      <c r="F3285" s="43" t="s">
        <v>958</v>
      </c>
      <c r="G3285" s="43">
        <v>1077777</v>
      </c>
      <c r="H3285" s="43">
        <v>501100</v>
      </c>
      <c r="I3285" s="43" t="s">
        <v>949</v>
      </c>
      <c r="J3285" s="44" t="s">
        <v>1000</v>
      </c>
    </row>
    <row r="3286" ht="22" customHeight="1" spans="1:10" x14ac:dyDescent="0.25">
      <c r="A3286" s="43">
        <v>3130</v>
      </c>
      <c r="B3286" s="43">
        <v>10</v>
      </c>
      <c r="C3286" s="43" t="s">
        <v>962</v>
      </c>
      <c r="D3286" s="43" t="s">
        <v>1009</v>
      </c>
      <c r="E3286" s="43" t="s">
        <v>984</v>
      </c>
      <c r="F3286" s="43" t="s">
        <v>959</v>
      </c>
      <c r="G3286" s="43">
        <v>1077777</v>
      </c>
      <c r="H3286" s="43">
        <v>501100</v>
      </c>
      <c r="I3286" s="43" t="s">
        <v>949</v>
      </c>
      <c r="J3286" s="44" t="s">
        <v>1000</v>
      </c>
    </row>
    <row r="3287" ht="22" customHeight="1" spans="1:10" x14ac:dyDescent="0.25">
      <c r="A3287" s="43">
        <v>3130</v>
      </c>
      <c r="B3287" s="43">
        <v>10</v>
      </c>
      <c r="C3287" s="43" t="s">
        <v>962</v>
      </c>
      <c r="D3287" s="43" t="s">
        <v>1009</v>
      </c>
      <c r="E3287" s="43" t="s">
        <v>984</v>
      </c>
      <c r="F3287" s="43" t="s">
        <v>960</v>
      </c>
      <c r="G3287" s="43">
        <v>1077777</v>
      </c>
      <c r="H3287" s="43">
        <v>501100</v>
      </c>
      <c r="I3287" s="43" t="s">
        <v>949</v>
      </c>
      <c r="J3287" s="44" t="s">
        <v>1000</v>
      </c>
    </row>
    <row r="3288" ht="22" customHeight="1" spans="1:10" x14ac:dyDescent="0.25">
      <c r="A3288" s="43">
        <v>3130</v>
      </c>
      <c r="B3288" s="43">
        <v>10</v>
      </c>
      <c r="C3288" s="43" t="s">
        <v>962</v>
      </c>
      <c r="D3288" s="43" t="s">
        <v>1009</v>
      </c>
      <c r="E3288" s="43" t="s">
        <v>984</v>
      </c>
      <c r="F3288" s="43" t="s">
        <v>961</v>
      </c>
      <c r="G3288" s="43">
        <v>1077777</v>
      </c>
      <c r="H3288" s="43">
        <v>501100</v>
      </c>
      <c r="I3288" s="43" t="s">
        <v>949</v>
      </c>
      <c r="J3288" s="44" t="s">
        <v>1000</v>
      </c>
    </row>
    <row r="3289" ht="22" customHeight="1" spans="1:10" x14ac:dyDescent="0.25">
      <c r="A3289" s="43">
        <v>3130</v>
      </c>
      <c r="B3289" s="43">
        <v>10</v>
      </c>
      <c r="C3289" s="43" t="s">
        <v>963</v>
      </c>
      <c r="D3289" s="43" t="s">
        <v>1009</v>
      </c>
      <c r="E3289" s="43" t="s">
        <v>984</v>
      </c>
      <c r="F3289" s="43" t="s">
        <v>951</v>
      </c>
      <c r="G3289" s="43">
        <v>1077777</v>
      </c>
      <c r="H3289" s="43">
        <v>501100</v>
      </c>
      <c r="I3289" s="43" t="s">
        <v>949</v>
      </c>
      <c r="J3289" s="44" t="s">
        <v>1000</v>
      </c>
    </row>
    <row r="3290" ht="22" customHeight="1" spans="1:10" x14ac:dyDescent="0.25">
      <c r="A3290" s="43">
        <v>3130</v>
      </c>
      <c r="B3290" s="43">
        <v>10</v>
      </c>
      <c r="C3290" s="43" t="s">
        <v>963</v>
      </c>
      <c r="D3290" s="43" t="s">
        <v>1009</v>
      </c>
      <c r="E3290" s="43" t="s">
        <v>984</v>
      </c>
      <c r="F3290" s="43" t="s">
        <v>952</v>
      </c>
      <c r="G3290" s="43">
        <v>1077777</v>
      </c>
      <c r="H3290" s="43">
        <v>501100</v>
      </c>
      <c r="I3290" s="43" t="s">
        <v>949</v>
      </c>
      <c r="J3290" s="44" t="s">
        <v>1000</v>
      </c>
    </row>
    <row r="3291" ht="22" customHeight="1" spans="1:10" x14ac:dyDescent="0.25">
      <c r="A3291" s="43">
        <v>3130</v>
      </c>
      <c r="B3291" s="43">
        <v>10</v>
      </c>
      <c r="C3291" s="43" t="s">
        <v>963</v>
      </c>
      <c r="D3291" s="43" t="s">
        <v>1009</v>
      </c>
      <c r="E3291" s="43" t="s">
        <v>984</v>
      </c>
      <c r="F3291" s="43" t="s">
        <v>953</v>
      </c>
      <c r="G3291" s="43">
        <v>1077777</v>
      </c>
      <c r="H3291" s="43">
        <v>501100</v>
      </c>
      <c r="I3291" s="43" t="s">
        <v>949</v>
      </c>
      <c r="J3291" s="44" t="s">
        <v>1000</v>
      </c>
    </row>
    <row r="3292" ht="22" customHeight="1" spans="1:10" x14ac:dyDescent="0.25">
      <c r="A3292" s="43">
        <v>3130</v>
      </c>
      <c r="B3292" s="43">
        <v>10</v>
      </c>
      <c r="C3292" s="43" t="s">
        <v>963</v>
      </c>
      <c r="D3292" s="43" t="s">
        <v>1009</v>
      </c>
      <c r="E3292" s="43" t="s">
        <v>984</v>
      </c>
      <c r="F3292" s="43" t="s">
        <v>954</v>
      </c>
      <c r="G3292" s="43">
        <v>1077777</v>
      </c>
      <c r="H3292" s="43">
        <v>501100</v>
      </c>
      <c r="I3292" s="43" t="s">
        <v>949</v>
      </c>
      <c r="J3292" s="44" t="s">
        <v>1000</v>
      </c>
    </row>
    <row r="3293" ht="22" customHeight="1" spans="1:10" x14ac:dyDescent="0.25">
      <c r="A3293" s="43">
        <v>3130</v>
      </c>
      <c r="B3293" s="43">
        <v>10</v>
      </c>
      <c r="C3293" s="43" t="s">
        <v>963</v>
      </c>
      <c r="D3293" s="43" t="s">
        <v>1009</v>
      </c>
      <c r="E3293" s="43" t="s">
        <v>984</v>
      </c>
      <c r="F3293" s="43" t="s">
        <v>955</v>
      </c>
      <c r="G3293" s="43">
        <v>1077777</v>
      </c>
      <c r="H3293" s="43">
        <v>501100</v>
      </c>
      <c r="I3293" s="43" t="s">
        <v>949</v>
      </c>
      <c r="J3293" s="44" t="s">
        <v>1000</v>
      </c>
    </row>
    <row r="3294" ht="22" customHeight="1" spans="1:10" x14ac:dyDescent="0.25">
      <c r="A3294" s="43">
        <v>3130</v>
      </c>
      <c r="B3294" s="43">
        <v>10</v>
      </c>
      <c r="C3294" s="43" t="s">
        <v>963</v>
      </c>
      <c r="D3294" s="43" t="s">
        <v>1009</v>
      </c>
      <c r="E3294" s="43" t="s">
        <v>984</v>
      </c>
      <c r="F3294" s="43" t="s">
        <v>956</v>
      </c>
      <c r="G3294" s="43">
        <v>1077777</v>
      </c>
      <c r="H3294" s="43">
        <v>501100</v>
      </c>
      <c r="I3294" s="43" t="s">
        <v>949</v>
      </c>
      <c r="J3294" s="44" t="s">
        <v>1000</v>
      </c>
    </row>
    <row r="3295" ht="22" customHeight="1" spans="1:10" x14ac:dyDescent="0.25">
      <c r="A3295" s="43">
        <v>3130</v>
      </c>
      <c r="B3295" s="43">
        <v>10</v>
      </c>
      <c r="C3295" s="43" t="s">
        <v>963</v>
      </c>
      <c r="D3295" s="43" t="s">
        <v>1009</v>
      </c>
      <c r="E3295" s="43" t="s">
        <v>984</v>
      </c>
      <c r="F3295" s="43" t="s">
        <v>957</v>
      </c>
      <c r="G3295" s="43">
        <v>1077777</v>
      </c>
      <c r="H3295" s="43">
        <v>501100</v>
      </c>
      <c r="I3295" s="43" t="s">
        <v>949</v>
      </c>
      <c r="J3295" s="44" t="s">
        <v>1000</v>
      </c>
    </row>
    <row r="3296" ht="22" customHeight="1" spans="1:10" x14ac:dyDescent="0.25">
      <c r="A3296" s="43">
        <v>3130</v>
      </c>
      <c r="B3296" s="43">
        <v>10</v>
      </c>
      <c r="C3296" s="43" t="s">
        <v>963</v>
      </c>
      <c r="D3296" s="43" t="s">
        <v>1009</v>
      </c>
      <c r="E3296" s="43" t="s">
        <v>984</v>
      </c>
      <c r="F3296" s="43" t="s">
        <v>958</v>
      </c>
      <c r="G3296" s="43">
        <v>1077777</v>
      </c>
      <c r="H3296" s="43">
        <v>501100</v>
      </c>
      <c r="I3296" s="43" t="s">
        <v>949</v>
      </c>
      <c r="J3296" s="44" t="s">
        <v>1000</v>
      </c>
    </row>
    <row r="3297" ht="22" customHeight="1" spans="1:10" x14ac:dyDescent="0.25">
      <c r="A3297" s="43">
        <v>3130</v>
      </c>
      <c r="B3297" s="43">
        <v>10</v>
      </c>
      <c r="C3297" s="43" t="s">
        <v>963</v>
      </c>
      <c r="D3297" s="43" t="s">
        <v>1009</v>
      </c>
      <c r="E3297" s="43" t="s">
        <v>984</v>
      </c>
      <c r="F3297" s="43" t="s">
        <v>959</v>
      </c>
      <c r="G3297" s="43">
        <v>1077777</v>
      </c>
      <c r="H3297" s="43">
        <v>501100</v>
      </c>
      <c r="I3297" s="43" t="s">
        <v>949</v>
      </c>
      <c r="J3297" s="44" t="s">
        <v>1000</v>
      </c>
    </row>
    <row r="3298" ht="22" customHeight="1" spans="1:10" x14ac:dyDescent="0.25">
      <c r="A3298" s="43">
        <v>3130</v>
      </c>
      <c r="B3298" s="43">
        <v>10</v>
      </c>
      <c r="C3298" s="43" t="s">
        <v>963</v>
      </c>
      <c r="D3298" s="43" t="s">
        <v>1009</v>
      </c>
      <c r="E3298" s="43" t="s">
        <v>984</v>
      </c>
      <c r="F3298" s="43" t="s">
        <v>960</v>
      </c>
      <c r="G3298" s="43">
        <v>1077777</v>
      </c>
      <c r="H3298" s="43">
        <v>501100</v>
      </c>
      <c r="I3298" s="43" t="s">
        <v>949</v>
      </c>
      <c r="J3298" s="44" t="s">
        <v>1000</v>
      </c>
    </row>
    <row r="3299" ht="22" customHeight="1" spans="1:10" x14ac:dyDescent="0.25">
      <c r="A3299" s="43">
        <v>3130</v>
      </c>
      <c r="B3299" s="43">
        <v>10</v>
      </c>
      <c r="C3299" s="43" t="s">
        <v>963</v>
      </c>
      <c r="D3299" s="43" t="s">
        <v>1009</v>
      </c>
      <c r="E3299" s="43" t="s">
        <v>984</v>
      </c>
      <c r="F3299" s="43" t="s">
        <v>961</v>
      </c>
      <c r="G3299" s="43">
        <v>1077777</v>
      </c>
      <c r="H3299" s="43">
        <v>501100</v>
      </c>
      <c r="I3299" s="43" t="s">
        <v>949</v>
      </c>
      <c r="J3299" s="44" t="s">
        <v>1000</v>
      </c>
    </row>
    <row r="3300" spans="1:9" x14ac:dyDescent="0.25">
      <c r="A3300">
        <v>4122</v>
      </c>
      <c r="B3300">
        <v>10</v>
      </c>
      <c r="C3300" t="s">
        <v>946</v>
      </c>
      <c r="D3300" t="s">
        <v>1009</v>
      </c>
      <c r="E3300" t="s">
        <v>984</v>
      </c>
      <c r="F3300" t="s">
        <v>948</v>
      </c>
      <c r="G3300">
        <v>1000000</v>
      </c>
      <c r="H3300">
        <v>141000</v>
      </c>
      <c r="I3300" t="s">
        <v>985</v>
      </c>
    </row>
    <row r="3301" spans="1:9" x14ac:dyDescent="0.25">
      <c r="A3301">
        <v>4124</v>
      </c>
      <c r="B3301">
        <v>10</v>
      </c>
      <c r="C3301" t="s">
        <v>946</v>
      </c>
      <c r="D3301" t="s">
        <v>1009</v>
      </c>
      <c r="E3301" t="s">
        <v>984</v>
      </c>
      <c r="F3301" t="s">
        <v>948</v>
      </c>
      <c r="G3301">
        <v>1000000</v>
      </c>
      <c r="H3301">
        <v>501100</v>
      </c>
      <c r="I3301" t="s">
        <v>949</v>
      </c>
    </row>
    <row r="3302" spans="1:9" x14ac:dyDescent="0.25">
      <c r="A3302">
        <v>4140</v>
      </c>
      <c r="B3302">
        <v>10</v>
      </c>
      <c r="C3302" t="s">
        <v>946</v>
      </c>
      <c r="D3302" t="s">
        <v>1010</v>
      </c>
      <c r="E3302" t="s">
        <v>49</v>
      </c>
      <c r="F3302" t="s">
        <v>948</v>
      </c>
      <c r="G3302">
        <v>1077777</v>
      </c>
      <c r="H3302">
        <v>500460</v>
      </c>
      <c r="I3302" t="s">
        <v>949</v>
      </c>
    </row>
    <row r="3303" spans="1:9" x14ac:dyDescent="0.25">
      <c r="A3303">
        <v>4141</v>
      </c>
      <c r="B3303">
        <v>10</v>
      </c>
      <c r="C3303" t="s">
        <v>946</v>
      </c>
      <c r="D3303" t="s">
        <v>1010</v>
      </c>
      <c r="E3303" t="s">
        <v>49</v>
      </c>
      <c r="F3303" t="s">
        <v>948</v>
      </c>
      <c r="G3303">
        <v>1077777</v>
      </c>
      <c r="H3303">
        <v>500460</v>
      </c>
      <c r="I3303" t="s">
        <v>949</v>
      </c>
    </row>
    <row r="3304" spans="1:9" x14ac:dyDescent="0.25">
      <c r="A3304">
        <v>4162</v>
      </c>
      <c r="B3304">
        <v>10</v>
      </c>
      <c r="C3304" t="s">
        <v>946</v>
      </c>
      <c r="D3304" t="s">
        <v>1010</v>
      </c>
      <c r="E3304" t="s">
        <v>49</v>
      </c>
      <c r="F3304" t="s">
        <v>948</v>
      </c>
      <c r="G3304">
        <v>1000000</v>
      </c>
      <c r="H3304">
        <v>14200</v>
      </c>
      <c r="I3304" t="s">
        <v>949</v>
      </c>
    </row>
    <row r="3305" spans="1:9" x14ac:dyDescent="0.25">
      <c r="A3305">
        <v>4164</v>
      </c>
      <c r="B3305">
        <v>10</v>
      </c>
      <c r="C3305" t="s">
        <v>946</v>
      </c>
      <c r="D3305" t="s">
        <v>1010</v>
      </c>
      <c r="E3305" t="s">
        <v>49</v>
      </c>
      <c r="F3305" t="s">
        <v>948</v>
      </c>
      <c r="G3305">
        <v>1000000</v>
      </c>
      <c r="H3305">
        <v>14200</v>
      </c>
      <c r="I3305" t="s">
        <v>949</v>
      </c>
    </row>
    <row r="3306" spans="1:9" x14ac:dyDescent="0.25">
      <c r="A3306">
        <v>4122</v>
      </c>
      <c r="B3306">
        <v>10</v>
      </c>
      <c r="C3306" t="s">
        <v>946</v>
      </c>
      <c r="D3306" t="s">
        <v>1010</v>
      </c>
      <c r="E3306" t="s">
        <v>243</v>
      </c>
      <c r="F3306" t="s">
        <v>948</v>
      </c>
      <c r="G3306">
        <v>1000000</v>
      </c>
      <c r="H3306">
        <v>145000</v>
      </c>
      <c r="I3306" t="s">
        <v>949</v>
      </c>
    </row>
    <row r="3307" spans="1:9" x14ac:dyDescent="0.25">
      <c r="A3307">
        <v>4124</v>
      </c>
      <c r="B3307">
        <v>10</v>
      </c>
      <c r="C3307" t="s">
        <v>946</v>
      </c>
      <c r="D3307" t="s">
        <v>1010</v>
      </c>
      <c r="E3307" t="s">
        <v>243</v>
      </c>
      <c r="F3307" t="s">
        <v>948</v>
      </c>
      <c r="G3307">
        <v>1000000</v>
      </c>
      <c r="H3307">
        <v>145000</v>
      </c>
      <c r="I3307" t="s">
        <v>949</v>
      </c>
    </row>
    <row r="3308" spans="1:9" x14ac:dyDescent="0.25">
      <c r="A3308">
        <v>4126</v>
      </c>
      <c r="B3308">
        <v>10</v>
      </c>
      <c r="C3308" t="s">
        <v>946</v>
      </c>
      <c r="D3308" t="s">
        <v>1010</v>
      </c>
      <c r="E3308" t="s">
        <v>243</v>
      </c>
      <c r="F3308" t="s">
        <v>948</v>
      </c>
      <c r="G3308">
        <v>1000000</v>
      </c>
      <c r="H3308">
        <v>145000</v>
      </c>
      <c r="I3308" t="s">
        <v>949</v>
      </c>
    </row>
    <row r="3309" spans="1:9" x14ac:dyDescent="0.25">
      <c r="A3309">
        <v>4128</v>
      </c>
      <c r="B3309">
        <v>10</v>
      </c>
      <c r="C3309" t="s">
        <v>946</v>
      </c>
      <c r="D3309" t="s">
        <v>1010</v>
      </c>
      <c r="E3309" t="s">
        <v>243</v>
      </c>
      <c r="F3309" t="s">
        <v>948</v>
      </c>
      <c r="G3309">
        <v>1000000</v>
      </c>
      <c r="H3309">
        <v>145000</v>
      </c>
      <c r="I3309" t="s">
        <v>949</v>
      </c>
    </row>
    <row r="3310" spans="1:9" x14ac:dyDescent="0.25">
      <c r="A3310">
        <v>4122</v>
      </c>
      <c r="B3310">
        <v>10</v>
      </c>
      <c r="C3310" t="s">
        <v>946</v>
      </c>
      <c r="D3310" t="s">
        <v>1010</v>
      </c>
      <c r="E3310" t="s">
        <v>247</v>
      </c>
      <c r="F3310" t="s">
        <v>948</v>
      </c>
      <c r="G3310">
        <v>1000000</v>
      </c>
      <c r="H3310">
        <v>145000</v>
      </c>
      <c r="I3310" t="s">
        <v>949</v>
      </c>
    </row>
    <row r="3311" spans="1:9" x14ac:dyDescent="0.25">
      <c r="A3311">
        <v>4124</v>
      </c>
      <c r="B3311">
        <v>10</v>
      </c>
      <c r="C3311" t="s">
        <v>946</v>
      </c>
      <c r="D3311" t="s">
        <v>1010</v>
      </c>
      <c r="E3311" t="s">
        <v>247</v>
      </c>
      <c r="F3311" t="s">
        <v>948</v>
      </c>
      <c r="G3311">
        <v>1000000</v>
      </c>
      <c r="H3311">
        <v>145000</v>
      </c>
      <c r="I3311" t="s">
        <v>949</v>
      </c>
    </row>
    <row r="3312" spans="1:9" x14ac:dyDescent="0.25">
      <c r="A3312">
        <v>4126</v>
      </c>
      <c r="B3312">
        <v>10</v>
      </c>
      <c r="C3312" t="s">
        <v>946</v>
      </c>
      <c r="D3312" t="s">
        <v>1010</v>
      </c>
      <c r="E3312" t="s">
        <v>247</v>
      </c>
      <c r="F3312" t="s">
        <v>948</v>
      </c>
      <c r="G3312">
        <v>1000000</v>
      </c>
      <c r="H3312">
        <v>145000</v>
      </c>
      <c r="I3312" t="s">
        <v>949</v>
      </c>
    </row>
    <row r="3313" spans="1:9" x14ac:dyDescent="0.25">
      <c r="A3313">
        <v>4128</v>
      </c>
      <c r="B3313">
        <v>10</v>
      </c>
      <c r="C3313" t="s">
        <v>946</v>
      </c>
      <c r="D3313" t="s">
        <v>1010</v>
      </c>
      <c r="E3313" t="s">
        <v>247</v>
      </c>
      <c r="F3313" t="s">
        <v>948</v>
      </c>
      <c r="G3313">
        <v>1000000</v>
      </c>
      <c r="H3313">
        <v>145000</v>
      </c>
      <c r="I3313" t="s">
        <v>949</v>
      </c>
    </row>
    <row r="3314" spans="1:9" x14ac:dyDescent="0.25">
      <c r="A3314">
        <v>4122</v>
      </c>
      <c r="B3314">
        <v>10</v>
      </c>
      <c r="C3314" t="s">
        <v>946</v>
      </c>
      <c r="D3314" t="s">
        <v>1010</v>
      </c>
      <c r="E3314" t="s">
        <v>251</v>
      </c>
      <c r="F3314" t="s">
        <v>948</v>
      </c>
      <c r="G3314">
        <v>1000000</v>
      </c>
      <c r="H3314">
        <v>142000</v>
      </c>
      <c r="I3314" t="s">
        <v>949</v>
      </c>
    </row>
    <row r="3315" spans="1:9" x14ac:dyDescent="0.25">
      <c r="A3315">
        <v>4124</v>
      </c>
      <c r="B3315">
        <v>10</v>
      </c>
      <c r="C3315" t="s">
        <v>946</v>
      </c>
      <c r="D3315" t="s">
        <v>1010</v>
      </c>
      <c r="E3315" t="s">
        <v>251</v>
      </c>
      <c r="F3315" t="s">
        <v>948</v>
      </c>
      <c r="G3315">
        <v>1000000</v>
      </c>
      <c r="H3315">
        <v>142000</v>
      </c>
      <c r="I3315" t="s">
        <v>949</v>
      </c>
    </row>
    <row r="3316" spans="1:9" x14ac:dyDescent="0.25">
      <c r="A3316">
        <v>4126</v>
      </c>
      <c r="B3316">
        <v>10</v>
      </c>
      <c r="C3316" t="s">
        <v>946</v>
      </c>
      <c r="D3316" t="s">
        <v>1010</v>
      </c>
      <c r="E3316" t="s">
        <v>251</v>
      </c>
      <c r="F3316" t="s">
        <v>948</v>
      </c>
      <c r="G3316">
        <v>1000000</v>
      </c>
      <c r="H3316">
        <v>142000</v>
      </c>
      <c r="I3316" t="s">
        <v>949</v>
      </c>
    </row>
    <row r="3317" spans="1:9" x14ac:dyDescent="0.25">
      <c r="A3317">
        <v>4128</v>
      </c>
      <c r="B3317">
        <v>10</v>
      </c>
      <c r="C3317" t="s">
        <v>946</v>
      </c>
      <c r="D3317" t="s">
        <v>1010</v>
      </c>
      <c r="E3317" t="s">
        <v>251</v>
      </c>
      <c r="F3317" t="s">
        <v>948</v>
      </c>
      <c r="G3317">
        <v>1000000</v>
      </c>
      <c r="H3317">
        <v>142000</v>
      </c>
      <c r="I3317" t="s">
        <v>949</v>
      </c>
    </row>
    <row r="3318" spans="1:9" x14ac:dyDescent="0.25">
      <c r="A3318">
        <v>4122</v>
      </c>
      <c r="B3318">
        <v>10</v>
      </c>
      <c r="C3318" t="s">
        <v>946</v>
      </c>
      <c r="D3318" t="s">
        <v>1010</v>
      </c>
      <c r="E3318" t="s">
        <v>969</v>
      </c>
      <c r="F3318" t="s">
        <v>948</v>
      </c>
      <c r="G3318">
        <v>1000000</v>
      </c>
      <c r="H3318">
        <v>141000</v>
      </c>
      <c r="I3318" t="s">
        <v>970</v>
      </c>
    </row>
    <row r="3319" spans="1:9" x14ac:dyDescent="0.25">
      <c r="A3319">
        <v>4124</v>
      </c>
      <c r="B3319">
        <v>10</v>
      </c>
      <c r="C3319" t="s">
        <v>946</v>
      </c>
      <c r="D3319" t="s">
        <v>1010</v>
      </c>
      <c r="E3319" t="s">
        <v>969</v>
      </c>
      <c r="F3319" t="s">
        <v>948</v>
      </c>
      <c r="G3319">
        <v>1000000</v>
      </c>
      <c r="H3319">
        <v>141000</v>
      </c>
      <c r="I3319" t="s">
        <v>970</v>
      </c>
    </row>
    <row r="3320" spans="1:9" x14ac:dyDescent="0.25">
      <c r="A3320">
        <v>4126</v>
      </c>
      <c r="B3320">
        <v>10</v>
      </c>
      <c r="C3320" t="s">
        <v>946</v>
      </c>
      <c r="D3320" t="s">
        <v>1010</v>
      </c>
      <c r="E3320" t="s">
        <v>969</v>
      </c>
      <c r="F3320" t="s">
        <v>948</v>
      </c>
      <c r="G3320">
        <v>1000000</v>
      </c>
      <c r="H3320">
        <v>141000</v>
      </c>
      <c r="I3320" t="s">
        <v>970</v>
      </c>
    </row>
    <row r="3321" spans="1:9" x14ac:dyDescent="0.25">
      <c r="A3321">
        <v>4128</v>
      </c>
      <c r="B3321">
        <v>10</v>
      </c>
      <c r="C3321" t="s">
        <v>946</v>
      </c>
      <c r="D3321" t="s">
        <v>1010</v>
      </c>
      <c r="E3321" t="s">
        <v>969</v>
      </c>
      <c r="F3321" t="s">
        <v>948</v>
      </c>
      <c r="G3321">
        <v>1000000</v>
      </c>
      <c r="H3321">
        <v>141000</v>
      </c>
      <c r="I3321" t="s">
        <v>970</v>
      </c>
    </row>
    <row r="3322" spans="1:9" x14ac:dyDescent="0.25">
      <c r="A3322">
        <v>4122</v>
      </c>
      <c r="B3322">
        <v>10</v>
      </c>
      <c r="C3322" t="s">
        <v>946</v>
      </c>
      <c r="D3322" t="s">
        <v>1010</v>
      </c>
      <c r="E3322" t="s">
        <v>255</v>
      </c>
      <c r="F3322" t="s">
        <v>948</v>
      </c>
      <c r="G3322">
        <v>1000000</v>
      </c>
      <c r="H3322">
        <v>145000</v>
      </c>
      <c r="I3322" t="s">
        <v>949</v>
      </c>
    </row>
    <row r="3323" spans="1:9" x14ac:dyDescent="0.25">
      <c r="A3323">
        <v>4124</v>
      </c>
      <c r="B3323">
        <v>10</v>
      </c>
      <c r="C3323" t="s">
        <v>946</v>
      </c>
      <c r="D3323" t="s">
        <v>1010</v>
      </c>
      <c r="E3323" t="s">
        <v>255</v>
      </c>
      <c r="F3323" t="s">
        <v>948</v>
      </c>
      <c r="G3323">
        <v>1000000</v>
      </c>
      <c r="H3323">
        <v>145000</v>
      </c>
      <c r="I3323" t="s">
        <v>949</v>
      </c>
    </row>
    <row r="3324" spans="1:9" x14ac:dyDescent="0.25">
      <c r="A3324">
        <v>4126</v>
      </c>
      <c r="B3324">
        <v>10</v>
      </c>
      <c r="C3324" t="s">
        <v>946</v>
      </c>
      <c r="D3324" t="s">
        <v>1010</v>
      </c>
      <c r="E3324" t="s">
        <v>255</v>
      </c>
      <c r="F3324" t="s">
        <v>948</v>
      </c>
      <c r="G3324">
        <v>1000000</v>
      </c>
      <c r="H3324">
        <v>145000</v>
      </c>
      <c r="I3324" t="s">
        <v>949</v>
      </c>
    </row>
    <row r="3325" spans="1:9" x14ac:dyDescent="0.25">
      <c r="A3325">
        <v>4128</v>
      </c>
      <c r="B3325">
        <v>10</v>
      </c>
      <c r="C3325" t="s">
        <v>946</v>
      </c>
      <c r="D3325" t="s">
        <v>1010</v>
      </c>
      <c r="E3325" t="s">
        <v>255</v>
      </c>
      <c r="F3325" t="s">
        <v>948</v>
      </c>
      <c r="G3325">
        <v>1000000</v>
      </c>
      <c r="H3325">
        <v>145000</v>
      </c>
      <c r="I3325" t="s">
        <v>949</v>
      </c>
    </row>
    <row r="3326" spans="1:9" x14ac:dyDescent="0.25">
      <c r="A3326">
        <v>4122</v>
      </c>
      <c r="B3326">
        <v>10</v>
      </c>
      <c r="C3326" t="s">
        <v>946</v>
      </c>
      <c r="D3326" t="s">
        <v>1010</v>
      </c>
      <c r="E3326" t="s">
        <v>971</v>
      </c>
      <c r="F3326" t="s">
        <v>948</v>
      </c>
      <c r="G3326">
        <v>1000000</v>
      </c>
      <c r="H3326">
        <v>141000</v>
      </c>
      <c r="I3326" t="s">
        <v>972</v>
      </c>
    </row>
    <row r="3327" spans="1:9" x14ac:dyDescent="0.25">
      <c r="A3327">
        <v>4124</v>
      </c>
      <c r="B3327">
        <v>10</v>
      </c>
      <c r="C3327" t="s">
        <v>946</v>
      </c>
      <c r="D3327" t="s">
        <v>1010</v>
      </c>
      <c r="E3327" t="s">
        <v>971</v>
      </c>
      <c r="F3327" t="s">
        <v>948</v>
      </c>
      <c r="G3327">
        <v>1000000</v>
      </c>
      <c r="H3327">
        <v>141000</v>
      </c>
      <c r="I3327" t="s">
        <v>972</v>
      </c>
    </row>
    <row r="3328" spans="1:9" x14ac:dyDescent="0.25">
      <c r="A3328">
        <v>4126</v>
      </c>
      <c r="B3328">
        <v>10</v>
      </c>
      <c r="C3328" t="s">
        <v>946</v>
      </c>
      <c r="D3328" t="s">
        <v>1010</v>
      </c>
      <c r="E3328" t="s">
        <v>971</v>
      </c>
      <c r="F3328" t="s">
        <v>948</v>
      </c>
      <c r="G3328">
        <v>1000000</v>
      </c>
      <c r="H3328">
        <v>141000</v>
      </c>
      <c r="I3328" t="s">
        <v>972</v>
      </c>
    </row>
    <row r="3329" spans="1:9" x14ac:dyDescent="0.25">
      <c r="A3329">
        <v>4128</v>
      </c>
      <c r="B3329">
        <v>10</v>
      </c>
      <c r="C3329" t="s">
        <v>946</v>
      </c>
      <c r="D3329" t="s">
        <v>1010</v>
      </c>
      <c r="E3329" t="s">
        <v>971</v>
      </c>
      <c r="F3329" t="s">
        <v>948</v>
      </c>
      <c r="G3329">
        <v>1000000</v>
      </c>
      <c r="H3329">
        <v>141000</v>
      </c>
      <c r="I3329" t="s">
        <v>972</v>
      </c>
    </row>
    <row r="3330" spans="1:9" x14ac:dyDescent="0.25">
      <c r="A3330">
        <v>4122</v>
      </c>
      <c r="B3330">
        <v>10</v>
      </c>
      <c r="C3330" t="s">
        <v>946</v>
      </c>
      <c r="D3330" t="s">
        <v>1010</v>
      </c>
      <c r="E3330" t="s">
        <v>263</v>
      </c>
      <c r="F3330" t="s">
        <v>948</v>
      </c>
      <c r="G3330">
        <v>1000000</v>
      </c>
      <c r="H3330">
        <v>145000</v>
      </c>
      <c r="I3330" t="s">
        <v>949</v>
      </c>
    </row>
    <row r="3331" spans="1:9" x14ac:dyDescent="0.25">
      <c r="A3331">
        <v>4124</v>
      </c>
      <c r="B3331">
        <v>10</v>
      </c>
      <c r="C3331" t="s">
        <v>946</v>
      </c>
      <c r="D3331" t="s">
        <v>1010</v>
      </c>
      <c r="E3331" t="s">
        <v>263</v>
      </c>
      <c r="F3331" t="s">
        <v>948</v>
      </c>
      <c r="G3331">
        <v>1000000</v>
      </c>
      <c r="H3331">
        <v>145000</v>
      </c>
      <c r="I3331" t="s">
        <v>949</v>
      </c>
    </row>
    <row r="3332" spans="1:9" x14ac:dyDescent="0.25">
      <c r="A3332">
        <v>4126</v>
      </c>
      <c r="B3332">
        <v>10</v>
      </c>
      <c r="C3332" t="s">
        <v>946</v>
      </c>
      <c r="D3332" t="s">
        <v>1010</v>
      </c>
      <c r="E3332" t="s">
        <v>263</v>
      </c>
      <c r="F3332" t="s">
        <v>948</v>
      </c>
      <c r="G3332">
        <v>1000000</v>
      </c>
      <c r="H3332">
        <v>145000</v>
      </c>
      <c r="I3332" t="s">
        <v>949</v>
      </c>
    </row>
    <row r="3333" spans="1:9" x14ac:dyDescent="0.25">
      <c r="A3333">
        <v>4128</v>
      </c>
      <c r="B3333">
        <v>10</v>
      </c>
      <c r="C3333" t="s">
        <v>946</v>
      </c>
      <c r="D3333" t="s">
        <v>1010</v>
      </c>
      <c r="E3333" t="s">
        <v>263</v>
      </c>
      <c r="F3333" t="s">
        <v>948</v>
      </c>
      <c r="G3333">
        <v>1000000</v>
      </c>
      <c r="H3333">
        <v>145000</v>
      </c>
      <c r="I3333" t="s">
        <v>949</v>
      </c>
    </row>
    <row r="3334" spans="1:9" x14ac:dyDescent="0.25">
      <c r="A3334">
        <v>4122</v>
      </c>
      <c r="B3334">
        <v>10</v>
      </c>
      <c r="C3334" t="s">
        <v>946</v>
      </c>
      <c r="D3334" t="s">
        <v>1010</v>
      </c>
      <c r="E3334" t="s">
        <v>100</v>
      </c>
      <c r="F3334" t="s">
        <v>948</v>
      </c>
      <c r="G3334">
        <v>1077777</v>
      </c>
      <c r="H3334">
        <v>500220</v>
      </c>
      <c r="I3334" t="s">
        <v>949</v>
      </c>
    </row>
    <row r="3335" spans="1:9" x14ac:dyDescent="0.25">
      <c r="A3335">
        <v>4124</v>
      </c>
      <c r="B3335">
        <v>10</v>
      </c>
      <c r="C3335" t="s">
        <v>946</v>
      </c>
      <c r="D3335" t="s">
        <v>1010</v>
      </c>
      <c r="E3335" t="s">
        <v>100</v>
      </c>
      <c r="F3335" t="s">
        <v>948</v>
      </c>
      <c r="G3335">
        <v>1077777</v>
      </c>
      <c r="H3335">
        <v>500221</v>
      </c>
      <c r="I3335" t="s">
        <v>949</v>
      </c>
    </row>
    <row r="3336" spans="1:9" x14ac:dyDescent="0.25">
      <c r="A3336">
        <v>4126</v>
      </c>
      <c r="B3336">
        <v>10</v>
      </c>
      <c r="C3336" t="s">
        <v>946</v>
      </c>
      <c r="D3336" t="s">
        <v>1010</v>
      </c>
      <c r="E3336" t="s">
        <v>100</v>
      </c>
      <c r="F3336" t="s">
        <v>948</v>
      </c>
      <c r="G3336">
        <v>1077777</v>
      </c>
      <c r="H3336">
        <v>500220</v>
      </c>
      <c r="I3336" t="s">
        <v>949</v>
      </c>
    </row>
    <row r="3337" spans="1:9" x14ac:dyDescent="0.25">
      <c r="A3337">
        <v>4128</v>
      </c>
      <c r="B3337">
        <v>10</v>
      </c>
      <c r="C3337" t="s">
        <v>946</v>
      </c>
      <c r="D3337" t="s">
        <v>1010</v>
      </c>
      <c r="E3337" t="s">
        <v>100</v>
      </c>
      <c r="F3337" t="s">
        <v>948</v>
      </c>
      <c r="G3337">
        <v>1077777</v>
      </c>
      <c r="H3337">
        <v>500221</v>
      </c>
      <c r="I3337" t="s">
        <v>949</v>
      </c>
    </row>
    <row r="3338" spans="1:9" x14ac:dyDescent="0.25">
      <c r="A3338">
        <v>4122</v>
      </c>
      <c r="B3338">
        <v>10</v>
      </c>
      <c r="C3338" t="s">
        <v>946</v>
      </c>
      <c r="D3338" t="s">
        <v>1010</v>
      </c>
      <c r="E3338" t="s">
        <v>270</v>
      </c>
      <c r="F3338" t="s">
        <v>948</v>
      </c>
      <c r="G3338">
        <v>1000000</v>
      </c>
      <c r="H3338">
        <v>145000</v>
      </c>
      <c r="I3338" t="s">
        <v>949</v>
      </c>
    </row>
    <row r="3339" spans="1:9" x14ac:dyDescent="0.25">
      <c r="A3339">
        <v>4124</v>
      </c>
      <c r="B3339">
        <v>10</v>
      </c>
      <c r="C3339" t="s">
        <v>946</v>
      </c>
      <c r="D3339" t="s">
        <v>1010</v>
      </c>
      <c r="E3339" t="s">
        <v>270</v>
      </c>
      <c r="F3339" t="s">
        <v>948</v>
      </c>
      <c r="G3339">
        <v>1000000</v>
      </c>
      <c r="H3339">
        <v>145000</v>
      </c>
      <c r="I3339" t="s">
        <v>949</v>
      </c>
    </row>
    <row r="3340" spans="1:9" x14ac:dyDescent="0.25">
      <c r="A3340">
        <v>4126</v>
      </c>
      <c r="B3340">
        <v>10</v>
      </c>
      <c r="C3340" t="s">
        <v>946</v>
      </c>
      <c r="D3340" t="s">
        <v>1010</v>
      </c>
      <c r="E3340" t="s">
        <v>270</v>
      </c>
      <c r="F3340" t="s">
        <v>948</v>
      </c>
      <c r="G3340">
        <v>1000000</v>
      </c>
      <c r="H3340">
        <v>145000</v>
      </c>
      <c r="I3340" t="s">
        <v>949</v>
      </c>
    </row>
    <row r="3341" spans="1:9" x14ac:dyDescent="0.25">
      <c r="A3341">
        <v>4128</v>
      </c>
      <c r="B3341">
        <v>10</v>
      </c>
      <c r="C3341" t="s">
        <v>946</v>
      </c>
      <c r="D3341" t="s">
        <v>1010</v>
      </c>
      <c r="E3341" t="s">
        <v>270</v>
      </c>
      <c r="F3341" t="s">
        <v>948</v>
      </c>
      <c r="G3341">
        <v>1000000</v>
      </c>
      <c r="H3341">
        <v>145000</v>
      </c>
      <c r="I3341" t="s">
        <v>949</v>
      </c>
    </row>
    <row r="3342" spans="1:9" x14ac:dyDescent="0.25">
      <c r="A3342">
        <v>4122</v>
      </c>
      <c r="B3342">
        <v>10</v>
      </c>
      <c r="C3342" t="s">
        <v>946</v>
      </c>
      <c r="D3342" t="s">
        <v>1010</v>
      </c>
      <c r="E3342" t="s">
        <v>274</v>
      </c>
      <c r="F3342" t="s">
        <v>948</v>
      </c>
      <c r="G3342">
        <v>1000000</v>
      </c>
      <c r="H3342">
        <v>143000</v>
      </c>
      <c r="I3342" t="s">
        <v>973</v>
      </c>
    </row>
    <row r="3343" spans="1:9" x14ac:dyDescent="0.25">
      <c r="A3343">
        <v>4124</v>
      </c>
      <c r="B3343">
        <v>10</v>
      </c>
      <c r="C3343" t="s">
        <v>946</v>
      </c>
      <c r="D3343" t="s">
        <v>1010</v>
      </c>
      <c r="E3343" t="s">
        <v>274</v>
      </c>
      <c r="F3343" t="s">
        <v>948</v>
      </c>
      <c r="G3343">
        <v>1000000</v>
      </c>
      <c r="H3343">
        <v>143000</v>
      </c>
      <c r="I3343" t="s">
        <v>973</v>
      </c>
    </row>
    <row r="3344" spans="1:9" x14ac:dyDescent="0.25">
      <c r="A3344">
        <v>4126</v>
      </c>
      <c r="B3344">
        <v>10</v>
      </c>
      <c r="C3344" t="s">
        <v>946</v>
      </c>
      <c r="D3344" t="s">
        <v>1010</v>
      </c>
      <c r="E3344" t="s">
        <v>274</v>
      </c>
      <c r="F3344" t="s">
        <v>948</v>
      </c>
      <c r="G3344">
        <v>1000000</v>
      </c>
      <c r="H3344">
        <v>143000</v>
      </c>
      <c r="I3344" t="s">
        <v>973</v>
      </c>
    </row>
    <row r="3345" spans="1:9" x14ac:dyDescent="0.25">
      <c r="A3345">
        <v>4128</v>
      </c>
      <c r="B3345">
        <v>10</v>
      </c>
      <c r="C3345" t="s">
        <v>946</v>
      </c>
      <c r="D3345" t="s">
        <v>1010</v>
      </c>
      <c r="E3345" t="s">
        <v>274</v>
      </c>
      <c r="F3345" t="s">
        <v>948</v>
      </c>
      <c r="G3345">
        <v>1000000</v>
      </c>
      <c r="H3345">
        <v>143000</v>
      </c>
      <c r="I3345" t="s">
        <v>973</v>
      </c>
    </row>
    <row r="3346" spans="1:9" x14ac:dyDescent="0.25">
      <c r="A3346">
        <v>4122</v>
      </c>
      <c r="B3346">
        <v>10</v>
      </c>
      <c r="C3346" t="s">
        <v>946</v>
      </c>
      <c r="D3346" t="s">
        <v>1010</v>
      </c>
      <c r="E3346" t="s">
        <v>974</v>
      </c>
      <c r="F3346" t="s">
        <v>948</v>
      </c>
      <c r="G3346">
        <v>1000000</v>
      </c>
      <c r="H3346">
        <v>141000</v>
      </c>
      <c r="I3346" t="s">
        <v>975</v>
      </c>
    </row>
    <row r="3347" spans="1:9" x14ac:dyDescent="0.25">
      <c r="A3347">
        <v>4124</v>
      </c>
      <c r="B3347">
        <v>10</v>
      </c>
      <c r="C3347" t="s">
        <v>946</v>
      </c>
      <c r="D3347" t="s">
        <v>1010</v>
      </c>
      <c r="E3347" t="s">
        <v>974</v>
      </c>
      <c r="F3347" t="s">
        <v>948</v>
      </c>
      <c r="G3347">
        <v>1000000</v>
      </c>
      <c r="H3347">
        <v>141000</v>
      </c>
      <c r="I3347" t="s">
        <v>975</v>
      </c>
    </row>
    <row r="3348" spans="1:9" x14ac:dyDescent="0.25">
      <c r="A3348">
        <v>4126</v>
      </c>
      <c r="B3348">
        <v>10</v>
      </c>
      <c r="C3348" t="s">
        <v>946</v>
      </c>
      <c r="D3348" t="s">
        <v>1010</v>
      </c>
      <c r="E3348" t="s">
        <v>974</v>
      </c>
      <c r="F3348" t="s">
        <v>948</v>
      </c>
      <c r="G3348">
        <v>1000000</v>
      </c>
      <c r="H3348">
        <v>141000</v>
      </c>
      <c r="I3348" t="s">
        <v>975</v>
      </c>
    </row>
    <row r="3349" spans="1:9" x14ac:dyDescent="0.25">
      <c r="A3349">
        <v>4128</v>
      </c>
      <c r="B3349">
        <v>10</v>
      </c>
      <c r="C3349" t="s">
        <v>946</v>
      </c>
      <c r="D3349" t="s">
        <v>1010</v>
      </c>
      <c r="E3349" t="s">
        <v>974</v>
      </c>
      <c r="F3349" t="s">
        <v>948</v>
      </c>
      <c r="G3349">
        <v>1000000</v>
      </c>
      <c r="H3349">
        <v>141000</v>
      </c>
      <c r="I3349" t="s">
        <v>975</v>
      </c>
    </row>
    <row r="3350" spans="1:9" x14ac:dyDescent="0.25">
      <c r="A3350">
        <v>4122</v>
      </c>
      <c r="B3350">
        <v>10</v>
      </c>
      <c r="C3350" t="s">
        <v>946</v>
      </c>
      <c r="D3350" t="s">
        <v>1010</v>
      </c>
      <c r="E3350" t="s">
        <v>104</v>
      </c>
      <c r="F3350" t="s">
        <v>948</v>
      </c>
      <c r="G3350">
        <v>1077777</v>
      </c>
      <c r="H3350">
        <v>500220</v>
      </c>
      <c r="I3350" t="s">
        <v>949</v>
      </c>
    </row>
    <row r="3351" spans="1:9" x14ac:dyDescent="0.25">
      <c r="A3351">
        <v>4124</v>
      </c>
      <c r="B3351">
        <v>10</v>
      </c>
      <c r="C3351" t="s">
        <v>946</v>
      </c>
      <c r="D3351" t="s">
        <v>1010</v>
      </c>
      <c r="E3351" t="s">
        <v>104</v>
      </c>
      <c r="F3351" t="s">
        <v>948</v>
      </c>
      <c r="G3351">
        <v>1077777</v>
      </c>
      <c r="H3351">
        <v>500221</v>
      </c>
      <c r="I3351" t="s">
        <v>949</v>
      </c>
    </row>
    <row r="3352" spans="1:9" x14ac:dyDescent="0.25">
      <c r="A3352">
        <v>4126</v>
      </c>
      <c r="B3352">
        <v>10</v>
      </c>
      <c r="C3352" t="s">
        <v>946</v>
      </c>
      <c r="D3352" t="s">
        <v>1010</v>
      </c>
      <c r="E3352" t="s">
        <v>104</v>
      </c>
      <c r="F3352" t="s">
        <v>948</v>
      </c>
      <c r="G3352">
        <v>1077777</v>
      </c>
      <c r="H3352">
        <v>500220</v>
      </c>
      <c r="I3352" t="s">
        <v>949</v>
      </c>
    </row>
    <row r="3353" spans="1:9" x14ac:dyDescent="0.25">
      <c r="A3353">
        <v>4128</v>
      </c>
      <c r="B3353">
        <v>10</v>
      </c>
      <c r="C3353" t="s">
        <v>946</v>
      </c>
      <c r="D3353" t="s">
        <v>1010</v>
      </c>
      <c r="E3353" t="s">
        <v>104</v>
      </c>
      <c r="F3353" t="s">
        <v>948</v>
      </c>
      <c r="G3353">
        <v>1077777</v>
      </c>
      <c r="H3353">
        <v>500221</v>
      </c>
      <c r="I3353" t="s">
        <v>949</v>
      </c>
    </row>
    <row r="3354" spans="1:9" x14ac:dyDescent="0.25">
      <c r="A3354">
        <v>4122</v>
      </c>
      <c r="B3354">
        <v>10</v>
      </c>
      <c r="C3354" t="s">
        <v>946</v>
      </c>
      <c r="D3354" t="s">
        <v>1010</v>
      </c>
      <c r="E3354" t="s">
        <v>278</v>
      </c>
      <c r="F3354" t="s">
        <v>948</v>
      </c>
      <c r="G3354">
        <v>1000000</v>
      </c>
      <c r="H3354">
        <v>145000</v>
      </c>
      <c r="I3354" t="s">
        <v>949</v>
      </c>
    </row>
    <row r="3355" spans="1:9" x14ac:dyDescent="0.25">
      <c r="A3355">
        <v>4124</v>
      </c>
      <c r="B3355">
        <v>10</v>
      </c>
      <c r="C3355" t="s">
        <v>946</v>
      </c>
      <c r="D3355" t="s">
        <v>1010</v>
      </c>
      <c r="E3355" t="s">
        <v>278</v>
      </c>
      <c r="F3355" t="s">
        <v>948</v>
      </c>
      <c r="G3355">
        <v>1000000</v>
      </c>
      <c r="H3355">
        <v>145000</v>
      </c>
      <c r="I3355" t="s">
        <v>949</v>
      </c>
    </row>
    <row r="3356" spans="1:9" x14ac:dyDescent="0.25">
      <c r="A3356">
        <v>4126</v>
      </c>
      <c r="B3356">
        <v>10</v>
      </c>
      <c r="C3356" t="s">
        <v>946</v>
      </c>
      <c r="D3356" t="s">
        <v>1010</v>
      </c>
      <c r="E3356" t="s">
        <v>278</v>
      </c>
      <c r="F3356" t="s">
        <v>948</v>
      </c>
      <c r="G3356">
        <v>1000000</v>
      </c>
      <c r="H3356">
        <v>145000</v>
      </c>
      <c r="I3356" t="s">
        <v>949</v>
      </c>
    </row>
    <row r="3357" spans="1:9" x14ac:dyDescent="0.25">
      <c r="A3357">
        <v>4128</v>
      </c>
      <c r="B3357">
        <v>10</v>
      </c>
      <c r="C3357" t="s">
        <v>946</v>
      </c>
      <c r="D3357" t="s">
        <v>1010</v>
      </c>
      <c r="E3357" t="s">
        <v>278</v>
      </c>
      <c r="F3357" t="s">
        <v>948</v>
      </c>
      <c r="G3357">
        <v>1000000</v>
      </c>
      <c r="H3357">
        <v>145000</v>
      </c>
      <c r="I3357" t="s">
        <v>949</v>
      </c>
    </row>
    <row r="3358" spans="1:9" x14ac:dyDescent="0.25">
      <c r="A3358">
        <v>4122</v>
      </c>
      <c r="B3358">
        <v>10</v>
      </c>
      <c r="C3358" t="s">
        <v>946</v>
      </c>
      <c r="D3358" t="s">
        <v>1010</v>
      </c>
      <c r="E3358" t="s">
        <v>282</v>
      </c>
      <c r="F3358" t="s">
        <v>948</v>
      </c>
      <c r="G3358">
        <v>1000000</v>
      </c>
      <c r="H3358">
        <v>143100</v>
      </c>
      <c r="I3358" t="s">
        <v>949</v>
      </c>
    </row>
    <row r="3359" spans="1:9" x14ac:dyDescent="0.25">
      <c r="A3359">
        <v>4124</v>
      </c>
      <c r="B3359">
        <v>10</v>
      </c>
      <c r="C3359" t="s">
        <v>946</v>
      </c>
      <c r="D3359" t="s">
        <v>1010</v>
      </c>
      <c r="E3359" t="s">
        <v>282</v>
      </c>
      <c r="F3359" t="s">
        <v>948</v>
      </c>
      <c r="G3359">
        <v>1000000</v>
      </c>
      <c r="H3359">
        <v>143100</v>
      </c>
      <c r="I3359" t="s">
        <v>949</v>
      </c>
    </row>
    <row r="3360" spans="1:9" x14ac:dyDescent="0.25">
      <c r="A3360">
        <v>4126</v>
      </c>
      <c r="B3360">
        <v>10</v>
      </c>
      <c r="C3360" t="s">
        <v>946</v>
      </c>
      <c r="D3360" t="s">
        <v>1010</v>
      </c>
      <c r="E3360" t="s">
        <v>282</v>
      </c>
      <c r="F3360" t="s">
        <v>948</v>
      </c>
      <c r="G3360">
        <v>1000000</v>
      </c>
      <c r="H3360">
        <v>143100</v>
      </c>
      <c r="I3360" t="s">
        <v>949</v>
      </c>
    </row>
    <row r="3361" spans="1:9" x14ac:dyDescent="0.25">
      <c r="A3361">
        <v>4128</v>
      </c>
      <c r="B3361">
        <v>10</v>
      </c>
      <c r="C3361" t="s">
        <v>946</v>
      </c>
      <c r="D3361" t="s">
        <v>1010</v>
      </c>
      <c r="E3361" t="s">
        <v>282</v>
      </c>
      <c r="F3361" t="s">
        <v>948</v>
      </c>
      <c r="G3361">
        <v>1077777</v>
      </c>
      <c r="H3361">
        <v>500460</v>
      </c>
      <c r="I3361" t="s">
        <v>949</v>
      </c>
    </row>
    <row r="3362" spans="1:9" x14ac:dyDescent="0.25">
      <c r="A3362">
        <v>4122</v>
      </c>
      <c r="B3362">
        <v>10</v>
      </c>
      <c r="C3362" t="s">
        <v>946</v>
      </c>
      <c r="D3362" t="s">
        <v>1010</v>
      </c>
      <c r="E3362" t="s">
        <v>286</v>
      </c>
      <c r="F3362" t="s">
        <v>948</v>
      </c>
      <c r="G3362">
        <v>1000000</v>
      </c>
      <c r="H3362">
        <v>145000</v>
      </c>
      <c r="I3362" t="s">
        <v>949</v>
      </c>
    </row>
    <row r="3363" spans="1:9" x14ac:dyDescent="0.25">
      <c r="A3363">
        <v>4124</v>
      </c>
      <c r="B3363">
        <v>10</v>
      </c>
      <c r="C3363" t="s">
        <v>946</v>
      </c>
      <c r="D3363" t="s">
        <v>1010</v>
      </c>
      <c r="E3363" t="s">
        <v>286</v>
      </c>
      <c r="F3363" t="s">
        <v>948</v>
      </c>
      <c r="G3363">
        <v>1000000</v>
      </c>
      <c r="H3363">
        <v>145000</v>
      </c>
      <c r="I3363" t="s">
        <v>949</v>
      </c>
    </row>
    <row r="3364" spans="1:9" x14ac:dyDescent="0.25">
      <c r="A3364">
        <v>4126</v>
      </c>
      <c r="B3364">
        <v>10</v>
      </c>
      <c r="C3364" t="s">
        <v>946</v>
      </c>
      <c r="D3364" t="s">
        <v>1010</v>
      </c>
      <c r="E3364" t="s">
        <v>286</v>
      </c>
      <c r="F3364" t="s">
        <v>948</v>
      </c>
      <c r="G3364">
        <v>1000000</v>
      </c>
      <c r="H3364">
        <v>145000</v>
      </c>
      <c r="I3364" t="s">
        <v>949</v>
      </c>
    </row>
    <row r="3365" spans="1:9" x14ac:dyDescent="0.25">
      <c r="A3365">
        <v>4128</v>
      </c>
      <c r="B3365">
        <v>10</v>
      </c>
      <c r="C3365" t="s">
        <v>946</v>
      </c>
      <c r="D3365" t="s">
        <v>1010</v>
      </c>
      <c r="E3365" t="s">
        <v>286</v>
      </c>
      <c r="F3365" t="s">
        <v>948</v>
      </c>
      <c r="G3365">
        <v>1000000</v>
      </c>
      <c r="H3365">
        <v>145000</v>
      </c>
      <c r="I3365" t="s">
        <v>949</v>
      </c>
    </row>
    <row r="3366" spans="1:9" x14ac:dyDescent="0.25">
      <c r="A3366">
        <v>4122</v>
      </c>
      <c r="B3366">
        <v>10</v>
      </c>
      <c r="C3366" t="s">
        <v>946</v>
      </c>
      <c r="D3366" t="s">
        <v>1010</v>
      </c>
      <c r="E3366" t="s">
        <v>976</v>
      </c>
      <c r="F3366" t="s">
        <v>948</v>
      </c>
      <c r="G3366">
        <v>1000000</v>
      </c>
      <c r="H3366">
        <v>141000</v>
      </c>
      <c r="I3366" t="s">
        <v>977</v>
      </c>
    </row>
    <row r="3367" spans="1:9" x14ac:dyDescent="0.25">
      <c r="A3367">
        <v>4124</v>
      </c>
      <c r="B3367">
        <v>10</v>
      </c>
      <c r="C3367" t="s">
        <v>946</v>
      </c>
      <c r="D3367" t="s">
        <v>1010</v>
      </c>
      <c r="E3367" t="s">
        <v>976</v>
      </c>
      <c r="F3367" t="s">
        <v>948</v>
      </c>
      <c r="G3367">
        <v>1000000</v>
      </c>
      <c r="H3367">
        <v>141000</v>
      </c>
      <c r="I3367" t="s">
        <v>977</v>
      </c>
    </row>
    <row r="3368" spans="1:9" x14ac:dyDescent="0.25">
      <c r="A3368">
        <v>4126</v>
      </c>
      <c r="B3368">
        <v>10</v>
      </c>
      <c r="C3368" t="s">
        <v>946</v>
      </c>
      <c r="D3368" t="s">
        <v>1010</v>
      </c>
      <c r="E3368" t="s">
        <v>976</v>
      </c>
      <c r="F3368" t="s">
        <v>948</v>
      </c>
      <c r="G3368">
        <v>1000000</v>
      </c>
      <c r="H3368">
        <v>141000</v>
      </c>
      <c r="I3368" t="s">
        <v>977</v>
      </c>
    </row>
    <row r="3369" spans="1:9" x14ac:dyDescent="0.25">
      <c r="A3369">
        <v>4128</v>
      </c>
      <c r="B3369">
        <v>10</v>
      </c>
      <c r="C3369" t="s">
        <v>946</v>
      </c>
      <c r="D3369" t="s">
        <v>1010</v>
      </c>
      <c r="E3369" t="s">
        <v>976</v>
      </c>
      <c r="F3369" t="s">
        <v>948</v>
      </c>
      <c r="G3369">
        <v>1000000</v>
      </c>
      <c r="H3369">
        <v>141000</v>
      </c>
      <c r="I3369" t="s">
        <v>977</v>
      </c>
    </row>
    <row r="3370" spans="1:9" x14ac:dyDescent="0.25">
      <c r="A3370">
        <v>4122</v>
      </c>
      <c r="B3370">
        <v>10</v>
      </c>
      <c r="C3370" t="s">
        <v>946</v>
      </c>
      <c r="D3370" t="s">
        <v>1010</v>
      </c>
      <c r="E3370" t="s">
        <v>290</v>
      </c>
      <c r="F3370" t="s">
        <v>948</v>
      </c>
      <c r="G3370">
        <v>1000000</v>
      </c>
      <c r="H3370">
        <v>143000</v>
      </c>
      <c r="I3370" t="s">
        <v>978</v>
      </c>
    </row>
    <row r="3371" spans="1:9" x14ac:dyDescent="0.25">
      <c r="A3371">
        <v>4124</v>
      </c>
      <c r="B3371">
        <v>10</v>
      </c>
      <c r="C3371" t="s">
        <v>946</v>
      </c>
      <c r="D3371" t="s">
        <v>1010</v>
      </c>
      <c r="E3371" t="s">
        <v>290</v>
      </c>
      <c r="F3371" t="s">
        <v>948</v>
      </c>
      <c r="G3371">
        <v>1000000</v>
      </c>
      <c r="H3371">
        <v>143000</v>
      </c>
      <c r="I3371" t="s">
        <v>978</v>
      </c>
    </row>
    <row r="3372" spans="1:9" x14ac:dyDescent="0.25">
      <c r="A3372">
        <v>4126</v>
      </c>
      <c r="B3372">
        <v>10</v>
      </c>
      <c r="C3372" t="s">
        <v>946</v>
      </c>
      <c r="D3372" t="s">
        <v>1010</v>
      </c>
      <c r="E3372" t="s">
        <v>290</v>
      </c>
      <c r="F3372" t="s">
        <v>948</v>
      </c>
      <c r="G3372">
        <v>1000000</v>
      </c>
      <c r="H3372">
        <v>143000</v>
      </c>
      <c r="I3372" t="s">
        <v>978</v>
      </c>
    </row>
    <row r="3373" spans="1:9" x14ac:dyDescent="0.25">
      <c r="A3373">
        <v>4128</v>
      </c>
      <c r="B3373">
        <v>10</v>
      </c>
      <c r="C3373" t="s">
        <v>946</v>
      </c>
      <c r="D3373" t="s">
        <v>1010</v>
      </c>
      <c r="E3373" t="s">
        <v>290</v>
      </c>
      <c r="F3373" t="s">
        <v>948</v>
      </c>
      <c r="G3373">
        <v>1000000</v>
      </c>
      <c r="H3373">
        <v>143000</v>
      </c>
      <c r="I3373" t="s">
        <v>978</v>
      </c>
    </row>
    <row r="3374" spans="1:9" x14ac:dyDescent="0.25">
      <c r="A3374">
        <v>4122</v>
      </c>
      <c r="B3374">
        <v>10</v>
      </c>
      <c r="C3374" t="s">
        <v>946</v>
      </c>
      <c r="D3374" t="s">
        <v>1010</v>
      </c>
      <c r="E3374" t="s">
        <v>294</v>
      </c>
      <c r="F3374" t="s">
        <v>948</v>
      </c>
      <c r="G3374">
        <v>1000000</v>
      </c>
      <c r="H3374">
        <v>143000</v>
      </c>
      <c r="I3374" t="s">
        <v>979</v>
      </c>
    </row>
    <row r="3375" spans="1:9" x14ac:dyDescent="0.25">
      <c r="A3375">
        <v>4124</v>
      </c>
      <c r="B3375">
        <v>10</v>
      </c>
      <c r="C3375" t="s">
        <v>946</v>
      </c>
      <c r="D3375" t="s">
        <v>1010</v>
      </c>
      <c r="E3375" t="s">
        <v>294</v>
      </c>
      <c r="F3375" t="s">
        <v>948</v>
      </c>
      <c r="G3375">
        <v>1000000</v>
      </c>
      <c r="H3375">
        <v>143000</v>
      </c>
      <c r="I3375" t="s">
        <v>979</v>
      </c>
    </row>
    <row r="3376" spans="1:9" x14ac:dyDescent="0.25">
      <c r="A3376">
        <v>4126</v>
      </c>
      <c r="B3376">
        <v>10</v>
      </c>
      <c r="C3376" t="s">
        <v>946</v>
      </c>
      <c r="D3376" t="s">
        <v>1010</v>
      </c>
      <c r="E3376" t="s">
        <v>294</v>
      </c>
      <c r="F3376" t="s">
        <v>948</v>
      </c>
      <c r="G3376">
        <v>1000000</v>
      </c>
      <c r="H3376">
        <v>143000</v>
      </c>
      <c r="I3376" t="s">
        <v>979</v>
      </c>
    </row>
    <row r="3377" spans="1:9" x14ac:dyDescent="0.25">
      <c r="A3377">
        <v>4128</v>
      </c>
      <c r="B3377">
        <v>10</v>
      </c>
      <c r="C3377" t="s">
        <v>946</v>
      </c>
      <c r="D3377" t="s">
        <v>1010</v>
      </c>
      <c r="E3377" t="s">
        <v>294</v>
      </c>
      <c r="F3377" t="s">
        <v>948</v>
      </c>
      <c r="G3377">
        <v>1000000</v>
      </c>
      <c r="H3377">
        <v>143000</v>
      </c>
      <c r="I3377" t="s">
        <v>979</v>
      </c>
    </row>
    <row r="3378" spans="1:9" x14ac:dyDescent="0.25">
      <c r="A3378">
        <v>4122</v>
      </c>
      <c r="B3378">
        <v>10</v>
      </c>
      <c r="C3378" t="s">
        <v>946</v>
      </c>
      <c r="D3378" t="s">
        <v>1010</v>
      </c>
      <c r="E3378" t="s">
        <v>980</v>
      </c>
      <c r="F3378" t="s">
        <v>948</v>
      </c>
      <c r="G3378">
        <v>1000000</v>
      </c>
      <c r="H3378">
        <v>141000</v>
      </c>
      <c r="I3378" t="s">
        <v>981</v>
      </c>
    </row>
    <row r="3379" spans="1:9" x14ac:dyDescent="0.25">
      <c r="A3379">
        <v>4124</v>
      </c>
      <c r="B3379">
        <v>10</v>
      </c>
      <c r="C3379" t="s">
        <v>946</v>
      </c>
      <c r="D3379" t="s">
        <v>1010</v>
      </c>
      <c r="E3379" t="s">
        <v>980</v>
      </c>
      <c r="F3379" t="s">
        <v>948</v>
      </c>
      <c r="G3379">
        <v>1000000</v>
      </c>
      <c r="H3379">
        <v>141000</v>
      </c>
      <c r="I3379" t="s">
        <v>981</v>
      </c>
    </row>
    <row r="3380" spans="1:9" x14ac:dyDescent="0.25">
      <c r="A3380">
        <v>4126</v>
      </c>
      <c r="B3380">
        <v>10</v>
      </c>
      <c r="C3380" t="s">
        <v>946</v>
      </c>
      <c r="D3380" t="s">
        <v>1010</v>
      </c>
      <c r="E3380" t="s">
        <v>980</v>
      </c>
      <c r="F3380" t="s">
        <v>948</v>
      </c>
      <c r="G3380">
        <v>1000000</v>
      </c>
      <c r="H3380">
        <v>141000</v>
      </c>
      <c r="I3380" t="s">
        <v>981</v>
      </c>
    </row>
    <row r="3381" spans="1:9" x14ac:dyDescent="0.25">
      <c r="A3381">
        <v>4128</v>
      </c>
      <c r="B3381">
        <v>10</v>
      </c>
      <c r="C3381" t="s">
        <v>946</v>
      </c>
      <c r="D3381" t="s">
        <v>1010</v>
      </c>
      <c r="E3381" t="s">
        <v>980</v>
      </c>
      <c r="F3381" t="s">
        <v>948</v>
      </c>
      <c r="G3381">
        <v>1000000</v>
      </c>
      <c r="H3381">
        <v>141000</v>
      </c>
      <c r="I3381" t="s">
        <v>981</v>
      </c>
    </row>
    <row r="3382" spans="1:9" x14ac:dyDescent="0.25">
      <c r="A3382">
        <v>4122</v>
      </c>
      <c r="B3382">
        <v>10</v>
      </c>
      <c r="C3382" t="s">
        <v>946</v>
      </c>
      <c r="D3382" t="s">
        <v>1010</v>
      </c>
      <c r="E3382" t="s">
        <v>302</v>
      </c>
      <c r="F3382" t="s">
        <v>948</v>
      </c>
      <c r="G3382">
        <v>1000000</v>
      </c>
      <c r="H3382">
        <v>143000</v>
      </c>
      <c r="I3382" t="s">
        <v>982</v>
      </c>
    </row>
    <row r="3383" spans="1:9" x14ac:dyDescent="0.25">
      <c r="A3383">
        <v>4124</v>
      </c>
      <c r="B3383">
        <v>10</v>
      </c>
      <c r="C3383" t="s">
        <v>946</v>
      </c>
      <c r="D3383" t="s">
        <v>1010</v>
      </c>
      <c r="E3383" t="s">
        <v>302</v>
      </c>
      <c r="F3383" t="s">
        <v>948</v>
      </c>
      <c r="G3383">
        <v>1000000</v>
      </c>
      <c r="H3383">
        <v>143000</v>
      </c>
      <c r="I3383" t="s">
        <v>982</v>
      </c>
    </row>
    <row r="3384" spans="1:9" x14ac:dyDescent="0.25">
      <c r="A3384">
        <v>4126</v>
      </c>
      <c r="B3384">
        <v>10</v>
      </c>
      <c r="C3384" t="s">
        <v>946</v>
      </c>
      <c r="D3384" t="s">
        <v>1010</v>
      </c>
      <c r="E3384" t="s">
        <v>302</v>
      </c>
      <c r="F3384" t="s">
        <v>948</v>
      </c>
      <c r="G3384">
        <v>1000000</v>
      </c>
      <c r="H3384">
        <v>143000</v>
      </c>
      <c r="I3384" t="s">
        <v>982</v>
      </c>
    </row>
    <row r="3385" spans="1:9" x14ac:dyDescent="0.25">
      <c r="A3385">
        <v>4128</v>
      </c>
      <c r="B3385">
        <v>10</v>
      </c>
      <c r="C3385" t="s">
        <v>946</v>
      </c>
      <c r="D3385" t="s">
        <v>1010</v>
      </c>
      <c r="E3385" t="s">
        <v>302</v>
      </c>
      <c r="F3385" t="s">
        <v>948</v>
      </c>
      <c r="G3385">
        <v>1000000</v>
      </c>
      <c r="H3385">
        <v>143000</v>
      </c>
      <c r="I3385" t="s">
        <v>982</v>
      </c>
    </row>
    <row r="3386" spans="1:9" x14ac:dyDescent="0.25">
      <c r="A3386">
        <v>4122</v>
      </c>
      <c r="B3386">
        <v>10</v>
      </c>
      <c r="C3386" t="s">
        <v>946</v>
      </c>
      <c r="D3386" t="s">
        <v>1010</v>
      </c>
      <c r="E3386" t="s">
        <v>306</v>
      </c>
      <c r="F3386" t="s">
        <v>948</v>
      </c>
      <c r="G3386">
        <v>1000000</v>
      </c>
      <c r="H3386">
        <v>143000</v>
      </c>
      <c r="I3386" t="s">
        <v>983</v>
      </c>
    </row>
    <row r="3387" spans="1:9" x14ac:dyDescent="0.25">
      <c r="A3387">
        <v>4124</v>
      </c>
      <c r="B3387">
        <v>10</v>
      </c>
      <c r="C3387" t="s">
        <v>946</v>
      </c>
      <c r="D3387" t="s">
        <v>1010</v>
      </c>
      <c r="E3387" t="s">
        <v>306</v>
      </c>
      <c r="F3387" t="s">
        <v>948</v>
      </c>
      <c r="G3387">
        <v>1000000</v>
      </c>
      <c r="H3387">
        <v>143000</v>
      </c>
      <c r="I3387" t="s">
        <v>983</v>
      </c>
    </row>
    <row r="3388" spans="1:9" x14ac:dyDescent="0.25">
      <c r="A3388">
        <v>4126</v>
      </c>
      <c r="B3388">
        <v>10</v>
      </c>
      <c r="C3388" t="s">
        <v>946</v>
      </c>
      <c r="D3388" t="s">
        <v>1010</v>
      </c>
      <c r="E3388" t="s">
        <v>306</v>
      </c>
      <c r="F3388" t="s">
        <v>948</v>
      </c>
      <c r="G3388">
        <v>1000000</v>
      </c>
      <c r="H3388">
        <v>143000</v>
      </c>
      <c r="I3388" t="s">
        <v>983</v>
      </c>
    </row>
    <row r="3389" spans="1:9" x14ac:dyDescent="0.25">
      <c r="A3389">
        <v>4128</v>
      </c>
      <c r="B3389">
        <v>10</v>
      </c>
      <c r="C3389" t="s">
        <v>946</v>
      </c>
      <c r="D3389" t="s">
        <v>1010</v>
      </c>
      <c r="E3389" t="s">
        <v>306</v>
      </c>
      <c r="F3389" t="s">
        <v>948</v>
      </c>
      <c r="G3389">
        <v>1000000</v>
      </c>
      <c r="H3389">
        <v>143000</v>
      </c>
      <c r="I3389" t="s">
        <v>983</v>
      </c>
    </row>
    <row r="3390" spans="1:9" x14ac:dyDescent="0.25">
      <c r="A3390">
        <v>4122</v>
      </c>
      <c r="B3390">
        <v>10</v>
      </c>
      <c r="C3390" t="s">
        <v>946</v>
      </c>
      <c r="D3390" t="s">
        <v>1010</v>
      </c>
      <c r="E3390" t="s">
        <v>108</v>
      </c>
      <c r="F3390" t="s">
        <v>948</v>
      </c>
      <c r="G3390">
        <v>1077777</v>
      </c>
      <c r="H3390">
        <v>500220</v>
      </c>
      <c r="I3390" t="s">
        <v>949</v>
      </c>
    </row>
    <row r="3391" spans="1:9" x14ac:dyDescent="0.25">
      <c r="A3391">
        <v>4124</v>
      </c>
      <c r="B3391">
        <v>10</v>
      </c>
      <c r="C3391" t="s">
        <v>946</v>
      </c>
      <c r="D3391" t="s">
        <v>1010</v>
      </c>
      <c r="E3391" t="s">
        <v>108</v>
      </c>
      <c r="F3391" t="s">
        <v>948</v>
      </c>
      <c r="G3391">
        <v>1077777</v>
      </c>
      <c r="H3391">
        <v>500221</v>
      </c>
      <c r="I3391" t="s">
        <v>949</v>
      </c>
    </row>
    <row r="3392" spans="1:9" x14ac:dyDescent="0.25">
      <c r="A3392">
        <v>4126</v>
      </c>
      <c r="B3392">
        <v>10</v>
      </c>
      <c r="C3392" t="s">
        <v>946</v>
      </c>
      <c r="D3392" t="s">
        <v>1010</v>
      </c>
      <c r="E3392" t="s">
        <v>108</v>
      </c>
      <c r="F3392" t="s">
        <v>948</v>
      </c>
      <c r="G3392">
        <v>1077777</v>
      </c>
      <c r="H3392">
        <v>500220</v>
      </c>
      <c r="I3392" t="s">
        <v>949</v>
      </c>
    </row>
    <row r="3393" spans="1:9" x14ac:dyDescent="0.25">
      <c r="A3393">
        <v>4128</v>
      </c>
      <c r="B3393">
        <v>10</v>
      </c>
      <c r="C3393" t="s">
        <v>946</v>
      </c>
      <c r="D3393" t="s">
        <v>1010</v>
      </c>
      <c r="E3393" t="s">
        <v>108</v>
      </c>
      <c r="F3393" t="s">
        <v>948</v>
      </c>
      <c r="G3393">
        <v>1077777</v>
      </c>
      <c r="H3393">
        <v>500221</v>
      </c>
      <c r="I3393" t="s">
        <v>949</v>
      </c>
    </row>
    <row r="3394" spans="1:9" x14ac:dyDescent="0.25">
      <c r="A3394">
        <v>4122</v>
      </c>
      <c r="B3394">
        <v>10</v>
      </c>
      <c r="C3394" t="s">
        <v>946</v>
      </c>
      <c r="D3394" t="s">
        <v>1010</v>
      </c>
      <c r="E3394" t="s">
        <v>310</v>
      </c>
      <c r="F3394" t="s">
        <v>948</v>
      </c>
      <c r="G3394">
        <v>1000000</v>
      </c>
      <c r="H3394">
        <v>145000</v>
      </c>
      <c r="I3394" t="s">
        <v>949</v>
      </c>
    </row>
    <row r="3395" spans="1:9" x14ac:dyDescent="0.25">
      <c r="A3395">
        <v>4124</v>
      </c>
      <c r="B3395">
        <v>10</v>
      </c>
      <c r="C3395" t="s">
        <v>946</v>
      </c>
      <c r="D3395" t="s">
        <v>1010</v>
      </c>
      <c r="E3395" t="s">
        <v>310</v>
      </c>
      <c r="F3395" t="s">
        <v>948</v>
      </c>
      <c r="G3395">
        <v>1000000</v>
      </c>
      <c r="H3395">
        <v>145000</v>
      </c>
      <c r="I3395" t="s">
        <v>949</v>
      </c>
    </row>
    <row r="3396" spans="1:9" x14ac:dyDescent="0.25">
      <c r="A3396">
        <v>4126</v>
      </c>
      <c r="B3396">
        <v>10</v>
      </c>
      <c r="C3396" t="s">
        <v>946</v>
      </c>
      <c r="D3396" t="s">
        <v>1010</v>
      </c>
      <c r="E3396" t="s">
        <v>310</v>
      </c>
      <c r="F3396" t="s">
        <v>948</v>
      </c>
      <c r="G3396">
        <v>1000000</v>
      </c>
      <c r="H3396">
        <v>145000</v>
      </c>
      <c r="I3396" t="s">
        <v>949</v>
      </c>
    </row>
    <row r="3397" spans="1:9" x14ac:dyDescent="0.25">
      <c r="A3397">
        <v>4128</v>
      </c>
      <c r="B3397">
        <v>10</v>
      </c>
      <c r="C3397" t="s">
        <v>946</v>
      </c>
      <c r="D3397" t="s">
        <v>1010</v>
      </c>
      <c r="E3397" t="s">
        <v>310</v>
      </c>
      <c r="F3397" t="s">
        <v>948</v>
      </c>
      <c r="G3397">
        <v>1000000</v>
      </c>
      <c r="H3397">
        <v>145000</v>
      </c>
      <c r="I3397" t="s">
        <v>949</v>
      </c>
    </row>
    <row r="3398" spans="1:9" x14ac:dyDescent="0.25">
      <c r="A3398">
        <v>4122</v>
      </c>
      <c r="B3398">
        <v>10</v>
      </c>
      <c r="C3398" t="s">
        <v>946</v>
      </c>
      <c r="D3398" t="s">
        <v>1010</v>
      </c>
      <c r="E3398" t="s">
        <v>314</v>
      </c>
      <c r="F3398" t="s">
        <v>948</v>
      </c>
      <c r="G3398">
        <v>1000000</v>
      </c>
      <c r="H3398">
        <v>145000</v>
      </c>
      <c r="I3398" t="s">
        <v>949</v>
      </c>
    </row>
    <row r="3399" spans="1:9" x14ac:dyDescent="0.25">
      <c r="A3399">
        <v>4124</v>
      </c>
      <c r="B3399">
        <v>10</v>
      </c>
      <c r="C3399" t="s">
        <v>946</v>
      </c>
      <c r="D3399" t="s">
        <v>1010</v>
      </c>
      <c r="E3399" t="s">
        <v>314</v>
      </c>
      <c r="F3399" t="s">
        <v>948</v>
      </c>
      <c r="G3399">
        <v>1000000</v>
      </c>
      <c r="H3399">
        <v>145000</v>
      </c>
      <c r="I3399" t="s">
        <v>949</v>
      </c>
    </row>
    <row r="3400" spans="1:9" x14ac:dyDescent="0.25">
      <c r="A3400">
        <v>4126</v>
      </c>
      <c r="B3400">
        <v>10</v>
      </c>
      <c r="C3400" t="s">
        <v>946</v>
      </c>
      <c r="D3400" t="s">
        <v>1010</v>
      </c>
      <c r="E3400" t="s">
        <v>314</v>
      </c>
      <c r="F3400" t="s">
        <v>948</v>
      </c>
      <c r="G3400">
        <v>1000000</v>
      </c>
      <c r="H3400">
        <v>145000</v>
      </c>
      <c r="I3400" t="s">
        <v>949</v>
      </c>
    </row>
    <row r="3401" spans="1:9" x14ac:dyDescent="0.25">
      <c r="A3401">
        <v>4128</v>
      </c>
      <c r="B3401">
        <v>10</v>
      </c>
      <c r="C3401" t="s">
        <v>946</v>
      </c>
      <c r="D3401" t="s">
        <v>1010</v>
      </c>
      <c r="E3401" t="s">
        <v>314</v>
      </c>
      <c r="F3401" t="s">
        <v>948</v>
      </c>
      <c r="G3401">
        <v>1000000</v>
      </c>
      <c r="H3401">
        <v>145000</v>
      </c>
      <c r="I3401" t="s">
        <v>949</v>
      </c>
    </row>
    <row r="3402" spans="1:9" x14ac:dyDescent="0.25">
      <c r="A3402">
        <v>4122</v>
      </c>
      <c r="B3402">
        <v>10</v>
      </c>
      <c r="C3402" t="s">
        <v>946</v>
      </c>
      <c r="D3402" t="s">
        <v>1010</v>
      </c>
      <c r="E3402" t="s">
        <v>121</v>
      </c>
      <c r="F3402" t="s">
        <v>948</v>
      </c>
      <c r="G3402">
        <v>1077777</v>
      </c>
      <c r="H3402">
        <v>500220</v>
      </c>
      <c r="I3402" t="s">
        <v>949</v>
      </c>
    </row>
    <row r="3403" spans="1:9" x14ac:dyDescent="0.25">
      <c r="A3403">
        <v>4124</v>
      </c>
      <c r="B3403">
        <v>10</v>
      </c>
      <c r="C3403" t="s">
        <v>946</v>
      </c>
      <c r="D3403" t="s">
        <v>1010</v>
      </c>
      <c r="E3403" t="s">
        <v>121</v>
      </c>
      <c r="F3403" t="s">
        <v>948</v>
      </c>
      <c r="G3403">
        <v>1077777</v>
      </c>
      <c r="H3403">
        <v>500221</v>
      </c>
      <c r="I3403" t="s">
        <v>949</v>
      </c>
    </row>
    <row r="3404" spans="1:9" x14ac:dyDescent="0.25">
      <c r="A3404">
        <v>4126</v>
      </c>
      <c r="B3404">
        <v>10</v>
      </c>
      <c r="C3404" t="s">
        <v>946</v>
      </c>
      <c r="D3404" t="s">
        <v>1010</v>
      </c>
      <c r="E3404" t="s">
        <v>121</v>
      </c>
      <c r="F3404" t="s">
        <v>948</v>
      </c>
      <c r="G3404">
        <v>1077777</v>
      </c>
      <c r="H3404">
        <v>500220</v>
      </c>
      <c r="I3404" t="s">
        <v>949</v>
      </c>
    </row>
    <row r="3405" spans="1:9" x14ac:dyDescent="0.25">
      <c r="A3405">
        <v>4128</v>
      </c>
      <c r="B3405">
        <v>10</v>
      </c>
      <c r="C3405" t="s">
        <v>946</v>
      </c>
      <c r="D3405" t="s">
        <v>1010</v>
      </c>
      <c r="E3405" t="s">
        <v>121</v>
      </c>
      <c r="F3405" t="s">
        <v>948</v>
      </c>
      <c r="G3405">
        <v>1077777</v>
      </c>
      <c r="H3405">
        <v>500221</v>
      </c>
      <c r="I3405" t="s">
        <v>949</v>
      </c>
    </row>
    <row r="3406" spans="1:9" x14ac:dyDescent="0.25">
      <c r="A3406">
        <v>4122</v>
      </c>
      <c r="B3406">
        <v>10</v>
      </c>
      <c r="C3406" t="s">
        <v>946</v>
      </c>
      <c r="D3406" t="s">
        <v>1010</v>
      </c>
      <c r="E3406" t="s">
        <v>984</v>
      </c>
      <c r="F3406" t="s">
        <v>948</v>
      </c>
      <c r="G3406">
        <v>1000000</v>
      </c>
      <c r="H3406">
        <v>141000</v>
      </c>
      <c r="I3406" t="s">
        <v>985</v>
      </c>
    </row>
    <row r="3407" spans="1:9" x14ac:dyDescent="0.25">
      <c r="A3407">
        <v>4124</v>
      </c>
      <c r="B3407">
        <v>10</v>
      </c>
      <c r="C3407" t="s">
        <v>946</v>
      </c>
      <c r="D3407" t="s">
        <v>1010</v>
      </c>
      <c r="E3407" t="s">
        <v>984</v>
      </c>
      <c r="F3407" t="s">
        <v>948</v>
      </c>
      <c r="G3407">
        <v>1000000</v>
      </c>
      <c r="H3407">
        <v>141000</v>
      </c>
      <c r="I3407" t="s">
        <v>985</v>
      </c>
    </row>
    <row r="3408" spans="1:9" x14ac:dyDescent="0.25">
      <c r="A3408">
        <v>4126</v>
      </c>
      <c r="B3408">
        <v>10</v>
      </c>
      <c r="C3408" t="s">
        <v>946</v>
      </c>
      <c r="D3408" t="s">
        <v>1010</v>
      </c>
      <c r="E3408" t="s">
        <v>984</v>
      </c>
      <c r="F3408" t="s">
        <v>948</v>
      </c>
      <c r="G3408">
        <v>1000000</v>
      </c>
      <c r="H3408">
        <v>141000</v>
      </c>
      <c r="I3408" t="s">
        <v>985</v>
      </c>
    </row>
    <row r="3409" spans="1:9" x14ac:dyDescent="0.25">
      <c r="A3409">
        <v>4128</v>
      </c>
      <c r="B3409">
        <v>10</v>
      </c>
      <c r="C3409" t="s">
        <v>946</v>
      </c>
      <c r="D3409" t="s">
        <v>1010</v>
      </c>
      <c r="E3409" t="s">
        <v>984</v>
      </c>
      <c r="F3409" t="s">
        <v>948</v>
      </c>
      <c r="G3409">
        <v>1000000</v>
      </c>
      <c r="H3409">
        <v>141000</v>
      </c>
      <c r="I3409" t="s">
        <v>985</v>
      </c>
    </row>
    <row r="3410" spans="1:9" x14ac:dyDescent="0.25">
      <c r="A3410">
        <v>3220</v>
      </c>
      <c r="B3410">
        <v>10</v>
      </c>
      <c r="C3410" t="s">
        <v>950</v>
      </c>
      <c r="D3410" t="s">
        <v>1011</v>
      </c>
      <c r="E3410" t="s">
        <v>49</v>
      </c>
      <c r="F3410" t="s">
        <v>954</v>
      </c>
      <c r="G3410">
        <v>1077777</v>
      </c>
      <c r="H3410">
        <v>501030</v>
      </c>
      <c r="I3410" t="s">
        <v>949</v>
      </c>
    </row>
    <row r="3411" spans="1:9" x14ac:dyDescent="0.25">
      <c r="A3411">
        <v>3220</v>
      </c>
      <c r="B3411">
        <v>10</v>
      </c>
      <c r="C3411" t="s">
        <v>950</v>
      </c>
      <c r="D3411" t="s">
        <v>1011</v>
      </c>
      <c r="E3411" t="s">
        <v>49</v>
      </c>
      <c r="F3411" t="s">
        <v>955</v>
      </c>
      <c r="G3411">
        <v>1077777</v>
      </c>
      <c r="H3411">
        <v>505100</v>
      </c>
      <c r="I3411" t="s">
        <v>949</v>
      </c>
    </row>
    <row r="3412" spans="1:9" x14ac:dyDescent="0.25">
      <c r="A3412">
        <v>3220</v>
      </c>
      <c r="B3412">
        <v>10</v>
      </c>
      <c r="C3412" t="s">
        <v>950</v>
      </c>
      <c r="D3412" t="s">
        <v>1011</v>
      </c>
      <c r="E3412" t="s">
        <v>49</v>
      </c>
      <c r="F3412" t="s">
        <v>956</v>
      </c>
      <c r="G3412">
        <v>1077777</v>
      </c>
      <c r="H3412">
        <v>501090</v>
      </c>
      <c r="I3412" t="s">
        <v>949</v>
      </c>
    </row>
    <row r="3413" spans="1:9" x14ac:dyDescent="0.25">
      <c r="A3413">
        <v>3220</v>
      </c>
      <c r="B3413">
        <v>10</v>
      </c>
      <c r="C3413" t="s">
        <v>950</v>
      </c>
      <c r="D3413" t="s">
        <v>1011</v>
      </c>
      <c r="E3413" t="s">
        <v>49</v>
      </c>
      <c r="F3413" t="s">
        <v>957</v>
      </c>
      <c r="G3413">
        <v>1077777</v>
      </c>
      <c r="H3413">
        <v>501090</v>
      </c>
      <c r="I3413" t="s">
        <v>949</v>
      </c>
    </row>
    <row r="3414" spans="1:9" x14ac:dyDescent="0.25">
      <c r="A3414">
        <v>3220</v>
      </c>
      <c r="B3414">
        <v>10</v>
      </c>
      <c r="C3414" t="s">
        <v>950</v>
      </c>
      <c r="D3414" t="s">
        <v>1011</v>
      </c>
      <c r="E3414" t="s">
        <v>49</v>
      </c>
      <c r="F3414" t="s">
        <v>958</v>
      </c>
      <c r="G3414">
        <v>1077777</v>
      </c>
      <c r="H3414">
        <v>501090</v>
      </c>
      <c r="I3414" t="s">
        <v>949</v>
      </c>
    </row>
    <row r="3415" spans="1:9" x14ac:dyDescent="0.25">
      <c r="A3415">
        <v>3220</v>
      </c>
      <c r="B3415">
        <v>10</v>
      </c>
      <c r="C3415" t="s">
        <v>962</v>
      </c>
      <c r="D3415" t="s">
        <v>1011</v>
      </c>
      <c r="E3415" t="s">
        <v>49</v>
      </c>
      <c r="F3415" t="s">
        <v>954</v>
      </c>
      <c r="G3415">
        <v>1077777</v>
      </c>
      <c r="H3415">
        <v>501030</v>
      </c>
      <c r="I3415" t="s">
        <v>949</v>
      </c>
    </row>
    <row r="3416" spans="1:9" x14ac:dyDescent="0.25">
      <c r="A3416">
        <v>3220</v>
      </c>
      <c r="B3416">
        <v>10</v>
      </c>
      <c r="C3416" t="s">
        <v>962</v>
      </c>
      <c r="D3416" t="s">
        <v>1011</v>
      </c>
      <c r="E3416" t="s">
        <v>49</v>
      </c>
      <c r="F3416" t="s">
        <v>955</v>
      </c>
      <c r="G3416">
        <v>1077777</v>
      </c>
      <c r="H3416">
        <v>505100</v>
      </c>
      <c r="I3416" t="s">
        <v>949</v>
      </c>
    </row>
    <row r="3417" spans="1:9" x14ac:dyDescent="0.25">
      <c r="A3417">
        <v>3220</v>
      </c>
      <c r="B3417">
        <v>10</v>
      </c>
      <c r="C3417" t="s">
        <v>962</v>
      </c>
      <c r="D3417" t="s">
        <v>1011</v>
      </c>
      <c r="E3417" t="s">
        <v>49</v>
      </c>
      <c r="F3417" t="s">
        <v>956</v>
      </c>
      <c r="G3417">
        <v>1077777</v>
      </c>
      <c r="H3417">
        <v>501090</v>
      </c>
      <c r="I3417" t="s">
        <v>949</v>
      </c>
    </row>
    <row r="3418" spans="1:9" x14ac:dyDescent="0.25">
      <c r="A3418">
        <v>3220</v>
      </c>
      <c r="B3418">
        <v>10</v>
      </c>
      <c r="C3418" t="s">
        <v>962</v>
      </c>
      <c r="D3418" t="s">
        <v>1011</v>
      </c>
      <c r="E3418" t="s">
        <v>49</v>
      </c>
      <c r="F3418" t="s">
        <v>957</v>
      </c>
      <c r="G3418">
        <v>1077777</v>
      </c>
      <c r="H3418">
        <v>501090</v>
      </c>
      <c r="I3418" t="s">
        <v>949</v>
      </c>
    </row>
    <row r="3419" spans="1:9" x14ac:dyDescent="0.25">
      <c r="A3419">
        <v>3220</v>
      </c>
      <c r="B3419">
        <v>10</v>
      </c>
      <c r="C3419" t="s">
        <v>962</v>
      </c>
      <c r="D3419" t="s">
        <v>1011</v>
      </c>
      <c r="E3419" t="s">
        <v>49</v>
      </c>
      <c r="F3419" t="s">
        <v>958</v>
      </c>
      <c r="G3419">
        <v>1077777</v>
      </c>
      <c r="H3419">
        <v>501090</v>
      </c>
      <c r="I3419" t="s">
        <v>949</v>
      </c>
    </row>
    <row r="3420" spans="1:9" x14ac:dyDescent="0.25">
      <c r="A3420">
        <v>3220</v>
      </c>
      <c r="B3420">
        <v>10</v>
      </c>
      <c r="C3420" t="s">
        <v>963</v>
      </c>
      <c r="D3420" t="s">
        <v>1011</v>
      </c>
      <c r="E3420" t="s">
        <v>49</v>
      </c>
      <c r="F3420" t="s">
        <v>954</v>
      </c>
      <c r="G3420">
        <v>1077777</v>
      </c>
      <c r="H3420">
        <v>501030</v>
      </c>
      <c r="I3420" t="s">
        <v>949</v>
      </c>
    </row>
    <row r="3421" spans="1:9" x14ac:dyDescent="0.25">
      <c r="A3421">
        <v>3220</v>
      </c>
      <c r="B3421">
        <v>10</v>
      </c>
      <c r="C3421" t="s">
        <v>963</v>
      </c>
      <c r="D3421" t="s">
        <v>1011</v>
      </c>
      <c r="E3421" t="s">
        <v>49</v>
      </c>
      <c r="F3421" t="s">
        <v>955</v>
      </c>
      <c r="G3421">
        <v>1077777</v>
      </c>
      <c r="H3421">
        <v>505100</v>
      </c>
      <c r="I3421" t="s">
        <v>949</v>
      </c>
    </row>
    <row r="3422" spans="1:9" x14ac:dyDescent="0.25">
      <c r="A3422">
        <v>3220</v>
      </c>
      <c r="B3422">
        <v>10</v>
      </c>
      <c r="C3422" t="s">
        <v>963</v>
      </c>
      <c r="D3422" t="s">
        <v>1011</v>
      </c>
      <c r="E3422" t="s">
        <v>49</v>
      </c>
      <c r="F3422" t="s">
        <v>956</v>
      </c>
      <c r="G3422">
        <v>1077777</v>
      </c>
      <c r="H3422">
        <v>501090</v>
      </c>
      <c r="I3422" t="s">
        <v>949</v>
      </c>
    </row>
    <row r="3423" spans="1:9" x14ac:dyDescent="0.25">
      <c r="A3423">
        <v>3220</v>
      </c>
      <c r="B3423">
        <v>10</v>
      </c>
      <c r="C3423" t="s">
        <v>963</v>
      </c>
      <c r="D3423" t="s">
        <v>1011</v>
      </c>
      <c r="E3423" t="s">
        <v>49</v>
      </c>
      <c r="F3423" t="s">
        <v>957</v>
      </c>
      <c r="G3423">
        <v>1077777</v>
      </c>
      <c r="H3423">
        <v>501090</v>
      </c>
      <c r="I3423" t="s">
        <v>949</v>
      </c>
    </row>
    <row r="3424" spans="1:9" x14ac:dyDescent="0.25">
      <c r="A3424">
        <v>3220</v>
      </c>
      <c r="B3424">
        <v>10</v>
      </c>
      <c r="C3424" t="s">
        <v>963</v>
      </c>
      <c r="D3424" t="s">
        <v>1011</v>
      </c>
      <c r="E3424" t="s">
        <v>49</v>
      </c>
      <c r="F3424" t="s">
        <v>958</v>
      </c>
      <c r="G3424">
        <v>1077777</v>
      </c>
      <c r="H3424">
        <v>501090</v>
      </c>
      <c r="I3424" t="s">
        <v>949</v>
      </c>
    </row>
    <row r="3425" spans="1:9" x14ac:dyDescent="0.25">
      <c r="A3425">
        <v>3240</v>
      </c>
      <c r="B3425">
        <v>10</v>
      </c>
      <c r="C3425" t="s">
        <v>950</v>
      </c>
      <c r="D3425" t="s">
        <v>1011</v>
      </c>
      <c r="E3425" t="s">
        <v>49</v>
      </c>
      <c r="F3425" t="s">
        <v>951</v>
      </c>
      <c r="G3425">
        <v>1077777</v>
      </c>
      <c r="H3425">
        <v>501015</v>
      </c>
      <c r="I3425" t="s">
        <v>949</v>
      </c>
    </row>
    <row r="3426" spans="1:9" x14ac:dyDescent="0.25">
      <c r="A3426">
        <v>3240</v>
      </c>
      <c r="B3426">
        <v>10</v>
      </c>
      <c r="C3426" t="s">
        <v>950</v>
      </c>
      <c r="D3426" t="s">
        <v>1011</v>
      </c>
      <c r="E3426" t="s">
        <v>49</v>
      </c>
      <c r="F3426" t="s">
        <v>952</v>
      </c>
      <c r="G3426">
        <v>1077777</v>
      </c>
      <c r="H3426">
        <v>501015</v>
      </c>
      <c r="I3426" t="s">
        <v>949</v>
      </c>
    </row>
    <row r="3427" spans="1:9" x14ac:dyDescent="0.25">
      <c r="A3427">
        <v>3240</v>
      </c>
      <c r="B3427">
        <v>10</v>
      </c>
      <c r="C3427" t="s">
        <v>950</v>
      </c>
      <c r="D3427" t="s">
        <v>1011</v>
      </c>
      <c r="E3427" t="s">
        <v>49</v>
      </c>
      <c r="F3427" t="s">
        <v>956</v>
      </c>
      <c r="G3427">
        <v>1077777</v>
      </c>
      <c r="H3427">
        <v>501015</v>
      </c>
      <c r="I3427" t="s">
        <v>949</v>
      </c>
    </row>
    <row r="3428" spans="1:9" x14ac:dyDescent="0.25">
      <c r="A3428">
        <v>3240</v>
      </c>
      <c r="B3428">
        <v>10</v>
      </c>
      <c r="C3428" t="s">
        <v>950</v>
      </c>
      <c r="D3428" t="s">
        <v>1011</v>
      </c>
      <c r="E3428" t="s">
        <v>49</v>
      </c>
      <c r="F3428" t="s">
        <v>957</v>
      </c>
      <c r="G3428">
        <v>1077777</v>
      </c>
      <c r="H3428">
        <v>501015</v>
      </c>
      <c r="I3428" t="s">
        <v>949</v>
      </c>
    </row>
    <row r="3429" spans="1:9" x14ac:dyDescent="0.25">
      <c r="A3429">
        <v>3240</v>
      </c>
      <c r="B3429">
        <v>10</v>
      </c>
      <c r="C3429" t="s">
        <v>950</v>
      </c>
      <c r="D3429" t="s">
        <v>1011</v>
      </c>
      <c r="E3429" t="s">
        <v>49</v>
      </c>
      <c r="F3429" t="s">
        <v>958</v>
      </c>
      <c r="G3429">
        <v>1077777</v>
      </c>
      <c r="H3429">
        <v>501015</v>
      </c>
      <c r="I3429" t="s">
        <v>949</v>
      </c>
    </row>
    <row r="3430" spans="1:9" x14ac:dyDescent="0.25">
      <c r="A3430">
        <v>3240</v>
      </c>
      <c r="B3430">
        <v>10</v>
      </c>
      <c r="C3430" t="s">
        <v>950</v>
      </c>
      <c r="D3430" t="s">
        <v>1011</v>
      </c>
      <c r="E3430" t="s">
        <v>49</v>
      </c>
      <c r="F3430" t="s">
        <v>959</v>
      </c>
      <c r="G3430">
        <v>1077777</v>
      </c>
      <c r="H3430">
        <v>501015</v>
      </c>
      <c r="I3430" t="s">
        <v>949</v>
      </c>
    </row>
    <row r="3431" spans="1:9" x14ac:dyDescent="0.25">
      <c r="A3431">
        <v>3240</v>
      </c>
      <c r="B3431">
        <v>10</v>
      </c>
      <c r="C3431" t="s">
        <v>950</v>
      </c>
      <c r="D3431" t="s">
        <v>1011</v>
      </c>
      <c r="E3431" t="s">
        <v>49</v>
      </c>
      <c r="F3431" t="s">
        <v>960</v>
      </c>
      <c r="G3431">
        <v>1077777</v>
      </c>
      <c r="H3431">
        <v>501015</v>
      </c>
      <c r="I3431" t="s">
        <v>949</v>
      </c>
    </row>
    <row r="3432" spans="1:9" x14ac:dyDescent="0.25">
      <c r="A3432">
        <v>3240</v>
      </c>
      <c r="B3432">
        <v>10</v>
      </c>
      <c r="C3432" t="s">
        <v>950</v>
      </c>
      <c r="D3432" t="s">
        <v>1011</v>
      </c>
      <c r="E3432" t="s">
        <v>49</v>
      </c>
      <c r="F3432" t="s">
        <v>961</v>
      </c>
      <c r="G3432">
        <v>1077777</v>
      </c>
      <c r="H3432">
        <v>501015</v>
      </c>
      <c r="I3432" t="s">
        <v>949</v>
      </c>
    </row>
    <row r="3433" spans="1:9" x14ac:dyDescent="0.25">
      <c r="A3433">
        <v>3240</v>
      </c>
      <c r="B3433">
        <v>10</v>
      </c>
      <c r="C3433" t="s">
        <v>962</v>
      </c>
      <c r="D3433" t="s">
        <v>1011</v>
      </c>
      <c r="E3433" t="s">
        <v>49</v>
      </c>
      <c r="F3433" t="s">
        <v>951</v>
      </c>
      <c r="G3433">
        <v>1077777</v>
      </c>
      <c r="H3433">
        <v>501015</v>
      </c>
      <c r="I3433" t="s">
        <v>949</v>
      </c>
    </row>
    <row r="3434" spans="1:9" x14ac:dyDescent="0.25">
      <c r="A3434">
        <v>3240</v>
      </c>
      <c r="B3434">
        <v>10</v>
      </c>
      <c r="C3434" t="s">
        <v>962</v>
      </c>
      <c r="D3434" t="s">
        <v>1011</v>
      </c>
      <c r="E3434" t="s">
        <v>49</v>
      </c>
      <c r="F3434" t="s">
        <v>952</v>
      </c>
      <c r="G3434">
        <v>1077777</v>
      </c>
      <c r="H3434">
        <v>501015</v>
      </c>
      <c r="I3434" t="s">
        <v>949</v>
      </c>
    </row>
    <row r="3435" spans="1:9" x14ac:dyDescent="0.25">
      <c r="A3435">
        <v>3240</v>
      </c>
      <c r="B3435">
        <v>10</v>
      </c>
      <c r="C3435" t="s">
        <v>962</v>
      </c>
      <c r="D3435" t="s">
        <v>1011</v>
      </c>
      <c r="E3435" t="s">
        <v>49</v>
      </c>
      <c r="F3435" t="s">
        <v>956</v>
      </c>
      <c r="G3435">
        <v>1077777</v>
      </c>
      <c r="H3435">
        <v>501015</v>
      </c>
      <c r="I3435" t="s">
        <v>949</v>
      </c>
    </row>
    <row r="3436" spans="1:9" x14ac:dyDescent="0.25">
      <c r="A3436">
        <v>3240</v>
      </c>
      <c r="B3436">
        <v>10</v>
      </c>
      <c r="C3436" t="s">
        <v>962</v>
      </c>
      <c r="D3436" t="s">
        <v>1011</v>
      </c>
      <c r="E3436" t="s">
        <v>49</v>
      </c>
      <c r="F3436" t="s">
        <v>957</v>
      </c>
      <c r="G3436">
        <v>1077777</v>
      </c>
      <c r="H3436">
        <v>501015</v>
      </c>
      <c r="I3436" t="s">
        <v>949</v>
      </c>
    </row>
    <row r="3437" spans="1:9" x14ac:dyDescent="0.25">
      <c r="A3437">
        <v>3240</v>
      </c>
      <c r="B3437">
        <v>10</v>
      </c>
      <c r="C3437" t="s">
        <v>962</v>
      </c>
      <c r="D3437" t="s">
        <v>1011</v>
      </c>
      <c r="E3437" t="s">
        <v>49</v>
      </c>
      <c r="F3437" t="s">
        <v>958</v>
      </c>
      <c r="G3437">
        <v>1077777</v>
      </c>
      <c r="H3437">
        <v>501015</v>
      </c>
      <c r="I3437" t="s">
        <v>949</v>
      </c>
    </row>
    <row r="3438" spans="1:9" x14ac:dyDescent="0.25">
      <c r="A3438">
        <v>3240</v>
      </c>
      <c r="B3438">
        <v>10</v>
      </c>
      <c r="C3438" t="s">
        <v>962</v>
      </c>
      <c r="D3438" t="s">
        <v>1011</v>
      </c>
      <c r="E3438" t="s">
        <v>49</v>
      </c>
      <c r="F3438" t="s">
        <v>959</v>
      </c>
      <c r="G3438">
        <v>1077777</v>
      </c>
      <c r="H3438">
        <v>501015</v>
      </c>
      <c r="I3438" t="s">
        <v>949</v>
      </c>
    </row>
    <row r="3439" spans="1:9" x14ac:dyDescent="0.25">
      <c r="A3439">
        <v>3240</v>
      </c>
      <c r="B3439">
        <v>10</v>
      </c>
      <c r="C3439" t="s">
        <v>962</v>
      </c>
      <c r="D3439" t="s">
        <v>1011</v>
      </c>
      <c r="E3439" t="s">
        <v>49</v>
      </c>
      <c r="F3439" t="s">
        <v>960</v>
      </c>
      <c r="G3439">
        <v>1077777</v>
      </c>
      <c r="H3439">
        <v>501015</v>
      </c>
      <c r="I3439" t="s">
        <v>949</v>
      </c>
    </row>
    <row r="3440" spans="1:9" x14ac:dyDescent="0.25">
      <c r="A3440">
        <v>3240</v>
      </c>
      <c r="B3440">
        <v>10</v>
      </c>
      <c r="C3440" t="s">
        <v>962</v>
      </c>
      <c r="D3440" t="s">
        <v>1011</v>
      </c>
      <c r="E3440" t="s">
        <v>49</v>
      </c>
      <c r="F3440" t="s">
        <v>961</v>
      </c>
      <c r="G3440">
        <v>1077777</v>
      </c>
      <c r="H3440">
        <v>501015</v>
      </c>
      <c r="I3440" t="s">
        <v>949</v>
      </c>
    </row>
    <row r="3441" spans="1:9" x14ac:dyDescent="0.25">
      <c r="A3441">
        <v>3240</v>
      </c>
      <c r="B3441">
        <v>10</v>
      </c>
      <c r="C3441" t="s">
        <v>963</v>
      </c>
      <c r="D3441" t="s">
        <v>1011</v>
      </c>
      <c r="E3441" t="s">
        <v>49</v>
      </c>
      <c r="F3441" t="s">
        <v>951</v>
      </c>
      <c r="G3441">
        <v>1077777</v>
      </c>
      <c r="H3441">
        <v>501015</v>
      </c>
      <c r="I3441" t="s">
        <v>949</v>
      </c>
    </row>
    <row r="3442" spans="1:9" x14ac:dyDescent="0.25">
      <c r="A3442">
        <v>3240</v>
      </c>
      <c r="B3442">
        <v>10</v>
      </c>
      <c r="C3442" t="s">
        <v>963</v>
      </c>
      <c r="D3442" t="s">
        <v>1011</v>
      </c>
      <c r="E3442" t="s">
        <v>49</v>
      </c>
      <c r="F3442" t="s">
        <v>952</v>
      </c>
      <c r="G3442">
        <v>1077777</v>
      </c>
      <c r="H3442">
        <v>501015</v>
      </c>
      <c r="I3442" t="s">
        <v>949</v>
      </c>
    </row>
    <row r="3443" spans="1:9" x14ac:dyDescent="0.25">
      <c r="A3443">
        <v>3240</v>
      </c>
      <c r="B3443">
        <v>10</v>
      </c>
      <c r="C3443" t="s">
        <v>963</v>
      </c>
      <c r="D3443" t="s">
        <v>1011</v>
      </c>
      <c r="E3443" t="s">
        <v>49</v>
      </c>
      <c r="F3443" t="s">
        <v>956</v>
      </c>
      <c r="G3443">
        <v>1077777</v>
      </c>
      <c r="H3443">
        <v>501015</v>
      </c>
      <c r="I3443" t="s">
        <v>949</v>
      </c>
    </row>
    <row r="3444" spans="1:9" x14ac:dyDescent="0.25">
      <c r="A3444">
        <v>3240</v>
      </c>
      <c r="B3444">
        <v>10</v>
      </c>
      <c r="C3444" t="s">
        <v>963</v>
      </c>
      <c r="D3444" t="s">
        <v>1011</v>
      </c>
      <c r="E3444" t="s">
        <v>49</v>
      </c>
      <c r="F3444" t="s">
        <v>957</v>
      </c>
      <c r="G3444">
        <v>1077777</v>
      </c>
      <c r="H3444">
        <v>501015</v>
      </c>
      <c r="I3444" t="s">
        <v>949</v>
      </c>
    </row>
    <row r="3445" spans="1:9" x14ac:dyDescent="0.25">
      <c r="A3445">
        <v>3240</v>
      </c>
      <c r="B3445">
        <v>10</v>
      </c>
      <c r="C3445" t="s">
        <v>963</v>
      </c>
      <c r="D3445" t="s">
        <v>1011</v>
      </c>
      <c r="E3445" t="s">
        <v>49</v>
      </c>
      <c r="F3445" t="s">
        <v>958</v>
      </c>
      <c r="G3445">
        <v>1077777</v>
      </c>
      <c r="H3445">
        <v>501015</v>
      </c>
      <c r="I3445" t="s">
        <v>949</v>
      </c>
    </row>
    <row r="3446" spans="1:9" x14ac:dyDescent="0.25">
      <c r="A3446">
        <v>3240</v>
      </c>
      <c r="B3446">
        <v>10</v>
      </c>
      <c r="C3446" t="s">
        <v>963</v>
      </c>
      <c r="D3446" t="s">
        <v>1011</v>
      </c>
      <c r="E3446" t="s">
        <v>49</v>
      </c>
      <c r="F3446" t="s">
        <v>959</v>
      </c>
      <c r="G3446">
        <v>1077777</v>
      </c>
      <c r="H3446">
        <v>501015</v>
      </c>
      <c r="I3446" t="s">
        <v>949</v>
      </c>
    </row>
    <row r="3447" spans="1:9" x14ac:dyDescent="0.25">
      <c r="A3447">
        <v>3240</v>
      </c>
      <c r="B3447">
        <v>10</v>
      </c>
      <c r="C3447" t="s">
        <v>963</v>
      </c>
      <c r="D3447" t="s">
        <v>1011</v>
      </c>
      <c r="E3447" t="s">
        <v>49</v>
      </c>
      <c r="F3447" t="s">
        <v>960</v>
      </c>
      <c r="G3447">
        <v>1077777</v>
      </c>
      <c r="H3447">
        <v>501015</v>
      </c>
      <c r="I3447" t="s">
        <v>949</v>
      </c>
    </row>
    <row r="3448" spans="1:9" x14ac:dyDescent="0.25">
      <c r="A3448">
        <v>3240</v>
      </c>
      <c r="B3448">
        <v>10</v>
      </c>
      <c r="C3448" t="s">
        <v>963</v>
      </c>
      <c r="D3448" t="s">
        <v>1011</v>
      </c>
      <c r="E3448" t="s">
        <v>49</v>
      </c>
      <c r="F3448" t="s">
        <v>961</v>
      </c>
      <c r="G3448">
        <v>1077777</v>
      </c>
      <c r="H3448">
        <v>501015</v>
      </c>
      <c r="I3448" t="s">
        <v>949</v>
      </c>
    </row>
    <row r="3449" spans="1:9" x14ac:dyDescent="0.25">
      <c r="A3449">
        <v>3260</v>
      </c>
      <c r="B3449">
        <v>10</v>
      </c>
      <c r="C3449" t="s">
        <v>950</v>
      </c>
      <c r="D3449" t="s">
        <v>1011</v>
      </c>
      <c r="E3449" t="s">
        <v>49</v>
      </c>
      <c r="F3449" t="s">
        <v>951</v>
      </c>
      <c r="G3449">
        <v>1077777</v>
      </c>
      <c r="H3449">
        <v>501087</v>
      </c>
      <c r="I3449" t="s">
        <v>949</v>
      </c>
    </row>
    <row r="3450" spans="1:9" x14ac:dyDescent="0.25">
      <c r="A3450">
        <v>3260</v>
      </c>
      <c r="B3450">
        <v>10</v>
      </c>
      <c r="C3450" t="s">
        <v>950</v>
      </c>
      <c r="D3450" t="s">
        <v>1011</v>
      </c>
      <c r="E3450" t="s">
        <v>49</v>
      </c>
      <c r="F3450" t="s">
        <v>952</v>
      </c>
      <c r="G3450">
        <v>1077777</v>
      </c>
      <c r="H3450">
        <v>501087</v>
      </c>
      <c r="I3450" t="s">
        <v>949</v>
      </c>
    </row>
    <row r="3451" spans="1:9" x14ac:dyDescent="0.25">
      <c r="A3451">
        <v>3260</v>
      </c>
      <c r="B3451">
        <v>10</v>
      </c>
      <c r="C3451" t="s">
        <v>950</v>
      </c>
      <c r="D3451" t="s">
        <v>1011</v>
      </c>
      <c r="E3451" t="s">
        <v>49</v>
      </c>
      <c r="F3451" t="s">
        <v>953</v>
      </c>
      <c r="G3451">
        <v>1077777</v>
      </c>
      <c r="H3451">
        <v>501087</v>
      </c>
      <c r="I3451" t="s">
        <v>949</v>
      </c>
    </row>
    <row r="3452" spans="1:9" x14ac:dyDescent="0.25">
      <c r="A3452">
        <v>3260</v>
      </c>
      <c r="B3452">
        <v>10</v>
      </c>
      <c r="C3452" t="s">
        <v>950</v>
      </c>
      <c r="D3452" t="s">
        <v>1011</v>
      </c>
      <c r="E3452" t="s">
        <v>49</v>
      </c>
      <c r="F3452" t="s">
        <v>954</v>
      </c>
      <c r="G3452">
        <v>1077777</v>
      </c>
      <c r="H3452">
        <v>501087</v>
      </c>
      <c r="I3452" t="s">
        <v>949</v>
      </c>
    </row>
    <row r="3453" spans="1:9" x14ac:dyDescent="0.25">
      <c r="A3453">
        <v>3260</v>
      </c>
      <c r="B3453">
        <v>10</v>
      </c>
      <c r="C3453" t="s">
        <v>950</v>
      </c>
      <c r="D3453" t="s">
        <v>1011</v>
      </c>
      <c r="E3453" t="s">
        <v>49</v>
      </c>
      <c r="F3453" t="s">
        <v>955</v>
      </c>
      <c r="G3453">
        <v>1077777</v>
      </c>
      <c r="H3453">
        <v>501087</v>
      </c>
      <c r="I3453" t="s">
        <v>949</v>
      </c>
    </row>
    <row r="3454" spans="1:9" x14ac:dyDescent="0.25">
      <c r="A3454">
        <v>3260</v>
      </c>
      <c r="B3454">
        <v>10</v>
      </c>
      <c r="C3454" t="s">
        <v>950</v>
      </c>
      <c r="D3454" t="s">
        <v>1011</v>
      </c>
      <c r="E3454" t="s">
        <v>49</v>
      </c>
      <c r="F3454" t="s">
        <v>956</v>
      </c>
      <c r="G3454">
        <v>1077777</v>
      </c>
      <c r="H3454">
        <v>501087</v>
      </c>
      <c r="I3454" t="s">
        <v>949</v>
      </c>
    </row>
    <row r="3455" spans="1:9" x14ac:dyDescent="0.25">
      <c r="A3455">
        <v>3260</v>
      </c>
      <c r="B3455">
        <v>10</v>
      </c>
      <c r="C3455" t="s">
        <v>950</v>
      </c>
      <c r="D3455" t="s">
        <v>1011</v>
      </c>
      <c r="E3455" t="s">
        <v>49</v>
      </c>
      <c r="F3455" t="s">
        <v>957</v>
      </c>
      <c r="G3455">
        <v>1077777</v>
      </c>
      <c r="H3455">
        <v>501087</v>
      </c>
      <c r="I3455" t="s">
        <v>949</v>
      </c>
    </row>
    <row r="3456" spans="1:9" x14ac:dyDescent="0.25">
      <c r="A3456">
        <v>3260</v>
      </c>
      <c r="B3456">
        <v>10</v>
      </c>
      <c r="C3456" t="s">
        <v>950</v>
      </c>
      <c r="D3456" t="s">
        <v>1011</v>
      </c>
      <c r="E3456" t="s">
        <v>49</v>
      </c>
      <c r="F3456" t="s">
        <v>958</v>
      </c>
      <c r="G3456">
        <v>1077777</v>
      </c>
      <c r="H3456">
        <v>501087</v>
      </c>
      <c r="I3456" t="s">
        <v>949</v>
      </c>
    </row>
    <row r="3457" spans="1:9" x14ac:dyDescent="0.25">
      <c r="A3457">
        <v>3260</v>
      </c>
      <c r="B3457">
        <v>10</v>
      </c>
      <c r="C3457" t="s">
        <v>950</v>
      </c>
      <c r="D3457" t="s">
        <v>1011</v>
      </c>
      <c r="E3457" t="s">
        <v>49</v>
      </c>
      <c r="F3457" t="s">
        <v>959</v>
      </c>
      <c r="G3457">
        <v>1077777</v>
      </c>
      <c r="H3457">
        <v>501087</v>
      </c>
      <c r="I3457" t="s">
        <v>949</v>
      </c>
    </row>
    <row r="3458" spans="1:9" x14ac:dyDescent="0.25">
      <c r="A3458">
        <v>3260</v>
      </c>
      <c r="B3458">
        <v>10</v>
      </c>
      <c r="C3458" t="s">
        <v>950</v>
      </c>
      <c r="D3458" t="s">
        <v>1011</v>
      </c>
      <c r="E3458" t="s">
        <v>49</v>
      </c>
      <c r="F3458" t="s">
        <v>960</v>
      </c>
      <c r="G3458">
        <v>1077777</v>
      </c>
      <c r="H3458">
        <v>501087</v>
      </c>
      <c r="I3458" t="s">
        <v>949</v>
      </c>
    </row>
    <row r="3459" spans="1:9" x14ac:dyDescent="0.25">
      <c r="A3459">
        <v>3260</v>
      </c>
      <c r="B3459">
        <v>10</v>
      </c>
      <c r="C3459" t="s">
        <v>950</v>
      </c>
      <c r="D3459" t="s">
        <v>1011</v>
      </c>
      <c r="E3459" t="s">
        <v>49</v>
      </c>
      <c r="F3459" t="s">
        <v>961</v>
      </c>
      <c r="G3459">
        <v>1077777</v>
      </c>
      <c r="H3459">
        <v>501087</v>
      </c>
      <c r="I3459" t="s">
        <v>949</v>
      </c>
    </row>
    <row r="3460" spans="1:9" x14ac:dyDescent="0.25">
      <c r="A3460">
        <v>3260</v>
      </c>
      <c r="B3460">
        <v>10</v>
      </c>
      <c r="C3460" t="s">
        <v>962</v>
      </c>
      <c r="D3460" t="s">
        <v>1011</v>
      </c>
      <c r="E3460" t="s">
        <v>49</v>
      </c>
      <c r="F3460" t="s">
        <v>951</v>
      </c>
      <c r="G3460">
        <v>1077777</v>
      </c>
      <c r="H3460">
        <v>501087</v>
      </c>
      <c r="I3460" t="s">
        <v>949</v>
      </c>
    </row>
    <row r="3461" spans="1:9" x14ac:dyDescent="0.25">
      <c r="A3461">
        <v>3260</v>
      </c>
      <c r="B3461">
        <v>10</v>
      </c>
      <c r="C3461" t="s">
        <v>962</v>
      </c>
      <c r="D3461" t="s">
        <v>1011</v>
      </c>
      <c r="E3461" t="s">
        <v>49</v>
      </c>
      <c r="F3461" t="s">
        <v>952</v>
      </c>
      <c r="G3461">
        <v>1077777</v>
      </c>
      <c r="H3461">
        <v>501087</v>
      </c>
      <c r="I3461" t="s">
        <v>949</v>
      </c>
    </row>
    <row r="3462" spans="1:9" x14ac:dyDescent="0.25">
      <c r="A3462">
        <v>3260</v>
      </c>
      <c r="B3462">
        <v>10</v>
      </c>
      <c r="C3462" t="s">
        <v>962</v>
      </c>
      <c r="D3462" t="s">
        <v>1011</v>
      </c>
      <c r="E3462" t="s">
        <v>49</v>
      </c>
      <c r="F3462" t="s">
        <v>953</v>
      </c>
      <c r="G3462">
        <v>1077777</v>
      </c>
      <c r="H3462">
        <v>501087</v>
      </c>
      <c r="I3462" t="s">
        <v>949</v>
      </c>
    </row>
    <row r="3463" spans="1:9" x14ac:dyDescent="0.25">
      <c r="A3463">
        <v>3260</v>
      </c>
      <c r="B3463">
        <v>10</v>
      </c>
      <c r="C3463" t="s">
        <v>962</v>
      </c>
      <c r="D3463" t="s">
        <v>1011</v>
      </c>
      <c r="E3463" t="s">
        <v>49</v>
      </c>
      <c r="F3463" t="s">
        <v>954</v>
      </c>
      <c r="G3463">
        <v>1077777</v>
      </c>
      <c r="H3463">
        <v>501087</v>
      </c>
      <c r="I3463" t="s">
        <v>949</v>
      </c>
    </row>
    <row r="3464" spans="1:9" x14ac:dyDescent="0.25">
      <c r="A3464">
        <v>3260</v>
      </c>
      <c r="B3464">
        <v>10</v>
      </c>
      <c r="C3464" t="s">
        <v>962</v>
      </c>
      <c r="D3464" t="s">
        <v>1011</v>
      </c>
      <c r="E3464" t="s">
        <v>49</v>
      </c>
      <c r="F3464" t="s">
        <v>955</v>
      </c>
      <c r="G3464">
        <v>1077777</v>
      </c>
      <c r="H3464">
        <v>501087</v>
      </c>
      <c r="I3464" t="s">
        <v>949</v>
      </c>
    </row>
    <row r="3465" spans="1:9" x14ac:dyDescent="0.25">
      <c r="A3465">
        <v>3260</v>
      </c>
      <c r="B3465">
        <v>10</v>
      </c>
      <c r="C3465" t="s">
        <v>962</v>
      </c>
      <c r="D3465" t="s">
        <v>1011</v>
      </c>
      <c r="E3465" t="s">
        <v>49</v>
      </c>
      <c r="F3465" t="s">
        <v>956</v>
      </c>
      <c r="G3465">
        <v>1077777</v>
      </c>
      <c r="H3465">
        <v>501087</v>
      </c>
      <c r="I3465" t="s">
        <v>949</v>
      </c>
    </row>
    <row r="3466" spans="1:9" x14ac:dyDescent="0.25">
      <c r="A3466">
        <v>3260</v>
      </c>
      <c r="B3466">
        <v>10</v>
      </c>
      <c r="C3466" t="s">
        <v>962</v>
      </c>
      <c r="D3466" t="s">
        <v>1011</v>
      </c>
      <c r="E3466" t="s">
        <v>49</v>
      </c>
      <c r="F3466" t="s">
        <v>957</v>
      </c>
      <c r="G3466">
        <v>1077777</v>
      </c>
      <c r="H3466">
        <v>501087</v>
      </c>
      <c r="I3466" t="s">
        <v>949</v>
      </c>
    </row>
    <row r="3467" spans="1:9" x14ac:dyDescent="0.25">
      <c r="A3467">
        <v>3260</v>
      </c>
      <c r="B3467">
        <v>10</v>
      </c>
      <c r="C3467" t="s">
        <v>962</v>
      </c>
      <c r="D3467" t="s">
        <v>1011</v>
      </c>
      <c r="E3467" t="s">
        <v>49</v>
      </c>
      <c r="F3467" t="s">
        <v>958</v>
      </c>
      <c r="G3467">
        <v>1077777</v>
      </c>
      <c r="H3467">
        <v>501087</v>
      </c>
      <c r="I3467" t="s">
        <v>949</v>
      </c>
    </row>
    <row r="3468" spans="1:9" x14ac:dyDescent="0.25">
      <c r="A3468">
        <v>3260</v>
      </c>
      <c r="B3468">
        <v>10</v>
      </c>
      <c r="C3468" t="s">
        <v>962</v>
      </c>
      <c r="D3468" t="s">
        <v>1011</v>
      </c>
      <c r="E3468" t="s">
        <v>49</v>
      </c>
      <c r="F3468" t="s">
        <v>959</v>
      </c>
      <c r="G3468">
        <v>1077777</v>
      </c>
      <c r="H3468">
        <v>501087</v>
      </c>
      <c r="I3468" t="s">
        <v>949</v>
      </c>
    </row>
    <row r="3469" spans="1:9" x14ac:dyDescent="0.25">
      <c r="A3469">
        <v>3260</v>
      </c>
      <c r="B3469">
        <v>10</v>
      </c>
      <c r="C3469" t="s">
        <v>962</v>
      </c>
      <c r="D3469" t="s">
        <v>1011</v>
      </c>
      <c r="E3469" t="s">
        <v>49</v>
      </c>
      <c r="F3469" t="s">
        <v>960</v>
      </c>
      <c r="G3469">
        <v>1077777</v>
      </c>
      <c r="H3469">
        <v>501087</v>
      </c>
      <c r="I3469" t="s">
        <v>949</v>
      </c>
    </row>
    <row r="3470" spans="1:9" x14ac:dyDescent="0.25">
      <c r="A3470">
        <v>3260</v>
      </c>
      <c r="B3470">
        <v>10</v>
      </c>
      <c r="C3470" t="s">
        <v>962</v>
      </c>
      <c r="D3470" t="s">
        <v>1011</v>
      </c>
      <c r="E3470" t="s">
        <v>49</v>
      </c>
      <c r="F3470" t="s">
        <v>961</v>
      </c>
      <c r="G3470">
        <v>1077777</v>
      </c>
      <c r="H3470">
        <v>501087</v>
      </c>
      <c r="I3470" t="s">
        <v>949</v>
      </c>
    </row>
    <row r="3471" spans="1:9" x14ac:dyDescent="0.25">
      <c r="A3471">
        <v>3260</v>
      </c>
      <c r="B3471">
        <v>10</v>
      </c>
      <c r="C3471" t="s">
        <v>963</v>
      </c>
      <c r="D3471" t="s">
        <v>1011</v>
      </c>
      <c r="E3471" t="s">
        <v>49</v>
      </c>
      <c r="F3471" t="s">
        <v>951</v>
      </c>
      <c r="G3471">
        <v>1077777</v>
      </c>
      <c r="H3471">
        <v>501087</v>
      </c>
      <c r="I3471" t="s">
        <v>949</v>
      </c>
    </row>
    <row r="3472" spans="1:9" x14ac:dyDescent="0.25">
      <c r="A3472">
        <v>3260</v>
      </c>
      <c r="B3472">
        <v>10</v>
      </c>
      <c r="C3472" t="s">
        <v>963</v>
      </c>
      <c r="D3472" t="s">
        <v>1011</v>
      </c>
      <c r="E3472" t="s">
        <v>49</v>
      </c>
      <c r="F3472" t="s">
        <v>952</v>
      </c>
      <c r="G3472">
        <v>1077777</v>
      </c>
      <c r="H3472">
        <v>501087</v>
      </c>
      <c r="I3472" t="s">
        <v>949</v>
      </c>
    </row>
    <row r="3473" spans="1:9" x14ac:dyDescent="0.25">
      <c r="A3473">
        <v>3260</v>
      </c>
      <c r="B3473">
        <v>10</v>
      </c>
      <c r="C3473" t="s">
        <v>963</v>
      </c>
      <c r="D3473" t="s">
        <v>1011</v>
      </c>
      <c r="E3473" t="s">
        <v>49</v>
      </c>
      <c r="F3473" t="s">
        <v>953</v>
      </c>
      <c r="G3473">
        <v>1077777</v>
      </c>
      <c r="H3473">
        <v>501087</v>
      </c>
      <c r="I3473" t="s">
        <v>949</v>
      </c>
    </row>
    <row r="3474" spans="1:9" x14ac:dyDescent="0.25">
      <c r="A3474">
        <v>3260</v>
      </c>
      <c r="B3474">
        <v>10</v>
      </c>
      <c r="C3474" t="s">
        <v>963</v>
      </c>
      <c r="D3474" t="s">
        <v>1011</v>
      </c>
      <c r="E3474" t="s">
        <v>49</v>
      </c>
      <c r="F3474" t="s">
        <v>954</v>
      </c>
      <c r="G3474">
        <v>1077777</v>
      </c>
      <c r="H3474">
        <v>501087</v>
      </c>
      <c r="I3474" t="s">
        <v>949</v>
      </c>
    </row>
    <row r="3475" spans="1:9" x14ac:dyDescent="0.25">
      <c r="A3475">
        <v>3260</v>
      </c>
      <c r="B3475">
        <v>10</v>
      </c>
      <c r="C3475" t="s">
        <v>963</v>
      </c>
      <c r="D3475" t="s">
        <v>1011</v>
      </c>
      <c r="E3475" t="s">
        <v>49</v>
      </c>
      <c r="F3475" t="s">
        <v>955</v>
      </c>
      <c r="G3475">
        <v>1077777</v>
      </c>
      <c r="H3475">
        <v>501087</v>
      </c>
      <c r="I3475" t="s">
        <v>949</v>
      </c>
    </row>
    <row r="3476" spans="1:9" x14ac:dyDescent="0.25">
      <c r="A3476">
        <v>3260</v>
      </c>
      <c r="B3476">
        <v>10</v>
      </c>
      <c r="C3476" t="s">
        <v>963</v>
      </c>
      <c r="D3476" t="s">
        <v>1011</v>
      </c>
      <c r="E3476" t="s">
        <v>49</v>
      </c>
      <c r="F3476" t="s">
        <v>956</v>
      </c>
      <c r="G3476">
        <v>1077777</v>
      </c>
      <c r="H3476">
        <v>501087</v>
      </c>
      <c r="I3476" t="s">
        <v>949</v>
      </c>
    </row>
    <row r="3477" spans="1:9" x14ac:dyDescent="0.25">
      <c r="A3477">
        <v>3260</v>
      </c>
      <c r="B3477">
        <v>10</v>
      </c>
      <c r="C3477" t="s">
        <v>963</v>
      </c>
      <c r="D3477" t="s">
        <v>1011</v>
      </c>
      <c r="E3477" t="s">
        <v>49</v>
      </c>
      <c r="F3477" t="s">
        <v>957</v>
      </c>
      <c r="G3477">
        <v>1077777</v>
      </c>
      <c r="H3477">
        <v>501087</v>
      </c>
      <c r="I3477" t="s">
        <v>949</v>
      </c>
    </row>
    <row r="3478" spans="1:9" x14ac:dyDescent="0.25">
      <c r="A3478">
        <v>3260</v>
      </c>
      <c r="B3478">
        <v>10</v>
      </c>
      <c r="C3478" t="s">
        <v>963</v>
      </c>
      <c r="D3478" t="s">
        <v>1011</v>
      </c>
      <c r="E3478" t="s">
        <v>49</v>
      </c>
      <c r="F3478" t="s">
        <v>958</v>
      </c>
      <c r="G3478">
        <v>1077777</v>
      </c>
      <c r="H3478">
        <v>501087</v>
      </c>
      <c r="I3478" t="s">
        <v>949</v>
      </c>
    </row>
    <row r="3479" spans="1:9" x14ac:dyDescent="0.25">
      <c r="A3479">
        <v>3260</v>
      </c>
      <c r="B3479">
        <v>10</v>
      </c>
      <c r="C3479" t="s">
        <v>963</v>
      </c>
      <c r="D3479" t="s">
        <v>1011</v>
      </c>
      <c r="E3479" t="s">
        <v>49</v>
      </c>
      <c r="F3479" t="s">
        <v>959</v>
      </c>
      <c r="G3479">
        <v>1077777</v>
      </c>
      <c r="H3479">
        <v>501087</v>
      </c>
      <c r="I3479" t="s">
        <v>949</v>
      </c>
    </row>
    <row r="3480" spans="1:9" x14ac:dyDescent="0.25">
      <c r="A3480">
        <v>3260</v>
      </c>
      <c r="B3480">
        <v>10</v>
      </c>
      <c r="C3480" t="s">
        <v>963</v>
      </c>
      <c r="D3480" t="s">
        <v>1011</v>
      </c>
      <c r="E3480" t="s">
        <v>49</v>
      </c>
      <c r="F3480" t="s">
        <v>960</v>
      </c>
      <c r="G3480">
        <v>1077777</v>
      </c>
      <c r="H3480">
        <v>501087</v>
      </c>
      <c r="I3480" t="s">
        <v>949</v>
      </c>
    </row>
    <row r="3481" spans="1:9" x14ac:dyDescent="0.25">
      <c r="A3481">
        <v>3260</v>
      </c>
      <c r="B3481">
        <v>10</v>
      </c>
      <c r="C3481" t="s">
        <v>963</v>
      </c>
      <c r="D3481" t="s">
        <v>1011</v>
      </c>
      <c r="E3481" t="s">
        <v>49</v>
      </c>
      <c r="F3481" t="s">
        <v>961</v>
      </c>
      <c r="G3481">
        <v>1077777</v>
      </c>
      <c r="H3481">
        <v>501087</v>
      </c>
      <c r="I3481" t="s">
        <v>949</v>
      </c>
    </row>
    <row r="3482" spans="1:9" x14ac:dyDescent="0.25">
      <c r="A3482">
        <v>3270</v>
      </c>
      <c r="B3482">
        <v>10</v>
      </c>
      <c r="C3482" t="s">
        <v>950</v>
      </c>
      <c r="D3482" t="s">
        <v>1011</v>
      </c>
      <c r="E3482" t="s">
        <v>49</v>
      </c>
      <c r="F3482" t="s">
        <v>951</v>
      </c>
      <c r="G3482">
        <v>1077777</v>
      </c>
      <c r="H3482">
        <v>501086</v>
      </c>
      <c r="I3482" t="s">
        <v>949</v>
      </c>
    </row>
    <row r="3483" spans="1:9" x14ac:dyDescent="0.25">
      <c r="A3483">
        <v>3270</v>
      </c>
      <c r="B3483">
        <v>10</v>
      </c>
      <c r="C3483" t="s">
        <v>950</v>
      </c>
      <c r="D3483" t="s">
        <v>1011</v>
      </c>
      <c r="E3483" t="s">
        <v>49</v>
      </c>
      <c r="F3483" t="s">
        <v>952</v>
      </c>
      <c r="G3483">
        <v>1077777</v>
      </c>
      <c r="H3483">
        <v>501017</v>
      </c>
      <c r="I3483" t="s">
        <v>949</v>
      </c>
    </row>
    <row r="3484" spans="1:9" x14ac:dyDescent="0.25">
      <c r="A3484">
        <v>3270</v>
      </c>
      <c r="B3484">
        <v>10</v>
      </c>
      <c r="C3484" t="s">
        <v>950</v>
      </c>
      <c r="D3484" t="s">
        <v>1011</v>
      </c>
      <c r="E3484" t="s">
        <v>49</v>
      </c>
      <c r="F3484" t="s">
        <v>953</v>
      </c>
      <c r="G3484">
        <v>1077777</v>
      </c>
      <c r="H3484">
        <v>501086</v>
      </c>
      <c r="I3484" t="s">
        <v>949</v>
      </c>
    </row>
    <row r="3485" spans="1:9" x14ac:dyDescent="0.25">
      <c r="A3485">
        <v>3270</v>
      </c>
      <c r="B3485">
        <v>10</v>
      </c>
      <c r="C3485" t="s">
        <v>950</v>
      </c>
      <c r="D3485" t="s">
        <v>1011</v>
      </c>
      <c r="E3485" t="s">
        <v>49</v>
      </c>
      <c r="F3485" t="s">
        <v>954</v>
      </c>
      <c r="G3485">
        <v>1077777</v>
      </c>
      <c r="H3485">
        <v>501086</v>
      </c>
      <c r="I3485" t="s">
        <v>949</v>
      </c>
    </row>
    <row r="3486" spans="1:9" x14ac:dyDescent="0.25">
      <c r="A3486">
        <v>3270</v>
      </c>
      <c r="B3486">
        <v>10</v>
      </c>
      <c r="C3486" t="s">
        <v>950</v>
      </c>
      <c r="D3486" t="s">
        <v>1011</v>
      </c>
      <c r="E3486" t="s">
        <v>49</v>
      </c>
      <c r="F3486" t="s">
        <v>955</v>
      </c>
      <c r="G3486">
        <v>1077777</v>
      </c>
      <c r="H3486">
        <v>501086</v>
      </c>
      <c r="I3486" t="s">
        <v>949</v>
      </c>
    </row>
    <row r="3487" spans="1:9" x14ac:dyDescent="0.25">
      <c r="A3487">
        <v>3270</v>
      </c>
      <c r="B3487">
        <v>10</v>
      </c>
      <c r="C3487" t="s">
        <v>950</v>
      </c>
      <c r="D3487" t="s">
        <v>1011</v>
      </c>
      <c r="E3487" t="s">
        <v>49</v>
      </c>
      <c r="F3487" t="s">
        <v>956</v>
      </c>
      <c r="G3487">
        <v>1077777</v>
      </c>
      <c r="H3487">
        <v>501086</v>
      </c>
      <c r="I3487" t="s">
        <v>949</v>
      </c>
    </row>
    <row r="3488" spans="1:9" x14ac:dyDescent="0.25">
      <c r="A3488">
        <v>3270</v>
      </c>
      <c r="B3488">
        <v>10</v>
      </c>
      <c r="C3488" t="s">
        <v>950</v>
      </c>
      <c r="D3488" t="s">
        <v>1011</v>
      </c>
      <c r="E3488" t="s">
        <v>49</v>
      </c>
      <c r="F3488" t="s">
        <v>957</v>
      </c>
      <c r="G3488">
        <v>1077777</v>
      </c>
      <c r="H3488">
        <v>501086</v>
      </c>
      <c r="I3488" t="s">
        <v>949</v>
      </c>
    </row>
    <row r="3489" spans="1:9" x14ac:dyDescent="0.25">
      <c r="A3489">
        <v>3270</v>
      </c>
      <c r="B3489">
        <v>10</v>
      </c>
      <c r="C3489" t="s">
        <v>950</v>
      </c>
      <c r="D3489" t="s">
        <v>1011</v>
      </c>
      <c r="E3489" t="s">
        <v>49</v>
      </c>
      <c r="F3489" t="s">
        <v>958</v>
      </c>
      <c r="G3489">
        <v>1077777</v>
      </c>
      <c r="H3489">
        <v>501086</v>
      </c>
      <c r="I3489" t="s">
        <v>949</v>
      </c>
    </row>
    <row r="3490" spans="1:9" x14ac:dyDescent="0.25">
      <c r="A3490">
        <v>3270</v>
      </c>
      <c r="B3490">
        <v>10</v>
      </c>
      <c r="C3490" t="s">
        <v>950</v>
      </c>
      <c r="D3490" t="s">
        <v>1011</v>
      </c>
      <c r="E3490" t="s">
        <v>49</v>
      </c>
      <c r="F3490" t="s">
        <v>959</v>
      </c>
      <c r="G3490">
        <v>1077777</v>
      </c>
      <c r="H3490">
        <v>501086</v>
      </c>
      <c r="I3490" t="s">
        <v>949</v>
      </c>
    </row>
    <row r="3491" spans="1:9" x14ac:dyDescent="0.25">
      <c r="A3491">
        <v>3270</v>
      </c>
      <c r="B3491">
        <v>10</v>
      </c>
      <c r="C3491" t="s">
        <v>950</v>
      </c>
      <c r="D3491" t="s">
        <v>1011</v>
      </c>
      <c r="E3491" t="s">
        <v>49</v>
      </c>
      <c r="F3491" t="s">
        <v>960</v>
      </c>
      <c r="G3491">
        <v>1077777</v>
      </c>
      <c r="H3491">
        <v>501086</v>
      </c>
      <c r="I3491" t="s">
        <v>949</v>
      </c>
    </row>
    <row r="3492" spans="1:9" x14ac:dyDescent="0.25">
      <c r="A3492">
        <v>3270</v>
      </c>
      <c r="B3492">
        <v>10</v>
      </c>
      <c r="C3492" t="s">
        <v>950</v>
      </c>
      <c r="D3492" t="s">
        <v>1011</v>
      </c>
      <c r="E3492" t="s">
        <v>49</v>
      </c>
      <c r="F3492" t="s">
        <v>961</v>
      </c>
      <c r="G3492">
        <v>1077777</v>
      </c>
      <c r="H3492">
        <v>501086</v>
      </c>
      <c r="I3492" t="s">
        <v>949</v>
      </c>
    </row>
    <row r="3493" spans="1:9" x14ac:dyDescent="0.25">
      <c r="A3493">
        <v>3270</v>
      </c>
      <c r="B3493">
        <v>10</v>
      </c>
      <c r="C3493" t="s">
        <v>962</v>
      </c>
      <c r="D3493" t="s">
        <v>1011</v>
      </c>
      <c r="E3493" t="s">
        <v>49</v>
      </c>
      <c r="F3493" t="s">
        <v>951</v>
      </c>
      <c r="G3493">
        <v>1077777</v>
      </c>
      <c r="H3493">
        <v>501086</v>
      </c>
      <c r="I3493" t="s">
        <v>949</v>
      </c>
    </row>
    <row r="3494" spans="1:9" x14ac:dyDescent="0.25">
      <c r="A3494">
        <v>3270</v>
      </c>
      <c r="B3494">
        <v>10</v>
      </c>
      <c r="C3494" t="s">
        <v>962</v>
      </c>
      <c r="D3494" t="s">
        <v>1011</v>
      </c>
      <c r="E3494" t="s">
        <v>49</v>
      </c>
      <c r="F3494" t="s">
        <v>952</v>
      </c>
      <c r="G3494">
        <v>1077777</v>
      </c>
      <c r="H3494">
        <v>501017</v>
      </c>
      <c r="I3494" t="s">
        <v>949</v>
      </c>
    </row>
    <row r="3495" spans="1:9" x14ac:dyDescent="0.25">
      <c r="A3495">
        <v>3270</v>
      </c>
      <c r="B3495">
        <v>10</v>
      </c>
      <c r="C3495" t="s">
        <v>962</v>
      </c>
      <c r="D3495" t="s">
        <v>1011</v>
      </c>
      <c r="E3495" t="s">
        <v>49</v>
      </c>
      <c r="F3495" t="s">
        <v>953</v>
      </c>
      <c r="G3495">
        <v>1077777</v>
      </c>
      <c r="H3495">
        <v>501086</v>
      </c>
      <c r="I3495" t="s">
        <v>949</v>
      </c>
    </row>
    <row r="3496" spans="1:9" x14ac:dyDescent="0.25">
      <c r="A3496">
        <v>3270</v>
      </c>
      <c r="B3496">
        <v>10</v>
      </c>
      <c r="C3496" t="s">
        <v>962</v>
      </c>
      <c r="D3496" t="s">
        <v>1011</v>
      </c>
      <c r="E3496" t="s">
        <v>49</v>
      </c>
      <c r="F3496" t="s">
        <v>954</v>
      </c>
      <c r="G3496">
        <v>1077777</v>
      </c>
      <c r="H3496">
        <v>501086</v>
      </c>
      <c r="I3496" t="s">
        <v>949</v>
      </c>
    </row>
    <row r="3497" spans="1:9" x14ac:dyDescent="0.25">
      <c r="A3497">
        <v>3270</v>
      </c>
      <c r="B3497">
        <v>10</v>
      </c>
      <c r="C3497" t="s">
        <v>962</v>
      </c>
      <c r="D3497" t="s">
        <v>1011</v>
      </c>
      <c r="E3497" t="s">
        <v>49</v>
      </c>
      <c r="F3497" t="s">
        <v>955</v>
      </c>
      <c r="G3497">
        <v>1077777</v>
      </c>
      <c r="H3497">
        <v>501086</v>
      </c>
      <c r="I3497" t="s">
        <v>949</v>
      </c>
    </row>
    <row r="3498" spans="1:9" x14ac:dyDescent="0.25">
      <c r="A3498">
        <v>3270</v>
      </c>
      <c r="B3498">
        <v>10</v>
      </c>
      <c r="C3498" t="s">
        <v>962</v>
      </c>
      <c r="D3498" t="s">
        <v>1011</v>
      </c>
      <c r="E3498" t="s">
        <v>49</v>
      </c>
      <c r="F3498" t="s">
        <v>956</v>
      </c>
      <c r="G3498">
        <v>1077777</v>
      </c>
      <c r="H3498">
        <v>501086</v>
      </c>
      <c r="I3498" t="s">
        <v>949</v>
      </c>
    </row>
    <row r="3499" spans="1:9" x14ac:dyDescent="0.25">
      <c r="A3499">
        <v>3270</v>
      </c>
      <c r="B3499">
        <v>10</v>
      </c>
      <c r="C3499" t="s">
        <v>962</v>
      </c>
      <c r="D3499" t="s">
        <v>1011</v>
      </c>
      <c r="E3499" t="s">
        <v>49</v>
      </c>
      <c r="F3499" t="s">
        <v>957</v>
      </c>
      <c r="G3499">
        <v>1077777</v>
      </c>
      <c r="H3499">
        <v>501086</v>
      </c>
      <c r="I3499" t="s">
        <v>949</v>
      </c>
    </row>
    <row r="3500" spans="1:9" x14ac:dyDescent="0.25">
      <c r="A3500">
        <v>3270</v>
      </c>
      <c r="B3500">
        <v>10</v>
      </c>
      <c r="C3500" t="s">
        <v>962</v>
      </c>
      <c r="D3500" t="s">
        <v>1011</v>
      </c>
      <c r="E3500" t="s">
        <v>49</v>
      </c>
      <c r="F3500" t="s">
        <v>958</v>
      </c>
      <c r="G3500">
        <v>1077777</v>
      </c>
      <c r="H3500">
        <v>501086</v>
      </c>
      <c r="I3500" t="s">
        <v>949</v>
      </c>
    </row>
    <row r="3501" spans="1:9" x14ac:dyDescent="0.25">
      <c r="A3501">
        <v>3270</v>
      </c>
      <c r="B3501">
        <v>10</v>
      </c>
      <c r="C3501" t="s">
        <v>962</v>
      </c>
      <c r="D3501" t="s">
        <v>1011</v>
      </c>
      <c r="E3501" t="s">
        <v>49</v>
      </c>
      <c r="F3501" t="s">
        <v>959</v>
      </c>
      <c r="G3501">
        <v>1077777</v>
      </c>
      <c r="H3501">
        <v>501086</v>
      </c>
      <c r="I3501" t="s">
        <v>949</v>
      </c>
    </row>
    <row r="3502" spans="1:9" x14ac:dyDescent="0.25">
      <c r="A3502">
        <v>3270</v>
      </c>
      <c r="B3502">
        <v>10</v>
      </c>
      <c r="C3502" t="s">
        <v>962</v>
      </c>
      <c r="D3502" t="s">
        <v>1011</v>
      </c>
      <c r="E3502" t="s">
        <v>49</v>
      </c>
      <c r="F3502" t="s">
        <v>960</v>
      </c>
      <c r="G3502">
        <v>1077777</v>
      </c>
      <c r="H3502">
        <v>501086</v>
      </c>
      <c r="I3502" t="s">
        <v>949</v>
      </c>
    </row>
    <row r="3503" spans="1:9" x14ac:dyDescent="0.25">
      <c r="A3503">
        <v>3270</v>
      </c>
      <c r="B3503">
        <v>10</v>
      </c>
      <c r="C3503" t="s">
        <v>962</v>
      </c>
      <c r="D3503" t="s">
        <v>1011</v>
      </c>
      <c r="E3503" t="s">
        <v>49</v>
      </c>
      <c r="F3503" t="s">
        <v>961</v>
      </c>
      <c r="G3503">
        <v>1077777</v>
      </c>
      <c r="H3503">
        <v>501086</v>
      </c>
      <c r="I3503" t="s">
        <v>949</v>
      </c>
    </row>
    <row r="3504" spans="1:9" x14ac:dyDescent="0.25">
      <c r="A3504">
        <v>3270</v>
      </c>
      <c r="B3504">
        <v>10</v>
      </c>
      <c r="C3504" t="s">
        <v>963</v>
      </c>
      <c r="D3504" t="s">
        <v>1011</v>
      </c>
      <c r="E3504" t="s">
        <v>49</v>
      </c>
      <c r="F3504" t="s">
        <v>951</v>
      </c>
      <c r="G3504">
        <v>1077777</v>
      </c>
      <c r="H3504">
        <v>501086</v>
      </c>
      <c r="I3504" t="s">
        <v>949</v>
      </c>
    </row>
    <row r="3505" spans="1:9" x14ac:dyDescent="0.25">
      <c r="A3505">
        <v>3270</v>
      </c>
      <c r="B3505">
        <v>10</v>
      </c>
      <c r="C3505" t="s">
        <v>963</v>
      </c>
      <c r="D3505" t="s">
        <v>1011</v>
      </c>
      <c r="E3505" t="s">
        <v>49</v>
      </c>
      <c r="F3505" t="s">
        <v>952</v>
      </c>
      <c r="G3505">
        <v>1077777</v>
      </c>
      <c r="H3505">
        <v>501017</v>
      </c>
      <c r="I3505" t="s">
        <v>949</v>
      </c>
    </row>
    <row r="3506" spans="1:9" x14ac:dyDescent="0.25">
      <c r="A3506">
        <v>3270</v>
      </c>
      <c r="B3506">
        <v>10</v>
      </c>
      <c r="C3506" t="s">
        <v>963</v>
      </c>
      <c r="D3506" t="s">
        <v>1011</v>
      </c>
      <c r="E3506" t="s">
        <v>49</v>
      </c>
      <c r="F3506" t="s">
        <v>953</v>
      </c>
      <c r="G3506">
        <v>1077777</v>
      </c>
      <c r="H3506">
        <v>501086</v>
      </c>
      <c r="I3506" t="s">
        <v>949</v>
      </c>
    </row>
    <row r="3507" spans="1:9" x14ac:dyDescent="0.25">
      <c r="A3507">
        <v>3270</v>
      </c>
      <c r="B3507">
        <v>10</v>
      </c>
      <c r="C3507" t="s">
        <v>963</v>
      </c>
      <c r="D3507" t="s">
        <v>1011</v>
      </c>
      <c r="E3507" t="s">
        <v>49</v>
      </c>
      <c r="F3507" t="s">
        <v>954</v>
      </c>
      <c r="G3507">
        <v>1077777</v>
      </c>
      <c r="H3507">
        <v>501086</v>
      </c>
      <c r="I3507" t="s">
        <v>949</v>
      </c>
    </row>
    <row r="3508" spans="1:9" x14ac:dyDescent="0.25">
      <c r="A3508">
        <v>3270</v>
      </c>
      <c r="B3508">
        <v>10</v>
      </c>
      <c r="C3508" t="s">
        <v>963</v>
      </c>
      <c r="D3508" t="s">
        <v>1011</v>
      </c>
      <c r="E3508" t="s">
        <v>49</v>
      </c>
      <c r="F3508" t="s">
        <v>955</v>
      </c>
      <c r="G3508">
        <v>1077777</v>
      </c>
      <c r="H3508">
        <v>501086</v>
      </c>
      <c r="I3508" t="s">
        <v>949</v>
      </c>
    </row>
    <row r="3509" spans="1:9" x14ac:dyDescent="0.25">
      <c r="A3509">
        <v>3270</v>
      </c>
      <c r="B3509">
        <v>10</v>
      </c>
      <c r="C3509" t="s">
        <v>963</v>
      </c>
      <c r="D3509" t="s">
        <v>1011</v>
      </c>
      <c r="E3509" t="s">
        <v>49</v>
      </c>
      <c r="F3509" t="s">
        <v>956</v>
      </c>
      <c r="G3509">
        <v>1077777</v>
      </c>
      <c r="H3509">
        <v>501086</v>
      </c>
      <c r="I3509" t="s">
        <v>949</v>
      </c>
    </row>
    <row r="3510" spans="1:9" x14ac:dyDescent="0.25">
      <c r="A3510">
        <v>3270</v>
      </c>
      <c r="B3510">
        <v>10</v>
      </c>
      <c r="C3510" t="s">
        <v>963</v>
      </c>
      <c r="D3510" t="s">
        <v>1011</v>
      </c>
      <c r="E3510" t="s">
        <v>49</v>
      </c>
      <c r="F3510" t="s">
        <v>957</v>
      </c>
      <c r="G3510">
        <v>1077777</v>
      </c>
      <c r="H3510">
        <v>501086</v>
      </c>
      <c r="I3510" t="s">
        <v>949</v>
      </c>
    </row>
    <row r="3511" spans="1:9" x14ac:dyDescent="0.25">
      <c r="A3511">
        <v>3270</v>
      </c>
      <c r="B3511">
        <v>10</v>
      </c>
      <c r="C3511" t="s">
        <v>963</v>
      </c>
      <c r="D3511" t="s">
        <v>1011</v>
      </c>
      <c r="E3511" t="s">
        <v>49</v>
      </c>
      <c r="F3511" t="s">
        <v>958</v>
      </c>
      <c r="G3511">
        <v>1077777</v>
      </c>
      <c r="H3511">
        <v>501086</v>
      </c>
      <c r="I3511" t="s">
        <v>949</v>
      </c>
    </row>
    <row r="3512" spans="1:9" x14ac:dyDescent="0.25">
      <c r="A3512">
        <v>3270</v>
      </c>
      <c r="B3512">
        <v>10</v>
      </c>
      <c r="C3512" t="s">
        <v>963</v>
      </c>
      <c r="D3512" t="s">
        <v>1011</v>
      </c>
      <c r="E3512" t="s">
        <v>49</v>
      </c>
      <c r="F3512" t="s">
        <v>959</v>
      </c>
      <c r="G3512">
        <v>1077777</v>
      </c>
      <c r="H3512">
        <v>501086</v>
      </c>
      <c r="I3512" t="s">
        <v>949</v>
      </c>
    </row>
    <row r="3513" spans="1:9" x14ac:dyDescent="0.25">
      <c r="A3513">
        <v>3270</v>
      </c>
      <c r="B3513">
        <v>10</v>
      </c>
      <c r="C3513" t="s">
        <v>963</v>
      </c>
      <c r="D3513" t="s">
        <v>1011</v>
      </c>
      <c r="E3513" t="s">
        <v>49</v>
      </c>
      <c r="F3513" t="s">
        <v>960</v>
      </c>
      <c r="G3513">
        <v>1077777</v>
      </c>
      <c r="H3513">
        <v>501086</v>
      </c>
      <c r="I3513" t="s">
        <v>949</v>
      </c>
    </row>
    <row r="3514" spans="1:9" x14ac:dyDescent="0.25">
      <c r="A3514">
        <v>3270</v>
      </c>
      <c r="B3514">
        <v>10</v>
      </c>
      <c r="C3514" t="s">
        <v>963</v>
      </c>
      <c r="D3514" t="s">
        <v>1011</v>
      </c>
      <c r="E3514" t="s">
        <v>49</v>
      </c>
      <c r="F3514" t="s">
        <v>961</v>
      </c>
      <c r="G3514">
        <v>1077777</v>
      </c>
      <c r="H3514">
        <v>501086</v>
      </c>
      <c r="I3514" t="s">
        <v>949</v>
      </c>
    </row>
    <row r="3515" spans="1:9" x14ac:dyDescent="0.25">
      <c r="A3515">
        <v>3280</v>
      </c>
      <c r="B3515">
        <v>10</v>
      </c>
      <c r="C3515" t="s">
        <v>950</v>
      </c>
      <c r="D3515" t="s">
        <v>1011</v>
      </c>
      <c r="E3515" t="s">
        <v>49</v>
      </c>
      <c r="F3515" t="s">
        <v>951</v>
      </c>
      <c r="G3515">
        <v>1077777</v>
      </c>
      <c r="H3515">
        <v>501085</v>
      </c>
      <c r="I3515" t="s">
        <v>949</v>
      </c>
    </row>
    <row r="3516" spans="1:9" x14ac:dyDescent="0.25">
      <c r="A3516">
        <v>3280</v>
      </c>
      <c r="B3516">
        <v>10</v>
      </c>
      <c r="C3516" t="s">
        <v>950</v>
      </c>
      <c r="D3516" t="s">
        <v>1011</v>
      </c>
      <c r="E3516" t="s">
        <v>49</v>
      </c>
      <c r="F3516" t="s">
        <v>952</v>
      </c>
      <c r="G3516">
        <v>1077777</v>
      </c>
      <c r="H3516">
        <v>501085</v>
      </c>
      <c r="I3516" t="s">
        <v>949</v>
      </c>
    </row>
    <row r="3517" spans="1:9" x14ac:dyDescent="0.25">
      <c r="A3517">
        <v>3280</v>
      </c>
      <c r="B3517">
        <v>10</v>
      </c>
      <c r="C3517" t="s">
        <v>950</v>
      </c>
      <c r="D3517" t="s">
        <v>1011</v>
      </c>
      <c r="E3517" t="s">
        <v>49</v>
      </c>
      <c r="F3517" t="s">
        <v>953</v>
      </c>
      <c r="G3517">
        <v>1077777</v>
      </c>
      <c r="H3517">
        <v>501085</v>
      </c>
      <c r="I3517" t="s">
        <v>949</v>
      </c>
    </row>
    <row r="3518" spans="1:9" x14ac:dyDescent="0.25">
      <c r="A3518">
        <v>3280</v>
      </c>
      <c r="B3518">
        <v>10</v>
      </c>
      <c r="C3518" t="s">
        <v>950</v>
      </c>
      <c r="D3518" t="s">
        <v>1011</v>
      </c>
      <c r="E3518" t="s">
        <v>49</v>
      </c>
      <c r="F3518" t="s">
        <v>954</v>
      </c>
      <c r="G3518">
        <v>1077777</v>
      </c>
      <c r="H3518">
        <v>501085</v>
      </c>
      <c r="I3518" t="s">
        <v>949</v>
      </c>
    </row>
    <row r="3519" spans="1:9" x14ac:dyDescent="0.25">
      <c r="A3519">
        <v>3280</v>
      </c>
      <c r="B3519">
        <v>10</v>
      </c>
      <c r="C3519" t="s">
        <v>950</v>
      </c>
      <c r="D3519" t="s">
        <v>1011</v>
      </c>
      <c r="E3519" t="s">
        <v>49</v>
      </c>
      <c r="F3519" t="s">
        <v>955</v>
      </c>
      <c r="G3519">
        <v>1077777</v>
      </c>
      <c r="H3519">
        <v>501085</v>
      </c>
      <c r="I3519" t="s">
        <v>949</v>
      </c>
    </row>
    <row r="3520" spans="1:9" x14ac:dyDescent="0.25">
      <c r="A3520">
        <v>3280</v>
      </c>
      <c r="B3520">
        <v>10</v>
      </c>
      <c r="C3520" t="s">
        <v>950</v>
      </c>
      <c r="D3520" t="s">
        <v>1011</v>
      </c>
      <c r="E3520" t="s">
        <v>49</v>
      </c>
      <c r="F3520" t="s">
        <v>956</v>
      </c>
      <c r="G3520">
        <v>1077777</v>
      </c>
      <c r="H3520">
        <v>501085</v>
      </c>
      <c r="I3520" t="s">
        <v>949</v>
      </c>
    </row>
    <row r="3521" spans="1:9" x14ac:dyDescent="0.25">
      <c r="A3521">
        <v>3280</v>
      </c>
      <c r="B3521">
        <v>10</v>
      </c>
      <c r="C3521" t="s">
        <v>950</v>
      </c>
      <c r="D3521" t="s">
        <v>1011</v>
      </c>
      <c r="E3521" t="s">
        <v>49</v>
      </c>
      <c r="F3521" t="s">
        <v>957</v>
      </c>
      <c r="G3521">
        <v>1077777</v>
      </c>
      <c r="H3521">
        <v>501085</v>
      </c>
      <c r="I3521" t="s">
        <v>949</v>
      </c>
    </row>
    <row r="3522" spans="1:9" x14ac:dyDescent="0.25">
      <c r="A3522">
        <v>3280</v>
      </c>
      <c r="B3522">
        <v>10</v>
      </c>
      <c r="C3522" t="s">
        <v>950</v>
      </c>
      <c r="D3522" t="s">
        <v>1011</v>
      </c>
      <c r="E3522" t="s">
        <v>49</v>
      </c>
      <c r="F3522" t="s">
        <v>958</v>
      </c>
      <c r="G3522">
        <v>1077777</v>
      </c>
      <c r="H3522">
        <v>501085</v>
      </c>
      <c r="I3522" t="s">
        <v>949</v>
      </c>
    </row>
    <row r="3523" spans="1:9" x14ac:dyDescent="0.25">
      <c r="A3523">
        <v>3280</v>
      </c>
      <c r="B3523">
        <v>10</v>
      </c>
      <c r="C3523" t="s">
        <v>950</v>
      </c>
      <c r="D3523" t="s">
        <v>1011</v>
      </c>
      <c r="E3523" t="s">
        <v>49</v>
      </c>
      <c r="F3523" t="s">
        <v>959</v>
      </c>
      <c r="G3523">
        <v>1077777</v>
      </c>
      <c r="H3523">
        <v>501085</v>
      </c>
      <c r="I3523" t="s">
        <v>949</v>
      </c>
    </row>
    <row r="3524" spans="1:9" x14ac:dyDescent="0.25">
      <c r="A3524">
        <v>3280</v>
      </c>
      <c r="B3524">
        <v>10</v>
      </c>
      <c r="C3524" t="s">
        <v>950</v>
      </c>
      <c r="D3524" t="s">
        <v>1011</v>
      </c>
      <c r="E3524" t="s">
        <v>49</v>
      </c>
      <c r="F3524" t="s">
        <v>960</v>
      </c>
      <c r="G3524">
        <v>1077777</v>
      </c>
      <c r="H3524">
        <v>501085</v>
      </c>
      <c r="I3524" t="s">
        <v>949</v>
      </c>
    </row>
    <row r="3525" spans="1:9" x14ac:dyDescent="0.25">
      <c r="A3525">
        <v>3280</v>
      </c>
      <c r="B3525">
        <v>10</v>
      </c>
      <c r="C3525" t="s">
        <v>950</v>
      </c>
      <c r="D3525" t="s">
        <v>1011</v>
      </c>
      <c r="E3525" t="s">
        <v>49</v>
      </c>
      <c r="F3525" t="s">
        <v>961</v>
      </c>
      <c r="G3525">
        <v>1077777</v>
      </c>
      <c r="H3525">
        <v>501085</v>
      </c>
      <c r="I3525" t="s">
        <v>949</v>
      </c>
    </row>
    <row r="3526" spans="1:9" x14ac:dyDescent="0.25">
      <c r="A3526">
        <v>3280</v>
      </c>
      <c r="B3526">
        <v>10</v>
      </c>
      <c r="C3526" t="s">
        <v>962</v>
      </c>
      <c r="D3526" t="s">
        <v>1011</v>
      </c>
      <c r="E3526" t="s">
        <v>49</v>
      </c>
      <c r="F3526" t="s">
        <v>951</v>
      </c>
      <c r="G3526">
        <v>1077777</v>
      </c>
      <c r="H3526">
        <v>501085</v>
      </c>
      <c r="I3526" t="s">
        <v>949</v>
      </c>
    </row>
    <row r="3527" spans="1:9" x14ac:dyDescent="0.25">
      <c r="A3527">
        <v>3280</v>
      </c>
      <c r="B3527">
        <v>10</v>
      </c>
      <c r="C3527" t="s">
        <v>962</v>
      </c>
      <c r="D3527" t="s">
        <v>1011</v>
      </c>
      <c r="E3527" t="s">
        <v>49</v>
      </c>
      <c r="F3527" t="s">
        <v>952</v>
      </c>
      <c r="G3527">
        <v>1077777</v>
      </c>
      <c r="H3527">
        <v>501085</v>
      </c>
      <c r="I3527" t="s">
        <v>949</v>
      </c>
    </row>
    <row r="3528" spans="1:9" x14ac:dyDescent="0.25">
      <c r="A3528">
        <v>3280</v>
      </c>
      <c r="B3528">
        <v>10</v>
      </c>
      <c r="C3528" t="s">
        <v>962</v>
      </c>
      <c r="D3528" t="s">
        <v>1011</v>
      </c>
      <c r="E3528" t="s">
        <v>49</v>
      </c>
      <c r="F3528" t="s">
        <v>953</v>
      </c>
      <c r="G3528">
        <v>1077777</v>
      </c>
      <c r="H3528">
        <v>501085</v>
      </c>
      <c r="I3528" t="s">
        <v>949</v>
      </c>
    </row>
    <row r="3529" spans="1:9" x14ac:dyDescent="0.25">
      <c r="A3529">
        <v>3280</v>
      </c>
      <c r="B3529">
        <v>10</v>
      </c>
      <c r="C3529" t="s">
        <v>962</v>
      </c>
      <c r="D3529" t="s">
        <v>1011</v>
      </c>
      <c r="E3529" t="s">
        <v>49</v>
      </c>
      <c r="F3529" t="s">
        <v>954</v>
      </c>
      <c r="G3529">
        <v>1077777</v>
      </c>
      <c r="H3529">
        <v>501085</v>
      </c>
      <c r="I3529" t="s">
        <v>949</v>
      </c>
    </row>
    <row r="3530" spans="1:9" x14ac:dyDescent="0.25">
      <c r="A3530">
        <v>3280</v>
      </c>
      <c r="B3530">
        <v>10</v>
      </c>
      <c r="C3530" t="s">
        <v>962</v>
      </c>
      <c r="D3530" t="s">
        <v>1011</v>
      </c>
      <c r="E3530" t="s">
        <v>49</v>
      </c>
      <c r="F3530" t="s">
        <v>955</v>
      </c>
      <c r="G3530">
        <v>1077777</v>
      </c>
      <c r="H3530">
        <v>501085</v>
      </c>
      <c r="I3530" t="s">
        <v>949</v>
      </c>
    </row>
    <row r="3531" spans="1:9" x14ac:dyDescent="0.25">
      <c r="A3531">
        <v>3280</v>
      </c>
      <c r="B3531">
        <v>10</v>
      </c>
      <c r="C3531" t="s">
        <v>962</v>
      </c>
      <c r="D3531" t="s">
        <v>1011</v>
      </c>
      <c r="E3531" t="s">
        <v>49</v>
      </c>
      <c r="F3531" t="s">
        <v>956</v>
      </c>
      <c r="G3531">
        <v>1077777</v>
      </c>
      <c r="H3531">
        <v>501085</v>
      </c>
      <c r="I3531" t="s">
        <v>949</v>
      </c>
    </row>
    <row r="3532" spans="1:9" x14ac:dyDescent="0.25">
      <c r="A3532">
        <v>3280</v>
      </c>
      <c r="B3532">
        <v>10</v>
      </c>
      <c r="C3532" t="s">
        <v>962</v>
      </c>
      <c r="D3532" t="s">
        <v>1011</v>
      </c>
      <c r="E3532" t="s">
        <v>49</v>
      </c>
      <c r="F3532" t="s">
        <v>957</v>
      </c>
      <c r="G3532">
        <v>1077777</v>
      </c>
      <c r="H3532">
        <v>501085</v>
      </c>
      <c r="I3532" t="s">
        <v>949</v>
      </c>
    </row>
    <row r="3533" spans="1:9" x14ac:dyDescent="0.25">
      <c r="A3533">
        <v>3280</v>
      </c>
      <c r="B3533">
        <v>10</v>
      </c>
      <c r="C3533" t="s">
        <v>962</v>
      </c>
      <c r="D3533" t="s">
        <v>1011</v>
      </c>
      <c r="E3533" t="s">
        <v>49</v>
      </c>
      <c r="F3533" t="s">
        <v>958</v>
      </c>
      <c r="G3533">
        <v>1077777</v>
      </c>
      <c r="H3533">
        <v>501085</v>
      </c>
      <c r="I3533" t="s">
        <v>949</v>
      </c>
    </row>
    <row r="3534" spans="1:9" x14ac:dyDescent="0.25">
      <c r="A3534">
        <v>3280</v>
      </c>
      <c r="B3534">
        <v>10</v>
      </c>
      <c r="C3534" t="s">
        <v>962</v>
      </c>
      <c r="D3534" t="s">
        <v>1011</v>
      </c>
      <c r="E3534" t="s">
        <v>49</v>
      </c>
      <c r="F3534" t="s">
        <v>959</v>
      </c>
      <c r="G3534">
        <v>1077777</v>
      </c>
      <c r="H3534">
        <v>501085</v>
      </c>
      <c r="I3534" t="s">
        <v>949</v>
      </c>
    </row>
    <row r="3535" spans="1:9" x14ac:dyDescent="0.25">
      <c r="A3535">
        <v>3280</v>
      </c>
      <c r="B3535">
        <v>10</v>
      </c>
      <c r="C3535" t="s">
        <v>962</v>
      </c>
      <c r="D3535" t="s">
        <v>1011</v>
      </c>
      <c r="E3535" t="s">
        <v>49</v>
      </c>
      <c r="F3535" t="s">
        <v>960</v>
      </c>
      <c r="G3535">
        <v>1077777</v>
      </c>
      <c r="H3535">
        <v>501085</v>
      </c>
      <c r="I3535" t="s">
        <v>949</v>
      </c>
    </row>
    <row r="3536" spans="1:9" x14ac:dyDescent="0.25">
      <c r="A3536">
        <v>3280</v>
      </c>
      <c r="B3536">
        <v>10</v>
      </c>
      <c r="C3536" t="s">
        <v>962</v>
      </c>
      <c r="D3536" t="s">
        <v>1011</v>
      </c>
      <c r="E3536" t="s">
        <v>49</v>
      </c>
      <c r="F3536" t="s">
        <v>961</v>
      </c>
      <c r="G3536">
        <v>1077777</v>
      </c>
      <c r="H3536">
        <v>501085</v>
      </c>
      <c r="I3536" t="s">
        <v>949</v>
      </c>
    </row>
    <row r="3537" spans="1:9" x14ac:dyDescent="0.25">
      <c r="A3537">
        <v>3280</v>
      </c>
      <c r="B3537">
        <v>10</v>
      </c>
      <c r="C3537" t="s">
        <v>963</v>
      </c>
      <c r="D3537" t="s">
        <v>1011</v>
      </c>
      <c r="E3537" t="s">
        <v>49</v>
      </c>
      <c r="F3537" t="s">
        <v>951</v>
      </c>
      <c r="G3537">
        <v>1077777</v>
      </c>
      <c r="H3537">
        <v>501085</v>
      </c>
      <c r="I3537" t="s">
        <v>949</v>
      </c>
    </row>
    <row r="3538" spans="1:9" x14ac:dyDescent="0.25">
      <c r="A3538">
        <v>3280</v>
      </c>
      <c r="B3538">
        <v>10</v>
      </c>
      <c r="C3538" t="s">
        <v>963</v>
      </c>
      <c r="D3538" t="s">
        <v>1011</v>
      </c>
      <c r="E3538" t="s">
        <v>49</v>
      </c>
      <c r="F3538" t="s">
        <v>952</v>
      </c>
      <c r="G3538">
        <v>1077777</v>
      </c>
      <c r="H3538">
        <v>501085</v>
      </c>
      <c r="I3538" t="s">
        <v>949</v>
      </c>
    </row>
    <row r="3539" spans="1:9" x14ac:dyDescent="0.25">
      <c r="A3539">
        <v>3280</v>
      </c>
      <c r="B3539">
        <v>10</v>
      </c>
      <c r="C3539" t="s">
        <v>963</v>
      </c>
      <c r="D3539" t="s">
        <v>1011</v>
      </c>
      <c r="E3539" t="s">
        <v>49</v>
      </c>
      <c r="F3539" t="s">
        <v>953</v>
      </c>
      <c r="G3539">
        <v>1077777</v>
      </c>
      <c r="H3539">
        <v>501085</v>
      </c>
      <c r="I3539" t="s">
        <v>949</v>
      </c>
    </row>
    <row r="3540" spans="1:9" x14ac:dyDescent="0.25">
      <c r="A3540">
        <v>3280</v>
      </c>
      <c r="B3540">
        <v>10</v>
      </c>
      <c r="C3540" t="s">
        <v>963</v>
      </c>
      <c r="D3540" t="s">
        <v>1011</v>
      </c>
      <c r="E3540" t="s">
        <v>49</v>
      </c>
      <c r="F3540" t="s">
        <v>954</v>
      </c>
      <c r="G3540">
        <v>1077777</v>
      </c>
      <c r="H3540">
        <v>501085</v>
      </c>
      <c r="I3540" t="s">
        <v>949</v>
      </c>
    </row>
    <row r="3541" spans="1:9" x14ac:dyDescent="0.25">
      <c r="A3541">
        <v>3280</v>
      </c>
      <c r="B3541">
        <v>10</v>
      </c>
      <c r="C3541" t="s">
        <v>963</v>
      </c>
      <c r="D3541" t="s">
        <v>1011</v>
      </c>
      <c r="E3541" t="s">
        <v>49</v>
      </c>
      <c r="F3541" t="s">
        <v>955</v>
      </c>
      <c r="G3541">
        <v>1077777</v>
      </c>
      <c r="H3541">
        <v>501085</v>
      </c>
      <c r="I3541" t="s">
        <v>949</v>
      </c>
    </row>
    <row r="3542" spans="1:9" x14ac:dyDescent="0.25">
      <c r="A3542">
        <v>3280</v>
      </c>
      <c r="B3542">
        <v>10</v>
      </c>
      <c r="C3542" t="s">
        <v>963</v>
      </c>
      <c r="D3542" t="s">
        <v>1011</v>
      </c>
      <c r="E3542" t="s">
        <v>49</v>
      </c>
      <c r="F3542" t="s">
        <v>956</v>
      </c>
      <c r="G3542">
        <v>1077777</v>
      </c>
      <c r="H3542">
        <v>501085</v>
      </c>
      <c r="I3542" t="s">
        <v>949</v>
      </c>
    </row>
    <row r="3543" spans="1:9" x14ac:dyDescent="0.25">
      <c r="A3543">
        <v>3280</v>
      </c>
      <c r="B3543">
        <v>10</v>
      </c>
      <c r="C3543" t="s">
        <v>963</v>
      </c>
      <c r="D3543" t="s">
        <v>1011</v>
      </c>
      <c r="E3543" t="s">
        <v>49</v>
      </c>
      <c r="F3543" t="s">
        <v>957</v>
      </c>
      <c r="G3543">
        <v>1077777</v>
      </c>
      <c r="H3543">
        <v>501085</v>
      </c>
      <c r="I3543" t="s">
        <v>949</v>
      </c>
    </row>
    <row r="3544" spans="1:9" x14ac:dyDescent="0.25">
      <c r="A3544">
        <v>3280</v>
      </c>
      <c r="B3544">
        <v>10</v>
      </c>
      <c r="C3544" t="s">
        <v>963</v>
      </c>
      <c r="D3544" t="s">
        <v>1011</v>
      </c>
      <c r="E3544" t="s">
        <v>49</v>
      </c>
      <c r="F3544" t="s">
        <v>958</v>
      </c>
      <c r="G3544">
        <v>1077777</v>
      </c>
      <c r="H3544">
        <v>501085</v>
      </c>
      <c r="I3544" t="s">
        <v>949</v>
      </c>
    </row>
    <row r="3545" spans="1:9" x14ac:dyDescent="0.25">
      <c r="A3545">
        <v>3280</v>
      </c>
      <c r="B3545">
        <v>10</v>
      </c>
      <c r="C3545" t="s">
        <v>963</v>
      </c>
      <c r="D3545" t="s">
        <v>1011</v>
      </c>
      <c r="E3545" t="s">
        <v>49</v>
      </c>
      <c r="F3545" t="s">
        <v>959</v>
      </c>
      <c r="G3545">
        <v>1077777</v>
      </c>
      <c r="H3545">
        <v>501085</v>
      </c>
      <c r="I3545" t="s">
        <v>949</v>
      </c>
    </row>
    <row r="3546" spans="1:9" x14ac:dyDescent="0.25">
      <c r="A3546">
        <v>3280</v>
      </c>
      <c r="B3546">
        <v>10</v>
      </c>
      <c r="C3546" t="s">
        <v>963</v>
      </c>
      <c r="D3546" t="s">
        <v>1011</v>
      </c>
      <c r="E3546" t="s">
        <v>49</v>
      </c>
      <c r="F3546" t="s">
        <v>960</v>
      </c>
      <c r="G3546">
        <v>1077777</v>
      </c>
      <c r="H3546">
        <v>501085</v>
      </c>
      <c r="I3546" t="s">
        <v>949</v>
      </c>
    </row>
    <row r="3547" spans="1:9" x14ac:dyDescent="0.25">
      <c r="A3547">
        <v>3280</v>
      </c>
      <c r="B3547">
        <v>10</v>
      </c>
      <c r="C3547" t="s">
        <v>963</v>
      </c>
      <c r="D3547" t="s">
        <v>1011</v>
      </c>
      <c r="E3547" t="s">
        <v>49</v>
      </c>
      <c r="F3547" t="s">
        <v>961</v>
      </c>
      <c r="G3547">
        <v>1077777</v>
      </c>
      <c r="H3547">
        <v>501085</v>
      </c>
      <c r="I3547" t="s">
        <v>949</v>
      </c>
    </row>
    <row r="3548" spans="1:9" x14ac:dyDescent="0.25">
      <c r="A3548">
        <v>4122</v>
      </c>
      <c r="B3548">
        <v>10</v>
      </c>
      <c r="C3548" t="s">
        <v>946</v>
      </c>
      <c r="D3548" t="s">
        <v>1012</v>
      </c>
      <c r="E3548" t="s">
        <v>49</v>
      </c>
      <c r="F3548" t="s">
        <v>948</v>
      </c>
      <c r="G3548">
        <v>1077777</v>
      </c>
      <c r="H3548">
        <v>500220</v>
      </c>
      <c r="I3548" t="s">
        <v>949</v>
      </c>
    </row>
    <row r="3549" spans="1:9" x14ac:dyDescent="0.25">
      <c r="A3549">
        <v>4124</v>
      </c>
      <c r="B3549">
        <v>10</v>
      </c>
      <c r="C3549" t="s">
        <v>946</v>
      </c>
      <c r="D3549" t="s">
        <v>1012</v>
      </c>
      <c r="E3549" t="s">
        <v>49</v>
      </c>
      <c r="F3549" t="s">
        <v>948</v>
      </c>
      <c r="G3549">
        <v>1077777</v>
      </c>
      <c r="H3549">
        <v>500221</v>
      </c>
      <c r="I3549" t="s">
        <v>949</v>
      </c>
    </row>
    <row r="3550" spans="1:9" x14ac:dyDescent="0.25">
      <c r="A3550">
        <v>4320</v>
      </c>
      <c r="B3550">
        <v>10</v>
      </c>
      <c r="C3550" t="s">
        <v>946</v>
      </c>
      <c r="D3550" t="s">
        <v>1013</v>
      </c>
      <c r="E3550" t="s">
        <v>49</v>
      </c>
      <c r="F3550" t="s">
        <v>948</v>
      </c>
      <c r="G3550">
        <v>1000000</v>
      </c>
      <c r="H3550">
        <v>200110</v>
      </c>
      <c r="I3550" t="s">
        <v>949</v>
      </c>
    </row>
    <row r="3551" spans="1:9" x14ac:dyDescent="0.25">
      <c r="A3551">
        <v>4330</v>
      </c>
      <c r="B3551">
        <v>10</v>
      </c>
      <c r="C3551" t="s">
        <v>946</v>
      </c>
      <c r="D3551" t="s">
        <v>1013</v>
      </c>
      <c r="E3551" t="s">
        <v>49</v>
      </c>
      <c r="F3551" t="s">
        <v>948</v>
      </c>
      <c r="G3551">
        <v>1077777</v>
      </c>
      <c r="H3551">
        <v>500210</v>
      </c>
      <c r="I3551" t="s">
        <v>949</v>
      </c>
    </row>
    <row r="3552" spans="1:9" x14ac:dyDescent="0.25">
      <c r="A3552">
        <v>4332</v>
      </c>
      <c r="B3552">
        <v>10</v>
      </c>
      <c r="C3552" t="s">
        <v>946</v>
      </c>
      <c r="D3552" t="s">
        <v>1013</v>
      </c>
      <c r="E3552" t="s">
        <v>49</v>
      </c>
      <c r="F3552" t="s">
        <v>948</v>
      </c>
      <c r="G3552">
        <v>1077777</v>
      </c>
      <c r="H3552">
        <v>500210</v>
      </c>
      <c r="I3552" t="s">
        <v>949</v>
      </c>
    </row>
    <row r="3553" spans="1:9" x14ac:dyDescent="0.25">
      <c r="A3553">
        <v>4355</v>
      </c>
      <c r="B3553">
        <v>10</v>
      </c>
      <c r="C3553" t="s">
        <v>946</v>
      </c>
      <c r="D3553" t="s">
        <v>1013</v>
      </c>
      <c r="E3553" t="s">
        <v>49</v>
      </c>
      <c r="F3553" t="s">
        <v>948</v>
      </c>
      <c r="G3553">
        <v>1000000</v>
      </c>
      <c r="H3553">
        <v>200105</v>
      </c>
      <c r="I3553" t="s">
        <v>949</v>
      </c>
    </row>
    <row r="3554" spans="1:9" x14ac:dyDescent="0.25">
      <c r="A3554">
        <v>4320</v>
      </c>
      <c r="B3554">
        <v>10</v>
      </c>
      <c r="C3554" t="s">
        <v>946</v>
      </c>
      <c r="D3554" t="s">
        <v>1014</v>
      </c>
      <c r="E3554" t="s">
        <v>49</v>
      </c>
      <c r="F3554" t="s">
        <v>948</v>
      </c>
      <c r="G3554">
        <v>1000000</v>
      </c>
      <c r="H3554">
        <v>200110</v>
      </c>
      <c r="I3554" t="s">
        <v>949</v>
      </c>
    </row>
    <row r="3555" spans="1:9" x14ac:dyDescent="0.25">
      <c r="A3555">
        <v>4330</v>
      </c>
      <c r="B3555">
        <v>10</v>
      </c>
      <c r="C3555" t="s">
        <v>946</v>
      </c>
      <c r="D3555" t="s">
        <v>1014</v>
      </c>
      <c r="E3555" t="s">
        <v>49</v>
      </c>
      <c r="F3555" t="s">
        <v>948</v>
      </c>
      <c r="G3555">
        <v>1077777</v>
      </c>
      <c r="H3555">
        <v>500210</v>
      </c>
      <c r="I3555" t="s">
        <v>949</v>
      </c>
    </row>
    <row r="3556" spans="1:9" x14ac:dyDescent="0.25">
      <c r="A3556">
        <v>4332</v>
      </c>
      <c r="B3556">
        <v>10</v>
      </c>
      <c r="C3556" t="s">
        <v>946</v>
      </c>
      <c r="D3556" t="s">
        <v>1014</v>
      </c>
      <c r="E3556" t="s">
        <v>49</v>
      </c>
      <c r="F3556" t="s">
        <v>948</v>
      </c>
      <c r="G3556">
        <v>1077777</v>
      </c>
      <c r="H3556">
        <v>500210</v>
      </c>
      <c r="I3556" t="s">
        <v>949</v>
      </c>
    </row>
    <row r="3557" spans="1:9" x14ac:dyDescent="0.25">
      <c r="A3557">
        <v>4355</v>
      </c>
      <c r="B3557">
        <v>10</v>
      </c>
      <c r="C3557" t="s">
        <v>946</v>
      </c>
      <c r="D3557" t="s">
        <v>1014</v>
      </c>
      <c r="E3557" t="s">
        <v>49</v>
      </c>
      <c r="F3557" t="s">
        <v>948</v>
      </c>
      <c r="G3557">
        <v>1000000</v>
      </c>
      <c r="H3557">
        <v>200105</v>
      </c>
      <c r="I3557" t="s">
        <v>949</v>
      </c>
    </row>
    <row r="3558" spans="1:9" x14ac:dyDescent="0.25">
      <c r="A3558">
        <v>4315</v>
      </c>
      <c r="B3558">
        <v>10</v>
      </c>
      <c r="C3558" t="s">
        <v>946</v>
      </c>
      <c r="D3558" t="s">
        <v>1015</v>
      </c>
      <c r="E3558" t="s">
        <v>49</v>
      </c>
      <c r="F3558" t="s">
        <v>948</v>
      </c>
      <c r="G3558">
        <v>1077777</v>
      </c>
      <c r="H3558">
        <v>500220</v>
      </c>
      <c r="I3558" t="s">
        <v>949</v>
      </c>
    </row>
    <row r="3559" spans="1:9" x14ac:dyDescent="0.25">
      <c r="A3559">
        <v>4320</v>
      </c>
      <c r="B3559">
        <v>10</v>
      </c>
      <c r="C3559" t="s">
        <v>946</v>
      </c>
      <c r="D3559" t="s">
        <v>1015</v>
      </c>
      <c r="E3559" t="s">
        <v>49</v>
      </c>
      <c r="F3559" t="s">
        <v>948</v>
      </c>
      <c r="G3559">
        <v>1077777</v>
      </c>
      <c r="H3559">
        <v>500221</v>
      </c>
      <c r="I3559" t="s">
        <v>949</v>
      </c>
    </row>
    <row r="3560" spans="1:9" x14ac:dyDescent="0.25">
      <c r="A3560">
        <v>4310</v>
      </c>
      <c r="B3560">
        <v>10</v>
      </c>
      <c r="C3560" t="s">
        <v>946</v>
      </c>
      <c r="D3560" t="s">
        <v>171</v>
      </c>
      <c r="E3560" t="s">
        <v>49</v>
      </c>
      <c r="F3560" t="s">
        <v>948</v>
      </c>
      <c r="G3560">
        <v>1077777</v>
      </c>
      <c r="H3560">
        <v>501090</v>
      </c>
      <c r="I3560" t="s">
        <v>949</v>
      </c>
    </row>
    <row r="3561" spans="1:9" x14ac:dyDescent="0.25">
      <c r="A3561">
        <v>4320</v>
      </c>
      <c r="B3561">
        <v>10</v>
      </c>
      <c r="C3561" t="s">
        <v>946</v>
      </c>
      <c r="D3561" t="s">
        <v>171</v>
      </c>
      <c r="E3561" t="s">
        <v>49</v>
      </c>
      <c r="F3561" t="s">
        <v>948</v>
      </c>
      <c r="G3561">
        <v>1000000</v>
      </c>
      <c r="H3561">
        <v>200110</v>
      </c>
      <c r="I3561" t="s">
        <v>949</v>
      </c>
    </row>
    <row r="3562" spans="1:9" x14ac:dyDescent="0.25">
      <c r="A3562">
        <v>4330</v>
      </c>
      <c r="B3562">
        <v>10</v>
      </c>
      <c r="C3562" t="s">
        <v>946</v>
      </c>
      <c r="D3562" t="s">
        <v>171</v>
      </c>
      <c r="E3562" t="s">
        <v>49</v>
      </c>
      <c r="F3562" t="s">
        <v>948</v>
      </c>
      <c r="G3562">
        <v>1077777</v>
      </c>
      <c r="H3562">
        <v>500210</v>
      </c>
      <c r="I3562" t="s">
        <v>949</v>
      </c>
    </row>
    <row r="3563" spans="1:9" x14ac:dyDescent="0.25">
      <c r="A3563">
        <v>4332</v>
      </c>
      <c r="B3563">
        <v>10</v>
      </c>
      <c r="C3563" t="s">
        <v>946</v>
      </c>
      <c r="D3563" t="s">
        <v>171</v>
      </c>
      <c r="E3563" t="s">
        <v>49</v>
      </c>
      <c r="F3563" t="s">
        <v>948</v>
      </c>
      <c r="G3563">
        <v>1077777</v>
      </c>
      <c r="H3563">
        <v>500210</v>
      </c>
      <c r="I3563" t="s">
        <v>949</v>
      </c>
    </row>
    <row r="3564" spans="1:9" x14ac:dyDescent="0.25">
      <c r="A3564">
        <v>4335</v>
      </c>
      <c r="B3564">
        <v>10</v>
      </c>
      <c r="C3564" t="s">
        <v>946</v>
      </c>
      <c r="D3564" t="s">
        <v>171</v>
      </c>
      <c r="E3564" t="s">
        <v>49</v>
      </c>
      <c r="F3564" t="s">
        <v>948</v>
      </c>
      <c r="G3564">
        <v>1077777</v>
      </c>
      <c r="H3564">
        <v>500200</v>
      </c>
      <c r="I3564" t="s">
        <v>949</v>
      </c>
    </row>
    <row r="3565" spans="1:9" x14ac:dyDescent="0.25">
      <c r="A3565">
        <v>4337</v>
      </c>
      <c r="B3565">
        <v>10</v>
      </c>
      <c r="C3565" t="s">
        <v>946</v>
      </c>
      <c r="D3565" t="s">
        <v>171</v>
      </c>
      <c r="E3565" t="s">
        <v>49</v>
      </c>
      <c r="F3565" t="s">
        <v>948</v>
      </c>
      <c r="G3565">
        <v>1077777</v>
      </c>
      <c r="H3565">
        <v>500210</v>
      </c>
      <c r="I3565" t="s">
        <v>949</v>
      </c>
    </row>
    <row r="3566" spans="1:9" x14ac:dyDescent="0.25">
      <c r="A3566">
        <v>4340</v>
      </c>
      <c r="B3566">
        <v>10</v>
      </c>
      <c r="C3566" t="s">
        <v>946</v>
      </c>
      <c r="D3566" t="s">
        <v>171</v>
      </c>
      <c r="E3566" t="s">
        <v>49</v>
      </c>
      <c r="F3566" t="s">
        <v>948</v>
      </c>
      <c r="G3566">
        <v>1077777</v>
      </c>
      <c r="H3566">
        <v>500210</v>
      </c>
      <c r="I3566" t="s">
        <v>949</v>
      </c>
    </row>
    <row r="3567" spans="1:9" x14ac:dyDescent="0.25">
      <c r="A3567">
        <v>4405</v>
      </c>
      <c r="B3567">
        <v>10</v>
      </c>
      <c r="C3567" t="s">
        <v>946</v>
      </c>
      <c r="D3567" t="s">
        <v>171</v>
      </c>
      <c r="E3567" t="s">
        <v>49</v>
      </c>
      <c r="F3567" t="s">
        <v>948</v>
      </c>
      <c r="G3567">
        <v>1077777</v>
      </c>
      <c r="H3567">
        <v>500465</v>
      </c>
      <c r="I3567" t="s">
        <v>949</v>
      </c>
    </row>
    <row r="3568" ht="22" customHeight="1" spans="1:10" x14ac:dyDescent="0.25">
      <c r="A3568" s="43">
        <v>4310</v>
      </c>
      <c r="B3568" s="43">
        <v>10</v>
      </c>
      <c r="C3568" s="43" t="s">
        <v>946</v>
      </c>
      <c r="D3568" s="43" t="s">
        <v>171</v>
      </c>
      <c r="E3568" s="43" t="s">
        <v>39</v>
      </c>
      <c r="F3568" s="43" t="s">
        <v>948</v>
      </c>
      <c r="G3568" s="43">
        <v>1077777</v>
      </c>
      <c r="H3568" s="43">
        <v>501090</v>
      </c>
      <c r="I3568" s="43" t="s">
        <v>949</v>
      </c>
      <c r="J3568" s="44" t="s">
        <v>1000</v>
      </c>
    </row>
    <row r="3569" spans="1:9" x14ac:dyDescent="0.25">
      <c r="A3569">
        <v>4400</v>
      </c>
      <c r="B3569">
        <v>10</v>
      </c>
      <c r="C3569" t="s">
        <v>946</v>
      </c>
      <c r="D3569" t="s">
        <v>171</v>
      </c>
      <c r="E3569" t="s">
        <v>39</v>
      </c>
      <c r="F3569" t="s">
        <v>948</v>
      </c>
      <c r="G3569">
        <v>1000000</v>
      </c>
      <c r="H3569">
        <v>142020</v>
      </c>
      <c r="I3569" t="s">
        <v>949</v>
      </c>
    </row>
    <row r="3570" ht="22" customHeight="1" spans="1:10" x14ac:dyDescent="0.25">
      <c r="A3570" s="43">
        <v>4310</v>
      </c>
      <c r="B3570" s="43">
        <v>10</v>
      </c>
      <c r="C3570" s="43" t="s">
        <v>946</v>
      </c>
      <c r="D3570" s="43" t="s">
        <v>171</v>
      </c>
      <c r="E3570" s="43" t="s">
        <v>290</v>
      </c>
      <c r="F3570" s="43" t="s">
        <v>948</v>
      </c>
      <c r="G3570" s="43">
        <v>1077777</v>
      </c>
      <c r="H3570" s="43">
        <v>501090</v>
      </c>
      <c r="I3570" s="43" t="s">
        <v>949</v>
      </c>
      <c r="J3570" s="44" t="s">
        <v>1000</v>
      </c>
    </row>
    <row r="3571" spans="1:9" x14ac:dyDescent="0.25">
      <c r="A3571">
        <v>4400</v>
      </c>
      <c r="B3571">
        <v>10</v>
      </c>
      <c r="C3571" t="s">
        <v>946</v>
      </c>
      <c r="D3571" t="s">
        <v>171</v>
      </c>
      <c r="E3571" t="s">
        <v>290</v>
      </c>
      <c r="F3571" t="s">
        <v>948</v>
      </c>
      <c r="G3571">
        <v>1000000</v>
      </c>
      <c r="H3571">
        <v>142020</v>
      </c>
      <c r="I3571" t="s">
        <v>949</v>
      </c>
    </row>
    <row r="3572" ht="22" customHeight="1" spans="1:10" x14ac:dyDescent="0.25">
      <c r="A3572" s="43">
        <v>4310</v>
      </c>
      <c r="B3572" s="43">
        <v>10</v>
      </c>
      <c r="C3572" s="43" t="s">
        <v>946</v>
      </c>
      <c r="D3572" s="43" t="s">
        <v>171</v>
      </c>
      <c r="E3572" s="43" t="s">
        <v>294</v>
      </c>
      <c r="F3572" s="43" t="s">
        <v>948</v>
      </c>
      <c r="G3572" s="43">
        <v>1077777</v>
      </c>
      <c r="H3572" s="43">
        <v>501090</v>
      </c>
      <c r="I3572" s="43" t="s">
        <v>949</v>
      </c>
      <c r="J3572" s="44" t="s">
        <v>1000</v>
      </c>
    </row>
    <row r="3573" spans="1:9" x14ac:dyDescent="0.25">
      <c r="A3573">
        <v>4400</v>
      </c>
      <c r="B3573">
        <v>10</v>
      </c>
      <c r="C3573" t="s">
        <v>946</v>
      </c>
      <c r="D3573" t="s">
        <v>171</v>
      </c>
      <c r="E3573" t="s">
        <v>294</v>
      </c>
      <c r="F3573" t="s">
        <v>948</v>
      </c>
      <c r="G3573">
        <v>1000000</v>
      </c>
      <c r="H3573">
        <v>142020</v>
      </c>
      <c r="I3573" t="s">
        <v>949</v>
      </c>
    </row>
    <row r="3574" ht="22" customHeight="1" spans="1:10" x14ac:dyDescent="0.25">
      <c r="A3574" s="43">
        <v>4310</v>
      </c>
      <c r="B3574" s="43">
        <v>10</v>
      </c>
      <c r="C3574" s="43" t="s">
        <v>946</v>
      </c>
      <c r="D3574" s="43" t="s">
        <v>171</v>
      </c>
      <c r="E3574" s="43" t="s">
        <v>306</v>
      </c>
      <c r="F3574" s="43" t="s">
        <v>948</v>
      </c>
      <c r="G3574" s="43">
        <v>1077777</v>
      </c>
      <c r="H3574" s="43">
        <v>501090</v>
      </c>
      <c r="I3574" s="43" t="s">
        <v>949</v>
      </c>
      <c r="J3574" s="44" t="s">
        <v>1000</v>
      </c>
    </row>
    <row r="3575" spans="1:9" x14ac:dyDescent="0.25">
      <c r="A3575">
        <v>4400</v>
      </c>
      <c r="B3575">
        <v>10</v>
      </c>
      <c r="C3575" t="s">
        <v>946</v>
      </c>
      <c r="D3575" t="s">
        <v>171</v>
      </c>
      <c r="E3575" t="s">
        <v>306</v>
      </c>
      <c r="F3575" t="s">
        <v>948</v>
      </c>
      <c r="G3575">
        <v>1000000</v>
      </c>
      <c r="H3575">
        <v>142020</v>
      </c>
      <c r="I3575" t="s">
        <v>949</v>
      </c>
    </row>
    <row r="3576" spans="1:9" x14ac:dyDescent="0.25">
      <c r="A3576">
        <v>4318</v>
      </c>
      <c r="B3576">
        <v>10</v>
      </c>
      <c r="C3576" t="s">
        <v>946</v>
      </c>
      <c r="D3576" t="s">
        <v>1016</v>
      </c>
      <c r="E3576" t="s">
        <v>49</v>
      </c>
      <c r="F3576" t="s">
        <v>948</v>
      </c>
      <c r="G3576">
        <v>1000000</v>
      </c>
      <c r="H3576">
        <v>145100</v>
      </c>
      <c r="I3576" t="s">
        <v>949</v>
      </c>
    </row>
    <row r="3577" spans="1:9" x14ac:dyDescent="0.25">
      <c r="A3577">
        <v>4320</v>
      </c>
      <c r="B3577">
        <v>10</v>
      </c>
      <c r="C3577" t="s">
        <v>946</v>
      </c>
      <c r="D3577" t="s">
        <v>1016</v>
      </c>
      <c r="E3577" t="s">
        <v>49</v>
      </c>
      <c r="F3577" t="s">
        <v>948</v>
      </c>
      <c r="G3577">
        <v>1000000</v>
      </c>
      <c r="H3577">
        <v>200110</v>
      </c>
      <c r="I3577" t="s">
        <v>949</v>
      </c>
    </row>
    <row r="3578" spans="1:9" x14ac:dyDescent="0.25">
      <c r="A3578">
        <v>4330</v>
      </c>
      <c r="B3578">
        <v>10</v>
      </c>
      <c r="C3578" t="s">
        <v>946</v>
      </c>
      <c r="D3578" t="s">
        <v>1016</v>
      </c>
      <c r="E3578" t="s">
        <v>49</v>
      </c>
      <c r="F3578" t="s">
        <v>948</v>
      </c>
      <c r="G3578">
        <v>1077777</v>
      </c>
      <c r="H3578">
        <v>500210</v>
      </c>
      <c r="I3578" t="s">
        <v>949</v>
      </c>
    </row>
    <row r="3579" spans="1:9" x14ac:dyDescent="0.25">
      <c r="A3579">
        <v>4332</v>
      </c>
      <c r="B3579">
        <v>10</v>
      </c>
      <c r="C3579" t="s">
        <v>946</v>
      </c>
      <c r="D3579" t="s">
        <v>1016</v>
      </c>
      <c r="E3579" t="s">
        <v>49</v>
      </c>
      <c r="F3579" t="s">
        <v>948</v>
      </c>
      <c r="G3579">
        <v>1077777</v>
      </c>
      <c r="H3579">
        <v>500210</v>
      </c>
      <c r="I3579" t="s">
        <v>949</v>
      </c>
    </row>
    <row r="3580" spans="1:9" x14ac:dyDescent="0.25">
      <c r="A3580">
        <v>4335</v>
      </c>
      <c r="B3580">
        <v>10</v>
      </c>
      <c r="C3580" t="s">
        <v>946</v>
      </c>
      <c r="D3580" t="s">
        <v>1016</v>
      </c>
      <c r="E3580" t="s">
        <v>49</v>
      </c>
      <c r="F3580" t="s">
        <v>948</v>
      </c>
      <c r="G3580">
        <v>1077777</v>
      </c>
      <c r="H3580">
        <v>500200</v>
      </c>
      <c r="I3580" t="s">
        <v>949</v>
      </c>
    </row>
    <row r="3581" spans="1:9" x14ac:dyDescent="0.25">
      <c r="A3581">
        <v>4337</v>
      </c>
      <c r="B3581">
        <v>10</v>
      </c>
      <c r="C3581" t="s">
        <v>946</v>
      </c>
      <c r="D3581" t="s">
        <v>1016</v>
      </c>
      <c r="E3581" t="s">
        <v>49</v>
      </c>
      <c r="F3581" t="s">
        <v>948</v>
      </c>
      <c r="G3581">
        <v>1077777</v>
      </c>
      <c r="H3581">
        <v>500210</v>
      </c>
      <c r="I3581" t="s">
        <v>949</v>
      </c>
    </row>
    <row r="3582" spans="1:9" x14ac:dyDescent="0.25">
      <c r="A3582">
        <v>4340</v>
      </c>
      <c r="B3582">
        <v>10</v>
      </c>
      <c r="C3582" t="s">
        <v>946</v>
      </c>
      <c r="D3582" t="s">
        <v>1016</v>
      </c>
      <c r="E3582" t="s">
        <v>49</v>
      </c>
      <c r="F3582" t="s">
        <v>948</v>
      </c>
      <c r="G3582">
        <v>1077777</v>
      </c>
      <c r="H3582">
        <v>500210</v>
      </c>
      <c r="I3582" t="s">
        <v>949</v>
      </c>
    </row>
    <row r="3583" spans="1:9" x14ac:dyDescent="0.25">
      <c r="A3583">
        <v>4350</v>
      </c>
      <c r="B3583">
        <v>10</v>
      </c>
      <c r="C3583" t="s">
        <v>946</v>
      </c>
      <c r="D3583" t="s">
        <v>1016</v>
      </c>
      <c r="E3583" t="s">
        <v>49</v>
      </c>
      <c r="F3583" t="s">
        <v>948</v>
      </c>
      <c r="G3583">
        <v>1000000</v>
      </c>
      <c r="H3583">
        <v>142000</v>
      </c>
      <c r="I3583" t="s">
        <v>949</v>
      </c>
    </row>
    <row r="3584" spans="1:9" x14ac:dyDescent="0.25">
      <c r="A3584">
        <v>4355</v>
      </c>
      <c r="B3584">
        <v>10</v>
      </c>
      <c r="C3584" t="s">
        <v>946</v>
      </c>
      <c r="D3584" t="s">
        <v>1016</v>
      </c>
      <c r="E3584" t="s">
        <v>49</v>
      </c>
      <c r="F3584" t="s">
        <v>948</v>
      </c>
      <c r="G3584">
        <v>1000000</v>
      </c>
      <c r="H3584">
        <v>200105</v>
      </c>
      <c r="I3584" t="s">
        <v>949</v>
      </c>
    </row>
    <row r="3585" spans="1:9" x14ac:dyDescent="0.25">
      <c r="A3585">
        <v>4405</v>
      </c>
      <c r="B3585">
        <v>10</v>
      </c>
      <c r="C3585" t="s">
        <v>946</v>
      </c>
      <c r="D3585" t="s">
        <v>1016</v>
      </c>
      <c r="E3585" t="s">
        <v>49</v>
      </c>
      <c r="F3585" t="s">
        <v>948</v>
      </c>
      <c r="G3585">
        <v>1077777</v>
      </c>
      <c r="H3585">
        <v>500465</v>
      </c>
      <c r="I3585" t="s">
        <v>949</v>
      </c>
    </row>
    <row r="3586" spans="1:9" x14ac:dyDescent="0.25">
      <c r="A3586">
        <v>4310</v>
      </c>
      <c r="B3586">
        <v>10</v>
      </c>
      <c r="C3586" t="s">
        <v>946</v>
      </c>
      <c r="D3586" t="s">
        <v>1016</v>
      </c>
      <c r="E3586" t="s">
        <v>243</v>
      </c>
      <c r="F3586" t="s">
        <v>948</v>
      </c>
      <c r="G3586">
        <v>1000000</v>
      </c>
      <c r="H3586">
        <v>145000</v>
      </c>
      <c r="I3586" t="s">
        <v>949</v>
      </c>
    </row>
    <row r="3587" spans="1:9" x14ac:dyDescent="0.25">
      <c r="A3587">
        <v>4400</v>
      </c>
      <c r="B3587">
        <v>10</v>
      </c>
      <c r="C3587" t="s">
        <v>946</v>
      </c>
      <c r="D3587" t="s">
        <v>1016</v>
      </c>
      <c r="E3587" t="s">
        <v>243</v>
      </c>
      <c r="F3587" t="s">
        <v>948</v>
      </c>
      <c r="G3587">
        <v>1000000</v>
      </c>
      <c r="H3587">
        <v>145000</v>
      </c>
      <c r="I3587" t="s">
        <v>949</v>
      </c>
    </row>
    <row r="3588" spans="1:9" x14ac:dyDescent="0.25">
      <c r="A3588">
        <v>4310</v>
      </c>
      <c r="B3588">
        <v>10</v>
      </c>
      <c r="C3588" t="s">
        <v>946</v>
      </c>
      <c r="D3588" t="s">
        <v>1016</v>
      </c>
      <c r="E3588" t="s">
        <v>247</v>
      </c>
      <c r="F3588" t="s">
        <v>948</v>
      </c>
      <c r="G3588">
        <v>1000000</v>
      </c>
      <c r="H3588">
        <v>145000</v>
      </c>
      <c r="I3588" t="s">
        <v>949</v>
      </c>
    </row>
    <row r="3589" spans="1:9" x14ac:dyDescent="0.25">
      <c r="A3589">
        <v>4400</v>
      </c>
      <c r="B3589">
        <v>10</v>
      </c>
      <c r="C3589" t="s">
        <v>946</v>
      </c>
      <c r="D3589" t="s">
        <v>1016</v>
      </c>
      <c r="E3589" t="s">
        <v>247</v>
      </c>
      <c r="F3589" t="s">
        <v>948</v>
      </c>
      <c r="G3589">
        <v>1000000</v>
      </c>
      <c r="H3589">
        <v>145000</v>
      </c>
      <c r="I3589" t="s">
        <v>949</v>
      </c>
    </row>
    <row r="3590" spans="1:9" x14ac:dyDescent="0.25">
      <c r="A3590">
        <v>4310</v>
      </c>
      <c r="B3590">
        <v>10</v>
      </c>
      <c r="C3590" t="s">
        <v>946</v>
      </c>
      <c r="D3590" t="s">
        <v>1016</v>
      </c>
      <c r="E3590" t="s">
        <v>251</v>
      </c>
      <c r="F3590" t="s">
        <v>948</v>
      </c>
      <c r="G3590">
        <v>1000000</v>
      </c>
      <c r="H3590">
        <v>142000</v>
      </c>
      <c r="I3590" t="s">
        <v>949</v>
      </c>
    </row>
    <row r="3591" spans="1:9" x14ac:dyDescent="0.25">
      <c r="A3591">
        <v>4400</v>
      </c>
      <c r="B3591">
        <v>10</v>
      </c>
      <c r="C3591" t="s">
        <v>946</v>
      </c>
      <c r="D3591" t="s">
        <v>1016</v>
      </c>
      <c r="E3591" t="s">
        <v>251</v>
      </c>
      <c r="F3591" t="s">
        <v>948</v>
      </c>
      <c r="G3591">
        <v>1000000</v>
      </c>
      <c r="H3591">
        <v>142000</v>
      </c>
      <c r="I3591" t="s">
        <v>949</v>
      </c>
    </row>
    <row r="3592" spans="1:9" x14ac:dyDescent="0.25">
      <c r="A3592">
        <v>4310</v>
      </c>
      <c r="B3592">
        <v>10</v>
      </c>
      <c r="C3592" t="s">
        <v>946</v>
      </c>
      <c r="D3592" t="s">
        <v>1016</v>
      </c>
      <c r="E3592" t="s">
        <v>969</v>
      </c>
      <c r="F3592" t="s">
        <v>948</v>
      </c>
      <c r="G3592">
        <v>1000000</v>
      </c>
      <c r="H3592">
        <v>141000</v>
      </c>
      <c r="I3592" t="s">
        <v>970</v>
      </c>
    </row>
    <row r="3593" spans="1:9" x14ac:dyDescent="0.25">
      <c r="A3593">
        <v>4400</v>
      </c>
      <c r="B3593">
        <v>10</v>
      </c>
      <c r="C3593" t="s">
        <v>946</v>
      </c>
      <c r="D3593" t="s">
        <v>1016</v>
      </c>
      <c r="E3593" t="s">
        <v>969</v>
      </c>
      <c r="F3593" t="s">
        <v>948</v>
      </c>
      <c r="G3593">
        <v>1000000</v>
      </c>
      <c r="H3593">
        <v>141000</v>
      </c>
      <c r="I3593" t="s">
        <v>970</v>
      </c>
    </row>
    <row r="3594" spans="1:9" x14ac:dyDescent="0.25">
      <c r="A3594">
        <v>4310</v>
      </c>
      <c r="B3594">
        <v>10</v>
      </c>
      <c r="C3594" t="s">
        <v>946</v>
      </c>
      <c r="D3594" t="s">
        <v>1016</v>
      </c>
      <c r="E3594" t="s">
        <v>255</v>
      </c>
      <c r="F3594" t="s">
        <v>948</v>
      </c>
      <c r="G3594">
        <v>1000000</v>
      </c>
      <c r="H3594">
        <v>145000</v>
      </c>
      <c r="I3594" t="s">
        <v>949</v>
      </c>
    </row>
    <row r="3595" spans="1:9" x14ac:dyDescent="0.25">
      <c r="A3595">
        <v>4400</v>
      </c>
      <c r="B3595">
        <v>10</v>
      </c>
      <c r="C3595" t="s">
        <v>946</v>
      </c>
      <c r="D3595" t="s">
        <v>1016</v>
      </c>
      <c r="E3595" t="s">
        <v>255</v>
      </c>
      <c r="F3595" t="s">
        <v>948</v>
      </c>
      <c r="G3595">
        <v>1000000</v>
      </c>
      <c r="H3595">
        <v>145000</v>
      </c>
      <c r="I3595" t="s">
        <v>949</v>
      </c>
    </row>
    <row r="3596" spans="1:9" x14ac:dyDescent="0.25">
      <c r="A3596">
        <v>4310</v>
      </c>
      <c r="B3596">
        <v>10</v>
      </c>
      <c r="C3596" t="s">
        <v>946</v>
      </c>
      <c r="D3596" t="s">
        <v>1016</v>
      </c>
      <c r="E3596" t="s">
        <v>971</v>
      </c>
      <c r="F3596" t="s">
        <v>948</v>
      </c>
      <c r="G3596">
        <v>1000000</v>
      </c>
      <c r="H3596">
        <v>141000</v>
      </c>
      <c r="I3596" t="s">
        <v>972</v>
      </c>
    </row>
    <row r="3597" spans="1:9" x14ac:dyDescent="0.25">
      <c r="A3597">
        <v>4400</v>
      </c>
      <c r="B3597">
        <v>10</v>
      </c>
      <c r="C3597" t="s">
        <v>946</v>
      </c>
      <c r="D3597" t="s">
        <v>1016</v>
      </c>
      <c r="E3597" t="s">
        <v>971</v>
      </c>
      <c r="F3597" t="s">
        <v>948</v>
      </c>
      <c r="G3597">
        <v>1000000</v>
      </c>
      <c r="H3597">
        <v>141000</v>
      </c>
      <c r="I3597" t="s">
        <v>972</v>
      </c>
    </row>
    <row r="3598" spans="1:9" x14ac:dyDescent="0.25">
      <c r="A3598">
        <v>4310</v>
      </c>
      <c r="B3598">
        <v>10</v>
      </c>
      <c r="C3598" t="s">
        <v>946</v>
      </c>
      <c r="D3598" t="s">
        <v>1016</v>
      </c>
      <c r="E3598" t="s">
        <v>263</v>
      </c>
      <c r="F3598" t="s">
        <v>948</v>
      </c>
      <c r="G3598">
        <v>1000000</v>
      </c>
      <c r="H3598">
        <v>145000</v>
      </c>
      <c r="I3598" t="s">
        <v>949</v>
      </c>
    </row>
    <row r="3599" spans="1:9" x14ac:dyDescent="0.25">
      <c r="A3599">
        <v>4400</v>
      </c>
      <c r="B3599">
        <v>10</v>
      </c>
      <c r="C3599" t="s">
        <v>946</v>
      </c>
      <c r="D3599" t="s">
        <v>1016</v>
      </c>
      <c r="E3599" t="s">
        <v>263</v>
      </c>
      <c r="F3599" t="s">
        <v>948</v>
      </c>
      <c r="G3599">
        <v>1000000</v>
      </c>
      <c r="H3599">
        <v>145000</v>
      </c>
      <c r="I3599" t="s">
        <v>949</v>
      </c>
    </row>
    <row r="3600" spans="1:9" x14ac:dyDescent="0.25">
      <c r="A3600">
        <v>4310</v>
      </c>
      <c r="B3600">
        <v>10</v>
      </c>
      <c r="C3600" t="s">
        <v>946</v>
      </c>
      <c r="D3600" t="s">
        <v>1016</v>
      </c>
      <c r="E3600" t="s">
        <v>100</v>
      </c>
      <c r="F3600" t="s">
        <v>948</v>
      </c>
      <c r="G3600">
        <v>1002355</v>
      </c>
      <c r="H3600">
        <v>540180</v>
      </c>
      <c r="I3600" t="s">
        <v>949</v>
      </c>
    </row>
    <row r="3601" spans="1:9" x14ac:dyDescent="0.25">
      <c r="A3601">
        <v>4310</v>
      </c>
      <c r="B3601">
        <v>10</v>
      </c>
      <c r="C3601" t="s">
        <v>946</v>
      </c>
      <c r="D3601" t="s">
        <v>1016</v>
      </c>
      <c r="E3601" t="s">
        <v>270</v>
      </c>
      <c r="F3601" t="s">
        <v>948</v>
      </c>
      <c r="G3601">
        <v>1000000</v>
      </c>
      <c r="H3601">
        <v>145000</v>
      </c>
      <c r="I3601" t="s">
        <v>949</v>
      </c>
    </row>
    <row r="3602" spans="1:9" x14ac:dyDescent="0.25">
      <c r="A3602">
        <v>4400</v>
      </c>
      <c r="B3602">
        <v>10</v>
      </c>
      <c r="C3602" t="s">
        <v>946</v>
      </c>
      <c r="D3602" t="s">
        <v>1016</v>
      </c>
      <c r="E3602" t="s">
        <v>270</v>
      </c>
      <c r="F3602" t="s">
        <v>948</v>
      </c>
      <c r="G3602">
        <v>1000000</v>
      </c>
      <c r="H3602">
        <v>145000</v>
      </c>
      <c r="I3602" t="s">
        <v>949</v>
      </c>
    </row>
    <row r="3603" spans="1:9" x14ac:dyDescent="0.25">
      <c r="A3603">
        <v>4310</v>
      </c>
      <c r="B3603">
        <v>10</v>
      </c>
      <c r="C3603" t="s">
        <v>946</v>
      </c>
      <c r="D3603" t="s">
        <v>1016</v>
      </c>
      <c r="E3603" t="s">
        <v>274</v>
      </c>
      <c r="F3603" t="s">
        <v>948</v>
      </c>
      <c r="G3603">
        <v>1000000</v>
      </c>
      <c r="H3603">
        <v>143000</v>
      </c>
      <c r="I3603" t="s">
        <v>973</v>
      </c>
    </row>
    <row r="3604" spans="1:9" x14ac:dyDescent="0.25">
      <c r="A3604">
        <v>4400</v>
      </c>
      <c r="B3604">
        <v>10</v>
      </c>
      <c r="C3604" t="s">
        <v>946</v>
      </c>
      <c r="D3604" t="s">
        <v>1016</v>
      </c>
      <c r="E3604" t="s">
        <v>274</v>
      </c>
      <c r="F3604" t="s">
        <v>948</v>
      </c>
      <c r="G3604">
        <v>1000000</v>
      </c>
      <c r="H3604">
        <v>143000</v>
      </c>
      <c r="I3604" t="s">
        <v>973</v>
      </c>
    </row>
    <row r="3605" spans="1:9" x14ac:dyDescent="0.25">
      <c r="A3605">
        <v>4310</v>
      </c>
      <c r="B3605">
        <v>10</v>
      </c>
      <c r="C3605" t="s">
        <v>946</v>
      </c>
      <c r="D3605" t="s">
        <v>1016</v>
      </c>
      <c r="E3605" t="s">
        <v>974</v>
      </c>
      <c r="F3605" t="s">
        <v>948</v>
      </c>
      <c r="G3605">
        <v>1000000</v>
      </c>
      <c r="H3605">
        <v>141000</v>
      </c>
      <c r="I3605" t="s">
        <v>975</v>
      </c>
    </row>
    <row r="3606" spans="1:9" x14ac:dyDescent="0.25">
      <c r="A3606">
        <v>4400</v>
      </c>
      <c r="B3606">
        <v>10</v>
      </c>
      <c r="C3606" t="s">
        <v>946</v>
      </c>
      <c r="D3606" t="s">
        <v>1016</v>
      </c>
      <c r="E3606" t="s">
        <v>974</v>
      </c>
      <c r="F3606" t="s">
        <v>948</v>
      </c>
      <c r="G3606">
        <v>1000000</v>
      </c>
      <c r="H3606">
        <v>141000</v>
      </c>
      <c r="I3606" t="s">
        <v>975</v>
      </c>
    </row>
    <row r="3607" spans="1:9" x14ac:dyDescent="0.25">
      <c r="A3607">
        <v>4310</v>
      </c>
      <c r="B3607">
        <v>10</v>
      </c>
      <c r="C3607" t="s">
        <v>946</v>
      </c>
      <c r="D3607" t="s">
        <v>1016</v>
      </c>
      <c r="E3607" t="s">
        <v>104</v>
      </c>
      <c r="F3607" t="s">
        <v>948</v>
      </c>
      <c r="G3607">
        <v>1002355</v>
      </c>
      <c r="H3607">
        <v>540180</v>
      </c>
      <c r="I3607" t="s">
        <v>949</v>
      </c>
    </row>
    <row r="3608" spans="1:9" x14ac:dyDescent="0.25">
      <c r="A3608">
        <v>4315</v>
      </c>
      <c r="B3608">
        <v>10</v>
      </c>
      <c r="C3608" t="s">
        <v>946</v>
      </c>
      <c r="D3608" t="s">
        <v>1016</v>
      </c>
      <c r="E3608" t="s">
        <v>104</v>
      </c>
      <c r="F3608" t="s">
        <v>948</v>
      </c>
      <c r="G3608">
        <v>1002355</v>
      </c>
      <c r="H3608">
        <v>540180</v>
      </c>
      <c r="I3608" t="s">
        <v>949</v>
      </c>
    </row>
    <row r="3609" spans="1:9" x14ac:dyDescent="0.25">
      <c r="A3609">
        <v>4310</v>
      </c>
      <c r="B3609">
        <v>10</v>
      </c>
      <c r="C3609" t="s">
        <v>946</v>
      </c>
      <c r="D3609" t="s">
        <v>1016</v>
      </c>
      <c r="E3609" t="s">
        <v>278</v>
      </c>
      <c r="F3609" t="s">
        <v>948</v>
      </c>
      <c r="G3609">
        <v>1000000</v>
      </c>
      <c r="H3609">
        <v>145000</v>
      </c>
      <c r="I3609" t="s">
        <v>949</v>
      </c>
    </row>
    <row r="3610" spans="1:9" x14ac:dyDescent="0.25">
      <c r="A3610">
        <v>4400</v>
      </c>
      <c r="B3610">
        <v>10</v>
      </c>
      <c r="C3610" t="s">
        <v>946</v>
      </c>
      <c r="D3610" t="s">
        <v>1016</v>
      </c>
      <c r="E3610" t="s">
        <v>278</v>
      </c>
      <c r="F3610" t="s">
        <v>948</v>
      </c>
      <c r="G3610">
        <v>1000000</v>
      </c>
      <c r="H3610">
        <v>145000</v>
      </c>
      <c r="I3610" t="s">
        <v>949</v>
      </c>
    </row>
    <row r="3611" spans="1:9" x14ac:dyDescent="0.25">
      <c r="A3611">
        <v>4310</v>
      </c>
      <c r="B3611">
        <v>10</v>
      </c>
      <c r="C3611" t="s">
        <v>946</v>
      </c>
      <c r="D3611" t="s">
        <v>1016</v>
      </c>
      <c r="E3611" t="s">
        <v>282</v>
      </c>
      <c r="F3611" t="s">
        <v>948</v>
      </c>
      <c r="G3611">
        <v>1000000</v>
      </c>
      <c r="H3611">
        <v>143100</v>
      </c>
      <c r="I3611" t="s">
        <v>949</v>
      </c>
    </row>
    <row r="3612" spans="1:9" x14ac:dyDescent="0.25">
      <c r="A3612">
        <v>4400</v>
      </c>
      <c r="B3612">
        <v>10</v>
      </c>
      <c r="C3612" t="s">
        <v>946</v>
      </c>
      <c r="D3612" t="s">
        <v>1016</v>
      </c>
      <c r="E3612" t="s">
        <v>282</v>
      </c>
      <c r="F3612" t="s">
        <v>948</v>
      </c>
      <c r="G3612">
        <v>1000000</v>
      </c>
      <c r="H3612">
        <v>143100</v>
      </c>
      <c r="I3612" t="s">
        <v>949</v>
      </c>
    </row>
    <row r="3613" spans="1:9" x14ac:dyDescent="0.25">
      <c r="A3613">
        <v>4310</v>
      </c>
      <c r="B3613">
        <v>10</v>
      </c>
      <c r="C3613" t="s">
        <v>946</v>
      </c>
      <c r="D3613" t="s">
        <v>1016</v>
      </c>
      <c r="E3613" t="s">
        <v>286</v>
      </c>
      <c r="F3613" t="s">
        <v>948</v>
      </c>
      <c r="G3613">
        <v>1000000</v>
      </c>
      <c r="H3613">
        <v>145000</v>
      </c>
      <c r="I3613" t="s">
        <v>949</v>
      </c>
    </row>
    <row r="3614" spans="1:9" x14ac:dyDescent="0.25">
      <c r="A3614">
        <v>4400</v>
      </c>
      <c r="B3614">
        <v>10</v>
      </c>
      <c r="C3614" t="s">
        <v>946</v>
      </c>
      <c r="D3614" t="s">
        <v>1016</v>
      </c>
      <c r="E3614" t="s">
        <v>286</v>
      </c>
      <c r="F3614" t="s">
        <v>948</v>
      </c>
      <c r="G3614">
        <v>1000000</v>
      </c>
      <c r="H3614">
        <v>145000</v>
      </c>
      <c r="I3614" t="s">
        <v>949</v>
      </c>
    </row>
    <row r="3615" spans="1:9" x14ac:dyDescent="0.25">
      <c r="A3615">
        <v>4310</v>
      </c>
      <c r="B3615">
        <v>10</v>
      </c>
      <c r="C3615" t="s">
        <v>946</v>
      </c>
      <c r="D3615" t="s">
        <v>1016</v>
      </c>
      <c r="E3615" t="s">
        <v>976</v>
      </c>
      <c r="F3615" t="s">
        <v>948</v>
      </c>
      <c r="G3615">
        <v>1000000</v>
      </c>
      <c r="H3615">
        <v>141000</v>
      </c>
      <c r="I3615" t="s">
        <v>977</v>
      </c>
    </row>
    <row r="3616" spans="1:9" x14ac:dyDescent="0.25">
      <c r="A3616">
        <v>4400</v>
      </c>
      <c r="B3616">
        <v>10</v>
      </c>
      <c r="C3616" t="s">
        <v>946</v>
      </c>
      <c r="D3616" t="s">
        <v>1016</v>
      </c>
      <c r="E3616" t="s">
        <v>976</v>
      </c>
      <c r="F3616" t="s">
        <v>948</v>
      </c>
      <c r="G3616">
        <v>1000000</v>
      </c>
      <c r="H3616">
        <v>141000</v>
      </c>
      <c r="I3616" t="s">
        <v>977</v>
      </c>
    </row>
    <row r="3617" spans="1:9" x14ac:dyDescent="0.25">
      <c r="A3617">
        <v>4310</v>
      </c>
      <c r="B3617">
        <v>10</v>
      </c>
      <c r="C3617" t="s">
        <v>946</v>
      </c>
      <c r="D3617" t="s">
        <v>1016</v>
      </c>
      <c r="E3617" t="s">
        <v>290</v>
      </c>
      <c r="F3617" t="s">
        <v>948</v>
      </c>
      <c r="G3617">
        <v>1000000</v>
      </c>
      <c r="H3617">
        <v>143000</v>
      </c>
      <c r="I3617" t="s">
        <v>978</v>
      </c>
    </row>
    <row r="3618" spans="1:9" x14ac:dyDescent="0.25">
      <c r="A3618">
        <v>4400</v>
      </c>
      <c r="B3618">
        <v>10</v>
      </c>
      <c r="C3618" t="s">
        <v>946</v>
      </c>
      <c r="D3618" t="s">
        <v>1016</v>
      </c>
      <c r="E3618" t="s">
        <v>290</v>
      </c>
      <c r="F3618" t="s">
        <v>948</v>
      </c>
      <c r="G3618">
        <v>1000000</v>
      </c>
      <c r="H3618">
        <v>143000</v>
      </c>
      <c r="I3618" t="s">
        <v>978</v>
      </c>
    </row>
    <row r="3619" ht="22" customHeight="1" spans="1:10" x14ac:dyDescent="0.25">
      <c r="A3619" s="41">
        <v>4320</v>
      </c>
      <c r="B3619" s="41">
        <v>10</v>
      </c>
      <c r="C3619" s="41" t="s">
        <v>946</v>
      </c>
      <c r="D3619" s="41" t="s">
        <v>1016</v>
      </c>
      <c r="E3619" s="41" t="s">
        <v>31</v>
      </c>
      <c r="F3619" s="41" t="s">
        <v>948</v>
      </c>
      <c r="G3619" s="41">
        <v>1077777</v>
      </c>
      <c r="H3619" s="41">
        <v>500220</v>
      </c>
      <c r="I3619" s="41" t="s">
        <v>1017</v>
      </c>
      <c r="J3619" s="42" t="s">
        <v>1018</v>
      </c>
    </row>
    <row r="3620" spans="1:9" x14ac:dyDescent="0.25">
      <c r="A3620">
        <v>4375</v>
      </c>
      <c r="B3620">
        <v>10</v>
      </c>
      <c r="C3620" t="s">
        <v>946</v>
      </c>
      <c r="D3620" t="s">
        <v>1016</v>
      </c>
      <c r="E3620" t="s">
        <v>31</v>
      </c>
      <c r="F3620" t="s">
        <v>948</v>
      </c>
      <c r="G3620">
        <v>1077777</v>
      </c>
      <c r="H3620">
        <v>500220</v>
      </c>
      <c r="I3620" t="s">
        <v>1017</v>
      </c>
    </row>
    <row r="3621" spans="1:9" x14ac:dyDescent="0.25">
      <c r="A3621">
        <v>4310</v>
      </c>
      <c r="B3621">
        <v>10</v>
      </c>
      <c r="C3621" t="s">
        <v>946</v>
      </c>
      <c r="D3621" t="s">
        <v>1016</v>
      </c>
      <c r="E3621" t="s">
        <v>294</v>
      </c>
      <c r="F3621" t="s">
        <v>948</v>
      </c>
      <c r="G3621">
        <v>1000000</v>
      </c>
      <c r="H3621">
        <v>143000</v>
      </c>
      <c r="I3621" t="s">
        <v>979</v>
      </c>
    </row>
    <row r="3622" spans="1:9" x14ac:dyDescent="0.25">
      <c r="A3622">
        <v>4400</v>
      </c>
      <c r="B3622">
        <v>10</v>
      </c>
      <c r="C3622" t="s">
        <v>946</v>
      </c>
      <c r="D3622" t="s">
        <v>1016</v>
      </c>
      <c r="E3622" t="s">
        <v>294</v>
      </c>
      <c r="F3622" t="s">
        <v>948</v>
      </c>
      <c r="G3622">
        <v>1000000</v>
      </c>
      <c r="H3622">
        <v>143000</v>
      </c>
      <c r="I3622" t="s">
        <v>979</v>
      </c>
    </row>
    <row r="3623" spans="1:9" x14ac:dyDescent="0.25">
      <c r="A3623">
        <v>4310</v>
      </c>
      <c r="B3623">
        <v>10</v>
      </c>
      <c r="C3623" t="s">
        <v>946</v>
      </c>
      <c r="D3623" t="s">
        <v>1016</v>
      </c>
      <c r="E3623" t="s">
        <v>980</v>
      </c>
      <c r="F3623" t="s">
        <v>948</v>
      </c>
      <c r="G3623">
        <v>1000000</v>
      </c>
      <c r="H3623">
        <v>141000</v>
      </c>
      <c r="I3623" t="s">
        <v>981</v>
      </c>
    </row>
    <row r="3624" spans="1:9" x14ac:dyDescent="0.25">
      <c r="A3624">
        <v>4400</v>
      </c>
      <c r="B3624">
        <v>10</v>
      </c>
      <c r="C3624" t="s">
        <v>946</v>
      </c>
      <c r="D3624" t="s">
        <v>1016</v>
      </c>
      <c r="E3624" t="s">
        <v>980</v>
      </c>
      <c r="F3624" t="s">
        <v>948</v>
      </c>
      <c r="G3624">
        <v>1000000</v>
      </c>
      <c r="H3624">
        <v>141000</v>
      </c>
      <c r="I3624" t="s">
        <v>981</v>
      </c>
    </row>
    <row r="3625" spans="1:9" x14ac:dyDescent="0.25">
      <c r="A3625">
        <v>4310</v>
      </c>
      <c r="B3625">
        <v>10</v>
      </c>
      <c r="C3625" t="s">
        <v>946</v>
      </c>
      <c r="D3625" t="s">
        <v>1016</v>
      </c>
      <c r="E3625" t="s">
        <v>302</v>
      </c>
      <c r="F3625" t="s">
        <v>948</v>
      </c>
      <c r="G3625">
        <v>1000000</v>
      </c>
      <c r="H3625">
        <v>143000</v>
      </c>
      <c r="I3625" t="s">
        <v>982</v>
      </c>
    </row>
    <row r="3626" spans="1:9" x14ac:dyDescent="0.25">
      <c r="A3626">
        <v>4400</v>
      </c>
      <c r="B3626">
        <v>10</v>
      </c>
      <c r="C3626" t="s">
        <v>946</v>
      </c>
      <c r="D3626" t="s">
        <v>1016</v>
      </c>
      <c r="E3626" t="s">
        <v>302</v>
      </c>
      <c r="F3626" t="s">
        <v>948</v>
      </c>
      <c r="G3626">
        <v>1000000</v>
      </c>
      <c r="H3626">
        <v>143000</v>
      </c>
      <c r="I3626" t="s">
        <v>982</v>
      </c>
    </row>
    <row r="3627" spans="1:9" x14ac:dyDescent="0.25">
      <c r="A3627">
        <v>4310</v>
      </c>
      <c r="B3627">
        <v>10</v>
      </c>
      <c r="C3627" t="s">
        <v>946</v>
      </c>
      <c r="D3627" t="s">
        <v>1016</v>
      </c>
      <c r="E3627" t="s">
        <v>306</v>
      </c>
      <c r="F3627" t="s">
        <v>948</v>
      </c>
      <c r="G3627">
        <v>1000000</v>
      </c>
      <c r="H3627">
        <v>143000</v>
      </c>
      <c r="I3627" t="s">
        <v>983</v>
      </c>
    </row>
    <row r="3628" spans="1:9" x14ac:dyDescent="0.25">
      <c r="A3628">
        <v>4310</v>
      </c>
      <c r="B3628">
        <v>10</v>
      </c>
      <c r="C3628" t="s">
        <v>946</v>
      </c>
      <c r="D3628" t="s">
        <v>1016</v>
      </c>
      <c r="E3628" t="s">
        <v>108</v>
      </c>
      <c r="F3628" t="s">
        <v>948</v>
      </c>
      <c r="G3628">
        <v>1002355</v>
      </c>
      <c r="H3628">
        <v>540180</v>
      </c>
      <c r="I3628" t="s">
        <v>949</v>
      </c>
    </row>
    <row r="3629" spans="1:9" x14ac:dyDescent="0.25">
      <c r="A3629">
        <v>4310</v>
      </c>
      <c r="B3629">
        <v>10</v>
      </c>
      <c r="C3629" t="s">
        <v>946</v>
      </c>
      <c r="D3629" t="s">
        <v>1016</v>
      </c>
      <c r="E3629" t="s">
        <v>310</v>
      </c>
      <c r="F3629" t="s">
        <v>948</v>
      </c>
      <c r="G3629">
        <v>1000000</v>
      </c>
      <c r="H3629">
        <v>145000</v>
      </c>
      <c r="I3629" t="s">
        <v>949</v>
      </c>
    </row>
    <row r="3630" spans="1:9" x14ac:dyDescent="0.25">
      <c r="A3630">
        <v>4400</v>
      </c>
      <c r="B3630">
        <v>10</v>
      </c>
      <c r="C3630" t="s">
        <v>946</v>
      </c>
      <c r="D3630" t="s">
        <v>1016</v>
      </c>
      <c r="E3630" t="s">
        <v>310</v>
      </c>
      <c r="F3630" t="s">
        <v>948</v>
      </c>
      <c r="G3630">
        <v>1000000</v>
      </c>
      <c r="H3630">
        <v>145000</v>
      </c>
      <c r="I3630" t="s">
        <v>949</v>
      </c>
    </row>
    <row r="3631" spans="1:9" x14ac:dyDescent="0.25">
      <c r="A3631">
        <v>4310</v>
      </c>
      <c r="B3631">
        <v>10</v>
      </c>
      <c r="C3631" t="s">
        <v>946</v>
      </c>
      <c r="D3631" t="s">
        <v>1016</v>
      </c>
      <c r="E3631" t="s">
        <v>314</v>
      </c>
      <c r="F3631" t="s">
        <v>948</v>
      </c>
      <c r="G3631">
        <v>1000000</v>
      </c>
      <c r="H3631">
        <v>145000</v>
      </c>
      <c r="I3631" t="s">
        <v>949</v>
      </c>
    </row>
    <row r="3632" spans="1:9" x14ac:dyDescent="0.25">
      <c r="A3632">
        <v>4400</v>
      </c>
      <c r="B3632">
        <v>10</v>
      </c>
      <c r="C3632" t="s">
        <v>946</v>
      </c>
      <c r="D3632" t="s">
        <v>1016</v>
      </c>
      <c r="E3632" t="s">
        <v>314</v>
      </c>
      <c r="F3632" t="s">
        <v>948</v>
      </c>
      <c r="G3632">
        <v>1000000</v>
      </c>
      <c r="H3632">
        <v>145000</v>
      </c>
      <c r="I3632" t="s">
        <v>949</v>
      </c>
    </row>
    <row r="3633" spans="1:9" x14ac:dyDescent="0.25">
      <c r="A3633">
        <v>4310</v>
      </c>
      <c r="B3633">
        <v>10</v>
      </c>
      <c r="C3633" t="s">
        <v>946</v>
      </c>
      <c r="D3633" t="s">
        <v>1016</v>
      </c>
      <c r="E3633" t="s">
        <v>121</v>
      </c>
      <c r="F3633" t="s">
        <v>948</v>
      </c>
      <c r="G3633">
        <v>1002355</v>
      </c>
      <c r="H3633">
        <v>540180</v>
      </c>
      <c r="I3633" t="s">
        <v>949</v>
      </c>
    </row>
    <row r="3634" spans="1:9" x14ac:dyDescent="0.25">
      <c r="A3634">
        <v>4315</v>
      </c>
      <c r="B3634">
        <v>10</v>
      </c>
      <c r="C3634" t="s">
        <v>946</v>
      </c>
      <c r="D3634" t="s">
        <v>1016</v>
      </c>
      <c r="E3634" t="s">
        <v>121</v>
      </c>
      <c r="F3634" t="s">
        <v>948</v>
      </c>
      <c r="G3634">
        <v>1002355</v>
      </c>
      <c r="H3634">
        <v>540180</v>
      </c>
      <c r="I3634" t="s">
        <v>949</v>
      </c>
    </row>
    <row r="3635" spans="1:9" x14ac:dyDescent="0.25">
      <c r="A3635">
        <v>4310</v>
      </c>
      <c r="B3635">
        <v>10</v>
      </c>
      <c r="C3635" t="s">
        <v>946</v>
      </c>
      <c r="D3635" t="s">
        <v>1016</v>
      </c>
      <c r="E3635" t="s">
        <v>984</v>
      </c>
      <c r="F3635" t="s">
        <v>948</v>
      </c>
      <c r="G3635">
        <v>1000000</v>
      </c>
      <c r="H3635">
        <v>141000</v>
      </c>
      <c r="I3635" t="s">
        <v>985</v>
      </c>
    </row>
    <row r="3636" spans="1:9" x14ac:dyDescent="0.25">
      <c r="A3636">
        <v>4400</v>
      </c>
      <c r="B3636">
        <v>10</v>
      </c>
      <c r="C3636" t="s">
        <v>946</v>
      </c>
      <c r="D3636" t="s">
        <v>1016</v>
      </c>
      <c r="E3636" t="s">
        <v>984</v>
      </c>
      <c r="F3636" t="s">
        <v>948</v>
      </c>
      <c r="G3636">
        <v>1000000</v>
      </c>
      <c r="H3636">
        <v>141000</v>
      </c>
      <c r="I3636" t="s">
        <v>985</v>
      </c>
    </row>
    <row r="3637" spans="1:9" x14ac:dyDescent="0.25">
      <c r="A3637">
        <v>4315</v>
      </c>
      <c r="B3637">
        <v>10</v>
      </c>
      <c r="C3637" t="s">
        <v>946</v>
      </c>
      <c r="D3637" t="s">
        <v>67</v>
      </c>
      <c r="E3637" t="s">
        <v>49</v>
      </c>
      <c r="F3637" t="s">
        <v>948</v>
      </c>
      <c r="G3637">
        <v>1077777</v>
      </c>
      <c r="H3637">
        <v>500220</v>
      </c>
      <c r="I3637" t="s">
        <v>949</v>
      </c>
    </row>
    <row r="3638" spans="1:9" x14ac:dyDescent="0.25">
      <c r="A3638">
        <v>4318</v>
      </c>
      <c r="B3638">
        <v>10</v>
      </c>
      <c r="C3638" t="s">
        <v>946</v>
      </c>
      <c r="D3638" t="s">
        <v>67</v>
      </c>
      <c r="E3638" t="s">
        <v>49</v>
      </c>
      <c r="F3638" t="s">
        <v>948</v>
      </c>
      <c r="G3638">
        <v>1000000</v>
      </c>
      <c r="H3638">
        <v>145100</v>
      </c>
      <c r="I3638" t="s">
        <v>949</v>
      </c>
    </row>
    <row r="3639" ht="22" customHeight="1" spans="1:10" x14ac:dyDescent="0.25">
      <c r="A3639" s="45">
        <v>4320</v>
      </c>
      <c r="B3639" s="45">
        <v>10</v>
      </c>
      <c r="C3639" s="45" t="s">
        <v>946</v>
      </c>
      <c r="D3639" s="45" t="s">
        <v>67</v>
      </c>
      <c r="E3639" s="45" t="s">
        <v>49</v>
      </c>
      <c r="F3639" s="45" t="s">
        <v>948</v>
      </c>
      <c r="G3639" s="45">
        <v>1000000</v>
      </c>
      <c r="H3639" s="45">
        <v>145200</v>
      </c>
      <c r="I3639" s="45" t="s">
        <v>949</v>
      </c>
      <c r="J3639" s="46" t="s">
        <v>1019</v>
      </c>
    </row>
    <row r="3640" spans="1:9" x14ac:dyDescent="0.25">
      <c r="A3640">
        <v>4330</v>
      </c>
      <c r="B3640">
        <v>10</v>
      </c>
      <c r="C3640" t="s">
        <v>946</v>
      </c>
      <c r="D3640" t="s">
        <v>67</v>
      </c>
      <c r="E3640" t="s">
        <v>49</v>
      </c>
      <c r="F3640" t="s">
        <v>948</v>
      </c>
      <c r="G3640">
        <v>1077777</v>
      </c>
      <c r="H3640">
        <v>500465</v>
      </c>
      <c r="I3640" t="s">
        <v>949</v>
      </c>
    </row>
    <row r="3641" spans="1:9" x14ac:dyDescent="0.25">
      <c r="A3641">
        <v>4332</v>
      </c>
      <c r="B3641">
        <v>10</v>
      </c>
      <c r="C3641" t="s">
        <v>946</v>
      </c>
      <c r="D3641" t="s">
        <v>67</v>
      </c>
      <c r="E3641" t="s">
        <v>49</v>
      </c>
      <c r="F3641" t="s">
        <v>948</v>
      </c>
      <c r="G3641">
        <v>1077777</v>
      </c>
      <c r="H3641">
        <v>500465</v>
      </c>
      <c r="I3641" t="s">
        <v>949</v>
      </c>
    </row>
    <row r="3642" spans="1:9" x14ac:dyDescent="0.25">
      <c r="A3642">
        <v>4335</v>
      </c>
      <c r="B3642">
        <v>10</v>
      </c>
      <c r="C3642" t="s">
        <v>946</v>
      </c>
      <c r="D3642" t="s">
        <v>67</v>
      </c>
      <c r="E3642" t="s">
        <v>49</v>
      </c>
      <c r="F3642" t="s">
        <v>948</v>
      </c>
      <c r="G3642">
        <v>1077777</v>
      </c>
      <c r="H3642">
        <v>500465</v>
      </c>
      <c r="I3642" t="s">
        <v>949</v>
      </c>
    </row>
    <row r="3643" spans="1:9" x14ac:dyDescent="0.25">
      <c r="A3643">
        <v>4337</v>
      </c>
      <c r="B3643">
        <v>10</v>
      </c>
      <c r="C3643" t="s">
        <v>946</v>
      </c>
      <c r="D3643" t="s">
        <v>67</v>
      </c>
      <c r="E3643" t="s">
        <v>49</v>
      </c>
      <c r="F3643" t="s">
        <v>948</v>
      </c>
      <c r="G3643">
        <v>1077777</v>
      </c>
      <c r="H3643">
        <v>500465</v>
      </c>
      <c r="I3643" t="s">
        <v>949</v>
      </c>
    </row>
    <row r="3644" spans="1:9" x14ac:dyDescent="0.25">
      <c r="A3644">
        <v>4340</v>
      </c>
      <c r="B3644">
        <v>10</v>
      </c>
      <c r="C3644" t="s">
        <v>946</v>
      </c>
      <c r="D3644" t="s">
        <v>67</v>
      </c>
      <c r="E3644" t="s">
        <v>49</v>
      </c>
      <c r="F3644" t="s">
        <v>948</v>
      </c>
      <c r="G3644">
        <v>1077777</v>
      </c>
      <c r="H3644">
        <v>500210</v>
      </c>
      <c r="I3644" t="s">
        <v>949</v>
      </c>
    </row>
    <row r="3645" spans="1:9" x14ac:dyDescent="0.25">
      <c r="A3645">
        <v>4350</v>
      </c>
      <c r="B3645">
        <v>10</v>
      </c>
      <c r="C3645" t="s">
        <v>946</v>
      </c>
      <c r="D3645" t="s">
        <v>67</v>
      </c>
      <c r="E3645" t="s">
        <v>49</v>
      </c>
      <c r="F3645" t="s">
        <v>948</v>
      </c>
      <c r="G3645">
        <v>1000000</v>
      </c>
      <c r="H3645">
        <v>142000</v>
      </c>
      <c r="I3645" t="s">
        <v>949</v>
      </c>
    </row>
    <row r="3646" spans="1:9" x14ac:dyDescent="0.25">
      <c r="A3646">
        <v>4355</v>
      </c>
      <c r="B3646">
        <v>10</v>
      </c>
      <c r="C3646" t="s">
        <v>946</v>
      </c>
      <c r="D3646" t="s">
        <v>67</v>
      </c>
      <c r="E3646" t="s">
        <v>49</v>
      </c>
      <c r="F3646" t="s">
        <v>948</v>
      </c>
      <c r="G3646">
        <v>1000000</v>
      </c>
      <c r="H3646">
        <v>200105</v>
      </c>
      <c r="I3646" t="s">
        <v>949</v>
      </c>
    </row>
    <row r="3647" spans="1:9" x14ac:dyDescent="0.25">
      <c r="A3647">
        <v>4385</v>
      </c>
      <c r="B3647">
        <v>10</v>
      </c>
      <c r="C3647" t="s">
        <v>946</v>
      </c>
      <c r="D3647" t="s">
        <v>67</v>
      </c>
      <c r="E3647" t="s">
        <v>49</v>
      </c>
      <c r="F3647" t="s">
        <v>948</v>
      </c>
      <c r="G3647">
        <v>1077777</v>
      </c>
      <c r="H3647">
        <v>500510</v>
      </c>
      <c r="I3647" t="s">
        <v>949</v>
      </c>
    </row>
    <row r="3648" spans="1:9" x14ac:dyDescent="0.25">
      <c r="A3648">
        <v>4390</v>
      </c>
      <c r="B3648">
        <v>10</v>
      </c>
      <c r="C3648" t="s">
        <v>946</v>
      </c>
      <c r="D3648" t="s">
        <v>67</v>
      </c>
      <c r="E3648" t="s">
        <v>49</v>
      </c>
      <c r="F3648" t="s">
        <v>948</v>
      </c>
      <c r="G3648">
        <v>1077777</v>
      </c>
      <c r="H3648">
        <v>500510</v>
      </c>
      <c r="I3648" t="s">
        <v>949</v>
      </c>
    </row>
    <row r="3649" spans="1:9" x14ac:dyDescent="0.25">
      <c r="A3649">
        <v>4405</v>
      </c>
      <c r="B3649">
        <v>10</v>
      </c>
      <c r="C3649" t="s">
        <v>946</v>
      </c>
      <c r="D3649" t="s">
        <v>67</v>
      </c>
      <c r="E3649" t="s">
        <v>49</v>
      </c>
      <c r="F3649" t="s">
        <v>948</v>
      </c>
      <c r="G3649">
        <v>1077777</v>
      </c>
      <c r="H3649">
        <v>500465</v>
      </c>
      <c r="I3649" t="s">
        <v>949</v>
      </c>
    </row>
    <row r="3650" spans="1:9" x14ac:dyDescent="0.25">
      <c r="A3650">
        <v>4310</v>
      </c>
      <c r="B3650">
        <v>10</v>
      </c>
      <c r="C3650" t="s">
        <v>946</v>
      </c>
      <c r="D3650" t="s">
        <v>67</v>
      </c>
      <c r="E3650" t="s">
        <v>243</v>
      </c>
      <c r="F3650" t="s">
        <v>948</v>
      </c>
      <c r="G3650">
        <v>1000000</v>
      </c>
      <c r="H3650">
        <v>145000</v>
      </c>
      <c r="I3650" t="s">
        <v>949</v>
      </c>
    </row>
    <row r="3651" spans="1:9" x14ac:dyDescent="0.25">
      <c r="A3651">
        <v>4400</v>
      </c>
      <c r="B3651">
        <v>10</v>
      </c>
      <c r="C3651" t="s">
        <v>946</v>
      </c>
      <c r="D3651" t="s">
        <v>67</v>
      </c>
      <c r="E3651" t="s">
        <v>243</v>
      </c>
      <c r="F3651" t="s">
        <v>948</v>
      </c>
      <c r="G3651">
        <v>1077777</v>
      </c>
      <c r="H3651">
        <v>500465</v>
      </c>
      <c r="I3651" t="s">
        <v>949</v>
      </c>
    </row>
    <row r="3652" spans="1:9" x14ac:dyDescent="0.25">
      <c r="A3652">
        <v>4310</v>
      </c>
      <c r="B3652">
        <v>10</v>
      </c>
      <c r="C3652" t="s">
        <v>946</v>
      </c>
      <c r="D3652" t="s">
        <v>67</v>
      </c>
      <c r="E3652" t="s">
        <v>247</v>
      </c>
      <c r="F3652" t="s">
        <v>948</v>
      </c>
      <c r="G3652">
        <v>1000000</v>
      </c>
      <c r="H3652">
        <v>145000</v>
      </c>
      <c r="I3652" t="s">
        <v>949</v>
      </c>
    </row>
    <row r="3653" spans="1:9" x14ac:dyDescent="0.25">
      <c r="A3653">
        <v>4400</v>
      </c>
      <c r="B3653">
        <v>10</v>
      </c>
      <c r="C3653" t="s">
        <v>946</v>
      </c>
      <c r="D3653" t="s">
        <v>67</v>
      </c>
      <c r="E3653" t="s">
        <v>247</v>
      </c>
      <c r="F3653" t="s">
        <v>948</v>
      </c>
      <c r="G3653">
        <v>1077777</v>
      </c>
      <c r="H3653">
        <v>500465</v>
      </c>
      <c r="I3653" t="s">
        <v>949</v>
      </c>
    </row>
    <row r="3654" spans="1:9" x14ac:dyDescent="0.25">
      <c r="A3654">
        <v>4310</v>
      </c>
      <c r="B3654">
        <v>10</v>
      </c>
      <c r="C3654" t="s">
        <v>946</v>
      </c>
      <c r="D3654" t="s">
        <v>67</v>
      </c>
      <c r="E3654" t="s">
        <v>251</v>
      </c>
      <c r="F3654" t="s">
        <v>948</v>
      </c>
      <c r="G3654">
        <v>1000000</v>
      </c>
      <c r="H3654">
        <v>142000</v>
      </c>
      <c r="I3654" t="s">
        <v>949</v>
      </c>
    </row>
    <row r="3655" spans="1:9" x14ac:dyDescent="0.25">
      <c r="A3655">
        <v>4400</v>
      </c>
      <c r="B3655">
        <v>10</v>
      </c>
      <c r="C3655" t="s">
        <v>946</v>
      </c>
      <c r="D3655" t="s">
        <v>67</v>
      </c>
      <c r="E3655" t="s">
        <v>251</v>
      </c>
      <c r="F3655" t="s">
        <v>948</v>
      </c>
      <c r="G3655">
        <v>1077777</v>
      </c>
      <c r="H3655">
        <v>500465</v>
      </c>
      <c r="I3655" t="s">
        <v>949</v>
      </c>
    </row>
    <row r="3656" spans="1:9" x14ac:dyDescent="0.25">
      <c r="A3656">
        <v>4310</v>
      </c>
      <c r="B3656">
        <v>10</v>
      </c>
      <c r="C3656" t="s">
        <v>946</v>
      </c>
      <c r="D3656" t="s">
        <v>67</v>
      </c>
      <c r="E3656" t="s">
        <v>969</v>
      </c>
      <c r="F3656" t="s">
        <v>948</v>
      </c>
      <c r="G3656">
        <v>1000000</v>
      </c>
      <c r="H3656">
        <v>141000</v>
      </c>
      <c r="I3656" t="s">
        <v>970</v>
      </c>
    </row>
    <row r="3657" spans="1:9" x14ac:dyDescent="0.25">
      <c r="A3657">
        <v>4400</v>
      </c>
      <c r="B3657">
        <v>10</v>
      </c>
      <c r="C3657" t="s">
        <v>946</v>
      </c>
      <c r="D3657" t="s">
        <v>67</v>
      </c>
      <c r="E3657" t="s">
        <v>969</v>
      </c>
      <c r="F3657" t="s">
        <v>948</v>
      </c>
      <c r="G3657">
        <v>1077777</v>
      </c>
      <c r="H3657">
        <v>500465</v>
      </c>
      <c r="I3657" t="s">
        <v>949</v>
      </c>
    </row>
    <row r="3658" spans="1:9" x14ac:dyDescent="0.25">
      <c r="A3658">
        <v>4310</v>
      </c>
      <c r="B3658">
        <v>10</v>
      </c>
      <c r="C3658" t="s">
        <v>946</v>
      </c>
      <c r="D3658" t="s">
        <v>67</v>
      </c>
      <c r="E3658" t="s">
        <v>255</v>
      </c>
      <c r="F3658" t="s">
        <v>948</v>
      </c>
      <c r="G3658">
        <v>1000000</v>
      </c>
      <c r="H3658">
        <v>145000</v>
      </c>
      <c r="I3658" t="s">
        <v>949</v>
      </c>
    </row>
    <row r="3659" spans="1:9" x14ac:dyDescent="0.25">
      <c r="A3659">
        <v>4400</v>
      </c>
      <c r="B3659">
        <v>10</v>
      </c>
      <c r="C3659" t="s">
        <v>946</v>
      </c>
      <c r="D3659" t="s">
        <v>67</v>
      </c>
      <c r="E3659" t="s">
        <v>255</v>
      </c>
      <c r="F3659" t="s">
        <v>948</v>
      </c>
      <c r="G3659">
        <v>1077777</v>
      </c>
      <c r="H3659">
        <v>500465</v>
      </c>
      <c r="I3659" t="s">
        <v>949</v>
      </c>
    </row>
    <row r="3660" spans="1:9" x14ac:dyDescent="0.25">
      <c r="A3660">
        <v>4310</v>
      </c>
      <c r="B3660">
        <v>10</v>
      </c>
      <c r="C3660" t="s">
        <v>946</v>
      </c>
      <c r="D3660" t="s">
        <v>67</v>
      </c>
      <c r="E3660" t="s">
        <v>971</v>
      </c>
      <c r="F3660" t="s">
        <v>948</v>
      </c>
      <c r="G3660">
        <v>1000000</v>
      </c>
      <c r="H3660">
        <v>141000</v>
      </c>
      <c r="I3660" t="s">
        <v>972</v>
      </c>
    </row>
    <row r="3661" spans="1:9" x14ac:dyDescent="0.25">
      <c r="A3661">
        <v>4400</v>
      </c>
      <c r="B3661">
        <v>10</v>
      </c>
      <c r="C3661" t="s">
        <v>946</v>
      </c>
      <c r="D3661" t="s">
        <v>67</v>
      </c>
      <c r="E3661" t="s">
        <v>971</v>
      </c>
      <c r="F3661" t="s">
        <v>948</v>
      </c>
      <c r="G3661">
        <v>1077777</v>
      </c>
      <c r="H3661">
        <v>500465</v>
      </c>
      <c r="I3661" t="s">
        <v>949</v>
      </c>
    </row>
    <row r="3662" spans="1:9" x14ac:dyDescent="0.25">
      <c r="A3662">
        <v>4310</v>
      </c>
      <c r="B3662">
        <v>10</v>
      </c>
      <c r="C3662" t="s">
        <v>946</v>
      </c>
      <c r="D3662" t="s">
        <v>67</v>
      </c>
      <c r="E3662" t="s">
        <v>263</v>
      </c>
      <c r="F3662" t="s">
        <v>948</v>
      </c>
      <c r="G3662">
        <v>1000000</v>
      </c>
      <c r="H3662">
        <v>145000</v>
      </c>
      <c r="I3662" t="s">
        <v>949</v>
      </c>
    </row>
    <row r="3663" spans="1:9" x14ac:dyDescent="0.25">
      <c r="A3663">
        <v>4400</v>
      </c>
      <c r="B3663">
        <v>10</v>
      </c>
      <c r="C3663" t="s">
        <v>946</v>
      </c>
      <c r="D3663" t="s">
        <v>67</v>
      </c>
      <c r="E3663" t="s">
        <v>263</v>
      </c>
      <c r="F3663" t="s">
        <v>948</v>
      </c>
      <c r="G3663">
        <v>1077777</v>
      </c>
      <c r="H3663">
        <v>500465</v>
      </c>
      <c r="I3663" t="s">
        <v>949</v>
      </c>
    </row>
    <row r="3664" spans="1:9" x14ac:dyDescent="0.25">
      <c r="A3664">
        <v>4310</v>
      </c>
      <c r="B3664">
        <v>10</v>
      </c>
      <c r="C3664" t="s">
        <v>946</v>
      </c>
      <c r="D3664" t="s">
        <v>67</v>
      </c>
      <c r="E3664" t="s">
        <v>100</v>
      </c>
      <c r="F3664" t="s">
        <v>948</v>
      </c>
      <c r="G3664">
        <v>1077777</v>
      </c>
      <c r="H3664">
        <v>500220</v>
      </c>
      <c r="I3664" t="s">
        <v>949</v>
      </c>
    </row>
    <row r="3665" spans="1:9" x14ac:dyDescent="0.25">
      <c r="A3665">
        <v>4320</v>
      </c>
      <c r="B3665">
        <v>10</v>
      </c>
      <c r="C3665" t="s">
        <v>946</v>
      </c>
      <c r="D3665" t="s">
        <v>67</v>
      </c>
      <c r="E3665" t="s">
        <v>100</v>
      </c>
      <c r="F3665" t="s">
        <v>948</v>
      </c>
      <c r="G3665">
        <v>1077777</v>
      </c>
      <c r="H3665">
        <v>500221</v>
      </c>
      <c r="I3665" t="s">
        <v>949</v>
      </c>
    </row>
    <row r="3666" spans="1:9" x14ac:dyDescent="0.25">
      <c r="A3666">
        <v>4310</v>
      </c>
      <c r="B3666">
        <v>10</v>
      </c>
      <c r="C3666" t="s">
        <v>946</v>
      </c>
      <c r="D3666" t="s">
        <v>67</v>
      </c>
      <c r="E3666" t="s">
        <v>270</v>
      </c>
      <c r="F3666" t="s">
        <v>948</v>
      </c>
      <c r="G3666">
        <v>1000000</v>
      </c>
      <c r="H3666">
        <v>145000</v>
      </c>
      <c r="I3666" t="s">
        <v>949</v>
      </c>
    </row>
    <row r="3667" spans="1:9" x14ac:dyDescent="0.25">
      <c r="A3667">
        <v>4400</v>
      </c>
      <c r="B3667">
        <v>10</v>
      </c>
      <c r="C3667" t="s">
        <v>946</v>
      </c>
      <c r="D3667" t="s">
        <v>67</v>
      </c>
      <c r="E3667" t="s">
        <v>270</v>
      </c>
      <c r="F3667" t="s">
        <v>948</v>
      </c>
      <c r="G3667">
        <v>1077777</v>
      </c>
      <c r="H3667">
        <v>500465</v>
      </c>
      <c r="I3667" t="s">
        <v>949</v>
      </c>
    </row>
    <row r="3668" spans="1:9" x14ac:dyDescent="0.25">
      <c r="A3668">
        <v>4310</v>
      </c>
      <c r="B3668">
        <v>10</v>
      </c>
      <c r="C3668" t="s">
        <v>946</v>
      </c>
      <c r="D3668" t="s">
        <v>67</v>
      </c>
      <c r="E3668" t="s">
        <v>274</v>
      </c>
      <c r="F3668" t="s">
        <v>948</v>
      </c>
      <c r="G3668">
        <v>1000000</v>
      </c>
      <c r="H3668">
        <v>143000</v>
      </c>
      <c r="I3668" t="s">
        <v>1020</v>
      </c>
    </row>
    <row r="3669" spans="1:9" x14ac:dyDescent="0.25">
      <c r="A3669">
        <v>4400</v>
      </c>
      <c r="B3669">
        <v>10</v>
      </c>
      <c r="C3669" t="s">
        <v>946</v>
      </c>
      <c r="D3669" t="s">
        <v>67</v>
      </c>
      <c r="E3669" t="s">
        <v>274</v>
      </c>
      <c r="F3669" t="s">
        <v>948</v>
      </c>
      <c r="G3669">
        <v>1077777</v>
      </c>
      <c r="H3669">
        <v>500465</v>
      </c>
      <c r="I3669" t="s">
        <v>949</v>
      </c>
    </row>
    <row r="3670" spans="1:9" x14ac:dyDescent="0.25">
      <c r="A3670">
        <v>4310</v>
      </c>
      <c r="B3670">
        <v>10</v>
      </c>
      <c r="C3670" t="s">
        <v>946</v>
      </c>
      <c r="D3670" t="s">
        <v>67</v>
      </c>
      <c r="E3670" t="s">
        <v>974</v>
      </c>
      <c r="F3670" t="s">
        <v>948</v>
      </c>
      <c r="G3670">
        <v>1000000</v>
      </c>
      <c r="H3670">
        <v>141000</v>
      </c>
      <c r="I3670" t="s">
        <v>1021</v>
      </c>
    </row>
    <row r="3671" spans="1:9" x14ac:dyDescent="0.25">
      <c r="A3671">
        <v>4400</v>
      </c>
      <c r="B3671">
        <v>10</v>
      </c>
      <c r="C3671" t="s">
        <v>946</v>
      </c>
      <c r="D3671" t="s">
        <v>67</v>
      </c>
      <c r="E3671" t="s">
        <v>974</v>
      </c>
      <c r="F3671" t="s">
        <v>948</v>
      </c>
      <c r="G3671">
        <v>1077777</v>
      </c>
      <c r="H3671">
        <v>500465</v>
      </c>
      <c r="I3671" t="s">
        <v>949</v>
      </c>
    </row>
    <row r="3672" spans="1:9" x14ac:dyDescent="0.25">
      <c r="A3672">
        <v>4310</v>
      </c>
      <c r="B3672">
        <v>10</v>
      </c>
      <c r="C3672" t="s">
        <v>946</v>
      </c>
      <c r="D3672" t="s">
        <v>67</v>
      </c>
      <c r="E3672" t="s">
        <v>104</v>
      </c>
      <c r="F3672" t="s">
        <v>948</v>
      </c>
      <c r="G3672">
        <v>1077777</v>
      </c>
      <c r="H3672">
        <v>500220</v>
      </c>
      <c r="I3672" t="s">
        <v>949</v>
      </c>
    </row>
    <row r="3673" spans="1:9" x14ac:dyDescent="0.25">
      <c r="A3673">
        <v>4320</v>
      </c>
      <c r="B3673">
        <v>10</v>
      </c>
      <c r="C3673" t="s">
        <v>946</v>
      </c>
      <c r="D3673" t="s">
        <v>67</v>
      </c>
      <c r="E3673" t="s">
        <v>104</v>
      </c>
      <c r="F3673" t="s">
        <v>948</v>
      </c>
      <c r="G3673">
        <v>1077777</v>
      </c>
      <c r="H3673">
        <v>500221</v>
      </c>
      <c r="I3673" t="s">
        <v>949</v>
      </c>
    </row>
    <row r="3674" spans="1:9" x14ac:dyDescent="0.25">
      <c r="A3674">
        <v>4310</v>
      </c>
      <c r="B3674">
        <v>10</v>
      </c>
      <c r="C3674" t="s">
        <v>946</v>
      </c>
      <c r="D3674" t="s">
        <v>67</v>
      </c>
      <c r="E3674" t="s">
        <v>278</v>
      </c>
      <c r="F3674" t="s">
        <v>948</v>
      </c>
      <c r="G3674">
        <v>1000000</v>
      </c>
      <c r="H3674">
        <v>145000</v>
      </c>
      <c r="I3674" t="s">
        <v>949</v>
      </c>
    </row>
    <row r="3675" spans="1:9" x14ac:dyDescent="0.25">
      <c r="A3675">
        <v>4400</v>
      </c>
      <c r="B3675">
        <v>10</v>
      </c>
      <c r="C3675" t="s">
        <v>946</v>
      </c>
      <c r="D3675" t="s">
        <v>67</v>
      </c>
      <c r="E3675" t="s">
        <v>278</v>
      </c>
      <c r="F3675" t="s">
        <v>948</v>
      </c>
      <c r="G3675">
        <v>1077777</v>
      </c>
      <c r="H3675">
        <v>500465</v>
      </c>
      <c r="I3675" t="s">
        <v>949</v>
      </c>
    </row>
    <row r="3676" spans="1:9" x14ac:dyDescent="0.25">
      <c r="A3676">
        <v>4310</v>
      </c>
      <c r="B3676">
        <v>10</v>
      </c>
      <c r="C3676" t="s">
        <v>946</v>
      </c>
      <c r="D3676" t="s">
        <v>67</v>
      </c>
      <c r="E3676" t="s">
        <v>282</v>
      </c>
      <c r="F3676" t="s">
        <v>948</v>
      </c>
      <c r="G3676">
        <v>1000000</v>
      </c>
      <c r="H3676">
        <v>143100</v>
      </c>
      <c r="I3676" t="s">
        <v>949</v>
      </c>
    </row>
    <row r="3677" spans="1:9" x14ac:dyDescent="0.25">
      <c r="A3677">
        <v>4400</v>
      </c>
      <c r="B3677">
        <v>10</v>
      </c>
      <c r="C3677" t="s">
        <v>946</v>
      </c>
      <c r="D3677" t="s">
        <v>67</v>
      </c>
      <c r="E3677" t="s">
        <v>282</v>
      </c>
      <c r="F3677" t="s">
        <v>948</v>
      </c>
      <c r="G3677">
        <v>1077777</v>
      </c>
      <c r="H3677">
        <v>500465</v>
      </c>
      <c r="I3677" t="s">
        <v>949</v>
      </c>
    </row>
    <row r="3678" spans="1:9" x14ac:dyDescent="0.25">
      <c r="A3678">
        <v>4310</v>
      </c>
      <c r="B3678">
        <v>10</v>
      </c>
      <c r="C3678" t="s">
        <v>946</v>
      </c>
      <c r="D3678" t="s">
        <v>67</v>
      </c>
      <c r="E3678" t="s">
        <v>286</v>
      </c>
      <c r="F3678" t="s">
        <v>948</v>
      </c>
      <c r="G3678">
        <v>1000000</v>
      </c>
      <c r="H3678">
        <v>145000</v>
      </c>
      <c r="I3678" t="s">
        <v>949</v>
      </c>
    </row>
    <row r="3679" spans="1:9" x14ac:dyDescent="0.25">
      <c r="A3679">
        <v>4400</v>
      </c>
      <c r="B3679">
        <v>10</v>
      </c>
      <c r="C3679" t="s">
        <v>946</v>
      </c>
      <c r="D3679" t="s">
        <v>67</v>
      </c>
      <c r="E3679" t="s">
        <v>286</v>
      </c>
      <c r="F3679" t="s">
        <v>948</v>
      </c>
      <c r="G3679">
        <v>1077777</v>
      </c>
      <c r="H3679">
        <v>500465</v>
      </c>
      <c r="I3679" t="s">
        <v>949</v>
      </c>
    </row>
    <row r="3680" spans="1:9" x14ac:dyDescent="0.25">
      <c r="A3680">
        <v>4310</v>
      </c>
      <c r="B3680">
        <v>10</v>
      </c>
      <c r="C3680" t="s">
        <v>946</v>
      </c>
      <c r="D3680" t="s">
        <v>67</v>
      </c>
      <c r="E3680" t="s">
        <v>976</v>
      </c>
      <c r="F3680" t="s">
        <v>948</v>
      </c>
      <c r="G3680">
        <v>1000000</v>
      </c>
      <c r="H3680">
        <v>141000</v>
      </c>
      <c r="I3680" t="s">
        <v>977</v>
      </c>
    </row>
    <row r="3681" spans="1:9" x14ac:dyDescent="0.25">
      <c r="A3681">
        <v>4400</v>
      </c>
      <c r="B3681">
        <v>10</v>
      </c>
      <c r="C3681" t="s">
        <v>946</v>
      </c>
      <c r="D3681" t="s">
        <v>67</v>
      </c>
      <c r="E3681" t="s">
        <v>976</v>
      </c>
      <c r="F3681" t="s">
        <v>948</v>
      </c>
      <c r="G3681">
        <v>1077777</v>
      </c>
      <c r="H3681">
        <v>500465</v>
      </c>
      <c r="I3681" t="s">
        <v>949</v>
      </c>
    </row>
    <row r="3682" spans="1:9" x14ac:dyDescent="0.25">
      <c r="A3682">
        <v>4310</v>
      </c>
      <c r="B3682">
        <v>10</v>
      </c>
      <c r="C3682" t="s">
        <v>946</v>
      </c>
      <c r="D3682" t="s">
        <v>67</v>
      </c>
      <c r="E3682" t="s">
        <v>290</v>
      </c>
      <c r="F3682" t="s">
        <v>948</v>
      </c>
      <c r="G3682">
        <v>1000000</v>
      </c>
      <c r="H3682">
        <v>143000</v>
      </c>
      <c r="I3682" t="s">
        <v>978</v>
      </c>
    </row>
    <row r="3683" spans="1:9" x14ac:dyDescent="0.25">
      <c r="A3683">
        <v>4400</v>
      </c>
      <c r="B3683">
        <v>10</v>
      </c>
      <c r="C3683" t="s">
        <v>946</v>
      </c>
      <c r="D3683" t="s">
        <v>67</v>
      </c>
      <c r="E3683" t="s">
        <v>290</v>
      </c>
      <c r="F3683" t="s">
        <v>948</v>
      </c>
      <c r="G3683">
        <v>1077777</v>
      </c>
      <c r="H3683">
        <v>500465</v>
      </c>
      <c r="I3683" t="s">
        <v>949</v>
      </c>
    </row>
    <row r="3684" spans="1:9" x14ac:dyDescent="0.25">
      <c r="A3684">
        <v>4310</v>
      </c>
      <c r="B3684">
        <v>10</v>
      </c>
      <c r="C3684" t="s">
        <v>946</v>
      </c>
      <c r="D3684" t="s">
        <v>67</v>
      </c>
      <c r="E3684" t="s">
        <v>294</v>
      </c>
      <c r="F3684" t="s">
        <v>948</v>
      </c>
      <c r="G3684">
        <v>1000000</v>
      </c>
      <c r="H3684">
        <v>143000</v>
      </c>
      <c r="I3684" t="s">
        <v>979</v>
      </c>
    </row>
    <row r="3685" spans="1:9" x14ac:dyDescent="0.25">
      <c r="A3685">
        <v>4400</v>
      </c>
      <c r="B3685">
        <v>10</v>
      </c>
      <c r="C3685" t="s">
        <v>946</v>
      </c>
      <c r="D3685" t="s">
        <v>67</v>
      </c>
      <c r="E3685" t="s">
        <v>294</v>
      </c>
      <c r="F3685" t="s">
        <v>948</v>
      </c>
      <c r="G3685">
        <v>1077777</v>
      </c>
      <c r="H3685">
        <v>500465</v>
      </c>
      <c r="I3685" t="s">
        <v>949</v>
      </c>
    </row>
    <row r="3686" spans="1:9" x14ac:dyDescent="0.25">
      <c r="A3686">
        <v>4310</v>
      </c>
      <c r="B3686">
        <v>10</v>
      </c>
      <c r="C3686" t="s">
        <v>946</v>
      </c>
      <c r="D3686" t="s">
        <v>67</v>
      </c>
      <c r="E3686" t="s">
        <v>980</v>
      </c>
      <c r="F3686" t="s">
        <v>948</v>
      </c>
      <c r="G3686">
        <v>1000000</v>
      </c>
      <c r="H3686">
        <v>141000</v>
      </c>
      <c r="I3686" t="s">
        <v>981</v>
      </c>
    </row>
    <row r="3687" spans="1:9" x14ac:dyDescent="0.25">
      <c r="A3687">
        <v>4400</v>
      </c>
      <c r="B3687">
        <v>10</v>
      </c>
      <c r="C3687" t="s">
        <v>946</v>
      </c>
      <c r="D3687" t="s">
        <v>67</v>
      </c>
      <c r="E3687" t="s">
        <v>980</v>
      </c>
      <c r="F3687" t="s">
        <v>948</v>
      </c>
      <c r="G3687">
        <v>1077777</v>
      </c>
      <c r="H3687">
        <v>500465</v>
      </c>
      <c r="I3687" t="s">
        <v>949</v>
      </c>
    </row>
    <row r="3688" spans="1:9" x14ac:dyDescent="0.25">
      <c r="A3688">
        <v>4310</v>
      </c>
      <c r="B3688">
        <v>10</v>
      </c>
      <c r="C3688" t="s">
        <v>946</v>
      </c>
      <c r="D3688" t="s">
        <v>67</v>
      </c>
      <c r="E3688" t="s">
        <v>302</v>
      </c>
      <c r="F3688" t="s">
        <v>948</v>
      </c>
      <c r="G3688">
        <v>1000000</v>
      </c>
      <c r="H3688">
        <v>143000</v>
      </c>
      <c r="I3688" t="s">
        <v>982</v>
      </c>
    </row>
    <row r="3689" spans="1:9" x14ac:dyDescent="0.25">
      <c r="A3689">
        <v>4400</v>
      </c>
      <c r="B3689">
        <v>10</v>
      </c>
      <c r="C3689" t="s">
        <v>946</v>
      </c>
      <c r="D3689" t="s">
        <v>67</v>
      </c>
      <c r="E3689" t="s">
        <v>302</v>
      </c>
      <c r="F3689" t="s">
        <v>948</v>
      </c>
      <c r="G3689">
        <v>1077777</v>
      </c>
      <c r="H3689">
        <v>500465</v>
      </c>
      <c r="I3689" t="s">
        <v>949</v>
      </c>
    </row>
    <row r="3690" spans="1:9" x14ac:dyDescent="0.25">
      <c r="A3690">
        <v>4310</v>
      </c>
      <c r="B3690">
        <v>10</v>
      </c>
      <c r="C3690" t="s">
        <v>946</v>
      </c>
      <c r="D3690" t="s">
        <v>67</v>
      </c>
      <c r="E3690" t="s">
        <v>306</v>
      </c>
      <c r="F3690" t="s">
        <v>948</v>
      </c>
      <c r="G3690">
        <v>1000000</v>
      </c>
      <c r="H3690">
        <v>143000</v>
      </c>
      <c r="I3690" t="s">
        <v>983</v>
      </c>
    </row>
    <row r="3691" spans="1:9" x14ac:dyDescent="0.25">
      <c r="A3691">
        <v>4310</v>
      </c>
      <c r="B3691">
        <v>10</v>
      </c>
      <c r="C3691" t="s">
        <v>946</v>
      </c>
      <c r="D3691" t="s">
        <v>67</v>
      </c>
      <c r="E3691" t="s">
        <v>108</v>
      </c>
      <c r="F3691" t="s">
        <v>948</v>
      </c>
      <c r="G3691">
        <v>1077777</v>
      </c>
      <c r="H3691">
        <v>500220</v>
      </c>
      <c r="I3691" t="s">
        <v>949</v>
      </c>
    </row>
    <row r="3692" spans="1:9" x14ac:dyDescent="0.25">
      <c r="A3692">
        <v>4320</v>
      </c>
      <c r="B3692">
        <v>10</v>
      </c>
      <c r="C3692" t="s">
        <v>946</v>
      </c>
      <c r="D3692" t="s">
        <v>67</v>
      </c>
      <c r="E3692" t="s">
        <v>108</v>
      </c>
      <c r="F3692" t="s">
        <v>948</v>
      </c>
      <c r="G3692">
        <v>1077777</v>
      </c>
      <c r="H3692">
        <v>500221</v>
      </c>
      <c r="I3692" t="s">
        <v>949</v>
      </c>
    </row>
    <row r="3693" spans="1:9" x14ac:dyDescent="0.25">
      <c r="A3693">
        <v>4310</v>
      </c>
      <c r="B3693">
        <v>10</v>
      </c>
      <c r="C3693" t="s">
        <v>946</v>
      </c>
      <c r="D3693" t="s">
        <v>67</v>
      </c>
      <c r="E3693" t="s">
        <v>310</v>
      </c>
      <c r="F3693" t="s">
        <v>948</v>
      </c>
      <c r="G3693">
        <v>1000000</v>
      </c>
      <c r="H3693">
        <v>145000</v>
      </c>
      <c r="I3693" t="s">
        <v>949</v>
      </c>
    </row>
    <row r="3694" spans="1:9" x14ac:dyDescent="0.25">
      <c r="A3694">
        <v>4400</v>
      </c>
      <c r="B3694">
        <v>10</v>
      </c>
      <c r="C3694" t="s">
        <v>946</v>
      </c>
      <c r="D3694" t="s">
        <v>67</v>
      </c>
      <c r="E3694" t="s">
        <v>310</v>
      </c>
      <c r="F3694" t="s">
        <v>948</v>
      </c>
      <c r="G3694">
        <v>1077777</v>
      </c>
      <c r="H3694">
        <v>500465</v>
      </c>
      <c r="I3694" t="s">
        <v>949</v>
      </c>
    </row>
    <row r="3695" spans="1:9" x14ac:dyDescent="0.25">
      <c r="A3695">
        <v>4310</v>
      </c>
      <c r="B3695">
        <v>10</v>
      </c>
      <c r="C3695" t="s">
        <v>946</v>
      </c>
      <c r="D3695" t="s">
        <v>67</v>
      </c>
      <c r="E3695" t="s">
        <v>314</v>
      </c>
      <c r="F3695" t="s">
        <v>948</v>
      </c>
      <c r="G3695">
        <v>1000000</v>
      </c>
      <c r="H3695">
        <v>145000</v>
      </c>
      <c r="I3695" t="s">
        <v>949</v>
      </c>
    </row>
    <row r="3696" spans="1:9" x14ac:dyDescent="0.25">
      <c r="A3696">
        <v>4400</v>
      </c>
      <c r="B3696">
        <v>10</v>
      </c>
      <c r="C3696" t="s">
        <v>946</v>
      </c>
      <c r="D3696" t="s">
        <v>67</v>
      </c>
      <c r="E3696" t="s">
        <v>314</v>
      </c>
      <c r="F3696" t="s">
        <v>948</v>
      </c>
      <c r="G3696">
        <v>1077777</v>
      </c>
      <c r="H3696">
        <v>500465</v>
      </c>
      <c r="I3696" t="s">
        <v>949</v>
      </c>
    </row>
    <row r="3697" ht="22" customHeight="1" spans="1:10" x14ac:dyDescent="0.25">
      <c r="A3697" s="41">
        <v>4320</v>
      </c>
      <c r="B3697" s="41">
        <v>10</v>
      </c>
      <c r="C3697" s="41" t="s">
        <v>946</v>
      </c>
      <c r="D3697" s="41" t="s">
        <v>67</v>
      </c>
      <c r="E3697" s="41" t="s">
        <v>113</v>
      </c>
      <c r="F3697" s="41" t="s">
        <v>948</v>
      </c>
      <c r="G3697" s="41">
        <v>1077777</v>
      </c>
      <c r="H3697" s="41">
        <v>500221</v>
      </c>
      <c r="I3697" s="41" t="s">
        <v>949</v>
      </c>
      <c r="J3697" s="42" t="s">
        <v>1018</v>
      </c>
    </row>
    <row r="3698" ht="22" customHeight="1" spans="1:10" x14ac:dyDescent="0.25">
      <c r="A3698" s="41">
        <v>4320</v>
      </c>
      <c r="B3698" s="41">
        <v>10</v>
      </c>
      <c r="C3698" s="41" t="s">
        <v>946</v>
      </c>
      <c r="D3698" s="41" t="s">
        <v>67</v>
      </c>
      <c r="E3698" s="41" t="s">
        <v>117</v>
      </c>
      <c r="F3698" s="41" t="s">
        <v>948</v>
      </c>
      <c r="G3698" s="41">
        <v>1077777</v>
      </c>
      <c r="H3698" s="41">
        <v>500221</v>
      </c>
      <c r="I3698" s="41" t="s">
        <v>949</v>
      </c>
      <c r="J3698" s="42" t="s">
        <v>1018</v>
      </c>
    </row>
    <row r="3699" spans="1:9" x14ac:dyDescent="0.25">
      <c r="A3699">
        <v>4310</v>
      </c>
      <c r="B3699">
        <v>10</v>
      </c>
      <c r="C3699" t="s">
        <v>946</v>
      </c>
      <c r="D3699" t="s">
        <v>67</v>
      </c>
      <c r="E3699" t="s">
        <v>121</v>
      </c>
      <c r="F3699" t="s">
        <v>948</v>
      </c>
      <c r="G3699">
        <v>1077777</v>
      </c>
      <c r="H3699">
        <v>500220</v>
      </c>
      <c r="I3699" t="s">
        <v>949</v>
      </c>
    </row>
    <row r="3700" spans="1:9" x14ac:dyDescent="0.25">
      <c r="A3700">
        <v>4320</v>
      </c>
      <c r="B3700">
        <v>10</v>
      </c>
      <c r="C3700" t="s">
        <v>946</v>
      </c>
      <c r="D3700" t="s">
        <v>67</v>
      </c>
      <c r="E3700" t="s">
        <v>121</v>
      </c>
      <c r="F3700" t="s">
        <v>948</v>
      </c>
      <c r="G3700">
        <v>1077777</v>
      </c>
      <c r="H3700">
        <v>500221</v>
      </c>
      <c r="I3700" t="s">
        <v>949</v>
      </c>
    </row>
    <row r="3701" spans="1:9" x14ac:dyDescent="0.25">
      <c r="A3701">
        <v>4310</v>
      </c>
      <c r="B3701">
        <v>10</v>
      </c>
      <c r="C3701" t="s">
        <v>946</v>
      </c>
      <c r="D3701" t="s">
        <v>67</v>
      </c>
      <c r="E3701" t="s">
        <v>984</v>
      </c>
      <c r="F3701" t="s">
        <v>948</v>
      </c>
      <c r="G3701">
        <v>1000000</v>
      </c>
      <c r="H3701">
        <v>141000</v>
      </c>
      <c r="I3701" t="s">
        <v>985</v>
      </c>
    </row>
    <row r="3702" spans="1:9" x14ac:dyDescent="0.25">
      <c r="A3702">
        <v>4400</v>
      </c>
      <c r="B3702">
        <v>10</v>
      </c>
      <c r="C3702" t="s">
        <v>946</v>
      </c>
      <c r="D3702" t="s">
        <v>67</v>
      </c>
      <c r="E3702" t="s">
        <v>984</v>
      </c>
      <c r="F3702" t="s">
        <v>948</v>
      </c>
      <c r="G3702">
        <v>1077777</v>
      </c>
      <c r="H3702">
        <v>500465</v>
      </c>
      <c r="I3702" t="s">
        <v>949</v>
      </c>
    </row>
    <row r="3703" ht="22" customHeight="1" spans="1:10" x14ac:dyDescent="0.25">
      <c r="A3703" s="41">
        <v>4154</v>
      </c>
      <c r="B3703" s="41">
        <v>10</v>
      </c>
      <c r="C3703" s="41" t="s">
        <v>946</v>
      </c>
      <c r="D3703" s="41" t="s">
        <v>1022</v>
      </c>
      <c r="E3703" s="41" t="s">
        <v>49</v>
      </c>
      <c r="F3703" s="41" t="s">
        <v>948</v>
      </c>
      <c r="G3703" s="41">
        <v>1077777</v>
      </c>
      <c r="H3703" s="41">
        <v>500465</v>
      </c>
      <c r="I3703" s="41" t="s">
        <v>949</v>
      </c>
      <c r="J3703" s="42" t="s">
        <v>1023</v>
      </c>
    </row>
    <row r="3704" spans="1:9" x14ac:dyDescent="0.25">
      <c r="A3704">
        <v>4152</v>
      </c>
      <c r="B3704">
        <v>10</v>
      </c>
      <c r="C3704" t="s">
        <v>946</v>
      </c>
      <c r="D3704" t="s">
        <v>1022</v>
      </c>
      <c r="E3704" t="s">
        <v>243</v>
      </c>
      <c r="F3704" t="s">
        <v>948</v>
      </c>
      <c r="G3704">
        <v>1000000</v>
      </c>
      <c r="H3704">
        <v>145000</v>
      </c>
      <c r="I3704" t="s">
        <v>949</v>
      </c>
    </row>
    <row r="3705" spans="1:9" x14ac:dyDescent="0.25">
      <c r="A3705">
        <v>4152</v>
      </c>
      <c r="B3705">
        <v>10</v>
      </c>
      <c r="C3705" t="s">
        <v>946</v>
      </c>
      <c r="D3705" t="s">
        <v>1022</v>
      </c>
      <c r="E3705" t="s">
        <v>247</v>
      </c>
      <c r="F3705" t="s">
        <v>948</v>
      </c>
      <c r="G3705">
        <v>1000000</v>
      </c>
      <c r="H3705">
        <v>145000</v>
      </c>
      <c r="I3705" t="s">
        <v>949</v>
      </c>
    </row>
    <row r="3706" spans="1:9" x14ac:dyDescent="0.25">
      <c r="A3706">
        <v>4152</v>
      </c>
      <c r="B3706">
        <v>10</v>
      </c>
      <c r="C3706" t="s">
        <v>946</v>
      </c>
      <c r="D3706" t="s">
        <v>1022</v>
      </c>
      <c r="E3706" t="s">
        <v>251</v>
      </c>
      <c r="F3706" t="s">
        <v>948</v>
      </c>
      <c r="G3706">
        <v>1000000</v>
      </c>
      <c r="H3706">
        <v>142000</v>
      </c>
      <c r="I3706" t="s">
        <v>949</v>
      </c>
    </row>
    <row r="3707" spans="1:9" x14ac:dyDescent="0.25">
      <c r="A3707">
        <v>4152</v>
      </c>
      <c r="B3707">
        <v>10</v>
      </c>
      <c r="C3707" t="s">
        <v>946</v>
      </c>
      <c r="D3707" t="s">
        <v>1022</v>
      </c>
      <c r="E3707" t="s">
        <v>969</v>
      </c>
      <c r="F3707" t="s">
        <v>948</v>
      </c>
      <c r="G3707">
        <v>1000000</v>
      </c>
      <c r="H3707">
        <v>141000</v>
      </c>
      <c r="I3707" t="s">
        <v>970</v>
      </c>
    </row>
    <row r="3708" spans="1:9" x14ac:dyDescent="0.25">
      <c r="A3708">
        <v>4152</v>
      </c>
      <c r="B3708">
        <v>10</v>
      </c>
      <c r="C3708" t="s">
        <v>946</v>
      </c>
      <c r="D3708" t="s">
        <v>1022</v>
      </c>
      <c r="E3708" t="s">
        <v>255</v>
      </c>
      <c r="F3708" t="s">
        <v>948</v>
      </c>
      <c r="G3708">
        <v>1000000</v>
      </c>
      <c r="H3708">
        <v>145000</v>
      </c>
      <c r="I3708" t="s">
        <v>949</v>
      </c>
    </row>
    <row r="3709" spans="1:9" x14ac:dyDescent="0.25">
      <c r="A3709">
        <v>4152</v>
      </c>
      <c r="B3709">
        <v>10</v>
      </c>
      <c r="C3709" t="s">
        <v>946</v>
      </c>
      <c r="D3709" t="s">
        <v>1022</v>
      </c>
      <c r="E3709" t="s">
        <v>971</v>
      </c>
      <c r="F3709" t="s">
        <v>948</v>
      </c>
      <c r="G3709">
        <v>1000000</v>
      </c>
      <c r="H3709">
        <v>141000</v>
      </c>
      <c r="I3709" t="s">
        <v>972</v>
      </c>
    </row>
    <row r="3710" spans="1:9" x14ac:dyDescent="0.25">
      <c r="A3710">
        <v>4152</v>
      </c>
      <c r="B3710">
        <v>10</v>
      </c>
      <c r="C3710" t="s">
        <v>946</v>
      </c>
      <c r="D3710" t="s">
        <v>1022</v>
      </c>
      <c r="E3710" t="s">
        <v>263</v>
      </c>
      <c r="F3710" t="s">
        <v>948</v>
      </c>
      <c r="G3710">
        <v>1000000</v>
      </c>
      <c r="H3710">
        <v>145000</v>
      </c>
      <c r="I3710" t="s">
        <v>949</v>
      </c>
    </row>
    <row r="3711" ht="22" customHeight="1" spans="1:10" x14ac:dyDescent="0.25">
      <c r="A3711" s="41">
        <v>4152</v>
      </c>
      <c r="B3711" s="41">
        <v>10</v>
      </c>
      <c r="C3711" s="41" t="s">
        <v>946</v>
      </c>
      <c r="D3711" s="41" t="s">
        <v>1022</v>
      </c>
      <c r="E3711" s="41" t="s">
        <v>100</v>
      </c>
      <c r="F3711" s="41" t="s">
        <v>948</v>
      </c>
      <c r="G3711" s="41">
        <v>1077777</v>
      </c>
      <c r="H3711" s="41">
        <v>500465</v>
      </c>
      <c r="I3711" s="41" t="s">
        <v>949</v>
      </c>
      <c r="J3711" s="42" t="s">
        <v>1024</v>
      </c>
    </row>
    <row r="3712" spans="1:9" x14ac:dyDescent="0.25">
      <c r="A3712">
        <v>4152</v>
      </c>
      <c r="B3712">
        <v>10</v>
      </c>
      <c r="C3712" t="s">
        <v>946</v>
      </c>
      <c r="D3712" t="s">
        <v>1022</v>
      </c>
      <c r="E3712" t="s">
        <v>270</v>
      </c>
      <c r="F3712" t="s">
        <v>948</v>
      </c>
      <c r="G3712">
        <v>1000000</v>
      </c>
      <c r="H3712">
        <v>145000</v>
      </c>
      <c r="I3712" t="s">
        <v>949</v>
      </c>
    </row>
    <row r="3713" spans="1:9" x14ac:dyDescent="0.25">
      <c r="A3713">
        <v>4152</v>
      </c>
      <c r="B3713">
        <v>10</v>
      </c>
      <c r="C3713" t="s">
        <v>946</v>
      </c>
      <c r="D3713" t="s">
        <v>1022</v>
      </c>
      <c r="E3713" t="s">
        <v>274</v>
      </c>
      <c r="F3713" t="s">
        <v>948</v>
      </c>
      <c r="G3713">
        <v>1000000</v>
      </c>
      <c r="H3713">
        <v>143000</v>
      </c>
      <c r="I3713" t="s">
        <v>973</v>
      </c>
    </row>
    <row r="3714" spans="1:9" x14ac:dyDescent="0.25">
      <c r="A3714">
        <v>4152</v>
      </c>
      <c r="B3714">
        <v>10</v>
      </c>
      <c r="C3714" t="s">
        <v>946</v>
      </c>
      <c r="D3714" t="s">
        <v>1022</v>
      </c>
      <c r="E3714" t="s">
        <v>974</v>
      </c>
      <c r="F3714" t="s">
        <v>948</v>
      </c>
      <c r="G3714">
        <v>1000000</v>
      </c>
      <c r="H3714">
        <v>141000</v>
      </c>
      <c r="I3714" t="s">
        <v>975</v>
      </c>
    </row>
    <row r="3715" ht="22" customHeight="1" spans="1:10" x14ac:dyDescent="0.25">
      <c r="A3715" s="41">
        <v>4152</v>
      </c>
      <c r="B3715" s="41">
        <v>10</v>
      </c>
      <c r="C3715" s="41" t="s">
        <v>946</v>
      </c>
      <c r="D3715" s="41" t="s">
        <v>1022</v>
      </c>
      <c r="E3715" s="41" t="s">
        <v>104</v>
      </c>
      <c r="F3715" s="41" t="s">
        <v>948</v>
      </c>
      <c r="G3715" s="41">
        <v>1077777</v>
      </c>
      <c r="H3715" s="41">
        <v>500465</v>
      </c>
      <c r="I3715" s="41" t="s">
        <v>949</v>
      </c>
      <c r="J3715" s="42" t="s">
        <v>1024</v>
      </c>
    </row>
    <row r="3716" spans="1:9" x14ac:dyDescent="0.25">
      <c r="A3716">
        <v>4152</v>
      </c>
      <c r="B3716">
        <v>10</v>
      </c>
      <c r="C3716" t="s">
        <v>946</v>
      </c>
      <c r="D3716" t="s">
        <v>1022</v>
      </c>
      <c r="E3716" t="s">
        <v>278</v>
      </c>
      <c r="F3716" t="s">
        <v>948</v>
      </c>
      <c r="G3716">
        <v>1000000</v>
      </c>
      <c r="H3716">
        <v>145000</v>
      </c>
      <c r="I3716" t="s">
        <v>949</v>
      </c>
    </row>
    <row r="3717" spans="1:9" x14ac:dyDescent="0.25">
      <c r="A3717">
        <v>4152</v>
      </c>
      <c r="B3717">
        <v>10</v>
      </c>
      <c r="C3717" t="s">
        <v>946</v>
      </c>
      <c r="D3717" t="s">
        <v>1022</v>
      </c>
      <c r="E3717" t="s">
        <v>282</v>
      </c>
      <c r="F3717" t="s">
        <v>948</v>
      </c>
      <c r="G3717">
        <v>1000000</v>
      </c>
      <c r="H3717">
        <v>143100</v>
      </c>
      <c r="I3717" t="s">
        <v>949</v>
      </c>
    </row>
    <row r="3718" spans="1:9" x14ac:dyDescent="0.25">
      <c r="A3718">
        <v>4152</v>
      </c>
      <c r="B3718">
        <v>10</v>
      </c>
      <c r="C3718" t="s">
        <v>946</v>
      </c>
      <c r="D3718" t="s">
        <v>1022</v>
      </c>
      <c r="E3718" t="s">
        <v>39</v>
      </c>
      <c r="F3718" t="s">
        <v>948</v>
      </c>
      <c r="G3718">
        <v>1077777</v>
      </c>
      <c r="H3718">
        <v>501090</v>
      </c>
      <c r="I3718" t="s">
        <v>949</v>
      </c>
    </row>
    <row r="3719" spans="1:9" x14ac:dyDescent="0.25">
      <c r="A3719">
        <v>4152</v>
      </c>
      <c r="B3719">
        <v>10</v>
      </c>
      <c r="C3719" t="s">
        <v>946</v>
      </c>
      <c r="D3719" t="s">
        <v>1022</v>
      </c>
      <c r="E3719" t="s">
        <v>286</v>
      </c>
      <c r="F3719" t="s">
        <v>948</v>
      </c>
      <c r="G3719">
        <v>1000000</v>
      </c>
      <c r="H3719">
        <v>145000</v>
      </c>
      <c r="I3719" t="s">
        <v>949</v>
      </c>
    </row>
    <row r="3720" spans="1:9" x14ac:dyDescent="0.25">
      <c r="A3720">
        <v>4152</v>
      </c>
      <c r="B3720">
        <v>10</v>
      </c>
      <c r="C3720" t="s">
        <v>946</v>
      </c>
      <c r="D3720" t="s">
        <v>1022</v>
      </c>
      <c r="E3720" t="s">
        <v>976</v>
      </c>
      <c r="F3720" t="s">
        <v>948</v>
      </c>
      <c r="G3720">
        <v>1000000</v>
      </c>
      <c r="H3720">
        <v>141000</v>
      </c>
      <c r="I3720" t="s">
        <v>977</v>
      </c>
    </row>
    <row r="3721" spans="1:9" x14ac:dyDescent="0.25">
      <c r="A3721">
        <v>4152</v>
      </c>
      <c r="B3721">
        <v>10</v>
      </c>
      <c r="C3721" t="s">
        <v>946</v>
      </c>
      <c r="D3721" t="s">
        <v>1022</v>
      </c>
      <c r="E3721" t="s">
        <v>290</v>
      </c>
      <c r="F3721" t="s">
        <v>948</v>
      </c>
      <c r="G3721">
        <v>1000000</v>
      </c>
      <c r="H3721">
        <v>143000</v>
      </c>
      <c r="I3721" t="s">
        <v>978</v>
      </c>
    </row>
    <row r="3722" spans="1:9" x14ac:dyDescent="0.25">
      <c r="A3722">
        <v>4152</v>
      </c>
      <c r="B3722">
        <v>10</v>
      </c>
      <c r="C3722" t="s">
        <v>946</v>
      </c>
      <c r="D3722" t="s">
        <v>1022</v>
      </c>
      <c r="E3722" t="s">
        <v>294</v>
      </c>
      <c r="F3722" t="s">
        <v>948</v>
      </c>
      <c r="G3722">
        <v>1000000</v>
      </c>
      <c r="H3722">
        <v>143000</v>
      </c>
      <c r="I3722" t="s">
        <v>979</v>
      </c>
    </row>
    <row r="3723" spans="1:9" x14ac:dyDescent="0.25">
      <c r="A3723">
        <v>4152</v>
      </c>
      <c r="B3723">
        <v>10</v>
      </c>
      <c r="C3723" t="s">
        <v>946</v>
      </c>
      <c r="D3723" t="s">
        <v>1022</v>
      </c>
      <c r="E3723" t="s">
        <v>980</v>
      </c>
      <c r="F3723" t="s">
        <v>948</v>
      </c>
      <c r="G3723">
        <v>1000000</v>
      </c>
      <c r="H3723">
        <v>141000</v>
      </c>
      <c r="I3723" t="s">
        <v>981</v>
      </c>
    </row>
    <row r="3724" spans="1:9" x14ac:dyDescent="0.25">
      <c r="A3724">
        <v>4152</v>
      </c>
      <c r="B3724">
        <v>10</v>
      </c>
      <c r="C3724" t="s">
        <v>946</v>
      </c>
      <c r="D3724" t="s">
        <v>1022</v>
      </c>
      <c r="E3724" t="s">
        <v>302</v>
      </c>
      <c r="F3724" t="s">
        <v>948</v>
      </c>
      <c r="G3724">
        <v>1000000</v>
      </c>
      <c r="H3724">
        <v>143000</v>
      </c>
      <c r="I3724" t="s">
        <v>982</v>
      </c>
    </row>
    <row r="3725" spans="1:9" x14ac:dyDescent="0.25">
      <c r="A3725">
        <v>4152</v>
      </c>
      <c r="B3725">
        <v>10</v>
      </c>
      <c r="C3725" t="s">
        <v>946</v>
      </c>
      <c r="D3725" t="s">
        <v>1022</v>
      </c>
      <c r="E3725" t="s">
        <v>306</v>
      </c>
      <c r="F3725" t="s">
        <v>948</v>
      </c>
      <c r="G3725">
        <v>1000000</v>
      </c>
      <c r="H3725">
        <v>143000</v>
      </c>
      <c r="I3725" t="s">
        <v>983</v>
      </c>
    </row>
    <row r="3726" ht="22" customHeight="1" spans="1:10" x14ac:dyDescent="0.25">
      <c r="A3726" s="41">
        <v>4152</v>
      </c>
      <c r="B3726" s="41">
        <v>10</v>
      </c>
      <c r="C3726" s="41" t="s">
        <v>946</v>
      </c>
      <c r="D3726" s="41" t="s">
        <v>1022</v>
      </c>
      <c r="E3726" s="41" t="s">
        <v>108</v>
      </c>
      <c r="F3726" s="41" t="s">
        <v>948</v>
      </c>
      <c r="G3726" s="41">
        <v>1077777</v>
      </c>
      <c r="H3726" s="41">
        <v>500465</v>
      </c>
      <c r="I3726" s="41" t="s">
        <v>949</v>
      </c>
      <c r="J3726" s="42" t="s">
        <v>1024</v>
      </c>
    </row>
    <row r="3727" spans="1:9" x14ac:dyDescent="0.25">
      <c r="A3727">
        <v>4152</v>
      </c>
      <c r="B3727">
        <v>10</v>
      </c>
      <c r="C3727" t="s">
        <v>946</v>
      </c>
      <c r="D3727" t="s">
        <v>1022</v>
      </c>
      <c r="E3727" t="s">
        <v>310</v>
      </c>
      <c r="F3727" t="s">
        <v>948</v>
      </c>
      <c r="G3727">
        <v>1000000</v>
      </c>
      <c r="H3727">
        <v>145000</v>
      </c>
      <c r="I3727" t="s">
        <v>949</v>
      </c>
    </row>
    <row r="3728" spans="1:9" x14ac:dyDescent="0.25">
      <c r="A3728">
        <v>4152</v>
      </c>
      <c r="B3728">
        <v>10</v>
      </c>
      <c r="C3728" t="s">
        <v>946</v>
      </c>
      <c r="D3728" t="s">
        <v>1022</v>
      </c>
      <c r="E3728" t="s">
        <v>314</v>
      </c>
      <c r="F3728" t="s">
        <v>948</v>
      </c>
      <c r="G3728">
        <v>1000000</v>
      </c>
      <c r="H3728">
        <v>145000</v>
      </c>
      <c r="I3728" t="s">
        <v>949</v>
      </c>
    </row>
    <row r="3729" ht="22" customHeight="1" spans="1:10" x14ac:dyDescent="0.25">
      <c r="A3729" s="41">
        <v>4152</v>
      </c>
      <c r="B3729" s="41">
        <v>10</v>
      </c>
      <c r="C3729" s="41" t="s">
        <v>946</v>
      </c>
      <c r="D3729" s="41" t="s">
        <v>1022</v>
      </c>
      <c r="E3729" s="41" t="s">
        <v>121</v>
      </c>
      <c r="F3729" s="41" t="s">
        <v>948</v>
      </c>
      <c r="G3729" s="41">
        <v>1077777</v>
      </c>
      <c r="H3729" s="41">
        <v>500465</v>
      </c>
      <c r="I3729" s="41" t="s">
        <v>949</v>
      </c>
      <c r="J3729" s="42" t="s">
        <v>1024</v>
      </c>
    </row>
    <row r="3730" spans="1:9" x14ac:dyDescent="0.25">
      <c r="A3730">
        <v>4152</v>
      </c>
      <c r="B3730">
        <v>10</v>
      </c>
      <c r="C3730" t="s">
        <v>946</v>
      </c>
      <c r="D3730" t="s">
        <v>1022</v>
      </c>
      <c r="E3730" t="s">
        <v>984</v>
      </c>
      <c r="F3730" t="s">
        <v>948</v>
      </c>
      <c r="G3730">
        <v>1000000</v>
      </c>
      <c r="H3730">
        <v>141000</v>
      </c>
      <c r="I3730" t="s">
        <v>985</v>
      </c>
    </row>
    <row r="3731" spans="1:9" x14ac:dyDescent="0.25">
      <c r="A3731">
        <v>4141</v>
      </c>
      <c r="B3731">
        <v>10</v>
      </c>
      <c r="C3731" t="s">
        <v>946</v>
      </c>
      <c r="D3731" t="s">
        <v>1025</v>
      </c>
      <c r="E3731" t="s">
        <v>243</v>
      </c>
      <c r="F3731" t="s">
        <v>948</v>
      </c>
      <c r="G3731">
        <v>1077777</v>
      </c>
      <c r="H3731">
        <v>501010</v>
      </c>
      <c r="I3731">
        <v>70</v>
      </c>
    </row>
    <row r="3732" spans="1:9" x14ac:dyDescent="0.25">
      <c r="A3732">
        <v>4220</v>
      </c>
      <c r="B3732">
        <v>10</v>
      </c>
      <c r="C3732" t="s">
        <v>946</v>
      </c>
      <c r="D3732" t="s">
        <v>1025</v>
      </c>
      <c r="E3732" t="s">
        <v>243</v>
      </c>
      <c r="F3732" t="s">
        <v>948</v>
      </c>
      <c r="G3732">
        <v>1077777</v>
      </c>
      <c r="H3732">
        <v>501010</v>
      </c>
      <c r="I3732">
        <v>70</v>
      </c>
    </row>
    <row r="3733" spans="1:9" x14ac:dyDescent="0.25">
      <c r="A3733">
        <v>4230</v>
      </c>
      <c r="B3733">
        <v>10</v>
      </c>
      <c r="C3733" t="s">
        <v>946</v>
      </c>
      <c r="D3733" t="s">
        <v>1025</v>
      </c>
      <c r="E3733" t="s">
        <v>243</v>
      </c>
      <c r="F3733" t="s">
        <v>948</v>
      </c>
      <c r="G3733">
        <v>1099999</v>
      </c>
      <c r="H3733">
        <v>401055</v>
      </c>
      <c r="I3733">
        <v>70</v>
      </c>
    </row>
    <row r="3734" spans="1:9" x14ac:dyDescent="0.25">
      <c r="A3734">
        <v>4240</v>
      </c>
      <c r="B3734">
        <v>10</v>
      </c>
      <c r="C3734" t="s">
        <v>946</v>
      </c>
      <c r="D3734" t="s">
        <v>1025</v>
      </c>
      <c r="E3734" t="s">
        <v>243</v>
      </c>
      <c r="F3734" t="s">
        <v>948</v>
      </c>
      <c r="G3734">
        <v>1000000</v>
      </c>
      <c r="H3734">
        <v>145000</v>
      </c>
      <c r="I3734" t="s">
        <v>949</v>
      </c>
    </row>
    <row r="3735" spans="1:9" x14ac:dyDescent="0.25">
      <c r="A3735">
        <v>4141</v>
      </c>
      <c r="B3735">
        <v>10</v>
      </c>
      <c r="C3735" t="s">
        <v>946</v>
      </c>
      <c r="D3735" t="s">
        <v>1025</v>
      </c>
      <c r="E3735" t="s">
        <v>247</v>
      </c>
      <c r="F3735" t="s">
        <v>948</v>
      </c>
      <c r="G3735">
        <v>1077777</v>
      </c>
      <c r="H3735">
        <v>501010</v>
      </c>
      <c r="I3735">
        <v>70</v>
      </c>
    </row>
    <row r="3736" spans="1:9" x14ac:dyDescent="0.25">
      <c r="A3736">
        <v>4220</v>
      </c>
      <c r="B3736">
        <v>10</v>
      </c>
      <c r="C3736" t="s">
        <v>946</v>
      </c>
      <c r="D3736" t="s">
        <v>1025</v>
      </c>
      <c r="E3736" t="s">
        <v>247</v>
      </c>
      <c r="F3736" t="s">
        <v>948</v>
      </c>
      <c r="G3736">
        <v>1077777</v>
      </c>
      <c r="H3736">
        <v>501010</v>
      </c>
      <c r="I3736">
        <v>70</v>
      </c>
    </row>
    <row r="3737" spans="1:9" x14ac:dyDescent="0.25">
      <c r="A3737">
        <v>4230</v>
      </c>
      <c r="B3737">
        <v>10</v>
      </c>
      <c r="C3737" t="s">
        <v>946</v>
      </c>
      <c r="D3737" t="s">
        <v>1025</v>
      </c>
      <c r="E3737" t="s">
        <v>247</v>
      </c>
      <c r="F3737" t="s">
        <v>948</v>
      </c>
      <c r="G3737">
        <v>1099999</v>
      </c>
      <c r="H3737">
        <v>401025</v>
      </c>
      <c r="I3737">
        <v>70</v>
      </c>
    </row>
    <row r="3738" spans="1:9" x14ac:dyDescent="0.25">
      <c r="A3738">
        <v>4240</v>
      </c>
      <c r="B3738">
        <v>10</v>
      </c>
      <c r="C3738" t="s">
        <v>946</v>
      </c>
      <c r="D3738" t="s">
        <v>1025</v>
      </c>
      <c r="E3738" t="s">
        <v>247</v>
      </c>
      <c r="F3738" t="s">
        <v>948</v>
      </c>
      <c r="G3738">
        <v>1000000</v>
      </c>
      <c r="H3738">
        <v>145000</v>
      </c>
      <c r="I3738" t="s">
        <v>949</v>
      </c>
    </row>
    <row r="3739" spans="1:9" x14ac:dyDescent="0.25">
      <c r="A3739">
        <v>4141</v>
      </c>
      <c r="B3739">
        <v>10</v>
      </c>
      <c r="C3739" t="s">
        <v>946</v>
      </c>
      <c r="D3739" t="s">
        <v>1025</v>
      </c>
      <c r="E3739" t="s">
        <v>251</v>
      </c>
      <c r="F3739" t="s">
        <v>948</v>
      </c>
      <c r="G3739">
        <v>1077777</v>
      </c>
      <c r="H3739">
        <v>501010</v>
      </c>
      <c r="I3739">
        <v>70</v>
      </c>
    </row>
    <row r="3740" spans="1:9" x14ac:dyDescent="0.25">
      <c r="A3740">
        <v>4220</v>
      </c>
      <c r="B3740">
        <v>10</v>
      </c>
      <c r="C3740" t="s">
        <v>946</v>
      </c>
      <c r="D3740" t="s">
        <v>1025</v>
      </c>
      <c r="E3740" t="s">
        <v>251</v>
      </c>
      <c r="F3740" t="s">
        <v>948</v>
      </c>
      <c r="G3740">
        <v>1077777</v>
      </c>
      <c r="H3740">
        <v>501010</v>
      </c>
      <c r="I3740">
        <v>70</v>
      </c>
    </row>
    <row r="3741" spans="1:9" x14ac:dyDescent="0.25">
      <c r="A3741">
        <v>4230</v>
      </c>
      <c r="B3741">
        <v>10</v>
      </c>
      <c r="C3741" t="s">
        <v>946</v>
      </c>
      <c r="D3741" t="s">
        <v>1025</v>
      </c>
      <c r="E3741" t="s">
        <v>251</v>
      </c>
      <c r="F3741" t="s">
        <v>948</v>
      </c>
      <c r="G3741">
        <v>1099999</v>
      </c>
      <c r="H3741">
        <v>401045</v>
      </c>
      <c r="I3741">
        <v>70</v>
      </c>
    </row>
    <row r="3742" spans="1:9" x14ac:dyDescent="0.25">
      <c r="A3742">
        <v>4240</v>
      </c>
      <c r="B3742">
        <v>10</v>
      </c>
      <c r="C3742" t="s">
        <v>946</v>
      </c>
      <c r="D3742" t="s">
        <v>1025</v>
      </c>
      <c r="E3742" t="s">
        <v>251</v>
      </c>
      <c r="F3742" t="s">
        <v>948</v>
      </c>
      <c r="G3742">
        <v>1000000</v>
      </c>
      <c r="H3742">
        <v>142000</v>
      </c>
      <c r="I3742" t="s">
        <v>949</v>
      </c>
    </row>
    <row r="3743" spans="1:9" x14ac:dyDescent="0.25">
      <c r="A3743">
        <v>4141</v>
      </c>
      <c r="B3743">
        <v>10</v>
      </c>
      <c r="C3743" t="s">
        <v>946</v>
      </c>
      <c r="D3743" t="s">
        <v>1025</v>
      </c>
      <c r="E3743" t="s">
        <v>969</v>
      </c>
      <c r="F3743" t="s">
        <v>948</v>
      </c>
      <c r="G3743">
        <v>1077777</v>
      </c>
      <c r="H3743">
        <v>501010</v>
      </c>
      <c r="I3743">
        <v>70</v>
      </c>
    </row>
    <row r="3744" spans="1:9" x14ac:dyDescent="0.25">
      <c r="A3744">
        <v>4220</v>
      </c>
      <c r="B3744">
        <v>10</v>
      </c>
      <c r="C3744" t="s">
        <v>946</v>
      </c>
      <c r="D3744" t="s">
        <v>1025</v>
      </c>
      <c r="E3744" t="s">
        <v>969</v>
      </c>
      <c r="F3744" t="s">
        <v>948</v>
      </c>
      <c r="G3744">
        <v>1077777</v>
      </c>
      <c r="H3744">
        <v>501010</v>
      </c>
      <c r="I3744">
        <v>70</v>
      </c>
    </row>
    <row r="3745" spans="1:9" x14ac:dyDescent="0.25">
      <c r="A3745">
        <v>4230</v>
      </c>
      <c r="B3745">
        <v>10</v>
      </c>
      <c r="C3745" t="s">
        <v>946</v>
      </c>
      <c r="D3745" t="s">
        <v>1025</v>
      </c>
      <c r="E3745" t="s">
        <v>969</v>
      </c>
      <c r="F3745" t="s">
        <v>948</v>
      </c>
      <c r="G3745">
        <v>1099999</v>
      </c>
      <c r="H3745">
        <v>401915</v>
      </c>
      <c r="I3745">
        <v>70</v>
      </c>
    </row>
    <row r="3746" spans="1:9" x14ac:dyDescent="0.25">
      <c r="A3746">
        <v>4240</v>
      </c>
      <c r="B3746">
        <v>10</v>
      </c>
      <c r="C3746" t="s">
        <v>946</v>
      </c>
      <c r="D3746" t="s">
        <v>1025</v>
      </c>
      <c r="E3746" t="s">
        <v>969</v>
      </c>
      <c r="F3746" t="s">
        <v>948</v>
      </c>
      <c r="G3746">
        <v>1000000</v>
      </c>
      <c r="H3746">
        <v>141000</v>
      </c>
      <c r="I3746" t="s">
        <v>970</v>
      </c>
    </row>
    <row r="3747" spans="1:9" x14ac:dyDescent="0.25">
      <c r="A3747">
        <v>4141</v>
      </c>
      <c r="B3747">
        <v>10</v>
      </c>
      <c r="C3747" t="s">
        <v>946</v>
      </c>
      <c r="D3747" t="s">
        <v>1025</v>
      </c>
      <c r="E3747" t="s">
        <v>255</v>
      </c>
      <c r="F3747" t="s">
        <v>948</v>
      </c>
      <c r="G3747">
        <v>1077777</v>
      </c>
      <c r="H3747">
        <v>501010</v>
      </c>
      <c r="I3747">
        <v>70</v>
      </c>
    </row>
    <row r="3748" spans="1:9" x14ac:dyDescent="0.25">
      <c r="A3748">
        <v>4220</v>
      </c>
      <c r="B3748">
        <v>10</v>
      </c>
      <c r="C3748" t="s">
        <v>946</v>
      </c>
      <c r="D3748" t="s">
        <v>1025</v>
      </c>
      <c r="E3748" t="s">
        <v>255</v>
      </c>
      <c r="F3748" t="s">
        <v>948</v>
      </c>
      <c r="G3748">
        <v>1077777</v>
      </c>
      <c r="H3748">
        <v>501010</v>
      </c>
      <c r="I3748">
        <v>70</v>
      </c>
    </row>
    <row r="3749" spans="1:9" x14ac:dyDescent="0.25">
      <c r="A3749">
        <v>4230</v>
      </c>
      <c r="B3749">
        <v>10</v>
      </c>
      <c r="C3749" t="s">
        <v>946</v>
      </c>
      <c r="D3749" t="s">
        <v>1025</v>
      </c>
      <c r="E3749" t="s">
        <v>255</v>
      </c>
      <c r="F3749" t="s">
        <v>948</v>
      </c>
      <c r="G3749">
        <v>1099999</v>
      </c>
      <c r="H3749">
        <v>401075</v>
      </c>
      <c r="I3749">
        <v>70</v>
      </c>
    </row>
    <row r="3750" spans="1:9" x14ac:dyDescent="0.25">
      <c r="A3750">
        <v>4240</v>
      </c>
      <c r="B3750">
        <v>10</v>
      </c>
      <c r="C3750" t="s">
        <v>946</v>
      </c>
      <c r="D3750" t="s">
        <v>1025</v>
      </c>
      <c r="E3750" t="s">
        <v>255</v>
      </c>
      <c r="F3750" t="s">
        <v>948</v>
      </c>
      <c r="G3750">
        <v>1000000</v>
      </c>
      <c r="H3750">
        <v>145000</v>
      </c>
      <c r="I3750" t="s">
        <v>949</v>
      </c>
    </row>
    <row r="3751" spans="1:9" x14ac:dyDescent="0.25">
      <c r="A3751">
        <v>4141</v>
      </c>
      <c r="B3751">
        <v>10</v>
      </c>
      <c r="C3751" t="s">
        <v>946</v>
      </c>
      <c r="D3751" t="s">
        <v>1025</v>
      </c>
      <c r="E3751" t="s">
        <v>971</v>
      </c>
      <c r="F3751" t="s">
        <v>948</v>
      </c>
      <c r="G3751">
        <v>1077777</v>
      </c>
      <c r="H3751">
        <v>501010</v>
      </c>
      <c r="I3751">
        <v>70</v>
      </c>
    </row>
    <row r="3752" spans="1:9" x14ac:dyDescent="0.25">
      <c r="A3752">
        <v>4220</v>
      </c>
      <c r="B3752">
        <v>10</v>
      </c>
      <c r="C3752" t="s">
        <v>946</v>
      </c>
      <c r="D3752" t="s">
        <v>1025</v>
      </c>
      <c r="E3752" t="s">
        <v>971</v>
      </c>
      <c r="F3752" t="s">
        <v>948</v>
      </c>
      <c r="G3752">
        <v>1077777</v>
      </c>
      <c r="H3752">
        <v>501010</v>
      </c>
      <c r="I3752">
        <v>70</v>
      </c>
    </row>
    <row r="3753" spans="1:9" x14ac:dyDescent="0.25">
      <c r="A3753">
        <v>4230</v>
      </c>
      <c r="B3753">
        <v>10</v>
      </c>
      <c r="C3753" t="s">
        <v>946</v>
      </c>
      <c r="D3753" t="s">
        <v>1025</v>
      </c>
      <c r="E3753" t="s">
        <v>971</v>
      </c>
      <c r="F3753" t="s">
        <v>948</v>
      </c>
      <c r="G3753">
        <v>1099999</v>
      </c>
      <c r="H3753">
        <v>401915</v>
      </c>
      <c r="I3753">
        <v>70</v>
      </c>
    </row>
    <row r="3754" spans="1:9" x14ac:dyDescent="0.25">
      <c r="A3754">
        <v>4240</v>
      </c>
      <c r="B3754">
        <v>10</v>
      </c>
      <c r="C3754" t="s">
        <v>946</v>
      </c>
      <c r="D3754" t="s">
        <v>1025</v>
      </c>
      <c r="E3754" t="s">
        <v>971</v>
      </c>
      <c r="F3754" t="s">
        <v>948</v>
      </c>
      <c r="G3754">
        <v>1000000</v>
      </c>
      <c r="H3754">
        <v>141000</v>
      </c>
      <c r="I3754" t="s">
        <v>972</v>
      </c>
    </row>
    <row r="3755" spans="1:9" x14ac:dyDescent="0.25">
      <c r="A3755">
        <v>4230</v>
      </c>
      <c r="B3755">
        <v>10</v>
      </c>
      <c r="C3755" t="s">
        <v>946</v>
      </c>
      <c r="D3755" t="s">
        <v>1025</v>
      </c>
      <c r="E3755" t="s">
        <v>259</v>
      </c>
      <c r="F3755" t="s">
        <v>948</v>
      </c>
      <c r="G3755">
        <v>1099999</v>
      </c>
      <c r="H3755">
        <v>409005</v>
      </c>
      <c r="I3755">
        <v>70</v>
      </c>
    </row>
    <row r="3756" spans="1:9" x14ac:dyDescent="0.25">
      <c r="A3756">
        <v>4141</v>
      </c>
      <c r="B3756">
        <v>10</v>
      </c>
      <c r="C3756" t="s">
        <v>946</v>
      </c>
      <c r="D3756" t="s">
        <v>1025</v>
      </c>
      <c r="E3756" t="s">
        <v>263</v>
      </c>
      <c r="F3756" t="s">
        <v>948</v>
      </c>
      <c r="G3756">
        <v>1077777</v>
      </c>
      <c r="H3756">
        <v>501010</v>
      </c>
      <c r="I3756">
        <v>70</v>
      </c>
    </row>
    <row r="3757" spans="1:9" x14ac:dyDescent="0.25">
      <c r="A3757">
        <v>4220</v>
      </c>
      <c r="B3757">
        <v>10</v>
      </c>
      <c r="C3757" t="s">
        <v>946</v>
      </c>
      <c r="D3757" t="s">
        <v>1025</v>
      </c>
      <c r="E3757" t="s">
        <v>263</v>
      </c>
      <c r="F3757" t="s">
        <v>948</v>
      </c>
      <c r="G3757">
        <v>1077777</v>
      </c>
      <c r="H3757">
        <v>501010</v>
      </c>
      <c r="I3757">
        <v>70</v>
      </c>
    </row>
    <row r="3758" spans="1:9" x14ac:dyDescent="0.25">
      <c r="A3758">
        <v>4230</v>
      </c>
      <c r="B3758">
        <v>10</v>
      </c>
      <c r="C3758" t="s">
        <v>946</v>
      </c>
      <c r="D3758" t="s">
        <v>1025</v>
      </c>
      <c r="E3758" t="s">
        <v>263</v>
      </c>
      <c r="F3758" t="s">
        <v>948</v>
      </c>
      <c r="G3758">
        <v>1099999</v>
      </c>
      <c r="H3758">
        <v>401045</v>
      </c>
      <c r="I3758">
        <v>70</v>
      </c>
    </row>
    <row r="3759" spans="1:9" x14ac:dyDescent="0.25">
      <c r="A3759">
        <v>4240</v>
      </c>
      <c r="B3759">
        <v>10</v>
      </c>
      <c r="C3759" t="s">
        <v>946</v>
      </c>
      <c r="D3759" t="s">
        <v>1025</v>
      </c>
      <c r="E3759" t="s">
        <v>263</v>
      </c>
      <c r="F3759" t="s">
        <v>948</v>
      </c>
      <c r="G3759">
        <v>1000000</v>
      </c>
      <c r="H3759">
        <v>145000</v>
      </c>
      <c r="I3759" t="s">
        <v>949</v>
      </c>
    </row>
    <row r="3760" spans="1:9" x14ac:dyDescent="0.25">
      <c r="A3760">
        <v>4141</v>
      </c>
      <c r="B3760">
        <v>10</v>
      </c>
      <c r="C3760" t="s">
        <v>946</v>
      </c>
      <c r="D3760" t="s">
        <v>1025</v>
      </c>
      <c r="E3760" t="s">
        <v>100</v>
      </c>
      <c r="F3760" t="s">
        <v>948</v>
      </c>
      <c r="G3760">
        <v>1077777</v>
      </c>
      <c r="H3760">
        <v>500220</v>
      </c>
      <c r="I3760" t="s">
        <v>949</v>
      </c>
    </row>
    <row r="3761" spans="1:9" x14ac:dyDescent="0.25">
      <c r="A3761">
        <v>4220</v>
      </c>
      <c r="B3761">
        <v>10</v>
      </c>
      <c r="C3761" t="s">
        <v>946</v>
      </c>
      <c r="D3761" t="s">
        <v>1025</v>
      </c>
      <c r="E3761" t="s">
        <v>100</v>
      </c>
      <c r="F3761" t="s">
        <v>948</v>
      </c>
      <c r="G3761">
        <v>1077777</v>
      </c>
      <c r="H3761">
        <v>500220</v>
      </c>
      <c r="I3761" t="s">
        <v>949</v>
      </c>
    </row>
    <row r="3762" spans="1:9" x14ac:dyDescent="0.25">
      <c r="A3762">
        <v>4230</v>
      </c>
      <c r="B3762">
        <v>10</v>
      </c>
      <c r="C3762" t="s">
        <v>946</v>
      </c>
      <c r="D3762" t="s">
        <v>1025</v>
      </c>
      <c r="E3762" t="s">
        <v>100</v>
      </c>
      <c r="F3762" t="s">
        <v>948</v>
      </c>
      <c r="G3762">
        <v>1099999</v>
      </c>
      <c r="H3762">
        <v>401045</v>
      </c>
      <c r="I3762">
        <v>70</v>
      </c>
    </row>
    <row r="3763" spans="1:9" x14ac:dyDescent="0.25">
      <c r="A3763">
        <v>4240</v>
      </c>
      <c r="B3763">
        <v>10</v>
      </c>
      <c r="C3763" t="s">
        <v>946</v>
      </c>
      <c r="D3763" t="s">
        <v>1025</v>
      </c>
      <c r="E3763" t="s">
        <v>100</v>
      </c>
      <c r="F3763" t="s">
        <v>948</v>
      </c>
      <c r="G3763">
        <v>1077777</v>
      </c>
      <c r="H3763">
        <v>500221</v>
      </c>
      <c r="I3763" t="s">
        <v>949</v>
      </c>
    </row>
    <row r="3764" spans="1:9" x14ac:dyDescent="0.25">
      <c r="A3764">
        <v>4141</v>
      </c>
      <c r="B3764">
        <v>10</v>
      </c>
      <c r="C3764" t="s">
        <v>946</v>
      </c>
      <c r="D3764" t="s">
        <v>1025</v>
      </c>
      <c r="E3764" t="s">
        <v>270</v>
      </c>
      <c r="F3764" t="s">
        <v>948</v>
      </c>
      <c r="G3764">
        <v>1077777</v>
      </c>
      <c r="H3764">
        <v>501010</v>
      </c>
      <c r="I3764">
        <v>70</v>
      </c>
    </row>
    <row r="3765" spans="1:9" x14ac:dyDescent="0.25">
      <c r="A3765">
        <v>4220</v>
      </c>
      <c r="B3765">
        <v>10</v>
      </c>
      <c r="C3765" t="s">
        <v>946</v>
      </c>
      <c r="D3765" t="s">
        <v>1025</v>
      </c>
      <c r="E3765" t="s">
        <v>270</v>
      </c>
      <c r="F3765" t="s">
        <v>948</v>
      </c>
      <c r="G3765">
        <v>1077777</v>
      </c>
      <c r="H3765">
        <v>501010</v>
      </c>
      <c r="I3765">
        <v>70</v>
      </c>
    </row>
    <row r="3766" spans="1:9" x14ac:dyDescent="0.25">
      <c r="A3766">
        <v>4230</v>
      </c>
      <c r="B3766">
        <v>10</v>
      </c>
      <c r="C3766" t="s">
        <v>946</v>
      </c>
      <c r="D3766" t="s">
        <v>1025</v>
      </c>
      <c r="E3766" t="s">
        <v>270</v>
      </c>
      <c r="F3766" t="s">
        <v>948</v>
      </c>
      <c r="G3766">
        <v>1099999</v>
      </c>
      <c r="H3766">
        <v>401065</v>
      </c>
      <c r="I3766">
        <v>70</v>
      </c>
    </row>
    <row r="3767" spans="1:9" x14ac:dyDescent="0.25">
      <c r="A3767">
        <v>4240</v>
      </c>
      <c r="B3767">
        <v>10</v>
      </c>
      <c r="C3767" t="s">
        <v>946</v>
      </c>
      <c r="D3767" t="s">
        <v>1025</v>
      </c>
      <c r="E3767" t="s">
        <v>270</v>
      </c>
      <c r="F3767" t="s">
        <v>948</v>
      </c>
      <c r="G3767">
        <v>1000000</v>
      </c>
      <c r="H3767">
        <v>145000</v>
      </c>
      <c r="I3767" t="s">
        <v>949</v>
      </c>
    </row>
    <row r="3768" spans="1:9" x14ac:dyDescent="0.25">
      <c r="A3768">
        <v>4141</v>
      </c>
      <c r="B3768">
        <v>10</v>
      </c>
      <c r="C3768" t="s">
        <v>946</v>
      </c>
      <c r="D3768" t="s">
        <v>1025</v>
      </c>
      <c r="E3768" t="s">
        <v>274</v>
      </c>
      <c r="F3768" t="s">
        <v>948</v>
      </c>
      <c r="G3768">
        <v>1077777</v>
      </c>
      <c r="H3768">
        <v>501010</v>
      </c>
      <c r="I3768">
        <v>70</v>
      </c>
    </row>
    <row r="3769" spans="1:9" x14ac:dyDescent="0.25">
      <c r="A3769">
        <v>4220</v>
      </c>
      <c r="B3769">
        <v>10</v>
      </c>
      <c r="C3769" t="s">
        <v>946</v>
      </c>
      <c r="D3769" t="s">
        <v>1025</v>
      </c>
      <c r="E3769" t="s">
        <v>274</v>
      </c>
      <c r="F3769" t="s">
        <v>948</v>
      </c>
      <c r="G3769">
        <v>1077777</v>
      </c>
      <c r="H3769">
        <v>501010</v>
      </c>
      <c r="I3769">
        <v>70</v>
      </c>
    </row>
    <row r="3770" spans="1:9" x14ac:dyDescent="0.25">
      <c r="A3770">
        <v>4230</v>
      </c>
      <c r="B3770">
        <v>10</v>
      </c>
      <c r="C3770" t="s">
        <v>946</v>
      </c>
      <c r="D3770" t="s">
        <v>1025</v>
      </c>
      <c r="E3770" t="s">
        <v>274</v>
      </c>
      <c r="F3770" t="s">
        <v>948</v>
      </c>
      <c r="G3770">
        <v>1099999</v>
      </c>
      <c r="H3770">
        <v>401045</v>
      </c>
      <c r="I3770">
        <v>70</v>
      </c>
    </row>
    <row r="3771" spans="1:9" x14ac:dyDescent="0.25">
      <c r="A3771">
        <v>4240</v>
      </c>
      <c r="B3771">
        <v>10</v>
      </c>
      <c r="C3771" t="s">
        <v>946</v>
      </c>
      <c r="D3771" t="s">
        <v>1025</v>
      </c>
      <c r="E3771" t="s">
        <v>274</v>
      </c>
      <c r="F3771" t="s">
        <v>948</v>
      </c>
      <c r="G3771">
        <v>1000000</v>
      </c>
      <c r="H3771">
        <v>143000</v>
      </c>
      <c r="I3771" t="s">
        <v>973</v>
      </c>
    </row>
    <row r="3772" spans="1:9" x14ac:dyDescent="0.25">
      <c r="A3772">
        <v>4141</v>
      </c>
      <c r="B3772">
        <v>10</v>
      </c>
      <c r="C3772" t="s">
        <v>946</v>
      </c>
      <c r="D3772" t="s">
        <v>1025</v>
      </c>
      <c r="E3772" t="s">
        <v>974</v>
      </c>
      <c r="F3772" t="s">
        <v>948</v>
      </c>
      <c r="G3772">
        <v>1077777</v>
      </c>
      <c r="H3772">
        <v>501010</v>
      </c>
      <c r="I3772">
        <v>70</v>
      </c>
    </row>
    <row r="3773" spans="1:9" x14ac:dyDescent="0.25">
      <c r="A3773">
        <v>4220</v>
      </c>
      <c r="B3773">
        <v>10</v>
      </c>
      <c r="C3773" t="s">
        <v>946</v>
      </c>
      <c r="D3773" t="s">
        <v>1025</v>
      </c>
      <c r="E3773" t="s">
        <v>974</v>
      </c>
      <c r="F3773" t="s">
        <v>948</v>
      </c>
      <c r="G3773">
        <v>1077777</v>
      </c>
      <c r="H3773">
        <v>501010</v>
      </c>
      <c r="I3773">
        <v>70</v>
      </c>
    </row>
    <row r="3774" spans="1:9" x14ac:dyDescent="0.25">
      <c r="A3774">
        <v>4230</v>
      </c>
      <c r="B3774">
        <v>10</v>
      </c>
      <c r="C3774" t="s">
        <v>946</v>
      </c>
      <c r="D3774" t="s">
        <v>1025</v>
      </c>
      <c r="E3774" t="s">
        <v>974</v>
      </c>
      <c r="F3774" t="s">
        <v>948</v>
      </c>
      <c r="G3774">
        <v>1099999</v>
      </c>
      <c r="H3774">
        <v>401915</v>
      </c>
      <c r="I3774">
        <v>70</v>
      </c>
    </row>
    <row r="3775" spans="1:9" x14ac:dyDescent="0.25">
      <c r="A3775">
        <v>4240</v>
      </c>
      <c r="B3775">
        <v>10</v>
      </c>
      <c r="C3775" t="s">
        <v>946</v>
      </c>
      <c r="D3775" t="s">
        <v>1025</v>
      </c>
      <c r="E3775" t="s">
        <v>974</v>
      </c>
      <c r="F3775" t="s">
        <v>948</v>
      </c>
      <c r="G3775">
        <v>1000000</v>
      </c>
      <c r="H3775">
        <v>141000</v>
      </c>
      <c r="I3775" t="s">
        <v>975</v>
      </c>
    </row>
    <row r="3776" spans="1:9" x14ac:dyDescent="0.25">
      <c r="A3776">
        <v>4141</v>
      </c>
      <c r="B3776">
        <v>10</v>
      </c>
      <c r="C3776" t="s">
        <v>946</v>
      </c>
      <c r="D3776" t="s">
        <v>1025</v>
      </c>
      <c r="E3776" t="s">
        <v>104</v>
      </c>
      <c r="F3776" t="s">
        <v>948</v>
      </c>
      <c r="G3776">
        <v>1077777</v>
      </c>
      <c r="H3776">
        <v>500220</v>
      </c>
      <c r="I3776" t="s">
        <v>949</v>
      </c>
    </row>
    <row r="3777" spans="1:9" x14ac:dyDescent="0.25">
      <c r="A3777">
        <v>4220</v>
      </c>
      <c r="B3777">
        <v>10</v>
      </c>
      <c r="C3777" t="s">
        <v>946</v>
      </c>
      <c r="D3777" t="s">
        <v>1025</v>
      </c>
      <c r="E3777" t="s">
        <v>104</v>
      </c>
      <c r="F3777" t="s">
        <v>948</v>
      </c>
      <c r="G3777">
        <v>1077777</v>
      </c>
      <c r="H3777">
        <v>500220</v>
      </c>
      <c r="I3777" t="s">
        <v>949</v>
      </c>
    </row>
    <row r="3778" spans="1:9" x14ac:dyDescent="0.25">
      <c r="A3778">
        <v>4230</v>
      </c>
      <c r="B3778">
        <v>10</v>
      </c>
      <c r="C3778" t="s">
        <v>946</v>
      </c>
      <c r="D3778" t="s">
        <v>1025</v>
      </c>
      <c r="E3778" t="s">
        <v>104</v>
      </c>
      <c r="F3778" t="s">
        <v>948</v>
      </c>
      <c r="G3778">
        <v>1099999</v>
      </c>
      <c r="H3778">
        <v>401045</v>
      </c>
      <c r="I3778">
        <v>70</v>
      </c>
    </row>
    <row r="3779" spans="1:9" x14ac:dyDescent="0.25">
      <c r="A3779">
        <v>4240</v>
      </c>
      <c r="B3779">
        <v>10</v>
      </c>
      <c r="C3779" t="s">
        <v>946</v>
      </c>
      <c r="D3779" t="s">
        <v>1025</v>
      </c>
      <c r="E3779" t="s">
        <v>104</v>
      </c>
      <c r="F3779" t="s">
        <v>948</v>
      </c>
      <c r="G3779">
        <v>1077777</v>
      </c>
      <c r="H3779">
        <v>500221</v>
      </c>
      <c r="I3779" t="s">
        <v>949</v>
      </c>
    </row>
    <row r="3780" spans="1:9" x14ac:dyDescent="0.25">
      <c r="A3780">
        <v>4141</v>
      </c>
      <c r="B3780">
        <v>10</v>
      </c>
      <c r="C3780" t="s">
        <v>946</v>
      </c>
      <c r="D3780" t="s">
        <v>1025</v>
      </c>
      <c r="E3780" t="s">
        <v>278</v>
      </c>
      <c r="F3780" t="s">
        <v>948</v>
      </c>
      <c r="G3780">
        <v>1077777</v>
      </c>
      <c r="H3780">
        <v>501010</v>
      </c>
      <c r="I3780">
        <v>70</v>
      </c>
    </row>
    <row r="3781" spans="1:9" x14ac:dyDescent="0.25">
      <c r="A3781">
        <v>4220</v>
      </c>
      <c r="B3781">
        <v>10</v>
      </c>
      <c r="C3781" t="s">
        <v>946</v>
      </c>
      <c r="D3781" t="s">
        <v>1025</v>
      </c>
      <c r="E3781" t="s">
        <v>278</v>
      </c>
      <c r="F3781" t="s">
        <v>948</v>
      </c>
      <c r="G3781">
        <v>1077777</v>
      </c>
      <c r="H3781">
        <v>501010</v>
      </c>
      <c r="I3781">
        <v>70</v>
      </c>
    </row>
    <row r="3782" spans="1:9" x14ac:dyDescent="0.25">
      <c r="A3782">
        <v>4230</v>
      </c>
      <c r="B3782">
        <v>10</v>
      </c>
      <c r="C3782" t="s">
        <v>946</v>
      </c>
      <c r="D3782" t="s">
        <v>1025</v>
      </c>
      <c r="E3782" t="s">
        <v>278</v>
      </c>
      <c r="F3782" t="s">
        <v>948</v>
      </c>
      <c r="G3782">
        <v>1099999</v>
      </c>
      <c r="H3782">
        <v>401055</v>
      </c>
      <c r="I3782">
        <v>70</v>
      </c>
    </row>
    <row r="3783" spans="1:9" x14ac:dyDescent="0.25">
      <c r="A3783">
        <v>4240</v>
      </c>
      <c r="B3783">
        <v>10</v>
      </c>
      <c r="C3783" t="s">
        <v>946</v>
      </c>
      <c r="D3783" t="s">
        <v>1025</v>
      </c>
      <c r="E3783" t="s">
        <v>278</v>
      </c>
      <c r="F3783" t="s">
        <v>948</v>
      </c>
      <c r="G3783">
        <v>1000000</v>
      </c>
      <c r="H3783">
        <v>145000</v>
      </c>
      <c r="I3783" t="s">
        <v>949</v>
      </c>
    </row>
    <row r="3784" spans="1:9" x14ac:dyDescent="0.25">
      <c r="A3784">
        <v>4141</v>
      </c>
      <c r="B3784">
        <v>10</v>
      </c>
      <c r="C3784" t="s">
        <v>946</v>
      </c>
      <c r="D3784" t="s">
        <v>1025</v>
      </c>
      <c r="E3784" t="s">
        <v>282</v>
      </c>
      <c r="F3784" t="s">
        <v>948</v>
      </c>
      <c r="G3784">
        <v>1077777</v>
      </c>
      <c r="H3784">
        <v>501010</v>
      </c>
      <c r="I3784">
        <v>70</v>
      </c>
    </row>
    <row r="3785" spans="1:9" x14ac:dyDescent="0.25">
      <c r="A3785">
        <v>4220</v>
      </c>
      <c r="B3785">
        <v>10</v>
      </c>
      <c r="C3785" t="s">
        <v>946</v>
      </c>
      <c r="D3785" t="s">
        <v>1025</v>
      </c>
      <c r="E3785" t="s">
        <v>282</v>
      </c>
      <c r="F3785" t="s">
        <v>948</v>
      </c>
      <c r="G3785">
        <v>1077777</v>
      </c>
      <c r="H3785">
        <v>501010</v>
      </c>
      <c r="I3785">
        <v>70</v>
      </c>
    </row>
    <row r="3786" spans="1:9" x14ac:dyDescent="0.25">
      <c r="A3786">
        <v>4230</v>
      </c>
      <c r="B3786">
        <v>10</v>
      </c>
      <c r="C3786" t="s">
        <v>946</v>
      </c>
      <c r="D3786" t="s">
        <v>1025</v>
      </c>
      <c r="E3786" t="s">
        <v>282</v>
      </c>
      <c r="F3786" t="s">
        <v>948</v>
      </c>
      <c r="G3786">
        <v>1099999</v>
      </c>
      <c r="H3786">
        <v>401045</v>
      </c>
      <c r="I3786">
        <v>70</v>
      </c>
    </row>
    <row r="3787" spans="1:9" x14ac:dyDescent="0.25">
      <c r="A3787">
        <v>4240</v>
      </c>
      <c r="B3787">
        <v>10</v>
      </c>
      <c r="C3787" t="s">
        <v>946</v>
      </c>
      <c r="D3787" t="s">
        <v>1025</v>
      </c>
      <c r="E3787" t="s">
        <v>282</v>
      </c>
      <c r="F3787" t="s">
        <v>948</v>
      </c>
      <c r="G3787">
        <v>1000000</v>
      </c>
      <c r="H3787">
        <v>143100</v>
      </c>
      <c r="I3787" t="s">
        <v>949</v>
      </c>
    </row>
    <row r="3788" spans="1:9" x14ac:dyDescent="0.25">
      <c r="A3788">
        <v>4141</v>
      </c>
      <c r="B3788">
        <v>10</v>
      </c>
      <c r="C3788" t="s">
        <v>946</v>
      </c>
      <c r="D3788" t="s">
        <v>1025</v>
      </c>
      <c r="E3788" t="s">
        <v>286</v>
      </c>
      <c r="F3788" t="s">
        <v>948</v>
      </c>
      <c r="G3788">
        <v>1077777</v>
      </c>
      <c r="H3788">
        <v>501010</v>
      </c>
      <c r="I3788">
        <v>70</v>
      </c>
    </row>
    <row r="3789" spans="1:9" x14ac:dyDescent="0.25">
      <c r="A3789">
        <v>4220</v>
      </c>
      <c r="B3789">
        <v>10</v>
      </c>
      <c r="C3789" t="s">
        <v>946</v>
      </c>
      <c r="D3789" t="s">
        <v>1025</v>
      </c>
      <c r="E3789" t="s">
        <v>286</v>
      </c>
      <c r="F3789" t="s">
        <v>948</v>
      </c>
      <c r="G3789">
        <v>1077777</v>
      </c>
      <c r="H3789">
        <v>501010</v>
      </c>
      <c r="I3789">
        <v>70</v>
      </c>
    </row>
    <row r="3790" spans="1:9" x14ac:dyDescent="0.25">
      <c r="A3790">
        <v>4230</v>
      </c>
      <c r="B3790">
        <v>10</v>
      </c>
      <c r="C3790" t="s">
        <v>946</v>
      </c>
      <c r="D3790" t="s">
        <v>1025</v>
      </c>
      <c r="E3790" t="s">
        <v>286</v>
      </c>
      <c r="F3790" t="s">
        <v>948</v>
      </c>
      <c r="G3790">
        <v>1099999</v>
      </c>
      <c r="H3790">
        <v>401035</v>
      </c>
      <c r="I3790">
        <v>70</v>
      </c>
    </row>
    <row r="3791" spans="1:9" x14ac:dyDescent="0.25">
      <c r="A3791">
        <v>4240</v>
      </c>
      <c r="B3791">
        <v>10</v>
      </c>
      <c r="C3791" t="s">
        <v>946</v>
      </c>
      <c r="D3791" t="s">
        <v>1025</v>
      </c>
      <c r="E3791" t="s">
        <v>286</v>
      </c>
      <c r="F3791" t="s">
        <v>948</v>
      </c>
      <c r="G3791">
        <v>1000000</v>
      </c>
      <c r="H3791">
        <v>145000</v>
      </c>
      <c r="I3791" t="s">
        <v>949</v>
      </c>
    </row>
    <row r="3792" spans="1:9" x14ac:dyDescent="0.25">
      <c r="A3792">
        <v>4141</v>
      </c>
      <c r="B3792">
        <v>10</v>
      </c>
      <c r="C3792" t="s">
        <v>946</v>
      </c>
      <c r="D3792" t="s">
        <v>1025</v>
      </c>
      <c r="E3792" t="s">
        <v>976</v>
      </c>
      <c r="F3792" t="s">
        <v>948</v>
      </c>
      <c r="G3792">
        <v>1077777</v>
      </c>
      <c r="H3792">
        <v>501010</v>
      </c>
      <c r="I3792">
        <v>70</v>
      </c>
    </row>
    <row r="3793" spans="1:9" x14ac:dyDescent="0.25">
      <c r="A3793">
        <v>4220</v>
      </c>
      <c r="B3793">
        <v>10</v>
      </c>
      <c r="C3793" t="s">
        <v>946</v>
      </c>
      <c r="D3793" t="s">
        <v>1025</v>
      </c>
      <c r="E3793" t="s">
        <v>976</v>
      </c>
      <c r="F3793" t="s">
        <v>948</v>
      </c>
      <c r="G3793">
        <v>1077777</v>
      </c>
      <c r="H3793">
        <v>501010</v>
      </c>
      <c r="I3793">
        <v>70</v>
      </c>
    </row>
    <row r="3794" spans="1:9" x14ac:dyDescent="0.25">
      <c r="A3794">
        <v>4230</v>
      </c>
      <c r="B3794">
        <v>10</v>
      </c>
      <c r="C3794" t="s">
        <v>946</v>
      </c>
      <c r="D3794" t="s">
        <v>1025</v>
      </c>
      <c r="E3794" t="s">
        <v>976</v>
      </c>
      <c r="F3794" t="s">
        <v>948</v>
      </c>
      <c r="G3794">
        <v>1099999</v>
      </c>
      <c r="H3794">
        <v>401915</v>
      </c>
      <c r="I3794">
        <v>70</v>
      </c>
    </row>
    <row r="3795" spans="1:9" x14ac:dyDescent="0.25">
      <c r="A3795">
        <v>4240</v>
      </c>
      <c r="B3795">
        <v>10</v>
      </c>
      <c r="C3795" t="s">
        <v>946</v>
      </c>
      <c r="D3795" t="s">
        <v>1025</v>
      </c>
      <c r="E3795" t="s">
        <v>976</v>
      </c>
      <c r="F3795" t="s">
        <v>948</v>
      </c>
      <c r="G3795">
        <v>1000000</v>
      </c>
      <c r="H3795">
        <v>141000</v>
      </c>
      <c r="I3795" t="s">
        <v>977</v>
      </c>
    </row>
    <row r="3796" spans="1:9" x14ac:dyDescent="0.25">
      <c r="A3796">
        <v>4141</v>
      </c>
      <c r="B3796">
        <v>10</v>
      </c>
      <c r="C3796" t="s">
        <v>946</v>
      </c>
      <c r="D3796" t="s">
        <v>1025</v>
      </c>
      <c r="E3796" t="s">
        <v>290</v>
      </c>
      <c r="F3796" t="s">
        <v>948</v>
      </c>
      <c r="G3796">
        <v>1077777</v>
      </c>
      <c r="H3796">
        <v>501010</v>
      </c>
      <c r="I3796">
        <v>70</v>
      </c>
    </row>
    <row r="3797" spans="1:9" x14ac:dyDescent="0.25">
      <c r="A3797">
        <v>4220</v>
      </c>
      <c r="B3797">
        <v>10</v>
      </c>
      <c r="C3797" t="s">
        <v>946</v>
      </c>
      <c r="D3797" t="s">
        <v>1025</v>
      </c>
      <c r="E3797" t="s">
        <v>290</v>
      </c>
      <c r="F3797" t="s">
        <v>948</v>
      </c>
      <c r="G3797">
        <v>1077777</v>
      </c>
      <c r="H3797">
        <v>501010</v>
      </c>
      <c r="I3797">
        <v>70</v>
      </c>
    </row>
    <row r="3798" spans="1:9" x14ac:dyDescent="0.25">
      <c r="A3798">
        <v>4230</v>
      </c>
      <c r="B3798">
        <v>10</v>
      </c>
      <c r="C3798" t="s">
        <v>946</v>
      </c>
      <c r="D3798" t="s">
        <v>1025</v>
      </c>
      <c r="E3798" t="s">
        <v>290</v>
      </c>
      <c r="F3798" t="s">
        <v>948</v>
      </c>
      <c r="G3798">
        <v>1099999</v>
      </c>
      <c r="H3798">
        <v>401045</v>
      </c>
      <c r="I3798">
        <v>70</v>
      </c>
    </row>
    <row r="3799" spans="1:9" x14ac:dyDescent="0.25">
      <c r="A3799">
        <v>4240</v>
      </c>
      <c r="B3799">
        <v>10</v>
      </c>
      <c r="C3799" t="s">
        <v>946</v>
      </c>
      <c r="D3799" t="s">
        <v>1025</v>
      </c>
      <c r="E3799" t="s">
        <v>290</v>
      </c>
      <c r="F3799" t="s">
        <v>948</v>
      </c>
      <c r="G3799">
        <v>1000000</v>
      </c>
      <c r="H3799">
        <v>143000</v>
      </c>
      <c r="I3799" t="s">
        <v>978</v>
      </c>
    </row>
    <row r="3800" spans="1:9" x14ac:dyDescent="0.25">
      <c r="A3800">
        <v>4141</v>
      </c>
      <c r="B3800">
        <v>10</v>
      </c>
      <c r="C3800" t="s">
        <v>946</v>
      </c>
      <c r="D3800" t="s">
        <v>1025</v>
      </c>
      <c r="E3800" t="s">
        <v>294</v>
      </c>
      <c r="F3800" t="s">
        <v>948</v>
      </c>
      <c r="G3800">
        <v>1077777</v>
      </c>
      <c r="H3800">
        <v>501010</v>
      </c>
      <c r="I3800">
        <v>70</v>
      </c>
    </row>
    <row r="3801" spans="1:9" x14ac:dyDescent="0.25">
      <c r="A3801">
        <v>4220</v>
      </c>
      <c r="B3801">
        <v>10</v>
      </c>
      <c r="C3801" t="s">
        <v>946</v>
      </c>
      <c r="D3801" t="s">
        <v>1025</v>
      </c>
      <c r="E3801" t="s">
        <v>294</v>
      </c>
      <c r="F3801" t="s">
        <v>948</v>
      </c>
      <c r="G3801">
        <v>1077777</v>
      </c>
      <c r="H3801">
        <v>501010</v>
      </c>
      <c r="I3801">
        <v>70</v>
      </c>
    </row>
    <row r="3802" spans="1:9" x14ac:dyDescent="0.25">
      <c r="A3802">
        <v>4230</v>
      </c>
      <c r="B3802">
        <v>10</v>
      </c>
      <c r="C3802" t="s">
        <v>946</v>
      </c>
      <c r="D3802" t="s">
        <v>1025</v>
      </c>
      <c r="E3802" t="s">
        <v>294</v>
      </c>
      <c r="F3802" t="s">
        <v>948</v>
      </c>
      <c r="G3802">
        <v>1099999</v>
      </c>
      <c r="H3802">
        <v>401045</v>
      </c>
      <c r="I3802">
        <v>70</v>
      </c>
    </row>
    <row r="3803" spans="1:9" x14ac:dyDescent="0.25">
      <c r="A3803">
        <v>4240</v>
      </c>
      <c r="B3803">
        <v>10</v>
      </c>
      <c r="C3803" t="s">
        <v>946</v>
      </c>
      <c r="D3803" t="s">
        <v>1025</v>
      </c>
      <c r="E3803" t="s">
        <v>294</v>
      </c>
      <c r="F3803" t="s">
        <v>948</v>
      </c>
      <c r="G3803">
        <v>1000000</v>
      </c>
      <c r="H3803">
        <v>143000</v>
      </c>
      <c r="I3803" t="s">
        <v>979</v>
      </c>
    </row>
    <row r="3804" spans="1:9" x14ac:dyDescent="0.25">
      <c r="A3804">
        <v>4230</v>
      </c>
      <c r="B3804">
        <v>10</v>
      </c>
      <c r="C3804" t="s">
        <v>946</v>
      </c>
      <c r="D3804" t="s">
        <v>1025</v>
      </c>
      <c r="E3804" t="s">
        <v>298</v>
      </c>
      <c r="F3804" t="s">
        <v>948</v>
      </c>
      <c r="G3804">
        <v>1099999</v>
      </c>
      <c r="H3804">
        <v>402085</v>
      </c>
      <c r="I3804">
        <v>70</v>
      </c>
    </row>
    <row r="3805" spans="1:9" x14ac:dyDescent="0.25">
      <c r="A3805">
        <v>4141</v>
      </c>
      <c r="B3805">
        <v>10</v>
      </c>
      <c r="C3805" t="s">
        <v>946</v>
      </c>
      <c r="D3805" t="s">
        <v>1025</v>
      </c>
      <c r="E3805" t="s">
        <v>980</v>
      </c>
      <c r="F3805" t="s">
        <v>948</v>
      </c>
      <c r="G3805">
        <v>1077777</v>
      </c>
      <c r="H3805">
        <v>501010</v>
      </c>
      <c r="I3805">
        <v>70</v>
      </c>
    </row>
    <row r="3806" spans="1:9" x14ac:dyDescent="0.25">
      <c r="A3806">
        <v>4220</v>
      </c>
      <c r="B3806">
        <v>10</v>
      </c>
      <c r="C3806" t="s">
        <v>946</v>
      </c>
      <c r="D3806" t="s">
        <v>1025</v>
      </c>
      <c r="E3806" t="s">
        <v>980</v>
      </c>
      <c r="F3806" t="s">
        <v>948</v>
      </c>
      <c r="G3806">
        <v>1077777</v>
      </c>
      <c r="H3806">
        <v>501010</v>
      </c>
      <c r="I3806">
        <v>70</v>
      </c>
    </row>
    <row r="3807" spans="1:9" x14ac:dyDescent="0.25">
      <c r="A3807">
        <v>4230</v>
      </c>
      <c r="B3807">
        <v>10</v>
      </c>
      <c r="C3807" t="s">
        <v>946</v>
      </c>
      <c r="D3807" t="s">
        <v>1025</v>
      </c>
      <c r="E3807" t="s">
        <v>980</v>
      </c>
      <c r="F3807" t="s">
        <v>948</v>
      </c>
      <c r="G3807">
        <v>1099999</v>
      </c>
      <c r="H3807">
        <v>401915</v>
      </c>
      <c r="I3807">
        <v>70</v>
      </c>
    </row>
    <row r="3808" spans="1:9" x14ac:dyDescent="0.25">
      <c r="A3808">
        <v>4240</v>
      </c>
      <c r="B3808">
        <v>10</v>
      </c>
      <c r="C3808" t="s">
        <v>946</v>
      </c>
      <c r="D3808" t="s">
        <v>1025</v>
      </c>
      <c r="E3808" t="s">
        <v>980</v>
      </c>
      <c r="F3808" t="s">
        <v>948</v>
      </c>
      <c r="G3808">
        <v>1000000</v>
      </c>
      <c r="H3808">
        <v>141000</v>
      </c>
      <c r="I3808" t="s">
        <v>981</v>
      </c>
    </row>
    <row r="3809" spans="1:9" x14ac:dyDescent="0.25">
      <c r="A3809">
        <v>4141</v>
      </c>
      <c r="B3809">
        <v>10</v>
      </c>
      <c r="C3809" t="s">
        <v>946</v>
      </c>
      <c r="D3809" t="s">
        <v>1025</v>
      </c>
      <c r="E3809" t="s">
        <v>302</v>
      </c>
      <c r="F3809" t="s">
        <v>948</v>
      </c>
      <c r="G3809">
        <v>1077777</v>
      </c>
      <c r="H3809">
        <v>501010</v>
      </c>
      <c r="I3809">
        <v>70</v>
      </c>
    </row>
    <row r="3810" spans="1:9" x14ac:dyDescent="0.25">
      <c r="A3810">
        <v>4220</v>
      </c>
      <c r="B3810">
        <v>10</v>
      </c>
      <c r="C3810" t="s">
        <v>946</v>
      </c>
      <c r="D3810" t="s">
        <v>1025</v>
      </c>
      <c r="E3810" t="s">
        <v>302</v>
      </c>
      <c r="F3810" t="s">
        <v>948</v>
      </c>
      <c r="G3810">
        <v>1077777</v>
      </c>
      <c r="H3810">
        <v>501010</v>
      </c>
      <c r="I3810">
        <v>70</v>
      </c>
    </row>
    <row r="3811" spans="1:9" x14ac:dyDescent="0.25">
      <c r="A3811">
        <v>4230</v>
      </c>
      <c r="B3811">
        <v>10</v>
      </c>
      <c r="C3811" t="s">
        <v>946</v>
      </c>
      <c r="D3811" t="s">
        <v>1025</v>
      </c>
      <c r="E3811" t="s">
        <v>302</v>
      </c>
      <c r="F3811" t="s">
        <v>948</v>
      </c>
      <c r="G3811">
        <v>1099999</v>
      </c>
      <c r="H3811">
        <v>401905</v>
      </c>
      <c r="I3811">
        <v>70</v>
      </c>
    </row>
    <row r="3812" spans="1:9" x14ac:dyDescent="0.25">
      <c r="A3812">
        <v>4240</v>
      </c>
      <c r="B3812">
        <v>10</v>
      </c>
      <c r="C3812" t="s">
        <v>946</v>
      </c>
      <c r="D3812" t="s">
        <v>1025</v>
      </c>
      <c r="E3812" t="s">
        <v>302</v>
      </c>
      <c r="F3812" t="s">
        <v>948</v>
      </c>
      <c r="G3812">
        <v>1000000</v>
      </c>
      <c r="H3812">
        <v>143000</v>
      </c>
      <c r="I3812" t="s">
        <v>982</v>
      </c>
    </row>
    <row r="3813" spans="1:9" x14ac:dyDescent="0.25">
      <c r="A3813">
        <v>4141</v>
      </c>
      <c r="B3813">
        <v>10</v>
      </c>
      <c r="C3813" t="s">
        <v>946</v>
      </c>
      <c r="D3813" t="s">
        <v>1025</v>
      </c>
      <c r="E3813" t="s">
        <v>306</v>
      </c>
      <c r="F3813" t="s">
        <v>948</v>
      </c>
      <c r="G3813">
        <v>1077777</v>
      </c>
      <c r="H3813">
        <v>501010</v>
      </c>
      <c r="I3813">
        <v>70</v>
      </c>
    </row>
    <row r="3814" spans="1:9" x14ac:dyDescent="0.25">
      <c r="A3814">
        <v>4220</v>
      </c>
      <c r="B3814">
        <v>10</v>
      </c>
      <c r="C3814" t="s">
        <v>946</v>
      </c>
      <c r="D3814" t="s">
        <v>1025</v>
      </c>
      <c r="E3814" t="s">
        <v>306</v>
      </c>
      <c r="F3814" t="s">
        <v>948</v>
      </c>
      <c r="G3814">
        <v>1077777</v>
      </c>
      <c r="H3814">
        <v>501010</v>
      </c>
      <c r="I3814">
        <v>70</v>
      </c>
    </row>
    <row r="3815" spans="1:9" x14ac:dyDescent="0.25">
      <c r="A3815">
        <v>4230</v>
      </c>
      <c r="B3815">
        <v>10</v>
      </c>
      <c r="C3815" t="s">
        <v>946</v>
      </c>
      <c r="D3815" t="s">
        <v>1025</v>
      </c>
      <c r="E3815" t="s">
        <v>306</v>
      </c>
      <c r="F3815" t="s">
        <v>948</v>
      </c>
      <c r="G3815">
        <v>1099999</v>
      </c>
      <c r="H3815">
        <v>401045</v>
      </c>
      <c r="I3815">
        <v>70</v>
      </c>
    </row>
    <row r="3816" spans="1:9" x14ac:dyDescent="0.25">
      <c r="A3816">
        <v>4240</v>
      </c>
      <c r="B3816">
        <v>10</v>
      </c>
      <c r="C3816" t="s">
        <v>946</v>
      </c>
      <c r="D3816" t="s">
        <v>1025</v>
      </c>
      <c r="E3816" t="s">
        <v>306</v>
      </c>
      <c r="F3816" t="s">
        <v>948</v>
      </c>
      <c r="G3816">
        <v>1000000</v>
      </c>
      <c r="H3816">
        <v>143000</v>
      </c>
      <c r="I3816" t="s">
        <v>983</v>
      </c>
    </row>
    <row r="3817" spans="1:9" x14ac:dyDescent="0.25">
      <c r="A3817">
        <v>4141</v>
      </c>
      <c r="B3817">
        <v>10</v>
      </c>
      <c r="C3817" t="s">
        <v>946</v>
      </c>
      <c r="D3817" t="s">
        <v>1025</v>
      </c>
      <c r="E3817" t="s">
        <v>108</v>
      </c>
      <c r="F3817" t="s">
        <v>948</v>
      </c>
      <c r="G3817">
        <v>1077777</v>
      </c>
      <c r="H3817">
        <v>500220</v>
      </c>
      <c r="I3817" t="s">
        <v>949</v>
      </c>
    </row>
    <row r="3818" spans="1:9" x14ac:dyDescent="0.25">
      <c r="A3818">
        <v>4220</v>
      </c>
      <c r="B3818">
        <v>10</v>
      </c>
      <c r="C3818" t="s">
        <v>946</v>
      </c>
      <c r="D3818" t="s">
        <v>1025</v>
      </c>
      <c r="E3818" t="s">
        <v>108</v>
      </c>
      <c r="F3818" t="s">
        <v>948</v>
      </c>
      <c r="G3818">
        <v>1077777</v>
      </c>
      <c r="H3818">
        <v>500220</v>
      </c>
      <c r="I3818" t="s">
        <v>949</v>
      </c>
    </row>
    <row r="3819" spans="1:9" x14ac:dyDescent="0.25">
      <c r="A3819">
        <v>4230</v>
      </c>
      <c r="B3819">
        <v>10</v>
      </c>
      <c r="C3819" t="s">
        <v>946</v>
      </c>
      <c r="D3819" t="s">
        <v>1025</v>
      </c>
      <c r="E3819" t="s">
        <v>108</v>
      </c>
      <c r="F3819" t="s">
        <v>948</v>
      </c>
      <c r="G3819">
        <v>1099999</v>
      </c>
      <c r="H3819">
        <v>401045</v>
      </c>
      <c r="I3819">
        <v>70</v>
      </c>
    </row>
    <row r="3820" spans="1:9" x14ac:dyDescent="0.25">
      <c r="A3820">
        <v>4240</v>
      </c>
      <c r="B3820">
        <v>10</v>
      </c>
      <c r="C3820" t="s">
        <v>946</v>
      </c>
      <c r="D3820" t="s">
        <v>1025</v>
      </c>
      <c r="E3820" t="s">
        <v>108</v>
      </c>
      <c r="F3820" t="s">
        <v>948</v>
      </c>
      <c r="G3820">
        <v>1077777</v>
      </c>
      <c r="H3820">
        <v>500221</v>
      </c>
      <c r="I3820" t="s">
        <v>949</v>
      </c>
    </row>
    <row r="3821" spans="1:9" x14ac:dyDescent="0.25">
      <c r="A3821">
        <v>4141</v>
      </c>
      <c r="B3821">
        <v>10</v>
      </c>
      <c r="C3821" t="s">
        <v>946</v>
      </c>
      <c r="D3821" t="s">
        <v>1025</v>
      </c>
      <c r="E3821" t="s">
        <v>310</v>
      </c>
      <c r="F3821" t="s">
        <v>948</v>
      </c>
      <c r="G3821">
        <v>1077777</v>
      </c>
      <c r="H3821">
        <v>501010</v>
      </c>
      <c r="I3821">
        <v>70</v>
      </c>
    </row>
    <row r="3822" spans="1:9" x14ac:dyDescent="0.25">
      <c r="A3822">
        <v>4220</v>
      </c>
      <c r="B3822">
        <v>10</v>
      </c>
      <c r="C3822" t="s">
        <v>946</v>
      </c>
      <c r="D3822" t="s">
        <v>1025</v>
      </c>
      <c r="E3822" t="s">
        <v>310</v>
      </c>
      <c r="F3822" t="s">
        <v>948</v>
      </c>
      <c r="G3822">
        <v>1077777</v>
      </c>
      <c r="H3822">
        <v>501010</v>
      </c>
      <c r="I3822">
        <v>70</v>
      </c>
    </row>
    <row r="3823" spans="1:9" x14ac:dyDescent="0.25">
      <c r="A3823">
        <v>4230</v>
      </c>
      <c r="B3823">
        <v>10</v>
      </c>
      <c r="C3823" t="s">
        <v>946</v>
      </c>
      <c r="D3823" t="s">
        <v>1025</v>
      </c>
      <c r="E3823" t="s">
        <v>310</v>
      </c>
      <c r="F3823" t="s">
        <v>948</v>
      </c>
      <c r="G3823">
        <v>1099999</v>
      </c>
      <c r="H3823">
        <v>401015</v>
      </c>
      <c r="I3823">
        <v>70</v>
      </c>
    </row>
    <row r="3824" spans="1:9" x14ac:dyDescent="0.25">
      <c r="A3824">
        <v>4240</v>
      </c>
      <c r="B3824">
        <v>10</v>
      </c>
      <c r="C3824" t="s">
        <v>946</v>
      </c>
      <c r="D3824" t="s">
        <v>1025</v>
      </c>
      <c r="E3824" t="s">
        <v>310</v>
      </c>
      <c r="F3824" t="s">
        <v>948</v>
      </c>
      <c r="G3824">
        <v>1000000</v>
      </c>
      <c r="H3824">
        <v>145000</v>
      </c>
      <c r="I3824" t="s">
        <v>949</v>
      </c>
    </row>
    <row r="3825" spans="1:9" x14ac:dyDescent="0.25">
      <c r="A3825">
        <v>4141</v>
      </c>
      <c r="B3825">
        <v>10</v>
      </c>
      <c r="C3825" t="s">
        <v>946</v>
      </c>
      <c r="D3825" t="s">
        <v>1025</v>
      </c>
      <c r="E3825" t="s">
        <v>314</v>
      </c>
      <c r="F3825" t="s">
        <v>948</v>
      </c>
      <c r="G3825">
        <v>1077777</v>
      </c>
      <c r="H3825">
        <v>501010</v>
      </c>
      <c r="I3825">
        <v>70</v>
      </c>
    </row>
    <row r="3826" spans="1:9" x14ac:dyDescent="0.25">
      <c r="A3826">
        <v>4220</v>
      </c>
      <c r="B3826">
        <v>10</v>
      </c>
      <c r="C3826" t="s">
        <v>946</v>
      </c>
      <c r="D3826" t="s">
        <v>1025</v>
      </c>
      <c r="E3826" t="s">
        <v>314</v>
      </c>
      <c r="F3826" t="s">
        <v>948</v>
      </c>
      <c r="G3826">
        <v>1077777</v>
      </c>
      <c r="H3826">
        <v>501010</v>
      </c>
      <c r="I3826">
        <v>70</v>
      </c>
    </row>
    <row r="3827" spans="1:9" x14ac:dyDescent="0.25">
      <c r="A3827">
        <v>4230</v>
      </c>
      <c r="B3827">
        <v>10</v>
      </c>
      <c r="C3827" t="s">
        <v>946</v>
      </c>
      <c r="D3827" t="s">
        <v>1025</v>
      </c>
      <c r="E3827" t="s">
        <v>314</v>
      </c>
      <c r="F3827" t="s">
        <v>948</v>
      </c>
      <c r="G3827">
        <v>1099999</v>
      </c>
      <c r="H3827">
        <v>401065</v>
      </c>
      <c r="I3827">
        <v>70</v>
      </c>
    </row>
    <row r="3828" spans="1:9" x14ac:dyDescent="0.25">
      <c r="A3828">
        <v>4240</v>
      </c>
      <c r="B3828">
        <v>10</v>
      </c>
      <c r="C3828" t="s">
        <v>946</v>
      </c>
      <c r="D3828" t="s">
        <v>1025</v>
      </c>
      <c r="E3828" t="s">
        <v>314</v>
      </c>
      <c r="F3828" t="s">
        <v>948</v>
      </c>
      <c r="G3828">
        <v>1000000</v>
      </c>
      <c r="H3828">
        <v>145000</v>
      </c>
      <c r="I3828" t="s">
        <v>949</v>
      </c>
    </row>
    <row r="3829" spans="1:9" x14ac:dyDescent="0.25">
      <c r="A3829">
        <v>4141</v>
      </c>
      <c r="B3829">
        <v>10</v>
      </c>
      <c r="C3829" t="s">
        <v>946</v>
      </c>
      <c r="D3829" t="s">
        <v>1025</v>
      </c>
      <c r="E3829" t="s">
        <v>113</v>
      </c>
      <c r="F3829" t="s">
        <v>948</v>
      </c>
      <c r="G3829">
        <v>1077777</v>
      </c>
      <c r="H3829">
        <v>500220</v>
      </c>
      <c r="I3829" t="s">
        <v>949</v>
      </c>
    </row>
    <row r="3830" spans="1:9" x14ac:dyDescent="0.25">
      <c r="A3830">
        <v>4220</v>
      </c>
      <c r="B3830">
        <v>10</v>
      </c>
      <c r="C3830" t="s">
        <v>946</v>
      </c>
      <c r="D3830" t="s">
        <v>1025</v>
      </c>
      <c r="E3830" t="s">
        <v>113</v>
      </c>
      <c r="F3830" t="s">
        <v>948</v>
      </c>
      <c r="G3830">
        <v>1077777</v>
      </c>
      <c r="H3830">
        <v>500220</v>
      </c>
      <c r="I3830" t="s">
        <v>949</v>
      </c>
    </row>
    <row r="3831" spans="1:9" x14ac:dyDescent="0.25">
      <c r="A3831">
        <v>4230</v>
      </c>
      <c r="B3831">
        <v>10</v>
      </c>
      <c r="C3831" t="s">
        <v>946</v>
      </c>
      <c r="D3831" t="s">
        <v>1025</v>
      </c>
      <c r="E3831" t="s">
        <v>113</v>
      </c>
      <c r="F3831" t="s">
        <v>948</v>
      </c>
      <c r="G3831">
        <v>1099999</v>
      </c>
      <c r="H3831">
        <v>402085</v>
      </c>
      <c r="I3831">
        <v>70</v>
      </c>
    </row>
    <row r="3832" spans="1:9" x14ac:dyDescent="0.25">
      <c r="A3832">
        <v>4240</v>
      </c>
      <c r="B3832">
        <v>10</v>
      </c>
      <c r="C3832" t="s">
        <v>946</v>
      </c>
      <c r="D3832" t="s">
        <v>1025</v>
      </c>
      <c r="E3832" t="s">
        <v>113</v>
      </c>
      <c r="F3832" t="s">
        <v>948</v>
      </c>
      <c r="G3832">
        <v>1077777</v>
      </c>
      <c r="H3832">
        <v>500221</v>
      </c>
      <c r="I3832" t="s">
        <v>949</v>
      </c>
    </row>
    <row r="3833" spans="1:9" x14ac:dyDescent="0.25">
      <c r="A3833">
        <v>4141</v>
      </c>
      <c r="B3833">
        <v>10</v>
      </c>
      <c r="C3833" t="s">
        <v>946</v>
      </c>
      <c r="D3833" t="s">
        <v>1025</v>
      </c>
      <c r="E3833" t="s">
        <v>117</v>
      </c>
      <c r="F3833" t="s">
        <v>948</v>
      </c>
      <c r="G3833">
        <v>1077777</v>
      </c>
      <c r="H3833">
        <v>500220</v>
      </c>
      <c r="I3833" t="s">
        <v>949</v>
      </c>
    </row>
    <row r="3834" spans="1:9" x14ac:dyDescent="0.25">
      <c r="A3834">
        <v>4220</v>
      </c>
      <c r="B3834">
        <v>10</v>
      </c>
      <c r="C3834" t="s">
        <v>946</v>
      </c>
      <c r="D3834" t="s">
        <v>1025</v>
      </c>
      <c r="E3834" t="s">
        <v>117</v>
      </c>
      <c r="F3834" t="s">
        <v>948</v>
      </c>
      <c r="G3834">
        <v>1077777</v>
      </c>
      <c r="H3834">
        <v>500220</v>
      </c>
      <c r="I3834" t="s">
        <v>949</v>
      </c>
    </row>
    <row r="3835" spans="1:9" x14ac:dyDescent="0.25">
      <c r="A3835">
        <v>4230</v>
      </c>
      <c r="B3835">
        <v>10</v>
      </c>
      <c r="C3835" t="s">
        <v>946</v>
      </c>
      <c r="D3835" t="s">
        <v>1025</v>
      </c>
      <c r="E3835" t="s">
        <v>117</v>
      </c>
      <c r="F3835" t="s">
        <v>948</v>
      </c>
      <c r="G3835">
        <v>1088888</v>
      </c>
      <c r="H3835">
        <v>810600</v>
      </c>
      <c r="I3835">
        <v>70</v>
      </c>
    </row>
    <row r="3836" spans="1:9" x14ac:dyDescent="0.25">
      <c r="A3836">
        <v>4240</v>
      </c>
      <c r="B3836">
        <v>10</v>
      </c>
      <c r="C3836" t="s">
        <v>946</v>
      </c>
      <c r="D3836" t="s">
        <v>1025</v>
      </c>
      <c r="E3836" t="s">
        <v>117</v>
      </c>
      <c r="F3836" t="s">
        <v>948</v>
      </c>
      <c r="G3836">
        <v>1077777</v>
      </c>
      <c r="H3836">
        <v>500221</v>
      </c>
      <c r="I3836" t="s">
        <v>949</v>
      </c>
    </row>
    <row r="3837" spans="1:9" x14ac:dyDescent="0.25">
      <c r="A3837">
        <v>4141</v>
      </c>
      <c r="B3837">
        <v>10</v>
      </c>
      <c r="C3837" t="s">
        <v>946</v>
      </c>
      <c r="D3837" t="s">
        <v>1025</v>
      </c>
      <c r="E3837" t="s">
        <v>121</v>
      </c>
      <c r="F3837" t="s">
        <v>948</v>
      </c>
      <c r="G3837">
        <v>1077777</v>
      </c>
      <c r="H3837">
        <v>500220</v>
      </c>
      <c r="I3837" t="s">
        <v>949</v>
      </c>
    </row>
    <row r="3838" spans="1:9" x14ac:dyDescent="0.25">
      <c r="A3838">
        <v>4220</v>
      </c>
      <c r="B3838">
        <v>10</v>
      </c>
      <c r="C3838" t="s">
        <v>946</v>
      </c>
      <c r="D3838" t="s">
        <v>1025</v>
      </c>
      <c r="E3838" t="s">
        <v>121</v>
      </c>
      <c r="F3838" t="s">
        <v>948</v>
      </c>
      <c r="G3838">
        <v>1077777</v>
      </c>
      <c r="H3838">
        <v>500220</v>
      </c>
      <c r="I3838" t="s">
        <v>949</v>
      </c>
    </row>
    <row r="3839" spans="1:9" x14ac:dyDescent="0.25">
      <c r="A3839">
        <v>4230</v>
      </c>
      <c r="B3839">
        <v>10</v>
      </c>
      <c r="C3839" t="s">
        <v>946</v>
      </c>
      <c r="D3839" t="s">
        <v>1025</v>
      </c>
      <c r="E3839" t="s">
        <v>121</v>
      </c>
      <c r="F3839" t="s">
        <v>948</v>
      </c>
      <c r="G3839">
        <v>1099999</v>
      </c>
      <c r="H3839">
        <v>401045</v>
      </c>
      <c r="I3839">
        <v>70</v>
      </c>
    </row>
    <row r="3840" spans="1:9" x14ac:dyDescent="0.25">
      <c r="A3840">
        <v>4240</v>
      </c>
      <c r="B3840">
        <v>10</v>
      </c>
      <c r="C3840" t="s">
        <v>946</v>
      </c>
      <c r="D3840" t="s">
        <v>1025</v>
      </c>
      <c r="E3840" t="s">
        <v>121</v>
      </c>
      <c r="F3840" t="s">
        <v>948</v>
      </c>
      <c r="G3840">
        <v>1077777</v>
      </c>
      <c r="H3840">
        <v>500221</v>
      </c>
      <c r="I3840" t="s">
        <v>949</v>
      </c>
    </row>
    <row r="3841" spans="1:9" x14ac:dyDescent="0.25">
      <c r="A3841">
        <v>4141</v>
      </c>
      <c r="B3841">
        <v>10</v>
      </c>
      <c r="C3841" t="s">
        <v>946</v>
      </c>
      <c r="D3841" t="s">
        <v>1025</v>
      </c>
      <c r="E3841" t="s">
        <v>984</v>
      </c>
      <c r="F3841" t="s">
        <v>948</v>
      </c>
      <c r="G3841">
        <v>1077777</v>
      </c>
      <c r="H3841">
        <v>501010</v>
      </c>
      <c r="I3841">
        <v>70</v>
      </c>
    </row>
    <row r="3842" spans="1:9" x14ac:dyDescent="0.25">
      <c r="A3842">
        <v>4220</v>
      </c>
      <c r="B3842">
        <v>10</v>
      </c>
      <c r="C3842" t="s">
        <v>946</v>
      </c>
      <c r="D3842" t="s">
        <v>1025</v>
      </c>
      <c r="E3842" t="s">
        <v>984</v>
      </c>
      <c r="F3842" t="s">
        <v>948</v>
      </c>
      <c r="G3842">
        <v>1077777</v>
      </c>
      <c r="H3842">
        <v>501010</v>
      </c>
      <c r="I3842">
        <v>70</v>
      </c>
    </row>
    <row r="3843" spans="1:9" x14ac:dyDescent="0.25">
      <c r="A3843">
        <v>4230</v>
      </c>
      <c r="B3843">
        <v>10</v>
      </c>
      <c r="C3843" t="s">
        <v>946</v>
      </c>
      <c r="D3843" t="s">
        <v>1025</v>
      </c>
      <c r="E3843" t="s">
        <v>984</v>
      </c>
      <c r="F3843" t="s">
        <v>948</v>
      </c>
      <c r="G3843">
        <v>1099999</v>
      </c>
      <c r="H3843">
        <v>401915</v>
      </c>
      <c r="I3843">
        <v>70</v>
      </c>
    </row>
    <row r="3844" spans="1:9" x14ac:dyDescent="0.25">
      <c r="A3844">
        <v>4240</v>
      </c>
      <c r="B3844">
        <v>10</v>
      </c>
      <c r="C3844" t="s">
        <v>946</v>
      </c>
      <c r="D3844" t="s">
        <v>1025</v>
      </c>
      <c r="E3844" t="s">
        <v>984</v>
      </c>
      <c r="F3844" t="s">
        <v>948</v>
      </c>
      <c r="G3844">
        <v>1000000</v>
      </c>
      <c r="H3844">
        <v>141000</v>
      </c>
      <c r="I3844" t="s">
        <v>985</v>
      </c>
    </row>
    <row r="3845" spans="1:9" x14ac:dyDescent="0.25">
      <c r="A3845">
        <v>4141</v>
      </c>
      <c r="B3845">
        <v>10</v>
      </c>
      <c r="C3845" t="s">
        <v>946</v>
      </c>
      <c r="D3845" t="s">
        <v>1026</v>
      </c>
      <c r="E3845" t="s">
        <v>243</v>
      </c>
      <c r="F3845" t="s">
        <v>948</v>
      </c>
      <c r="G3845">
        <v>1077777</v>
      </c>
      <c r="H3845">
        <v>501010</v>
      </c>
      <c r="I3845">
        <v>73</v>
      </c>
    </row>
    <row r="3846" spans="1:9" x14ac:dyDescent="0.25">
      <c r="A3846">
        <v>4220</v>
      </c>
      <c r="B3846">
        <v>10</v>
      </c>
      <c r="C3846" t="s">
        <v>946</v>
      </c>
      <c r="D3846" t="s">
        <v>1026</v>
      </c>
      <c r="E3846" t="s">
        <v>243</v>
      </c>
      <c r="F3846" t="s">
        <v>948</v>
      </c>
      <c r="G3846">
        <v>1077777</v>
      </c>
      <c r="H3846">
        <v>501010</v>
      </c>
      <c r="I3846">
        <v>73</v>
      </c>
    </row>
    <row r="3847" spans="1:9" x14ac:dyDescent="0.25">
      <c r="A3847">
        <v>4230</v>
      </c>
      <c r="B3847">
        <v>10</v>
      </c>
      <c r="C3847" t="s">
        <v>946</v>
      </c>
      <c r="D3847" t="s">
        <v>1026</v>
      </c>
      <c r="E3847" t="s">
        <v>243</v>
      </c>
      <c r="F3847" t="s">
        <v>948</v>
      </c>
      <c r="G3847">
        <v>1099999</v>
      </c>
      <c r="H3847">
        <v>401055</v>
      </c>
      <c r="I3847">
        <v>73</v>
      </c>
    </row>
    <row r="3848" spans="1:9" x14ac:dyDescent="0.25">
      <c r="A3848">
        <v>4240</v>
      </c>
      <c r="B3848">
        <v>10</v>
      </c>
      <c r="C3848" t="s">
        <v>946</v>
      </c>
      <c r="D3848" t="s">
        <v>1026</v>
      </c>
      <c r="E3848" t="s">
        <v>243</v>
      </c>
      <c r="F3848" t="s">
        <v>948</v>
      </c>
      <c r="G3848">
        <v>1000000</v>
      </c>
      <c r="H3848">
        <v>145000</v>
      </c>
      <c r="I3848" t="s">
        <v>949</v>
      </c>
    </row>
    <row r="3849" spans="1:9" x14ac:dyDescent="0.25">
      <c r="A3849">
        <v>4141</v>
      </c>
      <c r="B3849">
        <v>10</v>
      </c>
      <c r="C3849" t="s">
        <v>946</v>
      </c>
      <c r="D3849" t="s">
        <v>1026</v>
      </c>
      <c r="E3849" t="s">
        <v>247</v>
      </c>
      <c r="F3849" t="s">
        <v>948</v>
      </c>
      <c r="G3849">
        <v>1077777</v>
      </c>
      <c r="H3849">
        <v>501010</v>
      </c>
      <c r="I3849">
        <v>73</v>
      </c>
    </row>
    <row r="3850" spans="1:9" x14ac:dyDescent="0.25">
      <c r="A3850">
        <v>4220</v>
      </c>
      <c r="B3850">
        <v>10</v>
      </c>
      <c r="C3850" t="s">
        <v>946</v>
      </c>
      <c r="D3850" t="s">
        <v>1026</v>
      </c>
      <c r="E3850" t="s">
        <v>247</v>
      </c>
      <c r="F3850" t="s">
        <v>948</v>
      </c>
      <c r="G3850">
        <v>1077777</v>
      </c>
      <c r="H3850">
        <v>501010</v>
      </c>
      <c r="I3850">
        <v>73</v>
      </c>
    </row>
    <row r="3851" spans="1:9" x14ac:dyDescent="0.25">
      <c r="A3851">
        <v>4230</v>
      </c>
      <c r="B3851">
        <v>10</v>
      </c>
      <c r="C3851" t="s">
        <v>946</v>
      </c>
      <c r="D3851" t="s">
        <v>1026</v>
      </c>
      <c r="E3851" t="s">
        <v>247</v>
      </c>
      <c r="F3851" t="s">
        <v>948</v>
      </c>
      <c r="G3851">
        <v>1099999</v>
      </c>
      <c r="H3851">
        <v>401025</v>
      </c>
      <c r="I3851">
        <v>73</v>
      </c>
    </row>
    <row r="3852" spans="1:9" x14ac:dyDescent="0.25">
      <c r="A3852">
        <v>4240</v>
      </c>
      <c r="B3852">
        <v>10</v>
      </c>
      <c r="C3852" t="s">
        <v>946</v>
      </c>
      <c r="D3852" t="s">
        <v>1026</v>
      </c>
      <c r="E3852" t="s">
        <v>247</v>
      </c>
      <c r="F3852" t="s">
        <v>948</v>
      </c>
      <c r="G3852">
        <v>1000000</v>
      </c>
      <c r="H3852">
        <v>145000</v>
      </c>
      <c r="I3852" t="s">
        <v>949</v>
      </c>
    </row>
    <row r="3853" spans="1:9" x14ac:dyDescent="0.25">
      <c r="A3853">
        <v>4141</v>
      </c>
      <c r="B3853">
        <v>10</v>
      </c>
      <c r="C3853" t="s">
        <v>946</v>
      </c>
      <c r="D3853" t="s">
        <v>1026</v>
      </c>
      <c r="E3853" t="s">
        <v>251</v>
      </c>
      <c r="F3853" t="s">
        <v>948</v>
      </c>
      <c r="G3853">
        <v>1077777</v>
      </c>
      <c r="H3853">
        <v>501010</v>
      </c>
      <c r="I3853">
        <v>73</v>
      </c>
    </row>
    <row r="3854" spans="1:9" x14ac:dyDescent="0.25">
      <c r="A3854">
        <v>4220</v>
      </c>
      <c r="B3854">
        <v>10</v>
      </c>
      <c r="C3854" t="s">
        <v>946</v>
      </c>
      <c r="D3854" t="s">
        <v>1026</v>
      </c>
      <c r="E3854" t="s">
        <v>251</v>
      </c>
      <c r="F3854" t="s">
        <v>948</v>
      </c>
      <c r="G3854">
        <v>1077777</v>
      </c>
      <c r="H3854">
        <v>501010</v>
      </c>
      <c r="I3854">
        <v>73</v>
      </c>
    </row>
    <row r="3855" spans="1:9" x14ac:dyDescent="0.25">
      <c r="A3855">
        <v>4230</v>
      </c>
      <c r="B3855">
        <v>10</v>
      </c>
      <c r="C3855" t="s">
        <v>946</v>
      </c>
      <c r="D3855" t="s">
        <v>1026</v>
      </c>
      <c r="E3855" t="s">
        <v>251</v>
      </c>
      <c r="F3855" t="s">
        <v>948</v>
      </c>
      <c r="G3855">
        <v>1099999</v>
      </c>
      <c r="H3855">
        <v>401045</v>
      </c>
      <c r="I3855">
        <v>73</v>
      </c>
    </row>
    <row r="3856" spans="1:9" x14ac:dyDescent="0.25">
      <c r="A3856">
        <v>4240</v>
      </c>
      <c r="B3856">
        <v>10</v>
      </c>
      <c r="C3856" t="s">
        <v>946</v>
      </c>
      <c r="D3856" t="s">
        <v>1026</v>
      </c>
      <c r="E3856" t="s">
        <v>251</v>
      </c>
      <c r="F3856" t="s">
        <v>948</v>
      </c>
      <c r="G3856">
        <v>1000000</v>
      </c>
      <c r="H3856">
        <v>142000</v>
      </c>
      <c r="I3856" t="s">
        <v>949</v>
      </c>
    </row>
    <row r="3857" spans="1:9" x14ac:dyDescent="0.25">
      <c r="A3857">
        <v>4141</v>
      </c>
      <c r="B3857">
        <v>10</v>
      </c>
      <c r="C3857" t="s">
        <v>946</v>
      </c>
      <c r="D3857" t="s">
        <v>1026</v>
      </c>
      <c r="E3857" t="s">
        <v>969</v>
      </c>
      <c r="F3857" t="s">
        <v>948</v>
      </c>
      <c r="G3857">
        <v>1077777</v>
      </c>
      <c r="H3857">
        <v>501010</v>
      </c>
      <c r="I3857">
        <v>73</v>
      </c>
    </row>
    <row r="3858" spans="1:9" x14ac:dyDescent="0.25">
      <c r="A3858">
        <v>4220</v>
      </c>
      <c r="B3858">
        <v>10</v>
      </c>
      <c r="C3858" t="s">
        <v>946</v>
      </c>
      <c r="D3858" t="s">
        <v>1026</v>
      </c>
      <c r="E3858" t="s">
        <v>969</v>
      </c>
      <c r="F3858" t="s">
        <v>948</v>
      </c>
      <c r="G3858">
        <v>1077777</v>
      </c>
      <c r="H3858">
        <v>501010</v>
      </c>
      <c r="I3858">
        <v>73</v>
      </c>
    </row>
    <row r="3859" spans="1:9" x14ac:dyDescent="0.25">
      <c r="A3859">
        <v>4230</v>
      </c>
      <c r="B3859">
        <v>10</v>
      </c>
      <c r="C3859" t="s">
        <v>946</v>
      </c>
      <c r="D3859" t="s">
        <v>1026</v>
      </c>
      <c r="E3859" t="s">
        <v>969</v>
      </c>
      <c r="F3859" t="s">
        <v>948</v>
      </c>
      <c r="G3859">
        <v>1099999</v>
      </c>
      <c r="H3859">
        <v>401915</v>
      </c>
      <c r="I3859">
        <v>73</v>
      </c>
    </row>
    <row r="3860" spans="1:9" x14ac:dyDescent="0.25">
      <c r="A3860">
        <v>4240</v>
      </c>
      <c r="B3860">
        <v>10</v>
      </c>
      <c r="C3860" t="s">
        <v>946</v>
      </c>
      <c r="D3860" t="s">
        <v>1026</v>
      </c>
      <c r="E3860" t="s">
        <v>969</v>
      </c>
      <c r="F3860" t="s">
        <v>948</v>
      </c>
      <c r="G3860">
        <v>1000000</v>
      </c>
      <c r="H3860">
        <v>141000</v>
      </c>
      <c r="I3860" t="s">
        <v>970</v>
      </c>
    </row>
    <row r="3861" spans="1:9" x14ac:dyDescent="0.25">
      <c r="A3861">
        <v>4141</v>
      </c>
      <c r="B3861">
        <v>10</v>
      </c>
      <c r="C3861" t="s">
        <v>946</v>
      </c>
      <c r="D3861" t="s">
        <v>1026</v>
      </c>
      <c r="E3861" t="s">
        <v>255</v>
      </c>
      <c r="F3861" t="s">
        <v>948</v>
      </c>
      <c r="G3861">
        <v>1077777</v>
      </c>
      <c r="H3861">
        <v>501010</v>
      </c>
      <c r="I3861">
        <v>73</v>
      </c>
    </row>
    <row r="3862" spans="1:9" x14ac:dyDescent="0.25">
      <c r="A3862">
        <v>4220</v>
      </c>
      <c r="B3862">
        <v>10</v>
      </c>
      <c r="C3862" t="s">
        <v>946</v>
      </c>
      <c r="D3862" t="s">
        <v>1026</v>
      </c>
      <c r="E3862" t="s">
        <v>255</v>
      </c>
      <c r="F3862" t="s">
        <v>948</v>
      </c>
      <c r="G3862">
        <v>1077777</v>
      </c>
      <c r="H3862">
        <v>501010</v>
      </c>
      <c r="I3862">
        <v>73</v>
      </c>
    </row>
    <row r="3863" spans="1:9" x14ac:dyDescent="0.25">
      <c r="A3863">
        <v>4230</v>
      </c>
      <c r="B3863">
        <v>10</v>
      </c>
      <c r="C3863" t="s">
        <v>946</v>
      </c>
      <c r="D3863" t="s">
        <v>1026</v>
      </c>
      <c r="E3863" t="s">
        <v>255</v>
      </c>
      <c r="F3863" t="s">
        <v>948</v>
      </c>
      <c r="G3863">
        <v>1099999</v>
      </c>
      <c r="H3863">
        <v>401075</v>
      </c>
      <c r="I3863">
        <v>73</v>
      </c>
    </row>
    <row r="3864" spans="1:9" x14ac:dyDescent="0.25">
      <c r="A3864">
        <v>4240</v>
      </c>
      <c r="B3864">
        <v>10</v>
      </c>
      <c r="C3864" t="s">
        <v>946</v>
      </c>
      <c r="D3864" t="s">
        <v>1026</v>
      </c>
      <c r="E3864" t="s">
        <v>255</v>
      </c>
      <c r="F3864" t="s">
        <v>948</v>
      </c>
      <c r="G3864">
        <v>1000000</v>
      </c>
      <c r="H3864">
        <v>145000</v>
      </c>
      <c r="I3864" t="s">
        <v>949</v>
      </c>
    </row>
    <row r="3865" spans="1:9" x14ac:dyDescent="0.25">
      <c r="A3865">
        <v>4141</v>
      </c>
      <c r="B3865">
        <v>10</v>
      </c>
      <c r="C3865" t="s">
        <v>946</v>
      </c>
      <c r="D3865" t="s">
        <v>1026</v>
      </c>
      <c r="E3865" t="s">
        <v>971</v>
      </c>
      <c r="F3865" t="s">
        <v>948</v>
      </c>
      <c r="G3865">
        <v>1077777</v>
      </c>
      <c r="H3865">
        <v>501010</v>
      </c>
      <c r="I3865">
        <v>73</v>
      </c>
    </row>
    <row r="3866" spans="1:9" x14ac:dyDescent="0.25">
      <c r="A3866">
        <v>4220</v>
      </c>
      <c r="B3866">
        <v>10</v>
      </c>
      <c r="C3866" t="s">
        <v>946</v>
      </c>
      <c r="D3866" t="s">
        <v>1026</v>
      </c>
      <c r="E3866" t="s">
        <v>971</v>
      </c>
      <c r="F3866" t="s">
        <v>948</v>
      </c>
      <c r="G3866">
        <v>1077777</v>
      </c>
      <c r="H3866">
        <v>501010</v>
      </c>
      <c r="I3866">
        <v>73</v>
      </c>
    </row>
    <row r="3867" spans="1:9" x14ac:dyDescent="0.25">
      <c r="A3867">
        <v>4230</v>
      </c>
      <c r="B3867">
        <v>10</v>
      </c>
      <c r="C3867" t="s">
        <v>946</v>
      </c>
      <c r="D3867" t="s">
        <v>1026</v>
      </c>
      <c r="E3867" t="s">
        <v>971</v>
      </c>
      <c r="F3867" t="s">
        <v>948</v>
      </c>
      <c r="G3867">
        <v>1099999</v>
      </c>
      <c r="H3867">
        <v>401915</v>
      </c>
      <c r="I3867">
        <v>73</v>
      </c>
    </row>
    <row r="3868" spans="1:9" x14ac:dyDescent="0.25">
      <c r="A3868">
        <v>4240</v>
      </c>
      <c r="B3868">
        <v>10</v>
      </c>
      <c r="C3868" t="s">
        <v>946</v>
      </c>
      <c r="D3868" t="s">
        <v>1026</v>
      </c>
      <c r="E3868" t="s">
        <v>971</v>
      </c>
      <c r="F3868" t="s">
        <v>948</v>
      </c>
      <c r="G3868">
        <v>1000000</v>
      </c>
      <c r="H3868">
        <v>141000</v>
      </c>
      <c r="I3868" t="s">
        <v>972</v>
      </c>
    </row>
    <row r="3869" spans="1:9" x14ac:dyDescent="0.25">
      <c r="A3869">
        <v>4230</v>
      </c>
      <c r="B3869">
        <v>10</v>
      </c>
      <c r="C3869" t="s">
        <v>946</v>
      </c>
      <c r="D3869" t="s">
        <v>1026</v>
      </c>
      <c r="E3869" t="s">
        <v>259</v>
      </c>
      <c r="F3869" t="s">
        <v>948</v>
      </c>
      <c r="G3869">
        <v>1099999</v>
      </c>
      <c r="H3869">
        <v>409005</v>
      </c>
      <c r="I3869">
        <v>73</v>
      </c>
    </row>
    <row r="3870" spans="1:9" x14ac:dyDescent="0.25">
      <c r="A3870">
        <v>4141</v>
      </c>
      <c r="B3870">
        <v>10</v>
      </c>
      <c r="C3870" t="s">
        <v>946</v>
      </c>
      <c r="D3870" t="s">
        <v>1026</v>
      </c>
      <c r="E3870" t="s">
        <v>263</v>
      </c>
      <c r="F3870" t="s">
        <v>948</v>
      </c>
      <c r="G3870">
        <v>1077777</v>
      </c>
      <c r="H3870">
        <v>501010</v>
      </c>
      <c r="I3870">
        <v>73</v>
      </c>
    </row>
    <row r="3871" spans="1:9" x14ac:dyDescent="0.25">
      <c r="A3871">
        <v>4220</v>
      </c>
      <c r="B3871">
        <v>10</v>
      </c>
      <c r="C3871" t="s">
        <v>946</v>
      </c>
      <c r="D3871" t="s">
        <v>1026</v>
      </c>
      <c r="E3871" t="s">
        <v>263</v>
      </c>
      <c r="F3871" t="s">
        <v>948</v>
      </c>
      <c r="G3871">
        <v>1077777</v>
      </c>
      <c r="H3871">
        <v>501010</v>
      </c>
      <c r="I3871">
        <v>73</v>
      </c>
    </row>
    <row r="3872" spans="1:9" x14ac:dyDescent="0.25">
      <c r="A3872">
        <v>4230</v>
      </c>
      <c r="B3872">
        <v>10</v>
      </c>
      <c r="C3872" t="s">
        <v>946</v>
      </c>
      <c r="D3872" t="s">
        <v>1026</v>
      </c>
      <c r="E3872" t="s">
        <v>263</v>
      </c>
      <c r="F3872" t="s">
        <v>948</v>
      </c>
      <c r="G3872">
        <v>1099999</v>
      </c>
      <c r="H3872">
        <v>401045</v>
      </c>
      <c r="I3872">
        <v>73</v>
      </c>
    </row>
    <row r="3873" spans="1:9" x14ac:dyDescent="0.25">
      <c r="A3873">
        <v>4240</v>
      </c>
      <c r="B3873">
        <v>10</v>
      </c>
      <c r="C3873" t="s">
        <v>946</v>
      </c>
      <c r="D3873" t="s">
        <v>1026</v>
      </c>
      <c r="E3873" t="s">
        <v>263</v>
      </c>
      <c r="F3873" t="s">
        <v>948</v>
      </c>
      <c r="G3873">
        <v>1000000</v>
      </c>
      <c r="H3873">
        <v>145000</v>
      </c>
      <c r="I3873" t="s">
        <v>949</v>
      </c>
    </row>
    <row r="3874" spans="1:9" x14ac:dyDescent="0.25">
      <c r="A3874">
        <v>4141</v>
      </c>
      <c r="B3874">
        <v>10</v>
      </c>
      <c r="C3874" t="s">
        <v>946</v>
      </c>
      <c r="D3874" t="s">
        <v>1026</v>
      </c>
      <c r="E3874" t="s">
        <v>100</v>
      </c>
      <c r="F3874" t="s">
        <v>948</v>
      </c>
      <c r="G3874">
        <v>1077777</v>
      </c>
      <c r="H3874">
        <v>500220</v>
      </c>
      <c r="I3874" t="s">
        <v>949</v>
      </c>
    </row>
    <row r="3875" spans="1:9" x14ac:dyDescent="0.25">
      <c r="A3875">
        <v>4220</v>
      </c>
      <c r="B3875">
        <v>10</v>
      </c>
      <c r="C3875" t="s">
        <v>946</v>
      </c>
      <c r="D3875" t="s">
        <v>1026</v>
      </c>
      <c r="E3875" t="s">
        <v>100</v>
      </c>
      <c r="F3875" t="s">
        <v>948</v>
      </c>
      <c r="G3875">
        <v>1077777</v>
      </c>
      <c r="H3875">
        <v>500220</v>
      </c>
      <c r="I3875" t="s">
        <v>949</v>
      </c>
    </row>
    <row r="3876" spans="1:9" x14ac:dyDescent="0.25">
      <c r="A3876">
        <v>4230</v>
      </c>
      <c r="B3876">
        <v>10</v>
      </c>
      <c r="C3876" t="s">
        <v>946</v>
      </c>
      <c r="D3876" t="s">
        <v>1026</v>
      </c>
      <c r="E3876" t="s">
        <v>100</v>
      </c>
      <c r="F3876" t="s">
        <v>948</v>
      </c>
      <c r="G3876">
        <v>1099999</v>
      </c>
      <c r="H3876">
        <v>401045</v>
      </c>
      <c r="I3876">
        <v>73</v>
      </c>
    </row>
    <row r="3877" spans="1:9" x14ac:dyDescent="0.25">
      <c r="A3877">
        <v>4240</v>
      </c>
      <c r="B3877">
        <v>10</v>
      </c>
      <c r="C3877" t="s">
        <v>946</v>
      </c>
      <c r="D3877" t="s">
        <v>1026</v>
      </c>
      <c r="E3877" t="s">
        <v>100</v>
      </c>
      <c r="F3877" t="s">
        <v>948</v>
      </c>
      <c r="G3877">
        <v>1077777</v>
      </c>
      <c r="H3877">
        <v>500221</v>
      </c>
      <c r="I3877" t="s">
        <v>949</v>
      </c>
    </row>
    <row r="3878" spans="1:9" x14ac:dyDescent="0.25">
      <c r="A3878">
        <v>4141</v>
      </c>
      <c r="B3878">
        <v>10</v>
      </c>
      <c r="C3878" t="s">
        <v>946</v>
      </c>
      <c r="D3878" t="s">
        <v>1026</v>
      </c>
      <c r="E3878" t="s">
        <v>270</v>
      </c>
      <c r="F3878" t="s">
        <v>948</v>
      </c>
      <c r="G3878">
        <v>1077777</v>
      </c>
      <c r="H3878">
        <v>501010</v>
      </c>
      <c r="I3878">
        <v>73</v>
      </c>
    </row>
    <row r="3879" spans="1:9" x14ac:dyDescent="0.25">
      <c r="A3879">
        <v>4220</v>
      </c>
      <c r="B3879">
        <v>10</v>
      </c>
      <c r="C3879" t="s">
        <v>946</v>
      </c>
      <c r="D3879" t="s">
        <v>1026</v>
      </c>
      <c r="E3879" t="s">
        <v>270</v>
      </c>
      <c r="F3879" t="s">
        <v>948</v>
      </c>
      <c r="G3879">
        <v>1077777</v>
      </c>
      <c r="H3879">
        <v>501010</v>
      </c>
      <c r="I3879">
        <v>73</v>
      </c>
    </row>
    <row r="3880" spans="1:9" x14ac:dyDescent="0.25">
      <c r="A3880">
        <v>4230</v>
      </c>
      <c r="B3880">
        <v>10</v>
      </c>
      <c r="C3880" t="s">
        <v>946</v>
      </c>
      <c r="D3880" t="s">
        <v>1026</v>
      </c>
      <c r="E3880" t="s">
        <v>270</v>
      </c>
      <c r="F3880" t="s">
        <v>948</v>
      </c>
      <c r="G3880">
        <v>1099999</v>
      </c>
      <c r="H3880">
        <v>401065</v>
      </c>
      <c r="I3880">
        <v>73</v>
      </c>
    </row>
    <row r="3881" spans="1:9" x14ac:dyDescent="0.25">
      <c r="A3881">
        <v>4240</v>
      </c>
      <c r="B3881">
        <v>10</v>
      </c>
      <c r="C3881" t="s">
        <v>946</v>
      </c>
      <c r="D3881" t="s">
        <v>1026</v>
      </c>
      <c r="E3881" t="s">
        <v>270</v>
      </c>
      <c r="F3881" t="s">
        <v>948</v>
      </c>
      <c r="G3881">
        <v>1000000</v>
      </c>
      <c r="H3881">
        <v>145000</v>
      </c>
      <c r="I3881" t="s">
        <v>949</v>
      </c>
    </row>
    <row r="3882" spans="1:9" x14ac:dyDescent="0.25">
      <c r="A3882">
        <v>4141</v>
      </c>
      <c r="B3882">
        <v>10</v>
      </c>
      <c r="C3882" t="s">
        <v>946</v>
      </c>
      <c r="D3882" t="s">
        <v>1026</v>
      </c>
      <c r="E3882" t="s">
        <v>274</v>
      </c>
      <c r="F3882" t="s">
        <v>948</v>
      </c>
      <c r="G3882">
        <v>1077777</v>
      </c>
      <c r="H3882">
        <v>501010</v>
      </c>
      <c r="I3882">
        <v>73</v>
      </c>
    </row>
    <row r="3883" spans="1:9" x14ac:dyDescent="0.25">
      <c r="A3883">
        <v>4220</v>
      </c>
      <c r="B3883">
        <v>10</v>
      </c>
      <c r="C3883" t="s">
        <v>946</v>
      </c>
      <c r="D3883" t="s">
        <v>1026</v>
      </c>
      <c r="E3883" t="s">
        <v>274</v>
      </c>
      <c r="F3883" t="s">
        <v>948</v>
      </c>
      <c r="G3883">
        <v>1077777</v>
      </c>
      <c r="H3883">
        <v>501010</v>
      </c>
      <c r="I3883">
        <v>73</v>
      </c>
    </row>
    <row r="3884" spans="1:9" x14ac:dyDescent="0.25">
      <c r="A3884">
        <v>4230</v>
      </c>
      <c r="B3884">
        <v>10</v>
      </c>
      <c r="C3884" t="s">
        <v>946</v>
      </c>
      <c r="D3884" t="s">
        <v>1026</v>
      </c>
      <c r="E3884" t="s">
        <v>274</v>
      </c>
      <c r="F3884" t="s">
        <v>948</v>
      </c>
      <c r="G3884">
        <v>1099999</v>
      </c>
      <c r="H3884">
        <v>401045</v>
      </c>
      <c r="I3884">
        <v>73</v>
      </c>
    </row>
    <row r="3885" spans="1:9" x14ac:dyDescent="0.25">
      <c r="A3885">
        <v>4240</v>
      </c>
      <c r="B3885">
        <v>10</v>
      </c>
      <c r="C3885" t="s">
        <v>946</v>
      </c>
      <c r="D3885" t="s">
        <v>1026</v>
      </c>
      <c r="E3885" t="s">
        <v>274</v>
      </c>
      <c r="F3885" t="s">
        <v>948</v>
      </c>
      <c r="G3885">
        <v>1000000</v>
      </c>
      <c r="H3885">
        <v>143000</v>
      </c>
      <c r="I3885" t="s">
        <v>973</v>
      </c>
    </row>
    <row r="3886" spans="1:9" x14ac:dyDescent="0.25">
      <c r="A3886">
        <v>4141</v>
      </c>
      <c r="B3886">
        <v>10</v>
      </c>
      <c r="C3886" t="s">
        <v>946</v>
      </c>
      <c r="D3886" t="s">
        <v>1026</v>
      </c>
      <c r="E3886" t="s">
        <v>974</v>
      </c>
      <c r="F3886" t="s">
        <v>948</v>
      </c>
      <c r="G3886">
        <v>1077777</v>
      </c>
      <c r="H3886">
        <v>501010</v>
      </c>
      <c r="I3886">
        <v>73</v>
      </c>
    </row>
    <row r="3887" spans="1:9" x14ac:dyDescent="0.25">
      <c r="A3887">
        <v>4220</v>
      </c>
      <c r="B3887">
        <v>10</v>
      </c>
      <c r="C3887" t="s">
        <v>946</v>
      </c>
      <c r="D3887" t="s">
        <v>1026</v>
      </c>
      <c r="E3887" t="s">
        <v>974</v>
      </c>
      <c r="F3887" t="s">
        <v>948</v>
      </c>
      <c r="G3887">
        <v>1077777</v>
      </c>
      <c r="H3887">
        <v>501010</v>
      </c>
      <c r="I3887">
        <v>73</v>
      </c>
    </row>
    <row r="3888" spans="1:9" x14ac:dyDescent="0.25">
      <c r="A3888">
        <v>4230</v>
      </c>
      <c r="B3888">
        <v>10</v>
      </c>
      <c r="C3888" t="s">
        <v>946</v>
      </c>
      <c r="D3888" t="s">
        <v>1026</v>
      </c>
      <c r="E3888" t="s">
        <v>974</v>
      </c>
      <c r="F3888" t="s">
        <v>948</v>
      </c>
      <c r="G3888">
        <v>1099999</v>
      </c>
      <c r="H3888">
        <v>401915</v>
      </c>
      <c r="I3888">
        <v>73</v>
      </c>
    </row>
    <row r="3889" spans="1:9" x14ac:dyDescent="0.25">
      <c r="A3889">
        <v>4240</v>
      </c>
      <c r="B3889">
        <v>10</v>
      </c>
      <c r="C3889" t="s">
        <v>946</v>
      </c>
      <c r="D3889" t="s">
        <v>1026</v>
      </c>
      <c r="E3889" t="s">
        <v>974</v>
      </c>
      <c r="F3889" t="s">
        <v>948</v>
      </c>
      <c r="G3889">
        <v>1000000</v>
      </c>
      <c r="H3889">
        <v>141000</v>
      </c>
      <c r="I3889" t="s">
        <v>975</v>
      </c>
    </row>
    <row r="3890" spans="1:9" x14ac:dyDescent="0.25">
      <c r="A3890">
        <v>4141</v>
      </c>
      <c r="B3890">
        <v>10</v>
      </c>
      <c r="C3890" t="s">
        <v>946</v>
      </c>
      <c r="D3890" t="s">
        <v>1026</v>
      </c>
      <c r="E3890" t="s">
        <v>104</v>
      </c>
      <c r="F3890" t="s">
        <v>948</v>
      </c>
      <c r="G3890">
        <v>1077777</v>
      </c>
      <c r="H3890">
        <v>500220</v>
      </c>
      <c r="I3890" t="s">
        <v>949</v>
      </c>
    </row>
    <row r="3891" spans="1:9" x14ac:dyDescent="0.25">
      <c r="A3891">
        <v>4220</v>
      </c>
      <c r="B3891">
        <v>10</v>
      </c>
      <c r="C3891" t="s">
        <v>946</v>
      </c>
      <c r="D3891" t="s">
        <v>1026</v>
      </c>
      <c r="E3891" t="s">
        <v>104</v>
      </c>
      <c r="F3891" t="s">
        <v>948</v>
      </c>
      <c r="G3891">
        <v>1077777</v>
      </c>
      <c r="H3891">
        <v>500220</v>
      </c>
      <c r="I3891" t="s">
        <v>949</v>
      </c>
    </row>
    <row r="3892" spans="1:9" x14ac:dyDescent="0.25">
      <c r="A3892">
        <v>4230</v>
      </c>
      <c r="B3892">
        <v>10</v>
      </c>
      <c r="C3892" t="s">
        <v>946</v>
      </c>
      <c r="D3892" t="s">
        <v>1026</v>
      </c>
      <c r="E3892" t="s">
        <v>104</v>
      </c>
      <c r="F3892" t="s">
        <v>948</v>
      </c>
      <c r="G3892">
        <v>1099999</v>
      </c>
      <c r="H3892">
        <v>401045</v>
      </c>
      <c r="I3892">
        <v>73</v>
      </c>
    </row>
    <row r="3893" spans="1:9" x14ac:dyDescent="0.25">
      <c r="A3893">
        <v>4240</v>
      </c>
      <c r="B3893">
        <v>10</v>
      </c>
      <c r="C3893" t="s">
        <v>946</v>
      </c>
      <c r="D3893" t="s">
        <v>1026</v>
      </c>
      <c r="E3893" t="s">
        <v>104</v>
      </c>
      <c r="F3893" t="s">
        <v>948</v>
      </c>
      <c r="G3893">
        <v>1077777</v>
      </c>
      <c r="H3893">
        <v>500221</v>
      </c>
      <c r="I3893" t="s">
        <v>949</v>
      </c>
    </row>
    <row r="3894" spans="1:9" x14ac:dyDescent="0.25">
      <c r="A3894">
        <v>4141</v>
      </c>
      <c r="B3894">
        <v>10</v>
      </c>
      <c r="C3894" t="s">
        <v>946</v>
      </c>
      <c r="D3894" t="s">
        <v>1026</v>
      </c>
      <c r="E3894" t="s">
        <v>278</v>
      </c>
      <c r="F3894" t="s">
        <v>948</v>
      </c>
      <c r="G3894">
        <v>1077777</v>
      </c>
      <c r="H3894">
        <v>501010</v>
      </c>
      <c r="I3894">
        <v>73</v>
      </c>
    </row>
    <row r="3895" spans="1:9" x14ac:dyDescent="0.25">
      <c r="A3895">
        <v>4220</v>
      </c>
      <c r="B3895">
        <v>10</v>
      </c>
      <c r="C3895" t="s">
        <v>946</v>
      </c>
      <c r="D3895" t="s">
        <v>1026</v>
      </c>
      <c r="E3895" t="s">
        <v>278</v>
      </c>
      <c r="F3895" t="s">
        <v>948</v>
      </c>
      <c r="G3895">
        <v>1077777</v>
      </c>
      <c r="H3895">
        <v>501010</v>
      </c>
      <c r="I3895">
        <v>73</v>
      </c>
    </row>
    <row r="3896" spans="1:9" x14ac:dyDescent="0.25">
      <c r="A3896">
        <v>4230</v>
      </c>
      <c r="B3896">
        <v>10</v>
      </c>
      <c r="C3896" t="s">
        <v>946</v>
      </c>
      <c r="D3896" t="s">
        <v>1026</v>
      </c>
      <c r="E3896" t="s">
        <v>278</v>
      </c>
      <c r="F3896" t="s">
        <v>948</v>
      </c>
      <c r="G3896">
        <v>1099999</v>
      </c>
      <c r="H3896">
        <v>401055</v>
      </c>
      <c r="I3896">
        <v>73</v>
      </c>
    </row>
    <row r="3897" spans="1:9" x14ac:dyDescent="0.25">
      <c r="A3897">
        <v>4240</v>
      </c>
      <c r="B3897">
        <v>10</v>
      </c>
      <c r="C3897" t="s">
        <v>946</v>
      </c>
      <c r="D3897" t="s">
        <v>1026</v>
      </c>
      <c r="E3897" t="s">
        <v>278</v>
      </c>
      <c r="F3897" t="s">
        <v>948</v>
      </c>
      <c r="G3897">
        <v>1000000</v>
      </c>
      <c r="H3897">
        <v>145000</v>
      </c>
      <c r="I3897" t="s">
        <v>949</v>
      </c>
    </row>
    <row r="3898" spans="1:9" x14ac:dyDescent="0.25">
      <c r="A3898">
        <v>4141</v>
      </c>
      <c r="B3898">
        <v>10</v>
      </c>
      <c r="C3898" t="s">
        <v>946</v>
      </c>
      <c r="D3898" t="s">
        <v>1026</v>
      </c>
      <c r="E3898" t="s">
        <v>282</v>
      </c>
      <c r="F3898" t="s">
        <v>948</v>
      </c>
      <c r="G3898">
        <v>1077777</v>
      </c>
      <c r="H3898">
        <v>501010</v>
      </c>
      <c r="I3898">
        <v>73</v>
      </c>
    </row>
    <row r="3899" spans="1:9" x14ac:dyDescent="0.25">
      <c r="A3899">
        <v>4220</v>
      </c>
      <c r="B3899">
        <v>10</v>
      </c>
      <c r="C3899" t="s">
        <v>946</v>
      </c>
      <c r="D3899" t="s">
        <v>1026</v>
      </c>
      <c r="E3899" t="s">
        <v>282</v>
      </c>
      <c r="F3899" t="s">
        <v>948</v>
      </c>
      <c r="G3899">
        <v>1077777</v>
      </c>
      <c r="H3899">
        <v>501010</v>
      </c>
      <c r="I3899">
        <v>73</v>
      </c>
    </row>
    <row r="3900" spans="1:9" x14ac:dyDescent="0.25">
      <c r="A3900">
        <v>4230</v>
      </c>
      <c r="B3900">
        <v>10</v>
      </c>
      <c r="C3900" t="s">
        <v>946</v>
      </c>
      <c r="D3900" t="s">
        <v>1026</v>
      </c>
      <c r="E3900" t="s">
        <v>282</v>
      </c>
      <c r="F3900" t="s">
        <v>948</v>
      </c>
      <c r="G3900">
        <v>1099999</v>
      </c>
      <c r="H3900">
        <v>401045</v>
      </c>
      <c r="I3900">
        <v>73</v>
      </c>
    </row>
    <row r="3901" spans="1:9" x14ac:dyDescent="0.25">
      <c r="A3901">
        <v>4240</v>
      </c>
      <c r="B3901">
        <v>10</v>
      </c>
      <c r="C3901" t="s">
        <v>946</v>
      </c>
      <c r="D3901" t="s">
        <v>1026</v>
      </c>
      <c r="E3901" t="s">
        <v>282</v>
      </c>
      <c r="F3901" t="s">
        <v>948</v>
      </c>
      <c r="G3901">
        <v>1000000</v>
      </c>
      <c r="H3901">
        <v>143100</v>
      </c>
      <c r="I3901" t="s">
        <v>949</v>
      </c>
    </row>
    <row r="3902" spans="1:9" x14ac:dyDescent="0.25">
      <c r="A3902">
        <v>4141</v>
      </c>
      <c r="B3902">
        <v>10</v>
      </c>
      <c r="C3902" t="s">
        <v>946</v>
      </c>
      <c r="D3902" t="s">
        <v>1026</v>
      </c>
      <c r="E3902" t="s">
        <v>286</v>
      </c>
      <c r="F3902" t="s">
        <v>948</v>
      </c>
      <c r="G3902">
        <v>1077777</v>
      </c>
      <c r="H3902">
        <v>501010</v>
      </c>
      <c r="I3902">
        <v>73</v>
      </c>
    </row>
    <row r="3903" spans="1:9" x14ac:dyDescent="0.25">
      <c r="A3903">
        <v>4220</v>
      </c>
      <c r="B3903">
        <v>10</v>
      </c>
      <c r="C3903" t="s">
        <v>946</v>
      </c>
      <c r="D3903" t="s">
        <v>1026</v>
      </c>
      <c r="E3903" t="s">
        <v>286</v>
      </c>
      <c r="F3903" t="s">
        <v>948</v>
      </c>
      <c r="G3903">
        <v>1077777</v>
      </c>
      <c r="H3903">
        <v>501010</v>
      </c>
      <c r="I3903">
        <v>73</v>
      </c>
    </row>
    <row r="3904" spans="1:9" x14ac:dyDescent="0.25">
      <c r="A3904">
        <v>4230</v>
      </c>
      <c r="B3904">
        <v>10</v>
      </c>
      <c r="C3904" t="s">
        <v>946</v>
      </c>
      <c r="D3904" t="s">
        <v>1026</v>
      </c>
      <c r="E3904" t="s">
        <v>286</v>
      </c>
      <c r="F3904" t="s">
        <v>948</v>
      </c>
      <c r="G3904">
        <v>1099999</v>
      </c>
      <c r="H3904">
        <v>401035</v>
      </c>
      <c r="I3904">
        <v>73</v>
      </c>
    </row>
    <row r="3905" spans="1:9" x14ac:dyDescent="0.25">
      <c r="A3905">
        <v>4240</v>
      </c>
      <c r="B3905">
        <v>10</v>
      </c>
      <c r="C3905" t="s">
        <v>946</v>
      </c>
      <c r="D3905" t="s">
        <v>1026</v>
      </c>
      <c r="E3905" t="s">
        <v>286</v>
      </c>
      <c r="F3905" t="s">
        <v>948</v>
      </c>
      <c r="G3905">
        <v>1000000</v>
      </c>
      <c r="H3905">
        <v>145000</v>
      </c>
      <c r="I3905" t="s">
        <v>949</v>
      </c>
    </row>
    <row r="3906" spans="1:9" x14ac:dyDescent="0.25">
      <c r="A3906">
        <v>4141</v>
      </c>
      <c r="B3906">
        <v>10</v>
      </c>
      <c r="C3906" t="s">
        <v>946</v>
      </c>
      <c r="D3906" t="s">
        <v>1026</v>
      </c>
      <c r="E3906" t="s">
        <v>976</v>
      </c>
      <c r="F3906" t="s">
        <v>948</v>
      </c>
      <c r="G3906">
        <v>1077777</v>
      </c>
      <c r="H3906">
        <v>501010</v>
      </c>
      <c r="I3906">
        <v>73</v>
      </c>
    </row>
    <row r="3907" spans="1:9" x14ac:dyDescent="0.25">
      <c r="A3907">
        <v>4220</v>
      </c>
      <c r="B3907">
        <v>10</v>
      </c>
      <c r="C3907" t="s">
        <v>946</v>
      </c>
      <c r="D3907" t="s">
        <v>1026</v>
      </c>
      <c r="E3907" t="s">
        <v>976</v>
      </c>
      <c r="F3907" t="s">
        <v>948</v>
      </c>
      <c r="G3907">
        <v>1077777</v>
      </c>
      <c r="H3907">
        <v>501010</v>
      </c>
      <c r="I3907">
        <v>73</v>
      </c>
    </row>
    <row r="3908" spans="1:9" x14ac:dyDescent="0.25">
      <c r="A3908">
        <v>4230</v>
      </c>
      <c r="B3908">
        <v>10</v>
      </c>
      <c r="C3908" t="s">
        <v>946</v>
      </c>
      <c r="D3908" t="s">
        <v>1026</v>
      </c>
      <c r="E3908" t="s">
        <v>976</v>
      </c>
      <c r="F3908" t="s">
        <v>948</v>
      </c>
      <c r="G3908">
        <v>1099999</v>
      </c>
      <c r="H3908">
        <v>401915</v>
      </c>
      <c r="I3908">
        <v>73</v>
      </c>
    </row>
    <row r="3909" spans="1:9" x14ac:dyDescent="0.25">
      <c r="A3909">
        <v>4240</v>
      </c>
      <c r="B3909">
        <v>10</v>
      </c>
      <c r="C3909" t="s">
        <v>946</v>
      </c>
      <c r="D3909" t="s">
        <v>1026</v>
      </c>
      <c r="E3909" t="s">
        <v>976</v>
      </c>
      <c r="F3909" t="s">
        <v>948</v>
      </c>
      <c r="G3909">
        <v>1000000</v>
      </c>
      <c r="H3909">
        <v>141000</v>
      </c>
      <c r="I3909" t="s">
        <v>977</v>
      </c>
    </row>
    <row r="3910" spans="1:9" x14ac:dyDescent="0.25">
      <c r="A3910">
        <v>4141</v>
      </c>
      <c r="B3910">
        <v>10</v>
      </c>
      <c r="C3910" t="s">
        <v>946</v>
      </c>
      <c r="D3910" t="s">
        <v>1026</v>
      </c>
      <c r="E3910" t="s">
        <v>290</v>
      </c>
      <c r="F3910" t="s">
        <v>948</v>
      </c>
      <c r="G3910">
        <v>1077777</v>
      </c>
      <c r="H3910">
        <v>501010</v>
      </c>
      <c r="I3910">
        <v>73</v>
      </c>
    </row>
    <row r="3911" spans="1:9" x14ac:dyDescent="0.25">
      <c r="A3911">
        <v>4220</v>
      </c>
      <c r="B3911">
        <v>10</v>
      </c>
      <c r="C3911" t="s">
        <v>946</v>
      </c>
      <c r="D3911" t="s">
        <v>1026</v>
      </c>
      <c r="E3911" t="s">
        <v>290</v>
      </c>
      <c r="F3911" t="s">
        <v>948</v>
      </c>
      <c r="G3911">
        <v>1077777</v>
      </c>
      <c r="H3911">
        <v>501010</v>
      </c>
      <c r="I3911">
        <v>73</v>
      </c>
    </row>
    <row r="3912" spans="1:9" x14ac:dyDescent="0.25">
      <c r="A3912">
        <v>4230</v>
      </c>
      <c r="B3912">
        <v>10</v>
      </c>
      <c r="C3912" t="s">
        <v>946</v>
      </c>
      <c r="D3912" t="s">
        <v>1026</v>
      </c>
      <c r="E3912" t="s">
        <v>290</v>
      </c>
      <c r="F3912" t="s">
        <v>948</v>
      </c>
      <c r="G3912">
        <v>1099999</v>
      </c>
      <c r="H3912">
        <v>401045</v>
      </c>
      <c r="I3912">
        <v>73</v>
      </c>
    </row>
    <row r="3913" spans="1:9" x14ac:dyDescent="0.25">
      <c r="A3913">
        <v>4240</v>
      </c>
      <c r="B3913">
        <v>10</v>
      </c>
      <c r="C3913" t="s">
        <v>946</v>
      </c>
      <c r="D3913" t="s">
        <v>1026</v>
      </c>
      <c r="E3913" t="s">
        <v>290</v>
      </c>
      <c r="F3913" t="s">
        <v>948</v>
      </c>
      <c r="G3913">
        <v>1000000</v>
      </c>
      <c r="H3913">
        <v>143000</v>
      </c>
      <c r="I3913" t="s">
        <v>978</v>
      </c>
    </row>
    <row r="3914" spans="1:9" x14ac:dyDescent="0.25">
      <c r="A3914">
        <v>4141</v>
      </c>
      <c r="B3914">
        <v>10</v>
      </c>
      <c r="C3914" t="s">
        <v>946</v>
      </c>
      <c r="D3914" t="s">
        <v>1026</v>
      </c>
      <c r="E3914" t="s">
        <v>294</v>
      </c>
      <c r="F3914" t="s">
        <v>948</v>
      </c>
      <c r="G3914">
        <v>1077777</v>
      </c>
      <c r="H3914">
        <v>501010</v>
      </c>
      <c r="I3914">
        <v>73</v>
      </c>
    </row>
    <row r="3915" spans="1:9" x14ac:dyDescent="0.25">
      <c r="A3915">
        <v>4220</v>
      </c>
      <c r="B3915">
        <v>10</v>
      </c>
      <c r="C3915" t="s">
        <v>946</v>
      </c>
      <c r="D3915" t="s">
        <v>1026</v>
      </c>
      <c r="E3915" t="s">
        <v>294</v>
      </c>
      <c r="F3915" t="s">
        <v>948</v>
      </c>
      <c r="G3915">
        <v>1077777</v>
      </c>
      <c r="H3915">
        <v>501010</v>
      </c>
      <c r="I3915">
        <v>73</v>
      </c>
    </row>
    <row r="3916" spans="1:9" x14ac:dyDescent="0.25">
      <c r="A3916">
        <v>4230</v>
      </c>
      <c r="B3916">
        <v>10</v>
      </c>
      <c r="C3916" t="s">
        <v>946</v>
      </c>
      <c r="D3916" t="s">
        <v>1026</v>
      </c>
      <c r="E3916" t="s">
        <v>294</v>
      </c>
      <c r="F3916" t="s">
        <v>948</v>
      </c>
      <c r="G3916">
        <v>1099999</v>
      </c>
      <c r="H3916">
        <v>401045</v>
      </c>
      <c r="I3916">
        <v>73</v>
      </c>
    </row>
    <row r="3917" spans="1:9" x14ac:dyDescent="0.25">
      <c r="A3917">
        <v>4240</v>
      </c>
      <c r="B3917">
        <v>10</v>
      </c>
      <c r="C3917" t="s">
        <v>946</v>
      </c>
      <c r="D3917" t="s">
        <v>1026</v>
      </c>
      <c r="E3917" t="s">
        <v>294</v>
      </c>
      <c r="F3917" t="s">
        <v>948</v>
      </c>
      <c r="G3917">
        <v>1000000</v>
      </c>
      <c r="H3917">
        <v>143000</v>
      </c>
      <c r="I3917" t="s">
        <v>979</v>
      </c>
    </row>
    <row r="3918" spans="1:9" x14ac:dyDescent="0.25">
      <c r="A3918">
        <v>4230</v>
      </c>
      <c r="B3918">
        <v>10</v>
      </c>
      <c r="C3918" t="s">
        <v>946</v>
      </c>
      <c r="D3918" t="s">
        <v>1026</v>
      </c>
      <c r="E3918" t="s">
        <v>298</v>
      </c>
      <c r="F3918" t="s">
        <v>948</v>
      </c>
      <c r="G3918">
        <v>1099999</v>
      </c>
      <c r="H3918">
        <v>402085</v>
      </c>
      <c r="I3918">
        <v>73</v>
      </c>
    </row>
    <row r="3919" spans="1:9" x14ac:dyDescent="0.25">
      <c r="A3919">
        <v>4141</v>
      </c>
      <c r="B3919">
        <v>10</v>
      </c>
      <c r="C3919" t="s">
        <v>946</v>
      </c>
      <c r="D3919" t="s">
        <v>1026</v>
      </c>
      <c r="E3919" t="s">
        <v>980</v>
      </c>
      <c r="F3919" t="s">
        <v>948</v>
      </c>
      <c r="G3919">
        <v>1077777</v>
      </c>
      <c r="H3919">
        <v>501010</v>
      </c>
      <c r="I3919">
        <v>73</v>
      </c>
    </row>
    <row r="3920" spans="1:9" x14ac:dyDescent="0.25">
      <c r="A3920">
        <v>4220</v>
      </c>
      <c r="B3920">
        <v>10</v>
      </c>
      <c r="C3920" t="s">
        <v>946</v>
      </c>
      <c r="D3920" t="s">
        <v>1026</v>
      </c>
      <c r="E3920" t="s">
        <v>980</v>
      </c>
      <c r="F3920" t="s">
        <v>948</v>
      </c>
      <c r="G3920">
        <v>1077777</v>
      </c>
      <c r="H3920">
        <v>501010</v>
      </c>
      <c r="I3920">
        <v>73</v>
      </c>
    </row>
    <row r="3921" spans="1:9" x14ac:dyDescent="0.25">
      <c r="A3921">
        <v>4230</v>
      </c>
      <c r="B3921">
        <v>10</v>
      </c>
      <c r="C3921" t="s">
        <v>946</v>
      </c>
      <c r="D3921" t="s">
        <v>1026</v>
      </c>
      <c r="E3921" t="s">
        <v>980</v>
      </c>
      <c r="F3921" t="s">
        <v>948</v>
      </c>
      <c r="G3921">
        <v>1099999</v>
      </c>
      <c r="H3921">
        <v>401915</v>
      </c>
      <c r="I3921">
        <v>73</v>
      </c>
    </row>
    <row r="3922" spans="1:9" x14ac:dyDescent="0.25">
      <c r="A3922">
        <v>4240</v>
      </c>
      <c r="B3922">
        <v>10</v>
      </c>
      <c r="C3922" t="s">
        <v>946</v>
      </c>
      <c r="D3922" t="s">
        <v>1026</v>
      </c>
      <c r="E3922" t="s">
        <v>980</v>
      </c>
      <c r="F3922" t="s">
        <v>948</v>
      </c>
      <c r="G3922">
        <v>1000000</v>
      </c>
      <c r="H3922">
        <v>141000</v>
      </c>
      <c r="I3922" t="s">
        <v>981</v>
      </c>
    </row>
    <row r="3923" spans="1:9" x14ac:dyDescent="0.25">
      <c r="A3923">
        <v>4141</v>
      </c>
      <c r="B3923">
        <v>10</v>
      </c>
      <c r="C3923" t="s">
        <v>946</v>
      </c>
      <c r="D3923" t="s">
        <v>1026</v>
      </c>
      <c r="E3923" t="s">
        <v>302</v>
      </c>
      <c r="F3923" t="s">
        <v>948</v>
      </c>
      <c r="G3923">
        <v>1077777</v>
      </c>
      <c r="H3923">
        <v>501010</v>
      </c>
      <c r="I3923">
        <v>73</v>
      </c>
    </row>
    <row r="3924" spans="1:9" x14ac:dyDescent="0.25">
      <c r="A3924">
        <v>4220</v>
      </c>
      <c r="B3924">
        <v>10</v>
      </c>
      <c r="C3924" t="s">
        <v>946</v>
      </c>
      <c r="D3924" t="s">
        <v>1026</v>
      </c>
      <c r="E3924" t="s">
        <v>302</v>
      </c>
      <c r="F3924" t="s">
        <v>948</v>
      </c>
      <c r="G3924">
        <v>1077777</v>
      </c>
      <c r="H3924">
        <v>501010</v>
      </c>
      <c r="I3924">
        <v>73</v>
      </c>
    </row>
    <row r="3925" spans="1:9" x14ac:dyDescent="0.25">
      <c r="A3925">
        <v>4230</v>
      </c>
      <c r="B3925">
        <v>10</v>
      </c>
      <c r="C3925" t="s">
        <v>946</v>
      </c>
      <c r="D3925" t="s">
        <v>1026</v>
      </c>
      <c r="E3925" t="s">
        <v>302</v>
      </c>
      <c r="F3925" t="s">
        <v>948</v>
      </c>
      <c r="G3925">
        <v>1099999</v>
      </c>
      <c r="H3925">
        <v>401905</v>
      </c>
      <c r="I3925">
        <v>73</v>
      </c>
    </row>
    <row r="3926" spans="1:9" x14ac:dyDescent="0.25">
      <c r="A3926">
        <v>4240</v>
      </c>
      <c r="B3926">
        <v>10</v>
      </c>
      <c r="C3926" t="s">
        <v>946</v>
      </c>
      <c r="D3926" t="s">
        <v>1026</v>
      </c>
      <c r="E3926" t="s">
        <v>302</v>
      </c>
      <c r="F3926" t="s">
        <v>948</v>
      </c>
      <c r="G3926">
        <v>1000000</v>
      </c>
      <c r="H3926">
        <v>143000</v>
      </c>
      <c r="I3926" t="s">
        <v>982</v>
      </c>
    </row>
    <row r="3927" spans="1:9" x14ac:dyDescent="0.25">
      <c r="A3927">
        <v>4141</v>
      </c>
      <c r="B3927">
        <v>10</v>
      </c>
      <c r="C3927" t="s">
        <v>946</v>
      </c>
      <c r="D3927" t="s">
        <v>1026</v>
      </c>
      <c r="E3927" t="s">
        <v>306</v>
      </c>
      <c r="F3927" t="s">
        <v>948</v>
      </c>
      <c r="G3927">
        <v>1077777</v>
      </c>
      <c r="H3927">
        <v>501010</v>
      </c>
      <c r="I3927">
        <v>73</v>
      </c>
    </row>
    <row r="3928" spans="1:9" x14ac:dyDescent="0.25">
      <c r="A3928">
        <v>4220</v>
      </c>
      <c r="B3928">
        <v>10</v>
      </c>
      <c r="C3928" t="s">
        <v>946</v>
      </c>
      <c r="D3928" t="s">
        <v>1026</v>
      </c>
      <c r="E3928" t="s">
        <v>306</v>
      </c>
      <c r="F3928" t="s">
        <v>948</v>
      </c>
      <c r="G3928">
        <v>1077777</v>
      </c>
      <c r="H3928">
        <v>501010</v>
      </c>
      <c r="I3928">
        <v>73</v>
      </c>
    </row>
    <row r="3929" spans="1:9" x14ac:dyDescent="0.25">
      <c r="A3929">
        <v>4230</v>
      </c>
      <c r="B3929">
        <v>10</v>
      </c>
      <c r="C3929" t="s">
        <v>946</v>
      </c>
      <c r="D3929" t="s">
        <v>1026</v>
      </c>
      <c r="E3929" t="s">
        <v>306</v>
      </c>
      <c r="F3929" t="s">
        <v>948</v>
      </c>
      <c r="G3929">
        <v>1099999</v>
      </c>
      <c r="H3929">
        <v>401045</v>
      </c>
      <c r="I3929">
        <v>73</v>
      </c>
    </row>
    <row r="3930" spans="1:9" x14ac:dyDescent="0.25">
      <c r="A3930">
        <v>4240</v>
      </c>
      <c r="B3930">
        <v>10</v>
      </c>
      <c r="C3930" t="s">
        <v>946</v>
      </c>
      <c r="D3930" t="s">
        <v>1026</v>
      </c>
      <c r="E3930" t="s">
        <v>306</v>
      </c>
      <c r="F3930" t="s">
        <v>948</v>
      </c>
      <c r="G3930">
        <v>1000000</v>
      </c>
      <c r="H3930">
        <v>143000</v>
      </c>
      <c r="I3930" t="s">
        <v>983</v>
      </c>
    </row>
    <row r="3931" spans="1:9" x14ac:dyDescent="0.25">
      <c r="A3931">
        <v>4141</v>
      </c>
      <c r="B3931">
        <v>10</v>
      </c>
      <c r="C3931" t="s">
        <v>946</v>
      </c>
      <c r="D3931" t="s">
        <v>1026</v>
      </c>
      <c r="E3931" t="s">
        <v>108</v>
      </c>
      <c r="F3931" t="s">
        <v>948</v>
      </c>
      <c r="G3931">
        <v>1077777</v>
      </c>
      <c r="H3931">
        <v>500220</v>
      </c>
      <c r="I3931" t="s">
        <v>949</v>
      </c>
    </row>
    <row r="3932" spans="1:9" x14ac:dyDescent="0.25">
      <c r="A3932">
        <v>4220</v>
      </c>
      <c r="B3932">
        <v>10</v>
      </c>
      <c r="C3932" t="s">
        <v>946</v>
      </c>
      <c r="D3932" t="s">
        <v>1026</v>
      </c>
      <c r="E3932" t="s">
        <v>108</v>
      </c>
      <c r="F3932" t="s">
        <v>948</v>
      </c>
      <c r="G3932">
        <v>1077777</v>
      </c>
      <c r="H3932">
        <v>500220</v>
      </c>
      <c r="I3932" t="s">
        <v>949</v>
      </c>
    </row>
    <row r="3933" spans="1:9" x14ac:dyDescent="0.25">
      <c r="A3933">
        <v>4230</v>
      </c>
      <c r="B3933">
        <v>10</v>
      </c>
      <c r="C3933" t="s">
        <v>946</v>
      </c>
      <c r="D3933" t="s">
        <v>1026</v>
      </c>
      <c r="E3933" t="s">
        <v>108</v>
      </c>
      <c r="F3933" t="s">
        <v>948</v>
      </c>
      <c r="G3933">
        <v>1099999</v>
      </c>
      <c r="H3933">
        <v>401045</v>
      </c>
      <c r="I3933">
        <v>73</v>
      </c>
    </row>
    <row r="3934" spans="1:9" x14ac:dyDescent="0.25">
      <c r="A3934">
        <v>4240</v>
      </c>
      <c r="B3934">
        <v>10</v>
      </c>
      <c r="C3934" t="s">
        <v>946</v>
      </c>
      <c r="D3934" t="s">
        <v>1026</v>
      </c>
      <c r="E3934" t="s">
        <v>108</v>
      </c>
      <c r="F3934" t="s">
        <v>948</v>
      </c>
      <c r="G3934">
        <v>1077777</v>
      </c>
      <c r="H3934">
        <v>500221</v>
      </c>
      <c r="I3934" t="s">
        <v>949</v>
      </c>
    </row>
    <row r="3935" spans="1:9" x14ac:dyDescent="0.25">
      <c r="A3935">
        <v>4141</v>
      </c>
      <c r="B3935">
        <v>10</v>
      </c>
      <c r="C3935" t="s">
        <v>946</v>
      </c>
      <c r="D3935" t="s">
        <v>1026</v>
      </c>
      <c r="E3935" t="s">
        <v>310</v>
      </c>
      <c r="F3935" t="s">
        <v>948</v>
      </c>
      <c r="G3935">
        <v>1077777</v>
      </c>
      <c r="H3935">
        <v>501010</v>
      </c>
      <c r="I3935">
        <v>73</v>
      </c>
    </row>
    <row r="3936" spans="1:9" x14ac:dyDescent="0.25">
      <c r="A3936">
        <v>4220</v>
      </c>
      <c r="B3936">
        <v>10</v>
      </c>
      <c r="C3936" t="s">
        <v>946</v>
      </c>
      <c r="D3936" t="s">
        <v>1026</v>
      </c>
      <c r="E3936" t="s">
        <v>310</v>
      </c>
      <c r="F3936" t="s">
        <v>948</v>
      </c>
      <c r="G3936">
        <v>1077777</v>
      </c>
      <c r="H3936">
        <v>501010</v>
      </c>
      <c r="I3936">
        <v>73</v>
      </c>
    </row>
    <row r="3937" spans="1:9" x14ac:dyDescent="0.25">
      <c r="A3937">
        <v>4230</v>
      </c>
      <c r="B3937">
        <v>10</v>
      </c>
      <c r="C3937" t="s">
        <v>946</v>
      </c>
      <c r="D3937" t="s">
        <v>1026</v>
      </c>
      <c r="E3937" t="s">
        <v>310</v>
      </c>
      <c r="F3937" t="s">
        <v>948</v>
      </c>
      <c r="G3937">
        <v>1099999</v>
      </c>
      <c r="H3937">
        <v>401015</v>
      </c>
      <c r="I3937">
        <v>73</v>
      </c>
    </row>
    <row r="3938" spans="1:9" x14ac:dyDescent="0.25">
      <c r="A3938">
        <v>4240</v>
      </c>
      <c r="B3938">
        <v>10</v>
      </c>
      <c r="C3938" t="s">
        <v>946</v>
      </c>
      <c r="D3938" t="s">
        <v>1026</v>
      </c>
      <c r="E3938" t="s">
        <v>310</v>
      </c>
      <c r="F3938" t="s">
        <v>948</v>
      </c>
      <c r="G3938">
        <v>1000000</v>
      </c>
      <c r="H3938">
        <v>145000</v>
      </c>
      <c r="I3938" t="s">
        <v>949</v>
      </c>
    </row>
    <row r="3939" spans="1:9" x14ac:dyDescent="0.25">
      <c r="A3939">
        <v>4141</v>
      </c>
      <c r="B3939">
        <v>10</v>
      </c>
      <c r="C3939" t="s">
        <v>946</v>
      </c>
      <c r="D3939" t="s">
        <v>1026</v>
      </c>
      <c r="E3939" t="s">
        <v>314</v>
      </c>
      <c r="F3939" t="s">
        <v>948</v>
      </c>
      <c r="G3939">
        <v>1077777</v>
      </c>
      <c r="H3939">
        <v>501010</v>
      </c>
      <c r="I3939">
        <v>73</v>
      </c>
    </row>
    <row r="3940" spans="1:9" x14ac:dyDescent="0.25">
      <c r="A3940">
        <v>4220</v>
      </c>
      <c r="B3940">
        <v>10</v>
      </c>
      <c r="C3940" t="s">
        <v>946</v>
      </c>
      <c r="D3940" t="s">
        <v>1026</v>
      </c>
      <c r="E3940" t="s">
        <v>314</v>
      </c>
      <c r="F3940" t="s">
        <v>948</v>
      </c>
      <c r="G3940">
        <v>1077777</v>
      </c>
      <c r="H3940">
        <v>501010</v>
      </c>
      <c r="I3940">
        <v>73</v>
      </c>
    </row>
    <row r="3941" spans="1:9" x14ac:dyDescent="0.25">
      <c r="A3941">
        <v>4230</v>
      </c>
      <c r="B3941">
        <v>10</v>
      </c>
      <c r="C3941" t="s">
        <v>946</v>
      </c>
      <c r="D3941" t="s">
        <v>1026</v>
      </c>
      <c r="E3941" t="s">
        <v>314</v>
      </c>
      <c r="F3941" t="s">
        <v>948</v>
      </c>
      <c r="G3941">
        <v>1099999</v>
      </c>
      <c r="H3941">
        <v>401065</v>
      </c>
      <c r="I3941">
        <v>73</v>
      </c>
    </row>
    <row r="3942" spans="1:9" x14ac:dyDescent="0.25">
      <c r="A3942">
        <v>4240</v>
      </c>
      <c r="B3942">
        <v>10</v>
      </c>
      <c r="C3942" t="s">
        <v>946</v>
      </c>
      <c r="D3942" t="s">
        <v>1026</v>
      </c>
      <c r="E3942" t="s">
        <v>314</v>
      </c>
      <c r="F3942" t="s">
        <v>948</v>
      </c>
      <c r="G3942">
        <v>1000000</v>
      </c>
      <c r="H3942">
        <v>145000</v>
      </c>
      <c r="I3942" t="s">
        <v>949</v>
      </c>
    </row>
    <row r="3943" spans="1:9" x14ac:dyDescent="0.25">
      <c r="A3943">
        <v>4141</v>
      </c>
      <c r="B3943">
        <v>10</v>
      </c>
      <c r="C3943" t="s">
        <v>946</v>
      </c>
      <c r="D3943" t="s">
        <v>1026</v>
      </c>
      <c r="E3943" t="s">
        <v>113</v>
      </c>
      <c r="F3943" t="s">
        <v>948</v>
      </c>
      <c r="G3943">
        <v>1077777</v>
      </c>
      <c r="H3943">
        <v>500220</v>
      </c>
      <c r="I3943" t="s">
        <v>949</v>
      </c>
    </row>
    <row r="3944" spans="1:9" x14ac:dyDescent="0.25">
      <c r="A3944">
        <v>4220</v>
      </c>
      <c r="B3944">
        <v>10</v>
      </c>
      <c r="C3944" t="s">
        <v>946</v>
      </c>
      <c r="D3944" t="s">
        <v>1026</v>
      </c>
      <c r="E3944" t="s">
        <v>113</v>
      </c>
      <c r="F3944" t="s">
        <v>948</v>
      </c>
      <c r="G3944">
        <v>1077777</v>
      </c>
      <c r="H3944">
        <v>500220</v>
      </c>
      <c r="I3944" t="s">
        <v>949</v>
      </c>
    </row>
    <row r="3945" spans="1:9" x14ac:dyDescent="0.25">
      <c r="A3945">
        <v>4230</v>
      </c>
      <c r="B3945">
        <v>10</v>
      </c>
      <c r="C3945" t="s">
        <v>946</v>
      </c>
      <c r="D3945" t="s">
        <v>1026</v>
      </c>
      <c r="E3945" t="s">
        <v>113</v>
      </c>
      <c r="F3945" t="s">
        <v>948</v>
      </c>
      <c r="G3945">
        <v>1099999</v>
      </c>
      <c r="H3945">
        <v>402085</v>
      </c>
      <c r="I3945">
        <v>73</v>
      </c>
    </row>
    <row r="3946" spans="1:9" x14ac:dyDescent="0.25">
      <c r="A3946">
        <v>4240</v>
      </c>
      <c r="B3946">
        <v>10</v>
      </c>
      <c r="C3946" t="s">
        <v>946</v>
      </c>
      <c r="D3946" t="s">
        <v>1026</v>
      </c>
      <c r="E3946" t="s">
        <v>113</v>
      </c>
      <c r="F3946" t="s">
        <v>948</v>
      </c>
      <c r="G3946">
        <v>1077777</v>
      </c>
      <c r="H3946">
        <v>500221</v>
      </c>
      <c r="I3946" t="s">
        <v>949</v>
      </c>
    </row>
    <row r="3947" spans="1:9" x14ac:dyDescent="0.25">
      <c r="A3947">
        <v>4141</v>
      </c>
      <c r="B3947">
        <v>10</v>
      </c>
      <c r="C3947" t="s">
        <v>946</v>
      </c>
      <c r="D3947" t="s">
        <v>1026</v>
      </c>
      <c r="E3947" t="s">
        <v>117</v>
      </c>
      <c r="F3947" t="s">
        <v>948</v>
      </c>
      <c r="G3947">
        <v>1077777</v>
      </c>
      <c r="H3947">
        <v>500220</v>
      </c>
      <c r="I3947" t="s">
        <v>949</v>
      </c>
    </row>
    <row r="3948" spans="1:9" x14ac:dyDescent="0.25">
      <c r="A3948">
        <v>4220</v>
      </c>
      <c r="B3948">
        <v>10</v>
      </c>
      <c r="C3948" t="s">
        <v>946</v>
      </c>
      <c r="D3948" t="s">
        <v>1026</v>
      </c>
      <c r="E3948" t="s">
        <v>117</v>
      </c>
      <c r="F3948" t="s">
        <v>948</v>
      </c>
      <c r="G3948">
        <v>1077777</v>
      </c>
      <c r="H3948">
        <v>500220</v>
      </c>
      <c r="I3948" t="s">
        <v>949</v>
      </c>
    </row>
    <row r="3949" spans="1:9" x14ac:dyDescent="0.25">
      <c r="A3949">
        <v>4230</v>
      </c>
      <c r="B3949">
        <v>10</v>
      </c>
      <c r="C3949" t="s">
        <v>946</v>
      </c>
      <c r="D3949" t="s">
        <v>1026</v>
      </c>
      <c r="E3949" t="s">
        <v>117</v>
      </c>
      <c r="F3949" t="s">
        <v>948</v>
      </c>
      <c r="G3949">
        <v>1088888</v>
      </c>
      <c r="H3949">
        <v>810600</v>
      </c>
      <c r="I3949">
        <v>73</v>
      </c>
    </row>
    <row r="3950" spans="1:9" x14ac:dyDescent="0.25">
      <c r="A3950">
        <v>4240</v>
      </c>
      <c r="B3950">
        <v>10</v>
      </c>
      <c r="C3950" t="s">
        <v>946</v>
      </c>
      <c r="D3950" t="s">
        <v>1026</v>
      </c>
      <c r="E3950" t="s">
        <v>117</v>
      </c>
      <c r="F3950" t="s">
        <v>948</v>
      </c>
      <c r="G3950">
        <v>1077777</v>
      </c>
      <c r="H3950">
        <v>500221</v>
      </c>
      <c r="I3950" t="s">
        <v>949</v>
      </c>
    </row>
    <row r="3951" spans="1:9" x14ac:dyDescent="0.25">
      <c r="A3951">
        <v>4141</v>
      </c>
      <c r="B3951">
        <v>10</v>
      </c>
      <c r="C3951" t="s">
        <v>946</v>
      </c>
      <c r="D3951" t="s">
        <v>1026</v>
      </c>
      <c r="E3951" t="s">
        <v>121</v>
      </c>
      <c r="F3951" t="s">
        <v>948</v>
      </c>
      <c r="G3951">
        <v>1077777</v>
      </c>
      <c r="H3951">
        <v>500220</v>
      </c>
      <c r="I3951" t="s">
        <v>949</v>
      </c>
    </row>
    <row r="3952" spans="1:9" x14ac:dyDescent="0.25">
      <c r="A3952">
        <v>4220</v>
      </c>
      <c r="B3952">
        <v>10</v>
      </c>
      <c r="C3952" t="s">
        <v>946</v>
      </c>
      <c r="D3952" t="s">
        <v>1026</v>
      </c>
      <c r="E3952" t="s">
        <v>121</v>
      </c>
      <c r="F3952" t="s">
        <v>948</v>
      </c>
      <c r="G3952">
        <v>1077777</v>
      </c>
      <c r="H3952">
        <v>500220</v>
      </c>
      <c r="I3952" t="s">
        <v>949</v>
      </c>
    </row>
    <row r="3953" spans="1:9" x14ac:dyDescent="0.25">
      <c r="A3953">
        <v>4230</v>
      </c>
      <c r="B3953">
        <v>10</v>
      </c>
      <c r="C3953" t="s">
        <v>946</v>
      </c>
      <c r="D3953" t="s">
        <v>1026</v>
      </c>
      <c r="E3953" t="s">
        <v>121</v>
      </c>
      <c r="F3953" t="s">
        <v>948</v>
      </c>
      <c r="G3953">
        <v>1099999</v>
      </c>
      <c r="H3953">
        <v>401045</v>
      </c>
      <c r="I3953">
        <v>73</v>
      </c>
    </row>
    <row r="3954" spans="1:9" x14ac:dyDescent="0.25">
      <c r="A3954">
        <v>4240</v>
      </c>
      <c r="B3954">
        <v>10</v>
      </c>
      <c r="C3954" t="s">
        <v>946</v>
      </c>
      <c r="D3954" t="s">
        <v>1026</v>
      </c>
      <c r="E3954" t="s">
        <v>121</v>
      </c>
      <c r="F3954" t="s">
        <v>948</v>
      </c>
      <c r="G3954">
        <v>1077777</v>
      </c>
      <c r="H3954">
        <v>500221</v>
      </c>
      <c r="I3954" t="s">
        <v>949</v>
      </c>
    </row>
    <row r="3955" spans="1:9" x14ac:dyDescent="0.25">
      <c r="A3955">
        <v>4141</v>
      </c>
      <c r="B3955">
        <v>10</v>
      </c>
      <c r="C3955" t="s">
        <v>946</v>
      </c>
      <c r="D3955" t="s">
        <v>1026</v>
      </c>
      <c r="E3955" t="s">
        <v>984</v>
      </c>
      <c r="F3955" t="s">
        <v>948</v>
      </c>
      <c r="G3955">
        <v>1077777</v>
      </c>
      <c r="H3955">
        <v>501010</v>
      </c>
      <c r="I3955">
        <v>73</v>
      </c>
    </row>
    <row r="3956" spans="1:9" x14ac:dyDescent="0.25">
      <c r="A3956">
        <v>4220</v>
      </c>
      <c r="B3956">
        <v>10</v>
      </c>
      <c r="C3956" t="s">
        <v>946</v>
      </c>
      <c r="D3956" t="s">
        <v>1026</v>
      </c>
      <c r="E3956" t="s">
        <v>984</v>
      </c>
      <c r="F3956" t="s">
        <v>948</v>
      </c>
      <c r="G3956">
        <v>1077777</v>
      </c>
      <c r="H3956">
        <v>501010</v>
      </c>
      <c r="I3956">
        <v>73</v>
      </c>
    </row>
    <row r="3957" spans="1:9" x14ac:dyDescent="0.25">
      <c r="A3957">
        <v>4230</v>
      </c>
      <c r="B3957">
        <v>10</v>
      </c>
      <c r="C3957" t="s">
        <v>946</v>
      </c>
      <c r="D3957" t="s">
        <v>1026</v>
      </c>
      <c r="E3957" t="s">
        <v>984</v>
      </c>
      <c r="F3957" t="s">
        <v>948</v>
      </c>
      <c r="G3957">
        <v>1099999</v>
      </c>
      <c r="H3957">
        <v>401915</v>
      </c>
      <c r="I3957">
        <v>73</v>
      </c>
    </row>
    <row r="3958" spans="1:9" x14ac:dyDescent="0.25">
      <c r="A3958">
        <v>4240</v>
      </c>
      <c r="B3958">
        <v>10</v>
      </c>
      <c r="C3958" t="s">
        <v>946</v>
      </c>
      <c r="D3958" t="s">
        <v>1026</v>
      </c>
      <c r="E3958" t="s">
        <v>984</v>
      </c>
      <c r="F3958" t="s">
        <v>948</v>
      </c>
      <c r="G3958">
        <v>1000000</v>
      </c>
      <c r="H3958">
        <v>141000</v>
      </c>
      <c r="I3958" t="s">
        <v>985</v>
      </c>
    </row>
    <row r="3959" spans="1:9" x14ac:dyDescent="0.25">
      <c r="A3959">
        <v>4141</v>
      </c>
      <c r="B3959">
        <v>10</v>
      </c>
      <c r="C3959" t="s">
        <v>946</v>
      </c>
      <c r="D3959" t="s">
        <v>1027</v>
      </c>
      <c r="E3959" t="s">
        <v>243</v>
      </c>
      <c r="F3959" t="s">
        <v>948</v>
      </c>
      <c r="G3959">
        <v>1077777</v>
      </c>
      <c r="H3959">
        <v>501010</v>
      </c>
      <c r="I3959">
        <v>72</v>
      </c>
    </row>
    <row r="3960" spans="1:9" x14ac:dyDescent="0.25">
      <c r="A3960">
        <v>4220</v>
      </c>
      <c r="B3960">
        <v>10</v>
      </c>
      <c r="C3960" t="s">
        <v>946</v>
      </c>
      <c r="D3960" t="s">
        <v>1027</v>
      </c>
      <c r="E3960" t="s">
        <v>243</v>
      </c>
      <c r="F3960" t="s">
        <v>948</v>
      </c>
      <c r="G3960">
        <v>1077777</v>
      </c>
      <c r="H3960">
        <v>501010</v>
      </c>
      <c r="I3960">
        <v>72</v>
      </c>
    </row>
    <row r="3961" spans="1:9" x14ac:dyDescent="0.25">
      <c r="A3961">
        <v>4230</v>
      </c>
      <c r="B3961">
        <v>10</v>
      </c>
      <c r="C3961" t="s">
        <v>946</v>
      </c>
      <c r="D3961" t="s">
        <v>1027</v>
      </c>
      <c r="E3961" t="s">
        <v>243</v>
      </c>
      <c r="F3961" t="s">
        <v>948</v>
      </c>
      <c r="G3961">
        <v>1099999</v>
      </c>
      <c r="H3961">
        <v>401055</v>
      </c>
      <c r="I3961">
        <v>72</v>
      </c>
    </row>
    <row r="3962" spans="1:9" x14ac:dyDescent="0.25">
      <c r="A3962">
        <v>4240</v>
      </c>
      <c r="B3962">
        <v>10</v>
      </c>
      <c r="C3962" t="s">
        <v>946</v>
      </c>
      <c r="D3962" t="s">
        <v>1027</v>
      </c>
      <c r="E3962" t="s">
        <v>243</v>
      </c>
      <c r="F3962" t="s">
        <v>948</v>
      </c>
      <c r="G3962">
        <v>1000000</v>
      </c>
      <c r="H3962">
        <v>145000</v>
      </c>
      <c r="I3962" t="s">
        <v>949</v>
      </c>
    </row>
    <row r="3963" spans="1:9" x14ac:dyDescent="0.25">
      <c r="A3963">
        <v>4141</v>
      </c>
      <c r="B3963">
        <v>10</v>
      </c>
      <c r="C3963" t="s">
        <v>946</v>
      </c>
      <c r="D3963" t="s">
        <v>1027</v>
      </c>
      <c r="E3963" t="s">
        <v>247</v>
      </c>
      <c r="F3963" t="s">
        <v>948</v>
      </c>
      <c r="G3963">
        <v>1077777</v>
      </c>
      <c r="H3963">
        <v>501010</v>
      </c>
      <c r="I3963">
        <v>72</v>
      </c>
    </row>
    <row r="3964" spans="1:9" x14ac:dyDescent="0.25">
      <c r="A3964">
        <v>4220</v>
      </c>
      <c r="B3964">
        <v>10</v>
      </c>
      <c r="C3964" t="s">
        <v>946</v>
      </c>
      <c r="D3964" t="s">
        <v>1027</v>
      </c>
      <c r="E3964" t="s">
        <v>247</v>
      </c>
      <c r="F3964" t="s">
        <v>948</v>
      </c>
      <c r="G3964">
        <v>1077777</v>
      </c>
      <c r="H3964">
        <v>501010</v>
      </c>
      <c r="I3964">
        <v>72</v>
      </c>
    </row>
    <row r="3965" spans="1:9" x14ac:dyDescent="0.25">
      <c r="A3965">
        <v>4230</v>
      </c>
      <c r="B3965">
        <v>10</v>
      </c>
      <c r="C3965" t="s">
        <v>946</v>
      </c>
      <c r="D3965" t="s">
        <v>1027</v>
      </c>
      <c r="E3965" t="s">
        <v>247</v>
      </c>
      <c r="F3965" t="s">
        <v>948</v>
      </c>
      <c r="G3965">
        <v>1099999</v>
      </c>
      <c r="H3965">
        <v>401025</v>
      </c>
      <c r="I3965">
        <v>72</v>
      </c>
    </row>
    <row r="3966" spans="1:9" x14ac:dyDescent="0.25">
      <c r="A3966">
        <v>4240</v>
      </c>
      <c r="B3966">
        <v>10</v>
      </c>
      <c r="C3966" t="s">
        <v>946</v>
      </c>
      <c r="D3966" t="s">
        <v>1027</v>
      </c>
      <c r="E3966" t="s">
        <v>247</v>
      </c>
      <c r="F3966" t="s">
        <v>948</v>
      </c>
      <c r="G3966">
        <v>1000000</v>
      </c>
      <c r="H3966">
        <v>145000</v>
      </c>
      <c r="I3966" t="s">
        <v>949</v>
      </c>
    </row>
    <row r="3967" spans="1:9" x14ac:dyDescent="0.25">
      <c r="A3967">
        <v>4141</v>
      </c>
      <c r="B3967">
        <v>10</v>
      </c>
      <c r="C3967" t="s">
        <v>946</v>
      </c>
      <c r="D3967" t="s">
        <v>1027</v>
      </c>
      <c r="E3967" t="s">
        <v>251</v>
      </c>
      <c r="F3967" t="s">
        <v>948</v>
      </c>
      <c r="G3967">
        <v>1077777</v>
      </c>
      <c r="H3967">
        <v>501010</v>
      </c>
      <c r="I3967">
        <v>72</v>
      </c>
    </row>
    <row r="3968" spans="1:9" x14ac:dyDescent="0.25">
      <c r="A3968">
        <v>4220</v>
      </c>
      <c r="B3968">
        <v>10</v>
      </c>
      <c r="C3968" t="s">
        <v>946</v>
      </c>
      <c r="D3968" t="s">
        <v>1027</v>
      </c>
      <c r="E3968" t="s">
        <v>251</v>
      </c>
      <c r="F3968" t="s">
        <v>948</v>
      </c>
      <c r="G3968">
        <v>1077777</v>
      </c>
      <c r="H3968">
        <v>501010</v>
      </c>
      <c r="I3968">
        <v>72</v>
      </c>
    </row>
    <row r="3969" spans="1:9" x14ac:dyDescent="0.25">
      <c r="A3969">
        <v>4230</v>
      </c>
      <c r="B3969">
        <v>10</v>
      </c>
      <c r="C3969" t="s">
        <v>946</v>
      </c>
      <c r="D3969" t="s">
        <v>1027</v>
      </c>
      <c r="E3969" t="s">
        <v>251</v>
      </c>
      <c r="F3969" t="s">
        <v>948</v>
      </c>
      <c r="G3969">
        <v>1099999</v>
      </c>
      <c r="H3969">
        <v>401045</v>
      </c>
      <c r="I3969">
        <v>72</v>
      </c>
    </row>
    <row r="3970" spans="1:9" x14ac:dyDescent="0.25">
      <c r="A3970">
        <v>4240</v>
      </c>
      <c r="B3970">
        <v>10</v>
      </c>
      <c r="C3970" t="s">
        <v>946</v>
      </c>
      <c r="D3970" t="s">
        <v>1027</v>
      </c>
      <c r="E3970" t="s">
        <v>251</v>
      </c>
      <c r="F3970" t="s">
        <v>948</v>
      </c>
      <c r="G3970">
        <v>1000000</v>
      </c>
      <c r="H3970">
        <v>142000</v>
      </c>
      <c r="I3970" t="s">
        <v>949</v>
      </c>
    </row>
    <row r="3971" spans="1:9" x14ac:dyDescent="0.25">
      <c r="A3971">
        <v>4141</v>
      </c>
      <c r="B3971">
        <v>10</v>
      </c>
      <c r="C3971" t="s">
        <v>946</v>
      </c>
      <c r="D3971" t="s">
        <v>1027</v>
      </c>
      <c r="E3971" t="s">
        <v>969</v>
      </c>
      <c r="F3971" t="s">
        <v>948</v>
      </c>
      <c r="G3971">
        <v>1077777</v>
      </c>
      <c r="H3971">
        <v>501010</v>
      </c>
      <c r="I3971">
        <v>72</v>
      </c>
    </row>
    <row r="3972" spans="1:9" x14ac:dyDescent="0.25">
      <c r="A3972">
        <v>4220</v>
      </c>
      <c r="B3972">
        <v>10</v>
      </c>
      <c r="C3972" t="s">
        <v>946</v>
      </c>
      <c r="D3972" t="s">
        <v>1027</v>
      </c>
      <c r="E3972" t="s">
        <v>969</v>
      </c>
      <c r="F3972" t="s">
        <v>948</v>
      </c>
      <c r="G3972">
        <v>1077777</v>
      </c>
      <c r="H3972">
        <v>501010</v>
      </c>
      <c r="I3972">
        <v>72</v>
      </c>
    </row>
    <row r="3973" spans="1:9" x14ac:dyDescent="0.25">
      <c r="A3973">
        <v>4230</v>
      </c>
      <c r="B3973">
        <v>10</v>
      </c>
      <c r="C3973" t="s">
        <v>946</v>
      </c>
      <c r="D3973" t="s">
        <v>1027</v>
      </c>
      <c r="E3973" t="s">
        <v>969</v>
      </c>
      <c r="F3973" t="s">
        <v>948</v>
      </c>
      <c r="G3973">
        <v>1099999</v>
      </c>
      <c r="H3973">
        <v>401915</v>
      </c>
      <c r="I3973">
        <v>72</v>
      </c>
    </row>
    <row r="3974" spans="1:9" x14ac:dyDescent="0.25">
      <c r="A3974">
        <v>4240</v>
      </c>
      <c r="B3974">
        <v>10</v>
      </c>
      <c r="C3974" t="s">
        <v>946</v>
      </c>
      <c r="D3974" t="s">
        <v>1027</v>
      </c>
      <c r="E3974" t="s">
        <v>969</v>
      </c>
      <c r="F3974" t="s">
        <v>948</v>
      </c>
      <c r="G3974">
        <v>1000000</v>
      </c>
      <c r="H3974">
        <v>141000</v>
      </c>
      <c r="I3974" t="s">
        <v>970</v>
      </c>
    </row>
    <row r="3975" spans="1:9" x14ac:dyDescent="0.25">
      <c r="A3975">
        <v>4141</v>
      </c>
      <c r="B3975">
        <v>10</v>
      </c>
      <c r="C3975" t="s">
        <v>946</v>
      </c>
      <c r="D3975" t="s">
        <v>1027</v>
      </c>
      <c r="E3975" t="s">
        <v>255</v>
      </c>
      <c r="F3975" t="s">
        <v>948</v>
      </c>
      <c r="G3975">
        <v>1077777</v>
      </c>
      <c r="H3975">
        <v>501010</v>
      </c>
      <c r="I3975">
        <v>72</v>
      </c>
    </row>
    <row r="3976" spans="1:9" x14ac:dyDescent="0.25">
      <c r="A3976">
        <v>4220</v>
      </c>
      <c r="B3976">
        <v>10</v>
      </c>
      <c r="C3976" t="s">
        <v>946</v>
      </c>
      <c r="D3976" t="s">
        <v>1027</v>
      </c>
      <c r="E3976" t="s">
        <v>255</v>
      </c>
      <c r="F3976" t="s">
        <v>948</v>
      </c>
      <c r="G3976">
        <v>1077777</v>
      </c>
      <c r="H3976">
        <v>501010</v>
      </c>
      <c r="I3976">
        <v>72</v>
      </c>
    </row>
    <row r="3977" spans="1:9" x14ac:dyDescent="0.25">
      <c r="A3977">
        <v>4230</v>
      </c>
      <c r="B3977">
        <v>10</v>
      </c>
      <c r="C3977" t="s">
        <v>946</v>
      </c>
      <c r="D3977" t="s">
        <v>1027</v>
      </c>
      <c r="E3977" t="s">
        <v>255</v>
      </c>
      <c r="F3977" t="s">
        <v>948</v>
      </c>
      <c r="G3977">
        <v>1099999</v>
      </c>
      <c r="H3977">
        <v>401075</v>
      </c>
      <c r="I3977">
        <v>72</v>
      </c>
    </row>
    <row r="3978" spans="1:9" x14ac:dyDescent="0.25">
      <c r="A3978">
        <v>4240</v>
      </c>
      <c r="B3978">
        <v>10</v>
      </c>
      <c r="C3978" t="s">
        <v>946</v>
      </c>
      <c r="D3978" t="s">
        <v>1027</v>
      </c>
      <c r="E3978" t="s">
        <v>255</v>
      </c>
      <c r="F3978" t="s">
        <v>948</v>
      </c>
      <c r="G3978">
        <v>1000000</v>
      </c>
      <c r="H3978">
        <v>145000</v>
      </c>
      <c r="I3978" t="s">
        <v>949</v>
      </c>
    </row>
    <row r="3979" spans="1:9" x14ac:dyDescent="0.25">
      <c r="A3979">
        <v>4141</v>
      </c>
      <c r="B3979">
        <v>10</v>
      </c>
      <c r="C3979" t="s">
        <v>946</v>
      </c>
      <c r="D3979" t="s">
        <v>1027</v>
      </c>
      <c r="E3979" t="s">
        <v>971</v>
      </c>
      <c r="F3979" t="s">
        <v>948</v>
      </c>
      <c r="G3979">
        <v>1077777</v>
      </c>
      <c r="H3979">
        <v>501010</v>
      </c>
      <c r="I3979">
        <v>72</v>
      </c>
    </row>
    <row r="3980" spans="1:9" x14ac:dyDescent="0.25">
      <c r="A3980">
        <v>4220</v>
      </c>
      <c r="B3980">
        <v>10</v>
      </c>
      <c r="C3980" t="s">
        <v>946</v>
      </c>
      <c r="D3980" t="s">
        <v>1027</v>
      </c>
      <c r="E3980" t="s">
        <v>971</v>
      </c>
      <c r="F3980" t="s">
        <v>948</v>
      </c>
      <c r="G3980">
        <v>1077777</v>
      </c>
      <c r="H3980">
        <v>501010</v>
      </c>
      <c r="I3980">
        <v>72</v>
      </c>
    </row>
    <row r="3981" spans="1:9" x14ac:dyDescent="0.25">
      <c r="A3981">
        <v>4230</v>
      </c>
      <c r="B3981">
        <v>10</v>
      </c>
      <c r="C3981" t="s">
        <v>946</v>
      </c>
      <c r="D3981" t="s">
        <v>1027</v>
      </c>
      <c r="E3981" t="s">
        <v>971</v>
      </c>
      <c r="F3981" t="s">
        <v>948</v>
      </c>
      <c r="G3981">
        <v>1099999</v>
      </c>
      <c r="H3981">
        <v>401915</v>
      </c>
      <c r="I3981">
        <v>72</v>
      </c>
    </row>
    <row r="3982" spans="1:9" x14ac:dyDescent="0.25">
      <c r="A3982">
        <v>4240</v>
      </c>
      <c r="B3982">
        <v>10</v>
      </c>
      <c r="C3982" t="s">
        <v>946</v>
      </c>
      <c r="D3982" t="s">
        <v>1027</v>
      </c>
      <c r="E3982" t="s">
        <v>971</v>
      </c>
      <c r="F3982" t="s">
        <v>948</v>
      </c>
      <c r="G3982">
        <v>1000000</v>
      </c>
      <c r="H3982">
        <v>141000</v>
      </c>
      <c r="I3982" t="s">
        <v>972</v>
      </c>
    </row>
    <row r="3983" spans="1:9" x14ac:dyDescent="0.25">
      <c r="A3983">
        <v>4230</v>
      </c>
      <c r="B3983">
        <v>10</v>
      </c>
      <c r="C3983" t="s">
        <v>946</v>
      </c>
      <c r="D3983" t="s">
        <v>1027</v>
      </c>
      <c r="E3983" t="s">
        <v>259</v>
      </c>
      <c r="F3983" t="s">
        <v>948</v>
      </c>
      <c r="G3983">
        <v>1099999</v>
      </c>
      <c r="H3983">
        <v>409005</v>
      </c>
      <c r="I3983">
        <v>72</v>
      </c>
    </row>
    <row r="3984" spans="1:9" x14ac:dyDescent="0.25">
      <c r="A3984">
        <v>4141</v>
      </c>
      <c r="B3984">
        <v>10</v>
      </c>
      <c r="C3984" t="s">
        <v>946</v>
      </c>
      <c r="D3984" t="s">
        <v>1027</v>
      </c>
      <c r="E3984" t="s">
        <v>263</v>
      </c>
      <c r="F3984" t="s">
        <v>948</v>
      </c>
      <c r="G3984">
        <v>1077777</v>
      </c>
      <c r="H3984">
        <v>501010</v>
      </c>
      <c r="I3984">
        <v>72</v>
      </c>
    </row>
    <row r="3985" spans="1:9" x14ac:dyDescent="0.25">
      <c r="A3985">
        <v>4220</v>
      </c>
      <c r="B3985">
        <v>10</v>
      </c>
      <c r="C3985" t="s">
        <v>946</v>
      </c>
      <c r="D3985" t="s">
        <v>1027</v>
      </c>
      <c r="E3985" t="s">
        <v>263</v>
      </c>
      <c r="F3985" t="s">
        <v>948</v>
      </c>
      <c r="G3985">
        <v>1077777</v>
      </c>
      <c r="H3985">
        <v>501010</v>
      </c>
      <c r="I3985">
        <v>72</v>
      </c>
    </row>
    <row r="3986" spans="1:9" x14ac:dyDescent="0.25">
      <c r="A3986">
        <v>4230</v>
      </c>
      <c r="B3986">
        <v>10</v>
      </c>
      <c r="C3986" t="s">
        <v>946</v>
      </c>
      <c r="D3986" t="s">
        <v>1027</v>
      </c>
      <c r="E3986" t="s">
        <v>263</v>
      </c>
      <c r="F3986" t="s">
        <v>948</v>
      </c>
      <c r="G3986">
        <v>1099999</v>
      </c>
      <c r="H3986">
        <v>401045</v>
      </c>
      <c r="I3986">
        <v>72</v>
      </c>
    </row>
    <row r="3987" spans="1:9" x14ac:dyDescent="0.25">
      <c r="A3987">
        <v>4240</v>
      </c>
      <c r="B3987">
        <v>10</v>
      </c>
      <c r="C3987" t="s">
        <v>946</v>
      </c>
      <c r="D3987" t="s">
        <v>1027</v>
      </c>
      <c r="E3987" t="s">
        <v>263</v>
      </c>
      <c r="F3987" t="s">
        <v>948</v>
      </c>
      <c r="G3987">
        <v>1000000</v>
      </c>
      <c r="H3987">
        <v>145000</v>
      </c>
      <c r="I3987" t="s">
        <v>949</v>
      </c>
    </row>
    <row r="3988" spans="1:9" x14ac:dyDescent="0.25">
      <c r="A3988">
        <v>4141</v>
      </c>
      <c r="B3988">
        <v>10</v>
      </c>
      <c r="C3988" t="s">
        <v>946</v>
      </c>
      <c r="D3988" t="s">
        <v>1027</v>
      </c>
      <c r="E3988" t="s">
        <v>100</v>
      </c>
      <c r="F3988" t="s">
        <v>948</v>
      </c>
      <c r="G3988">
        <v>1077777</v>
      </c>
      <c r="H3988">
        <v>500220</v>
      </c>
      <c r="I3988" t="s">
        <v>949</v>
      </c>
    </row>
    <row r="3989" spans="1:9" x14ac:dyDescent="0.25">
      <c r="A3989">
        <v>4220</v>
      </c>
      <c r="B3989">
        <v>10</v>
      </c>
      <c r="C3989" t="s">
        <v>946</v>
      </c>
      <c r="D3989" t="s">
        <v>1027</v>
      </c>
      <c r="E3989" t="s">
        <v>100</v>
      </c>
      <c r="F3989" t="s">
        <v>948</v>
      </c>
      <c r="G3989">
        <v>1077777</v>
      </c>
      <c r="H3989">
        <v>500220</v>
      </c>
      <c r="I3989" t="s">
        <v>949</v>
      </c>
    </row>
    <row r="3990" spans="1:9" x14ac:dyDescent="0.25">
      <c r="A3990">
        <v>4230</v>
      </c>
      <c r="B3990">
        <v>10</v>
      </c>
      <c r="C3990" t="s">
        <v>946</v>
      </c>
      <c r="D3990" t="s">
        <v>1027</v>
      </c>
      <c r="E3990" t="s">
        <v>100</v>
      </c>
      <c r="F3990" t="s">
        <v>948</v>
      </c>
      <c r="G3990">
        <v>1099999</v>
      </c>
      <c r="H3990">
        <v>401045</v>
      </c>
      <c r="I3990">
        <v>72</v>
      </c>
    </row>
    <row r="3991" spans="1:9" x14ac:dyDescent="0.25">
      <c r="A3991">
        <v>4240</v>
      </c>
      <c r="B3991">
        <v>10</v>
      </c>
      <c r="C3991" t="s">
        <v>946</v>
      </c>
      <c r="D3991" t="s">
        <v>1027</v>
      </c>
      <c r="E3991" t="s">
        <v>100</v>
      </c>
      <c r="F3991" t="s">
        <v>948</v>
      </c>
      <c r="G3991">
        <v>1077777</v>
      </c>
      <c r="H3991">
        <v>500221</v>
      </c>
      <c r="I3991" t="s">
        <v>949</v>
      </c>
    </row>
    <row r="3992" spans="1:9" x14ac:dyDescent="0.25">
      <c r="A3992">
        <v>4141</v>
      </c>
      <c r="B3992">
        <v>10</v>
      </c>
      <c r="C3992" t="s">
        <v>946</v>
      </c>
      <c r="D3992" t="s">
        <v>1027</v>
      </c>
      <c r="E3992" t="s">
        <v>270</v>
      </c>
      <c r="F3992" t="s">
        <v>948</v>
      </c>
      <c r="G3992">
        <v>1077777</v>
      </c>
      <c r="H3992">
        <v>501010</v>
      </c>
      <c r="I3992">
        <v>72</v>
      </c>
    </row>
    <row r="3993" spans="1:9" x14ac:dyDescent="0.25">
      <c r="A3993">
        <v>4220</v>
      </c>
      <c r="B3993">
        <v>10</v>
      </c>
      <c r="C3993" t="s">
        <v>946</v>
      </c>
      <c r="D3993" t="s">
        <v>1027</v>
      </c>
      <c r="E3993" t="s">
        <v>270</v>
      </c>
      <c r="F3993" t="s">
        <v>948</v>
      </c>
      <c r="G3993">
        <v>1077777</v>
      </c>
      <c r="H3993">
        <v>501010</v>
      </c>
      <c r="I3993">
        <v>72</v>
      </c>
    </row>
    <row r="3994" spans="1:9" x14ac:dyDescent="0.25">
      <c r="A3994">
        <v>4230</v>
      </c>
      <c r="B3994">
        <v>10</v>
      </c>
      <c r="C3994" t="s">
        <v>946</v>
      </c>
      <c r="D3994" t="s">
        <v>1027</v>
      </c>
      <c r="E3994" t="s">
        <v>270</v>
      </c>
      <c r="F3994" t="s">
        <v>948</v>
      </c>
      <c r="G3994">
        <v>1099999</v>
      </c>
      <c r="H3994">
        <v>401065</v>
      </c>
      <c r="I3994">
        <v>72</v>
      </c>
    </row>
    <row r="3995" spans="1:9" x14ac:dyDescent="0.25">
      <c r="A3995">
        <v>4240</v>
      </c>
      <c r="B3995">
        <v>10</v>
      </c>
      <c r="C3995" t="s">
        <v>946</v>
      </c>
      <c r="D3995" t="s">
        <v>1027</v>
      </c>
      <c r="E3995" t="s">
        <v>270</v>
      </c>
      <c r="F3995" t="s">
        <v>948</v>
      </c>
      <c r="G3995">
        <v>1000000</v>
      </c>
      <c r="H3995">
        <v>145000</v>
      </c>
      <c r="I3995" t="s">
        <v>949</v>
      </c>
    </row>
    <row r="3996" spans="1:9" x14ac:dyDescent="0.25">
      <c r="A3996">
        <v>4141</v>
      </c>
      <c r="B3996">
        <v>10</v>
      </c>
      <c r="C3996" t="s">
        <v>946</v>
      </c>
      <c r="D3996" t="s">
        <v>1027</v>
      </c>
      <c r="E3996" t="s">
        <v>274</v>
      </c>
      <c r="F3996" t="s">
        <v>948</v>
      </c>
      <c r="G3996">
        <v>1077777</v>
      </c>
      <c r="H3996">
        <v>501010</v>
      </c>
      <c r="I3996">
        <v>72</v>
      </c>
    </row>
    <row r="3997" spans="1:9" x14ac:dyDescent="0.25">
      <c r="A3997">
        <v>4220</v>
      </c>
      <c r="B3997">
        <v>10</v>
      </c>
      <c r="C3997" t="s">
        <v>946</v>
      </c>
      <c r="D3997" t="s">
        <v>1027</v>
      </c>
      <c r="E3997" t="s">
        <v>274</v>
      </c>
      <c r="F3997" t="s">
        <v>948</v>
      </c>
      <c r="G3997">
        <v>1077777</v>
      </c>
      <c r="H3997">
        <v>501010</v>
      </c>
      <c r="I3997">
        <v>72</v>
      </c>
    </row>
    <row r="3998" spans="1:9" x14ac:dyDescent="0.25">
      <c r="A3998">
        <v>4230</v>
      </c>
      <c r="B3998">
        <v>10</v>
      </c>
      <c r="C3998" t="s">
        <v>946</v>
      </c>
      <c r="D3998" t="s">
        <v>1027</v>
      </c>
      <c r="E3998" t="s">
        <v>274</v>
      </c>
      <c r="F3998" t="s">
        <v>948</v>
      </c>
      <c r="G3998">
        <v>1099999</v>
      </c>
      <c r="H3998">
        <v>401045</v>
      </c>
      <c r="I3998">
        <v>72</v>
      </c>
    </row>
    <row r="3999" spans="1:9" x14ac:dyDescent="0.25">
      <c r="A3999">
        <v>4240</v>
      </c>
      <c r="B3999">
        <v>10</v>
      </c>
      <c r="C3999" t="s">
        <v>946</v>
      </c>
      <c r="D3999" t="s">
        <v>1027</v>
      </c>
      <c r="E3999" t="s">
        <v>274</v>
      </c>
      <c r="F3999" t="s">
        <v>948</v>
      </c>
      <c r="G3999">
        <v>1000000</v>
      </c>
      <c r="H3999">
        <v>143000</v>
      </c>
      <c r="I3999" t="s">
        <v>973</v>
      </c>
    </row>
    <row r="4000" spans="1:9" x14ac:dyDescent="0.25">
      <c r="A4000">
        <v>4141</v>
      </c>
      <c r="B4000">
        <v>10</v>
      </c>
      <c r="C4000" t="s">
        <v>946</v>
      </c>
      <c r="D4000" t="s">
        <v>1027</v>
      </c>
      <c r="E4000" t="s">
        <v>974</v>
      </c>
      <c r="F4000" t="s">
        <v>948</v>
      </c>
      <c r="G4000">
        <v>1077777</v>
      </c>
      <c r="H4000">
        <v>501010</v>
      </c>
      <c r="I4000">
        <v>72</v>
      </c>
    </row>
    <row r="4001" spans="1:9" x14ac:dyDescent="0.25">
      <c r="A4001">
        <v>4220</v>
      </c>
      <c r="B4001">
        <v>10</v>
      </c>
      <c r="C4001" t="s">
        <v>946</v>
      </c>
      <c r="D4001" t="s">
        <v>1027</v>
      </c>
      <c r="E4001" t="s">
        <v>974</v>
      </c>
      <c r="F4001" t="s">
        <v>948</v>
      </c>
      <c r="G4001">
        <v>1077777</v>
      </c>
      <c r="H4001">
        <v>501010</v>
      </c>
      <c r="I4001">
        <v>72</v>
      </c>
    </row>
    <row r="4002" spans="1:9" x14ac:dyDescent="0.25">
      <c r="A4002">
        <v>4230</v>
      </c>
      <c r="B4002">
        <v>10</v>
      </c>
      <c r="C4002" t="s">
        <v>946</v>
      </c>
      <c r="D4002" t="s">
        <v>1027</v>
      </c>
      <c r="E4002" t="s">
        <v>974</v>
      </c>
      <c r="F4002" t="s">
        <v>948</v>
      </c>
      <c r="G4002">
        <v>1099999</v>
      </c>
      <c r="H4002">
        <v>401915</v>
      </c>
      <c r="I4002">
        <v>72</v>
      </c>
    </row>
    <row r="4003" spans="1:9" x14ac:dyDescent="0.25">
      <c r="A4003">
        <v>4240</v>
      </c>
      <c r="B4003">
        <v>10</v>
      </c>
      <c r="C4003" t="s">
        <v>946</v>
      </c>
      <c r="D4003" t="s">
        <v>1027</v>
      </c>
      <c r="E4003" t="s">
        <v>974</v>
      </c>
      <c r="F4003" t="s">
        <v>948</v>
      </c>
      <c r="G4003">
        <v>1000000</v>
      </c>
      <c r="H4003">
        <v>141000</v>
      </c>
      <c r="I4003" t="s">
        <v>975</v>
      </c>
    </row>
    <row r="4004" spans="1:9" x14ac:dyDescent="0.25">
      <c r="A4004">
        <v>4141</v>
      </c>
      <c r="B4004">
        <v>10</v>
      </c>
      <c r="C4004" t="s">
        <v>946</v>
      </c>
      <c r="D4004" t="s">
        <v>1027</v>
      </c>
      <c r="E4004" t="s">
        <v>104</v>
      </c>
      <c r="F4004" t="s">
        <v>948</v>
      </c>
      <c r="G4004">
        <v>1077777</v>
      </c>
      <c r="H4004">
        <v>500220</v>
      </c>
      <c r="I4004" t="s">
        <v>949</v>
      </c>
    </row>
    <row r="4005" spans="1:9" x14ac:dyDescent="0.25">
      <c r="A4005">
        <v>4220</v>
      </c>
      <c r="B4005">
        <v>10</v>
      </c>
      <c r="C4005" t="s">
        <v>946</v>
      </c>
      <c r="D4005" t="s">
        <v>1027</v>
      </c>
      <c r="E4005" t="s">
        <v>104</v>
      </c>
      <c r="F4005" t="s">
        <v>948</v>
      </c>
      <c r="G4005">
        <v>1077777</v>
      </c>
      <c r="H4005">
        <v>500220</v>
      </c>
      <c r="I4005" t="s">
        <v>949</v>
      </c>
    </row>
    <row r="4006" spans="1:9" x14ac:dyDescent="0.25">
      <c r="A4006">
        <v>4230</v>
      </c>
      <c r="B4006">
        <v>10</v>
      </c>
      <c r="C4006" t="s">
        <v>946</v>
      </c>
      <c r="D4006" t="s">
        <v>1027</v>
      </c>
      <c r="E4006" t="s">
        <v>104</v>
      </c>
      <c r="F4006" t="s">
        <v>948</v>
      </c>
      <c r="G4006">
        <v>1099999</v>
      </c>
      <c r="H4006">
        <v>401045</v>
      </c>
      <c r="I4006">
        <v>72</v>
      </c>
    </row>
    <row r="4007" spans="1:9" x14ac:dyDescent="0.25">
      <c r="A4007">
        <v>4240</v>
      </c>
      <c r="B4007">
        <v>10</v>
      </c>
      <c r="C4007" t="s">
        <v>946</v>
      </c>
      <c r="D4007" t="s">
        <v>1027</v>
      </c>
      <c r="E4007" t="s">
        <v>104</v>
      </c>
      <c r="F4007" t="s">
        <v>948</v>
      </c>
      <c r="G4007">
        <v>1077777</v>
      </c>
      <c r="H4007">
        <v>500221</v>
      </c>
      <c r="I4007" t="s">
        <v>949</v>
      </c>
    </row>
    <row r="4008" spans="1:9" x14ac:dyDescent="0.25">
      <c r="A4008">
        <v>4141</v>
      </c>
      <c r="B4008">
        <v>10</v>
      </c>
      <c r="C4008" t="s">
        <v>946</v>
      </c>
      <c r="D4008" t="s">
        <v>1027</v>
      </c>
      <c r="E4008" t="s">
        <v>278</v>
      </c>
      <c r="F4008" t="s">
        <v>948</v>
      </c>
      <c r="G4008">
        <v>1077777</v>
      </c>
      <c r="H4008">
        <v>501010</v>
      </c>
      <c r="I4008">
        <v>72</v>
      </c>
    </row>
    <row r="4009" spans="1:9" x14ac:dyDescent="0.25">
      <c r="A4009">
        <v>4220</v>
      </c>
      <c r="B4009">
        <v>10</v>
      </c>
      <c r="C4009" t="s">
        <v>946</v>
      </c>
      <c r="D4009" t="s">
        <v>1027</v>
      </c>
      <c r="E4009" t="s">
        <v>278</v>
      </c>
      <c r="F4009" t="s">
        <v>948</v>
      </c>
      <c r="G4009">
        <v>1077777</v>
      </c>
      <c r="H4009">
        <v>501010</v>
      </c>
      <c r="I4009">
        <v>72</v>
      </c>
    </row>
    <row r="4010" spans="1:9" x14ac:dyDescent="0.25">
      <c r="A4010">
        <v>4230</v>
      </c>
      <c r="B4010">
        <v>10</v>
      </c>
      <c r="C4010" t="s">
        <v>946</v>
      </c>
      <c r="D4010" t="s">
        <v>1027</v>
      </c>
      <c r="E4010" t="s">
        <v>278</v>
      </c>
      <c r="F4010" t="s">
        <v>948</v>
      </c>
      <c r="G4010">
        <v>1099999</v>
      </c>
      <c r="H4010">
        <v>401055</v>
      </c>
      <c r="I4010">
        <v>72</v>
      </c>
    </row>
    <row r="4011" spans="1:9" x14ac:dyDescent="0.25">
      <c r="A4011">
        <v>4240</v>
      </c>
      <c r="B4011">
        <v>10</v>
      </c>
      <c r="C4011" t="s">
        <v>946</v>
      </c>
      <c r="D4011" t="s">
        <v>1027</v>
      </c>
      <c r="E4011" t="s">
        <v>278</v>
      </c>
      <c r="F4011" t="s">
        <v>948</v>
      </c>
      <c r="G4011">
        <v>1000000</v>
      </c>
      <c r="H4011">
        <v>145000</v>
      </c>
      <c r="I4011" t="s">
        <v>949</v>
      </c>
    </row>
    <row r="4012" spans="1:9" x14ac:dyDescent="0.25">
      <c r="A4012">
        <v>4141</v>
      </c>
      <c r="B4012">
        <v>10</v>
      </c>
      <c r="C4012" t="s">
        <v>946</v>
      </c>
      <c r="D4012" t="s">
        <v>1027</v>
      </c>
      <c r="E4012" t="s">
        <v>282</v>
      </c>
      <c r="F4012" t="s">
        <v>948</v>
      </c>
      <c r="G4012">
        <v>1077777</v>
      </c>
      <c r="H4012">
        <v>501010</v>
      </c>
      <c r="I4012">
        <v>72</v>
      </c>
    </row>
    <row r="4013" spans="1:9" x14ac:dyDescent="0.25">
      <c r="A4013">
        <v>4220</v>
      </c>
      <c r="B4013">
        <v>10</v>
      </c>
      <c r="C4013" t="s">
        <v>946</v>
      </c>
      <c r="D4013" t="s">
        <v>1027</v>
      </c>
      <c r="E4013" t="s">
        <v>282</v>
      </c>
      <c r="F4013" t="s">
        <v>948</v>
      </c>
      <c r="G4013">
        <v>1077777</v>
      </c>
      <c r="H4013">
        <v>501010</v>
      </c>
      <c r="I4013">
        <v>72</v>
      </c>
    </row>
    <row r="4014" spans="1:9" x14ac:dyDescent="0.25">
      <c r="A4014">
        <v>4230</v>
      </c>
      <c r="B4014">
        <v>10</v>
      </c>
      <c r="C4014" t="s">
        <v>946</v>
      </c>
      <c r="D4014" t="s">
        <v>1027</v>
      </c>
      <c r="E4014" t="s">
        <v>282</v>
      </c>
      <c r="F4014" t="s">
        <v>948</v>
      </c>
      <c r="G4014">
        <v>1099999</v>
      </c>
      <c r="H4014">
        <v>401045</v>
      </c>
      <c r="I4014">
        <v>72</v>
      </c>
    </row>
    <row r="4015" spans="1:9" x14ac:dyDescent="0.25">
      <c r="A4015">
        <v>4240</v>
      </c>
      <c r="B4015">
        <v>10</v>
      </c>
      <c r="C4015" t="s">
        <v>946</v>
      </c>
      <c r="D4015" t="s">
        <v>1027</v>
      </c>
      <c r="E4015" t="s">
        <v>282</v>
      </c>
      <c r="F4015" t="s">
        <v>948</v>
      </c>
      <c r="G4015">
        <v>1000000</v>
      </c>
      <c r="H4015">
        <v>143100</v>
      </c>
      <c r="I4015" t="s">
        <v>949</v>
      </c>
    </row>
    <row r="4016" spans="1:9" x14ac:dyDescent="0.25">
      <c r="A4016">
        <v>4141</v>
      </c>
      <c r="B4016">
        <v>10</v>
      </c>
      <c r="C4016" t="s">
        <v>946</v>
      </c>
      <c r="D4016" t="s">
        <v>1027</v>
      </c>
      <c r="E4016" t="s">
        <v>286</v>
      </c>
      <c r="F4016" t="s">
        <v>948</v>
      </c>
      <c r="G4016">
        <v>1077777</v>
      </c>
      <c r="H4016">
        <v>501010</v>
      </c>
      <c r="I4016">
        <v>72</v>
      </c>
    </row>
    <row r="4017" spans="1:9" x14ac:dyDescent="0.25">
      <c r="A4017">
        <v>4220</v>
      </c>
      <c r="B4017">
        <v>10</v>
      </c>
      <c r="C4017" t="s">
        <v>946</v>
      </c>
      <c r="D4017" t="s">
        <v>1027</v>
      </c>
      <c r="E4017" t="s">
        <v>286</v>
      </c>
      <c r="F4017" t="s">
        <v>948</v>
      </c>
      <c r="G4017">
        <v>1077777</v>
      </c>
      <c r="H4017">
        <v>501010</v>
      </c>
      <c r="I4017">
        <v>72</v>
      </c>
    </row>
    <row r="4018" spans="1:9" x14ac:dyDescent="0.25">
      <c r="A4018">
        <v>4230</v>
      </c>
      <c r="B4018">
        <v>10</v>
      </c>
      <c r="C4018" t="s">
        <v>946</v>
      </c>
      <c r="D4018" t="s">
        <v>1027</v>
      </c>
      <c r="E4018" t="s">
        <v>286</v>
      </c>
      <c r="F4018" t="s">
        <v>948</v>
      </c>
      <c r="G4018">
        <v>1099999</v>
      </c>
      <c r="H4018">
        <v>401035</v>
      </c>
      <c r="I4018">
        <v>72</v>
      </c>
    </row>
    <row r="4019" spans="1:9" x14ac:dyDescent="0.25">
      <c r="A4019">
        <v>4240</v>
      </c>
      <c r="B4019">
        <v>10</v>
      </c>
      <c r="C4019" t="s">
        <v>946</v>
      </c>
      <c r="D4019" t="s">
        <v>1027</v>
      </c>
      <c r="E4019" t="s">
        <v>286</v>
      </c>
      <c r="F4019" t="s">
        <v>948</v>
      </c>
      <c r="G4019">
        <v>1000000</v>
      </c>
      <c r="H4019">
        <v>145000</v>
      </c>
      <c r="I4019" t="s">
        <v>949</v>
      </c>
    </row>
    <row r="4020" spans="1:9" x14ac:dyDescent="0.25">
      <c r="A4020">
        <v>4141</v>
      </c>
      <c r="B4020">
        <v>10</v>
      </c>
      <c r="C4020" t="s">
        <v>946</v>
      </c>
      <c r="D4020" t="s">
        <v>1027</v>
      </c>
      <c r="E4020" t="s">
        <v>976</v>
      </c>
      <c r="F4020" t="s">
        <v>948</v>
      </c>
      <c r="G4020">
        <v>1077777</v>
      </c>
      <c r="H4020">
        <v>501010</v>
      </c>
      <c r="I4020">
        <v>72</v>
      </c>
    </row>
    <row r="4021" spans="1:9" x14ac:dyDescent="0.25">
      <c r="A4021">
        <v>4220</v>
      </c>
      <c r="B4021">
        <v>10</v>
      </c>
      <c r="C4021" t="s">
        <v>946</v>
      </c>
      <c r="D4021" t="s">
        <v>1027</v>
      </c>
      <c r="E4021" t="s">
        <v>976</v>
      </c>
      <c r="F4021" t="s">
        <v>948</v>
      </c>
      <c r="G4021">
        <v>1077777</v>
      </c>
      <c r="H4021">
        <v>501010</v>
      </c>
      <c r="I4021">
        <v>72</v>
      </c>
    </row>
    <row r="4022" spans="1:9" x14ac:dyDescent="0.25">
      <c r="A4022">
        <v>4230</v>
      </c>
      <c r="B4022">
        <v>10</v>
      </c>
      <c r="C4022" t="s">
        <v>946</v>
      </c>
      <c r="D4022" t="s">
        <v>1027</v>
      </c>
      <c r="E4022" t="s">
        <v>976</v>
      </c>
      <c r="F4022" t="s">
        <v>948</v>
      </c>
      <c r="G4022">
        <v>1099999</v>
      </c>
      <c r="H4022">
        <v>401915</v>
      </c>
      <c r="I4022">
        <v>72</v>
      </c>
    </row>
    <row r="4023" spans="1:9" x14ac:dyDescent="0.25">
      <c r="A4023">
        <v>4240</v>
      </c>
      <c r="B4023">
        <v>10</v>
      </c>
      <c r="C4023" t="s">
        <v>946</v>
      </c>
      <c r="D4023" t="s">
        <v>1027</v>
      </c>
      <c r="E4023" t="s">
        <v>976</v>
      </c>
      <c r="F4023" t="s">
        <v>948</v>
      </c>
      <c r="G4023">
        <v>1000000</v>
      </c>
      <c r="H4023">
        <v>141000</v>
      </c>
      <c r="I4023" t="s">
        <v>977</v>
      </c>
    </row>
    <row r="4024" spans="1:9" x14ac:dyDescent="0.25">
      <c r="A4024">
        <v>4141</v>
      </c>
      <c r="B4024">
        <v>10</v>
      </c>
      <c r="C4024" t="s">
        <v>946</v>
      </c>
      <c r="D4024" t="s">
        <v>1027</v>
      </c>
      <c r="E4024" t="s">
        <v>290</v>
      </c>
      <c r="F4024" t="s">
        <v>948</v>
      </c>
      <c r="G4024">
        <v>1077777</v>
      </c>
      <c r="H4024">
        <v>501010</v>
      </c>
      <c r="I4024">
        <v>72</v>
      </c>
    </row>
    <row r="4025" spans="1:9" x14ac:dyDescent="0.25">
      <c r="A4025">
        <v>4220</v>
      </c>
      <c r="B4025">
        <v>10</v>
      </c>
      <c r="C4025" t="s">
        <v>946</v>
      </c>
      <c r="D4025" t="s">
        <v>1027</v>
      </c>
      <c r="E4025" t="s">
        <v>290</v>
      </c>
      <c r="F4025" t="s">
        <v>948</v>
      </c>
      <c r="G4025">
        <v>1077777</v>
      </c>
      <c r="H4025">
        <v>501010</v>
      </c>
      <c r="I4025">
        <v>72</v>
      </c>
    </row>
    <row r="4026" spans="1:9" x14ac:dyDescent="0.25">
      <c r="A4026">
        <v>4230</v>
      </c>
      <c r="B4026">
        <v>10</v>
      </c>
      <c r="C4026" t="s">
        <v>946</v>
      </c>
      <c r="D4026" t="s">
        <v>1027</v>
      </c>
      <c r="E4026" t="s">
        <v>290</v>
      </c>
      <c r="F4026" t="s">
        <v>948</v>
      </c>
      <c r="G4026">
        <v>1099999</v>
      </c>
      <c r="H4026">
        <v>401045</v>
      </c>
      <c r="I4026">
        <v>72</v>
      </c>
    </row>
    <row r="4027" spans="1:9" x14ac:dyDescent="0.25">
      <c r="A4027">
        <v>4240</v>
      </c>
      <c r="B4027">
        <v>10</v>
      </c>
      <c r="C4027" t="s">
        <v>946</v>
      </c>
      <c r="D4027" t="s">
        <v>1027</v>
      </c>
      <c r="E4027" t="s">
        <v>290</v>
      </c>
      <c r="F4027" t="s">
        <v>948</v>
      </c>
      <c r="G4027">
        <v>1000000</v>
      </c>
      <c r="H4027">
        <v>143000</v>
      </c>
      <c r="I4027" t="s">
        <v>978</v>
      </c>
    </row>
    <row r="4028" spans="1:9" x14ac:dyDescent="0.25">
      <c r="A4028">
        <v>4141</v>
      </c>
      <c r="B4028">
        <v>10</v>
      </c>
      <c r="C4028" t="s">
        <v>946</v>
      </c>
      <c r="D4028" t="s">
        <v>1027</v>
      </c>
      <c r="E4028" t="s">
        <v>294</v>
      </c>
      <c r="F4028" t="s">
        <v>948</v>
      </c>
      <c r="G4028">
        <v>1077777</v>
      </c>
      <c r="H4028">
        <v>501010</v>
      </c>
      <c r="I4028">
        <v>72</v>
      </c>
    </row>
    <row r="4029" spans="1:9" x14ac:dyDescent="0.25">
      <c r="A4029">
        <v>4220</v>
      </c>
      <c r="B4029">
        <v>10</v>
      </c>
      <c r="C4029" t="s">
        <v>946</v>
      </c>
      <c r="D4029" t="s">
        <v>1027</v>
      </c>
      <c r="E4029" t="s">
        <v>294</v>
      </c>
      <c r="F4029" t="s">
        <v>948</v>
      </c>
      <c r="G4029">
        <v>1077777</v>
      </c>
      <c r="H4029">
        <v>501010</v>
      </c>
      <c r="I4029">
        <v>72</v>
      </c>
    </row>
    <row r="4030" spans="1:9" x14ac:dyDescent="0.25">
      <c r="A4030">
        <v>4230</v>
      </c>
      <c r="B4030">
        <v>10</v>
      </c>
      <c r="C4030" t="s">
        <v>946</v>
      </c>
      <c r="D4030" t="s">
        <v>1027</v>
      </c>
      <c r="E4030" t="s">
        <v>294</v>
      </c>
      <c r="F4030" t="s">
        <v>948</v>
      </c>
      <c r="G4030">
        <v>1099999</v>
      </c>
      <c r="H4030">
        <v>401045</v>
      </c>
      <c r="I4030">
        <v>72</v>
      </c>
    </row>
    <row r="4031" spans="1:9" x14ac:dyDescent="0.25">
      <c r="A4031">
        <v>4240</v>
      </c>
      <c r="B4031">
        <v>10</v>
      </c>
      <c r="C4031" t="s">
        <v>946</v>
      </c>
      <c r="D4031" t="s">
        <v>1027</v>
      </c>
      <c r="E4031" t="s">
        <v>294</v>
      </c>
      <c r="F4031" t="s">
        <v>948</v>
      </c>
      <c r="G4031">
        <v>1000000</v>
      </c>
      <c r="H4031">
        <v>143000</v>
      </c>
      <c r="I4031" t="s">
        <v>979</v>
      </c>
    </row>
    <row r="4032" spans="1:9" x14ac:dyDescent="0.25">
      <c r="A4032">
        <v>4230</v>
      </c>
      <c r="B4032">
        <v>10</v>
      </c>
      <c r="C4032" t="s">
        <v>946</v>
      </c>
      <c r="D4032" t="s">
        <v>1027</v>
      </c>
      <c r="E4032" t="s">
        <v>298</v>
      </c>
      <c r="F4032" t="s">
        <v>948</v>
      </c>
      <c r="G4032">
        <v>1099999</v>
      </c>
      <c r="H4032">
        <v>402085</v>
      </c>
      <c r="I4032">
        <v>72</v>
      </c>
    </row>
    <row r="4033" spans="1:9" x14ac:dyDescent="0.25">
      <c r="A4033">
        <v>4141</v>
      </c>
      <c r="B4033">
        <v>10</v>
      </c>
      <c r="C4033" t="s">
        <v>946</v>
      </c>
      <c r="D4033" t="s">
        <v>1027</v>
      </c>
      <c r="E4033" t="s">
        <v>980</v>
      </c>
      <c r="F4033" t="s">
        <v>948</v>
      </c>
      <c r="G4033">
        <v>1077777</v>
      </c>
      <c r="H4033">
        <v>501010</v>
      </c>
      <c r="I4033">
        <v>72</v>
      </c>
    </row>
    <row r="4034" spans="1:9" x14ac:dyDescent="0.25">
      <c r="A4034">
        <v>4220</v>
      </c>
      <c r="B4034">
        <v>10</v>
      </c>
      <c r="C4034" t="s">
        <v>946</v>
      </c>
      <c r="D4034" t="s">
        <v>1027</v>
      </c>
      <c r="E4034" t="s">
        <v>980</v>
      </c>
      <c r="F4034" t="s">
        <v>948</v>
      </c>
      <c r="G4034">
        <v>1077777</v>
      </c>
      <c r="H4034">
        <v>501010</v>
      </c>
      <c r="I4034">
        <v>72</v>
      </c>
    </row>
    <row r="4035" spans="1:9" x14ac:dyDescent="0.25">
      <c r="A4035">
        <v>4230</v>
      </c>
      <c r="B4035">
        <v>10</v>
      </c>
      <c r="C4035" t="s">
        <v>946</v>
      </c>
      <c r="D4035" t="s">
        <v>1027</v>
      </c>
      <c r="E4035" t="s">
        <v>980</v>
      </c>
      <c r="F4035" t="s">
        <v>948</v>
      </c>
      <c r="G4035">
        <v>1099999</v>
      </c>
      <c r="H4035">
        <v>401915</v>
      </c>
      <c r="I4035">
        <v>72</v>
      </c>
    </row>
    <row r="4036" spans="1:9" x14ac:dyDescent="0.25">
      <c r="A4036">
        <v>4240</v>
      </c>
      <c r="B4036">
        <v>10</v>
      </c>
      <c r="C4036" t="s">
        <v>946</v>
      </c>
      <c r="D4036" t="s">
        <v>1027</v>
      </c>
      <c r="E4036" t="s">
        <v>980</v>
      </c>
      <c r="F4036" t="s">
        <v>948</v>
      </c>
      <c r="G4036">
        <v>1000000</v>
      </c>
      <c r="H4036">
        <v>141000</v>
      </c>
      <c r="I4036" t="s">
        <v>981</v>
      </c>
    </row>
    <row r="4037" spans="1:9" x14ac:dyDescent="0.25">
      <c r="A4037">
        <v>4141</v>
      </c>
      <c r="B4037">
        <v>10</v>
      </c>
      <c r="C4037" t="s">
        <v>946</v>
      </c>
      <c r="D4037" t="s">
        <v>1027</v>
      </c>
      <c r="E4037" t="s">
        <v>302</v>
      </c>
      <c r="F4037" t="s">
        <v>948</v>
      </c>
      <c r="G4037">
        <v>1077777</v>
      </c>
      <c r="H4037">
        <v>501010</v>
      </c>
      <c r="I4037">
        <v>72</v>
      </c>
    </row>
    <row r="4038" spans="1:9" x14ac:dyDescent="0.25">
      <c r="A4038">
        <v>4220</v>
      </c>
      <c r="B4038">
        <v>10</v>
      </c>
      <c r="C4038" t="s">
        <v>946</v>
      </c>
      <c r="D4038" t="s">
        <v>1027</v>
      </c>
      <c r="E4038" t="s">
        <v>302</v>
      </c>
      <c r="F4038" t="s">
        <v>948</v>
      </c>
      <c r="G4038">
        <v>1077777</v>
      </c>
      <c r="H4038">
        <v>501010</v>
      </c>
      <c r="I4038">
        <v>72</v>
      </c>
    </row>
    <row r="4039" spans="1:9" x14ac:dyDescent="0.25">
      <c r="A4039">
        <v>4230</v>
      </c>
      <c r="B4039">
        <v>10</v>
      </c>
      <c r="C4039" t="s">
        <v>946</v>
      </c>
      <c r="D4039" t="s">
        <v>1027</v>
      </c>
      <c r="E4039" t="s">
        <v>302</v>
      </c>
      <c r="F4039" t="s">
        <v>948</v>
      </c>
      <c r="G4039">
        <v>1099999</v>
      </c>
      <c r="H4039">
        <v>401905</v>
      </c>
      <c r="I4039">
        <v>72</v>
      </c>
    </row>
    <row r="4040" spans="1:9" x14ac:dyDescent="0.25">
      <c r="A4040">
        <v>4240</v>
      </c>
      <c r="B4040">
        <v>10</v>
      </c>
      <c r="C4040" t="s">
        <v>946</v>
      </c>
      <c r="D4040" t="s">
        <v>1027</v>
      </c>
      <c r="E4040" t="s">
        <v>302</v>
      </c>
      <c r="F4040" t="s">
        <v>948</v>
      </c>
      <c r="G4040">
        <v>1000000</v>
      </c>
      <c r="H4040">
        <v>143000</v>
      </c>
      <c r="I4040" t="s">
        <v>982</v>
      </c>
    </row>
    <row r="4041" spans="1:9" x14ac:dyDescent="0.25">
      <c r="A4041">
        <v>4141</v>
      </c>
      <c r="B4041">
        <v>10</v>
      </c>
      <c r="C4041" t="s">
        <v>946</v>
      </c>
      <c r="D4041" t="s">
        <v>1027</v>
      </c>
      <c r="E4041" t="s">
        <v>306</v>
      </c>
      <c r="F4041" t="s">
        <v>948</v>
      </c>
      <c r="G4041">
        <v>1077777</v>
      </c>
      <c r="H4041">
        <v>501010</v>
      </c>
      <c r="I4041">
        <v>72</v>
      </c>
    </row>
    <row r="4042" spans="1:9" x14ac:dyDescent="0.25">
      <c r="A4042">
        <v>4220</v>
      </c>
      <c r="B4042">
        <v>10</v>
      </c>
      <c r="C4042" t="s">
        <v>946</v>
      </c>
      <c r="D4042" t="s">
        <v>1027</v>
      </c>
      <c r="E4042" t="s">
        <v>306</v>
      </c>
      <c r="F4042" t="s">
        <v>948</v>
      </c>
      <c r="G4042">
        <v>1077777</v>
      </c>
      <c r="H4042">
        <v>501010</v>
      </c>
      <c r="I4042">
        <v>72</v>
      </c>
    </row>
    <row r="4043" spans="1:9" x14ac:dyDescent="0.25">
      <c r="A4043">
        <v>4230</v>
      </c>
      <c r="B4043">
        <v>10</v>
      </c>
      <c r="C4043" t="s">
        <v>946</v>
      </c>
      <c r="D4043" t="s">
        <v>1027</v>
      </c>
      <c r="E4043" t="s">
        <v>306</v>
      </c>
      <c r="F4043" t="s">
        <v>948</v>
      </c>
      <c r="G4043">
        <v>1099999</v>
      </c>
      <c r="H4043">
        <v>401045</v>
      </c>
      <c r="I4043">
        <v>72</v>
      </c>
    </row>
    <row r="4044" spans="1:9" x14ac:dyDescent="0.25">
      <c r="A4044">
        <v>4240</v>
      </c>
      <c r="B4044">
        <v>10</v>
      </c>
      <c r="C4044" t="s">
        <v>946</v>
      </c>
      <c r="D4044" t="s">
        <v>1027</v>
      </c>
      <c r="E4044" t="s">
        <v>306</v>
      </c>
      <c r="F4044" t="s">
        <v>948</v>
      </c>
      <c r="G4044">
        <v>1000000</v>
      </c>
      <c r="H4044">
        <v>143000</v>
      </c>
      <c r="I4044" t="s">
        <v>983</v>
      </c>
    </row>
    <row r="4045" spans="1:9" x14ac:dyDescent="0.25">
      <c r="A4045">
        <v>4141</v>
      </c>
      <c r="B4045">
        <v>10</v>
      </c>
      <c r="C4045" t="s">
        <v>946</v>
      </c>
      <c r="D4045" t="s">
        <v>1027</v>
      </c>
      <c r="E4045" t="s">
        <v>108</v>
      </c>
      <c r="F4045" t="s">
        <v>948</v>
      </c>
      <c r="G4045">
        <v>1077777</v>
      </c>
      <c r="H4045">
        <v>500220</v>
      </c>
      <c r="I4045" t="s">
        <v>949</v>
      </c>
    </row>
    <row r="4046" spans="1:9" x14ac:dyDescent="0.25">
      <c r="A4046">
        <v>4220</v>
      </c>
      <c r="B4046">
        <v>10</v>
      </c>
      <c r="C4046" t="s">
        <v>946</v>
      </c>
      <c r="D4046" t="s">
        <v>1027</v>
      </c>
      <c r="E4046" t="s">
        <v>108</v>
      </c>
      <c r="F4046" t="s">
        <v>948</v>
      </c>
      <c r="G4046">
        <v>1077777</v>
      </c>
      <c r="H4046">
        <v>500220</v>
      </c>
      <c r="I4046" t="s">
        <v>949</v>
      </c>
    </row>
    <row r="4047" spans="1:9" x14ac:dyDescent="0.25">
      <c r="A4047">
        <v>4230</v>
      </c>
      <c r="B4047">
        <v>10</v>
      </c>
      <c r="C4047" t="s">
        <v>946</v>
      </c>
      <c r="D4047" t="s">
        <v>1027</v>
      </c>
      <c r="E4047" t="s">
        <v>108</v>
      </c>
      <c r="F4047" t="s">
        <v>948</v>
      </c>
      <c r="G4047">
        <v>1099999</v>
      </c>
      <c r="H4047">
        <v>401045</v>
      </c>
      <c r="I4047">
        <v>72</v>
      </c>
    </row>
    <row r="4048" spans="1:9" x14ac:dyDescent="0.25">
      <c r="A4048">
        <v>4240</v>
      </c>
      <c r="B4048">
        <v>10</v>
      </c>
      <c r="C4048" t="s">
        <v>946</v>
      </c>
      <c r="D4048" t="s">
        <v>1027</v>
      </c>
      <c r="E4048" t="s">
        <v>108</v>
      </c>
      <c r="F4048" t="s">
        <v>948</v>
      </c>
      <c r="G4048">
        <v>1077777</v>
      </c>
      <c r="H4048">
        <v>500221</v>
      </c>
      <c r="I4048" t="s">
        <v>949</v>
      </c>
    </row>
    <row r="4049" spans="1:9" x14ac:dyDescent="0.25">
      <c r="A4049">
        <v>4141</v>
      </c>
      <c r="B4049">
        <v>10</v>
      </c>
      <c r="C4049" t="s">
        <v>946</v>
      </c>
      <c r="D4049" t="s">
        <v>1027</v>
      </c>
      <c r="E4049" t="s">
        <v>310</v>
      </c>
      <c r="F4049" t="s">
        <v>948</v>
      </c>
      <c r="G4049">
        <v>1077777</v>
      </c>
      <c r="H4049">
        <v>501010</v>
      </c>
      <c r="I4049">
        <v>72</v>
      </c>
    </row>
    <row r="4050" spans="1:9" x14ac:dyDescent="0.25">
      <c r="A4050">
        <v>4220</v>
      </c>
      <c r="B4050">
        <v>10</v>
      </c>
      <c r="C4050" t="s">
        <v>946</v>
      </c>
      <c r="D4050" t="s">
        <v>1027</v>
      </c>
      <c r="E4050" t="s">
        <v>310</v>
      </c>
      <c r="F4050" t="s">
        <v>948</v>
      </c>
      <c r="G4050">
        <v>1077777</v>
      </c>
      <c r="H4050">
        <v>501010</v>
      </c>
      <c r="I4050">
        <v>72</v>
      </c>
    </row>
    <row r="4051" spans="1:9" x14ac:dyDescent="0.25">
      <c r="A4051">
        <v>4230</v>
      </c>
      <c r="B4051">
        <v>10</v>
      </c>
      <c r="C4051" t="s">
        <v>946</v>
      </c>
      <c r="D4051" t="s">
        <v>1027</v>
      </c>
      <c r="E4051" t="s">
        <v>310</v>
      </c>
      <c r="F4051" t="s">
        <v>948</v>
      </c>
      <c r="G4051">
        <v>1099999</v>
      </c>
      <c r="H4051">
        <v>401015</v>
      </c>
      <c r="I4051">
        <v>72</v>
      </c>
    </row>
    <row r="4052" spans="1:9" x14ac:dyDescent="0.25">
      <c r="A4052">
        <v>4240</v>
      </c>
      <c r="B4052">
        <v>10</v>
      </c>
      <c r="C4052" t="s">
        <v>946</v>
      </c>
      <c r="D4052" t="s">
        <v>1027</v>
      </c>
      <c r="E4052" t="s">
        <v>310</v>
      </c>
      <c r="F4052" t="s">
        <v>948</v>
      </c>
      <c r="G4052">
        <v>1000000</v>
      </c>
      <c r="H4052">
        <v>145000</v>
      </c>
      <c r="I4052" t="s">
        <v>949</v>
      </c>
    </row>
    <row r="4053" spans="1:9" x14ac:dyDescent="0.25">
      <c r="A4053">
        <v>4141</v>
      </c>
      <c r="B4053">
        <v>10</v>
      </c>
      <c r="C4053" t="s">
        <v>946</v>
      </c>
      <c r="D4053" t="s">
        <v>1027</v>
      </c>
      <c r="E4053" t="s">
        <v>314</v>
      </c>
      <c r="F4053" t="s">
        <v>948</v>
      </c>
      <c r="G4053">
        <v>1077777</v>
      </c>
      <c r="H4053">
        <v>501010</v>
      </c>
      <c r="I4053">
        <v>72</v>
      </c>
    </row>
    <row r="4054" spans="1:9" x14ac:dyDescent="0.25">
      <c r="A4054">
        <v>4220</v>
      </c>
      <c r="B4054">
        <v>10</v>
      </c>
      <c r="C4054" t="s">
        <v>946</v>
      </c>
      <c r="D4054" t="s">
        <v>1027</v>
      </c>
      <c r="E4054" t="s">
        <v>314</v>
      </c>
      <c r="F4054" t="s">
        <v>948</v>
      </c>
      <c r="G4054">
        <v>1077777</v>
      </c>
      <c r="H4054">
        <v>501010</v>
      </c>
      <c r="I4054">
        <v>72</v>
      </c>
    </row>
    <row r="4055" spans="1:9" x14ac:dyDescent="0.25">
      <c r="A4055">
        <v>4230</v>
      </c>
      <c r="B4055">
        <v>10</v>
      </c>
      <c r="C4055" t="s">
        <v>946</v>
      </c>
      <c r="D4055" t="s">
        <v>1027</v>
      </c>
      <c r="E4055" t="s">
        <v>314</v>
      </c>
      <c r="F4055" t="s">
        <v>948</v>
      </c>
      <c r="G4055">
        <v>1099999</v>
      </c>
      <c r="H4055">
        <v>401065</v>
      </c>
      <c r="I4055">
        <v>72</v>
      </c>
    </row>
    <row r="4056" spans="1:9" x14ac:dyDescent="0.25">
      <c r="A4056">
        <v>4240</v>
      </c>
      <c r="B4056">
        <v>10</v>
      </c>
      <c r="C4056" t="s">
        <v>946</v>
      </c>
      <c r="D4056" t="s">
        <v>1027</v>
      </c>
      <c r="E4056" t="s">
        <v>314</v>
      </c>
      <c r="F4056" t="s">
        <v>948</v>
      </c>
      <c r="G4056">
        <v>1000000</v>
      </c>
      <c r="H4056">
        <v>145000</v>
      </c>
      <c r="I4056" t="s">
        <v>949</v>
      </c>
    </row>
    <row r="4057" spans="1:9" x14ac:dyDescent="0.25">
      <c r="A4057">
        <v>4141</v>
      </c>
      <c r="B4057">
        <v>10</v>
      </c>
      <c r="C4057" t="s">
        <v>946</v>
      </c>
      <c r="D4057" t="s">
        <v>1027</v>
      </c>
      <c r="E4057" t="s">
        <v>113</v>
      </c>
      <c r="F4057" t="s">
        <v>948</v>
      </c>
      <c r="G4057">
        <v>1077777</v>
      </c>
      <c r="H4057">
        <v>500220</v>
      </c>
      <c r="I4057" t="s">
        <v>949</v>
      </c>
    </row>
    <row r="4058" spans="1:9" x14ac:dyDescent="0.25">
      <c r="A4058">
        <v>4220</v>
      </c>
      <c r="B4058">
        <v>10</v>
      </c>
      <c r="C4058" t="s">
        <v>946</v>
      </c>
      <c r="D4058" t="s">
        <v>1027</v>
      </c>
      <c r="E4058" t="s">
        <v>113</v>
      </c>
      <c r="F4058" t="s">
        <v>948</v>
      </c>
      <c r="G4058">
        <v>1077777</v>
      </c>
      <c r="H4058">
        <v>500220</v>
      </c>
      <c r="I4058" t="s">
        <v>949</v>
      </c>
    </row>
    <row r="4059" spans="1:9" x14ac:dyDescent="0.25">
      <c r="A4059">
        <v>4230</v>
      </c>
      <c r="B4059">
        <v>10</v>
      </c>
      <c r="C4059" t="s">
        <v>946</v>
      </c>
      <c r="D4059" t="s">
        <v>1027</v>
      </c>
      <c r="E4059" t="s">
        <v>113</v>
      </c>
      <c r="F4059" t="s">
        <v>948</v>
      </c>
      <c r="G4059">
        <v>1099999</v>
      </c>
      <c r="H4059">
        <v>402085</v>
      </c>
      <c r="I4059">
        <v>72</v>
      </c>
    </row>
    <row r="4060" spans="1:9" x14ac:dyDescent="0.25">
      <c r="A4060">
        <v>4240</v>
      </c>
      <c r="B4060">
        <v>10</v>
      </c>
      <c r="C4060" t="s">
        <v>946</v>
      </c>
      <c r="D4060" t="s">
        <v>1027</v>
      </c>
      <c r="E4060" t="s">
        <v>113</v>
      </c>
      <c r="F4060" t="s">
        <v>948</v>
      </c>
      <c r="G4060">
        <v>1077777</v>
      </c>
      <c r="H4060">
        <v>500221</v>
      </c>
      <c r="I4060" t="s">
        <v>949</v>
      </c>
    </row>
    <row r="4061" spans="1:9" x14ac:dyDescent="0.25">
      <c r="A4061">
        <v>4141</v>
      </c>
      <c r="B4061">
        <v>10</v>
      </c>
      <c r="C4061" t="s">
        <v>946</v>
      </c>
      <c r="D4061" t="s">
        <v>1027</v>
      </c>
      <c r="E4061" t="s">
        <v>117</v>
      </c>
      <c r="F4061" t="s">
        <v>948</v>
      </c>
      <c r="G4061">
        <v>1077777</v>
      </c>
      <c r="H4061">
        <v>500220</v>
      </c>
      <c r="I4061" t="s">
        <v>949</v>
      </c>
    </row>
    <row r="4062" spans="1:9" x14ac:dyDescent="0.25">
      <c r="A4062">
        <v>4220</v>
      </c>
      <c r="B4062">
        <v>10</v>
      </c>
      <c r="C4062" t="s">
        <v>946</v>
      </c>
      <c r="D4062" t="s">
        <v>1027</v>
      </c>
      <c r="E4062" t="s">
        <v>117</v>
      </c>
      <c r="F4062" t="s">
        <v>948</v>
      </c>
      <c r="G4062">
        <v>1077777</v>
      </c>
      <c r="H4062">
        <v>500220</v>
      </c>
      <c r="I4062" t="s">
        <v>949</v>
      </c>
    </row>
    <row r="4063" spans="1:9" x14ac:dyDescent="0.25">
      <c r="A4063">
        <v>4230</v>
      </c>
      <c r="B4063">
        <v>10</v>
      </c>
      <c r="C4063" t="s">
        <v>946</v>
      </c>
      <c r="D4063" t="s">
        <v>1027</v>
      </c>
      <c r="E4063" t="s">
        <v>117</v>
      </c>
      <c r="F4063" t="s">
        <v>948</v>
      </c>
      <c r="G4063">
        <v>1088888</v>
      </c>
      <c r="H4063">
        <v>810600</v>
      </c>
      <c r="I4063">
        <v>72</v>
      </c>
    </row>
    <row r="4064" spans="1:9" x14ac:dyDescent="0.25">
      <c r="A4064">
        <v>4240</v>
      </c>
      <c r="B4064">
        <v>10</v>
      </c>
      <c r="C4064" t="s">
        <v>946</v>
      </c>
      <c r="D4064" t="s">
        <v>1027</v>
      </c>
      <c r="E4064" t="s">
        <v>117</v>
      </c>
      <c r="F4064" t="s">
        <v>948</v>
      </c>
      <c r="G4064">
        <v>1077777</v>
      </c>
      <c r="H4064">
        <v>500221</v>
      </c>
      <c r="I4064" t="s">
        <v>949</v>
      </c>
    </row>
    <row r="4065" spans="1:9" x14ac:dyDescent="0.25">
      <c r="A4065">
        <v>4141</v>
      </c>
      <c r="B4065">
        <v>10</v>
      </c>
      <c r="C4065" t="s">
        <v>946</v>
      </c>
      <c r="D4065" t="s">
        <v>1027</v>
      </c>
      <c r="E4065" t="s">
        <v>121</v>
      </c>
      <c r="F4065" t="s">
        <v>948</v>
      </c>
      <c r="G4065">
        <v>1077777</v>
      </c>
      <c r="H4065">
        <v>500220</v>
      </c>
      <c r="I4065" t="s">
        <v>949</v>
      </c>
    </row>
    <row r="4066" spans="1:9" x14ac:dyDescent="0.25">
      <c r="A4066">
        <v>4220</v>
      </c>
      <c r="B4066">
        <v>10</v>
      </c>
      <c r="C4066" t="s">
        <v>946</v>
      </c>
      <c r="D4066" t="s">
        <v>1027</v>
      </c>
      <c r="E4066" t="s">
        <v>121</v>
      </c>
      <c r="F4066" t="s">
        <v>948</v>
      </c>
      <c r="G4066">
        <v>1077777</v>
      </c>
      <c r="H4066">
        <v>500220</v>
      </c>
      <c r="I4066" t="s">
        <v>949</v>
      </c>
    </row>
    <row r="4067" spans="1:9" x14ac:dyDescent="0.25">
      <c r="A4067">
        <v>4230</v>
      </c>
      <c r="B4067">
        <v>10</v>
      </c>
      <c r="C4067" t="s">
        <v>946</v>
      </c>
      <c r="D4067" t="s">
        <v>1027</v>
      </c>
      <c r="E4067" t="s">
        <v>121</v>
      </c>
      <c r="F4067" t="s">
        <v>948</v>
      </c>
      <c r="G4067">
        <v>1099999</v>
      </c>
      <c r="H4067">
        <v>401045</v>
      </c>
      <c r="I4067">
        <v>72</v>
      </c>
    </row>
    <row r="4068" spans="1:9" x14ac:dyDescent="0.25">
      <c r="A4068">
        <v>4240</v>
      </c>
      <c r="B4068">
        <v>10</v>
      </c>
      <c r="C4068" t="s">
        <v>946</v>
      </c>
      <c r="D4068" t="s">
        <v>1027</v>
      </c>
      <c r="E4068" t="s">
        <v>121</v>
      </c>
      <c r="F4068" t="s">
        <v>948</v>
      </c>
      <c r="G4068">
        <v>1077777</v>
      </c>
      <c r="H4068">
        <v>500221</v>
      </c>
      <c r="I4068" t="s">
        <v>949</v>
      </c>
    </row>
    <row r="4069" spans="1:9" x14ac:dyDescent="0.25">
      <c r="A4069">
        <v>4141</v>
      </c>
      <c r="B4069">
        <v>10</v>
      </c>
      <c r="C4069" t="s">
        <v>946</v>
      </c>
      <c r="D4069" t="s">
        <v>1027</v>
      </c>
      <c r="E4069" t="s">
        <v>984</v>
      </c>
      <c r="F4069" t="s">
        <v>948</v>
      </c>
      <c r="G4069">
        <v>1077777</v>
      </c>
      <c r="H4069">
        <v>501010</v>
      </c>
      <c r="I4069">
        <v>72</v>
      </c>
    </row>
    <row r="4070" spans="1:9" x14ac:dyDescent="0.25">
      <c r="A4070">
        <v>4220</v>
      </c>
      <c r="B4070">
        <v>10</v>
      </c>
      <c r="C4070" t="s">
        <v>946</v>
      </c>
      <c r="D4070" t="s">
        <v>1027</v>
      </c>
      <c r="E4070" t="s">
        <v>984</v>
      </c>
      <c r="F4070" t="s">
        <v>948</v>
      </c>
      <c r="G4070">
        <v>1077777</v>
      </c>
      <c r="H4070">
        <v>501010</v>
      </c>
      <c r="I4070">
        <v>72</v>
      </c>
    </row>
    <row r="4071" spans="1:9" x14ac:dyDescent="0.25">
      <c r="A4071">
        <v>4230</v>
      </c>
      <c r="B4071">
        <v>10</v>
      </c>
      <c r="C4071" t="s">
        <v>946</v>
      </c>
      <c r="D4071" t="s">
        <v>1027</v>
      </c>
      <c r="E4071" t="s">
        <v>984</v>
      </c>
      <c r="F4071" t="s">
        <v>948</v>
      </c>
      <c r="G4071">
        <v>1099999</v>
      </c>
      <c r="H4071">
        <v>401915</v>
      </c>
      <c r="I4071">
        <v>72</v>
      </c>
    </row>
    <row r="4072" spans="1:9" x14ac:dyDescent="0.25">
      <c r="A4072">
        <v>4240</v>
      </c>
      <c r="B4072">
        <v>10</v>
      </c>
      <c r="C4072" t="s">
        <v>946</v>
      </c>
      <c r="D4072" t="s">
        <v>1027</v>
      </c>
      <c r="E4072" t="s">
        <v>984</v>
      </c>
      <c r="F4072" t="s">
        <v>948</v>
      </c>
      <c r="G4072">
        <v>1000000</v>
      </c>
      <c r="H4072">
        <v>141000</v>
      </c>
      <c r="I4072" t="s">
        <v>985</v>
      </c>
    </row>
    <row r="4073" spans="1:9" x14ac:dyDescent="0.25">
      <c r="A4073">
        <v>4245</v>
      </c>
      <c r="B4073">
        <v>10</v>
      </c>
      <c r="C4073" t="s">
        <v>946</v>
      </c>
      <c r="D4073" t="s">
        <v>1028</v>
      </c>
      <c r="E4073" t="s">
        <v>49</v>
      </c>
      <c r="F4073" t="s">
        <v>948</v>
      </c>
      <c r="G4073">
        <v>5000000</v>
      </c>
      <c r="H4073">
        <v>145200</v>
      </c>
      <c r="I4073" t="s">
        <v>949</v>
      </c>
    </row>
    <row r="4074" spans="1:9" x14ac:dyDescent="0.25">
      <c r="A4074">
        <v>4141</v>
      </c>
      <c r="B4074">
        <v>10</v>
      </c>
      <c r="C4074" t="s">
        <v>946</v>
      </c>
      <c r="D4074" t="s">
        <v>1028</v>
      </c>
      <c r="E4074" t="s">
        <v>243</v>
      </c>
      <c r="F4074" t="s">
        <v>948</v>
      </c>
      <c r="G4074">
        <v>1077777</v>
      </c>
      <c r="H4074">
        <v>501010</v>
      </c>
      <c r="I4074">
        <v>50</v>
      </c>
    </row>
    <row r="4075" spans="1:9" x14ac:dyDescent="0.25">
      <c r="A4075">
        <v>4220</v>
      </c>
      <c r="B4075">
        <v>10</v>
      </c>
      <c r="C4075" t="s">
        <v>946</v>
      </c>
      <c r="D4075" t="s">
        <v>1028</v>
      </c>
      <c r="E4075" t="s">
        <v>243</v>
      </c>
      <c r="F4075" t="s">
        <v>948</v>
      </c>
      <c r="G4075">
        <v>1077777</v>
      </c>
      <c r="H4075">
        <v>501010</v>
      </c>
      <c r="I4075">
        <v>50</v>
      </c>
    </row>
    <row r="4076" spans="1:9" x14ac:dyDescent="0.25">
      <c r="A4076">
        <v>4230</v>
      </c>
      <c r="B4076">
        <v>10</v>
      </c>
      <c r="C4076" t="s">
        <v>946</v>
      </c>
      <c r="D4076" t="s">
        <v>1028</v>
      </c>
      <c r="E4076" t="s">
        <v>243</v>
      </c>
      <c r="F4076" t="s">
        <v>948</v>
      </c>
      <c r="G4076">
        <v>1099999</v>
      </c>
      <c r="H4076">
        <v>401055</v>
      </c>
      <c r="I4076">
        <v>50</v>
      </c>
    </row>
    <row r="4077" spans="1:9" x14ac:dyDescent="0.25">
      <c r="A4077">
        <v>4240</v>
      </c>
      <c r="B4077">
        <v>10</v>
      </c>
      <c r="C4077" t="s">
        <v>946</v>
      </c>
      <c r="D4077" t="s">
        <v>1028</v>
      </c>
      <c r="E4077" t="s">
        <v>243</v>
      </c>
      <c r="F4077" t="s">
        <v>948</v>
      </c>
      <c r="G4077">
        <v>1000000</v>
      </c>
      <c r="H4077">
        <v>145000</v>
      </c>
      <c r="I4077" t="s">
        <v>949</v>
      </c>
    </row>
    <row r="4078" spans="1:9" x14ac:dyDescent="0.25">
      <c r="A4078">
        <v>4141</v>
      </c>
      <c r="B4078">
        <v>10</v>
      </c>
      <c r="C4078" t="s">
        <v>946</v>
      </c>
      <c r="D4078" t="s">
        <v>1028</v>
      </c>
      <c r="E4078" t="s">
        <v>247</v>
      </c>
      <c r="F4078" t="s">
        <v>948</v>
      </c>
      <c r="G4078">
        <v>1077777</v>
      </c>
      <c r="H4078">
        <v>501010</v>
      </c>
      <c r="I4078">
        <v>50</v>
      </c>
    </row>
    <row r="4079" spans="1:9" x14ac:dyDescent="0.25">
      <c r="A4079">
        <v>4220</v>
      </c>
      <c r="B4079">
        <v>10</v>
      </c>
      <c r="C4079" t="s">
        <v>946</v>
      </c>
      <c r="D4079" t="s">
        <v>1028</v>
      </c>
      <c r="E4079" t="s">
        <v>247</v>
      </c>
      <c r="F4079" t="s">
        <v>948</v>
      </c>
      <c r="G4079">
        <v>1077777</v>
      </c>
      <c r="H4079">
        <v>501010</v>
      </c>
      <c r="I4079">
        <v>50</v>
      </c>
    </row>
    <row r="4080" spans="1:9" x14ac:dyDescent="0.25">
      <c r="A4080">
        <v>4230</v>
      </c>
      <c r="B4080">
        <v>10</v>
      </c>
      <c r="C4080" t="s">
        <v>946</v>
      </c>
      <c r="D4080" t="s">
        <v>1028</v>
      </c>
      <c r="E4080" t="s">
        <v>247</v>
      </c>
      <c r="F4080" t="s">
        <v>948</v>
      </c>
      <c r="G4080">
        <v>1099999</v>
      </c>
      <c r="H4080">
        <v>401025</v>
      </c>
      <c r="I4080">
        <v>50</v>
      </c>
    </row>
    <row r="4081" spans="1:9" x14ac:dyDescent="0.25">
      <c r="A4081">
        <v>4240</v>
      </c>
      <c r="B4081">
        <v>10</v>
      </c>
      <c r="C4081" t="s">
        <v>946</v>
      </c>
      <c r="D4081" t="s">
        <v>1028</v>
      </c>
      <c r="E4081" t="s">
        <v>247</v>
      </c>
      <c r="F4081" t="s">
        <v>948</v>
      </c>
      <c r="G4081">
        <v>1000000</v>
      </c>
      <c r="H4081">
        <v>145000</v>
      </c>
      <c r="I4081" t="s">
        <v>949</v>
      </c>
    </row>
    <row r="4082" spans="1:9" x14ac:dyDescent="0.25">
      <c r="A4082">
        <v>4141</v>
      </c>
      <c r="B4082">
        <v>10</v>
      </c>
      <c r="C4082" t="s">
        <v>946</v>
      </c>
      <c r="D4082" t="s">
        <v>1028</v>
      </c>
      <c r="E4082" t="s">
        <v>251</v>
      </c>
      <c r="F4082" t="s">
        <v>948</v>
      </c>
      <c r="G4082">
        <v>1077777</v>
      </c>
      <c r="H4082">
        <v>501010</v>
      </c>
      <c r="I4082">
        <v>50</v>
      </c>
    </row>
    <row r="4083" spans="1:9" x14ac:dyDescent="0.25">
      <c r="A4083">
        <v>4220</v>
      </c>
      <c r="B4083">
        <v>10</v>
      </c>
      <c r="C4083" t="s">
        <v>946</v>
      </c>
      <c r="D4083" t="s">
        <v>1028</v>
      </c>
      <c r="E4083" t="s">
        <v>251</v>
      </c>
      <c r="F4083" t="s">
        <v>948</v>
      </c>
      <c r="G4083">
        <v>1077777</v>
      </c>
      <c r="H4083">
        <v>501010</v>
      </c>
      <c r="I4083">
        <v>50</v>
      </c>
    </row>
    <row r="4084" spans="1:9" x14ac:dyDescent="0.25">
      <c r="A4084">
        <v>4230</v>
      </c>
      <c r="B4084">
        <v>10</v>
      </c>
      <c r="C4084" t="s">
        <v>946</v>
      </c>
      <c r="D4084" t="s">
        <v>1028</v>
      </c>
      <c r="E4084" t="s">
        <v>251</v>
      </c>
      <c r="F4084" t="s">
        <v>948</v>
      </c>
      <c r="G4084">
        <v>1099999</v>
      </c>
      <c r="H4084">
        <v>401045</v>
      </c>
      <c r="I4084">
        <v>50</v>
      </c>
    </row>
    <row r="4085" spans="1:9" x14ac:dyDescent="0.25">
      <c r="A4085">
        <v>4240</v>
      </c>
      <c r="B4085">
        <v>10</v>
      </c>
      <c r="C4085" t="s">
        <v>946</v>
      </c>
      <c r="D4085" t="s">
        <v>1028</v>
      </c>
      <c r="E4085" t="s">
        <v>251</v>
      </c>
      <c r="F4085" t="s">
        <v>948</v>
      </c>
      <c r="G4085">
        <v>1000000</v>
      </c>
      <c r="H4085">
        <v>142000</v>
      </c>
      <c r="I4085" t="s">
        <v>949</v>
      </c>
    </row>
    <row r="4086" spans="1:9" x14ac:dyDescent="0.25">
      <c r="A4086">
        <v>4141</v>
      </c>
      <c r="B4086">
        <v>10</v>
      </c>
      <c r="C4086" t="s">
        <v>946</v>
      </c>
      <c r="D4086" t="s">
        <v>1028</v>
      </c>
      <c r="E4086" t="s">
        <v>969</v>
      </c>
      <c r="F4086" t="s">
        <v>948</v>
      </c>
      <c r="G4086">
        <v>1077777</v>
      </c>
      <c r="H4086">
        <v>501010</v>
      </c>
      <c r="I4086">
        <v>50</v>
      </c>
    </row>
    <row r="4087" spans="1:9" x14ac:dyDescent="0.25">
      <c r="A4087">
        <v>4220</v>
      </c>
      <c r="B4087">
        <v>10</v>
      </c>
      <c r="C4087" t="s">
        <v>946</v>
      </c>
      <c r="D4087" t="s">
        <v>1028</v>
      </c>
      <c r="E4087" t="s">
        <v>969</v>
      </c>
      <c r="F4087" t="s">
        <v>948</v>
      </c>
      <c r="G4087">
        <v>1077777</v>
      </c>
      <c r="H4087">
        <v>501010</v>
      </c>
      <c r="I4087">
        <v>50</v>
      </c>
    </row>
    <row r="4088" spans="1:9" x14ac:dyDescent="0.25">
      <c r="A4088">
        <v>4230</v>
      </c>
      <c r="B4088">
        <v>10</v>
      </c>
      <c r="C4088" t="s">
        <v>946</v>
      </c>
      <c r="D4088" t="s">
        <v>1028</v>
      </c>
      <c r="E4088" t="s">
        <v>969</v>
      </c>
      <c r="F4088" t="s">
        <v>948</v>
      </c>
      <c r="G4088">
        <v>1099999</v>
      </c>
      <c r="H4088">
        <v>401915</v>
      </c>
      <c r="I4088">
        <v>50</v>
      </c>
    </row>
    <row r="4089" spans="1:9" x14ac:dyDescent="0.25">
      <c r="A4089">
        <v>4240</v>
      </c>
      <c r="B4089">
        <v>10</v>
      </c>
      <c r="C4089" t="s">
        <v>946</v>
      </c>
      <c r="D4089" t="s">
        <v>1028</v>
      </c>
      <c r="E4089" t="s">
        <v>969</v>
      </c>
      <c r="F4089" t="s">
        <v>948</v>
      </c>
      <c r="G4089">
        <v>1000000</v>
      </c>
      <c r="H4089">
        <v>141000</v>
      </c>
      <c r="I4089" t="s">
        <v>970</v>
      </c>
    </row>
    <row r="4090" spans="1:9" x14ac:dyDescent="0.25">
      <c r="A4090">
        <v>4141</v>
      </c>
      <c r="B4090">
        <v>10</v>
      </c>
      <c r="C4090" t="s">
        <v>946</v>
      </c>
      <c r="D4090" t="s">
        <v>1028</v>
      </c>
      <c r="E4090" t="s">
        <v>255</v>
      </c>
      <c r="F4090" t="s">
        <v>948</v>
      </c>
      <c r="G4090">
        <v>1077777</v>
      </c>
      <c r="H4090">
        <v>501010</v>
      </c>
      <c r="I4090">
        <v>50</v>
      </c>
    </row>
    <row r="4091" spans="1:9" x14ac:dyDescent="0.25">
      <c r="A4091">
        <v>4220</v>
      </c>
      <c r="B4091">
        <v>10</v>
      </c>
      <c r="C4091" t="s">
        <v>946</v>
      </c>
      <c r="D4091" t="s">
        <v>1028</v>
      </c>
      <c r="E4091" t="s">
        <v>255</v>
      </c>
      <c r="F4091" t="s">
        <v>948</v>
      </c>
      <c r="G4091">
        <v>1077777</v>
      </c>
      <c r="H4091">
        <v>501010</v>
      </c>
      <c r="I4091">
        <v>50</v>
      </c>
    </row>
    <row r="4092" spans="1:9" x14ac:dyDescent="0.25">
      <c r="A4092">
        <v>4230</v>
      </c>
      <c r="B4092">
        <v>10</v>
      </c>
      <c r="C4092" t="s">
        <v>946</v>
      </c>
      <c r="D4092" t="s">
        <v>1028</v>
      </c>
      <c r="E4092" t="s">
        <v>255</v>
      </c>
      <c r="F4092" t="s">
        <v>948</v>
      </c>
      <c r="G4092">
        <v>1099999</v>
      </c>
      <c r="H4092">
        <v>401075</v>
      </c>
      <c r="I4092">
        <v>50</v>
      </c>
    </row>
    <row r="4093" spans="1:9" x14ac:dyDescent="0.25">
      <c r="A4093">
        <v>4240</v>
      </c>
      <c r="B4093">
        <v>10</v>
      </c>
      <c r="C4093" t="s">
        <v>946</v>
      </c>
      <c r="D4093" t="s">
        <v>1028</v>
      </c>
      <c r="E4093" t="s">
        <v>255</v>
      </c>
      <c r="F4093" t="s">
        <v>948</v>
      </c>
      <c r="G4093">
        <v>1000000</v>
      </c>
      <c r="H4093">
        <v>145000</v>
      </c>
      <c r="I4093" t="s">
        <v>949</v>
      </c>
    </row>
    <row r="4094" spans="1:9" x14ac:dyDescent="0.25">
      <c r="A4094">
        <v>4141</v>
      </c>
      <c r="B4094">
        <v>10</v>
      </c>
      <c r="C4094" t="s">
        <v>946</v>
      </c>
      <c r="D4094" t="s">
        <v>1028</v>
      </c>
      <c r="E4094" t="s">
        <v>971</v>
      </c>
      <c r="F4094" t="s">
        <v>948</v>
      </c>
      <c r="G4094">
        <v>1077777</v>
      </c>
      <c r="H4094">
        <v>501010</v>
      </c>
      <c r="I4094">
        <v>50</v>
      </c>
    </row>
    <row r="4095" spans="1:9" x14ac:dyDescent="0.25">
      <c r="A4095">
        <v>4220</v>
      </c>
      <c r="B4095">
        <v>10</v>
      </c>
      <c r="C4095" t="s">
        <v>946</v>
      </c>
      <c r="D4095" t="s">
        <v>1028</v>
      </c>
      <c r="E4095" t="s">
        <v>971</v>
      </c>
      <c r="F4095" t="s">
        <v>948</v>
      </c>
      <c r="G4095">
        <v>1077777</v>
      </c>
      <c r="H4095">
        <v>501010</v>
      </c>
      <c r="I4095">
        <v>50</v>
      </c>
    </row>
    <row r="4096" spans="1:9" x14ac:dyDescent="0.25">
      <c r="A4096">
        <v>4230</v>
      </c>
      <c r="B4096">
        <v>10</v>
      </c>
      <c r="C4096" t="s">
        <v>946</v>
      </c>
      <c r="D4096" t="s">
        <v>1028</v>
      </c>
      <c r="E4096" t="s">
        <v>971</v>
      </c>
      <c r="F4096" t="s">
        <v>948</v>
      </c>
      <c r="G4096">
        <v>1099999</v>
      </c>
      <c r="H4096">
        <v>401915</v>
      </c>
      <c r="I4096">
        <v>50</v>
      </c>
    </row>
    <row r="4097" spans="1:9" x14ac:dyDescent="0.25">
      <c r="A4097">
        <v>4240</v>
      </c>
      <c r="B4097">
        <v>10</v>
      </c>
      <c r="C4097" t="s">
        <v>946</v>
      </c>
      <c r="D4097" t="s">
        <v>1028</v>
      </c>
      <c r="E4097" t="s">
        <v>971</v>
      </c>
      <c r="F4097" t="s">
        <v>948</v>
      </c>
      <c r="G4097">
        <v>1000000</v>
      </c>
      <c r="H4097">
        <v>141000</v>
      </c>
      <c r="I4097" t="s">
        <v>972</v>
      </c>
    </row>
    <row r="4098" spans="1:9" x14ac:dyDescent="0.25">
      <c r="A4098">
        <v>4230</v>
      </c>
      <c r="B4098">
        <v>10</v>
      </c>
      <c r="C4098" t="s">
        <v>946</v>
      </c>
      <c r="D4098" t="s">
        <v>1028</v>
      </c>
      <c r="E4098" t="s">
        <v>259</v>
      </c>
      <c r="F4098" t="s">
        <v>948</v>
      </c>
      <c r="G4098">
        <v>1099999</v>
      </c>
      <c r="H4098">
        <v>409005</v>
      </c>
      <c r="I4098">
        <v>50</v>
      </c>
    </row>
    <row r="4099" spans="1:9" x14ac:dyDescent="0.25">
      <c r="A4099">
        <v>4141</v>
      </c>
      <c r="B4099">
        <v>10</v>
      </c>
      <c r="C4099" t="s">
        <v>946</v>
      </c>
      <c r="D4099" t="s">
        <v>1028</v>
      </c>
      <c r="E4099" t="s">
        <v>263</v>
      </c>
      <c r="F4099" t="s">
        <v>948</v>
      </c>
      <c r="G4099">
        <v>1077777</v>
      </c>
      <c r="H4099">
        <v>501010</v>
      </c>
      <c r="I4099">
        <v>50</v>
      </c>
    </row>
    <row r="4100" spans="1:9" x14ac:dyDescent="0.25">
      <c r="A4100">
        <v>4220</v>
      </c>
      <c r="B4100">
        <v>10</v>
      </c>
      <c r="C4100" t="s">
        <v>946</v>
      </c>
      <c r="D4100" t="s">
        <v>1028</v>
      </c>
      <c r="E4100" t="s">
        <v>263</v>
      </c>
      <c r="F4100" t="s">
        <v>948</v>
      </c>
      <c r="G4100">
        <v>1077777</v>
      </c>
      <c r="H4100">
        <v>501010</v>
      </c>
      <c r="I4100">
        <v>50</v>
      </c>
    </row>
    <row r="4101" spans="1:9" x14ac:dyDescent="0.25">
      <c r="A4101">
        <v>4230</v>
      </c>
      <c r="B4101">
        <v>10</v>
      </c>
      <c r="C4101" t="s">
        <v>946</v>
      </c>
      <c r="D4101" t="s">
        <v>1028</v>
      </c>
      <c r="E4101" t="s">
        <v>263</v>
      </c>
      <c r="F4101" t="s">
        <v>948</v>
      </c>
      <c r="G4101">
        <v>1099999</v>
      </c>
      <c r="H4101">
        <v>401045</v>
      </c>
      <c r="I4101">
        <v>50</v>
      </c>
    </row>
    <row r="4102" spans="1:9" x14ac:dyDescent="0.25">
      <c r="A4102">
        <v>4240</v>
      </c>
      <c r="B4102">
        <v>10</v>
      </c>
      <c r="C4102" t="s">
        <v>946</v>
      </c>
      <c r="D4102" t="s">
        <v>1028</v>
      </c>
      <c r="E4102" t="s">
        <v>263</v>
      </c>
      <c r="F4102" t="s">
        <v>948</v>
      </c>
      <c r="G4102">
        <v>1000000</v>
      </c>
      <c r="H4102">
        <v>145000</v>
      </c>
      <c r="I4102" t="s">
        <v>949</v>
      </c>
    </row>
    <row r="4103" spans="1:9" x14ac:dyDescent="0.25">
      <c r="A4103">
        <v>4141</v>
      </c>
      <c r="B4103">
        <v>10</v>
      </c>
      <c r="C4103" t="s">
        <v>946</v>
      </c>
      <c r="D4103" t="s">
        <v>1028</v>
      </c>
      <c r="E4103" t="s">
        <v>100</v>
      </c>
      <c r="F4103" t="s">
        <v>948</v>
      </c>
      <c r="G4103">
        <v>1077777</v>
      </c>
      <c r="H4103">
        <v>500220</v>
      </c>
      <c r="I4103">
        <v>50</v>
      </c>
    </row>
    <row r="4104" spans="1:9" x14ac:dyDescent="0.25">
      <c r="A4104">
        <v>4220</v>
      </c>
      <c r="B4104">
        <v>10</v>
      </c>
      <c r="C4104" t="s">
        <v>946</v>
      </c>
      <c r="D4104" t="s">
        <v>1028</v>
      </c>
      <c r="E4104" t="s">
        <v>100</v>
      </c>
      <c r="F4104" t="s">
        <v>948</v>
      </c>
      <c r="G4104">
        <v>1077777</v>
      </c>
      <c r="H4104">
        <v>500220</v>
      </c>
      <c r="I4104">
        <v>50</v>
      </c>
    </row>
    <row r="4105" spans="1:9" x14ac:dyDescent="0.25">
      <c r="A4105">
        <v>4230</v>
      </c>
      <c r="B4105">
        <v>10</v>
      </c>
      <c r="C4105" t="s">
        <v>946</v>
      </c>
      <c r="D4105" t="s">
        <v>1028</v>
      </c>
      <c r="E4105" t="s">
        <v>100</v>
      </c>
      <c r="F4105" t="s">
        <v>948</v>
      </c>
      <c r="G4105">
        <v>1099999</v>
      </c>
      <c r="H4105">
        <v>401045</v>
      </c>
      <c r="I4105">
        <v>50</v>
      </c>
    </row>
    <row r="4106" spans="1:9" x14ac:dyDescent="0.25">
      <c r="A4106">
        <v>4240</v>
      </c>
      <c r="B4106">
        <v>10</v>
      </c>
      <c r="C4106" t="s">
        <v>946</v>
      </c>
      <c r="D4106" t="s">
        <v>1028</v>
      </c>
      <c r="E4106" t="s">
        <v>100</v>
      </c>
      <c r="F4106" t="s">
        <v>948</v>
      </c>
      <c r="G4106">
        <v>1077777</v>
      </c>
      <c r="H4106">
        <v>500221</v>
      </c>
      <c r="I4106">
        <v>50</v>
      </c>
    </row>
    <row r="4107" spans="1:9" x14ac:dyDescent="0.25">
      <c r="A4107">
        <v>4141</v>
      </c>
      <c r="B4107">
        <v>10</v>
      </c>
      <c r="C4107" t="s">
        <v>946</v>
      </c>
      <c r="D4107" t="s">
        <v>1028</v>
      </c>
      <c r="E4107" t="s">
        <v>270</v>
      </c>
      <c r="F4107" t="s">
        <v>948</v>
      </c>
      <c r="G4107">
        <v>1077777</v>
      </c>
      <c r="H4107">
        <v>501010</v>
      </c>
      <c r="I4107">
        <v>50</v>
      </c>
    </row>
    <row r="4108" spans="1:9" x14ac:dyDescent="0.25">
      <c r="A4108">
        <v>4220</v>
      </c>
      <c r="B4108">
        <v>10</v>
      </c>
      <c r="C4108" t="s">
        <v>946</v>
      </c>
      <c r="D4108" t="s">
        <v>1028</v>
      </c>
      <c r="E4108" t="s">
        <v>270</v>
      </c>
      <c r="F4108" t="s">
        <v>948</v>
      </c>
      <c r="G4108">
        <v>1077777</v>
      </c>
      <c r="H4108">
        <v>501010</v>
      </c>
      <c r="I4108">
        <v>50</v>
      </c>
    </row>
    <row r="4109" spans="1:9" x14ac:dyDescent="0.25">
      <c r="A4109">
        <v>4230</v>
      </c>
      <c r="B4109">
        <v>10</v>
      </c>
      <c r="C4109" t="s">
        <v>946</v>
      </c>
      <c r="D4109" t="s">
        <v>1028</v>
      </c>
      <c r="E4109" t="s">
        <v>270</v>
      </c>
      <c r="F4109" t="s">
        <v>948</v>
      </c>
      <c r="G4109">
        <v>1099999</v>
      </c>
      <c r="H4109">
        <v>401065</v>
      </c>
      <c r="I4109">
        <v>50</v>
      </c>
    </row>
    <row r="4110" spans="1:9" x14ac:dyDescent="0.25">
      <c r="A4110">
        <v>4240</v>
      </c>
      <c r="B4110">
        <v>10</v>
      </c>
      <c r="C4110" t="s">
        <v>946</v>
      </c>
      <c r="D4110" t="s">
        <v>1028</v>
      </c>
      <c r="E4110" t="s">
        <v>270</v>
      </c>
      <c r="F4110" t="s">
        <v>948</v>
      </c>
      <c r="G4110">
        <v>1000000</v>
      </c>
      <c r="H4110">
        <v>145000</v>
      </c>
      <c r="I4110" t="s">
        <v>949</v>
      </c>
    </row>
    <row r="4111" spans="1:9" x14ac:dyDescent="0.25">
      <c r="A4111">
        <v>4141</v>
      </c>
      <c r="B4111">
        <v>10</v>
      </c>
      <c r="C4111" t="s">
        <v>946</v>
      </c>
      <c r="D4111" t="s">
        <v>1028</v>
      </c>
      <c r="E4111" t="s">
        <v>274</v>
      </c>
      <c r="F4111" t="s">
        <v>948</v>
      </c>
      <c r="G4111">
        <v>1077777</v>
      </c>
      <c r="H4111">
        <v>501010</v>
      </c>
      <c r="I4111">
        <v>50</v>
      </c>
    </row>
    <row r="4112" spans="1:9" x14ac:dyDescent="0.25">
      <c r="A4112">
        <v>4220</v>
      </c>
      <c r="B4112">
        <v>10</v>
      </c>
      <c r="C4112" t="s">
        <v>946</v>
      </c>
      <c r="D4112" t="s">
        <v>1028</v>
      </c>
      <c r="E4112" t="s">
        <v>274</v>
      </c>
      <c r="F4112" t="s">
        <v>948</v>
      </c>
      <c r="G4112">
        <v>1077777</v>
      </c>
      <c r="H4112">
        <v>501010</v>
      </c>
      <c r="I4112">
        <v>50</v>
      </c>
    </row>
    <row r="4113" spans="1:9" x14ac:dyDescent="0.25">
      <c r="A4113">
        <v>4230</v>
      </c>
      <c r="B4113">
        <v>10</v>
      </c>
      <c r="C4113" t="s">
        <v>946</v>
      </c>
      <c r="D4113" t="s">
        <v>1028</v>
      </c>
      <c r="E4113" t="s">
        <v>274</v>
      </c>
      <c r="F4113" t="s">
        <v>948</v>
      </c>
      <c r="G4113">
        <v>1099999</v>
      </c>
      <c r="H4113">
        <v>401045</v>
      </c>
      <c r="I4113">
        <v>50</v>
      </c>
    </row>
    <row r="4114" spans="1:9" x14ac:dyDescent="0.25">
      <c r="A4114">
        <v>4240</v>
      </c>
      <c r="B4114">
        <v>10</v>
      </c>
      <c r="C4114" t="s">
        <v>946</v>
      </c>
      <c r="D4114" t="s">
        <v>1028</v>
      </c>
      <c r="E4114" t="s">
        <v>274</v>
      </c>
      <c r="F4114" t="s">
        <v>948</v>
      </c>
      <c r="G4114">
        <v>1000000</v>
      </c>
      <c r="H4114">
        <v>143000</v>
      </c>
      <c r="I4114" t="s">
        <v>973</v>
      </c>
    </row>
    <row r="4115" spans="1:9" x14ac:dyDescent="0.25">
      <c r="A4115">
        <v>4141</v>
      </c>
      <c r="B4115">
        <v>10</v>
      </c>
      <c r="C4115" t="s">
        <v>946</v>
      </c>
      <c r="D4115" t="s">
        <v>1028</v>
      </c>
      <c r="E4115" t="s">
        <v>974</v>
      </c>
      <c r="F4115" t="s">
        <v>948</v>
      </c>
      <c r="G4115">
        <v>1077777</v>
      </c>
      <c r="H4115">
        <v>501010</v>
      </c>
      <c r="I4115">
        <v>50</v>
      </c>
    </row>
    <row r="4116" spans="1:9" x14ac:dyDescent="0.25">
      <c r="A4116">
        <v>4220</v>
      </c>
      <c r="B4116">
        <v>10</v>
      </c>
      <c r="C4116" t="s">
        <v>946</v>
      </c>
      <c r="D4116" t="s">
        <v>1028</v>
      </c>
      <c r="E4116" t="s">
        <v>974</v>
      </c>
      <c r="F4116" t="s">
        <v>948</v>
      </c>
      <c r="G4116">
        <v>1077777</v>
      </c>
      <c r="H4116">
        <v>501010</v>
      </c>
      <c r="I4116">
        <v>50</v>
      </c>
    </row>
    <row r="4117" spans="1:9" x14ac:dyDescent="0.25">
      <c r="A4117">
        <v>4230</v>
      </c>
      <c r="B4117">
        <v>10</v>
      </c>
      <c r="C4117" t="s">
        <v>946</v>
      </c>
      <c r="D4117" t="s">
        <v>1028</v>
      </c>
      <c r="E4117" t="s">
        <v>974</v>
      </c>
      <c r="F4117" t="s">
        <v>948</v>
      </c>
      <c r="G4117">
        <v>1099999</v>
      </c>
      <c r="H4117">
        <v>401915</v>
      </c>
      <c r="I4117">
        <v>50</v>
      </c>
    </row>
    <row r="4118" spans="1:9" x14ac:dyDescent="0.25">
      <c r="A4118">
        <v>4240</v>
      </c>
      <c r="B4118">
        <v>10</v>
      </c>
      <c r="C4118" t="s">
        <v>946</v>
      </c>
      <c r="D4118" t="s">
        <v>1028</v>
      </c>
      <c r="E4118" t="s">
        <v>974</v>
      </c>
      <c r="F4118" t="s">
        <v>948</v>
      </c>
      <c r="G4118">
        <v>1000000</v>
      </c>
      <c r="H4118">
        <v>141000</v>
      </c>
      <c r="I4118" t="s">
        <v>975</v>
      </c>
    </row>
    <row r="4119" spans="1:9" x14ac:dyDescent="0.25">
      <c r="A4119">
        <v>4141</v>
      </c>
      <c r="B4119">
        <v>10</v>
      </c>
      <c r="C4119" t="s">
        <v>946</v>
      </c>
      <c r="D4119" t="s">
        <v>1028</v>
      </c>
      <c r="E4119" t="s">
        <v>104</v>
      </c>
      <c r="F4119" t="s">
        <v>948</v>
      </c>
      <c r="G4119">
        <v>1077777</v>
      </c>
      <c r="H4119">
        <v>500220</v>
      </c>
      <c r="I4119">
        <v>50</v>
      </c>
    </row>
    <row r="4120" spans="1:9" x14ac:dyDescent="0.25">
      <c r="A4120">
        <v>4220</v>
      </c>
      <c r="B4120">
        <v>10</v>
      </c>
      <c r="C4120" t="s">
        <v>946</v>
      </c>
      <c r="D4120" t="s">
        <v>1028</v>
      </c>
      <c r="E4120" t="s">
        <v>104</v>
      </c>
      <c r="F4120" t="s">
        <v>948</v>
      </c>
      <c r="G4120">
        <v>1077777</v>
      </c>
      <c r="H4120">
        <v>500220</v>
      </c>
      <c r="I4120">
        <v>50</v>
      </c>
    </row>
    <row r="4121" spans="1:9" x14ac:dyDescent="0.25">
      <c r="A4121">
        <v>4230</v>
      </c>
      <c r="B4121">
        <v>10</v>
      </c>
      <c r="C4121" t="s">
        <v>946</v>
      </c>
      <c r="D4121" t="s">
        <v>1028</v>
      </c>
      <c r="E4121" t="s">
        <v>104</v>
      </c>
      <c r="F4121" t="s">
        <v>948</v>
      </c>
      <c r="G4121">
        <v>1099999</v>
      </c>
      <c r="H4121">
        <v>401045</v>
      </c>
      <c r="I4121">
        <v>50</v>
      </c>
    </row>
    <row r="4122" spans="1:9" x14ac:dyDescent="0.25">
      <c r="A4122">
        <v>4240</v>
      </c>
      <c r="B4122">
        <v>10</v>
      </c>
      <c r="C4122" t="s">
        <v>946</v>
      </c>
      <c r="D4122" t="s">
        <v>1028</v>
      </c>
      <c r="E4122" t="s">
        <v>104</v>
      </c>
      <c r="F4122" t="s">
        <v>948</v>
      </c>
      <c r="G4122">
        <v>1077777</v>
      </c>
      <c r="H4122">
        <v>500221</v>
      </c>
      <c r="I4122">
        <v>50</v>
      </c>
    </row>
    <row r="4123" spans="1:9" x14ac:dyDescent="0.25">
      <c r="A4123">
        <v>4141</v>
      </c>
      <c r="B4123">
        <v>10</v>
      </c>
      <c r="C4123" t="s">
        <v>946</v>
      </c>
      <c r="D4123" t="s">
        <v>1028</v>
      </c>
      <c r="E4123" t="s">
        <v>278</v>
      </c>
      <c r="F4123" t="s">
        <v>948</v>
      </c>
      <c r="G4123">
        <v>1077777</v>
      </c>
      <c r="H4123">
        <v>501010</v>
      </c>
      <c r="I4123">
        <v>50</v>
      </c>
    </row>
    <row r="4124" spans="1:9" x14ac:dyDescent="0.25">
      <c r="A4124">
        <v>4220</v>
      </c>
      <c r="B4124">
        <v>10</v>
      </c>
      <c r="C4124" t="s">
        <v>946</v>
      </c>
      <c r="D4124" t="s">
        <v>1028</v>
      </c>
      <c r="E4124" t="s">
        <v>278</v>
      </c>
      <c r="F4124" t="s">
        <v>948</v>
      </c>
      <c r="G4124">
        <v>1077777</v>
      </c>
      <c r="H4124">
        <v>501010</v>
      </c>
      <c r="I4124">
        <v>50</v>
      </c>
    </row>
    <row r="4125" spans="1:9" x14ac:dyDescent="0.25">
      <c r="A4125">
        <v>4230</v>
      </c>
      <c r="B4125">
        <v>10</v>
      </c>
      <c r="C4125" t="s">
        <v>946</v>
      </c>
      <c r="D4125" t="s">
        <v>1028</v>
      </c>
      <c r="E4125" t="s">
        <v>278</v>
      </c>
      <c r="F4125" t="s">
        <v>948</v>
      </c>
      <c r="G4125">
        <v>1099999</v>
      </c>
      <c r="H4125">
        <v>401055</v>
      </c>
      <c r="I4125">
        <v>50</v>
      </c>
    </row>
    <row r="4126" spans="1:9" x14ac:dyDescent="0.25">
      <c r="A4126">
        <v>4240</v>
      </c>
      <c r="B4126">
        <v>10</v>
      </c>
      <c r="C4126" t="s">
        <v>946</v>
      </c>
      <c r="D4126" t="s">
        <v>1028</v>
      </c>
      <c r="E4126" t="s">
        <v>278</v>
      </c>
      <c r="F4126" t="s">
        <v>948</v>
      </c>
      <c r="G4126">
        <v>1000000</v>
      </c>
      <c r="H4126">
        <v>145000</v>
      </c>
      <c r="I4126" t="s">
        <v>949</v>
      </c>
    </row>
    <row r="4127" spans="1:9" x14ac:dyDescent="0.25">
      <c r="A4127">
        <v>4141</v>
      </c>
      <c r="B4127">
        <v>10</v>
      </c>
      <c r="C4127" t="s">
        <v>946</v>
      </c>
      <c r="D4127" t="s">
        <v>1028</v>
      </c>
      <c r="E4127" t="s">
        <v>282</v>
      </c>
      <c r="F4127" t="s">
        <v>948</v>
      </c>
      <c r="G4127">
        <v>1077777</v>
      </c>
      <c r="H4127">
        <v>501010</v>
      </c>
      <c r="I4127">
        <v>50</v>
      </c>
    </row>
    <row r="4128" spans="1:9" x14ac:dyDescent="0.25">
      <c r="A4128">
        <v>4220</v>
      </c>
      <c r="B4128">
        <v>10</v>
      </c>
      <c r="C4128" t="s">
        <v>946</v>
      </c>
      <c r="D4128" t="s">
        <v>1028</v>
      </c>
      <c r="E4128" t="s">
        <v>282</v>
      </c>
      <c r="F4128" t="s">
        <v>948</v>
      </c>
      <c r="G4128">
        <v>1077777</v>
      </c>
      <c r="H4128">
        <v>501010</v>
      </c>
      <c r="I4128">
        <v>50</v>
      </c>
    </row>
    <row r="4129" spans="1:9" x14ac:dyDescent="0.25">
      <c r="A4129">
        <v>4230</v>
      </c>
      <c r="B4129">
        <v>10</v>
      </c>
      <c r="C4129" t="s">
        <v>946</v>
      </c>
      <c r="D4129" t="s">
        <v>1028</v>
      </c>
      <c r="E4129" t="s">
        <v>282</v>
      </c>
      <c r="F4129" t="s">
        <v>948</v>
      </c>
      <c r="G4129">
        <v>1099999</v>
      </c>
      <c r="H4129">
        <v>401045</v>
      </c>
      <c r="I4129">
        <v>50</v>
      </c>
    </row>
    <row r="4130" spans="1:9" x14ac:dyDescent="0.25">
      <c r="A4130">
        <v>4240</v>
      </c>
      <c r="B4130">
        <v>10</v>
      </c>
      <c r="C4130" t="s">
        <v>946</v>
      </c>
      <c r="D4130" t="s">
        <v>1028</v>
      </c>
      <c r="E4130" t="s">
        <v>282</v>
      </c>
      <c r="F4130" t="s">
        <v>948</v>
      </c>
      <c r="G4130">
        <v>1000000</v>
      </c>
      <c r="H4130">
        <v>143100</v>
      </c>
      <c r="I4130" t="s">
        <v>949</v>
      </c>
    </row>
    <row r="4131" spans="1:9" x14ac:dyDescent="0.25">
      <c r="A4131">
        <v>4141</v>
      </c>
      <c r="B4131">
        <v>10</v>
      </c>
      <c r="C4131" t="s">
        <v>946</v>
      </c>
      <c r="D4131" t="s">
        <v>1028</v>
      </c>
      <c r="E4131" t="s">
        <v>286</v>
      </c>
      <c r="F4131" t="s">
        <v>948</v>
      </c>
      <c r="G4131">
        <v>1077777</v>
      </c>
      <c r="H4131">
        <v>501010</v>
      </c>
      <c r="I4131">
        <v>50</v>
      </c>
    </row>
    <row r="4132" spans="1:9" x14ac:dyDescent="0.25">
      <c r="A4132">
        <v>4220</v>
      </c>
      <c r="B4132">
        <v>10</v>
      </c>
      <c r="C4132" t="s">
        <v>946</v>
      </c>
      <c r="D4132" t="s">
        <v>1028</v>
      </c>
      <c r="E4132" t="s">
        <v>286</v>
      </c>
      <c r="F4132" t="s">
        <v>948</v>
      </c>
      <c r="G4132">
        <v>1077777</v>
      </c>
      <c r="H4132">
        <v>501010</v>
      </c>
      <c r="I4132">
        <v>50</v>
      </c>
    </row>
    <row r="4133" spans="1:9" x14ac:dyDescent="0.25">
      <c r="A4133">
        <v>4230</v>
      </c>
      <c r="B4133">
        <v>10</v>
      </c>
      <c r="C4133" t="s">
        <v>946</v>
      </c>
      <c r="D4133" t="s">
        <v>1028</v>
      </c>
      <c r="E4133" t="s">
        <v>286</v>
      </c>
      <c r="F4133" t="s">
        <v>948</v>
      </c>
      <c r="G4133">
        <v>1099999</v>
      </c>
      <c r="H4133">
        <v>401035</v>
      </c>
      <c r="I4133">
        <v>50</v>
      </c>
    </row>
    <row r="4134" spans="1:9" x14ac:dyDescent="0.25">
      <c r="A4134">
        <v>4240</v>
      </c>
      <c r="B4134">
        <v>10</v>
      </c>
      <c r="C4134" t="s">
        <v>946</v>
      </c>
      <c r="D4134" t="s">
        <v>1028</v>
      </c>
      <c r="E4134" t="s">
        <v>286</v>
      </c>
      <c r="F4134" t="s">
        <v>948</v>
      </c>
      <c r="G4134">
        <v>1000000</v>
      </c>
      <c r="H4134">
        <v>145000</v>
      </c>
      <c r="I4134" t="s">
        <v>949</v>
      </c>
    </row>
    <row r="4135" spans="1:9" x14ac:dyDescent="0.25">
      <c r="A4135">
        <v>4141</v>
      </c>
      <c r="B4135">
        <v>10</v>
      </c>
      <c r="C4135" t="s">
        <v>946</v>
      </c>
      <c r="D4135" t="s">
        <v>1028</v>
      </c>
      <c r="E4135" t="s">
        <v>976</v>
      </c>
      <c r="F4135" t="s">
        <v>948</v>
      </c>
      <c r="G4135">
        <v>1077777</v>
      </c>
      <c r="H4135">
        <v>501010</v>
      </c>
      <c r="I4135">
        <v>50</v>
      </c>
    </row>
    <row r="4136" spans="1:9" x14ac:dyDescent="0.25">
      <c r="A4136">
        <v>4220</v>
      </c>
      <c r="B4136">
        <v>10</v>
      </c>
      <c r="C4136" t="s">
        <v>946</v>
      </c>
      <c r="D4136" t="s">
        <v>1028</v>
      </c>
      <c r="E4136" t="s">
        <v>976</v>
      </c>
      <c r="F4136" t="s">
        <v>948</v>
      </c>
      <c r="G4136">
        <v>1077777</v>
      </c>
      <c r="H4136">
        <v>501010</v>
      </c>
      <c r="I4136">
        <v>50</v>
      </c>
    </row>
    <row r="4137" spans="1:9" x14ac:dyDescent="0.25">
      <c r="A4137">
        <v>4230</v>
      </c>
      <c r="B4137">
        <v>10</v>
      </c>
      <c r="C4137" t="s">
        <v>946</v>
      </c>
      <c r="D4137" t="s">
        <v>1028</v>
      </c>
      <c r="E4137" t="s">
        <v>976</v>
      </c>
      <c r="F4137" t="s">
        <v>948</v>
      </c>
      <c r="G4137">
        <v>1099999</v>
      </c>
      <c r="H4137">
        <v>401915</v>
      </c>
      <c r="I4137">
        <v>50</v>
      </c>
    </row>
    <row r="4138" spans="1:9" x14ac:dyDescent="0.25">
      <c r="A4138">
        <v>4240</v>
      </c>
      <c r="B4138">
        <v>10</v>
      </c>
      <c r="C4138" t="s">
        <v>946</v>
      </c>
      <c r="D4138" t="s">
        <v>1028</v>
      </c>
      <c r="E4138" t="s">
        <v>976</v>
      </c>
      <c r="F4138" t="s">
        <v>948</v>
      </c>
      <c r="G4138">
        <v>1000000</v>
      </c>
      <c r="H4138">
        <v>141000</v>
      </c>
      <c r="I4138" t="s">
        <v>977</v>
      </c>
    </row>
    <row r="4139" spans="1:9" x14ac:dyDescent="0.25">
      <c r="A4139">
        <v>4141</v>
      </c>
      <c r="B4139">
        <v>10</v>
      </c>
      <c r="C4139" t="s">
        <v>946</v>
      </c>
      <c r="D4139" t="s">
        <v>1028</v>
      </c>
      <c r="E4139" t="s">
        <v>290</v>
      </c>
      <c r="F4139" t="s">
        <v>948</v>
      </c>
      <c r="G4139">
        <v>1077777</v>
      </c>
      <c r="H4139">
        <v>501010</v>
      </c>
      <c r="I4139">
        <v>50</v>
      </c>
    </row>
    <row r="4140" spans="1:9" x14ac:dyDescent="0.25">
      <c r="A4140">
        <v>4220</v>
      </c>
      <c r="B4140">
        <v>10</v>
      </c>
      <c r="C4140" t="s">
        <v>946</v>
      </c>
      <c r="D4140" t="s">
        <v>1028</v>
      </c>
      <c r="E4140" t="s">
        <v>290</v>
      </c>
      <c r="F4140" t="s">
        <v>948</v>
      </c>
      <c r="G4140">
        <v>1077777</v>
      </c>
      <c r="H4140">
        <v>501010</v>
      </c>
      <c r="I4140">
        <v>50</v>
      </c>
    </row>
    <row r="4141" spans="1:9" x14ac:dyDescent="0.25">
      <c r="A4141">
        <v>4230</v>
      </c>
      <c r="B4141">
        <v>10</v>
      </c>
      <c r="C4141" t="s">
        <v>946</v>
      </c>
      <c r="D4141" t="s">
        <v>1028</v>
      </c>
      <c r="E4141" t="s">
        <v>290</v>
      </c>
      <c r="F4141" t="s">
        <v>948</v>
      </c>
      <c r="G4141">
        <v>1099999</v>
      </c>
      <c r="H4141">
        <v>401045</v>
      </c>
      <c r="I4141">
        <v>50</v>
      </c>
    </row>
    <row r="4142" spans="1:9" x14ac:dyDescent="0.25">
      <c r="A4142">
        <v>4240</v>
      </c>
      <c r="B4142">
        <v>10</v>
      </c>
      <c r="C4142" t="s">
        <v>946</v>
      </c>
      <c r="D4142" t="s">
        <v>1028</v>
      </c>
      <c r="E4142" t="s">
        <v>290</v>
      </c>
      <c r="F4142" t="s">
        <v>948</v>
      </c>
      <c r="G4142">
        <v>1000000</v>
      </c>
      <c r="H4142">
        <v>143000</v>
      </c>
      <c r="I4142" t="s">
        <v>978</v>
      </c>
    </row>
    <row r="4143" spans="1:9" x14ac:dyDescent="0.25">
      <c r="A4143">
        <v>4141</v>
      </c>
      <c r="B4143">
        <v>10</v>
      </c>
      <c r="C4143" t="s">
        <v>946</v>
      </c>
      <c r="D4143" t="s">
        <v>1028</v>
      </c>
      <c r="E4143" t="s">
        <v>294</v>
      </c>
      <c r="F4143" t="s">
        <v>948</v>
      </c>
      <c r="G4143">
        <v>1077777</v>
      </c>
      <c r="H4143">
        <v>501010</v>
      </c>
      <c r="I4143">
        <v>50</v>
      </c>
    </row>
    <row r="4144" spans="1:9" x14ac:dyDescent="0.25">
      <c r="A4144">
        <v>4220</v>
      </c>
      <c r="B4144">
        <v>10</v>
      </c>
      <c r="C4144" t="s">
        <v>946</v>
      </c>
      <c r="D4144" t="s">
        <v>1028</v>
      </c>
      <c r="E4144" t="s">
        <v>294</v>
      </c>
      <c r="F4144" t="s">
        <v>948</v>
      </c>
      <c r="G4144">
        <v>1077777</v>
      </c>
      <c r="H4144">
        <v>501010</v>
      </c>
      <c r="I4144">
        <v>50</v>
      </c>
    </row>
    <row r="4145" spans="1:9" x14ac:dyDescent="0.25">
      <c r="A4145">
        <v>4230</v>
      </c>
      <c r="B4145">
        <v>10</v>
      </c>
      <c r="C4145" t="s">
        <v>946</v>
      </c>
      <c r="D4145" t="s">
        <v>1028</v>
      </c>
      <c r="E4145" t="s">
        <v>294</v>
      </c>
      <c r="F4145" t="s">
        <v>948</v>
      </c>
      <c r="G4145">
        <v>1099999</v>
      </c>
      <c r="H4145">
        <v>401045</v>
      </c>
      <c r="I4145">
        <v>50</v>
      </c>
    </row>
    <row r="4146" spans="1:9" x14ac:dyDescent="0.25">
      <c r="A4146">
        <v>4240</v>
      </c>
      <c r="B4146">
        <v>10</v>
      </c>
      <c r="C4146" t="s">
        <v>946</v>
      </c>
      <c r="D4146" t="s">
        <v>1028</v>
      </c>
      <c r="E4146" t="s">
        <v>294</v>
      </c>
      <c r="F4146" t="s">
        <v>948</v>
      </c>
      <c r="G4146">
        <v>1000000</v>
      </c>
      <c r="H4146">
        <v>143000</v>
      </c>
      <c r="I4146" t="s">
        <v>979</v>
      </c>
    </row>
    <row r="4147" spans="1:9" x14ac:dyDescent="0.25">
      <c r="A4147">
        <v>4230</v>
      </c>
      <c r="B4147">
        <v>10</v>
      </c>
      <c r="C4147" t="s">
        <v>946</v>
      </c>
      <c r="D4147" t="s">
        <v>1028</v>
      </c>
      <c r="E4147" t="s">
        <v>298</v>
      </c>
      <c r="F4147" t="s">
        <v>948</v>
      </c>
      <c r="G4147">
        <v>1099999</v>
      </c>
      <c r="H4147">
        <v>402085</v>
      </c>
      <c r="I4147">
        <v>50</v>
      </c>
    </row>
    <row r="4148" spans="1:9" x14ac:dyDescent="0.25">
      <c r="A4148">
        <v>4141</v>
      </c>
      <c r="B4148">
        <v>10</v>
      </c>
      <c r="C4148" t="s">
        <v>946</v>
      </c>
      <c r="D4148" t="s">
        <v>1028</v>
      </c>
      <c r="E4148" t="s">
        <v>980</v>
      </c>
      <c r="F4148" t="s">
        <v>948</v>
      </c>
      <c r="G4148">
        <v>1077777</v>
      </c>
      <c r="H4148">
        <v>501010</v>
      </c>
      <c r="I4148">
        <v>50</v>
      </c>
    </row>
    <row r="4149" spans="1:9" x14ac:dyDescent="0.25">
      <c r="A4149">
        <v>4220</v>
      </c>
      <c r="B4149">
        <v>10</v>
      </c>
      <c r="C4149" t="s">
        <v>946</v>
      </c>
      <c r="D4149" t="s">
        <v>1028</v>
      </c>
      <c r="E4149" t="s">
        <v>980</v>
      </c>
      <c r="F4149" t="s">
        <v>948</v>
      </c>
      <c r="G4149">
        <v>1077777</v>
      </c>
      <c r="H4149">
        <v>501010</v>
      </c>
      <c r="I4149">
        <v>50</v>
      </c>
    </row>
    <row r="4150" spans="1:9" x14ac:dyDescent="0.25">
      <c r="A4150">
        <v>4230</v>
      </c>
      <c r="B4150">
        <v>10</v>
      </c>
      <c r="C4150" t="s">
        <v>946</v>
      </c>
      <c r="D4150" t="s">
        <v>1028</v>
      </c>
      <c r="E4150" t="s">
        <v>980</v>
      </c>
      <c r="F4150" t="s">
        <v>948</v>
      </c>
      <c r="G4150">
        <v>1099999</v>
      </c>
      <c r="H4150">
        <v>401915</v>
      </c>
      <c r="I4150">
        <v>50</v>
      </c>
    </row>
    <row r="4151" spans="1:9" x14ac:dyDescent="0.25">
      <c r="A4151">
        <v>4240</v>
      </c>
      <c r="B4151">
        <v>10</v>
      </c>
      <c r="C4151" t="s">
        <v>946</v>
      </c>
      <c r="D4151" t="s">
        <v>1028</v>
      </c>
      <c r="E4151" t="s">
        <v>980</v>
      </c>
      <c r="F4151" t="s">
        <v>948</v>
      </c>
      <c r="G4151">
        <v>1000000</v>
      </c>
      <c r="H4151">
        <v>141000</v>
      </c>
      <c r="I4151" t="s">
        <v>981</v>
      </c>
    </row>
    <row r="4152" spans="1:9" x14ac:dyDescent="0.25">
      <c r="A4152">
        <v>4141</v>
      </c>
      <c r="B4152">
        <v>10</v>
      </c>
      <c r="C4152" t="s">
        <v>946</v>
      </c>
      <c r="D4152" t="s">
        <v>1028</v>
      </c>
      <c r="E4152" t="s">
        <v>302</v>
      </c>
      <c r="F4152" t="s">
        <v>948</v>
      </c>
      <c r="G4152">
        <v>1077777</v>
      </c>
      <c r="H4152">
        <v>501010</v>
      </c>
      <c r="I4152">
        <v>50</v>
      </c>
    </row>
    <row r="4153" spans="1:9" x14ac:dyDescent="0.25">
      <c r="A4153">
        <v>4220</v>
      </c>
      <c r="B4153">
        <v>10</v>
      </c>
      <c r="C4153" t="s">
        <v>946</v>
      </c>
      <c r="D4153" t="s">
        <v>1028</v>
      </c>
      <c r="E4153" t="s">
        <v>302</v>
      </c>
      <c r="F4153" t="s">
        <v>948</v>
      </c>
      <c r="G4153">
        <v>1077777</v>
      </c>
      <c r="H4153">
        <v>501010</v>
      </c>
      <c r="I4153">
        <v>50</v>
      </c>
    </row>
    <row r="4154" spans="1:9" x14ac:dyDescent="0.25">
      <c r="A4154">
        <v>4230</v>
      </c>
      <c r="B4154">
        <v>10</v>
      </c>
      <c r="C4154" t="s">
        <v>946</v>
      </c>
      <c r="D4154" t="s">
        <v>1028</v>
      </c>
      <c r="E4154" t="s">
        <v>302</v>
      </c>
      <c r="F4154" t="s">
        <v>948</v>
      </c>
      <c r="G4154">
        <v>1099999</v>
      </c>
      <c r="H4154">
        <v>401905</v>
      </c>
      <c r="I4154">
        <v>50</v>
      </c>
    </row>
    <row r="4155" spans="1:9" x14ac:dyDescent="0.25">
      <c r="A4155">
        <v>4240</v>
      </c>
      <c r="B4155">
        <v>10</v>
      </c>
      <c r="C4155" t="s">
        <v>946</v>
      </c>
      <c r="D4155" t="s">
        <v>1028</v>
      </c>
      <c r="E4155" t="s">
        <v>302</v>
      </c>
      <c r="F4155" t="s">
        <v>948</v>
      </c>
      <c r="G4155">
        <v>1000000</v>
      </c>
      <c r="H4155">
        <v>143000</v>
      </c>
      <c r="I4155" t="s">
        <v>982</v>
      </c>
    </row>
    <row r="4156" spans="1:9" x14ac:dyDescent="0.25">
      <c r="A4156">
        <v>4141</v>
      </c>
      <c r="B4156">
        <v>10</v>
      </c>
      <c r="C4156" t="s">
        <v>946</v>
      </c>
      <c r="D4156" t="s">
        <v>1028</v>
      </c>
      <c r="E4156" t="s">
        <v>306</v>
      </c>
      <c r="F4156" t="s">
        <v>948</v>
      </c>
      <c r="G4156">
        <v>1077777</v>
      </c>
      <c r="H4156">
        <v>501010</v>
      </c>
      <c r="I4156">
        <v>50</v>
      </c>
    </row>
    <row r="4157" spans="1:9" x14ac:dyDescent="0.25">
      <c r="A4157">
        <v>4220</v>
      </c>
      <c r="B4157">
        <v>10</v>
      </c>
      <c r="C4157" t="s">
        <v>946</v>
      </c>
      <c r="D4157" t="s">
        <v>1028</v>
      </c>
      <c r="E4157" t="s">
        <v>306</v>
      </c>
      <c r="F4157" t="s">
        <v>948</v>
      </c>
      <c r="G4157">
        <v>1077777</v>
      </c>
      <c r="H4157">
        <v>501010</v>
      </c>
      <c r="I4157">
        <v>50</v>
      </c>
    </row>
    <row r="4158" spans="1:9" x14ac:dyDescent="0.25">
      <c r="A4158">
        <v>4230</v>
      </c>
      <c r="B4158">
        <v>10</v>
      </c>
      <c r="C4158" t="s">
        <v>946</v>
      </c>
      <c r="D4158" t="s">
        <v>1028</v>
      </c>
      <c r="E4158" t="s">
        <v>306</v>
      </c>
      <c r="F4158" t="s">
        <v>948</v>
      </c>
      <c r="G4158">
        <v>1099999</v>
      </c>
      <c r="H4158">
        <v>401045</v>
      </c>
      <c r="I4158">
        <v>50</v>
      </c>
    </row>
    <row r="4159" spans="1:9" x14ac:dyDescent="0.25">
      <c r="A4159">
        <v>4240</v>
      </c>
      <c r="B4159">
        <v>10</v>
      </c>
      <c r="C4159" t="s">
        <v>946</v>
      </c>
      <c r="D4159" t="s">
        <v>1028</v>
      </c>
      <c r="E4159" t="s">
        <v>306</v>
      </c>
      <c r="F4159" t="s">
        <v>948</v>
      </c>
      <c r="G4159">
        <v>1000000</v>
      </c>
      <c r="H4159">
        <v>143000</v>
      </c>
      <c r="I4159" t="s">
        <v>983</v>
      </c>
    </row>
    <row r="4160" spans="1:9" x14ac:dyDescent="0.25">
      <c r="A4160">
        <v>4141</v>
      </c>
      <c r="B4160">
        <v>10</v>
      </c>
      <c r="C4160" t="s">
        <v>946</v>
      </c>
      <c r="D4160" t="s">
        <v>1028</v>
      </c>
      <c r="E4160" t="s">
        <v>108</v>
      </c>
      <c r="F4160" t="s">
        <v>948</v>
      </c>
      <c r="G4160">
        <v>1077777</v>
      </c>
      <c r="H4160">
        <v>500220</v>
      </c>
      <c r="I4160">
        <v>50</v>
      </c>
    </row>
    <row r="4161" spans="1:9" x14ac:dyDescent="0.25">
      <c r="A4161">
        <v>4220</v>
      </c>
      <c r="B4161">
        <v>10</v>
      </c>
      <c r="C4161" t="s">
        <v>946</v>
      </c>
      <c r="D4161" t="s">
        <v>1028</v>
      </c>
      <c r="E4161" t="s">
        <v>108</v>
      </c>
      <c r="F4161" t="s">
        <v>948</v>
      </c>
      <c r="G4161">
        <v>1077777</v>
      </c>
      <c r="H4161">
        <v>500220</v>
      </c>
      <c r="I4161">
        <v>50</v>
      </c>
    </row>
    <row r="4162" spans="1:9" x14ac:dyDescent="0.25">
      <c r="A4162">
        <v>4230</v>
      </c>
      <c r="B4162">
        <v>10</v>
      </c>
      <c r="C4162" t="s">
        <v>946</v>
      </c>
      <c r="D4162" t="s">
        <v>1028</v>
      </c>
      <c r="E4162" t="s">
        <v>108</v>
      </c>
      <c r="F4162" t="s">
        <v>948</v>
      </c>
      <c r="G4162">
        <v>1099999</v>
      </c>
      <c r="H4162">
        <v>401045</v>
      </c>
      <c r="I4162">
        <v>50</v>
      </c>
    </row>
    <row r="4163" spans="1:9" x14ac:dyDescent="0.25">
      <c r="A4163">
        <v>4240</v>
      </c>
      <c r="B4163">
        <v>10</v>
      </c>
      <c r="C4163" t="s">
        <v>946</v>
      </c>
      <c r="D4163" t="s">
        <v>1028</v>
      </c>
      <c r="E4163" t="s">
        <v>108</v>
      </c>
      <c r="F4163" t="s">
        <v>948</v>
      </c>
      <c r="G4163">
        <v>1077777</v>
      </c>
      <c r="H4163">
        <v>500221</v>
      </c>
      <c r="I4163">
        <v>50</v>
      </c>
    </row>
    <row r="4164" spans="1:9" x14ac:dyDescent="0.25">
      <c r="A4164">
        <v>4141</v>
      </c>
      <c r="B4164">
        <v>10</v>
      </c>
      <c r="C4164" t="s">
        <v>946</v>
      </c>
      <c r="D4164" t="s">
        <v>1028</v>
      </c>
      <c r="E4164" t="s">
        <v>310</v>
      </c>
      <c r="F4164" t="s">
        <v>948</v>
      </c>
      <c r="G4164">
        <v>1077777</v>
      </c>
      <c r="H4164">
        <v>501010</v>
      </c>
      <c r="I4164">
        <v>50</v>
      </c>
    </row>
    <row r="4165" spans="1:9" x14ac:dyDescent="0.25">
      <c r="A4165">
        <v>4220</v>
      </c>
      <c r="B4165">
        <v>10</v>
      </c>
      <c r="C4165" t="s">
        <v>946</v>
      </c>
      <c r="D4165" t="s">
        <v>1028</v>
      </c>
      <c r="E4165" t="s">
        <v>310</v>
      </c>
      <c r="F4165" t="s">
        <v>948</v>
      </c>
      <c r="G4165">
        <v>1077777</v>
      </c>
      <c r="H4165">
        <v>501010</v>
      </c>
      <c r="I4165">
        <v>50</v>
      </c>
    </row>
    <row r="4166" spans="1:9" x14ac:dyDescent="0.25">
      <c r="A4166">
        <v>4230</v>
      </c>
      <c r="B4166">
        <v>10</v>
      </c>
      <c r="C4166" t="s">
        <v>946</v>
      </c>
      <c r="D4166" t="s">
        <v>1028</v>
      </c>
      <c r="E4166" t="s">
        <v>310</v>
      </c>
      <c r="F4166" t="s">
        <v>948</v>
      </c>
      <c r="G4166">
        <v>1099999</v>
      </c>
      <c r="H4166">
        <v>401015</v>
      </c>
      <c r="I4166">
        <v>50</v>
      </c>
    </row>
    <row r="4167" spans="1:9" x14ac:dyDescent="0.25">
      <c r="A4167">
        <v>4240</v>
      </c>
      <c r="B4167">
        <v>10</v>
      </c>
      <c r="C4167" t="s">
        <v>946</v>
      </c>
      <c r="D4167" t="s">
        <v>1028</v>
      </c>
      <c r="E4167" t="s">
        <v>310</v>
      </c>
      <c r="F4167" t="s">
        <v>948</v>
      </c>
      <c r="G4167">
        <v>1000000</v>
      </c>
      <c r="H4167">
        <v>145000</v>
      </c>
      <c r="I4167" t="s">
        <v>949</v>
      </c>
    </row>
    <row r="4168" spans="1:9" x14ac:dyDescent="0.25">
      <c r="A4168">
        <v>4141</v>
      </c>
      <c r="B4168">
        <v>10</v>
      </c>
      <c r="C4168" t="s">
        <v>946</v>
      </c>
      <c r="D4168" t="s">
        <v>1028</v>
      </c>
      <c r="E4168" t="s">
        <v>314</v>
      </c>
      <c r="F4168" t="s">
        <v>948</v>
      </c>
      <c r="G4168">
        <v>1077777</v>
      </c>
      <c r="H4168">
        <v>501010</v>
      </c>
      <c r="I4168">
        <v>50</v>
      </c>
    </row>
    <row r="4169" spans="1:9" x14ac:dyDescent="0.25">
      <c r="A4169">
        <v>4220</v>
      </c>
      <c r="B4169">
        <v>10</v>
      </c>
      <c r="C4169" t="s">
        <v>946</v>
      </c>
      <c r="D4169" t="s">
        <v>1028</v>
      </c>
      <c r="E4169" t="s">
        <v>314</v>
      </c>
      <c r="F4169" t="s">
        <v>948</v>
      </c>
      <c r="G4169">
        <v>1077777</v>
      </c>
      <c r="H4169">
        <v>501010</v>
      </c>
      <c r="I4169">
        <v>50</v>
      </c>
    </row>
    <row r="4170" spans="1:9" x14ac:dyDescent="0.25">
      <c r="A4170">
        <v>4230</v>
      </c>
      <c r="B4170">
        <v>10</v>
      </c>
      <c r="C4170" t="s">
        <v>946</v>
      </c>
      <c r="D4170" t="s">
        <v>1028</v>
      </c>
      <c r="E4170" t="s">
        <v>314</v>
      </c>
      <c r="F4170" t="s">
        <v>948</v>
      </c>
      <c r="G4170">
        <v>1099999</v>
      </c>
      <c r="H4170">
        <v>401065</v>
      </c>
      <c r="I4170">
        <v>50</v>
      </c>
    </row>
    <row r="4171" spans="1:9" x14ac:dyDescent="0.25">
      <c r="A4171">
        <v>4240</v>
      </c>
      <c r="B4171">
        <v>10</v>
      </c>
      <c r="C4171" t="s">
        <v>946</v>
      </c>
      <c r="D4171" t="s">
        <v>1028</v>
      </c>
      <c r="E4171" t="s">
        <v>314</v>
      </c>
      <c r="F4171" t="s">
        <v>948</v>
      </c>
      <c r="G4171">
        <v>1000000</v>
      </c>
      <c r="H4171">
        <v>145000</v>
      </c>
      <c r="I4171" t="s">
        <v>949</v>
      </c>
    </row>
    <row r="4172" spans="1:9" x14ac:dyDescent="0.25">
      <c r="A4172">
        <v>4141</v>
      </c>
      <c r="B4172">
        <v>10</v>
      </c>
      <c r="C4172" t="s">
        <v>946</v>
      </c>
      <c r="D4172" t="s">
        <v>1028</v>
      </c>
      <c r="E4172" t="s">
        <v>113</v>
      </c>
      <c r="F4172" t="s">
        <v>948</v>
      </c>
      <c r="G4172">
        <v>1077777</v>
      </c>
      <c r="H4172">
        <v>500220</v>
      </c>
      <c r="I4172">
        <v>50</v>
      </c>
    </row>
    <row r="4173" spans="1:9" x14ac:dyDescent="0.25">
      <c r="A4173">
        <v>4220</v>
      </c>
      <c r="B4173">
        <v>10</v>
      </c>
      <c r="C4173" t="s">
        <v>946</v>
      </c>
      <c r="D4173" t="s">
        <v>1028</v>
      </c>
      <c r="E4173" t="s">
        <v>113</v>
      </c>
      <c r="F4173" t="s">
        <v>948</v>
      </c>
      <c r="G4173">
        <v>1077777</v>
      </c>
      <c r="H4173">
        <v>500220</v>
      </c>
      <c r="I4173">
        <v>50</v>
      </c>
    </row>
    <row r="4174" spans="1:9" x14ac:dyDescent="0.25">
      <c r="A4174">
        <v>4230</v>
      </c>
      <c r="B4174">
        <v>10</v>
      </c>
      <c r="C4174" t="s">
        <v>946</v>
      </c>
      <c r="D4174" t="s">
        <v>1028</v>
      </c>
      <c r="E4174" t="s">
        <v>113</v>
      </c>
      <c r="F4174" t="s">
        <v>948</v>
      </c>
      <c r="G4174">
        <v>1099999</v>
      </c>
      <c r="H4174">
        <v>402085</v>
      </c>
      <c r="I4174">
        <v>50</v>
      </c>
    </row>
    <row r="4175" spans="1:9" x14ac:dyDescent="0.25">
      <c r="A4175">
        <v>4240</v>
      </c>
      <c r="B4175">
        <v>10</v>
      </c>
      <c r="C4175" t="s">
        <v>946</v>
      </c>
      <c r="D4175" t="s">
        <v>1028</v>
      </c>
      <c r="E4175" t="s">
        <v>113</v>
      </c>
      <c r="F4175" t="s">
        <v>948</v>
      </c>
      <c r="G4175">
        <v>1077777</v>
      </c>
      <c r="H4175">
        <v>500221</v>
      </c>
      <c r="I4175">
        <v>50</v>
      </c>
    </row>
    <row r="4176" spans="1:9" x14ac:dyDescent="0.25">
      <c r="A4176">
        <v>4141</v>
      </c>
      <c r="B4176">
        <v>10</v>
      </c>
      <c r="C4176" t="s">
        <v>946</v>
      </c>
      <c r="D4176" t="s">
        <v>1028</v>
      </c>
      <c r="E4176" t="s">
        <v>117</v>
      </c>
      <c r="F4176" t="s">
        <v>948</v>
      </c>
      <c r="G4176">
        <v>1077777</v>
      </c>
      <c r="H4176">
        <v>500220</v>
      </c>
      <c r="I4176">
        <v>50</v>
      </c>
    </row>
    <row r="4177" spans="1:9" x14ac:dyDescent="0.25">
      <c r="A4177">
        <v>4220</v>
      </c>
      <c r="B4177">
        <v>10</v>
      </c>
      <c r="C4177" t="s">
        <v>946</v>
      </c>
      <c r="D4177" t="s">
        <v>1028</v>
      </c>
      <c r="E4177" t="s">
        <v>117</v>
      </c>
      <c r="F4177" t="s">
        <v>948</v>
      </c>
      <c r="G4177">
        <v>1077777</v>
      </c>
      <c r="H4177">
        <v>500220</v>
      </c>
      <c r="I4177">
        <v>50</v>
      </c>
    </row>
    <row r="4178" spans="1:9" x14ac:dyDescent="0.25">
      <c r="A4178">
        <v>4230</v>
      </c>
      <c r="B4178">
        <v>10</v>
      </c>
      <c r="C4178" t="s">
        <v>946</v>
      </c>
      <c r="D4178" t="s">
        <v>1028</v>
      </c>
      <c r="E4178" t="s">
        <v>117</v>
      </c>
      <c r="F4178" t="s">
        <v>948</v>
      </c>
      <c r="G4178">
        <v>1088888</v>
      </c>
      <c r="H4178">
        <v>810600</v>
      </c>
      <c r="I4178">
        <v>50</v>
      </c>
    </row>
    <row r="4179" spans="1:9" x14ac:dyDescent="0.25">
      <c r="A4179">
        <v>4240</v>
      </c>
      <c r="B4179">
        <v>10</v>
      </c>
      <c r="C4179" t="s">
        <v>946</v>
      </c>
      <c r="D4179" t="s">
        <v>1028</v>
      </c>
      <c r="E4179" t="s">
        <v>117</v>
      </c>
      <c r="F4179" t="s">
        <v>948</v>
      </c>
      <c r="G4179">
        <v>1077777</v>
      </c>
      <c r="H4179">
        <v>500221</v>
      </c>
      <c r="I4179">
        <v>50</v>
      </c>
    </row>
    <row r="4180" spans="1:9" x14ac:dyDescent="0.25">
      <c r="A4180">
        <v>4141</v>
      </c>
      <c r="B4180">
        <v>10</v>
      </c>
      <c r="C4180" t="s">
        <v>946</v>
      </c>
      <c r="D4180" t="s">
        <v>1028</v>
      </c>
      <c r="E4180" t="s">
        <v>121</v>
      </c>
      <c r="F4180" t="s">
        <v>948</v>
      </c>
      <c r="G4180">
        <v>1077777</v>
      </c>
      <c r="H4180">
        <v>500220</v>
      </c>
      <c r="I4180">
        <v>50</v>
      </c>
    </row>
    <row r="4181" spans="1:9" x14ac:dyDescent="0.25">
      <c r="A4181">
        <v>4220</v>
      </c>
      <c r="B4181">
        <v>10</v>
      </c>
      <c r="C4181" t="s">
        <v>946</v>
      </c>
      <c r="D4181" t="s">
        <v>1028</v>
      </c>
      <c r="E4181" t="s">
        <v>121</v>
      </c>
      <c r="F4181" t="s">
        <v>948</v>
      </c>
      <c r="G4181">
        <v>1077777</v>
      </c>
      <c r="H4181">
        <v>500220</v>
      </c>
      <c r="I4181">
        <v>50</v>
      </c>
    </row>
    <row r="4182" spans="1:9" x14ac:dyDescent="0.25">
      <c r="A4182">
        <v>4230</v>
      </c>
      <c r="B4182">
        <v>10</v>
      </c>
      <c r="C4182" t="s">
        <v>946</v>
      </c>
      <c r="D4182" t="s">
        <v>1028</v>
      </c>
      <c r="E4182" t="s">
        <v>121</v>
      </c>
      <c r="F4182" t="s">
        <v>948</v>
      </c>
      <c r="G4182">
        <v>1099999</v>
      </c>
      <c r="H4182">
        <v>401045</v>
      </c>
      <c r="I4182">
        <v>50</v>
      </c>
    </row>
    <row r="4183" spans="1:9" x14ac:dyDescent="0.25">
      <c r="A4183">
        <v>4240</v>
      </c>
      <c r="B4183">
        <v>10</v>
      </c>
      <c r="C4183" t="s">
        <v>946</v>
      </c>
      <c r="D4183" t="s">
        <v>1028</v>
      </c>
      <c r="E4183" t="s">
        <v>121</v>
      </c>
      <c r="F4183" t="s">
        <v>948</v>
      </c>
      <c r="G4183">
        <v>1077777</v>
      </c>
      <c r="H4183">
        <v>500221</v>
      </c>
      <c r="I4183">
        <v>50</v>
      </c>
    </row>
    <row r="4184" spans="1:9" x14ac:dyDescent="0.25">
      <c r="A4184">
        <v>4141</v>
      </c>
      <c r="B4184">
        <v>10</v>
      </c>
      <c r="C4184" t="s">
        <v>946</v>
      </c>
      <c r="D4184" t="s">
        <v>1028</v>
      </c>
      <c r="E4184" t="s">
        <v>984</v>
      </c>
      <c r="F4184" t="s">
        <v>948</v>
      </c>
      <c r="G4184">
        <v>1077777</v>
      </c>
      <c r="H4184">
        <v>501010</v>
      </c>
      <c r="I4184">
        <v>50</v>
      </c>
    </row>
    <row r="4185" spans="1:9" x14ac:dyDescent="0.25">
      <c r="A4185">
        <v>4220</v>
      </c>
      <c r="B4185">
        <v>10</v>
      </c>
      <c r="C4185" t="s">
        <v>946</v>
      </c>
      <c r="D4185" t="s">
        <v>1028</v>
      </c>
      <c r="E4185" t="s">
        <v>984</v>
      </c>
      <c r="F4185" t="s">
        <v>948</v>
      </c>
      <c r="G4185">
        <v>1077777</v>
      </c>
      <c r="H4185">
        <v>501010</v>
      </c>
      <c r="I4185">
        <v>50</v>
      </c>
    </row>
    <row r="4186" spans="1:9" x14ac:dyDescent="0.25">
      <c r="A4186">
        <v>4230</v>
      </c>
      <c r="B4186">
        <v>10</v>
      </c>
      <c r="C4186" t="s">
        <v>946</v>
      </c>
      <c r="D4186" t="s">
        <v>1028</v>
      </c>
      <c r="E4186" t="s">
        <v>984</v>
      </c>
      <c r="F4186" t="s">
        <v>948</v>
      </c>
      <c r="G4186">
        <v>1099999</v>
      </c>
      <c r="H4186">
        <v>401915</v>
      </c>
      <c r="I4186">
        <v>50</v>
      </c>
    </row>
    <row r="4187" spans="1:9" x14ac:dyDescent="0.25">
      <c r="A4187">
        <v>4240</v>
      </c>
      <c r="B4187">
        <v>10</v>
      </c>
      <c r="C4187" t="s">
        <v>946</v>
      </c>
      <c r="D4187" t="s">
        <v>1028</v>
      </c>
      <c r="E4187" t="s">
        <v>984</v>
      </c>
      <c r="F4187" t="s">
        <v>948</v>
      </c>
      <c r="G4187">
        <v>1000000</v>
      </c>
      <c r="H4187">
        <v>141000</v>
      </c>
      <c r="I4187" t="s">
        <v>985</v>
      </c>
    </row>
    <row r="4188" spans="1:9" x14ac:dyDescent="0.25">
      <c r="A4188">
        <v>4141</v>
      </c>
      <c r="B4188">
        <v>10</v>
      </c>
      <c r="C4188" t="s">
        <v>946</v>
      </c>
      <c r="D4188" t="s">
        <v>1029</v>
      </c>
      <c r="E4188" t="s">
        <v>243</v>
      </c>
      <c r="F4188" t="s">
        <v>948</v>
      </c>
      <c r="G4188">
        <v>1077777</v>
      </c>
      <c r="H4188">
        <v>501010</v>
      </c>
      <c r="I4188" t="s">
        <v>949</v>
      </c>
    </row>
    <row r="4189" spans="1:9" x14ac:dyDescent="0.25">
      <c r="A4189">
        <v>4220</v>
      </c>
      <c r="B4189">
        <v>10</v>
      </c>
      <c r="C4189" t="s">
        <v>946</v>
      </c>
      <c r="D4189" t="s">
        <v>1029</v>
      </c>
      <c r="E4189" t="s">
        <v>243</v>
      </c>
      <c r="F4189" t="s">
        <v>948</v>
      </c>
      <c r="G4189">
        <v>1077777</v>
      </c>
      <c r="H4189">
        <v>501010</v>
      </c>
      <c r="I4189" t="s">
        <v>949</v>
      </c>
    </row>
    <row r="4190" spans="1:9" x14ac:dyDescent="0.25">
      <c r="A4190">
        <v>4230</v>
      </c>
      <c r="B4190">
        <v>10</v>
      </c>
      <c r="C4190" t="s">
        <v>946</v>
      </c>
      <c r="D4190" t="s">
        <v>1029</v>
      </c>
      <c r="E4190" t="s">
        <v>243</v>
      </c>
      <c r="F4190" t="s">
        <v>948</v>
      </c>
      <c r="G4190">
        <v>1099999</v>
      </c>
      <c r="H4190">
        <v>401052</v>
      </c>
      <c r="I4190" t="s">
        <v>949</v>
      </c>
    </row>
    <row r="4191" spans="1:9" x14ac:dyDescent="0.25">
      <c r="A4191">
        <v>4240</v>
      </c>
      <c r="B4191">
        <v>10</v>
      </c>
      <c r="C4191" t="s">
        <v>946</v>
      </c>
      <c r="D4191" t="s">
        <v>1029</v>
      </c>
      <c r="E4191" t="s">
        <v>243</v>
      </c>
      <c r="F4191" t="s">
        <v>948</v>
      </c>
      <c r="G4191">
        <v>1000000</v>
      </c>
      <c r="H4191">
        <v>145000</v>
      </c>
      <c r="I4191" t="s">
        <v>949</v>
      </c>
    </row>
    <row r="4192" spans="1:9" x14ac:dyDescent="0.25">
      <c r="A4192">
        <v>4141</v>
      </c>
      <c r="B4192">
        <v>10</v>
      </c>
      <c r="C4192" t="s">
        <v>946</v>
      </c>
      <c r="D4192" t="s">
        <v>1029</v>
      </c>
      <c r="E4192" t="s">
        <v>247</v>
      </c>
      <c r="F4192" t="s">
        <v>948</v>
      </c>
      <c r="G4192">
        <v>1077777</v>
      </c>
      <c r="H4192">
        <v>501010</v>
      </c>
      <c r="I4192" t="s">
        <v>949</v>
      </c>
    </row>
    <row r="4193" spans="1:9" x14ac:dyDescent="0.25">
      <c r="A4193">
        <v>4220</v>
      </c>
      <c r="B4193">
        <v>10</v>
      </c>
      <c r="C4193" t="s">
        <v>946</v>
      </c>
      <c r="D4193" t="s">
        <v>1029</v>
      </c>
      <c r="E4193" t="s">
        <v>247</v>
      </c>
      <c r="F4193" t="s">
        <v>948</v>
      </c>
      <c r="G4193">
        <v>1077777</v>
      </c>
      <c r="H4193">
        <v>501010</v>
      </c>
      <c r="I4193" t="s">
        <v>949</v>
      </c>
    </row>
    <row r="4194" spans="1:9" x14ac:dyDescent="0.25">
      <c r="A4194">
        <v>4230</v>
      </c>
      <c r="B4194">
        <v>10</v>
      </c>
      <c r="C4194" t="s">
        <v>946</v>
      </c>
      <c r="D4194" t="s">
        <v>1029</v>
      </c>
      <c r="E4194" t="s">
        <v>247</v>
      </c>
      <c r="F4194" t="s">
        <v>948</v>
      </c>
      <c r="G4194">
        <v>1099999</v>
      </c>
      <c r="H4194">
        <v>401022</v>
      </c>
      <c r="I4194" t="s">
        <v>949</v>
      </c>
    </row>
    <row r="4195" spans="1:9" x14ac:dyDescent="0.25">
      <c r="A4195">
        <v>4240</v>
      </c>
      <c r="B4195">
        <v>10</v>
      </c>
      <c r="C4195" t="s">
        <v>946</v>
      </c>
      <c r="D4195" t="s">
        <v>1029</v>
      </c>
      <c r="E4195" t="s">
        <v>247</v>
      </c>
      <c r="F4195" t="s">
        <v>948</v>
      </c>
      <c r="G4195">
        <v>1000000</v>
      </c>
      <c r="H4195">
        <v>145000</v>
      </c>
      <c r="I4195" t="s">
        <v>949</v>
      </c>
    </row>
    <row r="4196" spans="1:9" x14ac:dyDescent="0.25">
      <c r="A4196">
        <v>4141</v>
      </c>
      <c r="B4196">
        <v>10</v>
      </c>
      <c r="C4196" t="s">
        <v>946</v>
      </c>
      <c r="D4196" t="s">
        <v>1029</v>
      </c>
      <c r="E4196" t="s">
        <v>251</v>
      </c>
      <c r="F4196" t="s">
        <v>948</v>
      </c>
      <c r="G4196">
        <v>1077777</v>
      </c>
      <c r="H4196">
        <v>501010</v>
      </c>
      <c r="I4196" t="s">
        <v>949</v>
      </c>
    </row>
    <row r="4197" spans="1:9" x14ac:dyDescent="0.25">
      <c r="A4197">
        <v>4220</v>
      </c>
      <c r="B4197">
        <v>10</v>
      </c>
      <c r="C4197" t="s">
        <v>946</v>
      </c>
      <c r="D4197" t="s">
        <v>1029</v>
      </c>
      <c r="E4197" t="s">
        <v>251</v>
      </c>
      <c r="F4197" t="s">
        <v>948</v>
      </c>
      <c r="G4197">
        <v>1077777</v>
      </c>
      <c r="H4197">
        <v>501010</v>
      </c>
      <c r="I4197" t="s">
        <v>949</v>
      </c>
    </row>
    <row r="4198" spans="1:9" x14ac:dyDescent="0.25">
      <c r="A4198">
        <v>4230</v>
      </c>
      <c r="B4198">
        <v>10</v>
      </c>
      <c r="C4198" t="s">
        <v>946</v>
      </c>
      <c r="D4198" t="s">
        <v>1029</v>
      </c>
      <c r="E4198" t="s">
        <v>251</v>
      </c>
      <c r="F4198" t="s">
        <v>948</v>
      </c>
      <c r="G4198">
        <v>1099999</v>
      </c>
      <c r="H4198">
        <v>401042</v>
      </c>
      <c r="I4198" t="s">
        <v>949</v>
      </c>
    </row>
    <row r="4199" spans="1:9" x14ac:dyDescent="0.25">
      <c r="A4199">
        <v>4240</v>
      </c>
      <c r="B4199">
        <v>10</v>
      </c>
      <c r="C4199" t="s">
        <v>946</v>
      </c>
      <c r="D4199" t="s">
        <v>1029</v>
      </c>
      <c r="E4199" t="s">
        <v>251</v>
      </c>
      <c r="F4199" t="s">
        <v>948</v>
      </c>
      <c r="G4199">
        <v>1000000</v>
      </c>
      <c r="H4199">
        <v>142000</v>
      </c>
      <c r="I4199" t="s">
        <v>949</v>
      </c>
    </row>
    <row r="4200" spans="1:9" x14ac:dyDescent="0.25">
      <c r="A4200">
        <v>4141</v>
      </c>
      <c r="B4200">
        <v>10</v>
      </c>
      <c r="C4200" t="s">
        <v>946</v>
      </c>
      <c r="D4200" t="s">
        <v>1029</v>
      </c>
      <c r="E4200" t="s">
        <v>969</v>
      </c>
      <c r="F4200" t="s">
        <v>948</v>
      </c>
      <c r="G4200">
        <v>1077777</v>
      </c>
      <c r="H4200">
        <v>501010</v>
      </c>
      <c r="I4200" t="s">
        <v>949</v>
      </c>
    </row>
    <row r="4201" spans="1:9" x14ac:dyDescent="0.25">
      <c r="A4201">
        <v>4220</v>
      </c>
      <c r="B4201">
        <v>10</v>
      </c>
      <c r="C4201" t="s">
        <v>946</v>
      </c>
      <c r="D4201" t="s">
        <v>1029</v>
      </c>
      <c r="E4201" t="s">
        <v>969</v>
      </c>
      <c r="F4201" t="s">
        <v>948</v>
      </c>
      <c r="G4201">
        <v>1077777</v>
      </c>
      <c r="H4201">
        <v>501010</v>
      </c>
      <c r="I4201" t="s">
        <v>949</v>
      </c>
    </row>
    <row r="4202" spans="1:9" x14ac:dyDescent="0.25">
      <c r="A4202">
        <v>4230</v>
      </c>
      <c r="B4202">
        <v>10</v>
      </c>
      <c r="C4202" t="s">
        <v>946</v>
      </c>
      <c r="D4202" t="s">
        <v>1029</v>
      </c>
      <c r="E4202" t="s">
        <v>969</v>
      </c>
      <c r="F4202" t="s">
        <v>948</v>
      </c>
      <c r="G4202">
        <v>1099999</v>
      </c>
      <c r="H4202">
        <v>401912</v>
      </c>
      <c r="I4202" t="s">
        <v>949</v>
      </c>
    </row>
    <row r="4203" spans="1:9" x14ac:dyDescent="0.25">
      <c r="A4203">
        <v>4240</v>
      </c>
      <c r="B4203">
        <v>10</v>
      </c>
      <c r="C4203" t="s">
        <v>946</v>
      </c>
      <c r="D4203" t="s">
        <v>1029</v>
      </c>
      <c r="E4203" t="s">
        <v>969</v>
      </c>
      <c r="F4203" t="s">
        <v>948</v>
      </c>
      <c r="G4203">
        <v>1000000</v>
      </c>
      <c r="H4203">
        <v>141000</v>
      </c>
      <c r="I4203" t="s">
        <v>970</v>
      </c>
    </row>
    <row r="4204" spans="1:9" x14ac:dyDescent="0.25">
      <c r="A4204">
        <v>4141</v>
      </c>
      <c r="B4204">
        <v>10</v>
      </c>
      <c r="C4204" t="s">
        <v>946</v>
      </c>
      <c r="D4204" t="s">
        <v>1029</v>
      </c>
      <c r="E4204" t="s">
        <v>255</v>
      </c>
      <c r="F4204" t="s">
        <v>948</v>
      </c>
      <c r="G4204">
        <v>1077777</v>
      </c>
      <c r="H4204">
        <v>501010</v>
      </c>
      <c r="I4204" t="s">
        <v>949</v>
      </c>
    </row>
    <row r="4205" spans="1:9" x14ac:dyDescent="0.25">
      <c r="A4205">
        <v>4220</v>
      </c>
      <c r="B4205">
        <v>10</v>
      </c>
      <c r="C4205" t="s">
        <v>946</v>
      </c>
      <c r="D4205" t="s">
        <v>1029</v>
      </c>
      <c r="E4205" t="s">
        <v>255</v>
      </c>
      <c r="F4205" t="s">
        <v>948</v>
      </c>
      <c r="G4205">
        <v>1077777</v>
      </c>
      <c r="H4205">
        <v>501010</v>
      </c>
      <c r="I4205" t="s">
        <v>949</v>
      </c>
    </row>
    <row r="4206" spans="1:9" x14ac:dyDescent="0.25">
      <c r="A4206">
        <v>4230</v>
      </c>
      <c r="B4206">
        <v>10</v>
      </c>
      <c r="C4206" t="s">
        <v>946</v>
      </c>
      <c r="D4206" t="s">
        <v>1029</v>
      </c>
      <c r="E4206" t="s">
        <v>255</v>
      </c>
      <c r="F4206" t="s">
        <v>948</v>
      </c>
      <c r="G4206">
        <v>1099999</v>
      </c>
      <c r="H4206">
        <v>401072</v>
      </c>
      <c r="I4206" t="s">
        <v>949</v>
      </c>
    </row>
    <row r="4207" spans="1:9" x14ac:dyDescent="0.25">
      <c r="A4207">
        <v>4240</v>
      </c>
      <c r="B4207">
        <v>10</v>
      </c>
      <c r="C4207" t="s">
        <v>946</v>
      </c>
      <c r="D4207" t="s">
        <v>1029</v>
      </c>
      <c r="E4207" t="s">
        <v>255</v>
      </c>
      <c r="F4207" t="s">
        <v>948</v>
      </c>
      <c r="G4207">
        <v>1000000</v>
      </c>
      <c r="H4207">
        <v>145000</v>
      </c>
      <c r="I4207" t="s">
        <v>949</v>
      </c>
    </row>
    <row r="4208" spans="1:9" x14ac:dyDescent="0.25">
      <c r="A4208">
        <v>4141</v>
      </c>
      <c r="B4208">
        <v>10</v>
      </c>
      <c r="C4208" t="s">
        <v>946</v>
      </c>
      <c r="D4208" t="s">
        <v>1029</v>
      </c>
      <c r="E4208" t="s">
        <v>971</v>
      </c>
      <c r="F4208" t="s">
        <v>948</v>
      </c>
      <c r="G4208">
        <v>1077777</v>
      </c>
      <c r="H4208">
        <v>501010</v>
      </c>
      <c r="I4208" t="s">
        <v>949</v>
      </c>
    </row>
    <row r="4209" spans="1:9" x14ac:dyDescent="0.25">
      <c r="A4209">
        <v>4220</v>
      </c>
      <c r="B4209">
        <v>10</v>
      </c>
      <c r="C4209" t="s">
        <v>946</v>
      </c>
      <c r="D4209" t="s">
        <v>1029</v>
      </c>
      <c r="E4209" t="s">
        <v>971</v>
      </c>
      <c r="F4209" t="s">
        <v>948</v>
      </c>
      <c r="G4209">
        <v>1077777</v>
      </c>
      <c r="H4209">
        <v>501010</v>
      </c>
      <c r="I4209" t="s">
        <v>949</v>
      </c>
    </row>
    <row r="4210" spans="1:9" x14ac:dyDescent="0.25">
      <c r="A4210">
        <v>4230</v>
      </c>
      <c r="B4210">
        <v>10</v>
      </c>
      <c r="C4210" t="s">
        <v>946</v>
      </c>
      <c r="D4210" t="s">
        <v>1029</v>
      </c>
      <c r="E4210" t="s">
        <v>971</v>
      </c>
      <c r="F4210" t="s">
        <v>948</v>
      </c>
      <c r="G4210">
        <v>1099999</v>
      </c>
      <c r="H4210">
        <v>401912</v>
      </c>
      <c r="I4210" t="s">
        <v>949</v>
      </c>
    </row>
    <row r="4211" spans="1:9" x14ac:dyDescent="0.25">
      <c r="A4211">
        <v>4240</v>
      </c>
      <c r="B4211">
        <v>10</v>
      </c>
      <c r="C4211" t="s">
        <v>946</v>
      </c>
      <c r="D4211" t="s">
        <v>1029</v>
      </c>
      <c r="E4211" t="s">
        <v>971</v>
      </c>
      <c r="F4211" t="s">
        <v>948</v>
      </c>
      <c r="G4211">
        <v>1000000</v>
      </c>
      <c r="H4211">
        <v>141000</v>
      </c>
      <c r="I4211" t="s">
        <v>972</v>
      </c>
    </row>
    <row r="4212" spans="1:9" x14ac:dyDescent="0.25">
      <c r="A4212">
        <v>4230</v>
      </c>
      <c r="B4212">
        <v>10</v>
      </c>
      <c r="C4212" t="s">
        <v>946</v>
      </c>
      <c r="D4212" t="s">
        <v>1029</v>
      </c>
      <c r="E4212" t="s">
        <v>259</v>
      </c>
      <c r="F4212" t="s">
        <v>948</v>
      </c>
      <c r="G4212">
        <v>1099999</v>
      </c>
      <c r="H4212">
        <v>409002</v>
      </c>
      <c r="I4212" t="s">
        <v>949</v>
      </c>
    </row>
    <row r="4213" spans="1:9" x14ac:dyDescent="0.25">
      <c r="A4213">
        <v>4141</v>
      </c>
      <c r="B4213">
        <v>10</v>
      </c>
      <c r="C4213" t="s">
        <v>946</v>
      </c>
      <c r="D4213" t="s">
        <v>1029</v>
      </c>
      <c r="E4213" t="s">
        <v>263</v>
      </c>
      <c r="F4213" t="s">
        <v>948</v>
      </c>
      <c r="G4213">
        <v>1077777</v>
      </c>
      <c r="H4213">
        <v>501010</v>
      </c>
      <c r="I4213" t="s">
        <v>949</v>
      </c>
    </row>
    <row r="4214" spans="1:9" x14ac:dyDescent="0.25">
      <c r="A4214">
        <v>4220</v>
      </c>
      <c r="B4214">
        <v>10</v>
      </c>
      <c r="C4214" t="s">
        <v>946</v>
      </c>
      <c r="D4214" t="s">
        <v>1029</v>
      </c>
      <c r="E4214" t="s">
        <v>263</v>
      </c>
      <c r="F4214" t="s">
        <v>948</v>
      </c>
      <c r="G4214">
        <v>1077777</v>
      </c>
      <c r="H4214">
        <v>501010</v>
      </c>
      <c r="I4214" t="s">
        <v>949</v>
      </c>
    </row>
    <row r="4215" spans="1:9" x14ac:dyDescent="0.25">
      <c r="A4215">
        <v>4230</v>
      </c>
      <c r="B4215">
        <v>10</v>
      </c>
      <c r="C4215" t="s">
        <v>946</v>
      </c>
      <c r="D4215" t="s">
        <v>1029</v>
      </c>
      <c r="E4215" t="s">
        <v>263</v>
      </c>
      <c r="F4215" t="s">
        <v>948</v>
      </c>
      <c r="G4215">
        <v>1099999</v>
      </c>
      <c r="H4215">
        <v>401042</v>
      </c>
      <c r="I4215" t="s">
        <v>949</v>
      </c>
    </row>
    <row r="4216" spans="1:9" x14ac:dyDescent="0.25">
      <c r="A4216">
        <v>4240</v>
      </c>
      <c r="B4216">
        <v>10</v>
      </c>
      <c r="C4216" t="s">
        <v>946</v>
      </c>
      <c r="D4216" t="s">
        <v>1029</v>
      </c>
      <c r="E4216" t="s">
        <v>263</v>
      </c>
      <c r="F4216" t="s">
        <v>948</v>
      </c>
      <c r="G4216">
        <v>1000000</v>
      </c>
      <c r="H4216">
        <v>145000</v>
      </c>
      <c r="I4216" t="s">
        <v>949</v>
      </c>
    </row>
    <row r="4217" spans="1:9" x14ac:dyDescent="0.25">
      <c r="A4217">
        <v>4141</v>
      </c>
      <c r="B4217">
        <v>10</v>
      </c>
      <c r="C4217" t="s">
        <v>946</v>
      </c>
      <c r="D4217" t="s">
        <v>1029</v>
      </c>
      <c r="E4217" t="s">
        <v>100</v>
      </c>
      <c r="F4217" t="s">
        <v>948</v>
      </c>
      <c r="G4217">
        <v>1077777</v>
      </c>
      <c r="H4217">
        <v>500220</v>
      </c>
      <c r="I4217" t="s">
        <v>949</v>
      </c>
    </row>
    <row r="4218" spans="1:9" x14ac:dyDescent="0.25">
      <c r="A4218">
        <v>4220</v>
      </c>
      <c r="B4218">
        <v>10</v>
      </c>
      <c r="C4218" t="s">
        <v>946</v>
      </c>
      <c r="D4218" t="s">
        <v>1029</v>
      </c>
      <c r="E4218" t="s">
        <v>100</v>
      </c>
      <c r="F4218" t="s">
        <v>948</v>
      </c>
      <c r="G4218">
        <v>1077777</v>
      </c>
      <c r="H4218">
        <v>500220</v>
      </c>
      <c r="I4218" t="s">
        <v>949</v>
      </c>
    </row>
    <row r="4219" spans="1:9" x14ac:dyDescent="0.25">
      <c r="A4219">
        <v>4230</v>
      </c>
      <c r="B4219">
        <v>10</v>
      </c>
      <c r="C4219" t="s">
        <v>946</v>
      </c>
      <c r="D4219" t="s">
        <v>1029</v>
      </c>
      <c r="E4219" t="s">
        <v>100</v>
      </c>
      <c r="F4219" t="s">
        <v>948</v>
      </c>
      <c r="G4219">
        <v>1099999</v>
      </c>
      <c r="H4219">
        <v>401042</v>
      </c>
      <c r="I4219" t="s">
        <v>949</v>
      </c>
    </row>
    <row r="4220" spans="1:9" x14ac:dyDescent="0.25">
      <c r="A4220">
        <v>4240</v>
      </c>
      <c r="B4220">
        <v>10</v>
      </c>
      <c r="C4220" t="s">
        <v>946</v>
      </c>
      <c r="D4220" t="s">
        <v>1029</v>
      </c>
      <c r="E4220" t="s">
        <v>100</v>
      </c>
      <c r="F4220" t="s">
        <v>948</v>
      </c>
      <c r="G4220">
        <v>1077777</v>
      </c>
      <c r="H4220">
        <v>500221</v>
      </c>
      <c r="I4220" t="s">
        <v>949</v>
      </c>
    </row>
    <row r="4221" spans="1:9" x14ac:dyDescent="0.25">
      <c r="A4221">
        <v>4141</v>
      </c>
      <c r="B4221">
        <v>10</v>
      </c>
      <c r="C4221" t="s">
        <v>946</v>
      </c>
      <c r="D4221" t="s">
        <v>1029</v>
      </c>
      <c r="E4221" t="s">
        <v>270</v>
      </c>
      <c r="F4221" t="s">
        <v>948</v>
      </c>
      <c r="G4221">
        <v>1077777</v>
      </c>
      <c r="H4221">
        <v>501010</v>
      </c>
      <c r="I4221" t="s">
        <v>949</v>
      </c>
    </row>
    <row r="4222" spans="1:9" x14ac:dyDescent="0.25">
      <c r="A4222">
        <v>4220</v>
      </c>
      <c r="B4222">
        <v>10</v>
      </c>
      <c r="C4222" t="s">
        <v>946</v>
      </c>
      <c r="D4222" t="s">
        <v>1029</v>
      </c>
      <c r="E4222" t="s">
        <v>270</v>
      </c>
      <c r="F4222" t="s">
        <v>948</v>
      </c>
      <c r="G4222">
        <v>1077777</v>
      </c>
      <c r="H4222">
        <v>501010</v>
      </c>
      <c r="I4222" t="s">
        <v>949</v>
      </c>
    </row>
    <row r="4223" spans="1:9" x14ac:dyDescent="0.25">
      <c r="A4223">
        <v>4230</v>
      </c>
      <c r="B4223">
        <v>10</v>
      </c>
      <c r="C4223" t="s">
        <v>946</v>
      </c>
      <c r="D4223" t="s">
        <v>1029</v>
      </c>
      <c r="E4223" t="s">
        <v>270</v>
      </c>
      <c r="F4223" t="s">
        <v>948</v>
      </c>
      <c r="G4223">
        <v>1099999</v>
      </c>
      <c r="H4223">
        <v>401062</v>
      </c>
      <c r="I4223" t="s">
        <v>949</v>
      </c>
    </row>
    <row r="4224" spans="1:9" x14ac:dyDescent="0.25">
      <c r="A4224">
        <v>4240</v>
      </c>
      <c r="B4224">
        <v>10</v>
      </c>
      <c r="C4224" t="s">
        <v>946</v>
      </c>
      <c r="D4224" t="s">
        <v>1029</v>
      </c>
      <c r="E4224" t="s">
        <v>270</v>
      </c>
      <c r="F4224" t="s">
        <v>948</v>
      </c>
      <c r="G4224">
        <v>1000000</v>
      </c>
      <c r="H4224">
        <v>145000</v>
      </c>
      <c r="I4224" t="s">
        <v>949</v>
      </c>
    </row>
    <row r="4225" spans="1:9" x14ac:dyDescent="0.25">
      <c r="A4225">
        <v>4141</v>
      </c>
      <c r="B4225">
        <v>10</v>
      </c>
      <c r="C4225" t="s">
        <v>946</v>
      </c>
      <c r="D4225" t="s">
        <v>1029</v>
      </c>
      <c r="E4225" t="s">
        <v>274</v>
      </c>
      <c r="F4225" t="s">
        <v>948</v>
      </c>
      <c r="G4225">
        <v>1077777</v>
      </c>
      <c r="H4225">
        <v>501010</v>
      </c>
      <c r="I4225" t="s">
        <v>949</v>
      </c>
    </row>
    <row r="4226" spans="1:9" x14ac:dyDescent="0.25">
      <c r="A4226">
        <v>4220</v>
      </c>
      <c r="B4226">
        <v>10</v>
      </c>
      <c r="C4226" t="s">
        <v>946</v>
      </c>
      <c r="D4226" t="s">
        <v>1029</v>
      </c>
      <c r="E4226" t="s">
        <v>274</v>
      </c>
      <c r="F4226" t="s">
        <v>948</v>
      </c>
      <c r="G4226">
        <v>1077777</v>
      </c>
      <c r="H4226">
        <v>501010</v>
      </c>
      <c r="I4226" t="s">
        <v>949</v>
      </c>
    </row>
    <row r="4227" spans="1:9" x14ac:dyDescent="0.25">
      <c r="A4227">
        <v>4230</v>
      </c>
      <c r="B4227">
        <v>10</v>
      </c>
      <c r="C4227" t="s">
        <v>946</v>
      </c>
      <c r="D4227" t="s">
        <v>1029</v>
      </c>
      <c r="E4227" t="s">
        <v>274</v>
      </c>
      <c r="F4227" t="s">
        <v>948</v>
      </c>
      <c r="G4227">
        <v>1099999</v>
      </c>
      <c r="H4227">
        <v>401042</v>
      </c>
      <c r="I4227" t="s">
        <v>949</v>
      </c>
    </row>
    <row r="4228" spans="1:9" x14ac:dyDescent="0.25">
      <c r="A4228">
        <v>4240</v>
      </c>
      <c r="B4228">
        <v>10</v>
      </c>
      <c r="C4228" t="s">
        <v>946</v>
      </c>
      <c r="D4228" t="s">
        <v>1029</v>
      </c>
      <c r="E4228" t="s">
        <v>274</v>
      </c>
      <c r="F4228" t="s">
        <v>948</v>
      </c>
      <c r="G4228">
        <v>1000000</v>
      </c>
      <c r="H4228">
        <v>143000</v>
      </c>
      <c r="I4228" t="s">
        <v>973</v>
      </c>
    </row>
    <row r="4229" spans="1:9" x14ac:dyDescent="0.25">
      <c r="A4229">
        <v>4141</v>
      </c>
      <c r="B4229">
        <v>10</v>
      </c>
      <c r="C4229" t="s">
        <v>946</v>
      </c>
      <c r="D4229" t="s">
        <v>1029</v>
      </c>
      <c r="E4229" t="s">
        <v>974</v>
      </c>
      <c r="F4229" t="s">
        <v>948</v>
      </c>
      <c r="G4229">
        <v>1077777</v>
      </c>
      <c r="H4229">
        <v>501010</v>
      </c>
      <c r="I4229" t="s">
        <v>949</v>
      </c>
    </row>
    <row r="4230" spans="1:9" x14ac:dyDescent="0.25">
      <c r="A4230">
        <v>4220</v>
      </c>
      <c r="B4230">
        <v>10</v>
      </c>
      <c r="C4230" t="s">
        <v>946</v>
      </c>
      <c r="D4230" t="s">
        <v>1029</v>
      </c>
      <c r="E4230" t="s">
        <v>974</v>
      </c>
      <c r="F4230" t="s">
        <v>948</v>
      </c>
      <c r="G4230">
        <v>1077777</v>
      </c>
      <c r="H4230">
        <v>501010</v>
      </c>
      <c r="I4230" t="s">
        <v>949</v>
      </c>
    </row>
    <row r="4231" spans="1:9" x14ac:dyDescent="0.25">
      <c r="A4231">
        <v>4230</v>
      </c>
      <c r="B4231">
        <v>10</v>
      </c>
      <c r="C4231" t="s">
        <v>946</v>
      </c>
      <c r="D4231" t="s">
        <v>1029</v>
      </c>
      <c r="E4231" t="s">
        <v>974</v>
      </c>
      <c r="F4231" t="s">
        <v>948</v>
      </c>
      <c r="G4231">
        <v>1099999</v>
      </c>
      <c r="H4231">
        <v>401912</v>
      </c>
      <c r="I4231" t="s">
        <v>949</v>
      </c>
    </row>
    <row r="4232" spans="1:9" x14ac:dyDescent="0.25">
      <c r="A4232">
        <v>4240</v>
      </c>
      <c r="B4232">
        <v>10</v>
      </c>
      <c r="C4232" t="s">
        <v>946</v>
      </c>
      <c r="D4232" t="s">
        <v>1029</v>
      </c>
      <c r="E4232" t="s">
        <v>974</v>
      </c>
      <c r="F4232" t="s">
        <v>948</v>
      </c>
      <c r="G4232">
        <v>1000000</v>
      </c>
      <c r="H4232">
        <v>141000</v>
      </c>
      <c r="I4232" t="s">
        <v>975</v>
      </c>
    </row>
    <row r="4233" spans="1:9" x14ac:dyDescent="0.25">
      <c r="A4233">
        <v>4141</v>
      </c>
      <c r="B4233">
        <v>10</v>
      </c>
      <c r="C4233" t="s">
        <v>946</v>
      </c>
      <c r="D4233" t="s">
        <v>1029</v>
      </c>
      <c r="E4233" t="s">
        <v>104</v>
      </c>
      <c r="F4233" t="s">
        <v>948</v>
      </c>
      <c r="G4233">
        <v>1077777</v>
      </c>
      <c r="H4233">
        <v>500220</v>
      </c>
      <c r="I4233" t="s">
        <v>949</v>
      </c>
    </row>
    <row r="4234" spans="1:9" x14ac:dyDescent="0.25">
      <c r="A4234">
        <v>4220</v>
      </c>
      <c r="B4234">
        <v>10</v>
      </c>
      <c r="C4234" t="s">
        <v>946</v>
      </c>
      <c r="D4234" t="s">
        <v>1029</v>
      </c>
      <c r="E4234" t="s">
        <v>104</v>
      </c>
      <c r="F4234" t="s">
        <v>948</v>
      </c>
      <c r="G4234">
        <v>1077777</v>
      </c>
      <c r="H4234">
        <v>500220</v>
      </c>
      <c r="I4234" t="s">
        <v>949</v>
      </c>
    </row>
    <row r="4235" spans="1:9" x14ac:dyDescent="0.25">
      <c r="A4235">
        <v>4230</v>
      </c>
      <c r="B4235">
        <v>10</v>
      </c>
      <c r="C4235" t="s">
        <v>946</v>
      </c>
      <c r="D4235" t="s">
        <v>1029</v>
      </c>
      <c r="E4235" t="s">
        <v>104</v>
      </c>
      <c r="F4235" t="s">
        <v>948</v>
      </c>
      <c r="G4235">
        <v>1099999</v>
      </c>
      <c r="H4235">
        <v>401042</v>
      </c>
      <c r="I4235" t="s">
        <v>949</v>
      </c>
    </row>
    <row r="4236" spans="1:9" x14ac:dyDescent="0.25">
      <c r="A4236">
        <v>4240</v>
      </c>
      <c r="B4236">
        <v>10</v>
      </c>
      <c r="C4236" t="s">
        <v>946</v>
      </c>
      <c r="D4236" t="s">
        <v>1029</v>
      </c>
      <c r="E4236" t="s">
        <v>104</v>
      </c>
      <c r="F4236" t="s">
        <v>948</v>
      </c>
      <c r="G4236">
        <v>1077777</v>
      </c>
      <c r="H4236">
        <v>500221</v>
      </c>
      <c r="I4236" t="s">
        <v>949</v>
      </c>
    </row>
    <row r="4237" spans="1:9" x14ac:dyDescent="0.25">
      <c r="A4237">
        <v>4141</v>
      </c>
      <c r="B4237">
        <v>10</v>
      </c>
      <c r="C4237" t="s">
        <v>946</v>
      </c>
      <c r="D4237" t="s">
        <v>1029</v>
      </c>
      <c r="E4237" t="s">
        <v>278</v>
      </c>
      <c r="F4237" t="s">
        <v>948</v>
      </c>
      <c r="G4237">
        <v>1077777</v>
      </c>
      <c r="H4237">
        <v>501010</v>
      </c>
      <c r="I4237" t="s">
        <v>949</v>
      </c>
    </row>
    <row r="4238" spans="1:9" x14ac:dyDescent="0.25">
      <c r="A4238">
        <v>4220</v>
      </c>
      <c r="B4238">
        <v>10</v>
      </c>
      <c r="C4238" t="s">
        <v>946</v>
      </c>
      <c r="D4238" t="s">
        <v>1029</v>
      </c>
      <c r="E4238" t="s">
        <v>278</v>
      </c>
      <c r="F4238" t="s">
        <v>948</v>
      </c>
      <c r="G4238">
        <v>1077777</v>
      </c>
      <c r="H4238">
        <v>501010</v>
      </c>
      <c r="I4238" t="s">
        <v>949</v>
      </c>
    </row>
    <row r="4239" spans="1:9" x14ac:dyDescent="0.25">
      <c r="A4239">
        <v>4230</v>
      </c>
      <c r="B4239">
        <v>10</v>
      </c>
      <c r="C4239" t="s">
        <v>946</v>
      </c>
      <c r="D4239" t="s">
        <v>1029</v>
      </c>
      <c r="E4239" t="s">
        <v>278</v>
      </c>
      <c r="F4239" t="s">
        <v>948</v>
      </c>
      <c r="G4239">
        <v>1099999</v>
      </c>
      <c r="H4239">
        <v>401052</v>
      </c>
      <c r="I4239" t="s">
        <v>949</v>
      </c>
    </row>
    <row r="4240" spans="1:9" x14ac:dyDescent="0.25">
      <c r="A4240">
        <v>4240</v>
      </c>
      <c r="B4240">
        <v>10</v>
      </c>
      <c r="C4240" t="s">
        <v>946</v>
      </c>
      <c r="D4240" t="s">
        <v>1029</v>
      </c>
      <c r="E4240" t="s">
        <v>278</v>
      </c>
      <c r="F4240" t="s">
        <v>948</v>
      </c>
      <c r="G4240">
        <v>1000000</v>
      </c>
      <c r="H4240">
        <v>145000</v>
      </c>
      <c r="I4240" t="s">
        <v>949</v>
      </c>
    </row>
    <row r="4241" spans="1:9" x14ac:dyDescent="0.25">
      <c r="A4241">
        <v>4141</v>
      </c>
      <c r="B4241">
        <v>10</v>
      </c>
      <c r="C4241" t="s">
        <v>946</v>
      </c>
      <c r="D4241" t="s">
        <v>1029</v>
      </c>
      <c r="E4241" t="s">
        <v>282</v>
      </c>
      <c r="F4241" t="s">
        <v>948</v>
      </c>
      <c r="G4241">
        <v>1077777</v>
      </c>
      <c r="H4241">
        <v>501010</v>
      </c>
      <c r="I4241" t="s">
        <v>949</v>
      </c>
    </row>
    <row r="4242" spans="1:9" x14ac:dyDescent="0.25">
      <c r="A4242">
        <v>4220</v>
      </c>
      <c r="B4242">
        <v>10</v>
      </c>
      <c r="C4242" t="s">
        <v>946</v>
      </c>
      <c r="D4242" t="s">
        <v>1029</v>
      </c>
      <c r="E4242" t="s">
        <v>282</v>
      </c>
      <c r="F4242" t="s">
        <v>948</v>
      </c>
      <c r="G4242">
        <v>1077777</v>
      </c>
      <c r="H4242">
        <v>501010</v>
      </c>
      <c r="I4242" t="s">
        <v>949</v>
      </c>
    </row>
    <row r="4243" spans="1:9" x14ac:dyDescent="0.25">
      <c r="A4243">
        <v>4230</v>
      </c>
      <c r="B4243">
        <v>10</v>
      </c>
      <c r="C4243" t="s">
        <v>946</v>
      </c>
      <c r="D4243" t="s">
        <v>1029</v>
      </c>
      <c r="E4243" t="s">
        <v>282</v>
      </c>
      <c r="F4243" t="s">
        <v>948</v>
      </c>
      <c r="G4243">
        <v>1099999</v>
      </c>
      <c r="H4243">
        <v>401042</v>
      </c>
      <c r="I4243" t="s">
        <v>949</v>
      </c>
    </row>
    <row r="4244" spans="1:9" x14ac:dyDescent="0.25">
      <c r="A4244">
        <v>4240</v>
      </c>
      <c r="B4244">
        <v>10</v>
      </c>
      <c r="C4244" t="s">
        <v>946</v>
      </c>
      <c r="D4244" t="s">
        <v>1029</v>
      </c>
      <c r="E4244" t="s">
        <v>282</v>
      </c>
      <c r="F4244" t="s">
        <v>948</v>
      </c>
      <c r="G4244">
        <v>1000000</v>
      </c>
      <c r="H4244">
        <v>143100</v>
      </c>
      <c r="I4244" t="s">
        <v>949</v>
      </c>
    </row>
    <row r="4245" spans="1:9" x14ac:dyDescent="0.25">
      <c r="A4245">
        <v>4141</v>
      </c>
      <c r="B4245">
        <v>10</v>
      </c>
      <c r="C4245" t="s">
        <v>946</v>
      </c>
      <c r="D4245" t="s">
        <v>1029</v>
      </c>
      <c r="E4245" t="s">
        <v>286</v>
      </c>
      <c r="F4245" t="s">
        <v>948</v>
      </c>
      <c r="G4245">
        <v>1077777</v>
      </c>
      <c r="H4245">
        <v>501010</v>
      </c>
      <c r="I4245" t="s">
        <v>949</v>
      </c>
    </row>
    <row r="4246" spans="1:9" x14ac:dyDescent="0.25">
      <c r="A4246">
        <v>4220</v>
      </c>
      <c r="B4246">
        <v>10</v>
      </c>
      <c r="C4246" t="s">
        <v>946</v>
      </c>
      <c r="D4246" t="s">
        <v>1029</v>
      </c>
      <c r="E4246" t="s">
        <v>286</v>
      </c>
      <c r="F4246" t="s">
        <v>948</v>
      </c>
      <c r="G4246">
        <v>1077777</v>
      </c>
      <c r="H4246">
        <v>501010</v>
      </c>
      <c r="I4246" t="s">
        <v>949</v>
      </c>
    </row>
    <row r="4247" spans="1:9" x14ac:dyDescent="0.25">
      <c r="A4247">
        <v>4230</v>
      </c>
      <c r="B4247">
        <v>10</v>
      </c>
      <c r="C4247" t="s">
        <v>946</v>
      </c>
      <c r="D4247" t="s">
        <v>1029</v>
      </c>
      <c r="E4247" t="s">
        <v>286</v>
      </c>
      <c r="F4247" t="s">
        <v>948</v>
      </c>
      <c r="G4247">
        <v>1099999</v>
      </c>
      <c r="H4247">
        <v>401032</v>
      </c>
      <c r="I4247" t="s">
        <v>949</v>
      </c>
    </row>
    <row r="4248" spans="1:9" x14ac:dyDescent="0.25">
      <c r="A4248">
        <v>4240</v>
      </c>
      <c r="B4248">
        <v>10</v>
      </c>
      <c r="C4248" t="s">
        <v>946</v>
      </c>
      <c r="D4248" t="s">
        <v>1029</v>
      </c>
      <c r="E4248" t="s">
        <v>286</v>
      </c>
      <c r="F4248" t="s">
        <v>948</v>
      </c>
      <c r="G4248">
        <v>1000000</v>
      </c>
      <c r="H4248">
        <v>145000</v>
      </c>
      <c r="I4248" t="s">
        <v>949</v>
      </c>
    </row>
    <row r="4249" spans="1:9" x14ac:dyDescent="0.25">
      <c r="A4249">
        <v>4141</v>
      </c>
      <c r="B4249">
        <v>10</v>
      </c>
      <c r="C4249" t="s">
        <v>946</v>
      </c>
      <c r="D4249" t="s">
        <v>1029</v>
      </c>
      <c r="E4249" t="s">
        <v>976</v>
      </c>
      <c r="F4249" t="s">
        <v>948</v>
      </c>
      <c r="G4249">
        <v>1077777</v>
      </c>
      <c r="H4249">
        <v>501010</v>
      </c>
      <c r="I4249" t="s">
        <v>949</v>
      </c>
    </row>
    <row r="4250" spans="1:9" x14ac:dyDescent="0.25">
      <c r="A4250">
        <v>4220</v>
      </c>
      <c r="B4250">
        <v>10</v>
      </c>
      <c r="C4250" t="s">
        <v>946</v>
      </c>
      <c r="D4250" t="s">
        <v>1029</v>
      </c>
      <c r="E4250" t="s">
        <v>976</v>
      </c>
      <c r="F4250" t="s">
        <v>948</v>
      </c>
      <c r="G4250">
        <v>1077777</v>
      </c>
      <c r="H4250">
        <v>501010</v>
      </c>
      <c r="I4250" t="s">
        <v>949</v>
      </c>
    </row>
    <row r="4251" spans="1:9" x14ac:dyDescent="0.25">
      <c r="A4251">
        <v>4230</v>
      </c>
      <c r="B4251">
        <v>10</v>
      </c>
      <c r="C4251" t="s">
        <v>946</v>
      </c>
      <c r="D4251" t="s">
        <v>1029</v>
      </c>
      <c r="E4251" t="s">
        <v>976</v>
      </c>
      <c r="F4251" t="s">
        <v>948</v>
      </c>
      <c r="G4251">
        <v>1099999</v>
      </c>
      <c r="H4251">
        <v>401912</v>
      </c>
      <c r="I4251" t="s">
        <v>949</v>
      </c>
    </row>
    <row r="4252" spans="1:9" x14ac:dyDescent="0.25">
      <c r="A4252">
        <v>4240</v>
      </c>
      <c r="B4252">
        <v>10</v>
      </c>
      <c r="C4252" t="s">
        <v>946</v>
      </c>
      <c r="D4252" t="s">
        <v>1029</v>
      </c>
      <c r="E4252" t="s">
        <v>976</v>
      </c>
      <c r="F4252" t="s">
        <v>948</v>
      </c>
      <c r="G4252">
        <v>1000000</v>
      </c>
      <c r="H4252">
        <v>141000</v>
      </c>
      <c r="I4252" t="s">
        <v>977</v>
      </c>
    </row>
    <row r="4253" spans="1:9" x14ac:dyDescent="0.25">
      <c r="A4253">
        <v>4141</v>
      </c>
      <c r="B4253">
        <v>10</v>
      </c>
      <c r="C4253" t="s">
        <v>946</v>
      </c>
      <c r="D4253" t="s">
        <v>1029</v>
      </c>
      <c r="E4253" t="s">
        <v>290</v>
      </c>
      <c r="F4253" t="s">
        <v>948</v>
      </c>
      <c r="G4253">
        <v>1077777</v>
      </c>
      <c r="H4253">
        <v>501010</v>
      </c>
      <c r="I4253" t="s">
        <v>949</v>
      </c>
    </row>
    <row r="4254" spans="1:9" x14ac:dyDescent="0.25">
      <c r="A4254">
        <v>4220</v>
      </c>
      <c r="B4254">
        <v>10</v>
      </c>
      <c r="C4254" t="s">
        <v>946</v>
      </c>
      <c r="D4254" t="s">
        <v>1029</v>
      </c>
      <c r="E4254" t="s">
        <v>290</v>
      </c>
      <c r="F4254" t="s">
        <v>948</v>
      </c>
      <c r="G4254">
        <v>1077777</v>
      </c>
      <c r="H4254">
        <v>501010</v>
      </c>
      <c r="I4254" t="s">
        <v>949</v>
      </c>
    </row>
    <row r="4255" spans="1:9" x14ac:dyDescent="0.25">
      <c r="A4255">
        <v>4230</v>
      </c>
      <c r="B4255">
        <v>10</v>
      </c>
      <c r="C4255" t="s">
        <v>946</v>
      </c>
      <c r="D4255" t="s">
        <v>1029</v>
      </c>
      <c r="E4255" t="s">
        <v>290</v>
      </c>
      <c r="F4255" t="s">
        <v>948</v>
      </c>
      <c r="G4255">
        <v>1099999</v>
      </c>
      <c r="H4255">
        <v>401042</v>
      </c>
      <c r="I4255" t="s">
        <v>949</v>
      </c>
    </row>
    <row r="4256" spans="1:9" x14ac:dyDescent="0.25">
      <c r="A4256">
        <v>4240</v>
      </c>
      <c r="B4256">
        <v>10</v>
      </c>
      <c r="C4256" t="s">
        <v>946</v>
      </c>
      <c r="D4256" t="s">
        <v>1029</v>
      </c>
      <c r="E4256" t="s">
        <v>290</v>
      </c>
      <c r="F4256" t="s">
        <v>948</v>
      </c>
      <c r="G4256">
        <v>1000000</v>
      </c>
      <c r="H4256">
        <v>143000</v>
      </c>
      <c r="I4256" t="s">
        <v>978</v>
      </c>
    </row>
    <row r="4257" spans="1:9" x14ac:dyDescent="0.25">
      <c r="A4257">
        <v>4141</v>
      </c>
      <c r="B4257">
        <v>10</v>
      </c>
      <c r="C4257" t="s">
        <v>946</v>
      </c>
      <c r="D4257" t="s">
        <v>1029</v>
      </c>
      <c r="E4257" t="s">
        <v>294</v>
      </c>
      <c r="F4257" t="s">
        <v>948</v>
      </c>
      <c r="G4257">
        <v>1077777</v>
      </c>
      <c r="H4257">
        <v>501010</v>
      </c>
      <c r="I4257" t="s">
        <v>949</v>
      </c>
    </row>
    <row r="4258" spans="1:9" x14ac:dyDescent="0.25">
      <c r="A4258">
        <v>4220</v>
      </c>
      <c r="B4258">
        <v>10</v>
      </c>
      <c r="C4258" t="s">
        <v>946</v>
      </c>
      <c r="D4258" t="s">
        <v>1029</v>
      </c>
      <c r="E4258" t="s">
        <v>294</v>
      </c>
      <c r="F4258" t="s">
        <v>948</v>
      </c>
      <c r="G4258">
        <v>1077777</v>
      </c>
      <c r="H4258">
        <v>501010</v>
      </c>
      <c r="I4258" t="s">
        <v>949</v>
      </c>
    </row>
    <row r="4259" spans="1:9" x14ac:dyDescent="0.25">
      <c r="A4259">
        <v>4230</v>
      </c>
      <c r="B4259">
        <v>10</v>
      </c>
      <c r="C4259" t="s">
        <v>946</v>
      </c>
      <c r="D4259" t="s">
        <v>1029</v>
      </c>
      <c r="E4259" t="s">
        <v>294</v>
      </c>
      <c r="F4259" t="s">
        <v>948</v>
      </c>
      <c r="G4259">
        <v>1099999</v>
      </c>
      <c r="H4259">
        <v>401042</v>
      </c>
      <c r="I4259" t="s">
        <v>949</v>
      </c>
    </row>
    <row r="4260" spans="1:9" x14ac:dyDescent="0.25">
      <c r="A4260">
        <v>4240</v>
      </c>
      <c r="B4260">
        <v>10</v>
      </c>
      <c r="C4260" t="s">
        <v>946</v>
      </c>
      <c r="D4260" t="s">
        <v>1029</v>
      </c>
      <c r="E4260" t="s">
        <v>294</v>
      </c>
      <c r="F4260" t="s">
        <v>948</v>
      </c>
      <c r="G4260">
        <v>1000000</v>
      </c>
      <c r="H4260">
        <v>143000</v>
      </c>
      <c r="I4260" t="s">
        <v>979</v>
      </c>
    </row>
    <row r="4261" spans="1:9" x14ac:dyDescent="0.25">
      <c r="A4261">
        <v>4230</v>
      </c>
      <c r="B4261">
        <v>10</v>
      </c>
      <c r="C4261" t="s">
        <v>946</v>
      </c>
      <c r="D4261" t="s">
        <v>1029</v>
      </c>
      <c r="E4261" t="s">
        <v>298</v>
      </c>
      <c r="F4261" t="s">
        <v>948</v>
      </c>
      <c r="G4261">
        <v>1099999</v>
      </c>
      <c r="H4261">
        <v>402082</v>
      </c>
      <c r="I4261" t="s">
        <v>949</v>
      </c>
    </row>
    <row r="4262" spans="1:9" x14ac:dyDescent="0.25">
      <c r="A4262">
        <v>4141</v>
      </c>
      <c r="B4262">
        <v>10</v>
      </c>
      <c r="C4262" t="s">
        <v>946</v>
      </c>
      <c r="D4262" t="s">
        <v>1029</v>
      </c>
      <c r="E4262" t="s">
        <v>980</v>
      </c>
      <c r="F4262" t="s">
        <v>948</v>
      </c>
      <c r="G4262">
        <v>1077777</v>
      </c>
      <c r="H4262">
        <v>501010</v>
      </c>
      <c r="I4262" t="s">
        <v>949</v>
      </c>
    </row>
    <row r="4263" spans="1:9" x14ac:dyDescent="0.25">
      <c r="A4263">
        <v>4220</v>
      </c>
      <c r="B4263">
        <v>10</v>
      </c>
      <c r="C4263" t="s">
        <v>946</v>
      </c>
      <c r="D4263" t="s">
        <v>1029</v>
      </c>
      <c r="E4263" t="s">
        <v>980</v>
      </c>
      <c r="F4263" t="s">
        <v>948</v>
      </c>
      <c r="G4263">
        <v>1077777</v>
      </c>
      <c r="H4263">
        <v>501010</v>
      </c>
      <c r="I4263" t="s">
        <v>949</v>
      </c>
    </row>
    <row r="4264" spans="1:9" x14ac:dyDescent="0.25">
      <c r="A4264">
        <v>4230</v>
      </c>
      <c r="B4264">
        <v>10</v>
      </c>
      <c r="C4264" t="s">
        <v>946</v>
      </c>
      <c r="D4264" t="s">
        <v>1029</v>
      </c>
      <c r="E4264" t="s">
        <v>980</v>
      </c>
      <c r="F4264" t="s">
        <v>948</v>
      </c>
      <c r="G4264">
        <v>1099999</v>
      </c>
      <c r="H4264">
        <v>401912</v>
      </c>
      <c r="I4264" t="s">
        <v>949</v>
      </c>
    </row>
    <row r="4265" spans="1:9" x14ac:dyDescent="0.25">
      <c r="A4265">
        <v>4240</v>
      </c>
      <c r="B4265">
        <v>10</v>
      </c>
      <c r="C4265" t="s">
        <v>946</v>
      </c>
      <c r="D4265" t="s">
        <v>1029</v>
      </c>
      <c r="E4265" t="s">
        <v>980</v>
      </c>
      <c r="F4265" t="s">
        <v>948</v>
      </c>
      <c r="G4265">
        <v>1000000</v>
      </c>
      <c r="H4265">
        <v>141000</v>
      </c>
      <c r="I4265" t="s">
        <v>981</v>
      </c>
    </row>
    <row r="4266" spans="1:9" x14ac:dyDescent="0.25">
      <c r="A4266">
        <v>4141</v>
      </c>
      <c r="B4266">
        <v>10</v>
      </c>
      <c r="C4266" t="s">
        <v>946</v>
      </c>
      <c r="D4266" t="s">
        <v>1029</v>
      </c>
      <c r="E4266" t="s">
        <v>302</v>
      </c>
      <c r="F4266" t="s">
        <v>948</v>
      </c>
      <c r="G4266">
        <v>1077777</v>
      </c>
      <c r="H4266">
        <v>501010</v>
      </c>
      <c r="I4266" t="s">
        <v>949</v>
      </c>
    </row>
    <row r="4267" spans="1:9" x14ac:dyDescent="0.25">
      <c r="A4267">
        <v>4220</v>
      </c>
      <c r="B4267">
        <v>10</v>
      </c>
      <c r="C4267" t="s">
        <v>946</v>
      </c>
      <c r="D4267" t="s">
        <v>1029</v>
      </c>
      <c r="E4267" t="s">
        <v>302</v>
      </c>
      <c r="F4267" t="s">
        <v>948</v>
      </c>
      <c r="G4267">
        <v>1077777</v>
      </c>
      <c r="H4267">
        <v>501010</v>
      </c>
      <c r="I4267" t="s">
        <v>949</v>
      </c>
    </row>
    <row r="4268" spans="1:9" x14ac:dyDescent="0.25">
      <c r="A4268">
        <v>4230</v>
      </c>
      <c r="B4268">
        <v>10</v>
      </c>
      <c r="C4268" t="s">
        <v>946</v>
      </c>
      <c r="D4268" t="s">
        <v>1029</v>
      </c>
      <c r="E4268" t="s">
        <v>302</v>
      </c>
      <c r="F4268" t="s">
        <v>948</v>
      </c>
      <c r="G4268">
        <v>1099999</v>
      </c>
      <c r="H4268">
        <v>401902</v>
      </c>
      <c r="I4268" t="s">
        <v>949</v>
      </c>
    </row>
    <row r="4269" spans="1:9" x14ac:dyDescent="0.25">
      <c r="A4269">
        <v>4240</v>
      </c>
      <c r="B4269">
        <v>10</v>
      </c>
      <c r="C4269" t="s">
        <v>946</v>
      </c>
      <c r="D4269" t="s">
        <v>1029</v>
      </c>
      <c r="E4269" t="s">
        <v>302</v>
      </c>
      <c r="F4269" t="s">
        <v>948</v>
      </c>
      <c r="G4269">
        <v>1000000</v>
      </c>
      <c r="H4269">
        <v>143000</v>
      </c>
      <c r="I4269" t="s">
        <v>982</v>
      </c>
    </row>
    <row r="4270" spans="1:9" x14ac:dyDescent="0.25">
      <c r="A4270">
        <v>4141</v>
      </c>
      <c r="B4270">
        <v>10</v>
      </c>
      <c r="C4270" t="s">
        <v>946</v>
      </c>
      <c r="D4270" t="s">
        <v>1029</v>
      </c>
      <c r="E4270" t="s">
        <v>306</v>
      </c>
      <c r="F4270" t="s">
        <v>948</v>
      </c>
      <c r="G4270">
        <v>1077777</v>
      </c>
      <c r="H4270">
        <v>501010</v>
      </c>
      <c r="I4270" t="s">
        <v>949</v>
      </c>
    </row>
    <row r="4271" spans="1:9" x14ac:dyDescent="0.25">
      <c r="A4271">
        <v>4220</v>
      </c>
      <c r="B4271">
        <v>10</v>
      </c>
      <c r="C4271" t="s">
        <v>946</v>
      </c>
      <c r="D4271" t="s">
        <v>1029</v>
      </c>
      <c r="E4271" t="s">
        <v>306</v>
      </c>
      <c r="F4271" t="s">
        <v>948</v>
      </c>
      <c r="G4271">
        <v>1077777</v>
      </c>
      <c r="H4271">
        <v>501010</v>
      </c>
      <c r="I4271" t="s">
        <v>949</v>
      </c>
    </row>
    <row r="4272" spans="1:9" x14ac:dyDescent="0.25">
      <c r="A4272">
        <v>4230</v>
      </c>
      <c r="B4272">
        <v>10</v>
      </c>
      <c r="C4272" t="s">
        <v>946</v>
      </c>
      <c r="D4272" t="s">
        <v>1029</v>
      </c>
      <c r="E4272" t="s">
        <v>306</v>
      </c>
      <c r="F4272" t="s">
        <v>948</v>
      </c>
      <c r="G4272">
        <v>1099999</v>
      </c>
      <c r="H4272">
        <v>401042</v>
      </c>
      <c r="I4272" t="s">
        <v>949</v>
      </c>
    </row>
    <row r="4273" spans="1:9" x14ac:dyDescent="0.25">
      <c r="A4273">
        <v>4240</v>
      </c>
      <c r="B4273">
        <v>10</v>
      </c>
      <c r="C4273" t="s">
        <v>946</v>
      </c>
      <c r="D4273" t="s">
        <v>1029</v>
      </c>
      <c r="E4273" t="s">
        <v>306</v>
      </c>
      <c r="F4273" t="s">
        <v>948</v>
      </c>
      <c r="G4273">
        <v>1000000</v>
      </c>
      <c r="H4273">
        <v>143000</v>
      </c>
      <c r="I4273" t="s">
        <v>983</v>
      </c>
    </row>
    <row r="4274" spans="1:9" x14ac:dyDescent="0.25">
      <c r="A4274">
        <v>4141</v>
      </c>
      <c r="B4274">
        <v>10</v>
      </c>
      <c r="C4274" t="s">
        <v>946</v>
      </c>
      <c r="D4274" t="s">
        <v>1029</v>
      </c>
      <c r="E4274" t="s">
        <v>108</v>
      </c>
      <c r="F4274" t="s">
        <v>948</v>
      </c>
      <c r="G4274">
        <v>1077777</v>
      </c>
      <c r="H4274">
        <v>500220</v>
      </c>
      <c r="I4274" t="s">
        <v>949</v>
      </c>
    </row>
    <row r="4275" spans="1:9" x14ac:dyDescent="0.25">
      <c r="A4275">
        <v>4220</v>
      </c>
      <c r="B4275">
        <v>10</v>
      </c>
      <c r="C4275" t="s">
        <v>946</v>
      </c>
      <c r="D4275" t="s">
        <v>1029</v>
      </c>
      <c r="E4275" t="s">
        <v>108</v>
      </c>
      <c r="F4275" t="s">
        <v>948</v>
      </c>
      <c r="G4275">
        <v>1077777</v>
      </c>
      <c r="H4275">
        <v>500220</v>
      </c>
      <c r="I4275" t="s">
        <v>949</v>
      </c>
    </row>
    <row r="4276" spans="1:9" x14ac:dyDescent="0.25">
      <c r="A4276">
        <v>4230</v>
      </c>
      <c r="B4276">
        <v>10</v>
      </c>
      <c r="C4276" t="s">
        <v>946</v>
      </c>
      <c r="D4276" t="s">
        <v>1029</v>
      </c>
      <c r="E4276" t="s">
        <v>108</v>
      </c>
      <c r="F4276" t="s">
        <v>948</v>
      </c>
      <c r="G4276">
        <v>1099999</v>
      </c>
      <c r="H4276">
        <v>401042</v>
      </c>
      <c r="I4276" t="s">
        <v>949</v>
      </c>
    </row>
    <row r="4277" spans="1:9" x14ac:dyDescent="0.25">
      <c r="A4277">
        <v>4240</v>
      </c>
      <c r="B4277">
        <v>10</v>
      </c>
      <c r="C4277" t="s">
        <v>946</v>
      </c>
      <c r="D4277" t="s">
        <v>1029</v>
      </c>
      <c r="E4277" t="s">
        <v>108</v>
      </c>
      <c r="F4277" t="s">
        <v>948</v>
      </c>
      <c r="G4277">
        <v>1077777</v>
      </c>
      <c r="H4277">
        <v>500221</v>
      </c>
      <c r="I4277" t="s">
        <v>949</v>
      </c>
    </row>
    <row r="4278" spans="1:9" x14ac:dyDescent="0.25">
      <c r="A4278">
        <v>4141</v>
      </c>
      <c r="B4278">
        <v>10</v>
      </c>
      <c r="C4278" t="s">
        <v>946</v>
      </c>
      <c r="D4278" t="s">
        <v>1029</v>
      </c>
      <c r="E4278" t="s">
        <v>310</v>
      </c>
      <c r="F4278" t="s">
        <v>948</v>
      </c>
      <c r="G4278">
        <v>1077777</v>
      </c>
      <c r="H4278">
        <v>501010</v>
      </c>
      <c r="I4278" t="s">
        <v>949</v>
      </c>
    </row>
    <row r="4279" spans="1:9" x14ac:dyDescent="0.25">
      <c r="A4279">
        <v>4220</v>
      </c>
      <c r="B4279">
        <v>10</v>
      </c>
      <c r="C4279" t="s">
        <v>946</v>
      </c>
      <c r="D4279" t="s">
        <v>1029</v>
      </c>
      <c r="E4279" t="s">
        <v>310</v>
      </c>
      <c r="F4279" t="s">
        <v>948</v>
      </c>
      <c r="G4279">
        <v>1077777</v>
      </c>
      <c r="H4279">
        <v>501010</v>
      </c>
      <c r="I4279" t="s">
        <v>949</v>
      </c>
    </row>
    <row r="4280" spans="1:9" x14ac:dyDescent="0.25">
      <c r="A4280">
        <v>4230</v>
      </c>
      <c r="B4280">
        <v>10</v>
      </c>
      <c r="C4280" t="s">
        <v>946</v>
      </c>
      <c r="D4280" t="s">
        <v>1029</v>
      </c>
      <c r="E4280" t="s">
        <v>310</v>
      </c>
      <c r="F4280" t="s">
        <v>948</v>
      </c>
      <c r="G4280">
        <v>1099999</v>
      </c>
      <c r="H4280">
        <v>401012</v>
      </c>
      <c r="I4280" t="s">
        <v>949</v>
      </c>
    </row>
    <row r="4281" spans="1:9" x14ac:dyDescent="0.25">
      <c r="A4281">
        <v>4240</v>
      </c>
      <c r="B4281">
        <v>10</v>
      </c>
      <c r="C4281" t="s">
        <v>946</v>
      </c>
      <c r="D4281" t="s">
        <v>1029</v>
      </c>
      <c r="E4281" t="s">
        <v>310</v>
      </c>
      <c r="F4281" t="s">
        <v>948</v>
      </c>
      <c r="G4281">
        <v>1000000</v>
      </c>
      <c r="H4281">
        <v>145000</v>
      </c>
      <c r="I4281" t="s">
        <v>949</v>
      </c>
    </row>
    <row r="4282" spans="1:9" x14ac:dyDescent="0.25">
      <c r="A4282">
        <v>4141</v>
      </c>
      <c r="B4282">
        <v>10</v>
      </c>
      <c r="C4282" t="s">
        <v>946</v>
      </c>
      <c r="D4282" t="s">
        <v>1029</v>
      </c>
      <c r="E4282" t="s">
        <v>314</v>
      </c>
      <c r="F4282" t="s">
        <v>948</v>
      </c>
      <c r="G4282">
        <v>1077777</v>
      </c>
      <c r="H4282">
        <v>501010</v>
      </c>
      <c r="I4282" t="s">
        <v>949</v>
      </c>
    </row>
    <row r="4283" spans="1:9" x14ac:dyDescent="0.25">
      <c r="A4283">
        <v>4220</v>
      </c>
      <c r="B4283">
        <v>10</v>
      </c>
      <c r="C4283" t="s">
        <v>946</v>
      </c>
      <c r="D4283" t="s">
        <v>1029</v>
      </c>
      <c r="E4283" t="s">
        <v>314</v>
      </c>
      <c r="F4283" t="s">
        <v>948</v>
      </c>
      <c r="G4283">
        <v>1077777</v>
      </c>
      <c r="H4283">
        <v>501010</v>
      </c>
      <c r="I4283" t="s">
        <v>949</v>
      </c>
    </row>
    <row r="4284" spans="1:9" x14ac:dyDescent="0.25">
      <c r="A4284">
        <v>4230</v>
      </c>
      <c r="B4284">
        <v>10</v>
      </c>
      <c r="C4284" t="s">
        <v>946</v>
      </c>
      <c r="D4284" t="s">
        <v>1029</v>
      </c>
      <c r="E4284" t="s">
        <v>314</v>
      </c>
      <c r="F4284" t="s">
        <v>948</v>
      </c>
      <c r="G4284">
        <v>1099999</v>
      </c>
      <c r="H4284">
        <v>401062</v>
      </c>
      <c r="I4284" t="s">
        <v>949</v>
      </c>
    </row>
    <row r="4285" spans="1:9" x14ac:dyDescent="0.25">
      <c r="A4285">
        <v>4240</v>
      </c>
      <c r="B4285">
        <v>10</v>
      </c>
      <c r="C4285" t="s">
        <v>946</v>
      </c>
      <c r="D4285" t="s">
        <v>1029</v>
      </c>
      <c r="E4285" t="s">
        <v>314</v>
      </c>
      <c r="F4285" t="s">
        <v>948</v>
      </c>
      <c r="G4285">
        <v>1000000</v>
      </c>
      <c r="H4285">
        <v>145000</v>
      </c>
      <c r="I4285" t="s">
        <v>949</v>
      </c>
    </row>
    <row r="4286" spans="1:9" x14ac:dyDescent="0.25">
      <c r="A4286">
        <v>4141</v>
      </c>
      <c r="B4286">
        <v>10</v>
      </c>
      <c r="C4286" t="s">
        <v>946</v>
      </c>
      <c r="D4286" t="s">
        <v>1029</v>
      </c>
      <c r="E4286" t="s">
        <v>113</v>
      </c>
      <c r="F4286" t="s">
        <v>948</v>
      </c>
      <c r="G4286">
        <v>1077777</v>
      </c>
      <c r="H4286">
        <v>500220</v>
      </c>
      <c r="I4286" t="s">
        <v>949</v>
      </c>
    </row>
    <row r="4287" spans="1:9" x14ac:dyDescent="0.25">
      <c r="A4287">
        <v>4220</v>
      </c>
      <c r="B4287">
        <v>10</v>
      </c>
      <c r="C4287" t="s">
        <v>946</v>
      </c>
      <c r="D4287" t="s">
        <v>1029</v>
      </c>
      <c r="E4287" t="s">
        <v>113</v>
      </c>
      <c r="F4287" t="s">
        <v>948</v>
      </c>
      <c r="G4287">
        <v>1077777</v>
      </c>
      <c r="H4287">
        <v>500220</v>
      </c>
      <c r="I4287" t="s">
        <v>949</v>
      </c>
    </row>
    <row r="4288" spans="1:9" x14ac:dyDescent="0.25">
      <c r="A4288">
        <v>4230</v>
      </c>
      <c r="B4288">
        <v>10</v>
      </c>
      <c r="C4288" t="s">
        <v>946</v>
      </c>
      <c r="D4288" t="s">
        <v>1029</v>
      </c>
      <c r="E4288" t="s">
        <v>113</v>
      </c>
      <c r="F4288" t="s">
        <v>948</v>
      </c>
      <c r="G4288">
        <v>1099999</v>
      </c>
      <c r="H4288">
        <v>402082</v>
      </c>
      <c r="I4288" t="s">
        <v>949</v>
      </c>
    </row>
    <row r="4289" spans="1:9" x14ac:dyDescent="0.25">
      <c r="A4289">
        <v>4240</v>
      </c>
      <c r="B4289">
        <v>10</v>
      </c>
      <c r="C4289" t="s">
        <v>946</v>
      </c>
      <c r="D4289" t="s">
        <v>1029</v>
      </c>
      <c r="E4289" t="s">
        <v>113</v>
      </c>
      <c r="F4289" t="s">
        <v>948</v>
      </c>
      <c r="G4289">
        <v>1077777</v>
      </c>
      <c r="H4289">
        <v>500221</v>
      </c>
      <c r="I4289" t="s">
        <v>949</v>
      </c>
    </row>
    <row r="4290" spans="1:9" x14ac:dyDescent="0.25">
      <c r="A4290">
        <v>4141</v>
      </c>
      <c r="B4290">
        <v>10</v>
      </c>
      <c r="C4290" t="s">
        <v>946</v>
      </c>
      <c r="D4290" t="s">
        <v>1029</v>
      </c>
      <c r="E4290" t="s">
        <v>117</v>
      </c>
      <c r="F4290" t="s">
        <v>948</v>
      </c>
      <c r="G4290">
        <v>1077777</v>
      </c>
      <c r="H4290">
        <v>500220</v>
      </c>
      <c r="I4290" t="s">
        <v>949</v>
      </c>
    </row>
    <row r="4291" spans="1:9" x14ac:dyDescent="0.25">
      <c r="A4291">
        <v>4220</v>
      </c>
      <c r="B4291">
        <v>10</v>
      </c>
      <c r="C4291" t="s">
        <v>946</v>
      </c>
      <c r="D4291" t="s">
        <v>1029</v>
      </c>
      <c r="E4291" t="s">
        <v>117</v>
      </c>
      <c r="F4291" t="s">
        <v>948</v>
      </c>
      <c r="G4291">
        <v>1077777</v>
      </c>
      <c r="H4291">
        <v>500220</v>
      </c>
      <c r="I4291" t="s">
        <v>949</v>
      </c>
    </row>
    <row r="4292" spans="1:9" x14ac:dyDescent="0.25">
      <c r="A4292">
        <v>4230</v>
      </c>
      <c r="B4292">
        <v>10</v>
      </c>
      <c r="C4292" t="s">
        <v>946</v>
      </c>
      <c r="D4292" t="s">
        <v>1029</v>
      </c>
      <c r="E4292" t="s">
        <v>117</v>
      </c>
      <c r="F4292" t="s">
        <v>948</v>
      </c>
      <c r="G4292">
        <v>1088888</v>
      </c>
      <c r="H4292">
        <v>810600</v>
      </c>
      <c r="I4292" t="s">
        <v>949</v>
      </c>
    </row>
    <row r="4293" spans="1:9" x14ac:dyDescent="0.25">
      <c r="A4293">
        <v>4240</v>
      </c>
      <c r="B4293">
        <v>10</v>
      </c>
      <c r="C4293" t="s">
        <v>946</v>
      </c>
      <c r="D4293" t="s">
        <v>1029</v>
      </c>
      <c r="E4293" t="s">
        <v>117</v>
      </c>
      <c r="F4293" t="s">
        <v>948</v>
      </c>
      <c r="G4293">
        <v>1077777</v>
      </c>
      <c r="H4293">
        <v>500221</v>
      </c>
      <c r="I4293" t="s">
        <v>949</v>
      </c>
    </row>
    <row r="4294" spans="1:9" x14ac:dyDescent="0.25">
      <c r="A4294">
        <v>4141</v>
      </c>
      <c r="B4294">
        <v>10</v>
      </c>
      <c r="C4294" t="s">
        <v>946</v>
      </c>
      <c r="D4294" t="s">
        <v>1029</v>
      </c>
      <c r="E4294" t="s">
        <v>121</v>
      </c>
      <c r="F4294" t="s">
        <v>948</v>
      </c>
      <c r="G4294">
        <v>1077777</v>
      </c>
      <c r="H4294">
        <v>500220</v>
      </c>
      <c r="I4294" t="s">
        <v>949</v>
      </c>
    </row>
    <row r="4295" spans="1:9" x14ac:dyDescent="0.25">
      <c r="A4295">
        <v>4220</v>
      </c>
      <c r="B4295">
        <v>10</v>
      </c>
      <c r="C4295" t="s">
        <v>946</v>
      </c>
      <c r="D4295" t="s">
        <v>1029</v>
      </c>
      <c r="E4295" t="s">
        <v>121</v>
      </c>
      <c r="F4295" t="s">
        <v>948</v>
      </c>
      <c r="G4295">
        <v>1077777</v>
      </c>
      <c r="H4295">
        <v>500220</v>
      </c>
      <c r="I4295" t="s">
        <v>949</v>
      </c>
    </row>
    <row r="4296" spans="1:9" x14ac:dyDescent="0.25">
      <c r="A4296">
        <v>4230</v>
      </c>
      <c r="B4296">
        <v>10</v>
      </c>
      <c r="C4296" t="s">
        <v>946</v>
      </c>
      <c r="D4296" t="s">
        <v>1029</v>
      </c>
      <c r="E4296" t="s">
        <v>121</v>
      </c>
      <c r="F4296" t="s">
        <v>948</v>
      </c>
      <c r="G4296">
        <v>1099999</v>
      </c>
      <c r="H4296">
        <v>401042</v>
      </c>
      <c r="I4296" t="s">
        <v>949</v>
      </c>
    </row>
    <row r="4297" spans="1:9" x14ac:dyDescent="0.25">
      <c r="A4297">
        <v>4240</v>
      </c>
      <c r="B4297">
        <v>10</v>
      </c>
      <c r="C4297" t="s">
        <v>946</v>
      </c>
      <c r="D4297" t="s">
        <v>1029</v>
      </c>
      <c r="E4297" t="s">
        <v>121</v>
      </c>
      <c r="F4297" t="s">
        <v>948</v>
      </c>
      <c r="G4297">
        <v>1077777</v>
      </c>
      <c r="H4297">
        <v>500221</v>
      </c>
      <c r="I4297" t="s">
        <v>949</v>
      </c>
    </row>
    <row r="4298" spans="1:9" x14ac:dyDescent="0.25">
      <c r="A4298">
        <v>4141</v>
      </c>
      <c r="B4298">
        <v>10</v>
      </c>
      <c r="C4298" t="s">
        <v>946</v>
      </c>
      <c r="D4298" t="s">
        <v>1029</v>
      </c>
      <c r="E4298" t="s">
        <v>984</v>
      </c>
      <c r="F4298" t="s">
        <v>948</v>
      </c>
      <c r="G4298">
        <v>1077777</v>
      </c>
      <c r="H4298">
        <v>501010</v>
      </c>
      <c r="I4298" t="s">
        <v>949</v>
      </c>
    </row>
    <row r="4299" spans="1:9" x14ac:dyDescent="0.25">
      <c r="A4299">
        <v>4220</v>
      </c>
      <c r="B4299">
        <v>10</v>
      </c>
      <c r="C4299" t="s">
        <v>946</v>
      </c>
      <c r="D4299" t="s">
        <v>1029</v>
      </c>
      <c r="E4299" t="s">
        <v>984</v>
      </c>
      <c r="F4299" t="s">
        <v>948</v>
      </c>
      <c r="G4299">
        <v>1077777</v>
      </c>
      <c r="H4299">
        <v>501010</v>
      </c>
      <c r="I4299" t="s">
        <v>949</v>
      </c>
    </row>
    <row r="4300" spans="1:9" x14ac:dyDescent="0.25">
      <c r="A4300">
        <v>4230</v>
      </c>
      <c r="B4300">
        <v>10</v>
      </c>
      <c r="C4300" t="s">
        <v>946</v>
      </c>
      <c r="D4300" t="s">
        <v>1029</v>
      </c>
      <c r="E4300" t="s">
        <v>984</v>
      </c>
      <c r="F4300" t="s">
        <v>948</v>
      </c>
      <c r="G4300">
        <v>1099999</v>
      </c>
      <c r="H4300">
        <v>401912</v>
      </c>
      <c r="I4300" t="s">
        <v>949</v>
      </c>
    </row>
    <row r="4301" spans="1:9" x14ac:dyDescent="0.25">
      <c r="A4301">
        <v>4240</v>
      </c>
      <c r="B4301">
        <v>10</v>
      </c>
      <c r="C4301" t="s">
        <v>946</v>
      </c>
      <c r="D4301" t="s">
        <v>1029</v>
      </c>
      <c r="E4301" t="s">
        <v>984</v>
      </c>
      <c r="F4301" t="s">
        <v>948</v>
      </c>
      <c r="G4301">
        <v>1000000</v>
      </c>
      <c r="H4301">
        <v>141000</v>
      </c>
      <c r="I4301" t="s">
        <v>985</v>
      </c>
    </row>
    <row r="4302" spans="1:9" x14ac:dyDescent="0.25">
      <c r="A4302">
        <v>4141</v>
      </c>
      <c r="B4302">
        <v>10</v>
      </c>
      <c r="C4302" t="s">
        <v>946</v>
      </c>
      <c r="D4302" t="s">
        <v>1030</v>
      </c>
      <c r="E4302" t="s">
        <v>243</v>
      </c>
      <c r="F4302" t="s">
        <v>948</v>
      </c>
      <c r="G4302">
        <v>1077777</v>
      </c>
      <c r="H4302">
        <v>501010</v>
      </c>
      <c r="I4302" t="s">
        <v>949</v>
      </c>
    </row>
    <row r="4303" spans="1:9" x14ac:dyDescent="0.25">
      <c r="A4303">
        <v>4220</v>
      </c>
      <c r="B4303">
        <v>10</v>
      </c>
      <c r="C4303" t="s">
        <v>946</v>
      </c>
      <c r="D4303" t="s">
        <v>1030</v>
      </c>
      <c r="E4303" t="s">
        <v>243</v>
      </c>
      <c r="F4303" t="s">
        <v>948</v>
      </c>
      <c r="G4303">
        <v>1077777</v>
      </c>
      <c r="H4303">
        <v>501010</v>
      </c>
      <c r="I4303" t="s">
        <v>949</v>
      </c>
    </row>
    <row r="4304" spans="1:9" x14ac:dyDescent="0.25">
      <c r="A4304">
        <v>4230</v>
      </c>
      <c r="B4304">
        <v>10</v>
      </c>
      <c r="C4304" t="s">
        <v>946</v>
      </c>
      <c r="D4304" t="s">
        <v>1030</v>
      </c>
      <c r="E4304" t="s">
        <v>243</v>
      </c>
      <c r="F4304" t="s">
        <v>948</v>
      </c>
      <c r="G4304">
        <v>1099999</v>
      </c>
      <c r="H4304">
        <v>401052</v>
      </c>
      <c r="I4304" t="s">
        <v>949</v>
      </c>
    </row>
    <row r="4305" spans="1:9" x14ac:dyDescent="0.25">
      <c r="A4305">
        <v>4240</v>
      </c>
      <c r="B4305">
        <v>10</v>
      </c>
      <c r="C4305" t="s">
        <v>946</v>
      </c>
      <c r="D4305" t="s">
        <v>1030</v>
      </c>
      <c r="E4305" t="s">
        <v>243</v>
      </c>
      <c r="F4305" t="s">
        <v>948</v>
      </c>
      <c r="G4305">
        <v>1000000</v>
      </c>
      <c r="H4305">
        <v>145000</v>
      </c>
      <c r="I4305" t="s">
        <v>949</v>
      </c>
    </row>
    <row r="4306" spans="1:9" x14ac:dyDescent="0.25">
      <c r="A4306">
        <v>4141</v>
      </c>
      <c r="B4306">
        <v>10</v>
      </c>
      <c r="C4306" t="s">
        <v>946</v>
      </c>
      <c r="D4306" t="s">
        <v>1030</v>
      </c>
      <c r="E4306" t="s">
        <v>247</v>
      </c>
      <c r="F4306" t="s">
        <v>948</v>
      </c>
      <c r="G4306">
        <v>1077777</v>
      </c>
      <c r="H4306">
        <v>501010</v>
      </c>
      <c r="I4306" t="s">
        <v>949</v>
      </c>
    </row>
    <row r="4307" spans="1:9" x14ac:dyDescent="0.25">
      <c r="A4307">
        <v>4220</v>
      </c>
      <c r="B4307">
        <v>10</v>
      </c>
      <c r="C4307" t="s">
        <v>946</v>
      </c>
      <c r="D4307" t="s">
        <v>1030</v>
      </c>
      <c r="E4307" t="s">
        <v>247</v>
      </c>
      <c r="F4307" t="s">
        <v>948</v>
      </c>
      <c r="G4307">
        <v>1077777</v>
      </c>
      <c r="H4307">
        <v>501010</v>
      </c>
      <c r="I4307" t="s">
        <v>949</v>
      </c>
    </row>
    <row r="4308" spans="1:9" x14ac:dyDescent="0.25">
      <c r="A4308">
        <v>4230</v>
      </c>
      <c r="B4308">
        <v>10</v>
      </c>
      <c r="C4308" t="s">
        <v>946</v>
      </c>
      <c r="D4308" t="s">
        <v>1030</v>
      </c>
      <c r="E4308" t="s">
        <v>247</v>
      </c>
      <c r="F4308" t="s">
        <v>948</v>
      </c>
      <c r="G4308">
        <v>1099999</v>
      </c>
      <c r="H4308">
        <v>401022</v>
      </c>
      <c r="I4308" t="s">
        <v>949</v>
      </c>
    </row>
    <row r="4309" spans="1:9" x14ac:dyDescent="0.25">
      <c r="A4309">
        <v>4240</v>
      </c>
      <c r="B4309">
        <v>10</v>
      </c>
      <c r="C4309" t="s">
        <v>946</v>
      </c>
      <c r="D4309" t="s">
        <v>1030</v>
      </c>
      <c r="E4309" t="s">
        <v>247</v>
      </c>
      <c r="F4309" t="s">
        <v>948</v>
      </c>
      <c r="G4309">
        <v>1000000</v>
      </c>
      <c r="H4309">
        <v>145000</v>
      </c>
      <c r="I4309" t="s">
        <v>949</v>
      </c>
    </row>
    <row r="4310" spans="1:9" x14ac:dyDescent="0.25">
      <c r="A4310">
        <v>4141</v>
      </c>
      <c r="B4310">
        <v>10</v>
      </c>
      <c r="C4310" t="s">
        <v>946</v>
      </c>
      <c r="D4310" t="s">
        <v>1030</v>
      </c>
      <c r="E4310" t="s">
        <v>251</v>
      </c>
      <c r="F4310" t="s">
        <v>948</v>
      </c>
      <c r="G4310">
        <v>1077777</v>
      </c>
      <c r="H4310">
        <v>501010</v>
      </c>
      <c r="I4310" t="s">
        <v>949</v>
      </c>
    </row>
    <row r="4311" spans="1:9" x14ac:dyDescent="0.25">
      <c r="A4311">
        <v>4220</v>
      </c>
      <c r="B4311">
        <v>10</v>
      </c>
      <c r="C4311" t="s">
        <v>946</v>
      </c>
      <c r="D4311" t="s">
        <v>1030</v>
      </c>
      <c r="E4311" t="s">
        <v>251</v>
      </c>
      <c r="F4311" t="s">
        <v>948</v>
      </c>
      <c r="G4311">
        <v>1077777</v>
      </c>
      <c r="H4311">
        <v>501010</v>
      </c>
      <c r="I4311" t="s">
        <v>949</v>
      </c>
    </row>
    <row r="4312" spans="1:9" x14ac:dyDescent="0.25">
      <c r="A4312">
        <v>4230</v>
      </c>
      <c r="B4312">
        <v>10</v>
      </c>
      <c r="C4312" t="s">
        <v>946</v>
      </c>
      <c r="D4312" t="s">
        <v>1030</v>
      </c>
      <c r="E4312" t="s">
        <v>251</v>
      </c>
      <c r="F4312" t="s">
        <v>948</v>
      </c>
      <c r="G4312">
        <v>1099999</v>
      </c>
      <c r="H4312">
        <v>401042</v>
      </c>
      <c r="I4312" t="s">
        <v>949</v>
      </c>
    </row>
    <row r="4313" spans="1:9" x14ac:dyDescent="0.25">
      <c r="A4313">
        <v>4240</v>
      </c>
      <c r="B4313">
        <v>10</v>
      </c>
      <c r="C4313" t="s">
        <v>946</v>
      </c>
      <c r="D4313" t="s">
        <v>1030</v>
      </c>
      <c r="E4313" t="s">
        <v>251</v>
      </c>
      <c r="F4313" t="s">
        <v>948</v>
      </c>
      <c r="G4313">
        <v>1000000</v>
      </c>
      <c r="H4313">
        <v>142000</v>
      </c>
      <c r="I4313" t="s">
        <v>949</v>
      </c>
    </row>
    <row r="4314" spans="1:9" x14ac:dyDescent="0.25">
      <c r="A4314">
        <v>4141</v>
      </c>
      <c r="B4314">
        <v>10</v>
      </c>
      <c r="C4314" t="s">
        <v>946</v>
      </c>
      <c r="D4314" t="s">
        <v>1030</v>
      </c>
      <c r="E4314" t="s">
        <v>969</v>
      </c>
      <c r="F4314" t="s">
        <v>948</v>
      </c>
      <c r="G4314">
        <v>1077777</v>
      </c>
      <c r="H4314">
        <v>501010</v>
      </c>
      <c r="I4314" t="s">
        <v>949</v>
      </c>
    </row>
    <row r="4315" spans="1:9" x14ac:dyDescent="0.25">
      <c r="A4315">
        <v>4220</v>
      </c>
      <c r="B4315">
        <v>10</v>
      </c>
      <c r="C4315" t="s">
        <v>946</v>
      </c>
      <c r="D4315" t="s">
        <v>1030</v>
      </c>
      <c r="E4315" t="s">
        <v>969</v>
      </c>
      <c r="F4315" t="s">
        <v>948</v>
      </c>
      <c r="G4315">
        <v>1077777</v>
      </c>
      <c r="H4315">
        <v>501010</v>
      </c>
      <c r="I4315" t="s">
        <v>949</v>
      </c>
    </row>
    <row r="4316" spans="1:9" x14ac:dyDescent="0.25">
      <c r="A4316">
        <v>4230</v>
      </c>
      <c r="B4316">
        <v>10</v>
      </c>
      <c r="C4316" t="s">
        <v>946</v>
      </c>
      <c r="D4316" t="s">
        <v>1030</v>
      </c>
      <c r="E4316" t="s">
        <v>969</v>
      </c>
      <c r="F4316" t="s">
        <v>948</v>
      </c>
      <c r="G4316">
        <v>1099999</v>
      </c>
      <c r="H4316">
        <v>401912</v>
      </c>
      <c r="I4316" t="s">
        <v>949</v>
      </c>
    </row>
    <row r="4317" spans="1:9" x14ac:dyDescent="0.25">
      <c r="A4317">
        <v>4240</v>
      </c>
      <c r="B4317">
        <v>10</v>
      </c>
      <c r="C4317" t="s">
        <v>946</v>
      </c>
      <c r="D4317" t="s">
        <v>1030</v>
      </c>
      <c r="E4317" t="s">
        <v>969</v>
      </c>
      <c r="F4317" t="s">
        <v>948</v>
      </c>
      <c r="G4317">
        <v>1000000</v>
      </c>
      <c r="H4317">
        <v>141000</v>
      </c>
      <c r="I4317" t="s">
        <v>970</v>
      </c>
    </row>
    <row r="4318" spans="1:9" x14ac:dyDescent="0.25">
      <c r="A4318">
        <v>4141</v>
      </c>
      <c r="B4318">
        <v>10</v>
      </c>
      <c r="C4318" t="s">
        <v>946</v>
      </c>
      <c r="D4318" t="s">
        <v>1030</v>
      </c>
      <c r="E4318" t="s">
        <v>255</v>
      </c>
      <c r="F4318" t="s">
        <v>948</v>
      </c>
      <c r="G4318">
        <v>1077777</v>
      </c>
      <c r="H4318">
        <v>501010</v>
      </c>
      <c r="I4318" t="s">
        <v>949</v>
      </c>
    </row>
    <row r="4319" spans="1:9" x14ac:dyDescent="0.25">
      <c r="A4319">
        <v>4220</v>
      </c>
      <c r="B4319">
        <v>10</v>
      </c>
      <c r="C4319" t="s">
        <v>946</v>
      </c>
      <c r="D4319" t="s">
        <v>1030</v>
      </c>
      <c r="E4319" t="s">
        <v>255</v>
      </c>
      <c r="F4319" t="s">
        <v>948</v>
      </c>
      <c r="G4319">
        <v>1077777</v>
      </c>
      <c r="H4319">
        <v>501010</v>
      </c>
      <c r="I4319" t="s">
        <v>949</v>
      </c>
    </row>
    <row r="4320" spans="1:9" x14ac:dyDescent="0.25">
      <c r="A4320">
        <v>4230</v>
      </c>
      <c r="B4320">
        <v>10</v>
      </c>
      <c r="C4320" t="s">
        <v>946</v>
      </c>
      <c r="D4320" t="s">
        <v>1030</v>
      </c>
      <c r="E4320" t="s">
        <v>255</v>
      </c>
      <c r="F4320" t="s">
        <v>948</v>
      </c>
      <c r="G4320">
        <v>1099999</v>
      </c>
      <c r="H4320">
        <v>401072</v>
      </c>
      <c r="I4320" t="s">
        <v>949</v>
      </c>
    </row>
    <row r="4321" spans="1:9" x14ac:dyDescent="0.25">
      <c r="A4321">
        <v>4240</v>
      </c>
      <c r="B4321">
        <v>10</v>
      </c>
      <c r="C4321" t="s">
        <v>946</v>
      </c>
      <c r="D4321" t="s">
        <v>1030</v>
      </c>
      <c r="E4321" t="s">
        <v>255</v>
      </c>
      <c r="F4321" t="s">
        <v>948</v>
      </c>
      <c r="G4321">
        <v>1000000</v>
      </c>
      <c r="H4321">
        <v>145000</v>
      </c>
      <c r="I4321" t="s">
        <v>949</v>
      </c>
    </row>
    <row r="4322" spans="1:9" x14ac:dyDescent="0.25">
      <c r="A4322">
        <v>4141</v>
      </c>
      <c r="B4322">
        <v>10</v>
      </c>
      <c r="C4322" t="s">
        <v>946</v>
      </c>
      <c r="D4322" t="s">
        <v>1030</v>
      </c>
      <c r="E4322" t="s">
        <v>971</v>
      </c>
      <c r="F4322" t="s">
        <v>948</v>
      </c>
      <c r="G4322">
        <v>1077777</v>
      </c>
      <c r="H4322">
        <v>501010</v>
      </c>
      <c r="I4322" t="s">
        <v>949</v>
      </c>
    </row>
    <row r="4323" spans="1:9" x14ac:dyDescent="0.25">
      <c r="A4323">
        <v>4220</v>
      </c>
      <c r="B4323">
        <v>10</v>
      </c>
      <c r="C4323" t="s">
        <v>946</v>
      </c>
      <c r="D4323" t="s">
        <v>1030</v>
      </c>
      <c r="E4323" t="s">
        <v>971</v>
      </c>
      <c r="F4323" t="s">
        <v>948</v>
      </c>
      <c r="G4323">
        <v>1077777</v>
      </c>
      <c r="H4323">
        <v>501010</v>
      </c>
      <c r="I4323" t="s">
        <v>949</v>
      </c>
    </row>
    <row r="4324" spans="1:9" x14ac:dyDescent="0.25">
      <c r="A4324">
        <v>4230</v>
      </c>
      <c r="B4324">
        <v>10</v>
      </c>
      <c r="C4324" t="s">
        <v>946</v>
      </c>
      <c r="D4324" t="s">
        <v>1030</v>
      </c>
      <c r="E4324" t="s">
        <v>971</v>
      </c>
      <c r="F4324" t="s">
        <v>948</v>
      </c>
      <c r="G4324">
        <v>1099999</v>
      </c>
      <c r="H4324">
        <v>401912</v>
      </c>
      <c r="I4324" t="s">
        <v>949</v>
      </c>
    </row>
    <row r="4325" spans="1:9" x14ac:dyDescent="0.25">
      <c r="A4325">
        <v>4240</v>
      </c>
      <c r="B4325">
        <v>10</v>
      </c>
      <c r="C4325" t="s">
        <v>946</v>
      </c>
      <c r="D4325" t="s">
        <v>1030</v>
      </c>
      <c r="E4325" t="s">
        <v>971</v>
      </c>
      <c r="F4325" t="s">
        <v>948</v>
      </c>
      <c r="G4325">
        <v>1000000</v>
      </c>
      <c r="H4325">
        <v>141000</v>
      </c>
      <c r="I4325" t="s">
        <v>972</v>
      </c>
    </row>
    <row r="4326" spans="1:9" x14ac:dyDescent="0.25">
      <c r="A4326">
        <v>4230</v>
      </c>
      <c r="B4326">
        <v>10</v>
      </c>
      <c r="C4326" t="s">
        <v>946</v>
      </c>
      <c r="D4326" t="s">
        <v>1030</v>
      </c>
      <c r="E4326" t="s">
        <v>259</v>
      </c>
      <c r="F4326" t="s">
        <v>948</v>
      </c>
      <c r="G4326">
        <v>1099999</v>
      </c>
      <c r="H4326">
        <v>409002</v>
      </c>
      <c r="I4326" t="s">
        <v>949</v>
      </c>
    </row>
    <row r="4327" spans="1:9" x14ac:dyDescent="0.25">
      <c r="A4327">
        <v>4141</v>
      </c>
      <c r="B4327">
        <v>10</v>
      </c>
      <c r="C4327" t="s">
        <v>946</v>
      </c>
      <c r="D4327" t="s">
        <v>1030</v>
      </c>
      <c r="E4327" t="s">
        <v>263</v>
      </c>
      <c r="F4327" t="s">
        <v>948</v>
      </c>
      <c r="G4327">
        <v>1077777</v>
      </c>
      <c r="H4327">
        <v>501010</v>
      </c>
      <c r="I4327" t="s">
        <v>949</v>
      </c>
    </row>
    <row r="4328" spans="1:9" x14ac:dyDescent="0.25">
      <c r="A4328">
        <v>4220</v>
      </c>
      <c r="B4328">
        <v>10</v>
      </c>
      <c r="C4328" t="s">
        <v>946</v>
      </c>
      <c r="D4328" t="s">
        <v>1030</v>
      </c>
      <c r="E4328" t="s">
        <v>263</v>
      </c>
      <c r="F4328" t="s">
        <v>948</v>
      </c>
      <c r="G4328">
        <v>1077777</v>
      </c>
      <c r="H4328">
        <v>501010</v>
      </c>
      <c r="I4328" t="s">
        <v>949</v>
      </c>
    </row>
    <row r="4329" spans="1:9" x14ac:dyDescent="0.25">
      <c r="A4329">
        <v>4230</v>
      </c>
      <c r="B4329">
        <v>10</v>
      </c>
      <c r="C4329" t="s">
        <v>946</v>
      </c>
      <c r="D4329" t="s">
        <v>1030</v>
      </c>
      <c r="E4329" t="s">
        <v>263</v>
      </c>
      <c r="F4329" t="s">
        <v>948</v>
      </c>
      <c r="G4329">
        <v>1099999</v>
      </c>
      <c r="H4329">
        <v>401042</v>
      </c>
      <c r="I4329" t="s">
        <v>949</v>
      </c>
    </row>
    <row r="4330" spans="1:9" x14ac:dyDescent="0.25">
      <c r="A4330">
        <v>4240</v>
      </c>
      <c r="B4330">
        <v>10</v>
      </c>
      <c r="C4330" t="s">
        <v>946</v>
      </c>
      <c r="D4330" t="s">
        <v>1030</v>
      </c>
      <c r="E4330" t="s">
        <v>263</v>
      </c>
      <c r="F4330" t="s">
        <v>948</v>
      </c>
      <c r="G4330">
        <v>1000000</v>
      </c>
      <c r="H4330">
        <v>145000</v>
      </c>
      <c r="I4330" t="s">
        <v>949</v>
      </c>
    </row>
    <row r="4331" spans="1:9" x14ac:dyDescent="0.25">
      <c r="A4331">
        <v>4141</v>
      </c>
      <c r="B4331">
        <v>10</v>
      </c>
      <c r="C4331" t="s">
        <v>946</v>
      </c>
      <c r="D4331" t="s">
        <v>1030</v>
      </c>
      <c r="E4331" t="s">
        <v>100</v>
      </c>
      <c r="F4331" t="s">
        <v>948</v>
      </c>
      <c r="G4331">
        <v>1077777</v>
      </c>
      <c r="H4331">
        <v>500220</v>
      </c>
      <c r="I4331" t="s">
        <v>949</v>
      </c>
    </row>
    <row r="4332" spans="1:9" x14ac:dyDescent="0.25">
      <c r="A4332">
        <v>4220</v>
      </c>
      <c r="B4332">
        <v>10</v>
      </c>
      <c r="C4332" t="s">
        <v>946</v>
      </c>
      <c r="D4332" t="s">
        <v>1030</v>
      </c>
      <c r="E4332" t="s">
        <v>100</v>
      </c>
      <c r="F4332" t="s">
        <v>948</v>
      </c>
      <c r="G4332">
        <v>1077777</v>
      </c>
      <c r="H4332">
        <v>500220</v>
      </c>
      <c r="I4332" t="s">
        <v>949</v>
      </c>
    </row>
    <row r="4333" spans="1:9" x14ac:dyDescent="0.25">
      <c r="A4333">
        <v>4230</v>
      </c>
      <c r="B4333">
        <v>10</v>
      </c>
      <c r="C4333" t="s">
        <v>946</v>
      </c>
      <c r="D4333" t="s">
        <v>1030</v>
      </c>
      <c r="E4333" t="s">
        <v>100</v>
      </c>
      <c r="F4333" t="s">
        <v>948</v>
      </c>
      <c r="G4333">
        <v>1099999</v>
      </c>
      <c r="H4333">
        <v>401042</v>
      </c>
      <c r="I4333" t="s">
        <v>949</v>
      </c>
    </row>
    <row r="4334" spans="1:9" x14ac:dyDescent="0.25">
      <c r="A4334">
        <v>4240</v>
      </c>
      <c r="B4334">
        <v>10</v>
      </c>
      <c r="C4334" t="s">
        <v>946</v>
      </c>
      <c r="D4334" t="s">
        <v>1030</v>
      </c>
      <c r="E4334" t="s">
        <v>100</v>
      </c>
      <c r="F4334" t="s">
        <v>948</v>
      </c>
      <c r="G4334">
        <v>1077777</v>
      </c>
      <c r="H4334">
        <v>500221</v>
      </c>
      <c r="I4334" t="s">
        <v>949</v>
      </c>
    </row>
    <row r="4335" spans="1:9" x14ac:dyDescent="0.25">
      <c r="A4335">
        <v>4141</v>
      </c>
      <c r="B4335">
        <v>10</v>
      </c>
      <c r="C4335" t="s">
        <v>946</v>
      </c>
      <c r="D4335" t="s">
        <v>1030</v>
      </c>
      <c r="E4335" t="s">
        <v>270</v>
      </c>
      <c r="F4335" t="s">
        <v>948</v>
      </c>
      <c r="G4335">
        <v>1077777</v>
      </c>
      <c r="H4335">
        <v>501010</v>
      </c>
      <c r="I4335" t="s">
        <v>949</v>
      </c>
    </row>
    <row r="4336" spans="1:9" x14ac:dyDescent="0.25">
      <c r="A4336">
        <v>4220</v>
      </c>
      <c r="B4336">
        <v>10</v>
      </c>
      <c r="C4336" t="s">
        <v>946</v>
      </c>
      <c r="D4336" t="s">
        <v>1030</v>
      </c>
      <c r="E4336" t="s">
        <v>270</v>
      </c>
      <c r="F4336" t="s">
        <v>948</v>
      </c>
      <c r="G4336">
        <v>1077777</v>
      </c>
      <c r="H4336">
        <v>501010</v>
      </c>
      <c r="I4336" t="s">
        <v>949</v>
      </c>
    </row>
    <row r="4337" spans="1:9" x14ac:dyDescent="0.25">
      <c r="A4337">
        <v>4230</v>
      </c>
      <c r="B4337">
        <v>10</v>
      </c>
      <c r="C4337" t="s">
        <v>946</v>
      </c>
      <c r="D4337" t="s">
        <v>1030</v>
      </c>
      <c r="E4337" t="s">
        <v>270</v>
      </c>
      <c r="F4337" t="s">
        <v>948</v>
      </c>
      <c r="G4337">
        <v>1099999</v>
      </c>
      <c r="H4337">
        <v>401062</v>
      </c>
      <c r="I4337" t="s">
        <v>949</v>
      </c>
    </row>
    <row r="4338" spans="1:9" x14ac:dyDescent="0.25">
      <c r="A4338">
        <v>4240</v>
      </c>
      <c r="B4338">
        <v>10</v>
      </c>
      <c r="C4338" t="s">
        <v>946</v>
      </c>
      <c r="D4338" t="s">
        <v>1030</v>
      </c>
      <c r="E4338" t="s">
        <v>270</v>
      </c>
      <c r="F4338" t="s">
        <v>948</v>
      </c>
      <c r="G4338">
        <v>1000000</v>
      </c>
      <c r="H4338">
        <v>145000</v>
      </c>
      <c r="I4338" t="s">
        <v>949</v>
      </c>
    </row>
    <row r="4339" spans="1:9" x14ac:dyDescent="0.25">
      <c r="A4339">
        <v>4141</v>
      </c>
      <c r="B4339">
        <v>10</v>
      </c>
      <c r="C4339" t="s">
        <v>946</v>
      </c>
      <c r="D4339" t="s">
        <v>1030</v>
      </c>
      <c r="E4339" t="s">
        <v>274</v>
      </c>
      <c r="F4339" t="s">
        <v>948</v>
      </c>
      <c r="G4339">
        <v>1077777</v>
      </c>
      <c r="H4339">
        <v>501010</v>
      </c>
      <c r="I4339" t="s">
        <v>949</v>
      </c>
    </row>
    <row r="4340" spans="1:9" x14ac:dyDescent="0.25">
      <c r="A4340">
        <v>4220</v>
      </c>
      <c r="B4340">
        <v>10</v>
      </c>
      <c r="C4340" t="s">
        <v>946</v>
      </c>
      <c r="D4340" t="s">
        <v>1030</v>
      </c>
      <c r="E4340" t="s">
        <v>274</v>
      </c>
      <c r="F4340" t="s">
        <v>948</v>
      </c>
      <c r="G4340">
        <v>1077777</v>
      </c>
      <c r="H4340">
        <v>501010</v>
      </c>
      <c r="I4340" t="s">
        <v>949</v>
      </c>
    </row>
    <row r="4341" spans="1:9" x14ac:dyDescent="0.25">
      <c r="A4341">
        <v>4230</v>
      </c>
      <c r="B4341">
        <v>10</v>
      </c>
      <c r="C4341" t="s">
        <v>946</v>
      </c>
      <c r="D4341" t="s">
        <v>1030</v>
      </c>
      <c r="E4341" t="s">
        <v>274</v>
      </c>
      <c r="F4341" t="s">
        <v>948</v>
      </c>
      <c r="G4341">
        <v>1099999</v>
      </c>
      <c r="H4341">
        <v>401042</v>
      </c>
      <c r="I4341" t="s">
        <v>949</v>
      </c>
    </row>
    <row r="4342" spans="1:9" x14ac:dyDescent="0.25">
      <c r="A4342">
        <v>4240</v>
      </c>
      <c r="B4342">
        <v>10</v>
      </c>
      <c r="C4342" t="s">
        <v>946</v>
      </c>
      <c r="D4342" t="s">
        <v>1030</v>
      </c>
      <c r="E4342" t="s">
        <v>274</v>
      </c>
      <c r="F4342" t="s">
        <v>948</v>
      </c>
      <c r="G4342">
        <v>1000000</v>
      </c>
      <c r="H4342">
        <v>143000</v>
      </c>
      <c r="I4342" t="s">
        <v>973</v>
      </c>
    </row>
    <row r="4343" spans="1:9" x14ac:dyDescent="0.25">
      <c r="A4343">
        <v>4141</v>
      </c>
      <c r="B4343">
        <v>10</v>
      </c>
      <c r="C4343" t="s">
        <v>946</v>
      </c>
      <c r="D4343" t="s">
        <v>1030</v>
      </c>
      <c r="E4343" t="s">
        <v>974</v>
      </c>
      <c r="F4343" t="s">
        <v>948</v>
      </c>
      <c r="G4343">
        <v>1077777</v>
      </c>
      <c r="H4343">
        <v>501010</v>
      </c>
      <c r="I4343" t="s">
        <v>949</v>
      </c>
    </row>
    <row r="4344" spans="1:9" x14ac:dyDescent="0.25">
      <c r="A4344">
        <v>4220</v>
      </c>
      <c r="B4344">
        <v>10</v>
      </c>
      <c r="C4344" t="s">
        <v>946</v>
      </c>
      <c r="D4344" t="s">
        <v>1030</v>
      </c>
      <c r="E4344" t="s">
        <v>974</v>
      </c>
      <c r="F4344" t="s">
        <v>948</v>
      </c>
      <c r="G4344">
        <v>1077777</v>
      </c>
      <c r="H4344">
        <v>501010</v>
      </c>
      <c r="I4344" t="s">
        <v>949</v>
      </c>
    </row>
    <row r="4345" spans="1:9" x14ac:dyDescent="0.25">
      <c r="A4345">
        <v>4230</v>
      </c>
      <c r="B4345">
        <v>10</v>
      </c>
      <c r="C4345" t="s">
        <v>946</v>
      </c>
      <c r="D4345" t="s">
        <v>1030</v>
      </c>
      <c r="E4345" t="s">
        <v>974</v>
      </c>
      <c r="F4345" t="s">
        <v>948</v>
      </c>
      <c r="G4345">
        <v>1099999</v>
      </c>
      <c r="H4345">
        <v>401912</v>
      </c>
      <c r="I4345" t="s">
        <v>949</v>
      </c>
    </row>
    <row r="4346" spans="1:9" x14ac:dyDescent="0.25">
      <c r="A4346">
        <v>4240</v>
      </c>
      <c r="B4346">
        <v>10</v>
      </c>
      <c r="C4346" t="s">
        <v>946</v>
      </c>
      <c r="D4346" t="s">
        <v>1030</v>
      </c>
      <c r="E4346" t="s">
        <v>974</v>
      </c>
      <c r="F4346" t="s">
        <v>948</v>
      </c>
      <c r="G4346">
        <v>1000000</v>
      </c>
      <c r="H4346">
        <v>141000</v>
      </c>
      <c r="I4346" t="s">
        <v>975</v>
      </c>
    </row>
    <row r="4347" spans="1:9" x14ac:dyDescent="0.25">
      <c r="A4347">
        <v>4141</v>
      </c>
      <c r="B4347">
        <v>10</v>
      </c>
      <c r="C4347" t="s">
        <v>946</v>
      </c>
      <c r="D4347" t="s">
        <v>1030</v>
      </c>
      <c r="E4347" t="s">
        <v>104</v>
      </c>
      <c r="F4347" t="s">
        <v>948</v>
      </c>
      <c r="G4347">
        <v>1077777</v>
      </c>
      <c r="H4347">
        <v>500220</v>
      </c>
      <c r="I4347" t="s">
        <v>949</v>
      </c>
    </row>
    <row r="4348" spans="1:9" x14ac:dyDescent="0.25">
      <c r="A4348">
        <v>4220</v>
      </c>
      <c r="B4348">
        <v>10</v>
      </c>
      <c r="C4348" t="s">
        <v>946</v>
      </c>
      <c r="D4348" t="s">
        <v>1030</v>
      </c>
      <c r="E4348" t="s">
        <v>104</v>
      </c>
      <c r="F4348" t="s">
        <v>948</v>
      </c>
      <c r="G4348">
        <v>1077777</v>
      </c>
      <c r="H4348">
        <v>500220</v>
      </c>
      <c r="I4348" t="s">
        <v>949</v>
      </c>
    </row>
    <row r="4349" spans="1:9" x14ac:dyDescent="0.25">
      <c r="A4349">
        <v>4230</v>
      </c>
      <c r="B4349">
        <v>10</v>
      </c>
      <c r="C4349" t="s">
        <v>946</v>
      </c>
      <c r="D4349" t="s">
        <v>1030</v>
      </c>
      <c r="E4349" t="s">
        <v>104</v>
      </c>
      <c r="F4349" t="s">
        <v>948</v>
      </c>
      <c r="G4349">
        <v>1099999</v>
      </c>
      <c r="H4349">
        <v>401042</v>
      </c>
      <c r="I4349" t="s">
        <v>949</v>
      </c>
    </row>
    <row r="4350" spans="1:9" x14ac:dyDescent="0.25">
      <c r="A4350">
        <v>4240</v>
      </c>
      <c r="B4350">
        <v>10</v>
      </c>
      <c r="C4350" t="s">
        <v>946</v>
      </c>
      <c r="D4350" t="s">
        <v>1030</v>
      </c>
      <c r="E4350" t="s">
        <v>104</v>
      </c>
      <c r="F4350" t="s">
        <v>948</v>
      </c>
      <c r="G4350">
        <v>1077777</v>
      </c>
      <c r="H4350">
        <v>500221</v>
      </c>
      <c r="I4350" t="s">
        <v>949</v>
      </c>
    </row>
    <row r="4351" spans="1:9" x14ac:dyDescent="0.25">
      <c r="A4351">
        <v>4141</v>
      </c>
      <c r="B4351">
        <v>10</v>
      </c>
      <c r="C4351" t="s">
        <v>946</v>
      </c>
      <c r="D4351" t="s">
        <v>1030</v>
      </c>
      <c r="E4351" t="s">
        <v>278</v>
      </c>
      <c r="F4351" t="s">
        <v>948</v>
      </c>
      <c r="G4351">
        <v>1077777</v>
      </c>
      <c r="H4351">
        <v>501010</v>
      </c>
      <c r="I4351" t="s">
        <v>949</v>
      </c>
    </row>
    <row r="4352" spans="1:9" x14ac:dyDescent="0.25">
      <c r="A4352">
        <v>4220</v>
      </c>
      <c r="B4352">
        <v>10</v>
      </c>
      <c r="C4352" t="s">
        <v>946</v>
      </c>
      <c r="D4352" t="s">
        <v>1030</v>
      </c>
      <c r="E4352" t="s">
        <v>278</v>
      </c>
      <c r="F4352" t="s">
        <v>948</v>
      </c>
      <c r="G4352">
        <v>1077777</v>
      </c>
      <c r="H4352">
        <v>501010</v>
      </c>
      <c r="I4352" t="s">
        <v>949</v>
      </c>
    </row>
    <row r="4353" spans="1:9" x14ac:dyDescent="0.25">
      <c r="A4353">
        <v>4230</v>
      </c>
      <c r="B4353">
        <v>10</v>
      </c>
      <c r="C4353" t="s">
        <v>946</v>
      </c>
      <c r="D4353" t="s">
        <v>1030</v>
      </c>
      <c r="E4353" t="s">
        <v>278</v>
      </c>
      <c r="F4353" t="s">
        <v>948</v>
      </c>
      <c r="G4353">
        <v>1099999</v>
      </c>
      <c r="H4353">
        <v>401052</v>
      </c>
      <c r="I4353" t="s">
        <v>949</v>
      </c>
    </row>
    <row r="4354" spans="1:9" x14ac:dyDescent="0.25">
      <c r="A4354">
        <v>4240</v>
      </c>
      <c r="B4354">
        <v>10</v>
      </c>
      <c r="C4354" t="s">
        <v>946</v>
      </c>
      <c r="D4354" t="s">
        <v>1030</v>
      </c>
      <c r="E4354" t="s">
        <v>278</v>
      </c>
      <c r="F4354" t="s">
        <v>948</v>
      </c>
      <c r="G4354">
        <v>1000000</v>
      </c>
      <c r="H4354">
        <v>145000</v>
      </c>
      <c r="I4354" t="s">
        <v>949</v>
      </c>
    </row>
    <row r="4355" spans="1:9" x14ac:dyDescent="0.25">
      <c r="A4355">
        <v>4141</v>
      </c>
      <c r="B4355">
        <v>10</v>
      </c>
      <c r="C4355" t="s">
        <v>946</v>
      </c>
      <c r="D4355" t="s">
        <v>1030</v>
      </c>
      <c r="E4355" t="s">
        <v>282</v>
      </c>
      <c r="F4355" t="s">
        <v>948</v>
      </c>
      <c r="G4355">
        <v>1077777</v>
      </c>
      <c r="H4355">
        <v>501010</v>
      </c>
      <c r="I4355" t="s">
        <v>949</v>
      </c>
    </row>
    <row r="4356" spans="1:9" x14ac:dyDescent="0.25">
      <c r="A4356">
        <v>4220</v>
      </c>
      <c r="B4356">
        <v>10</v>
      </c>
      <c r="C4356" t="s">
        <v>946</v>
      </c>
      <c r="D4356" t="s">
        <v>1030</v>
      </c>
      <c r="E4356" t="s">
        <v>282</v>
      </c>
      <c r="F4356" t="s">
        <v>948</v>
      </c>
      <c r="G4356">
        <v>1077777</v>
      </c>
      <c r="H4356">
        <v>501010</v>
      </c>
      <c r="I4356" t="s">
        <v>949</v>
      </c>
    </row>
    <row r="4357" spans="1:9" x14ac:dyDescent="0.25">
      <c r="A4357">
        <v>4230</v>
      </c>
      <c r="B4357">
        <v>10</v>
      </c>
      <c r="C4357" t="s">
        <v>946</v>
      </c>
      <c r="D4357" t="s">
        <v>1030</v>
      </c>
      <c r="E4357" t="s">
        <v>282</v>
      </c>
      <c r="F4357" t="s">
        <v>948</v>
      </c>
      <c r="G4357">
        <v>1099999</v>
      </c>
      <c r="H4357">
        <v>401042</v>
      </c>
      <c r="I4357" t="s">
        <v>949</v>
      </c>
    </row>
    <row r="4358" spans="1:9" x14ac:dyDescent="0.25">
      <c r="A4358">
        <v>4240</v>
      </c>
      <c r="B4358">
        <v>10</v>
      </c>
      <c r="C4358" t="s">
        <v>946</v>
      </c>
      <c r="D4358" t="s">
        <v>1030</v>
      </c>
      <c r="E4358" t="s">
        <v>282</v>
      </c>
      <c r="F4358" t="s">
        <v>948</v>
      </c>
      <c r="G4358">
        <v>1000000</v>
      </c>
      <c r="H4358">
        <v>143100</v>
      </c>
      <c r="I4358" t="s">
        <v>949</v>
      </c>
    </row>
    <row r="4359" spans="1:9" x14ac:dyDescent="0.25">
      <c r="A4359">
        <v>4141</v>
      </c>
      <c r="B4359">
        <v>10</v>
      </c>
      <c r="C4359" t="s">
        <v>946</v>
      </c>
      <c r="D4359" t="s">
        <v>1030</v>
      </c>
      <c r="E4359" t="s">
        <v>286</v>
      </c>
      <c r="F4359" t="s">
        <v>948</v>
      </c>
      <c r="G4359">
        <v>1077777</v>
      </c>
      <c r="H4359">
        <v>501010</v>
      </c>
      <c r="I4359" t="s">
        <v>949</v>
      </c>
    </row>
    <row r="4360" spans="1:9" x14ac:dyDescent="0.25">
      <c r="A4360">
        <v>4220</v>
      </c>
      <c r="B4360">
        <v>10</v>
      </c>
      <c r="C4360" t="s">
        <v>946</v>
      </c>
      <c r="D4360" t="s">
        <v>1030</v>
      </c>
      <c r="E4360" t="s">
        <v>286</v>
      </c>
      <c r="F4360" t="s">
        <v>948</v>
      </c>
      <c r="G4360">
        <v>1077777</v>
      </c>
      <c r="H4360">
        <v>501010</v>
      </c>
      <c r="I4360" t="s">
        <v>949</v>
      </c>
    </row>
    <row r="4361" spans="1:9" x14ac:dyDescent="0.25">
      <c r="A4361">
        <v>4230</v>
      </c>
      <c r="B4361">
        <v>10</v>
      </c>
      <c r="C4361" t="s">
        <v>946</v>
      </c>
      <c r="D4361" t="s">
        <v>1030</v>
      </c>
      <c r="E4361" t="s">
        <v>286</v>
      </c>
      <c r="F4361" t="s">
        <v>948</v>
      </c>
      <c r="G4361">
        <v>1099999</v>
      </c>
      <c r="H4361">
        <v>401032</v>
      </c>
      <c r="I4361" t="s">
        <v>949</v>
      </c>
    </row>
    <row r="4362" spans="1:9" x14ac:dyDescent="0.25">
      <c r="A4362">
        <v>4240</v>
      </c>
      <c r="B4362">
        <v>10</v>
      </c>
      <c r="C4362" t="s">
        <v>946</v>
      </c>
      <c r="D4362" t="s">
        <v>1030</v>
      </c>
      <c r="E4362" t="s">
        <v>286</v>
      </c>
      <c r="F4362" t="s">
        <v>948</v>
      </c>
      <c r="G4362">
        <v>1000000</v>
      </c>
      <c r="H4362">
        <v>145000</v>
      </c>
      <c r="I4362" t="s">
        <v>949</v>
      </c>
    </row>
    <row r="4363" spans="1:9" x14ac:dyDescent="0.25">
      <c r="A4363">
        <v>4141</v>
      </c>
      <c r="B4363">
        <v>10</v>
      </c>
      <c r="C4363" t="s">
        <v>946</v>
      </c>
      <c r="D4363" t="s">
        <v>1030</v>
      </c>
      <c r="E4363" t="s">
        <v>976</v>
      </c>
      <c r="F4363" t="s">
        <v>948</v>
      </c>
      <c r="G4363">
        <v>1077777</v>
      </c>
      <c r="H4363">
        <v>501010</v>
      </c>
      <c r="I4363" t="s">
        <v>949</v>
      </c>
    </row>
    <row r="4364" spans="1:9" x14ac:dyDescent="0.25">
      <c r="A4364">
        <v>4220</v>
      </c>
      <c r="B4364">
        <v>10</v>
      </c>
      <c r="C4364" t="s">
        <v>946</v>
      </c>
      <c r="D4364" t="s">
        <v>1030</v>
      </c>
      <c r="E4364" t="s">
        <v>976</v>
      </c>
      <c r="F4364" t="s">
        <v>948</v>
      </c>
      <c r="G4364">
        <v>1077777</v>
      </c>
      <c r="H4364">
        <v>501010</v>
      </c>
      <c r="I4364" t="s">
        <v>949</v>
      </c>
    </row>
    <row r="4365" spans="1:9" x14ac:dyDescent="0.25">
      <c r="A4365">
        <v>4230</v>
      </c>
      <c r="B4365">
        <v>10</v>
      </c>
      <c r="C4365" t="s">
        <v>946</v>
      </c>
      <c r="D4365" t="s">
        <v>1030</v>
      </c>
      <c r="E4365" t="s">
        <v>976</v>
      </c>
      <c r="F4365" t="s">
        <v>948</v>
      </c>
      <c r="G4365">
        <v>1099999</v>
      </c>
      <c r="H4365">
        <v>401912</v>
      </c>
      <c r="I4365" t="s">
        <v>949</v>
      </c>
    </row>
    <row r="4366" spans="1:9" x14ac:dyDescent="0.25">
      <c r="A4366">
        <v>4240</v>
      </c>
      <c r="B4366">
        <v>10</v>
      </c>
      <c r="C4366" t="s">
        <v>946</v>
      </c>
      <c r="D4366" t="s">
        <v>1030</v>
      </c>
      <c r="E4366" t="s">
        <v>976</v>
      </c>
      <c r="F4366" t="s">
        <v>948</v>
      </c>
      <c r="G4366">
        <v>1000000</v>
      </c>
      <c r="H4366">
        <v>141000</v>
      </c>
      <c r="I4366" t="s">
        <v>977</v>
      </c>
    </row>
    <row r="4367" spans="1:9" x14ac:dyDescent="0.25">
      <c r="A4367">
        <v>4141</v>
      </c>
      <c r="B4367">
        <v>10</v>
      </c>
      <c r="C4367" t="s">
        <v>946</v>
      </c>
      <c r="D4367" t="s">
        <v>1030</v>
      </c>
      <c r="E4367" t="s">
        <v>290</v>
      </c>
      <c r="F4367" t="s">
        <v>948</v>
      </c>
      <c r="G4367">
        <v>1077777</v>
      </c>
      <c r="H4367">
        <v>501010</v>
      </c>
      <c r="I4367" t="s">
        <v>949</v>
      </c>
    </row>
    <row r="4368" spans="1:9" x14ac:dyDescent="0.25">
      <c r="A4368">
        <v>4220</v>
      </c>
      <c r="B4368">
        <v>10</v>
      </c>
      <c r="C4368" t="s">
        <v>946</v>
      </c>
      <c r="D4368" t="s">
        <v>1030</v>
      </c>
      <c r="E4368" t="s">
        <v>290</v>
      </c>
      <c r="F4368" t="s">
        <v>948</v>
      </c>
      <c r="G4368">
        <v>1077777</v>
      </c>
      <c r="H4368">
        <v>501010</v>
      </c>
      <c r="I4368" t="s">
        <v>949</v>
      </c>
    </row>
    <row r="4369" spans="1:9" x14ac:dyDescent="0.25">
      <c r="A4369">
        <v>4230</v>
      </c>
      <c r="B4369">
        <v>10</v>
      </c>
      <c r="C4369" t="s">
        <v>946</v>
      </c>
      <c r="D4369" t="s">
        <v>1030</v>
      </c>
      <c r="E4369" t="s">
        <v>290</v>
      </c>
      <c r="F4369" t="s">
        <v>948</v>
      </c>
      <c r="G4369">
        <v>1099999</v>
      </c>
      <c r="H4369">
        <v>401042</v>
      </c>
      <c r="I4369" t="s">
        <v>949</v>
      </c>
    </row>
    <row r="4370" spans="1:9" x14ac:dyDescent="0.25">
      <c r="A4370">
        <v>4240</v>
      </c>
      <c r="B4370">
        <v>10</v>
      </c>
      <c r="C4370" t="s">
        <v>946</v>
      </c>
      <c r="D4370" t="s">
        <v>1030</v>
      </c>
      <c r="E4370" t="s">
        <v>290</v>
      </c>
      <c r="F4370" t="s">
        <v>948</v>
      </c>
      <c r="G4370">
        <v>1000000</v>
      </c>
      <c r="H4370">
        <v>143000</v>
      </c>
      <c r="I4370" t="s">
        <v>978</v>
      </c>
    </row>
    <row r="4371" spans="1:9" x14ac:dyDescent="0.25">
      <c r="A4371">
        <v>4141</v>
      </c>
      <c r="B4371">
        <v>10</v>
      </c>
      <c r="C4371" t="s">
        <v>946</v>
      </c>
      <c r="D4371" t="s">
        <v>1030</v>
      </c>
      <c r="E4371" t="s">
        <v>294</v>
      </c>
      <c r="F4371" t="s">
        <v>948</v>
      </c>
      <c r="G4371">
        <v>1077777</v>
      </c>
      <c r="H4371">
        <v>501010</v>
      </c>
      <c r="I4371" t="s">
        <v>949</v>
      </c>
    </row>
    <row r="4372" spans="1:9" x14ac:dyDescent="0.25">
      <c r="A4372">
        <v>4220</v>
      </c>
      <c r="B4372">
        <v>10</v>
      </c>
      <c r="C4372" t="s">
        <v>946</v>
      </c>
      <c r="D4372" t="s">
        <v>1030</v>
      </c>
      <c r="E4372" t="s">
        <v>294</v>
      </c>
      <c r="F4372" t="s">
        <v>948</v>
      </c>
      <c r="G4372">
        <v>1077777</v>
      </c>
      <c r="H4372">
        <v>501010</v>
      </c>
      <c r="I4372" t="s">
        <v>949</v>
      </c>
    </row>
    <row r="4373" spans="1:9" x14ac:dyDescent="0.25">
      <c r="A4373">
        <v>4230</v>
      </c>
      <c r="B4373">
        <v>10</v>
      </c>
      <c r="C4373" t="s">
        <v>946</v>
      </c>
      <c r="D4373" t="s">
        <v>1030</v>
      </c>
      <c r="E4373" t="s">
        <v>294</v>
      </c>
      <c r="F4373" t="s">
        <v>948</v>
      </c>
      <c r="G4373">
        <v>1099999</v>
      </c>
      <c r="H4373">
        <v>401042</v>
      </c>
      <c r="I4373" t="s">
        <v>949</v>
      </c>
    </row>
    <row r="4374" spans="1:9" x14ac:dyDescent="0.25">
      <c r="A4374">
        <v>4240</v>
      </c>
      <c r="B4374">
        <v>10</v>
      </c>
      <c r="C4374" t="s">
        <v>946</v>
      </c>
      <c r="D4374" t="s">
        <v>1030</v>
      </c>
      <c r="E4374" t="s">
        <v>294</v>
      </c>
      <c r="F4374" t="s">
        <v>948</v>
      </c>
      <c r="G4374">
        <v>1000000</v>
      </c>
      <c r="H4374">
        <v>143000</v>
      </c>
      <c r="I4374" t="s">
        <v>979</v>
      </c>
    </row>
    <row r="4375" spans="1:9" x14ac:dyDescent="0.25">
      <c r="A4375">
        <v>4230</v>
      </c>
      <c r="B4375">
        <v>10</v>
      </c>
      <c r="C4375" t="s">
        <v>946</v>
      </c>
      <c r="D4375" t="s">
        <v>1030</v>
      </c>
      <c r="E4375" t="s">
        <v>298</v>
      </c>
      <c r="F4375" t="s">
        <v>948</v>
      </c>
      <c r="G4375">
        <v>1099999</v>
      </c>
      <c r="H4375">
        <v>402082</v>
      </c>
      <c r="I4375" t="s">
        <v>949</v>
      </c>
    </row>
    <row r="4376" spans="1:9" x14ac:dyDescent="0.25">
      <c r="A4376">
        <v>4141</v>
      </c>
      <c r="B4376">
        <v>10</v>
      </c>
      <c r="C4376" t="s">
        <v>946</v>
      </c>
      <c r="D4376" t="s">
        <v>1030</v>
      </c>
      <c r="E4376" t="s">
        <v>980</v>
      </c>
      <c r="F4376" t="s">
        <v>948</v>
      </c>
      <c r="G4376">
        <v>1077777</v>
      </c>
      <c r="H4376">
        <v>501010</v>
      </c>
      <c r="I4376" t="s">
        <v>949</v>
      </c>
    </row>
    <row r="4377" spans="1:9" x14ac:dyDescent="0.25">
      <c r="A4377">
        <v>4220</v>
      </c>
      <c r="B4377">
        <v>10</v>
      </c>
      <c r="C4377" t="s">
        <v>946</v>
      </c>
      <c r="D4377" t="s">
        <v>1030</v>
      </c>
      <c r="E4377" t="s">
        <v>980</v>
      </c>
      <c r="F4377" t="s">
        <v>948</v>
      </c>
      <c r="G4377">
        <v>1077777</v>
      </c>
      <c r="H4377">
        <v>501010</v>
      </c>
      <c r="I4377" t="s">
        <v>949</v>
      </c>
    </row>
    <row r="4378" spans="1:9" x14ac:dyDescent="0.25">
      <c r="A4378">
        <v>4230</v>
      </c>
      <c r="B4378">
        <v>10</v>
      </c>
      <c r="C4378" t="s">
        <v>946</v>
      </c>
      <c r="D4378" t="s">
        <v>1030</v>
      </c>
      <c r="E4378" t="s">
        <v>980</v>
      </c>
      <c r="F4378" t="s">
        <v>948</v>
      </c>
      <c r="G4378">
        <v>1099999</v>
      </c>
      <c r="H4378">
        <v>401912</v>
      </c>
      <c r="I4378" t="s">
        <v>949</v>
      </c>
    </row>
    <row r="4379" spans="1:9" x14ac:dyDescent="0.25">
      <c r="A4379">
        <v>4240</v>
      </c>
      <c r="B4379">
        <v>10</v>
      </c>
      <c r="C4379" t="s">
        <v>946</v>
      </c>
      <c r="D4379" t="s">
        <v>1030</v>
      </c>
      <c r="E4379" t="s">
        <v>980</v>
      </c>
      <c r="F4379" t="s">
        <v>948</v>
      </c>
      <c r="G4379">
        <v>1000000</v>
      </c>
      <c r="H4379">
        <v>141000</v>
      </c>
      <c r="I4379" t="s">
        <v>981</v>
      </c>
    </row>
    <row r="4380" spans="1:9" x14ac:dyDescent="0.25">
      <c r="A4380">
        <v>4141</v>
      </c>
      <c r="B4380">
        <v>10</v>
      </c>
      <c r="C4380" t="s">
        <v>946</v>
      </c>
      <c r="D4380" t="s">
        <v>1030</v>
      </c>
      <c r="E4380" t="s">
        <v>302</v>
      </c>
      <c r="F4380" t="s">
        <v>948</v>
      </c>
      <c r="G4380">
        <v>1077777</v>
      </c>
      <c r="H4380">
        <v>501010</v>
      </c>
      <c r="I4380" t="s">
        <v>949</v>
      </c>
    </row>
    <row r="4381" spans="1:9" x14ac:dyDescent="0.25">
      <c r="A4381">
        <v>4220</v>
      </c>
      <c r="B4381">
        <v>10</v>
      </c>
      <c r="C4381" t="s">
        <v>946</v>
      </c>
      <c r="D4381" t="s">
        <v>1030</v>
      </c>
      <c r="E4381" t="s">
        <v>302</v>
      </c>
      <c r="F4381" t="s">
        <v>948</v>
      </c>
      <c r="G4381">
        <v>1077777</v>
      </c>
      <c r="H4381">
        <v>501010</v>
      </c>
      <c r="I4381" t="s">
        <v>949</v>
      </c>
    </row>
    <row r="4382" spans="1:9" x14ac:dyDescent="0.25">
      <c r="A4382">
        <v>4230</v>
      </c>
      <c r="B4382">
        <v>10</v>
      </c>
      <c r="C4382" t="s">
        <v>946</v>
      </c>
      <c r="D4382" t="s">
        <v>1030</v>
      </c>
      <c r="E4382" t="s">
        <v>302</v>
      </c>
      <c r="F4382" t="s">
        <v>948</v>
      </c>
      <c r="G4382">
        <v>1099999</v>
      </c>
      <c r="H4382">
        <v>401902</v>
      </c>
      <c r="I4382" t="s">
        <v>949</v>
      </c>
    </row>
    <row r="4383" spans="1:9" x14ac:dyDescent="0.25">
      <c r="A4383">
        <v>4240</v>
      </c>
      <c r="B4383">
        <v>10</v>
      </c>
      <c r="C4383" t="s">
        <v>946</v>
      </c>
      <c r="D4383" t="s">
        <v>1030</v>
      </c>
      <c r="E4383" t="s">
        <v>302</v>
      </c>
      <c r="F4383" t="s">
        <v>948</v>
      </c>
      <c r="G4383">
        <v>1000000</v>
      </c>
      <c r="H4383">
        <v>143000</v>
      </c>
      <c r="I4383" t="s">
        <v>982</v>
      </c>
    </row>
    <row r="4384" spans="1:9" x14ac:dyDescent="0.25">
      <c r="A4384">
        <v>4141</v>
      </c>
      <c r="B4384">
        <v>10</v>
      </c>
      <c r="C4384" t="s">
        <v>946</v>
      </c>
      <c r="D4384" t="s">
        <v>1030</v>
      </c>
      <c r="E4384" t="s">
        <v>306</v>
      </c>
      <c r="F4384" t="s">
        <v>948</v>
      </c>
      <c r="G4384">
        <v>1077777</v>
      </c>
      <c r="H4384">
        <v>501010</v>
      </c>
      <c r="I4384" t="s">
        <v>949</v>
      </c>
    </row>
    <row r="4385" spans="1:9" x14ac:dyDescent="0.25">
      <c r="A4385">
        <v>4220</v>
      </c>
      <c r="B4385">
        <v>10</v>
      </c>
      <c r="C4385" t="s">
        <v>946</v>
      </c>
      <c r="D4385" t="s">
        <v>1030</v>
      </c>
      <c r="E4385" t="s">
        <v>306</v>
      </c>
      <c r="F4385" t="s">
        <v>948</v>
      </c>
      <c r="G4385">
        <v>1077777</v>
      </c>
      <c r="H4385">
        <v>501010</v>
      </c>
      <c r="I4385" t="s">
        <v>949</v>
      </c>
    </row>
    <row r="4386" spans="1:9" x14ac:dyDescent="0.25">
      <c r="A4386">
        <v>4230</v>
      </c>
      <c r="B4386">
        <v>10</v>
      </c>
      <c r="C4386" t="s">
        <v>946</v>
      </c>
      <c r="D4386" t="s">
        <v>1030</v>
      </c>
      <c r="E4386" t="s">
        <v>306</v>
      </c>
      <c r="F4386" t="s">
        <v>948</v>
      </c>
      <c r="G4386">
        <v>1099999</v>
      </c>
      <c r="H4386">
        <v>401042</v>
      </c>
      <c r="I4386" t="s">
        <v>949</v>
      </c>
    </row>
    <row r="4387" spans="1:9" x14ac:dyDescent="0.25">
      <c r="A4387">
        <v>4240</v>
      </c>
      <c r="B4387">
        <v>10</v>
      </c>
      <c r="C4387" t="s">
        <v>946</v>
      </c>
      <c r="D4387" t="s">
        <v>1030</v>
      </c>
      <c r="E4387" t="s">
        <v>306</v>
      </c>
      <c r="F4387" t="s">
        <v>948</v>
      </c>
      <c r="G4387">
        <v>1000000</v>
      </c>
      <c r="H4387">
        <v>143000</v>
      </c>
      <c r="I4387" t="s">
        <v>983</v>
      </c>
    </row>
    <row r="4388" spans="1:9" x14ac:dyDescent="0.25">
      <c r="A4388">
        <v>4141</v>
      </c>
      <c r="B4388">
        <v>10</v>
      </c>
      <c r="C4388" t="s">
        <v>946</v>
      </c>
      <c r="D4388" t="s">
        <v>1030</v>
      </c>
      <c r="E4388" t="s">
        <v>108</v>
      </c>
      <c r="F4388" t="s">
        <v>948</v>
      </c>
      <c r="G4388">
        <v>1077777</v>
      </c>
      <c r="H4388">
        <v>500220</v>
      </c>
      <c r="I4388" t="s">
        <v>949</v>
      </c>
    </row>
    <row r="4389" spans="1:9" x14ac:dyDescent="0.25">
      <c r="A4389">
        <v>4220</v>
      </c>
      <c r="B4389">
        <v>10</v>
      </c>
      <c r="C4389" t="s">
        <v>946</v>
      </c>
      <c r="D4389" t="s">
        <v>1030</v>
      </c>
      <c r="E4389" t="s">
        <v>108</v>
      </c>
      <c r="F4389" t="s">
        <v>948</v>
      </c>
      <c r="G4389">
        <v>1077777</v>
      </c>
      <c r="H4389">
        <v>500220</v>
      </c>
      <c r="I4389" t="s">
        <v>949</v>
      </c>
    </row>
    <row r="4390" spans="1:9" x14ac:dyDescent="0.25">
      <c r="A4390">
        <v>4230</v>
      </c>
      <c r="B4390">
        <v>10</v>
      </c>
      <c r="C4390" t="s">
        <v>946</v>
      </c>
      <c r="D4390" t="s">
        <v>1030</v>
      </c>
      <c r="E4390" t="s">
        <v>108</v>
      </c>
      <c r="F4390" t="s">
        <v>948</v>
      </c>
      <c r="G4390">
        <v>1099999</v>
      </c>
      <c r="H4390">
        <v>401042</v>
      </c>
      <c r="I4390" t="s">
        <v>949</v>
      </c>
    </row>
    <row r="4391" spans="1:9" x14ac:dyDescent="0.25">
      <c r="A4391">
        <v>4240</v>
      </c>
      <c r="B4391">
        <v>10</v>
      </c>
      <c r="C4391" t="s">
        <v>946</v>
      </c>
      <c r="D4391" t="s">
        <v>1030</v>
      </c>
      <c r="E4391" t="s">
        <v>108</v>
      </c>
      <c r="F4391" t="s">
        <v>948</v>
      </c>
      <c r="G4391">
        <v>1077777</v>
      </c>
      <c r="H4391">
        <v>500221</v>
      </c>
      <c r="I4391" t="s">
        <v>949</v>
      </c>
    </row>
    <row r="4392" spans="1:9" x14ac:dyDescent="0.25">
      <c r="A4392">
        <v>4141</v>
      </c>
      <c r="B4392">
        <v>10</v>
      </c>
      <c r="C4392" t="s">
        <v>946</v>
      </c>
      <c r="D4392" t="s">
        <v>1030</v>
      </c>
      <c r="E4392" t="s">
        <v>310</v>
      </c>
      <c r="F4392" t="s">
        <v>948</v>
      </c>
      <c r="G4392">
        <v>1077777</v>
      </c>
      <c r="H4392">
        <v>501010</v>
      </c>
      <c r="I4392" t="s">
        <v>949</v>
      </c>
    </row>
    <row r="4393" spans="1:9" x14ac:dyDescent="0.25">
      <c r="A4393">
        <v>4220</v>
      </c>
      <c r="B4393">
        <v>10</v>
      </c>
      <c r="C4393" t="s">
        <v>946</v>
      </c>
      <c r="D4393" t="s">
        <v>1030</v>
      </c>
      <c r="E4393" t="s">
        <v>310</v>
      </c>
      <c r="F4393" t="s">
        <v>948</v>
      </c>
      <c r="G4393">
        <v>1077777</v>
      </c>
      <c r="H4393">
        <v>501010</v>
      </c>
      <c r="I4393" t="s">
        <v>949</v>
      </c>
    </row>
    <row r="4394" spans="1:9" x14ac:dyDescent="0.25">
      <c r="A4394">
        <v>4230</v>
      </c>
      <c r="B4394">
        <v>10</v>
      </c>
      <c r="C4394" t="s">
        <v>946</v>
      </c>
      <c r="D4394" t="s">
        <v>1030</v>
      </c>
      <c r="E4394" t="s">
        <v>310</v>
      </c>
      <c r="F4394" t="s">
        <v>948</v>
      </c>
      <c r="G4394">
        <v>1099999</v>
      </c>
      <c r="H4394">
        <v>401012</v>
      </c>
      <c r="I4394" t="s">
        <v>949</v>
      </c>
    </row>
    <row r="4395" spans="1:9" x14ac:dyDescent="0.25">
      <c r="A4395">
        <v>4240</v>
      </c>
      <c r="B4395">
        <v>10</v>
      </c>
      <c r="C4395" t="s">
        <v>946</v>
      </c>
      <c r="D4395" t="s">
        <v>1030</v>
      </c>
      <c r="E4395" t="s">
        <v>310</v>
      </c>
      <c r="F4395" t="s">
        <v>948</v>
      </c>
      <c r="G4395">
        <v>1000000</v>
      </c>
      <c r="H4395">
        <v>145000</v>
      </c>
      <c r="I4395" t="s">
        <v>949</v>
      </c>
    </row>
    <row r="4396" spans="1:9" x14ac:dyDescent="0.25">
      <c r="A4396">
        <v>4141</v>
      </c>
      <c r="B4396">
        <v>10</v>
      </c>
      <c r="C4396" t="s">
        <v>946</v>
      </c>
      <c r="D4396" t="s">
        <v>1030</v>
      </c>
      <c r="E4396" t="s">
        <v>314</v>
      </c>
      <c r="F4396" t="s">
        <v>948</v>
      </c>
      <c r="G4396">
        <v>1077777</v>
      </c>
      <c r="H4396">
        <v>501010</v>
      </c>
      <c r="I4396" t="s">
        <v>949</v>
      </c>
    </row>
    <row r="4397" spans="1:9" x14ac:dyDescent="0.25">
      <c r="A4397">
        <v>4220</v>
      </c>
      <c r="B4397">
        <v>10</v>
      </c>
      <c r="C4397" t="s">
        <v>946</v>
      </c>
      <c r="D4397" t="s">
        <v>1030</v>
      </c>
      <c r="E4397" t="s">
        <v>314</v>
      </c>
      <c r="F4397" t="s">
        <v>948</v>
      </c>
      <c r="G4397">
        <v>1077777</v>
      </c>
      <c r="H4397">
        <v>501010</v>
      </c>
      <c r="I4397" t="s">
        <v>949</v>
      </c>
    </row>
    <row r="4398" spans="1:9" x14ac:dyDescent="0.25">
      <c r="A4398">
        <v>4230</v>
      </c>
      <c r="B4398">
        <v>10</v>
      </c>
      <c r="C4398" t="s">
        <v>946</v>
      </c>
      <c r="D4398" t="s">
        <v>1030</v>
      </c>
      <c r="E4398" t="s">
        <v>314</v>
      </c>
      <c r="F4398" t="s">
        <v>948</v>
      </c>
      <c r="G4398">
        <v>1099999</v>
      </c>
      <c r="H4398">
        <v>401062</v>
      </c>
      <c r="I4398" t="s">
        <v>949</v>
      </c>
    </row>
    <row r="4399" spans="1:9" x14ac:dyDescent="0.25">
      <c r="A4399">
        <v>4240</v>
      </c>
      <c r="B4399">
        <v>10</v>
      </c>
      <c r="C4399" t="s">
        <v>946</v>
      </c>
      <c r="D4399" t="s">
        <v>1030</v>
      </c>
      <c r="E4399" t="s">
        <v>314</v>
      </c>
      <c r="F4399" t="s">
        <v>948</v>
      </c>
      <c r="G4399">
        <v>1000000</v>
      </c>
      <c r="H4399">
        <v>145000</v>
      </c>
      <c r="I4399" t="s">
        <v>949</v>
      </c>
    </row>
    <row r="4400" spans="1:9" x14ac:dyDescent="0.25">
      <c r="A4400">
        <v>4141</v>
      </c>
      <c r="B4400">
        <v>10</v>
      </c>
      <c r="C4400" t="s">
        <v>946</v>
      </c>
      <c r="D4400" t="s">
        <v>1030</v>
      </c>
      <c r="E4400" t="s">
        <v>113</v>
      </c>
      <c r="F4400" t="s">
        <v>948</v>
      </c>
      <c r="G4400">
        <v>1077777</v>
      </c>
      <c r="H4400">
        <v>500220</v>
      </c>
      <c r="I4400" t="s">
        <v>949</v>
      </c>
    </row>
    <row r="4401" spans="1:9" x14ac:dyDescent="0.25">
      <c r="A4401">
        <v>4220</v>
      </c>
      <c r="B4401">
        <v>10</v>
      </c>
      <c r="C4401" t="s">
        <v>946</v>
      </c>
      <c r="D4401" t="s">
        <v>1030</v>
      </c>
      <c r="E4401" t="s">
        <v>113</v>
      </c>
      <c r="F4401" t="s">
        <v>948</v>
      </c>
      <c r="G4401">
        <v>1077777</v>
      </c>
      <c r="H4401">
        <v>500220</v>
      </c>
      <c r="I4401" t="s">
        <v>949</v>
      </c>
    </row>
    <row r="4402" spans="1:9" x14ac:dyDescent="0.25">
      <c r="A4402">
        <v>4230</v>
      </c>
      <c r="B4402">
        <v>10</v>
      </c>
      <c r="C4402" t="s">
        <v>946</v>
      </c>
      <c r="D4402" t="s">
        <v>1030</v>
      </c>
      <c r="E4402" t="s">
        <v>113</v>
      </c>
      <c r="F4402" t="s">
        <v>948</v>
      </c>
      <c r="G4402">
        <v>1099999</v>
      </c>
      <c r="H4402">
        <v>402082</v>
      </c>
      <c r="I4402" t="s">
        <v>949</v>
      </c>
    </row>
    <row r="4403" spans="1:9" x14ac:dyDescent="0.25">
      <c r="A4403">
        <v>4240</v>
      </c>
      <c r="B4403">
        <v>10</v>
      </c>
      <c r="C4403" t="s">
        <v>946</v>
      </c>
      <c r="D4403" t="s">
        <v>1030</v>
      </c>
      <c r="E4403" t="s">
        <v>113</v>
      </c>
      <c r="F4403" t="s">
        <v>948</v>
      </c>
      <c r="G4403">
        <v>1077777</v>
      </c>
      <c r="H4403">
        <v>500221</v>
      </c>
      <c r="I4403" t="s">
        <v>949</v>
      </c>
    </row>
    <row r="4404" spans="1:9" x14ac:dyDescent="0.25">
      <c r="A4404">
        <v>4141</v>
      </c>
      <c r="B4404">
        <v>10</v>
      </c>
      <c r="C4404" t="s">
        <v>946</v>
      </c>
      <c r="D4404" t="s">
        <v>1030</v>
      </c>
      <c r="E4404" t="s">
        <v>117</v>
      </c>
      <c r="F4404" t="s">
        <v>948</v>
      </c>
      <c r="G4404">
        <v>1077777</v>
      </c>
      <c r="H4404">
        <v>500220</v>
      </c>
      <c r="I4404" t="s">
        <v>949</v>
      </c>
    </row>
    <row r="4405" spans="1:9" x14ac:dyDescent="0.25">
      <c r="A4405">
        <v>4220</v>
      </c>
      <c r="B4405">
        <v>10</v>
      </c>
      <c r="C4405" t="s">
        <v>946</v>
      </c>
      <c r="D4405" t="s">
        <v>1030</v>
      </c>
      <c r="E4405" t="s">
        <v>117</v>
      </c>
      <c r="F4405" t="s">
        <v>948</v>
      </c>
      <c r="G4405">
        <v>1077777</v>
      </c>
      <c r="H4405">
        <v>500220</v>
      </c>
      <c r="I4405" t="s">
        <v>949</v>
      </c>
    </row>
    <row r="4406" spans="1:9" x14ac:dyDescent="0.25">
      <c r="A4406">
        <v>4230</v>
      </c>
      <c r="B4406">
        <v>10</v>
      </c>
      <c r="C4406" t="s">
        <v>946</v>
      </c>
      <c r="D4406" t="s">
        <v>1030</v>
      </c>
      <c r="E4406" t="s">
        <v>117</v>
      </c>
      <c r="F4406" t="s">
        <v>948</v>
      </c>
      <c r="G4406">
        <v>1088888</v>
      </c>
      <c r="H4406">
        <v>810600</v>
      </c>
      <c r="I4406" t="s">
        <v>949</v>
      </c>
    </row>
    <row r="4407" spans="1:9" x14ac:dyDescent="0.25">
      <c r="A4407">
        <v>4240</v>
      </c>
      <c r="B4407">
        <v>10</v>
      </c>
      <c r="C4407" t="s">
        <v>946</v>
      </c>
      <c r="D4407" t="s">
        <v>1030</v>
      </c>
      <c r="E4407" t="s">
        <v>117</v>
      </c>
      <c r="F4407" t="s">
        <v>948</v>
      </c>
      <c r="G4407">
        <v>1077777</v>
      </c>
      <c r="H4407">
        <v>500221</v>
      </c>
      <c r="I4407" t="s">
        <v>949</v>
      </c>
    </row>
    <row r="4408" spans="1:9" x14ac:dyDescent="0.25">
      <c r="A4408">
        <v>4141</v>
      </c>
      <c r="B4408">
        <v>10</v>
      </c>
      <c r="C4408" t="s">
        <v>946</v>
      </c>
      <c r="D4408" t="s">
        <v>1030</v>
      </c>
      <c r="E4408" t="s">
        <v>121</v>
      </c>
      <c r="F4408" t="s">
        <v>948</v>
      </c>
      <c r="G4408">
        <v>1077777</v>
      </c>
      <c r="H4408">
        <v>500220</v>
      </c>
      <c r="I4408" t="s">
        <v>949</v>
      </c>
    </row>
    <row r="4409" spans="1:9" x14ac:dyDescent="0.25">
      <c r="A4409">
        <v>4220</v>
      </c>
      <c r="B4409">
        <v>10</v>
      </c>
      <c r="C4409" t="s">
        <v>946</v>
      </c>
      <c r="D4409" t="s">
        <v>1030</v>
      </c>
      <c r="E4409" t="s">
        <v>121</v>
      </c>
      <c r="F4409" t="s">
        <v>948</v>
      </c>
      <c r="G4409">
        <v>1077777</v>
      </c>
      <c r="H4409">
        <v>500220</v>
      </c>
      <c r="I4409" t="s">
        <v>949</v>
      </c>
    </row>
    <row r="4410" spans="1:9" x14ac:dyDescent="0.25">
      <c r="A4410">
        <v>4230</v>
      </c>
      <c r="B4410">
        <v>10</v>
      </c>
      <c r="C4410" t="s">
        <v>946</v>
      </c>
      <c r="D4410" t="s">
        <v>1030</v>
      </c>
      <c r="E4410" t="s">
        <v>121</v>
      </c>
      <c r="F4410" t="s">
        <v>948</v>
      </c>
      <c r="G4410">
        <v>1099999</v>
      </c>
      <c r="H4410">
        <v>401042</v>
      </c>
      <c r="I4410" t="s">
        <v>949</v>
      </c>
    </row>
    <row r="4411" spans="1:9" x14ac:dyDescent="0.25">
      <c r="A4411">
        <v>4240</v>
      </c>
      <c r="B4411">
        <v>10</v>
      </c>
      <c r="C4411" t="s">
        <v>946</v>
      </c>
      <c r="D4411" t="s">
        <v>1030</v>
      </c>
      <c r="E4411" t="s">
        <v>121</v>
      </c>
      <c r="F4411" t="s">
        <v>948</v>
      </c>
      <c r="G4411">
        <v>1077777</v>
      </c>
      <c r="H4411">
        <v>500221</v>
      </c>
      <c r="I4411" t="s">
        <v>949</v>
      </c>
    </row>
    <row r="4412" spans="1:9" x14ac:dyDescent="0.25">
      <c r="A4412">
        <v>4141</v>
      </c>
      <c r="B4412">
        <v>10</v>
      </c>
      <c r="C4412" t="s">
        <v>946</v>
      </c>
      <c r="D4412" t="s">
        <v>1030</v>
      </c>
      <c r="E4412" t="s">
        <v>984</v>
      </c>
      <c r="F4412" t="s">
        <v>948</v>
      </c>
      <c r="G4412">
        <v>1077777</v>
      </c>
      <c r="H4412">
        <v>501010</v>
      </c>
      <c r="I4412" t="s">
        <v>949</v>
      </c>
    </row>
    <row r="4413" spans="1:9" x14ac:dyDescent="0.25">
      <c r="A4413">
        <v>4220</v>
      </c>
      <c r="B4413">
        <v>10</v>
      </c>
      <c r="C4413" t="s">
        <v>946</v>
      </c>
      <c r="D4413" t="s">
        <v>1030</v>
      </c>
      <c r="E4413" t="s">
        <v>984</v>
      </c>
      <c r="F4413" t="s">
        <v>948</v>
      </c>
      <c r="G4413">
        <v>1077777</v>
      </c>
      <c r="H4413">
        <v>501010</v>
      </c>
      <c r="I4413" t="s">
        <v>949</v>
      </c>
    </row>
    <row r="4414" spans="1:9" x14ac:dyDescent="0.25">
      <c r="A4414">
        <v>4230</v>
      </c>
      <c r="B4414">
        <v>10</v>
      </c>
      <c r="C4414" t="s">
        <v>946</v>
      </c>
      <c r="D4414" t="s">
        <v>1030</v>
      </c>
      <c r="E4414" t="s">
        <v>984</v>
      </c>
      <c r="F4414" t="s">
        <v>948</v>
      </c>
      <c r="G4414">
        <v>1099999</v>
      </c>
      <c r="H4414">
        <v>401912</v>
      </c>
      <c r="I4414" t="s">
        <v>949</v>
      </c>
    </row>
    <row r="4415" spans="1:9" x14ac:dyDescent="0.25">
      <c r="A4415">
        <v>4240</v>
      </c>
      <c r="B4415">
        <v>10</v>
      </c>
      <c r="C4415" t="s">
        <v>946</v>
      </c>
      <c r="D4415" t="s">
        <v>1030</v>
      </c>
      <c r="E4415" t="s">
        <v>984</v>
      </c>
      <c r="F4415" t="s">
        <v>948</v>
      </c>
      <c r="G4415">
        <v>1000000</v>
      </c>
      <c r="H4415">
        <v>141000</v>
      </c>
      <c r="I4415" t="s">
        <v>985</v>
      </c>
    </row>
    <row r="4416" spans="1:9" x14ac:dyDescent="0.25">
      <c r="A4416">
        <v>4141</v>
      </c>
      <c r="B4416">
        <v>10</v>
      </c>
      <c r="C4416" t="s">
        <v>946</v>
      </c>
      <c r="D4416" t="s">
        <v>1031</v>
      </c>
      <c r="E4416" t="s">
        <v>243</v>
      </c>
      <c r="F4416" t="s">
        <v>948</v>
      </c>
      <c r="G4416">
        <v>1077777</v>
      </c>
      <c r="H4416">
        <v>501010</v>
      </c>
      <c r="I4416" t="s">
        <v>949</v>
      </c>
    </row>
    <row r="4417" spans="1:9" x14ac:dyDescent="0.25">
      <c r="A4417">
        <v>4220</v>
      </c>
      <c r="B4417">
        <v>10</v>
      </c>
      <c r="C4417" t="s">
        <v>946</v>
      </c>
      <c r="D4417" t="s">
        <v>1031</v>
      </c>
      <c r="E4417" t="s">
        <v>243</v>
      </c>
      <c r="F4417" t="s">
        <v>948</v>
      </c>
      <c r="G4417">
        <v>1077777</v>
      </c>
      <c r="H4417">
        <v>501010</v>
      </c>
      <c r="I4417" t="s">
        <v>949</v>
      </c>
    </row>
    <row r="4418" spans="1:9" x14ac:dyDescent="0.25">
      <c r="A4418">
        <v>4230</v>
      </c>
      <c r="B4418">
        <v>10</v>
      </c>
      <c r="C4418" t="s">
        <v>946</v>
      </c>
      <c r="D4418" t="s">
        <v>1031</v>
      </c>
      <c r="E4418" t="s">
        <v>243</v>
      </c>
      <c r="F4418" t="s">
        <v>948</v>
      </c>
      <c r="G4418">
        <v>1099999</v>
      </c>
      <c r="H4418">
        <v>401052</v>
      </c>
      <c r="I4418" t="s">
        <v>949</v>
      </c>
    </row>
    <row r="4419" spans="1:9" x14ac:dyDescent="0.25">
      <c r="A4419">
        <v>4240</v>
      </c>
      <c r="B4419">
        <v>10</v>
      </c>
      <c r="C4419" t="s">
        <v>946</v>
      </c>
      <c r="D4419" t="s">
        <v>1031</v>
      </c>
      <c r="E4419" t="s">
        <v>243</v>
      </c>
      <c r="F4419" t="s">
        <v>948</v>
      </c>
      <c r="G4419">
        <v>1000000</v>
      </c>
      <c r="H4419">
        <v>145000</v>
      </c>
      <c r="I4419" t="s">
        <v>949</v>
      </c>
    </row>
    <row r="4420" spans="1:9" x14ac:dyDescent="0.25">
      <c r="A4420">
        <v>4141</v>
      </c>
      <c r="B4420">
        <v>10</v>
      </c>
      <c r="C4420" t="s">
        <v>946</v>
      </c>
      <c r="D4420" t="s">
        <v>1031</v>
      </c>
      <c r="E4420" t="s">
        <v>247</v>
      </c>
      <c r="F4420" t="s">
        <v>948</v>
      </c>
      <c r="G4420">
        <v>1077777</v>
      </c>
      <c r="H4420">
        <v>501010</v>
      </c>
      <c r="I4420" t="s">
        <v>949</v>
      </c>
    </row>
    <row r="4421" spans="1:9" x14ac:dyDescent="0.25">
      <c r="A4421">
        <v>4220</v>
      </c>
      <c r="B4421">
        <v>10</v>
      </c>
      <c r="C4421" t="s">
        <v>946</v>
      </c>
      <c r="D4421" t="s">
        <v>1031</v>
      </c>
      <c r="E4421" t="s">
        <v>247</v>
      </c>
      <c r="F4421" t="s">
        <v>948</v>
      </c>
      <c r="G4421">
        <v>1077777</v>
      </c>
      <c r="H4421">
        <v>501010</v>
      </c>
      <c r="I4421" t="s">
        <v>949</v>
      </c>
    </row>
    <row r="4422" spans="1:9" x14ac:dyDescent="0.25">
      <c r="A4422">
        <v>4230</v>
      </c>
      <c r="B4422">
        <v>10</v>
      </c>
      <c r="C4422" t="s">
        <v>946</v>
      </c>
      <c r="D4422" t="s">
        <v>1031</v>
      </c>
      <c r="E4422" t="s">
        <v>247</v>
      </c>
      <c r="F4422" t="s">
        <v>948</v>
      </c>
      <c r="G4422">
        <v>1099999</v>
      </c>
      <c r="H4422">
        <v>401022</v>
      </c>
      <c r="I4422" t="s">
        <v>949</v>
      </c>
    </row>
    <row r="4423" spans="1:9" x14ac:dyDescent="0.25">
      <c r="A4423">
        <v>4240</v>
      </c>
      <c r="B4423">
        <v>10</v>
      </c>
      <c r="C4423" t="s">
        <v>946</v>
      </c>
      <c r="D4423" t="s">
        <v>1031</v>
      </c>
      <c r="E4423" t="s">
        <v>247</v>
      </c>
      <c r="F4423" t="s">
        <v>948</v>
      </c>
      <c r="G4423">
        <v>1000000</v>
      </c>
      <c r="H4423">
        <v>145000</v>
      </c>
      <c r="I4423" t="s">
        <v>949</v>
      </c>
    </row>
    <row r="4424" spans="1:9" x14ac:dyDescent="0.25">
      <c r="A4424">
        <v>4141</v>
      </c>
      <c r="B4424">
        <v>10</v>
      </c>
      <c r="C4424" t="s">
        <v>946</v>
      </c>
      <c r="D4424" t="s">
        <v>1031</v>
      </c>
      <c r="E4424" t="s">
        <v>251</v>
      </c>
      <c r="F4424" t="s">
        <v>948</v>
      </c>
      <c r="G4424">
        <v>1077777</v>
      </c>
      <c r="H4424">
        <v>501010</v>
      </c>
      <c r="I4424" t="s">
        <v>949</v>
      </c>
    </row>
    <row r="4425" spans="1:9" x14ac:dyDescent="0.25">
      <c r="A4425">
        <v>4220</v>
      </c>
      <c r="B4425">
        <v>10</v>
      </c>
      <c r="C4425" t="s">
        <v>946</v>
      </c>
      <c r="D4425" t="s">
        <v>1031</v>
      </c>
      <c r="E4425" t="s">
        <v>251</v>
      </c>
      <c r="F4425" t="s">
        <v>948</v>
      </c>
      <c r="G4425">
        <v>1077777</v>
      </c>
      <c r="H4425">
        <v>501010</v>
      </c>
      <c r="I4425" t="s">
        <v>949</v>
      </c>
    </row>
    <row r="4426" spans="1:9" x14ac:dyDescent="0.25">
      <c r="A4426">
        <v>4230</v>
      </c>
      <c r="B4426">
        <v>10</v>
      </c>
      <c r="C4426" t="s">
        <v>946</v>
      </c>
      <c r="D4426" t="s">
        <v>1031</v>
      </c>
      <c r="E4426" t="s">
        <v>251</v>
      </c>
      <c r="F4426" t="s">
        <v>948</v>
      </c>
      <c r="G4426">
        <v>1099999</v>
      </c>
      <c r="H4426">
        <v>401042</v>
      </c>
      <c r="I4426" t="s">
        <v>949</v>
      </c>
    </row>
    <row r="4427" spans="1:9" x14ac:dyDescent="0.25">
      <c r="A4427">
        <v>4240</v>
      </c>
      <c r="B4427">
        <v>10</v>
      </c>
      <c r="C4427" t="s">
        <v>946</v>
      </c>
      <c r="D4427" t="s">
        <v>1031</v>
      </c>
      <c r="E4427" t="s">
        <v>251</v>
      </c>
      <c r="F4427" t="s">
        <v>948</v>
      </c>
      <c r="G4427">
        <v>1000000</v>
      </c>
      <c r="H4427">
        <v>142000</v>
      </c>
      <c r="I4427" t="s">
        <v>949</v>
      </c>
    </row>
    <row r="4428" spans="1:9" x14ac:dyDescent="0.25">
      <c r="A4428">
        <v>4141</v>
      </c>
      <c r="B4428">
        <v>10</v>
      </c>
      <c r="C4428" t="s">
        <v>946</v>
      </c>
      <c r="D4428" t="s">
        <v>1031</v>
      </c>
      <c r="E4428" t="s">
        <v>969</v>
      </c>
      <c r="F4428" t="s">
        <v>948</v>
      </c>
      <c r="G4428">
        <v>1077777</v>
      </c>
      <c r="H4428">
        <v>501010</v>
      </c>
      <c r="I4428" t="s">
        <v>949</v>
      </c>
    </row>
    <row r="4429" spans="1:9" x14ac:dyDescent="0.25">
      <c r="A4429">
        <v>4220</v>
      </c>
      <c r="B4429">
        <v>10</v>
      </c>
      <c r="C4429" t="s">
        <v>946</v>
      </c>
      <c r="D4429" t="s">
        <v>1031</v>
      </c>
      <c r="E4429" t="s">
        <v>969</v>
      </c>
      <c r="F4429" t="s">
        <v>948</v>
      </c>
      <c r="G4429">
        <v>1077777</v>
      </c>
      <c r="H4429">
        <v>501010</v>
      </c>
      <c r="I4429" t="s">
        <v>949</v>
      </c>
    </row>
    <row r="4430" spans="1:9" x14ac:dyDescent="0.25">
      <c r="A4430">
        <v>4230</v>
      </c>
      <c r="B4430">
        <v>10</v>
      </c>
      <c r="C4430" t="s">
        <v>946</v>
      </c>
      <c r="D4430" t="s">
        <v>1031</v>
      </c>
      <c r="E4430" t="s">
        <v>969</v>
      </c>
      <c r="F4430" t="s">
        <v>948</v>
      </c>
      <c r="G4430">
        <v>1099999</v>
      </c>
      <c r="H4430">
        <v>401912</v>
      </c>
      <c r="I4430" t="s">
        <v>949</v>
      </c>
    </row>
    <row r="4431" spans="1:9" x14ac:dyDescent="0.25">
      <c r="A4431">
        <v>4240</v>
      </c>
      <c r="B4431">
        <v>10</v>
      </c>
      <c r="C4431" t="s">
        <v>946</v>
      </c>
      <c r="D4431" t="s">
        <v>1031</v>
      </c>
      <c r="E4431" t="s">
        <v>969</v>
      </c>
      <c r="F4431" t="s">
        <v>948</v>
      </c>
      <c r="G4431">
        <v>1000000</v>
      </c>
      <c r="H4431">
        <v>141000</v>
      </c>
      <c r="I4431" t="s">
        <v>970</v>
      </c>
    </row>
    <row r="4432" spans="1:9" x14ac:dyDescent="0.25">
      <c r="A4432">
        <v>4141</v>
      </c>
      <c r="B4432">
        <v>10</v>
      </c>
      <c r="C4432" t="s">
        <v>946</v>
      </c>
      <c r="D4432" t="s">
        <v>1031</v>
      </c>
      <c r="E4432" t="s">
        <v>255</v>
      </c>
      <c r="F4432" t="s">
        <v>948</v>
      </c>
      <c r="G4432">
        <v>1077777</v>
      </c>
      <c r="H4432">
        <v>501010</v>
      </c>
      <c r="I4432" t="s">
        <v>949</v>
      </c>
    </row>
    <row r="4433" spans="1:9" x14ac:dyDescent="0.25">
      <c r="A4433">
        <v>4220</v>
      </c>
      <c r="B4433">
        <v>10</v>
      </c>
      <c r="C4433" t="s">
        <v>946</v>
      </c>
      <c r="D4433" t="s">
        <v>1031</v>
      </c>
      <c r="E4433" t="s">
        <v>255</v>
      </c>
      <c r="F4433" t="s">
        <v>948</v>
      </c>
      <c r="G4433">
        <v>1077777</v>
      </c>
      <c r="H4433">
        <v>501010</v>
      </c>
      <c r="I4433" t="s">
        <v>949</v>
      </c>
    </row>
    <row r="4434" spans="1:9" x14ac:dyDescent="0.25">
      <c r="A4434">
        <v>4230</v>
      </c>
      <c r="B4434">
        <v>10</v>
      </c>
      <c r="C4434" t="s">
        <v>946</v>
      </c>
      <c r="D4434" t="s">
        <v>1031</v>
      </c>
      <c r="E4434" t="s">
        <v>255</v>
      </c>
      <c r="F4434" t="s">
        <v>948</v>
      </c>
      <c r="G4434">
        <v>1099999</v>
      </c>
      <c r="H4434">
        <v>401072</v>
      </c>
      <c r="I4434" t="s">
        <v>949</v>
      </c>
    </row>
    <row r="4435" spans="1:9" x14ac:dyDescent="0.25">
      <c r="A4435">
        <v>4240</v>
      </c>
      <c r="B4435">
        <v>10</v>
      </c>
      <c r="C4435" t="s">
        <v>946</v>
      </c>
      <c r="D4435" t="s">
        <v>1031</v>
      </c>
      <c r="E4435" t="s">
        <v>255</v>
      </c>
      <c r="F4435" t="s">
        <v>948</v>
      </c>
      <c r="G4435">
        <v>1000000</v>
      </c>
      <c r="H4435">
        <v>145000</v>
      </c>
      <c r="I4435" t="s">
        <v>949</v>
      </c>
    </row>
    <row r="4436" spans="1:9" x14ac:dyDescent="0.25">
      <c r="A4436">
        <v>4141</v>
      </c>
      <c r="B4436">
        <v>10</v>
      </c>
      <c r="C4436" t="s">
        <v>946</v>
      </c>
      <c r="D4436" t="s">
        <v>1031</v>
      </c>
      <c r="E4436" t="s">
        <v>971</v>
      </c>
      <c r="F4436" t="s">
        <v>948</v>
      </c>
      <c r="G4436">
        <v>1077777</v>
      </c>
      <c r="H4436">
        <v>501010</v>
      </c>
      <c r="I4436" t="s">
        <v>949</v>
      </c>
    </row>
    <row r="4437" spans="1:9" x14ac:dyDescent="0.25">
      <c r="A4437">
        <v>4220</v>
      </c>
      <c r="B4437">
        <v>10</v>
      </c>
      <c r="C4437" t="s">
        <v>946</v>
      </c>
      <c r="D4437" t="s">
        <v>1031</v>
      </c>
      <c r="E4437" t="s">
        <v>971</v>
      </c>
      <c r="F4437" t="s">
        <v>948</v>
      </c>
      <c r="G4437">
        <v>1077777</v>
      </c>
      <c r="H4437">
        <v>501010</v>
      </c>
      <c r="I4437" t="s">
        <v>949</v>
      </c>
    </row>
    <row r="4438" spans="1:9" x14ac:dyDescent="0.25">
      <c r="A4438">
        <v>4230</v>
      </c>
      <c r="B4438">
        <v>10</v>
      </c>
      <c r="C4438" t="s">
        <v>946</v>
      </c>
      <c r="D4438" t="s">
        <v>1031</v>
      </c>
      <c r="E4438" t="s">
        <v>971</v>
      </c>
      <c r="F4438" t="s">
        <v>948</v>
      </c>
      <c r="G4438">
        <v>1099999</v>
      </c>
      <c r="H4438">
        <v>401912</v>
      </c>
      <c r="I4438" t="s">
        <v>949</v>
      </c>
    </row>
    <row r="4439" spans="1:9" x14ac:dyDescent="0.25">
      <c r="A4439">
        <v>4240</v>
      </c>
      <c r="B4439">
        <v>10</v>
      </c>
      <c r="C4439" t="s">
        <v>946</v>
      </c>
      <c r="D4439" t="s">
        <v>1031</v>
      </c>
      <c r="E4439" t="s">
        <v>971</v>
      </c>
      <c r="F4439" t="s">
        <v>948</v>
      </c>
      <c r="G4439">
        <v>1000000</v>
      </c>
      <c r="H4439">
        <v>141000</v>
      </c>
      <c r="I4439" t="s">
        <v>972</v>
      </c>
    </row>
    <row r="4440" spans="1:9" x14ac:dyDescent="0.25">
      <c r="A4440">
        <v>4230</v>
      </c>
      <c r="B4440">
        <v>10</v>
      </c>
      <c r="C4440" t="s">
        <v>946</v>
      </c>
      <c r="D4440" t="s">
        <v>1031</v>
      </c>
      <c r="E4440" t="s">
        <v>259</v>
      </c>
      <c r="F4440" t="s">
        <v>948</v>
      </c>
      <c r="G4440">
        <v>1099999</v>
      </c>
      <c r="H4440">
        <v>409002</v>
      </c>
      <c r="I4440" t="s">
        <v>949</v>
      </c>
    </row>
    <row r="4441" spans="1:9" x14ac:dyDescent="0.25">
      <c r="A4441">
        <v>4141</v>
      </c>
      <c r="B4441">
        <v>10</v>
      </c>
      <c r="C4441" t="s">
        <v>946</v>
      </c>
      <c r="D4441" t="s">
        <v>1031</v>
      </c>
      <c r="E4441" t="s">
        <v>263</v>
      </c>
      <c r="F4441" t="s">
        <v>948</v>
      </c>
      <c r="G4441">
        <v>1077777</v>
      </c>
      <c r="H4441">
        <v>501010</v>
      </c>
      <c r="I4441" t="s">
        <v>949</v>
      </c>
    </row>
    <row r="4442" spans="1:9" x14ac:dyDescent="0.25">
      <c r="A4442">
        <v>4220</v>
      </c>
      <c r="B4442">
        <v>10</v>
      </c>
      <c r="C4442" t="s">
        <v>946</v>
      </c>
      <c r="D4442" t="s">
        <v>1031</v>
      </c>
      <c r="E4442" t="s">
        <v>263</v>
      </c>
      <c r="F4442" t="s">
        <v>948</v>
      </c>
      <c r="G4442">
        <v>1077777</v>
      </c>
      <c r="H4442">
        <v>501010</v>
      </c>
      <c r="I4442" t="s">
        <v>949</v>
      </c>
    </row>
    <row r="4443" spans="1:9" x14ac:dyDescent="0.25">
      <c r="A4443">
        <v>4230</v>
      </c>
      <c r="B4443">
        <v>10</v>
      </c>
      <c r="C4443" t="s">
        <v>946</v>
      </c>
      <c r="D4443" t="s">
        <v>1031</v>
      </c>
      <c r="E4443" t="s">
        <v>263</v>
      </c>
      <c r="F4443" t="s">
        <v>948</v>
      </c>
      <c r="G4443">
        <v>1099999</v>
      </c>
      <c r="H4443">
        <v>401042</v>
      </c>
      <c r="I4443" t="s">
        <v>949</v>
      </c>
    </row>
    <row r="4444" spans="1:9" x14ac:dyDescent="0.25">
      <c r="A4444">
        <v>4240</v>
      </c>
      <c r="B4444">
        <v>10</v>
      </c>
      <c r="C4444" t="s">
        <v>946</v>
      </c>
      <c r="D4444" t="s">
        <v>1031</v>
      </c>
      <c r="E4444" t="s">
        <v>263</v>
      </c>
      <c r="F4444" t="s">
        <v>948</v>
      </c>
      <c r="G4444">
        <v>1000000</v>
      </c>
      <c r="H4444">
        <v>145000</v>
      </c>
      <c r="I4444" t="s">
        <v>949</v>
      </c>
    </row>
    <row r="4445" spans="1:9" x14ac:dyDescent="0.25">
      <c r="A4445">
        <v>4141</v>
      </c>
      <c r="B4445">
        <v>10</v>
      </c>
      <c r="C4445" t="s">
        <v>946</v>
      </c>
      <c r="D4445" t="s">
        <v>1031</v>
      </c>
      <c r="E4445" t="s">
        <v>100</v>
      </c>
      <c r="F4445" t="s">
        <v>948</v>
      </c>
      <c r="G4445">
        <v>1077777</v>
      </c>
      <c r="H4445">
        <v>500220</v>
      </c>
      <c r="I4445" t="s">
        <v>949</v>
      </c>
    </row>
    <row r="4446" spans="1:9" x14ac:dyDescent="0.25">
      <c r="A4446">
        <v>4220</v>
      </c>
      <c r="B4446">
        <v>10</v>
      </c>
      <c r="C4446" t="s">
        <v>946</v>
      </c>
      <c r="D4446" t="s">
        <v>1031</v>
      </c>
      <c r="E4446" t="s">
        <v>100</v>
      </c>
      <c r="F4446" t="s">
        <v>948</v>
      </c>
      <c r="G4446">
        <v>1077777</v>
      </c>
      <c r="H4446">
        <v>500220</v>
      </c>
      <c r="I4446" t="s">
        <v>949</v>
      </c>
    </row>
    <row r="4447" spans="1:9" x14ac:dyDescent="0.25">
      <c r="A4447">
        <v>4230</v>
      </c>
      <c r="B4447">
        <v>10</v>
      </c>
      <c r="C4447" t="s">
        <v>946</v>
      </c>
      <c r="D4447" t="s">
        <v>1031</v>
      </c>
      <c r="E4447" t="s">
        <v>100</v>
      </c>
      <c r="F4447" t="s">
        <v>948</v>
      </c>
      <c r="G4447">
        <v>1099999</v>
      </c>
      <c r="H4447">
        <v>401042</v>
      </c>
      <c r="I4447" t="s">
        <v>949</v>
      </c>
    </row>
    <row r="4448" spans="1:9" x14ac:dyDescent="0.25">
      <c r="A4448">
        <v>4240</v>
      </c>
      <c r="B4448">
        <v>10</v>
      </c>
      <c r="C4448" t="s">
        <v>946</v>
      </c>
      <c r="D4448" t="s">
        <v>1031</v>
      </c>
      <c r="E4448" t="s">
        <v>100</v>
      </c>
      <c r="F4448" t="s">
        <v>948</v>
      </c>
      <c r="G4448">
        <v>1077777</v>
      </c>
      <c r="H4448">
        <v>500221</v>
      </c>
      <c r="I4448" t="s">
        <v>949</v>
      </c>
    </row>
    <row r="4449" spans="1:9" x14ac:dyDescent="0.25">
      <c r="A4449">
        <v>4141</v>
      </c>
      <c r="B4449">
        <v>10</v>
      </c>
      <c r="C4449" t="s">
        <v>946</v>
      </c>
      <c r="D4449" t="s">
        <v>1031</v>
      </c>
      <c r="E4449" t="s">
        <v>270</v>
      </c>
      <c r="F4449" t="s">
        <v>948</v>
      </c>
      <c r="G4449">
        <v>1077777</v>
      </c>
      <c r="H4449">
        <v>501010</v>
      </c>
      <c r="I4449" t="s">
        <v>949</v>
      </c>
    </row>
    <row r="4450" spans="1:9" x14ac:dyDescent="0.25">
      <c r="A4450">
        <v>4220</v>
      </c>
      <c r="B4450">
        <v>10</v>
      </c>
      <c r="C4450" t="s">
        <v>946</v>
      </c>
      <c r="D4450" t="s">
        <v>1031</v>
      </c>
      <c r="E4450" t="s">
        <v>270</v>
      </c>
      <c r="F4450" t="s">
        <v>948</v>
      </c>
      <c r="G4450">
        <v>1077777</v>
      </c>
      <c r="H4450">
        <v>501010</v>
      </c>
      <c r="I4450" t="s">
        <v>949</v>
      </c>
    </row>
    <row r="4451" spans="1:9" x14ac:dyDescent="0.25">
      <c r="A4451">
        <v>4230</v>
      </c>
      <c r="B4451">
        <v>10</v>
      </c>
      <c r="C4451" t="s">
        <v>946</v>
      </c>
      <c r="D4451" t="s">
        <v>1031</v>
      </c>
      <c r="E4451" t="s">
        <v>270</v>
      </c>
      <c r="F4451" t="s">
        <v>948</v>
      </c>
      <c r="G4451">
        <v>1099999</v>
      </c>
      <c r="H4451">
        <v>401062</v>
      </c>
      <c r="I4451" t="s">
        <v>949</v>
      </c>
    </row>
    <row r="4452" spans="1:9" x14ac:dyDescent="0.25">
      <c r="A4452">
        <v>4240</v>
      </c>
      <c r="B4452">
        <v>10</v>
      </c>
      <c r="C4452" t="s">
        <v>946</v>
      </c>
      <c r="D4452" t="s">
        <v>1031</v>
      </c>
      <c r="E4452" t="s">
        <v>270</v>
      </c>
      <c r="F4452" t="s">
        <v>948</v>
      </c>
      <c r="G4452">
        <v>1000000</v>
      </c>
      <c r="H4452">
        <v>145000</v>
      </c>
      <c r="I4452" t="s">
        <v>949</v>
      </c>
    </row>
    <row r="4453" spans="1:9" x14ac:dyDescent="0.25">
      <c r="A4453">
        <v>4141</v>
      </c>
      <c r="B4453">
        <v>10</v>
      </c>
      <c r="C4453" t="s">
        <v>946</v>
      </c>
      <c r="D4453" t="s">
        <v>1031</v>
      </c>
      <c r="E4453" t="s">
        <v>274</v>
      </c>
      <c r="F4453" t="s">
        <v>948</v>
      </c>
      <c r="G4453">
        <v>1077777</v>
      </c>
      <c r="H4453">
        <v>501010</v>
      </c>
      <c r="I4453" t="s">
        <v>949</v>
      </c>
    </row>
    <row r="4454" spans="1:9" x14ac:dyDescent="0.25">
      <c r="A4454">
        <v>4220</v>
      </c>
      <c r="B4454">
        <v>10</v>
      </c>
      <c r="C4454" t="s">
        <v>946</v>
      </c>
      <c r="D4454" t="s">
        <v>1031</v>
      </c>
      <c r="E4454" t="s">
        <v>274</v>
      </c>
      <c r="F4454" t="s">
        <v>948</v>
      </c>
      <c r="G4454">
        <v>1077777</v>
      </c>
      <c r="H4454">
        <v>501010</v>
      </c>
      <c r="I4454" t="s">
        <v>949</v>
      </c>
    </row>
    <row r="4455" spans="1:9" x14ac:dyDescent="0.25">
      <c r="A4455">
        <v>4230</v>
      </c>
      <c r="B4455">
        <v>10</v>
      </c>
      <c r="C4455" t="s">
        <v>946</v>
      </c>
      <c r="D4455" t="s">
        <v>1031</v>
      </c>
      <c r="E4455" t="s">
        <v>274</v>
      </c>
      <c r="F4455" t="s">
        <v>948</v>
      </c>
      <c r="G4455">
        <v>1099999</v>
      </c>
      <c r="H4455">
        <v>401042</v>
      </c>
      <c r="I4455" t="s">
        <v>949</v>
      </c>
    </row>
    <row r="4456" spans="1:9" x14ac:dyDescent="0.25">
      <c r="A4456">
        <v>4240</v>
      </c>
      <c r="B4456">
        <v>10</v>
      </c>
      <c r="C4456" t="s">
        <v>946</v>
      </c>
      <c r="D4456" t="s">
        <v>1031</v>
      </c>
      <c r="E4456" t="s">
        <v>274</v>
      </c>
      <c r="F4456" t="s">
        <v>948</v>
      </c>
      <c r="G4456">
        <v>1000000</v>
      </c>
      <c r="H4456">
        <v>143000</v>
      </c>
      <c r="I4456" t="s">
        <v>973</v>
      </c>
    </row>
    <row r="4457" spans="1:9" x14ac:dyDescent="0.25">
      <c r="A4457">
        <v>4141</v>
      </c>
      <c r="B4457">
        <v>10</v>
      </c>
      <c r="C4457" t="s">
        <v>946</v>
      </c>
      <c r="D4457" t="s">
        <v>1031</v>
      </c>
      <c r="E4457" t="s">
        <v>974</v>
      </c>
      <c r="F4457" t="s">
        <v>948</v>
      </c>
      <c r="G4457">
        <v>1077777</v>
      </c>
      <c r="H4457">
        <v>501010</v>
      </c>
      <c r="I4457" t="s">
        <v>949</v>
      </c>
    </row>
    <row r="4458" spans="1:9" x14ac:dyDescent="0.25">
      <c r="A4458">
        <v>4220</v>
      </c>
      <c r="B4458">
        <v>10</v>
      </c>
      <c r="C4458" t="s">
        <v>946</v>
      </c>
      <c r="D4458" t="s">
        <v>1031</v>
      </c>
      <c r="E4458" t="s">
        <v>974</v>
      </c>
      <c r="F4458" t="s">
        <v>948</v>
      </c>
      <c r="G4458">
        <v>1077777</v>
      </c>
      <c r="H4458">
        <v>501010</v>
      </c>
      <c r="I4458" t="s">
        <v>949</v>
      </c>
    </row>
    <row r="4459" spans="1:9" x14ac:dyDescent="0.25">
      <c r="A4459">
        <v>4230</v>
      </c>
      <c r="B4459">
        <v>10</v>
      </c>
      <c r="C4459" t="s">
        <v>946</v>
      </c>
      <c r="D4459" t="s">
        <v>1031</v>
      </c>
      <c r="E4459" t="s">
        <v>974</v>
      </c>
      <c r="F4459" t="s">
        <v>948</v>
      </c>
      <c r="G4459">
        <v>1099999</v>
      </c>
      <c r="H4459">
        <v>401912</v>
      </c>
      <c r="I4459" t="s">
        <v>949</v>
      </c>
    </row>
    <row r="4460" spans="1:9" x14ac:dyDescent="0.25">
      <c r="A4460">
        <v>4240</v>
      </c>
      <c r="B4460">
        <v>10</v>
      </c>
      <c r="C4460" t="s">
        <v>946</v>
      </c>
      <c r="D4460" t="s">
        <v>1031</v>
      </c>
      <c r="E4460" t="s">
        <v>974</v>
      </c>
      <c r="F4460" t="s">
        <v>948</v>
      </c>
      <c r="G4460">
        <v>1000000</v>
      </c>
      <c r="H4460">
        <v>141000</v>
      </c>
      <c r="I4460" t="s">
        <v>975</v>
      </c>
    </row>
    <row r="4461" spans="1:9" x14ac:dyDescent="0.25">
      <c r="A4461">
        <v>4141</v>
      </c>
      <c r="B4461">
        <v>10</v>
      </c>
      <c r="C4461" t="s">
        <v>946</v>
      </c>
      <c r="D4461" t="s">
        <v>1031</v>
      </c>
      <c r="E4461" t="s">
        <v>104</v>
      </c>
      <c r="F4461" t="s">
        <v>948</v>
      </c>
      <c r="G4461">
        <v>1077777</v>
      </c>
      <c r="H4461">
        <v>500220</v>
      </c>
      <c r="I4461" t="s">
        <v>949</v>
      </c>
    </row>
    <row r="4462" spans="1:9" x14ac:dyDescent="0.25">
      <c r="A4462">
        <v>4220</v>
      </c>
      <c r="B4462">
        <v>10</v>
      </c>
      <c r="C4462" t="s">
        <v>946</v>
      </c>
      <c r="D4462" t="s">
        <v>1031</v>
      </c>
      <c r="E4462" t="s">
        <v>104</v>
      </c>
      <c r="F4462" t="s">
        <v>948</v>
      </c>
      <c r="G4462">
        <v>1077777</v>
      </c>
      <c r="H4462">
        <v>500220</v>
      </c>
      <c r="I4462" t="s">
        <v>949</v>
      </c>
    </row>
    <row r="4463" spans="1:9" x14ac:dyDescent="0.25">
      <c r="A4463">
        <v>4230</v>
      </c>
      <c r="B4463">
        <v>10</v>
      </c>
      <c r="C4463" t="s">
        <v>946</v>
      </c>
      <c r="D4463" t="s">
        <v>1031</v>
      </c>
      <c r="E4463" t="s">
        <v>104</v>
      </c>
      <c r="F4463" t="s">
        <v>948</v>
      </c>
      <c r="G4463">
        <v>1099999</v>
      </c>
      <c r="H4463">
        <v>401042</v>
      </c>
      <c r="I4463" t="s">
        <v>949</v>
      </c>
    </row>
    <row r="4464" spans="1:9" x14ac:dyDescent="0.25">
      <c r="A4464">
        <v>4240</v>
      </c>
      <c r="B4464">
        <v>10</v>
      </c>
      <c r="C4464" t="s">
        <v>946</v>
      </c>
      <c r="D4464" t="s">
        <v>1031</v>
      </c>
      <c r="E4464" t="s">
        <v>104</v>
      </c>
      <c r="F4464" t="s">
        <v>948</v>
      </c>
      <c r="G4464">
        <v>1077777</v>
      </c>
      <c r="H4464">
        <v>500221</v>
      </c>
      <c r="I4464" t="s">
        <v>949</v>
      </c>
    </row>
    <row r="4465" spans="1:9" x14ac:dyDescent="0.25">
      <c r="A4465">
        <v>4141</v>
      </c>
      <c r="B4465">
        <v>10</v>
      </c>
      <c r="C4465" t="s">
        <v>946</v>
      </c>
      <c r="D4465" t="s">
        <v>1031</v>
      </c>
      <c r="E4465" t="s">
        <v>278</v>
      </c>
      <c r="F4465" t="s">
        <v>948</v>
      </c>
      <c r="G4465">
        <v>1077777</v>
      </c>
      <c r="H4465">
        <v>501010</v>
      </c>
      <c r="I4465" t="s">
        <v>949</v>
      </c>
    </row>
    <row r="4466" spans="1:9" x14ac:dyDescent="0.25">
      <c r="A4466">
        <v>4220</v>
      </c>
      <c r="B4466">
        <v>10</v>
      </c>
      <c r="C4466" t="s">
        <v>946</v>
      </c>
      <c r="D4466" t="s">
        <v>1031</v>
      </c>
      <c r="E4466" t="s">
        <v>278</v>
      </c>
      <c r="F4466" t="s">
        <v>948</v>
      </c>
      <c r="G4466">
        <v>1077777</v>
      </c>
      <c r="H4466">
        <v>501010</v>
      </c>
      <c r="I4466" t="s">
        <v>949</v>
      </c>
    </row>
    <row r="4467" spans="1:9" x14ac:dyDescent="0.25">
      <c r="A4467">
        <v>4230</v>
      </c>
      <c r="B4467">
        <v>10</v>
      </c>
      <c r="C4467" t="s">
        <v>946</v>
      </c>
      <c r="D4467" t="s">
        <v>1031</v>
      </c>
      <c r="E4467" t="s">
        <v>278</v>
      </c>
      <c r="F4467" t="s">
        <v>948</v>
      </c>
      <c r="G4467">
        <v>1099999</v>
      </c>
      <c r="H4467">
        <v>401052</v>
      </c>
      <c r="I4467" t="s">
        <v>949</v>
      </c>
    </row>
    <row r="4468" spans="1:9" x14ac:dyDescent="0.25">
      <c r="A4468">
        <v>4240</v>
      </c>
      <c r="B4468">
        <v>10</v>
      </c>
      <c r="C4468" t="s">
        <v>946</v>
      </c>
      <c r="D4468" t="s">
        <v>1031</v>
      </c>
      <c r="E4468" t="s">
        <v>278</v>
      </c>
      <c r="F4468" t="s">
        <v>948</v>
      </c>
      <c r="G4468">
        <v>1000000</v>
      </c>
      <c r="H4468">
        <v>145000</v>
      </c>
      <c r="I4468" t="s">
        <v>949</v>
      </c>
    </row>
    <row r="4469" spans="1:9" x14ac:dyDescent="0.25">
      <c r="A4469">
        <v>4141</v>
      </c>
      <c r="B4469">
        <v>10</v>
      </c>
      <c r="C4469" t="s">
        <v>946</v>
      </c>
      <c r="D4469" t="s">
        <v>1031</v>
      </c>
      <c r="E4469" t="s">
        <v>282</v>
      </c>
      <c r="F4469" t="s">
        <v>948</v>
      </c>
      <c r="G4469">
        <v>1077777</v>
      </c>
      <c r="H4469">
        <v>501010</v>
      </c>
      <c r="I4469" t="s">
        <v>949</v>
      </c>
    </row>
    <row r="4470" spans="1:9" x14ac:dyDescent="0.25">
      <c r="A4470">
        <v>4220</v>
      </c>
      <c r="B4470">
        <v>10</v>
      </c>
      <c r="C4470" t="s">
        <v>946</v>
      </c>
      <c r="D4470" t="s">
        <v>1031</v>
      </c>
      <c r="E4470" t="s">
        <v>282</v>
      </c>
      <c r="F4470" t="s">
        <v>948</v>
      </c>
      <c r="G4470">
        <v>1077777</v>
      </c>
      <c r="H4470">
        <v>501010</v>
      </c>
      <c r="I4470" t="s">
        <v>949</v>
      </c>
    </row>
    <row r="4471" spans="1:9" x14ac:dyDescent="0.25">
      <c r="A4471">
        <v>4230</v>
      </c>
      <c r="B4471">
        <v>10</v>
      </c>
      <c r="C4471" t="s">
        <v>946</v>
      </c>
      <c r="D4471" t="s">
        <v>1031</v>
      </c>
      <c r="E4471" t="s">
        <v>282</v>
      </c>
      <c r="F4471" t="s">
        <v>948</v>
      </c>
      <c r="G4471">
        <v>1099999</v>
      </c>
      <c r="H4471">
        <v>401042</v>
      </c>
      <c r="I4471" t="s">
        <v>949</v>
      </c>
    </row>
    <row r="4472" spans="1:9" x14ac:dyDescent="0.25">
      <c r="A4472">
        <v>4240</v>
      </c>
      <c r="B4472">
        <v>10</v>
      </c>
      <c r="C4472" t="s">
        <v>946</v>
      </c>
      <c r="D4472" t="s">
        <v>1031</v>
      </c>
      <c r="E4472" t="s">
        <v>282</v>
      </c>
      <c r="F4472" t="s">
        <v>948</v>
      </c>
      <c r="G4472">
        <v>1000000</v>
      </c>
      <c r="H4472">
        <v>143100</v>
      </c>
      <c r="I4472" t="s">
        <v>949</v>
      </c>
    </row>
    <row r="4473" spans="1:9" x14ac:dyDescent="0.25">
      <c r="A4473">
        <v>4141</v>
      </c>
      <c r="B4473">
        <v>10</v>
      </c>
      <c r="C4473" t="s">
        <v>946</v>
      </c>
      <c r="D4473" t="s">
        <v>1031</v>
      </c>
      <c r="E4473" t="s">
        <v>286</v>
      </c>
      <c r="F4473" t="s">
        <v>948</v>
      </c>
      <c r="G4473">
        <v>1077777</v>
      </c>
      <c r="H4473">
        <v>501010</v>
      </c>
      <c r="I4473" t="s">
        <v>949</v>
      </c>
    </row>
    <row r="4474" spans="1:9" x14ac:dyDescent="0.25">
      <c r="A4474">
        <v>4220</v>
      </c>
      <c r="B4474">
        <v>10</v>
      </c>
      <c r="C4474" t="s">
        <v>946</v>
      </c>
      <c r="D4474" t="s">
        <v>1031</v>
      </c>
      <c r="E4474" t="s">
        <v>286</v>
      </c>
      <c r="F4474" t="s">
        <v>948</v>
      </c>
      <c r="G4474">
        <v>1077777</v>
      </c>
      <c r="H4474">
        <v>501010</v>
      </c>
      <c r="I4474" t="s">
        <v>949</v>
      </c>
    </row>
    <row r="4475" spans="1:9" x14ac:dyDescent="0.25">
      <c r="A4475">
        <v>4230</v>
      </c>
      <c r="B4475">
        <v>10</v>
      </c>
      <c r="C4475" t="s">
        <v>946</v>
      </c>
      <c r="D4475" t="s">
        <v>1031</v>
      </c>
      <c r="E4475" t="s">
        <v>286</v>
      </c>
      <c r="F4475" t="s">
        <v>948</v>
      </c>
      <c r="G4475">
        <v>1099999</v>
      </c>
      <c r="H4475">
        <v>401032</v>
      </c>
      <c r="I4475" t="s">
        <v>949</v>
      </c>
    </row>
    <row r="4476" spans="1:9" x14ac:dyDescent="0.25">
      <c r="A4476">
        <v>4240</v>
      </c>
      <c r="B4476">
        <v>10</v>
      </c>
      <c r="C4476" t="s">
        <v>946</v>
      </c>
      <c r="D4476" t="s">
        <v>1031</v>
      </c>
      <c r="E4476" t="s">
        <v>286</v>
      </c>
      <c r="F4476" t="s">
        <v>948</v>
      </c>
      <c r="G4476">
        <v>1000000</v>
      </c>
      <c r="H4476">
        <v>145000</v>
      </c>
      <c r="I4476" t="s">
        <v>949</v>
      </c>
    </row>
    <row r="4477" spans="1:9" x14ac:dyDescent="0.25">
      <c r="A4477">
        <v>4141</v>
      </c>
      <c r="B4477">
        <v>10</v>
      </c>
      <c r="C4477" t="s">
        <v>946</v>
      </c>
      <c r="D4477" t="s">
        <v>1031</v>
      </c>
      <c r="E4477" t="s">
        <v>976</v>
      </c>
      <c r="F4477" t="s">
        <v>948</v>
      </c>
      <c r="G4477">
        <v>1077777</v>
      </c>
      <c r="H4477">
        <v>501010</v>
      </c>
      <c r="I4477" t="s">
        <v>949</v>
      </c>
    </row>
    <row r="4478" spans="1:9" x14ac:dyDescent="0.25">
      <c r="A4478">
        <v>4220</v>
      </c>
      <c r="B4478">
        <v>10</v>
      </c>
      <c r="C4478" t="s">
        <v>946</v>
      </c>
      <c r="D4478" t="s">
        <v>1031</v>
      </c>
      <c r="E4478" t="s">
        <v>976</v>
      </c>
      <c r="F4478" t="s">
        <v>948</v>
      </c>
      <c r="G4478">
        <v>1077777</v>
      </c>
      <c r="H4478">
        <v>501010</v>
      </c>
      <c r="I4478" t="s">
        <v>949</v>
      </c>
    </row>
    <row r="4479" spans="1:9" x14ac:dyDescent="0.25">
      <c r="A4479">
        <v>4230</v>
      </c>
      <c r="B4479">
        <v>10</v>
      </c>
      <c r="C4479" t="s">
        <v>946</v>
      </c>
      <c r="D4479" t="s">
        <v>1031</v>
      </c>
      <c r="E4479" t="s">
        <v>976</v>
      </c>
      <c r="F4479" t="s">
        <v>948</v>
      </c>
      <c r="G4479">
        <v>1099999</v>
      </c>
      <c r="H4479">
        <v>401912</v>
      </c>
      <c r="I4479" t="s">
        <v>949</v>
      </c>
    </row>
    <row r="4480" spans="1:9" x14ac:dyDescent="0.25">
      <c r="A4480">
        <v>4240</v>
      </c>
      <c r="B4480">
        <v>10</v>
      </c>
      <c r="C4480" t="s">
        <v>946</v>
      </c>
      <c r="D4480" t="s">
        <v>1031</v>
      </c>
      <c r="E4480" t="s">
        <v>976</v>
      </c>
      <c r="F4480" t="s">
        <v>948</v>
      </c>
      <c r="G4480">
        <v>1000000</v>
      </c>
      <c r="H4480">
        <v>141000</v>
      </c>
      <c r="I4480" t="s">
        <v>977</v>
      </c>
    </row>
    <row r="4481" spans="1:9" x14ac:dyDescent="0.25">
      <c r="A4481">
        <v>4141</v>
      </c>
      <c r="B4481">
        <v>10</v>
      </c>
      <c r="C4481" t="s">
        <v>946</v>
      </c>
      <c r="D4481" t="s">
        <v>1031</v>
      </c>
      <c r="E4481" t="s">
        <v>290</v>
      </c>
      <c r="F4481" t="s">
        <v>948</v>
      </c>
      <c r="G4481">
        <v>1077777</v>
      </c>
      <c r="H4481">
        <v>501010</v>
      </c>
      <c r="I4481" t="s">
        <v>949</v>
      </c>
    </row>
    <row r="4482" spans="1:9" x14ac:dyDescent="0.25">
      <c r="A4482">
        <v>4220</v>
      </c>
      <c r="B4482">
        <v>10</v>
      </c>
      <c r="C4482" t="s">
        <v>946</v>
      </c>
      <c r="D4482" t="s">
        <v>1031</v>
      </c>
      <c r="E4482" t="s">
        <v>290</v>
      </c>
      <c r="F4482" t="s">
        <v>948</v>
      </c>
      <c r="G4482">
        <v>1077777</v>
      </c>
      <c r="H4482">
        <v>501010</v>
      </c>
      <c r="I4482" t="s">
        <v>949</v>
      </c>
    </row>
    <row r="4483" spans="1:9" x14ac:dyDescent="0.25">
      <c r="A4483">
        <v>4230</v>
      </c>
      <c r="B4483">
        <v>10</v>
      </c>
      <c r="C4483" t="s">
        <v>946</v>
      </c>
      <c r="D4483" t="s">
        <v>1031</v>
      </c>
      <c r="E4483" t="s">
        <v>290</v>
      </c>
      <c r="F4483" t="s">
        <v>948</v>
      </c>
      <c r="G4483">
        <v>1099999</v>
      </c>
      <c r="H4483">
        <v>401042</v>
      </c>
      <c r="I4483" t="s">
        <v>949</v>
      </c>
    </row>
    <row r="4484" spans="1:9" x14ac:dyDescent="0.25">
      <c r="A4484">
        <v>4240</v>
      </c>
      <c r="B4484">
        <v>10</v>
      </c>
      <c r="C4484" t="s">
        <v>946</v>
      </c>
      <c r="D4484" t="s">
        <v>1031</v>
      </c>
      <c r="E4484" t="s">
        <v>290</v>
      </c>
      <c r="F4484" t="s">
        <v>948</v>
      </c>
      <c r="G4484">
        <v>1000000</v>
      </c>
      <c r="H4484">
        <v>143000</v>
      </c>
      <c r="I4484" t="s">
        <v>978</v>
      </c>
    </row>
    <row r="4485" spans="1:9" x14ac:dyDescent="0.25">
      <c r="A4485">
        <v>4141</v>
      </c>
      <c r="B4485">
        <v>10</v>
      </c>
      <c r="C4485" t="s">
        <v>946</v>
      </c>
      <c r="D4485" t="s">
        <v>1031</v>
      </c>
      <c r="E4485" t="s">
        <v>294</v>
      </c>
      <c r="F4485" t="s">
        <v>948</v>
      </c>
      <c r="G4485">
        <v>1077777</v>
      </c>
      <c r="H4485">
        <v>501010</v>
      </c>
      <c r="I4485" t="s">
        <v>949</v>
      </c>
    </row>
    <row r="4486" spans="1:9" x14ac:dyDescent="0.25">
      <c r="A4486">
        <v>4220</v>
      </c>
      <c r="B4486">
        <v>10</v>
      </c>
      <c r="C4486" t="s">
        <v>946</v>
      </c>
      <c r="D4486" t="s">
        <v>1031</v>
      </c>
      <c r="E4486" t="s">
        <v>294</v>
      </c>
      <c r="F4486" t="s">
        <v>948</v>
      </c>
      <c r="G4486">
        <v>1077777</v>
      </c>
      <c r="H4486">
        <v>501010</v>
      </c>
      <c r="I4486" t="s">
        <v>949</v>
      </c>
    </row>
    <row r="4487" spans="1:9" x14ac:dyDescent="0.25">
      <c r="A4487">
        <v>4230</v>
      </c>
      <c r="B4487">
        <v>10</v>
      </c>
      <c r="C4487" t="s">
        <v>946</v>
      </c>
      <c r="D4487" t="s">
        <v>1031</v>
      </c>
      <c r="E4487" t="s">
        <v>294</v>
      </c>
      <c r="F4487" t="s">
        <v>948</v>
      </c>
      <c r="G4487">
        <v>1099999</v>
      </c>
      <c r="H4487">
        <v>401042</v>
      </c>
      <c r="I4487" t="s">
        <v>949</v>
      </c>
    </row>
    <row r="4488" spans="1:9" x14ac:dyDescent="0.25">
      <c r="A4488">
        <v>4240</v>
      </c>
      <c r="B4488">
        <v>10</v>
      </c>
      <c r="C4488" t="s">
        <v>946</v>
      </c>
      <c r="D4488" t="s">
        <v>1031</v>
      </c>
      <c r="E4488" t="s">
        <v>294</v>
      </c>
      <c r="F4488" t="s">
        <v>948</v>
      </c>
      <c r="G4488">
        <v>1000000</v>
      </c>
      <c r="H4488">
        <v>143000</v>
      </c>
      <c r="I4488" t="s">
        <v>979</v>
      </c>
    </row>
    <row r="4489" spans="1:9" x14ac:dyDescent="0.25">
      <c r="A4489">
        <v>4230</v>
      </c>
      <c r="B4489">
        <v>10</v>
      </c>
      <c r="C4489" t="s">
        <v>946</v>
      </c>
      <c r="D4489" t="s">
        <v>1031</v>
      </c>
      <c r="E4489" t="s">
        <v>298</v>
      </c>
      <c r="F4489" t="s">
        <v>948</v>
      </c>
      <c r="G4489">
        <v>1099999</v>
      </c>
      <c r="H4489">
        <v>402082</v>
      </c>
      <c r="I4489" t="s">
        <v>949</v>
      </c>
    </row>
    <row r="4490" spans="1:9" x14ac:dyDescent="0.25">
      <c r="A4490">
        <v>4141</v>
      </c>
      <c r="B4490">
        <v>10</v>
      </c>
      <c r="C4490" t="s">
        <v>946</v>
      </c>
      <c r="D4490" t="s">
        <v>1031</v>
      </c>
      <c r="E4490" t="s">
        <v>980</v>
      </c>
      <c r="F4490" t="s">
        <v>948</v>
      </c>
      <c r="G4490">
        <v>1077777</v>
      </c>
      <c r="H4490">
        <v>501010</v>
      </c>
      <c r="I4490" t="s">
        <v>949</v>
      </c>
    </row>
    <row r="4491" spans="1:9" x14ac:dyDescent="0.25">
      <c r="A4491">
        <v>4220</v>
      </c>
      <c r="B4491">
        <v>10</v>
      </c>
      <c r="C4491" t="s">
        <v>946</v>
      </c>
      <c r="D4491" t="s">
        <v>1031</v>
      </c>
      <c r="E4491" t="s">
        <v>980</v>
      </c>
      <c r="F4491" t="s">
        <v>948</v>
      </c>
      <c r="G4491">
        <v>1077777</v>
      </c>
      <c r="H4491">
        <v>501010</v>
      </c>
      <c r="I4491" t="s">
        <v>949</v>
      </c>
    </row>
    <row r="4492" spans="1:9" x14ac:dyDescent="0.25">
      <c r="A4492">
        <v>4230</v>
      </c>
      <c r="B4492">
        <v>10</v>
      </c>
      <c r="C4492" t="s">
        <v>946</v>
      </c>
      <c r="D4492" t="s">
        <v>1031</v>
      </c>
      <c r="E4492" t="s">
        <v>980</v>
      </c>
      <c r="F4492" t="s">
        <v>948</v>
      </c>
      <c r="G4492">
        <v>1099999</v>
      </c>
      <c r="H4492">
        <v>401912</v>
      </c>
      <c r="I4492" t="s">
        <v>949</v>
      </c>
    </row>
    <row r="4493" spans="1:9" x14ac:dyDescent="0.25">
      <c r="A4493">
        <v>4240</v>
      </c>
      <c r="B4493">
        <v>10</v>
      </c>
      <c r="C4493" t="s">
        <v>946</v>
      </c>
      <c r="D4493" t="s">
        <v>1031</v>
      </c>
      <c r="E4493" t="s">
        <v>980</v>
      </c>
      <c r="F4493" t="s">
        <v>948</v>
      </c>
      <c r="G4493">
        <v>1000000</v>
      </c>
      <c r="H4493">
        <v>141000</v>
      </c>
      <c r="I4493" t="s">
        <v>981</v>
      </c>
    </row>
    <row r="4494" spans="1:9" x14ac:dyDescent="0.25">
      <c r="A4494">
        <v>4141</v>
      </c>
      <c r="B4494">
        <v>10</v>
      </c>
      <c r="C4494" t="s">
        <v>946</v>
      </c>
      <c r="D4494" t="s">
        <v>1031</v>
      </c>
      <c r="E4494" t="s">
        <v>302</v>
      </c>
      <c r="F4494" t="s">
        <v>948</v>
      </c>
      <c r="G4494">
        <v>1077777</v>
      </c>
      <c r="H4494">
        <v>501010</v>
      </c>
      <c r="I4494" t="s">
        <v>949</v>
      </c>
    </row>
    <row r="4495" spans="1:9" x14ac:dyDescent="0.25">
      <c r="A4495">
        <v>4220</v>
      </c>
      <c r="B4495">
        <v>10</v>
      </c>
      <c r="C4495" t="s">
        <v>946</v>
      </c>
      <c r="D4495" t="s">
        <v>1031</v>
      </c>
      <c r="E4495" t="s">
        <v>302</v>
      </c>
      <c r="F4495" t="s">
        <v>948</v>
      </c>
      <c r="G4495">
        <v>1077777</v>
      </c>
      <c r="H4495">
        <v>501010</v>
      </c>
      <c r="I4495" t="s">
        <v>949</v>
      </c>
    </row>
    <row r="4496" spans="1:9" x14ac:dyDescent="0.25">
      <c r="A4496">
        <v>4230</v>
      </c>
      <c r="B4496">
        <v>10</v>
      </c>
      <c r="C4496" t="s">
        <v>946</v>
      </c>
      <c r="D4496" t="s">
        <v>1031</v>
      </c>
      <c r="E4496" t="s">
        <v>302</v>
      </c>
      <c r="F4496" t="s">
        <v>948</v>
      </c>
      <c r="G4496">
        <v>1099999</v>
      </c>
      <c r="H4496">
        <v>401902</v>
      </c>
      <c r="I4496" t="s">
        <v>949</v>
      </c>
    </row>
    <row r="4497" spans="1:9" x14ac:dyDescent="0.25">
      <c r="A4497">
        <v>4240</v>
      </c>
      <c r="B4497">
        <v>10</v>
      </c>
      <c r="C4497" t="s">
        <v>946</v>
      </c>
      <c r="D4497" t="s">
        <v>1031</v>
      </c>
      <c r="E4497" t="s">
        <v>302</v>
      </c>
      <c r="F4497" t="s">
        <v>948</v>
      </c>
      <c r="G4497">
        <v>1000000</v>
      </c>
      <c r="H4497">
        <v>143000</v>
      </c>
      <c r="I4497" t="s">
        <v>982</v>
      </c>
    </row>
    <row r="4498" spans="1:9" x14ac:dyDescent="0.25">
      <c r="A4498">
        <v>4141</v>
      </c>
      <c r="B4498">
        <v>10</v>
      </c>
      <c r="C4498" t="s">
        <v>946</v>
      </c>
      <c r="D4498" t="s">
        <v>1031</v>
      </c>
      <c r="E4498" t="s">
        <v>306</v>
      </c>
      <c r="F4498" t="s">
        <v>948</v>
      </c>
      <c r="G4498">
        <v>1077777</v>
      </c>
      <c r="H4498">
        <v>501010</v>
      </c>
      <c r="I4498" t="s">
        <v>949</v>
      </c>
    </row>
    <row r="4499" spans="1:9" x14ac:dyDescent="0.25">
      <c r="A4499">
        <v>4220</v>
      </c>
      <c r="B4499">
        <v>10</v>
      </c>
      <c r="C4499" t="s">
        <v>946</v>
      </c>
      <c r="D4499" t="s">
        <v>1031</v>
      </c>
      <c r="E4499" t="s">
        <v>306</v>
      </c>
      <c r="F4499" t="s">
        <v>948</v>
      </c>
      <c r="G4499">
        <v>1077777</v>
      </c>
      <c r="H4499">
        <v>501010</v>
      </c>
      <c r="I4499" t="s">
        <v>949</v>
      </c>
    </row>
    <row r="4500" spans="1:9" x14ac:dyDescent="0.25">
      <c r="A4500">
        <v>4230</v>
      </c>
      <c r="B4500">
        <v>10</v>
      </c>
      <c r="C4500" t="s">
        <v>946</v>
      </c>
      <c r="D4500" t="s">
        <v>1031</v>
      </c>
      <c r="E4500" t="s">
        <v>306</v>
      </c>
      <c r="F4500" t="s">
        <v>948</v>
      </c>
      <c r="G4500">
        <v>1099999</v>
      </c>
      <c r="H4500">
        <v>401042</v>
      </c>
      <c r="I4500" t="s">
        <v>949</v>
      </c>
    </row>
    <row r="4501" spans="1:9" x14ac:dyDescent="0.25">
      <c r="A4501">
        <v>4240</v>
      </c>
      <c r="B4501">
        <v>10</v>
      </c>
      <c r="C4501" t="s">
        <v>946</v>
      </c>
      <c r="D4501" t="s">
        <v>1031</v>
      </c>
      <c r="E4501" t="s">
        <v>306</v>
      </c>
      <c r="F4501" t="s">
        <v>948</v>
      </c>
      <c r="G4501">
        <v>1000000</v>
      </c>
      <c r="H4501">
        <v>143000</v>
      </c>
      <c r="I4501" t="s">
        <v>983</v>
      </c>
    </row>
    <row r="4502" spans="1:9" x14ac:dyDescent="0.25">
      <c r="A4502">
        <v>4141</v>
      </c>
      <c r="B4502">
        <v>10</v>
      </c>
      <c r="C4502" t="s">
        <v>946</v>
      </c>
      <c r="D4502" t="s">
        <v>1031</v>
      </c>
      <c r="E4502" t="s">
        <v>108</v>
      </c>
      <c r="F4502" t="s">
        <v>948</v>
      </c>
      <c r="G4502">
        <v>1077777</v>
      </c>
      <c r="H4502">
        <v>500220</v>
      </c>
      <c r="I4502" t="s">
        <v>949</v>
      </c>
    </row>
    <row r="4503" spans="1:9" x14ac:dyDescent="0.25">
      <c r="A4503">
        <v>4220</v>
      </c>
      <c r="B4503">
        <v>10</v>
      </c>
      <c r="C4503" t="s">
        <v>946</v>
      </c>
      <c r="D4503" t="s">
        <v>1031</v>
      </c>
      <c r="E4503" t="s">
        <v>108</v>
      </c>
      <c r="F4503" t="s">
        <v>948</v>
      </c>
      <c r="G4503">
        <v>1077777</v>
      </c>
      <c r="H4503">
        <v>500220</v>
      </c>
      <c r="I4503" t="s">
        <v>949</v>
      </c>
    </row>
    <row r="4504" spans="1:9" x14ac:dyDescent="0.25">
      <c r="A4504">
        <v>4230</v>
      </c>
      <c r="B4504">
        <v>10</v>
      </c>
      <c r="C4504" t="s">
        <v>946</v>
      </c>
      <c r="D4504" t="s">
        <v>1031</v>
      </c>
      <c r="E4504" t="s">
        <v>108</v>
      </c>
      <c r="F4504" t="s">
        <v>948</v>
      </c>
      <c r="G4504">
        <v>1099999</v>
      </c>
      <c r="H4504">
        <v>401042</v>
      </c>
      <c r="I4504" t="s">
        <v>949</v>
      </c>
    </row>
    <row r="4505" spans="1:9" x14ac:dyDescent="0.25">
      <c r="A4505">
        <v>4240</v>
      </c>
      <c r="B4505">
        <v>10</v>
      </c>
      <c r="C4505" t="s">
        <v>946</v>
      </c>
      <c r="D4505" t="s">
        <v>1031</v>
      </c>
      <c r="E4505" t="s">
        <v>108</v>
      </c>
      <c r="F4505" t="s">
        <v>948</v>
      </c>
      <c r="G4505">
        <v>1077777</v>
      </c>
      <c r="H4505">
        <v>500221</v>
      </c>
      <c r="I4505" t="s">
        <v>949</v>
      </c>
    </row>
    <row r="4506" spans="1:9" x14ac:dyDescent="0.25">
      <c r="A4506">
        <v>4141</v>
      </c>
      <c r="B4506">
        <v>10</v>
      </c>
      <c r="C4506" t="s">
        <v>946</v>
      </c>
      <c r="D4506" t="s">
        <v>1031</v>
      </c>
      <c r="E4506" t="s">
        <v>310</v>
      </c>
      <c r="F4506" t="s">
        <v>948</v>
      </c>
      <c r="G4506">
        <v>1077777</v>
      </c>
      <c r="H4506">
        <v>501010</v>
      </c>
      <c r="I4506" t="s">
        <v>949</v>
      </c>
    </row>
    <row r="4507" spans="1:9" x14ac:dyDescent="0.25">
      <c r="A4507">
        <v>4220</v>
      </c>
      <c r="B4507">
        <v>10</v>
      </c>
      <c r="C4507" t="s">
        <v>946</v>
      </c>
      <c r="D4507" t="s">
        <v>1031</v>
      </c>
      <c r="E4507" t="s">
        <v>310</v>
      </c>
      <c r="F4507" t="s">
        <v>948</v>
      </c>
      <c r="G4507">
        <v>1077777</v>
      </c>
      <c r="H4507">
        <v>501010</v>
      </c>
      <c r="I4507" t="s">
        <v>949</v>
      </c>
    </row>
    <row r="4508" spans="1:9" x14ac:dyDescent="0.25">
      <c r="A4508">
        <v>4230</v>
      </c>
      <c r="B4508">
        <v>10</v>
      </c>
      <c r="C4508" t="s">
        <v>946</v>
      </c>
      <c r="D4508" t="s">
        <v>1031</v>
      </c>
      <c r="E4508" t="s">
        <v>310</v>
      </c>
      <c r="F4508" t="s">
        <v>948</v>
      </c>
      <c r="G4508">
        <v>1099999</v>
      </c>
      <c r="H4508">
        <v>401012</v>
      </c>
      <c r="I4508" t="s">
        <v>949</v>
      </c>
    </row>
    <row r="4509" spans="1:9" x14ac:dyDescent="0.25">
      <c r="A4509">
        <v>4240</v>
      </c>
      <c r="B4509">
        <v>10</v>
      </c>
      <c r="C4509" t="s">
        <v>946</v>
      </c>
      <c r="D4509" t="s">
        <v>1031</v>
      </c>
      <c r="E4509" t="s">
        <v>310</v>
      </c>
      <c r="F4509" t="s">
        <v>948</v>
      </c>
      <c r="G4509">
        <v>1000000</v>
      </c>
      <c r="H4509">
        <v>145000</v>
      </c>
      <c r="I4509" t="s">
        <v>949</v>
      </c>
    </row>
    <row r="4510" spans="1:9" x14ac:dyDescent="0.25">
      <c r="A4510">
        <v>4141</v>
      </c>
      <c r="B4510">
        <v>10</v>
      </c>
      <c r="C4510" t="s">
        <v>946</v>
      </c>
      <c r="D4510" t="s">
        <v>1031</v>
      </c>
      <c r="E4510" t="s">
        <v>314</v>
      </c>
      <c r="F4510" t="s">
        <v>948</v>
      </c>
      <c r="G4510">
        <v>1077777</v>
      </c>
      <c r="H4510">
        <v>501010</v>
      </c>
      <c r="I4510" t="s">
        <v>949</v>
      </c>
    </row>
    <row r="4511" spans="1:9" x14ac:dyDescent="0.25">
      <c r="A4511">
        <v>4220</v>
      </c>
      <c r="B4511">
        <v>10</v>
      </c>
      <c r="C4511" t="s">
        <v>946</v>
      </c>
      <c r="D4511" t="s">
        <v>1031</v>
      </c>
      <c r="E4511" t="s">
        <v>314</v>
      </c>
      <c r="F4511" t="s">
        <v>948</v>
      </c>
      <c r="G4511">
        <v>1077777</v>
      </c>
      <c r="H4511">
        <v>501010</v>
      </c>
      <c r="I4511" t="s">
        <v>949</v>
      </c>
    </row>
    <row r="4512" spans="1:9" x14ac:dyDescent="0.25">
      <c r="A4512">
        <v>4230</v>
      </c>
      <c r="B4512">
        <v>10</v>
      </c>
      <c r="C4512" t="s">
        <v>946</v>
      </c>
      <c r="D4512" t="s">
        <v>1031</v>
      </c>
      <c r="E4512" t="s">
        <v>314</v>
      </c>
      <c r="F4512" t="s">
        <v>948</v>
      </c>
      <c r="G4512">
        <v>1099999</v>
      </c>
      <c r="H4512">
        <v>401062</v>
      </c>
      <c r="I4512" t="s">
        <v>949</v>
      </c>
    </row>
    <row r="4513" spans="1:9" x14ac:dyDescent="0.25">
      <c r="A4513">
        <v>4240</v>
      </c>
      <c r="B4513">
        <v>10</v>
      </c>
      <c r="C4513" t="s">
        <v>946</v>
      </c>
      <c r="D4513" t="s">
        <v>1031</v>
      </c>
      <c r="E4513" t="s">
        <v>314</v>
      </c>
      <c r="F4513" t="s">
        <v>948</v>
      </c>
      <c r="G4513">
        <v>1000000</v>
      </c>
      <c r="H4513">
        <v>145000</v>
      </c>
      <c r="I4513" t="s">
        <v>949</v>
      </c>
    </row>
    <row r="4514" spans="1:9" x14ac:dyDescent="0.25">
      <c r="A4514">
        <v>4141</v>
      </c>
      <c r="B4514">
        <v>10</v>
      </c>
      <c r="C4514" t="s">
        <v>946</v>
      </c>
      <c r="D4514" t="s">
        <v>1031</v>
      </c>
      <c r="E4514" t="s">
        <v>113</v>
      </c>
      <c r="F4514" t="s">
        <v>948</v>
      </c>
      <c r="G4514">
        <v>1077777</v>
      </c>
      <c r="H4514">
        <v>500220</v>
      </c>
      <c r="I4514" t="s">
        <v>949</v>
      </c>
    </row>
    <row r="4515" spans="1:9" x14ac:dyDescent="0.25">
      <c r="A4515">
        <v>4220</v>
      </c>
      <c r="B4515">
        <v>10</v>
      </c>
      <c r="C4515" t="s">
        <v>946</v>
      </c>
      <c r="D4515" t="s">
        <v>1031</v>
      </c>
      <c r="E4515" t="s">
        <v>113</v>
      </c>
      <c r="F4515" t="s">
        <v>948</v>
      </c>
      <c r="G4515">
        <v>1077777</v>
      </c>
      <c r="H4515">
        <v>500220</v>
      </c>
      <c r="I4515" t="s">
        <v>949</v>
      </c>
    </row>
    <row r="4516" spans="1:9" x14ac:dyDescent="0.25">
      <c r="A4516">
        <v>4230</v>
      </c>
      <c r="B4516">
        <v>10</v>
      </c>
      <c r="C4516" t="s">
        <v>946</v>
      </c>
      <c r="D4516" t="s">
        <v>1031</v>
      </c>
      <c r="E4516" t="s">
        <v>113</v>
      </c>
      <c r="F4516" t="s">
        <v>948</v>
      </c>
      <c r="G4516">
        <v>1099999</v>
      </c>
      <c r="H4516">
        <v>402082</v>
      </c>
      <c r="I4516" t="s">
        <v>949</v>
      </c>
    </row>
    <row r="4517" spans="1:9" x14ac:dyDescent="0.25">
      <c r="A4517">
        <v>4240</v>
      </c>
      <c r="B4517">
        <v>10</v>
      </c>
      <c r="C4517" t="s">
        <v>946</v>
      </c>
      <c r="D4517" t="s">
        <v>1031</v>
      </c>
      <c r="E4517" t="s">
        <v>113</v>
      </c>
      <c r="F4517" t="s">
        <v>948</v>
      </c>
      <c r="G4517">
        <v>1077777</v>
      </c>
      <c r="H4517">
        <v>500221</v>
      </c>
      <c r="I4517" t="s">
        <v>949</v>
      </c>
    </row>
    <row r="4518" spans="1:9" x14ac:dyDescent="0.25">
      <c r="A4518">
        <v>4141</v>
      </c>
      <c r="B4518">
        <v>10</v>
      </c>
      <c r="C4518" t="s">
        <v>946</v>
      </c>
      <c r="D4518" t="s">
        <v>1031</v>
      </c>
      <c r="E4518" t="s">
        <v>117</v>
      </c>
      <c r="F4518" t="s">
        <v>948</v>
      </c>
      <c r="G4518">
        <v>1077777</v>
      </c>
      <c r="H4518">
        <v>500220</v>
      </c>
      <c r="I4518" t="s">
        <v>949</v>
      </c>
    </row>
    <row r="4519" spans="1:9" x14ac:dyDescent="0.25">
      <c r="A4519">
        <v>4220</v>
      </c>
      <c r="B4519">
        <v>10</v>
      </c>
      <c r="C4519" t="s">
        <v>946</v>
      </c>
      <c r="D4519" t="s">
        <v>1031</v>
      </c>
      <c r="E4519" t="s">
        <v>117</v>
      </c>
      <c r="F4519" t="s">
        <v>948</v>
      </c>
      <c r="G4519">
        <v>1077777</v>
      </c>
      <c r="H4519">
        <v>500220</v>
      </c>
      <c r="I4519" t="s">
        <v>949</v>
      </c>
    </row>
    <row r="4520" spans="1:9" x14ac:dyDescent="0.25">
      <c r="A4520">
        <v>4230</v>
      </c>
      <c r="B4520">
        <v>10</v>
      </c>
      <c r="C4520" t="s">
        <v>946</v>
      </c>
      <c r="D4520" t="s">
        <v>1031</v>
      </c>
      <c r="E4520" t="s">
        <v>117</v>
      </c>
      <c r="F4520" t="s">
        <v>948</v>
      </c>
      <c r="G4520">
        <v>1088888</v>
      </c>
      <c r="H4520">
        <v>810600</v>
      </c>
      <c r="I4520" t="s">
        <v>949</v>
      </c>
    </row>
    <row r="4521" spans="1:9" x14ac:dyDescent="0.25">
      <c r="A4521">
        <v>4240</v>
      </c>
      <c r="B4521">
        <v>10</v>
      </c>
      <c r="C4521" t="s">
        <v>946</v>
      </c>
      <c r="D4521" t="s">
        <v>1031</v>
      </c>
      <c r="E4521" t="s">
        <v>117</v>
      </c>
      <c r="F4521" t="s">
        <v>948</v>
      </c>
      <c r="G4521">
        <v>1077777</v>
      </c>
      <c r="H4521">
        <v>500221</v>
      </c>
      <c r="I4521" t="s">
        <v>949</v>
      </c>
    </row>
    <row r="4522" spans="1:9" x14ac:dyDescent="0.25">
      <c r="A4522">
        <v>4141</v>
      </c>
      <c r="B4522">
        <v>10</v>
      </c>
      <c r="C4522" t="s">
        <v>946</v>
      </c>
      <c r="D4522" t="s">
        <v>1031</v>
      </c>
      <c r="E4522" t="s">
        <v>121</v>
      </c>
      <c r="F4522" t="s">
        <v>948</v>
      </c>
      <c r="G4522">
        <v>1077777</v>
      </c>
      <c r="H4522">
        <v>500220</v>
      </c>
      <c r="I4522" t="s">
        <v>949</v>
      </c>
    </row>
    <row r="4523" spans="1:9" x14ac:dyDescent="0.25">
      <c r="A4523">
        <v>4220</v>
      </c>
      <c r="B4523">
        <v>10</v>
      </c>
      <c r="C4523" t="s">
        <v>946</v>
      </c>
      <c r="D4523" t="s">
        <v>1031</v>
      </c>
      <c r="E4523" t="s">
        <v>121</v>
      </c>
      <c r="F4523" t="s">
        <v>948</v>
      </c>
      <c r="G4523">
        <v>1077777</v>
      </c>
      <c r="H4523">
        <v>500220</v>
      </c>
      <c r="I4523" t="s">
        <v>949</v>
      </c>
    </row>
    <row r="4524" spans="1:9" x14ac:dyDescent="0.25">
      <c r="A4524">
        <v>4230</v>
      </c>
      <c r="B4524">
        <v>10</v>
      </c>
      <c r="C4524" t="s">
        <v>946</v>
      </c>
      <c r="D4524" t="s">
        <v>1031</v>
      </c>
      <c r="E4524" t="s">
        <v>121</v>
      </c>
      <c r="F4524" t="s">
        <v>948</v>
      </c>
      <c r="G4524">
        <v>1099999</v>
      </c>
      <c r="H4524">
        <v>401042</v>
      </c>
      <c r="I4524" t="s">
        <v>949</v>
      </c>
    </row>
    <row r="4525" spans="1:9" x14ac:dyDescent="0.25">
      <c r="A4525">
        <v>4240</v>
      </c>
      <c r="B4525">
        <v>10</v>
      </c>
      <c r="C4525" t="s">
        <v>946</v>
      </c>
      <c r="D4525" t="s">
        <v>1031</v>
      </c>
      <c r="E4525" t="s">
        <v>121</v>
      </c>
      <c r="F4525" t="s">
        <v>948</v>
      </c>
      <c r="G4525">
        <v>1077777</v>
      </c>
      <c r="H4525">
        <v>500221</v>
      </c>
      <c r="I4525" t="s">
        <v>949</v>
      </c>
    </row>
    <row r="4526" spans="1:9" x14ac:dyDescent="0.25">
      <c r="A4526">
        <v>4141</v>
      </c>
      <c r="B4526">
        <v>10</v>
      </c>
      <c r="C4526" t="s">
        <v>946</v>
      </c>
      <c r="D4526" t="s">
        <v>1031</v>
      </c>
      <c r="E4526" t="s">
        <v>984</v>
      </c>
      <c r="F4526" t="s">
        <v>948</v>
      </c>
      <c r="G4526">
        <v>1077777</v>
      </c>
      <c r="H4526">
        <v>501010</v>
      </c>
      <c r="I4526" t="s">
        <v>949</v>
      </c>
    </row>
    <row r="4527" spans="1:9" x14ac:dyDescent="0.25">
      <c r="A4527">
        <v>4220</v>
      </c>
      <c r="B4527">
        <v>10</v>
      </c>
      <c r="C4527" t="s">
        <v>946</v>
      </c>
      <c r="D4527" t="s">
        <v>1031</v>
      </c>
      <c r="E4527" t="s">
        <v>984</v>
      </c>
      <c r="F4527" t="s">
        <v>948</v>
      </c>
      <c r="G4527">
        <v>1077777</v>
      </c>
      <c r="H4527">
        <v>501010</v>
      </c>
      <c r="I4527" t="s">
        <v>949</v>
      </c>
    </row>
    <row r="4528" spans="1:9" x14ac:dyDescent="0.25">
      <c r="A4528">
        <v>4230</v>
      </c>
      <c r="B4528">
        <v>10</v>
      </c>
      <c r="C4528" t="s">
        <v>946</v>
      </c>
      <c r="D4528" t="s">
        <v>1031</v>
      </c>
      <c r="E4528" t="s">
        <v>984</v>
      </c>
      <c r="F4528" t="s">
        <v>948</v>
      </c>
      <c r="G4528">
        <v>1099999</v>
      </c>
      <c r="H4528">
        <v>401912</v>
      </c>
      <c r="I4528" t="s">
        <v>949</v>
      </c>
    </row>
    <row r="4529" spans="1:9" x14ac:dyDescent="0.25">
      <c r="A4529">
        <v>4240</v>
      </c>
      <c r="B4529">
        <v>10</v>
      </c>
      <c r="C4529" t="s">
        <v>946</v>
      </c>
      <c r="D4529" t="s">
        <v>1031</v>
      </c>
      <c r="E4529" t="s">
        <v>984</v>
      </c>
      <c r="F4529" t="s">
        <v>948</v>
      </c>
      <c r="G4529">
        <v>1000000</v>
      </c>
      <c r="H4529">
        <v>141000</v>
      </c>
      <c r="I4529" t="s">
        <v>985</v>
      </c>
    </row>
    <row r="4530" spans="1:9" x14ac:dyDescent="0.25">
      <c r="A4530">
        <v>4141</v>
      </c>
      <c r="B4530">
        <v>10</v>
      </c>
      <c r="C4530" t="s">
        <v>946</v>
      </c>
      <c r="D4530" t="s">
        <v>94</v>
      </c>
      <c r="E4530" t="s">
        <v>243</v>
      </c>
      <c r="F4530" t="s">
        <v>948</v>
      </c>
      <c r="G4530">
        <v>1077777</v>
      </c>
      <c r="H4530">
        <v>501010</v>
      </c>
      <c r="I4530" t="s">
        <v>949</v>
      </c>
    </row>
    <row r="4531" spans="1:9" x14ac:dyDescent="0.25">
      <c r="A4531">
        <v>4220</v>
      </c>
      <c r="B4531">
        <v>10</v>
      </c>
      <c r="C4531" t="s">
        <v>946</v>
      </c>
      <c r="D4531" t="s">
        <v>94</v>
      </c>
      <c r="E4531" t="s">
        <v>243</v>
      </c>
      <c r="F4531" t="s">
        <v>948</v>
      </c>
      <c r="G4531">
        <v>1077777</v>
      </c>
      <c r="H4531">
        <v>501010</v>
      </c>
      <c r="I4531" t="s">
        <v>949</v>
      </c>
    </row>
    <row r="4532" spans="1:9" x14ac:dyDescent="0.25">
      <c r="A4532">
        <v>4230</v>
      </c>
      <c r="B4532">
        <v>10</v>
      </c>
      <c r="C4532" t="s">
        <v>946</v>
      </c>
      <c r="D4532" t="s">
        <v>94</v>
      </c>
      <c r="E4532" t="s">
        <v>243</v>
      </c>
      <c r="F4532" t="s">
        <v>948</v>
      </c>
      <c r="G4532">
        <v>1099999</v>
      </c>
      <c r="H4532">
        <v>401052</v>
      </c>
      <c r="I4532" t="s">
        <v>949</v>
      </c>
    </row>
    <row r="4533" spans="1:9" x14ac:dyDescent="0.25">
      <c r="A4533">
        <v>4240</v>
      </c>
      <c r="B4533">
        <v>10</v>
      </c>
      <c r="C4533" t="s">
        <v>946</v>
      </c>
      <c r="D4533" t="s">
        <v>94</v>
      </c>
      <c r="E4533" t="s">
        <v>243</v>
      </c>
      <c r="F4533" t="s">
        <v>948</v>
      </c>
      <c r="G4533">
        <v>1000000</v>
      </c>
      <c r="H4533">
        <v>145000</v>
      </c>
      <c r="I4533" t="s">
        <v>949</v>
      </c>
    </row>
    <row r="4534" spans="1:9" x14ac:dyDescent="0.25">
      <c r="A4534">
        <v>4141</v>
      </c>
      <c r="B4534">
        <v>10</v>
      </c>
      <c r="C4534" t="s">
        <v>946</v>
      </c>
      <c r="D4534" t="s">
        <v>94</v>
      </c>
      <c r="E4534" t="s">
        <v>247</v>
      </c>
      <c r="F4534" t="s">
        <v>948</v>
      </c>
      <c r="G4534">
        <v>1077777</v>
      </c>
      <c r="H4534">
        <v>501010</v>
      </c>
      <c r="I4534" t="s">
        <v>949</v>
      </c>
    </row>
    <row r="4535" spans="1:9" x14ac:dyDescent="0.25">
      <c r="A4535">
        <v>4220</v>
      </c>
      <c r="B4535">
        <v>10</v>
      </c>
      <c r="C4535" t="s">
        <v>946</v>
      </c>
      <c r="D4535" t="s">
        <v>94</v>
      </c>
      <c r="E4535" t="s">
        <v>247</v>
      </c>
      <c r="F4535" t="s">
        <v>948</v>
      </c>
      <c r="G4535">
        <v>1077777</v>
      </c>
      <c r="H4535">
        <v>501010</v>
      </c>
      <c r="I4535" t="s">
        <v>949</v>
      </c>
    </row>
    <row r="4536" spans="1:9" x14ac:dyDescent="0.25">
      <c r="A4536">
        <v>4230</v>
      </c>
      <c r="B4536">
        <v>10</v>
      </c>
      <c r="C4536" t="s">
        <v>946</v>
      </c>
      <c r="D4536" t="s">
        <v>94</v>
      </c>
      <c r="E4536" t="s">
        <v>247</v>
      </c>
      <c r="F4536" t="s">
        <v>948</v>
      </c>
      <c r="G4536">
        <v>1099999</v>
      </c>
      <c r="H4536">
        <v>401022</v>
      </c>
      <c r="I4536" t="s">
        <v>949</v>
      </c>
    </row>
    <row r="4537" spans="1:9" x14ac:dyDescent="0.25">
      <c r="A4537">
        <v>4240</v>
      </c>
      <c r="B4537">
        <v>10</v>
      </c>
      <c r="C4537" t="s">
        <v>946</v>
      </c>
      <c r="D4537" t="s">
        <v>94</v>
      </c>
      <c r="E4537" t="s">
        <v>247</v>
      </c>
      <c r="F4537" t="s">
        <v>948</v>
      </c>
      <c r="G4537">
        <v>1000000</v>
      </c>
      <c r="H4537">
        <v>145000</v>
      </c>
      <c r="I4537" t="s">
        <v>949</v>
      </c>
    </row>
    <row r="4538" spans="1:9" x14ac:dyDescent="0.25">
      <c r="A4538">
        <v>4141</v>
      </c>
      <c r="B4538">
        <v>10</v>
      </c>
      <c r="C4538" t="s">
        <v>946</v>
      </c>
      <c r="D4538" t="s">
        <v>94</v>
      </c>
      <c r="E4538" t="s">
        <v>251</v>
      </c>
      <c r="F4538" t="s">
        <v>948</v>
      </c>
      <c r="G4538">
        <v>1077777</v>
      </c>
      <c r="H4538">
        <v>501010</v>
      </c>
      <c r="I4538" t="s">
        <v>949</v>
      </c>
    </row>
    <row r="4539" spans="1:9" x14ac:dyDescent="0.25">
      <c r="A4539">
        <v>4220</v>
      </c>
      <c r="B4539">
        <v>10</v>
      </c>
      <c r="C4539" t="s">
        <v>946</v>
      </c>
      <c r="D4539" t="s">
        <v>94</v>
      </c>
      <c r="E4539" t="s">
        <v>251</v>
      </c>
      <c r="F4539" t="s">
        <v>948</v>
      </c>
      <c r="G4539">
        <v>1077777</v>
      </c>
      <c r="H4539">
        <v>501010</v>
      </c>
      <c r="I4539" t="s">
        <v>949</v>
      </c>
    </row>
    <row r="4540" spans="1:9" x14ac:dyDescent="0.25">
      <c r="A4540">
        <v>4230</v>
      </c>
      <c r="B4540">
        <v>10</v>
      </c>
      <c r="C4540" t="s">
        <v>946</v>
      </c>
      <c r="D4540" t="s">
        <v>94</v>
      </c>
      <c r="E4540" t="s">
        <v>251</v>
      </c>
      <c r="F4540" t="s">
        <v>948</v>
      </c>
      <c r="G4540">
        <v>1099999</v>
      </c>
      <c r="H4540">
        <v>401042</v>
      </c>
      <c r="I4540" t="s">
        <v>949</v>
      </c>
    </row>
    <row r="4541" spans="1:9" x14ac:dyDescent="0.25">
      <c r="A4541">
        <v>4240</v>
      </c>
      <c r="B4541">
        <v>10</v>
      </c>
      <c r="C4541" t="s">
        <v>946</v>
      </c>
      <c r="D4541" t="s">
        <v>94</v>
      </c>
      <c r="E4541" t="s">
        <v>251</v>
      </c>
      <c r="F4541" t="s">
        <v>948</v>
      </c>
      <c r="G4541">
        <v>1000000</v>
      </c>
      <c r="H4541">
        <v>142000</v>
      </c>
      <c r="I4541" t="s">
        <v>949</v>
      </c>
    </row>
    <row r="4542" spans="1:9" x14ac:dyDescent="0.25">
      <c r="A4542">
        <v>4141</v>
      </c>
      <c r="B4542">
        <v>10</v>
      </c>
      <c r="C4542" t="s">
        <v>946</v>
      </c>
      <c r="D4542" t="s">
        <v>94</v>
      </c>
      <c r="E4542" t="s">
        <v>969</v>
      </c>
      <c r="F4542" t="s">
        <v>948</v>
      </c>
      <c r="G4542">
        <v>1077777</v>
      </c>
      <c r="H4542">
        <v>501010</v>
      </c>
      <c r="I4542" t="s">
        <v>949</v>
      </c>
    </row>
    <row r="4543" spans="1:9" x14ac:dyDescent="0.25">
      <c r="A4543">
        <v>4220</v>
      </c>
      <c r="B4543">
        <v>10</v>
      </c>
      <c r="C4543" t="s">
        <v>946</v>
      </c>
      <c r="D4543" t="s">
        <v>94</v>
      </c>
      <c r="E4543" t="s">
        <v>969</v>
      </c>
      <c r="F4543" t="s">
        <v>948</v>
      </c>
      <c r="G4543">
        <v>1077777</v>
      </c>
      <c r="H4543">
        <v>501010</v>
      </c>
      <c r="I4543" t="s">
        <v>949</v>
      </c>
    </row>
    <row r="4544" spans="1:9" x14ac:dyDescent="0.25">
      <c r="A4544">
        <v>4230</v>
      </c>
      <c r="B4544">
        <v>10</v>
      </c>
      <c r="C4544" t="s">
        <v>946</v>
      </c>
      <c r="D4544" t="s">
        <v>94</v>
      </c>
      <c r="E4544" t="s">
        <v>969</v>
      </c>
      <c r="F4544" t="s">
        <v>948</v>
      </c>
      <c r="G4544">
        <v>1099999</v>
      </c>
      <c r="H4544">
        <v>401912</v>
      </c>
      <c r="I4544" t="s">
        <v>949</v>
      </c>
    </row>
    <row r="4545" spans="1:9" x14ac:dyDescent="0.25">
      <c r="A4545">
        <v>4240</v>
      </c>
      <c r="B4545">
        <v>10</v>
      </c>
      <c r="C4545" t="s">
        <v>946</v>
      </c>
      <c r="D4545" t="s">
        <v>94</v>
      </c>
      <c r="E4545" t="s">
        <v>969</v>
      </c>
      <c r="F4545" t="s">
        <v>948</v>
      </c>
      <c r="G4545">
        <v>1000000</v>
      </c>
      <c r="H4545">
        <v>141000</v>
      </c>
      <c r="I4545" t="s">
        <v>970</v>
      </c>
    </row>
    <row r="4546" spans="1:9" x14ac:dyDescent="0.25">
      <c r="A4546">
        <v>4141</v>
      </c>
      <c r="B4546">
        <v>10</v>
      </c>
      <c r="C4546" t="s">
        <v>946</v>
      </c>
      <c r="D4546" t="s">
        <v>94</v>
      </c>
      <c r="E4546" t="s">
        <v>255</v>
      </c>
      <c r="F4546" t="s">
        <v>948</v>
      </c>
      <c r="G4546">
        <v>1077777</v>
      </c>
      <c r="H4546">
        <v>501010</v>
      </c>
      <c r="I4546" t="s">
        <v>949</v>
      </c>
    </row>
    <row r="4547" spans="1:9" x14ac:dyDescent="0.25">
      <c r="A4547">
        <v>4220</v>
      </c>
      <c r="B4547">
        <v>10</v>
      </c>
      <c r="C4547" t="s">
        <v>946</v>
      </c>
      <c r="D4547" t="s">
        <v>94</v>
      </c>
      <c r="E4547" t="s">
        <v>255</v>
      </c>
      <c r="F4547" t="s">
        <v>948</v>
      </c>
      <c r="G4547">
        <v>1077777</v>
      </c>
      <c r="H4547">
        <v>501010</v>
      </c>
      <c r="I4547" t="s">
        <v>949</v>
      </c>
    </row>
    <row r="4548" spans="1:9" x14ac:dyDescent="0.25">
      <c r="A4548">
        <v>4230</v>
      </c>
      <c r="B4548">
        <v>10</v>
      </c>
      <c r="C4548" t="s">
        <v>946</v>
      </c>
      <c r="D4548" t="s">
        <v>94</v>
      </c>
      <c r="E4548" t="s">
        <v>255</v>
      </c>
      <c r="F4548" t="s">
        <v>948</v>
      </c>
      <c r="G4548">
        <v>1099999</v>
      </c>
      <c r="H4548">
        <v>401072</v>
      </c>
      <c r="I4548" t="s">
        <v>949</v>
      </c>
    </row>
    <row r="4549" spans="1:9" x14ac:dyDescent="0.25">
      <c r="A4549">
        <v>4240</v>
      </c>
      <c r="B4549">
        <v>10</v>
      </c>
      <c r="C4549" t="s">
        <v>946</v>
      </c>
      <c r="D4549" t="s">
        <v>94</v>
      </c>
      <c r="E4549" t="s">
        <v>255</v>
      </c>
      <c r="F4549" t="s">
        <v>948</v>
      </c>
      <c r="G4549">
        <v>1000000</v>
      </c>
      <c r="H4549">
        <v>145000</v>
      </c>
      <c r="I4549" t="s">
        <v>949</v>
      </c>
    </row>
    <row r="4550" spans="1:9" x14ac:dyDescent="0.25">
      <c r="A4550">
        <v>4141</v>
      </c>
      <c r="B4550">
        <v>10</v>
      </c>
      <c r="C4550" t="s">
        <v>946</v>
      </c>
      <c r="D4550" t="s">
        <v>94</v>
      </c>
      <c r="E4550" t="s">
        <v>971</v>
      </c>
      <c r="F4550" t="s">
        <v>948</v>
      </c>
      <c r="G4550">
        <v>1077777</v>
      </c>
      <c r="H4550">
        <v>501010</v>
      </c>
      <c r="I4550" t="s">
        <v>949</v>
      </c>
    </row>
    <row r="4551" spans="1:9" x14ac:dyDescent="0.25">
      <c r="A4551">
        <v>4220</v>
      </c>
      <c r="B4551">
        <v>10</v>
      </c>
      <c r="C4551" t="s">
        <v>946</v>
      </c>
      <c r="D4551" t="s">
        <v>94</v>
      </c>
      <c r="E4551" t="s">
        <v>971</v>
      </c>
      <c r="F4551" t="s">
        <v>948</v>
      </c>
      <c r="G4551">
        <v>1077777</v>
      </c>
      <c r="H4551">
        <v>501010</v>
      </c>
      <c r="I4551" t="s">
        <v>949</v>
      </c>
    </row>
    <row r="4552" spans="1:9" x14ac:dyDescent="0.25">
      <c r="A4552">
        <v>4230</v>
      </c>
      <c r="B4552">
        <v>10</v>
      </c>
      <c r="C4552" t="s">
        <v>946</v>
      </c>
      <c r="D4552" t="s">
        <v>94</v>
      </c>
      <c r="E4552" t="s">
        <v>971</v>
      </c>
      <c r="F4552" t="s">
        <v>948</v>
      </c>
      <c r="G4552">
        <v>1099999</v>
      </c>
      <c r="H4552">
        <v>401912</v>
      </c>
      <c r="I4552" t="s">
        <v>949</v>
      </c>
    </row>
    <row r="4553" spans="1:9" x14ac:dyDescent="0.25">
      <c r="A4553">
        <v>4240</v>
      </c>
      <c r="B4553">
        <v>10</v>
      </c>
      <c r="C4553" t="s">
        <v>946</v>
      </c>
      <c r="D4553" t="s">
        <v>94</v>
      </c>
      <c r="E4553" t="s">
        <v>971</v>
      </c>
      <c r="F4553" t="s">
        <v>948</v>
      </c>
      <c r="G4553">
        <v>1000000</v>
      </c>
      <c r="H4553">
        <v>141000</v>
      </c>
      <c r="I4553" t="s">
        <v>972</v>
      </c>
    </row>
    <row r="4554" spans="1:9" x14ac:dyDescent="0.25">
      <c r="A4554">
        <v>4230</v>
      </c>
      <c r="B4554">
        <v>10</v>
      </c>
      <c r="C4554" t="s">
        <v>946</v>
      </c>
      <c r="D4554" t="s">
        <v>94</v>
      </c>
      <c r="E4554" t="s">
        <v>259</v>
      </c>
      <c r="F4554" t="s">
        <v>948</v>
      </c>
      <c r="G4554">
        <v>1099999</v>
      </c>
      <c r="H4554">
        <v>409002</v>
      </c>
      <c r="I4554" t="s">
        <v>949</v>
      </c>
    </row>
    <row r="4555" ht="22" customHeight="1" spans="1:10" x14ac:dyDescent="0.25">
      <c r="A4555" s="41">
        <v>4240</v>
      </c>
      <c r="B4555" s="41">
        <v>10</v>
      </c>
      <c r="C4555" s="41" t="s">
        <v>946</v>
      </c>
      <c r="D4555" s="41" t="s">
        <v>94</v>
      </c>
      <c r="E4555" s="41" t="s">
        <v>259</v>
      </c>
      <c r="F4555" s="41" t="s">
        <v>948</v>
      </c>
      <c r="G4555" s="41">
        <v>1077777</v>
      </c>
      <c r="H4555" s="41">
        <v>500221</v>
      </c>
      <c r="I4555" s="41" t="s">
        <v>949</v>
      </c>
      <c r="J4555" s="42" t="s">
        <v>1032</v>
      </c>
    </row>
    <row r="4556" spans="1:9" x14ac:dyDescent="0.25">
      <c r="A4556">
        <v>4141</v>
      </c>
      <c r="B4556">
        <v>10</v>
      </c>
      <c r="C4556" t="s">
        <v>946</v>
      </c>
      <c r="D4556" t="s">
        <v>94</v>
      </c>
      <c r="E4556" t="s">
        <v>263</v>
      </c>
      <c r="F4556" t="s">
        <v>948</v>
      </c>
      <c r="G4556">
        <v>1077777</v>
      </c>
      <c r="H4556">
        <v>501010</v>
      </c>
      <c r="I4556" t="s">
        <v>949</v>
      </c>
    </row>
    <row r="4557" spans="1:9" x14ac:dyDescent="0.25">
      <c r="A4557">
        <v>4220</v>
      </c>
      <c r="B4557">
        <v>10</v>
      </c>
      <c r="C4557" t="s">
        <v>946</v>
      </c>
      <c r="D4557" t="s">
        <v>94</v>
      </c>
      <c r="E4557" t="s">
        <v>263</v>
      </c>
      <c r="F4557" t="s">
        <v>948</v>
      </c>
      <c r="G4557">
        <v>1077777</v>
      </c>
      <c r="H4557">
        <v>501010</v>
      </c>
      <c r="I4557" t="s">
        <v>949</v>
      </c>
    </row>
    <row r="4558" spans="1:9" x14ac:dyDescent="0.25">
      <c r="A4558">
        <v>4230</v>
      </c>
      <c r="B4558">
        <v>10</v>
      </c>
      <c r="C4558" t="s">
        <v>946</v>
      </c>
      <c r="D4558" t="s">
        <v>94</v>
      </c>
      <c r="E4558" t="s">
        <v>263</v>
      </c>
      <c r="F4558" t="s">
        <v>948</v>
      </c>
      <c r="G4558">
        <v>1099999</v>
      </c>
      <c r="H4558">
        <v>401042</v>
      </c>
      <c r="I4558" t="s">
        <v>949</v>
      </c>
    </row>
    <row r="4559" spans="1:9" x14ac:dyDescent="0.25">
      <c r="A4559">
        <v>4240</v>
      </c>
      <c r="B4559">
        <v>10</v>
      </c>
      <c r="C4559" t="s">
        <v>946</v>
      </c>
      <c r="D4559" t="s">
        <v>94</v>
      </c>
      <c r="E4559" t="s">
        <v>263</v>
      </c>
      <c r="F4559" t="s">
        <v>948</v>
      </c>
      <c r="G4559">
        <v>1000000</v>
      </c>
      <c r="H4559">
        <v>145000</v>
      </c>
      <c r="I4559" t="s">
        <v>949</v>
      </c>
    </row>
    <row r="4560" spans="1:9" x14ac:dyDescent="0.25">
      <c r="A4560">
        <v>4141</v>
      </c>
      <c r="B4560">
        <v>10</v>
      </c>
      <c r="C4560" t="s">
        <v>946</v>
      </c>
      <c r="D4560" t="s">
        <v>94</v>
      </c>
      <c r="E4560" t="s">
        <v>100</v>
      </c>
      <c r="F4560" t="s">
        <v>948</v>
      </c>
      <c r="G4560">
        <v>1077777</v>
      </c>
      <c r="H4560">
        <v>500220</v>
      </c>
      <c r="I4560" t="s">
        <v>949</v>
      </c>
    </row>
    <row r="4561" spans="1:9" x14ac:dyDescent="0.25">
      <c r="A4561">
        <v>4220</v>
      </c>
      <c r="B4561">
        <v>10</v>
      </c>
      <c r="C4561" t="s">
        <v>946</v>
      </c>
      <c r="D4561" t="s">
        <v>94</v>
      </c>
      <c r="E4561" t="s">
        <v>100</v>
      </c>
      <c r="F4561" t="s">
        <v>948</v>
      </c>
      <c r="G4561">
        <v>1077777</v>
      </c>
      <c r="H4561">
        <v>500220</v>
      </c>
      <c r="I4561" t="s">
        <v>949</v>
      </c>
    </row>
    <row r="4562" spans="1:9" x14ac:dyDescent="0.25">
      <c r="A4562">
        <v>4230</v>
      </c>
      <c r="B4562">
        <v>10</v>
      </c>
      <c r="C4562" t="s">
        <v>946</v>
      </c>
      <c r="D4562" t="s">
        <v>94</v>
      </c>
      <c r="E4562" t="s">
        <v>100</v>
      </c>
      <c r="F4562" t="s">
        <v>948</v>
      </c>
      <c r="G4562">
        <v>1099999</v>
      </c>
      <c r="H4562">
        <v>401042</v>
      </c>
      <c r="I4562" t="s">
        <v>949</v>
      </c>
    </row>
    <row r="4563" spans="1:9" x14ac:dyDescent="0.25">
      <c r="A4563">
        <v>4240</v>
      </c>
      <c r="B4563">
        <v>10</v>
      </c>
      <c r="C4563" t="s">
        <v>946</v>
      </c>
      <c r="D4563" t="s">
        <v>94</v>
      </c>
      <c r="E4563" t="s">
        <v>100</v>
      </c>
      <c r="F4563" t="s">
        <v>948</v>
      </c>
      <c r="G4563">
        <v>1077777</v>
      </c>
      <c r="H4563">
        <v>500221</v>
      </c>
      <c r="I4563" t="s">
        <v>949</v>
      </c>
    </row>
    <row r="4564" spans="1:9" x14ac:dyDescent="0.25">
      <c r="A4564">
        <v>4141</v>
      </c>
      <c r="B4564">
        <v>10</v>
      </c>
      <c r="C4564" t="s">
        <v>946</v>
      </c>
      <c r="D4564" t="s">
        <v>94</v>
      </c>
      <c r="E4564" t="s">
        <v>270</v>
      </c>
      <c r="F4564" t="s">
        <v>948</v>
      </c>
      <c r="G4564">
        <v>1077777</v>
      </c>
      <c r="H4564">
        <v>501010</v>
      </c>
      <c r="I4564" t="s">
        <v>949</v>
      </c>
    </row>
    <row r="4565" spans="1:9" x14ac:dyDescent="0.25">
      <c r="A4565">
        <v>4220</v>
      </c>
      <c r="B4565">
        <v>10</v>
      </c>
      <c r="C4565" t="s">
        <v>946</v>
      </c>
      <c r="D4565" t="s">
        <v>94</v>
      </c>
      <c r="E4565" t="s">
        <v>270</v>
      </c>
      <c r="F4565" t="s">
        <v>948</v>
      </c>
      <c r="G4565">
        <v>1077777</v>
      </c>
      <c r="H4565">
        <v>501010</v>
      </c>
      <c r="I4565" t="s">
        <v>949</v>
      </c>
    </row>
    <row r="4566" spans="1:9" x14ac:dyDescent="0.25">
      <c r="A4566">
        <v>4230</v>
      </c>
      <c r="B4566">
        <v>10</v>
      </c>
      <c r="C4566" t="s">
        <v>946</v>
      </c>
      <c r="D4566" t="s">
        <v>94</v>
      </c>
      <c r="E4566" t="s">
        <v>270</v>
      </c>
      <c r="F4566" t="s">
        <v>948</v>
      </c>
      <c r="G4566">
        <v>1099999</v>
      </c>
      <c r="H4566">
        <v>401062</v>
      </c>
      <c r="I4566" t="s">
        <v>949</v>
      </c>
    </row>
    <row r="4567" spans="1:9" x14ac:dyDescent="0.25">
      <c r="A4567">
        <v>4240</v>
      </c>
      <c r="B4567">
        <v>10</v>
      </c>
      <c r="C4567" t="s">
        <v>946</v>
      </c>
      <c r="D4567" t="s">
        <v>94</v>
      </c>
      <c r="E4567" t="s">
        <v>270</v>
      </c>
      <c r="F4567" t="s">
        <v>948</v>
      </c>
      <c r="G4567">
        <v>1000000</v>
      </c>
      <c r="H4567">
        <v>145000</v>
      </c>
      <c r="I4567" t="s">
        <v>949</v>
      </c>
    </row>
    <row r="4568" spans="1:9" x14ac:dyDescent="0.25">
      <c r="A4568">
        <v>4141</v>
      </c>
      <c r="B4568">
        <v>10</v>
      </c>
      <c r="C4568" t="s">
        <v>946</v>
      </c>
      <c r="D4568" t="s">
        <v>94</v>
      </c>
      <c r="E4568" t="s">
        <v>274</v>
      </c>
      <c r="F4568" t="s">
        <v>948</v>
      </c>
      <c r="G4568">
        <v>1077777</v>
      </c>
      <c r="H4568">
        <v>501010</v>
      </c>
      <c r="I4568" t="s">
        <v>949</v>
      </c>
    </row>
    <row r="4569" spans="1:9" x14ac:dyDescent="0.25">
      <c r="A4569">
        <v>4220</v>
      </c>
      <c r="B4569">
        <v>10</v>
      </c>
      <c r="C4569" t="s">
        <v>946</v>
      </c>
      <c r="D4569" t="s">
        <v>94</v>
      </c>
      <c r="E4569" t="s">
        <v>274</v>
      </c>
      <c r="F4569" t="s">
        <v>948</v>
      </c>
      <c r="G4569">
        <v>1077777</v>
      </c>
      <c r="H4569">
        <v>501010</v>
      </c>
      <c r="I4569" t="s">
        <v>949</v>
      </c>
    </row>
    <row r="4570" spans="1:9" x14ac:dyDescent="0.25">
      <c r="A4570">
        <v>4230</v>
      </c>
      <c r="B4570">
        <v>10</v>
      </c>
      <c r="C4570" t="s">
        <v>946</v>
      </c>
      <c r="D4570" t="s">
        <v>94</v>
      </c>
      <c r="E4570" t="s">
        <v>274</v>
      </c>
      <c r="F4570" t="s">
        <v>948</v>
      </c>
      <c r="G4570">
        <v>1099999</v>
      </c>
      <c r="H4570">
        <v>401042</v>
      </c>
      <c r="I4570" t="s">
        <v>949</v>
      </c>
    </row>
    <row r="4571" spans="1:9" x14ac:dyDescent="0.25">
      <c r="A4571">
        <v>4240</v>
      </c>
      <c r="B4571">
        <v>10</v>
      </c>
      <c r="C4571" t="s">
        <v>946</v>
      </c>
      <c r="D4571" t="s">
        <v>94</v>
      </c>
      <c r="E4571" t="s">
        <v>274</v>
      </c>
      <c r="F4571" t="s">
        <v>948</v>
      </c>
      <c r="G4571">
        <v>1000000</v>
      </c>
      <c r="H4571">
        <v>143000</v>
      </c>
      <c r="I4571" t="s">
        <v>973</v>
      </c>
    </row>
    <row r="4572" spans="1:9" x14ac:dyDescent="0.25">
      <c r="A4572">
        <v>4141</v>
      </c>
      <c r="B4572">
        <v>10</v>
      </c>
      <c r="C4572" t="s">
        <v>946</v>
      </c>
      <c r="D4572" t="s">
        <v>94</v>
      </c>
      <c r="E4572" t="s">
        <v>974</v>
      </c>
      <c r="F4572" t="s">
        <v>948</v>
      </c>
      <c r="G4572">
        <v>1077777</v>
      </c>
      <c r="H4572">
        <v>501010</v>
      </c>
      <c r="I4572" t="s">
        <v>949</v>
      </c>
    </row>
    <row r="4573" spans="1:9" x14ac:dyDescent="0.25">
      <c r="A4573">
        <v>4220</v>
      </c>
      <c r="B4573">
        <v>10</v>
      </c>
      <c r="C4573" t="s">
        <v>946</v>
      </c>
      <c r="D4573" t="s">
        <v>94</v>
      </c>
      <c r="E4573" t="s">
        <v>974</v>
      </c>
      <c r="F4573" t="s">
        <v>948</v>
      </c>
      <c r="G4573">
        <v>1077777</v>
      </c>
      <c r="H4573">
        <v>501010</v>
      </c>
      <c r="I4573" t="s">
        <v>949</v>
      </c>
    </row>
    <row r="4574" spans="1:9" x14ac:dyDescent="0.25">
      <c r="A4574">
        <v>4230</v>
      </c>
      <c r="B4574">
        <v>10</v>
      </c>
      <c r="C4574" t="s">
        <v>946</v>
      </c>
      <c r="D4574" t="s">
        <v>94</v>
      </c>
      <c r="E4574" t="s">
        <v>974</v>
      </c>
      <c r="F4574" t="s">
        <v>948</v>
      </c>
      <c r="G4574">
        <v>1099999</v>
      </c>
      <c r="H4574">
        <v>401912</v>
      </c>
      <c r="I4574" t="s">
        <v>949</v>
      </c>
    </row>
    <row r="4575" spans="1:9" x14ac:dyDescent="0.25">
      <c r="A4575">
        <v>4240</v>
      </c>
      <c r="B4575">
        <v>10</v>
      </c>
      <c r="C4575" t="s">
        <v>946</v>
      </c>
      <c r="D4575" t="s">
        <v>94</v>
      </c>
      <c r="E4575" t="s">
        <v>974</v>
      </c>
      <c r="F4575" t="s">
        <v>948</v>
      </c>
      <c r="G4575">
        <v>1000000</v>
      </c>
      <c r="H4575">
        <v>141000</v>
      </c>
      <c r="I4575" t="s">
        <v>975</v>
      </c>
    </row>
    <row r="4576" spans="1:9" x14ac:dyDescent="0.25">
      <c r="A4576">
        <v>4141</v>
      </c>
      <c r="B4576">
        <v>10</v>
      </c>
      <c r="C4576" t="s">
        <v>946</v>
      </c>
      <c r="D4576" t="s">
        <v>94</v>
      </c>
      <c r="E4576" t="s">
        <v>104</v>
      </c>
      <c r="F4576" t="s">
        <v>948</v>
      </c>
      <c r="G4576">
        <v>1077777</v>
      </c>
      <c r="H4576">
        <v>500220</v>
      </c>
      <c r="I4576" t="s">
        <v>949</v>
      </c>
    </row>
    <row r="4577" spans="1:9" x14ac:dyDescent="0.25">
      <c r="A4577">
        <v>4220</v>
      </c>
      <c r="B4577">
        <v>10</v>
      </c>
      <c r="C4577" t="s">
        <v>946</v>
      </c>
      <c r="D4577" t="s">
        <v>94</v>
      </c>
      <c r="E4577" t="s">
        <v>104</v>
      </c>
      <c r="F4577" t="s">
        <v>948</v>
      </c>
      <c r="G4577">
        <v>1077777</v>
      </c>
      <c r="H4577">
        <v>500220</v>
      </c>
      <c r="I4577" t="s">
        <v>949</v>
      </c>
    </row>
    <row r="4578" spans="1:9" x14ac:dyDescent="0.25">
      <c r="A4578">
        <v>4230</v>
      </c>
      <c r="B4578">
        <v>10</v>
      </c>
      <c r="C4578" t="s">
        <v>946</v>
      </c>
      <c r="D4578" t="s">
        <v>94</v>
      </c>
      <c r="E4578" t="s">
        <v>104</v>
      </c>
      <c r="F4578" t="s">
        <v>948</v>
      </c>
      <c r="G4578">
        <v>1099999</v>
      </c>
      <c r="H4578">
        <v>401042</v>
      </c>
      <c r="I4578" t="s">
        <v>949</v>
      </c>
    </row>
    <row r="4579" spans="1:9" x14ac:dyDescent="0.25">
      <c r="A4579">
        <v>4240</v>
      </c>
      <c r="B4579">
        <v>10</v>
      </c>
      <c r="C4579" t="s">
        <v>946</v>
      </c>
      <c r="D4579" t="s">
        <v>94</v>
      </c>
      <c r="E4579" t="s">
        <v>104</v>
      </c>
      <c r="F4579" t="s">
        <v>948</v>
      </c>
      <c r="G4579">
        <v>1077777</v>
      </c>
      <c r="H4579">
        <v>500221</v>
      </c>
      <c r="I4579" t="s">
        <v>949</v>
      </c>
    </row>
    <row r="4580" spans="1:9" x14ac:dyDescent="0.25">
      <c r="A4580">
        <v>4141</v>
      </c>
      <c r="B4580">
        <v>10</v>
      </c>
      <c r="C4580" t="s">
        <v>946</v>
      </c>
      <c r="D4580" t="s">
        <v>94</v>
      </c>
      <c r="E4580" t="s">
        <v>278</v>
      </c>
      <c r="F4580" t="s">
        <v>948</v>
      </c>
      <c r="G4580">
        <v>1077777</v>
      </c>
      <c r="H4580">
        <v>501010</v>
      </c>
      <c r="I4580" t="s">
        <v>949</v>
      </c>
    </row>
    <row r="4581" spans="1:9" x14ac:dyDescent="0.25">
      <c r="A4581">
        <v>4220</v>
      </c>
      <c r="B4581">
        <v>10</v>
      </c>
      <c r="C4581" t="s">
        <v>946</v>
      </c>
      <c r="D4581" t="s">
        <v>94</v>
      </c>
      <c r="E4581" t="s">
        <v>278</v>
      </c>
      <c r="F4581" t="s">
        <v>948</v>
      </c>
      <c r="G4581">
        <v>1077777</v>
      </c>
      <c r="H4581">
        <v>501010</v>
      </c>
      <c r="I4581" t="s">
        <v>949</v>
      </c>
    </row>
    <row r="4582" spans="1:9" x14ac:dyDescent="0.25">
      <c r="A4582">
        <v>4230</v>
      </c>
      <c r="B4582">
        <v>10</v>
      </c>
      <c r="C4582" t="s">
        <v>946</v>
      </c>
      <c r="D4582" t="s">
        <v>94</v>
      </c>
      <c r="E4582" t="s">
        <v>278</v>
      </c>
      <c r="F4582" t="s">
        <v>948</v>
      </c>
      <c r="G4582">
        <v>1099999</v>
      </c>
      <c r="H4582">
        <v>401052</v>
      </c>
      <c r="I4582" t="s">
        <v>949</v>
      </c>
    </row>
    <row r="4583" spans="1:9" x14ac:dyDescent="0.25">
      <c r="A4583">
        <v>4240</v>
      </c>
      <c r="B4583">
        <v>10</v>
      </c>
      <c r="C4583" t="s">
        <v>946</v>
      </c>
      <c r="D4583" t="s">
        <v>94</v>
      </c>
      <c r="E4583" t="s">
        <v>278</v>
      </c>
      <c r="F4583" t="s">
        <v>948</v>
      </c>
      <c r="G4583">
        <v>1000000</v>
      </c>
      <c r="H4583">
        <v>145000</v>
      </c>
      <c r="I4583" t="s">
        <v>949</v>
      </c>
    </row>
    <row r="4584" spans="1:9" x14ac:dyDescent="0.25">
      <c r="A4584">
        <v>4141</v>
      </c>
      <c r="B4584">
        <v>10</v>
      </c>
      <c r="C4584" t="s">
        <v>946</v>
      </c>
      <c r="D4584" t="s">
        <v>94</v>
      </c>
      <c r="E4584" t="s">
        <v>282</v>
      </c>
      <c r="F4584" t="s">
        <v>948</v>
      </c>
      <c r="G4584">
        <v>1077777</v>
      </c>
      <c r="H4584">
        <v>501010</v>
      </c>
      <c r="I4584" t="s">
        <v>949</v>
      </c>
    </row>
    <row r="4585" spans="1:9" x14ac:dyDescent="0.25">
      <c r="A4585">
        <v>4220</v>
      </c>
      <c r="B4585">
        <v>10</v>
      </c>
      <c r="C4585" t="s">
        <v>946</v>
      </c>
      <c r="D4585" t="s">
        <v>94</v>
      </c>
      <c r="E4585" t="s">
        <v>282</v>
      </c>
      <c r="F4585" t="s">
        <v>948</v>
      </c>
      <c r="G4585">
        <v>1077777</v>
      </c>
      <c r="H4585">
        <v>501010</v>
      </c>
      <c r="I4585" t="s">
        <v>949</v>
      </c>
    </row>
    <row r="4586" spans="1:9" x14ac:dyDescent="0.25">
      <c r="A4586">
        <v>4230</v>
      </c>
      <c r="B4586">
        <v>10</v>
      </c>
      <c r="C4586" t="s">
        <v>946</v>
      </c>
      <c r="D4586" t="s">
        <v>94</v>
      </c>
      <c r="E4586" t="s">
        <v>282</v>
      </c>
      <c r="F4586" t="s">
        <v>948</v>
      </c>
      <c r="G4586">
        <v>1099999</v>
      </c>
      <c r="H4586">
        <v>401042</v>
      </c>
      <c r="I4586" t="s">
        <v>949</v>
      </c>
    </row>
    <row r="4587" spans="1:9" x14ac:dyDescent="0.25">
      <c r="A4587">
        <v>4240</v>
      </c>
      <c r="B4587">
        <v>10</v>
      </c>
      <c r="C4587" t="s">
        <v>946</v>
      </c>
      <c r="D4587" t="s">
        <v>94</v>
      </c>
      <c r="E4587" t="s">
        <v>282</v>
      </c>
      <c r="F4587" t="s">
        <v>948</v>
      </c>
      <c r="G4587">
        <v>1000000</v>
      </c>
      <c r="H4587">
        <v>143100</v>
      </c>
      <c r="I4587" t="s">
        <v>949</v>
      </c>
    </row>
    <row r="4588" spans="1:9" x14ac:dyDescent="0.25">
      <c r="A4588">
        <v>4141</v>
      </c>
      <c r="B4588">
        <v>10</v>
      </c>
      <c r="C4588" t="s">
        <v>946</v>
      </c>
      <c r="D4588" t="s">
        <v>94</v>
      </c>
      <c r="E4588" t="s">
        <v>286</v>
      </c>
      <c r="F4588" t="s">
        <v>948</v>
      </c>
      <c r="G4588">
        <v>1077777</v>
      </c>
      <c r="H4588">
        <v>501010</v>
      </c>
      <c r="I4588" t="s">
        <v>949</v>
      </c>
    </row>
    <row r="4589" spans="1:9" x14ac:dyDescent="0.25">
      <c r="A4589">
        <v>4220</v>
      </c>
      <c r="B4589">
        <v>10</v>
      </c>
      <c r="C4589" t="s">
        <v>946</v>
      </c>
      <c r="D4589" t="s">
        <v>94</v>
      </c>
      <c r="E4589" t="s">
        <v>286</v>
      </c>
      <c r="F4589" t="s">
        <v>948</v>
      </c>
      <c r="G4589">
        <v>1077777</v>
      </c>
      <c r="H4589">
        <v>501010</v>
      </c>
      <c r="I4589" t="s">
        <v>949</v>
      </c>
    </row>
    <row r="4590" spans="1:9" x14ac:dyDescent="0.25">
      <c r="A4590">
        <v>4230</v>
      </c>
      <c r="B4590">
        <v>10</v>
      </c>
      <c r="C4590" t="s">
        <v>946</v>
      </c>
      <c r="D4590" t="s">
        <v>94</v>
      </c>
      <c r="E4590" t="s">
        <v>286</v>
      </c>
      <c r="F4590" t="s">
        <v>948</v>
      </c>
      <c r="G4590">
        <v>1099999</v>
      </c>
      <c r="H4590">
        <v>401032</v>
      </c>
      <c r="I4590" t="s">
        <v>949</v>
      </c>
    </row>
    <row r="4591" spans="1:9" x14ac:dyDescent="0.25">
      <c r="A4591">
        <v>4240</v>
      </c>
      <c r="B4591">
        <v>10</v>
      </c>
      <c r="C4591" t="s">
        <v>946</v>
      </c>
      <c r="D4591" t="s">
        <v>94</v>
      </c>
      <c r="E4591" t="s">
        <v>286</v>
      </c>
      <c r="F4591" t="s">
        <v>948</v>
      </c>
      <c r="G4591">
        <v>1000000</v>
      </c>
      <c r="H4591">
        <v>145000</v>
      </c>
      <c r="I4591" t="s">
        <v>949</v>
      </c>
    </row>
    <row r="4592" spans="1:9" x14ac:dyDescent="0.25">
      <c r="A4592">
        <v>4141</v>
      </c>
      <c r="B4592">
        <v>10</v>
      </c>
      <c r="C4592" t="s">
        <v>946</v>
      </c>
      <c r="D4592" t="s">
        <v>94</v>
      </c>
      <c r="E4592" t="s">
        <v>976</v>
      </c>
      <c r="F4592" t="s">
        <v>948</v>
      </c>
      <c r="G4592">
        <v>1077777</v>
      </c>
      <c r="H4592">
        <v>501010</v>
      </c>
      <c r="I4592" t="s">
        <v>949</v>
      </c>
    </row>
    <row r="4593" spans="1:9" x14ac:dyDescent="0.25">
      <c r="A4593">
        <v>4220</v>
      </c>
      <c r="B4593">
        <v>10</v>
      </c>
      <c r="C4593" t="s">
        <v>946</v>
      </c>
      <c r="D4593" t="s">
        <v>94</v>
      </c>
      <c r="E4593" t="s">
        <v>976</v>
      </c>
      <c r="F4593" t="s">
        <v>948</v>
      </c>
      <c r="G4593">
        <v>1077777</v>
      </c>
      <c r="H4593">
        <v>501010</v>
      </c>
      <c r="I4593" t="s">
        <v>949</v>
      </c>
    </row>
    <row r="4594" spans="1:9" x14ac:dyDescent="0.25">
      <c r="A4594">
        <v>4230</v>
      </c>
      <c r="B4594">
        <v>10</v>
      </c>
      <c r="C4594" t="s">
        <v>946</v>
      </c>
      <c r="D4594" t="s">
        <v>94</v>
      </c>
      <c r="E4594" t="s">
        <v>976</v>
      </c>
      <c r="F4594" t="s">
        <v>948</v>
      </c>
      <c r="G4594">
        <v>1099999</v>
      </c>
      <c r="H4594">
        <v>401912</v>
      </c>
      <c r="I4594" t="s">
        <v>949</v>
      </c>
    </row>
    <row r="4595" spans="1:9" x14ac:dyDescent="0.25">
      <c r="A4595">
        <v>4240</v>
      </c>
      <c r="B4595">
        <v>10</v>
      </c>
      <c r="C4595" t="s">
        <v>946</v>
      </c>
      <c r="D4595" t="s">
        <v>94</v>
      </c>
      <c r="E4595" t="s">
        <v>976</v>
      </c>
      <c r="F4595" t="s">
        <v>948</v>
      </c>
      <c r="G4595">
        <v>1000000</v>
      </c>
      <c r="H4595">
        <v>141000</v>
      </c>
      <c r="I4595" t="s">
        <v>977</v>
      </c>
    </row>
    <row r="4596" spans="1:9" x14ac:dyDescent="0.25">
      <c r="A4596">
        <v>4141</v>
      </c>
      <c r="B4596">
        <v>10</v>
      </c>
      <c r="C4596" t="s">
        <v>946</v>
      </c>
      <c r="D4596" t="s">
        <v>94</v>
      </c>
      <c r="E4596" t="s">
        <v>290</v>
      </c>
      <c r="F4596" t="s">
        <v>948</v>
      </c>
      <c r="G4596">
        <v>1077777</v>
      </c>
      <c r="H4596">
        <v>501010</v>
      </c>
      <c r="I4596" t="s">
        <v>949</v>
      </c>
    </row>
    <row r="4597" spans="1:9" x14ac:dyDescent="0.25">
      <c r="A4597">
        <v>4220</v>
      </c>
      <c r="B4597">
        <v>10</v>
      </c>
      <c r="C4597" t="s">
        <v>946</v>
      </c>
      <c r="D4597" t="s">
        <v>94</v>
      </c>
      <c r="E4597" t="s">
        <v>290</v>
      </c>
      <c r="F4597" t="s">
        <v>948</v>
      </c>
      <c r="G4597">
        <v>1077777</v>
      </c>
      <c r="H4597">
        <v>501010</v>
      </c>
      <c r="I4597" t="s">
        <v>949</v>
      </c>
    </row>
    <row r="4598" spans="1:9" x14ac:dyDescent="0.25">
      <c r="A4598">
        <v>4230</v>
      </c>
      <c r="B4598">
        <v>10</v>
      </c>
      <c r="C4598" t="s">
        <v>946</v>
      </c>
      <c r="D4598" t="s">
        <v>94</v>
      </c>
      <c r="E4598" t="s">
        <v>290</v>
      </c>
      <c r="F4598" t="s">
        <v>948</v>
      </c>
      <c r="G4598">
        <v>1099999</v>
      </c>
      <c r="H4598">
        <v>401042</v>
      </c>
      <c r="I4598" t="s">
        <v>949</v>
      </c>
    </row>
    <row r="4599" spans="1:9" x14ac:dyDescent="0.25">
      <c r="A4599">
        <v>4240</v>
      </c>
      <c r="B4599">
        <v>10</v>
      </c>
      <c r="C4599" t="s">
        <v>946</v>
      </c>
      <c r="D4599" t="s">
        <v>94</v>
      </c>
      <c r="E4599" t="s">
        <v>290</v>
      </c>
      <c r="F4599" t="s">
        <v>948</v>
      </c>
      <c r="G4599">
        <v>1000000</v>
      </c>
      <c r="H4599">
        <v>143000</v>
      </c>
      <c r="I4599" t="s">
        <v>978</v>
      </c>
    </row>
    <row r="4600" spans="1:9" x14ac:dyDescent="0.25">
      <c r="A4600">
        <v>4141</v>
      </c>
      <c r="B4600">
        <v>10</v>
      </c>
      <c r="C4600" t="s">
        <v>946</v>
      </c>
      <c r="D4600" t="s">
        <v>94</v>
      </c>
      <c r="E4600" t="s">
        <v>294</v>
      </c>
      <c r="F4600" t="s">
        <v>948</v>
      </c>
      <c r="G4600">
        <v>1077777</v>
      </c>
      <c r="H4600">
        <v>501010</v>
      </c>
      <c r="I4600" t="s">
        <v>949</v>
      </c>
    </row>
    <row r="4601" spans="1:9" x14ac:dyDescent="0.25">
      <c r="A4601">
        <v>4220</v>
      </c>
      <c r="B4601">
        <v>10</v>
      </c>
      <c r="C4601" t="s">
        <v>946</v>
      </c>
      <c r="D4601" t="s">
        <v>94</v>
      </c>
      <c r="E4601" t="s">
        <v>294</v>
      </c>
      <c r="F4601" t="s">
        <v>948</v>
      </c>
      <c r="G4601">
        <v>1077777</v>
      </c>
      <c r="H4601">
        <v>501010</v>
      </c>
      <c r="I4601" t="s">
        <v>949</v>
      </c>
    </row>
    <row r="4602" spans="1:9" x14ac:dyDescent="0.25">
      <c r="A4602">
        <v>4230</v>
      </c>
      <c r="B4602">
        <v>10</v>
      </c>
      <c r="C4602" t="s">
        <v>946</v>
      </c>
      <c r="D4602" t="s">
        <v>94</v>
      </c>
      <c r="E4602" t="s">
        <v>294</v>
      </c>
      <c r="F4602" t="s">
        <v>948</v>
      </c>
      <c r="G4602">
        <v>1099999</v>
      </c>
      <c r="H4602">
        <v>401042</v>
      </c>
      <c r="I4602" t="s">
        <v>949</v>
      </c>
    </row>
    <row r="4603" spans="1:9" x14ac:dyDescent="0.25">
      <c r="A4603">
        <v>4240</v>
      </c>
      <c r="B4603">
        <v>10</v>
      </c>
      <c r="C4603" t="s">
        <v>946</v>
      </c>
      <c r="D4603" t="s">
        <v>94</v>
      </c>
      <c r="E4603" t="s">
        <v>294</v>
      </c>
      <c r="F4603" t="s">
        <v>948</v>
      </c>
      <c r="G4603">
        <v>1000000</v>
      </c>
      <c r="H4603">
        <v>143000</v>
      </c>
      <c r="I4603" t="s">
        <v>979</v>
      </c>
    </row>
    <row r="4604" spans="1:9" x14ac:dyDescent="0.25">
      <c r="A4604">
        <v>4230</v>
      </c>
      <c r="B4604">
        <v>10</v>
      </c>
      <c r="C4604" t="s">
        <v>946</v>
      </c>
      <c r="D4604" t="s">
        <v>94</v>
      </c>
      <c r="E4604" t="s">
        <v>298</v>
      </c>
      <c r="F4604" t="s">
        <v>948</v>
      </c>
      <c r="G4604">
        <v>1099999</v>
      </c>
      <c r="H4604">
        <v>402082</v>
      </c>
      <c r="I4604" t="s">
        <v>949</v>
      </c>
    </row>
    <row r="4605" ht="22" customHeight="1" spans="1:10" x14ac:dyDescent="0.25">
      <c r="A4605" s="41">
        <v>4240</v>
      </c>
      <c r="B4605" s="41">
        <v>10</v>
      </c>
      <c r="C4605" s="41" t="s">
        <v>946</v>
      </c>
      <c r="D4605" s="41" t="s">
        <v>94</v>
      </c>
      <c r="E4605" s="41" t="s">
        <v>298</v>
      </c>
      <c r="F4605" s="41" t="s">
        <v>948</v>
      </c>
      <c r="G4605" s="41">
        <v>1077777</v>
      </c>
      <c r="H4605" s="41">
        <v>500221</v>
      </c>
      <c r="I4605" s="41" t="s">
        <v>949</v>
      </c>
      <c r="J4605" s="42" t="s">
        <v>1032</v>
      </c>
    </row>
    <row r="4606" spans="1:9" x14ac:dyDescent="0.25">
      <c r="A4606">
        <v>4141</v>
      </c>
      <c r="B4606">
        <v>10</v>
      </c>
      <c r="C4606" t="s">
        <v>946</v>
      </c>
      <c r="D4606" t="s">
        <v>94</v>
      </c>
      <c r="E4606" t="s">
        <v>980</v>
      </c>
      <c r="F4606" t="s">
        <v>948</v>
      </c>
      <c r="G4606">
        <v>1077777</v>
      </c>
      <c r="H4606">
        <v>501010</v>
      </c>
      <c r="I4606" t="s">
        <v>949</v>
      </c>
    </row>
    <row r="4607" spans="1:9" x14ac:dyDescent="0.25">
      <c r="A4607">
        <v>4220</v>
      </c>
      <c r="B4607">
        <v>10</v>
      </c>
      <c r="C4607" t="s">
        <v>946</v>
      </c>
      <c r="D4607" t="s">
        <v>94</v>
      </c>
      <c r="E4607" t="s">
        <v>980</v>
      </c>
      <c r="F4607" t="s">
        <v>948</v>
      </c>
      <c r="G4607">
        <v>1077777</v>
      </c>
      <c r="H4607">
        <v>501010</v>
      </c>
      <c r="I4607" t="s">
        <v>949</v>
      </c>
    </row>
    <row r="4608" spans="1:9" x14ac:dyDescent="0.25">
      <c r="A4608">
        <v>4230</v>
      </c>
      <c r="B4608">
        <v>10</v>
      </c>
      <c r="C4608" t="s">
        <v>946</v>
      </c>
      <c r="D4608" t="s">
        <v>94</v>
      </c>
      <c r="E4608" t="s">
        <v>980</v>
      </c>
      <c r="F4608" t="s">
        <v>948</v>
      </c>
      <c r="G4608">
        <v>1099999</v>
      </c>
      <c r="H4608">
        <v>401912</v>
      </c>
      <c r="I4608" t="s">
        <v>949</v>
      </c>
    </row>
    <row r="4609" spans="1:9" x14ac:dyDescent="0.25">
      <c r="A4609">
        <v>4240</v>
      </c>
      <c r="B4609">
        <v>10</v>
      </c>
      <c r="C4609" t="s">
        <v>946</v>
      </c>
      <c r="D4609" t="s">
        <v>94</v>
      </c>
      <c r="E4609" t="s">
        <v>980</v>
      </c>
      <c r="F4609" t="s">
        <v>948</v>
      </c>
      <c r="G4609">
        <v>1000000</v>
      </c>
      <c r="H4609">
        <v>141000</v>
      </c>
      <c r="I4609" t="s">
        <v>981</v>
      </c>
    </row>
    <row r="4610" spans="1:9" x14ac:dyDescent="0.25">
      <c r="A4610">
        <v>4141</v>
      </c>
      <c r="B4610">
        <v>10</v>
      </c>
      <c r="C4610" t="s">
        <v>946</v>
      </c>
      <c r="D4610" t="s">
        <v>94</v>
      </c>
      <c r="E4610" t="s">
        <v>302</v>
      </c>
      <c r="F4610" t="s">
        <v>948</v>
      </c>
      <c r="G4610">
        <v>1077777</v>
      </c>
      <c r="H4610">
        <v>501010</v>
      </c>
      <c r="I4610" t="s">
        <v>949</v>
      </c>
    </row>
    <row r="4611" spans="1:9" x14ac:dyDescent="0.25">
      <c r="A4611">
        <v>4220</v>
      </c>
      <c r="B4611">
        <v>10</v>
      </c>
      <c r="C4611" t="s">
        <v>946</v>
      </c>
      <c r="D4611" t="s">
        <v>94</v>
      </c>
      <c r="E4611" t="s">
        <v>302</v>
      </c>
      <c r="F4611" t="s">
        <v>948</v>
      </c>
      <c r="G4611">
        <v>1077777</v>
      </c>
      <c r="H4611">
        <v>501010</v>
      </c>
      <c r="I4611" t="s">
        <v>949</v>
      </c>
    </row>
    <row r="4612" spans="1:9" x14ac:dyDescent="0.25">
      <c r="A4612">
        <v>4230</v>
      </c>
      <c r="B4612">
        <v>10</v>
      </c>
      <c r="C4612" t="s">
        <v>946</v>
      </c>
      <c r="D4612" t="s">
        <v>94</v>
      </c>
      <c r="E4612" t="s">
        <v>302</v>
      </c>
      <c r="F4612" t="s">
        <v>948</v>
      </c>
      <c r="G4612">
        <v>1099999</v>
      </c>
      <c r="H4612">
        <v>401902</v>
      </c>
      <c r="I4612" t="s">
        <v>949</v>
      </c>
    </row>
    <row r="4613" spans="1:9" x14ac:dyDescent="0.25">
      <c r="A4613">
        <v>4240</v>
      </c>
      <c r="B4613">
        <v>10</v>
      </c>
      <c r="C4613" t="s">
        <v>946</v>
      </c>
      <c r="D4613" t="s">
        <v>94</v>
      </c>
      <c r="E4613" t="s">
        <v>302</v>
      </c>
      <c r="F4613" t="s">
        <v>948</v>
      </c>
      <c r="G4613">
        <v>1000000</v>
      </c>
      <c r="H4613">
        <v>143000</v>
      </c>
      <c r="I4613" t="s">
        <v>982</v>
      </c>
    </row>
    <row r="4614" spans="1:9" x14ac:dyDescent="0.25">
      <c r="A4614">
        <v>4141</v>
      </c>
      <c r="B4614">
        <v>10</v>
      </c>
      <c r="C4614" t="s">
        <v>946</v>
      </c>
      <c r="D4614" t="s">
        <v>94</v>
      </c>
      <c r="E4614" t="s">
        <v>306</v>
      </c>
      <c r="F4614" t="s">
        <v>948</v>
      </c>
      <c r="G4614">
        <v>1077777</v>
      </c>
      <c r="H4614">
        <v>501010</v>
      </c>
      <c r="I4614" t="s">
        <v>949</v>
      </c>
    </row>
    <row r="4615" spans="1:9" x14ac:dyDescent="0.25">
      <c r="A4615">
        <v>4220</v>
      </c>
      <c r="B4615">
        <v>10</v>
      </c>
      <c r="C4615" t="s">
        <v>946</v>
      </c>
      <c r="D4615" t="s">
        <v>94</v>
      </c>
      <c r="E4615" t="s">
        <v>306</v>
      </c>
      <c r="F4615" t="s">
        <v>948</v>
      </c>
      <c r="G4615">
        <v>1077777</v>
      </c>
      <c r="H4615">
        <v>501010</v>
      </c>
      <c r="I4615" t="s">
        <v>949</v>
      </c>
    </row>
    <row r="4616" spans="1:9" x14ac:dyDescent="0.25">
      <c r="A4616">
        <v>4230</v>
      </c>
      <c r="B4616">
        <v>10</v>
      </c>
      <c r="C4616" t="s">
        <v>946</v>
      </c>
      <c r="D4616" t="s">
        <v>94</v>
      </c>
      <c r="E4616" t="s">
        <v>306</v>
      </c>
      <c r="F4616" t="s">
        <v>948</v>
      </c>
      <c r="G4616">
        <v>1099999</v>
      </c>
      <c r="H4616">
        <v>401042</v>
      </c>
      <c r="I4616" t="s">
        <v>949</v>
      </c>
    </row>
    <row r="4617" spans="1:9" x14ac:dyDescent="0.25">
      <c r="A4617">
        <v>4240</v>
      </c>
      <c r="B4617">
        <v>10</v>
      </c>
      <c r="C4617" t="s">
        <v>946</v>
      </c>
      <c r="D4617" t="s">
        <v>94</v>
      </c>
      <c r="E4617" t="s">
        <v>306</v>
      </c>
      <c r="F4617" t="s">
        <v>948</v>
      </c>
      <c r="G4617">
        <v>1000000</v>
      </c>
      <c r="H4617">
        <v>143000</v>
      </c>
      <c r="I4617" t="s">
        <v>983</v>
      </c>
    </row>
    <row r="4618" spans="1:9" x14ac:dyDescent="0.25">
      <c r="A4618">
        <v>4141</v>
      </c>
      <c r="B4618">
        <v>10</v>
      </c>
      <c r="C4618" t="s">
        <v>946</v>
      </c>
      <c r="D4618" t="s">
        <v>94</v>
      </c>
      <c r="E4618" t="s">
        <v>108</v>
      </c>
      <c r="F4618" t="s">
        <v>948</v>
      </c>
      <c r="G4618">
        <v>1077777</v>
      </c>
      <c r="H4618">
        <v>500220</v>
      </c>
      <c r="I4618" t="s">
        <v>949</v>
      </c>
    </row>
    <row r="4619" spans="1:9" x14ac:dyDescent="0.25">
      <c r="A4619">
        <v>4220</v>
      </c>
      <c r="B4619">
        <v>10</v>
      </c>
      <c r="C4619" t="s">
        <v>946</v>
      </c>
      <c r="D4619" t="s">
        <v>94</v>
      </c>
      <c r="E4619" t="s">
        <v>108</v>
      </c>
      <c r="F4619" t="s">
        <v>948</v>
      </c>
      <c r="G4619">
        <v>1077777</v>
      </c>
      <c r="H4619">
        <v>500220</v>
      </c>
      <c r="I4619" t="s">
        <v>949</v>
      </c>
    </row>
    <row r="4620" spans="1:9" x14ac:dyDescent="0.25">
      <c r="A4620">
        <v>4230</v>
      </c>
      <c r="B4620">
        <v>10</v>
      </c>
      <c r="C4620" t="s">
        <v>946</v>
      </c>
      <c r="D4620" t="s">
        <v>94</v>
      </c>
      <c r="E4620" t="s">
        <v>108</v>
      </c>
      <c r="F4620" t="s">
        <v>948</v>
      </c>
      <c r="G4620">
        <v>1099999</v>
      </c>
      <c r="H4620">
        <v>401042</v>
      </c>
      <c r="I4620" t="s">
        <v>949</v>
      </c>
    </row>
    <row r="4621" spans="1:9" x14ac:dyDescent="0.25">
      <c r="A4621">
        <v>4240</v>
      </c>
      <c r="B4621">
        <v>10</v>
      </c>
      <c r="C4621" t="s">
        <v>946</v>
      </c>
      <c r="D4621" t="s">
        <v>94</v>
      </c>
      <c r="E4621" t="s">
        <v>108</v>
      </c>
      <c r="F4621" t="s">
        <v>948</v>
      </c>
      <c r="G4621">
        <v>1077777</v>
      </c>
      <c r="H4621">
        <v>500221</v>
      </c>
      <c r="I4621" t="s">
        <v>949</v>
      </c>
    </row>
    <row r="4622" spans="1:9" x14ac:dyDescent="0.25">
      <c r="A4622">
        <v>4141</v>
      </c>
      <c r="B4622">
        <v>10</v>
      </c>
      <c r="C4622" t="s">
        <v>946</v>
      </c>
      <c r="D4622" t="s">
        <v>94</v>
      </c>
      <c r="E4622" t="s">
        <v>310</v>
      </c>
      <c r="F4622" t="s">
        <v>948</v>
      </c>
      <c r="G4622">
        <v>1077777</v>
      </c>
      <c r="H4622">
        <v>501010</v>
      </c>
      <c r="I4622" t="s">
        <v>949</v>
      </c>
    </row>
    <row r="4623" spans="1:9" x14ac:dyDescent="0.25">
      <c r="A4623">
        <v>4220</v>
      </c>
      <c r="B4623">
        <v>10</v>
      </c>
      <c r="C4623" t="s">
        <v>946</v>
      </c>
      <c r="D4623" t="s">
        <v>94</v>
      </c>
      <c r="E4623" t="s">
        <v>310</v>
      </c>
      <c r="F4623" t="s">
        <v>948</v>
      </c>
      <c r="G4623">
        <v>1077777</v>
      </c>
      <c r="H4623">
        <v>501010</v>
      </c>
      <c r="I4623" t="s">
        <v>949</v>
      </c>
    </row>
    <row r="4624" spans="1:9" x14ac:dyDescent="0.25">
      <c r="A4624">
        <v>4230</v>
      </c>
      <c r="B4624">
        <v>10</v>
      </c>
      <c r="C4624" t="s">
        <v>946</v>
      </c>
      <c r="D4624" t="s">
        <v>94</v>
      </c>
      <c r="E4624" t="s">
        <v>310</v>
      </c>
      <c r="F4624" t="s">
        <v>948</v>
      </c>
      <c r="G4624">
        <v>1099999</v>
      </c>
      <c r="H4624">
        <v>401012</v>
      </c>
      <c r="I4624" t="s">
        <v>949</v>
      </c>
    </row>
    <row r="4625" spans="1:9" x14ac:dyDescent="0.25">
      <c r="A4625">
        <v>4240</v>
      </c>
      <c r="B4625">
        <v>10</v>
      </c>
      <c r="C4625" t="s">
        <v>946</v>
      </c>
      <c r="D4625" t="s">
        <v>94</v>
      </c>
      <c r="E4625" t="s">
        <v>310</v>
      </c>
      <c r="F4625" t="s">
        <v>948</v>
      </c>
      <c r="G4625">
        <v>1000000</v>
      </c>
      <c r="H4625">
        <v>145000</v>
      </c>
      <c r="I4625" t="s">
        <v>949</v>
      </c>
    </row>
    <row r="4626" spans="1:9" x14ac:dyDescent="0.25">
      <c r="A4626">
        <v>4141</v>
      </c>
      <c r="B4626">
        <v>10</v>
      </c>
      <c r="C4626" t="s">
        <v>946</v>
      </c>
      <c r="D4626" t="s">
        <v>94</v>
      </c>
      <c r="E4626" t="s">
        <v>314</v>
      </c>
      <c r="F4626" t="s">
        <v>948</v>
      </c>
      <c r="G4626">
        <v>1077777</v>
      </c>
      <c r="H4626">
        <v>501010</v>
      </c>
      <c r="I4626" t="s">
        <v>949</v>
      </c>
    </row>
    <row r="4627" spans="1:9" x14ac:dyDescent="0.25">
      <c r="A4627">
        <v>4220</v>
      </c>
      <c r="B4627">
        <v>10</v>
      </c>
      <c r="C4627" t="s">
        <v>946</v>
      </c>
      <c r="D4627" t="s">
        <v>94</v>
      </c>
      <c r="E4627" t="s">
        <v>314</v>
      </c>
      <c r="F4627" t="s">
        <v>948</v>
      </c>
      <c r="G4627">
        <v>1077777</v>
      </c>
      <c r="H4627">
        <v>501010</v>
      </c>
      <c r="I4627" t="s">
        <v>949</v>
      </c>
    </row>
    <row r="4628" spans="1:9" x14ac:dyDescent="0.25">
      <c r="A4628">
        <v>4230</v>
      </c>
      <c r="B4628">
        <v>10</v>
      </c>
      <c r="C4628" t="s">
        <v>946</v>
      </c>
      <c r="D4628" t="s">
        <v>94</v>
      </c>
      <c r="E4628" t="s">
        <v>314</v>
      </c>
      <c r="F4628" t="s">
        <v>948</v>
      </c>
      <c r="G4628">
        <v>1099999</v>
      </c>
      <c r="H4628">
        <v>401062</v>
      </c>
      <c r="I4628" t="s">
        <v>949</v>
      </c>
    </row>
    <row r="4629" spans="1:9" x14ac:dyDescent="0.25">
      <c r="A4629">
        <v>4240</v>
      </c>
      <c r="B4629">
        <v>10</v>
      </c>
      <c r="C4629" t="s">
        <v>946</v>
      </c>
      <c r="D4629" t="s">
        <v>94</v>
      </c>
      <c r="E4629" t="s">
        <v>314</v>
      </c>
      <c r="F4629" t="s">
        <v>948</v>
      </c>
      <c r="G4629">
        <v>1000000</v>
      </c>
      <c r="H4629">
        <v>145000</v>
      </c>
      <c r="I4629" t="s">
        <v>949</v>
      </c>
    </row>
    <row r="4630" spans="1:9" x14ac:dyDescent="0.25">
      <c r="A4630">
        <v>4141</v>
      </c>
      <c r="B4630">
        <v>10</v>
      </c>
      <c r="C4630" t="s">
        <v>946</v>
      </c>
      <c r="D4630" t="s">
        <v>94</v>
      </c>
      <c r="E4630" t="s">
        <v>113</v>
      </c>
      <c r="F4630" t="s">
        <v>948</v>
      </c>
      <c r="G4630">
        <v>1077777</v>
      </c>
      <c r="H4630">
        <v>500220</v>
      </c>
      <c r="I4630" t="s">
        <v>949</v>
      </c>
    </row>
    <row r="4631" spans="1:9" x14ac:dyDescent="0.25">
      <c r="A4631">
        <v>4220</v>
      </c>
      <c r="B4631">
        <v>10</v>
      </c>
      <c r="C4631" t="s">
        <v>946</v>
      </c>
      <c r="D4631" t="s">
        <v>94</v>
      </c>
      <c r="E4631" t="s">
        <v>113</v>
      </c>
      <c r="F4631" t="s">
        <v>948</v>
      </c>
      <c r="G4631">
        <v>1077777</v>
      </c>
      <c r="H4631">
        <v>500220</v>
      </c>
      <c r="I4631" t="s">
        <v>949</v>
      </c>
    </row>
    <row r="4632" spans="1:9" x14ac:dyDescent="0.25">
      <c r="A4632">
        <v>4230</v>
      </c>
      <c r="B4632">
        <v>10</v>
      </c>
      <c r="C4632" t="s">
        <v>946</v>
      </c>
      <c r="D4632" t="s">
        <v>94</v>
      </c>
      <c r="E4632" t="s">
        <v>113</v>
      </c>
      <c r="F4632" t="s">
        <v>948</v>
      </c>
      <c r="G4632">
        <v>1099999</v>
      </c>
      <c r="H4632">
        <v>402082</v>
      </c>
      <c r="I4632" t="s">
        <v>949</v>
      </c>
    </row>
    <row r="4633" spans="1:9" x14ac:dyDescent="0.25">
      <c r="A4633">
        <v>4240</v>
      </c>
      <c r="B4633">
        <v>10</v>
      </c>
      <c r="C4633" t="s">
        <v>946</v>
      </c>
      <c r="D4633" t="s">
        <v>94</v>
      </c>
      <c r="E4633" t="s">
        <v>113</v>
      </c>
      <c r="F4633" t="s">
        <v>948</v>
      </c>
      <c r="G4633">
        <v>1077777</v>
      </c>
      <c r="H4633">
        <v>500221</v>
      </c>
      <c r="I4633" t="s">
        <v>949</v>
      </c>
    </row>
    <row r="4634" spans="1:9" x14ac:dyDescent="0.25">
      <c r="A4634">
        <v>4141</v>
      </c>
      <c r="B4634">
        <v>10</v>
      </c>
      <c r="C4634" t="s">
        <v>946</v>
      </c>
      <c r="D4634" t="s">
        <v>94</v>
      </c>
      <c r="E4634" t="s">
        <v>117</v>
      </c>
      <c r="F4634" t="s">
        <v>948</v>
      </c>
      <c r="G4634">
        <v>1077777</v>
      </c>
      <c r="H4634">
        <v>500220</v>
      </c>
      <c r="I4634" t="s">
        <v>949</v>
      </c>
    </row>
    <row r="4635" spans="1:9" x14ac:dyDescent="0.25">
      <c r="A4635">
        <v>4220</v>
      </c>
      <c r="B4635">
        <v>10</v>
      </c>
      <c r="C4635" t="s">
        <v>946</v>
      </c>
      <c r="D4635" t="s">
        <v>94</v>
      </c>
      <c r="E4635" t="s">
        <v>117</v>
      </c>
      <c r="F4635" t="s">
        <v>948</v>
      </c>
      <c r="G4635">
        <v>1077777</v>
      </c>
      <c r="H4635">
        <v>500220</v>
      </c>
      <c r="I4635" t="s">
        <v>949</v>
      </c>
    </row>
    <row r="4636" spans="1:9" x14ac:dyDescent="0.25">
      <c r="A4636">
        <v>4230</v>
      </c>
      <c r="B4636">
        <v>10</v>
      </c>
      <c r="C4636" t="s">
        <v>946</v>
      </c>
      <c r="D4636" t="s">
        <v>94</v>
      </c>
      <c r="E4636" t="s">
        <v>117</v>
      </c>
      <c r="F4636" t="s">
        <v>948</v>
      </c>
      <c r="G4636">
        <v>1088888</v>
      </c>
      <c r="H4636">
        <v>810600</v>
      </c>
      <c r="I4636" t="s">
        <v>949</v>
      </c>
    </row>
    <row r="4637" spans="1:9" x14ac:dyDescent="0.25">
      <c r="A4637">
        <v>4240</v>
      </c>
      <c r="B4637">
        <v>10</v>
      </c>
      <c r="C4637" t="s">
        <v>946</v>
      </c>
      <c r="D4637" t="s">
        <v>94</v>
      </c>
      <c r="E4637" t="s">
        <v>117</v>
      </c>
      <c r="F4637" t="s">
        <v>948</v>
      </c>
      <c r="G4637">
        <v>1077777</v>
      </c>
      <c r="H4637">
        <v>500221</v>
      </c>
      <c r="I4637" t="s">
        <v>949</v>
      </c>
    </row>
    <row r="4638" spans="1:9" x14ac:dyDescent="0.25">
      <c r="A4638">
        <v>4141</v>
      </c>
      <c r="B4638">
        <v>10</v>
      </c>
      <c r="C4638" t="s">
        <v>946</v>
      </c>
      <c r="D4638" t="s">
        <v>94</v>
      </c>
      <c r="E4638" t="s">
        <v>121</v>
      </c>
      <c r="F4638" t="s">
        <v>948</v>
      </c>
      <c r="G4638">
        <v>1077777</v>
      </c>
      <c r="H4638">
        <v>500220</v>
      </c>
      <c r="I4638" t="s">
        <v>949</v>
      </c>
    </row>
    <row r="4639" spans="1:9" x14ac:dyDescent="0.25">
      <c r="A4639">
        <v>4220</v>
      </c>
      <c r="B4639">
        <v>10</v>
      </c>
      <c r="C4639" t="s">
        <v>946</v>
      </c>
      <c r="D4639" t="s">
        <v>94</v>
      </c>
      <c r="E4639" t="s">
        <v>121</v>
      </c>
      <c r="F4639" t="s">
        <v>948</v>
      </c>
      <c r="G4639">
        <v>1077777</v>
      </c>
      <c r="H4639">
        <v>500220</v>
      </c>
      <c r="I4639" t="s">
        <v>949</v>
      </c>
    </row>
    <row r="4640" spans="1:9" x14ac:dyDescent="0.25">
      <c r="A4640">
        <v>4230</v>
      </c>
      <c r="B4640">
        <v>10</v>
      </c>
      <c r="C4640" t="s">
        <v>946</v>
      </c>
      <c r="D4640" t="s">
        <v>94</v>
      </c>
      <c r="E4640" t="s">
        <v>121</v>
      </c>
      <c r="F4640" t="s">
        <v>948</v>
      </c>
      <c r="G4640">
        <v>1099999</v>
      </c>
      <c r="H4640">
        <v>401042</v>
      </c>
      <c r="I4640" t="s">
        <v>949</v>
      </c>
    </row>
    <row r="4641" spans="1:9" x14ac:dyDescent="0.25">
      <c r="A4641">
        <v>4240</v>
      </c>
      <c r="B4641">
        <v>10</v>
      </c>
      <c r="C4641" t="s">
        <v>946</v>
      </c>
      <c r="D4641" t="s">
        <v>94</v>
      </c>
      <c r="E4641" t="s">
        <v>121</v>
      </c>
      <c r="F4641" t="s">
        <v>948</v>
      </c>
      <c r="G4641">
        <v>1077777</v>
      </c>
      <c r="H4641">
        <v>500221</v>
      </c>
      <c r="I4641" t="s">
        <v>949</v>
      </c>
    </row>
    <row r="4642" spans="1:9" x14ac:dyDescent="0.25">
      <c r="A4642">
        <v>4141</v>
      </c>
      <c r="B4642">
        <v>10</v>
      </c>
      <c r="C4642" t="s">
        <v>946</v>
      </c>
      <c r="D4642" t="s">
        <v>94</v>
      </c>
      <c r="E4642" t="s">
        <v>984</v>
      </c>
      <c r="F4642" t="s">
        <v>948</v>
      </c>
      <c r="G4642">
        <v>1077777</v>
      </c>
      <c r="H4642">
        <v>501010</v>
      </c>
      <c r="I4642" t="s">
        <v>949</v>
      </c>
    </row>
    <row r="4643" spans="1:9" x14ac:dyDescent="0.25">
      <c r="A4643">
        <v>4220</v>
      </c>
      <c r="B4643">
        <v>10</v>
      </c>
      <c r="C4643" t="s">
        <v>946</v>
      </c>
      <c r="D4643" t="s">
        <v>94</v>
      </c>
      <c r="E4643" t="s">
        <v>984</v>
      </c>
      <c r="F4643" t="s">
        <v>948</v>
      </c>
      <c r="G4643">
        <v>1077777</v>
      </c>
      <c r="H4643">
        <v>501010</v>
      </c>
      <c r="I4643" t="s">
        <v>949</v>
      </c>
    </row>
    <row r="4644" spans="1:9" x14ac:dyDescent="0.25">
      <c r="A4644">
        <v>4230</v>
      </c>
      <c r="B4644">
        <v>10</v>
      </c>
      <c r="C4644" t="s">
        <v>946</v>
      </c>
      <c r="D4644" t="s">
        <v>94</v>
      </c>
      <c r="E4644" t="s">
        <v>984</v>
      </c>
      <c r="F4644" t="s">
        <v>948</v>
      </c>
      <c r="G4644">
        <v>1099999</v>
      </c>
      <c r="H4644">
        <v>401912</v>
      </c>
      <c r="I4644" t="s">
        <v>949</v>
      </c>
    </row>
    <row r="4645" spans="1:9" x14ac:dyDescent="0.25">
      <c r="A4645">
        <v>4240</v>
      </c>
      <c r="B4645">
        <v>10</v>
      </c>
      <c r="C4645" t="s">
        <v>946</v>
      </c>
      <c r="D4645" t="s">
        <v>94</v>
      </c>
      <c r="E4645" t="s">
        <v>984</v>
      </c>
      <c r="F4645" t="s">
        <v>948</v>
      </c>
      <c r="G4645">
        <v>1000000</v>
      </c>
      <c r="H4645">
        <v>141000</v>
      </c>
      <c r="I4645" t="s">
        <v>985</v>
      </c>
    </row>
    <row r="4646" spans="1:9" x14ac:dyDescent="0.25">
      <c r="A4646">
        <v>4141</v>
      </c>
      <c r="B4646">
        <v>10</v>
      </c>
      <c r="C4646" t="s">
        <v>946</v>
      </c>
      <c r="D4646" t="s">
        <v>1033</v>
      </c>
      <c r="E4646" t="s">
        <v>49</v>
      </c>
      <c r="F4646" t="s">
        <v>948</v>
      </c>
      <c r="G4646">
        <v>1077777</v>
      </c>
      <c r="H4646">
        <v>500220</v>
      </c>
      <c r="I4646" t="s">
        <v>949</v>
      </c>
    </row>
    <row r="4647" spans="1:9" x14ac:dyDescent="0.25">
      <c r="A4647">
        <v>4220</v>
      </c>
      <c r="B4647">
        <v>10</v>
      </c>
      <c r="C4647" t="s">
        <v>946</v>
      </c>
      <c r="D4647" t="s">
        <v>1033</v>
      </c>
      <c r="E4647" t="s">
        <v>49</v>
      </c>
      <c r="F4647" t="s">
        <v>948</v>
      </c>
      <c r="G4647">
        <v>1077777</v>
      </c>
      <c r="H4647">
        <v>500220</v>
      </c>
      <c r="I4647" t="s">
        <v>949</v>
      </c>
    </row>
    <row r="4648" spans="1:9" x14ac:dyDescent="0.25">
      <c r="A4648">
        <v>4230</v>
      </c>
      <c r="B4648">
        <v>10</v>
      </c>
      <c r="C4648" t="s">
        <v>946</v>
      </c>
      <c r="D4648" t="s">
        <v>1033</v>
      </c>
      <c r="E4648" t="s">
        <v>49</v>
      </c>
      <c r="F4648" t="s">
        <v>948</v>
      </c>
      <c r="G4648">
        <v>1077777</v>
      </c>
      <c r="H4648">
        <v>500220</v>
      </c>
      <c r="I4648" t="s">
        <v>949</v>
      </c>
    </row>
    <row r="4649" spans="1:9" x14ac:dyDescent="0.25">
      <c r="A4649">
        <v>4240</v>
      </c>
      <c r="B4649">
        <v>10</v>
      </c>
      <c r="C4649" t="s">
        <v>946</v>
      </c>
      <c r="D4649" t="s">
        <v>1033</v>
      </c>
      <c r="E4649" t="s">
        <v>49</v>
      </c>
      <c r="F4649" t="s">
        <v>948</v>
      </c>
      <c r="G4649">
        <v>1077777</v>
      </c>
      <c r="H4649">
        <v>500221</v>
      </c>
      <c r="I4649" t="s">
        <v>949</v>
      </c>
    </row>
    <row r="4650" spans="1:9" x14ac:dyDescent="0.25">
      <c r="A4650">
        <v>4245</v>
      </c>
      <c r="B4650">
        <v>10</v>
      </c>
      <c r="C4650" t="s">
        <v>946</v>
      </c>
      <c r="D4650" t="s">
        <v>1033</v>
      </c>
      <c r="E4650" t="s">
        <v>49</v>
      </c>
      <c r="F4650" t="s">
        <v>948</v>
      </c>
      <c r="G4650">
        <v>1077777</v>
      </c>
      <c r="H4650">
        <v>500221</v>
      </c>
      <c r="I4650" t="s">
        <v>949</v>
      </c>
    </row>
    <row r="4651" spans="1:9" x14ac:dyDescent="0.25">
      <c r="A4651">
        <v>4245</v>
      </c>
      <c r="B4651">
        <v>10</v>
      </c>
      <c r="C4651" t="s">
        <v>946</v>
      </c>
      <c r="D4651" t="s">
        <v>89</v>
      </c>
      <c r="E4651" t="s">
        <v>49</v>
      </c>
      <c r="F4651" t="s">
        <v>948</v>
      </c>
      <c r="G4651">
        <v>5000000</v>
      </c>
      <c r="H4651">
        <v>145200</v>
      </c>
      <c r="I4651" t="s">
        <v>1034</v>
      </c>
    </row>
    <row r="4652" spans="1:9" x14ac:dyDescent="0.25">
      <c r="A4652">
        <v>4141</v>
      </c>
      <c r="B4652">
        <v>10</v>
      </c>
      <c r="C4652" t="s">
        <v>946</v>
      </c>
      <c r="D4652" t="s">
        <v>89</v>
      </c>
      <c r="E4652" t="s">
        <v>243</v>
      </c>
      <c r="F4652" t="s">
        <v>948</v>
      </c>
      <c r="G4652">
        <v>1077777</v>
      </c>
      <c r="H4652">
        <v>501010</v>
      </c>
      <c r="I4652">
        <v>50</v>
      </c>
    </row>
    <row r="4653" spans="1:9" x14ac:dyDescent="0.25">
      <c r="A4653">
        <v>4220</v>
      </c>
      <c r="B4653">
        <v>10</v>
      </c>
      <c r="C4653" t="s">
        <v>946</v>
      </c>
      <c r="D4653" t="s">
        <v>89</v>
      </c>
      <c r="E4653" t="s">
        <v>243</v>
      </c>
      <c r="F4653" t="s">
        <v>948</v>
      </c>
      <c r="G4653">
        <v>1077777</v>
      </c>
      <c r="H4653">
        <v>501010</v>
      </c>
      <c r="I4653">
        <v>50</v>
      </c>
    </row>
    <row r="4654" spans="1:9" x14ac:dyDescent="0.25">
      <c r="A4654">
        <v>4230</v>
      </c>
      <c r="B4654">
        <v>10</v>
      </c>
      <c r="C4654" t="s">
        <v>946</v>
      </c>
      <c r="D4654" t="s">
        <v>89</v>
      </c>
      <c r="E4654" t="s">
        <v>243</v>
      </c>
      <c r="F4654" t="s">
        <v>948</v>
      </c>
      <c r="G4654">
        <v>1099999</v>
      </c>
      <c r="H4654">
        <v>401055</v>
      </c>
      <c r="I4654">
        <v>50</v>
      </c>
    </row>
    <row r="4655" spans="1:9" x14ac:dyDescent="0.25">
      <c r="A4655">
        <v>4240</v>
      </c>
      <c r="B4655">
        <v>10</v>
      </c>
      <c r="C4655" t="s">
        <v>946</v>
      </c>
      <c r="D4655" t="s">
        <v>89</v>
      </c>
      <c r="E4655" t="s">
        <v>243</v>
      </c>
      <c r="F4655" t="s">
        <v>948</v>
      </c>
      <c r="G4655">
        <v>1000000</v>
      </c>
      <c r="H4655">
        <v>145000</v>
      </c>
      <c r="I4655" t="s">
        <v>949</v>
      </c>
    </row>
    <row r="4656" spans="1:9" x14ac:dyDescent="0.25">
      <c r="A4656">
        <v>4141</v>
      </c>
      <c r="B4656">
        <v>10</v>
      </c>
      <c r="C4656" t="s">
        <v>946</v>
      </c>
      <c r="D4656" t="s">
        <v>89</v>
      </c>
      <c r="E4656" t="s">
        <v>247</v>
      </c>
      <c r="F4656" t="s">
        <v>948</v>
      </c>
      <c r="G4656">
        <v>1077777</v>
      </c>
      <c r="H4656">
        <v>501010</v>
      </c>
      <c r="I4656">
        <v>50</v>
      </c>
    </row>
    <row r="4657" spans="1:9" x14ac:dyDescent="0.25">
      <c r="A4657">
        <v>4220</v>
      </c>
      <c r="B4657">
        <v>10</v>
      </c>
      <c r="C4657" t="s">
        <v>946</v>
      </c>
      <c r="D4657" t="s">
        <v>89</v>
      </c>
      <c r="E4657" t="s">
        <v>247</v>
      </c>
      <c r="F4657" t="s">
        <v>948</v>
      </c>
      <c r="G4657">
        <v>1077777</v>
      </c>
      <c r="H4657">
        <v>501010</v>
      </c>
      <c r="I4657">
        <v>50</v>
      </c>
    </row>
    <row r="4658" spans="1:9" x14ac:dyDescent="0.25">
      <c r="A4658">
        <v>4230</v>
      </c>
      <c r="B4658">
        <v>10</v>
      </c>
      <c r="C4658" t="s">
        <v>946</v>
      </c>
      <c r="D4658" t="s">
        <v>89</v>
      </c>
      <c r="E4658" t="s">
        <v>247</v>
      </c>
      <c r="F4658" t="s">
        <v>948</v>
      </c>
      <c r="G4658">
        <v>1099999</v>
      </c>
      <c r="H4658">
        <v>401025</v>
      </c>
      <c r="I4658">
        <v>50</v>
      </c>
    </row>
    <row r="4659" spans="1:9" x14ac:dyDescent="0.25">
      <c r="A4659">
        <v>4240</v>
      </c>
      <c r="B4659">
        <v>10</v>
      </c>
      <c r="C4659" t="s">
        <v>946</v>
      </c>
      <c r="D4659" t="s">
        <v>89</v>
      </c>
      <c r="E4659" t="s">
        <v>247</v>
      </c>
      <c r="F4659" t="s">
        <v>948</v>
      </c>
      <c r="G4659">
        <v>1000000</v>
      </c>
      <c r="H4659">
        <v>145000</v>
      </c>
      <c r="I4659" t="s">
        <v>949</v>
      </c>
    </row>
    <row r="4660" spans="1:9" x14ac:dyDescent="0.25">
      <c r="A4660">
        <v>4141</v>
      </c>
      <c r="B4660">
        <v>10</v>
      </c>
      <c r="C4660" t="s">
        <v>946</v>
      </c>
      <c r="D4660" t="s">
        <v>89</v>
      </c>
      <c r="E4660" t="s">
        <v>251</v>
      </c>
      <c r="F4660" t="s">
        <v>948</v>
      </c>
      <c r="G4660">
        <v>1077777</v>
      </c>
      <c r="H4660">
        <v>501010</v>
      </c>
      <c r="I4660">
        <v>50</v>
      </c>
    </row>
    <row r="4661" spans="1:9" x14ac:dyDescent="0.25">
      <c r="A4661">
        <v>4220</v>
      </c>
      <c r="B4661">
        <v>10</v>
      </c>
      <c r="C4661" t="s">
        <v>946</v>
      </c>
      <c r="D4661" t="s">
        <v>89</v>
      </c>
      <c r="E4661" t="s">
        <v>251</v>
      </c>
      <c r="F4661" t="s">
        <v>948</v>
      </c>
      <c r="G4661">
        <v>1077777</v>
      </c>
      <c r="H4661">
        <v>501010</v>
      </c>
      <c r="I4661">
        <v>50</v>
      </c>
    </row>
    <row r="4662" spans="1:9" x14ac:dyDescent="0.25">
      <c r="A4662">
        <v>4230</v>
      </c>
      <c r="B4662">
        <v>10</v>
      </c>
      <c r="C4662" t="s">
        <v>946</v>
      </c>
      <c r="D4662" t="s">
        <v>89</v>
      </c>
      <c r="E4662" t="s">
        <v>251</v>
      </c>
      <c r="F4662" t="s">
        <v>948</v>
      </c>
      <c r="G4662">
        <v>1099999</v>
      </c>
      <c r="H4662">
        <v>401045</v>
      </c>
      <c r="I4662">
        <v>50</v>
      </c>
    </row>
    <row r="4663" spans="1:9" x14ac:dyDescent="0.25">
      <c r="A4663">
        <v>4240</v>
      </c>
      <c r="B4663">
        <v>10</v>
      </c>
      <c r="C4663" t="s">
        <v>946</v>
      </c>
      <c r="D4663" t="s">
        <v>89</v>
      </c>
      <c r="E4663" t="s">
        <v>251</v>
      </c>
      <c r="F4663" t="s">
        <v>948</v>
      </c>
      <c r="G4663">
        <v>1000000</v>
      </c>
      <c r="H4663">
        <v>142000</v>
      </c>
      <c r="I4663" t="s">
        <v>949</v>
      </c>
    </row>
    <row r="4664" spans="1:9" x14ac:dyDescent="0.25">
      <c r="A4664">
        <v>4141</v>
      </c>
      <c r="B4664">
        <v>10</v>
      </c>
      <c r="C4664" t="s">
        <v>946</v>
      </c>
      <c r="D4664" t="s">
        <v>89</v>
      </c>
      <c r="E4664" t="s">
        <v>255</v>
      </c>
      <c r="F4664" t="s">
        <v>948</v>
      </c>
      <c r="G4664">
        <v>1077777</v>
      </c>
      <c r="H4664">
        <v>501010</v>
      </c>
      <c r="I4664">
        <v>50</v>
      </c>
    </row>
    <row r="4665" spans="1:9" x14ac:dyDescent="0.25">
      <c r="A4665">
        <v>4220</v>
      </c>
      <c r="B4665">
        <v>10</v>
      </c>
      <c r="C4665" t="s">
        <v>946</v>
      </c>
      <c r="D4665" t="s">
        <v>89</v>
      </c>
      <c r="E4665" t="s">
        <v>255</v>
      </c>
      <c r="F4665" t="s">
        <v>948</v>
      </c>
      <c r="G4665">
        <v>1077777</v>
      </c>
      <c r="H4665">
        <v>501010</v>
      </c>
      <c r="I4665">
        <v>50</v>
      </c>
    </row>
    <row r="4666" spans="1:9" x14ac:dyDescent="0.25">
      <c r="A4666">
        <v>4230</v>
      </c>
      <c r="B4666">
        <v>10</v>
      </c>
      <c r="C4666" t="s">
        <v>946</v>
      </c>
      <c r="D4666" t="s">
        <v>89</v>
      </c>
      <c r="E4666" t="s">
        <v>255</v>
      </c>
      <c r="F4666" t="s">
        <v>948</v>
      </c>
      <c r="G4666">
        <v>1099999</v>
      </c>
      <c r="H4666">
        <v>401075</v>
      </c>
      <c r="I4666">
        <v>50</v>
      </c>
    </row>
    <row r="4667" spans="1:9" x14ac:dyDescent="0.25">
      <c r="A4667">
        <v>4240</v>
      </c>
      <c r="B4667">
        <v>10</v>
      </c>
      <c r="C4667" t="s">
        <v>946</v>
      </c>
      <c r="D4667" t="s">
        <v>89</v>
      </c>
      <c r="E4667" t="s">
        <v>255</v>
      </c>
      <c r="F4667" t="s">
        <v>948</v>
      </c>
      <c r="G4667">
        <v>1000000</v>
      </c>
      <c r="H4667">
        <v>145000</v>
      </c>
      <c r="I4667" t="s">
        <v>949</v>
      </c>
    </row>
    <row r="4668" spans="1:9" x14ac:dyDescent="0.25">
      <c r="A4668">
        <v>4230</v>
      </c>
      <c r="B4668">
        <v>10</v>
      </c>
      <c r="C4668" t="s">
        <v>946</v>
      </c>
      <c r="D4668" t="s">
        <v>89</v>
      </c>
      <c r="E4668" t="s">
        <v>971</v>
      </c>
      <c r="F4668" t="s">
        <v>948</v>
      </c>
      <c r="G4668">
        <v>1099999</v>
      </c>
      <c r="H4668">
        <v>401915</v>
      </c>
      <c r="I4668">
        <v>50</v>
      </c>
    </row>
    <row r="4669" spans="1:9" x14ac:dyDescent="0.25">
      <c r="A4669">
        <v>4230</v>
      </c>
      <c r="B4669">
        <v>10</v>
      </c>
      <c r="C4669" t="s">
        <v>946</v>
      </c>
      <c r="D4669" t="s">
        <v>89</v>
      </c>
      <c r="E4669" t="s">
        <v>259</v>
      </c>
      <c r="F4669" t="s">
        <v>948</v>
      </c>
      <c r="G4669">
        <v>1099999</v>
      </c>
      <c r="H4669">
        <v>409005</v>
      </c>
      <c r="I4669">
        <v>50</v>
      </c>
    </row>
    <row r="4670" spans="1:9" x14ac:dyDescent="0.25">
      <c r="A4670">
        <v>4141</v>
      </c>
      <c r="B4670">
        <v>10</v>
      </c>
      <c r="C4670" t="s">
        <v>946</v>
      </c>
      <c r="D4670" t="s">
        <v>89</v>
      </c>
      <c r="E4670" t="s">
        <v>263</v>
      </c>
      <c r="F4670" t="s">
        <v>948</v>
      </c>
      <c r="G4670">
        <v>1077777</v>
      </c>
      <c r="H4670">
        <v>501010</v>
      </c>
      <c r="I4670">
        <v>50</v>
      </c>
    </row>
    <row r="4671" spans="1:9" x14ac:dyDescent="0.25">
      <c r="A4671">
        <v>4220</v>
      </c>
      <c r="B4671">
        <v>10</v>
      </c>
      <c r="C4671" t="s">
        <v>946</v>
      </c>
      <c r="D4671" t="s">
        <v>89</v>
      </c>
      <c r="E4671" t="s">
        <v>263</v>
      </c>
      <c r="F4671" t="s">
        <v>948</v>
      </c>
      <c r="G4671">
        <v>1077777</v>
      </c>
      <c r="H4671">
        <v>501010</v>
      </c>
      <c r="I4671">
        <v>50</v>
      </c>
    </row>
    <row r="4672" spans="1:9" x14ac:dyDescent="0.25">
      <c r="A4672">
        <v>4230</v>
      </c>
      <c r="B4672">
        <v>10</v>
      </c>
      <c r="C4672" t="s">
        <v>946</v>
      </c>
      <c r="D4672" t="s">
        <v>89</v>
      </c>
      <c r="E4672" t="s">
        <v>263</v>
      </c>
      <c r="F4672" t="s">
        <v>948</v>
      </c>
      <c r="G4672">
        <v>1099999</v>
      </c>
      <c r="H4672">
        <v>401045</v>
      </c>
      <c r="I4672">
        <v>50</v>
      </c>
    </row>
    <row r="4673" spans="1:9" x14ac:dyDescent="0.25">
      <c r="A4673">
        <v>4240</v>
      </c>
      <c r="B4673">
        <v>10</v>
      </c>
      <c r="C4673" t="s">
        <v>946</v>
      </c>
      <c r="D4673" t="s">
        <v>89</v>
      </c>
      <c r="E4673" t="s">
        <v>263</v>
      </c>
      <c r="F4673" t="s">
        <v>948</v>
      </c>
      <c r="G4673">
        <v>1000000</v>
      </c>
      <c r="H4673">
        <v>145000</v>
      </c>
      <c r="I4673" t="s">
        <v>949</v>
      </c>
    </row>
    <row r="4674" spans="1:9" x14ac:dyDescent="0.25">
      <c r="A4674">
        <v>4141</v>
      </c>
      <c r="B4674">
        <v>10</v>
      </c>
      <c r="C4674" t="s">
        <v>946</v>
      </c>
      <c r="D4674" t="s">
        <v>89</v>
      </c>
      <c r="E4674" t="s">
        <v>100</v>
      </c>
      <c r="F4674" t="s">
        <v>948</v>
      </c>
      <c r="G4674">
        <v>1077777</v>
      </c>
      <c r="H4674">
        <v>500220</v>
      </c>
      <c r="I4674">
        <v>50</v>
      </c>
    </row>
    <row r="4675" spans="1:9" x14ac:dyDescent="0.25">
      <c r="A4675">
        <v>4220</v>
      </c>
      <c r="B4675">
        <v>10</v>
      </c>
      <c r="C4675" t="s">
        <v>946</v>
      </c>
      <c r="D4675" t="s">
        <v>89</v>
      </c>
      <c r="E4675" t="s">
        <v>100</v>
      </c>
      <c r="F4675" t="s">
        <v>948</v>
      </c>
      <c r="G4675">
        <v>1077777</v>
      </c>
      <c r="H4675">
        <v>500220</v>
      </c>
      <c r="I4675">
        <v>50</v>
      </c>
    </row>
    <row r="4676" spans="1:9" x14ac:dyDescent="0.25">
      <c r="A4676">
        <v>4230</v>
      </c>
      <c r="B4676">
        <v>10</v>
      </c>
      <c r="C4676" t="s">
        <v>946</v>
      </c>
      <c r="D4676" t="s">
        <v>89</v>
      </c>
      <c r="E4676" t="s">
        <v>100</v>
      </c>
      <c r="F4676" t="s">
        <v>948</v>
      </c>
      <c r="G4676">
        <v>1099999</v>
      </c>
      <c r="H4676">
        <v>401045</v>
      </c>
      <c r="I4676">
        <v>50</v>
      </c>
    </row>
    <row r="4677" spans="1:9" x14ac:dyDescent="0.25">
      <c r="A4677">
        <v>4240</v>
      </c>
      <c r="B4677">
        <v>10</v>
      </c>
      <c r="C4677" t="s">
        <v>946</v>
      </c>
      <c r="D4677" t="s">
        <v>89</v>
      </c>
      <c r="E4677" t="s">
        <v>100</v>
      </c>
      <c r="F4677" t="s">
        <v>948</v>
      </c>
      <c r="G4677">
        <v>1077777</v>
      </c>
      <c r="H4677">
        <v>500221</v>
      </c>
      <c r="I4677" t="s">
        <v>949</v>
      </c>
    </row>
    <row r="4678" spans="1:9" x14ac:dyDescent="0.25">
      <c r="A4678">
        <v>4141</v>
      </c>
      <c r="B4678">
        <v>10</v>
      </c>
      <c r="C4678" t="s">
        <v>946</v>
      </c>
      <c r="D4678" t="s">
        <v>89</v>
      </c>
      <c r="E4678" t="s">
        <v>270</v>
      </c>
      <c r="F4678" t="s">
        <v>948</v>
      </c>
      <c r="G4678">
        <v>1077777</v>
      </c>
      <c r="H4678">
        <v>501010</v>
      </c>
      <c r="I4678">
        <v>50</v>
      </c>
    </row>
    <row r="4679" spans="1:9" x14ac:dyDescent="0.25">
      <c r="A4679">
        <v>4220</v>
      </c>
      <c r="B4679">
        <v>10</v>
      </c>
      <c r="C4679" t="s">
        <v>946</v>
      </c>
      <c r="D4679" t="s">
        <v>89</v>
      </c>
      <c r="E4679" t="s">
        <v>270</v>
      </c>
      <c r="F4679" t="s">
        <v>948</v>
      </c>
      <c r="G4679">
        <v>1077777</v>
      </c>
      <c r="H4679">
        <v>501010</v>
      </c>
      <c r="I4679">
        <v>50</v>
      </c>
    </row>
    <row r="4680" spans="1:9" x14ac:dyDescent="0.25">
      <c r="A4680">
        <v>4230</v>
      </c>
      <c r="B4680">
        <v>10</v>
      </c>
      <c r="C4680" t="s">
        <v>946</v>
      </c>
      <c r="D4680" t="s">
        <v>89</v>
      </c>
      <c r="E4680" t="s">
        <v>270</v>
      </c>
      <c r="F4680" t="s">
        <v>948</v>
      </c>
      <c r="G4680">
        <v>1099999</v>
      </c>
      <c r="H4680">
        <v>401065</v>
      </c>
      <c r="I4680">
        <v>50</v>
      </c>
    </row>
    <row r="4681" spans="1:9" x14ac:dyDescent="0.25">
      <c r="A4681">
        <v>4240</v>
      </c>
      <c r="B4681">
        <v>10</v>
      </c>
      <c r="C4681" t="s">
        <v>946</v>
      </c>
      <c r="D4681" t="s">
        <v>89</v>
      </c>
      <c r="E4681" t="s">
        <v>270</v>
      </c>
      <c r="F4681" t="s">
        <v>948</v>
      </c>
      <c r="G4681">
        <v>1000000</v>
      </c>
      <c r="H4681">
        <v>145000</v>
      </c>
      <c r="I4681" t="s">
        <v>949</v>
      </c>
    </row>
    <row r="4682" spans="1:9" x14ac:dyDescent="0.25">
      <c r="A4682">
        <v>4141</v>
      </c>
      <c r="B4682">
        <v>10</v>
      </c>
      <c r="C4682" t="s">
        <v>946</v>
      </c>
      <c r="D4682" t="s">
        <v>89</v>
      </c>
      <c r="E4682" t="s">
        <v>274</v>
      </c>
      <c r="F4682" t="s">
        <v>948</v>
      </c>
      <c r="G4682">
        <v>1077777</v>
      </c>
      <c r="H4682">
        <v>501010</v>
      </c>
      <c r="I4682">
        <v>50</v>
      </c>
    </row>
    <row r="4683" spans="1:9" x14ac:dyDescent="0.25">
      <c r="A4683">
        <v>4220</v>
      </c>
      <c r="B4683">
        <v>10</v>
      </c>
      <c r="C4683" t="s">
        <v>946</v>
      </c>
      <c r="D4683" t="s">
        <v>89</v>
      </c>
      <c r="E4683" t="s">
        <v>274</v>
      </c>
      <c r="F4683" t="s">
        <v>948</v>
      </c>
      <c r="G4683">
        <v>1077777</v>
      </c>
      <c r="H4683">
        <v>501010</v>
      </c>
      <c r="I4683">
        <v>50</v>
      </c>
    </row>
    <row r="4684" spans="1:9" x14ac:dyDescent="0.25">
      <c r="A4684">
        <v>4230</v>
      </c>
      <c r="B4684">
        <v>10</v>
      </c>
      <c r="C4684" t="s">
        <v>946</v>
      </c>
      <c r="D4684" t="s">
        <v>89</v>
      </c>
      <c r="E4684" t="s">
        <v>274</v>
      </c>
      <c r="F4684" t="s">
        <v>948</v>
      </c>
      <c r="G4684">
        <v>1099999</v>
      </c>
      <c r="H4684">
        <v>401045</v>
      </c>
      <c r="I4684">
        <v>50</v>
      </c>
    </row>
    <row r="4685" spans="1:9" x14ac:dyDescent="0.25">
      <c r="A4685">
        <v>4240</v>
      </c>
      <c r="B4685">
        <v>10</v>
      </c>
      <c r="C4685" t="s">
        <v>946</v>
      </c>
      <c r="D4685" t="s">
        <v>89</v>
      </c>
      <c r="E4685" t="s">
        <v>274</v>
      </c>
      <c r="F4685" t="s">
        <v>948</v>
      </c>
      <c r="G4685">
        <v>1000000</v>
      </c>
      <c r="H4685">
        <v>143000</v>
      </c>
      <c r="I4685" t="s">
        <v>973</v>
      </c>
    </row>
    <row r="4686" spans="1:9" x14ac:dyDescent="0.25">
      <c r="A4686">
        <v>4141</v>
      </c>
      <c r="B4686">
        <v>10</v>
      </c>
      <c r="C4686" t="s">
        <v>946</v>
      </c>
      <c r="D4686" t="s">
        <v>89</v>
      </c>
      <c r="E4686" t="s">
        <v>104</v>
      </c>
      <c r="F4686" t="s">
        <v>948</v>
      </c>
      <c r="G4686">
        <v>1077777</v>
      </c>
      <c r="H4686">
        <v>500220</v>
      </c>
      <c r="I4686">
        <v>50</v>
      </c>
    </row>
    <row r="4687" spans="1:9" x14ac:dyDescent="0.25">
      <c r="A4687">
        <v>4220</v>
      </c>
      <c r="B4687">
        <v>10</v>
      </c>
      <c r="C4687" t="s">
        <v>946</v>
      </c>
      <c r="D4687" t="s">
        <v>89</v>
      </c>
      <c r="E4687" t="s">
        <v>104</v>
      </c>
      <c r="F4687" t="s">
        <v>948</v>
      </c>
      <c r="G4687">
        <v>1077777</v>
      </c>
      <c r="H4687">
        <v>500220</v>
      </c>
      <c r="I4687">
        <v>50</v>
      </c>
    </row>
    <row r="4688" spans="1:9" x14ac:dyDescent="0.25">
      <c r="A4688">
        <v>4230</v>
      </c>
      <c r="B4688">
        <v>10</v>
      </c>
      <c r="C4688" t="s">
        <v>946</v>
      </c>
      <c r="D4688" t="s">
        <v>89</v>
      </c>
      <c r="E4688" t="s">
        <v>104</v>
      </c>
      <c r="F4688" t="s">
        <v>948</v>
      </c>
      <c r="G4688">
        <v>1099999</v>
      </c>
      <c r="H4688">
        <v>401045</v>
      </c>
      <c r="I4688">
        <v>50</v>
      </c>
    </row>
    <row r="4689" spans="1:9" x14ac:dyDescent="0.25">
      <c r="A4689">
        <v>4240</v>
      </c>
      <c r="B4689">
        <v>10</v>
      </c>
      <c r="C4689" t="s">
        <v>946</v>
      </c>
      <c r="D4689" t="s">
        <v>89</v>
      </c>
      <c r="E4689" t="s">
        <v>104</v>
      </c>
      <c r="F4689" t="s">
        <v>948</v>
      </c>
      <c r="G4689">
        <v>1077777</v>
      </c>
      <c r="H4689">
        <v>500221</v>
      </c>
      <c r="I4689" t="s">
        <v>949</v>
      </c>
    </row>
    <row r="4690" spans="1:9" x14ac:dyDescent="0.25">
      <c r="A4690">
        <v>4141</v>
      </c>
      <c r="B4690">
        <v>10</v>
      </c>
      <c r="C4690" t="s">
        <v>946</v>
      </c>
      <c r="D4690" t="s">
        <v>89</v>
      </c>
      <c r="E4690" t="s">
        <v>278</v>
      </c>
      <c r="F4690" t="s">
        <v>948</v>
      </c>
      <c r="G4690">
        <v>1077777</v>
      </c>
      <c r="H4690">
        <v>501010</v>
      </c>
      <c r="I4690">
        <v>50</v>
      </c>
    </row>
    <row r="4691" spans="1:9" x14ac:dyDescent="0.25">
      <c r="A4691">
        <v>4220</v>
      </c>
      <c r="B4691">
        <v>10</v>
      </c>
      <c r="C4691" t="s">
        <v>946</v>
      </c>
      <c r="D4691" t="s">
        <v>89</v>
      </c>
      <c r="E4691" t="s">
        <v>278</v>
      </c>
      <c r="F4691" t="s">
        <v>948</v>
      </c>
      <c r="G4691">
        <v>1077777</v>
      </c>
      <c r="H4691">
        <v>501010</v>
      </c>
      <c r="I4691">
        <v>50</v>
      </c>
    </row>
    <row r="4692" spans="1:9" x14ac:dyDescent="0.25">
      <c r="A4692">
        <v>4230</v>
      </c>
      <c r="B4692">
        <v>10</v>
      </c>
      <c r="C4692" t="s">
        <v>946</v>
      </c>
      <c r="D4692" t="s">
        <v>89</v>
      </c>
      <c r="E4692" t="s">
        <v>278</v>
      </c>
      <c r="F4692" t="s">
        <v>948</v>
      </c>
      <c r="G4692">
        <v>1099999</v>
      </c>
      <c r="H4692">
        <v>401055</v>
      </c>
      <c r="I4692">
        <v>50</v>
      </c>
    </row>
    <row r="4693" spans="1:9" x14ac:dyDescent="0.25">
      <c r="A4693">
        <v>4240</v>
      </c>
      <c r="B4693">
        <v>10</v>
      </c>
      <c r="C4693" t="s">
        <v>946</v>
      </c>
      <c r="D4693" t="s">
        <v>89</v>
      </c>
      <c r="E4693" t="s">
        <v>278</v>
      </c>
      <c r="F4693" t="s">
        <v>948</v>
      </c>
      <c r="G4693">
        <v>1000000</v>
      </c>
      <c r="H4693">
        <v>145000</v>
      </c>
      <c r="I4693" t="s">
        <v>949</v>
      </c>
    </row>
    <row r="4694" spans="1:9" x14ac:dyDescent="0.25">
      <c r="A4694">
        <v>4141</v>
      </c>
      <c r="B4694">
        <v>10</v>
      </c>
      <c r="C4694" t="s">
        <v>946</v>
      </c>
      <c r="D4694" t="s">
        <v>89</v>
      </c>
      <c r="E4694" t="s">
        <v>282</v>
      </c>
      <c r="F4694" t="s">
        <v>948</v>
      </c>
      <c r="G4694">
        <v>1077777</v>
      </c>
      <c r="H4694">
        <v>501010</v>
      </c>
      <c r="I4694">
        <v>50</v>
      </c>
    </row>
    <row r="4695" ht="22" customHeight="1" spans="1:10" x14ac:dyDescent="0.25">
      <c r="A4695" s="41">
        <v>4220</v>
      </c>
      <c r="B4695" s="41">
        <v>10</v>
      </c>
      <c r="C4695" s="41" t="s">
        <v>946</v>
      </c>
      <c r="D4695" s="41" t="s">
        <v>89</v>
      </c>
      <c r="E4695" s="41" t="s">
        <v>282</v>
      </c>
      <c r="F4695" s="41" t="s">
        <v>948</v>
      </c>
      <c r="G4695" s="41">
        <v>1077777</v>
      </c>
      <c r="H4695" s="41">
        <v>501010</v>
      </c>
      <c r="I4695" s="41">
        <v>50</v>
      </c>
      <c r="J4695" s="42" t="s">
        <v>1035</v>
      </c>
    </row>
    <row r="4696" spans="1:9" x14ac:dyDescent="0.25">
      <c r="A4696">
        <v>4230</v>
      </c>
      <c r="B4696">
        <v>10</v>
      </c>
      <c r="C4696" t="s">
        <v>946</v>
      </c>
      <c r="D4696" t="s">
        <v>89</v>
      </c>
      <c r="E4696" t="s">
        <v>282</v>
      </c>
      <c r="F4696" t="s">
        <v>948</v>
      </c>
      <c r="G4696">
        <v>1099999</v>
      </c>
      <c r="H4696">
        <v>401045</v>
      </c>
      <c r="I4696">
        <v>50</v>
      </c>
    </row>
    <row r="4697" spans="1:9" x14ac:dyDescent="0.25">
      <c r="A4697">
        <v>4141</v>
      </c>
      <c r="B4697">
        <v>10</v>
      </c>
      <c r="C4697" t="s">
        <v>946</v>
      </c>
      <c r="D4697" t="s">
        <v>89</v>
      </c>
      <c r="E4697" t="s">
        <v>286</v>
      </c>
      <c r="F4697" t="s">
        <v>948</v>
      </c>
      <c r="G4697">
        <v>1077777</v>
      </c>
      <c r="H4697">
        <v>501010</v>
      </c>
      <c r="I4697">
        <v>50</v>
      </c>
    </row>
    <row r="4698" spans="1:9" x14ac:dyDescent="0.25">
      <c r="A4698">
        <v>4220</v>
      </c>
      <c r="B4698">
        <v>10</v>
      </c>
      <c r="C4698" t="s">
        <v>946</v>
      </c>
      <c r="D4698" t="s">
        <v>89</v>
      </c>
      <c r="E4698" t="s">
        <v>286</v>
      </c>
      <c r="F4698" t="s">
        <v>948</v>
      </c>
      <c r="G4698">
        <v>1077777</v>
      </c>
      <c r="H4698">
        <v>501010</v>
      </c>
      <c r="I4698">
        <v>50</v>
      </c>
    </row>
    <row r="4699" spans="1:9" x14ac:dyDescent="0.25">
      <c r="A4699">
        <v>4230</v>
      </c>
      <c r="B4699">
        <v>10</v>
      </c>
      <c r="C4699" t="s">
        <v>946</v>
      </c>
      <c r="D4699" t="s">
        <v>89</v>
      </c>
      <c r="E4699" t="s">
        <v>286</v>
      </c>
      <c r="F4699" t="s">
        <v>948</v>
      </c>
      <c r="G4699">
        <v>1099999</v>
      </c>
      <c r="H4699">
        <v>401035</v>
      </c>
      <c r="I4699">
        <v>50</v>
      </c>
    </row>
    <row r="4700" spans="1:9" x14ac:dyDescent="0.25">
      <c r="A4700">
        <v>4240</v>
      </c>
      <c r="B4700">
        <v>10</v>
      </c>
      <c r="C4700" t="s">
        <v>946</v>
      </c>
      <c r="D4700" t="s">
        <v>89</v>
      </c>
      <c r="E4700" t="s">
        <v>286</v>
      </c>
      <c r="F4700" t="s">
        <v>948</v>
      </c>
      <c r="G4700">
        <v>1000000</v>
      </c>
      <c r="H4700">
        <v>145000</v>
      </c>
      <c r="I4700" t="s">
        <v>949</v>
      </c>
    </row>
    <row r="4701" spans="1:9" x14ac:dyDescent="0.25">
      <c r="A4701">
        <v>4141</v>
      </c>
      <c r="B4701">
        <v>10</v>
      </c>
      <c r="C4701" t="s">
        <v>946</v>
      </c>
      <c r="D4701" t="s">
        <v>89</v>
      </c>
      <c r="E4701" t="s">
        <v>290</v>
      </c>
      <c r="F4701" t="s">
        <v>948</v>
      </c>
      <c r="G4701">
        <v>1077777</v>
      </c>
      <c r="H4701">
        <v>501010</v>
      </c>
      <c r="I4701">
        <v>50</v>
      </c>
    </row>
    <row r="4702" spans="1:9" x14ac:dyDescent="0.25">
      <c r="A4702">
        <v>4220</v>
      </c>
      <c r="B4702">
        <v>10</v>
      </c>
      <c r="C4702" t="s">
        <v>946</v>
      </c>
      <c r="D4702" t="s">
        <v>89</v>
      </c>
      <c r="E4702" t="s">
        <v>290</v>
      </c>
      <c r="F4702" t="s">
        <v>948</v>
      </c>
      <c r="G4702">
        <v>1077777</v>
      </c>
      <c r="H4702">
        <v>501010</v>
      </c>
      <c r="I4702">
        <v>50</v>
      </c>
    </row>
    <row r="4703" spans="1:9" x14ac:dyDescent="0.25">
      <c r="A4703">
        <v>4230</v>
      </c>
      <c r="B4703">
        <v>10</v>
      </c>
      <c r="C4703" t="s">
        <v>946</v>
      </c>
      <c r="D4703" t="s">
        <v>89</v>
      </c>
      <c r="E4703" t="s">
        <v>290</v>
      </c>
      <c r="F4703" t="s">
        <v>948</v>
      </c>
      <c r="G4703">
        <v>1099999</v>
      </c>
      <c r="H4703">
        <v>401045</v>
      </c>
      <c r="I4703">
        <v>50</v>
      </c>
    </row>
    <row r="4704" spans="1:9" x14ac:dyDescent="0.25">
      <c r="A4704">
        <v>4240</v>
      </c>
      <c r="B4704">
        <v>10</v>
      </c>
      <c r="C4704" t="s">
        <v>946</v>
      </c>
      <c r="D4704" t="s">
        <v>89</v>
      </c>
      <c r="E4704" t="s">
        <v>290</v>
      </c>
      <c r="F4704" t="s">
        <v>948</v>
      </c>
      <c r="G4704">
        <v>1000000</v>
      </c>
      <c r="H4704">
        <v>143000</v>
      </c>
      <c r="I4704" t="s">
        <v>978</v>
      </c>
    </row>
    <row r="4705" spans="1:9" x14ac:dyDescent="0.25">
      <c r="A4705">
        <v>4141</v>
      </c>
      <c r="B4705">
        <v>10</v>
      </c>
      <c r="C4705" t="s">
        <v>946</v>
      </c>
      <c r="D4705" t="s">
        <v>89</v>
      </c>
      <c r="E4705" t="s">
        <v>294</v>
      </c>
      <c r="F4705" t="s">
        <v>948</v>
      </c>
      <c r="G4705">
        <v>1077777</v>
      </c>
      <c r="H4705">
        <v>501010</v>
      </c>
      <c r="I4705">
        <v>50</v>
      </c>
    </row>
    <row r="4706" spans="1:9" x14ac:dyDescent="0.25">
      <c r="A4706">
        <v>4220</v>
      </c>
      <c r="B4706">
        <v>10</v>
      </c>
      <c r="C4706" t="s">
        <v>946</v>
      </c>
      <c r="D4706" t="s">
        <v>89</v>
      </c>
      <c r="E4706" t="s">
        <v>294</v>
      </c>
      <c r="F4706" t="s">
        <v>948</v>
      </c>
      <c r="G4706">
        <v>1077777</v>
      </c>
      <c r="H4706">
        <v>501010</v>
      </c>
      <c r="I4706">
        <v>50</v>
      </c>
    </row>
    <row r="4707" spans="1:9" x14ac:dyDescent="0.25">
      <c r="A4707">
        <v>4230</v>
      </c>
      <c r="B4707">
        <v>10</v>
      </c>
      <c r="C4707" t="s">
        <v>946</v>
      </c>
      <c r="D4707" t="s">
        <v>89</v>
      </c>
      <c r="E4707" t="s">
        <v>294</v>
      </c>
      <c r="F4707" t="s">
        <v>948</v>
      </c>
      <c r="G4707">
        <v>1099999</v>
      </c>
      <c r="H4707">
        <v>401045</v>
      </c>
      <c r="I4707">
        <v>50</v>
      </c>
    </row>
    <row r="4708" spans="1:9" x14ac:dyDescent="0.25">
      <c r="A4708">
        <v>4240</v>
      </c>
      <c r="B4708">
        <v>10</v>
      </c>
      <c r="C4708" t="s">
        <v>946</v>
      </c>
      <c r="D4708" t="s">
        <v>89</v>
      </c>
      <c r="E4708" t="s">
        <v>294</v>
      </c>
      <c r="F4708" t="s">
        <v>948</v>
      </c>
      <c r="G4708">
        <v>1000000</v>
      </c>
      <c r="H4708">
        <v>143000</v>
      </c>
      <c r="I4708" t="s">
        <v>979</v>
      </c>
    </row>
    <row r="4709" spans="1:9" x14ac:dyDescent="0.25">
      <c r="A4709">
        <v>4230</v>
      </c>
      <c r="B4709">
        <v>10</v>
      </c>
      <c r="C4709" t="s">
        <v>946</v>
      </c>
      <c r="D4709" t="s">
        <v>89</v>
      </c>
      <c r="E4709" t="s">
        <v>298</v>
      </c>
      <c r="F4709" t="s">
        <v>948</v>
      </c>
      <c r="G4709">
        <v>1099999</v>
      </c>
      <c r="H4709">
        <v>402085</v>
      </c>
      <c r="I4709">
        <v>50</v>
      </c>
    </row>
    <row r="4710" spans="1:9" x14ac:dyDescent="0.25">
      <c r="A4710">
        <v>4141</v>
      </c>
      <c r="B4710">
        <v>10</v>
      </c>
      <c r="C4710" t="s">
        <v>946</v>
      </c>
      <c r="D4710" t="s">
        <v>89</v>
      </c>
      <c r="E4710" t="s">
        <v>302</v>
      </c>
      <c r="F4710" t="s">
        <v>948</v>
      </c>
      <c r="G4710">
        <v>1077777</v>
      </c>
      <c r="H4710">
        <v>501010</v>
      </c>
      <c r="I4710">
        <v>50</v>
      </c>
    </row>
    <row r="4711" spans="1:9" x14ac:dyDescent="0.25">
      <c r="A4711">
        <v>4220</v>
      </c>
      <c r="B4711">
        <v>10</v>
      </c>
      <c r="C4711" t="s">
        <v>946</v>
      </c>
      <c r="D4711" t="s">
        <v>89</v>
      </c>
      <c r="E4711" t="s">
        <v>302</v>
      </c>
      <c r="F4711" t="s">
        <v>948</v>
      </c>
      <c r="G4711">
        <v>1077777</v>
      </c>
      <c r="H4711">
        <v>501010</v>
      </c>
      <c r="I4711">
        <v>50</v>
      </c>
    </row>
    <row r="4712" spans="1:9" x14ac:dyDescent="0.25">
      <c r="A4712">
        <v>4230</v>
      </c>
      <c r="B4712">
        <v>10</v>
      </c>
      <c r="C4712" t="s">
        <v>946</v>
      </c>
      <c r="D4712" t="s">
        <v>89</v>
      </c>
      <c r="E4712" t="s">
        <v>302</v>
      </c>
      <c r="F4712" t="s">
        <v>948</v>
      </c>
      <c r="G4712">
        <v>1099999</v>
      </c>
      <c r="H4712">
        <v>401905</v>
      </c>
      <c r="I4712">
        <v>50</v>
      </c>
    </row>
    <row r="4713" spans="1:9" x14ac:dyDescent="0.25">
      <c r="A4713">
        <v>4240</v>
      </c>
      <c r="B4713">
        <v>10</v>
      </c>
      <c r="C4713" t="s">
        <v>946</v>
      </c>
      <c r="D4713" t="s">
        <v>89</v>
      </c>
      <c r="E4713" t="s">
        <v>302</v>
      </c>
      <c r="F4713" t="s">
        <v>948</v>
      </c>
      <c r="G4713">
        <v>1000000</v>
      </c>
      <c r="H4713">
        <v>143000</v>
      </c>
      <c r="I4713" t="s">
        <v>982</v>
      </c>
    </row>
    <row r="4714" spans="1:9" x14ac:dyDescent="0.25">
      <c r="A4714">
        <v>4141</v>
      </c>
      <c r="B4714">
        <v>10</v>
      </c>
      <c r="C4714" t="s">
        <v>946</v>
      </c>
      <c r="D4714" t="s">
        <v>89</v>
      </c>
      <c r="E4714" t="s">
        <v>306</v>
      </c>
      <c r="F4714" t="s">
        <v>948</v>
      </c>
      <c r="G4714">
        <v>1077777</v>
      </c>
      <c r="H4714">
        <v>501010</v>
      </c>
      <c r="I4714">
        <v>50</v>
      </c>
    </row>
    <row r="4715" spans="1:9" x14ac:dyDescent="0.25">
      <c r="A4715">
        <v>4220</v>
      </c>
      <c r="B4715">
        <v>10</v>
      </c>
      <c r="C4715" t="s">
        <v>946</v>
      </c>
      <c r="D4715" t="s">
        <v>89</v>
      </c>
      <c r="E4715" t="s">
        <v>306</v>
      </c>
      <c r="F4715" t="s">
        <v>948</v>
      </c>
      <c r="G4715">
        <v>1077777</v>
      </c>
      <c r="H4715">
        <v>501010</v>
      </c>
      <c r="I4715">
        <v>50</v>
      </c>
    </row>
    <row r="4716" spans="1:9" x14ac:dyDescent="0.25">
      <c r="A4716">
        <v>4230</v>
      </c>
      <c r="B4716">
        <v>10</v>
      </c>
      <c r="C4716" t="s">
        <v>946</v>
      </c>
      <c r="D4716" t="s">
        <v>89</v>
      </c>
      <c r="E4716" t="s">
        <v>306</v>
      </c>
      <c r="F4716" t="s">
        <v>948</v>
      </c>
      <c r="G4716">
        <v>1099999</v>
      </c>
      <c r="H4716">
        <v>401045</v>
      </c>
      <c r="I4716">
        <v>50</v>
      </c>
    </row>
    <row r="4717" spans="1:9" x14ac:dyDescent="0.25">
      <c r="A4717">
        <v>4240</v>
      </c>
      <c r="B4717">
        <v>10</v>
      </c>
      <c r="C4717" t="s">
        <v>946</v>
      </c>
      <c r="D4717" t="s">
        <v>89</v>
      </c>
      <c r="E4717" t="s">
        <v>306</v>
      </c>
      <c r="F4717" t="s">
        <v>948</v>
      </c>
      <c r="G4717">
        <v>1000000</v>
      </c>
      <c r="H4717">
        <v>143000</v>
      </c>
      <c r="I4717" t="s">
        <v>983</v>
      </c>
    </row>
    <row r="4718" spans="1:9" x14ac:dyDescent="0.25">
      <c r="A4718">
        <v>4141</v>
      </c>
      <c r="B4718">
        <v>10</v>
      </c>
      <c r="C4718" t="s">
        <v>946</v>
      </c>
      <c r="D4718" t="s">
        <v>89</v>
      </c>
      <c r="E4718" t="s">
        <v>108</v>
      </c>
      <c r="F4718" t="s">
        <v>948</v>
      </c>
      <c r="G4718">
        <v>1077777</v>
      </c>
      <c r="H4718">
        <v>500220</v>
      </c>
      <c r="I4718">
        <v>50</v>
      </c>
    </row>
    <row r="4719" ht="22" customHeight="1" spans="1:10" x14ac:dyDescent="0.25">
      <c r="A4719" s="41">
        <v>4220</v>
      </c>
      <c r="B4719" s="41">
        <v>10</v>
      </c>
      <c r="C4719" s="41" t="s">
        <v>946</v>
      </c>
      <c r="D4719" s="41" t="s">
        <v>89</v>
      </c>
      <c r="E4719" s="41" t="s">
        <v>108</v>
      </c>
      <c r="F4719" s="41" t="s">
        <v>948</v>
      </c>
      <c r="G4719" s="41">
        <v>1077777</v>
      </c>
      <c r="H4719" s="41">
        <v>500220</v>
      </c>
      <c r="I4719" s="41">
        <v>50</v>
      </c>
      <c r="J4719" s="42" t="s">
        <v>1035</v>
      </c>
    </row>
    <row r="4720" spans="1:9" x14ac:dyDescent="0.25">
      <c r="A4720">
        <v>4230</v>
      </c>
      <c r="B4720">
        <v>10</v>
      </c>
      <c r="C4720" t="s">
        <v>946</v>
      </c>
      <c r="D4720" t="s">
        <v>89</v>
      </c>
      <c r="E4720" t="s">
        <v>108</v>
      </c>
      <c r="F4720" t="s">
        <v>948</v>
      </c>
      <c r="G4720">
        <v>1099999</v>
      </c>
      <c r="H4720">
        <v>401045</v>
      </c>
      <c r="I4720">
        <v>50</v>
      </c>
    </row>
    <row r="4721" spans="1:9" x14ac:dyDescent="0.25">
      <c r="A4721">
        <v>4141</v>
      </c>
      <c r="B4721">
        <v>10</v>
      </c>
      <c r="C4721" t="s">
        <v>946</v>
      </c>
      <c r="D4721" t="s">
        <v>89</v>
      </c>
      <c r="E4721" t="s">
        <v>310</v>
      </c>
      <c r="F4721" t="s">
        <v>948</v>
      </c>
      <c r="G4721">
        <v>1077777</v>
      </c>
      <c r="H4721">
        <v>501010</v>
      </c>
      <c r="I4721">
        <v>50</v>
      </c>
    </row>
    <row r="4722" spans="1:9" x14ac:dyDescent="0.25">
      <c r="A4722">
        <v>4220</v>
      </c>
      <c r="B4722">
        <v>10</v>
      </c>
      <c r="C4722" t="s">
        <v>946</v>
      </c>
      <c r="D4722" t="s">
        <v>89</v>
      </c>
      <c r="E4722" t="s">
        <v>310</v>
      </c>
      <c r="F4722" t="s">
        <v>948</v>
      </c>
      <c r="G4722">
        <v>1077777</v>
      </c>
      <c r="H4722">
        <v>501010</v>
      </c>
      <c r="I4722">
        <v>50</v>
      </c>
    </row>
    <row r="4723" spans="1:9" x14ac:dyDescent="0.25">
      <c r="A4723">
        <v>4230</v>
      </c>
      <c r="B4723">
        <v>10</v>
      </c>
      <c r="C4723" t="s">
        <v>946</v>
      </c>
      <c r="D4723" t="s">
        <v>89</v>
      </c>
      <c r="E4723" t="s">
        <v>310</v>
      </c>
      <c r="F4723" t="s">
        <v>948</v>
      </c>
      <c r="G4723">
        <v>1099999</v>
      </c>
      <c r="H4723">
        <v>401015</v>
      </c>
      <c r="I4723">
        <v>50</v>
      </c>
    </row>
    <row r="4724" spans="1:9" x14ac:dyDescent="0.25">
      <c r="A4724">
        <v>4240</v>
      </c>
      <c r="B4724">
        <v>10</v>
      </c>
      <c r="C4724" t="s">
        <v>946</v>
      </c>
      <c r="D4724" t="s">
        <v>89</v>
      </c>
      <c r="E4724" t="s">
        <v>310</v>
      </c>
      <c r="F4724" t="s">
        <v>948</v>
      </c>
      <c r="G4724">
        <v>1000000</v>
      </c>
      <c r="H4724">
        <v>145000</v>
      </c>
      <c r="I4724" t="s">
        <v>949</v>
      </c>
    </row>
    <row r="4725" spans="1:9" x14ac:dyDescent="0.25">
      <c r="A4725">
        <v>4141</v>
      </c>
      <c r="B4725">
        <v>10</v>
      </c>
      <c r="C4725" t="s">
        <v>946</v>
      </c>
      <c r="D4725" t="s">
        <v>89</v>
      </c>
      <c r="E4725" t="s">
        <v>314</v>
      </c>
      <c r="F4725" t="s">
        <v>948</v>
      </c>
      <c r="G4725">
        <v>1077777</v>
      </c>
      <c r="H4725">
        <v>501010</v>
      </c>
      <c r="I4725">
        <v>50</v>
      </c>
    </row>
    <row r="4726" spans="1:9" x14ac:dyDescent="0.25">
      <c r="A4726">
        <v>4220</v>
      </c>
      <c r="B4726">
        <v>10</v>
      </c>
      <c r="C4726" t="s">
        <v>946</v>
      </c>
      <c r="D4726" t="s">
        <v>89</v>
      </c>
      <c r="E4726" t="s">
        <v>314</v>
      </c>
      <c r="F4726" t="s">
        <v>948</v>
      </c>
      <c r="G4726">
        <v>1077777</v>
      </c>
      <c r="H4726">
        <v>501010</v>
      </c>
      <c r="I4726">
        <v>50</v>
      </c>
    </row>
    <row r="4727" spans="1:9" x14ac:dyDescent="0.25">
      <c r="A4727">
        <v>4230</v>
      </c>
      <c r="B4727">
        <v>10</v>
      </c>
      <c r="C4727" t="s">
        <v>946</v>
      </c>
      <c r="D4727" t="s">
        <v>89</v>
      </c>
      <c r="E4727" t="s">
        <v>314</v>
      </c>
      <c r="F4727" t="s">
        <v>948</v>
      </c>
      <c r="G4727">
        <v>1099999</v>
      </c>
      <c r="H4727">
        <v>401065</v>
      </c>
      <c r="I4727">
        <v>50</v>
      </c>
    </row>
    <row r="4728" spans="1:9" x14ac:dyDescent="0.25">
      <c r="A4728">
        <v>4240</v>
      </c>
      <c r="B4728">
        <v>10</v>
      </c>
      <c r="C4728" t="s">
        <v>946</v>
      </c>
      <c r="D4728" t="s">
        <v>89</v>
      </c>
      <c r="E4728" t="s">
        <v>314</v>
      </c>
      <c r="F4728" t="s">
        <v>948</v>
      </c>
      <c r="G4728">
        <v>1000000</v>
      </c>
      <c r="H4728">
        <v>145000</v>
      </c>
      <c r="I4728" t="s">
        <v>949</v>
      </c>
    </row>
    <row r="4729" spans="1:9" x14ac:dyDescent="0.25">
      <c r="A4729">
        <v>4141</v>
      </c>
      <c r="B4729">
        <v>10</v>
      </c>
      <c r="C4729" t="s">
        <v>946</v>
      </c>
      <c r="D4729" t="s">
        <v>89</v>
      </c>
      <c r="E4729" t="s">
        <v>113</v>
      </c>
      <c r="F4729" t="s">
        <v>948</v>
      </c>
      <c r="G4729">
        <v>1077777</v>
      </c>
      <c r="H4729">
        <v>500220</v>
      </c>
      <c r="I4729">
        <v>50</v>
      </c>
    </row>
    <row r="4730" ht="22" customHeight="1" spans="1:10" x14ac:dyDescent="0.25">
      <c r="A4730" s="41">
        <v>4220</v>
      </c>
      <c r="B4730" s="41">
        <v>10</v>
      </c>
      <c r="C4730" s="41" t="s">
        <v>946</v>
      </c>
      <c r="D4730" s="41" t="s">
        <v>89</v>
      </c>
      <c r="E4730" s="41" t="s">
        <v>113</v>
      </c>
      <c r="F4730" s="41" t="s">
        <v>948</v>
      </c>
      <c r="G4730" s="41">
        <v>1077777</v>
      </c>
      <c r="H4730" s="41">
        <v>500220</v>
      </c>
      <c r="I4730" s="41">
        <v>50</v>
      </c>
      <c r="J4730" s="42" t="s">
        <v>1035</v>
      </c>
    </row>
    <row r="4731" spans="1:9" x14ac:dyDescent="0.25">
      <c r="A4731">
        <v>4141</v>
      </c>
      <c r="B4731">
        <v>10</v>
      </c>
      <c r="C4731" t="s">
        <v>946</v>
      </c>
      <c r="D4731" t="s">
        <v>89</v>
      </c>
      <c r="E4731" t="s">
        <v>117</v>
      </c>
      <c r="F4731" t="s">
        <v>948</v>
      </c>
      <c r="G4731">
        <v>1077777</v>
      </c>
      <c r="H4731">
        <v>500220</v>
      </c>
      <c r="I4731">
        <v>50</v>
      </c>
    </row>
    <row r="4732" ht="22" customHeight="1" spans="1:10" x14ac:dyDescent="0.25">
      <c r="A4732" s="41">
        <v>4220</v>
      </c>
      <c r="B4732" s="41">
        <v>10</v>
      </c>
      <c r="C4732" s="41" t="s">
        <v>946</v>
      </c>
      <c r="D4732" s="41" t="s">
        <v>89</v>
      </c>
      <c r="E4732" s="41" t="s">
        <v>117</v>
      </c>
      <c r="F4732" s="41" t="s">
        <v>948</v>
      </c>
      <c r="G4732" s="41">
        <v>1077777</v>
      </c>
      <c r="H4732" s="41">
        <v>500220</v>
      </c>
      <c r="I4732" s="41">
        <v>50</v>
      </c>
      <c r="J4732" s="42" t="s">
        <v>1035</v>
      </c>
    </row>
    <row r="4733" spans="1:9" x14ac:dyDescent="0.25">
      <c r="A4733">
        <v>4141</v>
      </c>
      <c r="B4733">
        <v>10</v>
      </c>
      <c r="C4733" t="s">
        <v>946</v>
      </c>
      <c r="D4733" t="s">
        <v>89</v>
      </c>
      <c r="E4733" t="s">
        <v>121</v>
      </c>
      <c r="F4733" t="s">
        <v>948</v>
      </c>
      <c r="G4733">
        <v>1077777</v>
      </c>
      <c r="H4733">
        <v>500220</v>
      </c>
      <c r="I4733">
        <v>50</v>
      </c>
    </row>
    <row r="4734" ht="22" customHeight="1" spans="1:10" x14ac:dyDescent="0.25">
      <c r="A4734" s="41">
        <v>4220</v>
      </c>
      <c r="B4734" s="41">
        <v>10</v>
      </c>
      <c r="C4734" s="41" t="s">
        <v>946</v>
      </c>
      <c r="D4734" s="41" t="s">
        <v>89</v>
      </c>
      <c r="E4734" s="41" t="s">
        <v>121</v>
      </c>
      <c r="F4734" s="41" t="s">
        <v>948</v>
      </c>
      <c r="G4734" s="41">
        <v>1077777</v>
      </c>
      <c r="H4734" s="41">
        <v>500220</v>
      </c>
      <c r="I4734" s="41">
        <v>50</v>
      </c>
      <c r="J4734" s="42" t="s">
        <v>1035</v>
      </c>
    </row>
    <row r="4735" spans="1:9" x14ac:dyDescent="0.25">
      <c r="A4735">
        <v>4141</v>
      </c>
      <c r="B4735">
        <v>10</v>
      </c>
      <c r="C4735" t="s">
        <v>946</v>
      </c>
      <c r="D4735" t="s">
        <v>1036</v>
      </c>
      <c r="E4735" t="s">
        <v>49</v>
      </c>
      <c r="F4735" t="s">
        <v>948</v>
      </c>
      <c r="G4735">
        <v>1001515</v>
      </c>
      <c r="H4735">
        <v>700255</v>
      </c>
      <c r="I4735" t="s">
        <v>949</v>
      </c>
    </row>
    <row r="4736" spans="1:9" x14ac:dyDescent="0.25">
      <c r="A4736">
        <v>4220</v>
      </c>
      <c r="B4736">
        <v>10</v>
      </c>
      <c r="C4736" t="s">
        <v>946</v>
      </c>
      <c r="D4736" t="s">
        <v>1036</v>
      </c>
      <c r="E4736" t="s">
        <v>49</v>
      </c>
      <c r="F4736" t="s">
        <v>948</v>
      </c>
      <c r="G4736">
        <v>1001515</v>
      </c>
      <c r="H4736">
        <v>700255</v>
      </c>
      <c r="I4736" t="s">
        <v>949</v>
      </c>
    </row>
    <row r="4737" spans="1:9" x14ac:dyDescent="0.25">
      <c r="A4737">
        <v>4230</v>
      </c>
      <c r="B4737">
        <v>10</v>
      </c>
      <c r="C4737" t="s">
        <v>946</v>
      </c>
      <c r="D4737" t="s">
        <v>1036</v>
      </c>
      <c r="E4737" t="s">
        <v>49</v>
      </c>
      <c r="F4737" t="s">
        <v>948</v>
      </c>
      <c r="G4737">
        <v>1001515</v>
      </c>
      <c r="H4737">
        <v>700255</v>
      </c>
      <c r="I4737" t="s">
        <v>949</v>
      </c>
    </row>
    <row r="4738" spans="1:9" x14ac:dyDescent="0.25">
      <c r="A4738">
        <v>4240</v>
      </c>
      <c r="B4738">
        <v>10</v>
      </c>
      <c r="C4738" t="s">
        <v>946</v>
      </c>
      <c r="D4738" t="s">
        <v>1036</v>
      </c>
      <c r="E4738" t="s">
        <v>243</v>
      </c>
      <c r="F4738" t="s">
        <v>948</v>
      </c>
      <c r="G4738">
        <v>1000000</v>
      </c>
      <c r="H4738">
        <v>145000</v>
      </c>
      <c r="I4738" t="s">
        <v>949</v>
      </c>
    </row>
    <row r="4739" spans="1:9" x14ac:dyDescent="0.25">
      <c r="A4739">
        <v>4240</v>
      </c>
      <c r="B4739">
        <v>10</v>
      </c>
      <c r="C4739" t="s">
        <v>946</v>
      </c>
      <c r="D4739" t="s">
        <v>1036</v>
      </c>
      <c r="E4739" t="s">
        <v>247</v>
      </c>
      <c r="F4739" t="s">
        <v>948</v>
      </c>
      <c r="G4739">
        <v>1000000</v>
      </c>
      <c r="H4739">
        <v>145000</v>
      </c>
      <c r="I4739" t="s">
        <v>949</v>
      </c>
    </row>
    <row r="4740" spans="1:9" x14ac:dyDescent="0.25">
      <c r="A4740">
        <v>4141</v>
      </c>
      <c r="B4740">
        <v>10</v>
      </c>
      <c r="C4740" t="s">
        <v>946</v>
      </c>
      <c r="D4740" t="s">
        <v>1036</v>
      </c>
      <c r="E4740" t="s">
        <v>251</v>
      </c>
      <c r="F4740" t="s">
        <v>948</v>
      </c>
      <c r="G4740">
        <v>1077777</v>
      </c>
      <c r="H4740">
        <v>501010</v>
      </c>
      <c r="I4740" t="s">
        <v>949</v>
      </c>
    </row>
    <row r="4741" spans="1:9" x14ac:dyDescent="0.25">
      <c r="A4741">
        <v>4220</v>
      </c>
      <c r="B4741">
        <v>10</v>
      </c>
      <c r="C4741" t="s">
        <v>946</v>
      </c>
      <c r="D4741" t="s">
        <v>1036</v>
      </c>
      <c r="E4741" t="s">
        <v>251</v>
      </c>
      <c r="F4741" t="s">
        <v>948</v>
      </c>
      <c r="G4741">
        <v>1077777</v>
      </c>
      <c r="H4741">
        <v>501010</v>
      </c>
      <c r="I4741" t="s">
        <v>949</v>
      </c>
    </row>
    <row r="4742" spans="1:9" x14ac:dyDescent="0.25">
      <c r="A4742">
        <v>4240</v>
      </c>
      <c r="B4742">
        <v>10</v>
      </c>
      <c r="C4742" t="s">
        <v>946</v>
      </c>
      <c r="D4742" t="s">
        <v>1036</v>
      </c>
      <c r="E4742" t="s">
        <v>251</v>
      </c>
      <c r="F4742" t="s">
        <v>948</v>
      </c>
      <c r="G4742">
        <v>1000000</v>
      </c>
      <c r="H4742">
        <v>142000</v>
      </c>
      <c r="I4742" t="s">
        <v>949</v>
      </c>
    </row>
    <row r="4743" spans="1:9" x14ac:dyDescent="0.25">
      <c r="A4743">
        <v>4240</v>
      </c>
      <c r="B4743">
        <v>10</v>
      </c>
      <c r="C4743" t="s">
        <v>946</v>
      </c>
      <c r="D4743" t="s">
        <v>1036</v>
      </c>
      <c r="E4743" t="s">
        <v>969</v>
      </c>
      <c r="F4743" t="s">
        <v>948</v>
      </c>
      <c r="G4743">
        <v>1000000</v>
      </c>
      <c r="H4743">
        <v>141000</v>
      </c>
      <c r="I4743" t="s">
        <v>970</v>
      </c>
    </row>
    <row r="4744" spans="1:9" x14ac:dyDescent="0.25">
      <c r="A4744">
        <v>4240</v>
      </c>
      <c r="B4744">
        <v>10</v>
      </c>
      <c r="C4744" t="s">
        <v>946</v>
      </c>
      <c r="D4744" t="s">
        <v>1036</v>
      </c>
      <c r="E4744" t="s">
        <v>255</v>
      </c>
      <c r="F4744" t="s">
        <v>948</v>
      </c>
      <c r="G4744">
        <v>1000000</v>
      </c>
      <c r="H4744">
        <v>145000</v>
      </c>
      <c r="I4744" t="s">
        <v>949</v>
      </c>
    </row>
    <row r="4745" spans="1:9" x14ac:dyDescent="0.25">
      <c r="A4745">
        <v>4240</v>
      </c>
      <c r="B4745">
        <v>10</v>
      </c>
      <c r="C4745" t="s">
        <v>946</v>
      </c>
      <c r="D4745" t="s">
        <v>1036</v>
      </c>
      <c r="E4745" t="s">
        <v>971</v>
      </c>
      <c r="F4745" t="s">
        <v>948</v>
      </c>
      <c r="G4745">
        <v>1000000</v>
      </c>
      <c r="H4745">
        <v>141000</v>
      </c>
      <c r="I4745" t="s">
        <v>972</v>
      </c>
    </row>
    <row r="4746" spans="1:9" x14ac:dyDescent="0.25">
      <c r="A4746">
        <v>4240</v>
      </c>
      <c r="B4746">
        <v>10</v>
      </c>
      <c r="C4746" t="s">
        <v>946</v>
      </c>
      <c r="D4746" t="s">
        <v>1036</v>
      </c>
      <c r="E4746" t="s">
        <v>263</v>
      </c>
      <c r="F4746" t="s">
        <v>948</v>
      </c>
      <c r="G4746">
        <v>1000000</v>
      </c>
      <c r="H4746">
        <v>145000</v>
      </c>
      <c r="I4746" t="s">
        <v>949</v>
      </c>
    </row>
    <row r="4747" spans="1:9" x14ac:dyDescent="0.25">
      <c r="A4747">
        <v>4141</v>
      </c>
      <c r="B4747">
        <v>10</v>
      </c>
      <c r="C4747" t="s">
        <v>946</v>
      </c>
      <c r="D4747" t="s">
        <v>1036</v>
      </c>
      <c r="E4747" t="s">
        <v>100</v>
      </c>
      <c r="F4747" t="s">
        <v>948</v>
      </c>
      <c r="G4747">
        <v>1077777</v>
      </c>
      <c r="H4747">
        <v>500220</v>
      </c>
      <c r="I4747" t="s">
        <v>949</v>
      </c>
    </row>
    <row r="4748" spans="1:9" x14ac:dyDescent="0.25">
      <c r="A4748">
        <v>4220</v>
      </c>
      <c r="B4748">
        <v>10</v>
      </c>
      <c r="C4748" t="s">
        <v>946</v>
      </c>
      <c r="D4748" t="s">
        <v>1036</v>
      </c>
      <c r="E4748" t="s">
        <v>100</v>
      </c>
      <c r="F4748" t="s">
        <v>948</v>
      </c>
      <c r="G4748">
        <v>1077777</v>
      </c>
      <c r="H4748">
        <v>500220</v>
      </c>
      <c r="I4748" t="s">
        <v>949</v>
      </c>
    </row>
    <row r="4749" spans="1:9" x14ac:dyDescent="0.25">
      <c r="A4749">
        <v>4240</v>
      </c>
      <c r="B4749">
        <v>10</v>
      </c>
      <c r="C4749" t="s">
        <v>946</v>
      </c>
      <c r="D4749" t="s">
        <v>1036</v>
      </c>
      <c r="E4749" t="s">
        <v>100</v>
      </c>
      <c r="F4749" t="s">
        <v>948</v>
      </c>
      <c r="G4749">
        <v>1077777</v>
      </c>
      <c r="H4749">
        <v>500221</v>
      </c>
      <c r="I4749" t="s">
        <v>949</v>
      </c>
    </row>
    <row r="4750" spans="1:9" x14ac:dyDescent="0.25">
      <c r="A4750">
        <v>4240</v>
      </c>
      <c r="B4750">
        <v>10</v>
      </c>
      <c r="C4750" t="s">
        <v>946</v>
      </c>
      <c r="D4750" t="s">
        <v>1036</v>
      </c>
      <c r="E4750" t="s">
        <v>270</v>
      </c>
      <c r="F4750" t="s">
        <v>948</v>
      </c>
      <c r="G4750">
        <v>1000000</v>
      </c>
      <c r="H4750">
        <v>145000</v>
      </c>
      <c r="I4750" t="s">
        <v>949</v>
      </c>
    </row>
    <row r="4751" spans="1:9" x14ac:dyDescent="0.25">
      <c r="A4751">
        <v>4240</v>
      </c>
      <c r="B4751">
        <v>10</v>
      </c>
      <c r="C4751" t="s">
        <v>946</v>
      </c>
      <c r="D4751" t="s">
        <v>1036</v>
      </c>
      <c r="E4751" t="s">
        <v>274</v>
      </c>
      <c r="F4751" t="s">
        <v>948</v>
      </c>
      <c r="G4751">
        <v>1000000</v>
      </c>
      <c r="H4751">
        <v>143000</v>
      </c>
      <c r="I4751" t="s">
        <v>973</v>
      </c>
    </row>
    <row r="4752" spans="1:9" x14ac:dyDescent="0.25">
      <c r="A4752">
        <v>4240</v>
      </c>
      <c r="B4752">
        <v>10</v>
      </c>
      <c r="C4752" t="s">
        <v>946</v>
      </c>
      <c r="D4752" t="s">
        <v>1036</v>
      </c>
      <c r="E4752" t="s">
        <v>974</v>
      </c>
      <c r="F4752" t="s">
        <v>948</v>
      </c>
      <c r="G4752">
        <v>1000000</v>
      </c>
      <c r="H4752">
        <v>141000</v>
      </c>
      <c r="I4752" t="s">
        <v>975</v>
      </c>
    </row>
    <row r="4753" spans="1:9" x14ac:dyDescent="0.25">
      <c r="A4753">
        <v>4141</v>
      </c>
      <c r="B4753">
        <v>10</v>
      </c>
      <c r="C4753" t="s">
        <v>946</v>
      </c>
      <c r="D4753" t="s">
        <v>1036</v>
      </c>
      <c r="E4753" t="s">
        <v>104</v>
      </c>
      <c r="F4753" t="s">
        <v>948</v>
      </c>
      <c r="G4753">
        <v>1077777</v>
      </c>
      <c r="H4753">
        <v>500220</v>
      </c>
      <c r="I4753" t="s">
        <v>949</v>
      </c>
    </row>
    <row r="4754" spans="1:9" x14ac:dyDescent="0.25">
      <c r="A4754">
        <v>4220</v>
      </c>
      <c r="B4754">
        <v>10</v>
      </c>
      <c r="C4754" t="s">
        <v>946</v>
      </c>
      <c r="D4754" t="s">
        <v>1036</v>
      </c>
      <c r="E4754" t="s">
        <v>104</v>
      </c>
      <c r="F4754" t="s">
        <v>948</v>
      </c>
      <c r="G4754">
        <v>1077777</v>
      </c>
      <c r="H4754">
        <v>500220</v>
      </c>
      <c r="I4754" t="s">
        <v>949</v>
      </c>
    </row>
    <row r="4755" spans="1:9" x14ac:dyDescent="0.25">
      <c r="A4755">
        <v>4240</v>
      </c>
      <c r="B4755">
        <v>10</v>
      </c>
      <c r="C4755" t="s">
        <v>946</v>
      </c>
      <c r="D4755" t="s">
        <v>1036</v>
      </c>
      <c r="E4755" t="s">
        <v>104</v>
      </c>
      <c r="F4755" t="s">
        <v>948</v>
      </c>
      <c r="G4755">
        <v>1077777</v>
      </c>
      <c r="H4755">
        <v>500221</v>
      </c>
      <c r="I4755" t="s">
        <v>949</v>
      </c>
    </row>
    <row r="4756" spans="1:9" x14ac:dyDescent="0.25">
      <c r="A4756">
        <v>4240</v>
      </c>
      <c r="B4756">
        <v>10</v>
      </c>
      <c r="C4756" t="s">
        <v>946</v>
      </c>
      <c r="D4756" t="s">
        <v>1036</v>
      </c>
      <c r="E4756" t="s">
        <v>278</v>
      </c>
      <c r="F4756" t="s">
        <v>948</v>
      </c>
      <c r="G4756">
        <v>1000000</v>
      </c>
      <c r="H4756">
        <v>145000</v>
      </c>
      <c r="I4756" t="s">
        <v>949</v>
      </c>
    </row>
    <row r="4757" spans="1:9" x14ac:dyDescent="0.25">
      <c r="A4757">
        <v>4240</v>
      </c>
      <c r="B4757">
        <v>10</v>
      </c>
      <c r="C4757" t="s">
        <v>946</v>
      </c>
      <c r="D4757" t="s">
        <v>1036</v>
      </c>
      <c r="E4757" t="s">
        <v>282</v>
      </c>
      <c r="F4757" t="s">
        <v>948</v>
      </c>
      <c r="G4757">
        <v>1000000</v>
      </c>
      <c r="H4757">
        <v>143100</v>
      </c>
      <c r="I4757" t="s">
        <v>949</v>
      </c>
    </row>
    <row r="4758" spans="1:9" x14ac:dyDescent="0.25">
      <c r="A4758">
        <v>4240</v>
      </c>
      <c r="B4758">
        <v>10</v>
      </c>
      <c r="C4758" t="s">
        <v>946</v>
      </c>
      <c r="D4758" t="s">
        <v>1036</v>
      </c>
      <c r="E4758" t="s">
        <v>286</v>
      </c>
      <c r="F4758" t="s">
        <v>948</v>
      </c>
      <c r="G4758">
        <v>1000000</v>
      </c>
      <c r="H4758">
        <v>145000</v>
      </c>
      <c r="I4758" t="s">
        <v>949</v>
      </c>
    </row>
    <row r="4759" spans="1:9" x14ac:dyDescent="0.25">
      <c r="A4759">
        <v>4240</v>
      </c>
      <c r="B4759">
        <v>10</v>
      </c>
      <c r="C4759" t="s">
        <v>946</v>
      </c>
      <c r="D4759" t="s">
        <v>1036</v>
      </c>
      <c r="E4759" t="s">
        <v>976</v>
      </c>
      <c r="F4759" t="s">
        <v>948</v>
      </c>
      <c r="G4759">
        <v>1000000</v>
      </c>
      <c r="H4759">
        <v>141000</v>
      </c>
      <c r="I4759" t="s">
        <v>977</v>
      </c>
    </row>
    <row r="4760" spans="1:9" x14ac:dyDescent="0.25">
      <c r="A4760">
        <v>4240</v>
      </c>
      <c r="B4760">
        <v>10</v>
      </c>
      <c r="C4760" t="s">
        <v>946</v>
      </c>
      <c r="D4760" t="s">
        <v>1036</v>
      </c>
      <c r="E4760" t="s">
        <v>290</v>
      </c>
      <c r="F4760" t="s">
        <v>948</v>
      </c>
      <c r="G4760">
        <v>1000000</v>
      </c>
      <c r="H4760">
        <v>143000</v>
      </c>
      <c r="I4760" t="s">
        <v>978</v>
      </c>
    </row>
    <row r="4761" spans="1:9" x14ac:dyDescent="0.25">
      <c r="A4761">
        <v>4240</v>
      </c>
      <c r="B4761">
        <v>10</v>
      </c>
      <c r="C4761" t="s">
        <v>946</v>
      </c>
      <c r="D4761" t="s">
        <v>1036</v>
      </c>
      <c r="E4761" t="s">
        <v>294</v>
      </c>
      <c r="F4761" t="s">
        <v>948</v>
      </c>
      <c r="G4761">
        <v>1000000</v>
      </c>
      <c r="H4761">
        <v>143000</v>
      </c>
      <c r="I4761" t="s">
        <v>979</v>
      </c>
    </row>
    <row r="4762" spans="1:9" x14ac:dyDescent="0.25">
      <c r="A4762">
        <v>4240</v>
      </c>
      <c r="B4762">
        <v>10</v>
      </c>
      <c r="C4762" t="s">
        <v>946</v>
      </c>
      <c r="D4762" t="s">
        <v>1036</v>
      </c>
      <c r="E4762" t="s">
        <v>980</v>
      </c>
      <c r="F4762" t="s">
        <v>948</v>
      </c>
      <c r="G4762">
        <v>1000000</v>
      </c>
      <c r="H4762">
        <v>141000</v>
      </c>
      <c r="I4762" t="s">
        <v>981</v>
      </c>
    </row>
    <row r="4763" spans="1:9" x14ac:dyDescent="0.25">
      <c r="A4763">
        <v>4141</v>
      </c>
      <c r="B4763">
        <v>10</v>
      </c>
      <c r="C4763" t="s">
        <v>946</v>
      </c>
      <c r="D4763" t="s">
        <v>1036</v>
      </c>
      <c r="E4763" t="s">
        <v>302</v>
      </c>
      <c r="F4763" t="s">
        <v>948</v>
      </c>
      <c r="G4763">
        <v>1077777</v>
      </c>
      <c r="H4763">
        <v>501010</v>
      </c>
      <c r="I4763" t="s">
        <v>949</v>
      </c>
    </row>
    <row r="4764" spans="1:9" x14ac:dyDescent="0.25">
      <c r="A4764">
        <v>4220</v>
      </c>
      <c r="B4764">
        <v>10</v>
      </c>
      <c r="C4764" t="s">
        <v>946</v>
      </c>
      <c r="D4764" t="s">
        <v>1036</v>
      </c>
      <c r="E4764" t="s">
        <v>302</v>
      </c>
      <c r="F4764" t="s">
        <v>948</v>
      </c>
      <c r="G4764">
        <v>1077777</v>
      </c>
      <c r="H4764">
        <v>501010</v>
      </c>
      <c r="I4764" t="s">
        <v>949</v>
      </c>
    </row>
    <row r="4765" spans="1:9" x14ac:dyDescent="0.25">
      <c r="A4765">
        <v>4240</v>
      </c>
      <c r="B4765">
        <v>10</v>
      </c>
      <c r="C4765" t="s">
        <v>946</v>
      </c>
      <c r="D4765" t="s">
        <v>1036</v>
      </c>
      <c r="E4765" t="s">
        <v>302</v>
      </c>
      <c r="F4765" t="s">
        <v>948</v>
      </c>
      <c r="G4765">
        <v>1000000</v>
      </c>
      <c r="H4765">
        <v>143000</v>
      </c>
      <c r="I4765" t="s">
        <v>982</v>
      </c>
    </row>
    <row r="4766" spans="1:9" x14ac:dyDescent="0.25">
      <c r="A4766">
        <v>4240</v>
      </c>
      <c r="B4766">
        <v>10</v>
      </c>
      <c r="C4766" t="s">
        <v>946</v>
      </c>
      <c r="D4766" t="s">
        <v>1036</v>
      </c>
      <c r="E4766" t="s">
        <v>306</v>
      </c>
      <c r="F4766" t="s">
        <v>948</v>
      </c>
      <c r="G4766">
        <v>1000000</v>
      </c>
      <c r="H4766">
        <v>143000</v>
      </c>
      <c r="I4766" t="s">
        <v>983</v>
      </c>
    </row>
    <row r="4767" spans="1:9" x14ac:dyDescent="0.25">
      <c r="A4767">
        <v>4141</v>
      </c>
      <c r="B4767">
        <v>10</v>
      </c>
      <c r="C4767" t="s">
        <v>946</v>
      </c>
      <c r="D4767" t="s">
        <v>1036</v>
      </c>
      <c r="E4767" t="s">
        <v>108</v>
      </c>
      <c r="F4767" t="s">
        <v>948</v>
      </c>
      <c r="G4767">
        <v>1077777</v>
      </c>
      <c r="H4767">
        <v>500220</v>
      </c>
      <c r="I4767" t="s">
        <v>949</v>
      </c>
    </row>
    <row r="4768" spans="1:9" x14ac:dyDescent="0.25">
      <c r="A4768">
        <v>4220</v>
      </c>
      <c r="B4768">
        <v>10</v>
      </c>
      <c r="C4768" t="s">
        <v>946</v>
      </c>
      <c r="D4768" t="s">
        <v>1036</v>
      </c>
      <c r="E4768" t="s">
        <v>108</v>
      </c>
      <c r="F4768" t="s">
        <v>948</v>
      </c>
      <c r="G4768">
        <v>1077777</v>
      </c>
      <c r="H4768">
        <v>500220</v>
      </c>
      <c r="I4768" t="s">
        <v>949</v>
      </c>
    </row>
    <row r="4769" spans="1:9" x14ac:dyDescent="0.25">
      <c r="A4769">
        <v>4240</v>
      </c>
      <c r="B4769">
        <v>10</v>
      </c>
      <c r="C4769" t="s">
        <v>946</v>
      </c>
      <c r="D4769" t="s">
        <v>1036</v>
      </c>
      <c r="E4769" t="s">
        <v>108</v>
      </c>
      <c r="F4769" t="s">
        <v>948</v>
      </c>
      <c r="G4769">
        <v>1077777</v>
      </c>
      <c r="H4769">
        <v>500221</v>
      </c>
      <c r="I4769" t="s">
        <v>949</v>
      </c>
    </row>
    <row r="4770" spans="1:9" x14ac:dyDescent="0.25">
      <c r="A4770">
        <v>4240</v>
      </c>
      <c r="B4770">
        <v>10</v>
      </c>
      <c r="C4770" t="s">
        <v>946</v>
      </c>
      <c r="D4770" t="s">
        <v>1036</v>
      </c>
      <c r="E4770" t="s">
        <v>310</v>
      </c>
      <c r="F4770" t="s">
        <v>948</v>
      </c>
      <c r="G4770">
        <v>1000000</v>
      </c>
      <c r="H4770">
        <v>145000</v>
      </c>
      <c r="I4770" t="s">
        <v>949</v>
      </c>
    </row>
    <row r="4771" spans="1:9" x14ac:dyDescent="0.25">
      <c r="A4771">
        <v>4240</v>
      </c>
      <c r="B4771">
        <v>10</v>
      </c>
      <c r="C4771" t="s">
        <v>946</v>
      </c>
      <c r="D4771" t="s">
        <v>1036</v>
      </c>
      <c r="E4771" t="s">
        <v>314</v>
      </c>
      <c r="F4771" t="s">
        <v>948</v>
      </c>
      <c r="G4771">
        <v>1000000</v>
      </c>
      <c r="H4771">
        <v>145000</v>
      </c>
      <c r="I4771" t="s">
        <v>949</v>
      </c>
    </row>
    <row r="4772" spans="1:9" x14ac:dyDescent="0.25">
      <c r="A4772">
        <v>4240</v>
      </c>
      <c r="B4772">
        <v>10</v>
      </c>
      <c r="C4772" t="s">
        <v>946</v>
      </c>
      <c r="D4772" t="s">
        <v>1036</v>
      </c>
      <c r="E4772" t="s">
        <v>121</v>
      </c>
      <c r="F4772" t="s">
        <v>948</v>
      </c>
      <c r="G4772">
        <v>1077777</v>
      </c>
      <c r="H4772">
        <v>500221</v>
      </c>
      <c r="I4772" t="s">
        <v>949</v>
      </c>
    </row>
    <row r="4773" spans="1:9" x14ac:dyDescent="0.25">
      <c r="A4773">
        <v>4240</v>
      </c>
      <c r="B4773">
        <v>10</v>
      </c>
      <c r="C4773" t="s">
        <v>946</v>
      </c>
      <c r="D4773" t="s">
        <v>1036</v>
      </c>
      <c r="E4773" t="s">
        <v>984</v>
      </c>
      <c r="F4773" t="s">
        <v>948</v>
      </c>
      <c r="G4773">
        <v>1000000</v>
      </c>
      <c r="H4773">
        <v>141000</v>
      </c>
      <c r="I4773" t="s">
        <v>985</v>
      </c>
    </row>
    <row r="4774" spans="1:9" x14ac:dyDescent="0.25">
      <c r="A4774">
        <v>4141</v>
      </c>
      <c r="B4774">
        <v>10</v>
      </c>
      <c r="C4774" t="s">
        <v>946</v>
      </c>
      <c r="D4774" t="s">
        <v>1037</v>
      </c>
      <c r="E4774" t="s">
        <v>49</v>
      </c>
      <c r="F4774" t="s">
        <v>948</v>
      </c>
      <c r="G4774">
        <v>1077777</v>
      </c>
      <c r="H4774">
        <v>500220</v>
      </c>
      <c r="I4774" t="s">
        <v>949</v>
      </c>
    </row>
    <row r="4775" spans="1:9" x14ac:dyDescent="0.25">
      <c r="A4775">
        <v>4220</v>
      </c>
      <c r="B4775">
        <v>10</v>
      </c>
      <c r="C4775" t="s">
        <v>946</v>
      </c>
      <c r="D4775" t="s">
        <v>1037</v>
      </c>
      <c r="E4775" t="s">
        <v>49</v>
      </c>
      <c r="F4775" t="s">
        <v>948</v>
      </c>
      <c r="G4775">
        <v>1077777</v>
      </c>
      <c r="H4775">
        <v>500220</v>
      </c>
      <c r="I4775" t="s">
        <v>949</v>
      </c>
    </row>
    <row r="4776" spans="1:9" x14ac:dyDescent="0.25">
      <c r="A4776">
        <v>4230</v>
      </c>
      <c r="B4776">
        <v>10</v>
      </c>
      <c r="C4776" t="s">
        <v>946</v>
      </c>
      <c r="D4776" t="s">
        <v>1037</v>
      </c>
      <c r="E4776" t="s">
        <v>49</v>
      </c>
      <c r="F4776" t="s">
        <v>948</v>
      </c>
      <c r="G4776">
        <v>1077777</v>
      </c>
      <c r="H4776">
        <v>500220</v>
      </c>
      <c r="I4776" t="s">
        <v>949</v>
      </c>
    </row>
    <row r="4777" spans="1:9" x14ac:dyDescent="0.25">
      <c r="A4777">
        <v>4240</v>
      </c>
      <c r="B4777">
        <v>10</v>
      </c>
      <c r="C4777" t="s">
        <v>946</v>
      </c>
      <c r="D4777" t="s">
        <v>1037</v>
      </c>
      <c r="E4777" t="s">
        <v>49</v>
      </c>
      <c r="F4777" t="s">
        <v>948</v>
      </c>
      <c r="G4777">
        <v>1077777</v>
      </c>
      <c r="H4777">
        <v>500221</v>
      </c>
      <c r="I4777" t="s">
        <v>949</v>
      </c>
    </row>
    <row r="4778" spans="1:9" x14ac:dyDescent="0.25">
      <c r="A4778">
        <v>4245</v>
      </c>
      <c r="B4778">
        <v>10</v>
      </c>
      <c r="C4778" t="s">
        <v>946</v>
      </c>
      <c r="D4778" t="s">
        <v>1037</v>
      </c>
      <c r="E4778" t="s">
        <v>49</v>
      </c>
      <c r="F4778" t="s">
        <v>948</v>
      </c>
      <c r="G4778">
        <v>1077777</v>
      </c>
      <c r="H4778">
        <v>500221</v>
      </c>
      <c r="I4778" t="s">
        <v>949</v>
      </c>
    </row>
    <row r="4779" spans="1:9" x14ac:dyDescent="0.25">
      <c r="A4779">
        <v>4141</v>
      </c>
      <c r="B4779">
        <v>10</v>
      </c>
      <c r="C4779" t="s">
        <v>946</v>
      </c>
      <c r="D4779" t="s">
        <v>1038</v>
      </c>
      <c r="E4779" t="s">
        <v>243</v>
      </c>
      <c r="F4779" t="s">
        <v>948</v>
      </c>
      <c r="G4779">
        <v>1077777</v>
      </c>
      <c r="H4779">
        <v>501010</v>
      </c>
      <c r="I4779" t="s">
        <v>949</v>
      </c>
    </row>
    <row r="4780" spans="1:9" x14ac:dyDescent="0.25">
      <c r="A4780">
        <v>4220</v>
      </c>
      <c r="B4780">
        <v>10</v>
      </c>
      <c r="C4780" t="s">
        <v>946</v>
      </c>
      <c r="D4780" t="s">
        <v>1038</v>
      </c>
      <c r="E4780" t="s">
        <v>243</v>
      </c>
      <c r="F4780" t="s">
        <v>948</v>
      </c>
      <c r="G4780">
        <v>1077777</v>
      </c>
      <c r="H4780">
        <v>501010</v>
      </c>
      <c r="I4780" t="s">
        <v>949</v>
      </c>
    </row>
    <row r="4781" spans="1:9" x14ac:dyDescent="0.25">
      <c r="A4781">
        <v>4230</v>
      </c>
      <c r="B4781">
        <v>10</v>
      </c>
      <c r="C4781" t="s">
        <v>946</v>
      </c>
      <c r="D4781" t="s">
        <v>1038</v>
      </c>
      <c r="E4781" t="s">
        <v>243</v>
      </c>
      <c r="F4781" t="s">
        <v>948</v>
      </c>
      <c r="G4781">
        <v>1099999</v>
      </c>
      <c r="H4781">
        <v>401052</v>
      </c>
      <c r="I4781" t="s">
        <v>949</v>
      </c>
    </row>
    <row r="4782" spans="1:9" x14ac:dyDescent="0.25">
      <c r="A4782">
        <v>4240</v>
      </c>
      <c r="B4782">
        <v>10</v>
      </c>
      <c r="C4782" t="s">
        <v>946</v>
      </c>
      <c r="D4782" t="s">
        <v>1038</v>
      </c>
      <c r="E4782" t="s">
        <v>243</v>
      </c>
      <c r="F4782" t="s">
        <v>948</v>
      </c>
      <c r="G4782">
        <v>1000000</v>
      </c>
      <c r="H4782">
        <v>145000</v>
      </c>
      <c r="I4782" t="s">
        <v>949</v>
      </c>
    </row>
    <row r="4783" spans="1:9" x14ac:dyDescent="0.25">
      <c r="A4783">
        <v>4141</v>
      </c>
      <c r="B4783">
        <v>10</v>
      </c>
      <c r="C4783" t="s">
        <v>946</v>
      </c>
      <c r="D4783" t="s">
        <v>1038</v>
      </c>
      <c r="E4783" t="s">
        <v>247</v>
      </c>
      <c r="F4783" t="s">
        <v>948</v>
      </c>
      <c r="G4783">
        <v>1077777</v>
      </c>
      <c r="H4783">
        <v>501010</v>
      </c>
      <c r="I4783" t="s">
        <v>949</v>
      </c>
    </row>
    <row r="4784" spans="1:9" x14ac:dyDescent="0.25">
      <c r="A4784">
        <v>4220</v>
      </c>
      <c r="B4784">
        <v>10</v>
      </c>
      <c r="C4784" t="s">
        <v>946</v>
      </c>
      <c r="D4784" t="s">
        <v>1038</v>
      </c>
      <c r="E4784" t="s">
        <v>247</v>
      </c>
      <c r="F4784" t="s">
        <v>948</v>
      </c>
      <c r="G4784">
        <v>1077777</v>
      </c>
      <c r="H4784">
        <v>501010</v>
      </c>
      <c r="I4784" t="s">
        <v>949</v>
      </c>
    </row>
    <row r="4785" spans="1:9" x14ac:dyDescent="0.25">
      <c r="A4785">
        <v>4230</v>
      </c>
      <c r="B4785">
        <v>10</v>
      </c>
      <c r="C4785" t="s">
        <v>946</v>
      </c>
      <c r="D4785" t="s">
        <v>1038</v>
      </c>
      <c r="E4785" t="s">
        <v>247</v>
      </c>
      <c r="F4785" t="s">
        <v>948</v>
      </c>
      <c r="G4785">
        <v>1099999</v>
      </c>
      <c r="H4785">
        <v>401022</v>
      </c>
      <c r="I4785" t="s">
        <v>949</v>
      </c>
    </row>
    <row r="4786" spans="1:9" x14ac:dyDescent="0.25">
      <c r="A4786">
        <v>4240</v>
      </c>
      <c r="B4786">
        <v>10</v>
      </c>
      <c r="C4786" t="s">
        <v>946</v>
      </c>
      <c r="D4786" t="s">
        <v>1038</v>
      </c>
      <c r="E4786" t="s">
        <v>247</v>
      </c>
      <c r="F4786" t="s">
        <v>948</v>
      </c>
      <c r="G4786">
        <v>1000000</v>
      </c>
      <c r="H4786">
        <v>145000</v>
      </c>
      <c r="I4786" t="s">
        <v>949</v>
      </c>
    </row>
    <row r="4787" spans="1:9" x14ac:dyDescent="0.25">
      <c r="A4787">
        <v>4141</v>
      </c>
      <c r="B4787">
        <v>10</v>
      </c>
      <c r="C4787" t="s">
        <v>946</v>
      </c>
      <c r="D4787" t="s">
        <v>1038</v>
      </c>
      <c r="E4787" t="s">
        <v>251</v>
      </c>
      <c r="F4787" t="s">
        <v>948</v>
      </c>
      <c r="G4787">
        <v>1077777</v>
      </c>
      <c r="H4787">
        <v>501010</v>
      </c>
      <c r="I4787" t="s">
        <v>949</v>
      </c>
    </row>
    <row r="4788" spans="1:9" x14ac:dyDescent="0.25">
      <c r="A4788">
        <v>4220</v>
      </c>
      <c r="B4788">
        <v>10</v>
      </c>
      <c r="C4788" t="s">
        <v>946</v>
      </c>
      <c r="D4788" t="s">
        <v>1038</v>
      </c>
      <c r="E4788" t="s">
        <v>251</v>
      </c>
      <c r="F4788" t="s">
        <v>948</v>
      </c>
      <c r="G4788">
        <v>1077777</v>
      </c>
      <c r="H4788">
        <v>501010</v>
      </c>
      <c r="I4788" t="s">
        <v>949</v>
      </c>
    </row>
    <row r="4789" spans="1:9" x14ac:dyDescent="0.25">
      <c r="A4789">
        <v>4230</v>
      </c>
      <c r="B4789">
        <v>10</v>
      </c>
      <c r="C4789" t="s">
        <v>946</v>
      </c>
      <c r="D4789" t="s">
        <v>1038</v>
      </c>
      <c r="E4789" t="s">
        <v>251</v>
      </c>
      <c r="F4789" t="s">
        <v>948</v>
      </c>
      <c r="G4789">
        <v>1099999</v>
      </c>
      <c r="H4789">
        <v>401042</v>
      </c>
      <c r="I4789" t="s">
        <v>949</v>
      </c>
    </row>
    <row r="4790" spans="1:9" x14ac:dyDescent="0.25">
      <c r="A4790">
        <v>4240</v>
      </c>
      <c r="B4790">
        <v>10</v>
      </c>
      <c r="C4790" t="s">
        <v>946</v>
      </c>
      <c r="D4790" t="s">
        <v>1038</v>
      </c>
      <c r="E4790" t="s">
        <v>251</v>
      </c>
      <c r="F4790" t="s">
        <v>948</v>
      </c>
      <c r="G4790">
        <v>1000000</v>
      </c>
      <c r="H4790">
        <v>142000</v>
      </c>
      <c r="I4790" t="s">
        <v>949</v>
      </c>
    </row>
    <row r="4791" spans="1:9" x14ac:dyDescent="0.25">
      <c r="A4791">
        <v>4141</v>
      </c>
      <c r="B4791">
        <v>10</v>
      </c>
      <c r="C4791" t="s">
        <v>946</v>
      </c>
      <c r="D4791" t="s">
        <v>1038</v>
      </c>
      <c r="E4791" t="s">
        <v>969</v>
      </c>
      <c r="F4791" t="s">
        <v>948</v>
      </c>
      <c r="G4791">
        <v>1077777</v>
      </c>
      <c r="H4791">
        <v>501010</v>
      </c>
      <c r="I4791" t="s">
        <v>949</v>
      </c>
    </row>
    <row r="4792" spans="1:9" x14ac:dyDescent="0.25">
      <c r="A4792">
        <v>4220</v>
      </c>
      <c r="B4792">
        <v>10</v>
      </c>
      <c r="C4792" t="s">
        <v>946</v>
      </c>
      <c r="D4792" t="s">
        <v>1038</v>
      </c>
      <c r="E4792" t="s">
        <v>969</v>
      </c>
      <c r="F4792" t="s">
        <v>948</v>
      </c>
      <c r="G4792">
        <v>1077777</v>
      </c>
      <c r="H4792">
        <v>501010</v>
      </c>
      <c r="I4792" t="s">
        <v>949</v>
      </c>
    </row>
    <row r="4793" spans="1:9" x14ac:dyDescent="0.25">
      <c r="A4793">
        <v>4230</v>
      </c>
      <c r="B4793">
        <v>10</v>
      </c>
      <c r="C4793" t="s">
        <v>946</v>
      </c>
      <c r="D4793" t="s">
        <v>1038</v>
      </c>
      <c r="E4793" t="s">
        <v>969</v>
      </c>
      <c r="F4793" t="s">
        <v>948</v>
      </c>
      <c r="G4793">
        <v>1099999</v>
      </c>
      <c r="H4793">
        <v>401912</v>
      </c>
      <c r="I4793" t="s">
        <v>949</v>
      </c>
    </row>
    <row r="4794" spans="1:9" x14ac:dyDescent="0.25">
      <c r="A4794">
        <v>4240</v>
      </c>
      <c r="B4794">
        <v>10</v>
      </c>
      <c r="C4794" t="s">
        <v>946</v>
      </c>
      <c r="D4794" t="s">
        <v>1038</v>
      </c>
      <c r="E4794" t="s">
        <v>969</v>
      </c>
      <c r="F4794" t="s">
        <v>948</v>
      </c>
      <c r="G4794">
        <v>1000000</v>
      </c>
      <c r="H4794">
        <v>141000</v>
      </c>
      <c r="I4794" t="s">
        <v>970</v>
      </c>
    </row>
    <row r="4795" spans="1:9" x14ac:dyDescent="0.25">
      <c r="A4795">
        <v>4141</v>
      </c>
      <c r="B4795">
        <v>10</v>
      </c>
      <c r="C4795" t="s">
        <v>946</v>
      </c>
      <c r="D4795" t="s">
        <v>1038</v>
      </c>
      <c r="E4795" t="s">
        <v>255</v>
      </c>
      <c r="F4795" t="s">
        <v>948</v>
      </c>
      <c r="G4795">
        <v>1077777</v>
      </c>
      <c r="H4795">
        <v>501010</v>
      </c>
      <c r="I4795" t="s">
        <v>949</v>
      </c>
    </row>
    <row r="4796" spans="1:9" x14ac:dyDescent="0.25">
      <c r="A4796">
        <v>4220</v>
      </c>
      <c r="B4796">
        <v>10</v>
      </c>
      <c r="C4796" t="s">
        <v>946</v>
      </c>
      <c r="D4796" t="s">
        <v>1038</v>
      </c>
      <c r="E4796" t="s">
        <v>255</v>
      </c>
      <c r="F4796" t="s">
        <v>948</v>
      </c>
      <c r="G4796">
        <v>1077777</v>
      </c>
      <c r="H4796">
        <v>501010</v>
      </c>
      <c r="I4796" t="s">
        <v>949</v>
      </c>
    </row>
    <row r="4797" spans="1:9" x14ac:dyDescent="0.25">
      <c r="A4797">
        <v>4230</v>
      </c>
      <c r="B4797">
        <v>10</v>
      </c>
      <c r="C4797" t="s">
        <v>946</v>
      </c>
      <c r="D4797" t="s">
        <v>1038</v>
      </c>
      <c r="E4797" t="s">
        <v>255</v>
      </c>
      <c r="F4797" t="s">
        <v>948</v>
      </c>
      <c r="G4797">
        <v>1099999</v>
      </c>
      <c r="H4797">
        <v>401072</v>
      </c>
      <c r="I4797" t="s">
        <v>949</v>
      </c>
    </row>
    <row r="4798" spans="1:9" x14ac:dyDescent="0.25">
      <c r="A4798">
        <v>4240</v>
      </c>
      <c r="B4798">
        <v>10</v>
      </c>
      <c r="C4798" t="s">
        <v>946</v>
      </c>
      <c r="D4798" t="s">
        <v>1038</v>
      </c>
      <c r="E4798" t="s">
        <v>255</v>
      </c>
      <c r="F4798" t="s">
        <v>948</v>
      </c>
      <c r="G4798">
        <v>1000000</v>
      </c>
      <c r="H4798">
        <v>145000</v>
      </c>
      <c r="I4798" t="s">
        <v>949</v>
      </c>
    </row>
    <row r="4799" spans="1:9" x14ac:dyDescent="0.25">
      <c r="A4799">
        <v>4141</v>
      </c>
      <c r="B4799">
        <v>10</v>
      </c>
      <c r="C4799" t="s">
        <v>946</v>
      </c>
      <c r="D4799" t="s">
        <v>1038</v>
      </c>
      <c r="E4799" t="s">
        <v>971</v>
      </c>
      <c r="F4799" t="s">
        <v>948</v>
      </c>
      <c r="G4799">
        <v>1077777</v>
      </c>
      <c r="H4799">
        <v>501010</v>
      </c>
      <c r="I4799" t="s">
        <v>949</v>
      </c>
    </row>
    <row r="4800" spans="1:9" x14ac:dyDescent="0.25">
      <c r="A4800">
        <v>4220</v>
      </c>
      <c r="B4800">
        <v>10</v>
      </c>
      <c r="C4800" t="s">
        <v>946</v>
      </c>
      <c r="D4800" t="s">
        <v>1038</v>
      </c>
      <c r="E4800" t="s">
        <v>971</v>
      </c>
      <c r="F4800" t="s">
        <v>948</v>
      </c>
      <c r="G4800">
        <v>1077777</v>
      </c>
      <c r="H4800">
        <v>501010</v>
      </c>
      <c r="I4800" t="s">
        <v>949</v>
      </c>
    </row>
    <row r="4801" spans="1:9" x14ac:dyDescent="0.25">
      <c r="A4801">
        <v>4230</v>
      </c>
      <c r="B4801">
        <v>10</v>
      </c>
      <c r="C4801" t="s">
        <v>946</v>
      </c>
      <c r="D4801" t="s">
        <v>1038</v>
      </c>
      <c r="E4801" t="s">
        <v>971</v>
      </c>
      <c r="F4801" t="s">
        <v>948</v>
      </c>
      <c r="G4801">
        <v>1099999</v>
      </c>
      <c r="H4801">
        <v>401912</v>
      </c>
      <c r="I4801" t="s">
        <v>949</v>
      </c>
    </row>
    <row r="4802" spans="1:9" x14ac:dyDescent="0.25">
      <c r="A4802">
        <v>4240</v>
      </c>
      <c r="B4802">
        <v>10</v>
      </c>
      <c r="C4802" t="s">
        <v>946</v>
      </c>
      <c r="D4802" t="s">
        <v>1038</v>
      </c>
      <c r="E4802" t="s">
        <v>971</v>
      </c>
      <c r="F4802" t="s">
        <v>948</v>
      </c>
      <c r="G4802">
        <v>1000000</v>
      </c>
      <c r="H4802">
        <v>141000</v>
      </c>
      <c r="I4802" t="s">
        <v>972</v>
      </c>
    </row>
    <row r="4803" spans="1:9" x14ac:dyDescent="0.25">
      <c r="A4803">
        <v>4230</v>
      </c>
      <c r="B4803">
        <v>10</v>
      </c>
      <c r="C4803" t="s">
        <v>946</v>
      </c>
      <c r="D4803" t="s">
        <v>1038</v>
      </c>
      <c r="E4803" t="s">
        <v>259</v>
      </c>
      <c r="F4803" t="s">
        <v>948</v>
      </c>
      <c r="G4803">
        <v>1099999</v>
      </c>
      <c r="H4803">
        <v>409002</v>
      </c>
      <c r="I4803" t="s">
        <v>949</v>
      </c>
    </row>
    <row r="4804" spans="1:9" x14ac:dyDescent="0.25">
      <c r="A4804">
        <v>4141</v>
      </c>
      <c r="B4804">
        <v>10</v>
      </c>
      <c r="C4804" t="s">
        <v>946</v>
      </c>
      <c r="D4804" t="s">
        <v>1038</v>
      </c>
      <c r="E4804" t="s">
        <v>263</v>
      </c>
      <c r="F4804" t="s">
        <v>948</v>
      </c>
      <c r="G4804">
        <v>1077777</v>
      </c>
      <c r="H4804">
        <v>501010</v>
      </c>
      <c r="I4804" t="s">
        <v>949</v>
      </c>
    </row>
    <row r="4805" spans="1:9" x14ac:dyDescent="0.25">
      <c r="A4805">
        <v>4220</v>
      </c>
      <c r="B4805">
        <v>10</v>
      </c>
      <c r="C4805" t="s">
        <v>946</v>
      </c>
      <c r="D4805" t="s">
        <v>1038</v>
      </c>
      <c r="E4805" t="s">
        <v>263</v>
      </c>
      <c r="F4805" t="s">
        <v>948</v>
      </c>
      <c r="G4805">
        <v>1077777</v>
      </c>
      <c r="H4805">
        <v>501010</v>
      </c>
      <c r="I4805" t="s">
        <v>949</v>
      </c>
    </row>
    <row r="4806" spans="1:9" x14ac:dyDescent="0.25">
      <c r="A4806">
        <v>4230</v>
      </c>
      <c r="B4806">
        <v>10</v>
      </c>
      <c r="C4806" t="s">
        <v>946</v>
      </c>
      <c r="D4806" t="s">
        <v>1038</v>
      </c>
      <c r="E4806" t="s">
        <v>263</v>
      </c>
      <c r="F4806" t="s">
        <v>948</v>
      </c>
      <c r="G4806">
        <v>1099999</v>
      </c>
      <c r="H4806">
        <v>401042</v>
      </c>
      <c r="I4806" t="s">
        <v>949</v>
      </c>
    </row>
    <row r="4807" spans="1:9" x14ac:dyDescent="0.25">
      <c r="A4807">
        <v>4240</v>
      </c>
      <c r="B4807">
        <v>10</v>
      </c>
      <c r="C4807" t="s">
        <v>946</v>
      </c>
      <c r="D4807" t="s">
        <v>1038</v>
      </c>
      <c r="E4807" t="s">
        <v>263</v>
      </c>
      <c r="F4807" t="s">
        <v>948</v>
      </c>
      <c r="G4807">
        <v>1000000</v>
      </c>
      <c r="H4807">
        <v>145000</v>
      </c>
      <c r="I4807" t="s">
        <v>949</v>
      </c>
    </row>
    <row r="4808" spans="1:9" x14ac:dyDescent="0.25">
      <c r="A4808">
        <v>4141</v>
      </c>
      <c r="B4808">
        <v>10</v>
      </c>
      <c r="C4808" t="s">
        <v>946</v>
      </c>
      <c r="D4808" t="s">
        <v>1038</v>
      </c>
      <c r="E4808" t="s">
        <v>100</v>
      </c>
      <c r="F4808" t="s">
        <v>948</v>
      </c>
      <c r="G4808">
        <v>1077777</v>
      </c>
      <c r="H4808">
        <v>500220</v>
      </c>
      <c r="I4808" t="s">
        <v>949</v>
      </c>
    </row>
    <row r="4809" spans="1:9" x14ac:dyDescent="0.25">
      <c r="A4809">
        <v>4220</v>
      </c>
      <c r="B4809">
        <v>10</v>
      </c>
      <c r="C4809" t="s">
        <v>946</v>
      </c>
      <c r="D4809" t="s">
        <v>1038</v>
      </c>
      <c r="E4809" t="s">
        <v>100</v>
      </c>
      <c r="F4809" t="s">
        <v>948</v>
      </c>
      <c r="G4809">
        <v>1077777</v>
      </c>
      <c r="H4809">
        <v>500220</v>
      </c>
      <c r="I4809" t="s">
        <v>949</v>
      </c>
    </row>
    <row r="4810" spans="1:9" x14ac:dyDescent="0.25">
      <c r="A4810">
        <v>4230</v>
      </c>
      <c r="B4810">
        <v>10</v>
      </c>
      <c r="C4810" t="s">
        <v>946</v>
      </c>
      <c r="D4810" t="s">
        <v>1038</v>
      </c>
      <c r="E4810" t="s">
        <v>100</v>
      </c>
      <c r="F4810" t="s">
        <v>948</v>
      </c>
      <c r="G4810">
        <v>1099999</v>
      </c>
      <c r="H4810">
        <v>401042</v>
      </c>
      <c r="I4810" t="s">
        <v>949</v>
      </c>
    </row>
    <row r="4811" spans="1:9" x14ac:dyDescent="0.25">
      <c r="A4811">
        <v>4240</v>
      </c>
      <c r="B4811">
        <v>10</v>
      </c>
      <c r="C4811" t="s">
        <v>946</v>
      </c>
      <c r="D4811" t="s">
        <v>1038</v>
      </c>
      <c r="E4811" t="s">
        <v>100</v>
      </c>
      <c r="F4811" t="s">
        <v>948</v>
      </c>
      <c r="G4811">
        <v>1077777</v>
      </c>
      <c r="H4811">
        <v>500221</v>
      </c>
      <c r="I4811" t="s">
        <v>949</v>
      </c>
    </row>
    <row r="4812" spans="1:9" x14ac:dyDescent="0.25">
      <c r="A4812">
        <v>4141</v>
      </c>
      <c r="B4812">
        <v>10</v>
      </c>
      <c r="C4812" t="s">
        <v>946</v>
      </c>
      <c r="D4812" t="s">
        <v>1038</v>
      </c>
      <c r="E4812" t="s">
        <v>270</v>
      </c>
      <c r="F4812" t="s">
        <v>948</v>
      </c>
      <c r="G4812">
        <v>1077777</v>
      </c>
      <c r="H4812">
        <v>501010</v>
      </c>
      <c r="I4812" t="s">
        <v>949</v>
      </c>
    </row>
    <row r="4813" spans="1:9" x14ac:dyDescent="0.25">
      <c r="A4813">
        <v>4220</v>
      </c>
      <c r="B4813">
        <v>10</v>
      </c>
      <c r="C4813" t="s">
        <v>946</v>
      </c>
      <c r="D4813" t="s">
        <v>1038</v>
      </c>
      <c r="E4813" t="s">
        <v>270</v>
      </c>
      <c r="F4813" t="s">
        <v>948</v>
      </c>
      <c r="G4813">
        <v>1077777</v>
      </c>
      <c r="H4813">
        <v>501010</v>
      </c>
      <c r="I4813" t="s">
        <v>949</v>
      </c>
    </row>
    <row r="4814" spans="1:9" x14ac:dyDescent="0.25">
      <c r="A4814">
        <v>4230</v>
      </c>
      <c r="B4814">
        <v>10</v>
      </c>
      <c r="C4814" t="s">
        <v>946</v>
      </c>
      <c r="D4814" t="s">
        <v>1038</v>
      </c>
      <c r="E4814" t="s">
        <v>270</v>
      </c>
      <c r="F4814" t="s">
        <v>948</v>
      </c>
      <c r="G4814">
        <v>1099999</v>
      </c>
      <c r="H4814">
        <v>401062</v>
      </c>
      <c r="I4814" t="s">
        <v>949</v>
      </c>
    </row>
    <row r="4815" spans="1:9" x14ac:dyDescent="0.25">
      <c r="A4815">
        <v>4240</v>
      </c>
      <c r="B4815">
        <v>10</v>
      </c>
      <c r="C4815" t="s">
        <v>946</v>
      </c>
      <c r="D4815" t="s">
        <v>1038</v>
      </c>
      <c r="E4815" t="s">
        <v>270</v>
      </c>
      <c r="F4815" t="s">
        <v>948</v>
      </c>
      <c r="G4815">
        <v>1000000</v>
      </c>
      <c r="H4815">
        <v>145000</v>
      </c>
      <c r="I4815" t="s">
        <v>949</v>
      </c>
    </row>
    <row r="4816" spans="1:9" x14ac:dyDescent="0.25">
      <c r="A4816">
        <v>4141</v>
      </c>
      <c r="B4816">
        <v>10</v>
      </c>
      <c r="C4816" t="s">
        <v>946</v>
      </c>
      <c r="D4816" t="s">
        <v>1038</v>
      </c>
      <c r="E4816" t="s">
        <v>274</v>
      </c>
      <c r="F4816" t="s">
        <v>948</v>
      </c>
      <c r="G4816">
        <v>1077777</v>
      </c>
      <c r="H4816">
        <v>501010</v>
      </c>
      <c r="I4816" t="s">
        <v>949</v>
      </c>
    </row>
    <row r="4817" spans="1:9" x14ac:dyDescent="0.25">
      <c r="A4817">
        <v>4220</v>
      </c>
      <c r="B4817">
        <v>10</v>
      </c>
      <c r="C4817" t="s">
        <v>946</v>
      </c>
      <c r="D4817" t="s">
        <v>1038</v>
      </c>
      <c r="E4817" t="s">
        <v>274</v>
      </c>
      <c r="F4817" t="s">
        <v>948</v>
      </c>
      <c r="G4817">
        <v>1077777</v>
      </c>
      <c r="H4817">
        <v>501010</v>
      </c>
      <c r="I4817" t="s">
        <v>949</v>
      </c>
    </row>
    <row r="4818" spans="1:9" x14ac:dyDescent="0.25">
      <c r="A4818">
        <v>4230</v>
      </c>
      <c r="B4818">
        <v>10</v>
      </c>
      <c r="C4818" t="s">
        <v>946</v>
      </c>
      <c r="D4818" t="s">
        <v>1038</v>
      </c>
      <c r="E4818" t="s">
        <v>274</v>
      </c>
      <c r="F4818" t="s">
        <v>948</v>
      </c>
      <c r="G4818">
        <v>1099999</v>
      </c>
      <c r="H4818">
        <v>401042</v>
      </c>
      <c r="I4818" t="s">
        <v>949</v>
      </c>
    </row>
    <row r="4819" spans="1:9" x14ac:dyDescent="0.25">
      <c r="A4819">
        <v>4240</v>
      </c>
      <c r="B4819">
        <v>10</v>
      </c>
      <c r="C4819" t="s">
        <v>946</v>
      </c>
      <c r="D4819" t="s">
        <v>1038</v>
      </c>
      <c r="E4819" t="s">
        <v>274</v>
      </c>
      <c r="F4819" t="s">
        <v>948</v>
      </c>
      <c r="G4819">
        <v>1000000</v>
      </c>
      <c r="H4819">
        <v>143000</v>
      </c>
      <c r="I4819" t="s">
        <v>973</v>
      </c>
    </row>
    <row r="4820" spans="1:9" x14ac:dyDescent="0.25">
      <c r="A4820">
        <v>4141</v>
      </c>
      <c r="B4820">
        <v>10</v>
      </c>
      <c r="C4820" t="s">
        <v>946</v>
      </c>
      <c r="D4820" t="s">
        <v>1038</v>
      </c>
      <c r="E4820" t="s">
        <v>974</v>
      </c>
      <c r="F4820" t="s">
        <v>948</v>
      </c>
      <c r="G4820">
        <v>1077777</v>
      </c>
      <c r="H4820">
        <v>501010</v>
      </c>
      <c r="I4820" t="s">
        <v>949</v>
      </c>
    </row>
    <row r="4821" spans="1:9" x14ac:dyDescent="0.25">
      <c r="A4821">
        <v>4220</v>
      </c>
      <c r="B4821">
        <v>10</v>
      </c>
      <c r="C4821" t="s">
        <v>946</v>
      </c>
      <c r="D4821" t="s">
        <v>1038</v>
      </c>
      <c r="E4821" t="s">
        <v>974</v>
      </c>
      <c r="F4821" t="s">
        <v>948</v>
      </c>
      <c r="G4821">
        <v>1077777</v>
      </c>
      <c r="H4821">
        <v>501010</v>
      </c>
      <c r="I4821" t="s">
        <v>949</v>
      </c>
    </row>
    <row r="4822" spans="1:9" x14ac:dyDescent="0.25">
      <c r="A4822">
        <v>4230</v>
      </c>
      <c r="B4822">
        <v>10</v>
      </c>
      <c r="C4822" t="s">
        <v>946</v>
      </c>
      <c r="D4822" t="s">
        <v>1038</v>
      </c>
      <c r="E4822" t="s">
        <v>974</v>
      </c>
      <c r="F4822" t="s">
        <v>948</v>
      </c>
      <c r="G4822">
        <v>1099999</v>
      </c>
      <c r="H4822">
        <v>401912</v>
      </c>
      <c r="I4822" t="s">
        <v>949</v>
      </c>
    </row>
    <row r="4823" spans="1:9" x14ac:dyDescent="0.25">
      <c r="A4823">
        <v>4240</v>
      </c>
      <c r="B4823">
        <v>10</v>
      </c>
      <c r="C4823" t="s">
        <v>946</v>
      </c>
      <c r="D4823" t="s">
        <v>1038</v>
      </c>
      <c r="E4823" t="s">
        <v>974</v>
      </c>
      <c r="F4823" t="s">
        <v>948</v>
      </c>
      <c r="G4823">
        <v>1000000</v>
      </c>
      <c r="H4823">
        <v>141000</v>
      </c>
      <c r="I4823" t="s">
        <v>975</v>
      </c>
    </row>
    <row r="4824" spans="1:9" x14ac:dyDescent="0.25">
      <c r="A4824">
        <v>4141</v>
      </c>
      <c r="B4824">
        <v>10</v>
      </c>
      <c r="C4824" t="s">
        <v>946</v>
      </c>
      <c r="D4824" t="s">
        <v>1038</v>
      </c>
      <c r="E4824" t="s">
        <v>104</v>
      </c>
      <c r="F4824" t="s">
        <v>948</v>
      </c>
      <c r="G4824">
        <v>1077777</v>
      </c>
      <c r="H4824">
        <v>500220</v>
      </c>
      <c r="I4824" t="s">
        <v>949</v>
      </c>
    </row>
    <row r="4825" spans="1:9" x14ac:dyDescent="0.25">
      <c r="A4825">
        <v>4220</v>
      </c>
      <c r="B4825">
        <v>10</v>
      </c>
      <c r="C4825" t="s">
        <v>946</v>
      </c>
      <c r="D4825" t="s">
        <v>1038</v>
      </c>
      <c r="E4825" t="s">
        <v>104</v>
      </c>
      <c r="F4825" t="s">
        <v>948</v>
      </c>
      <c r="G4825">
        <v>1077777</v>
      </c>
      <c r="H4825">
        <v>500220</v>
      </c>
      <c r="I4825" t="s">
        <v>949</v>
      </c>
    </row>
    <row r="4826" spans="1:9" x14ac:dyDescent="0.25">
      <c r="A4826">
        <v>4230</v>
      </c>
      <c r="B4826">
        <v>10</v>
      </c>
      <c r="C4826" t="s">
        <v>946</v>
      </c>
      <c r="D4826" t="s">
        <v>1038</v>
      </c>
      <c r="E4826" t="s">
        <v>104</v>
      </c>
      <c r="F4826" t="s">
        <v>948</v>
      </c>
      <c r="G4826">
        <v>1099999</v>
      </c>
      <c r="H4826">
        <v>401042</v>
      </c>
      <c r="I4826" t="s">
        <v>949</v>
      </c>
    </row>
    <row r="4827" spans="1:9" x14ac:dyDescent="0.25">
      <c r="A4827">
        <v>4240</v>
      </c>
      <c r="B4827">
        <v>10</v>
      </c>
      <c r="C4827" t="s">
        <v>946</v>
      </c>
      <c r="D4827" t="s">
        <v>1038</v>
      </c>
      <c r="E4827" t="s">
        <v>104</v>
      </c>
      <c r="F4827" t="s">
        <v>948</v>
      </c>
      <c r="G4827">
        <v>1077777</v>
      </c>
      <c r="H4827">
        <v>500221</v>
      </c>
      <c r="I4827" t="s">
        <v>949</v>
      </c>
    </row>
    <row r="4828" spans="1:9" x14ac:dyDescent="0.25">
      <c r="A4828">
        <v>4141</v>
      </c>
      <c r="B4828">
        <v>10</v>
      </c>
      <c r="C4828" t="s">
        <v>946</v>
      </c>
      <c r="D4828" t="s">
        <v>1038</v>
      </c>
      <c r="E4828" t="s">
        <v>278</v>
      </c>
      <c r="F4828" t="s">
        <v>948</v>
      </c>
      <c r="G4828">
        <v>1077777</v>
      </c>
      <c r="H4828">
        <v>501010</v>
      </c>
      <c r="I4828" t="s">
        <v>949</v>
      </c>
    </row>
    <row r="4829" spans="1:9" x14ac:dyDescent="0.25">
      <c r="A4829">
        <v>4220</v>
      </c>
      <c r="B4829">
        <v>10</v>
      </c>
      <c r="C4829" t="s">
        <v>946</v>
      </c>
      <c r="D4829" t="s">
        <v>1038</v>
      </c>
      <c r="E4829" t="s">
        <v>278</v>
      </c>
      <c r="F4829" t="s">
        <v>948</v>
      </c>
      <c r="G4829">
        <v>1077777</v>
      </c>
      <c r="H4829">
        <v>501010</v>
      </c>
      <c r="I4829" t="s">
        <v>949</v>
      </c>
    </row>
    <row r="4830" spans="1:9" x14ac:dyDescent="0.25">
      <c r="A4830">
        <v>4230</v>
      </c>
      <c r="B4830">
        <v>10</v>
      </c>
      <c r="C4830" t="s">
        <v>946</v>
      </c>
      <c r="D4830" t="s">
        <v>1038</v>
      </c>
      <c r="E4830" t="s">
        <v>278</v>
      </c>
      <c r="F4830" t="s">
        <v>948</v>
      </c>
      <c r="G4830">
        <v>1099999</v>
      </c>
      <c r="H4830">
        <v>401052</v>
      </c>
      <c r="I4830" t="s">
        <v>949</v>
      </c>
    </row>
    <row r="4831" spans="1:9" x14ac:dyDescent="0.25">
      <c r="A4831">
        <v>4240</v>
      </c>
      <c r="B4831">
        <v>10</v>
      </c>
      <c r="C4831" t="s">
        <v>946</v>
      </c>
      <c r="D4831" t="s">
        <v>1038</v>
      </c>
      <c r="E4831" t="s">
        <v>278</v>
      </c>
      <c r="F4831" t="s">
        <v>948</v>
      </c>
      <c r="G4831">
        <v>1000000</v>
      </c>
      <c r="H4831">
        <v>145000</v>
      </c>
      <c r="I4831" t="s">
        <v>949</v>
      </c>
    </row>
    <row r="4832" spans="1:9" x14ac:dyDescent="0.25">
      <c r="A4832">
        <v>4141</v>
      </c>
      <c r="B4832">
        <v>10</v>
      </c>
      <c r="C4832" t="s">
        <v>946</v>
      </c>
      <c r="D4832" t="s">
        <v>1038</v>
      </c>
      <c r="E4832" t="s">
        <v>282</v>
      </c>
      <c r="F4832" t="s">
        <v>948</v>
      </c>
      <c r="G4832">
        <v>1077777</v>
      </c>
      <c r="H4832">
        <v>501010</v>
      </c>
      <c r="I4832" t="s">
        <v>949</v>
      </c>
    </row>
    <row r="4833" spans="1:9" x14ac:dyDescent="0.25">
      <c r="A4833">
        <v>4220</v>
      </c>
      <c r="B4833">
        <v>10</v>
      </c>
      <c r="C4833" t="s">
        <v>946</v>
      </c>
      <c r="D4833" t="s">
        <v>1038</v>
      </c>
      <c r="E4833" t="s">
        <v>282</v>
      </c>
      <c r="F4833" t="s">
        <v>948</v>
      </c>
      <c r="G4833">
        <v>1077777</v>
      </c>
      <c r="H4833">
        <v>501010</v>
      </c>
      <c r="I4833" t="s">
        <v>949</v>
      </c>
    </row>
    <row r="4834" spans="1:9" x14ac:dyDescent="0.25">
      <c r="A4834">
        <v>4230</v>
      </c>
      <c r="B4834">
        <v>10</v>
      </c>
      <c r="C4834" t="s">
        <v>946</v>
      </c>
      <c r="D4834" t="s">
        <v>1038</v>
      </c>
      <c r="E4834" t="s">
        <v>282</v>
      </c>
      <c r="F4834" t="s">
        <v>948</v>
      </c>
      <c r="G4834">
        <v>1099999</v>
      </c>
      <c r="H4834">
        <v>401042</v>
      </c>
      <c r="I4834" t="s">
        <v>949</v>
      </c>
    </row>
    <row r="4835" spans="1:9" x14ac:dyDescent="0.25">
      <c r="A4835">
        <v>4240</v>
      </c>
      <c r="B4835">
        <v>10</v>
      </c>
      <c r="C4835" t="s">
        <v>946</v>
      </c>
      <c r="D4835" t="s">
        <v>1038</v>
      </c>
      <c r="E4835" t="s">
        <v>282</v>
      </c>
      <c r="F4835" t="s">
        <v>948</v>
      </c>
      <c r="G4835">
        <v>1000000</v>
      </c>
      <c r="H4835">
        <v>143100</v>
      </c>
      <c r="I4835" t="s">
        <v>949</v>
      </c>
    </row>
    <row r="4836" spans="1:9" x14ac:dyDescent="0.25">
      <c r="A4836">
        <v>4141</v>
      </c>
      <c r="B4836">
        <v>10</v>
      </c>
      <c r="C4836" t="s">
        <v>946</v>
      </c>
      <c r="D4836" t="s">
        <v>1038</v>
      </c>
      <c r="E4836" t="s">
        <v>286</v>
      </c>
      <c r="F4836" t="s">
        <v>948</v>
      </c>
      <c r="G4836">
        <v>1077777</v>
      </c>
      <c r="H4836">
        <v>501010</v>
      </c>
      <c r="I4836" t="s">
        <v>949</v>
      </c>
    </row>
    <row r="4837" spans="1:9" x14ac:dyDescent="0.25">
      <c r="A4837">
        <v>4220</v>
      </c>
      <c r="B4837">
        <v>10</v>
      </c>
      <c r="C4837" t="s">
        <v>946</v>
      </c>
      <c r="D4837" t="s">
        <v>1038</v>
      </c>
      <c r="E4837" t="s">
        <v>286</v>
      </c>
      <c r="F4837" t="s">
        <v>948</v>
      </c>
      <c r="G4837">
        <v>1077777</v>
      </c>
      <c r="H4837">
        <v>501010</v>
      </c>
      <c r="I4837" t="s">
        <v>949</v>
      </c>
    </row>
    <row r="4838" spans="1:9" x14ac:dyDescent="0.25">
      <c r="A4838">
        <v>4230</v>
      </c>
      <c r="B4838">
        <v>10</v>
      </c>
      <c r="C4838" t="s">
        <v>946</v>
      </c>
      <c r="D4838" t="s">
        <v>1038</v>
      </c>
      <c r="E4838" t="s">
        <v>286</v>
      </c>
      <c r="F4838" t="s">
        <v>948</v>
      </c>
      <c r="G4838">
        <v>1099999</v>
      </c>
      <c r="H4838">
        <v>401032</v>
      </c>
      <c r="I4838" t="s">
        <v>949</v>
      </c>
    </row>
    <row r="4839" spans="1:9" x14ac:dyDescent="0.25">
      <c r="A4839">
        <v>4240</v>
      </c>
      <c r="B4839">
        <v>10</v>
      </c>
      <c r="C4839" t="s">
        <v>946</v>
      </c>
      <c r="D4839" t="s">
        <v>1038</v>
      </c>
      <c r="E4839" t="s">
        <v>286</v>
      </c>
      <c r="F4839" t="s">
        <v>948</v>
      </c>
      <c r="G4839">
        <v>1000000</v>
      </c>
      <c r="H4839">
        <v>145000</v>
      </c>
      <c r="I4839" t="s">
        <v>949</v>
      </c>
    </row>
    <row r="4840" spans="1:9" x14ac:dyDescent="0.25">
      <c r="A4840">
        <v>4141</v>
      </c>
      <c r="B4840">
        <v>10</v>
      </c>
      <c r="C4840" t="s">
        <v>946</v>
      </c>
      <c r="D4840" t="s">
        <v>1038</v>
      </c>
      <c r="E4840" t="s">
        <v>976</v>
      </c>
      <c r="F4840" t="s">
        <v>948</v>
      </c>
      <c r="G4840">
        <v>1077777</v>
      </c>
      <c r="H4840">
        <v>501010</v>
      </c>
      <c r="I4840" t="s">
        <v>949</v>
      </c>
    </row>
    <row r="4841" spans="1:9" x14ac:dyDescent="0.25">
      <c r="A4841">
        <v>4220</v>
      </c>
      <c r="B4841">
        <v>10</v>
      </c>
      <c r="C4841" t="s">
        <v>946</v>
      </c>
      <c r="D4841" t="s">
        <v>1038</v>
      </c>
      <c r="E4841" t="s">
        <v>976</v>
      </c>
      <c r="F4841" t="s">
        <v>948</v>
      </c>
      <c r="G4841">
        <v>1077777</v>
      </c>
      <c r="H4841">
        <v>501010</v>
      </c>
      <c r="I4841" t="s">
        <v>949</v>
      </c>
    </row>
    <row r="4842" spans="1:9" x14ac:dyDescent="0.25">
      <c r="A4842">
        <v>4230</v>
      </c>
      <c r="B4842">
        <v>10</v>
      </c>
      <c r="C4842" t="s">
        <v>946</v>
      </c>
      <c r="D4842" t="s">
        <v>1038</v>
      </c>
      <c r="E4842" t="s">
        <v>976</v>
      </c>
      <c r="F4842" t="s">
        <v>948</v>
      </c>
      <c r="G4842">
        <v>1099999</v>
      </c>
      <c r="H4842">
        <v>401912</v>
      </c>
      <c r="I4842" t="s">
        <v>949</v>
      </c>
    </row>
    <row r="4843" spans="1:9" x14ac:dyDescent="0.25">
      <c r="A4843">
        <v>4240</v>
      </c>
      <c r="B4843">
        <v>10</v>
      </c>
      <c r="C4843" t="s">
        <v>946</v>
      </c>
      <c r="D4843" t="s">
        <v>1038</v>
      </c>
      <c r="E4843" t="s">
        <v>976</v>
      </c>
      <c r="F4843" t="s">
        <v>948</v>
      </c>
      <c r="G4843">
        <v>1000000</v>
      </c>
      <c r="H4843">
        <v>141000</v>
      </c>
      <c r="I4843" t="s">
        <v>977</v>
      </c>
    </row>
    <row r="4844" spans="1:9" x14ac:dyDescent="0.25">
      <c r="A4844">
        <v>4141</v>
      </c>
      <c r="B4844">
        <v>10</v>
      </c>
      <c r="C4844" t="s">
        <v>946</v>
      </c>
      <c r="D4844" t="s">
        <v>1038</v>
      </c>
      <c r="E4844" t="s">
        <v>290</v>
      </c>
      <c r="F4844" t="s">
        <v>948</v>
      </c>
      <c r="G4844">
        <v>1077777</v>
      </c>
      <c r="H4844">
        <v>501010</v>
      </c>
      <c r="I4844" t="s">
        <v>949</v>
      </c>
    </row>
    <row r="4845" spans="1:9" x14ac:dyDescent="0.25">
      <c r="A4845">
        <v>4220</v>
      </c>
      <c r="B4845">
        <v>10</v>
      </c>
      <c r="C4845" t="s">
        <v>946</v>
      </c>
      <c r="D4845" t="s">
        <v>1038</v>
      </c>
      <c r="E4845" t="s">
        <v>290</v>
      </c>
      <c r="F4845" t="s">
        <v>948</v>
      </c>
      <c r="G4845">
        <v>1077777</v>
      </c>
      <c r="H4845">
        <v>501010</v>
      </c>
      <c r="I4845" t="s">
        <v>949</v>
      </c>
    </row>
    <row r="4846" spans="1:9" x14ac:dyDescent="0.25">
      <c r="A4846">
        <v>4230</v>
      </c>
      <c r="B4846">
        <v>10</v>
      </c>
      <c r="C4846" t="s">
        <v>946</v>
      </c>
      <c r="D4846" t="s">
        <v>1038</v>
      </c>
      <c r="E4846" t="s">
        <v>290</v>
      </c>
      <c r="F4846" t="s">
        <v>948</v>
      </c>
      <c r="G4846">
        <v>1099999</v>
      </c>
      <c r="H4846">
        <v>401042</v>
      </c>
      <c r="I4846" t="s">
        <v>949</v>
      </c>
    </row>
    <row r="4847" spans="1:9" x14ac:dyDescent="0.25">
      <c r="A4847">
        <v>4240</v>
      </c>
      <c r="B4847">
        <v>10</v>
      </c>
      <c r="C4847" t="s">
        <v>946</v>
      </c>
      <c r="D4847" t="s">
        <v>1038</v>
      </c>
      <c r="E4847" t="s">
        <v>290</v>
      </c>
      <c r="F4847" t="s">
        <v>948</v>
      </c>
      <c r="G4847">
        <v>1000000</v>
      </c>
      <c r="H4847">
        <v>143000</v>
      </c>
      <c r="I4847" t="s">
        <v>978</v>
      </c>
    </row>
    <row r="4848" spans="1:9" x14ac:dyDescent="0.25">
      <c r="A4848">
        <v>4141</v>
      </c>
      <c r="B4848">
        <v>10</v>
      </c>
      <c r="C4848" t="s">
        <v>946</v>
      </c>
      <c r="D4848" t="s">
        <v>1038</v>
      </c>
      <c r="E4848" t="s">
        <v>294</v>
      </c>
      <c r="F4848" t="s">
        <v>948</v>
      </c>
      <c r="G4848">
        <v>1077777</v>
      </c>
      <c r="H4848">
        <v>501010</v>
      </c>
      <c r="I4848" t="s">
        <v>949</v>
      </c>
    </row>
    <row r="4849" spans="1:9" x14ac:dyDescent="0.25">
      <c r="A4849">
        <v>4220</v>
      </c>
      <c r="B4849">
        <v>10</v>
      </c>
      <c r="C4849" t="s">
        <v>946</v>
      </c>
      <c r="D4849" t="s">
        <v>1038</v>
      </c>
      <c r="E4849" t="s">
        <v>294</v>
      </c>
      <c r="F4849" t="s">
        <v>948</v>
      </c>
      <c r="G4849">
        <v>1077777</v>
      </c>
      <c r="H4849">
        <v>501010</v>
      </c>
      <c r="I4849" t="s">
        <v>949</v>
      </c>
    </row>
    <row r="4850" spans="1:9" x14ac:dyDescent="0.25">
      <c r="A4850">
        <v>4230</v>
      </c>
      <c r="B4850">
        <v>10</v>
      </c>
      <c r="C4850" t="s">
        <v>946</v>
      </c>
      <c r="D4850" t="s">
        <v>1038</v>
      </c>
      <c r="E4850" t="s">
        <v>294</v>
      </c>
      <c r="F4850" t="s">
        <v>948</v>
      </c>
      <c r="G4850">
        <v>1099999</v>
      </c>
      <c r="H4850">
        <v>401042</v>
      </c>
      <c r="I4850" t="s">
        <v>949</v>
      </c>
    </row>
    <row r="4851" spans="1:9" x14ac:dyDescent="0.25">
      <c r="A4851">
        <v>4240</v>
      </c>
      <c r="B4851">
        <v>10</v>
      </c>
      <c r="C4851" t="s">
        <v>946</v>
      </c>
      <c r="D4851" t="s">
        <v>1038</v>
      </c>
      <c r="E4851" t="s">
        <v>294</v>
      </c>
      <c r="F4851" t="s">
        <v>948</v>
      </c>
      <c r="G4851">
        <v>1000000</v>
      </c>
      <c r="H4851">
        <v>143000</v>
      </c>
      <c r="I4851" t="s">
        <v>979</v>
      </c>
    </row>
    <row r="4852" spans="1:9" x14ac:dyDescent="0.25">
      <c r="A4852">
        <v>4230</v>
      </c>
      <c r="B4852">
        <v>10</v>
      </c>
      <c r="C4852" t="s">
        <v>946</v>
      </c>
      <c r="D4852" t="s">
        <v>1038</v>
      </c>
      <c r="E4852" t="s">
        <v>298</v>
      </c>
      <c r="F4852" t="s">
        <v>948</v>
      </c>
      <c r="G4852">
        <v>1099999</v>
      </c>
      <c r="H4852">
        <v>402082</v>
      </c>
      <c r="I4852" t="s">
        <v>949</v>
      </c>
    </row>
    <row r="4853" spans="1:9" x14ac:dyDescent="0.25">
      <c r="A4853">
        <v>4141</v>
      </c>
      <c r="B4853">
        <v>10</v>
      </c>
      <c r="C4853" t="s">
        <v>946</v>
      </c>
      <c r="D4853" t="s">
        <v>1038</v>
      </c>
      <c r="E4853" t="s">
        <v>980</v>
      </c>
      <c r="F4853" t="s">
        <v>948</v>
      </c>
      <c r="G4853">
        <v>1077777</v>
      </c>
      <c r="H4853">
        <v>501010</v>
      </c>
      <c r="I4853" t="s">
        <v>949</v>
      </c>
    </row>
    <row r="4854" spans="1:9" x14ac:dyDescent="0.25">
      <c r="A4854">
        <v>4220</v>
      </c>
      <c r="B4854">
        <v>10</v>
      </c>
      <c r="C4854" t="s">
        <v>946</v>
      </c>
      <c r="D4854" t="s">
        <v>1038</v>
      </c>
      <c r="E4854" t="s">
        <v>980</v>
      </c>
      <c r="F4854" t="s">
        <v>948</v>
      </c>
      <c r="G4854">
        <v>1077777</v>
      </c>
      <c r="H4854">
        <v>501010</v>
      </c>
      <c r="I4854" t="s">
        <v>949</v>
      </c>
    </row>
    <row r="4855" spans="1:9" x14ac:dyDescent="0.25">
      <c r="A4855">
        <v>4230</v>
      </c>
      <c r="B4855">
        <v>10</v>
      </c>
      <c r="C4855" t="s">
        <v>946</v>
      </c>
      <c r="D4855" t="s">
        <v>1038</v>
      </c>
      <c r="E4855" t="s">
        <v>980</v>
      </c>
      <c r="F4855" t="s">
        <v>948</v>
      </c>
      <c r="G4855">
        <v>1099999</v>
      </c>
      <c r="H4855">
        <v>401912</v>
      </c>
      <c r="I4855" t="s">
        <v>949</v>
      </c>
    </row>
    <row r="4856" spans="1:9" x14ac:dyDescent="0.25">
      <c r="A4856">
        <v>4240</v>
      </c>
      <c r="B4856">
        <v>10</v>
      </c>
      <c r="C4856" t="s">
        <v>946</v>
      </c>
      <c r="D4856" t="s">
        <v>1038</v>
      </c>
      <c r="E4856" t="s">
        <v>980</v>
      </c>
      <c r="F4856" t="s">
        <v>948</v>
      </c>
      <c r="G4856">
        <v>1000000</v>
      </c>
      <c r="H4856">
        <v>141000</v>
      </c>
      <c r="I4856" t="s">
        <v>981</v>
      </c>
    </row>
    <row r="4857" spans="1:9" x14ac:dyDescent="0.25">
      <c r="A4857">
        <v>4141</v>
      </c>
      <c r="B4857">
        <v>10</v>
      </c>
      <c r="C4857" t="s">
        <v>946</v>
      </c>
      <c r="D4857" t="s">
        <v>1038</v>
      </c>
      <c r="E4857" t="s">
        <v>302</v>
      </c>
      <c r="F4857" t="s">
        <v>948</v>
      </c>
      <c r="G4857">
        <v>1077777</v>
      </c>
      <c r="H4857">
        <v>501010</v>
      </c>
      <c r="I4857" t="s">
        <v>949</v>
      </c>
    </row>
    <row r="4858" spans="1:9" x14ac:dyDescent="0.25">
      <c r="A4858">
        <v>4220</v>
      </c>
      <c r="B4858">
        <v>10</v>
      </c>
      <c r="C4858" t="s">
        <v>946</v>
      </c>
      <c r="D4858" t="s">
        <v>1038</v>
      </c>
      <c r="E4858" t="s">
        <v>302</v>
      </c>
      <c r="F4858" t="s">
        <v>948</v>
      </c>
      <c r="G4858">
        <v>1077777</v>
      </c>
      <c r="H4858">
        <v>501010</v>
      </c>
      <c r="I4858" t="s">
        <v>949</v>
      </c>
    </row>
    <row r="4859" spans="1:9" x14ac:dyDescent="0.25">
      <c r="A4859">
        <v>4230</v>
      </c>
      <c r="B4859">
        <v>10</v>
      </c>
      <c r="C4859" t="s">
        <v>946</v>
      </c>
      <c r="D4859" t="s">
        <v>1038</v>
      </c>
      <c r="E4859" t="s">
        <v>302</v>
      </c>
      <c r="F4859" t="s">
        <v>948</v>
      </c>
      <c r="G4859">
        <v>1099999</v>
      </c>
      <c r="H4859">
        <v>401902</v>
      </c>
      <c r="I4859" t="s">
        <v>949</v>
      </c>
    </row>
    <row r="4860" spans="1:9" x14ac:dyDescent="0.25">
      <c r="A4860">
        <v>4240</v>
      </c>
      <c r="B4860">
        <v>10</v>
      </c>
      <c r="C4860" t="s">
        <v>946</v>
      </c>
      <c r="D4860" t="s">
        <v>1038</v>
      </c>
      <c r="E4860" t="s">
        <v>302</v>
      </c>
      <c r="F4860" t="s">
        <v>948</v>
      </c>
      <c r="G4860">
        <v>1000000</v>
      </c>
      <c r="H4860">
        <v>143000</v>
      </c>
      <c r="I4860" t="s">
        <v>982</v>
      </c>
    </row>
    <row r="4861" spans="1:9" x14ac:dyDescent="0.25">
      <c r="A4861">
        <v>4141</v>
      </c>
      <c r="B4861">
        <v>10</v>
      </c>
      <c r="C4861" t="s">
        <v>946</v>
      </c>
      <c r="D4861" t="s">
        <v>1038</v>
      </c>
      <c r="E4861" t="s">
        <v>306</v>
      </c>
      <c r="F4861" t="s">
        <v>948</v>
      </c>
      <c r="G4861">
        <v>1077777</v>
      </c>
      <c r="H4861">
        <v>501010</v>
      </c>
      <c r="I4861" t="s">
        <v>949</v>
      </c>
    </row>
    <row r="4862" spans="1:9" x14ac:dyDescent="0.25">
      <c r="A4862">
        <v>4220</v>
      </c>
      <c r="B4862">
        <v>10</v>
      </c>
      <c r="C4862" t="s">
        <v>946</v>
      </c>
      <c r="D4862" t="s">
        <v>1038</v>
      </c>
      <c r="E4862" t="s">
        <v>306</v>
      </c>
      <c r="F4862" t="s">
        <v>948</v>
      </c>
      <c r="G4862">
        <v>1077777</v>
      </c>
      <c r="H4862">
        <v>501010</v>
      </c>
      <c r="I4862" t="s">
        <v>949</v>
      </c>
    </row>
    <row r="4863" spans="1:9" x14ac:dyDescent="0.25">
      <c r="A4863">
        <v>4230</v>
      </c>
      <c r="B4863">
        <v>10</v>
      </c>
      <c r="C4863" t="s">
        <v>946</v>
      </c>
      <c r="D4863" t="s">
        <v>1038</v>
      </c>
      <c r="E4863" t="s">
        <v>306</v>
      </c>
      <c r="F4863" t="s">
        <v>948</v>
      </c>
      <c r="G4863">
        <v>1099999</v>
      </c>
      <c r="H4863">
        <v>401042</v>
      </c>
      <c r="I4863" t="s">
        <v>949</v>
      </c>
    </row>
    <row r="4864" spans="1:9" x14ac:dyDescent="0.25">
      <c r="A4864">
        <v>4240</v>
      </c>
      <c r="B4864">
        <v>10</v>
      </c>
      <c r="C4864" t="s">
        <v>946</v>
      </c>
      <c r="D4864" t="s">
        <v>1038</v>
      </c>
      <c r="E4864" t="s">
        <v>306</v>
      </c>
      <c r="F4864" t="s">
        <v>948</v>
      </c>
      <c r="G4864">
        <v>1000000</v>
      </c>
      <c r="H4864">
        <v>143000</v>
      </c>
      <c r="I4864" t="s">
        <v>983</v>
      </c>
    </row>
    <row r="4865" spans="1:9" x14ac:dyDescent="0.25">
      <c r="A4865">
        <v>4141</v>
      </c>
      <c r="B4865">
        <v>10</v>
      </c>
      <c r="C4865" t="s">
        <v>946</v>
      </c>
      <c r="D4865" t="s">
        <v>1038</v>
      </c>
      <c r="E4865" t="s">
        <v>108</v>
      </c>
      <c r="F4865" t="s">
        <v>948</v>
      </c>
      <c r="G4865">
        <v>1077777</v>
      </c>
      <c r="H4865">
        <v>500220</v>
      </c>
      <c r="I4865" t="s">
        <v>949</v>
      </c>
    </row>
    <row r="4866" spans="1:9" x14ac:dyDescent="0.25">
      <c r="A4866">
        <v>4220</v>
      </c>
      <c r="B4866">
        <v>10</v>
      </c>
      <c r="C4866" t="s">
        <v>946</v>
      </c>
      <c r="D4866" t="s">
        <v>1038</v>
      </c>
      <c r="E4866" t="s">
        <v>108</v>
      </c>
      <c r="F4866" t="s">
        <v>948</v>
      </c>
      <c r="G4866">
        <v>1077777</v>
      </c>
      <c r="H4866">
        <v>500220</v>
      </c>
      <c r="I4866" t="s">
        <v>949</v>
      </c>
    </row>
    <row r="4867" spans="1:9" x14ac:dyDescent="0.25">
      <c r="A4867">
        <v>4230</v>
      </c>
      <c r="B4867">
        <v>10</v>
      </c>
      <c r="C4867" t="s">
        <v>946</v>
      </c>
      <c r="D4867" t="s">
        <v>1038</v>
      </c>
      <c r="E4867" t="s">
        <v>108</v>
      </c>
      <c r="F4867" t="s">
        <v>948</v>
      </c>
      <c r="G4867">
        <v>1099999</v>
      </c>
      <c r="H4867">
        <v>401042</v>
      </c>
      <c r="I4867" t="s">
        <v>949</v>
      </c>
    </row>
    <row r="4868" spans="1:9" x14ac:dyDescent="0.25">
      <c r="A4868">
        <v>4240</v>
      </c>
      <c r="B4868">
        <v>10</v>
      </c>
      <c r="C4868" t="s">
        <v>946</v>
      </c>
      <c r="D4868" t="s">
        <v>1038</v>
      </c>
      <c r="E4868" t="s">
        <v>108</v>
      </c>
      <c r="F4868" t="s">
        <v>948</v>
      </c>
      <c r="G4868">
        <v>1077777</v>
      </c>
      <c r="H4868">
        <v>500221</v>
      </c>
      <c r="I4868" t="s">
        <v>949</v>
      </c>
    </row>
    <row r="4869" spans="1:9" x14ac:dyDescent="0.25">
      <c r="A4869">
        <v>4141</v>
      </c>
      <c r="B4869">
        <v>10</v>
      </c>
      <c r="C4869" t="s">
        <v>946</v>
      </c>
      <c r="D4869" t="s">
        <v>1038</v>
      </c>
      <c r="E4869" t="s">
        <v>310</v>
      </c>
      <c r="F4869" t="s">
        <v>948</v>
      </c>
      <c r="G4869">
        <v>1077777</v>
      </c>
      <c r="H4869">
        <v>501010</v>
      </c>
      <c r="I4869" t="s">
        <v>949</v>
      </c>
    </row>
    <row r="4870" spans="1:9" x14ac:dyDescent="0.25">
      <c r="A4870">
        <v>4220</v>
      </c>
      <c r="B4870">
        <v>10</v>
      </c>
      <c r="C4870" t="s">
        <v>946</v>
      </c>
      <c r="D4870" t="s">
        <v>1038</v>
      </c>
      <c r="E4870" t="s">
        <v>310</v>
      </c>
      <c r="F4870" t="s">
        <v>948</v>
      </c>
      <c r="G4870">
        <v>1077777</v>
      </c>
      <c r="H4870">
        <v>501010</v>
      </c>
      <c r="I4870" t="s">
        <v>949</v>
      </c>
    </row>
    <row r="4871" spans="1:9" x14ac:dyDescent="0.25">
      <c r="A4871">
        <v>4230</v>
      </c>
      <c r="B4871">
        <v>10</v>
      </c>
      <c r="C4871" t="s">
        <v>946</v>
      </c>
      <c r="D4871" t="s">
        <v>1038</v>
      </c>
      <c r="E4871" t="s">
        <v>310</v>
      </c>
      <c r="F4871" t="s">
        <v>948</v>
      </c>
      <c r="G4871">
        <v>1099999</v>
      </c>
      <c r="H4871">
        <v>401012</v>
      </c>
      <c r="I4871" t="s">
        <v>949</v>
      </c>
    </row>
    <row r="4872" spans="1:9" x14ac:dyDescent="0.25">
      <c r="A4872">
        <v>4240</v>
      </c>
      <c r="B4872">
        <v>10</v>
      </c>
      <c r="C4872" t="s">
        <v>946</v>
      </c>
      <c r="D4872" t="s">
        <v>1038</v>
      </c>
      <c r="E4872" t="s">
        <v>310</v>
      </c>
      <c r="F4872" t="s">
        <v>948</v>
      </c>
      <c r="G4872">
        <v>1000000</v>
      </c>
      <c r="H4872">
        <v>145000</v>
      </c>
      <c r="I4872" t="s">
        <v>949</v>
      </c>
    </row>
    <row r="4873" spans="1:9" x14ac:dyDescent="0.25">
      <c r="A4873">
        <v>4141</v>
      </c>
      <c r="B4873">
        <v>10</v>
      </c>
      <c r="C4873" t="s">
        <v>946</v>
      </c>
      <c r="D4873" t="s">
        <v>1038</v>
      </c>
      <c r="E4873" t="s">
        <v>314</v>
      </c>
      <c r="F4873" t="s">
        <v>948</v>
      </c>
      <c r="G4873">
        <v>1077777</v>
      </c>
      <c r="H4873">
        <v>501010</v>
      </c>
      <c r="I4873" t="s">
        <v>949</v>
      </c>
    </row>
    <row r="4874" spans="1:9" x14ac:dyDescent="0.25">
      <c r="A4874">
        <v>4220</v>
      </c>
      <c r="B4874">
        <v>10</v>
      </c>
      <c r="C4874" t="s">
        <v>946</v>
      </c>
      <c r="D4874" t="s">
        <v>1038</v>
      </c>
      <c r="E4874" t="s">
        <v>314</v>
      </c>
      <c r="F4874" t="s">
        <v>948</v>
      </c>
      <c r="G4874">
        <v>1077777</v>
      </c>
      <c r="H4874">
        <v>501010</v>
      </c>
      <c r="I4874" t="s">
        <v>949</v>
      </c>
    </row>
    <row r="4875" spans="1:9" x14ac:dyDescent="0.25">
      <c r="A4875">
        <v>4230</v>
      </c>
      <c r="B4875">
        <v>10</v>
      </c>
      <c r="C4875" t="s">
        <v>946</v>
      </c>
      <c r="D4875" t="s">
        <v>1038</v>
      </c>
      <c r="E4875" t="s">
        <v>314</v>
      </c>
      <c r="F4875" t="s">
        <v>948</v>
      </c>
      <c r="G4875">
        <v>1099999</v>
      </c>
      <c r="H4875">
        <v>401062</v>
      </c>
      <c r="I4875" t="s">
        <v>949</v>
      </c>
    </row>
    <row r="4876" spans="1:9" x14ac:dyDescent="0.25">
      <c r="A4876">
        <v>4240</v>
      </c>
      <c r="B4876">
        <v>10</v>
      </c>
      <c r="C4876" t="s">
        <v>946</v>
      </c>
      <c r="D4876" t="s">
        <v>1038</v>
      </c>
      <c r="E4876" t="s">
        <v>314</v>
      </c>
      <c r="F4876" t="s">
        <v>948</v>
      </c>
      <c r="G4876">
        <v>1000000</v>
      </c>
      <c r="H4876">
        <v>145000</v>
      </c>
      <c r="I4876" t="s">
        <v>949</v>
      </c>
    </row>
    <row r="4877" spans="1:9" x14ac:dyDescent="0.25">
      <c r="A4877">
        <v>4141</v>
      </c>
      <c r="B4877">
        <v>10</v>
      </c>
      <c r="C4877" t="s">
        <v>946</v>
      </c>
      <c r="D4877" t="s">
        <v>1038</v>
      </c>
      <c r="E4877" t="s">
        <v>113</v>
      </c>
      <c r="F4877" t="s">
        <v>948</v>
      </c>
      <c r="G4877">
        <v>1077777</v>
      </c>
      <c r="H4877">
        <v>500220</v>
      </c>
      <c r="I4877" t="s">
        <v>949</v>
      </c>
    </row>
    <row r="4878" spans="1:9" x14ac:dyDescent="0.25">
      <c r="A4878">
        <v>4220</v>
      </c>
      <c r="B4878">
        <v>10</v>
      </c>
      <c r="C4878" t="s">
        <v>946</v>
      </c>
      <c r="D4878" t="s">
        <v>1038</v>
      </c>
      <c r="E4878" t="s">
        <v>113</v>
      </c>
      <c r="F4878" t="s">
        <v>948</v>
      </c>
      <c r="G4878">
        <v>1077777</v>
      </c>
      <c r="H4878">
        <v>500220</v>
      </c>
      <c r="I4878" t="s">
        <v>949</v>
      </c>
    </row>
    <row r="4879" spans="1:9" x14ac:dyDescent="0.25">
      <c r="A4879">
        <v>4230</v>
      </c>
      <c r="B4879">
        <v>10</v>
      </c>
      <c r="C4879" t="s">
        <v>946</v>
      </c>
      <c r="D4879" t="s">
        <v>1038</v>
      </c>
      <c r="E4879" t="s">
        <v>113</v>
      </c>
      <c r="F4879" t="s">
        <v>948</v>
      </c>
      <c r="G4879">
        <v>1099999</v>
      </c>
      <c r="H4879">
        <v>402082</v>
      </c>
      <c r="I4879" t="s">
        <v>949</v>
      </c>
    </row>
    <row r="4880" spans="1:9" x14ac:dyDescent="0.25">
      <c r="A4880">
        <v>4240</v>
      </c>
      <c r="B4880">
        <v>10</v>
      </c>
      <c r="C4880" t="s">
        <v>946</v>
      </c>
      <c r="D4880" t="s">
        <v>1038</v>
      </c>
      <c r="E4880" t="s">
        <v>113</v>
      </c>
      <c r="F4880" t="s">
        <v>948</v>
      </c>
      <c r="G4880">
        <v>1077777</v>
      </c>
      <c r="H4880">
        <v>500221</v>
      </c>
      <c r="I4880" t="s">
        <v>949</v>
      </c>
    </row>
    <row r="4881" spans="1:9" x14ac:dyDescent="0.25">
      <c r="A4881">
        <v>4141</v>
      </c>
      <c r="B4881">
        <v>10</v>
      </c>
      <c r="C4881" t="s">
        <v>946</v>
      </c>
      <c r="D4881" t="s">
        <v>1038</v>
      </c>
      <c r="E4881" t="s">
        <v>117</v>
      </c>
      <c r="F4881" t="s">
        <v>948</v>
      </c>
      <c r="G4881">
        <v>1077777</v>
      </c>
      <c r="H4881">
        <v>500220</v>
      </c>
      <c r="I4881" t="s">
        <v>949</v>
      </c>
    </row>
    <row r="4882" spans="1:9" x14ac:dyDescent="0.25">
      <c r="A4882">
        <v>4220</v>
      </c>
      <c r="B4882">
        <v>10</v>
      </c>
      <c r="C4882" t="s">
        <v>946</v>
      </c>
      <c r="D4882" t="s">
        <v>1038</v>
      </c>
      <c r="E4882" t="s">
        <v>117</v>
      </c>
      <c r="F4882" t="s">
        <v>948</v>
      </c>
      <c r="G4882">
        <v>1077777</v>
      </c>
      <c r="H4882">
        <v>500220</v>
      </c>
      <c r="I4882" t="s">
        <v>949</v>
      </c>
    </row>
    <row r="4883" spans="1:9" x14ac:dyDescent="0.25">
      <c r="A4883">
        <v>4230</v>
      </c>
      <c r="B4883">
        <v>10</v>
      </c>
      <c r="C4883" t="s">
        <v>946</v>
      </c>
      <c r="D4883" t="s">
        <v>1038</v>
      </c>
      <c r="E4883" t="s">
        <v>117</v>
      </c>
      <c r="F4883" t="s">
        <v>948</v>
      </c>
      <c r="G4883">
        <v>1088888</v>
      </c>
      <c r="H4883">
        <v>810600</v>
      </c>
      <c r="I4883" t="s">
        <v>949</v>
      </c>
    </row>
    <row r="4884" spans="1:9" x14ac:dyDescent="0.25">
      <c r="A4884">
        <v>4240</v>
      </c>
      <c r="B4884">
        <v>10</v>
      </c>
      <c r="C4884" t="s">
        <v>946</v>
      </c>
      <c r="D4884" t="s">
        <v>1038</v>
      </c>
      <c r="E4884" t="s">
        <v>117</v>
      </c>
      <c r="F4884" t="s">
        <v>948</v>
      </c>
      <c r="G4884">
        <v>1077777</v>
      </c>
      <c r="H4884">
        <v>500221</v>
      </c>
      <c r="I4884" t="s">
        <v>949</v>
      </c>
    </row>
    <row r="4885" spans="1:9" x14ac:dyDescent="0.25">
      <c r="A4885">
        <v>4141</v>
      </c>
      <c r="B4885">
        <v>10</v>
      </c>
      <c r="C4885" t="s">
        <v>946</v>
      </c>
      <c r="D4885" t="s">
        <v>1038</v>
      </c>
      <c r="E4885" t="s">
        <v>121</v>
      </c>
      <c r="F4885" t="s">
        <v>948</v>
      </c>
      <c r="G4885">
        <v>1077777</v>
      </c>
      <c r="H4885">
        <v>500220</v>
      </c>
      <c r="I4885" t="s">
        <v>949</v>
      </c>
    </row>
    <row r="4886" spans="1:9" x14ac:dyDescent="0.25">
      <c r="A4886">
        <v>4220</v>
      </c>
      <c r="B4886">
        <v>10</v>
      </c>
      <c r="C4886" t="s">
        <v>946</v>
      </c>
      <c r="D4886" t="s">
        <v>1038</v>
      </c>
      <c r="E4886" t="s">
        <v>121</v>
      </c>
      <c r="F4886" t="s">
        <v>948</v>
      </c>
      <c r="G4886">
        <v>1077777</v>
      </c>
      <c r="H4886">
        <v>500220</v>
      </c>
      <c r="I4886" t="s">
        <v>949</v>
      </c>
    </row>
    <row r="4887" spans="1:9" x14ac:dyDescent="0.25">
      <c r="A4887">
        <v>4230</v>
      </c>
      <c r="B4887">
        <v>10</v>
      </c>
      <c r="C4887" t="s">
        <v>946</v>
      </c>
      <c r="D4887" t="s">
        <v>1038</v>
      </c>
      <c r="E4887" t="s">
        <v>121</v>
      </c>
      <c r="F4887" t="s">
        <v>948</v>
      </c>
      <c r="G4887">
        <v>1099999</v>
      </c>
      <c r="H4887">
        <v>401042</v>
      </c>
      <c r="I4887" t="s">
        <v>949</v>
      </c>
    </row>
    <row r="4888" spans="1:9" x14ac:dyDescent="0.25">
      <c r="A4888">
        <v>4240</v>
      </c>
      <c r="B4888">
        <v>10</v>
      </c>
      <c r="C4888" t="s">
        <v>946</v>
      </c>
      <c r="D4888" t="s">
        <v>1038</v>
      </c>
      <c r="E4888" t="s">
        <v>121</v>
      </c>
      <c r="F4888" t="s">
        <v>948</v>
      </c>
      <c r="G4888">
        <v>1077777</v>
      </c>
      <c r="H4888">
        <v>500221</v>
      </c>
      <c r="I4888" t="s">
        <v>949</v>
      </c>
    </row>
    <row r="4889" spans="1:9" x14ac:dyDescent="0.25">
      <c r="A4889">
        <v>4141</v>
      </c>
      <c r="B4889">
        <v>10</v>
      </c>
      <c r="C4889" t="s">
        <v>946</v>
      </c>
      <c r="D4889" t="s">
        <v>1038</v>
      </c>
      <c r="E4889" t="s">
        <v>984</v>
      </c>
      <c r="F4889" t="s">
        <v>948</v>
      </c>
      <c r="G4889">
        <v>1077777</v>
      </c>
      <c r="H4889">
        <v>501010</v>
      </c>
      <c r="I4889" t="s">
        <v>949</v>
      </c>
    </row>
    <row r="4890" spans="1:9" x14ac:dyDescent="0.25">
      <c r="A4890">
        <v>4220</v>
      </c>
      <c r="B4890">
        <v>10</v>
      </c>
      <c r="C4890" t="s">
        <v>946</v>
      </c>
      <c r="D4890" t="s">
        <v>1038</v>
      </c>
      <c r="E4890" t="s">
        <v>984</v>
      </c>
      <c r="F4890" t="s">
        <v>948</v>
      </c>
      <c r="G4890">
        <v>1077777</v>
      </c>
      <c r="H4890">
        <v>501010</v>
      </c>
      <c r="I4890" t="s">
        <v>949</v>
      </c>
    </row>
    <row r="4891" spans="1:9" x14ac:dyDescent="0.25">
      <c r="A4891">
        <v>4230</v>
      </c>
      <c r="B4891">
        <v>10</v>
      </c>
      <c r="C4891" t="s">
        <v>946</v>
      </c>
      <c r="D4891" t="s">
        <v>1038</v>
      </c>
      <c r="E4891" t="s">
        <v>984</v>
      </c>
      <c r="F4891" t="s">
        <v>948</v>
      </c>
      <c r="G4891">
        <v>1099999</v>
      </c>
      <c r="H4891">
        <v>401912</v>
      </c>
      <c r="I4891" t="s">
        <v>949</v>
      </c>
    </row>
    <row r="4892" spans="1:9" x14ac:dyDescent="0.25">
      <c r="A4892">
        <v>4240</v>
      </c>
      <c r="B4892">
        <v>10</v>
      </c>
      <c r="C4892" t="s">
        <v>946</v>
      </c>
      <c r="D4892" t="s">
        <v>1038</v>
      </c>
      <c r="E4892" t="s">
        <v>984</v>
      </c>
      <c r="F4892" t="s">
        <v>948</v>
      </c>
      <c r="G4892">
        <v>1000000</v>
      </c>
      <c r="H4892">
        <v>141000</v>
      </c>
      <c r="I4892" t="s">
        <v>985</v>
      </c>
    </row>
    <row r="4893" spans="1:9" x14ac:dyDescent="0.25">
      <c r="A4893">
        <v>4141</v>
      </c>
      <c r="B4893">
        <v>10</v>
      </c>
      <c r="C4893" t="s">
        <v>946</v>
      </c>
      <c r="D4893" t="s">
        <v>144</v>
      </c>
      <c r="E4893" t="s">
        <v>49</v>
      </c>
      <c r="F4893" t="s">
        <v>948</v>
      </c>
      <c r="G4893">
        <v>1000000</v>
      </c>
      <c r="H4893">
        <v>145200</v>
      </c>
      <c r="I4893" t="s">
        <v>949</v>
      </c>
    </row>
    <row r="4894" spans="1:9" x14ac:dyDescent="0.25">
      <c r="A4894">
        <v>4220</v>
      </c>
      <c r="B4894">
        <v>10</v>
      </c>
      <c r="C4894" t="s">
        <v>946</v>
      </c>
      <c r="D4894" t="s">
        <v>144</v>
      </c>
      <c r="E4894" t="s">
        <v>49</v>
      </c>
      <c r="F4894" t="s">
        <v>948</v>
      </c>
      <c r="G4894">
        <v>1000000</v>
      </c>
      <c r="H4894">
        <v>145200</v>
      </c>
      <c r="I4894" t="s">
        <v>949</v>
      </c>
    </row>
    <row r="4895" spans="1:9" x14ac:dyDescent="0.25">
      <c r="A4895">
        <v>4230</v>
      </c>
      <c r="B4895">
        <v>10</v>
      </c>
      <c r="C4895" t="s">
        <v>946</v>
      </c>
      <c r="D4895" t="s">
        <v>144</v>
      </c>
      <c r="E4895" t="s">
        <v>49</v>
      </c>
      <c r="F4895" t="s">
        <v>948</v>
      </c>
      <c r="G4895">
        <v>1077777</v>
      </c>
      <c r="H4895">
        <v>500220</v>
      </c>
      <c r="I4895" t="s">
        <v>949</v>
      </c>
    </row>
    <row r="4896" ht="22" customHeight="1" spans="1:10" x14ac:dyDescent="0.25">
      <c r="A4896" s="45">
        <v>4245</v>
      </c>
      <c r="B4896" s="45">
        <v>10</v>
      </c>
      <c r="C4896" s="45" t="s">
        <v>946</v>
      </c>
      <c r="D4896" s="45" t="s">
        <v>144</v>
      </c>
      <c r="E4896" s="45" t="s">
        <v>49</v>
      </c>
      <c r="F4896" s="45" t="s">
        <v>948</v>
      </c>
      <c r="G4896" s="45">
        <v>1077777</v>
      </c>
      <c r="H4896" s="45">
        <v>500221</v>
      </c>
      <c r="I4896" s="45" t="s">
        <v>949</v>
      </c>
      <c r="J4896" s="46" t="s">
        <v>1039</v>
      </c>
    </row>
    <row r="4897" spans="1:9" x14ac:dyDescent="0.25">
      <c r="A4897">
        <v>4240</v>
      </c>
      <c r="B4897">
        <v>10</v>
      </c>
      <c r="C4897" t="s">
        <v>946</v>
      </c>
      <c r="D4897" t="s">
        <v>144</v>
      </c>
      <c r="E4897" t="s">
        <v>243</v>
      </c>
      <c r="F4897" t="s">
        <v>948</v>
      </c>
      <c r="G4897">
        <v>1000000</v>
      </c>
      <c r="H4897">
        <v>145000</v>
      </c>
      <c r="I4897" t="s">
        <v>949</v>
      </c>
    </row>
    <row r="4898" spans="1:9" x14ac:dyDescent="0.25">
      <c r="A4898">
        <v>4240</v>
      </c>
      <c r="B4898">
        <v>10</v>
      </c>
      <c r="C4898" t="s">
        <v>946</v>
      </c>
      <c r="D4898" t="s">
        <v>144</v>
      </c>
      <c r="E4898" t="s">
        <v>247</v>
      </c>
      <c r="F4898" t="s">
        <v>948</v>
      </c>
      <c r="G4898">
        <v>1000000</v>
      </c>
      <c r="H4898">
        <v>145000</v>
      </c>
      <c r="I4898" t="s">
        <v>949</v>
      </c>
    </row>
    <row r="4899" spans="1:9" x14ac:dyDescent="0.25">
      <c r="A4899">
        <v>4240</v>
      </c>
      <c r="B4899">
        <v>10</v>
      </c>
      <c r="C4899" t="s">
        <v>946</v>
      </c>
      <c r="D4899" t="s">
        <v>144</v>
      </c>
      <c r="E4899" t="s">
        <v>251</v>
      </c>
      <c r="F4899" t="s">
        <v>948</v>
      </c>
      <c r="G4899">
        <v>1000000</v>
      </c>
      <c r="H4899">
        <v>142000</v>
      </c>
      <c r="I4899" t="s">
        <v>949</v>
      </c>
    </row>
    <row r="4900" spans="1:9" x14ac:dyDescent="0.25">
      <c r="A4900">
        <v>4240</v>
      </c>
      <c r="B4900">
        <v>10</v>
      </c>
      <c r="C4900" t="s">
        <v>946</v>
      </c>
      <c r="D4900" t="s">
        <v>144</v>
      </c>
      <c r="E4900" t="s">
        <v>969</v>
      </c>
      <c r="F4900" t="s">
        <v>948</v>
      </c>
      <c r="G4900">
        <v>1000000</v>
      </c>
      <c r="H4900">
        <v>141000</v>
      </c>
      <c r="I4900" t="s">
        <v>970</v>
      </c>
    </row>
    <row r="4901" spans="1:9" x14ac:dyDescent="0.25">
      <c r="A4901">
        <v>4240</v>
      </c>
      <c r="B4901">
        <v>10</v>
      </c>
      <c r="C4901" t="s">
        <v>946</v>
      </c>
      <c r="D4901" t="s">
        <v>144</v>
      </c>
      <c r="E4901" t="s">
        <v>255</v>
      </c>
      <c r="F4901" t="s">
        <v>948</v>
      </c>
      <c r="G4901">
        <v>1000000</v>
      </c>
      <c r="H4901">
        <v>145000</v>
      </c>
      <c r="I4901" t="s">
        <v>949</v>
      </c>
    </row>
    <row r="4902" spans="1:9" x14ac:dyDescent="0.25">
      <c r="A4902">
        <v>4240</v>
      </c>
      <c r="B4902">
        <v>10</v>
      </c>
      <c r="C4902" t="s">
        <v>946</v>
      </c>
      <c r="D4902" t="s">
        <v>144</v>
      </c>
      <c r="E4902" t="s">
        <v>971</v>
      </c>
      <c r="F4902" t="s">
        <v>948</v>
      </c>
      <c r="G4902">
        <v>1000000</v>
      </c>
      <c r="H4902">
        <v>141000</v>
      </c>
      <c r="I4902" t="s">
        <v>972</v>
      </c>
    </row>
    <row r="4903" spans="1:9" x14ac:dyDescent="0.25">
      <c r="A4903">
        <v>4240</v>
      </c>
      <c r="B4903">
        <v>10</v>
      </c>
      <c r="C4903" t="s">
        <v>946</v>
      </c>
      <c r="D4903" t="s">
        <v>144</v>
      </c>
      <c r="E4903" t="s">
        <v>263</v>
      </c>
      <c r="F4903" t="s">
        <v>948</v>
      </c>
      <c r="G4903">
        <v>1000000</v>
      </c>
      <c r="H4903">
        <v>145000</v>
      </c>
      <c r="I4903" t="s">
        <v>949</v>
      </c>
    </row>
    <row r="4904" spans="1:9" x14ac:dyDescent="0.25">
      <c r="A4904">
        <v>4141</v>
      </c>
      <c r="B4904">
        <v>10</v>
      </c>
      <c r="C4904" t="s">
        <v>946</v>
      </c>
      <c r="D4904" t="s">
        <v>144</v>
      </c>
      <c r="E4904" t="s">
        <v>100</v>
      </c>
      <c r="F4904" t="s">
        <v>948</v>
      </c>
      <c r="G4904">
        <v>1077777</v>
      </c>
      <c r="H4904">
        <v>500220</v>
      </c>
      <c r="I4904" t="s">
        <v>949</v>
      </c>
    </row>
    <row r="4905" spans="1:9" x14ac:dyDescent="0.25">
      <c r="A4905">
        <v>4220</v>
      </c>
      <c r="B4905">
        <v>10</v>
      </c>
      <c r="C4905" t="s">
        <v>946</v>
      </c>
      <c r="D4905" t="s">
        <v>144</v>
      </c>
      <c r="E4905" t="s">
        <v>100</v>
      </c>
      <c r="F4905" t="s">
        <v>948</v>
      </c>
      <c r="G4905">
        <v>1077777</v>
      </c>
      <c r="H4905">
        <v>500220</v>
      </c>
      <c r="I4905" t="s">
        <v>949</v>
      </c>
    </row>
    <row r="4906" spans="1:9" x14ac:dyDescent="0.25">
      <c r="A4906">
        <v>4240</v>
      </c>
      <c r="B4906">
        <v>10</v>
      </c>
      <c r="C4906" t="s">
        <v>946</v>
      </c>
      <c r="D4906" t="s">
        <v>144</v>
      </c>
      <c r="E4906" t="s">
        <v>100</v>
      </c>
      <c r="F4906" t="s">
        <v>948</v>
      </c>
      <c r="G4906">
        <v>1077777</v>
      </c>
      <c r="H4906">
        <v>500221</v>
      </c>
      <c r="I4906" t="s">
        <v>949</v>
      </c>
    </row>
    <row r="4907" spans="1:9" x14ac:dyDescent="0.25">
      <c r="A4907">
        <v>4240</v>
      </c>
      <c r="B4907">
        <v>10</v>
      </c>
      <c r="C4907" t="s">
        <v>946</v>
      </c>
      <c r="D4907" t="s">
        <v>144</v>
      </c>
      <c r="E4907" t="s">
        <v>270</v>
      </c>
      <c r="F4907" t="s">
        <v>948</v>
      </c>
      <c r="G4907">
        <v>1000000</v>
      </c>
      <c r="H4907">
        <v>145000</v>
      </c>
      <c r="I4907" t="s">
        <v>949</v>
      </c>
    </row>
    <row r="4908" spans="1:9" x14ac:dyDescent="0.25">
      <c r="A4908">
        <v>4240</v>
      </c>
      <c r="B4908">
        <v>10</v>
      </c>
      <c r="C4908" t="s">
        <v>946</v>
      </c>
      <c r="D4908" t="s">
        <v>144</v>
      </c>
      <c r="E4908" t="s">
        <v>274</v>
      </c>
      <c r="F4908" t="s">
        <v>948</v>
      </c>
      <c r="G4908">
        <v>1000000</v>
      </c>
      <c r="H4908">
        <v>143000</v>
      </c>
      <c r="I4908" t="s">
        <v>973</v>
      </c>
    </row>
    <row r="4909" spans="1:9" x14ac:dyDescent="0.25">
      <c r="A4909">
        <v>4240</v>
      </c>
      <c r="B4909">
        <v>10</v>
      </c>
      <c r="C4909" t="s">
        <v>946</v>
      </c>
      <c r="D4909" t="s">
        <v>144</v>
      </c>
      <c r="E4909" t="s">
        <v>974</v>
      </c>
      <c r="F4909" t="s">
        <v>948</v>
      </c>
      <c r="G4909">
        <v>1000000</v>
      </c>
      <c r="H4909">
        <v>141000</v>
      </c>
      <c r="I4909" t="s">
        <v>975</v>
      </c>
    </row>
    <row r="4910" spans="1:9" x14ac:dyDescent="0.25">
      <c r="A4910">
        <v>4141</v>
      </c>
      <c r="B4910">
        <v>10</v>
      </c>
      <c r="C4910" t="s">
        <v>946</v>
      </c>
      <c r="D4910" t="s">
        <v>144</v>
      </c>
      <c r="E4910" t="s">
        <v>104</v>
      </c>
      <c r="F4910" t="s">
        <v>948</v>
      </c>
      <c r="G4910">
        <v>1077777</v>
      </c>
      <c r="H4910">
        <v>500220</v>
      </c>
      <c r="I4910" t="s">
        <v>949</v>
      </c>
    </row>
    <row r="4911" spans="1:9" x14ac:dyDescent="0.25">
      <c r="A4911">
        <v>4220</v>
      </c>
      <c r="B4911">
        <v>10</v>
      </c>
      <c r="C4911" t="s">
        <v>946</v>
      </c>
      <c r="D4911" t="s">
        <v>144</v>
      </c>
      <c r="E4911" t="s">
        <v>104</v>
      </c>
      <c r="F4911" t="s">
        <v>948</v>
      </c>
      <c r="G4911">
        <v>1077777</v>
      </c>
      <c r="H4911">
        <v>500220</v>
      </c>
      <c r="I4911" t="s">
        <v>949</v>
      </c>
    </row>
    <row r="4912" spans="1:9" x14ac:dyDescent="0.25">
      <c r="A4912">
        <v>4240</v>
      </c>
      <c r="B4912">
        <v>10</v>
      </c>
      <c r="C4912" t="s">
        <v>946</v>
      </c>
      <c r="D4912" t="s">
        <v>144</v>
      </c>
      <c r="E4912" t="s">
        <v>104</v>
      </c>
      <c r="F4912" t="s">
        <v>948</v>
      </c>
      <c r="G4912">
        <v>1077777</v>
      </c>
      <c r="H4912">
        <v>500221</v>
      </c>
      <c r="I4912" t="s">
        <v>949</v>
      </c>
    </row>
    <row r="4913" spans="1:9" x14ac:dyDescent="0.25">
      <c r="A4913">
        <v>4240</v>
      </c>
      <c r="B4913">
        <v>10</v>
      </c>
      <c r="C4913" t="s">
        <v>946</v>
      </c>
      <c r="D4913" t="s">
        <v>144</v>
      </c>
      <c r="E4913" t="s">
        <v>278</v>
      </c>
      <c r="F4913" t="s">
        <v>948</v>
      </c>
      <c r="G4913">
        <v>1000000</v>
      </c>
      <c r="H4913">
        <v>145000</v>
      </c>
      <c r="I4913" t="s">
        <v>949</v>
      </c>
    </row>
    <row r="4914" spans="1:9" x14ac:dyDescent="0.25">
      <c r="A4914">
        <v>4240</v>
      </c>
      <c r="B4914">
        <v>10</v>
      </c>
      <c r="C4914" t="s">
        <v>946</v>
      </c>
      <c r="D4914" t="s">
        <v>144</v>
      </c>
      <c r="E4914" t="s">
        <v>282</v>
      </c>
      <c r="F4914" t="s">
        <v>948</v>
      </c>
      <c r="G4914">
        <v>1000000</v>
      </c>
      <c r="H4914">
        <v>143100</v>
      </c>
      <c r="I4914" t="s">
        <v>949</v>
      </c>
    </row>
    <row r="4915" spans="1:9" x14ac:dyDescent="0.25">
      <c r="A4915">
        <v>4240</v>
      </c>
      <c r="B4915">
        <v>10</v>
      </c>
      <c r="C4915" t="s">
        <v>946</v>
      </c>
      <c r="D4915" t="s">
        <v>144</v>
      </c>
      <c r="E4915" t="s">
        <v>286</v>
      </c>
      <c r="F4915" t="s">
        <v>948</v>
      </c>
      <c r="G4915">
        <v>1000000</v>
      </c>
      <c r="H4915">
        <v>145000</v>
      </c>
      <c r="I4915" t="s">
        <v>949</v>
      </c>
    </row>
    <row r="4916" spans="1:9" x14ac:dyDescent="0.25">
      <c r="A4916">
        <v>4240</v>
      </c>
      <c r="B4916">
        <v>10</v>
      </c>
      <c r="C4916" t="s">
        <v>946</v>
      </c>
      <c r="D4916" t="s">
        <v>144</v>
      </c>
      <c r="E4916" t="s">
        <v>976</v>
      </c>
      <c r="F4916" t="s">
        <v>948</v>
      </c>
      <c r="G4916">
        <v>1000000</v>
      </c>
      <c r="H4916">
        <v>141000</v>
      </c>
      <c r="I4916" t="s">
        <v>977</v>
      </c>
    </row>
    <row r="4917" spans="1:9" x14ac:dyDescent="0.25">
      <c r="A4917">
        <v>4240</v>
      </c>
      <c r="B4917">
        <v>10</v>
      </c>
      <c r="C4917" t="s">
        <v>946</v>
      </c>
      <c r="D4917" t="s">
        <v>144</v>
      </c>
      <c r="E4917" t="s">
        <v>290</v>
      </c>
      <c r="F4917" t="s">
        <v>948</v>
      </c>
      <c r="G4917">
        <v>1000000</v>
      </c>
      <c r="H4917">
        <v>143000</v>
      </c>
      <c r="I4917" t="s">
        <v>978</v>
      </c>
    </row>
    <row r="4918" spans="1:9" x14ac:dyDescent="0.25">
      <c r="A4918">
        <v>4240</v>
      </c>
      <c r="B4918">
        <v>10</v>
      </c>
      <c r="C4918" t="s">
        <v>946</v>
      </c>
      <c r="D4918" t="s">
        <v>144</v>
      </c>
      <c r="E4918" t="s">
        <v>294</v>
      </c>
      <c r="F4918" t="s">
        <v>948</v>
      </c>
      <c r="G4918">
        <v>1000000</v>
      </c>
      <c r="H4918">
        <v>143000</v>
      </c>
      <c r="I4918" t="s">
        <v>979</v>
      </c>
    </row>
    <row r="4919" spans="1:9" x14ac:dyDescent="0.25">
      <c r="A4919">
        <v>4240</v>
      </c>
      <c r="B4919">
        <v>10</v>
      </c>
      <c r="C4919" t="s">
        <v>946</v>
      </c>
      <c r="D4919" t="s">
        <v>144</v>
      </c>
      <c r="E4919" t="s">
        <v>980</v>
      </c>
      <c r="F4919" t="s">
        <v>948</v>
      </c>
      <c r="G4919">
        <v>1000000</v>
      </c>
      <c r="H4919">
        <v>141000</v>
      </c>
      <c r="I4919" t="s">
        <v>981</v>
      </c>
    </row>
    <row r="4920" spans="1:9" x14ac:dyDescent="0.25">
      <c r="A4920">
        <v>4240</v>
      </c>
      <c r="B4920">
        <v>10</v>
      </c>
      <c r="C4920" t="s">
        <v>946</v>
      </c>
      <c r="D4920" t="s">
        <v>144</v>
      </c>
      <c r="E4920" t="s">
        <v>302</v>
      </c>
      <c r="F4920" t="s">
        <v>948</v>
      </c>
      <c r="G4920">
        <v>1000000</v>
      </c>
      <c r="H4920">
        <v>143000</v>
      </c>
      <c r="I4920" t="s">
        <v>982</v>
      </c>
    </row>
    <row r="4921" spans="1:9" x14ac:dyDescent="0.25">
      <c r="A4921">
        <v>4240</v>
      </c>
      <c r="B4921">
        <v>10</v>
      </c>
      <c r="C4921" t="s">
        <v>946</v>
      </c>
      <c r="D4921" t="s">
        <v>144</v>
      </c>
      <c r="E4921" t="s">
        <v>306</v>
      </c>
      <c r="F4921" t="s">
        <v>948</v>
      </c>
      <c r="G4921">
        <v>1000000</v>
      </c>
      <c r="H4921">
        <v>143000</v>
      </c>
      <c r="I4921" t="s">
        <v>983</v>
      </c>
    </row>
    <row r="4922" ht="22" customHeight="1" spans="1:10" x14ac:dyDescent="0.25">
      <c r="A4922" s="43">
        <v>4141</v>
      </c>
      <c r="B4922" s="43">
        <v>10</v>
      </c>
      <c r="C4922" s="43" t="s">
        <v>946</v>
      </c>
      <c r="D4922" s="43" t="s">
        <v>144</v>
      </c>
      <c r="E4922" s="43" t="s">
        <v>108</v>
      </c>
      <c r="F4922" s="43" t="s">
        <v>948</v>
      </c>
      <c r="G4922" s="43">
        <v>1000000</v>
      </c>
      <c r="H4922" s="43">
        <v>145200</v>
      </c>
      <c r="I4922" s="43" t="s">
        <v>949</v>
      </c>
      <c r="J4922" s="44" t="s">
        <v>1000</v>
      </c>
    </row>
    <row r="4923" spans="1:9" x14ac:dyDescent="0.25">
      <c r="A4923">
        <v>4220</v>
      </c>
      <c r="B4923">
        <v>10</v>
      </c>
      <c r="C4923" t="s">
        <v>946</v>
      </c>
      <c r="D4923" t="s">
        <v>144</v>
      </c>
      <c r="E4923" t="s">
        <v>108</v>
      </c>
      <c r="F4923" t="s">
        <v>948</v>
      </c>
      <c r="G4923">
        <v>1077777</v>
      </c>
      <c r="H4923">
        <v>500220</v>
      </c>
      <c r="I4923" t="s">
        <v>949</v>
      </c>
    </row>
    <row r="4924" spans="1:9" x14ac:dyDescent="0.25">
      <c r="A4924">
        <v>4240</v>
      </c>
      <c r="B4924">
        <v>10</v>
      </c>
      <c r="C4924" t="s">
        <v>946</v>
      </c>
      <c r="D4924" t="s">
        <v>144</v>
      </c>
      <c r="E4924" t="s">
        <v>108</v>
      </c>
      <c r="F4924" t="s">
        <v>948</v>
      </c>
      <c r="G4924">
        <v>1077777</v>
      </c>
      <c r="H4924">
        <v>500221</v>
      </c>
      <c r="I4924" t="s">
        <v>949</v>
      </c>
    </row>
    <row r="4925" spans="1:9" x14ac:dyDescent="0.25">
      <c r="A4925">
        <v>4240</v>
      </c>
      <c r="B4925">
        <v>10</v>
      </c>
      <c r="C4925" t="s">
        <v>946</v>
      </c>
      <c r="D4925" t="s">
        <v>144</v>
      </c>
      <c r="E4925" t="s">
        <v>310</v>
      </c>
      <c r="F4925" t="s">
        <v>948</v>
      </c>
      <c r="G4925">
        <v>1000000</v>
      </c>
      <c r="H4925">
        <v>145000</v>
      </c>
      <c r="I4925" t="s">
        <v>949</v>
      </c>
    </row>
    <row r="4926" spans="1:9" x14ac:dyDescent="0.25">
      <c r="A4926">
        <v>4240</v>
      </c>
      <c r="B4926">
        <v>10</v>
      </c>
      <c r="C4926" t="s">
        <v>946</v>
      </c>
      <c r="D4926" t="s">
        <v>144</v>
      </c>
      <c r="E4926" t="s">
        <v>314</v>
      </c>
      <c r="F4926" t="s">
        <v>948</v>
      </c>
      <c r="G4926">
        <v>1000000</v>
      </c>
      <c r="H4926">
        <v>145000</v>
      </c>
      <c r="I4926" t="s">
        <v>949</v>
      </c>
    </row>
    <row r="4927" spans="1:9" x14ac:dyDescent="0.25">
      <c r="A4927">
        <v>4141</v>
      </c>
      <c r="B4927">
        <v>10</v>
      </c>
      <c r="C4927" t="s">
        <v>946</v>
      </c>
      <c r="D4927" t="s">
        <v>144</v>
      </c>
      <c r="E4927" t="s">
        <v>113</v>
      </c>
      <c r="F4927" t="s">
        <v>948</v>
      </c>
      <c r="G4927">
        <v>1077777</v>
      </c>
      <c r="H4927">
        <v>500220</v>
      </c>
      <c r="I4927" t="s">
        <v>949</v>
      </c>
    </row>
    <row r="4928" spans="1:9" x14ac:dyDescent="0.25">
      <c r="A4928">
        <v>4220</v>
      </c>
      <c r="B4928">
        <v>10</v>
      </c>
      <c r="C4928" t="s">
        <v>946</v>
      </c>
      <c r="D4928" t="s">
        <v>144</v>
      </c>
      <c r="E4928" t="s">
        <v>113</v>
      </c>
      <c r="F4928" t="s">
        <v>948</v>
      </c>
      <c r="G4928">
        <v>1077777</v>
      </c>
      <c r="H4928">
        <v>500220</v>
      </c>
      <c r="I4928" t="s">
        <v>949</v>
      </c>
    </row>
    <row r="4929" spans="1:9" x14ac:dyDescent="0.25">
      <c r="A4929">
        <v>4240</v>
      </c>
      <c r="B4929">
        <v>10</v>
      </c>
      <c r="C4929" t="s">
        <v>946</v>
      </c>
      <c r="D4929" t="s">
        <v>144</v>
      </c>
      <c r="E4929" t="s">
        <v>113</v>
      </c>
      <c r="F4929" t="s">
        <v>948</v>
      </c>
      <c r="G4929">
        <v>1077777</v>
      </c>
      <c r="H4929">
        <v>500221</v>
      </c>
      <c r="I4929" t="s">
        <v>949</v>
      </c>
    </row>
    <row r="4930" spans="1:9" x14ac:dyDescent="0.25">
      <c r="A4930">
        <v>4141</v>
      </c>
      <c r="B4930">
        <v>10</v>
      </c>
      <c r="C4930" t="s">
        <v>946</v>
      </c>
      <c r="D4930" t="s">
        <v>144</v>
      </c>
      <c r="E4930" t="s">
        <v>117</v>
      </c>
      <c r="F4930" t="s">
        <v>948</v>
      </c>
      <c r="G4930">
        <v>1077777</v>
      </c>
      <c r="H4930">
        <v>500220</v>
      </c>
      <c r="I4930" t="s">
        <v>949</v>
      </c>
    </row>
    <row r="4931" spans="1:9" x14ac:dyDescent="0.25">
      <c r="A4931">
        <v>4220</v>
      </c>
      <c r="B4931">
        <v>10</v>
      </c>
      <c r="C4931" t="s">
        <v>946</v>
      </c>
      <c r="D4931" t="s">
        <v>144</v>
      </c>
      <c r="E4931" t="s">
        <v>117</v>
      </c>
      <c r="F4931" t="s">
        <v>948</v>
      </c>
      <c r="G4931">
        <v>1077777</v>
      </c>
      <c r="H4931">
        <v>500220</v>
      </c>
      <c r="I4931" t="s">
        <v>949</v>
      </c>
    </row>
    <row r="4932" spans="1:9" x14ac:dyDescent="0.25">
      <c r="A4932">
        <v>4240</v>
      </c>
      <c r="B4932">
        <v>10</v>
      </c>
      <c r="C4932" t="s">
        <v>946</v>
      </c>
      <c r="D4932" t="s">
        <v>144</v>
      </c>
      <c r="E4932" t="s">
        <v>117</v>
      </c>
      <c r="F4932" t="s">
        <v>948</v>
      </c>
      <c r="G4932">
        <v>1077777</v>
      </c>
      <c r="H4932">
        <v>500221</v>
      </c>
      <c r="I4932" t="s">
        <v>949</v>
      </c>
    </row>
    <row r="4933" spans="1:9" x14ac:dyDescent="0.25">
      <c r="A4933">
        <v>4141</v>
      </c>
      <c r="B4933">
        <v>10</v>
      </c>
      <c r="C4933" t="s">
        <v>946</v>
      </c>
      <c r="D4933" t="s">
        <v>144</v>
      </c>
      <c r="E4933" t="s">
        <v>121</v>
      </c>
      <c r="F4933" t="s">
        <v>948</v>
      </c>
      <c r="G4933">
        <v>1077777</v>
      </c>
      <c r="H4933">
        <v>500220</v>
      </c>
      <c r="I4933" t="s">
        <v>949</v>
      </c>
    </row>
    <row r="4934" spans="1:9" x14ac:dyDescent="0.25">
      <c r="A4934">
        <v>4220</v>
      </c>
      <c r="B4934">
        <v>10</v>
      </c>
      <c r="C4934" t="s">
        <v>946</v>
      </c>
      <c r="D4934" t="s">
        <v>144</v>
      </c>
      <c r="E4934" t="s">
        <v>121</v>
      </c>
      <c r="F4934" t="s">
        <v>948</v>
      </c>
      <c r="G4934">
        <v>1077777</v>
      </c>
      <c r="H4934">
        <v>500220</v>
      </c>
      <c r="I4934" t="s">
        <v>949</v>
      </c>
    </row>
    <row r="4935" spans="1:9" x14ac:dyDescent="0.25">
      <c r="A4935">
        <v>4240</v>
      </c>
      <c r="B4935">
        <v>10</v>
      </c>
      <c r="C4935" t="s">
        <v>946</v>
      </c>
      <c r="D4935" t="s">
        <v>144</v>
      </c>
      <c r="E4935" t="s">
        <v>121</v>
      </c>
      <c r="F4935" t="s">
        <v>948</v>
      </c>
      <c r="G4935">
        <v>1077777</v>
      </c>
      <c r="H4935">
        <v>500221</v>
      </c>
      <c r="I4935" t="s">
        <v>949</v>
      </c>
    </row>
    <row r="4936" spans="1:9" x14ac:dyDescent="0.25">
      <c r="A4936">
        <v>4240</v>
      </c>
      <c r="B4936">
        <v>10</v>
      </c>
      <c r="C4936" t="s">
        <v>946</v>
      </c>
      <c r="D4936" t="s">
        <v>144</v>
      </c>
      <c r="E4936" t="s">
        <v>984</v>
      </c>
      <c r="F4936" t="s">
        <v>948</v>
      </c>
      <c r="G4936">
        <v>1000000</v>
      </c>
      <c r="H4936">
        <v>141000</v>
      </c>
      <c r="I4936" t="s">
        <v>985</v>
      </c>
    </row>
    <row r="4937" spans="1:9" x14ac:dyDescent="0.25">
      <c r="A4937">
        <v>4124</v>
      </c>
      <c r="B4937">
        <v>10</v>
      </c>
      <c r="C4937" t="s">
        <v>946</v>
      </c>
      <c r="D4937" t="s">
        <v>1040</v>
      </c>
      <c r="E4937" t="s">
        <v>49</v>
      </c>
      <c r="F4937" t="s">
        <v>948</v>
      </c>
      <c r="G4937">
        <v>1077777</v>
      </c>
      <c r="H4937">
        <v>500465</v>
      </c>
      <c r="I4937" t="s">
        <v>949</v>
      </c>
    </row>
    <row r="4938" spans="1:9" x14ac:dyDescent="0.25">
      <c r="A4938">
        <v>4141</v>
      </c>
      <c r="B4938">
        <v>10</v>
      </c>
      <c r="C4938" t="s">
        <v>946</v>
      </c>
      <c r="D4938" t="s">
        <v>1040</v>
      </c>
      <c r="E4938" t="s">
        <v>49</v>
      </c>
      <c r="F4938" t="s">
        <v>948</v>
      </c>
      <c r="G4938">
        <v>1077777</v>
      </c>
      <c r="H4938">
        <v>500460</v>
      </c>
      <c r="I4938" t="s">
        <v>949</v>
      </c>
    </row>
    <row r="4939" spans="1:9" x14ac:dyDescent="0.25">
      <c r="A4939">
        <v>4220</v>
      </c>
      <c r="B4939">
        <v>10</v>
      </c>
      <c r="C4939" t="s">
        <v>946</v>
      </c>
      <c r="D4939" t="s">
        <v>1040</v>
      </c>
      <c r="E4939" t="s">
        <v>49</v>
      </c>
      <c r="F4939" t="s">
        <v>948</v>
      </c>
      <c r="G4939">
        <v>1077777</v>
      </c>
      <c r="H4939">
        <v>500465</v>
      </c>
      <c r="I4939" t="s">
        <v>949</v>
      </c>
    </row>
    <row r="4940" spans="1:9" x14ac:dyDescent="0.25">
      <c r="A4940">
        <v>4122</v>
      </c>
      <c r="B4940">
        <v>10</v>
      </c>
      <c r="C4940" t="s">
        <v>946</v>
      </c>
      <c r="D4940" t="s">
        <v>1040</v>
      </c>
      <c r="E4940" t="s">
        <v>243</v>
      </c>
      <c r="F4940" t="s">
        <v>948</v>
      </c>
      <c r="G4940">
        <v>1000000</v>
      </c>
      <c r="H4940">
        <v>145000</v>
      </c>
      <c r="I4940" t="s">
        <v>949</v>
      </c>
    </row>
    <row r="4941" spans="1:9" x14ac:dyDescent="0.25">
      <c r="A4941">
        <v>4240</v>
      </c>
      <c r="B4941">
        <v>10</v>
      </c>
      <c r="C4941" t="s">
        <v>946</v>
      </c>
      <c r="D4941" t="s">
        <v>1040</v>
      </c>
      <c r="E4941" t="s">
        <v>243</v>
      </c>
      <c r="F4941" t="s">
        <v>948</v>
      </c>
      <c r="G4941">
        <v>1000000</v>
      </c>
      <c r="H4941">
        <v>145000</v>
      </c>
      <c r="I4941" t="s">
        <v>949</v>
      </c>
    </row>
    <row r="4942" spans="1:9" x14ac:dyDescent="0.25">
      <c r="A4942">
        <v>4122</v>
      </c>
      <c r="B4942">
        <v>10</v>
      </c>
      <c r="C4942" t="s">
        <v>946</v>
      </c>
      <c r="D4942" t="s">
        <v>1040</v>
      </c>
      <c r="E4942" t="s">
        <v>247</v>
      </c>
      <c r="F4942" t="s">
        <v>948</v>
      </c>
      <c r="G4942">
        <v>1000000</v>
      </c>
      <c r="H4942">
        <v>145000</v>
      </c>
      <c r="I4942" t="s">
        <v>949</v>
      </c>
    </row>
    <row r="4943" spans="1:9" x14ac:dyDescent="0.25">
      <c r="A4943">
        <v>4240</v>
      </c>
      <c r="B4943">
        <v>10</v>
      </c>
      <c r="C4943" t="s">
        <v>946</v>
      </c>
      <c r="D4943" t="s">
        <v>1040</v>
      </c>
      <c r="E4943" t="s">
        <v>247</v>
      </c>
      <c r="F4943" t="s">
        <v>948</v>
      </c>
      <c r="G4943">
        <v>1000000</v>
      </c>
      <c r="H4943">
        <v>145000</v>
      </c>
      <c r="I4943" t="s">
        <v>949</v>
      </c>
    </row>
    <row r="4944" spans="1:9" x14ac:dyDescent="0.25">
      <c r="A4944">
        <v>4122</v>
      </c>
      <c r="B4944">
        <v>10</v>
      </c>
      <c r="C4944" t="s">
        <v>946</v>
      </c>
      <c r="D4944" t="s">
        <v>1040</v>
      </c>
      <c r="E4944" t="s">
        <v>251</v>
      </c>
      <c r="F4944" t="s">
        <v>948</v>
      </c>
      <c r="G4944">
        <v>1000000</v>
      </c>
      <c r="H4944">
        <v>142000</v>
      </c>
      <c r="I4944" t="s">
        <v>949</v>
      </c>
    </row>
    <row r="4945" spans="1:9" x14ac:dyDescent="0.25">
      <c r="A4945">
        <v>4240</v>
      </c>
      <c r="B4945">
        <v>10</v>
      </c>
      <c r="C4945" t="s">
        <v>946</v>
      </c>
      <c r="D4945" t="s">
        <v>1040</v>
      </c>
      <c r="E4945" t="s">
        <v>251</v>
      </c>
      <c r="F4945" t="s">
        <v>948</v>
      </c>
      <c r="G4945">
        <v>1000000</v>
      </c>
      <c r="H4945">
        <v>142000</v>
      </c>
      <c r="I4945" t="s">
        <v>949</v>
      </c>
    </row>
    <row r="4946" spans="1:9" x14ac:dyDescent="0.25">
      <c r="A4946">
        <v>4122</v>
      </c>
      <c r="B4946">
        <v>10</v>
      </c>
      <c r="C4946" t="s">
        <v>946</v>
      </c>
      <c r="D4946" t="s">
        <v>1040</v>
      </c>
      <c r="E4946" t="s">
        <v>969</v>
      </c>
      <c r="F4946" t="s">
        <v>948</v>
      </c>
      <c r="G4946">
        <v>1000000</v>
      </c>
      <c r="H4946">
        <v>141000</v>
      </c>
      <c r="I4946" t="s">
        <v>970</v>
      </c>
    </row>
    <row r="4947" spans="1:9" x14ac:dyDescent="0.25">
      <c r="A4947">
        <v>4240</v>
      </c>
      <c r="B4947">
        <v>10</v>
      </c>
      <c r="C4947" t="s">
        <v>946</v>
      </c>
      <c r="D4947" t="s">
        <v>1040</v>
      </c>
      <c r="E4947" t="s">
        <v>969</v>
      </c>
      <c r="F4947" t="s">
        <v>948</v>
      </c>
      <c r="G4947">
        <v>1000000</v>
      </c>
      <c r="H4947">
        <v>141000</v>
      </c>
      <c r="I4947" t="s">
        <v>970</v>
      </c>
    </row>
    <row r="4948" spans="1:9" x14ac:dyDescent="0.25">
      <c r="A4948">
        <v>4122</v>
      </c>
      <c r="B4948">
        <v>10</v>
      </c>
      <c r="C4948" t="s">
        <v>946</v>
      </c>
      <c r="D4948" t="s">
        <v>1040</v>
      </c>
      <c r="E4948" t="s">
        <v>255</v>
      </c>
      <c r="F4948" t="s">
        <v>948</v>
      </c>
      <c r="G4948">
        <v>1000000</v>
      </c>
      <c r="H4948">
        <v>145000</v>
      </c>
      <c r="I4948" t="s">
        <v>949</v>
      </c>
    </row>
    <row r="4949" spans="1:9" x14ac:dyDescent="0.25">
      <c r="A4949">
        <v>4240</v>
      </c>
      <c r="B4949">
        <v>10</v>
      </c>
      <c r="C4949" t="s">
        <v>946</v>
      </c>
      <c r="D4949" t="s">
        <v>1040</v>
      </c>
      <c r="E4949" t="s">
        <v>255</v>
      </c>
      <c r="F4949" t="s">
        <v>948</v>
      </c>
      <c r="G4949">
        <v>1000000</v>
      </c>
      <c r="H4949">
        <v>145000</v>
      </c>
      <c r="I4949" t="s">
        <v>949</v>
      </c>
    </row>
    <row r="4950" spans="1:9" x14ac:dyDescent="0.25">
      <c r="A4950">
        <v>4122</v>
      </c>
      <c r="B4950">
        <v>10</v>
      </c>
      <c r="C4950" t="s">
        <v>946</v>
      </c>
      <c r="D4950" t="s">
        <v>1040</v>
      </c>
      <c r="E4950" t="s">
        <v>971</v>
      </c>
      <c r="F4950" t="s">
        <v>948</v>
      </c>
      <c r="G4950">
        <v>1000000</v>
      </c>
      <c r="H4950">
        <v>141000</v>
      </c>
      <c r="I4950" t="s">
        <v>972</v>
      </c>
    </row>
    <row r="4951" spans="1:9" x14ac:dyDescent="0.25">
      <c r="A4951">
        <v>4240</v>
      </c>
      <c r="B4951">
        <v>10</v>
      </c>
      <c r="C4951" t="s">
        <v>946</v>
      </c>
      <c r="D4951" t="s">
        <v>1040</v>
      </c>
      <c r="E4951" t="s">
        <v>971</v>
      </c>
      <c r="F4951" t="s">
        <v>948</v>
      </c>
      <c r="G4951">
        <v>1000000</v>
      </c>
      <c r="H4951">
        <v>141000</v>
      </c>
      <c r="I4951" t="s">
        <v>972</v>
      </c>
    </row>
    <row r="4952" spans="1:9" x14ac:dyDescent="0.25">
      <c r="A4952">
        <v>4122</v>
      </c>
      <c r="B4952">
        <v>10</v>
      </c>
      <c r="C4952" t="s">
        <v>946</v>
      </c>
      <c r="D4952" t="s">
        <v>1040</v>
      </c>
      <c r="E4952" t="s">
        <v>263</v>
      </c>
      <c r="F4952" t="s">
        <v>948</v>
      </c>
      <c r="G4952">
        <v>1000000</v>
      </c>
      <c r="H4952">
        <v>145000</v>
      </c>
      <c r="I4952" t="s">
        <v>949</v>
      </c>
    </row>
    <row r="4953" spans="1:9" x14ac:dyDescent="0.25">
      <c r="A4953">
        <v>4240</v>
      </c>
      <c r="B4953">
        <v>10</v>
      </c>
      <c r="C4953" t="s">
        <v>946</v>
      </c>
      <c r="D4953" t="s">
        <v>1040</v>
      </c>
      <c r="E4953" t="s">
        <v>263</v>
      </c>
      <c r="F4953" t="s">
        <v>948</v>
      </c>
      <c r="G4953">
        <v>1000000</v>
      </c>
      <c r="H4953">
        <v>145000</v>
      </c>
      <c r="I4953" t="s">
        <v>949</v>
      </c>
    </row>
    <row r="4954" spans="1:9" x14ac:dyDescent="0.25">
      <c r="A4954">
        <v>4122</v>
      </c>
      <c r="B4954">
        <v>10</v>
      </c>
      <c r="C4954" t="s">
        <v>946</v>
      </c>
      <c r="D4954" t="s">
        <v>1040</v>
      </c>
      <c r="E4954" t="s">
        <v>100</v>
      </c>
      <c r="F4954" t="s">
        <v>948</v>
      </c>
      <c r="G4954">
        <v>1077777</v>
      </c>
      <c r="H4954">
        <v>500220</v>
      </c>
      <c r="I4954" t="s">
        <v>949</v>
      </c>
    </row>
    <row r="4955" spans="1:9" x14ac:dyDescent="0.25">
      <c r="A4955">
        <v>4240</v>
      </c>
      <c r="B4955">
        <v>10</v>
      </c>
      <c r="C4955" t="s">
        <v>946</v>
      </c>
      <c r="D4955" t="s">
        <v>1040</v>
      </c>
      <c r="E4955" t="s">
        <v>100</v>
      </c>
      <c r="F4955" t="s">
        <v>948</v>
      </c>
      <c r="G4955">
        <v>1077777</v>
      </c>
      <c r="H4955">
        <v>500221</v>
      </c>
      <c r="I4955" t="s">
        <v>949</v>
      </c>
    </row>
    <row r="4956" spans="1:9" x14ac:dyDescent="0.25">
      <c r="A4956">
        <v>4122</v>
      </c>
      <c r="B4956">
        <v>10</v>
      </c>
      <c r="C4956" t="s">
        <v>946</v>
      </c>
      <c r="D4956" t="s">
        <v>1040</v>
      </c>
      <c r="E4956" t="s">
        <v>270</v>
      </c>
      <c r="F4956" t="s">
        <v>948</v>
      </c>
      <c r="G4956">
        <v>1000000</v>
      </c>
      <c r="H4956">
        <v>145000</v>
      </c>
      <c r="I4956" t="s">
        <v>949</v>
      </c>
    </row>
    <row r="4957" spans="1:9" x14ac:dyDescent="0.25">
      <c r="A4957">
        <v>4240</v>
      </c>
      <c r="B4957">
        <v>10</v>
      </c>
      <c r="C4957" t="s">
        <v>946</v>
      </c>
      <c r="D4957" t="s">
        <v>1040</v>
      </c>
      <c r="E4957" t="s">
        <v>270</v>
      </c>
      <c r="F4957" t="s">
        <v>948</v>
      </c>
      <c r="G4957">
        <v>1000000</v>
      </c>
      <c r="H4957">
        <v>145000</v>
      </c>
      <c r="I4957" t="s">
        <v>949</v>
      </c>
    </row>
    <row r="4958" spans="1:9" x14ac:dyDescent="0.25">
      <c r="A4958">
        <v>4122</v>
      </c>
      <c r="B4958">
        <v>10</v>
      </c>
      <c r="C4958" t="s">
        <v>946</v>
      </c>
      <c r="D4958" t="s">
        <v>1040</v>
      </c>
      <c r="E4958" t="s">
        <v>274</v>
      </c>
      <c r="F4958" t="s">
        <v>948</v>
      </c>
      <c r="G4958">
        <v>1000000</v>
      </c>
      <c r="H4958">
        <v>143000</v>
      </c>
      <c r="I4958" t="s">
        <v>973</v>
      </c>
    </row>
    <row r="4959" spans="1:9" x14ac:dyDescent="0.25">
      <c r="A4959">
        <v>4240</v>
      </c>
      <c r="B4959">
        <v>10</v>
      </c>
      <c r="C4959" t="s">
        <v>946</v>
      </c>
      <c r="D4959" t="s">
        <v>1040</v>
      </c>
      <c r="E4959" t="s">
        <v>274</v>
      </c>
      <c r="F4959" t="s">
        <v>948</v>
      </c>
      <c r="G4959">
        <v>1000000</v>
      </c>
      <c r="H4959">
        <v>143000</v>
      </c>
      <c r="I4959" t="s">
        <v>973</v>
      </c>
    </row>
    <row r="4960" spans="1:9" x14ac:dyDescent="0.25">
      <c r="A4960">
        <v>4122</v>
      </c>
      <c r="B4960">
        <v>10</v>
      </c>
      <c r="C4960" t="s">
        <v>946</v>
      </c>
      <c r="D4960" t="s">
        <v>1040</v>
      </c>
      <c r="E4960" t="s">
        <v>974</v>
      </c>
      <c r="F4960" t="s">
        <v>948</v>
      </c>
      <c r="G4960">
        <v>1000000</v>
      </c>
      <c r="H4960">
        <v>141000</v>
      </c>
      <c r="I4960" t="s">
        <v>975</v>
      </c>
    </row>
    <row r="4961" spans="1:9" x14ac:dyDescent="0.25">
      <c r="A4961">
        <v>4240</v>
      </c>
      <c r="B4961">
        <v>10</v>
      </c>
      <c r="C4961" t="s">
        <v>946</v>
      </c>
      <c r="D4961" t="s">
        <v>1040</v>
      </c>
      <c r="E4961" t="s">
        <v>974</v>
      </c>
      <c r="F4961" t="s">
        <v>948</v>
      </c>
      <c r="G4961">
        <v>1000000</v>
      </c>
      <c r="H4961">
        <v>141000</v>
      </c>
      <c r="I4961" t="s">
        <v>975</v>
      </c>
    </row>
    <row r="4962" spans="1:9" x14ac:dyDescent="0.25">
      <c r="A4962">
        <v>4122</v>
      </c>
      <c r="B4962">
        <v>10</v>
      </c>
      <c r="C4962" t="s">
        <v>946</v>
      </c>
      <c r="D4962" t="s">
        <v>1040</v>
      </c>
      <c r="E4962" t="s">
        <v>104</v>
      </c>
      <c r="F4962" t="s">
        <v>948</v>
      </c>
      <c r="G4962">
        <v>1077777</v>
      </c>
      <c r="H4962">
        <v>500220</v>
      </c>
      <c r="I4962" t="s">
        <v>949</v>
      </c>
    </row>
    <row r="4963" spans="1:9" x14ac:dyDescent="0.25">
      <c r="A4963">
        <v>4240</v>
      </c>
      <c r="B4963">
        <v>10</v>
      </c>
      <c r="C4963" t="s">
        <v>946</v>
      </c>
      <c r="D4963" t="s">
        <v>1040</v>
      </c>
      <c r="E4963" t="s">
        <v>104</v>
      </c>
      <c r="F4963" t="s">
        <v>948</v>
      </c>
      <c r="G4963">
        <v>1077777</v>
      </c>
      <c r="H4963">
        <v>500221</v>
      </c>
      <c r="I4963" t="s">
        <v>949</v>
      </c>
    </row>
    <row r="4964" spans="1:9" x14ac:dyDescent="0.25">
      <c r="A4964">
        <v>4122</v>
      </c>
      <c r="B4964">
        <v>10</v>
      </c>
      <c r="C4964" t="s">
        <v>946</v>
      </c>
      <c r="D4964" t="s">
        <v>1040</v>
      </c>
      <c r="E4964" t="s">
        <v>278</v>
      </c>
      <c r="F4964" t="s">
        <v>948</v>
      </c>
      <c r="G4964">
        <v>1000000</v>
      </c>
      <c r="H4964">
        <v>145000</v>
      </c>
      <c r="I4964" t="s">
        <v>949</v>
      </c>
    </row>
    <row r="4965" spans="1:9" x14ac:dyDescent="0.25">
      <c r="A4965">
        <v>4240</v>
      </c>
      <c r="B4965">
        <v>10</v>
      </c>
      <c r="C4965" t="s">
        <v>946</v>
      </c>
      <c r="D4965" t="s">
        <v>1040</v>
      </c>
      <c r="E4965" t="s">
        <v>278</v>
      </c>
      <c r="F4965" t="s">
        <v>948</v>
      </c>
      <c r="G4965">
        <v>1000000</v>
      </c>
      <c r="H4965">
        <v>145000</v>
      </c>
      <c r="I4965" t="s">
        <v>949</v>
      </c>
    </row>
    <row r="4966" spans="1:9" x14ac:dyDescent="0.25">
      <c r="A4966">
        <v>4122</v>
      </c>
      <c r="B4966">
        <v>10</v>
      </c>
      <c r="C4966" t="s">
        <v>946</v>
      </c>
      <c r="D4966" t="s">
        <v>1040</v>
      </c>
      <c r="E4966" t="s">
        <v>282</v>
      </c>
      <c r="F4966" t="s">
        <v>948</v>
      </c>
      <c r="G4966">
        <v>1000000</v>
      </c>
      <c r="H4966">
        <v>143100</v>
      </c>
      <c r="I4966" t="s">
        <v>949</v>
      </c>
    </row>
    <row r="4967" spans="1:9" x14ac:dyDescent="0.25">
      <c r="A4967">
        <v>4240</v>
      </c>
      <c r="B4967">
        <v>10</v>
      </c>
      <c r="C4967" t="s">
        <v>946</v>
      </c>
      <c r="D4967" t="s">
        <v>1040</v>
      </c>
      <c r="E4967" t="s">
        <v>282</v>
      </c>
      <c r="F4967" t="s">
        <v>948</v>
      </c>
      <c r="G4967">
        <v>1000000</v>
      </c>
      <c r="H4967">
        <v>143100</v>
      </c>
      <c r="I4967" t="s">
        <v>949</v>
      </c>
    </row>
    <row r="4968" spans="1:9" x14ac:dyDescent="0.25">
      <c r="A4968">
        <v>4122</v>
      </c>
      <c r="B4968">
        <v>10</v>
      </c>
      <c r="C4968" t="s">
        <v>946</v>
      </c>
      <c r="D4968" t="s">
        <v>1040</v>
      </c>
      <c r="E4968" t="s">
        <v>286</v>
      </c>
      <c r="F4968" t="s">
        <v>948</v>
      </c>
      <c r="G4968">
        <v>1000000</v>
      </c>
      <c r="H4968">
        <v>145000</v>
      </c>
      <c r="I4968" t="s">
        <v>949</v>
      </c>
    </row>
    <row r="4969" spans="1:9" x14ac:dyDescent="0.25">
      <c r="A4969">
        <v>4240</v>
      </c>
      <c r="B4969">
        <v>10</v>
      </c>
      <c r="C4969" t="s">
        <v>946</v>
      </c>
      <c r="D4969" t="s">
        <v>1040</v>
      </c>
      <c r="E4969" t="s">
        <v>286</v>
      </c>
      <c r="F4969" t="s">
        <v>948</v>
      </c>
      <c r="G4969">
        <v>1000000</v>
      </c>
      <c r="H4969">
        <v>145000</v>
      </c>
      <c r="I4969" t="s">
        <v>949</v>
      </c>
    </row>
    <row r="4970" spans="1:9" x14ac:dyDescent="0.25">
      <c r="A4970">
        <v>4122</v>
      </c>
      <c r="B4970">
        <v>10</v>
      </c>
      <c r="C4970" t="s">
        <v>946</v>
      </c>
      <c r="D4970" t="s">
        <v>1040</v>
      </c>
      <c r="E4970" t="s">
        <v>976</v>
      </c>
      <c r="F4970" t="s">
        <v>948</v>
      </c>
      <c r="G4970">
        <v>1000000</v>
      </c>
      <c r="H4970">
        <v>141000</v>
      </c>
      <c r="I4970" t="s">
        <v>977</v>
      </c>
    </row>
    <row r="4971" spans="1:9" x14ac:dyDescent="0.25">
      <c r="A4971">
        <v>4240</v>
      </c>
      <c r="B4971">
        <v>10</v>
      </c>
      <c r="C4971" t="s">
        <v>946</v>
      </c>
      <c r="D4971" t="s">
        <v>1040</v>
      </c>
      <c r="E4971" t="s">
        <v>976</v>
      </c>
      <c r="F4971" t="s">
        <v>948</v>
      </c>
      <c r="G4971">
        <v>1000000</v>
      </c>
      <c r="H4971">
        <v>141000</v>
      </c>
      <c r="I4971" t="s">
        <v>977</v>
      </c>
    </row>
    <row r="4972" spans="1:9" x14ac:dyDescent="0.25">
      <c r="A4972">
        <v>4122</v>
      </c>
      <c r="B4972">
        <v>10</v>
      </c>
      <c r="C4972" t="s">
        <v>946</v>
      </c>
      <c r="D4972" t="s">
        <v>1040</v>
      </c>
      <c r="E4972" t="s">
        <v>290</v>
      </c>
      <c r="F4972" t="s">
        <v>948</v>
      </c>
      <c r="G4972">
        <v>1000000</v>
      </c>
      <c r="H4972">
        <v>143000</v>
      </c>
      <c r="I4972" t="s">
        <v>978</v>
      </c>
    </row>
    <row r="4973" spans="1:9" x14ac:dyDescent="0.25">
      <c r="A4973">
        <v>4240</v>
      </c>
      <c r="B4973">
        <v>10</v>
      </c>
      <c r="C4973" t="s">
        <v>946</v>
      </c>
      <c r="D4973" t="s">
        <v>1040</v>
      </c>
      <c r="E4973" t="s">
        <v>290</v>
      </c>
      <c r="F4973" t="s">
        <v>948</v>
      </c>
      <c r="G4973">
        <v>1000000</v>
      </c>
      <c r="H4973">
        <v>143000</v>
      </c>
      <c r="I4973" t="s">
        <v>978</v>
      </c>
    </row>
    <row r="4974" spans="1:9" x14ac:dyDescent="0.25">
      <c r="A4974">
        <v>4122</v>
      </c>
      <c r="B4974">
        <v>10</v>
      </c>
      <c r="C4974" t="s">
        <v>946</v>
      </c>
      <c r="D4974" t="s">
        <v>1040</v>
      </c>
      <c r="E4974" t="s">
        <v>294</v>
      </c>
      <c r="F4974" t="s">
        <v>948</v>
      </c>
      <c r="G4974">
        <v>1000000</v>
      </c>
      <c r="H4974">
        <v>143000</v>
      </c>
      <c r="I4974" t="s">
        <v>979</v>
      </c>
    </row>
    <row r="4975" spans="1:9" x14ac:dyDescent="0.25">
      <c r="A4975">
        <v>4240</v>
      </c>
      <c r="B4975">
        <v>10</v>
      </c>
      <c r="C4975" t="s">
        <v>946</v>
      </c>
      <c r="D4975" t="s">
        <v>1040</v>
      </c>
      <c r="E4975" t="s">
        <v>294</v>
      </c>
      <c r="F4975" t="s">
        <v>948</v>
      </c>
      <c r="G4975">
        <v>1000000</v>
      </c>
      <c r="H4975">
        <v>143000</v>
      </c>
      <c r="I4975" t="s">
        <v>979</v>
      </c>
    </row>
    <row r="4976" spans="1:9" x14ac:dyDescent="0.25">
      <c r="A4976">
        <v>4122</v>
      </c>
      <c r="B4976">
        <v>10</v>
      </c>
      <c r="C4976" t="s">
        <v>946</v>
      </c>
      <c r="D4976" t="s">
        <v>1040</v>
      </c>
      <c r="E4976" t="s">
        <v>980</v>
      </c>
      <c r="F4976" t="s">
        <v>948</v>
      </c>
      <c r="G4976">
        <v>1000000</v>
      </c>
      <c r="H4976">
        <v>141000</v>
      </c>
      <c r="I4976" t="s">
        <v>981</v>
      </c>
    </row>
    <row r="4977" spans="1:9" x14ac:dyDescent="0.25">
      <c r="A4977">
        <v>4240</v>
      </c>
      <c r="B4977">
        <v>10</v>
      </c>
      <c r="C4977" t="s">
        <v>946</v>
      </c>
      <c r="D4977" t="s">
        <v>1040</v>
      </c>
      <c r="E4977" t="s">
        <v>980</v>
      </c>
      <c r="F4977" t="s">
        <v>948</v>
      </c>
      <c r="G4977">
        <v>1000000</v>
      </c>
      <c r="H4977">
        <v>141000</v>
      </c>
      <c r="I4977" t="s">
        <v>981</v>
      </c>
    </row>
    <row r="4978" spans="1:9" x14ac:dyDescent="0.25">
      <c r="A4978">
        <v>4122</v>
      </c>
      <c r="B4978">
        <v>10</v>
      </c>
      <c r="C4978" t="s">
        <v>946</v>
      </c>
      <c r="D4978" t="s">
        <v>1040</v>
      </c>
      <c r="E4978" t="s">
        <v>302</v>
      </c>
      <c r="F4978" t="s">
        <v>948</v>
      </c>
      <c r="G4978">
        <v>1000000</v>
      </c>
      <c r="H4978">
        <v>143000</v>
      </c>
      <c r="I4978" t="s">
        <v>982</v>
      </c>
    </row>
    <row r="4979" spans="1:9" x14ac:dyDescent="0.25">
      <c r="A4979">
        <v>4240</v>
      </c>
      <c r="B4979">
        <v>10</v>
      </c>
      <c r="C4979" t="s">
        <v>946</v>
      </c>
      <c r="D4979" t="s">
        <v>1040</v>
      </c>
      <c r="E4979" t="s">
        <v>302</v>
      </c>
      <c r="F4979" t="s">
        <v>948</v>
      </c>
      <c r="G4979">
        <v>1000000</v>
      </c>
      <c r="H4979">
        <v>143000</v>
      </c>
      <c r="I4979" t="s">
        <v>982</v>
      </c>
    </row>
    <row r="4980" spans="1:9" x14ac:dyDescent="0.25">
      <c r="A4980">
        <v>4122</v>
      </c>
      <c r="B4980">
        <v>10</v>
      </c>
      <c r="C4980" t="s">
        <v>946</v>
      </c>
      <c r="D4980" t="s">
        <v>1040</v>
      </c>
      <c r="E4980" t="s">
        <v>306</v>
      </c>
      <c r="F4980" t="s">
        <v>948</v>
      </c>
      <c r="G4980">
        <v>1000000</v>
      </c>
      <c r="H4980">
        <v>143000</v>
      </c>
      <c r="I4980" t="s">
        <v>983</v>
      </c>
    </row>
    <row r="4981" spans="1:9" x14ac:dyDescent="0.25">
      <c r="A4981">
        <v>4240</v>
      </c>
      <c r="B4981">
        <v>10</v>
      </c>
      <c r="C4981" t="s">
        <v>946</v>
      </c>
      <c r="D4981" t="s">
        <v>1040</v>
      </c>
      <c r="E4981" t="s">
        <v>306</v>
      </c>
      <c r="F4981" t="s">
        <v>948</v>
      </c>
      <c r="G4981">
        <v>1000000</v>
      </c>
      <c r="H4981">
        <v>143000</v>
      </c>
      <c r="I4981" t="s">
        <v>983</v>
      </c>
    </row>
    <row r="4982" spans="1:9" x14ac:dyDescent="0.25">
      <c r="A4982">
        <v>4122</v>
      </c>
      <c r="B4982">
        <v>10</v>
      </c>
      <c r="C4982" t="s">
        <v>946</v>
      </c>
      <c r="D4982" t="s">
        <v>1040</v>
      </c>
      <c r="E4982" t="s">
        <v>108</v>
      </c>
      <c r="F4982" t="s">
        <v>948</v>
      </c>
      <c r="G4982">
        <v>1077777</v>
      </c>
      <c r="H4982">
        <v>500220</v>
      </c>
      <c r="I4982" t="s">
        <v>949</v>
      </c>
    </row>
    <row r="4983" spans="1:9" x14ac:dyDescent="0.25">
      <c r="A4983">
        <v>4240</v>
      </c>
      <c r="B4983">
        <v>10</v>
      </c>
      <c r="C4983" t="s">
        <v>946</v>
      </c>
      <c r="D4983" t="s">
        <v>1040</v>
      </c>
      <c r="E4983" t="s">
        <v>108</v>
      </c>
      <c r="F4983" t="s">
        <v>948</v>
      </c>
      <c r="G4983">
        <v>1077777</v>
      </c>
      <c r="H4983">
        <v>500221</v>
      </c>
      <c r="I4983" t="s">
        <v>949</v>
      </c>
    </row>
    <row r="4984" spans="1:9" x14ac:dyDescent="0.25">
      <c r="A4984">
        <v>4122</v>
      </c>
      <c r="B4984">
        <v>10</v>
      </c>
      <c r="C4984" t="s">
        <v>946</v>
      </c>
      <c r="D4984" t="s">
        <v>1040</v>
      </c>
      <c r="E4984" t="s">
        <v>310</v>
      </c>
      <c r="F4984" t="s">
        <v>948</v>
      </c>
      <c r="G4984">
        <v>1000000</v>
      </c>
      <c r="H4984">
        <v>145000</v>
      </c>
      <c r="I4984" t="s">
        <v>949</v>
      </c>
    </row>
    <row r="4985" spans="1:9" x14ac:dyDescent="0.25">
      <c r="A4985">
        <v>4240</v>
      </c>
      <c r="B4985">
        <v>10</v>
      </c>
      <c r="C4985" t="s">
        <v>946</v>
      </c>
      <c r="D4985" t="s">
        <v>1040</v>
      </c>
      <c r="E4985" t="s">
        <v>310</v>
      </c>
      <c r="F4985" t="s">
        <v>948</v>
      </c>
      <c r="G4985">
        <v>1000000</v>
      </c>
      <c r="H4985">
        <v>145000</v>
      </c>
      <c r="I4985" t="s">
        <v>949</v>
      </c>
    </row>
    <row r="4986" spans="1:9" x14ac:dyDescent="0.25">
      <c r="A4986">
        <v>4122</v>
      </c>
      <c r="B4986">
        <v>10</v>
      </c>
      <c r="C4986" t="s">
        <v>946</v>
      </c>
      <c r="D4986" t="s">
        <v>1040</v>
      </c>
      <c r="E4986" t="s">
        <v>314</v>
      </c>
      <c r="F4986" t="s">
        <v>948</v>
      </c>
      <c r="G4986">
        <v>1000000</v>
      </c>
      <c r="H4986">
        <v>145000</v>
      </c>
      <c r="I4986" t="s">
        <v>949</v>
      </c>
    </row>
    <row r="4987" spans="1:9" x14ac:dyDescent="0.25">
      <c r="A4987">
        <v>4240</v>
      </c>
      <c r="B4987">
        <v>10</v>
      </c>
      <c r="C4987" t="s">
        <v>946</v>
      </c>
      <c r="D4987" t="s">
        <v>1040</v>
      </c>
      <c r="E4987" t="s">
        <v>314</v>
      </c>
      <c r="F4987" t="s">
        <v>948</v>
      </c>
      <c r="G4987">
        <v>1000000</v>
      </c>
      <c r="H4987">
        <v>145000</v>
      </c>
      <c r="I4987" t="s">
        <v>949</v>
      </c>
    </row>
    <row r="4988" spans="1:9" x14ac:dyDescent="0.25">
      <c r="A4988">
        <v>4240</v>
      </c>
      <c r="B4988">
        <v>10</v>
      </c>
      <c r="C4988" t="s">
        <v>946</v>
      </c>
      <c r="D4988" t="s">
        <v>1040</v>
      </c>
      <c r="E4988" t="s">
        <v>113</v>
      </c>
      <c r="F4988" t="s">
        <v>948</v>
      </c>
      <c r="G4988">
        <v>1077777</v>
      </c>
      <c r="H4988">
        <v>500221</v>
      </c>
      <c r="I4988" t="s">
        <v>949</v>
      </c>
    </row>
    <row r="4989" spans="1:9" x14ac:dyDescent="0.25">
      <c r="A4989">
        <v>4240</v>
      </c>
      <c r="B4989">
        <v>10</v>
      </c>
      <c r="C4989" t="s">
        <v>946</v>
      </c>
      <c r="D4989" t="s">
        <v>1040</v>
      </c>
      <c r="E4989" t="s">
        <v>117</v>
      </c>
      <c r="F4989" t="s">
        <v>948</v>
      </c>
      <c r="G4989">
        <v>1077777</v>
      </c>
      <c r="H4989">
        <v>500221</v>
      </c>
      <c r="I4989" t="s">
        <v>949</v>
      </c>
    </row>
    <row r="4990" spans="1:9" x14ac:dyDescent="0.25">
      <c r="A4990">
        <v>4122</v>
      </c>
      <c r="B4990">
        <v>10</v>
      </c>
      <c r="C4990" t="s">
        <v>946</v>
      </c>
      <c r="D4990" t="s">
        <v>1040</v>
      </c>
      <c r="E4990" t="s">
        <v>121</v>
      </c>
      <c r="F4990" t="s">
        <v>948</v>
      </c>
      <c r="G4990">
        <v>1077777</v>
      </c>
      <c r="H4990">
        <v>500220</v>
      </c>
      <c r="I4990" t="s">
        <v>949</v>
      </c>
    </row>
    <row r="4991" spans="1:9" x14ac:dyDescent="0.25">
      <c r="A4991">
        <v>4122</v>
      </c>
      <c r="B4991">
        <v>10</v>
      </c>
      <c r="C4991" t="s">
        <v>946</v>
      </c>
      <c r="D4991" t="s">
        <v>1040</v>
      </c>
      <c r="E4991" t="s">
        <v>984</v>
      </c>
      <c r="F4991" t="s">
        <v>948</v>
      </c>
      <c r="G4991">
        <v>1000000</v>
      </c>
      <c r="H4991">
        <v>141000</v>
      </c>
      <c r="I4991" t="s">
        <v>985</v>
      </c>
    </row>
    <row r="4992" spans="1:9" x14ac:dyDescent="0.25">
      <c r="A4992">
        <v>4240</v>
      </c>
      <c r="B4992">
        <v>10</v>
      </c>
      <c r="C4992" t="s">
        <v>946</v>
      </c>
      <c r="D4992" t="s">
        <v>1040</v>
      </c>
      <c r="E4992" t="s">
        <v>984</v>
      </c>
      <c r="F4992" t="s">
        <v>948</v>
      </c>
      <c r="G4992">
        <v>1000000</v>
      </c>
      <c r="H4992">
        <v>141000</v>
      </c>
      <c r="I4992" t="s">
        <v>985</v>
      </c>
    </row>
    <row r="4993" spans="1:9" x14ac:dyDescent="0.25">
      <c r="A4993">
        <v>3120</v>
      </c>
      <c r="B4993">
        <v>18</v>
      </c>
      <c r="C4993" t="s">
        <v>950</v>
      </c>
      <c r="D4993" t="s">
        <v>946</v>
      </c>
      <c r="E4993" t="s">
        <v>49</v>
      </c>
      <c r="F4993" t="s">
        <v>951</v>
      </c>
      <c r="G4993">
        <v>1800000</v>
      </c>
      <c r="H4993">
        <v>144000</v>
      </c>
      <c r="I4993" t="s">
        <v>949</v>
      </c>
    </row>
    <row r="4994" spans="1:9" x14ac:dyDescent="0.25">
      <c r="A4994">
        <v>3120</v>
      </c>
      <c r="B4994">
        <v>18</v>
      </c>
      <c r="C4994" t="s">
        <v>950</v>
      </c>
      <c r="D4994" t="s">
        <v>946</v>
      </c>
      <c r="E4994" t="s">
        <v>49</v>
      </c>
      <c r="F4994" t="s">
        <v>952</v>
      </c>
      <c r="G4994">
        <v>1800000</v>
      </c>
      <c r="H4994">
        <v>144000</v>
      </c>
      <c r="I4994" t="s">
        <v>949</v>
      </c>
    </row>
    <row r="4995" spans="1:9" x14ac:dyDescent="0.25">
      <c r="A4995">
        <v>3120</v>
      </c>
      <c r="B4995">
        <v>18</v>
      </c>
      <c r="C4995" t="s">
        <v>950</v>
      </c>
      <c r="D4995" t="s">
        <v>946</v>
      </c>
      <c r="E4995" t="s">
        <v>49</v>
      </c>
      <c r="F4995" t="s">
        <v>953</v>
      </c>
      <c r="G4995">
        <v>1800000</v>
      </c>
      <c r="H4995">
        <v>144000</v>
      </c>
      <c r="I4995" t="s">
        <v>949</v>
      </c>
    </row>
    <row r="4996" spans="1:9" x14ac:dyDescent="0.25">
      <c r="A4996">
        <v>3120</v>
      </c>
      <c r="B4996">
        <v>18</v>
      </c>
      <c r="C4996" t="s">
        <v>950</v>
      </c>
      <c r="D4996" t="s">
        <v>946</v>
      </c>
      <c r="E4996" t="s">
        <v>49</v>
      </c>
      <c r="F4996" t="s">
        <v>954</v>
      </c>
      <c r="G4996">
        <v>1800000</v>
      </c>
      <c r="H4996">
        <v>144000</v>
      </c>
      <c r="I4996" t="s">
        <v>949</v>
      </c>
    </row>
    <row r="4997" spans="1:9" x14ac:dyDescent="0.25">
      <c r="A4997">
        <v>3120</v>
      </c>
      <c r="B4997">
        <v>18</v>
      </c>
      <c r="C4997" t="s">
        <v>950</v>
      </c>
      <c r="D4997" t="s">
        <v>946</v>
      </c>
      <c r="E4997" t="s">
        <v>49</v>
      </c>
      <c r="F4997" t="s">
        <v>955</v>
      </c>
      <c r="G4997">
        <v>1800000</v>
      </c>
      <c r="H4997">
        <v>144000</v>
      </c>
      <c r="I4997" t="s">
        <v>949</v>
      </c>
    </row>
    <row r="4998" spans="1:9" x14ac:dyDescent="0.25">
      <c r="A4998">
        <v>3120</v>
      </c>
      <c r="B4998">
        <v>18</v>
      </c>
      <c r="C4998" t="s">
        <v>950</v>
      </c>
      <c r="D4998" t="s">
        <v>946</v>
      </c>
      <c r="E4998" t="s">
        <v>49</v>
      </c>
      <c r="F4998" t="s">
        <v>956</v>
      </c>
      <c r="G4998">
        <v>1800000</v>
      </c>
      <c r="H4998">
        <v>144000</v>
      </c>
      <c r="I4998" t="s">
        <v>949</v>
      </c>
    </row>
    <row r="4999" spans="1:9" x14ac:dyDescent="0.25">
      <c r="A4999">
        <v>3120</v>
      </c>
      <c r="B4999">
        <v>18</v>
      </c>
      <c r="C4999" t="s">
        <v>950</v>
      </c>
      <c r="D4999" t="s">
        <v>946</v>
      </c>
      <c r="E4999" t="s">
        <v>49</v>
      </c>
      <c r="F4999" t="s">
        <v>957</v>
      </c>
      <c r="G4999">
        <v>1800000</v>
      </c>
      <c r="H4999">
        <v>144000</v>
      </c>
      <c r="I4999" t="s">
        <v>949</v>
      </c>
    </row>
    <row r="5000" spans="1:9" x14ac:dyDescent="0.25">
      <c r="A5000">
        <v>3120</v>
      </c>
      <c r="B5000">
        <v>18</v>
      </c>
      <c r="C5000" t="s">
        <v>950</v>
      </c>
      <c r="D5000" t="s">
        <v>946</v>
      </c>
      <c r="E5000" t="s">
        <v>49</v>
      </c>
      <c r="F5000" t="s">
        <v>958</v>
      </c>
      <c r="G5000">
        <v>1800000</v>
      </c>
      <c r="H5000">
        <v>144000</v>
      </c>
      <c r="I5000" t="s">
        <v>949</v>
      </c>
    </row>
    <row r="5001" spans="1:9" x14ac:dyDescent="0.25">
      <c r="A5001">
        <v>3120</v>
      </c>
      <c r="B5001">
        <v>18</v>
      </c>
      <c r="C5001" t="s">
        <v>950</v>
      </c>
      <c r="D5001" t="s">
        <v>946</v>
      </c>
      <c r="E5001" t="s">
        <v>49</v>
      </c>
      <c r="F5001" t="s">
        <v>959</v>
      </c>
      <c r="G5001">
        <v>1800000</v>
      </c>
      <c r="H5001">
        <v>144000</v>
      </c>
      <c r="I5001" t="s">
        <v>949</v>
      </c>
    </row>
    <row r="5002" spans="1:9" x14ac:dyDescent="0.25">
      <c r="A5002">
        <v>3120</v>
      </c>
      <c r="B5002">
        <v>18</v>
      </c>
      <c r="C5002" t="s">
        <v>950</v>
      </c>
      <c r="D5002" t="s">
        <v>946</v>
      </c>
      <c r="E5002" t="s">
        <v>49</v>
      </c>
      <c r="F5002" t="s">
        <v>960</v>
      </c>
      <c r="G5002">
        <v>1800000</v>
      </c>
      <c r="H5002">
        <v>144000</v>
      </c>
      <c r="I5002" t="s">
        <v>949</v>
      </c>
    </row>
    <row r="5003" spans="1:9" x14ac:dyDescent="0.25">
      <c r="A5003">
        <v>3120</v>
      </c>
      <c r="B5003">
        <v>18</v>
      </c>
      <c r="C5003" t="s">
        <v>950</v>
      </c>
      <c r="D5003" t="s">
        <v>946</v>
      </c>
      <c r="E5003" t="s">
        <v>49</v>
      </c>
      <c r="F5003" t="s">
        <v>961</v>
      </c>
      <c r="G5003">
        <v>1800000</v>
      </c>
      <c r="H5003">
        <v>144000</v>
      </c>
      <c r="I5003" t="s">
        <v>949</v>
      </c>
    </row>
    <row r="5004" spans="1:9" x14ac:dyDescent="0.25">
      <c r="A5004">
        <v>3120</v>
      </c>
      <c r="B5004">
        <v>18</v>
      </c>
      <c r="C5004" t="s">
        <v>962</v>
      </c>
      <c r="D5004" t="s">
        <v>946</v>
      </c>
      <c r="E5004" t="s">
        <v>49</v>
      </c>
      <c r="F5004" t="s">
        <v>951</v>
      </c>
      <c r="G5004">
        <v>1800000</v>
      </c>
      <c r="H5004">
        <v>144000</v>
      </c>
      <c r="I5004" t="s">
        <v>949</v>
      </c>
    </row>
    <row r="5005" spans="1:9" x14ac:dyDescent="0.25">
      <c r="A5005">
        <v>3120</v>
      </c>
      <c r="B5005">
        <v>18</v>
      </c>
      <c r="C5005" t="s">
        <v>962</v>
      </c>
      <c r="D5005" t="s">
        <v>946</v>
      </c>
      <c r="E5005" t="s">
        <v>49</v>
      </c>
      <c r="F5005" t="s">
        <v>952</v>
      </c>
      <c r="G5005">
        <v>1800000</v>
      </c>
      <c r="H5005">
        <v>144000</v>
      </c>
      <c r="I5005" t="s">
        <v>949</v>
      </c>
    </row>
    <row r="5006" spans="1:9" x14ac:dyDescent="0.25">
      <c r="A5006">
        <v>3120</v>
      </c>
      <c r="B5006">
        <v>18</v>
      </c>
      <c r="C5006" t="s">
        <v>962</v>
      </c>
      <c r="D5006" t="s">
        <v>946</v>
      </c>
      <c r="E5006" t="s">
        <v>49</v>
      </c>
      <c r="F5006" t="s">
        <v>953</v>
      </c>
      <c r="G5006">
        <v>1800000</v>
      </c>
      <c r="H5006">
        <v>144000</v>
      </c>
      <c r="I5006" t="s">
        <v>949</v>
      </c>
    </row>
    <row r="5007" spans="1:9" x14ac:dyDescent="0.25">
      <c r="A5007">
        <v>3120</v>
      </c>
      <c r="B5007">
        <v>18</v>
      </c>
      <c r="C5007" t="s">
        <v>962</v>
      </c>
      <c r="D5007" t="s">
        <v>946</v>
      </c>
      <c r="E5007" t="s">
        <v>49</v>
      </c>
      <c r="F5007" t="s">
        <v>954</v>
      </c>
      <c r="G5007">
        <v>1800000</v>
      </c>
      <c r="H5007">
        <v>144000</v>
      </c>
      <c r="I5007" t="s">
        <v>949</v>
      </c>
    </row>
    <row r="5008" spans="1:9" x14ac:dyDescent="0.25">
      <c r="A5008">
        <v>3120</v>
      </c>
      <c r="B5008">
        <v>18</v>
      </c>
      <c r="C5008" t="s">
        <v>962</v>
      </c>
      <c r="D5008" t="s">
        <v>946</v>
      </c>
      <c r="E5008" t="s">
        <v>49</v>
      </c>
      <c r="F5008" t="s">
        <v>955</v>
      </c>
      <c r="G5008">
        <v>1800000</v>
      </c>
      <c r="H5008">
        <v>144000</v>
      </c>
      <c r="I5008" t="s">
        <v>949</v>
      </c>
    </row>
    <row r="5009" spans="1:9" x14ac:dyDescent="0.25">
      <c r="A5009">
        <v>3120</v>
      </c>
      <c r="B5009">
        <v>18</v>
      </c>
      <c r="C5009" t="s">
        <v>962</v>
      </c>
      <c r="D5009" t="s">
        <v>946</v>
      </c>
      <c r="E5009" t="s">
        <v>49</v>
      </c>
      <c r="F5009" t="s">
        <v>956</v>
      </c>
      <c r="G5009">
        <v>1800000</v>
      </c>
      <c r="H5009">
        <v>144000</v>
      </c>
      <c r="I5009" t="s">
        <v>949</v>
      </c>
    </row>
    <row r="5010" spans="1:9" x14ac:dyDescent="0.25">
      <c r="A5010">
        <v>3120</v>
      </c>
      <c r="B5010">
        <v>18</v>
      </c>
      <c r="C5010" t="s">
        <v>962</v>
      </c>
      <c r="D5010" t="s">
        <v>946</v>
      </c>
      <c r="E5010" t="s">
        <v>49</v>
      </c>
      <c r="F5010" t="s">
        <v>957</v>
      </c>
      <c r="G5010">
        <v>1800000</v>
      </c>
      <c r="H5010">
        <v>144000</v>
      </c>
      <c r="I5010" t="s">
        <v>949</v>
      </c>
    </row>
    <row r="5011" spans="1:9" x14ac:dyDescent="0.25">
      <c r="A5011">
        <v>3120</v>
      </c>
      <c r="B5011">
        <v>18</v>
      </c>
      <c r="C5011" t="s">
        <v>962</v>
      </c>
      <c r="D5011" t="s">
        <v>946</v>
      </c>
      <c r="E5011" t="s">
        <v>49</v>
      </c>
      <c r="F5011" t="s">
        <v>958</v>
      </c>
      <c r="G5011">
        <v>1800000</v>
      </c>
      <c r="H5011">
        <v>144000</v>
      </c>
      <c r="I5011" t="s">
        <v>949</v>
      </c>
    </row>
    <row r="5012" spans="1:9" x14ac:dyDescent="0.25">
      <c r="A5012">
        <v>3120</v>
      </c>
      <c r="B5012">
        <v>18</v>
      </c>
      <c r="C5012" t="s">
        <v>962</v>
      </c>
      <c r="D5012" t="s">
        <v>946</v>
      </c>
      <c r="E5012" t="s">
        <v>49</v>
      </c>
      <c r="F5012" t="s">
        <v>959</v>
      </c>
      <c r="G5012">
        <v>1800000</v>
      </c>
      <c r="H5012">
        <v>144000</v>
      </c>
      <c r="I5012" t="s">
        <v>949</v>
      </c>
    </row>
    <row r="5013" spans="1:9" x14ac:dyDescent="0.25">
      <c r="A5013">
        <v>3120</v>
      </c>
      <c r="B5013">
        <v>18</v>
      </c>
      <c r="C5013" t="s">
        <v>962</v>
      </c>
      <c r="D5013" t="s">
        <v>946</v>
      </c>
      <c r="E5013" t="s">
        <v>49</v>
      </c>
      <c r="F5013" t="s">
        <v>960</v>
      </c>
      <c r="G5013">
        <v>1800000</v>
      </c>
      <c r="H5013">
        <v>144000</v>
      </c>
      <c r="I5013" t="s">
        <v>949</v>
      </c>
    </row>
    <row r="5014" spans="1:9" x14ac:dyDescent="0.25">
      <c r="A5014">
        <v>3120</v>
      </c>
      <c r="B5014">
        <v>18</v>
      </c>
      <c r="C5014" t="s">
        <v>962</v>
      </c>
      <c r="D5014" t="s">
        <v>946</v>
      </c>
      <c r="E5014" t="s">
        <v>49</v>
      </c>
      <c r="F5014" t="s">
        <v>961</v>
      </c>
      <c r="G5014">
        <v>1800000</v>
      </c>
      <c r="H5014">
        <v>144000</v>
      </c>
      <c r="I5014" t="s">
        <v>949</v>
      </c>
    </row>
    <row r="5015" spans="1:9" x14ac:dyDescent="0.25">
      <c r="A5015">
        <v>3120</v>
      </c>
      <c r="B5015">
        <v>18</v>
      </c>
      <c r="C5015" t="s">
        <v>963</v>
      </c>
      <c r="D5015" t="s">
        <v>946</v>
      </c>
      <c r="E5015" t="s">
        <v>49</v>
      </c>
      <c r="F5015" t="s">
        <v>951</v>
      </c>
      <c r="G5015">
        <v>1800000</v>
      </c>
      <c r="H5015">
        <v>144000</v>
      </c>
      <c r="I5015" t="s">
        <v>949</v>
      </c>
    </row>
    <row r="5016" spans="1:9" x14ac:dyDescent="0.25">
      <c r="A5016">
        <v>3120</v>
      </c>
      <c r="B5016">
        <v>18</v>
      </c>
      <c r="C5016" t="s">
        <v>963</v>
      </c>
      <c r="D5016" t="s">
        <v>946</v>
      </c>
      <c r="E5016" t="s">
        <v>49</v>
      </c>
      <c r="F5016" t="s">
        <v>952</v>
      </c>
      <c r="G5016">
        <v>1800000</v>
      </c>
      <c r="H5016">
        <v>144000</v>
      </c>
      <c r="I5016" t="s">
        <v>949</v>
      </c>
    </row>
    <row r="5017" spans="1:9" x14ac:dyDescent="0.25">
      <c r="A5017">
        <v>3120</v>
      </c>
      <c r="B5017">
        <v>18</v>
      </c>
      <c r="C5017" t="s">
        <v>963</v>
      </c>
      <c r="D5017" t="s">
        <v>946</v>
      </c>
      <c r="E5017" t="s">
        <v>49</v>
      </c>
      <c r="F5017" t="s">
        <v>953</v>
      </c>
      <c r="G5017">
        <v>1800000</v>
      </c>
      <c r="H5017">
        <v>144000</v>
      </c>
      <c r="I5017" t="s">
        <v>949</v>
      </c>
    </row>
    <row r="5018" spans="1:9" x14ac:dyDescent="0.25">
      <c r="A5018">
        <v>3120</v>
      </c>
      <c r="B5018">
        <v>18</v>
      </c>
      <c r="C5018" t="s">
        <v>963</v>
      </c>
      <c r="D5018" t="s">
        <v>946</v>
      </c>
      <c r="E5018" t="s">
        <v>49</v>
      </c>
      <c r="F5018" t="s">
        <v>954</v>
      </c>
      <c r="G5018">
        <v>1800000</v>
      </c>
      <c r="H5018">
        <v>144000</v>
      </c>
      <c r="I5018" t="s">
        <v>949</v>
      </c>
    </row>
    <row r="5019" spans="1:9" x14ac:dyDescent="0.25">
      <c r="A5019">
        <v>3120</v>
      </c>
      <c r="B5019">
        <v>18</v>
      </c>
      <c r="C5019" t="s">
        <v>963</v>
      </c>
      <c r="D5019" t="s">
        <v>946</v>
      </c>
      <c r="E5019" t="s">
        <v>49</v>
      </c>
      <c r="F5019" t="s">
        <v>955</v>
      </c>
      <c r="G5019">
        <v>1800000</v>
      </c>
      <c r="H5019">
        <v>144000</v>
      </c>
      <c r="I5019" t="s">
        <v>949</v>
      </c>
    </row>
    <row r="5020" spans="1:9" x14ac:dyDescent="0.25">
      <c r="A5020">
        <v>3120</v>
      </c>
      <c r="B5020">
        <v>18</v>
      </c>
      <c r="C5020" t="s">
        <v>963</v>
      </c>
      <c r="D5020" t="s">
        <v>946</v>
      </c>
      <c r="E5020" t="s">
        <v>49</v>
      </c>
      <c r="F5020" t="s">
        <v>956</v>
      </c>
      <c r="G5020">
        <v>1800000</v>
      </c>
      <c r="H5020">
        <v>144000</v>
      </c>
      <c r="I5020" t="s">
        <v>949</v>
      </c>
    </row>
    <row r="5021" spans="1:9" x14ac:dyDescent="0.25">
      <c r="A5021">
        <v>3120</v>
      </c>
      <c r="B5021">
        <v>18</v>
      </c>
      <c r="C5021" t="s">
        <v>963</v>
      </c>
      <c r="D5021" t="s">
        <v>946</v>
      </c>
      <c r="E5021" t="s">
        <v>49</v>
      </c>
      <c r="F5021" t="s">
        <v>957</v>
      </c>
      <c r="G5021">
        <v>1800000</v>
      </c>
      <c r="H5021">
        <v>144000</v>
      </c>
      <c r="I5021" t="s">
        <v>949</v>
      </c>
    </row>
    <row r="5022" spans="1:9" x14ac:dyDescent="0.25">
      <c r="A5022">
        <v>3120</v>
      </c>
      <c r="B5022">
        <v>18</v>
      </c>
      <c r="C5022" t="s">
        <v>963</v>
      </c>
      <c r="D5022" t="s">
        <v>946</v>
      </c>
      <c r="E5022" t="s">
        <v>49</v>
      </c>
      <c r="F5022" t="s">
        <v>958</v>
      </c>
      <c r="G5022">
        <v>1800000</v>
      </c>
      <c r="H5022">
        <v>144000</v>
      </c>
      <c r="I5022" t="s">
        <v>949</v>
      </c>
    </row>
    <row r="5023" spans="1:9" x14ac:dyDescent="0.25">
      <c r="A5023">
        <v>3120</v>
      </c>
      <c r="B5023">
        <v>18</v>
      </c>
      <c r="C5023" t="s">
        <v>963</v>
      </c>
      <c r="D5023" t="s">
        <v>946</v>
      </c>
      <c r="E5023" t="s">
        <v>49</v>
      </c>
      <c r="F5023" t="s">
        <v>959</v>
      </c>
      <c r="G5023">
        <v>1800000</v>
      </c>
      <c r="H5023">
        <v>144000</v>
      </c>
      <c r="I5023" t="s">
        <v>949</v>
      </c>
    </row>
    <row r="5024" spans="1:9" x14ac:dyDescent="0.25">
      <c r="A5024">
        <v>3120</v>
      </c>
      <c r="B5024">
        <v>18</v>
      </c>
      <c r="C5024" t="s">
        <v>963</v>
      </c>
      <c r="D5024" t="s">
        <v>946</v>
      </c>
      <c r="E5024" t="s">
        <v>49</v>
      </c>
      <c r="F5024" t="s">
        <v>960</v>
      </c>
      <c r="G5024">
        <v>1800000</v>
      </c>
      <c r="H5024">
        <v>144000</v>
      </c>
      <c r="I5024" t="s">
        <v>949</v>
      </c>
    </row>
    <row r="5025" spans="1:9" x14ac:dyDescent="0.25">
      <c r="A5025">
        <v>3120</v>
      </c>
      <c r="B5025">
        <v>18</v>
      </c>
      <c r="C5025" t="s">
        <v>963</v>
      </c>
      <c r="D5025" t="s">
        <v>946</v>
      </c>
      <c r="E5025" t="s">
        <v>49</v>
      </c>
      <c r="F5025" t="s">
        <v>961</v>
      </c>
      <c r="G5025">
        <v>1800000</v>
      </c>
      <c r="H5025">
        <v>144000</v>
      </c>
      <c r="I5025" t="s">
        <v>949</v>
      </c>
    </row>
    <row r="5026" spans="1:9" x14ac:dyDescent="0.25">
      <c r="A5026">
        <v>3401</v>
      </c>
      <c r="B5026">
        <v>18</v>
      </c>
      <c r="C5026" t="s">
        <v>950</v>
      </c>
      <c r="D5026" t="s">
        <v>946</v>
      </c>
      <c r="E5026" t="s">
        <v>49</v>
      </c>
      <c r="F5026" t="s">
        <v>953</v>
      </c>
      <c r="G5026">
        <v>1877777</v>
      </c>
      <c r="H5026">
        <v>501020</v>
      </c>
      <c r="I5026" t="s">
        <v>949</v>
      </c>
    </row>
    <row r="5027" spans="1:9" x14ac:dyDescent="0.25">
      <c r="A5027">
        <v>3401</v>
      </c>
      <c r="B5027">
        <v>18</v>
      </c>
      <c r="C5027" t="s">
        <v>950</v>
      </c>
      <c r="D5027" t="s">
        <v>946</v>
      </c>
      <c r="E5027" t="s">
        <v>49</v>
      </c>
      <c r="F5027" t="s">
        <v>954</v>
      </c>
      <c r="G5027">
        <v>1877777</v>
      </c>
      <c r="H5027">
        <v>501030</v>
      </c>
      <c r="I5027" t="s">
        <v>949</v>
      </c>
    </row>
    <row r="5028" spans="1:9" x14ac:dyDescent="0.25">
      <c r="A5028">
        <v>3401</v>
      </c>
      <c r="B5028">
        <v>18</v>
      </c>
      <c r="C5028" t="s">
        <v>950</v>
      </c>
      <c r="D5028" t="s">
        <v>946</v>
      </c>
      <c r="E5028" t="s">
        <v>49</v>
      </c>
      <c r="F5028" t="s">
        <v>955</v>
      </c>
      <c r="G5028">
        <v>1877777</v>
      </c>
      <c r="H5028">
        <v>505100</v>
      </c>
      <c r="I5028" t="s">
        <v>949</v>
      </c>
    </row>
    <row r="5029" spans="1:9" x14ac:dyDescent="0.25">
      <c r="A5029">
        <v>3401</v>
      </c>
      <c r="B5029">
        <v>18</v>
      </c>
      <c r="C5029" t="s">
        <v>950</v>
      </c>
      <c r="D5029" t="s">
        <v>946</v>
      </c>
      <c r="E5029" t="s">
        <v>49</v>
      </c>
      <c r="F5029" t="s">
        <v>964</v>
      </c>
      <c r="G5029">
        <v>1877777</v>
      </c>
      <c r="H5029">
        <v>501070</v>
      </c>
      <c r="I5029" t="s">
        <v>949</v>
      </c>
    </row>
    <row r="5030" spans="1:9" x14ac:dyDescent="0.25">
      <c r="A5030">
        <v>3401</v>
      </c>
      <c r="B5030">
        <v>18</v>
      </c>
      <c r="C5030" t="s">
        <v>950</v>
      </c>
      <c r="D5030" t="s">
        <v>946</v>
      </c>
      <c r="E5030" t="s">
        <v>49</v>
      </c>
      <c r="F5030" t="s">
        <v>965</v>
      </c>
      <c r="G5030">
        <v>1877777</v>
      </c>
      <c r="H5030">
        <v>501080</v>
      </c>
      <c r="I5030" t="s">
        <v>949</v>
      </c>
    </row>
    <row r="5031" spans="1:9" x14ac:dyDescent="0.25">
      <c r="A5031">
        <v>3401</v>
      </c>
      <c r="B5031">
        <v>18</v>
      </c>
      <c r="C5031" t="s">
        <v>950</v>
      </c>
      <c r="D5031" t="s">
        <v>946</v>
      </c>
      <c r="E5031" t="s">
        <v>49</v>
      </c>
      <c r="F5031" t="s">
        <v>966</v>
      </c>
      <c r="G5031">
        <v>1877777</v>
      </c>
      <c r="H5031">
        <v>501040</v>
      </c>
      <c r="I5031" t="s">
        <v>949</v>
      </c>
    </row>
    <row r="5032" spans="1:9" x14ac:dyDescent="0.25">
      <c r="A5032">
        <v>3401</v>
      </c>
      <c r="B5032">
        <v>18</v>
      </c>
      <c r="C5032" t="s">
        <v>950</v>
      </c>
      <c r="D5032" t="s">
        <v>946</v>
      </c>
      <c r="E5032" t="s">
        <v>49</v>
      </c>
      <c r="F5032" t="s">
        <v>967</v>
      </c>
      <c r="G5032">
        <v>1877777</v>
      </c>
      <c r="H5032">
        <v>501050</v>
      </c>
      <c r="I5032" t="s">
        <v>949</v>
      </c>
    </row>
    <row r="5033" spans="1:9" x14ac:dyDescent="0.25">
      <c r="A5033">
        <v>3401</v>
      </c>
      <c r="B5033">
        <v>18</v>
      </c>
      <c r="C5033" t="s">
        <v>950</v>
      </c>
      <c r="D5033" t="s">
        <v>946</v>
      </c>
      <c r="E5033" t="s">
        <v>49</v>
      </c>
      <c r="F5033" t="s">
        <v>956</v>
      </c>
      <c r="G5033">
        <v>1877777</v>
      </c>
      <c r="H5033">
        <v>501090</v>
      </c>
      <c r="I5033" t="s">
        <v>949</v>
      </c>
    </row>
    <row r="5034" spans="1:9" x14ac:dyDescent="0.25">
      <c r="A5034">
        <v>3401</v>
      </c>
      <c r="B5034">
        <v>18</v>
      </c>
      <c r="C5034" t="s">
        <v>950</v>
      </c>
      <c r="D5034" t="s">
        <v>946</v>
      </c>
      <c r="E5034" t="s">
        <v>49</v>
      </c>
      <c r="F5034" t="s">
        <v>957</v>
      </c>
      <c r="G5034">
        <v>1877777</v>
      </c>
      <c r="H5034">
        <v>501090</v>
      </c>
      <c r="I5034" t="s">
        <v>949</v>
      </c>
    </row>
    <row r="5035" spans="1:9" x14ac:dyDescent="0.25">
      <c r="A5035">
        <v>3401</v>
      </c>
      <c r="B5035">
        <v>18</v>
      </c>
      <c r="C5035" t="s">
        <v>950</v>
      </c>
      <c r="D5035" t="s">
        <v>946</v>
      </c>
      <c r="E5035" t="s">
        <v>49</v>
      </c>
      <c r="F5035" t="s">
        <v>958</v>
      </c>
      <c r="G5035">
        <v>1877777</v>
      </c>
      <c r="H5035">
        <v>501090</v>
      </c>
      <c r="I5035" t="s">
        <v>949</v>
      </c>
    </row>
    <row r="5036" spans="1:9" x14ac:dyDescent="0.25">
      <c r="A5036">
        <v>3401</v>
      </c>
      <c r="B5036">
        <v>18</v>
      </c>
      <c r="C5036" t="s">
        <v>950</v>
      </c>
      <c r="D5036" t="s">
        <v>946</v>
      </c>
      <c r="E5036" t="s">
        <v>49</v>
      </c>
      <c r="F5036" t="s">
        <v>959</v>
      </c>
      <c r="G5036">
        <v>1877777</v>
      </c>
      <c r="H5036">
        <v>501095</v>
      </c>
      <c r="I5036" t="s">
        <v>949</v>
      </c>
    </row>
    <row r="5037" spans="1:9" x14ac:dyDescent="0.25">
      <c r="A5037">
        <v>3401</v>
      </c>
      <c r="B5037">
        <v>18</v>
      </c>
      <c r="C5037" t="s">
        <v>950</v>
      </c>
      <c r="D5037" t="s">
        <v>946</v>
      </c>
      <c r="E5037" t="s">
        <v>49</v>
      </c>
      <c r="F5037" t="s">
        <v>960</v>
      </c>
      <c r="G5037">
        <v>1877777</v>
      </c>
      <c r="H5037">
        <v>501095</v>
      </c>
      <c r="I5037" t="s">
        <v>949</v>
      </c>
    </row>
    <row r="5038" spans="1:9" x14ac:dyDescent="0.25">
      <c r="A5038">
        <v>3401</v>
      </c>
      <c r="B5038">
        <v>18</v>
      </c>
      <c r="C5038" t="s">
        <v>950</v>
      </c>
      <c r="D5038" t="s">
        <v>946</v>
      </c>
      <c r="E5038" t="s">
        <v>49</v>
      </c>
      <c r="F5038" t="s">
        <v>961</v>
      </c>
      <c r="G5038">
        <v>1877777</v>
      </c>
      <c r="H5038">
        <v>501095</v>
      </c>
      <c r="I5038" t="s">
        <v>949</v>
      </c>
    </row>
    <row r="5039" spans="1:9" x14ac:dyDescent="0.25">
      <c r="A5039">
        <v>3401</v>
      </c>
      <c r="B5039">
        <v>18</v>
      </c>
      <c r="C5039" t="s">
        <v>962</v>
      </c>
      <c r="D5039" t="s">
        <v>946</v>
      </c>
      <c r="E5039" t="s">
        <v>49</v>
      </c>
      <c r="F5039" t="s">
        <v>953</v>
      </c>
      <c r="G5039">
        <v>1877777</v>
      </c>
      <c r="H5039">
        <v>501020</v>
      </c>
      <c r="I5039" t="s">
        <v>949</v>
      </c>
    </row>
    <row r="5040" spans="1:9" x14ac:dyDescent="0.25">
      <c r="A5040">
        <v>3401</v>
      </c>
      <c r="B5040">
        <v>18</v>
      </c>
      <c r="C5040" t="s">
        <v>962</v>
      </c>
      <c r="D5040" t="s">
        <v>946</v>
      </c>
      <c r="E5040" t="s">
        <v>49</v>
      </c>
      <c r="F5040" t="s">
        <v>954</v>
      </c>
      <c r="G5040">
        <v>1877777</v>
      </c>
      <c r="H5040">
        <v>501030</v>
      </c>
      <c r="I5040" t="s">
        <v>949</v>
      </c>
    </row>
    <row r="5041" spans="1:9" x14ac:dyDescent="0.25">
      <c r="A5041">
        <v>3401</v>
      </c>
      <c r="B5041">
        <v>18</v>
      </c>
      <c r="C5041" t="s">
        <v>962</v>
      </c>
      <c r="D5041" t="s">
        <v>946</v>
      </c>
      <c r="E5041" t="s">
        <v>49</v>
      </c>
      <c r="F5041" t="s">
        <v>955</v>
      </c>
      <c r="G5041">
        <v>1877777</v>
      </c>
      <c r="H5041">
        <v>505100</v>
      </c>
      <c r="I5041" t="s">
        <v>949</v>
      </c>
    </row>
    <row r="5042" spans="1:9" x14ac:dyDescent="0.25">
      <c r="A5042">
        <v>3401</v>
      </c>
      <c r="B5042">
        <v>18</v>
      </c>
      <c r="C5042" t="s">
        <v>962</v>
      </c>
      <c r="D5042" t="s">
        <v>946</v>
      </c>
      <c r="E5042" t="s">
        <v>49</v>
      </c>
      <c r="F5042" t="s">
        <v>964</v>
      </c>
      <c r="G5042">
        <v>1877777</v>
      </c>
      <c r="H5042">
        <v>501070</v>
      </c>
      <c r="I5042" t="s">
        <v>949</v>
      </c>
    </row>
    <row r="5043" spans="1:9" x14ac:dyDescent="0.25">
      <c r="A5043">
        <v>3401</v>
      </c>
      <c r="B5043">
        <v>18</v>
      </c>
      <c r="C5043" t="s">
        <v>962</v>
      </c>
      <c r="D5043" t="s">
        <v>946</v>
      </c>
      <c r="E5043" t="s">
        <v>49</v>
      </c>
      <c r="F5043" t="s">
        <v>965</v>
      </c>
      <c r="G5043">
        <v>1877777</v>
      </c>
      <c r="H5043">
        <v>501080</v>
      </c>
      <c r="I5043" t="s">
        <v>949</v>
      </c>
    </row>
    <row r="5044" spans="1:9" x14ac:dyDescent="0.25">
      <c r="A5044">
        <v>3401</v>
      </c>
      <c r="B5044">
        <v>18</v>
      </c>
      <c r="C5044" t="s">
        <v>962</v>
      </c>
      <c r="D5044" t="s">
        <v>946</v>
      </c>
      <c r="E5044" t="s">
        <v>49</v>
      </c>
      <c r="F5044" t="s">
        <v>966</v>
      </c>
      <c r="G5044">
        <v>1877777</v>
      </c>
      <c r="H5044">
        <v>501040</v>
      </c>
      <c r="I5044" t="s">
        <v>949</v>
      </c>
    </row>
    <row r="5045" spans="1:9" x14ac:dyDescent="0.25">
      <c r="A5045">
        <v>3401</v>
      </c>
      <c r="B5045">
        <v>18</v>
      </c>
      <c r="C5045" t="s">
        <v>962</v>
      </c>
      <c r="D5045" t="s">
        <v>946</v>
      </c>
      <c r="E5045" t="s">
        <v>49</v>
      </c>
      <c r="F5045" t="s">
        <v>967</v>
      </c>
      <c r="G5045">
        <v>1877777</v>
      </c>
      <c r="H5045">
        <v>501050</v>
      </c>
      <c r="I5045" t="s">
        <v>949</v>
      </c>
    </row>
    <row r="5046" spans="1:9" x14ac:dyDescent="0.25">
      <c r="A5046">
        <v>3401</v>
      </c>
      <c r="B5046">
        <v>18</v>
      </c>
      <c r="C5046" t="s">
        <v>962</v>
      </c>
      <c r="D5046" t="s">
        <v>946</v>
      </c>
      <c r="E5046" t="s">
        <v>49</v>
      </c>
      <c r="F5046" t="s">
        <v>956</v>
      </c>
      <c r="G5046">
        <v>1877777</v>
      </c>
      <c r="H5046">
        <v>501090</v>
      </c>
      <c r="I5046" t="s">
        <v>949</v>
      </c>
    </row>
    <row r="5047" spans="1:9" x14ac:dyDescent="0.25">
      <c r="A5047">
        <v>3401</v>
      </c>
      <c r="B5047">
        <v>18</v>
      </c>
      <c r="C5047" t="s">
        <v>962</v>
      </c>
      <c r="D5047" t="s">
        <v>946</v>
      </c>
      <c r="E5047" t="s">
        <v>49</v>
      </c>
      <c r="F5047" t="s">
        <v>957</v>
      </c>
      <c r="G5047">
        <v>1877777</v>
      </c>
      <c r="H5047">
        <v>501090</v>
      </c>
      <c r="I5047" t="s">
        <v>949</v>
      </c>
    </row>
    <row r="5048" spans="1:9" x14ac:dyDescent="0.25">
      <c r="A5048">
        <v>3401</v>
      </c>
      <c r="B5048">
        <v>18</v>
      </c>
      <c r="C5048" t="s">
        <v>962</v>
      </c>
      <c r="D5048" t="s">
        <v>946</v>
      </c>
      <c r="E5048" t="s">
        <v>49</v>
      </c>
      <c r="F5048" t="s">
        <v>958</v>
      </c>
      <c r="G5048">
        <v>1877777</v>
      </c>
      <c r="H5048">
        <v>501090</v>
      </c>
      <c r="I5048" t="s">
        <v>949</v>
      </c>
    </row>
    <row r="5049" spans="1:9" x14ac:dyDescent="0.25">
      <c r="A5049">
        <v>3401</v>
      </c>
      <c r="B5049">
        <v>18</v>
      </c>
      <c r="C5049" t="s">
        <v>962</v>
      </c>
      <c r="D5049" t="s">
        <v>946</v>
      </c>
      <c r="E5049" t="s">
        <v>49</v>
      </c>
      <c r="F5049" t="s">
        <v>959</v>
      </c>
      <c r="G5049">
        <v>1877777</v>
      </c>
      <c r="H5049">
        <v>501095</v>
      </c>
      <c r="I5049" t="s">
        <v>949</v>
      </c>
    </row>
    <row r="5050" spans="1:9" x14ac:dyDescent="0.25">
      <c r="A5050">
        <v>3401</v>
      </c>
      <c r="B5050">
        <v>18</v>
      </c>
      <c r="C5050" t="s">
        <v>962</v>
      </c>
      <c r="D5050" t="s">
        <v>946</v>
      </c>
      <c r="E5050" t="s">
        <v>49</v>
      </c>
      <c r="F5050" t="s">
        <v>960</v>
      </c>
      <c r="G5050">
        <v>1877777</v>
      </c>
      <c r="H5050">
        <v>501095</v>
      </c>
      <c r="I5050" t="s">
        <v>949</v>
      </c>
    </row>
    <row r="5051" spans="1:9" x14ac:dyDescent="0.25">
      <c r="A5051">
        <v>3401</v>
      </c>
      <c r="B5051">
        <v>18</v>
      </c>
      <c r="C5051" t="s">
        <v>962</v>
      </c>
      <c r="D5051" t="s">
        <v>946</v>
      </c>
      <c r="E5051" t="s">
        <v>49</v>
      </c>
      <c r="F5051" t="s">
        <v>961</v>
      </c>
      <c r="G5051">
        <v>1877777</v>
      </c>
      <c r="H5051">
        <v>501095</v>
      </c>
      <c r="I5051" t="s">
        <v>949</v>
      </c>
    </row>
    <row r="5052" spans="1:9" x14ac:dyDescent="0.25">
      <c r="A5052">
        <v>3401</v>
      </c>
      <c r="B5052">
        <v>18</v>
      </c>
      <c r="C5052" t="s">
        <v>963</v>
      </c>
      <c r="D5052" t="s">
        <v>946</v>
      </c>
      <c r="E5052" t="s">
        <v>49</v>
      </c>
      <c r="F5052" t="s">
        <v>953</v>
      </c>
      <c r="G5052">
        <v>1877777</v>
      </c>
      <c r="H5052">
        <v>501020</v>
      </c>
      <c r="I5052" t="s">
        <v>949</v>
      </c>
    </row>
    <row r="5053" spans="1:9" x14ac:dyDescent="0.25">
      <c r="A5053">
        <v>3401</v>
      </c>
      <c r="B5053">
        <v>18</v>
      </c>
      <c r="C5053" t="s">
        <v>963</v>
      </c>
      <c r="D5053" t="s">
        <v>946</v>
      </c>
      <c r="E5053" t="s">
        <v>49</v>
      </c>
      <c r="F5053" t="s">
        <v>954</v>
      </c>
      <c r="G5053">
        <v>1877777</v>
      </c>
      <c r="H5053">
        <v>501030</v>
      </c>
      <c r="I5053" t="s">
        <v>949</v>
      </c>
    </row>
    <row r="5054" spans="1:9" x14ac:dyDescent="0.25">
      <c r="A5054">
        <v>3401</v>
      </c>
      <c r="B5054">
        <v>18</v>
      </c>
      <c r="C5054" t="s">
        <v>963</v>
      </c>
      <c r="D5054" t="s">
        <v>946</v>
      </c>
      <c r="E5054" t="s">
        <v>49</v>
      </c>
      <c r="F5054" t="s">
        <v>955</v>
      </c>
      <c r="G5054">
        <v>1877777</v>
      </c>
      <c r="H5054">
        <v>505100</v>
      </c>
      <c r="I5054" t="s">
        <v>949</v>
      </c>
    </row>
    <row r="5055" spans="1:9" x14ac:dyDescent="0.25">
      <c r="A5055">
        <v>3401</v>
      </c>
      <c r="B5055">
        <v>18</v>
      </c>
      <c r="C5055" t="s">
        <v>963</v>
      </c>
      <c r="D5055" t="s">
        <v>946</v>
      </c>
      <c r="E5055" t="s">
        <v>49</v>
      </c>
      <c r="F5055" t="s">
        <v>964</v>
      </c>
      <c r="G5055">
        <v>1877777</v>
      </c>
      <c r="H5055">
        <v>501070</v>
      </c>
      <c r="I5055" t="s">
        <v>949</v>
      </c>
    </row>
    <row r="5056" spans="1:9" x14ac:dyDescent="0.25">
      <c r="A5056">
        <v>3401</v>
      </c>
      <c r="B5056">
        <v>18</v>
      </c>
      <c r="C5056" t="s">
        <v>963</v>
      </c>
      <c r="D5056" t="s">
        <v>946</v>
      </c>
      <c r="E5056" t="s">
        <v>49</v>
      </c>
      <c r="F5056" t="s">
        <v>965</v>
      </c>
      <c r="G5056">
        <v>1877777</v>
      </c>
      <c r="H5056">
        <v>501080</v>
      </c>
      <c r="I5056" t="s">
        <v>949</v>
      </c>
    </row>
    <row r="5057" spans="1:9" x14ac:dyDescent="0.25">
      <c r="A5057">
        <v>3401</v>
      </c>
      <c r="B5057">
        <v>18</v>
      </c>
      <c r="C5057" t="s">
        <v>963</v>
      </c>
      <c r="D5057" t="s">
        <v>946</v>
      </c>
      <c r="E5057" t="s">
        <v>49</v>
      </c>
      <c r="F5057" t="s">
        <v>966</v>
      </c>
      <c r="G5057">
        <v>1877777</v>
      </c>
      <c r="H5057">
        <v>501040</v>
      </c>
      <c r="I5057" t="s">
        <v>949</v>
      </c>
    </row>
    <row r="5058" spans="1:9" x14ac:dyDescent="0.25">
      <c r="A5058">
        <v>3401</v>
      </c>
      <c r="B5058">
        <v>18</v>
      </c>
      <c r="C5058" t="s">
        <v>963</v>
      </c>
      <c r="D5058" t="s">
        <v>946</v>
      </c>
      <c r="E5058" t="s">
        <v>49</v>
      </c>
      <c r="F5058" t="s">
        <v>967</v>
      </c>
      <c r="G5058">
        <v>1877777</v>
      </c>
      <c r="H5058">
        <v>501050</v>
      </c>
      <c r="I5058" t="s">
        <v>949</v>
      </c>
    </row>
    <row r="5059" spans="1:9" x14ac:dyDescent="0.25">
      <c r="A5059">
        <v>3401</v>
      </c>
      <c r="B5059">
        <v>18</v>
      </c>
      <c r="C5059" t="s">
        <v>963</v>
      </c>
      <c r="D5059" t="s">
        <v>946</v>
      </c>
      <c r="E5059" t="s">
        <v>49</v>
      </c>
      <c r="F5059" t="s">
        <v>956</v>
      </c>
      <c r="G5059">
        <v>1877777</v>
      </c>
      <c r="H5059">
        <v>501090</v>
      </c>
      <c r="I5059" t="s">
        <v>949</v>
      </c>
    </row>
    <row r="5060" spans="1:9" x14ac:dyDescent="0.25">
      <c r="A5060">
        <v>3401</v>
      </c>
      <c r="B5060">
        <v>18</v>
      </c>
      <c r="C5060" t="s">
        <v>963</v>
      </c>
      <c r="D5060" t="s">
        <v>946</v>
      </c>
      <c r="E5060" t="s">
        <v>49</v>
      </c>
      <c r="F5060" t="s">
        <v>957</v>
      </c>
      <c r="G5060">
        <v>1877777</v>
      </c>
      <c r="H5060">
        <v>501090</v>
      </c>
      <c r="I5060" t="s">
        <v>949</v>
      </c>
    </row>
    <row r="5061" spans="1:9" x14ac:dyDescent="0.25">
      <c r="A5061">
        <v>3401</v>
      </c>
      <c r="B5061">
        <v>18</v>
      </c>
      <c r="C5061" t="s">
        <v>963</v>
      </c>
      <c r="D5061" t="s">
        <v>946</v>
      </c>
      <c r="E5061" t="s">
        <v>49</v>
      </c>
      <c r="F5061" t="s">
        <v>958</v>
      </c>
      <c r="G5061">
        <v>1877777</v>
      </c>
      <c r="H5061">
        <v>501090</v>
      </c>
      <c r="I5061" t="s">
        <v>949</v>
      </c>
    </row>
    <row r="5062" spans="1:9" x14ac:dyDescent="0.25">
      <c r="A5062">
        <v>3401</v>
      </c>
      <c r="B5062">
        <v>18</v>
      </c>
      <c r="C5062" t="s">
        <v>963</v>
      </c>
      <c r="D5062" t="s">
        <v>946</v>
      </c>
      <c r="E5062" t="s">
        <v>49</v>
      </c>
      <c r="F5062" t="s">
        <v>959</v>
      </c>
      <c r="G5062">
        <v>1877777</v>
      </c>
      <c r="H5062">
        <v>501095</v>
      </c>
      <c r="I5062" t="s">
        <v>949</v>
      </c>
    </row>
    <row r="5063" spans="1:9" x14ac:dyDescent="0.25">
      <c r="A5063">
        <v>3401</v>
      </c>
      <c r="B5063">
        <v>18</v>
      </c>
      <c r="C5063" t="s">
        <v>963</v>
      </c>
      <c r="D5063" t="s">
        <v>946</v>
      </c>
      <c r="E5063" t="s">
        <v>49</v>
      </c>
      <c r="F5063" t="s">
        <v>960</v>
      </c>
      <c r="G5063">
        <v>1877777</v>
      </c>
      <c r="H5063">
        <v>501095</v>
      </c>
      <c r="I5063" t="s">
        <v>949</v>
      </c>
    </row>
    <row r="5064" spans="1:9" x14ac:dyDescent="0.25">
      <c r="A5064">
        <v>3401</v>
      </c>
      <c r="B5064">
        <v>18</v>
      </c>
      <c r="C5064" t="s">
        <v>963</v>
      </c>
      <c r="D5064" t="s">
        <v>946</v>
      </c>
      <c r="E5064" t="s">
        <v>49</v>
      </c>
      <c r="F5064" t="s">
        <v>961</v>
      </c>
      <c r="G5064">
        <v>1877777</v>
      </c>
      <c r="H5064">
        <v>501095</v>
      </c>
      <c r="I5064" t="s">
        <v>949</v>
      </c>
    </row>
    <row r="5065" spans="1:9" x14ac:dyDescent="0.25">
      <c r="A5065">
        <v>3120</v>
      </c>
      <c r="B5065">
        <v>18</v>
      </c>
      <c r="C5065" t="s">
        <v>950</v>
      </c>
      <c r="D5065" t="s">
        <v>946</v>
      </c>
      <c r="E5065" t="s">
        <v>100</v>
      </c>
      <c r="F5065" t="s">
        <v>951</v>
      </c>
      <c r="G5065">
        <v>1877777</v>
      </c>
      <c r="H5065">
        <v>500221</v>
      </c>
      <c r="I5065" t="s">
        <v>949</v>
      </c>
    </row>
    <row r="5066" spans="1:9" x14ac:dyDescent="0.25">
      <c r="A5066">
        <v>3120</v>
      </c>
      <c r="B5066">
        <v>18</v>
      </c>
      <c r="C5066" t="s">
        <v>950</v>
      </c>
      <c r="D5066" t="s">
        <v>946</v>
      </c>
      <c r="E5066" t="s">
        <v>100</v>
      </c>
      <c r="F5066" t="s">
        <v>952</v>
      </c>
      <c r="G5066">
        <v>1877777</v>
      </c>
      <c r="H5066">
        <v>500221</v>
      </c>
      <c r="I5066" t="s">
        <v>949</v>
      </c>
    </row>
    <row r="5067" spans="1:9" x14ac:dyDescent="0.25">
      <c r="A5067">
        <v>3120</v>
      </c>
      <c r="B5067">
        <v>18</v>
      </c>
      <c r="C5067" t="s">
        <v>962</v>
      </c>
      <c r="D5067" t="s">
        <v>946</v>
      </c>
      <c r="E5067" t="s">
        <v>100</v>
      </c>
      <c r="F5067" t="s">
        <v>951</v>
      </c>
      <c r="G5067">
        <v>1877777</v>
      </c>
      <c r="H5067">
        <v>500221</v>
      </c>
      <c r="I5067" t="s">
        <v>949</v>
      </c>
    </row>
    <row r="5068" spans="1:9" x14ac:dyDescent="0.25">
      <c r="A5068">
        <v>3120</v>
      </c>
      <c r="B5068">
        <v>18</v>
      </c>
      <c r="C5068" t="s">
        <v>962</v>
      </c>
      <c r="D5068" t="s">
        <v>946</v>
      </c>
      <c r="E5068" t="s">
        <v>100</v>
      </c>
      <c r="F5068" t="s">
        <v>952</v>
      </c>
      <c r="G5068">
        <v>1877777</v>
      </c>
      <c r="H5068">
        <v>500221</v>
      </c>
      <c r="I5068" t="s">
        <v>949</v>
      </c>
    </row>
    <row r="5069" spans="1:9" x14ac:dyDescent="0.25">
      <c r="A5069">
        <v>3120</v>
      </c>
      <c r="B5069">
        <v>18</v>
      </c>
      <c r="C5069" t="s">
        <v>963</v>
      </c>
      <c r="D5069" t="s">
        <v>946</v>
      </c>
      <c r="E5069" t="s">
        <v>100</v>
      </c>
      <c r="F5069" t="s">
        <v>951</v>
      </c>
      <c r="G5069">
        <v>1877777</v>
      </c>
      <c r="H5069">
        <v>500221</v>
      </c>
      <c r="I5069" t="s">
        <v>949</v>
      </c>
    </row>
    <row r="5070" spans="1:9" x14ac:dyDescent="0.25">
      <c r="A5070">
        <v>3120</v>
      </c>
      <c r="B5070">
        <v>18</v>
      </c>
      <c r="C5070" t="s">
        <v>963</v>
      </c>
      <c r="D5070" t="s">
        <v>946</v>
      </c>
      <c r="E5070" t="s">
        <v>100</v>
      </c>
      <c r="F5070" t="s">
        <v>952</v>
      </c>
      <c r="G5070">
        <v>1877777</v>
      </c>
      <c r="H5070">
        <v>500221</v>
      </c>
      <c r="I5070" t="s">
        <v>949</v>
      </c>
    </row>
    <row r="5071" spans="1:9" x14ac:dyDescent="0.25">
      <c r="A5071">
        <v>3120</v>
      </c>
      <c r="B5071">
        <v>18</v>
      </c>
      <c r="C5071" t="s">
        <v>950</v>
      </c>
      <c r="D5071" t="s">
        <v>946</v>
      </c>
      <c r="E5071" t="s">
        <v>104</v>
      </c>
      <c r="F5071" t="s">
        <v>951</v>
      </c>
      <c r="G5071">
        <v>1877777</v>
      </c>
      <c r="H5071">
        <v>500221</v>
      </c>
      <c r="I5071" t="s">
        <v>949</v>
      </c>
    </row>
    <row r="5072" spans="1:9" x14ac:dyDescent="0.25">
      <c r="A5072">
        <v>3120</v>
      </c>
      <c r="B5072">
        <v>18</v>
      </c>
      <c r="C5072" t="s">
        <v>950</v>
      </c>
      <c r="D5072" t="s">
        <v>946</v>
      </c>
      <c r="E5072" t="s">
        <v>104</v>
      </c>
      <c r="F5072" t="s">
        <v>952</v>
      </c>
      <c r="G5072">
        <v>1877777</v>
      </c>
      <c r="H5072">
        <v>500221</v>
      </c>
      <c r="I5072" t="s">
        <v>949</v>
      </c>
    </row>
    <row r="5073" spans="1:9" x14ac:dyDescent="0.25">
      <c r="A5073">
        <v>3120</v>
      </c>
      <c r="B5073">
        <v>18</v>
      </c>
      <c r="C5073" t="s">
        <v>962</v>
      </c>
      <c r="D5073" t="s">
        <v>946</v>
      </c>
      <c r="E5073" t="s">
        <v>104</v>
      </c>
      <c r="F5073" t="s">
        <v>951</v>
      </c>
      <c r="G5073">
        <v>1877777</v>
      </c>
      <c r="H5073">
        <v>500221</v>
      </c>
      <c r="I5073" t="s">
        <v>949</v>
      </c>
    </row>
    <row r="5074" spans="1:9" x14ac:dyDescent="0.25">
      <c r="A5074">
        <v>3120</v>
      </c>
      <c r="B5074">
        <v>18</v>
      </c>
      <c r="C5074" t="s">
        <v>962</v>
      </c>
      <c r="D5074" t="s">
        <v>946</v>
      </c>
      <c r="E5074" t="s">
        <v>104</v>
      </c>
      <c r="F5074" t="s">
        <v>952</v>
      </c>
      <c r="G5074">
        <v>1877777</v>
      </c>
      <c r="H5074">
        <v>500221</v>
      </c>
      <c r="I5074" t="s">
        <v>949</v>
      </c>
    </row>
    <row r="5075" spans="1:9" x14ac:dyDescent="0.25">
      <c r="A5075">
        <v>3120</v>
      </c>
      <c r="B5075">
        <v>18</v>
      </c>
      <c r="C5075" t="s">
        <v>963</v>
      </c>
      <c r="D5075" t="s">
        <v>946</v>
      </c>
      <c r="E5075" t="s">
        <v>104</v>
      </c>
      <c r="F5075" t="s">
        <v>951</v>
      </c>
      <c r="G5075">
        <v>1877777</v>
      </c>
      <c r="H5075">
        <v>500221</v>
      </c>
      <c r="I5075" t="s">
        <v>949</v>
      </c>
    </row>
    <row r="5076" spans="1:9" x14ac:dyDescent="0.25">
      <c r="A5076">
        <v>3120</v>
      </c>
      <c r="B5076">
        <v>18</v>
      </c>
      <c r="C5076" t="s">
        <v>963</v>
      </c>
      <c r="D5076" t="s">
        <v>946</v>
      </c>
      <c r="E5076" t="s">
        <v>104</v>
      </c>
      <c r="F5076" t="s">
        <v>952</v>
      </c>
      <c r="G5076">
        <v>1877777</v>
      </c>
      <c r="H5076">
        <v>500221</v>
      </c>
      <c r="I5076" t="s">
        <v>949</v>
      </c>
    </row>
    <row r="5077" spans="1:9" x14ac:dyDescent="0.25">
      <c r="A5077">
        <v>3120</v>
      </c>
      <c r="B5077">
        <v>18</v>
      </c>
      <c r="C5077" t="s">
        <v>950</v>
      </c>
      <c r="D5077" t="s">
        <v>946</v>
      </c>
      <c r="E5077" t="s">
        <v>108</v>
      </c>
      <c r="F5077" t="s">
        <v>951</v>
      </c>
      <c r="G5077">
        <v>1877777</v>
      </c>
      <c r="H5077">
        <v>500221</v>
      </c>
      <c r="I5077" t="s">
        <v>949</v>
      </c>
    </row>
    <row r="5078" spans="1:9" x14ac:dyDescent="0.25">
      <c r="A5078">
        <v>3120</v>
      </c>
      <c r="B5078">
        <v>18</v>
      </c>
      <c r="C5078" t="s">
        <v>950</v>
      </c>
      <c r="D5078" t="s">
        <v>946</v>
      </c>
      <c r="E5078" t="s">
        <v>108</v>
      </c>
      <c r="F5078" t="s">
        <v>952</v>
      </c>
      <c r="G5078">
        <v>1877777</v>
      </c>
      <c r="H5078">
        <v>500221</v>
      </c>
      <c r="I5078" t="s">
        <v>949</v>
      </c>
    </row>
    <row r="5079" spans="1:9" x14ac:dyDescent="0.25">
      <c r="A5079">
        <v>3120</v>
      </c>
      <c r="B5079">
        <v>18</v>
      </c>
      <c r="C5079" t="s">
        <v>962</v>
      </c>
      <c r="D5079" t="s">
        <v>946</v>
      </c>
      <c r="E5079" t="s">
        <v>108</v>
      </c>
      <c r="F5079" t="s">
        <v>951</v>
      </c>
      <c r="G5079">
        <v>1877777</v>
      </c>
      <c r="H5079">
        <v>500221</v>
      </c>
      <c r="I5079" t="s">
        <v>949</v>
      </c>
    </row>
    <row r="5080" spans="1:9" x14ac:dyDescent="0.25">
      <c r="A5080">
        <v>3120</v>
      </c>
      <c r="B5080">
        <v>18</v>
      </c>
      <c r="C5080" t="s">
        <v>962</v>
      </c>
      <c r="D5080" t="s">
        <v>946</v>
      </c>
      <c r="E5080" t="s">
        <v>108</v>
      </c>
      <c r="F5080" t="s">
        <v>952</v>
      </c>
      <c r="G5080">
        <v>1877777</v>
      </c>
      <c r="H5080">
        <v>500221</v>
      </c>
      <c r="I5080" t="s">
        <v>949</v>
      </c>
    </row>
    <row r="5081" spans="1:9" x14ac:dyDescent="0.25">
      <c r="A5081">
        <v>3120</v>
      </c>
      <c r="B5081">
        <v>18</v>
      </c>
      <c r="C5081" t="s">
        <v>963</v>
      </c>
      <c r="D5081" t="s">
        <v>946</v>
      </c>
      <c r="E5081" t="s">
        <v>108</v>
      </c>
      <c r="F5081" t="s">
        <v>951</v>
      </c>
      <c r="G5081">
        <v>1877777</v>
      </c>
      <c r="H5081">
        <v>500221</v>
      </c>
      <c r="I5081" t="s">
        <v>949</v>
      </c>
    </row>
    <row r="5082" spans="1:9" x14ac:dyDescent="0.25">
      <c r="A5082">
        <v>3120</v>
      </c>
      <c r="B5082">
        <v>18</v>
      </c>
      <c r="C5082" t="s">
        <v>963</v>
      </c>
      <c r="D5082" t="s">
        <v>946</v>
      </c>
      <c r="E5082" t="s">
        <v>108</v>
      </c>
      <c r="F5082" t="s">
        <v>952</v>
      </c>
      <c r="G5082">
        <v>1877777</v>
      </c>
      <c r="H5082">
        <v>500221</v>
      </c>
      <c r="I5082" t="s">
        <v>949</v>
      </c>
    </row>
    <row r="5083" spans="1:9" x14ac:dyDescent="0.25">
      <c r="A5083">
        <v>3120</v>
      </c>
      <c r="B5083">
        <v>18</v>
      </c>
      <c r="C5083" t="s">
        <v>950</v>
      </c>
      <c r="D5083" t="s">
        <v>946</v>
      </c>
      <c r="E5083" t="s">
        <v>121</v>
      </c>
      <c r="F5083" t="s">
        <v>951</v>
      </c>
      <c r="G5083">
        <v>1877777</v>
      </c>
      <c r="H5083">
        <v>500221</v>
      </c>
      <c r="I5083" t="s">
        <v>949</v>
      </c>
    </row>
    <row r="5084" spans="1:9" x14ac:dyDescent="0.25">
      <c r="A5084">
        <v>3120</v>
      </c>
      <c r="B5084">
        <v>18</v>
      </c>
      <c r="C5084" t="s">
        <v>962</v>
      </c>
      <c r="D5084" t="s">
        <v>946</v>
      </c>
      <c r="E5084" t="s">
        <v>121</v>
      </c>
      <c r="F5084" t="s">
        <v>951</v>
      </c>
      <c r="G5084">
        <v>1877777</v>
      </c>
      <c r="H5084">
        <v>500221</v>
      </c>
      <c r="I5084" t="s">
        <v>949</v>
      </c>
    </row>
    <row r="5085" spans="1:9" x14ac:dyDescent="0.25">
      <c r="A5085">
        <v>3120</v>
      </c>
      <c r="B5085">
        <v>18</v>
      </c>
      <c r="C5085" t="s">
        <v>963</v>
      </c>
      <c r="D5085" t="s">
        <v>946</v>
      </c>
      <c r="E5085" t="s">
        <v>121</v>
      </c>
      <c r="F5085" t="s">
        <v>951</v>
      </c>
      <c r="G5085">
        <v>1877777</v>
      </c>
      <c r="H5085">
        <v>500221</v>
      </c>
      <c r="I5085" t="s">
        <v>949</v>
      </c>
    </row>
    <row r="5086" ht="22" customHeight="1" spans="1:10" x14ac:dyDescent="0.25">
      <c r="A5086" s="41">
        <v>4152</v>
      </c>
      <c r="B5086" s="41">
        <v>18</v>
      </c>
      <c r="C5086" s="41" t="s">
        <v>946</v>
      </c>
      <c r="D5086" s="41">
        <v>99</v>
      </c>
      <c r="E5086" s="41" t="s">
        <v>243</v>
      </c>
      <c r="F5086" s="41" t="s">
        <v>948</v>
      </c>
      <c r="G5086" s="41">
        <v>1800000</v>
      </c>
      <c r="H5086" s="41">
        <v>145000</v>
      </c>
      <c r="I5086" s="41" t="s">
        <v>949</v>
      </c>
      <c r="J5086" s="42" t="s">
        <v>968</v>
      </c>
    </row>
    <row r="5087" ht="22" customHeight="1" spans="1:10" x14ac:dyDescent="0.25">
      <c r="A5087" s="41">
        <v>4152</v>
      </c>
      <c r="B5087" s="41">
        <v>18</v>
      </c>
      <c r="C5087" s="41" t="s">
        <v>946</v>
      </c>
      <c r="D5087" s="41">
        <v>99</v>
      </c>
      <c r="E5087" s="41" t="s">
        <v>247</v>
      </c>
      <c r="F5087" s="41" t="s">
        <v>948</v>
      </c>
      <c r="G5087" s="41">
        <v>1800000</v>
      </c>
      <c r="H5087" s="41">
        <v>145000</v>
      </c>
      <c r="I5087" s="41" t="s">
        <v>949</v>
      </c>
      <c r="J5087" s="42" t="s">
        <v>968</v>
      </c>
    </row>
    <row r="5088" ht="22" customHeight="1" spans="1:10" x14ac:dyDescent="0.25">
      <c r="A5088" s="41">
        <v>4152</v>
      </c>
      <c r="B5088" s="41">
        <v>18</v>
      </c>
      <c r="C5088" s="41" t="s">
        <v>946</v>
      </c>
      <c r="D5088" s="41">
        <v>99</v>
      </c>
      <c r="E5088" s="41" t="s">
        <v>251</v>
      </c>
      <c r="F5088" s="41" t="s">
        <v>948</v>
      </c>
      <c r="G5088" s="41">
        <v>1800000</v>
      </c>
      <c r="H5088" s="41">
        <v>142000</v>
      </c>
      <c r="I5088" s="41" t="s">
        <v>949</v>
      </c>
      <c r="J5088" s="42" t="s">
        <v>968</v>
      </c>
    </row>
    <row r="5089" ht="22" customHeight="1" spans="1:10" x14ac:dyDescent="0.25">
      <c r="A5089" s="41">
        <v>4152</v>
      </c>
      <c r="B5089" s="41">
        <v>18</v>
      </c>
      <c r="C5089" s="41" t="s">
        <v>946</v>
      </c>
      <c r="D5089" s="41">
        <v>99</v>
      </c>
      <c r="E5089" s="41" t="s">
        <v>969</v>
      </c>
      <c r="F5089" s="41" t="s">
        <v>948</v>
      </c>
      <c r="G5089" s="41">
        <v>1800000</v>
      </c>
      <c r="H5089" s="41">
        <v>141000</v>
      </c>
      <c r="I5089" s="41" t="s">
        <v>970</v>
      </c>
      <c r="J5089" s="42" t="s">
        <v>968</v>
      </c>
    </row>
    <row r="5090" ht="22" customHeight="1" spans="1:10" x14ac:dyDescent="0.25">
      <c r="A5090" s="41">
        <v>4152</v>
      </c>
      <c r="B5090" s="41">
        <v>18</v>
      </c>
      <c r="C5090" s="41" t="s">
        <v>946</v>
      </c>
      <c r="D5090" s="41">
        <v>99</v>
      </c>
      <c r="E5090" s="41" t="s">
        <v>255</v>
      </c>
      <c r="F5090" s="41" t="s">
        <v>948</v>
      </c>
      <c r="G5090" s="41">
        <v>1800000</v>
      </c>
      <c r="H5090" s="41">
        <v>145000</v>
      </c>
      <c r="I5090" s="41" t="s">
        <v>949</v>
      </c>
      <c r="J5090" s="42" t="s">
        <v>968</v>
      </c>
    </row>
    <row r="5091" ht="22" customHeight="1" spans="1:10" x14ac:dyDescent="0.25">
      <c r="A5091" s="41">
        <v>4152</v>
      </c>
      <c r="B5091" s="41">
        <v>18</v>
      </c>
      <c r="C5091" s="41" t="s">
        <v>946</v>
      </c>
      <c r="D5091" s="41">
        <v>99</v>
      </c>
      <c r="E5091" s="41" t="s">
        <v>971</v>
      </c>
      <c r="F5091" s="41" t="s">
        <v>948</v>
      </c>
      <c r="G5091" s="41">
        <v>1800000</v>
      </c>
      <c r="H5091" s="41">
        <v>141000</v>
      </c>
      <c r="I5091" s="41" t="s">
        <v>972</v>
      </c>
      <c r="J5091" s="42" t="s">
        <v>968</v>
      </c>
    </row>
    <row r="5092" ht="22" customHeight="1" spans="1:10" x14ac:dyDescent="0.25">
      <c r="A5092" s="41">
        <v>4152</v>
      </c>
      <c r="B5092" s="41">
        <v>18</v>
      </c>
      <c r="C5092" s="41" t="s">
        <v>946</v>
      </c>
      <c r="D5092" s="41">
        <v>99</v>
      </c>
      <c r="E5092" s="41" t="s">
        <v>263</v>
      </c>
      <c r="F5092" s="41" t="s">
        <v>948</v>
      </c>
      <c r="G5092" s="41">
        <v>1800000</v>
      </c>
      <c r="H5092" s="41">
        <v>145000</v>
      </c>
      <c r="I5092" s="41" t="s">
        <v>949</v>
      </c>
      <c r="J5092" s="42" t="s">
        <v>968</v>
      </c>
    </row>
    <row r="5093" ht="22" customHeight="1" spans="1:10" x14ac:dyDescent="0.25">
      <c r="A5093" s="41">
        <v>4152</v>
      </c>
      <c r="B5093" s="41">
        <v>18</v>
      </c>
      <c r="C5093" s="41" t="s">
        <v>946</v>
      </c>
      <c r="D5093" s="41">
        <v>99</v>
      </c>
      <c r="E5093" s="41" t="s">
        <v>270</v>
      </c>
      <c r="F5093" s="41" t="s">
        <v>948</v>
      </c>
      <c r="G5093" s="41">
        <v>1800000</v>
      </c>
      <c r="H5093" s="41">
        <v>145000</v>
      </c>
      <c r="I5093" s="41" t="s">
        <v>949</v>
      </c>
      <c r="J5093" s="42" t="s">
        <v>968</v>
      </c>
    </row>
    <row r="5094" ht="22" customHeight="1" spans="1:10" x14ac:dyDescent="0.25">
      <c r="A5094" s="41">
        <v>4152</v>
      </c>
      <c r="B5094" s="41">
        <v>18</v>
      </c>
      <c r="C5094" s="41" t="s">
        <v>946</v>
      </c>
      <c r="D5094" s="41">
        <v>99</v>
      </c>
      <c r="E5094" s="41" t="s">
        <v>274</v>
      </c>
      <c r="F5094" s="41" t="s">
        <v>948</v>
      </c>
      <c r="G5094" s="41">
        <v>1800000</v>
      </c>
      <c r="H5094" s="41">
        <v>143000</v>
      </c>
      <c r="I5094" s="41" t="s">
        <v>973</v>
      </c>
      <c r="J5094" s="42" t="s">
        <v>968</v>
      </c>
    </row>
    <row r="5095" ht="22" customHeight="1" spans="1:10" x14ac:dyDescent="0.25">
      <c r="A5095" s="41">
        <v>4152</v>
      </c>
      <c r="B5095" s="41">
        <v>18</v>
      </c>
      <c r="C5095" s="41" t="s">
        <v>946</v>
      </c>
      <c r="D5095" s="41">
        <v>99</v>
      </c>
      <c r="E5095" s="41" t="s">
        <v>974</v>
      </c>
      <c r="F5095" s="41" t="s">
        <v>948</v>
      </c>
      <c r="G5095" s="41">
        <v>1800000</v>
      </c>
      <c r="H5095" s="41">
        <v>141000</v>
      </c>
      <c r="I5095" s="41" t="s">
        <v>975</v>
      </c>
      <c r="J5095" s="42" t="s">
        <v>968</v>
      </c>
    </row>
    <row r="5096" ht="22" customHeight="1" spans="1:10" x14ac:dyDescent="0.25">
      <c r="A5096" s="41">
        <v>4152</v>
      </c>
      <c r="B5096" s="41">
        <v>18</v>
      </c>
      <c r="C5096" s="41" t="s">
        <v>946</v>
      </c>
      <c r="D5096" s="41">
        <v>99</v>
      </c>
      <c r="E5096" s="41" t="s">
        <v>278</v>
      </c>
      <c r="F5096" s="41" t="s">
        <v>948</v>
      </c>
      <c r="G5096" s="41">
        <v>1800000</v>
      </c>
      <c r="H5096" s="41">
        <v>145000</v>
      </c>
      <c r="I5096" s="41" t="s">
        <v>949</v>
      </c>
      <c r="J5096" s="42" t="s">
        <v>968</v>
      </c>
    </row>
    <row r="5097" ht="22" customHeight="1" spans="1:10" x14ac:dyDescent="0.25">
      <c r="A5097" s="41">
        <v>4152</v>
      </c>
      <c r="B5097" s="41">
        <v>18</v>
      </c>
      <c r="C5097" s="41" t="s">
        <v>946</v>
      </c>
      <c r="D5097" s="41">
        <v>99</v>
      </c>
      <c r="E5097" s="41" t="s">
        <v>282</v>
      </c>
      <c r="F5097" s="41" t="s">
        <v>948</v>
      </c>
      <c r="G5097" s="41">
        <v>1800000</v>
      </c>
      <c r="H5097" s="41">
        <v>143100</v>
      </c>
      <c r="I5097" s="41" t="s">
        <v>949</v>
      </c>
      <c r="J5097" s="42" t="s">
        <v>968</v>
      </c>
    </row>
    <row r="5098" ht="22" customHeight="1" spans="1:10" x14ac:dyDescent="0.25">
      <c r="A5098" s="41">
        <v>4152</v>
      </c>
      <c r="B5098" s="41">
        <v>18</v>
      </c>
      <c r="C5098" s="41" t="s">
        <v>946</v>
      </c>
      <c r="D5098" s="41">
        <v>99</v>
      </c>
      <c r="E5098" s="41" t="s">
        <v>286</v>
      </c>
      <c r="F5098" s="41" t="s">
        <v>948</v>
      </c>
      <c r="G5098" s="41">
        <v>1800000</v>
      </c>
      <c r="H5098" s="41">
        <v>145000</v>
      </c>
      <c r="I5098" s="41" t="s">
        <v>949</v>
      </c>
      <c r="J5098" s="42" t="s">
        <v>968</v>
      </c>
    </row>
    <row r="5099" ht="22" customHeight="1" spans="1:10" x14ac:dyDescent="0.25">
      <c r="A5099" s="41">
        <v>4152</v>
      </c>
      <c r="B5099" s="41">
        <v>18</v>
      </c>
      <c r="C5099" s="41" t="s">
        <v>946</v>
      </c>
      <c r="D5099" s="41">
        <v>99</v>
      </c>
      <c r="E5099" s="41" t="s">
        <v>976</v>
      </c>
      <c r="F5099" s="41" t="s">
        <v>948</v>
      </c>
      <c r="G5099" s="41">
        <v>1800000</v>
      </c>
      <c r="H5099" s="41">
        <v>141000</v>
      </c>
      <c r="I5099" s="41" t="s">
        <v>977</v>
      </c>
      <c r="J5099" s="42" t="s">
        <v>968</v>
      </c>
    </row>
    <row r="5100" ht="22" customHeight="1" spans="1:10" x14ac:dyDescent="0.25">
      <c r="A5100" s="41">
        <v>4152</v>
      </c>
      <c r="B5100" s="41">
        <v>18</v>
      </c>
      <c r="C5100" s="41" t="s">
        <v>946</v>
      </c>
      <c r="D5100" s="41">
        <v>99</v>
      </c>
      <c r="E5100" s="41" t="s">
        <v>290</v>
      </c>
      <c r="F5100" s="41" t="s">
        <v>948</v>
      </c>
      <c r="G5100" s="41">
        <v>1800000</v>
      </c>
      <c r="H5100" s="41">
        <v>143000</v>
      </c>
      <c r="I5100" s="41" t="s">
        <v>978</v>
      </c>
      <c r="J5100" s="42" t="s">
        <v>968</v>
      </c>
    </row>
    <row r="5101" ht="22" customHeight="1" spans="1:10" x14ac:dyDescent="0.25">
      <c r="A5101" s="41">
        <v>4152</v>
      </c>
      <c r="B5101" s="41">
        <v>18</v>
      </c>
      <c r="C5101" s="41" t="s">
        <v>946</v>
      </c>
      <c r="D5101" s="41">
        <v>99</v>
      </c>
      <c r="E5101" s="41" t="s">
        <v>294</v>
      </c>
      <c r="F5101" s="41" t="s">
        <v>948</v>
      </c>
      <c r="G5101" s="41">
        <v>1800000</v>
      </c>
      <c r="H5101" s="41">
        <v>143000</v>
      </c>
      <c r="I5101" s="41" t="s">
        <v>979</v>
      </c>
      <c r="J5101" s="42" t="s">
        <v>968</v>
      </c>
    </row>
    <row r="5102" ht="22" customHeight="1" spans="1:10" x14ac:dyDescent="0.25">
      <c r="A5102" s="41">
        <v>4152</v>
      </c>
      <c r="B5102" s="41">
        <v>18</v>
      </c>
      <c r="C5102" s="41" t="s">
        <v>946</v>
      </c>
      <c r="D5102" s="41">
        <v>99</v>
      </c>
      <c r="E5102" s="41" t="s">
        <v>980</v>
      </c>
      <c r="F5102" s="41" t="s">
        <v>948</v>
      </c>
      <c r="G5102" s="41">
        <v>1800000</v>
      </c>
      <c r="H5102" s="41">
        <v>141000</v>
      </c>
      <c r="I5102" s="41" t="s">
        <v>981</v>
      </c>
      <c r="J5102" s="42" t="s">
        <v>968</v>
      </c>
    </row>
    <row r="5103" ht="22" customHeight="1" spans="1:10" x14ac:dyDescent="0.25">
      <c r="A5103" s="41">
        <v>4152</v>
      </c>
      <c r="B5103" s="41">
        <v>18</v>
      </c>
      <c r="C5103" s="41" t="s">
        <v>946</v>
      </c>
      <c r="D5103" s="41">
        <v>99</v>
      </c>
      <c r="E5103" s="41" t="s">
        <v>302</v>
      </c>
      <c r="F5103" s="41" t="s">
        <v>948</v>
      </c>
      <c r="G5103" s="41">
        <v>1800000</v>
      </c>
      <c r="H5103" s="41">
        <v>143000</v>
      </c>
      <c r="I5103" s="41" t="s">
        <v>982</v>
      </c>
      <c r="J5103" s="42" t="s">
        <v>968</v>
      </c>
    </row>
    <row r="5104" ht="22" customHeight="1" spans="1:10" x14ac:dyDescent="0.25">
      <c r="A5104" s="41">
        <v>4152</v>
      </c>
      <c r="B5104" s="41">
        <v>18</v>
      </c>
      <c r="C5104" s="41" t="s">
        <v>946</v>
      </c>
      <c r="D5104" s="41">
        <v>99</v>
      </c>
      <c r="E5104" s="41" t="s">
        <v>306</v>
      </c>
      <c r="F5104" s="41" t="s">
        <v>948</v>
      </c>
      <c r="G5104" s="41">
        <v>1800000</v>
      </c>
      <c r="H5104" s="41">
        <v>143000</v>
      </c>
      <c r="I5104" s="41" t="s">
        <v>983</v>
      </c>
      <c r="J5104" s="42" t="s">
        <v>968</v>
      </c>
    </row>
    <row r="5105" ht="22" customHeight="1" spans="1:10" x14ac:dyDescent="0.25">
      <c r="A5105" s="41">
        <v>4152</v>
      </c>
      <c r="B5105" s="41">
        <v>18</v>
      </c>
      <c r="C5105" s="41" t="s">
        <v>946</v>
      </c>
      <c r="D5105" s="41">
        <v>99</v>
      </c>
      <c r="E5105" s="41" t="s">
        <v>310</v>
      </c>
      <c r="F5105" s="41" t="s">
        <v>948</v>
      </c>
      <c r="G5105" s="41">
        <v>1800000</v>
      </c>
      <c r="H5105" s="41">
        <v>145000</v>
      </c>
      <c r="I5105" s="41" t="s">
        <v>949</v>
      </c>
      <c r="J5105" s="42" t="s">
        <v>968</v>
      </c>
    </row>
    <row r="5106" ht="22" customHeight="1" spans="1:10" x14ac:dyDescent="0.25">
      <c r="A5106" s="41">
        <v>4152</v>
      </c>
      <c r="B5106" s="41">
        <v>18</v>
      </c>
      <c r="C5106" s="41" t="s">
        <v>946</v>
      </c>
      <c r="D5106" s="41">
        <v>99</v>
      </c>
      <c r="E5106" s="41" t="s">
        <v>314</v>
      </c>
      <c r="F5106" s="41" t="s">
        <v>948</v>
      </c>
      <c r="G5106" s="41">
        <v>1800000</v>
      </c>
      <c r="H5106" s="41">
        <v>145000</v>
      </c>
      <c r="I5106" s="41" t="s">
        <v>949</v>
      </c>
      <c r="J5106" s="42" t="s">
        <v>968</v>
      </c>
    </row>
    <row r="5107" ht="22" customHeight="1" spans="1:10" x14ac:dyDescent="0.25">
      <c r="A5107" s="41">
        <v>4152</v>
      </c>
      <c r="B5107" s="41">
        <v>18</v>
      </c>
      <c r="C5107" s="41" t="s">
        <v>946</v>
      </c>
      <c r="D5107" s="41">
        <v>99</v>
      </c>
      <c r="E5107" s="41" t="s">
        <v>984</v>
      </c>
      <c r="F5107" s="41" t="s">
        <v>948</v>
      </c>
      <c r="G5107" s="41">
        <v>1800000</v>
      </c>
      <c r="H5107" s="41">
        <v>141000</v>
      </c>
      <c r="I5107" s="41" t="s">
        <v>985</v>
      </c>
      <c r="J5107" s="42" t="s">
        <v>968</v>
      </c>
    </row>
    <row r="5108" spans="1:9" x14ac:dyDescent="0.25">
      <c r="A5108">
        <v>4141</v>
      </c>
      <c r="B5108">
        <v>18</v>
      </c>
      <c r="C5108" t="s">
        <v>946</v>
      </c>
      <c r="D5108" t="s">
        <v>986</v>
      </c>
      <c r="E5108" t="s">
        <v>243</v>
      </c>
      <c r="F5108" t="s">
        <v>948</v>
      </c>
      <c r="G5108">
        <v>1877777</v>
      </c>
      <c r="H5108">
        <v>501010</v>
      </c>
      <c r="I5108">
        <v>70</v>
      </c>
    </row>
    <row r="5109" spans="1:9" x14ac:dyDescent="0.25">
      <c r="A5109">
        <v>4220</v>
      </c>
      <c r="B5109">
        <v>18</v>
      </c>
      <c r="C5109" t="s">
        <v>946</v>
      </c>
      <c r="D5109" t="s">
        <v>986</v>
      </c>
      <c r="E5109" t="s">
        <v>243</v>
      </c>
      <c r="F5109" t="s">
        <v>948</v>
      </c>
      <c r="G5109">
        <v>1877777</v>
      </c>
      <c r="H5109">
        <v>500220</v>
      </c>
      <c r="I5109" t="s">
        <v>949</v>
      </c>
    </row>
    <row r="5110" spans="1:9" x14ac:dyDescent="0.25">
      <c r="A5110">
        <v>4230</v>
      </c>
      <c r="B5110">
        <v>18</v>
      </c>
      <c r="C5110" t="s">
        <v>946</v>
      </c>
      <c r="D5110" t="s">
        <v>986</v>
      </c>
      <c r="E5110" t="s">
        <v>243</v>
      </c>
      <c r="F5110" t="s">
        <v>948</v>
      </c>
      <c r="G5110">
        <v>1899999</v>
      </c>
      <c r="H5110">
        <v>403055</v>
      </c>
      <c r="I5110">
        <v>70</v>
      </c>
    </row>
    <row r="5111" spans="1:9" x14ac:dyDescent="0.25">
      <c r="A5111">
        <v>4240</v>
      </c>
      <c r="B5111">
        <v>18</v>
      </c>
      <c r="C5111" t="s">
        <v>946</v>
      </c>
      <c r="D5111" t="s">
        <v>986</v>
      </c>
      <c r="E5111" t="s">
        <v>243</v>
      </c>
      <c r="F5111" t="s">
        <v>948</v>
      </c>
      <c r="G5111">
        <v>1877777</v>
      </c>
      <c r="H5111">
        <v>500221</v>
      </c>
      <c r="I5111" t="s">
        <v>949</v>
      </c>
    </row>
    <row r="5112" spans="1:9" x14ac:dyDescent="0.25">
      <c r="A5112">
        <v>4141</v>
      </c>
      <c r="B5112">
        <v>18</v>
      </c>
      <c r="C5112" t="s">
        <v>946</v>
      </c>
      <c r="D5112" t="s">
        <v>986</v>
      </c>
      <c r="E5112" t="s">
        <v>247</v>
      </c>
      <c r="F5112" t="s">
        <v>948</v>
      </c>
      <c r="G5112">
        <v>1877777</v>
      </c>
      <c r="H5112">
        <v>501010</v>
      </c>
      <c r="I5112">
        <v>70</v>
      </c>
    </row>
    <row r="5113" spans="1:9" x14ac:dyDescent="0.25">
      <c r="A5113">
        <v>4220</v>
      </c>
      <c r="B5113">
        <v>18</v>
      </c>
      <c r="C5113" t="s">
        <v>946</v>
      </c>
      <c r="D5113" t="s">
        <v>986</v>
      </c>
      <c r="E5113" t="s">
        <v>247</v>
      </c>
      <c r="F5113" t="s">
        <v>948</v>
      </c>
      <c r="G5113">
        <v>1877777</v>
      </c>
      <c r="H5113">
        <v>500220</v>
      </c>
      <c r="I5113" t="s">
        <v>949</v>
      </c>
    </row>
    <row r="5114" spans="1:9" x14ac:dyDescent="0.25">
      <c r="A5114">
        <v>4230</v>
      </c>
      <c r="B5114">
        <v>18</v>
      </c>
      <c r="C5114" t="s">
        <v>946</v>
      </c>
      <c r="D5114" t="s">
        <v>986</v>
      </c>
      <c r="E5114" t="s">
        <v>247</v>
      </c>
      <c r="F5114" t="s">
        <v>948</v>
      </c>
      <c r="G5114">
        <v>1899999</v>
      </c>
      <c r="H5114">
        <v>403025</v>
      </c>
      <c r="I5114">
        <v>70</v>
      </c>
    </row>
    <row r="5115" spans="1:9" x14ac:dyDescent="0.25">
      <c r="A5115">
        <v>4240</v>
      </c>
      <c r="B5115">
        <v>18</v>
      </c>
      <c r="C5115" t="s">
        <v>946</v>
      </c>
      <c r="D5115" t="s">
        <v>986</v>
      </c>
      <c r="E5115" t="s">
        <v>247</v>
      </c>
      <c r="F5115" t="s">
        <v>948</v>
      </c>
      <c r="G5115">
        <v>1877777</v>
      </c>
      <c r="H5115">
        <v>500221</v>
      </c>
      <c r="I5115" t="s">
        <v>949</v>
      </c>
    </row>
    <row r="5116" spans="1:9" x14ac:dyDescent="0.25">
      <c r="A5116">
        <v>4141</v>
      </c>
      <c r="B5116">
        <v>18</v>
      </c>
      <c r="C5116" t="s">
        <v>946</v>
      </c>
      <c r="D5116" t="s">
        <v>986</v>
      </c>
      <c r="E5116" t="s">
        <v>251</v>
      </c>
      <c r="F5116" t="s">
        <v>948</v>
      </c>
      <c r="G5116">
        <v>1877777</v>
      </c>
      <c r="H5116">
        <v>501010</v>
      </c>
      <c r="I5116">
        <v>70</v>
      </c>
    </row>
    <row r="5117" spans="1:9" x14ac:dyDescent="0.25">
      <c r="A5117">
        <v>4220</v>
      </c>
      <c r="B5117">
        <v>18</v>
      </c>
      <c r="C5117" t="s">
        <v>946</v>
      </c>
      <c r="D5117" t="s">
        <v>986</v>
      </c>
      <c r="E5117" t="s">
        <v>251</v>
      </c>
      <c r="F5117" t="s">
        <v>948</v>
      </c>
      <c r="G5117">
        <v>1877777</v>
      </c>
      <c r="H5117">
        <v>500220</v>
      </c>
      <c r="I5117" t="s">
        <v>949</v>
      </c>
    </row>
    <row r="5118" spans="1:9" x14ac:dyDescent="0.25">
      <c r="A5118">
        <v>4230</v>
      </c>
      <c r="B5118">
        <v>18</v>
      </c>
      <c r="C5118" t="s">
        <v>946</v>
      </c>
      <c r="D5118" t="s">
        <v>986</v>
      </c>
      <c r="E5118" t="s">
        <v>251</v>
      </c>
      <c r="F5118" t="s">
        <v>948</v>
      </c>
      <c r="G5118">
        <v>1899999</v>
      </c>
      <c r="H5118">
        <v>403045</v>
      </c>
      <c r="I5118">
        <v>70</v>
      </c>
    </row>
    <row r="5119" spans="1:9" x14ac:dyDescent="0.25">
      <c r="A5119">
        <v>4240</v>
      </c>
      <c r="B5119">
        <v>18</v>
      </c>
      <c r="C5119" t="s">
        <v>946</v>
      </c>
      <c r="D5119" t="s">
        <v>986</v>
      </c>
      <c r="E5119" t="s">
        <v>251</v>
      </c>
      <c r="F5119" t="s">
        <v>948</v>
      </c>
      <c r="G5119">
        <v>1877777</v>
      </c>
      <c r="H5119">
        <v>500221</v>
      </c>
      <c r="I5119" t="s">
        <v>949</v>
      </c>
    </row>
    <row r="5120" spans="1:9" x14ac:dyDescent="0.25">
      <c r="A5120">
        <v>4141</v>
      </c>
      <c r="B5120">
        <v>18</v>
      </c>
      <c r="C5120" t="s">
        <v>946</v>
      </c>
      <c r="D5120" t="s">
        <v>986</v>
      </c>
      <c r="E5120" t="s">
        <v>969</v>
      </c>
      <c r="F5120" t="s">
        <v>948</v>
      </c>
      <c r="G5120">
        <v>1877777</v>
      </c>
      <c r="H5120">
        <v>501010</v>
      </c>
      <c r="I5120">
        <v>70</v>
      </c>
    </row>
    <row r="5121" spans="1:9" x14ac:dyDescent="0.25">
      <c r="A5121">
        <v>4220</v>
      </c>
      <c r="B5121">
        <v>18</v>
      </c>
      <c r="C5121" t="s">
        <v>946</v>
      </c>
      <c r="D5121" t="s">
        <v>986</v>
      </c>
      <c r="E5121" t="s">
        <v>969</v>
      </c>
      <c r="F5121" t="s">
        <v>948</v>
      </c>
      <c r="G5121">
        <v>1877777</v>
      </c>
      <c r="H5121">
        <v>500220</v>
      </c>
      <c r="I5121" t="s">
        <v>949</v>
      </c>
    </row>
    <row r="5122" spans="1:9" x14ac:dyDescent="0.25">
      <c r="A5122">
        <v>4230</v>
      </c>
      <c r="B5122">
        <v>18</v>
      </c>
      <c r="C5122" t="s">
        <v>946</v>
      </c>
      <c r="D5122" t="s">
        <v>986</v>
      </c>
      <c r="E5122" t="s">
        <v>969</v>
      </c>
      <c r="F5122" t="s">
        <v>948</v>
      </c>
      <c r="G5122">
        <v>1899999</v>
      </c>
      <c r="H5122">
        <v>403915</v>
      </c>
      <c r="I5122">
        <v>70</v>
      </c>
    </row>
    <row r="5123" spans="1:9" x14ac:dyDescent="0.25">
      <c r="A5123">
        <v>4240</v>
      </c>
      <c r="B5123">
        <v>18</v>
      </c>
      <c r="C5123" t="s">
        <v>946</v>
      </c>
      <c r="D5123" t="s">
        <v>986</v>
      </c>
      <c r="E5123" t="s">
        <v>969</v>
      </c>
      <c r="F5123" t="s">
        <v>948</v>
      </c>
      <c r="G5123">
        <v>1877777</v>
      </c>
      <c r="H5123">
        <v>500221</v>
      </c>
      <c r="I5123" t="s">
        <v>949</v>
      </c>
    </row>
    <row r="5124" spans="1:9" x14ac:dyDescent="0.25">
      <c r="A5124">
        <v>4141</v>
      </c>
      <c r="B5124">
        <v>18</v>
      </c>
      <c r="C5124" t="s">
        <v>946</v>
      </c>
      <c r="D5124" t="s">
        <v>986</v>
      </c>
      <c r="E5124" t="s">
        <v>255</v>
      </c>
      <c r="F5124" t="s">
        <v>948</v>
      </c>
      <c r="G5124">
        <v>1877777</v>
      </c>
      <c r="H5124">
        <v>501010</v>
      </c>
      <c r="I5124">
        <v>70</v>
      </c>
    </row>
    <row r="5125" spans="1:9" x14ac:dyDescent="0.25">
      <c r="A5125">
        <v>4220</v>
      </c>
      <c r="B5125">
        <v>18</v>
      </c>
      <c r="C5125" t="s">
        <v>946</v>
      </c>
      <c r="D5125" t="s">
        <v>986</v>
      </c>
      <c r="E5125" t="s">
        <v>255</v>
      </c>
      <c r="F5125" t="s">
        <v>948</v>
      </c>
      <c r="G5125">
        <v>1877777</v>
      </c>
      <c r="H5125">
        <v>500220</v>
      </c>
      <c r="I5125" t="s">
        <v>949</v>
      </c>
    </row>
    <row r="5126" spans="1:9" x14ac:dyDescent="0.25">
      <c r="A5126">
        <v>4230</v>
      </c>
      <c r="B5126">
        <v>18</v>
      </c>
      <c r="C5126" t="s">
        <v>946</v>
      </c>
      <c r="D5126" t="s">
        <v>986</v>
      </c>
      <c r="E5126" t="s">
        <v>255</v>
      </c>
      <c r="F5126" t="s">
        <v>948</v>
      </c>
      <c r="G5126">
        <v>1899999</v>
      </c>
      <c r="H5126">
        <v>403075</v>
      </c>
      <c r="I5126">
        <v>70</v>
      </c>
    </row>
    <row r="5127" spans="1:9" x14ac:dyDescent="0.25">
      <c r="A5127">
        <v>4240</v>
      </c>
      <c r="B5127">
        <v>18</v>
      </c>
      <c r="C5127" t="s">
        <v>946</v>
      </c>
      <c r="D5127" t="s">
        <v>986</v>
      </c>
      <c r="E5127" t="s">
        <v>255</v>
      </c>
      <c r="F5127" t="s">
        <v>948</v>
      </c>
      <c r="G5127">
        <v>1877777</v>
      </c>
      <c r="H5127">
        <v>500221</v>
      </c>
      <c r="I5127" t="s">
        <v>949</v>
      </c>
    </row>
    <row r="5128" spans="1:9" x14ac:dyDescent="0.25">
      <c r="A5128">
        <v>4141</v>
      </c>
      <c r="B5128">
        <v>18</v>
      </c>
      <c r="C5128" t="s">
        <v>946</v>
      </c>
      <c r="D5128" t="s">
        <v>986</v>
      </c>
      <c r="E5128" t="s">
        <v>971</v>
      </c>
      <c r="F5128" t="s">
        <v>948</v>
      </c>
      <c r="G5128">
        <v>1877777</v>
      </c>
      <c r="H5128">
        <v>501010</v>
      </c>
      <c r="I5128">
        <v>70</v>
      </c>
    </row>
    <row r="5129" spans="1:9" x14ac:dyDescent="0.25">
      <c r="A5129">
        <v>4220</v>
      </c>
      <c r="B5129">
        <v>18</v>
      </c>
      <c r="C5129" t="s">
        <v>946</v>
      </c>
      <c r="D5129" t="s">
        <v>986</v>
      </c>
      <c r="E5129" t="s">
        <v>971</v>
      </c>
      <c r="F5129" t="s">
        <v>948</v>
      </c>
      <c r="G5129">
        <v>1877777</v>
      </c>
      <c r="H5129">
        <v>500220</v>
      </c>
      <c r="I5129" t="s">
        <v>949</v>
      </c>
    </row>
    <row r="5130" spans="1:9" x14ac:dyDescent="0.25">
      <c r="A5130">
        <v>4230</v>
      </c>
      <c r="B5130">
        <v>18</v>
      </c>
      <c r="C5130" t="s">
        <v>946</v>
      </c>
      <c r="D5130" t="s">
        <v>986</v>
      </c>
      <c r="E5130" t="s">
        <v>971</v>
      </c>
      <c r="F5130" t="s">
        <v>948</v>
      </c>
      <c r="G5130">
        <v>1899999</v>
      </c>
      <c r="H5130">
        <v>403915</v>
      </c>
      <c r="I5130">
        <v>70</v>
      </c>
    </row>
    <row r="5131" spans="1:9" x14ac:dyDescent="0.25">
      <c r="A5131">
        <v>4240</v>
      </c>
      <c r="B5131">
        <v>18</v>
      </c>
      <c r="C5131" t="s">
        <v>946</v>
      </c>
      <c r="D5131" t="s">
        <v>986</v>
      </c>
      <c r="E5131" t="s">
        <v>971</v>
      </c>
      <c r="F5131" t="s">
        <v>948</v>
      </c>
      <c r="G5131">
        <v>1877777</v>
      </c>
      <c r="H5131">
        <v>500221</v>
      </c>
      <c r="I5131" t="s">
        <v>949</v>
      </c>
    </row>
    <row r="5132" spans="1:9" x14ac:dyDescent="0.25">
      <c r="A5132">
        <v>4230</v>
      </c>
      <c r="B5132">
        <v>18</v>
      </c>
      <c r="C5132" t="s">
        <v>946</v>
      </c>
      <c r="D5132" t="s">
        <v>986</v>
      </c>
      <c r="E5132" t="s">
        <v>259</v>
      </c>
      <c r="F5132" t="s">
        <v>948</v>
      </c>
      <c r="G5132">
        <v>1899999</v>
      </c>
      <c r="H5132">
        <v>409005</v>
      </c>
      <c r="I5132">
        <v>70</v>
      </c>
    </row>
    <row r="5133" spans="1:9" x14ac:dyDescent="0.25">
      <c r="A5133">
        <v>4141</v>
      </c>
      <c r="B5133">
        <v>18</v>
      </c>
      <c r="C5133" t="s">
        <v>946</v>
      </c>
      <c r="D5133" t="s">
        <v>986</v>
      </c>
      <c r="E5133" t="s">
        <v>263</v>
      </c>
      <c r="F5133" t="s">
        <v>948</v>
      </c>
      <c r="G5133">
        <v>1877777</v>
      </c>
      <c r="H5133">
        <v>501010</v>
      </c>
      <c r="I5133">
        <v>70</v>
      </c>
    </row>
    <row r="5134" spans="1:9" x14ac:dyDescent="0.25">
      <c r="A5134">
        <v>4220</v>
      </c>
      <c r="B5134">
        <v>18</v>
      </c>
      <c r="C5134" t="s">
        <v>946</v>
      </c>
      <c r="D5134" t="s">
        <v>986</v>
      </c>
      <c r="E5134" t="s">
        <v>263</v>
      </c>
      <c r="F5134" t="s">
        <v>948</v>
      </c>
      <c r="G5134">
        <v>1877777</v>
      </c>
      <c r="H5134">
        <v>500220</v>
      </c>
      <c r="I5134" t="s">
        <v>949</v>
      </c>
    </row>
    <row r="5135" spans="1:9" x14ac:dyDescent="0.25">
      <c r="A5135">
        <v>4230</v>
      </c>
      <c r="B5135">
        <v>18</v>
      </c>
      <c r="C5135" t="s">
        <v>946</v>
      </c>
      <c r="D5135" t="s">
        <v>986</v>
      </c>
      <c r="E5135" t="s">
        <v>263</v>
      </c>
      <c r="F5135" t="s">
        <v>948</v>
      </c>
      <c r="G5135">
        <v>1899999</v>
      </c>
      <c r="H5135">
        <v>403045</v>
      </c>
      <c r="I5135">
        <v>70</v>
      </c>
    </row>
    <row r="5136" spans="1:9" x14ac:dyDescent="0.25">
      <c r="A5136">
        <v>4240</v>
      </c>
      <c r="B5136">
        <v>18</v>
      </c>
      <c r="C5136" t="s">
        <v>946</v>
      </c>
      <c r="D5136" t="s">
        <v>986</v>
      </c>
      <c r="E5136" t="s">
        <v>263</v>
      </c>
      <c r="F5136" t="s">
        <v>948</v>
      </c>
      <c r="G5136">
        <v>1877777</v>
      </c>
      <c r="H5136">
        <v>500221</v>
      </c>
      <c r="I5136" t="s">
        <v>949</v>
      </c>
    </row>
    <row r="5137" spans="1:9" x14ac:dyDescent="0.25">
      <c r="A5137">
        <v>4141</v>
      </c>
      <c r="B5137">
        <v>18</v>
      </c>
      <c r="C5137" t="s">
        <v>946</v>
      </c>
      <c r="D5137" t="s">
        <v>986</v>
      </c>
      <c r="E5137" t="s">
        <v>100</v>
      </c>
      <c r="F5137" t="s">
        <v>948</v>
      </c>
      <c r="G5137">
        <v>1877777</v>
      </c>
      <c r="H5137">
        <v>500220</v>
      </c>
      <c r="I5137" t="s">
        <v>949</v>
      </c>
    </row>
    <row r="5138" spans="1:9" x14ac:dyDescent="0.25">
      <c r="A5138">
        <v>4220</v>
      </c>
      <c r="B5138">
        <v>18</v>
      </c>
      <c r="C5138" t="s">
        <v>946</v>
      </c>
      <c r="D5138" t="s">
        <v>986</v>
      </c>
      <c r="E5138" t="s">
        <v>100</v>
      </c>
      <c r="F5138" t="s">
        <v>948</v>
      </c>
      <c r="G5138">
        <v>1877777</v>
      </c>
      <c r="H5138">
        <v>500220</v>
      </c>
      <c r="I5138" t="s">
        <v>949</v>
      </c>
    </row>
    <row r="5139" spans="1:9" x14ac:dyDescent="0.25">
      <c r="A5139">
        <v>4230</v>
      </c>
      <c r="B5139">
        <v>18</v>
      </c>
      <c r="C5139" t="s">
        <v>946</v>
      </c>
      <c r="D5139" t="s">
        <v>986</v>
      </c>
      <c r="E5139" t="s">
        <v>100</v>
      </c>
      <c r="F5139" t="s">
        <v>948</v>
      </c>
      <c r="G5139">
        <v>1899999</v>
      </c>
      <c r="H5139">
        <v>403045</v>
      </c>
      <c r="I5139">
        <v>70</v>
      </c>
    </row>
    <row r="5140" spans="1:9" x14ac:dyDescent="0.25">
      <c r="A5140">
        <v>4240</v>
      </c>
      <c r="B5140">
        <v>18</v>
      </c>
      <c r="C5140" t="s">
        <v>946</v>
      </c>
      <c r="D5140" t="s">
        <v>986</v>
      </c>
      <c r="E5140" t="s">
        <v>100</v>
      </c>
      <c r="F5140" t="s">
        <v>948</v>
      </c>
      <c r="G5140">
        <v>1877777</v>
      </c>
      <c r="H5140">
        <v>500221</v>
      </c>
      <c r="I5140" t="s">
        <v>949</v>
      </c>
    </row>
    <row r="5141" spans="1:9" x14ac:dyDescent="0.25">
      <c r="A5141">
        <v>4141</v>
      </c>
      <c r="B5141">
        <v>18</v>
      </c>
      <c r="C5141" t="s">
        <v>946</v>
      </c>
      <c r="D5141" t="s">
        <v>986</v>
      </c>
      <c r="E5141" t="s">
        <v>270</v>
      </c>
      <c r="F5141" t="s">
        <v>948</v>
      </c>
      <c r="G5141">
        <v>1877777</v>
      </c>
      <c r="H5141">
        <v>501010</v>
      </c>
      <c r="I5141">
        <v>70</v>
      </c>
    </row>
    <row r="5142" spans="1:9" x14ac:dyDescent="0.25">
      <c r="A5142">
        <v>4220</v>
      </c>
      <c r="B5142">
        <v>18</v>
      </c>
      <c r="C5142" t="s">
        <v>946</v>
      </c>
      <c r="D5142" t="s">
        <v>986</v>
      </c>
      <c r="E5142" t="s">
        <v>270</v>
      </c>
      <c r="F5142" t="s">
        <v>948</v>
      </c>
      <c r="G5142">
        <v>1877777</v>
      </c>
      <c r="H5142">
        <v>500220</v>
      </c>
      <c r="I5142" t="s">
        <v>949</v>
      </c>
    </row>
    <row r="5143" spans="1:9" x14ac:dyDescent="0.25">
      <c r="A5143">
        <v>4230</v>
      </c>
      <c r="B5143">
        <v>18</v>
      </c>
      <c r="C5143" t="s">
        <v>946</v>
      </c>
      <c r="D5143" t="s">
        <v>986</v>
      </c>
      <c r="E5143" t="s">
        <v>270</v>
      </c>
      <c r="F5143" t="s">
        <v>948</v>
      </c>
      <c r="G5143">
        <v>1899999</v>
      </c>
      <c r="H5143">
        <v>403065</v>
      </c>
      <c r="I5143">
        <v>70</v>
      </c>
    </row>
    <row r="5144" spans="1:9" x14ac:dyDescent="0.25">
      <c r="A5144">
        <v>4240</v>
      </c>
      <c r="B5144">
        <v>18</v>
      </c>
      <c r="C5144" t="s">
        <v>946</v>
      </c>
      <c r="D5144" t="s">
        <v>986</v>
      </c>
      <c r="E5144" t="s">
        <v>270</v>
      </c>
      <c r="F5144" t="s">
        <v>948</v>
      </c>
      <c r="G5144">
        <v>1877777</v>
      </c>
      <c r="H5144">
        <v>500221</v>
      </c>
      <c r="I5144" t="s">
        <v>949</v>
      </c>
    </row>
    <row r="5145" spans="1:9" x14ac:dyDescent="0.25">
      <c r="A5145">
        <v>4141</v>
      </c>
      <c r="B5145">
        <v>18</v>
      </c>
      <c r="C5145" t="s">
        <v>946</v>
      </c>
      <c r="D5145" t="s">
        <v>986</v>
      </c>
      <c r="E5145" t="s">
        <v>274</v>
      </c>
      <c r="F5145" t="s">
        <v>948</v>
      </c>
      <c r="G5145">
        <v>1877777</v>
      </c>
      <c r="H5145">
        <v>501010</v>
      </c>
      <c r="I5145">
        <v>70</v>
      </c>
    </row>
    <row r="5146" spans="1:9" x14ac:dyDescent="0.25">
      <c r="A5146">
        <v>4220</v>
      </c>
      <c r="B5146">
        <v>18</v>
      </c>
      <c r="C5146" t="s">
        <v>946</v>
      </c>
      <c r="D5146" t="s">
        <v>986</v>
      </c>
      <c r="E5146" t="s">
        <v>274</v>
      </c>
      <c r="F5146" t="s">
        <v>948</v>
      </c>
      <c r="G5146">
        <v>1877777</v>
      </c>
      <c r="H5146">
        <v>500220</v>
      </c>
      <c r="I5146" t="s">
        <v>949</v>
      </c>
    </row>
    <row r="5147" spans="1:9" x14ac:dyDescent="0.25">
      <c r="A5147">
        <v>4230</v>
      </c>
      <c r="B5147">
        <v>18</v>
      </c>
      <c r="C5147" t="s">
        <v>946</v>
      </c>
      <c r="D5147" t="s">
        <v>986</v>
      </c>
      <c r="E5147" t="s">
        <v>274</v>
      </c>
      <c r="F5147" t="s">
        <v>948</v>
      </c>
      <c r="G5147">
        <v>1899999</v>
      </c>
      <c r="H5147">
        <v>403045</v>
      </c>
      <c r="I5147">
        <v>70</v>
      </c>
    </row>
    <row r="5148" spans="1:9" x14ac:dyDescent="0.25">
      <c r="A5148">
        <v>4240</v>
      </c>
      <c r="B5148">
        <v>18</v>
      </c>
      <c r="C5148" t="s">
        <v>946</v>
      </c>
      <c r="D5148" t="s">
        <v>986</v>
      </c>
      <c r="E5148" t="s">
        <v>274</v>
      </c>
      <c r="F5148" t="s">
        <v>948</v>
      </c>
      <c r="G5148">
        <v>1877777</v>
      </c>
      <c r="H5148">
        <v>500221</v>
      </c>
      <c r="I5148" t="s">
        <v>949</v>
      </c>
    </row>
    <row r="5149" spans="1:9" x14ac:dyDescent="0.25">
      <c r="A5149">
        <v>4141</v>
      </c>
      <c r="B5149">
        <v>18</v>
      </c>
      <c r="C5149" t="s">
        <v>946</v>
      </c>
      <c r="D5149" t="s">
        <v>986</v>
      </c>
      <c r="E5149" t="s">
        <v>974</v>
      </c>
      <c r="F5149" t="s">
        <v>948</v>
      </c>
      <c r="G5149">
        <v>1877777</v>
      </c>
      <c r="H5149">
        <v>501010</v>
      </c>
      <c r="I5149">
        <v>70</v>
      </c>
    </row>
    <row r="5150" spans="1:9" x14ac:dyDescent="0.25">
      <c r="A5150">
        <v>4220</v>
      </c>
      <c r="B5150">
        <v>18</v>
      </c>
      <c r="C5150" t="s">
        <v>946</v>
      </c>
      <c r="D5150" t="s">
        <v>986</v>
      </c>
      <c r="E5150" t="s">
        <v>974</v>
      </c>
      <c r="F5150" t="s">
        <v>948</v>
      </c>
      <c r="G5150">
        <v>1877777</v>
      </c>
      <c r="H5150">
        <v>500220</v>
      </c>
      <c r="I5150" t="s">
        <v>949</v>
      </c>
    </row>
    <row r="5151" spans="1:9" x14ac:dyDescent="0.25">
      <c r="A5151">
        <v>4230</v>
      </c>
      <c r="B5151">
        <v>18</v>
      </c>
      <c r="C5151" t="s">
        <v>946</v>
      </c>
      <c r="D5151" t="s">
        <v>986</v>
      </c>
      <c r="E5151" t="s">
        <v>974</v>
      </c>
      <c r="F5151" t="s">
        <v>948</v>
      </c>
      <c r="G5151">
        <v>1899999</v>
      </c>
      <c r="H5151">
        <v>403915</v>
      </c>
      <c r="I5151">
        <v>70</v>
      </c>
    </row>
    <row r="5152" spans="1:9" x14ac:dyDescent="0.25">
      <c r="A5152">
        <v>4240</v>
      </c>
      <c r="B5152">
        <v>18</v>
      </c>
      <c r="C5152" t="s">
        <v>946</v>
      </c>
      <c r="D5152" t="s">
        <v>986</v>
      </c>
      <c r="E5152" t="s">
        <v>974</v>
      </c>
      <c r="F5152" t="s">
        <v>948</v>
      </c>
      <c r="G5152">
        <v>1877777</v>
      </c>
      <c r="H5152">
        <v>500221</v>
      </c>
      <c r="I5152" t="s">
        <v>949</v>
      </c>
    </row>
    <row r="5153" spans="1:9" x14ac:dyDescent="0.25">
      <c r="A5153">
        <v>4141</v>
      </c>
      <c r="B5153">
        <v>18</v>
      </c>
      <c r="C5153" t="s">
        <v>946</v>
      </c>
      <c r="D5153" t="s">
        <v>986</v>
      </c>
      <c r="E5153" t="s">
        <v>104</v>
      </c>
      <c r="F5153" t="s">
        <v>948</v>
      </c>
      <c r="G5153">
        <v>1877777</v>
      </c>
      <c r="H5153">
        <v>500220</v>
      </c>
      <c r="I5153" t="s">
        <v>949</v>
      </c>
    </row>
    <row r="5154" spans="1:9" x14ac:dyDescent="0.25">
      <c r="A5154">
        <v>4220</v>
      </c>
      <c r="B5154">
        <v>18</v>
      </c>
      <c r="C5154" t="s">
        <v>946</v>
      </c>
      <c r="D5154" t="s">
        <v>986</v>
      </c>
      <c r="E5154" t="s">
        <v>104</v>
      </c>
      <c r="F5154" t="s">
        <v>948</v>
      </c>
      <c r="G5154">
        <v>1877777</v>
      </c>
      <c r="H5154">
        <v>500220</v>
      </c>
      <c r="I5154" t="s">
        <v>949</v>
      </c>
    </row>
    <row r="5155" spans="1:9" x14ac:dyDescent="0.25">
      <c r="A5155">
        <v>4230</v>
      </c>
      <c r="B5155">
        <v>18</v>
      </c>
      <c r="C5155" t="s">
        <v>946</v>
      </c>
      <c r="D5155" t="s">
        <v>986</v>
      </c>
      <c r="E5155" t="s">
        <v>104</v>
      </c>
      <c r="F5155" t="s">
        <v>948</v>
      </c>
      <c r="G5155">
        <v>1899999</v>
      </c>
      <c r="H5155">
        <v>403045</v>
      </c>
      <c r="I5155">
        <v>70</v>
      </c>
    </row>
    <row r="5156" spans="1:9" x14ac:dyDescent="0.25">
      <c r="A5156">
        <v>4240</v>
      </c>
      <c r="B5156">
        <v>18</v>
      </c>
      <c r="C5156" t="s">
        <v>946</v>
      </c>
      <c r="D5156" t="s">
        <v>986</v>
      </c>
      <c r="E5156" t="s">
        <v>104</v>
      </c>
      <c r="F5156" t="s">
        <v>948</v>
      </c>
      <c r="G5156">
        <v>1877777</v>
      </c>
      <c r="H5156">
        <v>500221</v>
      </c>
      <c r="I5156" t="s">
        <v>949</v>
      </c>
    </row>
    <row r="5157" spans="1:9" x14ac:dyDescent="0.25">
      <c r="A5157">
        <v>4141</v>
      </c>
      <c r="B5157">
        <v>18</v>
      </c>
      <c r="C5157" t="s">
        <v>946</v>
      </c>
      <c r="D5157" t="s">
        <v>986</v>
      </c>
      <c r="E5157" t="s">
        <v>278</v>
      </c>
      <c r="F5157" t="s">
        <v>948</v>
      </c>
      <c r="G5157">
        <v>1877777</v>
      </c>
      <c r="H5157">
        <v>501010</v>
      </c>
      <c r="I5157">
        <v>70</v>
      </c>
    </row>
    <row r="5158" spans="1:9" x14ac:dyDescent="0.25">
      <c r="A5158">
        <v>4220</v>
      </c>
      <c r="B5158">
        <v>18</v>
      </c>
      <c r="C5158" t="s">
        <v>946</v>
      </c>
      <c r="D5158" t="s">
        <v>986</v>
      </c>
      <c r="E5158" t="s">
        <v>278</v>
      </c>
      <c r="F5158" t="s">
        <v>948</v>
      </c>
      <c r="G5158">
        <v>1877777</v>
      </c>
      <c r="H5158">
        <v>500220</v>
      </c>
      <c r="I5158" t="s">
        <v>949</v>
      </c>
    </row>
    <row r="5159" spans="1:9" x14ac:dyDescent="0.25">
      <c r="A5159">
        <v>4230</v>
      </c>
      <c r="B5159">
        <v>18</v>
      </c>
      <c r="C5159" t="s">
        <v>946</v>
      </c>
      <c r="D5159" t="s">
        <v>986</v>
      </c>
      <c r="E5159" t="s">
        <v>278</v>
      </c>
      <c r="F5159" t="s">
        <v>948</v>
      </c>
      <c r="G5159">
        <v>1899999</v>
      </c>
      <c r="H5159">
        <v>403055</v>
      </c>
      <c r="I5159">
        <v>70</v>
      </c>
    </row>
    <row r="5160" spans="1:9" x14ac:dyDescent="0.25">
      <c r="A5160">
        <v>4240</v>
      </c>
      <c r="B5160">
        <v>18</v>
      </c>
      <c r="C5160" t="s">
        <v>946</v>
      </c>
      <c r="D5160" t="s">
        <v>986</v>
      </c>
      <c r="E5160" t="s">
        <v>278</v>
      </c>
      <c r="F5160" t="s">
        <v>948</v>
      </c>
      <c r="G5160">
        <v>1877777</v>
      </c>
      <c r="H5160">
        <v>500221</v>
      </c>
      <c r="I5160" t="s">
        <v>949</v>
      </c>
    </row>
    <row r="5161" spans="1:9" x14ac:dyDescent="0.25">
      <c r="A5161">
        <v>4141</v>
      </c>
      <c r="B5161">
        <v>18</v>
      </c>
      <c r="C5161" t="s">
        <v>946</v>
      </c>
      <c r="D5161" t="s">
        <v>986</v>
      </c>
      <c r="E5161" t="s">
        <v>282</v>
      </c>
      <c r="F5161" t="s">
        <v>948</v>
      </c>
      <c r="G5161">
        <v>1877777</v>
      </c>
      <c r="H5161">
        <v>501010</v>
      </c>
      <c r="I5161">
        <v>70</v>
      </c>
    </row>
    <row r="5162" spans="1:9" x14ac:dyDescent="0.25">
      <c r="A5162">
        <v>4220</v>
      </c>
      <c r="B5162">
        <v>18</v>
      </c>
      <c r="C5162" t="s">
        <v>946</v>
      </c>
      <c r="D5162" t="s">
        <v>986</v>
      </c>
      <c r="E5162" t="s">
        <v>282</v>
      </c>
      <c r="F5162" t="s">
        <v>948</v>
      </c>
      <c r="G5162">
        <v>1877777</v>
      </c>
      <c r="H5162">
        <v>500220</v>
      </c>
      <c r="I5162" t="s">
        <v>949</v>
      </c>
    </row>
    <row r="5163" spans="1:9" x14ac:dyDescent="0.25">
      <c r="A5163">
        <v>4230</v>
      </c>
      <c r="B5163">
        <v>18</v>
      </c>
      <c r="C5163" t="s">
        <v>946</v>
      </c>
      <c r="D5163" t="s">
        <v>986</v>
      </c>
      <c r="E5163" t="s">
        <v>282</v>
      </c>
      <c r="F5163" t="s">
        <v>948</v>
      </c>
      <c r="G5163">
        <v>1899999</v>
      </c>
      <c r="H5163">
        <v>403045</v>
      </c>
      <c r="I5163">
        <v>70</v>
      </c>
    </row>
    <row r="5164" spans="1:9" x14ac:dyDescent="0.25">
      <c r="A5164">
        <v>4240</v>
      </c>
      <c r="B5164">
        <v>18</v>
      </c>
      <c r="C5164" t="s">
        <v>946</v>
      </c>
      <c r="D5164" t="s">
        <v>986</v>
      </c>
      <c r="E5164" t="s">
        <v>282</v>
      </c>
      <c r="F5164" t="s">
        <v>948</v>
      </c>
      <c r="G5164">
        <v>1877777</v>
      </c>
      <c r="H5164">
        <v>500221</v>
      </c>
      <c r="I5164" t="s">
        <v>949</v>
      </c>
    </row>
    <row r="5165" spans="1:9" x14ac:dyDescent="0.25">
      <c r="A5165">
        <v>4141</v>
      </c>
      <c r="B5165">
        <v>18</v>
      </c>
      <c r="C5165" t="s">
        <v>946</v>
      </c>
      <c r="D5165" t="s">
        <v>986</v>
      </c>
      <c r="E5165" t="s">
        <v>286</v>
      </c>
      <c r="F5165" t="s">
        <v>948</v>
      </c>
      <c r="G5165">
        <v>1877777</v>
      </c>
      <c r="H5165">
        <v>501010</v>
      </c>
      <c r="I5165">
        <v>70</v>
      </c>
    </row>
    <row r="5166" spans="1:9" x14ac:dyDescent="0.25">
      <c r="A5166">
        <v>4220</v>
      </c>
      <c r="B5166">
        <v>18</v>
      </c>
      <c r="C5166" t="s">
        <v>946</v>
      </c>
      <c r="D5166" t="s">
        <v>986</v>
      </c>
      <c r="E5166" t="s">
        <v>286</v>
      </c>
      <c r="F5166" t="s">
        <v>948</v>
      </c>
      <c r="G5166">
        <v>1877777</v>
      </c>
      <c r="H5166">
        <v>500220</v>
      </c>
      <c r="I5166" t="s">
        <v>949</v>
      </c>
    </row>
    <row r="5167" spans="1:9" x14ac:dyDescent="0.25">
      <c r="A5167">
        <v>4230</v>
      </c>
      <c r="B5167">
        <v>18</v>
      </c>
      <c r="C5167" t="s">
        <v>946</v>
      </c>
      <c r="D5167" t="s">
        <v>986</v>
      </c>
      <c r="E5167" t="s">
        <v>286</v>
      </c>
      <c r="F5167" t="s">
        <v>948</v>
      </c>
      <c r="G5167">
        <v>1899999</v>
      </c>
      <c r="H5167">
        <v>403035</v>
      </c>
      <c r="I5167">
        <v>70</v>
      </c>
    </row>
    <row r="5168" spans="1:9" x14ac:dyDescent="0.25">
      <c r="A5168">
        <v>4240</v>
      </c>
      <c r="B5168">
        <v>18</v>
      </c>
      <c r="C5168" t="s">
        <v>946</v>
      </c>
      <c r="D5168" t="s">
        <v>986</v>
      </c>
      <c r="E5168" t="s">
        <v>286</v>
      </c>
      <c r="F5168" t="s">
        <v>948</v>
      </c>
      <c r="G5168">
        <v>1877777</v>
      </c>
      <c r="H5168">
        <v>500221</v>
      </c>
      <c r="I5168" t="s">
        <v>949</v>
      </c>
    </row>
    <row r="5169" spans="1:9" x14ac:dyDescent="0.25">
      <c r="A5169">
        <v>4141</v>
      </c>
      <c r="B5169">
        <v>18</v>
      </c>
      <c r="C5169" t="s">
        <v>946</v>
      </c>
      <c r="D5169" t="s">
        <v>986</v>
      </c>
      <c r="E5169" t="s">
        <v>976</v>
      </c>
      <c r="F5169" t="s">
        <v>948</v>
      </c>
      <c r="G5169">
        <v>1877777</v>
      </c>
      <c r="H5169">
        <v>501010</v>
      </c>
      <c r="I5169">
        <v>70</v>
      </c>
    </row>
    <row r="5170" spans="1:9" x14ac:dyDescent="0.25">
      <c r="A5170">
        <v>4220</v>
      </c>
      <c r="B5170">
        <v>18</v>
      </c>
      <c r="C5170" t="s">
        <v>946</v>
      </c>
      <c r="D5170" t="s">
        <v>986</v>
      </c>
      <c r="E5170" t="s">
        <v>976</v>
      </c>
      <c r="F5170" t="s">
        <v>948</v>
      </c>
      <c r="G5170">
        <v>1877777</v>
      </c>
      <c r="H5170">
        <v>500220</v>
      </c>
      <c r="I5170" t="s">
        <v>949</v>
      </c>
    </row>
    <row r="5171" spans="1:9" x14ac:dyDescent="0.25">
      <c r="A5171">
        <v>4230</v>
      </c>
      <c r="B5171">
        <v>18</v>
      </c>
      <c r="C5171" t="s">
        <v>946</v>
      </c>
      <c r="D5171" t="s">
        <v>986</v>
      </c>
      <c r="E5171" t="s">
        <v>976</v>
      </c>
      <c r="F5171" t="s">
        <v>948</v>
      </c>
      <c r="G5171">
        <v>1899999</v>
      </c>
      <c r="H5171">
        <v>403915</v>
      </c>
      <c r="I5171">
        <v>70</v>
      </c>
    </row>
    <row r="5172" spans="1:9" x14ac:dyDescent="0.25">
      <c r="A5172">
        <v>4240</v>
      </c>
      <c r="B5172">
        <v>18</v>
      </c>
      <c r="C5172" t="s">
        <v>946</v>
      </c>
      <c r="D5172" t="s">
        <v>986</v>
      </c>
      <c r="E5172" t="s">
        <v>976</v>
      </c>
      <c r="F5172" t="s">
        <v>948</v>
      </c>
      <c r="G5172">
        <v>1877777</v>
      </c>
      <c r="H5172">
        <v>500221</v>
      </c>
      <c r="I5172" t="s">
        <v>949</v>
      </c>
    </row>
    <row r="5173" spans="1:9" x14ac:dyDescent="0.25">
      <c r="A5173">
        <v>4141</v>
      </c>
      <c r="B5173">
        <v>18</v>
      </c>
      <c r="C5173" t="s">
        <v>946</v>
      </c>
      <c r="D5173" t="s">
        <v>986</v>
      </c>
      <c r="E5173" t="s">
        <v>290</v>
      </c>
      <c r="F5173" t="s">
        <v>948</v>
      </c>
      <c r="G5173">
        <v>1877777</v>
      </c>
      <c r="H5173">
        <v>501010</v>
      </c>
      <c r="I5173">
        <v>70</v>
      </c>
    </row>
    <row r="5174" spans="1:9" x14ac:dyDescent="0.25">
      <c r="A5174">
        <v>4220</v>
      </c>
      <c r="B5174">
        <v>18</v>
      </c>
      <c r="C5174" t="s">
        <v>946</v>
      </c>
      <c r="D5174" t="s">
        <v>986</v>
      </c>
      <c r="E5174" t="s">
        <v>290</v>
      </c>
      <c r="F5174" t="s">
        <v>948</v>
      </c>
      <c r="G5174">
        <v>1877777</v>
      </c>
      <c r="H5174">
        <v>500220</v>
      </c>
      <c r="I5174" t="s">
        <v>949</v>
      </c>
    </row>
    <row r="5175" spans="1:9" x14ac:dyDescent="0.25">
      <c r="A5175">
        <v>4230</v>
      </c>
      <c r="B5175">
        <v>18</v>
      </c>
      <c r="C5175" t="s">
        <v>946</v>
      </c>
      <c r="D5175" t="s">
        <v>986</v>
      </c>
      <c r="E5175" t="s">
        <v>290</v>
      </c>
      <c r="F5175" t="s">
        <v>948</v>
      </c>
      <c r="G5175">
        <v>1899999</v>
      </c>
      <c r="H5175">
        <v>403045</v>
      </c>
      <c r="I5175">
        <v>70</v>
      </c>
    </row>
    <row r="5176" spans="1:9" x14ac:dyDescent="0.25">
      <c r="A5176">
        <v>4240</v>
      </c>
      <c r="B5176">
        <v>18</v>
      </c>
      <c r="C5176" t="s">
        <v>946</v>
      </c>
      <c r="D5176" t="s">
        <v>986</v>
      </c>
      <c r="E5176" t="s">
        <v>290</v>
      </c>
      <c r="F5176" t="s">
        <v>948</v>
      </c>
      <c r="G5176">
        <v>1877777</v>
      </c>
      <c r="H5176">
        <v>500221</v>
      </c>
      <c r="I5176" t="s">
        <v>949</v>
      </c>
    </row>
    <row r="5177" spans="1:9" x14ac:dyDescent="0.25">
      <c r="A5177">
        <v>4141</v>
      </c>
      <c r="B5177">
        <v>18</v>
      </c>
      <c r="C5177" t="s">
        <v>946</v>
      </c>
      <c r="D5177" t="s">
        <v>986</v>
      </c>
      <c r="E5177" t="s">
        <v>294</v>
      </c>
      <c r="F5177" t="s">
        <v>948</v>
      </c>
      <c r="G5177">
        <v>1877777</v>
      </c>
      <c r="H5177">
        <v>501010</v>
      </c>
      <c r="I5177">
        <v>70</v>
      </c>
    </row>
    <row r="5178" spans="1:9" x14ac:dyDescent="0.25">
      <c r="A5178">
        <v>4220</v>
      </c>
      <c r="B5178">
        <v>18</v>
      </c>
      <c r="C5178" t="s">
        <v>946</v>
      </c>
      <c r="D5178" t="s">
        <v>986</v>
      </c>
      <c r="E5178" t="s">
        <v>294</v>
      </c>
      <c r="F5178" t="s">
        <v>948</v>
      </c>
      <c r="G5178">
        <v>1877777</v>
      </c>
      <c r="H5178">
        <v>500220</v>
      </c>
      <c r="I5178" t="s">
        <v>949</v>
      </c>
    </row>
    <row r="5179" spans="1:9" x14ac:dyDescent="0.25">
      <c r="A5179">
        <v>4230</v>
      </c>
      <c r="B5179">
        <v>18</v>
      </c>
      <c r="C5179" t="s">
        <v>946</v>
      </c>
      <c r="D5179" t="s">
        <v>986</v>
      </c>
      <c r="E5179" t="s">
        <v>294</v>
      </c>
      <c r="F5179" t="s">
        <v>948</v>
      </c>
      <c r="G5179">
        <v>1899999</v>
      </c>
      <c r="H5179">
        <v>403045</v>
      </c>
      <c r="I5179">
        <v>70</v>
      </c>
    </row>
    <row r="5180" spans="1:9" x14ac:dyDescent="0.25">
      <c r="A5180">
        <v>4240</v>
      </c>
      <c r="B5180">
        <v>18</v>
      </c>
      <c r="C5180" t="s">
        <v>946</v>
      </c>
      <c r="D5180" t="s">
        <v>986</v>
      </c>
      <c r="E5180" t="s">
        <v>294</v>
      </c>
      <c r="F5180" t="s">
        <v>948</v>
      </c>
      <c r="G5180">
        <v>1877777</v>
      </c>
      <c r="H5180">
        <v>500221</v>
      </c>
      <c r="I5180" t="s">
        <v>949</v>
      </c>
    </row>
    <row r="5181" spans="1:9" x14ac:dyDescent="0.25">
      <c r="A5181">
        <v>4230</v>
      </c>
      <c r="B5181">
        <v>18</v>
      </c>
      <c r="C5181" t="s">
        <v>946</v>
      </c>
      <c r="D5181" t="s">
        <v>986</v>
      </c>
      <c r="E5181" t="s">
        <v>298</v>
      </c>
      <c r="F5181" t="s">
        <v>948</v>
      </c>
      <c r="G5181">
        <v>1899999</v>
      </c>
      <c r="H5181">
        <v>403085</v>
      </c>
      <c r="I5181">
        <v>70</v>
      </c>
    </row>
    <row r="5182" spans="1:9" x14ac:dyDescent="0.25">
      <c r="A5182">
        <v>4141</v>
      </c>
      <c r="B5182">
        <v>18</v>
      </c>
      <c r="C5182" t="s">
        <v>946</v>
      </c>
      <c r="D5182" t="s">
        <v>986</v>
      </c>
      <c r="E5182" t="s">
        <v>980</v>
      </c>
      <c r="F5182" t="s">
        <v>948</v>
      </c>
      <c r="G5182">
        <v>1877777</v>
      </c>
      <c r="H5182">
        <v>501010</v>
      </c>
      <c r="I5182">
        <v>70</v>
      </c>
    </row>
    <row r="5183" spans="1:9" x14ac:dyDescent="0.25">
      <c r="A5183">
        <v>4220</v>
      </c>
      <c r="B5183">
        <v>18</v>
      </c>
      <c r="C5183" t="s">
        <v>946</v>
      </c>
      <c r="D5183" t="s">
        <v>986</v>
      </c>
      <c r="E5183" t="s">
        <v>980</v>
      </c>
      <c r="F5183" t="s">
        <v>948</v>
      </c>
      <c r="G5183">
        <v>1877777</v>
      </c>
      <c r="H5183">
        <v>500220</v>
      </c>
      <c r="I5183" t="s">
        <v>949</v>
      </c>
    </row>
    <row r="5184" spans="1:9" x14ac:dyDescent="0.25">
      <c r="A5184">
        <v>4230</v>
      </c>
      <c r="B5184">
        <v>18</v>
      </c>
      <c r="C5184" t="s">
        <v>946</v>
      </c>
      <c r="D5184" t="s">
        <v>986</v>
      </c>
      <c r="E5184" t="s">
        <v>980</v>
      </c>
      <c r="F5184" t="s">
        <v>948</v>
      </c>
      <c r="G5184">
        <v>1899999</v>
      </c>
      <c r="H5184">
        <v>403915</v>
      </c>
      <c r="I5184">
        <v>70</v>
      </c>
    </row>
    <row r="5185" spans="1:9" x14ac:dyDescent="0.25">
      <c r="A5185">
        <v>4240</v>
      </c>
      <c r="B5185">
        <v>18</v>
      </c>
      <c r="C5185" t="s">
        <v>946</v>
      </c>
      <c r="D5185" t="s">
        <v>986</v>
      </c>
      <c r="E5185" t="s">
        <v>980</v>
      </c>
      <c r="F5185" t="s">
        <v>948</v>
      </c>
      <c r="G5185">
        <v>1877777</v>
      </c>
      <c r="H5185">
        <v>500221</v>
      </c>
      <c r="I5185" t="s">
        <v>949</v>
      </c>
    </row>
    <row r="5186" spans="1:9" x14ac:dyDescent="0.25">
      <c r="A5186">
        <v>4141</v>
      </c>
      <c r="B5186">
        <v>18</v>
      </c>
      <c r="C5186" t="s">
        <v>946</v>
      </c>
      <c r="D5186" t="s">
        <v>986</v>
      </c>
      <c r="E5186" t="s">
        <v>302</v>
      </c>
      <c r="F5186" t="s">
        <v>948</v>
      </c>
      <c r="G5186">
        <v>1877777</v>
      </c>
      <c r="H5186">
        <v>501010</v>
      </c>
      <c r="I5186">
        <v>70</v>
      </c>
    </row>
    <row r="5187" spans="1:9" x14ac:dyDescent="0.25">
      <c r="A5187">
        <v>4220</v>
      </c>
      <c r="B5187">
        <v>18</v>
      </c>
      <c r="C5187" t="s">
        <v>946</v>
      </c>
      <c r="D5187" t="s">
        <v>986</v>
      </c>
      <c r="E5187" t="s">
        <v>302</v>
      </c>
      <c r="F5187" t="s">
        <v>948</v>
      </c>
      <c r="G5187">
        <v>1877777</v>
      </c>
      <c r="H5187">
        <v>500220</v>
      </c>
      <c r="I5187" t="s">
        <v>949</v>
      </c>
    </row>
    <row r="5188" spans="1:9" x14ac:dyDescent="0.25">
      <c r="A5188">
        <v>4230</v>
      </c>
      <c r="B5188">
        <v>18</v>
      </c>
      <c r="C5188" t="s">
        <v>946</v>
      </c>
      <c r="D5188" t="s">
        <v>986</v>
      </c>
      <c r="E5188" t="s">
        <v>302</v>
      </c>
      <c r="F5188" t="s">
        <v>948</v>
      </c>
      <c r="G5188">
        <v>1899999</v>
      </c>
      <c r="H5188">
        <v>401905</v>
      </c>
      <c r="I5188">
        <v>70</v>
      </c>
    </row>
    <row r="5189" spans="1:9" x14ac:dyDescent="0.25">
      <c r="A5189">
        <v>4240</v>
      </c>
      <c r="B5189">
        <v>18</v>
      </c>
      <c r="C5189" t="s">
        <v>946</v>
      </c>
      <c r="D5189" t="s">
        <v>986</v>
      </c>
      <c r="E5189" t="s">
        <v>302</v>
      </c>
      <c r="F5189" t="s">
        <v>948</v>
      </c>
      <c r="G5189">
        <v>1877777</v>
      </c>
      <c r="H5189">
        <v>500221</v>
      </c>
      <c r="I5189" t="s">
        <v>949</v>
      </c>
    </row>
    <row r="5190" spans="1:9" x14ac:dyDescent="0.25">
      <c r="A5190">
        <v>4141</v>
      </c>
      <c r="B5190">
        <v>18</v>
      </c>
      <c r="C5190" t="s">
        <v>946</v>
      </c>
      <c r="D5190" t="s">
        <v>986</v>
      </c>
      <c r="E5190" t="s">
        <v>306</v>
      </c>
      <c r="F5190" t="s">
        <v>948</v>
      </c>
      <c r="G5190">
        <v>1877777</v>
      </c>
      <c r="H5190">
        <v>501010</v>
      </c>
      <c r="I5190">
        <v>70</v>
      </c>
    </row>
    <row r="5191" spans="1:9" x14ac:dyDescent="0.25">
      <c r="A5191">
        <v>4220</v>
      </c>
      <c r="B5191">
        <v>18</v>
      </c>
      <c r="C5191" t="s">
        <v>946</v>
      </c>
      <c r="D5191" t="s">
        <v>986</v>
      </c>
      <c r="E5191" t="s">
        <v>306</v>
      </c>
      <c r="F5191" t="s">
        <v>948</v>
      </c>
      <c r="G5191">
        <v>1877777</v>
      </c>
      <c r="H5191">
        <v>500220</v>
      </c>
      <c r="I5191" t="s">
        <v>949</v>
      </c>
    </row>
    <row r="5192" spans="1:9" x14ac:dyDescent="0.25">
      <c r="A5192">
        <v>4230</v>
      </c>
      <c r="B5192">
        <v>18</v>
      </c>
      <c r="C5192" t="s">
        <v>946</v>
      </c>
      <c r="D5192" t="s">
        <v>986</v>
      </c>
      <c r="E5192" t="s">
        <v>306</v>
      </c>
      <c r="F5192" t="s">
        <v>948</v>
      </c>
      <c r="G5192">
        <v>1899999</v>
      </c>
      <c r="H5192">
        <v>403045</v>
      </c>
      <c r="I5192">
        <v>70</v>
      </c>
    </row>
    <row r="5193" spans="1:9" x14ac:dyDescent="0.25">
      <c r="A5193">
        <v>4240</v>
      </c>
      <c r="B5193">
        <v>18</v>
      </c>
      <c r="C5193" t="s">
        <v>946</v>
      </c>
      <c r="D5193" t="s">
        <v>986</v>
      </c>
      <c r="E5193" t="s">
        <v>306</v>
      </c>
      <c r="F5193" t="s">
        <v>948</v>
      </c>
      <c r="G5193">
        <v>1877777</v>
      </c>
      <c r="H5193">
        <v>500221</v>
      </c>
      <c r="I5193" t="s">
        <v>949</v>
      </c>
    </row>
    <row r="5194" spans="1:9" x14ac:dyDescent="0.25">
      <c r="A5194">
        <v>4141</v>
      </c>
      <c r="B5194">
        <v>18</v>
      </c>
      <c r="C5194" t="s">
        <v>946</v>
      </c>
      <c r="D5194" t="s">
        <v>986</v>
      </c>
      <c r="E5194" t="s">
        <v>108</v>
      </c>
      <c r="F5194" t="s">
        <v>948</v>
      </c>
      <c r="G5194">
        <v>1877777</v>
      </c>
      <c r="H5194">
        <v>500220</v>
      </c>
      <c r="I5194" t="s">
        <v>949</v>
      </c>
    </row>
    <row r="5195" spans="1:9" x14ac:dyDescent="0.25">
      <c r="A5195">
        <v>4220</v>
      </c>
      <c r="B5195">
        <v>18</v>
      </c>
      <c r="C5195" t="s">
        <v>946</v>
      </c>
      <c r="D5195" t="s">
        <v>986</v>
      </c>
      <c r="E5195" t="s">
        <v>108</v>
      </c>
      <c r="F5195" t="s">
        <v>948</v>
      </c>
      <c r="G5195">
        <v>1877777</v>
      </c>
      <c r="H5195">
        <v>500220</v>
      </c>
      <c r="I5195" t="s">
        <v>949</v>
      </c>
    </row>
    <row r="5196" spans="1:9" x14ac:dyDescent="0.25">
      <c r="A5196">
        <v>4230</v>
      </c>
      <c r="B5196">
        <v>18</v>
      </c>
      <c r="C5196" t="s">
        <v>946</v>
      </c>
      <c r="D5196" t="s">
        <v>986</v>
      </c>
      <c r="E5196" t="s">
        <v>108</v>
      </c>
      <c r="F5196" t="s">
        <v>948</v>
      </c>
      <c r="G5196">
        <v>1899999</v>
      </c>
      <c r="H5196">
        <v>403045</v>
      </c>
      <c r="I5196">
        <v>70</v>
      </c>
    </row>
    <row r="5197" spans="1:9" x14ac:dyDescent="0.25">
      <c r="A5197">
        <v>4240</v>
      </c>
      <c r="B5197">
        <v>18</v>
      </c>
      <c r="C5197" t="s">
        <v>946</v>
      </c>
      <c r="D5197" t="s">
        <v>986</v>
      </c>
      <c r="E5197" t="s">
        <v>108</v>
      </c>
      <c r="F5197" t="s">
        <v>948</v>
      </c>
      <c r="G5197">
        <v>1877777</v>
      </c>
      <c r="H5197">
        <v>500221</v>
      </c>
      <c r="I5197" t="s">
        <v>949</v>
      </c>
    </row>
    <row r="5198" spans="1:9" x14ac:dyDescent="0.25">
      <c r="A5198">
        <v>4141</v>
      </c>
      <c r="B5198">
        <v>18</v>
      </c>
      <c r="C5198" t="s">
        <v>946</v>
      </c>
      <c r="D5198" t="s">
        <v>986</v>
      </c>
      <c r="E5198" t="s">
        <v>310</v>
      </c>
      <c r="F5198" t="s">
        <v>948</v>
      </c>
      <c r="G5198">
        <v>1877777</v>
      </c>
      <c r="H5198">
        <v>501010</v>
      </c>
      <c r="I5198">
        <v>70</v>
      </c>
    </row>
    <row r="5199" spans="1:9" x14ac:dyDescent="0.25">
      <c r="A5199">
        <v>4220</v>
      </c>
      <c r="B5199">
        <v>18</v>
      </c>
      <c r="C5199" t="s">
        <v>946</v>
      </c>
      <c r="D5199" t="s">
        <v>986</v>
      </c>
      <c r="E5199" t="s">
        <v>310</v>
      </c>
      <c r="F5199" t="s">
        <v>948</v>
      </c>
      <c r="G5199">
        <v>1877777</v>
      </c>
      <c r="H5199">
        <v>500220</v>
      </c>
      <c r="I5199" t="s">
        <v>949</v>
      </c>
    </row>
    <row r="5200" spans="1:9" x14ac:dyDescent="0.25">
      <c r="A5200">
        <v>4230</v>
      </c>
      <c r="B5200">
        <v>18</v>
      </c>
      <c r="C5200" t="s">
        <v>946</v>
      </c>
      <c r="D5200" t="s">
        <v>986</v>
      </c>
      <c r="E5200" t="s">
        <v>310</v>
      </c>
      <c r="F5200" t="s">
        <v>948</v>
      </c>
      <c r="G5200">
        <v>1899999</v>
      </c>
      <c r="H5200">
        <v>403015</v>
      </c>
      <c r="I5200">
        <v>70</v>
      </c>
    </row>
    <row r="5201" spans="1:9" x14ac:dyDescent="0.25">
      <c r="A5201">
        <v>4240</v>
      </c>
      <c r="B5201">
        <v>18</v>
      </c>
      <c r="C5201" t="s">
        <v>946</v>
      </c>
      <c r="D5201" t="s">
        <v>986</v>
      </c>
      <c r="E5201" t="s">
        <v>310</v>
      </c>
      <c r="F5201" t="s">
        <v>948</v>
      </c>
      <c r="G5201">
        <v>1877777</v>
      </c>
      <c r="H5201">
        <v>500221</v>
      </c>
      <c r="I5201" t="s">
        <v>949</v>
      </c>
    </row>
    <row r="5202" spans="1:9" x14ac:dyDescent="0.25">
      <c r="A5202">
        <v>4141</v>
      </c>
      <c r="B5202">
        <v>18</v>
      </c>
      <c r="C5202" t="s">
        <v>946</v>
      </c>
      <c r="D5202" t="s">
        <v>986</v>
      </c>
      <c r="E5202" t="s">
        <v>314</v>
      </c>
      <c r="F5202" t="s">
        <v>948</v>
      </c>
      <c r="G5202">
        <v>1877777</v>
      </c>
      <c r="H5202">
        <v>501010</v>
      </c>
      <c r="I5202">
        <v>70</v>
      </c>
    </row>
    <row r="5203" spans="1:9" x14ac:dyDescent="0.25">
      <c r="A5203">
        <v>4220</v>
      </c>
      <c r="B5203">
        <v>18</v>
      </c>
      <c r="C5203" t="s">
        <v>946</v>
      </c>
      <c r="D5203" t="s">
        <v>986</v>
      </c>
      <c r="E5203" t="s">
        <v>314</v>
      </c>
      <c r="F5203" t="s">
        <v>948</v>
      </c>
      <c r="G5203">
        <v>1877777</v>
      </c>
      <c r="H5203">
        <v>500220</v>
      </c>
      <c r="I5203" t="s">
        <v>949</v>
      </c>
    </row>
    <row r="5204" spans="1:9" x14ac:dyDescent="0.25">
      <c r="A5204">
        <v>4230</v>
      </c>
      <c r="B5204">
        <v>18</v>
      </c>
      <c r="C5204" t="s">
        <v>946</v>
      </c>
      <c r="D5204" t="s">
        <v>986</v>
      </c>
      <c r="E5204" t="s">
        <v>314</v>
      </c>
      <c r="F5204" t="s">
        <v>948</v>
      </c>
      <c r="G5204">
        <v>1899999</v>
      </c>
      <c r="H5204">
        <v>403065</v>
      </c>
      <c r="I5204">
        <v>70</v>
      </c>
    </row>
    <row r="5205" spans="1:9" x14ac:dyDescent="0.25">
      <c r="A5205">
        <v>4240</v>
      </c>
      <c r="B5205">
        <v>18</v>
      </c>
      <c r="C5205" t="s">
        <v>946</v>
      </c>
      <c r="D5205" t="s">
        <v>986</v>
      </c>
      <c r="E5205" t="s">
        <v>314</v>
      </c>
      <c r="F5205" t="s">
        <v>948</v>
      </c>
      <c r="G5205">
        <v>1877777</v>
      </c>
      <c r="H5205">
        <v>500221</v>
      </c>
      <c r="I5205" t="s">
        <v>949</v>
      </c>
    </row>
    <row r="5206" spans="1:9" x14ac:dyDescent="0.25">
      <c r="A5206">
        <v>4141</v>
      </c>
      <c r="B5206">
        <v>18</v>
      </c>
      <c r="C5206" t="s">
        <v>946</v>
      </c>
      <c r="D5206" t="s">
        <v>986</v>
      </c>
      <c r="E5206" t="s">
        <v>113</v>
      </c>
      <c r="F5206" t="s">
        <v>948</v>
      </c>
      <c r="G5206">
        <v>1877777</v>
      </c>
      <c r="H5206">
        <v>500220</v>
      </c>
      <c r="I5206" t="s">
        <v>949</v>
      </c>
    </row>
    <row r="5207" spans="1:9" x14ac:dyDescent="0.25">
      <c r="A5207">
        <v>4220</v>
      </c>
      <c r="B5207">
        <v>18</v>
      </c>
      <c r="C5207" t="s">
        <v>946</v>
      </c>
      <c r="D5207" t="s">
        <v>986</v>
      </c>
      <c r="E5207" t="s">
        <v>113</v>
      </c>
      <c r="F5207" t="s">
        <v>948</v>
      </c>
      <c r="G5207">
        <v>1877777</v>
      </c>
      <c r="H5207">
        <v>500220</v>
      </c>
      <c r="I5207" t="s">
        <v>949</v>
      </c>
    </row>
    <row r="5208" spans="1:9" x14ac:dyDescent="0.25">
      <c r="A5208">
        <v>4230</v>
      </c>
      <c r="B5208">
        <v>18</v>
      </c>
      <c r="C5208" t="s">
        <v>946</v>
      </c>
      <c r="D5208" t="s">
        <v>986</v>
      </c>
      <c r="E5208" t="s">
        <v>113</v>
      </c>
      <c r="F5208" t="s">
        <v>948</v>
      </c>
      <c r="G5208">
        <v>1899999</v>
      </c>
      <c r="H5208">
        <v>403085</v>
      </c>
      <c r="I5208">
        <v>70</v>
      </c>
    </row>
    <row r="5209" spans="1:9" x14ac:dyDescent="0.25">
      <c r="A5209">
        <v>4240</v>
      </c>
      <c r="B5209">
        <v>18</v>
      </c>
      <c r="C5209" t="s">
        <v>946</v>
      </c>
      <c r="D5209" t="s">
        <v>986</v>
      </c>
      <c r="E5209" t="s">
        <v>113</v>
      </c>
      <c r="F5209" t="s">
        <v>948</v>
      </c>
      <c r="G5209">
        <v>1877777</v>
      </c>
      <c r="H5209">
        <v>500221</v>
      </c>
      <c r="I5209" t="s">
        <v>949</v>
      </c>
    </row>
    <row r="5210" spans="1:9" x14ac:dyDescent="0.25">
      <c r="A5210">
        <v>4141</v>
      </c>
      <c r="B5210">
        <v>18</v>
      </c>
      <c r="C5210" t="s">
        <v>946</v>
      </c>
      <c r="D5210" t="s">
        <v>986</v>
      </c>
      <c r="E5210" t="s">
        <v>117</v>
      </c>
      <c r="F5210" t="s">
        <v>948</v>
      </c>
      <c r="G5210">
        <v>1877777</v>
      </c>
      <c r="H5210">
        <v>500220</v>
      </c>
      <c r="I5210" t="s">
        <v>949</v>
      </c>
    </row>
    <row r="5211" spans="1:9" x14ac:dyDescent="0.25">
      <c r="A5211">
        <v>4220</v>
      </c>
      <c r="B5211">
        <v>18</v>
      </c>
      <c r="C5211" t="s">
        <v>946</v>
      </c>
      <c r="D5211" t="s">
        <v>986</v>
      </c>
      <c r="E5211" t="s">
        <v>117</v>
      </c>
      <c r="F5211" t="s">
        <v>948</v>
      </c>
      <c r="G5211">
        <v>1877777</v>
      </c>
      <c r="H5211">
        <v>500220</v>
      </c>
      <c r="I5211" t="s">
        <v>949</v>
      </c>
    </row>
    <row r="5212" spans="1:9" x14ac:dyDescent="0.25">
      <c r="A5212">
        <v>4230</v>
      </c>
      <c r="B5212">
        <v>18</v>
      </c>
      <c r="C5212" t="s">
        <v>946</v>
      </c>
      <c r="D5212" t="s">
        <v>986</v>
      </c>
      <c r="E5212" t="s">
        <v>117</v>
      </c>
      <c r="F5212" t="s">
        <v>948</v>
      </c>
      <c r="G5212">
        <v>1888888</v>
      </c>
      <c r="H5212">
        <v>810600</v>
      </c>
      <c r="I5212">
        <v>70</v>
      </c>
    </row>
    <row r="5213" spans="1:9" x14ac:dyDescent="0.25">
      <c r="A5213">
        <v>4240</v>
      </c>
      <c r="B5213">
        <v>18</v>
      </c>
      <c r="C5213" t="s">
        <v>946</v>
      </c>
      <c r="D5213" t="s">
        <v>986</v>
      </c>
      <c r="E5213" t="s">
        <v>117</v>
      </c>
      <c r="F5213" t="s">
        <v>948</v>
      </c>
      <c r="G5213">
        <v>1877777</v>
      </c>
      <c r="H5213">
        <v>500221</v>
      </c>
      <c r="I5213" t="s">
        <v>949</v>
      </c>
    </row>
    <row r="5214" spans="1:9" x14ac:dyDescent="0.25">
      <c r="A5214">
        <v>4141</v>
      </c>
      <c r="B5214">
        <v>18</v>
      </c>
      <c r="C5214" t="s">
        <v>946</v>
      </c>
      <c r="D5214" t="s">
        <v>986</v>
      </c>
      <c r="E5214" t="s">
        <v>121</v>
      </c>
      <c r="F5214" t="s">
        <v>948</v>
      </c>
      <c r="G5214">
        <v>1877777</v>
      </c>
      <c r="H5214">
        <v>500220</v>
      </c>
      <c r="I5214" t="s">
        <v>949</v>
      </c>
    </row>
    <row r="5215" spans="1:9" x14ac:dyDescent="0.25">
      <c r="A5215">
        <v>4220</v>
      </c>
      <c r="B5215">
        <v>18</v>
      </c>
      <c r="C5215" t="s">
        <v>946</v>
      </c>
      <c r="D5215" t="s">
        <v>986</v>
      </c>
      <c r="E5215" t="s">
        <v>121</v>
      </c>
      <c r="F5215" t="s">
        <v>948</v>
      </c>
      <c r="G5215">
        <v>1877777</v>
      </c>
      <c r="H5215">
        <v>500220</v>
      </c>
      <c r="I5215" t="s">
        <v>949</v>
      </c>
    </row>
    <row r="5216" spans="1:9" x14ac:dyDescent="0.25">
      <c r="A5216">
        <v>4230</v>
      </c>
      <c r="B5216">
        <v>18</v>
      </c>
      <c r="C5216" t="s">
        <v>946</v>
      </c>
      <c r="D5216" t="s">
        <v>986</v>
      </c>
      <c r="E5216" t="s">
        <v>121</v>
      </c>
      <c r="F5216" t="s">
        <v>948</v>
      </c>
      <c r="G5216">
        <v>1899999</v>
      </c>
      <c r="H5216">
        <v>403045</v>
      </c>
      <c r="I5216">
        <v>70</v>
      </c>
    </row>
    <row r="5217" spans="1:9" x14ac:dyDescent="0.25">
      <c r="A5217">
        <v>4240</v>
      </c>
      <c r="B5217">
        <v>18</v>
      </c>
      <c r="C5217" t="s">
        <v>946</v>
      </c>
      <c r="D5217" t="s">
        <v>986</v>
      </c>
      <c r="E5217" t="s">
        <v>121</v>
      </c>
      <c r="F5217" t="s">
        <v>948</v>
      </c>
      <c r="G5217">
        <v>1877777</v>
      </c>
      <c r="H5217">
        <v>500221</v>
      </c>
      <c r="I5217" t="s">
        <v>949</v>
      </c>
    </row>
    <row r="5218" spans="1:9" x14ac:dyDescent="0.25">
      <c r="A5218">
        <v>4141</v>
      </c>
      <c r="B5218">
        <v>18</v>
      </c>
      <c r="C5218" t="s">
        <v>946</v>
      </c>
      <c r="D5218" t="s">
        <v>986</v>
      </c>
      <c r="E5218" t="s">
        <v>984</v>
      </c>
      <c r="F5218" t="s">
        <v>948</v>
      </c>
      <c r="G5218">
        <v>1877777</v>
      </c>
      <c r="H5218">
        <v>501010</v>
      </c>
      <c r="I5218">
        <v>70</v>
      </c>
    </row>
    <row r="5219" spans="1:9" x14ac:dyDescent="0.25">
      <c r="A5219">
        <v>4220</v>
      </c>
      <c r="B5219">
        <v>18</v>
      </c>
      <c r="C5219" t="s">
        <v>946</v>
      </c>
      <c r="D5219" t="s">
        <v>986</v>
      </c>
      <c r="E5219" t="s">
        <v>984</v>
      </c>
      <c r="F5219" t="s">
        <v>948</v>
      </c>
      <c r="G5219">
        <v>1877777</v>
      </c>
      <c r="H5219">
        <v>500220</v>
      </c>
      <c r="I5219" t="s">
        <v>949</v>
      </c>
    </row>
    <row r="5220" spans="1:9" x14ac:dyDescent="0.25">
      <c r="A5220">
        <v>4230</v>
      </c>
      <c r="B5220">
        <v>18</v>
      </c>
      <c r="C5220" t="s">
        <v>946</v>
      </c>
      <c r="D5220" t="s">
        <v>986</v>
      </c>
      <c r="E5220" t="s">
        <v>984</v>
      </c>
      <c r="F5220" t="s">
        <v>948</v>
      </c>
      <c r="G5220">
        <v>1899999</v>
      </c>
      <c r="H5220">
        <v>403915</v>
      </c>
      <c r="I5220">
        <v>70</v>
      </c>
    </row>
    <row r="5221" spans="1:9" x14ac:dyDescent="0.25">
      <c r="A5221">
        <v>4240</v>
      </c>
      <c r="B5221">
        <v>18</v>
      </c>
      <c r="C5221" t="s">
        <v>946</v>
      </c>
      <c r="D5221" t="s">
        <v>986</v>
      </c>
      <c r="E5221" t="s">
        <v>984</v>
      </c>
      <c r="F5221" t="s">
        <v>948</v>
      </c>
      <c r="G5221">
        <v>1877777</v>
      </c>
      <c r="H5221">
        <v>500221</v>
      </c>
      <c r="I5221" t="s">
        <v>949</v>
      </c>
    </row>
    <row r="5222" spans="1:9" x14ac:dyDescent="0.25">
      <c r="A5222">
        <v>4141</v>
      </c>
      <c r="B5222">
        <v>18</v>
      </c>
      <c r="C5222" t="s">
        <v>946</v>
      </c>
      <c r="D5222" t="s">
        <v>988</v>
      </c>
      <c r="E5222" t="s">
        <v>243</v>
      </c>
      <c r="F5222" t="s">
        <v>948</v>
      </c>
      <c r="G5222">
        <v>1877777</v>
      </c>
      <c r="H5222">
        <v>501010</v>
      </c>
      <c r="I5222">
        <v>73</v>
      </c>
    </row>
    <row r="5223" spans="1:9" x14ac:dyDescent="0.25">
      <c r="A5223">
        <v>4220</v>
      </c>
      <c r="B5223">
        <v>18</v>
      </c>
      <c r="C5223" t="s">
        <v>946</v>
      </c>
      <c r="D5223" t="s">
        <v>988</v>
      </c>
      <c r="E5223" t="s">
        <v>243</v>
      </c>
      <c r="F5223" t="s">
        <v>948</v>
      </c>
      <c r="G5223">
        <v>1877777</v>
      </c>
      <c r="H5223">
        <v>500220</v>
      </c>
      <c r="I5223" t="s">
        <v>949</v>
      </c>
    </row>
    <row r="5224" spans="1:9" x14ac:dyDescent="0.25">
      <c r="A5224">
        <v>4230</v>
      </c>
      <c r="B5224">
        <v>18</v>
      </c>
      <c r="C5224" t="s">
        <v>946</v>
      </c>
      <c r="D5224" t="s">
        <v>988</v>
      </c>
      <c r="E5224" t="s">
        <v>243</v>
      </c>
      <c r="F5224" t="s">
        <v>948</v>
      </c>
      <c r="G5224">
        <v>1899999</v>
      </c>
      <c r="H5224">
        <v>403055</v>
      </c>
      <c r="I5224">
        <v>73</v>
      </c>
    </row>
    <row r="5225" spans="1:9" x14ac:dyDescent="0.25">
      <c r="A5225">
        <v>4240</v>
      </c>
      <c r="B5225">
        <v>18</v>
      </c>
      <c r="C5225" t="s">
        <v>946</v>
      </c>
      <c r="D5225" t="s">
        <v>988</v>
      </c>
      <c r="E5225" t="s">
        <v>243</v>
      </c>
      <c r="F5225" t="s">
        <v>948</v>
      </c>
      <c r="G5225">
        <v>1877777</v>
      </c>
      <c r="H5225">
        <v>500221</v>
      </c>
      <c r="I5225" t="s">
        <v>949</v>
      </c>
    </row>
    <row r="5226" spans="1:9" x14ac:dyDescent="0.25">
      <c r="A5226">
        <v>4141</v>
      </c>
      <c r="B5226">
        <v>18</v>
      </c>
      <c r="C5226" t="s">
        <v>946</v>
      </c>
      <c r="D5226" t="s">
        <v>988</v>
      </c>
      <c r="E5226" t="s">
        <v>247</v>
      </c>
      <c r="F5226" t="s">
        <v>948</v>
      </c>
      <c r="G5226">
        <v>1877777</v>
      </c>
      <c r="H5226">
        <v>501010</v>
      </c>
      <c r="I5226">
        <v>73</v>
      </c>
    </row>
    <row r="5227" spans="1:9" x14ac:dyDescent="0.25">
      <c r="A5227">
        <v>4220</v>
      </c>
      <c r="B5227">
        <v>18</v>
      </c>
      <c r="C5227" t="s">
        <v>946</v>
      </c>
      <c r="D5227" t="s">
        <v>988</v>
      </c>
      <c r="E5227" t="s">
        <v>247</v>
      </c>
      <c r="F5227" t="s">
        <v>948</v>
      </c>
      <c r="G5227">
        <v>1877777</v>
      </c>
      <c r="H5227">
        <v>500220</v>
      </c>
      <c r="I5227" t="s">
        <v>949</v>
      </c>
    </row>
    <row r="5228" spans="1:9" x14ac:dyDescent="0.25">
      <c r="A5228">
        <v>4230</v>
      </c>
      <c r="B5228">
        <v>18</v>
      </c>
      <c r="C5228" t="s">
        <v>946</v>
      </c>
      <c r="D5228" t="s">
        <v>988</v>
      </c>
      <c r="E5228" t="s">
        <v>247</v>
      </c>
      <c r="F5228" t="s">
        <v>948</v>
      </c>
      <c r="G5228">
        <v>1899999</v>
      </c>
      <c r="H5228">
        <v>403025</v>
      </c>
      <c r="I5228">
        <v>73</v>
      </c>
    </row>
    <row r="5229" spans="1:9" x14ac:dyDescent="0.25">
      <c r="A5229">
        <v>4240</v>
      </c>
      <c r="B5229">
        <v>18</v>
      </c>
      <c r="C5229" t="s">
        <v>946</v>
      </c>
      <c r="D5229" t="s">
        <v>988</v>
      </c>
      <c r="E5229" t="s">
        <v>247</v>
      </c>
      <c r="F5229" t="s">
        <v>948</v>
      </c>
      <c r="G5229">
        <v>1877777</v>
      </c>
      <c r="H5229">
        <v>500221</v>
      </c>
      <c r="I5229" t="s">
        <v>949</v>
      </c>
    </row>
    <row r="5230" spans="1:9" x14ac:dyDescent="0.25">
      <c r="A5230">
        <v>4141</v>
      </c>
      <c r="B5230">
        <v>18</v>
      </c>
      <c r="C5230" t="s">
        <v>946</v>
      </c>
      <c r="D5230" t="s">
        <v>988</v>
      </c>
      <c r="E5230" t="s">
        <v>251</v>
      </c>
      <c r="F5230" t="s">
        <v>948</v>
      </c>
      <c r="G5230">
        <v>1877777</v>
      </c>
      <c r="H5230">
        <v>501010</v>
      </c>
      <c r="I5230">
        <v>73</v>
      </c>
    </row>
    <row r="5231" spans="1:9" x14ac:dyDescent="0.25">
      <c r="A5231">
        <v>4220</v>
      </c>
      <c r="B5231">
        <v>18</v>
      </c>
      <c r="C5231" t="s">
        <v>946</v>
      </c>
      <c r="D5231" t="s">
        <v>988</v>
      </c>
      <c r="E5231" t="s">
        <v>251</v>
      </c>
      <c r="F5231" t="s">
        <v>948</v>
      </c>
      <c r="G5231">
        <v>1877777</v>
      </c>
      <c r="H5231">
        <v>500220</v>
      </c>
      <c r="I5231" t="s">
        <v>949</v>
      </c>
    </row>
    <row r="5232" spans="1:9" x14ac:dyDescent="0.25">
      <c r="A5232">
        <v>4230</v>
      </c>
      <c r="B5232">
        <v>18</v>
      </c>
      <c r="C5232" t="s">
        <v>946</v>
      </c>
      <c r="D5232" t="s">
        <v>988</v>
      </c>
      <c r="E5232" t="s">
        <v>251</v>
      </c>
      <c r="F5232" t="s">
        <v>948</v>
      </c>
      <c r="G5232">
        <v>1899999</v>
      </c>
      <c r="H5232">
        <v>403045</v>
      </c>
      <c r="I5232">
        <v>73</v>
      </c>
    </row>
    <row r="5233" spans="1:9" x14ac:dyDescent="0.25">
      <c r="A5233">
        <v>4240</v>
      </c>
      <c r="B5233">
        <v>18</v>
      </c>
      <c r="C5233" t="s">
        <v>946</v>
      </c>
      <c r="D5233" t="s">
        <v>988</v>
      </c>
      <c r="E5233" t="s">
        <v>251</v>
      </c>
      <c r="F5233" t="s">
        <v>948</v>
      </c>
      <c r="G5233">
        <v>1877777</v>
      </c>
      <c r="H5233">
        <v>500221</v>
      </c>
      <c r="I5233" t="s">
        <v>949</v>
      </c>
    </row>
    <row r="5234" spans="1:9" x14ac:dyDescent="0.25">
      <c r="A5234">
        <v>4141</v>
      </c>
      <c r="B5234">
        <v>18</v>
      </c>
      <c r="C5234" t="s">
        <v>946</v>
      </c>
      <c r="D5234" t="s">
        <v>988</v>
      </c>
      <c r="E5234" t="s">
        <v>969</v>
      </c>
      <c r="F5234" t="s">
        <v>948</v>
      </c>
      <c r="G5234">
        <v>1877777</v>
      </c>
      <c r="H5234">
        <v>501010</v>
      </c>
      <c r="I5234">
        <v>73</v>
      </c>
    </row>
    <row r="5235" spans="1:9" x14ac:dyDescent="0.25">
      <c r="A5235">
        <v>4220</v>
      </c>
      <c r="B5235">
        <v>18</v>
      </c>
      <c r="C5235" t="s">
        <v>946</v>
      </c>
      <c r="D5235" t="s">
        <v>988</v>
      </c>
      <c r="E5235" t="s">
        <v>969</v>
      </c>
      <c r="F5235" t="s">
        <v>948</v>
      </c>
      <c r="G5235">
        <v>1877777</v>
      </c>
      <c r="H5235">
        <v>500220</v>
      </c>
      <c r="I5235" t="s">
        <v>949</v>
      </c>
    </row>
    <row r="5236" spans="1:9" x14ac:dyDescent="0.25">
      <c r="A5236">
        <v>4230</v>
      </c>
      <c r="B5236">
        <v>18</v>
      </c>
      <c r="C5236" t="s">
        <v>946</v>
      </c>
      <c r="D5236" t="s">
        <v>988</v>
      </c>
      <c r="E5236" t="s">
        <v>969</v>
      </c>
      <c r="F5236" t="s">
        <v>948</v>
      </c>
      <c r="G5236">
        <v>1899999</v>
      </c>
      <c r="H5236">
        <v>403915</v>
      </c>
      <c r="I5236">
        <v>73</v>
      </c>
    </row>
    <row r="5237" spans="1:9" x14ac:dyDescent="0.25">
      <c r="A5237">
        <v>4240</v>
      </c>
      <c r="B5237">
        <v>18</v>
      </c>
      <c r="C5237" t="s">
        <v>946</v>
      </c>
      <c r="D5237" t="s">
        <v>988</v>
      </c>
      <c r="E5237" t="s">
        <v>969</v>
      </c>
      <c r="F5237" t="s">
        <v>948</v>
      </c>
      <c r="G5237">
        <v>1877777</v>
      </c>
      <c r="H5237">
        <v>500221</v>
      </c>
      <c r="I5237" t="s">
        <v>949</v>
      </c>
    </row>
    <row r="5238" spans="1:9" x14ac:dyDescent="0.25">
      <c r="A5238">
        <v>4141</v>
      </c>
      <c r="B5238">
        <v>18</v>
      </c>
      <c r="C5238" t="s">
        <v>946</v>
      </c>
      <c r="D5238" t="s">
        <v>988</v>
      </c>
      <c r="E5238" t="s">
        <v>255</v>
      </c>
      <c r="F5238" t="s">
        <v>948</v>
      </c>
      <c r="G5238">
        <v>1877777</v>
      </c>
      <c r="H5238">
        <v>501010</v>
      </c>
      <c r="I5238">
        <v>73</v>
      </c>
    </row>
    <row r="5239" spans="1:9" x14ac:dyDescent="0.25">
      <c r="A5239">
        <v>4220</v>
      </c>
      <c r="B5239">
        <v>18</v>
      </c>
      <c r="C5239" t="s">
        <v>946</v>
      </c>
      <c r="D5239" t="s">
        <v>988</v>
      </c>
      <c r="E5239" t="s">
        <v>255</v>
      </c>
      <c r="F5239" t="s">
        <v>948</v>
      </c>
      <c r="G5239">
        <v>1877777</v>
      </c>
      <c r="H5239">
        <v>500220</v>
      </c>
      <c r="I5239" t="s">
        <v>949</v>
      </c>
    </row>
    <row r="5240" spans="1:9" x14ac:dyDescent="0.25">
      <c r="A5240">
        <v>4230</v>
      </c>
      <c r="B5240">
        <v>18</v>
      </c>
      <c r="C5240" t="s">
        <v>946</v>
      </c>
      <c r="D5240" t="s">
        <v>988</v>
      </c>
      <c r="E5240" t="s">
        <v>255</v>
      </c>
      <c r="F5240" t="s">
        <v>948</v>
      </c>
      <c r="G5240">
        <v>1899999</v>
      </c>
      <c r="H5240">
        <v>403075</v>
      </c>
      <c r="I5240">
        <v>73</v>
      </c>
    </row>
    <row r="5241" spans="1:9" x14ac:dyDescent="0.25">
      <c r="A5241">
        <v>4240</v>
      </c>
      <c r="B5241">
        <v>18</v>
      </c>
      <c r="C5241" t="s">
        <v>946</v>
      </c>
      <c r="D5241" t="s">
        <v>988</v>
      </c>
      <c r="E5241" t="s">
        <v>255</v>
      </c>
      <c r="F5241" t="s">
        <v>948</v>
      </c>
      <c r="G5241">
        <v>1877777</v>
      </c>
      <c r="H5241">
        <v>500221</v>
      </c>
      <c r="I5241" t="s">
        <v>949</v>
      </c>
    </row>
    <row r="5242" spans="1:9" x14ac:dyDescent="0.25">
      <c r="A5242">
        <v>4141</v>
      </c>
      <c r="B5242">
        <v>18</v>
      </c>
      <c r="C5242" t="s">
        <v>946</v>
      </c>
      <c r="D5242" t="s">
        <v>988</v>
      </c>
      <c r="E5242" t="s">
        <v>971</v>
      </c>
      <c r="F5242" t="s">
        <v>948</v>
      </c>
      <c r="G5242">
        <v>1877777</v>
      </c>
      <c r="H5242">
        <v>501010</v>
      </c>
      <c r="I5242">
        <v>73</v>
      </c>
    </row>
    <row r="5243" spans="1:9" x14ac:dyDescent="0.25">
      <c r="A5243">
        <v>4220</v>
      </c>
      <c r="B5243">
        <v>18</v>
      </c>
      <c r="C5243" t="s">
        <v>946</v>
      </c>
      <c r="D5243" t="s">
        <v>988</v>
      </c>
      <c r="E5243" t="s">
        <v>971</v>
      </c>
      <c r="F5243" t="s">
        <v>948</v>
      </c>
      <c r="G5243">
        <v>1877777</v>
      </c>
      <c r="H5243">
        <v>500220</v>
      </c>
      <c r="I5243" t="s">
        <v>949</v>
      </c>
    </row>
    <row r="5244" spans="1:9" x14ac:dyDescent="0.25">
      <c r="A5244">
        <v>4230</v>
      </c>
      <c r="B5244">
        <v>18</v>
      </c>
      <c r="C5244" t="s">
        <v>946</v>
      </c>
      <c r="D5244" t="s">
        <v>988</v>
      </c>
      <c r="E5244" t="s">
        <v>971</v>
      </c>
      <c r="F5244" t="s">
        <v>948</v>
      </c>
      <c r="G5244">
        <v>1899999</v>
      </c>
      <c r="H5244">
        <v>403915</v>
      </c>
      <c r="I5244">
        <v>73</v>
      </c>
    </row>
    <row r="5245" spans="1:9" x14ac:dyDescent="0.25">
      <c r="A5245">
        <v>4240</v>
      </c>
      <c r="B5245">
        <v>18</v>
      </c>
      <c r="C5245" t="s">
        <v>946</v>
      </c>
      <c r="D5245" t="s">
        <v>988</v>
      </c>
      <c r="E5245" t="s">
        <v>971</v>
      </c>
      <c r="F5245" t="s">
        <v>948</v>
      </c>
      <c r="G5245">
        <v>1877777</v>
      </c>
      <c r="H5245">
        <v>500221</v>
      </c>
      <c r="I5245" t="s">
        <v>949</v>
      </c>
    </row>
    <row r="5246" spans="1:9" x14ac:dyDescent="0.25">
      <c r="A5246">
        <v>4230</v>
      </c>
      <c r="B5246">
        <v>18</v>
      </c>
      <c r="C5246" t="s">
        <v>946</v>
      </c>
      <c r="D5246" t="s">
        <v>988</v>
      </c>
      <c r="E5246" t="s">
        <v>259</v>
      </c>
      <c r="F5246" t="s">
        <v>948</v>
      </c>
      <c r="G5246">
        <v>1899999</v>
      </c>
      <c r="H5246">
        <v>409005</v>
      </c>
      <c r="I5246">
        <v>73</v>
      </c>
    </row>
    <row r="5247" spans="1:9" x14ac:dyDescent="0.25">
      <c r="A5247">
        <v>4141</v>
      </c>
      <c r="B5247">
        <v>18</v>
      </c>
      <c r="C5247" t="s">
        <v>946</v>
      </c>
      <c r="D5247" t="s">
        <v>988</v>
      </c>
      <c r="E5247" t="s">
        <v>263</v>
      </c>
      <c r="F5247" t="s">
        <v>948</v>
      </c>
      <c r="G5247">
        <v>1877777</v>
      </c>
      <c r="H5247">
        <v>501010</v>
      </c>
      <c r="I5247">
        <v>73</v>
      </c>
    </row>
    <row r="5248" spans="1:9" x14ac:dyDescent="0.25">
      <c r="A5248">
        <v>4220</v>
      </c>
      <c r="B5248">
        <v>18</v>
      </c>
      <c r="C5248" t="s">
        <v>946</v>
      </c>
      <c r="D5248" t="s">
        <v>988</v>
      </c>
      <c r="E5248" t="s">
        <v>263</v>
      </c>
      <c r="F5248" t="s">
        <v>948</v>
      </c>
      <c r="G5248">
        <v>1877777</v>
      </c>
      <c r="H5248">
        <v>500220</v>
      </c>
      <c r="I5248" t="s">
        <v>949</v>
      </c>
    </row>
    <row r="5249" spans="1:9" x14ac:dyDescent="0.25">
      <c r="A5249">
        <v>4230</v>
      </c>
      <c r="B5249">
        <v>18</v>
      </c>
      <c r="C5249" t="s">
        <v>946</v>
      </c>
      <c r="D5249" t="s">
        <v>988</v>
      </c>
      <c r="E5249" t="s">
        <v>263</v>
      </c>
      <c r="F5249" t="s">
        <v>948</v>
      </c>
      <c r="G5249">
        <v>1899999</v>
      </c>
      <c r="H5249">
        <v>403045</v>
      </c>
      <c r="I5249">
        <v>73</v>
      </c>
    </row>
    <row r="5250" spans="1:9" x14ac:dyDescent="0.25">
      <c r="A5250">
        <v>4240</v>
      </c>
      <c r="B5250">
        <v>18</v>
      </c>
      <c r="C5250" t="s">
        <v>946</v>
      </c>
      <c r="D5250" t="s">
        <v>988</v>
      </c>
      <c r="E5250" t="s">
        <v>263</v>
      </c>
      <c r="F5250" t="s">
        <v>948</v>
      </c>
      <c r="G5250">
        <v>1877777</v>
      </c>
      <c r="H5250">
        <v>500221</v>
      </c>
      <c r="I5250" t="s">
        <v>949</v>
      </c>
    </row>
    <row r="5251" spans="1:9" x14ac:dyDescent="0.25">
      <c r="A5251">
        <v>4141</v>
      </c>
      <c r="B5251">
        <v>18</v>
      </c>
      <c r="C5251" t="s">
        <v>946</v>
      </c>
      <c r="D5251" t="s">
        <v>988</v>
      </c>
      <c r="E5251" t="s">
        <v>100</v>
      </c>
      <c r="F5251" t="s">
        <v>948</v>
      </c>
      <c r="G5251">
        <v>1877777</v>
      </c>
      <c r="H5251">
        <v>500220</v>
      </c>
      <c r="I5251" t="s">
        <v>949</v>
      </c>
    </row>
    <row r="5252" spans="1:9" x14ac:dyDescent="0.25">
      <c r="A5252">
        <v>4220</v>
      </c>
      <c r="B5252">
        <v>18</v>
      </c>
      <c r="C5252" t="s">
        <v>946</v>
      </c>
      <c r="D5252" t="s">
        <v>988</v>
      </c>
      <c r="E5252" t="s">
        <v>100</v>
      </c>
      <c r="F5252" t="s">
        <v>948</v>
      </c>
      <c r="G5252">
        <v>1877777</v>
      </c>
      <c r="H5252">
        <v>500220</v>
      </c>
      <c r="I5252" t="s">
        <v>949</v>
      </c>
    </row>
    <row r="5253" spans="1:9" x14ac:dyDescent="0.25">
      <c r="A5253">
        <v>4230</v>
      </c>
      <c r="B5253">
        <v>18</v>
      </c>
      <c r="C5253" t="s">
        <v>946</v>
      </c>
      <c r="D5253" t="s">
        <v>988</v>
      </c>
      <c r="E5253" t="s">
        <v>100</v>
      </c>
      <c r="F5253" t="s">
        <v>948</v>
      </c>
      <c r="G5253">
        <v>1899999</v>
      </c>
      <c r="H5253">
        <v>403045</v>
      </c>
      <c r="I5253">
        <v>73</v>
      </c>
    </row>
    <row r="5254" spans="1:9" x14ac:dyDescent="0.25">
      <c r="A5254">
        <v>4240</v>
      </c>
      <c r="B5254">
        <v>18</v>
      </c>
      <c r="C5254" t="s">
        <v>946</v>
      </c>
      <c r="D5254" t="s">
        <v>988</v>
      </c>
      <c r="E5254" t="s">
        <v>100</v>
      </c>
      <c r="F5254" t="s">
        <v>948</v>
      </c>
      <c r="G5254">
        <v>1877777</v>
      </c>
      <c r="H5254">
        <v>500221</v>
      </c>
      <c r="I5254" t="s">
        <v>949</v>
      </c>
    </row>
    <row r="5255" spans="1:9" x14ac:dyDescent="0.25">
      <c r="A5255">
        <v>4141</v>
      </c>
      <c r="B5255">
        <v>18</v>
      </c>
      <c r="C5255" t="s">
        <v>946</v>
      </c>
      <c r="D5255" t="s">
        <v>988</v>
      </c>
      <c r="E5255" t="s">
        <v>270</v>
      </c>
      <c r="F5255" t="s">
        <v>948</v>
      </c>
      <c r="G5255">
        <v>1877777</v>
      </c>
      <c r="H5255">
        <v>501010</v>
      </c>
      <c r="I5255">
        <v>73</v>
      </c>
    </row>
    <row r="5256" spans="1:9" x14ac:dyDescent="0.25">
      <c r="A5256">
        <v>4220</v>
      </c>
      <c r="B5256">
        <v>18</v>
      </c>
      <c r="C5256" t="s">
        <v>946</v>
      </c>
      <c r="D5256" t="s">
        <v>988</v>
      </c>
      <c r="E5256" t="s">
        <v>270</v>
      </c>
      <c r="F5256" t="s">
        <v>948</v>
      </c>
      <c r="G5256">
        <v>1877777</v>
      </c>
      <c r="H5256">
        <v>500220</v>
      </c>
      <c r="I5256" t="s">
        <v>949</v>
      </c>
    </row>
    <row r="5257" spans="1:9" x14ac:dyDescent="0.25">
      <c r="A5257">
        <v>4230</v>
      </c>
      <c r="B5257">
        <v>18</v>
      </c>
      <c r="C5257" t="s">
        <v>946</v>
      </c>
      <c r="D5257" t="s">
        <v>988</v>
      </c>
      <c r="E5257" t="s">
        <v>270</v>
      </c>
      <c r="F5257" t="s">
        <v>948</v>
      </c>
      <c r="G5257">
        <v>1899999</v>
      </c>
      <c r="H5257">
        <v>403065</v>
      </c>
      <c r="I5257">
        <v>73</v>
      </c>
    </row>
    <row r="5258" spans="1:9" x14ac:dyDescent="0.25">
      <c r="A5258">
        <v>4240</v>
      </c>
      <c r="B5258">
        <v>18</v>
      </c>
      <c r="C5258" t="s">
        <v>946</v>
      </c>
      <c r="D5258" t="s">
        <v>988</v>
      </c>
      <c r="E5258" t="s">
        <v>270</v>
      </c>
      <c r="F5258" t="s">
        <v>948</v>
      </c>
      <c r="G5258">
        <v>1877777</v>
      </c>
      <c r="H5258">
        <v>500221</v>
      </c>
      <c r="I5258" t="s">
        <v>949</v>
      </c>
    </row>
    <row r="5259" spans="1:9" x14ac:dyDescent="0.25">
      <c r="A5259">
        <v>4141</v>
      </c>
      <c r="B5259">
        <v>18</v>
      </c>
      <c r="C5259" t="s">
        <v>946</v>
      </c>
      <c r="D5259" t="s">
        <v>988</v>
      </c>
      <c r="E5259" t="s">
        <v>274</v>
      </c>
      <c r="F5259" t="s">
        <v>948</v>
      </c>
      <c r="G5259">
        <v>1877777</v>
      </c>
      <c r="H5259">
        <v>501010</v>
      </c>
      <c r="I5259">
        <v>73</v>
      </c>
    </row>
    <row r="5260" spans="1:9" x14ac:dyDescent="0.25">
      <c r="A5260">
        <v>4220</v>
      </c>
      <c r="B5260">
        <v>18</v>
      </c>
      <c r="C5260" t="s">
        <v>946</v>
      </c>
      <c r="D5260" t="s">
        <v>988</v>
      </c>
      <c r="E5260" t="s">
        <v>274</v>
      </c>
      <c r="F5260" t="s">
        <v>948</v>
      </c>
      <c r="G5260">
        <v>1877777</v>
      </c>
      <c r="H5260">
        <v>500220</v>
      </c>
      <c r="I5260" t="s">
        <v>949</v>
      </c>
    </row>
    <row r="5261" spans="1:9" x14ac:dyDescent="0.25">
      <c r="A5261">
        <v>4230</v>
      </c>
      <c r="B5261">
        <v>18</v>
      </c>
      <c r="C5261" t="s">
        <v>946</v>
      </c>
      <c r="D5261" t="s">
        <v>988</v>
      </c>
      <c r="E5261" t="s">
        <v>274</v>
      </c>
      <c r="F5261" t="s">
        <v>948</v>
      </c>
      <c r="G5261">
        <v>1899999</v>
      </c>
      <c r="H5261">
        <v>403045</v>
      </c>
      <c r="I5261">
        <v>73</v>
      </c>
    </row>
    <row r="5262" spans="1:9" x14ac:dyDescent="0.25">
      <c r="A5262">
        <v>4240</v>
      </c>
      <c r="B5262">
        <v>18</v>
      </c>
      <c r="C5262" t="s">
        <v>946</v>
      </c>
      <c r="D5262" t="s">
        <v>988</v>
      </c>
      <c r="E5262" t="s">
        <v>274</v>
      </c>
      <c r="F5262" t="s">
        <v>948</v>
      </c>
      <c r="G5262">
        <v>1877777</v>
      </c>
      <c r="H5262">
        <v>500221</v>
      </c>
      <c r="I5262" t="s">
        <v>949</v>
      </c>
    </row>
    <row r="5263" spans="1:9" x14ac:dyDescent="0.25">
      <c r="A5263">
        <v>4141</v>
      </c>
      <c r="B5263">
        <v>18</v>
      </c>
      <c r="C5263" t="s">
        <v>946</v>
      </c>
      <c r="D5263" t="s">
        <v>988</v>
      </c>
      <c r="E5263" t="s">
        <v>974</v>
      </c>
      <c r="F5263" t="s">
        <v>948</v>
      </c>
      <c r="G5263">
        <v>1877777</v>
      </c>
      <c r="H5263">
        <v>501010</v>
      </c>
      <c r="I5263">
        <v>73</v>
      </c>
    </row>
    <row r="5264" spans="1:9" x14ac:dyDescent="0.25">
      <c r="A5264">
        <v>4220</v>
      </c>
      <c r="B5264">
        <v>18</v>
      </c>
      <c r="C5264" t="s">
        <v>946</v>
      </c>
      <c r="D5264" t="s">
        <v>988</v>
      </c>
      <c r="E5264" t="s">
        <v>974</v>
      </c>
      <c r="F5264" t="s">
        <v>948</v>
      </c>
      <c r="G5264">
        <v>1877777</v>
      </c>
      <c r="H5264">
        <v>500220</v>
      </c>
      <c r="I5264" t="s">
        <v>949</v>
      </c>
    </row>
    <row r="5265" spans="1:9" x14ac:dyDescent="0.25">
      <c r="A5265">
        <v>4230</v>
      </c>
      <c r="B5265">
        <v>18</v>
      </c>
      <c r="C5265" t="s">
        <v>946</v>
      </c>
      <c r="D5265" t="s">
        <v>988</v>
      </c>
      <c r="E5265" t="s">
        <v>974</v>
      </c>
      <c r="F5265" t="s">
        <v>948</v>
      </c>
      <c r="G5265">
        <v>1899999</v>
      </c>
      <c r="H5265">
        <v>403915</v>
      </c>
      <c r="I5265">
        <v>73</v>
      </c>
    </row>
    <row r="5266" spans="1:9" x14ac:dyDescent="0.25">
      <c r="A5266">
        <v>4240</v>
      </c>
      <c r="B5266">
        <v>18</v>
      </c>
      <c r="C5266" t="s">
        <v>946</v>
      </c>
      <c r="D5266" t="s">
        <v>988</v>
      </c>
      <c r="E5266" t="s">
        <v>974</v>
      </c>
      <c r="F5266" t="s">
        <v>948</v>
      </c>
      <c r="G5266">
        <v>1877777</v>
      </c>
      <c r="H5266">
        <v>500221</v>
      </c>
      <c r="I5266" t="s">
        <v>949</v>
      </c>
    </row>
    <row r="5267" spans="1:9" x14ac:dyDescent="0.25">
      <c r="A5267">
        <v>4141</v>
      </c>
      <c r="B5267">
        <v>18</v>
      </c>
      <c r="C5267" t="s">
        <v>946</v>
      </c>
      <c r="D5267" t="s">
        <v>988</v>
      </c>
      <c r="E5267" t="s">
        <v>104</v>
      </c>
      <c r="F5267" t="s">
        <v>948</v>
      </c>
      <c r="G5267">
        <v>1877777</v>
      </c>
      <c r="H5267">
        <v>500220</v>
      </c>
      <c r="I5267" t="s">
        <v>949</v>
      </c>
    </row>
    <row r="5268" spans="1:9" x14ac:dyDescent="0.25">
      <c r="A5268">
        <v>4220</v>
      </c>
      <c r="B5268">
        <v>18</v>
      </c>
      <c r="C5268" t="s">
        <v>946</v>
      </c>
      <c r="D5268" t="s">
        <v>988</v>
      </c>
      <c r="E5268" t="s">
        <v>104</v>
      </c>
      <c r="F5268" t="s">
        <v>948</v>
      </c>
      <c r="G5268">
        <v>1877777</v>
      </c>
      <c r="H5268">
        <v>500220</v>
      </c>
      <c r="I5268" t="s">
        <v>949</v>
      </c>
    </row>
    <row r="5269" spans="1:9" x14ac:dyDescent="0.25">
      <c r="A5269">
        <v>4230</v>
      </c>
      <c r="B5269">
        <v>18</v>
      </c>
      <c r="C5269" t="s">
        <v>946</v>
      </c>
      <c r="D5269" t="s">
        <v>988</v>
      </c>
      <c r="E5269" t="s">
        <v>104</v>
      </c>
      <c r="F5269" t="s">
        <v>948</v>
      </c>
      <c r="G5269">
        <v>1899999</v>
      </c>
      <c r="H5269">
        <v>403045</v>
      </c>
      <c r="I5269">
        <v>73</v>
      </c>
    </row>
    <row r="5270" spans="1:9" x14ac:dyDescent="0.25">
      <c r="A5270">
        <v>4240</v>
      </c>
      <c r="B5270">
        <v>18</v>
      </c>
      <c r="C5270" t="s">
        <v>946</v>
      </c>
      <c r="D5270" t="s">
        <v>988</v>
      </c>
      <c r="E5270" t="s">
        <v>104</v>
      </c>
      <c r="F5270" t="s">
        <v>948</v>
      </c>
      <c r="G5270">
        <v>1877777</v>
      </c>
      <c r="H5270">
        <v>500221</v>
      </c>
      <c r="I5270" t="s">
        <v>949</v>
      </c>
    </row>
    <row r="5271" spans="1:9" x14ac:dyDescent="0.25">
      <c r="A5271">
        <v>4141</v>
      </c>
      <c r="B5271">
        <v>18</v>
      </c>
      <c r="C5271" t="s">
        <v>946</v>
      </c>
      <c r="D5271" t="s">
        <v>988</v>
      </c>
      <c r="E5271" t="s">
        <v>278</v>
      </c>
      <c r="F5271" t="s">
        <v>948</v>
      </c>
      <c r="G5271">
        <v>1877777</v>
      </c>
      <c r="H5271">
        <v>501010</v>
      </c>
      <c r="I5271">
        <v>73</v>
      </c>
    </row>
    <row r="5272" spans="1:9" x14ac:dyDescent="0.25">
      <c r="A5272">
        <v>4220</v>
      </c>
      <c r="B5272">
        <v>18</v>
      </c>
      <c r="C5272" t="s">
        <v>946</v>
      </c>
      <c r="D5272" t="s">
        <v>988</v>
      </c>
      <c r="E5272" t="s">
        <v>278</v>
      </c>
      <c r="F5272" t="s">
        <v>948</v>
      </c>
      <c r="G5272">
        <v>1877777</v>
      </c>
      <c r="H5272">
        <v>500220</v>
      </c>
      <c r="I5272" t="s">
        <v>949</v>
      </c>
    </row>
    <row r="5273" spans="1:9" x14ac:dyDescent="0.25">
      <c r="A5273">
        <v>4230</v>
      </c>
      <c r="B5273">
        <v>18</v>
      </c>
      <c r="C5273" t="s">
        <v>946</v>
      </c>
      <c r="D5273" t="s">
        <v>988</v>
      </c>
      <c r="E5273" t="s">
        <v>278</v>
      </c>
      <c r="F5273" t="s">
        <v>948</v>
      </c>
      <c r="G5273">
        <v>1899999</v>
      </c>
      <c r="H5273">
        <v>403055</v>
      </c>
      <c r="I5273">
        <v>73</v>
      </c>
    </row>
    <row r="5274" spans="1:9" x14ac:dyDescent="0.25">
      <c r="A5274">
        <v>4240</v>
      </c>
      <c r="B5274">
        <v>18</v>
      </c>
      <c r="C5274" t="s">
        <v>946</v>
      </c>
      <c r="D5274" t="s">
        <v>988</v>
      </c>
      <c r="E5274" t="s">
        <v>278</v>
      </c>
      <c r="F5274" t="s">
        <v>948</v>
      </c>
      <c r="G5274">
        <v>1877777</v>
      </c>
      <c r="H5274">
        <v>500221</v>
      </c>
      <c r="I5274" t="s">
        <v>949</v>
      </c>
    </row>
    <row r="5275" spans="1:9" x14ac:dyDescent="0.25">
      <c r="A5275">
        <v>4141</v>
      </c>
      <c r="B5275">
        <v>18</v>
      </c>
      <c r="C5275" t="s">
        <v>946</v>
      </c>
      <c r="D5275" t="s">
        <v>988</v>
      </c>
      <c r="E5275" t="s">
        <v>282</v>
      </c>
      <c r="F5275" t="s">
        <v>948</v>
      </c>
      <c r="G5275">
        <v>1877777</v>
      </c>
      <c r="H5275">
        <v>501010</v>
      </c>
      <c r="I5275">
        <v>73</v>
      </c>
    </row>
    <row r="5276" spans="1:9" x14ac:dyDescent="0.25">
      <c r="A5276">
        <v>4220</v>
      </c>
      <c r="B5276">
        <v>18</v>
      </c>
      <c r="C5276" t="s">
        <v>946</v>
      </c>
      <c r="D5276" t="s">
        <v>988</v>
      </c>
      <c r="E5276" t="s">
        <v>282</v>
      </c>
      <c r="F5276" t="s">
        <v>948</v>
      </c>
      <c r="G5276">
        <v>1877777</v>
      </c>
      <c r="H5276">
        <v>500220</v>
      </c>
      <c r="I5276" t="s">
        <v>949</v>
      </c>
    </row>
    <row r="5277" spans="1:9" x14ac:dyDescent="0.25">
      <c r="A5277">
        <v>4230</v>
      </c>
      <c r="B5277">
        <v>18</v>
      </c>
      <c r="C5277" t="s">
        <v>946</v>
      </c>
      <c r="D5277" t="s">
        <v>988</v>
      </c>
      <c r="E5277" t="s">
        <v>282</v>
      </c>
      <c r="F5277" t="s">
        <v>948</v>
      </c>
      <c r="G5277">
        <v>1899999</v>
      </c>
      <c r="H5277">
        <v>403045</v>
      </c>
      <c r="I5277">
        <v>73</v>
      </c>
    </row>
    <row r="5278" spans="1:9" x14ac:dyDescent="0.25">
      <c r="A5278">
        <v>4240</v>
      </c>
      <c r="B5278">
        <v>18</v>
      </c>
      <c r="C5278" t="s">
        <v>946</v>
      </c>
      <c r="D5278" t="s">
        <v>988</v>
      </c>
      <c r="E5278" t="s">
        <v>282</v>
      </c>
      <c r="F5278" t="s">
        <v>948</v>
      </c>
      <c r="G5278">
        <v>1877777</v>
      </c>
      <c r="H5278">
        <v>500221</v>
      </c>
      <c r="I5278" t="s">
        <v>949</v>
      </c>
    </row>
    <row r="5279" spans="1:9" x14ac:dyDescent="0.25">
      <c r="A5279">
        <v>4141</v>
      </c>
      <c r="B5279">
        <v>18</v>
      </c>
      <c r="C5279" t="s">
        <v>946</v>
      </c>
      <c r="D5279" t="s">
        <v>988</v>
      </c>
      <c r="E5279" t="s">
        <v>286</v>
      </c>
      <c r="F5279" t="s">
        <v>948</v>
      </c>
      <c r="G5279">
        <v>1877777</v>
      </c>
      <c r="H5279">
        <v>501010</v>
      </c>
      <c r="I5279">
        <v>73</v>
      </c>
    </row>
    <row r="5280" spans="1:9" x14ac:dyDescent="0.25">
      <c r="A5280">
        <v>4220</v>
      </c>
      <c r="B5280">
        <v>18</v>
      </c>
      <c r="C5280" t="s">
        <v>946</v>
      </c>
      <c r="D5280" t="s">
        <v>988</v>
      </c>
      <c r="E5280" t="s">
        <v>286</v>
      </c>
      <c r="F5280" t="s">
        <v>948</v>
      </c>
      <c r="G5280">
        <v>1877777</v>
      </c>
      <c r="H5280">
        <v>500220</v>
      </c>
      <c r="I5280" t="s">
        <v>949</v>
      </c>
    </row>
    <row r="5281" spans="1:9" x14ac:dyDescent="0.25">
      <c r="A5281">
        <v>4230</v>
      </c>
      <c r="B5281">
        <v>18</v>
      </c>
      <c r="C5281" t="s">
        <v>946</v>
      </c>
      <c r="D5281" t="s">
        <v>988</v>
      </c>
      <c r="E5281" t="s">
        <v>286</v>
      </c>
      <c r="F5281" t="s">
        <v>948</v>
      </c>
      <c r="G5281">
        <v>1899999</v>
      </c>
      <c r="H5281">
        <v>403035</v>
      </c>
      <c r="I5281">
        <v>73</v>
      </c>
    </row>
    <row r="5282" spans="1:9" x14ac:dyDescent="0.25">
      <c r="A5282">
        <v>4240</v>
      </c>
      <c r="B5282">
        <v>18</v>
      </c>
      <c r="C5282" t="s">
        <v>946</v>
      </c>
      <c r="D5282" t="s">
        <v>988</v>
      </c>
      <c r="E5282" t="s">
        <v>286</v>
      </c>
      <c r="F5282" t="s">
        <v>948</v>
      </c>
      <c r="G5282">
        <v>1877777</v>
      </c>
      <c r="H5282">
        <v>500221</v>
      </c>
      <c r="I5282" t="s">
        <v>949</v>
      </c>
    </row>
    <row r="5283" spans="1:9" x14ac:dyDescent="0.25">
      <c r="A5283">
        <v>4141</v>
      </c>
      <c r="B5283">
        <v>18</v>
      </c>
      <c r="C5283" t="s">
        <v>946</v>
      </c>
      <c r="D5283" t="s">
        <v>988</v>
      </c>
      <c r="E5283" t="s">
        <v>976</v>
      </c>
      <c r="F5283" t="s">
        <v>948</v>
      </c>
      <c r="G5283">
        <v>1877777</v>
      </c>
      <c r="H5283">
        <v>501010</v>
      </c>
      <c r="I5283">
        <v>73</v>
      </c>
    </row>
    <row r="5284" spans="1:9" x14ac:dyDescent="0.25">
      <c r="A5284">
        <v>4220</v>
      </c>
      <c r="B5284">
        <v>18</v>
      </c>
      <c r="C5284" t="s">
        <v>946</v>
      </c>
      <c r="D5284" t="s">
        <v>988</v>
      </c>
      <c r="E5284" t="s">
        <v>976</v>
      </c>
      <c r="F5284" t="s">
        <v>948</v>
      </c>
      <c r="G5284">
        <v>1877777</v>
      </c>
      <c r="H5284">
        <v>500220</v>
      </c>
      <c r="I5284" t="s">
        <v>949</v>
      </c>
    </row>
    <row r="5285" spans="1:9" x14ac:dyDescent="0.25">
      <c r="A5285">
        <v>4230</v>
      </c>
      <c r="B5285">
        <v>18</v>
      </c>
      <c r="C5285" t="s">
        <v>946</v>
      </c>
      <c r="D5285" t="s">
        <v>988</v>
      </c>
      <c r="E5285" t="s">
        <v>976</v>
      </c>
      <c r="F5285" t="s">
        <v>948</v>
      </c>
      <c r="G5285">
        <v>1899999</v>
      </c>
      <c r="H5285">
        <v>403915</v>
      </c>
      <c r="I5285">
        <v>73</v>
      </c>
    </row>
    <row r="5286" spans="1:9" x14ac:dyDescent="0.25">
      <c r="A5286">
        <v>4240</v>
      </c>
      <c r="B5286">
        <v>18</v>
      </c>
      <c r="C5286" t="s">
        <v>946</v>
      </c>
      <c r="D5286" t="s">
        <v>988</v>
      </c>
      <c r="E5286" t="s">
        <v>976</v>
      </c>
      <c r="F5286" t="s">
        <v>948</v>
      </c>
      <c r="G5286">
        <v>1877777</v>
      </c>
      <c r="H5286">
        <v>500221</v>
      </c>
      <c r="I5286" t="s">
        <v>949</v>
      </c>
    </row>
    <row r="5287" spans="1:9" x14ac:dyDescent="0.25">
      <c r="A5287">
        <v>4141</v>
      </c>
      <c r="B5287">
        <v>18</v>
      </c>
      <c r="C5287" t="s">
        <v>946</v>
      </c>
      <c r="D5287" t="s">
        <v>988</v>
      </c>
      <c r="E5287" t="s">
        <v>290</v>
      </c>
      <c r="F5287" t="s">
        <v>948</v>
      </c>
      <c r="G5287">
        <v>1877777</v>
      </c>
      <c r="H5287">
        <v>501010</v>
      </c>
      <c r="I5287">
        <v>73</v>
      </c>
    </row>
    <row r="5288" spans="1:9" x14ac:dyDescent="0.25">
      <c r="A5288">
        <v>4220</v>
      </c>
      <c r="B5288">
        <v>18</v>
      </c>
      <c r="C5288" t="s">
        <v>946</v>
      </c>
      <c r="D5288" t="s">
        <v>988</v>
      </c>
      <c r="E5288" t="s">
        <v>290</v>
      </c>
      <c r="F5288" t="s">
        <v>948</v>
      </c>
      <c r="G5288">
        <v>1877777</v>
      </c>
      <c r="H5288">
        <v>500220</v>
      </c>
      <c r="I5288" t="s">
        <v>949</v>
      </c>
    </row>
    <row r="5289" spans="1:9" x14ac:dyDescent="0.25">
      <c r="A5289">
        <v>4230</v>
      </c>
      <c r="B5289">
        <v>18</v>
      </c>
      <c r="C5289" t="s">
        <v>946</v>
      </c>
      <c r="D5289" t="s">
        <v>988</v>
      </c>
      <c r="E5289" t="s">
        <v>290</v>
      </c>
      <c r="F5289" t="s">
        <v>948</v>
      </c>
      <c r="G5289">
        <v>1899999</v>
      </c>
      <c r="H5289">
        <v>403045</v>
      </c>
      <c r="I5289">
        <v>73</v>
      </c>
    </row>
    <row r="5290" spans="1:9" x14ac:dyDescent="0.25">
      <c r="A5290">
        <v>4240</v>
      </c>
      <c r="B5290">
        <v>18</v>
      </c>
      <c r="C5290" t="s">
        <v>946</v>
      </c>
      <c r="D5290" t="s">
        <v>988</v>
      </c>
      <c r="E5290" t="s">
        <v>290</v>
      </c>
      <c r="F5290" t="s">
        <v>948</v>
      </c>
      <c r="G5290">
        <v>1877777</v>
      </c>
      <c r="H5290">
        <v>500221</v>
      </c>
      <c r="I5290" t="s">
        <v>949</v>
      </c>
    </row>
    <row r="5291" spans="1:9" x14ac:dyDescent="0.25">
      <c r="A5291">
        <v>4141</v>
      </c>
      <c r="B5291">
        <v>18</v>
      </c>
      <c r="C5291" t="s">
        <v>946</v>
      </c>
      <c r="D5291" t="s">
        <v>988</v>
      </c>
      <c r="E5291" t="s">
        <v>294</v>
      </c>
      <c r="F5291" t="s">
        <v>948</v>
      </c>
      <c r="G5291">
        <v>1877777</v>
      </c>
      <c r="H5291">
        <v>501010</v>
      </c>
      <c r="I5291">
        <v>73</v>
      </c>
    </row>
    <row r="5292" spans="1:9" x14ac:dyDescent="0.25">
      <c r="A5292">
        <v>4220</v>
      </c>
      <c r="B5292">
        <v>18</v>
      </c>
      <c r="C5292" t="s">
        <v>946</v>
      </c>
      <c r="D5292" t="s">
        <v>988</v>
      </c>
      <c r="E5292" t="s">
        <v>294</v>
      </c>
      <c r="F5292" t="s">
        <v>948</v>
      </c>
      <c r="G5292">
        <v>1877777</v>
      </c>
      <c r="H5292">
        <v>500220</v>
      </c>
      <c r="I5292" t="s">
        <v>949</v>
      </c>
    </row>
    <row r="5293" spans="1:9" x14ac:dyDescent="0.25">
      <c r="A5293">
        <v>4230</v>
      </c>
      <c r="B5293">
        <v>18</v>
      </c>
      <c r="C5293" t="s">
        <v>946</v>
      </c>
      <c r="D5293" t="s">
        <v>988</v>
      </c>
      <c r="E5293" t="s">
        <v>294</v>
      </c>
      <c r="F5293" t="s">
        <v>948</v>
      </c>
      <c r="G5293">
        <v>1899999</v>
      </c>
      <c r="H5293">
        <v>403045</v>
      </c>
      <c r="I5293">
        <v>73</v>
      </c>
    </row>
    <row r="5294" spans="1:9" x14ac:dyDescent="0.25">
      <c r="A5294">
        <v>4240</v>
      </c>
      <c r="B5294">
        <v>18</v>
      </c>
      <c r="C5294" t="s">
        <v>946</v>
      </c>
      <c r="D5294" t="s">
        <v>988</v>
      </c>
      <c r="E5294" t="s">
        <v>294</v>
      </c>
      <c r="F5294" t="s">
        <v>948</v>
      </c>
      <c r="G5294">
        <v>1877777</v>
      </c>
      <c r="H5294">
        <v>500221</v>
      </c>
      <c r="I5294" t="s">
        <v>949</v>
      </c>
    </row>
    <row r="5295" spans="1:9" x14ac:dyDescent="0.25">
      <c r="A5295">
        <v>4230</v>
      </c>
      <c r="B5295">
        <v>18</v>
      </c>
      <c r="C5295" t="s">
        <v>946</v>
      </c>
      <c r="D5295" t="s">
        <v>988</v>
      </c>
      <c r="E5295" t="s">
        <v>298</v>
      </c>
      <c r="F5295" t="s">
        <v>948</v>
      </c>
      <c r="G5295">
        <v>1899999</v>
      </c>
      <c r="H5295">
        <v>403085</v>
      </c>
      <c r="I5295">
        <v>73</v>
      </c>
    </row>
    <row r="5296" spans="1:9" x14ac:dyDescent="0.25">
      <c r="A5296">
        <v>4141</v>
      </c>
      <c r="B5296">
        <v>18</v>
      </c>
      <c r="C5296" t="s">
        <v>946</v>
      </c>
      <c r="D5296" t="s">
        <v>988</v>
      </c>
      <c r="E5296" t="s">
        <v>980</v>
      </c>
      <c r="F5296" t="s">
        <v>948</v>
      </c>
      <c r="G5296">
        <v>1877777</v>
      </c>
      <c r="H5296">
        <v>501010</v>
      </c>
      <c r="I5296">
        <v>73</v>
      </c>
    </row>
    <row r="5297" spans="1:9" x14ac:dyDescent="0.25">
      <c r="A5297">
        <v>4220</v>
      </c>
      <c r="B5297">
        <v>18</v>
      </c>
      <c r="C5297" t="s">
        <v>946</v>
      </c>
      <c r="D5297" t="s">
        <v>988</v>
      </c>
      <c r="E5297" t="s">
        <v>980</v>
      </c>
      <c r="F5297" t="s">
        <v>948</v>
      </c>
      <c r="G5297">
        <v>1877777</v>
      </c>
      <c r="H5297">
        <v>500220</v>
      </c>
      <c r="I5297" t="s">
        <v>949</v>
      </c>
    </row>
    <row r="5298" spans="1:9" x14ac:dyDescent="0.25">
      <c r="A5298">
        <v>4230</v>
      </c>
      <c r="B5298">
        <v>18</v>
      </c>
      <c r="C5298" t="s">
        <v>946</v>
      </c>
      <c r="D5298" t="s">
        <v>988</v>
      </c>
      <c r="E5298" t="s">
        <v>980</v>
      </c>
      <c r="F5298" t="s">
        <v>948</v>
      </c>
      <c r="G5298">
        <v>1899999</v>
      </c>
      <c r="H5298">
        <v>403915</v>
      </c>
      <c r="I5298">
        <v>73</v>
      </c>
    </row>
    <row r="5299" spans="1:9" x14ac:dyDescent="0.25">
      <c r="A5299">
        <v>4240</v>
      </c>
      <c r="B5299">
        <v>18</v>
      </c>
      <c r="C5299" t="s">
        <v>946</v>
      </c>
      <c r="D5299" t="s">
        <v>988</v>
      </c>
      <c r="E5299" t="s">
        <v>980</v>
      </c>
      <c r="F5299" t="s">
        <v>948</v>
      </c>
      <c r="G5299">
        <v>1877777</v>
      </c>
      <c r="H5299">
        <v>500221</v>
      </c>
      <c r="I5299" t="s">
        <v>949</v>
      </c>
    </row>
    <row r="5300" spans="1:9" x14ac:dyDescent="0.25">
      <c r="A5300">
        <v>4141</v>
      </c>
      <c r="B5300">
        <v>18</v>
      </c>
      <c r="C5300" t="s">
        <v>946</v>
      </c>
      <c r="D5300" t="s">
        <v>988</v>
      </c>
      <c r="E5300" t="s">
        <v>302</v>
      </c>
      <c r="F5300" t="s">
        <v>948</v>
      </c>
      <c r="G5300">
        <v>1877777</v>
      </c>
      <c r="H5300">
        <v>501010</v>
      </c>
      <c r="I5300">
        <v>73</v>
      </c>
    </row>
    <row r="5301" spans="1:9" x14ac:dyDescent="0.25">
      <c r="A5301">
        <v>4220</v>
      </c>
      <c r="B5301">
        <v>18</v>
      </c>
      <c r="C5301" t="s">
        <v>946</v>
      </c>
      <c r="D5301" t="s">
        <v>988</v>
      </c>
      <c r="E5301" t="s">
        <v>302</v>
      </c>
      <c r="F5301" t="s">
        <v>948</v>
      </c>
      <c r="G5301">
        <v>1877777</v>
      </c>
      <c r="H5301">
        <v>500220</v>
      </c>
      <c r="I5301" t="s">
        <v>949</v>
      </c>
    </row>
    <row r="5302" spans="1:9" x14ac:dyDescent="0.25">
      <c r="A5302">
        <v>4230</v>
      </c>
      <c r="B5302">
        <v>18</v>
      </c>
      <c r="C5302" t="s">
        <v>946</v>
      </c>
      <c r="D5302" t="s">
        <v>988</v>
      </c>
      <c r="E5302" t="s">
        <v>302</v>
      </c>
      <c r="F5302" t="s">
        <v>948</v>
      </c>
      <c r="G5302">
        <v>1899999</v>
      </c>
      <c r="H5302">
        <v>401905</v>
      </c>
      <c r="I5302">
        <v>73</v>
      </c>
    </row>
    <row r="5303" spans="1:9" x14ac:dyDescent="0.25">
      <c r="A5303">
        <v>4240</v>
      </c>
      <c r="B5303">
        <v>18</v>
      </c>
      <c r="C5303" t="s">
        <v>946</v>
      </c>
      <c r="D5303" t="s">
        <v>988</v>
      </c>
      <c r="E5303" t="s">
        <v>302</v>
      </c>
      <c r="F5303" t="s">
        <v>948</v>
      </c>
      <c r="G5303">
        <v>1877777</v>
      </c>
      <c r="H5303">
        <v>500221</v>
      </c>
      <c r="I5303" t="s">
        <v>949</v>
      </c>
    </row>
    <row r="5304" spans="1:9" x14ac:dyDescent="0.25">
      <c r="A5304">
        <v>4141</v>
      </c>
      <c r="B5304">
        <v>18</v>
      </c>
      <c r="C5304" t="s">
        <v>946</v>
      </c>
      <c r="D5304" t="s">
        <v>988</v>
      </c>
      <c r="E5304" t="s">
        <v>306</v>
      </c>
      <c r="F5304" t="s">
        <v>948</v>
      </c>
      <c r="G5304">
        <v>1877777</v>
      </c>
      <c r="H5304">
        <v>501010</v>
      </c>
      <c r="I5304">
        <v>73</v>
      </c>
    </row>
    <row r="5305" spans="1:9" x14ac:dyDescent="0.25">
      <c r="A5305">
        <v>4220</v>
      </c>
      <c r="B5305">
        <v>18</v>
      </c>
      <c r="C5305" t="s">
        <v>946</v>
      </c>
      <c r="D5305" t="s">
        <v>988</v>
      </c>
      <c r="E5305" t="s">
        <v>306</v>
      </c>
      <c r="F5305" t="s">
        <v>948</v>
      </c>
      <c r="G5305">
        <v>1877777</v>
      </c>
      <c r="H5305">
        <v>500220</v>
      </c>
      <c r="I5305" t="s">
        <v>949</v>
      </c>
    </row>
    <row r="5306" spans="1:9" x14ac:dyDescent="0.25">
      <c r="A5306">
        <v>4230</v>
      </c>
      <c r="B5306">
        <v>18</v>
      </c>
      <c r="C5306" t="s">
        <v>946</v>
      </c>
      <c r="D5306" t="s">
        <v>988</v>
      </c>
      <c r="E5306" t="s">
        <v>306</v>
      </c>
      <c r="F5306" t="s">
        <v>948</v>
      </c>
      <c r="G5306">
        <v>1899999</v>
      </c>
      <c r="H5306">
        <v>403045</v>
      </c>
      <c r="I5306">
        <v>73</v>
      </c>
    </row>
    <row r="5307" spans="1:9" x14ac:dyDescent="0.25">
      <c r="A5307">
        <v>4240</v>
      </c>
      <c r="B5307">
        <v>18</v>
      </c>
      <c r="C5307" t="s">
        <v>946</v>
      </c>
      <c r="D5307" t="s">
        <v>988</v>
      </c>
      <c r="E5307" t="s">
        <v>306</v>
      </c>
      <c r="F5307" t="s">
        <v>948</v>
      </c>
      <c r="G5307">
        <v>1877777</v>
      </c>
      <c r="H5307">
        <v>500221</v>
      </c>
      <c r="I5307" t="s">
        <v>949</v>
      </c>
    </row>
    <row r="5308" spans="1:9" x14ac:dyDescent="0.25">
      <c r="A5308">
        <v>4141</v>
      </c>
      <c r="B5308">
        <v>18</v>
      </c>
      <c r="C5308" t="s">
        <v>946</v>
      </c>
      <c r="D5308" t="s">
        <v>988</v>
      </c>
      <c r="E5308" t="s">
        <v>108</v>
      </c>
      <c r="F5308" t="s">
        <v>948</v>
      </c>
      <c r="G5308">
        <v>1877777</v>
      </c>
      <c r="H5308">
        <v>500220</v>
      </c>
      <c r="I5308" t="s">
        <v>949</v>
      </c>
    </row>
    <row r="5309" spans="1:9" x14ac:dyDescent="0.25">
      <c r="A5309">
        <v>4220</v>
      </c>
      <c r="B5309">
        <v>18</v>
      </c>
      <c r="C5309" t="s">
        <v>946</v>
      </c>
      <c r="D5309" t="s">
        <v>988</v>
      </c>
      <c r="E5309" t="s">
        <v>108</v>
      </c>
      <c r="F5309" t="s">
        <v>948</v>
      </c>
      <c r="G5309">
        <v>1877777</v>
      </c>
      <c r="H5309">
        <v>500220</v>
      </c>
      <c r="I5309" t="s">
        <v>949</v>
      </c>
    </row>
    <row r="5310" spans="1:9" x14ac:dyDescent="0.25">
      <c r="A5310">
        <v>4230</v>
      </c>
      <c r="B5310">
        <v>18</v>
      </c>
      <c r="C5310" t="s">
        <v>946</v>
      </c>
      <c r="D5310" t="s">
        <v>988</v>
      </c>
      <c r="E5310" t="s">
        <v>108</v>
      </c>
      <c r="F5310" t="s">
        <v>948</v>
      </c>
      <c r="G5310">
        <v>1899999</v>
      </c>
      <c r="H5310">
        <v>403045</v>
      </c>
      <c r="I5310">
        <v>73</v>
      </c>
    </row>
    <row r="5311" spans="1:9" x14ac:dyDescent="0.25">
      <c r="A5311">
        <v>4240</v>
      </c>
      <c r="B5311">
        <v>18</v>
      </c>
      <c r="C5311" t="s">
        <v>946</v>
      </c>
      <c r="D5311" t="s">
        <v>988</v>
      </c>
      <c r="E5311" t="s">
        <v>108</v>
      </c>
      <c r="F5311" t="s">
        <v>948</v>
      </c>
      <c r="G5311">
        <v>1877777</v>
      </c>
      <c r="H5311">
        <v>500221</v>
      </c>
      <c r="I5311" t="s">
        <v>949</v>
      </c>
    </row>
    <row r="5312" spans="1:9" x14ac:dyDescent="0.25">
      <c r="A5312">
        <v>4141</v>
      </c>
      <c r="B5312">
        <v>18</v>
      </c>
      <c r="C5312" t="s">
        <v>946</v>
      </c>
      <c r="D5312" t="s">
        <v>988</v>
      </c>
      <c r="E5312" t="s">
        <v>310</v>
      </c>
      <c r="F5312" t="s">
        <v>948</v>
      </c>
      <c r="G5312">
        <v>1877777</v>
      </c>
      <c r="H5312">
        <v>501010</v>
      </c>
      <c r="I5312">
        <v>73</v>
      </c>
    </row>
    <row r="5313" spans="1:9" x14ac:dyDescent="0.25">
      <c r="A5313">
        <v>4220</v>
      </c>
      <c r="B5313">
        <v>18</v>
      </c>
      <c r="C5313" t="s">
        <v>946</v>
      </c>
      <c r="D5313" t="s">
        <v>988</v>
      </c>
      <c r="E5313" t="s">
        <v>310</v>
      </c>
      <c r="F5313" t="s">
        <v>948</v>
      </c>
      <c r="G5313">
        <v>1877777</v>
      </c>
      <c r="H5313">
        <v>500220</v>
      </c>
      <c r="I5313" t="s">
        <v>949</v>
      </c>
    </row>
    <row r="5314" spans="1:9" x14ac:dyDescent="0.25">
      <c r="A5314">
        <v>4230</v>
      </c>
      <c r="B5314">
        <v>18</v>
      </c>
      <c r="C5314" t="s">
        <v>946</v>
      </c>
      <c r="D5314" t="s">
        <v>988</v>
      </c>
      <c r="E5314" t="s">
        <v>310</v>
      </c>
      <c r="F5314" t="s">
        <v>948</v>
      </c>
      <c r="G5314">
        <v>1899999</v>
      </c>
      <c r="H5314">
        <v>403015</v>
      </c>
      <c r="I5314">
        <v>73</v>
      </c>
    </row>
    <row r="5315" spans="1:9" x14ac:dyDescent="0.25">
      <c r="A5315">
        <v>4240</v>
      </c>
      <c r="B5315">
        <v>18</v>
      </c>
      <c r="C5315" t="s">
        <v>946</v>
      </c>
      <c r="D5315" t="s">
        <v>988</v>
      </c>
      <c r="E5315" t="s">
        <v>310</v>
      </c>
      <c r="F5315" t="s">
        <v>948</v>
      </c>
      <c r="G5315">
        <v>1877777</v>
      </c>
      <c r="H5315">
        <v>500221</v>
      </c>
      <c r="I5315" t="s">
        <v>949</v>
      </c>
    </row>
    <row r="5316" spans="1:9" x14ac:dyDescent="0.25">
      <c r="A5316">
        <v>4141</v>
      </c>
      <c r="B5316">
        <v>18</v>
      </c>
      <c r="C5316" t="s">
        <v>946</v>
      </c>
      <c r="D5316" t="s">
        <v>988</v>
      </c>
      <c r="E5316" t="s">
        <v>314</v>
      </c>
      <c r="F5316" t="s">
        <v>948</v>
      </c>
      <c r="G5316">
        <v>1877777</v>
      </c>
      <c r="H5316">
        <v>501010</v>
      </c>
      <c r="I5316">
        <v>73</v>
      </c>
    </row>
    <row r="5317" spans="1:9" x14ac:dyDescent="0.25">
      <c r="A5317">
        <v>4220</v>
      </c>
      <c r="B5317">
        <v>18</v>
      </c>
      <c r="C5317" t="s">
        <v>946</v>
      </c>
      <c r="D5317" t="s">
        <v>988</v>
      </c>
      <c r="E5317" t="s">
        <v>314</v>
      </c>
      <c r="F5317" t="s">
        <v>948</v>
      </c>
      <c r="G5317">
        <v>1877777</v>
      </c>
      <c r="H5317">
        <v>500220</v>
      </c>
      <c r="I5317" t="s">
        <v>949</v>
      </c>
    </row>
    <row r="5318" spans="1:9" x14ac:dyDescent="0.25">
      <c r="A5318">
        <v>4230</v>
      </c>
      <c r="B5318">
        <v>18</v>
      </c>
      <c r="C5318" t="s">
        <v>946</v>
      </c>
      <c r="D5318" t="s">
        <v>988</v>
      </c>
      <c r="E5318" t="s">
        <v>314</v>
      </c>
      <c r="F5318" t="s">
        <v>948</v>
      </c>
      <c r="G5318">
        <v>1899999</v>
      </c>
      <c r="H5318">
        <v>403065</v>
      </c>
      <c r="I5318">
        <v>73</v>
      </c>
    </row>
    <row r="5319" spans="1:9" x14ac:dyDescent="0.25">
      <c r="A5319">
        <v>4240</v>
      </c>
      <c r="B5319">
        <v>18</v>
      </c>
      <c r="C5319" t="s">
        <v>946</v>
      </c>
      <c r="D5319" t="s">
        <v>988</v>
      </c>
      <c r="E5319" t="s">
        <v>314</v>
      </c>
      <c r="F5319" t="s">
        <v>948</v>
      </c>
      <c r="G5319">
        <v>1877777</v>
      </c>
      <c r="H5319">
        <v>500221</v>
      </c>
      <c r="I5319" t="s">
        <v>949</v>
      </c>
    </row>
    <row r="5320" spans="1:9" x14ac:dyDescent="0.25">
      <c r="A5320">
        <v>4141</v>
      </c>
      <c r="B5320">
        <v>18</v>
      </c>
      <c r="C5320" t="s">
        <v>946</v>
      </c>
      <c r="D5320" t="s">
        <v>988</v>
      </c>
      <c r="E5320" t="s">
        <v>113</v>
      </c>
      <c r="F5320" t="s">
        <v>948</v>
      </c>
      <c r="G5320">
        <v>1877777</v>
      </c>
      <c r="H5320">
        <v>500220</v>
      </c>
      <c r="I5320" t="s">
        <v>949</v>
      </c>
    </row>
    <row r="5321" spans="1:9" x14ac:dyDescent="0.25">
      <c r="A5321">
        <v>4220</v>
      </c>
      <c r="B5321">
        <v>18</v>
      </c>
      <c r="C5321" t="s">
        <v>946</v>
      </c>
      <c r="D5321" t="s">
        <v>988</v>
      </c>
      <c r="E5321" t="s">
        <v>113</v>
      </c>
      <c r="F5321" t="s">
        <v>948</v>
      </c>
      <c r="G5321">
        <v>1877777</v>
      </c>
      <c r="H5321">
        <v>500220</v>
      </c>
      <c r="I5321" t="s">
        <v>949</v>
      </c>
    </row>
    <row r="5322" spans="1:9" x14ac:dyDescent="0.25">
      <c r="A5322">
        <v>4230</v>
      </c>
      <c r="B5322">
        <v>18</v>
      </c>
      <c r="C5322" t="s">
        <v>946</v>
      </c>
      <c r="D5322" t="s">
        <v>988</v>
      </c>
      <c r="E5322" t="s">
        <v>113</v>
      </c>
      <c r="F5322" t="s">
        <v>948</v>
      </c>
      <c r="G5322">
        <v>1899999</v>
      </c>
      <c r="H5322">
        <v>403085</v>
      </c>
      <c r="I5322">
        <v>73</v>
      </c>
    </row>
    <row r="5323" spans="1:9" x14ac:dyDescent="0.25">
      <c r="A5323">
        <v>4240</v>
      </c>
      <c r="B5323">
        <v>18</v>
      </c>
      <c r="C5323" t="s">
        <v>946</v>
      </c>
      <c r="D5323" t="s">
        <v>988</v>
      </c>
      <c r="E5323" t="s">
        <v>113</v>
      </c>
      <c r="F5323" t="s">
        <v>948</v>
      </c>
      <c r="G5323">
        <v>1877777</v>
      </c>
      <c r="H5323">
        <v>500221</v>
      </c>
      <c r="I5323" t="s">
        <v>949</v>
      </c>
    </row>
    <row r="5324" spans="1:9" x14ac:dyDescent="0.25">
      <c r="A5324">
        <v>4141</v>
      </c>
      <c r="B5324">
        <v>18</v>
      </c>
      <c r="C5324" t="s">
        <v>946</v>
      </c>
      <c r="D5324" t="s">
        <v>988</v>
      </c>
      <c r="E5324" t="s">
        <v>117</v>
      </c>
      <c r="F5324" t="s">
        <v>948</v>
      </c>
      <c r="G5324">
        <v>1877777</v>
      </c>
      <c r="H5324">
        <v>500220</v>
      </c>
      <c r="I5324" t="s">
        <v>949</v>
      </c>
    </row>
    <row r="5325" spans="1:9" x14ac:dyDescent="0.25">
      <c r="A5325">
        <v>4220</v>
      </c>
      <c r="B5325">
        <v>18</v>
      </c>
      <c r="C5325" t="s">
        <v>946</v>
      </c>
      <c r="D5325" t="s">
        <v>988</v>
      </c>
      <c r="E5325" t="s">
        <v>117</v>
      </c>
      <c r="F5325" t="s">
        <v>948</v>
      </c>
      <c r="G5325">
        <v>1877777</v>
      </c>
      <c r="H5325">
        <v>500220</v>
      </c>
      <c r="I5325" t="s">
        <v>949</v>
      </c>
    </row>
    <row r="5326" spans="1:9" x14ac:dyDescent="0.25">
      <c r="A5326">
        <v>4230</v>
      </c>
      <c r="B5326">
        <v>18</v>
      </c>
      <c r="C5326" t="s">
        <v>946</v>
      </c>
      <c r="D5326" t="s">
        <v>988</v>
      </c>
      <c r="E5326" t="s">
        <v>117</v>
      </c>
      <c r="F5326" t="s">
        <v>948</v>
      </c>
      <c r="G5326">
        <v>1888888</v>
      </c>
      <c r="H5326">
        <v>810600</v>
      </c>
      <c r="I5326">
        <v>73</v>
      </c>
    </row>
    <row r="5327" spans="1:9" x14ac:dyDescent="0.25">
      <c r="A5327">
        <v>4240</v>
      </c>
      <c r="B5327">
        <v>18</v>
      </c>
      <c r="C5327" t="s">
        <v>946</v>
      </c>
      <c r="D5327" t="s">
        <v>988</v>
      </c>
      <c r="E5327" t="s">
        <v>117</v>
      </c>
      <c r="F5327" t="s">
        <v>948</v>
      </c>
      <c r="G5327">
        <v>1877777</v>
      </c>
      <c r="H5327">
        <v>500221</v>
      </c>
      <c r="I5327" t="s">
        <v>949</v>
      </c>
    </row>
    <row r="5328" spans="1:9" x14ac:dyDescent="0.25">
      <c r="A5328">
        <v>4141</v>
      </c>
      <c r="B5328">
        <v>18</v>
      </c>
      <c r="C5328" t="s">
        <v>946</v>
      </c>
      <c r="D5328" t="s">
        <v>988</v>
      </c>
      <c r="E5328" t="s">
        <v>121</v>
      </c>
      <c r="F5328" t="s">
        <v>948</v>
      </c>
      <c r="G5328">
        <v>1877777</v>
      </c>
      <c r="H5328">
        <v>500220</v>
      </c>
      <c r="I5328" t="s">
        <v>949</v>
      </c>
    </row>
    <row r="5329" spans="1:9" x14ac:dyDescent="0.25">
      <c r="A5329">
        <v>4220</v>
      </c>
      <c r="B5329">
        <v>18</v>
      </c>
      <c r="C5329" t="s">
        <v>946</v>
      </c>
      <c r="D5329" t="s">
        <v>988</v>
      </c>
      <c r="E5329" t="s">
        <v>121</v>
      </c>
      <c r="F5329" t="s">
        <v>948</v>
      </c>
      <c r="G5329">
        <v>1877777</v>
      </c>
      <c r="H5329">
        <v>500220</v>
      </c>
      <c r="I5329" t="s">
        <v>949</v>
      </c>
    </row>
    <row r="5330" spans="1:9" x14ac:dyDescent="0.25">
      <c r="A5330">
        <v>4230</v>
      </c>
      <c r="B5330">
        <v>18</v>
      </c>
      <c r="C5330" t="s">
        <v>946</v>
      </c>
      <c r="D5330" t="s">
        <v>988</v>
      </c>
      <c r="E5330" t="s">
        <v>121</v>
      </c>
      <c r="F5330" t="s">
        <v>948</v>
      </c>
      <c r="G5330">
        <v>1899999</v>
      </c>
      <c r="H5330">
        <v>403045</v>
      </c>
      <c r="I5330">
        <v>73</v>
      </c>
    </row>
    <row r="5331" spans="1:9" x14ac:dyDescent="0.25">
      <c r="A5331">
        <v>4240</v>
      </c>
      <c r="B5331">
        <v>18</v>
      </c>
      <c r="C5331" t="s">
        <v>946</v>
      </c>
      <c r="D5331" t="s">
        <v>988</v>
      </c>
      <c r="E5331" t="s">
        <v>121</v>
      </c>
      <c r="F5331" t="s">
        <v>948</v>
      </c>
      <c r="G5331">
        <v>1877777</v>
      </c>
      <c r="H5331">
        <v>500221</v>
      </c>
      <c r="I5331" t="s">
        <v>949</v>
      </c>
    </row>
    <row r="5332" spans="1:9" x14ac:dyDescent="0.25">
      <c r="A5332">
        <v>4141</v>
      </c>
      <c r="B5332">
        <v>18</v>
      </c>
      <c r="C5332" t="s">
        <v>946</v>
      </c>
      <c r="D5332" t="s">
        <v>988</v>
      </c>
      <c r="E5332" t="s">
        <v>984</v>
      </c>
      <c r="F5332" t="s">
        <v>948</v>
      </c>
      <c r="G5332">
        <v>1877777</v>
      </c>
      <c r="H5332">
        <v>501010</v>
      </c>
      <c r="I5332">
        <v>73</v>
      </c>
    </row>
    <row r="5333" spans="1:9" x14ac:dyDescent="0.25">
      <c r="A5333">
        <v>4220</v>
      </c>
      <c r="B5333">
        <v>18</v>
      </c>
      <c r="C5333" t="s">
        <v>946</v>
      </c>
      <c r="D5333" t="s">
        <v>988</v>
      </c>
      <c r="E5333" t="s">
        <v>984</v>
      </c>
      <c r="F5333" t="s">
        <v>948</v>
      </c>
      <c r="G5333">
        <v>1877777</v>
      </c>
      <c r="H5333">
        <v>500220</v>
      </c>
      <c r="I5333" t="s">
        <v>949</v>
      </c>
    </row>
    <row r="5334" spans="1:9" x14ac:dyDescent="0.25">
      <c r="A5334">
        <v>4230</v>
      </c>
      <c r="B5334">
        <v>18</v>
      </c>
      <c r="C5334" t="s">
        <v>946</v>
      </c>
      <c r="D5334" t="s">
        <v>988</v>
      </c>
      <c r="E5334" t="s">
        <v>984</v>
      </c>
      <c r="F5334" t="s">
        <v>948</v>
      </c>
      <c r="G5334">
        <v>1899999</v>
      </c>
      <c r="H5334">
        <v>403915</v>
      </c>
      <c r="I5334">
        <v>73</v>
      </c>
    </row>
    <row r="5335" spans="1:9" x14ac:dyDescent="0.25">
      <c r="A5335">
        <v>4240</v>
      </c>
      <c r="B5335">
        <v>18</v>
      </c>
      <c r="C5335" t="s">
        <v>946</v>
      </c>
      <c r="D5335" t="s">
        <v>988</v>
      </c>
      <c r="E5335" t="s">
        <v>984</v>
      </c>
      <c r="F5335" t="s">
        <v>948</v>
      </c>
      <c r="G5335">
        <v>1877777</v>
      </c>
      <c r="H5335">
        <v>500221</v>
      </c>
      <c r="I5335" t="s">
        <v>949</v>
      </c>
    </row>
    <row r="5336" spans="1:9" x14ac:dyDescent="0.25">
      <c r="A5336">
        <v>4141</v>
      </c>
      <c r="B5336">
        <v>18</v>
      </c>
      <c r="C5336" t="s">
        <v>946</v>
      </c>
      <c r="D5336" t="s">
        <v>989</v>
      </c>
      <c r="E5336" t="s">
        <v>243</v>
      </c>
      <c r="F5336" t="s">
        <v>948</v>
      </c>
      <c r="G5336">
        <v>1877777</v>
      </c>
      <c r="H5336">
        <v>501010</v>
      </c>
      <c r="I5336">
        <v>72</v>
      </c>
    </row>
    <row r="5337" spans="1:9" x14ac:dyDescent="0.25">
      <c r="A5337">
        <v>4220</v>
      </c>
      <c r="B5337">
        <v>18</v>
      </c>
      <c r="C5337" t="s">
        <v>946</v>
      </c>
      <c r="D5337" t="s">
        <v>989</v>
      </c>
      <c r="E5337" t="s">
        <v>243</v>
      </c>
      <c r="F5337" t="s">
        <v>948</v>
      </c>
      <c r="G5337">
        <v>1877777</v>
      </c>
      <c r="H5337">
        <v>500220</v>
      </c>
      <c r="I5337" t="s">
        <v>949</v>
      </c>
    </row>
    <row r="5338" spans="1:9" x14ac:dyDescent="0.25">
      <c r="A5338">
        <v>4230</v>
      </c>
      <c r="B5338">
        <v>18</v>
      </c>
      <c r="C5338" t="s">
        <v>946</v>
      </c>
      <c r="D5338" t="s">
        <v>989</v>
      </c>
      <c r="E5338" t="s">
        <v>243</v>
      </c>
      <c r="F5338" t="s">
        <v>948</v>
      </c>
      <c r="G5338">
        <v>1899999</v>
      </c>
      <c r="H5338">
        <v>403055</v>
      </c>
      <c r="I5338">
        <v>72</v>
      </c>
    </row>
    <row r="5339" spans="1:9" x14ac:dyDescent="0.25">
      <c r="A5339">
        <v>4240</v>
      </c>
      <c r="B5339">
        <v>18</v>
      </c>
      <c r="C5339" t="s">
        <v>946</v>
      </c>
      <c r="D5339" t="s">
        <v>989</v>
      </c>
      <c r="E5339" t="s">
        <v>243</v>
      </c>
      <c r="F5339" t="s">
        <v>948</v>
      </c>
      <c r="G5339">
        <v>1877777</v>
      </c>
      <c r="H5339">
        <v>500221</v>
      </c>
      <c r="I5339" t="s">
        <v>949</v>
      </c>
    </row>
    <row r="5340" spans="1:9" x14ac:dyDescent="0.25">
      <c r="A5340">
        <v>4141</v>
      </c>
      <c r="B5340">
        <v>18</v>
      </c>
      <c r="C5340" t="s">
        <v>946</v>
      </c>
      <c r="D5340" t="s">
        <v>989</v>
      </c>
      <c r="E5340" t="s">
        <v>247</v>
      </c>
      <c r="F5340" t="s">
        <v>948</v>
      </c>
      <c r="G5340">
        <v>1877777</v>
      </c>
      <c r="H5340">
        <v>501010</v>
      </c>
      <c r="I5340">
        <v>72</v>
      </c>
    </row>
    <row r="5341" spans="1:9" x14ac:dyDescent="0.25">
      <c r="A5341">
        <v>4220</v>
      </c>
      <c r="B5341">
        <v>18</v>
      </c>
      <c r="C5341" t="s">
        <v>946</v>
      </c>
      <c r="D5341" t="s">
        <v>989</v>
      </c>
      <c r="E5341" t="s">
        <v>247</v>
      </c>
      <c r="F5341" t="s">
        <v>948</v>
      </c>
      <c r="G5341">
        <v>1877777</v>
      </c>
      <c r="H5341">
        <v>500220</v>
      </c>
      <c r="I5341" t="s">
        <v>949</v>
      </c>
    </row>
    <row r="5342" spans="1:9" x14ac:dyDescent="0.25">
      <c r="A5342">
        <v>4230</v>
      </c>
      <c r="B5342">
        <v>18</v>
      </c>
      <c r="C5342" t="s">
        <v>946</v>
      </c>
      <c r="D5342" t="s">
        <v>989</v>
      </c>
      <c r="E5342" t="s">
        <v>247</v>
      </c>
      <c r="F5342" t="s">
        <v>948</v>
      </c>
      <c r="G5342">
        <v>1899999</v>
      </c>
      <c r="H5342">
        <v>403025</v>
      </c>
      <c r="I5342">
        <v>72</v>
      </c>
    </row>
    <row r="5343" spans="1:9" x14ac:dyDescent="0.25">
      <c r="A5343">
        <v>4240</v>
      </c>
      <c r="B5343">
        <v>18</v>
      </c>
      <c r="C5343" t="s">
        <v>946</v>
      </c>
      <c r="D5343" t="s">
        <v>989</v>
      </c>
      <c r="E5343" t="s">
        <v>247</v>
      </c>
      <c r="F5343" t="s">
        <v>948</v>
      </c>
      <c r="G5343">
        <v>1877777</v>
      </c>
      <c r="H5343">
        <v>500221</v>
      </c>
      <c r="I5343" t="s">
        <v>949</v>
      </c>
    </row>
    <row r="5344" spans="1:9" x14ac:dyDescent="0.25">
      <c r="A5344">
        <v>4141</v>
      </c>
      <c r="B5344">
        <v>18</v>
      </c>
      <c r="C5344" t="s">
        <v>946</v>
      </c>
      <c r="D5344" t="s">
        <v>989</v>
      </c>
      <c r="E5344" t="s">
        <v>251</v>
      </c>
      <c r="F5344" t="s">
        <v>948</v>
      </c>
      <c r="G5344">
        <v>1877777</v>
      </c>
      <c r="H5344">
        <v>501010</v>
      </c>
      <c r="I5344">
        <v>72</v>
      </c>
    </row>
    <row r="5345" spans="1:9" x14ac:dyDescent="0.25">
      <c r="A5345">
        <v>4220</v>
      </c>
      <c r="B5345">
        <v>18</v>
      </c>
      <c r="C5345" t="s">
        <v>946</v>
      </c>
      <c r="D5345" t="s">
        <v>989</v>
      </c>
      <c r="E5345" t="s">
        <v>251</v>
      </c>
      <c r="F5345" t="s">
        <v>948</v>
      </c>
      <c r="G5345">
        <v>1877777</v>
      </c>
      <c r="H5345">
        <v>500220</v>
      </c>
      <c r="I5345" t="s">
        <v>949</v>
      </c>
    </row>
    <row r="5346" spans="1:9" x14ac:dyDescent="0.25">
      <c r="A5346">
        <v>4230</v>
      </c>
      <c r="B5346">
        <v>18</v>
      </c>
      <c r="C5346" t="s">
        <v>946</v>
      </c>
      <c r="D5346" t="s">
        <v>989</v>
      </c>
      <c r="E5346" t="s">
        <v>251</v>
      </c>
      <c r="F5346" t="s">
        <v>948</v>
      </c>
      <c r="G5346">
        <v>1899999</v>
      </c>
      <c r="H5346">
        <v>403045</v>
      </c>
      <c r="I5346">
        <v>72</v>
      </c>
    </row>
    <row r="5347" spans="1:9" x14ac:dyDescent="0.25">
      <c r="A5347">
        <v>4240</v>
      </c>
      <c r="B5347">
        <v>18</v>
      </c>
      <c r="C5347" t="s">
        <v>946</v>
      </c>
      <c r="D5347" t="s">
        <v>989</v>
      </c>
      <c r="E5347" t="s">
        <v>251</v>
      </c>
      <c r="F5347" t="s">
        <v>948</v>
      </c>
      <c r="G5347">
        <v>1877777</v>
      </c>
      <c r="H5347">
        <v>500221</v>
      </c>
      <c r="I5347" t="s">
        <v>949</v>
      </c>
    </row>
    <row r="5348" spans="1:9" x14ac:dyDescent="0.25">
      <c r="A5348">
        <v>4141</v>
      </c>
      <c r="B5348">
        <v>18</v>
      </c>
      <c r="C5348" t="s">
        <v>946</v>
      </c>
      <c r="D5348" t="s">
        <v>989</v>
      </c>
      <c r="E5348" t="s">
        <v>969</v>
      </c>
      <c r="F5348" t="s">
        <v>948</v>
      </c>
      <c r="G5348">
        <v>1877777</v>
      </c>
      <c r="H5348">
        <v>501010</v>
      </c>
      <c r="I5348">
        <v>72</v>
      </c>
    </row>
    <row r="5349" spans="1:9" x14ac:dyDescent="0.25">
      <c r="A5349">
        <v>4220</v>
      </c>
      <c r="B5349">
        <v>18</v>
      </c>
      <c r="C5349" t="s">
        <v>946</v>
      </c>
      <c r="D5349" t="s">
        <v>989</v>
      </c>
      <c r="E5349" t="s">
        <v>969</v>
      </c>
      <c r="F5349" t="s">
        <v>948</v>
      </c>
      <c r="G5349">
        <v>1877777</v>
      </c>
      <c r="H5349">
        <v>500220</v>
      </c>
      <c r="I5349" t="s">
        <v>949</v>
      </c>
    </row>
    <row r="5350" spans="1:9" x14ac:dyDescent="0.25">
      <c r="A5350">
        <v>4230</v>
      </c>
      <c r="B5350">
        <v>18</v>
      </c>
      <c r="C5350" t="s">
        <v>946</v>
      </c>
      <c r="D5350" t="s">
        <v>989</v>
      </c>
      <c r="E5350" t="s">
        <v>969</v>
      </c>
      <c r="F5350" t="s">
        <v>948</v>
      </c>
      <c r="G5350">
        <v>1899999</v>
      </c>
      <c r="H5350">
        <v>403915</v>
      </c>
      <c r="I5350">
        <v>72</v>
      </c>
    </row>
    <row r="5351" spans="1:9" x14ac:dyDescent="0.25">
      <c r="A5351">
        <v>4240</v>
      </c>
      <c r="B5351">
        <v>18</v>
      </c>
      <c r="C5351" t="s">
        <v>946</v>
      </c>
      <c r="D5351" t="s">
        <v>989</v>
      </c>
      <c r="E5351" t="s">
        <v>969</v>
      </c>
      <c r="F5351" t="s">
        <v>948</v>
      </c>
      <c r="G5351">
        <v>1877777</v>
      </c>
      <c r="H5351">
        <v>500221</v>
      </c>
      <c r="I5351" t="s">
        <v>949</v>
      </c>
    </row>
    <row r="5352" spans="1:9" x14ac:dyDescent="0.25">
      <c r="A5352">
        <v>4141</v>
      </c>
      <c r="B5352">
        <v>18</v>
      </c>
      <c r="C5352" t="s">
        <v>946</v>
      </c>
      <c r="D5352" t="s">
        <v>989</v>
      </c>
      <c r="E5352" t="s">
        <v>255</v>
      </c>
      <c r="F5352" t="s">
        <v>948</v>
      </c>
      <c r="G5352">
        <v>1877777</v>
      </c>
      <c r="H5352">
        <v>501010</v>
      </c>
      <c r="I5352">
        <v>72</v>
      </c>
    </row>
    <row r="5353" spans="1:9" x14ac:dyDescent="0.25">
      <c r="A5353">
        <v>4220</v>
      </c>
      <c r="B5353">
        <v>18</v>
      </c>
      <c r="C5353" t="s">
        <v>946</v>
      </c>
      <c r="D5353" t="s">
        <v>989</v>
      </c>
      <c r="E5353" t="s">
        <v>255</v>
      </c>
      <c r="F5353" t="s">
        <v>948</v>
      </c>
      <c r="G5353">
        <v>1877777</v>
      </c>
      <c r="H5353">
        <v>500220</v>
      </c>
      <c r="I5353" t="s">
        <v>949</v>
      </c>
    </row>
    <row r="5354" spans="1:9" x14ac:dyDescent="0.25">
      <c r="A5354">
        <v>4230</v>
      </c>
      <c r="B5354">
        <v>18</v>
      </c>
      <c r="C5354" t="s">
        <v>946</v>
      </c>
      <c r="D5354" t="s">
        <v>989</v>
      </c>
      <c r="E5354" t="s">
        <v>255</v>
      </c>
      <c r="F5354" t="s">
        <v>948</v>
      </c>
      <c r="G5354">
        <v>1899999</v>
      </c>
      <c r="H5354">
        <v>403075</v>
      </c>
      <c r="I5354">
        <v>72</v>
      </c>
    </row>
    <row r="5355" spans="1:9" x14ac:dyDescent="0.25">
      <c r="A5355">
        <v>4240</v>
      </c>
      <c r="B5355">
        <v>18</v>
      </c>
      <c r="C5355" t="s">
        <v>946</v>
      </c>
      <c r="D5355" t="s">
        <v>989</v>
      </c>
      <c r="E5355" t="s">
        <v>255</v>
      </c>
      <c r="F5355" t="s">
        <v>948</v>
      </c>
      <c r="G5355">
        <v>1877777</v>
      </c>
      <c r="H5355">
        <v>500221</v>
      </c>
      <c r="I5355" t="s">
        <v>949</v>
      </c>
    </row>
    <row r="5356" spans="1:9" x14ac:dyDescent="0.25">
      <c r="A5356">
        <v>4141</v>
      </c>
      <c r="B5356">
        <v>18</v>
      </c>
      <c r="C5356" t="s">
        <v>946</v>
      </c>
      <c r="D5356" t="s">
        <v>989</v>
      </c>
      <c r="E5356" t="s">
        <v>971</v>
      </c>
      <c r="F5356" t="s">
        <v>948</v>
      </c>
      <c r="G5356">
        <v>1877777</v>
      </c>
      <c r="H5356">
        <v>501010</v>
      </c>
      <c r="I5356">
        <v>72</v>
      </c>
    </row>
    <row r="5357" spans="1:9" x14ac:dyDescent="0.25">
      <c r="A5357">
        <v>4220</v>
      </c>
      <c r="B5357">
        <v>18</v>
      </c>
      <c r="C5357" t="s">
        <v>946</v>
      </c>
      <c r="D5357" t="s">
        <v>989</v>
      </c>
      <c r="E5357" t="s">
        <v>971</v>
      </c>
      <c r="F5357" t="s">
        <v>948</v>
      </c>
      <c r="G5357">
        <v>1877777</v>
      </c>
      <c r="H5357">
        <v>500220</v>
      </c>
      <c r="I5357" t="s">
        <v>949</v>
      </c>
    </row>
    <row r="5358" spans="1:9" x14ac:dyDescent="0.25">
      <c r="A5358">
        <v>4230</v>
      </c>
      <c r="B5358">
        <v>18</v>
      </c>
      <c r="C5358" t="s">
        <v>946</v>
      </c>
      <c r="D5358" t="s">
        <v>989</v>
      </c>
      <c r="E5358" t="s">
        <v>971</v>
      </c>
      <c r="F5358" t="s">
        <v>948</v>
      </c>
      <c r="G5358">
        <v>1899999</v>
      </c>
      <c r="H5358">
        <v>403915</v>
      </c>
      <c r="I5358">
        <v>72</v>
      </c>
    </row>
    <row r="5359" spans="1:9" x14ac:dyDescent="0.25">
      <c r="A5359">
        <v>4240</v>
      </c>
      <c r="B5359">
        <v>18</v>
      </c>
      <c r="C5359" t="s">
        <v>946</v>
      </c>
      <c r="D5359" t="s">
        <v>989</v>
      </c>
      <c r="E5359" t="s">
        <v>971</v>
      </c>
      <c r="F5359" t="s">
        <v>948</v>
      </c>
      <c r="G5359">
        <v>1877777</v>
      </c>
      <c r="H5359">
        <v>500221</v>
      </c>
      <c r="I5359" t="s">
        <v>949</v>
      </c>
    </row>
    <row r="5360" spans="1:9" x14ac:dyDescent="0.25">
      <c r="A5360">
        <v>4230</v>
      </c>
      <c r="B5360">
        <v>18</v>
      </c>
      <c r="C5360" t="s">
        <v>946</v>
      </c>
      <c r="D5360" t="s">
        <v>989</v>
      </c>
      <c r="E5360" t="s">
        <v>259</v>
      </c>
      <c r="F5360" t="s">
        <v>948</v>
      </c>
      <c r="G5360">
        <v>1899999</v>
      </c>
      <c r="H5360">
        <v>409005</v>
      </c>
      <c r="I5360">
        <v>72</v>
      </c>
    </row>
    <row r="5361" spans="1:9" x14ac:dyDescent="0.25">
      <c r="A5361">
        <v>4141</v>
      </c>
      <c r="B5361">
        <v>18</v>
      </c>
      <c r="C5361" t="s">
        <v>946</v>
      </c>
      <c r="D5361" t="s">
        <v>989</v>
      </c>
      <c r="E5361" t="s">
        <v>263</v>
      </c>
      <c r="F5361" t="s">
        <v>948</v>
      </c>
      <c r="G5361">
        <v>1877777</v>
      </c>
      <c r="H5361">
        <v>501010</v>
      </c>
      <c r="I5361">
        <v>72</v>
      </c>
    </row>
    <row r="5362" spans="1:9" x14ac:dyDescent="0.25">
      <c r="A5362">
        <v>4220</v>
      </c>
      <c r="B5362">
        <v>18</v>
      </c>
      <c r="C5362" t="s">
        <v>946</v>
      </c>
      <c r="D5362" t="s">
        <v>989</v>
      </c>
      <c r="E5362" t="s">
        <v>263</v>
      </c>
      <c r="F5362" t="s">
        <v>948</v>
      </c>
      <c r="G5362">
        <v>1877777</v>
      </c>
      <c r="H5362">
        <v>500220</v>
      </c>
      <c r="I5362" t="s">
        <v>949</v>
      </c>
    </row>
    <row r="5363" spans="1:9" x14ac:dyDescent="0.25">
      <c r="A5363">
        <v>4230</v>
      </c>
      <c r="B5363">
        <v>18</v>
      </c>
      <c r="C5363" t="s">
        <v>946</v>
      </c>
      <c r="D5363" t="s">
        <v>989</v>
      </c>
      <c r="E5363" t="s">
        <v>263</v>
      </c>
      <c r="F5363" t="s">
        <v>948</v>
      </c>
      <c r="G5363">
        <v>1899999</v>
      </c>
      <c r="H5363">
        <v>403045</v>
      </c>
      <c r="I5363">
        <v>72</v>
      </c>
    </row>
    <row r="5364" spans="1:9" x14ac:dyDescent="0.25">
      <c r="A5364">
        <v>4240</v>
      </c>
      <c r="B5364">
        <v>18</v>
      </c>
      <c r="C5364" t="s">
        <v>946</v>
      </c>
      <c r="D5364" t="s">
        <v>989</v>
      </c>
      <c r="E5364" t="s">
        <v>263</v>
      </c>
      <c r="F5364" t="s">
        <v>948</v>
      </c>
      <c r="G5364">
        <v>1877777</v>
      </c>
      <c r="H5364">
        <v>500221</v>
      </c>
      <c r="I5364" t="s">
        <v>949</v>
      </c>
    </row>
    <row r="5365" spans="1:9" x14ac:dyDescent="0.25">
      <c r="A5365">
        <v>4141</v>
      </c>
      <c r="B5365">
        <v>18</v>
      </c>
      <c r="C5365" t="s">
        <v>946</v>
      </c>
      <c r="D5365" t="s">
        <v>989</v>
      </c>
      <c r="E5365" t="s">
        <v>100</v>
      </c>
      <c r="F5365" t="s">
        <v>948</v>
      </c>
      <c r="G5365">
        <v>1877777</v>
      </c>
      <c r="H5365">
        <v>500220</v>
      </c>
      <c r="I5365" t="s">
        <v>949</v>
      </c>
    </row>
    <row r="5366" spans="1:9" x14ac:dyDescent="0.25">
      <c r="A5366">
        <v>4220</v>
      </c>
      <c r="B5366">
        <v>18</v>
      </c>
      <c r="C5366" t="s">
        <v>946</v>
      </c>
      <c r="D5366" t="s">
        <v>989</v>
      </c>
      <c r="E5366" t="s">
        <v>100</v>
      </c>
      <c r="F5366" t="s">
        <v>948</v>
      </c>
      <c r="G5366">
        <v>1877777</v>
      </c>
      <c r="H5366">
        <v>500220</v>
      </c>
      <c r="I5366" t="s">
        <v>949</v>
      </c>
    </row>
    <row r="5367" spans="1:9" x14ac:dyDescent="0.25">
      <c r="A5367">
        <v>4230</v>
      </c>
      <c r="B5367">
        <v>18</v>
      </c>
      <c r="C5367" t="s">
        <v>946</v>
      </c>
      <c r="D5367" t="s">
        <v>989</v>
      </c>
      <c r="E5367" t="s">
        <v>100</v>
      </c>
      <c r="F5367" t="s">
        <v>948</v>
      </c>
      <c r="G5367">
        <v>1899999</v>
      </c>
      <c r="H5367">
        <v>403045</v>
      </c>
      <c r="I5367">
        <v>72</v>
      </c>
    </row>
    <row r="5368" spans="1:9" x14ac:dyDescent="0.25">
      <c r="A5368">
        <v>4240</v>
      </c>
      <c r="B5368">
        <v>18</v>
      </c>
      <c r="C5368" t="s">
        <v>946</v>
      </c>
      <c r="D5368" t="s">
        <v>989</v>
      </c>
      <c r="E5368" t="s">
        <v>100</v>
      </c>
      <c r="F5368" t="s">
        <v>948</v>
      </c>
      <c r="G5368">
        <v>1877777</v>
      </c>
      <c r="H5368">
        <v>500221</v>
      </c>
      <c r="I5368" t="s">
        <v>949</v>
      </c>
    </row>
    <row r="5369" spans="1:9" x14ac:dyDescent="0.25">
      <c r="A5369">
        <v>4141</v>
      </c>
      <c r="B5369">
        <v>18</v>
      </c>
      <c r="C5369" t="s">
        <v>946</v>
      </c>
      <c r="D5369" t="s">
        <v>989</v>
      </c>
      <c r="E5369" t="s">
        <v>270</v>
      </c>
      <c r="F5369" t="s">
        <v>948</v>
      </c>
      <c r="G5369">
        <v>1877777</v>
      </c>
      <c r="H5369">
        <v>501010</v>
      </c>
      <c r="I5369">
        <v>72</v>
      </c>
    </row>
    <row r="5370" spans="1:9" x14ac:dyDescent="0.25">
      <c r="A5370">
        <v>4220</v>
      </c>
      <c r="B5370">
        <v>18</v>
      </c>
      <c r="C5370" t="s">
        <v>946</v>
      </c>
      <c r="D5370" t="s">
        <v>989</v>
      </c>
      <c r="E5370" t="s">
        <v>270</v>
      </c>
      <c r="F5370" t="s">
        <v>948</v>
      </c>
      <c r="G5370">
        <v>1877777</v>
      </c>
      <c r="H5370">
        <v>500220</v>
      </c>
      <c r="I5370" t="s">
        <v>949</v>
      </c>
    </row>
    <row r="5371" spans="1:9" x14ac:dyDescent="0.25">
      <c r="A5371">
        <v>4230</v>
      </c>
      <c r="B5371">
        <v>18</v>
      </c>
      <c r="C5371" t="s">
        <v>946</v>
      </c>
      <c r="D5371" t="s">
        <v>989</v>
      </c>
      <c r="E5371" t="s">
        <v>270</v>
      </c>
      <c r="F5371" t="s">
        <v>948</v>
      </c>
      <c r="G5371">
        <v>1899999</v>
      </c>
      <c r="H5371">
        <v>403065</v>
      </c>
      <c r="I5371">
        <v>72</v>
      </c>
    </row>
    <row r="5372" spans="1:9" x14ac:dyDescent="0.25">
      <c r="A5372">
        <v>4240</v>
      </c>
      <c r="B5372">
        <v>18</v>
      </c>
      <c r="C5372" t="s">
        <v>946</v>
      </c>
      <c r="D5372" t="s">
        <v>989</v>
      </c>
      <c r="E5372" t="s">
        <v>270</v>
      </c>
      <c r="F5372" t="s">
        <v>948</v>
      </c>
      <c r="G5372">
        <v>1877777</v>
      </c>
      <c r="H5372">
        <v>500221</v>
      </c>
      <c r="I5372" t="s">
        <v>949</v>
      </c>
    </row>
    <row r="5373" spans="1:9" x14ac:dyDescent="0.25">
      <c r="A5373">
        <v>4141</v>
      </c>
      <c r="B5373">
        <v>18</v>
      </c>
      <c r="C5373" t="s">
        <v>946</v>
      </c>
      <c r="D5373" t="s">
        <v>989</v>
      </c>
      <c r="E5373" t="s">
        <v>274</v>
      </c>
      <c r="F5373" t="s">
        <v>948</v>
      </c>
      <c r="G5373">
        <v>1877777</v>
      </c>
      <c r="H5373">
        <v>501010</v>
      </c>
      <c r="I5373">
        <v>72</v>
      </c>
    </row>
    <row r="5374" spans="1:9" x14ac:dyDescent="0.25">
      <c r="A5374">
        <v>4220</v>
      </c>
      <c r="B5374">
        <v>18</v>
      </c>
      <c r="C5374" t="s">
        <v>946</v>
      </c>
      <c r="D5374" t="s">
        <v>989</v>
      </c>
      <c r="E5374" t="s">
        <v>274</v>
      </c>
      <c r="F5374" t="s">
        <v>948</v>
      </c>
      <c r="G5374">
        <v>1877777</v>
      </c>
      <c r="H5374">
        <v>500220</v>
      </c>
      <c r="I5374" t="s">
        <v>949</v>
      </c>
    </row>
    <row r="5375" spans="1:9" x14ac:dyDescent="0.25">
      <c r="A5375">
        <v>4230</v>
      </c>
      <c r="B5375">
        <v>18</v>
      </c>
      <c r="C5375" t="s">
        <v>946</v>
      </c>
      <c r="D5375" t="s">
        <v>989</v>
      </c>
      <c r="E5375" t="s">
        <v>274</v>
      </c>
      <c r="F5375" t="s">
        <v>948</v>
      </c>
      <c r="G5375">
        <v>1899999</v>
      </c>
      <c r="H5375">
        <v>403045</v>
      </c>
      <c r="I5375">
        <v>72</v>
      </c>
    </row>
    <row r="5376" spans="1:9" x14ac:dyDescent="0.25">
      <c r="A5376">
        <v>4240</v>
      </c>
      <c r="B5376">
        <v>18</v>
      </c>
      <c r="C5376" t="s">
        <v>946</v>
      </c>
      <c r="D5376" t="s">
        <v>989</v>
      </c>
      <c r="E5376" t="s">
        <v>274</v>
      </c>
      <c r="F5376" t="s">
        <v>948</v>
      </c>
      <c r="G5376">
        <v>1877777</v>
      </c>
      <c r="H5376">
        <v>500221</v>
      </c>
      <c r="I5376" t="s">
        <v>949</v>
      </c>
    </row>
    <row r="5377" spans="1:9" x14ac:dyDescent="0.25">
      <c r="A5377">
        <v>4141</v>
      </c>
      <c r="B5377">
        <v>18</v>
      </c>
      <c r="C5377" t="s">
        <v>946</v>
      </c>
      <c r="D5377" t="s">
        <v>989</v>
      </c>
      <c r="E5377" t="s">
        <v>974</v>
      </c>
      <c r="F5377" t="s">
        <v>948</v>
      </c>
      <c r="G5377">
        <v>1877777</v>
      </c>
      <c r="H5377">
        <v>501010</v>
      </c>
      <c r="I5377">
        <v>72</v>
      </c>
    </row>
    <row r="5378" spans="1:9" x14ac:dyDescent="0.25">
      <c r="A5378">
        <v>4220</v>
      </c>
      <c r="B5378">
        <v>18</v>
      </c>
      <c r="C5378" t="s">
        <v>946</v>
      </c>
      <c r="D5378" t="s">
        <v>989</v>
      </c>
      <c r="E5378" t="s">
        <v>974</v>
      </c>
      <c r="F5378" t="s">
        <v>948</v>
      </c>
      <c r="G5378">
        <v>1877777</v>
      </c>
      <c r="H5378">
        <v>500220</v>
      </c>
      <c r="I5378" t="s">
        <v>949</v>
      </c>
    </row>
    <row r="5379" spans="1:9" x14ac:dyDescent="0.25">
      <c r="A5379">
        <v>4230</v>
      </c>
      <c r="B5379">
        <v>18</v>
      </c>
      <c r="C5379" t="s">
        <v>946</v>
      </c>
      <c r="D5379" t="s">
        <v>989</v>
      </c>
      <c r="E5379" t="s">
        <v>974</v>
      </c>
      <c r="F5379" t="s">
        <v>948</v>
      </c>
      <c r="G5379">
        <v>1899999</v>
      </c>
      <c r="H5379">
        <v>403915</v>
      </c>
      <c r="I5379">
        <v>72</v>
      </c>
    </row>
    <row r="5380" spans="1:9" x14ac:dyDescent="0.25">
      <c r="A5380">
        <v>4240</v>
      </c>
      <c r="B5380">
        <v>18</v>
      </c>
      <c r="C5380" t="s">
        <v>946</v>
      </c>
      <c r="D5380" t="s">
        <v>989</v>
      </c>
      <c r="E5380" t="s">
        <v>974</v>
      </c>
      <c r="F5380" t="s">
        <v>948</v>
      </c>
      <c r="G5380">
        <v>1877777</v>
      </c>
      <c r="H5380">
        <v>500221</v>
      </c>
      <c r="I5380" t="s">
        <v>949</v>
      </c>
    </row>
    <row r="5381" spans="1:9" x14ac:dyDescent="0.25">
      <c r="A5381">
        <v>4141</v>
      </c>
      <c r="B5381">
        <v>18</v>
      </c>
      <c r="C5381" t="s">
        <v>946</v>
      </c>
      <c r="D5381" t="s">
        <v>989</v>
      </c>
      <c r="E5381" t="s">
        <v>104</v>
      </c>
      <c r="F5381" t="s">
        <v>948</v>
      </c>
      <c r="G5381">
        <v>1877777</v>
      </c>
      <c r="H5381">
        <v>500220</v>
      </c>
      <c r="I5381" t="s">
        <v>949</v>
      </c>
    </row>
    <row r="5382" spans="1:9" x14ac:dyDescent="0.25">
      <c r="A5382">
        <v>4220</v>
      </c>
      <c r="B5382">
        <v>18</v>
      </c>
      <c r="C5382" t="s">
        <v>946</v>
      </c>
      <c r="D5382" t="s">
        <v>989</v>
      </c>
      <c r="E5382" t="s">
        <v>104</v>
      </c>
      <c r="F5382" t="s">
        <v>948</v>
      </c>
      <c r="G5382">
        <v>1877777</v>
      </c>
      <c r="H5382">
        <v>500220</v>
      </c>
      <c r="I5382" t="s">
        <v>949</v>
      </c>
    </row>
    <row r="5383" spans="1:9" x14ac:dyDescent="0.25">
      <c r="A5383">
        <v>4230</v>
      </c>
      <c r="B5383">
        <v>18</v>
      </c>
      <c r="C5383" t="s">
        <v>946</v>
      </c>
      <c r="D5383" t="s">
        <v>989</v>
      </c>
      <c r="E5383" t="s">
        <v>104</v>
      </c>
      <c r="F5383" t="s">
        <v>948</v>
      </c>
      <c r="G5383">
        <v>1899999</v>
      </c>
      <c r="H5383">
        <v>403045</v>
      </c>
      <c r="I5383">
        <v>72</v>
      </c>
    </row>
    <row r="5384" spans="1:9" x14ac:dyDescent="0.25">
      <c r="A5384">
        <v>4240</v>
      </c>
      <c r="B5384">
        <v>18</v>
      </c>
      <c r="C5384" t="s">
        <v>946</v>
      </c>
      <c r="D5384" t="s">
        <v>989</v>
      </c>
      <c r="E5384" t="s">
        <v>104</v>
      </c>
      <c r="F5384" t="s">
        <v>948</v>
      </c>
      <c r="G5384">
        <v>1877777</v>
      </c>
      <c r="H5384">
        <v>500221</v>
      </c>
      <c r="I5384" t="s">
        <v>949</v>
      </c>
    </row>
    <row r="5385" spans="1:9" x14ac:dyDescent="0.25">
      <c r="A5385">
        <v>4141</v>
      </c>
      <c r="B5385">
        <v>18</v>
      </c>
      <c r="C5385" t="s">
        <v>946</v>
      </c>
      <c r="D5385" t="s">
        <v>989</v>
      </c>
      <c r="E5385" t="s">
        <v>278</v>
      </c>
      <c r="F5385" t="s">
        <v>948</v>
      </c>
      <c r="G5385">
        <v>1877777</v>
      </c>
      <c r="H5385">
        <v>501010</v>
      </c>
      <c r="I5385">
        <v>72</v>
      </c>
    </row>
    <row r="5386" spans="1:9" x14ac:dyDescent="0.25">
      <c r="A5386">
        <v>4220</v>
      </c>
      <c r="B5386">
        <v>18</v>
      </c>
      <c r="C5386" t="s">
        <v>946</v>
      </c>
      <c r="D5386" t="s">
        <v>989</v>
      </c>
      <c r="E5386" t="s">
        <v>278</v>
      </c>
      <c r="F5386" t="s">
        <v>948</v>
      </c>
      <c r="G5386">
        <v>1877777</v>
      </c>
      <c r="H5386">
        <v>500220</v>
      </c>
      <c r="I5386" t="s">
        <v>949</v>
      </c>
    </row>
    <row r="5387" spans="1:9" x14ac:dyDescent="0.25">
      <c r="A5387">
        <v>4230</v>
      </c>
      <c r="B5387">
        <v>18</v>
      </c>
      <c r="C5387" t="s">
        <v>946</v>
      </c>
      <c r="D5387" t="s">
        <v>989</v>
      </c>
      <c r="E5387" t="s">
        <v>278</v>
      </c>
      <c r="F5387" t="s">
        <v>948</v>
      </c>
      <c r="G5387">
        <v>1899999</v>
      </c>
      <c r="H5387">
        <v>403055</v>
      </c>
      <c r="I5387">
        <v>72</v>
      </c>
    </row>
    <row r="5388" spans="1:9" x14ac:dyDescent="0.25">
      <c r="A5388">
        <v>4240</v>
      </c>
      <c r="B5388">
        <v>18</v>
      </c>
      <c r="C5388" t="s">
        <v>946</v>
      </c>
      <c r="D5388" t="s">
        <v>989</v>
      </c>
      <c r="E5388" t="s">
        <v>278</v>
      </c>
      <c r="F5388" t="s">
        <v>948</v>
      </c>
      <c r="G5388">
        <v>1877777</v>
      </c>
      <c r="H5388">
        <v>500221</v>
      </c>
      <c r="I5388" t="s">
        <v>949</v>
      </c>
    </row>
    <row r="5389" spans="1:9" x14ac:dyDescent="0.25">
      <c r="A5389">
        <v>4141</v>
      </c>
      <c r="B5389">
        <v>18</v>
      </c>
      <c r="C5389" t="s">
        <v>946</v>
      </c>
      <c r="D5389" t="s">
        <v>989</v>
      </c>
      <c r="E5389" t="s">
        <v>282</v>
      </c>
      <c r="F5389" t="s">
        <v>948</v>
      </c>
      <c r="G5389">
        <v>1877777</v>
      </c>
      <c r="H5389">
        <v>501010</v>
      </c>
      <c r="I5389">
        <v>72</v>
      </c>
    </row>
    <row r="5390" spans="1:9" x14ac:dyDescent="0.25">
      <c r="A5390">
        <v>4220</v>
      </c>
      <c r="B5390">
        <v>18</v>
      </c>
      <c r="C5390" t="s">
        <v>946</v>
      </c>
      <c r="D5390" t="s">
        <v>989</v>
      </c>
      <c r="E5390" t="s">
        <v>282</v>
      </c>
      <c r="F5390" t="s">
        <v>948</v>
      </c>
      <c r="G5390">
        <v>1877777</v>
      </c>
      <c r="H5390">
        <v>500220</v>
      </c>
      <c r="I5390" t="s">
        <v>949</v>
      </c>
    </row>
    <row r="5391" spans="1:9" x14ac:dyDescent="0.25">
      <c r="A5391">
        <v>4230</v>
      </c>
      <c r="B5391">
        <v>18</v>
      </c>
      <c r="C5391" t="s">
        <v>946</v>
      </c>
      <c r="D5391" t="s">
        <v>989</v>
      </c>
      <c r="E5391" t="s">
        <v>282</v>
      </c>
      <c r="F5391" t="s">
        <v>948</v>
      </c>
      <c r="G5391">
        <v>1899999</v>
      </c>
      <c r="H5391">
        <v>403045</v>
      </c>
      <c r="I5391">
        <v>72</v>
      </c>
    </row>
    <row r="5392" spans="1:9" x14ac:dyDescent="0.25">
      <c r="A5392">
        <v>4240</v>
      </c>
      <c r="B5392">
        <v>18</v>
      </c>
      <c r="C5392" t="s">
        <v>946</v>
      </c>
      <c r="D5392" t="s">
        <v>989</v>
      </c>
      <c r="E5392" t="s">
        <v>282</v>
      </c>
      <c r="F5392" t="s">
        <v>948</v>
      </c>
      <c r="G5392">
        <v>1877777</v>
      </c>
      <c r="H5392">
        <v>500221</v>
      </c>
      <c r="I5392" t="s">
        <v>949</v>
      </c>
    </row>
    <row r="5393" spans="1:9" x14ac:dyDescent="0.25">
      <c r="A5393">
        <v>4141</v>
      </c>
      <c r="B5393">
        <v>18</v>
      </c>
      <c r="C5393" t="s">
        <v>946</v>
      </c>
      <c r="D5393" t="s">
        <v>989</v>
      </c>
      <c r="E5393" t="s">
        <v>286</v>
      </c>
      <c r="F5393" t="s">
        <v>948</v>
      </c>
      <c r="G5393">
        <v>1877777</v>
      </c>
      <c r="H5393">
        <v>501010</v>
      </c>
      <c r="I5393">
        <v>72</v>
      </c>
    </row>
    <row r="5394" spans="1:9" x14ac:dyDescent="0.25">
      <c r="A5394">
        <v>4220</v>
      </c>
      <c r="B5394">
        <v>18</v>
      </c>
      <c r="C5394" t="s">
        <v>946</v>
      </c>
      <c r="D5394" t="s">
        <v>989</v>
      </c>
      <c r="E5394" t="s">
        <v>286</v>
      </c>
      <c r="F5394" t="s">
        <v>948</v>
      </c>
      <c r="G5394">
        <v>1877777</v>
      </c>
      <c r="H5394">
        <v>500220</v>
      </c>
      <c r="I5394" t="s">
        <v>949</v>
      </c>
    </row>
    <row r="5395" spans="1:9" x14ac:dyDescent="0.25">
      <c r="A5395">
        <v>4230</v>
      </c>
      <c r="B5395">
        <v>18</v>
      </c>
      <c r="C5395" t="s">
        <v>946</v>
      </c>
      <c r="D5395" t="s">
        <v>989</v>
      </c>
      <c r="E5395" t="s">
        <v>286</v>
      </c>
      <c r="F5395" t="s">
        <v>948</v>
      </c>
      <c r="G5395">
        <v>1899999</v>
      </c>
      <c r="H5395">
        <v>403035</v>
      </c>
      <c r="I5395">
        <v>72</v>
      </c>
    </row>
    <row r="5396" spans="1:9" x14ac:dyDescent="0.25">
      <c r="A5396">
        <v>4240</v>
      </c>
      <c r="B5396">
        <v>18</v>
      </c>
      <c r="C5396" t="s">
        <v>946</v>
      </c>
      <c r="D5396" t="s">
        <v>989</v>
      </c>
      <c r="E5396" t="s">
        <v>286</v>
      </c>
      <c r="F5396" t="s">
        <v>948</v>
      </c>
      <c r="G5396">
        <v>1877777</v>
      </c>
      <c r="H5396">
        <v>500221</v>
      </c>
      <c r="I5396" t="s">
        <v>949</v>
      </c>
    </row>
    <row r="5397" spans="1:9" x14ac:dyDescent="0.25">
      <c r="A5397">
        <v>4141</v>
      </c>
      <c r="B5397">
        <v>18</v>
      </c>
      <c r="C5397" t="s">
        <v>946</v>
      </c>
      <c r="D5397" t="s">
        <v>989</v>
      </c>
      <c r="E5397" t="s">
        <v>976</v>
      </c>
      <c r="F5397" t="s">
        <v>948</v>
      </c>
      <c r="G5397">
        <v>1877777</v>
      </c>
      <c r="H5397">
        <v>501010</v>
      </c>
      <c r="I5397">
        <v>72</v>
      </c>
    </row>
    <row r="5398" spans="1:9" x14ac:dyDescent="0.25">
      <c r="A5398">
        <v>4220</v>
      </c>
      <c r="B5398">
        <v>18</v>
      </c>
      <c r="C5398" t="s">
        <v>946</v>
      </c>
      <c r="D5398" t="s">
        <v>989</v>
      </c>
      <c r="E5398" t="s">
        <v>976</v>
      </c>
      <c r="F5398" t="s">
        <v>948</v>
      </c>
      <c r="G5398">
        <v>1877777</v>
      </c>
      <c r="H5398">
        <v>500220</v>
      </c>
      <c r="I5398" t="s">
        <v>949</v>
      </c>
    </row>
    <row r="5399" spans="1:9" x14ac:dyDescent="0.25">
      <c r="A5399">
        <v>4230</v>
      </c>
      <c r="B5399">
        <v>18</v>
      </c>
      <c r="C5399" t="s">
        <v>946</v>
      </c>
      <c r="D5399" t="s">
        <v>989</v>
      </c>
      <c r="E5399" t="s">
        <v>976</v>
      </c>
      <c r="F5399" t="s">
        <v>948</v>
      </c>
      <c r="G5399">
        <v>1899999</v>
      </c>
      <c r="H5399">
        <v>403915</v>
      </c>
      <c r="I5399">
        <v>72</v>
      </c>
    </row>
    <row r="5400" spans="1:9" x14ac:dyDescent="0.25">
      <c r="A5400">
        <v>4240</v>
      </c>
      <c r="B5400">
        <v>18</v>
      </c>
      <c r="C5400" t="s">
        <v>946</v>
      </c>
      <c r="D5400" t="s">
        <v>989</v>
      </c>
      <c r="E5400" t="s">
        <v>976</v>
      </c>
      <c r="F5400" t="s">
        <v>948</v>
      </c>
      <c r="G5400">
        <v>1877777</v>
      </c>
      <c r="H5400">
        <v>500221</v>
      </c>
      <c r="I5400" t="s">
        <v>949</v>
      </c>
    </row>
    <row r="5401" spans="1:9" x14ac:dyDescent="0.25">
      <c r="A5401">
        <v>4141</v>
      </c>
      <c r="B5401">
        <v>18</v>
      </c>
      <c r="C5401" t="s">
        <v>946</v>
      </c>
      <c r="D5401" t="s">
        <v>989</v>
      </c>
      <c r="E5401" t="s">
        <v>290</v>
      </c>
      <c r="F5401" t="s">
        <v>948</v>
      </c>
      <c r="G5401">
        <v>1877777</v>
      </c>
      <c r="H5401">
        <v>501010</v>
      </c>
      <c r="I5401">
        <v>72</v>
      </c>
    </row>
    <row r="5402" spans="1:9" x14ac:dyDescent="0.25">
      <c r="A5402">
        <v>4220</v>
      </c>
      <c r="B5402">
        <v>18</v>
      </c>
      <c r="C5402" t="s">
        <v>946</v>
      </c>
      <c r="D5402" t="s">
        <v>989</v>
      </c>
      <c r="E5402" t="s">
        <v>290</v>
      </c>
      <c r="F5402" t="s">
        <v>948</v>
      </c>
      <c r="G5402">
        <v>1877777</v>
      </c>
      <c r="H5402">
        <v>500220</v>
      </c>
      <c r="I5402" t="s">
        <v>949</v>
      </c>
    </row>
    <row r="5403" spans="1:9" x14ac:dyDescent="0.25">
      <c r="A5403">
        <v>4230</v>
      </c>
      <c r="B5403">
        <v>18</v>
      </c>
      <c r="C5403" t="s">
        <v>946</v>
      </c>
      <c r="D5403" t="s">
        <v>989</v>
      </c>
      <c r="E5403" t="s">
        <v>290</v>
      </c>
      <c r="F5403" t="s">
        <v>948</v>
      </c>
      <c r="G5403">
        <v>1899999</v>
      </c>
      <c r="H5403">
        <v>403045</v>
      </c>
      <c r="I5403">
        <v>72</v>
      </c>
    </row>
    <row r="5404" spans="1:9" x14ac:dyDescent="0.25">
      <c r="A5404">
        <v>4240</v>
      </c>
      <c r="B5404">
        <v>18</v>
      </c>
      <c r="C5404" t="s">
        <v>946</v>
      </c>
      <c r="D5404" t="s">
        <v>989</v>
      </c>
      <c r="E5404" t="s">
        <v>290</v>
      </c>
      <c r="F5404" t="s">
        <v>948</v>
      </c>
      <c r="G5404">
        <v>1877777</v>
      </c>
      <c r="H5404">
        <v>500221</v>
      </c>
      <c r="I5404" t="s">
        <v>949</v>
      </c>
    </row>
    <row r="5405" spans="1:9" x14ac:dyDescent="0.25">
      <c r="A5405">
        <v>4141</v>
      </c>
      <c r="B5405">
        <v>18</v>
      </c>
      <c r="C5405" t="s">
        <v>946</v>
      </c>
      <c r="D5405" t="s">
        <v>989</v>
      </c>
      <c r="E5405" t="s">
        <v>294</v>
      </c>
      <c r="F5405" t="s">
        <v>948</v>
      </c>
      <c r="G5405">
        <v>1877777</v>
      </c>
      <c r="H5405">
        <v>501010</v>
      </c>
      <c r="I5405">
        <v>72</v>
      </c>
    </row>
    <row r="5406" spans="1:9" x14ac:dyDescent="0.25">
      <c r="A5406">
        <v>4220</v>
      </c>
      <c r="B5406">
        <v>18</v>
      </c>
      <c r="C5406" t="s">
        <v>946</v>
      </c>
      <c r="D5406" t="s">
        <v>989</v>
      </c>
      <c r="E5406" t="s">
        <v>294</v>
      </c>
      <c r="F5406" t="s">
        <v>948</v>
      </c>
      <c r="G5406">
        <v>1877777</v>
      </c>
      <c r="H5406">
        <v>500220</v>
      </c>
      <c r="I5406" t="s">
        <v>949</v>
      </c>
    </row>
    <row r="5407" spans="1:9" x14ac:dyDescent="0.25">
      <c r="A5407">
        <v>4230</v>
      </c>
      <c r="B5407">
        <v>18</v>
      </c>
      <c r="C5407" t="s">
        <v>946</v>
      </c>
      <c r="D5407" t="s">
        <v>989</v>
      </c>
      <c r="E5407" t="s">
        <v>294</v>
      </c>
      <c r="F5407" t="s">
        <v>948</v>
      </c>
      <c r="G5407">
        <v>1899999</v>
      </c>
      <c r="H5407">
        <v>403045</v>
      </c>
      <c r="I5407">
        <v>72</v>
      </c>
    </row>
    <row r="5408" spans="1:9" x14ac:dyDescent="0.25">
      <c r="A5408">
        <v>4240</v>
      </c>
      <c r="B5408">
        <v>18</v>
      </c>
      <c r="C5408" t="s">
        <v>946</v>
      </c>
      <c r="D5408" t="s">
        <v>989</v>
      </c>
      <c r="E5408" t="s">
        <v>294</v>
      </c>
      <c r="F5408" t="s">
        <v>948</v>
      </c>
      <c r="G5408">
        <v>1877777</v>
      </c>
      <c r="H5408">
        <v>500221</v>
      </c>
      <c r="I5408" t="s">
        <v>949</v>
      </c>
    </row>
    <row r="5409" spans="1:9" x14ac:dyDescent="0.25">
      <c r="A5409">
        <v>4230</v>
      </c>
      <c r="B5409">
        <v>18</v>
      </c>
      <c r="C5409" t="s">
        <v>946</v>
      </c>
      <c r="D5409" t="s">
        <v>989</v>
      </c>
      <c r="E5409" t="s">
        <v>298</v>
      </c>
      <c r="F5409" t="s">
        <v>948</v>
      </c>
      <c r="G5409">
        <v>1899999</v>
      </c>
      <c r="H5409">
        <v>403085</v>
      </c>
      <c r="I5409">
        <v>72</v>
      </c>
    </row>
    <row r="5410" spans="1:9" x14ac:dyDescent="0.25">
      <c r="A5410">
        <v>4141</v>
      </c>
      <c r="B5410">
        <v>18</v>
      </c>
      <c r="C5410" t="s">
        <v>946</v>
      </c>
      <c r="D5410" t="s">
        <v>989</v>
      </c>
      <c r="E5410" t="s">
        <v>980</v>
      </c>
      <c r="F5410" t="s">
        <v>948</v>
      </c>
      <c r="G5410">
        <v>1877777</v>
      </c>
      <c r="H5410">
        <v>501010</v>
      </c>
      <c r="I5410">
        <v>72</v>
      </c>
    </row>
    <row r="5411" spans="1:9" x14ac:dyDescent="0.25">
      <c r="A5411">
        <v>4220</v>
      </c>
      <c r="B5411">
        <v>18</v>
      </c>
      <c r="C5411" t="s">
        <v>946</v>
      </c>
      <c r="D5411" t="s">
        <v>989</v>
      </c>
      <c r="E5411" t="s">
        <v>980</v>
      </c>
      <c r="F5411" t="s">
        <v>948</v>
      </c>
      <c r="G5411">
        <v>1877777</v>
      </c>
      <c r="H5411">
        <v>500220</v>
      </c>
      <c r="I5411" t="s">
        <v>949</v>
      </c>
    </row>
    <row r="5412" spans="1:9" x14ac:dyDescent="0.25">
      <c r="A5412">
        <v>4230</v>
      </c>
      <c r="B5412">
        <v>18</v>
      </c>
      <c r="C5412" t="s">
        <v>946</v>
      </c>
      <c r="D5412" t="s">
        <v>989</v>
      </c>
      <c r="E5412" t="s">
        <v>980</v>
      </c>
      <c r="F5412" t="s">
        <v>948</v>
      </c>
      <c r="G5412">
        <v>1899999</v>
      </c>
      <c r="H5412">
        <v>403915</v>
      </c>
      <c r="I5412">
        <v>72</v>
      </c>
    </row>
    <row r="5413" spans="1:9" x14ac:dyDescent="0.25">
      <c r="A5413">
        <v>4240</v>
      </c>
      <c r="B5413">
        <v>18</v>
      </c>
      <c r="C5413" t="s">
        <v>946</v>
      </c>
      <c r="D5413" t="s">
        <v>989</v>
      </c>
      <c r="E5413" t="s">
        <v>980</v>
      </c>
      <c r="F5413" t="s">
        <v>948</v>
      </c>
      <c r="G5413">
        <v>1877777</v>
      </c>
      <c r="H5413">
        <v>500221</v>
      </c>
      <c r="I5413" t="s">
        <v>949</v>
      </c>
    </row>
    <row r="5414" spans="1:9" x14ac:dyDescent="0.25">
      <c r="A5414">
        <v>4141</v>
      </c>
      <c r="B5414">
        <v>18</v>
      </c>
      <c r="C5414" t="s">
        <v>946</v>
      </c>
      <c r="D5414" t="s">
        <v>989</v>
      </c>
      <c r="E5414" t="s">
        <v>302</v>
      </c>
      <c r="F5414" t="s">
        <v>948</v>
      </c>
      <c r="G5414">
        <v>1877777</v>
      </c>
      <c r="H5414">
        <v>501010</v>
      </c>
      <c r="I5414">
        <v>72</v>
      </c>
    </row>
    <row r="5415" spans="1:9" x14ac:dyDescent="0.25">
      <c r="A5415">
        <v>4220</v>
      </c>
      <c r="B5415">
        <v>18</v>
      </c>
      <c r="C5415" t="s">
        <v>946</v>
      </c>
      <c r="D5415" t="s">
        <v>989</v>
      </c>
      <c r="E5415" t="s">
        <v>302</v>
      </c>
      <c r="F5415" t="s">
        <v>948</v>
      </c>
      <c r="G5415">
        <v>1877777</v>
      </c>
      <c r="H5415">
        <v>500220</v>
      </c>
      <c r="I5415" t="s">
        <v>949</v>
      </c>
    </row>
    <row r="5416" spans="1:9" x14ac:dyDescent="0.25">
      <c r="A5416">
        <v>4230</v>
      </c>
      <c r="B5416">
        <v>18</v>
      </c>
      <c r="C5416" t="s">
        <v>946</v>
      </c>
      <c r="D5416" t="s">
        <v>989</v>
      </c>
      <c r="E5416" t="s">
        <v>302</v>
      </c>
      <c r="F5416" t="s">
        <v>948</v>
      </c>
      <c r="G5416">
        <v>1899999</v>
      </c>
      <c r="H5416">
        <v>401905</v>
      </c>
      <c r="I5416">
        <v>72</v>
      </c>
    </row>
    <row r="5417" spans="1:9" x14ac:dyDescent="0.25">
      <c r="A5417">
        <v>4240</v>
      </c>
      <c r="B5417">
        <v>18</v>
      </c>
      <c r="C5417" t="s">
        <v>946</v>
      </c>
      <c r="D5417" t="s">
        <v>989</v>
      </c>
      <c r="E5417" t="s">
        <v>302</v>
      </c>
      <c r="F5417" t="s">
        <v>948</v>
      </c>
      <c r="G5417">
        <v>1877777</v>
      </c>
      <c r="H5417">
        <v>500221</v>
      </c>
      <c r="I5417" t="s">
        <v>949</v>
      </c>
    </row>
    <row r="5418" spans="1:9" x14ac:dyDescent="0.25">
      <c r="A5418">
        <v>4141</v>
      </c>
      <c r="B5418">
        <v>18</v>
      </c>
      <c r="C5418" t="s">
        <v>946</v>
      </c>
      <c r="D5418" t="s">
        <v>989</v>
      </c>
      <c r="E5418" t="s">
        <v>306</v>
      </c>
      <c r="F5418" t="s">
        <v>948</v>
      </c>
      <c r="G5418">
        <v>1877777</v>
      </c>
      <c r="H5418">
        <v>501010</v>
      </c>
      <c r="I5418">
        <v>72</v>
      </c>
    </row>
    <row r="5419" spans="1:9" x14ac:dyDescent="0.25">
      <c r="A5419">
        <v>4220</v>
      </c>
      <c r="B5419">
        <v>18</v>
      </c>
      <c r="C5419" t="s">
        <v>946</v>
      </c>
      <c r="D5419" t="s">
        <v>989</v>
      </c>
      <c r="E5419" t="s">
        <v>306</v>
      </c>
      <c r="F5419" t="s">
        <v>948</v>
      </c>
      <c r="G5419">
        <v>1877777</v>
      </c>
      <c r="H5419">
        <v>500220</v>
      </c>
      <c r="I5419" t="s">
        <v>949</v>
      </c>
    </row>
    <row r="5420" spans="1:9" x14ac:dyDescent="0.25">
      <c r="A5420">
        <v>4230</v>
      </c>
      <c r="B5420">
        <v>18</v>
      </c>
      <c r="C5420" t="s">
        <v>946</v>
      </c>
      <c r="D5420" t="s">
        <v>989</v>
      </c>
      <c r="E5420" t="s">
        <v>306</v>
      </c>
      <c r="F5420" t="s">
        <v>948</v>
      </c>
      <c r="G5420">
        <v>1899999</v>
      </c>
      <c r="H5420">
        <v>403045</v>
      </c>
      <c r="I5420">
        <v>72</v>
      </c>
    </row>
    <row r="5421" spans="1:9" x14ac:dyDescent="0.25">
      <c r="A5421">
        <v>4240</v>
      </c>
      <c r="B5421">
        <v>18</v>
      </c>
      <c r="C5421" t="s">
        <v>946</v>
      </c>
      <c r="D5421" t="s">
        <v>989</v>
      </c>
      <c r="E5421" t="s">
        <v>306</v>
      </c>
      <c r="F5421" t="s">
        <v>948</v>
      </c>
      <c r="G5421">
        <v>1877777</v>
      </c>
      <c r="H5421">
        <v>500221</v>
      </c>
      <c r="I5421" t="s">
        <v>949</v>
      </c>
    </row>
    <row r="5422" spans="1:9" x14ac:dyDescent="0.25">
      <c r="A5422">
        <v>4141</v>
      </c>
      <c r="B5422">
        <v>18</v>
      </c>
      <c r="C5422" t="s">
        <v>946</v>
      </c>
      <c r="D5422" t="s">
        <v>989</v>
      </c>
      <c r="E5422" t="s">
        <v>108</v>
      </c>
      <c r="F5422" t="s">
        <v>948</v>
      </c>
      <c r="G5422">
        <v>1877777</v>
      </c>
      <c r="H5422">
        <v>500220</v>
      </c>
      <c r="I5422" t="s">
        <v>949</v>
      </c>
    </row>
    <row r="5423" spans="1:9" x14ac:dyDescent="0.25">
      <c r="A5423">
        <v>4220</v>
      </c>
      <c r="B5423">
        <v>18</v>
      </c>
      <c r="C5423" t="s">
        <v>946</v>
      </c>
      <c r="D5423" t="s">
        <v>989</v>
      </c>
      <c r="E5423" t="s">
        <v>108</v>
      </c>
      <c r="F5423" t="s">
        <v>948</v>
      </c>
      <c r="G5423">
        <v>1877777</v>
      </c>
      <c r="H5423">
        <v>500220</v>
      </c>
      <c r="I5423" t="s">
        <v>949</v>
      </c>
    </row>
    <row r="5424" spans="1:9" x14ac:dyDescent="0.25">
      <c r="A5424">
        <v>4230</v>
      </c>
      <c r="B5424">
        <v>18</v>
      </c>
      <c r="C5424" t="s">
        <v>946</v>
      </c>
      <c r="D5424" t="s">
        <v>989</v>
      </c>
      <c r="E5424" t="s">
        <v>108</v>
      </c>
      <c r="F5424" t="s">
        <v>948</v>
      </c>
      <c r="G5424">
        <v>1899999</v>
      </c>
      <c r="H5424">
        <v>403045</v>
      </c>
      <c r="I5424">
        <v>72</v>
      </c>
    </row>
    <row r="5425" spans="1:9" x14ac:dyDescent="0.25">
      <c r="A5425">
        <v>4240</v>
      </c>
      <c r="B5425">
        <v>18</v>
      </c>
      <c r="C5425" t="s">
        <v>946</v>
      </c>
      <c r="D5425" t="s">
        <v>989</v>
      </c>
      <c r="E5425" t="s">
        <v>108</v>
      </c>
      <c r="F5425" t="s">
        <v>948</v>
      </c>
      <c r="G5425">
        <v>1877777</v>
      </c>
      <c r="H5425">
        <v>500221</v>
      </c>
      <c r="I5425" t="s">
        <v>949</v>
      </c>
    </row>
    <row r="5426" spans="1:9" x14ac:dyDescent="0.25">
      <c r="A5426">
        <v>4141</v>
      </c>
      <c r="B5426">
        <v>18</v>
      </c>
      <c r="C5426" t="s">
        <v>946</v>
      </c>
      <c r="D5426" t="s">
        <v>989</v>
      </c>
      <c r="E5426" t="s">
        <v>310</v>
      </c>
      <c r="F5426" t="s">
        <v>948</v>
      </c>
      <c r="G5426">
        <v>1877777</v>
      </c>
      <c r="H5426">
        <v>501010</v>
      </c>
      <c r="I5426">
        <v>72</v>
      </c>
    </row>
    <row r="5427" spans="1:9" x14ac:dyDescent="0.25">
      <c r="A5427">
        <v>4220</v>
      </c>
      <c r="B5427">
        <v>18</v>
      </c>
      <c r="C5427" t="s">
        <v>946</v>
      </c>
      <c r="D5427" t="s">
        <v>989</v>
      </c>
      <c r="E5427" t="s">
        <v>310</v>
      </c>
      <c r="F5427" t="s">
        <v>948</v>
      </c>
      <c r="G5427">
        <v>1877777</v>
      </c>
      <c r="H5427">
        <v>500220</v>
      </c>
      <c r="I5427" t="s">
        <v>949</v>
      </c>
    </row>
    <row r="5428" spans="1:9" x14ac:dyDescent="0.25">
      <c r="A5428">
        <v>4230</v>
      </c>
      <c r="B5428">
        <v>18</v>
      </c>
      <c r="C5428" t="s">
        <v>946</v>
      </c>
      <c r="D5428" t="s">
        <v>989</v>
      </c>
      <c r="E5428" t="s">
        <v>310</v>
      </c>
      <c r="F5428" t="s">
        <v>948</v>
      </c>
      <c r="G5428">
        <v>1899999</v>
      </c>
      <c r="H5428">
        <v>403015</v>
      </c>
      <c r="I5428">
        <v>72</v>
      </c>
    </row>
    <row r="5429" spans="1:9" x14ac:dyDescent="0.25">
      <c r="A5429">
        <v>4240</v>
      </c>
      <c r="B5429">
        <v>18</v>
      </c>
      <c r="C5429" t="s">
        <v>946</v>
      </c>
      <c r="D5429" t="s">
        <v>989</v>
      </c>
      <c r="E5429" t="s">
        <v>310</v>
      </c>
      <c r="F5429" t="s">
        <v>948</v>
      </c>
      <c r="G5429">
        <v>1877777</v>
      </c>
      <c r="H5429">
        <v>500221</v>
      </c>
      <c r="I5429" t="s">
        <v>949</v>
      </c>
    </row>
    <row r="5430" spans="1:9" x14ac:dyDescent="0.25">
      <c r="A5430">
        <v>4141</v>
      </c>
      <c r="B5430">
        <v>18</v>
      </c>
      <c r="C5430" t="s">
        <v>946</v>
      </c>
      <c r="D5430" t="s">
        <v>989</v>
      </c>
      <c r="E5430" t="s">
        <v>314</v>
      </c>
      <c r="F5430" t="s">
        <v>948</v>
      </c>
      <c r="G5430">
        <v>1877777</v>
      </c>
      <c r="H5430">
        <v>501010</v>
      </c>
      <c r="I5430">
        <v>72</v>
      </c>
    </row>
    <row r="5431" spans="1:9" x14ac:dyDescent="0.25">
      <c r="A5431">
        <v>4220</v>
      </c>
      <c r="B5431">
        <v>18</v>
      </c>
      <c r="C5431" t="s">
        <v>946</v>
      </c>
      <c r="D5431" t="s">
        <v>989</v>
      </c>
      <c r="E5431" t="s">
        <v>314</v>
      </c>
      <c r="F5431" t="s">
        <v>948</v>
      </c>
      <c r="G5431">
        <v>1877777</v>
      </c>
      <c r="H5431">
        <v>500220</v>
      </c>
      <c r="I5431" t="s">
        <v>949</v>
      </c>
    </row>
    <row r="5432" spans="1:9" x14ac:dyDescent="0.25">
      <c r="A5432">
        <v>4230</v>
      </c>
      <c r="B5432">
        <v>18</v>
      </c>
      <c r="C5432" t="s">
        <v>946</v>
      </c>
      <c r="D5432" t="s">
        <v>989</v>
      </c>
      <c r="E5432" t="s">
        <v>314</v>
      </c>
      <c r="F5432" t="s">
        <v>948</v>
      </c>
      <c r="G5432">
        <v>1899999</v>
      </c>
      <c r="H5432">
        <v>403065</v>
      </c>
      <c r="I5432">
        <v>72</v>
      </c>
    </row>
    <row r="5433" spans="1:9" x14ac:dyDescent="0.25">
      <c r="A5433">
        <v>4240</v>
      </c>
      <c r="B5433">
        <v>18</v>
      </c>
      <c r="C5433" t="s">
        <v>946</v>
      </c>
      <c r="D5433" t="s">
        <v>989</v>
      </c>
      <c r="E5433" t="s">
        <v>314</v>
      </c>
      <c r="F5433" t="s">
        <v>948</v>
      </c>
      <c r="G5433">
        <v>1877777</v>
      </c>
      <c r="H5433">
        <v>500221</v>
      </c>
      <c r="I5433" t="s">
        <v>949</v>
      </c>
    </row>
    <row r="5434" spans="1:9" x14ac:dyDescent="0.25">
      <c r="A5434">
        <v>4141</v>
      </c>
      <c r="B5434">
        <v>18</v>
      </c>
      <c r="C5434" t="s">
        <v>946</v>
      </c>
      <c r="D5434" t="s">
        <v>989</v>
      </c>
      <c r="E5434" t="s">
        <v>113</v>
      </c>
      <c r="F5434" t="s">
        <v>948</v>
      </c>
      <c r="G5434">
        <v>1877777</v>
      </c>
      <c r="H5434">
        <v>500220</v>
      </c>
      <c r="I5434" t="s">
        <v>949</v>
      </c>
    </row>
    <row r="5435" spans="1:9" x14ac:dyDescent="0.25">
      <c r="A5435">
        <v>4220</v>
      </c>
      <c r="B5435">
        <v>18</v>
      </c>
      <c r="C5435" t="s">
        <v>946</v>
      </c>
      <c r="D5435" t="s">
        <v>989</v>
      </c>
      <c r="E5435" t="s">
        <v>113</v>
      </c>
      <c r="F5435" t="s">
        <v>948</v>
      </c>
      <c r="G5435">
        <v>1877777</v>
      </c>
      <c r="H5435">
        <v>500220</v>
      </c>
      <c r="I5435" t="s">
        <v>949</v>
      </c>
    </row>
    <row r="5436" spans="1:9" x14ac:dyDescent="0.25">
      <c r="A5436">
        <v>4230</v>
      </c>
      <c r="B5436">
        <v>18</v>
      </c>
      <c r="C5436" t="s">
        <v>946</v>
      </c>
      <c r="D5436" t="s">
        <v>989</v>
      </c>
      <c r="E5436" t="s">
        <v>113</v>
      </c>
      <c r="F5436" t="s">
        <v>948</v>
      </c>
      <c r="G5436">
        <v>1899999</v>
      </c>
      <c r="H5436">
        <v>403085</v>
      </c>
      <c r="I5436">
        <v>72</v>
      </c>
    </row>
    <row r="5437" spans="1:9" x14ac:dyDescent="0.25">
      <c r="A5437">
        <v>4240</v>
      </c>
      <c r="B5437">
        <v>18</v>
      </c>
      <c r="C5437" t="s">
        <v>946</v>
      </c>
      <c r="D5437" t="s">
        <v>989</v>
      </c>
      <c r="E5437" t="s">
        <v>113</v>
      </c>
      <c r="F5437" t="s">
        <v>948</v>
      </c>
      <c r="G5437">
        <v>1877777</v>
      </c>
      <c r="H5437">
        <v>500221</v>
      </c>
      <c r="I5437" t="s">
        <v>949</v>
      </c>
    </row>
    <row r="5438" spans="1:9" x14ac:dyDescent="0.25">
      <c r="A5438">
        <v>4141</v>
      </c>
      <c r="B5438">
        <v>18</v>
      </c>
      <c r="C5438" t="s">
        <v>946</v>
      </c>
      <c r="D5438" t="s">
        <v>989</v>
      </c>
      <c r="E5438" t="s">
        <v>117</v>
      </c>
      <c r="F5438" t="s">
        <v>948</v>
      </c>
      <c r="G5438">
        <v>1877777</v>
      </c>
      <c r="H5438">
        <v>500220</v>
      </c>
      <c r="I5438" t="s">
        <v>949</v>
      </c>
    </row>
    <row r="5439" spans="1:9" x14ac:dyDescent="0.25">
      <c r="A5439">
        <v>4220</v>
      </c>
      <c r="B5439">
        <v>18</v>
      </c>
      <c r="C5439" t="s">
        <v>946</v>
      </c>
      <c r="D5439" t="s">
        <v>989</v>
      </c>
      <c r="E5439" t="s">
        <v>117</v>
      </c>
      <c r="F5439" t="s">
        <v>948</v>
      </c>
      <c r="G5439">
        <v>1877777</v>
      </c>
      <c r="H5439">
        <v>500220</v>
      </c>
      <c r="I5439" t="s">
        <v>949</v>
      </c>
    </row>
    <row r="5440" spans="1:9" x14ac:dyDescent="0.25">
      <c r="A5440">
        <v>4230</v>
      </c>
      <c r="B5440">
        <v>18</v>
      </c>
      <c r="C5440" t="s">
        <v>946</v>
      </c>
      <c r="D5440" t="s">
        <v>989</v>
      </c>
      <c r="E5440" t="s">
        <v>117</v>
      </c>
      <c r="F5440" t="s">
        <v>948</v>
      </c>
      <c r="G5440">
        <v>1888888</v>
      </c>
      <c r="H5440">
        <v>810600</v>
      </c>
      <c r="I5440">
        <v>72</v>
      </c>
    </row>
    <row r="5441" spans="1:9" x14ac:dyDescent="0.25">
      <c r="A5441">
        <v>4240</v>
      </c>
      <c r="B5441">
        <v>18</v>
      </c>
      <c r="C5441" t="s">
        <v>946</v>
      </c>
      <c r="D5441" t="s">
        <v>989</v>
      </c>
      <c r="E5441" t="s">
        <v>117</v>
      </c>
      <c r="F5441" t="s">
        <v>948</v>
      </c>
      <c r="G5441">
        <v>1877777</v>
      </c>
      <c r="H5441">
        <v>500221</v>
      </c>
      <c r="I5441" t="s">
        <v>949</v>
      </c>
    </row>
    <row r="5442" spans="1:9" x14ac:dyDescent="0.25">
      <c r="A5442">
        <v>4141</v>
      </c>
      <c r="B5442">
        <v>18</v>
      </c>
      <c r="C5442" t="s">
        <v>946</v>
      </c>
      <c r="D5442" t="s">
        <v>989</v>
      </c>
      <c r="E5442" t="s">
        <v>121</v>
      </c>
      <c r="F5442" t="s">
        <v>948</v>
      </c>
      <c r="G5442">
        <v>1877777</v>
      </c>
      <c r="H5442">
        <v>500220</v>
      </c>
      <c r="I5442" t="s">
        <v>949</v>
      </c>
    </row>
    <row r="5443" spans="1:9" x14ac:dyDescent="0.25">
      <c r="A5443">
        <v>4220</v>
      </c>
      <c r="B5443">
        <v>18</v>
      </c>
      <c r="C5443" t="s">
        <v>946</v>
      </c>
      <c r="D5443" t="s">
        <v>989</v>
      </c>
      <c r="E5443" t="s">
        <v>121</v>
      </c>
      <c r="F5443" t="s">
        <v>948</v>
      </c>
      <c r="G5443">
        <v>1877777</v>
      </c>
      <c r="H5443">
        <v>500220</v>
      </c>
      <c r="I5443" t="s">
        <v>949</v>
      </c>
    </row>
    <row r="5444" spans="1:9" x14ac:dyDescent="0.25">
      <c r="A5444">
        <v>4230</v>
      </c>
      <c r="B5444">
        <v>18</v>
      </c>
      <c r="C5444" t="s">
        <v>946</v>
      </c>
      <c r="D5444" t="s">
        <v>989</v>
      </c>
      <c r="E5444" t="s">
        <v>121</v>
      </c>
      <c r="F5444" t="s">
        <v>948</v>
      </c>
      <c r="G5444">
        <v>1899999</v>
      </c>
      <c r="H5444">
        <v>403045</v>
      </c>
      <c r="I5444">
        <v>72</v>
      </c>
    </row>
    <row r="5445" spans="1:9" x14ac:dyDescent="0.25">
      <c r="A5445">
        <v>4240</v>
      </c>
      <c r="B5445">
        <v>18</v>
      </c>
      <c r="C5445" t="s">
        <v>946</v>
      </c>
      <c r="D5445" t="s">
        <v>989</v>
      </c>
      <c r="E5445" t="s">
        <v>121</v>
      </c>
      <c r="F5445" t="s">
        <v>948</v>
      </c>
      <c r="G5445">
        <v>1877777</v>
      </c>
      <c r="H5445">
        <v>500221</v>
      </c>
      <c r="I5445" t="s">
        <v>949</v>
      </c>
    </row>
    <row r="5446" spans="1:9" x14ac:dyDescent="0.25">
      <c r="A5446">
        <v>4141</v>
      </c>
      <c r="B5446">
        <v>18</v>
      </c>
      <c r="C5446" t="s">
        <v>946</v>
      </c>
      <c r="D5446" t="s">
        <v>989</v>
      </c>
      <c r="E5446" t="s">
        <v>984</v>
      </c>
      <c r="F5446" t="s">
        <v>948</v>
      </c>
      <c r="G5446">
        <v>1877777</v>
      </c>
      <c r="H5446">
        <v>501010</v>
      </c>
      <c r="I5446">
        <v>72</v>
      </c>
    </row>
    <row r="5447" spans="1:9" x14ac:dyDescent="0.25">
      <c r="A5447">
        <v>4220</v>
      </c>
      <c r="B5447">
        <v>18</v>
      </c>
      <c r="C5447" t="s">
        <v>946</v>
      </c>
      <c r="D5447" t="s">
        <v>989</v>
      </c>
      <c r="E5447" t="s">
        <v>984</v>
      </c>
      <c r="F5447" t="s">
        <v>948</v>
      </c>
      <c r="G5447">
        <v>1877777</v>
      </c>
      <c r="H5447">
        <v>500220</v>
      </c>
      <c r="I5447" t="s">
        <v>949</v>
      </c>
    </row>
    <row r="5448" spans="1:9" x14ac:dyDescent="0.25">
      <c r="A5448">
        <v>4230</v>
      </c>
      <c r="B5448">
        <v>18</v>
      </c>
      <c r="C5448" t="s">
        <v>946</v>
      </c>
      <c r="D5448" t="s">
        <v>989</v>
      </c>
      <c r="E5448" t="s">
        <v>984</v>
      </c>
      <c r="F5448" t="s">
        <v>948</v>
      </c>
      <c r="G5448">
        <v>1899999</v>
      </c>
      <c r="H5448">
        <v>403915</v>
      </c>
      <c r="I5448">
        <v>72</v>
      </c>
    </row>
    <row r="5449" spans="1:9" x14ac:dyDescent="0.25">
      <c r="A5449">
        <v>4240</v>
      </c>
      <c r="B5449">
        <v>18</v>
      </c>
      <c r="C5449" t="s">
        <v>946</v>
      </c>
      <c r="D5449" t="s">
        <v>989</v>
      </c>
      <c r="E5449" t="s">
        <v>984</v>
      </c>
      <c r="F5449" t="s">
        <v>948</v>
      </c>
      <c r="G5449">
        <v>1877777</v>
      </c>
      <c r="H5449">
        <v>500221</v>
      </c>
      <c r="I5449" t="s">
        <v>949</v>
      </c>
    </row>
    <row r="5450" spans="1:9" x14ac:dyDescent="0.25">
      <c r="A5450">
        <v>4141</v>
      </c>
      <c r="B5450">
        <v>18</v>
      </c>
      <c r="C5450" t="s">
        <v>946</v>
      </c>
      <c r="D5450" t="s">
        <v>990</v>
      </c>
      <c r="E5450" t="s">
        <v>243</v>
      </c>
      <c r="F5450" t="s">
        <v>948</v>
      </c>
      <c r="G5450">
        <v>1877777</v>
      </c>
      <c r="H5450">
        <v>501010</v>
      </c>
      <c r="I5450">
        <v>50</v>
      </c>
    </row>
    <row r="5451" spans="1:9" x14ac:dyDescent="0.25">
      <c r="A5451">
        <v>4220</v>
      </c>
      <c r="B5451">
        <v>18</v>
      </c>
      <c r="C5451" t="s">
        <v>946</v>
      </c>
      <c r="D5451" t="s">
        <v>990</v>
      </c>
      <c r="E5451" t="s">
        <v>243</v>
      </c>
      <c r="F5451" t="s">
        <v>948</v>
      </c>
      <c r="G5451">
        <v>1877777</v>
      </c>
      <c r="H5451">
        <v>500220</v>
      </c>
      <c r="I5451" t="s">
        <v>949</v>
      </c>
    </row>
    <row r="5452" spans="1:9" x14ac:dyDescent="0.25">
      <c r="A5452">
        <v>4230</v>
      </c>
      <c r="B5452">
        <v>18</v>
      </c>
      <c r="C5452" t="s">
        <v>946</v>
      </c>
      <c r="D5452" t="s">
        <v>990</v>
      </c>
      <c r="E5452" t="s">
        <v>243</v>
      </c>
      <c r="F5452" t="s">
        <v>948</v>
      </c>
      <c r="G5452">
        <v>1899999</v>
      </c>
      <c r="H5452">
        <v>403055</v>
      </c>
      <c r="I5452">
        <v>50</v>
      </c>
    </row>
    <row r="5453" spans="1:9" x14ac:dyDescent="0.25">
      <c r="A5453">
        <v>4240</v>
      </c>
      <c r="B5453">
        <v>18</v>
      </c>
      <c r="C5453" t="s">
        <v>946</v>
      </c>
      <c r="D5453" t="s">
        <v>990</v>
      </c>
      <c r="E5453" t="s">
        <v>243</v>
      </c>
      <c r="F5453" t="s">
        <v>948</v>
      </c>
      <c r="G5453">
        <v>1877777</v>
      </c>
      <c r="H5453">
        <v>500221</v>
      </c>
      <c r="I5453" t="s">
        <v>949</v>
      </c>
    </row>
    <row r="5454" spans="1:9" x14ac:dyDescent="0.25">
      <c r="A5454">
        <v>4141</v>
      </c>
      <c r="B5454">
        <v>18</v>
      </c>
      <c r="C5454" t="s">
        <v>946</v>
      </c>
      <c r="D5454" t="s">
        <v>990</v>
      </c>
      <c r="E5454" t="s">
        <v>247</v>
      </c>
      <c r="F5454" t="s">
        <v>948</v>
      </c>
      <c r="G5454">
        <v>1877777</v>
      </c>
      <c r="H5454">
        <v>501010</v>
      </c>
      <c r="I5454">
        <v>50</v>
      </c>
    </row>
    <row r="5455" spans="1:9" x14ac:dyDescent="0.25">
      <c r="A5455">
        <v>4220</v>
      </c>
      <c r="B5455">
        <v>18</v>
      </c>
      <c r="C5455" t="s">
        <v>946</v>
      </c>
      <c r="D5455" t="s">
        <v>990</v>
      </c>
      <c r="E5455" t="s">
        <v>247</v>
      </c>
      <c r="F5455" t="s">
        <v>948</v>
      </c>
      <c r="G5455">
        <v>1877777</v>
      </c>
      <c r="H5455">
        <v>500220</v>
      </c>
      <c r="I5455" t="s">
        <v>949</v>
      </c>
    </row>
    <row r="5456" spans="1:9" x14ac:dyDescent="0.25">
      <c r="A5456">
        <v>4230</v>
      </c>
      <c r="B5456">
        <v>18</v>
      </c>
      <c r="C5456" t="s">
        <v>946</v>
      </c>
      <c r="D5456" t="s">
        <v>990</v>
      </c>
      <c r="E5456" t="s">
        <v>247</v>
      </c>
      <c r="F5456" t="s">
        <v>948</v>
      </c>
      <c r="G5456">
        <v>1899999</v>
      </c>
      <c r="H5456">
        <v>403025</v>
      </c>
      <c r="I5456">
        <v>50</v>
      </c>
    </row>
    <row r="5457" spans="1:9" x14ac:dyDescent="0.25">
      <c r="A5457">
        <v>4240</v>
      </c>
      <c r="B5457">
        <v>18</v>
      </c>
      <c r="C5457" t="s">
        <v>946</v>
      </c>
      <c r="D5457" t="s">
        <v>990</v>
      </c>
      <c r="E5457" t="s">
        <v>247</v>
      </c>
      <c r="F5457" t="s">
        <v>948</v>
      </c>
      <c r="G5457">
        <v>1877777</v>
      </c>
      <c r="H5457">
        <v>500221</v>
      </c>
      <c r="I5457" t="s">
        <v>949</v>
      </c>
    </row>
    <row r="5458" spans="1:9" x14ac:dyDescent="0.25">
      <c r="A5458">
        <v>4141</v>
      </c>
      <c r="B5458">
        <v>18</v>
      </c>
      <c r="C5458" t="s">
        <v>946</v>
      </c>
      <c r="D5458" t="s">
        <v>990</v>
      </c>
      <c r="E5458" t="s">
        <v>251</v>
      </c>
      <c r="F5458" t="s">
        <v>948</v>
      </c>
      <c r="G5458">
        <v>1877777</v>
      </c>
      <c r="H5458">
        <v>501010</v>
      </c>
      <c r="I5458">
        <v>50</v>
      </c>
    </row>
    <row r="5459" spans="1:9" x14ac:dyDescent="0.25">
      <c r="A5459">
        <v>4220</v>
      </c>
      <c r="B5459">
        <v>18</v>
      </c>
      <c r="C5459" t="s">
        <v>946</v>
      </c>
      <c r="D5459" t="s">
        <v>990</v>
      </c>
      <c r="E5459" t="s">
        <v>251</v>
      </c>
      <c r="F5459" t="s">
        <v>948</v>
      </c>
      <c r="G5459">
        <v>1877777</v>
      </c>
      <c r="H5459">
        <v>500220</v>
      </c>
      <c r="I5459" t="s">
        <v>949</v>
      </c>
    </row>
    <row r="5460" spans="1:9" x14ac:dyDescent="0.25">
      <c r="A5460">
        <v>4230</v>
      </c>
      <c r="B5460">
        <v>18</v>
      </c>
      <c r="C5460" t="s">
        <v>946</v>
      </c>
      <c r="D5460" t="s">
        <v>990</v>
      </c>
      <c r="E5460" t="s">
        <v>251</v>
      </c>
      <c r="F5460" t="s">
        <v>948</v>
      </c>
      <c r="G5460">
        <v>1899999</v>
      </c>
      <c r="H5460">
        <v>403045</v>
      </c>
      <c r="I5460">
        <v>50</v>
      </c>
    </row>
    <row r="5461" spans="1:9" x14ac:dyDescent="0.25">
      <c r="A5461">
        <v>4240</v>
      </c>
      <c r="B5461">
        <v>18</v>
      </c>
      <c r="C5461" t="s">
        <v>946</v>
      </c>
      <c r="D5461" t="s">
        <v>990</v>
      </c>
      <c r="E5461" t="s">
        <v>251</v>
      </c>
      <c r="F5461" t="s">
        <v>948</v>
      </c>
      <c r="G5461">
        <v>1877777</v>
      </c>
      <c r="H5461">
        <v>500221</v>
      </c>
      <c r="I5461" t="s">
        <v>949</v>
      </c>
    </row>
    <row r="5462" spans="1:9" x14ac:dyDescent="0.25">
      <c r="A5462">
        <v>4141</v>
      </c>
      <c r="B5462">
        <v>18</v>
      </c>
      <c r="C5462" t="s">
        <v>946</v>
      </c>
      <c r="D5462" t="s">
        <v>990</v>
      </c>
      <c r="E5462" t="s">
        <v>969</v>
      </c>
      <c r="F5462" t="s">
        <v>948</v>
      </c>
      <c r="G5462">
        <v>1877777</v>
      </c>
      <c r="H5462">
        <v>501010</v>
      </c>
      <c r="I5462">
        <v>50</v>
      </c>
    </row>
    <row r="5463" spans="1:9" x14ac:dyDescent="0.25">
      <c r="A5463">
        <v>4220</v>
      </c>
      <c r="B5463">
        <v>18</v>
      </c>
      <c r="C5463" t="s">
        <v>946</v>
      </c>
      <c r="D5463" t="s">
        <v>990</v>
      </c>
      <c r="E5463" t="s">
        <v>969</v>
      </c>
      <c r="F5463" t="s">
        <v>948</v>
      </c>
      <c r="G5463">
        <v>1877777</v>
      </c>
      <c r="H5463">
        <v>500220</v>
      </c>
      <c r="I5463" t="s">
        <v>949</v>
      </c>
    </row>
    <row r="5464" spans="1:9" x14ac:dyDescent="0.25">
      <c r="A5464">
        <v>4230</v>
      </c>
      <c r="B5464">
        <v>18</v>
      </c>
      <c r="C5464" t="s">
        <v>946</v>
      </c>
      <c r="D5464" t="s">
        <v>990</v>
      </c>
      <c r="E5464" t="s">
        <v>969</v>
      </c>
      <c r="F5464" t="s">
        <v>948</v>
      </c>
      <c r="G5464">
        <v>1899999</v>
      </c>
      <c r="H5464">
        <v>403915</v>
      </c>
      <c r="I5464">
        <v>50</v>
      </c>
    </row>
    <row r="5465" spans="1:9" x14ac:dyDescent="0.25">
      <c r="A5465">
        <v>4240</v>
      </c>
      <c r="B5465">
        <v>18</v>
      </c>
      <c r="C5465" t="s">
        <v>946</v>
      </c>
      <c r="D5465" t="s">
        <v>990</v>
      </c>
      <c r="E5465" t="s">
        <v>969</v>
      </c>
      <c r="F5465" t="s">
        <v>948</v>
      </c>
      <c r="G5465">
        <v>1877777</v>
      </c>
      <c r="H5465">
        <v>500221</v>
      </c>
      <c r="I5465" t="s">
        <v>949</v>
      </c>
    </row>
    <row r="5466" spans="1:9" x14ac:dyDescent="0.25">
      <c r="A5466">
        <v>4141</v>
      </c>
      <c r="B5466">
        <v>18</v>
      </c>
      <c r="C5466" t="s">
        <v>946</v>
      </c>
      <c r="D5466" t="s">
        <v>990</v>
      </c>
      <c r="E5466" t="s">
        <v>255</v>
      </c>
      <c r="F5466" t="s">
        <v>948</v>
      </c>
      <c r="G5466">
        <v>1877777</v>
      </c>
      <c r="H5466">
        <v>501010</v>
      </c>
      <c r="I5466">
        <v>50</v>
      </c>
    </row>
    <row r="5467" spans="1:9" x14ac:dyDescent="0.25">
      <c r="A5467">
        <v>4220</v>
      </c>
      <c r="B5467">
        <v>18</v>
      </c>
      <c r="C5467" t="s">
        <v>946</v>
      </c>
      <c r="D5467" t="s">
        <v>990</v>
      </c>
      <c r="E5467" t="s">
        <v>255</v>
      </c>
      <c r="F5467" t="s">
        <v>948</v>
      </c>
      <c r="G5467">
        <v>1877777</v>
      </c>
      <c r="H5467">
        <v>500220</v>
      </c>
      <c r="I5467" t="s">
        <v>949</v>
      </c>
    </row>
    <row r="5468" spans="1:9" x14ac:dyDescent="0.25">
      <c r="A5468">
        <v>4230</v>
      </c>
      <c r="B5468">
        <v>18</v>
      </c>
      <c r="C5468" t="s">
        <v>946</v>
      </c>
      <c r="D5468" t="s">
        <v>990</v>
      </c>
      <c r="E5468" t="s">
        <v>255</v>
      </c>
      <c r="F5468" t="s">
        <v>948</v>
      </c>
      <c r="G5468">
        <v>1899999</v>
      </c>
      <c r="H5468">
        <v>403075</v>
      </c>
      <c r="I5468">
        <v>50</v>
      </c>
    </row>
    <row r="5469" spans="1:9" x14ac:dyDescent="0.25">
      <c r="A5469">
        <v>4240</v>
      </c>
      <c r="B5469">
        <v>18</v>
      </c>
      <c r="C5469" t="s">
        <v>946</v>
      </c>
      <c r="D5469" t="s">
        <v>990</v>
      </c>
      <c r="E5469" t="s">
        <v>255</v>
      </c>
      <c r="F5469" t="s">
        <v>948</v>
      </c>
      <c r="G5469">
        <v>1877777</v>
      </c>
      <c r="H5469">
        <v>500221</v>
      </c>
      <c r="I5469" t="s">
        <v>949</v>
      </c>
    </row>
    <row r="5470" spans="1:9" x14ac:dyDescent="0.25">
      <c r="A5470">
        <v>4141</v>
      </c>
      <c r="B5470">
        <v>18</v>
      </c>
      <c r="C5470" t="s">
        <v>946</v>
      </c>
      <c r="D5470" t="s">
        <v>990</v>
      </c>
      <c r="E5470" t="s">
        <v>971</v>
      </c>
      <c r="F5470" t="s">
        <v>948</v>
      </c>
      <c r="G5470">
        <v>1877777</v>
      </c>
      <c r="H5470">
        <v>501010</v>
      </c>
      <c r="I5470">
        <v>50</v>
      </c>
    </row>
    <row r="5471" spans="1:9" x14ac:dyDescent="0.25">
      <c r="A5471">
        <v>4220</v>
      </c>
      <c r="B5471">
        <v>18</v>
      </c>
      <c r="C5471" t="s">
        <v>946</v>
      </c>
      <c r="D5471" t="s">
        <v>990</v>
      </c>
      <c r="E5471" t="s">
        <v>971</v>
      </c>
      <c r="F5471" t="s">
        <v>948</v>
      </c>
      <c r="G5471">
        <v>1877777</v>
      </c>
      <c r="H5471">
        <v>500220</v>
      </c>
      <c r="I5471" t="s">
        <v>949</v>
      </c>
    </row>
    <row r="5472" spans="1:9" x14ac:dyDescent="0.25">
      <c r="A5472">
        <v>4230</v>
      </c>
      <c r="B5472">
        <v>18</v>
      </c>
      <c r="C5472" t="s">
        <v>946</v>
      </c>
      <c r="D5472" t="s">
        <v>990</v>
      </c>
      <c r="E5472" t="s">
        <v>971</v>
      </c>
      <c r="F5472" t="s">
        <v>948</v>
      </c>
      <c r="G5472">
        <v>1899999</v>
      </c>
      <c r="H5472">
        <v>403915</v>
      </c>
      <c r="I5472">
        <v>50</v>
      </c>
    </row>
    <row r="5473" spans="1:9" x14ac:dyDescent="0.25">
      <c r="A5473">
        <v>4240</v>
      </c>
      <c r="B5473">
        <v>18</v>
      </c>
      <c r="C5473" t="s">
        <v>946</v>
      </c>
      <c r="D5473" t="s">
        <v>990</v>
      </c>
      <c r="E5473" t="s">
        <v>971</v>
      </c>
      <c r="F5473" t="s">
        <v>948</v>
      </c>
      <c r="G5473">
        <v>1877777</v>
      </c>
      <c r="H5473">
        <v>500221</v>
      </c>
      <c r="I5473" t="s">
        <v>949</v>
      </c>
    </row>
    <row r="5474" spans="1:9" x14ac:dyDescent="0.25">
      <c r="A5474">
        <v>4230</v>
      </c>
      <c r="B5474">
        <v>18</v>
      </c>
      <c r="C5474" t="s">
        <v>946</v>
      </c>
      <c r="D5474" t="s">
        <v>990</v>
      </c>
      <c r="E5474" t="s">
        <v>259</v>
      </c>
      <c r="F5474" t="s">
        <v>948</v>
      </c>
      <c r="G5474">
        <v>1899999</v>
      </c>
      <c r="H5474">
        <v>409005</v>
      </c>
      <c r="I5474">
        <v>50</v>
      </c>
    </row>
    <row r="5475" spans="1:9" x14ac:dyDescent="0.25">
      <c r="A5475">
        <v>4141</v>
      </c>
      <c r="B5475">
        <v>18</v>
      </c>
      <c r="C5475" t="s">
        <v>946</v>
      </c>
      <c r="D5475" t="s">
        <v>990</v>
      </c>
      <c r="E5475" t="s">
        <v>263</v>
      </c>
      <c r="F5475" t="s">
        <v>948</v>
      </c>
      <c r="G5475">
        <v>1877777</v>
      </c>
      <c r="H5475">
        <v>501010</v>
      </c>
      <c r="I5475">
        <v>50</v>
      </c>
    </row>
    <row r="5476" spans="1:9" x14ac:dyDescent="0.25">
      <c r="A5476">
        <v>4220</v>
      </c>
      <c r="B5476">
        <v>18</v>
      </c>
      <c r="C5476" t="s">
        <v>946</v>
      </c>
      <c r="D5476" t="s">
        <v>990</v>
      </c>
      <c r="E5476" t="s">
        <v>263</v>
      </c>
      <c r="F5476" t="s">
        <v>948</v>
      </c>
      <c r="G5476">
        <v>1877777</v>
      </c>
      <c r="H5476">
        <v>500220</v>
      </c>
      <c r="I5476" t="s">
        <v>949</v>
      </c>
    </row>
    <row r="5477" spans="1:9" x14ac:dyDescent="0.25">
      <c r="A5477">
        <v>4230</v>
      </c>
      <c r="B5477">
        <v>18</v>
      </c>
      <c r="C5477" t="s">
        <v>946</v>
      </c>
      <c r="D5477" t="s">
        <v>990</v>
      </c>
      <c r="E5477" t="s">
        <v>263</v>
      </c>
      <c r="F5477" t="s">
        <v>948</v>
      </c>
      <c r="G5477">
        <v>1899999</v>
      </c>
      <c r="H5477">
        <v>403045</v>
      </c>
      <c r="I5477">
        <v>50</v>
      </c>
    </row>
    <row r="5478" spans="1:9" x14ac:dyDescent="0.25">
      <c r="A5478">
        <v>4240</v>
      </c>
      <c r="B5478">
        <v>18</v>
      </c>
      <c r="C5478" t="s">
        <v>946</v>
      </c>
      <c r="D5478" t="s">
        <v>990</v>
      </c>
      <c r="E5478" t="s">
        <v>263</v>
      </c>
      <c r="F5478" t="s">
        <v>948</v>
      </c>
      <c r="G5478">
        <v>1877777</v>
      </c>
      <c r="H5478">
        <v>500221</v>
      </c>
      <c r="I5478" t="s">
        <v>949</v>
      </c>
    </row>
    <row r="5479" spans="1:9" x14ac:dyDescent="0.25">
      <c r="A5479">
        <v>4141</v>
      </c>
      <c r="B5479">
        <v>18</v>
      </c>
      <c r="C5479" t="s">
        <v>946</v>
      </c>
      <c r="D5479" t="s">
        <v>990</v>
      </c>
      <c r="E5479" t="s">
        <v>100</v>
      </c>
      <c r="F5479" t="s">
        <v>948</v>
      </c>
      <c r="G5479">
        <v>1877777</v>
      </c>
      <c r="H5479">
        <v>500220</v>
      </c>
      <c r="I5479" t="s">
        <v>949</v>
      </c>
    </row>
    <row r="5480" spans="1:9" x14ac:dyDescent="0.25">
      <c r="A5480">
        <v>4220</v>
      </c>
      <c r="B5480">
        <v>18</v>
      </c>
      <c r="C5480" t="s">
        <v>946</v>
      </c>
      <c r="D5480" t="s">
        <v>990</v>
      </c>
      <c r="E5480" t="s">
        <v>100</v>
      </c>
      <c r="F5480" t="s">
        <v>948</v>
      </c>
      <c r="G5480">
        <v>1877777</v>
      </c>
      <c r="H5480">
        <v>500220</v>
      </c>
      <c r="I5480" t="s">
        <v>949</v>
      </c>
    </row>
    <row r="5481" spans="1:9" x14ac:dyDescent="0.25">
      <c r="A5481">
        <v>4230</v>
      </c>
      <c r="B5481">
        <v>18</v>
      </c>
      <c r="C5481" t="s">
        <v>946</v>
      </c>
      <c r="D5481" t="s">
        <v>990</v>
      </c>
      <c r="E5481" t="s">
        <v>100</v>
      </c>
      <c r="F5481" t="s">
        <v>948</v>
      </c>
      <c r="G5481">
        <v>1899999</v>
      </c>
      <c r="H5481">
        <v>403045</v>
      </c>
      <c r="I5481">
        <v>50</v>
      </c>
    </row>
    <row r="5482" spans="1:9" x14ac:dyDescent="0.25">
      <c r="A5482">
        <v>4240</v>
      </c>
      <c r="B5482">
        <v>18</v>
      </c>
      <c r="C5482" t="s">
        <v>946</v>
      </c>
      <c r="D5482" t="s">
        <v>990</v>
      </c>
      <c r="E5482" t="s">
        <v>100</v>
      </c>
      <c r="F5482" t="s">
        <v>948</v>
      </c>
      <c r="G5482">
        <v>1877777</v>
      </c>
      <c r="H5482">
        <v>500221</v>
      </c>
      <c r="I5482" t="s">
        <v>949</v>
      </c>
    </row>
    <row r="5483" spans="1:9" x14ac:dyDescent="0.25">
      <c r="A5483">
        <v>4141</v>
      </c>
      <c r="B5483">
        <v>18</v>
      </c>
      <c r="C5483" t="s">
        <v>946</v>
      </c>
      <c r="D5483" t="s">
        <v>990</v>
      </c>
      <c r="E5483" t="s">
        <v>270</v>
      </c>
      <c r="F5483" t="s">
        <v>948</v>
      </c>
      <c r="G5483">
        <v>1877777</v>
      </c>
      <c r="H5483">
        <v>501010</v>
      </c>
      <c r="I5483">
        <v>50</v>
      </c>
    </row>
    <row r="5484" spans="1:9" x14ac:dyDescent="0.25">
      <c r="A5484">
        <v>4220</v>
      </c>
      <c r="B5484">
        <v>18</v>
      </c>
      <c r="C5484" t="s">
        <v>946</v>
      </c>
      <c r="D5484" t="s">
        <v>990</v>
      </c>
      <c r="E5484" t="s">
        <v>270</v>
      </c>
      <c r="F5484" t="s">
        <v>948</v>
      </c>
      <c r="G5484">
        <v>1877777</v>
      </c>
      <c r="H5484">
        <v>500220</v>
      </c>
      <c r="I5484" t="s">
        <v>949</v>
      </c>
    </row>
    <row r="5485" spans="1:9" x14ac:dyDescent="0.25">
      <c r="A5485">
        <v>4230</v>
      </c>
      <c r="B5485">
        <v>18</v>
      </c>
      <c r="C5485" t="s">
        <v>946</v>
      </c>
      <c r="D5485" t="s">
        <v>990</v>
      </c>
      <c r="E5485" t="s">
        <v>270</v>
      </c>
      <c r="F5485" t="s">
        <v>948</v>
      </c>
      <c r="G5485">
        <v>1899999</v>
      </c>
      <c r="H5485">
        <v>403065</v>
      </c>
      <c r="I5485">
        <v>50</v>
      </c>
    </row>
    <row r="5486" spans="1:9" x14ac:dyDescent="0.25">
      <c r="A5486">
        <v>4240</v>
      </c>
      <c r="B5486">
        <v>18</v>
      </c>
      <c r="C5486" t="s">
        <v>946</v>
      </c>
      <c r="D5486" t="s">
        <v>990</v>
      </c>
      <c r="E5486" t="s">
        <v>270</v>
      </c>
      <c r="F5486" t="s">
        <v>948</v>
      </c>
      <c r="G5486">
        <v>1877777</v>
      </c>
      <c r="H5486">
        <v>500221</v>
      </c>
      <c r="I5486" t="s">
        <v>949</v>
      </c>
    </row>
    <row r="5487" spans="1:9" x14ac:dyDescent="0.25">
      <c r="A5487">
        <v>4141</v>
      </c>
      <c r="B5487">
        <v>18</v>
      </c>
      <c r="C5487" t="s">
        <v>946</v>
      </c>
      <c r="D5487" t="s">
        <v>990</v>
      </c>
      <c r="E5487" t="s">
        <v>274</v>
      </c>
      <c r="F5487" t="s">
        <v>948</v>
      </c>
      <c r="G5487">
        <v>1877777</v>
      </c>
      <c r="H5487">
        <v>501010</v>
      </c>
      <c r="I5487">
        <v>50</v>
      </c>
    </row>
    <row r="5488" spans="1:9" x14ac:dyDescent="0.25">
      <c r="A5488">
        <v>4220</v>
      </c>
      <c r="B5488">
        <v>18</v>
      </c>
      <c r="C5488" t="s">
        <v>946</v>
      </c>
      <c r="D5488" t="s">
        <v>990</v>
      </c>
      <c r="E5488" t="s">
        <v>274</v>
      </c>
      <c r="F5488" t="s">
        <v>948</v>
      </c>
      <c r="G5488">
        <v>1877777</v>
      </c>
      <c r="H5488">
        <v>500220</v>
      </c>
      <c r="I5488" t="s">
        <v>949</v>
      </c>
    </row>
    <row r="5489" spans="1:9" x14ac:dyDescent="0.25">
      <c r="A5489">
        <v>4230</v>
      </c>
      <c r="B5489">
        <v>18</v>
      </c>
      <c r="C5489" t="s">
        <v>946</v>
      </c>
      <c r="D5489" t="s">
        <v>990</v>
      </c>
      <c r="E5489" t="s">
        <v>274</v>
      </c>
      <c r="F5489" t="s">
        <v>948</v>
      </c>
      <c r="G5489">
        <v>1899999</v>
      </c>
      <c r="H5489">
        <v>403045</v>
      </c>
      <c r="I5489">
        <v>50</v>
      </c>
    </row>
    <row r="5490" spans="1:9" x14ac:dyDescent="0.25">
      <c r="A5490">
        <v>4240</v>
      </c>
      <c r="B5490">
        <v>18</v>
      </c>
      <c r="C5490" t="s">
        <v>946</v>
      </c>
      <c r="D5490" t="s">
        <v>990</v>
      </c>
      <c r="E5490" t="s">
        <v>274</v>
      </c>
      <c r="F5490" t="s">
        <v>948</v>
      </c>
      <c r="G5490">
        <v>1877777</v>
      </c>
      <c r="H5490">
        <v>500221</v>
      </c>
      <c r="I5490" t="s">
        <v>949</v>
      </c>
    </row>
    <row r="5491" spans="1:9" x14ac:dyDescent="0.25">
      <c r="A5491">
        <v>4141</v>
      </c>
      <c r="B5491">
        <v>18</v>
      </c>
      <c r="C5491" t="s">
        <v>946</v>
      </c>
      <c r="D5491" t="s">
        <v>990</v>
      </c>
      <c r="E5491" t="s">
        <v>974</v>
      </c>
      <c r="F5491" t="s">
        <v>948</v>
      </c>
      <c r="G5491">
        <v>1877777</v>
      </c>
      <c r="H5491">
        <v>501010</v>
      </c>
      <c r="I5491">
        <v>50</v>
      </c>
    </row>
    <row r="5492" spans="1:9" x14ac:dyDescent="0.25">
      <c r="A5492">
        <v>4220</v>
      </c>
      <c r="B5492">
        <v>18</v>
      </c>
      <c r="C5492" t="s">
        <v>946</v>
      </c>
      <c r="D5492" t="s">
        <v>990</v>
      </c>
      <c r="E5492" t="s">
        <v>974</v>
      </c>
      <c r="F5492" t="s">
        <v>948</v>
      </c>
      <c r="G5492">
        <v>1877777</v>
      </c>
      <c r="H5492">
        <v>500220</v>
      </c>
      <c r="I5492" t="s">
        <v>949</v>
      </c>
    </row>
    <row r="5493" spans="1:9" x14ac:dyDescent="0.25">
      <c r="A5493">
        <v>4230</v>
      </c>
      <c r="B5493">
        <v>18</v>
      </c>
      <c r="C5493" t="s">
        <v>946</v>
      </c>
      <c r="D5493" t="s">
        <v>990</v>
      </c>
      <c r="E5493" t="s">
        <v>974</v>
      </c>
      <c r="F5493" t="s">
        <v>948</v>
      </c>
      <c r="G5493">
        <v>1899999</v>
      </c>
      <c r="H5493">
        <v>403915</v>
      </c>
      <c r="I5493">
        <v>50</v>
      </c>
    </row>
    <row r="5494" spans="1:9" x14ac:dyDescent="0.25">
      <c r="A5494">
        <v>4240</v>
      </c>
      <c r="B5494">
        <v>18</v>
      </c>
      <c r="C5494" t="s">
        <v>946</v>
      </c>
      <c r="D5494" t="s">
        <v>990</v>
      </c>
      <c r="E5494" t="s">
        <v>974</v>
      </c>
      <c r="F5494" t="s">
        <v>948</v>
      </c>
      <c r="G5494">
        <v>1877777</v>
      </c>
      <c r="H5494">
        <v>500221</v>
      </c>
      <c r="I5494" t="s">
        <v>949</v>
      </c>
    </row>
    <row r="5495" spans="1:9" x14ac:dyDescent="0.25">
      <c r="A5495">
        <v>4141</v>
      </c>
      <c r="B5495">
        <v>18</v>
      </c>
      <c r="C5495" t="s">
        <v>946</v>
      </c>
      <c r="D5495" t="s">
        <v>990</v>
      </c>
      <c r="E5495" t="s">
        <v>104</v>
      </c>
      <c r="F5495" t="s">
        <v>948</v>
      </c>
      <c r="G5495">
        <v>1877777</v>
      </c>
      <c r="H5495">
        <v>500220</v>
      </c>
      <c r="I5495" t="s">
        <v>949</v>
      </c>
    </row>
    <row r="5496" spans="1:9" x14ac:dyDescent="0.25">
      <c r="A5496">
        <v>4220</v>
      </c>
      <c r="B5496">
        <v>18</v>
      </c>
      <c r="C5496" t="s">
        <v>946</v>
      </c>
      <c r="D5496" t="s">
        <v>990</v>
      </c>
      <c r="E5496" t="s">
        <v>104</v>
      </c>
      <c r="F5496" t="s">
        <v>948</v>
      </c>
      <c r="G5496">
        <v>1877777</v>
      </c>
      <c r="H5496">
        <v>500220</v>
      </c>
      <c r="I5496" t="s">
        <v>949</v>
      </c>
    </row>
    <row r="5497" spans="1:9" x14ac:dyDescent="0.25">
      <c r="A5497">
        <v>4230</v>
      </c>
      <c r="B5497">
        <v>18</v>
      </c>
      <c r="C5497" t="s">
        <v>946</v>
      </c>
      <c r="D5497" t="s">
        <v>990</v>
      </c>
      <c r="E5497" t="s">
        <v>104</v>
      </c>
      <c r="F5497" t="s">
        <v>948</v>
      </c>
      <c r="G5497">
        <v>1899999</v>
      </c>
      <c r="H5497">
        <v>403045</v>
      </c>
      <c r="I5497">
        <v>50</v>
      </c>
    </row>
    <row r="5498" spans="1:9" x14ac:dyDescent="0.25">
      <c r="A5498">
        <v>4240</v>
      </c>
      <c r="B5498">
        <v>18</v>
      </c>
      <c r="C5498" t="s">
        <v>946</v>
      </c>
      <c r="D5498" t="s">
        <v>990</v>
      </c>
      <c r="E5498" t="s">
        <v>104</v>
      </c>
      <c r="F5498" t="s">
        <v>948</v>
      </c>
      <c r="G5498">
        <v>1877777</v>
      </c>
      <c r="H5498">
        <v>500221</v>
      </c>
      <c r="I5498" t="s">
        <v>949</v>
      </c>
    </row>
    <row r="5499" spans="1:9" x14ac:dyDescent="0.25">
      <c r="A5499">
        <v>4141</v>
      </c>
      <c r="B5499">
        <v>18</v>
      </c>
      <c r="C5499" t="s">
        <v>946</v>
      </c>
      <c r="D5499" t="s">
        <v>990</v>
      </c>
      <c r="E5499" t="s">
        <v>278</v>
      </c>
      <c r="F5499" t="s">
        <v>948</v>
      </c>
      <c r="G5499">
        <v>1877777</v>
      </c>
      <c r="H5499">
        <v>501010</v>
      </c>
      <c r="I5499">
        <v>50</v>
      </c>
    </row>
    <row r="5500" spans="1:9" x14ac:dyDescent="0.25">
      <c r="A5500">
        <v>4220</v>
      </c>
      <c r="B5500">
        <v>18</v>
      </c>
      <c r="C5500" t="s">
        <v>946</v>
      </c>
      <c r="D5500" t="s">
        <v>990</v>
      </c>
      <c r="E5500" t="s">
        <v>278</v>
      </c>
      <c r="F5500" t="s">
        <v>948</v>
      </c>
      <c r="G5500">
        <v>1877777</v>
      </c>
      <c r="H5500">
        <v>500220</v>
      </c>
      <c r="I5500" t="s">
        <v>949</v>
      </c>
    </row>
    <row r="5501" spans="1:9" x14ac:dyDescent="0.25">
      <c r="A5501">
        <v>4230</v>
      </c>
      <c r="B5501">
        <v>18</v>
      </c>
      <c r="C5501" t="s">
        <v>946</v>
      </c>
      <c r="D5501" t="s">
        <v>990</v>
      </c>
      <c r="E5501" t="s">
        <v>278</v>
      </c>
      <c r="F5501" t="s">
        <v>948</v>
      </c>
      <c r="G5501">
        <v>1899999</v>
      </c>
      <c r="H5501">
        <v>403055</v>
      </c>
      <c r="I5501">
        <v>50</v>
      </c>
    </row>
    <row r="5502" spans="1:9" x14ac:dyDescent="0.25">
      <c r="A5502">
        <v>4240</v>
      </c>
      <c r="B5502">
        <v>18</v>
      </c>
      <c r="C5502" t="s">
        <v>946</v>
      </c>
      <c r="D5502" t="s">
        <v>990</v>
      </c>
      <c r="E5502" t="s">
        <v>278</v>
      </c>
      <c r="F5502" t="s">
        <v>948</v>
      </c>
      <c r="G5502">
        <v>1877777</v>
      </c>
      <c r="H5502">
        <v>500221</v>
      </c>
      <c r="I5502" t="s">
        <v>949</v>
      </c>
    </row>
    <row r="5503" spans="1:9" x14ac:dyDescent="0.25">
      <c r="A5503">
        <v>4141</v>
      </c>
      <c r="B5503">
        <v>18</v>
      </c>
      <c r="C5503" t="s">
        <v>946</v>
      </c>
      <c r="D5503" t="s">
        <v>990</v>
      </c>
      <c r="E5503" t="s">
        <v>282</v>
      </c>
      <c r="F5503" t="s">
        <v>948</v>
      </c>
      <c r="G5503">
        <v>1877777</v>
      </c>
      <c r="H5503">
        <v>501010</v>
      </c>
      <c r="I5503">
        <v>50</v>
      </c>
    </row>
    <row r="5504" spans="1:9" x14ac:dyDescent="0.25">
      <c r="A5504">
        <v>4220</v>
      </c>
      <c r="B5504">
        <v>18</v>
      </c>
      <c r="C5504" t="s">
        <v>946</v>
      </c>
      <c r="D5504" t="s">
        <v>990</v>
      </c>
      <c r="E5504" t="s">
        <v>282</v>
      </c>
      <c r="F5504" t="s">
        <v>948</v>
      </c>
      <c r="G5504">
        <v>1877777</v>
      </c>
      <c r="H5504">
        <v>500220</v>
      </c>
      <c r="I5504" t="s">
        <v>949</v>
      </c>
    </row>
    <row r="5505" spans="1:9" x14ac:dyDescent="0.25">
      <c r="A5505">
        <v>4230</v>
      </c>
      <c r="B5505">
        <v>18</v>
      </c>
      <c r="C5505" t="s">
        <v>946</v>
      </c>
      <c r="D5505" t="s">
        <v>990</v>
      </c>
      <c r="E5505" t="s">
        <v>282</v>
      </c>
      <c r="F5505" t="s">
        <v>948</v>
      </c>
      <c r="G5505">
        <v>1899999</v>
      </c>
      <c r="H5505">
        <v>403045</v>
      </c>
      <c r="I5505">
        <v>50</v>
      </c>
    </row>
    <row r="5506" spans="1:9" x14ac:dyDescent="0.25">
      <c r="A5506">
        <v>4240</v>
      </c>
      <c r="B5506">
        <v>18</v>
      </c>
      <c r="C5506" t="s">
        <v>946</v>
      </c>
      <c r="D5506" t="s">
        <v>990</v>
      </c>
      <c r="E5506" t="s">
        <v>282</v>
      </c>
      <c r="F5506" t="s">
        <v>948</v>
      </c>
      <c r="G5506">
        <v>1877777</v>
      </c>
      <c r="H5506">
        <v>500221</v>
      </c>
      <c r="I5506" t="s">
        <v>949</v>
      </c>
    </row>
    <row r="5507" spans="1:9" x14ac:dyDescent="0.25">
      <c r="A5507">
        <v>4141</v>
      </c>
      <c r="B5507">
        <v>18</v>
      </c>
      <c r="C5507" t="s">
        <v>946</v>
      </c>
      <c r="D5507" t="s">
        <v>990</v>
      </c>
      <c r="E5507" t="s">
        <v>286</v>
      </c>
      <c r="F5507" t="s">
        <v>948</v>
      </c>
      <c r="G5507">
        <v>1877777</v>
      </c>
      <c r="H5507">
        <v>501010</v>
      </c>
      <c r="I5507">
        <v>50</v>
      </c>
    </row>
    <row r="5508" spans="1:9" x14ac:dyDescent="0.25">
      <c r="A5508">
        <v>4220</v>
      </c>
      <c r="B5508">
        <v>18</v>
      </c>
      <c r="C5508" t="s">
        <v>946</v>
      </c>
      <c r="D5508" t="s">
        <v>990</v>
      </c>
      <c r="E5508" t="s">
        <v>286</v>
      </c>
      <c r="F5508" t="s">
        <v>948</v>
      </c>
      <c r="G5508">
        <v>1877777</v>
      </c>
      <c r="H5508">
        <v>500220</v>
      </c>
      <c r="I5508" t="s">
        <v>949</v>
      </c>
    </row>
    <row r="5509" spans="1:9" x14ac:dyDescent="0.25">
      <c r="A5509">
        <v>4230</v>
      </c>
      <c r="B5509">
        <v>18</v>
      </c>
      <c r="C5509" t="s">
        <v>946</v>
      </c>
      <c r="D5509" t="s">
        <v>990</v>
      </c>
      <c r="E5509" t="s">
        <v>286</v>
      </c>
      <c r="F5509" t="s">
        <v>948</v>
      </c>
      <c r="G5509">
        <v>1899999</v>
      </c>
      <c r="H5509">
        <v>403035</v>
      </c>
      <c r="I5509">
        <v>50</v>
      </c>
    </row>
    <row r="5510" spans="1:9" x14ac:dyDescent="0.25">
      <c r="A5510">
        <v>4240</v>
      </c>
      <c r="B5510">
        <v>18</v>
      </c>
      <c r="C5510" t="s">
        <v>946</v>
      </c>
      <c r="D5510" t="s">
        <v>990</v>
      </c>
      <c r="E5510" t="s">
        <v>286</v>
      </c>
      <c r="F5510" t="s">
        <v>948</v>
      </c>
      <c r="G5510">
        <v>1877777</v>
      </c>
      <c r="H5510">
        <v>500221</v>
      </c>
      <c r="I5510" t="s">
        <v>949</v>
      </c>
    </row>
    <row r="5511" spans="1:9" x14ac:dyDescent="0.25">
      <c r="A5511">
        <v>4141</v>
      </c>
      <c r="B5511">
        <v>18</v>
      </c>
      <c r="C5511" t="s">
        <v>946</v>
      </c>
      <c r="D5511" t="s">
        <v>990</v>
      </c>
      <c r="E5511" t="s">
        <v>976</v>
      </c>
      <c r="F5511" t="s">
        <v>948</v>
      </c>
      <c r="G5511">
        <v>1877777</v>
      </c>
      <c r="H5511">
        <v>501010</v>
      </c>
      <c r="I5511">
        <v>50</v>
      </c>
    </row>
    <row r="5512" spans="1:9" x14ac:dyDescent="0.25">
      <c r="A5512">
        <v>4220</v>
      </c>
      <c r="B5512">
        <v>18</v>
      </c>
      <c r="C5512" t="s">
        <v>946</v>
      </c>
      <c r="D5512" t="s">
        <v>990</v>
      </c>
      <c r="E5512" t="s">
        <v>976</v>
      </c>
      <c r="F5512" t="s">
        <v>948</v>
      </c>
      <c r="G5512">
        <v>1877777</v>
      </c>
      <c r="H5512">
        <v>500220</v>
      </c>
      <c r="I5512" t="s">
        <v>949</v>
      </c>
    </row>
    <row r="5513" spans="1:9" x14ac:dyDescent="0.25">
      <c r="A5513">
        <v>4230</v>
      </c>
      <c r="B5513">
        <v>18</v>
      </c>
      <c r="C5513" t="s">
        <v>946</v>
      </c>
      <c r="D5513" t="s">
        <v>990</v>
      </c>
      <c r="E5513" t="s">
        <v>976</v>
      </c>
      <c r="F5513" t="s">
        <v>948</v>
      </c>
      <c r="G5513">
        <v>1899999</v>
      </c>
      <c r="H5513">
        <v>403915</v>
      </c>
      <c r="I5513">
        <v>50</v>
      </c>
    </row>
    <row r="5514" spans="1:9" x14ac:dyDescent="0.25">
      <c r="A5514">
        <v>4240</v>
      </c>
      <c r="B5514">
        <v>18</v>
      </c>
      <c r="C5514" t="s">
        <v>946</v>
      </c>
      <c r="D5514" t="s">
        <v>990</v>
      </c>
      <c r="E5514" t="s">
        <v>976</v>
      </c>
      <c r="F5514" t="s">
        <v>948</v>
      </c>
      <c r="G5514">
        <v>1877777</v>
      </c>
      <c r="H5514">
        <v>500221</v>
      </c>
      <c r="I5514" t="s">
        <v>949</v>
      </c>
    </row>
    <row r="5515" spans="1:9" x14ac:dyDescent="0.25">
      <c r="A5515">
        <v>4141</v>
      </c>
      <c r="B5515">
        <v>18</v>
      </c>
      <c r="C5515" t="s">
        <v>946</v>
      </c>
      <c r="D5515" t="s">
        <v>990</v>
      </c>
      <c r="E5515" t="s">
        <v>290</v>
      </c>
      <c r="F5515" t="s">
        <v>948</v>
      </c>
      <c r="G5515">
        <v>1877777</v>
      </c>
      <c r="H5515">
        <v>501010</v>
      </c>
      <c r="I5515">
        <v>50</v>
      </c>
    </row>
    <row r="5516" spans="1:9" x14ac:dyDescent="0.25">
      <c r="A5516">
        <v>4220</v>
      </c>
      <c r="B5516">
        <v>18</v>
      </c>
      <c r="C5516" t="s">
        <v>946</v>
      </c>
      <c r="D5516" t="s">
        <v>990</v>
      </c>
      <c r="E5516" t="s">
        <v>290</v>
      </c>
      <c r="F5516" t="s">
        <v>948</v>
      </c>
      <c r="G5516">
        <v>1877777</v>
      </c>
      <c r="H5516">
        <v>500220</v>
      </c>
      <c r="I5516" t="s">
        <v>949</v>
      </c>
    </row>
    <row r="5517" spans="1:9" x14ac:dyDescent="0.25">
      <c r="A5517">
        <v>4230</v>
      </c>
      <c r="B5517">
        <v>18</v>
      </c>
      <c r="C5517" t="s">
        <v>946</v>
      </c>
      <c r="D5517" t="s">
        <v>990</v>
      </c>
      <c r="E5517" t="s">
        <v>290</v>
      </c>
      <c r="F5517" t="s">
        <v>948</v>
      </c>
      <c r="G5517">
        <v>1899999</v>
      </c>
      <c r="H5517">
        <v>403045</v>
      </c>
      <c r="I5517">
        <v>50</v>
      </c>
    </row>
    <row r="5518" spans="1:9" x14ac:dyDescent="0.25">
      <c r="A5518">
        <v>4240</v>
      </c>
      <c r="B5518">
        <v>18</v>
      </c>
      <c r="C5518" t="s">
        <v>946</v>
      </c>
      <c r="D5518" t="s">
        <v>990</v>
      </c>
      <c r="E5518" t="s">
        <v>290</v>
      </c>
      <c r="F5518" t="s">
        <v>948</v>
      </c>
      <c r="G5518">
        <v>1877777</v>
      </c>
      <c r="H5518">
        <v>500221</v>
      </c>
      <c r="I5518" t="s">
        <v>949</v>
      </c>
    </row>
    <row r="5519" spans="1:9" x14ac:dyDescent="0.25">
      <c r="A5519">
        <v>4141</v>
      </c>
      <c r="B5519">
        <v>18</v>
      </c>
      <c r="C5519" t="s">
        <v>946</v>
      </c>
      <c r="D5519" t="s">
        <v>990</v>
      </c>
      <c r="E5519" t="s">
        <v>294</v>
      </c>
      <c r="F5519" t="s">
        <v>948</v>
      </c>
      <c r="G5519">
        <v>1877777</v>
      </c>
      <c r="H5519">
        <v>501010</v>
      </c>
      <c r="I5519">
        <v>50</v>
      </c>
    </row>
    <row r="5520" spans="1:9" x14ac:dyDescent="0.25">
      <c r="A5520">
        <v>4220</v>
      </c>
      <c r="B5520">
        <v>18</v>
      </c>
      <c r="C5520" t="s">
        <v>946</v>
      </c>
      <c r="D5520" t="s">
        <v>990</v>
      </c>
      <c r="E5520" t="s">
        <v>294</v>
      </c>
      <c r="F5520" t="s">
        <v>948</v>
      </c>
      <c r="G5520">
        <v>1877777</v>
      </c>
      <c r="H5520">
        <v>500220</v>
      </c>
      <c r="I5520" t="s">
        <v>949</v>
      </c>
    </row>
    <row r="5521" spans="1:9" x14ac:dyDescent="0.25">
      <c r="A5521">
        <v>4230</v>
      </c>
      <c r="B5521">
        <v>18</v>
      </c>
      <c r="C5521" t="s">
        <v>946</v>
      </c>
      <c r="D5521" t="s">
        <v>990</v>
      </c>
      <c r="E5521" t="s">
        <v>294</v>
      </c>
      <c r="F5521" t="s">
        <v>948</v>
      </c>
      <c r="G5521">
        <v>1899999</v>
      </c>
      <c r="H5521">
        <v>403045</v>
      </c>
      <c r="I5521">
        <v>50</v>
      </c>
    </row>
    <row r="5522" spans="1:9" x14ac:dyDescent="0.25">
      <c r="A5522">
        <v>4240</v>
      </c>
      <c r="B5522">
        <v>18</v>
      </c>
      <c r="C5522" t="s">
        <v>946</v>
      </c>
      <c r="D5522" t="s">
        <v>990</v>
      </c>
      <c r="E5522" t="s">
        <v>294</v>
      </c>
      <c r="F5522" t="s">
        <v>948</v>
      </c>
      <c r="G5522">
        <v>1877777</v>
      </c>
      <c r="H5522">
        <v>500221</v>
      </c>
      <c r="I5522" t="s">
        <v>949</v>
      </c>
    </row>
    <row r="5523" spans="1:9" x14ac:dyDescent="0.25">
      <c r="A5523">
        <v>4230</v>
      </c>
      <c r="B5523">
        <v>18</v>
      </c>
      <c r="C5523" t="s">
        <v>946</v>
      </c>
      <c r="D5523" t="s">
        <v>990</v>
      </c>
      <c r="E5523" t="s">
        <v>298</v>
      </c>
      <c r="F5523" t="s">
        <v>948</v>
      </c>
      <c r="G5523">
        <v>1899999</v>
      </c>
      <c r="H5523">
        <v>403085</v>
      </c>
      <c r="I5523">
        <v>50</v>
      </c>
    </row>
    <row r="5524" spans="1:9" x14ac:dyDescent="0.25">
      <c r="A5524">
        <v>4141</v>
      </c>
      <c r="B5524">
        <v>18</v>
      </c>
      <c r="C5524" t="s">
        <v>946</v>
      </c>
      <c r="D5524" t="s">
        <v>990</v>
      </c>
      <c r="E5524" t="s">
        <v>980</v>
      </c>
      <c r="F5524" t="s">
        <v>948</v>
      </c>
      <c r="G5524">
        <v>1877777</v>
      </c>
      <c r="H5524">
        <v>501010</v>
      </c>
      <c r="I5524">
        <v>50</v>
      </c>
    </row>
    <row r="5525" spans="1:9" x14ac:dyDescent="0.25">
      <c r="A5525">
        <v>4220</v>
      </c>
      <c r="B5525">
        <v>18</v>
      </c>
      <c r="C5525" t="s">
        <v>946</v>
      </c>
      <c r="D5525" t="s">
        <v>990</v>
      </c>
      <c r="E5525" t="s">
        <v>980</v>
      </c>
      <c r="F5525" t="s">
        <v>948</v>
      </c>
      <c r="G5525">
        <v>1877777</v>
      </c>
      <c r="H5525">
        <v>500220</v>
      </c>
      <c r="I5525" t="s">
        <v>949</v>
      </c>
    </row>
    <row r="5526" spans="1:9" x14ac:dyDescent="0.25">
      <c r="A5526">
        <v>4230</v>
      </c>
      <c r="B5526">
        <v>18</v>
      </c>
      <c r="C5526" t="s">
        <v>946</v>
      </c>
      <c r="D5526" t="s">
        <v>990</v>
      </c>
      <c r="E5526" t="s">
        <v>980</v>
      </c>
      <c r="F5526" t="s">
        <v>948</v>
      </c>
      <c r="G5526">
        <v>1899999</v>
      </c>
      <c r="H5526">
        <v>403915</v>
      </c>
      <c r="I5526">
        <v>50</v>
      </c>
    </row>
    <row r="5527" spans="1:9" x14ac:dyDescent="0.25">
      <c r="A5527">
        <v>4240</v>
      </c>
      <c r="B5527">
        <v>18</v>
      </c>
      <c r="C5527" t="s">
        <v>946</v>
      </c>
      <c r="D5527" t="s">
        <v>990</v>
      </c>
      <c r="E5527" t="s">
        <v>980</v>
      </c>
      <c r="F5527" t="s">
        <v>948</v>
      </c>
      <c r="G5527">
        <v>1877777</v>
      </c>
      <c r="H5527">
        <v>500221</v>
      </c>
      <c r="I5527" t="s">
        <v>949</v>
      </c>
    </row>
    <row r="5528" spans="1:9" x14ac:dyDescent="0.25">
      <c r="A5528">
        <v>4141</v>
      </c>
      <c r="B5528">
        <v>18</v>
      </c>
      <c r="C5528" t="s">
        <v>946</v>
      </c>
      <c r="D5528" t="s">
        <v>990</v>
      </c>
      <c r="E5528" t="s">
        <v>302</v>
      </c>
      <c r="F5528" t="s">
        <v>948</v>
      </c>
      <c r="G5528">
        <v>1877777</v>
      </c>
      <c r="H5528">
        <v>501010</v>
      </c>
      <c r="I5528">
        <v>50</v>
      </c>
    </row>
    <row r="5529" spans="1:9" x14ac:dyDescent="0.25">
      <c r="A5529">
        <v>4220</v>
      </c>
      <c r="B5529">
        <v>18</v>
      </c>
      <c r="C5529" t="s">
        <v>946</v>
      </c>
      <c r="D5529" t="s">
        <v>990</v>
      </c>
      <c r="E5529" t="s">
        <v>302</v>
      </c>
      <c r="F5529" t="s">
        <v>948</v>
      </c>
      <c r="G5529">
        <v>1877777</v>
      </c>
      <c r="H5529">
        <v>500220</v>
      </c>
      <c r="I5529" t="s">
        <v>949</v>
      </c>
    </row>
    <row r="5530" spans="1:9" x14ac:dyDescent="0.25">
      <c r="A5530">
        <v>4230</v>
      </c>
      <c r="B5530">
        <v>18</v>
      </c>
      <c r="C5530" t="s">
        <v>946</v>
      </c>
      <c r="D5530" t="s">
        <v>990</v>
      </c>
      <c r="E5530" t="s">
        <v>302</v>
      </c>
      <c r="F5530" t="s">
        <v>948</v>
      </c>
      <c r="G5530">
        <v>1899999</v>
      </c>
      <c r="H5530">
        <v>401905</v>
      </c>
      <c r="I5530">
        <v>50</v>
      </c>
    </row>
    <row r="5531" spans="1:9" x14ac:dyDescent="0.25">
      <c r="A5531">
        <v>4240</v>
      </c>
      <c r="B5531">
        <v>18</v>
      </c>
      <c r="C5531" t="s">
        <v>946</v>
      </c>
      <c r="D5531" t="s">
        <v>990</v>
      </c>
      <c r="E5531" t="s">
        <v>302</v>
      </c>
      <c r="F5531" t="s">
        <v>948</v>
      </c>
      <c r="G5531">
        <v>1877777</v>
      </c>
      <c r="H5531">
        <v>500221</v>
      </c>
      <c r="I5531" t="s">
        <v>949</v>
      </c>
    </row>
    <row r="5532" spans="1:9" x14ac:dyDescent="0.25">
      <c r="A5532">
        <v>4141</v>
      </c>
      <c r="B5532">
        <v>18</v>
      </c>
      <c r="C5532" t="s">
        <v>946</v>
      </c>
      <c r="D5532" t="s">
        <v>990</v>
      </c>
      <c r="E5532" t="s">
        <v>306</v>
      </c>
      <c r="F5532" t="s">
        <v>948</v>
      </c>
      <c r="G5532">
        <v>1877777</v>
      </c>
      <c r="H5532">
        <v>501010</v>
      </c>
      <c r="I5532">
        <v>50</v>
      </c>
    </row>
    <row r="5533" spans="1:9" x14ac:dyDescent="0.25">
      <c r="A5533">
        <v>4220</v>
      </c>
      <c r="B5533">
        <v>18</v>
      </c>
      <c r="C5533" t="s">
        <v>946</v>
      </c>
      <c r="D5533" t="s">
        <v>990</v>
      </c>
      <c r="E5533" t="s">
        <v>306</v>
      </c>
      <c r="F5533" t="s">
        <v>948</v>
      </c>
      <c r="G5533">
        <v>1877777</v>
      </c>
      <c r="H5533">
        <v>500220</v>
      </c>
      <c r="I5533" t="s">
        <v>949</v>
      </c>
    </row>
    <row r="5534" spans="1:9" x14ac:dyDescent="0.25">
      <c r="A5534">
        <v>4230</v>
      </c>
      <c r="B5534">
        <v>18</v>
      </c>
      <c r="C5534" t="s">
        <v>946</v>
      </c>
      <c r="D5534" t="s">
        <v>990</v>
      </c>
      <c r="E5534" t="s">
        <v>306</v>
      </c>
      <c r="F5534" t="s">
        <v>948</v>
      </c>
      <c r="G5534">
        <v>1899999</v>
      </c>
      <c r="H5534">
        <v>403045</v>
      </c>
      <c r="I5534">
        <v>50</v>
      </c>
    </row>
    <row r="5535" spans="1:9" x14ac:dyDescent="0.25">
      <c r="A5535">
        <v>4240</v>
      </c>
      <c r="B5535">
        <v>18</v>
      </c>
      <c r="C5535" t="s">
        <v>946</v>
      </c>
      <c r="D5535" t="s">
        <v>990</v>
      </c>
      <c r="E5535" t="s">
        <v>306</v>
      </c>
      <c r="F5535" t="s">
        <v>948</v>
      </c>
      <c r="G5535">
        <v>1877777</v>
      </c>
      <c r="H5535">
        <v>500221</v>
      </c>
      <c r="I5535" t="s">
        <v>949</v>
      </c>
    </row>
    <row r="5536" spans="1:9" x14ac:dyDescent="0.25">
      <c r="A5536">
        <v>4141</v>
      </c>
      <c r="B5536">
        <v>18</v>
      </c>
      <c r="C5536" t="s">
        <v>946</v>
      </c>
      <c r="D5536" t="s">
        <v>990</v>
      </c>
      <c r="E5536" t="s">
        <v>108</v>
      </c>
      <c r="F5536" t="s">
        <v>948</v>
      </c>
      <c r="G5536">
        <v>1877777</v>
      </c>
      <c r="H5536">
        <v>500220</v>
      </c>
      <c r="I5536" t="s">
        <v>949</v>
      </c>
    </row>
    <row r="5537" spans="1:9" x14ac:dyDescent="0.25">
      <c r="A5537">
        <v>4220</v>
      </c>
      <c r="B5537">
        <v>18</v>
      </c>
      <c r="C5537" t="s">
        <v>946</v>
      </c>
      <c r="D5537" t="s">
        <v>990</v>
      </c>
      <c r="E5537" t="s">
        <v>108</v>
      </c>
      <c r="F5537" t="s">
        <v>948</v>
      </c>
      <c r="G5537">
        <v>1877777</v>
      </c>
      <c r="H5537">
        <v>500220</v>
      </c>
      <c r="I5537" t="s">
        <v>949</v>
      </c>
    </row>
    <row r="5538" spans="1:9" x14ac:dyDescent="0.25">
      <c r="A5538">
        <v>4230</v>
      </c>
      <c r="B5538">
        <v>18</v>
      </c>
      <c r="C5538" t="s">
        <v>946</v>
      </c>
      <c r="D5538" t="s">
        <v>990</v>
      </c>
      <c r="E5538" t="s">
        <v>108</v>
      </c>
      <c r="F5538" t="s">
        <v>948</v>
      </c>
      <c r="G5538">
        <v>1899999</v>
      </c>
      <c r="H5538">
        <v>403045</v>
      </c>
      <c r="I5538">
        <v>50</v>
      </c>
    </row>
    <row r="5539" spans="1:9" x14ac:dyDescent="0.25">
      <c r="A5539">
        <v>4240</v>
      </c>
      <c r="B5539">
        <v>18</v>
      </c>
      <c r="C5539" t="s">
        <v>946</v>
      </c>
      <c r="D5539" t="s">
        <v>990</v>
      </c>
      <c r="E5539" t="s">
        <v>108</v>
      </c>
      <c r="F5539" t="s">
        <v>948</v>
      </c>
      <c r="G5539">
        <v>1877777</v>
      </c>
      <c r="H5539">
        <v>500221</v>
      </c>
      <c r="I5539" t="s">
        <v>949</v>
      </c>
    </row>
    <row r="5540" spans="1:9" x14ac:dyDescent="0.25">
      <c r="A5540">
        <v>4141</v>
      </c>
      <c r="B5540">
        <v>18</v>
      </c>
      <c r="C5540" t="s">
        <v>946</v>
      </c>
      <c r="D5540" t="s">
        <v>990</v>
      </c>
      <c r="E5540" t="s">
        <v>310</v>
      </c>
      <c r="F5540" t="s">
        <v>948</v>
      </c>
      <c r="G5540">
        <v>1877777</v>
      </c>
      <c r="H5540">
        <v>501010</v>
      </c>
      <c r="I5540">
        <v>50</v>
      </c>
    </row>
    <row r="5541" spans="1:9" x14ac:dyDescent="0.25">
      <c r="A5541">
        <v>4220</v>
      </c>
      <c r="B5541">
        <v>18</v>
      </c>
      <c r="C5541" t="s">
        <v>946</v>
      </c>
      <c r="D5541" t="s">
        <v>990</v>
      </c>
      <c r="E5541" t="s">
        <v>310</v>
      </c>
      <c r="F5541" t="s">
        <v>948</v>
      </c>
      <c r="G5541">
        <v>1877777</v>
      </c>
      <c r="H5541">
        <v>500220</v>
      </c>
      <c r="I5541" t="s">
        <v>949</v>
      </c>
    </row>
    <row r="5542" spans="1:9" x14ac:dyDescent="0.25">
      <c r="A5542">
        <v>4230</v>
      </c>
      <c r="B5542">
        <v>18</v>
      </c>
      <c r="C5542" t="s">
        <v>946</v>
      </c>
      <c r="D5542" t="s">
        <v>990</v>
      </c>
      <c r="E5542" t="s">
        <v>310</v>
      </c>
      <c r="F5542" t="s">
        <v>948</v>
      </c>
      <c r="G5542">
        <v>1899999</v>
      </c>
      <c r="H5542">
        <v>403015</v>
      </c>
      <c r="I5542">
        <v>50</v>
      </c>
    </row>
    <row r="5543" spans="1:9" x14ac:dyDescent="0.25">
      <c r="A5543">
        <v>4240</v>
      </c>
      <c r="B5543">
        <v>18</v>
      </c>
      <c r="C5543" t="s">
        <v>946</v>
      </c>
      <c r="D5543" t="s">
        <v>990</v>
      </c>
      <c r="E5543" t="s">
        <v>310</v>
      </c>
      <c r="F5543" t="s">
        <v>948</v>
      </c>
      <c r="G5543">
        <v>1877777</v>
      </c>
      <c r="H5543">
        <v>500221</v>
      </c>
      <c r="I5543" t="s">
        <v>949</v>
      </c>
    </row>
    <row r="5544" spans="1:9" x14ac:dyDescent="0.25">
      <c r="A5544">
        <v>4141</v>
      </c>
      <c r="B5544">
        <v>18</v>
      </c>
      <c r="C5544" t="s">
        <v>946</v>
      </c>
      <c r="D5544" t="s">
        <v>990</v>
      </c>
      <c r="E5544" t="s">
        <v>314</v>
      </c>
      <c r="F5544" t="s">
        <v>948</v>
      </c>
      <c r="G5544">
        <v>1877777</v>
      </c>
      <c r="H5544">
        <v>501010</v>
      </c>
      <c r="I5544">
        <v>50</v>
      </c>
    </row>
    <row r="5545" spans="1:9" x14ac:dyDescent="0.25">
      <c r="A5545">
        <v>4220</v>
      </c>
      <c r="B5545">
        <v>18</v>
      </c>
      <c r="C5545" t="s">
        <v>946</v>
      </c>
      <c r="D5545" t="s">
        <v>990</v>
      </c>
      <c r="E5545" t="s">
        <v>314</v>
      </c>
      <c r="F5545" t="s">
        <v>948</v>
      </c>
      <c r="G5545">
        <v>1877777</v>
      </c>
      <c r="H5545">
        <v>500220</v>
      </c>
      <c r="I5545" t="s">
        <v>949</v>
      </c>
    </row>
    <row r="5546" spans="1:9" x14ac:dyDescent="0.25">
      <c r="A5546">
        <v>4230</v>
      </c>
      <c r="B5546">
        <v>18</v>
      </c>
      <c r="C5546" t="s">
        <v>946</v>
      </c>
      <c r="D5546" t="s">
        <v>990</v>
      </c>
      <c r="E5546" t="s">
        <v>314</v>
      </c>
      <c r="F5546" t="s">
        <v>948</v>
      </c>
      <c r="G5546">
        <v>1899999</v>
      </c>
      <c r="H5546">
        <v>403065</v>
      </c>
      <c r="I5546">
        <v>50</v>
      </c>
    </row>
    <row r="5547" spans="1:9" x14ac:dyDescent="0.25">
      <c r="A5547">
        <v>4240</v>
      </c>
      <c r="B5547">
        <v>18</v>
      </c>
      <c r="C5547" t="s">
        <v>946</v>
      </c>
      <c r="D5547" t="s">
        <v>990</v>
      </c>
      <c r="E5547" t="s">
        <v>314</v>
      </c>
      <c r="F5547" t="s">
        <v>948</v>
      </c>
      <c r="G5547">
        <v>1877777</v>
      </c>
      <c r="H5547">
        <v>500221</v>
      </c>
      <c r="I5547" t="s">
        <v>949</v>
      </c>
    </row>
    <row r="5548" spans="1:9" x14ac:dyDescent="0.25">
      <c r="A5548">
        <v>4141</v>
      </c>
      <c r="B5548">
        <v>18</v>
      </c>
      <c r="C5548" t="s">
        <v>946</v>
      </c>
      <c r="D5548" t="s">
        <v>990</v>
      </c>
      <c r="E5548" t="s">
        <v>113</v>
      </c>
      <c r="F5548" t="s">
        <v>948</v>
      </c>
      <c r="G5548">
        <v>1877777</v>
      </c>
      <c r="H5548">
        <v>500220</v>
      </c>
      <c r="I5548" t="s">
        <v>949</v>
      </c>
    </row>
    <row r="5549" spans="1:9" x14ac:dyDescent="0.25">
      <c r="A5549">
        <v>4220</v>
      </c>
      <c r="B5549">
        <v>18</v>
      </c>
      <c r="C5549" t="s">
        <v>946</v>
      </c>
      <c r="D5549" t="s">
        <v>990</v>
      </c>
      <c r="E5549" t="s">
        <v>113</v>
      </c>
      <c r="F5549" t="s">
        <v>948</v>
      </c>
      <c r="G5549">
        <v>1877777</v>
      </c>
      <c r="H5549">
        <v>500220</v>
      </c>
      <c r="I5549" t="s">
        <v>949</v>
      </c>
    </row>
    <row r="5550" spans="1:9" x14ac:dyDescent="0.25">
      <c r="A5550">
        <v>4230</v>
      </c>
      <c r="B5550">
        <v>18</v>
      </c>
      <c r="C5550" t="s">
        <v>946</v>
      </c>
      <c r="D5550" t="s">
        <v>990</v>
      </c>
      <c r="E5550" t="s">
        <v>113</v>
      </c>
      <c r="F5550" t="s">
        <v>948</v>
      </c>
      <c r="G5550">
        <v>1899999</v>
      </c>
      <c r="H5550">
        <v>403085</v>
      </c>
      <c r="I5550">
        <v>50</v>
      </c>
    </row>
    <row r="5551" spans="1:9" x14ac:dyDescent="0.25">
      <c r="A5551">
        <v>4240</v>
      </c>
      <c r="B5551">
        <v>18</v>
      </c>
      <c r="C5551" t="s">
        <v>946</v>
      </c>
      <c r="D5551" t="s">
        <v>990</v>
      </c>
      <c r="E5551" t="s">
        <v>113</v>
      </c>
      <c r="F5551" t="s">
        <v>948</v>
      </c>
      <c r="G5551">
        <v>1877777</v>
      </c>
      <c r="H5551">
        <v>500221</v>
      </c>
      <c r="I5551" t="s">
        <v>949</v>
      </c>
    </row>
    <row r="5552" spans="1:9" x14ac:dyDescent="0.25">
      <c r="A5552">
        <v>4141</v>
      </c>
      <c r="B5552">
        <v>18</v>
      </c>
      <c r="C5552" t="s">
        <v>946</v>
      </c>
      <c r="D5552" t="s">
        <v>990</v>
      </c>
      <c r="E5552" t="s">
        <v>117</v>
      </c>
      <c r="F5552" t="s">
        <v>948</v>
      </c>
      <c r="G5552">
        <v>1877777</v>
      </c>
      <c r="H5552">
        <v>500220</v>
      </c>
      <c r="I5552" t="s">
        <v>949</v>
      </c>
    </row>
    <row r="5553" spans="1:9" x14ac:dyDescent="0.25">
      <c r="A5553">
        <v>4220</v>
      </c>
      <c r="B5553">
        <v>18</v>
      </c>
      <c r="C5553" t="s">
        <v>946</v>
      </c>
      <c r="D5553" t="s">
        <v>990</v>
      </c>
      <c r="E5553" t="s">
        <v>117</v>
      </c>
      <c r="F5553" t="s">
        <v>948</v>
      </c>
      <c r="G5553">
        <v>1877777</v>
      </c>
      <c r="H5553">
        <v>500220</v>
      </c>
      <c r="I5553" t="s">
        <v>949</v>
      </c>
    </row>
    <row r="5554" spans="1:9" x14ac:dyDescent="0.25">
      <c r="A5554">
        <v>4230</v>
      </c>
      <c r="B5554">
        <v>18</v>
      </c>
      <c r="C5554" t="s">
        <v>946</v>
      </c>
      <c r="D5554" t="s">
        <v>990</v>
      </c>
      <c r="E5554" t="s">
        <v>117</v>
      </c>
      <c r="F5554" t="s">
        <v>948</v>
      </c>
      <c r="G5554">
        <v>1888888</v>
      </c>
      <c r="H5554">
        <v>810600</v>
      </c>
      <c r="I5554">
        <v>50</v>
      </c>
    </row>
    <row r="5555" spans="1:9" x14ac:dyDescent="0.25">
      <c r="A5555">
        <v>4240</v>
      </c>
      <c r="B5555">
        <v>18</v>
      </c>
      <c r="C5555" t="s">
        <v>946</v>
      </c>
      <c r="D5555" t="s">
        <v>990</v>
      </c>
      <c r="E5555" t="s">
        <v>117</v>
      </c>
      <c r="F5555" t="s">
        <v>948</v>
      </c>
      <c r="G5555">
        <v>1877777</v>
      </c>
      <c r="H5555">
        <v>500221</v>
      </c>
      <c r="I5555" t="s">
        <v>949</v>
      </c>
    </row>
    <row r="5556" spans="1:9" x14ac:dyDescent="0.25">
      <c r="A5556">
        <v>4141</v>
      </c>
      <c r="B5556">
        <v>18</v>
      </c>
      <c r="C5556" t="s">
        <v>946</v>
      </c>
      <c r="D5556" t="s">
        <v>990</v>
      </c>
      <c r="E5556" t="s">
        <v>121</v>
      </c>
      <c r="F5556" t="s">
        <v>948</v>
      </c>
      <c r="G5556">
        <v>1877777</v>
      </c>
      <c r="H5556">
        <v>500220</v>
      </c>
      <c r="I5556" t="s">
        <v>949</v>
      </c>
    </row>
    <row r="5557" spans="1:9" x14ac:dyDescent="0.25">
      <c r="A5557">
        <v>4220</v>
      </c>
      <c r="B5557">
        <v>18</v>
      </c>
      <c r="C5557" t="s">
        <v>946</v>
      </c>
      <c r="D5557" t="s">
        <v>990</v>
      </c>
      <c r="E5557" t="s">
        <v>121</v>
      </c>
      <c r="F5557" t="s">
        <v>948</v>
      </c>
      <c r="G5557">
        <v>1877777</v>
      </c>
      <c r="H5557">
        <v>500220</v>
      </c>
      <c r="I5557" t="s">
        <v>949</v>
      </c>
    </row>
    <row r="5558" spans="1:9" x14ac:dyDescent="0.25">
      <c r="A5558">
        <v>4230</v>
      </c>
      <c r="B5558">
        <v>18</v>
      </c>
      <c r="C5558" t="s">
        <v>946</v>
      </c>
      <c r="D5558" t="s">
        <v>990</v>
      </c>
      <c r="E5558" t="s">
        <v>121</v>
      </c>
      <c r="F5558" t="s">
        <v>948</v>
      </c>
      <c r="G5558">
        <v>1899999</v>
      </c>
      <c r="H5558">
        <v>403045</v>
      </c>
      <c r="I5558">
        <v>50</v>
      </c>
    </row>
    <row r="5559" spans="1:9" x14ac:dyDescent="0.25">
      <c r="A5559">
        <v>4240</v>
      </c>
      <c r="B5559">
        <v>18</v>
      </c>
      <c r="C5559" t="s">
        <v>946</v>
      </c>
      <c r="D5559" t="s">
        <v>990</v>
      </c>
      <c r="E5559" t="s">
        <v>121</v>
      </c>
      <c r="F5559" t="s">
        <v>948</v>
      </c>
      <c r="G5559">
        <v>1877777</v>
      </c>
      <c r="H5559">
        <v>500221</v>
      </c>
      <c r="I5559" t="s">
        <v>949</v>
      </c>
    </row>
    <row r="5560" spans="1:9" x14ac:dyDescent="0.25">
      <c r="A5560">
        <v>4141</v>
      </c>
      <c r="B5560">
        <v>18</v>
      </c>
      <c r="C5560" t="s">
        <v>946</v>
      </c>
      <c r="D5560" t="s">
        <v>990</v>
      </c>
      <c r="E5560" t="s">
        <v>984</v>
      </c>
      <c r="F5560" t="s">
        <v>948</v>
      </c>
      <c r="G5560">
        <v>1877777</v>
      </c>
      <c r="H5560">
        <v>501010</v>
      </c>
      <c r="I5560">
        <v>50</v>
      </c>
    </row>
    <row r="5561" spans="1:9" x14ac:dyDescent="0.25">
      <c r="A5561">
        <v>4220</v>
      </c>
      <c r="B5561">
        <v>18</v>
      </c>
      <c r="C5561" t="s">
        <v>946</v>
      </c>
      <c r="D5561" t="s">
        <v>990</v>
      </c>
      <c r="E5561" t="s">
        <v>984</v>
      </c>
      <c r="F5561" t="s">
        <v>948</v>
      </c>
      <c r="G5561">
        <v>1877777</v>
      </c>
      <c r="H5561">
        <v>500220</v>
      </c>
      <c r="I5561" t="s">
        <v>949</v>
      </c>
    </row>
    <row r="5562" spans="1:9" x14ac:dyDescent="0.25">
      <c r="A5562">
        <v>4230</v>
      </c>
      <c r="B5562">
        <v>18</v>
      </c>
      <c r="C5562" t="s">
        <v>946</v>
      </c>
      <c r="D5562" t="s">
        <v>990</v>
      </c>
      <c r="E5562" t="s">
        <v>984</v>
      </c>
      <c r="F5562" t="s">
        <v>948</v>
      </c>
      <c r="G5562">
        <v>1899999</v>
      </c>
      <c r="H5562">
        <v>403915</v>
      </c>
      <c r="I5562">
        <v>50</v>
      </c>
    </row>
    <row r="5563" spans="1:9" x14ac:dyDescent="0.25">
      <c r="A5563">
        <v>4240</v>
      </c>
      <c r="B5563">
        <v>18</v>
      </c>
      <c r="C5563" t="s">
        <v>946</v>
      </c>
      <c r="D5563" t="s">
        <v>990</v>
      </c>
      <c r="E5563" t="s">
        <v>984</v>
      </c>
      <c r="F5563" t="s">
        <v>948</v>
      </c>
      <c r="G5563">
        <v>1877777</v>
      </c>
      <c r="H5563">
        <v>500221</v>
      </c>
      <c r="I5563" t="s">
        <v>949</v>
      </c>
    </row>
    <row r="5564" spans="1:9" x14ac:dyDescent="0.25">
      <c r="A5564">
        <v>4141</v>
      </c>
      <c r="B5564">
        <v>18</v>
      </c>
      <c r="C5564" t="s">
        <v>946</v>
      </c>
      <c r="D5564" t="s">
        <v>991</v>
      </c>
      <c r="E5564" t="s">
        <v>243</v>
      </c>
      <c r="F5564" t="s">
        <v>948</v>
      </c>
      <c r="G5564">
        <v>1877777</v>
      </c>
      <c r="H5564">
        <v>501010</v>
      </c>
      <c r="I5564" t="s">
        <v>949</v>
      </c>
    </row>
    <row r="5565" spans="1:9" x14ac:dyDescent="0.25">
      <c r="A5565">
        <v>4220</v>
      </c>
      <c r="B5565">
        <v>18</v>
      </c>
      <c r="C5565" t="s">
        <v>946</v>
      </c>
      <c r="D5565" t="s">
        <v>991</v>
      </c>
      <c r="E5565" t="s">
        <v>243</v>
      </c>
      <c r="F5565" t="s">
        <v>948</v>
      </c>
      <c r="G5565">
        <v>1877777</v>
      </c>
      <c r="H5565">
        <v>500220</v>
      </c>
      <c r="I5565" t="s">
        <v>949</v>
      </c>
    </row>
    <row r="5566" spans="1:9" x14ac:dyDescent="0.25">
      <c r="A5566">
        <v>4230</v>
      </c>
      <c r="B5566">
        <v>18</v>
      </c>
      <c r="C5566" t="s">
        <v>946</v>
      </c>
      <c r="D5566" t="s">
        <v>991</v>
      </c>
      <c r="E5566" t="s">
        <v>243</v>
      </c>
      <c r="F5566" t="s">
        <v>948</v>
      </c>
      <c r="G5566">
        <v>1899999</v>
      </c>
      <c r="H5566">
        <v>403052</v>
      </c>
      <c r="I5566" t="s">
        <v>949</v>
      </c>
    </row>
    <row r="5567" spans="1:9" x14ac:dyDescent="0.25">
      <c r="A5567">
        <v>4240</v>
      </c>
      <c r="B5567">
        <v>18</v>
      </c>
      <c r="C5567" t="s">
        <v>946</v>
      </c>
      <c r="D5567" t="s">
        <v>991</v>
      </c>
      <c r="E5567" t="s">
        <v>243</v>
      </c>
      <c r="F5567" t="s">
        <v>948</v>
      </c>
      <c r="G5567">
        <v>1877777</v>
      </c>
      <c r="H5567">
        <v>500221</v>
      </c>
      <c r="I5567" t="s">
        <v>949</v>
      </c>
    </row>
    <row r="5568" spans="1:9" x14ac:dyDescent="0.25">
      <c r="A5568">
        <v>4141</v>
      </c>
      <c r="B5568">
        <v>18</v>
      </c>
      <c r="C5568" t="s">
        <v>946</v>
      </c>
      <c r="D5568" t="s">
        <v>991</v>
      </c>
      <c r="E5568" t="s">
        <v>247</v>
      </c>
      <c r="F5568" t="s">
        <v>948</v>
      </c>
      <c r="G5568">
        <v>1877777</v>
      </c>
      <c r="H5568">
        <v>501010</v>
      </c>
      <c r="I5568" t="s">
        <v>949</v>
      </c>
    </row>
    <row r="5569" spans="1:9" x14ac:dyDescent="0.25">
      <c r="A5569">
        <v>4220</v>
      </c>
      <c r="B5569">
        <v>18</v>
      </c>
      <c r="C5569" t="s">
        <v>946</v>
      </c>
      <c r="D5569" t="s">
        <v>991</v>
      </c>
      <c r="E5569" t="s">
        <v>247</v>
      </c>
      <c r="F5569" t="s">
        <v>948</v>
      </c>
      <c r="G5569">
        <v>1877777</v>
      </c>
      <c r="H5569">
        <v>500220</v>
      </c>
      <c r="I5569" t="s">
        <v>949</v>
      </c>
    </row>
    <row r="5570" spans="1:9" x14ac:dyDescent="0.25">
      <c r="A5570">
        <v>4230</v>
      </c>
      <c r="B5570">
        <v>18</v>
      </c>
      <c r="C5570" t="s">
        <v>946</v>
      </c>
      <c r="D5570" t="s">
        <v>991</v>
      </c>
      <c r="E5570" t="s">
        <v>247</v>
      </c>
      <c r="F5570" t="s">
        <v>948</v>
      </c>
      <c r="G5570">
        <v>1899999</v>
      </c>
      <c r="H5570">
        <v>403022</v>
      </c>
      <c r="I5570" t="s">
        <v>949</v>
      </c>
    </row>
    <row r="5571" spans="1:9" x14ac:dyDescent="0.25">
      <c r="A5571">
        <v>4240</v>
      </c>
      <c r="B5571">
        <v>18</v>
      </c>
      <c r="C5571" t="s">
        <v>946</v>
      </c>
      <c r="D5571" t="s">
        <v>991</v>
      </c>
      <c r="E5571" t="s">
        <v>247</v>
      </c>
      <c r="F5571" t="s">
        <v>948</v>
      </c>
      <c r="G5571">
        <v>1877777</v>
      </c>
      <c r="H5571">
        <v>500221</v>
      </c>
      <c r="I5571" t="s">
        <v>949</v>
      </c>
    </row>
    <row r="5572" spans="1:9" x14ac:dyDescent="0.25">
      <c r="A5572">
        <v>4141</v>
      </c>
      <c r="B5572">
        <v>18</v>
      </c>
      <c r="C5572" t="s">
        <v>946</v>
      </c>
      <c r="D5572" t="s">
        <v>991</v>
      </c>
      <c r="E5572" t="s">
        <v>251</v>
      </c>
      <c r="F5572" t="s">
        <v>948</v>
      </c>
      <c r="G5572">
        <v>1877777</v>
      </c>
      <c r="H5572">
        <v>501010</v>
      </c>
      <c r="I5572" t="s">
        <v>949</v>
      </c>
    </row>
    <row r="5573" spans="1:9" x14ac:dyDescent="0.25">
      <c r="A5573">
        <v>4220</v>
      </c>
      <c r="B5573">
        <v>18</v>
      </c>
      <c r="C5573" t="s">
        <v>946</v>
      </c>
      <c r="D5573" t="s">
        <v>991</v>
      </c>
      <c r="E5573" t="s">
        <v>251</v>
      </c>
      <c r="F5573" t="s">
        <v>948</v>
      </c>
      <c r="G5573">
        <v>1877777</v>
      </c>
      <c r="H5573">
        <v>500220</v>
      </c>
      <c r="I5573" t="s">
        <v>949</v>
      </c>
    </row>
    <row r="5574" spans="1:9" x14ac:dyDescent="0.25">
      <c r="A5574">
        <v>4230</v>
      </c>
      <c r="B5574">
        <v>18</v>
      </c>
      <c r="C5574" t="s">
        <v>946</v>
      </c>
      <c r="D5574" t="s">
        <v>991</v>
      </c>
      <c r="E5574" t="s">
        <v>251</v>
      </c>
      <c r="F5574" t="s">
        <v>948</v>
      </c>
      <c r="G5574">
        <v>1899999</v>
      </c>
      <c r="H5574">
        <v>403042</v>
      </c>
      <c r="I5574" t="s">
        <v>949</v>
      </c>
    </row>
    <row r="5575" spans="1:9" x14ac:dyDescent="0.25">
      <c r="A5575">
        <v>4240</v>
      </c>
      <c r="B5575">
        <v>18</v>
      </c>
      <c r="C5575" t="s">
        <v>946</v>
      </c>
      <c r="D5575" t="s">
        <v>991</v>
      </c>
      <c r="E5575" t="s">
        <v>251</v>
      </c>
      <c r="F5575" t="s">
        <v>948</v>
      </c>
      <c r="G5575">
        <v>1877777</v>
      </c>
      <c r="H5575">
        <v>500221</v>
      </c>
      <c r="I5575" t="s">
        <v>949</v>
      </c>
    </row>
    <row r="5576" spans="1:9" x14ac:dyDescent="0.25">
      <c r="A5576">
        <v>4141</v>
      </c>
      <c r="B5576">
        <v>18</v>
      </c>
      <c r="C5576" t="s">
        <v>946</v>
      </c>
      <c r="D5576" t="s">
        <v>991</v>
      </c>
      <c r="E5576" t="s">
        <v>969</v>
      </c>
      <c r="F5576" t="s">
        <v>948</v>
      </c>
      <c r="G5576">
        <v>1877777</v>
      </c>
      <c r="H5576">
        <v>501010</v>
      </c>
      <c r="I5576" t="s">
        <v>949</v>
      </c>
    </row>
    <row r="5577" spans="1:9" x14ac:dyDescent="0.25">
      <c r="A5577">
        <v>4220</v>
      </c>
      <c r="B5577">
        <v>18</v>
      </c>
      <c r="C5577" t="s">
        <v>946</v>
      </c>
      <c r="D5577" t="s">
        <v>991</v>
      </c>
      <c r="E5577" t="s">
        <v>969</v>
      </c>
      <c r="F5577" t="s">
        <v>948</v>
      </c>
      <c r="G5577">
        <v>1877777</v>
      </c>
      <c r="H5577">
        <v>500220</v>
      </c>
      <c r="I5577" t="s">
        <v>949</v>
      </c>
    </row>
    <row r="5578" spans="1:9" x14ac:dyDescent="0.25">
      <c r="A5578">
        <v>4230</v>
      </c>
      <c r="B5578">
        <v>18</v>
      </c>
      <c r="C5578" t="s">
        <v>946</v>
      </c>
      <c r="D5578" t="s">
        <v>991</v>
      </c>
      <c r="E5578" t="s">
        <v>969</v>
      </c>
      <c r="F5578" t="s">
        <v>948</v>
      </c>
      <c r="G5578">
        <v>1899999</v>
      </c>
      <c r="H5578">
        <v>403912</v>
      </c>
      <c r="I5578" t="s">
        <v>949</v>
      </c>
    </row>
    <row r="5579" spans="1:9" x14ac:dyDescent="0.25">
      <c r="A5579">
        <v>4240</v>
      </c>
      <c r="B5579">
        <v>18</v>
      </c>
      <c r="C5579" t="s">
        <v>946</v>
      </c>
      <c r="D5579" t="s">
        <v>991</v>
      </c>
      <c r="E5579" t="s">
        <v>969</v>
      </c>
      <c r="F5579" t="s">
        <v>948</v>
      </c>
      <c r="G5579">
        <v>1877777</v>
      </c>
      <c r="H5579">
        <v>500221</v>
      </c>
      <c r="I5579" t="s">
        <v>949</v>
      </c>
    </row>
    <row r="5580" spans="1:9" x14ac:dyDescent="0.25">
      <c r="A5580">
        <v>4141</v>
      </c>
      <c r="B5580">
        <v>18</v>
      </c>
      <c r="C5580" t="s">
        <v>946</v>
      </c>
      <c r="D5580" t="s">
        <v>991</v>
      </c>
      <c r="E5580" t="s">
        <v>255</v>
      </c>
      <c r="F5580" t="s">
        <v>948</v>
      </c>
      <c r="G5580">
        <v>1877777</v>
      </c>
      <c r="H5580">
        <v>501010</v>
      </c>
      <c r="I5580" t="s">
        <v>949</v>
      </c>
    </row>
    <row r="5581" spans="1:9" x14ac:dyDescent="0.25">
      <c r="A5581">
        <v>4220</v>
      </c>
      <c r="B5581">
        <v>18</v>
      </c>
      <c r="C5581" t="s">
        <v>946</v>
      </c>
      <c r="D5581" t="s">
        <v>991</v>
      </c>
      <c r="E5581" t="s">
        <v>255</v>
      </c>
      <c r="F5581" t="s">
        <v>948</v>
      </c>
      <c r="G5581">
        <v>1877777</v>
      </c>
      <c r="H5581">
        <v>500220</v>
      </c>
      <c r="I5581" t="s">
        <v>949</v>
      </c>
    </row>
    <row r="5582" spans="1:9" x14ac:dyDescent="0.25">
      <c r="A5582">
        <v>4230</v>
      </c>
      <c r="B5582">
        <v>18</v>
      </c>
      <c r="C5582" t="s">
        <v>946</v>
      </c>
      <c r="D5582" t="s">
        <v>991</v>
      </c>
      <c r="E5582" t="s">
        <v>255</v>
      </c>
      <c r="F5582" t="s">
        <v>948</v>
      </c>
      <c r="G5582">
        <v>1899999</v>
      </c>
      <c r="H5582">
        <v>403072</v>
      </c>
      <c r="I5582" t="s">
        <v>949</v>
      </c>
    </row>
    <row r="5583" spans="1:9" x14ac:dyDescent="0.25">
      <c r="A5583">
        <v>4240</v>
      </c>
      <c r="B5583">
        <v>18</v>
      </c>
      <c r="C5583" t="s">
        <v>946</v>
      </c>
      <c r="D5583" t="s">
        <v>991</v>
      </c>
      <c r="E5583" t="s">
        <v>255</v>
      </c>
      <c r="F5583" t="s">
        <v>948</v>
      </c>
      <c r="G5583">
        <v>1877777</v>
      </c>
      <c r="H5583">
        <v>500221</v>
      </c>
      <c r="I5583" t="s">
        <v>949</v>
      </c>
    </row>
    <row r="5584" spans="1:9" x14ac:dyDescent="0.25">
      <c r="A5584">
        <v>4141</v>
      </c>
      <c r="B5584">
        <v>18</v>
      </c>
      <c r="C5584" t="s">
        <v>946</v>
      </c>
      <c r="D5584" t="s">
        <v>991</v>
      </c>
      <c r="E5584" t="s">
        <v>971</v>
      </c>
      <c r="F5584" t="s">
        <v>948</v>
      </c>
      <c r="G5584">
        <v>1877777</v>
      </c>
      <c r="H5584">
        <v>501010</v>
      </c>
      <c r="I5584" t="s">
        <v>949</v>
      </c>
    </row>
    <row r="5585" spans="1:9" x14ac:dyDescent="0.25">
      <c r="A5585">
        <v>4220</v>
      </c>
      <c r="B5585">
        <v>18</v>
      </c>
      <c r="C5585" t="s">
        <v>946</v>
      </c>
      <c r="D5585" t="s">
        <v>991</v>
      </c>
      <c r="E5585" t="s">
        <v>971</v>
      </c>
      <c r="F5585" t="s">
        <v>948</v>
      </c>
      <c r="G5585">
        <v>1877777</v>
      </c>
      <c r="H5585">
        <v>500220</v>
      </c>
      <c r="I5585" t="s">
        <v>949</v>
      </c>
    </row>
    <row r="5586" spans="1:9" x14ac:dyDescent="0.25">
      <c r="A5586">
        <v>4230</v>
      </c>
      <c r="B5586">
        <v>18</v>
      </c>
      <c r="C5586" t="s">
        <v>946</v>
      </c>
      <c r="D5586" t="s">
        <v>991</v>
      </c>
      <c r="E5586" t="s">
        <v>971</v>
      </c>
      <c r="F5586" t="s">
        <v>948</v>
      </c>
      <c r="G5586">
        <v>1899999</v>
      </c>
      <c r="H5586">
        <v>403912</v>
      </c>
      <c r="I5586" t="s">
        <v>949</v>
      </c>
    </row>
    <row r="5587" spans="1:9" x14ac:dyDescent="0.25">
      <c r="A5587">
        <v>4240</v>
      </c>
      <c r="B5587">
        <v>18</v>
      </c>
      <c r="C5587" t="s">
        <v>946</v>
      </c>
      <c r="D5587" t="s">
        <v>991</v>
      </c>
      <c r="E5587" t="s">
        <v>971</v>
      </c>
      <c r="F5587" t="s">
        <v>948</v>
      </c>
      <c r="G5587">
        <v>1877777</v>
      </c>
      <c r="H5587">
        <v>500221</v>
      </c>
      <c r="I5587" t="s">
        <v>949</v>
      </c>
    </row>
    <row r="5588" spans="1:9" x14ac:dyDescent="0.25">
      <c r="A5588">
        <v>4230</v>
      </c>
      <c r="B5588">
        <v>18</v>
      </c>
      <c r="C5588" t="s">
        <v>946</v>
      </c>
      <c r="D5588" t="s">
        <v>991</v>
      </c>
      <c r="E5588" t="s">
        <v>259</v>
      </c>
      <c r="F5588" t="s">
        <v>948</v>
      </c>
      <c r="G5588">
        <v>1899999</v>
      </c>
      <c r="H5588">
        <v>409002</v>
      </c>
      <c r="I5588" t="s">
        <v>949</v>
      </c>
    </row>
    <row r="5589" spans="1:9" x14ac:dyDescent="0.25">
      <c r="A5589">
        <v>4141</v>
      </c>
      <c r="B5589">
        <v>18</v>
      </c>
      <c r="C5589" t="s">
        <v>946</v>
      </c>
      <c r="D5589" t="s">
        <v>991</v>
      </c>
      <c r="E5589" t="s">
        <v>263</v>
      </c>
      <c r="F5589" t="s">
        <v>948</v>
      </c>
      <c r="G5589">
        <v>1877777</v>
      </c>
      <c r="H5589">
        <v>501010</v>
      </c>
      <c r="I5589" t="s">
        <v>949</v>
      </c>
    </row>
    <row r="5590" spans="1:9" x14ac:dyDescent="0.25">
      <c r="A5590">
        <v>4220</v>
      </c>
      <c r="B5590">
        <v>18</v>
      </c>
      <c r="C5590" t="s">
        <v>946</v>
      </c>
      <c r="D5590" t="s">
        <v>991</v>
      </c>
      <c r="E5590" t="s">
        <v>263</v>
      </c>
      <c r="F5590" t="s">
        <v>948</v>
      </c>
      <c r="G5590">
        <v>1877777</v>
      </c>
      <c r="H5590">
        <v>500220</v>
      </c>
      <c r="I5590" t="s">
        <v>949</v>
      </c>
    </row>
    <row r="5591" spans="1:9" x14ac:dyDescent="0.25">
      <c r="A5591">
        <v>4230</v>
      </c>
      <c r="B5591">
        <v>18</v>
      </c>
      <c r="C5591" t="s">
        <v>946</v>
      </c>
      <c r="D5591" t="s">
        <v>991</v>
      </c>
      <c r="E5591" t="s">
        <v>263</v>
      </c>
      <c r="F5591" t="s">
        <v>948</v>
      </c>
      <c r="G5591">
        <v>1899999</v>
      </c>
      <c r="H5591">
        <v>403042</v>
      </c>
      <c r="I5591" t="s">
        <v>949</v>
      </c>
    </row>
    <row r="5592" spans="1:9" x14ac:dyDescent="0.25">
      <c r="A5592">
        <v>4240</v>
      </c>
      <c r="B5592">
        <v>18</v>
      </c>
      <c r="C5592" t="s">
        <v>946</v>
      </c>
      <c r="D5592" t="s">
        <v>991</v>
      </c>
      <c r="E5592" t="s">
        <v>263</v>
      </c>
      <c r="F5592" t="s">
        <v>948</v>
      </c>
      <c r="G5592">
        <v>1877777</v>
      </c>
      <c r="H5592">
        <v>500221</v>
      </c>
      <c r="I5592" t="s">
        <v>949</v>
      </c>
    </row>
    <row r="5593" spans="1:9" x14ac:dyDescent="0.25">
      <c r="A5593">
        <v>4141</v>
      </c>
      <c r="B5593">
        <v>18</v>
      </c>
      <c r="C5593" t="s">
        <v>946</v>
      </c>
      <c r="D5593" t="s">
        <v>991</v>
      </c>
      <c r="E5593" t="s">
        <v>100</v>
      </c>
      <c r="F5593" t="s">
        <v>948</v>
      </c>
      <c r="G5593">
        <v>1877777</v>
      </c>
      <c r="H5593">
        <v>500220</v>
      </c>
      <c r="I5593" t="s">
        <v>949</v>
      </c>
    </row>
    <row r="5594" spans="1:9" x14ac:dyDescent="0.25">
      <c r="A5594">
        <v>4220</v>
      </c>
      <c r="B5594">
        <v>18</v>
      </c>
      <c r="C5594" t="s">
        <v>946</v>
      </c>
      <c r="D5594" t="s">
        <v>991</v>
      </c>
      <c r="E5594" t="s">
        <v>100</v>
      </c>
      <c r="F5594" t="s">
        <v>948</v>
      </c>
      <c r="G5594">
        <v>1877777</v>
      </c>
      <c r="H5594">
        <v>500220</v>
      </c>
      <c r="I5594" t="s">
        <v>949</v>
      </c>
    </row>
    <row r="5595" spans="1:9" x14ac:dyDescent="0.25">
      <c r="A5595">
        <v>4230</v>
      </c>
      <c r="B5595">
        <v>18</v>
      </c>
      <c r="C5595" t="s">
        <v>946</v>
      </c>
      <c r="D5595" t="s">
        <v>991</v>
      </c>
      <c r="E5595" t="s">
        <v>100</v>
      </c>
      <c r="F5595" t="s">
        <v>948</v>
      </c>
      <c r="G5595">
        <v>1899999</v>
      </c>
      <c r="H5595">
        <v>403042</v>
      </c>
      <c r="I5595" t="s">
        <v>949</v>
      </c>
    </row>
    <row r="5596" spans="1:9" x14ac:dyDescent="0.25">
      <c r="A5596">
        <v>4240</v>
      </c>
      <c r="B5596">
        <v>18</v>
      </c>
      <c r="C5596" t="s">
        <v>946</v>
      </c>
      <c r="D5596" t="s">
        <v>991</v>
      </c>
      <c r="E5596" t="s">
        <v>100</v>
      </c>
      <c r="F5596" t="s">
        <v>948</v>
      </c>
      <c r="G5596">
        <v>1877777</v>
      </c>
      <c r="H5596">
        <v>500221</v>
      </c>
      <c r="I5596" t="s">
        <v>949</v>
      </c>
    </row>
    <row r="5597" spans="1:9" x14ac:dyDescent="0.25">
      <c r="A5597">
        <v>4141</v>
      </c>
      <c r="B5597">
        <v>18</v>
      </c>
      <c r="C5597" t="s">
        <v>946</v>
      </c>
      <c r="D5597" t="s">
        <v>991</v>
      </c>
      <c r="E5597" t="s">
        <v>270</v>
      </c>
      <c r="F5597" t="s">
        <v>948</v>
      </c>
      <c r="G5597">
        <v>1877777</v>
      </c>
      <c r="H5597">
        <v>501010</v>
      </c>
      <c r="I5597" t="s">
        <v>949</v>
      </c>
    </row>
    <row r="5598" spans="1:9" x14ac:dyDescent="0.25">
      <c r="A5598">
        <v>4220</v>
      </c>
      <c r="B5598">
        <v>18</v>
      </c>
      <c r="C5598" t="s">
        <v>946</v>
      </c>
      <c r="D5598" t="s">
        <v>991</v>
      </c>
      <c r="E5598" t="s">
        <v>270</v>
      </c>
      <c r="F5598" t="s">
        <v>948</v>
      </c>
      <c r="G5598">
        <v>1877777</v>
      </c>
      <c r="H5598">
        <v>500220</v>
      </c>
      <c r="I5598" t="s">
        <v>949</v>
      </c>
    </row>
    <row r="5599" spans="1:9" x14ac:dyDescent="0.25">
      <c r="A5599">
        <v>4230</v>
      </c>
      <c r="B5599">
        <v>18</v>
      </c>
      <c r="C5599" t="s">
        <v>946</v>
      </c>
      <c r="D5599" t="s">
        <v>991</v>
      </c>
      <c r="E5599" t="s">
        <v>270</v>
      </c>
      <c r="F5599" t="s">
        <v>948</v>
      </c>
      <c r="G5599">
        <v>1899999</v>
      </c>
      <c r="H5599">
        <v>403062</v>
      </c>
      <c r="I5599" t="s">
        <v>949</v>
      </c>
    </row>
    <row r="5600" spans="1:9" x14ac:dyDescent="0.25">
      <c r="A5600">
        <v>4240</v>
      </c>
      <c r="B5600">
        <v>18</v>
      </c>
      <c r="C5600" t="s">
        <v>946</v>
      </c>
      <c r="D5600" t="s">
        <v>991</v>
      </c>
      <c r="E5600" t="s">
        <v>270</v>
      </c>
      <c r="F5600" t="s">
        <v>948</v>
      </c>
      <c r="G5600">
        <v>1877777</v>
      </c>
      <c r="H5600">
        <v>500221</v>
      </c>
      <c r="I5600" t="s">
        <v>949</v>
      </c>
    </row>
    <row r="5601" spans="1:9" x14ac:dyDescent="0.25">
      <c r="A5601">
        <v>4141</v>
      </c>
      <c r="B5601">
        <v>18</v>
      </c>
      <c r="C5601" t="s">
        <v>946</v>
      </c>
      <c r="D5601" t="s">
        <v>991</v>
      </c>
      <c r="E5601" t="s">
        <v>274</v>
      </c>
      <c r="F5601" t="s">
        <v>948</v>
      </c>
      <c r="G5601">
        <v>1877777</v>
      </c>
      <c r="H5601">
        <v>501010</v>
      </c>
      <c r="I5601" t="s">
        <v>949</v>
      </c>
    </row>
    <row r="5602" spans="1:9" x14ac:dyDescent="0.25">
      <c r="A5602">
        <v>4220</v>
      </c>
      <c r="B5602">
        <v>18</v>
      </c>
      <c r="C5602" t="s">
        <v>946</v>
      </c>
      <c r="D5602" t="s">
        <v>991</v>
      </c>
      <c r="E5602" t="s">
        <v>274</v>
      </c>
      <c r="F5602" t="s">
        <v>948</v>
      </c>
      <c r="G5602">
        <v>1877777</v>
      </c>
      <c r="H5602">
        <v>500220</v>
      </c>
      <c r="I5602" t="s">
        <v>949</v>
      </c>
    </row>
    <row r="5603" spans="1:9" x14ac:dyDescent="0.25">
      <c r="A5603">
        <v>4230</v>
      </c>
      <c r="B5603">
        <v>18</v>
      </c>
      <c r="C5603" t="s">
        <v>946</v>
      </c>
      <c r="D5603" t="s">
        <v>991</v>
      </c>
      <c r="E5603" t="s">
        <v>274</v>
      </c>
      <c r="F5603" t="s">
        <v>948</v>
      </c>
      <c r="G5603">
        <v>1899999</v>
      </c>
      <c r="H5603">
        <v>403042</v>
      </c>
      <c r="I5603" t="s">
        <v>949</v>
      </c>
    </row>
    <row r="5604" spans="1:9" x14ac:dyDescent="0.25">
      <c r="A5604">
        <v>4240</v>
      </c>
      <c r="B5604">
        <v>18</v>
      </c>
      <c r="C5604" t="s">
        <v>946</v>
      </c>
      <c r="D5604" t="s">
        <v>991</v>
      </c>
      <c r="E5604" t="s">
        <v>274</v>
      </c>
      <c r="F5604" t="s">
        <v>948</v>
      </c>
      <c r="G5604">
        <v>1877777</v>
      </c>
      <c r="H5604">
        <v>500221</v>
      </c>
      <c r="I5604" t="s">
        <v>949</v>
      </c>
    </row>
    <row r="5605" spans="1:9" x14ac:dyDescent="0.25">
      <c r="A5605">
        <v>4141</v>
      </c>
      <c r="B5605">
        <v>18</v>
      </c>
      <c r="C5605" t="s">
        <v>946</v>
      </c>
      <c r="D5605" t="s">
        <v>991</v>
      </c>
      <c r="E5605" t="s">
        <v>974</v>
      </c>
      <c r="F5605" t="s">
        <v>948</v>
      </c>
      <c r="G5605">
        <v>1877777</v>
      </c>
      <c r="H5605">
        <v>501010</v>
      </c>
      <c r="I5605" t="s">
        <v>949</v>
      </c>
    </row>
    <row r="5606" spans="1:9" x14ac:dyDescent="0.25">
      <c r="A5606">
        <v>4220</v>
      </c>
      <c r="B5606">
        <v>18</v>
      </c>
      <c r="C5606" t="s">
        <v>946</v>
      </c>
      <c r="D5606" t="s">
        <v>991</v>
      </c>
      <c r="E5606" t="s">
        <v>974</v>
      </c>
      <c r="F5606" t="s">
        <v>948</v>
      </c>
      <c r="G5606">
        <v>1877777</v>
      </c>
      <c r="H5606">
        <v>500220</v>
      </c>
      <c r="I5606" t="s">
        <v>949</v>
      </c>
    </row>
    <row r="5607" spans="1:9" x14ac:dyDescent="0.25">
      <c r="A5607">
        <v>4230</v>
      </c>
      <c r="B5607">
        <v>18</v>
      </c>
      <c r="C5607" t="s">
        <v>946</v>
      </c>
      <c r="D5607" t="s">
        <v>991</v>
      </c>
      <c r="E5607" t="s">
        <v>974</v>
      </c>
      <c r="F5607" t="s">
        <v>948</v>
      </c>
      <c r="G5607">
        <v>1899999</v>
      </c>
      <c r="H5607">
        <v>403912</v>
      </c>
      <c r="I5607" t="s">
        <v>949</v>
      </c>
    </row>
    <row r="5608" spans="1:9" x14ac:dyDescent="0.25">
      <c r="A5608">
        <v>4240</v>
      </c>
      <c r="B5608">
        <v>18</v>
      </c>
      <c r="C5608" t="s">
        <v>946</v>
      </c>
      <c r="D5608" t="s">
        <v>991</v>
      </c>
      <c r="E5608" t="s">
        <v>974</v>
      </c>
      <c r="F5608" t="s">
        <v>948</v>
      </c>
      <c r="G5608">
        <v>1877777</v>
      </c>
      <c r="H5608">
        <v>500221</v>
      </c>
      <c r="I5608" t="s">
        <v>949</v>
      </c>
    </row>
    <row r="5609" spans="1:9" x14ac:dyDescent="0.25">
      <c r="A5609">
        <v>4141</v>
      </c>
      <c r="B5609">
        <v>18</v>
      </c>
      <c r="C5609" t="s">
        <v>946</v>
      </c>
      <c r="D5609" t="s">
        <v>991</v>
      </c>
      <c r="E5609" t="s">
        <v>104</v>
      </c>
      <c r="F5609" t="s">
        <v>948</v>
      </c>
      <c r="G5609">
        <v>1877777</v>
      </c>
      <c r="H5609">
        <v>500220</v>
      </c>
      <c r="I5609" t="s">
        <v>949</v>
      </c>
    </row>
    <row r="5610" spans="1:9" x14ac:dyDescent="0.25">
      <c r="A5610">
        <v>4220</v>
      </c>
      <c r="B5610">
        <v>18</v>
      </c>
      <c r="C5610" t="s">
        <v>946</v>
      </c>
      <c r="D5610" t="s">
        <v>991</v>
      </c>
      <c r="E5610" t="s">
        <v>104</v>
      </c>
      <c r="F5610" t="s">
        <v>948</v>
      </c>
      <c r="G5610">
        <v>1877777</v>
      </c>
      <c r="H5610">
        <v>500220</v>
      </c>
      <c r="I5610" t="s">
        <v>949</v>
      </c>
    </row>
    <row r="5611" spans="1:9" x14ac:dyDescent="0.25">
      <c r="A5611">
        <v>4230</v>
      </c>
      <c r="B5611">
        <v>18</v>
      </c>
      <c r="C5611" t="s">
        <v>946</v>
      </c>
      <c r="D5611" t="s">
        <v>991</v>
      </c>
      <c r="E5611" t="s">
        <v>104</v>
      </c>
      <c r="F5611" t="s">
        <v>948</v>
      </c>
      <c r="G5611">
        <v>1899999</v>
      </c>
      <c r="H5611">
        <v>403042</v>
      </c>
      <c r="I5611" t="s">
        <v>949</v>
      </c>
    </row>
    <row r="5612" spans="1:9" x14ac:dyDescent="0.25">
      <c r="A5612">
        <v>4240</v>
      </c>
      <c r="B5612">
        <v>18</v>
      </c>
      <c r="C5612" t="s">
        <v>946</v>
      </c>
      <c r="D5612" t="s">
        <v>991</v>
      </c>
      <c r="E5612" t="s">
        <v>104</v>
      </c>
      <c r="F5612" t="s">
        <v>948</v>
      </c>
      <c r="G5612">
        <v>1877777</v>
      </c>
      <c r="H5612">
        <v>500221</v>
      </c>
      <c r="I5612" t="s">
        <v>949</v>
      </c>
    </row>
    <row r="5613" spans="1:9" x14ac:dyDescent="0.25">
      <c r="A5613">
        <v>4141</v>
      </c>
      <c r="B5613">
        <v>18</v>
      </c>
      <c r="C5613" t="s">
        <v>946</v>
      </c>
      <c r="D5613" t="s">
        <v>991</v>
      </c>
      <c r="E5613" t="s">
        <v>278</v>
      </c>
      <c r="F5613" t="s">
        <v>948</v>
      </c>
      <c r="G5613">
        <v>1877777</v>
      </c>
      <c r="H5613">
        <v>501010</v>
      </c>
      <c r="I5613" t="s">
        <v>949</v>
      </c>
    </row>
    <row r="5614" spans="1:9" x14ac:dyDescent="0.25">
      <c r="A5614">
        <v>4220</v>
      </c>
      <c r="B5614">
        <v>18</v>
      </c>
      <c r="C5614" t="s">
        <v>946</v>
      </c>
      <c r="D5614" t="s">
        <v>991</v>
      </c>
      <c r="E5614" t="s">
        <v>278</v>
      </c>
      <c r="F5614" t="s">
        <v>948</v>
      </c>
      <c r="G5614">
        <v>1877777</v>
      </c>
      <c r="H5614">
        <v>500220</v>
      </c>
      <c r="I5614" t="s">
        <v>949</v>
      </c>
    </row>
    <row r="5615" spans="1:9" x14ac:dyDescent="0.25">
      <c r="A5615">
        <v>4230</v>
      </c>
      <c r="B5615">
        <v>18</v>
      </c>
      <c r="C5615" t="s">
        <v>946</v>
      </c>
      <c r="D5615" t="s">
        <v>991</v>
      </c>
      <c r="E5615" t="s">
        <v>278</v>
      </c>
      <c r="F5615" t="s">
        <v>948</v>
      </c>
      <c r="G5615">
        <v>1899999</v>
      </c>
      <c r="H5615">
        <v>403052</v>
      </c>
      <c r="I5615" t="s">
        <v>949</v>
      </c>
    </row>
    <row r="5616" spans="1:9" x14ac:dyDescent="0.25">
      <c r="A5616">
        <v>4240</v>
      </c>
      <c r="B5616">
        <v>18</v>
      </c>
      <c r="C5616" t="s">
        <v>946</v>
      </c>
      <c r="D5616" t="s">
        <v>991</v>
      </c>
      <c r="E5616" t="s">
        <v>278</v>
      </c>
      <c r="F5616" t="s">
        <v>948</v>
      </c>
      <c r="G5616">
        <v>1877777</v>
      </c>
      <c r="H5616">
        <v>500221</v>
      </c>
      <c r="I5616" t="s">
        <v>949</v>
      </c>
    </row>
    <row r="5617" spans="1:9" x14ac:dyDescent="0.25">
      <c r="A5617">
        <v>4141</v>
      </c>
      <c r="B5617">
        <v>18</v>
      </c>
      <c r="C5617" t="s">
        <v>946</v>
      </c>
      <c r="D5617" t="s">
        <v>991</v>
      </c>
      <c r="E5617" t="s">
        <v>282</v>
      </c>
      <c r="F5617" t="s">
        <v>948</v>
      </c>
      <c r="G5617">
        <v>1877777</v>
      </c>
      <c r="H5617">
        <v>501010</v>
      </c>
      <c r="I5617" t="s">
        <v>949</v>
      </c>
    </row>
    <row r="5618" spans="1:9" x14ac:dyDescent="0.25">
      <c r="A5618">
        <v>4220</v>
      </c>
      <c r="B5618">
        <v>18</v>
      </c>
      <c r="C5618" t="s">
        <v>946</v>
      </c>
      <c r="D5618" t="s">
        <v>991</v>
      </c>
      <c r="E5618" t="s">
        <v>282</v>
      </c>
      <c r="F5618" t="s">
        <v>948</v>
      </c>
      <c r="G5618">
        <v>1877777</v>
      </c>
      <c r="H5618">
        <v>500220</v>
      </c>
      <c r="I5618" t="s">
        <v>949</v>
      </c>
    </row>
    <row r="5619" spans="1:9" x14ac:dyDescent="0.25">
      <c r="A5619">
        <v>4230</v>
      </c>
      <c r="B5619">
        <v>18</v>
      </c>
      <c r="C5619" t="s">
        <v>946</v>
      </c>
      <c r="D5619" t="s">
        <v>991</v>
      </c>
      <c r="E5619" t="s">
        <v>282</v>
      </c>
      <c r="F5619" t="s">
        <v>948</v>
      </c>
      <c r="G5619">
        <v>1899999</v>
      </c>
      <c r="H5619">
        <v>403042</v>
      </c>
      <c r="I5619" t="s">
        <v>949</v>
      </c>
    </row>
    <row r="5620" spans="1:9" x14ac:dyDescent="0.25">
      <c r="A5620">
        <v>4240</v>
      </c>
      <c r="B5620">
        <v>18</v>
      </c>
      <c r="C5620" t="s">
        <v>946</v>
      </c>
      <c r="D5620" t="s">
        <v>991</v>
      </c>
      <c r="E5620" t="s">
        <v>282</v>
      </c>
      <c r="F5620" t="s">
        <v>948</v>
      </c>
      <c r="G5620">
        <v>1877777</v>
      </c>
      <c r="H5620">
        <v>500221</v>
      </c>
      <c r="I5620" t="s">
        <v>949</v>
      </c>
    </row>
    <row r="5621" spans="1:9" x14ac:dyDescent="0.25">
      <c r="A5621">
        <v>4141</v>
      </c>
      <c r="B5621">
        <v>18</v>
      </c>
      <c r="C5621" t="s">
        <v>946</v>
      </c>
      <c r="D5621" t="s">
        <v>991</v>
      </c>
      <c r="E5621" t="s">
        <v>286</v>
      </c>
      <c r="F5621" t="s">
        <v>948</v>
      </c>
      <c r="G5621">
        <v>1877777</v>
      </c>
      <c r="H5621">
        <v>501010</v>
      </c>
      <c r="I5621" t="s">
        <v>949</v>
      </c>
    </row>
    <row r="5622" spans="1:9" x14ac:dyDescent="0.25">
      <c r="A5622">
        <v>4220</v>
      </c>
      <c r="B5622">
        <v>18</v>
      </c>
      <c r="C5622" t="s">
        <v>946</v>
      </c>
      <c r="D5622" t="s">
        <v>991</v>
      </c>
      <c r="E5622" t="s">
        <v>286</v>
      </c>
      <c r="F5622" t="s">
        <v>948</v>
      </c>
      <c r="G5622">
        <v>1877777</v>
      </c>
      <c r="H5622">
        <v>500220</v>
      </c>
      <c r="I5622" t="s">
        <v>949</v>
      </c>
    </row>
    <row r="5623" spans="1:9" x14ac:dyDescent="0.25">
      <c r="A5623">
        <v>4230</v>
      </c>
      <c r="B5623">
        <v>18</v>
      </c>
      <c r="C5623" t="s">
        <v>946</v>
      </c>
      <c r="D5623" t="s">
        <v>991</v>
      </c>
      <c r="E5623" t="s">
        <v>286</v>
      </c>
      <c r="F5623" t="s">
        <v>948</v>
      </c>
      <c r="G5623">
        <v>1899999</v>
      </c>
      <c r="H5623">
        <v>403032</v>
      </c>
      <c r="I5623" t="s">
        <v>949</v>
      </c>
    </row>
    <row r="5624" spans="1:9" x14ac:dyDescent="0.25">
      <c r="A5624">
        <v>4240</v>
      </c>
      <c r="B5624">
        <v>18</v>
      </c>
      <c r="C5624" t="s">
        <v>946</v>
      </c>
      <c r="D5624" t="s">
        <v>991</v>
      </c>
      <c r="E5624" t="s">
        <v>286</v>
      </c>
      <c r="F5624" t="s">
        <v>948</v>
      </c>
      <c r="G5624">
        <v>1877777</v>
      </c>
      <c r="H5624">
        <v>500221</v>
      </c>
      <c r="I5624" t="s">
        <v>949</v>
      </c>
    </row>
    <row r="5625" spans="1:9" x14ac:dyDescent="0.25">
      <c r="A5625">
        <v>4141</v>
      </c>
      <c r="B5625">
        <v>18</v>
      </c>
      <c r="C5625" t="s">
        <v>946</v>
      </c>
      <c r="D5625" t="s">
        <v>991</v>
      </c>
      <c r="E5625" t="s">
        <v>976</v>
      </c>
      <c r="F5625" t="s">
        <v>948</v>
      </c>
      <c r="G5625">
        <v>1877777</v>
      </c>
      <c r="H5625">
        <v>501010</v>
      </c>
      <c r="I5625" t="s">
        <v>949</v>
      </c>
    </row>
    <row r="5626" spans="1:9" x14ac:dyDescent="0.25">
      <c r="A5626">
        <v>4220</v>
      </c>
      <c r="B5626">
        <v>18</v>
      </c>
      <c r="C5626" t="s">
        <v>946</v>
      </c>
      <c r="D5626" t="s">
        <v>991</v>
      </c>
      <c r="E5626" t="s">
        <v>976</v>
      </c>
      <c r="F5626" t="s">
        <v>948</v>
      </c>
      <c r="G5626">
        <v>1877777</v>
      </c>
      <c r="H5626">
        <v>500220</v>
      </c>
      <c r="I5626" t="s">
        <v>949</v>
      </c>
    </row>
    <row r="5627" spans="1:9" x14ac:dyDescent="0.25">
      <c r="A5627">
        <v>4230</v>
      </c>
      <c r="B5627">
        <v>18</v>
      </c>
      <c r="C5627" t="s">
        <v>946</v>
      </c>
      <c r="D5627" t="s">
        <v>991</v>
      </c>
      <c r="E5627" t="s">
        <v>976</v>
      </c>
      <c r="F5627" t="s">
        <v>948</v>
      </c>
      <c r="G5627">
        <v>1899999</v>
      </c>
      <c r="H5627">
        <v>403912</v>
      </c>
      <c r="I5627" t="s">
        <v>949</v>
      </c>
    </row>
    <row r="5628" spans="1:9" x14ac:dyDescent="0.25">
      <c r="A5628">
        <v>4240</v>
      </c>
      <c r="B5628">
        <v>18</v>
      </c>
      <c r="C5628" t="s">
        <v>946</v>
      </c>
      <c r="D5628" t="s">
        <v>991</v>
      </c>
      <c r="E5628" t="s">
        <v>976</v>
      </c>
      <c r="F5628" t="s">
        <v>948</v>
      </c>
      <c r="G5628">
        <v>1877777</v>
      </c>
      <c r="H5628">
        <v>500221</v>
      </c>
      <c r="I5628" t="s">
        <v>949</v>
      </c>
    </row>
    <row r="5629" spans="1:9" x14ac:dyDescent="0.25">
      <c r="A5629">
        <v>4141</v>
      </c>
      <c r="B5629">
        <v>18</v>
      </c>
      <c r="C5629" t="s">
        <v>946</v>
      </c>
      <c r="D5629" t="s">
        <v>991</v>
      </c>
      <c r="E5629" t="s">
        <v>290</v>
      </c>
      <c r="F5629" t="s">
        <v>948</v>
      </c>
      <c r="G5629">
        <v>1877777</v>
      </c>
      <c r="H5629">
        <v>501010</v>
      </c>
      <c r="I5629" t="s">
        <v>949</v>
      </c>
    </row>
    <row r="5630" spans="1:9" x14ac:dyDescent="0.25">
      <c r="A5630">
        <v>4220</v>
      </c>
      <c r="B5630">
        <v>18</v>
      </c>
      <c r="C5630" t="s">
        <v>946</v>
      </c>
      <c r="D5630" t="s">
        <v>991</v>
      </c>
      <c r="E5630" t="s">
        <v>290</v>
      </c>
      <c r="F5630" t="s">
        <v>948</v>
      </c>
      <c r="G5630">
        <v>1877777</v>
      </c>
      <c r="H5630">
        <v>500220</v>
      </c>
      <c r="I5630" t="s">
        <v>949</v>
      </c>
    </row>
    <row r="5631" spans="1:9" x14ac:dyDescent="0.25">
      <c r="A5631">
        <v>4230</v>
      </c>
      <c r="B5631">
        <v>18</v>
      </c>
      <c r="C5631" t="s">
        <v>946</v>
      </c>
      <c r="D5631" t="s">
        <v>991</v>
      </c>
      <c r="E5631" t="s">
        <v>290</v>
      </c>
      <c r="F5631" t="s">
        <v>948</v>
      </c>
      <c r="G5631">
        <v>1899999</v>
      </c>
      <c r="H5631">
        <v>403042</v>
      </c>
      <c r="I5631" t="s">
        <v>949</v>
      </c>
    </row>
    <row r="5632" spans="1:9" x14ac:dyDescent="0.25">
      <c r="A5632">
        <v>4240</v>
      </c>
      <c r="B5632">
        <v>18</v>
      </c>
      <c r="C5632" t="s">
        <v>946</v>
      </c>
      <c r="D5632" t="s">
        <v>991</v>
      </c>
      <c r="E5632" t="s">
        <v>290</v>
      </c>
      <c r="F5632" t="s">
        <v>948</v>
      </c>
      <c r="G5632">
        <v>1877777</v>
      </c>
      <c r="H5632">
        <v>500221</v>
      </c>
      <c r="I5632" t="s">
        <v>949</v>
      </c>
    </row>
    <row r="5633" spans="1:9" x14ac:dyDescent="0.25">
      <c r="A5633">
        <v>4141</v>
      </c>
      <c r="B5633">
        <v>18</v>
      </c>
      <c r="C5633" t="s">
        <v>946</v>
      </c>
      <c r="D5633" t="s">
        <v>991</v>
      </c>
      <c r="E5633" t="s">
        <v>294</v>
      </c>
      <c r="F5633" t="s">
        <v>948</v>
      </c>
      <c r="G5633">
        <v>1877777</v>
      </c>
      <c r="H5633">
        <v>501010</v>
      </c>
      <c r="I5633" t="s">
        <v>949</v>
      </c>
    </row>
    <row r="5634" spans="1:9" x14ac:dyDescent="0.25">
      <c r="A5634">
        <v>4220</v>
      </c>
      <c r="B5634">
        <v>18</v>
      </c>
      <c r="C5634" t="s">
        <v>946</v>
      </c>
      <c r="D5634" t="s">
        <v>991</v>
      </c>
      <c r="E5634" t="s">
        <v>294</v>
      </c>
      <c r="F5634" t="s">
        <v>948</v>
      </c>
      <c r="G5634">
        <v>1877777</v>
      </c>
      <c r="H5634">
        <v>500220</v>
      </c>
      <c r="I5634" t="s">
        <v>949</v>
      </c>
    </row>
    <row r="5635" spans="1:9" x14ac:dyDescent="0.25">
      <c r="A5635">
        <v>4230</v>
      </c>
      <c r="B5635">
        <v>18</v>
      </c>
      <c r="C5635" t="s">
        <v>946</v>
      </c>
      <c r="D5635" t="s">
        <v>991</v>
      </c>
      <c r="E5635" t="s">
        <v>294</v>
      </c>
      <c r="F5635" t="s">
        <v>948</v>
      </c>
      <c r="G5635">
        <v>1899999</v>
      </c>
      <c r="H5635">
        <v>403042</v>
      </c>
      <c r="I5635" t="s">
        <v>949</v>
      </c>
    </row>
    <row r="5636" spans="1:9" x14ac:dyDescent="0.25">
      <c r="A5636">
        <v>4240</v>
      </c>
      <c r="B5636">
        <v>18</v>
      </c>
      <c r="C5636" t="s">
        <v>946</v>
      </c>
      <c r="D5636" t="s">
        <v>991</v>
      </c>
      <c r="E5636" t="s">
        <v>294</v>
      </c>
      <c r="F5636" t="s">
        <v>948</v>
      </c>
      <c r="G5636">
        <v>1877777</v>
      </c>
      <c r="H5636">
        <v>500221</v>
      </c>
      <c r="I5636" t="s">
        <v>949</v>
      </c>
    </row>
    <row r="5637" spans="1:9" x14ac:dyDescent="0.25">
      <c r="A5637">
        <v>4230</v>
      </c>
      <c r="B5637">
        <v>18</v>
      </c>
      <c r="C5637" t="s">
        <v>946</v>
      </c>
      <c r="D5637" t="s">
        <v>991</v>
      </c>
      <c r="E5637" t="s">
        <v>298</v>
      </c>
      <c r="F5637" t="s">
        <v>948</v>
      </c>
      <c r="G5637">
        <v>1899999</v>
      </c>
      <c r="H5637">
        <v>403082</v>
      </c>
      <c r="I5637" t="s">
        <v>949</v>
      </c>
    </row>
    <row r="5638" spans="1:9" x14ac:dyDescent="0.25">
      <c r="A5638">
        <v>4141</v>
      </c>
      <c r="B5638">
        <v>18</v>
      </c>
      <c r="C5638" t="s">
        <v>946</v>
      </c>
      <c r="D5638" t="s">
        <v>991</v>
      </c>
      <c r="E5638" t="s">
        <v>980</v>
      </c>
      <c r="F5638" t="s">
        <v>948</v>
      </c>
      <c r="G5638">
        <v>1877777</v>
      </c>
      <c r="H5638">
        <v>501010</v>
      </c>
      <c r="I5638" t="s">
        <v>949</v>
      </c>
    </row>
    <row r="5639" spans="1:9" x14ac:dyDescent="0.25">
      <c r="A5639">
        <v>4220</v>
      </c>
      <c r="B5639">
        <v>18</v>
      </c>
      <c r="C5639" t="s">
        <v>946</v>
      </c>
      <c r="D5639" t="s">
        <v>991</v>
      </c>
      <c r="E5639" t="s">
        <v>980</v>
      </c>
      <c r="F5639" t="s">
        <v>948</v>
      </c>
      <c r="G5639">
        <v>1877777</v>
      </c>
      <c r="H5639">
        <v>500220</v>
      </c>
      <c r="I5639" t="s">
        <v>949</v>
      </c>
    </row>
    <row r="5640" spans="1:9" x14ac:dyDescent="0.25">
      <c r="A5640">
        <v>4230</v>
      </c>
      <c r="B5640">
        <v>18</v>
      </c>
      <c r="C5640" t="s">
        <v>946</v>
      </c>
      <c r="D5640" t="s">
        <v>991</v>
      </c>
      <c r="E5640" t="s">
        <v>980</v>
      </c>
      <c r="F5640" t="s">
        <v>948</v>
      </c>
      <c r="G5640">
        <v>1899999</v>
      </c>
      <c r="H5640">
        <v>403912</v>
      </c>
      <c r="I5640" t="s">
        <v>949</v>
      </c>
    </row>
    <row r="5641" spans="1:9" x14ac:dyDescent="0.25">
      <c r="A5641">
        <v>4240</v>
      </c>
      <c r="B5641">
        <v>18</v>
      </c>
      <c r="C5641" t="s">
        <v>946</v>
      </c>
      <c r="D5641" t="s">
        <v>991</v>
      </c>
      <c r="E5641" t="s">
        <v>980</v>
      </c>
      <c r="F5641" t="s">
        <v>948</v>
      </c>
      <c r="G5641">
        <v>1877777</v>
      </c>
      <c r="H5641">
        <v>500221</v>
      </c>
      <c r="I5641" t="s">
        <v>949</v>
      </c>
    </row>
    <row r="5642" spans="1:9" x14ac:dyDescent="0.25">
      <c r="A5642">
        <v>4141</v>
      </c>
      <c r="B5642">
        <v>18</v>
      </c>
      <c r="C5642" t="s">
        <v>946</v>
      </c>
      <c r="D5642" t="s">
        <v>991</v>
      </c>
      <c r="E5642" t="s">
        <v>302</v>
      </c>
      <c r="F5642" t="s">
        <v>948</v>
      </c>
      <c r="G5642">
        <v>1877777</v>
      </c>
      <c r="H5642">
        <v>501010</v>
      </c>
      <c r="I5642" t="s">
        <v>949</v>
      </c>
    </row>
    <row r="5643" spans="1:9" x14ac:dyDescent="0.25">
      <c r="A5643">
        <v>4220</v>
      </c>
      <c r="B5643">
        <v>18</v>
      </c>
      <c r="C5643" t="s">
        <v>946</v>
      </c>
      <c r="D5643" t="s">
        <v>991</v>
      </c>
      <c r="E5643" t="s">
        <v>302</v>
      </c>
      <c r="F5643" t="s">
        <v>948</v>
      </c>
      <c r="G5643">
        <v>1877777</v>
      </c>
      <c r="H5643">
        <v>500220</v>
      </c>
      <c r="I5643" t="s">
        <v>949</v>
      </c>
    </row>
    <row r="5644" spans="1:9" x14ac:dyDescent="0.25">
      <c r="A5644">
        <v>4230</v>
      </c>
      <c r="B5644">
        <v>18</v>
      </c>
      <c r="C5644" t="s">
        <v>946</v>
      </c>
      <c r="D5644" t="s">
        <v>991</v>
      </c>
      <c r="E5644" t="s">
        <v>302</v>
      </c>
      <c r="F5644" t="s">
        <v>948</v>
      </c>
      <c r="G5644">
        <v>1899999</v>
      </c>
      <c r="H5644">
        <v>401902</v>
      </c>
      <c r="I5644" t="s">
        <v>949</v>
      </c>
    </row>
    <row r="5645" spans="1:9" x14ac:dyDescent="0.25">
      <c r="A5645">
        <v>4240</v>
      </c>
      <c r="B5645">
        <v>18</v>
      </c>
      <c r="C5645" t="s">
        <v>946</v>
      </c>
      <c r="D5645" t="s">
        <v>991</v>
      </c>
      <c r="E5645" t="s">
        <v>302</v>
      </c>
      <c r="F5645" t="s">
        <v>948</v>
      </c>
      <c r="G5645">
        <v>1877777</v>
      </c>
      <c r="H5645">
        <v>500221</v>
      </c>
      <c r="I5645" t="s">
        <v>949</v>
      </c>
    </row>
    <row r="5646" spans="1:9" x14ac:dyDescent="0.25">
      <c r="A5646">
        <v>4141</v>
      </c>
      <c r="B5646">
        <v>18</v>
      </c>
      <c r="C5646" t="s">
        <v>946</v>
      </c>
      <c r="D5646" t="s">
        <v>991</v>
      </c>
      <c r="E5646" t="s">
        <v>306</v>
      </c>
      <c r="F5646" t="s">
        <v>948</v>
      </c>
      <c r="G5646">
        <v>1877777</v>
      </c>
      <c r="H5646">
        <v>501010</v>
      </c>
      <c r="I5646" t="s">
        <v>949</v>
      </c>
    </row>
    <row r="5647" spans="1:9" x14ac:dyDescent="0.25">
      <c r="A5647">
        <v>4220</v>
      </c>
      <c r="B5647">
        <v>18</v>
      </c>
      <c r="C5647" t="s">
        <v>946</v>
      </c>
      <c r="D5647" t="s">
        <v>991</v>
      </c>
      <c r="E5647" t="s">
        <v>306</v>
      </c>
      <c r="F5647" t="s">
        <v>948</v>
      </c>
      <c r="G5647">
        <v>1877777</v>
      </c>
      <c r="H5647">
        <v>500220</v>
      </c>
      <c r="I5647" t="s">
        <v>949</v>
      </c>
    </row>
    <row r="5648" spans="1:9" x14ac:dyDescent="0.25">
      <c r="A5648">
        <v>4230</v>
      </c>
      <c r="B5648">
        <v>18</v>
      </c>
      <c r="C5648" t="s">
        <v>946</v>
      </c>
      <c r="D5648" t="s">
        <v>991</v>
      </c>
      <c r="E5648" t="s">
        <v>306</v>
      </c>
      <c r="F5648" t="s">
        <v>948</v>
      </c>
      <c r="G5648">
        <v>1899999</v>
      </c>
      <c r="H5648">
        <v>403042</v>
      </c>
      <c r="I5648" t="s">
        <v>949</v>
      </c>
    </row>
    <row r="5649" spans="1:9" x14ac:dyDescent="0.25">
      <c r="A5649">
        <v>4240</v>
      </c>
      <c r="B5649">
        <v>18</v>
      </c>
      <c r="C5649" t="s">
        <v>946</v>
      </c>
      <c r="D5649" t="s">
        <v>991</v>
      </c>
      <c r="E5649" t="s">
        <v>306</v>
      </c>
      <c r="F5649" t="s">
        <v>948</v>
      </c>
      <c r="G5649">
        <v>1877777</v>
      </c>
      <c r="H5649">
        <v>500221</v>
      </c>
      <c r="I5649" t="s">
        <v>949</v>
      </c>
    </row>
    <row r="5650" spans="1:9" x14ac:dyDescent="0.25">
      <c r="A5650">
        <v>4141</v>
      </c>
      <c r="B5650">
        <v>18</v>
      </c>
      <c r="C5650" t="s">
        <v>946</v>
      </c>
      <c r="D5650" t="s">
        <v>991</v>
      </c>
      <c r="E5650" t="s">
        <v>108</v>
      </c>
      <c r="F5650" t="s">
        <v>948</v>
      </c>
      <c r="G5650">
        <v>1877777</v>
      </c>
      <c r="H5650">
        <v>500220</v>
      </c>
      <c r="I5650" t="s">
        <v>949</v>
      </c>
    </row>
    <row r="5651" spans="1:9" x14ac:dyDescent="0.25">
      <c r="A5651">
        <v>4220</v>
      </c>
      <c r="B5651">
        <v>18</v>
      </c>
      <c r="C5651" t="s">
        <v>946</v>
      </c>
      <c r="D5651" t="s">
        <v>991</v>
      </c>
      <c r="E5651" t="s">
        <v>108</v>
      </c>
      <c r="F5651" t="s">
        <v>948</v>
      </c>
      <c r="G5651">
        <v>1877777</v>
      </c>
      <c r="H5651">
        <v>500220</v>
      </c>
      <c r="I5651" t="s">
        <v>949</v>
      </c>
    </row>
    <row r="5652" spans="1:9" x14ac:dyDescent="0.25">
      <c r="A5652">
        <v>4230</v>
      </c>
      <c r="B5652">
        <v>18</v>
      </c>
      <c r="C5652" t="s">
        <v>946</v>
      </c>
      <c r="D5652" t="s">
        <v>991</v>
      </c>
      <c r="E5652" t="s">
        <v>108</v>
      </c>
      <c r="F5652" t="s">
        <v>948</v>
      </c>
      <c r="G5652">
        <v>1899999</v>
      </c>
      <c r="H5652">
        <v>403042</v>
      </c>
      <c r="I5652" t="s">
        <v>949</v>
      </c>
    </row>
    <row r="5653" spans="1:9" x14ac:dyDescent="0.25">
      <c r="A5653">
        <v>4240</v>
      </c>
      <c r="B5653">
        <v>18</v>
      </c>
      <c r="C5653" t="s">
        <v>946</v>
      </c>
      <c r="D5653" t="s">
        <v>991</v>
      </c>
      <c r="E5653" t="s">
        <v>108</v>
      </c>
      <c r="F5653" t="s">
        <v>948</v>
      </c>
      <c r="G5653">
        <v>1877777</v>
      </c>
      <c r="H5653">
        <v>500221</v>
      </c>
      <c r="I5653" t="s">
        <v>949</v>
      </c>
    </row>
    <row r="5654" spans="1:9" x14ac:dyDescent="0.25">
      <c r="A5654">
        <v>4141</v>
      </c>
      <c r="B5654">
        <v>18</v>
      </c>
      <c r="C5654" t="s">
        <v>946</v>
      </c>
      <c r="D5654" t="s">
        <v>991</v>
      </c>
      <c r="E5654" t="s">
        <v>310</v>
      </c>
      <c r="F5654" t="s">
        <v>948</v>
      </c>
      <c r="G5654">
        <v>1877777</v>
      </c>
      <c r="H5654">
        <v>501010</v>
      </c>
      <c r="I5654" t="s">
        <v>949</v>
      </c>
    </row>
    <row r="5655" spans="1:9" x14ac:dyDescent="0.25">
      <c r="A5655">
        <v>4220</v>
      </c>
      <c r="B5655">
        <v>18</v>
      </c>
      <c r="C5655" t="s">
        <v>946</v>
      </c>
      <c r="D5655" t="s">
        <v>991</v>
      </c>
      <c r="E5655" t="s">
        <v>310</v>
      </c>
      <c r="F5655" t="s">
        <v>948</v>
      </c>
      <c r="G5655">
        <v>1877777</v>
      </c>
      <c r="H5655">
        <v>500220</v>
      </c>
      <c r="I5655" t="s">
        <v>949</v>
      </c>
    </row>
    <row r="5656" spans="1:9" x14ac:dyDescent="0.25">
      <c r="A5656">
        <v>4230</v>
      </c>
      <c r="B5656">
        <v>18</v>
      </c>
      <c r="C5656" t="s">
        <v>946</v>
      </c>
      <c r="D5656" t="s">
        <v>991</v>
      </c>
      <c r="E5656" t="s">
        <v>310</v>
      </c>
      <c r="F5656" t="s">
        <v>948</v>
      </c>
      <c r="G5656">
        <v>1899999</v>
      </c>
      <c r="H5656">
        <v>403012</v>
      </c>
      <c r="I5656" t="s">
        <v>949</v>
      </c>
    </row>
    <row r="5657" spans="1:9" x14ac:dyDescent="0.25">
      <c r="A5657">
        <v>4240</v>
      </c>
      <c r="B5657">
        <v>18</v>
      </c>
      <c r="C5657" t="s">
        <v>946</v>
      </c>
      <c r="D5657" t="s">
        <v>991</v>
      </c>
      <c r="E5657" t="s">
        <v>310</v>
      </c>
      <c r="F5657" t="s">
        <v>948</v>
      </c>
      <c r="G5657">
        <v>1877777</v>
      </c>
      <c r="H5657">
        <v>500221</v>
      </c>
      <c r="I5657" t="s">
        <v>949</v>
      </c>
    </row>
    <row r="5658" spans="1:9" x14ac:dyDescent="0.25">
      <c r="A5658">
        <v>4141</v>
      </c>
      <c r="B5658">
        <v>18</v>
      </c>
      <c r="C5658" t="s">
        <v>946</v>
      </c>
      <c r="D5658" t="s">
        <v>991</v>
      </c>
      <c r="E5658" t="s">
        <v>314</v>
      </c>
      <c r="F5658" t="s">
        <v>948</v>
      </c>
      <c r="G5658">
        <v>1877777</v>
      </c>
      <c r="H5658">
        <v>501010</v>
      </c>
      <c r="I5658" t="s">
        <v>949</v>
      </c>
    </row>
    <row r="5659" spans="1:9" x14ac:dyDescent="0.25">
      <c r="A5659">
        <v>4220</v>
      </c>
      <c r="B5659">
        <v>18</v>
      </c>
      <c r="C5659" t="s">
        <v>946</v>
      </c>
      <c r="D5659" t="s">
        <v>991</v>
      </c>
      <c r="E5659" t="s">
        <v>314</v>
      </c>
      <c r="F5659" t="s">
        <v>948</v>
      </c>
      <c r="G5659">
        <v>1877777</v>
      </c>
      <c r="H5659">
        <v>500220</v>
      </c>
      <c r="I5659" t="s">
        <v>949</v>
      </c>
    </row>
    <row r="5660" spans="1:9" x14ac:dyDescent="0.25">
      <c r="A5660">
        <v>4230</v>
      </c>
      <c r="B5660">
        <v>18</v>
      </c>
      <c r="C5660" t="s">
        <v>946</v>
      </c>
      <c r="D5660" t="s">
        <v>991</v>
      </c>
      <c r="E5660" t="s">
        <v>314</v>
      </c>
      <c r="F5660" t="s">
        <v>948</v>
      </c>
      <c r="G5660">
        <v>1899999</v>
      </c>
      <c r="H5660">
        <v>403062</v>
      </c>
      <c r="I5660" t="s">
        <v>949</v>
      </c>
    </row>
    <row r="5661" spans="1:9" x14ac:dyDescent="0.25">
      <c r="A5661">
        <v>4240</v>
      </c>
      <c r="B5661">
        <v>18</v>
      </c>
      <c r="C5661" t="s">
        <v>946</v>
      </c>
      <c r="D5661" t="s">
        <v>991</v>
      </c>
      <c r="E5661" t="s">
        <v>314</v>
      </c>
      <c r="F5661" t="s">
        <v>948</v>
      </c>
      <c r="G5661">
        <v>1877777</v>
      </c>
      <c r="H5661">
        <v>500221</v>
      </c>
      <c r="I5661" t="s">
        <v>949</v>
      </c>
    </row>
    <row r="5662" spans="1:9" x14ac:dyDescent="0.25">
      <c r="A5662">
        <v>4141</v>
      </c>
      <c r="B5662">
        <v>18</v>
      </c>
      <c r="C5662" t="s">
        <v>946</v>
      </c>
      <c r="D5662" t="s">
        <v>991</v>
      </c>
      <c r="E5662" t="s">
        <v>113</v>
      </c>
      <c r="F5662" t="s">
        <v>948</v>
      </c>
      <c r="G5662">
        <v>1877777</v>
      </c>
      <c r="H5662">
        <v>500220</v>
      </c>
      <c r="I5662" t="s">
        <v>949</v>
      </c>
    </row>
    <row r="5663" spans="1:9" x14ac:dyDescent="0.25">
      <c r="A5663">
        <v>4220</v>
      </c>
      <c r="B5663">
        <v>18</v>
      </c>
      <c r="C5663" t="s">
        <v>946</v>
      </c>
      <c r="D5663" t="s">
        <v>991</v>
      </c>
      <c r="E5663" t="s">
        <v>113</v>
      </c>
      <c r="F5663" t="s">
        <v>948</v>
      </c>
      <c r="G5663">
        <v>1877777</v>
      </c>
      <c r="H5663">
        <v>500220</v>
      </c>
      <c r="I5663" t="s">
        <v>949</v>
      </c>
    </row>
    <row r="5664" spans="1:9" x14ac:dyDescent="0.25">
      <c r="A5664">
        <v>4230</v>
      </c>
      <c r="B5664">
        <v>18</v>
      </c>
      <c r="C5664" t="s">
        <v>946</v>
      </c>
      <c r="D5664" t="s">
        <v>991</v>
      </c>
      <c r="E5664" t="s">
        <v>113</v>
      </c>
      <c r="F5664" t="s">
        <v>948</v>
      </c>
      <c r="G5664">
        <v>1899999</v>
      </c>
      <c r="H5664">
        <v>403082</v>
      </c>
      <c r="I5664" t="s">
        <v>949</v>
      </c>
    </row>
    <row r="5665" spans="1:9" x14ac:dyDescent="0.25">
      <c r="A5665">
        <v>4240</v>
      </c>
      <c r="B5665">
        <v>18</v>
      </c>
      <c r="C5665" t="s">
        <v>946</v>
      </c>
      <c r="D5665" t="s">
        <v>991</v>
      </c>
      <c r="E5665" t="s">
        <v>113</v>
      </c>
      <c r="F5665" t="s">
        <v>948</v>
      </c>
      <c r="G5665">
        <v>1877777</v>
      </c>
      <c r="H5665">
        <v>500221</v>
      </c>
      <c r="I5665" t="s">
        <v>949</v>
      </c>
    </row>
    <row r="5666" spans="1:9" x14ac:dyDescent="0.25">
      <c r="A5666">
        <v>4141</v>
      </c>
      <c r="B5666">
        <v>18</v>
      </c>
      <c r="C5666" t="s">
        <v>946</v>
      </c>
      <c r="D5666" t="s">
        <v>991</v>
      </c>
      <c r="E5666" t="s">
        <v>117</v>
      </c>
      <c r="F5666" t="s">
        <v>948</v>
      </c>
      <c r="G5666">
        <v>1877777</v>
      </c>
      <c r="H5666">
        <v>500220</v>
      </c>
      <c r="I5666" t="s">
        <v>949</v>
      </c>
    </row>
    <row r="5667" spans="1:9" x14ac:dyDescent="0.25">
      <c r="A5667">
        <v>4220</v>
      </c>
      <c r="B5667">
        <v>18</v>
      </c>
      <c r="C5667" t="s">
        <v>946</v>
      </c>
      <c r="D5667" t="s">
        <v>991</v>
      </c>
      <c r="E5667" t="s">
        <v>117</v>
      </c>
      <c r="F5667" t="s">
        <v>948</v>
      </c>
      <c r="G5667">
        <v>1877777</v>
      </c>
      <c r="H5667">
        <v>500220</v>
      </c>
      <c r="I5667" t="s">
        <v>949</v>
      </c>
    </row>
    <row r="5668" spans="1:9" x14ac:dyDescent="0.25">
      <c r="A5668">
        <v>4230</v>
      </c>
      <c r="B5668">
        <v>18</v>
      </c>
      <c r="C5668" t="s">
        <v>946</v>
      </c>
      <c r="D5668" t="s">
        <v>991</v>
      </c>
      <c r="E5668" t="s">
        <v>117</v>
      </c>
      <c r="F5668" t="s">
        <v>948</v>
      </c>
      <c r="G5668">
        <v>1888888</v>
      </c>
      <c r="H5668">
        <v>810600</v>
      </c>
      <c r="I5668" t="s">
        <v>949</v>
      </c>
    </row>
    <row r="5669" spans="1:9" x14ac:dyDescent="0.25">
      <c r="A5669">
        <v>4240</v>
      </c>
      <c r="B5669">
        <v>18</v>
      </c>
      <c r="C5669" t="s">
        <v>946</v>
      </c>
      <c r="D5669" t="s">
        <v>991</v>
      </c>
      <c r="E5669" t="s">
        <v>117</v>
      </c>
      <c r="F5669" t="s">
        <v>948</v>
      </c>
      <c r="G5669">
        <v>1877777</v>
      </c>
      <c r="H5669">
        <v>500221</v>
      </c>
      <c r="I5669" t="s">
        <v>949</v>
      </c>
    </row>
    <row r="5670" spans="1:9" x14ac:dyDescent="0.25">
      <c r="A5670">
        <v>4141</v>
      </c>
      <c r="B5670">
        <v>18</v>
      </c>
      <c r="C5670" t="s">
        <v>946</v>
      </c>
      <c r="D5670" t="s">
        <v>991</v>
      </c>
      <c r="E5670" t="s">
        <v>121</v>
      </c>
      <c r="F5670" t="s">
        <v>948</v>
      </c>
      <c r="G5670">
        <v>1877777</v>
      </c>
      <c r="H5670">
        <v>500220</v>
      </c>
      <c r="I5670" t="s">
        <v>949</v>
      </c>
    </row>
    <row r="5671" spans="1:9" x14ac:dyDescent="0.25">
      <c r="A5671">
        <v>4220</v>
      </c>
      <c r="B5671">
        <v>18</v>
      </c>
      <c r="C5671" t="s">
        <v>946</v>
      </c>
      <c r="D5671" t="s">
        <v>991</v>
      </c>
      <c r="E5671" t="s">
        <v>121</v>
      </c>
      <c r="F5671" t="s">
        <v>948</v>
      </c>
      <c r="G5671">
        <v>1877777</v>
      </c>
      <c r="H5671">
        <v>500220</v>
      </c>
      <c r="I5671" t="s">
        <v>949</v>
      </c>
    </row>
    <row r="5672" spans="1:9" x14ac:dyDescent="0.25">
      <c r="A5672">
        <v>4230</v>
      </c>
      <c r="B5672">
        <v>18</v>
      </c>
      <c r="C5672" t="s">
        <v>946</v>
      </c>
      <c r="D5672" t="s">
        <v>991</v>
      </c>
      <c r="E5672" t="s">
        <v>121</v>
      </c>
      <c r="F5672" t="s">
        <v>948</v>
      </c>
      <c r="G5672">
        <v>1899999</v>
      </c>
      <c r="H5672">
        <v>403042</v>
      </c>
      <c r="I5672" t="s">
        <v>949</v>
      </c>
    </row>
    <row r="5673" spans="1:9" x14ac:dyDescent="0.25">
      <c r="A5673">
        <v>4240</v>
      </c>
      <c r="B5673">
        <v>18</v>
      </c>
      <c r="C5673" t="s">
        <v>946</v>
      </c>
      <c r="D5673" t="s">
        <v>991</v>
      </c>
      <c r="E5673" t="s">
        <v>121</v>
      </c>
      <c r="F5673" t="s">
        <v>948</v>
      </c>
      <c r="G5673">
        <v>1877777</v>
      </c>
      <c r="H5673">
        <v>500221</v>
      </c>
      <c r="I5673" t="s">
        <v>949</v>
      </c>
    </row>
    <row r="5674" spans="1:9" x14ac:dyDescent="0.25">
      <c r="A5674">
        <v>4141</v>
      </c>
      <c r="B5674">
        <v>18</v>
      </c>
      <c r="C5674" t="s">
        <v>946</v>
      </c>
      <c r="D5674" t="s">
        <v>991</v>
      </c>
      <c r="E5674" t="s">
        <v>984</v>
      </c>
      <c r="F5674" t="s">
        <v>948</v>
      </c>
      <c r="G5674">
        <v>1877777</v>
      </c>
      <c r="H5674">
        <v>501010</v>
      </c>
      <c r="I5674" t="s">
        <v>949</v>
      </c>
    </row>
    <row r="5675" spans="1:9" x14ac:dyDescent="0.25">
      <c r="A5675">
        <v>4220</v>
      </c>
      <c r="B5675">
        <v>18</v>
      </c>
      <c r="C5675" t="s">
        <v>946</v>
      </c>
      <c r="D5675" t="s">
        <v>991</v>
      </c>
      <c r="E5675" t="s">
        <v>984</v>
      </c>
      <c r="F5675" t="s">
        <v>948</v>
      </c>
      <c r="G5675">
        <v>1877777</v>
      </c>
      <c r="H5675">
        <v>500220</v>
      </c>
      <c r="I5675" t="s">
        <v>949</v>
      </c>
    </row>
    <row r="5676" spans="1:9" x14ac:dyDescent="0.25">
      <c r="A5676">
        <v>4230</v>
      </c>
      <c r="B5676">
        <v>18</v>
      </c>
      <c r="C5676" t="s">
        <v>946</v>
      </c>
      <c r="D5676" t="s">
        <v>991</v>
      </c>
      <c r="E5676" t="s">
        <v>984</v>
      </c>
      <c r="F5676" t="s">
        <v>948</v>
      </c>
      <c r="G5676">
        <v>1899999</v>
      </c>
      <c r="H5676">
        <v>403912</v>
      </c>
      <c r="I5676" t="s">
        <v>949</v>
      </c>
    </row>
    <row r="5677" spans="1:9" x14ac:dyDescent="0.25">
      <c r="A5677">
        <v>4240</v>
      </c>
      <c r="B5677">
        <v>18</v>
      </c>
      <c r="C5677" t="s">
        <v>946</v>
      </c>
      <c r="D5677" t="s">
        <v>991</v>
      </c>
      <c r="E5677" t="s">
        <v>984</v>
      </c>
      <c r="F5677" t="s">
        <v>948</v>
      </c>
      <c r="G5677">
        <v>1877777</v>
      </c>
      <c r="H5677">
        <v>500221</v>
      </c>
      <c r="I5677" t="s">
        <v>949</v>
      </c>
    </row>
    <row r="5678" spans="1:9" x14ac:dyDescent="0.25">
      <c r="A5678">
        <v>4141</v>
      </c>
      <c r="B5678">
        <v>18</v>
      </c>
      <c r="C5678" t="s">
        <v>946</v>
      </c>
      <c r="D5678" t="s">
        <v>992</v>
      </c>
      <c r="E5678" t="s">
        <v>243</v>
      </c>
      <c r="F5678" t="s">
        <v>948</v>
      </c>
      <c r="G5678">
        <v>1877777</v>
      </c>
      <c r="H5678">
        <v>501010</v>
      </c>
      <c r="I5678" t="s">
        <v>949</v>
      </c>
    </row>
    <row r="5679" spans="1:9" x14ac:dyDescent="0.25">
      <c r="A5679">
        <v>4220</v>
      </c>
      <c r="B5679">
        <v>18</v>
      </c>
      <c r="C5679" t="s">
        <v>946</v>
      </c>
      <c r="D5679" t="s">
        <v>992</v>
      </c>
      <c r="E5679" t="s">
        <v>243</v>
      </c>
      <c r="F5679" t="s">
        <v>948</v>
      </c>
      <c r="G5679">
        <v>1877777</v>
      </c>
      <c r="H5679">
        <v>500220</v>
      </c>
      <c r="I5679" t="s">
        <v>949</v>
      </c>
    </row>
    <row r="5680" spans="1:9" x14ac:dyDescent="0.25">
      <c r="A5680">
        <v>4230</v>
      </c>
      <c r="B5680">
        <v>18</v>
      </c>
      <c r="C5680" t="s">
        <v>946</v>
      </c>
      <c r="D5680" t="s">
        <v>992</v>
      </c>
      <c r="E5680" t="s">
        <v>243</v>
      </c>
      <c r="F5680" t="s">
        <v>948</v>
      </c>
      <c r="G5680">
        <v>1899999</v>
      </c>
      <c r="H5680">
        <v>403052</v>
      </c>
      <c r="I5680" t="s">
        <v>949</v>
      </c>
    </row>
    <row r="5681" spans="1:9" x14ac:dyDescent="0.25">
      <c r="A5681">
        <v>4240</v>
      </c>
      <c r="B5681">
        <v>18</v>
      </c>
      <c r="C5681" t="s">
        <v>946</v>
      </c>
      <c r="D5681" t="s">
        <v>992</v>
      </c>
      <c r="E5681" t="s">
        <v>243</v>
      </c>
      <c r="F5681" t="s">
        <v>948</v>
      </c>
      <c r="G5681">
        <v>1877777</v>
      </c>
      <c r="H5681">
        <v>500221</v>
      </c>
      <c r="I5681" t="s">
        <v>949</v>
      </c>
    </row>
    <row r="5682" spans="1:9" x14ac:dyDescent="0.25">
      <c r="A5682">
        <v>4141</v>
      </c>
      <c r="B5682">
        <v>18</v>
      </c>
      <c r="C5682" t="s">
        <v>946</v>
      </c>
      <c r="D5682" t="s">
        <v>992</v>
      </c>
      <c r="E5682" t="s">
        <v>247</v>
      </c>
      <c r="F5682" t="s">
        <v>948</v>
      </c>
      <c r="G5682">
        <v>1877777</v>
      </c>
      <c r="H5682">
        <v>501010</v>
      </c>
      <c r="I5682" t="s">
        <v>949</v>
      </c>
    </row>
    <row r="5683" spans="1:9" x14ac:dyDescent="0.25">
      <c r="A5683">
        <v>4220</v>
      </c>
      <c r="B5683">
        <v>18</v>
      </c>
      <c r="C5683" t="s">
        <v>946</v>
      </c>
      <c r="D5683" t="s">
        <v>992</v>
      </c>
      <c r="E5683" t="s">
        <v>247</v>
      </c>
      <c r="F5683" t="s">
        <v>948</v>
      </c>
      <c r="G5683">
        <v>1877777</v>
      </c>
      <c r="H5683">
        <v>500220</v>
      </c>
      <c r="I5683" t="s">
        <v>949</v>
      </c>
    </row>
    <row r="5684" spans="1:9" x14ac:dyDescent="0.25">
      <c r="A5684">
        <v>4230</v>
      </c>
      <c r="B5684">
        <v>18</v>
      </c>
      <c r="C5684" t="s">
        <v>946</v>
      </c>
      <c r="D5684" t="s">
        <v>992</v>
      </c>
      <c r="E5684" t="s">
        <v>247</v>
      </c>
      <c r="F5684" t="s">
        <v>948</v>
      </c>
      <c r="G5684">
        <v>1899999</v>
      </c>
      <c r="H5684">
        <v>403022</v>
      </c>
      <c r="I5684" t="s">
        <v>949</v>
      </c>
    </row>
    <row r="5685" spans="1:9" x14ac:dyDescent="0.25">
      <c r="A5685">
        <v>4240</v>
      </c>
      <c r="B5685">
        <v>18</v>
      </c>
      <c r="C5685" t="s">
        <v>946</v>
      </c>
      <c r="D5685" t="s">
        <v>992</v>
      </c>
      <c r="E5685" t="s">
        <v>247</v>
      </c>
      <c r="F5685" t="s">
        <v>948</v>
      </c>
      <c r="G5685">
        <v>1877777</v>
      </c>
      <c r="H5685">
        <v>500221</v>
      </c>
      <c r="I5685" t="s">
        <v>949</v>
      </c>
    </row>
    <row r="5686" spans="1:9" x14ac:dyDescent="0.25">
      <c r="A5686">
        <v>4141</v>
      </c>
      <c r="B5686">
        <v>18</v>
      </c>
      <c r="C5686" t="s">
        <v>946</v>
      </c>
      <c r="D5686" t="s">
        <v>992</v>
      </c>
      <c r="E5686" t="s">
        <v>251</v>
      </c>
      <c r="F5686" t="s">
        <v>948</v>
      </c>
      <c r="G5686">
        <v>1877777</v>
      </c>
      <c r="H5686">
        <v>501010</v>
      </c>
      <c r="I5686" t="s">
        <v>949</v>
      </c>
    </row>
    <row r="5687" spans="1:9" x14ac:dyDescent="0.25">
      <c r="A5687">
        <v>4220</v>
      </c>
      <c r="B5687">
        <v>18</v>
      </c>
      <c r="C5687" t="s">
        <v>946</v>
      </c>
      <c r="D5687" t="s">
        <v>992</v>
      </c>
      <c r="E5687" t="s">
        <v>251</v>
      </c>
      <c r="F5687" t="s">
        <v>948</v>
      </c>
      <c r="G5687">
        <v>1877777</v>
      </c>
      <c r="H5687">
        <v>500220</v>
      </c>
      <c r="I5687" t="s">
        <v>949</v>
      </c>
    </row>
    <row r="5688" spans="1:9" x14ac:dyDescent="0.25">
      <c r="A5688">
        <v>4230</v>
      </c>
      <c r="B5688">
        <v>18</v>
      </c>
      <c r="C5688" t="s">
        <v>946</v>
      </c>
      <c r="D5688" t="s">
        <v>992</v>
      </c>
      <c r="E5688" t="s">
        <v>251</v>
      </c>
      <c r="F5688" t="s">
        <v>948</v>
      </c>
      <c r="G5688">
        <v>1899999</v>
      </c>
      <c r="H5688">
        <v>403042</v>
      </c>
      <c r="I5688" t="s">
        <v>949</v>
      </c>
    </row>
    <row r="5689" spans="1:9" x14ac:dyDescent="0.25">
      <c r="A5689">
        <v>4240</v>
      </c>
      <c r="B5689">
        <v>18</v>
      </c>
      <c r="C5689" t="s">
        <v>946</v>
      </c>
      <c r="D5689" t="s">
        <v>992</v>
      </c>
      <c r="E5689" t="s">
        <v>251</v>
      </c>
      <c r="F5689" t="s">
        <v>948</v>
      </c>
      <c r="G5689">
        <v>1877777</v>
      </c>
      <c r="H5689">
        <v>500221</v>
      </c>
      <c r="I5689" t="s">
        <v>949</v>
      </c>
    </row>
    <row r="5690" spans="1:9" x14ac:dyDescent="0.25">
      <c r="A5690">
        <v>4141</v>
      </c>
      <c r="B5690">
        <v>18</v>
      </c>
      <c r="C5690" t="s">
        <v>946</v>
      </c>
      <c r="D5690" t="s">
        <v>992</v>
      </c>
      <c r="E5690" t="s">
        <v>969</v>
      </c>
      <c r="F5690" t="s">
        <v>948</v>
      </c>
      <c r="G5690">
        <v>1877777</v>
      </c>
      <c r="H5690">
        <v>501010</v>
      </c>
      <c r="I5690" t="s">
        <v>949</v>
      </c>
    </row>
    <row r="5691" spans="1:9" x14ac:dyDescent="0.25">
      <c r="A5691">
        <v>4220</v>
      </c>
      <c r="B5691">
        <v>18</v>
      </c>
      <c r="C5691" t="s">
        <v>946</v>
      </c>
      <c r="D5691" t="s">
        <v>992</v>
      </c>
      <c r="E5691" t="s">
        <v>969</v>
      </c>
      <c r="F5691" t="s">
        <v>948</v>
      </c>
      <c r="G5691">
        <v>1877777</v>
      </c>
      <c r="H5691">
        <v>500220</v>
      </c>
      <c r="I5691" t="s">
        <v>949</v>
      </c>
    </row>
    <row r="5692" spans="1:9" x14ac:dyDescent="0.25">
      <c r="A5692">
        <v>4230</v>
      </c>
      <c r="B5692">
        <v>18</v>
      </c>
      <c r="C5692" t="s">
        <v>946</v>
      </c>
      <c r="D5692" t="s">
        <v>992</v>
      </c>
      <c r="E5692" t="s">
        <v>969</v>
      </c>
      <c r="F5692" t="s">
        <v>948</v>
      </c>
      <c r="G5692">
        <v>1899999</v>
      </c>
      <c r="H5692">
        <v>403912</v>
      </c>
      <c r="I5692" t="s">
        <v>949</v>
      </c>
    </row>
    <row r="5693" spans="1:9" x14ac:dyDescent="0.25">
      <c r="A5693">
        <v>4240</v>
      </c>
      <c r="B5693">
        <v>18</v>
      </c>
      <c r="C5693" t="s">
        <v>946</v>
      </c>
      <c r="D5693" t="s">
        <v>992</v>
      </c>
      <c r="E5693" t="s">
        <v>969</v>
      </c>
      <c r="F5693" t="s">
        <v>948</v>
      </c>
      <c r="G5693">
        <v>1877777</v>
      </c>
      <c r="H5693">
        <v>500221</v>
      </c>
      <c r="I5693" t="s">
        <v>949</v>
      </c>
    </row>
    <row r="5694" spans="1:9" x14ac:dyDescent="0.25">
      <c r="A5694">
        <v>4141</v>
      </c>
      <c r="B5694">
        <v>18</v>
      </c>
      <c r="C5694" t="s">
        <v>946</v>
      </c>
      <c r="D5694" t="s">
        <v>992</v>
      </c>
      <c r="E5694" t="s">
        <v>255</v>
      </c>
      <c r="F5694" t="s">
        <v>948</v>
      </c>
      <c r="G5694">
        <v>1877777</v>
      </c>
      <c r="H5694">
        <v>501010</v>
      </c>
      <c r="I5694" t="s">
        <v>949</v>
      </c>
    </row>
    <row r="5695" spans="1:9" x14ac:dyDescent="0.25">
      <c r="A5695">
        <v>4220</v>
      </c>
      <c r="B5695">
        <v>18</v>
      </c>
      <c r="C5695" t="s">
        <v>946</v>
      </c>
      <c r="D5695" t="s">
        <v>992</v>
      </c>
      <c r="E5695" t="s">
        <v>255</v>
      </c>
      <c r="F5695" t="s">
        <v>948</v>
      </c>
      <c r="G5695">
        <v>1877777</v>
      </c>
      <c r="H5695">
        <v>500220</v>
      </c>
      <c r="I5695" t="s">
        <v>949</v>
      </c>
    </row>
    <row r="5696" spans="1:9" x14ac:dyDescent="0.25">
      <c r="A5696">
        <v>4230</v>
      </c>
      <c r="B5696">
        <v>18</v>
      </c>
      <c r="C5696" t="s">
        <v>946</v>
      </c>
      <c r="D5696" t="s">
        <v>992</v>
      </c>
      <c r="E5696" t="s">
        <v>255</v>
      </c>
      <c r="F5696" t="s">
        <v>948</v>
      </c>
      <c r="G5696">
        <v>1899999</v>
      </c>
      <c r="H5696">
        <v>403072</v>
      </c>
      <c r="I5696" t="s">
        <v>949</v>
      </c>
    </row>
    <row r="5697" spans="1:9" x14ac:dyDescent="0.25">
      <c r="A5697">
        <v>4240</v>
      </c>
      <c r="B5697">
        <v>18</v>
      </c>
      <c r="C5697" t="s">
        <v>946</v>
      </c>
      <c r="D5697" t="s">
        <v>992</v>
      </c>
      <c r="E5697" t="s">
        <v>255</v>
      </c>
      <c r="F5697" t="s">
        <v>948</v>
      </c>
      <c r="G5697">
        <v>1877777</v>
      </c>
      <c r="H5697">
        <v>500221</v>
      </c>
      <c r="I5697" t="s">
        <v>949</v>
      </c>
    </row>
    <row r="5698" spans="1:9" x14ac:dyDescent="0.25">
      <c r="A5698">
        <v>4141</v>
      </c>
      <c r="B5698">
        <v>18</v>
      </c>
      <c r="C5698" t="s">
        <v>946</v>
      </c>
      <c r="D5698" t="s">
        <v>992</v>
      </c>
      <c r="E5698" t="s">
        <v>971</v>
      </c>
      <c r="F5698" t="s">
        <v>948</v>
      </c>
      <c r="G5698">
        <v>1877777</v>
      </c>
      <c r="H5698">
        <v>501010</v>
      </c>
      <c r="I5698" t="s">
        <v>949</v>
      </c>
    </row>
    <row r="5699" spans="1:9" x14ac:dyDescent="0.25">
      <c r="A5699">
        <v>4220</v>
      </c>
      <c r="B5699">
        <v>18</v>
      </c>
      <c r="C5699" t="s">
        <v>946</v>
      </c>
      <c r="D5699" t="s">
        <v>992</v>
      </c>
      <c r="E5699" t="s">
        <v>971</v>
      </c>
      <c r="F5699" t="s">
        <v>948</v>
      </c>
      <c r="G5699">
        <v>1877777</v>
      </c>
      <c r="H5699">
        <v>500220</v>
      </c>
      <c r="I5699" t="s">
        <v>949</v>
      </c>
    </row>
    <row r="5700" spans="1:9" x14ac:dyDescent="0.25">
      <c r="A5700">
        <v>4230</v>
      </c>
      <c r="B5700">
        <v>18</v>
      </c>
      <c r="C5700" t="s">
        <v>946</v>
      </c>
      <c r="D5700" t="s">
        <v>992</v>
      </c>
      <c r="E5700" t="s">
        <v>971</v>
      </c>
      <c r="F5700" t="s">
        <v>948</v>
      </c>
      <c r="G5700">
        <v>1899999</v>
      </c>
      <c r="H5700">
        <v>403912</v>
      </c>
      <c r="I5700" t="s">
        <v>949</v>
      </c>
    </row>
    <row r="5701" spans="1:9" x14ac:dyDescent="0.25">
      <c r="A5701">
        <v>4240</v>
      </c>
      <c r="B5701">
        <v>18</v>
      </c>
      <c r="C5701" t="s">
        <v>946</v>
      </c>
      <c r="D5701" t="s">
        <v>992</v>
      </c>
      <c r="E5701" t="s">
        <v>971</v>
      </c>
      <c r="F5701" t="s">
        <v>948</v>
      </c>
      <c r="G5701">
        <v>1877777</v>
      </c>
      <c r="H5701">
        <v>500221</v>
      </c>
      <c r="I5701" t="s">
        <v>949</v>
      </c>
    </row>
    <row r="5702" spans="1:9" x14ac:dyDescent="0.25">
      <c r="A5702">
        <v>4230</v>
      </c>
      <c r="B5702">
        <v>18</v>
      </c>
      <c r="C5702" t="s">
        <v>946</v>
      </c>
      <c r="D5702" t="s">
        <v>992</v>
      </c>
      <c r="E5702" t="s">
        <v>259</v>
      </c>
      <c r="F5702" t="s">
        <v>948</v>
      </c>
      <c r="G5702">
        <v>1899999</v>
      </c>
      <c r="H5702">
        <v>409002</v>
      </c>
      <c r="I5702" t="s">
        <v>949</v>
      </c>
    </row>
    <row r="5703" spans="1:9" x14ac:dyDescent="0.25">
      <c r="A5703">
        <v>4141</v>
      </c>
      <c r="B5703">
        <v>18</v>
      </c>
      <c r="C5703" t="s">
        <v>946</v>
      </c>
      <c r="D5703" t="s">
        <v>992</v>
      </c>
      <c r="E5703" t="s">
        <v>263</v>
      </c>
      <c r="F5703" t="s">
        <v>948</v>
      </c>
      <c r="G5703">
        <v>1877777</v>
      </c>
      <c r="H5703">
        <v>501010</v>
      </c>
      <c r="I5703" t="s">
        <v>949</v>
      </c>
    </row>
    <row r="5704" spans="1:9" x14ac:dyDescent="0.25">
      <c r="A5704">
        <v>4220</v>
      </c>
      <c r="B5704">
        <v>18</v>
      </c>
      <c r="C5704" t="s">
        <v>946</v>
      </c>
      <c r="D5704" t="s">
        <v>992</v>
      </c>
      <c r="E5704" t="s">
        <v>263</v>
      </c>
      <c r="F5704" t="s">
        <v>948</v>
      </c>
      <c r="G5704">
        <v>1877777</v>
      </c>
      <c r="H5704">
        <v>500220</v>
      </c>
      <c r="I5704" t="s">
        <v>949</v>
      </c>
    </row>
    <row r="5705" spans="1:9" x14ac:dyDescent="0.25">
      <c r="A5705">
        <v>4230</v>
      </c>
      <c r="B5705">
        <v>18</v>
      </c>
      <c r="C5705" t="s">
        <v>946</v>
      </c>
      <c r="D5705" t="s">
        <v>992</v>
      </c>
      <c r="E5705" t="s">
        <v>263</v>
      </c>
      <c r="F5705" t="s">
        <v>948</v>
      </c>
      <c r="G5705">
        <v>1899999</v>
      </c>
      <c r="H5705">
        <v>403042</v>
      </c>
      <c r="I5705" t="s">
        <v>949</v>
      </c>
    </row>
    <row r="5706" spans="1:9" x14ac:dyDescent="0.25">
      <c r="A5706">
        <v>4240</v>
      </c>
      <c r="B5706">
        <v>18</v>
      </c>
      <c r="C5706" t="s">
        <v>946</v>
      </c>
      <c r="D5706" t="s">
        <v>992</v>
      </c>
      <c r="E5706" t="s">
        <v>263</v>
      </c>
      <c r="F5706" t="s">
        <v>948</v>
      </c>
      <c r="G5706">
        <v>1877777</v>
      </c>
      <c r="H5706">
        <v>500221</v>
      </c>
      <c r="I5706" t="s">
        <v>949</v>
      </c>
    </row>
    <row r="5707" spans="1:9" x14ac:dyDescent="0.25">
      <c r="A5707">
        <v>4141</v>
      </c>
      <c r="B5707">
        <v>18</v>
      </c>
      <c r="C5707" t="s">
        <v>946</v>
      </c>
      <c r="D5707" t="s">
        <v>992</v>
      </c>
      <c r="E5707" t="s">
        <v>100</v>
      </c>
      <c r="F5707" t="s">
        <v>948</v>
      </c>
      <c r="G5707">
        <v>1877777</v>
      </c>
      <c r="H5707">
        <v>500220</v>
      </c>
      <c r="I5707" t="s">
        <v>949</v>
      </c>
    </row>
    <row r="5708" spans="1:9" x14ac:dyDescent="0.25">
      <c r="A5708">
        <v>4220</v>
      </c>
      <c r="B5708">
        <v>18</v>
      </c>
      <c r="C5708" t="s">
        <v>946</v>
      </c>
      <c r="D5708" t="s">
        <v>992</v>
      </c>
      <c r="E5708" t="s">
        <v>100</v>
      </c>
      <c r="F5708" t="s">
        <v>948</v>
      </c>
      <c r="G5708">
        <v>1877777</v>
      </c>
      <c r="H5708">
        <v>500220</v>
      </c>
      <c r="I5708" t="s">
        <v>949</v>
      </c>
    </row>
    <row r="5709" spans="1:9" x14ac:dyDescent="0.25">
      <c r="A5709">
        <v>4230</v>
      </c>
      <c r="B5709">
        <v>18</v>
      </c>
      <c r="C5709" t="s">
        <v>946</v>
      </c>
      <c r="D5709" t="s">
        <v>992</v>
      </c>
      <c r="E5709" t="s">
        <v>100</v>
      </c>
      <c r="F5709" t="s">
        <v>948</v>
      </c>
      <c r="G5709">
        <v>1899999</v>
      </c>
      <c r="H5709">
        <v>401042</v>
      </c>
      <c r="I5709" t="s">
        <v>949</v>
      </c>
    </row>
    <row r="5710" spans="1:9" x14ac:dyDescent="0.25">
      <c r="A5710">
        <v>4240</v>
      </c>
      <c r="B5710">
        <v>18</v>
      </c>
      <c r="C5710" t="s">
        <v>946</v>
      </c>
      <c r="D5710" t="s">
        <v>992</v>
      </c>
      <c r="E5710" t="s">
        <v>100</v>
      </c>
      <c r="F5710" t="s">
        <v>948</v>
      </c>
      <c r="G5710">
        <v>1877777</v>
      </c>
      <c r="H5710">
        <v>500221</v>
      </c>
      <c r="I5710" t="s">
        <v>949</v>
      </c>
    </row>
    <row r="5711" spans="1:9" x14ac:dyDescent="0.25">
      <c r="A5711">
        <v>4141</v>
      </c>
      <c r="B5711">
        <v>18</v>
      </c>
      <c r="C5711" t="s">
        <v>946</v>
      </c>
      <c r="D5711" t="s">
        <v>992</v>
      </c>
      <c r="E5711" t="s">
        <v>270</v>
      </c>
      <c r="F5711" t="s">
        <v>948</v>
      </c>
      <c r="G5711">
        <v>1877777</v>
      </c>
      <c r="H5711">
        <v>501010</v>
      </c>
      <c r="I5711" t="s">
        <v>949</v>
      </c>
    </row>
    <row r="5712" spans="1:9" x14ac:dyDescent="0.25">
      <c r="A5712">
        <v>4220</v>
      </c>
      <c r="B5712">
        <v>18</v>
      </c>
      <c r="C5712" t="s">
        <v>946</v>
      </c>
      <c r="D5712" t="s">
        <v>992</v>
      </c>
      <c r="E5712" t="s">
        <v>270</v>
      </c>
      <c r="F5712" t="s">
        <v>948</v>
      </c>
      <c r="G5712">
        <v>1877777</v>
      </c>
      <c r="H5712">
        <v>500220</v>
      </c>
      <c r="I5712" t="s">
        <v>949</v>
      </c>
    </row>
    <row r="5713" spans="1:9" x14ac:dyDescent="0.25">
      <c r="A5713">
        <v>4230</v>
      </c>
      <c r="B5713">
        <v>18</v>
      </c>
      <c r="C5713" t="s">
        <v>946</v>
      </c>
      <c r="D5713" t="s">
        <v>992</v>
      </c>
      <c r="E5713" t="s">
        <v>270</v>
      </c>
      <c r="F5713" t="s">
        <v>948</v>
      </c>
      <c r="G5713">
        <v>1899999</v>
      </c>
      <c r="H5713">
        <v>403062</v>
      </c>
      <c r="I5713" t="s">
        <v>949</v>
      </c>
    </row>
    <row r="5714" spans="1:9" x14ac:dyDescent="0.25">
      <c r="A5714">
        <v>4240</v>
      </c>
      <c r="B5714">
        <v>18</v>
      </c>
      <c r="C5714" t="s">
        <v>946</v>
      </c>
      <c r="D5714" t="s">
        <v>992</v>
      </c>
      <c r="E5714" t="s">
        <v>270</v>
      </c>
      <c r="F5714" t="s">
        <v>948</v>
      </c>
      <c r="G5714">
        <v>1877777</v>
      </c>
      <c r="H5714">
        <v>500221</v>
      </c>
      <c r="I5714" t="s">
        <v>949</v>
      </c>
    </row>
    <row r="5715" spans="1:9" x14ac:dyDescent="0.25">
      <c r="A5715">
        <v>4141</v>
      </c>
      <c r="B5715">
        <v>18</v>
      </c>
      <c r="C5715" t="s">
        <v>946</v>
      </c>
      <c r="D5715" t="s">
        <v>992</v>
      </c>
      <c r="E5715" t="s">
        <v>274</v>
      </c>
      <c r="F5715" t="s">
        <v>948</v>
      </c>
      <c r="G5715">
        <v>1877777</v>
      </c>
      <c r="H5715">
        <v>501010</v>
      </c>
      <c r="I5715" t="s">
        <v>949</v>
      </c>
    </row>
    <row r="5716" spans="1:9" x14ac:dyDescent="0.25">
      <c r="A5716">
        <v>4220</v>
      </c>
      <c r="B5716">
        <v>18</v>
      </c>
      <c r="C5716" t="s">
        <v>946</v>
      </c>
      <c r="D5716" t="s">
        <v>992</v>
      </c>
      <c r="E5716" t="s">
        <v>274</v>
      </c>
      <c r="F5716" t="s">
        <v>948</v>
      </c>
      <c r="G5716">
        <v>1877777</v>
      </c>
      <c r="H5716">
        <v>500220</v>
      </c>
      <c r="I5716" t="s">
        <v>949</v>
      </c>
    </row>
    <row r="5717" spans="1:9" x14ac:dyDescent="0.25">
      <c r="A5717">
        <v>4230</v>
      </c>
      <c r="B5717">
        <v>18</v>
      </c>
      <c r="C5717" t="s">
        <v>946</v>
      </c>
      <c r="D5717" t="s">
        <v>992</v>
      </c>
      <c r="E5717" t="s">
        <v>274</v>
      </c>
      <c r="F5717" t="s">
        <v>948</v>
      </c>
      <c r="G5717">
        <v>1899999</v>
      </c>
      <c r="H5717">
        <v>403042</v>
      </c>
      <c r="I5717" t="s">
        <v>949</v>
      </c>
    </row>
    <row r="5718" spans="1:9" x14ac:dyDescent="0.25">
      <c r="A5718">
        <v>4240</v>
      </c>
      <c r="B5718">
        <v>18</v>
      </c>
      <c r="C5718" t="s">
        <v>946</v>
      </c>
      <c r="D5718" t="s">
        <v>992</v>
      </c>
      <c r="E5718" t="s">
        <v>274</v>
      </c>
      <c r="F5718" t="s">
        <v>948</v>
      </c>
      <c r="G5718">
        <v>1877777</v>
      </c>
      <c r="H5718">
        <v>500221</v>
      </c>
      <c r="I5718" t="s">
        <v>949</v>
      </c>
    </row>
    <row r="5719" spans="1:9" x14ac:dyDescent="0.25">
      <c r="A5719">
        <v>4141</v>
      </c>
      <c r="B5719">
        <v>18</v>
      </c>
      <c r="C5719" t="s">
        <v>946</v>
      </c>
      <c r="D5719" t="s">
        <v>992</v>
      </c>
      <c r="E5719" t="s">
        <v>974</v>
      </c>
      <c r="F5719" t="s">
        <v>948</v>
      </c>
      <c r="G5719">
        <v>1877777</v>
      </c>
      <c r="H5719">
        <v>501010</v>
      </c>
      <c r="I5719" t="s">
        <v>949</v>
      </c>
    </row>
    <row r="5720" spans="1:9" x14ac:dyDescent="0.25">
      <c r="A5720">
        <v>4220</v>
      </c>
      <c r="B5720">
        <v>18</v>
      </c>
      <c r="C5720" t="s">
        <v>946</v>
      </c>
      <c r="D5720" t="s">
        <v>992</v>
      </c>
      <c r="E5720" t="s">
        <v>974</v>
      </c>
      <c r="F5720" t="s">
        <v>948</v>
      </c>
      <c r="G5720">
        <v>1877777</v>
      </c>
      <c r="H5720">
        <v>500220</v>
      </c>
      <c r="I5720" t="s">
        <v>949</v>
      </c>
    </row>
    <row r="5721" spans="1:9" x14ac:dyDescent="0.25">
      <c r="A5721">
        <v>4230</v>
      </c>
      <c r="B5721">
        <v>18</v>
      </c>
      <c r="C5721" t="s">
        <v>946</v>
      </c>
      <c r="D5721" t="s">
        <v>992</v>
      </c>
      <c r="E5721" t="s">
        <v>974</v>
      </c>
      <c r="F5721" t="s">
        <v>948</v>
      </c>
      <c r="G5721">
        <v>1899999</v>
      </c>
      <c r="H5721">
        <v>403912</v>
      </c>
      <c r="I5721" t="s">
        <v>949</v>
      </c>
    </row>
    <row r="5722" spans="1:9" x14ac:dyDescent="0.25">
      <c r="A5722">
        <v>4240</v>
      </c>
      <c r="B5722">
        <v>18</v>
      </c>
      <c r="C5722" t="s">
        <v>946</v>
      </c>
      <c r="D5722" t="s">
        <v>992</v>
      </c>
      <c r="E5722" t="s">
        <v>974</v>
      </c>
      <c r="F5722" t="s">
        <v>948</v>
      </c>
      <c r="G5722">
        <v>1877777</v>
      </c>
      <c r="H5722">
        <v>500221</v>
      </c>
      <c r="I5722" t="s">
        <v>949</v>
      </c>
    </row>
    <row r="5723" spans="1:9" x14ac:dyDescent="0.25">
      <c r="A5723">
        <v>4141</v>
      </c>
      <c r="B5723">
        <v>18</v>
      </c>
      <c r="C5723" t="s">
        <v>946</v>
      </c>
      <c r="D5723" t="s">
        <v>992</v>
      </c>
      <c r="E5723" t="s">
        <v>104</v>
      </c>
      <c r="F5723" t="s">
        <v>948</v>
      </c>
      <c r="G5723">
        <v>1877777</v>
      </c>
      <c r="H5723">
        <v>500220</v>
      </c>
      <c r="I5723" t="s">
        <v>949</v>
      </c>
    </row>
    <row r="5724" spans="1:9" x14ac:dyDescent="0.25">
      <c r="A5724">
        <v>4220</v>
      </c>
      <c r="B5724">
        <v>18</v>
      </c>
      <c r="C5724" t="s">
        <v>946</v>
      </c>
      <c r="D5724" t="s">
        <v>992</v>
      </c>
      <c r="E5724" t="s">
        <v>104</v>
      </c>
      <c r="F5724" t="s">
        <v>948</v>
      </c>
      <c r="G5724">
        <v>1877777</v>
      </c>
      <c r="H5724">
        <v>500220</v>
      </c>
      <c r="I5724" t="s">
        <v>949</v>
      </c>
    </row>
    <row r="5725" spans="1:9" x14ac:dyDescent="0.25">
      <c r="A5725">
        <v>4230</v>
      </c>
      <c r="B5725">
        <v>18</v>
      </c>
      <c r="C5725" t="s">
        <v>946</v>
      </c>
      <c r="D5725" t="s">
        <v>992</v>
      </c>
      <c r="E5725" t="s">
        <v>104</v>
      </c>
      <c r="F5725" t="s">
        <v>948</v>
      </c>
      <c r="G5725">
        <v>1899999</v>
      </c>
      <c r="H5725">
        <v>403042</v>
      </c>
      <c r="I5725" t="s">
        <v>949</v>
      </c>
    </row>
    <row r="5726" spans="1:9" x14ac:dyDescent="0.25">
      <c r="A5726">
        <v>4240</v>
      </c>
      <c r="B5726">
        <v>18</v>
      </c>
      <c r="C5726" t="s">
        <v>946</v>
      </c>
      <c r="D5726" t="s">
        <v>992</v>
      </c>
      <c r="E5726" t="s">
        <v>104</v>
      </c>
      <c r="F5726" t="s">
        <v>948</v>
      </c>
      <c r="G5726">
        <v>1877777</v>
      </c>
      <c r="H5726">
        <v>500221</v>
      </c>
      <c r="I5726" t="s">
        <v>949</v>
      </c>
    </row>
    <row r="5727" spans="1:9" x14ac:dyDescent="0.25">
      <c r="A5727">
        <v>4141</v>
      </c>
      <c r="B5727">
        <v>18</v>
      </c>
      <c r="C5727" t="s">
        <v>946</v>
      </c>
      <c r="D5727" t="s">
        <v>992</v>
      </c>
      <c r="E5727" t="s">
        <v>278</v>
      </c>
      <c r="F5727" t="s">
        <v>948</v>
      </c>
      <c r="G5727">
        <v>1877777</v>
      </c>
      <c r="H5727">
        <v>501010</v>
      </c>
      <c r="I5727" t="s">
        <v>949</v>
      </c>
    </row>
    <row r="5728" spans="1:9" x14ac:dyDescent="0.25">
      <c r="A5728">
        <v>4220</v>
      </c>
      <c r="B5728">
        <v>18</v>
      </c>
      <c r="C5728" t="s">
        <v>946</v>
      </c>
      <c r="D5728" t="s">
        <v>992</v>
      </c>
      <c r="E5728" t="s">
        <v>278</v>
      </c>
      <c r="F5728" t="s">
        <v>948</v>
      </c>
      <c r="G5728">
        <v>1877777</v>
      </c>
      <c r="H5728">
        <v>500220</v>
      </c>
      <c r="I5728" t="s">
        <v>949</v>
      </c>
    </row>
    <row r="5729" spans="1:9" x14ac:dyDescent="0.25">
      <c r="A5729">
        <v>4230</v>
      </c>
      <c r="B5729">
        <v>18</v>
      </c>
      <c r="C5729" t="s">
        <v>946</v>
      </c>
      <c r="D5729" t="s">
        <v>992</v>
      </c>
      <c r="E5729" t="s">
        <v>278</v>
      </c>
      <c r="F5729" t="s">
        <v>948</v>
      </c>
      <c r="G5729">
        <v>1899999</v>
      </c>
      <c r="H5729">
        <v>403052</v>
      </c>
      <c r="I5729" t="s">
        <v>949</v>
      </c>
    </row>
    <row r="5730" spans="1:9" x14ac:dyDescent="0.25">
      <c r="A5730">
        <v>4240</v>
      </c>
      <c r="B5730">
        <v>18</v>
      </c>
      <c r="C5730" t="s">
        <v>946</v>
      </c>
      <c r="D5730" t="s">
        <v>992</v>
      </c>
      <c r="E5730" t="s">
        <v>278</v>
      </c>
      <c r="F5730" t="s">
        <v>948</v>
      </c>
      <c r="G5730">
        <v>1877777</v>
      </c>
      <c r="H5730">
        <v>500221</v>
      </c>
      <c r="I5730" t="s">
        <v>949</v>
      </c>
    </row>
    <row r="5731" spans="1:9" x14ac:dyDescent="0.25">
      <c r="A5731">
        <v>4141</v>
      </c>
      <c r="B5731">
        <v>18</v>
      </c>
      <c r="C5731" t="s">
        <v>946</v>
      </c>
      <c r="D5731" t="s">
        <v>992</v>
      </c>
      <c r="E5731" t="s">
        <v>282</v>
      </c>
      <c r="F5731" t="s">
        <v>948</v>
      </c>
      <c r="G5731">
        <v>1877777</v>
      </c>
      <c r="H5731">
        <v>501010</v>
      </c>
      <c r="I5731" t="s">
        <v>949</v>
      </c>
    </row>
    <row r="5732" spans="1:9" x14ac:dyDescent="0.25">
      <c r="A5732">
        <v>4220</v>
      </c>
      <c r="B5732">
        <v>18</v>
      </c>
      <c r="C5732" t="s">
        <v>946</v>
      </c>
      <c r="D5732" t="s">
        <v>992</v>
      </c>
      <c r="E5732" t="s">
        <v>282</v>
      </c>
      <c r="F5732" t="s">
        <v>948</v>
      </c>
      <c r="G5732">
        <v>1877777</v>
      </c>
      <c r="H5732">
        <v>500220</v>
      </c>
      <c r="I5732" t="s">
        <v>949</v>
      </c>
    </row>
    <row r="5733" spans="1:9" x14ac:dyDescent="0.25">
      <c r="A5733">
        <v>4240</v>
      </c>
      <c r="B5733">
        <v>18</v>
      </c>
      <c r="C5733" t="s">
        <v>946</v>
      </c>
      <c r="D5733" t="s">
        <v>992</v>
      </c>
      <c r="E5733" t="s">
        <v>282</v>
      </c>
      <c r="F5733" t="s">
        <v>948</v>
      </c>
      <c r="G5733">
        <v>1877777</v>
      </c>
      <c r="H5733">
        <v>500221</v>
      </c>
      <c r="I5733" t="s">
        <v>949</v>
      </c>
    </row>
    <row r="5734" spans="1:9" x14ac:dyDescent="0.25">
      <c r="A5734">
        <v>4141</v>
      </c>
      <c r="B5734">
        <v>18</v>
      </c>
      <c r="C5734" t="s">
        <v>946</v>
      </c>
      <c r="D5734" t="s">
        <v>992</v>
      </c>
      <c r="E5734" t="s">
        <v>286</v>
      </c>
      <c r="F5734" t="s">
        <v>948</v>
      </c>
      <c r="G5734">
        <v>1877777</v>
      </c>
      <c r="H5734">
        <v>501010</v>
      </c>
      <c r="I5734" t="s">
        <v>949</v>
      </c>
    </row>
    <row r="5735" spans="1:9" x14ac:dyDescent="0.25">
      <c r="A5735">
        <v>4220</v>
      </c>
      <c r="B5735">
        <v>18</v>
      </c>
      <c r="C5735" t="s">
        <v>946</v>
      </c>
      <c r="D5735" t="s">
        <v>992</v>
      </c>
      <c r="E5735" t="s">
        <v>286</v>
      </c>
      <c r="F5735" t="s">
        <v>948</v>
      </c>
      <c r="G5735">
        <v>1877777</v>
      </c>
      <c r="H5735">
        <v>500220</v>
      </c>
      <c r="I5735" t="s">
        <v>949</v>
      </c>
    </row>
    <row r="5736" spans="1:9" x14ac:dyDescent="0.25">
      <c r="A5736">
        <v>4230</v>
      </c>
      <c r="B5736">
        <v>18</v>
      </c>
      <c r="C5736" t="s">
        <v>946</v>
      </c>
      <c r="D5736" t="s">
        <v>992</v>
      </c>
      <c r="E5736" t="s">
        <v>286</v>
      </c>
      <c r="F5736" t="s">
        <v>948</v>
      </c>
      <c r="G5736">
        <v>1899999</v>
      </c>
      <c r="H5736">
        <v>403032</v>
      </c>
      <c r="I5736" t="s">
        <v>949</v>
      </c>
    </row>
    <row r="5737" spans="1:9" x14ac:dyDescent="0.25">
      <c r="A5737">
        <v>4240</v>
      </c>
      <c r="B5737">
        <v>18</v>
      </c>
      <c r="C5737" t="s">
        <v>946</v>
      </c>
      <c r="D5737" t="s">
        <v>992</v>
      </c>
      <c r="E5737" t="s">
        <v>286</v>
      </c>
      <c r="F5737" t="s">
        <v>948</v>
      </c>
      <c r="G5737">
        <v>1877777</v>
      </c>
      <c r="H5737">
        <v>500221</v>
      </c>
      <c r="I5737" t="s">
        <v>949</v>
      </c>
    </row>
    <row r="5738" spans="1:9" x14ac:dyDescent="0.25">
      <c r="A5738">
        <v>4141</v>
      </c>
      <c r="B5738">
        <v>18</v>
      </c>
      <c r="C5738" t="s">
        <v>946</v>
      </c>
      <c r="D5738" t="s">
        <v>992</v>
      </c>
      <c r="E5738" t="s">
        <v>976</v>
      </c>
      <c r="F5738" t="s">
        <v>948</v>
      </c>
      <c r="G5738">
        <v>1877777</v>
      </c>
      <c r="H5738">
        <v>501010</v>
      </c>
      <c r="I5738" t="s">
        <v>949</v>
      </c>
    </row>
    <row r="5739" spans="1:9" x14ac:dyDescent="0.25">
      <c r="A5739">
        <v>4220</v>
      </c>
      <c r="B5739">
        <v>18</v>
      </c>
      <c r="C5739" t="s">
        <v>946</v>
      </c>
      <c r="D5739" t="s">
        <v>992</v>
      </c>
      <c r="E5739" t="s">
        <v>976</v>
      </c>
      <c r="F5739" t="s">
        <v>948</v>
      </c>
      <c r="G5739">
        <v>1877777</v>
      </c>
      <c r="H5739">
        <v>500220</v>
      </c>
      <c r="I5739" t="s">
        <v>949</v>
      </c>
    </row>
    <row r="5740" spans="1:9" x14ac:dyDescent="0.25">
      <c r="A5740">
        <v>4230</v>
      </c>
      <c r="B5740">
        <v>18</v>
      </c>
      <c r="C5740" t="s">
        <v>946</v>
      </c>
      <c r="D5740" t="s">
        <v>992</v>
      </c>
      <c r="E5740" t="s">
        <v>976</v>
      </c>
      <c r="F5740" t="s">
        <v>948</v>
      </c>
      <c r="G5740">
        <v>1899999</v>
      </c>
      <c r="H5740">
        <v>403912</v>
      </c>
      <c r="I5740" t="s">
        <v>949</v>
      </c>
    </row>
    <row r="5741" spans="1:9" x14ac:dyDescent="0.25">
      <c r="A5741">
        <v>4240</v>
      </c>
      <c r="B5741">
        <v>18</v>
      </c>
      <c r="C5741" t="s">
        <v>946</v>
      </c>
      <c r="D5741" t="s">
        <v>992</v>
      </c>
      <c r="E5741" t="s">
        <v>976</v>
      </c>
      <c r="F5741" t="s">
        <v>948</v>
      </c>
      <c r="G5741">
        <v>1877777</v>
      </c>
      <c r="H5741">
        <v>500221</v>
      </c>
      <c r="I5741" t="s">
        <v>949</v>
      </c>
    </row>
    <row r="5742" spans="1:9" x14ac:dyDescent="0.25">
      <c r="A5742">
        <v>4141</v>
      </c>
      <c r="B5742">
        <v>18</v>
      </c>
      <c r="C5742" t="s">
        <v>946</v>
      </c>
      <c r="D5742" t="s">
        <v>992</v>
      </c>
      <c r="E5742" t="s">
        <v>290</v>
      </c>
      <c r="F5742" t="s">
        <v>948</v>
      </c>
      <c r="G5742">
        <v>1877777</v>
      </c>
      <c r="H5742">
        <v>501010</v>
      </c>
      <c r="I5742" t="s">
        <v>949</v>
      </c>
    </row>
    <row r="5743" spans="1:9" x14ac:dyDescent="0.25">
      <c r="A5743">
        <v>4220</v>
      </c>
      <c r="B5743">
        <v>18</v>
      </c>
      <c r="C5743" t="s">
        <v>946</v>
      </c>
      <c r="D5743" t="s">
        <v>992</v>
      </c>
      <c r="E5743" t="s">
        <v>290</v>
      </c>
      <c r="F5743" t="s">
        <v>948</v>
      </c>
      <c r="G5743">
        <v>1877777</v>
      </c>
      <c r="H5743">
        <v>500220</v>
      </c>
      <c r="I5743" t="s">
        <v>949</v>
      </c>
    </row>
    <row r="5744" spans="1:9" x14ac:dyDescent="0.25">
      <c r="A5744">
        <v>4230</v>
      </c>
      <c r="B5744">
        <v>18</v>
      </c>
      <c r="C5744" t="s">
        <v>946</v>
      </c>
      <c r="D5744" t="s">
        <v>992</v>
      </c>
      <c r="E5744" t="s">
        <v>290</v>
      </c>
      <c r="F5744" t="s">
        <v>948</v>
      </c>
      <c r="G5744">
        <v>1899999</v>
      </c>
      <c r="H5744">
        <v>403042</v>
      </c>
      <c r="I5744" t="s">
        <v>949</v>
      </c>
    </row>
    <row r="5745" spans="1:9" x14ac:dyDescent="0.25">
      <c r="A5745">
        <v>4240</v>
      </c>
      <c r="B5745">
        <v>18</v>
      </c>
      <c r="C5745" t="s">
        <v>946</v>
      </c>
      <c r="D5745" t="s">
        <v>992</v>
      </c>
      <c r="E5745" t="s">
        <v>290</v>
      </c>
      <c r="F5745" t="s">
        <v>948</v>
      </c>
      <c r="G5745">
        <v>1877777</v>
      </c>
      <c r="H5745">
        <v>500221</v>
      </c>
      <c r="I5745" t="s">
        <v>949</v>
      </c>
    </row>
    <row r="5746" spans="1:9" x14ac:dyDescent="0.25">
      <c r="A5746">
        <v>4141</v>
      </c>
      <c r="B5746">
        <v>18</v>
      </c>
      <c r="C5746" t="s">
        <v>946</v>
      </c>
      <c r="D5746" t="s">
        <v>992</v>
      </c>
      <c r="E5746" t="s">
        <v>294</v>
      </c>
      <c r="F5746" t="s">
        <v>948</v>
      </c>
      <c r="G5746">
        <v>1877777</v>
      </c>
      <c r="H5746">
        <v>501010</v>
      </c>
      <c r="I5746" t="s">
        <v>949</v>
      </c>
    </row>
    <row r="5747" spans="1:9" x14ac:dyDescent="0.25">
      <c r="A5747">
        <v>4220</v>
      </c>
      <c r="B5747">
        <v>18</v>
      </c>
      <c r="C5747" t="s">
        <v>946</v>
      </c>
      <c r="D5747" t="s">
        <v>992</v>
      </c>
      <c r="E5747" t="s">
        <v>294</v>
      </c>
      <c r="F5747" t="s">
        <v>948</v>
      </c>
      <c r="G5747">
        <v>1877777</v>
      </c>
      <c r="H5747">
        <v>500220</v>
      </c>
      <c r="I5747" t="s">
        <v>949</v>
      </c>
    </row>
    <row r="5748" spans="1:9" x14ac:dyDescent="0.25">
      <c r="A5748">
        <v>4230</v>
      </c>
      <c r="B5748">
        <v>18</v>
      </c>
      <c r="C5748" t="s">
        <v>946</v>
      </c>
      <c r="D5748" t="s">
        <v>992</v>
      </c>
      <c r="E5748" t="s">
        <v>294</v>
      </c>
      <c r="F5748" t="s">
        <v>948</v>
      </c>
      <c r="G5748">
        <v>1899999</v>
      </c>
      <c r="H5748">
        <v>403042</v>
      </c>
      <c r="I5748" t="s">
        <v>949</v>
      </c>
    </row>
    <row r="5749" spans="1:9" x14ac:dyDescent="0.25">
      <c r="A5749">
        <v>4240</v>
      </c>
      <c r="B5749">
        <v>18</v>
      </c>
      <c r="C5749" t="s">
        <v>946</v>
      </c>
      <c r="D5749" t="s">
        <v>992</v>
      </c>
      <c r="E5749" t="s">
        <v>294</v>
      </c>
      <c r="F5749" t="s">
        <v>948</v>
      </c>
      <c r="G5749">
        <v>1877777</v>
      </c>
      <c r="H5749">
        <v>500221</v>
      </c>
      <c r="I5749" t="s">
        <v>949</v>
      </c>
    </row>
    <row r="5750" spans="1:9" x14ac:dyDescent="0.25">
      <c r="A5750">
        <v>4230</v>
      </c>
      <c r="B5750">
        <v>18</v>
      </c>
      <c r="C5750" t="s">
        <v>946</v>
      </c>
      <c r="D5750" t="s">
        <v>992</v>
      </c>
      <c r="E5750" t="s">
        <v>298</v>
      </c>
      <c r="F5750" t="s">
        <v>948</v>
      </c>
      <c r="G5750">
        <v>1899999</v>
      </c>
      <c r="H5750">
        <v>403082</v>
      </c>
      <c r="I5750" t="s">
        <v>949</v>
      </c>
    </row>
    <row r="5751" spans="1:9" x14ac:dyDescent="0.25">
      <c r="A5751">
        <v>4141</v>
      </c>
      <c r="B5751">
        <v>18</v>
      </c>
      <c r="C5751" t="s">
        <v>946</v>
      </c>
      <c r="D5751" t="s">
        <v>992</v>
      </c>
      <c r="E5751" t="s">
        <v>980</v>
      </c>
      <c r="F5751" t="s">
        <v>948</v>
      </c>
      <c r="G5751">
        <v>1877777</v>
      </c>
      <c r="H5751">
        <v>501010</v>
      </c>
      <c r="I5751" t="s">
        <v>949</v>
      </c>
    </row>
    <row r="5752" spans="1:9" x14ac:dyDescent="0.25">
      <c r="A5752">
        <v>4220</v>
      </c>
      <c r="B5752">
        <v>18</v>
      </c>
      <c r="C5752" t="s">
        <v>946</v>
      </c>
      <c r="D5752" t="s">
        <v>992</v>
      </c>
      <c r="E5752" t="s">
        <v>980</v>
      </c>
      <c r="F5752" t="s">
        <v>948</v>
      </c>
      <c r="G5752">
        <v>1877777</v>
      </c>
      <c r="H5752">
        <v>500220</v>
      </c>
      <c r="I5752" t="s">
        <v>949</v>
      </c>
    </row>
    <row r="5753" spans="1:9" x14ac:dyDescent="0.25">
      <c r="A5753">
        <v>4230</v>
      </c>
      <c r="B5753">
        <v>18</v>
      </c>
      <c r="C5753" t="s">
        <v>946</v>
      </c>
      <c r="D5753" t="s">
        <v>992</v>
      </c>
      <c r="E5753" t="s">
        <v>980</v>
      </c>
      <c r="F5753" t="s">
        <v>948</v>
      </c>
      <c r="G5753">
        <v>1899999</v>
      </c>
      <c r="H5753">
        <v>403912</v>
      </c>
      <c r="I5753" t="s">
        <v>949</v>
      </c>
    </row>
    <row r="5754" spans="1:9" x14ac:dyDescent="0.25">
      <c r="A5754">
        <v>4240</v>
      </c>
      <c r="B5754">
        <v>18</v>
      </c>
      <c r="C5754" t="s">
        <v>946</v>
      </c>
      <c r="D5754" t="s">
        <v>992</v>
      </c>
      <c r="E5754" t="s">
        <v>980</v>
      </c>
      <c r="F5754" t="s">
        <v>948</v>
      </c>
      <c r="G5754">
        <v>1877777</v>
      </c>
      <c r="H5754">
        <v>500221</v>
      </c>
      <c r="I5754" t="s">
        <v>949</v>
      </c>
    </row>
    <row r="5755" spans="1:9" x14ac:dyDescent="0.25">
      <c r="A5755">
        <v>4141</v>
      </c>
      <c r="B5755">
        <v>18</v>
      </c>
      <c r="C5755" t="s">
        <v>946</v>
      </c>
      <c r="D5755" t="s">
        <v>992</v>
      </c>
      <c r="E5755" t="s">
        <v>302</v>
      </c>
      <c r="F5755" t="s">
        <v>948</v>
      </c>
      <c r="G5755">
        <v>1877777</v>
      </c>
      <c r="H5755">
        <v>501010</v>
      </c>
      <c r="I5755" t="s">
        <v>949</v>
      </c>
    </row>
    <row r="5756" spans="1:9" x14ac:dyDescent="0.25">
      <c r="A5756">
        <v>4220</v>
      </c>
      <c r="B5756">
        <v>18</v>
      </c>
      <c r="C5756" t="s">
        <v>946</v>
      </c>
      <c r="D5756" t="s">
        <v>992</v>
      </c>
      <c r="E5756" t="s">
        <v>302</v>
      </c>
      <c r="F5756" t="s">
        <v>948</v>
      </c>
      <c r="G5756">
        <v>1877777</v>
      </c>
      <c r="H5756">
        <v>500220</v>
      </c>
      <c r="I5756" t="s">
        <v>949</v>
      </c>
    </row>
    <row r="5757" spans="1:9" x14ac:dyDescent="0.25">
      <c r="A5757">
        <v>4230</v>
      </c>
      <c r="B5757">
        <v>18</v>
      </c>
      <c r="C5757" t="s">
        <v>946</v>
      </c>
      <c r="D5757" t="s">
        <v>992</v>
      </c>
      <c r="E5757" t="s">
        <v>302</v>
      </c>
      <c r="F5757" t="s">
        <v>948</v>
      </c>
      <c r="G5757">
        <v>1899999</v>
      </c>
      <c r="H5757">
        <v>401902</v>
      </c>
      <c r="I5757" t="s">
        <v>949</v>
      </c>
    </row>
    <row r="5758" spans="1:9" x14ac:dyDescent="0.25">
      <c r="A5758">
        <v>4240</v>
      </c>
      <c r="B5758">
        <v>18</v>
      </c>
      <c r="C5758" t="s">
        <v>946</v>
      </c>
      <c r="D5758" t="s">
        <v>992</v>
      </c>
      <c r="E5758" t="s">
        <v>302</v>
      </c>
      <c r="F5758" t="s">
        <v>948</v>
      </c>
      <c r="G5758">
        <v>1877777</v>
      </c>
      <c r="H5758">
        <v>500221</v>
      </c>
      <c r="I5758" t="s">
        <v>949</v>
      </c>
    </row>
    <row r="5759" spans="1:9" x14ac:dyDescent="0.25">
      <c r="A5759">
        <v>4141</v>
      </c>
      <c r="B5759">
        <v>18</v>
      </c>
      <c r="C5759" t="s">
        <v>946</v>
      </c>
      <c r="D5759" t="s">
        <v>992</v>
      </c>
      <c r="E5759" t="s">
        <v>306</v>
      </c>
      <c r="F5759" t="s">
        <v>948</v>
      </c>
      <c r="G5759">
        <v>1877777</v>
      </c>
      <c r="H5759">
        <v>501010</v>
      </c>
      <c r="I5759" t="s">
        <v>949</v>
      </c>
    </row>
    <row r="5760" spans="1:9" x14ac:dyDescent="0.25">
      <c r="A5760">
        <v>4220</v>
      </c>
      <c r="B5760">
        <v>18</v>
      </c>
      <c r="C5760" t="s">
        <v>946</v>
      </c>
      <c r="D5760" t="s">
        <v>992</v>
      </c>
      <c r="E5760" t="s">
        <v>306</v>
      </c>
      <c r="F5760" t="s">
        <v>948</v>
      </c>
      <c r="G5760">
        <v>1877777</v>
      </c>
      <c r="H5760">
        <v>500220</v>
      </c>
      <c r="I5760" t="s">
        <v>949</v>
      </c>
    </row>
    <row r="5761" spans="1:9" x14ac:dyDescent="0.25">
      <c r="A5761">
        <v>4230</v>
      </c>
      <c r="B5761">
        <v>18</v>
      </c>
      <c r="C5761" t="s">
        <v>946</v>
      </c>
      <c r="D5761" t="s">
        <v>992</v>
      </c>
      <c r="E5761" t="s">
        <v>306</v>
      </c>
      <c r="F5761" t="s">
        <v>948</v>
      </c>
      <c r="G5761">
        <v>1899999</v>
      </c>
      <c r="H5761">
        <v>401042</v>
      </c>
      <c r="I5761" t="s">
        <v>949</v>
      </c>
    </row>
    <row r="5762" spans="1:9" x14ac:dyDescent="0.25">
      <c r="A5762">
        <v>4240</v>
      </c>
      <c r="B5762">
        <v>18</v>
      </c>
      <c r="C5762" t="s">
        <v>946</v>
      </c>
      <c r="D5762" t="s">
        <v>992</v>
      </c>
      <c r="E5762" t="s">
        <v>306</v>
      </c>
      <c r="F5762" t="s">
        <v>948</v>
      </c>
      <c r="G5762">
        <v>1877777</v>
      </c>
      <c r="H5762">
        <v>500221</v>
      </c>
      <c r="I5762" t="s">
        <v>949</v>
      </c>
    </row>
    <row r="5763" spans="1:9" x14ac:dyDescent="0.25">
      <c r="A5763">
        <v>4141</v>
      </c>
      <c r="B5763">
        <v>18</v>
      </c>
      <c r="C5763" t="s">
        <v>946</v>
      </c>
      <c r="D5763" t="s">
        <v>992</v>
      </c>
      <c r="E5763" t="s">
        <v>108</v>
      </c>
      <c r="F5763" t="s">
        <v>948</v>
      </c>
      <c r="G5763">
        <v>1877777</v>
      </c>
      <c r="H5763">
        <v>500220</v>
      </c>
      <c r="I5763" t="s">
        <v>949</v>
      </c>
    </row>
    <row r="5764" spans="1:9" x14ac:dyDescent="0.25">
      <c r="A5764">
        <v>4220</v>
      </c>
      <c r="B5764">
        <v>18</v>
      </c>
      <c r="C5764" t="s">
        <v>946</v>
      </c>
      <c r="D5764" t="s">
        <v>992</v>
      </c>
      <c r="E5764" t="s">
        <v>108</v>
      </c>
      <c r="F5764" t="s">
        <v>948</v>
      </c>
      <c r="G5764">
        <v>1877777</v>
      </c>
      <c r="H5764">
        <v>500220</v>
      </c>
      <c r="I5764" t="s">
        <v>949</v>
      </c>
    </row>
    <row r="5765" spans="1:9" x14ac:dyDescent="0.25">
      <c r="A5765">
        <v>4240</v>
      </c>
      <c r="B5765">
        <v>18</v>
      </c>
      <c r="C5765" t="s">
        <v>946</v>
      </c>
      <c r="D5765" t="s">
        <v>992</v>
      </c>
      <c r="E5765" t="s">
        <v>108</v>
      </c>
      <c r="F5765" t="s">
        <v>948</v>
      </c>
      <c r="G5765">
        <v>1877777</v>
      </c>
      <c r="H5765">
        <v>500221</v>
      </c>
      <c r="I5765" t="s">
        <v>949</v>
      </c>
    </row>
    <row r="5766" spans="1:9" x14ac:dyDescent="0.25">
      <c r="A5766">
        <v>4141</v>
      </c>
      <c r="B5766">
        <v>18</v>
      </c>
      <c r="C5766" t="s">
        <v>946</v>
      </c>
      <c r="D5766" t="s">
        <v>992</v>
      </c>
      <c r="E5766" t="s">
        <v>310</v>
      </c>
      <c r="F5766" t="s">
        <v>948</v>
      </c>
      <c r="G5766">
        <v>1877777</v>
      </c>
      <c r="H5766">
        <v>501010</v>
      </c>
      <c r="I5766" t="s">
        <v>949</v>
      </c>
    </row>
    <row r="5767" spans="1:9" x14ac:dyDescent="0.25">
      <c r="A5767">
        <v>4220</v>
      </c>
      <c r="B5767">
        <v>18</v>
      </c>
      <c r="C5767" t="s">
        <v>946</v>
      </c>
      <c r="D5767" t="s">
        <v>992</v>
      </c>
      <c r="E5767" t="s">
        <v>310</v>
      </c>
      <c r="F5767" t="s">
        <v>948</v>
      </c>
      <c r="G5767">
        <v>1877777</v>
      </c>
      <c r="H5767">
        <v>500220</v>
      </c>
      <c r="I5767" t="s">
        <v>949</v>
      </c>
    </row>
    <row r="5768" spans="1:9" x14ac:dyDescent="0.25">
      <c r="A5768">
        <v>4230</v>
      </c>
      <c r="B5768">
        <v>18</v>
      </c>
      <c r="C5768" t="s">
        <v>946</v>
      </c>
      <c r="D5768" t="s">
        <v>992</v>
      </c>
      <c r="E5768" t="s">
        <v>310</v>
      </c>
      <c r="F5768" t="s">
        <v>948</v>
      </c>
      <c r="G5768">
        <v>1899999</v>
      </c>
      <c r="H5768">
        <v>403012</v>
      </c>
      <c r="I5768" t="s">
        <v>949</v>
      </c>
    </row>
    <row r="5769" spans="1:9" x14ac:dyDescent="0.25">
      <c r="A5769">
        <v>4240</v>
      </c>
      <c r="B5769">
        <v>18</v>
      </c>
      <c r="C5769" t="s">
        <v>946</v>
      </c>
      <c r="D5769" t="s">
        <v>992</v>
      </c>
      <c r="E5769" t="s">
        <v>310</v>
      </c>
      <c r="F5769" t="s">
        <v>948</v>
      </c>
      <c r="G5769">
        <v>1877777</v>
      </c>
      <c r="H5769">
        <v>500221</v>
      </c>
      <c r="I5769" t="s">
        <v>949</v>
      </c>
    </row>
    <row r="5770" spans="1:9" x14ac:dyDescent="0.25">
      <c r="A5770">
        <v>4141</v>
      </c>
      <c r="B5770">
        <v>18</v>
      </c>
      <c r="C5770" t="s">
        <v>946</v>
      </c>
      <c r="D5770" t="s">
        <v>992</v>
      </c>
      <c r="E5770" t="s">
        <v>314</v>
      </c>
      <c r="F5770" t="s">
        <v>948</v>
      </c>
      <c r="G5770">
        <v>1877777</v>
      </c>
      <c r="H5770">
        <v>501010</v>
      </c>
      <c r="I5770" t="s">
        <v>949</v>
      </c>
    </row>
    <row r="5771" spans="1:9" x14ac:dyDescent="0.25">
      <c r="A5771">
        <v>4220</v>
      </c>
      <c r="B5771">
        <v>18</v>
      </c>
      <c r="C5771" t="s">
        <v>946</v>
      </c>
      <c r="D5771" t="s">
        <v>992</v>
      </c>
      <c r="E5771" t="s">
        <v>314</v>
      </c>
      <c r="F5771" t="s">
        <v>948</v>
      </c>
      <c r="G5771">
        <v>1877777</v>
      </c>
      <c r="H5771">
        <v>500220</v>
      </c>
      <c r="I5771" t="s">
        <v>949</v>
      </c>
    </row>
    <row r="5772" spans="1:9" x14ac:dyDescent="0.25">
      <c r="A5772">
        <v>4230</v>
      </c>
      <c r="B5772">
        <v>18</v>
      </c>
      <c r="C5772" t="s">
        <v>946</v>
      </c>
      <c r="D5772" t="s">
        <v>992</v>
      </c>
      <c r="E5772" t="s">
        <v>314</v>
      </c>
      <c r="F5772" t="s">
        <v>948</v>
      </c>
      <c r="G5772">
        <v>1899999</v>
      </c>
      <c r="H5772">
        <v>403062</v>
      </c>
      <c r="I5772" t="s">
        <v>949</v>
      </c>
    </row>
    <row r="5773" spans="1:9" x14ac:dyDescent="0.25">
      <c r="A5773">
        <v>4240</v>
      </c>
      <c r="B5773">
        <v>18</v>
      </c>
      <c r="C5773" t="s">
        <v>946</v>
      </c>
      <c r="D5773" t="s">
        <v>992</v>
      </c>
      <c r="E5773" t="s">
        <v>314</v>
      </c>
      <c r="F5773" t="s">
        <v>948</v>
      </c>
      <c r="G5773">
        <v>1877777</v>
      </c>
      <c r="H5773">
        <v>500221</v>
      </c>
      <c r="I5773" t="s">
        <v>949</v>
      </c>
    </row>
    <row r="5774" spans="1:9" x14ac:dyDescent="0.25">
      <c r="A5774">
        <v>4141</v>
      </c>
      <c r="B5774">
        <v>18</v>
      </c>
      <c r="C5774" t="s">
        <v>946</v>
      </c>
      <c r="D5774" t="s">
        <v>992</v>
      </c>
      <c r="E5774" t="s">
        <v>113</v>
      </c>
      <c r="F5774" t="s">
        <v>948</v>
      </c>
      <c r="G5774">
        <v>1877777</v>
      </c>
      <c r="H5774">
        <v>500220</v>
      </c>
      <c r="I5774" t="s">
        <v>949</v>
      </c>
    </row>
    <row r="5775" spans="1:9" x14ac:dyDescent="0.25">
      <c r="A5775">
        <v>4220</v>
      </c>
      <c r="B5775">
        <v>18</v>
      </c>
      <c r="C5775" t="s">
        <v>946</v>
      </c>
      <c r="D5775" t="s">
        <v>992</v>
      </c>
      <c r="E5775" t="s">
        <v>113</v>
      </c>
      <c r="F5775" t="s">
        <v>948</v>
      </c>
      <c r="G5775">
        <v>1877777</v>
      </c>
      <c r="H5775">
        <v>500220</v>
      </c>
      <c r="I5775" t="s">
        <v>949</v>
      </c>
    </row>
    <row r="5776" spans="1:9" x14ac:dyDescent="0.25">
      <c r="A5776">
        <v>4230</v>
      </c>
      <c r="B5776">
        <v>18</v>
      </c>
      <c r="C5776" t="s">
        <v>946</v>
      </c>
      <c r="D5776" t="s">
        <v>992</v>
      </c>
      <c r="E5776" t="s">
        <v>113</v>
      </c>
      <c r="F5776" t="s">
        <v>948</v>
      </c>
      <c r="G5776">
        <v>1899999</v>
      </c>
      <c r="H5776">
        <v>403082</v>
      </c>
      <c r="I5776" t="s">
        <v>949</v>
      </c>
    </row>
    <row r="5777" spans="1:9" x14ac:dyDescent="0.25">
      <c r="A5777">
        <v>4240</v>
      </c>
      <c r="B5777">
        <v>18</v>
      </c>
      <c r="C5777" t="s">
        <v>946</v>
      </c>
      <c r="D5777" t="s">
        <v>992</v>
      </c>
      <c r="E5777" t="s">
        <v>113</v>
      </c>
      <c r="F5777" t="s">
        <v>948</v>
      </c>
      <c r="G5777">
        <v>1877777</v>
      </c>
      <c r="H5777">
        <v>500221</v>
      </c>
      <c r="I5777" t="s">
        <v>949</v>
      </c>
    </row>
    <row r="5778" spans="1:9" x14ac:dyDescent="0.25">
      <c r="A5778">
        <v>4141</v>
      </c>
      <c r="B5778">
        <v>18</v>
      </c>
      <c r="C5778" t="s">
        <v>946</v>
      </c>
      <c r="D5778" t="s">
        <v>992</v>
      </c>
      <c r="E5778" t="s">
        <v>117</v>
      </c>
      <c r="F5778" t="s">
        <v>948</v>
      </c>
      <c r="G5778">
        <v>1877777</v>
      </c>
      <c r="H5778">
        <v>500220</v>
      </c>
      <c r="I5778" t="s">
        <v>949</v>
      </c>
    </row>
    <row r="5779" spans="1:9" x14ac:dyDescent="0.25">
      <c r="A5779">
        <v>4220</v>
      </c>
      <c r="B5779">
        <v>18</v>
      </c>
      <c r="C5779" t="s">
        <v>946</v>
      </c>
      <c r="D5779" t="s">
        <v>992</v>
      </c>
      <c r="E5779" t="s">
        <v>117</v>
      </c>
      <c r="F5779" t="s">
        <v>948</v>
      </c>
      <c r="G5779">
        <v>1877777</v>
      </c>
      <c r="H5779">
        <v>500220</v>
      </c>
      <c r="I5779" t="s">
        <v>949</v>
      </c>
    </row>
    <row r="5780" spans="1:9" x14ac:dyDescent="0.25">
      <c r="A5780">
        <v>4230</v>
      </c>
      <c r="B5780">
        <v>18</v>
      </c>
      <c r="C5780" t="s">
        <v>946</v>
      </c>
      <c r="D5780" t="s">
        <v>992</v>
      </c>
      <c r="E5780" t="s">
        <v>117</v>
      </c>
      <c r="F5780" t="s">
        <v>948</v>
      </c>
      <c r="G5780">
        <v>1888888</v>
      </c>
      <c r="H5780">
        <v>810600</v>
      </c>
      <c r="I5780" t="s">
        <v>949</v>
      </c>
    </row>
    <row r="5781" spans="1:9" x14ac:dyDescent="0.25">
      <c r="A5781">
        <v>4240</v>
      </c>
      <c r="B5781">
        <v>18</v>
      </c>
      <c r="C5781" t="s">
        <v>946</v>
      </c>
      <c r="D5781" t="s">
        <v>992</v>
      </c>
      <c r="E5781" t="s">
        <v>117</v>
      </c>
      <c r="F5781" t="s">
        <v>948</v>
      </c>
      <c r="G5781">
        <v>1877777</v>
      </c>
      <c r="H5781">
        <v>500221</v>
      </c>
      <c r="I5781" t="s">
        <v>949</v>
      </c>
    </row>
    <row r="5782" spans="1:9" x14ac:dyDescent="0.25">
      <c r="A5782">
        <v>4141</v>
      </c>
      <c r="B5782">
        <v>18</v>
      </c>
      <c r="C5782" t="s">
        <v>946</v>
      </c>
      <c r="D5782" t="s">
        <v>992</v>
      </c>
      <c r="E5782" t="s">
        <v>121</v>
      </c>
      <c r="F5782" t="s">
        <v>948</v>
      </c>
      <c r="G5782">
        <v>1877777</v>
      </c>
      <c r="H5782">
        <v>500220</v>
      </c>
      <c r="I5782" t="s">
        <v>949</v>
      </c>
    </row>
    <row r="5783" spans="1:9" x14ac:dyDescent="0.25">
      <c r="A5783">
        <v>4220</v>
      </c>
      <c r="B5783">
        <v>18</v>
      </c>
      <c r="C5783" t="s">
        <v>946</v>
      </c>
      <c r="D5783" t="s">
        <v>992</v>
      </c>
      <c r="E5783" t="s">
        <v>121</v>
      </c>
      <c r="F5783" t="s">
        <v>948</v>
      </c>
      <c r="G5783">
        <v>1877777</v>
      </c>
      <c r="H5783">
        <v>500220</v>
      </c>
      <c r="I5783" t="s">
        <v>949</v>
      </c>
    </row>
    <row r="5784" spans="1:9" x14ac:dyDescent="0.25">
      <c r="A5784">
        <v>4230</v>
      </c>
      <c r="B5784">
        <v>18</v>
      </c>
      <c r="C5784" t="s">
        <v>946</v>
      </c>
      <c r="D5784" t="s">
        <v>992</v>
      </c>
      <c r="E5784" t="s">
        <v>121</v>
      </c>
      <c r="F5784" t="s">
        <v>948</v>
      </c>
      <c r="G5784">
        <v>1899999</v>
      </c>
      <c r="H5784">
        <v>403042</v>
      </c>
      <c r="I5784" t="s">
        <v>949</v>
      </c>
    </row>
    <row r="5785" spans="1:9" x14ac:dyDescent="0.25">
      <c r="A5785">
        <v>4240</v>
      </c>
      <c r="B5785">
        <v>18</v>
      </c>
      <c r="C5785" t="s">
        <v>946</v>
      </c>
      <c r="D5785" t="s">
        <v>992</v>
      </c>
      <c r="E5785" t="s">
        <v>121</v>
      </c>
      <c r="F5785" t="s">
        <v>948</v>
      </c>
      <c r="G5785">
        <v>1877777</v>
      </c>
      <c r="H5785">
        <v>500221</v>
      </c>
      <c r="I5785" t="s">
        <v>949</v>
      </c>
    </row>
    <row r="5786" spans="1:9" x14ac:dyDescent="0.25">
      <c r="A5786">
        <v>4141</v>
      </c>
      <c r="B5786">
        <v>18</v>
      </c>
      <c r="C5786" t="s">
        <v>946</v>
      </c>
      <c r="D5786" t="s">
        <v>992</v>
      </c>
      <c r="E5786" t="s">
        <v>984</v>
      </c>
      <c r="F5786" t="s">
        <v>948</v>
      </c>
      <c r="G5786">
        <v>1877777</v>
      </c>
      <c r="H5786">
        <v>501010</v>
      </c>
      <c r="I5786" t="s">
        <v>949</v>
      </c>
    </row>
    <row r="5787" spans="1:9" x14ac:dyDescent="0.25">
      <c r="A5787">
        <v>4220</v>
      </c>
      <c r="B5787">
        <v>18</v>
      </c>
      <c r="C5787" t="s">
        <v>946</v>
      </c>
      <c r="D5787" t="s">
        <v>992</v>
      </c>
      <c r="E5787" t="s">
        <v>984</v>
      </c>
      <c r="F5787" t="s">
        <v>948</v>
      </c>
      <c r="G5787">
        <v>1877777</v>
      </c>
      <c r="H5787">
        <v>500220</v>
      </c>
      <c r="I5787" t="s">
        <v>949</v>
      </c>
    </row>
    <row r="5788" spans="1:9" x14ac:dyDescent="0.25">
      <c r="A5788">
        <v>4230</v>
      </c>
      <c r="B5788">
        <v>18</v>
      </c>
      <c r="C5788" t="s">
        <v>946</v>
      </c>
      <c r="D5788" t="s">
        <v>992</v>
      </c>
      <c r="E5788" t="s">
        <v>984</v>
      </c>
      <c r="F5788" t="s">
        <v>948</v>
      </c>
      <c r="G5788">
        <v>1899999</v>
      </c>
      <c r="H5788">
        <v>403912</v>
      </c>
      <c r="I5788" t="s">
        <v>949</v>
      </c>
    </row>
    <row r="5789" spans="1:9" x14ac:dyDescent="0.25">
      <c r="A5789">
        <v>4240</v>
      </c>
      <c r="B5789">
        <v>18</v>
      </c>
      <c r="C5789" t="s">
        <v>946</v>
      </c>
      <c r="D5789" t="s">
        <v>992</v>
      </c>
      <c r="E5789" t="s">
        <v>984</v>
      </c>
      <c r="F5789" t="s">
        <v>948</v>
      </c>
      <c r="G5789">
        <v>1877777</v>
      </c>
      <c r="H5789">
        <v>500221</v>
      </c>
      <c r="I5789" t="s">
        <v>949</v>
      </c>
    </row>
    <row r="5790" spans="1:9" x14ac:dyDescent="0.25">
      <c r="A5790">
        <v>4141</v>
      </c>
      <c r="B5790">
        <v>18</v>
      </c>
      <c r="C5790" t="s">
        <v>946</v>
      </c>
      <c r="D5790" t="s">
        <v>947</v>
      </c>
      <c r="E5790" t="s">
        <v>243</v>
      </c>
      <c r="F5790" t="s">
        <v>948</v>
      </c>
      <c r="G5790">
        <v>1877777</v>
      </c>
      <c r="H5790">
        <v>500220</v>
      </c>
      <c r="I5790" t="s">
        <v>949</v>
      </c>
    </row>
    <row r="5791" spans="1:9" x14ac:dyDescent="0.25">
      <c r="A5791">
        <v>4220</v>
      </c>
      <c r="B5791">
        <v>18</v>
      </c>
      <c r="C5791" t="s">
        <v>946</v>
      </c>
      <c r="D5791" t="s">
        <v>947</v>
      </c>
      <c r="E5791" t="s">
        <v>243</v>
      </c>
      <c r="F5791" t="s">
        <v>948</v>
      </c>
      <c r="G5791">
        <v>1877777</v>
      </c>
      <c r="H5791">
        <v>500220</v>
      </c>
      <c r="I5791" t="s">
        <v>949</v>
      </c>
    </row>
    <row r="5792" spans="1:9" x14ac:dyDescent="0.25">
      <c r="A5792">
        <v>4230</v>
      </c>
      <c r="B5792">
        <v>18</v>
      </c>
      <c r="C5792" t="s">
        <v>946</v>
      </c>
      <c r="D5792" t="s">
        <v>947</v>
      </c>
      <c r="E5792" t="s">
        <v>243</v>
      </c>
      <c r="F5792" t="s">
        <v>948</v>
      </c>
      <c r="G5792">
        <v>1899999</v>
      </c>
      <c r="H5792">
        <v>401052</v>
      </c>
      <c r="I5792" t="s">
        <v>949</v>
      </c>
    </row>
    <row r="5793" spans="1:9" x14ac:dyDescent="0.25">
      <c r="A5793">
        <v>4240</v>
      </c>
      <c r="B5793">
        <v>18</v>
      </c>
      <c r="C5793" t="s">
        <v>946</v>
      </c>
      <c r="D5793" t="s">
        <v>947</v>
      </c>
      <c r="E5793" t="s">
        <v>243</v>
      </c>
      <c r="F5793" t="s">
        <v>948</v>
      </c>
      <c r="G5793">
        <v>1877777</v>
      </c>
      <c r="H5793">
        <v>500221</v>
      </c>
      <c r="I5793" t="s">
        <v>949</v>
      </c>
    </row>
    <row r="5794" spans="1:9" x14ac:dyDescent="0.25">
      <c r="A5794">
        <v>4141</v>
      </c>
      <c r="B5794">
        <v>18</v>
      </c>
      <c r="C5794" t="s">
        <v>946</v>
      </c>
      <c r="D5794" t="s">
        <v>947</v>
      </c>
      <c r="E5794" t="s">
        <v>247</v>
      </c>
      <c r="F5794" t="s">
        <v>948</v>
      </c>
      <c r="G5794">
        <v>1877777</v>
      </c>
      <c r="H5794">
        <v>500220</v>
      </c>
      <c r="I5794" t="s">
        <v>949</v>
      </c>
    </row>
    <row r="5795" spans="1:9" x14ac:dyDescent="0.25">
      <c r="A5795">
        <v>4220</v>
      </c>
      <c r="B5795">
        <v>18</v>
      </c>
      <c r="C5795" t="s">
        <v>946</v>
      </c>
      <c r="D5795" t="s">
        <v>947</v>
      </c>
      <c r="E5795" t="s">
        <v>247</v>
      </c>
      <c r="F5795" t="s">
        <v>948</v>
      </c>
      <c r="G5795">
        <v>1877777</v>
      </c>
      <c r="H5795">
        <v>500220</v>
      </c>
      <c r="I5795" t="s">
        <v>949</v>
      </c>
    </row>
    <row r="5796" spans="1:9" x14ac:dyDescent="0.25">
      <c r="A5796">
        <v>4230</v>
      </c>
      <c r="B5796">
        <v>18</v>
      </c>
      <c r="C5796" t="s">
        <v>946</v>
      </c>
      <c r="D5796" t="s">
        <v>947</v>
      </c>
      <c r="E5796" t="s">
        <v>247</v>
      </c>
      <c r="F5796" t="s">
        <v>948</v>
      </c>
      <c r="G5796">
        <v>1899999</v>
      </c>
      <c r="H5796">
        <v>401022</v>
      </c>
      <c r="I5796" t="s">
        <v>949</v>
      </c>
    </row>
    <row r="5797" spans="1:9" x14ac:dyDescent="0.25">
      <c r="A5797">
        <v>4240</v>
      </c>
      <c r="B5797">
        <v>18</v>
      </c>
      <c r="C5797" t="s">
        <v>946</v>
      </c>
      <c r="D5797" t="s">
        <v>947</v>
      </c>
      <c r="E5797" t="s">
        <v>247</v>
      </c>
      <c r="F5797" t="s">
        <v>948</v>
      </c>
      <c r="G5797">
        <v>1877777</v>
      </c>
      <c r="H5797">
        <v>500221</v>
      </c>
      <c r="I5797" t="s">
        <v>949</v>
      </c>
    </row>
    <row r="5798" spans="1:9" x14ac:dyDescent="0.25">
      <c r="A5798">
        <v>4141</v>
      </c>
      <c r="B5798">
        <v>18</v>
      </c>
      <c r="C5798" t="s">
        <v>946</v>
      </c>
      <c r="D5798" t="s">
        <v>947</v>
      </c>
      <c r="E5798" t="s">
        <v>251</v>
      </c>
      <c r="F5798" t="s">
        <v>948</v>
      </c>
      <c r="G5798">
        <v>1877777</v>
      </c>
      <c r="H5798">
        <v>500220</v>
      </c>
      <c r="I5798" t="s">
        <v>949</v>
      </c>
    </row>
    <row r="5799" spans="1:9" x14ac:dyDescent="0.25">
      <c r="A5799">
        <v>4220</v>
      </c>
      <c r="B5799">
        <v>18</v>
      </c>
      <c r="C5799" t="s">
        <v>946</v>
      </c>
      <c r="D5799" t="s">
        <v>947</v>
      </c>
      <c r="E5799" t="s">
        <v>251</v>
      </c>
      <c r="F5799" t="s">
        <v>948</v>
      </c>
      <c r="G5799">
        <v>1877777</v>
      </c>
      <c r="H5799">
        <v>500220</v>
      </c>
      <c r="I5799" t="s">
        <v>949</v>
      </c>
    </row>
    <row r="5800" spans="1:9" x14ac:dyDescent="0.25">
      <c r="A5800">
        <v>4230</v>
      </c>
      <c r="B5800">
        <v>18</v>
      </c>
      <c r="C5800" t="s">
        <v>946</v>
      </c>
      <c r="D5800" t="s">
        <v>947</v>
      </c>
      <c r="E5800" t="s">
        <v>251</v>
      </c>
      <c r="F5800" t="s">
        <v>948</v>
      </c>
      <c r="G5800">
        <v>1899999</v>
      </c>
      <c r="H5800">
        <v>401042</v>
      </c>
      <c r="I5800" t="s">
        <v>949</v>
      </c>
    </row>
    <row r="5801" spans="1:9" x14ac:dyDescent="0.25">
      <c r="A5801">
        <v>4240</v>
      </c>
      <c r="B5801">
        <v>18</v>
      </c>
      <c r="C5801" t="s">
        <v>946</v>
      </c>
      <c r="D5801" t="s">
        <v>947</v>
      </c>
      <c r="E5801" t="s">
        <v>251</v>
      </c>
      <c r="F5801" t="s">
        <v>948</v>
      </c>
      <c r="G5801">
        <v>1877777</v>
      </c>
      <c r="H5801">
        <v>500221</v>
      </c>
      <c r="I5801" t="s">
        <v>949</v>
      </c>
    </row>
    <row r="5802" spans="1:9" x14ac:dyDescent="0.25">
      <c r="A5802">
        <v>4141</v>
      </c>
      <c r="B5802">
        <v>18</v>
      </c>
      <c r="C5802" t="s">
        <v>946</v>
      </c>
      <c r="D5802" t="s">
        <v>947</v>
      </c>
      <c r="E5802" t="s">
        <v>969</v>
      </c>
      <c r="F5802" t="s">
        <v>948</v>
      </c>
      <c r="G5802">
        <v>1877777</v>
      </c>
      <c r="H5802">
        <v>500220</v>
      </c>
      <c r="I5802" t="s">
        <v>949</v>
      </c>
    </row>
    <row r="5803" spans="1:9" x14ac:dyDescent="0.25">
      <c r="A5803">
        <v>4220</v>
      </c>
      <c r="B5803">
        <v>18</v>
      </c>
      <c r="C5803" t="s">
        <v>946</v>
      </c>
      <c r="D5803" t="s">
        <v>947</v>
      </c>
      <c r="E5803" t="s">
        <v>969</v>
      </c>
      <c r="F5803" t="s">
        <v>948</v>
      </c>
      <c r="G5803">
        <v>1877777</v>
      </c>
      <c r="H5803">
        <v>500220</v>
      </c>
      <c r="I5803" t="s">
        <v>949</v>
      </c>
    </row>
    <row r="5804" spans="1:9" x14ac:dyDescent="0.25">
      <c r="A5804">
        <v>4230</v>
      </c>
      <c r="B5804">
        <v>18</v>
      </c>
      <c r="C5804" t="s">
        <v>946</v>
      </c>
      <c r="D5804" t="s">
        <v>947</v>
      </c>
      <c r="E5804" t="s">
        <v>969</v>
      </c>
      <c r="F5804" t="s">
        <v>948</v>
      </c>
      <c r="G5804">
        <v>1899999</v>
      </c>
      <c r="H5804">
        <v>401912</v>
      </c>
      <c r="I5804" t="s">
        <v>949</v>
      </c>
    </row>
    <row r="5805" spans="1:9" x14ac:dyDescent="0.25">
      <c r="A5805">
        <v>4240</v>
      </c>
      <c r="B5805">
        <v>18</v>
      </c>
      <c r="C5805" t="s">
        <v>946</v>
      </c>
      <c r="D5805" t="s">
        <v>947</v>
      </c>
      <c r="E5805" t="s">
        <v>969</v>
      </c>
      <c r="F5805" t="s">
        <v>948</v>
      </c>
      <c r="G5805">
        <v>1877777</v>
      </c>
      <c r="H5805">
        <v>500221</v>
      </c>
      <c r="I5805" t="s">
        <v>949</v>
      </c>
    </row>
    <row r="5806" spans="1:9" x14ac:dyDescent="0.25">
      <c r="A5806">
        <v>4141</v>
      </c>
      <c r="B5806">
        <v>18</v>
      </c>
      <c r="C5806" t="s">
        <v>946</v>
      </c>
      <c r="D5806" t="s">
        <v>947</v>
      </c>
      <c r="E5806" t="s">
        <v>255</v>
      </c>
      <c r="F5806" t="s">
        <v>948</v>
      </c>
      <c r="G5806">
        <v>1877777</v>
      </c>
      <c r="H5806">
        <v>500220</v>
      </c>
      <c r="I5806" t="s">
        <v>949</v>
      </c>
    </row>
    <row r="5807" spans="1:9" x14ac:dyDescent="0.25">
      <c r="A5807">
        <v>4220</v>
      </c>
      <c r="B5807">
        <v>18</v>
      </c>
      <c r="C5807" t="s">
        <v>946</v>
      </c>
      <c r="D5807" t="s">
        <v>947</v>
      </c>
      <c r="E5807" t="s">
        <v>255</v>
      </c>
      <c r="F5807" t="s">
        <v>948</v>
      </c>
      <c r="G5807">
        <v>1877777</v>
      </c>
      <c r="H5807">
        <v>500220</v>
      </c>
      <c r="I5807" t="s">
        <v>949</v>
      </c>
    </row>
    <row r="5808" spans="1:9" x14ac:dyDescent="0.25">
      <c r="A5808">
        <v>4230</v>
      </c>
      <c r="B5808">
        <v>18</v>
      </c>
      <c r="C5808" t="s">
        <v>946</v>
      </c>
      <c r="D5808" t="s">
        <v>947</v>
      </c>
      <c r="E5808" t="s">
        <v>255</v>
      </c>
      <c r="F5808" t="s">
        <v>948</v>
      </c>
      <c r="G5808">
        <v>1899999</v>
      </c>
      <c r="H5808">
        <v>401072</v>
      </c>
      <c r="I5808" t="s">
        <v>949</v>
      </c>
    </row>
    <row r="5809" spans="1:9" x14ac:dyDescent="0.25">
      <c r="A5809">
        <v>4240</v>
      </c>
      <c r="B5809">
        <v>18</v>
      </c>
      <c r="C5809" t="s">
        <v>946</v>
      </c>
      <c r="D5809" t="s">
        <v>947</v>
      </c>
      <c r="E5809" t="s">
        <v>255</v>
      </c>
      <c r="F5809" t="s">
        <v>948</v>
      </c>
      <c r="G5809">
        <v>1877777</v>
      </c>
      <c r="H5809">
        <v>500221</v>
      </c>
      <c r="I5809" t="s">
        <v>949</v>
      </c>
    </row>
    <row r="5810" spans="1:9" x14ac:dyDescent="0.25">
      <c r="A5810">
        <v>4141</v>
      </c>
      <c r="B5810">
        <v>18</v>
      </c>
      <c r="C5810" t="s">
        <v>946</v>
      </c>
      <c r="D5810" t="s">
        <v>947</v>
      </c>
      <c r="E5810" t="s">
        <v>971</v>
      </c>
      <c r="F5810" t="s">
        <v>948</v>
      </c>
      <c r="G5810">
        <v>1877777</v>
      </c>
      <c r="H5810">
        <v>500220</v>
      </c>
      <c r="I5810" t="s">
        <v>949</v>
      </c>
    </row>
    <row r="5811" spans="1:9" x14ac:dyDescent="0.25">
      <c r="A5811">
        <v>4220</v>
      </c>
      <c r="B5811">
        <v>18</v>
      </c>
      <c r="C5811" t="s">
        <v>946</v>
      </c>
      <c r="D5811" t="s">
        <v>947</v>
      </c>
      <c r="E5811" t="s">
        <v>971</v>
      </c>
      <c r="F5811" t="s">
        <v>948</v>
      </c>
      <c r="G5811">
        <v>1877777</v>
      </c>
      <c r="H5811">
        <v>500220</v>
      </c>
      <c r="I5811" t="s">
        <v>949</v>
      </c>
    </row>
    <row r="5812" spans="1:9" x14ac:dyDescent="0.25">
      <c r="A5812">
        <v>4230</v>
      </c>
      <c r="B5812">
        <v>18</v>
      </c>
      <c r="C5812" t="s">
        <v>946</v>
      </c>
      <c r="D5812" t="s">
        <v>947</v>
      </c>
      <c r="E5812" t="s">
        <v>971</v>
      </c>
      <c r="F5812" t="s">
        <v>948</v>
      </c>
      <c r="G5812">
        <v>1899999</v>
      </c>
      <c r="H5812">
        <v>401912</v>
      </c>
      <c r="I5812" t="s">
        <v>949</v>
      </c>
    </row>
    <row r="5813" spans="1:9" x14ac:dyDescent="0.25">
      <c r="A5813">
        <v>4240</v>
      </c>
      <c r="B5813">
        <v>18</v>
      </c>
      <c r="C5813" t="s">
        <v>946</v>
      </c>
      <c r="D5813" t="s">
        <v>947</v>
      </c>
      <c r="E5813" t="s">
        <v>971</v>
      </c>
      <c r="F5813" t="s">
        <v>948</v>
      </c>
      <c r="G5813">
        <v>1877777</v>
      </c>
      <c r="H5813">
        <v>500221</v>
      </c>
      <c r="I5813" t="s">
        <v>949</v>
      </c>
    </row>
    <row r="5814" spans="1:9" x14ac:dyDescent="0.25">
      <c r="A5814">
        <v>4230</v>
      </c>
      <c r="B5814">
        <v>18</v>
      </c>
      <c r="C5814" t="s">
        <v>946</v>
      </c>
      <c r="D5814" t="s">
        <v>947</v>
      </c>
      <c r="E5814" t="s">
        <v>259</v>
      </c>
      <c r="F5814" t="s">
        <v>948</v>
      </c>
      <c r="G5814">
        <v>1899999</v>
      </c>
      <c r="H5814">
        <v>409002</v>
      </c>
      <c r="I5814" t="s">
        <v>949</v>
      </c>
    </row>
    <row r="5815" spans="1:9" x14ac:dyDescent="0.25">
      <c r="A5815">
        <v>4141</v>
      </c>
      <c r="B5815">
        <v>18</v>
      </c>
      <c r="C5815" t="s">
        <v>946</v>
      </c>
      <c r="D5815" t="s">
        <v>947</v>
      </c>
      <c r="E5815" t="s">
        <v>263</v>
      </c>
      <c r="F5815" t="s">
        <v>948</v>
      </c>
      <c r="G5815">
        <v>1877777</v>
      </c>
      <c r="H5815">
        <v>500200</v>
      </c>
      <c r="I5815" t="s">
        <v>949</v>
      </c>
    </row>
    <row r="5816" spans="1:9" x14ac:dyDescent="0.25">
      <c r="A5816">
        <v>4220</v>
      </c>
      <c r="B5816">
        <v>18</v>
      </c>
      <c r="C5816" t="s">
        <v>946</v>
      </c>
      <c r="D5816" t="s">
        <v>947</v>
      </c>
      <c r="E5816" t="s">
        <v>263</v>
      </c>
      <c r="F5816" t="s">
        <v>948</v>
      </c>
      <c r="G5816">
        <v>1877777</v>
      </c>
      <c r="H5816">
        <v>500200</v>
      </c>
      <c r="I5816" t="s">
        <v>949</v>
      </c>
    </row>
    <row r="5817" spans="1:9" x14ac:dyDescent="0.25">
      <c r="A5817">
        <v>4230</v>
      </c>
      <c r="B5817">
        <v>18</v>
      </c>
      <c r="C5817" t="s">
        <v>946</v>
      </c>
      <c r="D5817" t="s">
        <v>947</v>
      </c>
      <c r="E5817" t="s">
        <v>263</v>
      </c>
      <c r="F5817" t="s">
        <v>948</v>
      </c>
      <c r="G5817">
        <v>1899999</v>
      </c>
      <c r="H5817">
        <v>401042</v>
      </c>
      <c r="I5817" t="s">
        <v>949</v>
      </c>
    </row>
    <row r="5818" spans="1:9" x14ac:dyDescent="0.25">
      <c r="A5818">
        <v>4240</v>
      </c>
      <c r="B5818">
        <v>18</v>
      </c>
      <c r="C5818" t="s">
        <v>946</v>
      </c>
      <c r="D5818" t="s">
        <v>947</v>
      </c>
      <c r="E5818" t="s">
        <v>263</v>
      </c>
      <c r="F5818" t="s">
        <v>948</v>
      </c>
      <c r="G5818">
        <v>1877777</v>
      </c>
      <c r="H5818">
        <v>500221</v>
      </c>
      <c r="I5818" t="s">
        <v>949</v>
      </c>
    </row>
    <row r="5819" spans="1:9" x14ac:dyDescent="0.25">
      <c r="A5819">
        <v>4141</v>
      </c>
      <c r="B5819">
        <v>18</v>
      </c>
      <c r="C5819" t="s">
        <v>946</v>
      </c>
      <c r="D5819" t="s">
        <v>947</v>
      </c>
      <c r="E5819" t="s">
        <v>100</v>
      </c>
      <c r="F5819" t="s">
        <v>948</v>
      </c>
      <c r="G5819">
        <v>1877777</v>
      </c>
      <c r="H5819">
        <v>500220</v>
      </c>
      <c r="I5819" t="s">
        <v>949</v>
      </c>
    </row>
    <row r="5820" spans="1:9" x14ac:dyDescent="0.25">
      <c r="A5820">
        <v>4220</v>
      </c>
      <c r="B5820">
        <v>18</v>
      </c>
      <c r="C5820" t="s">
        <v>946</v>
      </c>
      <c r="D5820" t="s">
        <v>947</v>
      </c>
      <c r="E5820" t="s">
        <v>100</v>
      </c>
      <c r="F5820" t="s">
        <v>948</v>
      </c>
      <c r="G5820">
        <v>1877777</v>
      </c>
      <c r="H5820">
        <v>500220</v>
      </c>
      <c r="I5820" t="s">
        <v>949</v>
      </c>
    </row>
    <row r="5821" spans="1:9" x14ac:dyDescent="0.25">
      <c r="A5821">
        <v>4230</v>
      </c>
      <c r="B5821">
        <v>18</v>
      </c>
      <c r="C5821" t="s">
        <v>946</v>
      </c>
      <c r="D5821" t="s">
        <v>947</v>
      </c>
      <c r="E5821" t="s">
        <v>100</v>
      </c>
      <c r="F5821" t="s">
        <v>948</v>
      </c>
      <c r="G5821">
        <v>1899999</v>
      </c>
      <c r="H5821">
        <v>401042</v>
      </c>
      <c r="I5821" t="s">
        <v>949</v>
      </c>
    </row>
    <row r="5822" spans="1:9" x14ac:dyDescent="0.25">
      <c r="A5822">
        <v>4240</v>
      </c>
      <c r="B5822">
        <v>18</v>
      </c>
      <c r="C5822" t="s">
        <v>946</v>
      </c>
      <c r="D5822" t="s">
        <v>947</v>
      </c>
      <c r="E5822" t="s">
        <v>100</v>
      </c>
      <c r="F5822" t="s">
        <v>948</v>
      </c>
      <c r="G5822">
        <v>1877777</v>
      </c>
      <c r="H5822">
        <v>500221</v>
      </c>
      <c r="I5822" t="s">
        <v>949</v>
      </c>
    </row>
    <row r="5823" spans="1:9" x14ac:dyDescent="0.25">
      <c r="A5823">
        <v>4141</v>
      </c>
      <c r="B5823">
        <v>18</v>
      </c>
      <c r="C5823" t="s">
        <v>946</v>
      </c>
      <c r="D5823" t="s">
        <v>947</v>
      </c>
      <c r="E5823" t="s">
        <v>270</v>
      </c>
      <c r="F5823" t="s">
        <v>948</v>
      </c>
      <c r="G5823">
        <v>1877777</v>
      </c>
      <c r="H5823">
        <v>500220</v>
      </c>
      <c r="I5823" t="s">
        <v>949</v>
      </c>
    </row>
    <row r="5824" spans="1:9" x14ac:dyDescent="0.25">
      <c r="A5824">
        <v>4220</v>
      </c>
      <c r="B5824">
        <v>18</v>
      </c>
      <c r="C5824" t="s">
        <v>946</v>
      </c>
      <c r="D5824" t="s">
        <v>947</v>
      </c>
      <c r="E5824" t="s">
        <v>270</v>
      </c>
      <c r="F5824" t="s">
        <v>948</v>
      </c>
      <c r="G5824">
        <v>1877777</v>
      </c>
      <c r="H5824">
        <v>500220</v>
      </c>
      <c r="I5824" t="s">
        <v>949</v>
      </c>
    </row>
    <row r="5825" spans="1:9" x14ac:dyDescent="0.25">
      <c r="A5825">
        <v>4230</v>
      </c>
      <c r="B5825">
        <v>18</v>
      </c>
      <c r="C5825" t="s">
        <v>946</v>
      </c>
      <c r="D5825" t="s">
        <v>947</v>
      </c>
      <c r="E5825" t="s">
        <v>270</v>
      </c>
      <c r="F5825" t="s">
        <v>948</v>
      </c>
      <c r="G5825">
        <v>1899999</v>
      </c>
      <c r="H5825">
        <v>401062</v>
      </c>
      <c r="I5825" t="s">
        <v>949</v>
      </c>
    </row>
    <row r="5826" spans="1:9" x14ac:dyDescent="0.25">
      <c r="A5826">
        <v>4240</v>
      </c>
      <c r="B5826">
        <v>18</v>
      </c>
      <c r="C5826" t="s">
        <v>946</v>
      </c>
      <c r="D5826" t="s">
        <v>947</v>
      </c>
      <c r="E5826" t="s">
        <v>270</v>
      </c>
      <c r="F5826" t="s">
        <v>948</v>
      </c>
      <c r="G5826">
        <v>1877777</v>
      </c>
      <c r="H5826">
        <v>500221</v>
      </c>
      <c r="I5826" t="s">
        <v>949</v>
      </c>
    </row>
    <row r="5827" spans="1:9" x14ac:dyDescent="0.25">
      <c r="A5827">
        <v>4141</v>
      </c>
      <c r="B5827">
        <v>18</v>
      </c>
      <c r="C5827" t="s">
        <v>946</v>
      </c>
      <c r="D5827" t="s">
        <v>947</v>
      </c>
      <c r="E5827" t="s">
        <v>274</v>
      </c>
      <c r="F5827" t="s">
        <v>948</v>
      </c>
      <c r="G5827">
        <v>1877777</v>
      </c>
      <c r="H5827">
        <v>500220</v>
      </c>
      <c r="I5827" t="s">
        <v>949</v>
      </c>
    </row>
    <row r="5828" spans="1:9" x14ac:dyDescent="0.25">
      <c r="A5828">
        <v>4220</v>
      </c>
      <c r="B5828">
        <v>18</v>
      </c>
      <c r="C5828" t="s">
        <v>946</v>
      </c>
      <c r="D5828" t="s">
        <v>947</v>
      </c>
      <c r="E5828" t="s">
        <v>274</v>
      </c>
      <c r="F5828" t="s">
        <v>948</v>
      </c>
      <c r="G5828">
        <v>1877777</v>
      </c>
      <c r="H5828">
        <v>500220</v>
      </c>
      <c r="I5828" t="s">
        <v>949</v>
      </c>
    </row>
    <row r="5829" spans="1:9" x14ac:dyDescent="0.25">
      <c r="A5829">
        <v>4230</v>
      </c>
      <c r="B5829">
        <v>18</v>
      </c>
      <c r="C5829" t="s">
        <v>946</v>
      </c>
      <c r="D5829" t="s">
        <v>947</v>
      </c>
      <c r="E5829" t="s">
        <v>274</v>
      </c>
      <c r="F5829" t="s">
        <v>948</v>
      </c>
      <c r="G5829">
        <v>1899999</v>
      </c>
      <c r="H5829">
        <v>401042</v>
      </c>
      <c r="I5829" t="s">
        <v>949</v>
      </c>
    </row>
    <row r="5830" spans="1:9" x14ac:dyDescent="0.25">
      <c r="A5830">
        <v>4240</v>
      </c>
      <c r="B5830">
        <v>18</v>
      </c>
      <c r="C5830" t="s">
        <v>946</v>
      </c>
      <c r="D5830" t="s">
        <v>947</v>
      </c>
      <c r="E5830" t="s">
        <v>274</v>
      </c>
      <c r="F5830" t="s">
        <v>948</v>
      </c>
      <c r="G5830">
        <v>1877777</v>
      </c>
      <c r="H5830">
        <v>500221</v>
      </c>
      <c r="I5830" t="s">
        <v>949</v>
      </c>
    </row>
    <row r="5831" spans="1:9" x14ac:dyDescent="0.25">
      <c r="A5831">
        <v>4141</v>
      </c>
      <c r="B5831">
        <v>18</v>
      </c>
      <c r="C5831" t="s">
        <v>946</v>
      </c>
      <c r="D5831" t="s">
        <v>947</v>
      </c>
      <c r="E5831" t="s">
        <v>974</v>
      </c>
      <c r="F5831" t="s">
        <v>948</v>
      </c>
      <c r="G5831">
        <v>1877777</v>
      </c>
      <c r="H5831">
        <v>500220</v>
      </c>
      <c r="I5831" t="s">
        <v>949</v>
      </c>
    </row>
    <row r="5832" spans="1:9" x14ac:dyDescent="0.25">
      <c r="A5832">
        <v>4220</v>
      </c>
      <c r="B5832">
        <v>18</v>
      </c>
      <c r="C5832" t="s">
        <v>946</v>
      </c>
      <c r="D5832" t="s">
        <v>947</v>
      </c>
      <c r="E5832" t="s">
        <v>974</v>
      </c>
      <c r="F5832" t="s">
        <v>948</v>
      </c>
      <c r="G5832">
        <v>1877777</v>
      </c>
      <c r="H5832">
        <v>500220</v>
      </c>
      <c r="I5832" t="s">
        <v>949</v>
      </c>
    </row>
    <row r="5833" spans="1:9" x14ac:dyDescent="0.25">
      <c r="A5833">
        <v>4230</v>
      </c>
      <c r="B5833">
        <v>18</v>
      </c>
      <c r="C5833" t="s">
        <v>946</v>
      </c>
      <c r="D5833" t="s">
        <v>947</v>
      </c>
      <c r="E5833" t="s">
        <v>974</v>
      </c>
      <c r="F5833" t="s">
        <v>948</v>
      </c>
      <c r="G5833">
        <v>1899999</v>
      </c>
      <c r="H5833">
        <v>401912</v>
      </c>
      <c r="I5833" t="s">
        <v>949</v>
      </c>
    </row>
    <row r="5834" spans="1:9" x14ac:dyDescent="0.25">
      <c r="A5834">
        <v>4240</v>
      </c>
      <c r="B5834">
        <v>18</v>
      </c>
      <c r="C5834" t="s">
        <v>946</v>
      </c>
      <c r="D5834" t="s">
        <v>947</v>
      </c>
      <c r="E5834" t="s">
        <v>974</v>
      </c>
      <c r="F5834" t="s">
        <v>948</v>
      </c>
      <c r="G5834">
        <v>1877777</v>
      </c>
      <c r="H5834">
        <v>500221</v>
      </c>
      <c r="I5834" t="s">
        <v>949</v>
      </c>
    </row>
    <row r="5835" spans="1:9" x14ac:dyDescent="0.25">
      <c r="A5835">
        <v>4141</v>
      </c>
      <c r="B5835">
        <v>18</v>
      </c>
      <c r="C5835" t="s">
        <v>946</v>
      </c>
      <c r="D5835" t="s">
        <v>947</v>
      </c>
      <c r="E5835" t="s">
        <v>104</v>
      </c>
      <c r="F5835" t="s">
        <v>948</v>
      </c>
      <c r="G5835">
        <v>1877777</v>
      </c>
      <c r="H5835">
        <v>500220</v>
      </c>
      <c r="I5835" t="s">
        <v>949</v>
      </c>
    </row>
    <row r="5836" spans="1:9" x14ac:dyDescent="0.25">
      <c r="A5836">
        <v>4220</v>
      </c>
      <c r="B5836">
        <v>18</v>
      </c>
      <c r="C5836" t="s">
        <v>946</v>
      </c>
      <c r="D5836" t="s">
        <v>947</v>
      </c>
      <c r="E5836" t="s">
        <v>104</v>
      </c>
      <c r="F5836" t="s">
        <v>948</v>
      </c>
      <c r="G5836">
        <v>1877777</v>
      </c>
      <c r="H5836">
        <v>500220</v>
      </c>
      <c r="I5836" t="s">
        <v>949</v>
      </c>
    </row>
    <row r="5837" spans="1:9" x14ac:dyDescent="0.25">
      <c r="A5837">
        <v>4230</v>
      </c>
      <c r="B5837">
        <v>18</v>
      </c>
      <c r="C5837" t="s">
        <v>946</v>
      </c>
      <c r="D5837" t="s">
        <v>947</v>
      </c>
      <c r="E5837" t="s">
        <v>104</v>
      </c>
      <c r="F5837" t="s">
        <v>948</v>
      </c>
      <c r="G5837">
        <v>1899999</v>
      </c>
      <c r="H5837">
        <v>401042</v>
      </c>
      <c r="I5837" t="s">
        <v>949</v>
      </c>
    </row>
    <row r="5838" spans="1:9" x14ac:dyDescent="0.25">
      <c r="A5838">
        <v>4240</v>
      </c>
      <c r="B5838">
        <v>18</v>
      </c>
      <c r="C5838" t="s">
        <v>946</v>
      </c>
      <c r="D5838" t="s">
        <v>947</v>
      </c>
      <c r="E5838" t="s">
        <v>104</v>
      </c>
      <c r="F5838" t="s">
        <v>948</v>
      </c>
      <c r="G5838">
        <v>1877777</v>
      </c>
      <c r="H5838">
        <v>500221</v>
      </c>
      <c r="I5838" t="s">
        <v>949</v>
      </c>
    </row>
    <row r="5839" spans="1:9" x14ac:dyDescent="0.25">
      <c r="A5839">
        <v>4141</v>
      </c>
      <c r="B5839">
        <v>18</v>
      </c>
      <c r="C5839" t="s">
        <v>946</v>
      </c>
      <c r="D5839" t="s">
        <v>947</v>
      </c>
      <c r="E5839" t="s">
        <v>278</v>
      </c>
      <c r="F5839" t="s">
        <v>948</v>
      </c>
      <c r="G5839">
        <v>1877777</v>
      </c>
      <c r="H5839">
        <v>500220</v>
      </c>
      <c r="I5839" t="s">
        <v>949</v>
      </c>
    </row>
    <row r="5840" spans="1:9" x14ac:dyDescent="0.25">
      <c r="A5840">
        <v>4220</v>
      </c>
      <c r="B5840">
        <v>18</v>
      </c>
      <c r="C5840" t="s">
        <v>946</v>
      </c>
      <c r="D5840" t="s">
        <v>947</v>
      </c>
      <c r="E5840" t="s">
        <v>278</v>
      </c>
      <c r="F5840" t="s">
        <v>948</v>
      </c>
      <c r="G5840">
        <v>1877777</v>
      </c>
      <c r="H5840">
        <v>500220</v>
      </c>
      <c r="I5840" t="s">
        <v>949</v>
      </c>
    </row>
    <row r="5841" spans="1:9" x14ac:dyDescent="0.25">
      <c r="A5841">
        <v>4230</v>
      </c>
      <c r="B5841">
        <v>18</v>
      </c>
      <c r="C5841" t="s">
        <v>946</v>
      </c>
      <c r="D5841" t="s">
        <v>947</v>
      </c>
      <c r="E5841" t="s">
        <v>278</v>
      </c>
      <c r="F5841" t="s">
        <v>948</v>
      </c>
      <c r="G5841">
        <v>1899999</v>
      </c>
      <c r="H5841">
        <v>401052</v>
      </c>
      <c r="I5841" t="s">
        <v>949</v>
      </c>
    </row>
    <row r="5842" spans="1:9" x14ac:dyDescent="0.25">
      <c r="A5842">
        <v>4240</v>
      </c>
      <c r="B5842">
        <v>18</v>
      </c>
      <c r="C5842" t="s">
        <v>946</v>
      </c>
      <c r="D5842" t="s">
        <v>947</v>
      </c>
      <c r="E5842" t="s">
        <v>278</v>
      </c>
      <c r="F5842" t="s">
        <v>948</v>
      </c>
      <c r="G5842">
        <v>1877777</v>
      </c>
      <c r="H5842">
        <v>500221</v>
      </c>
      <c r="I5842" t="s">
        <v>949</v>
      </c>
    </row>
    <row r="5843" spans="1:9" x14ac:dyDescent="0.25">
      <c r="A5843">
        <v>4141</v>
      </c>
      <c r="B5843">
        <v>18</v>
      </c>
      <c r="C5843" t="s">
        <v>946</v>
      </c>
      <c r="D5843" t="s">
        <v>947</v>
      </c>
      <c r="E5843" t="s">
        <v>282</v>
      </c>
      <c r="F5843" t="s">
        <v>948</v>
      </c>
      <c r="G5843">
        <v>1877777</v>
      </c>
      <c r="H5843">
        <v>500220</v>
      </c>
      <c r="I5843" t="s">
        <v>949</v>
      </c>
    </row>
    <row r="5844" spans="1:9" x14ac:dyDescent="0.25">
      <c r="A5844">
        <v>4220</v>
      </c>
      <c r="B5844">
        <v>18</v>
      </c>
      <c r="C5844" t="s">
        <v>946</v>
      </c>
      <c r="D5844" t="s">
        <v>947</v>
      </c>
      <c r="E5844" t="s">
        <v>282</v>
      </c>
      <c r="F5844" t="s">
        <v>948</v>
      </c>
      <c r="G5844">
        <v>1877777</v>
      </c>
      <c r="H5844">
        <v>500220</v>
      </c>
      <c r="I5844" t="s">
        <v>949</v>
      </c>
    </row>
    <row r="5845" spans="1:9" x14ac:dyDescent="0.25">
      <c r="A5845">
        <v>4230</v>
      </c>
      <c r="B5845">
        <v>18</v>
      </c>
      <c r="C5845" t="s">
        <v>946</v>
      </c>
      <c r="D5845" t="s">
        <v>947</v>
      </c>
      <c r="E5845" t="s">
        <v>282</v>
      </c>
      <c r="F5845" t="s">
        <v>948</v>
      </c>
      <c r="G5845">
        <v>1899999</v>
      </c>
      <c r="H5845">
        <v>401042</v>
      </c>
      <c r="I5845" t="s">
        <v>949</v>
      </c>
    </row>
    <row r="5846" spans="1:9" x14ac:dyDescent="0.25">
      <c r="A5846">
        <v>4240</v>
      </c>
      <c r="B5846">
        <v>18</v>
      </c>
      <c r="C5846" t="s">
        <v>946</v>
      </c>
      <c r="D5846" t="s">
        <v>947</v>
      </c>
      <c r="E5846" t="s">
        <v>282</v>
      </c>
      <c r="F5846" t="s">
        <v>948</v>
      </c>
      <c r="G5846">
        <v>1877777</v>
      </c>
      <c r="H5846">
        <v>500221</v>
      </c>
      <c r="I5846" t="s">
        <v>949</v>
      </c>
    </row>
    <row r="5847" spans="1:9" x14ac:dyDescent="0.25">
      <c r="A5847">
        <v>4141</v>
      </c>
      <c r="B5847">
        <v>18</v>
      </c>
      <c r="C5847" t="s">
        <v>946</v>
      </c>
      <c r="D5847" t="s">
        <v>947</v>
      </c>
      <c r="E5847" t="s">
        <v>286</v>
      </c>
      <c r="F5847" t="s">
        <v>948</v>
      </c>
      <c r="G5847">
        <v>1877777</v>
      </c>
      <c r="H5847">
        <v>500220</v>
      </c>
      <c r="I5847" t="s">
        <v>949</v>
      </c>
    </row>
    <row r="5848" spans="1:9" x14ac:dyDescent="0.25">
      <c r="A5848">
        <v>4220</v>
      </c>
      <c r="B5848">
        <v>18</v>
      </c>
      <c r="C5848" t="s">
        <v>946</v>
      </c>
      <c r="D5848" t="s">
        <v>947</v>
      </c>
      <c r="E5848" t="s">
        <v>286</v>
      </c>
      <c r="F5848" t="s">
        <v>948</v>
      </c>
      <c r="G5848">
        <v>1877777</v>
      </c>
      <c r="H5848">
        <v>500220</v>
      </c>
      <c r="I5848" t="s">
        <v>949</v>
      </c>
    </row>
    <row r="5849" spans="1:9" x14ac:dyDescent="0.25">
      <c r="A5849">
        <v>4230</v>
      </c>
      <c r="B5849">
        <v>18</v>
      </c>
      <c r="C5849" t="s">
        <v>946</v>
      </c>
      <c r="D5849" t="s">
        <v>947</v>
      </c>
      <c r="E5849" t="s">
        <v>286</v>
      </c>
      <c r="F5849" t="s">
        <v>948</v>
      </c>
      <c r="G5849">
        <v>1899999</v>
      </c>
      <c r="H5849">
        <v>401032</v>
      </c>
      <c r="I5849" t="s">
        <v>949</v>
      </c>
    </row>
    <row r="5850" spans="1:9" x14ac:dyDescent="0.25">
      <c r="A5850">
        <v>4240</v>
      </c>
      <c r="B5850">
        <v>18</v>
      </c>
      <c r="C5850" t="s">
        <v>946</v>
      </c>
      <c r="D5850" t="s">
        <v>947</v>
      </c>
      <c r="E5850" t="s">
        <v>286</v>
      </c>
      <c r="F5850" t="s">
        <v>948</v>
      </c>
      <c r="G5850">
        <v>1877777</v>
      </c>
      <c r="H5850">
        <v>500221</v>
      </c>
      <c r="I5850" t="s">
        <v>949</v>
      </c>
    </row>
    <row r="5851" spans="1:9" x14ac:dyDescent="0.25">
      <c r="A5851">
        <v>4141</v>
      </c>
      <c r="B5851">
        <v>18</v>
      </c>
      <c r="C5851" t="s">
        <v>946</v>
      </c>
      <c r="D5851" t="s">
        <v>947</v>
      </c>
      <c r="E5851" t="s">
        <v>976</v>
      </c>
      <c r="F5851" t="s">
        <v>948</v>
      </c>
      <c r="G5851">
        <v>1877777</v>
      </c>
      <c r="H5851">
        <v>500220</v>
      </c>
      <c r="I5851" t="s">
        <v>949</v>
      </c>
    </row>
    <row r="5852" spans="1:9" x14ac:dyDescent="0.25">
      <c r="A5852">
        <v>4220</v>
      </c>
      <c r="B5852">
        <v>18</v>
      </c>
      <c r="C5852" t="s">
        <v>946</v>
      </c>
      <c r="D5852" t="s">
        <v>947</v>
      </c>
      <c r="E5852" t="s">
        <v>976</v>
      </c>
      <c r="F5852" t="s">
        <v>948</v>
      </c>
      <c r="G5852">
        <v>1877777</v>
      </c>
      <c r="H5852">
        <v>500220</v>
      </c>
      <c r="I5852" t="s">
        <v>949</v>
      </c>
    </row>
    <row r="5853" spans="1:9" x14ac:dyDescent="0.25">
      <c r="A5853">
        <v>4230</v>
      </c>
      <c r="B5853">
        <v>18</v>
      </c>
      <c r="C5853" t="s">
        <v>946</v>
      </c>
      <c r="D5853" t="s">
        <v>947</v>
      </c>
      <c r="E5853" t="s">
        <v>976</v>
      </c>
      <c r="F5853" t="s">
        <v>948</v>
      </c>
      <c r="G5853">
        <v>1899999</v>
      </c>
      <c r="H5853">
        <v>401912</v>
      </c>
      <c r="I5853" t="s">
        <v>949</v>
      </c>
    </row>
    <row r="5854" spans="1:9" x14ac:dyDescent="0.25">
      <c r="A5854">
        <v>4240</v>
      </c>
      <c r="B5854">
        <v>18</v>
      </c>
      <c r="C5854" t="s">
        <v>946</v>
      </c>
      <c r="D5854" t="s">
        <v>947</v>
      </c>
      <c r="E5854" t="s">
        <v>976</v>
      </c>
      <c r="F5854" t="s">
        <v>948</v>
      </c>
      <c r="G5854">
        <v>1877777</v>
      </c>
      <c r="H5854">
        <v>500221</v>
      </c>
      <c r="I5854" t="s">
        <v>949</v>
      </c>
    </row>
    <row r="5855" spans="1:9" x14ac:dyDescent="0.25">
      <c r="A5855">
        <v>4141</v>
      </c>
      <c r="B5855">
        <v>18</v>
      </c>
      <c r="C5855" t="s">
        <v>946</v>
      </c>
      <c r="D5855" t="s">
        <v>947</v>
      </c>
      <c r="E5855" t="s">
        <v>290</v>
      </c>
      <c r="F5855" t="s">
        <v>948</v>
      </c>
      <c r="G5855">
        <v>1877777</v>
      </c>
      <c r="H5855">
        <v>500220</v>
      </c>
      <c r="I5855" t="s">
        <v>949</v>
      </c>
    </row>
    <row r="5856" spans="1:9" x14ac:dyDescent="0.25">
      <c r="A5856">
        <v>4220</v>
      </c>
      <c r="B5856">
        <v>18</v>
      </c>
      <c r="C5856" t="s">
        <v>946</v>
      </c>
      <c r="D5856" t="s">
        <v>947</v>
      </c>
      <c r="E5856" t="s">
        <v>290</v>
      </c>
      <c r="F5856" t="s">
        <v>948</v>
      </c>
      <c r="G5856">
        <v>1877777</v>
      </c>
      <c r="H5856">
        <v>500220</v>
      </c>
      <c r="I5856" t="s">
        <v>949</v>
      </c>
    </row>
    <row r="5857" spans="1:9" x14ac:dyDescent="0.25">
      <c r="A5857">
        <v>4230</v>
      </c>
      <c r="B5857">
        <v>18</v>
      </c>
      <c r="C5857" t="s">
        <v>946</v>
      </c>
      <c r="D5857" t="s">
        <v>947</v>
      </c>
      <c r="E5857" t="s">
        <v>290</v>
      </c>
      <c r="F5857" t="s">
        <v>948</v>
      </c>
      <c r="G5857">
        <v>1899999</v>
      </c>
      <c r="H5857">
        <v>401042</v>
      </c>
      <c r="I5857" t="s">
        <v>949</v>
      </c>
    </row>
    <row r="5858" spans="1:9" x14ac:dyDescent="0.25">
      <c r="A5858">
        <v>4240</v>
      </c>
      <c r="B5858">
        <v>18</v>
      </c>
      <c r="C5858" t="s">
        <v>946</v>
      </c>
      <c r="D5858" t="s">
        <v>947</v>
      </c>
      <c r="E5858" t="s">
        <v>290</v>
      </c>
      <c r="F5858" t="s">
        <v>948</v>
      </c>
      <c r="G5858">
        <v>1877777</v>
      </c>
      <c r="H5858">
        <v>500221</v>
      </c>
      <c r="I5858" t="s">
        <v>949</v>
      </c>
    </row>
    <row r="5859" spans="1:9" x14ac:dyDescent="0.25">
      <c r="A5859">
        <v>4141</v>
      </c>
      <c r="B5859">
        <v>18</v>
      </c>
      <c r="C5859" t="s">
        <v>946</v>
      </c>
      <c r="D5859" t="s">
        <v>947</v>
      </c>
      <c r="E5859" t="s">
        <v>294</v>
      </c>
      <c r="F5859" t="s">
        <v>948</v>
      </c>
      <c r="G5859">
        <v>1877777</v>
      </c>
      <c r="H5859">
        <v>500220</v>
      </c>
      <c r="I5859" t="s">
        <v>949</v>
      </c>
    </row>
    <row r="5860" spans="1:9" x14ac:dyDescent="0.25">
      <c r="A5860">
        <v>4220</v>
      </c>
      <c r="B5860">
        <v>18</v>
      </c>
      <c r="C5860" t="s">
        <v>946</v>
      </c>
      <c r="D5860" t="s">
        <v>947</v>
      </c>
      <c r="E5860" t="s">
        <v>294</v>
      </c>
      <c r="F5860" t="s">
        <v>948</v>
      </c>
      <c r="G5860">
        <v>1877777</v>
      </c>
      <c r="H5860">
        <v>500220</v>
      </c>
      <c r="I5860" t="s">
        <v>949</v>
      </c>
    </row>
    <row r="5861" spans="1:9" x14ac:dyDescent="0.25">
      <c r="A5861">
        <v>4230</v>
      </c>
      <c r="B5861">
        <v>18</v>
      </c>
      <c r="C5861" t="s">
        <v>946</v>
      </c>
      <c r="D5861" t="s">
        <v>947</v>
      </c>
      <c r="E5861" t="s">
        <v>294</v>
      </c>
      <c r="F5861" t="s">
        <v>948</v>
      </c>
      <c r="G5861">
        <v>1899999</v>
      </c>
      <c r="H5861">
        <v>401042</v>
      </c>
      <c r="I5861" t="s">
        <v>949</v>
      </c>
    </row>
    <row r="5862" spans="1:9" x14ac:dyDescent="0.25">
      <c r="A5862">
        <v>4240</v>
      </c>
      <c r="B5862">
        <v>18</v>
      </c>
      <c r="C5862" t="s">
        <v>946</v>
      </c>
      <c r="D5862" t="s">
        <v>947</v>
      </c>
      <c r="E5862" t="s">
        <v>294</v>
      </c>
      <c r="F5862" t="s">
        <v>948</v>
      </c>
      <c r="G5862">
        <v>1877777</v>
      </c>
      <c r="H5862">
        <v>500221</v>
      </c>
      <c r="I5862" t="s">
        <v>949</v>
      </c>
    </row>
    <row r="5863" spans="1:9" x14ac:dyDescent="0.25">
      <c r="A5863">
        <v>4230</v>
      </c>
      <c r="B5863">
        <v>18</v>
      </c>
      <c r="C5863" t="s">
        <v>946</v>
      </c>
      <c r="D5863" t="s">
        <v>947</v>
      </c>
      <c r="E5863" t="s">
        <v>298</v>
      </c>
      <c r="F5863" t="s">
        <v>948</v>
      </c>
      <c r="G5863">
        <v>1899999</v>
      </c>
      <c r="H5863">
        <v>402082</v>
      </c>
      <c r="I5863" t="s">
        <v>949</v>
      </c>
    </row>
    <row r="5864" spans="1:9" x14ac:dyDescent="0.25">
      <c r="A5864">
        <v>4141</v>
      </c>
      <c r="B5864">
        <v>18</v>
      </c>
      <c r="C5864" t="s">
        <v>946</v>
      </c>
      <c r="D5864" t="s">
        <v>947</v>
      </c>
      <c r="E5864" t="s">
        <v>980</v>
      </c>
      <c r="F5864" t="s">
        <v>948</v>
      </c>
      <c r="G5864">
        <v>1877777</v>
      </c>
      <c r="H5864">
        <v>500220</v>
      </c>
      <c r="I5864" t="s">
        <v>949</v>
      </c>
    </row>
    <row r="5865" spans="1:9" x14ac:dyDescent="0.25">
      <c r="A5865">
        <v>4220</v>
      </c>
      <c r="B5865">
        <v>18</v>
      </c>
      <c r="C5865" t="s">
        <v>946</v>
      </c>
      <c r="D5865" t="s">
        <v>947</v>
      </c>
      <c r="E5865" t="s">
        <v>980</v>
      </c>
      <c r="F5865" t="s">
        <v>948</v>
      </c>
      <c r="G5865">
        <v>1877777</v>
      </c>
      <c r="H5865">
        <v>500220</v>
      </c>
      <c r="I5865" t="s">
        <v>949</v>
      </c>
    </row>
    <row r="5866" spans="1:9" x14ac:dyDescent="0.25">
      <c r="A5866">
        <v>4230</v>
      </c>
      <c r="B5866">
        <v>18</v>
      </c>
      <c r="C5866" t="s">
        <v>946</v>
      </c>
      <c r="D5866" t="s">
        <v>947</v>
      </c>
      <c r="E5866" t="s">
        <v>980</v>
      </c>
      <c r="F5866" t="s">
        <v>948</v>
      </c>
      <c r="G5866">
        <v>1899999</v>
      </c>
      <c r="H5866">
        <v>401912</v>
      </c>
      <c r="I5866" t="s">
        <v>949</v>
      </c>
    </row>
    <row r="5867" spans="1:9" x14ac:dyDescent="0.25">
      <c r="A5867">
        <v>4240</v>
      </c>
      <c r="B5867">
        <v>18</v>
      </c>
      <c r="C5867" t="s">
        <v>946</v>
      </c>
      <c r="D5867" t="s">
        <v>947</v>
      </c>
      <c r="E5867" t="s">
        <v>980</v>
      </c>
      <c r="F5867" t="s">
        <v>948</v>
      </c>
      <c r="G5867">
        <v>1877777</v>
      </c>
      <c r="H5867">
        <v>500221</v>
      </c>
      <c r="I5867" t="s">
        <v>949</v>
      </c>
    </row>
    <row r="5868" spans="1:9" x14ac:dyDescent="0.25">
      <c r="A5868">
        <v>4141</v>
      </c>
      <c r="B5868">
        <v>18</v>
      </c>
      <c r="C5868" t="s">
        <v>946</v>
      </c>
      <c r="D5868" t="s">
        <v>947</v>
      </c>
      <c r="E5868" t="s">
        <v>302</v>
      </c>
      <c r="F5868" t="s">
        <v>948</v>
      </c>
      <c r="G5868">
        <v>1877777</v>
      </c>
      <c r="H5868">
        <v>500220</v>
      </c>
      <c r="I5868" t="s">
        <v>949</v>
      </c>
    </row>
    <row r="5869" spans="1:9" x14ac:dyDescent="0.25">
      <c r="A5869">
        <v>4220</v>
      </c>
      <c r="B5869">
        <v>18</v>
      </c>
      <c r="C5869" t="s">
        <v>946</v>
      </c>
      <c r="D5869" t="s">
        <v>947</v>
      </c>
      <c r="E5869" t="s">
        <v>302</v>
      </c>
      <c r="F5869" t="s">
        <v>948</v>
      </c>
      <c r="G5869">
        <v>1877777</v>
      </c>
      <c r="H5869">
        <v>500220</v>
      </c>
      <c r="I5869" t="s">
        <v>949</v>
      </c>
    </row>
    <row r="5870" spans="1:9" x14ac:dyDescent="0.25">
      <c r="A5870">
        <v>4230</v>
      </c>
      <c r="B5870">
        <v>18</v>
      </c>
      <c r="C5870" t="s">
        <v>946</v>
      </c>
      <c r="D5870" t="s">
        <v>947</v>
      </c>
      <c r="E5870" t="s">
        <v>302</v>
      </c>
      <c r="F5870" t="s">
        <v>948</v>
      </c>
      <c r="G5870">
        <v>1899999</v>
      </c>
      <c r="H5870">
        <v>401902</v>
      </c>
      <c r="I5870" t="s">
        <v>949</v>
      </c>
    </row>
    <row r="5871" spans="1:9" x14ac:dyDescent="0.25">
      <c r="A5871">
        <v>4240</v>
      </c>
      <c r="B5871">
        <v>18</v>
      </c>
      <c r="C5871" t="s">
        <v>946</v>
      </c>
      <c r="D5871" t="s">
        <v>947</v>
      </c>
      <c r="E5871" t="s">
        <v>302</v>
      </c>
      <c r="F5871" t="s">
        <v>948</v>
      </c>
      <c r="G5871">
        <v>1877777</v>
      </c>
      <c r="H5871">
        <v>500221</v>
      </c>
      <c r="I5871" t="s">
        <v>949</v>
      </c>
    </row>
    <row r="5872" spans="1:9" x14ac:dyDescent="0.25">
      <c r="A5872">
        <v>4141</v>
      </c>
      <c r="B5872">
        <v>18</v>
      </c>
      <c r="C5872" t="s">
        <v>946</v>
      </c>
      <c r="D5872" t="s">
        <v>947</v>
      </c>
      <c r="E5872" t="s">
        <v>306</v>
      </c>
      <c r="F5872" t="s">
        <v>948</v>
      </c>
      <c r="G5872">
        <v>1877777</v>
      </c>
      <c r="H5872">
        <v>500220</v>
      </c>
      <c r="I5872" t="s">
        <v>949</v>
      </c>
    </row>
    <row r="5873" spans="1:9" x14ac:dyDescent="0.25">
      <c r="A5873">
        <v>4220</v>
      </c>
      <c r="B5873">
        <v>18</v>
      </c>
      <c r="C5873" t="s">
        <v>946</v>
      </c>
      <c r="D5873" t="s">
        <v>947</v>
      </c>
      <c r="E5873" t="s">
        <v>306</v>
      </c>
      <c r="F5873" t="s">
        <v>948</v>
      </c>
      <c r="G5873">
        <v>1877777</v>
      </c>
      <c r="H5873">
        <v>500220</v>
      </c>
      <c r="I5873" t="s">
        <v>949</v>
      </c>
    </row>
    <row r="5874" spans="1:9" x14ac:dyDescent="0.25">
      <c r="A5874">
        <v>4230</v>
      </c>
      <c r="B5874">
        <v>18</v>
      </c>
      <c r="C5874" t="s">
        <v>946</v>
      </c>
      <c r="D5874" t="s">
        <v>947</v>
      </c>
      <c r="E5874" t="s">
        <v>306</v>
      </c>
      <c r="F5874" t="s">
        <v>948</v>
      </c>
      <c r="G5874">
        <v>1899999</v>
      </c>
      <c r="H5874">
        <v>401042</v>
      </c>
      <c r="I5874" t="s">
        <v>949</v>
      </c>
    </row>
    <row r="5875" spans="1:9" x14ac:dyDescent="0.25">
      <c r="A5875">
        <v>4240</v>
      </c>
      <c r="B5875">
        <v>18</v>
      </c>
      <c r="C5875" t="s">
        <v>946</v>
      </c>
      <c r="D5875" t="s">
        <v>947</v>
      </c>
      <c r="E5875" t="s">
        <v>306</v>
      </c>
      <c r="F5875" t="s">
        <v>948</v>
      </c>
      <c r="G5875">
        <v>1877777</v>
      </c>
      <c r="H5875">
        <v>500221</v>
      </c>
      <c r="I5875" t="s">
        <v>949</v>
      </c>
    </row>
    <row r="5876" spans="1:9" x14ac:dyDescent="0.25">
      <c r="A5876">
        <v>4141</v>
      </c>
      <c r="B5876">
        <v>18</v>
      </c>
      <c r="C5876" t="s">
        <v>946</v>
      </c>
      <c r="D5876" t="s">
        <v>947</v>
      </c>
      <c r="E5876" t="s">
        <v>108</v>
      </c>
      <c r="F5876" t="s">
        <v>948</v>
      </c>
      <c r="G5876">
        <v>1877777</v>
      </c>
      <c r="H5876">
        <v>500220</v>
      </c>
      <c r="I5876" t="s">
        <v>949</v>
      </c>
    </row>
    <row r="5877" spans="1:9" x14ac:dyDescent="0.25">
      <c r="A5877">
        <v>4220</v>
      </c>
      <c r="B5877">
        <v>18</v>
      </c>
      <c r="C5877" t="s">
        <v>946</v>
      </c>
      <c r="D5877" t="s">
        <v>947</v>
      </c>
      <c r="E5877" t="s">
        <v>108</v>
      </c>
      <c r="F5877" t="s">
        <v>948</v>
      </c>
      <c r="G5877">
        <v>1877777</v>
      </c>
      <c r="H5877">
        <v>500220</v>
      </c>
      <c r="I5877" t="s">
        <v>949</v>
      </c>
    </row>
    <row r="5878" spans="1:9" x14ac:dyDescent="0.25">
      <c r="A5878">
        <v>4230</v>
      </c>
      <c r="B5878">
        <v>18</v>
      </c>
      <c r="C5878" t="s">
        <v>946</v>
      </c>
      <c r="D5878" t="s">
        <v>947</v>
      </c>
      <c r="E5878" t="s">
        <v>108</v>
      </c>
      <c r="F5878" t="s">
        <v>948</v>
      </c>
      <c r="G5878">
        <v>1899999</v>
      </c>
      <c r="H5878">
        <v>401042</v>
      </c>
      <c r="I5878" t="s">
        <v>949</v>
      </c>
    </row>
    <row r="5879" spans="1:9" x14ac:dyDescent="0.25">
      <c r="A5879">
        <v>4240</v>
      </c>
      <c r="B5879">
        <v>18</v>
      </c>
      <c r="C5879" t="s">
        <v>946</v>
      </c>
      <c r="D5879" t="s">
        <v>947</v>
      </c>
      <c r="E5879" t="s">
        <v>108</v>
      </c>
      <c r="F5879" t="s">
        <v>948</v>
      </c>
      <c r="G5879">
        <v>1877777</v>
      </c>
      <c r="H5879">
        <v>500221</v>
      </c>
      <c r="I5879" t="s">
        <v>949</v>
      </c>
    </row>
    <row r="5880" spans="1:9" x14ac:dyDescent="0.25">
      <c r="A5880">
        <v>4141</v>
      </c>
      <c r="B5880">
        <v>18</v>
      </c>
      <c r="C5880" t="s">
        <v>946</v>
      </c>
      <c r="D5880" t="s">
        <v>947</v>
      </c>
      <c r="E5880" t="s">
        <v>310</v>
      </c>
      <c r="F5880" t="s">
        <v>948</v>
      </c>
      <c r="G5880">
        <v>1877777</v>
      </c>
      <c r="H5880">
        <v>500220</v>
      </c>
      <c r="I5880" t="s">
        <v>949</v>
      </c>
    </row>
    <row r="5881" spans="1:9" x14ac:dyDescent="0.25">
      <c r="A5881">
        <v>4220</v>
      </c>
      <c r="B5881">
        <v>18</v>
      </c>
      <c r="C5881" t="s">
        <v>946</v>
      </c>
      <c r="D5881" t="s">
        <v>947</v>
      </c>
      <c r="E5881" t="s">
        <v>310</v>
      </c>
      <c r="F5881" t="s">
        <v>948</v>
      </c>
      <c r="G5881">
        <v>1877777</v>
      </c>
      <c r="H5881">
        <v>500220</v>
      </c>
      <c r="I5881" t="s">
        <v>949</v>
      </c>
    </row>
    <row r="5882" spans="1:9" x14ac:dyDescent="0.25">
      <c r="A5882">
        <v>4230</v>
      </c>
      <c r="B5882">
        <v>18</v>
      </c>
      <c r="C5882" t="s">
        <v>946</v>
      </c>
      <c r="D5882" t="s">
        <v>947</v>
      </c>
      <c r="E5882" t="s">
        <v>310</v>
      </c>
      <c r="F5882" t="s">
        <v>948</v>
      </c>
      <c r="G5882">
        <v>1899999</v>
      </c>
      <c r="H5882">
        <v>401012</v>
      </c>
      <c r="I5882" t="s">
        <v>949</v>
      </c>
    </row>
    <row r="5883" spans="1:9" x14ac:dyDescent="0.25">
      <c r="A5883">
        <v>4240</v>
      </c>
      <c r="B5883">
        <v>18</v>
      </c>
      <c r="C5883" t="s">
        <v>946</v>
      </c>
      <c r="D5883" t="s">
        <v>947</v>
      </c>
      <c r="E5883" t="s">
        <v>310</v>
      </c>
      <c r="F5883" t="s">
        <v>948</v>
      </c>
      <c r="G5883">
        <v>1877777</v>
      </c>
      <c r="H5883">
        <v>500221</v>
      </c>
      <c r="I5883" t="s">
        <v>949</v>
      </c>
    </row>
    <row r="5884" spans="1:9" x14ac:dyDescent="0.25">
      <c r="A5884">
        <v>4141</v>
      </c>
      <c r="B5884">
        <v>18</v>
      </c>
      <c r="C5884" t="s">
        <v>946</v>
      </c>
      <c r="D5884" t="s">
        <v>947</v>
      </c>
      <c r="E5884" t="s">
        <v>314</v>
      </c>
      <c r="F5884" t="s">
        <v>948</v>
      </c>
      <c r="G5884">
        <v>1877777</v>
      </c>
      <c r="H5884">
        <v>500220</v>
      </c>
      <c r="I5884" t="s">
        <v>949</v>
      </c>
    </row>
    <row r="5885" spans="1:9" x14ac:dyDescent="0.25">
      <c r="A5885">
        <v>4220</v>
      </c>
      <c r="B5885">
        <v>18</v>
      </c>
      <c r="C5885" t="s">
        <v>946</v>
      </c>
      <c r="D5885" t="s">
        <v>947</v>
      </c>
      <c r="E5885" t="s">
        <v>314</v>
      </c>
      <c r="F5885" t="s">
        <v>948</v>
      </c>
      <c r="G5885">
        <v>1877777</v>
      </c>
      <c r="H5885">
        <v>500220</v>
      </c>
      <c r="I5885" t="s">
        <v>949</v>
      </c>
    </row>
    <row r="5886" spans="1:9" x14ac:dyDescent="0.25">
      <c r="A5886">
        <v>4230</v>
      </c>
      <c r="B5886">
        <v>18</v>
      </c>
      <c r="C5886" t="s">
        <v>946</v>
      </c>
      <c r="D5886" t="s">
        <v>947</v>
      </c>
      <c r="E5886" t="s">
        <v>314</v>
      </c>
      <c r="F5886" t="s">
        <v>948</v>
      </c>
      <c r="G5886">
        <v>1899999</v>
      </c>
      <c r="H5886">
        <v>401062</v>
      </c>
      <c r="I5886" t="s">
        <v>949</v>
      </c>
    </row>
    <row r="5887" spans="1:9" x14ac:dyDescent="0.25">
      <c r="A5887">
        <v>4240</v>
      </c>
      <c r="B5887">
        <v>18</v>
      </c>
      <c r="C5887" t="s">
        <v>946</v>
      </c>
      <c r="D5887" t="s">
        <v>947</v>
      </c>
      <c r="E5887" t="s">
        <v>314</v>
      </c>
      <c r="F5887" t="s">
        <v>948</v>
      </c>
      <c r="G5887">
        <v>1877777</v>
      </c>
      <c r="H5887">
        <v>500221</v>
      </c>
      <c r="I5887" t="s">
        <v>949</v>
      </c>
    </row>
    <row r="5888" spans="1:9" x14ac:dyDescent="0.25">
      <c r="A5888">
        <v>4141</v>
      </c>
      <c r="B5888">
        <v>18</v>
      </c>
      <c r="C5888" t="s">
        <v>946</v>
      </c>
      <c r="D5888" t="s">
        <v>947</v>
      </c>
      <c r="E5888" t="s">
        <v>113</v>
      </c>
      <c r="F5888" t="s">
        <v>948</v>
      </c>
      <c r="G5888">
        <v>1877777</v>
      </c>
      <c r="H5888">
        <v>500220</v>
      </c>
      <c r="I5888" t="s">
        <v>949</v>
      </c>
    </row>
    <row r="5889" spans="1:9" x14ac:dyDescent="0.25">
      <c r="A5889">
        <v>4220</v>
      </c>
      <c r="B5889">
        <v>18</v>
      </c>
      <c r="C5889" t="s">
        <v>946</v>
      </c>
      <c r="D5889" t="s">
        <v>947</v>
      </c>
      <c r="E5889" t="s">
        <v>113</v>
      </c>
      <c r="F5889" t="s">
        <v>948</v>
      </c>
      <c r="G5889">
        <v>1877777</v>
      </c>
      <c r="H5889">
        <v>500220</v>
      </c>
      <c r="I5889" t="s">
        <v>949</v>
      </c>
    </row>
    <row r="5890" spans="1:9" x14ac:dyDescent="0.25">
      <c r="A5890">
        <v>4230</v>
      </c>
      <c r="B5890">
        <v>18</v>
      </c>
      <c r="C5890" t="s">
        <v>946</v>
      </c>
      <c r="D5890" t="s">
        <v>947</v>
      </c>
      <c r="E5890" t="s">
        <v>113</v>
      </c>
      <c r="F5890" t="s">
        <v>948</v>
      </c>
      <c r="G5890">
        <v>1899999</v>
      </c>
      <c r="H5890">
        <v>402082</v>
      </c>
      <c r="I5890" t="s">
        <v>949</v>
      </c>
    </row>
    <row r="5891" spans="1:9" x14ac:dyDescent="0.25">
      <c r="A5891">
        <v>4240</v>
      </c>
      <c r="B5891">
        <v>18</v>
      </c>
      <c r="C5891" t="s">
        <v>946</v>
      </c>
      <c r="D5891" t="s">
        <v>947</v>
      </c>
      <c r="E5891" t="s">
        <v>113</v>
      </c>
      <c r="F5891" t="s">
        <v>948</v>
      </c>
      <c r="G5891">
        <v>1877777</v>
      </c>
      <c r="H5891">
        <v>500221</v>
      </c>
      <c r="I5891" t="s">
        <v>949</v>
      </c>
    </row>
    <row r="5892" spans="1:9" x14ac:dyDescent="0.25">
      <c r="A5892">
        <v>4141</v>
      </c>
      <c r="B5892">
        <v>18</v>
      </c>
      <c r="C5892" t="s">
        <v>946</v>
      </c>
      <c r="D5892" t="s">
        <v>947</v>
      </c>
      <c r="E5892" t="s">
        <v>117</v>
      </c>
      <c r="F5892" t="s">
        <v>948</v>
      </c>
      <c r="G5892">
        <v>1877777</v>
      </c>
      <c r="H5892">
        <v>500220</v>
      </c>
      <c r="I5892" t="s">
        <v>949</v>
      </c>
    </row>
    <row r="5893" spans="1:9" x14ac:dyDescent="0.25">
      <c r="A5893">
        <v>4220</v>
      </c>
      <c r="B5893">
        <v>18</v>
      </c>
      <c r="C5893" t="s">
        <v>946</v>
      </c>
      <c r="D5893" t="s">
        <v>947</v>
      </c>
      <c r="E5893" t="s">
        <v>117</v>
      </c>
      <c r="F5893" t="s">
        <v>948</v>
      </c>
      <c r="G5893">
        <v>1877777</v>
      </c>
      <c r="H5893">
        <v>500220</v>
      </c>
      <c r="I5893" t="s">
        <v>949</v>
      </c>
    </row>
    <row r="5894" spans="1:9" x14ac:dyDescent="0.25">
      <c r="A5894">
        <v>4240</v>
      </c>
      <c r="B5894">
        <v>18</v>
      </c>
      <c r="C5894" t="s">
        <v>946</v>
      </c>
      <c r="D5894" t="s">
        <v>947</v>
      </c>
      <c r="E5894" t="s">
        <v>117</v>
      </c>
      <c r="F5894" t="s">
        <v>948</v>
      </c>
      <c r="G5894">
        <v>1877777</v>
      </c>
      <c r="H5894">
        <v>500221</v>
      </c>
      <c r="I5894" t="s">
        <v>949</v>
      </c>
    </row>
    <row r="5895" spans="1:9" x14ac:dyDescent="0.25">
      <c r="A5895">
        <v>4141</v>
      </c>
      <c r="B5895">
        <v>18</v>
      </c>
      <c r="C5895" t="s">
        <v>946</v>
      </c>
      <c r="D5895" t="s">
        <v>947</v>
      </c>
      <c r="E5895" t="s">
        <v>121</v>
      </c>
      <c r="F5895" t="s">
        <v>948</v>
      </c>
      <c r="G5895">
        <v>1877777</v>
      </c>
      <c r="H5895">
        <v>500220</v>
      </c>
      <c r="I5895" t="s">
        <v>949</v>
      </c>
    </row>
    <row r="5896" spans="1:9" x14ac:dyDescent="0.25">
      <c r="A5896">
        <v>4220</v>
      </c>
      <c r="B5896">
        <v>18</v>
      </c>
      <c r="C5896" t="s">
        <v>946</v>
      </c>
      <c r="D5896" t="s">
        <v>947</v>
      </c>
      <c r="E5896" t="s">
        <v>121</v>
      </c>
      <c r="F5896" t="s">
        <v>948</v>
      </c>
      <c r="G5896">
        <v>1877777</v>
      </c>
      <c r="H5896">
        <v>500220</v>
      </c>
      <c r="I5896" t="s">
        <v>949</v>
      </c>
    </row>
    <row r="5897" spans="1:9" x14ac:dyDescent="0.25">
      <c r="A5897">
        <v>4230</v>
      </c>
      <c r="B5897">
        <v>18</v>
      </c>
      <c r="C5897" t="s">
        <v>946</v>
      </c>
      <c r="D5897" t="s">
        <v>947</v>
      </c>
      <c r="E5897" t="s">
        <v>121</v>
      </c>
      <c r="F5897" t="s">
        <v>948</v>
      </c>
      <c r="G5897">
        <v>1899999</v>
      </c>
      <c r="H5897">
        <v>401042</v>
      </c>
      <c r="I5897" t="s">
        <v>949</v>
      </c>
    </row>
    <row r="5898" spans="1:9" x14ac:dyDescent="0.25">
      <c r="A5898">
        <v>4240</v>
      </c>
      <c r="B5898">
        <v>18</v>
      </c>
      <c r="C5898" t="s">
        <v>946</v>
      </c>
      <c r="D5898" t="s">
        <v>947</v>
      </c>
      <c r="E5898" t="s">
        <v>121</v>
      </c>
      <c r="F5898" t="s">
        <v>948</v>
      </c>
      <c r="G5898">
        <v>1877777</v>
      </c>
      <c r="H5898">
        <v>500221</v>
      </c>
      <c r="I5898" t="s">
        <v>949</v>
      </c>
    </row>
    <row r="5899" spans="1:9" x14ac:dyDescent="0.25">
      <c r="A5899">
        <v>4141</v>
      </c>
      <c r="B5899">
        <v>18</v>
      </c>
      <c r="C5899" t="s">
        <v>946</v>
      </c>
      <c r="D5899" t="s">
        <v>947</v>
      </c>
      <c r="E5899" t="s">
        <v>984</v>
      </c>
      <c r="F5899" t="s">
        <v>948</v>
      </c>
      <c r="G5899">
        <v>1877777</v>
      </c>
      <c r="H5899">
        <v>500220</v>
      </c>
      <c r="I5899" t="s">
        <v>949</v>
      </c>
    </row>
    <row r="5900" spans="1:9" x14ac:dyDescent="0.25">
      <c r="A5900">
        <v>4220</v>
      </c>
      <c r="B5900">
        <v>18</v>
      </c>
      <c r="C5900" t="s">
        <v>946</v>
      </c>
      <c r="D5900" t="s">
        <v>947</v>
      </c>
      <c r="E5900" t="s">
        <v>984</v>
      </c>
      <c r="F5900" t="s">
        <v>948</v>
      </c>
      <c r="G5900">
        <v>1877777</v>
      </c>
      <c r="H5900">
        <v>500220</v>
      </c>
      <c r="I5900" t="s">
        <v>949</v>
      </c>
    </row>
    <row r="5901" spans="1:9" x14ac:dyDescent="0.25">
      <c r="A5901">
        <v>4230</v>
      </c>
      <c r="B5901">
        <v>18</v>
      </c>
      <c r="C5901" t="s">
        <v>946</v>
      </c>
      <c r="D5901" t="s">
        <v>947</v>
      </c>
      <c r="E5901" t="s">
        <v>984</v>
      </c>
      <c r="F5901" t="s">
        <v>948</v>
      </c>
      <c r="G5901">
        <v>1899999</v>
      </c>
      <c r="H5901">
        <v>401912</v>
      </c>
      <c r="I5901" t="s">
        <v>949</v>
      </c>
    </row>
    <row r="5902" spans="1:9" x14ac:dyDescent="0.25">
      <c r="A5902">
        <v>4240</v>
      </c>
      <c r="B5902">
        <v>18</v>
      </c>
      <c r="C5902" t="s">
        <v>946</v>
      </c>
      <c r="D5902" t="s">
        <v>947</v>
      </c>
      <c r="E5902" t="s">
        <v>984</v>
      </c>
      <c r="F5902" t="s">
        <v>948</v>
      </c>
      <c r="G5902">
        <v>1877777</v>
      </c>
      <c r="H5902">
        <v>500221</v>
      </c>
      <c r="I5902" t="s">
        <v>949</v>
      </c>
    </row>
    <row r="5903" spans="1:9" x14ac:dyDescent="0.25">
      <c r="A5903">
        <v>4230</v>
      </c>
      <c r="B5903">
        <v>18</v>
      </c>
      <c r="C5903" t="s">
        <v>946</v>
      </c>
      <c r="D5903" t="s">
        <v>993</v>
      </c>
      <c r="E5903" t="s">
        <v>49</v>
      </c>
      <c r="F5903" t="s">
        <v>948</v>
      </c>
      <c r="G5903">
        <v>1801305</v>
      </c>
      <c r="H5903">
        <v>740250</v>
      </c>
      <c r="I5903" t="s">
        <v>949</v>
      </c>
    </row>
    <row r="5904" spans="1:9" x14ac:dyDescent="0.25">
      <c r="A5904">
        <v>4141</v>
      </c>
      <c r="B5904">
        <v>18</v>
      </c>
      <c r="C5904" t="s">
        <v>946</v>
      </c>
      <c r="D5904" t="s">
        <v>993</v>
      </c>
      <c r="E5904" t="s">
        <v>243</v>
      </c>
      <c r="F5904" t="s">
        <v>948</v>
      </c>
      <c r="G5904">
        <v>1877777</v>
      </c>
      <c r="H5904">
        <v>501010</v>
      </c>
      <c r="I5904" t="s">
        <v>949</v>
      </c>
    </row>
    <row r="5905" spans="1:9" x14ac:dyDescent="0.25">
      <c r="A5905">
        <v>4220</v>
      </c>
      <c r="B5905">
        <v>18</v>
      </c>
      <c r="C5905" t="s">
        <v>946</v>
      </c>
      <c r="D5905" t="s">
        <v>993</v>
      </c>
      <c r="E5905" t="s">
        <v>243</v>
      </c>
      <c r="F5905" t="s">
        <v>948</v>
      </c>
      <c r="G5905">
        <v>1877777</v>
      </c>
      <c r="H5905">
        <v>500220</v>
      </c>
      <c r="I5905" t="s">
        <v>949</v>
      </c>
    </row>
    <row r="5906" spans="1:9" x14ac:dyDescent="0.25">
      <c r="A5906">
        <v>4240</v>
      </c>
      <c r="B5906">
        <v>18</v>
      </c>
      <c r="C5906" t="s">
        <v>946</v>
      </c>
      <c r="D5906" t="s">
        <v>993</v>
      </c>
      <c r="E5906" t="s">
        <v>243</v>
      </c>
      <c r="F5906" t="s">
        <v>948</v>
      </c>
      <c r="G5906">
        <v>1877777</v>
      </c>
      <c r="H5906">
        <v>500221</v>
      </c>
      <c r="I5906" t="s">
        <v>949</v>
      </c>
    </row>
    <row r="5907" spans="1:9" x14ac:dyDescent="0.25">
      <c r="A5907">
        <v>4141</v>
      </c>
      <c r="B5907">
        <v>18</v>
      </c>
      <c r="C5907" t="s">
        <v>946</v>
      </c>
      <c r="D5907" t="s">
        <v>993</v>
      </c>
      <c r="E5907" t="s">
        <v>247</v>
      </c>
      <c r="F5907" t="s">
        <v>948</v>
      </c>
      <c r="G5907">
        <v>1877777</v>
      </c>
      <c r="H5907">
        <v>501010</v>
      </c>
      <c r="I5907" t="s">
        <v>949</v>
      </c>
    </row>
    <row r="5908" spans="1:9" x14ac:dyDescent="0.25">
      <c r="A5908">
        <v>4220</v>
      </c>
      <c r="B5908">
        <v>18</v>
      </c>
      <c r="C5908" t="s">
        <v>946</v>
      </c>
      <c r="D5908" t="s">
        <v>993</v>
      </c>
      <c r="E5908" t="s">
        <v>247</v>
      </c>
      <c r="F5908" t="s">
        <v>948</v>
      </c>
      <c r="G5908">
        <v>1877777</v>
      </c>
      <c r="H5908">
        <v>500220</v>
      </c>
      <c r="I5908" t="s">
        <v>949</v>
      </c>
    </row>
    <row r="5909" spans="1:9" x14ac:dyDescent="0.25">
      <c r="A5909">
        <v>4240</v>
      </c>
      <c r="B5909">
        <v>18</v>
      </c>
      <c r="C5909" t="s">
        <v>946</v>
      </c>
      <c r="D5909" t="s">
        <v>993</v>
      </c>
      <c r="E5909" t="s">
        <v>247</v>
      </c>
      <c r="F5909" t="s">
        <v>948</v>
      </c>
      <c r="G5909">
        <v>1877777</v>
      </c>
      <c r="H5909">
        <v>500221</v>
      </c>
      <c r="I5909" t="s">
        <v>949</v>
      </c>
    </row>
    <row r="5910" spans="1:9" x14ac:dyDescent="0.25">
      <c r="A5910">
        <v>4141</v>
      </c>
      <c r="B5910">
        <v>18</v>
      </c>
      <c r="C5910" t="s">
        <v>946</v>
      </c>
      <c r="D5910" t="s">
        <v>993</v>
      </c>
      <c r="E5910" t="s">
        <v>251</v>
      </c>
      <c r="F5910" t="s">
        <v>948</v>
      </c>
      <c r="G5910">
        <v>1877777</v>
      </c>
      <c r="H5910">
        <v>501010</v>
      </c>
      <c r="I5910" t="s">
        <v>949</v>
      </c>
    </row>
    <row r="5911" spans="1:9" x14ac:dyDescent="0.25">
      <c r="A5911">
        <v>4220</v>
      </c>
      <c r="B5911">
        <v>18</v>
      </c>
      <c r="C5911" t="s">
        <v>946</v>
      </c>
      <c r="D5911" t="s">
        <v>993</v>
      </c>
      <c r="E5911" t="s">
        <v>251</v>
      </c>
      <c r="F5911" t="s">
        <v>948</v>
      </c>
      <c r="G5911">
        <v>1877777</v>
      </c>
      <c r="H5911">
        <v>500220</v>
      </c>
      <c r="I5911" t="s">
        <v>949</v>
      </c>
    </row>
    <row r="5912" spans="1:9" x14ac:dyDescent="0.25">
      <c r="A5912">
        <v>4240</v>
      </c>
      <c r="B5912">
        <v>18</v>
      </c>
      <c r="C5912" t="s">
        <v>946</v>
      </c>
      <c r="D5912" t="s">
        <v>993</v>
      </c>
      <c r="E5912" t="s">
        <v>251</v>
      </c>
      <c r="F5912" t="s">
        <v>948</v>
      </c>
      <c r="G5912">
        <v>1877777</v>
      </c>
      <c r="H5912">
        <v>500221</v>
      </c>
      <c r="I5912" t="s">
        <v>949</v>
      </c>
    </row>
    <row r="5913" spans="1:9" x14ac:dyDescent="0.25">
      <c r="A5913">
        <v>4141</v>
      </c>
      <c r="B5913">
        <v>18</v>
      </c>
      <c r="C5913" t="s">
        <v>946</v>
      </c>
      <c r="D5913" t="s">
        <v>993</v>
      </c>
      <c r="E5913" t="s">
        <v>969</v>
      </c>
      <c r="F5913" t="s">
        <v>948</v>
      </c>
      <c r="G5913">
        <v>1877777</v>
      </c>
      <c r="H5913">
        <v>501010</v>
      </c>
      <c r="I5913" t="s">
        <v>949</v>
      </c>
    </row>
    <row r="5914" spans="1:9" x14ac:dyDescent="0.25">
      <c r="A5914">
        <v>4220</v>
      </c>
      <c r="B5914">
        <v>18</v>
      </c>
      <c r="C5914" t="s">
        <v>946</v>
      </c>
      <c r="D5914" t="s">
        <v>993</v>
      </c>
      <c r="E5914" t="s">
        <v>969</v>
      </c>
      <c r="F5914" t="s">
        <v>948</v>
      </c>
      <c r="G5914">
        <v>1877777</v>
      </c>
      <c r="H5914">
        <v>500220</v>
      </c>
      <c r="I5914" t="s">
        <v>949</v>
      </c>
    </row>
    <row r="5915" spans="1:9" x14ac:dyDescent="0.25">
      <c r="A5915">
        <v>4240</v>
      </c>
      <c r="B5915">
        <v>18</v>
      </c>
      <c r="C5915" t="s">
        <v>946</v>
      </c>
      <c r="D5915" t="s">
        <v>993</v>
      </c>
      <c r="E5915" t="s">
        <v>969</v>
      </c>
      <c r="F5915" t="s">
        <v>948</v>
      </c>
      <c r="G5915">
        <v>1877777</v>
      </c>
      <c r="H5915">
        <v>500221</v>
      </c>
      <c r="I5915" t="s">
        <v>949</v>
      </c>
    </row>
    <row r="5916" spans="1:9" x14ac:dyDescent="0.25">
      <c r="A5916">
        <v>4141</v>
      </c>
      <c r="B5916">
        <v>18</v>
      </c>
      <c r="C5916" t="s">
        <v>946</v>
      </c>
      <c r="D5916" t="s">
        <v>993</v>
      </c>
      <c r="E5916" t="s">
        <v>255</v>
      </c>
      <c r="F5916" t="s">
        <v>948</v>
      </c>
      <c r="G5916">
        <v>1877777</v>
      </c>
      <c r="H5916">
        <v>501010</v>
      </c>
      <c r="I5916" t="s">
        <v>949</v>
      </c>
    </row>
    <row r="5917" spans="1:9" x14ac:dyDescent="0.25">
      <c r="A5917">
        <v>4220</v>
      </c>
      <c r="B5917">
        <v>18</v>
      </c>
      <c r="C5917" t="s">
        <v>946</v>
      </c>
      <c r="D5917" t="s">
        <v>993</v>
      </c>
      <c r="E5917" t="s">
        <v>255</v>
      </c>
      <c r="F5917" t="s">
        <v>948</v>
      </c>
      <c r="G5917">
        <v>1877777</v>
      </c>
      <c r="H5917">
        <v>500220</v>
      </c>
      <c r="I5917" t="s">
        <v>949</v>
      </c>
    </row>
    <row r="5918" spans="1:9" x14ac:dyDescent="0.25">
      <c r="A5918">
        <v>4240</v>
      </c>
      <c r="B5918">
        <v>18</v>
      </c>
      <c r="C5918" t="s">
        <v>946</v>
      </c>
      <c r="D5918" t="s">
        <v>993</v>
      </c>
      <c r="E5918" t="s">
        <v>255</v>
      </c>
      <c r="F5918" t="s">
        <v>948</v>
      </c>
      <c r="G5918">
        <v>1877777</v>
      </c>
      <c r="H5918">
        <v>500221</v>
      </c>
      <c r="I5918" t="s">
        <v>949</v>
      </c>
    </row>
    <row r="5919" spans="1:9" x14ac:dyDescent="0.25">
      <c r="A5919">
        <v>4141</v>
      </c>
      <c r="B5919">
        <v>18</v>
      </c>
      <c r="C5919" t="s">
        <v>946</v>
      </c>
      <c r="D5919" t="s">
        <v>993</v>
      </c>
      <c r="E5919" t="s">
        <v>971</v>
      </c>
      <c r="F5919" t="s">
        <v>948</v>
      </c>
      <c r="G5919">
        <v>1877777</v>
      </c>
      <c r="H5919">
        <v>501010</v>
      </c>
      <c r="I5919" t="s">
        <v>949</v>
      </c>
    </row>
    <row r="5920" spans="1:9" x14ac:dyDescent="0.25">
      <c r="A5920">
        <v>4220</v>
      </c>
      <c r="B5920">
        <v>18</v>
      </c>
      <c r="C5920" t="s">
        <v>946</v>
      </c>
      <c r="D5920" t="s">
        <v>993</v>
      </c>
      <c r="E5920" t="s">
        <v>971</v>
      </c>
      <c r="F5920" t="s">
        <v>948</v>
      </c>
      <c r="G5920">
        <v>1877777</v>
      </c>
      <c r="H5920">
        <v>500220</v>
      </c>
      <c r="I5920" t="s">
        <v>949</v>
      </c>
    </row>
    <row r="5921" spans="1:9" x14ac:dyDescent="0.25">
      <c r="A5921">
        <v>4240</v>
      </c>
      <c r="B5921">
        <v>18</v>
      </c>
      <c r="C5921" t="s">
        <v>946</v>
      </c>
      <c r="D5921" t="s">
        <v>993</v>
      </c>
      <c r="E5921" t="s">
        <v>971</v>
      </c>
      <c r="F5921" t="s">
        <v>948</v>
      </c>
      <c r="G5921">
        <v>1877777</v>
      </c>
      <c r="H5921">
        <v>500221</v>
      </c>
      <c r="I5921" t="s">
        <v>949</v>
      </c>
    </row>
    <row r="5922" spans="1:9" x14ac:dyDescent="0.25">
      <c r="A5922">
        <v>4141</v>
      </c>
      <c r="B5922">
        <v>18</v>
      </c>
      <c r="C5922" t="s">
        <v>946</v>
      </c>
      <c r="D5922" t="s">
        <v>993</v>
      </c>
      <c r="E5922" t="s">
        <v>263</v>
      </c>
      <c r="F5922" t="s">
        <v>948</v>
      </c>
      <c r="G5922">
        <v>1877777</v>
      </c>
      <c r="H5922">
        <v>501010</v>
      </c>
      <c r="I5922" t="s">
        <v>949</v>
      </c>
    </row>
    <row r="5923" spans="1:9" x14ac:dyDescent="0.25">
      <c r="A5923">
        <v>4220</v>
      </c>
      <c r="B5923">
        <v>18</v>
      </c>
      <c r="C5923" t="s">
        <v>946</v>
      </c>
      <c r="D5923" t="s">
        <v>993</v>
      </c>
      <c r="E5923" t="s">
        <v>263</v>
      </c>
      <c r="F5923" t="s">
        <v>948</v>
      </c>
      <c r="G5923">
        <v>1877777</v>
      </c>
      <c r="H5923">
        <v>500220</v>
      </c>
      <c r="I5923" t="s">
        <v>949</v>
      </c>
    </row>
    <row r="5924" spans="1:9" x14ac:dyDescent="0.25">
      <c r="A5924">
        <v>4240</v>
      </c>
      <c r="B5924">
        <v>18</v>
      </c>
      <c r="C5924" t="s">
        <v>946</v>
      </c>
      <c r="D5924" t="s">
        <v>993</v>
      </c>
      <c r="E5924" t="s">
        <v>263</v>
      </c>
      <c r="F5924" t="s">
        <v>948</v>
      </c>
      <c r="G5924">
        <v>1877777</v>
      </c>
      <c r="H5924">
        <v>500221</v>
      </c>
      <c r="I5924" t="s">
        <v>949</v>
      </c>
    </row>
    <row r="5925" spans="1:9" x14ac:dyDescent="0.25">
      <c r="A5925">
        <v>4141</v>
      </c>
      <c r="B5925">
        <v>18</v>
      </c>
      <c r="C5925" t="s">
        <v>946</v>
      </c>
      <c r="D5925" t="s">
        <v>993</v>
      </c>
      <c r="E5925" t="s">
        <v>100</v>
      </c>
      <c r="F5925" t="s">
        <v>948</v>
      </c>
      <c r="G5925">
        <v>1877777</v>
      </c>
      <c r="H5925">
        <v>500220</v>
      </c>
      <c r="I5925" t="s">
        <v>949</v>
      </c>
    </row>
    <row r="5926" spans="1:9" x14ac:dyDescent="0.25">
      <c r="A5926">
        <v>4220</v>
      </c>
      <c r="B5926">
        <v>18</v>
      </c>
      <c r="C5926" t="s">
        <v>946</v>
      </c>
      <c r="D5926" t="s">
        <v>993</v>
      </c>
      <c r="E5926" t="s">
        <v>100</v>
      </c>
      <c r="F5926" t="s">
        <v>948</v>
      </c>
      <c r="G5926">
        <v>1877777</v>
      </c>
      <c r="H5926">
        <v>500220</v>
      </c>
      <c r="I5926" t="s">
        <v>949</v>
      </c>
    </row>
    <row r="5927" spans="1:9" x14ac:dyDescent="0.25">
      <c r="A5927">
        <v>4240</v>
      </c>
      <c r="B5927">
        <v>18</v>
      </c>
      <c r="C5927" t="s">
        <v>946</v>
      </c>
      <c r="D5927" t="s">
        <v>993</v>
      </c>
      <c r="E5927" t="s">
        <v>100</v>
      </c>
      <c r="F5927" t="s">
        <v>948</v>
      </c>
      <c r="G5927">
        <v>1877777</v>
      </c>
      <c r="H5927">
        <v>500221</v>
      </c>
      <c r="I5927" t="s">
        <v>949</v>
      </c>
    </row>
    <row r="5928" spans="1:9" x14ac:dyDescent="0.25">
      <c r="A5928">
        <v>4141</v>
      </c>
      <c r="B5928">
        <v>18</v>
      </c>
      <c r="C5928" t="s">
        <v>946</v>
      </c>
      <c r="D5928" t="s">
        <v>993</v>
      </c>
      <c r="E5928" t="s">
        <v>270</v>
      </c>
      <c r="F5928" t="s">
        <v>948</v>
      </c>
      <c r="G5928">
        <v>1877777</v>
      </c>
      <c r="H5928">
        <v>501010</v>
      </c>
      <c r="I5928" t="s">
        <v>949</v>
      </c>
    </row>
    <row r="5929" spans="1:9" x14ac:dyDescent="0.25">
      <c r="A5929">
        <v>4220</v>
      </c>
      <c r="B5929">
        <v>18</v>
      </c>
      <c r="C5929" t="s">
        <v>946</v>
      </c>
      <c r="D5929" t="s">
        <v>993</v>
      </c>
      <c r="E5929" t="s">
        <v>270</v>
      </c>
      <c r="F5929" t="s">
        <v>948</v>
      </c>
      <c r="G5929">
        <v>1877777</v>
      </c>
      <c r="H5929">
        <v>500220</v>
      </c>
      <c r="I5929" t="s">
        <v>949</v>
      </c>
    </row>
    <row r="5930" spans="1:9" x14ac:dyDescent="0.25">
      <c r="A5930">
        <v>4240</v>
      </c>
      <c r="B5930">
        <v>18</v>
      </c>
      <c r="C5930" t="s">
        <v>946</v>
      </c>
      <c r="D5930" t="s">
        <v>993</v>
      </c>
      <c r="E5930" t="s">
        <v>270</v>
      </c>
      <c r="F5930" t="s">
        <v>948</v>
      </c>
      <c r="G5930">
        <v>1877777</v>
      </c>
      <c r="H5930">
        <v>500221</v>
      </c>
      <c r="I5930" t="s">
        <v>949</v>
      </c>
    </row>
    <row r="5931" spans="1:9" x14ac:dyDescent="0.25">
      <c r="A5931">
        <v>4141</v>
      </c>
      <c r="B5931">
        <v>18</v>
      </c>
      <c r="C5931" t="s">
        <v>946</v>
      </c>
      <c r="D5931" t="s">
        <v>993</v>
      </c>
      <c r="E5931" t="s">
        <v>274</v>
      </c>
      <c r="F5931" t="s">
        <v>948</v>
      </c>
      <c r="G5931">
        <v>1877777</v>
      </c>
      <c r="H5931">
        <v>501010</v>
      </c>
      <c r="I5931" t="s">
        <v>949</v>
      </c>
    </row>
    <row r="5932" spans="1:9" x14ac:dyDescent="0.25">
      <c r="A5932">
        <v>4220</v>
      </c>
      <c r="B5932">
        <v>18</v>
      </c>
      <c r="C5932" t="s">
        <v>946</v>
      </c>
      <c r="D5932" t="s">
        <v>993</v>
      </c>
      <c r="E5932" t="s">
        <v>274</v>
      </c>
      <c r="F5932" t="s">
        <v>948</v>
      </c>
      <c r="G5932">
        <v>1877777</v>
      </c>
      <c r="H5932">
        <v>500220</v>
      </c>
      <c r="I5932" t="s">
        <v>949</v>
      </c>
    </row>
    <row r="5933" spans="1:9" x14ac:dyDescent="0.25">
      <c r="A5933">
        <v>4240</v>
      </c>
      <c r="B5933">
        <v>18</v>
      </c>
      <c r="C5933" t="s">
        <v>946</v>
      </c>
      <c r="D5933" t="s">
        <v>993</v>
      </c>
      <c r="E5933" t="s">
        <v>274</v>
      </c>
      <c r="F5933" t="s">
        <v>948</v>
      </c>
      <c r="G5933">
        <v>1877777</v>
      </c>
      <c r="H5933">
        <v>500221</v>
      </c>
      <c r="I5933" t="s">
        <v>949</v>
      </c>
    </row>
    <row r="5934" spans="1:9" x14ac:dyDescent="0.25">
      <c r="A5934">
        <v>4141</v>
      </c>
      <c r="B5934">
        <v>18</v>
      </c>
      <c r="C5934" t="s">
        <v>946</v>
      </c>
      <c r="D5934" t="s">
        <v>993</v>
      </c>
      <c r="E5934" t="s">
        <v>974</v>
      </c>
      <c r="F5934" t="s">
        <v>948</v>
      </c>
      <c r="G5934">
        <v>1877777</v>
      </c>
      <c r="H5934">
        <v>501010</v>
      </c>
      <c r="I5934" t="s">
        <v>949</v>
      </c>
    </row>
    <row r="5935" spans="1:9" x14ac:dyDescent="0.25">
      <c r="A5935">
        <v>4220</v>
      </c>
      <c r="B5935">
        <v>18</v>
      </c>
      <c r="C5935" t="s">
        <v>946</v>
      </c>
      <c r="D5935" t="s">
        <v>993</v>
      </c>
      <c r="E5935" t="s">
        <v>974</v>
      </c>
      <c r="F5935" t="s">
        <v>948</v>
      </c>
      <c r="G5935">
        <v>1877777</v>
      </c>
      <c r="H5935">
        <v>500220</v>
      </c>
      <c r="I5935" t="s">
        <v>949</v>
      </c>
    </row>
    <row r="5936" spans="1:9" x14ac:dyDescent="0.25">
      <c r="A5936">
        <v>4240</v>
      </c>
      <c r="B5936">
        <v>18</v>
      </c>
      <c r="C5936" t="s">
        <v>946</v>
      </c>
      <c r="D5936" t="s">
        <v>993</v>
      </c>
      <c r="E5936" t="s">
        <v>974</v>
      </c>
      <c r="F5936" t="s">
        <v>948</v>
      </c>
      <c r="G5936">
        <v>1877777</v>
      </c>
      <c r="H5936">
        <v>500221</v>
      </c>
      <c r="I5936" t="s">
        <v>949</v>
      </c>
    </row>
    <row r="5937" spans="1:9" x14ac:dyDescent="0.25">
      <c r="A5937">
        <v>4141</v>
      </c>
      <c r="B5937">
        <v>18</v>
      </c>
      <c r="C5937" t="s">
        <v>946</v>
      </c>
      <c r="D5937" t="s">
        <v>993</v>
      </c>
      <c r="E5937" t="s">
        <v>104</v>
      </c>
      <c r="F5937" t="s">
        <v>948</v>
      </c>
      <c r="G5937">
        <v>1877777</v>
      </c>
      <c r="H5937">
        <v>500220</v>
      </c>
      <c r="I5937" t="s">
        <v>949</v>
      </c>
    </row>
    <row r="5938" spans="1:9" x14ac:dyDescent="0.25">
      <c r="A5938">
        <v>4220</v>
      </c>
      <c r="B5938">
        <v>18</v>
      </c>
      <c r="C5938" t="s">
        <v>946</v>
      </c>
      <c r="D5938" t="s">
        <v>993</v>
      </c>
      <c r="E5938" t="s">
        <v>104</v>
      </c>
      <c r="F5938" t="s">
        <v>948</v>
      </c>
      <c r="G5938">
        <v>1877777</v>
      </c>
      <c r="H5938">
        <v>500220</v>
      </c>
      <c r="I5938" t="s">
        <v>949</v>
      </c>
    </row>
    <row r="5939" spans="1:9" x14ac:dyDescent="0.25">
      <c r="A5939">
        <v>4240</v>
      </c>
      <c r="B5939">
        <v>18</v>
      </c>
      <c r="C5939" t="s">
        <v>946</v>
      </c>
      <c r="D5939" t="s">
        <v>993</v>
      </c>
      <c r="E5939" t="s">
        <v>104</v>
      </c>
      <c r="F5939" t="s">
        <v>948</v>
      </c>
      <c r="G5939">
        <v>1877777</v>
      </c>
      <c r="H5939">
        <v>500221</v>
      </c>
      <c r="I5939" t="s">
        <v>949</v>
      </c>
    </row>
    <row r="5940" spans="1:9" x14ac:dyDescent="0.25">
      <c r="A5940">
        <v>4141</v>
      </c>
      <c r="B5940">
        <v>18</v>
      </c>
      <c r="C5940" t="s">
        <v>946</v>
      </c>
      <c r="D5940" t="s">
        <v>993</v>
      </c>
      <c r="E5940" t="s">
        <v>278</v>
      </c>
      <c r="F5940" t="s">
        <v>948</v>
      </c>
      <c r="G5940">
        <v>1877777</v>
      </c>
      <c r="H5940">
        <v>501010</v>
      </c>
      <c r="I5940" t="s">
        <v>949</v>
      </c>
    </row>
    <row r="5941" spans="1:9" x14ac:dyDescent="0.25">
      <c r="A5941">
        <v>4220</v>
      </c>
      <c r="B5941">
        <v>18</v>
      </c>
      <c r="C5941" t="s">
        <v>946</v>
      </c>
      <c r="D5941" t="s">
        <v>993</v>
      </c>
      <c r="E5941" t="s">
        <v>278</v>
      </c>
      <c r="F5941" t="s">
        <v>948</v>
      </c>
      <c r="G5941">
        <v>1877777</v>
      </c>
      <c r="H5941">
        <v>500220</v>
      </c>
      <c r="I5941" t="s">
        <v>949</v>
      </c>
    </row>
    <row r="5942" spans="1:9" x14ac:dyDescent="0.25">
      <c r="A5942">
        <v>4240</v>
      </c>
      <c r="B5942">
        <v>18</v>
      </c>
      <c r="C5942" t="s">
        <v>946</v>
      </c>
      <c r="D5942" t="s">
        <v>993</v>
      </c>
      <c r="E5942" t="s">
        <v>278</v>
      </c>
      <c r="F5942" t="s">
        <v>948</v>
      </c>
      <c r="G5942">
        <v>1877777</v>
      </c>
      <c r="H5942">
        <v>500221</v>
      </c>
      <c r="I5942" t="s">
        <v>949</v>
      </c>
    </row>
    <row r="5943" spans="1:9" x14ac:dyDescent="0.25">
      <c r="A5943">
        <v>4141</v>
      </c>
      <c r="B5943">
        <v>18</v>
      </c>
      <c r="C5943" t="s">
        <v>946</v>
      </c>
      <c r="D5943" t="s">
        <v>993</v>
      </c>
      <c r="E5943" t="s">
        <v>282</v>
      </c>
      <c r="F5943" t="s">
        <v>948</v>
      </c>
      <c r="G5943">
        <v>1877777</v>
      </c>
      <c r="H5943">
        <v>501010</v>
      </c>
      <c r="I5943" t="s">
        <v>949</v>
      </c>
    </row>
    <row r="5944" spans="1:9" x14ac:dyDescent="0.25">
      <c r="A5944">
        <v>4220</v>
      </c>
      <c r="B5944">
        <v>18</v>
      </c>
      <c r="C5944" t="s">
        <v>946</v>
      </c>
      <c r="D5944" t="s">
        <v>993</v>
      </c>
      <c r="E5944" t="s">
        <v>282</v>
      </c>
      <c r="F5944" t="s">
        <v>948</v>
      </c>
      <c r="G5944">
        <v>1877777</v>
      </c>
      <c r="H5944">
        <v>500220</v>
      </c>
      <c r="I5944" t="s">
        <v>949</v>
      </c>
    </row>
    <row r="5945" spans="1:9" x14ac:dyDescent="0.25">
      <c r="A5945">
        <v>4240</v>
      </c>
      <c r="B5945">
        <v>18</v>
      </c>
      <c r="C5945" t="s">
        <v>946</v>
      </c>
      <c r="D5945" t="s">
        <v>993</v>
      </c>
      <c r="E5945" t="s">
        <v>282</v>
      </c>
      <c r="F5945" t="s">
        <v>948</v>
      </c>
      <c r="G5945">
        <v>1877777</v>
      </c>
      <c r="H5945">
        <v>500221</v>
      </c>
      <c r="I5945" t="s">
        <v>949</v>
      </c>
    </row>
    <row r="5946" spans="1:9" x14ac:dyDescent="0.25">
      <c r="A5946">
        <v>4141</v>
      </c>
      <c r="B5946">
        <v>18</v>
      </c>
      <c r="C5946" t="s">
        <v>946</v>
      </c>
      <c r="D5946" t="s">
        <v>993</v>
      </c>
      <c r="E5946" t="s">
        <v>286</v>
      </c>
      <c r="F5946" t="s">
        <v>948</v>
      </c>
      <c r="G5946">
        <v>1877777</v>
      </c>
      <c r="H5946">
        <v>501010</v>
      </c>
      <c r="I5946" t="s">
        <v>949</v>
      </c>
    </row>
    <row r="5947" spans="1:9" x14ac:dyDescent="0.25">
      <c r="A5947">
        <v>4220</v>
      </c>
      <c r="B5947">
        <v>18</v>
      </c>
      <c r="C5947" t="s">
        <v>946</v>
      </c>
      <c r="D5947" t="s">
        <v>993</v>
      </c>
      <c r="E5947" t="s">
        <v>286</v>
      </c>
      <c r="F5947" t="s">
        <v>948</v>
      </c>
      <c r="G5947">
        <v>1877777</v>
      </c>
      <c r="H5947">
        <v>500220</v>
      </c>
      <c r="I5947" t="s">
        <v>949</v>
      </c>
    </row>
    <row r="5948" spans="1:9" x14ac:dyDescent="0.25">
      <c r="A5948">
        <v>4240</v>
      </c>
      <c r="B5948">
        <v>18</v>
      </c>
      <c r="C5948" t="s">
        <v>946</v>
      </c>
      <c r="D5948" t="s">
        <v>993</v>
      </c>
      <c r="E5948" t="s">
        <v>286</v>
      </c>
      <c r="F5948" t="s">
        <v>948</v>
      </c>
      <c r="G5948">
        <v>1877777</v>
      </c>
      <c r="H5948">
        <v>500221</v>
      </c>
      <c r="I5948" t="s">
        <v>949</v>
      </c>
    </row>
    <row r="5949" spans="1:9" x14ac:dyDescent="0.25">
      <c r="A5949">
        <v>4141</v>
      </c>
      <c r="B5949">
        <v>18</v>
      </c>
      <c r="C5949" t="s">
        <v>946</v>
      </c>
      <c r="D5949" t="s">
        <v>993</v>
      </c>
      <c r="E5949" t="s">
        <v>976</v>
      </c>
      <c r="F5949" t="s">
        <v>948</v>
      </c>
      <c r="G5949">
        <v>1877777</v>
      </c>
      <c r="H5949">
        <v>501010</v>
      </c>
      <c r="I5949" t="s">
        <v>949</v>
      </c>
    </row>
    <row r="5950" spans="1:9" x14ac:dyDescent="0.25">
      <c r="A5950">
        <v>4220</v>
      </c>
      <c r="B5950">
        <v>18</v>
      </c>
      <c r="C5950" t="s">
        <v>946</v>
      </c>
      <c r="D5950" t="s">
        <v>993</v>
      </c>
      <c r="E5950" t="s">
        <v>976</v>
      </c>
      <c r="F5950" t="s">
        <v>948</v>
      </c>
      <c r="G5950">
        <v>1877777</v>
      </c>
      <c r="H5950">
        <v>500220</v>
      </c>
      <c r="I5950" t="s">
        <v>949</v>
      </c>
    </row>
    <row r="5951" spans="1:9" x14ac:dyDescent="0.25">
      <c r="A5951">
        <v>4240</v>
      </c>
      <c r="B5951">
        <v>18</v>
      </c>
      <c r="C5951" t="s">
        <v>946</v>
      </c>
      <c r="D5951" t="s">
        <v>993</v>
      </c>
      <c r="E5951" t="s">
        <v>976</v>
      </c>
      <c r="F5951" t="s">
        <v>948</v>
      </c>
      <c r="G5951">
        <v>1877777</v>
      </c>
      <c r="H5951">
        <v>500221</v>
      </c>
      <c r="I5951" t="s">
        <v>949</v>
      </c>
    </row>
    <row r="5952" spans="1:9" x14ac:dyDescent="0.25">
      <c r="A5952">
        <v>4141</v>
      </c>
      <c r="B5952">
        <v>18</v>
      </c>
      <c r="C5952" t="s">
        <v>946</v>
      </c>
      <c r="D5952" t="s">
        <v>993</v>
      </c>
      <c r="E5952" t="s">
        <v>290</v>
      </c>
      <c r="F5952" t="s">
        <v>948</v>
      </c>
      <c r="G5952">
        <v>1877777</v>
      </c>
      <c r="H5952">
        <v>501010</v>
      </c>
      <c r="I5952" t="s">
        <v>949</v>
      </c>
    </row>
    <row r="5953" spans="1:9" x14ac:dyDescent="0.25">
      <c r="A5953">
        <v>4220</v>
      </c>
      <c r="B5953">
        <v>18</v>
      </c>
      <c r="C5953" t="s">
        <v>946</v>
      </c>
      <c r="D5953" t="s">
        <v>993</v>
      </c>
      <c r="E5953" t="s">
        <v>290</v>
      </c>
      <c r="F5953" t="s">
        <v>948</v>
      </c>
      <c r="G5953">
        <v>1877777</v>
      </c>
      <c r="H5953">
        <v>500220</v>
      </c>
      <c r="I5953" t="s">
        <v>949</v>
      </c>
    </row>
    <row r="5954" spans="1:9" x14ac:dyDescent="0.25">
      <c r="A5954">
        <v>4240</v>
      </c>
      <c r="B5954">
        <v>18</v>
      </c>
      <c r="C5954" t="s">
        <v>946</v>
      </c>
      <c r="D5954" t="s">
        <v>993</v>
      </c>
      <c r="E5954" t="s">
        <v>290</v>
      </c>
      <c r="F5954" t="s">
        <v>948</v>
      </c>
      <c r="G5954">
        <v>1877777</v>
      </c>
      <c r="H5954">
        <v>500221</v>
      </c>
      <c r="I5954" t="s">
        <v>949</v>
      </c>
    </row>
    <row r="5955" spans="1:9" x14ac:dyDescent="0.25">
      <c r="A5955">
        <v>4141</v>
      </c>
      <c r="B5955">
        <v>18</v>
      </c>
      <c r="C5955" t="s">
        <v>946</v>
      </c>
      <c r="D5955" t="s">
        <v>993</v>
      </c>
      <c r="E5955" t="s">
        <v>294</v>
      </c>
      <c r="F5955" t="s">
        <v>948</v>
      </c>
      <c r="G5955">
        <v>1877777</v>
      </c>
      <c r="H5955">
        <v>501010</v>
      </c>
      <c r="I5955" t="s">
        <v>949</v>
      </c>
    </row>
    <row r="5956" spans="1:9" x14ac:dyDescent="0.25">
      <c r="A5956">
        <v>4220</v>
      </c>
      <c r="B5956">
        <v>18</v>
      </c>
      <c r="C5956" t="s">
        <v>946</v>
      </c>
      <c r="D5956" t="s">
        <v>993</v>
      </c>
      <c r="E5956" t="s">
        <v>294</v>
      </c>
      <c r="F5956" t="s">
        <v>948</v>
      </c>
      <c r="G5956">
        <v>1877777</v>
      </c>
      <c r="H5956">
        <v>500220</v>
      </c>
      <c r="I5956" t="s">
        <v>949</v>
      </c>
    </row>
    <row r="5957" spans="1:9" x14ac:dyDescent="0.25">
      <c r="A5957">
        <v>4240</v>
      </c>
      <c r="B5957">
        <v>18</v>
      </c>
      <c r="C5957" t="s">
        <v>946</v>
      </c>
      <c r="D5957" t="s">
        <v>993</v>
      </c>
      <c r="E5957" t="s">
        <v>294</v>
      </c>
      <c r="F5957" t="s">
        <v>948</v>
      </c>
      <c r="G5957">
        <v>1877777</v>
      </c>
      <c r="H5957">
        <v>500221</v>
      </c>
      <c r="I5957" t="s">
        <v>949</v>
      </c>
    </row>
    <row r="5958" spans="1:9" x14ac:dyDescent="0.25">
      <c r="A5958">
        <v>4141</v>
      </c>
      <c r="B5958">
        <v>18</v>
      </c>
      <c r="C5958" t="s">
        <v>946</v>
      </c>
      <c r="D5958" t="s">
        <v>993</v>
      </c>
      <c r="E5958" t="s">
        <v>980</v>
      </c>
      <c r="F5958" t="s">
        <v>948</v>
      </c>
      <c r="G5958">
        <v>1877777</v>
      </c>
      <c r="H5958">
        <v>501010</v>
      </c>
      <c r="I5958" t="s">
        <v>949</v>
      </c>
    </row>
    <row r="5959" spans="1:9" x14ac:dyDescent="0.25">
      <c r="A5959">
        <v>4220</v>
      </c>
      <c r="B5959">
        <v>18</v>
      </c>
      <c r="C5959" t="s">
        <v>946</v>
      </c>
      <c r="D5959" t="s">
        <v>993</v>
      </c>
      <c r="E5959" t="s">
        <v>980</v>
      </c>
      <c r="F5959" t="s">
        <v>948</v>
      </c>
      <c r="G5959">
        <v>1877777</v>
      </c>
      <c r="H5959">
        <v>500220</v>
      </c>
      <c r="I5959" t="s">
        <v>949</v>
      </c>
    </row>
    <row r="5960" spans="1:9" x14ac:dyDescent="0.25">
      <c r="A5960">
        <v>4240</v>
      </c>
      <c r="B5960">
        <v>18</v>
      </c>
      <c r="C5960" t="s">
        <v>946</v>
      </c>
      <c r="D5960" t="s">
        <v>993</v>
      </c>
      <c r="E5960" t="s">
        <v>980</v>
      </c>
      <c r="F5960" t="s">
        <v>948</v>
      </c>
      <c r="G5960">
        <v>1877777</v>
      </c>
      <c r="H5960">
        <v>500221</v>
      </c>
      <c r="I5960" t="s">
        <v>949</v>
      </c>
    </row>
    <row r="5961" spans="1:9" x14ac:dyDescent="0.25">
      <c r="A5961">
        <v>4141</v>
      </c>
      <c r="B5961">
        <v>18</v>
      </c>
      <c r="C5961" t="s">
        <v>946</v>
      </c>
      <c r="D5961" t="s">
        <v>993</v>
      </c>
      <c r="E5961" t="s">
        <v>302</v>
      </c>
      <c r="F5961" t="s">
        <v>948</v>
      </c>
      <c r="G5961">
        <v>1877777</v>
      </c>
      <c r="H5961">
        <v>501010</v>
      </c>
      <c r="I5961" t="s">
        <v>949</v>
      </c>
    </row>
    <row r="5962" spans="1:9" x14ac:dyDescent="0.25">
      <c r="A5962">
        <v>4220</v>
      </c>
      <c r="B5962">
        <v>18</v>
      </c>
      <c r="C5962" t="s">
        <v>946</v>
      </c>
      <c r="D5962" t="s">
        <v>993</v>
      </c>
      <c r="E5962" t="s">
        <v>302</v>
      </c>
      <c r="F5962" t="s">
        <v>948</v>
      </c>
      <c r="G5962">
        <v>1877777</v>
      </c>
      <c r="H5962">
        <v>500220</v>
      </c>
      <c r="I5962" t="s">
        <v>949</v>
      </c>
    </row>
    <row r="5963" spans="1:9" x14ac:dyDescent="0.25">
      <c r="A5963">
        <v>4240</v>
      </c>
      <c r="B5963">
        <v>18</v>
      </c>
      <c r="C5963" t="s">
        <v>946</v>
      </c>
      <c r="D5963" t="s">
        <v>993</v>
      </c>
      <c r="E5963" t="s">
        <v>302</v>
      </c>
      <c r="F5963" t="s">
        <v>948</v>
      </c>
      <c r="G5963">
        <v>1877777</v>
      </c>
      <c r="H5963">
        <v>500221</v>
      </c>
      <c r="I5963" t="s">
        <v>949</v>
      </c>
    </row>
    <row r="5964" spans="1:9" x14ac:dyDescent="0.25">
      <c r="A5964">
        <v>4141</v>
      </c>
      <c r="B5964">
        <v>18</v>
      </c>
      <c r="C5964" t="s">
        <v>946</v>
      </c>
      <c r="D5964" t="s">
        <v>993</v>
      </c>
      <c r="E5964" t="s">
        <v>306</v>
      </c>
      <c r="F5964" t="s">
        <v>948</v>
      </c>
      <c r="G5964">
        <v>1877777</v>
      </c>
      <c r="H5964">
        <v>501010</v>
      </c>
      <c r="I5964" t="s">
        <v>949</v>
      </c>
    </row>
    <row r="5965" spans="1:9" x14ac:dyDescent="0.25">
      <c r="A5965">
        <v>4220</v>
      </c>
      <c r="B5965">
        <v>18</v>
      </c>
      <c r="C5965" t="s">
        <v>946</v>
      </c>
      <c r="D5965" t="s">
        <v>993</v>
      </c>
      <c r="E5965" t="s">
        <v>306</v>
      </c>
      <c r="F5965" t="s">
        <v>948</v>
      </c>
      <c r="G5965">
        <v>1877777</v>
      </c>
      <c r="H5965">
        <v>500220</v>
      </c>
      <c r="I5965" t="s">
        <v>949</v>
      </c>
    </row>
    <row r="5966" spans="1:9" x14ac:dyDescent="0.25">
      <c r="A5966">
        <v>4240</v>
      </c>
      <c r="B5966">
        <v>18</v>
      </c>
      <c r="C5966" t="s">
        <v>946</v>
      </c>
      <c r="D5966" t="s">
        <v>993</v>
      </c>
      <c r="E5966" t="s">
        <v>306</v>
      </c>
      <c r="F5966" t="s">
        <v>948</v>
      </c>
      <c r="G5966">
        <v>1877777</v>
      </c>
      <c r="H5966">
        <v>500221</v>
      </c>
      <c r="I5966" t="s">
        <v>949</v>
      </c>
    </row>
    <row r="5967" spans="1:9" x14ac:dyDescent="0.25">
      <c r="A5967">
        <v>4141</v>
      </c>
      <c r="B5967">
        <v>18</v>
      </c>
      <c r="C5967" t="s">
        <v>946</v>
      </c>
      <c r="D5967" t="s">
        <v>993</v>
      </c>
      <c r="E5967" t="s">
        <v>108</v>
      </c>
      <c r="F5967" t="s">
        <v>948</v>
      </c>
      <c r="G5967">
        <v>1877777</v>
      </c>
      <c r="H5967">
        <v>500220</v>
      </c>
      <c r="I5967" t="s">
        <v>949</v>
      </c>
    </row>
    <row r="5968" spans="1:9" x14ac:dyDescent="0.25">
      <c r="A5968">
        <v>4220</v>
      </c>
      <c r="B5968">
        <v>18</v>
      </c>
      <c r="C5968" t="s">
        <v>946</v>
      </c>
      <c r="D5968" t="s">
        <v>993</v>
      </c>
      <c r="E5968" t="s">
        <v>108</v>
      </c>
      <c r="F5968" t="s">
        <v>948</v>
      </c>
      <c r="G5968">
        <v>1877777</v>
      </c>
      <c r="H5968">
        <v>500220</v>
      </c>
      <c r="I5968" t="s">
        <v>949</v>
      </c>
    </row>
    <row r="5969" spans="1:9" x14ac:dyDescent="0.25">
      <c r="A5969">
        <v>4240</v>
      </c>
      <c r="B5969">
        <v>18</v>
      </c>
      <c r="C5969" t="s">
        <v>946</v>
      </c>
      <c r="D5969" t="s">
        <v>993</v>
      </c>
      <c r="E5969" t="s">
        <v>108</v>
      </c>
      <c r="F5969" t="s">
        <v>948</v>
      </c>
      <c r="G5969">
        <v>1877777</v>
      </c>
      <c r="H5969">
        <v>500221</v>
      </c>
      <c r="I5969" t="s">
        <v>949</v>
      </c>
    </row>
    <row r="5970" spans="1:9" x14ac:dyDescent="0.25">
      <c r="A5970">
        <v>4141</v>
      </c>
      <c r="B5970">
        <v>18</v>
      </c>
      <c r="C5970" t="s">
        <v>946</v>
      </c>
      <c r="D5970" t="s">
        <v>993</v>
      </c>
      <c r="E5970" t="s">
        <v>310</v>
      </c>
      <c r="F5970" t="s">
        <v>948</v>
      </c>
      <c r="G5970">
        <v>1877777</v>
      </c>
      <c r="H5970">
        <v>501010</v>
      </c>
      <c r="I5970" t="s">
        <v>949</v>
      </c>
    </row>
    <row r="5971" spans="1:9" x14ac:dyDescent="0.25">
      <c r="A5971">
        <v>4220</v>
      </c>
      <c r="B5971">
        <v>18</v>
      </c>
      <c r="C5971" t="s">
        <v>946</v>
      </c>
      <c r="D5971" t="s">
        <v>993</v>
      </c>
      <c r="E5971" t="s">
        <v>310</v>
      </c>
      <c r="F5971" t="s">
        <v>948</v>
      </c>
      <c r="G5971">
        <v>1877777</v>
      </c>
      <c r="H5971">
        <v>500220</v>
      </c>
      <c r="I5971" t="s">
        <v>949</v>
      </c>
    </row>
    <row r="5972" spans="1:9" x14ac:dyDescent="0.25">
      <c r="A5972">
        <v>4240</v>
      </c>
      <c r="B5972">
        <v>18</v>
      </c>
      <c r="C5972" t="s">
        <v>946</v>
      </c>
      <c r="D5972" t="s">
        <v>993</v>
      </c>
      <c r="E5972" t="s">
        <v>310</v>
      </c>
      <c r="F5972" t="s">
        <v>948</v>
      </c>
      <c r="G5972">
        <v>1877777</v>
      </c>
      <c r="H5972">
        <v>500221</v>
      </c>
      <c r="I5972" t="s">
        <v>949</v>
      </c>
    </row>
    <row r="5973" spans="1:9" x14ac:dyDescent="0.25">
      <c r="A5973">
        <v>4141</v>
      </c>
      <c r="B5973">
        <v>18</v>
      </c>
      <c r="C5973" t="s">
        <v>946</v>
      </c>
      <c r="D5973" t="s">
        <v>993</v>
      </c>
      <c r="E5973" t="s">
        <v>314</v>
      </c>
      <c r="F5973" t="s">
        <v>948</v>
      </c>
      <c r="G5973">
        <v>1877777</v>
      </c>
      <c r="H5973">
        <v>501010</v>
      </c>
      <c r="I5973" t="s">
        <v>949</v>
      </c>
    </row>
    <row r="5974" spans="1:9" x14ac:dyDescent="0.25">
      <c r="A5974">
        <v>4220</v>
      </c>
      <c r="B5974">
        <v>18</v>
      </c>
      <c r="C5974" t="s">
        <v>946</v>
      </c>
      <c r="D5974" t="s">
        <v>993</v>
      </c>
      <c r="E5974" t="s">
        <v>314</v>
      </c>
      <c r="F5974" t="s">
        <v>948</v>
      </c>
      <c r="G5974">
        <v>1877777</v>
      </c>
      <c r="H5974">
        <v>500220</v>
      </c>
      <c r="I5974" t="s">
        <v>949</v>
      </c>
    </row>
    <row r="5975" spans="1:9" x14ac:dyDescent="0.25">
      <c r="A5975">
        <v>4240</v>
      </c>
      <c r="B5975">
        <v>18</v>
      </c>
      <c r="C5975" t="s">
        <v>946</v>
      </c>
      <c r="D5975" t="s">
        <v>993</v>
      </c>
      <c r="E5975" t="s">
        <v>314</v>
      </c>
      <c r="F5975" t="s">
        <v>948</v>
      </c>
      <c r="G5975">
        <v>1877777</v>
      </c>
      <c r="H5975">
        <v>500221</v>
      </c>
      <c r="I5975" t="s">
        <v>949</v>
      </c>
    </row>
    <row r="5976" spans="1:9" x14ac:dyDescent="0.25">
      <c r="A5976">
        <v>4141</v>
      </c>
      <c r="B5976">
        <v>18</v>
      </c>
      <c r="C5976" t="s">
        <v>946</v>
      </c>
      <c r="D5976" t="s">
        <v>993</v>
      </c>
      <c r="E5976" t="s">
        <v>113</v>
      </c>
      <c r="F5976" t="s">
        <v>948</v>
      </c>
      <c r="G5976">
        <v>1877777</v>
      </c>
      <c r="H5976">
        <v>500220</v>
      </c>
      <c r="I5976" t="s">
        <v>949</v>
      </c>
    </row>
    <row r="5977" spans="1:9" x14ac:dyDescent="0.25">
      <c r="A5977">
        <v>4220</v>
      </c>
      <c r="B5977">
        <v>18</v>
      </c>
      <c r="C5977" t="s">
        <v>946</v>
      </c>
      <c r="D5977" t="s">
        <v>993</v>
      </c>
      <c r="E5977" t="s">
        <v>113</v>
      </c>
      <c r="F5977" t="s">
        <v>948</v>
      </c>
      <c r="G5977">
        <v>1877777</v>
      </c>
      <c r="H5977">
        <v>500220</v>
      </c>
      <c r="I5977" t="s">
        <v>949</v>
      </c>
    </row>
    <row r="5978" spans="1:9" x14ac:dyDescent="0.25">
      <c r="A5978">
        <v>4240</v>
      </c>
      <c r="B5978">
        <v>18</v>
      </c>
      <c r="C5978" t="s">
        <v>946</v>
      </c>
      <c r="D5978" t="s">
        <v>993</v>
      </c>
      <c r="E5978" t="s">
        <v>113</v>
      </c>
      <c r="F5978" t="s">
        <v>948</v>
      </c>
      <c r="G5978">
        <v>1877777</v>
      </c>
      <c r="H5978">
        <v>500221</v>
      </c>
      <c r="I5978" t="s">
        <v>949</v>
      </c>
    </row>
    <row r="5979" spans="1:9" x14ac:dyDescent="0.25">
      <c r="A5979">
        <v>4141</v>
      </c>
      <c r="B5979">
        <v>18</v>
      </c>
      <c r="C5979" t="s">
        <v>946</v>
      </c>
      <c r="D5979" t="s">
        <v>993</v>
      </c>
      <c r="E5979" t="s">
        <v>117</v>
      </c>
      <c r="F5979" t="s">
        <v>948</v>
      </c>
      <c r="G5979">
        <v>1877777</v>
      </c>
      <c r="H5979">
        <v>500220</v>
      </c>
      <c r="I5979" t="s">
        <v>949</v>
      </c>
    </row>
    <row r="5980" spans="1:9" x14ac:dyDescent="0.25">
      <c r="A5980">
        <v>4220</v>
      </c>
      <c r="B5980">
        <v>18</v>
      </c>
      <c r="C5980" t="s">
        <v>946</v>
      </c>
      <c r="D5980" t="s">
        <v>993</v>
      </c>
      <c r="E5980" t="s">
        <v>117</v>
      </c>
      <c r="F5980" t="s">
        <v>948</v>
      </c>
      <c r="G5980">
        <v>1877777</v>
      </c>
      <c r="H5980">
        <v>500220</v>
      </c>
      <c r="I5980" t="s">
        <v>949</v>
      </c>
    </row>
    <row r="5981" spans="1:9" x14ac:dyDescent="0.25">
      <c r="A5981">
        <v>4240</v>
      </c>
      <c r="B5981">
        <v>18</v>
      </c>
      <c r="C5981" t="s">
        <v>946</v>
      </c>
      <c r="D5981" t="s">
        <v>993</v>
      </c>
      <c r="E5981" t="s">
        <v>117</v>
      </c>
      <c r="F5981" t="s">
        <v>948</v>
      </c>
      <c r="G5981">
        <v>1877777</v>
      </c>
      <c r="H5981">
        <v>500221</v>
      </c>
      <c r="I5981" t="s">
        <v>949</v>
      </c>
    </row>
    <row r="5982" spans="1:9" x14ac:dyDescent="0.25">
      <c r="A5982">
        <v>4141</v>
      </c>
      <c r="B5982">
        <v>18</v>
      </c>
      <c r="C5982" t="s">
        <v>946</v>
      </c>
      <c r="D5982" t="s">
        <v>993</v>
      </c>
      <c r="E5982" t="s">
        <v>121</v>
      </c>
      <c r="F5982" t="s">
        <v>948</v>
      </c>
      <c r="G5982">
        <v>1877777</v>
      </c>
      <c r="H5982">
        <v>500220</v>
      </c>
      <c r="I5982" t="s">
        <v>949</v>
      </c>
    </row>
    <row r="5983" spans="1:9" x14ac:dyDescent="0.25">
      <c r="A5983">
        <v>4220</v>
      </c>
      <c r="B5983">
        <v>18</v>
      </c>
      <c r="C5983" t="s">
        <v>946</v>
      </c>
      <c r="D5983" t="s">
        <v>993</v>
      </c>
      <c r="E5983" t="s">
        <v>121</v>
      </c>
      <c r="F5983" t="s">
        <v>948</v>
      </c>
      <c r="G5983">
        <v>1877777</v>
      </c>
      <c r="H5983">
        <v>500220</v>
      </c>
      <c r="I5983" t="s">
        <v>949</v>
      </c>
    </row>
    <row r="5984" spans="1:9" x14ac:dyDescent="0.25">
      <c r="A5984">
        <v>4240</v>
      </c>
      <c r="B5984">
        <v>18</v>
      </c>
      <c r="C5984" t="s">
        <v>946</v>
      </c>
      <c r="D5984" t="s">
        <v>993</v>
      </c>
      <c r="E5984" t="s">
        <v>121</v>
      </c>
      <c r="F5984" t="s">
        <v>948</v>
      </c>
      <c r="G5984">
        <v>1877777</v>
      </c>
      <c r="H5984">
        <v>500221</v>
      </c>
      <c r="I5984" t="s">
        <v>949</v>
      </c>
    </row>
    <row r="5985" spans="1:9" x14ac:dyDescent="0.25">
      <c r="A5985">
        <v>4141</v>
      </c>
      <c r="B5985">
        <v>18</v>
      </c>
      <c r="C5985" t="s">
        <v>946</v>
      </c>
      <c r="D5985" t="s">
        <v>993</v>
      </c>
      <c r="E5985" t="s">
        <v>984</v>
      </c>
      <c r="F5985" t="s">
        <v>948</v>
      </c>
      <c r="G5985">
        <v>1877777</v>
      </c>
      <c r="H5985">
        <v>501010</v>
      </c>
      <c r="I5985" t="s">
        <v>949</v>
      </c>
    </row>
    <row r="5986" spans="1:9" x14ac:dyDescent="0.25">
      <c r="A5986">
        <v>4220</v>
      </c>
      <c r="B5986">
        <v>18</v>
      </c>
      <c r="C5986" t="s">
        <v>946</v>
      </c>
      <c r="D5986" t="s">
        <v>993</v>
      </c>
      <c r="E5986" t="s">
        <v>984</v>
      </c>
      <c r="F5986" t="s">
        <v>948</v>
      </c>
      <c r="G5986">
        <v>1877777</v>
      </c>
      <c r="H5986">
        <v>500220</v>
      </c>
      <c r="I5986" t="s">
        <v>949</v>
      </c>
    </row>
    <row r="5987" spans="1:9" x14ac:dyDescent="0.25">
      <c r="A5987">
        <v>4240</v>
      </c>
      <c r="B5987">
        <v>18</v>
      </c>
      <c r="C5987" t="s">
        <v>946</v>
      </c>
      <c r="D5987" t="s">
        <v>993</v>
      </c>
      <c r="E5987" t="s">
        <v>984</v>
      </c>
      <c r="F5987" t="s">
        <v>948</v>
      </c>
      <c r="G5987">
        <v>1877777</v>
      </c>
      <c r="H5987">
        <v>500221</v>
      </c>
      <c r="I5987" t="s">
        <v>949</v>
      </c>
    </row>
    <row r="5988" spans="1:9" x14ac:dyDescent="0.25">
      <c r="A5988">
        <v>4140</v>
      </c>
      <c r="B5988">
        <v>18</v>
      </c>
      <c r="C5988" t="s">
        <v>946</v>
      </c>
      <c r="D5988" t="s">
        <v>38</v>
      </c>
      <c r="E5988" t="s">
        <v>49</v>
      </c>
      <c r="F5988" t="s">
        <v>948</v>
      </c>
      <c r="G5988">
        <v>1877777</v>
      </c>
      <c r="H5988">
        <v>500460</v>
      </c>
      <c r="I5988" t="s">
        <v>949</v>
      </c>
    </row>
    <row r="5989" spans="1:9" x14ac:dyDescent="0.25">
      <c r="A5989">
        <v>4141</v>
      </c>
      <c r="B5989">
        <v>18</v>
      </c>
      <c r="C5989" t="s">
        <v>946</v>
      </c>
      <c r="D5989" t="s">
        <v>38</v>
      </c>
      <c r="E5989" t="s">
        <v>49</v>
      </c>
      <c r="F5989" t="s">
        <v>948</v>
      </c>
      <c r="G5989">
        <v>1877777</v>
      </c>
      <c r="H5989">
        <v>500460</v>
      </c>
      <c r="I5989" t="s">
        <v>949</v>
      </c>
    </row>
    <row r="5990" ht="22" customHeight="1" spans="1:10" x14ac:dyDescent="0.25">
      <c r="A5990" s="41">
        <v>4162</v>
      </c>
      <c r="B5990" s="41">
        <v>18</v>
      </c>
      <c r="C5990" s="41" t="s">
        <v>946</v>
      </c>
      <c r="D5990" s="41" t="s">
        <v>38</v>
      </c>
      <c r="E5990" s="41" t="s">
        <v>49</v>
      </c>
      <c r="F5990" s="41" t="s">
        <v>948</v>
      </c>
      <c r="G5990" s="41">
        <v>1800000</v>
      </c>
      <c r="H5990" s="41">
        <v>14200</v>
      </c>
      <c r="I5990" s="41" t="s">
        <v>949</v>
      </c>
      <c r="J5990" s="42" t="s">
        <v>1041</v>
      </c>
    </row>
    <row r="5991" ht="22" customHeight="1" spans="1:10" x14ac:dyDescent="0.25">
      <c r="A5991" s="41">
        <v>4164</v>
      </c>
      <c r="B5991" s="41">
        <v>18</v>
      </c>
      <c r="C5991" s="41" t="s">
        <v>946</v>
      </c>
      <c r="D5991" s="41" t="s">
        <v>38</v>
      </c>
      <c r="E5991" s="41" t="s">
        <v>49</v>
      </c>
      <c r="F5991" s="41" t="s">
        <v>948</v>
      </c>
      <c r="G5991" s="41">
        <v>1800000</v>
      </c>
      <c r="H5991" s="41">
        <v>14200</v>
      </c>
      <c r="I5991" s="41" t="s">
        <v>949</v>
      </c>
      <c r="J5991" s="42" t="s">
        <v>1042</v>
      </c>
    </row>
    <row r="5992" spans="1:9" x14ac:dyDescent="0.25">
      <c r="A5992">
        <v>4122</v>
      </c>
      <c r="B5992">
        <v>18</v>
      </c>
      <c r="C5992" t="s">
        <v>946</v>
      </c>
      <c r="D5992" t="s">
        <v>38</v>
      </c>
      <c r="E5992" t="s">
        <v>243</v>
      </c>
      <c r="F5992" t="s">
        <v>948</v>
      </c>
      <c r="G5992">
        <v>1800000</v>
      </c>
      <c r="H5992">
        <v>145000</v>
      </c>
      <c r="I5992" t="s">
        <v>949</v>
      </c>
    </row>
    <row r="5993" spans="1:9" x14ac:dyDescent="0.25">
      <c r="A5993">
        <v>4124</v>
      </c>
      <c r="B5993">
        <v>18</v>
      </c>
      <c r="C5993" t="s">
        <v>946</v>
      </c>
      <c r="D5993" t="s">
        <v>38</v>
      </c>
      <c r="E5993" t="s">
        <v>243</v>
      </c>
      <c r="F5993" t="s">
        <v>948</v>
      </c>
      <c r="G5993">
        <v>1877777</v>
      </c>
      <c r="H5993">
        <v>500465</v>
      </c>
      <c r="I5993" t="s">
        <v>949</v>
      </c>
    </row>
    <row r="5994" spans="1:9" x14ac:dyDescent="0.25">
      <c r="A5994">
        <v>4126</v>
      </c>
      <c r="B5994">
        <v>18</v>
      </c>
      <c r="C5994" t="s">
        <v>946</v>
      </c>
      <c r="D5994" t="s">
        <v>38</v>
      </c>
      <c r="E5994" t="s">
        <v>243</v>
      </c>
      <c r="F5994" t="s">
        <v>948</v>
      </c>
      <c r="G5994">
        <v>1800000</v>
      </c>
      <c r="H5994">
        <v>145000</v>
      </c>
      <c r="I5994" t="s">
        <v>949</v>
      </c>
    </row>
    <row r="5995" spans="1:9" x14ac:dyDescent="0.25">
      <c r="A5995">
        <v>4128</v>
      </c>
      <c r="B5995">
        <v>18</v>
      </c>
      <c r="C5995" t="s">
        <v>946</v>
      </c>
      <c r="D5995" t="s">
        <v>38</v>
      </c>
      <c r="E5995" t="s">
        <v>243</v>
      </c>
      <c r="F5995" t="s">
        <v>948</v>
      </c>
      <c r="G5995">
        <v>1877777</v>
      </c>
      <c r="H5995">
        <v>500460</v>
      </c>
      <c r="I5995" t="s">
        <v>949</v>
      </c>
    </row>
    <row r="5996" spans="1:9" x14ac:dyDescent="0.25">
      <c r="A5996">
        <v>4122</v>
      </c>
      <c r="B5996">
        <v>18</v>
      </c>
      <c r="C5996" t="s">
        <v>946</v>
      </c>
      <c r="D5996" t="s">
        <v>38</v>
      </c>
      <c r="E5996" t="s">
        <v>247</v>
      </c>
      <c r="F5996" t="s">
        <v>948</v>
      </c>
      <c r="G5996">
        <v>1800000</v>
      </c>
      <c r="H5996">
        <v>145000</v>
      </c>
      <c r="I5996" t="s">
        <v>949</v>
      </c>
    </row>
    <row r="5997" spans="1:9" x14ac:dyDescent="0.25">
      <c r="A5997">
        <v>4124</v>
      </c>
      <c r="B5997">
        <v>18</v>
      </c>
      <c r="C5997" t="s">
        <v>946</v>
      </c>
      <c r="D5997" t="s">
        <v>38</v>
      </c>
      <c r="E5997" t="s">
        <v>247</v>
      </c>
      <c r="F5997" t="s">
        <v>948</v>
      </c>
      <c r="G5997">
        <v>1877777</v>
      </c>
      <c r="H5997">
        <v>500465</v>
      </c>
      <c r="I5997" t="s">
        <v>949</v>
      </c>
    </row>
    <row r="5998" spans="1:9" x14ac:dyDescent="0.25">
      <c r="A5998">
        <v>4126</v>
      </c>
      <c r="B5998">
        <v>18</v>
      </c>
      <c r="C5998" t="s">
        <v>946</v>
      </c>
      <c r="D5998" t="s">
        <v>38</v>
      </c>
      <c r="E5998" t="s">
        <v>247</v>
      </c>
      <c r="F5998" t="s">
        <v>948</v>
      </c>
      <c r="G5998">
        <v>1800000</v>
      </c>
      <c r="H5998">
        <v>145000</v>
      </c>
      <c r="I5998" t="s">
        <v>949</v>
      </c>
    </row>
    <row r="5999" spans="1:9" x14ac:dyDescent="0.25">
      <c r="A5999">
        <v>4128</v>
      </c>
      <c r="B5999">
        <v>18</v>
      </c>
      <c r="C5999" t="s">
        <v>946</v>
      </c>
      <c r="D5999" t="s">
        <v>38</v>
      </c>
      <c r="E5999" t="s">
        <v>247</v>
      </c>
      <c r="F5999" t="s">
        <v>948</v>
      </c>
      <c r="G5999">
        <v>1877777</v>
      </c>
      <c r="H5999">
        <v>500460</v>
      </c>
      <c r="I5999" t="s">
        <v>949</v>
      </c>
    </row>
    <row r="6000" spans="1:9" x14ac:dyDescent="0.25">
      <c r="A6000">
        <v>4122</v>
      </c>
      <c r="B6000">
        <v>18</v>
      </c>
      <c r="C6000" t="s">
        <v>946</v>
      </c>
      <c r="D6000" t="s">
        <v>38</v>
      </c>
      <c r="E6000" t="s">
        <v>251</v>
      </c>
      <c r="F6000" t="s">
        <v>948</v>
      </c>
      <c r="G6000">
        <v>1800000</v>
      </c>
      <c r="H6000">
        <v>142000</v>
      </c>
      <c r="I6000" t="s">
        <v>949</v>
      </c>
    </row>
    <row r="6001" spans="1:9" x14ac:dyDescent="0.25">
      <c r="A6001">
        <v>4124</v>
      </c>
      <c r="B6001">
        <v>18</v>
      </c>
      <c r="C6001" t="s">
        <v>946</v>
      </c>
      <c r="D6001" t="s">
        <v>38</v>
      </c>
      <c r="E6001" t="s">
        <v>251</v>
      </c>
      <c r="F6001" t="s">
        <v>948</v>
      </c>
      <c r="G6001">
        <v>1877777</v>
      </c>
      <c r="H6001">
        <v>500465</v>
      </c>
      <c r="I6001" t="s">
        <v>949</v>
      </c>
    </row>
    <row r="6002" spans="1:9" x14ac:dyDescent="0.25">
      <c r="A6002">
        <v>4126</v>
      </c>
      <c r="B6002">
        <v>18</v>
      </c>
      <c r="C6002" t="s">
        <v>946</v>
      </c>
      <c r="D6002" t="s">
        <v>38</v>
      </c>
      <c r="E6002" t="s">
        <v>251</v>
      </c>
      <c r="F6002" t="s">
        <v>948</v>
      </c>
      <c r="G6002">
        <v>1800000</v>
      </c>
      <c r="H6002">
        <v>142000</v>
      </c>
      <c r="I6002" t="s">
        <v>949</v>
      </c>
    </row>
    <row r="6003" spans="1:9" x14ac:dyDescent="0.25">
      <c r="A6003">
        <v>4128</v>
      </c>
      <c r="B6003">
        <v>18</v>
      </c>
      <c r="C6003" t="s">
        <v>946</v>
      </c>
      <c r="D6003" t="s">
        <v>38</v>
      </c>
      <c r="E6003" t="s">
        <v>251</v>
      </c>
      <c r="F6003" t="s">
        <v>948</v>
      </c>
      <c r="G6003">
        <v>1877777</v>
      </c>
      <c r="H6003">
        <v>500460</v>
      </c>
      <c r="I6003" t="s">
        <v>949</v>
      </c>
    </row>
    <row r="6004" spans="1:9" x14ac:dyDescent="0.25">
      <c r="A6004">
        <v>4122</v>
      </c>
      <c r="B6004">
        <v>18</v>
      </c>
      <c r="C6004" t="s">
        <v>946</v>
      </c>
      <c r="D6004" t="s">
        <v>38</v>
      </c>
      <c r="E6004" t="s">
        <v>969</v>
      </c>
      <c r="F6004" t="s">
        <v>948</v>
      </c>
      <c r="G6004">
        <v>1800000</v>
      </c>
      <c r="H6004">
        <v>141000</v>
      </c>
      <c r="I6004" t="s">
        <v>970</v>
      </c>
    </row>
    <row r="6005" spans="1:9" x14ac:dyDescent="0.25">
      <c r="A6005">
        <v>4124</v>
      </c>
      <c r="B6005">
        <v>18</v>
      </c>
      <c r="C6005" t="s">
        <v>946</v>
      </c>
      <c r="D6005" t="s">
        <v>38</v>
      </c>
      <c r="E6005" t="s">
        <v>969</v>
      </c>
      <c r="F6005" t="s">
        <v>948</v>
      </c>
      <c r="G6005">
        <v>1877777</v>
      </c>
      <c r="H6005">
        <v>500465</v>
      </c>
      <c r="I6005" t="s">
        <v>949</v>
      </c>
    </row>
    <row r="6006" spans="1:9" x14ac:dyDescent="0.25">
      <c r="A6006">
        <v>4126</v>
      </c>
      <c r="B6006">
        <v>18</v>
      </c>
      <c r="C6006" t="s">
        <v>946</v>
      </c>
      <c r="D6006" t="s">
        <v>38</v>
      </c>
      <c r="E6006" t="s">
        <v>969</v>
      </c>
      <c r="F6006" t="s">
        <v>948</v>
      </c>
      <c r="G6006">
        <v>1800000</v>
      </c>
      <c r="H6006">
        <v>141000</v>
      </c>
      <c r="I6006" t="s">
        <v>970</v>
      </c>
    </row>
    <row r="6007" spans="1:9" x14ac:dyDescent="0.25">
      <c r="A6007">
        <v>4128</v>
      </c>
      <c r="B6007">
        <v>18</v>
      </c>
      <c r="C6007" t="s">
        <v>946</v>
      </c>
      <c r="D6007" t="s">
        <v>38</v>
      </c>
      <c r="E6007" t="s">
        <v>969</v>
      </c>
      <c r="F6007" t="s">
        <v>948</v>
      </c>
      <c r="G6007">
        <v>1877777</v>
      </c>
      <c r="H6007">
        <v>500460</v>
      </c>
      <c r="I6007" t="s">
        <v>949</v>
      </c>
    </row>
    <row r="6008" spans="1:9" x14ac:dyDescent="0.25">
      <c r="A6008">
        <v>4122</v>
      </c>
      <c r="B6008">
        <v>18</v>
      </c>
      <c r="C6008" t="s">
        <v>946</v>
      </c>
      <c r="D6008" t="s">
        <v>38</v>
      </c>
      <c r="E6008" t="s">
        <v>255</v>
      </c>
      <c r="F6008" t="s">
        <v>948</v>
      </c>
      <c r="G6008">
        <v>1800000</v>
      </c>
      <c r="H6008">
        <v>145000</v>
      </c>
      <c r="I6008" t="s">
        <v>949</v>
      </c>
    </row>
    <row r="6009" spans="1:9" x14ac:dyDescent="0.25">
      <c r="A6009">
        <v>4124</v>
      </c>
      <c r="B6009">
        <v>18</v>
      </c>
      <c r="C6009" t="s">
        <v>946</v>
      </c>
      <c r="D6009" t="s">
        <v>38</v>
      </c>
      <c r="E6009" t="s">
        <v>255</v>
      </c>
      <c r="F6009" t="s">
        <v>948</v>
      </c>
      <c r="G6009">
        <v>1877777</v>
      </c>
      <c r="H6009">
        <v>500465</v>
      </c>
      <c r="I6009" t="s">
        <v>949</v>
      </c>
    </row>
    <row r="6010" spans="1:9" x14ac:dyDescent="0.25">
      <c r="A6010">
        <v>4126</v>
      </c>
      <c r="B6010">
        <v>18</v>
      </c>
      <c r="C6010" t="s">
        <v>946</v>
      </c>
      <c r="D6010" t="s">
        <v>38</v>
      </c>
      <c r="E6010" t="s">
        <v>255</v>
      </c>
      <c r="F6010" t="s">
        <v>948</v>
      </c>
      <c r="G6010">
        <v>1800000</v>
      </c>
      <c r="H6010">
        <v>145000</v>
      </c>
      <c r="I6010" t="s">
        <v>949</v>
      </c>
    </row>
    <row r="6011" spans="1:9" x14ac:dyDescent="0.25">
      <c r="A6011">
        <v>4128</v>
      </c>
      <c r="B6011">
        <v>18</v>
      </c>
      <c r="C6011" t="s">
        <v>946</v>
      </c>
      <c r="D6011" t="s">
        <v>38</v>
      </c>
      <c r="E6011" t="s">
        <v>255</v>
      </c>
      <c r="F6011" t="s">
        <v>948</v>
      </c>
      <c r="G6011">
        <v>1877777</v>
      </c>
      <c r="H6011">
        <v>500460</v>
      </c>
      <c r="I6011" t="s">
        <v>949</v>
      </c>
    </row>
    <row r="6012" spans="1:9" x14ac:dyDescent="0.25">
      <c r="A6012">
        <v>4122</v>
      </c>
      <c r="B6012">
        <v>18</v>
      </c>
      <c r="C6012" t="s">
        <v>946</v>
      </c>
      <c r="D6012" t="s">
        <v>38</v>
      </c>
      <c r="E6012" t="s">
        <v>971</v>
      </c>
      <c r="F6012" t="s">
        <v>948</v>
      </c>
      <c r="G6012">
        <v>1800000</v>
      </c>
      <c r="H6012">
        <v>141000</v>
      </c>
      <c r="I6012" t="s">
        <v>972</v>
      </c>
    </row>
    <row r="6013" spans="1:9" x14ac:dyDescent="0.25">
      <c r="A6013">
        <v>4124</v>
      </c>
      <c r="B6013">
        <v>18</v>
      </c>
      <c r="C6013" t="s">
        <v>946</v>
      </c>
      <c r="D6013" t="s">
        <v>38</v>
      </c>
      <c r="E6013" t="s">
        <v>971</v>
      </c>
      <c r="F6013" t="s">
        <v>948</v>
      </c>
      <c r="G6013">
        <v>1877777</v>
      </c>
      <c r="H6013">
        <v>500465</v>
      </c>
      <c r="I6013" t="s">
        <v>949</v>
      </c>
    </row>
    <row r="6014" spans="1:9" x14ac:dyDescent="0.25">
      <c r="A6014">
        <v>4126</v>
      </c>
      <c r="B6014">
        <v>18</v>
      </c>
      <c r="C6014" t="s">
        <v>946</v>
      </c>
      <c r="D6014" t="s">
        <v>38</v>
      </c>
      <c r="E6014" t="s">
        <v>971</v>
      </c>
      <c r="F6014" t="s">
        <v>948</v>
      </c>
      <c r="G6014">
        <v>1800000</v>
      </c>
      <c r="H6014">
        <v>141000</v>
      </c>
      <c r="I6014" t="s">
        <v>972</v>
      </c>
    </row>
    <row r="6015" spans="1:9" x14ac:dyDescent="0.25">
      <c r="A6015">
        <v>4128</v>
      </c>
      <c r="B6015">
        <v>18</v>
      </c>
      <c r="C6015" t="s">
        <v>946</v>
      </c>
      <c r="D6015" t="s">
        <v>38</v>
      </c>
      <c r="E6015" t="s">
        <v>971</v>
      </c>
      <c r="F6015" t="s">
        <v>948</v>
      </c>
      <c r="G6015">
        <v>1877777</v>
      </c>
      <c r="H6015">
        <v>500460</v>
      </c>
      <c r="I6015" t="s">
        <v>949</v>
      </c>
    </row>
    <row r="6016" spans="1:9" x14ac:dyDescent="0.25">
      <c r="A6016">
        <v>4122</v>
      </c>
      <c r="B6016">
        <v>18</v>
      </c>
      <c r="C6016" t="s">
        <v>946</v>
      </c>
      <c r="D6016" t="s">
        <v>38</v>
      </c>
      <c r="E6016" t="s">
        <v>263</v>
      </c>
      <c r="F6016" t="s">
        <v>948</v>
      </c>
      <c r="G6016">
        <v>1800000</v>
      </c>
      <c r="H6016">
        <v>145000</v>
      </c>
      <c r="I6016" t="s">
        <v>949</v>
      </c>
    </row>
    <row r="6017" spans="1:9" x14ac:dyDescent="0.25">
      <c r="A6017">
        <v>4124</v>
      </c>
      <c r="B6017">
        <v>18</v>
      </c>
      <c r="C6017" t="s">
        <v>946</v>
      </c>
      <c r="D6017" t="s">
        <v>38</v>
      </c>
      <c r="E6017" t="s">
        <v>263</v>
      </c>
      <c r="F6017" t="s">
        <v>948</v>
      </c>
      <c r="G6017">
        <v>1877777</v>
      </c>
      <c r="H6017">
        <v>500465</v>
      </c>
      <c r="I6017" t="s">
        <v>949</v>
      </c>
    </row>
    <row r="6018" spans="1:9" x14ac:dyDescent="0.25">
      <c r="A6018">
        <v>4126</v>
      </c>
      <c r="B6018">
        <v>18</v>
      </c>
      <c r="C6018" t="s">
        <v>946</v>
      </c>
      <c r="D6018" t="s">
        <v>38</v>
      </c>
      <c r="E6018" t="s">
        <v>263</v>
      </c>
      <c r="F6018" t="s">
        <v>948</v>
      </c>
      <c r="G6018">
        <v>1800000</v>
      </c>
      <c r="H6018">
        <v>145000</v>
      </c>
      <c r="I6018" t="s">
        <v>949</v>
      </c>
    </row>
    <row r="6019" spans="1:9" x14ac:dyDescent="0.25">
      <c r="A6019">
        <v>4128</v>
      </c>
      <c r="B6019">
        <v>18</v>
      </c>
      <c r="C6019" t="s">
        <v>946</v>
      </c>
      <c r="D6019" t="s">
        <v>38</v>
      </c>
      <c r="E6019" t="s">
        <v>263</v>
      </c>
      <c r="F6019" t="s">
        <v>948</v>
      </c>
      <c r="G6019">
        <v>1877777</v>
      </c>
      <c r="H6019">
        <v>500460</v>
      </c>
      <c r="I6019" t="s">
        <v>949</v>
      </c>
    </row>
    <row r="6020" spans="1:9" x14ac:dyDescent="0.25">
      <c r="A6020">
        <v>4122</v>
      </c>
      <c r="B6020">
        <v>18</v>
      </c>
      <c r="C6020" t="s">
        <v>946</v>
      </c>
      <c r="D6020" t="s">
        <v>38</v>
      </c>
      <c r="E6020" t="s">
        <v>100</v>
      </c>
      <c r="F6020" t="s">
        <v>948</v>
      </c>
      <c r="G6020">
        <v>1877777</v>
      </c>
      <c r="H6020">
        <v>500220</v>
      </c>
      <c r="I6020" t="s">
        <v>949</v>
      </c>
    </row>
    <row r="6021" spans="1:9" x14ac:dyDescent="0.25">
      <c r="A6021">
        <v>4124</v>
      </c>
      <c r="B6021">
        <v>18</v>
      </c>
      <c r="C6021" t="s">
        <v>946</v>
      </c>
      <c r="D6021" t="s">
        <v>38</v>
      </c>
      <c r="E6021" t="s">
        <v>100</v>
      </c>
      <c r="F6021" t="s">
        <v>948</v>
      </c>
      <c r="G6021">
        <v>1877777</v>
      </c>
      <c r="H6021">
        <v>500221</v>
      </c>
      <c r="I6021" t="s">
        <v>949</v>
      </c>
    </row>
    <row r="6022" spans="1:9" x14ac:dyDescent="0.25">
      <c r="A6022">
        <v>4126</v>
      </c>
      <c r="B6022">
        <v>18</v>
      </c>
      <c r="C6022" t="s">
        <v>946</v>
      </c>
      <c r="D6022" t="s">
        <v>38</v>
      </c>
      <c r="E6022" t="s">
        <v>100</v>
      </c>
      <c r="F6022" t="s">
        <v>948</v>
      </c>
      <c r="G6022">
        <v>1877777</v>
      </c>
      <c r="H6022">
        <v>500220</v>
      </c>
      <c r="I6022" t="s">
        <v>949</v>
      </c>
    </row>
    <row r="6023" spans="1:9" x14ac:dyDescent="0.25">
      <c r="A6023">
        <v>4128</v>
      </c>
      <c r="B6023">
        <v>18</v>
      </c>
      <c r="C6023" t="s">
        <v>946</v>
      </c>
      <c r="D6023" t="s">
        <v>38</v>
      </c>
      <c r="E6023" t="s">
        <v>100</v>
      </c>
      <c r="F6023" t="s">
        <v>948</v>
      </c>
      <c r="G6023">
        <v>1877777</v>
      </c>
      <c r="H6023">
        <v>500221</v>
      </c>
      <c r="I6023" t="s">
        <v>949</v>
      </c>
    </row>
    <row r="6024" spans="1:9" x14ac:dyDescent="0.25">
      <c r="A6024">
        <v>4122</v>
      </c>
      <c r="B6024">
        <v>18</v>
      </c>
      <c r="C6024" t="s">
        <v>946</v>
      </c>
      <c r="D6024" t="s">
        <v>38</v>
      </c>
      <c r="E6024" t="s">
        <v>270</v>
      </c>
      <c r="F6024" t="s">
        <v>948</v>
      </c>
      <c r="G6024">
        <v>1800000</v>
      </c>
      <c r="H6024">
        <v>145000</v>
      </c>
      <c r="I6024" t="s">
        <v>949</v>
      </c>
    </row>
    <row r="6025" spans="1:9" x14ac:dyDescent="0.25">
      <c r="A6025">
        <v>4124</v>
      </c>
      <c r="B6025">
        <v>18</v>
      </c>
      <c r="C6025" t="s">
        <v>946</v>
      </c>
      <c r="D6025" t="s">
        <v>38</v>
      </c>
      <c r="E6025" t="s">
        <v>270</v>
      </c>
      <c r="F6025" t="s">
        <v>948</v>
      </c>
      <c r="G6025">
        <v>1877777</v>
      </c>
      <c r="H6025">
        <v>500465</v>
      </c>
      <c r="I6025" t="s">
        <v>949</v>
      </c>
    </row>
    <row r="6026" spans="1:9" x14ac:dyDescent="0.25">
      <c r="A6026">
        <v>4126</v>
      </c>
      <c r="B6026">
        <v>18</v>
      </c>
      <c r="C6026" t="s">
        <v>946</v>
      </c>
      <c r="D6026" t="s">
        <v>38</v>
      </c>
      <c r="E6026" t="s">
        <v>270</v>
      </c>
      <c r="F6026" t="s">
        <v>948</v>
      </c>
      <c r="G6026">
        <v>1800000</v>
      </c>
      <c r="H6026">
        <v>145000</v>
      </c>
      <c r="I6026" t="s">
        <v>949</v>
      </c>
    </row>
    <row r="6027" spans="1:9" x14ac:dyDescent="0.25">
      <c r="A6027">
        <v>4128</v>
      </c>
      <c r="B6027">
        <v>18</v>
      </c>
      <c r="C6027" t="s">
        <v>946</v>
      </c>
      <c r="D6027" t="s">
        <v>38</v>
      </c>
      <c r="E6027" t="s">
        <v>270</v>
      </c>
      <c r="F6027" t="s">
        <v>948</v>
      </c>
      <c r="G6027">
        <v>1877777</v>
      </c>
      <c r="H6027">
        <v>500460</v>
      </c>
      <c r="I6027" t="s">
        <v>949</v>
      </c>
    </row>
    <row r="6028" spans="1:9" x14ac:dyDescent="0.25">
      <c r="A6028">
        <v>4122</v>
      </c>
      <c r="B6028">
        <v>18</v>
      </c>
      <c r="C6028" t="s">
        <v>946</v>
      </c>
      <c r="D6028" t="s">
        <v>38</v>
      </c>
      <c r="E6028" t="s">
        <v>274</v>
      </c>
      <c r="F6028" t="s">
        <v>948</v>
      </c>
      <c r="G6028">
        <v>1800000</v>
      </c>
      <c r="H6028">
        <v>143000</v>
      </c>
      <c r="I6028" t="s">
        <v>973</v>
      </c>
    </row>
    <row r="6029" spans="1:9" x14ac:dyDescent="0.25">
      <c r="A6029">
        <v>4124</v>
      </c>
      <c r="B6029">
        <v>18</v>
      </c>
      <c r="C6029" t="s">
        <v>946</v>
      </c>
      <c r="D6029" t="s">
        <v>38</v>
      </c>
      <c r="E6029" t="s">
        <v>274</v>
      </c>
      <c r="F6029" t="s">
        <v>948</v>
      </c>
      <c r="G6029">
        <v>1877777</v>
      </c>
      <c r="H6029">
        <v>500465</v>
      </c>
      <c r="I6029" t="s">
        <v>949</v>
      </c>
    </row>
    <row r="6030" spans="1:9" x14ac:dyDescent="0.25">
      <c r="A6030">
        <v>4126</v>
      </c>
      <c r="B6030">
        <v>18</v>
      </c>
      <c r="C6030" t="s">
        <v>946</v>
      </c>
      <c r="D6030" t="s">
        <v>38</v>
      </c>
      <c r="E6030" t="s">
        <v>274</v>
      </c>
      <c r="F6030" t="s">
        <v>948</v>
      </c>
      <c r="G6030">
        <v>1800000</v>
      </c>
      <c r="H6030">
        <v>143000</v>
      </c>
      <c r="I6030" t="s">
        <v>973</v>
      </c>
    </row>
    <row r="6031" spans="1:9" x14ac:dyDescent="0.25">
      <c r="A6031">
        <v>4128</v>
      </c>
      <c r="B6031">
        <v>18</v>
      </c>
      <c r="C6031" t="s">
        <v>946</v>
      </c>
      <c r="D6031" t="s">
        <v>38</v>
      </c>
      <c r="E6031" t="s">
        <v>274</v>
      </c>
      <c r="F6031" t="s">
        <v>948</v>
      </c>
      <c r="G6031">
        <v>1877777</v>
      </c>
      <c r="H6031">
        <v>500460</v>
      </c>
      <c r="I6031" t="s">
        <v>949</v>
      </c>
    </row>
    <row r="6032" spans="1:9" x14ac:dyDescent="0.25">
      <c r="A6032">
        <v>4122</v>
      </c>
      <c r="B6032">
        <v>18</v>
      </c>
      <c r="C6032" t="s">
        <v>946</v>
      </c>
      <c r="D6032" t="s">
        <v>38</v>
      </c>
      <c r="E6032" t="s">
        <v>974</v>
      </c>
      <c r="F6032" t="s">
        <v>948</v>
      </c>
      <c r="G6032">
        <v>1800000</v>
      </c>
      <c r="H6032">
        <v>141000</v>
      </c>
      <c r="I6032" t="s">
        <v>975</v>
      </c>
    </row>
    <row r="6033" spans="1:9" x14ac:dyDescent="0.25">
      <c r="A6033">
        <v>4124</v>
      </c>
      <c r="B6033">
        <v>18</v>
      </c>
      <c r="C6033" t="s">
        <v>946</v>
      </c>
      <c r="D6033" t="s">
        <v>38</v>
      </c>
      <c r="E6033" t="s">
        <v>974</v>
      </c>
      <c r="F6033" t="s">
        <v>948</v>
      </c>
      <c r="G6033">
        <v>1877777</v>
      </c>
      <c r="H6033">
        <v>500465</v>
      </c>
      <c r="I6033" t="s">
        <v>949</v>
      </c>
    </row>
    <row r="6034" spans="1:9" x14ac:dyDescent="0.25">
      <c r="A6034">
        <v>4126</v>
      </c>
      <c r="B6034">
        <v>18</v>
      </c>
      <c r="C6034" t="s">
        <v>946</v>
      </c>
      <c r="D6034" t="s">
        <v>38</v>
      </c>
      <c r="E6034" t="s">
        <v>974</v>
      </c>
      <c r="F6034" t="s">
        <v>948</v>
      </c>
      <c r="G6034">
        <v>1800000</v>
      </c>
      <c r="H6034">
        <v>141000</v>
      </c>
      <c r="I6034" t="s">
        <v>975</v>
      </c>
    </row>
    <row r="6035" spans="1:9" x14ac:dyDescent="0.25">
      <c r="A6035">
        <v>4128</v>
      </c>
      <c r="B6035">
        <v>18</v>
      </c>
      <c r="C6035" t="s">
        <v>946</v>
      </c>
      <c r="D6035" t="s">
        <v>38</v>
      </c>
      <c r="E6035" t="s">
        <v>974</v>
      </c>
      <c r="F6035" t="s">
        <v>948</v>
      </c>
      <c r="G6035">
        <v>1877777</v>
      </c>
      <c r="H6035">
        <v>500460</v>
      </c>
      <c r="I6035" t="s">
        <v>949</v>
      </c>
    </row>
    <row r="6036" spans="1:9" x14ac:dyDescent="0.25">
      <c r="A6036">
        <v>4122</v>
      </c>
      <c r="B6036">
        <v>18</v>
      </c>
      <c r="C6036" t="s">
        <v>946</v>
      </c>
      <c r="D6036" t="s">
        <v>38</v>
      </c>
      <c r="E6036" t="s">
        <v>104</v>
      </c>
      <c r="F6036" t="s">
        <v>948</v>
      </c>
      <c r="G6036">
        <v>1877777</v>
      </c>
      <c r="H6036">
        <v>500220</v>
      </c>
      <c r="I6036" t="s">
        <v>949</v>
      </c>
    </row>
    <row r="6037" spans="1:9" x14ac:dyDescent="0.25">
      <c r="A6037">
        <v>4124</v>
      </c>
      <c r="B6037">
        <v>18</v>
      </c>
      <c r="C6037" t="s">
        <v>946</v>
      </c>
      <c r="D6037" t="s">
        <v>38</v>
      </c>
      <c r="E6037" t="s">
        <v>104</v>
      </c>
      <c r="F6037" t="s">
        <v>948</v>
      </c>
      <c r="G6037">
        <v>1877777</v>
      </c>
      <c r="H6037">
        <v>500221</v>
      </c>
      <c r="I6037" t="s">
        <v>949</v>
      </c>
    </row>
    <row r="6038" spans="1:9" x14ac:dyDescent="0.25">
      <c r="A6038">
        <v>4126</v>
      </c>
      <c r="B6038">
        <v>18</v>
      </c>
      <c r="C6038" t="s">
        <v>946</v>
      </c>
      <c r="D6038" t="s">
        <v>38</v>
      </c>
      <c r="E6038" t="s">
        <v>104</v>
      </c>
      <c r="F6038" t="s">
        <v>948</v>
      </c>
      <c r="G6038">
        <v>1877777</v>
      </c>
      <c r="H6038">
        <v>500220</v>
      </c>
      <c r="I6038" t="s">
        <v>949</v>
      </c>
    </row>
    <row r="6039" spans="1:9" x14ac:dyDescent="0.25">
      <c r="A6039">
        <v>4128</v>
      </c>
      <c r="B6039">
        <v>18</v>
      </c>
      <c r="C6039" t="s">
        <v>946</v>
      </c>
      <c r="D6039" t="s">
        <v>38</v>
      </c>
      <c r="E6039" t="s">
        <v>104</v>
      </c>
      <c r="F6039" t="s">
        <v>948</v>
      </c>
      <c r="G6039">
        <v>1877777</v>
      </c>
      <c r="H6039">
        <v>500221</v>
      </c>
      <c r="I6039" t="s">
        <v>949</v>
      </c>
    </row>
    <row r="6040" spans="1:9" x14ac:dyDescent="0.25">
      <c r="A6040">
        <v>4122</v>
      </c>
      <c r="B6040">
        <v>18</v>
      </c>
      <c r="C6040" t="s">
        <v>946</v>
      </c>
      <c r="D6040" t="s">
        <v>38</v>
      </c>
      <c r="E6040" t="s">
        <v>278</v>
      </c>
      <c r="F6040" t="s">
        <v>948</v>
      </c>
      <c r="G6040">
        <v>1800000</v>
      </c>
      <c r="H6040">
        <v>145000</v>
      </c>
      <c r="I6040" t="s">
        <v>949</v>
      </c>
    </row>
    <row r="6041" spans="1:9" x14ac:dyDescent="0.25">
      <c r="A6041">
        <v>4124</v>
      </c>
      <c r="B6041">
        <v>18</v>
      </c>
      <c r="C6041" t="s">
        <v>946</v>
      </c>
      <c r="D6041" t="s">
        <v>38</v>
      </c>
      <c r="E6041" t="s">
        <v>278</v>
      </c>
      <c r="F6041" t="s">
        <v>948</v>
      </c>
      <c r="G6041">
        <v>1877777</v>
      </c>
      <c r="H6041">
        <v>500465</v>
      </c>
      <c r="I6041" t="s">
        <v>949</v>
      </c>
    </row>
    <row r="6042" spans="1:9" x14ac:dyDescent="0.25">
      <c r="A6042">
        <v>4126</v>
      </c>
      <c r="B6042">
        <v>18</v>
      </c>
      <c r="C6042" t="s">
        <v>946</v>
      </c>
      <c r="D6042" t="s">
        <v>38</v>
      </c>
      <c r="E6042" t="s">
        <v>278</v>
      </c>
      <c r="F6042" t="s">
        <v>948</v>
      </c>
      <c r="G6042">
        <v>1800000</v>
      </c>
      <c r="H6042">
        <v>145000</v>
      </c>
      <c r="I6042" t="s">
        <v>949</v>
      </c>
    </row>
    <row r="6043" spans="1:9" x14ac:dyDescent="0.25">
      <c r="A6043">
        <v>4128</v>
      </c>
      <c r="B6043">
        <v>18</v>
      </c>
      <c r="C6043" t="s">
        <v>946</v>
      </c>
      <c r="D6043" t="s">
        <v>38</v>
      </c>
      <c r="E6043" t="s">
        <v>278</v>
      </c>
      <c r="F6043" t="s">
        <v>948</v>
      </c>
      <c r="G6043">
        <v>1877777</v>
      </c>
      <c r="H6043">
        <v>500460</v>
      </c>
      <c r="I6043" t="s">
        <v>949</v>
      </c>
    </row>
    <row r="6044" spans="1:9" x14ac:dyDescent="0.25">
      <c r="A6044">
        <v>4122</v>
      </c>
      <c r="B6044">
        <v>18</v>
      </c>
      <c r="C6044" t="s">
        <v>946</v>
      </c>
      <c r="D6044" t="s">
        <v>38</v>
      </c>
      <c r="E6044" t="s">
        <v>282</v>
      </c>
      <c r="F6044" t="s">
        <v>948</v>
      </c>
      <c r="G6044">
        <v>1800000</v>
      </c>
      <c r="H6044">
        <v>143100</v>
      </c>
      <c r="I6044" t="s">
        <v>949</v>
      </c>
    </row>
    <row r="6045" spans="1:9" x14ac:dyDescent="0.25">
      <c r="A6045">
        <v>4124</v>
      </c>
      <c r="B6045">
        <v>18</v>
      </c>
      <c r="C6045" t="s">
        <v>946</v>
      </c>
      <c r="D6045" t="s">
        <v>38</v>
      </c>
      <c r="E6045" t="s">
        <v>282</v>
      </c>
      <c r="F6045" t="s">
        <v>948</v>
      </c>
      <c r="G6045">
        <v>1877777</v>
      </c>
      <c r="H6045">
        <v>500465</v>
      </c>
      <c r="I6045" t="s">
        <v>949</v>
      </c>
    </row>
    <row r="6046" spans="1:9" x14ac:dyDescent="0.25">
      <c r="A6046">
        <v>4126</v>
      </c>
      <c r="B6046">
        <v>18</v>
      </c>
      <c r="C6046" t="s">
        <v>946</v>
      </c>
      <c r="D6046" t="s">
        <v>38</v>
      </c>
      <c r="E6046" t="s">
        <v>282</v>
      </c>
      <c r="F6046" t="s">
        <v>948</v>
      </c>
      <c r="G6046">
        <v>1800000</v>
      </c>
      <c r="H6046">
        <v>143100</v>
      </c>
      <c r="I6046" t="s">
        <v>949</v>
      </c>
    </row>
    <row r="6047" spans="1:9" x14ac:dyDescent="0.25">
      <c r="A6047">
        <v>4128</v>
      </c>
      <c r="B6047">
        <v>18</v>
      </c>
      <c r="C6047" t="s">
        <v>946</v>
      </c>
      <c r="D6047" t="s">
        <v>38</v>
      </c>
      <c r="E6047" t="s">
        <v>282</v>
      </c>
      <c r="F6047" t="s">
        <v>948</v>
      </c>
      <c r="G6047">
        <v>1877777</v>
      </c>
      <c r="H6047">
        <v>500460</v>
      </c>
      <c r="I6047" t="s">
        <v>949</v>
      </c>
    </row>
    <row r="6048" ht="22" customHeight="1" spans="1:10" x14ac:dyDescent="0.25">
      <c r="A6048" s="41">
        <v>4122</v>
      </c>
      <c r="B6048" s="41">
        <v>18</v>
      </c>
      <c r="C6048" s="41" t="s">
        <v>946</v>
      </c>
      <c r="D6048" s="41" t="s">
        <v>38</v>
      </c>
      <c r="E6048" s="41" t="s">
        <v>39</v>
      </c>
      <c r="F6048" s="41" t="s">
        <v>948</v>
      </c>
      <c r="G6048" s="41">
        <v>1877777</v>
      </c>
      <c r="H6048" s="41">
        <v>501090</v>
      </c>
      <c r="I6048" s="41" t="s">
        <v>949</v>
      </c>
      <c r="J6048" s="42" t="s">
        <v>1043</v>
      </c>
    </row>
    <row r="6049" ht="22" customHeight="1" spans="1:10" x14ac:dyDescent="0.25">
      <c r="A6049" s="41">
        <v>4124</v>
      </c>
      <c r="B6049" s="41">
        <v>18</v>
      </c>
      <c r="C6049" s="41" t="s">
        <v>946</v>
      </c>
      <c r="D6049" s="41" t="s">
        <v>38</v>
      </c>
      <c r="E6049" s="41" t="s">
        <v>39</v>
      </c>
      <c r="F6049" s="41" t="s">
        <v>948</v>
      </c>
      <c r="G6049" s="41">
        <v>1877777</v>
      </c>
      <c r="H6049" s="41">
        <v>501090</v>
      </c>
      <c r="I6049" s="41" t="s">
        <v>949</v>
      </c>
      <c r="J6049" s="42" t="s">
        <v>1044</v>
      </c>
    </row>
    <row r="6050" spans="1:9" x14ac:dyDescent="0.25">
      <c r="A6050">
        <v>4122</v>
      </c>
      <c r="B6050">
        <v>18</v>
      </c>
      <c r="C6050" t="s">
        <v>946</v>
      </c>
      <c r="D6050" t="s">
        <v>38</v>
      </c>
      <c r="E6050" t="s">
        <v>286</v>
      </c>
      <c r="F6050" t="s">
        <v>948</v>
      </c>
      <c r="G6050">
        <v>1800000</v>
      </c>
      <c r="H6050">
        <v>145000</v>
      </c>
      <c r="I6050" t="s">
        <v>949</v>
      </c>
    </row>
    <row r="6051" spans="1:9" x14ac:dyDescent="0.25">
      <c r="A6051">
        <v>4124</v>
      </c>
      <c r="B6051">
        <v>18</v>
      </c>
      <c r="C6051" t="s">
        <v>946</v>
      </c>
      <c r="D6051" t="s">
        <v>38</v>
      </c>
      <c r="E6051" t="s">
        <v>286</v>
      </c>
      <c r="F6051" t="s">
        <v>948</v>
      </c>
      <c r="G6051">
        <v>1877777</v>
      </c>
      <c r="H6051">
        <v>500465</v>
      </c>
      <c r="I6051" t="s">
        <v>949</v>
      </c>
    </row>
    <row r="6052" spans="1:9" x14ac:dyDescent="0.25">
      <c r="A6052">
        <v>4126</v>
      </c>
      <c r="B6052">
        <v>18</v>
      </c>
      <c r="C6052" t="s">
        <v>946</v>
      </c>
      <c r="D6052" t="s">
        <v>38</v>
      </c>
      <c r="E6052" t="s">
        <v>286</v>
      </c>
      <c r="F6052" t="s">
        <v>948</v>
      </c>
      <c r="G6052">
        <v>1800000</v>
      </c>
      <c r="H6052">
        <v>145000</v>
      </c>
      <c r="I6052" t="s">
        <v>949</v>
      </c>
    </row>
    <row r="6053" spans="1:9" x14ac:dyDescent="0.25">
      <c r="A6053">
        <v>4128</v>
      </c>
      <c r="B6053">
        <v>18</v>
      </c>
      <c r="C6053" t="s">
        <v>946</v>
      </c>
      <c r="D6053" t="s">
        <v>38</v>
      </c>
      <c r="E6053" t="s">
        <v>286</v>
      </c>
      <c r="F6053" t="s">
        <v>948</v>
      </c>
      <c r="G6053">
        <v>1877777</v>
      </c>
      <c r="H6053">
        <v>500460</v>
      </c>
      <c r="I6053" t="s">
        <v>949</v>
      </c>
    </row>
    <row r="6054" spans="1:9" x14ac:dyDescent="0.25">
      <c r="A6054">
        <v>4122</v>
      </c>
      <c r="B6054">
        <v>18</v>
      </c>
      <c r="C6054" t="s">
        <v>946</v>
      </c>
      <c r="D6054" t="s">
        <v>38</v>
      </c>
      <c r="E6054" t="s">
        <v>976</v>
      </c>
      <c r="F6054" t="s">
        <v>948</v>
      </c>
      <c r="G6054">
        <v>1800000</v>
      </c>
      <c r="H6054">
        <v>141000</v>
      </c>
      <c r="I6054" t="s">
        <v>977</v>
      </c>
    </row>
    <row r="6055" spans="1:9" x14ac:dyDescent="0.25">
      <c r="A6055">
        <v>4124</v>
      </c>
      <c r="B6055">
        <v>18</v>
      </c>
      <c r="C6055" t="s">
        <v>946</v>
      </c>
      <c r="D6055" t="s">
        <v>38</v>
      </c>
      <c r="E6055" t="s">
        <v>976</v>
      </c>
      <c r="F6055" t="s">
        <v>948</v>
      </c>
      <c r="G6055">
        <v>1877777</v>
      </c>
      <c r="H6055">
        <v>500465</v>
      </c>
      <c r="I6055" t="s">
        <v>949</v>
      </c>
    </row>
    <row r="6056" spans="1:9" x14ac:dyDescent="0.25">
      <c r="A6056">
        <v>4126</v>
      </c>
      <c r="B6056">
        <v>18</v>
      </c>
      <c r="C6056" t="s">
        <v>946</v>
      </c>
      <c r="D6056" t="s">
        <v>38</v>
      </c>
      <c r="E6056" t="s">
        <v>976</v>
      </c>
      <c r="F6056" t="s">
        <v>948</v>
      </c>
      <c r="G6056">
        <v>1800000</v>
      </c>
      <c r="H6056">
        <v>141000</v>
      </c>
      <c r="I6056" t="s">
        <v>977</v>
      </c>
    </row>
    <row r="6057" spans="1:9" x14ac:dyDescent="0.25">
      <c r="A6057">
        <v>4128</v>
      </c>
      <c r="B6057">
        <v>18</v>
      </c>
      <c r="C6057" t="s">
        <v>946</v>
      </c>
      <c r="D6057" t="s">
        <v>38</v>
      </c>
      <c r="E6057" t="s">
        <v>976</v>
      </c>
      <c r="F6057" t="s">
        <v>948</v>
      </c>
      <c r="G6057">
        <v>1877777</v>
      </c>
      <c r="H6057">
        <v>500460</v>
      </c>
      <c r="I6057" t="s">
        <v>949</v>
      </c>
    </row>
    <row r="6058" spans="1:9" x14ac:dyDescent="0.25">
      <c r="A6058">
        <v>4122</v>
      </c>
      <c r="B6058">
        <v>18</v>
      </c>
      <c r="C6058" t="s">
        <v>946</v>
      </c>
      <c r="D6058" t="s">
        <v>38</v>
      </c>
      <c r="E6058" t="s">
        <v>290</v>
      </c>
      <c r="F6058" t="s">
        <v>948</v>
      </c>
      <c r="G6058">
        <v>1800000</v>
      </c>
      <c r="H6058">
        <v>143000</v>
      </c>
      <c r="I6058" t="s">
        <v>978</v>
      </c>
    </row>
    <row r="6059" spans="1:9" x14ac:dyDescent="0.25">
      <c r="A6059">
        <v>4124</v>
      </c>
      <c r="B6059">
        <v>18</v>
      </c>
      <c r="C6059" t="s">
        <v>946</v>
      </c>
      <c r="D6059" t="s">
        <v>38</v>
      </c>
      <c r="E6059" t="s">
        <v>290</v>
      </c>
      <c r="F6059" t="s">
        <v>948</v>
      </c>
      <c r="G6059">
        <v>1877777</v>
      </c>
      <c r="H6059">
        <v>500465</v>
      </c>
      <c r="I6059" t="s">
        <v>949</v>
      </c>
    </row>
    <row r="6060" spans="1:9" x14ac:dyDescent="0.25">
      <c r="A6060">
        <v>4126</v>
      </c>
      <c r="B6060">
        <v>18</v>
      </c>
      <c r="C6060" t="s">
        <v>946</v>
      </c>
      <c r="D6060" t="s">
        <v>38</v>
      </c>
      <c r="E6060" t="s">
        <v>290</v>
      </c>
      <c r="F6060" t="s">
        <v>948</v>
      </c>
      <c r="G6060">
        <v>1800000</v>
      </c>
      <c r="H6060">
        <v>143000</v>
      </c>
      <c r="I6060" t="s">
        <v>978</v>
      </c>
    </row>
    <row r="6061" spans="1:9" x14ac:dyDescent="0.25">
      <c r="A6061">
        <v>4128</v>
      </c>
      <c r="B6061">
        <v>18</v>
      </c>
      <c r="C6061" t="s">
        <v>946</v>
      </c>
      <c r="D6061" t="s">
        <v>38</v>
      </c>
      <c r="E6061" t="s">
        <v>290</v>
      </c>
      <c r="F6061" t="s">
        <v>948</v>
      </c>
      <c r="G6061">
        <v>1877777</v>
      </c>
      <c r="H6061">
        <v>500460</v>
      </c>
      <c r="I6061" t="s">
        <v>949</v>
      </c>
    </row>
    <row r="6062" spans="1:9" x14ac:dyDescent="0.25">
      <c r="A6062">
        <v>4122</v>
      </c>
      <c r="B6062">
        <v>18</v>
      </c>
      <c r="C6062" t="s">
        <v>946</v>
      </c>
      <c r="D6062" t="s">
        <v>38</v>
      </c>
      <c r="E6062" t="s">
        <v>294</v>
      </c>
      <c r="F6062" t="s">
        <v>948</v>
      </c>
      <c r="G6062">
        <v>1800000</v>
      </c>
      <c r="H6062">
        <v>143000</v>
      </c>
      <c r="I6062" t="s">
        <v>979</v>
      </c>
    </row>
    <row r="6063" spans="1:9" x14ac:dyDescent="0.25">
      <c r="A6063">
        <v>4124</v>
      </c>
      <c r="B6063">
        <v>18</v>
      </c>
      <c r="C6063" t="s">
        <v>946</v>
      </c>
      <c r="D6063" t="s">
        <v>38</v>
      </c>
      <c r="E6063" t="s">
        <v>294</v>
      </c>
      <c r="F6063" t="s">
        <v>948</v>
      </c>
      <c r="G6063">
        <v>1877777</v>
      </c>
      <c r="H6063">
        <v>500465</v>
      </c>
      <c r="I6063" t="s">
        <v>949</v>
      </c>
    </row>
    <row r="6064" spans="1:9" x14ac:dyDescent="0.25">
      <c r="A6064">
        <v>4126</v>
      </c>
      <c r="B6064">
        <v>18</v>
      </c>
      <c r="C6064" t="s">
        <v>946</v>
      </c>
      <c r="D6064" t="s">
        <v>38</v>
      </c>
      <c r="E6064" t="s">
        <v>294</v>
      </c>
      <c r="F6064" t="s">
        <v>948</v>
      </c>
      <c r="G6064">
        <v>1800000</v>
      </c>
      <c r="H6064">
        <v>143000</v>
      </c>
      <c r="I6064" t="s">
        <v>979</v>
      </c>
    </row>
    <row r="6065" spans="1:9" x14ac:dyDescent="0.25">
      <c r="A6065">
        <v>4128</v>
      </c>
      <c r="B6065">
        <v>18</v>
      </c>
      <c r="C6065" t="s">
        <v>946</v>
      </c>
      <c r="D6065" t="s">
        <v>38</v>
      </c>
      <c r="E6065" t="s">
        <v>294</v>
      </c>
      <c r="F6065" t="s">
        <v>948</v>
      </c>
      <c r="G6065">
        <v>1877777</v>
      </c>
      <c r="H6065">
        <v>500460</v>
      </c>
      <c r="I6065" t="s">
        <v>949</v>
      </c>
    </row>
    <row r="6066" spans="1:9" x14ac:dyDescent="0.25">
      <c r="A6066">
        <v>4122</v>
      </c>
      <c r="B6066">
        <v>18</v>
      </c>
      <c r="C6066" t="s">
        <v>946</v>
      </c>
      <c r="D6066" t="s">
        <v>38</v>
      </c>
      <c r="E6066" t="s">
        <v>980</v>
      </c>
      <c r="F6066" t="s">
        <v>948</v>
      </c>
      <c r="G6066">
        <v>1800000</v>
      </c>
      <c r="H6066">
        <v>141000</v>
      </c>
      <c r="I6066" t="s">
        <v>981</v>
      </c>
    </row>
    <row r="6067" spans="1:9" x14ac:dyDescent="0.25">
      <c r="A6067">
        <v>4124</v>
      </c>
      <c r="B6067">
        <v>18</v>
      </c>
      <c r="C6067" t="s">
        <v>946</v>
      </c>
      <c r="D6067" t="s">
        <v>38</v>
      </c>
      <c r="E6067" t="s">
        <v>980</v>
      </c>
      <c r="F6067" t="s">
        <v>948</v>
      </c>
      <c r="G6067">
        <v>1877777</v>
      </c>
      <c r="H6067">
        <v>500465</v>
      </c>
      <c r="I6067" t="s">
        <v>949</v>
      </c>
    </row>
    <row r="6068" spans="1:9" x14ac:dyDescent="0.25">
      <c r="A6068">
        <v>4126</v>
      </c>
      <c r="B6068">
        <v>18</v>
      </c>
      <c r="C6068" t="s">
        <v>946</v>
      </c>
      <c r="D6068" t="s">
        <v>38</v>
      </c>
      <c r="E6068" t="s">
        <v>980</v>
      </c>
      <c r="F6068" t="s">
        <v>948</v>
      </c>
      <c r="G6068">
        <v>1800000</v>
      </c>
      <c r="H6068">
        <v>141000</v>
      </c>
      <c r="I6068" t="s">
        <v>981</v>
      </c>
    </row>
    <row r="6069" spans="1:9" x14ac:dyDescent="0.25">
      <c r="A6069">
        <v>4128</v>
      </c>
      <c r="B6069">
        <v>18</v>
      </c>
      <c r="C6069" t="s">
        <v>946</v>
      </c>
      <c r="D6069" t="s">
        <v>38</v>
      </c>
      <c r="E6069" t="s">
        <v>980</v>
      </c>
      <c r="F6069" t="s">
        <v>948</v>
      </c>
      <c r="G6069">
        <v>1877777</v>
      </c>
      <c r="H6069">
        <v>500460</v>
      </c>
      <c r="I6069" t="s">
        <v>949</v>
      </c>
    </row>
    <row r="6070" spans="1:9" x14ac:dyDescent="0.25">
      <c r="A6070">
        <v>4122</v>
      </c>
      <c r="B6070">
        <v>18</v>
      </c>
      <c r="C6070" t="s">
        <v>946</v>
      </c>
      <c r="D6070" t="s">
        <v>38</v>
      </c>
      <c r="E6070" t="s">
        <v>302</v>
      </c>
      <c r="F6070" t="s">
        <v>948</v>
      </c>
      <c r="G6070">
        <v>1800000</v>
      </c>
      <c r="H6070">
        <v>143000</v>
      </c>
      <c r="I6070" t="s">
        <v>982</v>
      </c>
    </row>
    <row r="6071" spans="1:9" x14ac:dyDescent="0.25">
      <c r="A6071">
        <v>4124</v>
      </c>
      <c r="B6071">
        <v>18</v>
      </c>
      <c r="C6071" t="s">
        <v>946</v>
      </c>
      <c r="D6071" t="s">
        <v>38</v>
      </c>
      <c r="E6071" t="s">
        <v>302</v>
      </c>
      <c r="F6071" t="s">
        <v>948</v>
      </c>
      <c r="G6071">
        <v>1877777</v>
      </c>
      <c r="H6071">
        <v>500465</v>
      </c>
      <c r="I6071" t="s">
        <v>949</v>
      </c>
    </row>
    <row r="6072" spans="1:9" x14ac:dyDescent="0.25">
      <c r="A6072">
        <v>4126</v>
      </c>
      <c r="B6072">
        <v>18</v>
      </c>
      <c r="C6072" t="s">
        <v>946</v>
      </c>
      <c r="D6072" t="s">
        <v>38</v>
      </c>
      <c r="E6072" t="s">
        <v>302</v>
      </c>
      <c r="F6072" t="s">
        <v>948</v>
      </c>
      <c r="G6072">
        <v>1800000</v>
      </c>
      <c r="H6072">
        <v>143000</v>
      </c>
      <c r="I6072" t="s">
        <v>982</v>
      </c>
    </row>
    <row r="6073" spans="1:9" x14ac:dyDescent="0.25">
      <c r="A6073">
        <v>4128</v>
      </c>
      <c r="B6073">
        <v>18</v>
      </c>
      <c r="C6073" t="s">
        <v>946</v>
      </c>
      <c r="D6073" t="s">
        <v>38</v>
      </c>
      <c r="E6073" t="s">
        <v>302</v>
      </c>
      <c r="F6073" t="s">
        <v>948</v>
      </c>
      <c r="G6073">
        <v>1877777</v>
      </c>
      <c r="H6073">
        <v>500460</v>
      </c>
      <c r="I6073" t="s">
        <v>949</v>
      </c>
    </row>
    <row r="6074" spans="1:9" x14ac:dyDescent="0.25">
      <c r="A6074">
        <v>4122</v>
      </c>
      <c r="B6074">
        <v>18</v>
      </c>
      <c r="C6074" t="s">
        <v>946</v>
      </c>
      <c r="D6074" t="s">
        <v>38</v>
      </c>
      <c r="E6074" t="s">
        <v>306</v>
      </c>
      <c r="F6074" t="s">
        <v>948</v>
      </c>
      <c r="G6074">
        <v>1800000</v>
      </c>
      <c r="H6074">
        <v>143000</v>
      </c>
      <c r="I6074" t="s">
        <v>983</v>
      </c>
    </row>
    <row r="6075" spans="1:9" x14ac:dyDescent="0.25">
      <c r="A6075">
        <v>4124</v>
      </c>
      <c r="B6075">
        <v>18</v>
      </c>
      <c r="C6075" t="s">
        <v>946</v>
      </c>
      <c r="D6075" t="s">
        <v>38</v>
      </c>
      <c r="E6075" t="s">
        <v>306</v>
      </c>
      <c r="F6075" t="s">
        <v>948</v>
      </c>
      <c r="G6075">
        <v>1877777</v>
      </c>
      <c r="H6075">
        <v>500465</v>
      </c>
      <c r="I6075" t="s">
        <v>949</v>
      </c>
    </row>
    <row r="6076" spans="1:9" x14ac:dyDescent="0.25">
      <c r="A6076">
        <v>4126</v>
      </c>
      <c r="B6076">
        <v>18</v>
      </c>
      <c r="C6076" t="s">
        <v>946</v>
      </c>
      <c r="D6076" t="s">
        <v>38</v>
      </c>
      <c r="E6076" t="s">
        <v>306</v>
      </c>
      <c r="F6076" t="s">
        <v>948</v>
      </c>
      <c r="G6076">
        <v>1800000</v>
      </c>
      <c r="H6076">
        <v>143000</v>
      </c>
      <c r="I6076" t="s">
        <v>983</v>
      </c>
    </row>
    <row r="6077" spans="1:9" x14ac:dyDescent="0.25">
      <c r="A6077">
        <v>4128</v>
      </c>
      <c r="B6077">
        <v>18</v>
      </c>
      <c r="C6077" t="s">
        <v>946</v>
      </c>
      <c r="D6077" t="s">
        <v>38</v>
      </c>
      <c r="E6077" t="s">
        <v>306</v>
      </c>
      <c r="F6077" t="s">
        <v>948</v>
      </c>
      <c r="G6077">
        <v>1877777</v>
      </c>
      <c r="H6077">
        <v>500460</v>
      </c>
      <c r="I6077" t="s">
        <v>949</v>
      </c>
    </row>
    <row r="6078" spans="1:9" x14ac:dyDescent="0.25">
      <c r="A6078">
        <v>4122</v>
      </c>
      <c r="B6078">
        <v>18</v>
      </c>
      <c r="C6078" t="s">
        <v>946</v>
      </c>
      <c r="D6078" t="s">
        <v>38</v>
      </c>
      <c r="E6078" t="s">
        <v>108</v>
      </c>
      <c r="F6078" t="s">
        <v>948</v>
      </c>
      <c r="G6078">
        <v>1877777</v>
      </c>
      <c r="H6078">
        <v>500220</v>
      </c>
      <c r="I6078" t="s">
        <v>949</v>
      </c>
    </row>
    <row r="6079" spans="1:9" x14ac:dyDescent="0.25">
      <c r="A6079">
        <v>4124</v>
      </c>
      <c r="B6079">
        <v>18</v>
      </c>
      <c r="C6079" t="s">
        <v>946</v>
      </c>
      <c r="D6079" t="s">
        <v>38</v>
      </c>
      <c r="E6079" t="s">
        <v>108</v>
      </c>
      <c r="F6079" t="s">
        <v>948</v>
      </c>
      <c r="G6079">
        <v>1877777</v>
      </c>
      <c r="H6079">
        <v>500221</v>
      </c>
      <c r="I6079" t="s">
        <v>949</v>
      </c>
    </row>
    <row r="6080" spans="1:9" x14ac:dyDescent="0.25">
      <c r="A6080">
        <v>4126</v>
      </c>
      <c r="B6080">
        <v>18</v>
      </c>
      <c r="C6080" t="s">
        <v>946</v>
      </c>
      <c r="D6080" t="s">
        <v>38</v>
      </c>
      <c r="E6080" t="s">
        <v>108</v>
      </c>
      <c r="F6080" t="s">
        <v>948</v>
      </c>
      <c r="G6080">
        <v>1877777</v>
      </c>
      <c r="H6080">
        <v>500220</v>
      </c>
      <c r="I6080" t="s">
        <v>949</v>
      </c>
    </row>
    <row r="6081" spans="1:9" x14ac:dyDescent="0.25">
      <c r="A6081">
        <v>4128</v>
      </c>
      <c r="B6081">
        <v>18</v>
      </c>
      <c r="C6081" t="s">
        <v>946</v>
      </c>
      <c r="D6081" t="s">
        <v>38</v>
      </c>
      <c r="E6081" t="s">
        <v>108</v>
      </c>
      <c r="F6081" t="s">
        <v>948</v>
      </c>
      <c r="G6081">
        <v>1877777</v>
      </c>
      <c r="H6081">
        <v>500221</v>
      </c>
      <c r="I6081" t="s">
        <v>949</v>
      </c>
    </row>
    <row r="6082" spans="1:9" x14ac:dyDescent="0.25">
      <c r="A6082">
        <v>4122</v>
      </c>
      <c r="B6082">
        <v>18</v>
      </c>
      <c r="C6082" t="s">
        <v>946</v>
      </c>
      <c r="D6082" t="s">
        <v>38</v>
      </c>
      <c r="E6082" t="s">
        <v>310</v>
      </c>
      <c r="F6082" t="s">
        <v>948</v>
      </c>
      <c r="G6082">
        <v>1800000</v>
      </c>
      <c r="H6082">
        <v>145000</v>
      </c>
      <c r="I6082" t="s">
        <v>949</v>
      </c>
    </row>
    <row r="6083" spans="1:9" x14ac:dyDescent="0.25">
      <c r="A6083">
        <v>4124</v>
      </c>
      <c r="B6083">
        <v>18</v>
      </c>
      <c r="C6083" t="s">
        <v>946</v>
      </c>
      <c r="D6083" t="s">
        <v>38</v>
      </c>
      <c r="E6083" t="s">
        <v>310</v>
      </c>
      <c r="F6083" t="s">
        <v>948</v>
      </c>
      <c r="G6083">
        <v>1877777</v>
      </c>
      <c r="H6083">
        <v>500465</v>
      </c>
      <c r="I6083" t="s">
        <v>949</v>
      </c>
    </row>
    <row r="6084" spans="1:9" x14ac:dyDescent="0.25">
      <c r="A6084">
        <v>4126</v>
      </c>
      <c r="B6084">
        <v>18</v>
      </c>
      <c r="C6084" t="s">
        <v>946</v>
      </c>
      <c r="D6084" t="s">
        <v>38</v>
      </c>
      <c r="E6084" t="s">
        <v>310</v>
      </c>
      <c r="F6084" t="s">
        <v>948</v>
      </c>
      <c r="G6084">
        <v>1800000</v>
      </c>
      <c r="H6084">
        <v>145000</v>
      </c>
      <c r="I6084" t="s">
        <v>949</v>
      </c>
    </row>
    <row r="6085" spans="1:9" x14ac:dyDescent="0.25">
      <c r="A6085">
        <v>4128</v>
      </c>
      <c r="B6085">
        <v>18</v>
      </c>
      <c r="C6085" t="s">
        <v>946</v>
      </c>
      <c r="D6085" t="s">
        <v>38</v>
      </c>
      <c r="E6085" t="s">
        <v>310</v>
      </c>
      <c r="F6085" t="s">
        <v>948</v>
      </c>
      <c r="G6085">
        <v>1877777</v>
      </c>
      <c r="H6085">
        <v>500460</v>
      </c>
      <c r="I6085" t="s">
        <v>949</v>
      </c>
    </row>
    <row r="6086" spans="1:9" x14ac:dyDescent="0.25">
      <c r="A6086">
        <v>4122</v>
      </c>
      <c r="B6086">
        <v>18</v>
      </c>
      <c r="C6086" t="s">
        <v>946</v>
      </c>
      <c r="D6086" t="s">
        <v>38</v>
      </c>
      <c r="E6086" t="s">
        <v>314</v>
      </c>
      <c r="F6086" t="s">
        <v>948</v>
      </c>
      <c r="G6086">
        <v>1800000</v>
      </c>
      <c r="H6086">
        <v>145000</v>
      </c>
      <c r="I6086" t="s">
        <v>949</v>
      </c>
    </row>
    <row r="6087" spans="1:9" x14ac:dyDescent="0.25">
      <c r="A6087">
        <v>4124</v>
      </c>
      <c r="B6087">
        <v>18</v>
      </c>
      <c r="C6087" t="s">
        <v>946</v>
      </c>
      <c r="D6087" t="s">
        <v>38</v>
      </c>
      <c r="E6087" t="s">
        <v>314</v>
      </c>
      <c r="F6087" t="s">
        <v>948</v>
      </c>
      <c r="G6087">
        <v>1877777</v>
      </c>
      <c r="H6087">
        <v>500465</v>
      </c>
      <c r="I6087" t="s">
        <v>949</v>
      </c>
    </row>
    <row r="6088" spans="1:9" x14ac:dyDescent="0.25">
      <c r="A6088">
        <v>4126</v>
      </c>
      <c r="B6088">
        <v>18</v>
      </c>
      <c r="C6088" t="s">
        <v>946</v>
      </c>
      <c r="D6088" t="s">
        <v>38</v>
      </c>
      <c r="E6088" t="s">
        <v>314</v>
      </c>
      <c r="F6088" t="s">
        <v>948</v>
      </c>
      <c r="G6088">
        <v>1800000</v>
      </c>
      <c r="H6088">
        <v>145000</v>
      </c>
      <c r="I6088" t="s">
        <v>949</v>
      </c>
    </row>
    <row r="6089" spans="1:9" x14ac:dyDescent="0.25">
      <c r="A6089">
        <v>4128</v>
      </c>
      <c r="B6089">
        <v>18</v>
      </c>
      <c r="C6089" t="s">
        <v>946</v>
      </c>
      <c r="D6089" t="s">
        <v>38</v>
      </c>
      <c r="E6089" t="s">
        <v>314</v>
      </c>
      <c r="F6089" t="s">
        <v>948</v>
      </c>
      <c r="G6089">
        <v>1877777</v>
      </c>
      <c r="H6089">
        <v>500460</v>
      </c>
      <c r="I6089" t="s">
        <v>949</v>
      </c>
    </row>
    <row r="6090" spans="1:9" x14ac:dyDescent="0.25">
      <c r="A6090">
        <v>4122</v>
      </c>
      <c r="B6090">
        <v>18</v>
      </c>
      <c r="C6090" t="s">
        <v>946</v>
      </c>
      <c r="D6090" t="s">
        <v>38</v>
      </c>
      <c r="E6090" t="s">
        <v>121</v>
      </c>
      <c r="F6090" t="s">
        <v>948</v>
      </c>
      <c r="G6090">
        <v>1877777</v>
      </c>
      <c r="H6090">
        <v>500220</v>
      </c>
      <c r="I6090" t="s">
        <v>949</v>
      </c>
    </row>
    <row r="6091" spans="1:9" x14ac:dyDescent="0.25">
      <c r="A6091">
        <v>4124</v>
      </c>
      <c r="B6091">
        <v>18</v>
      </c>
      <c r="C6091" t="s">
        <v>946</v>
      </c>
      <c r="D6091" t="s">
        <v>38</v>
      </c>
      <c r="E6091" t="s">
        <v>121</v>
      </c>
      <c r="F6091" t="s">
        <v>948</v>
      </c>
      <c r="G6091">
        <v>1877777</v>
      </c>
      <c r="H6091">
        <v>500221</v>
      </c>
      <c r="I6091" t="s">
        <v>949</v>
      </c>
    </row>
    <row r="6092" spans="1:9" x14ac:dyDescent="0.25">
      <c r="A6092">
        <v>4126</v>
      </c>
      <c r="B6092">
        <v>18</v>
      </c>
      <c r="C6092" t="s">
        <v>946</v>
      </c>
      <c r="D6092" t="s">
        <v>38</v>
      </c>
      <c r="E6092" t="s">
        <v>121</v>
      </c>
      <c r="F6092" t="s">
        <v>948</v>
      </c>
      <c r="G6092">
        <v>1877777</v>
      </c>
      <c r="H6092">
        <v>500220</v>
      </c>
      <c r="I6092" t="s">
        <v>949</v>
      </c>
    </row>
    <row r="6093" spans="1:9" x14ac:dyDescent="0.25">
      <c r="A6093">
        <v>4128</v>
      </c>
      <c r="B6093">
        <v>18</v>
      </c>
      <c r="C6093" t="s">
        <v>946</v>
      </c>
      <c r="D6093" t="s">
        <v>38</v>
      </c>
      <c r="E6093" t="s">
        <v>121</v>
      </c>
      <c r="F6093" t="s">
        <v>948</v>
      </c>
      <c r="G6093">
        <v>1877777</v>
      </c>
      <c r="H6093">
        <v>500221</v>
      </c>
      <c r="I6093" t="s">
        <v>949</v>
      </c>
    </row>
    <row r="6094" spans="1:9" x14ac:dyDescent="0.25">
      <c r="A6094">
        <v>4122</v>
      </c>
      <c r="B6094">
        <v>18</v>
      </c>
      <c r="C6094" t="s">
        <v>946</v>
      </c>
      <c r="D6094" t="s">
        <v>38</v>
      </c>
      <c r="E6094" t="s">
        <v>984</v>
      </c>
      <c r="F6094" t="s">
        <v>948</v>
      </c>
      <c r="G6094">
        <v>1800000</v>
      </c>
      <c r="H6094">
        <v>141000</v>
      </c>
      <c r="I6094" t="s">
        <v>985</v>
      </c>
    </row>
    <row r="6095" spans="1:9" x14ac:dyDescent="0.25">
      <c r="A6095">
        <v>4124</v>
      </c>
      <c r="B6095">
        <v>18</v>
      </c>
      <c r="C6095" t="s">
        <v>946</v>
      </c>
      <c r="D6095" t="s">
        <v>38</v>
      </c>
      <c r="E6095" t="s">
        <v>984</v>
      </c>
      <c r="F6095" t="s">
        <v>948</v>
      </c>
      <c r="G6095">
        <v>1877777</v>
      </c>
      <c r="H6095">
        <v>500465</v>
      </c>
      <c r="I6095" t="s">
        <v>949</v>
      </c>
    </row>
    <row r="6096" spans="1:9" x14ac:dyDescent="0.25">
      <c r="A6096">
        <v>4126</v>
      </c>
      <c r="B6096">
        <v>18</v>
      </c>
      <c r="C6096" t="s">
        <v>946</v>
      </c>
      <c r="D6096" t="s">
        <v>38</v>
      </c>
      <c r="E6096" t="s">
        <v>984</v>
      </c>
      <c r="F6096" t="s">
        <v>948</v>
      </c>
      <c r="G6096">
        <v>1800000</v>
      </c>
      <c r="H6096">
        <v>141000</v>
      </c>
      <c r="I6096" t="s">
        <v>985</v>
      </c>
    </row>
    <row r="6097" spans="1:9" x14ac:dyDescent="0.25">
      <c r="A6097">
        <v>4128</v>
      </c>
      <c r="B6097">
        <v>18</v>
      </c>
      <c r="C6097" t="s">
        <v>946</v>
      </c>
      <c r="D6097" t="s">
        <v>38</v>
      </c>
      <c r="E6097" t="s">
        <v>984</v>
      </c>
      <c r="F6097" t="s">
        <v>948</v>
      </c>
      <c r="G6097">
        <v>1877777</v>
      </c>
      <c r="H6097">
        <v>500460</v>
      </c>
      <c r="I6097" t="s">
        <v>949</v>
      </c>
    </row>
    <row r="6098" spans="1:9" x14ac:dyDescent="0.25">
      <c r="A6098">
        <v>4134</v>
      </c>
      <c r="B6098">
        <v>18</v>
      </c>
      <c r="C6098" t="s">
        <v>946</v>
      </c>
      <c r="D6098" t="s">
        <v>998</v>
      </c>
      <c r="E6098" t="s">
        <v>243</v>
      </c>
      <c r="F6098" t="s">
        <v>948</v>
      </c>
      <c r="G6098">
        <v>1800000</v>
      </c>
      <c r="H6098">
        <v>145000</v>
      </c>
      <c r="I6098" t="s">
        <v>949</v>
      </c>
    </row>
    <row r="6099" spans="1:9" x14ac:dyDescent="0.25">
      <c r="A6099">
        <v>4136</v>
      </c>
      <c r="B6099">
        <v>18</v>
      </c>
      <c r="C6099" t="s">
        <v>946</v>
      </c>
      <c r="D6099" t="s">
        <v>998</v>
      </c>
      <c r="E6099" t="s">
        <v>243</v>
      </c>
      <c r="F6099" t="s">
        <v>948</v>
      </c>
      <c r="G6099">
        <v>1877777</v>
      </c>
      <c r="H6099">
        <v>500461</v>
      </c>
      <c r="I6099" t="s">
        <v>949</v>
      </c>
    </row>
    <row r="6100" spans="1:9" x14ac:dyDescent="0.25">
      <c r="A6100">
        <v>4134</v>
      </c>
      <c r="B6100">
        <v>18</v>
      </c>
      <c r="C6100" t="s">
        <v>946</v>
      </c>
      <c r="D6100" t="s">
        <v>998</v>
      </c>
      <c r="E6100" t="s">
        <v>247</v>
      </c>
      <c r="F6100" t="s">
        <v>948</v>
      </c>
      <c r="G6100">
        <v>1800000</v>
      </c>
      <c r="H6100">
        <v>145000</v>
      </c>
      <c r="I6100" t="s">
        <v>949</v>
      </c>
    </row>
    <row r="6101" spans="1:9" x14ac:dyDescent="0.25">
      <c r="A6101">
        <v>4136</v>
      </c>
      <c r="B6101">
        <v>18</v>
      </c>
      <c r="C6101" t="s">
        <v>946</v>
      </c>
      <c r="D6101" t="s">
        <v>998</v>
      </c>
      <c r="E6101" t="s">
        <v>247</v>
      </c>
      <c r="F6101" t="s">
        <v>948</v>
      </c>
      <c r="G6101">
        <v>1877777</v>
      </c>
      <c r="H6101">
        <v>500461</v>
      </c>
      <c r="I6101" t="s">
        <v>949</v>
      </c>
    </row>
    <row r="6102" spans="1:9" x14ac:dyDescent="0.25">
      <c r="A6102">
        <v>4134</v>
      </c>
      <c r="B6102">
        <v>18</v>
      </c>
      <c r="C6102" t="s">
        <v>946</v>
      </c>
      <c r="D6102" t="s">
        <v>998</v>
      </c>
      <c r="E6102" t="s">
        <v>251</v>
      </c>
      <c r="F6102" t="s">
        <v>948</v>
      </c>
      <c r="G6102">
        <v>1800000</v>
      </c>
      <c r="H6102">
        <v>142000</v>
      </c>
      <c r="I6102" t="s">
        <v>949</v>
      </c>
    </row>
    <row r="6103" spans="1:9" x14ac:dyDescent="0.25">
      <c r="A6103">
        <v>4136</v>
      </c>
      <c r="B6103">
        <v>18</v>
      </c>
      <c r="C6103" t="s">
        <v>946</v>
      </c>
      <c r="D6103" t="s">
        <v>998</v>
      </c>
      <c r="E6103" t="s">
        <v>251</v>
      </c>
      <c r="F6103" t="s">
        <v>948</v>
      </c>
      <c r="G6103">
        <v>1877777</v>
      </c>
      <c r="H6103">
        <v>500461</v>
      </c>
      <c r="I6103" t="s">
        <v>949</v>
      </c>
    </row>
    <row r="6104" spans="1:9" x14ac:dyDescent="0.25">
      <c r="A6104">
        <v>4134</v>
      </c>
      <c r="B6104">
        <v>18</v>
      </c>
      <c r="C6104" t="s">
        <v>946</v>
      </c>
      <c r="D6104" t="s">
        <v>998</v>
      </c>
      <c r="E6104" t="s">
        <v>969</v>
      </c>
      <c r="F6104" t="s">
        <v>948</v>
      </c>
      <c r="G6104">
        <v>1800000</v>
      </c>
      <c r="H6104">
        <v>141000</v>
      </c>
      <c r="I6104" t="s">
        <v>970</v>
      </c>
    </row>
    <row r="6105" spans="1:9" x14ac:dyDescent="0.25">
      <c r="A6105">
        <v>4136</v>
      </c>
      <c r="B6105">
        <v>18</v>
      </c>
      <c r="C6105" t="s">
        <v>946</v>
      </c>
      <c r="D6105" t="s">
        <v>998</v>
      </c>
      <c r="E6105" t="s">
        <v>969</v>
      </c>
      <c r="F6105" t="s">
        <v>948</v>
      </c>
      <c r="G6105">
        <v>1877777</v>
      </c>
      <c r="H6105">
        <v>500461</v>
      </c>
      <c r="I6105" t="s">
        <v>949</v>
      </c>
    </row>
    <row r="6106" spans="1:9" x14ac:dyDescent="0.25">
      <c r="A6106">
        <v>4134</v>
      </c>
      <c r="B6106">
        <v>18</v>
      </c>
      <c r="C6106" t="s">
        <v>946</v>
      </c>
      <c r="D6106" t="s">
        <v>998</v>
      </c>
      <c r="E6106" t="s">
        <v>255</v>
      </c>
      <c r="F6106" t="s">
        <v>948</v>
      </c>
      <c r="G6106">
        <v>1800000</v>
      </c>
      <c r="H6106">
        <v>145000</v>
      </c>
      <c r="I6106" t="s">
        <v>949</v>
      </c>
    </row>
    <row r="6107" spans="1:9" x14ac:dyDescent="0.25">
      <c r="A6107">
        <v>4136</v>
      </c>
      <c r="B6107">
        <v>18</v>
      </c>
      <c r="C6107" t="s">
        <v>946</v>
      </c>
      <c r="D6107" t="s">
        <v>998</v>
      </c>
      <c r="E6107" t="s">
        <v>255</v>
      </c>
      <c r="F6107" t="s">
        <v>948</v>
      </c>
      <c r="G6107">
        <v>1877777</v>
      </c>
      <c r="H6107">
        <v>500461</v>
      </c>
      <c r="I6107" t="s">
        <v>949</v>
      </c>
    </row>
    <row r="6108" spans="1:9" x14ac:dyDescent="0.25">
      <c r="A6108">
        <v>4134</v>
      </c>
      <c r="B6108">
        <v>18</v>
      </c>
      <c r="C6108" t="s">
        <v>946</v>
      </c>
      <c r="D6108" t="s">
        <v>998</v>
      </c>
      <c r="E6108" t="s">
        <v>971</v>
      </c>
      <c r="F6108" t="s">
        <v>948</v>
      </c>
      <c r="G6108">
        <v>1800000</v>
      </c>
      <c r="H6108">
        <v>141000</v>
      </c>
      <c r="I6108" t="s">
        <v>972</v>
      </c>
    </row>
    <row r="6109" spans="1:9" x14ac:dyDescent="0.25">
      <c r="A6109">
        <v>4136</v>
      </c>
      <c r="B6109">
        <v>18</v>
      </c>
      <c r="C6109" t="s">
        <v>946</v>
      </c>
      <c r="D6109" t="s">
        <v>998</v>
      </c>
      <c r="E6109" t="s">
        <v>971</v>
      </c>
      <c r="F6109" t="s">
        <v>948</v>
      </c>
      <c r="G6109">
        <v>1877777</v>
      </c>
      <c r="H6109">
        <v>500461</v>
      </c>
      <c r="I6109" t="s">
        <v>949</v>
      </c>
    </row>
    <row r="6110" spans="1:9" x14ac:dyDescent="0.25">
      <c r="A6110">
        <v>4134</v>
      </c>
      <c r="B6110">
        <v>18</v>
      </c>
      <c r="C6110" t="s">
        <v>946</v>
      </c>
      <c r="D6110" t="s">
        <v>998</v>
      </c>
      <c r="E6110" t="s">
        <v>263</v>
      </c>
      <c r="F6110" t="s">
        <v>948</v>
      </c>
      <c r="G6110">
        <v>1800000</v>
      </c>
      <c r="H6110">
        <v>145000</v>
      </c>
      <c r="I6110" t="s">
        <v>949</v>
      </c>
    </row>
    <row r="6111" spans="1:9" x14ac:dyDescent="0.25">
      <c r="A6111">
        <v>4136</v>
      </c>
      <c r="B6111">
        <v>18</v>
      </c>
      <c r="C6111" t="s">
        <v>946</v>
      </c>
      <c r="D6111" t="s">
        <v>998</v>
      </c>
      <c r="E6111" t="s">
        <v>263</v>
      </c>
      <c r="F6111" t="s">
        <v>948</v>
      </c>
      <c r="G6111">
        <v>1877777</v>
      </c>
      <c r="H6111">
        <v>500461</v>
      </c>
      <c r="I6111" t="s">
        <v>949</v>
      </c>
    </row>
    <row r="6112" spans="1:9" x14ac:dyDescent="0.25">
      <c r="A6112">
        <v>4134</v>
      </c>
      <c r="B6112">
        <v>18</v>
      </c>
      <c r="C6112" t="s">
        <v>946</v>
      </c>
      <c r="D6112" t="s">
        <v>998</v>
      </c>
      <c r="E6112" t="s">
        <v>100</v>
      </c>
      <c r="F6112" t="s">
        <v>948</v>
      </c>
      <c r="G6112">
        <v>1877777</v>
      </c>
      <c r="H6112">
        <v>500220</v>
      </c>
      <c r="I6112" t="s">
        <v>949</v>
      </c>
    </row>
    <row r="6113" spans="1:9" x14ac:dyDescent="0.25">
      <c r="A6113">
        <v>4136</v>
      </c>
      <c r="B6113">
        <v>18</v>
      </c>
      <c r="C6113" t="s">
        <v>946</v>
      </c>
      <c r="D6113" t="s">
        <v>998</v>
      </c>
      <c r="E6113" t="s">
        <v>100</v>
      </c>
      <c r="F6113" t="s">
        <v>948</v>
      </c>
      <c r="G6113">
        <v>1877777</v>
      </c>
      <c r="H6113">
        <v>500221</v>
      </c>
      <c r="I6113" t="s">
        <v>949</v>
      </c>
    </row>
    <row r="6114" spans="1:9" x14ac:dyDescent="0.25">
      <c r="A6114">
        <v>4134</v>
      </c>
      <c r="B6114">
        <v>18</v>
      </c>
      <c r="C6114" t="s">
        <v>946</v>
      </c>
      <c r="D6114" t="s">
        <v>998</v>
      </c>
      <c r="E6114" t="s">
        <v>270</v>
      </c>
      <c r="F6114" t="s">
        <v>948</v>
      </c>
      <c r="G6114">
        <v>1800000</v>
      </c>
      <c r="H6114">
        <v>145000</v>
      </c>
      <c r="I6114" t="s">
        <v>949</v>
      </c>
    </row>
    <row r="6115" spans="1:9" x14ac:dyDescent="0.25">
      <c r="A6115">
        <v>4136</v>
      </c>
      <c r="B6115">
        <v>18</v>
      </c>
      <c r="C6115" t="s">
        <v>946</v>
      </c>
      <c r="D6115" t="s">
        <v>998</v>
      </c>
      <c r="E6115" t="s">
        <v>270</v>
      </c>
      <c r="F6115" t="s">
        <v>948</v>
      </c>
      <c r="G6115">
        <v>1877777</v>
      </c>
      <c r="H6115">
        <v>500461</v>
      </c>
      <c r="I6115" t="s">
        <v>949</v>
      </c>
    </row>
    <row r="6116" spans="1:9" x14ac:dyDescent="0.25">
      <c r="A6116">
        <v>4134</v>
      </c>
      <c r="B6116">
        <v>18</v>
      </c>
      <c r="C6116" t="s">
        <v>946</v>
      </c>
      <c r="D6116" t="s">
        <v>998</v>
      </c>
      <c r="E6116" t="s">
        <v>274</v>
      </c>
      <c r="F6116" t="s">
        <v>948</v>
      </c>
      <c r="G6116">
        <v>1800000</v>
      </c>
      <c r="H6116">
        <v>143000</v>
      </c>
      <c r="I6116" t="s">
        <v>973</v>
      </c>
    </row>
    <row r="6117" spans="1:9" x14ac:dyDescent="0.25">
      <c r="A6117">
        <v>4136</v>
      </c>
      <c r="B6117">
        <v>18</v>
      </c>
      <c r="C6117" t="s">
        <v>946</v>
      </c>
      <c r="D6117" t="s">
        <v>998</v>
      </c>
      <c r="E6117" t="s">
        <v>274</v>
      </c>
      <c r="F6117" t="s">
        <v>948</v>
      </c>
      <c r="G6117">
        <v>1877777</v>
      </c>
      <c r="H6117">
        <v>500461</v>
      </c>
      <c r="I6117" t="s">
        <v>949</v>
      </c>
    </row>
    <row r="6118" spans="1:9" x14ac:dyDescent="0.25">
      <c r="A6118">
        <v>4134</v>
      </c>
      <c r="B6118">
        <v>18</v>
      </c>
      <c r="C6118" t="s">
        <v>946</v>
      </c>
      <c r="D6118" t="s">
        <v>998</v>
      </c>
      <c r="E6118" t="s">
        <v>974</v>
      </c>
      <c r="F6118" t="s">
        <v>948</v>
      </c>
      <c r="G6118">
        <v>1800000</v>
      </c>
      <c r="H6118">
        <v>141000</v>
      </c>
      <c r="I6118" t="s">
        <v>975</v>
      </c>
    </row>
    <row r="6119" spans="1:9" x14ac:dyDescent="0.25">
      <c r="A6119">
        <v>4136</v>
      </c>
      <c r="B6119">
        <v>18</v>
      </c>
      <c r="C6119" t="s">
        <v>946</v>
      </c>
      <c r="D6119" t="s">
        <v>998</v>
      </c>
      <c r="E6119" t="s">
        <v>974</v>
      </c>
      <c r="F6119" t="s">
        <v>948</v>
      </c>
      <c r="G6119">
        <v>1877777</v>
      </c>
      <c r="H6119">
        <v>500461</v>
      </c>
      <c r="I6119" t="s">
        <v>949</v>
      </c>
    </row>
    <row r="6120" spans="1:9" x14ac:dyDescent="0.25">
      <c r="A6120">
        <v>4134</v>
      </c>
      <c r="B6120">
        <v>18</v>
      </c>
      <c r="C6120" t="s">
        <v>946</v>
      </c>
      <c r="D6120" t="s">
        <v>998</v>
      </c>
      <c r="E6120" t="s">
        <v>104</v>
      </c>
      <c r="F6120" t="s">
        <v>948</v>
      </c>
      <c r="G6120">
        <v>1877777</v>
      </c>
      <c r="H6120">
        <v>500220</v>
      </c>
      <c r="I6120" t="s">
        <v>949</v>
      </c>
    </row>
    <row r="6121" spans="1:9" x14ac:dyDescent="0.25">
      <c r="A6121">
        <v>4136</v>
      </c>
      <c r="B6121">
        <v>18</v>
      </c>
      <c r="C6121" t="s">
        <v>946</v>
      </c>
      <c r="D6121" t="s">
        <v>998</v>
      </c>
      <c r="E6121" t="s">
        <v>104</v>
      </c>
      <c r="F6121" t="s">
        <v>948</v>
      </c>
      <c r="G6121">
        <v>1877777</v>
      </c>
      <c r="H6121">
        <v>500221</v>
      </c>
      <c r="I6121" t="s">
        <v>949</v>
      </c>
    </row>
    <row r="6122" spans="1:9" x14ac:dyDescent="0.25">
      <c r="A6122">
        <v>4134</v>
      </c>
      <c r="B6122">
        <v>18</v>
      </c>
      <c r="C6122" t="s">
        <v>946</v>
      </c>
      <c r="D6122" t="s">
        <v>998</v>
      </c>
      <c r="E6122" t="s">
        <v>278</v>
      </c>
      <c r="F6122" t="s">
        <v>948</v>
      </c>
      <c r="G6122">
        <v>1800000</v>
      </c>
      <c r="H6122">
        <v>145000</v>
      </c>
      <c r="I6122" t="s">
        <v>949</v>
      </c>
    </row>
    <row r="6123" spans="1:9" x14ac:dyDescent="0.25">
      <c r="A6123">
        <v>4136</v>
      </c>
      <c r="B6123">
        <v>18</v>
      </c>
      <c r="C6123" t="s">
        <v>946</v>
      </c>
      <c r="D6123" t="s">
        <v>998</v>
      </c>
      <c r="E6123" t="s">
        <v>278</v>
      </c>
      <c r="F6123" t="s">
        <v>948</v>
      </c>
      <c r="G6123">
        <v>1877777</v>
      </c>
      <c r="H6123">
        <v>500461</v>
      </c>
      <c r="I6123" t="s">
        <v>949</v>
      </c>
    </row>
    <row r="6124" spans="1:9" x14ac:dyDescent="0.25">
      <c r="A6124">
        <v>4134</v>
      </c>
      <c r="B6124">
        <v>18</v>
      </c>
      <c r="C6124" t="s">
        <v>946</v>
      </c>
      <c r="D6124" t="s">
        <v>998</v>
      </c>
      <c r="E6124" t="s">
        <v>282</v>
      </c>
      <c r="F6124" t="s">
        <v>948</v>
      </c>
      <c r="G6124">
        <v>1800000</v>
      </c>
      <c r="H6124">
        <v>143100</v>
      </c>
      <c r="I6124" t="s">
        <v>949</v>
      </c>
    </row>
    <row r="6125" spans="1:9" x14ac:dyDescent="0.25">
      <c r="A6125">
        <v>4136</v>
      </c>
      <c r="B6125">
        <v>18</v>
      </c>
      <c r="C6125" t="s">
        <v>946</v>
      </c>
      <c r="D6125" t="s">
        <v>998</v>
      </c>
      <c r="E6125" t="s">
        <v>282</v>
      </c>
      <c r="F6125" t="s">
        <v>948</v>
      </c>
      <c r="G6125">
        <v>1877777</v>
      </c>
      <c r="H6125">
        <v>500461</v>
      </c>
      <c r="I6125" t="s">
        <v>949</v>
      </c>
    </row>
    <row r="6126" spans="1:9" x14ac:dyDescent="0.25">
      <c r="A6126">
        <v>4134</v>
      </c>
      <c r="B6126">
        <v>18</v>
      </c>
      <c r="C6126" t="s">
        <v>946</v>
      </c>
      <c r="D6126" t="s">
        <v>998</v>
      </c>
      <c r="E6126" t="s">
        <v>39</v>
      </c>
      <c r="F6126" t="s">
        <v>948</v>
      </c>
      <c r="G6126">
        <v>1877777</v>
      </c>
      <c r="H6126">
        <v>501095</v>
      </c>
      <c r="I6126" t="s">
        <v>949</v>
      </c>
    </row>
    <row r="6127" spans="1:9" x14ac:dyDescent="0.25">
      <c r="A6127">
        <v>4136</v>
      </c>
      <c r="B6127">
        <v>18</v>
      </c>
      <c r="C6127" t="s">
        <v>946</v>
      </c>
      <c r="D6127" t="s">
        <v>998</v>
      </c>
      <c r="E6127" t="s">
        <v>39</v>
      </c>
      <c r="F6127" t="s">
        <v>948</v>
      </c>
      <c r="G6127">
        <v>1877777</v>
      </c>
      <c r="H6127">
        <v>500461</v>
      </c>
      <c r="I6127" t="s">
        <v>949</v>
      </c>
    </row>
    <row r="6128" spans="1:9" x14ac:dyDescent="0.25">
      <c r="A6128">
        <v>4134</v>
      </c>
      <c r="B6128">
        <v>18</v>
      </c>
      <c r="C6128" t="s">
        <v>946</v>
      </c>
      <c r="D6128" t="s">
        <v>998</v>
      </c>
      <c r="E6128" t="s">
        <v>286</v>
      </c>
      <c r="F6128" t="s">
        <v>948</v>
      </c>
      <c r="G6128">
        <v>1800000</v>
      </c>
      <c r="H6128">
        <v>145000</v>
      </c>
      <c r="I6128" t="s">
        <v>949</v>
      </c>
    </row>
    <row r="6129" spans="1:9" x14ac:dyDescent="0.25">
      <c r="A6129">
        <v>4136</v>
      </c>
      <c r="B6129">
        <v>18</v>
      </c>
      <c r="C6129" t="s">
        <v>946</v>
      </c>
      <c r="D6129" t="s">
        <v>998</v>
      </c>
      <c r="E6129" t="s">
        <v>286</v>
      </c>
      <c r="F6129" t="s">
        <v>948</v>
      </c>
      <c r="G6129">
        <v>1877777</v>
      </c>
      <c r="H6129">
        <v>500461</v>
      </c>
      <c r="I6129" t="s">
        <v>949</v>
      </c>
    </row>
    <row r="6130" spans="1:9" x14ac:dyDescent="0.25">
      <c r="A6130">
        <v>4134</v>
      </c>
      <c r="B6130">
        <v>18</v>
      </c>
      <c r="C6130" t="s">
        <v>946</v>
      </c>
      <c r="D6130" t="s">
        <v>998</v>
      </c>
      <c r="E6130" t="s">
        <v>976</v>
      </c>
      <c r="F6130" t="s">
        <v>948</v>
      </c>
      <c r="G6130">
        <v>1800000</v>
      </c>
      <c r="H6130">
        <v>141000</v>
      </c>
      <c r="I6130" t="s">
        <v>977</v>
      </c>
    </row>
    <row r="6131" spans="1:9" x14ac:dyDescent="0.25">
      <c r="A6131">
        <v>4136</v>
      </c>
      <c r="B6131">
        <v>18</v>
      </c>
      <c r="C6131" t="s">
        <v>946</v>
      </c>
      <c r="D6131" t="s">
        <v>998</v>
      </c>
      <c r="E6131" t="s">
        <v>976</v>
      </c>
      <c r="F6131" t="s">
        <v>948</v>
      </c>
      <c r="G6131">
        <v>1877777</v>
      </c>
      <c r="H6131">
        <v>500461</v>
      </c>
      <c r="I6131" t="s">
        <v>949</v>
      </c>
    </row>
    <row r="6132" spans="1:9" x14ac:dyDescent="0.25">
      <c r="A6132">
        <v>4134</v>
      </c>
      <c r="B6132">
        <v>18</v>
      </c>
      <c r="C6132" t="s">
        <v>946</v>
      </c>
      <c r="D6132" t="s">
        <v>998</v>
      </c>
      <c r="E6132" t="s">
        <v>290</v>
      </c>
      <c r="F6132" t="s">
        <v>948</v>
      </c>
      <c r="G6132">
        <v>1800000</v>
      </c>
      <c r="H6132">
        <v>143000</v>
      </c>
      <c r="I6132" t="s">
        <v>978</v>
      </c>
    </row>
    <row r="6133" spans="1:9" x14ac:dyDescent="0.25">
      <c r="A6133">
        <v>4136</v>
      </c>
      <c r="B6133">
        <v>18</v>
      </c>
      <c r="C6133" t="s">
        <v>946</v>
      </c>
      <c r="D6133" t="s">
        <v>998</v>
      </c>
      <c r="E6133" t="s">
        <v>290</v>
      </c>
      <c r="F6133" t="s">
        <v>948</v>
      </c>
      <c r="G6133">
        <v>1877777</v>
      </c>
      <c r="H6133">
        <v>500461</v>
      </c>
      <c r="I6133" t="s">
        <v>949</v>
      </c>
    </row>
    <row r="6134" spans="1:9" x14ac:dyDescent="0.25">
      <c r="A6134">
        <v>4134</v>
      </c>
      <c r="B6134">
        <v>18</v>
      </c>
      <c r="C6134" t="s">
        <v>946</v>
      </c>
      <c r="D6134" t="s">
        <v>998</v>
      </c>
      <c r="E6134" t="s">
        <v>294</v>
      </c>
      <c r="F6134" t="s">
        <v>948</v>
      </c>
      <c r="G6134">
        <v>1800000</v>
      </c>
      <c r="H6134">
        <v>143000</v>
      </c>
      <c r="I6134" t="s">
        <v>979</v>
      </c>
    </row>
    <row r="6135" spans="1:9" x14ac:dyDescent="0.25">
      <c r="A6135">
        <v>4136</v>
      </c>
      <c r="B6135">
        <v>18</v>
      </c>
      <c r="C6135" t="s">
        <v>946</v>
      </c>
      <c r="D6135" t="s">
        <v>998</v>
      </c>
      <c r="E6135" t="s">
        <v>294</v>
      </c>
      <c r="F6135" t="s">
        <v>948</v>
      </c>
      <c r="G6135">
        <v>1877777</v>
      </c>
      <c r="H6135">
        <v>500461</v>
      </c>
      <c r="I6135" t="s">
        <v>949</v>
      </c>
    </row>
    <row r="6136" spans="1:9" x14ac:dyDescent="0.25">
      <c r="A6136">
        <v>4134</v>
      </c>
      <c r="B6136">
        <v>18</v>
      </c>
      <c r="C6136" t="s">
        <v>946</v>
      </c>
      <c r="D6136" t="s">
        <v>998</v>
      </c>
      <c r="E6136" t="s">
        <v>980</v>
      </c>
      <c r="F6136" t="s">
        <v>948</v>
      </c>
      <c r="G6136">
        <v>1800000</v>
      </c>
      <c r="H6136">
        <v>141000</v>
      </c>
      <c r="I6136" t="s">
        <v>981</v>
      </c>
    </row>
    <row r="6137" spans="1:9" x14ac:dyDescent="0.25">
      <c r="A6137">
        <v>4136</v>
      </c>
      <c r="B6137">
        <v>18</v>
      </c>
      <c r="C6137" t="s">
        <v>946</v>
      </c>
      <c r="D6137" t="s">
        <v>998</v>
      </c>
      <c r="E6137" t="s">
        <v>980</v>
      </c>
      <c r="F6137" t="s">
        <v>948</v>
      </c>
      <c r="G6137">
        <v>1877777</v>
      </c>
      <c r="H6137">
        <v>500461</v>
      </c>
      <c r="I6137" t="s">
        <v>949</v>
      </c>
    </row>
    <row r="6138" spans="1:9" x14ac:dyDescent="0.25">
      <c r="A6138">
        <v>4134</v>
      </c>
      <c r="B6138">
        <v>18</v>
      </c>
      <c r="C6138" t="s">
        <v>946</v>
      </c>
      <c r="D6138" t="s">
        <v>998</v>
      </c>
      <c r="E6138" t="s">
        <v>302</v>
      </c>
      <c r="F6138" t="s">
        <v>948</v>
      </c>
      <c r="G6138">
        <v>1800000</v>
      </c>
      <c r="H6138">
        <v>143000</v>
      </c>
      <c r="I6138" t="s">
        <v>982</v>
      </c>
    </row>
    <row r="6139" spans="1:9" x14ac:dyDescent="0.25">
      <c r="A6139">
        <v>4136</v>
      </c>
      <c r="B6139">
        <v>18</v>
      </c>
      <c r="C6139" t="s">
        <v>946</v>
      </c>
      <c r="D6139" t="s">
        <v>998</v>
      </c>
      <c r="E6139" t="s">
        <v>302</v>
      </c>
      <c r="F6139" t="s">
        <v>948</v>
      </c>
      <c r="G6139">
        <v>1877777</v>
      </c>
      <c r="H6139">
        <v>500461</v>
      </c>
      <c r="I6139" t="s">
        <v>949</v>
      </c>
    </row>
    <row r="6140" spans="1:9" x14ac:dyDescent="0.25">
      <c r="A6140">
        <v>4134</v>
      </c>
      <c r="B6140">
        <v>18</v>
      </c>
      <c r="C6140" t="s">
        <v>946</v>
      </c>
      <c r="D6140" t="s">
        <v>998</v>
      </c>
      <c r="E6140" t="s">
        <v>306</v>
      </c>
      <c r="F6140" t="s">
        <v>948</v>
      </c>
      <c r="G6140">
        <v>1800000</v>
      </c>
      <c r="H6140">
        <v>143000</v>
      </c>
      <c r="I6140" t="s">
        <v>983</v>
      </c>
    </row>
    <row r="6141" spans="1:9" x14ac:dyDescent="0.25">
      <c r="A6141">
        <v>4136</v>
      </c>
      <c r="B6141">
        <v>18</v>
      </c>
      <c r="C6141" t="s">
        <v>946</v>
      </c>
      <c r="D6141" t="s">
        <v>998</v>
      </c>
      <c r="E6141" t="s">
        <v>306</v>
      </c>
      <c r="F6141" t="s">
        <v>948</v>
      </c>
      <c r="G6141">
        <v>1877777</v>
      </c>
      <c r="H6141">
        <v>500461</v>
      </c>
      <c r="I6141" t="s">
        <v>949</v>
      </c>
    </row>
    <row r="6142" spans="1:9" x14ac:dyDescent="0.25">
      <c r="A6142">
        <v>4134</v>
      </c>
      <c r="B6142">
        <v>18</v>
      </c>
      <c r="C6142" t="s">
        <v>946</v>
      </c>
      <c r="D6142" t="s">
        <v>998</v>
      </c>
      <c r="E6142" t="s">
        <v>108</v>
      </c>
      <c r="F6142" t="s">
        <v>948</v>
      </c>
      <c r="G6142">
        <v>1877777</v>
      </c>
      <c r="H6142">
        <v>500220</v>
      </c>
      <c r="I6142" t="s">
        <v>949</v>
      </c>
    </row>
    <row r="6143" spans="1:9" x14ac:dyDescent="0.25">
      <c r="A6143">
        <v>4136</v>
      </c>
      <c r="B6143">
        <v>18</v>
      </c>
      <c r="C6143" t="s">
        <v>946</v>
      </c>
      <c r="D6143" t="s">
        <v>998</v>
      </c>
      <c r="E6143" t="s">
        <v>108</v>
      </c>
      <c r="F6143" t="s">
        <v>948</v>
      </c>
      <c r="G6143">
        <v>1877777</v>
      </c>
      <c r="H6143">
        <v>500221</v>
      </c>
      <c r="I6143" t="s">
        <v>949</v>
      </c>
    </row>
    <row r="6144" spans="1:9" x14ac:dyDescent="0.25">
      <c r="A6144">
        <v>4134</v>
      </c>
      <c r="B6144">
        <v>18</v>
      </c>
      <c r="C6144" t="s">
        <v>946</v>
      </c>
      <c r="D6144" t="s">
        <v>998</v>
      </c>
      <c r="E6144" t="s">
        <v>310</v>
      </c>
      <c r="F6144" t="s">
        <v>948</v>
      </c>
      <c r="G6144">
        <v>1800000</v>
      </c>
      <c r="H6144">
        <v>145000</v>
      </c>
      <c r="I6144" t="s">
        <v>949</v>
      </c>
    </row>
    <row r="6145" spans="1:9" x14ac:dyDescent="0.25">
      <c r="A6145">
        <v>4136</v>
      </c>
      <c r="B6145">
        <v>18</v>
      </c>
      <c r="C6145" t="s">
        <v>946</v>
      </c>
      <c r="D6145" t="s">
        <v>998</v>
      </c>
      <c r="E6145" t="s">
        <v>310</v>
      </c>
      <c r="F6145" t="s">
        <v>948</v>
      </c>
      <c r="G6145">
        <v>1877777</v>
      </c>
      <c r="H6145">
        <v>500461</v>
      </c>
      <c r="I6145" t="s">
        <v>949</v>
      </c>
    </row>
    <row r="6146" spans="1:9" x14ac:dyDescent="0.25">
      <c r="A6146">
        <v>4134</v>
      </c>
      <c r="B6146">
        <v>18</v>
      </c>
      <c r="C6146" t="s">
        <v>946</v>
      </c>
      <c r="D6146" t="s">
        <v>998</v>
      </c>
      <c r="E6146" t="s">
        <v>314</v>
      </c>
      <c r="F6146" t="s">
        <v>948</v>
      </c>
      <c r="G6146">
        <v>1800000</v>
      </c>
      <c r="H6146">
        <v>145000</v>
      </c>
      <c r="I6146" t="s">
        <v>949</v>
      </c>
    </row>
    <row r="6147" spans="1:9" x14ac:dyDescent="0.25">
      <c r="A6147">
        <v>4136</v>
      </c>
      <c r="B6147">
        <v>18</v>
      </c>
      <c r="C6147" t="s">
        <v>946</v>
      </c>
      <c r="D6147" t="s">
        <v>998</v>
      </c>
      <c r="E6147" t="s">
        <v>314</v>
      </c>
      <c r="F6147" t="s">
        <v>948</v>
      </c>
      <c r="G6147">
        <v>1877777</v>
      </c>
      <c r="H6147">
        <v>500461</v>
      </c>
      <c r="I6147" t="s">
        <v>949</v>
      </c>
    </row>
    <row r="6148" spans="1:9" x14ac:dyDescent="0.25">
      <c r="A6148">
        <v>4134</v>
      </c>
      <c r="B6148">
        <v>18</v>
      </c>
      <c r="C6148" t="s">
        <v>946</v>
      </c>
      <c r="D6148" t="s">
        <v>998</v>
      </c>
      <c r="E6148" t="s">
        <v>121</v>
      </c>
      <c r="F6148" t="s">
        <v>948</v>
      </c>
      <c r="G6148">
        <v>1877777</v>
      </c>
      <c r="H6148">
        <v>500220</v>
      </c>
      <c r="I6148" t="s">
        <v>949</v>
      </c>
    </row>
    <row r="6149" spans="1:9" x14ac:dyDescent="0.25">
      <c r="A6149">
        <v>4136</v>
      </c>
      <c r="B6149">
        <v>18</v>
      </c>
      <c r="C6149" t="s">
        <v>946</v>
      </c>
      <c r="D6149" t="s">
        <v>998</v>
      </c>
      <c r="E6149" t="s">
        <v>121</v>
      </c>
      <c r="F6149" t="s">
        <v>948</v>
      </c>
      <c r="G6149">
        <v>1877777</v>
      </c>
      <c r="H6149">
        <v>500221</v>
      </c>
      <c r="I6149" t="s">
        <v>949</v>
      </c>
    </row>
    <row r="6150" spans="1:9" x14ac:dyDescent="0.25">
      <c r="A6150">
        <v>4134</v>
      </c>
      <c r="B6150">
        <v>18</v>
      </c>
      <c r="C6150" t="s">
        <v>946</v>
      </c>
      <c r="D6150" t="s">
        <v>998</v>
      </c>
      <c r="E6150" t="s">
        <v>984</v>
      </c>
      <c r="F6150" t="s">
        <v>948</v>
      </c>
      <c r="G6150">
        <v>1800000</v>
      </c>
      <c r="H6150">
        <v>141000</v>
      </c>
      <c r="I6150" t="s">
        <v>985</v>
      </c>
    </row>
    <row r="6151" spans="1:9" x14ac:dyDescent="0.25">
      <c r="A6151">
        <v>4136</v>
      </c>
      <c r="B6151">
        <v>18</v>
      </c>
      <c r="C6151" t="s">
        <v>946</v>
      </c>
      <c r="D6151" t="s">
        <v>998</v>
      </c>
      <c r="E6151" t="s">
        <v>984</v>
      </c>
      <c r="F6151" t="s">
        <v>948</v>
      </c>
      <c r="G6151">
        <v>1877777</v>
      </c>
      <c r="H6151">
        <v>500461</v>
      </c>
      <c r="I6151" t="s">
        <v>949</v>
      </c>
    </row>
    <row r="6152" spans="1:9" x14ac:dyDescent="0.25">
      <c r="A6152">
        <v>3130</v>
      </c>
      <c r="B6152">
        <v>18</v>
      </c>
      <c r="C6152" t="s">
        <v>950</v>
      </c>
      <c r="D6152" t="s">
        <v>999</v>
      </c>
      <c r="E6152" t="s">
        <v>49</v>
      </c>
      <c r="F6152" t="s">
        <v>951</v>
      </c>
      <c r="G6152">
        <v>1800000</v>
      </c>
      <c r="H6152">
        <v>145000</v>
      </c>
      <c r="I6152" t="s">
        <v>949</v>
      </c>
    </row>
    <row r="6153" spans="1:9" x14ac:dyDescent="0.25">
      <c r="A6153">
        <v>3130</v>
      </c>
      <c r="B6153">
        <v>18</v>
      </c>
      <c r="C6153" t="s">
        <v>950</v>
      </c>
      <c r="D6153" t="s">
        <v>999</v>
      </c>
      <c r="E6153" t="s">
        <v>49</v>
      </c>
      <c r="F6153" t="s">
        <v>952</v>
      </c>
      <c r="G6153">
        <v>1800000</v>
      </c>
      <c r="H6153">
        <v>145000</v>
      </c>
      <c r="I6153" t="s">
        <v>949</v>
      </c>
    </row>
    <row r="6154" spans="1:9" x14ac:dyDescent="0.25">
      <c r="A6154">
        <v>3130</v>
      </c>
      <c r="B6154">
        <v>18</v>
      </c>
      <c r="C6154" t="s">
        <v>950</v>
      </c>
      <c r="D6154" t="s">
        <v>999</v>
      </c>
      <c r="E6154" t="s">
        <v>49</v>
      </c>
      <c r="F6154" t="s">
        <v>953</v>
      </c>
      <c r="G6154">
        <v>1800000</v>
      </c>
      <c r="H6154">
        <v>145000</v>
      </c>
      <c r="I6154" t="s">
        <v>949</v>
      </c>
    </row>
    <row r="6155" spans="1:9" x14ac:dyDescent="0.25">
      <c r="A6155">
        <v>3130</v>
      </c>
      <c r="B6155">
        <v>18</v>
      </c>
      <c r="C6155" t="s">
        <v>950</v>
      </c>
      <c r="D6155" t="s">
        <v>999</v>
      </c>
      <c r="E6155" t="s">
        <v>49</v>
      </c>
      <c r="F6155" t="s">
        <v>954</v>
      </c>
      <c r="G6155">
        <v>1800000</v>
      </c>
      <c r="H6155">
        <v>145000</v>
      </c>
      <c r="I6155" t="s">
        <v>949</v>
      </c>
    </row>
    <row r="6156" spans="1:9" x14ac:dyDescent="0.25">
      <c r="A6156">
        <v>3130</v>
      </c>
      <c r="B6156">
        <v>18</v>
      </c>
      <c r="C6156" t="s">
        <v>950</v>
      </c>
      <c r="D6156" t="s">
        <v>999</v>
      </c>
      <c r="E6156" t="s">
        <v>49</v>
      </c>
      <c r="F6156" t="s">
        <v>955</v>
      </c>
      <c r="G6156">
        <v>1800000</v>
      </c>
      <c r="H6156">
        <v>145000</v>
      </c>
      <c r="I6156" t="s">
        <v>949</v>
      </c>
    </row>
    <row r="6157" spans="1:9" x14ac:dyDescent="0.25">
      <c r="A6157">
        <v>3130</v>
      </c>
      <c r="B6157">
        <v>18</v>
      </c>
      <c r="C6157" t="s">
        <v>950</v>
      </c>
      <c r="D6157" t="s">
        <v>999</v>
      </c>
      <c r="E6157" t="s">
        <v>49</v>
      </c>
      <c r="F6157" t="s">
        <v>956</v>
      </c>
      <c r="G6157">
        <v>1800000</v>
      </c>
      <c r="H6157">
        <v>145000</v>
      </c>
      <c r="I6157" t="s">
        <v>949</v>
      </c>
    </row>
    <row r="6158" spans="1:9" x14ac:dyDescent="0.25">
      <c r="A6158">
        <v>3130</v>
      </c>
      <c r="B6158">
        <v>18</v>
      </c>
      <c r="C6158" t="s">
        <v>950</v>
      </c>
      <c r="D6158" t="s">
        <v>999</v>
      </c>
      <c r="E6158" t="s">
        <v>49</v>
      </c>
      <c r="F6158" t="s">
        <v>957</v>
      </c>
      <c r="G6158">
        <v>1800000</v>
      </c>
      <c r="H6158">
        <v>145000</v>
      </c>
      <c r="I6158" t="s">
        <v>949</v>
      </c>
    </row>
    <row r="6159" spans="1:9" x14ac:dyDescent="0.25">
      <c r="A6159">
        <v>3130</v>
      </c>
      <c r="B6159">
        <v>18</v>
      </c>
      <c r="C6159" t="s">
        <v>950</v>
      </c>
      <c r="D6159" t="s">
        <v>999</v>
      </c>
      <c r="E6159" t="s">
        <v>49</v>
      </c>
      <c r="F6159" t="s">
        <v>958</v>
      </c>
      <c r="G6159">
        <v>1800000</v>
      </c>
      <c r="H6159">
        <v>145000</v>
      </c>
      <c r="I6159" t="s">
        <v>949</v>
      </c>
    </row>
    <row r="6160" spans="1:9" x14ac:dyDescent="0.25">
      <c r="A6160">
        <v>3130</v>
      </c>
      <c r="B6160">
        <v>18</v>
      </c>
      <c r="C6160" t="s">
        <v>950</v>
      </c>
      <c r="D6160" t="s">
        <v>999</v>
      </c>
      <c r="E6160" t="s">
        <v>49</v>
      </c>
      <c r="F6160" t="s">
        <v>959</v>
      </c>
      <c r="G6160">
        <v>1800000</v>
      </c>
      <c r="H6160">
        <v>145000</v>
      </c>
      <c r="I6160" t="s">
        <v>949</v>
      </c>
    </row>
    <row r="6161" spans="1:9" x14ac:dyDescent="0.25">
      <c r="A6161">
        <v>3130</v>
      </c>
      <c r="B6161">
        <v>18</v>
      </c>
      <c r="C6161" t="s">
        <v>950</v>
      </c>
      <c r="D6161" t="s">
        <v>999</v>
      </c>
      <c r="E6161" t="s">
        <v>49</v>
      </c>
      <c r="F6161" t="s">
        <v>960</v>
      </c>
      <c r="G6161">
        <v>1800000</v>
      </c>
      <c r="H6161">
        <v>145000</v>
      </c>
      <c r="I6161" t="s">
        <v>949</v>
      </c>
    </row>
    <row r="6162" spans="1:9" x14ac:dyDescent="0.25">
      <c r="A6162">
        <v>3130</v>
      </c>
      <c r="B6162">
        <v>18</v>
      </c>
      <c r="C6162" t="s">
        <v>950</v>
      </c>
      <c r="D6162" t="s">
        <v>999</v>
      </c>
      <c r="E6162" t="s">
        <v>49</v>
      </c>
      <c r="F6162" t="s">
        <v>961</v>
      </c>
      <c r="G6162">
        <v>1800000</v>
      </c>
      <c r="H6162">
        <v>145000</v>
      </c>
      <c r="I6162" t="s">
        <v>949</v>
      </c>
    </row>
    <row r="6163" spans="1:9" x14ac:dyDescent="0.25">
      <c r="A6163">
        <v>3130</v>
      </c>
      <c r="B6163">
        <v>18</v>
      </c>
      <c r="C6163" t="s">
        <v>962</v>
      </c>
      <c r="D6163" t="s">
        <v>999</v>
      </c>
      <c r="E6163" t="s">
        <v>49</v>
      </c>
      <c r="F6163" t="s">
        <v>951</v>
      </c>
      <c r="G6163">
        <v>1800000</v>
      </c>
      <c r="H6163">
        <v>145000</v>
      </c>
      <c r="I6163" t="s">
        <v>949</v>
      </c>
    </row>
    <row r="6164" spans="1:9" x14ac:dyDescent="0.25">
      <c r="A6164">
        <v>3130</v>
      </c>
      <c r="B6164">
        <v>18</v>
      </c>
      <c r="C6164" t="s">
        <v>962</v>
      </c>
      <c r="D6164" t="s">
        <v>999</v>
      </c>
      <c r="E6164" t="s">
        <v>49</v>
      </c>
      <c r="F6164" t="s">
        <v>952</v>
      </c>
      <c r="G6164">
        <v>1800000</v>
      </c>
      <c r="H6164">
        <v>145000</v>
      </c>
      <c r="I6164" t="s">
        <v>949</v>
      </c>
    </row>
    <row r="6165" spans="1:9" x14ac:dyDescent="0.25">
      <c r="A6165">
        <v>3130</v>
      </c>
      <c r="B6165">
        <v>18</v>
      </c>
      <c r="C6165" t="s">
        <v>962</v>
      </c>
      <c r="D6165" t="s">
        <v>999</v>
      </c>
      <c r="E6165" t="s">
        <v>49</v>
      </c>
      <c r="F6165" t="s">
        <v>953</v>
      </c>
      <c r="G6165">
        <v>1800000</v>
      </c>
      <c r="H6165">
        <v>145000</v>
      </c>
      <c r="I6165" t="s">
        <v>949</v>
      </c>
    </row>
    <row r="6166" spans="1:9" x14ac:dyDescent="0.25">
      <c r="A6166">
        <v>3130</v>
      </c>
      <c r="B6166">
        <v>18</v>
      </c>
      <c r="C6166" t="s">
        <v>962</v>
      </c>
      <c r="D6166" t="s">
        <v>999</v>
      </c>
      <c r="E6166" t="s">
        <v>49</v>
      </c>
      <c r="F6166" t="s">
        <v>954</v>
      </c>
      <c r="G6166">
        <v>1800000</v>
      </c>
      <c r="H6166">
        <v>145000</v>
      </c>
      <c r="I6166" t="s">
        <v>949</v>
      </c>
    </row>
    <row r="6167" spans="1:9" x14ac:dyDescent="0.25">
      <c r="A6167">
        <v>3130</v>
      </c>
      <c r="B6167">
        <v>18</v>
      </c>
      <c r="C6167" t="s">
        <v>962</v>
      </c>
      <c r="D6167" t="s">
        <v>999</v>
      </c>
      <c r="E6167" t="s">
        <v>49</v>
      </c>
      <c r="F6167" t="s">
        <v>955</v>
      </c>
      <c r="G6167">
        <v>1800000</v>
      </c>
      <c r="H6167">
        <v>145000</v>
      </c>
      <c r="I6167" t="s">
        <v>949</v>
      </c>
    </row>
    <row r="6168" spans="1:9" x14ac:dyDescent="0.25">
      <c r="A6168">
        <v>3130</v>
      </c>
      <c r="B6168">
        <v>18</v>
      </c>
      <c r="C6168" t="s">
        <v>962</v>
      </c>
      <c r="D6168" t="s">
        <v>999</v>
      </c>
      <c r="E6168" t="s">
        <v>49</v>
      </c>
      <c r="F6168" t="s">
        <v>956</v>
      </c>
      <c r="G6168">
        <v>1800000</v>
      </c>
      <c r="H6168">
        <v>145000</v>
      </c>
      <c r="I6168" t="s">
        <v>949</v>
      </c>
    </row>
    <row r="6169" spans="1:9" x14ac:dyDescent="0.25">
      <c r="A6169">
        <v>3130</v>
      </c>
      <c r="B6169">
        <v>18</v>
      </c>
      <c r="C6169" t="s">
        <v>962</v>
      </c>
      <c r="D6169" t="s">
        <v>999</v>
      </c>
      <c r="E6169" t="s">
        <v>49</v>
      </c>
      <c r="F6169" t="s">
        <v>957</v>
      </c>
      <c r="G6169">
        <v>1800000</v>
      </c>
      <c r="H6169">
        <v>145000</v>
      </c>
      <c r="I6169" t="s">
        <v>949</v>
      </c>
    </row>
    <row r="6170" spans="1:9" x14ac:dyDescent="0.25">
      <c r="A6170">
        <v>3130</v>
      </c>
      <c r="B6170">
        <v>18</v>
      </c>
      <c r="C6170" t="s">
        <v>962</v>
      </c>
      <c r="D6170" t="s">
        <v>999</v>
      </c>
      <c r="E6170" t="s">
        <v>49</v>
      </c>
      <c r="F6170" t="s">
        <v>958</v>
      </c>
      <c r="G6170">
        <v>1800000</v>
      </c>
      <c r="H6170">
        <v>145000</v>
      </c>
      <c r="I6170" t="s">
        <v>949</v>
      </c>
    </row>
    <row r="6171" spans="1:9" x14ac:dyDescent="0.25">
      <c r="A6171">
        <v>3130</v>
      </c>
      <c r="B6171">
        <v>18</v>
      </c>
      <c r="C6171" t="s">
        <v>962</v>
      </c>
      <c r="D6171" t="s">
        <v>999</v>
      </c>
      <c r="E6171" t="s">
        <v>49</v>
      </c>
      <c r="F6171" t="s">
        <v>959</v>
      </c>
      <c r="G6171">
        <v>1800000</v>
      </c>
      <c r="H6171">
        <v>145000</v>
      </c>
      <c r="I6171" t="s">
        <v>949</v>
      </c>
    </row>
    <row r="6172" spans="1:9" x14ac:dyDescent="0.25">
      <c r="A6172">
        <v>3130</v>
      </c>
      <c r="B6172">
        <v>18</v>
      </c>
      <c r="C6172" t="s">
        <v>962</v>
      </c>
      <c r="D6172" t="s">
        <v>999</v>
      </c>
      <c r="E6172" t="s">
        <v>49</v>
      </c>
      <c r="F6172" t="s">
        <v>960</v>
      </c>
      <c r="G6172">
        <v>1800000</v>
      </c>
      <c r="H6172">
        <v>145000</v>
      </c>
      <c r="I6172" t="s">
        <v>949</v>
      </c>
    </row>
    <row r="6173" spans="1:9" x14ac:dyDescent="0.25">
      <c r="A6173">
        <v>3130</v>
      </c>
      <c r="B6173">
        <v>18</v>
      </c>
      <c r="C6173" t="s">
        <v>962</v>
      </c>
      <c r="D6173" t="s">
        <v>999</v>
      </c>
      <c r="E6173" t="s">
        <v>49</v>
      </c>
      <c r="F6173" t="s">
        <v>961</v>
      </c>
      <c r="G6173">
        <v>1800000</v>
      </c>
      <c r="H6173">
        <v>145000</v>
      </c>
      <c r="I6173" t="s">
        <v>949</v>
      </c>
    </row>
    <row r="6174" spans="1:9" x14ac:dyDescent="0.25">
      <c r="A6174">
        <v>3130</v>
      </c>
      <c r="B6174">
        <v>18</v>
      </c>
      <c r="C6174" t="s">
        <v>963</v>
      </c>
      <c r="D6174" t="s">
        <v>999</v>
      </c>
      <c r="E6174" t="s">
        <v>49</v>
      </c>
      <c r="F6174" t="s">
        <v>951</v>
      </c>
      <c r="G6174">
        <v>1800000</v>
      </c>
      <c r="H6174">
        <v>145000</v>
      </c>
      <c r="I6174" t="s">
        <v>949</v>
      </c>
    </row>
    <row r="6175" spans="1:9" x14ac:dyDescent="0.25">
      <c r="A6175">
        <v>3130</v>
      </c>
      <c r="B6175">
        <v>18</v>
      </c>
      <c r="C6175" t="s">
        <v>963</v>
      </c>
      <c r="D6175" t="s">
        <v>999</v>
      </c>
      <c r="E6175" t="s">
        <v>49</v>
      </c>
      <c r="F6175" t="s">
        <v>952</v>
      </c>
      <c r="G6175">
        <v>1800000</v>
      </c>
      <c r="H6175">
        <v>145000</v>
      </c>
      <c r="I6175" t="s">
        <v>949</v>
      </c>
    </row>
    <row r="6176" spans="1:9" x14ac:dyDescent="0.25">
      <c r="A6176">
        <v>3130</v>
      </c>
      <c r="B6176">
        <v>18</v>
      </c>
      <c r="C6176" t="s">
        <v>963</v>
      </c>
      <c r="D6176" t="s">
        <v>999</v>
      </c>
      <c r="E6176" t="s">
        <v>49</v>
      </c>
      <c r="F6176" t="s">
        <v>953</v>
      </c>
      <c r="G6176">
        <v>1800000</v>
      </c>
      <c r="H6176">
        <v>145000</v>
      </c>
      <c r="I6176" t="s">
        <v>949</v>
      </c>
    </row>
    <row r="6177" spans="1:9" x14ac:dyDescent="0.25">
      <c r="A6177">
        <v>3130</v>
      </c>
      <c r="B6177">
        <v>18</v>
      </c>
      <c r="C6177" t="s">
        <v>963</v>
      </c>
      <c r="D6177" t="s">
        <v>999</v>
      </c>
      <c r="E6177" t="s">
        <v>49</v>
      </c>
      <c r="F6177" t="s">
        <v>954</v>
      </c>
      <c r="G6177">
        <v>1800000</v>
      </c>
      <c r="H6177">
        <v>145000</v>
      </c>
      <c r="I6177" t="s">
        <v>949</v>
      </c>
    </row>
    <row r="6178" spans="1:9" x14ac:dyDescent="0.25">
      <c r="A6178">
        <v>3130</v>
      </c>
      <c r="B6178">
        <v>18</v>
      </c>
      <c r="C6178" t="s">
        <v>963</v>
      </c>
      <c r="D6178" t="s">
        <v>999</v>
      </c>
      <c r="E6178" t="s">
        <v>49</v>
      </c>
      <c r="F6178" t="s">
        <v>955</v>
      </c>
      <c r="G6178">
        <v>1800000</v>
      </c>
      <c r="H6178">
        <v>145000</v>
      </c>
      <c r="I6178" t="s">
        <v>949</v>
      </c>
    </row>
    <row r="6179" spans="1:9" x14ac:dyDescent="0.25">
      <c r="A6179">
        <v>3130</v>
      </c>
      <c r="B6179">
        <v>18</v>
      </c>
      <c r="C6179" t="s">
        <v>963</v>
      </c>
      <c r="D6179" t="s">
        <v>999</v>
      </c>
      <c r="E6179" t="s">
        <v>49</v>
      </c>
      <c r="F6179" t="s">
        <v>956</v>
      </c>
      <c r="G6179">
        <v>1800000</v>
      </c>
      <c r="H6179">
        <v>145000</v>
      </c>
      <c r="I6179" t="s">
        <v>949</v>
      </c>
    </row>
    <row r="6180" spans="1:9" x14ac:dyDescent="0.25">
      <c r="A6180">
        <v>3130</v>
      </c>
      <c r="B6180">
        <v>18</v>
      </c>
      <c r="C6180" t="s">
        <v>963</v>
      </c>
      <c r="D6180" t="s">
        <v>999</v>
      </c>
      <c r="E6180" t="s">
        <v>49</v>
      </c>
      <c r="F6180" t="s">
        <v>957</v>
      </c>
      <c r="G6180">
        <v>1800000</v>
      </c>
      <c r="H6180">
        <v>145000</v>
      </c>
      <c r="I6180" t="s">
        <v>949</v>
      </c>
    </row>
    <row r="6181" spans="1:9" x14ac:dyDescent="0.25">
      <c r="A6181">
        <v>3130</v>
      </c>
      <c r="B6181">
        <v>18</v>
      </c>
      <c r="C6181" t="s">
        <v>963</v>
      </c>
      <c r="D6181" t="s">
        <v>999</v>
      </c>
      <c r="E6181" t="s">
        <v>49</v>
      </c>
      <c r="F6181" t="s">
        <v>958</v>
      </c>
      <c r="G6181">
        <v>1800000</v>
      </c>
      <c r="H6181">
        <v>145000</v>
      </c>
      <c r="I6181" t="s">
        <v>949</v>
      </c>
    </row>
    <row r="6182" spans="1:9" x14ac:dyDescent="0.25">
      <c r="A6182">
        <v>3130</v>
      </c>
      <c r="B6182">
        <v>18</v>
      </c>
      <c r="C6182" t="s">
        <v>963</v>
      </c>
      <c r="D6182" t="s">
        <v>999</v>
      </c>
      <c r="E6182" t="s">
        <v>49</v>
      </c>
      <c r="F6182" t="s">
        <v>959</v>
      </c>
      <c r="G6182">
        <v>1800000</v>
      </c>
      <c r="H6182">
        <v>145000</v>
      </c>
      <c r="I6182" t="s">
        <v>949</v>
      </c>
    </row>
    <row r="6183" spans="1:9" x14ac:dyDescent="0.25">
      <c r="A6183">
        <v>3130</v>
      </c>
      <c r="B6183">
        <v>18</v>
      </c>
      <c r="C6183" t="s">
        <v>963</v>
      </c>
      <c r="D6183" t="s">
        <v>999</v>
      </c>
      <c r="E6183" t="s">
        <v>49</v>
      </c>
      <c r="F6183" t="s">
        <v>960</v>
      </c>
      <c r="G6183">
        <v>1800000</v>
      </c>
      <c r="H6183">
        <v>145000</v>
      </c>
      <c r="I6183" t="s">
        <v>949</v>
      </c>
    </row>
    <row r="6184" spans="1:9" x14ac:dyDescent="0.25">
      <c r="A6184">
        <v>3130</v>
      </c>
      <c r="B6184">
        <v>18</v>
      </c>
      <c r="C6184" t="s">
        <v>963</v>
      </c>
      <c r="D6184" t="s">
        <v>999</v>
      </c>
      <c r="E6184" t="s">
        <v>49</v>
      </c>
      <c r="F6184" t="s">
        <v>961</v>
      </c>
      <c r="G6184">
        <v>1800000</v>
      </c>
      <c r="H6184">
        <v>145000</v>
      </c>
      <c r="I6184" t="s">
        <v>949</v>
      </c>
    </row>
    <row r="6185" spans="1:9" x14ac:dyDescent="0.25">
      <c r="A6185">
        <v>3400</v>
      </c>
      <c r="B6185">
        <v>18</v>
      </c>
      <c r="C6185" t="s">
        <v>962</v>
      </c>
      <c r="D6185" t="s">
        <v>999</v>
      </c>
      <c r="E6185" t="s">
        <v>49</v>
      </c>
      <c r="F6185" t="s">
        <v>959</v>
      </c>
      <c r="G6185">
        <v>1801355</v>
      </c>
      <c r="H6185">
        <v>500400</v>
      </c>
      <c r="I6185" t="s">
        <v>983</v>
      </c>
    </row>
    <row r="6186" spans="1:9" x14ac:dyDescent="0.25">
      <c r="A6186">
        <v>3400</v>
      </c>
      <c r="B6186">
        <v>18</v>
      </c>
      <c r="C6186" t="s">
        <v>962</v>
      </c>
      <c r="D6186" t="s">
        <v>999</v>
      </c>
      <c r="E6186" t="s">
        <v>49</v>
      </c>
      <c r="F6186" t="s">
        <v>960</v>
      </c>
      <c r="G6186">
        <v>1801355</v>
      </c>
      <c r="H6186">
        <v>500400</v>
      </c>
      <c r="I6186" t="s">
        <v>949</v>
      </c>
    </row>
    <row r="6187" spans="1:9" x14ac:dyDescent="0.25">
      <c r="A6187">
        <v>3400</v>
      </c>
      <c r="B6187">
        <v>18</v>
      </c>
      <c r="C6187" t="s">
        <v>962</v>
      </c>
      <c r="D6187" t="s">
        <v>999</v>
      </c>
      <c r="E6187" t="s">
        <v>49</v>
      </c>
      <c r="F6187" t="s">
        <v>961</v>
      </c>
      <c r="G6187">
        <v>1801355</v>
      </c>
      <c r="H6187">
        <v>500400</v>
      </c>
      <c r="I6187" t="s">
        <v>949</v>
      </c>
    </row>
    <row r="6188" ht="22" customHeight="1" spans="1:10" x14ac:dyDescent="0.25">
      <c r="A6188" s="43">
        <v>3130</v>
      </c>
      <c r="B6188" s="43">
        <v>18</v>
      </c>
      <c r="C6188" s="43" t="s">
        <v>950</v>
      </c>
      <c r="D6188" s="43" t="s">
        <v>999</v>
      </c>
      <c r="E6188" s="43" t="s">
        <v>243</v>
      </c>
      <c r="F6188" s="43" t="s">
        <v>951</v>
      </c>
      <c r="G6188" s="43">
        <v>1800000</v>
      </c>
      <c r="H6188" s="43">
        <v>145000</v>
      </c>
      <c r="I6188" s="43" t="s">
        <v>949</v>
      </c>
      <c r="J6188" s="44" t="s">
        <v>1000</v>
      </c>
    </row>
    <row r="6189" ht="22" customHeight="1" spans="1:10" x14ac:dyDescent="0.25">
      <c r="A6189" s="43">
        <v>3130</v>
      </c>
      <c r="B6189" s="43">
        <v>18</v>
      </c>
      <c r="C6189" s="43" t="s">
        <v>950</v>
      </c>
      <c r="D6189" s="43" t="s">
        <v>999</v>
      </c>
      <c r="E6189" s="43" t="s">
        <v>243</v>
      </c>
      <c r="F6189" s="43" t="s">
        <v>952</v>
      </c>
      <c r="G6189" s="43">
        <v>1800000</v>
      </c>
      <c r="H6189" s="43">
        <v>145000</v>
      </c>
      <c r="I6189" s="43" t="s">
        <v>949</v>
      </c>
      <c r="J6189" s="44" t="s">
        <v>1000</v>
      </c>
    </row>
    <row r="6190" ht="22" customHeight="1" spans="1:10" x14ac:dyDescent="0.25">
      <c r="A6190" s="43">
        <v>3130</v>
      </c>
      <c r="B6190" s="43">
        <v>18</v>
      </c>
      <c r="C6190" s="43" t="s">
        <v>950</v>
      </c>
      <c r="D6190" s="43" t="s">
        <v>999</v>
      </c>
      <c r="E6190" s="43" t="s">
        <v>243</v>
      </c>
      <c r="F6190" s="43" t="s">
        <v>953</v>
      </c>
      <c r="G6190" s="43">
        <v>1800000</v>
      </c>
      <c r="H6190" s="43">
        <v>145000</v>
      </c>
      <c r="I6190" s="43" t="s">
        <v>949</v>
      </c>
      <c r="J6190" s="44" t="s">
        <v>1000</v>
      </c>
    </row>
    <row r="6191" ht="22" customHeight="1" spans="1:10" x14ac:dyDescent="0.25">
      <c r="A6191" s="43">
        <v>3130</v>
      </c>
      <c r="B6191" s="43">
        <v>18</v>
      </c>
      <c r="C6191" s="43" t="s">
        <v>950</v>
      </c>
      <c r="D6191" s="43" t="s">
        <v>999</v>
      </c>
      <c r="E6191" s="43" t="s">
        <v>243</v>
      </c>
      <c r="F6191" s="43" t="s">
        <v>954</v>
      </c>
      <c r="G6191" s="43">
        <v>1800000</v>
      </c>
      <c r="H6191" s="43">
        <v>145000</v>
      </c>
      <c r="I6191" s="43" t="s">
        <v>949</v>
      </c>
      <c r="J6191" s="44" t="s">
        <v>1000</v>
      </c>
    </row>
    <row r="6192" ht="22" customHeight="1" spans="1:10" x14ac:dyDescent="0.25">
      <c r="A6192" s="43">
        <v>3130</v>
      </c>
      <c r="B6192" s="43">
        <v>18</v>
      </c>
      <c r="C6192" s="43" t="s">
        <v>950</v>
      </c>
      <c r="D6192" s="43" t="s">
        <v>999</v>
      </c>
      <c r="E6192" s="43" t="s">
        <v>243</v>
      </c>
      <c r="F6192" s="43" t="s">
        <v>955</v>
      </c>
      <c r="G6192" s="43">
        <v>1800000</v>
      </c>
      <c r="H6192" s="43">
        <v>145000</v>
      </c>
      <c r="I6192" s="43" t="s">
        <v>949</v>
      </c>
      <c r="J6192" s="44" t="s">
        <v>1000</v>
      </c>
    </row>
    <row r="6193" ht="22" customHeight="1" spans="1:10" x14ac:dyDescent="0.25">
      <c r="A6193" s="43">
        <v>3130</v>
      </c>
      <c r="B6193" s="43">
        <v>18</v>
      </c>
      <c r="C6193" s="43" t="s">
        <v>950</v>
      </c>
      <c r="D6193" s="43" t="s">
        <v>999</v>
      </c>
      <c r="E6193" s="43" t="s">
        <v>243</v>
      </c>
      <c r="F6193" s="43" t="s">
        <v>956</v>
      </c>
      <c r="G6193" s="43">
        <v>1800000</v>
      </c>
      <c r="H6193" s="43">
        <v>145000</v>
      </c>
      <c r="I6193" s="43" t="s">
        <v>949</v>
      </c>
      <c r="J6193" s="44" t="s">
        <v>1000</v>
      </c>
    </row>
    <row r="6194" ht="22" customHeight="1" spans="1:10" x14ac:dyDescent="0.25">
      <c r="A6194" s="43">
        <v>3130</v>
      </c>
      <c r="B6194" s="43">
        <v>18</v>
      </c>
      <c r="C6194" s="43" t="s">
        <v>950</v>
      </c>
      <c r="D6194" s="43" t="s">
        <v>999</v>
      </c>
      <c r="E6194" s="43" t="s">
        <v>243</v>
      </c>
      <c r="F6194" s="43" t="s">
        <v>957</v>
      </c>
      <c r="G6194" s="43">
        <v>1800000</v>
      </c>
      <c r="H6194" s="43">
        <v>145000</v>
      </c>
      <c r="I6194" s="43" t="s">
        <v>949</v>
      </c>
      <c r="J6194" s="44" t="s">
        <v>1000</v>
      </c>
    </row>
    <row r="6195" ht="22" customHeight="1" spans="1:10" x14ac:dyDescent="0.25">
      <c r="A6195" s="43">
        <v>3130</v>
      </c>
      <c r="B6195" s="43">
        <v>18</v>
      </c>
      <c r="C6195" s="43" t="s">
        <v>950</v>
      </c>
      <c r="D6195" s="43" t="s">
        <v>999</v>
      </c>
      <c r="E6195" s="43" t="s">
        <v>243</v>
      </c>
      <c r="F6195" s="43" t="s">
        <v>958</v>
      </c>
      <c r="G6195" s="43">
        <v>1800000</v>
      </c>
      <c r="H6195" s="43">
        <v>145000</v>
      </c>
      <c r="I6195" s="43" t="s">
        <v>949</v>
      </c>
      <c r="J6195" s="44" t="s">
        <v>1000</v>
      </c>
    </row>
    <row r="6196" ht="22" customHeight="1" spans="1:10" x14ac:dyDescent="0.25">
      <c r="A6196" s="43">
        <v>3130</v>
      </c>
      <c r="B6196" s="43">
        <v>18</v>
      </c>
      <c r="C6196" s="43" t="s">
        <v>950</v>
      </c>
      <c r="D6196" s="43" t="s">
        <v>999</v>
      </c>
      <c r="E6196" s="43" t="s">
        <v>243</v>
      </c>
      <c r="F6196" s="43" t="s">
        <v>959</v>
      </c>
      <c r="G6196" s="43">
        <v>1800000</v>
      </c>
      <c r="H6196" s="43">
        <v>145000</v>
      </c>
      <c r="I6196" s="43" t="s">
        <v>949</v>
      </c>
      <c r="J6196" s="44" t="s">
        <v>1000</v>
      </c>
    </row>
    <row r="6197" ht="22" customHeight="1" spans="1:10" x14ac:dyDescent="0.25">
      <c r="A6197" s="43">
        <v>3130</v>
      </c>
      <c r="B6197" s="43">
        <v>18</v>
      </c>
      <c r="C6197" s="43" t="s">
        <v>950</v>
      </c>
      <c r="D6197" s="43" t="s">
        <v>999</v>
      </c>
      <c r="E6197" s="43" t="s">
        <v>243</v>
      </c>
      <c r="F6197" s="43" t="s">
        <v>960</v>
      </c>
      <c r="G6197" s="43">
        <v>1800000</v>
      </c>
      <c r="H6197" s="43">
        <v>145000</v>
      </c>
      <c r="I6197" s="43" t="s">
        <v>949</v>
      </c>
      <c r="J6197" s="44" t="s">
        <v>1000</v>
      </c>
    </row>
    <row r="6198" ht="22" customHeight="1" spans="1:10" x14ac:dyDescent="0.25">
      <c r="A6198" s="43">
        <v>3130</v>
      </c>
      <c r="B6198" s="43">
        <v>18</v>
      </c>
      <c r="C6198" s="43" t="s">
        <v>950</v>
      </c>
      <c r="D6198" s="43" t="s">
        <v>999</v>
      </c>
      <c r="E6198" s="43" t="s">
        <v>243</v>
      </c>
      <c r="F6198" s="43" t="s">
        <v>961</v>
      </c>
      <c r="G6198" s="43">
        <v>1800000</v>
      </c>
      <c r="H6198" s="43">
        <v>145000</v>
      </c>
      <c r="I6198" s="43" t="s">
        <v>949</v>
      </c>
      <c r="J6198" s="44" t="s">
        <v>1000</v>
      </c>
    </row>
    <row r="6199" ht="22" customHeight="1" spans="1:10" x14ac:dyDescent="0.25">
      <c r="A6199" s="43">
        <v>3130</v>
      </c>
      <c r="B6199" s="43">
        <v>18</v>
      </c>
      <c r="C6199" s="43" t="s">
        <v>962</v>
      </c>
      <c r="D6199" s="43" t="s">
        <v>999</v>
      </c>
      <c r="E6199" s="43" t="s">
        <v>243</v>
      </c>
      <c r="F6199" s="43" t="s">
        <v>951</v>
      </c>
      <c r="G6199" s="43">
        <v>1800000</v>
      </c>
      <c r="H6199" s="43">
        <v>145000</v>
      </c>
      <c r="I6199" s="43" t="s">
        <v>949</v>
      </c>
      <c r="J6199" s="44" t="s">
        <v>1000</v>
      </c>
    </row>
    <row r="6200" ht="22" customHeight="1" spans="1:10" x14ac:dyDescent="0.25">
      <c r="A6200" s="43">
        <v>3130</v>
      </c>
      <c r="B6200" s="43">
        <v>18</v>
      </c>
      <c r="C6200" s="43" t="s">
        <v>962</v>
      </c>
      <c r="D6200" s="43" t="s">
        <v>999</v>
      </c>
      <c r="E6200" s="43" t="s">
        <v>243</v>
      </c>
      <c r="F6200" s="43" t="s">
        <v>952</v>
      </c>
      <c r="G6200" s="43">
        <v>1800000</v>
      </c>
      <c r="H6200" s="43">
        <v>145000</v>
      </c>
      <c r="I6200" s="43" t="s">
        <v>949</v>
      </c>
      <c r="J6200" s="44" t="s">
        <v>1000</v>
      </c>
    </row>
    <row r="6201" ht="22" customHeight="1" spans="1:10" x14ac:dyDescent="0.25">
      <c r="A6201" s="43">
        <v>3130</v>
      </c>
      <c r="B6201" s="43">
        <v>18</v>
      </c>
      <c r="C6201" s="43" t="s">
        <v>962</v>
      </c>
      <c r="D6201" s="43" t="s">
        <v>999</v>
      </c>
      <c r="E6201" s="43" t="s">
        <v>243</v>
      </c>
      <c r="F6201" s="43" t="s">
        <v>953</v>
      </c>
      <c r="G6201" s="43">
        <v>1800000</v>
      </c>
      <c r="H6201" s="43">
        <v>145000</v>
      </c>
      <c r="I6201" s="43" t="s">
        <v>949</v>
      </c>
      <c r="J6201" s="44" t="s">
        <v>1000</v>
      </c>
    </row>
    <row r="6202" ht="22" customHeight="1" spans="1:10" x14ac:dyDescent="0.25">
      <c r="A6202" s="43">
        <v>3130</v>
      </c>
      <c r="B6202" s="43">
        <v>18</v>
      </c>
      <c r="C6202" s="43" t="s">
        <v>962</v>
      </c>
      <c r="D6202" s="43" t="s">
        <v>999</v>
      </c>
      <c r="E6202" s="43" t="s">
        <v>243</v>
      </c>
      <c r="F6202" s="43" t="s">
        <v>954</v>
      </c>
      <c r="G6202" s="43">
        <v>1800000</v>
      </c>
      <c r="H6202" s="43">
        <v>145000</v>
      </c>
      <c r="I6202" s="43" t="s">
        <v>949</v>
      </c>
      <c r="J6202" s="44" t="s">
        <v>1000</v>
      </c>
    </row>
    <row r="6203" ht="22" customHeight="1" spans="1:10" x14ac:dyDescent="0.25">
      <c r="A6203" s="43">
        <v>3130</v>
      </c>
      <c r="B6203" s="43">
        <v>18</v>
      </c>
      <c r="C6203" s="43" t="s">
        <v>962</v>
      </c>
      <c r="D6203" s="43" t="s">
        <v>999</v>
      </c>
      <c r="E6203" s="43" t="s">
        <v>243</v>
      </c>
      <c r="F6203" s="43" t="s">
        <v>955</v>
      </c>
      <c r="G6203" s="43">
        <v>1800000</v>
      </c>
      <c r="H6203" s="43">
        <v>145000</v>
      </c>
      <c r="I6203" s="43" t="s">
        <v>949</v>
      </c>
      <c r="J6203" s="44" t="s">
        <v>1000</v>
      </c>
    </row>
    <row r="6204" ht="22" customHeight="1" spans="1:10" x14ac:dyDescent="0.25">
      <c r="A6204" s="43">
        <v>3130</v>
      </c>
      <c r="B6204" s="43">
        <v>18</v>
      </c>
      <c r="C6204" s="43" t="s">
        <v>962</v>
      </c>
      <c r="D6204" s="43" t="s">
        <v>999</v>
      </c>
      <c r="E6204" s="43" t="s">
        <v>243</v>
      </c>
      <c r="F6204" s="43" t="s">
        <v>956</v>
      </c>
      <c r="G6204" s="43">
        <v>1800000</v>
      </c>
      <c r="H6204" s="43">
        <v>145000</v>
      </c>
      <c r="I6204" s="43" t="s">
        <v>949</v>
      </c>
      <c r="J6204" s="44" t="s">
        <v>1000</v>
      </c>
    </row>
    <row r="6205" ht="22" customHeight="1" spans="1:10" x14ac:dyDescent="0.25">
      <c r="A6205" s="43">
        <v>3130</v>
      </c>
      <c r="B6205" s="43">
        <v>18</v>
      </c>
      <c r="C6205" s="43" t="s">
        <v>962</v>
      </c>
      <c r="D6205" s="43" t="s">
        <v>999</v>
      </c>
      <c r="E6205" s="43" t="s">
        <v>243</v>
      </c>
      <c r="F6205" s="43" t="s">
        <v>957</v>
      </c>
      <c r="G6205" s="43">
        <v>1800000</v>
      </c>
      <c r="H6205" s="43">
        <v>145000</v>
      </c>
      <c r="I6205" s="43" t="s">
        <v>949</v>
      </c>
      <c r="J6205" s="44" t="s">
        <v>1000</v>
      </c>
    </row>
    <row r="6206" ht="22" customHeight="1" spans="1:10" x14ac:dyDescent="0.25">
      <c r="A6206" s="43">
        <v>3130</v>
      </c>
      <c r="B6206" s="43">
        <v>18</v>
      </c>
      <c r="C6206" s="43" t="s">
        <v>962</v>
      </c>
      <c r="D6206" s="43" t="s">
        <v>999</v>
      </c>
      <c r="E6206" s="43" t="s">
        <v>243</v>
      </c>
      <c r="F6206" s="43" t="s">
        <v>958</v>
      </c>
      <c r="G6206" s="43">
        <v>1800000</v>
      </c>
      <c r="H6206" s="43">
        <v>145000</v>
      </c>
      <c r="I6206" s="43" t="s">
        <v>949</v>
      </c>
      <c r="J6206" s="44" t="s">
        <v>1000</v>
      </c>
    </row>
    <row r="6207" ht="22" customHeight="1" spans="1:10" x14ac:dyDescent="0.25">
      <c r="A6207" s="43">
        <v>3130</v>
      </c>
      <c r="B6207" s="43">
        <v>18</v>
      </c>
      <c r="C6207" s="43" t="s">
        <v>962</v>
      </c>
      <c r="D6207" s="43" t="s">
        <v>999</v>
      </c>
      <c r="E6207" s="43" t="s">
        <v>243</v>
      </c>
      <c r="F6207" s="43" t="s">
        <v>959</v>
      </c>
      <c r="G6207" s="43">
        <v>1800000</v>
      </c>
      <c r="H6207" s="43">
        <v>145000</v>
      </c>
      <c r="I6207" s="43" t="s">
        <v>949</v>
      </c>
      <c r="J6207" s="44" t="s">
        <v>1000</v>
      </c>
    </row>
    <row r="6208" ht="22" customHeight="1" spans="1:10" x14ac:dyDescent="0.25">
      <c r="A6208" s="43">
        <v>3130</v>
      </c>
      <c r="B6208" s="43">
        <v>18</v>
      </c>
      <c r="C6208" s="43" t="s">
        <v>962</v>
      </c>
      <c r="D6208" s="43" t="s">
        <v>999</v>
      </c>
      <c r="E6208" s="43" t="s">
        <v>243</v>
      </c>
      <c r="F6208" s="43" t="s">
        <v>960</v>
      </c>
      <c r="G6208" s="43">
        <v>1800000</v>
      </c>
      <c r="H6208" s="43">
        <v>145000</v>
      </c>
      <c r="I6208" s="43" t="s">
        <v>949</v>
      </c>
      <c r="J6208" s="44" t="s">
        <v>1000</v>
      </c>
    </row>
    <row r="6209" ht="22" customHeight="1" spans="1:10" x14ac:dyDescent="0.25">
      <c r="A6209" s="43">
        <v>3130</v>
      </c>
      <c r="B6209" s="43">
        <v>18</v>
      </c>
      <c r="C6209" s="43" t="s">
        <v>962</v>
      </c>
      <c r="D6209" s="43" t="s">
        <v>999</v>
      </c>
      <c r="E6209" s="43" t="s">
        <v>243</v>
      </c>
      <c r="F6209" s="43" t="s">
        <v>961</v>
      </c>
      <c r="G6209" s="43">
        <v>1800000</v>
      </c>
      <c r="H6209" s="43">
        <v>145000</v>
      </c>
      <c r="I6209" s="43" t="s">
        <v>949</v>
      </c>
      <c r="J6209" s="44" t="s">
        <v>1000</v>
      </c>
    </row>
    <row r="6210" ht="22" customHeight="1" spans="1:10" x14ac:dyDescent="0.25">
      <c r="A6210" s="43">
        <v>3130</v>
      </c>
      <c r="B6210" s="43">
        <v>18</v>
      </c>
      <c r="C6210" s="43" t="s">
        <v>963</v>
      </c>
      <c r="D6210" s="43" t="s">
        <v>999</v>
      </c>
      <c r="E6210" s="43" t="s">
        <v>243</v>
      </c>
      <c r="F6210" s="43" t="s">
        <v>951</v>
      </c>
      <c r="G6210" s="43">
        <v>1800000</v>
      </c>
      <c r="H6210" s="43">
        <v>145000</v>
      </c>
      <c r="I6210" s="43" t="s">
        <v>949</v>
      </c>
      <c r="J6210" s="44" t="s">
        <v>1000</v>
      </c>
    </row>
    <row r="6211" ht="22" customHeight="1" spans="1:10" x14ac:dyDescent="0.25">
      <c r="A6211" s="43">
        <v>3130</v>
      </c>
      <c r="B6211" s="43">
        <v>18</v>
      </c>
      <c r="C6211" s="43" t="s">
        <v>963</v>
      </c>
      <c r="D6211" s="43" t="s">
        <v>999</v>
      </c>
      <c r="E6211" s="43" t="s">
        <v>243</v>
      </c>
      <c r="F6211" s="43" t="s">
        <v>952</v>
      </c>
      <c r="G6211" s="43">
        <v>1800000</v>
      </c>
      <c r="H6211" s="43">
        <v>145000</v>
      </c>
      <c r="I6211" s="43" t="s">
        <v>949</v>
      </c>
      <c r="J6211" s="44" t="s">
        <v>1000</v>
      </c>
    </row>
    <row r="6212" ht="22" customHeight="1" spans="1:10" x14ac:dyDescent="0.25">
      <c r="A6212" s="43">
        <v>3130</v>
      </c>
      <c r="B6212" s="43">
        <v>18</v>
      </c>
      <c r="C6212" s="43" t="s">
        <v>963</v>
      </c>
      <c r="D6212" s="43" t="s">
        <v>999</v>
      </c>
      <c r="E6212" s="43" t="s">
        <v>243</v>
      </c>
      <c r="F6212" s="43" t="s">
        <v>953</v>
      </c>
      <c r="G6212" s="43">
        <v>1800000</v>
      </c>
      <c r="H6212" s="43">
        <v>145000</v>
      </c>
      <c r="I6212" s="43" t="s">
        <v>949</v>
      </c>
      <c r="J6212" s="44" t="s">
        <v>1000</v>
      </c>
    </row>
    <row r="6213" ht="22" customHeight="1" spans="1:10" x14ac:dyDescent="0.25">
      <c r="A6213" s="43">
        <v>3130</v>
      </c>
      <c r="B6213" s="43">
        <v>18</v>
      </c>
      <c r="C6213" s="43" t="s">
        <v>963</v>
      </c>
      <c r="D6213" s="43" t="s">
        <v>999</v>
      </c>
      <c r="E6213" s="43" t="s">
        <v>243</v>
      </c>
      <c r="F6213" s="43" t="s">
        <v>954</v>
      </c>
      <c r="G6213" s="43">
        <v>1800000</v>
      </c>
      <c r="H6213" s="43">
        <v>145000</v>
      </c>
      <c r="I6213" s="43" t="s">
        <v>949</v>
      </c>
      <c r="J6213" s="44" t="s">
        <v>1000</v>
      </c>
    </row>
    <row r="6214" ht="22" customHeight="1" spans="1:10" x14ac:dyDescent="0.25">
      <c r="A6214" s="43">
        <v>3130</v>
      </c>
      <c r="B6214" s="43">
        <v>18</v>
      </c>
      <c r="C6214" s="43" t="s">
        <v>963</v>
      </c>
      <c r="D6214" s="43" t="s">
        <v>999</v>
      </c>
      <c r="E6214" s="43" t="s">
        <v>243</v>
      </c>
      <c r="F6214" s="43" t="s">
        <v>955</v>
      </c>
      <c r="G6214" s="43">
        <v>1800000</v>
      </c>
      <c r="H6214" s="43">
        <v>145000</v>
      </c>
      <c r="I6214" s="43" t="s">
        <v>949</v>
      </c>
      <c r="J6214" s="44" t="s">
        <v>1000</v>
      </c>
    </row>
    <row r="6215" ht="22" customHeight="1" spans="1:10" x14ac:dyDescent="0.25">
      <c r="A6215" s="43">
        <v>3130</v>
      </c>
      <c r="B6215" s="43">
        <v>18</v>
      </c>
      <c r="C6215" s="43" t="s">
        <v>963</v>
      </c>
      <c r="D6215" s="43" t="s">
        <v>999</v>
      </c>
      <c r="E6215" s="43" t="s">
        <v>243</v>
      </c>
      <c r="F6215" s="43" t="s">
        <v>956</v>
      </c>
      <c r="G6215" s="43">
        <v>1800000</v>
      </c>
      <c r="H6215" s="43">
        <v>145000</v>
      </c>
      <c r="I6215" s="43" t="s">
        <v>949</v>
      </c>
      <c r="J6215" s="44" t="s">
        <v>1000</v>
      </c>
    </row>
    <row r="6216" ht="22" customHeight="1" spans="1:10" x14ac:dyDescent="0.25">
      <c r="A6216" s="43">
        <v>3130</v>
      </c>
      <c r="B6216" s="43">
        <v>18</v>
      </c>
      <c r="C6216" s="43" t="s">
        <v>963</v>
      </c>
      <c r="D6216" s="43" t="s">
        <v>999</v>
      </c>
      <c r="E6216" s="43" t="s">
        <v>243</v>
      </c>
      <c r="F6216" s="43" t="s">
        <v>957</v>
      </c>
      <c r="G6216" s="43">
        <v>1800000</v>
      </c>
      <c r="H6216" s="43">
        <v>145000</v>
      </c>
      <c r="I6216" s="43" t="s">
        <v>949</v>
      </c>
      <c r="J6216" s="44" t="s">
        <v>1000</v>
      </c>
    </row>
    <row r="6217" ht="22" customHeight="1" spans="1:10" x14ac:dyDescent="0.25">
      <c r="A6217" s="43">
        <v>3130</v>
      </c>
      <c r="B6217" s="43">
        <v>18</v>
      </c>
      <c r="C6217" s="43" t="s">
        <v>963</v>
      </c>
      <c r="D6217" s="43" t="s">
        <v>999</v>
      </c>
      <c r="E6217" s="43" t="s">
        <v>243</v>
      </c>
      <c r="F6217" s="43" t="s">
        <v>958</v>
      </c>
      <c r="G6217" s="43">
        <v>1800000</v>
      </c>
      <c r="H6217" s="43">
        <v>145000</v>
      </c>
      <c r="I6217" s="43" t="s">
        <v>949</v>
      </c>
      <c r="J6217" s="44" t="s">
        <v>1000</v>
      </c>
    </row>
    <row r="6218" ht="22" customHeight="1" spans="1:10" x14ac:dyDescent="0.25">
      <c r="A6218" s="43">
        <v>3130</v>
      </c>
      <c r="B6218" s="43">
        <v>18</v>
      </c>
      <c r="C6218" s="43" t="s">
        <v>963</v>
      </c>
      <c r="D6218" s="43" t="s">
        <v>999</v>
      </c>
      <c r="E6218" s="43" t="s">
        <v>243</v>
      </c>
      <c r="F6218" s="43" t="s">
        <v>959</v>
      </c>
      <c r="G6218" s="43">
        <v>1800000</v>
      </c>
      <c r="H6218" s="43">
        <v>145000</v>
      </c>
      <c r="I6218" s="43" t="s">
        <v>949</v>
      </c>
      <c r="J6218" s="44" t="s">
        <v>1000</v>
      </c>
    </row>
    <row r="6219" ht="22" customHeight="1" spans="1:10" x14ac:dyDescent="0.25">
      <c r="A6219" s="43">
        <v>3130</v>
      </c>
      <c r="B6219" s="43">
        <v>18</v>
      </c>
      <c r="C6219" s="43" t="s">
        <v>963</v>
      </c>
      <c r="D6219" s="43" t="s">
        <v>999</v>
      </c>
      <c r="E6219" s="43" t="s">
        <v>243</v>
      </c>
      <c r="F6219" s="43" t="s">
        <v>960</v>
      </c>
      <c r="G6219" s="43">
        <v>1800000</v>
      </c>
      <c r="H6219" s="43">
        <v>145000</v>
      </c>
      <c r="I6219" s="43" t="s">
        <v>949</v>
      </c>
      <c r="J6219" s="44" t="s">
        <v>1000</v>
      </c>
    </row>
    <row r="6220" ht="22" customHeight="1" spans="1:10" x14ac:dyDescent="0.25">
      <c r="A6220" s="43">
        <v>3130</v>
      </c>
      <c r="B6220" s="43">
        <v>18</v>
      </c>
      <c r="C6220" s="43" t="s">
        <v>963</v>
      </c>
      <c r="D6220" s="43" t="s">
        <v>999</v>
      </c>
      <c r="E6220" s="43" t="s">
        <v>243</v>
      </c>
      <c r="F6220" s="43" t="s">
        <v>961</v>
      </c>
      <c r="G6220" s="43">
        <v>1800000</v>
      </c>
      <c r="H6220" s="43">
        <v>145000</v>
      </c>
      <c r="I6220" s="43" t="s">
        <v>949</v>
      </c>
      <c r="J6220" s="44" t="s">
        <v>1000</v>
      </c>
    </row>
    <row r="6221" ht="22" customHeight="1" spans="1:10" x14ac:dyDescent="0.25">
      <c r="A6221" s="43">
        <v>3130</v>
      </c>
      <c r="B6221" s="43">
        <v>18</v>
      </c>
      <c r="C6221" s="43" t="s">
        <v>950</v>
      </c>
      <c r="D6221" s="43" t="s">
        <v>999</v>
      </c>
      <c r="E6221" s="43" t="s">
        <v>247</v>
      </c>
      <c r="F6221" s="43" t="s">
        <v>951</v>
      </c>
      <c r="G6221" s="43">
        <v>1800000</v>
      </c>
      <c r="H6221" s="43">
        <v>145000</v>
      </c>
      <c r="I6221" s="43" t="s">
        <v>949</v>
      </c>
      <c r="J6221" s="44" t="s">
        <v>1000</v>
      </c>
    </row>
    <row r="6222" ht="22" customHeight="1" spans="1:10" x14ac:dyDescent="0.25">
      <c r="A6222" s="43">
        <v>3130</v>
      </c>
      <c r="B6222" s="43">
        <v>18</v>
      </c>
      <c r="C6222" s="43" t="s">
        <v>950</v>
      </c>
      <c r="D6222" s="43" t="s">
        <v>999</v>
      </c>
      <c r="E6222" s="43" t="s">
        <v>247</v>
      </c>
      <c r="F6222" s="43" t="s">
        <v>952</v>
      </c>
      <c r="G6222" s="43">
        <v>1800000</v>
      </c>
      <c r="H6222" s="43">
        <v>145000</v>
      </c>
      <c r="I6222" s="43" t="s">
        <v>949</v>
      </c>
      <c r="J6222" s="44" t="s">
        <v>1000</v>
      </c>
    </row>
    <row r="6223" ht="22" customHeight="1" spans="1:10" x14ac:dyDescent="0.25">
      <c r="A6223" s="43">
        <v>3130</v>
      </c>
      <c r="B6223" s="43">
        <v>18</v>
      </c>
      <c r="C6223" s="43" t="s">
        <v>950</v>
      </c>
      <c r="D6223" s="43" t="s">
        <v>999</v>
      </c>
      <c r="E6223" s="43" t="s">
        <v>247</v>
      </c>
      <c r="F6223" s="43" t="s">
        <v>953</v>
      </c>
      <c r="G6223" s="43">
        <v>1800000</v>
      </c>
      <c r="H6223" s="43">
        <v>145000</v>
      </c>
      <c r="I6223" s="43" t="s">
        <v>949</v>
      </c>
      <c r="J6223" s="44" t="s">
        <v>1000</v>
      </c>
    </row>
    <row r="6224" ht="22" customHeight="1" spans="1:10" x14ac:dyDescent="0.25">
      <c r="A6224" s="43">
        <v>3130</v>
      </c>
      <c r="B6224" s="43">
        <v>18</v>
      </c>
      <c r="C6224" s="43" t="s">
        <v>950</v>
      </c>
      <c r="D6224" s="43" t="s">
        <v>999</v>
      </c>
      <c r="E6224" s="43" t="s">
        <v>247</v>
      </c>
      <c r="F6224" s="43" t="s">
        <v>954</v>
      </c>
      <c r="G6224" s="43">
        <v>1800000</v>
      </c>
      <c r="H6224" s="43">
        <v>145000</v>
      </c>
      <c r="I6224" s="43" t="s">
        <v>949</v>
      </c>
      <c r="J6224" s="44" t="s">
        <v>1000</v>
      </c>
    </row>
    <row r="6225" ht="22" customHeight="1" spans="1:10" x14ac:dyDescent="0.25">
      <c r="A6225" s="43">
        <v>3130</v>
      </c>
      <c r="B6225" s="43">
        <v>18</v>
      </c>
      <c r="C6225" s="43" t="s">
        <v>950</v>
      </c>
      <c r="D6225" s="43" t="s">
        <v>999</v>
      </c>
      <c r="E6225" s="43" t="s">
        <v>247</v>
      </c>
      <c r="F6225" s="43" t="s">
        <v>955</v>
      </c>
      <c r="G6225" s="43">
        <v>1800000</v>
      </c>
      <c r="H6225" s="43">
        <v>145000</v>
      </c>
      <c r="I6225" s="43" t="s">
        <v>949</v>
      </c>
      <c r="J6225" s="44" t="s">
        <v>1000</v>
      </c>
    </row>
    <row r="6226" ht="22" customHeight="1" spans="1:10" x14ac:dyDescent="0.25">
      <c r="A6226" s="43">
        <v>3130</v>
      </c>
      <c r="B6226" s="43">
        <v>18</v>
      </c>
      <c r="C6226" s="43" t="s">
        <v>950</v>
      </c>
      <c r="D6226" s="43" t="s">
        <v>999</v>
      </c>
      <c r="E6226" s="43" t="s">
        <v>247</v>
      </c>
      <c r="F6226" s="43" t="s">
        <v>956</v>
      </c>
      <c r="G6226" s="43">
        <v>1800000</v>
      </c>
      <c r="H6226" s="43">
        <v>145000</v>
      </c>
      <c r="I6226" s="43" t="s">
        <v>949</v>
      </c>
      <c r="J6226" s="44" t="s">
        <v>1000</v>
      </c>
    </row>
    <row r="6227" ht="22" customHeight="1" spans="1:10" x14ac:dyDescent="0.25">
      <c r="A6227" s="43">
        <v>3130</v>
      </c>
      <c r="B6227" s="43">
        <v>18</v>
      </c>
      <c r="C6227" s="43" t="s">
        <v>950</v>
      </c>
      <c r="D6227" s="43" t="s">
        <v>999</v>
      </c>
      <c r="E6227" s="43" t="s">
        <v>247</v>
      </c>
      <c r="F6227" s="43" t="s">
        <v>957</v>
      </c>
      <c r="G6227" s="43">
        <v>1800000</v>
      </c>
      <c r="H6227" s="43">
        <v>145000</v>
      </c>
      <c r="I6227" s="43" t="s">
        <v>949</v>
      </c>
      <c r="J6227" s="44" t="s">
        <v>1000</v>
      </c>
    </row>
    <row r="6228" ht="22" customHeight="1" spans="1:10" x14ac:dyDescent="0.25">
      <c r="A6228" s="43">
        <v>3130</v>
      </c>
      <c r="B6228" s="43">
        <v>18</v>
      </c>
      <c r="C6228" s="43" t="s">
        <v>950</v>
      </c>
      <c r="D6228" s="43" t="s">
        <v>999</v>
      </c>
      <c r="E6228" s="43" t="s">
        <v>247</v>
      </c>
      <c r="F6228" s="43" t="s">
        <v>958</v>
      </c>
      <c r="G6228" s="43">
        <v>1800000</v>
      </c>
      <c r="H6228" s="43">
        <v>145000</v>
      </c>
      <c r="I6228" s="43" t="s">
        <v>949</v>
      </c>
      <c r="J6228" s="44" t="s">
        <v>1000</v>
      </c>
    </row>
    <row r="6229" ht="22" customHeight="1" spans="1:10" x14ac:dyDescent="0.25">
      <c r="A6229" s="43">
        <v>3130</v>
      </c>
      <c r="B6229" s="43">
        <v>18</v>
      </c>
      <c r="C6229" s="43" t="s">
        <v>950</v>
      </c>
      <c r="D6229" s="43" t="s">
        <v>999</v>
      </c>
      <c r="E6229" s="43" t="s">
        <v>247</v>
      </c>
      <c r="F6229" s="43" t="s">
        <v>959</v>
      </c>
      <c r="G6229" s="43">
        <v>1800000</v>
      </c>
      <c r="H6229" s="43">
        <v>145000</v>
      </c>
      <c r="I6229" s="43" t="s">
        <v>949</v>
      </c>
      <c r="J6229" s="44" t="s">
        <v>1000</v>
      </c>
    </row>
    <row r="6230" ht="22" customHeight="1" spans="1:10" x14ac:dyDescent="0.25">
      <c r="A6230" s="43">
        <v>3130</v>
      </c>
      <c r="B6230" s="43">
        <v>18</v>
      </c>
      <c r="C6230" s="43" t="s">
        <v>950</v>
      </c>
      <c r="D6230" s="43" t="s">
        <v>999</v>
      </c>
      <c r="E6230" s="43" t="s">
        <v>247</v>
      </c>
      <c r="F6230" s="43" t="s">
        <v>960</v>
      </c>
      <c r="G6230" s="43">
        <v>1800000</v>
      </c>
      <c r="H6230" s="43">
        <v>145000</v>
      </c>
      <c r="I6230" s="43" t="s">
        <v>949</v>
      </c>
      <c r="J6230" s="44" t="s">
        <v>1000</v>
      </c>
    </row>
    <row r="6231" ht="22" customHeight="1" spans="1:10" x14ac:dyDescent="0.25">
      <c r="A6231" s="43">
        <v>3130</v>
      </c>
      <c r="B6231" s="43">
        <v>18</v>
      </c>
      <c r="C6231" s="43" t="s">
        <v>950</v>
      </c>
      <c r="D6231" s="43" t="s">
        <v>999</v>
      </c>
      <c r="E6231" s="43" t="s">
        <v>247</v>
      </c>
      <c r="F6231" s="43" t="s">
        <v>961</v>
      </c>
      <c r="G6231" s="43">
        <v>1800000</v>
      </c>
      <c r="H6231" s="43">
        <v>145000</v>
      </c>
      <c r="I6231" s="43" t="s">
        <v>949</v>
      </c>
      <c r="J6231" s="44" t="s">
        <v>1000</v>
      </c>
    </row>
    <row r="6232" ht="22" customHeight="1" spans="1:10" x14ac:dyDescent="0.25">
      <c r="A6232" s="43">
        <v>3130</v>
      </c>
      <c r="B6232" s="43">
        <v>18</v>
      </c>
      <c r="C6232" s="43" t="s">
        <v>962</v>
      </c>
      <c r="D6232" s="43" t="s">
        <v>999</v>
      </c>
      <c r="E6232" s="43" t="s">
        <v>247</v>
      </c>
      <c r="F6232" s="43" t="s">
        <v>951</v>
      </c>
      <c r="G6232" s="43">
        <v>1800000</v>
      </c>
      <c r="H6232" s="43">
        <v>145000</v>
      </c>
      <c r="I6232" s="43" t="s">
        <v>949</v>
      </c>
      <c r="J6232" s="44" t="s">
        <v>1000</v>
      </c>
    </row>
    <row r="6233" ht="22" customHeight="1" spans="1:10" x14ac:dyDescent="0.25">
      <c r="A6233" s="43">
        <v>3130</v>
      </c>
      <c r="B6233" s="43">
        <v>18</v>
      </c>
      <c r="C6233" s="43" t="s">
        <v>962</v>
      </c>
      <c r="D6233" s="43" t="s">
        <v>999</v>
      </c>
      <c r="E6233" s="43" t="s">
        <v>247</v>
      </c>
      <c r="F6233" s="43" t="s">
        <v>952</v>
      </c>
      <c r="G6233" s="43">
        <v>1800000</v>
      </c>
      <c r="H6233" s="43">
        <v>145000</v>
      </c>
      <c r="I6233" s="43" t="s">
        <v>949</v>
      </c>
      <c r="J6233" s="44" t="s">
        <v>1000</v>
      </c>
    </row>
    <row r="6234" ht="22" customHeight="1" spans="1:10" x14ac:dyDescent="0.25">
      <c r="A6234" s="43">
        <v>3130</v>
      </c>
      <c r="B6234" s="43">
        <v>18</v>
      </c>
      <c r="C6234" s="43" t="s">
        <v>962</v>
      </c>
      <c r="D6234" s="43" t="s">
        <v>999</v>
      </c>
      <c r="E6234" s="43" t="s">
        <v>247</v>
      </c>
      <c r="F6234" s="43" t="s">
        <v>953</v>
      </c>
      <c r="G6234" s="43">
        <v>1800000</v>
      </c>
      <c r="H6234" s="43">
        <v>145000</v>
      </c>
      <c r="I6234" s="43" t="s">
        <v>949</v>
      </c>
      <c r="J6234" s="44" t="s">
        <v>1000</v>
      </c>
    </row>
    <row r="6235" ht="22" customHeight="1" spans="1:10" x14ac:dyDescent="0.25">
      <c r="A6235" s="43">
        <v>3130</v>
      </c>
      <c r="B6235" s="43">
        <v>18</v>
      </c>
      <c r="C6235" s="43" t="s">
        <v>962</v>
      </c>
      <c r="D6235" s="43" t="s">
        <v>999</v>
      </c>
      <c r="E6235" s="43" t="s">
        <v>247</v>
      </c>
      <c r="F6235" s="43" t="s">
        <v>954</v>
      </c>
      <c r="G6235" s="43">
        <v>1800000</v>
      </c>
      <c r="H6235" s="43">
        <v>145000</v>
      </c>
      <c r="I6235" s="43" t="s">
        <v>949</v>
      </c>
      <c r="J6235" s="44" t="s">
        <v>1000</v>
      </c>
    </row>
    <row r="6236" ht="22" customHeight="1" spans="1:10" x14ac:dyDescent="0.25">
      <c r="A6236" s="43">
        <v>3130</v>
      </c>
      <c r="B6236" s="43">
        <v>18</v>
      </c>
      <c r="C6236" s="43" t="s">
        <v>962</v>
      </c>
      <c r="D6236" s="43" t="s">
        <v>999</v>
      </c>
      <c r="E6236" s="43" t="s">
        <v>247</v>
      </c>
      <c r="F6236" s="43" t="s">
        <v>955</v>
      </c>
      <c r="G6236" s="43">
        <v>1800000</v>
      </c>
      <c r="H6236" s="43">
        <v>145000</v>
      </c>
      <c r="I6236" s="43" t="s">
        <v>949</v>
      </c>
      <c r="J6236" s="44" t="s">
        <v>1000</v>
      </c>
    </row>
    <row r="6237" ht="22" customHeight="1" spans="1:10" x14ac:dyDescent="0.25">
      <c r="A6237" s="43">
        <v>3130</v>
      </c>
      <c r="B6237" s="43">
        <v>18</v>
      </c>
      <c r="C6237" s="43" t="s">
        <v>962</v>
      </c>
      <c r="D6237" s="43" t="s">
        <v>999</v>
      </c>
      <c r="E6237" s="43" t="s">
        <v>247</v>
      </c>
      <c r="F6237" s="43" t="s">
        <v>956</v>
      </c>
      <c r="G6237" s="43">
        <v>1800000</v>
      </c>
      <c r="H6237" s="43">
        <v>145000</v>
      </c>
      <c r="I6237" s="43" t="s">
        <v>949</v>
      </c>
      <c r="J6237" s="44" t="s">
        <v>1000</v>
      </c>
    </row>
    <row r="6238" ht="22" customHeight="1" spans="1:10" x14ac:dyDescent="0.25">
      <c r="A6238" s="43">
        <v>3130</v>
      </c>
      <c r="B6238" s="43">
        <v>18</v>
      </c>
      <c r="C6238" s="43" t="s">
        <v>962</v>
      </c>
      <c r="D6238" s="43" t="s">
        <v>999</v>
      </c>
      <c r="E6238" s="43" t="s">
        <v>247</v>
      </c>
      <c r="F6238" s="43" t="s">
        <v>957</v>
      </c>
      <c r="G6238" s="43">
        <v>1800000</v>
      </c>
      <c r="H6238" s="43">
        <v>145000</v>
      </c>
      <c r="I6238" s="43" t="s">
        <v>949</v>
      </c>
      <c r="J6238" s="44" t="s">
        <v>1000</v>
      </c>
    </row>
    <row r="6239" ht="22" customHeight="1" spans="1:10" x14ac:dyDescent="0.25">
      <c r="A6239" s="43">
        <v>3130</v>
      </c>
      <c r="B6239" s="43">
        <v>18</v>
      </c>
      <c r="C6239" s="43" t="s">
        <v>962</v>
      </c>
      <c r="D6239" s="43" t="s">
        <v>999</v>
      </c>
      <c r="E6239" s="43" t="s">
        <v>247</v>
      </c>
      <c r="F6239" s="43" t="s">
        <v>958</v>
      </c>
      <c r="G6239" s="43">
        <v>1800000</v>
      </c>
      <c r="H6239" s="43">
        <v>145000</v>
      </c>
      <c r="I6239" s="43" t="s">
        <v>949</v>
      </c>
      <c r="J6239" s="44" t="s">
        <v>1000</v>
      </c>
    </row>
    <row r="6240" ht="22" customHeight="1" spans="1:10" x14ac:dyDescent="0.25">
      <c r="A6240" s="43">
        <v>3130</v>
      </c>
      <c r="B6240" s="43">
        <v>18</v>
      </c>
      <c r="C6240" s="43" t="s">
        <v>962</v>
      </c>
      <c r="D6240" s="43" t="s">
        <v>999</v>
      </c>
      <c r="E6240" s="43" t="s">
        <v>247</v>
      </c>
      <c r="F6240" s="43" t="s">
        <v>959</v>
      </c>
      <c r="G6240" s="43">
        <v>1800000</v>
      </c>
      <c r="H6240" s="43">
        <v>145000</v>
      </c>
      <c r="I6240" s="43" t="s">
        <v>949</v>
      </c>
      <c r="J6240" s="44" t="s">
        <v>1000</v>
      </c>
    </row>
    <row r="6241" ht="22" customHeight="1" spans="1:10" x14ac:dyDescent="0.25">
      <c r="A6241" s="43">
        <v>3130</v>
      </c>
      <c r="B6241" s="43">
        <v>18</v>
      </c>
      <c r="C6241" s="43" t="s">
        <v>962</v>
      </c>
      <c r="D6241" s="43" t="s">
        <v>999</v>
      </c>
      <c r="E6241" s="43" t="s">
        <v>247</v>
      </c>
      <c r="F6241" s="43" t="s">
        <v>960</v>
      </c>
      <c r="G6241" s="43">
        <v>1800000</v>
      </c>
      <c r="H6241" s="43">
        <v>145000</v>
      </c>
      <c r="I6241" s="43" t="s">
        <v>949</v>
      </c>
      <c r="J6241" s="44" t="s">
        <v>1000</v>
      </c>
    </row>
    <row r="6242" ht="22" customHeight="1" spans="1:10" x14ac:dyDescent="0.25">
      <c r="A6242" s="43">
        <v>3130</v>
      </c>
      <c r="B6242" s="43">
        <v>18</v>
      </c>
      <c r="C6242" s="43" t="s">
        <v>962</v>
      </c>
      <c r="D6242" s="43" t="s">
        <v>999</v>
      </c>
      <c r="E6242" s="43" t="s">
        <v>247</v>
      </c>
      <c r="F6242" s="43" t="s">
        <v>961</v>
      </c>
      <c r="G6242" s="43">
        <v>1800000</v>
      </c>
      <c r="H6242" s="43">
        <v>145000</v>
      </c>
      <c r="I6242" s="43" t="s">
        <v>949</v>
      </c>
      <c r="J6242" s="44" t="s">
        <v>1000</v>
      </c>
    </row>
    <row r="6243" ht="22" customHeight="1" spans="1:10" x14ac:dyDescent="0.25">
      <c r="A6243" s="43">
        <v>3130</v>
      </c>
      <c r="B6243" s="43">
        <v>18</v>
      </c>
      <c r="C6243" s="43" t="s">
        <v>963</v>
      </c>
      <c r="D6243" s="43" t="s">
        <v>999</v>
      </c>
      <c r="E6243" s="43" t="s">
        <v>247</v>
      </c>
      <c r="F6243" s="43" t="s">
        <v>951</v>
      </c>
      <c r="G6243" s="43">
        <v>1800000</v>
      </c>
      <c r="H6243" s="43">
        <v>145000</v>
      </c>
      <c r="I6243" s="43" t="s">
        <v>949</v>
      </c>
      <c r="J6243" s="44" t="s">
        <v>1000</v>
      </c>
    </row>
    <row r="6244" ht="22" customHeight="1" spans="1:10" x14ac:dyDescent="0.25">
      <c r="A6244" s="43">
        <v>3130</v>
      </c>
      <c r="B6244" s="43">
        <v>18</v>
      </c>
      <c r="C6244" s="43" t="s">
        <v>963</v>
      </c>
      <c r="D6244" s="43" t="s">
        <v>999</v>
      </c>
      <c r="E6244" s="43" t="s">
        <v>247</v>
      </c>
      <c r="F6244" s="43" t="s">
        <v>952</v>
      </c>
      <c r="G6244" s="43">
        <v>1800000</v>
      </c>
      <c r="H6244" s="43">
        <v>145000</v>
      </c>
      <c r="I6244" s="43" t="s">
        <v>949</v>
      </c>
      <c r="J6244" s="44" t="s">
        <v>1000</v>
      </c>
    </row>
    <row r="6245" ht="22" customHeight="1" spans="1:10" x14ac:dyDescent="0.25">
      <c r="A6245" s="43">
        <v>3130</v>
      </c>
      <c r="B6245" s="43">
        <v>18</v>
      </c>
      <c r="C6245" s="43" t="s">
        <v>963</v>
      </c>
      <c r="D6245" s="43" t="s">
        <v>999</v>
      </c>
      <c r="E6245" s="43" t="s">
        <v>247</v>
      </c>
      <c r="F6245" s="43" t="s">
        <v>953</v>
      </c>
      <c r="G6245" s="43">
        <v>1800000</v>
      </c>
      <c r="H6245" s="43">
        <v>145000</v>
      </c>
      <c r="I6245" s="43" t="s">
        <v>949</v>
      </c>
      <c r="J6245" s="44" t="s">
        <v>1000</v>
      </c>
    </row>
    <row r="6246" ht="22" customHeight="1" spans="1:10" x14ac:dyDescent="0.25">
      <c r="A6246" s="43">
        <v>3130</v>
      </c>
      <c r="B6246" s="43">
        <v>18</v>
      </c>
      <c r="C6246" s="43" t="s">
        <v>963</v>
      </c>
      <c r="D6246" s="43" t="s">
        <v>999</v>
      </c>
      <c r="E6246" s="43" t="s">
        <v>247</v>
      </c>
      <c r="F6246" s="43" t="s">
        <v>954</v>
      </c>
      <c r="G6246" s="43">
        <v>1800000</v>
      </c>
      <c r="H6246" s="43">
        <v>145000</v>
      </c>
      <c r="I6246" s="43" t="s">
        <v>949</v>
      </c>
      <c r="J6246" s="44" t="s">
        <v>1000</v>
      </c>
    </row>
    <row r="6247" ht="22" customHeight="1" spans="1:10" x14ac:dyDescent="0.25">
      <c r="A6247" s="43">
        <v>3130</v>
      </c>
      <c r="B6247" s="43">
        <v>18</v>
      </c>
      <c r="C6247" s="43" t="s">
        <v>963</v>
      </c>
      <c r="D6247" s="43" t="s">
        <v>999</v>
      </c>
      <c r="E6247" s="43" t="s">
        <v>247</v>
      </c>
      <c r="F6247" s="43" t="s">
        <v>955</v>
      </c>
      <c r="G6247" s="43">
        <v>1800000</v>
      </c>
      <c r="H6247" s="43">
        <v>145000</v>
      </c>
      <c r="I6247" s="43" t="s">
        <v>949</v>
      </c>
      <c r="J6247" s="44" t="s">
        <v>1000</v>
      </c>
    </row>
    <row r="6248" ht="22" customHeight="1" spans="1:10" x14ac:dyDescent="0.25">
      <c r="A6248" s="43">
        <v>3130</v>
      </c>
      <c r="B6248" s="43">
        <v>18</v>
      </c>
      <c r="C6248" s="43" t="s">
        <v>963</v>
      </c>
      <c r="D6248" s="43" t="s">
        <v>999</v>
      </c>
      <c r="E6248" s="43" t="s">
        <v>247</v>
      </c>
      <c r="F6248" s="43" t="s">
        <v>956</v>
      </c>
      <c r="G6248" s="43">
        <v>1800000</v>
      </c>
      <c r="H6248" s="43">
        <v>145000</v>
      </c>
      <c r="I6248" s="43" t="s">
        <v>949</v>
      </c>
      <c r="J6248" s="44" t="s">
        <v>1000</v>
      </c>
    </row>
    <row r="6249" ht="22" customHeight="1" spans="1:10" x14ac:dyDescent="0.25">
      <c r="A6249" s="43">
        <v>3130</v>
      </c>
      <c r="B6249" s="43">
        <v>18</v>
      </c>
      <c r="C6249" s="43" t="s">
        <v>963</v>
      </c>
      <c r="D6249" s="43" t="s">
        <v>999</v>
      </c>
      <c r="E6249" s="43" t="s">
        <v>247</v>
      </c>
      <c r="F6249" s="43" t="s">
        <v>957</v>
      </c>
      <c r="G6249" s="43">
        <v>1800000</v>
      </c>
      <c r="H6249" s="43">
        <v>145000</v>
      </c>
      <c r="I6249" s="43" t="s">
        <v>949</v>
      </c>
      <c r="J6249" s="44" t="s">
        <v>1000</v>
      </c>
    </row>
    <row r="6250" ht="22" customHeight="1" spans="1:10" x14ac:dyDescent="0.25">
      <c r="A6250" s="43">
        <v>3130</v>
      </c>
      <c r="B6250" s="43">
        <v>18</v>
      </c>
      <c r="C6250" s="43" t="s">
        <v>963</v>
      </c>
      <c r="D6250" s="43" t="s">
        <v>999</v>
      </c>
      <c r="E6250" s="43" t="s">
        <v>247</v>
      </c>
      <c r="F6250" s="43" t="s">
        <v>958</v>
      </c>
      <c r="G6250" s="43">
        <v>1800000</v>
      </c>
      <c r="H6250" s="43">
        <v>145000</v>
      </c>
      <c r="I6250" s="43" t="s">
        <v>949</v>
      </c>
      <c r="J6250" s="44" t="s">
        <v>1000</v>
      </c>
    </row>
    <row r="6251" ht="22" customHeight="1" spans="1:10" x14ac:dyDescent="0.25">
      <c r="A6251" s="43">
        <v>3130</v>
      </c>
      <c r="B6251" s="43">
        <v>18</v>
      </c>
      <c r="C6251" s="43" t="s">
        <v>963</v>
      </c>
      <c r="D6251" s="43" t="s">
        <v>999</v>
      </c>
      <c r="E6251" s="43" t="s">
        <v>247</v>
      </c>
      <c r="F6251" s="43" t="s">
        <v>959</v>
      </c>
      <c r="G6251" s="43">
        <v>1800000</v>
      </c>
      <c r="H6251" s="43">
        <v>145000</v>
      </c>
      <c r="I6251" s="43" t="s">
        <v>949</v>
      </c>
      <c r="J6251" s="44" t="s">
        <v>1000</v>
      </c>
    </row>
    <row r="6252" ht="22" customHeight="1" spans="1:10" x14ac:dyDescent="0.25">
      <c r="A6252" s="43">
        <v>3130</v>
      </c>
      <c r="B6252" s="43">
        <v>18</v>
      </c>
      <c r="C6252" s="43" t="s">
        <v>963</v>
      </c>
      <c r="D6252" s="43" t="s">
        <v>999</v>
      </c>
      <c r="E6252" s="43" t="s">
        <v>247</v>
      </c>
      <c r="F6252" s="43" t="s">
        <v>960</v>
      </c>
      <c r="G6252" s="43">
        <v>1800000</v>
      </c>
      <c r="H6252" s="43">
        <v>145000</v>
      </c>
      <c r="I6252" s="43" t="s">
        <v>949</v>
      </c>
      <c r="J6252" s="44" t="s">
        <v>1000</v>
      </c>
    </row>
    <row r="6253" ht="22" customHeight="1" spans="1:10" x14ac:dyDescent="0.25">
      <c r="A6253" s="43">
        <v>3130</v>
      </c>
      <c r="B6253" s="43">
        <v>18</v>
      </c>
      <c r="C6253" s="43" t="s">
        <v>963</v>
      </c>
      <c r="D6253" s="43" t="s">
        <v>999</v>
      </c>
      <c r="E6253" s="43" t="s">
        <v>247</v>
      </c>
      <c r="F6253" s="43" t="s">
        <v>961</v>
      </c>
      <c r="G6253" s="43">
        <v>1800000</v>
      </c>
      <c r="H6253" s="43">
        <v>145000</v>
      </c>
      <c r="I6253" s="43" t="s">
        <v>949</v>
      </c>
      <c r="J6253" s="44" t="s">
        <v>1000</v>
      </c>
    </row>
    <row r="6254" spans="1:9" x14ac:dyDescent="0.25">
      <c r="A6254">
        <v>3130</v>
      </c>
      <c r="B6254">
        <v>18</v>
      </c>
      <c r="C6254" t="s">
        <v>950</v>
      </c>
      <c r="D6254" t="s">
        <v>999</v>
      </c>
      <c r="E6254" t="s">
        <v>251</v>
      </c>
      <c r="F6254" t="s">
        <v>951</v>
      </c>
      <c r="G6254">
        <v>1800000</v>
      </c>
      <c r="H6254">
        <v>142000</v>
      </c>
      <c r="I6254" t="s">
        <v>949</v>
      </c>
    </row>
    <row r="6255" spans="1:9" x14ac:dyDescent="0.25">
      <c r="A6255">
        <v>3130</v>
      </c>
      <c r="B6255">
        <v>18</v>
      </c>
      <c r="C6255" t="s">
        <v>950</v>
      </c>
      <c r="D6255" t="s">
        <v>999</v>
      </c>
      <c r="E6255" t="s">
        <v>251</v>
      </c>
      <c r="F6255" t="s">
        <v>952</v>
      </c>
      <c r="G6255">
        <v>1800000</v>
      </c>
      <c r="H6255">
        <v>142000</v>
      </c>
      <c r="I6255" t="s">
        <v>949</v>
      </c>
    </row>
    <row r="6256" spans="1:9" x14ac:dyDescent="0.25">
      <c r="A6256">
        <v>3130</v>
      </c>
      <c r="B6256">
        <v>18</v>
      </c>
      <c r="C6256" t="s">
        <v>950</v>
      </c>
      <c r="D6256" t="s">
        <v>999</v>
      </c>
      <c r="E6256" t="s">
        <v>251</v>
      </c>
      <c r="F6256" t="s">
        <v>953</v>
      </c>
      <c r="G6256">
        <v>1800000</v>
      </c>
      <c r="H6256">
        <v>142000</v>
      </c>
      <c r="I6256" t="s">
        <v>949</v>
      </c>
    </row>
    <row r="6257" spans="1:9" x14ac:dyDescent="0.25">
      <c r="A6257">
        <v>3130</v>
      </c>
      <c r="B6257">
        <v>18</v>
      </c>
      <c r="C6257" t="s">
        <v>950</v>
      </c>
      <c r="D6257" t="s">
        <v>999</v>
      </c>
      <c r="E6257" t="s">
        <v>251</v>
      </c>
      <c r="F6257" t="s">
        <v>954</v>
      </c>
      <c r="G6257">
        <v>1800000</v>
      </c>
      <c r="H6257">
        <v>142000</v>
      </c>
      <c r="I6257" t="s">
        <v>949</v>
      </c>
    </row>
    <row r="6258" spans="1:9" x14ac:dyDescent="0.25">
      <c r="A6258">
        <v>3130</v>
      </c>
      <c r="B6258">
        <v>18</v>
      </c>
      <c r="C6258" t="s">
        <v>950</v>
      </c>
      <c r="D6258" t="s">
        <v>999</v>
      </c>
      <c r="E6258" t="s">
        <v>251</v>
      </c>
      <c r="F6258" t="s">
        <v>955</v>
      </c>
      <c r="G6258">
        <v>1800000</v>
      </c>
      <c r="H6258">
        <v>142000</v>
      </c>
      <c r="I6258" t="s">
        <v>949</v>
      </c>
    </row>
    <row r="6259" spans="1:9" x14ac:dyDescent="0.25">
      <c r="A6259">
        <v>3130</v>
      </c>
      <c r="B6259">
        <v>18</v>
      </c>
      <c r="C6259" t="s">
        <v>950</v>
      </c>
      <c r="D6259" t="s">
        <v>999</v>
      </c>
      <c r="E6259" t="s">
        <v>251</v>
      </c>
      <c r="F6259" t="s">
        <v>956</v>
      </c>
      <c r="G6259">
        <v>1800000</v>
      </c>
      <c r="H6259">
        <v>142000</v>
      </c>
      <c r="I6259" t="s">
        <v>949</v>
      </c>
    </row>
    <row r="6260" spans="1:9" x14ac:dyDescent="0.25">
      <c r="A6260">
        <v>3130</v>
      </c>
      <c r="B6260">
        <v>18</v>
      </c>
      <c r="C6260" t="s">
        <v>950</v>
      </c>
      <c r="D6260" t="s">
        <v>999</v>
      </c>
      <c r="E6260" t="s">
        <v>251</v>
      </c>
      <c r="F6260" t="s">
        <v>957</v>
      </c>
      <c r="G6260">
        <v>1800000</v>
      </c>
      <c r="H6260">
        <v>142000</v>
      </c>
      <c r="I6260" t="s">
        <v>949</v>
      </c>
    </row>
    <row r="6261" spans="1:9" x14ac:dyDescent="0.25">
      <c r="A6261">
        <v>3130</v>
      </c>
      <c r="B6261">
        <v>18</v>
      </c>
      <c r="C6261" t="s">
        <v>950</v>
      </c>
      <c r="D6261" t="s">
        <v>999</v>
      </c>
      <c r="E6261" t="s">
        <v>251</v>
      </c>
      <c r="F6261" t="s">
        <v>958</v>
      </c>
      <c r="G6261">
        <v>1800000</v>
      </c>
      <c r="H6261">
        <v>142000</v>
      </c>
      <c r="I6261" t="s">
        <v>949</v>
      </c>
    </row>
    <row r="6262" spans="1:9" x14ac:dyDescent="0.25">
      <c r="A6262">
        <v>3130</v>
      </c>
      <c r="B6262">
        <v>18</v>
      </c>
      <c r="C6262" t="s">
        <v>950</v>
      </c>
      <c r="D6262" t="s">
        <v>999</v>
      </c>
      <c r="E6262" t="s">
        <v>251</v>
      </c>
      <c r="F6262" t="s">
        <v>959</v>
      </c>
      <c r="G6262">
        <v>1800000</v>
      </c>
      <c r="H6262">
        <v>142000</v>
      </c>
      <c r="I6262" t="s">
        <v>949</v>
      </c>
    </row>
    <row r="6263" spans="1:9" x14ac:dyDescent="0.25">
      <c r="A6263">
        <v>3130</v>
      </c>
      <c r="B6263">
        <v>18</v>
      </c>
      <c r="C6263" t="s">
        <v>950</v>
      </c>
      <c r="D6263" t="s">
        <v>999</v>
      </c>
      <c r="E6263" t="s">
        <v>251</v>
      </c>
      <c r="F6263" t="s">
        <v>960</v>
      </c>
      <c r="G6263">
        <v>1800000</v>
      </c>
      <c r="H6263">
        <v>142000</v>
      </c>
      <c r="I6263" t="s">
        <v>949</v>
      </c>
    </row>
    <row r="6264" spans="1:9" x14ac:dyDescent="0.25">
      <c r="A6264">
        <v>3130</v>
      </c>
      <c r="B6264">
        <v>18</v>
      </c>
      <c r="C6264" t="s">
        <v>950</v>
      </c>
      <c r="D6264" t="s">
        <v>999</v>
      </c>
      <c r="E6264" t="s">
        <v>251</v>
      </c>
      <c r="F6264" t="s">
        <v>961</v>
      </c>
      <c r="G6264">
        <v>1800000</v>
      </c>
      <c r="H6264">
        <v>142000</v>
      </c>
      <c r="I6264" t="s">
        <v>949</v>
      </c>
    </row>
    <row r="6265" spans="1:9" x14ac:dyDescent="0.25">
      <c r="A6265">
        <v>3130</v>
      </c>
      <c r="B6265">
        <v>18</v>
      </c>
      <c r="C6265" t="s">
        <v>962</v>
      </c>
      <c r="D6265" t="s">
        <v>999</v>
      </c>
      <c r="E6265" t="s">
        <v>251</v>
      </c>
      <c r="F6265" t="s">
        <v>951</v>
      </c>
      <c r="G6265">
        <v>1800000</v>
      </c>
      <c r="H6265">
        <v>142000</v>
      </c>
      <c r="I6265" t="s">
        <v>949</v>
      </c>
    </row>
    <row r="6266" spans="1:9" x14ac:dyDescent="0.25">
      <c r="A6266">
        <v>3130</v>
      </c>
      <c r="B6266">
        <v>18</v>
      </c>
      <c r="C6266" t="s">
        <v>962</v>
      </c>
      <c r="D6266" t="s">
        <v>999</v>
      </c>
      <c r="E6266" t="s">
        <v>251</v>
      </c>
      <c r="F6266" t="s">
        <v>952</v>
      </c>
      <c r="G6266">
        <v>1800000</v>
      </c>
      <c r="H6266">
        <v>142000</v>
      </c>
      <c r="I6266" t="s">
        <v>949</v>
      </c>
    </row>
    <row r="6267" spans="1:9" x14ac:dyDescent="0.25">
      <c r="A6267">
        <v>3130</v>
      </c>
      <c r="B6267">
        <v>18</v>
      </c>
      <c r="C6267" t="s">
        <v>962</v>
      </c>
      <c r="D6267" t="s">
        <v>999</v>
      </c>
      <c r="E6267" t="s">
        <v>251</v>
      </c>
      <c r="F6267" t="s">
        <v>953</v>
      </c>
      <c r="G6267">
        <v>1800000</v>
      </c>
      <c r="H6267">
        <v>142000</v>
      </c>
      <c r="I6267" t="s">
        <v>949</v>
      </c>
    </row>
    <row r="6268" spans="1:9" x14ac:dyDescent="0.25">
      <c r="A6268">
        <v>3130</v>
      </c>
      <c r="B6268">
        <v>18</v>
      </c>
      <c r="C6268" t="s">
        <v>962</v>
      </c>
      <c r="D6268" t="s">
        <v>999</v>
      </c>
      <c r="E6268" t="s">
        <v>251</v>
      </c>
      <c r="F6268" t="s">
        <v>954</v>
      </c>
      <c r="G6268">
        <v>1800000</v>
      </c>
      <c r="H6268">
        <v>142000</v>
      </c>
      <c r="I6268" t="s">
        <v>949</v>
      </c>
    </row>
    <row r="6269" spans="1:9" x14ac:dyDescent="0.25">
      <c r="A6269">
        <v>3130</v>
      </c>
      <c r="B6269">
        <v>18</v>
      </c>
      <c r="C6269" t="s">
        <v>962</v>
      </c>
      <c r="D6269" t="s">
        <v>999</v>
      </c>
      <c r="E6269" t="s">
        <v>251</v>
      </c>
      <c r="F6269" t="s">
        <v>955</v>
      </c>
      <c r="G6269">
        <v>1800000</v>
      </c>
      <c r="H6269">
        <v>142000</v>
      </c>
      <c r="I6269" t="s">
        <v>949</v>
      </c>
    </row>
    <row r="6270" spans="1:9" x14ac:dyDescent="0.25">
      <c r="A6270">
        <v>3130</v>
      </c>
      <c r="B6270">
        <v>18</v>
      </c>
      <c r="C6270" t="s">
        <v>962</v>
      </c>
      <c r="D6270" t="s">
        <v>999</v>
      </c>
      <c r="E6270" t="s">
        <v>251</v>
      </c>
      <c r="F6270" t="s">
        <v>956</v>
      </c>
      <c r="G6270">
        <v>1800000</v>
      </c>
      <c r="H6270">
        <v>142000</v>
      </c>
      <c r="I6270" t="s">
        <v>949</v>
      </c>
    </row>
    <row r="6271" spans="1:9" x14ac:dyDescent="0.25">
      <c r="A6271">
        <v>3130</v>
      </c>
      <c r="B6271">
        <v>18</v>
      </c>
      <c r="C6271" t="s">
        <v>962</v>
      </c>
      <c r="D6271" t="s">
        <v>999</v>
      </c>
      <c r="E6271" t="s">
        <v>251</v>
      </c>
      <c r="F6271" t="s">
        <v>957</v>
      </c>
      <c r="G6271">
        <v>1800000</v>
      </c>
      <c r="H6271">
        <v>142000</v>
      </c>
      <c r="I6271" t="s">
        <v>949</v>
      </c>
    </row>
    <row r="6272" spans="1:9" x14ac:dyDescent="0.25">
      <c r="A6272">
        <v>3130</v>
      </c>
      <c r="B6272">
        <v>18</v>
      </c>
      <c r="C6272" t="s">
        <v>962</v>
      </c>
      <c r="D6272" t="s">
        <v>999</v>
      </c>
      <c r="E6272" t="s">
        <v>251</v>
      </c>
      <c r="F6272" t="s">
        <v>958</v>
      </c>
      <c r="G6272">
        <v>1800000</v>
      </c>
      <c r="H6272">
        <v>142000</v>
      </c>
      <c r="I6272" t="s">
        <v>949</v>
      </c>
    </row>
    <row r="6273" spans="1:9" x14ac:dyDescent="0.25">
      <c r="A6273">
        <v>3130</v>
      </c>
      <c r="B6273">
        <v>18</v>
      </c>
      <c r="C6273" t="s">
        <v>962</v>
      </c>
      <c r="D6273" t="s">
        <v>999</v>
      </c>
      <c r="E6273" t="s">
        <v>251</v>
      </c>
      <c r="F6273" t="s">
        <v>959</v>
      </c>
      <c r="G6273">
        <v>1800000</v>
      </c>
      <c r="H6273">
        <v>142000</v>
      </c>
      <c r="I6273" t="s">
        <v>949</v>
      </c>
    </row>
    <row r="6274" spans="1:9" x14ac:dyDescent="0.25">
      <c r="A6274">
        <v>3130</v>
      </c>
      <c r="B6274">
        <v>18</v>
      </c>
      <c r="C6274" t="s">
        <v>962</v>
      </c>
      <c r="D6274" t="s">
        <v>999</v>
      </c>
      <c r="E6274" t="s">
        <v>251</v>
      </c>
      <c r="F6274" t="s">
        <v>960</v>
      </c>
      <c r="G6274">
        <v>1800000</v>
      </c>
      <c r="H6274">
        <v>142000</v>
      </c>
      <c r="I6274" t="s">
        <v>949</v>
      </c>
    </row>
    <row r="6275" spans="1:9" x14ac:dyDescent="0.25">
      <c r="A6275">
        <v>3130</v>
      </c>
      <c r="B6275">
        <v>18</v>
      </c>
      <c r="C6275" t="s">
        <v>962</v>
      </c>
      <c r="D6275" t="s">
        <v>999</v>
      </c>
      <c r="E6275" t="s">
        <v>251</v>
      </c>
      <c r="F6275" t="s">
        <v>961</v>
      </c>
      <c r="G6275">
        <v>1800000</v>
      </c>
      <c r="H6275">
        <v>142000</v>
      </c>
      <c r="I6275" t="s">
        <v>949</v>
      </c>
    </row>
    <row r="6276" spans="1:9" x14ac:dyDescent="0.25">
      <c r="A6276">
        <v>3130</v>
      </c>
      <c r="B6276">
        <v>18</v>
      </c>
      <c r="C6276" t="s">
        <v>963</v>
      </c>
      <c r="D6276" t="s">
        <v>999</v>
      </c>
      <c r="E6276" t="s">
        <v>251</v>
      </c>
      <c r="F6276" t="s">
        <v>951</v>
      </c>
      <c r="G6276">
        <v>1800000</v>
      </c>
      <c r="H6276">
        <v>142000</v>
      </c>
      <c r="I6276" t="s">
        <v>949</v>
      </c>
    </row>
    <row r="6277" spans="1:9" x14ac:dyDescent="0.25">
      <c r="A6277">
        <v>3130</v>
      </c>
      <c r="B6277">
        <v>18</v>
      </c>
      <c r="C6277" t="s">
        <v>963</v>
      </c>
      <c r="D6277" t="s">
        <v>999</v>
      </c>
      <c r="E6277" t="s">
        <v>251</v>
      </c>
      <c r="F6277" t="s">
        <v>952</v>
      </c>
      <c r="G6277">
        <v>1800000</v>
      </c>
      <c r="H6277">
        <v>142000</v>
      </c>
      <c r="I6277" t="s">
        <v>949</v>
      </c>
    </row>
    <row r="6278" spans="1:9" x14ac:dyDescent="0.25">
      <c r="A6278">
        <v>3130</v>
      </c>
      <c r="B6278">
        <v>18</v>
      </c>
      <c r="C6278" t="s">
        <v>963</v>
      </c>
      <c r="D6278" t="s">
        <v>999</v>
      </c>
      <c r="E6278" t="s">
        <v>251</v>
      </c>
      <c r="F6278" t="s">
        <v>953</v>
      </c>
      <c r="G6278">
        <v>1800000</v>
      </c>
      <c r="H6278">
        <v>142000</v>
      </c>
      <c r="I6278" t="s">
        <v>949</v>
      </c>
    </row>
    <row r="6279" spans="1:9" x14ac:dyDescent="0.25">
      <c r="A6279">
        <v>3130</v>
      </c>
      <c r="B6279">
        <v>18</v>
      </c>
      <c r="C6279" t="s">
        <v>963</v>
      </c>
      <c r="D6279" t="s">
        <v>999</v>
      </c>
      <c r="E6279" t="s">
        <v>251</v>
      </c>
      <c r="F6279" t="s">
        <v>954</v>
      </c>
      <c r="G6279">
        <v>1800000</v>
      </c>
      <c r="H6279">
        <v>142000</v>
      </c>
      <c r="I6279" t="s">
        <v>949</v>
      </c>
    </row>
    <row r="6280" spans="1:9" x14ac:dyDescent="0.25">
      <c r="A6280">
        <v>3130</v>
      </c>
      <c r="B6280">
        <v>18</v>
      </c>
      <c r="C6280" t="s">
        <v>963</v>
      </c>
      <c r="D6280" t="s">
        <v>999</v>
      </c>
      <c r="E6280" t="s">
        <v>251</v>
      </c>
      <c r="F6280" t="s">
        <v>955</v>
      </c>
      <c r="G6280">
        <v>1800000</v>
      </c>
      <c r="H6280">
        <v>142000</v>
      </c>
      <c r="I6280" t="s">
        <v>949</v>
      </c>
    </row>
    <row r="6281" spans="1:9" x14ac:dyDescent="0.25">
      <c r="A6281">
        <v>3130</v>
      </c>
      <c r="B6281">
        <v>18</v>
      </c>
      <c r="C6281" t="s">
        <v>963</v>
      </c>
      <c r="D6281" t="s">
        <v>999</v>
      </c>
      <c r="E6281" t="s">
        <v>251</v>
      </c>
      <c r="F6281" t="s">
        <v>956</v>
      </c>
      <c r="G6281">
        <v>1800000</v>
      </c>
      <c r="H6281">
        <v>142000</v>
      </c>
      <c r="I6281" t="s">
        <v>949</v>
      </c>
    </row>
    <row r="6282" spans="1:9" x14ac:dyDescent="0.25">
      <c r="A6282">
        <v>3130</v>
      </c>
      <c r="B6282">
        <v>18</v>
      </c>
      <c r="C6282" t="s">
        <v>963</v>
      </c>
      <c r="D6282" t="s">
        <v>999</v>
      </c>
      <c r="E6282" t="s">
        <v>251</v>
      </c>
      <c r="F6282" t="s">
        <v>957</v>
      </c>
      <c r="G6282">
        <v>1800000</v>
      </c>
      <c r="H6282">
        <v>142000</v>
      </c>
      <c r="I6282" t="s">
        <v>949</v>
      </c>
    </row>
    <row r="6283" spans="1:9" x14ac:dyDescent="0.25">
      <c r="A6283">
        <v>3130</v>
      </c>
      <c r="B6283">
        <v>18</v>
      </c>
      <c r="C6283" t="s">
        <v>963</v>
      </c>
      <c r="D6283" t="s">
        <v>999</v>
      </c>
      <c r="E6283" t="s">
        <v>251</v>
      </c>
      <c r="F6283" t="s">
        <v>958</v>
      </c>
      <c r="G6283">
        <v>1800000</v>
      </c>
      <c r="H6283">
        <v>142000</v>
      </c>
      <c r="I6283" t="s">
        <v>949</v>
      </c>
    </row>
    <row r="6284" spans="1:9" x14ac:dyDescent="0.25">
      <c r="A6284">
        <v>3130</v>
      </c>
      <c r="B6284">
        <v>18</v>
      </c>
      <c r="C6284" t="s">
        <v>963</v>
      </c>
      <c r="D6284" t="s">
        <v>999</v>
      </c>
      <c r="E6284" t="s">
        <v>251</v>
      </c>
      <c r="F6284" t="s">
        <v>959</v>
      </c>
      <c r="G6284">
        <v>1800000</v>
      </c>
      <c r="H6284">
        <v>142000</v>
      </c>
      <c r="I6284" t="s">
        <v>949</v>
      </c>
    </row>
    <row r="6285" spans="1:9" x14ac:dyDescent="0.25">
      <c r="A6285">
        <v>3130</v>
      </c>
      <c r="B6285">
        <v>18</v>
      </c>
      <c r="C6285" t="s">
        <v>963</v>
      </c>
      <c r="D6285" t="s">
        <v>999</v>
      </c>
      <c r="E6285" t="s">
        <v>251</v>
      </c>
      <c r="F6285" t="s">
        <v>960</v>
      </c>
      <c r="G6285">
        <v>1800000</v>
      </c>
      <c r="H6285">
        <v>142000</v>
      </c>
      <c r="I6285" t="s">
        <v>949</v>
      </c>
    </row>
    <row r="6286" spans="1:9" x14ac:dyDescent="0.25">
      <c r="A6286">
        <v>3130</v>
      </c>
      <c r="B6286">
        <v>18</v>
      </c>
      <c r="C6286" t="s">
        <v>963</v>
      </c>
      <c r="D6286" t="s">
        <v>999</v>
      </c>
      <c r="E6286" t="s">
        <v>251</v>
      </c>
      <c r="F6286" t="s">
        <v>961</v>
      </c>
      <c r="G6286">
        <v>1800000</v>
      </c>
      <c r="H6286">
        <v>142000</v>
      </c>
      <c r="I6286" t="s">
        <v>949</v>
      </c>
    </row>
    <row r="6287" spans="1:9" x14ac:dyDescent="0.25">
      <c r="A6287">
        <v>3130</v>
      </c>
      <c r="B6287">
        <v>18</v>
      </c>
      <c r="C6287" t="s">
        <v>950</v>
      </c>
      <c r="D6287" t="s">
        <v>999</v>
      </c>
      <c r="E6287" t="s">
        <v>969</v>
      </c>
      <c r="F6287" t="s">
        <v>951</v>
      </c>
      <c r="G6287">
        <v>1800000</v>
      </c>
      <c r="H6287">
        <v>141000</v>
      </c>
      <c r="I6287" t="s">
        <v>970</v>
      </c>
    </row>
    <row r="6288" spans="1:9" x14ac:dyDescent="0.25">
      <c r="A6288">
        <v>3130</v>
      </c>
      <c r="B6288">
        <v>18</v>
      </c>
      <c r="C6288" t="s">
        <v>950</v>
      </c>
      <c r="D6288" t="s">
        <v>999</v>
      </c>
      <c r="E6288" t="s">
        <v>969</v>
      </c>
      <c r="F6288" t="s">
        <v>952</v>
      </c>
      <c r="G6288">
        <v>1800000</v>
      </c>
      <c r="H6288">
        <v>141000</v>
      </c>
      <c r="I6288" t="s">
        <v>970</v>
      </c>
    </row>
    <row r="6289" spans="1:9" x14ac:dyDescent="0.25">
      <c r="A6289">
        <v>3130</v>
      </c>
      <c r="B6289">
        <v>18</v>
      </c>
      <c r="C6289" t="s">
        <v>950</v>
      </c>
      <c r="D6289" t="s">
        <v>999</v>
      </c>
      <c r="E6289" t="s">
        <v>969</v>
      </c>
      <c r="F6289" t="s">
        <v>953</v>
      </c>
      <c r="G6289">
        <v>1800000</v>
      </c>
      <c r="H6289">
        <v>141000</v>
      </c>
      <c r="I6289" t="s">
        <v>970</v>
      </c>
    </row>
    <row r="6290" spans="1:9" x14ac:dyDescent="0.25">
      <c r="A6290">
        <v>3130</v>
      </c>
      <c r="B6290">
        <v>18</v>
      </c>
      <c r="C6290" t="s">
        <v>950</v>
      </c>
      <c r="D6290" t="s">
        <v>999</v>
      </c>
      <c r="E6290" t="s">
        <v>969</v>
      </c>
      <c r="F6290" t="s">
        <v>954</v>
      </c>
      <c r="G6290">
        <v>1800000</v>
      </c>
      <c r="H6290">
        <v>141000</v>
      </c>
      <c r="I6290" t="s">
        <v>970</v>
      </c>
    </row>
    <row r="6291" spans="1:9" x14ac:dyDescent="0.25">
      <c r="A6291">
        <v>3130</v>
      </c>
      <c r="B6291">
        <v>18</v>
      </c>
      <c r="C6291" t="s">
        <v>950</v>
      </c>
      <c r="D6291" t="s">
        <v>999</v>
      </c>
      <c r="E6291" t="s">
        <v>969</v>
      </c>
      <c r="F6291" t="s">
        <v>955</v>
      </c>
      <c r="G6291">
        <v>1800000</v>
      </c>
      <c r="H6291">
        <v>141000</v>
      </c>
      <c r="I6291" t="s">
        <v>970</v>
      </c>
    </row>
    <row r="6292" spans="1:9" x14ac:dyDescent="0.25">
      <c r="A6292">
        <v>3130</v>
      </c>
      <c r="B6292">
        <v>18</v>
      </c>
      <c r="C6292" t="s">
        <v>950</v>
      </c>
      <c r="D6292" t="s">
        <v>999</v>
      </c>
      <c r="E6292" t="s">
        <v>969</v>
      </c>
      <c r="F6292" t="s">
        <v>956</v>
      </c>
      <c r="G6292">
        <v>1800000</v>
      </c>
      <c r="H6292">
        <v>141000</v>
      </c>
      <c r="I6292" t="s">
        <v>970</v>
      </c>
    </row>
    <row r="6293" spans="1:9" x14ac:dyDescent="0.25">
      <c r="A6293">
        <v>3130</v>
      </c>
      <c r="B6293">
        <v>18</v>
      </c>
      <c r="C6293" t="s">
        <v>950</v>
      </c>
      <c r="D6293" t="s">
        <v>999</v>
      </c>
      <c r="E6293" t="s">
        <v>969</v>
      </c>
      <c r="F6293" t="s">
        <v>957</v>
      </c>
      <c r="G6293">
        <v>1800000</v>
      </c>
      <c r="H6293">
        <v>141000</v>
      </c>
      <c r="I6293" t="s">
        <v>970</v>
      </c>
    </row>
    <row r="6294" spans="1:9" x14ac:dyDescent="0.25">
      <c r="A6294">
        <v>3130</v>
      </c>
      <c r="B6294">
        <v>18</v>
      </c>
      <c r="C6294" t="s">
        <v>950</v>
      </c>
      <c r="D6294" t="s">
        <v>999</v>
      </c>
      <c r="E6294" t="s">
        <v>969</v>
      </c>
      <c r="F6294" t="s">
        <v>958</v>
      </c>
      <c r="G6294">
        <v>1800000</v>
      </c>
      <c r="H6294">
        <v>141000</v>
      </c>
      <c r="I6294" t="s">
        <v>970</v>
      </c>
    </row>
    <row r="6295" spans="1:9" x14ac:dyDescent="0.25">
      <c r="A6295">
        <v>3130</v>
      </c>
      <c r="B6295">
        <v>18</v>
      </c>
      <c r="C6295" t="s">
        <v>950</v>
      </c>
      <c r="D6295" t="s">
        <v>999</v>
      </c>
      <c r="E6295" t="s">
        <v>969</v>
      </c>
      <c r="F6295" t="s">
        <v>959</v>
      </c>
      <c r="G6295">
        <v>1800000</v>
      </c>
      <c r="H6295">
        <v>141000</v>
      </c>
      <c r="I6295" t="s">
        <v>970</v>
      </c>
    </row>
    <row r="6296" spans="1:9" x14ac:dyDescent="0.25">
      <c r="A6296">
        <v>3130</v>
      </c>
      <c r="B6296">
        <v>18</v>
      </c>
      <c r="C6296" t="s">
        <v>950</v>
      </c>
      <c r="D6296" t="s">
        <v>999</v>
      </c>
      <c r="E6296" t="s">
        <v>969</v>
      </c>
      <c r="F6296" t="s">
        <v>960</v>
      </c>
      <c r="G6296">
        <v>1800000</v>
      </c>
      <c r="H6296">
        <v>141000</v>
      </c>
      <c r="I6296" t="s">
        <v>970</v>
      </c>
    </row>
    <row r="6297" spans="1:9" x14ac:dyDescent="0.25">
      <c r="A6297">
        <v>3130</v>
      </c>
      <c r="B6297">
        <v>18</v>
      </c>
      <c r="C6297" t="s">
        <v>950</v>
      </c>
      <c r="D6297" t="s">
        <v>999</v>
      </c>
      <c r="E6297" t="s">
        <v>969</v>
      </c>
      <c r="F6297" t="s">
        <v>961</v>
      </c>
      <c r="G6297">
        <v>1800000</v>
      </c>
      <c r="H6297">
        <v>141000</v>
      </c>
      <c r="I6297" t="s">
        <v>970</v>
      </c>
    </row>
    <row r="6298" spans="1:9" x14ac:dyDescent="0.25">
      <c r="A6298">
        <v>3130</v>
      </c>
      <c r="B6298">
        <v>18</v>
      </c>
      <c r="C6298" t="s">
        <v>962</v>
      </c>
      <c r="D6298" t="s">
        <v>999</v>
      </c>
      <c r="E6298" t="s">
        <v>969</v>
      </c>
      <c r="F6298" t="s">
        <v>951</v>
      </c>
      <c r="G6298">
        <v>1800000</v>
      </c>
      <c r="H6298">
        <v>141000</v>
      </c>
      <c r="I6298" t="s">
        <v>970</v>
      </c>
    </row>
    <row r="6299" spans="1:9" x14ac:dyDescent="0.25">
      <c r="A6299">
        <v>3130</v>
      </c>
      <c r="B6299">
        <v>18</v>
      </c>
      <c r="C6299" t="s">
        <v>962</v>
      </c>
      <c r="D6299" t="s">
        <v>999</v>
      </c>
      <c r="E6299" t="s">
        <v>969</v>
      </c>
      <c r="F6299" t="s">
        <v>952</v>
      </c>
      <c r="G6299">
        <v>1800000</v>
      </c>
      <c r="H6299">
        <v>141000</v>
      </c>
      <c r="I6299" t="s">
        <v>970</v>
      </c>
    </row>
    <row r="6300" spans="1:9" x14ac:dyDescent="0.25">
      <c r="A6300">
        <v>3130</v>
      </c>
      <c r="B6300">
        <v>18</v>
      </c>
      <c r="C6300" t="s">
        <v>962</v>
      </c>
      <c r="D6300" t="s">
        <v>999</v>
      </c>
      <c r="E6300" t="s">
        <v>969</v>
      </c>
      <c r="F6300" t="s">
        <v>953</v>
      </c>
      <c r="G6300">
        <v>1800000</v>
      </c>
      <c r="H6300">
        <v>141000</v>
      </c>
      <c r="I6300" t="s">
        <v>970</v>
      </c>
    </row>
    <row r="6301" spans="1:9" x14ac:dyDescent="0.25">
      <c r="A6301">
        <v>3130</v>
      </c>
      <c r="B6301">
        <v>18</v>
      </c>
      <c r="C6301" t="s">
        <v>962</v>
      </c>
      <c r="D6301" t="s">
        <v>999</v>
      </c>
      <c r="E6301" t="s">
        <v>969</v>
      </c>
      <c r="F6301" t="s">
        <v>954</v>
      </c>
      <c r="G6301">
        <v>1800000</v>
      </c>
      <c r="H6301">
        <v>141000</v>
      </c>
      <c r="I6301" t="s">
        <v>970</v>
      </c>
    </row>
    <row r="6302" spans="1:9" x14ac:dyDescent="0.25">
      <c r="A6302">
        <v>3130</v>
      </c>
      <c r="B6302">
        <v>18</v>
      </c>
      <c r="C6302" t="s">
        <v>962</v>
      </c>
      <c r="D6302" t="s">
        <v>999</v>
      </c>
      <c r="E6302" t="s">
        <v>969</v>
      </c>
      <c r="F6302" t="s">
        <v>955</v>
      </c>
      <c r="G6302">
        <v>1800000</v>
      </c>
      <c r="H6302">
        <v>141000</v>
      </c>
      <c r="I6302" t="s">
        <v>970</v>
      </c>
    </row>
    <row r="6303" spans="1:9" x14ac:dyDescent="0.25">
      <c r="A6303">
        <v>3130</v>
      </c>
      <c r="B6303">
        <v>18</v>
      </c>
      <c r="C6303" t="s">
        <v>962</v>
      </c>
      <c r="D6303" t="s">
        <v>999</v>
      </c>
      <c r="E6303" t="s">
        <v>969</v>
      </c>
      <c r="F6303" t="s">
        <v>956</v>
      </c>
      <c r="G6303">
        <v>1800000</v>
      </c>
      <c r="H6303">
        <v>141000</v>
      </c>
      <c r="I6303" t="s">
        <v>970</v>
      </c>
    </row>
    <row r="6304" spans="1:9" x14ac:dyDescent="0.25">
      <c r="A6304">
        <v>3130</v>
      </c>
      <c r="B6304">
        <v>18</v>
      </c>
      <c r="C6304" t="s">
        <v>962</v>
      </c>
      <c r="D6304" t="s">
        <v>999</v>
      </c>
      <c r="E6304" t="s">
        <v>969</v>
      </c>
      <c r="F6304" t="s">
        <v>957</v>
      </c>
      <c r="G6304">
        <v>1800000</v>
      </c>
      <c r="H6304">
        <v>141000</v>
      </c>
      <c r="I6304" t="s">
        <v>970</v>
      </c>
    </row>
    <row r="6305" spans="1:9" x14ac:dyDescent="0.25">
      <c r="A6305">
        <v>3130</v>
      </c>
      <c r="B6305">
        <v>18</v>
      </c>
      <c r="C6305" t="s">
        <v>962</v>
      </c>
      <c r="D6305" t="s">
        <v>999</v>
      </c>
      <c r="E6305" t="s">
        <v>969</v>
      </c>
      <c r="F6305" t="s">
        <v>958</v>
      </c>
      <c r="G6305">
        <v>1800000</v>
      </c>
      <c r="H6305">
        <v>141000</v>
      </c>
      <c r="I6305" t="s">
        <v>970</v>
      </c>
    </row>
    <row r="6306" spans="1:9" x14ac:dyDescent="0.25">
      <c r="A6306">
        <v>3130</v>
      </c>
      <c r="B6306">
        <v>18</v>
      </c>
      <c r="C6306" t="s">
        <v>962</v>
      </c>
      <c r="D6306" t="s">
        <v>999</v>
      </c>
      <c r="E6306" t="s">
        <v>969</v>
      </c>
      <c r="F6306" t="s">
        <v>959</v>
      </c>
      <c r="G6306">
        <v>1800000</v>
      </c>
      <c r="H6306">
        <v>141000</v>
      </c>
      <c r="I6306" t="s">
        <v>970</v>
      </c>
    </row>
    <row r="6307" spans="1:9" x14ac:dyDescent="0.25">
      <c r="A6307">
        <v>3130</v>
      </c>
      <c r="B6307">
        <v>18</v>
      </c>
      <c r="C6307" t="s">
        <v>962</v>
      </c>
      <c r="D6307" t="s">
        <v>999</v>
      </c>
      <c r="E6307" t="s">
        <v>969</v>
      </c>
      <c r="F6307" t="s">
        <v>960</v>
      </c>
      <c r="G6307">
        <v>1800000</v>
      </c>
      <c r="H6307">
        <v>141000</v>
      </c>
      <c r="I6307" t="s">
        <v>970</v>
      </c>
    </row>
    <row r="6308" spans="1:9" x14ac:dyDescent="0.25">
      <c r="A6308">
        <v>3130</v>
      </c>
      <c r="B6308">
        <v>18</v>
      </c>
      <c r="C6308" t="s">
        <v>962</v>
      </c>
      <c r="D6308" t="s">
        <v>999</v>
      </c>
      <c r="E6308" t="s">
        <v>969</v>
      </c>
      <c r="F6308" t="s">
        <v>961</v>
      </c>
      <c r="G6308">
        <v>1800000</v>
      </c>
      <c r="H6308">
        <v>141000</v>
      </c>
      <c r="I6308" t="s">
        <v>970</v>
      </c>
    </row>
    <row r="6309" spans="1:9" x14ac:dyDescent="0.25">
      <c r="A6309">
        <v>3130</v>
      </c>
      <c r="B6309">
        <v>18</v>
      </c>
      <c r="C6309" t="s">
        <v>963</v>
      </c>
      <c r="D6309" t="s">
        <v>999</v>
      </c>
      <c r="E6309" t="s">
        <v>969</v>
      </c>
      <c r="F6309" t="s">
        <v>951</v>
      </c>
      <c r="G6309">
        <v>1800000</v>
      </c>
      <c r="H6309">
        <v>141000</v>
      </c>
      <c r="I6309" t="s">
        <v>970</v>
      </c>
    </row>
    <row r="6310" spans="1:9" x14ac:dyDescent="0.25">
      <c r="A6310">
        <v>3130</v>
      </c>
      <c r="B6310">
        <v>18</v>
      </c>
      <c r="C6310" t="s">
        <v>963</v>
      </c>
      <c r="D6310" t="s">
        <v>999</v>
      </c>
      <c r="E6310" t="s">
        <v>969</v>
      </c>
      <c r="F6310" t="s">
        <v>952</v>
      </c>
      <c r="G6310">
        <v>1800000</v>
      </c>
      <c r="H6310">
        <v>141000</v>
      </c>
      <c r="I6310" t="s">
        <v>970</v>
      </c>
    </row>
    <row r="6311" spans="1:9" x14ac:dyDescent="0.25">
      <c r="A6311">
        <v>3130</v>
      </c>
      <c r="B6311">
        <v>18</v>
      </c>
      <c r="C6311" t="s">
        <v>963</v>
      </c>
      <c r="D6311" t="s">
        <v>999</v>
      </c>
      <c r="E6311" t="s">
        <v>969</v>
      </c>
      <c r="F6311" t="s">
        <v>953</v>
      </c>
      <c r="G6311">
        <v>1800000</v>
      </c>
      <c r="H6311">
        <v>141000</v>
      </c>
      <c r="I6311" t="s">
        <v>970</v>
      </c>
    </row>
    <row r="6312" spans="1:9" x14ac:dyDescent="0.25">
      <c r="A6312">
        <v>3130</v>
      </c>
      <c r="B6312">
        <v>18</v>
      </c>
      <c r="C6312" t="s">
        <v>963</v>
      </c>
      <c r="D6312" t="s">
        <v>999</v>
      </c>
      <c r="E6312" t="s">
        <v>969</v>
      </c>
      <c r="F6312" t="s">
        <v>954</v>
      </c>
      <c r="G6312">
        <v>1800000</v>
      </c>
      <c r="H6312">
        <v>141000</v>
      </c>
      <c r="I6312" t="s">
        <v>970</v>
      </c>
    </row>
    <row r="6313" spans="1:9" x14ac:dyDescent="0.25">
      <c r="A6313">
        <v>3130</v>
      </c>
      <c r="B6313">
        <v>18</v>
      </c>
      <c r="C6313" t="s">
        <v>963</v>
      </c>
      <c r="D6313" t="s">
        <v>999</v>
      </c>
      <c r="E6313" t="s">
        <v>969</v>
      </c>
      <c r="F6313" t="s">
        <v>955</v>
      </c>
      <c r="G6313">
        <v>1800000</v>
      </c>
      <c r="H6313">
        <v>141000</v>
      </c>
      <c r="I6313" t="s">
        <v>970</v>
      </c>
    </row>
    <row r="6314" spans="1:9" x14ac:dyDescent="0.25">
      <c r="A6314">
        <v>3130</v>
      </c>
      <c r="B6314">
        <v>18</v>
      </c>
      <c r="C6314" t="s">
        <v>963</v>
      </c>
      <c r="D6314" t="s">
        <v>999</v>
      </c>
      <c r="E6314" t="s">
        <v>969</v>
      </c>
      <c r="F6314" t="s">
        <v>956</v>
      </c>
      <c r="G6314">
        <v>1800000</v>
      </c>
      <c r="H6314">
        <v>141000</v>
      </c>
      <c r="I6314" t="s">
        <v>970</v>
      </c>
    </row>
    <row r="6315" spans="1:9" x14ac:dyDescent="0.25">
      <c r="A6315">
        <v>3130</v>
      </c>
      <c r="B6315">
        <v>18</v>
      </c>
      <c r="C6315" t="s">
        <v>963</v>
      </c>
      <c r="D6315" t="s">
        <v>999</v>
      </c>
      <c r="E6315" t="s">
        <v>969</v>
      </c>
      <c r="F6315" t="s">
        <v>957</v>
      </c>
      <c r="G6315">
        <v>1800000</v>
      </c>
      <c r="H6315">
        <v>141000</v>
      </c>
      <c r="I6315" t="s">
        <v>970</v>
      </c>
    </row>
    <row r="6316" spans="1:9" x14ac:dyDescent="0.25">
      <c r="A6316">
        <v>3130</v>
      </c>
      <c r="B6316">
        <v>18</v>
      </c>
      <c r="C6316" t="s">
        <v>963</v>
      </c>
      <c r="D6316" t="s">
        <v>999</v>
      </c>
      <c r="E6316" t="s">
        <v>969</v>
      </c>
      <c r="F6316" t="s">
        <v>958</v>
      </c>
      <c r="G6316">
        <v>1800000</v>
      </c>
      <c r="H6316">
        <v>141000</v>
      </c>
      <c r="I6316" t="s">
        <v>970</v>
      </c>
    </row>
    <row r="6317" spans="1:9" x14ac:dyDescent="0.25">
      <c r="A6317">
        <v>3130</v>
      </c>
      <c r="B6317">
        <v>18</v>
      </c>
      <c r="C6317" t="s">
        <v>963</v>
      </c>
      <c r="D6317" t="s">
        <v>999</v>
      </c>
      <c r="E6317" t="s">
        <v>969</v>
      </c>
      <c r="F6317" t="s">
        <v>959</v>
      </c>
      <c r="G6317">
        <v>1800000</v>
      </c>
      <c r="H6317">
        <v>141000</v>
      </c>
      <c r="I6317" t="s">
        <v>970</v>
      </c>
    </row>
    <row r="6318" spans="1:9" x14ac:dyDescent="0.25">
      <c r="A6318">
        <v>3130</v>
      </c>
      <c r="B6318">
        <v>18</v>
      </c>
      <c r="C6318" t="s">
        <v>963</v>
      </c>
      <c r="D6318" t="s">
        <v>999</v>
      </c>
      <c r="E6318" t="s">
        <v>969</v>
      </c>
      <c r="F6318" t="s">
        <v>960</v>
      </c>
      <c r="G6318">
        <v>1800000</v>
      </c>
      <c r="H6318">
        <v>141000</v>
      </c>
      <c r="I6318" t="s">
        <v>970</v>
      </c>
    </row>
    <row r="6319" spans="1:9" x14ac:dyDescent="0.25">
      <c r="A6319">
        <v>3130</v>
      </c>
      <c r="B6319">
        <v>18</v>
      </c>
      <c r="C6319" t="s">
        <v>963</v>
      </c>
      <c r="D6319" t="s">
        <v>999</v>
      </c>
      <c r="E6319" t="s">
        <v>969</v>
      </c>
      <c r="F6319" t="s">
        <v>961</v>
      </c>
      <c r="G6319">
        <v>1800000</v>
      </c>
      <c r="H6319">
        <v>141000</v>
      </c>
      <c r="I6319" t="s">
        <v>970</v>
      </c>
    </row>
    <row r="6320" ht="22" customHeight="1" spans="1:10" x14ac:dyDescent="0.25">
      <c r="A6320" s="43">
        <v>3130</v>
      </c>
      <c r="B6320" s="43">
        <v>18</v>
      </c>
      <c r="C6320" s="43" t="s">
        <v>950</v>
      </c>
      <c r="D6320" s="43" t="s">
        <v>999</v>
      </c>
      <c r="E6320" s="43" t="s">
        <v>255</v>
      </c>
      <c r="F6320" s="43" t="s">
        <v>951</v>
      </c>
      <c r="G6320" s="43">
        <v>1800000</v>
      </c>
      <c r="H6320" s="43">
        <v>145000</v>
      </c>
      <c r="I6320" s="43" t="s">
        <v>949</v>
      </c>
      <c r="J6320" s="44" t="s">
        <v>1000</v>
      </c>
    </row>
    <row r="6321" ht="22" customHeight="1" spans="1:10" x14ac:dyDescent="0.25">
      <c r="A6321" s="43">
        <v>3130</v>
      </c>
      <c r="B6321" s="43">
        <v>18</v>
      </c>
      <c r="C6321" s="43" t="s">
        <v>950</v>
      </c>
      <c r="D6321" s="43" t="s">
        <v>999</v>
      </c>
      <c r="E6321" s="43" t="s">
        <v>255</v>
      </c>
      <c r="F6321" s="43" t="s">
        <v>952</v>
      </c>
      <c r="G6321" s="43">
        <v>1800000</v>
      </c>
      <c r="H6321" s="43">
        <v>145000</v>
      </c>
      <c r="I6321" s="43" t="s">
        <v>949</v>
      </c>
      <c r="J6321" s="44" t="s">
        <v>1000</v>
      </c>
    </row>
    <row r="6322" ht="22" customHeight="1" spans="1:10" x14ac:dyDescent="0.25">
      <c r="A6322" s="43">
        <v>3130</v>
      </c>
      <c r="B6322" s="43">
        <v>18</v>
      </c>
      <c r="C6322" s="43" t="s">
        <v>950</v>
      </c>
      <c r="D6322" s="43" t="s">
        <v>999</v>
      </c>
      <c r="E6322" s="43" t="s">
        <v>255</v>
      </c>
      <c r="F6322" s="43" t="s">
        <v>953</v>
      </c>
      <c r="G6322" s="43">
        <v>1800000</v>
      </c>
      <c r="H6322" s="43">
        <v>145000</v>
      </c>
      <c r="I6322" s="43" t="s">
        <v>949</v>
      </c>
      <c r="J6322" s="44" t="s">
        <v>1000</v>
      </c>
    </row>
    <row r="6323" ht="22" customHeight="1" spans="1:10" x14ac:dyDescent="0.25">
      <c r="A6323" s="43">
        <v>3130</v>
      </c>
      <c r="B6323" s="43">
        <v>18</v>
      </c>
      <c r="C6323" s="43" t="s">
        <v>950</v>
      </c>
      <c r="D6323" s="43" t="s">
        <v>999</v>
      </c>
      <c r="E6323" s="43" t="s">
        <v>255</v>
      </c>
      <c r="F6323" s="43" t="s">
        <v>954</v>
      </c>
      <c r="G6323" s="43">
        <v>1800000</v>
      </c>
      <c r="H6323" s="43">
        <v>145000</v>
      </c>
      <c r="I6323" s="43" t="s">
        <v>949</v>
      </c>
      <c r="J6323" s="44" t="s">
        <v>1000</v>
      </c>
    </row>
    <row r="6324" ht="22" customHeight="1" spans="1:10" x14ac:dyDescent="0.25">
      <c r="A6324" s="43">
        <v>3130</v>
      </c>
      <c r="B6324" s="43">
        <v>18</v>
      </c>
      <c r="C6324" s="43" t="s">
        <v>950</v>
      </c>
      <c r="D6324" s="43" t="s">
        <v>999</v>
      </c>
      <c r="E6324" s="43" t="s">
        <v>255</v>
      </c>
      <c r="F6324" s="43" t="s">
        <v>955</v>
      </c>
      <c r="G6324" s="43">
        <v>1800000</v>
      </c>
      <c r="H6324" s="43">
        <v>145000</v>
      </c>
      <c r="I6324" s="43" t="s">
        <v>949</v>
      </c>
      <c r="J6324" s="44" t="s">
        <v>1000</v>
      </c>
    </row>
    <row r="6325" ht="22" customHeight="1" spans="1:10" x14ac:dyDescent="0.25">
      <c r="A6325" s="43">
        <v>3130</v>
      </c>
      <c r="B6325" s="43">
        <v>18</v>
      </c>
      <c r="C6325" s="43" t="s">
        <v>950</v>
      </c>
      <c r="D6325" s="43" t="s">
        <v>999</v>
      </c>
      <c r="E6325" s="43" t="s">
        <v>255</v>
      </c>
      <c r="F6325" s="43" t="s">
        <v>956</v>
      </c>
      <c r="G6325" s="43">
        <v>1800000</v>
      </c>
      <c r="H6325" s="43">
        <v>145000</v>
      </c>
      <c r="I6325" s="43" t="s">
        <v>949</v>
      </c>
      <c r="J6325" s="44" t="s">
        <v>1000</v>
      </c>
    </row>
    <row r="6326" ht="22" customHeight="1" spans="1:10" x14ac:dyDescent="0.25">
      <c r="A6326" s="43">
        <v>3130</v>
      </c>
      <c r="B6326" s="43">
        <v>18</v>
      </c>
      <c r="C6326" s="43" t="s">
        <v>950</v>
      </c>
      <c r="D6326" s="43" t="s">
        <v>999</v>
      </c>
      <c r="E6326" s="43" t="s">
        <v>255</v>
      </c>
      <c r="F6326" s="43" t="s">
        <v>957</v>
      </c>
      <c r="G6326" s="43">
        <v>1800000</v>
      </c>
      <c r="H6326" s="43">
        <v>145000</v>
      </c>
      <c r="I6326" s="43" t="s">
        <v>949</v>
      </c>
      <c r="J6326" s="44" t="s">
        <v>1000</v>
      </c>
    </row>
    <row r="6327" ht="22" customHeight="1" spans="1:10" x14ac:dyDescent="0.25">
      <c r="A6327" s="43">
        <v>3130</v>
      </c>
      <c r="B6327" s="43">
        <v>18</v>
      </c>
      <c r="C6327" s="43" t="s">
        <v>950</v>
      </c>
      <c r="D6327" s="43" t="s">
        <v>999</v>
      </c>
      <c r="E6327" s="43" t="s">
        <v>255</v>
      </c>
      <c r="F6327" s="43" t="s">
        <v>958</v>
      </c>
      <c r="G6327" s="43">
        <v>1800000</v>
      </c>
      <c r="H6327" s="43">
        <v>145000</v>
      </c>
      <c r="I6327" s="43" t="s">
        <v>949</v>
      </c>
      <c r="J6327" s="44" t="s">
        <v>1000</v>
      </c>
    </row>
    <row r="6328" ht="22" customHeight="1" spans="1:10" x14ac:dyDescent="0.25">
      <c r="A6328" s="43">
        <v>3130</v>
      </c>
      <c r="B6328" s="43">
        <v>18</v>
      </c>
      <c r="C6328" s="43" t="s">
        <v>950</v>
      </c>
      <c r="D6328" s="43" t="s">
        <v>999</v>
      </c>
      <c r="E6328" s="43" t="s">
        <v>255</v>
      </c>
      <c r="F6328" s="43" t="s">
        <v>959</v>
      </c>
      <c r="G6328" s="43">
        <v>1800000</v>
      </c>
      <c r="H6328" s="43">
        <v>145000</v>
      </c>
      <c r="I6328" s="43" t="s">
        <v>949</v>
      </c>
      <c r="J6328" s="44" t="s">
        <v>1000</v>
      </c>
    </row>
    <row r="6329" ht="22" customHeight="1" spans="1:10" x14ac:dyDescent="0.25">
      <c r="A6329" s="43">
        <v>3130</v>
      </c>
      <c r="B6329" s="43">
        <v>18</v>
      </c>
      <c r="C6329" s="43" t="s">
        <v>950</v>
      </c>
      <c r="D6329" s="43" t="s">
        <v>999</v>
      </c>
      <c r="E6329" s="43" t="s">
        <v>255</v>
      </c>
      <c r="F6329" s="43" t="s">
        <v>960</v>
      </c>
      <c r="G6329" s="43">
        <v>1800000</v>
      </c>
      <c r="H6329" s="43">
        <v>145000</v>
      </c>
      <c r="I6329" s="43" t="s">
        <v>949</v>
      </c>
      <c r="J6329" s="44" t="s">
        <v>1000</v>
      </c>
    </row>
    <row r="6330" ht="22" customHeight="1" spans="1:10" x14ac:dyDescent="0.25">
      <c r="A6330" s="43">
        <v>3130</v>
      </c>
      <c r="B6330" s="43">
        <v>18</v>
      </c>
      <c r="C6330" s="43" t="s">
        <v>950</v>
      </c>
      <c r="D6330" s="43" t="s">
        <v>999</v>
      </c>
      <c r="E6330" s="43" t="s">
        <v>255</v>
      </c>
      <c r="F6330" s="43" t="s">
        <v>961</v>
      </c>
      <c r="G6330" s="43">
        <v>1800000</v>
      </c>
      <c r="H6330" s="43">
        <v>145000</v>
      </c>
      <c r="I6330" s="43" t="s">
        <v>949</v>
      </c>
      <c r="J6330" s="44" t="s">
        <v>1000</v>
      </c>
    </row>
    <row r="6331" ht="22" customHeight="1" spans="1:10" x14ac:dyDescent="0.25">
      <c r="A6331" s="43">
        <v>3130</v>
      </c>
      <c r="B6331" s="43">
        <v>18</v>
      </c>
      <c r="C6331" s="43" t="s">
        <v>962</v>
      </c>
      <c r="D6331" s="43" t="s">
        <v>999</v>
      </c>
      <c r="E6331" s="43" t="s">
        <v>255</v>
      </c>
      <c r="F6331" s="43" t="s">
        <v>951</v>
      </c>
      <c r="G6331" s="43">
        <v>1800000</v>
      </c>
      <c r="H6331" s="43">
        <v>145000</v>
      </c>
      <c r="I6331" s="43" t="s">
        <v>949</v>
      </c>
      <c r="J6331" s="44" t="s">
        <v>1000</v>
      </c>
    </row>
    <row r="6332" ht="22" customHeight="1" spans="1:10" x14ac:dyDescent="0.25">
      <c r="A6332" s="43">
        <v>3130</v>
      </c>
      <c r="B6332" s="43">
        <v>18</v>
      </c>
      <c r="C6332" s="43" t="s">
        <v>962</v>
      </c>
      <c r="D6332" s="43" t="s">
        <v>999</v>
      </c>
      <c r="E6332" s="43" t="s">
        <v>255</v>
      </c>
      <c r="F6332" s="43" t="s">
        <v>952</v>
      </c>
      <c r="G6332" s="43">
        <v>1800000</v>
      </c>
      <c r="H6332" s="43">
        <v>145000</v>
      </c>
      <c r="I6332" s="43" t="s">
        <v>949</v>
      </c>
      <c r="J6332" s="44" t="s">
        <v>1000</v>
      </c>
    </row>
    <row r="6333" ht="22" customHeight="1" spans="1:10" x14ac:dyDescent="0.25">
      <c r="A6333" s="43">
        <v>3130</v>
      </c>
      <c r="B6333" s="43">
        <v>18</v>
      </c>
      <c r="C6333" s="43" t="s">
        <v>962</v>
      </c>
      <c r="D6333" s="43" t="s">
        <v>999</v>
      </c>
      <c r="E6333" s="43" t="s">
        <v>255</v>
      </c>
      <c r="F6333" s="43" t="s">
        <v>953</v>
      </c>
      <c r="G6333" s="43">
        <v>1800000</v>
      </c>
      <c r="H6333" s="43">
        <v>145000</v>
      </c>
      <c r="I6333" s="43" t="s">
        <v>949</v>
      </c>
      <c r="J6333" s="44" t="s">
        <v>1000</v>
      </c>
    </row>
    <row r="6334" ht="22" customHeight="1" spans="1:10" x14ac:dyDescent="0.25">
      <c r="A6334" s="43">
        <v>3130</v>
      </c>
      <c r="B6334" s="43">
        <v>18</v>
      </c>
      <c r="C6334" s="43" t="s">
        <v>962</v>
      </c>
      <c r="D6334" s="43" t="s">
        <v>999</v>
      </c>
      <c r="E6334" s="43" t="s">
        <v>255</v>
      </c>
      <c r="F6334" s="43" t="s">
        <v>954</v>
      </c>
      <c r="G6334" s="43">
        <v>1800000</v>
      </c>
      <c r="H6334" s="43">
        <v>145000</v>
      </c>
      <c r="I6334" s="43" t="s">
        <v>949</v>
      </c>
      <c r="J6334" s="44" t="s">
        <v>1000</v>
      </c>
    </row>
    <row r="6335" ht="22" customHeight="1" spans="1:10" x14ac:dyDescent="0.25">
      <c r="A6335" s="43">
        <v>3130</v>
      </c>
      <c r="B6335" s="43">
        <v>18</v>
      </c>
      <c r="C6335" s="43" t="s">
        <v>962</v>
      </c>
      <c r="D6335" s="43" t="s">
        <v>999</v>
      </c>
      <c r="E6335" s="43" t="s">
        <v>255</v>
      </c>
      <c r="F6335" s="43" t="s">
        <v>955</v>
      </c>
      <c r="G6335" s="43">
        <v>1800000</v>
      </c>
      <c r="H6335" s="43">
        <v>145000</v>
      </c>
      <c r="I6335" s="43" t="s">
        <v>949</v>
      </c>
      <c r="J6335" s="44" t="s">
        <v>1000</v>
      </c>
    </row>
    <row r="6336" ht="22" customHeight="1" spans="1:10" x14ac:dyDescent="0.25">
      <c r="A6336" s="43">
        <v>3130</v>
      </c>
      <c r="B6336" s="43">
        <v>18</v>
      </c>
      <c r="C6336" s="43" t="s">
        <v>962</v>
      </c>
      <c r="D6336" s="43" t="s">
        <v>999</v>
      </c>
      <c r="E6336" s="43" t="s">
        <v>255</v>
      </c>
      <c r="F6336" s="43" t="s">
        <v>956</v>
      </c>
      <c r="G6336" s="43">
        <v>1800000</v>
      </c>
      <c r="H6336" s="43">
        <v>145000</v>
      </c>
      <c r="I6336" s="43" t="s">
        <v>949</v>
      </c>
      <c r="J6336" s="44" t="s">
        <v>1000</v>
      </c>
    </row>
    <row r="6337" ht="22" customHeight="1" spans="1:10" x14ac:dyDescent="0.25">
      <c r="A6337" s="43">
        <v>3130</v>
      </c>
      <c r="B6337" s="43">
        <v>18</v>
      </c>
      <c r="C6337" s="43" t="s">
        <v>962</v>
      </c>
      <c r="D6337" s="43" t="s">
        <v>999</v>
      </c>
      <c r="E6337" s="43" t="s">
        <v>255</v>
      </c>
      <c r="F6337" s="43" t="s">
        <v>957</v>
      </c>
      <c r="G6337" s="43">
        <v>1800000</v>
      </c>
      <c r="H6337" s="43">
        <v>145000</v>
      </c>
      <c r="I6337" s="43" t="s">
        <v>949</v>
      </c>
      <c r="J6337" s="44" t="s">
        <v>1000</v>
      </c>
    </row>
    <row r="6338" ht="22" customHeight="1" spans="1:10" x14ac:dyDescent="0.25">
      <c r="A6338" s="43">
        <v>3130</v>
      </c>
      <c r="B6338" s="43">
        <v>18</v>
      </c>
      <c r="C6338" s="43" t="s">
        <v>962</v>
      </c>
      <c r="D6338" s="43" t="s">
        <v>999</v>
      </c>
      <c r="E6338" s="43" t="s">
        <v>255</v>
      </c>
      <c r="F6338" s="43" t="s">
        <v>958</v>
      </c>
      <c r="G6338" s="43">
        <v>1800000</v>
      </c>
      <c r="H6338" s="43">
        <v>145000</v>
      </c>
      <c r="I6338" s="43" t="s">
        <v>949</v>
      </c>
      <c r="J6338" s="44" t="s">
        <v>1000</v>
      </c>
    </row>
    <row r="6339" ht="22" customHeight="1" spans="1:10" x14ac:dyDescent="0.25">
      <c r="A6339" s="43">
        <v>3130</v>
      </c>
      <c r="B6339" s="43">
        <v>18</v>
      </c>
      <c r="C6339" s="43" t="s">
        <v>962</v>
      </c>
      <c r="D6339" s="43" t="s">
        <v>999</v>
      </c>
      <c r="E6339" s="43" t="s">
        <v>255</v>
      </c>
      <c r="F6339" s="43" t="s">
        <v>959</v>
      </c>
      <c r="G6339" s="43">
        <v>1800000</v>
      </c>
      <c r="H6339" s="43">
        <v>145000</v>
      </c>
      <c r="I6339" s="43" t="s">
        <v>949</v>
      </c>
      <c r="J6339" s="44" t="s">
        <v>1000</v>
      </c>
    </row>
    <row r="6340" ht="22" customHeight="1" spans="1:10" x14ac:dyDescent="0.25">
      <c r="A6340" s="43">
        <v>3130</v>
      </c>
      <c r="B6340" s="43">
        <v>18</v>
      </c>
      <c r="C6340" s="43" t="s">
        <v>962</v>
      </c>
      <c r="D6340" s="43" t="s">
        <v>999</v>
      </c>
      <c r="E6340" s="43" t="s">
        <v>255</v>
      </c>
      <c r="F6340" s="43" t="s">
        <v>960</v>
      </c>
      <c r="G6340" s="43">
        <v>1800000</v>
      </c>
      <c r="H6340" s="43">
        <v>145000</v>
      </c>
      <c r="I6340" s="43" t="s">
        <v>949</v>
      </c>
      <c r="J6340" s="44" t="s">
        <v>1000</v>
      </c>
    </row>
    <row r="6341" ht="22" customHeight="1" spans="1:10" x14ac:dyDescent="0.25">
      <c r="A6341" s="43">
        <v>3130</v>
      </c>
      <c r="B6341" s="43">
        <v>18</v>
      </c>
      <c r="C6341" s="43" t="s">
        <v>962</v>
      </c>
      <c r="D6341" s="43" t="s">
        <v>999</v>
      </c>
      <c r="E6341" s="43" t="s">
        <v>255</v>
      </c>
      <c r="F6341" s="43" t="s">
        <v>961</v>
      </c>
      <c r="G6341" s="43">
        <v>1800000</v>
      </c>
      <c r="H6341" s="43">
        <v>145000</v>
      </c>
      <c r="I6341" s="43" t="s">
        <v>949</v>
      </c>
      <c r="J6341" s="44" t="s">
        <v>1000</v>
      </c>
    </row>
    <row r="6342" ht="22" customHeight="1" spans="1:10" x14ac:dyDescent="0.25">
      <c r="A6342" s="43">
        <v>3130</v>
      </c>
      <c r="B6342" s="43">
        <v>18</v>
      </c>
      <c r="C6342" s="43" t="s">
        <v>963</v>
      </c>
      <c r="D6342" s="43" t="s">
        <v>999</v>
      </c>
      <c r="E6342" s="43" t="s">
        <v>255</v>
      </c>
      <c r="F6342" s="43" t="s">
        <v>951</v>
      </c>
      <c r="G6342" s="43">
        <v>1800000</v>
      </c>
      <c r="H6342" s="43">
        <v>145000</v>
      </c>
      <c r="I6342" s="43" t="s">
        <v>949</v>
      </c>
      <c r="J6342" s="44" t="s">
        <v>1000</v>
      </c>
    </row>
    <row r="6343" ht="22" customHeight="1" spans="1:10" x14ac:dyDescent="0.25">
      <c r="A6343" s="43">
        <v>3130</v>
      </c>
      <c r="B6343" s="43">
        <v>18</v>
      </c>
      <c r="C6343" s="43" t="s">
        <v>963</v>
      </c>
      <c r="D6343" s="43" t="s">
        <v>999</v>
      </c>
      <c r="E6343" s="43" t="s">
        <v>255</v>
      </c>
      <c r="F6343" s="43" t="s">
        <v>952</v>
      </c>
      <c r="G6343" s="43">
        <v>1800000</v>
      </c>
      <c r="H6343" s="43">
        <v>145000</v>
      </c>
      <c r="I6343" s="43" t="s">
        <v>949</v>
      </c>
      <c r="J6343" s="44" t="s">
        <v>1000</v>
      </c>
    </row>
    <row r="6344" ht="22" customHeight="1" spans="1:10" x14ac:dyDescent="0.25">
      <c r="A6344" s="43">
        <v>3130</v>
      </c>
      <c r="B6344" s="43">
        <v>18</v>
      </c>
      <c r="C6344" s="43" t="s">
        <v>963</v>
      </c>
      <c r="D6344" s="43" t="s">
        <v>999</v>
      </c>
      <c r="E6344" s="43" t="s">
        <v>255</v>
      </c>
      <c r="F6344" s="43" t="s">
        <v>953</v>
      </c>
      <c r="G6344" s="43">
        <v>1800000</v>
      </c>
      <c r="H6344" s="43">
        <v>145000</v>
      </c>
      <c r="I6344" s="43" t="s">
        <v>949</v>
      </c>
      <c r="J6344" s="44" t="s">
        <v>1000</v>
      </c>
    </row>
    <row r="6345" ht="22" customHeight="1" spans="1:10" x14ac:dyDescent="0.25">
      <c r="A6345" s="43">
        <v>3130</v>
      </c>
      <c r="B6345" s="43">
        <v>18</v>
      </c>
      <c r="C6345" s="43" t="s">
        <v>963</v>
      </c>
      <c r="D6345" s="43" t="s">
        <v>999</v>
      </c>
      <c r="E6345" s="43" t="s">
        <v>255</v>
      </c>
      <c r="F6345" s="43" t="s">
        <v>954</v>
      </c>
      <c r="G6345" s="43">
        <v>1800000</v>
      </c>
      <c r="H6345" s="43">
        <v>145000</v>
      </c>
      <c r="I6345" s="43" t="s">
        <v>949</v>
      </c>
      <c r="J6345" s="44" t="s">
        <v>1000</v>
      </c>
    </row>
    <row r="6346" ht="22" customHeight="1" spans="1:10" x14ac:dyDescent="0.25">
      <c r="A6346" s="43">
        <v>3130</v>
      </c>
      <c r="B6346" s="43">
        <v>18</v>
      </c>
      <c r="C6346" s="43" t="s">
        <v>963</v>
      </c>
      <c r="D6346" s="43" t="s">
        <v>999</v>
      </c>
      <c r="E6346" s="43" t="s">
        <v>255</v>
      </c>
      <c r="F6346" s="43" t="s">
        <v>955</v>
      </c>
      <c r="G6346" s="43">
        <v>1800000</v>
      </c>
      <c r="H6346" s="43">
        <v>145000</v>
      </c>
      <c r="I6346" s="43" t="s">
        <v>949</v>
      </c>
      <c r="J6346" s="44" t="s">
        <v>1000</v>
      </c>
    </row>
    <row r="6347" ht="22" customHeight="1" spans="1:10" x14ac:dyDescent="0.25">
      <c r="A6347" s="43">
        <v>3130</v>
      </c>
      <c r="B6347" s="43">
        <v>18</v>
      </c>
      <c r="C6347" s="43" t="s">
        <v>963</v>
      </c>
      <c r="D6347" s="43" t="s">
        <v>999</v>
      </c>
      <c r="E6347" s="43" t="s">
        <v>255</v>
      </c>
      <c r="F6347" s="43" t="s">
        <v>956</v>
      </c>
      <c r="G6347" s="43">
        <v>1800000</v>
      </c>
      <c r="H6347" s="43">
        <v>145000</v>
      </c>
      <c r="I6347" s="43" t="s">
        <v>949</v>
      </c>
      <c r="J6347" s="44" t="s">
        <v>1000</v>
      </c>
    </row>
    <row r="6348" ht="22" customHeight="1" spans="1:10" x14ac:dyDescent="0.25">
      <c r="A6348" s="43">
        <v>3130</v>
      </c>
      <c r="B6348" s="43">
        <v>18</v>
      </c>
      <c r="C6348" s="43" t="s">
        <v>963</v>
      </c>
      <c r="D6348" s="43" t="s">
        <v>999</v>
      </c>
      <c r="E6348" s="43" t="s">
        <v>255</v>
      </c>
      <c r="F6348" s="43" t="s">
        <v>957</v>
      </c>
      <c r="G6348" s="43">
        <v>1800000</v>
      </c>
      <c r="H6348" s="43">
        <v>145000</v>
      </c>
      <c r="I6348" s="43" t="s">
        <v>949</v>
      </c>
      <c r="J6348" s="44" t="s">
        <v>1000</v>
      </c>
    </row>
    <row r="6349" ht="22" customHeight="1" spans="1:10" x14ac:dyDescent="0.25">
      <c r="A6349" s="43">
        <v>3130</v>
      </c>
      <c r="B6349" s="43">
        <v>18</v>
      </c>
      <c r="C6349" s="43" t="s">
        <v>963</v>
      </c>
      <c r="D6349" s="43" t="s">
        <v>999</v>
      </c>
      <c r="E6349" s="43" t="s">
        <v>255</v>
      </c>
      <c r="F6349" s="43" t="s">
        <v>958</v>
      </c>
      <c r="G6349" s="43">
        <v>1800000</v>
      </c>
      <c r="H6349" s="43">
        <v>145000</v>
      </c>
      <c r="I6349" s="43" t="s">
        <v>949</v>
      </c>
      <c r="J6349" s="44" t="s">
        <v>1000</v>
      </c>
    </row>
    <row r="6350" ht="22" customHeight="1" spans="1:10" x14ac:dyDescent="0.25">
      <c r="A6350" s="43">
        <v>3130</v>
      </c>
      <c r="B6350" s="43">
        <v>18</v>
      </c>
      <c r="C6350" s="43" t="s">
        <v>963</v>
      </c>
      <c r="D6350" s="43" t="s">
        <v>999</v>
      </c>
      <c r="E6350" s="43" t="s">
        <v>255</v>
      </c>
      <c r="F6350" s="43" t="s">
        <v>959</v>
      </c>
      <c r="G6350" s="43">
        <v>1800000</v>
      </c>
      <c r="H6350" s="43">
        <v>145000</v>
      </c>
      <c r="I6350" s="43" t="s">
        <v>949</v>
      </c>
      <c r="J6350" s="44" t="s">
        <v>1000</v>
      </c>
    </row>
    <row r="6351" ht="22" customHeight="1" spans="1:10" x14ac:dyDescent="0.25">
      <c r="A6351" s="43">
        <v>3130</v>
      </c>
      <c r="B6351" s="43">
        <v>18</v>
      </c>
      <c r="C6351" s="43" t="s">
        <v>963</v>
      </c>
      <c r="D6351" s="43" t="s">
        <v>999</v>
      </c>
      <c r="E6351" s="43" t="s">
        <v>255</v>
      </c>
      <c r="F6351" s="43" t="s">
        <v>960</v>
      </c>
      <c r="G6351" s="43">
        <v>1800000</v>
      </c>
      <c r="H6351" s="43">
        <v>145000</v>
      </c>
      <c r="I6351" s="43" t="s">
        <v>949</v>
      </c>
      <c r="J6351" s="44" t="s">
        <v>1000</v>
      </c>
    </row>
    <row r="6352" ht="22" customHeight="1" spans="1:10" x14ac:dyDescent="0.25">
      <c r="A6352" s="43">
        <v>3130</v>
      </c>
      <c r="B6352" s="43">
        <v>18</v>
      </c>
      <c r="C6352" s="43" t="s">
        <v>963</v>
      </c>
      <c r="D6352" s="43" t="s">
        <v>999</v>
      </c>
      <c r="E6352" s="43" t="s">
        <v>255</v>
      </c>
      <c r="F6352" s="43" t="s">
        <v>961</v>
      </c>
      <c r="G6352" s="43">
        <v>1800000</v>
      </c>
      <c r="H6352" s="43">
        <v>145000</v>
      </c>
      <c r="I6352" s="43" t="s">
        <v>949</v>
      </c>
      <c r="J6352" s="44" t="s">
        <v>1000</v>
      </c>
    </row>
    <row r="6353" spans="1:9" x14ac:dyDescent="0.25">
      <c r="A6353">
        <v>3130</v>
      </c>
      <c r="B6353">
        <v>18</v>
      </c>
      <c r="C6353" t="s">
        <v>950</v>
      </c>
      <c r="D6353" t="s">
        <v>999</v>
      </c>
      <c r="E6353" t="s">
        <v>971</v>
      </c>
      <c r="F6353" t="s">
        <v>951</v>
      </c>
      <c r="G6353">
        <v>1800000</v>
      </c>
      <c r="H6353">
        <v>141000</v>
      </c>
      <c r="I6353" t="s">
        <v>972</v>
      </c>
    </row>
    <row r="6354" spans="1:9" x14ac:dyDescent="0.25">
      <c r="A6354">
        <v>3130</v>
      </c>
      <c r="B6354">
        <v>18</v>
      </c>
      <c r="C6354" t="s">
        <v>950</v>
      </c>
      <c r="D6354" t="s">
        <v>999</v>
      </c>
      <c r="E6354" t="s">
        <v>971</v>
      </c>
      <c r="F6354" t="s">
        <v>952</v>
      </c>
      <c r="G6354">
        <v>1800000</v>
      </c>
      <c r="H6354">
        <v>141000</v>
      </c>
      <c r="I6354" t="s">
        <v>972</v>
      </c>
    </row>
    <row r="6355" spans="1:9" x14ac:dyDescent="0.25">
      <c r="A6355">
        <v>3130</v>
      </c>
      <c r="B6355">
        <v>18</v>
      </c>
      <c r="C6355" t="s">
        <v>950</v>
      </c>
      <c r="D6355" t="s">
        <v>999</v>
      </c>
      <c r="E6355" t="s">
        <v>971</v>
      </c>
      <c r="F6355" t="s">
        <v>953</v>
      </c>
      <c r="G6355">
        <v>1800000</v>
      </c>
      <c r="H6355">
        <v>141000</v>
      </c>
      <c r="I6355" t="s">
        <v>972</v>
      </c>
    </row>
    <row r="6356" spans="1:9" x14ac:dyDescent="0.25">
      <c r="A6356">
        <v>3130</v>
      </c>
      <c r="B6356">
        <v>18</v>
      </c>
      <c r="C6356" t="s">
        <v>950</v>
      </c>
      <c r="D6356" t="s">
        <v>999</v>
      </c>
      <c r="E6356" t="s">
        <v>971</v>
      </c>
      <c r="F6356" t="s">
        <v>954</v>
      </c>
      <c r="G6356">
        <v>1800000</v>
      </c>
      <c r="H6356">
        <v>141000</v>
      </c>
      <c r="I6356" t="s">
        <v>972</v>
      </c>
    </row>
    <row r="6357" spans="1:9" x14ac:dyDescent="0.25">
      <c r="A6357">
        <v>3130</v>
      </c>
      <c r="B6357">
        <v>18</v>
      </c>
      <c r="C6357" t="s">
        <v>950</v>
      </c>
      <c r="D6357" t="s">
        <v>999</v>
      </c>
      <c r="E6357" t="s">
        <v>971</v>
      </c>
      <c r="F6357" t="s">
        <v>955</v>
      </c>
      <c r="G6357">
        <v>1800000</v>
      </c>
      <c r="H6357">
        <v>141000</v>
      </c>
      <c r="I6357" t="s">
        <v>972</v>
      </c>
    </row>
    <row r="6358" spans="1:9" x14ac:dyDescent="0.25">
      <c r="A6358">
        <v>3130</v>
      </c>
      <c r="B6358">
        <v>18</v>
      </c>
      <c r="C6358" t="s">
        <v>950</v>
      </c>
      <c r="D6358" t="s">
        <v>999</v>
      </c>
      <c r="E6358" t="s">
        <v>971</v>
      </c>
      <c r="F6358" t="s">
        <v>956</v>
      </c>
      <c r="G6358">
        <v>1800000</v>
      </c>
      <c r="H6358">
        <v>141000</v>
      </c>
      <c r="I6358" t="s">
        <v>972</v>
      </c>
    </row>
    <row r="6359" spans="1:9" x14ac:dyDescent="0.25">
      <c r="A6359">
        <v>3130</v>
      </c>
      <c r="B6359">
        <v>18</v>
      </c>
      <c r="C6359" t="s">
        <v>950</v>
      </c>
      <c r="D6359" t="s">
        <v>999</v>
      </c>
      <c r="E6359" t="s">
        <v>971</v>
      </c>
      <c r="F6359" t="s">
        <v>957</v>
      </c>
      <c r="G6359">
        <v>1800000</v>
      </c>
      <c r="H6359">
        <v>141000</v>
      </c>
      <c r="I6359" t="s">
        <v>972</v>
      </c>
    </row>
    <row r="6360" spans="1:9" x14ac:dyDescent="0.25">
      <c r="A6360">
        <v>3130</v>
      </c>
      <c r="B6360">
        <v>18</v>
      </c>
      <c r="C6360" t="s">
        <v>950</v>
      </c>
      <c r="D6360" t="s">
        <v>999</v>
      </c>
      <c r="E6360" t="s">
        <v>971</v>
      </c>
      <c r="F6360" t="s">
        <v>958</v>
      </c>
      <c r="G6360">
        <v>1800000</v>
      </c>
      <c r="H6360">
        <v>141000</v>
      </c>
      <c r="I6360" t="s">
        <v>972</v>
      </c>
    </row>
    <row r="6361" spans="1:9" x14ac:dyDescent="0.25">
      <c r="A6361">
        <v>3130</v>
      </c>
      <c r="B6361">
        <v>18</v>
      </c>
      <c r="C6361" t="s">
        <v>950</v>
      </c>
      <c r="D6361" t="s">
        <v>999</v>
      </c>
      <c r="E6361" t="s">
        <v>971</v>
      </c>
      <c r="F6361" t="s">
        <v>959</v>
      </c>
      <c r="G6361">
        <v>1800000</v>
      </c>
      <c r="H6361">
        <v>141000</v>
      </c>
      <c r="I6361" t="s">
        <v>972</v>
      </c>
    </row>
    <row r="6362" spans="1:9" x14ac:dyDescent="0.25">
      <c r="A6362">
        <v>3130</v>
      </c>
      <c r="B6362">
        <v>18</v>
      </c>
      <c r="C6362" t="s">
        <v>950</v>
      </c>
      <c r="D6362" t="s">
        <v>999</v>
      </c>
      <c r="E6362" t="s">
        <v>971</v>
      </c>
      <c r="F6362" t="s">
        <v>960</v>
      </c>
      <c r="G6362">
        <v>1800000</v>
      </c>
      <c r="H6362">
        <v>141000</v>
      </c>
      <c r="I6362" t="s">
        <v>972</v>
      </c>
    </row>
    <row r="6363" spans="1:9" x14ac:dyDescent="0.25">
      <c r="A6363">
        <v>3130</v>
      </c>
      <c r="B6363">
        <v>18</v>
      </c>
      <c r="C6363" t="s">
        <v>950</v>
      </c>
      <c r="D6363" t="s">
        <v>999</v>
      </c>
      <c r="E6363" t="s">
        <v>971</v>
      </c>
      <c r="F6363" t="s">
        <v>961</v>
      </c>
      <c r="G6363">
        <v>1800000</v>
      </c>
      <c r="H6363">
        <v>141000</v>
      </c>
      <c r="I6363" t="s">
        <v>972</v>
      </c>
    </row>
    <row r="6364" spans="1:9" x14ac:dyDescent="0.25">
      <c r="A6364">
        <v>3130</v>
      </c>
      <c r="B6364">
        <v>18</v>
      </c>
      <c r="C6364" t="s">
        <v>962</v>
      </c>
      <c r="D6364" t="s">
        <v>999</v>
      </c>
      <c r="E6364" t="s">
        <v>971</v>
      </c>
      <c r="F6364" t="s">
        <v>951</v>
      </c>
      <c r="G6364">
        <v>1800000</v>
      </c>
      <c r="H6364">
        <v>141000</v>
      </c>
      <c r="I6364" t="s">
        <v>972</v>
      </c>
    </row>
    <row r="6365" spans="1:9" x14ac:dyDescent="0.25">
      <c r="A6365">
        <v>3130</v>
      </c>
      <c r="B6365">
        <v>18</v>
      </c>
      <c r="C6365" t="s">
        <v>962</v>
      </c>
      <c r="D6365" t="s">
        <v>999</v>
      </c>
      <c r="E6365" t="s">
        <v>971</v>
      </c>
      <c r="F6365" t="s">
        <v>952</v>
      </c>
      <c r="G6365">
        <v>1800000</v>
      </c>
      <c r="H6365">
        <v>141000</v>
      </c>
      <c r="I6365" t="s">
        <v>972</v>
      </c>
    </row>
    <row r="6366" spans="1:9" x14ac:dyDescent="0.25">
      <c r="A6366">
        <v>3130</v>
      </c>
      <c r="B6366">
        <v>18</v>
      </c>
      <c r="C6366" t="s">
        <v>962</v>
      </c>
      <c r="D6366" t="s">
        <v>999</v>
      </c>
      <c r="E6366" t="s">
        <v>971</v>
      </c>
      <c r="F6366" t="s">
        <v>953</v>
      </c>
      <c r="G6366">
        <v>1800000</v>
      </c>
      <c r="H6366">
        <v>141000</v>
      </c>
      <c r="I6366" t="s">
        <v>972</v>
      </c>
    </row>
    <row r="6367" spans="1:9" x14ac:dyDescent="0.25">
      <c r="A6367">
        <v>3130</v>
      </c>
      <c r="B6367">
        <v>18</v>
      </c>
      <c r="C6367" t="s">
        <v>962</v>
      </c>
      <c r="D6367" t="s">
        <v>999</v>
      </c>
      <c r="E6367" t="s">
        <v>971</v>
      </c>
      <c r="F6367" t="s">
        <v>954</v>
      </c>
      <c r="G6367">
        <v>1800000</v>
      </c>
      <c r="H6367">
        <v>141000</v>
      </c>
      <c r="I6367" t="s">
        <v>972</v>
      </c>
    </row>
    <row r="6368" spans="1:9" x14ac:dyDescent="0.25">
      <c r="A6368">
        <v>3130</v>
      </c>
      <c r="B6368">
        <v>18</v>
      </c>
      <c r="C6368" t="s">
        <v>962</v>
      </c>
      <c r="D6368" t="s">
        <v>999</v>
      </c>
      <c r="E6368" t="s">
        <v>971</v>
      </c>
      <c r="F6368" t="s">
        <v>955</v>
      </c>
      <c r="G6368">
        <v>1800000</v>
      </c>
      <c r="H6368">
        <v>141000</v>
      </c>
      <c r="I6368" t="s">
        <v>972</v>
      </c>
    </row>
    <row r="6369" spans="1:9" x14ac:dyDescent="0.25">
      <c r="A6369">
        <v>3130</v>
      </c>
      <c r="B6369">
        <v>18</v>
      </c>
      <c r="C6369" t="s">
        <v>962</v>
      </c>
      <c r="D6369" t="s">
        <v>999</v>
      </c>
      <c r="E6369" t="s">
        <v>971</v>
      </c>
      <c r="F6369" t="s">
        <v>956</v>
      </c>
      <c r="G6369">
        <v>1800000</v>
      </c>
      <c r="H6369">
        <v>141000</v>
      </c>
      <c r="I6369" t="s">
        <v>972</v>
      </c>
    </row>
    <row r="6370" spans="1:9" x14ac:dyDescent="0.25">
      <c r="A6370">
        <v>3130</v>
      </c>
      <c r="B6370">
        <v>18</v>
      </c>
      <c r="C6370" t="s">
        <v>962</v>
      </c>
      <c r="D6370" t="s">
        <v>999</v>
      </c>
      <c r="E6370" t="s">
        <v>971</v>
      </c>
      <c r="F6370" t="s">
        <v>957</v>
      </c>
      <c r="G6370">
        <v>1800000</v>
      </c>
      <c r="H6370">
        <v>141000</v>
      </c>
      <c r="I6370" t="s">
        <v>972</v>
      </c>
    </row>
    <row r="6371" spans="1:9" x14ac:dyDescent="0.25">
      <c r="A6371">
        <v>3130</v>
      </c>
      <c r="B6371">
        <v>18</v>
      </c>
      <c r="C6371" t="s">
        <v>962</v>
      </c>
      <c r="D6371" t="s">
        <v>999</v>
      </c>
      <c r="E6371" t="s">
        <v>971</v>
      </c>
      <c r="F6371" t="s">
        <v>958</v>
      </c>
      <c r="G6371">
        <v>1800000</v>
      </c>
      <c r="H6371">
        <v>141000</v>
      </c>
      <c r="I6371" t="s">
        <v>972</v>
      </c>
    </row>
    <row r="6372" spans="1:9" x14ac:dyDescent="0.25">
      <c r="A6372">
        <v>3130</v>
      </c>
      <c r="B6372">
        <v>18</v>
      </c>
      <c r="C6372" t="s">
        <v>962</v>
      </c>
      <c r="D6372" t="s">
        <v>999</v>
      </c>
      <c r="E6372" t="s">
        <v>971</v>
      </c>
      <c r="F6372" t="s">
        <v>959</v>
      </c>
      <c r="G6372">
        <v>1800000</v>
      </c>
      <c r="H6372">
        <v>141000</v>
      </c>
      <c r="I6372" t="s">
        <v>972</v>
      </c>
    </row>
    <row r="6373" spans="1:9" x14ac:dyDescent="0.25">
      <c r="A6373">
        <v>3130</v>
      </c>
      <c r="B6373">
        <v>18</v>
      </c>
      <c r="C6373" t="s">
        <v>962</v>
      </c>
      <c r="D6373" t="s">
        <v>999</v>
      </c>
      <c r="E6373" t="s">
        <v>971</v>
      </c>
      <c r="F6373" t="s">
        <v>960</v>
      </c>
      <c r="G6373">
        <v>1800000</v>
      </c>
      <c r="H6373">
        <v>141000</v>
      </c>
      <c r="I6373" t="s">
        <v>972</v>
      </c>
    </row>
    <row r="6374" spans="1:9" x14ac:dyDescent="0.25">
      <c r="A6374">
        <v>3130</v>
      </c>
      <c r="B6374">
        <v>18</v>
      </c>
      <c r="C6374" t="s">
        <v>962</v>
      </c>
      <c r="D6374" t="s">
        <v>999</v>
      </c>
      <c r="E6374" t="s">
        <v>971</v>
      </c>
      <c r="F6374" t="s">
        <v>961</v>
      </c>
      <c r="G6374">
        <v>1800000</v>
      </c>
      <c r="H6374">
        <v>141000</v>
      </c>
      <c r="I6374" t="s">
        <v>972</v>
      </c>
    </row>
    <row r="6375" spans="1:9" x14ac:dyDescent="0.25">
      <c r="A6375">
        <v>3130</v>
      </c>
      <c r="B6375">
        <v>18</v>
      </c>
      <c r="C6375" t="s">
        <v>963</v>
      </c>
      <c r="D6375" t="s">
        <v>999</v>
      </c>
      <c r="E6375" t="s">
        <v>971</v>
      </c>
      <c r="F6375" t="s">
        <v>951</v>
      </c>
      <c r="G6375">
        <v>1800000</v>
      </c>
      <c r="H6375">
        <v>141000</v>
      </c>
      <c r="I6375" t="s">
        <v>972</v>
      </c>
    </row>
    <row r="6376" spans="1:9" x14ac:dyDescent="0.25">
      <c r="A6376">
        <v>3130</v>
      </c>
      <c r="B6376">
        <v>18</v>
      </c>
      <c r="C6376" t="s">
        <v>963</v>
      </c>
      <c r="D6376" t="s">
        <v>999</v>
      </c>
      <c r="E6376" t="s">
        <v>971</v>
      </c>
      <c r="F6376" t="s">
        <v>952</v>
      </c>
      <c r="G6376">
        <v>1800000</v>
      </c>
      <c r="H6376">
        <v>141000</v>
      </c>
      <c r="I6376" t="s">
        <v>972</v>
      </c>
    </row>
    <row r="6377" spans="1:9" x14ac:dyDescent="0.25">
      <c r="A6377">
        <v>3130</v>
      </c>
      <c r="B6377">
        <v>18</v>
      </c>
      <c r="C6377" t="s">
        <v>963</v>
      </c>
      <c r="D6377" t="s">
        <v>999</v>
      </c>
      <c r="E6377" t="s">
        <v>971</v>
      </c>
      <c r="F6377" t="s">
        <v>953</v>
      </c>
      <c r="G6377">
        <v>1800000</v>
      </c>
      <c r="H6377">
        <v>141000</v>
      </c>
      <c r="I6377" t="s">
        <v>972</v>
      </c>
    </row>
    <row r="6378" spans="1:9" x14ac:dyDescent="0.25">
      <c r="A6378">
        <v>3130</v>
      </c>
      <c r="B6378">
        <v>18</v>
      </c>
      <c r="C6378" t="s">
        <v>963</v>
      </c>
      <c r="D6378" t="s">
        <v>999</v>
      </c>
      <c r="E6378" t="s">
        <v>971</v>
      </c>
      <c r="F6378" t="s">
        <v>954</v>
      </c>
      <c r="G6378">
        <v>1800000</v>
      </c>
      <c r="H6378">
        <v>141000</v>
      </c>
      <c r="I6378" t="s">
        <v>972</v>
      </c>
    </row>
    <row r="6379" spans="1:9" x14ac:dyDescent="0.25">
      <c r="A6379">
        <v>3130</v>
      </c>
      <c r="B6379">
        <v>18</v>
      </c>
      <c r="C6379" t="s">
        <v>963</v>
      </c>
      <c r="D6379" t="s">
        <v>999</v>
      </c>
      <c r="E6379" t="s">
        <v>971</v>
      </c>
      <c r="F6379" t="s">
        <v>955</v>
      </c>
      <c r="G6379">
        <v>1800000</v>
      </c>
      <c r="H6379">
        <v>141000</v>
      </c>
      <c r="I6379" t="s">
        <v>972</v>
      </c>
    </row>
    <row r="6380" spans="1:9" x14ac:dyDescent="0.25">
      <c r="A6380">
        <v>3130</v>
      </c>
      <c r="B6380">
        <v>18</v>
      </c>
      <c r="C6380" t="s">
        <v>963</v>
      </c>
      <c r="D6380" t="s">
        <v>999</v>
      </c>
      <c r="E6380" t="s">
        <v>971</v>
      </c>
      <c r="F6380" t="s">
        <v>956</v>
      </c>
      <c r="G6380">
        <v>1800000</v>
      </c>
      <c r="H6380">
        <v>141000</v>
      </c>
      <c r="I6380" t="s">
        <v>972</v>
      </c>
    </row>
    <row r="6381" spans="1:9" x14ac:dyDescent="0.25">
      <c r="A6381">
        <v>3130</v>
      </c>
      <c r="B6381">
        <v>18</v>
      </c>
      <c r="C6381" t="s">
        <v>963</v>
      </c>
      <c r="D6381" t="s">
        <v>999</v>
      </c>
      <c r="E6381" t="s">
        <v>971</v>
      </c>
      <c r="F6381" t="s">
        <v>957</v>
      </c>
      <c r="G6381">
        <v>1800000</v>
      </c>
      <c r="H6381">
        <v>141000</v>
      </c>
      <c r="I6381" t="s">
        <v>972</v>
      </c>
    </row>
    <row r="6382" spans="1:9" x14ac:dyDescent="0.25">
      <c r="A6382">
        <v>3130</v>
      </c>
      <c r="B6382">
        <v>18</v>
      </c>
      <c r="C6382" t="s">
        <v>963</v>
      </c>
      <c r="D6382" t="s">
        <v>999</v>
      </c>
      <c r="E6382" t="s">
        <v>971</v>
      </c>
      <c r="F6382" t="s">
        <v>958</v>
      </c>
      <c r="G6382">
        <v>1800000</v>
      </c>
      <c r="H6382">
        <v>141000</v>
      </c>
      <c r="I6382" t="s">
        <v>972</v>
      </c>
    </row>
    <row r="6383" spans="1:9" x14ac:dyDescent="0.25">
      <c r="A6383">
        <v>3130</v>
      </c>
      <c r="B6383">
        <v>18</v>
      </c>
      <c r="C6383" t="s">
        <v>963</v>
      </c>
      <c r="D6383" t="s">
        <v>999</v>
      </c>
      <c r="E6383" t="s">
        <v>971</v>
      </c>
      <c r="F6383" t="s">
        <v>959</v>
      </c>
      <c r="G6383">
        <v>1800000</v>
      </c>
      <c r="H6383">
        <v>141000</v>
      </c>
      <c r="I6383" t="s">
        <v>972</v>
      </c>
    </row>
    <row r="6384" spans="1:9" x14ac:dyDescent="0.25">
      <c r="A6384">
        <v>3130</v>
      </c>
      <c r="B6384">
        <v>18</v>
      </c>
      <c r="C6384" t="s">
        <v>963</v>
      </c>
      <c r="D6384" t="s">
        <v>999</v>
      </c>
      <c r="E6384" t="s">
        <v>971</v>
      </c>
      <c r="F6384" t="s">
        <v>960</v>
      </c>
      <c r="G6384">
        <v>1800000</v>
      </c>
      <c r="H6384">
        <v>141000</v>
      </c>
      <c r="I6384" t="s">
        <v>972</v>
      </c>
    </row>
    <row r="6385" spans="1:9" x14ac:dyDescent="0.25">
      <c r="A6385">
        <v>3130</v>
      </c>
      <c r="B6385">
        <v>18</v>
      </c>
      <c r="C6385" t="s">
        <v>963</v>
      </c>
      <c r="D6385" t="s">
        <v>999</v>
      </c>
      <c r="E6385" t="s">
        <v>971</v>
      </c>
      <c r="F6385" t="s">
        <v>961</v>
      </c>
      <c r="G6385">
        <v>1800000</v>
      </c>
      <c r="H6385">
        <v>141000</v>
      </c>
      <c r="I6385" t="s">
        <v>972</v>
      </c>
    </row>
    <row r="6386" ht="22" customHeight="1" spans="1:10" x14ac:dyDescent="0.25">
      <c r="A6386" s="43">
        <v>3130</v>
      </c>
      <c r="B6386" s="43">
        <v>18</v>
      </c>
      <c r="C6386" s="43" t="s">
        <v>950</v>
      </c>
      <c r="D6386" s="43" t="s">
        <v>999</v>
      </c>
      <c r="E6386" s="43" t="s">
        <v>263</v>
      </c>
      <c r="F6386" s="43" t="s">
        <v>951</v>
      </c>
      <c r="G6386" s="43">
        <v>1800000</v>
      </c>
      <c r="H6386" s="43">
        <v>145000</v>
      </c>
      <c r="I6386" s="43" t="s">
        <v>949</v>
      </c>
      <c r="J6386" s="44" t="s">
        <v>1000</v>
      </c>
    </row>
    <row r="6387" ht="22" customHeight="1" spans="1:10" x14ac:dyDescent="0.25">
      <c r="A6387" s="43">
        <v>3130</v>
      </c>
      <c r="B6387" s="43">
        <v>18</v>
      </c>
      <c r="C6387" s="43" t="s">
        <v>950</v>
      </c>
      <c r="D6387" s="43" t="s">
        <v>999</v>
      </c>
      <c r="E6387" s="43" t="s">
        <v>263</v>
      </c>
      <c r="F6387" s="43" t="s">
        <v>952</v>
      </c>
      <c r="G6387" s="43">
        <v>1800000</v>
      </c>
      <c r="H6387" s="43">
        <v>145000</v>
      </c>
      <c r="I6387" s="43" t="s">
        <v>949</v>
      </c>
      <c r="J6387" s="44" t="s">
        <v>1000</v>
      </c>
    </row>
    <row r="6388" ht="22" customHeight="1" spans="1:10" x14ac:dyDescent="0.25">
      <c r="A6388" s="43">
        <v>3130</v>
      </c>
      <c r="B6388" s="43">
        <v>18</v>
      </c>
      <c r="C6388" s="43" t="s">
        <v>950</v>
      </c>
      <c r="D6388" s="43" t="s">
        <v>999</v>
      </c>
      <c r="E6388" s="43" t="s">
        <v>263</v>
      </c>
      <c r="F6388" s="43" t="s">
        <v>953</v>
      </c>
      <c r="G6388" s="43">
        <v>1800000</v>
      </c>
      <c r="H6388" s="43">
        <v>145000</v>
      </c>
      <c r="I6388" s="43" t="s">
        <v>949</v>
      </c>
      <c r="J6388" s="44" t="s">
        <v>1000</v>
      </c>
    </row>
    <row r="6389" ht="22" customHeight="1" spans="1:10" x14ac:dyDescent="0.25">
      <c r="A6389" s="43">
        <v>3130</v>
      </c>
      <c r="B6389" s="43">
        <v>18</v>
      </c>
      <c r="C6389" s="43" t="s">
        <v>950</v>
      </c>
      <c r="D6389" s="43" t="s">
        <v>999</v>
      </c>
      <c r="E6389" s="43" t="s">
        <v>263</v>
      </c>
      <c r="F6389" s="43" t="s">
        <v>954</v>
      </c>
      <c r="G6389" s="43">
        <v>1800000</v>
      </c>
      <c r="H6389" s="43">
        <v>145000</v>
      </c>
      <c r="I6389" s="43" t="s">
        <v>949</v>
      </c>
      <c r="J6389" s="44" t="s">
        <v>1000</v>
      </c>
    </row>
    <row r="6390" ht="22" customHeight="1" spans="1:10" x14ac:dyDescent="0.25">
      <c r="A6390" s="43">
        <v>3130</v>
      </c>
      <c r="B6390" s="43">
        <v>18</v>
      </c>
      <c r="C6390" s="43" t="s">
        <v>950</v>
      </c>
      <c r="D6390" s="43" t="s">
        <v>999</v>
      </c>
      <c r="E6390" s="43" t="s">
        <v>263</v>
      </c>
      <c r="F6390" s="43" t="s">
        <v>955</v>
      </c>
      <c r="G6390" s="43">
        <v>1800000</v>
      </c>
      <c r="H6390" s="43">
        <v>145000</v>
      </c>
      <c r="I6390" s="43" t="s">
        <v>949</v>
      </c>
      <c r="J6390" s="44" t="s">
        <v>1000</v>
      </c>
    </row>
    <row r="6391" ht="22" customHeight="1" spans="1:10" x14ac:dyDescent="0.25">
      <c r="A6391" s="43">
        <v>3130</v>
      </c>
      <c r="B6391" s="43">
        <v>18</v>
      </c>
      <c r="C6391" s="43" t="s">
        <v>950</v>
      </c>
      <c r="D6391" s="43" t="s">
        <v>999</v>
      </c>
      <c r="E6391" s="43" t="s">
        <v>263</v>
      </c>
      <c r="F6391" s="43" t="s">
        <v>956</v>
      </c>
      <c r="G6391" s="43">
        <v>1800000</v>
      </c>
      <c r="H6391" s="43">
        <v>145000</v>
      </c>
      <c r="I6391" s="43" t="s">
        <v>949</v>
      </c>
      <c r="J6391" s="44" t="s">
        <v>1000</v>
      </c>
    </row>
    <row r="6392" ht="22" customHeight="1" spans="1:10" x14ac:dyDescent="0.25">
      <c r="A6392" s="43">
        <v>3130</v>
      </c>
      <c r="B6392" s="43">
        <v>18</v>
      </c>
      <c r="C6392" s="43" t="s">
        <v>950</v>
      </c>
      <c r="D6392" s="43" t="s">
        <v>999</v>
      </c>
      <c r="E6392" s="43" t="s">
        <v>263</v>
      </c>
      <c r="F6392" s="43" t="s">
        <v>957</v>
      </c>
      <c r="G6392" s="43">
        <v>1800000</v>
      </c>
      <c r="H6392" s="43">
        <v>145000</v>
      </c>
      <c r="I6392" s="43" t="s">
        <v>949</v>
      </c>
      <c r="J6392" s="44" t="s">
        <v>1000</v>
      </c>
    </row>
    <row r="6393" ht="22" customHeight="1" spans="1:10" x14ac:dyDescent="0.25">
      <c r="A6393" s="43">
        <v>3130</v>
      </c>
      <c r="B6393" s="43">
        <v>18</v>
      </c>
      <c r="C6393" s="43" t="s">
        <v>950</v>
      </c>
      <c r="D6393" s="43" t="s">
        <v>999</v>
      </c>
      <c r="E6393" s="43" t="s">
        <v>263</v>
      </c>
      <c r="F6393" s="43" t="s">
        <v>958</v>
      </c>
      <c r="G6393" s="43">
        <v>1800000</v>
      </c>
      <c r="H6393" s="43">
        <v>145000</v>
      </c>
      <c r="I6393" s="43" t="s">
        <v>949</v>
      </c>
      <c r="J6393" s="44" t="s">
        <v>1000</v>
      </c>
    </row>
    <row r="6394" ht="22" customHeight="1" spans="1:10" x14ac:dyDescent="0.25">
      <c r="A6394" s="43">
        <v>3130</v>
      </c>
      <c r="B6394" s="43">
        <v>18</v>
      </c>
      <c r="C6394" s="43" t="s">
        <v>950</v>
      </c>
      <c r="D6394" s="43" t="s">
        <v>999</v>
      </c>
      <c r="E6394" s="43" t="s">
        <v>263</v>
      </c>
      <c r="F6394" s="43" t="s">
        <v>959</v>
      </c>
      <c r="G6394" s="43">
        <v>1800000</v>
      </c>
      <c r="H6394" s="43">
        <v>145000</v>
      </c>
      <c r="I6394" s="43" t="s">
        <v>949</v>
      </c>
      <c r="J6394" s="44" t="s">
        <v>1000</v>
      </c>
    </row>
    <row r="6395" ht="22" customHeight="1" spans="1:10" x14ac:dyDescent="0.25">
      <c r="A6395" s="43">
        <v>3130</v>
      </c>
      <c r="B6395" s="43">
        <v>18</v>
      </c>
      <c r="C6395" s="43" t="s">
        <v>950</v>
      </c>
      <c r="D6395" s="43" t="s">
        <v>999</v>
      </c>
      <c r="E6395" s="43" t="s">
        <v>263</v>
      </c>
      <c r="F6395" s="43" t="s">
        <v>960</v>
      </c>
      <c r="G6395" s="43">
        <v>1800000</v>
      </c>
      <c r="H6395" s="43">
        <v>145000</v>
      </c>
      <c r="I6395" s="43" t="s">
        <v>949</v>
      </c>
      <c r="J6395" s="44" t="s">
        <v>1000</v>
      </c>
    </row>
    <row r="6396" ht="22" customHeight="1" spans="1:10" x14ac:dyDescent="0.25">
      <c r="A6396" s="43">
        <v>3130</v>
      </c>
      <c r="B6396" s="43">
        <v>18</v>
      </c>
      <c r="C6396" s="43" t="s">
        <v>950</v>
      </c>
      <c r="D6396" s="43" t="s">
        <v>999</v>
      </c>
      <c r="E6396" s="43" t="s">
        <v>263</v>
      </c>
      <c r="F6396" s="43" t="s">
        <v>961</v>
      </c>
      <c r="G6396" s="43">
        <v>1800000</v>
      </c>
      <c r="H6396" s="43">
        <v>145000</v>
      </c>
      <c r="I6396" s="43" t="s">
        <v>949</v>
      </c>
      <c r="J6396" s="44" t="s">
        <v>1000</v>
      </c>
    </row>
    <row r="6397" ht="22" customHeight="1" spans="1:10" x14ac:dyDescent="0.25">
      <c r="A6397" s="43">
        <v>3130</v>
      </c>
      <c r="B6397" s="43">
        <v>18</v>
      </c>
      <c r="C6397" s="43" t="s">
        <v>962</v>
      </c>
      <c r="D6397" s="43" t="s">
        <v>999</v>
      </c>
      <c r="E6397" s="43" t="s">
        <v>263</v>
      </c>
      <c r="F6397" s="43" t="s">
        <v>951</v>
      </c>
      <c r="G6397" s="43">
        <v>1800000</v>
      </c>
      <c r="H6397" s="43">
        <v>145000</v>
      </c>
      <c r="I6397" s="43" t="s">
        <v>949</v>
      </c>
      <c r="J6397" s="44" t="s">
        <v>1000</v>
      </c>
    </row>
    <row r="6398" ht="22" customHeight="1" spans="1:10" x14ac:dyDescent="0.25">
      <c r="A6398" s="43">
        <v>3130</v>
      </c>
      <c r="B6398" s="43">
        <v>18</v>
      </c>
      <c r="C6398" s="43" t="s">
        <v>962</v>
      </c>
      <c r="D6398" s="43" t="s">
        <v>999</v>
      </c>
      <c r="E6398" s="43" t="s">
        <v>263</v>
      </c>
      <c r="F6398" s="43" t="s">
        <v>952</v>
      </c>
      <c r="G6398" s="43">
        <v>1800000</v>
      </c>
      <c r="H6398" s="43">
        <v>145000</v>
      </c>
      <c r="I6398" s="43" t="s">
        <v>949</v>
      </c>
      <c r="J6398" s="44" t="s">
        <v>1000</v>
      </c>
    </row>
    <row r="6399" ht="22" customHeight="1" spans="1:10" x14ac:dyDescent="0.25">
      <c r="A6399" s="43">
        <v>3130</v>
      </c>
      <c r="B6399" s="43">
        <v>18</v>
      </c>
      <c r="C6399" s="43" t="s">
        <v>962</v>
      </c>
      <c r="D6399" s="43" t="s">
        <v>999</v>
      </c>
      <c r="E6399" s="43" t="s">
        <v>263</v>
      </c>
      <c r="F6399" s="43" t="s">
        <v>953</v>
      </c>
      <c r="G6399" s="43">
        <v>1800000</v>
      </c>
      <c r="H6399" s="43">
        <v>145000</v>
      </c>
      <c r="I6399" s="43" t="s">
        <v>949</v>
      </c>
      <c r="J6399" s="44" t="s">
        <v>1000</v>
      </c>
    </row>
    <row r="6400" ht="22" customHeight="1" spans="1:10" x14ac:dyDescent="0.25">
      <c r="A6400" s="43">
        <v>3130</v>
      </c>
      <c r="B6400" s="43">
        <v>18</v>
      </c>
      <c r="C6400" s="43" t="s">
        <v>962</v>
      </c>
      <c r="D6400" s="43" t="s">
        <v>999</v>
      </c>
      <c r="E6400" s="43" t="s">
        <v>263</v>
      </c>
      <c r="F6400" s="43" t="s">
        <v>954</v>
      </c>
      <c r="G6400" s="43">
        <v>1800000</v>
      </c>
      <c r="H6400" s="43">
        <v>145000</v>
      </c>
      <c r="I6400" s="43" t="s">
        <v>949</v>
      </c>
      <c r="J6400" s="44" t="s">
        <v>1000</v>
      </c>
    </row>
    <row r="6401" ht="22" customHeight="1" spans="1:10" x14ac:dyDescent="0.25">
      <c r="A6401" s="43">
        <v>3130</v>
      </c>
      <c r="B6401" s="43">
        <v>18</v>
      </c>
      <c r="C6401" s="43" t="s">
        <v>962</v>
      </c>
      <c r="D6401" s="43" t="s">
        <v>999</v>
      </c>
      <c r="E6401" s="43" t="s">
        <v>263</v>
      </c>
      <c r="F6401" s="43" t="s">
        <v>955</v>
      </c>
      <c r="G6401" s="43">
        <v>1800000</v>
      </c>
      <c r="H6401" s="43">
        <v>145000</v>
      </c>
      <c r="I6401" s="43" t="s">
        <v>949</v>
      </c>
      <c r="J6401" s="44" t="s">
        <v>1000</v>
      </c>
    </row>
    <row r="6402" ht="22" customHeight="1" spans="1:10" x14ac:dyDescent="0.25">
      <c r="A6402" s="43">
        <v>3130</v>
      </c>
      <c r="B6402" s="43">
        <v>18</v>
      </c>
      <c r="C6402" s="43" t="s">
        <v>962</v>
      </c>
      <c r="D6402" s="43" t="s">
        <v>999</v>
      </c>
      <c r="E6402" s="43" t="s">
        <v>263</v>
      </c>
      <c r="F6402" s="43" t="s">
        <v>956</v>
      </c>
      <c r="G6402" s="43">
        <v>1800000</v>
      </c>
      <c r="H6402" s="43">
        <v>145000</v>
      </c>
      <c r="I6402" s="43" t="s">
        <v>949</v>
      </c>
      <c r="J6402" s="44" t="s">
        <v>1000</v>
      </c>
    </row>
    <row r="6403" ht="22" customHeight="1" spans="1:10" x14ac:dyDescent="0.25">
      <c r="A6403" s="43">
        <v>3130</v>
      </c>
      <c r="B6403" s="43">
        <v>18</v>
      </c>
      <c r="C6403" s="43" t="s">
        <v>962</v>
      </c>
      <c r="D6403" s="43" t="s">
        <v>999</v>
      </c>
      <c r="E6403" s="43" t="s">
        <v>263</v>
      </c>
      <c r="F6403" s="43" t="s">
        <v>957</v>
      </c>
      <c r="G6403" s="43">
        <v>1800000</v>
      </c>
      <c r="H6403" s="43">
        <v>145000</v>
      </c>
      <c r="I6403" s="43" t="s">
        <v>949</v>
      </c>
      <c r="J6403" s="44" t="s">
        <v>1000</v>
      </c>
    </row>
    <row r="6404" ht="22" customHeight="1" spans="1:10" x14ac:dyDescent="0.25">
      <c r="A6404" s="43">
        <v>3130</v>
      </c>
      <c r="B6404" s="43">
        <v>18</v>
      </c>
      <c r="C6404" s="43" t="s">
        <v>962</v>
      </c>
      <c r="D6404" s="43" t="s">
        <v>999</v>
      </c>
      <c r="E6404" s="43" t="s">
        <v>263</v>
      </c>
      <c r="F6404" s="43" t="s">
        <v>958</v>
      </c>
      <c r="G6404" s="43">
        <v>1800000</v>
      </c>
      <c r="H6404" s="43">
        <v>145000</v>
      </c>
      <c r="I6404" s="43" t="s">
        <v>949</v>
      </c>
      <c r="J6404" s="44" t="s">
        <v>1000</v>
      </c>
    </row>
    <row r="6405" ht="22" customHeight="1" spans="1:10" x14ac:dyDescent="0.25">
      <c r="A6405" s="43">
        <v>3130</v>
      </c>
      <c r="B6405" s="43">
        <v>18</v>
      </c>
      <c r="C6405" s="43" t="s">
        <v>962</v>
      </c>
      <c r="D6405" s="43" t="s">
        <v>999</v>
      </c>
      <c r="E6405" s="43" t="s">
        <v>263</v>
      </c>
      <c r="F6405" s="43" t="s">
        <v>959</v>
      </c>
      <c r="G6405" s="43">
        <v>1800000</v>
      </c>
      <c r="H6405" s="43">
        <v>145000</v>
      </c>
      <c r="I6405" s="43" t="s">
        <v>949</v>
      </c>
      <c r="J6405" s="44" t="s">
        <v>1000</v>
      </c>
    </row>
    <row r="6406" ht="22" customHeight="1" spans="1:10" x14ac:dyDescent="0.25">
      <c r="A6406" s="43">
        <v>3130</v>
      </c>
      <c r="B6406" s="43">
        <v>18</v>
      </c>
      <c r="C6406" s="43" t="s">
        <v>962</v>
      </c>
      <c r="D6406" s="43" t="s">
        <v>999</v>
      </c>
      <c r="E6406" s="43" t="s">
        <v>263</v>
      </c>
      <c r="F6406" s="43" t="s">
        <v>960</v>
      </c>
      <c r="G6406" s="43">
        <v>1800000</v>
      </c>
      <c r="H6406" s="43">
        <v>145000</v>
      </c>
      <c r="I6406" s="43" t="s">
        <v>949</v>
      </c>
      <c r="J6406" s="44" t="s">
        <v>1000</v>
      </c>
    </row>
    <row r="6407" ht="22" customHeight="1" spans="1:10" x14ac:dyDescent="0.25">
      <c r="A6407" s="43">
        <v>3130</v>
      </c>
      <c r="B6407" s="43">
        <v>18</v>
      </c>
      <c r="C6407" s="43" t="s">
        <v>962</v>
      </c>
      <c r="D6407" s="43" t="s">
        <v>999</v>
      </c>
      <c r="E6407" s="43" t="s">
        <v>263</v>
      </c>
      <c r="F6407" s="43" t="s">
        <v>961</v>
      </c>
      <c r="G6407" s="43">
        <v>1800000</v>
      </c>
      <c r="H6407" s="43">
        <v>145000</v>
      </c>
      <c r="I6407" s="43" t="s">
        <v>949</v>
      </c>
      <c r="J6407" s="44" t="s">
        <v>1000</v>
      </c>
    </row>
    <row r="6408" ht="22" customHeight="1" spans="1:10" x14ac:dyDescent="0.25">
      <c r="A6408" s="43">
        <v>3130</v>
      </c>
      <c r="B6408" s="43">
        <v>18</v>
      </c>
      <c r="C6408" s="43" t="s">
        <v>963</v>
      </c>
      <c r="D6408" s="43" t="s">
        <v>999</v>
      </c>
      <c r="E6408" s="43" t="s">
        <v>263</v>
      </c>
      <c r="F6408" s="43" t="s">
        <v>951</v>
      </c>
      <c r="G6408" s="43">
        <v>1800000</v>
      </c>
      <c r="H6408" s="43">
        <v>145000</v>
      </c>
      <c r="I6408" s="43" t="s">
        <v>949</v>
      </c>
      <c r="J6408" s="44" t="s">
        <v>1000</v>
      </c>
    </row>
    <row r="6409" ht="22" customHeight="1" spans="1:10" x14ac:dyDescent="0.25">
      <c r="A6409" s="43">
        <v>3130</v>
      </c>
      <c r="B6409" s="43">
        <v>18</v>
      </c>
      <c r="C6409" s="43" t="s">
        <v>963</v>
      </c>
      <c r="D6409" s="43" t="s">
        <v>999</v>
      </c>
      <c r="E6409" s="43" t="s">
        <v>263</v>
      </c>
      <c r="F6409" s="43" t="s">
        <v>952</v>
      </c>
      <c r="G6409" s="43">
        <v>1800000</v>
      </c>
      <c r="H6409" s="43">
        <v>145000</v>
      </c>
      <c r="I6409" s="43" t="s">
        <v>949</v>
      </c>
      <c r="J6409" s="44" t="s">
        <v>1000</v>
      </c>
    </row>
    <row r="6410" ht="22" customHeight="1" spans="1:10" x14ac:dyDescent="0.25">
      <c r="A6410" s="43">
        <v>3130</v>
      </c>
      <c r="B6410" s="43">
        <v>18</v>
      </c>
      <c r="C6410" s="43" t="s">
        <v>963</v>
      </c>
      <c r="D6410" s="43" t="s">
        <v>999</v>
      </c>
      <c r="E6410" s="43" t="s">
        <v>263</v>
      </c>
      <c r="F6410" s="43" t="s">
        <v>953</v>
      </c>
      <c r="G6410" s="43">
        <v>1800000</v>
      </c>
      <c r="H6410" s="43">
        <v>145000</v>
      </c>
      <c r="I6410" s="43" t="s">
        <v>949</v>
      </c>
      <c r="J6410" s="44" t="s">
        <v>1000</v>
      </c>
    </row>
    <row r="6411" ht="22" customHeight="1" spans="1:10" x14ac:dyDescent="0.25">
      <c r="A6411" s="43">
        <v>3130</v>
      </c>
      <c r="B6411" s="43">
        <v>18</v>
      </c>
      <c r="C6411" s="43" t="s">
        <v>963</v>
      </c>
      <c r="D6411" s="43" t="s">
        <v>999</v>
      </c>
      <c r="E6411" s="43" t="s">
        <v>263</v>
      </c>
      <c r="F6411" s="43" t="s">
        <v>954</v>
      </c>
      <c r="G6411" s="43">
        <v>1800000</v>
      </c>
      <c r="H6411" s="43">
        <v>145000</v>
      </c>
      <c r="I6411" s="43" t="s">
        <v>949</v>
      </c>
      <c r="J6411" s="44" t="s">
        <v>1000</v>
      </c>
    </row>
    <row r="6412" ht="22" customHeight="1" spans="1:10" x14ac:dyDescent="0.25">
      <c r="A6412" s="43">
        <v>3130</v>
      </c>
      <c r="B6412" s="43">
        <v>18</v>
      </c>
      <c r="C6412" s="43" t="s">
        <v>963</v>
      </c>
      <c r="D6412" s="43" t="s">
        <v>999</v>
      </c>
      <c r="E6412" s="43" t="s">
        <v>263</v>
      </c>
      <c r="F6412" s="43" t="s">
        <v>955</v>
      </c>
      <c r="G6412" s="43">
        <v>1800000</v>
      </c>
      <c r="H6412" s="43">
        <v>145000</v>
      </c>
      <c r="I6412" s="43" t="s">
        <v>949</v>
      </c>
      <c r="J6412" s="44" t="s">
        <v>1000</v>
      </c>
    </row>
    <row r="6413" ht="22" customHeight="1" spans="1:10" x14ac:dyDescent="0.25">
      <c r="A6413" s="43">
        <v>3130</v>
      </c>
      <c r="B6413" s="43">
        <v>18</v>
      </c>
      <c r="C6413" s="43" t="s">
        <v>963</v>
      </c>
      <c r="D6413" s="43" t="s">
        <v>999</v>
      </c>
      <c r="E6413" s="43" t="s">
        <v>263</v>
      </c>
      <c r="F6413" s="43" t="s">
        <v>956</v>
      </c>
      <c r="G6413" s="43">
        <v>1800000</v>
      </c>
      <c r="H6413" s="43">
        <v>145000</v>
      </c>
      <c r="I6413" s="43" t="s">
        <v>949</v>
      </c>
      <c r="J6413" s="44" t="s">
        <v>1000</v>
      </c>
    </row>
    <row r="6414" ht="22" customHeight="1" spans="1:10" x14ac:dyDescent="0.25">
      <c r="A6414" s="43">
        <v>3130</v>
      </c>
      <c r="B6414" s="43">
        <v>18</v>
      </c>
      <c r="C6414" s="43" t="s">
        <v>963</v>
      </c>
      <c r="D6414" s="43" t="s">
        <v>999</v>
      </c>
      <c r="E6414" s="43" t="s">
        <v>263</v>
      </c>
      <c r="F6414" s="43" t="s">
        <v>957</v>
      </c>
      <c r="G6414" s="43">
        <v>1800000</v>
      </c>
      <c r="H6414" s="43">
        <v>145000</v>
      </c>
      <c r="I6414" s="43" t="s">
        <v>949</v>
      </c>
      <c r="J6414" s="44" t="s">
        <v>1000</v>
      </c>
    </row>
    <row r="6415" ht="22" customHeight="1" spans="1:10" x14ac:dyDescent="0.25">
      <c r="A6415" s="43">
        <v>3130</v>
      </c>
      <c r="B6415" s="43">
        <v>18</v>
      </c>
      <c r="C6415" s="43" t="s">
        <v>963</v>
      </c>
      <c r="D6415" s="43" t="s">
        <v>999</v>
      </c>
      <c r="E6415" s="43" t="s">
        <v>263</v>
      </c>
      <c r="F6415" s="43" t="s">
        <v>958</v>
      </c>
      <c r="G6415" s="43">
        <v>1800000</v>
      </c>
      <c r="H6415" s="43">
        <v>145000</v>
      </c>
      <c r="I6415" s="43" t="s">
        <v>949</v>
      </c>
      <c r="J6415" s="44" t="s">
        <v>1000</v>
      </c>
    </row>
    <row r="6416" ht="22" customHeight="1" spans="1:10" x14ac:dyDescent="0.25">
      <c r="A6416" s="43">
        <v>3130</v>
      </c>
      <c r="B6416" s="43">
        <v>18</v>
      </c>
      <c r="C6416" s="43" t="s">
        <v>963</v>
      </c>
      <c r="D6416" s="43" t="s">
        <v>999</v>
      </c>
      <c r="E6416" s="43" t="s">
        <v>263</v>
      </c>
      <c r="F6416" s="43" t="s">
        <v>959</v>
      </c>
      <c r="G6416" s="43">
        <v>1800000</v>
      </c>
      <c r="H6416" s="43">
        <v>145000</v>
      </c>
      <c r="I6416" s="43" t="s">
        <v>949</v>
      </c>
      <c r="J6416" s="44" t="s">
        <v>1000</v>
      </c>
    </row>
    <row r="6417" ht="22" customHeight="1" spans="1:10" x14ac:dyDescent="0.25">
      <c r="A6417" s="43">
        <v>3130</v>
      </c>
      <c r="B6417" s="43">
        <v>18</v>
      </c>
      <c r="C6417" s="43" t="s">
        <v>963</v>
      </c>
      <c r="D6417" s="43" t="s">
        <v>999</v>
      </c>
      <c r="E6417" s="43" t="s">
        <v>263</v>
      </c>
      <c r="F6417" s="43" t="s">
        <v>960</v>
      </c>
      <c r="G6417" s="43">
        <v>1800000</v>
      </c>
      <c r="H6417" s="43">
        <v>145000</v>
      </c>
      <c r="I6417" s="43" t="s">
        <v>949</v>
      </c>
      <c r="J6417" s="44" t="s">
        <v>1000</v>
      </c>
    </row>
    <row r="6418" ht="22" customHeight="1" spans="1:10" x14ac:dyDescent="0.25">
      <c r="A6418" s="43">
        <v>3130</v>
      </c>
      <c r="B6418" s="43">
        <v>18</v>
      </c>
      <c r="C6418" s="43" t="s">
        <v>963</v>
      </c>
      <c r="D6418" s="43" t="s">
        <v>999</v>
      </c>
      <c r="E6418" s="43" t="s">
        <v>263</v>
      </c>
      <c r="F6418" s="43" t="s">
        <v>961</v>
      </c>
      <c r="G6418" s="43">
        <v>1800000</v>
      </c>
      <c r="H6418" s="43">
        <v>145000</v>
      </c>
      <c r="I6418" s="43" t="s">
        <v>949</v>
      </c>
      <c r="J6418" s="44" t="s">
        <v>1000</v>
      </c>
    </row>
    <row r="6419" spans="1:9" x14ac:dyDescent="0.25">
      <c r="A6419">
        <v>3130</v>
      </c>
      <c r="B6419">
        <v>18</v>
      </c>
      <c r="C6419" t="s">
        <v>950</v>
      </c>
      <c r="D6419" t="s">
        <v>999</v>
      </c>
      <c r="E6419" t="s">
        <v>100</v>
      </c>
      <c r="F6419" t="s">
        <v>951</v>
      </c>
      <c r="G6419">
        <v>1877777</v>
      </c>
      <c r="H6419">
        <v>500220</v>
      </c>
      <c r="I6419" t="s">
        <v>949</v>
      </c>
    </row>
    <row r="6420" spans="1:9" x14ac:dyDescent="0.25">
      <c r="A6420">
        <v>3130</v>
      </c>
      <c r="B6420">
        <v>18</v>
      </c>
      <c r="C6420" t="s">
        <v>950</v>
      </c>
      <c r="D6420" t="s">
        <v>999</v>
      </c>
      <c r="E6420" t="s">
        <v>100</v>
      </c>
      <c r="F6420" t="s">
        <v>952</v>
      </c>
      <c r="G6420">
        <v>1877777</v>
      </c>
      <c r="H6420">
        <v>500220</v>
      </c>
      <c r="I6420" t="s">
        <v>949</v>
      </c>
    </row>
    <row r="6421" spans="1:9" x14ac:dyDescent="0.25">
      <c r="A6421">
        <v>3130</v>
      </c>
      <c r="B6421">
        <v>18</v>
      </c>
      <c r="C6421" t="s">
        <v>950</v>
      </c>
      <c r="D6421" t="s">
        <v>999</v>
      </c>
      <c r="E6421" t="s">
        <v>100</v>
      </c>
      <c r="F6421" t="s">
        <v>953</v>
      </c>
      <c r="G6421">
        <v>1877777</v>
      </c>
      <c r="H6421">
        <v>500220</v>
      </c>
      <c r="I6421" t="s">
        <v>949</v>
      </c>
    </row>
    <row r="6422" spans="1:9" x14ac:dyDescent="0.25">
      <c r="A6422">
        <v>3130</v>
      </c>
      <c r="B6422">
        <v>18</v>
      </c>
      <c r="C6422" t="s">
        <v>950</v>
      </c>
      <c r="D6422" t="s">
        <v>999</v>
      </c>
      <c r="E6422" t="s">
        <v>100</v>
      </c>
      <c r="F6422" t="s">
        <v>954</v>
      </c>
      <c r="G6422">
        <v>1877777</v>
      </c>
      <c r="H6422">
        <v>500220</v>
      </c>
      <c r="I6422" t="s">
        <v>949</v>
      </c>
    </row>
    <row r="6423" spans="1:9" x14ac:dyDescent="0.25">
      <c r="A6423">
        <v>3130</v>
      </c>
      <c r="B6423">
        <v>18</v>
      </c>
      <c r="C6423" t="s">
        <v>950</v>
      </c>
      <c r="D6423" t="s">
        <v>999</v>
      </c>
      <c r="E6423" t="s">
        <v>100</v>
      </c>
      <c r="F6423" t="s">
        <v>955</v>
      </c>
      <c r="G6423">
        <v>1877777</v>
      </c>
      <c r="H6423">
        <v>500220</v>
      </c>
      <c r="I6423" t="s">
        <v>949</v>
      </c>
    </row>
    <row r="6424" spans="1:9" x14ac:dyDescent="0.25">
      <c r="A6424">
        <v>3130</v>
      </c>
      <c r="B6424">
        <v>18</v>
      </c>
      <c r="C6424" t="s">
        <v>950</v>
      </c>
      <c r="D6424" t="s">
        <v>999</v>
      </c>
      <c r="E6424" t="s">
        <v>100</v>
      </c>
      <c r="F6424" t="s">
        <v>956</v>
      </c>
      <c r="G6424">
        <v>1877777</v>
      </c>
      <c r="H6424">
        <v>500220</v>
      </c>
      <c r="I6424" t="s">
        <v>949</v>
      </c>
    </row>
    <row r="6425" spans="1:9" x14ac:dyDescent="0.25">
      <c r="A6425">
        <v>3130</v>
      </c>
      <c r="B6425">
        <v>18</v>
      </c>
      <c r="C6425" t="s">
        <v>950</v>
      </c>
      <c r="D6425" t="s">
        <v>999</v>
      </c>
      <c r="E6425" t="s">
        <v>100</v>
      </c>
      <c r="F6425" t="s">
        <v>957</v>
      </c>
      <c r="G6425">
        <v>1877777</v>
      </c>
      <c r="H6425">
        <v>500220</v>
      </c>
      <c r="I6425" t="s">
        <v>949</v>
      </c>
    </row>
    <row r="6426" spans="1:9" x14ac:dyDescent="0.25">
      <c r="A6426">
        <v>3130</v>
      </c>
      <c r="B6426">
        <v>18</v>
      </c>
      <c r="C6426" t="s">
        <v>950</v>
      </c>
      <c r="D6426" t="s">
        <v>999</v>
      </c>
      <c r="E6426" t="s">
        <v>100</v>
      </c>
      <c r="F6426" t="s">
        <v>958</v>
      </c>
      <c r="G6426">
        <v>1877777</v>
      </c>
      <c r="H6426">
        <v>500220</v>
      </c>
      <c r="I6426" t="s">
        <v>949</v>
      </c>
    </row>
    <row r="6427" spans="1:9" x14ac:dyDescent="0.25">
      <c r="A6427">
        <v>3130</v>
      </c>
      <c r="B6427">
        <v>18</v>
      </c>
      <c r="C6427" t="s">
        <v>950</v>
      </c>
      <c r="D6427" t="s">
        <v>999</v>
      </c>
      <c r="E6427" t="s">
        <v>100</v>
      </c>
      <c r="F6427" t="s">
        <v>959</v>
      </c>
      <c r="G6427">
        <v>1877777</v>
      </c>
      <c r="H6427">
        <v>500220</v>
      </c>
      <c r="I6427" t="s">
        <v>949</v>
      </c>
    </row>
    <row r="6428" spans="1:9" x14ac:dyDescent="0.25">
      <c r="A6428">
        <v>3130</v>
      </c>
      <c r="B6428">
        <v>18</v>
      </c>
      <c r="C6428" t="s">
        <v>950</v>
      </c>
      <c r="D6428" t="s">
        <v>999</v>
      </c>
      <c r="E6428" t="s">
        <v>100</v>
      </c>
      <c r="F6428" t="s">
        <v>960</v>
      </c>
      <c r="G6428">
        <v>1877777</v>
      </c>
      <c r="H6428">
        <v>500220</v>
      </c>
      <c r="I6428" t="s">
        <v>949</v>
      </c>
    </row>
    <row r="6429" spans="1:9" x14ac:dyDescent="0.25">
      <c r="A6429">
        <v>3130</v>
      </c>
      <c r="B6429">
        <v>18</v>
      </c>
      <c r="C6429" t="s">
        <v>950</v>
      </c>
      <c r="D6429" t="s">
        <v>999</v>
      </c>
      <c r="E6429" t="s">
        <v>100</v>
      </c>
      <c r="F6429" t="s">
        <v>961</v>
      </c>
      <c r="G6429">
        <v>1877777</v>
      </c>
      <c r="H6429">
        <v>500220</v>
      </c>
      <c r="I6429" t="s">
        <v>949</v>
      </c>
    </row>
    <row r="6430" spans="1:9" x14ac:dyDescent="0.25">
      <c r="A6430">
        <v>3130</v>
      </c>
      <c r="B6430">
        <v>18</v>
      </c>
      <c r="C6430" t="s">
        <v>962</v>
      </c>
      <c r="D6430" t="s">
        <v>999</v>
      </c>
      <c r="E6430" t="s">
        <v>100</v>
      </c>
      <c r="F6430" t="s">
        <v>951</v>
      </c>
      <c r="G6430">
        <v>1877777</v>
      </c>
      <c r="H6430">
        <v>500220</v>
      </c>
      <c r="I6430" t="s">
        <v>949</v>
      </c>
    </row>
    <row r="6431" spans="1:9" x14ac:dyDescent="0.25">
      <c r="A6431">
        <v>3130</v>
      </c>
      <c r="B6431">
        <v>18</v>
      </c>
      <c r="C6431" t="s">
        <v>962</v>
      </c>
      <c r="D6431" t="s">
        <v>999</v>
      </c>
      <c r="E6431" t="s">
        <v>100</v>
      </c>
      <c r="F6431" t="s">
        <v>952</v>
      </c>
      <c r="G6431">
        <v>1877777</v>
      </c>
      <c r="H6431">
        <v>500220</v>
      </c>
      <c r="I6431" t="s">
        <v>949</v>
      </c>
    </row>
    <row r="6432" spans="1:9" x14ac:dyDescent="0.25">
      <c r="A6432">
        <v>3130</v>
      </c>
      <c r="B6432">
        <v>18</v>
      </c>
      <c r="C6432" t="s">
        <v>962</v>
      </c>
      <c r="D6432" t="s">
        <v>999</v>
      </c>
      <c r="E6432" t="s">
        <v>100</v>
      </c>
      <c r="F6432" t="s">
        <v>953</v>
      </c>
      <c r="G6432">
        <v>1877777</v>
      </c>
      <c r="H6432">
        <v>500220</v>
      </c>
      <c r="I6432" t="s">
        <v>949</v>
      </c>
    </row>
    <row r="6433" spans="1:9" x14ac:dyDescent="0.25">
      <c r="A6433">
        <v>3130</v>
      </c>
      <c r="B6433">
        <v>18</v>
      </c>
      <c r="C6433" t="s">
        <v>962</v>
      </c>
      <c r="D6433" t="s">
        <v>999</v>
      </c>
      <c r="E6433" t="s">
        <v>100</v>
      </c>
      <c r="F6433" t="s">
        <v>954</v>
      </c>
      <c r="G6433">
        <v>1877777</v>
      </c>
      <c r="H6433">
        <v>500220</v>
      </c>
      <c r="I6433" t="s">
        <v>949</v>
      </c>
    </row>
    <row r="6434" spans="1:9" x14ac:dyDescent="0.25">
      <c r="A6434">
        <v>3130</v>
      </c>
      <c r="B6434">
        <v>18</v>
      </c>
      <c r="C6434" t="s">
        <v>962</v>
      </c>
      <c r="D6434" t="s">
        <v>999</v>
      </c>
      <c r="E6434" t="s">
        <v>100</v>
      </c>
      <c r="F6434" t="s">
        <v>955</v>
      </c>
      <c r="G6434">
        <v>1877777</v>
      </c>
      <c r="H6434">
        <v>500220</v>
      </c>
      <c r="I6434" t="s">
        <v>949</v>
      </c>
    </row>
    <row r="6435" spans="1:9" x14ac:dyDescent="0.25">
      <c r="A6435">
        <v>3130</v>
      </c>
      <c r="B6435">
        <v>18</v>
      </c>
      <c r="C6435" t="s">
        <v>962</v>
      </c>
      <c r="D6435" t="s">
        <v>999</v>
      </c>
      <c r="E6435" t="s">
        <v>100</v>
      </c>
      <c r="F6435" t="s">
        <v>956</v>
      </c>
      <c r="G6435">
        <v>1877777</v>
      </c>
      <c r="H6435">
        <v>500220</v>
      </c>
      <c r="I6435" t="s">
        <v>949</v>
      </c>
    </row>
    <row r="6436" spans="1:9" x14ac:dyDescent="0.25">
      <c r="A6436">
        <v>3130</v>
      </c>
      <c r="B6436">
        <v>18</v>
      </c>
      <c r="C6436" t="s">
        <v>962</v>
      </c>
      <c r="D6436" t="s">
        <v>999</v>
      </c>
      <c r="E6436" t="s">
        <v>100</v>
      </c>
      <c r="F6436" t="s">
        <v>957</v>
      </c>
      <c r="G6436">
        <v>1877777</v>
      </c>
      <c r="H6436">
        <v>500220</v>
      </c>
      <c r="I6436" t="s">
        <v>949</v>
      </c>
    </row>
    <row r="6437" spans="1:9" x14ac:dyDescent="0.25">
      <c r="A6437">
        <v>3130</v>
      </c>
      <c r="B6437">
        <v>18</v>
      </c>
      <c r="C6437" t="s">
        <v>962</v>
      </c>
      <c r="D6437" t="s">
        <v>999</v>
      </c>
      <c r="E6437" t="s">
        <v>100</v>
      </c>
      <c r="F6437" t="s">
        <v>958</v>
      </c>
      <c r="G6437">
        <v>1877777</v>
      </c>
      <c r="H6437">
        <v>500220</v>
      </c>
      <c r="I6437" t="s">
        <v>949</v>
      </c>
    </row>
    <row r="6438" spans="1:9" x14ac:dyDescent="0.25">
      <c r="A6438">
        <v>3130</v>
      </c>
      <c r="B6438">
        <v>18</v>
      </c>
      <c r="C6438" t="s">
        <v>962</v>
      </c>
      <c r="D6438" t="s">
        <v>999</v>
      </c>
      <c r="E6438" t="s">
        <v>100</v>
      </c>
      <c r="F6438" t="s">
        <v>959</v>
      </c>
      <c r="G6438">
        <v>1877777</v>
      </c>
      <c r="H6438">
        <v>500220</v>
      </c>
      <c r="I6438" t="s">
        <v>949</v>
      </c>
    </row>
    <row r="6439" spans="1:9" x14ac:dyDescent="0.25">
      <c r="A6439">
        <v>3130</v>
      </c>
      <c r="B6439">
        <v>18</v>
      </c>
      <c r="C6439" t="s">
        <v>962</v>
      </c>
      <c r="D6439" t="s">
        <v>999</v>
      </c>
      <c r="E6439" t="s">
        <v>100</v>
      </c>
      <c r="F6439" t="s">
        <v>960</v>
      </c>
      <c r="G6439">
        <v>1877777</v>
      </c>
      <c r="H6439">
        <v>500220</v>
      </c>
      <c r="I6439" t="s">
        <v>949</v>
      </c>
    </row>
    <row r="6440" spans="1:9" x14ac:dyDescent="0.25">
      <c r="A6440">
        <v>3130</v>
      </c>
      <c r="B6440">
        <v>18</v>
      </c>
      <c r="C6440" t="s">
        <v>962</v>
      </c>
      <c r="D6440" t="s">
        <v>999</v>
      </c>
      <c r="E6440" t="s">
        <v>100</v>
      </c>
      <c r="F6440" t="s">
        <v>961</v>
      </c>
      <c r="G6440">
        <v>1877777</v>
      </c>
      <c r="H6440">
        <v>500220</v>
      </c>
      <c r="I6440" t="s">
        <v>949</v>
      </c>
    </row>
    <row r="6441" spans="1:9" x14ac:dyDescent="0.25">
      <c r="A6441">
        <v>3130</v>
      </c>
      <c r="B6441">
        <v>18</v>
      </c>
      <c r="C6441" t="s">
        <v>963</v>
      </c>
      <c r="D6441" t="s">
        <v>999</v>
      </c>
      <c r="E6441" t="s">
        <v>100</v>
      </c>
      <c r="F6441" t="s">
        <v>951</v>
      </c>
      <c r="G6441">
        <v>1877777</v>
      </c>
      <c r="H6441">
        <v>500220</v>
      </c>
      <c r="I6441" t="s">
        <v>949</v>
      </c>
    </row>
    <row r="6442" spans="1:9" x14ac:dyDescent="0.25">
      <c r="A6442">
        <v>3130</v>
      </c>
      <c r="B6442">
        <v>18</v>
      </c>
      <c r="C6442" t="s">
        <v>963</v>
      </c>
      <c r="D6442" t="s">
        <v>999</v>
      </c>
      <c r="E6442" t="s">
        <v>100</v>
      </c>
      <c r="F6442" t="s">
        <v>952</v>
      </c>
      <c r="G6442">
        <v>1877777</v>
      </c>
      <c r="H6442">
        <v>500220</v>
      </c>
      <c r="I6442" t="s">
        <v>949</v>
      </c>
    </row>
    <row r="6443" spans="1:9" x14ac:dyDescent="0.25">
      <c r="A6443">
        <v>3130</v>
      </c>
      <c r="B6443">
        <v>18</v>
      </c>
      <c r="C6443" t="s">
        <v>963</v>
      </c>
      <c r="D6443" t="s">
        <v>999</v>
      </c>
      <c r="E6443" t="s">
        <v>100</v>
      </c>
      <c r="F6443" t="s">
        <v>953</v>
      </c>
      <c r="G6443">
        <v>1877777</v>
      </c>
      <c r="H6443">
        <v>500220</v>
      </c>
      <c r="I6443" t="s">
        <v>949</v>
      </c>
    </row>
    <row r="6444" spans="1:9" x14ac:dyDescent="0.25">
      <c r="A6444">
        <v>3130</v>
      </c>
      <c r="B6444">
        <v>18</v>
      </c>
      <c r="C6444" t="s">
        <v>963</v>
      </c>
      <c r="D6444" t="s">
        <v>999</v>
      </c>
      <c r="E6444" t="s">
        <v>100</v>
      </c>
      <c r="F6444" t="s">
        <v>954</v>
      </c>
      <c r="G6444">
        <v>1877777</v>
      </c>
      <c r="H6444">
        <v>500220</v>
      </c>
      <c r="I6444" t="s">
        <v>949</v>
      </c>
    </row>
    <row r="6445" spans="1:9" x14ac:dyDescent="0.25">
      <c r="A6445">
        <v>3130</v>
      </c>
      <c r="B6445">
        <v>18</v>
      </c>
      <c r="C6445" t="s">
        <v>963</v>
      </c>
      <c r="D6445" t="s">
        <v>999</v>
      </c>
      <c r="E6445" t="s">
        <v>100</v>
      </c>
      <c r="F6445" t="s">
        <v>955</v>
      </c>
      <c r="G6445">
        <v>1877777</v>
      </c>
      <c r="H6445">
        <v>500220</v>
      </c>
      <c r="I6445" t="s">
        <v>949</v>
      </c>
    </row>
    <row r="6446" spans="1:9" x14ac:dyDescent="0.25">
      <c r="A6446">
        <v>3130</v>
      </c>
      <c r="B6446">
        <v>18</v>
      </c>
      <c r="C6446" t="s">
        <v>963</v>
      </c>
      <c r="D6446" t="s">
        <v>999</v>
      </c>
      <c r="E6446" t="s">
        <v>100</v>
      </c>
      <c r="F6446" t="s">
        <v>956</v>
      </c>
      <c r="G6446">
        <v>1877777</v>
      </c>
      <c r="H6446">
        <v>500220</v>
      </c>
      <c r="I6446" t="s">
        <v>949</v>
      </c>
    </row>
    <row r="6447" spans="1:9" x14ac:dyDescent="0.25">
      <c r="A6447">
        <v>3130</v>
      </c>
      <c r="B6447">
        <v>18</v>
      </c>
      <c r="C6447" t="s">
        <v>963</v>
      </c>
      <c r="D6447" t="s">
        <v>999</v>
      </c>
      <c r="E6447" t="s">
        <v>100</v>
      </c>
      <c r="F6447" t="s">
        <v>957</v>
      </c>
      <c r="G6447">
        <v>1877777</v>
      </c>
      <c r="H6447">
        <v>500220</v>
      </c>
      <c r="I6447" t="s">
        <v>949</v>
      </c>
    </row>
    <row r="6448" spans="1:9" x14ac:dyDescent="0.25">
      <c r="A6448">
        <v>3130</v>
      </c>
      <c r="B6448">
        <v>18</v>
      </c>
      <c r="C6448" t="s">
        <v>963</v>
      </c>
      <c r="D6448" t="s">
        <v>999</v>
      </c>
      <c r="E6448" t="s">
        <v>100</v>
      </c>
      <c r="F6448" t="s">
        <v>958</v>
      </c>
      <c r="G6448">
        <v>1877777</v>
      </c>
      <c r="H6448">
        <v>500220</v>
      </c>
      <c r="I6448" t="s">
        <v>949</v>
      </c>
    </row>
    <row r="6449" spans="1:9" x14ac:dyDescent="0.25">
      <c r="A6449">
        <v>3130</v>
      </c>
      <c r="B6449">
        <v>18</v>
      </c>
      <c r="C6449" t="s">
        <v>963</v>
      </c>
      <c r="D6449" t="s">
        <v>999</v>
      </c>
      <c r="E6449" t="s">
        <v>100</v>
      </c>
      <c r="F6449" t="s">
        <v>959</v>
      </c>
      <c r="G6449">
        <v>1877777</v>
      </c>
      <c r="H6449">
        <v>500220</v>
      </c>
      <c r="I6449" t="s">
        <v>949</v>
      </c>
    </row>
    <row r="6450" spans="1:9" x14ac:dyDescent="0.25">
      <c r="A6450">
        <v>3130</v>
      </c>
      <c r="B6450">
        <v>18</v>
      </c>
      <c r="C6450" t="s">
        <v>963</v>
      </c>
      <c r="D6450" t="s">
        <v>999</v>
      </c>
      <c r="E6450" t="s">
        <v>100</v>
      </c>
      <c r="F6450" t="s">
        <v>960</v>
      </c>
      <c r="G6450">
        <v>1877777</v>
      </c>
      <c r="H6450">
        <v>500220</v>
      </c>
      <c r="I6450" t="s">
        <v>949</v>
      </c>
    </row>
    <row r="6451" spans="1:9" x14ac:dyDescent="0.25">
      <c r="A6451">
        <v>3130</v>
      </c>
      <c r="B6451">
        <v>18</v>
      </c>
      <c r="C6451" t="s">
        <v>963</v>
      </c>
      <c r="D6451" t="s">
        <v>999</v>
      </c>
      <c r="E6451" t="s">
        <v>100</v>
      </c>
      <c r="F6451" t="s">
        <v>961</v>
      </c>
      <c r="G6451">
        <v>1877777</v>
      </c>
      <c r="H6451">
        <v>500220</v>
      </c>
      <c r="I6451" t="s">
        <v>949</v>
      </c>
    </row>
    <row r="6452" ht="22" customHeight="1" spans="1:10" x14ac:dyDescent="0.25">
      <c r="A6452" s="43">
        <v>3130</v>
      </c>
      <c r="B6452" s="43">
        <v>18</v>
      </c>
      <c r="C6452" s="43" t="s">
        <v>950</v>
      </c>
      <c r="D6452" s="43" t="s">
        <v>999</v>
      </c>
      <c r="E6452" s="43" t="s">
        <v>270</v>
      </c>
      <c r="F6452" s="43" t="s">
        <v>951</v>
      </c>
      <c r="G6452" s="43">
        <v>1800000</v>
      </c>
      <c r="H6452" s="43">
        <v>145000</v>
      </c>
      <c r="I6452" s="43" t="s">
        <v>949</v>
      </c>
      <c r="J6452" s="44" t="s">
        <v>1000</v>
      </c>
    </row>
    <row r="6453" ht="22" customHeight="1" spans="1:10" x14ac:dyDescent="0.25">
      <c r="A6453" s="43">
        <v>3130</v>
      </c>
      <c r="B6453" s="43">
        <v>18</v>
      </c>
      <c r="C6453" s="43" t="s">
        <v>950</v>
      </c>
      <c r="D6453" s="43" t="s">
        <v>999</v>
      </c>
      <c r="E6453" s="43" t="s">
        <v>270</v>
      </c>
      <c r="F6453" s="43" t="s">
        <v>952</v>
      </c>
      <c r="G6453" s="43">
        <v>1800000</v>
      </c>
      <c r="H6453" s="43">
        <v>145000</v>
      </c>
      <c r="I6453" s="43" t="s">
        <v>949</v>
      </c>
      <c r="J6453" s="44" t="s">
        <v>1000</v>
      </c>
    </row>
    <row r="6454" ht="22" customHeight="1" spans="1:10" x14ac:dyDescent="0.25">
      <c r="A6454" s="43">
        <v>3130</v>
      </c>
      <c r="B6454" s="43">
        <v>18</v>
      </c>
      <c r="C6454" s="43" t="s">
        <v>950</v>
      </c>
      <c r="D6454" s="43" t="s">
        <v>999</v>
      </c>
      <c r="E6454" s="43" t="s">
        <v>270</v>
      </c>
      <c r="F6454" s="43" t="s">
        <v>953</v>
      </c>
      <c r="G6454" s="43">
        <v>1800000</v>
      </c>
      <c r="H6454" s="43">
        <v>145000</v>
      </c>
      <c r="I6454" s="43" t="s">
        <v>949</v>
      </c>
      <c r="J6454" s="44" t="s">
        <v>1000</v>
      </c>
    </row>
    <row r="6455" ht="22" customHeight="1" spans="1:10" x14ac:dyDescent="0.25">
      <c r="A6455" s="43">
        <v>3130</v>
      </c>
      <c r="B6455" s="43">
        <v>18</v>
      </c>
      <c r="C6455" s="43" t="s">
        <v>950</v>
      </c>
      <c r="D6455" s="43" t="s">
        <v>999</v>
      </c>
      <c r="E6455" s="43" t="s">
        <v>270</v>
      </c>
      <c r="F6455" s="43" t="s">
        <v>954</v>
      </c>
      <c r="G6455" s="43">
        <v>1800000</v>
      </c>
      <c r="H6455" s="43">
        <v>145000</v>
      </c>
      <c r="I6455" s="43" t="s">
        <v>949</v>
      </c>
      <c r="J6455" s="44" t="s">
        <v>1000</v>
      </c>
    </row>
    <row r="6456" ht="22" customHeight="1" spans="1:10" x14ac:dyDescent="0.25">
      <c r="A6456" s="43">
        <v>3130</v>
      </c>
      <c r="B6456" s="43">
        <v>18</v>
      </c>
      <c r="C6456" s="43" t="s">
        <v>950</v>
      </c>
      <c r="D6456" s="43" t="s">
        <v>999</v>
      </c>
      <c r="E6456" s="43" t="s">
        <v>270</v>
      </c>
      <c r="F6456" s="43" t="s">
        <v>955</v>
      </c>
      <c r="G6456" s="43">
        <v>1800000</v>
      </c>
      <c r="H6456" s="43">
        <v>145000</v>
      </c>
      <c r="I6456" s="43" t="s">
        <v>949</v>
      </c>
      <c r="J6456" s="44" t="s">
        <v>1000</v>
      </c>
    </row>
    <row r="6457" ht="22" customHeight="1" spans="1:10" x14ac:dyDescent="0.25">
      <c r="A6457" s="43">
        <v>3130</v>
      </c>
      <c r="B6457" s="43">
        <v>18</v>
      </c>
      <c r="C6457" s="43" t="s">
        <v>950</v>
      </c>
      <c r="D6457" s="43" t="s">
        <v>999</v>
      </c>
      <c r="E6457" s="43" t="s">
        <v>270</v>
      </c>
      <c r="F6457" s="43" t="s">
        <v>956</v>
      </c>
      <c r="G6457" s="43">
        <v>1800000</v>
      </c>
      <c r="H6457" s="43">
        <v>145000</v>
      </c>
      <c r="I6457" s="43" t="s">
        <v>949</v>
      </c>
      <c r="J6457" s="44" t="s">
        <v>1000</v>
      </c>
    </row>
    <row r="6458" ht="22" customHeight="1" spans="1:10" x14ac:dyDescent="0.25">
      <c r="A6458" s="43">
        <v>3130</v>
      </c>
      <c r="B6458" s="43">
        <v>18</v>
      </c>
      <c r="C6458" s="43" t="s">
        <v>950</v>
      </c>
      <c r="D6458" s="43" t="s">
        <v>999</v>
      </c>
      <c r="E6458" s="43" t="s">
        <v>270</v>
      </c>
      <c r="F6458" s="43" t="s">
        <v>957</v>
      </c>
      <c r="G6458" s="43">
        <v>1800000</v>
      </c>
      <c r="H6458" s="43">
        <v>145000</v>
      </c>
      <c r="I6458" s="43" t="s">
        <v>949</v>
      </c>
      <c r="J6458" s="44" t="s">
        <v>1000</v>
      </c>
    </row>
    <row r="6459" ht="22" customHeight="1" spans="1:10" x14ac:dyDescent="0.25">
      <c r="A6459" s="43">
        <v>3130</v>
      </c>
      <c r="B6459" s="43">
        <v>18</v>
      </c>
      <c r="C6459" s="43" t="s">
        <v>950</v>
      </c>
      <c r="D6459" s="43" t="s">
        <v>999</v>
      </c>
      <c r="E6459" s="43" t="s">
        <v>270</v>
      </c>
      <c r="F6459" s="43" t="s">
        <v>958</v>
      </c>
      <c r="G6459" s="43">
        <v>1800000</v>
      </c>
      <c r="H6459" s="43">
        <v>145000</v>
      </c>
      <c r="I6459" s="43" t="s">
        <v>949</v>
      </c>
      <c r="J6459" s="44" t="s">
        <v>1000</v>
      </c>
    </row>
    <row r="6460" ht="22" customHeight="1" spans="1:10" x14ac:dyDescent="0.25">
      <c r="A6460" s="43">
        <v>3130</v>
      </c>
      <c r="B6460" s="43">
        <v>18</v>
      </c>
      <c r="C6460" s="43" t="s">
        <v>950</v>
      </c>
      <c r="D6460" s="43" t="s">
        <v>999</v>
      </c>
      <c r="E6460" s="43" t="s">
        <v>270</v>
      </c>
      <c r="F6460" s="43" t="s">
        <v>959</v>
      </c>
      <c r="G6460" s="43">
        <v>1800000</v>
      </c>
      <c r="H6460" s="43">
        <v>145000</v>
      </c>
      <c r="I6460" s="43" t="s">
        <v>949</v>
      </c>
      <c r="J6460" s="44" t="s">
        <v>1000</v>
      </c>
    </row>
    <row r="6461" ht="22" customHeight="1" spans="1:10" x14ac:dyDescent="0.25">
      <c r="A6461" s="43">
        <v>3130</v>
      </c>
      <c r="B6461" s="43">
        <v>18</v>
      </c>
      <c r="C6461" s="43" t="s">
        <v>950</v>
      </c>
      <c r="D6461" s="43" t="s">
        <v>999</v>
      </c>
      <c r="E6461" s="43" t="s">
        <v>270</v>
      </c>
      <c r="F6461" s="43" t="s">
        <v>960</v>
      </c>
      <c r="G6461" s="43">
        <v>1800000</v>
      </c>
      <c r="H6461" s="43">
        <v>145000</v>
      </c>
      <c r="I6461" s="43" t="s">
        <v>949</v>
      </c>
      <c r="J6461" s="44" t="s">
        <v>1000</v>
      </c>
    </row>
    <row r="6462" ht="22" customHeight="1" spans="1:10" x14ac:dyDescent="0.25">
      <c r="A6462" s="43">
        <v>3130</v>
      </c>
      <c r="B6462" s="43">
        <v>18</v>
      </c>
      <c r="C6462" s="43" t="s">
        <v>950</v>
      </c>
      <c r="D6462" s="43" t="s">
        <v>999</v>
      </c>
      <c r="E6462" s="43" t="s">
        <v>270</v>
      </c>
      <c r="F6462" s="43" t="s">
        <v>961</v>
      </c>
      <c r="G6462" s="43">
        <v>1800000</v>
      </c>
      <c r="H6462" s="43">
        <v>145000</v>
      </c>
      <c r="I6462" s="43" t="s">
        <v>949</v>
      </c>
      <c r="J6462" s="44" t="s">
        <v>1000</v>
      </c>
    </row>
    <row r="6463" ht="22" customHeight="1" spans="1:10" x14ac:dyDescent="0.25">
      <c r="A6463" s="43">
        <v>3130</v>
      </c>
      <c r="B6463" s="43">
        <v>18</v>
      </c>
      <c r="C6463" s="43" t="s">
        <v>962</v>
      </c>
      <c r="D6463" s="43" t="s">
        <v>999</v>
      </c>
      <c r="E6463" s="43" t="s">
        <v>270</v>
      </c>
      <c r="F6463" s="43" t="s">
        <v>951</v>
      </c>
      <c r="G6463" s="43">
        <v>1800000</v>
      </c>
      <c r="H6463" s="43">
        <v>145000</v>
      </c>
      <c r="I6463" s="43" t="s">
        <v>949</v>
      </c>
      <c r="J6463" s="44" t="s">
        <v>1000</v>
      </c>
    </row>
    <row r="6464" ht="22" customHeight="1" spans="1:10" x14ac:dyDescent="0.25">
      <c r="A6464" s="43">
        <v>3130</v>
      </c>
      <c r="B6464" s="43">
        <v>18</v>
      </c>
      <c r="C6464" s="43" t="s">
        <v>962</v>
      </c>
      <c r="D6464" s="43" t="s">
        <v>999</v>
      </c>
      <c r="E6464" s="43" t="s">
        <v>270</v>
      </c>
      <c r="F6464" s="43" t="s">
        <v>952</v>
      </c>
      <c r="G6464" s="43">
        <v>1800000</v>
      </c>
      <c r="H6464" s="43">
        <v>145000</v>
      </c>
      <c r="I6464" s="43" t="s">
        <v>949</v>
      </c>
      <c r="J6464" s="44" t="s">
        <v>1000</v>
      </c>
    </row>
    <row r="6465" ht="22" customHeight="1" spans="1:10" x14ac:dyDescent="0.25">
      <c r="A6465" s="43">
        <v>3130</v>
      </c>
      <c r="B6465" s="43">
        <v>18</v>
      </c>
      <c r="C6465" s="43" t="s">
        <v>962</v>
      </c>
      <c r="D6465" s="43" t="s">
        <v>999</v>
      </c>
      <c r="E6465" s="43" t="s">
        <v>270</v>
      </c>
      <c r="F6465" s="43" t="s">
        <v>953</v>
      </c>
      <c r="G6465" s="43">
        <v>1800000</v>
      </c>
      <c r="H6465" s="43">
        <v>145000</v>
      </c>
      <c r="I6465" s="43" t="s">
        <v>949</v>
      </c>
      <c r="J6465" s="44" t="s">
        <v>1000</v>
      </c>
    </row>
    <row r="6466" ht="22" customHeight="1" spans="1:10" x14ac:dyDescent="0.25">
      <c r="A6466" s="43">
        <v>3130</v>
      </c>
      <c r="B6466" s="43">
        <v>18</v>
      </c>
      <c r="C6466" s="43" t="s">
        <v>962</v>
      </c>
      <c r="D6466" s="43" t="s">
        <v>999</v>
      </c>
      <c r="E6466" s="43" t="s">
        <v>270</v>
      </c>
      <c r="F6466" s="43" t="s">
        <v>954</v>
      </c>
      <c r="G6466" s="43">
        <v>1800000</v>
      </c>
      <c r="H6466" s="43">
        <v>145000</v>
      </c>
      <c r="I6466" s="43" t="s">
        <v>949</v>
      </c>
      <c r="J6466" s="44" t="s">
        <v>1000</v>
      </c>
    </row>
    <row r="6467" ht="22" customHeight="1" spans="1:10" x14ac:dyDescent="0.25">
      <c r="A6467" s="43">
        <v>3130</v>
      </c>
      <c r="B6467" s="43">
        <v>18</v>
      </c>
      <c r="C6467" s="43" t="s">
        <v>962</v>
      </c>
      <c r="D6467" s="43" t="s">
        <v>999</v>
      </c>
      <c r="E6467" s="43" t="s">
        <v>270</v>
      </c>
      <c r="F6467" s="43" t="s">
        <v>955</v>
      </c>
      <c r="G6467" s="43">
        <v>1800000</v>
      </c>
      <c r="H6467" s="43">
        <v>145000</v>
      </c>
      <c r="I6467" s="43" t="s">
        <v>949</v>
      </c>
      <c r="J6467" s="44" t="s">
        <v>1000</v>
      </c>
    </row>
    <row r="6468" ht="22" customHeight="1" spans="1:10" x14ac:dyDescent="0.25">
      <c r="A6468" s="43">
        <v>3130</v>
      </c>
      <c r="B6468" s="43">
        <v>18</v>
      </c>
      <c r="C6468" s="43" t="s">
        <v>962</v>
      </c>
      <c r="D6468" s="43" t="s">
        <v>999</v>
      </c>
      <c r="E6468" s="43" t="s">
        <v>270</v>
      </c>
      <c r="F6468" s="43" t="s">
        <v>956</v>
      </c>
      <c r="G6468" s="43">
        <v>1800000</v>
      </c>
      <c r="H6468" s="43">
        <v>145000</v>
      </c>
      <c r="I6468" s="43" t="s">
        <v>949</v>
      </c>
      <c r="J6468" s="44" t="s">
        <v>1000</v>
      </c>
    </row>
    <row r="6469" ht="22" customHeight="1" spans="1:10" x14ac:dyDescent="0.25">
      <c r="A6469" s="43">
        <v>3130</v>
      </c>
      <c r="B6469" s="43">
        <v>18</v>
      </c>
      <c r="C6469" s="43" t="s">
        <v>962</v>
      </c>
      <c r="D6469" s="43" t="s">
        <v>999</v>
      </c>
      <c r="E6469" s="43" t="s">
        <v>270</v>
      </c>
      <c r="F6469" s="43" t="s">
        <v>957</v>
      </c>
      <c r="G6469" s="43">
        <v>1800000</v>
      </c>
      <c r="H6469" s="43">
        <v>145000</v>
      </c>
      <c r="I6469" s="43" t="s">
        <v>949</v>
      </c>
      <c r="J6469" s="44" t="s">
        <v>1000</v>
      </c>
    </row>
    <row r="6470" ht="22" customHeight="1" spans="1:10" x14ac:dyDescent="0.25">
      <c r="A6470" s="43">
        <v>3130</v>
      </c>
      <c r="B6470" s="43">
        <v>18</v>
      </c>
      <c r="C6470" s="43" t="s">
        <v>962</v>
      </c>
      <c r="D6470" s="43" t="s">
        <v>999</v>
      </c>
      <c r="E6470" s="43" t="s">
        <v>270</v>
      </c>
      <c r="F6470" s="43" t="s">
        <v>958</v>
      </c>
      <c r="G6470" s="43">
        <v>1800000</v>
      </c>
      <c r="H6470" s="43">
        <v>145000</v>
      </c>
      <c r="I6470" s="43" t="s">
        <v>949</v>
      </c>
      <c r="J6470" s="44" t="s">
        <v>1000</v>
      </c>
    </row>
    <row r="6471" ht="22" customHeight="1" spans="1:10" x14ac:dyDescent="0.25">
      <c r="A6471" s="43">
        <v>3130</v>
      </c>
      <c r="B6471" s="43">
        <v>18</v>
      </c>
      <c r="C6471" s="43" t="s">
        <v>962</v>
      </c>
      <c r="D6471" s="43" t="s">
        <v>999</v>
      </c>
      <c r="E6471" s="43" t="s">
        <v>270</v>
      </c>
      <c r="F6471" s="43" t="s">
        <v>959</v>
      </c>
      <c r="G6471" s="43">
        <v>1800000</v>
      </c>
      <c r="H6471" s="43">
        <v>145000</v>
      </c>
      <c r="I6471" s="43" t="s">
        <v>949</v>
      </c>
      <c r="J6471" s="44" t="s">
        <v>1000</v>
      </c>
    </row>
    <row r="6472" ht="22" customHeight="1" spans="1:10" x14ac:dyDescent="0.25">
      <c r="A6472" s="43">
        <v>3130</v>
      </c>
      <c r="B6472" s="43">
        <v>18</v>
      </c>
      <c r="C6472" s="43" t="s">
        <v>962</v>
      </c>
      <c r="D6472" s="43" t="s">
        <v>999</v>
      </c>
      <c r="E6472" s="43" t="s">
        <v>270</v>
      </c>
      <c r="F6472" s="43" t="s">
        <v>960</v>
      </c>
      <c r="G6472" s="43">
        <v>1800000</v>
      </c>
      <c r="H6472" s="43">
        <v>145000</v>
      </c>
      <c r="I6472" s="43" t="s">
        <v>949</v>
      </c>
      <c r="J6472" s="44" t="s">
        <v>1000</v>
      </c>
    </row>
    <row r="6473" ht="22" customHeight="1" spans="1:10" x14ac:dyDescent="0.25">
      <c r="A6473" s="43">
        <v>3130</v>
      </c>
      <c r="B6473" s="43">
        <v>18</v>
      </c>
      <c r="C6473" s="43" t="s">
        <v>962</v>
      </c>
      <c r="D6473" s="43" t="s">
        <v>999</v>
      </c>
      <c r="E6473" s="43" t="s">
        <v>270</v>
      </c>
      <c r="F6473" s="43" t="s">
        <v>961</v>
      </c>
      <c r="G6473" s="43">
        <v>1800000</v>
      </c>
      <c r="H6473" s="43">
        <v>145000</v>
      </c>
      <c r="I6473" s="43" t="s">
        <v>949</v>
      </c>
      <c r="J6473" s="44" t="s">
        <v>1000</v>
      </c>
    </row>
    <row r="6474" ht="22" customHeight="1" spans="1:10" x14ac:dyDescent="0.25">
      <c r="A6474" s="43">
        <v>3130</v>
      </c>
      <c r="B6474" s="43">
        <v>18</v>
      </c>
      <c r="C6474" s="43" t="s">
        <v>963</v>
      </c>
      <c r="D6474" s="43" t="s">
        <v>999</v>
      </c>
      <c r="E6474" s="43" t="s">
        <v>270</v>
      </c>
      <c r="F6474" s="43" t="s">
        <v>951</v>
      </c>
      <c r="G6474" s="43">
        <v>1800000</v>
      </c>
      <c r="H6474" s="43">
        <v>145000</v>
      </c>
      <c r="I6474" s="43" t="s">
        <v>949</v>
      </c>
      <c r="J6474" s="44" t="s">
        <v>1000</v>
      </c>
    </row>
    <row r="6475" ht="22" customHeight="1" spans="1:10" x14ac:dyDescent="0.25">
      <c r="A6475" s="43">
        <v>3130</v>
      </c>
      <c r="B6475" s="43">
        <v>18</v>
      </c>
      <c r="C6475" s="43" t="s">
        <v>963</v>
      </c>
      <c r="D6475" s="43" t="s">
        <v>999</v>
      </c>
      <c r="E6475" s="43" t="s">
        <v>270</v>
      </c>
      <c r="F6475" s="43" t="s">
        <v>952</v>
      </c>
      <c r="G6475" s="43">
        <v>1800000</v>
      </c>
      <c r="H6475" s="43">
        <v>145000</v>
      </c>
      <c r="I6475" s="43" t="s">
        <v>949</v>
      </c>
      <c r="J6475" s="44" t="s">
        <v>1000</v>
      </c>
    </row>
    <row r="6476" ht="22" customHeight="1" spans="1:10" x14ac:dyDescent="0.25">
      <c r="A6476" s="43">
        <v>3130</v>
      </c>
      <c r="B6476" s="43">
        <v>18</v>
      </c>
      <c r="C6476" s="43" t="s">
        <v>963</v>
      </c>
      <c r="D6476" s="43" t="s">
        <v>999</v>
      </c>
      <c r="E6476" s="43" t="s">
        <v>270</v>
      </c>
      <c r="F6476" s="43" t="s">
        <v>953</v>
      </c>
      <c r="G6476" s="43">
        <v>1800000</v>
      </c>
      <c r="H6476" s="43">
        <v>145000</v>
      </c>
      <c r="I6476" s="43" t="s">
        <v>949</v>
      </c>
      <c r="J6476" s="44" t="s">
        <v>1000</v>
      </c>
    </row>
    <row r="6477" ht="22" customHeight="1" spans="1:10" x14ac:dyDescent="0.25">
      <c r="A6477" s="43">
        <v>3130</v>
      </c>
      <c r="B6477" s="43">
        <v>18</v>
      </c>
      <c r="C6477" s="43" t="s">
        <v>963</v>
      </c>
      <c r="D6477" s="43" t="s">
        <v>999</v>
      </c>
      <c r="E6477" s="43" t="s">
        <v>270</v>
      </c>
      <c r="F6477" s="43" t="s">
        <v>954</v>
      </c>
      <c r="G6477" s="43">
        <v>1800000</v>
      </c>
      <c r="H6477" s="43">
        <v>145000</v>
      </c>
      <c r="I6477" s="43" t="s">
        <v>949</v>
      </c>
      <c r="J6477" s="44" t="s">
        <v>1000</v>
      </c>
    </row>
    <row r="6478" ht="22" customHeight="1" spans="1:10" x14ac:dyDescent="0.25">
      <c r="A6478" s="43">
        <v>3130</v>
      </c>
      <c r="B6478" s="43">
        <v>18</v>
      </c>
      <c r="C6478" s="43" t="s">
        <v>963</v>
      </c>
      <c r="D6478" s="43" t="s">
        <v>999</v>
      </c>
      <c r="E6478" s="43" t="s">
        <v>270</v>
      </c>
      <c r="F6478" s="43" t="s">
        <v>955</v>
      </c>
      <c r="G6478" s="43">
        <v>1800000</v>
      </c>
      <c r="H6478" s="43">
        <v>145000</v>
      </c>
      <c r="I6478" s="43" t="s">
        <v>949</v>
      </c>
      <c r="J6478" s="44" t="s">
        <v>1000</v>
      </c>
    </row>
    <row r="6479" ht="22" customHeight="1" spans="1:10" x14ac:dyDescent="0.25">
      <c r="A6479" s="43">
        <v>3130</v>
      </c>
      <c r="B6479" s="43">
        <v>18</v>
      </c>
      <c r="C6479" s="43" t="s">
        <v>963</v>
      </c>
      <c r="D6479" s="43" t="s">
        <v>999</v>
      </c>
      <c r="E6479" s="43" t="s">
        <v>270</v>
      </c>
      <c r="F6479" s="43" t="s">
        <v>956</v>
      </c>
      <c r="G6479" s="43">
        <v>1800000</v>
      </c>
      <c r="H6479" s="43">
        <v>145000</v>
      </c>
      <c r="I6479" s="43" t="s">
        <v>949</v>
      </c>
      <c r="J6479" s="44" t="s">
        <v>1000</v>
      </c>
    </row>
    <row r="6480" ht="22" customHeight="1" spans="1:10" x14ac:dyDescent="0.25">
      <c r="A6480" s="43">
        <v>3130</v>
      </c>
      <c r="B6480" s="43">
        <v>18</v>
      </c>
      <c r="C6480" s="43" t="s">
        <v>963</v>
      </c>
      <c r="D6480" s="43" t="s">
        <v>999</v>
      </c>
      <c r="E6480" s="43" t="s">
        <v>270</v>
      </c>
      <c r="F6480" s="43" t="s">
        <v>957</v>
      </c>
      <c r="G6480" s="43">
        <v>1800000</v>
      </c>
      <c r="H6480" s="43">
        <v>145000</v>
      </c>
      <c r="I6480" s="43" t="s">
        <v>949</v>
      </c>
      <c r="J6480" s="44" t="s">
        <v>1000</v>
      </c>
    </row>
    <row r="6481" ht="22" customHeight="1" spans="1:10" x14ac:dyDescent="0.25">
      <c r="A6481" s="43">
        <v>3130</v>
      </c>
      <c r="B6481" s="43">
        <v>18</v>
      </c>
      <c r="C6481" s="43" t="s">
        <v>963</v>
      </c>
      <c r="D6481" s="43" t="s">
        <v>999</v>
      </c>
      <c r="E6481" s="43" t="s">
        <v>270</v>
      </c>
      <c r="F6481" s="43" t="s">
        <v>958</v>
      </c>
      <c r="G6481" s="43">
        <v>1800000</v>
      </c>
      <c r="H6481" s="43">
        <v>145000</v>
      </c>
      <c r="I6481" s="43" t="s">
        <v>949</v>
      </c>
      <c r="J6481" s="44" t="s">
        <v>1000</v>
      </c>
    </row>
    <row r="6482" ht="22" customHeight="1" spans="1:10" x14ac:dyDescent="0.25">
      <c r="A6482" s="43">
        <v>3130</v>
      </c>
      <c r="B6482" s="43">
        <v>18</v>
      </c>
      <c r="C6482" s="43" t="s">
        <v>963</v>
      </c>
      <c r="D6482" s="43" t="s">
        <v>999</v>
      </c>
      <c r="E6482" s="43" t="s">
        <v>270</v>
      </c>
      <c r="F6482" s="43" t="s">
        <v>959</v>
      </c>
      <c r="G6482" s="43">
        <v>1800000</v>
      </c>
      <c r="H6482" s="43">
        <v>145000</v>
      </c>
      <c r="I6482" s="43" t="s">
        <v>949</v>
      </c>
      <c r="J6482" s="44" t="s">
        <v>1000</v>
      </c>
    </row>
    <row r="6483" ht="22" customHeight="1" spans="1:10" x14ac:dyDescent="0.25">
      <c r="A6483" s="43">
        <v>3130</v>
      </c>
      <c r="B6483" s="43">
        <v>18</v>
      </c>
      <c r="C6483" s="43" t="s">
        <v>963</v>
      </c>
      <c r="D6483" s="43" t="s">
        <v>999</v>
      </c>
      <c r="E6483" s="43" t="s">
        <v>270</v>
      </c>
      <c r="F6483" s="43" t="s">
        <v>960</v>
      </c>
      <c r="G6483" s="43">
        <v>1800000</v>
      </c>
      <c r="H6483" s="43">
        <v>145000</v>
      </c>
      <c r="I6483" s="43" t="s">
        <v>949</v>
      </c>
      <c r="J6483" s="44" t="s">
        <v>1000</v>
      </c>
    </row>
    <row r="6484" ht="22" customHeight="1" spans="1:10" x14ac:dyDescent="0.25">
      <c r="A6484" s="43">
        <v>3130</v>
      </c>
      <c r="B6484" s="43">
        <v>18</v>
      </c>
      <c r="C6484" s="43" t="s">
        <v>963</v>
      </c>
      <c r="D6484" s="43" t="s">
        <v>999</v>
      </c>
      <c r="E6484" s="43" t="s">
        <v>270</v>
      </c>
      <c r="F6484" s="43" t="s">
        <v>961</v>
      </c>
      <c r="G6484" s="43">
        <v>1800000</v>
      </c>
      <c r="H6484" s="43">
        <v>145000</v>
      </c>
      <c r="I6484" s="43" t="s">
        <v>949</v>
      </c>
      <c r="J6484" s="44" t="s">
        <v>1000</v>
      </c>
    </row>
    <row r="6485" spans="1:9" x14ac:dyDescent="0.25">
      <c r="A6485">
        <v>3130</v>
      </c>
      <c r="B6485">
        <v>18</v>
      </c>
      <c r="C6485" t="s">
        <v>950</v>
      </c>
      <c r="D6485" t="s">
        <v>999</v>
      </c>
      <c r="E6485" t="s">
        <v>274</v>
      </c>
      <c r="F6485" t="s">
        <v>951</v>
      </c>
      <c r="G6485">
        <v>1800000</v>
      </c>
      <c r="H6485">
        <v>143000</v>
      </c>
      <c r="I6485" t="s">
        <v>973</v>
      </c>
    </row>
    <row r="6486" spans="1:9" x14ac:dyDescent="0.25">
      <c r="A6486">
        <v>3130</v>
      </c>
      <c r="B6486">
        <v>18</v>
      </c>
      <c r="C6486" t="s">
        <v>950</v>
      </c>
      <c r="D6486" t="s">
        <v>999</v>
      </c>
      <c r="E6486" t="s">
        <v>274</v>
      </c>
      <c r="F6486" t="s">
        <v>952</v>
      </c>
      <c r="G6486">
        <v>1800000</v>
      </c>
      <c r="H6486">
        <v>143000</v>
      </c>
      <c r="I6486" t="s">
        <v>973</v>
      </c>
    </row>
    <row r="6487" spans="1:9" x14ac:dyDescent="0.25">
      <c r="A6487">
        <v>3130</v>
      </c>
      <c r="B6487">
        <v>18</v>
      </c>
      <c r="C6487" t="s">
        <v>950</v>
      </c>
      <c r="D6487" t="s">
        <v>999</v>
      </c>
      <c r="E6487" t="s">
        <v>274</v>
      </c>
      <c r="F6487" t="s">
        <v>953</v>
      </c>
      <c r="G6487">
        <v>1800000</v>
      </c>
      <c r="H6487">
        <v>143000</v>
      </c>
      <c r="I6487" t="s">
        <v>973</v>
      </c>
    </row>
    <row r="6488" spans="1:9" x14ac:dyDescent="0.25">
      <c r="A6488">
        <v>3130</v>
      </c>
      <c r="B6488">
        <v>18</v>
      </c>
      <c r="C6488" t="s">
        <v>950</v>
      </c>
      <c r="D6488" t="s">
        <v>999</v>
      </c>
      <c r="E6488" t="s">
        <v>274</v>
      </c>
      <c r="F6488" t="s">
        <v>954</v>
      </c>
      <c r="G6488">
        <v>1800000</v>
      </c>
      <c r="H6488">
        <v>143000</v>
      </c>
      <c r="I6488" t="s">
        <v>973</v>
      </c>
    </row>
    <row r="6489" spans="1:9" x14ac:dyDescent="0.25">
      <c r="A6489">
        <v>3130</v>
      </c>
      <c r="B6489">
        <v>18</v>
      </c>
      <c r="C6489" t="s">
        <v>950</v>
      </c>
      <c r="D6489" t="s">
        <v>999</v>
      </c>
      <c r="E6489" t="s">
        <v>274</v>
      </c>
      <c r="F6489" t="s">
        <v>955</v>
      </c>
      <c r="G6489">
        <v>1800000</v>
      </c>
      <c r="H6489">
        <v>143000</v>
      </c>
      <c r="I6489" t="s">
        <v>973</v>
      </c>
    </row>
    <row r="6490" spans="1:9" x14ac:dyDescent="0.25">
      <c r="A6490">
        <v>3130</v>
      </c>
      <c r="B6490">
        <v>18</v>
      </c>
      <c r="C6490" t="s">
        <v>950</v>
      </c>
      <c r="D6490" t="s">
        <v>999</v>
      </c>
      <c r="E6490" t="s">
        <v>274</v>
      </c>
      <c r="F6490" t="s">
        <v>956</v>
      </c>
      <c r="G6490">
        <v>1800000</v>
      </c>
      <c r="H6490">
        <v>143000</v>
      </c>
      <c r="I6490" t="s">
        <v>973</v>
      </c>
    </row>
    <row r="6491" spans="1:9" x14ac:dyDescent="0.25">
      <c r="A6491">
        <v>3130</v>
      </c>
      <c r="B6491">
        <v>18</v>
      </c>
      <c r="C6491" t="s">
        <v>950</v>
      </c>
      <c r="D6491" t="s">
        <v>999</v>
      </c>
      <c r="E6491" t="s">
        <v>274</v>
      </c>
      <c r="F6491" t="s">
        <v>957</v>
      </c>
      <c r="G6491">
        <v>1800000</v>
      </c>
      <c r="H6491">
        <v>143000</v>
      </c>
      <c r="I6491" t="s">
        <v>973</v>
      </c>
    </row>
    <row r="6492" spans="1:9" x14ac:dyDescent="0.25">
      <c r="A6492">
        <v>3130</v>
      </c>
      <c r="B6492">
        <v>18</v>
      </c>
      <c r="C6492" t="s">
        <v>950</v>
      </c>
      <c r="D6492" t="s">
        <v>999</v>
      </c>
      <c r="E6492" t="s">
        <v>274</v>
      </c>
      <c r="F6492" t="s">
        <v>958</v>
      </c>
      <c r="G6492">
        <v>1800000</v>
      </c>
      <c r="H6492">
        <v>143000</v>
      </c>
      <c r="I6492" t="s">
        <v>973</v>
      </c>
    </row>
    <row r="6493" spans="1:9" x14ac:dyDescent="0.25">
      <c r="A6493">
        <v>3130</v>
      </c>
      <c r="B6493">
        <v>18</v>
      </c>
      <c r="C6493" t="s">
        <v>950</v>
      </c>
      <c r="D6493" t="s">
        <v>999</v>
      </c>
      <c r="E6493" t="s">
        <v>274</v>
      </c>
      <c r="F6493" t="s">
        <v>959</v>
      </c>
      <c r="G6493">
        <v>1800000</v>
      </c>
      <c r="H6493">
        <v>143000</v>
      </c>
      <c r="I6493" t="s">
        <v>973</v>
      </c>
    </row>
    <row r="6494" spans="1:9" x14ac:dyDescent="0.25">
      <c r="A6494">
        <v>3130</v>
      </c>
      <c r="B6494">
        <v>18</v>
      </c>
      <c r="C6494" t="s">
        <v>950</v>
      </c>
      <c r="D6494" t="s">
        <v>999</v>
      </c>
      <c r="E6494" t="s">
        <v>274</v>
      </c>
      <c r="F6494" t="s">
        <v>960</v>
      </c>
      <c r="G6494">
        <v>1800000</v>
      </c>
      <c r="H6494">
        <v>143000</v>
      </c>
      <c r="I6494" t="s">
        <v>973</v>
      </c>
    </row>
    <row r="6495" spans="1:9" x14ac:dyDescent="0.25">
      <c r="A6495">
        <v>3130</v>
      </c>
      <c r="B6495">
        <v>18</v>
      </c>
      <c r="C6495" t="s">
        <v>950</v>
      </c>
      <c r="D6495" t="s">
        <v>999</v>
      </c>
      <c r="E6495" t="s">
        <v>274</v>
      </c>
      <c r="F6495" t="s">
        <v>961</v>
      </c>
      <c r="G6495">
        <v>1800000</v>
      </c>
      <c r="H6495">
        <v>143000</v>
      </c>
      <c r="I6495" t="s">
        <v>973</v>
      </c>
    </row>
    <row r="6496" spans="1:9" x14ac:dyDescent="0.25">
      <c r="A6496">
        <v>3130</v>
      </c>
      <c r="B6496">
        <v>18</v>
      </c>
      <c r="C6496" t="s">
        <v>962</v>
      </c>
      <c r="D6496" t="s">
        <v>999</v>
      </c>
      <c r="E6496" t="s">
        <v>274</v>
      </c>
      <c r="F6496" t="s">
        <v>951</v>
      </c>
      <c r="G6496">
        <v>1800000</v>
      </c>
      <c r="H6496">
        <v>143000</v>
      </c>
      <c r="I6496" t="s">
        <v>973</v>
      </c>
    </row>
    <row r="6497" spans="1:9" x14ac:dyDescent="0.25">
      <c r="A6497">
        <v>3130</v>
      </c>
      <c r="B6497">
        <v>18</v>
      </c>
      <c r="C6497" t="s">
        <v>962</v>
      </c>
      <c r="D6497" t="s">
        <v>999</v>
      </c>
      <c r="E6497" t="s">
        <v>274</v>
      </c>
      <c r="F6497" t="s">
        <v>952</v>
      </c>
      <c r="G6497">
        <v>1800000</v>
      </c>
      <c r="H6497">
        <v>143000</v>
      </c>
      <c r="I6497" t="s">
        <v>973</v>
      </c>
    </row>
    <row r="6498" spans="1:9" x14ac:dyDescent="0.25">
      <c r="A6498">
        <v>3130</v>
      </c>
      <c r="B6498">
        <v>18</v>
      </c>
      <c r="C6498" t="s">
        <v>962</v>
      </c>
      <c r="D6498" t="s">
        <v>999</v>
      </c>
      <c r="E6498" t="s">
        <v>274</v>
      </c>
      <c r="F6498" t="s">
        <v>953</v>
      </c>
      <c r="G6498">
        <v>1800000</v>
      </c>
      <c r="H6498">
        <v>143000</v>
      </c>
      <c r="I6498" t="s">
        <v>973</v>
      </c>
    </row>
    <row r="6499" spans="1:9" x14ac:dyDescent="0.25">
      <c r="A6499">
        <v>3130</v>
      </c>
      <c r="B6499">
        <v>18</v>
      </c>
      <c r="C6499" t="s">
        <v>962</v>
      </c>
      <c r="D6499" t="s">
        <v>999</v>
      </c>
      <c r="E6499" t="s">
        <v>274</v>
      </c>
      <c r="F6499" t="s">
        <v>954</v>
      </c>
      <c r="G6499">
        <v>1800000</v>
      </c>
      <c r="H6499">
        <v>143000</v>
      </c>
      <c r="I6499" t="s">
        <v>973</v>
      </c>
    </row>
    <row r="6500" spans="1:9" x14ac:dyDescent="0.25">
      <c r="A6500">
        <v>3130</v>
      </c>
      <c r="B6500">
        <v>18</v>
      </c>
      <c r="C6500" t="s">
        <v>962</v>
      </c>
      <c r="D6500" t="s">
        <v>999</v>
      </c>
      <c r="E6500" t="s">
        <v>274</v>
      </c>
      <c r="F6500" t="s">
        <v>955</v>
      </c>
      <c r="G6500">
        <v>1800000</v>
      </c>
      <c r="H6500">
        <v>143000</v>
      </c>
      <c r="I6500" t="s">
        <v>973</v>
      </c>
    </row>
    <row r="6501" spans="1:9" x14ac:dyDescent="0.25">
      <c r="A6501">
        <v>3130</v>
      </c>
      <c r="B6501">
        <v>18</v>
      </c>
      <c r="C6501" t="s">
        <v>962</v>
      </c>
      <c r="D6501" t="s">
        <v>999</v>
      </c>
      <c r="E6501" t="s">
        <v>274</v>
      </c>
      <c r="F6501" t="s">
        <v>956</v>
      </c>
      <c r="G6501">
        <v>1800000</v>
      </c>
      <c r="H6501">
        <v>143000</v>
      </c>
      <c r="I6501" t="s">
        <v>973</v>
      </c>
    </row>
    <row r="6502" spans="1:9" x14ac:dyDescent="0.25">
      <c r="A6502">
        <v>3130</v>
      </c>
      <c r="B6502">
        <v>18</v>
      </c>
      <c r="C6502" t="s">
        <v>962</v>
      </c>
      <c r="D6502" t="s">
        <v>999</v>
      </c>
      <c r="E6502" t="s">
        <v>274</v>
      </c>
      <c r="F6502" t="s">
        <v>957</v>
      </c>
      <c r="G6502">
        <v>1800000</v>
      </c>
      <c r="H6502">
        <v>143000</v>
      </c>
      <c r="I6502" t="s">
        <v>973</v>
      </c>
    </row>
    <row r="6503" spans="1:9" x14ac:dyDescent="0.25">
      <c r="A6503">
        <v>3130</v>
      </c>
      <c r="B6503">
        <v>18</v>
      </c>
      <c r="C6503" t="s">
        <v>962</v>
      </c>
      <c r="D6503" t="s">
        <v>999</v>
      </c>
      <c r="E6503" t="s">
        <v>274</v>
      </c>
      <c r="F6503" t="s">
        <v>958</v>
      </c>
      <c r="G6503">
        <v>1800000</v>
      </c>
      <c r="H6503">
        <v>143000</v>
      </c>
      <c r="I6503" t="s">
        <v>973</v>
      </c>
    </row>
    <row r="6504" spans="1:9" x14ac:dyDescent="0.25">
      <c r="A6504">
        <v>3130</v>
      </c>
      <c r="B6504">
        <v>18</v>
      </c>
      <c r="C6504" t="s">
        <v>962</v>
      </c>
      <c r="D6504" t="s">
        <v>999</v>
      </c>
      <c r="E6504" t="s">
        <v>274</v>
      </c>
      <c r="F6504" t="s">
        <v>959</v>
      </c>
      <c r="G6504">
        <v>1800000</v>
      </c>
      <c r="H6504">
        <v>143000</v>
      </c>
      <c r="I6504" t="s">
        <v>973</v>
      </c>
    </row>
    <row r="6505" spans="1:9" x14ac:dyDescent="0.25">
      <c r="A6505">
        <v>3130</v>
      </c>
      <c r="B6505">
        <v>18</v>
      </c>
      <c r="C6505" t="s">
        <v>962</v>
      </c>
      <c r="D6505" t="s">
        <v>999</v>
      </c>
      <c r="E6505" t="s">
        <v>274</v>
      </c>
      <c r="F6505" t="s">
        <v>960</v>
      </c>
      <c r="G6505">
        <v>1800000</v>
      </c>
      <c r="H6505">
        <v>143000</v>
      </c>
      <c r="I6505" t="s">
        <v>973</v>
      </c>
    </row>
    <row r="6506" spans="1:9" x14ac:dyDescent="0.25">
      <c r="A6506">
        <v>3130</v>
      </c>
      <c r="B6506">
        <v>18</v>
      </c>
      <c r="C6506" t="s">
        <v>962</v>
      </c>
      <c r="D6506" t="s">
        <v>999</v>
      </c>
      <c r="E6506" t="s">
        <v>274</v>
      </c>
      <c r="F6506" t="s">
        <v>961</v>
      </c>
      <c r="G6506">
        <v>1800000</v>
      </c>
      <c r="H6506">
        <v>143000</v>
      </c>
      <c r="I6506" t="s">
        <v>973</v>
      </c>
    </row>
    <row r="6507" spans="1:9" x14ac:dyDescent="0.25">
      <c r="A6507">
        <v>3130</v>
      </c>
      <c r="B6507">
        <v>18</v>
      </c>
      <c r="C6507" t="s">
        <v>963</v>
      </c>
      <c r="D6507" t="s">
        <v>999</v>
      </c>
      <c r="E6507" t="s">
        <v>274</v>
      </c>
      <c r="F6507" t="s">
        <v>951</v>
      </c>
      <c r="G6507">
        <v>1800000</v>
      </c>
      <c r="H6507">
        <v>143000</v>
      </c>
      <c r="I6507" t="s">
        <v>973</v>
      </c>
    </row>
    <row r="6508" spans="1:9" x14ac:dyDescent="0.25">
      <c r="A6508">
        <v>3130</v>
      </c>
      <c r="B6508">
        <v>18</v>
      </c>
      <c r="C6508" t="s">
        <v>963</v>
      </c>
      <c r="D6508" t="s">
        <v>999</v>
      </c>
      <c r="E6508" t="s">
        <v>274</v>
      </c>
      <c r="F6508" t="s">
        <v>952</v>
      </c>
      <c r="G6508">
        <v>1800000</v>
      </c>
      <c r="H6508">
        <v>143000</v>
      </c>
      <c r="I6508" t="s">
        <v>973</v>
      </c>
    </row>
    <row r="6509" spans="1:9" x14ac:dyDescent="0.25">
      <c r="A6509">
        <v>3130</v>
      </c>
      <c r="B6509">
        <v>18</v>
      </c>
      <c r="C6509" t="s">
        <v>963</v>
      </c>
      <c r="D6509" t="s">
        <v>999</v>
      </c>
      <c r="E6509" t="s">
        <v>274</v>
      </c>
      <c r="F6509" t="s">
        <v>953</v>
      </c>
      <c r="G6509">
        <v>1800000</v>
      </c>
      <c r="H6509">
        <v>143000</v>
      </c>
      <c r="I6509" t="s">
        <v>973</v>
      </c>
    </row>
    <row r="6510" spans="1:9" x14ac:dyDescent="0.25">
      <c r="A6510">
        <v>3130</v>
      </c>
      <c r="B6510">
        <v>18</v>
      </c>
      <c r="C6510" t="s">
        <v>963</v>
      </c>
      <c r="D6510" t="s">
        <v>999</v>
      </c>
      <c r="E6510" t="s">
        <v>274</v>
      </c>
      <c r="F6510" t="s">
        <v>954</v>
      </c>
      <c r="G6510">
        <v>1800000</v>
      </c>
      <c r="H6510">
        <v>143000</v>
      </c>
      <c r="I6510" t="s">
        <v>973</v>
      </c>
    </row>
    <row r="6511" spans="1:9" x14ac:dyDescent="0.25">
      <c r="A6511">
        <v>3130</v>
      </c>
      <c r="B6511">
        <v>18</v>
      </c>
      <c r="C6511" t="s">
        <v>963</v>
      </c>
      <c r="D6511" t="s">
        <v>999</v>
      </c>
      <c r="E6511" t="s">
        <v>274</v>
      </c>
      <c r="F6511" t="s">
        <v>955</v>
      </c>
      <c r="G6511">
        <v>1800000</v>
      </c>
      <c r="H6511">
        <v>143000</v>
      </c>
      <c r="I6511" t="s">
        <v>973</v>
      </c>
    </row>
    <row r="6512" spans="1:9" x14ac:dyDescent="0.25">
      <c r="A6512">
        <v>3130</v>
      </c>
      <c r="B6512">
        <v>18</v>
      </c>
      <c r="C6512" t="s">
        <v>963</v>
      </c>
      <c r="D6512" t="s">
        <v>999</v>
      </c>
      <c r="E6512" t="s">
        <v>274</v>
      </c>
      <c r="F6512" t="s">
        <v>956</v>
      </c>
      <c r="G6512">
        <v>1800000</v>
      </c>
      <c r="H6512">
        <v>143000</v>
      </c>
      <c r="I6512" t="s">
        <v>973</v>
      </c>
    </row>
    <row r="6513" spans="1:9" x14ac:dyDescent="0.25">
      <c r="A6513">
        <v>3130</v>
      </c>
      <c r="B6513">
        <v>18</v>
      </c>
      <c r="C6513" t="s">
        <v>963</v>
      </c>
      <c r="D6513" t="s">
        <v>999</v>
      </c>
      <c r="E6513" t="s">
        <v>274</v>
      </c>
      <c r="F6513" t="s">
        <v>957</v>
      </c>
      <c r="G6513">
        <v>1800000</v>
      </c>
      <c r="H6513">
        <v>143000</v>
      </c>
      <c r="I6513" t="s">
        <v>973</v>
      </c>
    </row>
    <row r="6514" spans="1:9" x14ac:dyDescent="0.25">
      <c r="A6514">
        <v>3130</v>
      </c>
      <c r="B6514">
        <v>18</v>
      </c>
      <c r="C6514" t="s">
        <v>963</v>
      </c>
      <c r="D6514" t="s">
        <v>999</v>
      </c>
      <c r="E6514" t="s">
        <v>274</v>
      </c>
      <c r="F6514" t="s">
        <v>958</v>
      </c>
      <c r="G6514">
        <v>1800000</v>
      </c>
      <c r="H6514">
        <v>143000</v>
      </c>
      <c r="I6514" t="s">
        <v>973</v>
      </c>
    </row>
    <row r="6515" spans="1:9" x14ac:dyDescent="0.25">
      <c r="A6515">
        <v>3130</v>
      </c>
      <c r="B6515">
        <v>18</v>
      </c>
      <c r="C6515" t="s">
        <v>963</v>
      </c>
      <c r="D6515" t="s">
        <v>999</v>
      </c>
      <c r="E6515" t="s">
        <v>274</v>
      </c>
      <c r="F6515" t="s">
        <v>959</v>
      </c>
      <c r="G6515">
        <v>1800000</v>
      </c>
      <c r="H6515">
        <v>143000</v>
      </c>
      <c r="I6515" t="s">
        <v>973</v>
      </c>
    </row>
    <row r="6516" spans="1:9" x14ac:dyDescent="0.25">
      <c r="A6516">
        <v>3130</v>
      </c>
      <c r="B6516">
        <v>18</v>
      </c>
      <c r="C6516" t="s">
        <v>963</v>
      </c>
      <c r="D6516" t="s">
        <v>999</v>
      </c>
      <c r="E6516" t="s">
        <v>274</v>
      </c>
      <c r="F6516" t="s">
        <v>960</v>
      </c>
      <c r="G6516">
        <v>1800000</v>
      </c>
      <c r="H6516">
        <v>143000</v>
      </c>
      <c r="I6516" t="s">
        <v>973</v>
      </c>
    </row>
    <row r="6517" spans="1:9" x14ac:dyDescent="0.25">
      <c r="A6517">
        <v>3130</v>
      </c>
      <c r="B6517">
        <v>18</v>
      </c>
      <c r="C6517" t="s">
        <v>963</v>
      </c>
      <c r="D6517" t="s">
        <v>999</v>
      </c>
      <c r="E6517" t="s">
        <v>274</v>
      </c>
      <c r="F6517" t="s">
        <v>961</v>
      </c>
      <c r="G6517">
        <v>1800000</v>
      </c>
      <c r="H6517">
        <v>143000</v>
      </c>
      <c r="I6517" t="s">
        <v>973</v>
      </c>
    </row>
    <row r="6518" spans="1:9" x14ac:dyDescent="0.25">
      <c r="A6518">
        <v>3130</v>
      </c>
      <c r="B6518">
        <v>18</v>
      </c>
      <c r="C6518" t="s">
        <v>950</v>
      </c>
      <c r="D6518" t="s">
        <v>999</v>
      </c>
      <c r="E6518" t="s">
        <v>974</v>
      </c>
      <c r="F6518" t="s">
        <v>951</v>
      </c>
      <c r="G6518">
        <v>1800000</v>
      </c>
      <c r="H6518">
        <v>141000</v>
      </c>
      <c r="I6518" t="s">
        <v>975</v>
      </c>
    </row>
    <row r="6519" spans="1:9" x14ac:dyDescent="0.25">
      <c r="A6519">
        <v>3130</v>
      </c>
      <c r="B6519">
        <v>18</v>
      </c>
      <c r="C6519" t="s">
        <v>950</v>
      </c>
      <c r="D6519" t="s">
        <v>999</v>
      </c>
      <c r="E6519" t="s">
        <v>974</v>
      </c>
      <c r="F6519" t="s">
        <v>952</v>
      </c>
      <c r="G6519">
        <v>1800000</v>
      </c>
      <c r="H6519">
        <v>141000</v>
      </c>
      <c r="I6519" t="s">
        <v>975</v>
      </c>
    </row>
    <row r="6520" spans="1:9" x14ac:dyDescent="0.25">
      <c r="A6520">
        <v>3130</v>
      </c>
      <c r="B6520">
        <v>18</v>
      </c>
      <c r="C6520" t="s">
        <v>950</v>
      </c>
      <c r="D6520" t="s">
        <v>999</v>
      </c>
      <c r="E6520" t="s">
        <v>974</v>
      </c>
      <c r="F6520" t="s">
        <v>953</v>
      </c>
      <c r="G6520">
        <v>1800000</v>
      </c>
      <c r="H6520">
        <v>141000</v>
      </c>
      <c r="I6520" t="s">
        <v>975</v>
      </c>
    </row>
    <row r="6521" spans="1:9" x14ac:dyDescent="0.25">
      <c r="A6521">
        <v>3130</v>
      </c>
      <c r="B6521">
        <v>18</v>
      </c>
      <c r="C6521" t="s">
        <v>950</v>
      </c>
      <c r="D6521" t="s">
        <v>999</v>
      </c>
      <c r="E6521" t="s">
        <v>974</v>
      </c>
      <c r="F6521" t="s">
        <v>954</v>
      </c>
      <c r="G6521">
        <v>1800000</v>
      </c>
      <c r="H6521">
        <v>141000</v>
      </c>
      <c r="I6521" t="s">
        <v>975</v>
      </c>
    </row>
    <row r="6522" spans="1:9" x14ac:dyDescent="0.25">
      <c r="A6522">
        <v>3130</v>
      </c>
      <c r="B6522">
        <v>18</v>
      </c>
      <c r="C6522" t="s">
        <v>950</v>
      </c>
      <c r="D6522" t="s">
        <v>999</v>
      </c>
      <c r="E6522" t="s">
        <v>974</v>
      </c>
      <c r="F6522" t="s">
        <v>955</v>
      </c>
      <c r="G6522">
        <v>1800000</v>
      </c>
      <c r="H6522">
        <v>141000</v>
      </c>
      <c r="I6522" t="s">
        <v>975</v>
      </c>
    </row>
    <row r="6523" spans="1:9" x14ac:dyDescent="0.25">
      <c r="A6523">
        <v>3130</v>
      </c>
      <c r="B6523">
        <v>18</v>
      </c>
      <c r="C6523" t="s">
        <v>950</v>
      </c>
      <c r="D6523" t="s">
        <v>999</v>
      </c>
      <c r="E6523" t="s">
        <v>974</v>
      </c>
      <c r="F6523" t="s">
        <v>956</v>
      </c>
      <c r="G6523">
        <v>1800000</v>
      </c>
      <c r="H6523">
        <v>141000</v>
      </c>
      <c r="I6523" t="s">
        <v>975</v>
      </c>
    </row>
    <row r="6524" spans="1:9" x14ac:dyDescent="0.25">
      <c r="A6524">
        <v>3130</v>
      </c>
      <c r="B6524">
        <v>18</v>
      </c>
      <c r="C6524" t="s">
        <v>950</v>
      </c>
      <c r="D6524" t="s">
        <v>999</v>
      </c>
      <c r="E6524" t="s">
        <v>974</v>
      </c>
      <c r="F6524" t="s">
        <v>957</v>
      </c>
      <c r="G6524">
        <v>1800000</v>
      </c>
      <c r="H6524">
        <v>141000</v>
      </c>
      <c r="I6524" t="s">
        <v>975</v>
      </c>
    </row>
    <row r="6525" spans="1:9" x14ac:dyDescent="0.25">
      <c r="A6525">
        <v>3130</v>
      </c>
      <c r="B6525">
        <v>18</v>
      </c>
      <c r="C6525" t="s">
        <v>950</v>
      </c>
      <c r="D6525" t="s">
        <v>999</v>
      </c>
      <c r="E6525" t="s">
        <v>974</v>
      </c>
      <c r="F6525" t="s">
        <v>958</v>
      </c>
      <c r="G6525">
        <v>1800000</v>
      </c>
      <c r="H6525">
        <v>141000</v>
      </c>
      <c r="I6525" t="s">
        <v>975</v>
      </c>
    </row>
    <row r="6526" spans="1:9" x14ac:dyDescent="0.25">
      <c r="A6526">
        <v>3130</v>
      </c>
      <c r="B6526">
        <v>18</v>
      </c>
      <c r="C6526" t="s">
        <v>950</v>
      </c>
      <c r="D6526" t="s">
        <v>999</v>
      </c>
      <c r="E6526" t="s">
        <v>974</v>
      </c>
      <c r="F6526" t="s">
        <v>959</v>
      </c>
      <c r="G6526">
        <v>1800000</v>
      </c>
      <c r="H6526">
        <v>141000</v>
      </c>
      <c r="I6526" t="s">
        <v>975</v>
      </c>
    </row>
    <row r="6527" spans="1:9" x14ac:dyDescent="0.25">
      <c r="A6527">
        <v>3130</v>
      </c>
      <c r="B6527">
        <v>18</v>
      </c>
      <c r="C6527" t="s">
        <v>950</v>
      </c>
      <c r="D6527" t="s">
        <v>999</v>
      </c>
      <c r="E6527" t="s">
        <v>974</v>
      </c>
      <c r="F6527" t="s">
        <v>960</v>
      </c>
      <c r="G6527">
        <v>1800000</v>
      </c>
      <c r="H6527">
        <v>141000</v>
      </c>
      <c r="I6527" t="s">
        <v>975</v>
      </c>
    </row>
    <row r="6528" spans="1:9" x14ac:dyDescent="0.25">
      <c r="A6528">
        <v>3130</v>
      </c>
      <c r="B6528">
        <v>18</v>
      </c>
      <c r="C6528" t="s">
        <v>950</v>
      </c>
      <c r="D6528" t="s">
        <v>999</v>
      </c>
      <c r="E6528" t="s">
        <v>974</v>
      </c>
      <c r="F6528" t="s">
        <v>961</v>
      </c>
      <c r="G6528">
        <v>1800000</v>
      </c>
      <c r="H6528">
        <v>141000</v>
      </c>
      <c r="I6528" t="s">
        <v>975</v>
      </c>
    </row>
    <row r="6529" spans="1:9" x14ac:dyDescent="0.25">
      <c r="A6529">
        <v>3130</v>
      </c>
      <c r="B6529">
        <v>18</v>
      </c>
      <c r="C6529" t="s">
        <v>962</v>
      </c>
      <c r="D6529" t="s">
        <v>999</v>
      </c>
      <c r="E6529" t="s">
        <v>974</v>
      </c>
      <c r="F6529" t="s">
        <v>951</v>
      </c>
      <c r="G6529">
        <v>1800000</v>
      </c>
      <c r="H6529">
        <v>141000</v>
      </c>
      <c r="I6529" t="s">
        <v>975</v>
      </c>
    </row>
    <row r="6530" spans="1:9" x14ac:dyDescent="0.25">
      <c r="A6530">
        <v>3130</v>
      </c>
      <c r="B6530">
        <v>18</v>
      </c>
      <c r="C6530" t="s">
        <v>962</v>
      </c>
      <c r="D6530" t="s">
        <v>999</v>
      </c>
      <c r="E6530" t="s">
        <v>974</v>
      </c>
      <c r="F6530" t="s">
        <v>952</v>
      </c>
      <c r="G6530">
        <v>1800000</v>
      </c>
      <c r="H6530">
        <v>141000</v>
      </c>
      <c r="I6530" t="s">
        <v>975</v>
      </c>
    </row>
    <row r="6531" spans="1:9" x14ac:dyDescent="0.25">
      <c r="A6531">
        <v>3130</v>
      </c>
      <c r="B6531">
        <v>18</v>
      </c>
      <c r="C6531" t="s">
        <v>962</v>
      </c>
      <c r="D6531" t="s">
        <v>999</v>
      </c>
      <c r="E6531" t="s">
        <v>974</v>
      </c>
      <c r="F6531" t="s">
        <v>953</v>
      </c>
      <c r="G6531">
        <v>1800000</v>
      </c>
      <c r="H6531">
        <v>141000</v>
      </c>
      <c r="I6531" t="s">
        <v>975</v>
      </c>
    </row>
    <row r="6532" spans="1:9" x14ac:dyDescent="0.25">
      <c r="A6532">
        <v>3130</v>
      </c>
      <c r="B6532">
        <v>18</v>
      </c>
      <c r="C6532" t="s">
        <v>962</v>
      </c>
      <c r="D6532" t="s">
        <v>999</v>
      </c>
      <c r="E6532" t="s">
        <v>974</v>
      </c>
      <c r="F6532" t="s">
        <v>954</v>
      </c>
      <c r="G6532">
        <v>1800000</v>
      </c>
      <c r="H6532">
        <v>141000</v>
      </c>
      <c r="I6532" t="s">
        <v>975</v>
      </c>
    </row>
    <row r="6533" spans="1:9" x14ac:dyDescent="0.25">
      <c r="A6533">
        <v>3130</v>
      </c>
      <c r="B6533">
        <v>18</v>
      </c>
      <c r="C6533" t="s">
        <v>962</v>
      </c>
      <c r="D6533" t="s">
        <v>999</v>
      </c>
      <c r="E6533" t="s">
        <v>974</v>
      </c>
      <c r="F6533" t="s">
        <v>955</v>
      </c>
      <c r="G6533">
        <v>1800000</v>
      </c>
      <c r="H6533">
        <v>141000</v>
      </c>
      <c r="I6533" t="s">
        <v>975</v>
      </c>
    </row>
    <row r="6534" spans="1:9" x14ac:dyDescent="0.25">
      <c r="A6534">
        <v>3130</v>
      </c>
      <c r="B6534">
        <v>18</v>
      </c>
      <c r="C6534" t="s">
        <v>962</v>
      </c>
      <c r="D6534" t="s">
        <v>999</v>
      </c>
      <c r="E6534" t="s">
        <v>974</v>
      </c>
      <c r="F6534" t="s">
        <v>956</v>
      </c>
      <c r="G6534">
        <v>1800000</v>
      </c>
      <c r="H6534">
        <v>141000</v>
      </c>
      <c r="I6534" t="s">
        <v>975</v>
      </c>
    </row>
    <row r="6535" spans="1:9" x14ac:dyDescent="0.25">
      <c r="A6535">
        <v>3130</v>
      </c>
      <c r="B6535">
        <v>18</v>
      </c>
      <c r="C6535" t="s">
        <v>962</v>
      </c>
      <c r="D6535" t="s">
        <v>999</v>
      </c>
      <c r="E6535" t="s">
        <v>974</v>
      </c>
      <c r="F6535" t="s">
        <v>957</v>
      </c>
      <c r="G6535">
        <v>1800000</v>
      </c>
      <c r="H6535">
        <v>141000</v>
      </c>
      <c r="I6535" t="s">
        <v>975</v>
      </c>
    </row>
    <row r="6536" spans="1:9" x14ac:dyDescent="0.25">
      <c r="A6536">
        <v>3130</v>
      </c>
      <c r="B6536">
        <v>18</v>
      </c>
      <c r="C6536" t="s">
        <v>962</v>
      </c>
      <c r="D6536" t="s">
        <v>999</v>
      </c>
      <c r="E6536" t="s">
        <v>974</v>
      </c>
      <c r="F6536" t="s">
        <v>958</v>
      </c>
      <c r="G6536">
        <v>1800000</v>
      </c>
      <c r="H6536">
        <v>141000</v>
      </c>
      <c r="I6536" t="s">
        <v>975</v>
      </c>
    </row>
    <row r="6537" spans="1:9" x14ac:dyDescent="0.25">
      <c r="A6537">
        <v>3130</v>
      </c>
      <c r="B6537">
        <v>18</v>
      </c>
      <c r="C6537" t="s">
        <v>962</v>
      </c>
      <c r="D6537" t="s">
        <v>999</v>
      </c>
      <c r="E6537" t="s">
        <v>974</v>
      </c>
      <c r="F6537" t="s">
        <v>959</v>
      </c>
      <c r="G6537">
        <v>1800000</v>
      </c>
      <c r="H6537">
        <v>141000</v>
      </c>
      <c r="I6537" t="s">
        <v>975</v>
      </c>
    </row>
    <row r="6538" spans="1:9" x14ac:dyDescent="0.25">
      <c r="A6538">
        <v>3130</v>
      </c>
      <c r="B6538">
        <v>18</v>
      </c>
      <c r="C6538" t="s">
        <v>962</v>
      </c>
      <c r="D6538" t="s">
        <v>999</v>
      </c>
      <c r="E6538" t="s">
        <v>974</v>
      </c>
      <c r="F6538" t="s">
        <v>960</v>
      </c>
      <c r="G6538">
        <v>1800000</v>
      </c>
      <c r="H6538">
        <v>141000</v>
      </c>
      <c r="I6538" t="s">
        <v>975</v>
      </c>
    </row>
    <row r="6539" spans="1:9" x14ac:dyDescent="0.25">
      <c r="A6539">
        <v>3130</v>
      </c>
      <c r="B6539">
        <v>18</v>
      </c>
      <c r="C6539" t="s">
        <v>962</v>
      </c>
      <c r="D6539" t="s">
        <v>999</v>
      </c>
      <c r="E6539" t="s">
        <v>974</v>
      </c>
      <c r="F6539" t="s">
        <v>961</v>
      </c>
      <c r="G6539">
        <v>1800000</v>
      </c>
      <c r="H6539">
        <v>141000</v>
      </c>
      <c r="I6539" t="s">
        <v>975</v>
      </c>
    </row>
    <row r="6540" spans="1:9" x14ac:dyDescent="0.25">
      <c r="A6540">
        <v>3130</v>
      </c>
      <c r="B6540">
        <v>18</v>
      </c>
      <c r="C6540" t="s">
        <v>963</v>
      </c>
      <c r="D6540" t="s">
        <v>999</v>
      </c>
      <c r="E6540" t="s">
        <v>974</v>
      </c>
      <c r="F6540" t="s">
        <v>951</v>
      </c>
      <c r="G6540">
        <v>1800000</v>
      </c>
      <c r="H6540">
        <v>141000</v>
      </c>
      <c r="I6540" t="s">
        <v>975</v>
      </c>
    </row>
    <row r="6541" spans="1:9" x14ac:dyDescent="0.25">
      <c r="A6541">
        <v>3130</v>
      </c>
      <c r="B6541">
        <v>18</v>
      </c>
      <c r="C6541" t="s">
        <v>963</v>
      </c>
      <c r="D6541" t="s">
        <v>999</v>
      </c>
      <c r="E6541" t="s">
        <v>974</v>
      </c>
      <c r="F6541" t="s">
        <v>952</v>
      </c>
      <c r="G6541">
        <v>1800000</v>
      </c>
      <c r="H6541">
        <v>141000</v>
      </c>
      <c r="I6541" t="s">
        <v>975</v>
      </c>
    </row>
    <row r="6542" spans="1:9" x14ac:dyDescent="0.25">
      <c r="A6542">
        <v>3130</v>
      </c>
      <c r="B6542">
        <v>18</v>
      </c>
      <c r="C6542" t="s">
        <v>963</v>
      </c>
      <c r="D6542" t="s">
        <v>999</v>
      </c>
      <c r="E6542" t="s">
        <v>974</v>
      </c>
      <c r="F6542" t="s">
        <v>953</v>
      </c>
      <c r="G6542">
        <v>1800000</v>
      </c>
      <c r="H6542">
        <v>141000</v>
      </c>
      <c r="I6542" t="s">
        <v>975</v>
      </c>
    </row>
    <row r="6543" spans="1:9" x14ac:dyDescent="0.25">
      <c r="A6543">
        <v>3130</v>
      </c>
      <c r="B6543">
        <v>18</v>
      </c>
      <c r="C6543" t="s">
        <v>963</v>
      </c>
      <c r="D6543" t="s">
        <v>999</v>
      </c>
      <c r="E6543" t="s">
        <v>974</v>
      </c>
      <c r="F6543" t="s">
        <v>954</v>
      </c>
      <c r="G6543">
        <v>1800000</v>
      </c>
      <c r="H6543">
        <v>141000</v>
      </c>
      <c r="I6543" t="s">
        <v>975</v>
      </c>
    </row>
    <row r="6544" spans="1:9" x14ac:dyDescent="0.25">
      <c r="A6544">
        <v>3130</v>
      </c>
      <c r="B6544">
        <v>18</v>
      </c>
      <c r="C6544" t="s">
        <v>963</v>
      </c>
      <c r="D6544" t="s">
        <v>999</v>
      </c>
      <c r="E6544" t="s">
        <v>974</v>
      </c>
      <c r="F6544" t="s">
        <v>955</v>
      </c>
      <c r="G6544">
        <v>1800000</v>
      </c>
      <c r="H6544">
        <v>141000</v>
      </c>
      <c r="I6544" t="s">
        <v>975</v>
      </c>
    </row>
    <row r="6545" spans="1:9" x14ac:dyDescent="0.25">
      <c r="A6545">
        <v>3130</v>
      </c>
      <c r="B6545">
        <v>18</v>
      </c>
      <c r="C6545" t="s">
        <v>963</v>
      </c>
      <c r="D6545" t="s">
        <v>999</v>
      </c>
      <c r="E6545" t="s">
        <v>974</v>
      </c>
      <c r="F6545" t="s">
        <v>956</v>
      </c>
      <c r="G6545">
        <v>1800000</v>
      </c>
      <c r="H6545">
        <v>141000</v>
      </c>
      <c r="I6545" t="s">
        <v>975</v>
      </c>
    </row>
    <row r="6546" spans="1:9" x14ac:dyDescent="0.25">
      <c r="A6546">
        <v>3130</v>
      </c>
      <c r="B6546">
        <v>18</v>
      </c>
      <c r="C6546" t="s">
        <v>963</v>
      </c>
      <c r="D6546" t="s">
        <v>999</v>
      </c>
      <c r="E6546" t="s">
        <v>974</v>
      </c>
      <c r="F6546" t="s">
        <v>957</v>
      </c>
      <c r="G6546">
        <v>1800000</v>
      </c>
      <c r="H6546">
        <v>141000</v>
      </c>
      <c r="I6546" t="s">
        <v>975</v>
      </c>
    </row>
    <row r="6547" spans="1:9" x14ac:dyDescent="0.25">
      <c r="A6547">
        <v>3130</v>
      </c>
      <c r="B6547">
        <v>18</v>
      </c>
      <c r="C6547" t="s">
        <v>963</v>
      </c>
      <c r="D6547" t="s">
        <v>999</v>
      </c>
      <c r="E6547" t="s">
        <v>974</v>
      </c>
      <c r="F6547" t="s">
        <v>958</v>
      </c>
      <c r="G6547">
        <v>1800000</v>
      </c>
      <c r="H6547">
        <v>141000</v>
      </c>
      <c r="I6547" t="s">
        <v>975</v>
      </c>
    </row>
    <row r="6548" spans="1:9" x14ac:dyDescent="0.25">
      <c r="A6548">
        <v>3130</v>
      </c>
      <c r="B6548">
        <v>18</v>
      </c>
      <c r="C6548" t="s">
        <v>963</v>
      </c>
      <c r="D6548" t="s">
        <v>999</v>
      </c>
      <c r="E6548" t="s">
        <v>974</v>
      </c>
      <c r="F6548" t="s">
        <v>959</v>
      </c>
      <c r="G6548">
        <v>1800000</v>
      </c>
      <c r="H6548">
        <v>141000</v>
      </c>
      <c r="I6548" t="s">
        <v>975</v>
      </c>
    </row>
    <row r="6549" spans="1:9" x14ac:dyDescent="0.25">
      <c r="A6549">
        <v>3130</v>
      </c>
      <c r="B6549">
        <v>18</v>
      </c>
      <c r="C6549" t="s">
        <v>963</v>
      </c>
      <c r="D6549" t="s">
        <v>999</v>
      </c>
      <c r="E6549" t="s">
        <v>974</v>
      </c>
      <c r="F6549" t="s">
        <v>960</v>
      </c>
      <c r="G6549">
        <v>1800000</v>
      </c>
      <c r="H6549">
        <v>141000</v>
      </c>
      <c r="I6549" t="s">
        <v>975</v>
      </c>
    </row>
    <row r="6550" spans="1:9" x14ac:dyDescent="0.25">
      <c r="A6550">
        <v>3130</v>
      </c>
      <c r="B6550">
        <v>18</v>
      </c>
      <c r="C6550" t="s">
        <v>963</v>
      </c>
      <c r="D6550" t="s">
        <v>999</v>
      </c>
      <c r="E6550" t="s">
        <v>974</v>
      </c>
      <c r="F6550" t="s">
        <v>961</v>
      </c>
      <c r="G6550">
        <v>1800000</v>
      </c>
      <c r="H6550">
        <v>141000</v>
      </c>
      <c r="I6550" t="s">
        <v>975</v>
      </c>
    </row>
    <row r="6551" spans="1:9" x14ac:dyDescent="0.25">
      <c r="A6551">
        <v>3130</v>
      </c>
      <c r="B6551">
        <v>18</v>
      </c>
      <c r="C6551" t="s">
        <v>950</v>
      </c>
      <c r="D6551" t="s">
        <v>999</v>
      </c>
      <c r="E6551" t="s">
        <v>104</v>
      </c>
      <c r="F6551" t="s">
        <v>951</v>
      </c>
      <c r="G6551">
        <v>1877777</v>
      </c>
      <c r="H6551">
        <v>500220</v>
      </c>
      <c r="I6551" t="s">
        <v>949</v>
      </c>
    </row>
    <row r="6552" spans="1:9" x14ac:dyDescent="0.25">
      <c r="A6552">
        <v>3130</v>
      </c>
      <c r="B6552">
        <v>18</v>
      </c>
      <c r="C6552" t="s">
        <v>950</v>
      </c>
      <c r="D6552" t="s">
        <v>999</v>
      </c>
      <c r="E6552" t="s">
        <v>104</v>
      </c>
      <c r="F6552" t="s">
        <v>952</v>
      </c>
      <c r="G6552">
        <v>1877777</v>
      </c>
      <c r="H6552">
        <v>500220</v>
      </c>
      <c r="I6552" t="s">
        <v>949</v>
      </c>
    </row>
    <row r="6553" spans="1:9" x14ac:dyDescent="0.25">
      <c r="A6553">
        <v>3130</v>
      </c>
      <c r="B6553">
        <v>18</v>
      </c>
      <c r="C6553" t="s">
        <v>950</v>
      </c>
      <c r="D6553" t="s">
        <v>999</v>
      </c>
      <c r="E6553" t="s">
        <v>104</v>
      </c>
      <c r="F6553" t="s">
        <v>953</v>
      </c>
      <c r="G6553">
        <v>1877777</v>
      </c>
      <c r="H6553">
        <v>500220</v>
      </c>
      <c r="I6553" t="s">
        <v>949</v>
      </c>
    </row>
    <row r="6554" spans="1:9" x14ac:dyDescent="0.25">
      <c r="A6554">
        <v>3130</v>
      </c>
      <c r="B6554">
        <v>18</v>
      </c>
      <c r="C6554" t="s">
        <v>950</v>
      </c>
      <c r="D6554" t="s">
        <v>999</v>
      </c>
      <c r="E6554" t="s">
        <v>104</v>
      </c>
      <c r="F6554" t="s">
        <v>954</v>
      </c>
      <c r="G6554">
        <v>1877777</v>
      </c>
      <c r="H6554">
        <v>500220</v>
      </c>
      <c r="I6554" t="s">
        <v>949</v>
      </c>
    </row>
    <row r="6555" spans="1:9" x14ac:dyDescent="0.25">
      <c r="A6555">
        <v>3130</v>
      </c>
      <c r="B6555">
        <v>18</v>
      </c>
      <c r="C6555" t="s">
        <v>950</v>
      </c>
      <c r="D6555" t="s">
        <v>999</v>
      </c>
      <c r="E6555" t="s">
        <v>104</v>
      </c>
      <c r="F6555" t="s">
        <v>955</v>
      </c>
      <c r="G6555">
        <v>1877777</v>
      </c>
      <c r="H6555">
        <v>500220</v>
      </c>
      <c r="I6555" t="s">
        <v>949</v>
      </c>
    </row>
    <row r="6556" spans="1:9" x14ac:dyDescent="0.25">
      <c r="A6556">
        <v>3130</v>
      </c>
      <c r="B6556">
        <v>18</v>
      </c>
      <c r="C6556" t="s">
        <v>950</v>
      </c>
      <c r="D6556" t="s">
        <v>999</v>
      </c>
      <c r="E6556" t="s">
        <v>104</v>
      </c>
      <c r="F6556" t="s">
        <v>956</v>
      </c>
      <c r="G6556">
        <v>1877777</v>
      </c>
      <c r="H6556">
        <v>500220</v>
      </c>
      <c r="I6556" t="s">
        <v>949</v>
      </c>
    </row>
    <row r="6557" spans="1:9" x14ac:dyDescent="0.25">
      <c r="A6557">
        <v>3130</v>
      </c>
      <c r="B6557">
        <v>18</v>
      </c>
      <c r="C6557" t="s">
        <v>950</v>
      </c>
      <c r="D6557" t="s">
        <v>999</v>
      </c>
      <c r="E6557" t="s">
        <v>104</v>
      </c>
      <c r="F6557" t="s">
        <v>957</v>
      </c>
      <c r="G6557">
        <v>1877777</v>
      </c>
      <c r="H6557">
        <v>500220</v>
      </c>
      <c r="I6557" t="s">
        <v>949</v>
      </c>
    </row>
    <row r="6558" spans="1:9" x14ac:dyDescent="0.25">
      <c r="A6558">
        <v>3130</v>
      </c>
      <c r="B6558">
        <v>18</v>
      </c>
      <c r="C6558" t="s">
        <v>950</v>
      </c>
      <c r="D6558" t="s">
        <v>999</v>
      </c>
      <c r="E6558" t="s">
        <v>104</v>
      </c>
      <c r="F6558" t="s">
        <v>958</v>
      </c>
      <c r="G6558">
        <v>1877777</v>
      </c>
      <c r="H6558">
        <v>500220</v>
      </c>
      <c r="I6558" t="s">
        <v>949</v>
      </c>
    </row>
    <row r="6559" spans="1:9" x14ac:dyDescent="0.25">
      <c r="A6559">
        <v>3130</v>
      </c>
      <c r="B6559">
        <v>18</v>
      </c>
      <c r="C6559" t="s">
        <v>950</v>
      </c>
      <c r="D6559" t="s">
        <v>999</v>
      </c>
      <c r="E6559" t="s">
        <v>104</v>
      </c>
      <c r="F6559" t="s">
        <v>959</v>
      </c>
      <c r="G6559">
        <v>1877777</v>
      </c>
      <c r="H6559">
        <v>500220</v>
      </c>
      <c r="I6559" t="s">
        <v>949</v>
      </c>
    </row>
    <row r="6560" spans="1:9" x14ac:dyDescent="0.25">
      <c r="A6560">
        <v>3130</v>
      </c>
      <c r="B6560">
        <v>18</v>
      </c>
      <c r="C6560" t="s">
        <v>950</v>
      </c>
      <c r="D6560" t="s">
        <v>999</v>
      </c>
      <c r="E6560" t="s">
        <v>104</v>
      </c>
      <c r="F6560" t="s">
        <v>960</v>
      </c>
      <c r="G6560">
        <v>1877777</v>
      </c>
      <c r="H6560">
        <v>500220</v>
      </c>
      <c r="I6560" t="s">
        <v>949</v>
      </c>
    </row>
    <row r="6561" spans="1:9" x14ac:dyDescent="0.25">
      <c r="A6561">
        <v>3130</v>
      </c>
      <c r="B6561">
        <v>18</v>
      </c>
      <c r="C6561" t="s">
        <v>950</v>
      </c>
      <c r="D6561" t="s">
        <v>999</v>
      </c>
      <c r="E6561" t="s">
        <v>104</v>
      </c>
      <c r="F6561" t="s">
        <v>961</v>
      </c>
      <c r="G6561">
        <v>1877777</v>
      </c>
      <c r="H6561">
        <v>500220</v>
      </c>
      <c r="I6561" t="s">
        <v>949</v>
      </c>
    </row>
    <row r="6562" spans="1:9" x14ac:dyDescent="0.25">
      <c r="A6562">
        <v>3130</v>
      </c>
      <c r="B6562">
        <v>18</v>
      </c>
      <c r="C6562" t="s">
        <v>962</v>
      </c>
      <c r="D6562" t="s">
        <v>999</v>
      </c>
      <c r="E6562" t="s">
        <v>104</v>
      </c>
      <c r="F6562" t="s">
        <v>951</v>
      </c>
      <c r="G6562">
        <v>1877777</v>
      </c>
      <c r="H6562">
        <v>500220</v>
      </c>
      <c r="I6562" t="s">
        <v>949</v>
      </c>
    </row>
    <row r="6563" spans="1:9" x14ac:dyDescent="0.25">
      <c r="A6563">
        <v>3130</v>
      </c>
      <c r="B6563">
        <v>18</v>
      </c>
      <c r="C6563" t="s">
        <v>962</v>
      </c>
      <c r="D6563" t="s">
        <v>999</v>
      </c>
      <c r="E6563" t="s">
        <v>104</v>
      </c>
      <c r="F6563" t="s">
        <v>952</v>
      </c>
      <c r="G6563">
        <v>1877777</v>
      </c>
      <c r="H6563">
        <v>500220</v>
      </c>
      <c r="I6563" t="s">
        <v>949</v>
      </c>
    </row>
    <row r="6564" spans="1:9" x14ac:dyDescent="0.25">
      <c r="A6564">
        <v>3130</v>
      </c>
      <c r="B6564">
        <v>18</v>
      </c>
      <c r="C6564" t="s">
        <v>962</v>
      </c>
      <c r="D6564" t="s">
        <v>999</v>
      </c>
      <c r="E6564" t="s">
        <v>104</v>
      </c>
      <c r="F6564" t="s">
        <v>953</v>
      </c>
      <c r="G6564">
        <v>1877777</v>
      </c>
      <c r="H6564">
        <v>500220</v>
      </c>
      <c r="I6564" t="s">
        <v>949</v>
      </c>
    </row>
    <row r="6565" spans="1:9" x14ac:dyDescent="0.25">
      <c r="A6565">
        <v>3130</v>
      </c>
      <c r="B6565">
        <v>18</v>
      </c>
      <c r="C6565" t="s">
        <v>962</v>
      </c>
      <c r="D6565" t="s">
        <v>999</v>
      </c>
      <c r="E6565" t="s">
        <v>104</v>
      </c>
      <c r="F6565" t="s">
        <v>954</v>
      </c>
      <c r="G6565">
        <v>1877777</v>
      </c>
      <c r="H6565">
        <v>500220</v>
      </c>
      <c r="I6565" t="s">
        <v>949</v>
      </c>
    </row>
    <row r="6566" spans="1:9" x14ac:dyDescent="0.25">
      <c r="A6566">
        <v>3130</v>
      </c>
      <c r="B6566">
        <v>18</v>
      </c>
      <c r="C6566" t="s">
        <v>962</v>
      </c>
      <c r="D6566" t="s">
        <v>999</v>
      </c>
      <c r="E6566" t="s">
        <v>104</v>
      </c>
      <c r="F6566" t="s">
        <v>955</v>
      </c>
      <c r="G6566">
        <v>1877777</v>
      </c>
      <c r="H6566">
        <v>500220</v>
      </c>
      <c r="I6566" t="s">
        <v>949</v>
      </c>
    </row>
    <row r="6567" spans="1:9" x14ac:dyDescent="0.25">
      <c r="A6567">
        <v>3130</v>
      </c>
      <c r="B6567">
        <v>18</v>
      </c>
      <c r="C6567" t="s">
        <v>962</v>
      </c>
      <c r="D6567" t="s">
        <v>999</v>
      </c>
      <c r="E6567" t="s">
        <v>104</v>
      </c>
      <c r="F6567" t="s">
        <v>956</v>
      </c>
      <c r="G6567">
        <v>1877777</v>
      </c>
      <c r="H6567">
        <v>500220</v>
      </c>
      <c r="I6567" t="s">
        <v>949</v>
      </c>
    </row>
    <row r="6568" spans="1:9" x14ac:dyDescent="0.25">
      <c r="A6568">
        <v>3130</v>
      </c>
      <c r="B6568">
        <v>18</v>
      </c>
      <c r="C6568" t="s">
        <v>962</v>
      </c>
      <c r="D6568" t="s">
        <v>999</v>
      </c>
      <c r="E6568" t="s">
        <v>104</v>
      </c>
      <c r="F6568" t="s">
        <v>957</v>
      </c>
      <c r="G6568">
        <v>1877777</v>
      </c>
      <c r="H6568">
        <v>500220</v>
      </c>
      <c r="I6568" t="s">
        <v>949</v>
      </c>
    </row>
    <row r="6569" spans="1:9" x14ac:dyDescent="0.25">
      <c r="A6569">
        <v>3130</v>
      </c>
      <c r="B6569">
        <v>18</v>
      </c>
      <c r="C6569" t="s">
        <v>962</v>
      </c>
      <c r="D6569" t="s">
        <v>999</v>
      </c>
      <c r="E6569" t="s">
        <v>104</v>
      </c>
      <c r="F6569" t="s">
        <v>958</v>
      </c>
      <c r="G6569">
        <v>1877777</v>
      </c>
      <c r="H6569">
        <v>500220</v>
      </c>
      <c r="I6569" t="s">
        <v>949</v>
      </c>
    </row>
    <row r="6570" spans="1:9" x14ac:dyDescent="0.25">
      <c r="A6570">
        <v>3130</v>
      </c>
      <c r="B6570">
        <v>18</v>
      </c>
      <c r="C6570" t="s">
        <v>962</v>
      </c>
      <c r="D6570" t="s">
        <v>999</v>
      </c>
      <c r="E6570" t="s">
        <v>104</v>
      </c>
      <c r="F6570" t="s">
        <v>959</v>
      </c>
      <c r="G6570">
        <v>1877777</v>
      </c>
      <c r="H6570">
        <v>500220</v>
      </c>
      <c r="I6570" t="s">
        <v>949</v>
      </c>
    </row>
    <row r="6571" spans="1:9" x14ac:dyDescent="0.25">
      <c r="A6571">
        <v>3130</v>
      </c>
      <c r="B6571">
        <v>18</v>
      </c>
      <c r="C6571" t="s">
        <v>962</v>
      </c>
      <c r="D6571" t="s">
        <v>999</v>
      </c>
      <c r="E6571" t="s">
        <v>104</v>
      </c>
      <c r="F6571" t="s">
        <v>960</v>
      </c>
      <c r="G6571">
        <v>1877777</v>
      </c>
      <c r="H6571">
        <v>500220</v>
      </c>
      <c r="I6571" t="s">
        <v>949</v>
      </c>
    </row>
    <row r="6572" spans="1:9" x14ac:dyDescent="0.25">
      <c r="A6572">
        <v>3130</v>
      </c>
      <c r="B6572">
        <v>18</v>
      </c>
      <c r="C6572" t="s">
        <v>962</v>
      </c>
      <c r="D6572" t="s">
        <v>999</v>
      </c>
      <c r="E6572" t="s">
        <v>104</v>
      </c>
      <c r="F6572" t="s">
        <v>961</v>
      </c>
      <c r="G6572">
        <v>1877777</v>
      </c>
      <c r="H6572">
        <v>500220</v>
      </c>
      <c r="I6572" t="s">
        <v>949</v>
      </c>
    </row>
    <row r="6573" spans="1:9" x14ac:dyDescent="0.25">
      <c r="A6573">
        <v>3130</v>
      </c>
      <c r="B6573">
        <v>18</v>
      </c>
      <c r="C6573" t="s">
        <v>963</v>
      </c>
      <c r="D6573" t="s">
        <v>999</v>
      </c>
      <c r="E6573" t="s">
        <v>104</v>
      </c>
      <c r="F6573" t="s">
        <v>951</v>
      </c>
      <c r="G6573">
        <v>1877777</v>
      </c>
      <c r="H6573">
        <v>500220</v>
      </c>
      <c r="I6573" t="s">
        <v>949</v>
      </c>
    </row>
    <row r="6574" spans="1:9" x14ac:dyDescent="0.25">
      <c r="A6574">
        <v>3130</v>
      </c>
      <c r="B6574">
        <v>18</v>
      </c>
      <c r="C6574" t="s">
        <v>963</v>
      </c>
      <c r="D6574" t="s">
        <v>999</v>
      </c>
      <c r="E6574" t="s">
        <v>104</v>
      </c>
      <c r="F6574" t="s">
        <v>952</v>
      </c>
      <c r="G6574">
        <v>1877777</v>
      </c>
      <c r="H6574">
        <v>500220</v>
      </c>
      <c r="I6574" t="s">
        <v>949</v>
      </c>
    </row>
    <row r="6575" spans="1:9" x14ac:dyDescent="0.25">
      <c r="A6575">
        <v>3130</v>
      </c>
      <c r="B6575">
        <v>18</v>
      </c>
      <c r="C6575" t="s">
        <v>963</v>
      </c>
      <c r="D6575" t="s">
        <v>999</v>
      </c>
      <c r="E6575" t="s">
        <v>104</v>
      </c>
      <c r="F6575" t="s">
        <v>953</v>
      </c>
      <c r="G6575">
        <v>1877777</v>
      </c>
      <c r="H6575">
        <v>500220</v>
      </c>
      <c r="I6575" t="s">
        <v>949</v>
      </c>
    </row>
    <row r="6576" spans="1:9" x14ac:dyDescent="0.25">
      <c r="A6576">
        <v>3130</v>
      </c>
      <c r="B6576">
        <v>18</v>
      </c>
      <c r="C6576" t="s">
        <v>963</v>
      </c>
      <c r="D6576" t="s">
        <v>999</v>
      </c>
      <c r="E6576" t="s">
        <v>104</v>
      </c>
      <c r="F6576" t="s">
        <v>954</v>
      </c>
      <c r="G6576">
        <v>1877777</v>
      </c>
      <c r="H6576">
        <v>500220</v>
      </c>
      <c r="I6576" t="s">
        <v>949</v>
      </c>
    </row>
    <row r="6577" spans="1:9" x14ac:dyDescent="0.25">
      <c r="A6577">
        <v>3130</v>
      </c>
      <c r="B6577">
        <v>18</v>
      </c>
      <c r="C6577" t="s">
        <v>963</v>
      </c>
      <c r="D6577" t="s">
        <v>999</v>
      </c>
      <c r="E6577" t="s">
        <v>104</v>
      </c>
      <c r="F6577" t="s">
        <v>955</v>
      </c>
      <c r="G6577">
        <v>1877777</v>
      </c>
      <c r="H6577">
        <v>500220</v>
      </c>
      <c r="I6577" t="s">
        <v>949</v>
      </c>
    </row>
    <row r="6578" spans="1:9" x14ac:dyDescent="0.25">
      <c r="A6578">
        <v>3130</v>
      </c>
      <c r="B6578">
        <v>18</v>
      </c>
      <c r="C6578" t="s">
        <v>963</v>
      </c>
      <c r="D6578" t="s">
        <v>999</v>
      </c>
      <c r="E6578" t="s">
        <v>104</v>
      </c>
      <c r="F6578" t="s">
        <v>956</v>
      </c>
      <c r="G6578">
        <v>1877777</v>
      </c>
      <c r="H6578">
        <v>500220</v>
      </c>
      <c r="I6578" t="s">
        <v>949</v>
      </c>
    </row>
    <row r="6579" spans="1:9" x14ac:dyDescent="0.25">
      <c r="A6579">
        <v>3130</v>
      </c>
      <c r="B6579">
        <v>18</v>
      </c>
      <c r="C6579" t="s">
        <v>963</v>
      </c>
      <c r="D6579" t="s">
        <v>999</v>
      </c>
      <c r="E6579" t="s">
        <v>104</v>
      </c>
      <c r="F6579" t="s">
        <v>957</v>
      </c>
      <c r="G6579">
        <v>1877777</v>
      </c>
      <c r="H6579">
        <v>500220</v>
      </c>
      <c r="I6579" t="s">
        <v>949</v>
      </c>
    </row>
    <row r="6580" spans="1:9" x14ac:dyDescent="0.25">
      <c r="A6580">
        <v>3130</v>
      </c>
      <c r="B6580">
        <v>18</v>
      </c>
      <c r="C6580" t="s">
        <v>963</v>
      </c>
      <c r="D6580" t="s">
        <v>999</v>
      </c>
      <c r="E6580" t="s">
        <v>104</v>
      </c>
      <c r="F6580" t="s">
        <v>958</v>
      </c>
      <c r="G6580">
        <v>1877777</v>
      </c>
      <c r="H6580">
        <v>500220</v>
      </c>
      <c r="I6580" t="s">
        <v>949</v>
      </c>
    </row>
    <row r="6581" spans="1:9" x14ac:dyDescent="0.25">
      <c r="A6581">
        <v>3130</v>
      </c>
      <c r="B6581">
        <v>18</v>
      </c>
      <c r="C6581" t="s">
        <v>963</v>
      </c>
      <c r="D6581" t="s">
        <v>999</v>
      </c>
      <c r="E6581" t="s">
        <v>104</v>
      </c>
      <c r="F6581" t="s">
        <v>959</v>
      </c>
      <c r="G6581">
        <v>1877777</v>
      </c>
      <c r="H6581">
        <v>500220</v>
      </c>
      <c r="I6581" t="s">
        <v>949</v>
      </c>
    </row>
    <row r="6582" spans="1:9" x14ac:dyDescent="0.25">
      <c r="A6582">
        <v>3130</v>
      </c>
      <c r="B6582">
        <v>18</v>
      </c>
      <c r="C6582" t="s">
        <v>963</v>
      </c>
      <c r="D6582" t="s">
        <v>999</v>
      </c>
      <c r="E6582" t="s">
        <v>104</v>
      </c>
      <c r="F6582" t="s">
        <v>960</v>
      </c>
      <c r="G6582">
        <v>1877777</v>
      </c>
      <c r="H6582">
        <v>500220</v>
      </c>
      <c r="I6582" t="s">
        <v>949</v>
      </c>
    </row>
    <row r="6583" spans="1:9" x14ac:dyDescent="0.25">
      <c r="A6583">
        <v>3130</v>
      </c>
      <c r="B6583">
        <v>18</v>
      </c>
      <c r="C6583" t="s">
        <v>963</v>
      </c>
      <c r="D6583" t="s">
        <v>999</v>
      </c>
      <c r="E6583" t="s">
        <v>104</v>
      </c>
      <c r="F6583" t="s">
        <v>961</v>
      </c>
      <c r="G6583">
        <v>1877777</v>
      </c>
      <c r="H6583">
        <v>500220</v>
      </c>
      <c r="I6583" t="s">
        <v>949</v>
      </c>
    </row>
    <row r="6584" ht="22" customHeight="1" spans="1:10" x14ac:dyDescent="0.25">
      <c r="A6584" s="43">
        <v>3130</v>
      </c>
      <c r="B6584" s="43">
        <v>18</v>
      </c>
      <c r="C6584" s="43" t="s">
        <v>950</v>
      </c>
      <c r="D6584" s="43" t="s">
        <v>999</v>
      </c>
      <c r="E6584" s="43" t="s">
        <v>278</v>
      </c>
      <c r="F6584" s="43" t="s">
        <v>951</v>
      </c>
      <c r="G6584" s="43">
        <v>1800000</v>
      </c>
      <c r="H6584" s="43">
        <v>145000</v>
      </c>
      <c r="I6584" s="43" t="s">
        <v>949</v>
      </c>
      <c r="J6584" s="44" t="s">
        <v>1000</v>
      </c>
    </row>
    <row r="6585" ht="22" customHeight="1" spans="1:10" x14ac:dyDescent="0.25">
      <c r="A6585" s="43">
        <v>3130</v>
      </c>
      <c r="B6585" s="43">
        <v>18</v>
      </c>
      <c r="C6585" s="43" t="s">
        <v>950</v>
      </c>
      <c r="D6585" s="43" t="s">
        <v>999</v>
      </c>
      <c r="E6585" s="43" t="s">
        <v>278</v>
      </c>
      <c r="F6585" s="43" t="s">
        <v>952</v>
      </c>
      <c r="G6585" s="43">
        <v>1800000</v>
      </c>
      <c r="H6585" s="43">
        <v>145000</v>
      </c>
      <c r="I6585" s="43" t="s">
        <v>949</v>
      </c>
      <c r="J6585" s="44" t="s">
        <v>1000</v>
      </c>
    </row>
    <row r="6586" ht="22" customHeight="1" spans="1:10" x14ac:dyDescent="0.25">
      <c r="A6586" s="43">
        <v>3130</v>
      </c>
      <c r="B6586" s="43">
        <v>18</v>
      </c>
      <c r="C6586" s="43" t="s">
        <v>950</v>
      </c>
      <c r="D6586" s="43" t="s">
        <v>999</v>
      </c>
      <c r="E6586" s="43" t="s">
        <v>278</v>
      </c>
      <c r="F6586" s="43" t="s">
        <v>953</v>
      </c>
      <c r="G6586" s="43">
        <v>1800000</v>
      </c>
      <c r="H6586" s="43">
        <v>145000</v>
      </c>
      <c r="I6586" s="43" t="s">
        <v>949</v>
      </c>
      <c r="J6586" s="44" t="s">
        <v>1000</v>
      </c>
    </row>
    <row r="6587" ht="22" customHeight="1" spans="1:10" x14ac:dyDescent="0.25">
      <c r="A6587" s="43">
        <v>3130</v>
      </c>
      <c r="B6587" s="43">
        <v>18</v>
      </c>
      <c r="C6587" s="43" t="s">
        <v>950</v>
      </c>
      <c r="D6587" s="43" t="s">
        <v>999</v>
      </c>
      <c r="E6587" s="43" t="s">
        <v>278</v>
      </c>
      <c r="F6587" s="43" t="s">
        <v>954</v>
      </c>
      <c r="G6587" s="43">
        <v>1800000</v>
      </c>
      <c r="H6587" s="43">
        <v>145000</v>
      </c>
      <c r="I6587" s="43" t="s">
        <v>949</v>
      </c>
      <c r="J6587" s="44" t="s">
        <v>1000</v>
      </c>
    </row>
    <row r="6588" ht="22" customHeight="1" spans="1:10" x14ac:dyDescent="0.25">
      <c r="A6588" s="43">
        <v>3130</v>
      </c>
      <c r="B6588" s="43">
        <v>18</v>
      </c>
      <c r="C6588" s="43" t="s">
        <v>950</v>
      </c>
      <c r="D6588" s="43" t="s">
        <v>999</v>
      </c>
      <c r="E6588" s="43" t="s">
        <v>278</v>
      </c>
      <c r="F6588" s="43" t="s">
        <v>955</v>
      </c>
      <c r="G6588" s="43">
        <v>1800000</v>
      </c>
      <c r="H6588" s="43">
        <v>145000</v>
      </c>
      <c r="I6588" s="43" t="s">
        <v>949</v>
      </c>
      <c r="J6588" s="44" t="s">
        <v>1000</v>
      </c>
    </row>
    <row r="6589" ht="22" customHeight="1" spans="1:10" x14ac:dyDescent="0.25">
      <c r="A6589" s="43">
        <v>3130</v>
      </c>
      <c r="B6589" s="43">
        <v>18</v>
      </c>
      <c r="C6589" s="43" t="s">
        <v>950</v>
      </c>
      <c r="D6589" s="43" t="s">
        <v>999</v>
      </c>
      <c r="E6589" s="43" t="s">
        <v>278</v>
      </c>
      <c r="F6589" s="43" t="s">
        <v>956</v>
      </c>
      <c r="G6589" s="43">
        <v>1800000</v>
      </c>
      <c r="H6589" s="43">
        <v>145000</v>
      </c>
      <c r="I6589" s="43" t="s">
        <v>949</v>
      </c>
      <c r="J6589" s="44" t="s">
        <v>1000</v>
      </c>
    </row>
    <row r="6590" ht="22" customHeight="1" spans="1:10" x14ac:dyDescent="0.25">
      <c r="A6590" s="43">
        <v>3130</v>
      </c>
      <c r="B6590" s="43">
        <v>18</v>
      </c>
      <c r="C6590" s="43" t="s">
        <v>950</v>
      </c>
      <c r="D6590" s="43" t="s">
        <v>999</v>
      </c>
      <c r="E6590" s="43" t="s">
        <v>278</v>
      </c>
      <c r="F6590" s="43" t="s">
        <v>957</v>
      </c>
      <c r="G6590" s="43">
        <v>1800000</v>
      </c>
      <c r="H6590" s="43">
        <v>145000</v>
      </c>
      <c r="I6590" s="43" t="s">
        <v>949</v>
      </c>
      <c r="J6590" s="44" t="s">
        <v>1000</v>
      </c>
    </row>
    <row r="6591" ht="22" customHeight="1" spans="1:10" x14ac:dyDescent="0.25">
      <c r="A6591" s="43">
        <v>3130</v>
      </c>
      <c r="B6591" s="43">
        <v>18</v>
      </c>
      <c r="C6591" s="43" t="s">
        <v>950</v>
      </c>
      <c r="D6591" s="43" t="s">
        <v>999</v>
      </c>
      <c r="E6591" s="43" t="s">
        <v>278</v>
      </c>
      <c r="F6591" s="43" t="s">
        <v>958</v>
      </c>
      <c r="G6591" s="43">
        <v>1800000</v>
      </c>
      <c r="H6591" s="43">
        <v>145000</v>
      </c>
      <c r="I6591" s="43" t="s">
        <v>949</v>
      </c>
      <c r="J6591" s="44" t="s">
        <v>1000</v>
      </c>
    </row>
    <row r="6592" ht="22" customHeight="1" spans="1:10" x14ac:dyDescent="0.25">
      <c r="A6592" s="43">
        <v>3130</v>
      </c>
      <c r="B6592" s="43">
        <v>18</v>
      </c>
      <c r="C6592" s="43" t="s">
        <v>950</v>
      </c>
      <c r="D6592" s="43" t="s">
        <v>999</v>
      </c>
      <c r="E6592" s="43" t="s">
        <v>278</v>
      </c>
      <c r="F6592" s="43" t="s">
        <v>959</v>
      </c>
      <c r="G6592" s="43">
        <v>1800000</v>
      </c>
      <c r="H6592" s="43">
        <v>145000</v>
      </c>
      <c r="I6592" s="43" t="s">
        <v>949</v>
      </c>
      <c r="J6592" s="44" t="s">
        <v>1000</v>
      </c>
    </row>
    <row r="6593" ht="22" customHeight="1" spans="1:10" x14ac:dyDescent="0.25">
      <c r="A6593" s="43">
        <v>3130</v>
      </c>
      <c r="B6593" s="43">
        <v>18</v>
      </c>
      <c r="C6593" s="43" t="s">
        <v>950</v>
      </c>
      <c r="D6593" s="43" t="s">
        <v>999</v>
      </c>
      <c r="E6593" s="43" t="s">
        <v>278</v>
      </c>
      <c r="F6593" s="43" t="s">
        <v>960</v>
      </c>
      <c r="G6593" s="43">
        <v>1800000</v>
      </c>
      <c r="H6593" s="43">
        <v>145000</v>
      </c>
      <c r="I6593" s="43" t="s">
        <v>949</v>
      </c>
      <c r="J6593" s="44" t="s">
        <v>1000</v>
      </c>
    </row>
    <row r="6594" ht="22" customHeight="1" spans="1:10" x14ac:dyDescent="0.25">
      <c r="A6594" s="43">
        <v>3130</v>
      </c>
      <c r="B6594" s="43">
        <v>18</v>
      </c>
      <c r="C6594" s="43" t="s">
        <v>950</v>
      </c>
      <c r="D6594" s="43" t="s">
        <v>999</v>
      </c>
      <c r="E6594" s="43" t="s">
        <v>278</v>
      </c>
      <c r="F6594" s="43" t="s">
        <v>961</v>
      </c>
      <c r="G6594" s="43">
        <v>1800000</v>
      </c>
      <c r="H6594" s="43">
        <v>145000</v>
      </c>
      <c r="I6594" s="43" t="s">
        <v>949</v>
      </c>
      <c r="J6594" s="44" t="s">
        <v>1000</v>
      </c>
    </row>
    <row r="6595" ht="22" customHeight="1" spans="1:10" x14ac:dyDescent="0.25">
      <c r="A6595" s="43">
        <v>3130</v>
      </c>
      <c r="B6595" s="43">
        <v>18</v>
      </c>
      <c r="C6595" s="43" t="s">
        <v>962</v>
      </c>
      <c r="D6595" s="43" t="s">
        <v>999</v>
      </c>
      <c r="E6595" s="43" t="s">
        <v>278</v>
      </c>
      <c r="F6595" s="43" t="s">
        <v>951</v>
      </c>
      <c r="G6595" s="43">
        <v>1800000</v>
      </c>
      <c r="H6595" s="43">
        <v>145000</v>
      </c>
      <c r="I6595" s="43" t="s">
        <v>949</v>
      </c>
      <c r="J6595" s="44" t="s">
        <v>1000</v>
      </c>
    </row>
    <row r="6596" ht="22" customHeight="1" spans="1:10" x14ac:dyDescent="0.25">
      <c r="A6596" s="43">
        <v>3130</v>
      </c>
      <c r="B6596" s="43">
        <v>18</v>
      </c>
      <c r="C6596" s="43" t="s">
        <v>962</v>
      </c>
      <c r="D6596" s="43" t="s">
        <v>999</v>
      </c>
      <c r="E6596" s="43" t="s">
        <v>278</v>
      </c>
      <c r="F6596" s="43" t="s">
        <v>952</v>
      </c>
      <c r="G6596" s="43">
        <v>1800000</v>
      </c>
      <c r="H6596" s="43">
        <v>145000</v>
      </c>
      <c r="I6596" s="43" t="s">
        <v>949</v>
      </c>
      <c r="J6596" s="44" t="s">
        <v>1000</v>
      </c>
    </row>
    <row r="6597" ht="22" customHeight="1" spans="1:10" x14ac:dyDescent="0.25">
      <c r="A6597" s="43">
        <v>3130</v>
      </c>
      <c r="B6597" s="43">
        <v>18</v>
      </c>
      <c r="C6597" s="43" t="s">
        <v>962</v>
      </c>
      <c r="D6597" s="43" t="s">
        <v>999</v>
      </c>
      <c r="E6597" s="43" t="s">
        <v>278</v>
      </c>
      <c r="F6597" s="43" t="s">
        <v>953</v>
      </c>
      <c r="G6597" s="43">
        <v>1800000</v>
      </c>
      <c r="H6597" s="43">
        <v>145000</v>
      </c>
      <c r="I6597" s="43" t="s">
        <v>949</v>
      </c>
      <c r="J6597" s="44" t="s">
        <v>1000</v>
      </c>
    </row>
    <row r="6598" ht="22" customHeight="1" spans="1:10" x14ac:dyDescent="0.25">
      <c r="A6598" s="43">
        <v>3130</v>
      </c>
      <c r="B6598" s="43">
        <v>18</v>
      </c>
      <c r="C6598" s="43" t="s">
        <v>962</v>
      </c>
      <c r="D6598" s="43" t="s">
        <v>999</v>
      </c>
      <c r="E6598" s="43" t="s">
        <v>278</v>
      </c>
      <c r="F6598" s="43" t="s">
        <v>954</v>
      </c>
      <c r="G6598" s="43">
        <v>1800000</v>
      </c>
      <c r="H6598" s="43">
        <v>145000</v>
      </c>
      <c r="I6598" s="43" t="s">
        <v>949</v>
      </c>
      <c r="J6598" s="44" t="s">
        <v>1000</v>
      </c>
    </row>
    <row r="6599" ht="22" customHeight="1" spans="1:10" x14ac:dyDescent="0.25">
      <c r="A6599" s="43">
        <v>3130</v>
      </c>
      <c r="B6599" s="43">
        <v>18</v>
      </c>
      <c r="C6599" s="43" t="s">
        <v>962</v>
      </c>
      <c r="D6599" s="43" t="s">
        <v>999</v>
      </c>
      <c r="E6599" s="43" t="s">
        <v>278</v>
      </c>
      <c r="F6599" s="43" t="s">
        <v>955</v>
      </c>
      <c r="G6599" s="43">
        <v>1800000</v>
      </c>
      <c r="H6599" s="43">
        <v>145000</v>
      </c>
      <c r="I6599" s="43" t="s">
        <v>949</v>
      </c>
      <c r="J6599" s="44" t="s">
        <v>1000</v>
      </c>
    </row>
    <row r="6600" ht="22" customHeight="1" spans="1:10" x14ac:dyDescent="0.25">
      <c r="A6600" s="43">
        <v>3130</v>
      </c>
      <c r="B6600" s="43">
        <v>18</v>
      </c>
      <c r="C6600" s="43" t="s">
        <v>962</v>
      </c>
      <c r="D6600" s="43" t="s">
        <v>999</v>
      </c>
      <c r="E6600" s="43" t="s">
        <v>278</v>
      </c>
      <c r="F6600" s="43" t="s">
        <v>956</v>
      </c>
      <c r="G6600" s="43">
        <v>1800000</v>
      </c>
      <c r="H6600" s="43">
        <v>145000</v>
      </c>
      <c r="I6600" s="43" t="s">
        <v>949</v>
      </c>
      <c r="J6600" s="44" t="s">
        <v>1000</v>
      </c>
    </row>
    <row r="6601" ht="22" customHeight="1" spans="1:10" x14ac:dyDescent="0.25">
      <c r="A6601" s="43">
        <v>3130</v>
      </c>
      <c r="B6601" s="43">
        <v>18</v>
      </c>
      <c r="C6601" s="43" t="s">
        <v>962</v>
      </c>
      <c r="D6601" s="43" t="s">
        <v>999</v>
      </c>
      <c r="E6601" s="43" t="s">
        <v>278</v>
      </c>
      <c r="F6601" s="43" t="s">
        <v>957</v>
      </c>
      <c r="G6601" s="43">
        <v>1800000</v>
      </c>
      <c r="H6601" s="43">
        <v>145000</v>
      </c>
      <c r="I6601" s="43" t="s">
        <v>949</v>
      </c>
      <c r="J6601" s="44" t="s">
        <v>1000</v>
      </c>
    </row>
    <row r="6602" ht="22" customHeight="1" spans="1:10" x14ac:dyDescent="0.25">
      <c r="A6602" s="43">
        <v>3130</v>
      </c>
      <c r="B6602" s="43">
        <v>18</v>
      </c>
      <c r="C6602" s="43" t="s">
        <v>962</v>
      </c>
      <c r="D6602" s="43" t="s">
        <v>999</v>
      </c>
      <c r="E6602" s="43" t="s">
        <v>278</v>
      </c>
      <c r="F6602" s="43" t="s">
        <v>958</v>
      </c>
      <c r="G6602" s="43">
        <v>1800000</v>
      </c>
      <c r="H6602" s="43">
        <v>145000</v>
      </c>
      <c r="I6602" s="43" t="s">
        <v>949</v>
      </c>
      <c r="J6602" s="44" t="s">
        <v>1000</v>
      </c>
    </row>
    <row r="6603" ht="22" customHeight="1" spans="1:10" x14ac:dyDescent="0.25">
      <c r="A6603" s="43">
        <v>3130</v>
      </c>
      <c r="B6603" s="43">
        <v>18</v>
      </c>
      <c r="C6603" s="43" t="s">
        <v>962</v>
      </c>
      <c r="D6603" s="43" t="s">
        <v>999</v>
      </c>
      <c r="E6603" s="43" t="s">
        <v>278</v>
      </c>
      <c r="F6603" s="43" t="s">
        <v>959</v>
      </c>
      <c r="G6603" s="43">
        <v>1800000</v>
      </c>
      <c r="H6603" s="43">
        <v>145000</v>
      </c>
      <c r="I6603" s="43" t="s">
        <v>949</v>
      </c>
      <c r="J6603" s="44" t="s">
        <v>1000</v>
      </c>
    </row>
    <row r="6604" ht="22" customHeight="1" spans="1:10" x14ac:dyDescent="0.25">
      <c r="A6604" s="43">
        <v>3130</v>
      </c>
      <c r="B6604" s="43">
        <v>18</v>
      </c>
      <c r="C6604" s="43" t="s">
        <v>962</v>
      </c>
      <c r="D6604" s="43" t="s">
        <v>999</v>
      </c>
      <c r="E6604" s="43" t="s">
        <v>278</v>
      </c>
      <c r="F6604" s="43" t="s">
        <v>960</v>
      </c>
      <c r="G6604" s="43">
        <v>1800000</v>
      </c>
      <c r="H6604" s="43">
        <v>145000</v>
      </c>
      <c r="I6604" s="43" t="s">
        <v>949</v>
      </c>
      <c r="J6604" s="44" t="s">
        <v>1000</v>
      </c>
    </row>
    <row r="6605" ht="22" customHeight="1" spans="1:10" x14ac:dyDescent="0.25">
      <c r="A6605" s="43">
        <v>3130</v>
      </c>
      <c r="B6605" s="43">
        <v>18</v>
      </c>
      <c r="C6605" s="43" t="s">
        <v>962</v>
      </c>
      <c r="D6605" s="43" t="s">
        <v>999</v>
      </c>
      <c r="E6605" s="43" t="s">
        <v>278</v>
      </c>
      <c r="F6605" s="43" t="s">
        <v>961</v>
      </c>
      <c r="G6605" s="43">
        <v>1800000</v>
      </c>
      <c r="H6605" s="43">
        <v>145000</v>
      </c>
      <c r="I6605" s="43" t="s">
        <v>949</v>
      </c>
      <c r="J6605" s="44" t="s">
        <v>1000</v>
      </c>
    </row>
    <row r="6606" ht="22" customHeight="1" spans="1:10" x14ac:dyDescent="0.25">
      <c r="A6606" s="43">
        <v>3130</v>
      </c>
      <c r="B6606" s="43">
        <v>18</v>
      </c>
      <c r="C6606" s="43" t="s">
        <v>963</v>
      </c>
      <c r="D6606" s="43" t="s">
        <v>999</v>
      </c>
      <c r="E6606" s="43" t="s">
        <v>278</v>
      </c>
      <c r="F6606" s="43" t="s">
        <v>951</v>
      </c>
      <c r="G6606" s="43">
        <v>1800000</v>
      </c>
      <c r="H6606" s="43">
        <v>145000</v>
      </c>
      <c r="I6606" s="43" t="s">
        <v>949</v>
      </c>
      <c r="J6606" s="44" t="s">
        <v>1000</v>
      </c>
    </row>
    <row r="6607" ht="22" customHeight="1" spans="1:10" x14ac:dyDescent="0.25">
      <c r="A6607" s="43">
        <v>3130</v>
      </c>
      <c r="B6607" s="43">
        <v>18</v>
      </c>
      <c r="C6607" s="43" t="s">
        <v>963</v>
      </c>
      <c r="D6607" s="43" t="s">
        <v>999</v>
      </c>
      <c r="E6607" s="43" t="s">
        <v>278</v>
      </c>
      <c r="F6607" s="43" t="s">
        <v>952</v>
      </c>
      <c r="G6607" s="43">
        <v>1800000</v>
      </c>
      <c r="H6607" s="43">
        <v>145000</v>
      </c>
      <c r="I6607" s="43" t="s">
        <v>949</v>
      </c>
      <c r="J6607" s="44" t="s">
        <v>1000</v>
      </c>
    </row>
    <row r="6608" ht="22" customHeight="1" spans="1:10" x14ac:dyDescent="0.25">
      <c r="A6608" s="43">
        <v>3130</v>
      </c>
      <c r="B6608" s="43">
        <v>18</v>
      </c>
      <c r="C6608" s="43" t="s">
        <v>963</v>
      </c>
      <c r="D6608" s="43" t="s">
        <v>999</v>
      </c>
      <c r="E6608" s="43" t="s">
        <v>278</v>
      </c>
      <c r="F6608" s="43" t="s">
        <v>953</v>
      </c>
      <c r="G6608" s="43">
        <v>1800000</v>
      </c>
      <c r="H6608" s="43">
        <v>145000</v>
      </c>
      <c r="I6608" s="43" t="s">
        <v>949</v>
      </c>
      <c r="J6608" s="44" t="s">
        <v>1000</v>
      </c>
    </row>
    <row r="6609" ht="22" customHeight="1" spans="1:10" x14ac:dyDescent="0.25">
      <c r="A6609" s="43">
        <v>3130</v>
      </c>
      <c r="B6609" s="43">
        <v>18</v>
      </c>
      <c r="C6609" s="43" t="s">
        <v>963</v>
      </c>
      <c r="D6609" s="43" t="s">
        <v>999</v>
      </c>
      <c r="E6609" s="43" t="s">
        <v>278</v>
      </c>
      <c r="F6609" s="43" t="s">
        <v>954</v>
      </c>
      <c r="G6609" s="43">
        <v>1800000</v>
      </c>
      <c r="H6609" s="43">
        <v>145000</v>
      </c>
      <c r="I6609" s="43" t="s">
        <v>949</v>
      </c>
      <c r="J6609" s="44" t="s">
        <v>1000</v>
      </c>
    </row>
    <row r="6610" ht="22" customHeight="1" spans="1:10" x14ac:dyDescent="0.25">
      <c r="A6610" s="43">
        <v>3130</v>
      </c>
      <c r="B6610" s="43">
        <v>18</v>
      </c>
      <c r="C6610" s="43" t="s">
        <v>963</v>
      </c>
      <c r="D6610" s="43" t="s">
        <v>999</v>
      </c>
      <c r="E6610" s="43" t="s">
        <v>278</v>
      </c>
      <c r="F6610" s="43" t="s">
        <v>955</v>
      </c>
      <c r="G6610" s="43">
        <v>1800000</v>
      </c>
      <c r="H6610" s="43">
        <v>145000</v>
      </c>
      <c r="I6610" s="43" t="s">
        <v>949</v>
      </c>
      <c r="J6610" s="44" t="s">
        <v>1000</v>
      </c>
    </row>
    <row r="6611" ht="22" customHeight="1" spans="1:10" x14ac:dyDescent="0.25">
      <c r="A6611" s="43">
        <v>3130</v>
      </c>
      <c r="B6611" s="43">
        <v>18</v>
      </c>
      <c r="C6611" s="43" t="s">
        <v>963</v>
      </c>
      <c r="D6611" s="43" t="s">
        <v>999</v>
      </c>
      <c r="E6611" s="43" t="s">
        <v>278</v>
      </c>
      <c r="F6611" s="43" t="s">
        <v>956</v>
      </c>
      <c r="G6611" s="43">
        <v>1800000</v>
      </c>
      <c r="H6611" s="43">
        <v>145000</v>
      </c>
      <c r="I6611" s="43" t="s">
        <v>949</v>
      </c>
      <c r="J6611" s="44" t="s">
        <v>1000</v>
      </c>
    </row>
    <row r="6612" ht="22" customHeight="1" spans="1:10" x14ac:dyDescent="0.25">
      <c r="A6612" s="43">
        <v>3130</v>
      </c>
      <c r="B6612" s="43">
        <v>18</v>
      </c>
      <c r="C6612" s="43" t="s">
        <v>963</v>
      </c>
      <c r="D6612" s="43" t="s">
        <v>999</v>
      </c>
      <c r="E6612" s="43" t="s">
        <v>278</v>
      </c>
      <c r="F6612" s="43" t="s">
        <v>957</v>
      </c>
      <c r="G6612" s="43">
        <v>1800000</v>
      </c>
      <c r="H6612" s="43">
        <v>145000</v>
      </c>
      <c r="I6612" s="43" t="s">
        <v>949</v>
      </c>
      <c r="J6612" s="44" t="s">
        <v>1000</v>
      </c>
    </row>
    <row r="6613" ht="22" customHeight="1" spans="1:10" x14ac:dyDescent="0.25">
      <c r="A6613" s="43">
        <v>3130</v>
      </c>
      <c r="B6613" s="43">
        <v>18</v>
      </c>
      <c r="C6613" s="43" t="s">
        <v>963</v>
      </c>
      <c r="D6613" s="43" t="s">
        <v>999</v>
      </c>
      <c r="E6613" s="43" t="s">
        <v>278</v>
      </c>
      <c r="F6613" s="43" t="s">
        <v>958</v>
      </c>
      <c r="G6613" s="43">
        <v>1800000</v>
      </c>
      <c r="H6613" s="43">
        <v>145000</v>
      </c>
      <c r="I6613" s="43" t="s">
        <v>949</v>
      </c>
      <c r="J6613" s="44" t="s">
        <v>1000</v>
      </c>
    </row>
    <row r="6614" ht="22" customHeight="1" spans="1:10" x14ac:dyDescent="0.25">
      <c r="A6614" s="43">
        <v>3130</v>
      </c>
      <c r="B6614" s="43">
        <v>18</v>
      </c>
      <c r="C6614" s="43" t="s">
        <v>963</v>
      </c>
      <c r="D6614" s="43" t="s">
        <v>999</v>
      </c>
      <c r="E6614" s="43" t="s">
        <v>278</v>
      </c>
      <c r="F6614" s="43" t="s">
        <v>959</v>
      </c>
      <c r="G6614" s="43">
        <v>1800000</v>
      </c>
      <c r="H6614" s="43">
        <v>145000</v>
      </c>
      <c r="I6614" s="43" t="s">
        <v>949</v>
      </c>
      <c r="J6614" s="44" t="s">
        <v>1000</v>
      </c>
    </row>
    <row r="6615" ht="22" customHeight="1" spans="1:10" x14ac:dyDescent="0.25">
      <c r="A6615" s="43">
        <v>3130</v>
      </c>
      <c r="B6615" s="43">
        <v>18</v>
      </c>
      <c r="C6615" s="43" t="s">
        <v>963</v>
      </c>
      <c r="D6615" s="43" t="s">
        <v>999</v>
      </c>
      <c r="E6615" s="43" t="s">
        <v>278</v>
      </c>
      <c r="F6615" s="43" t="s">
        <v>960</v>
      </c>
      <c r="G6615" s="43">
        <v>1800000</v>
      </c>
      <c r="H6615" s="43">
        <v>145000</v>
      </c>
      <c r="I6615" s="43" t="s">
        <v>949</v>
      </c>
      <c r="J6615" s="44" t="s">
        <v>1000</v>
      </c>
    </row>
    <row r="6616" ht="22" customHeight="1" spans="1:10" x14ac:dyDescent="0.25">
      <c r="A6616" s="43">
        <v>3130</v>
      </c>
      <c r="B6616" s="43">
        <v>18</v>
      </c>
      <c r="C6616" s="43" t="s">
        <v>963</v>
      </c>
      <c r="D6616" s="43" t="s">
        <v>999</v>
      </c>
      <c r="E6616" s="43" t="s">
        <v>278</v>
      </c>
      <c r="F6616" s="43" t="s">
        <v>961</v>
      </c>
      <c r="G6616" s="43">
        <v>1800000</v>
      </c>
      <c r="H6616" s="43">
        <v>145000</v>
      </c>
      <c r="I6616" s="43" t="s">
        <v>949</v>
      </c>
      <c r="J6616" s="44" t="s">
        <v>1000</v>
      </c>
    </row>
    <row r="6617" spans="1:9" x14ac:dyDescent="0.25">
      <c r="A6617">
        <v>3130</v>
      </c>
      <c r="B6617">
        <v>18</v>
      </c>
      <c r="C6617" t="s">
        <v>950</v>
      </c>
      <c r="D6617" t="s">
        <v>999</v>
      </c>
      <c r="E6617" t="s">
        <v>282</v>
      </c>
      <c r="F6617" t="s">
        <v>951</v>
      </c>
      <c r="G6617">
        <v>1800000</v>
      </c>
      <c r="H6617">
        <v>143100</v>
      </c>
      <c r="I6617" t="s">
        <v>949</v>
      </c>
    </row>
    <row r="6618" spans="1:9" x14ac:dyDescent="0.25">
      <c r="A6618">
        <v>3130</v>
      </c>
      <c r="B6618">
        <v>18</v>
      </c>
      <c r="C6618" t="s">
        <v>950</v>
      </c>
      <c r="D6618" t="s">
        <v>999</v>
      </c>
      <c r="E6618" t="s">
        <v>282</v>
      </c>
      <c r="F6618" t="s">
        <v>952</v>
      </c>
      <c r="G6618">
        <v>1800000</v>
      </c>
      <c r="H6618">
        <v>143100</v>
      </c>
      <c r="I6618" t="s">
        <v>949</v>
      </c>
    </row>
    <row r="6619" spans="1:9" x14ac:dyDescent="0.25">
      <c r="A6619">
        <v>3130</v>
      </c>
      <c r="B6619">
        <v>18</v>
      </c>
      <c r="C6619" t="s">
        <v>950</v>
      </c>
      <c r="D6619" t="s">
        <v>999</v>
      </c>
      <c r="E6619" t="s">
        <v>282</v>
      </c>
      <c r="F6619" t="s">
        <v>953</v>
      </c>
      <c r="G6619">
        <v>1800000</v>
      </c>
      <c r="H6619">
        <v>143100</v>
      </c>
      <c r="I6619" t="s">
        <v>949</v>
      </c>
    </row>
    <row r="6620" spans="1:9" x14ac:dyDescent="0.25">
      <c r="A6620">
        <v>3130</v>
      </c>
      <c r="B6620">
        <v>18</v>
      </c>
      <c r="C6620" t="s">
        <v>950</v>
      </c>
      <c r="D6620" t="s">
        <v>999</v>
      </c>
      <c r="E6620" t="s">
        <v>282</v>
      </c>
      <c r="F6620" t="s">
        <v>954</v>
      </c>
      <c r="G6620">
        <v>1800000</v>
      </c>
      <c r="H6620">
        <v>143100</v>
      </c>
      <c r="I6620" t="s">
        <v>949</v>
      </c>
    </row>
    <row r="6621" spans="1:9" x14ac:dyDescent="0.25">
      <c r="A6621">
        <v>3130</v>
      </c>
      <c r="B6621">
        <v>18</v>
      </c>
      <c r="C6621" t="s">
        <v>950</v>
      </c>
      <c r="D6621" t="s">
        <v>999</v>
      </c>
      <c r="E6621" t="s">
        <v>282</v>
      </c>
      <c r="F6621" t="s">
        <v>955</v>
      </c>
      <c r="G6621">
        <v>1800000</v>
      </c>
      <c r="H6621">
        <v>143100</v>
      </c>
      <c r="I6621" t="s">
        <v>949</v>
      </c>
    </row>
    <row r="6622" spans="1:9" x14ac:dyDescent="0.25">
      <c r="A6622">
        <v>3130</v>
      </c>
      <c r="B6622">
        <v>18</v>
      </c>
      <c r="C6622" t="s">
        <v>950</v>
      </c>
      <c r="D6622" t="s">
        <v>999</v>
      </c>
      <c r="E6622" t="s">
        <v>282</v>
      </c>
      <c r="F6622" t="s">
        <v>956</v>
      </c>
      <c r="G6622">
        <v>1800000</v>
      </c>
      <c r="H6622">
        <v>143100</v>
      </c>
      <c r="I6622" t="s">
        <v>949</v>
      </c>
    </row>
    <row r="6623" spans="1:9" x14ac:dyDescent="0.25">
      <c r="A6623">
        <v>3130</v>
      </c>
      <c r="B6623">
        <v>18</v>
      </c>
      <c r="C6623" t="s">
        <v>950</v>
      </c>
      <c r="D6623" t="s">
        <v>999</v>
      </c>
      <c r="E6623" t="s">
        <v>282</v>
      </c>
      <c r="F6623" t="s">
        <v>957</v>
      </c>
      <c r="G6623">
        <v>1800000</v>
      </c>
      <c r="H6623">
        <v>143100</v>
      </c>
      <c r="I6623" t="s">
        <v>949</v>
      </c>
    </row>
    <row r="6624" spans="1:9" x14ac:dyDescent="0.25">
      <c r="A6624">
        <v>3130</v>
      </c>
      <c r="B6624">
        <v>18</v>
      </c>
      <c r="C6624" t="s">
        <v>950</v>
      </c>
      <c r="D6624" t="s">
        <v>999</v>
      </c>
      <c r="E6624" t="s">
        <v>282</v>
      </c>
      <c r="F6624" t="s">
        <v>958</v>
      </c>
      <c r="G6624">
        <v>1800000</v>
      </c>
      <c r="H6624">
        <v>143100</v>
      </c>
      <c r="I6624" t="s">
        <v>949</v>
      </c>
    </row>
    <row r="6625" spans="1:9" x14ac:dyDescent="0.25">
      <c r="A6625">
        <v>3130</v>
      </c>
      <c r="B6625">
        <v>18</v>
      </c>
      <c r="C6625" t="s">
        <v>950</v>
      </c>
      <c r="D6625" t="s">
        <v>999</v>
      </c>
      <c r="E6625" t="s">
        <v>282</v>
      </c>
      <c r="F6625" t="s">
        <v>959</v>
      </c>
      <c r="G6625">
        <v>1800000</v>
      </c>
      <c r="H6625">
        <v>143100</v>
      </c>
      <c r="I6625" t="s">
        <v>949</v>
      </c>
    </row>
    <row r="6626" spans="1:9" x14ac:dyDescent="0.25">
      <c r="A6626">
        <v>3130</v>
      </c>
      <c r="B6626">
        <v>18</v>
      </c>
      <c r="C6626" t="s">
        <v>950</v>
      </c>
      <c r="D6626" t="s">
        <v>999</v>
      </c>
      <c r="E6626" t="s">
        <v>282</v>
      </c>
      <c r="F6626" t="s">
        <v>960</v>
      </c>
      <c r="G6626">
        <v>1800000</v>
      </c>
      <c r="H6626">
        <v>143100</v>
      </c>
      <c r="I6626" t="s">
        <v>949</v>
      </c>
    </row>
    <row r="6627" spans="1:9" x14ac:dyDescent="0.25">
      <c r="A6627">
        <v>3130</v>
      </c>
      <c r="B6627">
        <v>18</v>
      </c>
      <c r="C6627" t="s">
        <v>950</v>
      </c>
      <c r="D6627" t="s">
        <v>999</v>
      </c>
      <c r="E6627" t="s">
        <v>282</v>
      </c>
      <c r="F6627" t="s">
        <v>961</v>
      </c>
      <c r="G6627">
        <v>1800000</v>
      </c>
      <c r="H6627">
        <v>143100</v>
      </c>
      <c r="I6627" t="s">
        <v>949</v>
      </c>
    </row>
    <row r="6628" spans="1:9" x14ac:dyDescent="0.25">
      <c r="A6628">
        <v>3130</v>
      </c>
      <c r="B6628">
        <v>18</v>
      </c>
      <c r="C6628" t="s">
        <v>962</v>
      </c>
      <c r="D6628" t="s">
        <v>999</v>
      </c>
      <c r="E6628" t="s">
        <v>282</v>
      </c>
      <c r="F6628" t="s">
        <v>951</v>
      </c>
      <c r="G6628">
        <v>1800000</v>
      </c>
      <c r="H6628">
        <v>143100</v>
      </c>
      <c r="I6628" t="s">
        <v>949</v>
      </c>
    </row>
    <row r="6629" spans="1:9" x14ac:dyDescent="0.25">
      <c r="A6629">
        <v>3130</v>
      </c>
      <c r="B6629">
        <v>18</v>
      </c>
      <c r="C6629" t="s">
        <v>962</v>
      </c>
      <c r="D6629" t="s">
        <v>999</v>
      </c>
      <c r="E6629" t="s">
        <v>282</v>
      </c>
      <c r="F6629" t="s">
        <v>952</v>
      </c>
      <c r="G6629">
        <v>1800000</v>
      </c>
      <c r="H6629">
        <v>143100</v>
      </c>
      <c r="I6629" t="s">
        <v>949</v>
      </c>
    </row>
    <row r="6630" spans="1:9" x14ac:dyDescent="0.25">
      <c r="A6630">
        <v>3130</v>
      </c>
      <c r="B6630">
        <v>18</v>
      </c>
      <c r="C6630" t="s">
        <v>962</v>
      </c>
      <c r="D6630" t="s">
        <v>999</v>
      </c>
      <c r="E6630" t="s">
        <v>282</v>
      </c>
      <c r="F6630" t="s">
        <v>953</v>
      </c>
      <c r="G6630">
        <v>1800000</v>
      </c>
      <c r="H6630">
        <v>143100</v>
      </c>
      <c r="I6630" t="s">
        <v>949</v>
      </c>
    </row>
    <row r="6631" spans="1:9" x14ac:dyDescent="0.25">
      <c r="A6631">
        <v>3130</v>
      </c>
      <c r="B6631">
        <v>18</v>
      </c>
      <c r="C6631" t="s">
        <v>962</v>
      </c>
      <c r="D6631" t="s">
        <v>999</v>
      </c>
      <c r="E6631" t="s">
        <v>282</v>
      </c>
      <c r="F6631" t="s">
        <v>954</v>
      </c>
      <c r="G6631">
        <v>1800000</v>
      </c>
      <c r="H6631">
        <v>143100</v>
      </c>
      <c r="I6631" t="s">
        <v>949</v>
      </c>
    </row>
    <row r="6632" spans="1:9" x14ac:dyDescent="0.25">
      <c r="A6632">
        <v>3130</v>
      </c>
      <c r="B6632">
        <v>18</v>
      </c>
      <c r="C6632" t="s">
        <v>962</v>
      </c>
      <c r="D6632" t="s">
        <v>999</v>
      </c>
      <c r="E6632" t="s">
        <v>282</v>
      </c>
      <c r="F6632" t="s">
        <v>955</v>
      </c>
      <c r="G6632">
        <v>1800000</v>
      </c>
      <c r="H6632">
        <v>143100</v>
      </c>
      <c r="I6632" t="s">
        <v>949</v>
      </c>
    </row>
    <row r="6633" spans="1:9" x14ac:dyDescent="0.25">
      <c r="A6633">
        <v>3130</v>
      </c>
      <c r="B6633">
        <v>18</v>
      </c>
      <c r="C6633" t="s">
        <v>962</v>
      </c>
      <c r="D6633" t="s">
        <v>999</v>
      </c>
      <c r="E6633" t="s">
        <v>282</v>
      </c>
      <c r="F6633" t="s">
        <v>956</v>
      </c>
      <c r="G6633">
        <v>1800000</v>
      </c>
      <c r="H6633">
        <v>143100</v>
      </c>
      <c r="I6633" t="s">
        <v>949</v>
      </c>
    </row>
    <row r="6634" spans="1:9" x14ac:dyDescent="0.25">
      <c r="A6634">
        <v>3130</v>
      </c>
      <c r="B6634">
        <v>18</v>
      </c>
      <c r="C6634" t="s">
        <v>962</v>
      </c>
      <c r="D6634" t="s">
        <v>999</v>
      </c>
      <c r="E6634" t="s">
        <v>282</v>
      </c>
      <c r="F6634" t="s">
        <v>957</v>
      </c>
      <c r="G6634">
        <v>1800000</v>
      </c>
      <c r="H6634">
        <v>143100</v>
      </c>
      <c r="I6634" t="s">
        <v>949</v>
      </c>
    </row>
    <row r="6635" spans="1:9" x14ac:dyDescent="0.25">
      <c r="A6635">
        <v>3130</v>
      </c>
      <c r="B6635">
        <v>18</v>
      </c>
      <c r="C6635" t="s">
        <v>962</v>
      </c>
      <c r="D6635" t="s">
        <v>999</v>
      </c>
      <c r="E6635" t="s">
        <v>282</v>
      </c>
      <c r="F6635" t="s">
        <v>958</v>
      </c>
      <c r="G6635">
        <v>1800000</v>
      </c>
      <c r="H6635">
        <v>143100</v>
      </c>
      <c r="I6635" t="s">
        <v>949</v>
      </c>
    </row>
    <row r="6636" spans="1:9" x14ac:dyDescent="0.25">
      <c r="A6636">
        <v>3130</v>
      </c>
      <c r="B6636">
        <v>18</v>
      </c>
      <c r="C6636" t="s">
        <v>962</v>
      </c>
      <c r="D6636" t="s">
        <v>999</v>
      </c>
      <c r="E6636" t="s">
        <v>282</v>
      </c>
      <c r="F6636" t="s">
        <v>959</v>
      </c>
      <c r="G6636">
        <v>1800000</v>
      </c>
      <c r="H6636">
        <v>143100</v>
      </c>
      <c r="I6636" t="s">
        <v>949</v>
      </c>
    </row>
    <row r="6637" spans="1:9" x14ac:dyDescent="0.25">
      <c r="A6637">
        <v>3130</v>
      </c>
      <c r="B6637">
        <v>18</v>
      </c>
      <c r="C6637" t="s">
        <v>962</v>
      </c>
      <c r="D6637" t="s">
        <v>999</v>
      </c>
      <c r="E6637" t="s">
        <v>282</v>
      </c>
      <c r="F6637" t="s">
        <v>960</v>
      </c>
      <c r="G6637">
        <v>1800000</v>
      </c>
      <c r="H6637">
        <v>143100</v>
      </c>
      <c r="I6637" t="s">
        <v>949</v>
      </c>
    </row>
    <row r="6638" spans="1:9" x14ac:dyDescent="0.25">
      <c r="A6638">
        <v>3130</v>
      </c>
      <c r="B6638">
        <v>18</v>
      </c>
      <c r="C6638" t="s">
        <v>962</v>
      </c>
      <c r="D6638" t="s">
        <v>999</v>
      </c>
      <c r="E6638" t="s">
        <v>282</v>
      </c>
      <c r="F6638" t="s">
        <v>961</v>
      </c>
      <c r="G6638">
        <v>1800000</v>
      </c>
      <c r="H6638">
        <v>143100</v>
      </c>
      <c r="I6638" t="s">
        <v>949</v>
      </c>
    </row>
    <row r="6639" spans="1:9" x14ac:dyDescent="0.25">
      <c r="A6639">
        <v>3130</v>
      </c>
      <c r="B6639">
        <v>18</v>
      </c>
      <c r="C6639" t="s">
        <v>963</v>
      </c>
      <c r="D6639" t="s">
        <v>999</v>
      </c>
      <c r="E6639" t="s">
        <v>282</v>
      </c>
      <c r="F6639" t="s">
        <v>951</v>
      </c>
      <c r="G6639">
        <v>1800000</v>
      </c>
      <c r="H6639">
        <v>143100</v>
      </c>
      <c r="I6639" t="s">
        <v>949</v>
      </c>
    </row>
    <row r="6640" spans="1:9" x14ac:dyDescent="0.25">
      <c r="A6640">
        <v>3130</v>
      </c>
      <c r="B6640">
        <v>18</v>
      </c>
      <c r="C6640" t="s">
        <v>963</v>
      </c>
      <c r="D6640" t="s">
        <v>999</v>
      </c>
      <c r="E6640" t="s">
        <v>282</v>
      </c>
      <c r="F6640" t="s">
        <v>952</v>
      </c>
      <c r="G6640">
        <v>1800000</v>
      </c>
      <c r="H6640">
        <v>143100</v>
      </c>
      <c r="I6640" t="s">
        <v>949</v>
      </c>
    </row>
    <row r="6641" spans="1:9" x14ac:dyDescent="0.25">
      <c r="A6641">
        <v>3130</v>
      </c>
      <c r="B6641">
        <v>18</v>
      </c>
      <c r="C6641" t="s">
        <v>963</v>
      </c>
      <c r="D6641" t="s">
        <v>999</v>
      </c>
      <c r="E6641" t="s">
        <v>282</v>
      </c>
      <c r="F6641" t="s">
        <v>953</v>
      </c>
      <c r="G6641">
        <v>1800000</v>
      </c>
      <c r="H6641">
        <v>143100</v>
      </c>
      <c r="I6641" t="s">
        <v>949</v>
      </c>
    </row>
    <row r="6642" spans="1:9" x14ac:dyDescent="0.25">
      <c r="A6642">
        <v>3130</v>
      </c>
      <c r="B6642">
        <v>18</v>
      </c>
      <c r="C6642" t="s">
        <v>963</v>
      </c>
      <c r="D6642" t="s">
        <v>999</v>
      </c>
      <c r="E6642" t="s">
        <v>282</v>
      </c>
      <c r="F6642" t="s">
        <v>954</v>
      </c>
      <c r="G6642">
        <v>1800000</v>
      </c>
      <c r="H6642">
        <v>143100</v>
      </c>
      <c r="I6642" t="s">
        <v>949</v>
      </c>
    </row>
    <row r="6643" spans="1:9" x14ac:dyDescent="0.25">
      <c r="A6643">
        <v>3130</v>
      </c>
      <c r="B6643">
        <v>18</v>
      </c>
      <c r="C6643" t="s">
        <v>963</v>
      </c>
      <c r="D6643" t="s">
        <v>999</v>
      </c>
      <c r="E6643" t="s">
        <v>282</v>
      </c>
      <c r="F6643" t="s">
        <v>955</v>
      </c>
      <c r="G6643">
        <v>1800000</v>
      </c>
      <c r="H6643">
        <v>143100</v>
      </c>
      <c r="I6643" t="s">
        <v>949</v>
      </c>
    </row>
    <row r="6644" spans="1:9" x14ac:dyDescent="0.25">
      <c r="A6644">
        <v>3130</v>
      </c>
      <c r="B6644">
        <v>18</v>
      </c>
      <c r="C6644" t="s">
        <v>963</v>
      </c>
      <c r="D6644" t="s">
        <v>999</v>
      </c>
      <c r="E6644" t="s">
        <v>282</v>
      </c>
      <c r="F6644" t="s">
        <v>956</v>
      </c>
      <c r="G6644">
        <v>1800000</v>
      </c>
      <c r="H6644">
        <v>143100</v>
      </c>
      <c r="I6644" t="s">
        <v>949</v>
      </c>
    </row>
    <row r="6645" spans="1:9" x14ac:dyDescent="0.25">
      <c r="A6645">
        <v>3130</v>
      </c>
      <c r="B6645">
        <v>18</v>
      </c>
      <c r="C6645" t="s">
        <v>963</v>
      </c>
      <c r="D6645" t="s">
        <v>999</v>
      </c>
      <c r="E6645" t="s">
        <v>282</v>
      </c>
      <c r="F6645" t="s">
        <v>957</v>
      </c>
      <c r="G6645">
        <v>1800000</v>
      </c>
      <c r="H6645">
        <v>143100</v>
      </c>
      <c r="I6645" t="s">
        <v>949</v>
      </c>
    </row>
    <row r="6646" spans="1:9" x14ac:dyDescent="0.25">
      <c r="A6646">
        <v>3130</v>
      </c>
      <c r="B6646">
        <v>18</v>
      </c>
      <c r="C6646" t="s">
        <v>963</v>
      </c>
      <c r="D6646" t="s">
        <v>999</v>
      </c>
      <c r="E6646" t="s">
        <v>282</v>
      </c>
      <c r="F6646" t="s">
        <v>958</v>
      </c>
      <c r="G6646">
        <v>1800000</v>
      </c>
      <c r="H6646">
        <v>143100</v>
      </c>
      <c r="I6646" t="s">
        <v>949</v>
      </c>
    </row>
    <row r="6647" spans="1:9" x14ac:dyDescent="0.25">
      <c r="A6647">
        <v>3130</v>
      </c>
      <c r="B6647">
        <v>18</v>
      </c>
      <c r="C6647" t="s">
        <v>963</v>
      </c>
      <c r="D6647" t="s">
        <v>999</v>
      </c>
      <c r="E6647" t="s">
        <v>282</v>
      </c>
      <c r="F6647" t="s">
        <v>959</v>
      </c>
      <c r="G6647">
        <v>1800000</v>
      </c>
      <c r="H6647">
        <v>143100</v>
      </c>
      <c r="I6647" t="s">
        <v>949</v>
      </c>
    </row>
    <row r="6648" spans="1:9" x14ac:dyDescent="0.25">
      <c r="A6648">
        <v>3130</v>
      </c>
      <c r="B6648">
        <v>18</v>
      </c>
      <c r="C6648" t="s">
        <v>963</v>
      </c>
      <c r="D6648" t="s">
        <v>999</v>
      </c>
      <c r="E6648" t="s">
        <v>282</v>
      </c>
      <c r="F6648" t="s">
        <v>960</v>
      </c>
      <c r="G6648">
        <v>1800000</v>
      </c>
      <c r="H6648">
        <v>143100</v>
      </c>
      <c r="I6648" t="s">
        <v>949</v>
      </c>
    </row>
    <row r="6649" spans="1:9" x14ac:dyDescent="0.25">
      <c r="A6649">
        <v>3130</v>
      </c>
      <c r="B6649">
        <v>18</v>
      </c>
      <c r="C6649" t="s">
        <v>963</v>
      </c>
      <c r="D6649" t="s">
        <v>999</v>
      </c>
      <c r="E6649" t="s">
        <v>282</v>
      </c>
      <c r="F6649" t="s">
        <v>961</v>
      </c>
      <c r="G6649">
        <v>1800000</v>
      </c>
      <c r="H6649">
        <v>143100</v>
      </c>
      <c r="I6649" t="s">
        <v>949</v>
      </c>
    </row>
    <row r="6650" spans="1:9" x14ac:dyDescent="0.25">
      <c r="A6650">
        <v>3130</v>
      </c>
      <c r="B6650">
        <v>18</v>
      </c>
      <c r="C6650" t="s">
        <v>950</v>
      </c>
      <c r="D6650" t="s">
        <v>999</v>
      </c>
      <c r="E6650" t="s">
        <v>39</v>
      </c>
      <c r="F6650" t="s">
        <v>951</v>
      </c>
      <c r="G6650">
        <v>1877777</v>
      </c>
      <c r="H6650">
        <v>501090</v>
      </c>
      <c r="I6650" t="s">
        <v>949</v>
      </c>
    </row>
    <row r="6651" spans="1:9" x14ac:dyDescent="0.25">
      <c r="A6651">
        <v>3130</v>
      </c>
      <c r="B6651">
        <v>18</v>
      </c>
      <c r="C6651" t="s">
        <v>950</v>
      </c>
      <c r="D6651" t="s">
        <v>999</v>
      </c>
      <c r="E6651" t="s">
        <v>39</v>
      </c>
      <c r="F6651" t="s">
        <v>952</v>
      </c>
      <c r="G6651">
        <v>1877777</v>
      </c>
      <c r="H6651">
        <v>501090</v>
      </c>
      <c r="I6651" t="s">
        <v>949</v>
      </c>
    </row>
    <row r="6652" spans="1:9" x14ac:dyDescent="0.25">
      <c r="A6652">
        <v>3130</v>
      </c>
      <c r="B6652">
        <v>18</v>
      </c>
      <c r="C6652" t="s">
        <v>950</v>
      </c>
      <c r="D6652" t="s">
        <v>999</v>
      </c>
      <c r="E6652" t="s">
        <v>39</v>
      </c>
      <c r="F6652" t="s">
        <v>953</v>
      </c>
      <c r="G6652">
        <v>1877777</v>
      </c>
      <c r="H6652">
        <v>501090</v>
      </c>
      <c r="I6652" t="s">
        <v>949</v>
      </c>
    </row>
    <row r="6653" spans="1:9" x14ac:dyDescent="0.25">
      <c r="A6653">
        <v>3130</v>
      </c>
      <c r="B6653">
        <v>18</v>
      </c>
      <c r="C6653" t="s">
        <v>950</v>
      </c>
      <c r="D6653" t="s">
        <v>999</v>
      </c>
      <c r="E6653" t="s">
        <v>39</v>
      </c>
      <c r="F6653" t="s">
        <v>954</v>
      </c>
      <c r="G6653">
        <v>1877777</v>
      </c>
      <c r="H6653">
        <v>501090</v>
      </c>
      <c r="I6653" t="s">
        <v>949</v>
      </c>
    </row>
    <row r="6654" spans="1:9" x14ac:dyDescent="0.25">
      <c r="A6654">
        <v>3130</v>
      </c>
      <c r="B6654">
        <v>18</v>
      </c>
      <c r="C6654" t="s">
        <v>950</v>
      </c>
      <c r="D6654" t="s">
        <v>999</v>
      </c>
      <c r="E6654" t="s">
        <v>39</v>
      </c>
      <c r="F6654" t="s">
        <v>955</v>
      </c>
      <c r="G6654">
        <v>1877777</v>
      </c>
      <c r="H6654">
        <v>501090</v>
      </c>
      <c r="I6654" t="s">
        <v>949</v>
      </c>
    </row>
    <row r="6655" spans="1:9" x14ac:dyDescent="0.25">
      <c r="A6655">
        <v>3130</v>
      </c>
      <c r="B6655">
        <v>18</v>
      </c>
      <c r="C6655" t="s">
        <v>950</v>
      </c>
      <c r="D6655" t="s">
        <v>999</v>
      </c>
      <c r="E6655" t="s">
        <v>39</v>
      </c>
      <c r="F6655" t="s">
        <v>956</v>
      </c>
      <c r="G6655">
        <v>1877777</v>
      </c>
      <c r="H6655">
        <v>501090</v>
      </c>
      <c r="I6655" t="s">
        <v>949</v>
      </c>
    </row>
    <row r="6656" spans="1:9" x14ac:dyDescent="0.25">
      <c r="A6656">
        <v>3130</v>
      </c>
      <c r="B6656">
        <v>18</v>
      </c>
      <c r="C6656" t="s">
        <v>950</v>
      </c>
      <c r="D6656" t="s">
        <v>999</v>
      </c>
      <c r="E6656" t="s">
        <v>39</v>
      </c>
      <c r="F6656" t="s">
        <v>957</v>
      </c>
      <c r="G6656">
        <v>1877777</v>
      </c>
      <c r="H6656">
        <v>501090</v>
      </c>
      <c r="I6656" t="s">
        <v>949</v>
      </c>
    </row>
    <row r="6657" spans="1:9" x14ac:dyDescent="0.25">
      <c r="A6657">
        <v>3130</v>
      </c>
      <c r="B6657">
        <v>18</v>
      </c>
      <c r="C6657" t="s">
        <v>950</v>
      </c>
      <c r="D6657" t="s">
        <v>999</v>
      </c>
      <c r="E6657" t="s">
        <v>39</v>
      </c>
      <c r="F6657" t="s">
        <v>958</v>
      </c>
      <c r="G6657">
        <v>1877777</v>
      </c>
      <c r="H6657">
        <v>501090</v>
      </c>
      <c r="I6657" t="s">
        <v>949</v>
      </c>
    </row>
    <row r="6658" spans="1:9" x14ac:dyDescent="0.25">
      <c r="A6658">
        <v>3130</v>
      </c>
      <c r="B6658">
        <v>18</v>
      </c>
      <c r="C6658" t="s">
        <v>950</v>
      </c>
      <c r="D6658" t="s">
        <v>999</v>
      </c>
      <c r="E6658" t="s">
        <v>39</v>
      </c>
      <c r="F6658" t="s">
        <v>959</v>
      </c>
      <c r="G6658">
        <v>1877777</v>
      </c>
      <c r="H6658">
        <v>501090</v>
      </c>
      <c r="I6658" t="s">
        <v>949</v>
      </c>
    </row>
    <row r="6659" spans="1:9" x14ac:dyDescent="0.25">
      <c r="A6659">
        <v>3130</v>
      </c>
      <c r="B6659">
        <v>18</v>
      </c>
      <c r="C6659" t="s">
        <v>950</v>
      </c>
      <c r="D6659" t="s">
        <v>999</v>
      </c>
      <c r="E6659" t="s">
        <v>39</v>
      </c>
      <c r="F6659" t="s">
        <v>960</v>
      </c>
      <c r="G6659">
        <v>1877777</v>
      </c>
      <c r="H6659">
        <v>501090</v>
      </c>
      <c r="I6659" t="s">
        <v>949</v>
      </c>
    </row>
    <row r="6660" spans="1:9" x14ac:dyDescent="0.25">
      <c r="A6660">
        <v>3130</v>
      </c>
      <c r="B6660">
        <v>18</v>
      </c>
      <c r="C6660" t="s">
        <v>950</v>
      </c>
      <c r="D6660" t="s">
        <v>999</v>
      </c>
      <c r="E6660" t="s">
        <v>39</v>
      </c>
      <c r="F6660" t="s">
        <v>961</v>
      </c>
      <c r="G6660">
        <v>1877777</v>
      </c>
      <c r="H6660">
        <v>501090</v>
      </c>
      <c r="I6660" t="s">
        <v>949</v>
      </c>
    </row>
    <row r="6661" spans="1:9" x14ac:dyDescent="0.25">
      <c r="A6661">
        <v>3130</v>
      </c>
      <c r="B6661">
        <v>18</v>
      </c>
      <c r="C6661" t="s">
        <v>962</v>
      </c>
      <c r="D6661" t="s">
        <v>999</v>
      </c>
      <c r="E6661" t="s">
        <v>39</v>
      </c>
      <c r="F6661" t="s">
        <v>951</v>
      </c>
      <c r="G6661">
        <v>1877777</v>
      </c>
      <c r="H6661">
        <v>501090</v>
      </c>
      <c r="I6661" t="s">
        <v>949</v>
      </c>
    </row>
    <row r="6662" spans="1:9" x14ac:dyDescent="0.25">
      <c r="A6662">
        <v>3130</v>
      </c>
      <c r="B6662">
        <v>18</v>
      </c>
      <c r="C6662" t="s">
        <v>962</v>
      </c>
      <c r="D6662" t="s">
        <v>999</v>
      </c>
      <c r="E6662" t="s">
        <v>39</v>
      </c>
      <c r="F6662" t="s">
        <v>952</v>
      </c>
      <c r="G6662">
        <v>1877777</v>
      </c>
      <c r="H6662">
        <v>501090</v>
      </c>
      <c r="I6662" t="s">
        <v>949</v>
      </c>
    </row>
    <row r="6663" spans="1:9" x14ac:dyDescent="0.25">
      <c r="A6663">
        <v>3130</v>
      </c>
      <c r="B6663">
        <v>18</v>
      </c>
      <c r="C6663" t="s">
        <v>962</v>
      </c>
      <c r="D6663" t="s">
        <v>999</v>
      </c>
      <c r="E6663" t="s">
        <v>39</v>
      </c>
      <c r="F6663" t="s">
        <v>953</v>
      </c>
      <c r="G6663">
        <v>1877777</v>
      </c>
      <c r="H6663">
        <v>501090</v>
      </c>
      <c r="I6663" t="s">
        <v>949</v>
      </c>
    </row>
    <row r="6664" spans="1:9" x14ac:dyDescent="0.25">
      <c r="A6664">
        <v>3130</v>
      </c>
      <c r="B6664">
        <v>18</v>
      </c>
      <c r="C6664" t="s">
        <v>962</v>
      </c>
      <c r="D6664" t="s">
        <v>999</v>
      </c>
      <c r="E6664" t="s">
        <v>39</v>
      </c>
      <c r="F6664" t="s">
        <v>954</v>
      </c>
      <c r="G6664">
        <v>1877777</v>
      </c>
      <c r="H6664">
        <v>501090</v>
      </c>
      <c r="I6664" t="s">
        <v>949</v>
      </c>
    </row>
    <row r="6665" spans="1:9" x14ac:dyDescent="0.25">
      <c r="A6665">
        <v>3130</v>
      </c>
      <c r="B6665">
        <v>18</v>
      </c>
      <c r="C6665" t="s">
        <v>962</v>
      </c>
      <c r="D6665" t="s">
        <v>999</v>
      </c>
      <c r="E6665" t="s">
        <v>39</v>
      </c>
      <c r="F6665" t="s">
        <v>955</v>
      </c>
      <c r="G6665">
        <v>1877777</v>
      </c>
      <c r="H6665">
        <v>501090</v>
      </c>
      <c r="I6665" t="s">
        <v>949</v>
      </c>
    </row>
    <row r="6666" spans="1:9" x14ac:dyDescent="0.25">
      <c r="A6666">
        <v>3130</v>
      </c>
      <c r="B6666">
        <v>18</v>
      </c>
      <c r="C6666" t="s">
        <v>962</v>
      </c>
      <c r="D6666" t="s">
        <v>999</v>
      </c>
      <c r="E6666" t="s">
        <v>39</v>
      </c>
      <c r="F6666" t="s">
        <v>956</v>
      </c>
      <c r="G6666">
        <v>1877777</v>
      </c>
      <c r="H6666">
        <v>501090</v>
      </c>
      <c r="I6666" t="s">
        <v>949</v>
      </c>
    </row>
    <row r="6667" spans="1:9" x14ac:dyDescent="0.25">
      <c r="A6667">
        <v>3130</v>
      </c>
      <c r="B6667">
        <v>18</v>
      </c>
      <c r="C6667" t="s">
        <v>962</v>
      </c>
      <c r="D6667" t="s">
        <v>999</v>
      </c>
      <c r="E6667" t="s">
        <v>39</v>
      </c>
      <c r="F6667" t="s">
        <v>957</v>
      </c>
      <c r="G6667">
        <v>1877777</v>
      </c>
      <c r="H6667">
        <v>501090</v>
      </c>
      <c r="I6667" t="s">
        <v>949</v>
      </c>
    </row>
    <row r="6668" spans="1:9" x14ac:dyDescent="0.25">
      <c r="A6668">
        <v>3130</v>
      </c>
      <c r="B6668">
        <v>18</v>
      </c>
      <c r="C6668" t="s">
        <v>962</v>
      </c>
      <c r="D6668" t="s">
        <v>999</v>
      </c>
      <c r="E6668" t="s">
        <v>39</v>
      </c>
      <c r="F6668" t="s">
        <v>958</v>
      </c>
      <c r="G6668">
        <v>1877777</v>
      </c>
      <c r="H6668">
        <v>501090</v>
      </c>
      <c r="I6668" t="s">
        <v>949</v>
      </c>
    </row>
    <row r="6669" spans="1:9" x14ac:dyDescent="0.25">
      <c r="A6669">
        <v>3130</v>
      </c>
      <c r="B6669">
        <v>18</v>
      </c>
      <c r="C6669" t="s">
        <v>962</v>
      </c>
      <c r="D6669" t="s">
        <v>999</v>
      </c>
      <c r="E6669" t="s">
        <v>39</v>
      </c>
      <c r="F6669" t="s">
        <v>959</v>
      </c>
      <c r="G6669">
        <v>1877777</v>
      </c>
      <c r="H6669">
        <v>501090</v>
      </c>
      <c r="I6669" t="s">
        <v>949</v>
      </c>
    </row>
    <row r="6670" spans="1:9" x14ac:dyDescent="0.25">
      <c r="A6670">
        <v>3130</v>
      </c>
      <c r="B6670">
        <v>18</v>
      </c>
      <c r="C6670" t="s">
        <v>962</v>
      </c>
      <c r="D6670" t="s">
        <v>999</v>
      </c>
      <c r="E6670" t="s">
        <v>39</v>
      </c>
      <c r="F6670" t="s">
        <v>960</v>
      </c>
      <c r="G6670">
        <v>1877777</v>
      </c>
      <c r="H6670">
        <v>501090</v>
      </c>
      <c r="I6670" t="s">
        <v>949</v>
      </c>
    </row>
    <row r="6671" spans="1:9" x14ac:dyDescent="0.25">
      <c r="A6671">
        <v>3130</v>
      </c>
      <c r="B6671">
        <v>18</v>
      </c>
      <c r="C6671" t="s">
        <v>962</v>
      </c>
      <c r="D6671" t="s">
        <v>999</v>
      </c>
      <c r="E6671" t="s">
        <v>39</v>
      </c>
      <c r="F6671" t="s">
        <v>961</v>
      </c>
      <c r="G6671">
        <v>1877777</v>
      </c>
      <c r="H6671">
        <v>501090</v>
      </c>
      <c r="I6671" t="s">
        <v>949</v>
      </c>
    </row>
    <row r="6672" spans="1:9" x14ac:dyDescent="0.25">
      <c r="A6672">
        <v>3130</v>
      </c>
      <c r="B6672">
        <v>18</v>
      </c>
      <c r="C6672" t="s">
        <v>963</v>
      </c>
      <c r="D6672" t="s">
        <v>999</v>
      </c>
      <c r="E6672" t="s">
        <v>39</v>
      </c>
      <c r="F6672" t="s">
        <v>951</v>
      </c>
      <c r="G6672">
        <v>1877777</v>
      </c>
      <c r="H6672">
        <v>501090</v>
      </c>
      <c r="I6672" t="s">
        <v>949</v>
      </c>
    </row>
    <row r="6673" spans="1:9" x14ac:dyDescent="0.25">
      <c r="A6673">
        <v>3130</v>
      </c>
      <c r="B6673">
        <v>18</v>
      </c>
      <c r="C6673" t="s">
        <v>963</v>
      </c>
      <c r="D6673" t="s">
        <v>999</v>
      </c>
      <c r="E6673" t="s">
        <v>39</v>
      </c>
      <c r="F6673" t="s">
        <v>952</v>
      </c>
      <c r="G6673">
        <v>1877777</v>
      </c>
      <c r="H6673">
        <v>501090</v>
      </c>
      <c r="I6673" t="s">
        <v>949</v>
      </c>
    </row>
    <row r="6674" spans="1:9" x14ac:dyDescent="0.25">
      <c r="A6674">
        <v>3130</v>
      </c>
      <c r="B6674">
        <v>18</v>
      </c>
      <c r="C6674" t="s">
        <v>963</v>
      </c>
      <c r="D6674" t="s">
        <v>999</v>
      </c>
      <c r="E6674" t="s">
        <v>39</v>
      </c>
      <c r="F6674" t="s">
        <v>953</v>
      </c>
      <c r="G6674">
        <v>1877777</v>
      </c>
      <c r="H6674">
        <v>501090</v>
      </c>
      <c r="I6674" t="s">
        <v>949</v>
      </c>
    </row>
    <row r="6675" spans="1:9" x14ac:dyDescent="0.25">
      <c r="A6675">
        <v>3130</v>
      </c>
      <c r="B6675">
        <v>18</v>
      </c>
      <c r="C6675" t="s">
        <v>963</v>
      </c>
      <c r="D6675" t="s">
        <v>999</v>
      </c>
      <c r="E6675" t="s">
        <v>39</v>
      </c>
      <c r="F6675" t="s">
        <v>954</v>
      </c>
      <c r="G6675">
        <v>1877777</v>
      </c>
      <c r="H6675">
        <v>501090</v>
      </c>
      <c r="I6675" t="s">
        <v>949</v>
      </c>
    </row>
    <row r="6676" spans="1:9" x14ac:dyDescent="0.25">
      <c r="A6676">
        <v>3130</v>
      </c>
      <c r="B6676">
        <v>18</v>
      </c>
      <c r="C6676" t="s">
        <v>963</v>
      </c>
      <c r="D6676" t="s">
        <v>999</v>
      </c>
      <c r="E6676" t="s">
        <v>39</v>
      </c>
      <c r="F6676" t="s">
        <v>955</v>
      </c>
      <c r="G6676">
        <v>1877777</v>
      </c>
      <c r="H6676">
        <v>501090</v>
      </c>
      <c r="I6676" t="s">
        <v>949</v>
      </c>
    </row>
    <row r="6677" spans="1:9" x14ac:dyDescent="0.25">
      <c r="A6677">
        <v>3130</v>
      </c>
      <c r="B6677">
        <v>18</v>
      </c>
      <c r="C6677" t="s">
        <v>963</v>
      </c>
      <c r="D6677" t="s">
        <v>999</v>
      </c>
      <c r="E6677" t="s">
        <v>39</v>
      </c>
      <c r="F6677" t="s">
        <v>956</v>
      </c>
      <c r="G6677">
        <v>1877777</v>
      </c>
      <c r="H6677">
        <v>501090</v>
      </c>
      <c r="I6677" t="s">
        <v>949</v>
      </c>
    </row>
    <row r="6678" spans="1:9" x14ac:dyDescent="0.25">
      <c r="A6678">
        <v>3130</v>
      </c>
      <c r="B6678">
        <v>18</v>
      </c>
      <c r="C6678" t="s">
        <v>963</v>
      </c>
      <c r="D6678" t="s">
        <v>999</v>
      </c>
      <c r="E6678" t="s">
        <v>39</v>
      </c>
      <c r="F6678" t="s">
        <v>957</v>
      </c>
      <c r="G6678">
        <v>1877777</v>
      </c>
      <c r="H6678">
        <v>501090</v>
      </c>
      <c r="I6678" t="s">
        <v>949</v>
      </c>
    </row>
    <row r="6679" spans="1:9" x14ac:dyDescent="0.25">
      <c r="A6679">
        <v>3130</v>
      </c>
      <c r="B6679">
        <v>18</v>
      </c>
      <c r="C6679" t="s">
        <v>963</v>
      </c>
      <c r="D6679" t="s">
        <v>999</v>
      </c>
      <c r="E6679" t="s">
        <v>39</v>
      </c>
      <c r="F6679" t="s">
        <v>958</v>
      </c>
      <c r="G6679">
        <v>1877777</v>
      </c>
      <c r="H6679">
        <v>501090</v>
      </c>
      <c r="I6679" t="s">
        <v>949</v>
      </c>
    </row>
    <row r="6680" spans="1:9" x14ac:dyDescent="0.25">
      <c r="A6680">
        <v>3130</v>
      </c>
      <c r="B6680">
        <v>18</v>
      </c>
      <c r="C6680" t="s">
        <v>963</v>
      </c>
      <c r="D6680" t="s">
        <v>999</v>
      </c>
      <c r="E6680" t="s">
        <v>39</v>
      </c>
      <c r="F6680" t="s">
        <v>959</v>
      </c>
      <c r="G6680">
        <v>1877777</v>
      </c>
      <c r="H6680">
        <v>501090</v>
      </c>
      <c r="I6680" t="s">
        <v>949</v>
      </c>
    </row>
    <row r="6681" spans="1:9" x14ac:dyDescent="0.25">
      <c r="A6681">
        <v>3130</v>
      </c>
      <c r="B6681">
        <v>18</v>
      </c>
      <c r="C6681" t="s">
        <v>963</v>
      </c>
      <c r="D6681" t="s">
        <v>999</v>
      </c>
      <c r="E6681" t="s">
        <v>39</v>
      </c>
      <c r="F6681" t="s">
        <v>960</v>
      </c>
      <c r="G6681">
        <v>1877777</v>
      </c>
      <c r="H6681">
        <v>501090</v>
      </c>
      <c r="I6681" t="s">
        <v>949</v>
      </c>
    </row>
    <row r="6682" spans="1:9" x14ac:dyDescent="0.25">
      <c r="A6682">
        <v>3130</v>
      </c>
      <c r="B6682">
        <v>18</v>
      </c>
      <c r="C6682" t="s">
        <v>963</v>
      </c>
      <c r="D6682" t="s">
        <v>999</v>
      </c>
      <c r="E6682" t="s">
        <v>39</v>
      </c>
      <c r="F6682" t="s">
        <v>961</v>
      </c>
      <c r="G6682">
        <v>1877777</v>
      </c>
      <c r="H6682">
        <v>501090</v>
      </c>
      <c r="I6682" t="s">
        <v>949</v>
      </c>
    </row>
    <row r="6683" ht="22" customHeight="1" spans="1:10" x14ac:dyDescent="0.25">
      <c r="A6683" s="43">
        <v>3130</v>
      </c>
      <c r="B6683" s="43">
        <v>18</v>
      </c>
      <c r="C6683" s="43" t="s">
        <v>950</v>
      </c>
      <c r="D6683" s="43" t="s">
        <v>999</v>
      </c>
      <c r="E6683" s="43" t="s">
        <v>286</v>
      </c>
      <c r="F6683" s="43" t="s">
        <v>951</v>
      </c>
      <c r="G6683" s="43">
        <v>1800000</v>
      </c>
      <c r="H6683" s="43">
        <v>145000</v>
      </c>
      <c r="I6683" s="43" t="s">
        <v>949</v>
      </c>
      <c r="J6683" s="44" t="s">
        <v>1000</v>
      </c>
    </row>
    <row r="6684" ht="22" customHeight="1" spans="1:10" x14ac:dyDescent="0.25">
      <c r="A6684" s="43">
        <v>3130</v>
      </c>
      <c r="B6684" s="43">
        <v>18</v>
      </c>
      <c r="C6684" s="43" t="s">
        <v>950</v>
      </c>
      <c r="D6684" s="43" t="s">
        <v>999</v>
      </c>
      <c r="E6684" s="43" t="s">
        <v>286</v>
      </c>
      <c r="F6684" s="43" t="s">
        <v>952</v>
      </c>
      <c r="G6684" s="43">
        <v>1800000</v>
      </c>
      <c r="H6684" s="43">
        <v>145000</v>
      </c>
      <c r="I6684" s="43" t="s">
        <v>949</v>
      </c>
      <c r="J6684" s="44" t="s">
        <v>1000</v>
      </c>
    </row>
    <row r="6685" ht="22" customHeight="1" spans="1:10" x14ac:dyDescent="0.25">
      <c r="A6685" s="43">
        <v>3130</v>
      </c>
      <c r="B6685" s="43">
        <v>18</v>
      </c>
      <c r="C6685" s="43" t="s">
        <v>950</v>
      </c>
      <c r="D6685" s="43" t="s">
        <v>999</v>
      </c>
      <c r="E6685" s="43" t="s">
        <v>286</v>
      </c>
      <c r="F6685" s="43" t="s">
        <v>953</v>
      </c>
      <c r="G6685" s="43">
        <v>1800000</v>
      </c>
      <c r="H6685" s="43">
        <v>145000</v>
      </c>
      <c r="I6685" s="43" t="s">
        <v>949</v>
      </c>
      <c r="J6685" s="44" t="s">
        <v>1000</v>
      </c>
    </row>
    <row r="6686" ht="22" customHeight="1" spans="1:10" x14ac:dyDescent="0.25">
      <c r="A6686" s="43">
        <v>3130</v>
      </c>
      <c r="B6686" s="43">
        <v>18</v>
      </c>
      <c r="C6686" s="43" t="s">
        <v>950</v>
      </c>
      <c r="D6686" s="43" t="s">
        <v>999</v>
      </c>
      <c r="E6686" s="43" t="s">
        <v>286</v>
      </c>
      <c r="F6686" s="43" t="s">
        <v>954</v>
      </c>
      <c r="G6686" s="43">
        <v>1800000</v>
      </c>
      <c r="H6686" s="43">
        <v>145000</v>
      </c>
      <c r="I6686" s="43" t="s">
        <v>949</v>
      </c>
      <c r="J6686" s="44" t="s">
        <v>1000</v>
      </c>
    </row>
    <row r="6687" ht="22" customHeight="1" spans="1:10" x14ac:dyDescent="0.25">
      <c r="A6687" s="43">
        <v>3130</v>
      </c>
      <c r="B6687" s="43">
        <v>18</v>
      </c>
      <c r="C6687" s="43" t="s">
        <v>950</v>
      </c>
      <c r="D6687" s="43" t="s">
        <v>999</v>
      </c>
      <c r="E6687" s="43" t="s">
        <v>286</v>
      </c>
      <c r="F6687" s="43" t="s">
        <v>955</v>
      </c>
      <c r="G6687" s="43">
        <v>1800000</v>
      </c>
      <c r="H6687" s="43">
        <v>145000</v>
      </c>
      <c r="I6687" s="43" t="s">
        <v>949</v>
      </c>
      <c r="J6687" s="44" t="s">
        <v>1000</v>
      </c>
    </row>
    <row r="6688" ht="22" customHeight="1" spans="1:10" x14ac:dyDescent="0.25">
      <c r="A6688" s="43">
        <v>3130</v>
      </c>
      <c r="B6688" s="43">
        <v>18</v>
      </c>
      <c r="C6688" s="43" t="s">
        <v>950</v>
      </c>
      <c r="D6688" s="43" t="s">
        <v>999</v>
      </c>
      <c r="E6688" s="43" t="s">
        <v>286</v>
      </c>
      <c r="F6688" s="43" t="s">
        <v>956</v>
      </c>
      <c r="G6688" s="43">
        <v>1800000</v>
      </c>
      <c r="H6688" s="43">
        <v>145000</v>
      </c>
      <c r="I6688" s="43" t="s">
        <v>949</v>
      </c>
      <c r="J6688" s="44" t="s">
        <v>1000</v>
      </c>
    </row>
    <row r="6689" ht="22" customHeight="1" spans="1:10" x14ac:dyDescent="0.25">
      <c r="A6689" s="43">
        <v>3130</v>
      </c>
      <c r="B6689" s="43">
        <v>18</v>
      </c>
      <c r="C6689" s="43" t="s">
        <v>950</v>
      </c>
      <c r="D6689" s="43" t="s">
        <v>999</v>
      </c>
      <c r="E6689" s="43" t="s">
        <v>286</v>
      </c>
      <c r="F6689" s="43" t="s">
        <v>957</v>
      </c>
      <c r="G6689" s="43">
        <v>1800000</v>
      </c>
      <c r="H6689" s="43">
        <v>145000</v>
      </c>
      <c r="I6689" s="43" t="s">
        <v>949</v>
      </c>
      <c r="J6689" s="44" t="s">
        <v>1000</v>
      </c>
    </row>
    <row r="6690" ht="22" customHeight="1" spans="1:10" x14ac:dyDescent="0.25">
      <c r="A6690" s="43">
        <v>3130</v>
      </c>
      <c r="B6690" s="43">
        <v>18</v>
      </c>
      <c r="C6690" s="43" t="s">
        <v>950</v>
      </c>
      <c r="D6690" s="43" t="s">
        <v>999</v>
      </c>
      <c r="E6690" s="43" t="s">
        <v>286</v>
      </c>
      <c r="F6690" s="43" t="s">
        <v>958</v>
      </c>
      <c r="G6690" s="43">
        <v>1800000</v>
      </c>
      <c r="H6690" s="43">
        <v>145000</v>
      </c>
      <c r="I6690" s="43" t="s">
        <v>949</v>
      </c>
      <c r="J6690" s="44" t="s">
        <v>1000</v>
      </c>
    </row>
    <row r="6691" ht="22" customHeight="1" spans="1:10" x14ac:dyDescent="0.25">
      <c r="A6691" s="43">
        <v>3130</v>
      </c>
      <c r="B6691" s="43">
        <v>18</v>
      </c>
      <c r="C6691" s="43" t="s">
        <v>950</v>
      </c>
      <c r="D6691" s="43" t="s">
        <v>999</v>
      </c>
      <c r="E6691" s="43" t="s">
        <v>286</v>
      </c>
      <c r="F6691" s="43" t="s">
        <v>959</v>
      </c>
      <c r="G6691" s="43">
        <v>1800000</v>
      </c>
      <c r="H6691" s="43">
        <v>145000</v>
      </c>
      <c r="I6691" s="43" t="s">
        <v>949</v>
      </c>
      <c r="J6691" s="44" t="s">
        <v>1000</v>
      </c>
    </row>
    <row r="6692" ht="22" customHeight="1" spans="1:10" x14ac:dyDescent="0.25">
      <c r="A6692" s="43">
        <v>3130</v>
      </c>
      <c r="B6692" s="43">
        <v>18</v>
      </c>
      <c r="C6692" s="43" t="s">
        <v>950</v>
      </c>
      <c r="D6692" s="43" t="s">
        <v>999</v>
      </c>
      <c r="E6692" s="43" t="s">
        <v>286</v>
      </c>
      <c r="F6692" s="43" t="s">
        <v>960</v>
      </c>
      <c r="G6692" s="43">
        <v>1800000</v>
      </c>
      <c r="H6692" s="43">
        <v>145000</v>
      </c>
      <c r="I6692" s="43" t="s">
        <v>949</v>
      </c>
      <c r="J6692" s="44" t="s">
        <v>1000</v>
      </c>
    </row>
    <row r="6693" ht="22" customHeight="1" spans="1:10" x14ac:dyDescent="0.25">
      <c r="A6693" s="43">
        <v>3130</v>
      </c>
      <c r="B6693" s="43">
        <v>18</v>
      </c>
      <c r="C6693" s="43" t="s">
        <v>950</v>
      </c>
      <c r="D6693" s="43" t="s">
        <v>999</v>
      </c>
      <c r="E6693" s="43" t="s">
        <v>286</v>
      </c>
      <c r="F6693" s="43" t="s">
        <v>961</v>
      </c>
      <c r="G6693" s="43">
        <v>1800000</v>
      </c>
      <c r="H6693" s="43">
        <v>145000</v>
      </c>
      <c r="I6693" s="43" t="s">
        <v>949</v>
      </c>
      <c r="J6693" s="44" t="s">
        <v>1000</v>
      </c>
    </row>
    <row r="6694" ht="22" customHeight="1" spans="1:10" x14ac:dyDescent="0.25">
      <c r="A6694" s="43">
        <v>3130</v>
      </c>
      <c r="B6694" s="43">
        <v>18</v>
      </c>
      <c r="C6694" s="43" t="s">
        <v>962</v>
      </c>
      <c r="D6694" s="43" t="s">
        <v>999</v>
      </c>
      <c r="E6694" s="43" t="s">
        <v>286</v>
      </c>
      <c r="F6694" s="43" t="s">
        <v>951</v>
      </c>
      <c r="G6694" s="43">
        <v>1800000</v>
      </c>
      <c r="H6694" s="43">
        <v>145000</v>
      </c>
      <c r="I6694" s="43" t="s">
        <v>949</v>
      </c>
      <c r="J6694" s="44" t="s">
        <v>1000</v>
      </c>
    </row>
    <row r="6695" ht="22" customHeight="1" spans="1:10" x14ac:dyDescent="0.25">
      <c r="A6695" s="43">
        <v>3130</v>
      </c>
      <c r="B6695" s="43">
        <v>18</v>
      </c>
      <c r="C6695" s="43" t="s">
        <v>962</v>
      </c>
      <c r="D6695" s="43" t="s">
        <v>999</v>
      </c>
      <c r="E6695" s="43" t="s">
        <v>286</v>
      </c>
      <c r="F6695" s="43" t="s">
        <v>952</v>
      </c>
      <c r="G6695" s="43">
        <v>1800000</v>
      </c>
      <c r="H6695" s="43">
        <v>145000</v>
      </c>
      <c r="I6695" s="43" t="s">
        <v>949</v>
      </c>
      <c r="J6695" s="44" t="s">
        <v>1000</v>
      </c>
    </row>
    <row r="6696" ht="22" customHeight="1" spans="1:10" x14ac:dyDescent="0.25">
      <c r="A6696" s="43">
        <v>3130</v>
      </c>
      <c r="B6696" s="43">
        <v>18</v>
      </c>
      <c r="C6696" s="43" t="s">
        <v>962</v>
      </c>
      <c r="D6696" s="43" t="s">
        <v>999</v>
      </c>
      <c r="E6696" s="43" t="s">
        <v>286</v>
      </c>
      <c r="F6696" s="43" t="s">
        <v>953</v>
      </c>
      <c r="G6696" s="43">
        <v>1800000</v>
      </c>
      <c r="H6696" s="43">
        <v>145000</v>
      </c>
      <c r="I6696" s="43" t="s">
        <v>949</v>
      </c>
      <c r="J6696" s="44" t="s">
        <v>1000</v>
      </c>
    </row>
    <row r="6697" ht="22" customHeight="1" spans="1:10" x14ac:dyDescent="0.25">
      <c r="A6697" s="43">
        <v>3130</v>
      </c>
      <c r="B6697" s="43">
        <v>18</v>
      </c>
      <c r="C6697" s="43" t="s">
        <v>962</v>
      </c>
      <c r="D6697" s="43" t="s">
        <v>999</v>
      </c>
      <c r="E6697" s="43" t="s">
        <v>286</v>
      </c>
      <c r="F6697" s="43" t="s">
        <v>954</v>
      </c>
      <c r="G6697" s="43">
        <v>1800000</v>
      </c>
      <c r="H6697" s="43">
        <v>145000</v>
      </c>
      <c r="I6697" s="43" t="s">
        <v>949</v>
      </c>
      <c r="J6697" s="44" t="s">
        <v>1000</v>
      </c>
    </row>
    <row r="6698" ht="22" customHeight="1" spans="1:10" x14ac:dyDescent="0.25">
      <c r="A6698" s="43">
        <v>3130</v>
      </c>
      <c r="B6698" s="43">
        <v>18</v>
      </c>
      <c r="C6698" s="43" t="s">
        <v>962</v>
      </c>
      <c r="D6698" s="43" t="s">
        <v>999</v>
      </c>
      <c r="E6698" s="43" t="s">
        <v>286</v>
      </c>
      <c r="F6698" s="43" t="s">
        <v>955</v>
      </c>
      <c r="G6698" s="43">
        <v>1800000</v>
      </c>
      <c r="H6698" s="43">
        <v>145000</v>
      </c>
      <c r="I6698" s="43" t="s">
        <v>949</v>
      </c>
      <c r="J6698" s="44" t="s">
        <v>1000</v>
      </c>
    </row>
    <row r="6699" ht="22" customHeight="1" spans="1:10" x14ac:dyDescent="0.25">
      <c r="A6699" s="43">
        <v>3130</v>
      </c>
      <c r="B6699" s="43">
        <v>18</v>
      </c>
      <c r="C6699" s="43" t="s">
        <v>962</v>
      </c>
      <c r="D6699" s="43" t="s">
        <v>999</v>
      </c>
      <c r="E6699" s="43" t="s">
        <v>286</v>
      </c>
      <c r="F6699" s="43" t="s">
        <v>956</v>
      </c>
      <c r="G6699" s="43">
        <v>1800000</v>
      </c>
      <c r="H6699" s="43">
        <v>145000</v>
      </c>
      <c r="I6699" s="43" t="s">
        <v>949</v>
      </c>
      <c r="J6699" s="44" t="s">
        <v>1000</v>
      </c>
    </row>
    <row r="6700" ht="22" customHeight="1" spans="1:10" x14ac:dyDescent="0.25">
      <c r="A6700" s="43">
        <v>3130</v>
      </c>
      <c r="B6700" s="43">
        <v>18</v>
      </c>
      <c r="C6700" s="43" t="s">
        <v>962</v>
      </c>
      <c r="D6700" s="43" t="s">
        <v>999</v>
      </c>
      <c r="E6700" s="43" t="s">
        <v>286</v>
      </c>
      <c r="F6700" s="43" t="s">
        <v>957</v>
      </c>
      <c r="G6700" s="43">
        <v>1800000</v>
      </c>
      <c r="H6700" s="43">
        <v>145000</v>
      </c>
      <c r="I6700" s="43" t="s">
        <v>949</v>
      </c>
      <c r="J6700" s="44" t="s">
        <v>1000</v>
      </c>
    </row>
    <row r="6701" ht="22" customHeight="1" spans="1:10" x14ac:dyDescent="0.25">
      <c r="A6701" s="43">
        <v>3130</v>
      </c>
      <c r="B6701" s="43">
        <v>18</v>
      </c>
      <c r="C6701" s="43" t="s">
        <v>962</v>
      </c>
      <c r="D6701" s="43" t="s">
        <v>999</v>
      </c>
      <c r="E6701" s="43" t="s">
        <v>286</v>
      </c>
      <c r="F6701" s="43" t="s">
        <v>958</v>
      </c>
      <c r="G6701" s="43">
        <v>1800000</v>
      </c>
      <c r="H6701" s="43">
        <v>145000</v>
      </c>
      <c r="I6701" s="43" t="s">
        <v>949</v>
      </c>
      <c r="J6701" s="44" t="s">
        <v>1000</v>
      </c>
    </row>
    <row r="6702" ht="22" customHeight="1" spans="1:10" x14ac:dyDescent="0.25">
      <c r="A6702" s="43">
        <v>3130</v>
      </c>
      <c r="B6702" s="43">
        <v>18</v>
      </c>
      <c r="C6702" s="43" t="s">
        <v>962</v>
      </c>
      <c r="D6702" s="43" t="s">
        <v>999</v>
      </c>
      <c r="E6702" s="43" t="s">
        <v>286</v>
      </c>
      <c r="F6702" s="43" t="s">
        <v>959</v>
      </c>
      <c r="G6702" s="43">
        <v>1800000</v>
      </c>
      <c r="H6702" s="43">
        <v>145000</v>
      </c>
      <c r="I6702" s="43" t="s">
        <v>949</v>
      </c>
      <c r="J6702" s="44" t="s">
        <v>1000</v>
      </c>
    </row>
    <row r="6703" ht="22" customHeight="1" spans="1:10" x14ac:dyDescent="0.25">
      <c r="A6703" s="43">
        <v>3130</v>
      </c>
      <c r="B6703" s="43">
        <v>18</v>
      </c>
      <c r="C6703" s="43" t="s">
        <v>962</v>
      </c>
      <c r="D6703" s="43" t="s">
        <v>999</v>
      </c>
      <c r="E6703" s="43" t="s">
        <v>286</v>
      </c>
      <c r="F6703" s="43" t="s">
        <v>960</v>
      </c>
      <c r="G6703" s="43">
        <v>1800000</v>
      </c>
      <c r="H6703" s="43">
        <v>145000</v>
      </c>
      <c r="I6703" s="43" t="s">
        <v>949</v>
      </c>
      <c r="J6703" s="44" t="s">
        <v>1000</v>
      </c>
    </row>
    <row r="6704" ht="22" customHeight="1" spans="1:10" x14ac:dyDescent="0.25">
      <c r="A6704" s="43">
        <v>3130</v>
      </c>
      <c r="B6704" s="43">
        <v>18</v>
      </c>
      <c r="C6704" s="43" t="s">
        <v>962</v>
      </c>
      <c r="D6704" s="43" t="s">
        <v>999</v>
      </c>
      <c r="E6704" s="43" t="s">
        <v>286</v>
      </c>
      <c r="F6704" s="43" t="s">
        <v>961</v>
      </c>
      <c r="G6704" s="43">
        <v>1800000</v>
      </c>
      <c r="H6704" s="43">
        <v>145000</v>
      </c>
      <c r="I6704" s="43" t="s">
        <v>949</v>
      </c>
      <c r="J6704" s="44" t="s">
        <v>1000</v>
      </c>
    </row>
    <row r="6705" ht="22" customHeight="1" spans="1:10" x14ac:dyDescent="0.25">
      <c r="A6705" s="43">
        <v>3130</v>
      </c>
      <c r="B6705" s="43">
        <v>18</v>
      </c>
      <c r="C6705" s="43" t="s">
        <v>963</v>
      </c>
      <c r="D6705" s="43" t="s">
        <v>999</v>
      </c>
      <c r="E6705" s="43" t="s">
        <v>286</v>
      </c>
      <c r="F6705" s="43" t="s">
        <v>951</v>
      </c>
      <c r="G6705" s="43">
        <v>1800000</v>
      </c>
      <c r="H6705" s="43">
        <v>145000</v>
      </c>
      <c r="I6705" s="43" t="s">
        <v>949</v>
      </c>
      <c r="J6705" s="44" t="s">
        <v>1000</v>
      </c>
    </row>
    <row r="6706" ht="22" customHeight="1" spans="1:10" x14ac:dyDescent="0.25">
      <c r="A6706" s="43">
        <v>3130</v>
      </c>
      <c r="B6706" s="43">
        <v>18</v>
      </c>
      <c r="C6706" s="43" t="s">
        <v>963</v>
      </c>
      <c r="D6706" s="43" t="s">
        <v>999</v>
      </c>
      <c r="E6706" s="43" t="s">
        <v>286</v>
      </c>
      <c r="F6706" s="43" t="s">
        <v>952</v>
      </c>
      <c r="G6706" s="43">
        <v>1800000</v>
      </c>
      <c r="H6706" s="43">
        <v>145000</v>
      </c>
      <c r="I6706" s="43" t="s">
        <v>949</v>
      </c>
      <c r="J6706" s="44" t="s">
        <v>1000</v>
      </c>
    </row>
    <row r="6707" ht="22" customHeight="1" spans="1:10" x14ac:dyDescent="0.25">
      <c r="A6707" s="43">
        <v>3130</v>
      </c>
      <c r="B6707" s="43">
        <v>18</v>
      </c>
      <c r="C6707" s="43" t="s">
        <v>963</v>
      </c>
      <c r="D6707" s="43" t="s">
        <v>999</v>
      </c>
      <c r="E6707" s="43" t="s">
        <v>286</v>
      </c>
      <c r="F6707" s="43" t="s">
        <v>953</v>
      </c>
      <c r="G6707" s="43">
        <v>1800000</v>
      </c>
      <c r="H6707" s="43">
        <v>145000</v>
      </c>
      <c r="I6707" s="43" t="s">
        <v>949</v>
      </c>
      <c r="J6707" s="44" t="s">
        <v>1000</v>
      </c>
    </row>
    <row r="6708" ht="22" customHeight="1" spans="1:10" x14ac:dyDescent="0.25">
      <c r="A6708" s="43">
        <v>3130</v>
      </c>
      <c r="B6708" s="43">
        <v>18</v>
      </c>
      <c r="C6708" s="43" t="s">
        <v>963</v>
      </c>
      <c r="D6708" s="43" t="s">
        <v>999</v>
      </c>
      <c r="E6708" s="43" t="s">
        <v>286</v>
      </c>
      <c r="F6708" s="43" t="s">
        <v>954</v>
      </c>
      <c r="G6708" s="43">
        <v>1800000</v>
      </c>
      <c r="H6708" s="43">
        <v>145000</v>
      </c>
      <c r="I6708" s="43" t="s">
        <v>949</v>
      </c>
      <c r="J6708" s="44" t="s">
        <v>1000</v>
      </c>
    </row>
    <row r="6709" ht="22" customHeight="1" spans="1:10" x14ac:dyDescent="0.25">
      <c r="A6709" s="43">
        <v>3130</v>
      </c>
      <c r="B6709" s="43">
        <v>18</v>
      </c>
      <c r="C6709" s="43" t="s">
        <v>963</v>
      </c>
      <c r="D6709" s="43" t="s">
        <v>999</v>
      </c>
      <c r="E6709" s="43" t="s">
        <v>286</v>
      </c>
      <c r="F6709" s="43" t="s">
        <v>955</v>
      </c>
      <c r="G6709" s="43">
        <v>1800000</v>
      </c>
      <c r="H6709" s="43">
        <v>145000</v>
      </c>
      <c r="I6709" s="43" t="s">
        <v>949</v>
      </c>
      <c r="J6709" s="44" t="s">
        <v>1000</v>
      </c>
    </row>
    <row r="6710" ht="22" customHeight="1" spans="1:10" x14ac:dyDescent="0.25">
      <c r="A6710" s="43">
        <v>3130</v>
      </c>
      <c r="B6710" s="43">
        <v>18</v>
      </c>
      <c r="C6710" s="43" t="s">
        <v>963</v>
      </c>
      <c r="D6710" s="43" t="s">
        <v>999</v>
      </c>
      <c r="E6710" s="43" t="s">
        <v>286</v>
      </c>
      <c r="F6710" s="43" t="s">
        <v>956</v>
      </c>
      <c r="G6710" s="43">
        <v>1800000</v>
      </c>
      <c r="H6710" s="43">
        <v>145000</v>
      </c>
      <c r="I6710" s="43" t="s">
        <v>949</v>
      </c>
      <c r="J6710" s="44" t="s">
        <v>1000</v>
      </c>
    </row>
    <row r="6711" ht="22" customHeight="1" spans="1:10" x14ac:dyDescent="0.25">
      <c r="A6711" s="43">
        <v>3130</v>
      </c>
      <c r="B6711" s="43">
        <v>18</v>
      </c>
      <c r="C6711" s="43" t="s">
        <v>963</v>
      </c>
      <c r="D6711" s="43" t="s">
        <v>999</v>
      </c>
      <c r="E6711" s="43" t="s">
        <v>286</v>
      </c>
      <c r="F6711" s="43" t="s">
        <v>957</v>
      </c>
      <c r="G6711" s="43">
        <v>1800000</v>
      </c>
      <c r="H6711" s="43">
        <v>145000</v>
      </c>
      <c r="I6711" s="43" t="s">
        <v>949</v>
      </c>
      <c r="J6711" s="44" t="s">
        <v>1000</v>
      </c>
    </row>
    <row r="6712" ht="22" customHeight="1" spans="1:10" x14ac:dyDescent="0.25">
      <c r="A6712" s="43">
        <v>3130</v>
      </c>
      <c r="B6712" s="43">
        <v>18</v>
      </c>
      <c r="C6712" s="43" t="s">
        <v>963</v>
      </c>
      <c r="D6712" s="43" t="s">
        <v>999</v>
      </c>
      <c r="E6712" s="43" t="s">
        <v>286</v>
      </c>
      <c r="F6712" s="43" t="s">
        <v>958</v>
      </c>
      <c r="G6712" s="43">
        <v>1800000</v>
      </c>
      <c r="H6712" s="43">
        <v>145000</v>
      </c>
      <c r="I6712" s="43" t="s">
        <v>949</v>
      </c>
      <c r="J6712" s="44" t="s">
        <v>1000</v>
      </c>
    </row>
    <row r="6713" ht="22" customHeight="1" spans="1:10" x14ac:dyDescent="0.25">
      <c r="A6713" s="43">
        <v>3130</v>
      </c>
      <c r="B6713" s="43">
        <v>18</v>
      </c>
      <c r="C6713" s="43" t="s">
        <v>963</v>
      </c>
      <c r="D6713" s="43" t="s">
        <v>999</v>
      </c>
      <c r="E6713" s="43" t="s">
        <v>286</v>
      </c>
      <c r="F6713" s="43" t="s">
        <v>959</v>
      </c>
      <c r="G6713" s="43">
        <v>1800000</v>
      </c>
      <c r="H6713" s="43">
        <v>145000</v>
      </c>
      <c r="I6713" s="43" t="s">
        <v>949</v>
      </c>
      <c r="J6713" s="44" t="s">
        <v>1000</v>
      </c>
    </row>
    <row r="6714" ht="22" customHeight="1" spans="1:10" x14ac:dyDescent="0.25">
      <c r="A6714" s="43">
        <v>3130</v>
      </c>
      <c r="B6714" s="43">
        <v>18</v>
      </c>
      <c r="C6714" s="43" t="s">
        <v>963</v>
      </c>
      <c r="D6714" s="43" t="s">
        <v>999</v>
      </c>
      <c r="E6714" s="43" t="s">
        <v>286</v>
      </c>
      <c r="F6714" s="43" t="s">
        <v>960</v>
      </c>
      <c r="G6714" s="43">
        <v>1800000</v>
      </c>
      <c r="H6714" s="43">
        <v>145000</v>
      </c>
      <c r="I6714" s="43" t="s">
        <v>949</v>
      </c>
      <c r="J6714" s="44" t="s">
        <v>1000</v>
      </c>
    </row>
    <row r="6715" ht="22" customHeight="1" spans="1:10" x14ac:dyDescent="0.25">
      <c r="A6715" s="43">
        <v>3130</v>
      </c>
      <c r="B6715" s="43">
        <v>18</v>
      </c>
      <c r="C6715" s="43" t="s">
        <v>963</v>
      </c>
      <c r="D6715" s="43" t="s">
        <v>999</v>
      </c>
      <c r="E6715" s="43" t="s">
        <v>286</v>
      </c>
      <c r="F6715" s="43" t="s">
        <v>961</v>
      </c>
      <c r="G6715" s="43">
        <v>1800000</v>
      </c>
      <c r="H6715" s="43">
        <v>145000</v>
      </c>
      <c r="I6715" s="43" t="s">
        <v>949</v>
      </c>
      <c r="J6715" s="44" t="s">
        <v>1000</v>
      </c>
    </row>
    <row r="6716" spans="1:9" x14ac:dyDescent="0.25">
      <c r="A6716">
        <v>3130</v>
      </c>
      <c r="B6716">
        <v>18</v>
      </c>
      <c r="C6716" t="s">
        <v>950</v>
      </c>
      <c r="D6716" t="s">
        <v>999</v>
      </c>
      <c r="E6716" t="s">
        <v>976</v>
      </c>
      <c r="F6716" t="s">
        <v>951</v>
      </c>
      <c r="G6716">
        <v>1800000</v>
      </c>
      <c r="H6716">
        <v>141000</v>
      </c>
      <c r="I6716" t="s">
        <v>977</v>
      </c>
    </row>
    <row r="6717" spans="1:9" x14ac:dyDescent="0.25">
      <c r="A6717">
        <v>3130</v>
      </c>
      <c r="B6717">
        <v>18</v>
      </c>
      <c r="C6717" t="s">
        <v>950</v>
      </c>
      <c r="D6717" t="s">
        <v>999</v>
      </c>
      <c r="E6717" t="s">
        <v>976</v>
      </c>
      <c r="F6717" t="s">
        <v>952</v>
      </c>
      <c r="G6717">
        <v>1800000</v>
      </c>
      <c r="H6717">
        <v>141000</v>
      </c>
      <c r="I6717" t="s">
        <v>977</v>
      </c>
    </row>
    <row r="6718" spans="1:9" x14ac:dyDescent="0.25">
      <c r="A6718">
        <v>3130</v>
      </c>
      <c r="B6718">
        <v>18</v>
      </c>
      <c r="C6718" t="s">
        <v>950</v>
      </c>
      <c r="D6718" t="s">
        <v>999</v>
      </c>
      <c r="E6718" t="s">
        <v>976</v>
      </c>
      <c r="F6718" t="s">
        <v>953</v>
      </c>
      <c r="G6718">
        <v>1800000</v>
      </c>
      <c r="H6718">
        <v>141000</v>
      </c>
      <c r="I6718" t="s">
        <v>977</v>
      </c>
    </row>
    <row r="6719" spans="1:9" x14ac:dyDescent="0.25">
      <c r="A6719">
        <v>3130</v>
      </c>
      <c r="B6719">
        <v>18</v>
      </c>
      <c r="C6719" t="s">
        <v>950</v>
      </c>
      <c r="D6719" t="s">
        <v>999</v>
      </c>
      <c r="E6719" t="s">
        <v>976</v>
      </c>
      <c r="F6719" t="s">
        <v>954</v>
      </c>
      <c r="G6719">
        <v>1800000</v>
      </c>
      <c r="H6719">
        <v>141000</v>
      </c>
      <c r="I6719" t="s">
        <v>977</v>
      </c>
    </row>
    <row r="6720" spans="1:9" x14ac:dyDescent="0.25">
      <c r="A6720">
        <v>3130</v>
      </c>
      <c r="B6720">
        <v>18</v>
      </c>
      <c r="C6720" t="s">
        <v>950</v>
      </c>
      <c r="D6720" t="s">
        <v>999</v>
      </c>
      <c r="E6720" t="s">
        <v>976</v>
      </c>
      <c r="F6720" t="s">
        <v>955</v>
      </c>
      <c r="G6720">
        <v>1800000</v>
      </c>
      <c r="H6720">
        <v>141000</v>
      </c>
      <c r="I6720" t="s">
        <v>977</v>
      </c>
    </row>
    <row r="6721" spans="1:9" x14ac:dyDescent="0.25">
      <c r="A6721">
        <v>3130</v>
      </c>
      <c r="B6721">
        <v>18</v>
      </c>
      <c r="C6721" t="s">
        <v>950</v>
      </c>
      <c r="D6721" t="s">
        <v>999</v>
      </c>
      <c r="E6721" t="s">
        <v>976</v>
      </c>
      <c r="F6721" t="s">
        <v>956</v>
      </c>
      <c r="G6721">
        <v>1800000</v>
      </c>
      <c r="H6721">
        <v>141000</v>
      </c>
      <c r="I6721" t="s">
        <v>977</v>
      </c>
    </row>
    <row r="6722" spans="1:9" x14ac:dyDescent="0.25">
      <c r="A6722">
        <v>3130</v>
      </c>
      <c r="B6722">
        <v>18</v>
      </c>
      <c r="C6722" t="s">
        <v>950</v>
      </c>
      <c r="D6722" t="s">
        <v>999</v>
      </c>
      <c r="E6722" t="s">
        <v>976</v>
      </c>
      <c r="F6722" t="s">
        <v>957</v>
      </c>
      <c r="G6722">
        <v>1800000</v>
      </c>
      <c r="H6722">
        <v>141000</v>
      </c>
      <c r="I6722" t="s">
        <v>977</v>
      </c>
    </row>
    <row r="6723" spans="1:9" x14ac:dyDescent="0.25">
      <c r="A6723">
        <v>3130</v>
      </c>
      <c r="B6723">
        <v>18</v>
      </c>
      <c r="C6723" t="s">
        <v>950</v>
      </c>
      <c r="D6723" t="s">
        <v>999</v>
      </c>
      <c r="E6723" t="s">
        <v>976</v>
      </c>
      <c r="F6723" t="s">
        <v>958</v>
      </c>
      <c r="G6723">
        <v>1800000</v>
      </c>
      <c r="H6723">
        <v>141000</v>
      </c>
      <c r="I6723" t="s">
        <v>977</v>
      </c>
    </row>
    <row r="6724" spans="1:9" x14ac:dyDescent="0.25">
      <c r="A6724">
        <v>3130</v>
      </c>
      <c r="B6724">
        <v>18</v>
      </c>
      <c r="C6724" t="s">
        <v>950</v>
      </c>
      <c r="D6724" t="s">
        <v>999</v>
      </c>
      <c r="E6724" t="s">
        <v>976</v>
      </c>
      <c r="F6724" t="s">
        <v>959</v>
      </c>
      <c r="G6724">
        <v>1800000</v>
      </c>
      <c r="H6724">
        <v>141000</v>
      </c>
      <c r="I6724" t="s">
        <v>977</v>
      </c>
    </row>
    <row r="6725" spans="1:9" x14ac:dyDescent="0.25">
      <c r="A6725">
        <v>3130</v>
      </c>
      <c r="B6725">
        <v>18</v>
      </c>
      <c r="C6725" t="s">
        <v>950</v>
      </c>
      <c r="D6725" t="s">
        <v>999</v>
      </c>
      <c r="E6725" t="s">
        <v>976</v>
      </c>
      <c r="F6725" t="s">
        <v>960</v>
      </c>
      <c r="G6725">
        <v>1800000</v>
      </c>
      <c r="H6725">
        <v>141000</v>
      </c>
      <c r="I6725" t="s">
        <v>977</v>
      </c>
    </row>
    <row r="6726" spans="1:9" x14ac:dyDescent="0.25">
      <c r="A6726">
        <v>3130</v>
      </c>
      <c r="B6726">
        <v>18</v>
      </c>
      <c r="C6726" t="s">
        <v>950</v>
      </c>
      <c r="D6726" t="s">
        <v>999</v>
      </c>
      <c r="E6726" t="s">
        <v>976</v>
      </c>
      <c r="F6726" t="s">
        <v>961</v>
      </c>
      <c r="G6726">
        <v>1800000</v>
      </c>
      <c r="H6726">
        <v>141000</v>
      </c>
      <c r="I6726" t="s">
        <v>977</v>
      </c>
    </row>
    <row r="6727" spans="1:9" x14ac:dyDescent="0.25">
      <c r="A6727">
        <v>3130</v>
      </c>
      <c r="B6727">
        <v>18</v>
      </c>
      <c r="C6727" t="s">
        <v>962</v>
      </c>
      <c r="D6727" t="s">
        <v>999</v>
      </c>
      <c r="E6727" t="s">
        <v>976</v>
      </c>
      <c r="F6727" t="s">
        <v>951</v>
      </c>
      <c r="G6727">
        <v>1800000</v>
      </c>
      <c r="H6727">
        <v>141000</v>
      </c>
      <c r="I6727" t="s">
        <v>977</v>
      </c>
    </row>
    <row r="6728" spans="1:9" x14ac:dyDescent="0.25">
      <c r="A6728">
        <v>3130</v>
      </c>
      <c r="B6728">
        <v>18</v>
      </c>
      <c r="C6728" t="s">
        <v>962</v>
      </c>
      <c r="D6728" t="s">
        <v>999</v>
      </c>
      <c r="E6728" t="s">
        <v>976</v>
      </c>
      <c r="F6728" t="s">
        <v>952</v>
      </c>
      <c r="G6728">
        <v>1800000</v>
      </c>
      <c r="H6728">
        <v>141000</v>
      </c>
      <c r="I6728" t="s">
        <v>977</v>
      </c>
    </row>
    <row r="6729" spans="1:9" x14ac:dyDescent="0.25">
      <c r="A6729">
        <v>3130</v>
      </c>
      <c r="B6729">
        <v>18</v>
      </c>
      <c r="C6729" t="s">
        <v>962</v>
      </c>
      <c r="D6729" t="s">
        <v>999</v>
      </c>
      <c r="E6729" t="s">
        <v>976</v>
      </c>
      <c r="F6729" t="s">
        <v>953</v>
      </c>
      <c r="G6729">
        <v>1800000</v>
      </c>
      <c r="H6729">
        <v>141000</v>
      </c>
      <c r="I6729" t="s">
        <v>977</v>
      </c>
    </row>
    <row r="6730" spans="1:9" x14ac:dyDescent="0.25">
      <c r="A6730">
        <v>3130</v>
      </c>
      <c r="B6730">
        <v>18</v>
      </c>
      <c r="C6730" t="s">
        <v>962</v>
      </c>
      <c r="D6730" t="s">
        <v>999</v>
      </c>
      <c r="E6730" t="s">
        <v>976</v>
      </c>
      <c r="F6730" t="s">
        <v>954</v>
      </c>
      <c r="G6730">
        <v>1800000</v>
      </c>
      <c r="H6730">
        <v>141000</v>
      </c>
      <c r="I6730" t="s">
        <v>977</v>
      </c>
    </row>
    <row r="6731" spans="1:9" x14ac:dyDescent="0.25">
      <c r="A6731">
        <v>3130</v>
      </c>
      <c r="B6731">
        <v>18</v>
      </c>
      <c r="C6731" t="s">
        <v>962</v>
      </c>
      <c r="D6731" t="s">
        <v>999</v>
      </c>
      <c r="E6731" t="s">
        <v>976</v>
      </c>
      <c r="F6731" t="s">
        <v>955</v>
      </c>
      <c r="G6731">
        <v>1800000</v>
      </c>
      <c r="H6731">
        <v>141000</v>
      </c>
      <c r="I6731" t="s">
        <v>977</v>
      </c>
    </row>
    <row r="6732" spans="1:9" x14ac:dyDescent="0.25">
      <c r="A6732">
        <v>3130</v>
      </c>
      <c r="B6732">
        <v>18</v>
      </c>
      <c r="C6732" t="s">
        <v>962</v>
      </c>
      <c r="D6732" t="s">
        <v>999</v>
      </c>
      <c r="E6732" t="s">
        <v>976</v>
      </c>
      <c r="F6732" t="s">
        <v>956</v>
      </c>
      <c r="G6732">
        <v>1800000</v>
      </c>
      <c r="H6732">
        <v>141000</v>
      </c>
      <c r="I6732" t="s">
        <v>977</v>
      </c>
    </row>
    <row r="6733" spans="1:9" x14ac:dyDescent="0.25">
      <c r="A6733">
        <v>3130</v>
      </c>
      <c r="B6733">
        <v>18</v>
      </c>
      <c r="C6733" t="s">
        <v>962</v>
      </c>
      <c r="D6733" t="s">
        <v>999</v>
      </c>
      <c r="E6733" t="s">
        <v>976</v>
      </c>
      <c r="F6733" t="s">
        <v>957</v>
      </c>
      <c r="G6733">
        <v>1800000</v>
      </c>
      <c r="H6733">
        <v>141000</v>
      </c>
      <c r="I6733" t="s">
        <v>977</v>
      </c>
    </row>
    <row r="6734" spans="1:9" x14ac:dyDescent="0.25">
      <c r="A6734">
        <v>3130</v>
      </c>
      <c r="B6734">
        <v>18</v>
      </c>
      <c r="C6734" t="s">
        <v>962</v>
      </c>
      <c r="D6734" t="s">
        <v>999</v>
      </c>
      <c r="E6734" t="s">
        <v>976</v>
      </c>
      <c r="F6734" t="s">
        <v>958</v>
      </c>
      <c r="G6734">
        <v>1800000</v>
      </c>
      <c r="H6734">
        <v>141000</v>
      </c>
      <c r="I6734" t="s">
        <v>977</v>
      </c>
    </row>
    <row r="6735" spans="1:9" x14ac:dyDescent="0.25">
      <c r="A6735">
        <v>3130</v>
      </c>
      <c r="B6735">
        <v>18</v>
      </c>
      <c r="C6735" t="s">
        <v>962</v>
      </c>
      <c r="D6735" t="s">
        <v>999</v>
      </c>
      <c r="E6735" t="s">
        <v>976</v>
      </c>
      <c r="F6735" t="s">
        <v>959</v>
      </c>
      <c r="G6735">
        <v>1800000</v>
      </c>
      <c r="H6735">
        <v>141000</v>
      </c>
      <c r="I6735" t="s">
        <v>977</v>
      </c>
    </row>
    <row r="6736" spans="1:9" x14ac:dyDescent="0.25">
      <c r="A6736">
        <v>3130</v>
      </c>
      <c r="B6736">
        <v>18</v>
      </c>
      <c r="C6736" t="s">
        <v>962</v>
      </c>
      <c r="D6736" t="s">
        <v>999</v>
      </c>
      <c r="E6736" t="s">
        <v>976</v>
      </c>
      <c r="F6736" t="s">
        <v>960</v>
      </c>
      <c r="G6736">
        <v>1800000</v>
      </c>
      <c r="H6736">
        <v>141000</v>
      </c>
      <c r="I6736" t="s">
        <v>977</v>
      </c>
    </row>
    <row r="6737" spans="1:9" x14ac:dyDescent="0.25">
      <c r="A6737">
        <v>3130</v>
      </c>
      <c r="B6737">
        <v>18</v>
      </c>
      <c r="C6737" t="s">
        <v>962</v>
      </c>
      <c r="D6737" t="s">
        <v>999</v>
      </c>
      <c r="E6737" t="s">
        <v>976</v>
      </c>
      <c r="F6737" t="s">
        <v>961</v>
      </c>
      <c r="G6737">
        <v>1800000</v>
      </c>
      <c r="H6737">
        <v>141000</v>
      </c>
      <c r="I6737" t="s">
        <v>977</v>
      </c>
    </row>
    <row r="6738" spans="1:9" x14ac:dyDescent="0.25">
      <c r="A6738">
        <v>3130</v>
      </c>
      <c r="B6738">
        <v>18</v>
      </c>
      <c r="C6738" t="s">
        <v>963</v>
      </c>
      <c r="D6738" t="s">
        <v>999</v>
      </c>
      <c r="E6738" t="s">
        <v>976</v>
      </c>
      <c r="F6738" t="s">
        <v>951</v>
      </c>
      <c r="G6738">
        <v>1800000</v>
      </c>
      <c r="H6738">
        <v>141000</v>
      </c>
      <c r="I6738" t="s">
        <v>977</v>
      </c>
    </row>
    <row r="6739" spans="1:9" x14ac:dyDescent="0.25">
      <c r="A6739">
        <v>3130</v>
      </c>
      <c r="B6739">
        <v>18</v>
      </c>
      <c r="C6739" t="s">
        <v>963</v>
      </c>
      <c r="D6739" t="s">
        <v>999</v>
      </c>
      <c r="E6739" t="s">
        <v>976</v>
      </c>
      <c r="F6739" t="s">
        <v>952</v>
      </c>
      <c r="G6739">
        <v>1800000</v>
      </c>
      <c r="H6739">
        <v>141000</v>
      </c>
      <c r="I6739" t="s">
        <v>977</v>
      </c>
    </row>
    <row r="6740" spans="1:9" x14ac:dyDescent="0.25">
      <c r="A6740">
        <v>3130</v>
      </c>
      <c r="B6740">
        <v>18</v>
      </c>
      <c r="C6740" t="s">
        <v>963</v>
      </c>
      <c r="D6740" t="s">
        <v>999</v>
      </c>
      <c r="E6740" t="s">
        <v>976</v>
      </c>
      <c r="F6740" t="s">
        <v>953</v>
      </c>
      <c r="G6740">
        <v>1800000</v>
      </c>
      <c r="H6740">
        <v>141000</v>
      </c>
      <c r="I6740" t="s">
        <v>977</v>
      </c>
    </row>
    <row r="6741" spans="1:9" x14ac:dyDescent="0.25">
      <c r="A6741">
        <v>3130</v>
      </c>
      <c r="B6741">
        <v>18</v>
      </c>
      <c r="C6741" t="s">
        <v>963</v>
      </c>
      <c r="D6741" t="s">
        <v>999</v>
      </c>
      <c r="E6741" t="s">
        <v>976</v>
      </c>
      <c r="F6741" t="s">
        <v>954</v>
      </c>
      <c r="G6741">
        <v>1800000</v>
      </c>
      <c r="H6741">
        <v>141000</v>
      </c>
      <c r="I6741" t="s">
        <v>977</v>
      </c>
    </row>
    <row r="6742" spans="1:9" x14ac:dyDescent="0.25">
      <c r="A6742">
        <v>3130</v>
      </c>
      <c r="B6742">
        <v>18</v>
      </c>
      <c r="C6742" t="s">
        <v>963</v>
      </c>
      <c r="D6742" t="s">
        <v>999</v>
      </c>
      <c r="E6742" t="s">
        <v>976</v>
      </c>
      <c r="F6742" t="s">
        <v>955</v>
      </c>
      <c r="G6742">
        <v>1800000</v>
      </c>
      <c r="H6742">
        <v>141000</v>
      </c>
      <c r="I6742" t="s">
        <v>977</v>
      </c>
    </row>
    <row r="6743" spans="1:9" x14ac:dyDescent="0.25">
      <c r="A6743">
        <v>3130</v>
      </c>
      <c r="B6743">
        <v>18</v>
      </c>
      <c r="C6743" t="s">
        <v>963</v>
      </c>
      <c r="D6743" t="s">
        <v>999</v>
      </c>
      <c r="E6743" t="s">
        <v>976</v>
      </c>
      <c r="F6743" t="s">
        <v>956</v>
      </c>
      <c r="G6743">
        <v>1800000</v>
      </c>
      <c r="H6743">
        <v>141000</v>
      </c>
      <c r="I6743" t="s">
        <v>977</v>
      </c>
    </row>
    <row r="6744" spans="1:9" x14ac:dyDescent="0.25">
      <c r="A6744">
        <v>3130</v>
      </c>
      <c r="B6744">
        <v>18</v>
      </c>
      <c r="C6744" t="s">
        <v>963</v>
      </c>
      <c r="D6744" t="s">
        <v>999</v>
      </c>
      <c r="E6744" t="s">
        <v>976</v>
      </c>
      <c r="F6744" t="s">
        <v>957</v>
      </c>
      <c r="G6744">
        <v>1800000</v>
      </c>
      <c r="H6744">
        <v>141000</v>
      </c>
      <c r="I6744" t="s">
        <v>977</v>
      </c>
    </row>
    <row r="6745" spans="1:9" x14ac:dyDescent="0.25">
      <c r="A6745">
        <v>3130</v>
      </c>
      <c r="B6745">
        <v>18</v>
      </c>
      <c r="C6745" t="s">
        <v>963</v>
      </c>
      <c r="D6745" t="s">
        <v>999</v>
      </c>
      <c r="E6745" t="s">
        <v>976</v>
      </c>
      <c r="F6745" t="s">
        <v>958</v>
      </c>
      <c r="G6745">
        <v>1800000</v>
      </c>
      <c r="H6745">
        <v>141000</v>
      </c>
      <c r="I6745" t="s">
        <v>977</v>
      </c>
    </row>
    <row r="6746" spans="1:9" x14ac:dyDescent="0.25">
      <c r="A6746">
        <v>3130</v>
      </c>
      <c r="B6746">
        <v>18</v>
      </c>
      <c r="C6746" t="s">
        <v>963</v>
      </c>
      <c r="D6746" t="s">
        <v>999</v>
      </c>
      <c r="E6746" t="s">
        <v>976</v>
      </c>
      <c r="F6746" t="s">
        <v>959</v>
      </c>
      <c r="G6746">
        <v>1800000</v>
      </c>
      <c r="H6746">
        <v>141000</v>
      </c>
      <c r="I6746" t="s">
        <v>977</v>
      </c>
    </row>
    <row r="6747" spans="1:9" x14ac:dyDescent="0.25">
      <c r="A6747">
        <v>3130</v>
      </c>
      <c r="B6747">
        <v>18</v>
      </c>
      <c r="C6747" t="s">
        <v>963</v>
      </c>
      <c r="D6747" t="s">
        <v>999</v>
      </c>
      <c r="E6747" t="s">
        <v>976</v>
      </c>
      <c r="F6747" t="s">
        <v>960</v>
      </c>
      <c r="G6747">
        <v>1800000</v>
      </c>
      <c r="H6747">
        <v>141000</v>
      </c>
      <c r="I6747" t="s">
        <v>977</v>
      </c>
    </row>
    <row r="6748" spans="1:9" x14ac:dyDescent="0.25">
      <c r="A6748">
        <v>3130</v>
      </c>
      <c r="B6748">
        <v>18</v>
      </c>
      <c r="C6748" t="s">
        <v>963</v>
      </c>
      <c r="D6748" t="s">
        <v>999</v>
      </c>
      <c r="E6748" t="s">
        <v>976</v>
      </c>
      <c r="F6748" t="s">
        <v>961</v>
      </c>
      <c r="G6748">
        <v>1800000</v>
      </c>
      <c r="H6748">
        <v>141000</v>
      </c>
      <c r="I6748" t="s">
        <v>977</v>
      </c>
    </row>
    <row r="6749" spans="1:9" x14ac:dyDescent="0.25">
      <c r="A6749">
        <v>3130</v>
      </c>
      <c r="B6749">
        <v>18</v>
      </c>
      <c r="C6749" t="s">
        <v>950</v>
      </c>
      <c r="D6749" t="s">
        <v>999</v>
      </c>
      <c r="E6749" t="s">
        <v>290</v>
      </c>
      <c r="F6749" t="s">
        <v>951</v>
      </c>
      <c r="G6749">
        <v>1800000</v>
      </c>
      <c r="H6749">
        <v>143000</v>
      </c>
      <c r="I6749" t="s">
        <v>978</v>
      </c>
    </row>
    <row r="6750" spans="1:9" x14ac:dyDescent="0.25">
      <c r="A6750">
        <v>3130</v>
      </c>
      <c r="B6750">
        <v>18</v>
      </c>
      <c r="C6750" t="s">
        <v>950</v>
      </c>
      <c r="D6750" t="s">
        <v>999</v>
      </c>
      <c r="E6750" t="s">
        <v>290</v>
      </c>
      <c r="F6750" t="s">
        <v>952</v>
      </c>
      <c r="G6750">
        <v>1800000</v>
      </c>
      <c r="H6750">
        <v>143000</v>
      </c>
      <c r="I6750" t="s">
        <v>978</v>
      </c>
    </row>
    <row r="6751" spans="1:9" x14ac:dyDescent="0.25">
      <c r="A6751">
        <v>3130</v>
      </c>
      <c r="B6751">
        <v>18</v>
      </c>
      <c r="C6751" t="s">
        <v>950</v>
      </c>
      <c r="D6751" t="s">
        <v>999</v>
      </c>
      <c r="E6751" t="s">
        <v>290</v>
      </c>
      <c r="F6751" t="s">
        <v>953</v>
      </c>
      <c r="G6751">
        <v>1800000</v>
      </c>
      <c r="H6751">
        <v>143000</v>
      </c>
      <c r="I6751" t="s">
        <v>978</v>
      </c>
    </row>
    <row r="6752" spans="1:9" x14ac:dyDescent="0.25">
      <c r="A6752">
        <v>3130</v>
      </c>
      <c r="B6752">
        <v>18</v>
      </c>
      <c r="C6752" t="s">
        <v>950</v>
      </c>
      <c r="D6752" t="s">
        <v>999</v>
      </c>
      <c r="E6752" t="s">
        <v>290</v>
      </c>
      <c r="F6752" t="s">
        <v>954</v>
      </c>
      <c r="G6752">
        <v>1800000</v>
      </c>
      <c r="H6752">
        <v>143000</v>
      </c>
      <c r="I6752" t="s">
        <v>978</v>
      </c>
    </row>
    <row r="6753" spans="1:9" x14ac:dyDescent="0.25">
      <c r="A6753">
        <v>3130</v>
      </c>
      <c r="B6753">
        <v>18</v>
      </c>
      <c r="C6753" t="s">
        <v>950</v>
      </c>
      <c r="D6753" t="s">
        <v>999</v>
      </c>
      <c r="E6753" t="s">
        <v>290</v>
      </c>
      <c r="F6753" t="s">
        <v>955</v>
      </c>
      <c r="G6753">
        <v>1800000</v>
      </c>
      <c r="H6753">
        <v>143000</v>
      </c>
      <c r="I6753" t="s">
        <v>978</v>
      </c>
    </row>
    <row r="6754" spans="1:9" x14ac:dyDescent="0.25">
      <c r="A6754">
        <v>3130</v>
      </c>
      <c r="B6754">
        <v>18</v>
      </c>
      <c r="C6754" t="s">
        <v>950</v>
      </c>
      <c r="D6754" t="s">
        <v>999</v>
      </c>
      <c r="E6754" t="s">
        <v>290</v>
      </c>
      <c r="F6754" t="s">
        <v>956</v>
      </c>
      <c r="G6754">
        <v>1800000</v>
      </c>
      <c r="H6754">
        <v>143000</v>
      </c>
      <c r="I6754" t="s">
        <v>978</v>
      </c>
    </row>
    <row r="6755" spans="1:9" x14ac:dyDescent="0.25">
      <c r="A6755">
        <v>3130</v>
      </c>
      <c r="B6755">
        <v>18</v>
      </c>
      <c r="C6755" t="s">
        <v>950</v>
      </c>
      <c r="D6755" t="s">
        <v>999</v>
      </c>
      <c r="E6755" t="s">
        <v>290</v>
      </c>
      <c r="F6755" t="s">
        <v>957</v>
      </c>
      <c r="G6755">
        <v>1800000</v>
      </c>
      <c r="H6755">
        <v>143000</v>
      </c>
      <c r="I6755" t="s">
        <v>978</v>
      </c>
    </row>
    <row r="6756" spans="1:9" x14ac:dyDescent="0.25">
      <c r="A6756">
        <v>3130</v>
      </c>
      <c r="B6756">
        <v>18</v>
      </c>
      <c r="C6756" t="s">
        <v>950</v>
      </c>
      <c r="D6756" t="s">
        <v>999</v>
      </c>
      <c r="E6756" t="s">
        <v>290</v>
      </c>
      <c r="F6756" t="s">
        <v>958</v>
      </c>
      <c r="G6756">
        <v>1800000</v>
      </c>
      <c r="H6756">
        <v>143000</v>
      </c>
      <c r="I6756" t="s">
        <v>978</v>
      </c>
    </row>
    <row r="6757" spans="1:9" x14ac:dyDescent="0.25">
      <c r="A6757">
        <v>3130</v>
      </c>
      <c r="B6757">
        <v>18</v>
      </c>
      <c r="C6757" t="s">
        <v>950</v>
      </c>
      <c r="D6757" t="s">
        <v>999</v>
      </c>
      <c r="E6757" t="s">
        <v>290</v>
      </c>
      <c r="F6757" t="s">
        <v>959</v>
      </c>
      <c r="G6757">
        <v>1800000</v>
      </c>
      <c r="H6757">
        <v>143000</v>
      </c>
      <c r="I6757" t="s">
        <v>978</v>
      </c>
    </row>
    <row r="6758" spans="1:9" x14ac:dyDescent="0.25">
      <c r="A6758">
        <v>3130</v>
      </c>
      <c r="B6758">
        <v>18</v>
      </c>
      <c r="C6758" t="s">
        <v>950</v>
      </c>
      <c r="D6758" t="s">
        <v>999</v>
      </c>
      <c r="E6758" t="s">
        <v>290</v>
      </c>
      <c r="F6758" t="s">
        <v>960</v>
      </c>
      <c r="G6758">
        <v>1800000</v>
      </c>
      <c r="H6758">
        <v>143000</v>
      </c>
      <c r="I6758" t="s">
        <v>978</v>
      </c>
    </row>
    <row r="6759" spans="1:9" x14ac:dyDescent="0.25">
      <c r="A6759">
        <v>3130</v>
      </c>
      <c r="B6759">
        <v>18</v>
      </c>
      <c r="C6759" t="s">
        <v>950</v>
      </c>
      <c r="D6759" t="s">
        <v>999</v>
      </c>
      <c r="E6759" t="s">
        <v>290</v>
      </c>
      <c r="F6759" t="s">
        <v>961</v>
      </c>
      <c r="G6759">
        <v>1800000</v>
      </c>
      <c r="H6759">
        <v>143000</v>
      </c>
      <c r="I6759" t="s">
        <v>978</v>
      </c>
    </row>
    <row r="6760" spans="1:9" x14ac:dyDescent="0.25">
      <c r="A6760">
        <v>3130</v>
      </c>
      <c r="B6760">
        <v>18</v>
      </c>
      <c r="C6760" t="s">
        <v>962</v>
      </c>
      <c r="D6760" t="s">
        <v>999</v>
      </c>
      <c r="E6760" t="s">
        <v>290</v>
      </c>
      <c r="F6760" t="s">
        <v>951</v>
      </c>
      <c r="G6760">
        <v>1800000</v>
      </c>
      <c r="H6760">
        <v>143000</v>
      </c>
      <c r="I6760" t="s">
        <v>978</v>
      </c>
    </row>
    <row r="6761" spans="1:9" x14ac:dyDescent="0.25">
      <c r="A6761">
        <v>3130</v>
      </c>
      <c r="B6761">
        <v>18</v>
      </c>
      <c r="C6761" t="s">
        <v>962</v>
      </c>
      <c r="D6761" t="s">
        <v>999</v>
      </c>
      <c r="E6761" t="s">
        <v>290</v>
      </c>
      <c r="F6761" t="s">
        <v>952</v>
      </c>
      <c r="G6761">
        <v>1800000</v>
      </c>
      <c r="H6761">
        <v>143000</v>
      </c>
      <c r="I6761" t="s">
        <v>978</v>
      </c>
    </row>
    <row r="6762" spans="1:9" x14ac:dyDescent="0.25">
      <c r="A6762">
        <v>3130</v>
      </c>
      <c r="B6762">
        <v>18</v>
      </c>
      <c r="C6762" t="s">
        <v>962</v>
      </c>
      <c r="D6762" t="s">
        <v>999</v>
      </c>
      <c r="E6762" t="s">
        <v>290</v>
      </c>
      <c r="F6762" t="s">
        <v>953</v>
      </c>
      <c r="G6762">
        <v>1800000</v>
      </c>
      <c r="H6762">
        <v>143000</v>
      </c>
      <c r="I6762" t="s">
        <v>978</v>
      </c>
    </row>
    <row r="6763" spans="1:9" x14ac:dyDescent="0.25">
      <c r="A6763">
        <v>3130</v>
      </c>
      <c r="B6763">
        <v>18</v>
      </c>
      <c r="C6763" t="s">
        <v>962</v>
      </c>
      <c r="D6763" t="s">
        <v>999</v>
      </c>
      <c r="E6763" t="s">
        <v>290</v>
      </c>
      <c r="F6763" t="s">
        <v>954</v>
      </c>
      <c r="G6763">
        <v>1800000</v>
      </c>
      <c r="H6763">
        <v>143000</v>
      </c>
      <c r="I6763" t="s">
        <v>978</v>
      </c>
    </row>
    <row r="6764" spans="1:9" x14ac:dyDescent="0.25">
      <c r="A6764">
        <v>3130</v>
      </c>
      <c r="B6764">
        <v>18</v>
      </c>
      <c r="C6764" t="s">
        <v>962</v>
      </c>
      <c r="D6764" t="s">
        <v>999</v>
      </c>
      <c r="E6764" t="s">
        <v>290</v>
      </c>
      <c r="F6764" t="s">
        <v>955</v>
      </c>
      <c r="G6764">
        <v>1800000</v>
      </c>
      <c r="H6764">
        <v>143000</v>
      </c>
      <c r="I6764" t="s">
        <v>978</v>
      </c>
    </row>
    <row r="6765" spans="1:9" x14ac:dyDescent="0.25">
      <c r="A6765">
        <v>3130</v>
      </c>
      <c r="B6765">
        <v>18</v>
      </c>
      <c r="C6765" t="s">
        <v>962</v>
      </c>
      <c r="D6765" t="s">
        <v>999</v>
      </c>
      <c r="E6765" t="s">
        <v>290</v>
      </c>
      <c r="F6765" t="s">
        <v>956</v>
      </c>
      <c r="G6765">
        <v>1800000</v>
      </c>
      <c r="H6765">
        <v>143000</v>
      </c>
      <c r="I6765" t="s">
        <v>978</v>
      </c>
    </row>
    <row r="6766" spans="1:9" x14ac:dyDescent="0.25">
      <c r="A6766">
        <v>3130</v>
      </c>
      <c r="B6766">
        <v>18</v>
      </c>
      <c r="C6766" t="s">
        <v>962</v>
      </c>
      <c r="D6766" t="s">
        <v>999</v>
      </c>
      <c r="E6766" t="s">
        <v>290</v>
      </c>
      <c r="F6766" t="s">
        <v>957</v>
      </c>
      <c r="G6766">
        <v>1800000</v>
      </c>
      <c r="H6766">
        <v>143000</v>
      </c>
      <c r="I6766" t="s">
        <v>978</v>
      </c>
    </row>
    <row r="6767" spans="1:9" x14ac:dyDescent="0.25">
      <c r="A6767">
        <v>3130</v>
      </c>
      <c r="B6767">
        <v>18</v>
      </c>
      <c r="C6767" t="s">
        <v>962</v>
      </c>
      <c r="D6767" t="s">
        <v>999</v>
      </c>
      <c r="E6767" t="s">
        <v>290</v>
      </c>
      <c r="F6767" t="s">
        <v>958</v>
      </c>
      <c r="G6767">
        <v>1800000</v>
      </c>
      <c r="H6767">
        <v>143000</v>
      </c>
      <c r="I6767" t="s">
        <v>978</v>
      </c>
    </row>
    <row r="6768" spans="1:9" x14ac:dyDescent="0.25">
      <c r="A6768">
        <v>3130</v>
      </c>
      <c r="B6768">
        <v>18</v>
      </c>
      <c r="C6768" t="s">
        <v>962</v>
      </c>
      <c r="D6768" t="s">
        <v>999</v>
      </c>
      <c r="E6768" t="s">
        <v>290</v>
      </c>
      <c r="F6768" t="s">
        <v>959</v>
      </c>
      <c r="G6768">
        <v>1800000</v>
      </c>
      <c r="H6768">
        <v>143000</v>
      </c>
      <c r="I6768" t="s">
        <v>978</v>
      </c>
    </row>
    <row r="6769" spans="1:9" x14ac:dyDescent="0.25">
      <c r="A6769">
        <v>3130</v>
      </c>
      <c r="B6769">
        <v>18</v>
      </c>
      <c r="C6769" t="s">
        <v>962</v>
      </c>
      <c r="D6769" t="s">
        <v>999</v>
      </c>
      <c r="E6769" t="s">
        <v>290</v>
      </c>
      <c r="F6769" t="s">
        <v>960</v>
      </c>
      <c r="G6769">
        <v>1800000</v>
      </c>
      <c r="H6769">
        <v>143000</v>
      </c>
      <c r="I6769" t="s">
        <v>978</v>
      </c>
    </row>
    <row r="6770" spans="1:9" x14ac:dyDescent="0.25">
      <c r="A6770">
        <v>3130</v>
      </c>
      <c r="B6770">
        <v>18</v>
      </c>
      <c r="C6770" t="s">
        <v>962</v>
      </c>
      <c r="D6770" t="s">
        <v>999</v>
      </c>
      <c r="E6770" t="s">
        <v>290</v>
      </c>
      <c r="F6770" t="s">
        <v>961</v>
      </c>
      <c r="G6770">
        <v>1800000</v>
      </c>
      <c r="H6770">
        <v>143000</v>
      </c>
      <c r="I6770" t="s">
        <v>978</v>
      </c>
    </row>
    <row r="6771" spans="1:9" x14ac:dyDescent="0.25">
      <c r="A6771">
        <v>3130</v>
      </c>
      <c r="B6771">
        <v>18</v>
      </c>
      <c r="C6771" t="s">
        <v>963</v>
      </c>
      <c r="D6771" t="s">
        <v>999</v>
      </c>
      <c r="E6771" t="s">
        <v>290</v>
      </c>
      <c r="F6771" t="s">
        <v>951</v>
      </c>
      <c r="G6771">
        <v>1800000</v>
      </c>
      <c r="H6771">
        <v>143000</v>
      </c>
      <c r="I6771" t="s">
        <v>978</v>
      </c>
    </row>
    <row r="6772" spans="1:9" x14ac:dyDescent="0.25">
      <c r="A6772">
        <v>3130</v>
      </c>
      <c r="B6772">
        <v>18</v>
      </c>
      <c r="C6772" t="s">
        <v>963</v>
      </c>
      <c r="D6772" t="s">
        <v>999</v>
      </c>
      <c r="E6772" t="s">
        <v>290</v>
      </c>
      <c r="F6772" t="s">
        <v>952</v>
      </c>
      <c r="G6772">
        <v>1800000</v>
      </c>
      <c r="H6772">
        <v>143000</v>
      </c>
      <c r="I6772" t="s">
        <v>978</v>
      </c>
    </row>
    <row r="6773" spans="1:9" x14ac:dyDescent="0.25">
      <c r="A6773">
        <v>3130</v>
      </c>
      <c r="B6773">
        <v>18</v>
      </c>
      <c r="C6773" t="s">
        <v>963</v>
      </c>
      <c r="D6773" t="s">
        <v>999</v>
      </c>
      <c r="E6773" t="s">
        <v>290</v>
      </c>
      <c r="F6773" t="s">
        <v>953</v>
      </c>
      <c r="G6773">
        <v>1800000</v>
      </c>
      <c r="H6773">
        <v>143000</v>
      </c>
      <c r="I6773" t="s">
        <v>978</v>
      </c>
    </row>
    <row r="6774" spans="1:9" x14ac:dyDescent="0.25">
      <c r="A6774">
        <v>3130</v>
      </c>
      <c r="B6774">
        <v>18</v>
      </c>
      <c r="C6774" t="s">
        <v>963</v>
      </c>
      <c r="D6774" t="s">
        <v>999</v>
      </c>
      <c r="E6774" t="s">
        <v>290</v>
      </c>
      <c r="F6774" t="s">
        <v>954</v>
      </c>
      <c r="G6774">
        <v>1800000</v>
      </c>
      <c r="H6774">
        <v>143000</v>
      </c>
      <c r="I6774" t="s">
        <v>978</v>
      </c>
    </row>
    <row r="6775" spans="1:9" x14ac:dyDescent="0.25">
      <c r="A6775">
        <v>3130</v>
      </c>
      <c r="B6775">
        <v>18</v>
      </c>
      <c r="C6775" t="s">
        <v>963</v>
      </c>
      <c r="D6775" t="s">
        <v>999</v>
      </c>
      <c r="E6775" t="s">
        <v>290</v>
      </c>
      <c r="F6775" t="s">
        <v>955</v>
      </c>
      <c r="G6775">
        <v>1800000</v>
      </c>
      <c r="H6775">
        <v>143000</v>
      </c>
      <c r="I6775" t="s">
        <v>978</v>
      </c>
    </row>
    <row r="6776" spans="1:9" x14ac:dyDescent="0.25">
      <c r="A6776">
        <v>3130</v>
      </c>
      <c r="B6776">
        <v>18</v>
      </c>
      <c r="C6776" t="s">
        <v>963</v>
      </c>
      <c r="D6776" t="s">
        <v>999</v>
      </c>
      <c r="E6776" t="s">
        <v>290</v>
      </c>
      <c r="F6776" t="s">
        <v>956</v>
      </c>
      <c r="G6776">
        <v>1800000</v>
      </c>
      <c r="H6776">
        <v>143000</v>
      </c>
      <c r="I6776" t="s">
        <v>978</v>
      </c>
    </row>
    <row r="6777" spans="1:9" x14ac:dyDescent="0.25">
      <c r="A6777">
        <v>3130</v>
      </c>
      <c r="B6777">
        <v>18</v>
      </c>
      <c r="C6777" t="s">
        <v>963</v>
      </c>
      <c r="D6777" t="s">
        <v>999</v>
      </c>
      <c r="E6777" t="s">
        <v>290</v>
      </c>
      <c r="F6777" t="s">
        <v>957</v>
      </c>
      <c r="G6777">
        <v>1800000</v>
      </c>
      <c r="H6777">
        <v>143000</v>
      </c>
      <c r="I6777" t="s">
        <v>978</v>
      </c>
    </row>
    <row r="6778" spans="1:9" x14ac:dyDescent="0.25">
      <c r="A6778">
        <v>3130</v>
      </c>
      <c r="B6778">
        <v>18</v>
      </c>
      <c r="C6778" t="s">
        <v>963</v>
      </c>
      <c r="D6778" t="s">
        <v>999</v>
      </c>
      <c r="E6778" t="s">
        <v>290</v>
      </c>
      <c r="F6778" t="s">
        <v>958</v>
      </c>
      <c r="G6778">
        <v>1800000</v>
      </c>
      <c r="H6778">
        <v>143000</v>
      </c>
      <c r="I6778" t="s">
        <v>978</v>
      </c>
    </row>
    <row r="6779" spans="1:9" x14ac:dyDescent="0.25">
      <c r="A6779">
        <v>3130</v>
      </c>
      <c r="B6779">
        <v>18</v>
      </c>
      <c r="C6779" t="s">
        <v>963</v>
      </c>
      <c r="D6779" t="s">
        <v>999</v>
      </c>
      <c r="E6779" t="s">
        <v>290</v>
      </c>
      <c r="F6779" t="s">
        <v>959</v>
      </c>
      <c r="G6779">
        <v>1800000</v>
      </c>
      <c r="H6779">
        <v>143000</v>
      </c>
      <c r="I6779" t="s">
        <v>978</v>
      </c>
    </row>
    <row r="6780" spans="1:9" x14ac:dyDescent="0.25">
      <c r="A6780">
        <v>3130</v>
      </c>
      <c r="B6780">
        <v>18</v>
      </c>
      <c r="C6780" t="s">
        <v>963</v>
      </c>
      <c r="D6780" t="s">
        <v>999</v>
      </c>
      <c r="E6780" t="s">
        <v>290</v>
      </c>
      <c r="F6780" t="s">
        <v>960</v>
      </c>
      <c r="G6780">
        <v>1800000</v>
      </c>
      <c r="H6780">
        <v>143000</v>
      </c>
      <c r="I6780" t="s">
        <v>978</v>
      </c>
    </row>
    <row r="6781" spans="1:9" x14ac:dyDescent="0.25">
      <c r="A6781">
        <v>3130</v>
      </c>
      <c r="B6781">
        <v>18</v>
      </c>
      <c r="C6781" t="s">
        <v>963</v>
      </c>
      <c r="D6781" t="s">
        <v>999</v>
      </c>
      <c r="E6781" t="s">
        <v>290</v>
      </c>
      <c r="F6781" t="s">
        <v>961</v>
      </c>
      <c r="G6781">
        <v>1800000</v>
      </c>
      <c r="H6781">
        <v>143000</v>
      </c>
      <c r="I6781" t="s">
        <v>978</v>
      </c>
    </row>
    <row r="6782" spans="1:9" x14ac:dyDescent="0.25">
      <c r="A6782">
        <v>3130</v>
      </c>
      <c r="B6782">
        <v>18</v>
      </c>
      <c r="C6782" t="s">
        <v>950</v>
      </c>
      <c r="D6782" t="s">
        <v>999</v>
      </c>
      <c r="E6782" t="s">
        <v>294</v>
      </c>
      <c r="F6782" t="s">
        <v>951</v>
      </c>
      <c r="G6782">
        <v>1800000</v>
      </c>
      <c r="H6782">
        <v>143000</v>
      </c>
      <c r="I6782" t="s">
        <v>979</v>
      </c>
    </row>
    <row r="6783" spans="1:9" x14ac:dyDescent="0.25">
      <c r="A6783">
        <v>3130</v>
      </c>
      <c r="B6783">
        <v>18</v>
      </c>
      <c r="C6783" t="s">
        <v>950</v>
      </c>
      <c r="D6783" t="s">
        <v>999</v>
      </c>
      <c r="E6783" t="s">
        <v>294</v>
      </c>
      <c r="F6783" t="s">
        <v>952</v>
      </c>
      <c r="G6783">
        <v>1800000</v>
      </c>
      <c r="H6783">
        <v>143000</v>
      </c>
      <c r="I6783" t="s">
        <v>979</v>
      </c>
    </row>
    <row r="6784" spans="1:9" x14ac:dyDescent="0.25">
      <c r="A6784">
        <v>3130</v>
      </c>
      <c r="B6784">
        <v>18</v>
      </c>
      <c r="C6784" t="s">
        <v>950</v>
      </c>
      <c r="D6784" t="s">
        <v>999</v>
      </c>
      <c r="E6784" t="s">
        <v>294</v>
      </c>
      <c r="F6784" t="s">
        <v>953</v>
      </c>
      <c r="G6784">
        <v>1800000</v>
      </c>
      <c r="H6784">
        <v>143000</v>
      </c>
      <c r="I6784" t="s">
        <v>979</v>
      </c>
    </row>
    <row r="6785" spans="1:9" x14ac:dyDescent="0.25">
      <c r="A6785">
        <v>3130</v>
      </c>
      <c r="B6785">
        <v>18</v>
      </c>
      <c r="C6785" t="s">
        <v>950</v>
      </c>
      <c r="D6785" t="s">
        <v>999</v>
      </c>
      <c r="E6785" t="s">
        <v>294</v>
      </c>
      <c r="F6785" t="s">
        <v>954</v>
      </c>
      <c r="G6785">
        <v>1800000</v>
      </c>
      <c r="H6785">
        <v>143000</v>
      </c>
      <c r="I6785" t="s">
        <v>979</v>
      </c>
    </row>
    <row r="6786" spans="1:9" x14ac:dyDescent="0.25">
      <c r="A6786">
        <v>3130</v>
      </c>
      <c r="B6786">
        <v>18</v>
      </c>
      <c r="C6786" t="s">
        <v>950</v>
      </c>
      <c r="D6786" t="s">
        <v>999</v>
      </c>
      <c r="E6786" t="s">
        <v>294</v>
      </c>
      <c r="F6786" t="s">
        <v>955</v>
      </c>
      <c r="G6786">
        <v>1800000</v>
      </c>
      <c r="H6786">
        <v>143000</v>
      </c>
      <c r="I6786" t="s">
        <v>979</v>
      </c>
    </row>
    <row r="6787" spans="1:9" x14ac:dyDescent="0.25">
      <c r="A6787">
        <v>3130</v>
      </c>
      <c r="B6787">
        <v>18</v>
      </c>
      <c r="C6787" t="s">
        <v>950</v>
      </c>
      <c r="D6787" t="s">
        <v>999</v>
      </c>
      <c r="E6787" t="s">
        <v>294</v>
      </c>
      <c r="F6787" t="s">
        <v>956</v>
      </c>
      <c r="G6787">
        <v>1800000</v>
      </c>
      <c r="H6787">
        <v>143000</v>
      </c>
      <c r="I6787" t="s">
        <v>979</v>
      </c>
    </row>
    <row r="6788" spans="1:9" x14ac:dyDescent="0.25">
      <c r="A6788">
        <v>3130</v>
      </c>
      <c r="B6788">
        <v>18</v>
      </c>
      <c r="C6788" t="s">
        <v>950</v>
      </c>
      <c r="D6788" t="s">
        <v>999</v>
      </c>
      <c r="E6788" t="s">
        <v>294</v>
      </c>
      <c r="F6788" t="s">
        <v>957</v>
      </c>
      <c r="G6788">
        <v>1800000</v>
      </c>
      <c r="H6788">
        <v>143000</v>
      </c>
      <c r="I6788" t="s">
        <v>979</v>
      </c>
    </row>
    <row r="6789" spans="1:9" x14ac:dyDescent="0.25">
      <c r="A6789">
        <v>3130</v>
      </c>
      <c r="B6789">
        <v>18</v>
      </c>
      <c r="C6789" t="s">
        <v>950</v>
      </c>
      <c r="D6789" t="s">
        <v>999</v>
      </c>
      <c r="E6789" t="s">
        <v>294</v>
      </c>
      <c r="F6789" t="s">
        <v>958</v>
      </c>
      <c r="G6789">
        <v>1800000</v>
      </c>
      <c r="H6789">
        <v>143000</v>
      </c>
      <c r="I6789" t="s">
        <v>979</v>
      </c>
    </row>
    <row r="6790" spans="1:9" x14ac:dyDescent="0.25">
      <c r="A6790">
        <v>3130</v>
      </c>
      <c r="B6790">
        <v>18</v>
      </c>
      <c r="C6790" t="s">
        <v>950</v>
      </c>
      <c r="D6790" t="s">
        <v>999</v>
      </c>
      <c r="E6790" t="s">
        <v>294</v>
      </c>
      <c r="F6790" t="s">
        <v>959</v>
      </c>
      <c r="G6790">
        <v>1800000</v>
      </c>
      <c r="H6790">
        <v>143000</v>
      </c>
      <c r="I6790" t="s">
        <v>979</v>
      </c>
    </row>
    <row r="6791" spans="1:9" x14ac:dyDescent="0.25">
      <c r="A6791">
        <v>3130</v>
      </c>
      <c r="B6791">
        <v>18</v>
      </c>
      <c r="C6791" t="s">
        <v>950</v>
      </c>
      <c r="D6791" t="s">
        <v>999</v>
      </c>
      <c r="E6791" t="s">
        <v>294</v>
      </c>
      <c r="F6791" t="s">
        <v>960</v>
      </c>
      <c r="G6791">
        <v>1800000</v>
      </c>
      <c r="H6791">
        <v>143000</v>
      </c>
      <c r="I6791" t="s">
        <v>979</v>
      </c>
    </row>
    <row r="6792" spans="1:9" x14ac:dyDescent="0.25">
      <c r="A6792">
        <v>3130</v>
      </c>
      <c r="B6792">
        <v>18</v>
      </c>
      <c r="C6792" t="s">
        <v>950</v>
      </c>
      <c r="D6792" t="s">
        <v>999</v>
      </c>
      <c r="E6792" t="s">
        <v>294</v>
      </c>
      <c r="F6792" t="s">
        <v>961</v>
      </c>
      <c r="G6792">
        <v>1800000</v>
      </c>
      <c r="H6792">
        <v>143000</v>
      </c>
      <c r="I6792" t="s">
        <v>979</v>
      </c>
    </row>
    <row r="6793" spans="1:9" x14ac:dyDescent="0.25">
      <c r="A6793">
        <v>3130</v>
      </c>
      <c r="B6793">
        <v>18</v>
      </c>
      <c r="C6793" t="s">
        <v>962</v>
      </c>
      <c r="D6793" t="s">
        <v>999</v>
      </c>
      <c r="E6793" t="s">
        <v>294</v>
      </c>
      <c r="F6793" t="s">
        <v>951</v>
      </c>
      <c r="G6793">
        <v>1800000</v>
      </c>
      <c r="H6793">
        <v>143000</v>
      </c>
      <c r="I6793" t="s">
        <v>979</v>
      </c>
    </row>
    <row r="6794" spans="1:9" x14ac:dyDescent="0.25">
      <c r="A6794">
        <v>3130</v>
      </c>
      <c r="B6794">
        <v>18</v>
      </c>
      <c r="C6794" t="s">
        <v>962</v>
      </c>
      <c r="D6794" t="s">
        <v>999</v>
      </c>
      <c r="E6794" t="s">
        <v>294</v>
      </c>
      <c r="F6794" t="s">
        <v>952</v>
      </c>
      <c r="G6794">
        <v>1800000</v>
      </c>
      <c r="H6794">
        <v>143000</v>
      </c>
      <c r="I6794" t="s">
        <v>979</v>
      </c>
    </row>
    <row r="6795" spans="1:9" x14ac:dyDescent="0.25">
      <c r="A6795">
        <v>3130</v>
      </c>
      <c r="B6795">
        <v>18</v>
      </c>
      <c r="C6795" t="s">
        <v>962</v>
      </c>
      <c r="D6795" t="s">
        <v>999</v>
      </c>
      <c r="E6795" t="s">
        <v>294</v>
      </c>
      <c r="F6795" t="s">
        <v>953</v>
      </c>
      <c r="G6795">
        <v>1800000</v>
      </c>
      <c r="H6795">
        <v>143000</v>
      </c>
      <c r="I6795" t="s">
        <v>979</v>
      </c>
    </row>
    <row r="6796" spans="1:9" x14ac:dyDescent="0.25">
      <c r="A6796">
        <v>3130</v>
      </c>
      <c r="B6796">
        <v>18</v>
      </c>
      <c r="C6796" t="s">
        <v>962</v>
      </c>
      <c r="D6796" t="s">
        <v>999</v>
      </c>
      <c r="E6796" t="s">
        <v>294</v>
      </c>
      <c r="F6796" t="s">
        <v>954</v>
      </c>
      <c r="G6796">
        <v>1800000</v>
      </c>
      <c r="H6796">
        <v>143000</v>
      </c>
      <c r="I6796" t="s">
        <v>979</v>
      </c>
    </row>
    <row r="6797" spans="1:9" x14ac:dyDescent="0.25">
      <c r="A6797">
        <v>3130</v>
      </c>
      <c r="B6797">
        <v>18</v>
      </c>
      <c r="C6797" t="s">
        <v>962</v>
      </c>
      <c r="D6797" t="s">
        <v>999</v>
      </c>
      <c r="E6797" t="s">
        <v>294</v>
      </c>
      <c r="F6797" t="s">
        <v>955</v>
      </c>
      <c r="G6797">
        <v>1800000</v>
      </c>
      <c r="H6797">
        <v>143000</v>
      </c>
      <c r="I6797" t="s">
        <v>979</v>
      </c>
    </row>
    <row r="6798" spans="1:9" x14ac:dyDescent="0.25">
      <c r="A6798">
        <v>3130</v>
      </c>
      <c r="B6798">
        <v>18</v>
      </c>
      <c r="C6798" t="s">
        <v>962</v>
      </c>
      <c r="D6798" t="s">
        <v>999</v>
      </c>
      <c r="E6798" t="s">
        <v>294</v>
      </c>
      <c r="F6798" t="s">
        <v>956</v>
      </c>
      <c r="G6798">
        <v>1800000</v>
      </c>
      <c r="H6798">
        <v>143000</v>
      </c>
      <c r="I6798" t="s">
        <v>979</v>
      </c>
    </row>
    <row r="6799" spans="1:9" x14ac:dyDescent="0.25">
      <c r="A6799">
        <v>3130</v>
      </c>
      <c r="B6799">
        <v>18</v>
      </c>
      <c r="C6799" t="s">
        <v>962</v>
      </c>
      <c r="D6799" t="s">
        <v>999</v>
      </c>
      <c r="E6799" t="s">
        <v>294</v>
      </c>
      <c r="F6799" t="s">
        <v>957</v>
      </c>
      <c r="G6799">
        <v>1800000</v>
      </c>
      <c r="H6799">
        <v>143000</v>
      </c>
      <c r="I6799" t="s">
        <v>979</v>
      </c>
    </row>
    <row r="6800" spans="1:9" x14ac:dyDescent="0.25">
      <c r="A6800">
        <v>3130</v>
      </c>
      <c r="B6800">
        <v>18</v>
      </c>
      <c r="C6800" t="s">
        <v>962</v>
      </c>
      <c r="D6800" t="s">
        <v>999</v>
      </c>
      <c r="E6800" t="s">
        <v>294</v>
      </c>
      <c r="F6800" t="s">
        <v>958</v>
      </c>
      <c r="G6800">
        <v>1800000</v>
      </c>
      <c r="H6800">
        <v>143000</v>
      </c>
      <c r="I6800" t="s">
        <v>979</v>
      </c>
    </row>
    <row r="6801" spans="1:9" x14ac:dyDescent="0.25">
      <c r="A6801">
        <v>3130</v>
      </c>
      <c r="B6801">
        <v>18</v>
      </c>
      <c r="C6801" t="s">
        <v>962</v>
      </c>
      <c r="D6801" t="s">
        <v>999</v>
      </c>
      <c r="E6801" t="s">
        <v>294</v>
      </c>
      <c r="F6801" t="s">
        <v>959</v>
      </c>
      <c r="G6801">
        <v>1800000</v>
      </c>
      <c r="H6801">
        <v>143000</v>
      </c>
      <c r="I6801" t="s">
        <v>979</v>
      </c>
    </row>
    <row r="6802" spans="1:9" x14ac:dyDescent="0.25">
      <c r="A6802">
        <v>3130</v>
      </c>
      <c r="B6802">
        <v>18</v>
      </c>
      <c r="C6802" t="s">
        <v>962</v>
      </c>
      <c r="D6802" t="s">
        <v>999</v>
      </c>
      <c r="E6802" t="s">
        <v>294</v>
      </c>
      <c r="F6802" t="s">
        <v>960</v>
      </c>
      <c r="G6802">
        <v>1800000</v>
      </c>
      <c r="H6802">
        <v>143000</v>
      </c>
      <c r="I6802" t="s">
        <v>979</v>
      </c>
    </row>
    <row r="6803" spans="1:9" x14ac:dyDescent="0.25">
      <c r="A6803">
        <v>3130</v>
      </c>
      <c r="B6803">
        <v>18</v>
      </c>
      <c r="C6803" t="s">
        <v>962</v>
      </c>
      <c r="D6803" t="s">
        <v>999</v>
      </c>
      <c r="E6803" t="s">
        <v>294</v>
      </c>
      <c r="F6803" t="s">
        <v>961</v>
      </c>
      <c r="G6803">
        <v>1800000</v>
      </c>
      <c r="H6803">
        <v>143000</v>
      </c>
      <c r="I6803" t="s">
        <v>979</v>
      </c>
    </row>
    <row r="6804" spans="1:9" x14ac:dyDescent="0.25">
      <c r="A6804">
        <v>3130</v>
      </c>
      <c r="B6804">
        <v>18</v>
      </c>
      <c r="C6804" t="s">
        <v>963</v>
      </c>
      <c r="D6804" t="s">
        <v>999</v>
      </c>
      <c r="E6804" t="s">
        <v>294</v>
      </c>
      <c r="F6804" t="s">
        <v>951</v>
      </c>
      <c r="G6804">
        <v>1800000</v>
      </c>
      <c r="H6804">
        <v>143000</v>
      </c>
      <c r="I6804" t="s">
        <v>979</v>
      </c>
    </row>
    <row r="6805" spans="1:9" x14ac:dyDescent="0.25">
      <c r="A6805">
        <v>3130</v>
      </c>
      <c r="B6805">
        <v>18</v>
      </c>
      <c r="C6805" t="s">
        <v>963</v>
      </c>
      <c r="D6805" t="s">
        <v>999</v>
      </c>
      <c r="E6805" t="s">
        <v>294</v>
      </c>
      <c r="F6805" t="s">
        <v>952</v>
      </c>
      <c r="G6805">
        <v>1800000</v>
      </c>
      <c r="H6805">
        <v>143000</v>
      </c>
      <c r="I6805" t="s">
        <v>979</v>
      </c>
    </row>
    <row r="6806" spans="1:9" x14ac:dyDescent="0.25">
      <c r="A6806">
        <v>3130</v>
      </c>
      <c r="B6806">
        <v>18</v>
      </c>
      <c r="C6806" t="s">
        <v>963</v>
      </c>
      <c r="D6806" t="s">
        <v>999</v>
      </c>
      <c r="E6806" t="s">
        <v>294</v>
      </c>
      <c r="F6806" t="s">
        <v>953</v>
      </c>
      <c r="G6806">
        <v>1800000</v>
      </c>
      <c r="H6806">
        <v>143000</v>
      </c>
      <c r="I6806" t="s">
        <v>979</v>
      </c>
    </row>
    <row r="6807" spans="1:9" x14ac:dyDescent="0.25">
      <c r="A6807">
        <v>3130</v>
      </c>
      <c r="B6807">
        <v>18</v>
      </c>
      <c r="C6807" t="s">
        <v>963</v>
      </c>
      <c r="D6807" t="s">
        <v>999</v>
      </c>
      <c r="E6807" t="s">
        <v>294</v>
      </c>
      <c r="F6807" t="s">
        <v>954</v>
      </c>
      <c r="G6807">
        <v>1800000</v>
      </c>
      <c r="H6807">
        <v>143000</v>
      </c>
      <c r="I6807" t="s">
        <v>979</v>
      </c>
    </row>
    <row r="6808" spans="1:9" x14ac:dyDescent="0.25">
      <c r="A6808">
        <v>3130</v>
      </c>
      <c r="B6808">
        <v>18</v>
      </c>
      <c r="C6808" t="s">
        <v>963</v>
      </c>
      <c r="D6808" t="s">
        <v>999</v>
      </c>
      <c r="E6808" t="s">
        <v>294</v>
      </c>
      <c r="F6808" t="s">
        <v>955</v>
      </c>
      <c r="G6808">
        <v>1800000</v>
      </c>
      <c r="H6808">
        <v>143000</v>
      </c>
      <c r="I6808" t="s">
        <v>979</v>
      </c>
    </row>
    <row r="6809" spans="1:9" x14ac:dyDescent="0.25">
      <c r="A6809">
        <v>3130</v>
      </c>
      <c r="B6809">
        <v>18</v>
      </c>
      <c r="C6809" t="s">
        <v>963</v>
      </c>
      <c r="D6809" t="s">
        <v>999</v>
      </c>
      <c r="E6809" t="s">
        <v>294</v>
      </c>
      <c r="F6809" t="s">
        <v>956</v>
      </c>
      <c r="G6809">
        <v>1800000</v>
      </c>
      <c r="H6809">
        <v>143000</v>
      </c>
      <c r="I6809" t="s">
        <v>979</v>
      </c>
    </row>
    <row r="6810" spans="1:9" x14ac:dyDescent="0.25">
      <c r="A6810">
        <v>3130</v>
      </c>
      <c r="B6810">
        <v>18</v>
      </c>
      <c r="C6810" t="s">
        <v>963</v>
      </c>
      <c r="D6810" t="s">
        <v>999</v>
      </c>
      <c r="E6810" t="s">
        <v>294</v>
      </c>
      <c r="F6810" t="s">
        <v>957</v>
      </c>
      <c r="G6810">
        <v>1800000</v>
      </c>
      <c r="H6810">
        <v>143000</v>
      </c>
      <c r="I6810" t="s">
        <v>979</v>
      </c>
    </row>
    <row r="6811" spans="1:9" x14ac:dyDescent="0.25">
      <c r="A6811">
        <v>3130</v>
      </c>
      <c r="B6811">
        <v>18</v>
      </c>
      <c r="C6811" t="s">
        <v>963</v>
      </c>
      <c r="D6811" t="s">
        <v>999</v>
      </c>
      <c r="E6811" t="s">
        <v>294</v>
      </c>
      <c r="F6811" t="s">
        <v>958</v>
      </c>
      <c r="G6811">
        <v>1800000</v>
      </c>
      <c r="H6811">
        <v>143000</v>
      </c>
      <c r="I6811" t="s">
        <v>979</v>
      </c>
    </row>
    <row r="6812" spans="1:9" x14ac:dyDescent="0.25">
      <c r="A6812">
        <v>3130</v>
      </c>
      <c r="B6812">
        <v>18</v>
      </c>
      <c r="C6812" t="s">
        <v>963</v>
      </c>
      <c r="D6812" t="s">
        <v>999</v>
      </c>
      <c r="E6812" t="s">
        <v>294</v>
      </c>
      <c r="F6812" t="s">
        <v>959</v>
      </c>
      <c r="G6812">
        <v>1800000</v>
      </c>
      <c r="H6812">
        <v>143000</v>
      </c>
      <c r="I6812" t="s">
        <v>979</v>
      </c>
    </row>
    <row r="6813" spans="1:9" x14ac:dyDescent="0.25">
      <c r="A6813">
        <v>3130</v>
      </c>
      <c r="B6813">
        <v>18</v>
      </c>
      <c r="C6813" t="s">
        <v>963</v>
      </c>
      <c r="D6813" t="s">
        <v>999</v>
      </c>
      <c r="E6813" t="s">
        <v>294</v>
      </c>
      <c r="F6813" t="s">
        <v>960</v>
      </c>
      <c r="G6813">
        <v>1800000</v>
      </c>
      <c r="H6813">
        <v>143000</v>
      </c>
      <c r="I6813" t="s">
        <v>979</v>
      </c>
    </row>
    <row r="6814" spans="1:9" x14ac:dyDescent="0.25">
      <c r="A6814">
        <v>3130</v>
      </c>
      <c r="B6814">
        <v>18</v>
      </c>
      <c r="C6814" t="s">
        <v>963</v>
      </c>
      <c r="D6814" t="s">
        <v>999</v>
      </c>
      <c r="E6814" t="s">
        <v>294</v>
      </c>
      <c r="F6814" t="s">
        <v>961</v>
      </c>
      <c r="G6814">
        <v>1800000</v>
      </c>
      <c r="H6814">
        <v>143000</v>
      </c>
      <c r="I6814" t="s">
        <v>979</v>
      </c>
    </row>
    <row r="6815" spans="1:9" x14ac:dyDescent="0.25">
      <c r="A6815">
        <v>3130</v>
      </c>
      <c r="B6815">
        <v>18</v>
      </c>
      <c r="C6815" t="s">
        <v>950</v>
      </c>
      <c r="D6815" t="s">
        <v>999</v>
      </c>
      <c r="E6815" t="s">
        <v>980</v>
      </c>
      <c r="F6815" t="s">
        <v>951</v>
      </c>
      <c r="G6815">
        <v>1800000</v>
      </c>
      <c r="H6815">
        <v>141000</v>
      </c>
      <c r="I6815" t="s">
        <v>981</v>
      </c>
    </row>
    <row r="6816" spans="1:9" x14ac:dyDescent="0.25">
      <c r="A6816">
        <v>3130</v>
      </c>
      <c r="B6816">
        <v>18</v>
      </c>
      <c r="C6816" t="s">
        <v>950</v>
      </c>
      <c r="D6816" t="s">
        <v>999</v>
      </c>
      <c r="E6816" t="s">
        <v>980</v>
      </c>
      <c r="F6816" t="s">
        <v>952</v>
      </c>
      <c r="G6816">
        <v>1800000</v>
      </c>
      <c r="H6816">
        <v>141000</v>
      </c>
      <c r="I6816" t="s">
        <v>981</v>
      </c>
    </row>
    <row r="6817" spans="1:9" x14ac:dyDescent="0.25">
      <c r="A6817">
        <v>3130</v>
      </c>
      <c r="B6817">
        <v>18</v>
      </c>
      <c r="C6817" t="s">
        <v>950</v>
      </c>
      <c r="D6817" t="s">
        <v>999</v>
      </c>
      <c r="E6817" t="s">
        <v>980</v>
      </c>
      <c r="F6817" t="s">
        <v>953</v>
      </c>
      <c r="G6817">
        <v>1800000</v>
      </c>
      <c r="H6817">
        <v>141000</v>
      </c>
      <c r="I6817" t="s">
        <v>981</v>
      </c>
    </row>
    <row r="6818" spans="1:9" x14ac:dyDescent="0.25">
      <c r="A6818">
        <v>3130</v>
      </c>
      <c r="B6818">
        <v>18</v>
      </c>
      <c r="C6818" t="s">
        <v>950</v>
      </c>
      <c r="D6818" t="s">
        <v>999</v>
      </c>
      <c r="E6818" t="s">
        <v>980</v>
      </c>
      <c r="F6818" t="s">
        <v>954</v>
      </c>
      <c r="G6818">
        <v>1800000</v>
      </c>
      <c r="H6818">
        <v>141000</v>
      </c>
      <c r="I6818" t="s">
        <v>981</v>
      </c>
    </row>
    <row r="6819" spans="1:9" x14ac:dyDescent="0.25">
      <c r="A6819">
        <v>3130</v>
      </c>
      <c r="B6819">
        <v>18</v>
      </c>
      <c r="C6819" t="s">
        <v>950</v>
      </c>
      <c r="D6819" t="s">
        <v>999</v>
      </c>
      <c r="E6819" t="s">
        <v>980</v>
      </c>
      <c r="F6819" t="s">
        <v>955</v>
      </c>
      <c r="G6819">
        <v>1800000</v>
      </c>
      <c r="H6819">
        <v>141000</v>
      </c>
      <c r="I6819" t="s">
        <v>981</v>
      </c>
    </row>
    <row r="6820" spans="1:9" x14ac:dyDescent="0.25">
      <c r="A6820">
        <v>3130</v>
      </c>
      <c r="B6820">
        <v>18</v>
      </c>
      <c r="C6820" t="s">
        <v>950</v>
      </c>
      <c r="D6820" t="s">
        <v>999</v>
      </c>
      <c r="E6820" t="s">
        <v>980</v>
      </c>
      <c r="F6820" t="s">
        <v>956</v>
      </c>
      <c r="G6820">
        <v>1800000</v>
      </c>
      <c r="H6820">
        <v>141000</v>
      </c>
      <c r="I6820" t="s">
        <v>981</v>
      </c>
    </row>
    <row r="6821" spans="1:9" x14ac:dyDescent="0.25">
      <c r="A6821">
        <v>3130</v>
      </c>
      <c r="B6821">
        <v>18</v>
      </c>
      <c r="C6821" t="s">
        <v>950</v>
      </c>
      <c r="D6821" t="s">
        <v>999</v>
      </c>
      <c r="E6821" t="s">
        <v>980</v>
      </c>
      <c r="F6821" t="s">
        <v>957</v>
      </c>
      <c r="G6821">
        <v>1800000</v>
      </c>
      <c r="H6821">
        <v>141000</v>
      </c>
      <c r="I6821" t="s">
        <v>981</v>
      </c>
    </row>
    <row r="6822" spans="1:9" x14ac:dyDescent="0.25">
      <c r="A6822">
        <v>3130</v>
      </c>
      <c r="B6822">
        <v>18</v>
      </c>
      <c r="C6822" t="s">
        <v>950</v>
      </c>
      <c r="D6822" t="s">
        <v>999</v>
      </c>
      <c r="E6822" t="s">
        <v>980</v>
      </c>
      <c r="F6822" t="s">
        <v>958</v>
      </c>
      <c r="G6822">
        <v>1800000</v>
      </c>
      <c r="H6822">
        <v>141000</v>
      </c>
      <c r="I6822" t="s">
        <v>981</v>
      </c>
    </row>
    <row r="6823" spans="1:9" x14ac:dyDescent="0.25">
      <c r="A6823">
        <v>3130</v>
      </c>
      <c r="B6823">
        <v>18</v>
      </c>
      <c r="C6823" t="s">
        <v>950</v>
      </c>
      <c r="D6823" t="s">
        <v>999</v>
      </c>
      <c r="E6823" t="s">
        <v>980</v>
      </c>
      <c r="F6823" t="s">
        <v>959</v>
      </c>
      <c r="G6823">
        <v>1800000</v>
      </c>
      <c r="H6823">
        <v>141000</v>
      </c>
      <c r="I6823" t="s">
        <v>981</v>
      </c>
    </row>
    <row r="6824" spans="1:9" x14ac:dyDescent="0.25">
      <c r="A6824">
        <v>3130</v>
      </c>
      <c r="B6824">
        <v>18</v>
      </c>
      <c r="C6824" t="s">
        <v>950</v>
      </c>
      <c r="D6824" t="s">
        <v>999</v>
      </c>
      <c r="E6824" t="s">
        <v>980</v>
      </c>
      <c r="F6824" t="s">
        <v>960</v>
      </c>
      <c r="G6824">
        <v>1800000</v>
      </c>
      <c r="H6824">
        <v>141000</v>
      </c>
      <c r="I6824" t="s">
        <v>981</v>
      </c>
    </row>
    <row r="6825" spans="1:9" x14ac:dyDescent="0.25">
      <c r="A6825">
        <v>3130</v>
      </c>
      <c r="B6825">
        <v>18</v>
      </c>
      <c r="C6825" t="s">
        <v>950</v>
      </c>
      <c r="D6825" t="s">
        <v>999</v>
      </c>
      <c r="E6825" t="s">
        <v>980</v>
      </c>
      <c r="F6825" t="s">
        <v>961</v>
      </c>
      <c r="G6825">
        <v>1800000</v>
      </c>
      <c r="H6825">
        <v>141000</v>
      </c>
      <c r="I6825" t="s">
        <v>981</v>
      </c>
    </row>
    <row r="6826" spans="1:9" x14ac:dyDescent="0.25">
      <c r="A6826">
        <v>3130</v>
      </c>
      <c r="B6826">
        <v>18</v>
      </c>
      <c r="C6826" t="s">
        <v>962</v>
      </c>
      <c r="D6826" t="s">
        <v>999</v>
      </c>
      <c r="E6826" t="s">
        <v>980</v>
      </c>
      <c r="F6826" t="s">
        <v>951</v>
      </c>
      <c r="G6826">
        <v>1800000</v>
      </c>
      <c r="H6826">
        <v>141000</v>
      </c>
      <c r="I6826" t="s">
        <v>981</v>
      </c>
    </row>
    <row r="6827" spans="1:9" x14ac:dyDescent="0.25">
      <c r="A6827">
        <v>3130</v>
      </c>
      <c r="B6827">
        <v>18</v>
      </c>
      <c r="C6827" t="s">
        <v>962</v>
      </c>
      <c r="D6827" t="s">
        <v>999</v>
      </c>
      <c r="E6827" t="s">
        <v>980</v>
      </c>
      <c r="F6827" t="s">
        <v>952</v>
      </c>
      <c r="G6827">
        <v>1800000</v>
      </c>
      <c r="H6827">
        <v>141000</v>
      </c>
      <c r="I6827" t="s">
        <v>981</v>
      </c>
    </row>
    <row r="6828" spans="1:9" x14ac:dyDescent="0.25">
      <c r="A6828">
        <v>3130</v>
      </c>
      <c r="B6828">
        <v>18</v>
      </c>
      <c r="C6828" t="s">
        <v>962</v>
      </c>
      <c r="D6828" t="s">
        <v>999</v>
      </c>
      <c r="E6828" t="s">
        <v>980</v>
      </c>
      <c r="F6828" t="s">
        <v>953</v>
      </c>
      <c r="G6828">
        <v>1800000</v>
      </c>
      <c r="H6828">
        <v>141000</v>
      </c>
      <c r="I6828" t="s">
        <v>981</v>
      </c>
    </row>
    <row r="6829" spans="1:9" x14ac:dyDescent="0.25">
      <c r="A6829">
        <v>3130</v>
      </c>
      <c r="B6829">
        <v>18</v>
      </c>
      <c r="C6829" t="s">
        <v>962</v>
      </c>
      <c r="D6829" t="s">
        <v>999</v>
      </c>
      <c r="E6829" t="s">
        <v>980</v>
      </c>
      <c r="F6829" t="s">
        <v>954</v>
      </c>
      <c r="G6829">
        <v>1800000</v>
      </c>
      <c r="H6829">
        <v>141000</v>
      </c>
      <c r="I6829" t="s">
        <v>981</v>
      </c>
    </row>
    <row r="6830" spans="1:9" x14ac:dyDescent="0.25">
      <c r="A6830">
        <v>3130</v>
      </c>
      <c r="B6830">
        <v>18</v>
      </c>
      <c r="C6830" t="s">
        <v>962</v>
      </c>
      <c r="D6830" t="s">
        <v>999</v>
      </c>
      <c r="E6830" t="s">
        <v>980</v>
      </c>
      <c r="F6830" t="s">
        <v>955</v>
      </c>
      <c r="G6830">
        <v>1800000</v>
      </c>
      <c r="H6830">
        <v>141000</v>
      </c>
      <c r="I6830" t="s">
        <v>981</v>
      </c>
    </row>
    <row r="6831" spans="1:9" x14ac:dyDescent="0.25">
      <c r="A6831">
        <v>3130</v>
      </c>
      <c r="B6831">
        <v>18</v>
      </c>
      <c r="C6831" t="s">
        <v>962</v>
      </c>
      <c r="D6831" t="s">
        <v>999</v>
      </c>
      <c r="E6831" t="s">
        <v>980</v>
      </c>
      <c r="F6831" t="s">
        <v>956</v>
      </c>
      <c r="G6831">
        <v>1800000</v>
      </c>
      <c r="H6831">
        <v>141000</v>
      </c>
      <c r="I6831" t="s">
        <v>981</v>
      </c>
    </row>
    <row r="6832" spans="1:9" x14ac:dyDescent="0.25">
      <c r="A6832">
        <v>3130</v>
      </c>
      <c r="B6832">
        <v>18</v>
      </c>
      <c r="C6832" t="s">
        <v>962</v>
      </c>
      <c r="D6832" t="s">
        <v>999</v>
      </c>
      <c r="E6832" t="s">
        <v>980</v>
      </c>
      <c r="F6832" t="s">
        <v>957</v>
      </c>
      <c r="G6832">
        <v>1800000</v>
      </c>
      <c r="H6832">
        <v>141000</v>
      </c>
      <c r="I6832" t="s">
        <v>981</v>
      </c>
    </row>
    <row r="6833" spans="1:9" x14ac:dyDescent="0.25">
      <c r="A6833">
        <v>3130</v>
      </c>
      <c r="B6833">
        <v>18</v>
      </c>
      <c r="C6833" t="s">
        <v>962</v>
      </c>
      <c r="D6833" t="s">
        <v>999</v>
      </c>
      <c r="E6833" t="s">
        <v>980</v>
      </c>
      <c r="F6833" t="s">
        <v>958</v>
      </c>
      <c r="G6833">
        <v>1800000</v>
      </c>
      <c r="H6833">
        <v>141000</v>
      </c>
      <c r="I6833" t="s">
        <v>981</v>
      </c>
    </row>
    <row r="6834" spans="1:9" x14ac:dyDescent="0.25">
      <c r="A6834">
        <v>3130</v>
      </c>
      <c r="B6834">
        <v>18</v>
      </c>
      <c r="C6834" t="s">
        <v>962</v>
      </c>
      <c r="D6834" t="s">
        <v>999</v>
      </c>
      <c r="E6834" t="s">
        <v>980</v>
      </c>
      <c r="F6834" t="s">
        <v>959</v>
      </c>
      <c r="G6834">
        <v>1800000</v>
      </c>
      <c r="H6834">
        <v>141000</v>
      </c>
      <c r="I6834" t="s">
        <v>981</v>
      </c>
    </row>
    <row r="6835" spans="1:9" x14ac:dyDescent="0.25">
      <c r="A6835">
        <v>3130</v>
      </c>
      <c r="B6835">
        <v>18</v>
      </c>
      <c r="C6835" t="s">
        <v>962</v>
      </c>
      <c r="D6835" t="s">
        <v>999</v>
      </c>
      <c r="E6835" t="s">
        <v>980</v>
      </c>
      <c r="F6835" t="s">
        <v>960</v>
      </c>
      <c r="G6835">
        <v>1800000</v>
      </c>
      <c r="H6835">
        <v>141000</v>
      </c>
      <c r="I6835" t="s">
        <v>981</v>
      </c>
    </row>
    <row r="6836" spans="1:9" x14ac:dyDescent="0.25">
      <c r="A6836">
        <v>3130</v>
      </c>
      <c r="B6836">
        <v>18</v>
      </c>
      <c r="C6836" t="s">
        <v>962</v>
      </c>
      <c r="D6836" t="s">
        <v>999</v>
      </c>
      <c r="E6836" t="s">
        <v>980</v>
      </c>
      <c r="F6836" t="s">
        <v>961</v>
      </c>
      <c r="G6836">
        <v>1800000</v>
      </c>
      <c r="H6836">
        <v>141000</v>
      </c>
      <c r="I6836" t="s">
        <v>981</v>
      </c>
    </row>
    <row r="6837" spans="1:9" x14ac:dyDescent="0.25">
      <c r="A6837">
        <v>3130</v>
      </c>
      <c r="B6837">
        <v>18</v>
      </c>
      <c r="C6837" t="s">
        <v>963</v>
      </c>
      <c r="D6837" t="s">
        <v>999</v>
      </c>
      <c r="E6837" t="s">
        <v>980</v>
      </c>
      <c r="F6837" t="s">
        <v>951</v>
      </c>
      <c r="G6837">
        <v>1800000</v>
      </c>
      <c r="H6837">
        <v>141000</v>
      </c>
      <c r="I6837" t="s">
        <v>981</v>
      </c>
    </row>
    <row r="6838" spans="1:9" x14ac:dyDescent="0.25">
      <c r="A6838">
        <v>3130</v>
      </c>
      <c r="B6838">
        <v>18</v>
      </c>
      <c r="C6838" t="s">
        <v>963</v>
      </c>
      <c r="D6838" t="s">
        <v>999</v>
      </c>
      <c r="E6838" t="s">
        <v>980</v>
      </c>
      <c r="F6838" t="s">
        <v>952</v>
      </c>
      <c r="G6838">
        <v>1800000</v>
      </c>
      <c r="H6838">
        <v>141000</v>
      </c>
      <c r="I6838" t="s">
        <v>981</v>
      </c>
    </row>
    <row r="6839" spans="1:9" x14ac:dyDescent="0.25">
      <c r="A6839">
        <v>3130</v>
      </c>
      <c r="B6839">
        <v>18</v>
      </c>
      <c r="C6839" t="s">
        <v>963</v>
      </c>
      <c r="D6839" t="s">
        <v>999</v>
      </c>
      <c r="E6839" t="s">
        <v>980</v>
      </c>
      <c r="F6839" t="s">
        <v>953</v>
      </c>
      <c r="G6839">
        <v>1800000</v>
      </c>
      <c r="H6839">
        <v>141000</v>
      </c>
      <c r="I6839" t="s">
        <v>981</v>
      </c>
    </row>
    <row r="6840" spans="1:9" x14ac:dyDescent="0.25">
      <c r="A6840">
        <v>3130</v>
      </c>
      <c r="B6840">
        <v>18</v>
      </c>
      <c r="C6840" t="s">
        <v>963</v>
      </c>
      <c r="D6840" t="s">
        <v>999</v>
      </c>
      <c r="E6840" t="s">
        <v>980</v>
      </c>
      <c r="F6840" t="s">
        <v>954</v>
      </c>
      <c r="G6840">
        <v>1800000</v>
      </c>
      <c r="H6840">
        <v>141000</v>
      </c>
      <c r="I6840" t="s">
        <v>981</v>
      </c>
    </row>
    <row r="6841" spans="1:9" x14ac:dyDescent="0.25">
      <c r="A6841">
        <v>3130</v>
      </c>
      <c r="B6841">
        <v>18</v>
      </c>
      <c r="C6841" t="s">
        <v>963</v>
      </c>
      <c r="D6841" t="s">
        <v>999</v>
      </c>
      <c r="E6841" t="s">
        <v>980</v>
      </c>
      <c r="F6841" t="s">
        <v>955</v>
      </c>
      <c r="G6841">
        <v>1800000</v>
      </c>
      <c r="H6841">
        <v>141000</v>
      </c>
      <c r="I6841" t="s">
        <v>981</v>
      </c>
    </row>
    <row r="6842" spans="1:9" x14ac:dyDescent="0.25">
      <c r="A6842">
        <v>3130</v>
      </c>
      <c r="B6842">
        <v>18</v>
      </c>
      <c r="C6842" t="s">
        <v>963</v>
      </c>
      <c r="D6842" t="s">
        <v>999</v>
      </c>
      <c r="E6842" t="s">
        <v>980</v>
      </c>
      <c r="F6842" t="s">
        <v>956</v>
      </c>
      <c r="G6842">
        <v>1800000</v>
      </c>
      <c r="H6842">
        <v>141000</v>
      </c>
      <c r="I6842" t="s">
        <v>981</v>
      </c>
    </row>
    <row r="6843" spans="1:9" x14ac:dyDescent="0.25">
      <c r="A6843">
        <v>3130</v>
      </c>
      <c r="B6843">
        <v>18</v>
      </c>
      <c r="C6843" t="s">
        <v>963</v>
      </c>
      <c r="D6843" t="s">
        <v>999</v>
      </c>
      <c r="E6843" t="s">
        <v>980</v>
      </c>
      <c r="F6843" t="s">
        <v>957</v>
      </c>
      <c r="G6843">
        <v>1800000</v>
      </c>
      <c r="H6843">
        <v>141000</v>
      </c>
      <c r="I6843" t="s">
        <v>981</v>
      </c>
    </row>
    <row r="6844" spans="1:9" x14ac:dyDescent="0.25">
      <c r="A6844">
        <v>3130</v>
      </c>
      <c r="B6844">
        <v>18</v>
      </c>
      <c r="C6844" t="s">
        <v>963</v>
      </c>
      <c r="D6844" t="s">
        <v>999</v>
      </c>
      <c r="E6844" t="s">
        <v>980</v>
      </c>
      <c r="F6844" t="s">
        <v>958</v>
      </c>
      <c r="G6844">
        <v>1800000</v>
      </c>
      <c r="H6844">
        <v>141000</v>
      </c>
      <c r="I6844" t="s">
        <v>981</v>
      </c>
    </row>
    <row r="6845" spans="1:9" x14ac:dyDescent="0.25">
      <c r="A6845">
        <v>3130</v>
      </c>
      <c r="B6845">
        <v>18</v>
      </c>
      <c r="C6845" t="s">
        <v>963</v>
      </c>
      <c r="D6845" t="s">
        <v>999</v>
      </c>
      <c r="E6845" t="s">
        <v>980</v>
      </c>
      <c r="F6845" t="s">
        <v>959</v>
      </c>
      <c r="G6845">
        <v>1800000</v>
      </c>
      <c r="H6845">
        <v>141000</v>
      </c>
      <c r="I6845" t="s">
        <v>981</v>
      </c>
    </row>
    <row r="6846" spans="1:9" x14ac:dyDescent="0.25">
      <c r="A6846">
        <v>3130</v>
      </c>
      <c r="B6846">
        <v>18</v>
      </c>
      <c r="C6846" t="s">
        <v>963</v>
      </c>
      <c r="D6846" t="s">
        <v>999</v>
      </c>
      <c r="E6846" t="s">
        <v>980</v>
      </c>
      <c r="F6846" t="s">
        <v>960</v>
      </c>
      <c r="G6846">
        <v>1800000</v>
      </c>
      <c r="H6846">
        <v>141000</v>
      </c>
      <c r="I6846" t="s">
        <v>981</v>
      </c>
    </row>
    <row r="6847" spans="1:9" x14ac:dyDescent="0.25">
      <c r="A6847">
        <v>3130</v>
      </c>
      <c r="B6847">
        <v>18</v>
      </c>
      <c r="C6847" t="s">
        <v>963</v>
      </c>
      <c r="D6847" t="s">
        <v>999</v>
      </c>
      <c r="E6847" t="s">
        <v>980</v>
      </c>
      <c r="F6847" t="s">
        <v>961</v>
      </c>
      <c r="G6847">
        <v>1800000</v>
      </c>
      <c r="H6847">
        <v>141000</v>
      </c>
      <c r="I6847" t="s">
        <v>981</v>
      </c>
    </row>
    <row r="6848" spans="1:9" x14ac:dyDescent="0.25">
      <c r="A6848">
        <v>3130</v>
      </c>
      <c r="B6848">
        <v>18</v>
      </c>
      <c r="C6848" t="s">
        <v>950</v>
      </c>
      <c r="D6848" t="s">
        <v>999</v>
      </c>
      <c r="E6848" t="s">
        <v>302</v>
      </c>
      <c r="F6848" t="s">
        <v>951</v>
      </c>
      <c r="G6848">
        <v>1800000</v>
      </c>
      <c r="H6848">
        <v>143000</v>
      </c>
      <c r="I6848" t="s">
        <v>982</v>
      </c>
    </row>
    <row r="6849" spans="1:9" x14ac:dyDescent="0.25">
      <c r="A6849">
        <v>3130</v>
      </c>
      <c r="B6849">
        <v>18</v>
      </c>
      <c r="C6849" t="s">
        <v>950</v>
      </c>
      <c r="D6849" t="s">
        <v>999</v>
      </c>
      <c r="E6849" t="s">
        <v>302</v>
      </c>
      <c r="F6849" t="s">
        <v>952</v>
      </c>
      <c r="G6849">
        <v>1800000</v>
      </c>
      <c r="H6849">
        <v>143000</v>
      </c>
      <c r="I6849" t="s">
        <v>982</v>
      </c>
    </row>
    <row r="6850" spans="1:9" x14ac:dyDescent="0.25">
      <c r="A6850">
        <v>3130</v>
      </c>
      <c r="B6850">
        <v>18</v>
      </c>
      <c r="C6850" t="s">
        <v>950</v>
      </c>
      <c r="D6850" t="s">
        <v>999</v>
      </c>
      <c r="E6850" t="s">
        <v>302</v>
      </c>
      <c r="F6850" t="s">
        <v>953</v>
      </c>
      <c r="G6850">
        <v>1800000</v>
      </c>
      <c r="H6850">
        <v>143000</v>
      </c>
      <c r="I6850" t="s">
        <v>982</v>
      </c>
    </row>
    <row r="6851" spans="1:9" x14ac:dyDescent="0.25">
      <c r="A6851">
        <v>3130</v>
      </c>
      <c r="B6851">
        <v>18</v>
      </c>
      <c r="C6851" t="s">
        <v>950</v>
      </c>
      <c r="D6851" t="s">
        <v>999</v>
      </c>
      <c r="E6851" t="s">
        <v>302</v>
      </c>
      <c r="F6851" t="s">
        <v>954</v>
      </c>
      <c r="G6851">
        <v>1800000</v>
      </c>
      <c r="H6851">
        <v>143000</v>
      </c>
      <c r="I6851" t="s">
        <v>982</v>
      </c>
    </row>
    <row r="6852" spans="1:9" x14ac:dyDescent="0.25">
      <c r="A6852">
        <v>3130</v>
      </c>
      <c r="B6852">
        <v>18</v>
      </c>
      <c r="C6852" t="s">
        <v>950</v>
      </c>
      <c r="D6852" t="s">
        <v>999</v>
      </c>
      <c r="E6852" t="s">
        <v>302</v>
      </c>
      <c r="F6852" t="s">
        <v>955</v>
      </c>
      <c r="G6852">
        <v>1800000</v>
      </c>
      <c r="H6852">
        <v>143000</v>
      </c>
      <c r="I6852" t="s">
        <v>982</v>
      </c>
    </row>
    <row r="6853" spans="1:9" x14ac:dyDescent="0.25">
      <c r="A6853">
        <v>3130</v>
      </c>
      <c r="B6853">
        <v>18</v>
      </c>
      <c r="C6853" t="s">
        <v>950</v>
      </c>
      <c r="D6853" t="s">
        <v>999</v>
      </c>
      <c r="E6853" t="s">
        <v>302</v>
      </c>
      <c r="F6853" t="s">
        <v>956</v>
      </c>
      <c r="G6853">
        <v>1800000</v>
      </c>
      <c r="H6853">
        <v>143000</v>
      </c>
      <c r="I6853" t="s">
        <v>982</v>
      </c>
    </row>
    <row r="6854" spans="1:9" x14ac:dyDescent="0.25">
      <c r="A6854">
        <v>3130</v>
      </c>
      <c r="B6854">
        <v>18</v>
      </c>
      <c r="C6854" t="s">
        <v>950</v>
      </c>
      <c r="D6854" t="s">
        <v>999</v>
      </c>
      <c r="E6854" t="s">
        <v>302</v>
      </c>
      <c r="F6854" t="s">
        <v>957</v>
      </c>
      <c r="G6854">
        <v>1800000</v>
      </c>
      <c r="H6854">
        <v>143000</v>
      </c>
      <c r="I6854" t="s">
        <v>982</v>
      </c>
    </row>
    <row r="6855" spans="1:9" x14ac:dyDescent="0.25">
      <c r="A6855">
        <v>3130</v>
      </c>
      <c r="B6855">
        <v>18</v>
      </c>
      <c r="C6855" t="s">
        <v>950</v>
      </c>
      <c r="D6855" t="s">
        <v>999</v>
      </c>
      <c r="E6855" t="s">
        <v>302</v>
      </c>
      <c r="F6855" t="s">
        <v>958</v>
      </c>
      <c r="G6855">
        <v>1800000</v>
      </c>
      <c r="H6855">
        <v>143000</v>
      </c>
      <c r="I6855" t="s">
        <v>982</v>
      </c>
    </row>
    <row r="6856" spans="1:9" x14ac:dyDescent="0.25">
      <c r="A6856">
        <v>3130</v>
      </c>
      <c r="B6856">
        <v>18</v>
      </c>
      <c r="C6856" t="s">
        <v>950</v>
      </c>
      <c r="D6856" t="s">
        <v>999</v>
      </c>
      <c r="E6856" t="s">
        <v>302</v>
      </c>
      <c r="F6856" t="s">
        <v>959</v>
      </c>
      <c r="G6856">
        <v>1800000</v>
      </c>
      <c r="H6856">
        <v>143000</v>
      </c>
      <c r="I6856" t="s">
        <v>982</v>
      </c>
    </row>
    <row r="6857" spans="1:9" x14ac:dyDescent="0.25">
      <c r="A6857">
        <v>3130</v>
      </c>
      <c r="B6857">
        <v>18</v>
      </c>
      <c r="C6857" t="s">
        <v>950</v>
      </c>
      <c r="D6857" t="s">
        <v>999</v>
      </c>
      <c r="E6857" t="s">
        <v>302</v>
      </c>
      <c r="F6857" t="s">
        <v>960</v>
      </c>
      <c r="G6857">
        <v>1800000</v>
      </c>
      <c r="H6857">
        <v>143000</v>
      </c>
      <c r="I6857" t="s">
        <v>982</v>
      </c>
    </row>
    <row r="6858" spans="1:9" x14ac:dyDescent="0.25">
      <c r="A6858">
        <v>3130</v>
      </c>
      <c r="B6858">
        <v>18</v>
      </c>
      <c r="C6858" t="s">
        <v>950</v>
      </c>
      <c r="D6858" t="s">
        <v>999</v>
      </c>
      <c r="E6858" t="s">
        <v>302</v>
      </c>
      <c r="F6858" t="s">
        <v>961</v>
      </c>
      <c r="G6858">
        <v>1800000</v>
      </c>
      <c r="H6858">
        <v>143000</v>
      </c>
      <c r="I6858" t="s">
        <v>982</v>
      </c>
    </row>
    <row r="6859" spans="1:9" x14ac:dyDescent="0.25">
      <c r="A6859">
        <v>3130</v>
      </c>
      <c r="B6859">
        <v>18</v>
      </c>
      <c r="C6859" t="s">
        <v>962</v>
      </c>
      <c r="D6859" t="s">
        <v>999</v>
      </c>
      <c r="E6859" t="s">
        <v>302</v>
      </c>
      <c r="F6859" t="s">
        <v>951</v>
      </c>
      <c r="G6859">
        <v>1800000</v>
      </c>
      <c r="H6859">
        <v>143000</v>
      </c>
      <c r="I6859" t="s">
        <v>982</v>
      </c>
    </row>
    <row r="6860" spans="1:9" x14ac:dyDescent="0.25">
      <c r="A6860">
        <v>3130</v>
      </c>
      <c r="B6860">
        <v>18</v>
      </c>
      <c r="C6860" t="s">
        <v>962</v>
      </c>
      <c r="D6860" t="s">
        <v>999</v>
      </c>
      <c r="E6860" t="s">
        <v>302</v>
      </c>
      <c r="F6860" t="s">
        <v>952</v>
      </c>
      <c r="G6860">
        <v>1800000</v>
      </c>
      <c r="H6860">
        <v>143000</v>
      </c>
      <c r="I6860" t="s">
        <v>982</v>
      </c>
    </row>
    <row r="6861" spans="1:9" x14ac:dyDescent="0.25">
      <c r="A6861">
        <v>3130</v>
      </c>
      <c r="B6861">
        <v>18</v>
      </c>
      <c r="C6861" t="s">
        <v>962</v>
      </c>
      <c r="D6861" t="s">
        <v>999</v>
      </c>
      <c r="E6861" t="s">
        <v>302</v>
      </c>
      <c r="F6861" t="s">
        <v>953</v>
      </c>
      <c r="G6861">
        <v>1800000</v>
      </c>
      <c r="H6861">
        <v>143000</v>
      </c>
      <c r="I6861" t="s">
        <v>982</v>
      </c>
    </row>
    <row r="6862" spans="1:9" x14ac:dyDescent="0.25">
      <c r="A6862">
        <v>3130</v>
      </c>
      <c r="B6862">
        <v>18</v>
      </c>
      <c r="C6862" t="s">
        <v>962</v>
      </c>
      <c r="D6862" t="s">
        <v>999</v>
      </c>
      <c r="E6862" t="s">
        <v>302</v>
      </c>
      <c r="F6862" t="s">
        <v>954</v>
      </c>
      <c r="G6862">
        <v>1800000</v>
      </c>
      <c r="H6862">
        <v>143000</v>
      </c>
      <c r="I6862" t="s">
        <v>982</v>
      </c>
    </row>
    <row r="6863" spans="1:9" x14ac:dyDescent="0.25">
      <c r="A6863">
        <v>3130</v>
      </c>
      <c r="B6863">
        <v>18</v>
      </c>
      <c r="C6863" t="s">
        <v>962</v>
      </c>
      <c r="D6863" t="s">
        <v>999</v>
      </c>
      <c r="E6863" t="s">
        <v>302</v>
      </c>
      <c r="F6863" t="s">
        <v>955</v>
      </c>
      <c r="G6863">
        <v>1800000</v>
      </c>
      <c r="H6863">
        <v>143000</v>
      </c>
      <c r="I6863" t="s">
        <v>982</v>
      </c>
    </row>
    <row r="6864" spans="1:9" x14ac:dyDescent="0.25">
      <c r="A6864">
        <v>3130</v>
      </c>
      <c r="B6864">
        <v>18</v>
      </c>
      <c r="C6864" t="s">
        <v>962</v>
      </c>
      <c r="D6864" t="s">
        <v>999</v>
      </c>
      <c r="E6864" t="s">
        <v>302</v>
      </c>
      <c r="F6864" t="s">
        <v>956</v>
      </c>
      <c r="G6864">
        <v>1800000</v>
      </c>
      <c r="H6864">
        <v>143000</v>
      </c>
      <c r="I6864" t="s">
        <v>982</v>
      </c>
    </row>
    <row r="6865" spans="1:9" x14ac:dyDescent="0.25">
      <c r="A6865">
        <v>3130</v>
      </c>
      <c r="B6865">
        <v>18</v>
      </c>
      <c r="C6865" t="s">
        <v>962</v>
      </c>
      <c r="D6865" t="s">
        <v>999</v>
      </c>
      <c r="E6865" t="s">
        <v>302</v>
      </c>
      <c r="F6865" t="s">
        <v>957</v>
      </c>
      <c r="G6865">
        <v>1800000</v>
      </c>
      <c r="H6865">
        <v>143000</v>
      </c>
      <c r="I6865" t="s">
        <v>982</v>
      </c>
    </row>
    <row r="6866" spans="1:9" x14ac:dyDescent="0.25">
      <c r="A6866">
        <v>3130</v>
      </c>
      <c r="B6866">
        <v>18</v>
      </c>
      <c r="C6866" t="s">
        <v>962</v>
      </c>
      <c r="D6866" t="s">
        <v>999</v>
      </c>
      <c r="E6866" t="s">
        <v>302</v>
      </c>
      <c r="F6866" t="s">
        <v>958</v>
      </c>
      <c r="G6866">
        <v>1800000</v>
      </c>
      <c r="H6866">
        <v>143000</v>
      </c>
      <c r="I6866" t="s">
        <v>982</v>
      </c>
    </row>
    <row r="6867" spans="1:9" x14ac:dyDescent="0.25">
      <c r="A6867">
        <v>3130</v>
      </c>
      <c r="B6867">
        <v>18</v>
      </c>
      <c r="C6867" t="s">
        <v>962</v>
      </c>
      <c r="D6867" t="s">
        <v>999</v>
      </c>
      <c r="E6867" t="s">
        <v>302</v>
      </c>
      <c r="F6867" t="s">
        <v>959</v>
      </c>
      <c r="G6867">
        <v>1800000</v>
      </c>
      <c r="H6867">
        <v>143000</v>
      </c>
      <c r="I6867" t="s">
        <v>982</v>
      </c>
    </row>
    <row r="6868" spans="1:9" x14ac:dyDescent="0.25">
      <c r="A6868">
        <v>3130</v>
      </c>
      <c r="B6868">
        <v>18</v>
      </c>
      <c r="C6868" t="s">
        <v>962</v>
      </c>
      <c r="D6868" t="s">
        <v>999</v>
      </c>
      <c r="E6868" t="s">
        <v>302</v>
      </c>
      <c r="F6868" t="s">
        <v>960</v>
      </c>
      <c r="G6868">
        <v>1800000</v>
      </c>
      <c r="H6868">
        <v>143000</v>
      </c>
      <c r="I6868" t="s">
        <v>982</v>
      </c>
    </row>
    <row r="6869" spans="1:9" x14ac:dyDescent="0.25">
      <c r="A6869">
        <v>3130</v>
      </c>
      <c r="B6869">
        <v>18</v>
      </c>
      <c r="C6869" t="s">
        <v>962</v>
      </c>
      <c r="D6869" t="s">
        <v>999</v>
      </c>
      <c r="E6869" t="s">
        <v>302</v>
      </c>
      <c r="F6869" t="s">
        <v>961</v>
      </c>
      <c r="G6869">
        <v>1800000</v>
      </c>
      <c r="H6869">
        <v>143000</v>
      </c>
      <c r="I6869" t="s">
        <v>982</v>
      </c>
    </row>
    <row r="6870" spans="1:9" x14ac:dyDescent="0.25">
      <c r="A6870">
        <v>3130</v>
      </c>
      <c r="B6870">
        <v>18</v>
      </c>
      <c r="C6870" t="s">
        <v>963</v>
      </c>
      <c r="D6870" t="s">
        <v>999</v>
      </c>
      <c r="E6870" t="s">
        <v>302</v>
      </c>
      <c r="F6870" t="s">
        <v>951</v>
      </c>
      <c r="G6870">
        <v>1800000</v>
      </c>
      <c r="H6870">
        <v>143000</v>
      </c>
      <c r="I6870" t="s">
        <v>982</v>
      </c>
    </row>
    <row r="6871" spans="1:9" x14ac:dyDescent="0.25">
      <c r="A6871">
        <v>3130</v>
      </c>
      <c r="B6871">
        <v>18</v>
      </c>
      <c r="C6871" t="s">
        <v>963</v>
      </c>
      <c r="D6871" t="s">
        <v>999</v>
      </c>
      <c r="E6871" t="s">
        <v>302</v>
      </c>
      <c r="F6871" t="s">
        <v>952</v>
      </c>
      <c r="G6871">
        <v>1800000</v>
      </c>
      <c r="H6871">
        <v>143000</v>
      </c>
      <c r="I6871" t="s">
        <v>982</v>
      </c>
    </row>
    <row r="6872" spans="1:9" x14ac:dyDescent="0.25">
      <c r="A6872">
        <v>3130</v>
      </c>
      <c r="B6872">
        <v>18</v>
      </c>
      <c r="C6872" t="s">
        <v>963</v>
      </c>
      <c r="D6872" t="s">
        <v>999</v>
      </c>
      <c r="E6872" t="s">
        <v>302</v>
      </c>
      <c r="F6872" t="s">
        <v>953</v>
      </c>
      <c r="G6872">
        <v>1800000</v>
      </c>
      <c r="H6872">
        <v>143000</v>
      </c>
      <c r="I6872" t="s">
        <v>982</v>
      </c>
    </row>
    <row r="6873" spans="1:9" x14ac:dyDescent="0.25">
      <c r="A6873">
        <v>3130</v>
      </c>
      <c r="B6873">
        <v>18</v>
      </c>
      <c r="C6873" t="s">
        <v>963</v>
      </c>
      <c r="D6873" t="s">
        <v>999</v>
      </c>
      <c r="E6873" t="s">
        <v>302</v>
      </c>
      <c r="F6873" t="s">
        <v>954</v>
      </c>
      <c r="G6873">
        <v>1800000</v>
      </c>
      <c r="H6873">
        <v>143000</v>
      </c>
      <c r="I6873" t="s">
        <v>982</v>
      </c>
    </row>
    <row r="6874" spans="1:9" x14ac:dyDescent="0.25">
      <c r="A6874">
        <v>3130</v>
      </c>
      <c r="B6874">
        <v>18</v>
      </c>
      <c r="C6874" t="s">
        <v>963</v>
      </c>
      <c r="D6874" t="s">
        <v>999</v>
      </c>
      <c r="E6874" t="s">
        <v>302</v>
      </c>
      <c r="F6874" t="s">
        <v>955</v>
      </c>
      <c r="G6874">
        <v>1800000</v>
      </c>
      <c r="H6874">
        <v>143000</v>
      </c>
      <c r="I6874" t="s">
        <v>982</v>
      </c>
    </row>
    <row r="6875" spans="1:9" x14ac:dyDescent="0.25">
      <c r="A6875">
        <v>3130</v>
      </c>
      <c r="B6875">
        <v>18</v>
      </c>
      <c r="C6875" t="s">
        <v>963</v>
      </c>
      <c r="D6875" t="s">
        <v>999</v>
      </c>
      <c r="E6875" t="s">
        <v>302</v>
      </c>
      <c r="F6875" t="s">
        <v>956</v>
      </c>
      <c r="G6875">
        <v>1800000</v>
      </c>
      <c r="H6875">
        <v>143000</v>
      </c>
      <c r="I6875" t="s">
        <v>982</v>
      </c>
    </row>
    <row r="6876" spans="1:9" x14ac:dyDescent="0.25">
      <c r="A6876">
        <v>3130</v>
      </c>
      <c r="B6876">
        <v>18</v>
      </c>
      <c r="C6876" t="s">
        <v>963</v>
      </c>
      <c r="D6876" t="s">
        <v>999</v>
      </c>
      <c r="E6876" t="s">
        <v>302</v>
      </c>
      <c r="F6876" t="s">
        <v>957</v>
      </c>
      <c r="G6876">
        <v>1800000</v>
      </c>
      <c r="H6876">
        <v>143000</v>
      </c>
      <c r="I6876" t="s">
        <v>982</v>
      </c>
    </row>
    <row r="6877" spans="1:9" x14ac:dyDescent="0.25">
      <c r="A6877">
        <v>3130</v>
      </c>
      <c r="B6877">
        <v>18</v>
      </c>
      <c r="C6877" t="s">
        <v>963</v>
      </c>
      <c r="D6877" t="s">
        <v>999</v>
      </c>
      <c r="E6877" t="s">
        <v>302</v>
      </c>
      <c r="F6877" t="s">
        <v>958</v>
      </c>
      <c r="G6877">
        <v>1800000</v>
      </c>
      <c r="H6877">
        <v>143000</v>
      </c>
      <c r="I6877" t="s">
        <v>982</v>
      </c>
    </row>
    <row r="6878" spans="1:9" x14ac:dyDescent="0.25">
      <c r="A6878">
        <v>3130</v>
      </c>
      <c r="B6878">
        <v>18</v>
      </c>
      <c r="C6878" t="s">
        <v>963</v>
      </c>
      <c r="D6878" t="s">
        <v>999</v>
      </c>
      <c r="E6878" t="s">
        <v>302</v>
      </c>
      <c r="F6878" t="s">
        <v>959</v>
      </c>
      <c r="G6878">
        <v>1800000</v>
      </c>
      <c r="H6878">
        <v>143000</v>
      </c>
      <c r="I6878" t="s">
        <v>982</v>
      </c>
    </row>
    <row r="6879" spans="1:9" x14ac:dyDescent="0.25">
      <c r="A6879">
        <v>3130</v>
      </c>
      <c r="B6879">
        <v>18</v>
      </c>
      <c r="C6879" t="s">
        <v>963</v>
      </c>
      <c r="D6879" t="s">
        <v>999</v>
      </c>
      <c r="E6879" t="s">
        <v>302</v>
      </c>
      <c r="F6879" t="s">
        <v>960</v>
      </c>
      <c r="G6879">
        <v>1800000</v>
      </c>
      <c r="H6879">
        <v>143000</v>
      </c>
      <c r="I6879" t="s">
        <v>982</v>
      </c>
    </row>
    <row r="6880" spans="1:9" x14ac:dyDescent="0.25">
      <c r="A6880">
        <v>3130</v>
      </c>
      <c r="B6880">
        <v>18</v>
      </c>
      <c r="C6880" t="s">
        <v>963</v>
      </c>
      <c r="D6880" t="s">
        <v>999</v>
      </c>
      <c r="E6880" t="s">
        <v>302</v>
      </c>
      <c r="F6880" t="s">
        <v>961</v>
      </c>
      <c r="G6880">
        <v>1800000</v>
      </c>
      <c r="H6880">
        <v>143000</v>
      </c>
      <c r="I6880" t="s">
        <v>982</v>
      </c>
    </row>
    <row r="6881" spans="1:9" x14ac:dyDescent="0.25">
      <c r="A6881">
        <v>3130</v>
      </c>
      <c r="B6881">
        <v>18</v>
      </c>
      <c r="C6881" t="s">
        <v>950</v>
      </c>
      <c r="D6881" t="s">
        <v>999</v>
      </c>
      <c r="E6881" t="s">
        <v>306</v>
      </c>
      <c r="F6881" t="s">
        <v>951</v>
      </c>
      <c r="G6881">
        <v>1800000</v>
      </c>
      <c r="H6881">
        <v>143000</v>
      </c>
      <c r="I6881" t="s">
        <v>983</v>
      </c>
    </row>
    <row r="6882" spans="1:9" x14ac:dyDescent="0.25">
      <c r="A6882">
        <v>3130</v>
      </c>
      <c r="B6882">
        <v>18</v>
      </c>
      <c r="C6882" t="s">
        <v>950</v>
      </c>
      <c r="D6882" t="s">
        <v>999</v>
      </c>
      <c r="E6882" t="s">
        <v>306</v>
      </c>
      <c r="F6882" t="s">
        <v>952</v>
      </c>
      <c r="G6882">
        <v>1800000</v>
      </c>
      <c r="H6882">
        <v>143000</v>
      </c>
      <c r="I6882" t="s">
        <v>983</v>
      </c>
    </row>
    <row r="6883" spans="1:9" x14ac:dyDescent="0.25">
      <c r="A6883">
        <v>3130</v>
      </c>
      <c r="B6883">
        <v>18</v>
      </c>
      <c r="C6883" t="s">
        <v>950</v>
      </c>
      <c r="D6883" t="s">
        <v>999</v>
      </c>
      <c r="E6883" t="s">
        <v>306</v>
      </c>
      <c r="F6883" t="s">
        <v>953</v>
      </c>
      <c r="G6883">
        <v>1800000</v>
      </c>
      <c r="H6883">
        <v>143000</v>
      </c>
      <c r="I6883" t="s">
        <v>983</v>
      </c>
    </row>
    <row r="6884" spans="1:9" x14ac:dyDescent="0.25">
      <c r="A6884">
        <v>3130</v>
      </c>
      <c r="B6884">
        <v>18</v>
      </c>
      <c r="C6884" t="s">
        <v>950</v>
      </c>
      <c r="D6884" t="s">
        <v>999</v>
      </c>
      <c r="E6884" t="s">
        <v>306</v>
      </c>
      <c r="F6884" t="s">
        <v>954</v>
      </c>
      <c r="G6884">
        <v>1800000</v>
      </c>
      <c r="H6884">
        <v>143000</v>
      </c>
      <c r="I6884" t="s">
        <v>983</v>
      </c>
    </row>
    <row r="6885" spans="1:9" x14ac:dyDescent="0.25">
      <c r="A6885">
        <v>3130</v>
      </c>
      <c r="B6885">
        <v>18</v>
      </c>
      <c r="C6885" t="s">
        <v>950</v>
      </c>
      <c r="D6885" t="s">
        <v>999</v>
      </c>
      <c r="E6885" t="s">
        <v>306</v>
      </c>
      <c r="F6885" t="s">
        <v>955</v>
      </c>
      <c r="G6885">
        <v>1800000</v>
      </c>
      <c r="H6885">
        <v>143000</v>
      </c>
      <c r="I6885" t="s">
        <v>983</v>
      </c>
    </row>
    <row r="6886" spans="1:9" x14ac:dyDescent="0.25">
      <c r="A6886">
        <v>3130</v>
      </c>
      <c r="B6886">
        <v>18</v>
      </c>
      <c r="C6886" t="s">
        <v>950</v>
      </c>
      <c r="D6886" t="s">
        <v>999</v>
      </c>
      <c r="E6886" t="s">
        <v>306</v>
      </c>
      <c r="F6886" t="s">
        <v>956</v>
      </c>
      <c r="G6886">
        <v>1800000</v>
      </c>
      <c r="H6886">
        <v>143000</v>
      </c>
      <c r="I6886" t="s">
        <v>983</v>
      </c>
    </row>
    <row r="6887" spans="1:9" x14ac:dyDescent="0.25">
      <c r="A6887">
        <v>3130</v>
      </c>
      <c r="B6887">
        <v>18</v>
      </c>
      <c r="C6887" t="s">
        <v>950</v>
      </c>
      <c r="D6887" t="s">
        <v>999</v>
      </c>
      <c r="E6887" t="s">
        <v>306</v>
      </c>
      <c r="F6887" t="s">
        <v>957</v>
      </c>
      <c r="G6887">
        <v>1800000</v>
      </c>
      <c r="H6887">
        <v>143000</v>
      </c>
      <c r="I6887" t="s">
        <v>983</v>
      </c>
    </row>
    <row r="6888" spans="1:9" x14ac:dyDescent="0.25">
      <c r="A6888">
        <v>3130</v>
      </c>
      <c r="B6888">
        <v>18</v>
      </c>
      <c r="C6888" t="s">
        <v>950</v>
      </c>
      <c r="D6888" t="s">
        <v>999</v>
      </c>
      <c r="E6888" t="s">
        <v>306</v>
      </c>
      <c r="F6888" t="s">
        <v>958</v>
      </c>
      <c r="G6888">
        <v>1800000</v>
      </c>
      <c r="H6888">
        <v>143000</v>
      </c>
      <c r="I6888" t="s">
        <v>983</v>
      </c>
    </row>
    <row r="6889" spans="1:9" x14ac:dyDescent="0.25">
      <c r="A6889">
        <v>3130</v>
      </c>
      <c r="B6889">
        <v>18</v>
      </c>
      <c r="C6889" t="s">
        <v>950</v>
      </c>
      <c r="D6889" t="s">
        <v>999</v>
      </c>
      <c r="E6889" t="s">
        <v>306</v>
      </c>
      <c r="F6889" t="s">
        <v>959</v>
      </c>
      <c r="G6889">
        <v>1800000</v>
      </c>
      <c r="H6889">
        <v>143000</v>
      </c>
      <c r="I6889" t="s">
        <v>983</v>
      </c>
    </row>
    <row r="6890" spans="1:9" x14ac:dyDescent="0.25">
      <c r="A6890">
        <v>3130</v>
      </c>
      <c r="B6890">
        <v>18</v>
      </c>
      <c r="C6890" t="s">
        <v>950</v>
      </c>
      <c r="D6890" t="s">
        <v>999</v>
      </c>
      <c r="E6890" t="s">
        <v>306</v>
      </c>
      <c r="F6890" t="s">
        <v>960</v>
      </c>
      <c r="G6890">
        <v>1800000</v>
      </c>
      <c r="H6890">
        <v>143000</v>
      </c>
      <c r="I6890" t="s">
        <v>983</v>
      </c>
    </row>
    <row r="6891" spans="1:9" x14ac:dyDescent="0.25">
      <c r="A6891">
        <v>3130</v>
      </c>
      <c r="B6891">
        <v>18</v>
      </c>
      <c r="C6891" t="s">
        <v>950</v>
      </c>
      <c r="D6891" t="s">
        <v>999</v>
      </c>
      <c r="E6891" t="s">
        <v>306</v>
      </c>
      <c r="F6891" t="s">
        <v>961</v>
      </c>
      <c r="G6891">
        <v>1800000</v>
      </c>
      <c r="H6891">
        <v>143000</v>
      </c>
      <c r="I6891" t="s">
        <v>983</v>
      </c>
    </row>
    <row r="6892" spans="1:9" x14ac:dyDescent="0.25">
      <c r="A6892">
        <v>3130</v>
      </c>
      <c r="B6892">
        <v>18</v>
      </c>
      <c r="C6892" t="s">
        <v>962</v>
      </c>
      <c r="D6892" t="s">
        <v>999</v>
      </c>
      <c r="E6892" t="s">
        <v>306</v>
      </c>
      <c r="F6892" t="s">
        <v>951</v>
      </c>
      <c r="G6892">
        <v>1800000</v>
      </c>
      <c r="H6892">
        <v>143000</v>
      </c>
      <c r="I6892" t="s">
        <v>983</v>
      </c>
    </row>
    <row r="6893" spans="1:9" x14ac:dyDescent="0.25">
      <c r="A6893">
        <v>3130</v>
      </c>
      <c r="B6893">
        <v>18</v>
      </c>
      <c r="C6893" t="s">
        <v>962</v>
      </c>
      <c r="D6893" t="s">
        <v>999</v>
      </c>
      <c r="E6893" t="s">
        <v>306</v>
      </c>
      <c r="F6893" t="s">
        <v>952</v>
      </c>
      <c r="G6893">
        <v>1800000</v>
      </c>
      <c r="H6893">
        <v>143000</v>
      </c>
      <c r="I6893" t="s">
        <v>983</v>
      </c>
    </row>
    <row r="6894" spans="1:9" x14ac:dyDescent="0.25">
      <c r="A6894">
        <v>3130</v>
      </c>
      <c r="B6894">
        <v>18</v>
      </c>
      <c r="C6894" t="s">
        <v>962</v>
      </c>
      <c r="D6894" t="s">
        <v>999</v>
      </c>
      <c r="E6894" t="s">
        <v>306</v>
      </c>
      <c r="F6894" t="s">
        <v>953</v>
      </c>
      <c r="G6894">
        <v>1800000</v>
      </c>
      <c r="H6894">
        <v>143000</v>
      </c>
      <c r="I6894" t="s">
        <v>983</v>
      </c>
    </row>
    <row r="6895" spans="1:9" x14ac:dyDescent="0.25">
      <c r="A6895">
        <v>3130</v>
      </c>
      <c r="B6895">
        <v>18</v>
      </c>
      <c r="C6895" t="s">
        <v>962</v>
      </c>
      <c r="D6895" t="s">
        <v>999</v>
      </c>
      <c r="E6895" t="s">
        <v>306</v>
      </c>
      <c r="F6895" t="s">
        <v>954</v>
      </c>
      <c r="G6895">
        <v>1800000</v>
      </c>
      <c r="H6895">
        <v>143000</v>
      </c>
      <c r="I6895" t="s">
        <v>983</v>
      </c>
    </row>
    <row r="6896" spans="1:9" x14ac:dyDescent="0.25">
      <c r="A6896">
        <v>3130</v>
      </c>
      <c r="B6896">
        <v>18</v>
      </c>
      <c r="C6896" t="s">
        <v>962</v>
      </c>
      <c r="D6896" t="s">
        <v>999</v>
      </c>
      <c r="E6896" t="s">
        <v>306</v>
      </c>
      <c r="F6896" t="s">
        <v>955</v>
      </c>
      <c r="G6896">
        <v>1800000</v>
      </c>
      <c r="H6896">
        <v>143000</v>
      </c>
      <c r="I6896" t="s">
        <v>983</v>
      </c>
    </row>
    <row r="6897" spans="1:9" x14ac:dyDescent="0.25">
      <c r="A6897">
        <v>3130</v>
      </c>
      <c r="B6897">
        <v>18</v>
      </c>
      <c r="C6897" t="s">
        <v>962</v>
      </c>
      <c r="D6897" t="s">
        <v>999</v>
      </c>
      <c r="E6897" t="s">
        <v>306</v>
      </c>
      <c r="F6897" t="s">
        <v>956</v>
      </c>
      <c r="G6897">
        <v>1800000</v>
      </c>
      <c r="H6897">
        <v>143000</v>
      </c>
      <c r="I6897" t="s">
        <v>983</v>
      </c>
    </row>
    <row r="6898" spans="1:9" x14ac:dyDescent="0.25">
      <c r="A6898">
        <v>3130</v>
      </c>
      <c r="B6898">
        <v>18</v>
      </c>
      <c r="C6898" t="s">
        <v>962</v>
      </c>
      <c r="D6898" t="s">
        <v>999</v>
      </c>
      <c r="E6898" t="s">
        <v>306</v>
      </c>
      <c r="F6898" t="s">
        <v>957</v>
      </c>
      <c r="G6898">
        <v>1800000</v>
      </c>
      <c r="H6898">
        <v>143000</v>
      </c>
      <c r="I6898" t="s">
        <v>983</v>
      </c>
    </row>
    <row r="6899" spans="1:9" x14ac:dyDescent="0.25">
      <c r="A6899">
        <v>3130</v>
      </c>
      <c r="B6899">
        <v>18</v>
      </c>
      <c r="C6899" t="s">
        <v>962</v>
      </c>
      <c r="D6899" t="s">
        <v>999</v>
      </c>
      <c r="E6899" t="s">
        <v>306</v>
      </c>
      <c r="F6899" t="s">
        <v>958</v>
      </c>
      <c r="G6899">
        <v>1800000</v>
      </c>
      <c r="H6899">
        <v>143000</v>
      </c>
      <c r="I6899" t="s">
        <v>983</v>
      </c>
    </row>
    <row r="6900" spans="1:9" x14ac:dyDescent="0.25">
      <c r="A6900">
        <v>3130</v>
      </c>
      <c r="B6900">
        <v>18</v>
      </c>
      <c r="C6900" t="s">
        <v>962</v>
      </c>
      <c r="D6900" t="s">
        <v>999</v>
      </c>
      <c r="E6900" t="s">
        <v>306</v>
      </c>
      <c r="F6900" t="s">
        <v>959</v>
      </c>
      <c r="G6900">
        <v>1800000</v>
      </c>
      <c r="H6900">
        <v>143000</v>
      </c>
      <c r="I6900" t="s">
        <v>983</v>
      </c>
    </row>
    <row r="6901" spans="1:9" x14ac:dyDescent="0.25">
      <c r="A6901">
        <v>3130</v>
      </c>
      <c r="B6901">
        <v>18</v>
      </c>
      <c r="C6901" t="s">
        <v>962</v>
      </c>
      <c r="D6901" t="s">
        <v>999</v>
      </c>
      <c r="E6901" t="s">
        <v>306</v>
      </c>
      <c r="F6901" t="s">
        <v>960</v>
      </c>
      <c r="G6901">
        <v>1800000</v>
      </c>
      <c r="H6901">
        <v>143000</v>
      </c>
      <c r="I6901" t="s">
        <v>983</v>
      </c>
    </row>
    <row r="6902" spans="1:9" x14ac:dyDescent="0.25">
      <c r="A6902">
        <v>3130</v>
      </c>
      <c r="B6902">
        <v>18</v>
      </c>
      <c r="C6902" t="s">
        <v>962</v>
      </c>
      <c r="D6902" t="s">
        <v>999</v>
      </c>
      <c r="E6902" t="s">
        <v>306</v>
      </c>
      <c r="F6902" t="s">
        <v>961</v>
      </c>
      <c r="G6902">
        <v>1800000</v>
      </c>
      <c r="H6902">
        <v>143000</v>
      </c>
      <c r="I6902" t="s">
        <v>983</v>
      </c>
    </row>
    <row r="6903" spans="1:9" x14ac:dyDescent="0.25">
      <c r="A6903">
        <v>3130</v>
      </c>
      <c r="B6903">
        <v>18</v>
      </c>
      <c r="C6903" t="s">
        <v>963</v>
      </c>
      <c r="D6903" t="s">
        <v>999</v>
      </c>
      <c r="E6903" t="s">
        <v>306</v>
      </c>
      <c r="F6903" t="s">
        <v>951</v>
      </c>
      <c r="G6903">
        <v>1800000</v>
      </c>
      <c r="H6903">
        <v>143000</v>
      </c>
      <c r="I6903" t="s">
        <v>983</v>
      </c>
    </row>
    <row r="6904" spans="1:9" x14ac:dyDescent="0.25">
      <c r="A6904">
        <v>3130</v>
      </c>
      <c r="B6904">
        <v>18</v>
      </c>
      <c r="C6904" t="s">
        <v>963</v>
      </c>
      <c r="D6904" t="s">
        <v>999</v>
      </c>
      <c r="E6904" t="s">
        <v>306</v>
      </c>
      <c r="F6904" t="s">
        <v>952</v>
      </c>
      <c r="G6904">
        <v>1800000</v>
      </c>
      <c r="H6904">
        <v>143000</v>
      </c>
      <c r="I6904" t="s">
        <v>983</v>
      </c>
    </row>
    <row r="6905" spans="1:9" x14ac:dyDescent="0.25">
      <c r="A6905">
        <v>3130</v>
      </c>
      <c r="B6905">
        <v>18</v>
      </c>
      <c r="C6905" t="s">
        <v>963</v>
      </c>
      <c r="D6905" t="s">
        <v>999</v>
      </c>
      <c r="E6905" t="s">
        <v>306</v>
      </c>
      <c r="F6905" t="s">
        <v>953</v>
      </c>
      <c r="G6905">
        <v>1800000</v>
      </c>
      <c r="H6905">
        <v>143000</v>
      </c>
      <c r="I6905" t="s">
        <v>983</v>
      </c>
    </row>
    <row r="6906" spans="1:9" x14ac:dyDescent="0.25">
      <c r="A6906">
        <v>3130</v>
      </c>
      <c r="B6906">
        <v>18</v>
      </c>
      <c r="C6906" t="s">
        <v>963</v>
      </c>
      <c r="D6906" t="s">
        <v>999</v>
      </c>
      <c r="E6906" t="s">
        <v>306</v>
      </c>
      <c r="F6906" t="s">
        <v>954</v>
      </c>
      <c r="G6906">
        <v>1800000</v>
      </c>
      <c r="H6906">
        <v>143000</v>
      </c>
      <c r="I6906" t="s">
        <v>983</v>
      </c>
    </row>
    <row r="6907" spans="1:9" x14ac:dyDescent="0.25">
      <c r="A6907">
        <v>3130</v>
      </c>
      <c r="B6907">
        <v>18</v>
      </c>
      <c r="C6907" t="s">
        <v>963</v>
      </c>
      <c r="D6907" t="s">
        <v>999</v>
      </c>
      <c r="E6907" t="s">
        <v>306</v>
      </c>
      <c r="F6907" t="s">
        <v>955</v>
      </c>
      <c r="G6907">
        <v>1800000</v>
      </c>
      <c r="H6907">
        <v>143000</v>
      </c>
      <c r="I6907" t="s">
        <v>983</v>
      </c>
    </row>
    <row r="6908" spans="1:9" x14ac:dyDescent="0.25">
      <c r="A6908">
        <v>3130</v>
      </c>
      <c r="B6908">
        <v>18</v>
      </c>
      <c r="C6908" t="s">
        <v>963</v>
      </c>
      <c r="D6908" t="s">
        <v>999</v>
      </c>
      <c r="E6908" t="s">
        <v>306</v>
      </c>
      <c r="F6908" t="s">
        <v>956</v>
      </c>
      <c r="G6908">
        <v>1800000</v>
      </c>
      <c r="H6908">
        <v>143000</v>
      </c>
      <c r="I6908" t="s">
        <v>983</v>
      </c>
    </row>
    <row r="6909" spans="1:9" x14ac:dyDescent="0.25">
      <c r="A6909">
        <v>3130</v>
      </c>
      <c r="B6909">
        <v>18</v>
      </c>
      <c r="C6909" t="s">
        <v>963</v>
      </c>
      <c r="D6909" t="s">
        <v>999</v>
      </c>
      <c r="E6909" t="s">
        <v>306</v>
      </c>
      <c r="F6909" t="s">
        <v>957</v>
      </c>
      <c r="G6909">
        <v>1800000</v>
      </c>
      <c r="H6909">
        <v>143000</v>
      </c>
      <c r="I6909" t="s">
        <v>983</v>
      </c>
    </row>
    <row r="6910" spans="1:9" x14ac:dyDescent="0.25">
      <c r="A6910">
        <v>3130</v>
      </c>
      <c r="B6910">
        <v>18</v>
      </c>
      <c r="C6910" t="s">
        <v>963</v>
      </c>
      <c r="D6910" t="s">
        <v>999</v>
      </c>
      <c r="E6910" t="s">
        <v>306</v>
      </c>
      <c r="F6910" t="s">
        <v>958</v>
      </c>
      <c r="G6910">
        <v>1800000</v>
      </c>
      <c r="H6910">
        <v>143000</v>
      </c>
      <c r="I6910" t="s">
        <v>983</v>
      </c>
    </row>
    <row r="6911" spans="1:9" x14ac:dyDescent="0.25">
      <c r="A6911">
        <v>3130</v>
      </c>
      <c r="B6911">
        <v>18</v>
      </c>
      <c r="C6911" t="s">
        <v>963</v>
      </c>
      <c r="D6911" t="s">
        <v>999</v>
      </c>
      <c r="E6911" t="s">
        <v>306</v>
      </c>
      <c r="F6911" t="s">
        <v>959</v>
      </c>
      <c r="G6911">
        <v>1800000</v>
      </c>
      <c r="H6911">
        <v>143000</v>
      </c>
      <c r="I6911" t="s">
        <v>983</v>
      </c>
    </row>
    <row r="6912" spans="1:9" x14ac:dyDescent="0.25">
      <c r="A6912">
        <v>3130</v>
      </c>
      <c r="B6912">
        <v>18</v>
      </c>
      <c r="C6912" t="s">
        <v>963</v>
      </c>
      <c r="D6912" t="s">
        <v>999</v>
      </c>
      <c r="E6912" t="s">
        <v>306</v>
      </c>
      <c r="F6912" t="s">
        <v>960</v>
      </c>
      <c r="G6912">
        <v>1800000</v>
      </c>
      <c r="H6912">
        <v>143000</v>
      </c>
      <c r="I6912" t="s">
        <v>983</v>
      </c>
    </row>
    <row r="6913" spans="1:9" x14ac:dyDescent="0.25">
      <c r="A6913">
        <v>3130</v>
      </c>
      <c r="B6913">
        <v>18</v>
      </c>
      <c r="C6913" t="s">
        <v>963</v>
      </c>
      <c r="D6913" t="s">
        <v>999</v>
      </c>
      <c r="E6913" t="s">
        <v>306</v>
      </c>
      <c r="F6913" t="s">
        <v>961</v>
      </c>
      <c r="G6913">
        <v>1800000</v>
      </c>
      <c r="H6913">
        <v>143000</v>
      </c>
      <c r="I6913" t="s">
        <v>983</v>
      </c>
    </row>
    <row r="6914" spans="1:9" x14ac:dyDescent="0.25">
      <c r="A6914">
        <v>3130</v>
      </c>
      <c r="B6914">
        <v>18</v>
      </c>
      <c r="C6914" t="s">
        <v>950</v>
      </c>
      <c r="D6914" t="s">
        <v>999</v>
      </c>
      <c r="E6914" t="s">
        <v>108</v>
      </c>
      <c r="F6914" t="s">
        <v>951</v>
      </c>
      <c r="G6914">
        <v>1877777</v>
      </c>
      <c r="H6914">
        <v>500220</v>
      </c>
      <c r="I6914" t="s">
        <v>949</v>
      </c>
    </row>
    <row r="6915" spans="1:9" x14ac:dyDescent="0.25">
      <c r="A6915">
        <v>3130</v>
      </c>
      <c r="B6915">
        <v>18</v>
      </c>
      <c r="C6915" t="s">
        <v>950</v>
      </c>
      <c r="D6915" t="s">
        <v>999</v>
      </c>
      <c r="E6915" t="s">
        <v>108</v>
      </c>
      <c r="F6915" t="s">
        <v>952</v>
      </c>
      <c r="G6915">
        <v>1877777</v>
      </c>
      <c r="H6915">
        <v>500220</v>
      </c>
      <c r="I6915" t="s">
        <v>949</v>
      </c>
    </row>
    <row r="6916" spans="1:9" x14ac:dyDescent="0.25">
      <c r="A6916">
        <v>3130</v>
      </c>
      <c r="B6916">
        <v>18</v>
      </c>
      <c r="C6916" t="s">
        <v>962</v>
      </c>
      <c r="D6916" t="s">
        <v>999</v>
      </c>
      <c r="E6916" t="s">
        <v>108</v>
      </c>
      <c r="F6916" t="s">
        <v>951</v>
      </c>
      <c r="G6916">
        <v>1877777</v>
      </c>
      <c r="H6916">
        <v>500220</v>
      </c>
      <c r="I6916" t="s">
        <v>949</v>
      </c>
    </row>
    <row r="6917" spans="1:9" x14ac:dyDescent="0.25">
      <c r="A6917">
        <v>3130</v>
      </c>
      <c r="B6917">
        <v>18</v>
      </c>
      <c r="C6917" t="s">
        <v>962</v>
      </c>
      <c r="D6917" t="s">
        <v>999</v>
      </c>
      <c r="E6917" t="s">
        <v>108</v>
      </c>
      <c r="F6917" t="s">
        <v>952</v>
      </c>
      <c r="G6917">
        <v>1877777</v>
      </c>
      <c r="H6917">
        <v>500220</v>
      </c>
      <c r="I6917" t="s">
        <v>949</v>
      </c>
    </row>
    <row r="6918" spans="1:9" x14ac:dyDescent="0.25">
      <c r="A6918">
        <v>3130</v>
      </c>
      <c r="B6918">
        <v>18</v>
      </c>
      <c r="C6918" t="s">
        <v>963</v>
      </c>
      <c r="D6918" t="s">
        <v>999</v>
      </c>
      <c r="E6918" t="s">
        <v>108</v>
      </c>
      <c r="F6918" t="s">
        <v>951</v>
      </c>
      <c r="G6918">
        <v>1877777</v>
      </c>
      <c r="H6918">
        <v>500220</v>
      </c>
      <c r="I6918" t="s">
        <v>949</v>
      </c>
    </row>
    <row r="6919" spans="1:9" x14ac:dyDescent="0.25">
      <c r="A6919">
        <v>3130</v>
      </c>
      <c r="B6919">
        <v>18</v>
      </c>
      <c r="C6919" t="s">
        <v>963</v>
      </c>
      <c r="D6919" t="s">
        <v>999</v>
      </c>
      <c r="E6919" t="s">
        <v>108</v>
      </c>
      <c r="F6919" t="s">
        <v>952</v>
      </c>
      <c r="G6919">
        <v>1877777</v>
      </c>
      <c r="H6919">
        <v>500220</v>
      </c>
      <c r="I6919" t="s">
        <v>949</v>
      </c>
    </row>
    <row r="6920" ht="22" customHeight="1" spans="1:10" x14ac:dyDescent="0.25">
      <c r="A6920" s="43">
        <v>3130</v>
      </c>
      <c r="B6920" s="43">
        <v>18</v>
      </c>
      <c r="C6920" s="43" t="s">
        <v>950</v>
      </c>
      <c r="D6920" s="43" t="s">
        <v>999</v>
      </c>
      <c r="E6920" s="43" t="s">
        <v>310</v>
      </c>
      <c r="F6920" s="43" t="s">
        <v>951</v>
      </c>
      <c r="G6920" s="43">
        <v>1800000</v>
      </c>
      <c r="H6920" s="43">
        <v>145000</v>
      </c>
      <c r="I6920" s="43" t="s">
        <v>949</v>
      </c>
      <c r="J6920" s="44" t="s">
        <v>1000</v>
      </c>
    </row>
    <row r="6921" ht="22" customHeight="1" spans="1:10" x14ac:dyDescent="0.25">
      <c r="A6921" s="43">
        <v>3130</v>
      </c>
      <c r="B6921" s="43">
        <v>18</v>
      </c>
      <c r="C6921" s="43" t="s">
        <v>950</v>
      </c>
      <c r="D6921" s="43" t="s">
        <v>999</v>
      </c>
      <c r="E6921" s="43" t="s">
        <v>310</v>
      </c>
      <c r="F6921" s="43" t="s">
        <v>952</v>
      </c>
      <c r="G6921" s="43">
        <v>1800000</v>
      </c>
      <c r="H6921" s="43">
        <v>145000</v>
      </c>
      <c r="I6921" s="43" t="s">
        <v>949</v>
      </c>
      <c r="J6921" s="44" t="s">
        <v>1000</v>
      </c>
    </row>
    <row r="6922" ht="22" customHeight="1" spans="1:10" x14ac:dyDescent="0.25">
      <c r="A6922" s="43">
        <v>3130</v>
      </c>
      <c r="B6922" s="43">
        <v>18</v>
      </c>
      <c r="C6922" s="43" t="s">
        <v>950</v>
      </c>
      <c r="D6922" s="43" t="s">
        <v>999</v>
      </c>
      <c r="E6922" s="43" t="s">
        <v>310</v>
      </c>
      <c r="F6922" s="43" t="s">
        <v>953</v>
      </c>
      <c r="G6922" s="43">
        <v>1800000</v>
      </c>
      <c r="H6922" s="43">
        <v>145000</v>
      </c>
      <c r="I6922" s="43" t="s">
        <v>949</v>
      </c>
      <c r="J6922" s="44" t="s">
        <v>1000</v>
      </c>
    </row>
    <row r="6923" ht="22" customHeight="1" spans="1:10" x14ac:dyDescent="0.25">
      <c r="A6923" s="43">
        <v>3130</v>
      </c>
      <c r="B6923" s="43">
        <v>18</v>
      </c>
      <c r="C6923" s="43" t="s">
        <v>950</v>
      </c>
      <c r="D6923" s="43" t="s">
        <v>999</v>
      </c>
      <c r="E6923" s="43" t="s">
        <v>310</v>
      </c>
      <c r="F6923" s="43" t="s">
        <v>954</v>
      </c>
      <c r="G6923" s="43">
        <v>1800000</v>
      </c>
      <c r="H6923" s="43">
        <v>145000</v>
      </c>
      <c r="I6923" s="43" t="s">
        <v>949</v>
      </c>
      <c r="J6923" s="44" t="s">
        <v>1000</v>
      </c>
    </row>
    <row r="6924" ht="22" customHeight="1" spans="1:10" x14ac:dyDescent="0.25">
      <c r="A6924" s="43">
        <v>3130</v>
      </c>
      <c r="B6924" s="43">
        <v>18</v>
      </c>
      <c r="C6924" s="43" t="s">
        <v>950</v>
      </c>
      <c r="D6924" s="43" t="s">
        <v>999</v>
      </c>
      <c r="E6924" s="43" t="s">
        <v>310</v>
      </c>
      <c r="F6924" s="43" t="s">
        <v>955</v>
      </c>
      <c r="G6924" s="43">
        <v>1800000</v>
      </c>
      <c r="H6924" s="43">
        <v>145000</v>
      </c>
      <c r="I6924" s="43" t="s">
        <v>949</v>
      </c>
      <c r="J6924" s="44" t="s">
        <v>1000</v>
      </c>
    </row>
    <row r="6925" ht="22" customHeight="1" spans="1:10" x14ac:dyDescent="0.25">
      <c r="A6925" s="43">
        <v>3130</v>
      </c>
      <c r="B6925" s="43">
        <v>18</v>
      </c>
      <c r="C6925" s="43" t="s">
        <v>950</v>
      </c>
      <c r="D6925" s="43" t="s">
        <v>999</v>
      </c>
      <c r="E6925" s="43" t="s">
        <v>310</v>
      </c>
      <c r="F6925" s="43" t="s">
        <v>956</v>
      </c>
      <c r="G6925" s="43">
        <v>1800000</v>
      </c>
      <c r="H6925" s="43">
        <v>145000</v>
      </c>
      <c r="I6925" s="43" t="s">
        <v>949</v>
      </c>
      <c r="J6925" s="44" t="s">
        <v>1000</v>
      </c>
    </row>
    <row r="6926" ht="22" customHeight="1" spans="1:10" x14ac:dyDescent="0.25">
      <c r="A6926" s="43">
        <v>3130</v>
      </c>
      <c r="B6926" s="43">
        <v>18</v>
      </c>
      <c r="C6926" s="43" t="s">
        <v>950</v>
      </c>
      <c r="D6926" s="43" t="s">
        <v>999</v>
      </c>
      <c r="E6926" s="43" t="s">
        <v>310</v>
      </c>
      <c r="F6926" s="43" t="s">
        <v>957</v>
      </c>
      <c r="G6926" s="43">
        <v>1800000</v>
      </c>
      <c r="H6926" s="43">
        <v>145000</v>
      </c>
      <c r="I6926" s="43" t="s">
        <v>949</v>
      </c>
      <c r="J6926" s="44" t="s">
        <v>1000</v>
      </c>
    </row>
    <row r="6927" ht="22" customHeight="1" spans="1:10" x14ac:dyDescent="0.25">
      <c r="A6927" s="43">
        <v>3130</v>
      </c>
      <c r="B6927" s="43">
        <v>18</v>
      </c>
      <c r="C6927" s="43" t="s">
        <v>950</v>
      </c>
      <c r="D6927" s="43" t="s">
        <v>999</v>
      </c>
      <c r="E6927" s="43" t="s">
        <v>310</v>
      </c>
      <c r="F6927" s="43" t="s">
        <v>958</v>
      </c>
      <c r="G6927" s="43">
        <v>1800000</v>
      </c>
      <c r="H6927" s="43">
        <v>145000</v>
      </c>
      <c r="I6927" s="43" t="s">
        <v>949</v>
      </c>
      <c r="J6927" s="44" t="s">
        <v>1000</v>
      </c>
    </row>
    <row r="6928" ht="22" customHeight="1" spans="1:10" x14ac:dyDescent="0.25">
      <c r="A6928" s="43">
        <v>3130</v>
      </c>
      <c r="B6928" s="43">
        <v>18</v>
      </c>
      <c r="C6928" s="43" t="s">
        <v>950</v>
      </c>
      <c r="D6928" s="43" t="s">
        <v>999</v>
      </c>
      <c r="E6928" s="43" t="s">
        <v>310</v>
      </c>
      <c r="F6928" s="43" t="s">
        <v>959</v>
      </c>
      <c r="G6928" s="43">
        <v>1800000</v>
      </c>
      <c r="H6928" s="43">
        <v>145000</v>
      </c>
      <c r="I6928" s="43" t="s">
        <v>949</v>
      </c>
      <c r="J6928" s="44" t="s">
        <v>1000</v>
      </c>
    </row>
    <row r="6929" ht="22" customHeight="1" spans="1:10" x14ac:dyDescent="0.25">
      <c r="A6929" s="43">
        <v>3130</v>
      </c>
      <c r="B6929" s="43">
        <v>18</v>
      </c>
      <c r="C6929" s="43" t="s">
        <v>950</v>
      </c>
      <c r="D6929" s="43" t="s">
        <v>999</v>
      </c>
      <c r="E6929" s="43" t="s">
        <v>310</v>
      </c>
      <c r="F6929" s="43" t="s">
        <v>960</v>
      </c>
      <c r="G6929" s="43">
        <v>1800000</v>
      </c>
      <c r="H6929" s="43">
        <v>145000</v>
      </c>
      <c r="I6929" s="43" t="s">
        <v>949</v>
      </c>
      <c r="J6929" s="44" t="s">
        <v>1000</v>
      </c>
    </row>
    <row r="6930" ht="22" customHeight="1" spans="1:10" x14ac:dyDescent="0.25">
      <c r="A6930" s="43">
        <v>3130</v>
      </c>
      <c r="B6930" s="43">
        <v>18</v>
      </c>
      <c r="C6930" s="43" t="s">
        <v>950</v>
      </c>
      <c r="D6930" s="43" t="s">
        <v>999</v>
      </c>
      <c r="E6930" s="43" t="s">
        <v>310</v>
      </c>
      <c r="F6930" s="43" t="s">
        <v>961</v>
      </c>
      <c r="G6930" s="43">
        <v>1800000</v>
      </c>
      <c r="H6930" s="43">
        <v>145000</v>
      </c>
      <c r="I6930" s="43" t="s">
        <v>949</v>
      </c>
      <c r="J6930" s="44" t="s">
        <v>1000</v>
      </c>
    </row>
    <row r="6931" ht="22" customHeight="1" spans="1:10" x14ac:dyDescent="0.25">
      <c r="A6931" s="43">
        <v>3130</v>
      </c>
      <c r="B6931" s="43">
        <v>18</v>
      </c>
      <c r="C6931" s="43" t="s">
        <v>962</v>
      </c>
      <c r="D6931" s="43" t="s">
        <v>999</v>
      </c>
      <c r="E6931" s="43" t="s">
        <v>310</v>
      </c>
      <c r="F6931" s="43" t="s">
        <v>951</v>
      </c>
      <c r="G6931" s="43">
        <v>1800000</v>
      </c>
      <c r="H6931" s="43">
        <v>145000</v>
      </c>
      <c r="I6931" s="43" t="s">
        <v>949</v>
      </c>
      <c r="J6931" s="44" t="s">
        <v>1000</v>
      </c>
    </row>
    <row r="6932" ht="22" customHeight="1" spans="1:10" x14ac:dyDescent="0.25">
      <c r="A6932" s="43">
        <v>3130</v>
      </c>
      <c r="B6932" s="43">
        <v>18</v>
      </c>
      <c r="C6932" s="43" t="s">
        <v>962</v>
      </c>
      <c r="D6932" s="43" t="s">
        <v>999</v>
      </c>
      <c r="E6932" s="43" t="s">
        <v>310</v>
      </c>
      <c r="F6932" s="43" t="s">
        <v>952</v>
      </c>
      <c r="G6932" s="43">
        <v>1800000</v>
      </c>
      <c r="H6932" s="43">
        <v>145000</v>
      </c>
      <c r="I6932" s="43" t="s">
        <v>949</v>
      </c>
      <c r="J6932" s="44" t="s">
        <v>1000</v>
      </c>
    </row>
    <row r="6933" ht="22" customHeight="1" spans="1:10" x14ac:dyDescent="0.25">
      <c r="A6933" s="43">
        <v>3130</v>
      </c>
      <c r="B6933" s="43">
        <v>18</v>
      </c>
      <c r="C6933" s="43" t="s">
        <v>962</v>
      </c>
      <c r="D6933" s="43" t="s">
        <v>999</v>
      </c>
      <c r="E6933" s="43" t="s">
        <v>310</v>
      </c>
      <c r="F6933" s="43" t="s">
        <v>953</v>
      </c>
      <c r="G6933" s="43">
        <v>1800000</v>
      </c>
      <c r="H6933" s="43">
        <v>145000</v>
      </c>
      <c r="I6933" s="43" t="s">
        <v>949</v>
      </c>
      <c r="J6933" s="44" t="s">
        <v>1000</v>
      </c>
    </row>
    <row r="6934" ht="22" customHeight="1" spans="1:10" x14ac:dyDescent="0.25">
      <c r="A6934" s="43">
        <v>3130</v>
      </c>
      <c r="B6934" s="43">
        <v>18</v>
      </c>
      <c r="C6934" s="43" t="s">
        <v>962</v>
      </c>
      <c r="D6934" s="43" t="s">
        <v>999</v>
      </c>
      <c r="E6934" s="43" t="s">
        <v>310</v>
      </c>
      <c r="F6934" s="43" t="s">
        <v>954</v>
      </c>
      <c r="G6934" s="43">
        <v>1800000</v>
      </c>
      <c r="H6934" s="43">
        <v>145000</v>
      </c>
      <c r="I6934" s="43" t="s">
        <v>949</v>
      </c>
      <c r="J6934" s="44" t="s">
        <v>1000</v>
      </c>
    </row>
    <row r="6935" ht="22" customHeight="1" spans="1:10" x14ac:dyDescent="0.25">
      <c r="A6935" s="43">
        <v>3130</v>
      </c>
      <c r="B6935" s="43">
        <v>18</v>
      </c>
      <c r="C6935" s="43" t="s">
        <v>962</v>
      </c>
      <c r="D6935" s="43" t="s">
        <v>999</v>
      </c>
      <c r="E6935" s="43" t="s">
        <v>310</v>
      </c>
      <c r="F6935" s="43" t="s">
        <v>955</v>
      </c>
      <c r="G6935" s="43">
        <v>1800000</v>
      </c>
      <c r="H6935" s="43">
        <v>145000</v>
      </c>
      <c r="I6935" s="43" t="s">
        <v>949</v>
      </c>
      <c r="J6935" s="44" t="s">
        <v>1000</v>
      </c>
    </row>
    <row r="6936" ht="22" customHeight="1" spans="1:10" x14ac:dyDescent="0.25">
      <c r="A6936" s="43">
        <v>3130</v>
      </c>
      <c r="B6936" s="43">
        <v>18</v>
      </c>
      <c r="C6936" s="43" t="s">
        <v>962</v>
      </c>
      <c r="D6936" s="43" t="s">
        <v>999</v>
      </c>
      <c r="E6936" s="43" t="s">
        <v>310</v>
      </c>
      <c r="F6936" s="43" t="s">
        <v>956</v>
      </c>
      <c r="G6936" s="43">
        <v>1800000</v>
      </c>
      <c r="H6936" s="43">
        <v>145000</v>
      </c>
      <c r="I6936" s="43" t="s">
        <v>949</v>
      </c>
      <c r="J6936" s="44" t="s">
        <v>1000</v>
      </c>
    </row>
    <row r="6937" ht="22" customHeight="1" spans="1:10" x14ac:dyDescent="0.25">
      <c r="A6937" s="43">
        <v>3130</v>
      </c>
      <c r="B6937" s="43">
        <v>18</v>
      </c>
      <c r="C6937" s="43" t="s">
        <v>962</v>
      </c>
      <c r="D6937" s="43" t="s">
        <v>999</v>
      </c>
      <c r="E6937" s="43" t="s">
        <v>310</v>
      </c>
      <c r="F6937" s="43" t="s">
        <v>957</v>
      </c>
      <c r="G6937" s="43">
        <v>1800000</v>
      </c>
      <c r="H6937" s="43">
        <v>145000</v>
      </c>
      <c r="I6937" s="43" t="s">
        <v>949</v>
      </c>
      <c r="J6937" s="44" t="s">
        <v>1000</v>
      </c>
    </row>
    <row r="6938" ht="22" customHeight="1" spans="1:10" x14ac:dyDescent="0.25">
      <c r="A6938" s="43">
        <v>3130</v>
      </c>
      <c r="B6938" s="43">
        <v>18</v>
      </c>
      <c r="C6938" s="43" t="s">
        <v>962</v>
      </c>
      <c r="D6938" s="43" t="s">
        <v>999</v>
      </c>
      <c r="E6938" s="43" t="s">
        <v>310</v>
      </c>
      <c r="F6938" s="43" t="s">
        <v>958</v>
      </c>
      <c r="G6938" s="43">
        <v>1800000</v>
      </c>
      <c r="H6938" s="43">
        <v>145000</v>
      </c>
      <c r="I6938" s="43" t="s">
        <v>949</v>
      </c>
      <c r="J6938" s="44" t="s">
        <v>1000</v>
      </c>
    </row>
    <row r="6939" ht="22" customHeight="1" spans="1:10" x14ac:dyDescent="0.25">
      <c r="A6939" s="43">
        <v>3130</v>
      </c>
      <c r="B6939" s="43">
        <v>18</v>
      </c>
      <c r="C6939" s="43" t="s">
        <v>962</v>
      </c>
      <c r="D6939" s="43" t="s">
        <v>999</v>
      </c>
      <c r="E6939" s="43" t="s">
        <v>310</v>
      </c>
      <c r="F6939" s="43" t="s">
        <v>959</v>
      </c>
      <c r="G6939" s="43">
        <v>1800000</v>
      </c>
      <c r="H6939" s="43">
        <v>145000</v>
      </c>
      <c r="I6939" s="43" t="s">
        <v>949</v>
      </c>
      <c r="J6939" s="44" t="s">
        <v>1000</v>
      </c>
    </row>
    <row r="6940" ht="22" customHeight="1" spans="1:10" x14ac:dyDescent="0.25">
      <c r="A6940" s="43">
        <v>3130</v>
      </c>
      <c r="B6940" s="43">
        <v>18</v>
      </c>
      <c r="C6940" s="43" t="s">
        <v>962</v>
      </c>
      <c r="D6940" s="43" t="s">
        <v>999</v>
      </c>
      <c r="E6940" s="43" t="s">
        <v>310</v>
      </c>
      <c r="F6940" s="43" t="s">
        <v>960</v>
      </c>
      <c r="G6940" s="43">
        <v>1800000</v>
      </c>
      <c r="H6940" s="43">
        <v>145000</v>
      </c>
      <c r="I6940" s="43" t="s">
        <v>949</v>
      </c>
      <c r="J6940" s="44" t="s">
        <v>1000</v>
      </c>
    </row>
    <row r="6941" ht="22" customHeight="1" spans="1:10" x14ac:dyDescent="0.25">
      <c r="A6941" s="43">
        <v>3130</v>
      </c>
      <c r="B6941" s="43">
        <v>18</v>
      </c>
      <c r="C6941" s="43" t="s">
        <v>962</v>
      </c>
      <c r="D6941" s="43" t="s">
        <v>999</v>
      </c>
      <c r="E6941" s="43" t="s">
        <v>310</v>
      </c>
      <c r="F6941" s="43" t="s">
        <v>961</v>
      </c>
      <c r="G6941" s="43">
        <v>1800000</v>
      </c>
      <c r="H6941" s="43">
        <v>145000</v>
      </c>
      <c r="I6941" s="43" t="s">
        <v>949</v>
      </c>
      <c r="J6941" s="44" t="s">
        <v>1000</v>
      </c>
    </row>
    <row r="6942" ht="22" customHeight="1" spans="1:10" x14ac:dyDescent="0.25">
      <c r="A6942" s="43">
        <v>3130</v>
      </c>
      <c r="B6942" s="43">
        <v>18</v>
      </c>
      <c r="C6942" s="43" t="s">
        <v>963</v>
      </c>
      <c r="D6942" s="43" t="s">
        <v>999</v>
      </c>
      <c r="E6942" s="43" t="s">
        <v>310</v>
      </c>
      <c r="F6942" s="43" t="s">
        <v>951</v>
      </c>
      <c r="G6942" s="43">
        <v>1800000</v>
      </c>
      <c r="H6942" s="43">
        <v>145000</v>
      </c>
      <c r="I6942" s="43" t="s">
        <v>949</v>
      </c>
      <c r="J6942" s="44" t="s">
        <v>1000</v>
      </c>
    </row>
    <row r="6943" ht="22" customHeight="1" spans="1:10" x14ac:dyDescent="0.25">
      <c r="A6943" s="43">
        <v>3130</v>
      </c>
      <c r="B6943" s="43">
        <v>18</v>
      </c>
      <c r="C6943" s="43" t="s">
        <v>963</v>
      </c>
      <c r="D6943" s="43" t="s">
        <v>999</v>
      </c>
      <c r="E6943" s="43" t="s">
        <v>310</v>
      </c>
      <c r="F6943" s="43" t="s">
        <v>952</v>
      </c>
      <c r="G6943" s="43">
        <v>1800000</v>
      </c>
      <c r="H6943" s="43">
        <v>145000</v>
      </c>
      <c r="I6943" s="43" t="s">
        <v>949</v>
      </c>
      <c r="J6943" s="44" t="s">
        <v>1000</v>
      </c>
    </row>
    <row r="6944" ht="22" customHeight="1" spans="1:10" x14ac:dyDescent="0.25">
      <c r="A6944" s="43">
        <v>3130</v>
      </c>
      <c r="B6944" s="43">
        <v>18</v>
      </c>
      <c r="C6944" s="43" t="s">
        <v>963</v>
      </c>
      <c r="D6944" s="43" t="s">
        <v>999</v>
      </c>
      <c r="E6944" s="43" t="s">
        <v>310</v>
      </c>
      <c r="F6944" s="43" t="s">
        <v>953</v>
      </c>
      <c r="G6944" s="43">
        <v>1800000</v>
      </c>
      <c r="H6944" s="43">
        <v>145000</v>
      </c>
      <c r="I6944" s="43" t="s">
        <v>949</v>
      </c>
      <c r="J6944" s="44" t="s">
        <v>1000</v>
      </c>
    </row>
    <row r="6945" ht="22" customHeight="1" spans="1:10" x14ac:dyDescent="0.25">
      <c r="A6945" s="43">
        <v>3130</v>
      </c>
      <c r="B6945" s="43">
        <v>18</v>
      </c>
      <c r="C6945" s="43" t="s">
        <v>963</v>
      </c>
      <c r="D6945" s="43" t="s">
        <v>999</v>
      </c>
      <c r="E6945" s="43" t="s">
        <v>310</v>
      </c>
      <c r="F6945" s="43" t="s">
        <v>954</v>
      </c>
      <c r="G6945" s="43">
        <v>1800000</v>
      </c>
      <c r="H6945" s="43">
        <v>145000</v>
      </c>
      <c r="I6945" s="43" t="s">
        <v>949</v>
      </c>
      <c r="J6945" s="44" t="s">
        <v>1000</v>
      </c>
    </row>
    <row r="6946" ht="22" customHeight="1" spans="1:10" x14ac:dyDescent="0.25">
      <c r="A6946" s="43">
        <v>3130</v>
      </c>
      <c r="B6946" s="43">
        <v>18</v>
      </c>
      <c r="C6946" s="43" t="s">
        <v>963</v>
      </c>
      <c r="D6946" s="43" t="s">
        <v>999</v>
      </c>
      <c r="E6946" s="43" t="s">
        <v>310</v>
      </c>
      <c r="F6946" s="43" t="s">
        <v>955</v>
      </c>
      <c r="G6946" s="43">
        <v>1800000</v>
      </c>
      <c r="H6946" s="43">
        <v>145000</v>
      </c>
      <c r="I6946" s="43" t="s">
        <v>949</v>
      </c>
      <c r="J6946" s="44" t="s">
        <v>1000</v>
      </c>
    </row>
    <row r="6947" ht="22" customHeight="1" spans="1:10" x14ac:dyDescent="0.25">
      <c r="A6947" s="43">
        <v>3130</v>
      </c>
      <c r="B6947" s="43">
        <v>18</v>
      </c>
      <c r="C6947" s="43" t="s">
        <v>963</v>
      </c>
      <c r="D6947" s="43" t="s">
        <v>999</v>
      </c>
      <c r="E6947" s="43" t="s">
        <v>310</v>
      </c>
      <c r="F6947" s="43" t="s">
        <v>956</v>
      </c>
      <c r="G6947" s="43">
        <v>1800000</v>
      </c>
      <c r="H6947" s="43">
        <v>145000</v>
      </c>
      <c r="I6947" s="43" t="s">
        <v>949</v>
      </c>
      <c r="J6947" s="44" t="s">
        <v>1000</v>
      </c>
    </row>
    <row r="6948" ht="22" customHeight="1" spans="1:10" x14ac:dyDescent="0.25">
      <c r="A6948" s="43">
        <v>3130</v>
      </c>
      <c r="B6948" s="43">
        <v>18</v>
      </c>
      <c r="C6948" s="43" t="s">
        <v>963</v>
      </c>
      <c r="D6948" s="43" t="s">
        <v>999</v>
      </c>
      <c r="E6948" s="43" t="s">
        <v>310</v>
      </c>
      <c r="F6948" s="43" t="s">
        <v>957</v>
      </c>
      <c r="G6948" s="43">
        <v>1800000</v>
      </c>
      <c r="H6948" s="43">
        <v>145000</v>
      </c>
      <c r="I6948" s="43" t="s">
        <v>949</v>
      </c>
      <c r="J6948" s="44" t="s">
        <v>1000</v>
      </c>
    </row>
    <row r="6949" ht="22" customHeight="1" spans="1:10" x14ac:dyDescent="0.25">
      <c r="A6949" s="43">
        <v>3130</v>
      </c>
      <c r="B6949" s="43">
        <v>18</v>
      </c>
      <c r="C6949" s="43" t="s">
        <v>963</v>
      </c>
      <c r="D6949" s="43" t="s">
        <v>999</v>
      </c>
      <c r="E6949" s="43" t="s">
        <v>310</v>
      </c>
      <c r="F6949" s="43" t="s">
        <v>958</v>
      </c>
      <c r="G6949" s="43">
        <v>1800000</v>
      </c>
      <c r="H6949" s="43">
        <v>145000</v>
      </c>
      <c r="I6949" s="43" t="s">
        <v>949</v>
      </c>
      <c r="J6949" s="44" t="s">
        <v>1000</v>
      </c>
    </row>
    <row r="6950" ht="22" customHeight="1" spans="1:10" x14ac:dyDescent="0.25">
      <c r="A6950" s="43">
        <v>3130</v>
      </c>
      <c r="B6950" s="43">
        <v>18</v>
      </c>
      <c r="C6950" s="43" t="s">
        <v>963</v>
      </c>
      <c r="D6950" s="43" t="s">
        <v>999</v>
      </c>
      <c r="E6950" s="43" t="s">
        <v>310</v>
      </c>
      <c r="F6950" s="43" t="s">
        <v>959</v>
      </c>
      <c r="G6950" s="43">
        <v>1800000</v>
      </c>
      <c r="H6950" s="43">
        <v>145000</v>
      </c>
      <c r="I6950" s="43" t="s">
        <v>949</v>
      </c>
      <c r="J6950" s="44" t="s">
        <v>1000</v>
      </c>
    </row>
    <row r="6951" ht="22" customHeight="1" spans="1:10" x14ac:dyDescent="0.25">
      <c r="A6951" s="43">
        <v>3130</v>
      </c>
      <c r="B6951" s="43">
        <v>18</v>
      </c>
      <c r="C6951" s="43" t="s">
        <v>963</v>
      </c>
      <c r="D6951" s="43" t="s">
        <v>999</v>
      </c>
      <c r="E6951" s="43" t="s">
        <v>310</v>
      </c>
      <c r="F6951" s="43" t="s">
        <v>960</v>
      </c>
      <c r="G6951" s="43">
        <v>1800000</v>
      </c>
      <c r="H6951" s="43">
        <v>145000</v>
      </c>
      <c r="I6951" s="43" t="s">
        <v>949</v>
      </c>
      <c r="J6951" s="44" t="s">
        <v>1000</v>
      </c>
    </row>
    <row r="6952" ht="22" customHeight="1" spans="1:10" x14ac:dyDescent="0.25">
      <c r="A6952" s="43">
        <v>3130</v>
      </c>
      <c r="B6952" s="43">
        <v>18</v>
      </c>
      <c r="C6952" s="43" t="s">
        <v>963</v>
      </c>
      <c r="D6952" s="43" t="s">
        <v>999</v>
      </c>
      <c r="E6952" s="43" t="s">
        <v>310</v>
      </c>
      <c r="F6952" s="43" t="s">
        <v>961</v>
      </c>
      <c r="G6952" s="43">
        <v>1800000</v>
      </c>
      <c r="H6952" s="43">
        <v>145000</v>
      </c>
      <c r="I6952" s="43" t="s">
        <v>949</v>
      </c>
      <c r="J6952" s="44" t="s">
        <v>1000</v>
      </c>
    </row>
    <row r="6953" ht="22" customHeight="1" spans="1:10" x14ac:dyDescent="0.25">
      <c r="A6953" s="43">
        <v>3130</v>
      </c>
      <c r="B6953" s="43">
        <v>18</v>
      </c>
      <c r="C6953" s="43" t="s">
        <v>950</v>
      </c>
      <c r="D6953" s="43" t="s">
        <v>999</v>
      </c>
      <c r="E6953" s="43" t="s">
        <v>314</v>
      </c>
      <c r="F6953" s="43" t="s">
        <v>951</v>
      </c>
      <c r="G6953" s="43">
        <v>1800000</v>
      </c>
      <c r="H6953" s="43">
        <v>145000</v>
      </c>
      <c r="I6953" s="43" t="s">
        <v>949</v>
      </c>
      <c r="J6953" s="44" t="s">
        <v>1000</v>
      </c>
    </row>
    <row r="6954" ht="22" customHeight="1" spans="1:10" x14ac:dyDescent="0.25">
      <c r="A6954" s="43">
        <v>3130</v>
      </c>
      <c r="B6954" s="43">
        <v>18</v>
      </c>
      <c r="C6954" s="43" t="s">
        <v>950</v>
      </c>
      <c r="D6954" s="43" t="s">
        <v>999</v>
      </c>
      <c r="E6954" s="43" t="s">
        <v>314</v>
      </c>
      <c r="F6954" s="43" t="s">
        <v>952</v>
      </c>
      <c r="G6954" s="43">
        <v>1800000</v>
      </c>
      <c r="H6954" s="43">
        <v>145000</v>
      </c>
      <c r="I6954" s="43" t="s">
        <v>949</v>
      </c>
      <c r="J6954" s="44" t="s">
        <v>1000</v>
      </c>
    </row>
    <row r="6955" ht="22" customHeight="1" spans="1:10" x14ac:dyDescent="0.25">
      <c r="A6955" s="43">
        <v>3130</v>
      </c>
      <c r="B6955" s="43">
        <v>18</v>
      </c>
      <c r="C6955" s="43" t="s">
        <v>950</v>
      </c>
      <c r="D6955" s="43" t="s">
        <v>999</v>
      </c>
      <c r="E6955" s="43" t="s">
        <v>314</v>
      </c>
      <c r="F6955" s="43" t="s">
        <v>953</v>
      </c>
      <c r="G6955" s="43">
        <v>1800000</v>
      </c>
      <c r="H6955" s="43">
        <v>145000</v>
      </c>
      <c r="I6955" s="43" t="s">
        <v>949</v>
      </c>
      <c r="J6955" s="44" t="s">
        <v>1000</v>
      </c>
    </row>
    <row r="6956" ht="22" customHeight="1" spans="1:10" x14ac:dyDescent="0.25">
      <c r="A6956" s="43">
        <v>3130</v>
      </c>
      <c r="B6956" s="43">
        <v>18</v>
      </c>
      <c r="C6956" s="43" t="s">
        <v>950</v>
      </c>
      <c r="D6956" s="43" t="s">
        <v>999</v>
      </c>
      <c r="E6956" s="43" t="s">
        <v>314</v>
      </c>
      <c r="F6956" s="43" t="s">
        <v>954</v>
      </c>
      <c r="G6956" s="43">
        <v>1800000</v>
      </c>
      <c r="H6956" s="43">
        <v>145000</v>
      </c>
      <c r="I6956" s="43" t="s">
        <v>949</v>
      </c>
      <c r="J6956" s="44" t="s">
        <v>1000</v>
      </c>
    </row>
    <row r="6957" ht="22" customHeight="1" spans="1:10" x14ac:dyDescent="0.25">
      <c r="A6957" s="43">
        <v>3130</v>
      </c>
      <c r="B6957" s="43">
        <v>18</v>
      </c>
      <c r="C6957" s="43" t="s">
        <v>950</v>
      </c>
      <c r="D6957" s="43" t="s">
        <v>999</v>
      </c>
      <c r="E6957" s="43" t="s">
        <v>314</v>
      </c>
      <c r="F6957" s="43" t="s">
        <v>955</v>
      </c>
      <c r="G6957" s="43">
        <v>1800000</v>
      </c>
      <c r="H6957" s="43">
        <v>145000</v>
      </c>
      <c r="I6957" s="43" t="s">
        <v>949</v>
      </c>
      <c r="J6957" s="44" t="s">
        <v>1000</v>
      </c>
    </row>
    <row r="6958" ht="22" customHeight="1" spans="1:10" x14ac:dyDescent="0.25">
      <c r="A6958" s="43">
        <v>3130</v>
      </c>
      <c r="B6958" s="43">
        <v>18</v>
      </c>
      <c r="C6958" s="43" t="s">
        <v>950</v>
      </c>
      <c r="D6958" s="43" t="s">
        <v>999</v>
      </c>
      <c r="E6958" s="43" t="s">
        <v>314</v>
      </c>
      <c r="F6958" s="43" t="s">
        <v>956</v>
      </c>
      <c r="G6958" s="43">
        <v>1800000</v>
      </c>
      <c r="H6958" s="43">
        <v>145000</v>
      </c>
      <c r="I6958" s="43" t="s">
        <v>949</v>
      </c>
      <c r="J6958" s="44" t="s">
        <v>1000</v>
      </c>
    </row>
    <row r="6959" ht="22" customHeight="1" spans="1:10" x14ac:dyDescent="0.25">
      <c r="A6959" s="43">
        <v>3130</v>
      </c>
      <c r="B6959" s="43">
        <v>18</v>
      </c>
      <c r="C6959" s="43" t="s">
        <v>950</v>
      </c>
      <c r="D6959" s="43" t="s">
        <v>999</v>
      </c>
      <c r="E6959" s="43" t="s">
        <v>314</v>
      </c>
      <c r="F6959" s="43" t="s">
        <v>957</v>
      </c>
      <c r="G6959" s="43">
        <v>1800000</v>
      </c>
      <c r="H6959" s="43">
        <v>145000</v>
      </c>
      <c r="I6959" s="43" t="s">
        <v>949</v>
      </c>
      <c r="J6959" s="44" t="s">
        <v>1000</v>
      </c>
    </row>
    <row r="6960" ht="22" customHeight="1" spans="1:10" x14ac:dyDescent="0.25">
      <c r="A6960" s="43">
        <v>3130</v>
      </c>
      <c r="B6960" s="43">
        <v>18</v>
      </c>
      <c r="C6960" s="43" t="s">
        <v>950</v>
      </c>
      <c r="D6960" s="43" t="s">
        <v>999</v>
      </c>
      <c r="E6960" s="43" t="s">
        <v>314</v>
      </c>
      <c r="F6960" s="43" t="s">
        <v>958</v>
      </c>
      <c r="G6960" s="43">
        <v>1800000</v>
      </c>
      <c r="H6960" s="43">
        <v>145000</v>
      </c>
      <c r="I6960" s="43" t="s">
        <v>949</v>
      </c>
      <c r="J6960" s="44" t="s">
        <v>1000</v>
      </c>
    </row>
    <row r="6961" ht="22" customHeight="1" spans="1:10" x14ac:dyDescent="0.25">
      <c r="A6961" s="43">
        <v>3130</v>
      </c>
      <c r="B6961" s="43">
        <v>18</v>
      </c>
      <c r="C6961" s="43" t="s">
        <v>950</v>
      </c>
      <c r="D6961" s="43" t="s">
        <v>999</v>
      </c>
      <c r="E6961" s="43" t="s">
        <v>314</v>
      </c>
      <c r="F6961" s="43" t="s">
        <v>959</v>
      </c>
      <c r="G6961" s="43">
        <v>1800000</v>
      </c>
      <c r="H6961" s="43">
        <v>145000</v>
      </c>
      <c r="I6961" s="43" t="s">
        <v>949</v>
      </c>
      <c r="J6961" s="44" t="s">
        <v>1000</v>
      </c>
    </row>
    <row r="6962" ht="22" customHeight="1" spans="1:10" x14ac:dyDescent="0.25">
      <c r="A6962" s="43">
        <v>3130</v>
      </c>
      <c r="B6962" s="43">
        <v>18</v>
      </c>
      <c r="C6962" s="43" t="s">
        <v>950</v>
      </c>
      <c r="D6962" s="43" t="s">
        <v>999</v>
      </c>
      <c r="E6962" s="43" t="s">
        <v>314</v>
      </c>
      <c r="F6962" s="43" t="s">
        <v>960</v>
      </c>
      <c r="G6962" s="43">
        <v>1800000</v>
      </c>
      <c r="H6962" s="43">
        <v>145000</v>
      </c>
      <c r="I6962" s="43" t="s">
        <v>949</v>
      </c>
      <c r="J6962" s="44" t="s">
        <v>1000</v>
      </c>
    </row>
    <row r="6963" ht="22" customHeight="1" spans="1:10" x14ac:dyDescent="0.25">
      <c r="A6963" s="43">
        <v>3130</v>
      </c>
      <c r="B6963" s="43">
        <v>18</v>
      </c>
      <c r="C6963" s="43" t="s">
        <v>950</v>
      </c>
      <c r="D6963" s="43" t="s">
        <v>999</v>
      </c>
      <c r="E6963" s="43" t="s">
        <v>314</v>
      </c>
      <c r="F6963" s="43" t="s">
        <v>961</v>
      </c>
      <c r="G6963" s="43">
        <v>1800000</v>
      </c>
      <c r="H6963" s="43">
        <v>145000</v>
      </c>
      <c r="I6963" s="43" t="s">
        <v>949</v>
      </c>
      <c r="J6963" s="44" t="s">
        <v>1000</v>
      </c>
    </row>
    <row r="6964" ht="22" customHeight="1" spans="1:10" x14ac:dyDescent="0.25">
      <c r="A6964" s="43">
        <v>3130</v>
      </c>
      <c r="B6964" s="43">
        <v>18</v>
      </c>
      <c r="C6964" s="43" t="s">
        <v>962</v>
      </c>
      <c r="D6964" s="43" t="s">
        <v>999</v>
      </c>
      <c r="E6964" s="43" t="s">
        <v>314</v>
      </c>
      <c r="F6964" s="43" t="s">
        <v>951</v>
      </c>
      <c r="G6964" s="43">
        <v>1800000</v>
      </c>
      <c r="H6964" s="43">
        <v>145000</v>
      </c>
      <c r="I6964" s="43" t="s">
        <v>949</v>
      </c>
      <c r="J6964" s="44" t="s">
        <v>1000</v>
      </c>
    </row>
    <row r="6965" ht="22" customHeight="1" spans="1:10" x14ac:dyDescent="0.25">
      <c r="A6965" s="43">
        <v>3130</v>
      </c>
      <c r="B6965" s="43">
        <v>18</v>
      </c>
      <c r="C6965" s="43" t="s">
        <v>962</v>
      </c>
      <c r="D6965" s="43" t="s">
        <v>999</v>
      </c>
      <c r="E6965" s="43" t="s">
        <v>314</v>
      </c>
      <c r="F6965" s="43" t="s">
        <v>952</v>
      </c>
      <c r="G6965" s="43">
        <v>1800000</v>
      </c>
      <c r="H6965" s="43">
        <v>145000</v>
      </c>
      <c r="I6965" s="43" t="s">
        <v>949</v>
      </c>
      <c r="J6965" s="44" t="s">
        <v>1000</v>
      </c>
    </row>
    <row r="6966" ht="22" customHeight="1" spans="1:10" x14ac:dyDescent="0.25">
      <c r="A6966" s="43">
        <v>3130</v>
      </c>
      <c r="B6966" s="43">
        <v>18</v>
      </c>
      <c r="C6966" s="43" t="s">
        <v>962</v>
      </c>
      <c r="D6966" s="43" t="s">
        <v>999</v>
      </c>
      <c r="E6966" s="43" t="s">
        <v>314</v>
      </c>
      <c r="F6966" s="43" t="s">
        <v>953</v>
      </c>
      <c r="G6966" s="43">
        <v>1800000</v>
      </c>
      <c r="H6966" s="43">
        <v>145000</v>
      </c>
      <c r="I6966" s="43" t="s">
        <v>949</v>
      </c>
      <c r="J6966" s="44" t="s">
        <v>1000</v>
      </c>
    </row>
    <row r="6967" ht="22" customHeight="1" spans="1:10" x14ac:dyDescent="0.25">
      <c r="A6967" s="43">
        <v>3130</v>
      </c>
      <c r="B6967" s="43">
        <v>18</v>
      </c>
      <c r="C6967" s="43" t="s">
        <v>962</v>
      </c>
      <c r="D6967" s="43" t="s">
        <v>999</v>
      </c>
      <c r="E6967" s="43" t="s">
        <v>314</v>
      </c>
      <c r="F6967" s="43" t="s">
        <v>954</v>
      </c>
      <c r="G6967" s="43">
        <v>1800000</v>
      </c>
      <c r="H6967" s="43">
        <v>145000</v>
      </c>
      <c r="I6967" s="43" t="s">
        <v>949</v>
      </c>
      <c r="J6967" s="44" t="s">
        <v>1000</v>
      </c>
    </row>
    <row r="6968" ht="22" customHeight="1" spans="1:10" x14ac:dyDescent="0.25">
      <c r="A6968" s="43">
        <v>3130</v>
      </c>
      <c r="B6968" s="43">
        <v>18</v>
      </c>
      <c r="C6968" s="43" t="s">
        <v>962</v>
      </c>
      <c r="D6968" s="43" t="s">
        <v>999</v>
      </c>
      <c r="E6968" s="43" t="s">
        <v>314</v>
      </c>
      <c r="F6968" s="43" t="s">
        <v>955</v>
      </c>
      <c r="G6968" s="43">
        <v>1800000</v>
      </c>
      <c r="H6968" s="43">
        <v>145000</v>
      </c>
      <c r="I6968" s="43" t="s">
        <v>949</v>
      </c>
      <c r="J6968" s="44" t="s">
        <v>1000</v>
      </c>
    </row>
    <row r="6969" ht="22" customHeight="1" spans="1:10" x14ac:dyDescent="0.25">
      <c r="A6969" s="43">
        <v>3130</v>
      </c>
      <c r="B6969" s="43">
        <v>18</v>
      </c>
      <c r="C6969" s="43" t="s">
        <v>962</v>
      </c>
      <c r="D6969" s="43" t="s">
        <v>999</v>
      </c>
      <c r="E6969" s="43" t="s">
        <v>314</v>
      </c>
      <c r="F6969" s="43" t="s">
        <v>956</v>
      </c>
      <c r="G6969" s="43">
        <v>1800000</v>
      </c>
      <c r="H6969" s="43">
        <v>145000</v>
      </c>
      <c r="I6969" s="43" t="s">
        <v>949</v>
      </c>
      <c r="J6969" s="44" t="s">
        <v>1000</v>
      </c>
    </row>
    <row r="6970" ht="22" customHeight="1" spans="1:10" x14ac:dyDescent="0.25">
      <c r="A6970" s="43">
        <v>3130</v>
      </c>
      <c r="B6970" s="43">
        <v>18</v>
      </c>
      <c r="C6970" s="43" t="s">
        <v>962</v>
      </c>
      <c r="D6970" s="43" t="s">
        <v>999</v>
      </c>
      <c r="E6970" s="43" t="s">
        <v>314</v>
      </c>
      <c r="F6970" s="43" t="s">
        <v>957</v>
      </c>
      <c r="G6970" s="43">
        <v>1800000</v>
      </c>
      <c r="H6970" s="43">
        <v>145000</v>
      </c>
      <c r="I6970" s="43" t="s">
        <v>949</v>
      </c>
      <c r="J6970" s="44" t="s">
        <v>1000</v>
      </c>
    </row>
    <row r="6971" ht="22" customHeight="1" spans="1:10" x14ac:dyDescent="0.25">
      <c r="A6971" s="43">
        <v>3130</v>
      </c>
      <c r="B6971" s="43">
        <v>18</v>
      </c>
      <c r="C6971" s="43" t="s">
        <v>962</v>
      </c>
      <c r="D6971" s="43" t="s">
        <v>999</v>
      </c>
      <c r="E6971" s="43" t="s">
        <v>314</v>
      </c>
      <c r="F6971" s="43" t="s">
        <v>958</v>
      </c>
      <c r="G6971" s="43">
        <v>1800000</v>
      </c>
      <c r="H6971" s="43">
        <v>145000</v>
      </c>
      <c r="I6971" s="43" t="s">
        <v>949</v>
      </c>
      <c r="J6971" s="44" t="s">
        <v>1000</v>
      </c>
    </row>
    <row r="6972" ht="22" customHeight="1" spans="1:10" x14ac:dyDescent="0.25">
      <c r="A6972" s="43">
        <v>3130</v>
      </c>
      <c r="B6972" s="43">
        <v>18</v>
      </c>
      <c r="C6972" s="43" t="s">
        <v>962</v>
      </c>
      <c r="D6972" s="43" t="s">
        <v>999</v>
      </c>
      <c r="E6972" s="43" t="s">
        <v>314</v>
      </c>
      <c r="F6972" s="43" t="s">
        <v>959</v>
      </c>
      <c r="G6972" s="43">
        <v>1800000</v>
      </c>
      <c r="H6972" s="43">
        <v>145000</v>
      </c>
      <c r="I6972" s="43" t="s">
        <v>949</v>
      </c>
      <c r="J6972" s="44" t="s">
        <v>1000</v>
      </c>
    </row>
    <row r="6973" ht="22" customHeight="1" spans="1:10" x14ac:dyDescent="0.25">
      <c r="A6973" s="43">
        <v>3130</v>
      </c>
      <c r="B6973" s="43">
        <v>18</v>
      </c>
      <c r="C6973" s="43" t="s">
        <v>962</v>
      </c>
      <c r="D6973" s="43" t="s">
        <v>999</v>
      </c>
      <c r="E6973" s="43" t="s">
        <v>314</v>
      </c>
      <c r="F6973" s="43" t="s">
        <v>960</v>
      </c>
      <c r="G6973" s="43">
        <v>1800000</v>
      </c>
      <c r="H6973" s="43">
        <v>145000</v>
      </c>
      <c r="I6973" s="43" t="s">
        <v>949</v>
      </c>
      <c r="J6973" s="44" t="s">
        <v>1000</v>
      </c>
    </row>
    <row r="6974" ht="22" customHeight="1" spans="1:10" x14ac:dyDescent="0.25">
      <c r="A6974" s="43">
        <v>3130</v>
      </c>
      <c r="B6974" s="43">
        <v>18</v>
      </c>
      <c r="C6974" s="43" t="s">
        <v>962</v>
      </c>
      <c r="D6974" s="43" t="s">
        <v>999</v>
      </c>
      <c r="E6974" s="43" t="s">
        <v>314</v>
      </c>
      <c r="F6974" s="43" t="s">
        <v>961</v>
      </c>
      <c r="G6974" s="43">
        <v>1800000</v>
      </c>
      <c r="H6974" s="43">
        <v>145000</v>
      </c>
      <c r="I6974" s="43" t="s">
        <v>949</v>
      </c>
      <c r="J6974" s="44" t="s">
        <v>1000</v>
      </c>
    </row>
    <row r="6975" ht="22" customHeight="1" spans="1:10" x14ac:dyDescent="0.25">
      <c r="A6975" s="43">
        <v>3130</v>
      </c>
      <c r="B6975" s="43">
        <v>18</v>
      </c>
      <c r="C6975" s="43" t="s">
        <v>963</v>
      </c>
      <c r="D6975" s="43" t="s">
        <v>999</v>
      </c>
      <c r="E6975" s="43" t="s">
        <v>314</v>
      </c>
      <c r="F6975" s="43" t="s">
        <v>951</v>
      </c>
      <c r="G6975" s="43">
        <v>1800000</v>
      </c>
      <c r="H6975" s="43">
        <v>145000</v>
      </c>
      <c r="I6975" s="43" t="s">
        <v>949</v>
      </c>
      <c r="J6975" s="44" t="s">
        <v>1000</v>
      </c>
    </row>
    <row r="6976" ht="22" customHeight="1" spans="1:10" x14ac:dyDescent="0.25">
      <c r="A6976" s="43">
        <v>3130</v>
      </c>
      <c r="B6976" s="43">
        <v>18</v>
      </c>
      <c r="C6976" s="43" t="s">
        <v>963</v>
      </c>
      <c r="D6976" s="43" t="s">
        <v>999</v>
      </c>
      <c r="E6976" s="43" t="s">
        <v>314</v>
      </c>
      <c r="F6976" s="43" t="s">
        <v>952</v>
      </c>
      <c r="G6976" s="43">
        <v>1800000</v>
      </c>
      <c r="H6976" s="43">
        <v>145000</v>
      </c>
      <c r="I6976" s="43" t="s">
        <v>949</v>
      </c>
      <c r="J6976" s="44" t="s">
        <v>1000</v>
      </c>
    </row>
    <row r="6977" ht="22" customHeight="1" spans="1:10" x14ac:dyDescent="0.25">
      <c r="A6977" s="43">
        <v>3130</v>
      </c>
      <c r="B6977" s="43">
        <v>18</v>
      </c>
      <c r="C6977" s="43" t="s">
        <v>963</v>
      </c>
      <c r="D6977" s="43" t="s">
        <v>999</v>
      </c>
      <c r="E6977" s="43" t="s">
        <v>314</v>
      </c>
      <c r="F6977" s="43" t="s">
        <v>953</v>
      </c>
      <c r="G6977" s="43">
        <v>1800000</v>
      </c>
      <c r="H6977" s="43">
        <v>145000</v>
      </c>
      <c r="I6977" s="43" t="s">
        <v>949</v>
      </c>
      <c r="J6977" s="44" t="s">
        <v>1000</v>
      </c>
    </row>
    <row r="6978" ht="22" customHeight="1" spans="1:10" x14ac:dyDescent="0.25">
      <c r="A6978" s="43">
        <v>3130</v>
      </c>
      <c r="B6978" s="43">
        <v>18</v>
      </c>
      <c r="C6978" s="43" t="s">
        <v>963</v>
      </c>
      <c r="D6978" s="43" t="s">
        <v>999</v>
      </c>
      <c r="E6978" s="43" t="s">
        <v>314</v>
      </c>
      <c r="F6978" s="43" t="s">
        <v>954</v>
      </c>
      <c r="G6978" s="43">
        <v>1800000</v>
      </c>
      <c r="H6978" s="43">
        <v>145000</v>
      </c>
      <c r="I6978" s="43" t="s">
        <v>949</v>
      </c>
      <c r="J6978" s="44" t="s">
        <v>1000</v>
      </c>
    </row>
    <row r="6979" ht="22" customHeight="1" spans="1:10" x14ac:dyDescent="0.25">
      <c r="A6979" s="43">
        <v>3130</v>
      </c>
      <c r="B6979" s="43">
        <v>18</v>
      </c>
      <c r="C6979" s="43" t="s">
        <v>963</v>
      </c>
      <c r="D6979" s="43" t="s">
        <v>999</v>
      </c>
      <c r="E6979" s="43" t="s">
        <v>314</v>
      </c>
      <c r="F6979" s="43" t="s">
        <v>955</v>
      </c>
      <c r="G6979" s="43">
        <v>1800000</v>
      </c>
      <c r="H6979" s="43">
        <v>145000</v>
      </c>
      <c r="I6979" s="43" t="s">
        <v>949</v>
      </c>
      <c r="J6979" s="44" t="s">
        <v>1000</v>
      </c>
    </row>
    <row r="6980" ht="22" customHeight="1" spans="1:10" x14ac:dyDescent="0.25">
      <c r="A6980" s="43">
        <v>3130</v>
      </c>
      <c r="B6980" s="43">
        <v>18</v>
      </c>
      <c r="C6980" s="43" t="s">
        <v>963</v>
      </c>
      <c r="D6980" s="43" t="s">
        <v>999</v>
      </c>
      <c r="E6980" s="43" t="s">
        <v>314</v>
      </c>
      <c r="F6980" s="43" t="s">
        <v>956</v>
      </c>
      <c r="G6980" s="43">
        <v>1800000</v>
      </c>
      <c r="H6980" s="43">
        <v>145000</v>
      </c>
      <c r="I6980" s="43" t="s">
        <v>949</v>
      </c>
      <c r="J6980" s="44" t="s">
        <v>1000</v>
      </c>
    </row>
    <row r="6981" ht="22" customHeight="1" spans="1:10" x14ac:dyDescent="0.25">
      <c r="A6981" s="43">
        <v>3130</v>
      </c>
      <c r="B6981" s="43">
        <v>18</v>
      </c>
      <c r="C6981" s="43" t="s">
        <v>963</v>
      </c>
      <c r="D6981" s="43" t="s">
        <v>999</v>
      </c>
      <c r="E6981" s="43" t="s">
        <v>314</v>
      </c>
      <c r="F6981" s="43" t="s">
        <v>957</v>
      </c>
      <c r="G6981" s="43">
        <v>1800000</v>
      </c>
      <c r="H6981" s="43">
        <v>145000</v>
      </c>
      <c r="I6981" s="43" t="s">
        <v>949</v>
      </c>
      <c r="J6981" s="44" t="s">
        <v>1000</v>
      </c>
    </row>
    <row r="6982" ht="22" customHeight="1" spans="1:10" x14ac:dyDescent="0.25">
      <c r="A6982" s="43">
        <v>3130</v>
      </c>
      <c r="B6982" s="43">
        <v>18</v>
      </c>
      <c r="C6982" s="43" t="s">
        <v>963</v>
      </c>
      <c r="D6982" s="43" t="s">
        <v>999</v>
      </c>
      <c r="E6982" s="43" t="s">
        <v>314</v>
      </c>
      <c r="F6982" s="43" t="s">
        <v>958</v>
      </c>
      <c r="G6982" s="43">
        <v>1800000</v>
      </c>
      <c r="H6982" s="43">
        <v>145000</v>
      </c>
      <c r="I6982" s="43" t="s">
        <v>949</v>
      </c>
      <c r="J6982" s="44" t="s">
        <v>1000</v>
      </c>
    </row>
    <row r="6983" ht="22" customHeight="1" spans="1:10" x14ac:dyDescent="0.25">
      <c r="A6983" s="43">
        <v>3130</v>
      </c>
      <c r="B6983" s="43">
        <v>18</v>
      </c>
      <c r="C6983" s="43" t="s">
        <v>963</v>
      </c>
      <c r="D6983" s="43" t="s">
        <v>999</v>
      </c>
      <c r="E6983" s="43" t="s">
        <v>314</v>
      </c>
      <c r="F6983" s="43" t="s">
        <v>959</v>
      </c>
      <c r="G6983" s="43">
        <v>1800000</v>
      </c>
      <c r="H6983" s="43">
        <v>145000</v>
      </c>
      <c r="I6983" s="43" t="s">
        <v>949</v>
      </c>
      <c r="J6983" s="44" t="s">
        <v>1000</v>
      </c>
    </row>
    <row r="6984" ht="22" customHeight="1" spans="1:10" x14ac:dyDescent="0.25">
      <c r="A6984" s="43">
        <v>3130</v>
      </c>
      <c r="B6984" s="43">
        <v>18</v>
      </c>
      <c r="C6984" s="43" t="s">
        <v>963</v>
      </c>
      <c r="D6984" s="43" t="s">
        <v>999</v>
      </c>
      <c r="E6984" s="43" t="s">
        <v>314</v>
      </c>
      <c r="F6984" s="43" t="s">
        <v>960</v>
      </c>
      <c r="G6984" s="43">
        <v>1800000</v>
      </c>
      <c r="H6984" s="43">
        <v>145000</v>
      </c>
      <c r="I6984" s="43" t="s">
        <v>949</v>
      </c>
      <c r="J6984" s="44" t="s">
        <v>1000</v>
      </c>
    </row>
    <row r="6985" ht="22" customHeight="1" spans="1:10" x14ac:dyDescent="0.25">
      <c r="A6985" s="43">
        <v>3130</v>
      </c>
      <c r="B6985" s="43">
        <v>18</v>
      </c>
      <c r="C6985" s="43" t="s">
        <v>963</v>
      </c>
      <c r="D6985" s="43" t="s">
        <v>999</v>
      </c>
      <c r="E6985" s="43" t="s">
        <v>314</v>
      </c>
      <c r="F6985" s="43" t="s">
        <v>961</v>
      </c>
      <c r="G6985" s="43">
        <v>1800000</v>
      </c>
      <c r="H6985" s="43">
        <v>145000</v>
      </c>
      <c r="I6985" s="43" t="s">
        <v>949</v>
      </c>
      <c r="J6985" s="44" t="s">
        <v>1000</v>
      </c>
    </row>
    <row r="6986" spans="1:9" x14ac:dyDescent="0.25">
      <c r="A6986">
        <v>3130</v>
      </c>
      <c r="B6986">
        <v>18</v>
      </c>
      <c r="C6986" t="s">
        <v>950</v>
      </c>
      <c r="D6986" t="s">
        <v>999</v>
      </c>
      <c r="E6986" t="s">
        <v>121</v>
      </c>
      <c r="F6986" t="s">
        <v>951</v>
      </c>
      <c r="G6986">
        <v>1877777</v>
      </c>
      <c r="H6986">
        <v>500220</v>
      </c>
      <c r="I6986" t="s">
        <v>949</v>
      </c>
    </row>
    <row r="6987" spans="1:9" x14ac:dyDescent="0.25">
      <c r="A6987">
        <v>3130</v>
      </c>
      <c r="B6987">
        <v>18</v>
      </c>
      <c r="C6987" t="s">
        <v>962</v>
      </c>
      <c r="D6987" t="s">
        <v>999</v>
      </c>
      <c r="E6987" t="s">
        <v>121</v>
      </c>
      <c r="F6987" t="s">
        <v>951</v>
      </c>
      <c r="G6987">
        <v>1877777</v>
      </c>
      <c r="H6987">
        <v>500220</v>
      </c>
      <c r="I6987" t="s">
        <v>949</v>
      </c>
    </row>
    <row r="6988" spans="1:9" x14ac:dyDescent="0.25">
      <c r="A6988">
        <v>3130</v>
      </c>
      <c r="B6988">
        <v>18</v>
      </c>
      <c r="C6988" t="s">
        <v>963</v>
      </c>
      <c r="D6988" t="s">
        <v>999</v>
      </c>
      <c r="E6988" t="s">
        <v>121</v>
      </c>
      <c r="F6988" t="s">
        <v>951</v>
      </c>
      <c r="G6988">
        <v>1877777</v>
      </c>
      <c r="H6988">
        <v>500220</v>
      </c>
      <c r="I6988" t="s">
        <v>949</v>
      </c>
    </row>
    <row r="6989" spans="1:9" x14ac:dyDescent="0.25">
      <c r="A6989">
        <v>3130</v>
      </c>
      <c r="B6989">
        <v>18</v>
      </c>
      <c r="C6989" t="s">
        <v>950</v>
      </c>
      <c r="D6989" t="s">
        <v>999</v>
      </c>
      <c r="E6989" t="s">
        <v>984</v>
      </c>
      <c r="F6989" t="s">
        <v>951</v>
      </c>
      <c r="G6989">
        <v>1800000</v>
      </c>
      <c r="H6989">
        <v>141000</v>
      </c>
      <c r="I6989" t="s">
        <v>985</v>
      </c>
    </row>
    <row r="6990" spans="1:9" x14ac:dyDescent="0.25">
      <c r="A6990">
        <v>3130</v>
      </c>
      <c r="B6990">
        <v>18</v>
      </c>
      <c r="C6990" t="s">
        <v>950</v>
      </c>
      <c r="D6990" t="s">
        <v>999</v>
      </c>
      <c r="E6990" t="s">
        <v>984</v>
      </c>
      <c r="F6990" t="s">
        <v>952</v>
      </c>
      <c r="G6990">
        <v>1800000</v>
      </c>
      <c r="H6990">
        <v>141000</v>
      </c>
      <c r="I6990" t="s">
        <v>985</v>
      </c>
    </row>
    <row r="6991" spans="1:9" x14ac:dyDescent="0.25">
      <c r="A6991">
        <v>3130</v>
      </c>
      <c r="B6991">
        <v>18</v>
      </c>
      <c r="C6991" t="s">
        <v>950</v>
      </c>
      <c r="D6991" t="s">
        <v>999</v>
      </c>
      <c r="E6991" t="s">
        <v>984</v>
      </c>
      <c r="F6991" t="s">
        <v>953</v>
      </c>
      <c r="G6991">
        <v>1800000</v>
      </c>
      <c r="H6991">
        <v>141000</v>
      </c>
      <c r="I6991" t="s">
        <v>985</v>
      </c>
    </row>
    <row r="6992" spans="1:9" x14ac:dyDescent="0.25">
      <c r="A6992">
        <v>3130</v>
      </c>
      <c r="B6992">
        <v>18</v>
      </c>
      <c r="C6992" t="s">
        <v>950</v>
      </c>
      <c r="D6992" t="s">
        <v>999</v>
      </c>
      <c r="E6992" t="s">
        <v>984</v>
      </c>
      <c r="F6992" t="s">
        <v>954</v>
      </c>
      <c r="G6992">
        <v>1800000</v>
      </c>
      <c r="H6992">
        <v>141000</v>
      </c>
      <c r="I6992" t="s">
        <v>985</v>
      </c>
    </row>
    <row r="6993" spans="1:9" x14ac:dyDescent="0.25">
      <c r="A6993">
        <v>3130</v>
      </c>
      <c r="B6993">
        <v>18</v>
      </c>
      <c r="C6993" t="s">
        <v>950</v>
      </c>
      <c r="D6993" t="s">
        <v>999</v>
      </c>
      <c r="E6993" t="s">
        <v>984</v>
      </c>
      <c r="F6993" t="s">
        <v>955</v>
      </c>
      <c r="G6993">
        <v>1800000</v>
      </c>
      <c r="H6993">
        <v>141000</v>
      </c>
      <c r="I6993" t="s">
        <v>985</v>
      </c>
    </row>
    <row r="6994" spans="1:9" x14ac:dyDescent="0.25">
      <c r="A6994">
        <v>3130</v>
      </c>
      <c r="B6994">
        <v>18</v>
      </c>
      <c r="C6994" t="s">
        <v>950</v>
      </c>
      <c r="D6994" t="s">
        <v>999</v>
      </c>
      <c r="E6994" t="s">
        <v>984</v>
      </c>
      <c r="F6994" t="s">
        <v>956</v>
      </c>
      <c r="G6994">
        <v>1800000</v>
      </c>
      <c r="H6994">
        <v>141000</v>
      </c>
      <c r="I6994" t="s">
        <v>985</v>
      </c>
    </row>
    <row r="6995" spans="1:9" x14ac:dyDescent="0.25">
      <c r="A6995">
        <v>3130</v>
      </c>
      <c r="B6995">
        <v>18</v>
      </c>
      <c r="C6995" t="s">
        <v>950</v>
      </c>
      <c r="D6995" t="s">
        <v>999</v>
      </c>
      <c r="E6995" t="s">
        <v>984</v>
      </c>
      <c r="F6995" t="s">
        <v>957</v>
      </c>
      <c r="G6995">
        <v>1800000</v>
      </c>
      <c r="H6995">
        <v>141000</v>
      </c>
      <c r="I6995" t="s">
        <v>985</v>
      </c>
    </row>
    <row r="6996" spans="1:9" x14ac:dyDescent="0.25">
      <c r="A6996">
        <v>3130</v>
      </c>
      <c r="B6996">
        <v>18</v>
      </c>
      <c r="C6996" t="s">
        <v>950</v>
      </c>
      <c r="D6996" t="s">
        <v>999</v>
      </c>
      <c r="E6996" t="s">
        <v>984</v>
      </c>
      <c r="F6996" t="s">
        <v>958</v>
      </c>
      <c r="G6996">
        <v>1800000</v>
      </c>
      <c r="H6996">
        <v>141000</v>
      </c>
      <c r="I6996" t="s">
        <v>985</v>
      </c>
    </row>
    <row r="6997" spans="1:9" x14ac:dyDescent="0.25">
      <c r="A6997">
        <v>3130</v>
      </c>
      <c r="B6997">
        <v>18</v>
      </c>
      <c r="C6997" t="s">
        <v>950</v>
      </c>
      <c r="D6997" t="s">
        <v>999</v>
      </c>
      <c r="E6997" t="s">
        <v>984</v>
      </c>
      <c r="F6997" t="s">
        <v>959</v>
      </c>
      <c r="G6997">
        <v>1800000</v>
      </c>
      <c r="H6997">
        <v>141000</v>
      </c>
      <c r="I6997" t="s">
        <v>985</v>
      </c>
    </row>
    <row r="6998" spans="1:9" x14ac:dyDescent="0.25">
      <c r="A6998">
        <v>3130</v>
      </c>
      <c r="B6998">
        <v>18</v>
      </c>
      <c r="C6998" t="s">
        <v>950</v>
      </c>
      <c r="D6998" t="s">
        <v>999</v>
      </c>
      <c r="E6998" t="s">
        <v>984</v>
      </c>
      <c r="F6998" t="s">
        <v>960</v>
      </c>
      <c r="G6998">
        <v>1800000</v>
      </c>
      <c r="H6998">
        <v>141000</v>
      </c>
      <c r="I6998" t="s">
        <v>985</v>
      </c>
    </row>
    <row r="6999" spans="1:9" x14ac:dyDescent="0.25">
      <c r="A6999">
        <v>3130</v>
      </c>
      <c r="B6999">
        <v>18</v>
      </c>
      <c r="C6999" t="s">
        <v>950</v>
      </c>
      <c r="D6999" t="s">
        <v>999</v>
      </c>
      <c r="E6999" t="s">
        <v>984</v>
      </c>
      <c r="F6999" t="s">
        <v>961</v>
      </c>
      <c r="G6999">
        <v>1800000</v>
      </c>
      <c r="H6999">
        <v>141000</v>
      </c>
      <c r="I6999" t="s">
        <v>985</v>
      </c>
    </row>
    <row r="7000" spans="1:9" x14ac:dyDescent="0.25">
      <c r="A7000">
        <v>3130</v>
      </c>
      <c r="B7000">
        <v>18</v>
      </c>
      <c r="C7000" t="s">
        <v>962</v>
      </c>
      <c r="D7000" t="s">
        <v>999</v>
      </c>
      <c r="E7000" t="s">
        <v>984</v>
      </c>
      <c r="F7000" t="s">
        <v>951</v>
      </c>
      <c r="G7000">
        <v>1800000</v>
      </c>
      <c r="H7000">
        <v>141000</v>
      </c>
      <c r="I7000" t="s">
        <v>985</v>
      </c>
    </row>
    <row r="7001" spans="1:9" x14ac:dyDescent="0.25">
      <c r="A7001">
        <v>3130</v>
      </c>
      <c r="B7001">
        <v>18</v>
      </c>
      <c r="C7001" t="s">
        <v>962</v>
      </c>
      <c r="D7001" t="s">
        <v>999</v>
      </c>
      <c r="E7001" t="s">
        <v>984</v>
      </c>
      <c r="F7001" t="s">
        <v>952</v>
      </c>
      <c r="G7001">
        <v>1800000</v>
      </c>
      <c r="H7001">
        <v>141000</v>
      </c>
      <c r="I7001" t="s">
        <v>985</v>
      </c>
    </row>
    <row r="7002" spans="1:9" x14ac:dyDescent="0.25">
      <c r="A7002">
        <v>3130</v>
      </c>
      <c r="B7002">
        <v>18</v>
      </c>
      <c r="C7002" t="s">
        <v>962</v>
      </c>
      <c r="D7002" t="s">
        <v>999</v>
      </c>
      <c r="E7002" t="s">
        <v>984</v>
      </c>
      <c r="F7002" t="s">
        <v>953</v>
      </c>
      <c r="G7002">
        <v>1800000</v>
      </c>
      <c r="H7002">
        <v>141000</v>
      </c>
      <c r="I7002" t="s">
        <v>985</v>
      </c>
    </row>
    <row r="7003" spans="1:9" x14ac:dyDescent="0.25">
      <c r="A7003">
        <v>3130</v>
      </c>
      <c r="B7003">
        <v>18</v>
      </c>
      <c r="C7003" t="s">
        <v>962</v>
      </c>
      <c r="D7003" t="s">
        <v>999</v>
      </c>
      <c r="E7003" t="s">
        <v>984</v>
      </c>
      <c r="F7003" t="s">
        <v>954</v>
      </c>
      <c r="G7003">
        <v>1800000</v>
      </c>
      <c r="H7003">
        <v>141000</v>
      </c>
      <c r="I7003" t="s">
        <v>985</v>
      </c>
    </row>
    <row r="7004" spans="1:9" x14ac:dyDescent="0.25">
      <c r="A7004">
        <v>3130</v>
      </c>
      <c r="B7004">
        <v>18</v>
      </c>
      <c r="C7004" t="s">
        <v>962</v>
      </c>
      <c r="D7004" t="s">
        <v>999</v>
      </c>
      <c r="E7004" t="s">
        <v>984</v>
      </c>
      <c r="F7004" t="s">
        <v>955</v>
      </c>
      <c r="G7004">
        <v>1800000</v>
      </c>
      <c r="H7004">
        <v>141000</v>
      </c>
      <c r="I7004" t="s">
        <v>985</v>
      </c>
    </row>
    <row r="7005" spans="1:9" x14ac:dyDescent="0.25">
      <c r="A7005">
        <v>3130</v>
      </c>
      <c r="B7005">
        <v>18</v>
      </c>
      <c r="C7005" t="s">
        <v>962</v>
      </c>
      <c r="D7005" t="s">
        <v>999</v>
      </c>
      <c r="E7005" t="s">
        <v>984</v>
      </c>
      <c r="F7005" t="s">
        <v>956</v>
      </c>
      <c r="G7005">
        <v>1800000</v>
      </c>
      <c r="H7005">
        <v>141000</v>
      </c>
      <c r="I7005" t="s">
        <v>985</v>
      </c>
    </row>
    <row r="7006" spans="1:9" x14ac:dyDescent="0.25">
      <c r="A7006">
        <v>3130</v>
      </c>
      <c r="B7006">
        <v>18</v>
      </c>
      <c r="C7006" t="s">
        <v>962</v>
      </c>
      <c r="D7006" t="s">
        <v>999</v>
      </c>
      <c r="E7006" t="s">
        <v>984</v>
      </c>
      <c r="F7006" t="s">
        <v>957</v>
      </c>
      <c r="G7006">
        <v>1800000</v>
      </c>
      <c r="H7006">
        <v>141000</v>
      </c>
      <c r="I7006" t="s">
        <v>985</v>
      </c>
    </row>
    <row r="7007" spans="1:9" x14ac:dyDescent="0.25">
      <c r="A7007">
        <v>3130</v>
      </c>
      <c r="B7007">
        <v>18</v>
      </c>
      <c r="C7007" t="s">
        <v>962</v>
      </c>
      <c r="D7007" t="s">
        <v>999</v>
      </c>
      <c r="E7007" t="s">
        <v>984</v>
      </c>
      <c r="F7007" t="s">
        <v>958</v>
      </c>
      <c r="G7007">
        <v>1800000</v>
      </c>
      <c r="H7007">
        <v>141000</v>
      </c>
      <c r="I7007" t="s">
        <v>985</v>
      </c>
    </row>
    <row r="7008" spans="1:9" x14ac:dyDescent="0.25">
      <c r="A7008">
        <v>3130</v>
      </c>
      <c r="B7008">
        <v>18</v>
      </c>
      <c r="C7008" t="s">
        <v>962</v>
      </c>
      <c r="D7008" t="s">
        <v>999</v>
      </c>
      <c r="E7008" t="s">
        <v>984</v>
      </c>
      <c r="F7008" t="s">
        <v>959</v>
      </c>
      <c r="G7008">
        <v>1800000</v>
      </c>
      <c r="H7008">
        <v>141000</v>
      </c>
      <c r="I7008" t="s">
        <v>985</v>
      </c>
    </row>
    <row r="7009" spans="1:9" x14ac:dyDescent="0.25">
      <c r="A7009">
        <v>3130</v>
      </c>
      <c r="B7009">
        <v>18</v>
      </c>
      <c r="C7009" t="s">
        <v>962</v>
      </c>
      <c r="D7009" t="s">
        <v>999</v>
      </c>
      <c r="E7009" t="s">
        <v>984</v>
      </c>
      <c r="F7009" t="s">
        <v>960</v>
      </c>
      <c r="G7009">
        <v>1800000</v>
      </c>
      <c r="H7009">
        <v>141000</v>
      </c>
      <c r="I7009" t="s">
        <v>985</v>
      </c>
    </row>
    <row r="7010" spans="1:9" x14ac:dyDescent="0.25">
      <c r="A7010">
        <v>3130</v>
      </c>
      <c r="B7010">
        <v>18</v>
      </c>
      <c r="C7010" t="s">
        <v>962</v>
      </c>
      <c r="D7010" t="s">
        <v>999</v>
      </c>
      <c r="E7010" t="s">
        <v>984</v>
      </c>
      <c r="F7010" t="s">
        <v>961</v>
      </c>
      <c r="G7010">
        <v>1800000</v>
      </c>
      <c r="H7010">
        <v>141000</v>
      </c>
      <c r="I7010" t="s">
        <v>985</v>
      </c>
    </row>
    <row r="7011" spans="1:9" x14ac:dyDescent="0.25">
      <c r="A7011">
        <v>3130</v>
      </c>
      <c r="B7011">
        <v>18</v>
      </c>
      <c r="C7011" t="s">
        <v>963</v>
      </c>
      <c r="D7011" t="s">
        <v>999</v>
      </c>
      <c r="E7011" t="s">
        <v>984</v>
      </c>
      <c r="F7011" t="s">
        <v>951</v>
      </c>
      <c r="G7011">
        <v>1800000</v>
      </c>
      <c r="H7011">
        <v>141000</v>
      </c>
      <c r="I7011" t="s">
        <v>985</v>
      </c>
    </row>
    <row r="7012" spans="1:9" x14ac:dyDescent="0.25">
      <c r="A7012">
        <v>3130</v>
      </c>
      <c r="B7012">
        <v>18</v>
      </c>
      <c r="C7012" t="s">
        <v>963</v>
      </c>
      <c r="D7012" t="s">
        <v>999</v>
      </c>
      <c r="E7012" t="s">
        <v>984</v>
      </c>
      <c r="F7012" t="s">
        <v>952</v>
      </c>
      <c r="G7012">
        <v>1800000</v>
      </c>
      <c r="H7012">
        <v>141000</v>
      </c>
      <c r="I7012" t="s">
        <v>985</v>
      </c>
    </row>
    <row r="7013" spans="1:9" x14ac:dyDescent="0.25">
      <c r="A7013">
        <v>3130</v>
      </c>
      <c r="B7013">
        <v>18</v>
      </c>
      <c r="C7013" t="s">
        <v>963</v>
      </c>
      <c r="D7013" t="s">
        <v>999</v>
      </c>
      <c r="E7013" t="s">
        <v>984</v>
      </c>
      <c r="F7013" t="s">
        <v>953</v>
      </c>
      <c r="G7013">
        <v>1800000</v>
      </c>
      <c r="H7013">
        <v>141000</v>
      </c>
      <c r="I7013" t="s">
        <v>985</v>
      </c>
    </row>
    <row r="7014" spans="1:9" x14ac:dyDescent="0.25">
      <c r="A7014">
        <v>3130</v>
      </c>
      <c r="B7014">
        <v>18</v>
      </c>
      <c r="C7014" t="s">
        <v>963</v>
      </c>
      <c r="D7014" t="s">
        <v>999</v>
      </c>
      <c r="E7014" t="s">
        <v>984</v>
      </c>
      <c r="F7014" t="s">
        <v>954</v>
      </c>
      <c r="G7014">
        <v>1800000</v>
      </c>
      <c r="H7014">
        <v>141000</v>
      </c>
      <c r="I7014" t="s">
        <v>985</v>
      </c>
    </row>
    <row r="7015" spans="1:9" x14ac:dyDescent="0.25">
      <c r="A7015">
        <v>3130</v>
      </c>
      <c r="B7015">
        <v>18</v>
      </c>
      <c r="C7015" t="s">
        <v>963</v>
      </c>
      <c r="D7015" t="s">
        <v>999</v>
      </c>
      <c r="E7015" t="s">
        <v>984</v>
      </c>
      <c r="F7015" t="s">
        <v>955</v>
      </c>
      <c r="G7015">
        <v>1800000</v>
      </c>
      <c r="H7015">
        <v>141000</v>
      </c>
      <c r="I7015" t="s">
        <v>985</v>
      </c>
    </row>
    <row r="7016" spans="1:9" x14ac:dyDescent="0.25">
      <c r="A7016">
        <v>3130</v>
      </c>
      <c r="B7016">
        <v>18</v>
      </c>
      <c r="C7016" t="s">
        <v>963</v>
      </c>
      <c r="D7016" t="s">
        <v>999</v>
      </c>
      <c r="E7016" t="s">
        <v>984</v>
      </c>
      <c r="F7016" t="s">
        <v>956</v>
      </c>
      <c r="G7016">
        <v>1800000</v>
      </c>
      <c r="H7016">
        <v>141000</v>
      </c>
      <c r="I7016" t="s">
        <v>985</v>
      </c>
    </row>
    <row r="7017" spans="1:9" x14ac:dyDescent="0.25">
      <c r="A7017">
        <v>3130</v>
      </c>
      <c r="B7017">
        <v>18</v>
      </c>
      <c r="C7017" t="s">
        <v>963</v>
      </c>
      <c r="D7017" t="s">
        <v>999</v>
      </c>
      <c r="E7017" t="s">
        <v>984</v>
      </c>
      <c r="F7017" t="s">
        <v>957</v>
      </c>
      <c r="G7017">
        <v>1800000</v>
      </c>
      <c r="H7017">
        <v>141000</v>
      </c>
      <c r="I7017" t="s">
        <v>985</v>
      </c>
    </row>
    <row r="7018" spans="1:9" x14ac:dyDescent="0.25">
      <c r="A7018">
        <v>3130</v>
      </c>
      <c r="B7018">
        <v>18</v>
      </c>
      <c r="C7018" t="s">
        <v>963</v>
      </c>
      <c r="D7018" t="s">
        <v>999</v>
      </c>
      <c r="E7018" t="s">
        <v>984</v>
      </c>
      <c r="F7018" t="s">
        <v>958</v>
      </c>
      <c r="G7018">
        <v>1800000</v>
      </c>
      <c r="H7018">
        <v>141000</v>
      </c>
      <c r="I7018" t="s">
        <v>985</v>
      </c>
    </row>
    <row r="7019" spans="1:9" x14ac:dyDescent="0.25">
      <c r="A7019">
        <v>3130</v>
      </c>
      <c r="B7019">
        <v>18</v>
      </c>
      <c r="C7019" t="s">
        <v>963</v>
      </c>
      <c r="D7019" t="s">
        <v>999</v>
      </c>
      <c r="E7019" t="s">
        <v>984</v>
      </c>
      <c r="F7019" t="s">
        <v>959</v>
      </c>
      <c r="G7019">
        <v>1800000</v>
      </c>
      <c r="H7019">
        <v>141000</v>
      </c>
      <c r="I7019" t="s">
        <v>985</v>
      </c>
    </row>
    <row r="7020" spans="1:9" x14ac:dyDescent="0.25">
      <c r="A7020">
        <v>3130</v>
      </c>
      <c r="B7020">
        <v>18</v>
      </c>
      <c r="C7020" t="s">
        <v>963</v>
      </c>
      <c r="D7020" t="s">
        <v>999</v>
      </c>
      <c r="E7020" t="s">
        <v>984</v>
      </c>
      <c r="F7020" t="s">
        <v>960</v>
      </c>
      <c r="G7020">
        <v>1800000</v>
      </c>
      <c r="H7020">
        <v>141000</v>
      </c>
      <c r="I7020" t="s">
        <v>985</v>
      </c>
    </row>
    <row r="7021" spans="1:9" x14ac:dyDescent="0.25">
      <c r="A7021">
        <v>3130</v>
      </c>
      <c r="B7021">
        <v>18</v>
      </c>
      <c r="C7021" t="s">
        <v>963</v>
      </c>
      <c r="D7021" t="s">
        <v>999</v>
      </c>
      <c r="E7021" t="s">
        <v>984</v>
      </c>
      <c r="F7021" t="s">
        <v>961</v>
      </c>
      <c r="G7021">
        <v>1800000</v>
      </c>
      <c r="H7021">
        <v>141000</v>
      </c>
      <c r="I7021" t="s">
        <v>985</v>
      </c>
    </row>
    <row r="7022" spans="1:9" x14ac:dyDescent="0.25">
      <c r="A7022">
        <v>4141</v>
      </c>
      <c r="B7022">
        <v>18</v>
      </c>
      <c r="C7022" t="s">
        <v>946</v>
      </c>
      <c r="D7022" t="s">
        <v>1001</v>
      </c>
      <c r="E7022" t="s">
        <v>49</v>
      </c>
      <c r="F7022" t="s">
        <v>948</v>
      </c>
      <c r="G7022">
        <v>1877777</v>
      </c>
      <c r="H7022">
        <v>500460</v>
      </c>
      <c r="I7022" t="s">
        <v>949</v>
      </c>
    </row>
    <row r="7023" ht="22" customHeight="1" spans="1:10" x14ac:dyDescent="0.25">
      <c r="A7023" s="41">
        <v>4162</v>
      </c>
      <c r="B7023" s="41">
        <v>18</v>
      </c>
      <c r="C7023" s="41" t="s">
        <v>946</v>
      </c>
      <c r="D7023" s="41" t="s">
        <v>1001</v>
      </c>
      <c r="E7023" s="41" t="s">
        <v>49</v>
      </c>
      <c r="F7023" s="41" t="s">
        <v>948</v>
      </c>
      <c r="G7023" s="41">
        <v>1800000</v>
      </c>
      <c r="H7023" s="41">
        <v>14200</v>
      </c>
      <c r="I7023" s="41" t="s">
        <v>949</v>
      </c>
      <c r="J7023" s="42" t="s">
        <v>1045</v>
      </c>
    </row>
    <row r="7024" ht="22" customHeight="1" spans="1:10" x14ac:dyDescent="0.25">
      <c r="A7024" s="41">
        <v>4164</v>
      </c>
      <c r="B7024" s="41">
        <v>18</v>
      </c>
      <c r="C7024" s="41" t="s">
        <v>946</v>
      </c>
      <c r="D7024" s="41" t="s">
        <v>1001</v>
      </c>
      <c r="E7024" s="41" t="s">
        <v>49</v>
      </c>
      <c r="F7024" s="41" t="s">
        <v>948</v>
      </c>
      <c r="G7024" s="41">
        <v>1800000</v>
      </c>
      <c r="H7024" s="41">
        <v>14200</v>
      </c>
      <c r="I7024" s="41" t="s">
        <v>949</v>
      </c>
      <c r="J7024" s="42" t="s">
        <v>1046</v>
      </c>
    </row>
    <row r="7025" spans="1:9" x14ac:dyDescent="0.25">
      <c r="A7025">
        <v>4122</v>
      </c>
      <c r="B7025">
        <v>18</v>
      </c>
      <c r="C7025" t="s">
        <v>946</v>
      </c>
      <c r="D7025" t="s">
        <v>1001</v>
      </c>
      <c r="E7025" t="s">
        <v>243</v>
      </c>
      <c r="F7025" t="s">
        <v>948</v>
      </c>
      <c r="G7025">
        <v>1800000</v>
      </c>
      <c r="H7025">
        <v>145000</v>
      </c>
      <c r="I7025" t="s">
        <v>949</v>
      </c>
    </row>
    <row r="7026" spans="1:9" x14ac:dyDescent="0.25">
      <c r="A7026">
        <v>4124</v>
      </c>
      <c r="B7026">
        <v>18</v>
      </c>
      <c r="C7026" t="s">
        <v>946</v>
      </c>
      <c r="D7026" t="s">
        <v>1001</v>
      </c>
      <c r="E7026" t="s">
        <v>243</v>
      </c>
      <c r="F7026" t="s">
        <v>948</v>
      </c>
      <c r="G7026">
        <v>1877777</v>
      </c>
      <c r="H7026">
        <v>500465</v>
      </c>
      <c r="I7026" t="s">
        <v>949</v>
      </c>
    </row>
    <row r="7027" spans="1:9" x14ac:dyDescent="0.25">
      <c r="A7027">
        <v>4126</v>
      </c>
      <c r="B7027">
        <v>18</v>
      </c>
      <c r="C7027" t="s">
        <v>946</v>
      </c>
      <c r="D7027" t="s">
        <v>1001</v>
      </c>
      <c r="E7027" t="s">
        <v>243</v>
      </c>
      <c r="F7027" t="s">
        <v>948</v>
      </c>
      <c r="G7027">
        <v>1800000</v>
      </c>
      <c r="H7027">
        <v>145000</v>
      </c>
      <c r="I7027" t="s">
        <v>949</v>
      </c>
    </row>
    <row r="7028" spans="1:9" x14ac:dyDescent="0.25">
      <c r="A7028">
        <v>4128</v>
      </c>
      <c r="B7028">
        <v>18</v>
      </c>
      <c r="C7028" t="s">
        <v>946</v>
      </c>
      <c r="D7028" t="s">
        <v>1001</v>
      </c>
      <c r="E7028" t="s">
        <v>243</v>
      </c>
      <c r="F7028" t="s">
        <v>948</v>
      </c>
      <c r="G7028">
        <v>1877777</v>
      </c>
      <c r="H7028">
        <v>500460</v>
      </c>
      <c r="I7028" t="s">
        <v>949</v>
      </c>
    </row>
    <row r="7029" spans="1:9" x14ac:dyDescent="0.25">
      <c r="A7029">
        <v>4122</v>
      </c>
      <c r="B7029">
        <v>18</v>
      </c>
      <c r="C7029" t="s">
        <v>946</v>
      </c>
      <c r="D7029" t="s">
        <v>1001</v>
      </c>
      <c r="E7029" t="s">
        <v>247</v>
      </c>
      <c r="F7029" t="s">
        <v>948</v>
      </c>
      <c r="G7029">
        <v>1800000</v>
      </c>
      <c r="H7029">
        <v>145000</v>
      </c>
      <c r="I7029" t="s">
        <v>949</v>
      </c>
    </row>
    <row r="7030" spans="1:9" x14ac:dyDescent="0.25">
      <c r="A7030">
        <v>4124</v>
      </c>
      <c r="B7030">
        <v>18</v>
      </c>
      <c r="C7030" t="s">
        <v>946</v>
      </c>
      <c r="D7030" t="s">
        <v>1001</v>
      </c>
      <c r="E7030" t="s">
        <v>247</v>
      </c>
      <c r="F7030" t="s">
        <v>948</v>
      </c>
      <c r="G7030">
        <v>1877777</v>
      </c>
      <c r="H7030">
        <v>500465</v>
      </c>
      <c r="I7030" t="s">
        <v>949</v>
      </c>
    </row>
    <row r="7031" spans="1:9" x14ac:dyDescent="0.25">
      <c r="A7031">
        <v>4126</v>
      </c>
      <c r="B7031">
        <v>18</v>
      </c>
      <c r="C7031" t="s">
        <v>946</v>
      </c>
      <c r="D7031" t="s">
        <v>1001</v>
      </c>
      <c r="E7031" t="s">
        <v>247</v>
      </c>
      <c r="F7031" t="s">
        <v>948</v>
      </c>
      <c r="G7031">
        <v>1800000</v>
      </c>
      <c r="H7031">
        <v>145000</v>
      </c>
      <c r="I7031" t="s">
        <v>949</v>
      </c>
    </row>
    <row r="7032" spans="1:9" x14ac:dyDescent="0.25">
      <c r="A7032">
        <v>4128</v>
      </c>
      <c r="B7032">
        <v>18</v>
      </c>
      <c r="C7032" t="s">
        <v>946</v>
      </c>
      <c r="D7032" t="s">
        <v>1001</v>
      </c>
      <c r="E7032" t="s">
        <v>247</v>
      </c>
      <c r="F7032" t="s">
        <v>948</v>
      </c>
      <c r="G7032">
        <v>1877777</v>
      </c>
      <c r="H7032">
        <v>500460</v>
      </c>
      <c r="I7032" t="s">
        <v>949</v>
      </c>
    </row>
    <row r="7033" spans="1:9" x14ac:dyDescent="0.25">
      <c r="A7033">
        <v>4122</v>
      </c>
      <c r="B7033">
        <v>18</v>
      </c>
      <c r="C7033" t="s">
        <v>946</v>
      </c>
      <c r="D7033" t="s">
        <v>1001</v>
      </c>
      <c r="E7033" t="s">
        <v>251</v>
      </c>
      <c r="F7033" t="s">
        <v>948</v>
      </c>
      <c r="G7033">
        <v>1800000</v>
      </c>
      <c r="H7033">
        <v>142000</v>
      </c>
      <c r="I7033" t="s">
        <v>949</v>
      </c>
    </row>
    <row r="7034" spans="1:9" x14ac:dyDescent="0.25">
      <c r="A7034">
        <v>4124</v>
      </c>
      <c r="B7034">
        <v>18</v>
      </c>
      <c r="C7034" t="s">
        <v>946</v>
      </c>
      <c r="D7034" t="s">
        <v>1001</v>
      </c>
      <c r="E7034" t="s">
        <v>251</v>
      </c>
      <c r="F7034" t="s">
        <v>948</v>
      </c>
      <c r="G7034">
        <v>1877777</v>
      </c>
      <c r="H7034">
        <v>500465</v>
      </c>
      <c r="I7034" t="s">
        <v>949</v>
      </c>
    </row>
    <row r="7035" spans="1:9" x14ac:dyDescent="0.25">
      <c r="A7035">
        <v>4126</v>
      </c>
      <c r="B7035">
        <v>18</v>
      </c>
      <c r="C7035" t="s">
        <v>946</v>
      </c>
      <c r="D7035" t="s">
        <v>1001</v>
      </c>
      <c r="E7035" t="s">
        <v>251</v>
      </c>
      <c r="F7035" t="s">
        <v>948</v>
      </c>
      <c r="G7035">
        <v>1800000</v>
      </c>
      <c r="H7035">
        <v>142000</v>
      </c>
      <c r="I7035" t="s">
        <v>949</v>
      </c>
    </row>
    <row r="7036" spans="1:9" x14ac:dyDescent="0.25">
      <c r="A7036">
        <v>4128</v>
      </c>
      <c r="B7036">
        <v>18</v>
      </c>
      <c r="C7036" t="s">
        <v>946</v>
      </c>
      <c r="D7036" t="s">
        <v>1001</v>
      </c>
      <c r="E7036" t="s">
        <v>251</v>
      </c>
      <c r="F7036" t="s">
        <v>948</v>
      </c>
      <c r="G7036">
        <v>1877777</v>
      </c>
      <c r="H7036">
        <v>500460</v>
      </c>
      <c r="I7036" t="s">
        <v>949</v>
      </c>
    </row>
    <row r="7037" spans="1:9" x14ac:dyDescent="0.25">
      <c r="A7037">
        <v>4122</v>
      </c>
      <c r="B7037">
        <v>18</v>
      </c>
      <c r="C7037" t="s">
        <v>946</v>
      </c>
      <c r="D7037" t="s">
        <v>1001</v>
      </c>
      <c r="E7037" t="s">
        <v>969</v>
      </c>
      <c r="F7037" t="s">
        <v>948</v>
      </c>
      <c r="G7037">
        <v>1800000</v>
      </c>
      <c r="H7037">
        <v>141000</v>
      </c>
      <c r="I7037" t="s">
        <v>970</v>
      </c>
    </row>
    <row r="7038" spans="1:9" x14ac:dyDescent="0.25">
      <c r="A7038">
        <v>4124</v>
      </c>
      <c r="B7038">
        <v>18</v>
      </c>
      <c r="C7038" t="s">
        <v>946</v>
      </c>
      <c r="D7038" t="s">
        <v>1001</v>
      </c>
      <c r="E7038" t="s">
        <v>969</v>
      </c>
      <c r="F7038" t="s">
        <v>948</v>
      </c>
      <c r="G7038">
        <v>1877777</v>
      </c>
      <c r="H7038">
        <v>500465</v>
      </c>
      <c r="I7038" t="s">
        <v>949</v>
      </c>
    </row>
    <row r="7039" spans="1:9" x14ac:dyDescent="0.25">
      <c r="A7039">
        <v>4126</v>
      </c>
      <c r="B7039">
        <v>18</v>
      </c>
      <c r="C7039" t="s">
        <v>946</v>
      </c>
      <c r="D7039" t="s">
        <v>1001</v>
      </c>
      <c r="E7039" t="s">
        <v>969</v>
      </c>
      <c r="F7039" t="s">
        <v>948</v>
      </c>
      <c r="G7039">
        <v>1800000</v>
      </c>
      <c r="H7039">
        <v>141000</v>
      </c>
      <c r="I7039" t="s">
        <v>970</v>
      </c>
    </row>
    <row r="7040" spans="1:9" x14ac:dyDescent="0.25">
      <c r="A7040">
        <v>4128</v>
      </c>
      <c r="B7040">
        <v>18</v>
      </c>
      <c r="C7040" t="s">
        <v>946</v>
      </c>
      <c r="D7040" t="s">
        <v>1001</v>
      </c>
      <c r="E7040" t="s">
        <v>969</v>
      </c>
      <c r="F7040" t="s">
        <v>948</v>
      </c>
      <c r="G7040">
        <v>1877777</v>
      </c>
      <c r="H7040">
        <v>500460</v>
      </c>
      <c r="I7040" t="s">
        <v>949</v>
      </c>
    </row>
    <row r="7041" spans="1:9" x14ac:dyDescent="0.25">
      <c r="A7041">
        <v>4122</v>
      </c>
      <c r="B7041">
        <v>18</v>
      </c>
      <c r="C7041" t="s">
        <v>946</v>
      </c>
      <c r="D7041" t="s">
        <v>1001</v>
      </c>
      <c r="E7041" t="s">
        <v>255</v>
      </c>
      <c r="F7041" t="s">
        <v>948</v>
      </c>
      <c r="G7041">
        <v>1800000</v>
      </c>
      <c r="H7041">
        <v>145000</v>
      </c>
      <c r="I7041" t="s">
        <v>949</v>
      </c>
    </row>
    <row r="7042" spans="1:9" x14ac:dyDescent="0.25">
      <c r="A7042">
        <v>4124</v>
      </c>
      <c r="B7042">
        <v>18</v>
      </c>
      <c r="C7042" t="s">
        <v>946</v>
      </c>
      <c r="D7042" t="s">
        <v>1001</v>
      </c>
      <c r="E7042" t="s">
        <v>255</v>
      </c>
      <c r="F7042" t="s">
        <v>948</v>
      </c>
      <c r="G7042">
        <v>1877777</v>
      </c>
      <c r="H7042">
        <v>500465</v>
      </c>
      <c r="I7042" t="s">
        <v>949</v>
      </c>
    </row>
    <row r="7043" spans="1:9" x14ac:dyDescent="0.25">
      <c r="A7043">
        <v>4126</v>
      </c>
      <c r="B7043">
        <v>18</v>
      </c>
      <c r="C7043" t="s">
        <v>946</v>
      </c>
      <c r="D7043" t="s">
        <v>1001</v>
      </c>
      <c r="E7043" t="s">
        <v>255</v>
      </c>
      <c r="F7043" t="s">
        <v>948</v>
      </c>
      <c r="G7043">
        <v>1800000</v>
      </c>
      <c r="H7043">
        <v>145000</v>
      </c>
      <c r="I7043" t="s">
        <v>949</v>
      </c>
    </row>
    <row r="7044" spans="1:9" x14ac:dyDescent="0.25">
      <c r="A7044">
        <v>4128</v>
      </c>
      <c r="B7044">
        <v>18</v>
      </c>
      <c r="C7044" t="s">
        <v>946</v>
      </c>
      <c r="D7044" t="s">
        <v>1001</v>
      </c>
      <c r="E7044" t="s">
        <v>255</v>
      </c>
      <c r="F7044" t="s">
        <v>948</v>
      </c>
      <c r="G7044">
        <v>1877777</v>
      </c>
      <c r="H7044">
        <v>500460</v>
      </c>
      <c r="I7044" t="s">
        <v>949</v>
      </c>
    </row>
    <row r="7045" spans="1:9" x14ac:dyDescent="0.25">
      <c r="A7045">
        <v>4122</v>
      </c>
      <c r="B7045">
        <v>18</v>
      </c>
      <c r="C7045" t="s">
        <v>946</v>
      </c>
      <c r="D7045" t="s">
        <v>1001</v>
      </c>
      <c r="E7045" t="s">
        <v>971</v>
      </c>
      <c r="F7045" t="s">
        <v>948</v>
      </c>
      <c r="G7045">
        <v>1800000</v>
      </c>
      <c r="H7045">
        <v>141000</v>
      </c>
      <c r="I7045" t="s">
        <v>972</v>
      </c>
    </row>
    <row r="7046" spans="1:9" x14ac:dyDescent="0.25">
      <c r="A7046">
        <v>4124</v>
      </c>
      <c r="B7046">
        <v>18</v>
      </c>
      <c r="C7046" t="s">
        <v>946</v>
      </c>
      <c r="D7046" t="s">
        <v>1001</v>
      </c>
      <c r="E7046" t="s">
        <v>971</v>
      </c>
      <c r="F7046" t="s">
        <v>948</v>
      </c>
      <c r="G7046">
        <v>1877777</v>
      </c>
      <c r="H7046">
        <v>500465</v>
      </c>
      <c r="I7046" t="s">
        <v>949</v>
      </c>
    </row>
    <row r="7047" spans="1:9" x14ac:dyDescent="0.25">
      <c r="A7047">
        <v>4126</v>
      </c>
      <c r="B7047">
        <v>18</v>
      </c>
      <c r="C7047" t="s">
        <v>946</v>
      </c>
      <c r="D7047" t="s">
        <v>1001</v>
      </c>
      <c r="E7047" t="s">
        <v>971</v>
      </c>
      <c r="F7047" t="s">
        <v>948</v>
      </c>
      <c r="G7047">
        <v>1800000</v>
      </c>
      <c r="H7047">
        <v>141000</v>
      </c>
      <c r="I7047" t="s">
        <v>972</v>
      </c>
    </row>
    <row r="7048" spans="1:9" x14ac:dyDescent="0.25">
      <c r="A7048">
        <v>4128</v>
      </c>
      <c r="B7048">
        <v>18</v>
      </c>
      <c r="C7048" t="s">
        <v>946</v>
      </c>
      <c r="D7048" t="s">
        <v>1001</v>
      </c>
      <c r="E7048" t="s">
        <v>971</v>
      </c>
      <c r="F7048" t="s">
        <v>948</v>
      </c>
      <c r="G7048">
        <v>1877777</v>
      </c>
      <c r="H7048">
        <v>500460</v>
      </c>
      <c r="I7048" t="s">
        <v>949</v>
      </c>
    </row>
    <row r="7049" spans="1:9" x14ac:dyDescent="0.25">
      <c r="A7049">
        <v>4122</v>
      </c>
      <c r="B7049">
        <v>18</v>
      </c>
      <c r="C7049" t="s">
        <v>946</v>
      </c>
      <c r="D7049" t="s">
        <v>1001</v>
      </c>
      <c r="E7049" t="s">
        <v>263</v>
      </c>
      <c r="F7049" t="s">
        <v>948</v>
      </c>
      <c r="G7049">
        <v>1800000</v>
      </c>
      <c r="H7049">
        <v>145000</v>
      </c>
      <c r="I7049" t="s">
        <v>949</v>
      </c>
    </row>
    <row r="7050" spans="1:9" x14ac:dyDescent="0.25">
      <c r="A7050">
        <v>4124</v>
      </c>
      <c r="B7050">
        <v>18</v>
      </c>
      <c r="C7050" t="s">
        <v>946</v>
      </c>
      <c r="D7050" t="s">
        <v>1001</v>
      </c>
      <c r="E7050" t="s">
        <v>263</v>
      </c>
      <c r="F7050" t="s">
        <v>948</v>
      </c>
      <c r="G7050">
        <v>1877777</v>
      </c>
      <c r="H7050">
        <v>500465</v>
      </c>
      <c r="I7050" t="s">
        <v>949</v>
      </c>
    </row>
    <row r="7051" spans="1:9" x14ac:dyDescent="0.25">
      <c r="A7051">
        <v>4126</v>
      </c>
      <c r="B7051">
        <v>18</v>
      </c>
      <c r="C7051" t="s">
        <v>946</v>
      </c>
      <c r="D7051" t="s">
        <v>1001</v>
      </c>
      <c r="E7051" t="s">
        <v>263</v>
      </c>
      <c r="F7051" t="s">
        <v>948</v>
      </c>
      <c r="G7051">
        <v>1800000</v>
      </c>
      <c r="H7051">
        <v>145000</v>
      </c>
      <c r="I7051" t="s">
        <v>949</v>
      </c>
    </row>
    <row r="7052" spans="1:9" x14ac:dyDescent="0.25">
      <c r="A7052">
        <v>4128</v>
      </c>
      <c r="B7052">
        <v>18</v>
      </c>
      <c r="C7052" t="s">
        <v>946</v>
      </c>
      <c r="D7052" t="s">
        <v>1001</v>
      </c>
      <c r="E7052" t="s">
        <v>263</v>
      </c>
      <c r="F7052" t="s">
        <v>948</v>
      </c>
      <c r="G7052">
        <v>1877777</v>
      </c>
      <c r="H7052">
        <v>500460</v>
      </c>
      <c r="I7052" t="s">
        <v>949</v>
      </c>
    </row>
    <row r="7053" spans="1:9" x14ac:dyDescent="0.25">
      <c r="A7053">
        <v>4122</v>
      </c>
      <c r="B7053">
        <v>18</v>
      </c>
      <c r="C7053" t="s">
        <v>946</v>
      </c>
      <c r="D7053" t="s">
        <v>1001</v>
      </c>
      <c r="E7053" t="s">
        <v>100</v>
      </c>
      <c r="F7053" t="s">
        <v>948</v>
      </c>
      <c r="G7053">
        <v>1877777</v>
      </c>
      <c r="H7053">
        <v>500220</v>
      </c>
      <c r="I7053" t="s">
        <v>949</v>
      </c>
    </row>
    <row r="7054" spans="1:9" x14ac:dyDescent="0.25">
      <c r="A7054">
        <v>4124</v>
      </c>
      <c r="B7054">
        <v>18</v>
      </c>
      <c r="C7054" t="s">
        <v>946</v>
      </c>
      <c r="D7054" t="s">
        <v>1001</v>
      </c>
      <c r="E7054" t="s">
        <v>100</v>
      </c>
      <c r="F7054" t="s">
        <v>948</v>
      </c>
      <c r="G7054">
        <v>1877777</v>
      </c>
      <c r="H7054">
        <v>500221</v>
      </c>
      <c r="I7054" t="s">
        <v>949</v>
      </c>
    </row>
    <row r="7055" spans="1:9" x14ac:dyDescent="0.25">
      <c r="A7055">
        <v>4126</v>
      </c>
      <c r="B7055">
        <v>18</v>
      </c>
      <c r="C7055" t="s">
        <v>946</v>
      </c>
      <c r="D7055" t="s">
        <v>1001</v>
      </c>
      <c r="E7055" t="s">
        <v>100</v>
      </c>
      <c r="F7055" t="s">
        <v>948</v>
      </c>
      <c r="G7055">
        <v>1877777</v>
      </c>
      <c r="H7055">
        <v>500220</v>
      </c>
      <c r="I7055" t="s">
        <v>949</v>
      </c>
    </row>
    <row r="7056" spans="1:9" x14ac:dyDescent="0.25">
      <c r="A7056">
        <v>4128</v>
      </c>
      <c r="B7056">
        <v>18</v>
      </c>
      <c r="C7056" t="s">
        <v>946</v>
      </c>
      <c r="D7056" t="s">
        <v>1001</v>
      </c>
      <c r="E7056" t="s">
        <v>100</v>
      </c>
      <c r="F7056" t="s">
        <v>948</v>
      </c>
      <c r="G7056">
        <v>1877777</v>
      </c>
      <c r="H7056">
        <v>500221</v>
      </c>
      <c r="I7056" t="s">
        <v>949</v>
      </c>
    </row>
    <row r="7057" spans="1:9" x14ac:dyDescent="0.25">
      <c r="A7057">
        <v>4122</v>
      </c>
      <c r="B7057">
        <v>18</v>
      </c>
      <c r="C7057" t="s">
        <v>946</v>
      </c>
      <c r="D7057" t="s">
        <v>1001</v>
      </c>
      <c r="E7057" t="s">
        <v>270</v>
      </c>
      <c r="F7057" t="s">
        <v>948</v>
      </c>
      <c r="G7057">
        <v>1800000</v>
      </c>
      <c r="H7057">
        <v>145000</v>
      </c>
      <c r="I7057" t="s">
        <v>949</v>
      </c>
    </row>
    <row r="7058" spans="1:9" x14ac:dyDescent="0.25">
      <c r="A7058">
        <v>4124</v>
      </c>
      <c r="B7058">
        <v>18</v>
      </c>
      <c r="C7058" t="s">
        <v>946</v>
      </c>
      <c r="D7058" t="s">
        <v>1001</v>
      </c>
      <c r="E7058" t="s">
        <v>270</v>
      </c>
      <c r="F7058" t="s">
        <v>948</v>
      </c>
      <c r="G7058">
        <v>1877777</v>
      </c>
      <c r="H7058">
        <v>500465</v>
      </c>
      <c r="I7058" t="s">
        <v>949</v>
      </c>
    </row>
    <row r="7059" spans="1:9" x14ac:dyDescent="0.25">
      <c r="A7059">
        <v>4126</v>
      </c>
      <c r="B7059">
        <v>18</v>
      </c>
      <c r="C7059" t="s">
        <v>946</v>
      </c>
      <c r="D7059" t="s">
        <v>1001</v>
      </c>
      <c r="E7059" t="s">
        <v>270</v>
      </c>
      <c r="F7059" t="s">
        <v>948</v>
      </c>
      <c r="G7059">
        <v>1800000</v>
      </c>
      <c r="H7059">
        <v>145000</v>
      </c>
      <c r="I7059" t="s">
        <v>949</v>
      </c>
    </row>
    <row r="7060" spans="1:9" x14ac:dyDescent="0.25">
      <c r="A7060">
        <v>4128</v>
      </c>
      <c r="B7060">
        <v>18</v>
      </c>
      <c r="C7060" t="s">
        <v>946</v>
      </c>
      <c r="D7060" t="s">
        <v>1001</v>
      </c>
      <c r="E7060" t="s">
        <v>270</v>
      </c>
      <c r="F7060" t="s">
        <v>948</v>
      </c>
      <c r="G7060">
        <v>1877777</v>
      </c>
      <c r="H7060">
        <v>500460</v>
      </c>
      <c r="I7060" t="s">
        <v>949</v>
      </c>
    </row>
    <row r="7061" spans="1:9" x14ac:dyDescent="0.25">
      <c r="A7061">
        <v>4122</v>
      </c>
      <c r="B7061">
        <v>18</v>
      </c>
      <c r="C7061" t="s">
        <v>946</v>
      </c>
      <c r="D7061" t="s">
        <v>1001</v>
      </c>
      <c r="E7061" t="s">
        <v>274</v>
      </c>
      <c r="F7061" t="s">
        <v>948</v>
      </c>
      <c r="G7061">
        <v>1800000</v>
      </c>
      <c r="H7061">
        <v>143000</v>
      </c>
      <c r="I7061" t="s">
        <v>973</v>
      </c>
    </row>
    <row r="7062" spans="1:9" x14ac:dyDescent="0.25">
      <c r="A7062">
        <v>4124</v>
      </c>
      <c r="B7062">
        <v>18</v>
      </c>
      <c r="C7062" t="s">
        <v>946</v>
      </c>
      <c r="D7062" t="s">
        <v>1001</v>
      </c>
      <c r="E7062" t="s">
        <v>274</v>
      </c>
      <c r="F7062" t="s">
        <v>948</v>
      </c>
      <c r="G7062">
        <v>1877777</v>
      </c>
      <c r="H7062">
        <v>500465</v>
      </c>
      <c r="I7062" t="s">
        <v>949</v>
      </c>
    </row>
    <row r="7063" spans="1:9" x14ac:dyDescent="0.25">
      <c r="A7063">
        <v>4126</v>
      </c>
      <c r="B7063">
        <v>18</v>
      </c>
      <c r="C7063" t="s">
        <v>946</v>
      </c>
      <c r="D7063" t="s">
        <v>1001</v>
      </c>
      <c r="E7063" t="s">
        <v>274</v>
      </c>
      <c r="F7063" t="s">
        <v>948</v>
      </c>
      <c r="G7063">
        <v>1800000</v>
      </c>
      <c r="H7063">
        <v>143000</v>
      </c>
      <c r="I7063" t="s">
        <v>973</v>
      </c>
    </row>
    <row r="7064" spans="1:9" x14ac:dyDescent="0.25">
      <c r="A7064">
        <v>4128</v>
      </c>
      <c r="B7064">
        <v>18</v>
      </c>
      <c r="C7064" t="s">
        <v>946</v>
      </c>
      <c r="D7064" t="s">
        <v>1001</v>
      </c>
      <c r="E7064" t="s">
        <v>274</v>
      </c>
      <c r="F7064" t="s">
        <v>948</v>
      </c>
      <c r="G7064">
        <v>1877777</v>
      </c>
      <c r="H7064">
        <v>500460</v>
      </c>
      <c r="I7064" t="s">
        <v>949</v>
      </c>
    </row>
    <row r="7065" spans="1:9" x14ac:dyDescent="0.25">
      <c r="A7065">
        <v>4122</v>
      </c>
      <c r="B7065">
        <v>18</v>
      </c>
      <c r="C7065" t="s">
        <v>946</v>
      </c>
      <c r="D7065" t="s">
        <v>1001</v>
      </c>
      <c r="E7065" t="s">
        <v>974</v>
      </c>
      <c r="F7065" t="s">
        <v>948</v>
      </c>
      <c r="G7065">
        <v>1800000</v>
      </c>
      <c r="H7065">
        <v>141000</v>
      </c>
      <c r="I7065" t="s">
        <v>975</v>
      </c>
    </row>
    <row r="7066" spans="1:9" x14ac:dyDescent="0.25">
      <c r="A7066">
        <v>4124</v>
      </c>
      <c r="B7066">
        <v>18</v>
      </c>
      <c r="C7066" t="s">
        <v>946</v>
      </c>
      <c r="D7066" t="s">
        <v>1001</v>
      </c>
      <c r="E7066" t="s">
        <v>974</v>
      </c>
      <c r="F7066" t="s">
        <v>948</v>
      </c>
      <c r="G7066">
        <v>1877777</v>
      </c>
      <c r="H7066">
        <v>500465</v>
      </c>
      <c r="I7066" t="s">
        <v>949</v>
      </c>
    </row>
    <row r="7067" spans="1:9" x14ac:dyDescent="0.25">
      <c r="A7067">
        <v>4126</v>
      </c>
      <c r="B7067">
        <v>18</v>
      </c>
      <c r="C7067" t="s">
        <v>946</v>
      </c>
      <c r="D7067" t="s">
        <v>1001</v>
      </c>
      <c r="E7067" t="s">
        <v>974</v>
      </c>
      <c r="F7067" t="s">
        <v>948</v>
      </c>
      <c r="G7067">
        <v>1800000</v>
      </c>
      <c r="H7067">
        <v>141000</v>
      </c>
      <c r="I7067" t="s">
        <v>975</v>
      </c>
    </row>
    <row r="7068" spans="1:9" x14ac:dyDescent="0.25">
      <c r="A7068">
        <v>4128</v>
      </c>
      <c r="B7068">
        <v>18</v>
      </c>
      <c r="C7068" t="s">
        <v>946</v>
      </c>
      <c r="D7068" t="s">
        <v>1001</v>
      </c>
      <c r="E7068" t="s">
        <v>974</v>
      </c>
      <c r="F7068" t="s">
        <v>948</v>
      </c>
      <c r="G7068">
        <v>1877777</v>
      </c>
      <c r="H7068">
        <v>500460</v>
      </c>
      <c r="I7068" t="s">
        <v>949</v>
      </c>
    </row>
    <row r="7069" spans="1:9" x14ac:dyDescent="0.25">
      <c r="A7069">
        <v>4122</v>
      </c>
      <c r="B7069">
        <v>18</v>
      </c>
      <c r="C7069" t="s">
        <v>946</v>
      </c>
      <c r="D7069" t="s">
        <v>1001</v>
      </c>
      <c r="E7069" t="s">
        <v>104</v>
      </c>
      <c r="F7069" t="s">
        <v>948</v>
      </c>
      <c r="G7069">
        <v>1877777</v>
      </c>
      <c r="H7069">
        <v>500220</v>
      </c>
      <c r="I7069" t="s">
        <v>949</v>
      </c>
    </row>
    <row r="7070" spans="1:9" x14ac:dyDescent="0.25">
      <c r="A7070">
        <v>4124</v>
      </c>
      <c r="B7070">
        <v>18</v>
      </c>
      <c r="C7070" t="s">
        <v>946</v>
      </c>
      <c r="D7070" t="s">
        <v>1001</v>
      </c>
      <c r="E7070" t="s">
        <v>104</v>
      </c>
      <c r="F7070" t="s">
        <v>948</v>
      </c>
      <c r="G7070">
        <v>1877777</v>
      </c>
      <c r="H7070">
        <v>500221</v>
      </c>
      <c r="I7070" t="s">
        <v>949</v>
      </c>
    </row>
    <row r="7071" spans="1:9" x14ac:dyDescent="0.25">
      <c r="A7071">
        <v>4126</v>
      </c>
      <c r="B7071">
        <v>18</v>
      </c>
      <c r="C7071" t="s">
        <v>946</v>
      </c>
      <c r="D7071" t="s">
        <v>1001</v>
      </c>
      <c r="E7071" t="s">
        <v>104</v>
      </c>
      <c r="F7071" t="s">
        <v>948</v>
      </c>
      <c r="G7071">
        <v>1877777</v>
      </c>
      <c r="H7071">
        <v>500220</v>
      </c>
      <c r="I7071" t="s">
        <v>949</v>
      </c>
    </row>
    <row r="7072" spans="1:9" x14ac:dyDescent="0.25">
      <c r="A7072">
        <v>4128</v>
      </c>
      <c r="B7072">
        <v>18</v>
      </c>
      <c r="C7072" t="s">
        <v>946</v>
      </c>
      <c r="D7072" t="s">
        <v>1001</v>
      </c>
      <c r="E7072" t="s">
        <v>104</v>
      </c>
      <c r="F7072" t="s">
        <v>948</v>
      </c>
      <c r="G7072">
        <v>1877777</v>
      </c>
      <c r="H7072">
        <v>500221</v>
      </c>
      <c r="I7072" t="s">
        <v>949</v>
      </c>
    </row>
    <row r="7073" spans="1:9" x14ac:dyDescent="0.25">
      <c r="A7073">
        <v>4122</v>
      </c>
      <c r="B7073">
        <v>18</v>
      </c>
      <c r="C7073" t="s">
        <v>946</v>
      </c>
      <c r="D7073" t="s">
        <v>1001</v>
      </c>
      <c r="E7073" t="s">
        <v>278</v>
      </c>
      <c r="F7073" t="s">
        <v>948</v>
      </c>
      <c r="G7073">
        <v>1800000</v>
      </c>
      <c r="H7073">
        <v>145000</v>
      </c>
      <c r="I7073" t="s">
        <v>949</v>
      </c>
    </row>
    <row r="7074" spans="1:9" x14ac:dyDescent="0.25">
      <c r="A7074">
        <v>4124</v>
      </c>
      <c r="B7074">
        <v>18</v>
      </c>
      <c r="C7074" t="s">
        <v>946</v>
      </c>
      <c r="D7074" t="s">
        <v>1001</v>
      </c>
      <c r="E7074" t="s">
        <v>278</v>
      </c>
      <c r="F7074" t="s">
        <v>948</v>
      </c>
      <c r="G7074">
        <v>1877777</v>
      </c>
      <c r="H7074">
        <v>500465</v>
      </c>
      <c r="I7074" t="s">
        <v>949</v>
      </c>
    </row>
    <row r="7075" spans="1:9" x14ac:dyDescent="0.25">
      <c r="A7075">
        <v>4126</v>
      </c>
      <c r="B7075">
        <v>18</v>
      </c>
      <c r="C7075" t="s">
        <v>946</v>
      </c>
      <c r="D7075" t="s">
        <v>1001</v>
      </c>
      <c r="E7075" t="s">
        <v>278</v>
      </c>
      <c r="F7075" t="s">
        <v>948</v>
      </c>
      <c r="G7075">
        <v>1800000</v>
      </c>
      <c r="H7075">
        <v>145000</v>
      </c>
      <c r="I7075" t="s">
        <v>949</v>
      </c>
    </row>
    <row r="7076" spans="1:9" x14ac:dyDescent="0.25">
      <c r="A7076">
        <v>4128</v>
      </c>
      <c r="B7076">
        <v>18</v>
      </c>
      <c r="C7076" t="s">
        <v>946</v>
      </c>
      <c r="D7076" t="s">
        <v>1001</v>
      </c>
      <c r="E7076" t="s">
        <v>278</v>
      </c>
      <c r="F7076" t="s">
        <v>948</v>
      </c>
      <c r="G7076">
        <v>1877777</v>
      </c>
      <c r="H7076">
        <v>500460</v>
      </c>
      <c r="I7076" t="s">
        <v>949</v>
      </c>
    </row>
    <row r="7077" spans="1:9" x14ac:dyDescent="0.25">
      <c r="A7077">
        <v>4122</v>
      </c>
      <c r="B7077">
        <v>18</v>
      </c>
      <c r="C7077" t="s">
        <v>946</v>
      </c>
      <c r="D7077" t="s">
        <v>1001</v>
      </c>
      <c r="E7077" t="s">
        <v>282</v>
      </c>
      <c r="F7077" t="s">
        <v>948</v>
      </c>
      <c r="G7077">
        <v>1800000</v>
      </c>
      <c r="H7077">
        <v>143100</v>
      </c>
      <c r="I7077" t="s">
        <v>949</v>
      </c>
    </row>
    <row r="7078" spans="1:9" x14ac:dyDescent="0.25">
      <c r="A7078">
        <v>4124</v>
      </c>
      <c r="B7078">
        <v>18</v>
      </c>
      <c r="C7078" t="s">
        <v>946</v>
      </c>
      <c r="D7078" t="s">
        <v>1001</v>
      </c>
      <c r="E7078" t="s">
        <v>282</v>
      </c>
      <c r="F7078" t="s">
        <v>948</v>
      </c>
      <c r="G7078">
        <v>1877777</v>
      </c>
      <c r="H7078">
        <v>500465</v>
      </c>
      <c r="I7078" t="s">
        <v>949</v>
      </c>
    </row>
    <row r="7079" spans="1:9" x14ac:dyDescent="0.25">
      <c r="A7079">
        <v>4126</v>
      </c>
      <c r="B7079">
        <v>18</v>
      </c>
      <c r="C7079" t="s">
        <v>946</v>
      </c>
      <c r="D7079" t="s">
        <v>1001</v>
      </c>
      <c r="E7079" t="s">
        <v>282</v>
      </c>
      <c r="F7079" t="s">
        <v>948</v>
      </c>
      <c r="G7079">
        <v>1800000</v>
      </c>
      <c r="H7079">
        <v>143100</v>
      </c>
      <c r="I7079" t="s">
        <v>949</v>
      </c>
    </row>
    <row r="7080" spans="1:9" x14ac:dyDescent="0.25">
      <c r="A7080">
        <v>4128</v>
      </c>
      <c r="B7080">
        <v>18</v>
      </c>
      <c r="C7080" t="s">
        <v>946</v>
      </c>
      <c r="D7080" t="s">
        <v>1001</v>
      </c>
      <c r="E7080" t="s">
        <v>282</v>
      </c>
      <c r="F7080" t="s">
        <v>948</v>
      </c>
      <c r="G7080">
        <v>1877777</v>
      </c>
      <c r="H7080">
        <v>500460</v>
      </c>
      <c r="I7080" t="s">
        <v>949</v>
      </c>
    </row>
    <row r="7081" spans="1:9" x14ac:dyDescent="0.25">
      <c r="A7081">
        <v>4122</v>
      </c>
      <c r="B7081">
        <v>18</v>
      </c>
      <c r="C7081" t="s">
        <v>946</v>
      </c>
      <c r="D7081" t="s">
        <v>1001</v>
      </c>
      <c r="E7081" t="s">
        <v>286</v>
      </c>
      <c r="F7081" t="s">
        <v>948</v>
      </c>
      <c r="G7081">
        <v>1800000</v>
      </c>
      <c r="H7081">
        <v>145000</v>
      </c>
      <c r="I7081" t="s">
        <v>949</v>
      </c>
    </row>
    <row r="7082" spans="1:9" x14ac:dyDescent="0.25">
      <c r="A7082">
        <v>4124</v>
      </c>
      <c r="B7082">
        <v>18</v>
      </c>
      <c r="C7082" t="s">
        <v>946</v>
      </c>
      <c r="D7082" t="s">
        <v>1001</v>
      </c>
      <c r="E7082" t="s">
        <v>286</v>
      </c>
      <c r="F7082" t="s">
        <v>948</v>
      </c>
      <c r="G7082">
        <v>1877777</v>
      </c>
      <c r="H7082">
        <v>500465</v>
      </c>
      <c r="I7082" t="s">
        <v>949</v>
      </c>
    </row>
    <row r="7083" spans="1:9" x14ac:dyDescent="0.25">
      <c r="A7083">
        <v>4126</v>
      </c>
      <c r="B7083">
        <v>18</v>
      </c>
      <c r="C7083" t="s">
        <v>946</v>
      </c>
      <c r="D7083" t="s">
        <v>1001</v>
      </c>
      <c r="E7083" t="s">
        <v>286</v>
      </c>
      <c r="F7083" t="s">
        <v>948</v>
      </c>
      <c r="G7083">
        <v>1800000</v>
      </c>
      <c r="H7083">
        <v>145000</v>
      </c>
      <c r="I7083" t="s">
        <v>949</v>
      </c>
    </row>
    <row r="7084" spans="1:9" x14ac:dyDescent="0.25">
      <c r="A7084">
        <v>4128</v>
      </c>
      <c r="B7084">
        <v>18</v>
      </c>
      <c r="C7084" t="s">
        <v>946</v>
      </c>
      <c r="D7084" t="s">
        <v>1001</v>
      </c>
      <c r="E7084" t="s">
        <v>286</v>
      </c>
      <c r="F7084" t="s">
        <v>948</v>
      </c>
      <c r="G7084">
        <v>1877777</v>
      </c>
      <c r="H7084">
        <v>500460</v>
      </c>
      <c r="I7084" t="s">
        <v>949</v>
      </c>
    </row>
    <row r="7085" spans="1:9" x14ac:dyDescent="0.25">
      <c r="A7085">
        <v>4122</v>
      </c>
      <c r="B7085">
        <v>18</v>
      </c>
      <c r="C7085" t="s">
        <v>946</v>
      </c>
      <c r="D7085" t="s">
        <v>1001</v>
      </c>
      <c r="E7085" t="s">
        <v>976</v>
      </c>
      <c r="F7085" t="s">
        <v>948</v>
      </c>
      <c r="G7085">
        <v>1800000</v>
      </c>
      <c r="H7085">
        <v>141000</v>
      </c>
      <c r="I7085" t="s">
        <v>977</v>
      </c>
    </row>
    <row r="7086" spans="1:9" x14ac:dyDescent="0.25">
      <c r="A7086">
        <v>4124</v>
      </c>
      <c r="B7086">
        <v>18</v>
      </c>
      <c r="C7086" t="s">
        <v>946</v>
      </c>
      <c r="D7086" t="s">
        <v>1001</v>
      </c>
      <c r="E7086" t="s">
        <v>976</v>
      </c>
      <c r="F7086" t="s">
        <v>948</v>
      </c>
      <c r="G7086">
        <v>1877777</v>
      </c>
      <c r="H7086">
        <v>500465</v>
      </c>
      <c r="I7086" t="s">
        <v>949</v>
      </c>
    </row>
    <row r="7087" spans="1:9" x14ac:dyDescent="0.25">
      <c r="A7087">
        <v>4126</v>
      </c>
      <c r="B7087">
        <v>18</v>
      </c>
      <c r="C7087" t="s">
        <v>946</v>
      </c>
      <c r="D7087" t="s">
        <v>1001</v>
      </c>
      <c r="E7087" t="s">
        <v>976</v>
      </c>
      <c r="F7087" t="s">
        <v>948</v>
      </c>
      <c r="G7087">
        <v>1800000</v>
      </c>
      <c r="H7087">
        <v>141000</v>
      </c>
      <c r="I7087" t="s">
        <v>977</v>
      </c>
    </row>
    <row r="7088" spans="1:9" x14ac:dyDescent="0.25">
      <c r="A7088">
        <v>4128</v>
      </c>
      <c r="B7088">
        <v>18</v>
      </c>
      <c r="C7088" t="s">
        <v>946</v>
      </c>
      <c r="D7088" t="s">
        <v>1001</v>
      </c>
      <c r="E7088" t="s">
        <v>976</v>
      </c>
      <c r="F7088" t="s">
        <v>948</v>
      </c>
      <c r="G7088">
        <v>1877777</v>
      </c>
      <c r="H7088">
        <v>500460</v>
      </c>
      <c r="I7088" t="s">
        <v>949</v>
      </c>
    </row>
    <row r="7089" spans="1:9" x14ac:dyDescent="0.25">
      <c r="A7089">
        <v>4122</v>
      </c>
      <c r="B7089">
        <v>18</v>
      </c>
      <c r="C7089" t="s">
        <v>946</v>
      </c>
      <c r="D7089" t="s">
        <v>1001</v>
      </c>
      <c r="E7089" t="s">
        <v>290</v>
      </c>
      <c r="F7089" t="s">
        <v>948</v>
      </c>
      <c r="G7089">
        <v>1800000</v>
      </c>
      <c r="H7089">
        <v>143000</v>
      </c>
      <c r="I7089" t="s">
        <v>978</v>
      </c>
    </row>
    <row r="7090" spans="1:9" x14ac:dyDescent="0.25">
      <c r="A7090">
        <v>4124</v>
      </c>
      <c r="B7090">
        <v>18</v>
      </c>
      <c r="C7090" t="s">
        <v>946</v>
      </c>
      <c r="D7090" t="s">
        <v>1001</v>
      </c>
      <c r="E7090" t="s">
        <v>290</v>
      </c>
      <c r="F7090" t="s">
        <v>948</v>
      </c>
      <c r="G7090">
        <v>1877777</v>
      </c>
      <c r="H7090">
        <v>500465</v>
      </c>
      <c r="I7090" t="s">
        <v>949</v>
      </c>
    </row>
    <row r="7091" spans="1:9" x14ac:dyDescent="0.25">
      <c r="A7091">
        <v>4126</v>
      </c>
      <c r="B7091">
        <v>18</v>
      </c>
      <c r="C7091" t="s">
        <v>946</v>
      </c>
      <c r="D7091" t="s">
        <v>1001</v>
      </c>
      <c r="E7091" t="s">
        <v>290</v>
      </c>
      <c r="F7091" t="s">
        <v>948</v>
      </c>
      <c r="G7091">
        <v>1800000</v>
      </c>
      <c r="H7091">
        <v>143000</v>
      </c>
      <c r="I7091" t="s">
        <v>978</v>
      </c>
    </row>
    <row r="7092" spans="1:9" x14ac:dyDescent="0.25">
      <c r="A7092">
        <v>4128</v>
      </c>
      <c r="B7092">
        <v>18</v>
      </c>
      <c r="C7092" t="s">
        <v>946</v>
      </c>
      <c r="D7092" t="s">
        <v>1001</v>
      </c>
      <c r="E7092" t="s">
        <v>290</v>
      </c>
      <c r="F7092" t="s">
        <v>948</v>
      </c>
      <c r="G7092">
        <v>1877777</v>
      </c>
      <c r="H7092">
        <v>500460</v>
      </c>
      <c r="I7092" t="s">
        <v>949</v>
      </c>
    </row>
    <row r="7093" spans="1:9" x14ac:dyDescent="0.25">
      <c r="A7093">
        <v>4122</v>
      </c>
      <c r="B7093">
        <v>18</v>
      </c>
      <c r="C7093" t="s">
        <v>946</v>
      </c>
      <c r="D7093" t="s">
        <v>1001</v>
      </c>
      <c r="E7093" t="s">
        <v>294</v>
      </c>
      <c r="F7093" t="s">
        <v>948</v>
      </c>
      <c r="G7093">
        <v>1800000</v>
      </c>
      <c r="H7093">
        <v>143000</v>
      </c>
      <c r="I7093" t="s">
        <v>979</v>
      </c>
    </row>
    <row r="7094" spans="1:9" x14ac:dyDescent="0.25">
      <c r="A7094">
        <v>4124</v>
      </c>
      <c r="B7094">
        <v>18</v>
      </c>
      <c r="C7094" t="s">
        <v>946</v>
      </c>
      <c r="D7094" t="s">
        <v>1001</v>
      </c>
      <c r="E7094" t="s">
        <v>294</v>
      </c>
      <c r="F7094" t="s">
        <v>948</v>
      </c>
      <c r="G7094">
        <v>1877777</v>
      </c>
      <c r="H7094">
        <v>500465</v>
      </c>
      <c r="I7094" t="s">
        <v>949</v>
      </c>
    </row>
    <row r="7095" spans="1:9" x14ac:dyDescent="0.25">
      <c r="A7095">
        <v>4126</v>
      </c>
      <c r="B7095">
        <v>18</v>
      </c>
      <c r="C7095" t="s">
        <v>946</v>
      </c>
      <c r="D7095" t="s">
        <v>1001</v>
      </c>
      <c r="E7095" t="s">
        <v>294</v>
      </c>
      <c r="F7095" t="s">
        <v>948</v>
      </c>
      <c r="G7095">
        <v>1800000</v>
      </c>
      <c r="H7095">
        <v>143000</v>
      </c>
      <c r="I7095" t="s">
        <v>979</v>
      </c>
    </row>
    <row r="7096" spans="1:9" x14ac:dyDescent="0.25">
      <c r="A7096">
        <v>4128</v>
      </c>
      <c r="B7096">
        <v>18</v>
      </c>
      <c r="C7096" t="s">
        <v>946</v>
      </c>
      <c r="D7096" t="s">
        <v>1001</v>
      </c>
      <c r="E7096" t="s">
        <v>294</v>
      </c>
      <c r="F7096" t="s">
        <v>948</v>
      </c>
      <c r="G7096">
        <v>1877777</v>
      </c>
      <c r="H7096">
        <v>500460</v>
      </c>
      <c r="I7096" t="s">
        <v>949</v>
      </c>
    </row>
    <row r="7097" spans="1:9" x14ac:dyDescent="0.25">
      <c r="A7097">
        <v>4122</v>
      </c>
      <c r="B7097">
        <v>18</v>
      </c>
      <c r="C7097" t="s">
        <v>946</v>
      </c>
      <c r="D7097" t="s">
        <v>1001</v>
      </c>
      <c r="E7097" t="s">
        <v>980</v>
      </c>
      <c r="F7097" t="s">
        <v>948</v>
      </c>
      <c r="G7097">
        <v>1800000</v>
      </c>
      <c r="H7097">
        <v>141000</v>
      </c>
      <c r="I7097" t="s">
        <v>981</v>
      </c>
    </row>
    <row r="7098" spans="1:9" x14ac:dyDescent="0.25">
      <c r="A7098">
        <v>4124</v>
      </c>
      <c r="B7098">
        <v>18</v>
      </c>
      <c r="C7098" t="s">
        <v>946</v>
      </c>
      <c r="D7098" t="s">
        <v>1001</v>
      </c>
      <c r="E7098" t="s">
        <v>980</v>
      </c>
      <c r="F7098" t="s">
        <v>948</v>
      </c>
      <c r="G7098">
        <v>1877777</v>
      </c>
      <c r="H7098">
        <v>500465</v>
      </c>
      <c r="I7098" t="s">
        <v>949</v>
      </c>
    </row>
    <row r="7099" spans="1:9" x14ac:dyDescent="0.25">
      <c r="A7099">
        <v>4126</v>
      </c>
      <c r="B7099">
        <v>18</v>
      </c>
      <c r="C7099" t="s">
        <v>946</v>
      </c>
      <c r="D7099" t="s">
        <v>1001</v>
      </c>
      <c r="E7099" t="s">
        <v>980</v>
      </c>
      <c r="F7099" t="s">
        <v>948</v>
      </c>
      <c r="G7099">
        <v>1800000</v>
      </c>
      <c r="H7099">
        <v>141000</v>
      </c>
      <c r="I7099" t="s">
        <v>981</v>
      </c>
    </row>
    <row r="7100" spans="1:9" x14ac:dyDescent="0.25">
      <c r="A7100">
        <v>4128</v>
      </c>
      <c r="B7100">
        <v>18</v>
      </c>
      <c r="C7100" t="s">
        <v>946</v>
      </c>
      <c r="D7100" t="s">
        <v>1001</v>
      </c>
      <c r="E7100" t="s">
        <v>980</v>
      </c>
      <c r="F7100" t="s">
        <v>948</v>
      </c>
      <c r="G7100">
        <v>1877777</v>
      </c>
      <c r="H7100">
        <v>500460</v>
      </c>
      <c r="I7100" t="s">
        <v>949</v>
      </c>
    </row>
    <row r="7101" spans="1:9" x14ac:dyDescent="0.25">
      <c r="A7101">
        <v>4122</v>
      </c>
      <c r="B7101">
        <v>18</v>
      </c>
      <c r="C7101" t="s">
        <v>946</v>
      </c>
      <c r="D7101" t="s">
        <v>1001</v>
      </c>
      <c r="E7101" t="s">
        <v>302</v>
      </c>
      <c r="F7101" t="s">
        <v>948</v>
      </c>
      <c r="G7101">
        <v>1800000</v>
      </c>
      <c r="H7101">
        <v>143000</v>
      </c>
      <c r="I7101" t="s">
        <v>982</v>
      </c>
    </row>
    <row r="7102" spans="1:9" x14ac:dyDescent="0.25">
      <c r="A7102">
        <v>4124</v>
      </c>
      <c r="B7102">
        <v>18</v>
      </c>
      <c r="C7102" t="s">
        <v>946</v>
      </c>
      <c r="D7102" t="s">
        <v>1001</v>
      </c>
      <c r="E7102" t="s">
        <v>302</v>
      </c>
      <c r="F7102" t="s">
        <v>948</v>
      </c>
      <c r="G7102">
        <v>1877777</v>
      </c>
      <c r="H7102">
        <v>500465</v>
      </c>
      <c r="I7102" t="s">
        <v>949</v>
      </c>
    </row>
    <row r="7103" spans="1:9" x14ac:dyDescent="0.25">
      <c r="A7103">
        <v>4126</v>
      </c>
      <c r="B7103">
        <v>18</v>
      </c>
      <c r="C7103" t="s">
        <v>946</v>
      </c>
      <c r="D7103" t="s">
        <v>1001</v>
      </c>
      <c r="E7103" t="s">
        <v>302</v>
      </c>
      <c r="F7103" t="s">
        <v>948</v>
      </c>
      <c r="G7103">
        <v>1800000</v>
      </c>
      <c r="H7103">
        <v>143000</v>
      </c>
      <c r="I7103" t="s">
        <v>982</v>
      </c>
    </row>
    <row r="7104" spans="1:9" x14ac:dyDescent="0.25">
      <c r="A7104">
        <v>4128</v>
      </c>
      <c r="B7104">
        <v>18</v>
      </c>
      <c r="C7104" t="s">
        <v>946</v>
      </c>
      <c r="D7104" t="s">
        <v>1001</v>
      </c>
      <c r="E7104" t="s">
        <v>302</v>
      </c>
      <c r="F7104" t="s">
        <v>948</v>
      </c>
      <c r="G7104">
        <v>1877777</v>
      </c>
      <c r="H7104">
        <v>500460</v>
      </c>
      <c r="I7104" t="s">
        <v>949</v>
      </c>
    </row>
    <row r="7105" spans="1:9" x14ac:dyDescent="0.25">
      <c r="A7105">
        <v>4122</v>
      </c>
      <c r="B7105">
        <v>18</v>
      </c>
      <c r="C7105" t="s">
        <v>946</v>
      </c>
      <c r="D7105" t="s">
        <v>1001</v>
      </c>
      <c r="E7105" t="s">
        <v>306</v>
      </c>
      <c r="F7105" t="s">
        <v>948</v>
      </c>
      <c r="G7105">
        <v>1800000</v>
      </c>
      <c r="H7105">
        <v>143000</v>
      </c>
      <c r="I7105" t="s">
        <v>983</v>
      </c>
    </row>
    <row r="7106" spans="1:9" x14ac:dyDescent="0.25">
      <c r="A7106">
        <v>4124</v>
      </c>
      <c r="B7106">
        <v>18</v>
      </c>
      <c r="C7106" t="s">
        <v>946</v>
      </c>
      <c r="D7106" t="s">
        <v>1001</v>
      </c>
      <c r="E7106" t="s">
        <v>306</v>
      </c>
      <c r="F7106" t="s">
        <v>948</v>
      </c>
      <c r="G7106">
        <v>1877777</v>
      </c>
      <c r="H7106">
        <v>500465</v>
      </c>
      <c r="I7106" t="s">
        <v>949</v>
      </c>
    </row>
    <row r="7107" spans="1:9" x14ac:dyDescent="0.25">
      <c r="A7107">
        <v>4126</v>
      </c>
      <c r="B7107">
        <v>18</v>
      </c>
      <c r="C7107" t="s">
        <v>946</v>
      </c>
      <c r="D7107" t="s">
        <v>1001</v>
      </c>
      <c r="E7107" t="s">
        <v>306</v>
      </c>
      <c r="F7107" t="s">
        <v>948</v>
      </c>
      <c r="G7107">
        <v>1800000</v>
      </c>
      <c r="H7107">
        <v>143000</v>
      </c>
      <c r="I7107" t="s">
        <v>983</v>
      </c>
    </row>
    <row r="7108" spans="1:9" x14ac:dyDescent="0.25">
      <c r="A7108">
        <v>4128</v>
      </c>
      <c r="B7108">
        <v>18</v>
      </c>
      <c r="C7108" t="s">
        <v>946</v>
      </c>
      <c r="D7108" t="s">
        <v>1001</v>
      </c>
      <c r="E7108" t="s">
        <v>306</v>
      </c>
      <c r="F7108" t="s">
        <v>948</v>
      </c>
      <c r="G7108">
        <v>1877777</v>
      </c>
      <c r="H7108">
        <v>500460</v>
      </c>
      <c r="I7108" t="s">
        <v>949</v>
      </c>
    </row>
    <row r="7109" spans="1:9" x14ac:dyDescent="0.25">
      <c r="A7109">
        <v>4122</v>
      </c>
      <c r="B7109">
        <v>18</v>
      </c>
      <c r="C7109" t="s">
        <v>946</v>
      </c>
      <c r="D7109" t="s">
        <v>1001</v>
      </c>
      <c r="E7109" t="s">
        <v>108</v>
      </c>
      <c r="F7109" t="s">
        <v>948</v>
      </c>
      <c r="G7109">
        <v>1877777</v>
      </c>
      <c r="H7109">
        <v>500220</v>
      </c>
      <c r="I7109" t="s">
        <v>949</v>
      </c>
    </row>
    <row r="7110" spans="1:9" x14ac:dyDescent="0.25">
      <c r="A7110">
        <v>4124</v>
      </c>
      <c r="B7110">
        <v>18</v>
      </c>
      <c r="C7110" t="s">
        <v>946</v>
      </c>
      <c r="D7110" t="s">
        <v>1001</v>
      </c>
      <c r="E7110" t="s">
        <v>108</v>
      </c>
      <c r="F7110" t="s">
        <v>948</v>
      </c>
      <c r="G7110">
        <v>1877777</v>
      </c>
      <c r="H7110">
        <v>500221</v>
      </c>
      <c r="I7110" t="s">
        <v>949</v>
      </c>
    </row>
    <row r="7111" spans="1:9" x14ac:dyDescent="0.25">
      <c r="A7111">
        <v>4126</v>
      </c>
      <c r="B7111">
        <v>18</v>
      </c>
      <c r="C7111" t="s">
        <v>946</v>
      </c>
      <c r="D7111" t="s">
        <v>1001</v>
      </c>
      <c r="E7111" t="s">
        <v>108</v>
      </c>
      <c r="F7111" t="s">
        <v>948</v>
      </c>
      <c r="G7111">
        <v>1877777</v>
      </c>
      <c r="H7111">
        <v>500220</v>
      </c>
      <c r="I7111" t="s">
        <v>949</v>
      </c>
    </row>
    <row r="7112" spans="1:9" x14ac:dyDescent="0.25">
      <c r="A7112">
        <v>4128</v>
      </c>
      <c r="B7112">
        <v>18</v>
      </c>
      <c r="C7112" t="s">
        <v>946</v>
      </c>
      <c r="D7112" t="s">
        <v>1001</v>
      </c>
      <c r="E7112" t="s">
        <v>108</v>
      </c>
      <c r="F7112" t="s">
        <v>948</v>
      </c>
      <c r="G7112">
        <v>1877777</v>
      </c>
      <c r="H7112">
        <v>500221</v>
      </c>
      <c r="I7112" t="s">
        <v>949</v>
      </c>
    </row>
    <row r="7113" spans="1:9" x14ac:dyDescent="0.25">
      <c r="A7113">
        <v>4122</v>
      </c>
      <c r="B7113">
        <v>18</v>
      </c>
      <c r="C7113" t="s">
        <v>946</v>
      </c>
      <c r="D7113" t="s">
        <v>1001</v>
      </c>
      <c r="E7113" t="s">
        <v>310</v>
      </c>
      <c r="F7113" t="s">
        <v>948</v>
      </c>
      <c r="G7113">
        <v>1800000</v>
      </c>
      <c r="H7113">
        <v>145000</v>
      </c>
      <c r="I7113" t="s">
        <v>949</v>
      </c>
    </row>
    <row r="7114" spans="1:9" x14ac:dyDescent="0.25">
      <c r="A7114">
        <v>4124</v>
      </c>
      <c r="B7114">
        <v>18</v>
      </c>
      <c r="C7114" t="s">
        <v>946</v>
      </c>
      <c r="D7114" t="s">
        <v>1001</v>
      </c>
      <c r="E7114" t="s">
        <v>310</v>
      </c>
      <c r="F7114" t="s">
        <v>948</v>
      </c>
      <c r="G7114">
        <v>1877777</v>
      </c>
      <c r="H7114">
        <v>500465</v>
      </c>
      <c r="I7114" t="s">
        <v>949</v>
      </c>
    </row>
    <row r="7115" spans="1:9" x14ac:dyDescent="0.25">
      <c r="A7115">
        <v>4126</v>
      </c>
      <c r="B7115">
        <v>18</v>
      </c>
      <c r="C7115" t="s">
        <v>946</v>
      </c>
      <c r="D7115" t="s">
        <v>1001</v>
      </c>
      <c r="E7115" t="s">
        <v>310</v>
      </c>
      <c r="F7115" t="s">
        <v>948</v>
      </c>
      <c r="G7115">
        <v>1800000</v>
      </c>
      <c r="H7115">
        <v>145000</v>
      </c>
      <c r="I7115" t="s">
        <v>949</v>
      </c>
    </row>
    <row r="7116" spans="1:9" x14ac:dyDescent="0.25">
      <c r="A7116">
        <v>4128</v>
      </c>
      <c r="B7116">
        <v>18</v>
      </c>
      <c r="C7116" t="s">
        <v>946</v>
      </c>
      <c r="D7116" t="s">
        <v>1001</v>
      </c>
      <c r="E7116" t="s">
        <v>310</v>
      </c>
      <c r="F7116" t="s">
        <v>948</v>
      </c>
      <c r="G7116">
        <v>1877777</v>
      </c>
      <c r="H7116">
        <v>500460</v>
      </c>
      <c r="I7116" t="s">
        <v>949</v>
      </c>
    </row>
    <row r="7117" spans="1:9" x14ac:dyDescent="0.25">
      <c r="A7117">
        <v>4122</v>
      </c>
      <c r="B7117">
        <v>18</v>
      </c>
      <c r="C7117" t="s">
        <v>946</v>
      </c>
      <c r="D7117" t="s">
        <v>1001</v>
      </c>
      <c r="E7117" t="s">
        <v>314</v>
      </c>
      <c r="F7117" t="s">
        <v>948</v>
      </c>
      <c r="G7117">
        <v>1800000</v>
      </c>
      <c r="H7117">
        <v>145000</v>
      </c>
      <c r="I7117" t="s">
        <v>949</v>
      </c>
    </row>
    <row r="7118" spans="1:9" x14ac:dyDescent="0.25">
      <c r="A7118">
        <v>4124</v>
      </c>
      <c r="B7118">
        <v>18</v>
      </c>
      <c r="C7118" t="s">
        <v>946</v>
      </c>
      <c r="D7118" t="s">
        <v>1001</v>
      </c>
      <c r="E7118" t="s">
        <v>314</v>
      </c>
      <c r="F7118" t="s">
        <v>948</v>
      </c>
      <c r="G7118">
        <v>1877777</v>
      </c>
      <c r="H7118">
        <v>500465</v>
      </c>
      <c r="I7118" t="s">
        <v>949</v>
      </c>
    </row>
    <row r="7119" spans="1:9" x14ac:dyDescent="0.25">
      <c r="A7119">
        <v>4126</v>
      </c>
      <c r="B7119">
        <v>18</v>
      </c>
      <c r="C7119" t="s">
        <v>946</v>
      </c>
      <c r="D7119" t="s">
        <v>1001</v>
      </c>
      <c r="E7119" t="s">
        <v>314</v>
      </c>
      <c r="F7119" t="s">
        <v>948</v>
      </c>
      <c r="G7119">
        <v>1800000</v>
      </c>
      <c r="H7119">
        <v>145000</v>
      </c>
      <c r="I7119" t="s">
        <v>949</v>
      </c>
    </row>
    <row r="7120" spans="1:9" x14ac:dyDescent="0.25">
      <c r="A7120">
        <v>4128</v>
      </c>
      <c r="B7120">
        <v>18</v>
      </c>
      <c r="C7120" t="s">
        <v>946</v>
      </c>
      <c r="D7120" t="s">
        <v>1001</v>
      </c>
      <c r="E7120" t="s">
        <v>314</v>
      </c>
      <c r="F7120" t="s">
        <v>948</v>
      </c>
      <c r="G7120">
        <v>1877777</v>
      </c>
      <c r="H7120">
        <v>500460</v>
      </c>
      <c r="I7120" t="s">
        <v>949</v>
      </c>
    </row>
    <row r="7121" spans="1:9" x14ac:dyDescent="0.25">
      <c r="A7121">
        <v>4122</v>
      </c>
      <c r="B7121">
        <v>18</v>
      </c>
      <c r="C7121" t="s">
        <v>946</v>
      </c>
      <c r="D7121" t="s">
        <v>1001</v>
      </c>
      <c r="E7121" t="s">
        <v>121</v>
      </c>
      <c r="F7121" t="s">
        <v>948</v>
      </c>
      <c r="G7121">
        <v>1877777</v>
      </c>
      <c r="H7121">
        <v>500220</v>
      </c>
      <c r="I7121" t="s">
        <v>949</v>
      </c>
    </row>
    <row r="7122" spans="1:9" x14ac:dyDescent="0.25">
      <c r="A7122">
        <v>4124</v>
      </c>
      <c r="B7122">
        <v>18</v>
      </c>
      <c r="C7122" t="s">
        <v>946</v>
      </c>
      <c r="D7122" t="s">
        <v>1001</v>
      </c>
      <c r="E7122" t="s">
        <v>121</v>
      </c>
      <c r="F7122" t="s">
        <v>948</v>
      </c>
      <c r="G7122">
        <v>1877777</v>
      </c>
      <c r="H7122">
        <v>500221</v>
      </c>
      <c r="I7122" t="s">
        <v>949</v>
      </c>
    </row>
    <row r="7123" spans="1:9" x14ac:dyDescent="0.25">
      <c r="A7123">
        <v>4126</v>
      </c>
      <c r="B7123">
        <v>18</v>
      </c>
      <c r="C7123" t="s">
        <v>946</v>
      </c>
      <c r="D7123" t="s">
        <v>1001</v>
      </c>
      <c r="E7123" t="s">
        <v>121</v>
      </c>
      <c r="F7123" t="s">
        <v>948</v>
      </c>
      <c r="G7123">
        <v>1877777</v>
      </c>
      <c r="H7123">
        <v>500220</v>
      </c>
      <c r="I7123" t="s">
        <v>949</v>
      </c>
    </row>
    <row r="7124" spans="1:9" x14ac:dyDescent="0.25">
      <c r="A7124">
        <v>4128</v>
      </c>
      <c r="B7124">
        <v>18</v>
      </c>
      <c r="C7124" t="s">
        <v>946</v>
      </c>
      <c r="D7124" t="s">
        <v>1001</v>
      </c>
      <c r="E7124" t="s">
        <v>121</v>
      </c>
      <c r="F7124" t="s">
        <v>948</v>
      </c>
      <c r="G7124">
        <v>1877777</v>
      </c>
      <c r="H7124">
        <v>500221</v>
      </c>
      <c r="I7124" t="s">
        <v>949</v>
      </c>
    </row>
    <row r="7125" spans="1:9" x14ac:dyDescent="0.25">
      <c r="A7125">
        <v>4122</v>
      </c>
      <c r="B7125">
        <v>18</v>
      </c>
      <c r="C7125" t="s">
        <v>946</v>
      </c>
      <c r="D7125" t="s">
        <v>1001</v>
      </c>
      <c r="E7125" t="s">
        <v>984</v>
      </c>
      <c r="F7125" t="s">
        <v>948</v>
      </c>
      <c r="G7125">
        <v>1800000</v>
      </c>
      <c r="H7125">
        <v>141000</v>
      </c>
      <c r="I7125" t="s">
        <v>985</v>
      </c>
    </row>
    <row r="7126" spans="1:9" x14ac:dyDescent="0.25">
      <c r="A7126">
        <v>4124</v>
      </c>
      <c r="B7126">
        <v>18</v>
      </c>
      <c r="C7126" t="s">
        <v>946</v>
      </c>
      <c r="D7126" t="s">
        <v>1001</v>
      </c>
      <c r="E7126" t="s">
        <v>984</v>
      </c>
      <c r="F7126" t="s">
        <v>948</v>
      </c>
      <c r="G7126">
        <v>1877777</v>
      </c>
      <c r="H7126">
        <v>500465</v>
      </c>
      <c r="I7126" t="s">
        <v>949</v>
      </c>
    </row>
    <row r="7127" spans="1:9" x14ac:dyDescent="0.25">
      <c r="A7127">
        <v>4126</v>
      </c>
      <c r="B7127">
        <v>18</v>
      </c>
      <c r="C7127" t="s">
        <v>946</v>
      </c>
      <c r="D7127" t="s">
        <v>1001</v>
      </c>
      <c r="E7127" t="s">
        <v>984</v>
      </c>
      <c r="F7127" t="s">
        <v>948</v>
      </c>
      <c r="G7127">
        <v>1800000</v>
      </c>
      <c r="H7127">
        <v>141000</v>
      </c>
      <c r="I7127" t="s">
        <v>985</v>
      </c>
    </row>
    <row r="7128" spans="1:9" x14ac:dyDescent="0.25">
      <c r="A7128">
        <v>4128</v>
      </c>
      <c r="B7128">
        <v>18</v>
      </c>
      <c r="C7128" t="s">
        <v>946</v>
      </c>
      <c r="D7128" t="s">
        <v>1001</v>
      </c>
      <c r="E7128" t="s">
        <v>984</v>
      </c>
      <c r="F7128" t="s">
        <v>948</v>
      </c>
      <c r="G7128">
        <v>1877777</v>
      </c>
      <c r="H7128">
        <v>500460</v>
      </c>
      <c r="I7128" t="s">
        <v>949</v>
      </c>
    </row>
    <row r="7129" spans="1:9" x14ac:dyDescent="0.25">
      <c r="A7129">
        <v>4122</v>
      </c>
      <c r="B7129">
        <v>18</v>
      </c>
      <c r="C7129" t="s">
        <v>946</v>
      </c>
      <c r="D7129" t="s">
        <v>1004</v>
      </c>
      <c r="E7129" t="s">
        <v>49</v>
      </c>
      <c r="F7129" t="s">
        <v>948</v>
      </c>
      <c r="G7129">
        <v>1877777</v>
      </c>
      <c r="H7129">
        <v>500220</v>
      </c>
      <c r="I7129" t="s">
        <v>949</v>
      </c>
    </row>
    <row r="7130" spans="1:9" x14ac:dyDescent="0.25">
      <c r="A7130">
        <v>4124</v>
      </c>
      <c r="B7130">
        <v>18</v>
      </c>
      <c r="C7130" t="s">
        <v>946</v>
      </c>
      <c r="D7130" t="s">
        <v>1004</v>
      </c>
      <c r="E7130" t="s">
        <v>49</v>
      </c>
      <c r="F7130" t="s">
        <v>948</v>
      </c>
      <c r="G7130">
        <v>1877777</v>
      </c>
      <c r="H7130">
        <v>500221</v>
      </c>
      <c r="I7130" t="s">
        <v>949</v>
      </c>
    </row>
    <row r="7131" spans="1:9" x14ac:dyDescent="0.25">
      <c r="A7131">
        <v>3110</v>
      </c>
      <c r="B7131">
        <v>18</v>
      </c>
      <c r="C7131" t="s">
        <v>950</v>
      </c>
      <c r="D7131" t="s">
        <v>1005</v>
      </c>
      <c r="E7131" t="s">
        <v>243</v>
      </c>
      <c r="F7131" t="s">
        <v>951</v>
      </c>
      <c r="G7131">
        <v>1800000</v>
      </c>
      <c r="H7131">
        <v>145000</v>
      </c>
      <c r="I7131" t="s">
        <v>949</v>
      </c>
    </row>
    <row r="7132" spans="1:9" x14ac:dyDescent="0.25">
      <c r="A7132">
        <v>3110</v>
      </c>
      <c r="B7132">
        <v>18</v>
      </c>
      <c r="C7132" t="s">
        <v>950</v>
      </c>
      <c r="D7132" t="s">
        <v>1005</v>
      </c>
      <c r="E7132" t="s">
        <v>243</v>
      </c>
      <c r="F7132" t="s">
        <v>952</v>
      </c>
      <c r="G7132">
        <v>1800000</v>
      </c>
      <c r="H7132">
        <v>145000</v>
      </c>
      <c r="I7132" t="s">
        <v>949</v>
      </c>
    </row>
    <row r="7133" spans="1:9" x14ac:dyDescent="0.25">
      <c r="A7133">
        <v>3110</v>
      </c>
      <c r="B7133">
        <v>18</v>
      </c>
      <c r="C7133" t="s">
        <v>962</v>
      </c>
      <c r="D7133" t="s">
        <v>1005</v>
      </c>
      <c r="E7133" t="s">
        <v>243</v>
      </c>
      <c r="F7133" t="s">
        <v>951</v>
      </c>
      <c r="G7133">
        <v>1800000</v>
      </c>
      <c r="H7133">
        <v>145000</v>
      </c>
      <c r="I7133" t="s">
        <v>949</v>
      </c>
    </row>
    <row r="7134" spans="1:9" x14ac:dyDescent="0.25">
      <c r="A7134">
        <v>3110</v>
      </c>
      <c r="B7134">
        <v>18</v>
      </c>
      <c r="C7134" t="s">
        <v>962</v>
      </c>
      <c r="D7134" t="s">
        <v>1005</v>
      </c>
      <c r="E7134" t="s">
        <v>243</v>
      </c>
      <c r="F7134" t="s">
        <v>952</v>
      </c>
      <c r="G7134">
        <v>1800000</v>
      </c>
      <c r="H7134">
        <v>145000</v>
      </c>
      <c r="I7134" t="s">
        <v>949</v>
      </c>
    </row>
    <row r="7135" spans="1:9" x14ac:dyDescent="0.25">
      <c r="A7135">
        <v>3110</v>
      </c>
      <c r="B7135">
        <v>18</v>
      </c>
      <c r="C7135" t="s">
        <v>963</v>
      </c>
      <c r="D7135" t="s">
        <v>1005</v>
      </c>
      <c r="E7135" t="s">
        <v>243</v>
      </c>
      <c r="F7135" t="s">
        <v>951</v>
      </c>
      <c r="G7135">
        <v>1800000</v>
      </c>
      <c r="H7135">
        <v>145000</v>
      </c>
      <c r="I7135" t="s">
        <v>949</v>
      </c>
    </row>
    <row r="7136" spans="1:9" x14ac:dyDescent="0.25">
      <c r="A7136">
        <v>3110</v>
      </c>
      <c r="B7136">
        <v>18</v>
      </c>
      <c r="C7136" t="s">
        <v>963</v>
      </c>
      <c r="D7136" t="s">
        <v>1005</v>
      </c>
      <c r="E7136" t="s">
        <v>243</v>
      </c>
      <c r="F7136" t="s">
        <v>952</v>
      </c>
      <c r="G7136">
        <v>1800000</v>
      </c>
      <c r="H7136">
        <v>145000</v>
      </c>
      <c r="I7136" t="s">
        <v>949</v>
      </c>
    </row>
    <row r="7137" spans="1:9" x14ac:dyDescent="0.25">
      <c r="A7137">
        <v>3110</v>
      </c>
      <c r="B7137">
        <v>18</v>
      </c>
      <c r="C7137" t="s">
        <v>950</v>
      </c>
      <c r="D7137" t="s">
        <v>1005</v>
      </c>
      <c r="E7137" t="s">
        <v>247</v>
      </c>
      <c r="F7137" t="s">
        <v>951</v>
      </c>
      <c r="G7137">
        <v>1800000</v>
      </c>
      <c r="H7137">
        <v>145000</v>
      </c>
      <c r="I7137" t="s">
        <v>949</v>
      </c>
    </row>
    <row r="7138" spans="1:9" x14ac:dyDescent="0.25">
      <c r="A7138">
        <v>3110</v>
      </c>
      <c r="B7138">
        <v>18</v>
      </c>
      <c r="C7138" t="s">
        <v>950</v>
      </c>
      <c r="D7138" t="s">
        <v>1005</v>
      </c>
      <c r="E7138" t="s">
        <v>247</v>
      </c>
      <c r="F7138" t="s">
        <v>952</v>
      </c>
      <c r="G7138">
        <v>1800000</v>
      </c>
      <c r="H7138">
        <v>145000</v>
      </c>
      <c r="I7138" t="s">
        <v>949</v>
      </c>
    </row>
    <row r="7139" spans="1:9" x14ac:dyDescent="0.25">
      <c r="A7139">
        <v>3110</v>
      </c>
      <c r="B7139">
        <v>18</v>
      </c>
      <c r="C7139" t="s">
        <v>962</v>
      </c>
      <c r="D7139" t="s">
        <v>1005</v>
      </c>
      <c r="E7139" t="s">
        <v>247</v>
      </c>
      <c r="F7139" t="s">
        <v>951</v>
      </c>
      <c r="G7139">
        <v>1800000</v>
      </c>
      <c r="H7139">
        <v>145000</v>
      </c>
      <c r="I7139" t="s">
        <v>949</v>
      </c>
    </row>
    <row r="7140" spans="1:9" x14ac:dyDescent="0.25">
      <c r="A7140">
        <v>3110</v>
      </c>
      <c r="B7140">
        <v>18</v>
      </c>
      <c r="C7140" t="s">
        <v>962</v>
      </c>
      <c r="D7140" t="s">
        <v>1005</v>
      </c>
      <c r="E7140" t="s">
        <v>247</v>
      </c>
      <c r="F7140" t="s">
        <v>952</v>
      </c>
      <c r="G7140">
        <v>1800000</v>
      </c>
      <c r="H7140">
        <v>145000</v>
      </c>
      <c r="I7140" t="s">
        <v>949</v>
      </c>
    </row>
    <row r="7141" spans="1:9" x14ac:dyDescent="0.25">
      <c r="A7141">
        <v>3110</v>
      </c>
      <c r="B7141">
        <v>18</v>
      </c>
      <c r="C7141" t="s">
        <v>963</v>
      </c>
      <c r="D7141" t="s">
        <v>1005</v>
      </c>
      <c r="E7141" t="s">
        <v>247</v>
      </c>
      <c r="F7141" t="s">
        <v>951</v>
      </c>
      <c r="G7141">
        <v>1800000</v>
      </c>
      <c r="H7141">
        <v>145000</v>
      </c>
      <c r="I7141" t="s">
        <v>949</v>
      </c>
    </row>
    <row r="7142" spans="1:9" x14ac:dyDescent="0.25">
      <c r="A7142">
        <v>3110</v>
      </c>
      <c r="B7142">
        <v>18</v>
      </c>
      <c r="C7142" t="s">
        <v>963</v>
      </c>
      <c r="D7142" t="s">
        <v>1005</v>
      </c>
      <c r="E7142" t="s">
        <v>247</v>
      </c>
      <c r="F7142" t="s">
        <v>952</v>
      </c>
      <c r="G7142">
        <v>1800000</v>
      </c>
      <c r="H7142">
        <v>145000</v>
      </c>
      <c r="I7142" t="s">
        <v>949</v>
      </c>
    </row>
    <row r="7143" spans="1:9" x14ac:dyDescent="0.25">
      <c r="A7143">
        <v>3110</v>
      </c>
      <c r="B7143">
        <v>18</v>
      </c>
      <c r="C7143" t="s">
        <v>950</v>
      </c>
      <c r="D7143" t="s">
        <v>1005</v>
      </c>
      <c r="E7143" t="s">
        <v>251</v>
      </c>
      <c r="F7143" t="s">
        <v>951</v>
      </c>
      <c r="G7143">
        <v>1800000</v>
      </c>
      <c r="H7143">
        <v>142000</v>
      </c>
      <c r="I7143" t="s">
        <v>949</v>
      </c>
    </row>
    <row r="7144" spans="1:9" x14ac:dyDescent="0.25">
      <c r="A7144">
        <v>3110</v>
      </c>
      <c r="B7144">
        <v>18</v>
      </c>
      <c r="C7144" t="s">
        <v>950</v>
      </c>
      <c r="D7144" t="s">
        <v>1005</v>
      </c>
      <c r="E7144" t="s">
        <v>251</v>
      </c>
      <c r="F7144" t="s">
        <v>952</v>
      </c>
      <c r="G7144">
        <v>1800000</v>
      </c>
      <c r="H7144">
        <v>142000</v>
      </c>
      <c r="I7144" t="s">
        <v>949</v>
      </c>
    </row>
    <row r="7145" spans="1:9" x14ac:dyDescent="0.25">
      <c r="A7145">
        <v>3110</v>
      </c>
      <c r="B7145">
        <v>18</v>
      </c>
      <c r="C7145" t="s">
        <v>962</v>
      </c>
      <c r="D7145" t="s">
        <v>1005</v>
      </c>
      <c r="E7145" t="s">
        <v>251</v>
      </c>
      <c r="F7145" t="s">
        <v>951</v>
      </c>
      <c r="G7145">
        <v>1800000</v>
      </c>
      <c r="H7145">
        <v>142000</v>
      </c>
      <c r="I7145" t="s">
        <v>949</v>
      </c>
    </row>
    <row r="7146" spans="1:9" x14ac:dyDescent="0.25">
      <c r="A7146">
        <v>3110</v>
      </c>
      <c r="B7146">
        <v>18</v>
      </c>
      <c r="C7146" t="s">
        <v>962</v>
      </c>
      <c r="D7146" t="s">
        <v>1005</v>
      </c>
      <c r="E7146" t="s">
        <v>251</v>
      </c>
      <c r="F7146" t="s">
        <v>952</v>
      </c>
      <c r="G7146">
        <v>1800000</v>
      </c>
      <c r="H7146">
        <v>142000</v>
      </c>
      <c r="I7146" t="s">
        <v>949</v>
      </c>
    </row>
    <row r="7147" spans="1:9" x14ac:dyDescent="0.25">
      <c r="A7147">
        <v>3110</v>
      </c>
      <c r="B7147">
        <v>18</v>
      </c>
      <c r="C7147" t="s">
        <v>963</v>
      </c>
      <c r="D7147" t="s">
        <v>1005</v>
      </c>
      <c r="E7147" t="s">
        <v>251</v>
      </c>
      <c r="F7147" t="s">
        <v>951</v>
      </c>
      <c r="G7147">
        <v>1800000</v>
      </c>
      <c r="H7147">
        <v>142000</v>
      </c>
      <c r="I7147" t="s">
        <v>949</v>
      </c>
    </row>
    <row r="7148" spans="1:9" x14ac:dyDescent="0.25">
      <c r="A7148">
        <v>3110</v>
      </c>
      <c r="B7148">
        <v>18</v>
      </c>
      <c r="C7148" t="s">
        <v>963</v>
      </c>
      <c r="D7148" t="s">
        <v>1005</v>
      </c>
      <c r="E7148" t="s">
        <v>251</v>
      </c>
      <c r="F7148" t="s">
        <v>952</v>
      </c>
      <c r="G7148">
        <v>1800000</v>
      </c>
      <c r="H7148">
        <v>142000</v>
      </c>
      <c r="I7148" t="s">
        <v>949</v>
      </c>
    </row>
    <row r="7149" spans="1:9" x14ac:dyDescent="0.25">
      <c r="A7149">
        <v>3110</v>
      </c>
      <c r="B7149">
        <v>18</v>
      </c>
      <c r="C7149" t="s">
        <v>950</v>
      </c>
      <c r="D7149" t="s">
        <v>1005</v>
      </c>
      <c r="E7149" t="s">
        <v>969</v>
      </c>
      <c r="F7149" t="s">
        <v>951</v>
      </c>
      <c r="G7149">
        <v>1800000</v>
      </c>
      <c r="H7149">
        <v>141000</v>
      </c>
      <c r="I7149" t="s">
        <v>970</v>
      </c>
    </row>
    <row r="7150" spans="1:9" x14ac:dyDescent="0.25">
      <c r="A7150">
        <v>3110</v>
      </c>
      <c r="B7150">
        <v>18</v>
      </c>
      <c r="C7150" t="s">
        <v>950</v>
      </c>
      <c r="D7150" t="s">
        <v>1005</v>
      </c>
      <c r="E7150" t="s">
        <v>969</v>
      </c>
      <c r="F7150" t="s">
        <v>952</v>
      </c>
      <c r="G7150">
        <v>1800000</v>
      </c>
      <c r="H7150">
        <v>141000</v>
      </c>
      <c r="I7150" t="s">
        <v>970</v>
      </c>
    </row>
    <row r="7151" spans="1:9" x14ac:dyDescent="0.25">
      <c r="A7151">
        <v>3110</v>
      </c>
      <c r="B7151">
        <v>18</v>
      </c>
      <c r="C7151" t="s">
        <v>962</v>
      </c>
      <c r="D7151" t="s">
        <v>1005</v>
      </c>
      <c r="E7151" t="s">
        <v>969</v>
      </c>
      <c r="F7151" t="s">
        <v>951</v>
      </c>
      <c r="G7151">
        <v>1800000</v>
      </c>
      <c r="H7151">
        <v>141000</v>
      </c>
      <c r="I7151" t="s">
        <v>970</v>
      </c>
    </row>
    <row r="7152" spans="1:9" x14ac:dyDescent="0.25">
      <c r="A7152">
        <v>3110</v>
      </c>
      <c r="B7152">
        <v>18</v>
      </c>
      <c r="C7152" t="s">
        <v>962</v>
      </c>
      <c r="D7152" t="s">
        <v>1005</v>
      </c>
      <c r="E7152" t="s">
        <v>969</v>
      </c>
      <c r="F7152" t="s">
        <v>952</v>
      </c>
      <c r="G7152">
        <v>1800000</v>
      </c>
      <c r="H7152">
        <v>141000</v>
      </c>
      <c r="I7152" t="s">
        <v>970</v>
      </c>
    </row>
    <row r="7153" spans="1:9" x14ac:dyDescent="0.25">
      <c r="A7153">
        <v>3110</v>
      </c>
      <c r="B7153">
        <v>18</v>
      </c>
      <c r="C7153" t="s">
        <v>963</v>
      </c>
      <c r="D7153" t="s">
        <v>1005</v>
      </c>
      <c r="E7153" t="s">
        <v>969</v>
      </c>
      <c r="F7153" t="s">
        <v>951</v>
      </c>
      <c r="G7153">
        <v>1800000</v>
      </c>
      <c r="H7153">
        <v>141000</v>
      </c>
      <c r="I7153" t="s">
        <v>970</v>
      </c>
    </row>
    <row r="7154" spans="1:9" x14ac:dyDescent="0.25">
      <c r="A7154">
        <v>3110</v>
      </c>
      <c r="B7154">
        <v>18</v>
      </c>
      <c r="C7154" t="s">
        <v>963</v>
      </c>
      <c r="D7154" t="s">
        <v>1005</v>
      </c>
      <c r="E7154" t="s">
        <v>969</v>
      </c>
      <c r="F7154" t="s">
        <v>952</v>
      </c>
      <c r="G7154">
        <v>1800000</v>
      </c>
      <c r="H7154">
        <v>141000</v>
      </c>
      <c r="I7154" t="s">
        <v>970</v>
      </c>
    </row>
    <row r="7155" spans="1:9" x14ac:dyDescent="0.25">
      <c r="A7155">
        <v>3110</v>
      </c>
      <c r="B7155">
        <v>18</v>
      </c>
      <c r="C7155" t="s">
        <v>950</v>
      </c>
      <c r="D7155" t="s">
        <v>1005</v>
      </c>
      <c r="E7155" t="s">
        <v>255</v>
      </c>
      <c r="F7155" t="s">
        <v>951</v>
      </c>
      <c r="G7155">
        <v>1800000</v>
      </c>
      <c r="H7155">
        <v>145000</v>
      </c>
      <c r="I7155" t="s">
        <v>949</v>
      </c>
    </row>
    <row r="7156" spans="1:9" x14ac:dyDescent="0.25">
      <c r="A7156">
        <v>3110</v>
      </c>
      <c r="B7156">
        <v>18</v>
      </c>
      <c r="C7156" t="s">
        <v>950</v>
      </c>
      <c r="D7156" t="s">
        <v>1005</v>
      </c>
      <c r="E7156" t="s">
        <v>255</v>
      </c>
      <c r="F7156" t="s">
        <v>952</v>
      </c>
      <c r="G7156">
        <v>1800000</v>
      </c>
      <c r="H7156">
        <v>145000</v>
      </c>
      <c r="I7156" t="s">
        <v>949</v>
      </c>
    </row>
    <row r="7157" spans="1:9" x14ac:dyDescent="0.25">
      <c r="A7157">
        <v>3110</v>
      </c>
      <c r="B7157">
        <v>18</v>
      </c>
      <c r="C7157" t="s">
        <v>962</v>
      </c>
      <c r="D7157" t="s">
        <v>1005</v>
      </c>
      <c r="E7157" t="s">
        <v>255</v>
      </c>
      <c r="F7157" t="s">
        <v>951</v>
      </c>
      <c r="G7157">
        <v>1800000</v>
      </c>
      <c r="H7157">
        <v>145000</v>
      </c>
      <c r="I7157" t="s">
        <v>949</v>
      </c>
    </row>
    <row r="7158" spans="1:9" x14ac:dyDescent="0.25">
      <c r="A7158">
        <v>3110</v>
      </c>
      <c r="B7158">
        <v>18</v>
      </c>
      <c r="C7158" t="s">
        <v>962</v>
      </c>
      <c r="D7158" t="s">
        <v>1005</v>
      </c>
      <c r="E7158" t="s">
        <v>255</v>
      </c>
      <c r="F7158" t="s">
        <v>952</v>
      </c>
      <c r="G7158">
        <v>1800000</v>
      </c>
      <c r="H7158">
        <v>145000</v>
      </c>
      <c r="I7158" t="s">
        <v>949</v>
      </c>
    </row>
    <row r="7159" spans="1:9" x14ac:dyDescent="0.25">
      <c r="A7159">
        <v>3110</v>
      </c>
      <c r="B7159">
        <v>18</v>
      </c>
      <c r="C7159" t="s">
        <v>963</v>
      </c>
      <c r="D7159" t="s">
        <v>1005</v>
      </c>
      <c r="E7159" t="s">
        <v>255</v>
      </c>
      <c r="F7159" t="s">
        <v>951</v>
      </c>
      <c r="G7159">
        <v>1800000</v>
      </c>
      <c r="H7159">
        <v>145000</v>
      </c>
      <c r="I7159" t="s">
        <v>949</v>
      </c>
    </row>
    <row r="7160" spans="1:9" x14ac:dyDescent="0.25">
      <c r="A7160">
        <v>3110</v>
      </c>
      <c r="B7160">
        <v>18</v>
      </c>
      <c r="C7160" t="s">
        <v>963</v>
      </c>
      <c r="D7160" t="s">
        <v>1005</v>
      </c>
      <c r="E7160" t="s">
        <v>255</v>
      </c>
      <c r="F7160" t="s">
        <v>952</v>
      </c>
      <c r="G7160">
        <v>1800000</v>
      </c>
      <c r="H7160">
        <v>145000</v>
      </c>
      <c r="I7160" t="s">
        <v>949</v>
      </c>
    </row>
    <row r="7161" spans="1:9" x14ac:dyDescent="0.25">
      <c r="A7161">
        <v>3110</v>
      </c>
      <c r="B7161">
        <v>18</v>
      </c>
      <c r="C7161" t="s">
        <v>950</v>
      </c>
      <c r="D7161" t="s">
        <v>1005</v>
      </c>
      <c r="E7161" t="s">
        <v>971</v>
      </c>
      <c r="F7161" t="s">
        <v>951</v>
      </c>
      <c r="G7161">
        <v>1800000</v>
      </c>
      <c r="H7161">
        <v>141000</v>
      </c>
      <c r="I7161" t="s">
        <v>972</v>
      </c>
    </row>
    <row r="7162" spans="1:9" x14ac:dyDescent="0.25">
      <c r="A7162">
        <v>3110</v>
      </c>
      <c r="B7162">
        <v>18</v>
      </c>
      <c r="C7162" t="s">
        <v>950</v>
      </c>
      <c r="D7162" t="s">
        <v>1005</v>
      </c>
      <c r="E7162" t="s">
        <v>971</v>
      </c>
      <c r="F7162" t="s">
        <v>952</v>
      </c>
      <c r="G7162">
        <v>1800000</v>
      </c>
      <c r="H7162">
        <v>141000</v>
      </c>
      <c r="I7162" t="s">
        <v>972</v>
      </c>
    </row>
    <row r="7163" spans="1:9" x14ac:dyDescent="0.25">
      <c r="A7163">
        <v>3110</v>
      </c>
      <c r="B7163">
        <v>18</v>
      </c>
      <c r="C7163" t="s">
        <v>962</v>
      </c>
      <c r="D7163" t="s">
        <v>1005</v>
      </c>
      <c r="E7163" t="s">
        <v>971</v>
      </c>
      <c r="F7163" t="s">
        <v>951</v>
      </c>
      <c r="G7163">
        <v>1800000</v>
      </c>
      <c r="H7163">
        <v>141000</v>
      </c>
      <c r="I7163" t="s">
        <v>972</v>
      </c>
    </row>
    <row r="7164" spans="1:9" x14ac:dyDescent="0.25">
      <c r="A7164">
        <v>3110</v>
      </c>
      <c r="B7164">
        <v>18</v>
      </c>
      <c r="C7164" t="s">
        <v>962</v>
      </c>
      <c r="D7164" t="s">
        <v>1005</v>
      </c>
      <c r="E7164" t="s">
        <v>971</v>
      </c>
      <c r="F7164" t="s">
        <v>952</v>
      </c>
      <c r="G7164">
        <v>1800000</v>
      </c>
      <c r="H7164">
        <v>141000</v>
      </c>
      <c r="I7164" t="s">
        <v>972</v>
      </c>
    </row>
    <row r="7165" spans="1:9" x14ac:dyDescent="0.25">
      <c r="A7165">
        <v>3110</v>
      </c>
      <c r="B7165">
        <v>18</v>
      </c>
      <c r="C7165" t="s">
        <v>963</v>
      </c>
      <c r="D7165" t="s">
        <v>1005</v>
      </c>
      <c r="E7165" t="s">
        <v>971</v>
      </c>
      <c r="F7165" t="s">
        <v>951</v>
      </c>
      <c r="G7165">
        <v>1800000</v>
      </c>
      <c r="H7165">
        <v>141000</v>
      </c>
      <c r="I7165" t="s">
        <v>972</v>
      </c>
    </row>
    <row r="7166" spans="1:9" x14ac:dyDescent="0.25">
      <c r="A7166">
        <v>3110</v>
      </c>
      <c r="B7166">
        <v>18</v>
      </c>
      <c r="C7166" t="s">
        <v>963</v>
      </c>
      <c r="D7166" t="s">
        <v>1005</v>
      </c>
      <c r="E7166" t="s">
        <v>971</v>
      </c>
      <c r="F7166" t="s">
        <v>952</v>
      </c>
      <c r="G7166">
        <v>1800000</v>
      </c>
      <c r="H7166">
        <v>141000</v>
      </c>
      <c r="I7166" t="s">
        <v>972</v>
      </c>
    </row>
    <row r="7167" spans="1:9" x14ac:dyDescent="0.25">
      <c r="A7167">
        <v>3110</v>
      </c>
      <c r="B7167">
        <v>18</v>
      </c>
      <c r="C7167" t="s">
        <v>950</v>
      </c>
      <c r="D7167" t="s">
        <v>1005</v>
      </c>
      <c r="E7167" t="s">
        <v>263</v>
      </c>
      <c r="F7167" t="s">
        <v>951</v>
      </c>
      <c r="G7167">
        <v>1800000</v>
      </c>
      <c r="H7167">
        <v>145000</v>
      </c>
      <c r="I7167" t="s">
        <v>949</v>
      </c>
    </row>
    <row r="7168" spans="1:9" x14ac:dyDescent="0.25">
      <c r="A7168">
        <v>3110</v>
      </c>
      <c r="B7168">
        <v>18</v>
      </c>
      <c r="C7168" t="s">
        <v>950</v>
      </c>
      <c r="D7168" t="s">
        <v>1005</v>
      </c>
      <c r="E7168" t="s">
        <v>263</v>
      </c>
      <c r="F7168" t="s">
        <v>952</v>
      </c>
      <c r="G7168">
        <v>1800000</v>
      </c>
      <c r="H7168">
        <v>145000</v>
      </c>
      <c r="I7168" t="s">
        <v>949</v>
      </c>
    </row>
    <row r="7169" spans="1:9" x14ac:dyDescent="0.25">
      <c r="A7169">
        <v>3110</v>
      </c>
      <c r="B7169">
        <v>18</v>
      </c>
      <c r="C7169" t="s">
        <v>962</v>
      </c>
      <c r="D7169" t="s">
        <v>1005</v>
      </c>
      <c r="E7169" t="s">
        <v>263</v>
      </c>
      <c r="F7169" t="s">
        <v>951</v>
      </c>
      <c r="G7169">
        <v>1800000</v>
      </c>
      <c r="H7169">
        <v>145000</v>
      </c>
      <c r="I7169" t="s">
        <v>949</v>
      </c>
    </row>
    <row r="7170" spans="1:9" x14ac:dyDescent="0.25">
      <c r="A7170">
        <v>3110</v>
      </c>
      <c r="B7170">
        <v>18</v>
      </c>
      <c r="C7170" t="s">
        <v>962</v>
      </c>
      <c r="D7170" t="s">
        <v>1005</v>
      </c>
      <c r="E7170" t="s">
        <v>263</v>
      </c>
      <c r="F7170" t="s">
        <v>952</v>
      </c>
      <c r="G7170">
        <v>1800000</v>
      </c>
      <c r="H7170">
        <v>145000</v>
      </c>
      <c r="I7170" t="s">
        <v>949</v>
      </c>
    </row>
    <row r="7171" spans="1:9" x14ac:dyDescent="0.25">
      <c r="A7171">
        <v>3110</v>
      </c>
      <c r="B7171">
        <v>18</v>
      </c>
      <c r="C7171" t="s">
        <v>963</v>
      </c>
      <c r="D7171" t="s">
        <v>1005</v>
      </c>
      <c r="E7171" t="s">
        <v>263</v>
      </c>
      <c r="F7171" t="s">
        <v>951</v>
      </c>
      <c r="G7171">
        <v>1800000</v>
      </c>
      <c r="H7171">
        <v>145000</v>
      </c>
      <c r="I7171" t="s">
        <v>949</v>
      </c>
    </row>
    <row r="7172" spans="1:9" x14ac:dyDescent="0.25">
      <c r="A7172">
        <v>3110</v>
      </c>
      <c r="B7172">
        <v>18</v>
      </c>
      <c r="C7172" t="s">
        <v>963</v>
      </c>
      <c r="D7172" t="s">
        <v>1005</v>
      </c>
      <c r="E7172" t="s">
        <v>263</v>
      </c>
      <c r="F7172" t="s">
        <v>952</v>
      </c>
      <c r="G7172">
        <v>1800000</v>
      </c>
      <c r="H7172">
        <v>145000</v>
      </c>
      <c r="I7172" t="s">
        <v>949</v>
      </c>
    </row>
    <row r="7173" spans="1:9" x14ac:dyDescent="0.25">
      <c r="A7173">
        <v>3110</v>
      </c>
      <c r="B7173">
        <v>18</v>
      </c>
      <c r="C7173" t="s">
        <v>950</v>
      </c>
      <c r="D7173" t="s">
        <v>1005</v>
      </c>
      <c r="E7173" t="s">
        <v>100</v>
      </c>
      <c r="F7173" t="s">
        <v>951</v>
      </c>
      <c r="G7173">
        <v>1877777</v>
      </c>
      <c r="H7173">
        <v>500220</v>
      </c>
      <c r="I7173" t="s">
        <v>949</v>
      </c>
    </row>
    <row r="7174" spans="1:9" x14ac:dyDescent="0.25">
      <c r="A7174">
        <v>3110</v>
      </c>
      <c r="B7174">
        <v>18</v>
      </c>
      <c r="C7174" t="s">
        <v>950</v>
      </c>
      <c r="D7174" t="s">
        <v>1005</v>
      </c>
      <c r="E7174" t="s">
        <v>100</v>
      </c>
      <c r="F7174" t="s">
        <v>952</v>
      </c>
      <c r="G7174">
        <v>1877777</v>
      </c>
      <c r="H7174">
        <v>500220</v>
      </c>
      <c r="I7174" t="s">
        <v>949</v>
      </c>
    </row>
    <row r="7175" spans="1:9" x14ac:dyDescent="0.25">
      <c r="A7175">
        <v>3110</v>
      </c>
      <c r="B7175">
        <v>18</v>
      </c>
      <c r="C7175" t="s">
        <v>962</v>
      </c>
      <c r="D7175" t="s">
        <v>1005</v>
      </c>
      <c r="E7175" t="s">
        <v>100</v>
      </c>
      <c r="F7175" t="s">
        <v>951</v>
      </c>
      <c r="G7175">
        <v>1877777</v>
      </c>
      <c r="H7175">
        <v>500220</v>
      </c>
      <c r="I7175" t="s">
        <v>949</v>
      </c>
    </row>
    <row r="7176" spans="1:9" x14ac:dyDescent="0.25">
      <c r="A7176">
        <v>3110</v>
      </c>
      <c r="B7176">
        <v>18</v>
      </c>
      <c r="C7176" t="s">
        <v>962</v>
      </c>
      <c r="D7176" t="s">
        <v>1005</v>
      </c>
      <c r="E7176" t="s">
        <v>100</v>
      </c>
      <c r="F7176" t="s">
        <v>952</v>
      </c>
      <c r="G7176">
        <v>1877777</v>
      </c>
      <c r="H7176">
        <v>500220</v>
      </c>
      <c r="I7176" t="s">
        <v>949</v>
      </c>
    </row>
    <row r="7177" spans="1:9" x14ac:dyDescent="0.25">
      <c r="A7177">
        <v>3110</v>
      </c>
      <c r="B7177">
        <v>18</v>
      </c>
      <c r="C7177" t="s">
        <v>963</v>
      </c>
      <c r="D7177" t="s">
        <v>1005</v>
      </c>
      <c r="E7177" t="s">
        <v>100</v>
      </c>
      <c r="F7177" t="s">
        <v>951</v>
      </c>
      <c r="G7177">
        <v>1877777</v>
      </c>
      <c r="H7177">
        <v>500220</v>
      </c>
      <c r="I7177" t="s">
        <v>949</v>
      </c>
    </row>
    <row r="7178" spans="1:9" x14ac:dyDescent="0.25">
      <c r="A7178">
        <v>3110</v>
      </c>
      <c r="B7178">
        <v>18</v>
      </c>
      <c r="C7178" t="s">
        <v>963</v>
      </c>
      <c r="D7178" t="s">
        <v>1005</v>
      </c>
      <c r="E7178" t="s">
        <v>100</v>
      </c>
      <c r="F7178" t="s">
        <v>952</v>
      </c>
      <c r="G7178">
        <v>1877777</v>
      </c>
      <c r="H7178">
        <v>500220</v>
      </c>
      <c r="I7178" t="s">
        <v>949</v>
      </c>
    </row>
    <row r="7179" spans="1:9" x14ac:dyDescent="0.25">
      <c r="A7179">
        <v>3110</v>
      </c>
      <c r="B7179">
        <v>18</v>
      </c>
      <c r="C7179" t="s">
        <v>950</v>
      </c>
      <c r="D7179" t="s">
        <v>1005</v>
      </c>
      <c r="E7179" t="s">
        <v>270</v>
      </c>
      <c r="F7179" t="s">
        <v>951</v>
      </c>
      <c r="G7179">
        <v>1800000</v>
      </c>
      <c r="H7179">
        <v>145000</v>
      </c>
      <c r="I7179" t="s">
        <v>949</v>
      </c>
    </row>
    <row r="7180" spans="1:9" x14ac:dyDescent="0.25">
      <c r="A7180">
        <v>3110</v>
      </c>
      <c r="B7180">
        <v>18</v>
      </c>
      <c r="C7180" t="s">
        <v>950</v>
      </c>
      <c r="D7180" t="s">
        <v>1005</v>
      </c>
      <c r="E7180" t="s">
        <v>270</v>
      </c>
      <c r="F7180" t="s">
        <v>952</v>
      </c>
      <c r="G7180">
        <v>1800000</v>
      </c>
      <c r="H7180">
        <v>145000</v>
      </c>
      <c r="I7180" t="s">
        <v>949</v>
      </c>
    </row>
    <row r="7181" spans="1:9" x14ac:dyDescent="0.25">
      <c r="A7181">
        <v>3110</v>
      </c>
      <c r="B7181">
        <v>18</v>
      </c>
      <c r="C7181" t="s">
        <v>962</v>
      </c>
      <c r="D7181" t="s">
        <v>1005</v>
      </c>
      <c r="E7181" t="s">
        <v>270</v>
      </c>
      <c r="F7181" t="s">
        <v>951</v>
      </c>
      <c r="G7181">
        <v>1800000</v>
      </c>
      <c r="H7181">
        <v>145000</v>
      </c>
      <c r="I7181" t="s">
        <v>949</v>
      </c>
    </row>
    <row r="7182" spans="1:9" x14ac:dyDescent="0.25">
      <c r="A7182">
        <v>3110</v>
      </c>
      <c r="B7182">
        <v>18</v>
      </c>
      <c r="C7182" t="s">
        <v>962</v>
      </c>
      <c r="D7182" t="s">
        <v>1005</v>
      </c>
      <c r="E7182" t="s">
        <v>270</v>
      </c>
      <c r="F7182" t="s">
        <v>952</v>
      </c>
      <c r="G7182">
        <v>1800000</v>
      </c>
      <c r="H7182">
        <v>145000</v>
      </c>
      <c r="I7182" t="s">
        <v>949</v>
      </c>
    </row>
    <row r="7183" spans="1:9" x14ac:dyDescent="0.25">
      <c r="A7183">
        <v>3110</v>
      </c>
      <c r="B7183">
        <v>18</v>
      </c>
      <c r="C7183" t="s">
        <v>963</v>
      </c>
      <c r="D7183" t="s">
        <v>1005</v>
      </c>
      <c r="E7183" t="s">
        <v>270</v>
      </c>
      <c r="F7183" t="s">
        <v>951</v>
      </c>
      <c r="G7183">
        <v>1800000</v>
      </c>
      <c r="H7183">
        <v>145000</v>
      </c>
      <c r="I7183" t="s">
        <v>949</v>
      </c>
    </row>
    <row r="7184" spans="1:9" x14ac:dyDescent="0.25">
      <c r="A7184">
        <v>3110</v>
      </c>
      <c r="B7184">
        <v>18</v>
      </c>
      <c r="C7184" t="s">
        <v>963</v>
      </c>
      <c r="D7184" t="s">
        <v>1005</v>
      </c>
      <c r="E7184" t="s">
        <v>270</v>
      </c>
      <c r="F7184" t="s">
        <v>952</v>
      </c>
      <c r="G7184">
        <v>1800000</v>
      </c>
      <c r="H7184">
        <v>145000</v>
      </c>
      <c r="I7184" t="s">
        <v>949</v>
      </c>
    </row>
    <row r="7185" spans="1:9" x14ac:dyDescent="0.25">
      <c r="A7185">
        <v>3110</v>
      </c>
      <c r="B7185">
        <v>18</v>
      </c>
      <c r="C7185" t="s">
        <v>950</v>
      </c>
      <c r="D7185" t="s">
        <v>1005</v>
      </c>
      <c r="E7185" t="s">
        <v>274</v>
      </c>
      <c r="F7185" t="s">
        <v>951</v>
      </c>
      <c r="G7185">
        <v>1800000</v>
      </c>
      <c r="H7185">
        <v>143000</v>
      </c>
      <c r="I7185" t="s">
        <v>973</v>
      </c>
    </row>
    <row r="7186" spans="1:9" x14ac:dyDescent="0.25">
      <c r="A7186">
        <v>3110</v>
      </c>
      <c r="B7186">
        <v>18</v>
      </c>
      <c r="C7186" t="s">
        <v>950</v>
      </c>
      <c r="D7186" t="s">
        <v>1005</v>
      </c>
      <c r="E7186" t="s">
        <v>274</v>
      </c>
      <c r="F7186" t="s">
        <v>952</v>
      </c>
      <c r="G7186">
        <v>1800000</v>
      </c>
      <c r="H7186">
        <v>143000</v>
      </c>
      <c r="I7186" t="s">
        <v>973</v>
      </c>
    </row>
    <row r="7187" spans="1:9" x14ac:dyDescent="0.25">
      <c r="A7187">
        <v>3110</v>
      </c>
      <c r="B7187">
        <v>18</v>
      </c>
      <c r="C7187" t="s">
        <v>950</v>
      </c>
      <c r="D7187" t="s">
        <v>1005</v>
      </c>
      <c r="E7187" t="s">
        <v>274</v>
      </c>
      <c r="F7187" t="s">
        <v>956</v>
      </c>
      <c r="G7187">
        <v>1800000</v>
      </c>
      <c r="H7187">
        <v>143000</v>
      </c>
      <c r="I7187" t="s">
        <v>973</v>
      </c>
    </row>
    <row r="7188" spans="1:9" x14ac:dyDescent="0.25">
      <c r="A7188">
        <v>3110</v>
      </c>
      <c r="B7188">
        <v>18</v>
      </c>
      <c r="C7188" t="s">
        <v>950</v>
      </c>
      <c r="D7188" t="s">
        <v>1005</v>
      </c>
      <c r="E7188" t="s">
        <v>274</v>
      </c>
      <c r="F7188" t="s">
        <v>957</v>
      </c>
      <c r="G7188">
        <v>1800000</v>
      </c>
      <c r="H7188">
        <v>143000</v>
      </c>
      <c r="I7188" t="s">
        <v>973</v>
      </c>
    </row>
    <row r="7189" spans="1:9" x14ac:dyDescent="0.25">
      <c r="A7189">
        <v>3110</v>
      </c>
      <c r="B7189">
        <v>18</v>
      </c>
      <c r="C7189" t="s">
        <v>950</v>
      </c>
      <c r="D7189" t="s">
        <v>1005</v>
      </c>
      <c r="E7189" t="s">
        <v>274</v>
      </c>
      <c r="F7189" t="s">
        <v>958</v>
      </c>
      <c r="G7189">
        <v>1800000</v>
      </c>
      <c r="H7189">
        <v>143000</v>
      </c>
      <c r="I7189" t="s">
        <v>973</v>
      </c>
    </row>
    <row r="7190" spans="1:9" x14ac:dyDescent="0.25">
      <c r="A7190">
        <v>3110</v>
      </c>
      <c r="B7190">
        <v>18</v>
      </c>
      <c r="C7190" t="s">
        <v>962</v>
      </c>
      <c r="D7190" t="s">
        <v>1005</v>
      </c>
      <c r="E7190" t="s">
        <v>274</v>
      </c>
      <c r="F7190" t="s">
        <v>951</v>
      </c>
      <c r="G7190">
        <v>1800000</v>
      </c>
      <c r="H7190">
        <v>143000</v>
      </c>
      <c r="I7190" t="s">
        <v>973</v>
      </c>
    </row>
    <row r="7191" spans="1:9" x14ac:dyDescent="0.25">
      <c r="A7191">
        <v>3110</v>
      </c>
      <c r="B7191">
        <v>18</v>
      </c>
      <c r="C7191" t="s">
        <v>962</v>
      </c>
      <c r="D7191" t="s">
        <v>1005</v>
      </c>
      <c r="E7191" t="s">
        <v>274</v>
      </c>
      <c r="F7191" t="s">
        <v>952</v>
      </c>
      <c r="G7191">
        <v>1800000</v>
      </c>
      <c r="H7191">
        <v>143000</v>
      </c>
      <c r="I7191" t="s">
        <v>973</v>
      </c>
    </row>
    <row r="7192" spans="1:9" x14ac:dyDescent="0.25">
      <c r="A7192">
        <v>3110</v>
      </c>
      <c r="B7192">
        <v>18</v>
      </c>
      <c r="C7192" t="s">
        <v>962</v>
      </c>
      <c r="D7192" t="s">
        <v>1005</v>
      </c>
      <c r="E7192" t="s">
        <v>274</v>
      </c>
      <c r="F7192" t="s">
        <v>956</v>
      </c>
      <c r="G7192">
        <v>1800000</v>
      </c>
      <c r="H7192">
        <v>143000</v>
      </c>
      <c r="I7192" t="s">
        <v>973</v>
      </c>
    </row>
    <row r="7193" spans="1:9" x14ac:dyDescent="0.25">
      <c r="A7193">
        <v>3110</v>
      </c>
      <c r="B7193">
        <v>18</v>
      </c>
      <c r="C7193" t="s">
        <v>962</v>
      </c>
      <c r="D7193" t="s">
        <v>1005</v>
      </c>
      <c r="E7193" t="s">
        <v>274</v>
      </c>
      <c r="F7193" t="s">
        <v>957</v>
      </c>
      <c r="G7193">
        <v>1800000</v>
      </c>
      <c r="H7193">
        <v>143000</v>
      </c>
      <c r="I7193" t="s">
        <v>973</v>
      </c>
    </row>
    <row r="7194" spans="1:9" x14ac:dyDescent="0.25">
      <c r="A7194">
        <v>3110</v>
      </c>
      <c r="B7194">
        <v>18</v>
      </c>
      <c r="C7194" t="s">
        <v>962</v>
      </c>
      <c r="D7194" t="s">
        <v>1005</v>
      </c>
      <c r="E7194" t="s">
        <v>274</v>
      </c>
      <c r="F7194" t="s">
        <v>958</v>
      </c>
      <c r="G7194">
        <v>1800000</v>
      </c>
      <c r="H7194">
        <v>143000</v>
      </c>
      <c r="I7194" t="s">
        <v>973</v>
      </c>
    </row>
    <row r="7195" spans="1:9" x14ac:dyDescent="0.25">
      <c r="A7195">
        <v>3110</v>
      </c>
      <c r="B7195">
        <v>18</v>
      </c>
      <c r="C7195" t="s">
        <v>963</v>
      </c>
      <c r="D7195" t="s">
        <v>1005</v>
      </c>
      <c r="E7195" t="s">
        <v>274</v>
      </c>
      <c r="F7195" t="s">
        <v>951</v>
      </c>
      <c r="G7195">
        <v>1800000</v>
      </c>
      <c r="H7195">
        <v>143000</v>
      </c>
      <c r="I7195" t="s">
        <v>973</v>
      </c>
    </row>
    <row r="7196" spans="1:9" x14ac:dyDescent="0.25">
      <c r="A7196">
        <v>3110</v>
      </c>
      <c r="B7196">
        <v>18</v>
      </c>
      <c r="C7196" t="s">
        <v>963</v>
      </c>
      <c r="D7196" t="s">
        <v>1005</v>
      </c>
      <c r="E7196" t="s">
        <v>274</v>
      </c>
      <c r="F7196" t="s">
        <v>952</v>
      </c>
      <c r="G7196">
        <v>1800000</v>
      </c>
      <c r="H7196">
        <v>143000</v>
      </c>
      <c r="I7196" t="s">
        <v>973</v>
      </c>
    </row>
    <row r="7197" spans="1:9" x14ac:dyDescent="0.25">
      <c r="A7197">
        <v>3110</v>
      </c>
      <c r="B7197">
        <v>18</v>
      </c>
      <c r="C7197" t="s">
        <v>963</v>
      </c>
      <c r="D7197" t="s">
        <v>1005</v>
      </c>
      <c r="E7197" t="s">
        <v>274</v>
      </c>
      <c r="F7197" t="s">
        <v>956</v>
      </c>
      <c r="G7197">
        <v>1800000</v>
      </c>
      <c r="H7197">
        <v>143000</v>
      </c>
      <c r="I7197" t="s">
        <v>973</v>
      </c>
    </row>
    <row r="7198" spans="1:9" x14ac:dyDescent="0.25">
      <c r="A7198">
        <v>3110</v>
      </c>
      <c r="B7198">
        <v>18</v>
      </c>
      <c r="C7198" t="s">
        <v>963</v>
      </c>
      <c r="D7198" t="s">
        <v>1005</v>
      </c>
      <c r="E7198" t="s">
        <v>274</v>
      </c>
      <c r="F7198" t="s">
        <v>957</v>
      </c>
      <c r="G7198">
        <v>1800000</v>
      </c>
      <c r="H7198">
        <v>143000</v>
      </c>
      <c r="I7198" t="s">
        <v>973</v>
      </c>
    </row>
    <row r="7199" spans="1:9" x14ac:dyDescent="0.25">
      <c r="A7199">
        <v>3110</v>
      </c>
      <c r="B7199">
        <v>18</v>
      </c>
      <c r="C7199" t="s">
        <v>963</v>
      </c>
      <c r="D7199" t="s">
        <v>1005</v>
      </c>
      <c r="E7199" t="s">
        <v>274</v>
      </c>
      <c r="F7199" t="s">
        <v>958</v>
      </c>
      <c r="G7199">
        <v>1800000</v>
      </c>
      <c r="H7199">
        <v>143000</v>
      </c>
      <c r="I7199" t="s">
        <v>973</v>
      </c>
    </row>
    <row r="7200" spans="1:9" x14ac:dyDescent="0.25">
      <c r="A7200">
        <v>3110</v>
      </c>
      <c r="B7200">
        <v>18</v>
      </c>
      <c r="C7200" t="s">
        <v>950</v>
      </c>
      <c r="D7200" t="s">
        <v>1005</v>
      </c>
      <c r="E7200" t="s">
        <v>974</v>
      </c>
      <c r="F7200" t="s">
        <v>951</v>
      </c>
      <c r="G7200">
        <v>1800000</v>
      </c>
      <c r="H7200">
        <v>141000</v>
      </c>
      <c r="I7200" t="s">
        <v>975</v>
      </c>
    </row>
    <row r="7201" spans="1:9" x14ac:dyDescent="0.25">
      <c r="A7201">
        <v>3110</v>
      </c>
      <c r="B7201">
        <v>18</v>
      </c>
      <c r="C7201" t="s">
        <v>950</v>
      </c>
      <c r="D7201" t="s">
        <v>1005</v>
      </c>
      <c r="E7201" t="s">
        <v>974</v>
      </c>
      <c r="F7201" t="s">
        <v>952</v>
      </c>
      <c r="G7201">
        <v>1800000</v>
      </c>
      <c r="H7201">
        <v>141000</v>
      </c>
      <c r="I7201" t="s">
        <v>975</v>
      </c>
    </row>
    <row r="7202" spans="1:9" x14ac:dyDescent="0.25">
      <c r="A7202">
        <v>3110</v>
      </c>
      <c r="B7202">
        <v>18</v>
      </c>
      <c r="C7202" t="s">
        <v>962</v>
      </c>
      <c r="D7202" t="s">
        <v>1005</v>
      </c>
      <c r="E7202" t="s">
        <v>974</v>
      </c>
      <c r="F7202" t="s">
        <v>951</v>
      </c>
      <c r="G7202">
        <v>1800000</v>
      </c>
      <c r="H7202">
        <v>141000</v>
      </c>
      <c r="I7202" t="s">
        <v>975</v>
      </c>
    </row>
    <row r="7203" spans="1:9" x14ac:dyDescent="0.25">
      <c r="A7203">
        <v>3110</v>
      </c>
      <c r="B7203">
        <v>18</v>
      </c>
      <c r="C7203" t="s">
        <v>962</v>
      </c>
      <c r="D7203" t="s">
        <v>1005</v>
      </c>
      <c r="E7203" t="s">
        <v>974</v>
      </c>
      <c r="F7203" t="s">
        <v>952</v>
      </c>
      <c r="G7203">
        <v>1800000</v>
      </c>
      <c r="H7203">
        <v>141000</v>
      </c>
      <c r="I7203" t="s">
        <v>975</v>
      </c>
    </row>
    <row r="7204" spans="1:9" x14ac:dyDescent="0.25">
      <c r="A7204">
        <v>3110</v>
      </c>
      <c r="B7204">
        <v>18</v>
      </c>
      <c r="C7204" t="s">
        <v>963</v>
      </c>
      <c r="D7204" t="s">
        <v>1005</v>
      </c>
      <c r="E7204" t="s">
        <v>974</v>
      </c>
      <c r="F7204" t="s">
        <v>951</v>
      </c>
      <c r="G7204">
        <v>1800000</v>
      </c>
      <c r="H7204">
        <v>141000</v>
      </c>
      <c r="I7204" t="s">
        <v>975</v>
      </c>
    </row>
    <row r="7205" spans="1:9" x14ac:dyDescent="0.25">
      <c r="A7205">
        <v>3110</v>
      </c>
      <c r="B7205">
        <v>18</v>
      </c>
      <c r="C7205" t="s">
        <v>963</v>
      </c>
      <c r="D7205" t="s">
        <v>1005</v>
      </c>
      <c r="E7205" t="s">
        <v>974</v>
      </c>
      <c r="F7205" t="s">
        <v>952</v>
      </c>
      <c r="G7205">
        <v>1800000</v>
      </c>
      <c r="H7205">
        <v>141000</v>
      </c>
      <c r="I7205" t="s">
        <v>975</v>
      </c>
    </row>
    <row r="7206" spans="1:9" x14ac:dyDescent="0.25">
      <c r="A7206">
        <v>3110</v>
      </c>
      <c r="B7206">
        <v>18</v>
      </c>
      <c r="C7206" t="s">
        <v>950</v>
      </c>
      <c r="D7206" t="s">
        <v>1005</v>
      </c>
      <c r="E7206" t="s">
        <v>104</v>
      </c>
      <c r="F7206" t="s">
        <v>951</v>
      </c>
      <c r="G7206">
        <v>1877777</v>
      </c>
      <c r="H7206">
        <v>500220</v>
      </c>
      <c r="I7206" t="s">
        <v>949</v>
      </c>
    </row>
    <row r="7207" spans="1:9" x14ac:dyDescent="0.25">
      <c r="A7207">
        <v>3110</v>
      </c>
      <c r="B7207">
        <v>18</v>
      </c>
      <c r="C7207" t="s">
        <v>950</v>
      </c>
      <c r="D7207" t="s">
        <v>1005</v>
      </c>
      <c r="E7207" t="s">
        <v>104</v>
      </c>
      <c r="F7207" t="s">
        <v>952</v>
      </c>
      <c r="G7207">
        <v>1877777</v>
      </c>
      <c r="H7207">
        <v>500220</v>
      </c>
      <c r="I7207" t="s">
        <v>949</v>
      </c>
    </row>
    <row r="7208" spans="1:9" x14ac:dyDescent="0.25">
      <c r="A7208">
        <v>3110</v>
      </c>
      <c r="B7208">
        <v>18</v>
      </c>
      <c r="C7208" t="s">
        <v>962</v>
      </c>
      <c r="D7208" t="s">
        <v>1005</v>
      </c>
      <c r="E7208" t="s">
        <v>104</v>
      </c>
      <c r="F7208" t="s">
        <v>951</v>
      </c>
      <c r="G7208">
        <v>1877777</v>
      </c>
      <c r="H7208">
        <v>500220</v>
      </c>
      <c r="I7208" t="s">
        <v>949</v>
      </c>
    </row>
    <row r="7209" spans="1:9" x14ac:dyDescent="0.25">
      <c r="A7209">
        <v>3110</v>
      </c>
      <c r="B7209">
        <v>18</v>
      </c>
      <c r="C7209" t="s">
        <v>962</v>
      </c>
      <c r="D7209" t="s">
        <v>1005</v>
      </c>
      <c r="E7209" t="s">
        <v>104</v>
      </c>
      <c r="F7209" t="s">
        <v>952</v>
      </c>
      <c r="G7209">
        <v>1877777</v>
      </c>
      <c r="H7209">
        <v>500220</v>
      </c>
      <c r="I7209" t="s">
        <v>949</v>
      </c>
    </row>
    <row r="7210" spans="1:9" x14ac:dyDescent="0.25">
      <c r="A7210">
        <v>3110</v>
      </c>
      <c r="B7210">
        <v>18</v>
      </c>
      <c r="C7210" t="s">
        <v>963</v>
      </c>
      <c r="D7210" t="s">
        <v>1005</v>
      </c>
      <c r="E7210" t="s">
        <v>104</v>
      </c>
      <c r="F7210" t="s">
        <v>951</v>
      </c>
      <c r="G7210">
        <v>1877777</v>
      </c>
      <c r="H7210">
        <v>500220</v>
      </c>
      <c r="I7210" t="s">
        <v>949</v>
      </c>
    </row>
    <row r="7211" spans="1:9" x14ac:dyDescent="0.25">
      <c r="A7211">
        <v>3110</v>
      </c>
      <c r="B7211">
        <v>18</v>
      </c>
      <c r="C7211" t="s">
        <v>963</v>
      </c>
      <c r="D7211" t="s">
        <v>1005</v>
      </c>
      <c r="E7211" t="s">
        <v>104</v>
      </c>
      <c r="F7211" t="s">
        <v>952</v>
      </c>
      <c r="G7211">
        <v>1877777</v>
      </c>
      <c r="H7211">
        <v>500220</v>
      </c>
      <c r="I7211" t="s">
        <v>949</v>
      </c>
    </row>
    <row r="7212" spans="1:9" x14ac:dyDescent="0.25">
      <c r="A7212">
        <v>3110</v>
      </c>
      <c r="B7212">
        <v>18</v>
      </c>
      <c r="C7212" t="s">
        <v>950</v>
      </c>
      <c r="D7212" t="s">
        <v>1005</v>
      </c>
      <c r="E7212" t="s">
        <v>278</v>
      </c>
      <c r="F7212" t="s">
        <v>951</v>
      </c>
      <c r="G7212">
        <v>1800000</v>
      </c>
      <c r="H7212">
        <v>145000</v>
      </c>
      <c r="I7212" t="s">
        <v>949</v>
      </c>
    </row>
    <row r="7213" spans="1:9" x14ac:dyDescent="0.25">
      <c r="A7213">
        <v>3110</v>
      </c>
      <c r="B7213">
        <v>18</v>
      </c>
      <c r="C7213" t="s">
        <v>950</v>
      </c>
      <c r="D7213" t="s">
        <v>1005</v>
      </c>
      <c r="E7213" t="s">
        <v>278</v>
      </c>
      <c r="F7213" t="s">
        <v>952</v>
      </c>
      <c r="G7213">
        <v>1800000</v>
      </c>
      <c r="H7213">
        <v>145000</v>
      </c>
      <c r="I7213" t="s">
        <v>949</v>
      </c>
    </row>
    <row r="7214" spans="1:9" x14ac:dyDescent="0.25">
      <c r="A7214">
        <v>3110</v>
      </c>
      <c r="B7214">
        <v>18</v>
      </c>
      <c r="C7214" t="s">
        <v>962</v>
      </c>
      <c r="D7214" t="s">
        <v>1005</v>
      </c>
      <c r="E7214" t="s">
        <v>278</v>
      </c>
      <c r="F7214" t="s">
        <v>951</v>
      </c>
      <c r="G7214">
        <v>1800000</v>
      </c>
      <c r="H7214">
        <v>145000</v>
      </c>
      <c r="I7214" t="s">
        <v>949</v>
      </c>
    </row>
    <row r="7215" spans="1:9" x14ac:dyDescent="0.25">
      <c r="A7215">
        <v>3110</v>
      </c>
      <c r="B7215">
        <v>18</v>
      </c>
      <c r="C7215" t="s">
        <v>962</v>
      </c>
      <c r="D7215" t="s">
        <v>1005</v>
      </c>
      <c r="E7215" t="s">
        <v>278</v>
      </c>
      <c r="F7215" t="s">
        <v>952</v>
      </c>
      <c r="G7215">
        <v>1800000</v>
      </c>
      <c r="H7215">
        <v>145000</v>
      </c>
      <c r="I7215" t="s">
        <v>949</v>
      </c>
    </row>
    <row r="7216" spans="1:9" x14ac:dyDescent="0.25">
      <c r="A7216">
        <v>3110</v>
      </c>
      <c r="B7216">
        <v>18</v>
      </c>
      <c r="C7216" t="s">
        <v>963</v>
      </c>
      <c r="D7216" t="s">
        <v>1005</v>
      </c>
      <c r="E7216" t="s">
        <v>278</v>
      </c>
      <c r="F7216" t="s">
        <v>951</v>
      </c>
      <c r="G7216">
        <v>1800000</v>
      </c>
      <c r="H7216">
        <v>145000</v>
      </c>
      <c r="I7216" t="s">
        <v>949</v>
      </c>
    </row>
    <row r="7217" spans="1:9" x14ac:dyDescent="0.25">
      <c r="A7217">
        <v>3110</v>
      </c>
      <c r="B7217">
        <v>18</v>
      </c>
      <c r="C7217" t="s">
        <v>963</v>
      </c>
      <c r="D7217" t="s">
        <v>1005</v>
      </c>
      <c r="E7217" t="s">
        <v>278</v>
      </c>
      <c r="F7217" t="s">
        <v>952</v>
      </c>
      <c r="G7217">
        <v>1800000</v>
      </c>
      <c r="H7217">
        <v>145000</v>
      </c>
      <c r="I7217" t="s">
        <v>949</v>
      </c>
    </row>
    <row r="7218" spans="1:9" x14ac:dyDescent="0.25">
      <c r="A7218">
        <v>3110</v>
      </c>
      <c r="B7218">
        <v>18</v>
      </c>
      <c r="C7218" t="s">
        <v>950</v>
      </c>
      <c r="D7218" t="s">
        <v>1005</v>
      </c>
      <c r="E7218" t="s">
        <v>282</v>
      </c>
      <c r="F7218" t="s">
        <v>951</v>
      </c>
      <c r="G7218">
        <v>1800000</v>
      </c>
      <c r="H7218">
        <v>143100</v>
      </c>
      <c r="I7218" t="s">
        <v>949</v>
      </c>
    </row>
    <row r="7219" spans="1:9" x14ac:dyDescent="0.25">
      <c r="A7219">
        <v>3110</v>
      </c>
      <c r="B7219">
        <v>18</v>
      </c>
      <c r="C7219" t="s">
        <v>950</v>
      </c>
      <c r="D7219" t="s">
        <v>1005</v>
      </c>
      <c r="E7219" t="s">
        <v>282</v>
      </c>
      <c r="F7219" t="s">
        <v>952</v>
      </c>
      <c r="G7219">
        <v>1800000</v>
      </c>
      <c r="H7219">
        <v>143100</v>
      </c>
      <c r="I7219" t="s">
        <v>949</v>
      </c>
    </row>
    <row r="7220" spans="1:9" x14ac:dyDescent="0.25">
      <c r="A7220">
        <v>3110</v>
      </c>
      <c r="B7220">
        <v>18</v>
      </c>
      <c r="C7220" t="s">
        <v>962</v>
      </c>
      <c r="D7220" t="s">
        <v>1005</v>
      </c>
      <c r="E7220" t="s">
        <v>282</v>
      </c>
      <c r="F7220" t="s">
        <v>951</v>
      </c>
      <c r="G7220">
        <v>1800000</v>
      </c>
      <c r="H7220">
        <v>143100</v>
      </c>
      <c r="I7220" t="s">
        <v>949</v>
      </c>
    </row>
    <row r="7221" spans="1:9" x14ac:dyDescent="0.25">
      <c r="A7221">
        <v>3110</v>
      </c>
      <c r="B7221">
        <v>18</v>
      </c>
      <c r="C7221" t="s">
        <v>962</v>
      </c>
      <c r="D7221" t="s">
        <v>1005</v>
      </c>
      <c r="E7221" t="s">
        <v>282</v>
      </c>
      <c r="F7221" t="s">
        <v>952</v>
      </c>
      <c r="G7221">
        <v>1800000</v>
      </c>
      <c r="H7221">
        <v>143100</v>
      </c>
      <c r="I7221" t="s">
        <v>949</v>
      </c>
    </row>
    <row r="7222" spans="1:9" x14ac:dyDescent="0.25">
      <c r="A7222">
        <v>3110</v>
      </c>
      <c r="B7222">
        <v>18</v>
      </c>
      <c r="C7222" t="s">
        <v>963</v>
      </c>
      <c r="D7222" t="s">
        <v>1005</v>
      </c>
      <c r="E7222" t="s">
        <v>282</v>
      </c>
      <c r="F7222" t="s">
        <v>951</v>
      </c>
      <c r="G7222">
        <v>1800000</v>
      </c>
      <c r="H7222">
        <v>143100</v>
      </c>
      <c r="I7222" t="s">
        <v>949</v>
      </c>
    </row>
    <row r="7223" spans="1:9" x14ac:dyDescent="0.25">
      <c r="A7223">
        <v>3110</v>
      </c>
      <c r="B7223">
        <v>18</v>
      </c>
      <c r="C7223" t="s">
        <v>963</v>
      </c>
      <c r="D7223" t="s">
        <v>1005</v>
      </c>
      <c r="E7223" t="s">
        <v>282</v>
      </c>
      <c r="F7223" t="s">
        <v>952</v>
      </c>
      <c r="G7223">
        <v>1800000</v>
      </c>
      <c r="H7223">
        <v>143100</v>
      </c>
      <c r="I7223" t="s">
        <v>949</v>
      </c>
    </row>
    <row r="7224" spans="1:9" x14ac:dyDescent="0.25">
      <c r="A7224">
        <v>3110</v>
      </c>
      <c r="B7224">
        <v>18</v>
      </c>
      <c r="C7224" t="s">
        <v>950</v>
      </c>
      <c r="D7224" t="s">
        <v>1005</v>
      </c>
      <c r="E7224" t="s">
        <v>39</v>
      </c>
      <c r="F7224" t="s">
        <v>956</v>
      </c>
      <c r="G7224">
        <v>1877777</v>
      </c>
      <c r="H7224">
        <v>501090</v>
      </c>
      <c r="I7224" t="s">
        <v>949</v>
      </c>
    </row>
    <row r="7225" spans="1:9" x14ac:dyDescent="0.25">
      <c r="A7225">
        <v>3110</v>
      </c>
      <c r="B7225">
        <v>18</v>
      </c>
      <c r="C7225" t="s">
        <v>950</v>
      </c>
      <c r="D7225" t="s">
        <v>1005</v>
      </c>
      <c r="E7225" t="s">
        <v>39</v>
      </c>
      <c r="F7225" t="s">
        <v>957</v>
      </c>
      <c r="G7225">
        <v>1877777</v>
      </c>
      <c r="H7225">
        <v>501090</v>
      </c>
      <c r="I7225" t="s">
        <v>949</v>
      </c>
    </row>
    <row r="7226" spans="1:9" x14ac:dyDescent="0.25">
      <c r="A7226">
        <v>3110</v>
      </c>
      <c r="B7226">
        <v>18</v>
      </c>
      <c r="C7226" t="s">
        <v>950</v>
      </c>
      <c r="D7226" t="s">
        <v>1005</v>
      </c>
      <c r="E7226" t="s">
        <v>39</v>
      </c>
      <c r="F7226" t="s">
        <v>958</v>
      </c>
      <c r="G7226">
        <v>1877777</v>
      </c>
      <c r="H7226">
        <v>501090</v>
      </c>
      <c r="I7226" t="s">
        <v>949</v>
      </c>
    </row>
    <row r="7227" spans="1:9" x14ac:dyDescent="0.25">
      <c r="A7227">
        <v>3110</v>
      </c>
      <c r="B7227">
        <v>18</v>
      </c>
      <c r="C7227" t="s">
        <v>962</v>
      </c>
      <c r="D7227" t="s">
        <v>1005</v>
      </c>
      <c r="E7227" t="s">
        <v>39</v>
      </c>
      <c r="F7227" t="s">
        <v>956</v>
      </c>
      <c r="G7227">
        <v>1877777</v>
      </c>
      <c r="H7227">
        <v>501090</v>
      </c>
      <c r="I7227" t="s">
        <v>949</v>
      </c>
    </row>
    <row r="7228" spans="1:9" x14ac:dyDescent="0.25">
      <c r="A7228">
        <v>3110</v>
      </c>
      <c r="B7228">
        <v>18</v>
      </c>
      <c r="C7228" t="s">
        <v>962</v>
      </c>
      <c r="D7228" t="s">
        <v>1005</v>
      </c>
      <c r="E7228" t="s">
        <v>39</v>
      </c>
      <c r="F7228" t="s">
        <v>957</v>
      </c>
      <c r="G7228">
        <v>1877777</v>
      </c>
      <c r="H7228">
        <v>501090</v>
      </c>
      <c r="I7228" t="s">
        <v>949</v>
      </c>
    </row>
    <row r="7229" spans="1:9" x14ac:dyDescent="0.25">
      <c r="A7229">
        <v>3110</v>
      </c>
      <c r="B7229">
        <v>18</v>
      </c>
      <c r="C7229" t="s">
        <v>962</v>
      </c>
      <c r="D7229" t="s">
        <v>1005</v>
      </c>
      <c r="E7229" t="s">
        <v>39</v>
      </c>
      <c r="F7229" t="s">
        <v>958</v>
      </c>
      <c r="G7229">
        <v>1877777</v>
      </c>
      <c r="H7229">
        <v>501090</v>
      </c>
      <c r="I7229" t="s">
        <v>949</v>
      </c>
    </row>
    <row r="7230" spans="1:9" x14ac:dyDescent="0.25">
      <c r="A7230">
        <v>3110</v>
      </c>
      <c r="B7230">
        <v>18</v>
      </c>
      <c r="C7230" t="s">
        <v>963</v>
      </c>
      <c r="D7230" t="s">
        <v>1005</v>
      </c>
      <c r="E7230" t="s">
        <v>39</v>
      </c>
      <c r="F7230" t="s">
        <v>956</v>
      </c>
      <c r="G7230">
        <v>1877777</v>
      </c>
      <c r="H7230">
        <v>501090</v>
      </c>
      <c r="I7230" t="s">
        <v>949</v>
      </c>
    </row>
    <row r="7231" spans="1:9" x14ac:dyDescent="0.25">
      <c r="A7231">
        <v>3110</v>
      </c>
      <c r="B7231">
        <v>18</v>
      </c>
      <c r="C7231" t="s">
        <v>963</v>
      </c>
      <c r="D7231" t="s">
        <v>1005</v>
      </c>
      <c r="E7231" t="s">
        <v>39</v>
      </c>
      <c r="F7231" t="s">
        <v>957</v>
      </c>
      <c r="G7231">
        <v>1877777</v>
      </c>
      <c r="H7231">
        <v>501090</v>
      </c>
      <c r="I7231" t="s">
        <v>949</v>
      </c>
    </row>
    <row r="7232" spans="1:9" x14ac:dyDescent="0.25">
      <c r="A7232">
        <v>3110</v>
      </c>
      <c r="B7232">
        <v>18</v>
      </c>
      <c r="C7232" t="s">
        <v>963</v>
      </c>
      <c r="D7232" t="s">
        <v>1005</v>
      </c>
      <c r="E7232" t="s">
        <v>39</v>
      </c>
      <c r="F7232" t="s">
        <v>958</v>
      </c>
      <c r="G7232">
        <v>1877777</v>
      </c>
      <c r="H7232">
        <v>501090</v>
      </c>
      <c r="I7232" t="s">
        <v>949</v>
      </c>
    </row>
    <row r="7233" spans="1:9" x14ac:dyDescent="0.25">
      <c r="A7233">
        <v>3110</v>
      </c>
      <c r="B7233">
        <v>18</v>
      </c>
      <c r="C7233" t="s">
        <v>950</v>
      </c>
      <c r="D7233" t="s">
        <v>1005</v>
      </c>
      <c r="E7233" t="s">
        <v>286</v>
      </c>
      <c r="F7233" t="s">
        <v>951</v>
      </c>
      <c r="G7233">
        <v>1800000</v>
      </c>
      <c r="H7233">
        <v>145000</v>
      </c>
      <c r="I7233" t="s">
        <v>949</v>
      </c>
    </row>
    <row r="7234" spans="1:9" x14ac:dyDescent="0.25">
      <c r="A7234">
        <v>3110</v>
      </c>
      <c r="B7234">
        <v>18</v>
      </c>
      <c r="C7234" t="s">
        <v>950</v>
      </c>
      <c r="D7234" t="s">
        <v>1005</v>
      </c>
      <c r="E7234" t="s">
        <v>286</v>
      </c>
      <c r="F7234" t="s">
        <v>952</v>
      </c>
      <c r="G7234">
        <v>1800000</v>
      </c>
      <c r="H7234">
        <v>145000</v>
      </c>
      <c r="I7234" t="s">
        <v>949</v>
      </c>
    </row>
    <row r="7235" spans="1:9" x14ac:dyDescent="0.25">
      <c r="A7235">
        <v>3110</v>
      </c>
      <c r="B7235">
        <v>18</v>
      </c>
      <c r="C7235" t="s">
        <v>962</v>
      </c>
      <c r="D7235" t="s">
        <v>1005</v>
      </c>
      <c r="E7235" t="s">
        <v>286</v>
      </c>
      <c r="F7235" t="s">
        <v>951</v>
      </c>
      <c r="G7235">
        <v>1800000</v>
      </c>
      <c r="H7235">
        <v>145000</v>
      </c>
      <c r="I7235" t="s">
        <v>949</v>
      </c>
    </row>
    <row r="7236" spans="1:9" x14ac:dyDescent="0.25">
      <c r="A7236">
        <v>3110</v>
      </c>
      <c r="B7236">
        <v>18</v>
      </c>
      <c r="C7236" t="s">
        <v>962</v>
      </c>
      <c r="D7236" t="s">
        <v>1005</v>
      </c>
      <c r="E7236" t="s">
        <v>286</v>
      </c>
      <c r="F7236" t="s">
        <v>952</v>
      </c>
      <c r="G7236">
        <v>1800000</v>
      </c>
      <c r="H7236">
        <v>145000</v>
      </c>
      <c r="I7236" t="s">
        <v>949</v>
      </c>
    </row>
    <row r="7237" spans="1:9" x14ac:dyDescent="0.25">
      <c r="A7237">
        <v>3110</v>
      </c>
      <c r="B7237">
        <v>18</v>
      </c>
      <c r="C7237" t="s">
        <v>963</v>
      </c>
      <c r="D7237" t="s">
        <v>1005</v>
      </c>
      <c r="E7237" t="s">
        <v>286</v>
      </c>
      <c r="F7237" t="s">
        <v>951</v>
      </c>
      <c r="G7237">
        <v>1800000</v>
      </c>
      <c r="H7237">
        <v>145000</v>
      </c>
      <c r="I7237" t="s">
        <v>949</v>
      </c>
    </row>
    <row r="7238" spans="1:9" x14ac:dyDescent="0.25">
      <c r="A7238">
        <v>3110</v>
      </c>
      <c r="B7238">
        <v>18</v>
      </c>
      <c r="C7238" t="s">
        <v>963</v>
      </c>
      <c r="D7238" t="s">
        <v>1005</v>
      </c>
      <c r="E7238" t="s">
        <v>286</v>
      </c>
      <c r="F7238" t="s">
        <v>952</v>
      </c>
      <c r="G7238">
        <v>1800000</v>
      </c>
      <c r="H7238">
        <v>145000</v>
      </c>
      <c r="I7238" t="s">
        <v>949</v>
      </c>
    </row>
    <row r="7239" spans="1:9" x14ac:dyDescent="0.25">
      <c r="A7239">
        <v>3110</v>
      </c>
      <c r="B7239">
        <v>18</v>
      </c>
      <c r="C7239" t="s">
        <v>950</v>
      </c>
      <c r="D7239" t="s">
        <v>1005</v>
      </c>
      <c r="E7239" t="s">
        <v>976</v>
      </c>
      <c r="F7239" t="s">
        <v>951</v>
      </c>
      <c r="G7239">
        <v>1800000</v>
      </c>
      <c r="H7239">
        <v>141000</v>
      </c>
      <c r="I7239" t="s">
        <v>977</v>
      </c>
    </row>
    <row r="7240" spans="1:9" x14ac:dyDescent="0.25">
      <c r="A7240">
        <v>3110</v>
      </c>
      <c r="B7240">
        <v>18</v>
      </c>
      <c r="C7240" t="s">
        <v>950</v>
      </c>
      <c r="D7240" t="s">
        <v>1005</v>
      </c>
      <c r="E7240" t="s">
        <v>976</v>
      </c>
      <c r="F7240" t="s">
        <v>952</v>
      </c>
      <c r="G7240">
        <v>1800000</v>
      </c>
      <c r="H7240">
        <v>141000</v>
      </c>
      <c r="I7240" t="s">
        <v>977</v>
      </c>
    </row>
    <row r="7241" spans="1:9" x14ac:dyDescent="0.25">
      <c r="A7241">
        <v>3110</v>
      </c>
      <c r="B7241">
        <v>18</v>
      </c>
      <c r="C7241" t="s">
        <v>962</v>
      </c>
      <c r="D7241" t="s">
        <v>1005</v>
      </c>
      <c r="E7241" t="s">
        <v>976</v>
      </c>
      <c r="F7241" t="s">
        <v>951</v>
      </c>
      <c r="G7241">
        <v>1800000</v>
      </c>
      <c r="H7241">
        <v>141000</v>
      </c>
      <c r="I7241" t="s">
        <v>977</v>
      </c>
    </row>
    <row r="7242" spans="1:9" x14ac:dyDescent="0.25">
      <c r="A7242">
        <v>3110</v>
      </c>
      <c r="B7242">
        <v>18</v>
      </c>
      <c r="C7242" t="s">
        <v>962</v>
      </c>
      <c r="D7242" t="s">
        <v>1005</v>
      </c>
      <c r="E7242" t="s">
        <v>976</v>
      </c>
      <c r="F7242" t="s">
        <v>952</v>
      </c>
      <c r="G7242">
        <v>1800000</v>
      </c>
      <c r="H7242">
        <v>141000</v>
      </c>
      <c r="I7242" t="s">
        <v>977</v>
      </c>
    </row>
    <row r="7243" spans="1:9" x14ac:dyDescent="0.25">
      <c r="A7243">
        <v>3110</v>
      </c>
      <c r="B7243">
        <v>18</v>
      </c>
      <c r="C7243" t="s">
        <v>963</v>
      </c>
      <c r="D7243" t="s">
        <v>1005</v>
      </c>
      <c r="E7243" t="s">
        <v>976</v>
      </c>
      <c r="F7243" t="s">
        <v>951</v>
      </c>
      <c r="G7243">
        <v>1800000</v>
      </c>
      <c r="H7243">
        <v>141000</v>
      </c>
      <c r="I7243" t="s">
        <v>977</v>
      </c>
    </row>
    <row r="7244" spans="1:9" x14ac:dyDescent="0.25">
      <c r="A7244">
        <v>3110</v>
      </c>
      <c r="B7244">
        <v>18</v>
      </c>
      <c r="C7244" t="s">
        <v>963</v>
      </c>
      <c r="D7244" t="s">
        <v>1005</v>
      </c>
      <c r="E7244" t="s">
        <v>976</v>
      </c>
      <c r="F7244" t="s">
        <v>952</v>
      </c>
      <c r="G7244">
        <v>1800000</v>
      </c>
      <c r="H7244">
        <v>141000</v>
      </c>
      <c r="I7244" t="s">
        <v>977</v>
      </c>
    </row>
    <row r="7245" spans="1:9" x14ac:dyDescent="0.25">
      <c r="A7245">
        <v>3110</v>
      </c>
      <c r="B7245">
        <v>18</v>
      </c>
      <c r="C7245" t="s">
        <v>950</v>
      </c>
      <c r="D7245" t="s">
        <v>1005</v>
      </c>
      <c r="E7245" t="s">
        <v>290</v>
      </c>
      <c r="F7245" t="s">
        <v>951</v>
      </c>
      <c r="G7245">
        <v>1800000</v>
      </c>
      <c r="H7245">
        <v>143000</v>
      </c>
      <c r="I7245" t="s">
        <v>978</v>
      </c>
    </row>
    <row r="7246" spans="1:9" x14ac:dyDescent="0.25">
      <c r="A7246">
        <v>3110</v>
      </c>
      <c r="B7246">
        <v>18</v>
      </c>
      <c r="C7246" t="s">
        <v>950</v>
      </c>
      <c r="D7246" t="s">
        <v>1005</v>
      </c>
      <c r="E7246" t="s">
        <v>290</v>
      </c>
      <c r="F7246" t="s">
        <v>952</v>
      </c>
      <c r="G7246">
        <v>1800000</v>
      </c>
      <c r="H7246">
        <v>143000</v>
      </c>
      <c r="I7246" t="s">
        <v>978</v>
      </c>
    </row>
    <row r="7247" spans="1:9" x14ac:dyDescent="0.25">
      <c r="A7247">
        <v>3110</v>
      </c>
      <c r="B7247">
        <v>18</v>
      </c>
      <c r="C7247" t="s">
        <v>950</v>
      </c>
      <c r="D7247" t="s">
        <v>1005</v>
      </c>
      <c r="E7247" t="s">
        <v>290</v>
      </c>
      <c r="F7247" t="s">
        <v>956</v>
      </c>
      <c r="G7247">
        <v>1800000</v>
      </c>
      <c r="H7247">
        <v>143000</v>
      </c>
      <c r="I7247" t="s">
        <v>978</v>
      </c>
    </row>
    <row r="7248" spans="1:9" x14ac:dyDescent="0.25">
      <c r="A7248">
        <v>3110</v>
      </c>
      <c r="B7248">
        <v>18</v>
      </c>
      <c r="C7248" t="s">
        <v>950</v>
      </c>
      <c r="D7248" t="s">
        <v>1005</v>
      </c>
      <c r="E7248" t="s">
        <v>290</v>
      </c>
      <c r="F7248" t="s">
        <v>957</v>
      </c>
      <c r="G7248">
        <v>1800000</v>
      </c>
      <c r="H7248">
        <v>143000</v>
      </c>
      <c r="I7248" t="s">
        <v>978</v>
      </c>
    </row>
    <row r="7249" spans="1:9" x14ac:dyDescent="0.25">
      <c r="A7249">
        <v>3110</v>
      </c>
      <c r="B7249">
        <v>18</v>
      </c>
      <c r="C7249" t="s">
        <v>950</v>
      </c>
      <c r="D7249" t="s">
        <v>1005</v>
      </c>
      <c r="E7249" t="s">
        <v>290</v>
      </c>
      <c r="F7249" t="s">
        <v>958</v>
      </c>
      <c r="G7249">
        <v>1800000</v>
      </c>
      <c r="H7249">
        <v>143000</v>
      </c>
      <c r="I7249" t="s">
        <v>978</v>
      </c>
    </row>
    <row r="7250" spans="1:9" x14ac:dyDescent="0.25">
      <c r="A7250">
        <v>3110</v>
      </c>
      <c r="B7250">
        <v>18</v>
      </c>
      <c r="C7250" t="s">
        <v>962</v>
      </c>
      <c r="D7250" t="s">
        <v>1005</v>
      </c>
      <c r="E7250" t="s">
        <v>290</v>
      </c>
      <c r="F7250" t="s">
        <v>951</v>
      </c>
      <c r="G7250">
        <v>1800000</v>
      </c>
      <c r="H7250">
        <v>143000</v>
      </c>
      <c r="I7250" t="s">
        <v>978</v>
      </c>
    </row>
    <row r="7251" spans="1:9" x14ac:dyDescent="0.25">
      <c r="A7251">
        <v>3110</v>
      </c>
      <c r="B7251">
        <v>18</v>
      </c>
      <c r="C7251" t="s">
        <v>962</v>
      </c>
      <c r="D7251" t="s">
        <v>1005</v>
      </c>
      <c r="E7251" t="s">
        <v>290</v>
      </c>
      <c r="F7251" t="s">
        <v>952</v>
      </c>
      <c r="G7251">
        <v>1800000</v>
      </c>
      <c r="H7251">
        <v>143000</v>
      </c>
      <c r="I7251" t="s">
        <v>978</v>
      </c>
    </row>
    <row r="7252" spans="1:9" x14ac:dyDescent="0.25">
      <c r="A7252">
        <v>3110</v>
      </c>
      <c r="B7252">
        <v>18</v>
      </c>
      <c r="C7252" t="s">
        <v>962</v>
      </c>
      <c r="D7252" t="s">
        <v>1005</v>
      </c>
      <c r="E7252" t="s">
        <v>290</v>
      </c>
      <c r="F7252" t="s">
        <v>956</v>
      </c>
      <c r="G7252">
        <v>1800000</v>
      </c>
      <c r="H7252">
        <v>143000</v>
      </c>
      <c r="I7252" t="s">
        <v>978</v>
      </c>
    </row>
    <row r="7253" spans="1:9" x14ac:dyDescent="0.25">
      <c r="A7253">
        <v>3110</v>
      </c>
      <c r="B7253">
        <v>18</v>
      </c>
      <c r="C7253" t="s">
        <v>962</v>
      </c>
      <c r="D7253" t="s">
        <v>1005</v>
      </c>
      <c r="E7253" t="s">
        <v>290</v>
      </c>
      <c r="F7253" t="s">
        <v>957</v>
      </c>
      <c r="G7253">
        <v>1800000</v>
      </c>
      <c r="H7253">
        <v>143000</v>
      </c>
      <c r="I7253" t="s">
        <v>978</v>
      </c>
    </row>
    <row r="7254" spans="1:9" x14ac:dyDescent="0.25">
      <c r="A7254">
        <v>3110</v>
      </c>
      <c r="B7254">
        <v>18</v>
      </c>
      <c r="C7254" t="s">
        <v>962</v>
      </c>
      <c r="D7254" t="s">
        <v>1005</v>
      </c>
      <c r="E7254" t="s">
        <v>290</v>
      </c>
      <c r="F7254" t="s">
        <v>958</v>
      </c>
      <c r="G7254">
        <v>1800000</v>
      </c>
      <c r="H7254">
        <v>143000</v>
      </c>
      <c r="I7254" t="s">
        <v>978</v>
      </c>
    </row>
    <row r="7255" spans="1:9" x14ac:dyDescent="0.25">
      <c r="A7255">
        <v>3110</v>
      </c>
      <c r="B7255">
        <v>18</v>
      </c>
      <c r="C7255" t="s">
        <v>963</v>
      </c>
      <c r="D7255" t="s">
        <v>1005</v>
      </c>
      <c r="E7255" t="s">
        <v>290</v>
      </c>
      <c r="F7255" t="s">
        <v>951</v>
      </c>
      <c r="G7255">
        <v>1800000</v>
      </c>
      <c r="H7255">
        <v>143000</v>
      </c>
      <c r="I7255" t="s">
        <v>978</v>
      </c>
    </row>
    <row r="7256" spans="1:9" x14ac:dyDescent="0.25">
      <c r="A7256">
        <v>3110</v>
      </c>
      <c r="B7256">
        <v>18</v>
      </c>
      <c r="C7256" t="s">
        <v>963</v>
      </c>
      <c r="D7256" t="s">
        <v>1005</v>
      </c>
      <c r="E7256" t="s">
        <v>290</v>
      </c>
      <c r="F7256" t="s">
        <v>952</v>
      </c>
      <c r="G7256">
        <v>1800000</v>
      </c>
      <c r="H7256">
        <v>143000</v>
      </c>
      <c r="I7256" t="s">
        <v>978</v>
      </c>
    </row>
    <row r="7257" spans="1:9" x14ac:dyDescent="0.25">
      <c r="A7257">
        <v>3110</v>
      </c>
      <c r="B7257">
        <v>18</v>
      </c>
      <c r="C7257" t="s">
        <v>963</v>
      </c>
      <c r="D7257" t="s">
        <v>1005</v>
      </c>
      <c r="E7257" t="s">
        <v>290</v>
      </c>
      <c r="F7257" t="s">
        <v>956</v>
      </c>
      <c r="G7257">
        <v>1800000</v>
      </c>
      <c r="H7257">
        <v>143000</v>
      </c>
      <c r="I7257" t="s">
        <v>978</v>
      </c>
    </row>
    <row r="7258" spans="1:9" x14ac:dyDescent="0.25">
      <c r="A7258">
        <v>3110</v>
      </c>
      <c r="B7258">
        <v>18</v>
      </c>
      <c r="C7258" t="s">
        <v>963</v>
      </c>
      <c r="D7258" t="s">
        <v>1005</v>
      </c>
      <c r="E7258" t="s">
        <v>290</v>
      </c>
      <c r="F7258" t="s">
        <v>957</v>
      </c>
      <c r="G7258">
        <v>1800000</v>
      </c>
      <c r="H7258">
        <v>143000</v>
      </c>
      <c r="I7258" t="s">
        <v>978</v>
      </c>
    </row>
    <row r="7259" spans="1:9" x14ac:dyDescent="0.25">
      <c r="A7259">
        <v>3110</v>
      </c>
      <c r="B7259">
        <v>18</v>
      </c>
      <c r="C7259" t="s">
        <v>963</v>
      </c>
      <c r="D7259" t="s">
        <v>1005</v>
      </c>
      <c r="E7259" t="s">
        <v>290</v>
      </c>
      <c r="F7259" t="s">
        <v>958</v>
      </c>
      <c r="G7259">
        <v>1800000</v>
      </c>
      <c r="H7259">
        <v>143000</v>
      </c>
      <c r="I7259" t="s">
        <v>978</v>
      </c>
    </row>
    <row r="7260" spans="1:9" x14ac:dyDescent="0.25">
      <c r="A7260">
        <v>3110</v>
      </c>
      <c r="B7260">
        <v>18</v>
      </c>
      <c r="C7260" t="s">
        <v>950</v>
      </c>
      <c r="D7260" t="s">
        <v>1005</v>
      </c>
      <c r="E7260" t="s">
        <v>294</v>
      </c>
      <c r="F7260" t="s">
        <v>951</v>
      </c>
      <c r="G7260">
        <v>1800000</v>
      </c>
      <c r="H7260">
        <v>143000</v>
      </c>
      <c r="I7260" t="s">
        <v>979</v>
      </c>
    </row>
    <row r="7261" spans="1:9" x14ac:dyDescent="0.25">
      <c r="A7261">
        <v>3110</v>
      </c>
      <c r="B7261">
        <v>18</v>
      </c>
      <c r="C7261" t="s">
        <v>950</v>
      </c>
      <c r="D7261" t="s">
        <v>1005</v>
      </c>
      <c r="E7261" t="s">
        <v>294</v>
      </c>
      <c r="F7261" t="s">
        <v>952</v>
      </c>
      <c r="G7261">
        <v>1800000</v>
      </c>
      <c r="H7261">
        <v>143000</v>
      </c>
      <c r="I7261" t="s">
        <v>979</v>
      </c>
    </row>
    <row r="7262" spans="1:9" x14ac:dyDescent="0.25">
      <c r="A7262">
        <v>3110</v>
      </c>
      <c r="B7262">
        <v>18</v>
      </c>
      <c r="C7262" t="s">
        <v>950</v>
      </c>
      <c r="D7262" t="s">
        <v>1005</v>
      </c>
      <c r="E7262" t="s">
        <v>294</v>
      </c>
      <c r="F7262" t="s">
        <v>956</v>
      </c>
      <c r="G7262">
        <v>1800000</v>
      </c>
      <c r="H7262">
        <v>143000</v>
      </c>
      <c r="I7262" t="s">
        <v>979</v>
      </c>
    </row>
    <row r="7263" spans="1:9" x14ac:dyDescent="0.25">
      <c r="A7263">
        <v>3110</v>
      </c>
      <c r="B7263">
        <v>18</v>
      </c>
      <c r="C7263" t="s">
        <v>950</v>
      </c>
      <c r="D7263" t="s">
        <v>1005</v>
      </c>
      <c r="E7263" t="s">
        <v>294</v>
      </c>
      <c r="F7263" t="s">
        <v>957</v>
      </c>
      <c r="G7263">
        <v>1800000</v>
      </c>
      <c r="H7263">
        <v>143000</v>
      </c>
      <c r="I7263" t="s">
        <v>979</v>
      </c>
    </row>
    <row r="7264" spans="1:9" x14ac:dyDescent="0.25">
      <c r="A7264">
        <v>3110</v>
      </c>
      <c r="B7264">
        <v>18</v>
      </c>
      <c r="C7264" t="s">
        <v>950</v>
      </c>
      <c r="D7264" t="s">
        <v>1005</v>
      </c>
      <c r="E7264" t="s">
        <v>294</v>
      </c>
      <c r="F7264" t="s">
        <v>958</v>
      </c>
      <c r="G7264">
        <v>1800000</v>
      </c>
      <c r="H7264">
        <v>143000</v>
      </c>
      <c r="I7264" t="s">
        <v>979</v>
      </c>
    </row>
    <row r="7265" spans="1:9" x14ac:dyDescent="0.25">
      <c r="A7265">
        <v>3110</v>
      </c>
      <c r="B7265">
        <v>18</v>
      </c>
      <c r="C7265" t="s">
        <v>962</v>
      </c>
      <c r="D7265" t="s">
        <v>1005</v>
      </c>
      <c r="E7265" t="s">
        <v>294</v>
      </c>
      <c r="F7265" t="s">
        <v>951</v>
      </c>
      <c r="G7265">
        <v>1800000</v>
      </c>
      <c r="H7265">
        <v>143000</v>
      </c>
      <c r="I7265" t="s">
        <v>979</v>
      </c>
    </row>
    <row r="7266" spans="1:9" x14ac:dyDescent="0.25">
      <c r="A7266">
        <v>3110</v>
      </c>
      <c r="B7266">
        <v>18</v>
      </c>
      <c r="C7266" t="s">
        <v>962</v>
      </c>
      <c r="D7266" t="s">
        <v>1005</v>
      </c>
      <c r="E7266" t="s">
        <v>294</v>
      </c>
      <c r="F7266" t="s">
        <v>952</v>
      </c>
      <c r="G7266">
        <v>1800000</v>
      </c>
      <c r="H7266">
        <v>143000</v>
      </c>
      <c r="I7266" t="s">
        <v>979</v>
      </c>
    </row>
    <row r="7267" spans="1:9" x14ac:dyDescent="0.25">
      <c r="A7267">
        <v>3110</v>
      </c>
      <c r="B7267">
        <v>18</v>
      </c>
      <c r="C7267" t="s">
        <v>962</v>
      </c>
      <c r="D7267" t="s">
        <v>1005</v>
      </c>
      <c r="E7267" t="s">
        <v>294</v>
      </c>
      <c r="F7267" t="s">
        <v>956</v>
      </c>
      <c r="G7267">
        <v>1800000</v>
      </c>
      <c r="H7267">
        <v>143000</v>
      </c>
      <c r="I7267" t="s">
        <v>979</v>
      </c>
    </row>
    <row r="7268" spans="1:9" x14ac:dyDescent="0.25">
      <c r="A7268">
        <v>3110</v>
      </c>
      <c r="B7268">
        <v>18</v>
      </c>
      <c r="C7268" t="s">
        <v>962</v>
      </c>
      <c r="D7268" t="s">
        <v>1005</v>
      </c>
      <c r="E7268" t="s">
        <v>294</v>
      </c>
      <c r="F7268" t="s">
        <v>957</v>
      </c>
      <c r="G7268">
        <v>1800000</v>
      </c>
      <c r="H7268">
        <v>143000</v>
      </c>
      <c r="I7268" t="s">
        <v>979</v>
      </c>
    </row>
    <row r="7269" spans="1:9" x14ac:dyDescent="0.25">
      <c r="A7269">
        <v>3110</v>
      </c>
      <c r="B7269">
        <v>18</v>
      </c>
      <c r="C7269" t="s">
        <v>962</v>
      </c>
      <c r="D7269" t="s">
        <v>1005</v>
      </c>
      <c r="E7269" t="s">
        <v>294</v>
      </c>
      <c r="F7269" t="s">
        <v>958</v>
      </c>
      <c r="G7269">
        <v>1800000</v>
      </c>
      <c r="H7269">
        <v>143000</v>
      </c>
      <c r="I7269" t="s">
        <v>979</v>
      </c>
    </row>
    <row r="7270" spans="1:9" x14ac:dyDescent="0.25">
      <c r="A7270">
        <v>3110</v>
      </c>
      <c r="B7270">
        <v>18</v>
      </c>
      <c r="C7270" t="s">
        <v>963</v>
      </c>
      <c r="D7270" t="s">
        <v>1005</v>
      </c>
      <c r="E7270" t="s">
        <v>294</v>
      </c>
      <c r="F7270" t="s">
        <v>951</v>
      </c>
      <c r="G7270">
        <v>1800000</v>
      </c>
      <c r="H7270">
        <v>143000</v>
      </c>
      <c r="I7270" t="s">
        <v>979</v>
      </c>
    </row>
    <row r="7271" spans="1:9" x14ac:dyDescent="0.25">
      <c r="A7271">
        <v>3110</v>
      </c>
      <c r="B7271">
        <v>18</v>
      </c>
      <c r="C7271" t="s">
        <v>963</v>
      </c>
      <c r="D7271" t="s">
        <v>1005</v>
      </c>
      <c r="E7271" t="s">
        <v>294</v>
      </c>
      <c r="F7271" t="s">
        <v>952</v>
      </c>
      <c r="G7271">
        <v>1800000</v>
      </c>
      <c r="H7271">
        <v>143000</v>
      </c>
      <c r="I7271" t="s">
        <v>979</v>
      </c>
    </row>
    <row r="7272" spans="1:9" x14ac:dyDescent="0.25">
      <c r="A7272">
        <v>3110</v>
      </c>
      <c r="B7272">
        <v>18</v>
      </c>
      <c r="C7272" t="s">
        <v>963</v>
      </c>
      <c r="D7272" t="s">
        <v>1005</v>
      </c>
      <c r="E7272" t="s">
        <v>294</v>
      </c>
      <c r="F7272" t="s">
        <v>956</v>
      </c>
      <c r="G7272">
        <v>1800000</v>
      </c>
      <c r="H7272">
        <v>143000</v>
      </c>
      <c r="I7272" t="s">
        <v>979</v>
      </c>
    </row>
    <row r="7273" spans="1:9" x14ac:dyDescent="0.25">
      <c r="A7273">
        <v>3110</v>
      </c>
      <c r="B7273">
        <v>18</v>
      </c>
      <c r="C7273" t="s">
        <v>963</v>
      </c>
      <c r="D7273" t="s">
        <v>1005</v>
      </c>
      <c r="E7273" t="s">
        <v>294</v>
      </c>
      <c r="F7273" t="s">
        <v>957</v>
      </c>
      <c r="G7273">
        <v>1800000</v>
      </c>
      <c r="H7273">
        <v>143000</v>
      </c>
      <c r="I7273" t="s">
        <v>979</v>
      </c>
    </row>
    <row r="7274" spans="1:9" x14ac:dyDescent="0.25">
      <c r="A7274">
        <v>3110</v>
      </c>
      <c r="B7274">
        <v>18</v>
      </c>
      <c r="C7274" t="s">
        <v>963</v>
      </c>
      <c r="D7274" t="s">
        <v>1005</v>
      </c>
      <c r="E7274" t="s">
        <v>294</v>
      </c>
      <c r="F7274" t="s">
        <v>958</v>
      </c>
      <c r="G7274">
        <v>1800000</v>
      </c>
      <c r="H7274">
        <v>143000</v>
      </c>
      <c r="I7274" t="s">
        <v>979</v>
      </c>
    </row>
    <row r="7275" spans="1:9" x14ac:dyDescent="0.25">
      <c r="A7275">
        <v>3110</v>
      </c>
      <c r="B7275">
        <v>18</v>
      </c>
      <c r="C7275" t="s">
        <v>950</v>
      </c>
      <c r="D7275" t="s">
        <v>1005</v>
      </c>
      <c r="E7275" t="s">
        <v>980</v>
      </c>
      <c r="F7275" t="s">
        <v>951</v>
      </c>
      <c r="G7275">
        <v>1800000</v>
      </c>
      <c r="H7275">
        <v>141000</v>
      </c>
      <c r="I7275" t="s">
        <v>981</v>
      </c>
    </row>
    <row r="7276" spans="1:9" x14ac:dyDescent="0.25">
      <c r="A7276">
        <v>3110</v>
      </c>
      <c r="B7276">
        <v>18</v>
      </c>
      <c r="C7276" t="s">
        <v>950</v>
      </c>
      <c r="D7276" t="s">
        <v>1005</v>
      </c>
      <c r="E7276" t="s">
        <v>980</v>
      </c>
      <c r="F7276" t="s">
        <v>952</v>
      </c>
      <c r="G7276">
        <v>1800000</v>
      </c>
      <c r="H7276">
        <v>141000</v>
      </c>
      <c r="I7276" t="s">
        <v>981</v>
      </c>
    </row>
    <row r="7277" spans="1:9" x14ac:dyDescent="0.25">
      <c r="A7277">
        <v>3110</v>
      </c>
      <c r="B7277">
        <v>18</v>
      </c>
      <c r="C7277" t="s">
        <v>962</v>
      </c>
      <c r="D7277" t="s">
        <v>1005</v>
      </c>
      <c r="E7277" t="s">
        <v>980</v>
      </c>
      <c r="F7277" t="s">
        <v>951</v>
      </c>
      <c r="G7277">
        <v>1800000</v>
      </c>
      <c r="H7277">
        <v>141000</v>
      </c>
      <c r="I7277" t="s">
        <v>981</v>
      </c>
    </row>
    <row r="7278" spans="1:9" x14ac:dyDescent="0.25">
      <c r="A7278">
        <v>3110</v>
      </c>
      <c r="B7278">
        <v>18</v>
      </c>
      <c r="C7278" t="s">
        <v>962</v>
      </c>
      <c r="D7278" t="s">
        <v>1005</v>
      </c>
      <c r="E7278" t="s">
        <v>980</v>
      </c>
      <c r="F7278" t="s">
        <v>952</v>
      </c>
      <c r="G7278">
        <v>1800000</v>
      </c>
      <c r="H7278">
        <v>141000</v>
      </c>
      <c r="I7278" t="s">
        <v>981</v>
      </c>
    </row>
    <row r="7279" spans="1:9" x14ac:dyDescent="0.25">
      <c r="A7279">
        <v>3110</v>
      </c>
      <c r="B7279">
        <v>18</v>
      </c>
      <c r="C7279" t="s">
        <v>963</v>
      </c>
      <c r="D7279" t="s">
        <v>1005</v>
      </c>
      <c r="E7279" t="s">
        <v>980</v>
      </c>
      <c r="F7279" t="s">
        <v>951</v>
      </c>
      <c r="G7279">
        <v>1800000</v>
      </c>
      <c r="H7279">
        <v>141000</v>
      </c>
      <c r="I7279" t="s">
        <v>981</v>
      </c>
    </row>
    <row r="7280" spans="1:9" x14ac:dyDescent="0.25">
      <c r="A7280">
        <v>3110</v>
      </c>
      <c r="B7280">
        <v>18</v>
      </c>
      <c r="C7280" t="s">
        <v>963</v>
      </c>
      <c r="D7280" t="s">
        <v>1005</v>
      </c>
      <c r="E7280" t="s">
        <v>980</v>
      </c>
      <c r="F7280" t="s">
        <v>952</v>
      </c>
      <c r="G7280">
        <v>1800000</v>
      </c>
      <c r="H7280">
        <v>141000</v>
      </c>
      <c r="I7280" t="s">
        <v>981</v>
      </c>
    </row>
    <row r="7281" spans="1:9" x14ac:dyDescent="0.25">
      <c r="A7281">
        <v>3110</v>
      </c>
      <c r="B7281">
        <v>18</v>
      </c>
      <c r="C7281" t="s">
        <v>950</v>
      </c>
      <c r="D7281" t="s">
        <v>1005</v>
      </c>
      <c r="E7281" t="s">
        <v>302</v>
      </c>
      <c r="F7281" t="s">
        <v>951</v>
      </c>
      <c r="G7281">
        <v>1800000</v>
      </c>
      <c r="H7281">
        <v>143000</v>
      </c>
      <c r="I7281" t="s">
        <v>982</v>
      </c>
    </row>
    <row r="7282" spans="1:9" x14ac:dyDescent="0.25">
      <c r="A7282">
        <v>3110</v>
      </c>
      <c r="B7282">
        <v>18</v>
      </c>
      <c r="C7282" t="s">
        <v>950</v>
      </c>
      <c r="D7282" t="s">
        <v>1005</v>
      </c>
      <c r="E7282" t="s">
        <v>302</v>
      </c>
      <c r="F7282" t="s">
        <v>952</v>
      </c>
      <c r="G7282">
        <v>1800000</v>
      </c>
      <c r="H7282">
        <v>143000</v>
      </c>
      <c r="I7282" t="s">
        <v>982</v>
      </c>
    </row>
    <row r="7283" spans="1:9" x14ac:dyDescent="0.25">
      <c r="A7283">
        <v>3110</v>
      </c>
      <c r="B7283">
        <v>18</v>
      </c>
      <c r="C7283" t="s">
        <v>950</v>
      </c>
      <c r="D7283" t="s">
        <v>1005</v>
      </c>
      <c r="E7283" t="s">
        <v>302</v>
      </c>
      <c r="F7283" t="s">
        <v>956</v>
      </c>
      <c r="G7283">
        <v>1800000</v>
      </c>
      <c r="H7283">
        <v>143000</v>
      </c>
      <c r="I7283" t="s">
        <v>982</v>
      </c>
    </row>
    <row r="7284" spans="1:9" x14ac:dyDescent="0.25">
      <c r="A7284">
        <v>3110</v>
      </c>
      <c r="B7284">
        <v>18</v>
      </c>
      <c r="C7284" t="s">
        <v>950</v>
      </c>
      <c r="D7284" t="s">
        <v>1005</v>
      </c>
      <c r="E7284" t="s">
        <v>302</v>
      </c>
      <c r="F7284" t="s">
        <v>957</v>
      </c>
      <c r="G7284">
        <v>1800000</v>
      </c>
      <c r="H7284">
        <v>143000</v>
      </c>
      <c r="I7284" t="s">
        <v>982</v>
      </c>
    </row>
    <row r="7285" spans="1:9" x14ac:dyDescent="0.25">
      <c r="A7285">
        <v>3110</v>
      </c>
      <c r="B7285">
        <v>18</v>
      </c>
      <c r="C7285" t="s">
        <v>950</v>
      </c>
      <c r="D7285" t="s">
        <v>1005</v>
      </c>
      <c r="E7285" t="s">
        <v>302</v>
      </c>
      <c r="F7285" t="s">
        <v>958</v>
      </c>
      <c r="G7285">
        <v>1800000</v>
      </c>
      <c r="H7285">
        <v>143000</v>
      </c>
      <c r="I7285" t="s">
        <v>982</v>
      </c>
    </row>
    <row r="7286" spans="1:9" x14ac:dyDescent="0.25">
      <c r="A7286">
        <v>3110</v>
      </c>
      <c r="B7286">
        <v>18</v>
      </c>
      <c r="C7286" t="s">
        <v>962</v>
      </c>
      <c r="D7286" t="s">
        <v>1005</v>
      </c>
      <c r="E7286" t="s">
        <v>302</v>
      </c>
      <c r="F7286" t="s">
        <v>951</v>
      </c>
      <c r="G7286">
        <v>1800000</v>
      </c>
      <c r="H7286">
        <v>143000</v>
      </c>
      <c r="I7286" t="s">
        <v>982</v>
      </c>
    </row>
    <row r="7287" spans="1:9" x14ac:dyDescent="0.25">
      <c r="A7287">
        <v>3110</v>
      </c>
      <c r="B7287">
        <v>18</v>
      </c>
      <c r="C7287" t="s">
        <v>962</v>
      </c>
      <c r="D7287" t="s">
        <v>1005</v>
      </c>
      <c r="E7287" t="s">
        <v>302</v>
      </c>
      <c r="F7287" t="s">
        <v>952</v>
      </c>
      <c r="G7287">
        <v>1800000</v>
      </c>
      <c r="H7287">
        <v>143000</v>
      </c>
      <c r="I7287" t="s">
        <v>982</v>
      </c>
    </row>
    <row r="7288" spans="1:9" x14ac:dyDescent="0.25">
      <c r="A7288">
        <v>3110</v>
      </c>
      <c r="B7288">
        <v>18</v>
      </c>
      <c r="C7288" t="s">
        <v>962</v>
      </c>
      <c r="D7288" t="s">
        <v>1005</v>
      </c>
      <c r="E7288" t="s">
        <v>302</v>
      </c>
      <c r="F7288" t="s">
        <v>956</v>
      </c>
      <c r="G7288">
        <v>1800000</v>
      </c>
      <c r="H7288">
        <v>143000</v>
      </c>
      <c r="I7288" t="s">
        <v>982</v>
      </c>
    </row>
    <row r="7289" spans="1:9" x14ac:dyDescent="0.25">
      <c r="A7289">
        <v>3110</v>
      </c>
      <c r="B7289">
        <v>18</v>
      </c>
      <c r="C7289" t="s">
        <v>962</v>
      </c>
      <c r="D7289" t="s">
        <v>1005</v>
      </c>
      <c r="E7289" t="s">
        <v>302</v>
      </c>
      <c r="F7289" t="s">
        <v>957</v>
      </c>
      <c r="G7289">
        <v>1800000</v>
      </c>
      <c r="H7289">
        <v>143000</v>
      </c>
      <c r="I7289" t="s">
        <v>982</v>
      </c>
    </row>
    <row r="7290" spans="1:9" x14ac:dyDescent="0.25">
      <c r="A7290">
        <v>3110</v>
      </c>
      <c r="B7290">
        <v>18</v>
      </c>
      <c r="C7290" t="s">
        <v>962</v>
      </c>
      <c r="D7290" t="s">
        <v>1005</v>
      </c>
      <c r="E7290" t="s">
        <v>302</v>
      </c>
      <c r="F7290" t="s">
        <v>958</v>
      </c>
      <c r="G7290">
        <v>1800000</v>
      </c>
      <c r="H7290">
        <v>143000</v>
      </c>
      <c r="I7290" t="s">
        <v>982</v>
      </c>
    </row>
    <row r="7291" spans="1:9" x14ac:dyDescent="0.25">
      <c r="A7291">
        <v>3110</v>
      </c>
      <c r="B7291">
        <v>18</v>
      </c>
      <c r="C7291" t="s">
        <v>963</v>
      </c>
      <c r="D7291" t="s">
        <v>1005</v>
      </c>
      <c r="E7291" t="s">
        <v>302</v>
      </c>
      <c r="F7291" t="s">
        <v>951</v>
      </c>
      <c r="G7291">
        <v>1800000</v>
      </c>
      <c r="H7291">
        <v>143000</v>
      </c>
      <c r="I7291" t="s">
        <v>982</v>
      </c>
    </row>
    <row r="7292" spans="1:9" x14ac:dyDescent="0.25">
      <c r="A7292">
        <v>3110</v>
      </c>
      <c r="B7292">
        <v>18</v>
      </c>
      <c r="C7292" t="s">
        <v>963</v>
      </c>
      <c r="D7292" t="s">
        <v>1005</v>
      </c>
      <c r="E7292" t="s">
        <v>302</v>
      </c>
      <c r="F7292" t="s">
        <v>952</v>
      </c>
      <c r="G7292">
        <v>1800000</v>
      </c>
      <c r="H7292">
        <v>143000</v>
      </c>
      <c r="I7292" t="s">
        <v>982</v>
      </c>
    </row>
    <row r="7293" spans="1:9" x14ac:dyDescent="0.25">
      <c r="A7293">
        <v>3110</v>
      </c>
      <c r="B7293">
        <v>18</v>
      </c>
      <c r="C7293" t="s">
        <v>963</v>
      </c>
      <c r="D7293" t="s">
        <v>1005</v>
      </c>
      <c r="E7293" t="s">
        <v>302</v>
      </c>
      <c r="F7293" t="s">
        <v>956</v>
      </c>
      <c r="G7293">
        <v>1800000</v>
      </c>
      <c r="H7293">
        <v>143000</v>
      </c>
      <c r="I7293" t="s">
        <v>982</v>
      </c>
    </row>
    <row r="7294" spans="1:9" x14ac:dyDescent="0.25">
      <c r="A7294">
        <v>3110</v>
      </c>
      <c r="B7294">
        <v>18</v>
      </c>
      <c r="C7294" t="s">
        <v>963</v>
      </c>
      <c r="D7294" t="s">
        <v>1005</v>
      </c>
      <c r="E7294" t="s">
        <v>302</v>
      </c>
      <c r="F7294" t="s">
        <v>957</v>
      </c>
      <c r="G7294">
        <v>1800000</v>
      </c>
      <c r="H7294">
        <v>143000</v>
      </c>
      <c r="I7294" t="s">
        <v>982</v>
      </c>
    </row>
    <row r="7295" spans="1:9" x14ac:dyDescent="0.25">
      <c r="A7295">
        <v>3110</v>
      </c>
      <c r="B7295">
        <v>18</v>
      </c>
      <c r="C7295" t="s">
        <v>963</v>
      </c>
      <c r="D7295" t="s">
        <v>1005</v>
      </c>
      <c r="E7295" t="s">
        <v>302</v>
      </c>
      <c r="F7295" t="s">
        <v>958</v>
      </c>
      <c r="G7295">
        <v>1800000</v>
      </c>
      <c r="H7295">
        <v>143000</v>
      </c>
      <c r="I7295" t="s">
        <v>982</v>
      </c>
    </row>
    <row r="7296" spans="1:9" x14ac:dyDescent="0.25">
      <c r="A7296">
        <v>3110</v>
      </c>
      <c r="B7296">
        <v>18</v>
      </c>
      <c r="C7296" t="s">
        <v>950</v>
      </c>
      <c r="D7296" t="s">
        <v>1005</v>
      </c>
      <c r="E7296" t="s">
        <v>306</v>
      </c>
      <c r="F7296" t="s">
        <v>951</v>
      </c>
      <c r="G7296">
        <v>1800000</v>
      </c>
      <c r="H7296">
        <v>143000</v>
      </c>
      <c r="I7296" t="s">
        <v>983</v>
      </c>
    </row>
    <row r="7297" spans="1:9" x14ac:dyDescent="0.25">
      <c r="A7297">
        <v>3110</v>
      </c>
      <c r="B7297">
        <v>18</v>
      </c>
      <c r="C7297" t="s">
        <v>950</v>
      </c>
      <c r="D7297" t="s">
        <v>1005</v>
      </c>
      <c r="E7297" t="s">
        <v>306</v>
      </c>
      <c r="F7297" t="s">
        <v>952</v>
      </c>
      <c r="G7297">
        <v>1800000</v>
      </c>
      <c r="H7297">
        <v>143000</v>
      </c>
      <c r="I7297" t="s">
        <v>983</v>
      </c>
    </row>
    <row r="7298" spans="1:9" x14ac:dyDescent="0.25">
      <c r="A7298">
        <v>3110</v>
      </c>
      <c r="B7298">
        <v>18</v>
      </c>
      <c r="C7298" t="s">
        <v>950</v>
      </c>
      <c r="D7298" t="s">
        <v>1005</v>
      </c>
      <c r="E7298" t="s">
        <v>306</v>
      </c>
      <c r="F7298" t="s">
        <v>956</v>
      </c>
      <c r="G7298">
        <v>1800000</v>
      </c>
      <c r="H7298">
        <v>143000</v>
      </c>
      <c r="I7298" t="s">
        <v>983</v>
      </c>
    </row>
    <row r="7299" spans="1:9" x14ac:dyDescent="0.25">
      <c r="A7299">
        <v>3110</v>
      </c>
      <c r="B7299">
        <v>18</v>
      </c>
      <c r="C7299" t="s">
        <v>950</v>
      </c>
      <c r="D7299" t="s">
        <v>1005</v>
      </c>
      <c r="E7299" t="s">
        <v>306</v>
      </c>
      <c r="F7299" t="s">
        <v>957</v>
      </c>
      <c r="G7299">
        <v>1800000</v>
      </c>
      <c r="H7299">
        <v>143000</v>
      </c>
      <c r="I7299" t="s">
        <v>983</v>
      </c>
    </row>
    <row r="7300" spans="1:9" x14ac:dyDescent="0.25">
      <c r="A7300">
        <v>3110</v>
      </c>
      <c r="B7300">
        <v>18</v>
      </c>
      <c r="C7300" t="s">
        <v>950</v>
      </c>
      <c r="D7300" t="s">
        <v>1005</v>
      </c>
      <c r="E7300" t="s">
        <v>306</v>
      </c>
      <c r="F7300" t="s">
        <v>958</v>
      </c>
      <c r="G7300">
        <v>1800000</v>
      </c>
      <c r="H7300">
        <v>143000</v>
      </c>
      <c r="I7300" t="s">
        <v>983</v>
      </c>
    </row>
    <row r="7301" spans="1:9" x14ac:dyDescent="0.25">
      <c r="A7301">
        <v>3110</v>
      </c>
      <c r="B7301">
        <v>18</v>
      </c>
      <c r="C7301" t="s">
        <v>962</v>
      </c>
      <c r="D7301" t="s">
        <v>1005</v>
      </c>
      <c r="E7301" t="s">
        <v>306</v>
      </c>
      <c r="F7301" t="s">
        <v>951</v>
      </c>
      <c r="G7301">
        <v>1800000</v>
      </c>
      <c r="H7301">
        <v>143000</v>
      </c>
      <c r="I7301" t="s">
        <v>983</v>
      </c>
    </row>
    <row r="7302" spans="1:9" x14ac:dyDescent="0.25">
      <c r="A7302">
        <v>3110</v>
      </c>
      <c r="B7302">
        <v>18</v>
      </c>
      <c r="C7302" t="s">
        <v>962</v>
      </c>
      <c r="D7302" t="s">
        <v>1005</v>
      </c>
      <c r="E7302" t="s">
        <v>306</v>
      </c>
      <c r="F7302" t="s">
        <v>952</v>
      </c>
      <c r="G7302">
        <v>1800000</v>
      </c>
      <c r="H7302">
        <v>143000</v>
      </c>
      <c r="I7302" t="s">
        <v>983</v>
      </c>
    </row>
    <row r="7303" spans="1:9" x14ac:dyDescent="0.25">
      <c r="A7303">
        <v>3110</v>
      </c>
      <c r="B7303">
        <v>18</v>
      </c>
      <c r="C7303" t="s">
        <v>962</v>
      </c>
      <c r="D7303" t="s">
        <v>1005</v>
      </c>
      <c r="E7303" t="s">
        <v>306</v>
      </c>
      <c r="F7303" t="s">
        <v>956</v>
      </c>
      <c r="G7303">
        <v>1800000</v>
      </c>
      <c r="H7303">
        <v>143000</v>
      </c>
      <c r="I7303" t="s">
        <v>983</v>
      </c>
    </row>
    <row r="7304" spans="1:9" x14ac:dyDescent="0.25">
      <c r="A7304">
        <v>3110</v>
      </c>
      <c r="B7304">
        <v>18</v>
      </c>
      <c r="C7304" t="s">
        <v>962</v>
      </c>
      <c r="D7304" t="s">
        <v>1005</v>
      </c>
      <c r="E7304" t="s">
        <v>306</v>
      </c>
      <c r="F7304" t="s">
        <v>957</v>
      </c>
      <c r="G7304">
        <v>1800000</v>
      </c>
      <c r="H7304">
        <v>143000</v>
      </c>
      <c r="I7304" t="s">
        <v>983</v>
      </c>
    </row>
    <row r="7305" spans="1:9" x14ac:dyDescent="0.25">
      <c r="A7305">
        <v>3110</v>
      </c>
      <c r="B7305">
        <v>18</v>
      </c>
      <c r="C7305" t="s">
        <v>962</v>
      </c>
      <c r="D7305" t="s">
        <v>1005</v>
      </c>
      <c r="E7305" t="s">
        <v>306</v>
      </c>
      <c r="F7305" t="s">
        <v>958</v>
      </c>
      <c r="G7305">
        <v>1800000</v>
      </c>
      <c r="H7305">
        <v>143000</v>
      </c>
      <c r="I7305" t="s">
        <v>983</v>
      </c>
    </row>
    <row r="7306" spans="1:9" x14ac:dyDescent="0.25">
      <c r="A7306">
        <v>3110</v>
      </c>
      <c r="B7306">
        <v>18</v>
      </c>
      <c r="C7306" t="s">
        <v>963</v>
      </c>
      <c r="D7306" t="s">
        <v>1005</v>
      </c>
      <c r="E7306" t="s">
        <v>306</v>
      </c>
      <c r="F7306" t="s">
        <v>951</v>
      </c>
      <c r="G7306">
        <v>1800000</v>
      </c>
      <c r="H7306">
        <v>143000</v>
      </c>
      <c r="I7306" t="s">
        <v>983</v>
      </c>
    </row>
    <row r="7307" spans="1:9" x14ac:dyDescent="0.25">
      <c r="A7307">
        <v>3110</v>
      </c>
      <c r="B7307">
        <v>18</v>
      </c>
      <c r="C7307" t="s">
        <v>963</v>
      </c>
      <c r="D7307" t="s">
        <v>1005</v>
      </c>
      <c r="E7307" t="s">
        <v>306</v>
      </c>
      <c r="F7307" t="s">
        <v>952</v>
      </c>
      <c r="G7307">
        <v>1800000</v>
      </c>
      <c r="H7307">
        <v>143000</v>
      </c>
      <c r="I7307" t="s">
        <v>983</v>
      </c>
    </row>
    <row r="7308" spans="1:9" x14ac:dyDescent="0.25">
      <c r="A7308">
        <v>3110</v>
      </c>
      <c r="B7308">
        <v>18</v>
      </c>
      <c r="C7308" t="s">
        <v>963</v>
      </c>
      <c r="D7308" t="s">
        <v>1005</v>
      </c>
      <c r="E7308" t="s">
        <v>306</v>
      </c>
      <c r="F7308" t="s">
        <v>956</v>
      </c>
      <c r="G7308">
        <v>1800000</v>
      </c>
      <c r="H7308">
        <v>143000</v>
      </c>
      <c r="I7308" t="s">
        <v>983</v>
      </c>
    </row>
    <row r="7309" spans="1:9" x14ac:dyDescent="0.25">
      <c r="A7309">
        <v>3110</v>
      </c>
      <c r="B7309">
        <v>18</v>
      </c>
      <c r="C7309" t="s">
        <v>963</v>
      </c>
      <c r="D7309" t="s">
        <v>1005</v>
      </c>
      <c r="E7309" t="s">
        <v>306</v>
      </c>
      <c r="F7309" t="s">
        <v>957</v>
      </c>
      <c r="G7309">
        <v>1800000</v>
      </c>
      <c r="H7309">
        <v>143000</v>
      </c>
      <c r="I7309" t="s">
        <v>983</v>
      </c>
    </row>
    <row r="7310" spans="1:9" x14ac:dyDescent="0.25">
      <c r="A7310">
        <v>3110</v>
      </c>
      <c r="B7310">
        <v>18</v>
      </c>
      <c r="C7310" t="s">
        <v>963</v>
      </c>
      <c r="D7310" t="s">
        <v>1005</v>
      </c>
      <c r="E7310" t="s">
        <v>306</v>
      </c>
      <c r="F7310" t="s">
        <v>958</v>
      </c>
      <c r="G7310">
        <v>1800000</v>
      </c>
      <c r="H7310">
        <v>143000</v>
      </c>
      <c r="I7310" t="s">
        <v>983</v>
      </c>
    </row>
    <row r="7311" spans="1:9" x14ac:dyDescent="0.25">
      <c r="A7311">
        <v>3110</v>
      </c>
      <c r="B7311">
        <v>18</v>
      </c>
      <c r="C7311" t="s">
        <v>950</v>
      </c>
      <c r="D7311" t="s">
        <v>1005</v>
      </c>
      <c r="E7311" t="s">
        <v>108</v>
      </c>
      <c r="F7311" t="s">
        <v>951</v>
      </c>
      <c r="G7311">
        <v>1877777</v>
      </c>
      <c r="H7311">
        <v>500220</v>
      </c>
      <c r="I7311" t="s">
        <v>949</v>
      </c>
    </row>
    <row r="7312" spans="1:9" x14ac:dyDescent="0.25">
      <c r="A7312">
        <v>3110</v>
      </c>
      <c r="B7312">
        <v>18</v>
      </c>
      <c r="C7312" t="s">
        <v>950</v>
      </c>
      <c r="D7312" t="s">
        <v>1005</v>
      </c>
      <c r="E7312" t="s">
        <v>108</v>
      </c>
      <c r="F7312" t="s">
        <v>952</v>
      </c>
      <c r="G7312">
        <v>1877777</v>
      </c>
      <c r="H7312">
        <v>500220</v>
      </c>
      <c r="I7312" t="s">
        <v>949</v>
      </c>
    </row>
    <row r="7313" spans="1:9" x14ac:dyDescent="0.25">
      <c r="A7313">
        <v>3110</v>
      </c>
      <c r="B7313">
        <v>18</v>
      </c>
      <c r="C7313" t="s">
        <v>962</v>
      </c>
      <c r="D7313" t="s">
        <v>1005</v>
      </c>
      <c r="E7313" t="s">
        <v>108</v>
      </c>
      <c r="F7313" t="s">
        <v>951</v>
      </c>
      <c r="G7313">
        <v>1877777</v>
      </c>
      <c r="H7313">
        <v>500220</v>
      </c>
      <c r="I7313" t="s">
        <v>949</v>
      </c>
    </row>
    <row r="7314" spans="1:9" x14ac:dyDescent="0.25">
      <c r="A7314">
        <v>3110</v>
      </c>
      <c r="B7314">
        <v>18</v>
      </c>
      <c r="C7314" t="s">
        <v>962</v>
      </c>
      <c r="D7314" t="s">
        <v>1005</v>
      </c>
      <c r="E7314" t="s">
        <v>108</v>
      </c>
      <c r="F7314" t="s">
        <v>952</v>
      </c>
      <c r="G7314">
        <v>1877777</v>
      </c>
      <c r="H7314">
        <v>500220</v>
      </c>
      <c r="I7314" t="s">
        <v>949</v>
      </c>
    </row>
    <row r="7315" spans="1:9" x14ac:dyDescent="0.25">
      <c r="A7315">
        <v>3110</v>
      </c>
      <c r="B7315">
        <v>18</v>
      </c>
      <c r="C7315" t="s">
        <v>963</v>
      </c>
      <c r="D7315" t="s">
        <v>1005</v>
      </c>
      <c r="E7315" t="s">
        <v>108</v>
      </c>
      <c r="F7315" t="s">
        <v>951</v>
      </c>
      <c r="G7315">
        <v>1877777</v>
      </c>
      <c r="H7315">
        <v>500220</v>
      </c>
      <c r="I7315" t="s">
        <v>949</v>
      </c>
    </row>
    <row r="7316" spans="1:9" x14ac:dyDescent="0.25">
      <c r="A7316">
        <v>3110</v>
      </c>
      <c r="B7316">
        <v>18</v>
      </c>
      <c r="C7316" t="s">
        <v>963</v>
      </c>
      <c r="D7316" t="s">
        <v>1005</v>
      </c>
      <c r="E7316" t="s">
        <v>108</v>
      </c>
      <c r="F7316" t="s">
        <v>952</v>
      </c>
      <c r="G7316">
        <v>1877777</v>
      </c>
      <c r="H7316">
        <v>500220</v>
      </c>
      <c r="I7316" t="s">
        <v>949</v>
      </c>
    </row>
    <row r="7317" spans="1:9" x14ac:dyDescent="0.25">
      <c r="A7317">
        <v>3110</v>
      </c>
      <c r="B7317">
        <v>18</v>
      </c>
      <c r="C7317" t="s">
        <v>950</v>
      </c>
      <c r="D7317" t="s">
        <v>1005</v>
      </c>
      <c r="E7317" t="s">
        <v>310</v>
      </c>
      <c r="F7317" t="s">
        <v>951</v>
      </c>
      <c r="G7317">
        <v>1800000</v>
      </c>
      <c r="H7317">
        <v>145000</v>
      </c>
      <c r="I7317" t="s">
        <v>949</v>
      </c>
    </row>
    <row r="7318" spans="1:9" x14ac:dyDescent="0.25">
      <c r="A7318">
        <v>3110</v>
      </c>
      <c r="B7318">
        <v>18</v>
      </c>
      <c r="C7318" t="s">
        <v>950</v>
      </c>
      <c r="D7318" t="s">
        <v>1005</v>
      </c>
      <c r="E7318" t="s">
        <v>310</v>
      </c>
      <c r="F7318" t="s">
        <v>952</v>
      </c>
      <c r="G7318">
        <v>1800000</v>
      </c>
      <c r="H7318">
        <v>145000</v>
      </c>
      <c r="I7318" t="s">
        <v>949</v>
      </c>
    </row>
    <row r="7319" spans="1:9" x14ac:dyDescent="0.25">
      <c r="A7319">
        <v>3110</v>
      </c>
      <c r="B7319">
        <v>18</v>
      </c>
      <c r="C7319" t="s">
        <v>962</v>
      </c>
      <c r="D7319" t="s">
        <v>1005</v>
      </c>
      <c r="E7319" t="s">
        <v>310</v>
      </c>
      <c r="F7319" t="s">
        <v>951</v>
      </c>
      <c r="G7319">
        <v>1800000</v>
      </c>
      <c r="H7319">
        <v>145000</v>
      </c>
      <c r="I7319" t="s">
        <v>949</v>
      </c>
    </row>
    <row r="7320" spans="1:9" x14ac:dyDescent="0.25">
      <c r="A7320">
        <v>3110</v>
      </c>
      <c r="B7320">
        <v>18</v>
      </c>
      <c r="C7320" t="s">
        <v>962</v>
      </c>
      <c r="D7320" t="s">
        <v>1005</v>
      </c>
      <c r="E7320" t="s">
        <v>310</v>
      </c>
      <c r="F7320" t="s">
        <v>952</v>
      </c>
      <c r="G7320">
        <v>1800000</v>
      </c>
      <c r="H7320">
        <v>145000</v>
      </c>
      <c r="I7320" t="s">
        <v>949</v>
      </c>
    </row>
    <row r="7321" spans="1:9" x14ac:dyDescent="0.25">
      <c r="A7321">
        <v>3110</v>
      </c>
      <c r="B7321">
        <v>18</v>
      </c>
      <c r="C7321" t="s">
        <v>963</v>
      </c>
      <c r="D7321" t="s">
        <v>1005</v>
      </c>
      <c r="E7321" t="s">
        <v>310</v>
      </c>
      <c r="F7321" t="s">
        <v>951</v>
      </c>
      <c r="G7321">
        <v>1800000</v>
      </c>
      <c r="H7321">
        <v>145000</v>
      </c>
      <c r="I7321" t="s">
        <v>949</v>
      </c>
    </row>
    <row r="7322" spans="1:9" x14ac:dyDescent="0.25">
      <c r="A7322">
        <v>3110</v>
      </c>
      <c r="B7322">
        <v>18</v>
      </c>
      <c r="C7322" t="s">
        <v>963</v>
      </c>
      <c r="D7322" t="s">
        <v>1005</v>
      </c>
      <c r="E7322" t="s">
        <v>310</v>
      </c>
      <c r="F7322" t="s">
        <v>952</v>
      </c>
      <c r="G7322">
        <v>1800000</v>
      </c>
      <c r="H7322">
        <v>145000</v>
      </c>
      <c r="I7322" t="s">
        <v>949</v>
      </c>
    </row>
    <row r="7323" spans="1:9" x14ac:dyDescent="0.25">
      <c r="A7323">
        <v>3110</v>
      </c>
      <c r="B7323">
        <v>18</v>
      </c>
      <c r="C7323" t="s">
        <v>950</v>
      </c>
      <c r="D7323" t="s">
        <v>1005</v>
      </c>
      <c r="E7323" t="s">
        <v>314</v>
      </c>
      <c r="F7323" t="s">
        <v>951</v>
      </c>
      <c r="G7323">
        <v>1800000</v>
      </c>
      <c r="H7323">
        <v>145000</v>
      </c>
      <c r="I7323" t="s">
        <v>949</v>
      </c>
    </row>
    <row r="7324" spans="1:9" x14ac:dyDescent="0.25">
      <c r="A7324">
        <v>3110</v>
      </c>
      <c r="B7324">
        <v>18</v>
      </c>
      <c r="C7324" t="s">
        <v>950</v>
      </c>
      <c r="D7324" t="s">
        <v>1005</v>
      </c>
      <c r="E7324" t="s">
        <v>314</v>
      </c>
      <c r="F7324" t="s">
        <v>952</v>
      </c>
      <c r="G7324">
        <v>1800000</v>
      </c>
      <c r="H7324">
        <v>145000</v>
      </c>
      <c r="I7324" t="s">
        <v>949</v>
      </c>
    </row>
    <row r="7325" spans="1:9" x14ac:dyDescent="0.25">
      <c r="A7325">
        <v>3110</v>
      </c>
      <c r="B7325">
        <v>18</v>
      </c>
      <c r="C7325" t="s">
        <v>962</v>
      </c>
      <c r="D7325" t="s">
        <v>1005</v>
      </c>
      <c r="E7325" t="s">
        <v>314</v>
      </c>
      <c r="F7325" t="s">
        <v>951</v>
      </c>
      <c r="G7325">
        <v>1800000</v>
      </c>
      <c r="H7325">
        <v>145000</v>
      </c>
      <c r="I7325" t="s">
        <v>949</v>
      </c>
    </row>
    <row r="7326" spans="1:9" x14ac:dyDescent="0.25">
      <c r="A7326">
        <v>3110</v>
      </c>
      <c r="B7326">
        <v>18</v>
      </c>
      <c r="C7326" t="s">
        <v>962</v>
      </c>
      <c r="D7326" t="s">
        <v>1005</v>
      </c>
      <c r="E7326" t="s">
        <v>314</v>
      </c>
      <c r="F7326" t="s">
        <v>952</v>
      </c>
      <c r="G7326">
        <v>1800000</v>
      </c>
      <c r="H7326">
        <v>145000</v>
      </c>
      <c r="I7326" t="s">
        <v>949</v>
      </c>
    </row>
    <row r="7327" spans="1:9" x14ac:dyDescent="0.25">
      <c r="A7327">
        <v>3110</v>
      </c>
      <c r="B7327">
        <v>18</v>
      </c>
      <c r="C7327" t="s">
        <v>963</v>
      </c>
      <c r="D7327" t="s">
        <v>1005</v>
      </c>
      <c r="E7327" t="s">
        <v>314</v>
      </c>
      <c r="F7327" t="s">
        <v>951</v>
      </c>
      <c r="G7327">
        <v>1800000</v>
      </c>
      <c r="H7327">
        <v>145000</v>
      </c>
      <c r="I7327" t="s">
        <v>949</v>
      </c>
    </row>
    <row r="7328" spans="1:9" x14ac:dyDescent="0.25">
      <c r="A7328">
        <v>3110</v>
      </c>
      <c r="B7328">
        <v>18</v>
      </c>
      <c r="C7328" t="s">
        <v>963</v>
      </c>
      <c r="D7328" t="s">
        <v>1005</v>
      </c>
      <c r="E7328" t="s">
        <v>314</v>
      </c>
      <c r="F7328" t="s">
        <v>952</v>
      </c>
      <c r="G7328">
        <v>1800000</v>
      </c>
      <c r="H7328">
        <v>145000</v>
      </c>
      <c r="I7328" t="s">
        <v>949</v>
      </c>
    </row>
    <row r="7329" spans="1:9" x14ac:dyDescent="0.25">
      <c r="A7329">
        <v>3110</v>
      </c>
      <c r="B7329">
        <v>18</v>
      </c>
      <c r="C7329" t="s">
        <v>950</v>
      </c>
      <c r="D7329" t="s">
        <v>1005</v>
      </c>
      <c r="E7329" t="s">
        <v>121</v>
      </c>
      <c r="F7329" t="s">
        <v>951</v>
      </c>
      <c r="G7329">
        <v>1877777</v>
      </c>
      <c r="H7329">
        <v>500220</v>
      </c>
      <c r="I7329" t="s">
        <v>949</v>
      </c>
    </row>
    <row r="7330" spans="1:9" x14ac:dyDescent="0.25">
      <c r="A7330">
        <v>3110</v>
      </c>
      <c r="B7330">
        <v>18</v>
      </c>
      <c r="C7330" t="s">
        <v>962</v>
      </c>
      <c r="D7330" t="s">
        <v>1005</v>
      </c>
      <c r="E7330" t="s">
        <v>121</v>
      </c>
      <c r="F7330" t="s">
        <v>951</v>
      </c>
      <c r="G7330">
        <v>1877777</v>
      </c>
      <c r="H7330">
        <v>500220</v>
      </c>
      <c r="I7330" t="s">
        <v>949</v>
      </c>
    </row>
    <row r="7331" spans="1:9" x14ac:dyDescent="0.25">
      <c r="A7331">
        <v>3110</v>
      </c>
      <c r="B7331">
        <v>18</v>
      </c>
      <c r="C7331" t="s">
        <v>963</v>
      </c>
      <c r="D7331" t="s">
        <v>1005</v>
      </c>
      <c r="E7331" t="s">
        <v>121</v>
      </c>
      <c r="F7331" t="s">
        <v>951</v>
      </c>
      <c r="G7331">
        <v>1877777</v>
      </c>
      <c r="H7331">
        <v>500220</v>
      </c>
      <c r="I7331" t="s">
        <v>949</v>
      </c>
    </row>
    <row r="7332" spans="1:9" x14ac:dyDescent="0.25">
      <c r="A7332">
        <v>3110</v>
      </c>
      <c r="B7332">
        <v>18</v>
      </c>
      <c r="C7332" t="s">
        <v>950</v>
      </c>
      <c r="D7332" t="s">
        <v>1005</v>
      </c>
      <c r="E7332" t="s">
        <v>984</v>
      </c>
      <c r="F7332" t="s">
        <v>951</v>
      </c>
      <c r="G7332">
        <v>1800000</v>
      </c>
      <c r="H7332">
        <v>141000</v>
      </c>
      <c r="I7332" t="s">
        <v>985</v>
      </c>
    </row>
    <row r="7333" spans="1:9" x14ac:dyDescent="0.25">
      <c r="A7333">
        <v>3110</v>
      </c>
      <c r="B7333">
        <v>18</v>
      </c>
      <c r="C7333" t="s">
        <v>950</v>
      </c>
      <c r="D7333" t="s">
        <v>1005</v>
      </c>
      <c r="E7333" t="s">
        <v>984</v>
      </c>
      <c r="F7333" t="s">
        <v>952</v>
      </c>
      <c r="G7333">
        <v>1800000</v>
      </c>
      <c r="H7333">
        <v>141000</v>
      </c>
      <c r="I7333" t="s">
        <v>985</v>
      </c>
    </row>
    <row r="7334" spans="1:9" x14ac:dyDescent="0.25">
      <c r="A7334">
        <v>3110</v>
      </c>
      <c r="B7334">
        <v>18</v>
      </c>
      <c r="C7334" t="s">
        <v>962</v>
      </c>
      <c r="D7334" t="s">
        <v>1005</v>
      </c>
      <c r="E7334" t="s">
        <v>984</v>
      </c>
      <c r="F7334" t="s">
        <v>951</v>
      </c>
      <c r="G7334">
        <v>1800000</v>
      </c>
      <c r="H7334">
        <v>141000</v>
      </c>
      <c r="I7334" t="s">
        <v>985</v>
      </c>
    </row>
    <row r="7335" spans="1:9" x14ac:dyDescent="0.25">
      <c r="A7335">
        <v>3110</v>
      </c>
      <c r="B7335">
        <v>18</v>
      </c>
      <c r="C7335" t="s">
        <v>962</v>
      </c>
      <c r="D7335" t="s">
        <v>1005</v>
      </c>
      <c r="E7335" t="s">
        <v>984</v>
      </c>
      <c r="F7335" t="s">
        <v>952</v>
      </c>
      <c r="G7335">
        <v>1800000</v>
      </c>
      <c r="H7335">
        <v>141000</v>
      </c>
      <c r="I7335" t="s">
        <v>985</v>
      </c>
    </row>
    <row r="7336" spans="1:9" x14ac:dyDescent="0.25">
      <c r="A7336">
        <v>3110</v>
      </c>
      <c r="B7336">
        <v>18</v>
      </c>
      <c r="C7336" t="s">
        <v>963</v>
      </c>
      <c r="D7336" t="s">
        <v>1005</v>
      </c>
      <c r="E7336" t="s">
        <v>984</v>
      </c>
      <c r="F7336" t="s">
        <v>951</v>
      </c>
      <c r="G7336">
        <v>1800000</v>
      </c>
      <c r="H7336">
        <v>141000</v>
      </c>
      <c r="I7336" t="s">
        <v>985</v>
      </c>
    </row>
    <row r="7337" spans="1:9" x14ac:dyDescent="0.25">
      <c r="A7337">
        <v>3110</v>
      </c>
      <c r="B7337">
        <v>18</v>
      </c>
      <c r="C7337" t="s">
        <v>963</v>
      </c>
      <c r="D7337" t="s">
        <v>1005</v>
      </c>
      <c r="E7337" t="s">
        <v>984</v>
      </c>
      <c r="F7337" t="s">
        <v>952</v>
      </c>
      <c r="G7337">
        <v>1800000</v>
      </c>
      <c r="H7337">
        <v>141000</v>
      </c>
      <c r="I7337" t="s">
        <v>985</v>
      </c>
    </row>
    <row r="7338" ht="22" customHeight="1" spans="1:10" x14ac:dyDescent="0.25">
      <c r="A7338" s="41">
        <v>4154</v>
      </c>
      <c r="B7338" s="41">
        <v>18</v>
      </c>
      <c r="C7338" s="41" t="s">
        <v>946</v>
      </c>
      <c r="D7338" s="41" t="s">
        <v>1006</v>
      </c>
      <c r="E7338" s="41" t="s">
        <v>49</v>
      </c>
      <c r="F7338" s="41" t="s">
        <v>948</v>
      </c>
      <c r="G7338" s="41">
        <v>1877777</v>
      </c>
      <c r="H7338" s="41">
        <v>500465</v>
      </c>
      <c r="I7338" s="41" t="s">
        <v>949</v>
      </c>
      <c r="J7338" s="42" t="s">
        <v>1047</v>
      </c>
    </row>
    <row r="7339" spans="1:9" x14ac:dyDescent="0.25">
      <c r="A7339">
        <v>4152</v>
      </c>
      <c r="B7339">
        <v>18</v>
      </c>
      <c r="C7339" t="s">
        <v>946</v>
      </c>
      <c r="D7339" t="s">
        <v>1006</v>
      </c>
      <c r="E7339" t="s">
        <v>243</v>
      </c>
      <c r="F7339" t="s">
        <v>948</v>
      </c>
      <c r="G7339">
        <v>1800000</v>
      </c>
      <c r="H7339">
        <v>145000</v>
      </c>
      <c r="I7339" t="s">
        <v>949</v>
      </c>
    </row>
    <row r="7340" spans="1:9" x14ac:dyDescent="0.25">
      <c r="A7340">
        <v>4152</v>
      </c>
      <c r="B7340">
        <v>18</v>
      </c>
      <c r="C7340" t="s">
        <v>946</v>
      </c>
      <c r="D7340" t="s">
        <v>1006</v>
      </c>
      <c r="E7340" t="s">
        <v>247</v>
      </c>
      <c r="F7340" t="s">
        <v>948</v>
      </c>
      <c r="G7340">
        <v>1800000</v>
      </c>
      <c r="H7340">
        <v>145000</v>
      </c>
      <c r="I7340" t="s">
        <v>949</v>
      </c>
    </row>
    <row r="7341" spans="1:9" x14ac:dyDescent="0.25">
      <c r="A7341">
        <v>4152</v>
      </c>
      <c r="B7341">
        <v>18</v>
      </c>
      <c r="C7341" t="s">
        <v>946</v>
      </c>
      <c r="D7341" t="s">
        <v>1006</v>
      </c>
      <c r="E7341" t="s">
        <v>251</v>
      </c>
      <c r="F7341" t="s">
        <v>948</v>
      </c>
      <c r="G7341">
        <v>1800000</v>
      </c>
      <c r="H7341">
        <v>142000</v>
      </c>
      <c r="I7341" t="s">
        <v>949</v>
      </c>
    </row>
    <row r="7342" spans="1:9" x14ac:dyDescent="0.25">
      <c r="A7342">
        <v>4152</v>
      </c>
      <c r="B7342">
        <v>18</v>
      </c>
      <c r="C7342" t="s">
        <v>946</v>
      </c>
      <c r="D7342" t="s">
        <v>1006</v>
      </c>
      <c r="E7342" t="s">
        <v>969</v>
      </c>
      <c r="F7342" t="s">
        <v>948</v>
      </c>
      <c r="G7342">
        <v>1800000</v>
      </c>
      <c r="H7342">
        <v>141000</v>
      </c>
      <c r="I7342" t="s">
        <v>970</v>
      </c>
    </row>
    <row r="7343" spans="1:9" x14ac:dyDescent="0.25">
      <c r="A7343">
        <v>4152</v>
      </c>
      <c r="B7343">
        <v>18</v>
      </c>
      <c r="C7343" t="s">
        <v>946</v>
      </c>
      <c r="D7343" t="s">
        <v>1006</v>
      </c>
      <c r="E7343" t="s">
        <v>255</v>
      </c>
      <c r="F7343" t="s">
        <v>948</v>
      </c>
      <c r="G7343">
        <v>1800000</v>
      </c>
      <c r="H7343">
        <v>145000</v>
      </c>
      <c r="I7343" t="s">
        <v>949</v>
      </c>
    </row>
    <row r="7344" spans="1:9" x14ac:dyDescent="0.25">
      <c r="A7344">
        <v>4152</v>
      </c>
      <c r="B7344">
        <v>18</v>
      </c>
      <c r="C7344" t="s">
        <v>946</v>
      </c>
      <c r="D7344" t="s">
        <v>1006</v>
      </c>
      <c r="E7344" t="s">
        <v>971</v>
      </c>
      <c r="F7344" t="s">
        <v>948</v>
      </c>
      <c r="G7344">
        <v>1800000</v>
      </c>
      <c r="H7344">
        <v>141000</v>
      </c>
      <c r="I7344" t="s">
        <v>972</v>
      </c>
    </row>
    <row r="7345" spans="1:9" x14ac:dyDescent="0.25">
      <c r="A7345">
        <v>4152</v>
      </c>
      <c r="B7345">
        <v>18</v>
      </c>
      <c r="C7345" t="s">
        <v>946</v>
      </c>
      <c r="D7345" t="s">
        <v>1006</v>
      </c>
      <c r="E7345" t="s">
        <v>263</v>
      </c>
      <c r="F7345" t="s">
        <v>948</v>
      </c>
      <c r="G7345">
        <v>1800000</v>
      </c>
      <c r="H7345">
        <v>145000</v>
      </c>
      <c r="I7345" t="s">
        <v>949</v>
      </c>
    </row>
    <row r="7346" ht="22" customHeight="1" spans="1:10" x14ac:dyDescent="0.25">
      <c r="A7346" s="41">
        <v>4152</v>
      </c>
      <c r="B7346" s="41">
        <v>18</v>
      </c>
      <c r="C7346" s="41" t="s">
        <v>946</v>
      </c>
      <c r="D7346" s="41" t="s">
        <v>1006</v>
      </c>
      <c r="E7346" s="41" t="s">
        <v>100</v>
      </c>
      <c r="F7346" s="41" t="s">
        <v>948</v>
      </c>
      <c r="G7346" s="41">
        <v>1877777</v>
      </c>
      <c r="H7346" s="41">
        <v>500465</v>
      </c>
      <c r="I7346" s="41" t="s">
        <v>949</v>
      </c>
      <c r="J7346" s="42" t="s">
        <v>1048</v>
      </c>
    </row>
    <row r="7347" spans="1:9" x14ac:dyDescent="0.25">
      <c r="A7347">
        <v>4152</v>
      </c>
      <c r="B7347">
        <v>18</v>
      </c>
      <c r="C7347" t="s">
        <v>946</v>
      </c>
      <c r="D7347" t="s">
        <v>1006</v>
      </c>
      <c r="E7347" t="s">
        <v>270</v>
      </c>
      <c r="F7347" t="s">
        <v>948</v>
      </c>
      <c r="G7347">
        <v>1800000</v>
      </c>
      <c r="H7347">
        <v>145000</v>
      </c>
      <c r="I7347" t="s">
        <v>949</v>
      </c>
    </row>
    <row r="7348" spans="1:9" x14ac:dyDescent="0.25">
      <c r="A7348">
        <v>4152</v>
      </c>
      <c r="B7348">
        <v>18</v>
      </c>
      <c r="C7348" t="s">
        <v>946</v>
      </c>
      <c r="D7348" t="s">
        <v>1006</v>
      </c>
      <c r="E7348" t="s">
        <v>274</v>
      </c>
      <c r="F7348" t="s">
        <v>948</v>
      </c>
      <c r="G7348">
        <v>1800000</v>
      </c>
      <c r="H7348">
        <v>143000</v>
      </c>
      <c r="I7348" t="s">
        <v>973</v>
      </c>
    </row>
    <row r="7349" spans="1:9" x14ac:dyDescent="0.25">
      <c r="A7349">
        <v>4152</v>
      </c>
      <c r="B7349">
        <v>18</v>
      </c>
      <c r="C7349" t="s">
        <v>946</v>
      </c>
      <c r="D7349" t="s">
        <v>1006</v>
      </c>
      <c r="E7349" t="s">
        <v>974</v>
      </c>
      <c r="F7349" t="s">
        <v>948</v>
      </c>
      <c r="G7349">
        <v>1800000</v>
      </c>
      <c r="H7349">
        <v>141000</v>
      </c>
      <c r="I7349" t="s">
        <v>975</v>
      </c>
    </row>
    <row r="7350" ht="22" customHeight="1" spans="1:10" x14ac:dyDescent="0.25">
      <c r="A7350" s="41">
        <v>4152</v>
      </c>
      <c r="B7350" s="41">
        <v>18</v>
      </c>
      <c r="C7350" s="41" t="s">
        <v>946</v>
      </c>
      <c r="D7350" s="41" t="s">
        <v>1006</v>
      </c>
      <c r="E7350" s="41" t="s">
        <v>104</v>
      </c>
      <c r="F7350" s="41" t="s">
        <v>948</v>
      </c>
      <c r="G7350" s="41">
        <v>1877777</v>
      </c>
      <c r="H7350" s="41">
        <v>500465</v>
      </c>
      <c r="I7350" s="41" t="s">
        <v>949</v>
      </c>
      <c r="J7350" s="42" t="s">
        <v>1048</v>
      </c>
    </row>
    <row r="7351" spans="1:9" x14ac:dyDescent="0.25">
      <c r="A7351">
        <v>4152</v>
      </c>
      <c r="B7351">
        <v>18</v>
      </c>
      <c r="C7351" t="s">
        <v>946</v>
      </c>
      <c r="D7351" t="s">
        <v>1006</v>
      </c>
      <c r="E7351" t="s">
        <v>278</v>
      </c>
      <c r="F7351" t="s">
        <v>948</v>
      </c>
      <c r="G7351">
        <v>1800000</v>
      </c>
      <c r="H7351">
        <v>145000</v>
      </c>
      <c r="I7351" t="s">
        <v>949</v>
      </c>
    </row>
    <row r="7352" spans="1:9" x14ac:dyDescent="0.25">
      <c r="A7352">
        <v>4152</v>
      </c>
      <c r="B7352">
        <v>18</v>
      </c>
      <c r="C7352" t="s">
        <v>946</v>
      </c>
      <c r="D7352" t="s">
        <v>1006</v>
      </c>
      <c r="E7352" t="s">
        <v>282</v>
      </c>
      <c r="F7352" t="s">
        <v>948</v>
      </c>
      <c r="G7352">
        <v>1800000</v>
      </c>
      <c r="H7352">
        <v>143100</v>
      </c>
      <c r="I7352" t="s">
        <v>949</v>
      </c>
    </row>
    <row r="7353" spans="1:9" x14ac:dyDescent="0.25">
      <c r="A7353">
        <v>4152</v>
      </c>
      <c r="B7353">
        <v>18</v>
      </c>
      <c r="C7353" t="s">
        <v>946</v>
      </c>
      <c r="D7353" t="s">
        <v>1006</v>
      </c>
      <c r="E7353" t="s">
        <v>286</v>
      </c>
      <c r="F7353" t="s">
        <v>948</v>
      </c>
      <c r="G7353">
        <v>1800000</v>
      </c>
      <c r="H7353">
        <v>145000</v>
      </c>
      <c r="I7353" t="s">
        <v>949</v>
      </c>
    </row>
    <row r="7354" spans="1:9" x14ac:dyDescent="0.25">
      <c r="A7354">
        <v>4152</v>
      </c>
      <c r="B7354">
        <v>18</v>
      </c>
      <c r="C7354" t="s">
        <v>946</v>
      </c>
      <c r="D7354" t="s">
        <v>1006</v>
      </c>
      <c r="E7354" t="s">
        <v>976</v>
      </c>
      <c r="F7354" t="s">
        <v>948</v>
      </c>
      <c r="G7354">
        <v>1800000</v>
      </c>
      <c r="H7354">
        <v>141000</v>
      </c>
      <c r="I7354" t="s">
        <v>977</v>
      </c>
    </row>
    <row r="7355" spans="1:9" x14ac:dyDescent="0.25">
      <c r="A7355">
        <v>4152</v>
      </c>
      <c r="B7355">
        <v>18</v>
      </c>
      <c r="C7355" t="s">
        <v>946</v>
      </c>
      <c r="D7355" t="s">
        <v>1006</v>
      </c>
      <c r="E7355" t="s">
        <v>290</v>
      </c>
      <c r="F7355" t="s">
        <v>948</v>
      </c>
      <c r="G7355">
        <v>1800000</v>
      </c>
      <c r="H7355">
        <v>143000</v>
      </c>
      <c r="I7355" t="s">
        <v>978</v>
      </c>
    </row>
    <row r="7356" spans="1:9" x14ac:dyDescent="0.25">
      <c r="A7356">
        <v>4152</v>
      </c>
      <c r="B7356">
        <v>18</v>
      </c>
      <c r="C7356" t="s">
        <v>946</v>
      </c>
      <c r="D7356" t="s">
        <v>1006</v>
      </c>
      <c r="E7356" t="s">
        <v>294</v>
      </c>
      <c r="F7356" t="s">
        <v>948</v>
      </c>
      <c r="G7356">
        <v>1800000</v>
      </c>
      <c r="H7356">
        <v>143000</v>
      </c>
      <c r="I7356" t="s">
        <v>979</v>
      </c>
    </row>
    <row r="7357" spans="1:9" x14ac:dyDescent="0.25">
      <c r="A7357">
        <v>4152</v>
      </c>
      <c r="B7357">
        <v>18</v>
      </c>
      <c r="C7357" t="s">
        <v>946</v>
      </c>
      <c r="D7357" t="s">
        <v>1006</v>
      </c>
      <c r="E7357" t="s">
        <v>980</v>
      </c>
      <c r="F7357" t="s">
        <v>948</v>
      </c>
      <c r="G7357">
        <v>1800000</v>
      </c>
      <c r="H7357">
        <v>141000</v>
      </c>
      <c r="I7357" t="s">
        <v>981</v>
      </c>
    </row>
    <row r="7358" spans="1:9" x14ac:dyDescent="0.25">
      <c r="A7358">
        <v>4152</v>
      </c>
      <c r="B7358">
        <v>18</v>
      </c>
      <c r="C7358" t="s">
        <v>946</v>
      </c>
      <c r="D7358" t="s">
        <v>1006</v>
      </c>
      <c r="E7358" t="s">
        <v>302</v>
      </c>
      <c r="F7358" t="s">
        <v>948</v>
      </c>
      <c r="G7358">
        <v>1800000</v>
      </c>
      <c r="H7358">
        <v>143000</v>
      </c>
      <c r="I7358" t="s">
        <v>982</v>
      </c>
    </row>
    <row r="7359" spans="1:9" x14ac:dyDescent="0.25">
      <c r="A7359">
        <v>4152</v>
      </c>
      <c r="B7359">
        <v>18</v>
      </c>
      <c r="C7359" t="s">
        <v>946</v>
      </c>
      <c r="D7359" t="s">
        <v>1006</v>
      </c>
      <c r="E7359" t="s">
        <v>306</v>
      </c>
      <c r="F7359" t="s">
        <v>948</v>
      </c>
      <c r="G7359">
        <v>1800000</v>
      </c>
      <c r="H7359">
        <v>143000</v>
      </c>
      <c r="I7359" t="s">
        <v>983</v>
      </c>
    </row>
    <row r="7360" ht="22" customHeight="1" spans="1:10" x14ac:dyDescent="0.25">
      <c r="A7360" s="41">
        <v>4152</v>
      </c>
      <c r="B7360" s="41">
        <v>18</v>
      </c>
      <c r="C7360" s="41" t="s">
        <v>946</v>
      </c>
      <c r="D7360" s="41" t="s">
        <v>1006</v>
      </c>
      <c r="E7360" s="41" t="s">
        <v>108</v>
      </c>
      <c r="F7360" s="41" t="s">
        <v>948</v>
      </c>
      <c r="G7360" s="41">
        <v>1877777</v>
      </c>
      <c r="H7360" s="41">
        <v>500465</v>
      </c>
      <c r="I7360" s="41" t="s">
        <v>949</v>
      </c>
      <c r="J7360" s="42" t="s">
        <v>1048</v>
      </c>
    </row>
    <row r="7361" spans="1:9" x14ac:dyDescent="0.25">
      <c r="A7361">
        <v>4152</v>
      </c>
      <c r="B7361">
        <v>18</v>
      </c>
      <c r="C7361" t="s">
        <v>946</v>
      </c>
      <c r="D7361" t="s">
        <v>1006</v>
      </c>
      <c r="E7361" t="s">
        <v>310</v>
      </c>
      <c r="F7361" t="s">
        <v>948</v>
      </c>
      <c r="G7361">
        <v>1800000</v>
      </c>
      <c r="H7361">
        <v>145000</v>
      </c>
      <c r="I7361" t="s">
        <v>949</v>
      </c>
    </row>
    <row r="7362" spans="1:9" x14ac:dyDescent="0.25">
      <c r="A7362">
        <v>4152</v>
      </c>
      <c r="B7362">
        <v>18</v>
      </c>
      <c r="C7362" t="s">
        <v>946</v>
      </c>
      <c r="D7362" t="s">
        <v>1006</v>
      </c>
      <c r="E7362" t="s">
        <v>314</v>
      </c>
      <c r="F7362" t="s">
        <v>948</v>
      </c>
      <c r="G7362">
        <v>1800000</v>
      </c>
      <c r="H7362">
        <v>145000</v>
      </c>
      <c r="I7362" t="s">
        <v>949</v>
      </c>
    </row>
    <row r="7363" ht="22" customHeight="1" spans="1:10" x14ac:dyDescent="0.25">
      <c r="A7363" s="41">
        <v>4152</v>
      </c>
      <c r="B7363" s="41">
        <v>18</v>
      </c>
      <c r="C7363" s="41" t="s">
        <v>946</v>
      </c>
      <c r="D7363" s="41" t="s">
        <v>1006</v>
      </c>
      <c r="E7363" s="41" t="s">
        <v>121</v>
      </c>
      <c r="F7363" s="41" t="s">
        <v>948</v>
      </c>
      <c r="G7363" s="41">
        <v>1877777</v>
      </c>
      <c r="H7363" s="41">
        <v>500465</v>
      </c>
      <c r="I7363" s="41" t="s">
        <v>949</v>
      </c>
      <c r="J7363" s="42" t="s">
        <v>1048</v>
      </c>
    </row>
    <row r="7364" spans="1:9" x14ac:dyDescent="0.25">
      <c r="A7364">
        <v>4152</v>
      </c>
      <c r="B7364">
        <v>18</v>
      </c>
      <c r="C7364" t="s">
        <v>946</v>
      </c>
      <c r="D7364" t="s">
        <v>1006</v>
      </c>
      <c r="E7364" t="s">
        <v>984</v>
      </c>
      <c r="F7364" t="s">
        <v>948</v>
      </c>
      <c r="G7364">
        <v>1800000</v>
      </c>
      <c r="H7364">
        <v>141000</v>
      </c>
      <c r="I7364" t="s">
        <v>985</v>
      </c>
    </row>
    <row r="7365" spans="1:9" x14ac:dyDescent="0.25">
      <c r="A7365">
        <v>3130</v>
      </c>
      <c r="B7365">
        <v>18</v>
      </c>
      <c r="C7365" t="s">
        <v>950</v>
      </c>
      <c r="D7365" t="s">
        <v>1009</v>
      </c>
      <c r="E7365" t="s">
        <v>49</v>
      </c>
      <c r="F7365" t="s">
        <v>951</v>
      </c>
      <c r="G7365">
        <v>1877777</v>
      </c>
      <c r="H7365">
        <v>501100</v>
      </c>
      <c r="I7365" t="s">
        <v>949</v>
      </c>
    </row>
    <row r="7366" spans="1:9" x14ac:dyDescent="0.25">
      <c r="A7366">
        <v>3130</v>
      </c>
      <c r="B7366">
        <v>18</v>
      </c>
      <c r="C7366" t="s">
        <v>950</v>
      </c>
      <c r="D7366" t="s">
        <v>1009</v>
      </c>
      <c r="E7366" t="s">
        <v>49</v>
      </c>
      <c r="F7366" t="s">
        <v>952</v>
      </c>
      <c r="G7366">
        <v>1877777</v>
      </c>
      <c r="H7366">
        <v>501100</v>
      </c>
      <c r="I7366" t="s">
        <v>949</v>
      </c>
    </row>
    <row r="7367" spans="1:9" x14ac:dyDescent="0.25">
      <c r="A7367">
        <v>3130</v>
      </c>
      <c r="B7367">
        <v>18</v>
      </c>
      <c r="C7367" t="s">
        <v>950</v>
      </c>
      <c r="D7367" t="s">
        <v>1009</v>
      </c>
      <c r="E7367" t="s">
        <v>49</v>
      </c>
      <c r="F7367" t="s">
        <v>953</v>
      </c>
      <c r="G7367">
        <v>1877777</v>
      </c>
      <c r="H7367">
        <v>501100</v>
      </c>
      <c r="I7367" t="s">
        <v>949</v>
      </c>
    </row>
    <row r="7368" spans="1:9" x14ac:dyDescent="0.25">
      <c r="A7368">
        <v>3130</v>
      </c>
      <c r="B7368">
        <v>18</v>
      </c>
      <c r="C7368" t="s">
        <v>950</v>
      </c>
      <c r="D7368" t="s">
        <v>1009</v>
      </c>
      <c r="E7368" t="s">
        <v>49</v>
      </c>
      <c r="F7368" t="s">
        <v>954</v>
      </c>
      <c r="G7368">
        <v>1877777</v>
      </c>
      <c r="H7368">
        <v>501100</v>
      </c>
      <c r="I7368" t="s">
        <v>949</v>
      </c>
    </row>
    <row r="7369" spans="1:9" x14ac:dyDescent="0.25">
      <c r="A7369">
        <v>3130</v>
      </c>
      <c r="B7369">
        <v>18</v>
      </c>
      <c r="C7369" t="s">
        <v>950</v>
      </c>
      <c r="D7369" t="s">
        <v>1009</v>
      </c>
      <c r="E7369" t="s">
        <v>49</v>
      </c>
      <c r="F7369" t="s">
        <v>955</v>
      </c>
      <c r="G7369">
        <v>1877777</v>
      </c>
      <c r="H7369">
        <v>501100</v>
      </c>
      <c r="I7369" t="s">
        <v>949</v>
      </c>
    </row>
    <row r="7370" spans="1:9" x14ac:dyDescent="0.25">
      <c r="A7370">
        <v>3130</v>
      </c>
      <c r="B7370">
        <v>18</v>
      </c>
      <c r="C7370" t="s">
        <v>950</v>
      </c>
      <c r="D7370" t="s">
        <v>1009</v>
      </c>
      <c r="E7370" t="s">
        <v>49</v>
      </c>
      <c r="F7370" t="s">
        <v>956</v>
      </c>
      <c r="G7370">
        <v>1877777</v>
      </c>
      <c r="H7370">
        <v>501100</v>
      </c>
      <c r="I7370" t="s">
        <v>949</v>
      </c>
    </row>
    <row r="7371" spans="1:9" x14ac:dyDescent="0.25">
      <c r="A7371">
        <v>3130</v>
      </c>
      <c r="B7371">
        <v>18</v>
      </c>
      <c r="C7371" t="s">
        <v>950</v>
      </c>
      <c r="D7371" t="s">
        <v>1009</v>
      </c>
      <c r="E7371" t="s">
        <v>49</v>
      </c>
      <c r="F7371" t="s">
        <v>957</v>
      </c>
      <c r="G7371">
        <v>1877777</v>
      </c>
      <c r="H7371">
        <v>501100</v>
      </c>
      <c r="I7371" t="s">
        <v>949</v>
      </c>
    </row>
    <row r="7372" spans="1:9" x14ac:dyDescent="0.25">
      <c r="A7372">
        <v>3130</v>
      </c>
      <c r="B7372">
        <v>18</v>
      </c>
      <c r="C7372" t="s">
        <v>950</v>
      </c>
      <c r="D7372" t="s">
        <v>1009</v>
      </c>
      <c r="E7372" t="s">
        <v>49</v>
      </c>
      <c r="F7372" t="s">
        <v>958</v>
      </c>
      <c r="G7372">
        <v>1877777</v>
      </c>
      <c r="H7372">
        <v>501100</v>
      </c>
      <c r="I7372" t="s">
        <v>949</v>
      </c>
    </row>
    <row r="7373" spans="1:9" x14ac:dyDescent="0.25">
      <c r="A7373">
        <v>3130</v>
      </c>
      <c r="B7373">
        <v>18</v>
      </c>
      <c r="C7373" t="s">
        <v>950</v>
      </c>
      <c r="D7373" t="s">
        <v>1009</v>
      </c>
      <c r="E7373" t="s">
        <v>49</v>
      </c>
      <c r="F7373" t="s">
        <v>959</v>
      </c>
      <c r="G7373">
        <v>1877777</v>
      </c>
      <c r="H7373">
        <v>501100</v>
      </c>
      <c r="I7373" t="s">
        <v>949</v>
      </c>
    </row>
    <row r="7374" spans="1:9" x14ac:dyDescent="0.25">
      <c r="A7374">
        <v>3130</v>
      </c>
      <c r="B7374">
        <v>18</v>
      </c>
      <c r="C7374" t="s">
        <v>950</v>
      </c>
      <c r="D7374" t="s">
        <v>1009</v>
      </c>
      <c r="E7374" t="s">
        <v>49</v>
      </c>
      <c r="F7374" t="s">
        <v>960</v>
      </c>
      <c r="G7374">
        <v>1877777</v>
      </c>
      <c r="H7374">
        <v>501100</v>
      </c>
      <c r="I7374" t="s">
        <v>949</v>
      </c>
    </row>
    <row r="7375" spans="1:9" x14ac:dyDescent="0.25">
      <c r="A7375">
        <v>3130</v>
      </c>
      <c r="B7375">
        <v>18</v>
      </c>
      <c r="C7375" t="s">
        <v>950</v>
      </c>
      <c r="D7375" t="s">
        <v>1009</v>
      </c>
      <c r="E7375" t="s">
        <v>49</v>
      </c>
      <c r="F7375" t="s">
        <v>961</v>
      </c>
      <c r="G7375">
        <v>1877777</v>
      </c>
      <c r="H7375">
        <v>501100</v>
      </c>
      <c r="I7375" t="s">
        <v>949</v>
      </c>
    </row>
    <row r="7376" spans="1:9" x14ac:dyDescent="0.25">
      <c r="A7376">
        <v>3130</v>
      </c>
      <c r="B7376">
        <v>18</v>
      </c>
      <c r="C7376" t="s">
        <v>962</v>
      </c>
      <c r="D7376" t="s">
        <v>1009</v>
      </c>
      <c r="E7376" t="s">
        <v>49</v>
      </c>
      <c r="F7376" t="s">
        <v>951</v>
      </c>
      <c r="G7376">
        <v>1877777</v>
      </c>
      <c r="H7376">
        <v>501100</v>
      </c>
      <c r="I7376" t="s">
        <v>949</v>
      </c>
    </row>
    <row r="7377" spans="1:9" x14ac:dyDescent="0.25">
      <c r="A7377">
        <v>3130</v>
      </c>
      <c r="B7377">
        <v>18</v>
      </c>
      <c r="C7377" t="s">
        <v>962</v>
      </c>
      <c r="D7377" t="s">
        <v>1009</v>
      </c>
      <c r="E7377" t="s">
        <v>49</v>
      </c>
      <c r="F7377" t="s">
        <v>952</v>
      </c>
      <c r="G7377">
        <v>1877777</v>
      </c>
      <c r="H7377">
        <v>501100</v>
      </c>
      <c r="I7377" t="s">
        <v>949</v>
      </c>
    </row>
    <row r="7378" spans="1:9" x14ac:dyDescent="0.25">
      <c r="A7378">
        <v>3130</v>
      </c>
      <c r="B7378">
        <v>18</v>
      </c>
      <c r="C7378" t="s">
        <v>962</v>
      </c>
      <c r="D7378" t="s">
        <v>1009</v>
      </c>
      <c r="E7378" t="s">
        <v>49</v>
      </c>
      <c r="F7378" t="s">
        <v>953</v>
      </c>
      <c r="G7378">
        <v>1877777</v>
      </c>
      <c r="H7378">
        <v>501100</v>
      </c>
      <c r="I7378" t="s">
        <v>949</v>
      </c>
    </row>
    <row r="7379" spans="1:9" x14ac:dyDescent="0.25">
      <c r="A7379">
        <v>3130</v>
      </c>
      <c r="B7379">
        <v>18</v>
      </c>
      <c r="C7379" t="s">
        <v>962</v>
      </c>
      <c r="D7379" t="s">
        <v>1009</v>
      </c>
      <c r="E7379" t="s">
        <v>49</v>
      </c>
      <c r="F7379" t="s">
        <v>954</v>
      </c>
      <c r="G7379">
        <v>1877777</v>
      </c>
      <c r="H7379">
        <v>501100</v>
      </c>
      <c r="I7379" t="s">
        <v>949</v>
      </c>
    </row>
    <row r="7380" spans="1:9" x14ac:dyDescent="0.25">
      <c r="A7380">
        <v>3130</v>
      </c>
      <c r="B7380">
        <v>18</v>
      </c>
      <c r="C7380" t="s">
        <v>962</v>
      </c>
      <c r="D7380" t="s">
        <v>1009</v>
      </c>
      <c r="E7380" t="s">
        <v>49</v>
      </c>
      <c r="F7380" t="s">
        <v>955</v>
      </c>
      <c r="G7380">
        <v>1877777</v>
      </c>
      <c r="H7380">
        <v>501100</v>
      </c>
      <c r="I7380" t="s">
        <v>949</v>
      </c>
    </row>
    <row r="7381" spans="1:9" x14ac:dyDescent="0.25">
      <c r="A7381">
        <v>3130</v>
      </c>
      <c r="B7381">
        <v>18</v>
      </c>
      <c r="C7381" t="s">
        <v>962</v>
      </c>
      <c r="D7381" t="s">
        <v>1009</v>
      </c>
      <c r="E7381" t="s">
        <v>49</v>
      </c>
      <c r="F7381" t="s">
        <v>956</v>
      </c>
      <c r="G7381">
        <v>1877777</v>
      </c>
      <c r="H7381">
        <v>501100</v>
      </c>
      <c r="I7381" t="s">
        <v>949</v>
      </c>
    </row>
    <row r="7382" spans="1:9" x14ac:dyDescent="0.25">
      <c r="A7382">
        <v>3130</v>
      </c>
      <c r="B7382">
        <v>18</v>
      </c>
      <c r="C7382" t="s">
        <v>962</v>
      </c>
      <c r="D7382" t="s">
        <v>1009</v>
      </c>
      <c r="E7382" t="s">
        <v>49</v>
      </c>
      <c r="F7382" t="s">
        <v>957</v>
      </c>
      <c r="G7382">
        <v>1877777</v>
      </c>
      <c r="H7382">
        <v>501100</v>
      </c>
      <c r="I7382" t="s">
        <v>949</v>
      </c>
    </row>
    <row r="7383" spans="1:9" x14ac:dyDescent="0.25">
      <c r="A7383">
        <v>3130</v>
      </c>
      <c r="B7383">
        <v>18</v>
      </c>
      <c r="C7383" t="s">
        <v>962</v>
      </c>
      <c r="D7383" t="s">
        <v>1009</v>
      </c>
      <c r="E7383" t="s">
        <v>49</v>
      </c>
      <c r="F7383" t="s">
        <v>958</v>
      </c>
      <c r="G7383">
        <v>1877777</v>
      </c>
      <c r="H7383">
        <v>501100</v>
      </c>
      <c r="I7383" t="s">
        <v>949</v>
      </c>
    </row>
    <row r="7384" spans="1:9" x14ac:dyDescent="0.25">
      <c r="A7384">
        <v>3130</v>
      </c>
      <c r="B7384">
        <v>18</v>
      </c>
      <c r="C7384" t="s">
        <v>962</v>
      </c>
      <c r="D7384" t="s">
        <v>1009</v>
      </c>
      <c r="E7384" t="s">
        <v>49</v>
      </c>
      <c r="F7384" t="s">
        <v>959</v>
      </c>
      <c r="G7384">
        <v>1877777</v>
      </c>
      <c r="H7384">
        <v>501100</v>
      </c>
      <c r="I7384" t="s">
        <v>949</v>
      </c>
    </row>
    <row r="7385" spans="1:9" x14ac:dyDescent="0.25">
      <c r="A7385">
        <v>3130</v>
      </c>
      <c r="B7385">
        <v>18</v>
      </c>
      <c r="C7385" t="s">
        <v>962</v>
      </c>
      <c r="D7385" t="s">
        <v>1009</v>
      </c>
      <c r="E7385" t="s">
        <v>49</v>
      </c>
      <c r="F7385" t="s">
        <v>960</v>
      </c>
      <c r="G7385">
        <v>1877777</v>
      </c>
      <c r="H7385">
        <v>501100</v>
      </c>
      <c r="I7385" t="s">
        <v>949</v>
      </c>
    </row>
    <row r="7386" spans="1:9" x14ac:dyDescent="0.25">
      <c r="A7386">
        <v>3130</v>
      </c>
      <c r="B7386">
        <v>18</v>
      </c>
      <c r="C7386" t="s">
        <v>962</v>
      </c>
      <c r="D7386" t="s">
        <v>1009</v>
      </c>
      <c r="E7386" t="s">
        <v>49</v>
      </c>
      <c r="F7386" t="s">
        <v>961</v>
      </c>
      <c r="G7386">
        <v>1877777</v>
      </c>
      <c r="H7386">
        <v>501100</v>
      </c>
      <c r="I7386" t="s">
        <v>949</v>
      </c>
    </row>
    <row r="7387" spans="1:9" x14ac:dyDescent="0.25">
      <c r="A7387">
        <v>3130</v>
      </c>
      <c r="B7387">
        <v>18</v>
      </c>
      <c r="C7387" t="s">
        <v>963</v>
      </c>
      <c r="D7387" t="s">
        <v>1009</v>
      </c>
      <c r="E7387" t="s">
        <v>49</v>
      </c>
      <c r="F7387" t="s">
        <v>951</v>
      </c>
      <c r="G7387">
        <v>1877777</v>
      </c>
      <c r="H7387">
        <v>501100</v>
      </c>
      <c r="I7387" t="s">
        <v>949</v>
      </c>
    </row>
    <row r="7388" spans="1:9" x14ac:dyDescent="0.25">
      <c r="A7388">
        <v>3130</v>
      </c>
      <c r="B7388">
        <v>18</v>
      </c>
      <c r="C7388" t="s">
        <v>963</v>
      </c>
      <c r="D7388" t="s">
        <v>1009</v>
      </c>
      <c r="E7388" t="s">
        <v>49</v>
      </c>
      <c r="F7388" t="s">
        <v>952</v>
      </c>
      <c r="G7388">
        <v>1877777</v>
      </c>
      <c r="H7388">
        <v>501100</v>
      </c>
      <c r="I7388" t="s">
        <v>949</v>
      </c>
    </row>
    <row r="7389" spans="1:9" x14ac:dyDescent="0.25">
      <c r="A7389">
        <v>3130</v>
      </c>
      <c r="B7389">
        <v>18</v>
      </c>
      <c r="C7389" t="s">
        <v>963</v>
      </c>
      <c r="D7389" t="s">
        <v>1009</v>
      </c>
      <c r="E7389" t="s">
        <v>49</v>
      </c>
      <c r="F7389" t="s">
        <v>953</v>
      </c>
      <c r="G7389">
        <v>1877777</v>
      </c>
      <c r="H7389">
        <v>501100</v>
      </c>
      <c r="I7389" t="s">
        <v>949</v>
      </c>
    </row>
    <row r="7390" spans="1:9" x14ac:dyDescent="0.25">
      <c r="A7390">
        <v>3130</v>
      </c>
      <c r="B7390">
        <v>18</v>
      </c>
      <c r="C7390" t="s">
        <v>963</v>
      </c>
      <c r="D7390" t="s">
        <v>1009</v>
      </c>
      <c r="E7390" t="s">
        <v>49</v>
      </c>
      <c r="F7390" t="s">
        <v>954</v>
      </c>
      <c r="G7390">
        <v>1877777</v>
      </c>
      <c r="H7390">
        <v>501100</v>
      </c>
      <c r="I7390" t="s">
        <v>949</v>
      </c>
    </row>
    <row r="7391" spans="1:9" x14ac:dyDescent="0.25">
      <c r="A7391">
        <v>3130</v>
      </c>
      <c r="B7391">
        <v>18</v>
      </c>
      <c r="C7391" t="s">
        <v>963</v>
      </c>
      <c r="D7391" t="s">
        <v>1009</v>
      </c>
      <c r="E7391" t="s">
        <v>49</v>
      </c>
      <c r="F7391" t="s">
        <v>955</v>
      </c>
      <c r="G7391">
        <v>1877777</v>
      </c>
      <c r="H7391">
        <v>501100</v>
      </c>
      <c r="I7391" t="s">
        <v>949</v>
      </c>
    </row>
    <row r="7392" spans="1:9" x14ac:dyDescent="0.25">
      <c r="A7392">
        <v>3130</v>
      </c>
      <c r="B7392">
        <v>18</v>
      </c>
      <c r="C7392" t="s">
        <v>963</v>
      </c>
      <c r="D7392" t="s">
        <v>1009</v>
      </c>
      <c r="E7392" t="s">
        <v>49</v>
      </c>
      <c r="F7392" t="s">
        <v>956</v>
      </c>
      <c r="G7392">
        <v>1877777</v>
      </c>
      <c r="H7392">
        <v>501100</v>
      </c>
      <c r="I7392" t="s">
        <v>949</v>
      </c>
    </row>
    <row r="7393" spans="1:9" x14ac:dyDescent="0.25">
      <c r="A7393">
        <v>3130</v>
      </c>
      <c r="B7393">
        <v>18</v>
      </c>
      <c r="C7393" t="s">
        <v>963</v>
      </c>
      <c r="D7393" t="s">
        <v>1009</v>
      </c>
      <c r="E7393" t="s">
        <v>49</v>
      </c>
      <c r="F7393" t="s">
        <v>957</v>
      </c>
      <c r="G7393">
        <v>1877777</v>
      </c>
      <c r="H7393">
        <v>501100</v>
      </c>
      <c r="I7393" t="s">
        <v>949</v>
      </c>
    </row>
    <row r="7394" spans="1:9" x14ac:dyDescent="0.25">
      <c r="A7394">
        <v>3130</v>
      </c>
      <c r="B7394">
        <v>18</v>
      </c>
      <c r="C7394" t="s">
        <v>963</v>
      </c>
      <c r="D7394" t="s">
        <v>1009</v>
      </c>
      <c r="E7394" t="s">
        <v>49</v>
      </c>
      <c r="F7394" t="s">
        <v>958</v>
      </c>
      <c r="G7394">
        <v>1877777</v>
      </c>
      <c r="H7394">
        <v>501100</v>
      </c>
      <c r="I7394" t="s">
        <v>949</v>
      </c>
    </row>
    <row r="7395" spans="1:9" x14ac:dyDescent="0.25">
      <c r="A7395">
        <v>3130</v>
      </c>
      <c r="B7395">
        <v>18</v>
      </c>
      <c r="C7395" t="s">
        <v>963</v>
      </c>
      <c r="D7395" t="s">
        <v>1009</v>
      </c>
      <c r="E7395" t="s">
        <v>49</v>
      </c>
      <c r="F7395" t="s">
        <v>959</v>
      </c>
      <c r="G7395">
        <v>1877777</v>
      </c>
      <c r="H7395">
        <v>501100</v>
      </c>
      <c r="I7395" t="s">
        <v>949</v>
      </c>
    </row>
    <row r="7396" spans="1:9" x14ac:dyDescent="0.25">
      <c r="A7396">
        <v>3130</v>
      </c>
      <c r="B7396">
        <v>18</v>
      </c>
      <c r="C7396" t="s">
        <v>963</v>
      </c>
      <c r="D7396" t="s">
        <v>1009</v>
      </c>
      <c r="E7396" t="s">
        <v>49</v>
      </c>
      <c r="F7396" t="s">
        <v>960</v>
      </c>
      <c r="G7396">
        <v>1877777</v>
      </c>
      <c r="H7396">
        <v>501100</v>
      </c>
      <c r="I7396" t="s">
        <v>949</v>
      </c>
    </row>
    <row r="7397" spans="1:9" x14ac:dyDescent="0.25">
      <c r="A7397">
        <v>3130</v>
      </c>
      <c r="B7397">
        <v>18</v>
      </c>
      <c r="C7397" t="s">
        <v>963</v>
      </c>
      <c r="D7397" t="s">
        <v>1009</v>
      </c>
      <c r="E7397" t="s">
        <v>49</v>
      </c>
      <c r="F7397" t="s">
        <v>961</v>
      </c>
      <c r="G7397">
        <v>1877777</v>
      </c>
      <c r="H7397">
        <v>501100</v>
      </c>
      <c r="I7397" t="s">
        <v>949</v>
      </c>
    </row>
    <row r="7398" ht="22" customHeight="1" spans="1:10" x14ac:dyDescent="0.25">
      <c r="A7398" s="43">
        <v>3130</v>
      </c>
      <c r="B7398" s="43">
        <v>18</v>
      </c>
      <c r="C7398" s="43" t="s">
        <v>950</v>
      </c>
      <c r="D7398" s="43" t="s">
        <v>1009</v>
      </c>
      <c r="E7398" s="43" t="s">
        <v>243</v>
      </c>
      <c r="F7398" s="43" t="s">
        <v>951</v>
      </c>
      <c r="G7398" s="43">
        <v>1877777</v>
      </c>
      <c r="H7398" s="43">
        <v>501100</v>
      </c>
      <c r="I7398" s="43" t="s">
        <v>949</v>
      </c>
      <c r="J7398" s="44" t="s">
        <v>1000</v>
      </c>
    </row>
    <row r="7399" ht="22" customHeight="1" spans="1:10" x14ac:dyDescent="0.25">
      <c r="A7399" s="43">
        <v>3130</v>
      </c>
      <c r="B7399" s="43">
        <v>18</v>
      </c>
      <c r="C7399" s="43" t="s">
        <v>950</v>
      </c>
      <c r="D7399" s="43" t="s">
        <v>1009</v>
      </c>
      <c r="E7399" s="43" t="s">
        <v>243</v>
      </c>
      <c r="F7399" s="43" t="s">
        <v>952</v>
      </c>
      <c r="G7399" s="43">
        <v>1877777</v>
      </c>
      <c r="H7399" s="43">
        <v>501100</v>
      </c>
      <c r="I7399" s="43" t="s">
        <v>949</v>
      </c>
      <c r="J7399" s="44" t="s">
        <v>1000</v>
      </c>
    </row>
    <row r="7400" ht="22" customHeight="1" spans="1:10" x14ac:dyDescent="0.25">
      <c r="A7400" s="43">
        <v>3130</v>
      </c>
      <c r="B7400" s="43">
        <v>18</v>
      </c>
      <c r="C7400" s="43" t="s">
        <v>950</v>
      </c>
      <c r="D7400" s="43" t="s">
        <v>1009</v>
      </c>
      <c r="E7400" s="43" t="s">
        <v>243</v>
      </c>
      <c r="F7400" s="43" t="s">
        <v>953</v>
      </c>
      <c r="G7400" s="43">
        <v>1877777</v>
      </c>
      <c r="H7400" s="43">
        <v>501100</v>
      </c>
      <c r="I7400" s="43" t="s">
        <v>949</v>
      </c>
      <c r="J7400" s="44" t="s">
        <v>1000</v>
      </c>
    </row>
    <row r="7401" ht="22" customHeight="1" spans="1:10" x14ac:dyDescent="0.25">
      <c r="A7401" s="43">
        <v>3130</v>
      </c>
      <c r="B7401" s="43">
        <v>18</v>
      </c>
      <c r="C7401" s="43" t="s">
        <v>950</v>
      </c>
      <c r="D7401" s="43" t="s">
        <v>1009</v>
      </c>
      <c r="E7401" s="43" t="s">
        <v>243</v>
      </c>
      <c r="F7401" s="43" t="s">
        <v>954</v>
      </c>
      <c r="G7401" s="43">
        <v>1877777</v>
      </c>
      <c r="H7401" s="43">
        <v>501100</v>
      </c>
      <c r="I7401" s="43" t="s">
        <v>949</v>
      </c>
      <c r="J7401" s="44" t="s">
        <v>1000</v>
      </c>
    </row>
    <row r="7402" ht="22" customHeight="1" spans="1:10" x14ac:dyDescent="0.25">
      <c r="A7402" s="43">
        <v>3130</v>
      </c>
      <c r="B7402" s="43">
        <v>18</v>
      </c>
      <c r="C7402" s="43" t="s">
        <v>950</v>
      </c>
      <c r="D7402" s="43" t="s">
        <v>1009</v>
      </c>
      <c r="E7402" s="43" t="s">
        <v>243</v>
      </c>
      <c r="F7402" s="43" t="s">
        <v>955</v>
      </c>
      <c r="G7402" s="43">
        <v>1877777</v>
      </c>
      <c r="H7402" s="43">
        <v>501100</v>
      </c>
      <c r="I7402" s="43" t="s">
        <v>949</v>
      </c>
      <c r="J7402" s="44" t="s">
        <v>1000</v>
      </c>
    </row>
    <row r="7403" ht="22" customHeight="1" spans="1:10" x14ac:dyDescent="0.25">
      <c r="A7403" s="43">
        <v>3130</v>
      </c>
      <c r="B7403" s="43">
        <v>18</v>
      </c>
      <c r="C7403" s="43" t="s">
        <v>950</v>
      </c>
      <c r="D7403" s="43" t="s">
        <v>1009</v>
      </c>
      <c r="E7403" s="43" t="s">
        <v>243</v>
      </c>
      <c r="F7403" s="43" t="s">
        <v>956</v>
      </c>
      <c r="G7403" s="43">
        <v>1877777</v>
      </c>
      <c r="H7403" s="43">
        <v>501100</v>
      </c>
      <c r="I7403" s="43" t="s">
        <v>949</v>
      </c>
      <c r="J7403" s="44" t="s">
        <v>1000</v>
      </c>
    </row>
    <row r="7404" ht="22" customHeight="1" spans="1:10" x14ac:dyDescent="0.25">
      <c r="A7404" s="43">
        <v>3130</v>
      </c>
      <c r="B7404" s="43">
        <v>18</v>
      </c>
      <c r="C7404" s="43" t="s">
        <v>950</v>
      </c>
      <c r="D7404" s="43" t="s">
        <v>1009</v>
      </c>
      <c r="E7404" s="43" t="s">
        <v>243</v>
      </c>
      <c r="F7404" s="43" t="s">
        <v>957</v>
      </c>
      <c r="G7404" s="43">
        <v>1877777</v>
      </c>
      <c r="H7404" s="43">
        <v>501100</v>
      </c>
      <c r="I7404" s="43" t="s">
        <v>949</v>
      </c>
      <c r="J7404" s="44" t="s">
        <v>1000</v>
      </c>
    </row>
    <row r="7405" ht="22" customHeight="1" spans="1:10" x14ac:dyDescent="0.25">
      <c r="A7405" s="43">
        <v>3130</v>
      </c>
      <c r="B7405" s="43">
        <v>18</v>
      </c>
      <c r="C7405" s="43" t="s">
        <v>950</v>
      </c>
      <c r="D7405" s="43" t="s">
        <v>1009</v>
      </c>
      <c r="E7405" s="43" t="s">
        <v>243</v>
      </c>
      <c r="F7405" s="43" t="s">
        <v>958</v>
      </c>
      <c r="G7405" s="43">
        <v>1877777</v>
      </c>
      <c r="H7405" s="43">
        <v>501100</v>
      </c>
      <c r="I7405" s="43" t="s">
        <v>949</v>
      </c>
      <c r="J7405" s="44" t="s">
        <v>1000</v>
      </c>
    </row>
    <row r="7406" ht="22" customHeight="1" spans="1:10" x14ac:dyDescent="0.25">
      <c r="A7406" s="43">
        <v>3130</v>
      </c>
      <c r="B7406" s="43">
        <v>18</v>
      </c>
      <c r="C7406" s="43" t="s">
        <v>950</v>
      </c>
      <c r="D7406" s="43" t="s">
        <v>1009</v>
      </c>
      <c r="E7406" s="43" t="s">
        <v>243</v>
      </c>
      <c r="F7406" s="43" t="s">
        <v>959</v>
      </c>
      <c r="G7406" s="43">
        <v>1877777</v>
      </c>
      <c r="H7406" s="43">
        <v>501100</v>
      </c>
      <c r="I7406" s="43" t="s">
        <v>949</v>
      </c>
      <c r="J7406" s="44" t="s">
        <v>1000</v>
      </c>
    </row>
    <row r="7407" ht="22" customHeight="1" spans="1:10" x14ac:dyDescent="0.25">
      <c r="A7407" s="43">
        <v>3130</v>
      </c>
      <c r="B7407" s="43">
        <v>18</v>
      </c>
      <c r="C7407" s="43" t="s">
        <v>950</v>
      </c>
      <c r="D7407" s="43" t="s">
        <v>1009</v>
      </c>
      <c r="E7407" s="43" t="s">
        <v>243</v>
      </c>
      <c r="F7407" s="43" t="s">
        <v>960</v>
      </c>
      <c r="G7407" s="43">
        <v>1877777</v>
      </c>
      <c r="H7407" s="43">
        <v>501100</v>
      </c>
      <c r="I7407" s="43" t="s">
        <v>949</v>
      </c>
      <c r="J7407" s="44" t="s">
        <v>1000</v>
      </c>
    </row>
    <row r="7408" ht="22" customHeight="1" spans="1:10" x14ac:dyDescent="0.25">
      <c r="A7408" s="43">
        <v>3130</v>
      </c>
      <c r="B7408" s="43">
        <v>18</v>
      </c>
      <c r="C7408" s="43" t="s">
        <v>950</v>
      </c>
      <c r="D7408" s="43" t="s">
        <v>1009</v>
      </c>
      <c r="E7408" s="43" t="s">
        <v>243</v>
      </c>
      <c r="F7408" s="43" t="s">
        <v>961</v>
      </c>
      <c r="G7408" s="43">
        <v>1877777</v>
      </c>
      <c r="H7408" s="43">
        <v>501100</v>
      </c>
      <c r="I7408" s="43" t="s">
        <v>949</v>
      </c>
      <c r="J7408" s="44" t="s">
        <v>1000</v>
      </c>
    </row>
    <row r="7409" ht="22" customHeight="1" spans="1:10" x14ac:dyDescent="0.25">
      <c r="A7409" s="43">
        <v>3130</v>
      </c>
      <c r="B7409" s="43">
        <v>18</v>
      </c>
      <c r="C7409" s="43" t="s">
        <v>962</v>
      </c>
      <c r="D7409" s="43" t="s">
        <v>1009</v>
      </c>
      <c r="E7409" s="43" t="s">
        <v>243</v>
      </c>
      <c r="F7409" s="43" t="s">
        <v>951</v>
      </c>
      <c r="G7409" s="43">
        <v>1877777</v>
      </c>
      <c r="H7409" s="43">
        <v>501100</v>
      </c>
      <c r="I7409" s="43" t="s">
        <v>949</v>
      </c>
      <c r="J7409" s="44" t="s">
        <v>1000</v>
      </c>
    </row>
    <row r="7410" ht="22" customHeight="1" spans="1:10" x14ac:dyDescent="0.25">
      <c r="A7410" s="43">
        <v>3130</v>
      </c>
      <c r="B7410" s="43">
        <v>18</v>
      </c>
      <c r="C7410" s="43" t="s">
        <v>962</v>
      </c>
      <c r="D7410" s="43" t="s">
        <v>1009</v>
      </c>
      <c r="E7410" s="43" t="s">
        <v>243</v>
      </c>
      <c r="F7410" s="43" t="s">
        <v>952</v>
      </c>
      <c r="G7410" s="43">
        <v>1877777</v>
      </c>
      <c r="H7410" s="43">
        <v>501100</v>
      </c>
      <c r="I7410" s="43" t="s">
        <v>949</v>
      </c>
      <c r="J7410" s="44" t="s">
        <v>1000</v>
      </c>
    </row>
    <row r="7411" ht="22" customHeight="1" spans="1:10" x14ac:dyDescent="0.25">
      <c r="A7411" s="43">
        <v>3130</v>
      </c>
      <c r="B7411" s="43">
        <v>18</v>
      </c>
      <c r="C7411" s="43" t="s">
        <v>962</v>
      </c>
      <c r="D7411" s="43" t="s">
        <v>1009</v>
      </c>
      <c r="E7411" s="43" t="s">
        <v>243</v>
      </c>
      <c r="F7411" s="43" t="s">
        <v>953</v>
      </c>
      <c r="G7411" s="43">
        <v>1877777</v>
      </c>
      <c r="H7411" s="43">
        <v>501100</v>
      </c>
      <c r="I7411" s="43" t="s">
        <v>949</v>
      </c>
      <c r="J7411" s="44" t="s">
        <v>1000</v>
      </c>
    </row>
    <row r="7412" ht="22" customHeight="1" spans="1:10" x14ac:dyDescent="0.25">
      <c r="A7412" s="43">
        <v>3130</v>
      </c>
      <c r="B7412" s="43">
        <v>18</v>
      </c>
      <c r="C7412" s="43" t="s">
        <v>962</v>
      </c>
      <c r="D7412" s="43" t="s">
        <v>1009</v>
      </c>
      <c r="E7412" s="43" t="s">
        <v>243</v>
      </c>
      <c r="F7412" s="43" t="s">
        <v>954</v>
      </c>
      <c r="G7412" s="43">
        <v>1877777</v>
      </c>
      <c r="H7412" s="43">
        <v>501100</v>
      </c>
      <c r="I7412" s="43" t="s">
        <v>949</v>
      </c>
      <c r="J7412" s="44" t="s">
        <v>1000</v>
      </c>
    </row>
    <row r="7413" ht="22" customHeight="1" spans="1:10" x14ac:dyDescent="0.25">
      <c r="A7413" s="43">
        <v>3130</v>
      </c>
      <c r="B7413" s="43">
        <v>18</v>
      </c>
      <c r="C7413" s="43" t="s">
        <v>962</v>
      </c>
      <c r="D7413" s="43" t="s">
        <v>1009</v>
      </c>
      <c r="E7413" s="43" t="s">
        <v>243</v>
      </c>
      <c r="F7413" s="43" t="s">
        <v>955</v>
      </c>
      <c r="G7413" s="43">
        <v>1877777</v>
      </c>
      <c r="H7413" s="43">
        <v>501100</v>
      </c>
      <c r="I7413" s="43" t="s">
        <v>949</v>
      </c>
      <c r="J7413" s="44" t="s">
        <v>1000</v>
      </c>
    </row>
    <row r="7414" ht="22" customHeight="1" spans="1:10" x14ac:dyDescent="0.25">
      <c r="A7414" s="43">
        <v>3130</v>
      </c>
      <c r="B7414" s="43">
        <v>18</v>
      </c>
      <c r="C7414" s="43" t="s">
        <v>962</v>
      </c>
      <c r="D7414" s="43" t="s">
        <v>1009</v>
      </c>
      <c r="E7414" s="43" t="s">
        <v>243</v>
      </c>
      <c r="F7414" s="43" t="s">
        <v>956</v>
      </c>
      <c r="G7414" s="43">
        <v>1877777</v>
      </c>
      <c r="H7414" s="43">
        <v>501100</v>
      </c>
      <c r="I7414" s="43" t="s">
        <v>949</v>
      </c>
      <c r="J7414" s="44" t="s">
        <v>1000</v>
      </c>
    </row>
    <row r="7415" ht="22" customHeight="1" spans="1:10" x14ac:dyDescent="0.25">
      <c r="A7415" s="43">
        <v>3130</v>
      </c>
      <c r="B7415" s="43">
        <v>18</v>
      </c>
      <c r="C7415" s="43" t="s">
        <v>962</v>
      </c>
      <c r="D7415" s="43" t="s">
        <v>1009</v>
      </c>
      <c r="E7415" s="43" t="s">
        <v>243</v>
      </c>
      <c r="F7415" s="43" t="s">
        <v>957</v>
      </c>
      <c r="G7415" s="43">
        <v>1877777</v>
      </c>
      <c r="H7415" s="43">
        <v>501100</v>
      </c>
      <c r="I7415" s="43" t="s">
        <v>949</v>
      </c>
      <c r="J7415" s="44" t="s">
        <v>1000</v>
      </c>
    </row>
    <row r="7416" ht="22" customHeight="1" spans="1:10" x14ac:dyDescent="0.25">
      <c r="A7416" s="43">
        <v>3130</v>
      </c>
      <c r="B7416" s="43">
        <v>18</v>
      </c>
      <c r="C7416" s="43" t="s">
        <v>962</v>
      </c>
      <c r="D7416" s="43" t="s">
        <v>1009</v>
      </c>
      <c r="E7416" s="43" t="s">
        <v>243</v>
      </c>
      <c r="F7416" s="43" t="s">
        <v>958</v>
      </c>
      <c r="G7416" s="43">
        <v>1877777</v>
      </c>
      <c r="H7416" s="43">
        <v>501100</v>
      </c>
      <c r="I7416" s="43" t="s">
        <v>949</v>
      </c>
      <c r="J7416" s="44" t="s">
        <v>1000</v>
      </c>
    </row>
    <row r="7417" ht="22" customHeight="1" spans="1:10" x14ac:dyDescent="0.25">
      <c r="A7417" s="43">
        <v>3130</v>
      </c>
      <c r="B7417" s="43">
        <v>18</v>
      </c>
      <c r="C7417" s="43" t="s">
        <v>962</v>
      </c>
      <c r="D7417" s="43" t="s">
        <v>1009</v>
      </c>
      <c r="E7417" s="43" t="s">
        <v>243</v>
      </c>
      <c r="F7417" s="43" t="s">
        <v>959</v>
      </c>
      <c r="G7417" s="43">
        <v>1877777</v>
      </c>
      <c r="H7417" s="43">
        <v>501100</v>
      </c>
      <c r="I7417" s="43" t="s">
        <v>949</v>
      </c>
      <c r="J7417" s="44" t="s">
        <v>1000</v>
      </c>
    </row>
    <row r="7418" ht="22" customHeight="1" spans="1:10" x14ac:dyDescent="0.25">
      <c r="A7418" s="43">
        <v>3130</v>
      </c>
      <c r="B7418" s="43">
        <v>18</v>
      </c>
      <c r="C7418" s="43" t="s">
        <v>962</v>
      </c>
      <c r="D7418" s="43" t="s">
        <v>1009</v>
      </c>
      <c r="E7418" s="43" t="s">
        <v>243</v>
      </c>
      <c r="F7418" s="43" t="s">
        <v>960</v>
      </c>
      <c r="G7418" s="43">
        <v>1877777</v>
      </c>
      <c r="H7418" s="43">
        <v>501100</v>
      </c>
      <c r="I7418" s="43" t="s">
        <v>949</v>
      </c>
      <c r="J7418" s="44" t="s">
        <v>1000</v>
      </c>
    </row>
    <row r="7419" ht="22" customHeight="1" spans="1:10" x14ac:dyDescent="0.25">
      <c r="A7419" s="43">
        <v>3130</v>
      </c>
      <c r="B7419" s="43">
        <v>18</v>
      </c>
      <c r="C7419" s="43" t="s">
        <v>962</v>
      </c>
      <c r="D7419" s="43" t="s">
        <v>1009</v>
      </c>
      <c r="E7419" s="43" t="s">
        <v>243</v>
      </c>
      <c r="F7419" s="43" t="s">
        <v>961</v>
      </c>
      <c r="G7419" s="43">
        <v>1877777</v>
      </c>
      <c r="H7419" s="43">
        <v>501100</v>
      </c>
      <c r="I7419" s="43" t="s">
        <v>949</v>
      </c>
      <c r="J7419" s="44" t="s">
        <v>1000</v>
      </c>
    </row>
    <row r="7420" ht="22" customHeight="1" spans="1:10" x14ac:dyDescent="0.25">
      <c r="A7420" s="43">
        <v>3130</v>
      </c>
      <c r="B7420" s="43">
        <v>18</v>
      </c>
      <c r="C7420" s="43" t="s">
        <v>963</v>
      </c>
      <c r="D7420" s="43" t="s">
        <v>1009</v>
      </c>
      <c r="E7420" s="43" t="s">
        <v>243</v>
      </c>
      <c r="F7420" s="43" t="s">
        <v>951</v>
      </c>
      <c r="G7420" s="43">
        <v>1877777</v>
      </c>
      <c r="H7420" s="43">
        <v>501100</v>
      </c>
      <c r="I7420" s="43" t="s">
        <v>949</v>
      </c>
      <c r="J7420" s="44" t="s">
        <v>1000</v>
      </c>
    </row>
    <row r="7421" ht="22" customHeight="1" spans="1:10" x14ac:dyDescent="0.25">
      <c r="A7421" s="43">
        <v>3130</v>
      </c>
      <c r="B7421" s="43">
        <v>18</v>
      </c>
      <c r="C7421" s="43" t="s">
        <v>963</v>
      </c>
      <c r="D7421" s="43" t="s">
        <v>1009</v>
      </c>
      <c r="E7421" s="43" t="s">
        <v>243</v>
      </c>
      <c r="F7421" s="43" t="s">
        <v>952</v>
      </c>
      <c r="G7421" s="43">
        <v>1877777</v>
      </c>
      <c r="H7421" s="43">
        <v>501100</v>
      </c>
      <c r="I7421" s="43" t="s">
        <v>949</v>
      </c>
      <c r="J7421" s="44" t="s">
        <v>1000</v>
      </c>
    </row>
    <row r="7422" ht="22" customHeight="1" spans="1:10" x14ac:dyDescent="0.25">
      <c r="A7422" s="43">
        <v>3130</v>
      </c>
      <c r="B7422" s="43">
        <v>18</v>
      </c>
      <c r="C7422" s="43" t="s">
        <v>963</v>
      </c>
      <c r="D7422" s="43" t="s">
        <v>1009</v>
      </c>
      <c r="E7422" s="43" t="s">
        <v>243</v>
      </c>
      <c r="F7422" s="43" t="s">
        <v>953</v>
      </c>
      <c r="G7422" s="43">
        <v>1877777</v>
      </c>
      <c r="H7422" s="43">
        <v>501100</v>
      </c>
      <c r="I7422" s="43" t="s">
        <v>949</v>
      </c>
      <c r="J7422" s="44" t="s">
        <v>1000</v>
      </c>
    </row>
    <row r="7423" ht="22" customHeight="1" spans="1:10" x14ac:dyDescent="0.25">
      <c r="A7423" s="43">
        <v>3130</v>
      </c>
      <c r="B7423" s="43">
        <v>18</v>
      </c>
      <c r="C7423" s="43" t="s">
        <v>963</v>
      </c>
      <c r="D7423" s="43" t="s">
        <v>1009</v>
      </c>
      <c r="E7423" s="43" t="s">
        <v>243</v>
      </c>
      <c r="F7423" s="43" t="s">
        <v>954</v>
      </c>
      <c r="G7423" s="43">
        <v>1877777</v>
      </c>
      <c r="H7423" s="43">
        <v>501100</v>
      </c>
      <c r="I7423" s="43" t="s">
        <v>949</v>
      </c>
      <c r="J7423" s="44" t="s">
        <v>1000</v>
      </c>
    </row>
    <row r="7424" ht="22" customHeight="1" spans="1:10" x14ac:dyDescent="0.25">
      <c r="A7424" s="43">
        <v>3130</v>
      </c>
      <c r="B7424" s="43">
        <v>18</v>
      </c>
      <c r="C7424" s="43" t="s">
        <v>963</v>
      </c>
      <c r="D7424" s="43" t="s">
        <v>1009</v>
      </c>
      <c r="E7424" s="43" t="s">
        <v>243</v>
      </c>
      <c r="F7424" s="43" t="s">
        <v>955</v>
      </c>
      <c r="G7424" s="43">
        <v>1877777</v>
      </c>
      <c r="H7424" s="43">
        <v>501100</v>
      </c>
      <c r="I7424" s="43" t="s">
        <v>949</v>
      </c>
      <c r="J7424" s="44" t="s">
        <v>1000</v>
      </c>
    </row>
    <row r="7425" ht="22" customHeight="1" spans="1:10" x14ac:dyDescent="0.25">
      <c r="A7425" s="43">
        <v>3130</v>
      </c>
      <c r="B7425" s="43">
        <v>18</v>
      </c>
      <c r="C7425" s="43" t="s">
        <v>963</v>
      </c>
      <c r="D7425" s="43" t="s">
        <v>1009</v>
      </c>
      <c r="E7425" s="43" t="s">
        <v>243</v>
      </c>
      <c r="F7425" s="43" t="s">
        <v>956</v>
      </c>
      <c r="G7425" s="43">
        <v>1877777</v>
      </c>
      <c r="H7425" s="43">
        <v>501100</v>
      </c>
      <c r="I7425" s="43" t="s">
        <v>949</v>
      </c>
      <c r="J7425" s="44" t="s">
        <v>1000</v>
      </c>
    </row>
    <row r="7426" ht="22" customHeight="1" spans="1:10" x14ac:dyDescent="0.25">
      <c r="A7426" s="43">
        <v>3130</v>
      </c>
      <c r="B7426" s="43">
        <v>18</v>
      </c>
      <c r="C7426" s="43" t="s">
        <v>963</v>
      </c>
      <c r="D7426" s="43" t="s">
        <v>1009</v>
      </c>
      <c r="E7426" s="43" t="s">
        <v>243</v>
      </c>
      <c r="F7426" s="43" t="s">
        <v>957</v>
      </c>
      <c r="G7426" s="43">
        <v>1877777</v>
      </c>
      <c r="H7426" s="43">
        <v>501100</v>
      </c>
      <c r="I7426" s="43" t="s">
        <v>949</v>
      </c>
      <c r="J7426" s="44" t="s">
        <v>1000</v>
      </c>
    </row>
    <row r="7427" ht="22" customHeight="1" spans="1:10" x14ac:dyDescent="0.25">
      <c r="A7427" s="43">
        <v>3130</v>
      </c>
      <c r="B7427" s="43">
        <v>18</v>
      </c>
      <c r="C7427" s="43" t="s">
        <v>963</v>
      </c>
      <c r="D7427" s="43" t="s">
        <v>1009</v>
      </c>
      <c r="E7427" s="43" t="s">
        <v>243</v>
      </c>
      <c r="F7427" s="43" t="s">
        <v>958</v>
      </c>
      <c r="G7427" s="43">
        <v>1877777</v>
      </c>
      <c r="H7427" s="43">
        <v>501100</v>
      </c>
      <c r="I7427" s="43" t="s">
        <v>949</v>
      </c>
      <c r="J7427" s="44" t="s">
        <v>1000</v>
      </c>
    </row>
    <row r="7428" ht="22" customHeight="1" spans="1:10" x14ac:dyDescent="0.25">
      <c r="A7428" s="43">
        <v>3130</v>
      </c>
      <c r="B7428" s="43">
        <v>18</v>
      </c>
      <c r="C7428" s="43" t="s">
        <v>963</v>
      </c>
      <c r="D7428" s="43" t="s">
        <v>1009</v>
      </c>
      <c r="E7428" s="43" t="s">
        <v>243</v>
      </c>
      <c r="F7428" s="43" t="s">
        <v>959</v>
      </c>
      <c r="G7428" s="43">
        <v>1877777</v>
      </c>
      <c r="H7428" s="43">
        <v>501100</v>
      </c>
      <c r="I7428" s="43" t="s">
        <v>949</v>
      </c>
      <c r="J7428" s="44" t="s">
        <v>1000</v>
      </c>
    </row>
    <row r="7429" ht="22" customHeight="1" spans="1:10" x14ac:dyDescent="0.25">
      <c r="A7429" s="43">
        <v>3130</v>
      </c>
      <c r="B7429" s="43">
        <v>18</v>
      </c>
      <c r="C7429" s="43" t="s">
        <v>963</v>
      </c>
      <c r="D7429" s="43" t="s">
        <v>1009</v>
      </c>
      <c r="E7429" s="43" t="s">
        <v>243</v>
      </c>
      <c r="F7429" s="43" t="s">
        <v>960</v>
      </c>
      <c r="G7429" s="43">
        <v>1877777</v>
      </c>
      <c r="H7429" s="43">
        <v>501100</v>
      </c>
      <c r="I7429" s="43" t="s">
        <v>949</v>
      </c>
      <c r="J7429" s="44" t="s">
        <v>1000</v>
      </c>
    </row>
    <row r="7430" ht="22" customHeight="1" spans="1:10" x14ac:dyDescent="0.25">
      <c r="A7430" s="43">
        <v>3130</v>
      </c>
      <c r="B7430" s="43">
        <v>18</v>
      </c>
      <c r="C7430" s="43" t="s">
        <v>963</v>
      </c>
      <c r="D7430" s="43" t="s">
        <v>1009</v>
      </c>
      <c r="E7430" s="43" t="s">
        <v>243</v>
      </c>
      <c r="F7430" s="43" t="s">
        <v>961</v>
      </c>
      <c r="G7430" s="43">
        <v>1877777</v>
      </c>
      <c r="H7430" s="43">
        <v>501100</v>
      </c>
      <c r="I7430" s="43" t="s">
        <v>949</v>
      </c>
      <c r="J7430" s="44" t="s">
        <v>1000</v>
      </c>
    </row>
    <row r="7431" spans="1:9" x14ac:dyDescent="0.25">
      <c r="A7431">
        <v>4122</v>
      </c>
      <c r="B7431">
        <v>18</v>
      </c>
      <c r="C7431" t="s">
        <v>946</v>
      </c>
      <c r="D7431" t="s">
        <v>1009</v>
      </c>
      <c r="E7431" t="s">
        <v>243</v>
      </c>
      <c r="F7431" t="s">
        <v>948</v>
      </c>
      <c r="G7431">
        <v>1800000</v>
      </c>
      <c r="H7431">
        <v>145000</v>
      </c>
      <c r="I7431" t="s">
        <v>949</v>
      </c>
    </row>
    <row r="7432" spans="1:9" x14ac:dyDescent="0.25">
      <c r="A7432">
        <v>4124</v>
      </c>
      <c r="B7432">
        <v>18</v>
      </c>
      <c r="C7432" t="s">
        <v>946</v>
      </c>
      <c r="D7432" t="s">
        <v>1009</v>
      </c>
      <c r="E7432" t="s">
        <v>243</v>
      </c>
      <c r="F7432" t="s">
        <v>948</v>
      </c>
      <c r="G7432">
        <v>1877777</v>
      </c>
      <c r="H7432">
        <v>501100</v>
      </c>
      <c r="I7432" t="s">
        <v>949</v>
      </c>
    </row>
    <row r="7433" ht="22" customHeight="1" spans="1:10" x14ac:dyDescent="0.25">
      <c r="A7433" s="43">
        <v>3130</v>
      </c>
      <c r="B7433" s="43">
        <v>18</v>
      </c>
      <c r="C7433" s="43" t="s">
        <v>950</v>
      </c>
      <c r="D7433" s="43" t="s">
        <v>1009</v>
      </c>
      <c r="E7433" s="43" t="s">
        <v>247</v>
      </c>
      <c r="F7433" s="43" t="s">
        <v>951</v>
      </c>
      <c r="G7433" s="43">
        <v>1877777</v>
      </c>
      <c r="H7433" s="43">
        <v>501100</v>
      </c>
      <c r="I7433" s="43" t="s">
        <v>949</v>
      </c>
      <c r="J7433" s="44" t="s">
        <v>1000</v>
      </c>
    </row>
    <row r="7434" ht="22" customHeight="1" spans="1:10" x14ac:dyDescent="0.25">
      <c r="A7434" s="43">
        <v>3130</v>
      </c>
      <c r="B7434" s="43">
        <v>18</v>
      </c>
      <c r="C7434" s="43" t="s">
        <v>950</v>
      </c>
      <c r="D7434" s="43" t="s">
        <v>1009</v>
      </c>
      <c r="E7434" s="43" t="s">
        <v>247</v>
      </c>
      <c r="F7434" s="43" t="s">
        <v>952</v>
      </c>
      <c r="G7434" s="43">
        <v>1877777</v>
      </c>
      <c r="H7434" s="43">
        <v>501100</v>
      </c>
      <c r="I7434" s="43" t="s">
        <v>949</v>
      </c>
      <c r="J7434" s="44" t="s">
        <v>1000</v>
      </c>
    </row>
    <row r="7435" ht="22" customHeight="1" spans="1:10" x14ac:dyDescent="0.25">
      <c r="A7435" s="43">
        <v>3130</v>
      </c>
      <c r="B7435" s="43">
        <v>18</v>
      </c>
      <c r="C7435" s="43" t="s">
        <v>950</v>
      </c>
      <c r="D7435" s="43" t="s">
        <v>1009</v>
      </c>
      <c r="E7435" s="43" t="s">
        <v>247</v>
      </c>
      <c r="F7435" s="43" t="s">
        <v>953</v>
      </c>
      <c r="G7435" s="43">
        <v>1877777</v>
      </c>
      <c r="H7435" s="43">
        <v>501100</v>
      </c>
      <c r="I7435" s="43" t="s">
        <v>949</v>
      </c>
      <c r="J7435" s="44" t="s">
        <v>1000</v>
      </c>
    </row>
    <row r="7436" ht="22" customHeight="1" spans="1:10" x14ac:dyDescent="0.25">
      <c r="A7436" s="43">
        <v>3130</v>
      </c>
      <c r="B7436" s="43">
        <v>18</v>
      </c>
      <c r="C7436" s="43" t="s">
        <v>950</v>
      </c>
      <c r="D7436" s="43" t="s">
        <v>1009</v>
      </c>
      <c r="E7436" s="43" t="s">
        <v>247</v>
      </c>
      <c r="F7436" s="43" t="s">
        <v>954</v>
      </c>
      <c r="G7436" s="43">
        <v>1877777</v>
      </c>
      <c r="H7436" s="43">
        <v>501100</v>
      </c>
      <c r="I7436" s="43" t="s">
        <v>949</v>
      </c>
      <c r="J7436" s="44" t="s">
        <v>1000</v>
      </c>
    </row>
    <row r="7437" ht="22" customHeight="1" spans="1:10" x14ac:dyDescent="0.25">
      <c r="A7437" s="43">
        <v>3130</v>
      </c>
      <c r="B7437" s="43">
        <v>18</v>
      </c>
      <c r="C7437" s="43" t="s">
        <v>950</v>
      </c>
      <c r="D7437" s="43" t="s">
        <v>1009</v>
      </c>
      <c r="E7437" s="43" t="s">
        <v>247</v>
      </c>
      <c r="F7437" s="43" t="s">
        <v>955</v>
      </c>
      <c r="G7437" s="43">
        <v>1877777</v>
      </c>
      <c r="H7437" s="43">
        <v>501100</v>
      </c>
      <c r="I7437" s="43" t="s">
        <v>949</v>
      </c>
      <c r="J7437" s="44" t="s">
        <v>1000</v>
      </c>
    </row>
    <row r="7438" ht="22" customHeight="1" spans="1:10" x14ac:dyDescent="0.25">
      <c r="A7438" s="43">
        <v>3130</v>
      </c>
      <c r="B7438" s="43">
        <v>18</v>
      </c>
      <c r="C7438" s="43" t="s">
        <v>950</v>
      </c>
      <c r="D7438" s="43" t="s">
        <v>1009</v>
      </c>
      <c r="E7438" s="43" t="s">
        <v>247</v>
      </c>
      <c r="F7438" s="43" t="s">
        <v>956</v>
      </c>
      <c r="G7438" s="43">
        <v>1877777</v>
      </c>
      <c r="H7438" s="43">
        <v>501100</v>
      </c>
      <c r="I7438" s="43" t="s">
        <v>949</v>
      </c>
      <c r="J7438" s="44" t="s">
        <v>1000</v>
      </c>
    </row>
    <row r="7439" ht="22" customHeight="1" spans="1:10" x14ac:dyDescent="0.25">
      <c r="A7439" s="43">
        <v>3130</v>
      </c>
      <c r="B7439" s="43">
        <v>18</v>
      </c>
      <c r="C7439" s="43" t="s">
        <v>950</v>
      </c>
      <c r="D7439" s="43" t="s">
        <v>1009</v>
      </c>
      <c r="E7439" s="43" t="s">
        <v>247</v>
      </c>
      <c r="F7439" s="43" t="s">
        <v>957</v>
      </c>
      <c r="G7439" s="43">
        <v>1877777</v>
      </c>
      <c r="H7439" s="43">
        <v>501100</v>
      </c>
      <c r="I7439" s="43" t="s">
        <v>949</v>
      </c>
      <c r="J7439" s="44" t="s">
        <v>1000</v>
      </c>
    </row>
    <row r="7440" ht="22" customHeight="1" spans="1:10" x14ac:dyDescent="0.25">
      <c r="A7440" s="43">
        <v>3130</v>
      </c>
      <c r="B7440" s="43">
        <v>18</v>
      </c>
      <c r="C7440" s="43" t="s">
        <v>950</v>
      </c>
      <c r="D7440" s="43" t="s">
        <v>1009</v>
      </c>
      <c r="E7440" s="43" t="s">
        <v>247</v>
      </c>
      <c r="F7440" s="43" t="s">
        <v>958</v>
      </c>
      <c r="G7440" s="43">
        <v>1877777</v>
      </c>
      <c r="H7440" s="43">
        <v>501100</v>
      </c>
      <c r="I7440" s="43" t="s">
        <v>949</v>
      </c>
      <c r="J7440" s="44" t="s">
        <v>1000</v>
      </c>
    </row>
    <row r="7441" ht="22" customHeight="1" spans="1:10" x14ac:dyDescent="0.25">
      <c r="A7441" s="43">
        <v>3130</v>
      </c>
      <c r="B7441" s="43">
        <v>18</v>
      </c>
      <c r="C7441" s="43" t="s">
        <v>950</v>
      </c>
      <c r="D7441" s="43" t="s">
        <v>1009</v>
      </c>
      <c r="E7441" s="43" t="s">
        <v>247</v>
      </c>
      <c r="F7441" s="43" t="s">
        <v>959</v>
      </c>
      <c r="G7441" s="43">
        <v>1877777</v>
      </c>
      <c r="H7441" s="43">
        <v>501100</v>
      </c>
      <c r="I7441" s="43" t="s">
        <v>949</v>
      </c>
      <c r="J7441" s="44" t="s">
        <v>1000</v>
      </c>
    </row>
    <row r="7442" ht="22" customHeight="1" spans="1:10" x14ac:dyDescent="0.25">
      <c r="A7442" s="43">
        <v>3130</v>
      </c>
      <c r="B7442" s="43">
        <v>18</v>
      </c>
      <c r="C7442" s="43" t="s">
        <v>950</v>
      </c>
      <c r="D7442" s="43" t="s">
        <v>1009</v>
      </c>
      <c r="E7442" s="43" t="s">
        <v>247</v>
      </c>
      <c r="F7442" s="43" t="s">
        <v>960</v>
      </c>
      <c r="G7442" s="43">
        <v>1877777</v>
      </c>
      <c r="H7442" s="43">
        <v>501100</v>
      </c>
      <c r="I7442" s="43" t="s">
        <v>949</v>
      </c>
      <c r="J7442" s="44" t="s">
        <v>1000</v>
      </c>
    </row>
    <row r="7443" ht="22" customHeight="1" spans="1:10" x14ac:dyDescent="0.25">
      <c r="A7443" s="43">
        <v>3130</v>
      </c>
      <c r="B7443" s="43">
        <v>18</v>
      </c>
      <c r="C7443" s="43" t="s">
        <v>950</v>
      </c>
      <c r="D7443" s="43" t="s">
        <v>1009</v>
      </c>
      <c r="E7443" s="43" t="s">
        <v>247</v>
      </c>
      <c r="F7443" s="43" t="s">
        <v>961</v>
      </c>
      <c r="G7443" s="43">
        <v>1877777</v>
      </c>
      <c r="H7443" s="43">
        <v>501100</v>
      </c>
      <c r="I7443" s="43" t="s">
        <v>949</v>
      </c>
      <c r="J7443" s="44" t="s">
        <v>1000</v>
      </c>
    </row>
    <row r="7444" ht="22" customHeight="1" spans="1:10" x14ac:dyDescent="0.25">
      <c r="A7444" s="43">
        <v>3130</v>
      </c>
      <c r="B7444" s="43">
        <v>18</v>
      </c>
      <c r="C7444" s="43" t="s">
        <v>962</v>
      </c>
      <c r="D7444" s="43" t="s">
        <v>1009</v>
      </c>
      <c r="E7444" s="43" t="s">
        <v>247</v>
      </c>
      <c r="F7444" s="43" t="s">
        <v>951</v>
      </c>
      <c r="G7444" s="43">
        <v>1877777</v>
      </c>
      <c r="H7444" s="43">
        <v>501100</v>
      </c>
      <c r="I7444" s="43" t="s">
        <v>949</v>
      </c>
      <c r="J7444" s="44" t="s">
        <v>1000</v>
      </c>
    </row>
    <row r="7445" ht="22" customHeight="1" spans="1:10" x14ac:dyDescent="0.25">
      <c r="A7445" s="43">
        <v>3130</v>
      </c>
      <c r="B7445" s="43">
        <v>18</v>
      </c>
      <c r="C7445" s="43" t="s">
        <v>962</v>
      </c>
      <c r="D7445" s="43" t="s">
        <v>1009</v>
      </c>
      <c r="E7445" s="43" t="s">
        <v>247</v>
      </c>
      <c r="F7445" s="43" t="s">
        <v>952</v>
      </c>
      <c r="G7445" s="43">
        <v>1877777</v>
      </c>
      <c r="H7445" s="43">
        <v>501100</v>
      </c>
      <c r="I7445" s="43" t="s">
        <v>949</v>
      </c>
      <c r="J7445" s="44" t="s">
        <v>1000</v>
      </c>
    </row>
    <row r="7446" ht="22" customHeight="1" spans="1:10" x14ac:dyDescent="0.25">
      <c r="A7446" s="43">
        <v>3130</v>
      </c>
      <c r="B7446" s="43">
        <v>18</v>
      </c>
      <c r="C7446" s="43" t="s">
        <v>962</v>
      </c>
      <c r="D7446" s="43" t="s">
        <v>1009</v>
      </c>
      <c r="E7446" s="43" t="s">
        <v>247</v>
      </c>
      <c r="F7446" s="43" t="s">
        <v>953</v>
      </c>
      <c r="G7446" s="43">
        <v>1877777</v>
      </c>
      <c r="H7446" s="43">
        <v>501100</v>
      </c>
      <c r="I7446" s="43" t="s">
        <v>949</v>
      </c>
      <c r="J7446" s="44" t="s">
        <v>1000</v>
      </c>
    </row>
    <row r="7447" ht="22" customHeight="1" spans="1:10" x14ac:dyDescent="0.25">
      <c r="A7447" s="43">
        <v>3130</v>
      </c>
      <c r="B7447" s="43">
        <v>18</v>
      </c>
      <c r="C7447" s="43" t="s">
        <v>962</v>
      </c>
      <c r="D7447" s="43" t="s">
        <v>1009</v>
      </c>
      <c r="E7447" s="43" t="s">
        <v>247</v>
      </c>
      <c r="F7447" s="43" t="s">
        <v>954</v>
      </c>
      <c r="G7447" s="43">
        <v>1877777</v>
      </c>
      <c r="H7447" s="43">
        <v>501100</v>
      </c>
      <c r="I7447" s="43" t="s">
        <v>949</v>
      </c>
      <c r="J7447" s="44" t="s">
        <v>1000</v>
      </c>
    </row>
    <row r="7448" ht="22" customHeight="1" spans="1:10" x14ac:dyDescent="0.25">
      <c r="A7448" s="43">
        <v>3130</v>
      </c>
      <c r="B7448" s="43">
        <v>18</v>
      </c>
      <c r="C7448" s="43" t="s">
        <v>962</v>
      </c>
      <c r="D7448" s="43" t="s">
        <v>1009</v>
      </c>
      <c r="E7448" s="43" t="s">
        <v>247</v>
      </c>
      <c r="F7448" s="43" t="s">
        <v>955</v>
      </c>
      <c r="G7448" s="43">
        <v>1877777</v>
      </c>
      <c r="H7448" s="43">
        <v>501100</v>
      </c>
      <c r="I7448" s="43" t="s">
        <v>949</v>
      </c>
      <c r="J7448" s="44" t="s">
        <v>1000</v>
      </c>
    </row>
    <row r="7449" ht="22" customHeight="1" spans="1:10" x14ac:dyDescent="0.25">
      <c r="A7449" s="43">
        <v>3130</v>
      </c>
      <c r="B7449" s="43">
        <v>18</v>
      </c>
      <c r="C7449" s="43" t="s">
        <v>962</v>
      </c>
      <c r="D7449" s="43" t="s">
        <v>1009</v>
      </c>
      <c r="E7449" s="43" t="s">
        <v>247</v>
      </c>
      <c r="F7449" s="43" t="s">
        <v>956</v>
      </c>
      <c r="G7449" s="43">
        <v>1877777</v>
      </c>
      <c r="H7449" s="43">
        <v>501100</v>
      </c>
      <c r="I7449" s="43" t="s">
        <v>949</v>
      </c>
      <c r="J7449" s="44" t="s">
        <v>1000</v>
      </c>
    </row>
    <row r="7450" ht="22" customHeight="1" spans="1:10" x14ac:dyDescent="0.25">
      <c r="A7450" s="43">
        <v>3130</v>
      </c>
      <c r="B7450" s="43">
        <v>18</v>
      </c>
      <c r="C7450" s="43" t="s">
        <v>962</v>
      </c>
      <c r="D7450" s="43" t="s">
        <v>1009</v>
      </c>
      <c r="E7450" s="43" t="s">
        <v>247</v>
      </c>
      <c r="F7450" s="43" t="s">
        <v>957</v>
      </c>
      <c r="G7450" s="43">
        <v>1877777</v>
      </c>
      <c r="H7450" s="43">
        <v>501100</v>
      </c>
      <c r="I7450" s="43" t="s">
        <v>949</v>
      </c>
      <c r="J7450" s="44" t="s">
        <v>1000</v>
      </c>
    </row>
    <row r="7451" ht="22" customHeight="1" spans="1:10" x14ac:dyDescent="0.25">
      <c r="A7451" s="43">
        <v>3130</v>
      </c>
      <c r="B7451" s="43">
        <v>18</v>
      </c>
      <c r="C7451" s="43" t="s">
        <v>962</v>
      </c>
      <c r="D7451" s="43" t="s">
        <v>1009</v>
      </c>
      <c r="E7451" s="43" t="s">
        <v>247</v>
      </c>
      <c r="F7451" s="43" t="s">
        <v>958</v>
      </c>
      <c r="G7451" s="43">
        <v>1877777</v>
      </c>
      <c r="H7451" s="43">
        <v>501100</v>
      </c>
      <c r="I7451" s="43" t="s">
        <v>949</v>
      </c>
      <c r="J7451" s="44" t="s">
        <v>1000</v>
      </c>
    </row>
    <row r="7452" ht="22" customHeight="1" spans="1:10" x14ac:dyDescent="0.25">
      <c r="A7452" s="43">
        <v>3130</v>
      </c>
      <c r="B7452" s="43">
        <v>18</v>
      </c>
      <c r="C7452" s="43" t="s">
        <v>962</v>
      </c>
      <c r="D7452" s="43" t="s">
        <v>1009</v>
      </c>
      <c r="E7452" s="43" t="s">
        <v>247</v>
      </c>
      <c r="F7452" s="43" t="s">
        <v>959</v>
      </c>
      <c r="G7452" s="43">
        <v>1877777</v>
      </c>
      <c r="H7452" s="43">
        <v>501100</v>
      </c>
      <c r="I7452" s="43" t="s">
        <v>949</v>
      </c>
      <c r="J7452" s="44" t="s">
        <v>1000</v>
      </c>
    </row>
    <row r="7453" ht="22" customHeight="1" spans="1:10" x14ac:dyDescent="0.25">
      <c r="A7453" s="43">
        <v>3130</v>
      </c>
      <c r="B7453" s="43">
        <v>18</v>
      </c>
      <c r="C7453" s="43" t="s">
        <v>962</v>
      </c>
      <c r="D7453" s="43" t="s">
        <v>1009</v>
      </c>
      <c r="E7453" s="43" t="s">
        <v>247</v>
      </c>
      <c r="F7453" s="43" t="s">
        <v>960</v>
      </c>
      <c r="G7453" s="43">
        <v>1877777</v>
      </c>
      <c r="H7453" s="43">
        <v>501100</v>
      </c>
      <c r="I7453" s="43" t="s">
        <v>949</v>
      </c>
      <c r="J7453" s="44" t="s">
        <v>1000</v>
      </c>
    </row>
    <row r="7454" ht="22" customHeight="1" spans="1:10" x14ac:dyDescent="0.25">
      <c r="A7454" s="43">
        <v>3130</v>
      </c>
      <c r="B7454" s="43">
        <v>18</v>
      </c>
      <c r="C7454" s="43" t="s">
        <v>962</v>
      </c>
      <c r="D7454" s="43" t="s">
        <v>1009</v>
      </c>
      <c r="E7454" s="43" t="s">
        <v>247</v>
      </c>
      <c r="F7454" s="43" t="s">
        <v>961</v>
      </c>
      <c r="G7454" s="43">
        <v>1877777</v>
      </c>
      <c r="H7454" s="43">
        <v>501100</v>
      </c>
      <c r="I7454" s="43" t="s">
        <v>949</v>
      </c>
      <c r="J7454" s="44" t="s">
        <v>1000</v>
      </c>
    </row>
    <row r="7455" ht="22" customHeight="1" spans="1:10" x14ac:dyDescent="0.25">
      <c r="A7455" s="43">
        <v>3130</v>
      </c>
      <c r="B7455" s="43">
        <v>18</v>
      </c>
      <c r="C7455" s="43" t="s">
        <v>963</v>
      </c>
      <c r="D7455" s="43" t="s">
        <v>1009</v>
      </c>
      <c r="E7455" s="43" t="s">
        <v>247</v>
      </c>
      <c r="F7455" s="43" t="s">
        <v>951</v>
      </c>
      <c r="G7455" s="43">
        <v>1877777</v>
      </c>
      <c r="H7455" s="43">
        <v>501100</v>
      </c>
      <c r="I7455" s="43" t="s">
        <v>949</v>
      </c>
      <c r="J7455" s="44" t="s">
        <v>1000</v>
      </c>
    </row>
    <row r="7456" ht="22" customHeight="1" spans="1:10" x14ac:dyDescent="0.25">
      <c r="A7456" s="43">
        <v>3130</v>
      </c>
      <c r="B7456" s="43">
        <v>18</v>
      </c>
      <c r="C7456" s="43" t="s">
        <v>963</v>
      </c>
      <c r="D7456" s="43" t="s">
        <v>1009</v>
      </c>
      <c r="E7456" s="43" t="s">
        <v>247</v>
      </c>
      <c r="F7456" s="43" t="s">
        <v>952</v>
      </c>
      <c r="G7456" s="43">
        <v>1877777</v>
      </c>
      <c r="H7456" s="43">
        <v>501100</v>
      </c>
      <c r="I7456" s="43" t="s">
        <v>949</v>
      </c>
      <c r="J7456" s="44" t="s">
        <v>1000</v>
      </c>
    </row>
    <row r="7457" ht="22" customHeight="1" spans="1:10" x14ac:dyDescent="0.25">
      <c r="A7457" s="43">
        <v>3130</v>
      </c>
      <c r="B7457" s="43">
        <v>18</v>
      </c>
      <c r="C7457" s="43" t="s">
        <v>963</v>
      </c>
      <c r="D7457" s="43" t="s">
        <v>1009</v>
      </c>
      <c r="E7457" s="43" t="s">
        <v>247</v>
      </c>
      <c r="F7457" s="43" t="s">
        <v>953</v>
      </c>
      <c r="G7457" s="43">
        <v>1877777</v>
      </c>
      <c r="H7457" s="43">
        <v>501100</v>
      </c>
      <c r="I7457" s="43" t="s">
        <v>949</v>
      </c>
      <c r="J7457" s="44" t="s">
        <v>1000</v>
      </c>
    </row>
    <row r="7458" ht="22" customHeight="1" spans="1:10" x14ac:dyDescent="0.25">
      <c r="A7458" s="43">
        <v>3130</v>
      </c>
      <c r="B7458" s="43">
        <v>18</v>
      </c>
      <c r="C7458" s="43" t="s">
        <v>963</v>
      </c>
      <c r="D7458" s="43" t="s">
        <v>1009</v>
      </c>
      <c r="E7458" s="43" t="s">
        <v>247</v>
      </c>
      <c r="F7458" s="43" t="s">
        <v>954</v>
      </c>
      <c r="G7458" s="43">
        <v>1877777</v>
      </c>
      <c r="H7458" s="43">
        <v>501100</v>
      </c>
      <c r="I7458" s="43" t="s">
        <v>949</v>
      </c>
      <c r="J7458" s="44" t="s">
        <v>1000</v>
      </c>
    </row>
    <row r="7459" ht="22" customHeight="1" spans="1:10" x14ac:dyDescent="0.25">
      <c r="A7459" s="43">
        <v>3130</v>
      </c>
      <c r="B7459" s="43">
        <v>18</v>
      </c>
      <c r="C7459" s="43" t="s">
        <v>963</v>
      </c>
      <c r="D7459" s="43" t="s">
        <v>1009</v>
      </c>
      <c r="E7459" s="43" t="s">
        <v>247</v>
      </c>
      <c r="F7459" s="43" t="s">
        <v>955</v>
      </c>
      <c r="G7459" s="43">
        <v>1877777</v>
      </c>
      <c r="H7459" s="43">
        <v>501100</v>
      </c>
      <c r="I7459" s="43" t="s">
        <v>949</v>
      </c>
      <c r="J7459" s="44" t="s">
        <v>1000</v>
      </c>
    </row>
    <row r="7460" ht="22" customHeight="1" spans="1:10" x14ac:dyDescent="0.25">
      <c r="A7460" s="43">
        <v>3130</v>
      </c>
      <c r="B7460" s="43">
        <v>18</v>
      </c>
      <c r="C7460" s="43" t="s">
        <v>963</v>
      </c>
      <c r="D7460" s="43" t="s">
        <v>1009</v>
      </c>
      <c r="E7460" s="43" t="s">
        <v>247</v>
      </c>
      <c r="F7460" s="43" t="s">
        <v>956</v>
      </c>
      <c r="G7460" s="43">
        <v>1877777</v>
      </c>
      <c r="H7460" s="43">
        <v>501100</v>
      </c>
      <c r="I7460" s="43" t="s">
        <v>949</v>
      </c>
      <c r="J7460" s="44" t="s">
        <v>1000</v>
      </c>
    </row>
    <row r="7461" ht="22" customHeight="1" spans="1:10" x14ac:dyDescent="0.25">
      <c r="A7461" s="43">
        <v>3130</v>
      </c>
      <c r="B7461" s="43">
        <v>18</v>
      </c>
      <c r="C7461" s="43" t="s">
        <v>963</v>
      </c>
      <c r="D7461" s="43" t="s">
        <v>1009</v>
      </c>
      <c r="E7461" s="43" t="s">
        <v>247</v>
      </c>
      <c r="F7461" s="43" t="s">
        <v>957</v>
      </c>
      <c r="G7461" s="43">
        <v>1877777</v>
      </c>
      <c r="H7461" s="43">
        <v>501100</v>
      </c>
      <c r="I7461" s="43" t="s">
        <v>949</v>
      </c>
      <c r="J7461" s="44" t="s">
        <v>1000</v>
      </c>
    </row>
    <row r="7462" ht="22" customHeight="1" spans="1:10" x14ac:dyDescent="0.25">
      <c r="A7462" s="43">
        <v>3130</v>
      </c>
      <c r="B7462" s="43">
        <v>18</v>
      </c>
      <c r="C7462" s="43" t="s">
        <v>963</v>
      </c>
      <c r="D7462" s="43" t="s">
        <v>1009</v>
      </c>
      <c r="E7462" s="43" t="s">
        <v>247</v>
      </c>
      <c r="F7462" s="43" t="s">
        <v>958</v>
      </c>
      <c r="G7462" s="43">
        <v>1877777</v>
      </c>
      <c r="H7462" s="43">
        <v>501100</v>
      </c>
      <c r="I7462" s="43" t="s">
        <v>949</v>
      </c>
      <c r="J7462" s="44" t="s">
        <v>1000</v>
      </c>
    </row>
    <row r="7463" ht="22" customHeight="1" spans="1:10" x14ac:dyDescent="0.25">
      <c r="A7463" s="43">
        <v>3130</v>
      </c>
      <c r="B7463" s="43">
        <v>18</v>
      </c>
      <c r="C7463" s="43" t="s">
        <v>963</v>
      </c>
      <c r="D7463" s="43" t="s">
        <v>1009</v>
      </c>
      <c r="E7463" s="43" t="s">
        <v>247</v>
      </c>
      <c r="F7463" s="43" t="s">
        <v>959</v>
      </c>
      <c r="G7463" s="43">
        <v>1877777</v>
      </c>
      <c r="H7463" s="43">
        <v>501100</v>
      </c>
      <c r="I7463" s="43" t="s">
        <v>949</v>
      </c>
      <c r="J7463" s="44" t="s">
        <v>1000</v>
      </c>
    </row>
    <row r="7464" ht="22" customHeight="1" spans="1:10" x14ac:dyDescent="0.25">
      <c r="A7464" s="43">
        <v>3130</v>
      </c>
      <c r="B7464" s="43">
        <v>18</v>
      </c>
      <c r="C7464" s="43" t="s">
        <v>963</v>
      </c>
      <c r="D7464" s="43" t="s">
        <v>1009</v>
      </c>
      <c r="E7464" s="43" t="s">
        <v>247</v>
      </c>
      <c r="F7464" s="43" t="s">
        <v>960</v>
      </c>
      <c r="G7464" s="43">
        <v>1877777</v>
      </c>
      <c r="H7464" s="43">
        <v>501100</v>
      </c>
      <c r="I7464" s="43" t="s">
        <v>949</v>
      </c>
      <c r="J7464" s="44" t="s">
        <v>1000</v>
      </c>
    </row>
    <row r="7465" ht="22" customHeight="1" spans="1:10" x14ac:dyDescent="0.25">
      <c r="A7465" s="43">
        <v>3130</v>
      </c>
      <c r="B7465" s="43">
        <v>18</v>
      </c>
      <c r="C7465" s="43" t="s">
        <v>963</v>
      </c>
      <c r="D7465" s="43" t="s">
        <v>1009</v>
      </c>
      <c r="E7465" s="43" t="s">
        <v>247</v>
      </c>
      <c r="F7465" s="43" t="s">
        <v>961</v>
      </c>
      <c r="G7465" s="43">
        <v>1877777</v>
      </c>
      <c r="H7465" s="43">
        <v>501100</v>
      </c>
      <c r="I7465" s="43" t="s">
        <v>949</v>
      </c>
      <c r="J7465" s="44" t="s">
        <v>1000</v>
      </c>
    </row>
    <row r="7466" spans="1:9" x14ac:dyDescent="0.25">
      <c r="A7466">
        <v>4122</v>
      </c>
      <c r="B7466">
        <v>18</v>
      </c>
      <c r="C7466" t="s">
        <v>946</v>
      </c>
      <c r="D7466" t="s">
        <v>1009</v>
      </c>
      <c r="E7466" t="s">
        <v>247</v>
      </c>
      <c r="F7466" t="s">
        <v>948</v>
      </c>
      <c r="G7466">
        <v>1800000</v>
      </c>
      <c r="H7466">
        <v>145000</v>
      </c>
      <c r="I7466" t="s">
        <v>949</v>
      </c>
    </row>
    <row r="7467" spans="1:9" x14ac:dyDescent="0.25">
      <c r="A7467">
        <v>4124</v>
      </c>
      <c r="B7467">
        <v>18</v>
      </c>
      <c r="C7467" t="s">
        <v>946</v>
      </c>
      <c r="D7467" t="s">
        <v>1009</v>
      </c>
      <c r="E7467" t="s">
        <v>247</v>
      </c>
      <c r="F7467" t="s">
        <v>948</v>
      </c>
      <c r="G7467">
        <v>1877777</v>
      </c>
      <c r="H7467">
        <v>501100</v>
      </c>
      <c r="I7467" t="s">
        <v>949</v>
      </c>
    </row>
    <row r="7468" ht="22" customHeight="1" spans="1:10" x14ac:dyDescent="0.25">
      <c r="A7468" s="43">
        <v>3130</v>
      </c>
      <c r="B7468" s="43">
        <v>18</v>
      </c>
      <c r="C7468" s="43" t="s">
        <v>950</v>
      </c>
      <c r="D7468" s="43" t="s">
        <v>1009</v>
      </c>
      <c r="E7468" s="43" t="s">
        <v>251</v>
      </c>
      <c r="F7468" s="43" t="s">
        <v>951</v>
      </c>
      <c r="G7468" s="43">
        <v>1877777</v>
      </c>
      <c r="H7468" s="43">
        <v>501100</v>
      </c>
      <c r="I7468" s="43" t="s">
        <v>949</v>
      </c>
      <c r="J7468" s="44" t="s">
        <v>1000</v>
      </c>
    </row>
    <row r="7469" ht="22" customHeight="1" spans="1:10" x14ac:dyDescent="0.25">
      <c r="A7469" s="43">
        <v>3130</v>
      </c>
      <c r="B7469" s="43">
        <v>18</v>
      </c>
      <c r="C7469" s="43" t="s">
        <v>950</v>
      </c>
      <c r="D7469" s="43" t="s">
        <v>1009</v>
      </c>
      <c r="E7469" s="43" t="s">
        <v>251</v>
      </c>
      <c r="F7469" s="43" t="s">
        <v>952</v>
      </c>
      <c r="G7469" s="43">
        <v>1877777</v>
      </c>
      <c r="H7469" s="43">
        <v>501100</v>
      </c>
      <c r="I7469" s="43" t="s">
        <v>949</v>
      </c>
      <c r="J7469" s="44" t="s">
        <v>1000</v>
      </c>
    </row>
    <row r="7470" ht="22" customHeight="1" spans="1:10" x14ac:dyDescent="0.25">
      <c r="A7470" s="43">
        <v>3130</v>
      </c>
      <c r="B7470" s="43">
        <v>18</v>
      </c>
      <c r="C7470" s="43" t="s">
        <v>950</v>
      </c>
      <c r="D7470" s="43" t="s">
        <v>1009</v>
      </c>
      <c r="E7470" s="43" t="s">
        <v>251</v>
      </c>
      <c r="F7470" s="43" t="s">
        <v>953</v>
      </c>
      <c r="G7470" s="43">
        <v>1877777</v>
      </c>
      <c r="H7470" s="43">
        <v>501100</v>
      </c>
      <c r="I7470" s="43" t="s">
        <v>949</v>
      </c>
      <c r="J7470" s="44" t="s">
        <v>1000</v>
      </c>
    </row>
    <row r="7471" ht="22" customHeight="1" spans="1:10" x14ac:dyDescent="0.25">
      <c r="A7471" s="43">
        <v>3130</v>
      </c>
      <c r="B7471" s="43">
        <v>18</v>
      </c>
      <c r="C7471" s="43" t="s">
        <v>950</v>
      </c>
      <c r="D7471" s="43" t="s">
        <v>1009</v>
      </c>
      <c r="E7471" s="43" t="s">
        <v>251</v>
      </c>
      <c r="F7471" s="43" t="s">
        <v>954</v>
      </c>
      <c r="G7471" s="43">
        <v>1877777</v>
      </c>
      <c r="H7471" s="43">
        <v>501100</v>
      </c>
      <c r="I7471" s="43" t="s">
        <v>949</v>
      </c>
      <c r="J7471" s="44" t="s">
        <v>1000</v>
      </c>
    </row>
    <row r="7472" ht="22" customHeight="1" spans="1:10" x14ac:dyDescent="0.25">
      <c r="A7472" s="43">
        <v>3130</v>
      </c>
      <c r="B7472" s="43">
        <v>18</v>
      </c>
      <c r="C7472" s="43" t="s">
        <v>950</v>
      </c>
      <c r="D7472" s="43" t="s">
        <v>1009</v>
      </c>
      <c r="E7472" s="43" t="s">
        <v>251</v>
      </c>
      <c r="F7472" s="43" t="s">
        <v>955</v>
      </c>
      <c r="G7472" s="43">
        <v>1877777</v>
      </c>
      <c r="H7472" s="43">
        <v>501100</v>
      </c>
      <c r="I7472" s="43" t="s">
        <v>949</v>
      </c>
      <c r="J7472" s="44" t="s">
        <v>1000</v>
      </c>
    </row>
    <row r="7473" ht="22" customHeight="1" spans="1:10" x14ac:dyDescent="0.25">
      <c r="A7473" s="43">
        <v>3130</v>
      </c>
      <c r="B7473" s="43">
        <v>18</v>
      </c>
      <c r="C7473" s="43" t="s">
        <v>950</v>
      </c>
      <c r="D7473" s="43" t="s">
        <v>1009</v>
      </c>
      <c r="E7473" s="43" t="s">
        <v>251</v>
      </c>
      <c r="F7473" s="43" t="s">
        <v>956</v>
      </c>
      <c r="G7473" s="43">
        <v>1877777</v>
      </c>
      <c r="H7473" s="43">
        <v>501100</v>
      </c>
      <c r="I7473" s="43" t="s">
        <v>949</v>
      </c>
      <c r="J7473" s="44" t="s">
        <v>1000</v>
      </c>
    </row>
    <row r="7474" ht="22" customHeight="1" spans="1:10" x14ac:dyDescent="0.25">
      <c r="A7474" s="43">
        <v>3130</v>
      </c>
      <c r="B7474" s="43">
        <v>18</v>
      </c>
      <c r="C7474" s="43" t="s">
        <v>950</v>
      </c>
      <c r="D7474" s="43" t="s">
        <v>1009</v>
      </c>
      <c r="E7474" s="43" t="s">
        <v>251</v>
      </c>
      <c r="F7474" s="43" t="s">
        <v>957</v>
      </c>
      <c r="G7474" s="43">
        <v>1877777</v>
      </c>
      <c r="H7474" s="43">
        <v>501100</v>
      </c>
      <c r="I7474" s="43" t="s">
        <v>949</v>
      </c>
      <c r="J7474" s="44" t="s">
        <v>1000</v>
      </c>
    </row>
    <row r="7475" ht="22" customHeight="1" spans="1:10" x14ac:dyDescent="0.25">
      <c r="A7475" s="43">
        <v>3130</v>
      </c>
      <c r="B7475" s="43">
        <v>18</v>
      </c>
      <c r="C7475" s="43" t="s">
        <v>950</v>
      </c>
      <c r="D7475" s="43" t="s">
        <v>1009</v>
      </c>
      <c r="E7475" s="43" t="s">
        <v>251</v>
      </c>
      <c r="F7475" s="43" t="s">
        <v>958</v>
      </c>
      <c r="G7475" s="43">
        <v>1877777</v>
      </c>
      <c r="H7475" s="43">
        <v>501100</v>
      </c>
      <c r="I7475" s="43" t="s">
        <v>949</v>
      </c>
      <c r="J7475" s="44" t="s">
        <v>1000</v>
      </c>
    </row>
    <row r="7476" ht="22" customHeight="1" spans="1:10" x14ac:dyDescent="0.25">
      <c r="A7476" s="43">
        <v>3130</v>
      </c>
      <c r="B7476" s="43">
        <v>18</v>
      </c>
      <c r="C7476" s="43" t="s">
        <v>950</v>
      </c>
      <c r="D7476" s="43" t="s">
        <v>1009</v>
      </c>
      <c r="E7476" s="43" t="s">
        <v>251</v>
      </c>
      <c r="F7476" s="43" t="s">
        <v>959</v>
      </c>
      <c r="G7476" s="43">
        <v>1877777</v>
      </c>
      <c r="H7476" s="43">
        <v>501100</v>
      </c>
      <c r="I7476" s="43" t="s">
        <v>949</v>
      </c>
      <c r="J7476" s="44" t="s">
        <v>1000</v>
      </c>
    </row>
    <row r="7477" ht="22" customHeight="1" spans="1:10" x14ac:dyDescent="0.25">
      <c r="A7477" s="43">
        <v>3130</v>
      </c>
      <c r="B7477" s="43">
        <v>18</v>
      </c>
      <c r="C7477" s="43" t="s">
        <v>950</v>
      </c>
      <c r="D7477" s="43" t="s">
        <v>1009</v>
      </c>
      <c r="E7477" s="43" t="s">
        <v>251</v>
      </c>
      <c r="F7477" s="43" t="s">
        <v>960</v>
      </c>
      <c r="G7477" s="43">
        <v>1877777</v>
      </c>
      <c r="H7477" s="43">
        <v>501100</v>
      </c>
      <c r="I7477" s="43" t="s">
        <v>949</v>
      </c>
      <c r="J7477" s="44" t="s">
        <v>1000</v>
      </c>
    </row>
    <row r="7478" ht="22" customHeight="1" spans="1:10" x14ac:dyDescent="0.25">
      <c r="A7478" s="43">
        <v>3130</v>
      </c>
      <c r="B7478" s="43">
        <v>18</v>
      </c>
      <c r="C7478" s="43" t="s">
        <v>950</v>
      </c>
      <c r="D7478" s="43" t="s">
        <v>1009</v>
      </c>
      <c r="E7478" s="43" t="s">
        <v>251</v>
      </c>
      <c r="F7478" s="43" t="s">
        <v>961</v>
      </c>
      <c r="G7478" s="43">
        <v>1877777</v>
      </c>
      <c r="H7478" s="43">
        <v>501100</v>
      </c>
      <c r="I7478" s="43" t="s">
        <v>949</v>
      </c>
      <c r="J7478" s="44" t="s">
        <v>1000</v>
      </c>
    </row>
    <row r="7479" ht="22" customHeight="1" spans="1:10" x14ac:dyDescent="0.25">
      <c r="A7479" s="43">
        <v>3130</v>
      </c>
      <c r="B7479" s="43">
        <v>18</v>
      </c>
      <c r="C7479" s="43" t="s">
        <v>962</v>
      </c>
      <c r="D7479" s="43" t="s">
        <v>1009</v>
      </c>
      <c r="E7479" s="43" t="s">
        <v>251</v>
      </c>
      <c r="F7479" s="43" t="s">
        <v>951</v>
      </c>
      <c r="G7479" s="43">
        <v>1877777</v>
      </c>
      <c r="H7479" s="43">
        <v>501100</v>
      </c>
      <c r="I7479" s="43" t="s">
        <v>949</v>
      </c>
      <c r="J7479" s="44" t="s">
        <v>1000</v>
      </c>
    </row>
    <row r="7480" ht="22" customHeight="1" spans="1:10" x14ac:dyDescent="0.25">
      <c r="A7480" s="43">
        <v>3130</v>
      </c>
      <c r="B7480" s="43">
        <v>18</v>
      </c>
      <c r="C7480" s="43" t="s">
        <v>962</v>
      </c>
      <c r="D7480" s="43" t="s">
        <v>1009</v>
      </c>
      <c r="E7480" s="43" t="s">
        <v>251</v>
      </c>
      <c r="F7480" s="43" t="s">
        <v>952</v>
      </c>
      <c r="G7480" s="43">
        <v>1877777</v>
      </c>
      <c r="H7480" s="43">
        <v>501100</v>
      </c>
      <c r="I7480" s="43" t="s">
        <v>949</v>
      </c>
      <c r="J7480" s="44" t="s">
        <v>1000</v>
      </c>
    </row>
    <row r="7481" ht="22" customHeight="1" spans="1:10" x14ac:dyDescent="0.25">
      <c r="A7481" s="43">
        <v>3130</v>
      </c>
      <c r="B7481" s="43">
        <v>18</v>
      </c>
      <c r="C7481" s="43" t="s">
        <v>962</v>
      </c>
      <c r="D7481" s="43" t="s">
        <v>1009</v>
      </c>
      <c r="E7481" s="43" t="s">
        <v>251</v>
      </c>
      <c r="F7481" s="43" t="s">
        <v>953</v>
      </c>
      <c r="G7481" s="43">
        <v>1877777</v>
      </c>
      <c r="H7481" s="43">
        <v>501100</v>
      </c>
      <c r="I7481" s="43" t="s">
        <v>949</v>
      </c>
      <c r="J7481" s="44" t="s">
        <v>1000</v>
      </c>
    </row>
    <row r="7482" ht="22" customHeight="1" spans="1:10" x14ac:dyDescent="0.25">
      <c r="A7482" s="43">
        <v>3130</v>
      </c>
      <c r="B7482" s="43">
        <v>18</v>
      </c>
      <c r="C7482" s="43" t="s">
        <v>962</v>
      </c>
      <c r="D7482" s="43" t="s">
        <v>1009</v>
      </c>
      <c r="E7482" s="43" t="s">
        <v>251</v>
      </c>
      <c r="F7482" s="43" t="s">
        <v>954</v>
      </c>
      <c r="G7482" s="43">
        <v>1877777</v>
      </c>
      <c r="H7482" s="43">
        <v>501100</v>
      </c>
      <c r="I7482" s="43" t="s">
        <v>949</v>
      </c>
      <c r="J7482" s="44" t="s">
        <v>1000</v>
      </c>
    </row>
    <row r="7483" ht="22" customHeight="1" spans="1:10" x14ac:dyDescent="0.25">
      <c r="A7483" s="43">
        <v>3130</v>
      </c>
      <c r="B7483" s="43">
        <v>18</v>
      </c>
      <c r="C7483" s="43" t="s">
        <v>962</v>
      </c>
      <c r="D7483" s="43" t="s">
        <v>1009</v>
      </c>
      <c r="E7483" s="43" t="s">
        <v>251</v>
      </c>
      <c r="F7483" s="43" t="s">
        <v>955</v>
      </c>
      <c r="G7483" s="43">
        <v>1877777</v>
      </c>
      <c r="H7483" s="43">
        <v>501100</v>
      </c>
      <c r="I7483" s="43" t="s">
        <v>949</v>
      </c>
      <c r="J7483" s="44" t="s">
        <v>1000</v>
      </c>
    </row>
    <row r="7484" ht="22" customHeight="1" spans="1:10" x14ac:dyDescent="0.25">
      <c r="A7484" s="43">
        <v>3130</v>
      </c>
      <c r="B7484" s="43">
        <v>18</v>
      </c>
      <c r="C7484" s="43" t="s">
        <v>962</v>
      </c>
      <c r="D7484" s="43" t="s">
        <v>1009</v>
      </c>
      <c r="E7484" s="43" t="s">
        <v>251</v>
      </c>
      <c r="F7484" s="43" t="s">
        <v>956</v>
      </c>
      <c r="G7484" s="43">
        <v>1877777</v>
      </c>
      <c r="H7484" s="43">
        <v>501100</v>
      </c>
      <c r="I7484" s="43" t="s">
        <v>949</v>
      </c>
      <c r="J7484" s="44" t="s">
        <v>1000</v>
      </c>
    </row>
    <row r="7485" ht="22" customHeight="1" spans="1:10" x14ac:dyDescent="0.25">
      <c r="A7485" s="43">
        <v>3130</v>
      </c>
      <c r="B7485" s="43">
        <v>18</v>
      </c>
      <c r="C7485" s="43" t="s">
        <v>962</v>
      </c>
      <c r="D7485" s="43" t="s">
        <v>1009</v>
      </c>
      <c r="E7485" s="43" t="s">
        <v>251</v>
      </c>
      <c r="F7485" s="43" t="s">
        <v>957</v>
      </c>
      <c r="G7485" s="43">
        <v>1877777</v>
      </c>
      <c r="H7485" s="43">
        <v>501100</v>
      </c>
      <c r="I7485" s="43" t="s">
        <v>949</v>
      </c>
      <c r="J7485" s="44" t="s">
        <v>1000</v>
      </c>
    </row>
    <row r="7486" ht="22" customHeight="1" spans="1:10" x14ac:dyDescent="0.25">
      <c r="A7486" s="43">
        <v>3130</v>
      </c>
      <c r="B7486" s="43">
        <v>18</v>
      </c>
      <c r="C7486" s="43" t="s">
        <v>962</v>
      </c>
      <c r="D7486" s="43" t="s">
        <v>1009</v>
      </c>
      <c r="E7486" s="43" t="s">
        <v>251</v>
      </c>
      <c r="F7486" s="43" t="s">
        <v>958</v>
      </c>
      <c r="G7486" s="43">
        <v>1877777</v>
      </c>
      <c r="H7486" s="43">
        <v>501100</v>
      </c>
      <c r="I7486" s="43" t="s">
        <v>949</v>
      </c>
      <c r="J7486" s="44" t="s">
        <v>1000</v>
      </c>
    </row>
    <row r="7487" ht="22" customHeight="1" spans="1:10" x14ac:dyDescent="0.25">
      <c r="A7487" s="43">
        <v>3130</v>
      </c>
      <c r="B7487" s="43">
        <v>18</v>
      </c>
      <c r="C7487" s="43" t="s">
        <v>962</v>
      </c>
      <c r="D7487" s="43" t="s">
        <v>1009</v>
      </c>
      <c r="E7487" s="43" t="s">
        <v>251</v>
      </c>
      <c r="F7487" s="43" t="s">
        <v>959</v>
      </c>
      <c r="G7487" s="43">
        <v>1877777</v>
      </c>
      <c r="H7487" s="43">
        <v>501100</v>
      </c>
      <c r="I7487" s="43" t="s">
        <v>949</v>
      </c>
      <c r="J7487" s="44" t="s">
        <v>1000</v>
      </c>
    </row>
    <row r="7488" ht="22" customHeight="1" spans="1:10" x14ac:dyDescent="0.25">
      <c r="A7488" s="43">
        <v>3130</v>
      </c>
      <c r="B7488" s="43">
        <v>18</v>
      </c>
      <c r="C7488" s="43" t="s">
        <v>962</v>
      </c>
      <c r="D7488" s="43" t="s">
        <v>1009</v>
      </c>
      <c r="E7488" s="43" t="s">
        <v>251</v>
      </c>
      <c r="F7488" s="43" t="s">
        <v>960</v>
      </c>
      <c r="G7488" s="43">
        <v>1877777</v>
      </c>
      <c r="H7488" s="43">
        <v>501100</v>
      </c>
      <c r="I7488" s="43" t="s">
        <v>949</v>
      </c>
      <c r="J7488" s="44" t="s">
        <v>1000</v>
      </c>
    </row>
    <row r="7489" ht="22" customHeight="1" spans="1:10" x14ac:dyDescent="0.25">
      <c r="A7489" s="43">
        <v>3130</v>
      </c>
      <c r="B7489" s="43">
        <v>18</v>
      </c>
      <c r="C7489" s="43" t="s">
        <v>962</v>
      </c>
      <c r="D7489" s="43" t="s">
        <v>1009</v>
      </c>
      <c r="E7489" s="43" t="s">
        <v>251</v>
      </c>
      <c r="F7489" s="43" t="s">
        <v>961</v>
      </c>
      <c r="G7489" s="43">
        <v>1877777</v>
      </c>
      <c r="H7489" s="43">
        <v>501100</v>
      </c>
      <c r="I7489" s="43" t="s">
        <v>949</v>
      </c>
      <c r="J7489" s="44" t="s">
        <v>1000</v>
      </c>
    </row>
    <row r="7490" ht="22" customHeight="1" spans="1:10" x14ac:dyDescent="0.25">
      <c r="A7490" s="43">
        <v>3130</v>
      </c>
      <c r="B7490" s="43">
        <v>18</v>
      </c>
      <c r="C7490" s="43" t="s">
        <v>963</v>
      </c>
      <c r="D7490" s="43" t="s">
        <v>1009</v>
      </c>
      <c r="E7490" s="43" t="s">
        <v>251</v>
      </c>
      <c r="F7490" s="43" t="s">
        <v>951</v>
      </c>
      <c r="G7490" s="43">
        <v>1877777</v>
      </c>
      <c r="H7490" s="43">
        <v>501100</v>
      </c>
      <c r="I7490" s="43" t="s">
        <v>949</v>
      </c>
      <c r="J7490" s="44" t="s">
        <v>1000</v>
      </c>
    </row>
    <row r="7491" ht="22" customHeight="1" spans="1:10" x14ac:dyDescent="0.25">
      <c r="A7491" s="43">
        <v>3130</v>
      </c>
      <c r="B7491" s="43">
        <v>18</v>
      </c>
      <c r="C7491" s="43" t="s">
        <v>963</v>
      </c>
      <c r="D7491" s="43" t="s">
        <v>1009</v>
      </c>
      <c r="E7491" s="43" t="s">
        <v>251</v>
      </c>
      <c r="F7491" s="43" t="s">
        <v>952</v>
      </c>
      <c r="G7491" s="43">
        <v>1877777</v>
      </c>
      <c r="H7491" s="43">
        <v>501100</v>
      </c>
      <c r="I7491" s="43" t="s">
        <v>949</v>
      </c>
      <c r="J7491" s="44" t="s">
        <v>1000</v>
      </c>
    </row>
    <row r="7492" ht="22" customHeight="1" spans="1:10" x14ac:dyDescent="0.25">
      <c r="A7492" s="43">
        <v>3130</v>
      </c>
      <c r="B7492" s="43">
        <v>18</v>
      </c>
      <c r="C7492" s="43" t="s">
        <v>963</v>
      </c>
      <c r="D7492" s="43" t="s">
        <v>1009</v>
      </c>
      <c r="E7492" s="43" t="s">
        <v>251</v>
      </c>
      <c r="F7492" s="43" t="s">
        <v>953</v>
      </c>
      <c r="G7492" s="43">
        <v>1877777</v>
      </c>
      <c r="H7492" s="43">
        <v>501100</v>
      </c>
      <c r="I7492" s="43" t="s">
        <v>949</v>
      </c>
      <c r="J7492" s="44" t="s">
        <v>1000</v>
      </c>
    </row>
    <row r="7493" ht="22" customHeight="1" spans="1:10" x14ac:dyDescent="0.25">
      <c r="A7493" s="43">
        <v>3130</v>
      </c>
      <c r="B7493" s="43">
        <v>18</v>
      </c>
      <c r="C7493" s="43" t="s">
        <v>963</v>
      </c>
      <c r="D7493" s="43" t="s">
        <v>1009</v>
      </c>
      <c r="E7493" s="43" t="s">
        <v>251</v>
      </c>
      <c r="F7493" s="43" t="s">
        <v>954</v>
      </c>
      <c r="G7493" s="43">
        <v>1877777</v>
      </c>
      <c r="H7493" s="43">
        <v>501100</v>
      </c>
      <c r="I7493" s="43" t="s">
        <v>949</v>
      </c>
      <c r="J7493" s="44" t="s">
        <v>1000</v>
      </c>
    </row>
    <row r="7494" ht="22" customHeight="1" spans="1:10" x14ac:dyDescent="0.25">
      <c r="A7494" s="43">
        <v>3130</v>
      </c>
      <c r="B7494" s="43">
        <v>18</v>
      </c>
      <c r="C7494" s="43" t="s">
        <v>963</v>
      </c>
      <c r="D7494" s="43" t="s">
        <v>1009</v>
      </c>
      <c r="E7494" s="43" t="s">
        <v>251</v>
      </c>
      <c r="F7494" s="43" t="s">
        <v>955</v>
      </c>
      <c r="G7494" s="43">
        <v>1877777</v>
      </c>
      <c r="H7494" s="43">
        <v>501100</v>
      </c>
      <c r="I7494" s="43" t="s">
        <v>949</v>
      </c>
      <c r="J7494" s="44" t="s">
        <v>1000</v>
      </c>
    </row>
    <row r="7495" ht="22" customHeight="1" spans="1:10" x14ac:dyDescent="0.25">
      <c r="A7495" s="43">
        <v>3130</v>
      </c>
      <c r="B7495" s="43">
        <v>18</v>
      </c>
      <c r="C7495" s="43" t="s">
        <v>963</v>
      </c>
      <c r="D7495" s="43" t="s">
        <v>1009</v>
      </c>
      <c r="E7495" s="43" t="s">
        <v>251</v>
      </c>
      <c r="F7495" s="43" t="s">
        <v>956</v>
      </c>
      <c r="G7495" s="43">
        <v>1877777</v>
      </c>
      <c r="H7495" s="43">
        <v>501100</v>
      </c>
      <c r="I7495" s="43" t="s">
        <v>949</v>
      </c>
      <c r="J7495" s="44" t="s">
        <v>1000</v>
      </c>
    </row>
    <row r="7496" ht="22" customHeight="1" spans="1:10" x14ac:dyDescent="0.25">
      <c r="A7496" s="43">
        <v>3130</v>
      </c>
      <c r="B7496" s="43">
        <v>18</v>
      </c>
      <c r="C7496" s="43" t="s">
        <v>963</v>
      </c>
      <c r="D7496" s="43" t="s">
        <v>1009</v>
      </c>
      <c r="E7496" s="43" t="s">
        <v>251</v>
      </c>
      <c r="F7496" s="43" t="s">
        <v>957</v>
      </c>
      <c r="G7496" s="43">
        <v>1877777</v>
      </c>
      <c r="H7496" s="43">
        <v>501100</v>
      </c>
      <c r="I7496" s="43" t="s">
        <v>949</v>
      </c>
      <c r="J7496" s="44" t="s">
        <v>1000</v>
      </c>
    </row>
    <row r="7497" ht="22" customHeight="1" spans="1:10" x14ac:dyDescent="0.25">
      <c r="A7497" s="43">
        <v>3130</v>
      </c>
      <c r="B7497" s="43">
        <v>18</v>
      </c>
      <c r="C7497" s="43" t="s">
        <v>963</v>
      </c>
      <c r="D7497" s="43" t="s">
        <v>1009</v>
      </c>
      <c r="E7497" s="43" t="s">
        <v>251</v>
      </c>
      <c r="F7497" s="43" t="s">
        <v>958</v>
      </c>
      <c r="G7497" s="43">
        <v>1877777</v>
      </c>
      <c r="H7497" s="43">
        <v>501100</v>
      </c>
      <c r="I7497" s="43" t="s">
        <v>949</v>
      </c>
      <c r="J7497" s="44" t="s">
        <v>1000</v>
      </c>
    </row>
    <row r="7498" ht="22" customHeight="1" spans="1:10" x14ac:dyDescent="0.25">
      <c r="A7498" s="43">
        <v>3130</v>
      </c>
      <c r="B7498" s="43">
        <v>18</v>
      </c>
      <c r="C7498" s="43" t="s">
        <v>963</v>
      </c>
      <c r="D7498" s="43" t="s">
        <v>1009</v>
      </c>
      <c r="E7498" s="43" t="s">
        <v>251</v>
      </c>
      <c r="F7498" s="43" t="s">
        <v>959</v>
      </c>
      <c r="G7498" s="43">
        <v>1877777</v>
      </c>
      <c r="H7498" s="43">
        <v>501100</v>
      </c>
      <c r="I7498" s="43" t="s">
        <v>949</v>
      </c>
      <c r="J7498" s="44" t="s">
        <v>1000</v>
      </c>
    </row>
    <row r="7499" ht="22" customHeight="1" spans="1:10" x14ac:dyDescent="0.25">
      <c r="A7499" s="43">
        <v>3130</v>
      </c>
      <c r="B7499" s="43">
        <v>18</v>
      </c>
      <c r="C7499" s="43" t="s">
        <v>963</v>
      </c>
      <c r="D7499" s="43" t="s">
        <v>1009</v>
      </c>
      <c r="E7499" s="43" t="s">
        <v>251</v>
      </c>
      <c r="F7499" s="43" t="s">
        <v>960</v>
      </c>
      <c r="G7499" s="43">
        <v>1877777</v>
      </c>
      <c r="H7499" s="43">
        <v>501100</v>
      </c>
      <c r="I7499" s="43" t="s">
        <v>949</v>
      </c>
      <c r="J7499" s="44" t="s">
        <v>1000</v>
      </c>
    </row>
    <row r="7500" ht="22" customHeight="1" spans="1:10" x14ac:dyDescent="0.25">
      <c r="A7500" s="43">
        <v>3130</v>
      </c>
      <c r="B7500" s="43">
        <v>18</v>
      </c>
      <c r="C7500" s="43" t="s">
        <v>963</v>
      </c>
      <c r="D7500" s="43" t="s">
        <v>1009</v>
      </c>
      <c r="E7500" s="43" t="s">
        <v>251</v>
      </c>
      <c r="F7500" s="43" t="s">
        <v>961</v>
      </c>
      <c r="G7500" s="43">
        <v>1877777</v>
      </c>
      <c r="H7500" s="43">
        <v>501100</v>
      </c>
      <c r="I7500" s="43" t="s">
        <v>949</v>
      </c>
      <c r="J7500" s="44" t="s">
        <v>1000</v>
      </c>
    </row>
    <row r="7501" spans="1:9" x14ac:dyDescent="0.25">
      <c r="A7501">
        <v>4122</v>
      </c>
      <c r="B7501">
        <v>18</v>
      </c>
      <c r="C7501" t="s">
        <v>946</v>
      </c>
      <c r="D7501" t="s">
        <v>1009</v>
      </c>
      <c r="E7501" t="s">
        <v>251</v>
      </c>
      <c r="F7501" t="s">
        <v>948</v>
      </c>
      <c r="G7501">
        <v>1800000</v>
      </c>
      <c r="H7501">
        <v>142000</v>
      </c>
      <c r="I7501" t="s">
        <v>949</v>
      </c>
    </row>
    <row r="7502" spans="1:9" x14ac:dyDescent="0.25">
      <c r="A7502">
        <v>4124</v>
      </c>
      <c r="B7502">
        <v>18</v>
      </c>
      <c r="C7502" t="s">
        <v>946</v>
      </c>
      <c r="D7502" t="s">
        <v>1009</v>
      </c>
      <c r="E7502" t="s">
        <v>251</v>
      </c>
      <c r="F7502" t="s">
        <v>948</v>
      </c>
      <c r="G7502">
        <v>1877777</v>
      </c>
      <c r="H7502">
        <v>501100</v>
      </c>
      <c r="I7502" t="s">
        <v>949</v>
      </c>
    </row>
    <row r="7503" ht="22" customHeight="1" spans="1:10" x14ac:dyDescent="0.25">
      <c r="A7503" s="43">
        <v>3130</v>
      </c>
      <c r="B7503" s="43">
        <v>18</v>
      </c>
      <c r="C7503" s="43" t="s">
        <v>950</v>
      </c>
      <c r="D7503" s="43" t="s">
        <v>1009</v>
      </c>
      <c r="E7503" s="43" t="s">
        <v>969</v>
      </c>
      <c r="F7503" s="43" t="s">
        <v>951</v>
      </c>
      <c r="G7503" s="43">
        <v>1877777</v>
      </c>
      <c r="H7503" s="43">
        <v>501100</v>
      </c>
      <c r="I7503" s="43" t="s">
        <v>949</v>
      </c>
      <c r="J7503" s="44" t="s">
        <v>1000</v>
      </c>
    </row>
    <row r="7504" ht="22" customHeight="1" spans="1:10" x14ac:dyDescent="0.25">
      <c r="A7504" s="43">
        <v>3130</v>
      </c>
      <c r="B7504" s="43">
        <v>18</v>
      </c>
      <c r="C7504" s="43" t="s">
        <v>950</v>
      </c>
      <c r="D7504" s="43" t="s">
        <v>1009</v>
      </c>
      <c r="E7504" s="43" t="s">
        <v>969</v>
      </c>
      <c r="F7504" s="43" t="s">
        <v>952</v>
      </c>
      <c r="G7504" s="43">
        <v>1877777</v>
      </c>
      <c r="H7504" s="43">
        <v>501100</v>
      </c>
      <c r="I7504" s="43" t="s">
        <v>949</v>
      </c>
      <c r="J7504" s="44" t="s">
        <v>1000</v>
      </c>
    </row>
    <row r="7505" ht="22" customHeight="1" spans="1:10" x14ac:dyDescent="0.25">
      <c r="A7505" s="43">
        <v>3130</v>
      </c>
      <c r="B7505" s="43">
        <v>18</v>
      </c>
      <c r="C7505" s="43" t="s">
        <v>950</v>
      </c>
      <c r="D7505" s="43" t="s">
        <v>1009</v>
      </c>
      <c r="E7505" s="43" t="s">
        <v>969</v>
      </c>
      <c r="F7505" s="43" t="s">
        <v>953</v>
      </c>
      <c r="G7505" s="43">
        <v>1877777</v>
      </c>
      <c r="H7505" s="43">
        <v>501100</v>
      </c>
      <c r="I7505" s="43" t="s">
        <v>949</v>
      </c>
      <c r="J7505" s="44" t="s">
        <v>1000</v>
      </c>
    </row>
    <row r="7506" ht="22" customHeight="1" spans="1:10" x14ac:dyDescent="0.25">
      <c r="A7506" s="43">
        <v>3130</v>
      </c>
      <c r="B7506" s="43">
        <v>18</v>
      </c>
      <c r="C7506" s="43" t="s">
        <v>950</v>
      </c>
      <c r="D7506" s="43" t="s">
        <v>1009</v>
      </c>
      <c r="E7506" s="43" t="s">
        <v>969</v>
      </c>
      <c r="F7506" s="43" t="s">
        <v>954</v>
      </c>
      <c r="G7506" s="43">
        <v>1877777</v>
      </c>
      <c r="H7506" s="43">
        <v>501100</v>
      </c>
      <c r="I7506" s="43" t="s">
        <v>949</v>
      </c>
      <c r="J7506" s="44" t="s">
        <v>1000</v>
      </c>
    </row>
    <row r="7507" ht="22" customHeight="1" spans="1:10" x14ac:dyDescent="0.25">
      <c r="A7507" s="43">
        <v>3130</v>
      </c>
      <c r="B7507" s="43">
        <v>18</v>
      </c>
      <c r="C7507" s="43" t="s">
        <v>950</v>
      </c>
      <c r="D7507" s="43" t="s">
        <v>1009</v>
      </c>
      <c r="E7507" s="43" t="s">
        <v>969</v>
      </c>
      <c r="F7507" s="43" t="s">
        <v>955</v>
      </c>
      <c r="G7507" s="43">
        <v>1877777</v>
      </c>
      <c r="H7507" s="43">
        <v>501100</v>
      </c>
      <c r="I7507" s="43" t="s">
        <v>949</v>
      </c>
      <c r="J7507" s="44" t="s">
        <v>1000</v>
      </c>
    </row>
    <row r="7508" ht="22" customHeight="1" spans="1:10" x14ac:dyDescent="0.25">
      <c r="A7508" s="43">
        <v>3130</v>
      </c>
      <c r="B7508" s="43">
        <v>18</v>
      </c>
      <c r="C7508" s="43" t="s">
        <v>950</v>
      </c>
      <c r="D7508" s="43" t="s">
        <v>1009</v>
      </c>
      <c r="E7508" s="43" t="s">
        <v>969</v>
      </c>
      <c r="F7508" s="43" t="s">
        <v>956</v>
      </c>
      <c r="G7508" s="43">
        <v>1877777</v>
      </c>
      <c r="H7508" s="43">
        <v>501100</v>
      </c>
      <c r="I7508" s="43" t="s">
        <v>949</v>
      </c>
      <c r="J7508" s="44" t="s">
        <v>1000</v>
      </c>
    </row>
    <row r="7509" ht="22" customHeight="1" spans="1:10" x14ac:dyDescent="0.25">
      <c r="A7509" s="43">
        <v>3130</v>
      </c>
      <c r="B7509" s="43">
        <v>18</v>
      </c>
      <c r="C7509" s="43" t="s">
        <v>950</v>
      </c>
      <c r="D7509" s="43" t="s">
        <v>1009</v>
      </c>
      <c r="E7509" s="43" t="s">
        <v>969</v>
      </c>
      <c r="F7509" s="43" t="s">
        <v>957</v>
      </c>
      <c r="G7509" s="43">
        <v>1877777</v>
      </c>
      <c r="H7509" s="43">
        <v>501100</v>
      </c>
      <c r="I7509" s="43" t="s">
        <v>949</v>
      </c>
      <c r="J7509" s="44" t="s">
        <v>1000</v>
      </c>
    </row>
    <row r="7510" ht="22" customHeight="1" spans="1:10" x14ac:dyDescent="0.25">
      <c r="A7510" s="43">
        <v>3130</v>
      </c>
      <c r="B7510" s="43">
        <v>18</v>
      </c>
      <c r="C7510" s="43" t="s">
        <v>950</v>
      </c>
      <c r="D7510" s="43" t="s">
        <v>1009</v>
      </c>
      <c r="E7510" s="43" t="s">
        <v>969</v>
      </c>
      <c r="F7510" s="43" t="s">
        <v>958</v>
      </c>
      <c r="G7510" s="43">
        <v>1877777</v>
      </c>
      <c r="H7510" s="43">
        <v>501100</v>
      </c>
      <c r="I7510" s="43" t="s">
        <v>949</v>
      </c>
      <c r="J7510" s="44" t="s">
        <v>1000</v>
      </c>
    </row>
    <row r="7511" ht="22" customHeight="1" spans="1:10" x14ac:dyDescent="0.25">
      <c r="A7511" s="43">
        <v>3130</v>
      </c>
      <c r="B7511" s="43">
        <v>18</v>
      </c>
      <c r="C7511" s="43" t="s">
        <v>950</v>
      </c>
      <c r="D7511" s="43" t="s">
        <v>1009</v>
      </c>
      <c r="E7511" s="43" t="s">
        <v>969</v>
      </c>
      <c r="F7511" s="43" t="s">
        <v>959</v>
      </c>
      <c r="G7511" s="43">
        <v>1877777</v>
      </c>
      <c r="H7511" s="43">
        <v>501100</v>
      </c>
      <c r="I7511" s="43" t="s">
        <v>949</v>
      </c>
      <c r="J7511" s="44" t="s">
        <v>1000</v>
      </c>
    </row>
    <row r="7512" ht="22" customHeight="1" spans="1:10" x14ac:dyDescent="0.25">
      <c r="A7512" s="43">
        <v>3130</v>
      </c>
      <c r="B7512" s="43">
        <v>18</v>
      </c>
      <c r="C7512" s="43" t="s">
        <v>950</v>
      </c>
      <c r="D7512" s="43" t="s">
        <v>1009</v>
      </c>
      <c r="E7512" s="43" t="s">
        <v>969</v>
      </c>
      <c r="F7512" s="43" t="s">
        <v>960</v>
      </c>
      <c r="G7512" s="43">
        <v>1877777</v>
      </c>
      <c r="H7512" s="43">
        <v>501100</v>
      </c>
      <c r="I7512" s="43" t="s">
        <v>949</v>
      </c>
      <c r="J7512" s="44" t="s">
        <v>1000</v>
      </c>
    </row>
    <row r="7513" ht="22" customHeight="1" spans="1:10" x14ac:dyDescent="0.25">
      <c r="A7513" s="43">
        <v>3130</v>
      </c>
      <c r="B7513" s="43">
        <v>18</v>
      </c>
      <c r="C7513" s="43" t="s">
        <v>950</v>
      </c>
      <c r="D7513" s="43" t="s">
        <v>1009</v>
      </c>
      <c r="E7513" s="43" t="s">
        <v>969</v>
      </c>
      <c r="F7513" s="43" t="s">
        <v>961</v>
      </c>
      <c r="G7513" s="43">
        <v>1877777</v>
      </c>
      <c r="H7513" s="43">
        <v>501100</v>
      </c>
      <c r="I7513" s="43" t="s">
        <v>949</v>
      </c>
      <c r="J7513" s="44" t="s">
        <v>1000</v>
      </c>
    </row>
    <row r="7514" ht="22" customHeight="1" spans="1:10" x14ac:dyDescent="0.25">
      <c r="A7514" s="43">
        <v>3130</v>
      </c>
      <c r="B7514" s="43">
        <v>18</v>
      </c>
      <c r="C7514" s="43" t="s">
        <v>962</v>
      </c>
      <c r="D7514" s="43" t="s">
        <v>1009</v>
      </c>
      <c r="E7514" s="43" t="s">
        <v>969</v>
      </c>
      <c r="F7514" s="43" t="s">
        <v>951</v>
      </c>
      <c r="G7514" s="43">
        <v>1877777</v>
      </c>
      <c r="H7514" s="43">
        <v>501100</v>
      </c>
      <c r="I7514" s="43" t="s">
        <v>949</v>
      </c>
      <c r="J7514" s="44" t="s">
        <v>1000</v>
      </c>
    </row>
    <row r="7515" ht="22" customHeight="1" spans="1:10" x14ac:dyDescent="0.25">
      <c r="A7515" s="43">
        <v>3130</v>
      </c>
      <c r="B7515" s="43">
        <v>18</v>
      </c>
      <c r="C7515" s="43" t="s">
        <v>962</v>
      </c>
      <c r="D7515" s="43" t="s">
        <v>1009</v>
      </c>
      <c r="E7515" s="43" t="s">
        <v>969</v>
      </c>
      <c r="F7515" s="43" t="s">
        <v>952</v>
      </c>
      <c r="G7515" s="43">
        <v>1877777</v>
      </c>
      <c r="H7515" s="43">
        <v>501100</v>
      </c>
      <c r="I7515" s="43" t="s">
        <v>949</v>
      </c>
      <c r="J7515" s="44" t="s">
        <v>1000</v>
      </c>
    </row>
    <row r="7516" ht="22" customHeight="1" spans="1:10" x14ac:dyDescent="0.25">
      <c r="A7516" s="43">
        <v>3130</v>
      </c>
      <c r="B7516" s="43">
        <v>18</v>
      </c>
      <c r="C7516" s="43" t="s">
        <v>962</v>
      </c>
      <c r="D7516" s="43" t="s">
        <v>1009</v>
      </c>
      <c r="E7516" s="43" t="s">
        <v>969</v>
      </c>
      <c r="F7516" s="43" t="s">
        <v>953</v>
      </c>
      <c r="G7516" s="43">
        <v>1877777</v>
      </c>
      <c r="H7516" s="43">
        <v>501100</v>
      </c>
      <c r="I7516" s="43" t="s">
        <v>949</v>
      </c>
      <c r="J7516" s="44" t="s">
        <v>1000</v>
      </c>
    </row>
    <row r="7517" ht="22" customHeight="1" spans="1:10" x14ac:dyDescent="0.25">
      <c r="A7517" s="43">
        <v>3130</v>
      </c>
      <c r="B7517" s="43">
        <v>18</v>
      </c>
      <c r="C7517" s="43" t="s">
        <v>962</v>
      </c>
      <c r="D7517" s="43" t="s">
        <v>1009</v>
      </c>
      <c r="E7517" s="43" t="s">
        <v>969</v>
      </c>
      <c r="F7517" s="43" t="s">
        <v>954</v>
      </c>
      <c r="G7517" s="43">
        <v>1877777</v>
      </c>
      <c r="H7517" s="43">
        <v>501100</v>
      </c>
      <c r="I7517" s="43" t="s">
        <v>949</v>
      </c>
      <c r="J7517" s="44" t="s">
        <v>1000</v>
      </c>
    </row>
    <row r="7518" ht="22" customHeight="1" spans="1:10" x14ac:dyDescent="0.25">
      <c r="A7518" s="43">
        <v>3130</v>
      </c>
      <c r="B7518" s="43">
        <v>18</v>
      </c>
      <c r="C7518" s="43" t="s">
        <v>962</v>
      </c>
      <c r="D7518" s="43" t="s">
        <v>1009</v>
      </c>
      <c r="E7518" s="43" t="s">
        <v>969</v>
      </c>
      <c r="F7518" s="43" t="s">
        <v>955</v>
      </c>
      <c r="G7518" s="43">
        <v>1877777</v>
      </c>
      <c r="H7518" s="43">
        <v>501100</v>
      </c>
      <c r="I7518" s="43" t="s">
        <v>949</v>
      </c>
      <c r="J7518" s="44" t="s">
        <v>1000</v>
      </c>
    </row>
    <row r="7519" ht="22" customHeight="1" spans="1:10" x14ac:dyDescent="0.25">
      <c r="A7519" s="43">
        <v>3130</v>
      </c>
      <c r="B7519" s="43">
        <v>18</v>
      </c>
      <c r="C7519" s="43" t="s">
        <v>962</v>
      </c>
      <c r="D7519" s="43" t="s">
        <v>1009</v>
      </c>
      <c r="E7519" s="43" t="s">
        <v>969</v>
      </c>
      <c r="F7519" s="43" t="s">
        <v>956</v>
      </c>
      <c r="G7519" s="43">
        <v>1877777</v>
      </c>
      <c r="H7519" s="43">
        <v>501100</v>
      </c>
      <c r="I7519" s="43" t="s">
        <v>949</v>
      </c>
      <c r="J7519" s="44" t="s">
        <v>1000</v>
      </c>
    </row>
    <row r="7520" ht="22" customHeight="1" spans="1:10" x14ac:dyDescent="0.25">
      <c r="A7520" s="43">
        <v>3130</v>
      </c>
      <c r="B7520" s="43">
        <v>18</v>
      </c>
      <c r="C7520" s="43" t="s">
        <v>962</v>
      </c>
      <c r="D7520" s="43" t="s">
        <v>1009</v>
      </c>
      <c r="E7520" s="43" t="s">
        <v>969</v>
      </c>
      <c r="F7520" s="43" t="s">
        <v>957</v>
      </c>
      <c r="G7520" s="43">
        <v>1877777</v>
      </c>
      <c r="H7520" s="43">
        <v>501100</v>
      </c>
      <c r="I7520" s="43" t="s">
        <v>949</v>
      </c>
      <c r="J7520" s="44" t="s">
        <v>1000</v>
      </c>
    </row>
    <row r="7521" ht="22" customHeight="1" spans="1:10" x14ac:dyDescent="0.25">
      <c r="A7521" s="43">
        <v>3130</v>
      </c>
      <c r="B7521" s="43">
        <v>18</v>
      </c>
      <c r="C7521" s="43" t="s">
        <v>962</v>
      </c>
      <c r="D7521" s="43" t="s">
        <v>1009</v>
      </c>
      <c r="E7521" s="43" t="s">
        <v>969</v>
      </c>
      <c r="F7521" s="43" t="s">
        <v>958</v>
      </c>
      <c r="G7521" s="43">
        <v>1877777</v>
      </c>
      <c r="H7521" s="43">
        <v>501100</v>
      </c>
      <c r="I7521" s="43" t="s">
        <v>949</v>
      </c>
      <c r="J7521" s="44" t="s">
        <v>1000</v>
      </c>
    </row>
    <row r="7522" ht="22" customHeight="1" spans="1:10" x14ac:dyDescent="0.25">
      <c r="A7522" s="43">
        <v>3130</v>
      </c>
      <c r="B7522" s="43">
        <v>18</v>
      </c>
      <c r="C7522" s="43" t="s">
        <v>962</v>
      </c>
      <c r="D7522" s="43" t="s">
        <v>1009</v>
      </c>
      <c r="E7522" s="43" t="s">
        <v>969</v>
      </c>
      <c r="F7522" s="43" t="s">
        <v>959</v>
      </c>
      <c r="G7522" s="43">
        <v>1877777</v>
      </c>
      <c r="H7522" s="43">
        <v>501100</v>
      </c>
      <c r="I7522" s="43" t="s">
        <v>949</v>
      </c>
      <c r="J7522" s="44" t="s">
        <v>1000</v>
      </c>
    </row>
    <row r="7523" ht="22" customHeight="1" spans="1:10" x14ac:dyDescent="0.25">
      <c r="A7523" s="43">
        <v>3130</v>
      </c>
      <c r="B7523" s="43">
        <v>18</v>
      </c>
      <c r="C7523" s="43" t="s">
        <v>962</v>
      </c>
      <c r="D7523" s="43" t="s">
        <v>1009</v>
      </c>
      <c r="E7523" s="43" t="s">
        <v>969</v>
      </c>
      <c r="F7523" s="43" t="s">
        <v>960</v>
      </c>
      <c r="G7523" s="43">
        <v>1877777</v>
      </c>
      <c r="H7523" s="43">
        <v>501100</v>
      </c>
      <c r="I7523" s="43" t="s">
        <v>949</v>
      </c>
      <c r="J7523" s="44" t="s">
        <v>1000</v>
      </c>
    </row>
    <row r="7524" ht="22" customHeight="1" spans="1:10" x14ac:dyDescent="0.25">
      <c r="A7524" s="43">
        <v>3130</v>
      </c>
      <c r="B7524" s="43">
        <v>18</v>
      </c>
      <c r="C7524" s="43" t="s">
        <v>962</v>
      </c>
      <c r="D7524" s="43" t="s">
        <v>1009</v>
      </c>
      <c r="E7524" s="43" t="s">
        <v>969</v>
      </c>
      <c r="F7524" s="43" t="s">
        <v>961</v>
      </c>
      <c r="G7524" s="43">
        <v>1877777</v>
      </c>
      <c r="H7524" s="43">
        <v>501100</v>
      </c>
      <c r="I7524" s="43" t="s">
        <v>949</v>
      </c>
      <c r="J7524" s="44" t="s">
        <v>1000</v>
      </c>
    </row>
    <row r="7525" ht="22" customHeight="1" spans="1:10" x14ac:dyDescent="0.25">
      <c r="A7525" s="43">
        <v>3130</v>
      </c>
      <c r="B7525" s="43">
        <v>18</v>
      </c>
      <c r="C7525" s="43" t="s">
        <v>963</v>
      </c>
      <c r="D7525" s="43" t="s">
        <v>1009</v>
      </c>
      <c r="E7525" s="43" t="s">
        <v>969</v>
      </c>
      <c r="F7525" s="43" t="s">
        <v>951</v>
      </c>
      <c r="G7525" s="43">
        <v>1877777</v>
      </c>
      <c r="H7525" s="43">
        <v>501100</v>
      </c>
      <c r="I7525" s="43" t="s">
        <v>949</v>
      </c>
      <c r="J7525" s="44" t="s">
        <v>1000</v>
      </c>
    </row>
    <row r="7526" ht="22" customHeight="1" spans="1:10" x14ac:dyDescent="0.25">
      <c r="A7526" s="43">
        <v>3130</v>
      </c>
      <c r="B7526" s="43">
        <v>18</v>
      </c>
      <c r="C7526" s="43" t="s">
        <v>963</v>
      </c>
      <c r="D7526" s="43" t="s">
        <v>1009</v>
      </c>
      <c r="E7526" s="43" t="s">
        <v>969</v>
      </c>
      <c r="F7526" s="43" t="s">
        <v>952</v>
      </c>
      <c r="G7526" s="43">
        <v>1877777</v>
      </c>
      <c r="H7526" s="43">
        <v>501100</v>
      </c>
      <c r="I7526" s="43" t="s">
        <v>949</v>
      </c>
      <c r="J7526" s="44" t="s">
        <v>1000</v>
      </c>
    </row>
    <row r="7527" ht="22" customHeight="1" spans="1:10" x14ac:dyDescent="0.25">
      <c r="A7527" s="43">
        <v>3130</v>
      </c>
      <c r="B7527" s="43">
        <v>18</v>
      </c>
      <c r="C7527" s="43" t="s">
        <v>963</v>
      </c>
      <c r="D7527" s="43" t="s">
        <v>1009</v>
      </c>
      <c r="E7527" s="43" t="s">
        <v>969</v>
      </c>
      <c r="F7527" s="43" t="s">
        <v>953</v>
      </c>
      <c r="G7527" s="43">
        <v>1877777</v>
      </c>
      <c r="H7527" s="43">
        <v>501100</v>
      </c>
      <c r="I7527" s="43" t="s">
        <v>949</v>
      </c>
      <c r="J7527" s="44" t="s">
        <v>1000</v>
      </c>
    </row>
    <row r="7528" ht="22" customHeight="1" spans="1:10" x14ac:dyDescent="0.25">
      <c r="A7528" s="43">
        <v>3130</v>
      </c>
      <c r="B7528" s="43">
        <v>18</v>
      </c>
      <c r="C7528" s="43" t="s">
        <v>963</v>
      </c>
      <c r="D7528" s="43" t="s">
        <v>1009</v>
      </c>
      <c r="E7528" s="43" t="s">
        <v>969</v>
      </c>
      <c r="F7528" s="43" t="s">
        <v>954</v>
      </c>
      <c r="G7528" s="43">
        <v>1877777</v>
      </c>
      <c r="H7528" s="43">
        <v>501100</v>
      </c>
      <c r="I7528" s="43" t="s">
        <v>949</v>
      </c>
      <c r="J7528" s="44" t="s">
        <v>1000</v>
      </c>
    </row>
    <row r="7529" ht="22" customHeight="1" spans="1:10" x14ac:dyDescent="0.25">
      <c r="A7529" s="43">
        <v>3130</v>
      </c>
      <c r="B7529" s="43">
        <v>18</v>
      </c>
      <c r="C7529" s="43" t="s">
        <v>963</v>
      </c>
      <c r="D7529" s="43" t="s">
        <v>1009</v>
      </c>
      <c r="E7529" s="43" t="s">
        <v>969</v>
      </c>
      <c r="F7529" s="43" t="s">
        <v>955</v>
      </c>
      <c r="G7529" s="43">
        <v>1877777</v>
      </c>
      <c r="H7529" s="43">
        <v>501100</v>
      </c>
      <c r="I7529" s="43" t="s">
        <v>949</v>
      </c>
      <c r="J7529" s="44" t="s">
        <v>1000</v>
      </c>
    </row>
    <row r="7530" ht="22" customHeight="1" spans="1:10" x14ac:dyDescent="0.25">
      <c r="A7530" s="43">
        <v>3130</v>
      </c>
      <c r="B7530" s="43">
        <v>18</v>
      </c>
      <c r="C7530" s="43" t="s">
        <v>963</v>
      </c>
      <c r="D7530" s="43" t="s">
        <v>1009</v>
      </c>
      <c r="E7530" s="43" t="s">
        <v>969</v>
      </c>
      <c r="F7530" s="43" t="s">
        <v>956</v>
      </c>
      <c r="G7530" s="43">
        <v>1877777</v>
      </c>
      <c r="H7530" s="43">
        <v>501100</v>
      </c>
      <c r="I7530" s="43" t="s">
        <v>949</v>
      </c>
      <c r="J7530" s="44" t="s">
        <v>1000</v>
      </c>
    </row>
    <row r="7531" ht="22" customHeight="1" spans="1:10" x14ac:dyDescent="0.25">
      <c r="A7531" s="43">
        <v>3130</v>
      </c>
      <c r="B7531" s="43">
        <v>18</v>
      </c>
      <c r="C7531" s="43" t="s">
        <v>963</v>
      </c>
      <c r="D7531" s="43" t="s">
        <v>1009</v>
      </c>
      <c r="E7531" s="43" t="s">
        <v>969</v>
      </c>
      <c r="F7531" s="43" t="s">
        <v>957</v>
      </c>
      <c r="G7531" s="43">
        <v>1877777</v>
      </c>
      <c r="H7531" s="43">
        <v>501100</v>
      </c>
      <c r="I7531" s="43" t="s">
        <v>949</v>
      </c>
      <c r="J7531" s="44" t="s">
        <v>1000</v>
      </c>
    </row>
    <row r="7532" ht="22" customHeight="1" spans="1:10" x14ac:dyDescent="0.25">
      <c r="A7532" s="43">
        <v>3130</v>
      </c>
      <c r="B7532" s="43">
        <v>18</v>
      </c>
      <c r="C7532" s="43" t="s">
        <v>963</v>
      </c>
      <c r="D7532" s="43" t="s">
        <v>1009</v>
      </c>
      <c r="E7532" s="43" t="s">
        <v>969</v>
      </c>
      <c r="F7532" s="43" t="s">
        <v>958</v>
      </c>
      <c r="G7532" s="43">
        <v>1877777</v>
      </c>
      <c r="H7532" s="43">
        <v>501100</v>
      </c>
      <c r="I7532" s="43" t="s">
        <v>949</v>
      </c>
      <c r="J7532" s="44" t="s">
        <v>1000</v>
      </c>
    </row>
    <row r="7533" ht="22" customHeight="1" spans="1:10" x14ac:dyDescent="0.25">
      <c r="A7533" s="43">
        <v>3130</v>
      </c>
      <c r="B7533" s="43">
        <v>18</v>
      </c>
      <c r="C7533" s="43" t="s">
        <v>963</v>
      </c>
      <c r="D7533" s="43" t="s">
        <v>1009</v>
      </c>
      <c r="E7533" s="43" t="s">
        <v>969</v>
      </c>
      <c r="F7533" s="43" t="s">
        <v>959</v>
      </c>
      <c r="G7533" s="43">
        <v>1877777</v>
      </c>
      <c r="H7533" s="43">
        <v>501100</v>
      </c>
      <c r="I7533" s="43" t="s">
        <v>949</v>
      </c>
      <c r="J7533" s="44" t="s">
        <v>1000</v>
      </c>
    </row>
    <row r="7534" ht="22" customHeight="1" spans="1:10" x14ac:dyDescent="0.25">
      <c r="A7534" s="43">
        <v>3130</v>
      </c>
      <c r="B7534" s="43">
        <v>18</v>
      </c>
      <c r="C7534" s="43" t="s">
        <v>963</v>
      </c>
      <c r="D7534" s="43" t="s">
        <v>1009</v>
      </c>
      <c r="E7534" s="43" t="s">
        <v>969</v>
      </c>
      <c r="F7534" s="43" t="s">
        <v>960</v>
      </c>
      <c r="G7534" s="43">
        <v>1877777</v>
      </c>
      <c r="H7534" s="43">
        <v>501100</v>
      </c>
      <c r="I7534" s="43" t="s">
        <v>949</v>
      </c>
      <c r="J7534" s="44" t="s">
        <v>1000</v>
      </c>
    </row>
    <row r="7535" ht="22" customHeight="1" spans="1:10" x14ac:dyDescent="0.25">
      <c r="A7535" s="43">
        <v>3130</v>
      </c>
      <c r="B7535" s="43">
        <v>18</v>
      </c>
      <c r="C7535" s="43" t="s">
        <v>963</v>
      </c>
      <c r="D7535" s="43" t="s">
        <v>1009</v>
      </c>
      <c r="E7535" s="43" t="s">
        <v>969</v>
      </c>
      <c r="F7535" s="43" t="s">
        <v>961</v>
      </c>
      <c r="G7535" s="43">
        <v>1877777</v>
      </c>
      <c r="H7535" s="43">
        <v>501100</v>
      </c>
      <c r="I7535" s="43" t="s">
        <v>949</v>
      </c>
      <c r="J7535" s="44" t="s">
        <v>1000</v>
      </c>
    </row>
    <row r="7536" spans="1:9" x14ac:dyDescent="0.25">
      <c r="A7536">
        <v>4122</v>
      </c>
      <c r="B7536">
        <v>18</v>
      </c>
      <c r="C7536" t="s">
        <v>946</v>
      </c>
      <c r="D7536" t="s">
        <v>1009</v>
      </c>
      <c r="E7536" t="s">
        <v>969</v>
      </c>
      <c r="F7536" t="s">
        <v>948</v>
      </c>
      <c r="G7536">
        <v>1800000</v>
      </c>
      <c r="H7536">
        <v>141000</v>
      </c>
      <c r="I7536" t="s">
        <v>970</v>
      </c>
    </row>
    <row r="7537" spans="1:9" x14ac:dyDescent="0.25">
      <c r="A7537">
        <v>4124</v>
      </c>
      <c r="B7537">
        <v>18</v>
      </c>
      <c r="C7537" t="s">
        <v>946</v>
      </c>
      <c r="D7537" t="s">
        <v>1009</v>
      </c>
      <c r="E7537" t="s">
        <v>969</v>
      </c>
      <c r="F7537" t="s">
        <v>948</v>
      </c>
      <c r="G7537">
        <v>1877777</v>
      </c>
      <c r="H7537">
        <v>501100</v>
      </c>
      <c r="I7537" t="s">
        <v>949</v>
      </c>
    </row>
    <row r="7538" ht="22" customHeight="1" spans="1:10" x14ac:dyDescent="0.25">
      <c r="A7538" s="43">
        <v>3130</v>
      </c>
      <c r="B7538" s="43">
        <v>18</v>
      </c>
      <c r="C7538" s="43" t="s">
        <v>950</v>
      </c>
      <c r="D7538" s="43" t="s">
        <v>1009</v>
      </c>
      <c r="E7538" s="43" t="s">
        <v>255</v>
      </c>
      <c r="F7538" s="43" t="s">
        <v>951</v>
      </c>
      <c r="G7538" s="43">
        <v>1877777</v>
      </c>
      <c r="H7538" s="43">
        <v>501100</v>
      </c>
      <c r="I7538" s="43" t="s">
        <v>949</v>
      </c>
      <c r="J7538" s="44" t="s">
        <v>1000</v>
      </c>
    </row>
    <row r="7539" ht="22" customHeight="1" spans="1:10" x14ac:dyDescent="0.25">
      <c r="A7539" s="43">
        <v>3130</v>
      </c>
      <c r="B7539" s="43">
        <v>18</v>
      </c>
      <c r="C7539" s="43" t="s">
        <v>950</v>
      </c>
      <c r="D7539" s="43" t="s">
        <v>1009</v>
      </c>
      <c r="E7539" s="43" t="s">
        <v>255</v>
      </c>
      <c r="F7539" s="43" t="s">
        <v>952</v>
      </c>
      <c r="G7539" s="43">
        <v>1877777</v>
      </c>
      <c r="H7539" s="43">
        <v>501100</v>
      </c>
      <c r="I7539" s="43" t="s">
        <v>949</v>
      </c>
      <c r="J7539" s="44" t="s">
        <v>1000</v>
      </c>
    </row>
    <row r="7540" ht="22" customHeight="1" spans="1:10" x14ac:dyDescent="0.25">
      <c r="A7540" s="43">
        <v>3130</v>
      </c>
      <c r="B7540" s="43">
        <v>18</v>
      </c>
      <c r="C7540" s="43" t="s">
        <v>950</v>
      </c>
      <c r="D7540" s="43" t="s">
        <v>1009</v>
      </c>
      <c r="E7540" s="43" t="s">
        <v>255</v>
      </c>
      <c r="F7540" s="43" t="s">
        <v>953</v>
      </c>
      <c r="G7540" s="43">
        <v>1877777</v>
      </c>
      <c r="H7540" s="43">
        <v>501100</v>
      </c>
      <c r="I7540" s="43" t="s">
        <v>949</v>
      </c>
      <c r="J7540" s="44" t="s">
        <v>1000</v>
      </c>
    </row>
    <row r="7541" ht="22" customHeight="1" spans="1:10" x14ac:dyDescent="0.25">
      <c r="A7541" s="43">
        <v>3130</v>
      </c>
      <c r="B7541" s="43">
        <v>18</v>
      </c>
      <c r="C7541" s="43" t="s">
        <v>950</v>
      </c>
      <c r="D7541" s="43" t="s">
        <v>1009</v>
      </c>
      <c r="E7541" s="43" t="s">
        <v>255</v>
      </c>
      <c r="F7541" s="43" t="s">
        <v>954</v>
      </c>
      <c r="G7541" s="43">
        <v>1877777</v>
      </c>
      <c r="H7541" s="43">
        <v>501100</v>
      </c>
      <c r="I7541" s="43" t="s">
        <v>949</v>
      </c>
      <c r="J7541" s="44" t="s">
        <v>1000</v>
      </c>
    </row>
    <row r="7542" ht="22" customHeight="1" spans="1:10" x14ac:dyDescent="0.25">
      <c r="A7542" s="43">
        <v>3130</v>
      </c>
      <c r="B7542" s="43">
        <v>18</v>
      </c>
      <c r="C7542" s="43" t="s">
        <v>950</v>
      </c>
      <c r="D7542" s="43" t="s">
        <v>1009</v>
      </c>
      <c r="E7542" s="43" t="s">
        <v>255</v>
      </c>
      <c r="F7542" s="43" t="s">
        <v>955</v>
      </c>
      <c r="G7542" s="43">
        <v>1877777</v>
      </c>
      <c r="H7542" s="43">
        <v>501100</v>
      </c>
      <c r="I7542" s="43" t="s">
        <v>949</v>
      </c>
      <c r="J7542" s="44" t="s">
        <v>1000</v>
      </c>
    </row>
    <row r="7543" ht="22" customHeight="1" spans="1:10" x14ac:dyDescent="0.25">
      <c r="A7543" s="43">
        <v>3130</v>
      </c>
      <c r="B7543" s="43">
        <v>18</v>
      </c>
      <c r="C7543" s="43" t="s">
        <v>950</v>
      </c>
      <c r="D7543" s="43" t="s">
        <v>1009</v>
      </c>
      <c r="E7543" s="43" t="s">
        <v>255</v>
      </c>
      <c r="F7543" s="43" t="s">
        <v>956</v>
      </c>
      <c r="G7543" s="43">
        <v>1877777</v>
      </c>
      <c r="H7543" s="43">
        <v>501100</v>
      </c>
      <c r="I7543" s="43" t="s">
        <v>949</v>
      </c>
      <c r="J7543" s="44" t="s">
        <v>1000</v>
      </c>
    </row>
    <row r="7544" ht="22" customHeight="1" spans="1:10" x14ac:dyDescent="0.25">
      <c r="A7544" s="43">
        <v>3130</v>
      </c>
      <c r="B7544" s="43">
        <v>18</v>
      </c>
      <c r="C7544" s="43" t="s">
        <v>950</v>
      </c>
      <c r="D7544" s="43" t="s">
        <v>1009</v>
      </c>
      <c r="E7544" s="43" t="s">
        <v>255</v>
      </c>
      <c r="F7544" s="43" t="s">
        <v>957</v>
      </c>
      <c r="G7544" s="43">
        <v>1877777</v>
      </c>
      <c r="H7544" s="43">
        <v>501100</v>
      </c>
      <c r="I7544" s="43" t="s">
        <v>949</v>
      </c>
      <c r="J7544" s="44" t="s">
        <v>1000</v>
      </c>
    </row>
    <row r="7545" ht="22" customHeight="1" spans="1:10" x14ac:dyDescent="0.25">
      <c r="A7545" s="43">
        <v>3130</v>
      </c>
      <c r="B7545" s="43">
        <v>18</v>
      </c>
      <c r="C7545" s="43" t="s">
        <v>950</v>
      </c>
      <c r="D7545" s="43" t="s">
        <v>1009</v>
      </c>
      <c r="E7545" s="43" t="s">
        <v>255</v>
      </c>
      <c r="F7545" s="43" t="s">
        <v>958</v>
      </c>
      <c r="G7545" s="43">
        <v>1877777</v>
      </c>
      <c r="H7545" s="43">
        <v>501100</v>
      </c>
      <c r="I7545" s="43" t="s">
        <v>949</v>
      </c>
      <c r="J7545" s="44" t="s">
        <v>1000</v>
      </c>
    </row>
    <row r="7546" ht="22" customHeight="1" spans="1:10" x14ac:dyDescent="0.25">
      <c r="A7546" s="43">
        <v>3130</v>
      </c>
      <c r="B7546" s="43">
        <v>18</v>
      </c>
      <c r="C7546" s="43" t="s">
        <v>950</v>
      </c>
      <c r="D7546" s="43" t="s">
        <v>1009</v>
      </c>
      <c r="E7546" s="43" t="s">
        <v>255</v>
      </c>
      <c r="F7546" s="43" t="s">
        <v>959</v>
      </c>
      <c r="G7546" s="43">
        <v>1877777</v>
      </c>
      <c r="H7546" s="43">
        <v>501100</v>
      </c>
      <c r="I7546" s="43" t="s">
        <v>949</v>
      </c>
      <c r="J7546" s="44" t="s">
        <v>1000</v>
      </c>
    </row>
    <row r="7547" ht="22" customHeight="1" spans="1:10" x14ac:dyDescent="0.25">
      <c r="A7547" s="43">
        <v>3130</v>
      </c>
      <c r="B7547" s="43">
        <v>18</v>
      </c>
      <c r="C7547" s="43" t="s">
        <v>950</v>
      </c>
      <c r="D7547" s="43" t="s">
        <v>1009</v>
      </c>
      <c r="E7547" s="43" t="s">
        <v>255</v>
      </c>
      <c r="F7547" s="43" t="s">
        <v>960</v>
      </c>
      <c r="G7547" s="43">
        <v>1877777</v>
      </c>
      <c r="H7547" s="43">
        <v>501100</v>
      </c>
      <c r="I7547" s="43" t="s">
        <v>949</v>
      </c>
      <c r="J7547" s="44" t="s">
        <v>1000</v>
      </c>
    </row>
    <row r="7548" ht="22" customHeight="1" spans="1:10" x14ac:dyDescent="0.25">
      <c r="A7548" s="43">
        <v>3130</v>
      </c>
      <c r="B7548" s="43">
        <v>18</v>
      </c>
      <c r="C7548" s="43" t="s">
        <v>950</v>
      </c>
      <c r="D7548" s="43" t="s">
        <v>1009</v>
      </c>
      <c r="E7548" s="43" t="s">
        <v>255</v>
      </c>
      <c r="F7548" s="43" t="s">
        <v>961</v>
      </c>
      <c r="G7548" s="43">
        <v>1877777</v>
      </c>
      <c r="H7548" s="43">
        <v>501100</v>
      </c>
      <c r="I7548" s="43" t="s">
        <v>949</v>
      </c>
      <c r="J7548" s="44" t="s">
        <v>1000</v>
      </c>
    </row>
    <row r="7549" ht="22" customHeight="1" spans="1:10" x14ac:dyDescent="0.25">
      <c r="A7549" s="43">
        <v>3130</v>
      </c>
      <c r="B7549" s="43">
        <v>18</v>
      </c>
      <c r="C7549" s="43" t="s">
        <v>962</v>
      </c>
      <c r="D7549" s="43" t="s">
        <v>1009</v>
      </c>
      <c r="E7549" s="43" t="s">
        <v>255</v>
      </c>
      <c r="F7549" s="43" t="s">
        <v>951</v>
      </c>
      <c r="G7549" s="43">
        <v>1877777</v>
      </c>
      <c r="H7549" s="43">
        <v>501100</v>
      </c>
      <c r="I7549" s="43" t="s">
        <v>949</v>
      </c>
      <c r="J7549" s="44" t="s">
        <v>1000</v>
      </c>
    </row>
    <row r="7550" ht="22" customHeight="1" spans="1:10" x14ac:dyDescent="0.25">
      <c r="A7550" s="43">
        <v>3130</v>
      </c>
      <c r="B7550" s="43">
        <v>18</v>
      </c>
      <c r="C7550" s="43" t="s">
        <v>962</v>
      </c>
      <c r="D7550" s="43" t="s">
        <v>1009</v>
      </c>
      <c r="E7550" s="43" t="s">
        <v>255</v>
      </c>
      <c r="F7550" s="43" t="s">
        <v>952</v>
      </c>
      <c r="G7550" s="43">
        <v>1877777</v>
      </c>
      <c r="H7550" s="43">
        <v>501100</v>
      </c>
      <c r="I7550" s="43" t="s">
        <v>949</v>
      </c>
      <c r="J7550" s="44" t="s">
        <v>1000</v>
      </c>
    </row>
    <row r="7551" ht="22" customHeight="1" spans="1:10" x14ac:dyDescent="0.25">
      <c r="A7551" s="43">
        <v>3130</v>
      </c>
      <c r="B7551" s="43">
        <v>18</v>
      </c>
      <c r="C7551" s="43" t="s">
        <v>962</v>
      </c>
      <c r="D7551" s="43" t="s">
        <v>1009</v>
      </c>
      <c r="E7551" s="43" t="s">
        <v>255</v>
      </c>
      <c r="F7551" s="43" t="s">
        <v>953</v>
      </c>
      <c r="G7551" s="43">
        <v>1877777</v>
      </c>
      <c r="H7551" s="43">
        <v>501100</v>
      </c>
      <c r="I7551" s="43" t="s">
        <v>949</v>
      </c>
      <c r="J7551" s="44" t="s">
        <v>1000</v>
      </c>
    </row>
    <row r="7552" ht="22" customHeight="1" spans="1:10" x14ac:dyDescent="0.25">
      <c r="A7552" s="43">
        <v>3130</v>
      </c>
      <c r="B7552" s="43">
        <v>18</v>
      </c>
      <c r="C7552" s="43" t="s">
        <v>962</v>
      </c>
      <c r="D7552" s="43" t="s">
        <v>1009</v>
      </c>
      <c r="E7552" s="43" t="s">
        <v>255</v>
      </c>
      <c r="F7552" s="43" t="s">
        <v>954</v>
      </c>
      <c r="G7552" s="43">
        <v>1877777</v>
      </c>
      <c r="H7552" s="43">
        <v>501100</v>
      </c>
      <c r="I7552" s="43" t="s">
        <v>949</v>
      </c>
      <c r="J7552" s="44" t="s">
        <v>1000</v>
      </c>
    </row>
    <row r="7553" ht="22" customHeight="1" spans="1:10" x14ac:dyDescent="0.25">
      <c r="A7553" s="43">
        <v>3130</v>
      </c>
      <c r="B7553" s="43">
        <v>18</v>
      </c>
      <c r="C7553" s="43" t="s">
        <v>962</v>
      </c>
      <c r="D7553" s="43" t="s">
        <v>1009</v>
      </c>
      <c r="E7553" s="43" t="s">
        <v>255</v>
      </c>
      <c r="F7553" s="43" t="s">
        <v>955</v>
      </c>
      <c r="G7553" s="43">
        <v>1877777</v>
      </c>
      <c r="H7553" s="43">
        <v>501100</v>
      </c>
      <c r="I7553" s="43" t="s">
        <v>949</v>
      </c>
      <c r="J7553" s="44" t="s">
        <v>1000</v>
      </c>
    </row>
    <row r="7554" ht="22" customHeight="1" spans="1:10" x14ac:dyDescent="0.25">
      <c r="A7554" s="43">
        <v>3130</v>
      </c>
      <c r="B7554" s="43">
        <v>18</v>
      </c>
      <c r="C7554" s="43" t="s">
        <v>962</v>
      </c>
      <c r="D7554" s="43" t="s">
        <v>1009</v>
      </c>
      <c r="E7554" s="43" t="s">
        <v>255</v>
      </c>
      <c r="F7554" s="43" t="s">
        <v>956</v>
      </c>
      <c r="G7554" s="43">
        <v>1877777</v>
      </c>
      <c r="H7554" s="43">
        <v>501100</v>
      </c>
      <c r="I7554" s="43" t="s">
        <v>949</v>
      </c>
      <c r="J7554" s="44" t="s">
        <v>1000</v>
      </c>
    </row>
    <row r="7555" ht="22" customHeight="1" spans="1:10" x14ac:dyDescent="0.25">
      <c r="A7555" s="43">
        <v>3130</v>
      </c>
      <c r="B7555" s="43">
        <v>18</v>
      </c>
      <c r="C7555" s="43" t="s">
        <v>962</v>
      </c>
      <c r="D7555" s="43" t="s">
        <v>1009</v>
      </c>
      <c r="E7555" s="43" t="s">
        <v>255</v>
      </c>
      <c r="F7555" s="43" t="s">
        <v>957</v>
      </c>
      <c r="G7555" s="43">
        <v>1877777</v>
      </c>
      <c r="H7555" s="43">
        <v>501100</v>
      </c>
      <c r="I7555" s="43" t="s">
        <v>949</v>
      </c>
      <c r="J7555" s="44" t="s">
        <v>1000</v>
      </c>
    </row>
    <row r="7556" ht="22" customHeight="1" spans="1:10" x14ac:dyDescent="0.25">
      <c r="A7556" s="43">
        <v>3130</v>
      </c>
      <c r="B7556" s="43">
        <v>18</v>
      </c>
      <c r="C7556" s="43" t="s">
        <v>962</v>
      </c>
      <c r="D7556" s="43" t="s">
        <v>1009</v>
      </c>
      <c r="E7556" s="43" t="s">
        <v>255</v>
      </c>
      <c r="F7556" s="43" t="s">
        <v>958</v>
      </c>
      <c r="G7556" s="43">
        <v>1877777</v>
      </c>
      <c r="H7556" s="43">
        <v>501100</v>
      </c>
      <c r="I7556" s="43" t="s">
        <v>949</v>
      </c>
      <c r="J7556" s="44" t="s">
        <v>1000</v>
      </c>
    </row>
    <row r="7557" ht="22" customHeight="1" spans="1:10" x14ac:dyDescent="0.25">
      <c r="A7557" s="43">
        <v>3130</v>
      </c>
      <c r="B7557" s="43">
        <v>18</v>
      </c>
      <c r="C7557" s="43" t="s">
        <v>962</v>
      </c>
      <c r="D7557" s="43" t="s">
        <v>1009</v>
      </c>
      <c r="E7557" s="43" t="s">
        <v>255</v>
      </c>
      <c r="F7557" s="43" t="s">
        <v>959</v>
      </c>
      <c r="G7557" s="43">
        <v>1877777</v>
      </c>
      <c r="H7557" s="43">
        <v>501100</v>
      </c>
      <c r="I7557" s="43" t="s">
        <v>949</v>
      </c>
      <c r="J7557" s="44" t="s">
        <v>1000</v>
      </c>
    </row>
    <row r="7558" ht="22" customHeight="1" spans="1:10" x14ac:dyDescent="0.25">
      <c r="A7558" s="43">
        <v>3130</v>
      </c>
      <c r="B7558" s="43">
        <v>18</v>
      </c>
      <c r="C7558" s="43" t="s">
        <v>962</v>
      </c>
      <c r="D7558" s="43" t="s">
        <v>1009</v>
      </c>
      <c r="E7558" s="43" t="s">
        <v>255</v>
      </c>
      <c r="F7558" s="43" t="s">
        <v>960</v>
      </c>
      <c r="G7558" s="43">
        <v>1877777</v>
      </c>
      <c r="H7558" s="43">
        <v>501100</v>
      </c>
      <c r="I7558" s="43" t="s">
        <v>949</v>
      </c>
      <c r="J7558" s="44" t="s">
        <v>1000</v>
      </c>
    </row>
    <row r="7559" ht="22" customHeight="1" spans="1:10" x14ac:dyDescent="0.25">
      <c r="A7559" s="43">
        <v>3130</v>
      </c>
      <c r="B7559" s="43">
        <v>18</v>
      </c>
      <c r="C7559" s="43" t="s">
        <v>962</v>
      </c>
      <c r="D7559" s="43" t="s">
        <v>1009</v>
      </c>
      <c r="E7559" s="43" t="s">
        <v>255</v>
      </c>
      <c r="F7559" s="43" t="s">
        <v>961</v>
      </c>
      <c r="G7559" s="43">
        <v>1877777</v>
      </c>
      <c r="H7559" s="43">
        <v>501100</v>
      </c>
      <c r="I7559" s="43" t="s">
        <v>949</v>
      </c>
      <c r="J7559" s="44" t="s">
        <v>1000</v>
      </c>
    </row>
    <row r="7560" ht="22" customHeight="1" spans="1:10" x14ac:dyDescent="0.25">
      <c r="A7560" s="43">
        <v>3130</v>
      </c>
      <c r="B7560" s="43">
        <v>18</v>
      </c>
      <c r="C7560" s="43" t="s">
        <v>963</v>
      </c>
      <c r="D7560" s="43" t="s">
        <v>1009</v>
      </c>
      <c r="E7560" s="43" t="s">
        <v>255</v>
      </c>
      <c r="F7560" s="43" t="s">
        <v>951</v>
      </c>
      <c r="G7560" s="43">
        <v>1877777</v>
      </c>
      <c r="H7560" s="43">
        <v>501100</v>
      </c>
      <c r="I7560" s="43" t="s">
        <v>949</v>
      </c>
      <c r="J7560" s="44" t="s">
        <v>1000</v>
      </c>
    </row>
    <row r="7561" ht="22" customHeight="1" spans="1:10" x14ac:dyDescent="0.25">
      <c r="A7561" s="43">
        <v>3130</v>
      </c>
      <c r="B7561" s="43">
        <v>18</v>
      </c>
      <c r="C7561" s="43" t="s">
        <v>963</v>
      </c>
      <c r="D7561" s="43" t="s">
        <v>1009</v>
      </c>
      <c r="E7561" s="43" t="s">
        <v>255</v>
      </c>
      <c r="F7561" s="43" t="s">
        <v>952</v>
      </c>
      <c r="G7561" s="43">
        <v>1877777</v>
      </c>
      <c r="H7561" s="43">
        <v>501100</v>
      </c>
      <c r="I7561" s="43" t="s">
        <v>949</v>
      </c>
      <c r="J7561" s="44" t="s">
        <v>1000</v>
      </c>
    </row>
    <row r="7562" ht="22" customHeight="1" spans="1:10" x14ac:dyDescent="0.25">
      <c r="A7562" s="43">
        <v>3130</v>
      </c>
      <c r="B7562" s="43">
        <v>18</v>
      </c>
      <c r="C7562" s="43" t="s">
        <v>963</v>
      </c>
      <c r="D7562" s="43" t="s">
        <v>1009</v>
      </c>
      <c r="E7562" s="43" t="s">
        <v>255</v>
      </c>
      <c r="F7562" s="43" t="s">
        <v>953</v>
      </c>
      <c r="G7562" s="43">
        <v>1877777</v>
      </c>
      <c r="H7562" s="43">
        <v>501100</v>
      </c>
      <c r="I7562" s="43" t="s">
        <v>949</v>
      </c>
      <c r="J7562" s="44" t="s">
        <v>1000</v>
      </c>
    </row>
    <row r="7563" ht="22" customHeight="1" spans="1:10" x14ac:dyDescent="0.25">
      <c r="A7563" s="43">
        <v>3130</v>
      </c>
      <c r="B7563" s="43">
        <v>18</v>
      </c>
      <c r="C7563" s="43" t="s">
        <v>963</v>
      </c>
      <c r="D7563" s="43" t="s">
        <v>1009</v>
      </c>
      <c r="E7563" s="43" t="s">
        <v>255</v>
      </c>
      <c r="F7563" s="43" t="s">
        <v>954</v>
      </c>
      <c r="G7563" s="43">
        <v>1877777</v>
      </c>
      <c r="H7563" s="43">
        <v>501100</v>
      </c>
      <c r="I7563" s="43" t="s">
        <v>949</v>
      </c>
      <c r="J7563" s="44" t="s">
        <v>1000</v>
      </c>
    </row>
    <row r="7564" ht="22" customHeight="1" spans="1:10" x14ac:dyDescent="0.25">
      <c r="A7564" s="43">
        <v>3130</v>
      </c>
      <c r="B7564" s="43">
        <v>18</v>
      </c>
      <c r="C7564" s="43" t="s">
        <v>963</v>
      </c>
      <c r="D7564" s="43" t="s">
        <v>1009</v>
      </c>
      <c r="E7564" s="43" t="s">
        <v>255</v>
      </c>
      <c r="F7564" s="43" t="s">
        <v>955</v>
      </c>
      <c r="G7564" s="43">
        <v>1877777</v>
      </c>
      <c r="H7564" s="43">
        <v>501100</v>
      </c>
      <c r="I7564" s="43" t="s">
        <v>949</v>
      </c>
      <c r="J7564" s="44" t="s">
        <v>1000</v>
      </c>
    </row>
    <row r="7565" ht="22" customHeight="1" spans="1:10" x14ac:dyDescent="0.25">
      <c r="A7565" s="43">
        <v>3130</v>
      </c>
      <c r="B7565" s="43">
        <v>18</v>
      </c>
      <c r="C7565" s="43" t="s">
        <v>963</v>
      </c>
      <c r="D7565" s="43" t="s">
        <v>1009</v>
      </c>
      <c r="E7565" s="43" t="s">
        <v>255</v>
      </c>
      <c r="F7565" s="43" t="s">
        <v>956</v>
      </c>
      <c r="G7565" s="43">
        <v>1877777</v>
      </c>
      <c r="H7565" s="43">
        <v>501100</v>
      </c>
      <c r="I7565" s="43" t="s">
        <v>949</v>
      </c>
      <c r="J7565" s="44" t="s">
        <v>1000</v>
      </c>
    </row>
    <row r="7566" ht="22" customHeight="1" spans="1:10" x14ac:dyDescent="0.25">
      <c r="A7566" s="43">
        <v>3130</v>
      </c>
      <c r="B7566" s="43">
        <v>18</v>
      </c>
      <c r="C7566" s="43" t="s">
        <v>963</v>
      </c>
      <c r="D7566" s="43" t="s">
        <v>1009</v>
      </c>
      <c r="E7566" s="43" t="s">
        <v>255</v>
      </c>
      <c r="F7566" s="43" t="s">
        <v>957</v>
      </c>
      <c r="G7566" s="43">
        <v>1877777</v>
      </c>
      <c r="H7566" s="43">
        <v>501100</v>
      </c>
      <c r="I7566" s="43" t="s">
        <v>949</v>
      </c>
      <c r="J7566" s="44" t="s">
        <v>1000</v>
      </c>
    </row>
    <row r="7567" ht="22" customHeight="1" spans="1:10" x14ac:dyDescent="0.25">
      <c r="A7567" s="43">
        <v>3130</v>
      </c>
      <c r="B7567" s="43">
        <v>18</v>
      </c>
      <c r="C7567" s="43" t="s">
        <v>963</v>
      </c>
      <c r="D7567" s="43" t="s">
        <v>1009</v>
      </c>
      <c r="E7567" s="43" t="s">
        <v>255</v>
      </c>
      <c r="F7567" s="43" t="s">
        <v>958</v>
      </c>
      <c r="G7567" s="43">
        <v>1877777</v>
      </c>
      <c r="H7567" s="43">
        <v>501100</v>
      </c>
      <c r="I7567" s="43" t="s">
        <v>949</v>
      </c>
      <c r="J7567" s="44" t="s">
        <v>1000</v>
      </c>
    </row>
    <row r="7568" ht="22" customHeight="1" spans="1:10" x14ac:dyDescent="0.25">
      <c r="A7568" s="43">
        <v>3130</v>
      </c>
      <c r="B7568" s="43">
        <v>18</v>
      </c>
      <c r="C7568" s="43" t="s">
        <v>963</v>
      </c>
      <c r="D7568" s="43" t="s">
        <v>1009</v>
      </c>
      <c r="E7568" s="43" t="s">
        <v>255</v>
      </c>
      <c r="F7568" s="43" t="s">
        <v>959</v>
      </c>
      <c r="G7568" s="43">
        <v>1877777</v>
      </c>
      <c r="H7568" s="43">
        <v>501100</v>
      </c>
      <c r="I7568" s="43" t="s">
        <v>949</v>
      </c>
      <c r="J7568" s="44" t="s">
        <v>1000</v>
      </c>
    </row>
    <row r="7569" ht="22" customHeight="1" spans="1:10" x14ac:dyDescent="0.25">
      <c r="A7569" s="43">
        <v>3130</v>
      </c>
      <c r="B7569" s="43">
        <v>18</v>
      </c>
      <c r="C7569" s="43" t="s">
        <v>963</v>
      </c>
      <c r="D7569" s="43" t="s">
        <v>1009</v>
      </c>
      <c r="E7569" s="43" t="s">
        <v>255</v>
      </c>
      <c r="F7569" s="43" t="s">
        <v>960</v>
      </c>
      <c r="G7569" s="43">
        <v>1877777</v>
      </c>
      <c r="H7569" s="43">
        <v>501100</v>
      </c>
      <c r="I7569" s="43" t="s">
        <v>949</v>
      </c>
      <c r="J7569" s="44" t="s">
        <v>1000</v>
      </c>
    </row>
    <row r="7570" ht="22" customHeight="1" spans="1:10" x14ac:dyDescent="0.25">
      <c r="A7570" s="43">
        <v>3130</v>
      </c>
      <c r="B7570" s="43">
        <v>18</v>
      </c>
      <c r="C7570" s="43" t="s">
        <v>963</v>
      </c>
      <c r="D7570" s="43" t="s">
        <v>1009</v>
      </c>
      <c r="E7570" s="43" t="s">
        <v>255</v>
      </c>
      <c r="F7570" s="43" t="s">
        <v>961</v>
      </c>
      <c r="G7570" s="43">
        <v>1877777</v>
      </c>
      <c r="H7570" s="43">
        <v>501100</v>
      </c>
      <c r="I7570" s="43" t="s">
        <v>949</v>
      </c>
      <c r="J7570" s="44" t="s">
        <v>1000</v>
      </c>
    </row>
    <row r="7571" spans="1:9" x14ac:dyDescent="0.25">
      <c r="A7571">
        <v>4122</v>
      </c>
      <c r="B7571">
        <v>18</v>
      </c>
      <c r="C7571" t="s">
        <v>946</v>
      </c>
      <c r="D7571" t="s">
        <v>1009</v>
      </c>
      <c r="E7571" t="s">
        <v>255</v>
      </c>
      <c r="F7571" t="s">
        <v>948</v>
      </c>
      <c r="G7571">
        <v>1800000</v>
      </c>
      <c r="H7571">
        <v>145000</v>
      </c>
      <c r="I7571" t="s">
        <v>949</v>
      </c>
    </row>
    <row r="7572" spans="1:9" x14ac:dyDescent="0.25">
      <c r="A7572">
        <v>4124</v>
      </c>
      <c r="B7572">
        <v>18</v>
      </c>
      <c r="C7572" t="s">
        <v>946</v>
      </c>
      <c r="D7572" t="s">
        <v>1009</v>
      </c>
      <c r="E7572" t="s">
        <v>255</v>
      </c>
      <c r="F7572" t="s">
        <v>948</v>
      </c>
      <c r="G7572">
        <v>1877777</v>
      </c>
      <c r="H7572">
        <v>501100</v>
      </c>
      <c r="I7572" t="s">
        <v>949</v>
      </c>
    </row>
    <row r="7573" ht="22" customHeight="1" spans="1:10" x14ac:dyDescent="0.25">
      <c r="A7573" s="43">
        <v>3130</v>
      </c>
      <c r="B7573" s="43">
        <v>18</v>
      </c>
      <c r="C7573" s="43" t="s">
        <v>950</v>
      </c>
      <c r="D7573" s="43" t="s">
        <v>1009</v>
      </c>
      <c r="E7573" s="43" t="s">
        <v>971</v>
      </c>
      <c r="F7573" s="43" t="s">
        <v>951</v>
      </c>
      <c r="G7573" s="43">
        <v>1877777</v>
      </c>
      <c r="H7573" s="43">
        <v>501100</v>
      </c>
      <c r="I7573" s="43" t="s">
        <v>949</v>
      </c>
      <c r="J7573" s="44" t="s">
        <v>1000</v>
      </c>
    </row>
    <row r="7574" ht="22" customHeight="1" spans="1:10" x14ac:dyDescent="0.25">
      <c r="A7574" s="43">
        <v>3130</v>
      </c>
      <c r="B7574" s="43">
        <v>18</v>
      </c>
      <c r="C7574" s="43" t="s">
        <v>950</v>
      </c>
      <c r="D7574" s="43" t="s">
        <v>1009</v>
      </c>
      <c r="E7574" s="43" t="s">
        <v>971</v>
      </c>
      <c r="F7574" s="43" t="s">
        <v>952</v>
      </c>
      <c r="G7574" s="43">
        <v>1877777</v>
      </c>
      <c r="H7574" s="43">
        <v>501100</v>
      </c>
      <c r="I7574" s="43" t="s">
        <v>949</v>
      </c>
      <c r="J7574" s="44" t="s">
        <v>1000</v>
      </c>
    </row>
    <row r="7575" ht="22" customHeight="1" spans="1:10" x14ac:dyDescent="0.25">
      <c r="A7575" s="43">
        <v>3130</v>
      </c>
      <c r="B7575" s="43">
        <v>18</v>
      </c>
      <c r="C7575" s="43" t="s">
        <v>950</v>
      </c>
      <c r="D7575" s="43" t="s">
        <v>1009</v>
      </c>
      <c r="E7575" s="43" t="s">
        <v>971</v>
      </c>
      <c r="F7575" s="43" t="s">
        <v>953</v>
      </c>
      <c r="G7575" s="43">
        <v>1877777</v>
      </c>
      <c r="H7575" s="43">
        <v>501100</v>
      </c>
      <c r="I7575" s="43" t="s">
        <v>949</v>
      </c>
      <c r="J7575" s="44" t="s">
        <v>1000</v>
      </c>
    </row>
    <row r="7576" ht="22" customHeight="1" spans="1:10" x14ac:dyDescent="0.25">
      <c r="A7576" s="43">
        <v>3130</v>
      </c>
      <c r="B7576" s="43">
        <v>18</v>
      </c>
      <c r="C7576" s="43" t="s">
        <v>950</v>
      </c>
      <c r="D7576" s="43" t="s">
        <v>1009</v>
      </c>
      <c r="E7576" s="43" t="s">
        <v>971</v>
      </c>
      <c r="F7576" s="43" t="s">
        <v>954</v>
      </c>
      <c r="G7576" s="43">
        <v>1877777</v>
      </c>
      <c r="H7576" s="43">
        <v>501100</v>
      </c>
      <c r="I7576" s="43" t="s">
        <v>949</v>
      </c>
      <c r="J7576" s="44" t="s">
        <v>1000</v>
      </c>
    </row>
    <row r="7577" ht="22" customHeight="1" spans="1:10" x14ac:dyDescent="0.25">
      <c r="A7577" s="43">
        <v>3130</v>
      </c>
      <c r="B7577" s="43">
        <v>18</v>
      </c>
      <c r="C7577" s="43" t="s">
        <v>950</v>
      </c>
      <c r="D7577" s="43" t="s">
        <v>1009</v>
      </c>
      <c r="E7577" s="43" t="s">
        <v>971</v>
      </c>
      <c r="F7577" s="43" t="s">
        <v>955</v>
      </c>
      <c r="G7577" s="43">
        <v>1877777</v>
      </c>
      <c r="H7577" s="43">
        <v>501100</v>
      </c>
      <c r="I7577" s="43" t="s">
        <v>949</v>
      </c>
      <c r="J7577" s="44" t="s">
        <v>1000</v>
      </c>
    </row>
    <row r="7578" ht="22" customHeight="1" spans="1:10" x14ac:dyDescent="0.25">
      <c r="A7578" s="43">
        <v>3130</v>
      </c>
      <c r="B7578" s="43">
        <v>18</v>
      </c>
      <c r="C7578" s="43" t="s">
        <v>950</v>
      </c>
      <c r="D7578" s="43" t="s">
        <v>1009</v>
      </c>
      <c r="E7578" s="43" t="s">
        <v>971</v>
      </c>
      <c r="F7578" s="43" t="s">
        <v>956</v>
      </c>
      <c r="G7578" s="43">
        <v>1877777</v>
      </c>
      <c r="H7578" s="43">
        <v>501100</v>
      </c>
      <c r="I7578" s="43" t="s">
        <v>949</v>
      </c>
      <c r="J7578" s="44" t="s">
        <v>1000</v>
      </c>
    </row>
    <row r="7579" ht="22" customHeight="1" spans="1:10" x14ac:dyDescent="0.25">
      <c r="A7579" s="43">
        <v>3130</v>
      </c>
      <c r="B7579" s="43">
        <v>18</v>
      </c>
      <c r="C7579" s="43" t="s">
        <v>950</v>
      </c>
      <c r="D7579" s="43" t="s">
        <v>1009</v>
      </c>
      <c r="E7579" s="43" t="s">
        <v>971</v>
      </c>
      <c r="F7579" s="43" t="s">
        <v>957</v>
      </c>
      <c r="G7579" s="43">
        <v>1877777</v>
      </c>
      <c r="H7579" s="43">
        <v>501100</v>
      </c>
      <c r="I7579" s="43" t="s">
        <v>949</v>
      </c>
      <c r="J7579" s="44" t="s">
        <v>1000</v>
      </c>
    </row>
    <row r="7580" ht="22" customHeight="1" spans="1:10" x14ac:dyDescent="0.25">
      <c r="A7580" s="43">
        <v>3130</v>
      </c>
      <c r="B7580" s="43">
        <v>18</v>
      </c>
      <c r="C7580" s="43" t="s">
        <v>950</v>
      </c>
      <c r="D7580" s="43" t="s">
        <v>1009</v>
      </c>
      <c r="E7580" s="43" t="s">
        <v>971</v>
      </c>
      <c r="F7580" s="43" t="s">
        <v>958</v>
      </c>
      <c r="G7580" s="43">
        <v>1877777</v>
      </c>
      <c r="H7580" s="43">
        <v>501100</v>
      </c>
      <c r="I7580" s="43" t="s">
        <v>949</v>
      </c>
      <c r="J7580" s="44" t="s">
        <v>1000</v>
      </c>
    </row>
    <row r="7581" ht="22" customHeight="1" spans="1:10" x14ac:dyDescent="0.25">
      <c r="A7581" s="43">
        <v>3130</v>
      </c>
      <c r="B7581" s="43">
        <v>18</v>
      </c>
      <c r="C7581" s="43" t="s">
        <v>950</v>
      </c>
      <c r="D7581" s="43" t="s">
        <v>1009</v>
      </c>
      <c r="E7581" s="43" t="s">
        <v>971</v>
      </c>
      <c r="F7581" s="43" t="s">
        <v>959</v>
      </c>
      <c r="G7581" s="43">
        <v>1877777</v>
      </c>
      <c r="H7581" s="43">
        <v>501100</v>
      </c>
      <c r="I7581" s="43" t="s">
        <v>949</v>
      </c>
      <c r="J7581" s="44" t="s">
        <v>1000</v>
      </c>
    </row>
    <row r="7582" ht="22" customHeight="1" spans="1:10" x14ac:dyDescent="0.25">
      <c r="A7582" s="43">
        <v>3130</v>
      </c>
      <c r="B7582" s="43">
        <v>18</v>
      </c>
      <c r="C7582" s="43" t="s">
        <v>950</v>
      </c>
      <c r="D7582" s="43" t="s">
        <v>1009</v>
      </c>
      <c r="E7582" s="43" t="s">
        <v>971</v>
      </c>
      <c r="F7582" s="43" t="s">
        <v>960</v>
      </c>
      <c r="G7582" s="43">
        <v>1877777</v>
      </c>
      <c r="H7582" s="43">
        <v>501100</v>
      </c>
      <c r="I7582" s="43" t="s">
        <v>949</v>
      </c>
      <c r="J7582" s="44" t="s">
        <v>1000</v>
      </c>
    </row>
    <row r="7583" ht="22" customHeight="1" spans="1:10" x14ac:dyDescent="0.25">
      <c r="A7583" s="43">
        <v>3130</v>
      </c>
      <c r="B7583" s="43">
        <v>18</v>
      </c>
      <c r="C7583" s="43" t="s">
        <v>950</v>
      </c>
      <c r="D7583" s="43" t="s">
        <v>1009</v>
      </c>
      <c r="E7583" s="43" t="s">
        <v>971</v>
      </c>
      <c r="F7583" s="43" t="s">
        <v>961</v>
      </c>
      <c r="G7583" s="43">
        <v>1877777</v>
      </c>
      <c r="H7583" s="43">
        <v>501100</v>
      </c>
      <c r="I7583" s="43" t="s">
        <v>949</v>
      </c>
      <c r="J7583" s="44" t="s">
        <v>1000</v>
      </c>
    </row>
    <row r="7584" ht="22" customHeight="1" spans="1:10" x14ac:dyDescent="0.25">
      <c r="A7584" s="43">
        <v>3130</v>
      </c>
      <c r="B7584" s="43">
        <v>18</v>
      </c>
      <c r="C7584" s="43" t="s">
        <v>962</v>
      </c>
      <c r="D7584" s="43" t="s">
        <v>1009</v>
      </c>
      <c r="E7584" s="43" t="s">
        <v>971</v>
      </c>
      <c r="F7584" s="43" t="s">
        <v>951</v>
      </c>
      <c r="G7584" s="43">
        <v>1877777</v>
      </c>
      <c r="H7584" s="43">
        <v>501100</v>
      </c>
      <c r="I7584" s="43" t="s">
        <v>949</v>
      </c>
      <c r="J7584" s="44" t="s">
        <v>1000</v>
      </c>
    </row>
    <row r="7585" ht="22" customHeight="1" spans="1:10" x14ac:dyDescent="0.25">
      <c r="A7585" s="43">
        <v>3130</v>
      </c>
      <c r="B7585" s="43">
        <v>18</v>
      </c>
      <c r="C7585" s="43" t="s">
        <v>962</v>
      </c>
      <c r="D7585" s="43" t="s">
        <v>1009</v>
      </c>
      <c r="E7585" s="43" t="s">
        <v>971</v>
      </c>
      <c r="F7585" s="43" t="s">
        <v>952</v>
      </c>
      <c r="G7585" s="43">
        <v>1877777</v>
      </c>
      <c r="H7585" s="43">
        <v>501100</v>
      </c>
      <c r="I7585" s="43" t="s">
        <v>949</v>
      </c>
      <c r="J7585" s="44" t="s">
        <v>1000</v>
      </c>
    </row>
    <row r="7586" ht="22" customHeight="1" spans="1:10" x14ac:dyDescent="0.25">
      <c r="A7586" s="43">
        <v>3130</v>
      </c>
      <c r="B7586" s="43">
        <v>18</v>
      </c>
      <c r="C7586" s="43" t="s">
        <v>962</v>
      </c>
      <c r="D7586" s="43" t="s">
        <v>1009</v>
      </c>
      <c r="E7586" s="43" t="s">
        <v>971</v>
      </c>
      <c r="F7586" s="43" t="s">
        <v>953</v>
      </c>
      <c r="G7586" s="43">
        <v>1877777</v>
      </c>
      <c r="H7586" s="43">
        <v>501100</v>
      </c>
      <c r="I7586" s="43" t="s">
        <v>949</v>
      </c>
      <c r="J7586" s="44" t="s">
        <v>1000</v>
      </c>
    </row>
    <row r="7587" ht="22" customHeight="1" spans="1:10" x14ac:dyDescent="0.25">
      <c r="A7587" s="43">
        <v>3130</v>
      </c>
      <c r="B7587" s="43">
        <v>18</v>
      </c>
      <c r="C7587" s="43" t="s">
        <v>962</v>
      </c>
      <c r="D7587" s="43" t="s">
        <v>1009</v>
      </c>
      <c r="E7587" s="43" t="s">
        <v>971</v>
      </c>
      <c r="F7587" s="43" t="s">
        <v>954</v>
      </c>
      <c r="G7587" s="43">
        <v>1877777</v>
      </c>
      <c r="H7587" s="43">
        <v>501100</v>
      </c>
      <c r="I7587" s="43" t="s">
        <v>949</v>
      </c>
      <c r="J7587" s="44" t="s">
        <v>1000</v>
      </c>
    </row>
    <row r="7588" ht="22" customHeight="1" spans="1:10" x14ac:dyDescent="0.25">
      <c r="A7588" s="43">
        <v>3130</v>
      </c>
      <c r="B7588" s="43">
        <v>18</v>
      </c>
      <c r="C7588" s="43" t="s">
        <v>962</v>
      </c>
      <c r="D7588" s="43" t="s">
        <v>1009</v>
      </c>
      <c r="E7588" s="43" t="s">
        <v>971</v>
      </c>
      <c r="F7588" s="43" t="s">
        <v>955</v>
      </c>
      <c r="G7588" s="43">
        <v>1877777</v>
      </c>
      <c r="H7588" s="43">
        <v>501100</v>
      </c>
      <c r="I7588" s="43" t="s">
        <v>949</v>
      </c>
      <c r="J7588" s="44" t="s">
        <v>1000</v>
      </c>
    </row>
    <row r="7589" ht="22" customHeight="1" spans="1:10" x14ac:dyDescent="0.25">
      <c r="A7589" s="43">
        <v>3130</v>
      </c>
      <c r="B7589" s="43">
        <v>18</v>
      </c>
      <c r="C7589" s="43" t="s">
        <v>962</v>
      </c>
      <c r="D7589" s="43" t="s">
        <v>1009</v>
      </c>
      <c r="E7589" s="43" t="s">
        <v>971</v>
      </c>
      <c r="F7589" s="43" t="s">
        <v>956</v>
      </c>
      <c r="G7589" s="43">
        <v>1877777</v>
      </c>
      <c r="H7589" s="43">
        <v>501100</v>
      </c>
      <c r="I7589" s="43" t="s">
        <v>949</v>
      </c>
      <c r="J7589" s="44" t="s">
        <v>1000</v>
      </c>
    </row>
    <row r="7590" ht="22" customHeight="1" spans="1:10" x14ac:dyDescent="0.25">
      <c r="A7590" s="43">
        <v>3130</v>
      </c>
      <c r="B7590" s="43">
        <v>18</v>
      </c>
      <c r="C7590" s="43" t="s">
        <v>962</v>
      </c>
      <c r="D7590" s="43" t="s">
        <v>1009</v>
      </c>
      <c r="E7590" s="43" t="s">
        <v>971</v>
      </c>
      <c r="F7590" s="43" t="s">
        <v>957</v>
      </c>
      <c r="G7590" s="43">
        <v>1877777</v>
      </c>
      <c r="H7590" s="43">
        <v>501100</v>
      </c>
      <c r="I7590" s="43" t="s">
        <v>949</v>
      </c>
      <c r="J7590" s="44" t="s">
        <v>1000</v>
      </c>
    </row>
    <row r="7591" ht="22" customHeight="1" spans="1:10" x14ac:dyDescent="0.25">
      <c r="A7591" s="43">
        <v>3130</v>
      </c>
      <c r="B7591" s="43">
        <v>18</v>
      </c>
      <c r="C7591" s="43" t="s">
        <v>962</v>
      </c>
      <c r="D7591" s="43" t="s">
        <v>1009</v>
      </c>
      <c r="E7591" s="43" t="s">
        <v>971</v>
      </c>
      <c r="F7591" s="43" t="s">
        <v>958</v>
      </c>
      <c r="G7591" s="43">
        <v>1877777</v>
      </c>
      <c r="H7591" s="43">
        <v>501100</v>
      </c>
      <c r="I7591" s="43" t="s">
        <v>949</v>
      </c>
      <c r="J7591" s="44" t="s">
        <v>1000</v>
      </c>
    </row>
    <row r="7592" ht="22" customHeight="1" spans="1:10" x14ac:dyDescent="0.25">
      <c r="A7592" s="43">
        <v>3130</v>
      </c>
      <c r="B7592" s="43">
        <v>18</v>
      </c>
      <c r="C7592" s="43" t="s">
        <v>962</v>
      </c>
      <c r="D7592" s="43" t="s">
        <v>1009</v>
      </c>
      <c r="E7592" s="43" t="s">
        <v>971</v>
      </c>
      <c r="F7592" s="43" t="s">
        <v>959</v>
      </c>
      <c r="G7592" s="43">
        <v>1877777</v>
      </c>
      <c r="H7592" s="43">
        <v>501100</v>
      </c>
      <c r="I7592" s="43" t="s">
        <v>949</v>
      </c>
      <c r="J7592" s="44" t="s">
        <v>1000</v>
      </c>
    </row>
    <row r="7593" ht="22" customHeight="1" spans="1:10" x14ac:dyDescent="0.25">
      <c r="A7593" s="43">
        <v>3130</v>
      </c>
      <c r="B7593" s="43">
        <v>18</v>
      </c>
      <c r="C7593" s="43" t="s">
        <v>962</v>
      </c>
      <c r="D7593" s="43" t="s">
        <v>1009</v>
      </c>
      <c r="E7593" s="43" t="s">
        <v>971</v>
      </c>
      <c r="F7593" s="43" t="s">
        <v>960</v>
      </c>
      <c r="G7593" s="43">
        <v>1877777</v>
      </c>
      <c r="H7593" s="43">
        <v>501100</v>
      </c>
      <c r="I7593" s="43" t="s">
        <v>949</v>
      </c>
      <c r="J7593" s="44" t="s">
        <v>1000</v>
      </c>
    </row>
    <row r="7594" ht="22" customHeight="1" spans="1:10" x14ac:dyDescent="0.25">
      <c r="A7594" s="43">
        <v>3130</v>
      </c>
      <c r="B7594" s="43">
        <v>18</v>
      </c>
      <c r="C7594" s="43" t="s">
        <v>962</v>
      </c>
      <c r="D7594" s="43" t="s">
        <v>1009</v>
      </c>
      <c r="E7594" s="43" t="s">
        <v>971</v>
      </c>
      <c r="F7594" s="43" t="s">
        <v>961</v>
      </c>
      <c r="G7594" s="43">
        <v>1877777</v>
      </c>
      <c r="H7594" s="43">
        <v>501100</v>
      </c>
      <c r="I7594" s="43" t="s">
        <v>949</v>
      </c>
      <c r="J7594" s="44" t="s">
        <v>1000</v>
      </c>
    </row>
    <row r="7595" ht="22" customHeight="1" spans="1:10" x14ac:dyDescent="0.25">
      <c r="A7595" s="43">
        <v>3130</v>
      </c>
      <c r="B7595" s="43">
        <v>18</v>
      </c>
      <c r="C7595" s="43" t="s">
        <v>963</v>
      </c>
      <c r="D7595" s="43" t="s">
        <v>1009</v>
      </c>
      <c r="E7595" s="43" t="s">
        <v>971</v>
      </c>
      <c r="F7595" s="43" t="s">
        <v>951</v>
      </c>
      <c r="G7595" s="43">
        <v>1877777</v>
      </c>
      <c r="H7595" s="43">
        <v>501100</v>
      </c>
      <c r="I7595" s="43" t="s">
        <v>949</v>
      </c>
      <c r="J7595" s="44" t="s">
        <v>1000</v>
      </c>
    </row>
    <row r="7596" ht="22" customHeight="1" spans="1:10" x14ac:dyDescent="0.25">
      <c r="A7596" s="43">
        <v>3130</v>
      </c>
      <c r="B7596" s="43">
        <v>18</v>
      </c>
      <c r="C7596" s="43" t="s">
        <v>963</v>
      </c>
      <c r="D7596" s="43" t="s">
        <v>1009</v>
      </c>
      <c r="E7596" s="43" t="s">
        <v>971</v>
      </c>
      <c r="F7596" s="43" t="s">
        <v>952</v>
      </c>
      <c r="G7596" s="43">
        <v>1877777</v>
      </c>
      <c r="H7596" s="43">
        <v>501100</v>
      </c>
      <c r="I7596" s="43" t="s">
        <v>949</v>
      </c>
      <c r="J7596" s="44" t="s">
        <v>1000</v>
      </c>
    </row>
    <row r="7597" ht="22" customHeight="1" spans="1:10" x14ac:dyDescent="0.25">
      <c r="A7597" s="43">
        <v>3130</v>
      </c>
      <c r="B7597" s="43">
        <v>18</v>
      </c>
      <c r="C7597" s="43" t="s">
        <v>963</v>
      </c>
      <c r="D7597" s="43" t="s">
        <v>1009</v>
      </c>
      <c r="E7597" s="43" t="s">
        <v>971</v>
      </c>
      <c r="F7597" s="43" t="s">
        <v>953</v>
      </c>
      <c r="G7597" s="43">
        <v>1877777</v>
      </c>
      <c r="H7597" s="43">
        <v>501100</v>
      </c>
      <c r="I7597" s="43" t="s">
        <v>949</v>
      </c>
      <c r="J7597" s="44" t="s">
        <v>1000</v>
      </c>
    </row>
    <row r="7598" ht="22" customHeight="1" spans="1:10" x14ac:dyDescent="0.25">
      <c r="A7598" s="43">
        <v>3130</v>
      </c>
      <c r="B7598" s="43">
        <v>18</v>
      </c>
      <c r="C7598" s="43" t="s">
        <v>963</v>
      </c>
      <c r="D7598" s="43" t="s">
        <v>1009</v>
      </c>
      <c r="E7598" s="43" t="s">
        <v>971</v>
      </c>
      <c r="F7598" s="43" t="s">
        <v>954</v>
      </c>
      <c r="G7598" s="43">
        <v>1877777</v>
      </c>
      <c r="H7598" s="43">
        <v>501100</v>
      </c>
      <c r="I7598" s="43" t="s">
        <v>949</v>
      </c>
      <c r="J7598" s="44" t="s">
        <v>1000</v>
      </c>
    </row>
    <row r="7599" ht="22" customHeight="1" spans="1:10" x14ac:dyDescent="0.25">
      <c r="A7599" s="43">
        <v>3130</v>
      </c>
      <c r="B7599" s="43">
        <v>18</v>
      </c>
      <c r="C7599" s="43" t="s">
        <v>963</v>
      </c>
      <c r="D7599" s="43" t="s">
        <v>1009</v>
      </c>
      <c r="E7599" s="43" t="s">
        <v>971</v>
      </c>
      <c r="F7599" s="43" t="s">
        <v>955</v>
      </c>
      <c r="G7599" s="43">
        <v>1877777</v>
      </c>
      <c r="H7599" s="43">
        <v>501100</v>
      </c>
      <c r="I7599" s="43" t="s">
        <v>949</v>
      </c>
      <c r="J7599" s="44" t="s">
        <v>1000</v>
      </c>
    </row>
    <row r="7600" ht="22" customHeight="1" spans="1:10" x14ac:dyDescent="0.25">
      <c r="A7600" s="43">
        <v>3130</v>
      </c>
      <c r="B7600" s="43">
        <v>18</v>
      </c>
      <c r="C7600" s="43" t="s">
        <v>963</v>
      </c>
      <c r="D7600" s="43" t="s">
        <v>1009</v>
      </c>
      <c r="E7600" s="43" t="s">
        <v>971</v>
      </c>
      <c r="F7600" s="43" t="s">
        <v>956</v>
      </c>
      <c r="G7600" s="43">
        <v>1877777</v>
      </c>
      <c r="H7600" s="43">
        <v>501100</v>
      </c>
      <c r="I7600" s="43" t="s">
        <v>949</v>
      </c>
      <c r="J7600" s="44" t="s">
        <v>1000</v>
      </c>
    </row>
    <row r="7601" ht="22" customHeight="1" spans="1:10" x14ac:dyDescent="0.25">
      <c r="A7601" s="43">
        <v>3130</v>
      </c>
      <c r="B7601" s="43">
        <v>18</v>
      </c>
      <c r="C7601" s="43" t="s">
        <v>963</v>
      </c>
      <c r="D7601" s="43" t="s">
        <v>1009</v>
      </c>
      <c r="E7601" s="43" t="s">
        <v>971</v>
      </c>
      <c r="F7601" s="43" t="s">
        <v>957</v>
      </c>
      <c r="G7601" s="43">
        <v>1877777</v>
      </c>
      <c r="H7601" s="43">
        <v>501100</v>
      </c>
      <c r="I7601" s="43" t="s">
        <v>949</v>
      </c>
      <c r="J7601" s="44" t="s">
        <v>1000</v>
      </c>
    </row>
    <row r="7602" ht="22" customHeight="1" spans="1:10" x14ac:dyDescent="0.25">
      <c r="A7602" s="43">
        <v>3130</v>
      </c>
      <c r="B7602" s="43">
        <v>18</v>
      </c>
      <c r="C7602" s="43" t="s">
        <v>963</v>
      </c>
      <c r="D7602" s="43" t="s">
        <v>1009</v>
      </c>
      <c r="E7602" s="43" t="s">
        <v>971</v>
      </c>
      <c r="F7602" s="43" t="s">
        <v>958</v>
      </c>
      <c r="G7602" s="43">
        <v>1877777</v>
      </c>
      <c r="H7602" s="43">
        <v>501100</v>
      </c>
      <c r="I7602" s="43" t="s">
        <v>949</v>
      </c>
      <c r="J7602" s="44" t="s">
        <v>1000</v>
      </c>
    </row>
    <row r="7603" ht="22" customHeight="1" spans="1:10" x14ac:dyDescent="0.25">
      <c r="A7603" s="43">
        <v>3130</v>
      </c>
      <c r="B7603" s="43">
        <v>18</v>
      </c>
      <c r="C7603" s="43" t="s">
        <v>963</v>
      </c>
      <c r="D7603" s="43" t="s">
        <v>1009</v>
      </c>
      <c r="E7603" s="43" t="s">
        <v>971</v>
      </c>
      <c r="F7603" s="43" t="s">
        <v>959</v>
      </c>
      <c r="G7603" s="43">
        <v>1877777</v>
      </c>
      <c r="H7603" s="43">
        <v>501100</v>
      </c>
      <c r="I7603" s="43" t="s">
        <v>949</v>
      </c>
      <c r="J7603" s="44" t="s">
        <v>1000</v>
      </c>
    </row>
    <row r="7604" ht="22" customHeight="1" spans="1:10" x14ac:dyDescent="0.25">
      <c r="A7604" s="43">
        <v>3130</v>
      </c>
      <c r="B7604" s="43">
        <v>18</v>
      </c>
      <c r="C7604" s="43" t="s">
        <v>963</v>
      </c>
      <c r="D7604" s="43" t="s">
        <v>1009</v>
      </c>
      <c r="E7604" s="43" t="s">
        <v>971</v>
      </c>
      <c r="F7604" s="43" t="s">
        <v>960</v>
      </c>
      <c r="G7604" s="43">
        <v>1877777</v>
      </c>
      <c r="H7604" s="43">
        <v>501100</v>
      </c>
      <c r="I7604" s="43" t="s">
        <v>949</v>
      </c>
      <c r="J7604" s="44" t="s">
        <v>1000</v>
      </c>
    </row>
    <row r="7605" ht="22" customHeight="1" spans="1:10" x14ac:dyDescent="0.25">
      <c r="A7605" s="43">
        <v>3130</v>
      </c>
      <c r="B7605" s="43">
        <v>18</v>
      </c>
      <c r="C7605" s="43" t="s">
        <v>963</v>
      </c>
      <c r="D7605" s="43" t="s">
        <v>1009</v>
      </c>
      <c r="E7605" s="43" t="s">
        <v>971</v>
      </c>
      <c r="F7605" s="43" t="s">
        <v>961</v>
      </c>
      <c r="G7605" s="43">
        <v>1877777</v>
      </c>
      <c r="H7605" s="43">
        <v>501100</v>
      </c>
      <c r="I7605" s="43" t="s">
        <v>949</v>
      </c>
      <c r="J7605" s="44" t="s">
        <v>1000</v>
      </c>
    </row>
    <row r="7606" spans="1:9" x14ac:dyDescent="0.25">
      <c r="A7606">
        <v>4122</v>
      </c>
      <c r="B7606">
        <v>18</v>
      </c>
      <c r="C7606" t="s">
        <v>946</v>
      </c>
      <c r="D7606" t="s">
        <v>1009</v>
      </c>
      <c r="E7606" t="s">
        <v>971</v>
      </c>
      <c r="F7606" t="s">
        <v>948</v>
      </c>
      <c r="G7606">
        <v>1800000</v>
      </c>
      <c r="H7606">
        <v>141000</v>
      </c>
      <c r="I7606" t="s">
        <v>972</v>
      </c>
    </row>
    <row r="7607" spans="1:9" x14ac:dyDescent="0.25">
      <c r="A7607">
        <v>4124</v>
      </c>
      <c r="B7607">
        <v>18</v>
      </c>
      <c r="C7607" t="s">
        <v>946</v>
      </c>
      <c r="D7607" t="s">
        <v>1009</v>
      </c>
      <c r="E7607" t="s">
        <v>971</v>
      </c>
      <c r="F7607" t="s">
        <v>948</v>
      </c>
      <c r="G7607">
        <v>1877777</v>
      </c>
      <c r="H7607">
        <v>501100</v>
      </c>
      <c r="I7607" t="s">
        <v>949</v>
      </c>
    </row>
    <row r="7608" ht="22" customHeight="1" spans="1:10" x14ac:dyDescent="0.25">
      <c r="A7608" s="43">
        <v>3130</v>
      </c>
      <c r="B7608" s="43">
        <v>18</v>
      </c>
      <c r="C7608" s="43" t="s">
        <v>950</v>
      </c>
      <c r="D7608" s="43" t="s">
        <v>1009</v>
      </c>
      <c r="E7608" s="43" t="s">
        <v>263</v>
      </c>
      <c r="F7608" s="43" t="s">
        <v>951</v>
      </c>
      <c r="G7608" s="43">
        <v>1877777</v>
      </c>
      <c r="H7608" s="43">
        <v>501100</v>
      </c>
      <c r="I7608" s="43" t="s">
        <v>949</v>
      </c>
      <c r="J7608" s="44" t="s">
        <v>1000</v>
      </c>
    </row>
    <row r="7609" ht="22" customHeight="1" spans="1:10" x14ac:dyDescent="0.25">
      <c r="A7609" s="43">
        <v>3130</v>
      </c>
      <c r="B7609" s="43">
        <v>18</v>
      </c>
      <c r="C7609" s="43" t="s">
        <v>950</v>
      </c>
      <c r="D7609" s="43" t="s">
        <v>1009</v>
      </c>
      <c r="E7609" s="43" t="s">
        <v>263</v>
      </c>
      <c r="F7609" s="43" t="s">
        <v>952</v>
      </c>
      <c r="G7609" s="43">
        <v>1877777</v>
      </c>
      <c r="H7609" s="43">
        <v>501100</v>
      </c>
      <c r="I7609" s="43" t="s">
        <v>949</v>
      </c>
      <c r="J7609" s="44" t="s">
        <v>1000</v>
      </c>
    </row>
    <row r="7610" ht="22" customHeight="1" spans="1:10" x14ac:dyDescent="0.25">
      <c r="A7610" s="43">
        <v>3130</v>
      </c>
      <c r="B7610" s="43">
        <v>18</v>
      </c>
      <c r="C7610" s="43" t="s">
        <v>950</v>
      </c>
      <c r="D7610" s="43" t="s">
        <v>1009</v>
      </c>
      <c r="E7610" s="43" t="s">
        <v>263</v>
      </c>
      <c r="F7610" s="43" t="s">
        <v>953</v>
      </c>
      <c r="G7610" s="43">
        <v>1877777</v>
      </c>
      <c r="H7610" s="43">
        <v>501100</v>
      </c>
      <c r="I7610" s="43" t="s">
        <v>949</v>
      </c>
      <c r="J7610" s="44" t="s">
        <v>1000</v>
      </c>
    </row>
    <row r="7611" ht="22" customHeight="1" spans="1:10" x14ac:dyDescent="0.25">
      <c r="A7611" s="43">
        <v>3130</v>
      </c>
      <c r="B7611" s="43">
        <v>18</v>
      </c>
      <c r="C7611" s="43" t="s">
        <v>950</v>
      </c>
      <c r="D7611" s="43" t="s">
        <v>1009</v>
      </c>
      <c r="E7611" s="43" t="s">
        <v>263</v>
      </c>
      <c r="F7611" s="43" t="s">
        <v>954</v>
      </c>
      <c r="G7611" s="43">
        <v>1877777</v>
      </c>
      <c r="H7611" s="43">
        <v>501100</v>
      </c>
      <c r="I7611" s="43" t="s">
        <v>949</v>
      </c>
      <c r="J7611" s="44" t="s">
        <v>1000</v>
      </c>
    </row>
    <row r="7612" ht="22" customHeight="1" spans="1:10" x14ac:dyDescent="0.25">
      <c r="A7612" s="43">
        <v>3130</v>
      </c>
      <c r="B7612" s="43">
        <v>18</v>
      </c>
      <c r="C7612" s="43" t="s">
        <v>950</v>
      </c>
      <c r="D7612" s="43" t="s">
        <v>1009</v>
      </c>
      <c r="E7612" s="43" t="s">
        <v>263</v>
      </c>
      <c r="F7612" s="43" t="s">
        <v>955</v>
      </c>
      <c r="G7612" s="43">
        <v>1877777</v>
      </c>
      <c r="H7612" s="43">
        <v>501100</v>
      </c>
      <c r="I7612" s="43" t="s">
        <v>949</v>
      </c>
      <c r="J7612" s="44" t="s">
        <v>1000</v>
      </c>
    </row>
    <row r="7613" ht="22" customHeight="1" spans="1:10" x14ac:dyDescent="0.25">
      <c r="A7613" s="43">
        <v>3130</v>
      </c>
      <c r="B7613" s="43">
        <v>18</v>
      </c>
      <c r="C7613" s="43" t="s">
        <v>950</v>
      </c>
      <c r="D7613" s="43" t="s">
        <v>1009</v>
      </c>
      <c r="E7613" s="43" t="s">
        <v>263</v>
      </c>
      <c r="F7613" s="43" t="s">
        <v>956</v>
      </c>
      <c r="G7613" s="43">
        <v>1877777</v>
      </c>
      <c r="H7613" s="43">
        <v>501100</v>
      </c>
      <c r="I7613" s="43" t="s">
        <v>949</v>
      </c>
      <c r="J7613" s="44" t="s">
        <v>1000</v>
      </c>
    </row>
    <row r="7614" ht="22" customHeight="1" spans="1:10" x14ac:dyDescent="0.25">
      <c r="A7614" s="43">
        <v>3130</v>
      </c>
      <c r="B7614" s="43">
        <v>18</v>
      </c>
      <c r="C7614" s="43" t="s">
        <v>950</v>
      </c>
      <c r="D7614" s="43" t="s">
        <v>1009</v>
      </c>
      <c r="E7614" s="43" t="s">
        <v>263</v>
      </c>
      <c r="F7614" s="43" t="s">
        <v>957</v>
      </c>
      <c r="G7614" s="43">
        <v>1877777</v>
      </c>
      <c r="H7614" s="43">
        <v>501100</v>
      </c>
      <c r="I7614" s="43" t="s">
        <v>949</v>
      </c>
      <c r="J7614" s="44" t="s">
        <v>1000</v>
      </c>
    </row>
    <row r="7615" ht="22" customHeight="1" spans="1:10" x14ac:dyDescent="0.25">
      <c r="A7615" s="43">
        <v>3130</v>
      </c>
      <c r="B7615" s="43">
        <v>18</v>
      </c>
      <c r="C7615" s="43" t="s">
        <v>950</v>
      </c>
      <c r="D7615" s="43" t="s">
        <v>1009</v>
      </c>
      <c r="E7615" s="43" t="s">
        <v>263</v>
      </c>
      <c r="F7615" s="43" t="s">
        <v>958</v>
      </c>
      <c r="G7615" s="43">
        <v>1877777</v>
      </c>
      <c r="H7615" s="43">
        <v>501100</v>
      </c>
      <c r="I7615" s="43" t="s">
        <v>949</v>
      </c>
      <c r="J7615" s="44" t="s">
        <v>1000</v>
      </c>
    </row>
    <row r="7616" ht="22" customHeight="1" spans="1:10" x14ac:dyDescent="0.25">
      <c r="A7616" s="43">
        <v>3130</v>
      </c>
      <c r="B7616" s="43">
        <v>18</v>
      </c>
      <c r="C7616" s="43" t="s">
        <v>950</v>
      </c>
      <c r="D7616" s="43" t="s">
        <v>1009</v>
      </c>
      <c r="E7616" s="43" t="s">
        <v>263</v>
      </c>
      <c r="F7616" s="43" t="s">
        <v>959</v>
      </c>
      <c r="G7616" s="43">
        <v>1877777</v>
      </c>
      <c r="H7616" s="43">
        <v>501100</v>
      </c>
      <c r="I7616" s="43" t="s">
        <v>949</v>
      </c>
      <c r="J7616" s="44" t="s">
        <v>1000</v>
      </c>
    </row>
    <row r="7617" ht="22" customHeight="1" spans="1:10" x14ac:dyDescent="0.25">
      <c r="A7617" s="43">
        <v>3130</v>
      </c>
      <c r="B7617" s="43">
        <v>18</v>
      </c>
      <c r="C7617" s="43" t="s">
        <v>950</v>
      </c>
      <c r="D7617" s="43" t="s">
        <v>1009</v>
      </c>
      <c r="E7617" s="43" t="s">
        <v>263</v>
      </c>
      <c r="F7617" s="43" t="s">
        <v>960</v>
      </c>
      <c r="G7617" s="43">
        <v>1877777</v>
      </c>
      <c r="H7617" s="43">
        <v>501100</v>
      </c>
      <c r="I7617" s="43" t="s">
        <v>949</v>
      </c>
      <c r="J7617" s="44" t="s">
        <v>1000</v>
      </c>
    </row>
    <row r="7618" ht="22" customHeight="1" spans="1:10" x14ac:dyDescent="0.25">
      <c r="A7618" s="43">
        <v>3130</v>
      </c>
      <c r="B7618" s="43">
        <v>18</v>
      </c>
      <c r="C7618" s="43" t="s">
        <v>950</v>
      </c>
      <c r="D7618" s="43" t="s">
        <v>1009</v>
      </c>
      <c r="E7618" s="43" t="s">
        <v>263</v>
      </c>
      <c r="F7618" s="43" t="s">
        <v>961</v>
      </c>
      <c r="G7618" s="43">
        <v>1877777</v>
      </c>
      <c r="H7618" s="43">
        <v>501100</v>
      </c>
      <c r="I7618" s="43" t="s">
        <v>949</v>
      </c>
      <c r="J7618" s="44" t="s">
        <v>1000</v>
      </c>
    </row>
    <row r="7619" ht="22" customHeight="1" spans="1:10" x14ac:dyDescent="0.25">
      <c r="A7619" s="43">
        <v>3130</v>
      </c>
      <c r="B7619" s="43">
        <v>18</v>
      </c>
      <c r="C7619" s="43" t="s">
        <v>962</v>
      </c>
      <c r="D7619" s="43" t="s">
        <v>1009</v>
      </c>
      <c r="E7619" s="43" t="s">
        <v>263</v>
      </c>
      <c r="F7619" s="43" t="s">
        <v>951</v>
      </c>
      <c r="G7619" s="43">
        <v>1877777</v>
      </c>
      <c r="H7619" s="43">
        <v>501100</v>
      </c>
      <c r="I7619" s="43" t="s">
        <v>949</v>
      </c>
      <c r="J7619" s="44" t="s">
        <v>1000</v>
      </c>
    </row>
    <row r="7620" ht="22" customHeight="1" spans="1:10" x14ac:dyDescent="0.25">
      <c r="A7620" s="43">
        <v>3130</v>
      </c>
      <c r="B7620" s="43">
        <v>18</v>
      </c>
      <c r="C7620" s="43" t="s">
        <v>962</v>
      </c>
      <c r="D7620" s="43" t="s">
        <v>1009</v>
      </c>
      <c r="E7620" s="43" t="s">
        <v>263</v>
      </c>
      <c r="F7620" s="43" t="s">
        <v>952</v>
      </c>
      <c r="G7620" s="43">
        <v>1877777</v>
      </c>
      <c r="H7620" s="43">
        <v>501100</v>
      </c>
      <c r="I7620" s="43" t="s">
        <v>949</v>
      </c>
      <c r="J7620" s="44" t="s">
        <v>1000</v>
      </c>
    </row>
    <row r="7621" ht="22" customHeight="1" spans="1:10" x14ac:dyDescent="0.25">
      <c r="A7621" s="43">
        <v>3130</v>
      </c>
      <c r="B7621" s="43">
        <v>18</v>
      </c>
      <c r="C7621" s="43" t="s">
        <v>962</v>
      </c>
      <c r="D7621" s="43" t="s">
        <v>1009</v>
      </c>
      <c r="E7621" s="43" t="s">
        <v>263</v>
      </c>
      <c r="F7621" s="43" t="s">
        <v>953</v>
      </c>
      <c r="G7621" s="43">
        <v>1877777</v>
      </c>
      <c r="H7621" s="43">
        <v>501100</v>
      </c>
      <c r="I7621" s="43" t="s">
        <v>949</v>
      </c>
      <c r="J7621" s="44" t="s">
        <v>1000</v>
      </c>
    </row>
    <row r="7622" ht="22" customHeight="1" spans="1:10" x14ac:dyDescent="0.25">
      <c r="A7622" s="43">
        <v>3130</v>
      </c>
      <c r="B7622" s="43">
        <v>18</v>
      </c>
      <c r="C7622" s="43" t="s">
        <v>962</v>
      </c>
      <c r="D7622" s="43" t="s">
        <v>1009</v>
      </c>
      <c r="E7622" s="43" t="s">
        <v>263</v>
      </c>
      <c r="F7622" s="43" t="s">
        <v>954</v>
      </c>
      <c r="G7622" s="43">
        <v>1877777</v>
      </c>
      <c r="H7622" s="43">
        <v>501100</v>
      </c>
      <c r="I7622" s="43" t="s">
        <v>949</v>
      </c>
      <c r="J7622" s="44" t="s">
        <v>1000</v>
      </c>
    </row>
    <row r="7623" ht="22" customHeight="1" spans="1:10" x14ac:dyDescent="0.25">
      <c r="A7623" s="43">
        <v>3130</v>
      </c>
      <c r="B7623" s="43">
        <v>18</v>
      </c>
      <c r="C7623" s="43" t="s">
        <v>962</v>
      </c>
      <c r="D7623" s="43" t="s">
        <v>1009</v>
      </c>
      <c r="E7623" s="43" t="s">
        <v>263</v>
      </c>
      <c r="F7623" s="43" t="s">
        <v>955</v>
      </c>
      <c r="G7623" s="43">
        <v>1877777</v>
      </c>
      <c r="H7623" s="43">
        <v>501100</v>
      </c>
      <c r="I7623" s="43" t="s">
        <v>949</v>
      </c>
      <c r="J7623" s="44" t="s">
        <v>1000</v>
      </c>
    </row>
    <row r="7624" ht="22" customHeight="1" spans="1:10" x14ac:dyDescent="0.25">
      <c r="A7624" s="43">
        <v>3130</v>
      </c>
      <c r="B7624" s="43">
        <v>18</v>
      </c>
      <c r="C7624" s="43" t="s">
        <v>962</v>
      </c>
      <c r="D7624" s="43" t="s">
        <v>1009</v>
      </c>
      <c r="E7624" s="43" t="s">
        <v>263</v>
      </c>
      <c r="F7624" s="43" t="s">
        <v>956</v>
      </c>
      <c r="G7624" s="43">
        <v>1877777</v>
      </c>
      <c r="H7624" s="43">
        <v>501100</v>
      </c>
      <c r="I7624" s="43" t="s">
        <v>949</v>
      </c>
      <c r="J7624" s="44" t="s">
        <v>1000</v>
      </c>
    </row>
    <row r="7625" ht="22" customHeight="1" spans="1:10" x14ac:dyDescent="0.25">
      <c r="A7625" s="43">
        <v>3130</v>
      </c>
      <c r="B7625" s="43">
        <v>18</v>
      </c>
      <c r="C7625" s="43" t="s">
        <v>962</v>
      </c>
      <c r="D7625" s="43" t="s">
        <v>1009</v>
      </c>
      <c r="E7625" s="43" t="s">
        <v>263</v>
      </c>
      <c r="F7625" s="43" t="s">
        <v>957</v>
      </c>
      <c r="G7625" s="43">
        <v>1877777</v>
      </c>
      <c r="H7625" s="43">
        <v>501100</v>
      </c>
      <c r="I7625" s="43" t="s">
        <v>949</v>
      </c>
      <c r="J7625" s="44" t="s">
        <v>1000</v>
      </c>
    </row>
    <row r="7626" ht="22" customHeight="1" spans="1:10" x14ac:dyDescent="0.25">
      <c r="A7626" s="43">
        <v>3130</v>
      </c>
      <c r="B7626" s="43">
        <v>18</v>
      </c>
      <c r="C7626" s="43" t="s">
        <v>962</v>
      </c>
      <c r="D7626" s="43" t="s">
        <v>1009</v>
      </c>
      <c r="E7626" s="43" t="s">
        <v>263</v>
      </c>
      <c r="F7626" s="43" t="s">
        <v>958</v>
      </c>
      <c r="G7626" s="43">
        <v>1877777</v>
      </c>
      <c r="H7626" s="43">
        <v>501100</v>
      </c>
      <c r="I7626" s="43" t="s">
        <v>949</v>
      </c>
      <c r="J7626" s="44" t="s">
        <v>1000</v>
      </c>
    </row>
    <row r="7627" ht="22" customHeight="1" spans="1:10" x14ac:dyDescent="0.25">
      <c r="A7627" s="43">
        <v>3130</v>
      </c>
      <c r="B7627" s="43">
        <v>18</v>
      </c>
      <c r="C7627" s="43" t="s">
        <v>962</v>
      </c>
      <c r="D7627" s="43" t="s">
        <v>1009</v>
      </c>
      <c r="E7627" s="43" t="s">
        <v>263</v>
      </c>
      <c r="F7627" s="43" t="s">
        <v>959</v>
      </c>
      <c r="G7627" s="43">
        <v>1877777</v>
      </c>
      <c r="H7627" s="43">
        <v>501100</v>
      </c>
      <c r="I7627" s="43" t="s">
        <v>949</v>
      </c>
      <c r="J7627" s="44" t="s">
        <v>1000</v>
      </c>
    </row>
    <row r="7628" ht="22" customHeight="1" spans="1:10" x14ac:dyDescent="0.25">
      <c r="A7628" s="43">
        <v>3130</v>
      </c>
      <c r="B7628" s="43">
        <v>18</v>
      </c>
      <c r="C7628" s="43" t="s">
        <v>962</v>
      </c>
      <c r="D7628" s="43" t="s">
        <v>1009</v>
      </c>
      <c r="E7628" s="43" t="s">
        <v>263</v>
      </c>
      <c r="F7628" s="43" t="s">
        <v>960</v>
      </c>
      <c r="G7628" s="43">
        <v>1877777</v>
      </c>
      <c r="H7628" s="43">
        <v>501100</v>
      </c>
      <c r="I7628" s="43" t="s">
        <v>949</v>
      </c>
      <c r="J7628" s="44" t="s">
        <v>1000</v>
      </c>
    </row>
    <row r="7629" ht="22" customHeight="1" spans="1:10" x14ac:dyDescent="0.25">
      <c r="A7629" s="43">
        <v>3130</v>
      </c>
      <c r="B7629" s="43">
        <v>18</v>
      </c>
      <c r="C7629" s="43" t="s">
        <v>962</v>
      </c>
      <c r="D7629" s="43" t="s">
        <v>1009</v>
      </c>
      <c r="E7629" s="43" t="s">
        <v>263</v>
      </c>
      <c r="F7629" s="43" t="s">
        <v>961</v>
      </c>
      <c r="G7629" s="43">
        <v>1877777</v>
      </c>
      <c r="H7629" s="43">
        <v>501100</v>
      </c>
      <c r="I7629" s="43" t="s">
        <v>949</v>
      </c>
      <c r="J7629" s="44" t="s">
        <v>1000</v>
      </c>
    </row>
    <row r="7630" ht="22" customHeight="1" spans="1:10" x14ac:dyDescent="0.25">
      <c r="A7630" s="43">
        <v>3130</v>
      </c>
      <c r="B7630" s="43">
        <v>18</v>
      </c>
      <c r="C7630" s="43" t="s">
        <v>963</v>
      </c>
      <c r="D7630" s="43" t="s">
        <v>1009</v>
      </c>
      <c r="E7630" s="43" t="s">
        <v>263</v>
      </c>
      <c r="F7630" s="43" t="s">
        <v>951</v>
      </c>
      <c r="G7630" s="43">
        <v>1877777</v>
      </c>
      <c r="H7630" s="43">
        <v>501100</v>
      </c>
      <c r="I7630" s="43" t="s">
        <v>949</v>
      </c>
      <c r="J7630" s="44" t="s">
        <v>1000</v>
      </c>
    </row>
    <row r="7631" ht="22" customHeight="1" spans="1:10" x14ac:dyDescent="0.25">
      <c r="A7631" s="43">
        <v>3130</v>
      </c>
      <c r="B7631" s="43">
        <v>18</v>
      </c>
      <c r="C7631" s="43" t="s">
        <v>963</v>
      </c>
      <c r="D7631" s="43" t="s">
        <v>1009</v>
      </c>
      <c r="E7631" s="43" t="s">
        <v>263</v>
      </c>
      <c r="F7631" s="43" t="s">
        <v>952</v>
      </c>
      <c r="G7631" s="43">
        <v>1877777</v>
      </c>
      <c r="H7631" s="43">
        <v>501100</v>
      </c>
      <c r="I7631" s="43" t="s">
        <v>949</v>
      </c>
      <c r="J7631" s="44" t="s">
        <v>1000</v>
      </c>
    </row>
    <row r="7632" ht="22" customHeight="1" spans="1:10" x14ac:dyDescent="0.25">
      <c r="A7632" s="43">
        <v>3130</v>
      </c>
      <c r="B7632" s="43">
        <v>18</v>
      </c>
      <c r="C7632" s="43" t="s">
        <v>963</v>
      </c>
      <c r="D7632" s="43" t="s">
        <v>1009</v>
      </c>
      <c r="E7632" s="43" t="s">
        <v>263</v>
      </c>
      <c r="F7632" s="43" t="s">
        <v>953</v>
      </c>
      <c r="G7632" s="43">
        <v>1877777</v>
      </c>
      <c r="H7632" s="43">
        <v>501100</v>
      </c>
      <c r="I7632" s="43" t="s">
        <v>949</v>
      </c>
      <c r="J7632" s="44" t="s">
        <v>1000</v>
      </c>
    </row>
    <row r="7633" ht="22" customHeight="1" spans="1:10" x14ac:dyDescent="0.25">
      <c r="A7633" s="43">
        <v>3130</v>
      </c>
      <c r="B7633" s="43">
        <v>18</v>
      </c>
      <c r="C7633" s="43" t="s">
        <v>963</v>
      </c>
      <c r="D7633" s="43" t="s">
        <v>1009</v>
      </c>
      <c r="E7633" s="43" t="s">
        <v>263</v>
      </c>
      <c r="F7633" s="43" t="s">
        <v>954</v>
      </c>
      <c r="G7633" s="43">
        <v>1877777</v>
      </c>
      <c r="H7633" s="43">
        <v>501100</v>
      </c>
      <c r="I7633" s="43" t="s">
        <v>949</v>
      </c>
      <c r="J7633" s="44" t="s">
        <v>1000</v>
      </c>
    </row>
    <row r="7634" ht="22" customHeight="1" spans="1:10" x14ac:dyDescent="0.25">
      <c r="A7634" s="43">
        <v>3130</v>
      </c>
      <c r="B7634" s="43">
        <v>18</v>
      </c>
      <c r="C7634" s="43" t="s">
        <v>963</v>
      </c>
      <c r="D7634" s="43" t="s">
        <v>1009</v>
      </c>
      <c r="E7634" s="43" t="s">
        <v>263</v>
      </c>
      <c r="F7634" s="43" t="s">
        <v>955</v>
      </c>
      <c r="G7634" s="43">
        <v>1877777</v>
      </c>
      <c r="H7634" s="43">
        <v>501100</v>
      </c>
      <c r="I7634" s="43" t="s">
        <v>949</v>
      </c>
      <c r="J7634" s="44" t="s">
        <v>1000</v>
      </c>
    </row>
    <row r="7635" ht="22" customHeight="1" spans="1:10" x14ac:dyDescent="0.25">
      <c r="A7635" s="43">
        <v>3130</v>
      </c>
      <c r="B7635" s="43">
        <v>18</v>
      </c>
      <c r="C7635" s="43" t="s">
        <v>963</v>
      </c>
      <c r="D7635" s="43" t="s">
        <v>1009</v>
      </c>
      <c r="E7635" s="43" t="s">
        <v>263</v>
      </c>
      <c r="F7635" s="43" t="s">
        <v>956</v>
      </c>
      <c r="G7635" s="43">
        <v>1877777</v>
      </c>
      <c r="H7635" s="43">
        <v>501100</v>
      </c>
      <c r="I7635" s="43" t="s">
        <v>949</v>
      </c>
      <c r="J7635" s="44" t="s">
        <v>1000</v>
      </c>
    </row>
    <row r="7636" ht="22" customHeight="1" spans="1:10" x14ac:dyDescent="0.25">
      <c r="A7636" s="43">
        <v>3130</v>
      </c>
      <c r="B7636" s="43">
        <v>18</v>
      </c>
      <c r="C7636" s="43" t="s">
        <v>963</v>
      </c>
      <c r="D7636" s="43" t="s">
        <v>1009</v>
      </c>
      <c r="E7636" s="43" t="s">
        <v>263</v>
      </c>
      <c r="F7636" s="43" t="s">
        <v>957</v>
      </c>
      <c r="G7636" s="43">
        <v>1877777</v>
      </c>
      <c r="H7636" s="43">
        <v>501100</v>
      </c>
      <c r="I7636" s="43" t="s">
        <v>949</v>
      </c>
      <c r="J7636" s="44" t="s">
        <v>1000</v>
      </c>
    </row>
    <row r="7637" ht="22" customHeight="1" spans="1:10" x14ac:dyDescent="0.25">
      <c r="A7637" s="43">
        <v>3130</v>
      </c>
      <c r="B7637" s="43">
        <v>18</v>
      </c>
      <c r="C7637" s="43" t="s">
        <v>963</v>
      </c>
      <c r="D7637" s="43" t="s">
        <v>1009</v>
      </c>
      <c r="E7637" s="43" t="s">
        <v>263</v>
      </c>
      <c r="F7637" s="43" t="s">
        <v>958</v>
      </c>
      <c r="G7637" s="43">
        <v>1877777</v>
      </c>
      <c r="H7637" s="43">
        <v>501100</v>
      </c>
      <c r="I7637" s="43" t="s">
        <v>949</v>
      </c>
      <c r="J7637" s="44" t="s">
        <v>1000</v>
      </c>
    </row>
    <row r="7638" ht="22" customHeight="1" spans="1:10" x14ac:dyDescent="0.25">
      <c r="A7638" s="43">
        <v>3130</v>
      </c>
      <c r="B7638" s="43">
        <v>18</v>
      </c>
      <c r="C7638" s="43" t="s">
        <v>963</v>
      </c>
      <c r="D7638" s="43" t="s">
        <v>1009</v>
      </c>
      <c r="E7638" s="43" t="s">
        <v>263</v>
      </c>
      <c r="F7638" s="43" t="s">
        <v>959</v>
      </c>
      <c r="G7638" s="43">
        <v>1877777</v>
      </c>
      <c r="H7638" s="43">
        <v>501100</v>
      </c>
      <c r="I7638" s="43" t="s">
        <v>949</v>
      </c>
      <c r="J7638" s="44" t="s">
        <v>1000</v>
      </c>
    </row>
    <row r="7639" ht="22" customHeight="1" spans="1:10" x14ac:dyDescent="0.25">
      <c r="A7639" s="43">
        <v>3130</v>
      </c>
      <c r="B7639" s="43">
        <v>18</v>
      </c>
      <c r="C7639" s="43" t="s">
        <v>963</v>
      </c>
      <c r="D7639" s="43" t="s">
        <v>1009</v>
      </c>
      <c r="E7639" s="43" t="s">
        <v>263</v>
      </c>
      <c r="F7639" s="43" t="s">
        <v>960</v>
      </c>
      <c r="G7639" s="43">
        <v>1877777</v>
      </c>
      <c r="H7639" s="43">
        <v>501100</v>
      </c>
      <c r="I7639" s="43" t="s">
        <v>949</v>
      </c>
      <c r="J7639" s="44" t="s">
        <v>1000</v>
      </c>
    </row>
    <row r="7640" ht="22" customHeight="1" spans="1:10" x14ac:dyDescent="0.25">
      <c r="A7640" s="43">
        <v>3130</v>
      </c>
      <c r="B7640" s="43">
        <v>18</v>
      </c>
      <c r="C7640" s="43" t="s">
        <v>963</v>
      </c>
      <c r="D7640" s="43" t="s">
        <v>1009</v>
      </c>
      <c r="E7640" s="43" t="s">
        <v>263</v>
      </c>
      <c r="F7640" s="43" t="s">
        <v>961</v>
      </c>
      <c r="G7640" s="43">
        <v>1877777</v>
      </c>
      <c r="H7640" s="43">
        <v>501100</v>
      </c>
      <c r="I7640" s="43" t="s">
        <v>949</v>
      </c>
      <c r="J7640" s="44" t="s">
        <v>1000</v>
      </c>
    </row>
    <row r="7641" spans="1:9" x14ac:dyDescent="0.25">
      <c r="A7641">
        <v>4122</v>
      </c>
      <c r="B7641">
        <v>18</v>
      </c>
      <c r="C7641" t="s">
        <v>946</v>
      </c>
      <c r="D7641" t="s">
        <v>1009</v>
      </c>
      <c r="E7641" t="s">
        <v>263</v>
      </c>
      <c r="F7641" t="s">
        <v>948</v>
      </c>
      <c r="G7641">
        <v>1800000</v>
      </c>
      <c r="H7641">
        <v>145000</v>
      </c>
      <c r="I7641" t="s">
        <v>949</v>
      </c>
    </row>
    <row r="7642" spans="1:9" x14ac:dyDescent="0.25">
      <c r="A7642">
        <v>4124</v>
      </c>
      <c r="B7642">
        <v>18</v>
      </c>
      <c r="C7642" t="s">
        <v>946</v>
      </c>
      <c r="D7642" t="s">
        <v>1009</v>
      </c>
      <c r="E7642" t="s">
        <v>263</v>
      </c>
      <c r="F7642" t="s">
        <v>948</v>
      </c>
      <c r="G7642">
        <v>1877777</v>
      </c>
      <c r="H7642">
        <v>501100</v>
      </c>
      <c r="I7642" t="s">
        <v>949</v>
      </c>
    </row>
    <row r="7643" spans="1:9" x14ac:dyDescent="0.25">
      <c r="A7643">
        <v>3130</v>
      </c>
      <c r="B7643">
        <v>18</v>
      </c>
      <c r="C7643" t="s">
        <v>950</v>
      </c>
      <c r="D7643" t="s">
        <v>1009</v>
      </c>
      <c r="E7643" t="s">
        <v>100</v>
      </c>
      <c r="F7643" t="s">
        <v>951</v>
      </c>
      <c r="G7643">
        <v>1877777</v>
      </c>
      <c r="H7643">
        <v>500220</v>
      </c>
      <c r="I7643" t="s">
        <v>949</v>
      </c>
    </row>
    <row r="7644" spans="1:9" x14ac:dyDescent="0.25">
      <c r="A7644">
        <v>3130</v>
      </c>
      <c r="B7644">
        <v>18</v>
      </c>
      <c r="C7644" t="s">
        <v>950</v>
      </c>
      <c r="D7644" t="s">
        <v>1009</v>
      </c>
      <c r="E7644" t="s">
        <v>100</v>
      </c>
      <c r="F7644" t="s">
        <v>952</v>
      </c>
      <c r="G7644">
        <v>1877777</v>
      </c>
      <c r="H7644">
        <v>500220</v>
      </c>
      <c r="I7644" t="s">
        <v>949</v>
      </c>
    </row>
    <row r="7645" spans="1:9" x14ac:dyDescent="0.25">
      <c r="A7645">
        <v>3130</v>
      </c>
      <c r="B7645">
        <v>18</v>
      </c>
      <c r="C7645" t="s">
        <v>950</v>
      </c>
      <c r="D7645" t="s">
        <v>1009</v>
      </c>
      <c r="E7645" t="s">
        <v>100</v>
      </c>
      <c r="F7645" t="s">
        <v>953</v>
      </c>
      <c r="G7645">
        <v>1877777</v>
      </c>
      <c r="H7645">
        <v>500220</v>
      </c>
      <c r="I7645" t="s">
        <v>949</v>
      </c>
    </row>
    <row r="7646" spans="1:9" x14ac:dyDescent="0.25">
      <c r="A7646">
        <v>3130</v>
      </c>
      <c r="B7646">
        <v>18</v>
      </c>
      <c r="C7646" t="s">
        <v>950</v>
      </c>
      <c r="D7646" t="s">
        <v>1009</v>
      </c>
      <c r="E7646" t="s">
        <v>100</v>
      </c>
      <c r="F7646" t="s">
        <v>954</v>
      </c>
      <c r="G7646">
        <v>1877777</v>
      </c>
      <c r="H7646">
        <v>500220</v>
      </c>
      <c r="I7646" t="s">
        <v>949</v>
      </c>
    </row>
    <row r="7647" spans="1:9" x14ac:dyDescent="0.25">
      <c r="A7647">
        <v>3130</v>
      </c>
      <c r="B7647">
        <v>18</v>
      </c>
      <c r="C7647" t="s">
        <v>950</v>
      </c>
      <c r="D7647" t="s">
        <v>1009</v>
      </c>
      <c r="E7647" t="s">
        <v>100</v>
      </c>
      <c r="F7647" t="s">
        <v>955</v>
      </c>
      <c r="G7647">
        <v>1877777</v>
      </c>
      <c r="H7647">
        <v>500220</v>
      </c>
      <c r="I7647" t="s">
        <v>949</v>
      </c>
    </row>
    <row r="7648" spans="1:9" x14ac:dyDescent="0.25">
      <c r="A7648">
        <v>3130</v>
      </c>
      <c r="B7648">
        <v>18</v>
      </c>
      <c r="C7648" t="s">
        <v>950</v>
      </c>
      <c r="D7648" t="s">
        <v>1009</v>
      </c>
      <c r="E7648" t="s">
        <v>100</v>
      </c>
      <c r="F7648" t="s">
        <v>956</v>
      </c>
      <c r="G7648">
        <v>1877777</v>
      </c>
      <c r="H7648">
        <v>500220</v>
      </c>
      <c r="I7648" t="s">
        <v>949</v>
      </c>
    </row>
    <row r="7649" spans="1:9" x14ac:dyDescent="0.25">
      <c r="A7649">
        <v>3130</v>
      </c>
      <c r="B7649">
        <v>18</v>
      </c>
      <c r="C7649" t="s">
        <v>950</v>
      </c>
      <c r="D7649" t="s">
        <v>1009</v>
      </c>
      <c r="E7649" t="s">
        <v>100</v>
      </c>
      <c r="F7649" t="s">
        <v>957</v>
      </c>
      <c r="G7649">
        <v>1877777</v>
      </c>
      <c r="H7649">
        <v>500220</v>
      </c>
      <c r="I7649" t="s">
        <v>949</v>
      </c>
    </row>
    <row r="7650" spans="1:9" x14ac:dyDescent="0.25">
      <c r="A7650">
        <v>3130</v>
      </c>
      <c r="B7650">
        <v>18</v>
      </c>
      <c r="C7650" t="s">
        <v>950</v>
      </c>
      <c r="D7650" t="s">
        <v>1009</v>
      </c>
      <c r="E7650" t="s">
        <v>100</v>
      </c>
      <c r="F7650" t="s">
        <v>958</v>
      </c>
      <c r="G7650">
        <v>1877777</v>
      </c>
      <c r="H7650">
        <v>500220</v>
      </c>
      <c r="I7650" t="s">
        <v>949</v>
      </c>
    </row>
    <row r="7651" spans="1:9" x14ac:dyDescent="0.25">
      <c r="A7651">
        <v>3130</v>
      </c>
      <c r="B7651">
        <v>18</v>
      </c>
      <c r="C7651" t="s">
        <v>950</v>
      </c>
      <c r="D7651" t="s">
        <v>1009</v>
      </c>
      <c r="E7651" t="s">
        <v>100</v>
      </c>
      <c r="F7651" t="s">
        <v>959</v>
      </c>
      <c r="G7651">
        <v>1877777</v>
      </c>
      <c r="H7651">
        <v>500220</v>
      </c>
      <c r="I7651" t="s">
        <v>949</v>
      </c>
    </row>
    <row r="7652" spans="1:9" x14ac:dyDescent="0.25">
      <c r="A7652">
        <v>3130</v>
      </c>
      <c r="B7652">
        <v>18</v>
      </c>
      <c r="C7652" t="s">
        <v>950</v>
      </c>
      <c r="D7652" t="s">
        <v>1009</v>
      </c>
      <c r="E7652" t="s">
        <v>100</v>
      </c>
      <c r="F7652" t="s">
        <v>960</v>
      </c>
      <c r="G7652">
        <v>1877777</v>
      </c>
      <c r="H7652">
        <v>500220</v>
      </c>
      <c r="I7652" t="s">
        <v>949</v>
      </c>
    </row>
    <row r="7653" spans="1:9" x14ac:dyDescent="0.25">
      <c r="A7653">
        <v>3130</v>
      </c>
      <c r="B7653">
        <v>18</v>
      </c>
      <c r="C7653" t="s">
        <v>950</v>
      </c>
      <c r="D7653" t="s">
        <v>1009</v>
      </c>
      <c r="E7653" t="s">
        <v>100</v>
      </c>
      <c r="F7653" t="s">
        <v>961</v>
      </c>
      <c r="G7653">
        <v>1877777</v>
      </c>
      <c r="H7653">
        <v>500220</v>
      </c>
      <c r="I7653" t="s">
        <v>949</v>
      </c>
    </row>
    <row r="7654" spans="1:9" x14ac:dyDescent="0.25">
      <c r="A7654">
        <v>3130</v>
      </c>
      <c r="B7654">
        <v>18</v>
      </c>
      <c r="C7654" t="s">
        <v>962</v>
      </c>
      <c r="D7654" t="s">
        <v>1009</v>
      </c>
      <c r="E7654" t="s">
        <v>100</v>
      </c>
      <c r="F7654" t="s">
        <v>951</v>
      </c>
      <c r="G7654">
        <v>1877777</v>
      </c>
      <c r="H7654">
        <v>500220</v>
      </c>
      <c r="I7654" t="s">
        <v>949</v>
      </c>
    </row>
    <row r="7655" spans="1:9" x14ac:dyDescent="0.25">
      <c r="A7655">
        <v>3130</v>
      </c>
      <c r="B7655">
        <v>18</v>
      </c>
      <c r="C7655" t="s">
        <v>962</v>
      </c>
      <c r="D7655" t="s">
        <v>1009</v>
      </c>
      <c r="E7655" t="s">
        <v>100</v>
      </c>
      <c r="F7655" t="s">
        <v>952</v>
      </c>
      <c r="G7655">
        <v>1877777</v>
      </c>
      <c r="H7655">
        <v>500220</v>
      </c>
      <c r="I7655" t="s">
        <v>949</v>
      </c>
    </row>
    <row r="7656" spans="1:9" x14ac:dyDescent="0.25">
      <c r="A7656">
        <v>3130</v>
      </c>
      <c r="B7656">
        <v>18</v>
      </c>
      <c r="C7656" t="s">
        <v>962</v>
      </c>
      <c r="D7656" t="s">
        <v>1009</v>
      </c>
      <c r="E7656" t="s">
        <v>100</v>
      </c>
      <c r="F7656" t="s">
        <v>953</v>
      </c>
      <c r="G7656">
        <v>1877777</v>
      </c>
      <c r="H7656">
        <v>500220</v>
      </c>
      <c r="I7656" t="s">
        <v>949</v>
      </c>
    </row>
    <row r="7657" spans="1:9" x14ac:dyDescent="0.25">
      <c r="A7657">
        <v>3130</v>
      </c>
      <c r="B7657">
        <v>18</v>
      </c>
      <c r="C7657" t="s">
        <v>962</v>
      </c>
      <c r="D7657" t="s">
        <v>1009</v>
      </c>
      <c r="E7657" t="s">
        <v>100</v>
      </c>
      <c r="F7657" t="s">
        <v>954</v>
      </c>
      <c r="G7657">
        <v>1877777</v>
      </c>
      <c r="H7657">
        <v>500220</v>
      </c>
      <c r="I7657" t="s">
        <v>949</v>
      </c>
    </row>
    <row r="7658" spans="1:9" x14ac:dyDescent="0.25">
      <c r="A7658">
        <v>3130</v>
      </c>
      <c r="B7658">
        <v>18</v>
      </c>
      <c r="C7658" t="s">
        <v>962</v>
      </c>
      <c r="D7658" t="s">
        <v>1009</v>
      </c>
      <c r="E7658" t="s">
        <v>100</v>
      </c>
      <c r="F7658" t="s">
        <v>955</v>
      </c>
      <c r="G7658">
        <v>1877777</v>
      </c>
      <c r="H7658">
        <v>500220</v>
      </c>
      <c r="I7658" t="s">
        <v>949</v>
      </c>
    </row>
    <row r="7659" spans="1:9" x14ac:dyDescent="0.25">
      <c r="A7659">
        <v>3130</v>
      </c>
      <c r="B7659">
        <v>18</v>
      </c>
      <c r="C7659" t="s">
        <v>962</v>
      </c>
      <c r="D7659" t="s">
        <v>1009</v>
      </c>
      <c r="E7659" t="s">
        <v>100</v>
      </c>
      <c r="F7659" t="s">
        <v>956</v>
      </c>
      <c r="G7659">
        <v>1877777</v>
      </c>
      <c r="H7659">
        <v>500220</v>
      </c>
      <c r="I7659" t="s">
        <v>949</v>
      </c>
    </row>
    <row r="7660" spans="1:9" x14ac:dyDescent="0.25">
      <c r="A7660">
        <v>3130</v>
      </c>
      <c r="B7660">
        <v>18</v>
      </c>
      <c r="C7660" t="s">
        <v>962</v>
      </c>
      <c r="D7660" t="s">
        <v>1009</v>
      </c>
      <c r="E7660" t="s">
        <v>100</v>
      </c>
      <c r="F7660" t="s">
        <v>957</v>
      </c>
      <c r="G7660">
        <v>1877777</v>
      </c>
      <c r="H7660">
        <v>500220</v>
      </c>
      <c r="I7660" t="s">
        <v>949</v>
      </c>
    </row>
    <row r="7661" spans="1:9" x14ac:dyDescent="0.25">
      <c r="A7661">
        <v>3130</v>
      </c>
      <c r="B7661">
        <v>18</v>
      </c>
      <c r="C7661" t="s">
        <v>962</v>
      </c>
      <c r="D7661" t="s">
        <v>1009</v>
      </c>
      <c r="E7661" t="s">
        <v>100</v>
      </c>
      <c r="F7661" t="s">
        <v>958</v>
      </c>
      <c r="G7661">
        <v>1877777</v>
      </c>
      <c r="H7661">
        <v>500220</v>
      </c>
      <c r="I7661" t="s">
        <v>949</v>
      </c>
    </row>
    <row r="7662" spans="1:9" x14ac:dyDescent="0.25">
      <c r="A7662">
        <v>3130</v>
      </c>
      <c r="B7662">
        <v>18</v>
      </c>
      <c r="C7662" t="s">
        <v>962</v>
      </c>
      <c r="D7662" t="s">
        <v>1009</v>
      </c>
      <c r="E7662" t="s">
        <v>100</v>
      </c>
      <c r="F7662" t="s">
        <v>959</v>
      </c>
      <c r="G7662">
        <v>1877777</v>
      </c>
      <c r="H7662">
        <v>500220</v>
      </c>
      <c r="I7662" t="s">
        <v>949</v>
      </c>
    </row>
    <row r="7663" spans="1:9" x14ac:dyDescent="0.25">
      <c r="A7663">
        <v>3130</v>
      </c>
      <c r="B7663">
        <v>18</v>
      </c>
      <c r="C7663" t="s">
        <v>962</v>
      </c>
      <c r="D7663" t="s">
        <v>1009</v>
      </c>
      <c r="E7663" t="s">
        <v>100</v>
      </c>
      <c r="F7663" t="s">
        <v>960</v>
      </c>
      <c r="G7663">
        <v>1877777</v>
      </c>
      <c r="H7663">
        <v>500220</v>
      </c>
      <c r="I7663" t="s">
        <v>949</v>
      </c>
    </row>
    <row r="7664" spans="1:9" x14ac:dyDescent="0.25">
      <c r="A7664">
        <v>3130</v>
      </c>
      <c r="B7664">
        <v>18</v>
      </c>
      <c r="C7664" t="s">
        <v>962</v>
      </c>
      <c r="D7664" t="s">
        <v>1009</v>
      </c>
      <c r="E7664" t="s">
        <v>100</v>
      </c>
      <c r="F7664" t="s">
        <v>961</v>
      </c>
      <c r="G7664">
        <v>1877777</v>
      </c>
      <c r="H7664">
        <v>500220</v>
      </c>
      <c r="I7664" t="s">
        <v>949</v>
      </c>
    </row>
    <row r="7665" spans="1:9" x14ac:dyDescent="0.25">
      <c r="A7665">
        <v>3130</v>
      </c>
      <c r="B7665">
        <v>18</v>
      </c>
      <c r="C7665" t="s">
        <v>963</v>
      </c>
      <c r="D7665" t="s">
        <v>1009</v>
      </c>
      <c r="E7665" t="s">
        <v>100</v>
      </c>
      <c r="F7665" t="s">
        <v>951</v>
      </c>
      <c r="G7665">
        <v>1877777</v>
      </c>
      <c r="H7665">
        <v>500220</v>
      </c>
      <c r="I7665" t="s">
        <v>949</v>
      </c>
    </row>
    <row r="7666" spans="1:9" x14ac:dyDescent="0.25">
      <c r="A7666">
        <v>3130</v>
      </c>
      <c r="B7666">
        <v>18</v>
      </c>
      <c r="C7666" t="s">
        <v>963</v>
      </c>
      <c r="D7666" t="s">
        <v>1009</v>
      </c>
      <c r="E7666" t="s">
        <v>100</v>
      </c>
      <c r="F7666" t="s">
        <v>952</v>
      </c>
      <c r="G7666">
        <v>1877777</v>
      </c>
      <c r="H7666">
        <v>500220</v>
      </c>
      <c r="I7666" t="s">
        <v>949</v>
      </c>
    </row>
    <row r="7667" spans="1:9" x14ac:dyDescent="0.25">
      <c r="A7667">
        <v>3130</v>
      </c>
      <c r="B7667">
        <v>18</v>
      </c>
      <c r="C7667" t="s">
        <v>963</v>
      </c>
      <c r="D7667" t="s">
        <v>1009</v>
      </c>
      <c r="E7667" t="s">
        <v>100</v>
      </c>
      <c r="F7667" t="s">
        <v>953</v>
      </c>
      <c r="G7667">
        <v>1877777</v>
      </c>
      <c r="H7667">
        <v>500220</v>
      </c>
      <c r="I7667" t="s">
        <v>949</v>
      </c>
    </row>
    <row r="7668" spans="1:9" x14ac:dyDescent="0.25">
      <c r="A7668">
        <v>3130</v>
      </c>
      <c r="B7668">
        <v>18</v>
      </c>
      <c r="C7668" t="s">
        <v>963</v>
      </c>
      <c r="D7668" t="s">
        <v>1009</v>
      </c>
      <c r="E7668" t="s">
        <v>100</v>
      </c>
      <c r="F7668" t="s">
        <v>954</v>
      </c>
      <c r="G7668">
        <v>1877777</v>
      </c>
      <c r="H7668">
        <v>500220</v>
      </c>
      <c r="I7668" t="s">
        <v>949</v>
      </c>
    </row>
    <row r="7669" spans="1:9" x14ac:dyDescent="0.25">
      <c r="A7669">
        <v>3130</v>
      </c>
      <c r="B7669">
        <v>18</v>
      </c>
      <c r="C7669" t="s">
        <v>963</v>
      </c>
      <c r="D7669" t="s">
        <v>1009</v>
      </c>
      <c r="E7669" t="s">
        <v>100</v>
      </c>
      <c r="F7669" t="s">
        <v>955</v>
      </c>
      <c r="G7669">
        <v>1877777</v>
      </c>
      <c r="H7669">
        <v>500220</v>
      </c>
      <c r="I7669" t="s">
        <v>949</v>
      </c>
    </row>
    <row r="7670" spans="1:9" x14ac:dyDescent="0.25">
      <c r="A7670">
        <v>3130</v>
      </c>
      <c r="B7670">
        <v>18</v>
      </c>
      <c r="C7670" t="s">
        <v>963</v>
      </c>
      <c r="D7670" t="s">
        <v>1009</v>
      </c>
      <c r="E7670" t="s">
        <v>100</v>
      </c>
      <c r="F7670" t="s">
        <v>956</v>
      </c>
      <c r="G7670">
        <v>1877777</v>
      </c>
      <c r="H7670">
        <v>500220</v>
      </c>
      <c r="I7670" t="s">
        <v>949</v>
      </c>
    </row>
    <row r="7671" spans="1:9" x14ac:dyDescent="0.25">
      <c r="A7671">
        <v>3130</v>
      </c>
      <c r="B7671">
        <v>18</v>
      </c>
      <c r="C7671" t="s">
        <v>963</v>
      </c>
      <c r="D7671" t="s">
        <v>1009</v>
      </c>
      <c r="E7671" t="s">
        <v>100</v>
      </c>
      <c r="F7671" t="s">
        <v>957</v>
      </c>
      <c r="G7671">
        <v>1877777</v>
      </c>
      <c r="H7671">
        <v>500220</v>
      </c>
      <c r="I7671" t="s">
        <v>949</v>
      </c>
    </row>
    <row r="7672" spans="1:9" x14ac:dyDescent="0.25">
      <c r="A7672">
        <v>3130</v>
      </c>
      <c r="B7672">
        <v>18</v>
      </c>
      <c r="C7672" t="s">
        <v>963</v>
      </c>
      <c r="D7672" t="s">
        <v>1009</v>
      </c>
      <c r="E7672" t="s">
        <v>100</v>
      </c>
      <c r="F7672" t="s">
        <v>958</v>
      </c>
      <c r="G7672">
        <v>1877777</v>
      </c>
      <c r="H7672">
        <v>500220</v>
      </c>
      <c r="I7672" t="s">
        <v>949</v>
      </c>
    </row>
    <row r="7673" spans="1:9" x14ac:dyDescent="0.25">
      <c r="A7673">
        <v>3130</v>
      </c>
      <c r="B7673">
        <v>18</v>
      </c>
      <c r="C7673" t="s">
        <v>963</v>
      </c>
      <c r="D7673" t="s">
        <v>1009</v>
      </c>
      <c r="E7673" t="s">
        <v>100</v>
      </c>
      <c r="F7673" t="s">
        <v>959</v>
      </c>
      <c r="G7673">
        <v>1877777</v>
      </c>
      <c r="H7673">
        <v>500220</v>
      </c>
      <c r="I7673" t="s">
        <v>949</v>
      </c>
    </row>
    <row r="7674" spans="1:9" x14ac:dyDescent="0.25">
      <c r="A7674">
        <v>3130</v>
      </c>
      <c r="B7674">
        <v>18</v>
      </c>
      <c r="C7674" t="s">
        <v>963</v>
      </c>
      <c r="D7674" t="s">
        <v>1009</v>
      </c>
      <c r="E7674" t="s">
        <v>100</v>
      </c>
      <c r="F7674" t="s">
        <v>960</v>
      </c>
      <c r="G7674">
        <v>1877777</v>
      </c>
      <c r="H7674">
        <v>500220</v>
      </c>
      <c r="I7674" t="s">
        <v>949</v>
      </c>
    </row>
    <row r="7675" spans="1:9" x14ac:dyDescent="0.25">
      <c r="A7675">
        <v>3130</v>
      </c>
      <c r="B7675">
        <v>18</v>
      </c>
      <c r="C7675" t="s">
        <v>963</v>
      </c>
      <c r="D7675" t="s">
        <v>1009</v>
      </c>
      <c r="E7675" t="s">
        <v>100</v>
      </c>
      <c r="F7675" t="s">
        <v>961</v>
      </c>
      <c r="G7675">
        <v>1877777</v>
      </c>
      <c r="H7675">
        <v>500220</v>
      </c>
      <c r="I7675" t="s">
        <v>949</v>
      </c>
    </row>
    <row r="7676" spans="1:9" x14ac:dyDescent="0.25">
      <c r="A7676">
        <v>4122</v>
      </c>
      <c r="B7676">
        <v>18</v>
      </c>
      <c r="C7676" t="s">
        <v>946</v>
      </c>
      <c r="D7676" t="s">
        <v>1009</v>
      </c>
      <c r="E7676" t="s">
        <v>100</v>
      </c>
      <c r="F7676" t="s">
        <v>948</v>
      </c>
      <c r="G7676">
        <v>1877777</v>
      </c>
      <c r="H7676">
        <v>500220</v>
      </c>
      <c r="I7676" t="s">
        <v>949</v>
      </c>
    </row>
    <row r="7677" spans="1:9" x14ac:dyDescent="0.25">
      <c r="A7677">
        <v>4124</v>
      </c>
      <c r="B7677">
        <v>18</v>
      </c>
      <c r="C7677" t="s">
        <v>946</v>
      </c>
      <c r="D7677" t="s">
        <v>1009</v>
      </c>
      <c r="E7677" t="s">
        <v>100</v>
      </c>
      <c r="F7677" t="s">
        <v>948</v>
      </c>
      <c r="G7677">
        <v>1877777</v>
      </c>
      <c r="H7677">
        <v>500221</v>
      </c>
      <c r="I7677" t="s">
        <v>949</v>
      </c>
    </row>
    <row r="7678" ht="22" customHeight="1" spans="1:10" x14ac:dyDescent="0.25">
      <c r="A7678" s="43">
        <v>3130</v>
      </c>
      <c r="B7678" s="43">
        <v>18</v>
      </c>
      <c r="C7678" s="43" t="s">
        <v>950</v>
      </c>
      <c r="D7678" s="43" t="s">
        <v>1009</v>
      </c>
      <c r="E7678" s="43" t="s">
        <v>270</v>
      </c>
      <c r="F7678" s="43" t="s">
        <v>951</v>
      </c>
      <c r="G7678" s="43">
        <v>1877777</v>
      </c>
      <c r="H7678" s="43">
        <v>501100</v>
      </c>
      <c r="I7678" s="43" t="s">
        <v>949</v>
      </c>
      <c r="J7678" s="44" t="s">
        <v>1000</v>
      </c>
    </row>
    <row r="7679" ht="22" customHeight="1" spans="1:10" x14ac:dyDescent="0.25">
      <c r="A7679" s="43">
        <v>3130</v>
      </c>
      <c r="B7679" s="43">
        <v>18</v>
      </c>
      <c r="C7679" s="43" t="s">
        <v>950</v>
      </c>
      <c r="D7679" s="43" t="s">
        <v>1009</v>
      </c>
      <c r="E7679" s="43" t="s">
        <v>270</v>
      </c>
      <c r="F7679" s="43" t="s">
        <v>952</v>
      </c>
      <c r="G7679" s="43">
        <v>1877777</v>
      </c>
      <c r="H7679" s="43">
        <v>501100</v>
      </c>
      <c r="I7679" s="43" t="s">
        <v>949</v>
      </c>
      <c r="J7679" s="44" t="s">
        <v>1000</v>
      </c>
    </row>
    <row r="7680" ht="22" customHeight="1" spans="1:10" x14ac:dyDescent="0.25">
      <c r="A7680" s="43">
        <v>3130</v>
      </c>
      <c r="B7680" s="43">
        <v>18</v>
      </c>
      <c r="C7680" s="43" t="s">
        <v>950</v>
      </c>
      <c r="D7680" s="43" t="s">
        <v>1009</v>
      </c>
      <c r="E7680" s="43" t="s">
        <v>270</v>
      </c>
      <c r="F7680" s="43" t="s">
        <v>953</v>
      </c>
      <c r="G7680" s="43">
        <v>1877777</v>
      </c>
      <c r="H7680" s="43">
        <v>501100</v>
      </c>
      <c r="I7680" s="43" t="s">
        <v>949</v>
      </c>
      <c r="J7680" s="44" t="s">
        <v>1000</v>
      </c>
    </row>
    <row r="7681" ht="22" customHeight="1" spans="1:10" x14ac:dyDescent="0.25">
      <c r="A7681" s="43">
        <v>3130</v>
      </c>
      <c r="B7681" s="43">
        <v>18</v>
      </c>
      <c r="C7681" s="43" t="s">
        <v>950</v>
      </c>
      <c r="D7681" s="43" t="s">
        <v>1009</v>
      </c>
      <c r="E7681" s="43" t="s">
        <v>270</v>
      </c>
      <c r="F7681" s="43" t="s">
        <v>954</v>
      </c>
      <c r="G7681" s="43">
        <v>1877777</v>
      </c>
      <c r="H7681" s="43">
        <v>501100</v>
      </c>
      <c r="I7681" s="43" t="s">
        <v>949</v>
      </c>
      <c r="J7681" s="44" t="s">
        <v>1000</v>
      </c>
    </row>
    <row r="7682" ht="22" customHeight="1" spans="1:10" x14ac:dyDescent="0.25">
      <c r="A7682" s="43">
        <v>3130</v>
      </c>
      <c r="B7682" s="43">
        <v>18</v>
      </c>
      <c r="C7682" s="43" t="s">
        <v>950</v>
      </c>
      <c r="D7682" s="43" t="s">
        <v>1009</v>
      </c>
      <c r="E7682" s="43" t="s">
        <v>270</v>
      </c>
      <c r="F7682" s="43" t="s">
        <v>955</v>
      </c>
      <c r="G7682" s="43">
        <v>1877777</v>
      </c>
      <c r="H7682" s="43">
        <v>501100</v>
      </c>
      <c r="I7682" s="43" t="s">
        <v>949</v>
      </c>
      <c r="J7682" s="44" t="s">
        <v>1000</v>
      </c>
    </row>
    <row r="7683" ht="22" customHeight="1" spans="1:10" x14ac:dyDescent="0.25">
      <c r="A7683" s="43">
        <v>3130</v>
      </c>
      <c r="B7683" s="43">
        <v>18</v>
      </c>
      <c r="C7683" s="43" t="s">
        <v>950</v>
      </c>
      <c r="D7683" s="43" t="s">
        <v>1009</v>
      </c>
      <c r="E7683" s="43" t="s">
        <v>270</v>
      </c>
      <c r="F7683" s="43" t="s">
        <v>956</v>
      </c>
      <c r="G7683" s="43">
        <v>1877777</v>
      </c>
      <c r="H7683" s="43">
        <v>501100</v>
      </c>
      <c r="I7683" s="43" t="s">
        <v>949</v>
      </c>
      <c r="J7683" s="44" t="s">
        <v>1000</v>
      </c>
    </row>
    <row r="7684" ht="22" customHeight="1" spans="1:10" x14ac:dyDescent="0.25">
      <c r="A7684" s="43">
        <v>3130</v>
      </c>
      <c r="B7684" s="43">
        <v>18</v>
      </c>
      <c r="C7684" s="43" t="s">
        <v>950</v>
      </c>
      <c r="D7684" s="43" t="s">
        <v>1009</v>
      </c>
      <c r="E7684" s="43" t="s">
        <v>270</v>
      </c>
      <c r="F7684" s="43" t="s">
        <v>957</v>
      </c>
      <c r="G7684" s="43">
        <v>1877777</v>
      </c>
      <c r="H7684" s="43">
        <v>501100</v>
      </c>
      <c r="I7684" s="43" t="s">
        <v>949</v>
      </c>
      <c r="J7684" s="44" t="s">
        <v>1000</v>
      </c>
    </row>
    <row r="7685" ht="22" customHeight="1" spans="1:10" x14ac:dyDescent="0.25">
      <c r="A7685" s="43">
        <v>3130</v>
      </c>
      <c r="B7685" s="43">
        <v>18</v>
      </c>
      <c r="C7685" s="43" t="s">
        <v>950</v>
      </c>
      <c r="D7685" s="43" t="s">
        <v>1009</v>
      </c>
      <c r="E7685" s="43" t="s">
        <v>270</v>
      </c>
      <c r="F7685" s="43" t="s">
        <v>958</v>
      </c>
      <c r="G7685" s="43">
        <v>1877777</v>
      </c>
      <c r="H7685" s="43">
        <v>501100</v>
      </c>
      <c r="I7685" s="43" t="s">
        <v>949</v>
      </c>
      <c r="J7685" s="44" t="s">
        <v>1000</v>
      </c>
    </row>
    <row r="7686" ht="22" customHeight="1" spans="1:10" x14ac:dyDescent="0.25">
      <c r="A7686" s="43">
        <v>3130</v>
      </c>
      <c r="B7686" s="43">
        <v>18</v>
      </c>
      <c r="C7686" s="43" t="s">
        <v>950</v>
      </c>
      <c r="D7686" s="43" t="s">
        <v>1009</v>
      </c>
      <c r="E7686" s="43" t="s">
        <v>270</v>
      </c>
      <c r="F7686" s="43" t="s">
        <v>959</v>
      </c>
      <c r="G7686" s="43">
        <v>1877777</v>
      </c>
      <c r="H7686" s="43">
        <v>501100</v>
      </c>
      <c r="I7686" s="43" t="s">
        <v>949</v>
      </c>
      <c r="J7686" s="44" t="s">
        <v>1000</v>
      </c>
    </row>
    <row r="7687" ht="22" customHeight="1" spans="1:10" x14ac:dyDescent="0.25">
      <c r="A7687" s="43">
        <v>3130</v>
      </c>
      <c r="B7687" s="43">
        <v>18</v>
      </c>
      <c r="C7687" s="43" t="s">
        <v>950</v>
      </c>
      <c r="D7687" s="43" t="s">
        <v>1009</v>
      </c>
      <c r="E7687" s="43" t="s">
        <v>270</v>
      </c>
      <c r="F7687" s="43" t="s">
        <v>960</v>
      </c>
      <c r="G7687" s="43">
        <v>1877777</v>
      </c>
      <c r="H7687" s="43">
        <v>501100</v>
      </c>
      <c r="I7687" s="43" t="s">
        <v>949</v>
      </c>
      <c r="J7687" s="44" t="s">
        <v>1000</v>
      </c>
    </row>
    <row r="7688" ht="22" customHeight="1" spans="1:10" x14ac:dyDescent="0.25">
      <c r="A7688" s="43">
        <v>3130</v>
      </c>
      <c r="B7688" s="43">
        <v>18</v>
      </c>
      <c r="C7688" s="43" t="s">
        <v>950</v>
      </c>
      <c r="D7688" s="43" t="s">
        <v>1009</v>
      </c>
      <c r="E7688" s="43" t="s">
        <v>270</v>
      </c>
      <c r="F7688" s="43" t="s">
        <v>961</v>
      </c>
      <c r="G7688" s="43">
        <v>1877777</v>
      </c>
      <c r="H7688" s="43">
        <v>501100</v>
      </c>
      <c r="I7688" s="43" t="s">
        <v>949</v>
      </c>
      <c r="J7688" s="44" t="s">
        <v>1000</v>
      </c>
    </row>
    <row r="7689" ht="22" customHeight="1" spans="1:10" x14ac:dyDescent="0.25">
      <c r="A7689" s="43">
        <v>3130</v>
      </c>
      <c r="B7689" s="43">
        <v>18</v>
      </c>
      <c r="C7689" s="43" t="s">
        <v>962</v>
      </c>
      <c r="D7689" s="43" t="s">
        <v>1009</v>
      </c>
      <c r="E7689" s="43" t="s">
        <v>270</v>
      </c>
      <c r="F7689" s="43" t="s">
        <v>951</v>
      </c>
      <c r="G7689" s="43">
        <v>1877777</v>
      </c>
      <c r="H7689" s="43">
        <v>501100</v>
      </c>
      <c r="I7689" s="43" t="s">
        <v>949</v>
      </c>
      <c r="J7689" s="44" t="s">
        <v>1000</v>
      </c>
    </row>
    <row r="7690" ht="22" customHeight="1" spans="1:10" x14ac:dyDescent="0.25">
      <c r="A7690" s="43">
        <v>3130</v>
      </c>
      <c r="B7690" s="43">
        <v>18</v>
      </c>
      <c r="C7690" s="43" t="s">
        <v>962</v>
      </c>
      <c r="D7690" s="43" t="s">
        <v>1009</v>
      </c>
      <c r="E7690" s="43" t="s">
        <v>270</v>
      </c>
      <c r="F7690" s="43" t="s">
        <v>952</v>
      </c>
      <c r="G7690" s="43">
        <v>1877777</v>
      </c>
      <c r="H7690" s="43">
        <v>501100</v>
      </c>
      <c r="I7690" s="43" t="s">
        <v>949</v>
      </c>
      <c r="J7690" s="44" t="s">
        <v>1000</v>
      </c>
    </row>
    <row r="7691" ht="22" customHeight="1" spans="1:10" x14ac:dyDescent="0.25">
      <c r="A7691" s="43">
        <v>3130</v>
      </c>
      <c r="B7691" s="43">
        <v>18</v>
      </c>
      <c r="C7691" s="43" t="s">
        <v>962</v>
      </c>
      <c r="D7691" s="43" t="s">
        <v>1009</v>
      </c>
      <c r="E7691" s="43" t="s">
        <v>270</v>
      </c>
      <c r="F7691" s="43" t="s">
        <v>953</v>
      </c>
      <c r="G7691" s="43">
        <v>1877777</v>
      </c>
      <c r="H7691" s="43">
        <v>501100</v>
      </c>
      <c r="I7691" s="43" t="s">
        <v>949</v>
      </c>
      <c r="J7691" s="44" t="s">
        <v>1000</v>
      </c>
    </row>
    <row r="7692" ht="22" customHeight="1" spans="1:10" x14ac:dyDescent="0.25">
      <c r="A7692" s="43">
        <v>3130</v>
      </c>
      <c r="B7692" s="43">
        <v>18</v>
      </c>
      <c r="C7692" s="43" t="s">
        <v>962</v>
      </c>
      <c r="D7692" s="43" t="s">
        <v>1009</v>
      </c>
      <c r="E7692" s="43" t="s">
        <v>270</v>
      </c>
      <c r="F7692" s="43" t="s">
        <v>954</v>
      </c>
      <c r="G7692" s="43">
        <v>1877777</v>
      </c>
      <c r="H7692" s="43">
        <v>501100</v>
      </c>
      <c r="I7692" s="43" t="s">
        <v>949</v>
      </c>
      <c r="J7692" s="44" t="s">
        <v>1000</v>
      </c>
    </row>
    <row r="7693" ht="22" customHeight="1" spans="1:10" x14ac:dyDescent="0.25">
      <c r="A7693" s="43">
        <v>3130</v>
      </c>
      <c r="B7693" s="43">
        <v>18</v>
      </c>
      <c r="C7693" s="43" t="s">
        <v>962</v>
      </c>
      <c r="D7693" s="43" t="s">
        <v>1009</v>
      </c>
      <c r="E7693" s="43" t="s">
        <v>270</v>
      </c>
      <c r="F7693" s="43" t="s">
        <v>955</v>
      </c>
      <c r="G7693" s="43">
        <v>1877777</v>
      </c>
      <c r="H7693" s="43">
        <v>501100</v>
      </c>
      <c r="I7693" s="43" t="s">
        <v>949</v>
      </c>
      <c r="J7693" s="44" t="s">
        <v>1000</v>
      </c>
    </row>
    <row r="7694" ht="22" customHeight="1" spans="1:10" x14ac:dyDescent="0.25">
      <c r="A7694" s="43">
        <v>3130</v>
      </c>
      <c r="B7694" s="43">
        <v>18</v>
      </c>
      <c r="C7694" s="43" t="s">
        <v>962</v>
      </c>
      <c r="D7694" s="43" t="s">
        <v>1009</v>
      </c>
      <c r="E7694" s="43" t="s">
        <v>270</v>
      </c>
      <c r="F7694" s="43" t="s">
        <v>956</v>
      </c>
      <c r="G7694" s="43">
        <v>1877777</v>
      </c>
      <c r="H7694" s="43">
        <v>501100</v>
      </c>
      <c r="I7694" s="43" t="s">
        <v>949</v>
      </c>
      <c r="J7694" s="44" t="s">
        <v>1000</v>
      </c>
    </row>
    <row r="7695" ht="22" customHeight="1" spans="1:10" x14ac:dyDescent="0.25">
      <c r="A7695" s="43">
        <v>3130</v>
      </c>
      <c r="B7695" s="43">
        <v>18</v>
      </c>
      <c r="C7695" s="43" t="s">
        <v>962</v>
      </c>
      <c r="D7695" s="43" t="s">
        <v>1009</v>
      </c>
      <c r="E7695" s="43" t="s">
        <v>270</v>
      </c>
      <c r="F7695" s="43" t="s">
        <v>957</v>
      </c>
      <c r="G7695" s="43">
        <v>1877777</v>
      </c>
      <c r="H7695" s="43">
        <v>501100</v>
      </c>
      <c r="I7695" s="43" t="s">
        <v>949</v>
      </c>
      <c r="J7695" s="44" t="s">
        <v>1000</v>
      </c>
    </row>
    <row r="7696" ht="22" customHeight="1" spans="1:10" x14ac:dyDescent="0.25">
      <c r="A7696" s="43">
        <v>3130</v>
      </c>
      <c r="B7696" s="43">
        <v>18</v>
      </c>
      <c r="C7696" s="43" t="s">
        <v>962</v>
      </c>
      <c r="D7696" s="43" t="s">
        <v>1009</v>
      </c>
      <c r="E7696" s="43" t="s">
        <v>270</v>
      </c>
      <c r="F7696" s="43" t="s">
        <v>958</v>
      </c>
      <c r="G7696" s="43">
        <v>1877777</v>
      </c>
      <c r="H7696" s="43">
        <v>501100</v>
      </c>
      <c r="I7696" s="43" t="s">
        <v>949</v>
      </c>
      <c r="J7696" s="44" t="s">
        <v>1000</v>
      </c>
    </row>
    <row r="7697" ht="22" customHeight="1" spans="1:10" x14ac:dyDescent="0.25">
      <c r="A7697" s="43">
        <v>3130</v>
      </c>
      <c r="B7697" s="43">
        <v>18</v>
      </c>
      <c r="C7697" s="43" t="s">
        <v>962</v>
      </c>
      <c r="D7697" s="43" t="s">
        <v>1009</v>
      </c>
      <c r="E7697" s="43" t="s">
        <v>270</v>
      </c>
      <c r="F7697" s="43" t="s">
        <v>959</v>
      </c>
      <c r="G7697" s="43">
        <v>1877777</v>
      </c>
      <c r="H7697" s="43">
        <v>501100</v>
      </c>
      <c r="I7697" s="43" t="s">
        <v>949</v>
      </c>
      <c r="J7697" s="44" t="s">
        <v>1000</v>
      </c>
    </row>
    <row r="7698" ht="22" customHeight="1" spans="1:10" x14ac:dyDescent="0.25">
      <c r="A7698" s="43">
        <v>3130</v>
      </c>
      <c r="B7698" s="43">
        <v>18</v>
      </c>
      <c r="C7698" s="43" t="s">
        <v>962</v>
      </c>
      <c r="D7698" s="43" t="s">
        <v>1009</v>
      </c>
      <c r="E7698" s="43" t="s">
        <v>270</v>
      </c>
      <c r="F7698" s="43" t="s">
        <v>960</v>
      </c>
      <c r="G7698" s="43">
        <v>1877777</v>
      </c>
      <c r="H7698" s="43">
        <v>501100</v>
      </c>
      <c r="I7698" s="43" t="s">
        <v>949</v>
      </c>
      <c r="J7698" s="44" t="s">
        <v>1000</v>
      </c>
    </row>
    <row r="7699" ht="22" customHeight="1" spans="1:10" x14ac:dyDescent="0.25">
      <c r="A7699" s="43">
        <v>3130</v>
      </c>
      <c r="B7699" s="43">
        <v>18</v>
      </c>
      <c r="C7699" s="43" t="s">
        <v>962</v>
      </c>
      <c r="D7699" s="43" t="s">
        <v>1009</v>
      </c>
      <c r="E7699" s="43" t="s">
        <v>270</v>
      </c>
      <c r="F7699" s="43" t="s">
        <v>961</v>
      </c>
      <c r="G7699" s="43">
        <v>1877777</v>
      </c>
      <c r="H7699" s="43">
        <v>501100</v>
      </c>
      <c r="I7699" s="43" t="s">
        <v>949</v>
      </c>
      <c r="J7699" s="44" t="s">
        <v>1000</v>
      </c>
    </row>
    <row r="7700" ht="22" customHeight="1" spans="1:10" x14ac:dyDescent="0.25">
      <c r="A7700" s="43">
        <v>3130</v>
      </c>
      <c r="B7700" s="43">
        <v>18</v>
      </c>
      <c r="C7700" s="43" t="s">
        <v>963</v>
      </c>
      <c r="D7700" s="43" t="s">
        <v>1009</v>
      </c>
      <c r="E7700" s="43" t="s">
        <v>270</v>
      </c>
      <c r="F7700" s="43" t="s">
        <v>951</v>
      </c>
      <c r="G7700" s="43">
        <v>1877777</v>
      </c>
      <c r="H7700" s="43">
        <v>501100</v>
      </c>
      <c r="I7700" s="43" t="s">
        <v>949</v>
      </c>
      <c r="J7700" s="44" t="s">
        <v>1000</v>
      </c>
    </row>
    <row r="7701" ht="22" customHeight="1" spans="1:10" x14ac:dyDescent="0.25">
      <c r="A7701" s="43">
        <v>3130</v>
      </c>
      <c r="B7701" s="43">
        <v>18</v>
      </c>
      <c r="C7701" s="43" t="s">
        <v>963</v>
      </c>
      <c r="D7701" s="43" t="s">
        <v>1009</v>
      </c>
      <c r="E7701" s="43" t="s">
        <v>270</v>
      </c>
      <c r="F7701" s="43" t="s">
        <v>952</v>
      </c>
      <c r="G7701" s="43">
        <v>1877777</v>
      </c>
      <c r="H7701" s="43">
        <v>501100</v>
      </c>
      <c r="I7701" s="43" t="s">
        <v>949</v>
      </c>
      <c r="J7701" s="44" t="s">
        <v>1000</v>
      </c>
    </row>
    <row r="7702" ht="22" customHeight="1" spans="1:10" x14ac:dyDescent="0.25">
      <c r="A7702" s="43">
        <v>3130</v>
      </c>
      <c r="B7702" s="43">
        <v>18</v>
      </c>
      <c r="C7702" s="43" t="s">
        <v>963</v>
      </c>
      <c r="D7702" s="43" t="s">
        <v>1009</v>
      </c>
      <c r="E7702" s="43" t="s">
        <v>270</v>
      </c>
      <c r="F7702" s="43" t="s">
        <v>953</v>
      </c>
      <c r="G7702" s="43">
        <v>1877777</v>
      </c>
      <c r="H7702" s="43">
        <v>501100</v>
      </c>
      <c r="I7702" s="43" t="s">
        <v>949</v>
      </c>
      <c r="J7702" s="44" t="s">
        <v>1000</v>
      </c>
    </row>
    <row r="7703" ht="22" customHeight="1" spans="1:10" x14ac:dyDescent="0.25">
      <c r="A7703" s="43">
        <v>3130</v>
      </c>
      <c r="B7703" s="43">
        <v>18</v>
      </c>
      <c r="C7703" s="43" t="s">
        <v>963</v>
      </c>
      <c r="D7703" s="43" t="s">
        <v>1009</v>
      </c>
      <c r="E7703" s="43" t="s">
        <v>270</v>
      </c>
      <c r="F7703" s="43" t="s">
        <v>954</v>
      </c>
      <c r="G7703" s="43">
        <v>1877777</v>
      </c>
      <c r="H7703" s="43">
        <v>501100</v>
      </c>
      <c r="I7703" s="43" t="s">
        <v>949</v>
      </c>
      <c r="J7703" s="44" t="s">
        <v>1000</v>
      </c>
    </row>
    <row r="7704" ht="22" customHeight="1" spans="1:10" x14ac:dyDescent="0.25">
      <c r="A7704" s="43">
        <v>3130</v>
      </c>
      <c r="B7704" s="43">
        <v>18</v>
      </c>
      <c r="C7704" s="43" t="s">
        <v>963</v>
      </c>
      <c r="D7704" s="43" t="s">
        <v>1009</v>
      </c>
      <c r="E7704" s="43" t="s">
        <v>270</v>
      </c>
      <c r="F7704" s="43" t="s">
        <v>955</v>
      </c>
      <c r="G7704" s="43">
        <v>1877777</v>
      </c>
      <c r="H7704" s="43">
        <v>501100</v>
      </c>
      <c r="I7704" s="43" t="s">
        <v>949</v>
      </c>
      <c r="J7704" s="44" t="s">
        <v>1000</v>
      </c>
    </row>
    <row r="7705" ht="22" customHeight="1" spans="1:10" x14ac:dyDescent="0.25">
      <c r="A7705" s="43">
        <v>3130</v>
      </c>
      <c r="B7705" s="43">
        <v>18</v>
      </c>
      <c r="C7705" s="43" t="s">
        <v>963</v>
      </c>
      <c r="D7705" s="43" t="s">
        <v>1009</v>
      </c>
      <c r="E7705" s="43" t="s">
        <v>270</v>
      </c>
      <c r="F7705" s="43" t="s">
        <v>956</v>
      </c>
      <c r="G7705" s="43">
        <v>1877777</v>
      </c>
      <c r="H7705" s="43">
        <v>501100</v>
      </c>
      <c r="I7705" s="43" t="s">
        <v>949</v>
      </c>
      <c r="J7705" s="44" t="s">
        <v>1000</v>
      </c>
    </row>
    <row r="7706" ht="22" customHeight="1" spans="1:10" x14ac:dyDescent="0.25">
      <c r="A7706" s="43">
        <v>3130</v>
      </c>
      <c r="B7706" s="43">
        <v>18</v>
      </c>
      <c r="C7706" s="43" t="s">
        <v>963</v>
      </c>
      <c r="D7706" s="43" t="s">
        <v>1009</v>
      </c>
      <c r="E7706" s="43" t="s">
        <v>270</v>
      </c>
      <c r="F7706" s="43" t="s">
        <v>957</v>
      </c>
      <c r="G7706" s="43">
        <v>1877777</v>
      </c>
      <c r="H7706" s="43">
        <v>501100</v>
      </c>
      <c r="I7706" s="43" t="s">
        <v>949</v>
      </c>
      <c r="J7706" s="44" t="s">
        <v>1000</v>
      </c>
    </row>
    <row r="7707" ht="22" customHeight="1" spans="1:10" x14ac:dyDescent="0.25">
      <c r="A7707" s="43">
        <v>3130</v>
      </c>
      <c r="B7707" s="43">
        <v>18</v>
      </c>
      <c r="C7707" s="43" t="s">
        <v>963</v>
      </c>
      <c r="D7707" s="43" t="s">
        <v>1009</v>
      </c>
      <c r="E7707" s="43" t="s">
        <v>270</v>
      </c>
      <c r="F7707" s="43" t="s">
        <v>958</v>
      </c>
      <c r="G7707" s="43">
        <v>1877777</v>
      </c>
      <c r="H7707" s="43">
        <v>501100</v>
      </c>
      <c r="I7707" s="43" t="s">
        <v>949</v>
      </c>
      <c r="J7707" s="44" t="s">
        <v>1000</v>
      </c>
    </row>
    <row r="7708" ht="22" customHeight="1" spans="1:10" x14ac:dyDescent="0.25">
      <c r="A7708" s="43">
        <v>3130</v>
      </c>
      <c r="B7708" s="43">
        <v>18</v>
      </c>
      <c r="C7708" s="43" t="s">
        <v>963</v>
      </c>
      <c r="D7708" s="43" t="s">
        <v>1009</v>
      </c>
      <c r="E7708" s="43" t="s">
        <v>270</v>
      </c>
      <c r="F7708" s="43" t="s">
        <v>959</v>
      </c>
      <c r="G7708" s="43">
        <v>1877777</v>
      </c>
      <c r="H7708" s="43">
        <v>501100</v>
      </c>
      <c r="I7708" s="43" t="s">
        <v>949</v>
      </c>
      <c r="J7708" s="44" t="s">
        <v>1000</v>
      </c>
    </row>
    <row r="7709" ht="22" customHeight="1" spans="1:10" x14ac:dyDescent="0.25">
      <c r="A7709" s="43">
        <v>3130</v>
      </c>
      <c r="B7709" s="43">
        <v>18</v>
      </c>
      <c r="C7709" s="43" t="s">
        <v>963</v>
      </c>
      <c r="D7709" s="43" t="s">
        <v>1009</v>
      </c>
      <c r="E7709" s="43" t="s">
        <v>270</v>
      </c>
      <c r="F7709" s="43" t="s">
        <v>960</v>
      </c>
      <c r="G7709" s="43">
        <v>1877777</v>
      </c>
      <c r="H7709" s="43">
        <v>501100</v>
      </c>
      <c r="I7709" s="43" t="s">
        <v>949</v>
      </c>
      <c r="J7709" s="44" t="s">
        <v>1000</v>
      </c>
    </row>
    <row r="7710" ht="22" customHeight="1" spans="1:10" x14ac:dyDescent="0.25">
      <c r="A7710" s="43">
        <v>3130</v>
      </c>
      <c r="B7710" s="43">
        <v>18</v>
      </c>
      <c r="C7710" s="43" t="s">
        <v>963</v>
      </c>
      <c r="D7710" s="43" t="s">
        <v>1009</v>
      </c>
      <c r="E7710" s="43" t="s">
        <v>270</v>
      </c>
      <c r="F7710" s="43" t="s">
        <v>961</v>
      </c>
      <c r="G7710" s="43">
        <v>1877777</v>
      </c>
      <c r="H7710" s="43">
        <v>501100</v>
      </c>
      <c r="I7710" s="43" t="s">
        <v>949</v>
      </c>
      <c r="J7710" s="44" t="s">
        <v>1000</v>
      </c>
    </row>
    <row r="7711" spans="1:9" x14ac:dyDescent="0.25">
      <c r="A7711">
        <v>4122</v>
      </c>
      <c r="B7711">
        <v>18</v>
      </c>
      <c r="C7711" t="s">
        <v>946</v>
      </c>
      <c r="D7711" t="s">
        <v>1009</v>
      </c>
      <c r="E7711" t="s">
        <v>270</v>
      </c>
      <c r="F7711" t="s">
        <v>948</v>
      </c>
      <c r="G7711">
        <v>1800000</v>
      </c>
      <c r="H7711">
        <v>145000</v>
      </c>
      <c r="I7711" t="s">
        <v>949</v>
      </c>
    </row>
    <row r="7712" spans="1:9" x14ac:dyDescent="0.25">
      <c r="A7712">
        <v>4124</v>
      </c>
      <c r="B7712">
        <v>18</v>
      </c>
      <c r="C7712" t="s">
        <v>946</v>
      </c>
      <c r="D7712" t="s">
        <v>1009</v>
      </c>
      <c r="E7712" t="s">
        <v>270</v>
      </c>
      <c r="F7712" t="s">
        <v>948</v>
      </c>
      <c r="G7712">
        <v>1877777</v>
      </c>
      <c r="H7712">
        <v>501100</v>
      </c>
      <c r="I7712" t="s">
        <v>949</v>
      </c>
    </row>
    <row r="7713" ht="22" customHeight="1" spans="1:10" x14ac:dyDescent="0.25">
      <c r="A7713" s="43">
        <v>3130</v>
      </c>
      <c r="B7713" s="43">
        <v>18</v>
      </c>
      <c r="C7713" s="43" t="s">
        <v>950</v>
      </c>
      <c r="D7713" s="43" t="s">
        <v>1009</v>
      </c>
      <c r="E7713" s="43" t="s">
        <v>274</v>
      </c>
      <c r="F7713" s="43" t="s">
        <v>951</v>
      </c>
      <c r="G7713" s="43">
        <v>1877777</v>
      </c>
      <c r="H7713" s="43">
        <v>501100</v>
      </c>
      <c r="I7713" s="43" t="s">
        <v>949</v>
      </c>
      <c r="J7713" s="44" t="s">
        <v>1000</v>
      </c>
    </row>
    <row r="7714" ht="22" customHeight="1" spans="1:10" x14ac:dyDescent="0.25">
      <c r="A7714" s="43">
        <v>3130</v>
      </c>
      <c r="B7714" s="43">
        <v>18</v>
      </c>
      <c r="C7714" s="43" t="s">
        <v>950</v>
      </c>
      <c r="D7714" s="43" t="s">
        <v>1009</v>
      </c>
      <c r="E7714" s="43" t="s">
        <v>274</v>
      </c>
      <c r="F7714" s="43" t="s">
        <v>952</v>
      </c>
      <c r="G7714" s="43">
        <v>1877777</v>
      </c>
      <c r="H7714" s="43">
        <v>501100</v>
      </c>
      <c r="I7714" s="43" t="s">
        <v>949</v>
      </c>
      <c r="J7714" s="44" t="s">
        <v>1000</v>
      </c>
    </row>
    <row r="7715" ht="22" customHeight="1" spans="1:10" x14ac:dyDescent="0.25">
      <c r="A7715" s="43">
        <v>3130</v>
      </c>
      <c r="B7715" s="43">
        <v>18</v>
      </c>
      <c r="C7715" s="43" t="s">
        <v>950</v>
      </c>
      <c r="D7715" s="43" t="s">
        <v>1009</v>
      </c>
      <c r="E7715" s="43" t="s">
        <v>274</v>
      </c>
      <c r="F7715" s="43" t="s">
        <v>953</v>
      </c>
      <c r="G7715" s="43">
        <v>1877777</v>
      </c>
      <c r="H7715" s="43">
        <v>501100</v>
      </c>
      <c r="I7715" s="43" t="s">
        <v>949</v>
      </c>
      <c r="J7715" s="44" t="s">
        <v>1000</v>
      </c>
    </row>
    <row r="7716" ht="22" customHeight="1" spans="1:10" x14ac:dyDescent="0.25">
      <c r="A7716" s="43">
        <v>3130</v>
      </c>
      <c r="B7716" s="43">
        <v>18</v>
      </c>
      <c r="C7716" s="43" t="s">
        <v>950</v>
      </c>
      <c r="D7716" s="43" t="s">
        <v>1009</v>
      </c>
      <c r="E7716" s="43" t="s">
        <v>274</v>
      </c>
      <c r="F7716" s="43" t="s">
        <v>954</v>
      </c>
      <c r="G7716" s="43">
        <v>1877777</v>
      </c>
      <c r="H7716" s="43">
        <v>501100</v>
      </c>
      <c r="I7716" s="43" t="s">
        <v>949</v>
      </c>
      <c r="J7716" s="44" t="s">
        <v>1000</v>
      </c>
    </row>
    <row r="7717" ht="22" customHeight="1" spans="1:10" x14ac:dyDescent="0.25">
      <c r="A7717" s="43">
        <v>3130</v>
      </c>
      <c r="B7717" s="43">
        <v>18</v>
      </c>
      <c r="C7717" s="43" t="s">
        <v>950</v>
      </c>
      <c r="D7717" s="43" t="s">
        <v>1009</v>
      </c>
      <c r="E7717" s="43" t="s">
        <v>274</v>
      </c>
      <c r="F7717" s="43" t="s">
        <v>955</v>
      </c>
      <c r="G7717" s="43">
        <v>1877777</v>
      </c>
      <c r="H7717" s="43">
        <v>501100</v>
      </c>
      <c r="I7717" s="43" t="s">
        <v>949</v>
      </c>
      <c r="J7717" s="44" t="s">
        <v>1000</v>
      </c>
    </row>
    <row r="7718" ht="22" customHeight="1" spans="1:10" x14ac:dyDescent="0.25">
      <c r="A7718" s="43">
        <v>3130</v>
      </c>
      <c r="B7718" s="43">
        <v>18</v>
      </c>
      <c r="C7718" s="43" t="s">
        <v>950</v>
      </c>
      <c r="D7718" s="43" t="s">
        <v>1009</v>
      </c>
      <c r="E7718" s="43" t="s">
        <v>274</v>
      </c>
      <c r="F7718" s="43" t="s">
        <v>956</v>
      </c>
      <c r="G7718" s="43">
        <v>1877777</v>
      </c>
      <c r="H7718" s="43">
        <v>501100</v>
      </c>
      <c r="I7718" s="43" t="s">
        <v>949</v>
      </c>
      <c r="J7718" s="44" t="s">
        <v>1000</v>
      </c>
    </row>
    <row r="7719" ht="22" customHeight="1" spans="1:10" x14ac:dyDescent="0.25">
      <c r="A7719" s="43">
        <v>3130</v>
      </c>
      <c r="B7719" s="43">
        <v>18</v>
      </c>
      <c r="C7719" s="43" t="s">
        <v>950</v>
      </c>
      <c r="D7719" s="43" t="s">
        <v>1009</v>
      </c>
      <c r="E7719" s="43" t="s">
        <v>274</v>
      </c>
      <c r="F7719" s="43" t="s">
        <v>957</v>
      </c>
      <c r="G7719" s="43">
        <v>1877777</v>
      </c>
      <c r="H7719" s="43">
        <v>501100</v>
      </c>
      <c r="I7719" s="43" t="s">
        <v>949</v>
      </c>
      <c r="J7719" s="44" t="s">
        <v>1000</v>
      </c>
    </row>
    <row r="7720" ht="22" customHeight="1" spans="1:10" x14ac:dyDescent="0.25">
      <c r="A7720" s="43">
        <v>3130</v>
      </c>
      <c r="B7720" s="43">
        <v>18</v>
      </c>
      <c r="C7720" s="43" t="s">
        <v>950</v>
      </c>
      <c r="D7720" s="43" t="s">
        <v>1009</v>
      </c>
      <c r="E7720" s="43" t="s">
        <v>274</v>
      </c>
      <c r="F7720" s="43" t="s">
        <v>958</v>
      </c>
      <c r="G7720" s="43">
        <v>1877777</v>
      </c>
      <c r="H7720" s="43">
        <v>501100</v>
      </c>
      <c r="I7720" s="43" t="s">
        <v>949</v>
      </c>
      <c r="J7720" s="44" t="s">
        <v>1000</v>
      </c>
    </row>
    <row r="7721" ht="22" customHeight="1" spans="1:10" x14ac:dyDescent="0.25">
      <c r="A7721" s="43">
        <v>3130</v>
      </c>
      <c r="B7721" s="43">
        <v>18</v>
      </c>
      <c r="C7721" s="43" t="s">
        <v>950</v>
      </c>
      <c r="D7721" s="43" t="s">
        <v>1009</v>
      </c>
      <c r="E7721" s="43" t="s">
        <v>274</v>
      </c>
      <c r="F7721" s="43" t="s">
        <v>959</v>
      </c>
      <c r="G7721" s="43">
        <v>1877777</v>
      </c>
      <c r="H7721" s="43">
        <v>501100</v>
      </c>
      <c r="I7721" s="43" t="s">
        <v>949</v>
      </c>
      <c r="J7721" s="44" t="s">
        <v>1000</v>
      </c>
    </row>
    <row r="7722" ht="22" customHeight="1" spans="1:10" x14ac:dyDescent="0.25">
      <c r="A7722" s="43">
        <v>3130</v>
      </c>
      <c r="B7722" s="43">
        <v>18</v>
      </c>
      <c r="C7722" s="43" t="s">
        <v>950</v>
      </c>
      <c r="D7722" s="43" t="s">
        <v>1009</v>
      </c>
      <c r="E7722" s="43" t="s">
        <v>274</v>
      </c>
      <c r="F7722" s="43" t="s">
        <v>960</v>
      </c>
      <c r="G7722" s="43">
        <v>1877777</v>
      </c>
      <c r="H7722" s="43">
        <v>501100</v>
      </c>
      <c r="I7722" s="43" t="s">
        <v>949</v>
      </c>
      <c r="J7722" s="44" t="s">
        <v>1000</v>
      </c>
    </row>
    <row r="7723" ht="22" customHeight="1" spans="1:10" x14ac:dyDescent="0.25">
      <c r="A7723" s="43">
        <v>3130</v>
      </c>
      <c r="B7723" s="43">
        <v>18</v>
      </c>
      <c r="C7723" s="43" t="s">
        <v>950</v>
      </c>
      <c r="D7723" s="43" t="s">
        <v>1009</v>
      </c>
      <c r="E7723" s="43" t="s">
        <v>274</v>
      </c>
      <c r="F7723" s="43" t="s">
        <v>961</v>
      </c>
      <c r="G7723" s="43">
        <v>1877777</v>
      </c>
      <c r="H7723" s="43">
        <v>501100</v>
      </c>
      <c r="I7723" s="43" t="s">
        <v>949</v>
      </c>
      <c r="J7723" s="44" t="s">
        <v>1000</v>
      </c>
    </row>
    <row r="7724" ht="22" customHeight="1" spans="1:10" x14ac:dyDescent="0.25">
      <c r="A7724" s="43">
        <v>3130</v>
      </c>
      <c r="B7724" s="43">
        <v>18</v>
      </c>
      <c r="C7724" s="43" t="s">
        <v>962</v>
      </c>
      <c r="D7724" s="43" t="s">
        <v>1009</v>
      </c>
      <c r="E7724" s="43" t="s">
        <v>274</v>
      </c>
      <c r="F7724" s="43" t="s">
        <v>951</v>
      </c>
      <c r="G7724" s="43">
        <v>1877777</v>
      </c>
      <c r="H7724" s="43">
        <v>501100</v>
      </c>
      <c r="I7724" s="43" t="s">
        <v>949</v>
      </c>
      <c r="J7724" s="44" t="s">
        <v>1000</v>
      </c>
    </row>
    <row r="7725" ht="22" customHeight="1" spans="1:10" x14ac:dyDescent="0.25">
      <c r="A7725" s="43">
        <v>3130</v>
      </c>
      <c r="B7725" s="43">
        <v>18</v>
      </c>
      <c r="C7725" s="43" t="s">
        <v>962</v>
      </c>
      <c r="D7725" s="43" t="s">
        <v>1009</v>
      </c>
      <c r="E7725" s="43" t="s">
        <v>274</v>
      </c>
      <c r="F7725" s="43" t="s">
        <v>952</v>
      </c>
      <c r="G7725" s="43">
        <v>1877777</v>
      </c>
      <c r="H7725" s="43">
        <v>501100</v>
      </c>
      <c r="I7725" s="43" t="s">
        <v>949</v>
      </c>
      <c r="J7725" s="44" t="s">
        <v>1000</v>
      </c>
    </row>
    <row r="7726" ht="22" customHeight="1" spans="1:10" x14ac:dyDescent="0.25">
      <c r="A7726" s="43">
        <v>3130</v>
      </c>
      <c r="B7726" s="43">
        <v>18</v>
      </c>
      <c r="C7726" s="43" t="s">
        <v>962</v>
      </c>
      <c r="D7726" s="43" t="s">
        <v>1009</v>
      </c>
      <c r="E7726" s="43" t="s">
        <v>274</v>
      </c>
      <c r="F7726" s="43" t="s">
        <v>953</v>
      </c>
      <c r="G7726" s="43">
        <v>1877777</v>
      </c>
      <c r="H7726" s="43">
        <v>501100</v>
      </c>
      <c r="I7726" s="43" t="s">
        <v>949</v>
      </c>
      <c r="J7726" s="44" t="s">
        <v>1000</v>
      </c>
    </row>
    <row r="7727" ht="22" customHeight="1" spans="1:10" x14ac:dyDescent="0.25">
      <c r="A7727" s="43">
        <v>3130</v>
      </c>
      <c r="B7727" s="43">
        <v>18</v>
      </c>
      <c r="C7727" s="43" t="s">
        <v>962</v>
      </c>
      <c r="D7727" s="43" t="s">
        <v>1009</v>
      </c>
      <c r="E7727" s="43" t="s">
        <v>274</v>
      </c>
      <c r="F7727" s="43" t="s">
        <v>954</v>
      </c>
      <c r="G7727" s="43">
        <v>1877777</v>
      </c>
      <c r="H7727" s="43">
        <v>501100</v>
      </c>
      <c r="I7727" s="43" t="s">
        <v>949</v>
      </c>
      <c r="J7727" s="44" t="s">
        <v>1000</v>
      </c>
    </row>
    <row r="7728" ht="22" customHeight="1" spans="1:10" x14ac:dyDescent="0.25">
      <c r="A7728" s="43">
        <v>3130</v>
      </c>
      <c r="B7728" s="43">
        <v>18</v>
      </c>
      <c r="C7728" s="43" t="s">
        <v>962</v>
      </c>
      <c r="D7728" s="43" t="s">
        <v>1009</v>
      </c>
      <c r="E7728" s="43" t="s">
        <v>274</v>
      </c>
      <c r="F7728" s="43" t="s">
        <v>955</v>
      </c>
      <c r="G7728" s="43">
        <v>1877777</v>
      </c>
      <c r="H7728" s="43">
        <v>501100</v>
      </c>
      <c r="I7728" s="43" t="s">
        <v>949</v>
      </c>
      <c r="J7728" s="44" t="s">
        <v>1000</v>
      </c>
    </row>
    <row r="7729" ht="22" customHeight="1" spans="1:10" x14ac:dyDescent="0.25">
      <c r="A7729" s="43">
        <v>3130</v>
      </c>
      <c r="B7729" s="43">
        <v>18</v>
      </c>
      <c r="C7729" s="43" t="s">
        <v>962</v>
      </c>
      <c r="D7729" s="43" t="s">
        <v>1009</v>
      </c>
      <c r="E7729" s="43" t="s">
        <v>274</v>
      </c>
      <c r="F7729" s="43" t="s">
        <v>956</v>
      </c>
      <c r="G7729" s="43">
        <v>1877777</v>
      </c>
      <c r="H7729" s="43">
        <v>501100</v>
      </c>
      <c r="I7729" s="43" t="s">
        <v>949</v>
      </c>
      <c r="J7729" s="44" t="s">
        <v>1000</v>
      </c>
    </row>
    <row r="7730" ht="22" customHeight="1" spans="1:10" x14ac:dyDescent="0.25">
      <c r="A7730" s="43">
        <v>3130</v>
      </c>
      <c r="B7730" s="43">
        <v>18</v>
      </c>
      <c r="C7730" s="43" t="s">
        <v>962</v>
      </c>
      <c r="D7730" s="43" t="s">
        <v>1009</v>
      </c>
      <c r="E7730" s="43" t="s">
        <v>274</v>
      </c>
      <c r="F7730" s="43" t="s">
        <v>957</v>
      </c>
      <c r="G7730" s="43">
        <v>1877777</v>
      </c>
      <c r="H7730" s="43">
        <v>501100</v>
      </c>
      <c r="I7730" s="43" t="s">
        <v>949</v>
      </c>
      <c r="J7730" s="44" t="s">
        <v>1000</v>
      </c>
    </row>
    <row r="7731" ht="22" customHeight="1" spans="1:10" x14ac:dyDescent="0.25">
      <c r="A7731" s="43">
        <v>3130</v>
      </c>
      <c r="B7731" s="43">
        <v>18</v>
      </c>
      <c r="C7731" s="43" t="s">
        <v>962</v>
      </c>
      <c r="D7731" s="43" t="s">
        <v>1009</v>
      </c>
      <c r="E7731" s="43" t="s">
        <v>274</v>
      </c>
      <c r="F7731" s="43" t="s">
        <v>958</v>
      </c>
      <c r="G7731" s="43">
        <v>1877777</v>
      </c>
      <c r="H7731" s="43">
        <v>501100</v>
      </c>
      <c r="I7731" s="43" t="s">
        <v>949</v>
      </c>
      <c r="J7731" s="44" t="s">
        <v>1000</v>
      </c>
    </row>
    <row r="7732" ht="22" customHeight="1" spans="1:10" x14ac:dyDescent="0.25">
      <c r="A7732" s="43">
        <v>3130</v>
      </c>
      <c r="B7732" s="43">
        <v>18</v>
      </c>
      <c r="C7732" s="43" t="s">
        <v>962</v>
      </c>
      <c r="D7732" s="43" t="s">
        <v>1009</v>
      </c>
      <c r="E7732" s="43" t="s">
        <v>274</v>
      </c>
      <c r="F7732" s="43" t="s">
        <v>959</v>
      </c>
      <c r="G7732" s="43">
        <v>1877777</v>
      </c>
      <c r="H7732" s="43">
        <v>501100</v>
      </c>
      <c r="I7732" s="43" t="s">
        <v>949</v>
      </c>
      <c r="J7732" s="44" t="s">
        <v>1000</v>
      </c>
    </row>
    <row r="7733" ht="22" customHeight="1" spans="1:10" x14ac:dyDescent="0.25">
      <c r="A7733" s="43">
        <v>3130</v>
      </c>
      <c r="B7733" s="43">
        <v>18</v>
      </c>
      <c r="C7733" s="43" t="s">
        <v>962</v>
      </c>
      <c r="D7733" s="43" t="s">
        <v>1009</v>
      </c>
      <c r="E7733" s="43" t="s">
        <v>274</v>
      </c>
      <c r="F7733" s="43" t="s">
        <v>960</v>
      </c>
      <c r="G7733" s="43">
        <v>1877777</v>
      </c>
      <c r="H7733" s="43">
        <v>501100</v>
      </c>
      <c r="I7733" s="43" t="s">
        <v>949</v>
      </c>
      <c r="J7733" s="44" t="s">
        <v>1000</v>
      </c>
    </row>
    <row r="7734" ht="22" customHeight="1" spans="1:10" x14ac:dyDescent="0.25">
      <c r="A7734" s="43">
        <v>3130</v>
      </c>
      <c r="B7734" s="43">
        <v>18</v>
      </c>
      <c r="C7734" s="43" t="s">
        <v>962</v>
      </c>
      <c r="D7734" s="43" t="s">
        <v>1009</v>
      </c>
      <c r="E7734" s="43" t="s">
        <v>274</v>
      </c>
      <c r="F7734" s="43" t="s">
        <v>961</v>
      </c>
      <c r="G7734" s="43">
        <v>1877777</v>
      </c>
      <c r="H7734" s="43">
        <v>501100</v>
      </c>
      <c r="I7734" s="43" t="s">
        <v>949</v>
      </c>
      <c r="J7734" s="44" t="s">
        <v>1000</v>
      </c>
    </row>
    <row r="7735" ht="22" customHeight="1" spans="1:10" x14ac:dyDescent="0.25">
      <c r="A7735" s="43">
        <v>3130</v>
      </c>
      <c r="B7735" s="43">
        <v>18</v>
      </c>
      <c r="C7735" s="43" t="s">
        <v>963</v>
      </c>
      <c r="D7735" s="43" t="s">
        <v>1009</v>
      </c>
      <c r="E7735" s="43" t="s">
        <v>274</v>
      </c>
      <c r="F7735" s="43" t="s">
        <v>951</v>
      </c>
      <c r="G7735" s="43">
        <v>1877777</v>
      </c>
      <c r="H7735" s="43">
        <v>501100</v>
      </c>
      <c r="I7735" s="43" t="s">
        <v>949</v>
      </c>
      <c r="J7735" s="44" t="s">
        <v>1000</v>
      </c>
    </row>
    <row r="7736" ht="22" customHeight="1" spans="1:10" x14ac:dyDescent="0.25">
      <c r="A7736" s="43">
        <v>3130</v>
      </c>
      <c r="B7736" s="43">
        <v>18</v>
      </c>
      <c r="C7736" s="43" t="s">
        <v>963</v>
      </c>
      <c r="D7736" s="43" t="s">
        <v>1009</v>
      </c>
      <c r="E7736" s="43" t="s">
        <v>274</v>
      </c>
      <c r="F7736" s="43" t="s">
        <v>952</v>
      </c>
      <c r="G7736" s="43">
        <v>1877777</v>
      </c>
      <c r="H7736" s="43">
        <v>501100</v>
      </c>
      <c r="I7736" s="43" t="s">
        <v>949</v>
      </c>
      <c r="J7736" s="44" t="s">
        <v>1000</v>
      </c>
    </row>
    <row r="7737" ht="22" customHeight="1" spans="1:10" x14ac:dyDescent="0.25">
      <c r="A7737" s="43">
        <v>3130</v>
      </c>
      <c r="B7737" s="43">
        <v>18</v>
      </c>
      <c r="C7737" s="43" t="s">
        <v>963</v>
      </c>
      <c r="D7737" s="43" t="s">
        <v>1009</v>
      </c>
      <c r="E7737" s="43" t="s">
        <v>274</v>
      </c>
      <c r="F7737" s="43" t="s">
        <v>953</v>
      </c>
      <c r="G7737" s="43">
        <v>1877777</v>
      </c>
      <c r="H7737" s="43">
        <v>501100</v>
      </c>
      <c r="I7737" s="43" t="s">
        <v>949</v>
      </c>
      <c r="J7737" s="44" t="s">
        <v>1000</v>
      </c>
    </row>
    <row r="7738" ht="22" customHeight="1" spans="1:10" x14ac:dyDescent="0.25">
      <c r="A7738" s="43">
        <v>3130</v>
      </c>
      <c r="B7738" s="43">
        <v>18</v>
      </c>
      <c r="C7738" s="43" t="s">
        <v>963</v>
      </c>
      <c r="D7738" s="43" t="s">
        <v>1009</v>
      </c>
      <c r="E7738" s="43" t="s">
        <v>274</v>
      </c>
      <c r="F7738" s="43" t="s">
        <v>954</v>
      </c>
      <c r="G7738" s="43">
        <v>1877777</v>
      </c>
      <c r="H7738" s="43">
        <v>501100</v>
      </c>
      <c r="I7738" s="43" t="s">
        <v>949</v>
      </c>
      <c r="J7738" s="44" t="s">
        <v>1000</v>
      </c>
    </row>
    <row r="7739" ht="22" customHeight="1" spans="1:10" x14ac:dyDescent="0.25">
      <c r="A7739" s="43">
        <v>3130</v>
      </c>
      <c r="B7739" s="43">
        <v>18</v>
      </c>
      <c r="C7739" s="43" t="s">
        <v>963</v>
      </c>
      <c r="D7739" s="43" t="s">
        <v>1009</v>
      </c>
      <c r="E7739" s="43" t="s">
        <v>274</v>
      </c>
      <c r="F7739" s="43" t="s">
        <v>955</v>
      </c>
      <c r="G7739" s="43">
        <v>1877777</v>
      </c>
      <c r="H7739" s="43">
        <v>501100</v>
      </c>
      <c r="I7739" s="43" t="s">
        <v>949</v>
      </c>
      <c r="J7739" s="44" t="s">
        <v>1000</v>
      </c>
    </row>
    <row r="7740" ht="22" customHeight="1" spans="1:10" x14ac:dyDescent="0.25">
      <c r="A7740" s="43">
        <v>3130</v>
      </c>
      <c r="B7740" s="43">
        <v>18</v>
      </c>
      <c r="C7740" s="43" t="s">
        <v>963</v>
      </c>
      <c r="D7740" s="43" t="s">
        <v>1009</v>
      </c>
      <c r="E7740" s="43" t="s">
        <v>274</v>
      </c>
      <c r="F7740" s="43" t="s">
        <v>956</v>
      </c>
      <c r="G7740" s="43">
        <v>1877777</v>
      </c>
      <c r="H7740" s="43">
        <v>501100</v>
      </c>
      <c r="I7740" s="43" t="s">
        <v>949</v>
      </c>
      <c r="J7740" s="44" t="s">
        <v>1000</v>
      </c>
    </row>
    <row r="7741" ht="22" customHeight="1" spans="1:10" x14ac:dyDescent="0.25">
      <c r="A7741" s="43">
        <v>3130</v>
      </c>
      <c r="B7741" s="43">
        <v>18</v>
      </c>
      <c r="C7741" s="43" t="s">
        <v>963</v>
      </c>
      <c r="D7741" s="43" t="s">
        <v>1009</v>
      </c>
      <c r="E7741" s="43" t="s">
        <v>274</v>
      </c>
      <c r="F7741" s="43" t="s">
        <v>957</v>
      </c>
      <c r="G7741" s="43">
        <v>1877777</v>
      </c>
      <c r="H7741" s="43">
        <v>501100</v>
      </c>
      <c r="I7741" s="43" t="s">
        <v>949</v>
      </c>
      <c r="J7741" s="44" t="s">
        <v>1000</v>
      </c>
    </row>
    <row r="7742" ht="22" customHeight="1" spans="1:10" x14ac:dyDescent="0.25">
      <c r="A7742" s="43">
        <v>3130</v>
      </c>
      <c r="B7742" s="43">
        <v>18</v>
      </c>
      <c r="C7742" s="43" t="s">
        <v>963</v>
      </c>
      <c r="D7742" s="43" t="s">
        <v>1009</v>
      </c>
      <c r="E7742" s="43" t="s">
        <v>274</v>
      </c>
      <c r="F7742" s="43" t="s">
        <v>958</v>
      </c>
      <c r="G7742" s="43">
        <v>1877777</v>
      </c>
      <c r="H7742" s="43">
        <v>501100</v>
      </c>
      <c r="I7742" s="43" t="s">
        <v>949</v>
      </c>
      <c r="J7742" s="44" t="s">
        <v>1000</v>
      </c>
    </row>
    <row r="7743" ht="22" customHeight="1" spans="1:10" x14ac:dyDescent="0.25">
      <c r="A7743" s="43">
        <v>3130</v>
      </c>
      <c r="B7743" s="43">
        <v>18</v>
      </c>
      <c r="C7743" s="43" t="s">
        <v>963</v>
      </c>
      <c r="D7743" s="43" t="s">
        <v>1009</v>
      </c>
      <c r="E7743" s="43" t="s">
        <v>274</v>
      </c>
      <c r="F7743" s="43" t="s">
        <v>959</v>
      </c>
      <c r="G7743" s="43">
        <v>1877777</v>
      </c>
      <c r="H7743" s="43">
        <v>501100</v>
      </c>
      <c r="I7743" s="43" t="s">
        <v>949</v>
      </c>
      <c r="J7743" s="44" t="s">
        <v>1000</v>
      </c>
    </row>
    <row r="7744" ht="22" customHeight="1" spans="1:10" x14ac:dyDescent="0.25">
      <c r="A7744" s="43">
        <v>3130</v>
      </c>
      <c r="B7744" s="43">
        <v>18</v>
      </c>
      <c r="C7744" s="43" t="s">
        <v>963</v>
      </c>
      <c r="D7744" s="43" t="s">
        <v>1009</v>
      </c>
      <c r="E7744" s="43" t="s">
        <v>274</v>
      </c>
      <c r="F7744" s="43" t="s">
        <v>960</v>
      </c>
      <c r="G7744" s="43">
        <v>1877777</v>
      </c>
      <c r="H7744" s="43">
        <v>501100</v>
      </c>
      <c r="I7744" s="43" t="s">
        <v>949</v>
      </c>
      <c r="J7744" s="44" t="s">
        <v>1000</v>
      </c>
    </row>
    <row r="7745" ht="22" customHeight="1" spans="1:10" x14ac:dyDescent="0.25">
      <c r="A7745" s="43">
        <v>3130</v>
      </c>
      <c r="B7745" s="43">
        <v>18</v>
      </c>
      <c r="C7745" s="43" t="s">
        <v>963</v>
      </c>
      <c r="D7745" s="43" t="s">
        <v>1009</v>
      </c>
      <c r="E7745" s="43" t="s">
        <v>274</v>
      </c>
      <c r="F7745" s="43" t="s">
        <v>961</v>
      </c>
      <c r="G7745" s="43">
        <v>1877777</v>
      </c>
      <c r="H7745" s="43">
        <v>501100</v>
      </c>
      <c r="I7745" s="43" t="s">
        <v>949</v>
      </c>
      <c r="J7745" s="44" t="s">
        <v>1000</v>
      </c>
    </row>
    <row r="7746" spans="1:9" x14ac:dyDescent="0.25">
      <c r="A7746">
        <v>4122</v>
      </c>
      <c r="B7746">
        <v>18</v>
      </c>
      <c r="C7746" t="s">
        <v>946</v>
      </c>
      <c r="D7746" t="s">
        <v>1009</v>
      </c>
      <c r="E7746" t="s">
        <v>274</v>
      </c>
      <c r="F7746" t="s">
        <v>948</v>
      </c>
      <c r="G7746">
        <v>1800000</v>
      </c>
      <c r="H7746">
        <v>143000</v>
      </c>
      <c r="I7746" t="s">
        <v>973</v>
      </c>
    </row>
    <row r="7747" spans="1:9" x14ac:dyDescent="0.25">
      <c r="A7747">
        <v>4124</v>
      </c>
      <c r="B7747">
        <v>18</v>
      </c>
      <c r="C7747" t="s">
        <v>946</v>
      </c>
      <c r="D7747" t="s">
        <v>1009</v>
      </c>
      <c r="E7747" t="s">
        <v>274</v>
      </c>
      <c r="F7747" t="s">
        <v>948</v>
      </c>
      <c r="G7747">
        <v>1877777</v>
      </c>
      <c r="H7747">
        <v>501100</v>
      </c>
      <c r="I7747" t="s">
        <v>949</v>
      </c>
    </row>
    <row r="7748" ht="22" customHeight="1" spans="1:10" x14ac:dyDescent="0.25">
      <c r="A7748" s="43">
        <v>3130</v>
      </c>
      <c r="B7748" s="43">
        <v>18</v>
      </c>
      <c r="C7748" s="43" t="s">
        <v>950</v>
      </c>
      <c r="D7748" s="43" t="s">
        <v>1009</v>
      </c>
      <c r="E7748" s="43" t="s">
        <v>974</v>
      </c>
      <c r="F7748" s="43" t="s">
        <v>951</v>
      </c>
      <c r="G7748" s="43">
        <v>1877777</v>
      </c>
      <c r="H7748" s="43">
        <v>501100</v>
      </c>
      <c r="I7748" s="43" t="s">
        <v>949</v>
      </c>
      <c r="J7748" s="44" t="s">
        <v>1000</v>
      </c>
    </row>
    <row r="7749" ht="22" customHeight="1" spans="1:10" x14ac:dyDescent="0.25">
      <c r="A7749" s="43">
        <v>3130</v>
      </c>
      <c r="B7749" s="43">
        <v>18</v>
      </c>
      <c r="C7749" s="43" t="s">
        <v>950</v>
      </c>
      <c r="D7749" s="43" t="s">
        <v>1009</v>
      </c>
      <c r="E7749" s="43" t="s">
        <v>974</v>
      </c>
      <c r="F7749" s="43" t="s">
        <v>952</v>
      </c>
      <c r="G7749" s="43">
        <v>1877777</v>
      </c>
      <c r="H7749" s="43">
        <v>501100</v>
      </c>
      <c r="I7749" s="43" t="s">
        <v>949</v>
      </c>
      <c r="J7749" s="44" t="s">
        <v>1000</v>
      </c>
    </row>
    <row r="7750" ht="22" customHeight="1" spans="1:10" x14ac:dyDescent="0.25">
      <c r="A7750" s="43">
        <v>3130</v>
      </c>
      <c r="B7750" s="43">
        <v>18</v>
      </c>
      <c r="C7750" s="43" t="s">
        <v>950</v>
      </c>
      <c r="D7750" s="43" t="s">
        <v>1009</v>
      </c>
      <c r="E7750" s="43" t="s">
        <v>974</v>
      </c>
      <c r="F7750" s="43" t="s">
        <v>953</v>
      </c>
      <c r="G7750" s="43">
        <v>1877777</v>
      </c>
      <c r="H7750" s="43">
        <v>501100</v>
      </c>
      <c r="I7750" s="43" t="s">
        <v>949</v>
      </c>
      <c r="J7750" s="44" t="s">
        <v>1000</v>
      </c>
    </row>
    <row r="7751" ht="22" customHeight="1" spans="1:10" x14ac:dyDescent="0.25">
      <c r="A7751" s="43">
        <v>3130</v>
      </c>
      <c r="B7751" s="43">
        <v>18</v>
      </c>
      <c r="C7751" s="43" t="s">
        <v>950</v>
      </c>
      <c r="D7751" s="43" t="s">
        <v>1009</v>
      </c>
      <c r="E7751" s="43" t="s">
        <v>974</v>
      </c>
      <c r="F7751" s="43" t="s">
        <v>954</v>
      </c>
      <c r="G7751" s="43">
        <v>1877777</v>
      </c>
      <c r="H7751" s="43">
        <v>501100</v>
      </c>
      <c r="I7751" s="43" t="s">
        <v>949</v>
      </c>
      <c r="J7751" s="44" t="s">
        <v>1000</v>
      </c>
    </row>
    <row r="7752" ht="22" customHeight="1" spans="1:10" x14ac:dyDescent="0.25">
      <c r="A7752" s="43">
        <v>3130</v>
      </c>
      <c r="B7752" s="43">
        <v>18</v>
      </c>
      <c r="C7752" s="43" t="s">
        <v>950</v>
      </c>
      <c r="D7752" s="43" t="s">
        <v>1009</v>
      </c>
      <c r="E7752" s="43" t="s">
        <v>974</v>
      </c>
      <c r="F7752" s="43" t="s">
        <v>955</v>
      </c>
      <c r="G7752" s="43">
        <v>1877777</v>
      </c>
      <c r="H7752" s="43">
        <v>501100</v>
      </c>
      <c r="I7752" s="43" t="s">
        <v>949</v>
      </c>
      <c r="J7752" s="44" t="s">
        <v>1000</v>
      </c>
    </row>
    <row r="7753" ht="22" customHeight="1" spans="1:10" x14ac:dyDescent="0.25">
      <c r="A7753" s="43">
        <v>3130</v>
      </c>
      <c r="B7753" s="43">
        <v>18</v>
      </c>
      <c r="C7753" s="43" t="s">
        <v>950</v>
      </c>
      <c r="D7753" s="43" t="s">
        <v>1009</v>
      </c>
      <c r="E7753" s="43" t="s">
        <v>974</v>
      </c>
      <c r="F7753" s="43" t="s">
        <v>956</v>
      </c>
      <c r="G7753" s="43">
        <v>1877777</v>
      </c>
      <c r="H7753" s="43">
        <v>501100</v>
      </c>
      <c r="I7753" s="43" t="s">
        <v>949</v>
      </c>
      <c r="J7753" s="44" t="s">
        <v>1000</v>
      </c>
    </row>
    <row r="7754" ht="22" customHeight="1" spans="1:10" x14ac:dyDescent="0.25">
      <c r="A7754" s="43">
        <v>3130</v>
      </c>
      <c r="B7754" s="43">
        <v>18</v>
      </c>
      <c r="C7754" s="43" t="s">
        <v>950</v>
      </c>
      <c r="D7754" s="43" t="s">
        <v>1009</v>
      </c>
      <c r="E7754" s="43" t="s">
        <v>974</v>
      </c>
      <c r="F7754" s="43" t="s">
        <v>957</v>
      </c>
      <c r="G7754" s="43">
        <v>1877777</v>
      </c>
      <c r="H7754" s="43">
        <v>501100</v>
      </c>
      <c r="I7754" s="43" t="s">
        <v>949</v>
      </c>
      <c r="J7754" s="44" t="s">
        <v>1000</v>
      </c>
    </row>
    <row r="7755" ht="22" customHeight="1" spans="1:10" x14ac:dyDescent="0.25">
      <c r="A7755" s="43">
        <v>3130</v>
      </c>
      <c r="B7755" s="43">
        <v>18</v>
      </c>
      <c r="C7755" s="43" t="s">
        <v>950</v>
      </c>
      <c r="D7755" s="43" t="s">
        <v>1009</v>
      </c>
      <c r="E7755" s="43" t="s">
        <v>974</v>
      </c>
      <c r="F7755" s="43" t="s">
        <v>958</v>
      </c>
      <c r="G7755" s="43">
        <v>1877777</v>
      </c>
      <c r="H7755" s="43">
        <v>501100</v>
      </c>
      <c r="I7755" s="43" t="s">
        <v>949</v>
      </c>
      <c r="J7755" s="44" t="s">
        <v>1000</v>
      </c>
    </row>
    <row r="7756" ht="22" customHeight="1" spans="1:10" x14ac:dyDescent="0.25">
      <c r="A7756" s="43">
        <v>3130</v>
      </c>
      <c r="B7756" s="43">
        <v>18</v>
      </c>
      <c r="C7756" s="43" t="s">
        <v>950</v>
      </c>
      <c r="D7756" s="43" t="s">
        <v>1009</v>
      </c>
      <c r="E7756" s="43" t="s">
        <v>974</v>
      </c>
      <c r="F7756" s="43" t="s">
        <v>959</v>
      </c>
      <c r="G7756" s="43">
        <v>1877777</v>
      </c>
      <c r="H7756" s="43">
        <v>501100</v>
      </c>
      <c r="I7756" s="43" t="s">
        <v>949</v>
      </c>
      <c r="J7756" s="44" t="s">
        <v>1000</v>
      </c>
    </row>
    <row r="7757" ht="22" customHeight="1" spans="1:10" x14ac:dyDescent="0.25">
      <c r="A7757" s="43">
        <v>3130</v>
      </c>
      <c r="B7757" s="43">
        <v>18</v>
      </c>
      <c r="C7757" s="43" t="s">
        <v>950</v>
      </c>
      <c r="D7757" s="43" t="s">
        <v>1009</v>
      </c>
      <c r="E7757" s="43" t="s">
        <v>974</v>
      </c>
      <c r="F7757" s="43" t="s">
        <v>960</v>
      </c>
      <c r="G7757" s="43">
        <v>1877777</v>
      </c>
      <c r="H7757" s="43">
        <v>501100</v>
      </c>
      <c r="I7757" s="43" t="s">
        <v>949</v>
      </c>
      <c r="J7757" s="44" t="s">
        <v>1000</v>
      </c>
    </row>
    <row r="7758" ht="22" customHeight="1" spans="1:10" x14ac:dyDescent="0.25">
      <c r="A7758" s="43">
        <v>3130</v>
      </c>
      <c r="B7758" s="43">
        <v>18</v>
      </c>
      <c r="C7758" s="43" t="s">
        <v>950</v>
      </c>
      <c r="D7758" s="43" t="s">
        <v>1009</v>
      </c>
      <c r="E7758" s="43" t="s">
        <v>974</v>
      </c>
      <c r="F7758" s="43" t="s">
        <v>961</v>
      </c>
      <c r="G7758" s="43">
        <v>1877777</v>
      </c>
      <c r="H7758" s="43">
        <v>501100</v>
      </c>
      <c r="I7758" s="43" t="s">
        <v>949</v>
      </c>
      <c r="J7758" s="44" t="s">
        <v>1000</v>
      </c>
    </row>
    <row r="7759" ht="22" customHeight="1" spans="1:10" x14ac:dyDescent="0.25">
      <c r="A7759" s="43">
        <v>3130</v>
      </c>
      <c r="B7759" s="43">
        <v>18</v>
      </c>
      <c r="C7759" s="43" t="s">
        <v>962</v>
      </c>
      <c r="D7759" s="43" t="s">
        <v>1009</v>
      </c>
      <c r="E7759" s="43" t="s">
        <v>974</v>
      </c>
      <c r="F7759" s="43" t="s">
        <v>951</v>
      </c>
      <c r="G7759" s="43">
        <v>1877777</v>
      </c>
      <c r="H7759" s="43">
        <v>501100</v>
      </c>
      <c r="I7759" s="43" t="s">
        <v>949</v>
      </c>
      <c r="J7759" s="44" t="s">
        <v>1000</v>
      </c>
    </row>
    <row r="7760" ht="22" customHeight="1" spans="1:10" x14ac:dyDescent="0.25">
      <c r="A7760" s="43">
        <v>3130</v>
      </c>
      <c r="B7760" s="43">
        <v>18</v>
      </c>
      <c r="C7760" s="43" t="s">
        <v>962</v>
      </c>
      <c r="D7760" s="43" t="s">
        <v>1009</v>
      </c>
      <c r="E7760" s="43" t="s">
        <v>974</v>
      </c>
      <c r="F7760" s="43" t="s">
        <v>952</v>
      </c>
      <c r="G7760" s="43">
        <v>1877777</v>
      </c>
      <c r="H7760" s="43">
        <v>501100</v>
      </c>
      <c r="I7760" s="43" t="s">
        <v>949</v>
      </c>
      <c r="J7760" s="44" t="s">
        <v>1000</v>
      </c>
    </row>
    <row r="7761" ht="22" customHeight="1" spans="1:10" x14ac:dyDescent="0.25">
      <c r="A7761" s="43">
        <v>3130</v>
      </c>
      <c r="B7761" s="43">
        <v>18</v>
      </c>
      <c r="C7761" s="43" t="s">
        <v>962</v>
      </c>
      <c r="D7761" s="43" t="s">
        <v>1009</v>
      </c>
      <c r="E7761" s="43" t="s">
        <v>974</v>
      </c>
      <c r="F7761" s="43" t="s">
        <v>953</v>
      </c>
      <c r="G7761" s="43">
        <v>1877777</v>
      </c>
      <c r="H7761" s="43">
        <v>501100</v>
      </c>
      <c r="I7761" s="43" t="s">
        <v>949</v>
      </c>
      <c r="J7761" s="44" t="s">
        <v>1000</v>
      </c>
    </row>
    <row r="7762" ht="22" customHeight="1" spans="1:10" x14ac:dyDescent="0.25">
      <c r="A7762" s="43">
        <v>3130</v>
      </c>
      <c r="B7762" s="43">
        <v>18</v>
      </c>
      <c r="C7762" s="43" t="s">
        <v>962</v>
      </c>
      <c r="D7762" s="43" t="s">
        <v>1009</v>
      </c>
      <c r="E7762" s="43" t="s">
        <v>974</v>
      </c>
      <c r="F7762" s="43" t="s">
        <v>954</v>
      </c>
      <c r="G7762" s="43">
        <v>1877777</v>
      </c>
      <c r="H7762" s="43">
        <v>501100</v>
      </c>
      <c r="I7762" s="43" t="s">
        <v>949</v>
      </c>
      <c r="J7762" s="44" t="s">
        <v>1000</v>
      </c>
    </row>
    <row r="7763" ht="22" customHeight="1" spans="1:10" x14ac:dyDescent="0.25">
      <c r="A7763" s="43">
        <v>3130</v>
      </c>
      <c r="B7763" s="43">
        <v>18</v>
      </c>
      <c r="C7763" s="43" t="s">
        <v>962</v>
      </c>
      <c r="D7763" s="43" t="s">
        <v>1009</v>
      </c>
      <c r="E7763" s="43" t="s">
        <v>974</v>
      </c>
      <c r="F7763" s="43" t="s">
        <v>955</v>
      </c>
      <c r="G7763" s="43">
        <v>1877777</v>
      </c>
      <c r="H7763" s="43">
        <v>501100</v>
      </c>
      <c r="I7763" s="43" t="s">
        <v>949</v>
      </c>
      <c r="J7763" s="44" t="s">
        <v>1000</v>
      </c>
    </row>
    <row r="7764" ht="22" customHeight="1" spans="1:10" x14ac:dyDescent="0.25">
      <c r="A7764" s="43">
        <v>3130</v>
      </c>
      <c r="B7764" s="43">
        <v>18</v>
      </c>
      <c r="C7764" s="43" t="s">
        <v>962</v>
      </c>
      <c r="D7764" s="43" t="s">
        <v>1009</v>
      </c>
      <c r="E7764" s="43" t="s">
        <v>974</v>
      </c>
      <c r="F7764" s="43" t="s">
        <v>956</v>
      </c>
      <c r="G7764" s="43">
        <v>1877777</v>
      </c>
      <c r="H7764" s="43">
        <v>501100</v>
      </c>
      <c r="I7764" s="43" t="s">
        <v>949</v>
      </c>
      <c r="J7764" s="44" t="s">
        <v>1000</v>
      </c>
    </row>
    <row r="7765" ht="22" customHeight="1" spans="1:10" x14ac:dyDescent="0.25">
      <c r="A7765" s="43">
        <v>3130</v>
      </c>
      <c r="B7765" s="43">
        <v>18</v>
      </c>
      <c r="C7765" s="43" t="s">
        <v>962</v>
      </c>
      <c r="D7765" s="43" t="s">
        <v>1009</v>
      </c>
      <c r="E7765" s="43" t="s">
        <v>974</v>
      </c>
      <c r="F7765" s="43" t="s">
        <v>957</v>
      </c>
      <c r="G7765" s="43">
        <v>1877777</v>
      </c>
      <c r="H7765" s="43">
        <v>501100</v>
      </c>
      <c r="I7765" s="43" t="s">
        <v>949</v>
      </c>
      <c r="J7765" s="44" t="s">
        <v>1000</v>
      </c>
    </row>
    <row r="7766" ht="22" customHeight="1" spans="1:10" x14ac:dyDescent="0.25">
      <c r="A7766" s="43">
        <v>3130</v>
      </c>
      <c r="B7766" s="43">
        <v>18</v>
      </c>
      <c r="C7766" s="43" t="s">
        <v>962</v>
      </c>
      <c r="D7766" s="43" t="s">
        <v>1009</v>
      </c>
      <c r="E7766" s="43" t="s">
        <v>974</v>
      </c>
      <c r="F7766" s="43" t="s">
        <v>958</v>
      </c>
      <c r="G7766" s="43">
        <v>1877777</v>
      </c>
      <c r="H7766" s="43">
        <v>501100</v>
      </c>
      <c r="I7766" s="43" t="s">
        <v>949</v>
      </c>
      <c r="J7766" s="44" t="s">
        <v>1000</v>
      </c>
    </row>
    <row r="7767" ht="22" customHeight="1" spans="1:10" x14ac:dyDescent="0.25">
      <c r="A7767" s="43">
        <v>3130</v>
      </c>
      <c r="B7767" s="43">
        <v>18</v>
      </c>
      <c r="C7767" s="43" t="s">
        <v>962</v>
      </c>
      <c r="D7767" s="43" t="s">
        <v>1009</v>
      </c>
      <c r="E7767" s="43" t="s">
        <v>974</v>
      </c>
      <c r="F7767" s="43" t="s">
        <v>959</v>
      </c>
      <c r="G7767" s="43">
        <v>1877777</v>
      </c>
      <c r="H7767" s="43">
        <v>501100</v>
      </c>
      <c r="I7767" s="43" t="s">
        <v>949</v>
      </c>
      <c r="J7767" s="44" t="s">
        <v>1000</v>
      </c>
    </row>
    <row r="7768" ht="22" customHeight="1" spans="1:10" x14ac:dyDescent="0.25">
      <c r="A7768" s="43">
        <v>3130</v>
      </c>
      <c r="B7768" s="43">
        <v>18</v>
      </c>
      <c r="C7768" s="43" t="s">
        <v>962</v>
      </c>
      <c r="D7768" s="43" t="s">
        <v>1009</v>
      </c>
      <c r="E7768" s="43" t="s">
        <v>974</v>
      </c>
      <c r="F7768" s="43" t="s">
        <v>960</v>
      </c>
      <c r="G7768" s="43">
        <v>1877777</v>
      </c>
      <c r="H7768" s="43">
        <v>501100</v>
      </c>
      <c r="I7768" s="43" t="s">
        <v>949</v>
      </c>
      <c r="J7768" s="44" t="s">
        <v>1000</v>
      </c>
    </row>
    <row r="7769" ht="22" customHeight="1" spans="1:10" x14ac:dyDescent="0.25">
      <c r="A7769" s="43">
        <v>3130</v>
      </c>
      <c r="B7769" s="43">
        <v>18</v>
      </c>
      <c r="C7769" s="43" t="s">
        <v>962</v>
      </c>
      <c r="D7769" s="43" t="s">
        <v>1009</v>
      </c>
      <c r="E7769" s="43" t="s">
        <v>974</v>
      </c>
      <c r="F7769" s="43" t="s">
        <v>961</v>
      </c>
      <c r="G7769" s="43">
        <v>1877777</v>
      </c>
      <c r="H7769" s="43">
        <v>501100</v>
      </c>
      <c r="I7769" s="43" t="s">
        <v>949</v>
      </c>
      <c r="J7769" s="44" t="s">
        <v>1000</v>
      </c>
    </row>
    <row r="7770" ht="22" customHeight="1" spans="1:10" x14ac:dyDescent="0.25">
      <c r="A7770" s="43">
        <v>3130</v>
      </c>
      <c r="B7770" s="43">
        <v>18</v>
      </c>
      <c r="C7770" s="43" t="s">
        <v>963</v>
      </c>
      <c r="D7770" s="43" t="s">
        <v>1009</v>
      </c>
      <c r="E7770" s="43" t="s">
        <v>974</v>
      </c>
      <c r="F7770" s="43" t="s">
        <v>951</v>
      </c>
      <c r="G7770" s="43">
        <v>1877777</v>
      </c>
      <c r="H7770" s="43">
        <v>501100</v>
      </c>
      <c r="I7770" s="43" t="s">
        <v>949</v>
      </c>
      <c r="J7770" s="44" t="s">
        <v>1000</v>
      </c>
    </row>
    <row r="7771" ht="22" customHeight="1" spans="1:10" x14ac:dyDescent="0.25">
      <c r="A7771" s="43">
        <v>3130</v>
      </c>
      <c r="B7771" s="43">
        <v>18</v>
      </c>
      <c r="C7771" s="43" t="s">
        <v>963</v>
      </c>
      <c r="D7771" s="43" t="s">
        <v>1009</v>
      </c>
      <c r="E7771" s="43" t="s">
        <v>974</v>
      </c>
      <c r="F7771" s="43" t="s">
        <v>952</v>
      </c>
      <c r="G7771" s="43">
        <v>1877777</v>
      </c>
      <c r="H7771" s="43">
        <v>501100</v>
      </c>
      <c r="I7771" s="43" t="s">
        <v>949</v>
      </c>
      <c r="J7771" s="44" t="s">
        <v>1000</v>
      </c>
    </row>
    <row r="7772" ht="22" customHeight="1" spans="1:10" x14ac:dyDescent="0.25">
      <c r="A7772" s="43">
        <v>3130</v>
      </c>
      <c r="B7772" s="43">
        <v>18</v>
      </c>
      <c r="C7772" s="43" t="s">
        <v>963</v>
      </c>
      <c r="D7772" s="43" t="s">
        <v>1009</v>
      </c>
      <c r="E7772" s="43" t="s">
        <v>974</v>
      </c>
      <c r="F7772" s="43" t="s">
        <v>953</v>
      </c>
      <c r="G7772" s="43">
        <v>1877777</v>
      </c>
      <c r="H7772" s="43">
        <v>501100</v>
      </c>
      <c r="I7772" s="43" t="s">
        <v>949</v>
      </c>
      <c r="J7772" s="44" t="s">
        <v>1000</v>
      </c>
    </row>
    <row r="7773" ht="22" customHeight="1" spans="1:10" x14ac:dyDescent="0.25">
      <c r="A7773" s="43">
        <v>3130</v>
      </c>
      <c r="B7773" s="43">
        <v>18</v>
      </c>
      <c r="C7773" s="43" t="s">
        <v>963</v>
      </c>
      <c r="D7773" s="43" t="s">
        <v>1009</v>
      </c>
      <c r="E7773" s="43" t="s">
        <v>974</v>
      </c>
      <c r="F7773" s="43" t="s">
        <v>954</v>
      </c>
      <c r="G7773" s="43">
        <v>1877777</v>
      </c>
      <c r="H7773" s="43">
        <v>501100</v>
      </c>
      <c r="I7773" s="43" t="s">
        <v>949</v>
      </c>
      <c r="J7773" s="44" t="s">
        <v>1000</v>
      </c>
    </row>
    <row r="7774" ht="22" customHeight="1" spans="1:10" x14ac:dyDescent="0.25">
      <c r="A7774" s="43">
        <v>3130</v>
      </c>
      <c r="B7774" s="43">
        <v>18</v>
      </c>
      <c r="C7774" s="43" t="s">
        <v>963</v>
      </c>
      <c r="D7774" s="43" t="s">
        <v>1009</v>
      </c>
      <c r="E7774" s="43" t="s">
        <v>974</v>
      </c>
      <c r="F7774" s="43" t="s">
        <v>955</v>
      </c>
      <c r="G7774" s="43">
        <v>1877777</v>
      </c>
      <c r="H7774" s="43">
        <v>501100</v>
      </c>
      <c r="I7774" s="43" t="s">
        <v>949</v>
      </c>
      <c r="J7774" s="44" t="s">
        <v>1000</v>
      </c>
    </row>
    <row r="7775" ht="22" customHeight="1" spans="1:10" x14ac:dyDescent="0.25">
      <c r="A7775" s="43">
        <v>3130</v>
      </c>
      <c r="B7775" s="43">
        <v>18</v>
      </c>
      <c r="C7775" s="43" t="s">
        <v>963</v>
      </c>
      <c r="D7775" s="43" t="s">
        <v>1009</v>
      </c>
      <c r="E7775" s="43" t="s">
        <v>974</v>
      </c>
      <c r="F7775" s="43" t="s">
        <v>956</v>
      </c>
      <c r="G7775" s="43">
        <v>1877777</v>
      </c>
      <c r="H7775" s="43">
        <v>501100</v>
      </c>
      <c r="I7775" s="43" t="s">
        <v>949</v>
      </c>
      <c r="J7775" s="44" t="s">
        <v>1000</v>
      </c>
    </row>
    <row r="7776" ht="22" customHeight="1" spans="1:10" x14ac:dyDescent="0.25">
      <c r="A7776" s="43">
        <v>3130</v>
      </c>
      <c r="B7776" s="43">
        <v>18</v>
      </c>
      <c r="C7776" s="43" t="s">
        <v>963</v>
      </c>
      <c r="D7776" s="43" t="s">
        <v>1009</v>
      </c>
      <c r="E7776" s="43" t="s">
        <v>974</v>
      </c>
      <c r="F7776" s="43" t="s">
        <v>957</v>
      </c>
      <c r="G7776" s="43">
        <v>1877777</v>
      </c>
      <c r="H7776" s="43">
        <v>501100</v>
      </c>
      <c r="I7776" s="43" t="s">
        <v>949</v>
      </c>
      <c r="J7776" s="44" t="s">
        <v>1000</v>
      </c>
    </row>
    <row r="7777" ht="22" customHeight="1" spans="1:10" x14ac:dyDescent="0.25">
      <c r="A7777" s="43">
        <v>3130</v>
      </c>
      <c r="B7777" s="43">
        <v>18</v>
      </c>
      <c r="C7777" s="43" t="s">
        <v>963</v>
      </c>
      <c r="D7777" s="43" t="s">
        <v>1009</v>
      </c>
      <c r="E7777" s="43" t="s">
        <v>974</v>
      </c>
      <c r="F7777" s="43" t="s">
        <v>958</v>
      </c>
      <c r="G7777" s="43">
        <v>1877777</v>
      </c>
      <c r="H7777" s="43">
        <v>501100</v>
      </c>
      <c r="I7777" s="43" t="s">
        <v>949</v>
      </c>
      <c r="J7777" s="44" t="s">
        <v>1000</v>
      </c>
    </row>
    <row r="7778" ht="22" customHeight="1" spans="1:10" x14ac:dyDescent="0.25">
      <c r="A7778" s="43">
        <v>3130</v>
      </c>
      <c r="B7778" s="43">
        <v>18</v>
      </c>
      <c r="C7778" s="43" t="s">
        <v>963</v>
      </c>
      <c r="D7778" s="43" t="s">
        <v>1009</v>
      </c>
      <c r="E7778" s="43" t="s">
        <v>974</v>
      </c>
      <c r="F7778" s="43" t="s">
        <v>959</v>
      </c>
      <c r="G7778" s="43">
        <v>1877777</v>
      </c>
      <c r="H7778" s="43">
        <v>501100</v>
      </c>
      <c r="I7778" s="43" t="s">
        <v>949</v>
      </c>
      <c r="J7778" s="44" t="s">
        <v>1000</v>
      </c>
    </row>
    <row r="7779" ht="22" customHeight="1" spans="1:10" x14ac:dyDescent="0.25">
      <c r="A7779" s="43">
        <v>3130</v>
      </c>
      <c r="B7779" s="43">
        <v>18</v>
      </c>
      <c r="C7779" s="43" t="s">
        <v>963</v>
      </c>
      <c r="D7779" s="43" t="s">
        <v>1009</v>
      </c>
      <c r="E7779" s="43" t="s">
        <v>974</v>
      </c>
      <c r="F7779" s="43" t="s">
        <v>960</v>
      </c>
      <c r="G7779" s="43">
        <v>1877777</v>
      </c>
      <c r="H7779" s="43">
        <v>501100</v>
      </c>
      <c r="I7779" s="43" t="s">
        <v>949</v>
      </c>
      <c r="J7779" s="44" t="s">
        <v>1000</v>
      </c>
    </row>
    <row r="7780" ht="22" customHeight="1" spans="1:10" x14ac:dyDescent="0.25">
      <c r="A7780" s="43">
        <v>3130</v>
      </c>
      <c r="B7780" s="43">
        <v>18</v>
      </c>
      <c r="C7780" s="43" t="s">
        <v>963</v>
      </c>
      <c r="D7780" s="43" t="s">
        <v>1009</v>
      </c>
      <c r="E7780" s="43" t="s">
        <v>974</v>
      </c>
      <c r="F7780" s="43" t="s">
        <v>961</v>
      </c>
      <c r="G7780" s="43">
        <v>1877777</v>
      </c>
      <c r="H7780" s="43">
        <v>501100</v>
      </c>
      <c r="I7780" s="43" t="s">
        <v>949</v>
      </c>
      <c r="J7780" s="44" t="s">
        <v>1000</v>
      </c>
    </row>
    <row r="7781" spans="1:9" x14ac:dyDescent="0.25">
      <c r="A7781">
        <v>4122</v>
      </c>
      <c r="B7781">
        <v>18</v>
      </c>
      <c r="C7781" t="s">
        <v>946</v>
      </c>
      <c r="D7781" t="s">
        <v>1009</v>
      </c>
      <c r="E7781" t="s">
        <v>974</v>
      </c>
      <c r="F7781" t="s">
        <v>948</v>
      </c>
      <c r="G7781">
        <v>1800000</v>
      </c>
      <c r="H7781">
        <v>141000</v>
      </c>
      <c r="I7781" t="s">
        <v>975</v>
      </c>
    </row>
    <row r="7782" spans="1:9" x14ac:dyDescent="0.25">
      <c r="A7782">
        <v>4124</v>
      </c>
      <c r="B7782">
        <v>18</v>
      </c>
      <c r="C7782" t="s">
        <v>946</v>
      </c>
      <c r="D7782" t="s">
        <v>1009</v>
      </c>
      <c r="E7782" t="s">
        <v>974</v>
      </c>
      <c r="F7782" t="s">
        <v>948</v>
      </c>
      <c r="G7782">
        <v>1877777</v>
      </c>
      <c r="H7782">
        <v>501100</v>
      </c>
      <c r="I7782" t="s">
        <v>949</v>
      </c>
    </row>
    <row r="7783" spans="1:9" x14ac:dyDescent="0.25">
      <c r="A7783">
        <v>3130</v>
      </c>
      <c r="B7783">
        <v>18</v>
      </c>
      <c r="C7783" t="s">
        <v>950</v>
      </c>
      <c r="D7783" t="s">
        <v>1009</v>
      </c>
      <c r="E7783" t="s">
        <v>104</v>
      </c>
      <c r="F7783" t="s">
        <v>951</v>
      </c>
      <c r="G7783">
        <v>1877777</v>
      </c>
      <c r="H7783">
        <v>500220</v>
      </c>
      <c r="I7783" t="s">
        <v>949</v>
      </c>
    </row>
    <row r="7784" spans="1:9" x14ac:dyDescent="0.25">
      <c r="A7784">
        <v>3130</v>
      </c>
      <c r="B7784">
        <v>18</v>
      </c>
      <c r="C7784" t="s">
        <v>950</v>
      </c>
      <c r="D7784" t="s">
        <v>1009</v>
      </c>
      <c r="E7784" t="s">
        <v>104</v>
      </c>
      <c r="F7784" t="s">
        <v>952</v>
      </c>
      <c r="G7784">
        <v>1877777</v>
      </c>
      <c r="H7784">
        <v>500220</v>
      </c>
      <c r="I7784" t="s">
        <v>949</v>
      </c>
    </row>
    <row r="7785" spans="1:9" x14ac:dyDescent="0.25">
      <c r="A7785">
        <v>3130</v>
      </c>
      <c r="B7785">
        <v>18</v>
      </c>
      <c r="C7785" t="s">
        <v>950</v>
      </c>
      <c r="D7785" t="s">
        <v>1009</v>
      </c>
      <c r="E7785" t="s">
        <v>104</v>
      </c>
      <c r="F7785" t="s">
        <v>953</v>
      </c>
      <c r="G7785">
        <v>1877777</v>
      </c>
      <c r="H7785">
        <v>500220</v>
      </c>
      <c r="I7785" t="s">
        <v>949</v>
      </c>
    </row>
    <row r="7786" spans="1:9" x14ac:dyDescent="0.25">
      <c r="A7786">
        <v>3130</v>
      </c>
      <c r="B7786">
        <v>18</v>
      </c>
      <c r="C7786" t="s">
        <v>950</v>
      </c>
      <c r="D7786" t="s">
        <v>1009</v>
      </c>
      <c r="E7786" t="s">
        <v>104</v>
      </c>
      <c r="F7786" t="s">
        <v>954</v>
      </c>
      <c r="G7786">
        <v>1877777</v>
      </c>
      <c r="H7786">
        <v>500220</v>
      </c>
      <c r="I7786" t="s">
        <v>949</v>
      </c>
    </row>
    <row r="7787" spans="1:9" x14ac:dyDescent="0.25">
      <c r="A7787">
        <v>3130</v>
      </c>
      <c r="B7787">
        <v>18</v>
      </c>
      <c r="C7787" t="s">
        <v>950</v>
      </c>
      <c r="D7787" t="s">
        <v>1009</v>
      </c>
      <c r="E7787" t="s">
        <v>104</v>
      </c>
      <c r="F7787" t="s">
        <v>955</v>
      </c>
      <c r="G7787">
        <v>1877777</v>
      </c>
      <c r="H7787">
        <v>500220</v>
      </c>
      <c r="I7787" t="s">
        <v>949</v>
      </c>
    </row>
    <row r="7788" spans="1:9" x14ac:dyDescent="0.25">
      <c r="A7788">
        <v>3130</v>
      </c>
      <c r="B7788">
        <v>18</v>
      </c>
      <c r="C7788" t="s">
        <v>950</v>
      </c>
      <c r="D7788" t="s">
        <v>1009</v>
      </c>
      <c r="E7788" t="s">
        <v>104</v>
      </c>
      <c r="F7788" t="s">
        <v>956</v>
      </c>
      <c r="G7788">
        <v>1877777</v>
      </c>
      <c r="H7788">
        <v>500220</v>
      </c>
      <c r="I7788" t="s">
        <v>949</v>
      </c>
    </row>
    <row r="7789" spans="1:9" x14ac:dyDescent="0.25">
      <c r="A7789">
        <v>3130</v>
      </c>
      <c r="B7789">
        <v>18</v>
      </c>
      <c r="C7789" t="s">
        <v>950</v>
      </c>
      <c r="D7789" t="s">
        <v>1009</v>
      </c>
      <c r="E7789" t="s">
        <v>104</v>
      </c>
      <c r="F7789" t="s">
        <v>957</v>
      </c>
      <c r="G7789">
        <v>1877777</v>
      </c>
      <c r="H7789">
        <v>500220</v>
      </c>
      <c r="I7789" t="s">
        <v>949</v>
      </c>
    </row>
    <row r="7790" spans="1:9" x14ac:dyDescent="0.25">
      <c r="A7790">
        <v>3130</v>
      </c>
      <c r="B7790">
        <v>18</v>
      </c>
      <c r="C7790" t="s">
        <v>950</v>
      </c>
      <c r="D7790" t="s">
        <v>1009</v>
      </c>
      <c r="E7790" t="s">
        <v>104</v>
      </c>
      <c r="F7790" t="s">
        <v>958</v>
      </c>
      <c r="G7790">
        <v>1877777</v>
      </c>
      <c r="H7790">
        <v>500220</v>
      </c>
      <c r="I7790" t="s">
        <v>949</v>
      </c>
    </row>
    <row r="7791" spans="1:9" x14ac:dyDescent="0.25">
      <c r="A7791">
        <v>3130</v>
      </c>
      <c r="B7791">
        <v>18</v>
      </c>
      <c r="C7791" t="s">
        <v>950</v>
      </c>
      <c r="D7791" t="s">
        <v>1009</v>
      </c>
      <c r="E7791" t="s">
        <v>104</v>
      </c>
      <c r="F7791" t="s">
        <v>959</v>
      </c>
      <c r="G7791">
        <v>1877777</v>
      </c>
      <c r="H7791">
        <v>500220</v>
      </c>
      <c r="I7791" t="s">
        <v>949</v>
      </c>
    </row>
    <row r="7792" spans="1:9" x14ac:dyDescent="0.25">
      <c r="A7792">
        <v>3130</v>
      </c>
      <c r="B7792">
        <v>18</v>
      </c>
      <c r="C7792" t="s">
        <v>950</v>
      </c>
      <c r="D7792" t="s">
        <v>1009</v>
      </c>
      <c r="E7792" t="s">
        <v>104</v>
      </c>
      <c r="F7792" t="s">
        <v>960</v>
      </c>
      <c r="G7792">
        <v>1877777</v>
      </c>
      <c r="H7792">
        <v>500220</v>
      </c>
      <c r="I7792" t="s">
        <v>949</v>
      </c>
    </row>
    <row r="7793" spans="1:9" x14ac:dyDescent="0.25">
      <c r="A7793">
        <v>3130</v>
      </c>
      <c r="B7793">
        <v>18</v>
      </c>
      <c r="C7793" t="s">
        <v>950</v>
      </c>
      <c r="D7793" t="s">
        <v>1009</v>
      </c>
      <c r="E7793" t="s">
        <v>104</v>
      </c>
      <c r="F7793" t="s">
        <v>961</v>
      </c>
      <c r="G7793">
        <v>1877777</v>
      </c>
      <c r="H7793">
        <v>500220</v>
      </c>
      <c r="I7793" t="s">
        <v>949</v>
      </c>
    </row>
    <row r="7794" spans="1:9" x14ac:dyDescent="0.25">
      <c r="A7794">
        <v>3130</v>
      </c>
      <c r="B7794">
        <v>18</v>
      </c>
      <c r="C7794" t="s">
        <v>962</v>
      </c>
      <c r="D7794" t="s">
        <v>1009</v>
      </c>
      <c r="E7794" t="s">
        <v>104</v>
      </c>
      <c r="F7794" t="s">
        <v>951</v>
      </c>
      <c r="G7794">
        <v>1877777</v>
      </c>
      <c r="H7794">
        <v>500220</v>
      </c>
      <c r="I7794" t="s">
        <v>949</v>
      </c>
    </row>
    <row r="7795" spans="1:9" x14ac:dyDescent="0.25">
      <c r="A7795">
        <v>3130</v>
      </c>
      <c r="B7795">
        <v>18</v>
      </c>
      <c r="C7795" t="s">
        <v>962</v>
      </c>
      <c r="D7795" t="s">
        <v>1009</v>
      </c>
      <c r="E7795" t="s">
        <v>104</v>
      </c>
      <c r="F7795" t="s">
        <v>952</v>
      </c>
      <c r="G7795">
        <v>1877777</v>
      </c>
      <c r="H7795">
        <v>500220</v>
      </c>
      <c r="I7795" t="s">
        <v>949</v>
      </c>
    </row>
    <row r="7796" spans="1:9" x14ac:dyDescent="0.25">
      <c r="A7796">
        <v>3130</v>
      </c>
      <c r="B7796">
        <v>18</v>
      </c>
      <c r="C7796" t="s">
        <v>962</v>
      </c>
      <c r="D7796" t="s">
        <v>1009</v>
      </c>
      <c r="E7796" t="s">
        <v>104</v>
      </c>
      <c r="F7796" t="s">
        <v>953</v>
      </c>
      <c r="G7796">
        <v>1877777</v>
      </c>
      <c r="H7796">
        <v>500220</v>
      </c>
      <c r="I7796" t="s">
        <v>949</v>
      </c>
    </row>
    <row r="7797" spans="1:9" x14ac:dyDescent="0.25">
      <c r="A7797">
        <v>3130</v>
      </c>
      <c r="B7797">
        <v>18</v>
      </c>
      <c r="C7797" t="s">
        <v>962</v>
      </c>
      <c r="D7797" t="s">
        <v>1009</v>
      </c>
      <c r="E7797" t="s">
        <v>104</v>
      </c>
      <c r="F7797" t="s">
        <v>954</v>
      </c>
      <c r="G7797">
        <v>1877777</v>
      </c>
      <c r="H7797">
        <v>500220</v>
      </c>
      <c r="I7797" t="s">
        <v>949</v>
      </c>
    </row>
    <row r="7798" spans="1:9" x14ac:dyDescent="0.25">
      <c r="A7798">
        <v>3130</v>
      </c>
      <c r="B7798">
        <v>18</v>
      </c>
      <c r="C7798" t="s">
        <v>962</v>
      </c>
      <c r="D7798" t="s">
        <v>1009</v>
      </c>
      <c r="E7798" t="s">
        <v>104</v>
      </c>
      <c r="F7798" t="s">
        <v>955</v>
      </c>
      <c r="G7798">
        <v>1877777</v>
      </c>
      <c r="H7798">
        <v>500220</v>
      </c>
      <c r="I7798" t="s">
        <v>949</v>
      </c>
    </row>
    <row r="7799" spans="1:9" x14ac:dyDescent="0.25">
      <c r="A7799">
        <v>3130</v>
      </c>
      <c r="B7799">
        <v>18</v>
      </c>
      <c r="C7799" t="s">
        <v>962</v>
      </c>
      <c r="D7799" t="s">
        <v>1009</v>
      </c>
      <c r="E7799" t="s">
        <v>104</v>
      </c>
      <c r="F7799" t="s">
        <v>956</v>
      </c>
      <c r="G7799">
        <v>1877777</v>
      </c>
      <c r="H7799">
        <v>500220</v>
      </c>
      <c r="I7799" t="s">
        <v>949</v>
      </c>
    </row>
    <row r="7800" spans="1:9" x14ac:dyDescent="0.25">
      <c r="A7800">
        <v>3130</v>
      </c>
      <c r="B7800">
        <v>18</v>
      </c>
      <c r="C7800" t="s">
        <v>962</v>
      </c>
      <c r="D7800" t="s">
        <v>1009</v>
      </c>
      <c r="E7800" t="s">
        <v>104</v>
      </c>
      <c r="F7800" t="s">
        <v>957</v>
      </c>
      <c r="G7800">
        <v>1877777</v>
      </c>
      <c r="H7800">
        <v>500220</v>
      </c>
      <c r="I7800" t="s">
        <v>949</v>
      </c>
    </row>
    <row r="7801" spans="1:9" x14ac:dyDescent="0.25">
      <c r="A7801">
        <v>3130</v>
      </c>
      <c r="B7801">
        <v>18</v>
      </c>
      <c r="C7801" t="s">
        <v>962</v>
      </c>
      <c r="D7801" t="s">
        <v>1009</v>
      </c>
      <c r="E7801" t="s">
        <v>104</v>
      </c>
      <c r="F7801" t="s">
        <v>958</v>
      </c>
      <c r="G7801">
        <v>1877777</v>
      </c>
      <c r="H7801">
        <v>500220</v>
      </c>
      <c r="I7801" t="s">
        <v>949</v>
      </c>
    </row>
    <row r="7802" spans="1:9" x14ac:dyDescent="0.25">
      <c r="A7802">
        <v>3130</v>
      </c>
      <c r="B7802">
        <v>18</v>
      </c>
      <c r="C7802" t="s">
        <v>962</v>
      </c>
      <c r="D7802" t="s">
        <v>1009</v>
      </c>
      <c r="E7802" t="s">
        <v>104</v>
      </c>
      <c r="F7802" t="s">
        <v>959</v>
      </c>
      <c r="G7802">
        <v>1877777</v>
      </c>
      <c r="H7802">
        <v>500220</v>
      </c>
      <c r="I7802" t="s">
        <v>949</v>
      </c>
    </row>
    <row r="7803" spans="1:9" x14ac:dyDescent="0.25">
      <c r="A7803">
        <v>3130</v>
      </c>
      <c r="B7803">
        <v>18</v>
      </c>
      <c r="C7803" t="s">
        <v>962</v>
      </c>
      <c r="D7803" t="s">
        <v>1009</v>
      </c>
      <c r="E7803" t="s">
        <v>104</v>
      </c>
      <c r="F7803" t="s">
        <v>960</v>
      </c>
      <c r="G7803">
        <v>1877777</v>
      </c>
      <c r="H7803">
        <v>500220</v>
      </c>
      <c r="I7803" t="s">
        <v>949</v>
      </c>
    </row>
    <row r="7804" spans="1:9" x14ac:dyDescent="0.25">
      <c r="A7804">
        <v>3130</v>
      </c>
      <c r="B7804">
        <v>18</v>
      </c>
      <c r="C7804" t="s">
        <v>962</v>
      </c>
      <c r="D7804" t="s">
        <v>1009</v>
      </c>
      <c r="E7804" t="s">
        <v>104</v>
      </c>
      <c r="F7804" t="s">
        <v>961</v>
      </c>
      <c r="G7804">
        <v>1877777</v>
      </c>
      <c r="H7804">
        <v>500220</v>
      </c>
      <c r="I7804" t="s">
        <v>949</v>
      </c>
    </row>
    <row r="7805" spans="1:9" x14ac:dyDescent="0.25">
      <c r="A7805">
        <v>3130</v>
      </c>
      <c r="B7805">
        <v>18</v>
      </c>
      <c r="C7805" t="s">
        <v>963</v>
      </c>
      <c r="D7805" t="s">
        <v>1009</v>
      </c>
      <c r="E7805" t="s">
        <v>104</v>
      </c>
      <c r="F7805" t="s">
        <v>951</v>
      </c>
      <c r="G7805">
        <v>1877777</v>
      </c>
      <c r="H7805">
        <v>500220</v>
      </c>
      <c r="I7805" t="s">
        <v>949</v>
      </c>
    </row>
    <row r="7806" spans="1:9" x14ac:dyDescent="0.25">
      <c r="A7806">
        <v>3130</v>
      </c>
      <c r="B7806">
        <v>18</v>
      </c>
      <c r="C7806" t="s">
        <v>963</v>
      </c>
      <c r="D7806" t="s">
        <v>1009</v>
      </c>
      <c r="E7806" t="s">
        <v>104</v>
      </c>
      <c r="F7806" t="s">
        <v>952</v>
      </c>
      <c r="G7806">
        <v>1877777</v>
      </c>
      <c r="H7806">
        <v>500220</v>
      </c>
      <c r="I7806" t="s">
        <v>949</v>
      </c>
    </row>
    <row r="7807" spans="1:9" x14ac:dyDescent="0.25">
      <c r="A7807">
        <v>3130</v>
      </c>
      <c r="B7807">
        <v>18</v>
      </c>
      <c r="C7807" t="s">
        <v>963</v>
      </c>
      <c r="D7807" t="s">
        <v>1009</v>
      </c>
      <c r="E7807" t="s">
        <v>104</v>
      </c>
      <c r="F7807" t="s">
        <v>953</v>
      </c>
      <c r="G7807">
        <v>1877777</v>
      </c>
      <c r="H7807">
        <v>500220</v>
      </c>
      <c r="I7807" t="s">
        <v>949</v>
      </c>
    </row>
    <row r="7808" spans="1:9" x14ac:dyDescent="0.25">
      <c r="A7808">
        <v>3130</v>
      </c>
      <c r="B7808">
        <v>18</v>
      </c>
      <c r="C7808" t="s">
        <v>963</v>
      </c>
      <c r="D7808" t="s">
        <v>1009</v>
      </c>
      <c r="E7808" t="s">
        <v>104</v>
      </c>
      <c r="F7808" t="s">
        <v>954</v>
      </c>
      <c r="G7808">
        <v>1877777</v>
      </c>
      <c r="H7808">
        <v>500220</v>
      </c>
      <c r="I7808" t="s">
        <v>949</v>
      </c>
    </row>
    <row r="7809" spans="1:9" x14ac:dyDescent="0.25">
      <c r="A7809">
        <v>3130</v>
      </c>
      <c r="B7809">
        <v>18</v>
      </c>
      <c r="C7809" t="s">
        <v>963</v>
      </c>
      <c r="D7809" t="s">
        <v>1009</v>
      </c>
      <c r="E7809" t="s">
        <v>104</v>
      </c>
      <c r="F7809" t="s">
        <v>955</v>
      </c>
      <c r="G7809">
        <v>1877777</v>
      </c>
      <c r="H7809">
        <v>500220</v>
      </c>
      <c r="I7809" t="s">
        <v>949</v>
      </c>
    </row>
    <row r="7810" spans="1:9" x14ac:dyDescent="0.25">
      <c r="A7810">
        <v>3130</v>
      </c>
      <c r="B7810">
        <v>18</v>
      </c>
      <c r="C7810" t="s">
        <v>963</v>
      </c>
      <c r="D7810" t="s">
        <v>1009</v>
      </c>
      <c r="E7810" t="s">
        <v>104</v>
      </c>
      <c r="F7810" t="s">
        <v>956</v>
      </c>
      <c r="G7810">
        <v>1877777</v>
      </c>
      <c r="H7810">
        <v>500220</v>
      </c>
      <c r="I7810" t="s">
        <v>949</v>
      </c>
    </row>
    <row r="7811" spans="1:9" x14ac:dyDescent="0.25">
      <c r="A7811">
        <v>3130</v>
      </c>
      <c r="B7811">
        <v>18</v>
      </c>
      <c r="C7811" t="s">
        <v>963</v>
      </c>
      <c r="D7811" t="s">
        <v>1009</v>
      </c>
      <c r="E7811" t="s">
        <v>104</v>
      </c>
      <c r="F7811" t="s">
        <v>957</v>
      </c>
      <c r="G7811">
        <v>1877777</v>
      </c>
      <c r="H7811">
        <v>500220</v>
      </c>
      <c r="I7811" t="s">
        <v>949</v>
      </c>
    </row>
    <row r="7812" spans="1:9" x14ac:dyDescent="0.25">
      <c r="A7812">
        <v>3130</v>
      </c>
      <c r="B7812">
        <v>18</v>
      </c>
      <c r="C7812" t="s">
        <v>963</v>
      </c>
      <c r="D7812" t="s">
        <v>1009</v>
      </c>
      <c r="E7812" t="s">
        <v>104</v>
      </c>
      <c r="F7812" t="s">
        <v>958</v>
      </c>
      <c r="G7812">
        <v>1877777</v>
      </c>
      <c r="H7812">
        <v>500220</v>
      </c>
      <c r="I7812" t="s">
        <v>949</v>
      </c>
    </row>
    <row r="7813" spans="1:9" x14ac:dyDescent="0.25">
      <c r="A7813">
        <v>3130</v>
      </c>
      <c r="B7813">
        <v>18</v>
      </c>
      <c r="C7813" t="s">
        <v>963</v>
      </c>
      <c r="D7813" t="s">
        <v>1009</v>
      </c>
      <c r="E7813" t="s">
        <v>104</v>
      </c>
      <c r="F7813" t="s">
        <v>959</v>
      </c>
      <c r="G7813">
        <v>1877777</v>
      </c>
      <c r="H7813">
        <v>500220</v>
      </c>
      <c r="I7813" t="s">
        <v>949</v>
      </c>
    </row>
    <row r="7814" spans="1:9" x14ac:dyDescent="0.25">
      <c r="A7814">
        <v>3130</v>
      </c>
      <c r="B7814">
        <v>18</v>
      </c>
      <c r="C7814" t="s">
        <v>963</v>
      </c>
      <c r="D7814" t="s">
        <v>1009</v>
      </c>
      <c r="E7814" t="s">
        <v>104</v>
      </c>
      <c r="F7814" t="s">
        <v>960</v>
      </c>
      <c r="G7814">
        <v>1877777</v>
      </c>
      <c r="H7814">
        <v>500220</v>
      </c>
      <c r="I7814" t="s">
        <v>949</v>
      </c>
    </row>
    <row r="7815" spans="1:9" x14ac:dyDescent="0.25">
      <c r="A7815">
        <v>3130</v>
      </c>
      <c r="B7815">
        <v>18</v>
      </c>
      <c r="C7815" t="s">
        <v>963</v>
      </c>
      <c r="D7815" t="s">
        <v>1009</v>
      </c>
      <c r="E7815" t="s">
        <v>104</v>
      </c>
      <c r="F7815" t="s">
        <v>961</v>
      </c>
      <c r="G7815">
        <v>1877777</v>
      </c>
      <c r="H7815">
        <v>500220</v>
      </c>
      <c r="I7815" t="s">
        <v>949</v>
      </c>
    </row>
    <row r="7816" spans="1:9" x14ac:dyDescent="0.25">
      <c r="A7816">
        <v>4122</v>
      </c>
      <c r="B7816">
        <v>18</v>
      </c>
      <c r="C7816" t="s">
        <v>946</v>
      </c>
      <c r="D7816" t="s">
        <v>1009</v>
      </c>
      <c r="E7816" t="s">
        <v>104</v>
      </c>
      <c r="F7816" t="s">
        <v>948</v>
      </c>
      <c r="G7816">
        <v>1877777</v>
      </c>
      <c r="H7816">
        <v>500220</v>
      </c>
      <c r="I7816" t="s">
        <v>949</v>
      </c>
    </row>
    <row r="7817" spans="1:9" x14ac:dyDescent="0.25">
      <c r="A7817">
        <v>4124</v>
      </c>
      <c r="B7817">
        <v>18</v>
      </c>
      <c r="C7817" t="s">
        <v>946</v>
      </c>
      <c r="D7817" t="s">
        <v>1009</v>
      </c>
      <c r="E7817" t="s">
        <v>104</v>
      </c>
      <c r="F7817" t="s">
        <v>948</v>
      </c>
      <c r="G7817">
        <v>1877777</v>
      </c>
      <c r="H7817">
        <v>500221</v>
      </c>
      <c r="I7817" t="s">
        <v>949</v>
      </c>
    </row>
    <row r="7818" ht="22" customHeight="1" spans="1:10" x14ac:dyDescent="0.25">
      <c r="A7818" s="43">
        <v>3130</v>
      </c>
      <c r="B7818" s="43">
        <v>18</v>
      </c>
      <c r="C7818" s="43" t="s">
        <v>950</v>
      </c>
      <c r="D7818" s="43" t="s">
        <v>1009</v>
      </c>
      <c r="E7818" s="43" t="s">
        <v>278</v>
      </c>
      <c r="F7818" s="43" t="s">
        <v>951</v>
      </c>
      <c r="G7818" s="43">
        <v>1877777</v>
      </c>
      <c r="H7818" s="43">
        <v>501100</v>
      </c>
      <c r="I7818" s="43" t="s">
        <v>949</v>
      </c>
      <c r="J7818" s="44" t="s">
        <v>1000</v>
      </c>
    </row>
    <row r="7819" ht="22" customHeight="1" spans="1:10" x14ac:dyDescent="0.25">
      <c r="A7819" s="43">
        <v>3130</v>
      </c>
      <c r="B7819" s="43">
        <v>18</v>
      </c>
      <c r="C7819" s="43" t="s">
        <v>950</v>
      </c>
      <c r="D7819" s="43" t="s">
        <v>1009</v>
      </c>
      <c r="E7819" s="43" t="s">
        <v>278</v>
      </c>
      <c r="F7819" s="43" t="s">
        <v>952</v>
      </c>
      <c r="G7819" s="43">
        <v>1877777</v>
      </c>
      <c r="H7819" s="43">
        <v>501100</v>
      </c>
      <c r="I7819" s="43" t="s">
        <v>949</v>
      </c>
      <c r="J7819" s="44" t="s">
        <v>1000</v>
      </c>
    </row>
    <row r="7820" ht="22" customHeight="1" spans="1:10" x14ac:dyDescent="0.25">
      <c r="A7820" s="43">
        <v>3130</v>
      </c>
      <c r="B7820" s="43">
        <v>18</v>
      </c>
      <c r="C7820" s="43" t="s">
        <v>950</v>
      </c>
      <c r="D7820" s="43" t="s">
        <v>1009</v>
      </c>
      <c r="E7820" s="43" t="s">
        <v>278</v>
      </c>
      <c r="F7820" s="43" t="s">
        <v>953</v>
      </c>
      <c r="G7820" s="43">
        <v>1877777</v>
      </c>
      <c r="H7820" s="43">
        <v>501100</v>
      </c>
      <c r="I7820" s="43" t="s">
        <v>949</v>
      </c>
      <c r="J7820" s="44" t="s">
        <v>1000</v>
      </c>
    </row>
    <row r="7821" ht="22" customHeight="1" spans="1:10" x14ac:dyDescent="0.25">
      <c r="A7821" s="43">
        <v>3130</v>
      </c>
      <c r="B7821" s="43">
        <v>18</v>
      </c>
      <c r="C7821" s="43" t="s">
        <v>950</v>
      </c>
      <c r="D7821" s="43" t="s">
        <v>1009</v>
      </c>
      <c r="E7821" s="43" t="s">
        <v>278</v>
      </c>
      <c r="F7821" s="43" t="s">
        <v>954</v>
      </c>
      <c r="G7821" s="43">
        <v>1877777</v>
      </c>
      <c r="H7821" s="43">
        <v>501100</v>
      </c>
      <c r="I7821" s="43" t="s">
        <v>949</v>
      </c>
      <c r="J7821" s="44" t="s">
        <v>1000</v>
      </c>
    </row>
    <row r="7822" ht="22" customHeight="1" spans="1:10" x14ac:dyDescent="0.25">
      <c r="A7822" s="43">
        <v>3130</v>
      </c>
      <c r="B7822" s="43">
        <v>18</v>
      </c>
      <c r="C7822" s="43" t="s">
        <v>950</v>
      </c>
      <c r="D7822" s="43" t="s">
        <v>1009</v>
      </c>
      <c r="E7822" s="43" t="s">
        <v>278</v>
      </c>
      <c r="F7822" s="43" t="s">
        <v>955</v>
      </c>
      <c r="G7822" s="43">
        <v>1877777</v>
      </c>
      <c r="H7822" s="43">
        <v>501100</v>
      </c>
      <c r="I7822" s="43" t="s">
        <v>949</v>
      </c>
      <c r="J7822" s="44" t="s">
        <v>1000</v>
      </c>
    </row>
    <row r="7823" ht="22" customHeight="1" spans="1:10" x14ac:dyDescent="0.25">
      <c r="A7823" s="43">
        <v>3130</v>
      </c>
      <c r="B7823" s="43">
        <v>18</v>
      </c>
      <c r="C7823" s="43" t="s">
        <v>950</v>
      </c>
      <c r="D7823" s="43" t="s">
        <v>1009</v>
      </c>
      <c r="E7823" s="43" t="s">
        <v>278</v>
      </c>
      <c r="F7823" s="43" t="s">
        <v>956</v>
      </c>
      <c r="G7823" s="43">
        <v>1877777</v>
      </c>
      <c r="H7823" s="43">
        <v>501100</v>
      </c>
      <c r="I7823" s="43" t="s">
        <v>949</v>
      </c>
      <c r="J7823" s="44" t="s">
        <v>1000</v>
      </c>
    </row>
    <row r="7824" ht="22" customHeight="1" spans="1:10" x14ac:dyDescent="0.25">
      <c r="A7824" s="43">
        <v>3130</v>
      </c>
      <c r="B7824" s="43">
        <v>18</v>
      </c>
      <c r="C7824" s="43" t="s">
        <v>950</v>
      </c>
      <c r="D7824" s="43" t="s">
        <v>1009</v>
      </c>
      <c r="E7824" s="43" t="s">
        <v>278</v>
      </c>
      <c r="F7824" s="43" t="s">
        <v>957</v>
      </c>
      <c r="G7824" s="43">
        <v>1877777</v>
      </c>
      <c r="H7824" s="43">
        <v>501100</v>
      </c>
      <c r="I7824" s="43" t="s">
        <v>949</v>
      </c>
      <c r="J7824" s="44" t="s">
        <v>1000</v>
      </c>
    </row>
    <row r="7825" ht="22" customHeight="1" spans="1:10" x14ac:dyDescent="0.25">
      <c r="A7825" s="43">
        <v>3130</v>
      </c>
      <c r="B7825" s="43">
        <v>18</v>
      </c>
      <c r="C7825" s="43" t="s">
        <v>950</v>
      </c>
      <c r="D7825" s="43" t="s">
        <v>1009</v>
      </c>
      <c r="E7825" s="43" t="s">
        <v>278</v>
      </c>
      <c r="F7825" s="43" t="s">
        <v>958</v>
      </c>
      <c r="G7825" s="43">
        <v>1877777</v>
      </c>
      <c r="H7825" s="43">
        <v>501100</v>
      </c>
      <c r="I7825" s="43" t="s">
        <v>949</v>
      </c>
      <c r="J7825" s="44" t="s">
        <v>1000</v>
      </c>
    </row>
    <row r="7826" ht="22" customHeight="1" spans="1:10" x14ac:dyDescent="0.25">
      <c r="A7826" s="43">
        <v>3130</v>
      </c>
      <c r="B7826" s="43">
        <v>18</v>
      </c>
      <c r="C7826" s="43" t="s">
        <v>950</v>
      </c>
      <c r="D7826" s="43" t="s">
        <v>1009</v>
      </c>
      <c r="E7826" s="43" t="s">
        <v>278</v>
      </c>
      <c r="F7826" s="43" t="s">
        <v>959</v>
      </c>
      <c r="G7826" s="43">
        <v>1877777</v>
      </c>
      <c r="H7826" s="43">
        <v>501100</v>
      </c>
      <c r="I7826" s="43" t="s">
        <v>949</v>
      </c>
      <c r="J7826" s="44" t="s">
        <v>1000</v>
      </c>
    </row>
    <row r="7827" ht="22" customHeight="1" spans="1:10" x14ac:dyDescent="0.25">
      <c r="A7827" s="43">
        <v>3130</v>
      </c>
      <c r="B7827" s="43">
        <v>18</v>
      </c>
      <c r="C7827" s="43" t="s">
        <v>950</v>
      </c>
      <c r="D7827" s="43" t="s">
        <v>1009</v>
      </c>
      <c r="E7827" s="43" t="s">
        <v>278</v>
      </c>
      <c r="F7827" s="43" t="s">
        <v>960</v>
      </c>
      <c r="G7827" s="43">
        <v>1877777</v>
      </c>
      <c r="H7827" s="43">
        <v>501100</v>
      </c>
      <c r="I7827" s="43" t="s">
        <v>949</v>
      </c>
      <c r="J7827" s="44" t="s">
        <v>1000</v>
      </c>
    </row>
    <row r="7828" ht="22" customHeight="1" spans="1:10" x14ac:dyDescent="0.25">
      <c r="A7828" s="43">
        <v>3130</v>
      </c>
      <c r="B7828" s="43">
        <v>18</v>
      </c>
      <c r="C7828" s="43" t="s">
        <v>950</v>
      </c>
      <c r="D7828" s="43" t="s">
        <v>1009</v>
      </c>
      <c r="E7828" s="43" t="s">
        <v>278</v>
      </c>
      <c r="F7828" s="43" t="s">
        <v>961</v>
      </c>
      <c r="G7828" s="43">
        <v>1877777</v>
      </c>
      <c r="H7828" s="43">
        <v>501100</v>
      </c>
      <c r="I7828" s="43" t="s">
        <v>949</v>
      </c>
      <c r="J7828" s="44" t="s">
        <v>1000</v>
      </c>
    </row>
    <row r="7829" ht="22" customHeight="1" spans="1:10" x14ac:dyDescent="0.25">
      <c r="A7829" s="43">
        <v>3130</v>
      </c>
      <c r="B7829" s="43">
        <v>18</v>
      </c>
      <c r="C7829" s="43" t="s">
        <v>962</v>
      </c>
      <c r="D7829" s="43" t="s">
        <v>1009</v>
      </c>
      <c r="E7829" s="43" t="s">
        <v>278</v>
      </c>
      <c r="F7829" s="43" t="s">
        <v>951</v>
      </c>
      <c r="G7829" s="43">
        <v>1877777</v>
      </c>
      <c r="H7829" s="43">
        <v>501100</v>
      </c>
      <c r="I7829" s="43" t="s">
        <v>949</v>
      </c>
      <c r="J7829" s="44" t="s">
        <v>1000</v>
      </c>
    </row>
    <row r="7830" ht="22" customHeight="1" spans="1:10" x14ac:dyDescent="0.25">
      <c r="A7830" s="43">
        <v>3130</v>
      </c>
      <c r="B7830" s="43">
        <v>18</v>
      </c>
      <c r="C7830" s="43" t="s">
        <v>962</v>
      </c>
      <c r="D7830" s="43" t="s">
        <v>1009</v>
      </c>
      <c r="E7830" s="43" t="s">
        <v>278</v>
      </c>
      <c r="F7830" s="43" t="s">
        <v>952</v>
      </c>
      <c r="G7830" s="43">
        <v>1877777</v>
      </c>
      <c r="H7830" s="43">
        <v>501100</v>
      </c>
      <c r="I7830" s="43" t="s">
        <v>949</v>
      </c>
      <c r="J7830" s="44" t="s">
        <v>1000</v>
      </c>
    </row>
    <row r="7831" ht="22" customHeight="1" spans="1:10" x14ac:dyDescent="0.25">
      <c r="A7831" s="43">
        <v>3130</v>
      </c>
      <c r="B7831" s="43">
        <v>18</v>
      </c>
      <c r="C7831" s="43" t="s">
        <v>962</v>
      </c>
      <c r="D7831" s="43" t="s">
        <v>1009</v>
      </c>
      <c r="E7831" s="43" t="s">
        <v>278</v>
      </c>
      <c r="F7831" s="43" t="s">
        <v>953</v>
      </c>
      <c r="G7831" s="43">
        <v>1877777</v>
      </c>
      <c r="H7831" s="43">
        <v>501100</v>
      </c>
      <c r="I7831" s="43" t="s">
        <v>949</v>
      </c>
      <c r="J7831" s="44" t="s">
        <v>1000</v>
      </c>
    </row>
    <row r="7832" ht="22" customHeight="1" spans="1:10" x14ac:dyDescent="0.25">
      <c r="A7832" s="43">
        <v>3130</v>
      </c>
      <c r="B7832" s="43">
        <v>18</v>
      </c>
      <c r="C7832" s="43" t="s">
        <v>962</v>
      </c>
      <c r="D7832" s="43" t="s">
        <v>1009</v>
      </c>
      <c r="E7832" s="43" t="s">
        <v>278</v>
      </c>
      <c r="F7832" s="43" t="s">
        <v>954</v>
      </c>
      <c r="G7832" s="43">
        <v>1877777</v>
      </c>
      <c r="H7832" s="43">
        <v>501100</v>
      </c>
      <c r="I7832" s="43" t="s">
        <v>949</v>
      </c>
      <c r="J7832" s="44" t="s">
        <v>1000</v>
      </c>
    </row>
    <row r="7833" ht="22" customHeight="1" spans="1:10" x14ac:dyDescent="0.25">
      <c r="A7833" s="43">
        <v>3130</v>
      </c>
      <c r="B7833" s="43">
        <v>18</v>
      </c>
      <c r="C7833" s="43" t="s">
        <v>962</v>
      </c>
      <c r="D7833" s="43" t="s">
        <v>1009</v>
      </c>
      <c r="E7833" s="43" t="s">
        <v>278</v>
      </c>
      <c r="F7833" s="43" t="s">
        <v>955</v>
      </c>
      <c r="G7833" s="43">
        <v>1877777</v>
      </c>
      <c r="H7833" s="43">
        <v>501100</v>
      </c>
      <c r="I7833" s="43" t="s">
        <v>949</v>
      </c>
      <c r="J7833" s="44" t="s">
        <v>1000</v>
      </c>
    </row>
    <row r="7834" ht="22" customHeight="1" spans="1:10" x14ac:dyDescent="0.25">
      <c r="A7834" s="43">
        <v>3130</v>
      </c>
      <c r="B7834" s="43">
        <v>18</v>
      </c>
      <c r="C7834" s="43" t="s">
        <v>962</v>
      </c>
      <c r="D7834" s="43" t="s">
        <v>1009</v>
      </c>
      <c r="E7834" s="43" t="s">
        <v>278</v>
      </c>
      <c r="F7834" s="43" t="s">
        <v>956</v>
      </c>
      <c r="G7834" s="43">
        <v>1877777</v>
      </c>
      <c r="H7834" s="43">
        <v>501100</v>
      </c>
      <c r="I7834" s="43" t="s">
        <v>949</v>
      </c>
      <c r="J7834" s="44" t="s">
        <v>1000</v>
      </c>
    </row>
    <row r="7835" ht="22" customHeight="1" spans="1:10" x14ac:dyDescent="0.25">
      <c r="A7835" s="43">
        <v>3130</v>
      </c>
      <c r="B7835" s="43">
        <v>18</v>
      </c>
      <c r="C7835" s="43" t="s">
        <v>962</v>
      </c>
      <c r="D7835" s="43" t="s">
        <v>1009</v>
      </c>
      <c r="E7835" s="43" t="s">
        <v>278</v>
      </c>
      <c r="F7835" s="43" t="s">
        <v>957</v>
      </c>
      <c r="G7835" s="43">
        <v>1877777</v>
      </c>
      <c r="H7835" s="43">
        <v>501100</v>
      </c>
      <c r="I7835" s="43" t="s">
        <v>949</v>
      </c>
      <c r="J7835" s="44" t="s">
        <v>1000</v>
      </c>
    </row>
    <row r="7836" ht="22" customHeight="1" spans="1:10" x14ac:dyDescent="0.25">
      <c r="A7836" s="43">
        <v>3130</v>
      </c>
      <c r="B7836" s="43">
        <v>18</v>
      </c>
      <c r="C7836" s="43" t="s">
        <v>962</v>
      </c>
      <c r="D7836" s="43" t="s">
        <v>1009</v>
      </c>
      <c r="E7836" s="43" t="s">
        <v>278</v>
      </c>
      <c r="F7836" s="43" t="s">
        <v>958</v>
      </c>
      <c r="G7836" s="43">
        <v>1877777</v>
      </c>
      <c r="H7836" s="43">
        <v>501100</v>
      </c>
      <c r="I7836" s="43" t="s">
        <v>949</v>
      </c>
      <c r="J7836" s="44" t="s">
        <v>1000</v>
      </c>
    </row>
    <row r="7837" ht="22" customHeight="1" spans="1:10" x14ac:dyDescent="0.25">
      <c r="A7837" s="43">
        <v>3130</v>
      </c>
      <c r="B7837" s="43">
        <v>18</v>
      </c>
      <c r="C7837" s="43" t="s">
        <v>962</v>
      </c>
      <c r="D7837" s="43" t="s">
        <v>1009</v>
      </c>
      <c r="E7837" s="43" t="s">
        <v>278</v>
      </c>
      <c r="F7837" s="43" t="s">
        <v>959</v>
      </c>
      <c r="G7837" s="43">
        <v>1877777</v>
      </c>
      <c r="H7837" s="43">
        <v>501100</v>
      </c>
      <c r="I7837" s="43" t="s">
        <v>949</v>
      </c>
      <c r="J7837" s="44" t="s">
        <v>1000</v>
      </c>
    </row>
    <row r="7838" ht="22" customHeight="1" spans="1:10" x14ac:dyDescent="0.25">
      <c r="A7838" s="43">
        <v>3130</v>
      </c>
      <c r="B7838" s="43">
        <v>18</v>
      </c>
      <c r="C7838" s="43" t="s">
        <v>962</v>
      </c>
      <c r="D7838" s="43" t="s">
        <v>1009</v>
      </c>
      <c r="E7838" s="43" t="s">
        <v>278</v>
      </c>
      <c r="F7838" s="43" t="s">
        <v>960</v>
      </c>
      <c r="G7838" s="43">
        <v>1877777</v>
      </c>
      <c r="H7838" s="43">
        <v>501100</v>
      </c>
      <c r="I7838" s="43" t="s">
        <v>949</v>
      </c>
      <c r="J7838" s="44" t="s">
        <v>1000</v>
      </c>
    </row>
    <row r="7839" ht="22" customHeight="1" spans="1:10" x14ac:dyDescent="0.25">
      <c r="A7839" s="43">
        <v>3130</v>
      </c>
      <c r="B7839" s="43">
        <v>18</v>
      </c>
      <c r="C7839" s="43" t="s">
        <v>962</v>
      </c>
      <c r="D7839" s="43" t="s">
        <v>1009</v>
      </c>
      <c r="E7839" s="43" t="s">
        <v>278</v>
      </c>
      <c r="F7839" s="43" t="s">
        <v>961</v>
      </c>
      <c r="G7839" s="43">
        <v>1877777</v>
      </c>
      <c r="H7839" s="43">
        <v>501100</v>
      </c>
      <c r="I7839" s="43" t="s">
        <v>949</v>
      </c>
      <c r="J7839" s="44" t="s">
        <v>1000</v>
      </c>
    </row>
    <row r="7840" ht="22" customHeight="1" spans="1:10" x14ac:dyDescent="0.25">
      <c r="A7840" s="43">
        <v>3130</v>
      </c>
      <c r="B7840" s="43">
        <v>18</v>
      </c>
      <c r="C7840" s="43" t="s">
        <v>963</v>
      </c>
      <c r="D7840" s="43" t="s">
        <v>1009</v>
      </c>
      <c r="E7840" s="43" t="s">
        <v>278</v>
      </c>
      <c r="F7840" s="43" t="s">
        <v>951</v>
      </c>
      <c r="G7840" s="43">
        <v>1877777</v>
      </c>
      <c r="H7840" s="43">
        <v>501100</v>
      </c>
      <c r="I7840" s="43" t="s">
        <v>949</v>
      </c>
      <c r="J7840" s="44" t="s">
        <v>1000</v>
      </c>
    </row>
    <row r="7841" ht="22" customHeight="1" spans="1:10" x14ac:dyDescent="0.25">
      <c r="A7841" s="43">
        <v>3130</v>
      </c>
      <c r="B7841" s="43">
        <v>18</v>
      </c>
      <c r="C7841" s="43" t="s">
        <v>963</v>
      </c>
      <c r="D7841" s="43" t="s">
        <v>1009</v>
      </c>
      <c r="E7841" s="43" t="s">
        <v>278</v>
      </c>
      <c r="F7841" s="43" t="s">
        <v>952</v>
      </c>
      <c r="G7841" s="43">
        <v>1877777</v>
      </c>
      <c r="H7841" s="43">
        <v>501100</v>
      </c>
      <c r="I7841" s="43" t="s">
        <v>949</v>
      </c>
      <c r="J7841" s="44" t="s">
        <v>1000</v>
      </c>
    </row>
    <row r="7842" ht="22" customHeight="1" spans="1:10" x14ac:dyDescent="0.25">
      <c r="A7842" s="43">
        <v>3130</v>
      </c>
      <c r="B7842" s="43">
        <v>18</v>
      </c>
      <c r="C7842" s="43" t="s">
        <v>963</v>
      </c>
      <c r="D7842" s="43" t="s">
        <v>1009</v>
      </c>
      <c r="E7842" s="43" t="s">
        <v>278</v>
      </c>
      <c r="F7842" s="43" t="s">
        <v>953</v>
      </c>
      <c r="G7842" s="43">
        <v>1877777</v>
      </c>
      <c r="H7842" s="43">
        <v>501100</v>
      </c>
      <c r="I7842" s="43" t="s">
        <v>949</v>
      </c>
      <c r="J7842" s="44" t="s">
        <v>1000</v>
      </c>
    </row>
    <row r="7843" ht="22" customHeight="1" spans="1:10" x14ac:dyDescent="0.25">
      <c r="A7843" s="43">
        <v>3130</v>
      </c>
      <c r="B7843" s="43">
        <v>18</v>
      </c>
      <c r="C7843" s="43" t="s">
        <v>963</v>
      </c>
      <c r="D7843" s="43" t="s">
        <v>1009</v>
      </c>
      <c r="E7843" s="43" t="s">
        <v>278</v>
      </c>
      <c r="F7843" s="43" t="s">
        <v>954</v>
      </c>
      <c r="G7843" s="43">
        <v>1877777</v>
      </c>
      <c r="H7843" s="43">
        <v>501100</v>
      </c>
      <c r="I7843" s="43" t="s">
        <v>949</v>
      </c>
      <c r="J7843" s="44" t="s">
        <v>1000</v>
      </c>
    </row>
    <row r="7844" ht="22" customHeight="1" spans="1:10" x14ac:dyDescent="0.25">
      <c r="A7844" s="43">
        <v>3130</v>
      </c>
      <c r="B7844" s="43">
        <v>18</v>
      </c>
      <c r="C7844" s="43" t="s">
        <v>963</v>
      </c>
      <c r="D7844" s="43" t="s">
        <v>1009</v>
      </c>
      <c r="E7844" s="43" t="s">
        <v>278</v>
      </c>
      <c r="F7844" s="43" t="s">
        <v>955</v>
      </c>
      <c r="G7844" s="43">
        <v>1877777</v>
      </c>
      <c r="H7844" s="43">
        <v>501100</v>
      </c>
      <c r="I7844" s="43" t="s">
        <v>949</v>
      </c>
      <c r="J7844" s="44" t="s">
        <v>1000</v>
      </c>
    </row>
    <row r="7845" ht="22" customHeight="1" spans="1:10" x14ac:dyDescent="0.25">
      <c r="A7845" s="43">
        <v>3130</v>
      </c>
      <c r="B7845" s="43">
        <v>18</v>
      </c>
      <c r="C7845" s="43" t="s">
        <v>963</v>
      </c>
      <c r="D7845" s="43" t="s">
        <v>1009</v>
      </c>
      <c r="E7845" s="43" t="s">
        <v>278</v>
      </c>
      <c r="F7845" s="43" t="s">
        <v>956</v>
      </c>
      <c r="G7845" s="43">
        <v>1877777</v>
      </c>
      <c r="H7845" s="43">
        <v>501100</v>
      </c>
      <c r="I7845" s="43" t="s">
        <v>949</v>
      </c>
      <c r="J7845" s="44" t="s">
        <v>1000</v>
      </c>
    </row>
    <row r="7846" ht="22" customHeight="1" spans="1:10" x14ac:dyDescent="0.25">
      <c r="A7846" s="43">
        <v>3130</v>
      </c>
      <c r="B7846" s="43">
        <v>18</v>
      </c>
      <c r="C7846" s="43" t="s">
        <v>963</v>
      </c>
      <c r="D7846" s="43" t="s">
        <v>1009</v>
      </c>
      <c r="E7846" s="43" t="s">
        <v>278</v>
      </c>
      <c r="F7846" s="43" t="s">
        <v>957</v>
      </c>
      <c r="G7846" s="43">
        <v>1877777</v>
      </c>
      <c r="H7846" s="43">
        <v>501100</v>
      </c>
      <c r="I7846" s="43" t="s">
        <v>949</v>
      </c>
      <c r="J7846" s="44" t="s">
        <v>1000</v>
      </c>
    </row>
    <row r="7847" ht="22" customHeight="1" spans="1:10" x14ac:dyDescent="0.25">
      <c r="A7847" s="43">
        <v>3130</v>
      </c>
      <c r="B7847" s="43">
        <v>18</v>
      </c>
      <c r="C7847" s="43" t="s">
        <v>963</v>
      </c>
      <c r="D7847" s="43" t="s">
        <v>1009</v>
      </c>
      <c r="E7847" s="43" t="s">
        <v>278</v>
      </c>
      <c r="F7847" s="43" t="s">
        <v>958</v>
      </c>
      <c r="G7847" s="43">
        <v>1877777</v>
      </c>
      <c r="H7847" s="43">
        <v>501100</v>
      </c>
      <c r="I7847" s="43" t="s">
        <v>949</v>
      </c>
      <c r="J7847" s="44" t="s">
        <v>1000</v>
      </c>
    </row>
    <row r="7848" ht="22" customHeight="1" spans="1:10" x14ac:dyDescent="0.25">
      <c r="A7848" s="43">
        <v>3130</v>
      </c>
      <c r="B7848" s="43">
        <v>18</v>
      </c>
      <c r="C7848" s="43" t="s">
        <v>963</v>
      </c>
      <c r="D7848" s="43" t="s">
        <v>1009</v>
      </c>
      <c r="E7848" s="43" t="s">
        <v>278</v>
      </c>
      <c r="F7848" s="43" t="s">
        <v>959</v>
      </c>
      <c r="G7848" s="43">
        <v>1877777</v>
      </c>
      <c r="H7848" s="43">
        <v>501100</v>
      </c>
      <c r="I7848" s="43" t="s">
        <v>949</v>
      </c>
      <c r="J7848" s="44" t="s">
        <v>1000</v>
      </c>
    </row>
    <row r="7849" ht="22" customHeight="1" spans="1:10" x14ac:dyDescent="0.25">
      <c r="A7849" s="43">
        <v>3130</v>
      </c>
      <c r="B7849" s="43">
        <v>18</v>
      </c>
      <c r="C7849" s="43" t="s">
        <v>963</v>
      </c>
      <c r="D7849" s="43" t="s">
        <v>1009</v>
      </c>
      <c r="E7849" s="43" t="s">
        <v>278</v>
      </c>
      <c r="F7849" s="43" t="s">
        <v>960</v>
      </c>
      <c r="G7849" s="43">
        <v>1877777</v>
      </c>
      <c r="H7849" s="43">
        <v>501100</v>
      </c>
      <c r="I7849" s="43" t="s">
        <v>949</v>
      </c>
      <c r="J7849" s="44" t="s">
        <v>1000</v>
      </c>
    </row>
    <row r="7850" ht="22" customHeight="1" spans="1:10" x14ac:dyDescent="0.25">
      <c r="A7850" s="43">
        <v>3130</v>
      </c>
      <c r="B7850" s="43">
        <v>18</v>
      </c>
      <c r="C7850" s="43" t="s">
        <v>963</v>
      </c>
      <c r="D7850" s="43" t="s">
        <v>1009</v>
      </c>
      <c r="E7850" s="43" t="s">
        <v>278</v>
      </c>
      <c r="F7850" s="43" t="s">
        <v>961</v>
      </c>
      <c r="G7850" s="43">
        <v>1877777</v>
      </c>
      <c r="H7850" s="43">
        <v>501100</v>
      </c>
      <c r="I7850" s="43" t="s">
        <v>949</v>
      </c>
      <c r="J7850" s="44" t="s">
        <v>1000</v>
      </c>
    </row>
    <row r="7851" spans="1:9" x14ac:dyDescent="0.25">
      <c r="A7851">
        <v>4122</v>
      </c>
      <c r="B7851">
        <v>18</v>
      </c>
      <c r="C7851" t="s">
        <v>946</v>
      </c>
      <c r="D7851" t="s">
        <v>1009</v>
      </c>
      <c r="E7851" t="s">
        <v>278</v>
      </c>
      <c r="F7851" t="s">
        <v>948</v>
      </c>
      <c r="G7851">
        <v>1800000</v>
      </c>
      <c r="H7851">
        <v>145000</v>
      </c>
      <c r="I7851" t="s">
        <v>949</v>
      </c>
    </row>
    <row r="7852" spans="1:9" x14ac:dyDescent="0.25">
      <c r="A7852">
        <v>4124</v>
      </c>
      <c r="B7852">
        <v>18</v>
      </c>
      <c r="C7852" t="s">
        <v>946</v>
      </c>
      <c r="D7852" t="s">
        <v>1009</v>
      </c>
      <c r="E7852" t="s">
        <v>278</v>
      </c>
      <c r="F7852" t="s">
        <v>948</v>
      </c>
      <c r="G7852">
        <v>1877777</v>
      </c>
      <c r="H7852">
        <v>501100</v>
      </c>
      <c r="I7852" t="s">
        <v>949</v>
      </c>
    </row>
    <row r="7853" ht="22" customHeight="1" spans="1:10" x14ac:dyDescent="0.25">
      <c r="A7853" s="43">
        <v>3130</v>
      </c>
      <c r="B7853" s="43">
        <v>18</v>
      </c>
      <c r="C7853" s="43" t="s">
        <v>950</v>
      </c>
      <c r="D7853" s="43" t="s">
        <v>1009</v>
      </c>
      <c r="E7853" s="43" t="s">
        <v>282</v>
      </c>
      <c r="F7853" s="43" t="s">
        <v>951</v>
      </c>
      <c r="G7853" s="43">
        <v>1877777</v>
      </c>
      <c r="H7853" s="43">
        <v>501100</v>
      </c>
      <c r="I7853" s="43" t="s">
        <v>949</v>
      </c>
      <c r="J7853" s="44" t="s">
        <v>1000</v>
      </c>
    </row>
    <row r="7854" ht="22" customHeight="1" spans="1:10" x14ac:dyDescent="0.25">
      <c r="A7854" s="43">
        <v>3130</v>
      </c>
      <c r="B7854" s="43">
        <v>18</v>
      </c>
      <c r="C7854" s="43" t="s">
        <v>950</v>
      </c>
      <c r="D7854" s="43" t="s">
        <v>1009</v>
      </c>
      <c r="E7854" s="43" t="s">
        <v>282</v>
      </c>
      <c r="F7854" s="43" t="s">
        <v>952</v>
      </c>
      <c r="G7854" s="43">
        <v>1877777</v>
      </c>
      <c r="H7854" s="43">
        <v>501100</v>
      </c>
      <c r="I7854" s="43" t="s">
        <v>949</v>
      </c>
      <c r="J7854" s="44" t="s">
        <v>1000</v>
      </c>
    </row>
    <row r="7855" ht="22" customHeight="1" spans="1:10" x14ac:dyDescent="0.25">
      <c r="A7855" s="43">
        <v>3130</v>
      </c>
      <c r="B7855" s="43">
        <v>18</v>
      </c>
      <c r="C7855" s="43" t="s">
        <v>950</v>
      </c>
      <c r="D7855" s="43" t="s">
        <v>1009</v>
      </c>
      <c r="E7855" s="43" t="s">
        <v>282</v>
      </c>
      <c r="F7855" s="43" t="s">
        <v>953</v>
      </c>
      <c r="G7855" s="43">
        <v>1877777</v>
      </c>
      <c r="H7855" s="43">
        <v>501100</v>
      </c>
      <c r="I7855" s="43" t="s">
        <v>949</v>
      </c>
      <c r="J7855" s="44" t="s">
        <v>1000</v>
      </c>
    </row>
    <row r="7856" ht="22" customHeight="1" spans="1:10" x14ac:dyDescent="0.25">
      <c r="A7856" s="43">
        <v>3130</v>
      </c>
      <c r="B7856" s="43">
        <v>18</v>
      </c>
      <c r="C7856" s="43" t="s">
        <v>950</v>
      </c>
      <c r="D7856" s="43" t="s">
        <v>1009</v>
      </c>
      <c r="E7856" s="43" t="s">
        <v>282</v>
      </c>
      <c r="F7856" s="43" t="s">
        <v>954</v>
      </c>
      <c r="G7856" s="43">
        <v>1877777</v>
      </c>
      <c r="H7856" s="43">
        <v>501100</v>
      </c>
      <c r="I7856" s="43" t="s">
        <v>949</v>
      </c>
      <c r="J7856" s="44" t="s">
        <v>1000</v>
      </c>
    </row>
    <row r="7857" ht="22" customHeight="1" spans="1:10" x14ac:dyDescent="0.25">
      <c r="A7857" s="43">
        <v>3130</v>
      </c>
      <c r="B7857" s="43">
        <v>18</v>
      </c>
      <c r="C7857" s="43" t="s">
        <v>950</v>
      </c>
      <c r="D7857" s="43" t="s">
        <v>1009</v>
      </c>
      <c r="E7857" s="43" t="s">
        <v>282</v>
      </c>
      <c r="F7857" s="43" t="s">
        <v>955</v>
      </c>
      <c r="G7857" s="43">
        <v>1877777</v>
      </c>
      <c r="H7857" s="43">
        <v>501100</v>
      </c>
      <c r="I7857" s="43" t="s">
        <v>949</v>
      </c>
      <c r="J7857" s="44" t="s">
        <v>1000</v>
      </c>
    </row>
    <row r="7858" ht="22" customHeight="1" spans="1:10" x14ac:dyDescent="0.25">
      <c r="A7858" s="43">
        <v>3130</v>
      </c>
      <c r="B7858" s="43">
        <v>18</v>
      </c>
      <c r="C7858" s="43" t="s">
        <v>950</v>
      </c>
      <c r="D7858" s="43" t="s">
        <v>1009</v>
      </c>
      <c r="E7858" s="43" t="s">
        <v>282</v>
      </c>
      <c r="F7858" s="43" t="s">
        <v>956</v>
      </c>
      <c r="G7858" s="43">
        <v>1877777</v>
      </c>
      <c r="H7858" s="43">
        <v>501100</v>
      </c>
      <c r="I7858" s="43" t="s">
        <v>949</v>
      </c>
      <c r="J7858" s="44" t="s">
        <v>1000</v>
      </c>
    </row>
    <row r="7859" ht="22" customHeight="1" spans="1:10" x14ac:dyDescent="0.25">
      <c r="A7859" s="43">
        <v>3130</v>
      </c>
      <c r="B7859" s="43">
        <v>18</v>
      </c>
      <c r="C7859" s="43" t="s">
        <v>950</v>
      </c>
      <c r="D7859" s="43" t="s">
        <v>1009</v>
      </c>
      <c r="E7859" s="43" t="s">
        <v>282</v>
      </c>
      <c r="F7859" s="43" t="s">
        <v>957</v>
      </c>
      <c r="G7859" s="43">
        <v>1877777</v>
      </c>
      <c r="H7859" s="43">
        <v>501100</v>
      </c>
      <c r="I7859" s="43" t="s">
        <v>949</v>
      </c>
      <c r="J7859" s="44" t="s">
        <v>1000</v>
      </c>
    </row>
    <row r="7860" ht="22" customHeight="1" spans="1:10" x14ac:dyDescent="0.25">
      <c r="A7860" s="43">
        <v>3130</v>
      </c>
      <c r="B7860" s="43">
        <v>18</v>
      </c>
      <c r="C7860" s="43" t="s">
        <v>950</v>
      </c>
      <c r="D7860" s="43" t="s">
        <v>1009</v>
      </c>
      <c r="E7860" s="43" t="s">
        <v>282</v>
      </c>
      <c r="F7860" s="43" t="s">
        <v>958</v>
      </c>
      <c r="G7860" s="43">
        <v>1877777</v>
      </c>
      <c r="H7860" s="43">
        <v>501100</v>
      </c>
      <c r="I7860" s="43" t="s">
        <v>949</v>
      </c>
      <c r="J7860" s="44" t="s">
        <v>1000</v>
      </c>
    </row>
    <row r="7861" ht="22" customHeight="1" spans="1:10" x14ac:dyDescent="0.25">
      <c r="A7861" s="43">
        <v>3130</v>
      </c>
      <c r="B7861" s="43">
        <v>18</v>
      </c>
      <c r="C7861" s="43" t="s">
        <v>950</v>
      </c>
      <c r="D7861" s="43" t="s">
        <v>1009</v>
      </c>
      <c r="E7861" s="43" t="s">
        <v>282</v>
      </c>
      <c r="F7861" s="43" t="s">
        <v>959</v>
      </c>
      <c r="G7861" s="43">
        <v>1877777</v>
      </c>
      <c r="H7861" s="43">
        <v>501100</v>
      </c>
      <c r="I7861" s="43" t="s">
        <v>949</v>
      </c>
      <c r="J7861" s="44" t="s">
        <v>1000</v>
      </c>
    </row>
    <row r="7862" ht="22" customHeight="1" spans="1:10" x14ac:dyDescent="0.25">
      <c r="A7862" s="43">
        <v>3130</v>
      </c>
      <c r="B7862" s="43">
        <v>18</v>
      </c>
      <c r="C7862" s="43" t="s">
        <v>950</v>
      </c>
      <c r="D7862" s="43" t="s">
        <v>1009</v>
      </c>
      <c r="E7862" s="43" t="s">
        <v>282</v>
      </c>
      <c r="F7862" s="43" t="s">
        <v>960</v>
      </c>
      <c r="G7862" s="43">
        <v>1877777</v>
      </c>
      <c r="H7862" s="43">
        <v>501100</v>
      </c>
      <c r="I7862" s="43" t="s">
        <v>949</v>
      </c>
      <c r="J7862" s="44" t="s">
        <v>1000</v>
      </c>
    </row>
    <row r="7863" ht="22" customHeight="1" spans="1:10" x14ac:dyDescent="0.25">
      <c r="A7863" s="43">
        <v>3130</v>
      </c>
      <c r="B7863" s="43">
        <v>18</v>
      </c>
      <c r="C7863" s="43" t="s">
        <v>950</v>
      </c>
      <c r="D7863" s="43" t="s">
        <v>1009</v>
      </c>
      <c r="E7863" s="43" t="s">
        <v>282</v>
      </c>
      <c r="F7863" s="43" t="s">
        <v>961</v>
      </c>
      <c r="G7863" s="43">
        <v>1877777</v>
      </c>
      <c r="H7863" s="43">
        <v>501100</v>
      </c>
      <c r="I7863" s="43" t="s">
        <v>949</v>
      </c>
      <c r="J7863" s="44" t="s">
        <v>1000</v>
      </c>
    </row>
    <row r="7864" ht="22" customHeight="1" spans="1:10" x14ac:dyDescent="0.25">
      <c r="A7864" s="43">
        <v>3130</v>
      </c>
      <c r="B7864" s="43">
        <v>18</v>
      </c>
      <c r="C7864" s="43" t="s">
        <v>962</v>
      </c>
      <c r="D7864" s="43" t="s">
        <v>1009</v>
      </c>
      <c r="E7864" s="43" t="s">
        <v>282</v>
      </c>
      <c r="F7864" s="43" t="s">
        <v>951</v>
      </c>
      <c r="G7864" s="43">
        <v>1877777</v>
      </c>
      <c r="H7864" s="43">
        <v>501100</v>
      </c>
      <c r="I7864" s="43" t="s">
        <v>949</v>
      </c>
      <c r="J7864" s="44" t="s">
        <v>1000</v>
      </c>
    </row>
    <row r="7865" ht="22" customHeight="1" spans="1:10" x14ac:dyDescent="0.25">
      <c r="A7865" s="43">
        <v>3130</v>
      </c>
      <c r="B7865" s="43">
        <v>18</v>
      </c>
      <c r="C7865" s="43" t="s">
        <v>962</v>
      </c>
      <c r="D7865" s="43" t="s">
        <v>1009</v>
      </c>
      <c r="E7865" s="43" t="s">
        <v>282</v>
      </c>
      <c r="F7865" s="43" t="s">
        <v>952</v>
      </c>
      <c r="G7865" s="43">
        <v>1877777</v>
      </c>
      <c r="H7865" s="43">
        <v>501100</v>
      </c>
      <c r="I7865" s="43" t="s">
        <v>949</v>
      </c>
      <c r="J7865" s="44" t="s">
        <v>1000</v>
      </c>
    </row>
    <row r="7866" ht="22" customHeight="1" spans="1:10" x14ac:dyDescent="0.25">
      <c r="A7866" s="43">
        <v>3130</v>
      </c>
      <c r="B7866" s="43">
        <v>18</v>
      </c>
      <c r="C7866" s="43" t="s">
        <v>962</v>
      </c>
      <c r="D7866" s="43" t="s">
        <v>1009</v>
      </c>
      <c r="E7866" s="43" t="s">
        <v>282</v>
      </c>
      <c r="F7866" s="43" t="s">
        <v>953</v>
      </c>
      <c r="G7866" s="43">
        <v>1877777</v>
      </c>
      <c r="H7866" s="43">
        <v>501100</v>
      </c>
      <c r="I7866" s="43" t="s">
        <v>949</v>
      </c>
      <c r="J7866" s="44" t="s">
        <v>1000</v>
      </c>
    </row>
    <row r="7867" ht="22" customHeight="1" spans="1:10" x14ac:dyDescent="0.25">
      <c r="A7867" s="43">
        <v>3130</v>
      </c>
      <c r="B7867" s="43">
        <v>18</v>
      </c>
      <c r="C7867" s="43" t="s">
        <v>962</v>
      </c>
      <c r="D7867" s="43" t="s">
        <v>1009</v>
      </c>
      <c r="E7867" s="43" t="s">
        <v>282</v>
      </c>
      <c r="F7867" s="43" t="s">
        <v>954</v>
      </c>
      <c r="G7867" s="43">
        <v>1877777</v>
      </c>
      <c r="H7867" s="43">
        <v>501100</v>
      </c>
      <c r="I7867" s="43" t="s">
        <v>949</v>
      </c>
      <c r="J7867" s="44" t="s">
        <v>1000</v>
      </c>
    </row>
    <row r="7868" ht="22" customHeight="1" spans="1:10" x14ac:dyDescent="0.25">
      <c r="A7868" s="43">
        <v>3130</v>
      </c>
      <c r="B7868" s="43">
        <v>18</v>
      </c>
      <c r="C7868" s="43" t="s">
        <v>962</v>
      </c>
      <c r="D7868" s="43" t="s">
        <v>1009</v>
      </c>
      <c r="E7868" s="43" t="s">
        <v>282</v>
      </c>
      <c r="F7868" s="43" t="s">
        <v>955</v>
      </c>
      <c r="G7868" s="43">
        <v>1877777</v>
      </c>
      <c r="H7868" s="43">
        <v>501100</v>
      </c>
      <c r="I7868" s="43" t="s">
        <v>949</v>
      </c>
      <c r="J7868" s="44" t="s">
        <v>1000</v>
      </c>
    </row>
    <row r="7869" ht="22" customHeight="1" spans="1:10" x14ac:dyDescent="0.25">
      <c r="A7869" s="43">
        <v>3130</v>
      </c>
      <c r="B7869" s="43">
        <v>18</v>
      </c>
      <c r="C7869" s="43" t="s">
        <v>962</v>
      </c>
      <c r="D7869" s="43" t="s">
        <v>1009</v>
      </c>
      <c r="E7869" s="43" t="s">
        <v>282</v>
      </c>
      <c r="F7869" s="43" t="s">
        <v>956</v>
      </c>
      <c r="G7869" s="43">
        <v>1877777</v>
      </c>
      <c r="H7869" s="43">
        <v>501100</v>
      </c>
      <c r="I7869" s="43" t="s">
        <v>949</v>
      </c>
      <c r="J7869" s="44" t="s">
        <v>1000</v>
      </c>
    </row>
    <row r="7870" ht="22" customHeight="1" spans="1:10" x14ac:dyDescent="0.25">
      <c r="A7870" s="43">
        <v>3130</v>
      </c>
      <c r="B7870" s="43">
        <v>18</v>
      </c>
      <c r="C7870" s="43" t="s">
        <v>962</v>
      </c>
      <c r="D7870" s="43" t="s">
        <v>1009</v>
      </c>
      <c r="E7870" s="43" t="s">
        <v>282</v>
      </c>
      <c r="F7870" s="43" t="s">
        <v>957</v>
      </c>
      <c r="G7870" s="43">
        <v>1877777</v>
      </c>
      <c r="H7870" s="43">
        <v>501100</v>
      </c>
      <c r="I7870" s="43" t="s">
        <v>949</v>
      </c>
      <c r="J7870" s="44" t="s">
        <v>1000</v>
      </c>
    </row>
    <row r="7871" ht="22" customHeight="1" spans="1:10" x14ac:dyDescent="0.25">
      <c r="A7871" s="43">
        <v>3130</v>
      </c>
      <c r="B7871" s="43">
        <v>18</v>
      </c>
      <c r="C7871" s="43" t="s">
        <v>962</v>
      </c>
      <c r="D7871" s="43" t="s">
        <v>1009</v>
      </c>
      <c r="E7871" s="43" t="s">
        <v>282</v>
      </c>
      <c r="F7871" s="43" t="s">
        <v>958</v>
      </c>
      <c r="G7871" s="43">
        <v>1877777</v>
      </c>
      <c r="H7871" s="43">
        <v>501100</v>
      </c>
      <c r="I7871" s="43" t="s">
        <v>949</v>
      </c>
      <c r="J7871" s="44" t="s">
        <v>1000</v>
      </c>
    </row>
    <row r="7872" ht="22" customHeight="1" spans="1:10" x14ac:dyDescent="0.25">
      <c r="A7872" s="43">
        <v>3130</v>
      </c>
      <c r="B7872" s="43">
        <v>18</v>
      </c>
      <c r="C7872" s="43" t="s">
        <v>962</v>
      </c>
      <c r="D7872" s="43" t="s">
        <v>1009</v>
      </c>
      <c r="E7872" s="43" t="s">
        <v>282</v>
      </c>
      <c r="F7872" s="43" t="s">
        <v>959</v>
      </c>
      <c r="G7872" s="43">
        <v>1877777</v>
      </c>
      <c r="H7872" s="43">
        <v>501100</v>
      </c>
      <c r="I7872" s="43" t="s">
        <v>949</v>
      </c>
      <c r="J7872" s="44" t="s">
        <v>1000</v>
      </c>
    </row>
    <row r="7873" ht="22" customHeight="1" spans="1:10" x14ac:dyDescent="0.25">
      <c r="A7873" s="43">
        <v>3130</v>
      </c>
      <c r="B7873" s="43">
        <v>18</v>
      </c>
      <c r="C7873" s="43" t="s">
        <v>962</v>
      </c>
      <c r="D7873" s="43" t="s">
        <v>1009</v>
      </c>
      <c r="E7873" s="43" t="s">
        <v>282</v>
      </c>
      <c r="F7873" s="43" t="s">
        <v>960</v>
      </c>
      <c r="G7873" s="43">
        <v>1877777</v>
      </c>
      <c r="H7873" s="43">
        <v>501100</v>
      </c>
      <c r="I7873" s="43" t="s">
        <v>949</v>
      </c>
      <c r="J7873" s="44" t="s">
        <v>1000</v>
      </c>
    </row>
    <row r="7874" ht="22" customHeight="1" spans="1:10" x14ac:dyDescent="0.25">
      <c r="A7874" s="43">
        <v>3130</v>
      </c>
      <c r="B7874" s="43">
        <v>18</v>
      </c>
      <c r="C7874" s="43" t="s">
        <v>962</v>
      </c>
      <c r="D7874" s="43" t="s">
        <v>1009</v>
      </c>
      <c r="E7874" s="43" t="s">
        <v>282</v>
      </c>
      <c r="F7874" s="43" t="s">
        <v>961</v>
      </c>
      <c r="G7874" s="43">
        <v>1877777</v>
      </c>
      <c r="H7874" s="43">
        <v>501100</v>
      </c>
      <c r="I7874" s="43" t="s">
        <v>949</v>
      </c>
      <c r="J7874" s="44" t="s">
        <v>1000</v>
      </c>
    </row>
    <row r="7875" ht="22" customHeight="1" spans="1:10" x14ac:dyDescent="0.25">
      <c r="A7875" s="43">
        <v>3130</v>
      </c>
      <c r="B7875" s="43">
        <v>18</v>
      </c>
      <c r="C7875" s="43" t="s">
        <v>963</v>
      </c>
      <c r="D7875" s="43" t="s">
        <v>1009</v>
      </c>
      <c r="E7875" s="43" t="s">
        <v>282</v>
      </c>
      <c r="F7875" s="43" t="s">
        <v>951</v>
      </c>
      <c r="G7875" s="43">
        <v>1877777</v>
      </c>
      <c r="H7875" s="43">
        <v>501100</v>
      </c>
      <c r="I7875" s="43" t="s">
        <v>949</v>
      </c>
      <c r="J7875" s="44" t="s">
        <v>1000</v>
      </c>
    </row>
    <row r="7876" ht="22" customHeight="1" spans="1:10" x14ac:dyDescent="0.25">
      <c r="A7876" s="43">
        <v>3130</v>
      </c>
      <c r="B7876" s="43">
        <v>18</v>
      </c>
      <c r="C7876" s="43" t="s">
        <v>963</v>
      </c>
      <c r="D7876" s="43" t="s">
        <v>1009</v>
      </c>
      <c r="E7876" s="43" t="s">
        <v>282</v>
      </c>
      <c r="F7876" s="43" t="s">
        <v>952</v>
      </c>
      <c r="G7876" s="43">
        <v>1877777</v>
      </c>
      <c r="H7876" s="43">
        <v>501100</v>
      </c>
      <c r="I7876" s="43" t="s">
        <v>949</v>
      </c>
      <c r="J7876" s="44" t="s">
        <v>1000</v>
      </c>
    </row>
    <row r="7877" ht="22" customHeight="1" spans="1:10" x14ac:dyDescent="0.25">
      <c r="A7877" s="43">
        <v>3130</v>
      </c>
      <c r="B7877" s="43">
        <v>18</v>
      </c>
      <c r="C7877" s="43" t="s">
        <v>963</v>
      </c>
      <c r="D7877" s="43" t="s">
        <v>1009</v>
      </c>
      <c r="E7877" s="43" t="s">
        <v>282</v>
      </c>
      <c r="F7877" s="43" t="s">
        <v>953</v>
      </c>
      <c r="G7877" s="43">
        <v>1877777</v>
      </c>
      <c r="H7877" s="43">
        <v>501100</v>
      </c>
      <c r="I7877" s="43" t="s">
        <v>949</v>
      </c>
      <c r="J7877" s="44" t="s">
        <v>1000</v>
      </c>
    </row>
    <row r="7878" ht="22" customHeight="1" spans="1:10" x14ac:dyDescent="0.25">
      <c r="A7878" s="43">
        <v>3130</v>
      </c>
      <c r="B7878" s="43">
        <v>18</v>
      </c>
      <c r="C7878" s="43" t="s">
        <v>963</v>
      </c>
      <c r="D7878" s="43" t="s">
        <v>1009</v>
      </c>
      <c r="E7878" s="43" t="s">
        <v>282</v>
      </c>
      <c r="F7878" s="43" t="s">
        <v>954</v>
      </c>
      <c r="G7878" s="43">
        <v>1877777</v>
      </c>
      <c r="H7878" s="43">
        <v>501100</v>
      </c>
      <c r="I7878" s="43" t="s">
        <v>949</v>
      </c>
      <c r="J7878" s="44" t="s">
        <v>1000</v>
      </c>
    </row>
    <row r="7879" ht="22" customHeight="1" spans="1:10" x14ac:dyDescent="0.25">
      <c r="A7879" s="43">
        <v>3130</v>
      </c>
      <c r="B7879" s="43">
        <v>18</v>
      </c>
      <c r="C7879" s="43" t="s">
        <v>963</v>
      </c>
      <c r="D7879" s="43" t="s">
        <v>1009</v>
      </c>
      <c r="E7879" s="43" t="s">
        <v>282</v>
      </c>
      <c r="F7879" s="43" t="s">
        <v>955</v>
      </c>
      <c r="G7879" s="43">
        <v>1877777</v>
      </c>
      <c r="H7879" s="43">
        <v>501100</v>
      </c>
      <c r="I7879" s="43" t="s">
        <v>949</v>
      </c>
      <c r="J7879" s="44" t="s">
        <v>1000</v>
      </c>
    </row>
    <row r="7880" ht="22" customHeight="1" spans="1:10" x14ac:dyDescent="0.25">
      <c r="A7880" s="43">
        <v>3130</v>
      </c>
      <c r="B7880" s="43">
        <v>18</v>
      </c>
      <c r="C7880" s="43" t="s">
        <v>963</v>
      </c>
      <c r="D7880" s="43" t="s">
        <v>1009</v>
      </c>
      <c r="E7880" s="43" t="s">
        <v>282</v>
      </c>
      <c r="F7880" s="43" t="s">
        <v>956</v>
      </c>
      <c r="G7880" s="43">
        <v>1877777</v>
      </c>
      <c r="H7880" s="43">
        <v>501100</v>
      </c>
      <c r="I7880" s="43" t="s">
        <v>949</v>
      </c>
      <c r="J7880" s="44" t="s">
        <v>1000</v>
      </c>
    </row>
    <row r="7881" ht="22" customHeight="1" spans="1:10" x14ac:dyDescent="0.25">
      <c r="A7881" s="43">
        <v>3130</v>
      </c>
      <c r="B7881" s="43">
        <v>18</v>
      </c>
      <c r="C7881" s="43" t="s">
        <v>963</v>
      </c>
      <c r="D7881" s="43" t="s">
        <v>1009</v>
      </c>
      <c r="E7881" s="43" t="s">
        <v>282</v>
      </c>
      <c r="F7881" s="43" t="s">
        <v>957</v>
      </c>
      <c r="G7881" s="43">
        <v>1877777</v>
      </c>
      <c r="H7881" s="43">
        <v>501100</v>
      </c>
      <c r="I7881" s="43" t="s">
        <v>949</v>
      </c>
      <c r="J7881" s="44" t="s">
        <v>1000</v>
      </c>
    </row>
    <row r="7882" ht="22" customHeight="1" spans="1:10" x14ac:dyDescent="0.25">
      <c r="A7882" s="43">
        <v>3130</v>
      </c>
      <c r="B7882" s="43">
        <v>18</v>
      </c>
      <c r="C7882" s="43" t="s">
        <v>963</v>
      </c>
      <c r="D7882" s="43" t="s">
        <v>1009</v>
      </c>
      <c r="E7882" s="43" t="s">
        <v>282</v>
      </c>
      <c r="F7882" s="43" t="s">
        <v>958</v>
      </c>
      <c r="G7882" s="43">
        <v>1877777</v>
      </c>
      <c r="H7882" s="43">
        <v>501100</v>
      </c>
      <c r="I7882" s="43" t="s">
        <v>949</v>
      </c>
      <c r="J7882" s="44" t="s">
        <v>1000</v>
      </c>
    </row>
    <row r="7883" ht="22" customHeight="1" spans="1:10" x14ac:dyDescent="0.25">
      <c r="A7883" s="43">
        <v>3130</v>
      </c>
      <c r="B7883" s="43">
        <v>18</v>
      </c>
      <c r="C7883" s="43" t="s">
        <v>963</v>
      </c>
      <c r="D7883" s="43" t="s">
        <v>1009</v>
      </c>
      <c r="E7883" s="43" t="s">
        <v>282</v>
      </c>
      <c r="F7883" s="43" t="s">
        <v>959</v>
      </c>
      <c r="G7883" s="43">
        <v>1877777</v>
      </c>
      <c r="H7883" s="43">
        <v>501100</v>
      </c>
      <c r="I7883" s="43" t="s">
        <v>949</v>
      </c>
      <c r="J7883" s="44" t="s">
        <v>1000</v>
      </c>
    </row>
    <row r="7884" ht="22" customHeight="1" spans="1:10" x14ac:dyDescent="0.25">
      <c r="A7884" s="43">
        <v>3130</v>
      </c>
      <c r="B7884" s="43">
        <v>18</v>
      </c>
      <c r="C7884" s="43" t="s">
        <v>963</v>
      </c>
      <c r="D7884" s="43" t="s">
        <v>1009</v>
      </c>
      <c r="E7884" s="43" t="s">
        <v>282</v>
      </c>
      <c r="F7884" s="43" t="s">
        <v>960</v>
      </c>
      <c r="G7884" s="43">
        <v>1877777</v>
      </c>
      <c r="H7884" s="43">
        <v>501100</v>
      </c>
      <c r="I7884" s="43" t="s">
        <v>949</v>
      </c>
      <c r="J7884" s="44" t="s">
        <v>1000</v>
      </c>
    </row>
    <row r="7885" ht="22" customHeight="1" spans="1:10" x14ac:dyDescent="0.25">
      <c r="A7885" s="43">
        <v>3130</v>
      </c>
      <c r="B7885" s="43">
        <v>18</v>
      </c>
      <c r="C7885" s="43" t="s">
        <v>963</v>
      </c>
      <c r="D7885" s="43" t="s">
        <v>1009</v>
      </c>
      <c r="E7885" s="43" t="s">
        <v>282</v>
      </c>
      <c r="F7885" s="43" t="s">
        <v>961</v>
      </c>
      <c r="G7885" s="43">
        <v>1877777</v>
      </c>
      <c r="H7885" s="43">
        <v>501100</v>
      </c>
      <c r="I7885" s="43" t="s">
        <v>949</v>
      </c>
      <c r="J7885" s="44" t="s">
        <v>1000</v>
      </c>
    </row>
    <row r="7886" spans="1:9" x14ac:dyDescent="0.25">
      <c r="A7886">
        <v>4122</v>
      </c>
      <c r="B7886">
        <v>18</v>
      </c>
      <c r="C7886" t="s">
        <v>946</v>
      </c>
      <c r="D7886" t="s">
        <v>1009</v>
      </c>
      <c r="E7886" t="s">
        <v>282</v>
      </c>
      <c r="F7886" t="s">
        <v>948</v>
      </c>
      <c r="G7886">
        <v>1800000</v>
      </c>
      <c r="H7886">
        <v>143100</v>
      </c>
      <c r="I7886" t="s">
        <v>949</v>
      </c>
    </row>
    <row r="7887" spans="1:9" x14ac:dyDescent="0.25">
      <c r="A7887">
        <v>4124</v>
      </c>
      <c r="B7887">
        <v>18</v>
      </c>
      <c r="C7887" t="s">
        <v>946</v>
      </c>
      <c r="D7887" t="s">
        <v>1009</v>
      </c>
      <c r="E7887" t="s">
        <v>282</v>
      </c>
      <c r="F7887" t="s">
        <v>948</v>
      </c>
      <c r="G7887">
        <v>1877777</v>
      </c>
      <c r="H7887">
        <v>501100</v>
      </c>
      <c r="I7887" t="s">
        <v>949</v>
      </c>
    </row>
    <row r="7888" ht="22" customHeight="1" spans="1:10" x14ac:dyDescent="0.25">
      <c r="A7888" s="43">
        <v>3130</v>
      </c>
      <c r="B7888" s="43">
        <v>18</v>
      </c>
      <c r="C7888" s="43" t="s">
        <v>950</v>
      </c>
      <c r="D7888" s="43" t="s">
        <v>1009</v>
      </c>
      <c r="E7888" s="43" t="s">
        <v>39</v>
      </c>
      <c r="F7888" s="43" t="s">
        <v>951</v>
      </c>
      <c r="G7888" s="43">
        <v>1877777</v>
      </c>
      <c r="H7888" s="43">
        <v>501100</v>
      </c>
      <c r="I7888" s="43" t="s">
        <v>949</v>
      </c>
      <c r="J7888" s="44" t="s">
        <v>1000</v>
      </c>
    </row>
    <row r="7889" ht="22" customHeight="1" spans="1:10" x14ac:dyDescent="0.25">
      <c r="A7889" s="43">
        <v>3130</v>
      </c>
      <c r="B7889" s="43">
        <v>18</v>
      </c>
      <c r="C7889" s="43" t="s">
        <v>950</v>
      </c>
      <c r="D7889" s="43" t="s">
        <v>1009</v>
      </c>
      <c r="E7889" s="43" t="s">
        <v>39</v>
      </c>
      <c r="F7889" s="43" t="s">
        <v>952</v>
      </c>
      <c r="G7889" s="43">
        <v>1877777</v>
      </c>
      <c r="H7889" s="43">
        <v>501100</v>
      </c>
      <c r="I7889" s="43" t="s">
        <v>949</v>
      </c>
      <c r="J7889" s="44" t="s">
        <v>1000</v>
      </c>
    </row>
    <row r="7890" ht="22" customHeight="1" spans="1:10" x14ac:dyDescent="0.25">
      <c r="A7890" s="43">
        <v>3130</v>
      </c>
      <c r="B7890" s="43">
        <v>18</v>
      </c>
      <c r="C7890" s="43" t="s">
        <v>950</v>
      </c>
      <c r="D7890" s="43" t="s">
        <v>1009</v>
      </c>
      <c r="E7890" s="43" t="s">
        <v>39</v>
      </c>
      <c r="F7890" s="43" t="s">
        <v>953</v>
      </c>
      <c r="G7890" s="43">
        <v>1877777</v>
      </c>
      <c r="H7890" s="43">
        <v>501100</v>
      </c>
      <c r="I7890" s="43" t="s">
        <v>949</v>
      </c>
      <c r="J7890" s="44" t="s">
        <v>1000</v>
      </c>
    </row>
    <row r="7891" ht="22" customHeight="1" spans="1:10" x14ac:dyDescent="0.25">
      <c r="A7891" s="43">
        <v>3130</v>
      </c>
      <c r="B7891" s="43">
        <v>18</v>
      </c>
      <c r="C7891" s="43" t="s">
        <v>950</v>
      </c>
      <c r="D7891" s="43" t="s">
        <v>1009</v>
      </c>
      <c r="E7891" s="43" t="s">
        <v>39</v>
      </c>
      <c r="F7891" s="43" t="s">
        <v>954</v>
      </c>
      <c r="G7891" s="43">
        <v>1877777</v>
      </c>
      <c r="H7891" s="43">
        <v>501100</v>
      </c>
      <c r="I7891" s="43" t="s">
        <v>949</v>
      </c>
      <c r="J7891" s="44" t="s">
        <v>1000</v>
      </c>
    </row>
    <row r="7892" ht="22" customHeight="1" spans="1:10" x14ac:dyDescent="0.25">
      <c r="A7892" s="43">
        <v>3130</v>
      </c>
      <c r="B7892" s="43">
        <v>18</v>
      </c>
      <c r="C7892" s="43" t="s">
        <v>950</v>
      </c>
      <c r="D7892" s="43" t="s">
        <v>1009</v>
      </c>
      <c r="E7892" s="43" t="s">
        <v>39</v>
      </c>
      <c r="F7892" s="43" t="s">
        <v>955</v>
      </c>
      <c r="G7892" s="43">
        <v>1877777</v>
      </c>
      <c r="H7892" s="43">
        <v>501100</v>
      </c>
      <c r="I7892" s="43" t="s">
        <v>949</v>
      </c>
      <c r="J7892" s="44" t="s">
        <v>1000</v>
      </c>
    </row>
    <row r="7893" ht="22" customHeight="1" spans="1:10" x14ac:dyDescent="0.25">
      <c r="A7893" s="43">
        <v>3130</v>
      </c>
      <c r="B7893" s="43">
        <v>18</v>
      </c>
      <c r="C7893" s="43" t="s">
        <v>950</v>
      </c>
      <c r="D7893" s="43" t="s">
        <v>1009</v>
      </c>
      <c r="E7893" s="43" t="s">
        <v>39</v>
      </c>
      <c r="F7893" s="43" t="s">
        <v>956</v>
      </c>
      <c r="G7893" s="43">
        <v>1877777</v>
      </c>
      <c r="H7893" s="43">
        <v>501100</v>
      </c>
      <c r="I7893" s="43" t="s">
        <v>949</v>
      </c>
      <c r="J7893" s="44" t="s">
        <v>1000</v>
      </c>
    </row>
    <row r="7894" ht="22" customHeight="1" spans="1:10" x14ac:dyDescent="0.25">
      <c r="A7894" s="43">
        <v>3130</v>
      </c>
      <c r="B7894" s="43">
        <v>18</v>
      </c>
      <c r="C7894" s="43" t="s">
        <v>950</v>
      </c>
      <c r="D7894" s="43" t="s">
        <v>1009</v>
      </c>
      <c r="E7894" s="43" t="s">
        <v>39</v>
      </c>
      <c r="F7894" s="43" t="s">
        <v>957</v>
      </c>
      <c r="G7894" s="43">
        <v>1877777</v>
      </c>
      <c r="H7894" s="43">
        <v>501100</v>
      </c>
      <c r="I7894" s="43" t="s">
        <v>949</v>
      </c>
      <c r="J7894" s="44" t="s">
        <v>1000</v>
      </c>
    </row>
    <row r="7895" ht="22" customHeight="1" spans="1:10" x14ac:dyDescent="0.25">
      <c r="A7895" s="43">
        <v>3130</v>
      </c>
      <c r="B7895" s="43">
        <v>18</v>
      </c>
      <c r="C7895" s="43" t="s">
        <v>950</v>
      </c>
      <c r="D7895" s="43" t="s">
        <v>1009</v>
      </c>
      <c r="E7895" s="43" t="s">
        <v>39</v>
      </c>
      <c r="F7895" s="43" t="s">
        <v>958</v>
      </c>
      <c r="G7895" s="43">
        <v>1877777</v>
      </c>
      <c r="H7895" s="43">
        <v>501100</v>
      </c>
      <c r="I7895" s="43" t="s">
        <v>949</v>
      </c>
      <c r="J7895" s="44" t="s">
        <v>1000</v>
      </c>
    </row>
    <row r="7896" ht="22" customHeight="1" spans="1:10" x14ac:dyDescent="0.25">
      <c r="A7896" s="43">
        <v>3130</v>
      </c>
      <c r="B7896" s="43">
        <v>18</v>
      </c>
      <c r="C7896" s="43" t="s">
        <v>950</v>
      </c>
      <c r="D7896" s="43" t="s">
        <v>1009</v>
      </c>
      <c r="E7896" s="43" t="s">
        <v>39</v>
      </c>
      <c r="F7896" s="43" t="s">
        <v>959</v>
      </c>
      <c r="G7896" s="43">
        <v>1877777</v>
      </c>
      <c r="H7896" s="43">
        <v>501100</v>
      </c>
      <c r="I7896" s="43" t="s">
        <v>949</v>
      </c>
      <c r="J7896" s="44" t="s">
        <v>1000</v>
      </c>
    </row>
    <row r="7897" ht="22" customHeight="1" spans="1:10" x14ac:dyDescent="0.25">
      <c r="A7897" s="43">
        <v>3130</v>
      </c>
      <c r="B7897" s="43">
        <v>18</v>
      </c>
      <c r="C7897" s="43" t="s">
        <v>950</v>
      </c>
      <c r="D7897" s="43" t="s">
        <v>1009</v>
      </c>
      <c r="E7897" s="43" t="s">
        <v>39</v>
      </c>
      <c r="F7897" s="43" t="s">
        <v>960</v>
      </c>
      <c r="G7897" s="43">
        <v>1877777</v>
      </c>
      <c r="H7897" s="43">
        <v>501100</v>
      </c>
      <c r="I7897" s="43" t="s">
        <v>949</v>
      </c>
      <c r="J7897" s="44" t="s">
        <v>1000</v>
      </c>
    </row>
    <row r="7898" ht="22" customHeight="1" spans="1:10" x14ac:dyDescent="0.25">
      <c r="A7898" s="43">
        <v>3130</v>
      </c>
      <c r="B7898" s="43">
        <v>18</v>
      </c>
      <c r="C7898" s="43" t="s">
        <v>950</v>
      </c>
      <c r="D7898" s="43" t="s">
        <v>1009</v>
      </c>
      <c r="E7898" s="43" t="s">
        <v>39</v>
      </c>
      <c r="F7898" s="43" t="s">
        <v>961</v>
      </c>
      <c r="G7898" s="43">
        <v>1877777</v>
      </c>
      <c r="H7898" s="43">
        <v>501100</v>
      </c>
      <c r="I7898" s="43" t="s">
        <v>949</v>
      </c>
      <c r="J7898" s="44" t="s">
        <v>1000</v>
      </c>
    </row>
    <row r="7899" ht="22" customHeight="1" spans="1:10" x14ac:dyDescent="0.25">
      <c r="A7899" s="43">
        <v>3130</v>
      </c>
      <c r="B7899" s="43">
        <v>18</v>
      </c>
      <c r="C7899" s="43" t="s">
        <v>962</v>
      </c>
      <c r="D7899" s="43" t="s">
        <v>1009</v>
      </c>
      <c r="E7899" s="43" t="s">
        <v>39</v>
      </c>
      <c r="F7899" s="43" t="s">
        <v>951</v>
      </c>
      <c r="G7899" s="43">
        <v>1877777</v>
      </c>
      <c r="H7899" s="43">
        <v>501100</v>
      </c>
      <c r="I7899" s="43" t="s">
        <v>949</v>
      </c>
      <c r="J7899" s="44" t="s">
        <v>1000</v>
      </c>
    </row>
    <row r="7900" ht="22" customHeight="1" spans="1:10" x14ac:dyDescent="0.25">
      <c r="A7900" s="43">
        <v>3130</v>
      </c>
      <c r="B7900" s="43">
        <v>18</v>
      </c>
      <c r="C7900" s="43" t="s">
        <v>962</v>
      </c>
      <c r="D7900" s="43" t="s">
        <v>1009</v>
      </c>
      <c r="E7900" s="43" t="s">
        <v>39</v>
      </c>
      <c r="F7900" s="43" t="s">
        <v>952</v>
      </c>
      <c r="G7900" s="43">
        <v>1877777</v>
      </c>
      <c r="H7900" s="43">
        <v>501100</v>
      </c>
      <c r="I7900" s="43" t="s">
        <v>949</v>
      </c>
      <c r="J7900" s="44" t="s">
        <v>1000</v>
      </c>
    </row>
    <row r="7901" ht="22" customHeight="1" spans="1:10" x14ac:dyDescent="0.25">
      <c r="A7901" s="43">
        <v>3130</v>
      </c>
      <c r="B7901" s="43">
        <v>18</v>
      </c>
      <c r="C7901" s="43" t="s">
        <v>962</v>
      </c>
      <c r="D7901" s="43" t="s">
        <v>1009</v>
      </c>
      <c r="E7901" s="43" t="s">
        <v>39</v>
      </c>
      <c r="F7901" s="43" t="s">
        <v>953</v>
      </c>
      <c r="G7901" s="43">
        <v>1877777</v>
      </c>
      <c r="H7901" s="43">
        <v>501100</v>
      </c>
      <c r="I7901" s="43" t="s">
        <v>949</v>
      </c>
      <c r="J7901" s="44" t="s">
        <v>1000</v>
      </c>
    </row>
    <row r="7902" ht="22" customHeight="1" spans="1:10" x14ac:dyDescent="0.25">
      <c r="A7902" s="43">
        <v>3130</v>
      </c>
      <c r="B7902" s="43">
        <v>18</v>
      </c>
      <c r="C7902" s="43" t="s">
        <v>962</v>
      </c>
      <c r="D7902" s="43" t="s">
        <v>1009</v>
      </c>
      <c r="E7902" s="43" t="s">
        <v>39</v>
      </c>
      <c r="F7902" s="43" t="s">
        <v>954</v>
      </c>
      <c r="G7902" s="43">
        <v>1877777</v>
      </c>
      <c r="H7902" s="43">
        <v>501100</v>
      </c>
      <c r="I7902" s="43" t="s">
        <v>949</v>
      </c>
      <c r="J7902" s="44" t="s">
        <v>1000</v>
      </c>
    </row>
    <row r="7903" ht="22" customHeight="1" spans="1:10" x14ac:dyDescent="0.25">
      <c r="A7903" s="43">
        <v>3130</v>
      </c>
      <c r="B7903" s="43">
        <v>18</v>
      </c>
      <c r="C7903" s="43" t="s">
        <v>962</v>
      </c>
      <c r="D7903" s="43" t="s">
        <v>1009</v>
      </c>
      <c r="E7903" s="43" t="s">
        <v>39</v>
      </c>
      <c r="F7903" s="43" t="s">
        <v>955</v>
      </c>
      <c r="G7903" s="43">
        <v>1877777</v>
      </c>
      <c r="H7903" s="43">
        <v>501100</v>
      </c>
      <c r="I7903" s="43" t="s">
        <v>949</v>
      </c>
      <c r="J7903" s="44" t="s">
        <v>1000</v>
      </c>
    </row>
    <row r="7904" ht="22" customHeight="1" spans="1:10" x14ac:dyDescent="0.25">
      <c r="A7904" s="43">
        <v>3130</v>
      </c>
      <c r="B7904" s="43">
        <v>18</v>
      </c>
      <c r="C7904" s="43" t="s">
        <v>962</v>
      </c>
      <c r="D7904" s="43" t="s">
        <v>1009</v>
      </c>
      <c r="E7904" s="43" t="s">
        <v>39</v>
      </c>
      <c r="F7904" s="43" t="s">
        <v>956</v>
      </c>
      <c r="G7904" s="43">
        <v>1877777</v>
      </c>
      <c r="H7904" s="43">
        <v>501100</v>
      </c>
      <c r="I7904" s="43" t="s">
        <v>949</v>
      </c>
      <c r="J7904" s="44" t="s">
        <v>1000</v>
      </c>
    </row>
    <row r="7905" ht="22" customHeight="1" spans="1:10" x14ac:dyDescent="0.25">
      <c r="A7905" s="43">
        <v>3130</v>
      </c>
      <c r="B7905" s="43">
        <v>18</v>
      </c>
      <c r="C7905" s="43" t="s">
        <v>962</v>
      </c>
      <c r="D7905" s="43" t="s">
        <v>1009</v>
      </c>
      <c r="E7905" s="43" t="s">
        <v>39</v>
      </c>
      <c r="F7905" s="43" t="s">
        <v>957</v>
      </c>
      <c r="G7905" s="43">
        <v>1877777</v>
      </c>
      <c r="H7905" s="43">
        <v>501100</v>
      </c>
      <c r="I7905" s="43" t="s">
        <v>949</v>
      </c>
      <c r="J7905" s="44" t="s">
        <v>1000</v>
      </c>
    </row>
    <row r="7906" ht="22" customHeight="1" spans="1:10" x14ac:dyDescent="0.25">
      <c r="A7906" s="43">
        <v>3130</v>
      </c>
      <c r="B7906" s="43">
        <v>18</v>
      </c>
      <c r="C7906" s="43" t="s">
        <v>962</v>
      </c>
      <c r="D7906" s="43" t="s">
        <v>1009</v>
      </c>
      <c r="E7906" s="43" t="s">
        <v>39</v>
      </c>
      <c r="F7906" s="43" t="s">
        <v>958</v>
      </c>
      <c r="G7906" s="43">
        <v>1877777</v>
      </c>
      <c r="H7906" s="43">
        <v>501100</v>
      </c>
      <c r="I7906" s="43" t="s">
        <v>949</v>
      </c>
      <c r="J7906" s="44" t="s">
        <v>1000</v>
      </c>
    </row>
    <row r="7907" ht="22" customHeight="1" spans="1:10" x14ac:dyDescent="0.25">
      <c r="A7907" s="43">
        <v>3130</v>
      </c>
      <c r="B7907" s="43">
        <v>18</v>
      </c>
      <c r="C7907" s="43" t="s">
        <v>962</v>
      </c>
      <c r="D7907" s="43" t="s">
        <v>1009</v>
      </c>
      <c r="E7907" s="43" t="s">
        <v>39</v>
      </c>
      <c r="F7907" s="43" t="s">
        <v>959</v>
      </c>
      <c r="G7907" s="43">
        <v>1877777</v>
      </c>
      <c r="H7907" s="43">
        <v>501100</v>
      </c>
      <c r="I7907" s="43" t="s">
        <v>949</v>
      </c>
      <c r="J7907" s="44" t="s">
        <v>1000</v>
      </c>
    </row>
    <row r="7908" ht="22" customHeight="1" spans="1:10" x14ac:dyDescent="0.25">
      <c r="A7908" s="43">
        <v>3130</v>
      </c>
      <c r="B7908" s="43">
        <v>18</v>
      </c>
      <c r="C7908" s="43" t="s">
        <v>962</v>
      </c>
      <c r="D7908" s="43" t="s">
        <v>1009</v>
      </c>
      <c r="E7908" s="43" t="s">
        <v>39</v>
      </c>
      <c r="F7908" s="43" t="s">
        <v>960</v>
      </c>
      <c r="G7908" s="43">
        <v>1877777</v>
      </c>
      <c r="H7908" s="43">
        <v>501100</v>
      </c>
      <c r="I7908" s="43" t="s">
        <v>949</v>
      </c>
      <c r="J7908" s="44" t="s">
        <v>1000</v>
      </c>
    </row>
    <row r="7909" ht="22" customHeight="1" spans="1:10" x14ac:dyDescent="0.25">
      <c r="A7909" s="43">
        <v>3130</v>
      </c>
      <c r="B7909" s="43">
        <v>18</v>
      </c>
      <c r="C7909" s="43" t="s">
        <v>962</v>
      </c>
      <c r="D7909" s="43" t="s">
        <v>1009</v>
      </c>
      <c r="E7909" s="43" t="s">
        <v>39</v>
      </c>
      <c r="F7909" s="43" t="s">
        <v>961</v>
      </c>
      <c r="G7909" s="43">
        <v>1877777</v>
      </c>
      <c r="H7909" s="43">
        <v>501100</v>
      </c>
      <c r="I7909" s="43" t="s">
        <v>949</v>
      </c>
      <c r="J7909" s="44" t="s">
        <v>1000</v>
      </c>
    </row>
    <row r="7910" ht="22" customHeight="1" spans="1:10" x14ac:dyDescent="0.25">
      <c r="A7910" s="43">
        <v>3130</v>
      </c>
      <c r="B7910" s="43">
        <v>18</v>
      </c>
      <c r="C7910" s="43" t="s">
        <v>963</v>
      </c>
      <c r="D7910" s="43" t="s">
        <v>1009</v>
      </c>
      <c r="E7910" s="43" t="s">
        <v>39</v>
      </c>
      <c r="F7910" s="43" t="s">
        <v>951</v>
      </c>
      <c r="G7910" s="43">
        <v>1877777</v>
      </c>
      <c r="H7910" s="43">
        <v>501100</v>
      </c>
      <c r="I7910" s="43" t="s">
        <v>949</v>
      </c>
      <c r="J7910" s="44" t="s">
        <v>1000</v>
      </c>
    </row>
    <row r="7911" ht="22" customHeight="1" spans="1:10" x14ac:dyDescent="0.25">
      <c r="A7911" s="43">
        <v>3130</v>
      </c>
      <c r="B7911" s="43">
        <v>18</v>
      </c>
      <c r="C7911" s="43" t="s">
        <v>963</v>
      </c>
      <c r="D7911" s="43" t="s">
        <v>1009</v>
      </c>
      <c r="E7911" s="43" t="s">
        <v>39</v>
      </c>
      <c r="F7911" s="43" t="s">
        <v>952</v>
      </c>
      <c r="G7911" s="43">
        <v>1877777</v>
      </c>
      <c r="H7911" s="43">
        <v>501100</v>
      </c>
      <c r="I7911" s="43" t="s">
        <v>949</v>
      </c>
      <c r="J7911" s="44" t="s">
        <v>1000</v>
      </c>
    </row>
    <row r="7912" ht="22" customHeight="1" spans="1:10" x14ac:dyDescent="0.25">
      <c r="A7912" s="43">
        <v>3130</v>
      </c>
      <c r="B7912" s="43">
        <v>18</v>
      </c>
      <c r="C7912" s="43" t="s">
        <v>963</v>
      </c>
      <c r="D7912" s="43" t="s">
        <v>1009</v>
      </c>
      <c r="E7912" s="43" t="s">
        <v>39</v>
      </c>
      <c r="F7912" s="43" t="s">
        <v>953</v>
      </c>
      <c r="G7912" s="43">
        <v>1877777</v>
      </c>
      <c r="H7912" s="43">
        <v>501100</v>
      </c>
      <c r="I7912" s="43" t="s">
        <v>949</v>
      </c>
      <c r="J7912" s="44" t="s">
        <v>1000</v>
      </c>
    </row>
    <row r="7913" ht="22" customHeight="1" spans="1:10" x14ac:dyDescent="0.25">
      <c r="A7913" s="43">
        <v>3130</v>
      </c>
      <c r="B7913" s="43">
        <v>18</v>
      </c>
      <c r="C7913" s="43" t="s">
        <v>963</v>
      </c>
      <c r="D7913" s="43" t="s">
        <v>1009</v>
      </c>
      <c r="E7913" s="43" t="s">
        <v>39</v>
      </c>
      <c r="F7913" s="43" t="s">
        <v>954</v>
      </c>
      <c r="G7913" s="43">
        <v>1877777</v>
      </c>
      <c r="H7913" s="43">
        <v>501100</v>
      </c>
      <c r="I7913" s="43" t="s">
        <v>949</v>
      </c>
      <c r="J7913" s="44" t="s">
        <v>1000</v>
      </c>
    </row>
    <row r="7914" ht="22" customHeight="1" spans="1:10" x14ac:dyDescent="0.25">
      <c r="A7914" s="43">
        <v>3130</v>
      </c>
      <c r="B7914" s="43">
        <v>18</v>
      </c>
      <c r="C7914" s="43" t="s">
        <v>963</v>
      </c>
      <c r="D7914" s="43" t="s">
        <v>1009</v>
      </c>
      <c r="E7914" s="43" t="s">
        <v>39</v>
      </c>
      <c r="F7914" s="43" t="s">
        <v>955</v>
      </c>
      <c r="G7914" s="43">
        <v>1877777</v>
      </c>
      <c r="H7914" s="43">
        <v>501100</v>
      </c>
      <c r="I7914" s="43" t="s">
        <v>949</v>
      </c>
      <c r="J7914" s="44" t="s">
        <v>1000</v>
      </c>
    </row>
    <row r="7915" ht="22" customHeight="1" spans="1:10" x14ac:dyDescent="0.25">
      <c r="A7915" s="43">
        <v>3130</v>
      </c>
      <c r="B7915" s="43">
        <v>18</v>
      </c>
      <c r="C7915" s="43" t="s">
        <v>963</v>
      </c>
      <c r="D7915" s="43" t="s">
        <v>1009</v>
      </c>
      <c r="E7915" s="43" t="s">
        <v>39</v>
      </c>
      <c r="F7915" s="43" t="s">
        <v>956</v>
      </c>
      <c r="G7915" s="43">
        <v>1877777</v>
      </c>
      <c r="H7915" s="43">
        <v>501100</v>
      </c>
      <c r="I7915" s="43" t="s">
        <v>949</v>
      </c>
      <c r="J7915" s="44" t="s">
        <v>1000</v>
      </c>
    </row>
    <row r="7916" ht="22" customHeight="1" spans="1:10" x14ac:dyDescent="0.25">
      <c r="A7916" s="43">
        <v>3130</v>
      </c>
      <c r="B7916" s="43">
        <v>18</v>
      </c>
      <c r="C7916" s="43" t="s">
        <v>963</v>
      </c>
      <c r="D7916" s="43" t="s">
        <v>1009</v>
      </c>
      <c r="E7916" s="43" t="s">
        <v>39</v>
      </c>
      <c r="F7916" s="43" t="s">
        <v>957</v>
      </c>
      <c r="G7916" s="43">
        <v>1877777</v>
      </c>
      <c r="H7916" s="43">
        <v>501100</v>
      </c>
      <c r="I7916" s="43" t="s">
        <v>949</v>
      </c>
      <c r="J7916" s="44" t="s">
        <v>1000</v>
      </c>
    </row>
    <row r="7917" ht="22" customHeight="1" spans="1:10" x14ac:dyDescent="0.25">
      <c r="A7917" s="43">
        <v>3130</v>
      </c>
      <c r="B7917" s="43">
        <v>18</v>
      </c>
      <c r="C7917" s="43" t="s">
        <v>963</v>
      </c>
      <c r="D7917" s="43" t="s">
        <v>1009</v>
      </c>
      <c r="E7917" s="43" t="s">
        <v>39</v>
      </c>
      <c r="F7917" s="43" t="s">
        <v>958</v>
      </c>
      <c r="G7917" s="43">
        <v>1877777</v>
      </c>
      <c r="H7917" s="43">
        <v>501100</v>
      </c>
      <c r="I7917" s="43" t="s">
        <v>949</v>
      </c>
      <c r="J7917" s="44" t="s">
        <v>1000</v>
      </c>
    </row>
    <row r="7918" ht="22" customHeight="1" spans="1:10" x14ac:dyDescent="0.25">
      <c r="A7918" s="43">
        <v>3130</v>
      </c>
      <c r="B7918" s="43">
        <v>18</v>
      </c>
      <c r="C7918" s="43" t="s">
        <v>963</v>
      </c>
      <c r="D7918" s="43" t="s">
        <v>1009</v>
      </c>
      <c r="E7918" s="43" t="s">
        <v>39</v>
      </c>
      <c r="F7918" s="43" t="s">
        <v>959</v>
      </c>
      <c r="G7918" s="43">
        <v>1877777</v>
      </c>
      <c r="H7918" s="43">
        <v>501100</v>
      </c>
      <c r="I7918" s="43" t="s">
        <v>949</v>
      </c>
      <c r="J7918" s="44" t="s">
        <v>1000</v>
      </c>
    </row>
    <row r="7919" ht="22" customHeight="1" spans="1:10" x14ac:dyDescent="0.25">
      <c r="A7919" s="43">
        <v>3130</v>
      </c>
      <c r="B7919" s="43">
        <v>18</v>
      </c>
      <c r="C7919" s="43" t="s">
        <v>963</v>
      </c>
      <c r="D7919" s="43" t="s">
        <v>1009</v>
      </c>
      <c r="E7919" s="43" t="s">
        <v>39</v>
      </c>
      <c r="F7919" s="43" t="s">
        <v>960</v>
      </c>
      <c r="G7919" s="43">
        <v>1877777</v>
      </c>
      <c r="H7919" s="43">
        <v>501100</v>
      </c>
      <c r="I7919" s="43" t="s">
        <v>949</v>
      </c>
      <c r="J7919" s="44" t="s">
        <v>1000</v>
      </c>
    </row>
    <row r="7920" ht="22" customHeight="1" spans="1:10" x14ac:dyDescent="0.25">
      <c r="A7920" s="43">
        <v>3130</v>
      </c>
      <c r="B7920" s="43">
        <v>18</v>
      </c>
      <c r="C7920" s="43" t="s">
        <v>963</v>
      </c>
      <c r="D7920" s="43" t="s">
        <v>1009</v>
      </c>
      <c r="E7920" s="43" t="s">
        <v>39</v>
      </c>
      <c r="F7920" s="43" t="s">
        <v>961</v>
      </c>
      <c r="G7920" s="43">
        <v>1877777</v>
      </c>
      <c r="H7920" s="43">
        <v>501100</v>
      </c>
      <c r="I7920" s="43" t="s">
        <v>949</v>
      </c>
      <c r="J7920" s="44" t="s">
        <v>1000</v>
      </c>
    </row>
    <row r="7921" ht="22" customHeight="1" spans="1:10" x14ac:dyDescent="0.25">
      <c r="A7921" s="43">
        <v>3130</v>
      </c>
      <c r="B7921" s="43">
        <v>18</v>
      </c>
      <c r="C7921" s="43" t="s">
        <v>950</v>
      </c>
      <c r="D7921" s="43" t="s">
        <v>1009</v>
      </c>
      <c r="E7921" s="43" t="s">
        <v>286</v>
      </c>
      <c r="F7921" s="43" t="s">
        <v>951</v>
      </c>
      <c r="G7921" s="43">
        <v>1877777</v>
      </c>
      <c r="H7921" s="43">
        <v>501100</v>
      </c>
      <c r="I7921" s="43" t="s">
        <v>949</v>
      </c>
      <c r="J7921" s="44" t="s">
        <v>1000</v>
      </c>
    </row>
    <row r="7922" ht="22" customHeight="1" spans="1:10" x14ac:dyDescent="0.25">
      <c r="A7922" s="43">
        <v>3130</v>
      </c>
      <c r="B7922" s="43">
        <v>18</v>
      </c>
      <c r="C7922" s="43" t="s">
        <v>950</v>
      </c>
      <c r="D7922" s="43" t="s">
        <v>1009</v>
      </c>
      <c r="E7922" s="43" t="s">
        <v>286</v>
      </c>
      <c r="F7922" s="43" t="s">
        <v>952</v>
      </c>
      <c r="G7922" s="43">
        <v>1877777</v>
      </c>
      <c r="H7922" s="43">
        <v>501100</v>
      </c>
      <c r="I7922" s="43" t="s">
        <v>949</v>
      </c>
      <c r="J7922" s="44" t="s">
        <v>1000</v>
      </c>
    </row>
    <row r="7923" ht="22" customHeight="1" spans="1:10" x14ac:dyDescent="0.25">
      <c r="A7923" s="43">
        <v>3130</v>
      </c>
      <c r="B7923" s="43">
        <v>18</v>
      </c>
      <c r="C7923" s="43" t="s">
        <v>950</v>
      </c>
      <c r="D7923" s="43" t="s">
        <v>1009</v>
      </c>
      <c r="E7923" s="43" t="s">
        <v>286</v>
      </c>
      <c r="F7923" s="43" t="s">
        <v>953</v>
      </c>
      <c r="G7923" s="43">
        <v>1877777</v>
      </c>
      <c r="H7923" s="43">
        <v>501100</v>
      </c>
      <c r="I7923" s="43" t="s">
        <v>949</v>
      </c>
      <c r="J7923" s="44" t="s">
        <v>1000</v>
      </c>
    </row>
    <row r="7924" ht="22" customHeight="1" spans="1:10" x14ac:dyDescent="0.25">
      <c r="A7924" s="43">
        <v>3130</v>
      </c>
      <c r="B7924" s="43">
        <v>18</v>
      </c>
      <c r="C7924" s="43" t="s">
        <v>950</v>
      </c>
      <c r="D7924" s="43" t="s">
        <v>1009</v>
      </c>
      <c r="E7924" s="43" t="s">
        <v>286</v>
      </c>
      <c r="F7924" s="43" t="s">
        <v>954</v>
      </c>
      <c r="G7924" s="43">
        <v>1877777</v>
      </c>
      <c r="H7924" s="43">
        <v>501100</v>
      </c>
      <c r="I7924" s="43" t="s">
        <v>949</v>
      </c>
      <c r="J7924" s="44" t="s">
        <v>1000</v>
      </c>
    </row>
    <row r="7925" ht="22" customHeight="1" spans="1:10" x14ac:dyDescent="0.25">
      <c r="A7925" s="43">
        <v>3130</v>
      </c>
      <c r="B7925" s="43">
        <v>18</v>
      </c>
      <c r="C7925" s="43" t="s">
        <v>950</v>
      </c>
      <c r="D7925" s="43" t="s">
        <v>1009</v>
      </c>
      <c r="E7925" s="43" t="s">
        <v>286</v>
      </c>
      <c r="F7925" s="43" t="s">
        <v>955</v>
      </c>
      <c r="G7925" s="43">
        <v>1877777</v>
      </c>
      <c r="H7925" s="43">
        <v>501100</v>
      </c>
      <c r="I7925" s="43" t="s">
        <v>949</v>
      </c>
      <c r="J7925" s="44" t="s">
        <v>1000</v>
      </c>
    </row>
    <row r="7926" ht="22" customHeight="1" spans="1:10" x14ac:dyDescent="0.25">
      <c r="A7926" s="43">
        <v>3130</v>
      </c>
      <c r="B7926" s="43">
        <v>18</v>
      </c>
      <c r="C7926" s="43" t="s">
        <v>950</v>
      </c>
      <c r="D7926" s="43" t="s">
        <v>1009</v>
      </c>
      <c r="E7926" s="43" t="s">
        <v>286</v>
      </c>
      <c r="F7926" s="43" t="s">
        <v>956</v>
      </c>
      <c r="G7926" s="43">
        <v>1877777</v>
      </c>
      <c r="H7926" s="43">
        <v>501100</v>
      </c>
      <c r="I7926" s="43" t="s">
        <v>949</v>
      </c>
      <c r="J7926" s="44" t="s">
        <v>1000</v>
      </c>
    </row>
    <row r="7927" ht="22" customHeight="1" spans="1:10" x14ac:dyDescent="0.25">
      <c r="A7927" s="43">
        <v>3130</v>
      </c>
      <c r="B7927" s="43">
        <v>18</v>
      </c>
      <c r="C7927" s="43" t="s">
        <v>950</v>
      </c>
      <c r="D7927" s="43" t="s">
        <v>1009</v>
      </c>
      <c r="E7927" s="43" t="s">
        <v>286</v>
      </c>
      <c r="F7927" s="43" t="s">
        <v>957</v>
      </c>
      <c r="G7927" s="43">
        <v>1877777</v>
      </c>
      <c r="H7927" s="43">
        <v>501100</v>
      </c>
      <c r="I7927" s="43" t="s">
        <v>949</v>
      </c>
      <c r="J7927" s="44" t="s">
        <v>1000</v>
      </c>
    </row>
    <row r="7928" ht="22" customHeight="1" spans="1:10" x14ac:dyDescent="0.25">
      <c r="A7928" s="43">
        <v>3130</v>
      </c>
      <c r="B7928" s="43">
        <v>18</v>
      </c>
      <c r="C7928" s="43" t="s">
        <v>950</v>
      </c>
      <c r="D7928" s="43" t="s">
        <v>1009</v>
      </c>
      <c r="E7928" s="43" t="s">
        <v>286</v>
      </c>
      <c r="F7928" s="43" t="s">
        <v>958</v>
      </c>
      <c r="G7928" s="43">
        <v>1877777</v>
      </c>
      <c r="H7928" s="43">
        <v>501100</v>
      </c>
      <c r="I7928" s="43" t="s">
        <v>949</v>
      </c>
      <c r="J7928" s="44" t="s">
        <v>1000</v>
      </c>
    </row>
    <row r="7929" ht="22" customHeight="1" spans="1:10" x14ac:dyDescent="0.25">
      <c r="A7929" s="43">
        <v>3130</v>
      </c>
      <c r="B7929" s="43">
        <v>18</v>
      </c>
      <c r="C7929" s="43" t="s">
        <v>950</v>
      </c>
      <c r="D7929" s="43" t="s">
        <v>1009</v>
      </c>
      <c r="E7929" s="43" t="s">
        <v>286</v>
      </c>
      <c r="F7929" s="43" t="s">
        <v>959</v>
      </c>
      <c r="G7929" s="43">
        <v>1877777</v>
      </c>
      <c r="H7929" s="43">
        <v>501100</v>
      </c>
      <c r="I7929" s="43" t="s">
        <v>949</v>
      </c>
      <c r="J7929" s="44" t="s">
        <v>1000</v>
      </c>
    </row>
    <row r="7930" ht="22" customHeight="1" spans="1:10" x14ac:dyDescent="0.25">
      <c r="A7930" s="43">
        <v>3130</v>
      </c>
      <c r="B7930" s="43">
        <v>18</v>
      </c>
      <c r="C7930" s="43" t="s">
        <v>950</v>
      </c>
      <c r="D7930" s="43" t="s">
        <v>1009</v>
      </c>
      <c r="E7930" s="43" t="s">
        <v>286</v>
      </c>
      <c r="F7930" s="43" t="s">
        <v>960</v>
      </c>
      <c r="G7930" s="43">
        <v>1877777</v>
      </c>
      <c r="H7930" s="43">
        <v>501100</v>
      </c>
      <c r="I7930" s="43" t="s">
        <v>949</v>
      </c>
      <c r="J7930" s="44" t="s">
        <v>1000</v>
      </c>
    </row>
    <row r="7931" ht="22" customHeight="1" spans="1:10" x14ac:dyDescent="0.25">
      <c r="A7931" s="43">
        <v>3130</v>
      </c>
      <c r="B7931" s="43">
        <v>18</v>
      </c>
      <c r="C7931" s="43" t="s">
        <v>950</v>
      </c>
      <c r="D7931" s="43" t="s">
        <v>1009</v>
      </c>
      <c r="E7931" s="43" t="s">
        <v>286</v>
      </c>
      <c r="F7931" s="43" t="s">
        <v>961</v>
      </c>
      <c r="G7931" s="43">
        <v>1877777</v>
      </c>
      <c r="H7931" s="43">
        <v>501100</v>
      </c>
      <c r="I7931" s="43" t="s">
        <v>949</v>
      </c>
      <c r="J7931" s="44" t="s">
        <v>1000</v>
      </c>
    </row>
    <row r="7932" ht="22" customHeight="1" spans="1:10" x14ac:dyDescent="0.25">
      <c r="A7932" s="43">
        <v>3130</v>
      </c>
      <c r="B7932" s="43">
        <v>18</v>
      </c>
      <c r="C7932" s="43" t="s">
        <v>962</v>
      </c>
      <c r="D7932" s="43" t="s">
        <v>1009</v>
      </c>
      <c r="E7932" s="43" t="s">
        <v>286</v>
      </c>
      <c r="F7932" s="43" t="s">
        <v>951</v>
      </c>
      <c r="G7932" s="43">
        <v>1877777</v>
      </c>
      <c r="H7932" s="43">
        <v>501100</v>
      </c>
      <c r="I7932" s="43" t="s">
        <v>949</v>
      </c>
      <c r="J7932" s="44" t="s">
        <v>1000</v>
      </c>
    </row>
    <row r="7933" ht="22" customHeight="1" spans="1:10" x14ac:dyDescent="0.25">
      <c r="A7933" s="43">
        <v>3130</v>
      </c>
      <c r="B7933" s="43">
        <v>18</v>
      </c>
      <c r="C7933" s="43" t="s">
        <v>962</v>
      </c>
      <c r="D7933" s="43" t="s">
        <v>1009</v>
      </c>
      <c r="E7933" s="43" t="s">
        <v>286</v>
      </c>
      <c r="F7933" s="43" t="s">
        <v>952</v>
      </c>
      <c r="G7933" s="43">
        <v>1877777</v>
      </c>
      <c r="H7933" s="43">
        <v>501100</v>
      </c>
      <c r="I7933" s="43" t="s">
        <v>949</v>
      </c>
      <c r="J7933" s="44" t="s">
        <v>1000</v>
      </c>
    </row>
    <row r="7934" ht="22" customHeight="1" spans="1:10" x14ac:dyDescent="0.25">
      <c r="A7934" s="43">
        <v>3130</v>
      </c>
      <c r="B7934" s="43">
        <v>18</v>
      </c>
      <c r="C7934" s="43" t="s">
        <v>962</v>
      </c>
      <c r="D7934" s="43" t="s">
        <v>1009</v>
      </c>
      <c r="E7934" s="43" t="s">
        <v>286</v>
      </c>
      <c r="F7934" s="43" t="s">
        <v>953</v>
      </c>
      <c r="G7934" s="43">
        <v>1877777</v>
      </c>
      <c r="H7934" s="43">
        <v>501100</v>
      </c>
      <c r="I7934" s="43" t="s">
        <v>949</v>
      </c>
      <c r="J7934" s="44" t="s">
        <v>1000</v>
      </c>
    </row>
    <row r="7935" ht="22" customHeight="1" spans="1:10" x14ac:dyDescent="0.25">
      <c r="A7935" s="43">
        <v>3130</v>
      </c>
      <c r="B7935" s="43">
        <v>18</v>
      </c>
      <c r="C7935" s="43" t="s">
        <v>962</v>
      </c>
      <c r="D7935" s="43" t="s">
        <v>1009</v>
      </c>
      <c r="E7935" s="43" t="s">
        <v>286</v>
      </c>
      <c r="F7935" s="43" t="s">
        <v>954</v>
      </c>
      <c r="G7935" s="43">
        <v>1877777</v>
      </c>
      <c r="H7935" s="43">
        <v>501100</v>
      </c>
      <c r="I7935" s="43" t="s">
        <v>949</v>
      </c>
      <c r="J7935" s="44" t="s">
        <v>1000</v>
      </c>
    </row>
    <row r="7936" ht="22" customHeight="1" spans="1:10" x14ac:dyDescent="0.25">
      <c r="A7936" s="43">
        <v>3130</v>
      </c>
      <c r="B7936" s="43">
        <v>18</v>
      </c>
      <c r="C7936" s="43" t="s">
        <v>962</v>
      </c>
      <c r="D7936" s="43" t="s">
        <v>1009</v>
      </c>
      <c r="E7936" s="43" t="s">
        <v>286</v>
      </c>
      <c r="F7936" s="43" t="s">
        <v>955</v>
      </c>
      <c r="G7936" s="43">
        <v>1877777</v>
      </c>
      <c r="H7936" s="43">
        <v>501100</v>
      </c>
      <c r="I7936" s="43" t="s">
        <v>949</v>
      </c>
      <c r="J7936" s="44" t="s">
        <v>1000</v>
      </c>
    </row>
    <row r="7937" ht="22" customHeight="1" spans="1:10" x14ac:dyDescent="0.25">
      <c r="A7937" s="43">
        <v>3130</v>
      </c>
      <c r="B7937" s="43">
        <v>18</v>
      </c>
      <c r="C7937" s="43" t="s">
        <v>962</v>
      </c>
      <c r="D7937" s="43" t="s">
        <v>1009</v>
      </c>
      <c r="E7937" s="43" t="s">
        <v>286</v>
      </c>
      <c r="F7937" s="43" t="s">
        <v>956</v>
      </c>
      <c r="G7937" s="43">
        <v>1877777</v>
      </c>
      <c r="H7937" s="43">
        <v>501100</v>
      </c>
      <c r="I7937" s="43" t="s">
        <v>949</v>
      </c>
      <c r="J7937" s="44" t="s">
        <v>1000</v>
      </c>
    </row>
    <row r="7938" ht="22" customHeight="1" spans="1:10" x14ac:dyDescent="0.25">
      <c r="A7938" s="43">
        <v>3130</v>
      </c>
      <c r="B7938" s="43">
        <v>18</v>
      </c>
      <c r="C7938" s="43" t="s">
        <v>962</v>
      </c>
      <c r="D7938" s="43" t="s">
        <v>1009</v>
      </c>
      <c r="E7938" s="43" t="s">
        <v>286</v>
      </c>
      <c r="F7938" s="43" t="s">
        <v>957</v>
      </c>
      <c r="G7938" s="43">
        <v>1877777</v>
      </c>
      <c r="H7938" s="43">
        <v>501100</v>
      </c>
      <c r="I7938" s="43" t="s">
        <v>949</v>
      </c>
      <c r="J7938" s="44" t="s">
        <v>1000</v>
      </c>
    </row>
    <row r="7939" ht="22" customHeight="1" spans="1:10" x14ac:dyDescent="0.25">
      <c r="A7939" s="43">
        <v>3130</v>
      </c>
      <c r="B7939" s="43">
        <v>18</v>
      </c>
      <c r="C7939" s="43" t="s">
        <v>962</v>
      </c>
      <c r="D7939" s="43" t="s">
        <v>1009</v>
      </c>
      <c r="E7939" s="43" t="s">
        <v>286</v>
      </c>
      <c r="F7939" s="43" t="s">
        <v>958</v>
      </c>
      <c r="G7939" s="43">
        <v>1877777</v>
      </c>
      <c r="H7939" s="43">
        <v>501100</v>
      </c>
      <c r="I7939" s="43" t="s">
        <v>949</v>
      </c>
      <c r="J7939" s="44" t="s">
        <v>1000</v>
      </c>
    </row>
    <row r="7940" ht="22" customHeight="1" spans="1:10" x14ac:dyDescent="0.25">
      <c r="A7940" s="43">
        <v>3130</v>
      </c>
      <c r="B7940" s="43">
        <v>18</v>
      </c>
      <c r="C7940" s="43" t="s">
        <v>962</v>
      </c>
      <c r="D7940" s="43" t="s">
        <v>1009</v>
      </c>
      <c r="E7940" s="43" t="s">
        <v>286</v>
      </c>
      <c r="F7940" s="43" t="s">
        <v>959</v>
      </c>
      <c r="G7940" s="43">
        <v>1877777</v>
      </c>
      <c r="H7940" s="43">
        <v>501100</v>
      </c>
      <c r="I7940" s="43" t="s">
        <v>949</v>
      </c>
      <c r="J7940" s="44" t="s">
        <v>1000</v>
      </c>
    </row>
    <row r="7941" ht="22" customHeight="1" spans="1:10" x14ac:dyDescent="0.25">
      <c r="A7941" s="43">
        <v>3130</v>
      </c>
      <c r="B7941" s="43">
        <v>18</v>
      </c>
      <c r="C7941" s="43" t="s">
        <v>962</v>
      </c>
      <c r="D7941" s="43" t="s">
        <v>1009</v>
      </c>
      <c r="E7941" s="43" t="s">
        <v>286</v>
      </c>
      <c r="F7941" s="43" t="s">
        <v>960</v>
      </c>
      <c r="G7941" s="43">
        <v>1877777</v>
      </c>
      <c r="H7941" s="43">
        <v>501100</v>
      </c>
      <c r="I7941" s="43" t="s">
        <v>949</v>
      </c>
      <c r="J7941" s="44" t="s">
        <v>1000</v>
      </c>
    </row>
    <row r="7942" ht="22" customHeight="1" spans="1:10" x14ac:dyDescent="0.25">
      <c r="A7942" s="43">
        <v>3130</v>
      </c>
      <c r="B7942" s="43">
        <v>18</v>
      </c>
      <c r="C7942" s="43" t="s">
        <v>962</v>
      </c>
      <c r="D7942" s="43" t="s">
        <v>1009</v>
      </c>
      <c r="E7942" s="43" t="s">
        <v>286</v>
      </c>
      <c r="F7942" s="43" t="s">
        <v>961</v>
      </c>
      <c r="G7942" s="43">
        <v>1877777</v>
      </c>
      <c r="H7942" s="43">
        <v>501100</v>
      </c>
      <c r="I7942" s="43" t="s">
        <v>949</v>
      </c>
      <c r="J7942" s="44" t="s">
        <v>1000</v>
      </c>
    </row>
    <row r="7943" ht="22" customHeight="1" spans="1:10" x14ac:dyDescent="0.25">
      <c r="A7943" s="43">
        <v>3130</v>
      </c>
      <c r="B7943" s="43">
        <v>18</v>
      </c>
      <c r="C7943" s="43" t="s">
        <v>963</v>
      </c>
      <c r="D7943" s="43" t="s">
        <v>1009</v>
      </c>
      <c r="E7943" s="43" t="s">
        <v>286</v>
      </c>
      <c r="F7943" s="43" t="s">
        <v>951</v>
      </c>
      <c r="G7943" s="43">
        <v>1877777</v>
      </c>
      <c r="H7943" s="43">
        <v>501100</v>
      </c>
      <c r="I7943" s="43" t="s">
        <v>949</v>
      </c>
      <c r="J7943" s="44" t="s">
        <v>1000</v>
      </c>
    </row>
    <row r="7944" ht="22" customHeight="1" spans="1:10" x14ac:dyDescent="0.25">
      <c r="A7944" s="43">
        <v>3130</v>
      </c>
      <c r="B7944" s="43">
        <v>18</v>
      </c>
      <c r="C7944" s="43" t="s">
        <v>963</v>
      </c>
      <c r="D7944" s="43" t="s">
        <v>1009</v>
      </c>
      <c r="E7944" s="43" t="s">
        <v>286</v>
      </c>
      <c r="F7944" s="43" t="s">
        <v>952</v>
      </c>
      <c r="G7944" s="43">
        <v>1877777</v>
      </c>
      <c r="H7944" s="43">
        <v>501100</v>
      </c>
      <c r="I7944" s="43" t="s">
        <v>949</v>
      </c>
      <c r="J7944" s="44" t="s">
        <v>1000</v>
      </c>
    </row>
    <row r="7945" ht="22" customHeight="1" spans="1:10" x14ac:dyDescent="0.25">
      <c r="A7945" s="43">
        <v>3130</v>
      </c>
      <c r="B7945" s="43">
        <v>18</v>
      </c>
      <c r="C7945" s="43" t="s">
        <v>963</v>
      </c>
      <c r="D7945" s="43" t="s">
        <v>1009</v>
      </c>
      <c r="E7945" s="43" t="s">
        <v>286</v>
      </c>
      <c r="F7945" s="43" t="s">
        <v>953</v>
      </c>
      <c r="G7945" s="43">
        <v>1877777</v>
      </c>
      <c r="H7945" s="43">
        <v>501100</v>
      </c>
      <c r="I7945" s="43" t="s">
        <v>949</v>
      </c>
      <c r="J7945" s="44" t="s">
        <v>1000</v>
      </c>
    </row>
    <row r="7946" ht="22" customHeight="1" spans="1:10" x14ac:dyDescent="0.25">
      <c r="A7946" s="43">
        <v>3130</v>
      </c>
      <c r="B7946" s="43">
        <v>18</v>
      </c>
      <c r="C7946" s="43" t="s">
        <v>963</v>
      </c>
      <c r="D7946" s="43" t="s">
        <v>1009</v>
      </c>
      <c r="E7946" s="43" t="s">
        <v>286</v>
      </c>
      <c r="F7946" s="43" t="s">
        <v>954</v>
      </c>
      <c r="G7946" s="43">
        <v>1877777</v>
      </c>
      <c r="H7946" s="43">
        <v>501100</v>
      </c>
      <c r="I7946" s="43" t="s">
        <v>949</v>
      </c>
      <c r="J7946" s="44" t="s">
        <v>1000</v>
      </c>
    </row>
    <row r="7947" ht="22" customHeight="1" spans="1:10" x14ac:dyDescent="0.25">
      <c r="A7947" s="43">
        <v>3130</v>
      </c>
      <c r="B7947" s="43">
        <v>18</v>
      </c>
      <c r="C7947" s="43" t="s">
        <v>963</v>
      </c>
      <c r="D7947" s="43" t="s">
        <v>1009</v>
      </c>
      <c r="E7947" s="43" t="s">
        <v>286</v>
      </c>
      <c r="F7947" s="43" t="s">
        <v>955</v>
      </c>
      <c r="G7947" s="43">
        <v>1877777</v>
      </c>
      <c r="H7947" s="43">
        <v>501100</v>
      </c>
      <c r="I7947" s="43" t="s">
        <v>949</v>
      </c>
      <c r="J7947" s="44" t="s">
        <v>1000</v>
      </c>
    </row>
    <row r="7948" ht="22" customHeight="1" spans="1:10" x14ac:dyDescent="0.25">
      <c r="A7948" s="43">
        <v>3130</v>
      </c>
      <c r="B7948" s="43">
        <v>18</v>
      </c>
      <c r="C7948" s="43" t="s">
        <v>963</v>
      </c>
      <c r="D7948" s="43" t="s">
        <v>1009</v>
      </c>
      <c r="E7948" s="43" t="s">
        <v>286</v>
      </c>
      <c r="F7948" s="43" t="s">
        <v>956</v>
      </c>
      <c r="G7948" s="43">
        <v>1877777</v>
      </c>
      <c r="H7948" s="43">
        <v>501100</v>
      </c>
      <c r="I7948" s="43" t="s">
        <v>949</v>
      </c>
      <c r="J7948" s="44" t="s">
        <v>1000</v>
      </c>
    </row>
    <row r="7949" ht="22" customHeight="1" spans="1:10" x14ac:dyDescent="0.25">
      <c r="A7949" s="43">
        <v>3130</v>
      </c>
      <c r="B7949" s="43">
        <v>18</v>
      </c>
      <c r="C7949" s="43" t="s">
        <v>963</v>
      </c>
      <c r="D7949" s="43" t="s">
        <v>1009</v>
      </c>
      <c r="E7949" s="43" t="s">
        <v>286</v>
      </c>
      <c r="F7949" s="43" t="s">
        <v>957</v>
      </c>
      <c r="G7949" s="43">
        <v>1877777</v>
      </c>
      <c r="H7949" s="43">
        <v>501100</v>
      </c>
      <c r="I7949" s="43" t="s">
        <v>949</v>
      </c>
      <c r="J7949" s="44" t="s">
        <v>1000</v>
      </c>
    </row>
    <row r="7950" ht="22" customHeight="1" spans="1:10" x14ac:dyDescent="0.25">
      <c r="A7950" s="43">
        <v>3130</v>
      </c>
      <c r="B7950" s="43">
        <v>18</v>
      </c>
      <c r="C7950" s="43" t="s">
        <v>963</v>
      </c>
      <c r="D7950" s="43" t="s">
        <v>1009</v>
      </c>
      <c r="E7950" s="43" t="s">
        <v>286</v>
      </c>
      <c r="F7950" s="43" t="s">
        <v>958</v>
      </c>
      <c r="G7950" s="43">
        <v>1877777</v>
      </c>
      <c r="H7950" s="43">
        <v>501100</v>
      </c>
      <c r="I7950" s="43" t="s">
        <v>949</v>
      </c>
      <c r="J7950" s="44" t="s">
        <v>1000</v>
      </c>
    </row>
    <row r="7951" ht="22" customHeight="1" spans="1:10" x14ac:dyDescent="0.25">
      <c r="A7951" s="43">
        <v>3130</v>
      </c>
      <c r="B7951" s="43">
        <v>18</v>
      </c>
      <c r="C7951" s="43" t="s">
        <v>963</v>
      </c>
      <c r="D7951" s="43" t="s">
        <v>1009</v>
      </c>
      <c r="E7951" s="43" t="s">
        <v>286</v>
      </c>
      <c r="F7951" s="43" t="s">
        <v>959</v>
      </c>
      <c r="G7951" s="43">
        <v>1877777</v>
      </c>
      <c r="H7951" s="43">
        <v>501100</v>
      </c>
      <c r="I7951" s="43" t="s">
        <v>949</v>
      </c>
      <c r="J7951" s="44" t="s">
        <v>1000</v>
      </c>
    </row>
    <row r="7952" ht="22" customHeight="1" spans="1:10" x14ac:dyDescent="0.25">
      <c r="A7952" s="43">
        <v>3130</v>
      </c>
      <c r="B7952" s="43">
        <v>18</v>
      </c>
      <c r="C7952" s="43" t="s">
        <v>963</v>
      </c>
      <c r="D7952" s="43" t="s">
        <v>1009</v>
      </c>
      <c r="E7952" s="43" t="s">
        <v>286</v>
      </c>
      <c r="F7952" s="43" t="s">
        <v>960</v>
      </c>
      <c r="G7952" s="43">
        <v>1877777</v>
      </c>
      <c r="H7952" s="43">
        <v>501100</v>
      </c>
      <c r="I7952" s="43" t="s">
        <v>949</v>
      </c>
      <c r="J7952" s="44" t="s">
        <v>1000</v>
      </c>
    </row>
    <row r="7953" ht="22" customHeight="1" spans="1:10" x14ac:dyDescent="0.25">
      <c r="A7953" s="43">
        <v>3130</v>
      </c>
      <c r="B7953" s="43">
        <v>18</v>
      </c>
      <c r="C7953" s="43" t="s">
        <v>963</v>
      </c>
      <c r="D7953" s="43" t="s">
        <v>1009</v>
      </c>
      <c r="E7953" s="43" t="s">
        <v>286</v>
      </c>
      <c r="F7953" s="43" t="s">
        <v>961</v>
      </c>
      <c r="G7953" s="43">
        <v>1877777</v>
      </c>
      <c r="H7953" s="43">
        <v>501100</v>
      </c>
      <c r="I7953" s="43" t="s">
        <v>949</v>
      </c>
      <c r="J7953" s="44" t="s">
        <v>1000</v>
      </c>
    </row>
    <row r="7954" spans="1:9" x14ac:dyDescent="0.25">
      <c r="A7954">
        <v>4122</v>
      </c>
      <c r="B7954">
        <v>18</v>
      </c>
      <c r="C7954" t="s">
        <v>946</v>
      </c>
      <c r="D7954" t="s">
        <v>1009</v>
      </c>
      <c r="E7954" t="s">
        <v>286</v>
      </c>
      <c r="F7954" t="s">
        <v>948</v>
      </c>
      <c r="G7954">
        <v>1800000</v>
      </c>
      <c r="H7954">
        <v>145000</v>
      </c>
      <c r="I7954" t="s">
        <v>949</v>
      </c>
    </row>
    <row r="7955" spans="1:9" x14ac:dyDescent="0.25">
      <c r="A7955">
        <v>4124</v>
      </c>
      <c r="B7955">
        <v>18</v>
      </c>
      <c r="C7955" t="s">
        <v>946</v>
      </c>
      <c r="D7955" t="s">
        <v>1009</v>
      </c>
      <c r="E7955" t="s">
        <v>286</v>
      </c>
      <c r="F7955" t="s">
        <v>948</v>
      </c>
      <c r="G7955">
        <v>1877777</v>
      </c>
      <c r="H7955">
        <v>501100</v>
      </c>
      <c r="I7955" t="s">
        <v>949</v>
      </c>
    </row>
    <row r="7956" ht="22" customHeight="1" spans="1:10" x14ac:dyDescent="0.25">
      <c r="A7956" s="43">
        <v>3130</v>
      </c>
      <c r="B7956" s="43">
        <v>18</v>
      </c>
      <c r="C7956" s="43" t="s">
        <v>950</v>
      </c>
      <c r="D7956" s="43" t="s">
        <v>1009</v>
      </c>
      <c r="E7956" s="43" t="s">
        <v>976</v>
      </c>
      <c r="F7956" s="43" t="s">
        <v>951</v>
      </c>
      <c r="G7956" s="43">
        <v>1877777</v>
      </c>
      <c r="H7956" s="43">
        <v>501100</v>
      </c>
      <c r="I7956" s="43" t="s">
        <v>949</v>
      </c>
      <c r="J7956" s="44" t="s">
        <v>1000</v>
      </c>
    </row>
    <row r="7957" ht="22" customHeight="1" spans="1:10" x14ac:dyDescent="0.25">
      <c r="A7957" s="43">
        <v>3130</v>
      </c>
      <c r="B7957" s="43">
        <v>18</v>
      </c>
      <c r="C7957" s="43" t="s">
        <v>950</v>
      </c>
      <c r="D7957" s="43" t="s">
        <v>1009</v>
      </c>
      <c r="E7957" s="43" t="s">
        <v>976</v>
      </c>
      <c r="F7957" s="43" t="s">
        <v>952</v>
      </c>
      <c r="G7957" s="43">
        <v>1877777</v>
      </c>
      <c r="H7957" s="43">
        <v>501100</v>
      </c>
      <c r="I7957" s="43" t="s">
        <v>949</v>
      </c>
      <c r="J7957" s="44" t="s">
        <v>1000</v>
      </c>
    </row>
    <row r="7958" ht="22" customHeight="1" spans="1:10" x14ac:dyDescent="0.25">
      <c r="A7958" s="43">
        <v>3130</v>
      </c>
      <c r="B7958" s="43">
        <v>18</v>
      </c>
      <c r="C7958" s="43" t="s">
        <v>950</v>
      </c>
      <c r="D7958" s="43" t="s">
        <v>1009</v>
      </c>
      <c r="E7958" s="43" t="s">
        <v>976</v>
      </c>
      <c r="F7958" s="43" t="s">
        <v>953</v>
      </c>
      <c r="G7958" s="43">
        <v>1877777</v>
      </c>
      <c r="H7958" s="43">
        <v>501100</v>
      </c>
      <c r="I7958" s="43" t="s">
        <v>949</v>
      </c>
      <c r="J7958" s="44" t="s">
        <v>1000</v>
      </c>
    </row>
    <row r="7959" ht="22" customHeight="1" spans="1:10" x14ac:dyDescent="0.25">
      <c r="A7959" s="43">
        <v>3130</v>
      </c>
      <c r="B7959" s="43">
        <v>18</v>
      </c>
      <c r="C7959" s="43" t="s">
        <v>950</v>
      </c>
      <c r="D7959" s="43" t="s">
        <v>1009</v>
      </c>
      <c r="E7959" s="43" t="s">
        <v>976</v>
      </c>
      <c r="F7959" s="43" t="s">
        <v>954</v>
      </c>
      <c r="G7959" s="43">
        <v>1877777</v>
      </c>
      <c r="H7959" s="43">
        <v>501100</v>
      </c>
      <c r="I7959" s="43" t="s">
        <v>949</v>
      </c>
      <c r="J7959" s="44" t="s">
        <v>1000</v>
      </c>
    </row>
    <row r="7960" ht="22" customHeight="1" spans="1:10" x14ac:dyDescent="0.25">
      <c r="A7960" s="43">
        <v>3130</v>
      </c>
      <c r="B7960" s="43">
        <v>18</v>
      </c>
      <c r="C7960" s="43" t="s">
        <v>950</v>
      </c>
      <c r="D7960" s="43" t="s">
        <v>1009</v>
      </c>
      <c r="E7960" s="43" t="s">
        <v>976</v>
      </c>
      <c r="F7960" s="43" t="s">
        <v>955</v>
      </c>
      <c r="G7960" s="43">
        <v>1877777</v>
      </c>
      <c r="H7960" s="43">
        <v>501100</v>
      </c>
      <c r="I7960" s="43" t="s">
        <v>949</v>
      </c>
      <c r="J7960" s="44" t="s">
        <v>1000</v>
      </c>
    </row>
    <row r="7961" ht="22" customHeight="1" spans="1:10" x14ac:dyDescent="0.25">
      <c r="A7961" s="43">
        <v>3130</v>
      </c>
      <c r="B7961" s="43">
        <v>18</v>
      </c>
      <c r="C7961" s="43" t="s">
        <v>950</v>
      </c>
      <c r="D7961" s="43" t="s">
        <v>1009</v>
      </c>
      <c r="E7961" s="43" t="s">
        <v>976</v>
      </c>
      <c r="F7961" s="43" t="s">
        <v>956</v>
      </c>
      <c r="G7961" s="43">
        <v>1877777</v>
      </c>
      <c r="H7961" s="43">
        <v>501100</v>
      </c>
      <c r="I7961" s="43" t="s">
        <v>949</v>
      </c>
      <c r="J7961" s="44" t="s">
        <v>1000</v>
      </c>
    </row>
    <row r="7962" ht="22" customHeight="1" spans="1:10" x14ac:dyDescent="0.25">
      <c r="A7962" s="43">
        <v>3130</v>
      </c>
      <c r="B7962" s="43">
        <v>18</v>
      </c>
      <c r="C7962" s="43" t="s">
        <v>950</v>
      </c>
      <c r="D7962" s="43" t="s">
        <v>1009</v>
      </c>
      <c r="E7962" s="43" t="s">
        <v>976</v>
      </c>
      <c r="F7962" s="43" t="s">
        <v>957</v>
      </c>
      <c r="G7962" s="43">
        <v>1877777</v>
      </c>
      <c r="H7962" s="43">
        <v>501100</v>
      </c>
      <c r="I7962" s="43" t="s">
        <v>949</v>
      </c>
      <c r="J7962" s="44" t="s">
        <v>1000</v>
      </c>
    </row>
    <row r="7963" ht="22" customHeight="1" spans="1:10" x14ac:dyDescent="0.25">
      <c r="A7963" s="43">
        <v>3130</v>
      </c>
      <c r="B7963" s="43">
        <v>18</v>
      </c>
      <c r="C7963" s="43" t="s">
        <v>950</v>
      </c>
      <c r="D7963" s="43" t="s">
        <v>1009</v>
      </c>
      <c r="E7963" s="43" t="s">
        <v>976</v>
      </c>
      <c r="F7963" s="43" t="s">
        <v>958</v>
      </c>
      <c r="G7963" s="43">
        <v>1877777</v>
      </c>
      <c r="H7963" s="43">
        <v>501100</v>
      </c>
      <c r="I7963" s="43" t="s">
        <v>949</v>
      </c>
      <c r="J7963" s="44" t="s">
        <v>1000</v>
      </c>
    </row>
    <row r="7964" ht="22" customHeight="1" spans="1:10" x14ac:dyDescent="0.25">
      <c r="A7964" s="43">
        <v>3130</v>
      </c>
      <c r="B7964" s="43">
        <v>18</v>
      </c>
      <c r="C7964" s="43" t="s">
        <v>950</v>
      </c>
      <c r="D7964" s="43" t="s">
        <v>1009</v>
      </c>
      <c r="E7964" s="43" t="s">
        <v>976</v>
      </c>
      <c r="F7964" s="43" t="s">
        <v>959</v>
      </c>
      <c r="G7964" s="43">
        <v>1877777</v>
      </c>
      <c r="H7964" s="43">
        <v>501100</v>
      </c>
      <c r="I7964" s="43" t="s">
        <v>949</v>
      </c>
      <c r="J7964" s="44" t="s">
        <v>1000</v>
      </c>
    </row>
    <row r="7965" ht="22" customHeight="1" spans="1:10" x14ac:dyDescent="0.25">
      <c r="A7965" s="43">
        <v>3130</v>
      </c>
      <c r="B7965" s="43">
        <v>18</v>
      </c>
      <c r="C7965" s="43" t="s">
        <v>950</v>
      </c>
      <c r="D7965" s="43" t="s">
        <v>1009</v>
      </c>
      <c r="E7965" s="43" t="s">
        <v>976</v>
      </c>
      <c r="F7965" s="43" t="s">
        <v>960</v>
      </c>
      <c r="G7965" s="43">
        <v>1877777</v>
      </c>
      <c r="H7965" s="43">
        <v>501100</v>
      </c>
      <c r="I7965" s="43" t="s">
        <v>949</v>
      </c>
      <c r="J7965" s="44" t="s">
        <v>1000</v>
      </c>
    </row>
    <row r="7966" ht="22" customHeight="1" spans="1:10" x14ac:dyDescent="0.25">
      <c r="A7966" s="43">
        <v>3130</v>
      </c>
      <c r="B7966" s="43">
        <v>18</v>
      </c>
      <c r="C7966" s="43" t="s">
        <v>950</v>
      </c>
      <c r="D7966" s="43" t="s">
        <v>1009</v>
      </c>
      <c r="E7966" s="43" t="s">
        <v>976</v>
      </c>
      <c r="F7966" s="43" t="s">
        <v>961</v>
      </c>
      <c r="G7966" s="43">
        <v>1877777</v>
      </c>
      <c r="H7966" s="43">
        <v>501100</v>
      </c>
      <c r="I7966" s="43" t="s">
        <v>949</v>
      </c>
      <c r="J7966" s="44" t="s">
        <v>1000</v>
      </c>
    </row>
    <row r="7967" ht="22" customHeight="1" spans="1:10" x14ac:dyDescent="0.25">
      <c r="A7967" s="43">
        <v>3130</v>
      </c>
      <c r="B7967" s="43">
        <v>18</v>
      </c>
      <c r="C7967" s="43" t="s">
        <v>962</v>
      </c>
      <c r="D7967" s="43" t="s">
        <v>1009</v>
      </c>
      <c r="E7967" s="43" t="s">
        <v>976</v>
      </c>
      <c r="F7967" s="43" t="s">
        <v>951</v>
      </c>
      <c r="G7967" s="43">
        <v>1877777</v>
      </c>
      <c r="H7967" s="43">
        <v>501100</v>
      </c>
      <c r="I7967" s="43" t="s">
        <v>949</v>
      </c>
      <c r="J7967" s="44" t="s">
        <v>1000</v>
      </c>
    </row>
    <row r="7968" ht="22" customHeight="1" spans="1:10" x14ac:dyDescent="0.25">
      <c r="A7968" s="43">
        <v>3130</v>
      </c>
      <c r="B7968" s="43">
        <v>18</v>
      </c>
      <c r="C7968" s="43" t="s">
        <v>962</v>
      </c>
      <c r="D7968" s="43" t="s">
        <v>1009</v>
      </c>
      <c r="E7968" s="43" t="s">
        <v>976</v>
      </c>
      <c r="F7968" s="43" t="s">
        <v>952</v>
      </c>
      <c r="G7968" s="43">
        <v>1877777</v>
      </c>
      <c r="H7968" s="43">
        <v>501100</v>
      </c>
      <c r="I7968" s="43" t="s">
        <v>949</v>
      </c>
      <c r="J7968" s="44" t="s">
        <v>1000</v>
      </c>
    </row>
    <row r="7969" ht="22" customHeight="1" spans="1:10" x14ac:dyDescent="0.25">
      <c r="A7969" s="43">
        <v>3130</v>
      </c>
      <c r="B7969" s="43">
        <v>18</v>
      </c>
      <c r="C7969" s="43" t="s">
        <v>962</v>
      </c>
      <c r="D7969" s="43" t="s">
        <v>1009</v>
      </c>
      <c r="E7969" s="43" t="s">
        <v>976</v>
      </c>
      <c r="F7969" s="43" t="s">
        <v>953</v>
      </c>
      <c r="G7969" s="43">
        <v>1877777</v>
      </c>
      <c r="H7969" s="43">
        <v>501100</v>
      </c>
      <c r="I7969" s="43" t="s">
        <v>949</v>
      </c>
      <c r="J7969" s="44" t="s">
        <v>1000</v>
      </c>
    </row>
    <row r="7970" ht="22" customHeight="1" spans="1:10" x14ac:dyDescent="0.25">
      <c r="A7970" s="43">
        <v>3130</v>
      </c>
      <c r="B7970" s="43">
        <v>18</v>
      </c>
      <c r="C7970" s="43" t="s">
        <v>962</v>
      </c>
      <c r="D7970" s="43" t="s">
        <v>1009</v>
      </c>
      <c r="E7970" s="43" t="s">
        <v>976</v>
      </c>
      <c r="F7970" s="43" t="s">
        <v>954</v>
      </c>
      <c r="G7970" s="43">
        <v>1877777</v>
      </c>
      <c r="H7970" s="43">
        <v>501100</v>
      </c>
      <c r="I7970" s="43" t="s">
        <v>949</v>
      </c>
      <c r="J7970" s="44" t="s">
        <v>1000</v>
      </c>
    </row>
    <row r="7971" ht="22" customHeight="1" spans="1:10" x14ac:dyDescent="0.25">
      <c r="A7971" s="43">
        <v>3130</v>
      </c>
      <c r="B7971" s="43">
        <v>18</v>
      </c>
      <c r="C7971" s="43" t="s">
        <v>962</v>
      </c>
      <c r="D7971" s="43" t="s">
        <v>1009</v>
      </c>
      <c r="E7971" s="43" t="s">
        <v>976</v>
      </c>
      <c r="F7971" s="43" t="s">
        <v>955</v>
      </c>
      <c r="G7971" s="43">
        <v>1877777</v>
      </c>
      <c r="H7971" s="43">
        <v>501100</v>
      </c>
      <c r="I7971" s="43" t="s">
        <v>949</v>
      </c>
      <c r="J7971" s="44" t="s">
        <v>1000</v>
      </c>
    </row>
    <row r="7972" ht="22" customHeight="1" spans="1:10" x14ac:dyDescent="0.25">
      <c r="A7972" s="43">
        <v>3130</v>
      </c>
      <c r="B7972" s="43">
        <v>18</v>
      </c>
      <c r="C7972" s="43" t="s">
        <v>962</v>
      </c>
      <c r="D7972" s="43" t="s">
        <v>1009</v>
      </c>
      <c r="E7972" s="43" t="s">
        <v>976</v>
      </c>
      <c r="F7972" s="43" t="s">
        <v>956</v>
      </c>
      <c r="G7972" s="43">
        <v>1877777</v>
      </c>
      <c r="H7972" s="43">
        <v>501100</v>
      </c>
      <c r="I7972" s="43" t="s">
        <v>949</v>
      </c>
      <c r="J7972" s="44" t="s">
        <v>1000</v>
      </c>
    </row>
    <row r="7973" ht="22" customHeight="1" spans="1:10" x14ac:dyDescent="0.25">
      <c r="A7973" s="43">
        <v>3130</v>
      </c>
      <c r="B7973" s="43">
        <v>18</v>
      </c>
      <c r="C7973" s="43" t="s">
        <v>962</v>
      </c>
      <c r="D7973" s="43" t="s">
        <v>1009</v>
      </c>
      <c r="E7973" s="43" t="s">
        <v>976</v>
      </c>
      <c r="F7973" s="43" t="s">
        <v>957</v>
      </c>
      <c r="G7973" s="43">
        <v>1877777</v>
      </c>
      <c r="H7973" s="43">
        <v>501100</v>
      </c>
      <c r="I7973" s="43" t="s">
        <v>949</v>
      </c>
      <c r="J7973" s="44" t="s">
        <v>1000</v>
      </c>
    </row>
    <row r="7974" ht="22" customHeight="1" spans="1:10" x14ac:dyDescent="0.25">
      <c r="A7974" s="43">
        <v>3130</v>
      </c>
      <c r="B7974" s="43">
        <v>18</v>
      </c>
      <c r="C7974" s="43" t="s">
        <v>962</v>
      </c>
      <c r="D7974" s="43" t="s">
        <v>1009</v>
      </c>
      <c r="E7974" s="43" t="s">
        <v>976</v>
      </c>
      <c r="F7974" s="43" t="s">
        <v>958</v>
      </c>
      <c r="G7974" s="43">
        <v>1877777</v>
      </c>
      <c r="H7974" s="43">
        <v>501100</v>
      </c>
      <c r="I7974" s="43" t="s">
        <v>949</v>
      </c>
      <c r="J7974" s="44" t="s">
        <v>1000</v>
      </c>
    </row>
    <row r="7975" ht="22" customHeight="1" spans="1:10" x14ac:dyDescent="0.25">
      <c r="A7975" s="43">
        <v>3130</v>
      </c>
      <c r="B7975" s="43">
        <v>18</v>
      </c>
      <c r="C7975" s="43" t="s">
        <v>962</v>
      </c>
      <c r="D7975" s="43" t="s">
        <v>1009</v>
      </c>
      <c r="E7975" s="43" t="s">
        <v>976</v>
      </c>
      <c r="F7975" s="43" t="s">
        <v>959</v>
      </c>
      <c r="G7975" s="43">
        <v>1877777</v>
      </c>
      <c r="H7975" s="43">
        <v>501100</v>
      </c>
      <c r="I7975" s="43" t="s">
        <v>949</v>
      </c>
      <c r="J7975" s="44" t="s">
        <v>1000</v>
      </c>
    </row>
    <row r="7976" ht="22" customHeight="1" spans="1:10" x14ac:dyDescent="0.25">
      <c r="A7976" s="43">
        <v>3130</v>
      </c>
      <c r="B7976" s="43">
        <v>18</v>
      </c>
      <c r="C7976" s="43" t="s">
        <v>962</v>
      </c>
      <c r="D7976" s="43" t="s">
        <v>1009</v>
      </c>
      <c r="E7976" s="43" t="s">
        <v>976</v>
      </c>
      <c r="F7976" s="43" t="s">
        <v>960</v>
      </c>
      <c r="G7976" s="43">
        <v>1877777</v>
      </c>
      <c r="H7976" s="43">
        <v>501100</v>
      </c>
      <c r="I7976" s="43" t="s">
        <v>949</v>
      </c>
      <c r="J7976" s="44" t="s">
        <v>1000</v>
      </c>
    </row>
    <row r="7977" ht="22" customHeight="1" spans="1:10" x14ac:dyDescent="0.25">
      <c r="A7977" s="43">
        <v>3130</v>
      </c>
      <c r="B7977" s="43">
        <v>18</v>
      </c>
      <c r="C7977" s="43" t="s">
        <v>962</v>
      </c>
      <c r="D7977" s="43" t="s">
        <v>1009</v>
      </c>
      <c r="E7977" s="43" t="s">
        <v>976</v>
      </c>
      <c r="F7977" s="43" t="s">
        <v>961</v>
      </c>
      <c r="G7977" s="43">
        <v>1877777</v>
      </c>
      <c r="H7977" s="43">
        <v>501100</v>
      </c>
      <c r="I7977" s="43" t="s">
        <v>949</v>
      </c>
      <c r="J7977" s="44" t="s">
        <v>1000</v>
      </c>
    </row>
    <row r="7978" ht="22" customHeight="1" spans="1:10" x14ac:dyDescent="0.25">
      <c r="A7978" s="43">
        <v>3130</v>
      </c>
      <c r="B7978" s="43">
        <v>18</v>
      </c>
      <c r="C7978" s="43" t="s">
        <v>963</v>
      </c>
      <c r="D7978" s="43" t="s">
        <v>1009</v>
      </c>
      <c r="E7978" s="43" t="s">
        <v>976</v>
      </c>
      <c r="F7978" s="43" t="s">
        <v>951</v>
      </c>
      <c r="G7978" s="43">
        <v>1877777</v>
      </c>
      <c r="H7978" s="43">
        <v>501100</v>
      </c>
      <c r="I7978" s="43" t="s">
        <v>949</v>
      </c>
      <c r="J7978" s="44" t="s">
        <v>1000</v>
      </c>
    </row>
    <row r="7979" ht="22" customHeight="1" spans="1:10" x14ac:dyDescent="0.25">
      <c r="A7979" s="43">
        <v>3130</v>
      </c>
      <c r="B7979" s="43">
        <v>18</v>
      </c>
      <c r="C7979" s="43" t="s">
        <v>963</v>
      </c>
      <c r="D7979" s="43" t="s">
        <v>1009</v>
      </c>
      <c r="E7979" s="43" t="s">
        <v>976</v>
      </c>
      <c r="F7979" s="43" t="s">
        <v>952</v>
      </c>
      <c r="G7979" s="43">
        <v>1877777</v>
      </c>
      <c r="H7979" s="43">
        <v>501100</v>
      </c>
      <c r="I7979" s="43" t="s">
        <v>949</v>
      </c>
      <c r="J7979" s="44" t="s">
        <v>1000</v>
      </c>
    </row>
    <row r="7980" ht="22" customHeight="1" spans="1:10" x14ac:dyDescent="0.25">
      <c r="A7980" s="43">
        <v>3130</v>
      </c>
      <c r="B7980" s="43">
        <v>18</v>
      </c>
      <c r="C7980" s="43" t="s">
        <v>963</v>
      </c>
      <c r="D7980" s="43" t="s">
        <v>1009</v>
      </c>
      <c r="E7980" s="43" t="s">
        <v>976</v>
      </c>
      <c r="F7980" s="43" t="s">
        <v>953</v>
      </c>
      <c r="G7980" s="43">
        <v>1877777</v>
      </c>
      <c r="H7980" s="43">
        <v>501100</v>
      </c>
      <c r="I7980" s="43" t="s">
        <v>949</v>
      </c>
      <c r="J7980" s="44" t="s">
        <v>1000</v>
      </c>
    </row>
    <row r="7981" ht="22" customHeight="1" spans="1:10" x14ac:dyDescent="0.25">
      <c r="A7981" s="43">
        <v>3130</v>
      </c>
      <c r="B7981" s="43">
        <v>18</v>
      </c>
      <c r="C7981" s="43" t="s">
        <v>963</v>
      </c>
      <c r="D7981" s="43" t="s">
        <v>1009</v>
      </c>
      <c r="E7981" s="43" t="s">
        <v>976</v>
      </c>
      <c r="F7981" s="43" t="s">
        <v>954</v>
      </c>
      <c r="G7981" s="43">
        <v>1877777</v>
      </c>
      <c r="H7981" s="43">
        <v>501100</v>
      </c>
      <c r="I7981" s="43" t="s">
        <v>949</v>
      </c>
      <c r="J7981" s="44" t="s">
        <v>1000</v>
      </c>
    </row>
    <row r="7982" ht="22" customHeight="1" spans="1:10" x14ac:dyDescent="0.25">
      <c r="A7982" s="43">
        <v>3130</v>
      </c>
      <c r="B7982" s="43">
        <v>18</v>
      </c>
      <c r="C7982" s="43" t="s">
        <v>963</v>
      </c>
      <c r="D7982" s="43" t="s">
        <v>1009</v>
      </c>
      <c r="E7982" s="43" t="s">
        <v>976</v>
      </c>
      <c r="F7982" s="43" t="s">
        <v>955</v>
      </c>
      <c r="G7982" s="43">
        <v>1877777</v>
      </c>
      <c r="H7982" s="43">
        <v>501100</v>
      </c>
      <c r="I7982" s="43" t="s">
        <v>949</v>
      </c>
      <c r="J7982" s="44" t="s">
        <v>1000</v>
      </c>
    </row>
    <row r="7983" ht="22" customHeight="1" spans="1:10" x14ac:dyDescent="0.25">
      <c r="A7983" s="43">
        <v>3130</v>
      </c>
      <c r="B7983" s="43">
        <v>18</v>
      </c>
      <c r="C7983" s="43" t="s">
        <v>963</v>
      </c>
      <c r="D7983" s="43" t="s">
        <v>1009</v>
      </c>
      <c r="E7983" s="43" t="s">
        <v>976</v>
      </c>
      <c r="F7983" s="43" t="s">
        <v>956</v>
      </c>
      <c r="G7983" s="43">
        <v>1877777</v>
      </c>
      <c r="H7983" s="43">
        <v>501100</v>
      </c>
      <c r="I7983" s="43" t="s">
        <v>949</v>
      </c>
      <c r="J7983" s="44" t="s">
        <v>1000</v>
      </c>
    </row>
    <row r="7984" ht="22" customHeight="1" spans="1:10" x14ac:dyDescent="0.25">
      <c r="A7984" s="43">
        <v>3130</v>
      </c>
      <c r="B7984" s="43">
        <v>18</v>
      </c>
      <c r="C7984" s="43" t="s">
        <v>963</v>
      </c>
      <c r="D7984" s="43" t="s">
        <v>1009</v>
      </c>
      <c r="E7984" s="43" t="s">
        <v>976</v>
      </c>
      <c r="F7984" s="43" t="s">
        <v>957</v>
      </c>
      <c r="G7984" s="43">
        <v>1877777</v>
      </c>
      <c r="H7984" s="43">
        <v>501100</v>
      </c>
      <c r="I7984" s="43" t="s">
        <v>949</v>
      </c>
      <c r="J7984" s="44" t="s">
        <v>1000</v>
      </c>
    </row>
    <row r="7985" ht="22" customHeight="1" spans="1:10" x14ac:dyDescent="0.25">
      <c r="A7985" s="43">
        <v>3130</v>
      </c>
      <c r="B7985" s="43">
        <v>18</v>
      </c>
      <c r="C7985" s="43" t="s">
        <v>963</v>
      </c>
      <c r="D7985" s="43" t="s">
        <v>1009</v>
      </c>
      <c r="E7985" s="43" t="s">
        <v>976</v>
      </c>
      <c r="F7985" s="43" t="s">
        <v>958</v>
      </c>
      <c r="G7985" s="43">
        <v>1877777</v>
      </c>
      <c r="H7985" s="43">
        <v>501100</v>
      </c>
      <c r="I7985" s="43" t="s">
        <v>949</v>
      </c>
      <c r="J7985" s="44" t="s">
        <v>1000</v>
      </c>
    </row>
    <row r="7986" ht="22" customHeight="1" spans="1:10" x14ac:dyDescent="0.25">
      <c r="A7986" s="43">
        <v>3130</v>
      </c>
      <c r="B7986" s="43">
        <v>18</v>
      </c>
      <c r="C7986" s="43" t="s">
        <v>963</v>
      </c>
      <c r="D7986" s="43" t="s">
        <v>1009</v>
      </c>
      <c r="E7986" s="43" t="s">
        <v>976</v>
      </c>
      <c r="F7986" s="43" t="s">
        <v>959</v>
      </c>
      <c r="G7986" s="43">
        <v>1877777</v>
      </c>
      <c r="H7986" s="43">
        <v>501100</v>
      </c>
      <c r="I7986" s="43" t="s">
        <v>949</v>
      </c>
      <c r="J7986" s="44" t="s">
        <v>1000</v>
      </c>
    </row>
    <row r="7987" ht="22" customHeight="1" spans="1:10" x14ac:dyDescent="0.25">
      <c r="A7987" s="43">
        <v>3130</v>
      </c>
      <c r="B7987" s="43">
        <v>18</v>
      </c>
      <c r="C7987" s="43" t="s">
        <v>963</v>
      </c>
      <c r="D7987" s="43" t="s">
        <v>1009</v>
      </c>
      <c r="E7987" s="43" t="s">
        <v>976</v>
      </c>
      <c r="F7987" s="43" t="s">
        <v>960</v>
      </c>
      <c r="G7987" s="43">
        <v>1877777</v>
      </c>
      <c r="H7987" s="43">
        <v>501100</v>
      </c>
      <c r="I7987" s="43" t="s">
        <v>949</v>
      </c>
      <c r="J7987" s="44" t="s">
        <v>1000</v>
      </c>
    </row>
    <row r="7988" ht="22" customHeight="1" spans="1:10" x14ac:dyDescent="0.25">
      <c r="A7988" s="43">
        <v>3130</v>
      </c>
      <c r="B7988" s="43">
        <v>18</v>
      </c>
      <c r="C7988" s="43" t="s">
        <v>963</v>
      </c>
      <c r="D7988" s="43" t="s">
        <v>1009</v>
      </c>
      <c r="E7988" s="43" t="s">
        <v>976</v>
      </c>
      <c r="F7988" s="43" t="s">
        <v>961</v>
      </c>
      <c r="G7988" s="43">
        <v>1877777</v>
      </c>
      <c r="H7988" s="43">
        <v>501100</v>
      </c>
      <c r="I7988" s="43" t="s">
        <v>949</v>
      </c>
      <c r="J7988" s="44" t="s">
        <v>1000</v>
      </c>
    </row>
    <row r="7989" spans="1:9" x14ac:dyDescent="0.25">
      <c r="A7989">
        <v>4122</v>
      </c>
      <c r="B7989">
        <v>18</v>
      </c>
      <c r="C7989" t="s">
        <v>946</v>
      </c>
      <c r="D7989" t="s">
        <v>1009</v>
      </c>
      <c r="E7989" t="s">
        <v>976</v>
      </c>
      <c r="F7989" t="s">
        <v>948</v>
      </c>
      <c r="G7989">
        <v>1800000</v>
      </c>
      <c r="H7989">
        <v>141000</v>
      </c>
      <c r="I7989" t="s">
        <v>977</v>
      </c>
    </row>
    <row r="7990" spans="1:9" x14ac:dyDescent="0.25">
      <c r="A7990">
        <v>4124</v>
      </c>
      <c r="B7990">
        <v>18</v>
      </c>
      <c r="C7990" t="s">
        <v>946</v>
      </c>
      <c r="D7990" t="s">
        <v>1009</v>
      </c>
      <c r="E7990" t="s">
        <v>976</v>
      </c>
      <c r="F7990" t="s">
        <v>948</v>
      </c>
      <c r="G7990">
        <v>1877777</v>
      </c>
      <c r="H7990">
        <v>501100</v>
      </c>
      <c r="I7990" t="s">
        <v>949</v>
      </c>
    </row>
    <row r="7991" ht="22" customHeight="1" spans="1:10" x14ac:dyDescent="0.25">
      <c r="A7991" s="43">
        <v>3130</v>
      </c>
      <c r="B7991" s="43">
        <v>18</v>
      </c>
      <c r="C7991" s="43" t="s">
        <v>950</v>
      </c>
      <c r="D7991" s="43" t="s">
        <v>1009</v>
      </c>
      <c r="E7991" s="43" t="s">
        <v>290</v>
      </c>
      <c r="F7991" s="43" t="s">
        <v>951</v>
      </c>
      <c r="G7991" s="43">
        <v>1877777</v>
      </c>
      <c r="H7991" s="43">
        <v>501100</v>
      </c>
      <c r="I7991" s="43" t="s">
        <v>949</v>
      </c>
      <c r="J7991" s="44" t="s">
        <v>1000</v>
      </c>
    </row>
    <row r="7992" ht="22" customHeight="1" spans="1:10" x14ac:dyDescent="0.25">
      <c r="A7992" s="43">
        <v>3130</v>
      </c>
      <c r="B7992" s="43">
        <v>18</v>
      </c>
      <c r="C7992" s="43" t="s">
        <v>950</v>
      </c>
      <c r="D7992" s="43" t="s">
        <v>1009</v>
      </c>
      <c r="E7992" s="43" t="s">
        <v>290</v>
      </c>
      <c r="F7992" s="43" t="s">
        <v>952</v>
      </c>
      <c r="G7992" s="43">
        <v>1877777</v>
      </c>
      <c r="H7992" s="43">
        <v>501100</v>
      </c>
      <c r="I7992" s="43" t="s">
        <v>949</v>
      </c>
      <c r="J7992" s="44" t="s">
        <v>1000</v>
      </c>
    </row>
    <row r="7993" ht="22" customHeight="1" spans="1:10" x14ac:dyDescent="0.25">
      <c r="A7993" s="43">
        <v>3130</v>
      </c>
      <c r="B7993" s="43">
        <v>18</v>
      </c>
      <c r="C7993" s="43" t="s">
        <v>950</v>
      </c>
      <c r="D7993" s="43" t="s">
        <v>1009</v>
      </c>
      <c r="E7993" s="43" t="s">
        <v>290</v>
      </c>
      <c r="F7993" s="43" t="s">
        <v>953</v>
      </c>
      <c r="G7993" s="43">
        <v>1877777</v>
      </c>
      <c r="H7993" s="43">
        <v>501100</v>
      </c>
      <c r="I7993" s="43" t="s">
        <v>949</v>
      </c>
      <c r="J7993" s="44" t="s">
        <v>1000</v>
      </c>
    </row>
    <row r="7994" ht="22" customHeight="1" spans="1:10" x14ac:dyDescent="0.25">
      <c r="A7994" s="43">
        <v>3130</v>
      </c>
      <c r="B7994" s="43">
        <v>18</v>
      </c>
      <c r="C7994" s="43" t="s">
        <v>950</v>
      </c>
      <c r="D7994" s="43" t="s">
        <v>1009</v>
      </c>
      <c r="E7994" s="43" t="s">
        <v>290</v>
      </c>
      <c r="F7994" s="43" t="s">
        <v>954</v>
      </c>
      <c r="G7994" s="43">
        <v>1877777</v>
      </c>
      <c r="H7994" s="43">
        <v>501100</v>
      </c>
      <c r="I7994" s="43" t="s">
        <v>949</v>
      </c>
      <c r="J7994" s="44" t="s">
        <v>1000</v>
      </c>
    </row>
    <row r="7995" ht="22" customHeight="1" spans="1:10" x14ac:dyDescent="0.25">
      <c r="A7995" s="43">
        <v>3130</v>
      </c>
      <c r="B7995" s="43">
        <v>18</v>
      </c>
      <c r="C7995" s="43" t="s">
        <v>950</v>
      </c>
      <c r="D7995" s="43" t="s">
        <v>1009</v>
      </c>
      <c r="E7995" s="43" t="s">
        <v>290</v>
      </c>
      <c r="F7995" s="43" t="s">
        <v>955</v>
      </c>
      <c r="G7995" s="43">
        <v>1877777</v>
      </c>
      <c r="H7995" s="43">
        <v>501100</v>
      </c>
      <c r="I7995" s="43" t="s">
        <v>949</v>
      </c>
      <c r="J7995" s="44" t="s">
        <v>1000</v>
      </c>
    </row>
    <row r="7996" ht="22" customHeight="1" spans="1:10" x14ac:dyDescent="0.25">
      <c r="A7996" s="43">
        <v>3130</v>
      </c>
      <c r="B7996" s="43">
        <v>18</v>
      </c>
      <c r="C7996" s="43" t="s">
        <v>950</v>
      </c>
      <c r="D7996" s="43" t="s">
        <v>1009</v>
      </c>
      <c r="E7996" s="43" t="s">
        <v>290</v>
      </c>
      <c r="F7996" s="43" t="s">
        <v>956</v>
      </c>
      <c r="G7996" s="43">
        <v>1877777</v>
      </c>
      <c r="H7996" s="43">
        <v>501100</v>
      </c>
      <c r="I7996" s="43" t="s">
        <v>949</v>
      </c>
      <c r="J7996" s="44" t="s">
        <v>1000</v>
      </c>
    </row>
    <row r="7997" ht="22" customHeight="1" spans="1:10" x14ac:dyDescent="0.25">
      <c r="A7997" s="43">
        <v>3130</v>
      </c>
      <c r="B7997" s="43">
        <v>18</v>
      </c>
      <c r="C7997" s="43" t="s">
        <v>950</v>
      </c>
      <c r="D7997" s="43" t="s">
        <v>1009</v>
      </c>
      <c r="E7997" s="43" t="s">
        <v>290</v>
      </c>
      <c r="F7997" s="43" t="s">
        <v>957</v>
      </c>
      <c r="G7997" s="43">
        <v>1877777</v>
      </c>
      <c r="H7997" s="43">
        <v>501100</v>
      </c>
      <c r="I7997" s="43" t="s">
        <v>949</v>
      </c>
      <c r="J7997" s="44" t="s">
        <v>1000</v>
      </c>
    </row>
    <row r="7998" ht="22" customHeight="1" spans="1:10" x14ac:dyDescent="0.25">
      <c r="A7998" s="43">
        <v>3130</v>
      </c>
      <c r="B7998" s="43">
        <v>18</v>
      </c>
      <c r="C7998" s="43" t="s">
        <v>950</v>
      </c>
      <c r="D7998" s="43" t="s">
        <v>1009</v>
      </c>
      <c r="E7998" s="43" t="s">
        <v>290</v>
      </c>
      <c r="F7998" s="43" t="s">
        <v>958</v>
      </c>
      <c r="G7998" s="43">
        <v>1877777</v>
      </c>
      <c r="H7998" s="43">
        <v>501100</v>
      </c>
      <c r="I7998" s="43" t="s">
        <v>949</v>
      </c>
      <c r="J7998" s="44" t="s">
        <v>1000</v>
      </c>
    </row>
    <row r="7999" ht="22" customHeight="1" spans="1:10" x14ac:dyDescent="0.25">
      <c r="A7999" s="43">
        <v>3130</v>
      </c>
      <c r="B7999" s="43">
        <v>18</v>
      </c>
      <c r="C7999" s="43" t="s">
        <v>950</v>
      </c>
      <c r="D7999" s="43" t="s">
        <v>1009</v>
      </c>
      <c r="E7999" s="43" t="s">
        <v>290</v>
      </c>
      <c r="F7999" s="43" t="s">
        <v>959</v>
      </c>
      <c r="G7999" s="43">
        <v>1877777</v>
      </c>
      <c r="H7999" s="43">
        <v>501100</v>
      </c>
      <c r="I7999" s="43" t="s">
        <v>949</v>
      </c>
      <c r="J7999" s="44" t="s">
        <v>1000</v>
      </c>
    </row>
    <row r="8000" ht="22" customHeight="1" spans="1:10" x14ac:dyDescent="0.25">
      <c r="A8000" s="43">
        <v>3130</v>
      </c>
      <c r="B8000" s="43">
        <v>18</v>
      </c>
      <c r="C8000" s="43" t="s">
        <v>950</v>
      </c>
      <c r="D8000" s="43" t="s">
        <v>1009</v>
      </c>
      <c r="E8000" s="43" t="s">
        <v>290</v>
      </c>
      <c r="F8000" s="43" t="s">
        <v>960</v>
      </c>
      <c r="G8000" s="43">
        <v>1877777</v>
      </c>
      <c r="H8000" s="43">
        <v>501100</v>
      </c>
      <c r="I8000" s="43" t="s">
        <v>949</v>
      </c>
      <c r="J8000" s="44" t="s">
        <v>1000</v>
      </c>
    </row>
    <row r="8001" ht="22" customHeight="1" spans="1:10" x14ac:dyDescent="0.25">
      <c r="A8001" s="43">
        <v>3130</v>
      </c>
      <c r="B8001" s="43">
        <v>18</v>
      </c>
      <c r="C8001" s="43" t="s">
        <v>950</v>
      </c>
      <c r="D8001" s="43" t="s">
        <v>1009</v>
      </c>
      <c r="E8001" s="43" t="s">
        <v>290</v>
      </c>
      <c r="F8001" s="43" t="s">
        <v>961</v>
      </c>
      <c r="G8001" s="43">
        <v>1877777</v>
      </c>
      <c r="H8001" s="43">
        <v>501100</v>
      </c>
      <c r="I8001" s="43" t="s">
        <v>949</v>
      </c>
      <c r="J8001" s="44" t="s">
        <v>1000</v>
      </c>
    </row>
    <row r="8002" ht="22" customHeight="1" spans="1:10" x14ac:dyDescent="0.25">
      <c r="A8002" s="43">
        <v>3130</v>
      </c>
      <c r="B8002" s="43">
        <v>18</v>
      </c>
      <c r="C8002" s="43" t="s">
        <v>962</v>
      </c>
      <c r="D8002" s="43" t="s">
        <v>1009</v>
      </c>
      <c r="E8002" s="43" t="s">
        <v>290</v>
      </c>
      <c r="F8002" s="43" t="s">
        <v>951</v>
      </c>
      <c r="G8002" s="43">
        <v>1877777</v>
      </c>
      <c r="H8002" s="43">
        <v>501100</v>
      </c>
      <c r="I8002" s="43" t="s">
        <v>949</v>
      </c>
      <c r="J8002" s="44" t="s">
        <v>1000</v>
      </c>
    </row>
    <row r="8003" ht="22" customHeight="1" spans="1:10" x14ac:dyDescent="0.25">
      <c r="A8003" s="43">
        <v>3130</v>
      </c>
      <c r="B8003" s="43">
        <v>18</v>
      </c>
      <c r="C8003" s="43" t="s">
        <v>962</v>
      </c>
      <c r="D8003" s="43" t="s">
        <v>1009</v>
      </c>
      <c r="E8003" s="43" t="s">
        <v>290</v>
      </c>
      <c r="F8003" s="43" t="s">
        <v>952</v>
      </c>
      <c r="G8003" s="43">
        <v>1877777</v>
      </c>
      <c r="H8003" s="43">
        <v>501100</v>
      </c>
      <c r="I8003" s="43" t="s">
        <v>949</v>
      </c>
      <c r="J8003" s="44" t="s">
        <v>1000</v>
      </c>
    </row>
    <row r="8004" ht="22" customHeight="1" spans="1:10" x14ac:dyDescent="0.25">
      <c r="A8004" s="43">
        <v>3130</v>
      </c>
      <c r="B8004" s="43">
        <v>18</v>
      </c>
      <c r="C8004" s="43" t="s">
        <v>962</v>
      </c>
      <c r="D8004" s="43" t="s">
        <v>1009</v>
      </c>
      <c r="E8004" s="43" t="s">
        <v>290</v>
      </c>
      <c r="F8004" s="43" t="s">
        <v>953</v>
      </c>
      <c r="G8004" s="43">
        <v>1877777</v>
      </c>
      <c r="H8004" s="43">
        <v>501100</v>
      </c>
      <c r="I8004" s="43" t="s">
        <v>949</v>
      </c>
      <c r="J8004" s="44" t="s">
        <v>1000</v>
      </c>
    </row>
    <row r="8005" ht="22" customHeight="1" spans="1:10" x14ac:dyDescent="0.25">
      <c r="A8005" s="43">
        <v>3130</v>
      </c>
      <c r="B8005" s="43">
        <v>18</v>
      </c>
      <c r="C8005" s="43" t="s">
        <v>962</v>
      </c>
      <c r="D8005" s="43" t="s">
        <v>1009</v>
      </c>
      <c r="E8005" s="43" t="s">
        <v>290</v>
      </c>
      <c r="F8005" s="43" t="s">
        <v>954</v>
      </c>
      <c r="G8005" s="43">
        <v>1877777</v>
      </c>
      <c r="H8005" s="43">
        <v>501100</v>
      </c>
      <c r="I8005" s="43" t="s">
        <v>949</v>
      </c>
      <c r="J8005" s="44" t="s">
        <v>1000</v>
      </c>
    </row>
    <row r="8006" ht="22" customHeight="1" spans="1:10" x14ac:dyDescent="0.25">
      <c r="A8006" s="43">
        <v>3130</v>
      </c>
      <c r="B8006" s="43">
        <v>18</v>
      </c>
      <c r="C8006" s="43" t="s">
        <v>962</v>
      </c>
      <c r="D8006" s="43" t="s">
        <v>1009</v>
      </c>
      <c r="E8006" s="43" t="s">
        <v>290</v>
      </c>
      <c r="F8006" s="43" t="s">
        <v>955</v>
      </c>
      <c r="G8006" s="43">
        <v>1877777</v>
      </c>
      <c r="H8006" s="43">
        <v>501100</v>
      </c>
      <c r="I8006" s="43" t="s">
        <v>949</v>
      </c>
      <c r="J8006" s="44" t="s">
        <v>1000</v>
      </c>
    </row>
    <row r="8007" ht="22" customHeight="1" spans="1:10" x14ac:dyDescent="0.25">
      <c r="A8007" s="43">
        <v>3130</v>
      </c>
      <c r="B8007" s="43">
        <v>18</v>
      </c>
      <c r="C8007" s="43" t="s">
        <v>962</v>
      </c>
      <c r="D8007" s="43" t="s">
        <v>1009</v>
      </c>
      <c r="E8007" s="43" t="s">
        <v>290</v>
      </c>
      <c r="F8007" s="43" t="s">
        <v>956</v>
      </c>
      <c r="G8007" s="43">
        <v>1877777</v>
      </c>
      <c r="H8007" s="43">
        <v>501100</v>
      </c>
      <c r="I8007" s="43" t="s">
        <v>949</v>
      </c>
      <c r="J8007" s="44" t="s">
        <v>1000</v>
      </c>
    </row>
    <row r="8008" ht="22" customHeight="1" spans="1:10" x14ac:dyDescent="0.25">
      <c r="A8008" s="43">
        <v>3130</v>
      </c>
      <c r="B8008" s="43">
        <v>18</v>
      </c>
      <c r="C8008" s="43" t="s">
        <v>962</v>
      </c>
      <c r="D8008" s="43" t="s">
        <v>1009</v>
      </c>
      <c r="E8008" s="43" t="s">
        <v>290</v>
      </c>
      <c r="F8008" s="43" t="s">
        <v>957</v>
      </c>
      <c r="G8008" s="43">
        <v>1877777</v>
      </c>
      <c r="H8008" s="43">
        <v>501100</v>
      </c>
      <c r="I8008" s="43" t="s">
        <v>949</v>
      </c>
      <c r="J8008" s="44" t="s">
        <v>1000</v>
      </c>
    </row>
    <row r="8009" ht="22" customHeight="1" spans="1:10" x14ac:dyDescent="0.25">
      <c r="A8009" s="43">
        <v>3130</v>
      </c>
      <c r="B8009" s="43">
        <v>18</v>
      </c>
      <c r="C8009" s="43" t="s">
        <v>962</v>
      </c>
      <c r="D8009" s="43" t="s">
        <v>1009</v>
      </c>
      <c r="E8009" s="43" t="s">
        <v>290</v>
      </c>
      <c r="F8009" s="43" t="s">
        <v>958</v>
      </c>
      <c r="G8009" s="43">
        <v>1877777</v>
      </c>
      <c r="H8009" s="43">
        <v>501100</v>
      </c>
      <c r="I8009" s="43" t="s">
        <v>949</v>
      </c>
      <c r="J8009" s="44" t="s">
        <v>1000</v>
      </c>
    </row>
    <row r="8010" ht="22" customHeight="1" spans="1:10" x14ac:dyDescent="0.25">
      <c r="A8010" s="43">
        <v>3130</v>
      </c>
      <c r="B8010" s="43">
        <v>18</v>
      </c>
      <c r="C8010" s="43" t="s">
        <v>962</v>
      </c>
      <c r="D8010" s="43" t="s">
        <v>1009</v>
      </c>
      <c r="E8010" s="43" t="s">
        <v>290</v>
      </c>
      <c r="F8010" s="43" t="s">
        <v>959</v>
      </c>
      <c r="G8010" s="43">
        <v>1877777</v>
      </c>
      <c r="H8010" s="43">
        <v>501100</v>
      </c>
      <c r="I8010" s="43" t="s">
        <v>949</v>
      </c>
      <c r="J8010" s="44" t="s">
        <v>1000</v>
      </c>
    </row>
    <row r="8011" ht="22" customHeight="1" spans="1:10" x14ac:dyDescent="0.25">
      <c r="A8011" s="43">
        <v>3130</v>
      </c>
      <c r="B8011" s="43">
        <v>18</v>
      </c>
      <c r="C8011" s="43" t="s">
        <v>962</v>
      </c>
      <c r="D8011" s="43" t="s">
        <v>1009</v>
      </c>
      <c r="E8011" s="43" t="s">
        <v>290</v>
      </c>
      <c r="F8011" s="43" t="s">
        <v>960</v>
      </c>
      <c r="G8011" s="43">
        <v>1877777</v>
      </c>
      <c r="H8011" s="43">
        <v>501100</v>
      </c>
      <c r="I8011" s="43" t="s">
        <v>949</v>
      </c>
      <c r="J8011" s="44" t="s">
        <v>1000</v>
      </c>
    </row>
    <row r="8012" ht="22" customHeight="1" spans="1:10" x14ac:dyDescent="0.25">
      <c r="A8012" s="43">
        <v>3130</v>
      </c>
      <c r="B8012" s="43">
        <v>18</v>
      </c>
      <c r="C8012" s="43" t="s">
        <v>962</v>
      </c>
      <c r="D8012" s="43" t="s">
        <v>1009</v>
      </c>
      <c r="E8012" s="43" t="s">
        <v>290</v>
      </c>
      <c r="F8012" s="43" t="s">
        <v>961</v>
      </c>
      <c r="G8012" s="43">
        <v>1877777</v>
      </c>
      <c r="H8012" s="43">
        <v>501100</v>
      </c>
      <c r="I8012" s="43" t="s">
        <v>949</v>
      </c>
      <c r="J8012" s="44" t="s">
        <v>1000</v>
      </c>
    </row>
    <row r="8013" ht="22" customHeight="1" spans="1:10" x14ac:dyDescent="0.25">
      <c r="A8013" s="43">
        <v>3130</v>
      </c>
      <c r="B8013" s="43">
        <v>18</v>
      </c>
      <c r="C8013" s="43" t="s">
        <v>963</v>
      </c>
      <c r="D8013" s="43" t="s">
        <v>1009</v>
      </c>
      <c r="E8013" s="43" t="s">
        <v>290</v>
      </c>
      <c r="F8013" s="43" t="s">
        <v>951</v>
      </c>
      <c r="G8013" s="43">
        <v>1877777</v>
      </c>
      <c r="H8013" s="43">
        <v>501100</v>
      </c>
      <c r="I8013" s="43" t="s">
        <v>949</v>
      </c>
      <c r="J8013" s="44" t="s">
        <v>1000</v>
      </c>
    </row>
    <row r="8014" ht="22" customHeight="1" spans="1:10" x14ac:dyDescent="0.25">
      <c r="A8014" s="43">
        <v>3130</v>
      </c>
      <c r="B8014" s="43">
        <v>18</v>
      </c>
      <c r="C8014" s="43" t="s">
        <v>963</v>
      </c>
      <c r="D8014" s="43" t="s">
        <v>1009</v>
      </c>
      <c r="E8014" s="43" t="s">
        <v>290</v>
      </c>
      <c r="F8014" s="43" t="s">
        <v>952</v>
      </c>
      <c r="G8014" s="43">
        <v>1877777</v>
      </c>
      <c r="H8014" s="43">
        <v>501100</v>
      </c>
      <c r="I8014" s="43" t="s">
        <v>949</v>
      </c>
      <c r="J8014" s="44" t="s">
        <v>1000</v>
      </c>
    </row>
    <row r="8015" ht="22" customHeight="1" spans="1:10" x14ac:dyDescent="0.25">
      <c r="A8015" s="43">
        <v>3130</v>
      </c>
      <c r="B8015" s="43">
        <v>18</v>
      </c>
      <c r="C8015" s="43" t="s">
        <v>963</v>
      </c>
      <c r="D8015" s="43" t="s">
        <v>1009</v>
      </c>
      <c r="E8015" s="43" t="s">
        <v>290</v>
      </c>
      <c r="F8015" s="43" t="s">
        <v>953</v>
      </c>
      <c r="G8015" s="43">
        <v>1877777</v>
      </c>
      <c r="H8015" s="43">
        <v>501100</v>
      </c>
      <c r="I8015" s="43" t="s">
        <v>949</v>
      </c>
      <c r="J8015" s="44" t="s">
        <v>1000</v>
      </c>
    </row>
    <row r="8016" ht="22" customHeight="1" spans="1:10" x14ac:dyDescent="0.25">
      <c r="A8016" s="43">
        <v>3130</v>
      </c>
      <c r="B8016" s="43">
        <v>18</v>
      </c>
      <c r="C8016" s="43" t="s">
        <v>963</v>
      </c>
      <c r="D8016" s="43" t="s">
        <v>1009</v>
      </c>
      <c r="E8016" s="43" t="s">
        <v>290</v>
      </c>
      <c r="F8016" s="43" t="s">
        <v>954</v>
      </c>
      <c r="G8016" s="43">
        <v>1877777</v>
      </c>
      <c r="H8016" s="43">
        <v>501100</v>
      </c>
      <c r="I8016" s="43" t="s">
        <v>949</v>
      </c>
      <c r="J8016" s="44" t="s">
        <v>1000</v>
      </c>
    </row>
    <row r="8017" ht="22" customHeight="1" spans="1:10" x14ac:dyDescent="0.25">
      <c r="A8017" s="43">
        <v>3130</v>
      </c>
      <c r="B8017" s="43">
        <v>18</v>
      </c>
      <c r="C8017" s="43" t="s">
        <v>963</v>
      </c>
      <c r="D8017" s="43" t="s">
        <v>1009</v>
      </c>
      <c r="E8017" s="43" t="s">
        <v>290</v>
      </c>
      <c r="F8017" s="43" t="s">
        <v>955</v>
      </c>
      <c r="G8017" s="43">
        <v>1877777</v>
      </c>
      <c r="H8017" s="43">
        <v>501100</v>
      </c>
      <c r="I8017" s="43" t="s">
        <v>949</v>
      </c>
      <c r="J8017" s="44" t="s">
        <v>1000</v>
      </c>
    </row>
    <row r="8018" ht="22" customHeight="1" spans="1:10" x14ac:dyDescent="0.25">
      <c r="A8018" s="43">
        <v>3130</v>
      </c>
      <c r="B8018" s="43">
        <v>18</v>
      </c>
      <c r="C8018" s="43" t="s">
        <v>963</v>
      </c>
      <c r="D8018" s="43" t="s">
        <v>1009</v>
      </c>
      <c r="E8018" s="43" t="s">
        <v>290</v>
      </c>
      <c r="F8018" s="43" t="s">
        <v>956</v>
      </c>
      <c r="G8018" s="43">
        <v>1877777</v>
      </c>
      <c r="H8018" s="43">
        <v>501100</v>
      </c>
      <c r="I8018" s="43" t="s">
        <v>949</v>
      </c>
      <c r="J8018" s="44" t="s">
        <v>1000</v>
      </c>
    </row>
    <row r="8019" ht="22" customHeight="1" spans="1:10" x14ac:dyDescent="0.25">
      <c r="A8019" s="43">
        <v>3130</v>
      </c>
      <c r="B8019" s="43">
        <v>18</v>
      </c>
      <c r="C8019" s="43" t="s">
        <v>963</v>
      </c>
      <c r="D8019" s="43" t="s">
        <v>1009</v>
      </c>
      <c r="E8019" s="43" t="s">
        <v>290</v>
      </c>
      <c r="F8019" s="43" t="s">
        <v>957</v>
      </c>
      <c r="G8019" s="43">
        <v>1877777</v>
      </c>
      <c r="H8019" s="43">
        <v>501100</v>
      </c>
      <c r="I8019" s="43" t="s">
        <v>949</v>
      </c>
      <c r="J8019" s="44" t="s">
        <v>1000</v>
      </c>
    </row>
    <row r="8020" ht="22" customHeight="1" spans="1:10" x14ac:dyDescent="0.25">
      <c r="A8020" s="43">
        <v>3130</v>
      </c>
      <c r="B8020" s="43">
        <v>18</v>
      </c>
      <c r="C8020" s="43" t="s">
        <v>963</v>
      </c>
      <c r="D8020" s="43" t="s">
        <v>1009</v>
      </c>
      <c r="E8020" s="43" t="s">
        <v>290</v>
      </c>
      <c r="F8020" s="43" t="s">
        <v>958</v>
      </c>
      <c r="G8020" s="43">
        <v>1877777</v>
      </c>
      <c r="H8020" s="43">
        <v>501100</v>
      </c>
      <c r="I8020" s="43" t="s">
        <v>949</v>
      </c>
      <c r="J8020" s="44" t="s">
        <v>1000</v>
      </c>
    </row>
    <row r="8021" ht="22" customHeight="1" spans="1:10" x14ac:dyDescent="0.25">
      <c r="A8021" s="43">
        <v>3130</v>
      </c>
      <c r="B8021" s="43">
        <v>18</v>
      </c>
      <c r="C8021" s="43" t="s">
        <v>963</v>
      </c>
      <c r="D8021" s="43" t="s">
        <v>1009</v>
      </c>
      <c r="E8021" s="43" t="s">
        <v>290</v>
      </c>
      <c r="F8021" s="43" t="s">
        <v>959</v>
      </c>
      <c r="G8021" s="43">
        <v>1877777</v>
      </c>
      <c r="H8021" s="43">
        <v>501100</v>
      </c>
      <c r="I8021" s="43" t="s">
        <v>949</v>
      </c>
      <c r="J8021" s="44" t="s">
        <v>1000</v>
      </c>
    </row>
    <row r="8022" ht="22" customHeight="1" spans="1:10" x14ac:dyDescent="0.25">
      <c r="A8022" s="43">
        <v>3130</v>
      </c>
      <c r="B8022" s="43">
        <v>18</v>
      </c>
      <c r="C8022" s="43" t="s">
        <v>963</v>
      </c>
      <c r="D8022" s="43" t="s">
        <v>1009</v>
      </c>
      <c r="E8022" s="43" t="s">
        <v>290</v>
      </c>
      <c r="F8022" s="43" t="s">
        <v>960</v>
      </c>
      <c r="G8022" s="43">
        <v>1877777</v>
      </c>
      <c r="H8022" s="43">
        <v>501100</v>
      </c>
      <c r="I8022" s="43" t="s">
        <v>949</v>
      </c>
      <c r="J8022" s="44" t="s">
        <v>1000</v>
      </c>
    </row>
    <row r="8023" ht="22" customHeight="1" spans="1:10" x14ac:dyDescent="0.25">
      <c r="A8023" s="43">
        <v>3130</v>
      </c>
      <c r="B8023" s="43">
        <v>18</v>
      </c>
      <c r="C8023" s="43" t="s">
        <v>963</v>
      </c>
      <c r="D8023" s="43" t="s">
        <v>1009</v>
      </c>
      <c r="E8023" s="43" t="s">
        <v>290</v>
      </c>
      <c r="F8023" s="43" t="s">
        <v>961</v>
      </c>
      <c r="G8023" s="43">
        <v>1877777</v>
      </c>
      <c r="H8023" s="43">
        <v>501100</v>
      </c>
      <c r="I8023" s="43" t="s">
        <v>949</v>
      </c>
      <c r="J8023" s="44" t="s">
        <v>1000</v>
      </c>
    </row>
    <row r="8024" spans="1:9" x14ac:dyDescent="0.25">
      <c r="A8024">
        <v>4122</v>
      </c>
      <c r="B8024">
        <v>18</v>
      </c>
      <c r="C8024" t="s">
        <v>946</v>
      </c>
      <c r="D8024" t="s">
        <v>1009</v>
      </c>
      <c r="E8024" t="s">
        <v>290</v>
      </c>
      <c r="F8024" t="s">
        <v>948</v>
      </c>
      <c r="G8024">
        <v>1800000</v>
      </c>
      <c r="H8024">
        <v>143000</v>
      </c>
      <c r="I8024" t="s">
        <v>978</v>
      </c>
    </row>
    <row r="8025" spans="1:9" x14ac:dyDescent="0.25">
      <c r="A8025">
        <v>4124</v>
      </c>
      <c r="B8025">
        <v>18</v>
      </c>
      <c r="C8025" t="s">
        <v>946</v>
      </c>
      <c r="D8025" t="s">
        <v>1009</v>
      </c>
      <c r="E8025" t="s">
        <v>290</v>
      </c>
      <c r="F8025" t="s">
        <v>948</v>
      </c>
      <c r="G8025">
        <v>1877777</v>
      </c>
      <c r="H8025">
        <v>501100</v>
      </c>
      <c r="I8025" t="s">
        <v>949</v>
      </c>
    </row>
    <row r="8026" ht="22" customHeight="1" spans="1:10" x14ac:dyDescent="0.25">
      <c r="A8026" s="43">
        <v>3130</v>
      </c>
      <c r="B8026" s="43">
        <v>18</v>
      </c>
      <c r="C8026" s="43" t="s">
        <v>950</v>
      </c>
      <c r="D8026" s="43" t="s">
        <v>1009</v>
      </c>
      <c r="E8026" s="43" t="s">
        <v>294</v>
      </c>
      <c r="F8026" s="43" t="s">
        <v>951</v>
      </c>
      <c r="G8026" s="43">
        <v>1877777</v>
      </c>
      <c r="H8026" s="43">
        <v>501100</v>
      </c>
      <c r="I8026" s="43" t="s">
        <v>949</v>
      </c>
      <c r="J8026" s="44" t="s">
        <v>1000</v>
      </c>
    </row>
    <row r="8027" ht="22" customHeight="1" spans="1:10" x14ac:dyDescent="0.25">
      <c r="A8027" s="43">
        <v>3130</v>
      </c>
      <c r="B8027" s="43">
        <v>18</v>
      </c>
      <c r="C8027" s="43" t="s">
        <v>950</v>
      </c>
      <c r="D8027" s="43" t="s">
        <v>1009</v>
      </c>
      <c r="E8027" s="43" t="s">
        <v>294</v>
      </c>
      <c r="F8027" s="43" t="s">
        <v>952</v>
      </c>
      <c r="G8027" s="43">
        <v>1877777</v>
      </c>
      <c r="H8027" s="43">
        <v>501100</v>
      </c>
      <c r="I8027" s="43" t="s">
        <v>949</v>
      </c>
      <c r="J8027" s="44" t="s">
        <v>1000</v>
      </c>
    </row>
    <row r="8028" ht="22" customHeight="1" spans="1:10" x14ac:dyDescent="0.25">
      <c r="A8028" s="43">
        <v>3130</v>
      </c>
      <c r="B8028" s="43">
        <v>18</v>
      </c>
      <c r="C8028" s="43" t="s">
        <v>950</v>
      </c>
      <c r="D8028" s="43" t="s">
        <v>1009</v>
      </c>
      <c r="E8028" s="43" t="s">
        <v>294</v>
      </c>
      <c r="F8028" s="43" t="s">
        <v>953</v>
      </c>
      <c r="G8028" s="43">
        <v>1877777</v>
      </c>
      <c r="H8028" s="43">
        <v>501100</v>
      </c>
      <c r="I8028" s="43" t="s">
        <v>949</v>
      </c>
      <c r="J8028" s="44" t="s">
        <v>1000</v>
      </c>
    </row>
    <row r="8029" ht="22" customHeight="1" spans="1:10" x14ac:dyDescent="0.25">
      <c r="A8029" s="43">
        <v>3130</v>
      </c>
      <c r="B8029" s="43">
        <v>18</v>
      </c>
      <c r="C8029" s="43" t="s">
        <v>950</v>
      </c>
      <c r="D8029" s="43" t="s">
        <v>1009</v>
      </c>
      <c r="E8029" s="43" t="s">
        <v>294</v>
      </c>
      <c r="F8029" s="43" t="s">
        <v>954</v>
      </c>
      <c r="G8029" s="43">
        <v>1877777</v>
      </c>
      <c r="H8029" s="43">
        <v>501100</v>
      </c>
      <c r="I8029" s="43" t="s">
        <v>949</v>
      </c>
      <c r="J8029" s="44" t="s">
        <v>1000</v>
      </c>
    </row>
    <row r="8030" ht="22" customHeight="1" spans="1:10" x14ac:dyDescent="0.25">
      <c r="A8030" s="43">
        <v>3130</v>
      </c>
      <c r="B8030" s="43">
        <v>18</v>
      </c>
      <c r="C8030" s="43" t="s">
        <v>950</v>
      </c>
      <c r="D8030" s="43" t="s">
        <v>1009</v>
      </c>
      <c r="E8030" s="43" t="s">
        <v>294</v>
      </c>
      <c r="F8030" s="43" t="s">
        <v>955</v>
      </c>
      <c r="G8030" s="43">
        <v>1877777</v>
      </c>
      <c r="H8030" s="43">
        <v>501100</v>
      </c>
      <c r="I8030" s="43" t="s">
        <v>949</v>
      </c>
      <c r="J8030" s="44" t="s">
        <v>1000</v>
      </c>
    </row>
    <row r="8031" ht="22" customHeight="1" spans="1:10" x14ac:dyDescent="0.25">
      <c r="A8031" s="43">
        <v>3130</v>
      </c>
      <c r="B8031" s="43">
        <v>18</v>
      </c>
      <c r="C8031" s="43" t="s">
        <v>950</v>
      </c>
      <c r="D8031" s="43" t="s">
        <v>1009</v>
      </c>
      <c r="E8031" s="43" t="s">
        <v>294</v>
      </c>
      <c r="F8031" s="43" t="s">
        <v>956</v>
      </c>
      <c r="G8031" s="43">
        <v>1877777</v>
      </c>
      <c r="H8031" s="43">
        <v>501100</v>
      </c>
      <c r="I8031" s="43" t="s">
        <v>949</v>
      </c>
      <c r="J8031" s="44" t="s">
        <v>1000</v>
      </c>
    </row>
    <row r="8032" ht="22" customHeight="1" spans="1:10" x14ac:dyDescent="0.25">
      <c r="A8032" s="43">
        <v>3130</v>
      </c>
      <c r="B8032" s="43">
        <v>18</v>
      </c>
      <c r="C8032" s="43" t="s">
        <v>950</v>
      </c>
      <c r="D8032" s="43" t="s">
        <v>1009</v>
      </c>
      <c r="E8032" s="43" t="s">
        <v>294</v>
      </c>
      <c r="F8032" s="43" t="s">
        <v>957</v>
      </c>
      <c r="G8032" s="43">
        <v>1877777</v>
      </c>
      <c r="H8032" s="43">
        <v>501100</v>
      </c>
      <c r="I8032" s="43" t="s">
        <v>949</v>
      </c>
      <c r="J8032" s="44" t="s">
        <v>1000</v>
      </c>
    </row>
    <row r="8033" ht="22" customHeight="1" spans="1:10" x14ac:dyDescent="0.25">
      <c r="A8033" s="43">
        <v>3130</v>
      </c>
      <c r="B8033" s="43">
        <v>18</v>
      </c>
      <c r="C8033" s="43" t="s">
        <v>950</v>
      </c>
      <c r="D8033" s="43" t="s">
        <v>1009</v>
      </c>
      <c r="E8033" s="43" t="s">
        <v>294</v>
      </c>
      <c r="F8033" s="43" t="s">
        <v>958</v>
      </c>
      <c r="G8033" s="43">
        <v>1877777</v>
      </c>
      <c r="H8033" s="43">
        <v>501100</v>
      </c>
      <c r="I8033" s="43" t="s">
        <v>949</v>
      </c>
      <c r="J8033" s="44" t="s">
        <v>1000</v>
      </c>
    </row>
    <row r="8034" ht="22" customHeight="1" spans="1:10" x14ac:dyDescent="0.25">
      <c r="A8034" s="43">
        <v>3130</v>
      </c>
      <c r="B8034" s="43">
        <v>18</v>
      </c>
      <c r="C8034" s="43" t="s">
        <v>950</v>
      </c>
      <c r="D8034" s="43" t="s">
        <v>1009</v>
      </c>
      <c r="E8034" s="43" t="s">
        <v>294</v>
      </c>
      <c r="F8034" s="43" t="s">
        <v>959</v>
      </c>
      <c r="G8034" s="43">
        <v>1877777</v>
      </c>
      <c r="H8034" s="43">
        <v>501100</v>
      </c>
      <c r="I8034" s="43" t="s">
        <v>949</v>
      </c>
      <c r="J8034" s="44" t="s">
        <v>1000</v>
      </c>
    </row>
    <row r="8035" ht="22" customHeight="1" spans="1:10" x14ac:dyDescent="0.25">
      <c r="A8035" s="43">
        <v>3130</v>
      </c>
      <c r="B8035" s="43">
        <v>18</v>
      </c>
      <c r="C8035" s="43" t="s">
        <v>950</v>
      </c>
      <c r="D8035" s="43" t="s">
        <v>1009</v>
      </c>
      <c r="E8035" s="43" t="s">
        <v>294</v>
      </c>
      <c r="F8035" s="43" t="s">
        <v>960</v>
      </c>
      <c r="G8035" s="43">
        <v>1877777</v>
      </c>
      <c r="H8035" s="43">
        <v>501100</v>
      </c>
      <c r="I8035" s="43" t="s">
        <v>949</v>
      </c>
      <c r="J8035" s="44" t="s">
        <v>1000</v>
      </c>
    </row>
    <row r="8036" ht="22" customHeight="1" spans="1:10" x14ac:dyDescent="0.25">
      <c r="A8036" s="43">
        <v>3130</v>
      </c>
      <c r="B8036" s="43">
        <v>18</v>
      </c>
      <c r="C8036" s="43" t="s">
        <v>950</v>
      </c>
      <c r="D8036" s="43" t="s">
        <v>1009</v>
      </c>
      <c r="E8036" s="43" t="s">
        <v>294</v>
      </c>
      <c r="F8036" s="43" t="s">
        <v>961</v>
      </c>
      <c r="G8036" s="43">
        <v>1877777</v>
      </c>
      <c r="H8036" s="43">
        <v>501100</v>
      </c>
      <c r="I8036" s="43" t="s">
        <v>949</v>
      </c>
      <c r="J8036" s="44" t="s">
        <v>1000</v>
      </c>
    </row>
    <row r="8037" ht="22" customHeight="1" spans="1:10" x14ac:dyDescent="0.25">
      <c r="A8037" s="43">
        <v>3130</v>
      </c>
      <c r="B8037" s="43">
        <v>18</v>
      </c>
      <c r="C8037" s="43" t="s">
        <v>962</v>
      </c>
      <c r="D8037" s="43" t="s">
        <v>1009</v>
      </c>
      <c r="E8037" s="43" t="s">
        <v>294</v>
      </c>
      <c r="F8037" s="43" t="s">
        <v>951</v>
      </c>
      <c r="G8037" s="43">
        <v>1877777</v>
      </c>
      <c r="H8037" s="43">
        <v>501100</v>
      </c>
      <c r="I8037" s="43" t="s">
        <v>949</v>
      </c>
      <c r="J8037" s="44" t="s">
        <v>1000</v>
      </c>
    </row>
    <row r="8038" ht="22" customHeight="1" spans="1:10" x14ac:dyDescent="0.25">
      <c r="A8038" s="43">
        <v>3130</v>
      </c>
      <c r="B8038" s="43">
        <v>18</v>
      </c>
      <c r="C8038" s="43" t="s">
        <v>962</v>
      </c>
      <c r="D8038" s="43" t="s">
        <v>1009</v>
      </c>
      <c r="E8038" s="43" t="s">
        <v>294</v>
      </c>
      <c r="F8038" s="43" t="s">
        <v>952</v>
      </c>
      <c r="G8038" s="43">
        <v>1877777</v>
      </c>
      <c r="H8038" s="43">
        <v>501100</v>
      </c>
      <c r="I8038" s="43" t="s">
        <v>949</v>
      </c>
      <c r="J8038" s="44" t="s">
        <v>1000</v>
      </c>
    </row>
    <row r="8039" ht="22" customHeight="1" spans="1:10" x14ac:dyDescent="0.25">
      <c r="A8039" s="43">
        <v>3130</v>
      </c>
      <c r="B8039" s="43">
        <v>18</v>
      </c>
      <c r="C8039" s="43" t="s">
        <v>962</v>
      </c>
      <c r="D8039" s="43" t="s">
        <v>1009</v>
      </c>
      <c r="E8039" s="43" t="s">
        <v>294</v>
      </c>
      <c r="F8039" s="43" t="s">
        <v>953</v>
      </c>
      <c r="G8039" s="43">
        <v>1877777</v>
      </c>
      <c r="H8039" s="43">
        <v>501100</v>
      </c>
      <c r="I8039" s="43" t="s">
        <v>949</v>
      </c>
      <c r="J8039" s="44" t="s">
        <v>1000</v>
      </c>
    </row>
    <row r="8040" ht="22" customHeight="1" spans="1:10" x14ac:dyDescent="0.25">
      <c r="A8040" s="43">
        <v>3130</v>
      </c>
      <c r="B8040" s="43">
        <v>18</v>
      </c>
      <c r="C8040" s="43" t="s">
        <v>962</v>
      </c>
      <c r="D8040" s="43" t="s">
        <v>1009</v>
      </c>
      <c r="E8040" s="43" t="s">
        <v>294</v>
      </c>
      <c r="F8040" s="43" t="s">
        <v>954</v>
      </c>
      <c r="G8040" s="43">
        <v>1877777</v>
      </c>
      <c r="H8040" s="43">
        <v>501100</v>
      </c>
      <c r="I8040" s="43" t="s">
        <v>949</v>
      </c>
      <c r="J8040" s="44" t="s">
        <v>1000</v>
      </c>
    </row>
    <row r="8041" ht="22" customHeight="1" spans="1:10" x14ac:dyDescent="0.25">
      <c r="A8041" s="43">
        <v>3130</v>
      </c>
      <c r="B8041" s="43">
        <v>18</v>
      </c>
      <c r="C8041" s="43" t="s">
        <v>962</v>
      </c>
      <c r="D8041" s="43" t="s">
        <v>1009</v>
      </c>
      <c r="E8041" s="43" t="s">
        <v>294</v>
      </c>
      <c r="F8041" s="43" t="s">
        <v>955</v>
      </c>
      <c r="G8041" s="43">
        <v>1877777</v>
      </c>
      <c r="H8041" s="43">
        <v>501100</v>
      </c>
      <c r="I8041" s="43" t="s">
        <v>949</v>
      </c>
      <c r="J8041" s="44" t="s">
        <v>1000</v>
      </c>
    </row>
    <row r="8042" ht="22" customHeight="1" spans="1:10" x14ac:dyDescent="0.25">
      <c r="A8042" s="43">
        <v>3130</v>
      </c>
      <c r="B8042" s="43">
        <v>18</v>
      </c>
      <c r="C8042" s="43" t="s">
        <v>962</v>
      </c>
      <c r="D8042" s="43" t="s">
        <v>1009</v>
      </c>
      <c r="E8042" s="43" t="s">
        <v>294</v>
      </c>
      <c r="F8042" s="43" t="s">
        <v>956</v>
      </c>
      <c r="G8042" s="43">
        <v>1877777</v>
      </c>
      <c r="H8042" s="43">
        <v>501100</v>
      </c>
      <c r="I8042" s="43" t="s">
        <v>949</v>
      </c>
      <c r="J8042" s="44" t="s">
        <v>1000</v>
      </c>
    </row>
    <row r="8043" ht="22" customHeight="1" spans="1:10" x14ac:dyDescent="0.25">
      <c r="A8043" s="43">
        <v>3130</v>
      </c>
      <c r="B8043" s="43">
        <v>18</v>
      </c>
      <c r="C8043" s="43" t="s">
        <v>962</v>
      </c>
      <c r="D8043" s="43" t="s">
        <v>1009</v>
      </c>
      <c r="E8043" s="43" t="s">
        <v>294</v>
      </c>
      <c r="F8043" s="43" t="s">
        <v>957</v>
      </c>
      <c r="G8043" s="43">
        <v>1877777</v>
      </c>
      <c r="H8043" s="43">
        <v>501100</v>
      </c>
      <c r="I8043" s="43" t="s">
        <v>949</v>
      </c>
      <c r="J8043" s="44" t="s">
        <v>1000</v>
      </c>
    </row>
    <row r="8044" ht="22" customHeight="1" spans="1:10" x14ac:dyDescent="0.25">
      <c r="A8044" s="43">
        <v>3130</v>
      </c>
      <c r="B8044" s="43">
        <v>18</v>
      </c>
      <c r="C8044" s="43" t="s">
        <v>962</v>
      </c>
      <c r="D8044" s="43" t="s">
        <v>1009</v>
      </c>
      <c r="E8044" s="43" t="s">
        <v>294</v>
      </c>
      <c r="F8044" s="43" t="s">
        <v>958</v>
      </c>
      <c r="G8044" s="43">
        <v>1877777</v>
      </c>
      <c r="H8044" s="43">
        <v>501100</v>
      </c>
      <c r="I8044" s="43" t="s">
        <v>949</v>
      </c>
      <c r="J8044" s="44" t="s">
        <v>1000</v>
      </c>
    </row>
    <row r="8045" ht="22" customHeight="1" spans="1:10" x14ac:dyDescent="0.25">
      <c r="A8045" s="43">
        <v>3130</v>
      </c>
      <c r="B8045" s="43">
        <v>18</v>
      </c>
      <c r="C8045" s="43" t="s">
        <v>962</v>
      </c>
      <c r="D8045" s="43" t="s">
        <v>1009</v>
      </c>
      <c r="E8045" s="43" t="s">
        <v>294</v>
      </c>
      <c r="F8045" s="43" t="s">
        <v>959</v>
      </c>
      <c r="G8045" s="43">
        <v>1877777</v>
      </c>
      <c r="H8045" s="43">
        <v>501100</v>
      </c>
      <c r="I8045" s="43" t="s">
        <v>949</v>
      </c>
      <c r="J8045" s="44" t="s">
        <v>1000</v>
      </c>
    </row>
    <row r="8046" ht="22" customHeight="1" spans="1:10" x14ac:dyDescent="0.25">
      <c r="A8046" s="43">
        <v>3130</v>
      </c>
      <c r="B8046" s="43">
        <v>18</v>
      </c>
      <c r="C8046" s="43" t="s">
        <v>962</v>
      </c>
      <c r="D8046" s="43" t="s">
        <v>1009</v>
      </c>
      <c r="E8046" s="43" t="s">
        <v>294</v>
      </c>
      <c r="F8046" s="43" t="s">
        <v>960</v>
      </c>
      <c r="G8046" s="43">
        <v>1877777</v>
      </c>
      <c r="H8046" s="43">
        <v>501100</v>
      </c>
      <c r="I8046" s="43" t="s">
        <v>949</v>
      </c>
      <c r="J8046" s="44" t="s">
        <v>1000</v>
      </c>
    </row>
    <row r="8047" ht="22" customHeight="1" spans="1:10" x14ac:dyDescent="0.25">
      <c r="A8047" s="43">
        <v>3130</v>
      </c>
      <c r="B8047" s="43">
        <v>18</v>
      </c>
      <c r="C8047" s="43" t="s">
        <v>962</v>
      </c>
      <c r="D8047" s="43" t="s">
        <v>1009</v>
      </c>
      <c r="E8047" s="43" t="s">
        <v>294</v>
      </c>
      <c r="F8047" s="43" t="s">
        <v>961</v>
      </c>
      <c r="G8047" s="43">
        <v>1877777</v>
      </c>
      <c r="H8047" s="43">
        <v>501100</v>
      </c>
      <c r="I8047" s="43" t="s">
        <v>949</v>
      </c>
      <c r="J8047" s="44" t="s">
        <v>1000</v>
      </c>
    </row>
    <row r="8048" ht="22" customHeight="1" spans="1:10" x14ac:dyDescent="0.25">
      <c r="A8048" s="43">
        <v>3130</v>
      </c>
      <c r="B8048" s="43">
        <v>18</v>
      </c>
      <c r="C8048" s="43" t="s">
        <v>963</v>
      </c>
      <c r="D8048" s="43" t="s">
        <v>1009</v>
      </c>
      <c r="E8048" s="43" t="s">
        <v>294</v>
      </c>
      <c r="F8048" s="43" t="s">
        <v>951</v>
      </c>
      <c r="G8048" s="43">
        <v>1877777</v>
      </c>
      <c r="H8048" s="43">
        <v>501100</v>
      </c>
      <c r="I8048" s="43" t="s">
        <v>949</v>
      </c>
      <c r="J8048" s="44" t="s">
        <v>1000</v>
      </c>
    </row>
    <row r="8049" ht="22" customHeight="1" spans="1:10" x14ac:dyDescent="0.25">
      <c r="A8049" s="43">
        <v>3130</v>
      </c>
      <c r="B8049" s="43">
        <v>18</v>
      </c>
      <c r="C8049" s="43" t="s">
        <v>963</v>
      </c>
      <c r="D8049" s="43" t="s">
        <v>1009</v>
      </c>
      <c r="E8049" s="43" t="s">
        <v>294</v>
      </c>
      <c r="F8049" s="43" t="s">
        <v>952</v>
      </c>
      <c r="G8049" s="43">
        <v>1877777</v>
      </c>
      <c r="H8049" s="43">
        <v>501100</v>
      </c>
      <c r="I8049" s="43" t="s">
        <v>949</v>
      </c>
      <c r="J8049" s="44" t="s">
        <v>1000</v>
      </c>
    </row>
    <row r="8050" ht="22" customHeight="1" spans="1:10" x14ac:dyDescent="0.25">
      <c r="A8050" s="43">
        <v>3130</v>
      </c>
      <c r="B8050" s="43">
        <v>18</v>
      </c>
      <c r="C8050" s="43" t="s">
        <v>963</v>
      </c>
      <c r="D8050" s="43" t="s">
        <v>1009</v>
      </c>
      <c r="E8050" s="43" t="s">
        <v>294</v>
      </c>
      <c r="F8050" s="43" t="s">
        <v>953</v>
      </c>
      <c r="G8050" s="43">
        <v>1877777</v>
      </c>
      <c r="H8050" s="43">
        <v>501100</v>
      </c>
      <c r="I8050" s="43" t="s">
        <v>949</v>
      </c>
      <c r="J8050" s="44" t="s">
        <v>1000</v>
      </c>
    </row>
    <row r="8051" ht="22" customHeight="1" spans="1:10" x14ac:dyDescent="0.25">
      <c r="A8051" s="43">
        <v>3130</v>
      </c>
      <c r="B8051" s="43">
        <v>18</v>
      </c>
      <c r="C8051" s="43" t="s">
        <v>963</v>
      </c>
      <c r="D8051" s="43" t="s">
        <v>1009</v>
      </c>
      <c r="E8051" s="43" t="s">
        <v>294</v>
      </c>
      <c r="F8051" s="43" t="s">
        <v>954</v>
      </c>
      <c r="G8051" s="43">
        <v>1877777</v>
      </c>
      <c r="H8051" s="43">
        <v>501100</v>
      </c>
      <c r="I8051" s="43" t="s">
        <v>949</v>
      </c>
      <c r="J8051" s="44" t="s">
        <v>1000</v>
      </c>
    </row>
    <row r="8052" ht="22" customHeight="1" spans="1:10" x14ac:dyDescent="0.25">
      <c r="A8052" s="43">
        <v>3130</v>
      </c>
      <c r="B8052" s="43">
        <v>18</v>
      </c>
      <c r="C8052" s="43" t="s">
        <v>963</v>
      </c>
      <c r="D8052" s="43" t="s">
        <v>1009</v>
      </c>
      <c r="E8052" s="43" t="s">
        <v>294</v>
      </c>
      <c r="F8052" s="43" t="s">
        <v>955</v>
      </c>
      <c r="G8052" s="43">
        <v>1877777</v>
      </c>
      <c r="H8052" s="43">
        <v>501100</v>
      </c>
      <c r="I8052" s="43" t="s">
        <v>949</v>
      </c>
      <c r="J8052" s="44" t="s">
        <v>1000</v>
      </c>
    </row>
    <row r="8053" ht="22" customHeight="1" spans="1:10" x14ac:dyDescent="0.25">
      <c r="A8053" s="43">
        <v>3130</v>
      </c>
      <c r="B8053" s="43">
        <v>18</v>
      </c>
      <c r="C8053" s="43" t="s">
        <v>963</v>
      </c>
      <c r="D8053" s="43" t="s">
        <v>1009</v>
      </c>
      <c r="E8053" s="43" t="s">
        <v>294</v>
      </c>
      <c r="F8053" s="43" t="s">
        <v>956</v>
      </c>
      <c r="G8053" s="43">
        <v>1877777</v>
      </c>
      <c r="H8053" s="43">
        <v>501100</v>
      </c>
      <c r="I8053" s="43" t="s">
        <v>949</v>
      </c>
      <c r="J8053" s="44" t="s">
        <v>1000</v>
      </c>
    </row>
    <row r="8054" ht="22" customHeight="1" spans="1:10" x14ac:dyDescent="0.25">
      <c r="A8054" s="43">
        <v>3130</v>
      </c>
      <c r="B8054" s="43">
        <v>18</v>
      </c>
      <c r="C8054" s="43" t="s">
        <v>963</v>
      </c>
      <c r="D8054" s="43" t="s">
        <v>1009</v>
      </c>
      <c r="E8054" s="43" t="s">
        <v>294</v>
      </c>
      <c r="F8054" s="43" t="s">
        <v>957</v>
      </c>
      <c r="G8054" s="43">
        <v>1877777</v>
      </c>
      <c r="H8054" s="43">
        <v>501100</v>
      </c>
      <c r="I8054" s="43" t="s">
        <v>949</v>
      </c>
      <c r="J8054" s="44" t="s">
        <v>1000</v>
      </c>
    </row>
    <row r="8055" ht="22" customHeight="1" spans="1:10" x14ac:dyDescent="0.25">
      <c r="A8055" s="43">
        <v>3130</v>
      </c>
      <c r="B8055" s="43">
        <v>18</v>
      </c>
      <c r="C8055" s="43" t="s">
        <v>963</v>
      </c>
      <c r="D8055" s="43" t="s">
        <v>1009</v>
      </c>
      <c r="E8055" s="43" t="s">
        <v>294</v>
      </c>
      <c r="F8055" s="43" t="s">
        <v>958</v>
      </c>
      <c r="G8055" s="43">
        <v>1877777</v>
      </c>
      <c r="H8055" s="43">
        <v>501100</v>
      </c>
      <c r="I8055" s="43" t="s">
        <v>949</v>
      </c>
      <c r="J8055" s="44" t="s">
        <v>1000</v>
      </c>
    </row>
    <row r="8056" ht="22" customHeight="1" spans="1:10" x14ac:dyDescent="0.25">
      <c r="A8056" s="43">
        <v>3130</v>
      </c>
      <c r="B8056" s="43">
        <v>18</v>
      </c>
      <c r="C8056" s="43" t="s">
        <v>963</v>
      </c>
      <c r="D8056" s="43" t="s">
        <v>1009</v>
      </c>
      <c r="E8056" s="43" t="s">
        <v>294</v>
      </c>
      <c r="F8056" s="43" t="s">
        <v>959</v>
      </c>
      <c r="G8056" s="43">
        <v>1877777</v>
      </c>
      <c r="H8056" s="43">
        <v>501100</v>
      </c>
      <c r="I8056" s="43" t="s">
        <v>949</v>
      </c>
      <c r="J8056" s="44" t="s">
        <v>1000</v>
      </c>
    </row>
    <row r="8057" ht="22" customHeight="1" spans="1:10" x14ac:dyDescent="0.25">
      <c r="A8057" s="43">
        <v>3130</v>
      </c>
      <c r="B8057" s="43">
        <v>18</v>
      </c>
      <c r="C8057" s="43" t="s">
        <v>963</v>
      </c>
      <c r="D8057" s="43" t="s">
        <v>1009</v>
      </c>
      <c r="E8057" s="43" t="s">
        <v>294</v>
      </c>
      <c r="F8057" s="43" t="s">
        <v>960</v>
      </c>
      <c r="G8057" s="43">
        <v>1877777</v>
      </c>
      <c r="H8057" s="43">
        <v>501100</v>
      </c>
      <c r="I8057" s="43" t="s">
        <v>949</v>
      </c>
      <c r="J8057" s="44" t="s">
        <v>1000</v>
      </c>
    </row>
    <row r="8058" ht="22" customHeight="1" spans="1:10" x14ac:dyDescent="0.25">
      <c r="A8058" s="43">
        <v>3130</v>
      </c>
      <c r="B8058" s="43">
        <v>18</v>
      </c>
      <c r="C8058" s="43" t="s">
        <v>963</v>
      </c>
      <c r="D8058" s="43" t="s">
        <v>1009</v>
      </c>
      <c r="E8058" s="43" t="s">
        <v>294</v>
      </c>
      <c r="F8058" s="43" t="s">
        <v>961</v>
      </c>
      <c r="G8058" s="43">
        <v>1877777</v>
      </c>
      <c r="H8058" s="43">
        <v>501100</v>
      </c>
      <c r="I8058" s="43" t="s">
        <v>949</v>
      </c>
      <c r="J8058" s="44" t="s">
        <v>1000</v>
      </c>
    </row>
    <row r="8059" spans="1:9" x14ac:dyDescent="0.25">
      <c r="A8059">
        <v>4122</v>
      </c>
      <c r="B8059">
        <v>18</v>
      </c>
      <c r="C8059" t="s">
        <v>946</v>
      </c>
      <c r="D8059" t="s">
        <v>1009</v>
      </c>
      <c r="E8059" t="s">
        <v>294</v>
      </c>
      <c r="F8059" t="s">
        <v>948</v>
      </c>
      <c r="G8059">
        <v>1800000</v>
      </c>
      <c r="H8059">
        <v>143000</v>
      </c>
      <c r="I8059" t="s">
        <v>979</v>
      </c>
    </row>
    <row r="8060" spans="1:9" x14ac:dyDescent="0.25">
      <c r="A8060">
        <v>4124</v>
      </c>
      <c r="B8060">
        <v>18</v>
      </c>
      <c r="C8060" t="s">
        <v>946</v>
      </c>
      <c r="D8060" t="s">
        <v>1009</v>
      </c>
      <c r="E8060" t="s">
        <v>294</v>
      </c>
      <c r="F8060" t="s">
        <v>948</v>
      </c>
      <c r="G8060">
        <v>1877777</v>
      </c>
      <c r="H8060">
        <v>501100</v>
      </c>
      <c r="I8060" t="s">
        <v>949</v>
      </c>
    </row>
    <row r="8061" ht="22" customHeight="1" spans="1:10" x14ac:dyDescent="0.25">
      <c r="A8061" s="43">
        <v>3130</v>
      </c>
      <c r="B8061" s="43">
        <v>18</v>
      </c>
      <c r="C8061" s="43" t="s">
        <v>950</v>
      </c>
      <c r="D8061" s="43" t="s">
        <v>1009</v>
      </c>
      <c r="E8061" s="43" t="s">
        <v>980</v>
      </c>
      <c r="F8061" s="43" t="s">
        <v>951</v>
      </c>
      <c r="G8061" s="43">
        <v>1877777</v>
      </c>
      <c r="H8061" s="43">
        <v>501100</v>
      </c>
      <c r="I8061" s="43" t="s">
        <v>949</v>
      </c>
      <c r="J8061" s="44" t="s">
        <v>1000</v>
      </c>
    </row>
    <row r="8062" ht="22" customHeight="1" spans="1:10" x14ac:dyDescent="0.25">
      <c r="A8062" s="43">
        <v>3130</v>
      </c>
      <c r="B8062" s="43">
        <v>18</v>
      </c>
      <c r="C8062" s="43" t="s">
        <v>950</v>
      </c>
      <c r="D8062" s="43" t="s">
        <v>1009</v>
      </c>
      <c r="E8062" s="43" t="s">
        <v>980</v>
      </c>
      <c r="F8062" s="43" t="s">
        <v>952</v>
      </c>
      <c r="G8062" s="43">
        <v>1877777</v>
      </c>
      <c r="H8062" s="43">
        <v>501100</v>
      </c>
      <c r="I8062" s="43" t="s">
        <v>949</v>
      </c>
      <c r="J8062" s="44" t="s">
        <v>1000</v>
      </c>
    </row>
    <row r="8063" ht="22" customHeight="1" spans="1:10" x14ac:dyDescent="0.25">
      <c r="A8063" s="43">
        <v>3130</v>
      </c>
      <c r="B8063" s="43">
        <v>18</v>
      </c>
      <c r="C8063" s="43" t="s">
        <v>950</v>
      </c>
      <c r="D8063" s="43" t="s">
        <v>1009</v>
      </c>
      <c r="E8063" s="43" t="s">
        <v>980</v>
      </c>
      <c r="F8063" s="43" t="s">
        <v>953</v>
      </c>
      <c r="G8063" s="43">
        <v>1877777</v>
      </c>
      <c r="H8063" s="43">
        <v>501100</v>
      </c>
      <c r="I8063" s="43" t="s">
        <v>949</v>
      </c>
      <c r="J8063" s="44" t="s">
        <v>1000</v>
      </c>
    </row>
    <row r="8064" ht="22" customHeight="1" spans="1:10" x14ac:dyDescent="0.25">
      <c r="A8064" s="43">
        <v>3130</v>
      </c>
      <c r="B8064" s="43">
        <v>18</v>
      </c>
      <c r="C8064" s="43" t="s">
        <v>950</v>
      </c>
      <c r="D8064" s="43" t="s">
        <v>1009</v>
      </c>
      <c r="E8064" s="43" t="s">
        <v>980</v>
      </c>
      <c r="F8064" s="43" t="s">
        <v>954</v>
      </c>
      <c r="G8064" s="43">
        <v>1877777</v>
      </c>
      <c r="H8064" s="43">
        <v>501100</v>
      </c>
      <c r="I8064" s="43" t="s">
        <v>949</v>
      </c>
      <c r="J8064" s="44" t="s">
        <v>1000</v>
      </c>
    </row>
    <row r="8065" ht="22" customHeight="1" spans="1:10" x14ac:dyDescent="0.25">
      <c r="A8065" s="43">
        <v>3130</v>
      </c>
      <c r="B8065" s="43">
        <v>18</v>
      </c>
      <c r="C8065" s="43" t="s">
        <v>950</v>
      </c>
      <c r="D8065" s="43" t="s">
        <v>1009</v>
      </c>
      <c r="E8065" s="43" t="s">
        <v>980</v>
      </c>
      <c r="F8065" s="43" t="s">
        <v>955</v>
      </c>
      <c r="G8065" s="43">
        <v>1877777</v>
      </c>
      <c r="H8065" s="43">
        <v>501100</v>
      </c>
      <c r="I8065" s="43" t="s">
        <v>949</v>
      </c>
      <c r="J8065" s="44" t="s">
        <v>1000</v>
      </c>
    </row>
    <row r="8066" ht="22" customHeight="1" spans="1:10" x14ac:dyDescent="0.25">
      <c r="A8066" s="43">
        <v>3130</v>
      </c>
      <c r="B8066" s="43">
        <v>18</v>
      </c>
      <c r="C8066" s="43" t="s">
        <v>950</v>
      </c>
      <c r="D8066" s="43" t="s">
        <v>1009</v>
      </c>
      <c r="E8066" s="43" t="s">
        <v>980</v>
      </c>
      <c r="F8066" s="43" t="s">
        <v>956</v>
      </c>
      <c r="G8066" s="43">
        <v>1877777</v>
      </c>
      <c r="H8066" s="43">
        <v>501100</v>
      </c>
      <c r="I8066" s="43" t="s">
        <v>949</v>
      </c>
      <c r="J8066" s="44" t="s">
        <v>1000</v>
      </c>
    </row>
    <row r="8067" ht="22" customHeight="1" spans="1:10" x14ac:dyDescent="0.25">
      <c r="A8067" s="43">
        <v>3130</v>
      </c>
      <c r="B8067" s="43">
        <v>18</v>
      </c>
      <c r="C8067" s="43" t="s">
        <v>950</v>
      </c>
      <c r="D8067" s="43" t="s">
        <v>1009</v>
      </c>
      <c r="E8067" s="43" t="s">
        <v>980</v>
      </c>
      <c r="F8067" s="43" t="s">
        <v>957</v>
      </c>
      <c r="G8067" s="43">
        <v>1877777</v>
      </c>
      <c r="H8067" s="43">
        <v>501100</v>
      </c>
      <c r="I8067" s="43" t="s">
        <v>949</v>
      </c>
      <c r="J8067" s="44" t="s">
        <v>1000</v>
      </c>
    </row>
    <row r="8068" ht="22" customHeight="1" spans="1:10" x14ac:dyDescent="0.25">
      <c r="A8068" s="43">
        <v>3130</v>
      </c>
      <c r="B8068" s="43">
        <v>18</v>
      </c>
      <c r="C8068" s="43" t="s">
        <v>950</v>
      </c>
      <c r="D8068" s="43" t="s">
        <v>1009</v>
      </c>
      <c r="E8068" s="43" t="s">
        <v>980</v>
      </c>
      <c r="F8068" s="43" t="s">
        <v>958</v>
      </c>
      <c r="G8068" s="43">
        <v>1877777</v>
      </c>
      <c r="H8068" s="43">
        <v>501100</v>
      </c>
      <c r="I8068" s="43" t="s">
        <v>949</v>
      </c>
      <c r="J8068" s="44" t="s">
        <v>1000</v>
      </c>
    </row>
    <row r="8069" ht="22" customHeight="1" spans="1:10" x14ac:dyDescent="0.25">
      <c r="A8069" s="43">
        <v>3130</v>
      </c>
      <c r="B8069" s="43">
        <v>18</v>
      </c>
      <c r="C8069" s="43" t="s">
        <v>950</v>
      </c>
      <c r="D8069" s="43" t="s">
        <v>1009</v>
      </c>
      <c r="E8069" s="43" t="s">
        <v>980</v>
      </c>
      <c r="F8069" s="43" t="s">
        <v>959</v>
      </c>
      <c r="G8069" s="43">
        <v>1877777</v>
      </c>
      <c r="H8069" s="43">
        <v>501100</v>
      </c>
      <c r="I8069" s="43" t="s">
        <v>949</v>
      </c>
      <c r="J8069" s="44" t="s">
        <v>1000</v>
      </c>
    </row>
    <row r="8070" ht="22" customHeight="1" spans="1:10" x14ac:dyDescent="0.25">
      <c r="A8070" s="43">
        <v>3130</v>
      </c>
      <c r="B8070" s="43">
        <v>18</v>
      </c>
      <c r="C8070" s="43" t="s">
        <v>950</v>
      </c>
      <c r="D8070" s="43" t="s">
        <v>1009</v>
      </c>
      <c r="E8070" s="43" t="s">
        <v>980</v>
      </c>
      <c r="F8070" s="43" t="s">
        <v>960</v>
      </c>
      <c r="G8070" s="43">
        <v>1877777</v>
      </c>
      <c r="H8070" s="43">
        <v>501100</v>
      </c>
      <c r="I8070" s="43" t="s">
        <v>949</v>
      </c>
      <c r="J8070" s="44" t="s">
        <v>1000</v>
      </c>
    </row>
    <row r="8071" ht="22" customHeight="1" spans="1:10" x14ac:dyDescent="0.25">
      <c r="A8071" s="43">
        <v>3130</v>
      </c>
      <c r="B8071" s="43">
        <v>18</v>
      </c>
      <c r="C8071" s="43" t="s">
        <v>950</v>
      </c>
      <c r="D8071" s="43" t="s">
        <v>1009</v>
      </c>
      <c r="E8071" s="43" t="s">
        <v>980</v>
      </c>
      <c r="F8071" s="43" t="s">
        <v>961</v>
      </c>
      <c r="G8071" s="43">
        <v>1877777</v>
      </c>
      <c r="H8071" s="43">
        <v>501100</v>
      </c>
      <c r="I8071" s="43" t="s">
        <v>949</v>
      </c>
      <c r="J8071" s="44" t="s">
        <v>1000</v>
      </c>
    </row>
    <row r="8072" ht="22" customHeight="1" spans="1:10" x14ac:dyDescent="0.25">
      <c r="A8072" s="43">
        <v>3130</v>
      </c>
      <c r="B8072" s="43">
        <v>18</v>
      </c>
      <c r="C8072" s="43" t="s">
        <v>962</v>
      </c>
      <c r="D8072" s="43" t="s">
        <v>1009</v>
      </c>
      <c r="E8072" s="43" t="s">
        <v>980</v>
      </c>
      <c r="F8072" s="43" t="s">
        <v>951</v>
      </c>
      <c r="G8072" s="43">
        <v>1877777</v>
      </c>
      <c r="H8072" s="43">
        <v>501100</v>
      </c>
      <c r="I8072" s="43" t="s">
        <v>949</v>
      </c>
      <c r="J8072" s="44" t="s">
        <v>1000</v>
      </c>
    </row>
    <row r="8073" ht="22" customHeight="1" spans="1:10" x14ac:dyDescent="0.25">
      <c r="A8073" s="43">
        <v>3130</v>
      </c>
      <c r="B8073" s="43">
        <v>18</v>
      </c>
      <c r="C8073" s="43" t="s">
        <v>962</v>
      </c>
      <c r="D8073" s="43" t="s">
        <v>1009</v>
      </c>
      <c r="E8073" s="43" t="s">
        <v>980</v>
      </c>
      <c r="F8073" s="43" t="s">
        <v>952</v>
      </c>
      <c r="G8073" s="43">
        <v>1877777</v>
      </c>
      <c r="H8073" s="43">
        <v>501100</v>
      </c>
      <c r="I8073" s="43" t="s">
        <v>949</v>
      </c>
      <c r="J8073" s="44" t="s">
        <v>1000</v>
      </c>
    </row>
    <row r="8074" ht="22" customHeight="1" spans="1:10" x14ac:dyDescent="0.25">
      <c r="A8074" s="43">
        <v>3130</v>
      </c>
      <c r="B8074" s="43">
        <v>18</v>
      </c>
      <c r="C8074" s="43" t="s">
        <v>962</v>
      </c>
      <c r="D8074" s="43" t="s">
        <v>1009</v>
      </c>
      <c r="E8074" s="43" t="s">
        <v>980</v>
      </c>
      <c r="F8074" s="43" t="s">
        <v>953</v>
      </c>
      <c r="G8074" s="43">
        <v>1877777</v>
      </c>
      <c r="H8074" s="43">
        <v>501100</v>
      </c>
      <c r="I8074" s="43" t="s">
        <v>949</v>
      </c>
      <c r="J8074" s="44" t="s">
        <v>1000</v>
      </c>
    </row>
    <row r="8075" ht="22" customHeight="1" spans="1:10" x14ac:dyDescent="0.25">
      <c r="A8075" s="43">
        <v>3130</v>
      </c>
      <c r="B8075" s="43">
        <v>18</v>
      </c>
      <c r="C8075" s="43" t="s">
        <v>962</v>
      </c>
      <c r="D8075" s="43" t="s">
        <v>1009</v>
      </c>
      <c r="E8075" s="43" t="s">
        <v>980</v>
      </c>
      <c r="F8075" s="43" t="s">
        <v>954</v>
      </c>
      <c r="G8075" s="43">
        <v>1877777</v>
      </c>
      <c r="H8075" s="43">
        <v>501100</v>
      </c>
      <c r="I8075" s="43" t="s">
        <v>949</v>
      </c>
      <c r="J8075" s="44" t="s">
        <v>1000</v>
      </c>
    </row>
    <row r="8076" ht="22" customHeight="1" spans="1:10" x14ac:dyDescent="0.25">
      <c r="A8076" s="43">
        <v>3130</v>
      </c>
      <c r="B8076" s="43">
        <v>18</v>
      </c>
      <c r="C8076" s="43" t="s">
        <v>962</v>
      </c>
      <c r="D8076" s="43" t="s">
        <v>1009</v>
      </c>
      <c r="E8076" s="43" t="s">
        <v>980</v>
      </c>
      <c r="F8076" s="43" t="s">
        <v>955</v>
      </c>
      <c r="G8076" s="43">
        <v>1877777</v>
      </c>
      <c r="H8076" s="43">
        <v>501100</v>
      </c>
      <c r="I8076" s="43" t="s">
        <v>949</v>
      </c>
      <c r="J8076" s="44" t="s">
        <v>1000</v>
      </c>
    </row>
    <row r="8077" ht="22" customHeight="1" spans="1:10" x14ac:dyDescent="0.25">
      <c r="A8077" s="43">
        <v>3130</v>
      </c>
      <c r="B8077" s="43">
        <v>18</v>
      </c>
      <c r="C8077" s="43" t="s">
        <v>962</v>
      </c>
      <c r="D8077" s="43" t="s">
        <v>1009</v>
      </c>
      <c r="E8077" s="43" t="s">
        <v>980</v>
      </c>
      <c r="F8077" s="43" t="s">
        <v>956</v>
      </c>
      <c r="G8077" s="43">
        <v>1877777</v>
      </c>
      <c r="H8077" s="43">
        <v>501100</v>
      </c>
      <c r="I8077" s="43" t="s">
        <v>949</v>
      </c>
      <c r="J8077" s="44" t="s">
        <v>1000</v>
      </c>
    </row>
    <row r="8078" ht="22" customHeight="1" spans="1:10" x14ac:dyDescent="0.25">
      <c r="A8078" s="43">
        <v>3130</v>
      </c>
      <c r="B8078" s="43">
        <v>18</v>
      </c>
      <c r="C8078" s="43" t="s">
        <v>962</v>
      </c>
      <c r="D8078" s="43" t="s">
        <v>1009</v>
      </c>
      <c r="E8078" s="43" t="s">
        <v>980</v>
      </c>
      <c r="F8078" s="43" t="s">
        <v>957</v>
      </c>
      <c r="G8078" s="43">
        <v>1877777</v>
      </c>
      <c r="H8078" s="43">
        <v>501100</v>
      </c>
      <c r="I8078" s="43" t="s">
        <v>949</v>
      </c>
      <c r="J8078" s="44" t="s">
        <v>1000</v>
      </c>
    </row>
    <row r="8079" ht="22" customHeight="1" spans="1:10" x14ac:dyDescent="0.25">
      <c r="A8079" s="43">
        <v>3130</v>
      </c>
      <c r="B8079" s="43">
        <v>18</v>
      </c>
      <c r="C8079" s="43" t="s">
        <v>962</v>
      </c>
      <c r="D8079" s="43" t="s">
        <v>1009</v>
      </c>
      <c r="E8079" s="43" t="s">
        <v>980</v>
      </c>
      <c r="F8079" s="43" t="s">
        <v>958</v>
      </c>
      <c r="G8079" s="43">
        <v>1877777</v>
      </c>
      <c r="H8079" s="43">
        <v>501100</v>
      </c>
      <c r="I8079" s="43" t="s">
        <v>949</v>
      </c>
      <c r="J8079" s="44" t="s">
        <v>1000</v>
      </c>
    </row>
    <row r="8080" ht="22" customHeight="1" spans="1:10" x14ac:dyDescent="0.25">
      <c r="A8080" s="43">
        <v>3130</v>
      </c>
      <c r="B8080" s="43">
        <v>18</v>
      </c>
      <c r="C8080" s="43" t="s">
        <v>962</v>
      </c>
      <c r="D8080" s="43" t="s">
        <v>1009</v>
      </c>
      <c r="E8080" s="43" t="s">
        <v>980</v>
      </c>
      <c r="F8080" s="43" t="s">
        <v>959</v>
      </c>
      <c r="G8080" s="43">
        <v>1877777</v>
      </c>
      <c r="H8080" s="43">
        <v>501100</v>
      </c>
      <c r="I8080" s="43" t="s">
        <v>949</v>
      </c>
      <c r="J8080" s="44" t="s">
        <v>1000</v>
      </c>
    </row>
    <row r="8081" ht="22" customHeight="1" spans="1:10" x14ac:dyDescent="0.25">
      <c r="A8081" s="43">
        <v>3130</v>
      </c>
      <c r="B8081" s="43">
        <v>18</v>
      </c>
      <c r="C8081" s="43" t="s">
        <v>962</v>
      </c>
      <c r="D8081" s="43" t="s">
        <v>1009</v>
      </c>
      <c r="E8081" s="43" t="s">
        <v>980</v>
      </c>
      <c r="F8081" s="43" t="s">
        <v>960</v>
      </c>
      <c r="G8081" s="43">
        <v>1877777</v>
      </c>
      <c r="H8081" s="43">
        <v>501100</v>
      </c>
      <c r="I8081" s="43" t="s">
        <v>949</v>
      </c>
      <c r="J8081" s="44" t="s">
        <v>1000</v>
      </c>
    </row>
    <row r="8082" ht="22" customHeight="1" spans="1:10" x14ac:dyDescent="0.25">
      <c r="A8082" s="43">
        <v>3130</v>
      </c>
      <c r="B8082" s="43">
        <v>18</v>
      </c>
      <c r="C8082" s="43" t="s">
        <v>962</v>
      </c>
      <c r="D8082" s="43" t="s">
        <v>1009</v>
      </c>
      <c r="E8082" s="43" t="s">
        <v>980</v>
      </c>
      <c r="F8082" s="43" t="s">
        <v>961</v>
      </c>
      <c r="G8082" s="43">
        <v>1877777</v>
      </c>
      <c r="H8082" s="43">
        <v>501100</v>
      </c>
      <c r="I8082" s="43" t="s">
        <v>949</v>
      </c>
      <c r="J8082" s="44" t="s">
        <v>1000</v>
      </c>
    </row>
    <row r="8083" ht="22" customHeight="1" spans="1:10" x14ac:dyDescent="0.25">
      <c r="A8083" s="43">
        <v>3130</v>
      </c>
      <c r="B8083" s="43">
        <v>18</v>
      </c>
      <c r="C8083" s="43" t="s">
        <v>963</v>
      </c>
      <c r="D8083" s="43" t="s">
        <v>1009</v>
      </c>
      <c r="E8083" s="43" t="s">
        <v>980</v>
      </c>
      <c r="F8083" s="43" t="s">
        <v>951</v>
      </c>
      <c r="G8083" s="43">
        <v>1877777</v>
      </c>
      <c r="H8083" s="43">
        <v>501100</v>
      </c>
      <c r="I8083" s="43" t="s">
        <v>949</v>
      </c>
      <c r="J8083" s="44" t="s">
        <v>1000</v>
      </c>
    </row>
    <row r="8084" ht="22" customHeight="1" spans="1:10" x14ac:dyDescent="0.25">
      <c r="A8084" s="43">
        <v>3130</v>
      </c>
      <c r="B8084" s="43">
        <v>18</v>
      </c>
      <c r="C8084" s="43" t="s">
        <v>963</v>
      </c>
      <c r="D8084" s="43" t="s">
        <v>1009</v>
      </c>
      <c r="E8084" s="43" t="s">
        <v>980</v>
      </c>
      <c r="F8084" s="43" t="s">
        <v>952</v>
      </c>
      <c r="G8084" s="43">
        <v>1877777</v>
      </c>
      <c r="H8084" s="43">
        <v>501100</v>
      </c>
      <c r="I8084" s="43" t="s">
        <v>949</v>
      </c>
      <c r="J8084" s="44" t="s">
        <v>1000</v>
      </c>
    </row>
    <row r="8085" ht="22" customHeight="1" spans="1:10" x14ac:dyDescent="0.25">
      <c r="A8085" s="43">
        <v>3130</v>
      </c>
      <c r="B8085" s="43">
        <v>18</v>
      </c>
      <c r="C8085" s="43" t="s">
        <v>963</v>
      </c>
      <c r="D8085" s="43" t="s">
        <v>1009</v>
      </c>
      <c r="E8085" s="43" t="s">
        <v>980</v>
      </c>
      <c r="F8085" s="43" t="s">
        <v>953</v>
      </c>
      <c r="G8085" s="43">
        <v>1877777</v>
      </c>
      <c r="H8085" s="43">
        <v>501100</v>
      </c>
      <c r="I8085" s="43" t="s">
        <v>949</v>
      </c>
      <c r="J8085" s="44" t="s">
        <v>1000</v>
      </c>
    </row>
    <row r="8086" ht="22" customHeight="1" spans="1:10" x14ac:dyDescent="0.25">
      <c r="A8086" s="43">
        <v>3130</v>
      </c>
      <c r="B8086" s="43">
        <v>18</v>
      </c>
      <c r="C8086" s="43" t="s">
        <v>963</v>
      </c>
      <c r="D8086" s="43" t="s">
        <v>1009</v>
      </c>
      <c r="E8086" s="43" t="s">
        <v>980</v>
      </c>
      <c r="F8086" s="43" t="s">
        <v>954</v>
      </c>
      <c r="G8086" s="43">
        <v>1877777</v>
      </c>
      <c r="H8086" s="43">
        <v>501100</v>
      </c>
      <c r="I8086" s="43" t="s">
        <v>949</v>
      </c>
      <c r="J8086" s="44" t="s">
        <v>1000</v>
      </c>
    </row>
    <row r="8087" ht="22" customHeight="1" spans="1:10" x14ac:dyDescent="0.25">
      <c r="A8087" s="43">
        <v>3130</v>
      </c>
      <c r="B8087" s="43">
        <v>18</v>
      </c>
      <c r="C8087" s="43" t="s">
        <v>963</v>
      </c>
      <c r="D8087" s="43" t="s">
        <v>1009</v>
      </c>
      <c r="E8087" s="43" t="s">
        <v>980</v>
      </c>
      <c r="F8087" s="43" t="s">
        <v>955</v>
      </c>
      <c r="G8087" s="43">
        <v>1877777</v>
      </c>
      <c r="H8087" s="43">
        <v>501100</v>
      </c>
      <c r="I8087" s="43" t="s">
        <v>949</v>
      </c>
      <c r="J8087" s="44" t="s">
        <v>1000</v>
      </c>
    </row>
    <row r="8088" ht="22" customHeight="1" spans="1:10" x14ac:dyDescent="0.25">
      <c r="A8088" s="43">
        <v>3130</v>
      </c>
      <c r="B8088" s="43">
        <v>18</v>
      </c>
      <c r="C8088" s="43" t="s">
        <v>963</v>
      </c>
      <c r="D8088" s="43" t="s">
        <v>1009</v>
      </c>
      <c r="E8088" s="43" t="s">
        <v>980</v>
      </c>
      <c r="F8088" s="43" t="s">
        <v>956</v>
      </c>
      <c r="G8088" s="43">
        <v>1877777</v>
      </c>
      <c r="H8088" s="43">
        <v>501100</v>
      </c>
      <c r="I8088" s="43" t="s">
        <v>949</v>
      </c>
      <c r="J8088" s="44" t="s">
        <v>1000</v>
      </c>
    </row>
    <row r="8089" ht="22" customHeight="1" spans="1:10" x14ac:dyDescent="0.25">
      <c r="A8089" s="43">
        <v>3130</v>
      </c>
      <c r="B8089" s="43">
        <v>18</v>
      </c>
      <c r="C8089" s="43" t="s">
        <v>963</v>
      </c>
      <c r="D8089" s="43" t="s">
        <v>1009</v>
      </c>
      <c r="E8089" s="43" t="s">
        <v>980</v>
      </c>
      <c r="F8089" s="43" t="s">
        <v>957</v>
      </c>
      <c r="G8089" s="43">
        <v>1877777</v>
      </c>
      <c r="H8089" s="43">
        <v>501100</v>
      </c>
      <c r="I8089" s="43" t="s">
        <v>949</v>
      </c>
      <c r="J8089" s="44" t="s">
        <v>1000</v>
      </c>
    </row>
    <row r="8090" ht="22" customHeight="1" spans="1:10" x14ac:dyDescent="0.25">
      <c r="A8090" s="43">
        <v>3130</v>
      </c>
      <c r="B8090" s="43">
        <v>18</v>
      </c>
      <c r="C8090" s="43" t="s">
        <v>963</v>
      </c>
      <c r="D8090" s="43" t="s">
        <v>1009</v>
      </c>
      <c r="E8090" s="43" t="s">
        <v>980</v>
      </c>
      <c r="F8090" s="43" t="s">
        <v>958</v>
      </c>
      <c r="G8090" s="43">
        <v>1877777</v>
      </c>
      <c r="H8090" s="43">
        <v>501100</v>
      </c>
      <c r="I8090" s="43" t="s">
        <v>949</v>
      </c>
      <c r="J8090" s="44" t="s">
        <v>1000</v>
      </c>
    </row>
    <row r="8091" ht="22" customHeight="1" spans="1:10" x14ac:dyDescent="0.25">
      <c r="A8091" s="43">
        <v>3130</v>
      </c>
      <c r="B8091" s="43">
        <v>18</v>
      </c>
      <c r="C8091" s="43" t="s">
        <v>963</v>
      </c>
      <c r="D8091" s="43" t="s">
        <v>1009</v>
      </c>
      <c r="E8091" s="43" t="s">
        <v>980</v>
      </c>
      <c r="F8091" s="43" t="s">
        <v>959</v>
      </c>
      <c r="G8091" s="43">
        <v>1877777</v>
      </c>
      <c r="H8091" s="43">
        <v>501100</v>
      </c>
      <c r="I8091" s="43" t="s">
        <v>949</v>
      </c>
      <c r="J8091" s="44" t="s">
        <v>1000</v>
      </c>
    </row>
    <row r="8092" ht="22" customHeight="1" spans="1:10" x14ac:dyDescent="0.25">
      <c r="A8092" s="43">
        <v>3130</v>
      </c>
      <c r="B8092" s="43">
        <v>18</v>
      </c>
      <c r="C8092" s="43" t="s">
        <v>963</v>
      </c>
      <c r="D8092" s="43" t="s">
        <v>1009</v>
      </c>
      <c r="E8092" s="43" t="s">
        <v>980</v>
      </c>
      <c r="F8092" s="43" t="s">
        <v>960</v>
      </c>
      <c r="G8092" s="43">
        <v>1877777</v>
      </c>
      <c r="H8092" s="43">
        <v>501100</v>
      </c>
      <c r="I8092" s="43" t="s">
        <v>949</v>
      </c>
      <c r="J8092" s="44" t="s">
        <v>1000</v>
      </c>
    </row>
    <row r="8093" ht="22" customHeight="1" spans="1:10" x14ac:dyDescent="0.25">
      <c r="A8093" s="43">
        <v>3130</v>
      </c>
      <c r="B8093" s="43">
        <v>18</v>
      </c>
      <c r="C8093" s="43" t="s">
        <v>963</v>
      </c>
      <c r="D8093" s="43" t="s">
        <v>1009</v>
      </c>
      <c r="E8093" s="43" t="s">
        <v>980</v>
      </c>
      <c r="F8093" s="43" t="s">
        <v>961</v>
      </c>
      <c r="G8093" s="43">
        <v>1877777</v>
      </c>
      <c r="H8093" s="43">
        <v>501100</v>
      </c>
      <c r="I8093" s="43" t="s">
        <v>949</v>
      </c>
      <c r="J8093" s="44" t="s">
        <v>1000</v>
      </c>
    </row>
    <row r="8094" spans="1:9" x14ac:dyDescent="0.25">
      <c r="A8094">
        <v>4122</v>
      </c>
      <c r="B8094">
        <v>18</v>
      </c>
      <c r="C8094" t="s">
        <v>946</v>
      </c>
      <c r="D8094" t="s">
        <v>1009</v>
      </c>
      <c r="E8094" t="s">
        <v>980</v>
      </c>
      <c r="F8094" t="s">
        <v>948</v>
      </c>
      <c r="G8094">
        <v>1800000</v>
      </c>
      <c r="H8094">
        <v>141000</v>
      </c>
      <c r="I8094" t="s">
        <v>981</v>
      </c>
    </row>
    <row r="8095" spans="1:9" x14ac:dyDescent="0.25">
      <c r="A8095">
        <v>4124</v>
      </c>
      <c r="B8095">
        <v>18</v>
      </c>
      <c r="C8095" t="s">
        <v>946</v>
      </c>
      <c r="D8095" t="s">
        <v>1009</v>
      </c>
      <c r="E8095" t="s">
        <v>980</v>
      </c>
      <c r="F8095" t="s">
        <v>948</v>
      </c>
      <c r="G8095">
        <v>1877777</v>
      </c>
      <c r="H8095">
        <v>501100</v>
      </c>
      <c r="I8095" t="s">
        <v>949</v>
      </c>
    </row>
    <row r="8096" ht="22" customHeight="1" spans="1:10" x14ac:dyDescent="0.25">
      <c r="A8096" s="43">
        <v>3130</v>
      </c>
      <c r="B8096" s="43">
        <v>18</v>
      </c>
      <c r="C8096" s="43" t="s">
        <v>950</v>
      </c>
      <c r="D8096" s="43" t="s">
        <v>1009</v>
      </c>
      <c r="E8096" s="43" t="s">
        <v>302</v>
      </c>
      <c r="F8096" s="43" t="s">
        <v>951</v>
      </c>
      <c r="G8096" s="43">
        <v>1877777</v>
      </c>
      <c r="H8096" s="43">
        <v>501100</v>
      </c>
      <c r="I8096" s="43" t="s">
        <v>949</v>
      </c>
      <c r="J8096" s="44" t="s">
        <v>1000</v>
      </c>
    </row>
    <row r="8097" ht="22" customHeight="1" spans="1:10" x14ac:dyDescent="0.25">
      <c r="A8097" s="43">
        <v>3130</v>
      </c>
      <c r="B8097" s="43">
        <v>18</v>
      </c>
      <c r="C8097" s="43" t="s">
        <v>950</v>
      </c>
      <c r="D8097" s="43" t="s">
        <v>1009</v>
      </c>
      <c r="E8097" s="43" t="s">
        <v>302</v>
      </c>
      <c r="F8097" s="43" t="s">
        <v>952</v>
      </c>
      <c r="G8097" s="43">
        <v>1877777</v>
      </c>
      <c r="H8097" s="43">
        <v>501100</v>
      </c>
      <c r="I8097" s="43" t="s">
        <v>949</v>
      </c>
      <c r="J8097" s="44" t="s">
        <v>1000</v>
      </c>
    </row>
    <row r="8098" ht="22" customHeight="1" spans="1:10" x14ac:dyDescent="0.25">
      <c r="A8098" s="43">
        <v>3130</v>
      </c>
      <c r="B8098" s="43">
        <v>18</v>
      </c>
      <c r="C8098" s="43" t="s">
        <v>950</v>
      </c>
      <c r="D8098" s="43" t="s">
        <v>1009</v>
      </c>
      <c r="E8098" s="43" t="s">
        <v>302</v>
      </c>
      <c r="F8098" s="43" t="s">
        <v>953</v>
      </c>
      <c r="G8098" s="43">
        <v>1877777</v>
      </c>
      <c r="H8098" s="43">
        <v>501100</v>
      </c>
      <c r="I8098" s="43" t="s">
        <v>949</v>
      </c>
      <c r="J8098" s="44" t="s">
        <v>1000</v>
      </c>
    </row>
    <row r="8099" ht="22" customHeight="1" spans="1:10" x14ac:dyDescent="0.25">
      <c r="A8099" s="43">
        <v>3130</v>
      </c>
      <c r="B8099" s="43">
        <v>18</v>
      </c>
      <c r="C8099" s="43" t="s">
        <v>950</v>
      </c>
      <c r="D8099" s="43" t="s">
        <v>1009</v>
      </c>
      <c r="E8099" s="43" t="s">
        <v>302</v>
      </c>
      <c r="F8099" s="43" t="s">
        <v>954</v>
      </c>
      <c r="G8099" s="43">
        <v>1877777</v>
      </c>
      <c r="H8099" s="43">
        <v>501100</v>
      </c>
      <c r="I8099" s="43" t="s">
        <v>949</v>
      </c>
      <c r="J8099" s="44" t="s">
        <v>1000</v>
      </c>
    </row>
    <row r="8100" ht="22" customHeight="1" spans="1:10" x14ac:dyDescent="0.25">
      <c r="A8100" s="43">
        <v>3130</v>
      </c>
      <c r="B8100" s="43">
        <v>18</v>
      </c>
      <c r="C8100" s="43" t="s">
        <v>950</v>
      </c>
      <c r="D8100" s="43" t="s">
        <v>1009</v>
      </c>
      <c r="E8100" s="43" t="s">
        <v>302</v>
      </c>
      <c r="F8100" s="43" t="s">
        <v>955</v>
      </c>
      <c r="G8100" s="43">
        <v>1877777</v>
      </c>
      <c r="H8100" s="43">
        <v>501100</v>
      </c>
      <c r="I8100" s="43" t="s">
        <v>949</v>
      </c>
      <c r="J8100" s="44" t="s">
        <v>1000</v>
      </c>
    </row>
    <row r="8101" ht="22" customHeight="1" spans="1:10" x14ac:dyDescent="0.25">
      <c r="A8101" s="43">
        <v>3130</v>
      </c>
      <c r="B8101" s="43">
        <v>18</v>
      </c>
      <c r="C8101" s="43" t="s">
        <v>950</v>
      </c>
      <c r="D8101" s="43" t="s">
        <v>1009</v>
      </c>
      <c r="E8101" s="43" t="s">
        <v>302</v>
      </c>
      <c r="F8101" s="43" t="s">
        <v>956</v>
      </c>
      <c r="G8101" s="43">
        <v>1877777</v>
      </c>
      <c r="H8101" s="43">
        <v>501100</v>
      </c>
      <c r="I8101" s="43" t="s">
        <v>949</v>
      </c>
      <c r="J8101" s="44" t="s">
        <v>1000</v>
      </c>
    </row>
    <row r="8102" ht="22" customHeight="1" spans="1:10" x14ac:dyDescent="0.25">
      <c r="A8102" s="43">
        <v>3130</v>
      </c>
      <c r="B8102" s="43">
        <v>18</v>
      </c>
      <c r="C8102" s="43" t="s">
        <v>950</v>
      </c>
      <c r="D8102" s="43" t="s">
        <v>1009</v>
      </c>
      <c r="E8102" s="43" t="s">
        <v>302</v>
      </c>
      <c r="F8102" s="43" t="s">
        <v>957</v>
      </c>
      <c r="G8102" s="43">
        <v>1877777</v>
      </c>
      <c r="H8102" s="43">
        <v>501100</v>
      </c>
      <c r="I8102" s="43" t="s">
        <v>949</v>
      </c>
      <c r="J8102" s="44" t="s">
        <v>1000</v>
      </c>
    </row>
    <row r="8103" ht="22" customHeight="1" spans="1:10" x14ac:dyDescent="0.25">
      <c r="A8103" s="43">
        <v>3130</v>
      </c>
      <c r="B8103" s="43">
        <v>18</v>
      </c>
      <c r="C8103" s="43" t="s">
        <v>950</v>
      </c>
      <c r="D8103" s="43" t="s">
        <v>1009</v>
      </c>
      <c r="E8103" s="43" t="s">
        <v>302</v>
      </c>
      <c r="F8103" s="43" t="s">
        <v>958</v>
      </c>
      <c r="G8103" s="43">
        <v>1877777</v>
      </c>
      <c r="H8103" s="43">
        <v>501100</v>
      </c>
      <c r="I8103" s="43" t="s">
        <v>949</v>
      </c>
      <c r="J8103" s="44" t="s">
        <v>1000</v>
      </c>
    </row>
    <row r="8104" ht="22" customHeight="1" spans="1:10" x14ac:dyDescent="0.25">
      <c r="A8104" s="43">
        <v>3130</v>
      </c>
      <c r="B8104" s="43">
        <v>18</v>
      </c>
      <c r="C8104" s="43" t="s">
        <v>950</v>
      </c>
      <c r="D8104" s="43" t="s">
        <v>1009</v>
      </c>
      <c r="E8104" s="43" t="s">
        <v>302</v>
      </c>
      <c r="F8104" s="43" t="s">
        <v>959</v>
      </c>
      <c r="G8104" s="43">
        <v>1877777</v>
      </c>
      <c r="H8104" s="43">
        <v>501100</v>
      </c>
      <c r="I8104" s="43" t="s">
        <v>949</v>
      </c>
      <c r="J8104" s="44" t="s">
        <v>1000</v>
      </c>
    </row>
    <row r="8105" ht="22" customHeight="1" spans="1:10" x14ac:dyDescent="0.25">
      <c r="A8105" s="43">
        <v>3130</v>
      </c>
      <c r="B8105" s="43">
        <v>18</v>
      </c>
      <c r="C8105" s="43" t="s">
        <v>950</v>
      </c>
      <c r="D8105" s="43" t="s">
        <v>1009</v>
      </c>
      <c r="E8105" s="43" t="s">
        <v>302</v>
      </c>
      <c r="F8105" s="43" t="s">
        <v>960</v>
      </c>
      <c r="G8105" s="43">
        <v>1877777</v>
      </c>
      <c r="H8105" s="43">
        <v>501100</v>
      </c>
      <c r="I8105" s="43" t="s">
        <v>949</v>
      </c>
      <c r="J8105" s="44" t="s">
        <v>1000</v>
      </c>
    </row>
    <row r="8106" ht="22" customHeight="1" spans="1:10" x14ac:dyDescent="0.25">
      <c r="A8106" s="43">
        <v>3130</v>
      </c>
      <c r="B8106" s="43">
        <v>18</v>
      </c>
      <c r="C8106" s="43" t="s">
        <v>950</v>
      </c>
      <c r="D8106" s="43" t="s">
        <v>1009</v>
      </c>
      <c r="E8106" s="43" t="s">
        <v>302</v>
      </c>
      <c r="F8106" s="43" t="s">
        <v>961</v>
      </c>
      <c r="G8106" s="43">
        <v>1877777</v>
      </c>
      <c r="H8106" s="43">
        <v>501100</v>
      </c>
      <c r="I8106" s="43" t="s">
        <v>949</v>
      </c>
      <c r="J8106" s="44" t="s">
        <v>1000</v>
      </c>
    </row>
    <row r="8107" ht="22" customHeight="1" spans="1:10" x14ac:dyDescent="0.25">
      <c r="A8107" s="43">
        <v>3130</v>
      </c>
      <c r="B8107" s="43">
        <v>18</v>
      </c>
      <c r="C8107" s="43" t="s">
        <v>962</v>
      </c>
      <c r="D8107" s="43" t="s">
        <v>1009</v>
      </c>
      <c r="E8107" s="43" t="s">
        <v>302</v>
      </c>
      <c r="F8107" s="43" t="s">
        <v>951</v>
      </c>
      <c r="G8107" s="43">
        <v>1877777</v>
      </c>
      <c r="H8107" s="43">
        <v>501100</v>
      </c>
      <c r="I8107" s="43" t="s">
        <v>949</v>
      </c>
      <c r="J8107" s="44" t="s">
        <v>1000</v>
      </c>
    </row>
    <row r="8108" ht="22" customHeight="1" spans="1:10" x14ac:dyDescent="0.25">
      <c r="A8108" s="43">
        <v>3130</v>
      </c>
      <c r="B8108" s="43">
        <v>18</v>
      </c>
      <c r="C8108" s="43" t="s">
        <v>962</v>
      </c>
      <c r="D8108" s="43" t="s">
        <v>1009</v>
      </c>
      <c r="E8108" s="43" t="s">
        <v>302</v>
      </c>
      <c r="F8108" s="43" t="s">
        <v>952</v>
      </c>
      <c r="G8108" s="43">
        <v>1877777</v>
      </c>
      <c r="H8108" s="43">
        <v>501100</v>
      </c>
      <c r="I8108" s="43" t="s">
        <v>949</v>
      </c>
      <c r="J8108" s="44" t="s">
        <v>1000</v>
      </c>
    </row>
    <row r="8109" ht="22" customHeight="1" spans="1:10" x14ac:dyDescent="0.25">
      <c r="A8109" s="43">
        <v>3130</v>
      </c>
      <c r="B8109" s="43">
        <v>18</v>
      </c>
      <c r="C8109" s="43" t="s">
        <v>962</v>
      </c>
      <c r="D8109" s="43" t="s">
        <v>1009</v>
      </c>
      <c r="E8109" s="43" t="s">
        <v>302</v>
      </c>
      <c r="F8109" s="43" t="s">
        <v>953</v>
      </c>
      <c r="G8109" s="43">
        <v>1877777</v>
      </c>
      <c r="H8109" s="43">
        <v>501100</v>
      </c>
      <c r="I8109" s="43" t="s">
        <v>949</v>
      </c>
      <c r="J8109" s="44" t="s">
        <v>1000</v>
      </c>
    </row>
    <row r="8110" ht="22" customHeight="1" spans="1:10" x14ac:dyDescent="0.25">
      <c r="A8110" s="43">
        <v>3130</v>
      </c>
      <c r="B8110" s="43">
        <v>18</v>
      </c>
      <c r="C8110" s="43" t="s">
        <v>962</v>
      </c>
      <c r="D8110" s="43" t="s">
        <v>1009</v>
      </c>
      <c r="E8110" s="43" t="s">
        <v>302</v>
      </c>
      <c r="F8110" s="43" t="s">
        <v>954</v>
      </c>
      <c r="G8110" s="43">
        <v>1877777</v>
      </c>
      <c r="H8110" s="43">
        <v>501100</v>
      </c>
      <c r="I8110" s="43" t="s">
        <v>949</v>
      </c>
      <c r="J8110" s="44" t="s">
        <v>1000</v>
      </c>
    </row>
    <row r="8111" ht="22" customHeight="1" spans="1:10" x14ac:dyDescent="0.25">
      <c r="A8111" s="43">
        <v>3130</v>
      </c>
      <c r="B8111" s="43">
        <v>18</v>
      </c>
      <c r="C8111" s="43" t="s">
        <v>962</v>
      </c>
      <c r="D8111" s="43" t="s">
        <v>1009</v>
      </c>
      <c r="E8111" s="43" t="s">
        <v>302</v>
      </c>
      <c r="F8111" s="43" t="s">
        <v>955</v>
      </c>
      <c r="G8111" s="43">
        <v>1877777</v>
      </c>
      <c r="H8111" s="43">
        <v>501100</v>
      </c>
      <c r="I8111" s="43" t="s">
        <v>949</v>
      </c>
      <c r="J8111" s="44" t="s">
        <v>1000</v>
      </c>
    </row>
    <row r="8112" ht="22" customHeight="1" spans="1:10" x14ac:dyDescent="0.25">
      <c r="A8112" s="43">
        <v>3130</v>
      </c>
      <c r="B8112" s="43">
        <v>18</v>
      </c>
      <c r="C8112" s="43" t="s">
        <v>962</v>
      </c>
      <c r="D8112" s="43" t="s">
        <v>1009</v>
      </c>
      <c r="E8112" s="43" t="s">
        <v>302</v>
      </c>
      <c r="F8112" s="43" t="s">
        <v>956</v>
      </c>
      <c r="G8112" s="43">
        <v>1877777</v>
      </c>
      <c r="H8112" s="43">
        <v>501100</v>
      </c>
      <c r="I8112" s="43" t="s">
        <v>949</v>
      </c>
      <c r="J8112" s="44" t="s">
        <v>1000</v>
      </c>
    </row>
    <row r="8113" ht="22" customHeight="1" spans="1:10" x14ac:dyDescent="0.25">
      <c r="A8113" s="43">
        <v>3130</v>
      </c>
      <c r="B8113" s="43">
        <v>18</v>
      </c>
      <c r="C8113" s="43" t="s">
        <v>962</v>
      </c>
      <c r="D8113" s="43" t="s">
        <v>1009</v>
      </c>
      <c r="E8113" s="43" t="s">
        <v>302</v>
      </c>
      <c r="F8113" s="43" t="s">
        <v>957</v>
      </c>
      <c r="G8113" s="43">
        <v>1877777</v>
      </c>
      <c r="H8113" s="43">
        <v>501100</v>
      </c>
      <c r="I8113" s="43" t="s">
        <v>949</v>
      </c>
      <c r="J8113" s="44" t="s">
        <v>1000</v>
      </c>
    </row>
    <row r="8114" ht="22" customHeight="1" spans="1:10" x14ac:dyDescent="0.25">
      <c r="A8114" s="43">
        <v>3130</v>
      </c>
      <c r="B8114" s="43">
        <v>18</v>
      </c>
      <c r="C8114" s="43" t="s">
        <v>962</v>
      </c>
      <c r="D8114" s="43" t="s">
        <v>1009</v>
      </c>
      <c r="E8114" s="43" t="s">
        <v>302</v>
      </c>
      <c r="F8114" s="43" t="s">
        <v>958</v>
      </c>
      <c r="G8114" s="43">
        <v>1877777</v>
      </c>
      <c r="H8114" s="43">
        <v>501100</v>
      </c>
      <c r="I8114" s="43" t="s">
        <v>949</v>
      </c>
      <c r="J8114" s="44" t="s">
        <v>1000</v>
      </c>
    </row>
    <row r="8115" ht="22" customHeight="1" spans="1:10" x14ac:dyDescent="0.25">
      <c r="A8115" s="43">
        <v>3130</v>
      </c>
      <c r="B8115" s="43">
        <v>18</v>
      </c>
      <c r="C8115" s="43" t="s">
        <v>962</v>
      </c>
      <c r="D8115" s="43" t="s">
        <v>1009</v>
      </c>
      <c r="E8115" s="43" t="s">
        <v>302</v>
      </c>
      <c r="F8115" s="43" t="s">
        <v>959</v>
      </c>
      <c r="G8115" s="43">
        <v>1877777</v>
      </c>
      <c r="H8115" s="43">
        <v>501100</v>
      </c>
      <c r="I8115" s="43" t="s">
        <v>949</v>
      </c>
      <c r="J8115" s="44" t="s">
        <v>1000</v>
      </c>
    </row>
    <row r="8116" ht="22" customHeight="1" spans="1:10" x14ac:dyDescent="0.25">
      <c r="A8116" s="43">
        <v>3130</v>
      </c>
      <c r="B8116" s="43">
        <v>18</v>
      </c>
      <c r="C8116" s="43" t="s">
        <v>962</v>
      </c>
      <c r="D8116" s="43" t="s">
        <v>1009</v>
      </c>
      <c r="E8116" s="43" t="s">
        <v>302</v>
      </c>
      <c r="F8116" s="43" t="s">
        <v>960</v>
      </c>
      <c r="G8116" s="43">
        <v>1877777</v>
      </c>
      <c r="H8116" s="43">
        <v>501100</v>
      </c>
      <c r="I8116" s="43" t="s">
        <v>949</v>
      </c>
      <c r="J8116" s="44" t="s">
        <v>1000</v>
      </c>
    </row>
    <row r="8117" ht="22" customHeight="1" spans="1:10" x14ac:dyDescent="0.25">
      <c r="A8117" s="43">
        <v>3130</v>
      </c>
      <c r="B8117" s="43">
        <v>18</v>
      </c>
      <c r="C8117" s="43" t="s">
        <v>962</v>
      </c>
      <c r="D8117" s="43" t="s">
        <v>1009</v>
      </c>
      <c r="E8117" s="43" t="s">
        <v>302</v>
      </c>
      <c r="F8117" s="43" t="s">
        <v>961</v>
      </c>
      <c r="G8117" s="43">
        <v>1877777</v>
      </c>
      <c r="H8117" s="43">
        <v>501100</v>
      </c>
      <c r="I8117" s="43" t="s">
        <v>949</v>
      </c>
      <c r="J8117" s="44" t="s">
        <v>1000</v>
      </c>
    </row>
    <row r="8118" ht="22" customHeight="1" spans="1:10" x14ac:dyDescent="0.25">
      <c r="A8118" s="43">
        <v>3130</v>
      </c>
      <c r="B8118" s="43">
        <v>18</v>
      </c>
      <c r="C8118" s="43" t="s">
        <v>963</v>
      </c>
      <c r="D8118" s="43" t="s">
        <v>1009</v>
      </c>
      <c r="E8118" s="43" t="s">
        <v>302</v>
      </c>
      <c r="F8118" s="43" t="s">
        <v>951</v>
      </c>
      <c r="G8118" s="43">
        <v>1877777</v>
      </c>
      <c r="H8118" s="43">
        <v>501100</v>
      </c>
      <c r="I8118" s="43" t="s">
        <v>949</v>
      </c>
      <c r="J8118" s="44" t="s">
        <v>1000</v>
      </c>
    </row>
    <row r="8119" ht="22" customHeight="1" spans="1:10" x14ac:dyDescent="0.25">
      <c r="A8119" s="43">
        <v>3130</v>
      </c>
      <c r="B8119" s="43">
        <v>18</v>
      </c>
      <c r="C8119" s="43" t="s">
        <v>963</v>
      </c>
      <c r="D8119" s="43" t="s">
        <v>1009</v>
      </c>
      <c r="E8119" s="43" t="s">
        <v>302</v>
      </c>
      <c r="F8119" s="43" t="s">
        <v>952</v>
      </c>
      <c r="G8119" s="43">
        <v>1877777</v>
      </c>
      <c r="H8119" s="43">
        <v>501100</v>
      </c>
      <c r="I8119" s="43" t="s">
        <v>949</v>
      </c>
      <c r="J8119" s="44" t="s">
        <v>1000</v>
      </c>
    </row>
    <row r="8120" ht="22" customHeight="1" spans="1:10" x14ac:dyDescent="0.25">
      <c r="A8120" s="43">
        <v>3130</v>
      </c>
      <c r="B8120" s="43">
        <v>18</v>
      </c>
      <c r="C8120" s="43" t="s">
        <v>963</v>
      </c>
      <c r="D8120" s="43" t="s">
        <v>1009</v>
      </c>
      <c r="E8120" s="43" t="s">
        <v>302</v>
      </c>
      <c r="F8120" s="43" t="s">
        <v>953</v>
      </c>
      <c r="G8120" s="43">
        <v>1877777</v>
      </c>
      <c r="H8120" s="43">
        <v>501100</v>
      </c>
      <c r="I8120" s="43" t="s">
        <v>949</v>
      </c>
      <c r="J8120" s="44" t="s">
        <v>1000</v>
      </c>
    </row>
    <row r="8121" ht="22" customHeight="1" spans="1:10" x14ac:dyDescent="0.25">
      <c r="A8121" s="43">
        <v>3130</v>
      </c>
      <c r="B8121" s="43">
        <v>18</v>
      </c>
      <c r="C8121" s="43" t="s">
        <v>963</v>
      </c>
      <c r="D8121" s="43" t="s">
        <v>1009</v>
      </c>
      <c r="E8121" s="43" t="s">
        <v>302</v>
      </c>
      <c r="F8121" s="43" t="s">
        <v>954</v>
      </c>
      <c r="G8121" s="43">
        <v>1877777</v>
      </c>
      <c r="H8121" s="43">
        <v>501100</v>
      </c>
      <c r="I8121" s="43" t="s">
        <v>949</v>
      </c>
      <c r="J8121" s="44" t="s">
        <v>1000</v>
      </c>
    </row>
    <row r="8122" ht="22" customHeight="1" spans="1:10" x14ac:dyDescent="0.25">
      <c r="A8122" s="43">
        <v>3130</v>
      </c>
      <c r="B8122" s="43">
        <v>18</v>
      </c>
      <c r="C8122" s="43" t="s">
        <v>963</v>
      </c>
      <c r="D8122" s="43" t="s">
        <v>1009</v>
      </c>
      <c r="E8122" s="43" t="s">
        <v>302</v>
      </c>
      <c r="F8122" s="43" t="s">
        <v>955</v>
      </c>
      <c r="G8122" s="43">
        <v>1877777</v>
      </c>
      <c r="H8122" s="43">
        <v>501100</v>
      </c>
      <c r="I8122" s="43" t="s">
        <v>949</v>
      </c>
      <c r="J8122" s="44" t="s">
        <v>1000</v>
      </c>
    </row>
    <row r="8123" ht="22" customHeight="1" spans="1:10" x14ac:dyDescent="0.25">
      <c r="A8123" s="43">
        <v>3130</v>
      </c>
      <c r="B8123" s="43">
        <v>18</v>
      </c>
      <c r="C8123" s="43" t="s">
        <v>963</v>
      </c>
      <c r="D8123" s="43" t="s">
        <v>1009</v>
      </c>
      <c r="E8123" s="43" t="s">
        <v>302</v>
      </c>
      <c r="F8123" s="43" t="s">
        <v>956</v>
      </c>
      <c r="G8123" s="43">
        <v>1877777</v>
      </c>
      <c r="H8123" s="43">
        <v>501100</v>
      </c>
      <c r="I8123" s="43" t="s">
        <v>949</v>
      </c>
      <c r="J8123" s="44" t="s">
        <v>1000</v>
      </c>
    </row>
    <row r="8124" ht="22" customHeight="1" spans="1:10" x14ac:dyDescent="0.25">
      <c r="A8124" s="43">
        <v>3130</v>
      </c>
      <c r="B8124" s="43">
        <v>18</v>
      </c>
      <c r="C8124" s="43" t="s">
        <v>963</v>
      </c>
      <c r="D8124" s="43" t="s">
        <v>1009</v>
      </c>
      <c r="E8124" s="43" t="s">
        <v>302</v>
      </c>
      <c r="F8124" s="43" t="s">
        <v>957</v>
      </c>
      <c r="G8124" s="43">
        <v>1877777</v>
      </c>
      <c r="H8124" s="43">
        <v>501100</v>
      </c>
      <c r="I8124" s="43" t="s">
        <v>949</v>
      </c>
      <c r="J8124" s="44" t="s">
        <v>1000</v>
      </c>
    </row>
    <row r="8125" ht="22" customHeight="1" spans="1:10" x14ac:dyDescent="0.25">
      <c r="A8125" s="43">
        <v>3130</v>
      </c>
      <c r="B8125" s="43">
        <v>18</v>
      </c>
      <c r="C8125" s="43" t="s">
        <v>963</v>
      </c>
      <c r="D8125" s="43" t="s">
        <v>1009</v>
      </c>
      <c r="E8125" s="43" t="s">
        <v>302</v>
      </c>
      <c r="F8125" s="43" t="s">
        <v>958</v>
      </c>
      <c r="G8125" s="43">
        <v>1877777</v>
      </c>
      <c r="H8125" s="43">
        <v>501100</v>
      </c>
      <c r="I8125" s="43" t="s">
        <v>949</v>
      </c>
      <c r="J8125" s="44" t="s">
        <v>1000</v>
      </c>
    </row>
    <row r="8126" ht="22" customHeight="1" spans="1:10" x14ac:dyDescent="0.25">
      <c r="A8126" s="43">
        <v>3130</v>
      </c>
      <c r="B8126" s="43">
        <v>18</v>
      </c>
      <c r="C8126" s="43" t="s">
        <v>963</v>
      </c>
      <c r="D8126" s="43" t="s">
        <v>1009</v>
      </c>
      <c r="E8126" s="43" t="s">
        <v>302</v>
      </c>
      <c r="F8126" s="43" t="s">
        <v>959</v>
      </c>
      <c r="G8126" s="43">
        <v>1877777</v>
      </c>
      <c r="H8126" s="43">
        <v>501100</v>
      </c>
      <c r="I8126" s="43" t="s">
        <v>949</v>
      </c>
      <c r="J8126" s="44" t="s">
        <v>1000</v>
      </c>
    </row>
    <row r="8127" ht="22" customHeight="1" spans="1:10" x14ac:dyDescent="0.25">
      <c r="A8127" s="43">
        <v>3130</v>
      </c>
      <c r="B8127" s="43">
        <v>18</v>
      </c>
      <c r="C8127" s="43" t="s">
        <v>963</v>
      </c>
      <c r="D8127" s="43" t="s">
        <v>1009</v>
      </c>
      <c r="E8127" s="43" t="s">
        <v>302</v>
      </c>
      <c r="F8127" s="43" t="s">
        <v>960</v>
      </c>
      <c r="G8127" s="43">
        <v>1877777</v>
      </c>
      <c r="H8127" s="43">
        <v>501100</v>
      </c>
      <c r="I8127" s="43" t="s">
        <v>949</v>
      </c>
      <c r="J8127" s="44" t="s">
        <v>1000</v>
      </c>
    </row>
    <row r="8128" ht="22" customHeight="1" spans="1:10" x14ac:dyDescent="0.25">
      <c r="A8128" s="43">
        <v>3130</v>
      </c>
      <c r="B8128" s="43">
        <v>18</v>
      </c>
      <c r="C8128" s="43" t="s">
        <v>963</v>
      </c>
      <c r="D8128" s="43" t="s">
        <v>1009</v>
      </c>
      <c r="E8128" s="43" t="s">
        <v>302</v>
      </c>
      <c r="F8128" s="43" t="s">
        <v>961</v>
      </c>
      <c r="G8128" s="43">
        <v>1877777</v>
      </c>
      <c r="H8128" s="43">
        <v>501100</v>
      </c>
      <c r="I8128" s="43" t="s">
        <v>949</v>
      </c>
      <c r="J8128" s="44" t="s">
        <v>1000</v>
      </c>
    </row>
    <row r="8129" spans="1:9" x14ac:dyDescent="0.25">
      <c r="A8129">
        <v>4122</v>
      </c>
      <c r="B8129">
        <v>18</v>
      </c>
      <c r="C8129" t="s">
        <v>946</v>
      </c>
      <c r="D8129" t="s">
        <v>1009</v>
      </c>
      <c r="E8129" t="s">
        <v>302</v>
      </c>
      <c r="F8129" t="s">
        <v>948</v>
      </c>
      <c r="G8129">
        <v>1800000</v>
      </c>
      <c r="H8129">
        <v>143000</v>
      </c>
      <c r="I8129" t="s">
        <v>982</v>
      </c>
    </row>
    <row r="8130" spans="1:9" x14ac:dyDescent="0.25">
      <c r="A8130">
        <v>4124</v>
      </c>
      <c r="B8130">
        <v>18</v>
      </c>
      <c r="C8130" t="s">
        <v>946</v>
      </c>
      <c r="D8130" t="s">
        <v>1009</v>
      </c>
      <c r="E8130" t="s">
        <v>302</v>
      </c>
      <c r="F8130" t="s">
        <v>948</v>
      </c>
      <c r="G8130">
        <v>1877777</v>
      </c>
      <c r="H8130">
        <v>501100</v>
      </c>
      <c r="I8130" t="s">
        <v>949</v>
      </c>
    </row>
    <row r="8131" ht="22" customHeight="1" spans="1:10" x14ac:dyDescent="0.25">
      <c r="A8131" s="43">
        <v>3130</v>
      </c>
      <c r="B8131" s="43">
        <v>18</v>
      </c>
      <c r="C8131" s="43" t="s">
        <v>950</v>
      </c>
      <c r="D8131" s="43" t="s">
        <v>1009</v>
      </c>
      <c r="E8131" s="43" t="s">
        <v>306</v>
      </c>
      <c r="F8131" s="43" t="s">
        <v>951</v>
      </c>
      <c r="G8131" s="43">
        <v>1877777</v>
      </c>
      <c r="H8131" s="43">
        <v>501100</v>
      </c>
      <c r="I8131" s="43" t="s">
        <v>949</v>
      </c>
      <c r="J8131" s="44" t="s">
        <v>1000</v>
      </c>
    </row>
    <row r="8132" ht="22" customHeight="1" spans="1:10" x14ac:dyDescent="0.25">
      <c r="A8132" s="43">
        <v>3130</v>
      </c>
      <c r="B8132" s="43">
        <v>18</v>
      </c>
      <c r="C8132" s="43" t="s">
        <v>950</v>
      </c>
      <c r="D8132" s="43" t="s">
        <v>1009</v>
      </c>
      <c r="E8132" s="43" t="s">
        <v>306</v>
      </c>
      <c r="F8132" s="43" t="s">
        <v>952</v>
      </c>
      <c r="G8132" s="43">
        <v>1877777</v>
      </c>
      <c r="H8132" s="43">
        <v>501100</v>
      </c>
      <c r="I8132" s="43" t="s">
        <v>949</v>
      </c>
      <c r="J8132" s="44" t="s">
        <v>1000</v>
      </c>
    </row>
    <row r="8133" ht="22" customHeight="1" spans="1:10" x14ac:dyDescent="0.25">
      <c r="A8133" s="43">
        <v>3130</v>
      </c>
      <c r="B8133" s="43">
        <v>18</v>
      </c>
      <c r="C8133" s="43" t="s">
        <v>950</v>
      </c>
      <c r="D8133" s="43" t="s">
        <v>1009</v>
      </c>
      <c r="E8133" s="43" t="s">
        <v>306</v>
      </c>
      <c r="F8133" s="43" t="s">
        <v>953</v>
      </c>
      <c r="G8133" s="43">
        <v>1877777</v>
      </c>
      <c r="H8133" s="43">
        <v>501100</v>
      </c>
      <c r="I8133" s="43" t="s">
        <v>949</v>
      </c>
      <c r="J8133" s="44" t="s">
        <v>1000</v>
      </c>
    </row>
    <row r="8134" ht="22" customHeight="1" spans="1:10" x14ac:dyDescent="0.25">
      <c r="A8134" s="43">
        <v>3130</v>
      </c>
      <c r="B8134" s="43">
        <v>18</v>
      </c>
      <c r="C8134" s="43" t="s">
        <v>950</v>
      </c>
      <c r="D8134" s="43" t="s">
        <v>1009</v>
      </c>
      <c r="E8134" s="43" t="s">
        <v>306</v>
      </c>
      <c r="F8134" s="43" t="s">
        <v>954</v>
      </c>
      <c r="G8134" s="43">
        <v>1877777</v>
      </c>
      <c r="H8134" s="43">
        <v>501100</v>
      </c>
      <c r="I8134" s="43" t="s">
        <v>949</v>
      </c>
      <c r="J8134" s="44" t="s">
        <v>1000</v>
      </c>
    </row>
    <row r="8135" ht="22" customHeight="1" spans="1:10" x14ac:dyDescent="0.25">
      <c r="A8135" s="43">
        <v>3130</v>
      </c>
      <c r="B8135" s="43">
        <v>18</v>
      </c>
      <c r="C8135" s="43" t="s">
        <v>950</v>
      </c>
      <c r="D8135" s="43" t="s">
        <v>1009</v>
      </c>
      <c r="E8135" s="43" t="s">
        <v>306</v>
      </c>
      <c r="F8135" s="43" t="s">
        <v>955</v>
      </c>
      <c r="G8135" s="43">
        <v>1877777</v>
      </c>
      <c r="H8135" s="43">
        <v>501100</v>
      </c>
      <c r="I8135" s="43" t="s">
        <v>949</v>
      </c>
      <c r="J8135" s="44" t="s">
        <v>1000</v>
      </c>
    </row>
    <row r="8136" ht="22" customHeight="1" spans="1:10" x14ac:dyDescent="0.25">
      <c r="A8136" s="43">
        <v>3130</v>
      </c>
      <c r="B8136" s="43">
        <v>18</v>
      </c>
      <c r="C8136" s="43" t="s">
        <v>950</v>
      </c>
      <c r="D8136" s="43" t="s">
        <v>1009</v>
      </c>
      <c r="E8136" s="43" t="s">
        <v>306</v>
      </c>
      <c r="F8136" s="43" t="s">
        <v>956</v>
      </c>
      <c r="G8136" s="43">
        <v>1877777</v>
      </c>
      <c r="H8136" s="43">
        <v>501100</v>
      </c>
      <c r="I8136" s="43" t="s">
        <v>949</v>
      </c>
      <c r="J8136" s="44" t="s">
        <v>1000</v>
      </c>
    </row>
    <row r="8137" ht="22" customHeight="1" spans="1:10" x14ac:dyDescent="0.25">
      <c r="A8137" s="43">
        <v>3130</v>
      </c>
      <c r="B8137" s="43">
        <v>18</v>
      </c>
      <c r="C8137" s="43" t="s">
        <v>950</v>
      </c>
      <c r="D8137" s="43" t="s">
        <v>1009</v>
      </c>
      <c r="E8137" s="43" t="s">
        <v>306</v>
      </c>
      <c r="F8137" s="43" t="s">
        <v>957</v>
      </c>
      <c r="G8137" s="43">
        <v>1877777</v>
      </c>
      <c r="H8137" s="43">
        <v>501100</v>
      </c>
      <c r="I8137" s="43" t="s">
        <v>949</v>
      </c>
      <c r="J8137" s="44" t="s">
        <v>1000</v>
      </c>
    </row>
    <row r="8138" ht="22" customHeight="1" spans="1:10" x14ac:dyDescent="0.25">
      <c r="A8138" s="43">
        <v>3130</v>
      </c>
      <c r="B8138" s="43">
        <v>18</v>
      </c>
      <c r="C8138" s="43" t="s">
        <v>950</v>
      </c>
      <c r="D8138" s="43" t="s">
        <v>1009</v>
      </c>
      <c r="E8138" s="43" t="s">
        <v>306</v>
      </c>
      <c r="F8138" s="43" t="s">
        <v>958</v>
      </c>
      <c r="G8138" s="43">
        <v>1877777</v>
      </c>
      <c r="H8138" s="43">
        <v>501100</v>
      </c>
      <c r="I8138" s="43" t="s">
        <v>949</v>
      </c>
      <c r="J8138" s="44" t="s">
        <v>1000</v>
      </c>
    </row>
    <row r="8139" ht="22" customHeight="1" spans="1:10" x14ac:dyDescent="0.25">
      <c r="A8139" s="43">
        <v>3130</v>
      </c>
      <c r="B8139" s="43">
        <v>18</v>
      </c>
      <c r="C8139" s="43" t="s">
        <v>950</v>
      </c>
      <c r="D8139" s="43" t="s">
        <v>1009</v>
      </c>
      <c r="E8139" s="43" t="s">
        <v>306</v>
      </c>
      <c r="F8139" s="43" t="s">
        <v>959</v>
      </c>
      <c r="G8139" s="43">
        <v>1877777</v>
      </c>
      <c r="H8139" s="43">
        <v>501100</v>
      </c>
      <c r="I8139" s="43" t="s">
        <v>949</v>
      </c>
      <c r="J8139" s="44" t="s">
        <v>1000</v>
      </c>
    </row>
    <row r="8140" ht="22" customHeight="1" spans="1:10" x14ac:dyDescent="0.25">
      <c r="A8140" s="43">
        <v>3130</v>
      </c>
      <c r="B8140" s="43">
        <v>18</v>
      </c>
      <c r="C8140" s="43" t="s">
        <v>950</v>
      </c>
      <c r="D8140" s="43" t="s">
        <v>1009</v>
      </c>
      <c r="E8140" s="43" t="s">
        <v>306</v>
      </c>
      <c r="F8140" s="43" t="s">
        <v>960</v>
      </c>
      <c r="G8140" s="43">
        <v>1877777</v>
      </c>
      <c r="H8140" s="43">
        <v>501100</v>
      </c>
      <c r="I8140" s="43" t="s">
        <v>949</v>
      </c>
      <c r="J8140" s="44" t="s">
        <v>1000</v>
      </c>
    </row>
    <row r="8141" ht="22" customHeight="1" spans="1:10" x14ac:dyDescent="0.25">
      <c r="A8141" s="43">
        <v>3130</v>
      </c>
      <c r="B8141" s="43">
        <v>18</v>
      </c>
      <c r="C8141" s="43" t="s">
        <v>950</v>
      </c>
      <c r="D8141" s="43" t="s">
        <v>1009</v>
      </c>
      <c r="E8141" s="43" t="s">
        <v>306</v>
      </c>
      <c r="F8141" s="43" t="s">
        <v>961</v>
      </c>
      <c r="G8141" s="43">
        <v>1877777</v>
      </c>
      <c r="H8141" s="43">
        <v>501100</v>
      </c>
      <c r="I8141" s="43" t="s">
        <v>949</v>
      </c>
      <c r="J8141" s="44" t="s">
        <v>1000</v>
      </c>
    </row>
    <row r="8142" ht="22" customHeight="1" spans="1:10" x14ac:dyDescent="0.25">
      <c r="A8142" s="43">
        <v>3130</v>
      </c>
      <c r="B8142" s="43">
        <v>18</v>
      </c>
      <c r="C8142" s="43" t="s">
        <v>962</v>
      </c>
      <c r="D8142" s="43" t="s">
        <v>1009</v>
      </c>
      <c r="E8142" s="43" t="s">
        <v>306</v>
      </c>
      <c r="F8142" s="43" t="s">
        <v>951</v>
      </c>
      <c r="G8142" s="43">
        <v>1877777</v>
      </c>
      <c r="H8142" s="43">
        <v>501100</v>
      </c>
      <c r="I8142" s="43" t="s">
        <v>949</v>
      </c>
      <c r="J8142" s="44" t="s">
        <v>1000</v>
      </c>
    </row>
    <row r="8143" ht="22" customHeight="1" spans="1:10" x14ac:dyDescent="0.25">
      <c r="A8143" s="43">
        <v>3130</v>
      </c>
      <c r="B8143" s="43">
        <v>18</v>
      </c>
      <c r="C8143" s="43" t="s">
        <v>962</v>
      </c>
      <c r="D8143" s="43" t="s">
        <v>1009</v>
      </c>
      <c r="E8143" s="43" t="s">
        <v>306</v>
      </c>
      <c r="F8143" s="43" t="s">
        <v>952</v>
      </c>
      <c r="G8143" s="43">
        <v>1877777</v>
      </c>
      <c r="H8143" s="43">
        <v>501100</v>
      </c>
      <c r="I8143" s="43" t="s">
        <v>949</v>
      </c>
      <c r="J8143" s="44" t="s">
        <v>1000</v>
      </c>
    </row>
    <row r="8144" ht="22" customHeight="1" spans="1:10" x14ac:dyDescent="0.25">
      <c r="A8144" s="43">
        <v>3130</v>
      </c>
      <c r="B8144" s="43">
        <v>18</v>
      </c>
      <c r="C8144" s="43" t="s">
        <v>962</v>
      </c>
      <c r="D8144" s="43" t="s">
        <v>1009</v>
      </c>
      <c r="E8144" s="43" t="s">
        <v>306</v>
      </c>
      <c r="F8144" s="43" t="s">
        <v>953</v>
      </c>
      <c r="G8144" s="43">
        <v>1877777</v>
      </c>
      <c r="H8144" s="43">
        <v>501100</v>
      </c>
      <c r="I8144" s="43" t="s">
        <v>949</v>
      </c>
      <c r="J8144" s="44" t="s">
        <v>1000</v>
      </c>
    </row>
    <row r="8145" ht="22" customHeight="1" spans="1:10" x14ac:dyDescent="0.25">
      <c r="A8145" s="43">
        <v>3130</v>
      </c>
      <c r="B8145" s="43">
        <v>18</v>
      </c>
      <c r="C8145" s="43" t="s">
        <v>962</v>
      </c>
      <c r="D8145" s="43" t="s">
        <v>1009</v>
      </c>
      <c r="E8145" s="43" t="s">
        <v>306</v>
      </c>
      <c r="F8145" s="43" t="s">
        <v>954</v>
      </c>
      <c r="G8145" s="43">
        <v>1877777</v>
      </c>
      <c r="H8145" s="43">
        <v>501100</v>
      </c>
      <c r="I8145" s="43" t="s">
        <v>949</v>
      </c>
      <c r="J8145" s="44" t="s">
        <v>1000</v>
      </c>
    </row>
    <row r="8146" ht="22" customHeight="1" spans="1:10" x14ac:dyDescent="0.25">
      <c r="A8146" s="43">
        <v>3130</v>
      </c>
      <c r="B8146" s="43">
        <v>18</v>
      </c>
      <c r="C8146" s="43" t="s">
        <v>962</v>
      </c>
      <c r="D8146" s="43" t="s">
        <v>1009</v>
      </c>
      <c r="E8146" s="43" t="s">
        <v>306</v>
      </c>
      <c r="F8146" s="43" t="s">
        <v>955</v>
      </c>
      <c r="G8146" s="43">
        <v>1877777</v>
      </c>
      <c r="H8146" s="43">
        <v>501100</v>
      </c>
      <c r="I8146" s="43" t="s">
        <v>949</v>
      </c>
      <c r="J8146" s="44" t="s">
        <v>1000</v>
      </c>
    </row>
    <row r="8147" ht="22" customHeight="1" spans="1:10" x14ac:dyDescent="0.25">
      <c r="A8147" s="43">
        <v>3130</v>
      </c>
      <c r="B8147" s="43">
        <v>18</v>
      </c>
      <c r="C8147" s="43" t="s">
        <v>962</v>
      </c>
      <c r="D8147" s="43" t="s">
        <v>1009</v>
      </c>
      <c r="E8147" s="43" t="s">
        <v>306</v>
      </c>
      <c r="F8147" s="43" t="s">
        <v>956</v>
      </c>
      <c r="G8147" s="43">
        <v>1877777</v>
      </c>
      <c r="H8147" s="43">
        <v>501100</v>
      </c>
      <c r="I8147" s="43" t="s">
        <v>949</v>
      </c>
      <c r="J8147" s="44" t="s">
        <v>1000</v>
      </c>
    </row>
    <row r="8148" ht="22" customHeight="1" spans="1:10" x14ac:dyDescent="0.25">
      <c r="A8148" s="43">
        <v>3130</v>
      </c>
      <c r="B8148" s="43">
        <v>18</v>
      </c>
      <c r="C8148" s="43" t="s">
        <v>962</v>
      </c>
      <c r="D8148" s="43" t="s">
        <v>1009</v>
      </c>
      <c r="E8148" s="43" t="s">
        <v>306</v>
      </c>
      <c r="F8148" s="43" t="s">
        <v>957</v>
      </c>
      <c r="G8148" s="43">
        <v>1877777</v>
      </c>
      <c r="H8148" s="43">
        <v>501100</v>
      </c>
      <c r="I8148" s="43" t="s">
        <v>949</v>
      </c>
      <c r="J8148" s="44" t="s">
        <v>1000</v>
      </c>
    </row>
    <row r="8149" ht="22" customHeight="1" spans="1:10" x14ac:dyDescent="0.25">
      <c r="A8149" s="43">
        <v>3130</v>
      </c>
      <c r="B8149" s="43">
        <v>18</v>
      </c>
      <c r="C8149" s="43" t="s">
        <v>962</v>
      </c>
      <c r="D8149" s="43" t="s">
        <v>1009</v>
      </c>
      <c r="E8149" s="43" t="s">
        <v>306</v>
      </c>
      <c r="F8149" s="43" t="s">
        <v>958</v>
      </c>
      <c r="G8149" s="43">
        <v>1877777</v>
      </c>
      <c r="H8149" s="43">
        <v>501100</v>
      </c>
      <c r="I8149" s="43" t="s">
        <v>949</v>
      </c>
      <c r="J8149" s="44" t="s">
        <v>1000</v>
      </c>
    </row>
    <row r="8150" ht="22" customHeight="1" spans="1:10" x14ac:dyDescent="0.25">
      <c r="A8150" s="43">
        <v>3130</v>
      </c>
      <c r="B8150" s="43">
        <v>18</v>
      </c>
      <c r="C8150" s="43" t="s">
        <v>962</v>
      </c>
      <c r="D8150" s="43" t="s">
        <v>1009</v>
      </c>
      <c r="E8150" s="43" t="s">
        <v>306</v>
      </c>
      <c r="F8150" s="43" t="s">
        <v>959</v>
      </c>
      <c r="G8150" s="43">
        <v>1877777</v>
      </c>
      <c r="H8150" s="43">
        <v>501100</v>
      </c>
      <c r="I8150" s="43" t="s">
        <v>949</v>
      </c>
      <c r="J8150" s="44" t="s">
        <v>1000</v>
      </c>
    </row>
    <row r="8151" ht="22" customHeight="1" spans="1:10" x14ac:dyDescent="0.25">
      <c r="A8151" s="43">
        <v>3130</v>
      </c>
      <c r="B8151" s="43">
        <v>18</v>
      </c>
      <c r="C8151" s="43" t="s">
        <v>962</v>
      </c>
      <c r="D8151" s="43" t="s">
        <v>1009</v>
      </c>
      <c r="E8151" s="43" t="s">
        <v>306</v>
      </c>
      <c r="F8151" s="43" t="s">
        <v>960</v>
      </c>
      <c r="G8151" s="43">
        <v>1877777</v>
      </c>
      <c r="H8151" s="43">
        <v>501100</v>
      </c>
      <c r="I8151" s="43" t="s">
        <v>949</v>
      </c>
      <c r="J8151" s="44" t="s">
        <v>1000</v>
      </c>
    </row>
    <row r="8152" ht="22" customHeight="1" spans="1:10" x14ac:dyDescent="0.25">
      <c r="A8152" s="43">
        <v>3130</v>
      </c>
      <c r="B8152" s="43">
        <v>18</v>
      </c>
      <c r="C8152" s="43" t="s">
        <v>962</v>
      </c>
      <c r="D8152" s="43" t="s">
        <v>1009</v>
      </c>
      <c r="E8152" s="43" t="s">
        <v>306</v>
      </c>
      <c r="F8152" s="43" t="s">
        <v>961</v>
      </c>
      <c r="G8152" s="43">
        <v>1877777</v>
      </c>
      <c r="H8152" s="43">
        <v>501100</v>
      </c>
      <c r="I8152" s="43" t="s">
        <v>949</v>
      </c>
      <c r="J8152" s="44" t="s">
        <v>1000</v>
      </c>
    </row>
    <row r="8153" ht="22" customHeight="1" spans="1:10" x14ac:dyDescent="0.25">
      <c r="A8153" s="43">
        <v>3130</v>
      </c>
      <c r="B8153" s="43">
        <v>18</v>
      </c>
      <c r="C8153" s="43" t="s">
        <v>963</v>
      </c>
      <c r="D8153" s="43" t="s">
        <v>1009</v>
      </c>
      <c r="E8153" s="43" t="s">
        <v>306</v>
      </c>
      <c r="F8153" s="43" t="s">
        <v>951</v>
      </c>
      <c r="G8153" s="43">
        <v>1877777</v>
      </c>
      <c r="H8153" s="43">
        <v>501100</v>
      </c>
      <c r="I8153" s="43" t="s">
        <v>949</v>
      </c>
      <c r="J8153" s="44" t="s">
        <v>1000</v>
      </c>
    </row>
    <row r="8154" ht="22" customHeight="1" spans="1:10" x14ac:dyDescent="0.25">
      <c r="A8154" s="43">
        <v>3130</v>
      </c>
      <c r="B8154" s="43">
        <v>18</v>
      </c>
      <c r="C8154" s="43" t="s">
        <v>963</v>
      </c>
      <c r="D8154" s="43" t="s">
        <v>1009</v>
      </c>
      <c r="E8154" s="43" t="s">
        <v>306</v>
      </c>
      <c r="F8154" s="43" t="s">
        <v>952</v>
      </c>
      <c r="G8154" s="43">
        <v>1877777</v>
      </c>
      <c r="H8154" s="43">
        <v>501100</v>
      </c>
      <c r="I8154" s="43" t="s">
        <v>949</v>
      </c>
      <c r="J8154" s="44" t="s">
        <v>1000</v>
      </c>
    </row>
    <row r="8155" ht="22" customHeight="1" spans="1:10" x14ac:dyDescent="0.25">
      <c r="A8155" s="43">
        <v>3130</v>
      </c>
      <c r="B8155" s="43">
        <v>18</v>
      </c>
      <c r="C8155" s="43" t="s">
        <v>963</v>
      </c>
      <c r="D8155" s="43" t="s">
        <v>1009</v>
      </c>
      <c r="E8155" s="43" t="s">
        <v>306</v>
      </c>
      <c r="F8155" s="43" t="s">
        <v>953</v>
      </c>
      <c r="G8155" s="43">
        <v>1877777</v>
      </c>
      <c r="H8155" s="43">
        <v>501100</v>
      </c>
      <c r="I8155" s="43" t="s">
        <v>949</v>
      </c>
      <c r="J8155" s="44" t="s">
        <v>1000</v>
      </c>
    </row>
    <row r="8156" ht="22" customHeight="1" spans="1:10" x14ac:dyDescent="0.25">
      <c r="A8156" s="43">
        <v>3130</v>
      </c>
      <c r="B8156" s="43">
        <v>18</v>
      </c>
      <c r="C8156" s="43" t="s">
        <v>963</v>
      </c>
      <c r="D8156" s="43" t="s">
        <v>1009</v>
      </c>
      <c r="E8156" s="43" t="s">
        <v>306</v>
      </c>
      <c r="F8156" s="43" t="s">
        <v>954</v>
      </c>
      <c r="G8156" s="43">
        <v>1877777</v>
      </c>
      <c r="H8156" s="43">
        <v>501100</v>
      </c>
      <c r="I8156" s="43" t="s">
        <v>949</v>
      </c>
      <c r="J8156" s="44" t="s">
        <v>1000</v>
      </c>
    </row>
    <row r="8157" ht="22" customHeight="1" spans="1:10" x14ac:dyDescent="0.25">
      <c r="A8157" s="43">
        <v>3130</v>
      </c>
      <c r="B8157" s="43">
        <v>18</v>
      </c>
      <c r="C8157" s="43" t="s">
        <v>963</v>
      </c>
      <c r="D8157" s="43" t="s">
        <v>1009</v>
      </c>
      <c r="E8157" s="43" t="s">
        <v>306</v>
      </c>
      <c r="F8157" s="43" t="s">
        <v>955</v>
      </c>
      <c r="G8157" s="43">
        <v>1877777</v>
      </c>
      <c r="H8157" s="43">
        <v>501100</v>
      </c>
      <c r="I8157" s="43" t="s">
        <v>949</v>
      </c>
      <c r="J8157" s="44" t="s">
        <v>1000</v>
      </c>
    </row>
    <row r="8158" ht="22" customHeight="1" spans="1:10" x14ac:dyDescent="0.25">
      <c r="A8158" s="43">
        <v>3130</v>
      </c>
      <c r="B8158" s="43">
        <v>18</v>
      </c>
      <c r="C8158" s="43" t="s">
        <v>963</v>
      </c>
      <c r="D8158" s="43" t="s">
        <v>1009</v>
      </c>
      <c r="E8158" s="43" t="s">
        <v>306</v>
      </c>
      <c r="F8158" s="43" t="s">
        <v>956</v>
      </c>
      <c r="G8158" s="43">
        <v>1877777</v>
      </c>
      <c r="H8158" s="43">
        <v>501100</v>
      </c>
      <c r="I8158" s="43" t="s">
        <v>949</v>
      </c>
      <c r="J8158" s="44" t="s">
        <v>1000</v>
      </c>
    </row>
    <row r="8159" ht="22" customHeight="1" spans="1:10" x14ac:dyDescent="0.25">
      <c r="A8159" s="43">
        <v>3130</v>
      </c>
      <c r="B8159" s="43">
        <v>18</v>
      </c>
      <c r="C8159" s="43" t="s">
        <v>963</v>
      </c>
      <c r="D8159" s="43" t="s">
        <v>1009</v>
      </c>
      <c r="E8159" s="43" t="s">
        <v>306</v>
      </c>
      <c r="F8159" s="43" t="s">
        <v>957</v>
      </c>
      <c r="G8159" s="43">
        <v>1877777</v>
      </c>
      <c r="H8159" s="43">
        <v>501100</v>
      </c>
      <c r="I8159" s="43" t="s">
        <v>949</v>
      </c>
      <c r="J8159" s="44" t="s">
        <v>1000</v>
      </c>
    </row>
    <row r="8160" ht="22" customHeight="1" spans="1:10" x14ac:dyDescent="0.25">
      <c r="A8160" s="43">
        <v>3130</v>
      </c>
      <c r="B8160" s="43">
        <v>18</v>
      </c>
      <c r="C8160" s="43" t="s">
        <v>963</v>
      </c>
      <c r="D8160" s="43" t="s">
        <v>1009</v>
      </c>
      <c r="E8160" s="43" t="s">
        <v>306</v>
      </c>
      <c r="F8160" s="43" t="s">
        <v>958</v>
      </c>
      <c r="G8160" s="43">
        <v>1877777</v>
      </c>
      <c r="H8160" s="43">
        <v>501100</v>
      </c>
      <c r="I8160" s="43" t="s">
        <v>949</v>
      </c>
      <c r="J8160" s="44" t="s">
        <v>1000</v>
      </c>
    </row>
    <row r="8161" ht="22" customHeight="1" spans="1:10" x14ac:dyDescent="0.25">
      <c r="A8161" s="43">
        <v>3130</v>
      </c>
      <c r="B8161" s="43">
        <v>18</v>
      </c>
      <c r="C8161" s="43" t="s">
        <v>963</v>
      </c>
      <c r="D8161" s="43" t="s">
        <v>1009</v>
      </c>
      <c r="E8161" s="43" t="s">
        <v>306</v>
      </c>
      <c r="F8161" s="43" t="s">
        <v>959</v>
      </c>
      <c r="G8161" s="43">
        <v>1877777</v>
      </c>
      <c r="H8161" s="43">
        <v>501100</v>
      </c>
      <c r="I8161" s="43" t="s">
        <v>949</v>
      </c>
      <c r="J8161" s="44" t="s">
        <v>1000</v>
      </c>
    </row>
    <row r="8162" ht="22" customHeight="1" spans="1:10" x14ac:dyDescent="0.25">
      <c r="A8162" s="43">
        <v>3130</v>
      </c>
      <c r="B8162" s="43">
        <v>18</v>
      </c>
      <c r="C8162" s="43" t="s">
        <v>963</v>
      </c>
      <c r="D8162" s="43" t="s">
        <v>1009</v>
      </c>
      <c r="E8162" s="43" t="s">
        <v>306</v>
      </c>
      <c r="F8162" s="43" t="s">
        <v>960</v>
      </c>
      <c r="G8162" s="43">
        <v>1877777</v>
      </c>
      <c r="H8162" s="43">
        <v>501100</v>
      </c>
      <c r="I8162" s="43" t="s">
        <v>949</v>
      </c>
      <c r="J8162" s="44" t="s">
        <v>1000</v>
      </c>
    </row>
    <row r="8163" ht="22" customHeight="1" spans="1:10" x14ac:dyDescent="0.25">
      <c r="A8163" s="43">
        <v>3130</v>
      </c>
      <c r="B8163" s="43">
        <v>18</v>
      </c>
      <c r="C8163" s="43" t="s">
        <v>963</v>
      </c>
      <c r="D8163" s="43" t="s">
        <v>1009</v>
      </c>
      <c r="E8163" s="43" t="s">
        <v>306</v>
      </c>
      <c r="F8163" s="43" t="s">
        <v>961</v>
      </c>
      <c r="G8163" s="43">
        <v>1877777</v>
      </c>
      <c r="H8163" s="43">
        <v>501100</v>
      </c>
      <c r="I8163" s="43" t="s">
        <v>949</v>
      </c>
      <c r="J8163" s="44" t="s">
        <v>1000</v>
      </c>
    </row>
    <row r="8164" spans="1:9" x14ac:dyDescent="0.25">
      <c r="A8164">
        <v>4122</v>
      </c>
      <c r="B8164">
        <v>18</v>
      </c>
      <c r="C8164" t="s">
        <v>946</v>
      </c>
      <c r="D8164" t="s">
        <v>1009</v>
      </c>
      <c r="E8164" t="s">
        <v>306</v>
      </c>
      <c r="F8164" t="s">
        <v>948</v>
      </c>
      <c r="G8164">
        <v>1800000</v>
      </c>
      <c r="H8164">
        <v>143000</v>
      </c>
      <c r="I8164" t="s">
        <v>983</v>
      </c>
    </row>
    <row r="8165" spans="1:9" x14ac:dyDescent="0.25">
      <c r="A8165">
        <v>4124</v>
      </c>
      <c r="B8165">
        <v>18</v>
      </c>
      <c r="C8165" t="s">
        <v>946</v>
      </c>
      <c r="D8165" t="s">
        <v>1009</v>
      </c>
      <c r="E8165" t="s">
        <v>306</v>
      </c>
      <c r="F8165" t="s">
        <v>948</v>
      </c>
      <c r="G8165">
        <v>1877777</v>
      </c>
      <c r="H8165">
        <v>501100</v>
      </c>
      <c r="I8165" t="s">
        <v>949</v>
      </c>
    </row>
    <row r="8166" spans="1:9" x14ac:dyDescent="0.25">
      <c r="A8166">
        <v>3130</v>
      </c>
      <c r="B8166">
        <v>18</v>
      </c>
      <c r="C8166" t="s">
        <v>950</v>
      </c>
      <c r="D8166" t="s">
        <v>1009</v>
      </c>
      <c r="E8166" t="s">
        <v>108</v>
      </c>
      <c r="F8166" t="s">
        <v>951</v>
      </c>
      <c r="G8166">
        <v>1877777</v>
      </c>
      <c r="H8166">
        <v>500220</v>
      </c>
      <c r="I8166" t="s">
        <v>949</v>
      </c>
    </row>
    <row r="8167" spans="1:9" x14ac:dyDescent="0.25">
      <c r="A8167">
        <v>3130</v>
      </c>
      <c r="B8167">
        <v>18</v>
      </c>
      <c r="C8167" t="s">
        <v>950</v>
      </c>
      <c r="D8167" t="s">
        <v>1009</v>
      </c>
      <c r="E8167" t="s">
        <v>108</v>
      </c>
      <c r="F8167" t="s">
        <v>952</v>
      </c>
      <c r="G8167">
        <v>1877777</v>
      </c>
      <c r="H8167">
        <v>500220</v>
      </c>
      <c r="I8167" t="s">
        <v>949</v>
      </c>
    </row>
    <row r="8168" spans="1:9" x14ac:dyDescent="0.25">
      <c r="A8168">
        <v>3130</v>
      </c>
      <c r="B8168">
        <v>18</v>
      </c>
      <c r="C8168" t="s">
        <v>962</v>
      </c>
      <c r="D8168" t="s">
        <v>1009</v>
      </c>
      <c r="E8168" t="s">
        <v>108</v>
      </c>
      <c r="F8168" t="s">
        <v>951</v>
      </c>
      <c r="G8168">
        <v>1877777</v>
      </c>
      <c r="H8168">
        <v>500220</v>
      </c>
      <c r="I8168" t="s">
        <v>949</v>
      </c>
    </row>
    <row r="8169" spans="1:9" x14ac:dyDescent="0.25">
      <c r="A8169">
        <v>3130</v>
      </c>
      <c r="B8169">
        <v>18</v>
      </c>
      <c r="C8169" t="s">
        <v>962</v>
      </c>
      <c r="D8169" t="s">
        <v>1009</v>
      </c>
      <c r="E8169" t="s">
        <v>108</v>
      </c>
      <c r="F8169" t="s">
        <v>952</v>
      </c>
      <c r="G8169">
        <v>1877777</v>
      </c>
      <c r="H8169">
        <v>500220</v>
      </c>
      <c r="I8169" t="s">
        <v>949</v>
      </c>
    </row>
    <row r="8170" spans="1:9" x14ac:dyDescent="0.25">
      <c r="A8170">
        <v>3130</v>
      </c>
      <c r="B8170">
        <v>18</v>
      </c>
      <c r="C8170" t="s">
        <v>963</v>
      </c>
      <c r="D8170" t="s">
        <v>1009</v>
      </c>
      <c r="E8170" t="s">
        <v>108</v>
      </c>
      <c r="F8170" t="s">
        <v>951</v>
      </c>
      <c r="G8170">
        <v>1877777</v>
      </c>
      <c r="H8170">
        <v>500220</v>
      </c>
      <c r="I8170" t="s">
        <v>949</v>
      </c>
    </row>
    <row r="8171" spans="1:9" x14ac:dyDescent="0.25">
      <c r="A8171">
        <v>3130</v>
      </c>
      <c r="B8171">
        <v>18</v>
      </c>
      <c r="C8171" t="s">
        <v>963</v>
      </c>
      <c r="D8171" t="s">
        <v>1009</v>
      </c>
      <c r="E8171" t="s">
        <v>108</v>
      </c>
      <c r="F8171" t="s">
        <v>952</v>
      </c>
      <c r="G8171">
        <v>1877777</v>
      </c>
      <c r="H8171">
        <v>500220</v>
      </c>
      <c r="I8171" t="s">
        <v>949</v>
      </c>
    </row>
    <row r="8172" spans="1:9" x14ac:dyDescent="0.25">
      <c r="A8172">
        <v>4122</v>
      </c>
      <c r="B8172">
        <v>18</v>
      </c>
      <c r="C8172" t="s">
        <v>946</v>
      </c>
      <c r="D8172" t="s">
        <v>1009</v>
      </c>
      <c r="E8172" t="s">
        <v>108</v>
      </c>
      <c r="F8172" t="s">
        <v>948</v>
      </c>
      <c r="G8172">
        <v>1877777</v>
      </c>
      <c r="H8172">
        <v>500220</v>
      </c>
      <c r="I8172" t="s">
        <v>949</v>
      </c>
    </row>
    <row r="8173" spans="1:9" x14ac:dyDescent="0.25">
      <c r="A8173">
        <v>4124</v>
      </c>
      <c r="B8173">
        <v>18</v>
      </c>
      <c r="C8173" t="s">
        <v>946</v>
      </c>
      <c r="D8173" t="s">
        <v>1009</v>
      </c>
      <c r="E8173" t="s">
        <v>108</v>
      </c>
      <c r="F8173" t="s">
        <v>948</v>
      </c>
      <c r="G8173">
        <v>1877777</v>
      </c>
      <c r="H8173">
        <v>500221</v>
      </c>
      <c r="I8173" t="s">
        <v>949</v>
      </c>
    </row>
    <row r="8174" ht="22" customHeight="1" spans="1:10" x14ac:dyDescent="0.25">
      <c r="A8174" s="43">
        <v>3130</v>
      </c>
      <c r="B8174" s="43">
        <v>18</v>
      </c>
      <c r="C8174" s="43" t="s">
        <v>950</v>
      </c>
      <c r="D8174" s="43" t="s">
        <v>1009</v>
      </c>
      <c r="E8174" s="43" t="s">
        <v>310</v>
      </c>
      <c r="F8174" s="43" t="s">
        <v>951</v>
      </c>
      <c r="G8174" s="43">
        <v>1877777</v>
      </c>
      <c r="H8174" s="43">
        <v>501100</v>
      </c>
      <c r="I8174" s="43" t="s">
        <v>949</v>
      </c>
      <c r="J8174" s="44" t="s">
        <v>1000</v>
      </c>
    </row>
    <row r="8175" ht="22" customHeight="1" spans="1:10" x14ac:dyDescent="0.25">
      <c r="A8175" s="43">
        <v>3130</v>
      </c>
      <c r="B8175" s="43">
        <v>18</v>
      </c>
      <c r="C8175" s="43" t="s">
        <v>950</v>
      </c>
      <c r="D8175" s="43" t="s">
        <v>1009</v>
      </c>
      <c r="E8175" s="43" t="s">
        <v>310</v>
      </c>
      <c r="F8175" s="43" t="s">
        <v>952</v>
      </c>
      <c r="G8175" s="43">
        <v>1877777</v>
      </c>
      <c r="H8175" s="43">
        <v>501100</v>
      </c>
      <c r="I8175" s="43" t="s">
        <v>949</v>
      </c>
      <c r="J8175" s="44" t="s">
        <v>1000</v>
      </c>
    </row>
    <row r="8176" ht="22" customHeight="1" spans="1:10" x14ac:dyDescent="0.25">
      <c r="A8176" s="43">
        <v>3130</v>
      </c>
      <c r="B8176" s="43">
        <v>18</v>
      </c>
      <c r="C8176" s="43" t="s">
        <v>950</v>
      </c>
      <c r="D8176" s="43" t="s">
        <v>1009</v>
      </c>
      <c r="E8176" s="43" t="s">
        <v>310</v>
      </c>
      <c r="F8176" s="43" t="s">
        <v>953</v>
      </c>
      <c r="G8176" s="43">
        <v>1877777</v>
      </c>
      <c r="H8176" s="43">
        <v>501100</v>
      </c>
      <c r="I8176" s="43" t="s">
        <v>949</v>
      </c>
      <c r="J8176" s="44" t="s">
        <v>1000</v>
      </c>
    </row>
    <row r="8177" ht="22" customHeight="1" spans="1:10" x14ac:dyDescent="0.25">
      <c r="A8177" s="43">
        <v>3130</v>
      </c>
      <c r="B8177" s="43">
        <v>18</v>
      </c>
      <c r="C8177" s="43" t="s">
        <v>950</v>
      </c>
      <c r="D8177" s="43" t="s">
        <v>1009</v>
      </c>
      <c r="E8177" s="43" t="s">
        <v>310</v>
      </c>
      <c r="F8177" s="43" t="s">
        <v>954</v>
      </c>
      <c r="G8177" s="43">
        <v>1877777</v>
      </c>
      <c r="H8177" s="43">
        <v>501100</v>
      </c>
      <c r="I8177" s="43" t="s">
        <v>949</v>
      </c>
      <c r="J8177" s="44" t="s">
        <v>1000</v>
      </c>
    </row>
    <row r="8178" ht="22" customHeight="1" spans="1:10" x14ac:dyDescent="0.25">
      <c r="A8178" s="43">
        <v>3130</v>
      </c>
      <c r="B8178" s="43">
        <v>18</v>
      </c>
      <c r="C8178" s="43" t="s">
        <v>950</v>
      </c>
      <c r="D8178" s="43" t="s">
        <v>1009</v>
      </c>
      <c r="E8178" s="43" t="s">
        <v>310</v>
      </c>
      <c r="F8178" s="43" t="s">
        <v>955</v>
      </c>
      <c r="G8178" s="43">
        <v>1877777</v>
      </c>
      <c r="H8178" s="43">
        <v>501100</v>
      </c>
      <c r="I8178" s="43" t="s">
        <v>949</v>
      </c>
      <c r="J8178" s="44" t="s">
        <v>1000</v>
      </c>
    </row>
    <row r="8179" ht="22" customHeight="1" spans="1:10" x14ac:dyDescent="0.25">
      <c r="A8179" s="43">
        <v>3130</v>
      </c>
      <c r="B8179" s="43">
        <v>18</v>
      </c>
      <c r="C8179" s="43" t="s">
        <v>950</v>
      </c>
      <c r="D8179" s="43" t="s">
        <v>1009</v>
      </c>
      <c r="E8179" s="43" t="s">
        <v>310</v>
      </c>
      <c r="F8179" s="43" t="s">
        <v>956</v>
      </c>
      <c r="G8179" s="43">
        <v>1877777</v>
      </c>
      <c r="H8179" s="43">
        <v>501100</v>
      </c>
      <c r="I8179" s="43" t="s">
        <v>949</v>
      </c>
      <c r="J8179" s="44" t="s">
        <v>1000</v>
      </c>
    </row>
    <row r="8180" ht="22" customHeight="1" spans="1:10" x14ac:dyDescent="0.25">
      <c r="A8180" s="43">
        <v>3130</v>
      </c>
      <c r="B8180" s="43">
        <v>18</v>
      </c>
      <c r="C8180" s="43" t="s">
        <v>950</v>
      </c>
      <c r="D8180" s="43" t="s">
        <v>1009</v>
      </c>
      <c r="E8180" s="43" t="s">
        <v>310</v>
      </c>
      <c r="F8180" s="43" t="s">
        <v>957</v>
      </c>
      <c r="G8180" s="43">
        <v>1877777</v>
      </c>
      <c r="H8180" s="43">
        <v>501100</v>
      </c>
      <c r="I8180" s="43" t="s">
        <v>949</v>
      </c>
      <c r="J8180" s="44" t="s">
        <v>1000</v>
      </c>
    </row>
    <row r="8181" ht="22" customHeight="1" spans="1:10" x14ac:dyDescent="0.25">
      <c r="A8181" s="43">
        <v>3130</v>
      </c>
      <c r="B8181" s="43">
        <v>18</v>
      </c>
      <c r="C8181" s="43" t="s">
        <v>950</v>
      </c>
      <c r="D8181" s="43" t="s">
        <v>1009</v>
      </c>
      <c r="E8181" s="43" t="s">
        <v>310</v>
      </c>
      <c r="F8181" s="43" t="s">
        <v>958</v>
      </c>
      <c r="G8181" s="43">
        <v>1877777</v>
      </c>
      <c r="H8181" s="43">
        <v>501100</v>
      </c>
      <c r="I8181" s="43" t="s">
        <v>949</v>
      </c>
      <c r="J8181" s="44" t="s">
        <v>1000</v>
      </c>
    </row>
    <row r="8182" ht="22" customHeight="1" spans="1:10" x14ac:dyDescent="0.25">
      <c r="A8182" s="43">
        <v>3130</v>
      </c>
      <c r="B8182" s="43">
        <v>18</v>
      </c>
      <c r="C8182" s="43" t="s">
        <v>950</v>
      </c>
      <c r="D8182" s="43" t="s">
        <v>1009</v>
      </c>
      <c r="E8182" s="43" t="s">
        <v>310</v>
      </c>
      <c r="F8182" s="43" t="s">
        <v>959</v>
      </c>
      <c r="G8182" s="43">
        <v>1877777</v>
      </c>
      <c r="H8182" s="43">
        <v>501100</v>
      </c>
      <c r="I8182" s="43" t="s">
        <v>949</v>
      </c>
      <c r="J8182" s="44" t="s">
        <v>1000</v>
      </c>
    </row>
    <row r="8183" ht="22" customHeight="1" spans="1:10" x14ac:dyDescent="0.25">
      <c r="A8183" s="43">
        <v>3130</v>
      </c>
      <c r="B8183" s="43">
        <v>18</v>
      </c>
      <c r="C8183" s="43" t="s">
        <v>950</v>
      </c>
      <c r="D8183" s="43" t="s">
        <v>1009</v>
      </c>
      <c r="E8183" s="43" t="s">
        <v>310</v>
      </c>
      <c r="F8183" s="43" t="s">
        <v>960</v>
      </c>
      <c r="G8183" s="43">
        <v>1877777</v>
      </c>
      <c r="H8183" s="43">
        <v>501100</v>
      </c>
      <c r="I8183" s="43" t="s">
        <v>949</v>
      </c>
      <c r="J8183" s="44" t="s">
        <v>1000</v>
      </c>
    </row>
    <row r="8184" ht="22" customHeight="1" spans="1:10" x14ac:dyDescent="0.25">
      <c r="A8184" s="43">
        <v>3130</v>
      </c>
      <c r="B8184" s="43">
        <v>18</v>
      </c>
      <c r="C8184" s="43" t="s">
        <v>950</v>
      </c>
      <c r="D8184" s="43" t="s">
        <v>1009</v>
      </c>
      <c r="E8184" s="43" t="s">
        <v>310</v>
      </c>
      <c r="F8184" s="43" t="s">
        <v>961</v>
      </c>
      <c r="G8184" s="43">
        <v>1877777</v>
      </c>
      <c r="H8184" s="43">
        <v>501100</v>
      </c>
      <c r="I8184" s="43" t="s">
        <v>949</v>
      </c>
      <c r="J8184" s="44" t="s">
        <v>1000</v>
      </c>
    </row>
    <row r="8185" ht="22" customHeight="1" spans="1:10" x14ac:dyDescent="0.25">
      <c r="A8185" s="43">
        <v>3130</v>
      </c>
      <c r="B8185" s="43">
        <v>18</v>
      </c>
      <c r="C8185" s="43" t="s">
        <v>962</v>
      </c>
      <c r="D8185" s="43" t="s">
        <v>1009</v>
      </c>
      <c r="E8185" s="43" t="s">
        <v>310</v>
      </c>
      <c r="F8185" s="43" t="s">
        <v>951</v>
      </c>
      <c r="G8185" s="43">
        <v>1877777</v>
      </c>
      <c r="H8185" s="43">
        <v>501100</v>
      </c>
      <c r="I8185" s="43" t="s">
        <v>949</v>
      </c>
      <c r="J8185" s="44" t="s">
        <v>1000</v>
      </c>
    </row>
    <row r="8186" ht="22" customHeight="1" spans="1:10" x14ac:dyDescent="0.25">
      <c r="A8186" s="43">
        <v>3130</v>
      </c>
      <c r="B8186" s="43">
        <v>18</v>
      </c>
      <c r="C8186" s="43" t="s">
        <v>962</v>
      </c>
      <c r="D8186" s="43" t="s">
        <v>1009</v>
      </c>
      <c r="E8186" s="43" t="s">
        <v>310</v>
      </c>
      <c r="F8186" s="43" t="s">
        <v>952</v>
      </c>
      <c r="G8186" s="43">
        <v>1877777</v>
      </c>
      <c r="H8186" s="43">
        <v>501100</v>
      </c>
      <c r="I8186" s="43" t="s">
        <v>949</v>
      </c>
      <c r="J8186" s="44" t="s">
        <v>1000</v>
      </c>
    </row>
    <row r="8187" ht="22" customHeight="1" spans="1:10" x14ac:dyDescent="0.25">
      <c r="A8187" s="43">
        <v>3130</v>
      </c>
      <c r="B8187" s="43">
        <v>18</v>
      </c>
      <c r="C8187" s="43" t="s">
        <v>962</v>
      </c>
      <c r="D8187" s="43" t="s">
        <v>1009</v>
      </c>
      <c r="E8187" s="43" t="s">
        <v>310</v>
      </c>
      <c r="F8187" s="43" t="s">
        <v>953</v>
      </c>
      <c r="G8187" s="43">
        <v>1877777</v>
      </c>
      <c r="H8187" s="43">
        <v>501100</v>
      </c>
      <c r="I8187" s="43" t="s">
        <v>949</v>
      </c>
      <c r="J8187" s="44" t="s">
        <v>1000</v>
      </c>
    </row>
    <row r="8188" ht="22" customHeight="1" spans="1:10" x14ac:dyDescent="0.25">
      <c r="A8188" s="43">
        <v>3130</v>
      </c>
      <c r="B8188" s="43">
        <v>18</v>
      </c>
      <c r="C8188" s="43" t="s">
        <v>962</v>
      </c>
      <c r="D8188" s="43" t="s">
        <v>1009</v>
      </c>
      <c r="E8188" s="43" t="s">
        <v>310</v>
      </c>
      <c r="F8188" s="43" t="s">
        <v>954</v>
      </c>
      <c r="G8188" s="43">
        <v>1877777</v>
      </c>
      <c r="H8188" s="43">
        <v>501100</v>
      </c>
      <c r="I8188" s="43" t="s">
        <v>949</v>
      </c>
      <c r="J8188" s="44" t="s">
        <v>1000</v>
      </c>
    </row>
    <row r="8189" ht="22" customHeight="1" spans="1:10" x14ac:dyDescent="0.25">
      <c r="A8189" s="43">
        <v>3130</v>
      </c>
      <c r="B8189" s="43">
        <v>18</v>
      </c>
      <c r="C8189" s="43" t="s">
        <v>962</v>
      </c>
      <c r="D8189" s="43" t="s">
        <v>1009</v>
      </c>
      <c r="E8189" s="43" t="s">
        <v>310</v>
      </c>
      <c r="F8189" s="43" t="s">
        <v>955</v>
      </c>
      <c r="G8189" s="43">
        <v>1877777</v>
      </c>
      <c r="H8189" s="43">
        <v>501100</v>
      </c>
      <c r="I8189" s="43" t="s">
        <v>949</v>
      </c>
      <c r="J8189" s="44" t="s">
        <v>1000</v>
      </c>
    </row>
    <row r="8190" ht="22" customHeight="1" spans="1:10" x14ac:dyDescent="0.25">
      <c r="A8190" s="43">
        <v>3130</v>
      </c>
      <c r="B8190" s="43">
        <v>18</v>
      </c>
      <c r="C8190" s="43" t="s">
        <v>962</v>
      </c>
      <c r="D8190" s="43" t="s">
        <v>1009</v>
      </c>
      <c r="E8190" s="43" t="s">
        <v>310</v>
      </c>
      <c r="F8190" s="43" t="s">
        <v>956</v>
      </c>
      <c r="G8190" s="43">
        <v>1877777</v>
      </c>
      <c r="H8190" s="43">
        <v>501100</v>
      </c>
      <c r="I8190" s="43" t="s">
        <v>949</v>
      </c>
      <c r="J8190" s="44" t="s">
        <v>1000</v>
      </c>
    </row>
    <row r="8191" ht="22" customHeight="1" spans="1:10" x14ac:dyDescent="0.25">
      <c r="A8191" s="43">
        <v>3130</v>
      </c>
      <c r="B8191" s="43">
        <v>18</v>
      </c>
      <c r="C8191" s="43" t="s">
        <v>962</v>
      </c>
      <c r="D8191" s="43" t="s">
        <v>1009</v>
      </c>
      <c r="E8191" s="43" t="s">
        <v>310</v>
      </c>
      <c r="F8191" s="43" t="s">
        <v>957</v>
      </c>
      <c r="G8191" s="43">
        <v>1877777</v>
      </c>
      <c r="H8191" s="43">
        <v>501100</v>
      </c>
      <c r="I8191" s="43" t="s">
        <v>949</v>
      </c>
      <c r="J8191" s="44" t="s">
        <v>1000</v>
      </c>
    </row>
    <row r="8192" ht="22" customHeight="1" spans="1:10" x14ac:dyDescent="0.25">
      <c r="A8192" s="43">
        <v>3130</v>
      </c>
      <c r="B8192" s="43">
        <v>18</v>
      </c>
      <c r="C8192" s="43" t="s">
        <v>962</v>
      </c>
      <c r="D8192" s="43" t="s">
        <v>1009</v>
      </c>
      <c r="E8192" s="43" t="s">
        <v>310</v>
      </c>
      <c r="F8192" s="43" t="s">
        <v>958</v>
      </c>
      <c r="G8192" s="43">
        <v>1877777</v>
      </c>
      <c r="H8192" s="43">
        <v>501100</v>
      </c>
      <c r="I8192" s="43" t="s">
        <v>949</v>
      </c>
      <c r="J8192" s="44" t="s">
        <v>1000</v>
      </c>
    </row>
    <row r="8193" ht="22" customHeight="1" spans="1:10" x14ac:dyDescent="0.25">
      <c r="A8193" s="43">
        <v>3130</v>
      </c>
      <c r="B8193" s="43">
        <v>18</v>
      </c>
      <c r="C8193" s="43" t="s">
        <v>962</v>
      </c>
      <c r="D8193" s="43" t="s">
        <v>1009</v>
      </c>
      <c r="E8193" s="43" t="s">
        <v>310</v>
      </c>
      <c r="F8193" s="43" t="s">
        <v>959</v>
      </c>
      <c r="G8193" s="43">
        <v>1877777</v>
      </c>
      <c r="H8193" s="43">
        <v>501100</v>
      </c>
      <c r="I8193" s="43" t="s">
        <v>949</v>
      </c>
      <c r="J8193" s="44" t="s">
        <v>1000</v>
      </c>
    </row>
    <row r="8194" ht="22" customHeight="1" spans="1:10" x14ac:dyDescent="0.25">
      <c r="A8194" s="43">
        <v>3130</v>
      </c>
      <c r="B8194" s="43">
        <v>18</v>
      </c>
      <c r="C8194" s="43" t="s">
        <v>962</v>
      </c>
      <c r="D8194" s="43" t="s">
        <v>1009</v>
      </c>
      <c r="E8194" s="43" t="s">
        <v>310</v>
      </c>
      <c r="F8194" s="43" t="s">
        <v>960</v>
      </c>
      <c r="G8194" s="43">
        <v>1877777</v>
      </c>
      <c r="H8194" s="43">
        <v>501100</v>
      </c>
      <c r="I8194" s="43" t="s">
        <v>949</v>
      </c>
      <c r="J8194" s="44" t="s">
        <v>1000</v>
      </c>
    </row>
    <row r="8195" ht="22" customHeight="1" spans="1:10" x14ac:dyDescent="0.25">
      <c r="A8195" s="43">
        <v>3130</v>
      </c>
      <c r="B8195" s="43">
        <v>18</v>
      </c>
      <c r="C8195" s="43" t="s">
        <v>962</v>
      </c>
      <c r="D8195" s="43" t="s">
        <v>1009</v>
      </c>
      <c r="E8195" s="43" t="s">
        <v>310</v>
      </c>
      <c r="F8195" s="43" t="s">
        <v>961</v>
      </c>
      <c r="G8195" s="43">
        <v>1877777</v>
      </c>
      <c r="H8195" s="43">
        <v>501100</v>
      </c>
      <c r="I8195" s="43" t="s">
        <v>949</v>
      </c>
      <c r="J8195" s="44" t="s">
        <v>1000</v>
      </c>
    </row>
    <row r="8196" ht="22" customHeight="1" spans="1:10" x14ac:dyDescent="0.25">
      <c r="A8196" s="43">
        <v>3130</v>
      </c>
      <c r="B8196" s="43">
        <v>18</v>
      </c>
      <c r="C8196" s="43" t="s">
        <v>963</v>
      </c>
      <c r="D8196" s="43" t="s">
        <v>1009</v>
      </c>
      <c r="E8196" s="43" t="s">
        <v>310</v>
      </c>
      <c r="F8196" s="43" t="s">
        <v>951</v>
      </c>
      <c r="G8196" s="43">
        <v>1877777</v>
      </c>
      <c r="H8196" s="43">
        <v>501100</v>
      </c>
      <c r="I8196" s="43" t="s">
        <v>949</v>
      </c>
      <c r="J8196" s="44" t="s">
        <v>1000</v>
      </c>
    </row>
    <row r="8197" ht="22" customHeight="1" spans="1:10" x14ac:dyDescent="0.25">
      <c r="A8197" s="43">
        <v>3130</v>
      </c>
      <c r="B8197" s="43">
        <v>18</v>
      </c>
      <c r="C8197" s="43" t="s">
        <v>963</v>
      </c>
      <c r="D8197" s="43" t="s">
        <v>1009</v>
      </c>
      <c r="E8197" s="43" t="s">
        <v>310</v>
      </c>
      <c r="F8197" s="43" t="s">
        <v>952</v>
      </c>
      <c r="G8197" s="43">
        <v>1877777</v>
      </c>
      <c r="H8197" s="43">
        <v>501100</v>
      </c>
      <c r="I8197" s="43" t="s">
        <v>949</v>
      </c>
      <c r="J8197" s="44" t="s">
        <v>1000</v>
      </c>
    </row>
    <row r="8198" ht="22" customHeight="1" spans="1:10" x14ac:dyDescent="0.25">
      <c r="A8198" s="43">
        <v>3130</v>
      </c>
      <c r="B8198" s="43">
        <v>18</v>
      </c>
      <c r="C8198" s="43" t="s">
        <v>963</v>
      </c>
      <c r="D8198" s="43" t="s">
        <v>1009</v>
      </c>
      <c r="E8198" s="43" t="s">
        <v>310</v>
      </c>
      <c r="F8198" s="43" t="s">
        <v>953</v>
      </c>
      <c r="G8198" s="43">
        <v>1877777</v>
      </c>
      <c r="H8198" s="43">
        <v>501100</v>
      </c>
      <c r="I8198" s="43" t="s">
        <v>949</v>
      </c>
      <c r="J8198" s="44" t="s">
        <v>1000</v>
      </c>
    </row>
    <row r="8199" ht="22" customHeight="1" spans="1:10" x14ac:dyDescent="0.25">
      <c r="A8199" s="43">
        <v>3130</v>
      </c>
      <c r="B8199" s="43">
        <v>18</v>
      </c>
      <c r="C8199" s="43" t="s">
        <v>963</v>
      </c>
      <c r="D8199" s="43" t="s">
        <v>1009</v>
      </c>
      <c r="E8199" s="43" t="s">
        <v>310</v>
      </c>
      <c r="F8199" s="43" t="s">
        <v>954</v>
      </c>
      <c r="G8199" s="43">
        <v>1877777</v>
      </c>
      <c r="H8199" s="43">
        <v>501100</v>
      </c>
      <c r="I8199" s="43" t="s">
        <v>949</v>
      </c>
      <c r="J8199" s="44" t="s">
        <v>1000</v>
      </c>
    </row>
    <row r="8200" ht="22" customHeight="1" spans="1:10" x14ac:dyDescent="0.25">
      <c r="A8200" s="43">
        <v>3130</v>
      </c>
      <c r="B8200" s="43">
        <v>18</v>
      </c>
      <c r="C8200" s="43" t="s">
        <v>963</v>
      </c>
      <c r="D8200" s="43" t="s">
        <v>1009</v>
      </c>
      <c r="E8200" s="43" t="s">
        <v>310</v>
      </c>
      <c r="F8200" s="43" t="s">
        <v>955</v>
      </c>
      <c r="G8200" s="43">
        <v>1877777</v>
      </c>
      <c r="H8200" s="43">
        <v>501100</v>
      </c>
      <c r="I8200" s="43" t="s">
        <v>949</v>
      </c>
      <c r="J8200" s="44" t="s">
        <v>1000</v>
      </c>
    </row>
    <row r="8201" ht="22" customHeight="1" spans="1:10" x14ac:dyDescent="0.25">
      <c r="A8201" s="43">
        <v>3130</v>
      </c>
      <c r="B8201" s="43">
        <v>18</v>
      </c>
      <c r="C8201" s="43" t="s">
        <v>963</v>
      </c>
      <c r="D8201" s="43" t="s">
        <v>1009</v>
      </c>
      <c r="E8201" s="43" t="s">
        <v>310</v>
      </c>
      <c r="F8201" s="43" t="s">
        <v>956</v>
      </c>
      <c r="G8201" s="43">
        <v>1877777</v>
      </c>
      <c r="H8201" s="43">
        <v>501100</v>
      </c>
      <c r="I8201" s="43" t="s">
        <v>949</v>
      </c>
      <c r="J8201" s="44" t="s">
        <v>1000</v>
      </c>
    </row>
    <row r="8202" ht="22" customHeight="1" spans="1:10" x14ac:dyDescent="0.25">
      <c r="A8202" s="43">
        <v>3130</v>
      </c>
      <c r="B8202" s="43">
        <v>18</v>
      </c>
      <c r="C8202" s="43" t="s">
        <v>963</v>
      </c>
      <c r="D8202" s="43" t="s">
        <v>1009</v>
      </c>
      <c r="E8202" s="43" t="s">
        <v>310</v>
      </c>
      <c r="F8202" s="43" t="s">
        <v>957</v>
      </c>
      <c r="G8202" s="43">
        <v>1877777</v>
      </c>
      <c r="H8202" s="43">
        <v>501100</v>
      </c>
      <c r="I8202" s="43" t="s">
        <v>949</v>
      </c>
      <c r="J8202" s="44" t="s">
        <v>1000</v>
      </c>
    </row>
    <row r="8203" ht="22" customHeight="1" spans="1:10" x14ac:dyDescent="0.25">
      <c r="A8203" s="43">
        <v>3130</v>
      </c>
      <c r="B8203" s="43">
        <v>18</v>
      </c>
      <c r="C8203" s="43" t="s">
        <v>963</v>
      </c>
      <c r="D8203" s="43" t="s">
        <v>1009</v>
      </c>
      <c r="E8203" s="43" t="s">
        <v>310</v>
      </c>
      <c r="F8203" s="43" t="s">
        <v>958</v>
      </c>
      <c r="G8203" s="43">
        <v>1877777</v>
      </c>
      <c r="H8203" s="43">
        <v>501100</v>
      </c>
      <c r="I8203" s="43" t="s">
        <v>949</v>
      </c>
      <c r="J8203" s="44" t="s">
        <v>1000</v>
      </c>
    </row>
    <row r="8204" ht="22" customHeight="1" spans="1:10" x14ac:dyDescent="0.25">
      <c r="A8204" s="43">
        <v>3130</v>
      </c>
      <c r="B8204" s="43">
        <v>18</v>
      </c>
      <c r="C8204" s="43" t="s">
        <v>963</v>
      </c>
      <c r="D8204" s="43" t="s">
        <v>1009</v>
      </c>
      <c r="E8204" s="43" t="s">
        <v>310</v>
      </c>
      <c r="F8204" s="43" t="s">
        <v>959</v>
      </c>
      <c r="G8204" s="43">
        <v>1877777</v>
      </c>
      <c r="H8204" s="43">
        <v>501100</v>
      </c>
      <c r="I8204" s="43" t="s">
        <v>949</v>
      </c>
      <c r="J8204" s="44" t="s">
        <v>1000</v>
      </c>
    </row>
    <row r="8205" ht="22" customHeight="1" spans="1:10" x14ac:dyDescent="0.25">
      <c r="A8205" s="43">
        <v>3130</v>
      </c>
      <c r="B8205" s="43">
        <v>18</v>
      </c>
      <c r="C8205" s="43" t="s">
        <v>963</v>
      </c>
      <c r="D8205" s="43" t="s">
        <v>1009</v>
      </c>
      <c r="E8205" s="43" t="s">
        <v>310</v>
      </c>
      <c r="F8205" s="43" t="s">
        <v>960</v>
      </c>
      <c r="G8205" s="43">
        <v>1877777</v>
      </c>
      <c r="H8205" s="43">
        <v>501100</v>
      </c>
      <c r="I8205" s="43" t="s">
        <v>949</v>
      </c>
      <c r="J8205" s="44" t="s">
        <v>1000</v>
      </c>
    </row>
    <row r="8206" ht="22" customHeight="1" spans="1:10" x14ac:dyDescent="0.25">
      <c r="A8206" s="43">
        <v>3130</v>
      </c>
      <c r="B8206" s="43">
        <v>18</v>
      </c>
      <c r="C8206" s="43" t="s">
        <v>963</v>
      </c>
      <c r="D8206" s="43" t="s">
        <v>1009</v>
      </c>
      <c r="E8206" s="43" t="s">
        <v>310</v>
      </c>
      <c r="F8206" s="43" t="s">
        <v>961</v>
      </c>
      <c r="G8206" s="43">
        <v>1877777</v>
      </c>
      <c r="H8206" s="43">
        <v>501100</v>
      </c>
      <c r="I8206" s="43" t="s">
        <v>949</v>
      </c>
      <c r="J8206" s="44" t="s">
        <v>1000</v>
      </c>
    </row>
    <row r="8207" spans="1:9" x14ac:dyDescent="0.25">
      <c r="A8207">
        <v>4122</v>
      </c>
      <c r="B8207">
        <v>18</v>
      </c>
      <c r="C8207" t="s">
        <v>946</v>
      </c>
      <c r="D8207" t="s">
        <v>1009</v>
      </c>
      <c r="E8207" t="s">
        <v>310</v>
      </c>
      <c r="F8207" t="s">
        <v>948</v>
      </c>
      <c r="G8207">
        <v>1800000</v>
      </c>
      <c r="H8207">
        <v>145000</v>
      </c>
      <c r="I8207" t="s">
        <v>949</v>
      </c>
    </row>
    <row r="8208" spans="1:9" x14ac:dyDescent="0.25">
      <c r="A8208">
        <v>4124</v>
      </c>
      <c r="B8208">
        <v>18</v>
      </c>
      <c r="C8208" t="s">
        <v>946</v>
      </c>
      <c r="D8208" t="s">
        <v>1009</v>
      </c>
      <c r="E8208" t="s">
        <v>310</v>
      </c>
      <c r="F8208" t="s">
        <v>948</v>
      </c>
      <c r="G8208">
        <v>1877777</v>
      </c>
      <c r="H8208">
        <v>501100</v>
      </c>
      <c r="I8208" t="s">
        <v>949</v>
      </c>
    </row>
    <row r="8209" ht="22" customHeight="1" spans="1:10" x14ac:dyDescent="0.25">
      <c r="A8209" s="43">
        <v>3130</v>
      </c>
      <c r="B8209" s="43">
        <v>18</v>
      </c>
      <c r="C8209" s="43" t="s">
        <v>950</v>
      </c>
      <c r="D8209" s="43" t="s">
        <v>1009</v>
      </c>
      <c r="E8209" s="43" t="s">
        <v>314</v>
      </c>
      <c r="F8209" s="43" t="s">
        <v>951</v>
      </c>
      <c r="G8209" s="43">
        <v>1877777</v>
      </c>
      <c r="H8209" s="43">
        <v>501100</v>
      </c>
      <c r="I8209" s="43" t="s">
        <v>949</v>
      </c>
      <c r="J8209" s="44" t="s">
        <v>1000</v>
      </c>
    </row>
    <row r="8210" ht="22" customHeight="1" spans="1:10" x14ac:dyDescent="0.25">
      <c r="A8210" s="43">
        <v>3130</v>
      </c>
      <c r="B8210" s="43">
        <v>18</v>
      </c>
      <c r="C8210" s="43" t="s">
        <v>950</v>
      </c>
      <c r="D8210" s="43" t="s">
        <v>1009</v>
      </c>
      <c r="E8210" s="43" t="s">
        <v>314</v>
      </c>
      <c r="F8210" s="43" t="s">
        <v>952</v>
      </c>
      <c r="G8210" s="43">
        <v>1877777</v>
      </c>
      <c r="H8210" s="43">
        <v>501100</v>
      </c>
      <c r="I8210" s="43" t="s">
        <v>949</v>
      </c>
      <c r="J8210" s="44" t="s">
        <v>1000</v>
      </c>
    </row>
    <row r="8211" ht="22" customHeight="1" spans="1:10" x14ac:dyDescent="0.25">
      <c r="A8211" s="43">
        <v>3130</v>
      </c>
      <c r="B8211" s="43">
        <v>18</v>
      </c>
      <c r="C8211" s="43" t="s">
        <v>950</v>
      </c>
      <c r="D8211" s="43" t="s">
        <v>1009</v>
      </c>
      <c r="E8211" s="43" t="s">
        <v>314</v>
      </c>
      <c r="F8211" s="43" t="s">
        <v>953</v>
      </c>
      <c r="G8211" s="43">
        <v>1877777</v>
      </c>
      <c r="H8211" s="43">
        <v>501100</v>
      </c>
      <c r="I8211" s="43" t="s">
        <v>949</v>
      </c>
      <c r="J8211" s="44" t="s">
        <v>1000</v>
      </c>
    </row>
    <row r="8212" ht="22" customHeight="1" spans="1:10" x14ac:dyDescent="0.25">
      <c r="A8212" s="43">
        <v>3130</v>
      </c>
      <c r="B8212" s="43">
        <v>18</v>
      </c>
      <c r="C8212" s="43" t="s">
        <v>950</v>
      </c>
      <c r="D8212" s="43" t="s">
        <v>1009</v>
      </c>
      <c r="E8212" s="43" t="s">
        <v>314</v>
      </c>
      <c r="F8212" s="43" t="s">
        <v>954</v>
      </c>
      <c r="G8212" s="43">
        <v>1877777</v>
      </c>
      <c r="H8212" s="43">
        <v>501100</v>
      </c>
      <c r="I8212" s="43" t="s">
        <v>949</v>
      </c>
      <c r="J8212" s="44" t="s">
        <v>1000</v>
      </c>
    </row>
    <row r="8213" ht="22" customHeight="1" spans="1:10" x14ac:dyDescent="0.25">
      <c r="A8213" s="43">
        <v>3130</v>
      </c>
      <c r="B8213" s="43">
        <v>18</v>
      </c>
      <c r="C8213" s="43" t="s">
        <v>950</v>
      </c>
      <c r="D8213" s="43" t="s">
        <v>1009</v>
      </c>
      <c r="E8213" s="43" t="s">
        <v>314</v>
      </c>
      <c r="F8213" s="43" t="s">
        <v>955</v>
      </c>
      <c r="G8213" s="43">
        <v>1877777</v>
      </c>
      <c r="H8213" s="43">
        <v>501100</v>
      </c>
      <c r="I8213" s="43" t="s">
        <v>949</v>
      </c>
      <c r="J8213" s="44" t="s">
        <v>1000</v>
      </c>
    </row>
    <row r="8214" ht="22" customHeight="1" spans="1:10" x14ac:dyDescent="0.25">
      <c r="A8214" s="43">
        <v>3130</v>
      </c>
      <c r="B8214" s="43">
        <v>18</v>
      </c>
      <c r="C8214" s="43" t="s">
        <v>950</v>
      </c>
      <c r="D8214" s="43" t="s">
        <v>1009</v>
      </c>
      <c r="E8214" s="43" t="s">
        <v>314</v>
      </c>
      <c r="F8214" s="43" t="s">
        <v>956</v>
      </c>
      <c r="G8214" s="43">
        <v>1877777</v>
      </c>
      <c r="H8214" s="43">
        <v>501100</v>
      </c>
      <c r="I8214" s="43" t="s">
        <v>949</v>
      </c>
      <c r="J8214" s="44" t="s">
        <v>1000</v>
      </c>
    </row>
    <row r="8215" ht="22" customHeight="1" spans="1:10" x14ac:dyDescent="0.25">
      <c r="A8215" s="43">
        <v>3130</v>
      </c>
      <c r="B8215" s="43">
        <v>18</v>
      </c>
      <c r="C8215" s="43" t="s">
        <v>950</v>
      </c>
      <c r="D8215" s="43" t="s">
        <v>1009</v>
      </c>
      <c r="E8215" s="43" t="s">
        <v>314</v>
      </c>
      <c r="F8215" s="43" t="s">
        <v>957</v>
      </c>
      <c r="G8215" s="43">
        <v>1877777</v>
      </c>
      <c r="H8215" s="43">
        <v>501100</v>
      </c>
      <c r="I8215" s="43" t="s">
        <v>949</v>
      </c>
      <c r="J8215" s="44" t="s">
        <v>1000</v>
      </c>
    </row>
    <row r="8216" ht="22" customHeight="1" spans="1:10" x14ac:dyDescent="0.25">
      <c r="A8216" s="43">
        <v>3130</v>
      </c>
      <c r="B8216" s="43">
        <v>18</v>
      </c>
      <c r="C8216" s="43" t="s">
        <v>950</v>
      </c>
      <c r="D8216" s="43" t="s">
        <v>1009</v>
      </c>
      <c r="E8216" s="43" t="s">
        <v>314</v>
      </c>
      <c r="F8216" s="43" t="s">
        <v>958</v>
      </c>
      <c r="G8216" s="43">
        <v>1877777</v>
      </c>
      <c r="H8216" s="43">
        <v>501100</v>
      </c>
      <c r="I8216" s="43" t="s">
        <v>949</v>
      </c>
      <c r="J8216" s="44" t="s">
        <v>1000</v>
      </c>
    </row>
    <row r="8217" ht="22" customHeight="1" spans="1:10" x14ac:dyDescent="0.25">
      <c r="A8217" s="43">
        <v>3130</v>
      </c>
      <c r="B8217" s="43">
        <v>18</v>
      </c>
      <c r="C8217" s="43" t="s">
        <v>950</v>
      </c>
      <c r="D8217" s="43" t="s">
        <v>1009</v>
      </c>
      <c r="E8217" s="43" t="s">
        <v>314</v>
      </c>
      <c r="F8217" s="43" t="s">
        <v>959</v>
      </c>
      <c r="G8217" s="43">
        <v>1877777</v>
      </c>
      <c r="H8217" s="43">
        <v>501100</v>
      </c>
      <c r="I8217" s="43" t="s">
        <v>949</v>
      </c>
      <c r="J8217" s="44" t="s">
        <v>1000</v>
      </c>
    </row>
    <row r="8218" ht="22" customHeight="1" spans="1:10" x14ac:dyDescent="0.25">
      <c r="A8218" s="43">
        <v>3130</v>
      </c>
      <c r="B8218" s="43">
        <v>18</v>
      </c>
      <c r="C8218" s="43" t="s">
        <v>950</v>
      </c>
      <c r="D8218" s="43" t="s">
        <v>1009</v>
      </c>
      <c r="E8218" s="43" t="s">
        <v>314</v>
      </c>
      <c r="F8218" s="43" t="s">
        <v>960</v>
      </c>
      <c r="G8218" s="43">
        <v>1877777</v>
      </c>
      <c r="H8218" s="43">
        <v>501100</v>
      </c>
      <c r="I8218" s="43" t="s">
        <v>949</v>
      </c>
      <c r="J8218" s="44" t="s">
        <v>1000</v>
      </c>
    </row>
    <row r="8219" ht="22" customHeight="1" spans="1:10" x14ac:dyDescent="0.25">
      <c r="A8219" s="43">
        <v>3130</v>
      </c>
      <c r="B8219" s="43">
        <v>18</v>
      </c>
      <c r="C8219" s="43" t="s">
        <v>950</v>
      </c>
      <c r="D8219" s="43" t="s">
        <v>1009</v>
      </c>
      <c r="E8219" s="43" t="s">
        <v>314</v>
      </c>
      <c r="F8219" s="43" t="s">
        <v>961</v>
      </c>
      <c r="G8219" s="43">
        <v>1877777</v>
      </c>
      <c r="H8219" s="43">
        <v>501100</v>
      </c>
      <c r="I8219" s="43" t="s">
        <v>949</v>
      </c>
      <c r="J8219" s="44" t="s">
        <v>1000</v>
      </c>
    </row>
    <row r="8220" ht="22" customHeight="1" spans="1:10" x14ac:dyDescent="0.25">
      <c r="A8220" s="43">
        <v>3130</v>
      </c>
      <c r="B8220" s="43">
        <v>18</v>
      </c>
      <c r="C8220" s="43" t="s">
        <v>962</v>
      </c>
      <c r="D8220" s="43" t="s">
        <v>1009</v>
      </c>
      <c r="E8220" s="43" t="s">
        <v>314</v>
      </c>
      <c r="F8220" s="43" t="s">
        <v>951</v>
      </c>
      <c r="G8220" s="43">
        <v>1877777</v>
      </c>
      <c r="H8220" s="43">
        <v>501100</v>
      </c>
      <c r="I8220" s="43" t="s">
        <v>949</v>
      </c>
      <c r="J8220" s="44" t="s">
        <v>1000</v>
      </c>
    </row>
    <row r="8221" ht="22" customHeight="1" spans="1:10" x14ac:dyDescent="0.25">
      <c r="A8221" s="43">
        <v>3130</v>
      </c>
      <c r="B8221" s="43">
        <v>18</v>
      </c>
      <c r="C8221" s="43" t="s">
        <v>962</v>
      </c>
      <c r="D8221" s="43" t="s">
        <v>1009</v>
      </c>
      <c r="E8221" s="43" t="s">
        <v>314</v>
      </c>
      <c r="F8221" s="43" t="s">
        <v>952</v>
      </c>
      <c r="G8221" s="43">
        <v>1877777</v>
      </c>
      <c r="H8221" s="43">
        <v>501100</v>
      </c>
      <c r="I8221" s="43" t="s">
        <v>949</v>
      </c>
      <c r="J8221" s="44" t="s">
        <v>1000</v>
      </c>
    </row>
    <row r="8222" ht="22" customHeight="1" spans="1:10" x14ac:dyDescent="0.25">
      <c r="A8222" s="43">
        <v>3130</v>
      </c>
      <c r="B8222" s="43">
        <v>18</v>
      </c>
      <c r="C8222" s="43" t="s">
        <v>962</v>
      </c>
      <c r="D8222" s="43" t="s">
        <v>1009</v>
      </c>
      <c r="E8222" s="43" t="s">
        <v>314</v>
      </c>
      <c r="F8222" s="43" t="s">
        <v>953</v>
      </c>
      <c r="G8222" s="43">
        <v>1877777</v>
      </c>
      <c r="H8222" s="43">
        <v>501100</v>
      </c>
      <c r="I8222" s="43" t="s">
        <v>949</v>
      </c>
      <c r="J8222" s="44" t="s">
        <v>1000</v>
      </c>
    </row>
    <row r="8223" ht="22" customHeight="1" spans="1:10" x14ac:dyDescent="0.25">
      <c r="A8223" s="43">
        <v>3130</v>
      </c>
      <c r="B8223" s="43">
        <v>18</v>
      </c>
      <c r="C8223" s="43" t="s">
        <v>962</v>
      </c>
      <c r="D8223" s="43" t="s">
        <v>1009</v>
      </c>
      <c r="E8223" s="43" t="s">
        <v>314</v>
      </c>
      <c r="F8223" s="43" t="s">
        <v>954</v>
      </c>
      <c r="G8223" s="43">
        <v>1877777</v>
      </c>
      <c r="H8223" s="43">
        <v>501100</v>
      </c>
      <c r="I8223" s="43" t="s">
        <v>949</v>
      </c>
      <c r="J8223" s="44" t="s">
        <v>1000</v>
      </c>
    </row>
    <row r="8224" ht="22" customHeight="1" spans="1:10" x14ac:dyDescent="0.25">
      <c r="A8224" s="43">
        <v>3130</v>
      </c>
      <c r="B8224" s="43">
        <v>18</v>
      </c>
      <c r="C8224" s="43" t="s">
        <v>962</v>
      </c>
      <c r="D8224" s="43" t="s">
        <v>1009</v>
      </c>
      <c r="E8224" s="43" t="s">
        <v>314</v>
      </c>
      <c r="F8224" s="43" t="s">
        <v>955</v>
      </c>
      <c r="G8224" s="43">
        <v>1877777</v>
      </c>
      <c r="H8224" s="43">
        <v>501100</v>
      </c>
      <c r="I8224" s="43" t="s">
        <v>949</v>
      </c>
      <c r="J8224" s="44" t="s">
        <v>1000</v>
      </c>
    </row>
    <row r="8225" ht="22" customHeight="1" spans="1:10" x14ac:dyDescent="0.25">
      <c r="A8225" s="43">
        <v>3130</v>
      </c>
      <c r="B8225" s="43">
        <v>18</v>
      </c>
      <c r="C8225" s="43" t="s">
        <v>962</v>
      </c>
      <c r="D8225" s="43" t="s">
        <v>1009</v>
      </c>
      <c r="E8225" s="43" t="s">
        <v>314</v>
      </c>
      <c r="F8225" s="43" t="s">
        <v>956</v>
      </c>
      <c r="G8225" s="43">
        <v>1877777</v>
      </c>
      <c r="H8225" s="43">
        <v>501100</v>
      </c>
      <c r="I8225" s="43" t="s">
        <v>949</v>
      </c>
      <c r="J8225" s="44" t="s">
        <v>1000</v>
      </c>
    </row>
    <row r="8226" ht="22" customHeight="1" spans="1:10" x14ac:dyDescent="0.25">
      <c r="A8226" s="43">
        <v>3130</v>
      </c>
      <c r="B8226" s="43">
        <v>18</v>
      </c>
      <c r="C8226" s="43" t="s">
        <v>962</v>
      </c>
      <c r="D8226" s="43" t="s">
        <v>1009</v>
      </c>
      <c r="E8226" s="43" t="s">
        <v>314</v>
      </c>
      <c r="F8226" s="43" t="s">
        <v>957</v>
      </c>
      <c r="G8226" s="43">
        <v>1877777</v>
      </c>
      <c r="H8226" s="43">
        <v>501100</v>
      </c>
      <c r="I8226" s="43" t="s">
        <v>949</v>
      </c>
      <c r="J8226" s="44" t="s">
        <v>1000</v>
      </c>
    </row>
    <row r="8227" ht="22" customHeight="1" spans="1:10" x14ac:dyDescent="0.25">
      <c r="A8227" s="43">
        <v>3130</v>
      </c>
      <c r="B8227" s="43">
        <v>18</v>
      </c>
      <c r="C8227" s="43" t="s">
        <v>962</v>
      </c>
      <c r="D8227" s="43" t="s">
        <v>1009</v>
      </c>
      <c r="E8227" s="43" t="s">
        <v>314</v>
      </c>
      <c r="F8227" s="43" t="s">
        <v>958</v>
      </c>
      <c r="G8227" s="43">
        <v>1877777</v>
      </c>
      <c r="H8227" s="43">
        <v>501100</v>
      </c>
      <c r="I8227" s="43" t="s">
        <v>949</v>
      </c>
      <c r="J8227" s="44" t="s">
        <v>1000</v>
      </c>
    </row>
    <row r="8228" ht="22" customHeight="1" spans="1:10" x14ac:dyDescent="0.25">
      <c r="A8228" s="43">
        <v>3130</v>
      </c>
      <c r="B8228" s="43">
        <v>18</v>
      </c>
      <c r="C8228" s="43" t="s">
        <v>962</v>
      </c>
      <c r="D8228" s="43" t="s">
        <v>1009</v>
      </c>
      <c r="E8228" s="43" t="s">
        <v>314</v>
      </c>
      <c r="F8228" s="43" t="s">
        <v>959</v>
      </c>
      <c r="G8228" s="43">
        <v>1877777</v>
      </c>
      <c r="H8228" s="43">
        <v>501100</v>
      </c>
      <c r="I8228" s="43" t="s">
        <v>949</v>
      </c>
      <c r="J8228" s="44" t="s">
        <v>1000</v>
      </c>
    </row>
    <row r="8229" ht="22" customHeight="1" spans="1:10" x14ac:dyDescent="0.25">
      <c r="A8229" s="43">
        <v>3130</v>
      </c>
      <c r="B8229" s="43">
        <v>18</v>
      </c>
      <c r="C8229" s="43" t="s">
        <v>962</v>
      </c>
      <c r="D8229" s="43" t="s">
        <v>1009</v>
      </c>
      <c r="E8229" s="43" t="s">
        <v>314</v>
      </c>
      <c r="F8229" s="43" t="s">
        <v>960</v>
      </c>
      <c r="G8229" s="43">
        <v>1877777</v>
      </c>
      <c r="H8229" s="43">
        <v>501100</v>
      </c>
      <c r="I8229" s="43" t="s">
        <v>949</v>
      </c>
      <c r="J8229" s="44" t="s">
        <v>1000</v>
      </c>
    </row>
    <row r="8230" ht="22" customHeight="1" spans="1:10" x14ac:dyDescent="0.25">
      <c r="A8230" s="43">
        <v>3130</v>
      </c>
      <c r="B8230" s="43">
        <v>18</v>
      </c>
      <c r="C8230" s="43" t="s">
        <v>962</v>
      </c>
      <c r="D8230" s="43" t="s">
        <v>1009</v>
      </c>
      <c r="E8230" s="43" t="s">
        <v>314</v>
      </c>
      <c r="F8230" s="43" t="s">
        <v>961</v>
      </c>
      <c r="G8230" s="43">
        <v>1877777</v>
      </c>
      <c r="H8230" s="43">
        <v>501100</v>
      </c>
      <c r="I8230" s="43" t="s">
        <v>949</v>
      </c>
      <c r="J8230" s="44" t="s">
        <v>1000</v>
      </c>
    </row>
    <row r="8231" ht="22" customHeight="1" spans="1:10" x14ac:dyDescent="0.25">
      <c r="A8231" s="43">
        <v>3130</v>
      </c>
      <c r="B8231" s="43">
        <v>18</v>
      </c>
      <c r="C8231" s="43" t="s">
        <v>963</v>
      </c>
      <c r="D8231" s="43" t="s">
        <v>1009</v>
      </c>
      <c r="E8231" s="43" t="s">
        <v>314</v>
      </c>
      <c r="F8231" s="43" t="s">
        <v>951</v>
      </c>
      <c r="G8231" s="43">
        <v>1877777</v>
      </c>
      <c r="H8231" s="43">
        <v>501100</v>
      </c>
      <c r="I8231" s="43" t="s">
        <v>949</v>
      </c>
      <c r="J8231" s="44" t="s">
        <v>1000</v>
      </c>
    </row>
    <row r="8232" ht="22" customHeight="1" spans="1:10" x14ac:dyDescent="0.25">
      <c r="A8232" s="43">
        <v>3130</v>
      </c>
      <c r="B8232" s="43">
        <v>18</v>
      </c>
      <c r="C8232" s="43" t="s">
        <v>963</v>
      </c>
      <c r="D8232" s="43" t="s">
        <v>1009</v>
      </c>
      <c r="E8232" s="43" t="s">
        <v>314</v>
      </c>
      <c r="F8232" s="43" t="s">
        <v>952</v>
      </c>
      <c r="G8232" s="43">
        <v>1877777</v>
      </c>
      <c r="H8232" s="43">
        <v>501100</v>
      </c>
      <c r="I8232" s="43" t="s">
        <v>949</v>
      </c>
      <c r="J8232" s="44" t="s">
        <v>1000</v>
      </c>
    </row>
    <row r="8233" ht="22" customHeight="1" spans="1:10" x14ac:dyDescent="0.25">
      <c r="A8233" s="43">
        <v>3130</v>
      </c>
      <c r="B8233" s="43">
        <v>18</v>
      </c>
      <c r="C8233" s="43" t="s">
        <v>963</v>
      </c>
      <c r="D8233" s="43" t="s">
        <v>1009</v>
      </c>
      <c r="E8233" s="43" t="s">
        <v>314</v>
      </c>
      <c r="F8233" s="43" t="s">
        <v>953</v>
      </c>
      <c r="G8233" s="43">
        <v>1877777</v>
      </c>
      <c r="H8233" s="43">
        <v>501100</v>
      </c>
      <c r="I8233" s="43" t="s">
        <v>949</v>
      </c>
      <c r="J8233" s="44" t="s">
        <v>1000</v>
      </c>
    </row>
    <row r="8234" ht="22" customHeight="1" spans="1:10" x14ac:dyDescent="0.25">
      <c r="A8234" s="43">
        <v>3130</v>
      </c>
      <c r="B8234" s="43">
        <v>18</v>
      </c>
      <c r="C8234" s="43" t="s">
        <v>963</v>
      </c>
      <c r="D8234" s="43" t="s">
        <v>1009</v>
      </c>
      <c r="E8234" s="43" t="s">
        <v>314</v>
      </c>
      <c r="F8234" s="43" t="s">
        <v>954</v>
      </c>
      <c r="G8234" s="43">
        <v>1877777</v>
      </c>
      <c r="H8234" s="43">
        <v>501100</v>
      </c>
      <c r="I8234" s="43" t="s">
        <v>949</v>
      </c>
      <c r="J8234" s="44" t="s">
        <v>1000</v>
      </c>
    </row>
    <row r="8235" ht="22" customHeight="1" spans="1:10" x14ac:dyDescent="0.25">
      <c r="A8235" s="43">
        <v>3130</v>
      </c>
      <c r="B8235" s="43">
        <v>18</v>
      </c>
      <c r="C8235" s="43" t="s">
        <v>963</v>
      </c>
      <c r="D8235" s="43" t="s">
        <v>1009</v>
      </c>
      <c r="E8235" s="43" t="s">
        <v>314</v>
      </c>
      <c r="F8235" s="43" t="s">
        <v>955</v>
      </c>
      <c r="G8235" s="43">
        <v>1877777</v>
      </c>
      <c r="H8235" s="43">
        <v>501100</v>
      </c>
      <c r="I8235" s="43" t="s">
        <v>949</v>
      </c>
      <c r="J8235" s="44" t="s">
        <v>1000</v>
      </c>
    </row>
    <row r="8236" ht="22" customHeight="1" spans="1:10" x14ac:dyDescent="0.25">
      <c r="A8236" s="43">
        <v>3130</v>
      </c>
      <c r="B8236" s="43">
        <v>18</v>
      </c>
      <c r="C8236" s="43" t="s">
        <v>963</v>
      </c>
      <c r="D8236" s="43" t="s">
        <v>1009</v>
      </c>
      <c r="E8236" s="43" t="s">
        <v>314</v>
      </c>
      <c r="F8236" s="43" t="s">
        <v>956</v>
      </c>
      <c r="G8236" s="43">
        <v>1877777</v>
      </c>
      <c r="H8236" s="43">
        <v>501100</v>
      </c>
      <c r="I8236" s="43" t="s">
        <v>949</v>
      </c>
      <c r="J8236" s="44" t="s">
        <v>1000</v>
      </c>
    </row>
    <row r="8237" ht="22" customHeight="1" spans="1:10" x14ac:dyDescent="0.25">
      <c r="A8237" s="43">
        <v>3130</v>
      </c>
      <c r="B8237" s="43">
        <v>18</v>
      </c>
      <c r="C8237" s="43" t="s">
        <v>963</v>
      </c>
      <c r="D8237" s="43" t="s">
        <v>1009</v>
      </c>
      <c r="E8237" s="43" t="s">
        <v>314</v>
      </c>
      <c r="F8237" s="43" t="s">
        <v>957</v>
      </c>
      <c r="G8237" s="43">
        <v>1877777</v>
      </c>
      <c r="H8237" s="43">
        <v>501100</v>
      </c>
      <c r="I8237" s="43" t="s">
        <v>949</v>
      </c>
      <c r="J8237" s="44" t="s">
        <v>1000</v>
      </c>
    </row>
    <row r="8238" ht="22" customHeight="1" spans="1:10" x14ac:dyDescent="0.25">
      <c r="A8238" s="43">
        <v>3130</v>
      </c>
      <c r="B8238" s="43">
        <v>18</v>
      </c>
      <c r="C8238" s="43" t="s">
        <v>963</v>
      </c>
      <c r="D8238" s="43" t="s">
        <v>1009</v>
      </c>
      <c r="E8238" s="43" t="s">
        <v>314</v>
      </c>
      <c r="F8238" s="43" t="s">
        <v>958</v>
      </c>
      <c r="G8238" s="43">
        <v>1877777</v>
      </c>
      <c r="H8238" s="43">
        <v>501100</v>
      </c>
      <c r="I8238" s="43" t="s">
        <v>949</v>
      </c>
      <c r="J8238" s="44" t="s">
        <v>1000</v>
      </c>
    </row>
    <row r="8239" ht="22" customHeight="1" spans="1:10" x14ac:dyDescent="0.25">
      <c r="A8239" s="43">
        <v>3130</v>
      </c>
      <c r="B8239" s="43">
        <v>18</v>
      </c>
      <c r="C8239" s="43" t="s">
        <v>963</v>
      </c>
      <c r="D8239" s="43" t="s">
        <v>1009</v>
      </c>
      <c r="E8239" s="43" t="s">
        <v>314</v>
      </c>
      <c r="F8239" s="43" t="s">
        <v>959</v>
      </c>
      <c r="G8239" s="43">
        <v>1877777</v>
      </c>
      <c r="H8239" s="43">
        <v>501100</v>
      </c>
      <c r="I8239" s="43" t="s">
        <v>949</v>
      </c>
      <c r="J8239" s="44" t="s">
        <v>1000</v>
      </c>
    </row>
    <row r="8240" ht="22" customHeight="1" spans="1:10" x14ac:dyDescent="0.25">
      <c r="A8240" s="43">
        <v>3130</v>
      </c>
      <c r="B8240" s="43">
        <v>18</v>
      </c>
      <c r="C8240" s="43" t="s">
        <v>963</v>
      </c>
      <c r="D8240" s="43" t="s">
        <v>1009</v>
      </c>
      <c r="E8240" s="43" t="s">
        <v>314</v>
      </c>
      <c r="F8240" s="43" t="s">
        <v>960</v>
      </c>
      <c r="G8240" s="43">
        <v>1877777</v>
      </c>
      <c r="H8240" s="43">
        <v>501100</v>
      </c>
      <c r="I8240" s="43" t="s">
        <v>949</v>
      </c>
      <c r="J8240" s="44" t="s">
        <v>1000</v>
      </c>
    </row>
    <row r="8241" ht="22" customHeight="1" spans="1:10" x14ac:dyDescent="0.25">
      <c r="A8241" s="43">
        <v>3130</v>
      </c>
      <c r="B8241" s="43">
        <v>18</v>
      </c>
      <c r="C8241" s="43" t="s">
        <v>963</v>
      </c>
      <c r="D8241" s="43" t="s">
        <v>1009</v>
      </c>
      <c r="E8241" s="43" t="s">
        <v>314</v>
      </c>
      <c r="F8241" s="43" t="s">
        <v>961</v>
      </c>
      <c r="G8241" s="43">
        <v>1877777</v>
      </c>
      <c r="H8241" s="43">
        <v>501100</v>
      </c>
      <c r="I8241" s="43" t="s">
        <v>949</v>
      </c>
      <c r="J8241" s="44" t="s">
        <v>1000</v>
      </c>
    </row>
    <row r="8242" spans="1:9" x14ac:dyDescent="0.25">
      <c r="A8242">
        <v>4122</v>
      </c>
      <c r="B8242">
        <v>18</v>
      </c>
      <c r="C8242" t="s">
        <v>946</v>
      </c>
      <c r="D8242" t="s">
        <v>1009</v>
      </c>
      <c r="E8242" t="s">
        <v>314</v>
      </c>
      <c r="F8242" t="s">
        <v>948</v>
      </c>
      <c r="G8242">
        <v>1800000</v>
      </c>
      <c r="H8242">
        <v>145000</v>
      </c>
      <c r="I8242" t="s">
        <v>949</v>
      </c>
    </row>
    <row r="8243" spans="1:9" x14ac:dyDescent="0.25">
      <c r="A8243">
        <v>4124</v>
      </c>
      <c r="B8243">
        <v>18</v>
      </c>
      <c r="C8243" t="s">
        <v>946</v>
      </c>
      <c r="D8243" t="s">
        <v>1009</v>
      </c>
      <c r="E8243" t="s">
        <v>314</v>
      </c>
      <c r="F8243" t="s">
        <v>948</v>
      </c>
      <c r="G8243">
        <v>1877777</v>
      </c>
      <c r="H8243">
        <v>501100</v>
      </c>
      <c r="I8243" t="s">
        <v>949</v>
      </c>
    </row>
    <row r="8244" spans="1:9" x14ac:dyDescent="0.25">
      <c r="A8244">
        <v>3130</v>
      </c>
      <c r="B8244">
        <v>18</v>
      </c>
      <c r="C8244" t="s">
        <v>950</v>
      </c>
      <c r="D8244" t="s">
        <v>1009</v>
      </c>
      <c r="E8244" t="s">
        <v>121</v>
      </c>
      <c r="F8244" t="s">
        <v>951</v>
      </c>
      <c r="G8244">
        <v>1877777</v>
      </c>
      <c r="H8244">
        <v>500220</v>
      </c>
      <c r="I8244" t="s">
        <v>949</v>
      </c>
    </row>
    <row r="8245" spans="1:9" x14ac:dyDescent="0.25">
      <c r="A8245">
        <v>3130</v>
      </c>
      <c r="B8245">
        <v>18</v>
      </c>
      <c r="C8245" t="s">
        <v>962</v>
      </c>
      <c r="D8245" t="s">
        <v>1009</v>
      </c>
      <c r="E8245" t="s">
        <v>121</v>
      </c>
      <c r="F8245" t="s">
        <v>951</v>
      </c>
      <c r="G8245">
        <v>1877777</v>
      </c>
      <c r="H8245">
        <v>500220</v>
      </c>
      <c r="I8245" t="s">
        <v>949</v>
      </c>
    </row>
    <row r="8246" spans="1:9" x14ac:dyDescent="0.25">
      <c r="A8246">
        <v>3130</v>
      </c>
      <c r="B8246">
        <v>18</v>
      </c>
      <c r="C8246" t="s">
        <v>963</v>
      </c>
      <c r="D8246" t="s">
        <v>1009</v>
      </c>
      <c r="E8246" t="s">
        <v>121</v>
      </c>
      <c r="F8246" t="s">
        <v>951</v>
      </c>
      <c r="G8246">
        <v>1877777</v>
      </c>
      <c r="H8246">
        <v>500220</v>
      </c>
      <c r="I8246" t="s">
        <v>949</v>
      </c>
    </row>
    <row r="8247" spans="1:9" x14ac:dyDescent="0.25">
      <c r="A8247">
        <v>4122</v>
      </c>
      <c r="B8247">
        <v>18</v>
      </c>
      <c r="C8247" t="s">
        <v>946</v>
      </c>
      <c r="D8247" t="s">
        <v>1009</v>
      </c>
      <c r="E8247" t="s">
        <v>121</v>
      </c>
      <c r="F8247" t="s">
        <v>948</v>
      </c>
      <c r="G8247">
        <v>1877777</v>
      </c>
      <c r="H8247">
        <v>500220</v>
      </c>
      <c r="I8247" t="s">
        <v>949</v>
      </c>
    </row>
    <row r="8248" spans="1:9" x14ac:dyDescent="0.25">
      <c r="A8248">
        <v>4124</v>
      </c>
      <c r="B8248">
        <v>18</v>
      </c>
      <c r="C8248" t="s">
        <v>946</v>
      </c>
      <c r="D8248" t="s">
        <v>1009</v>
      </c>
      <c r="E8248" t="s">
        <v>121</v>
      </c>
      <c r="F8248" t="s">
        <v>948</v>
      </c>
      <c r="G8248">
        <v>1877777</v>
      </c>
      <c r="H8248">
        <v>50220</v>
      </c>
      <c r="I8248" t="s">
        <v>949</v>
      </c>
    </row>
    <row r="8249" ht="22" customHeight="1" spans="1:10" x14ac:dyDescent="0.25">
      <c r="A8249" s="43">
        <v>3130</v>
      </c>
      <c r="B8249" s="43">
        <v>18</v>
      </c>
      <c r="C8249" s="43" t="s">
        <v>950</v>
      </c>
      <c r="D8249" s="43" t="s">
        <v>1009</v>
      </c>
      <c r="E8249" s="43" t="s">
        <v>984</v>
      </c>
      <c r="F8249" s="43" t="s">
        <v>951</v>
      </c>
      <c r="G8249" s="43">
        <v>1877777</v>
      </c>
      <c r="H8249" s="43">
        <v>501100</v>
      </c>
      <c r="I8249" s="43" t="s">
        <v>949</v>
      </c>
      <c r="J8249" s="44" t="s">
        <v>1000</v>
      </c>
    </row>
    <row r="8250" ht="22" customHeight="1" spans="1:10" x14ac:dyDescent="0.25">
      <c r="A8250" s="43">
        <v>3130</v>
      </c>
      <c r="B8250" s="43">
        <v>18</v>
      </c>
      <c r="C8250" s="43" t="s">
        <v>950</v>
      </c>
      <c r="D8250" s="43" t="s">
        <v>1009</v>
      </c>
      <c r="E8250" s="43" t="s">
        <v>984</v>
      </c>
      <c r="F8250" s="43" t="s">
        <v>952</v>
      </c>
      <c r="G8250" s="43">
        <v>1877777</v>
      </c>
      <c r="H8250" s="43">
        <v>501100</v>
      </c>
      <c r="I8250" s="43" t="s">
        <v>949</v>
      </c>
      <c r="J8250" s="44" t="s">
        <v>1000</v>
      </c>
    </row>
    <row r="8251" ht="22" customHeight="1" spans="1:10" x14ac:dyDescent="0.25">
      <c r="A8251" s="43">
        <v>3130</v>
      </c>
      <c r="B8251" s="43">
        <v>18</v>
      </c>
      <c r="C8251" s="43" t="s">
        <v>950</v>
      </c>
      <c r="D8251" s="43" t="s">
        <v>1009</v>
      </c>
      <c r="E8251" s="43" t="s">
        <v>984</v>
      </c>
      <c r="F8251" s="43" t="s">
        <v>953</v>
      </c>
      <c r="G8251" s="43">
        <v>1877777</v>
      </c>
      <c r="H8251" s="43">
        <v>501100</v>
      </c>
      <c r="I8251" s="43" t="s">
        <v>949</v>
      </c>
      <c r="J8251" s="44" t="s">
        <v>1000</v>
      </c>
    </row>
    <row r="8252" ht="22" customHeight="1" spans="1:10" x14ac:dyDescent="0.25">
      <c r="A8252" s="43">
        <v>3130</v>
      </c>
      <c r="B8252" s="43">
        <v>18</v>
      </c>
      <c r="C8252" s="43" t="s">
        <v>950</v>
      </c>
      <c r="D8252" s="43" t="s">
        <v>1009</v>
      </c>
      <c r="E8252" s="43" t="s">
        <v>984</v>
      </c>
      <c r="F8252" s="43" t="s">
        <v>954</v>
      </c>
      <c r="G8252" s="43">
        <v>1877777</v>
      </c>
      <c r="H8252" s="43">
        <v>501100</v>
      </c>
      <c r="I8252" s="43" t="s">
        <v>949</v>
      </c>
      <c r="J8252" s="44" t="s">
        <v>1000</v>
      </c>
    </row>
    <row r="8253" ht="22" customHeight="1" spans="1:10" x14ac:dyDescent="0.25">
      <c r="A8253" s="43">
        <v>3130</v>
      </c>
      <c r="B8253" s="43">
        <v>18</v>
      </c>
      <c r="C8253" s="43" t="s">
        <v>950</v>
      </c>
      <c r="D8253" s="43" t="s">
        <v>1009</v>
      </c>
      <c r="E8253" s="43" t="s">
        <v>984</v>
      </c>
      <c r="F8253" s="43" t="s">
        <v>955</v>
      </c>
      <c r="G8253" s="43">
        <v>1877777</v>
      </c>
      <c r="H8253" s="43">
        <v>501100</v>
      </c>
      <c r="I8253" s="43" t="s">
        <v>949</v>
      </c>
      <c r="J8253" s="44" t="s">
        <v>1000</v>
      </c>
    </row>
    <row r="8254" ht="22" customHeight="1" spans="1:10" x14ac:dyDescent="0.25">
      <c r="A8254" s="43">
        <v>3130</v>
      </c>
      <c r="B8254" s="43">
        <v>18</v>
      </c>
      <c r="C8254" s="43" t="s">
        <v>950</v>
      </c>
      <c r="D8254" s="43" t="s">
        <v>1009</v>
      </c>
      <c r="E8254" s="43" t="s">
        <v>984</v>
      </c>
      <c r="F8254" s="43" t="s">
        <v>956</v>
      </c>
      <c r="G8254" s="43">
        <v>1877777</v>
      </c>
      <c r="H8254" s="43">
        <v>501100</v>
      </c>
      <c r="I8254" s="43" t="s">
        <v>949</v>
      </c>
      <c r="J8254" s="44" t="s">
        <v>1000</v>
      </c>
    </row>
    <row r="8255" ht="22" customHeight="1" spans="1:10" x14ac:dyDescent="0.25">
      <c r="A8255" s="43">
        <v>3130</v>
      </c>
      <c r="B8255" s="43">
        <v>18</v>
      </c>
      <c r="C8255" s="43" t="s">
        <v>950</v>
      </c>
      <c r="D8255" s="43" t="s">
        <v>1009</v>
      </c>
      <c r="E8255" s="43" t="s">
        <v>984</v>
      </c>
      <c r="F8255" s="43" t="s">
        <v>957</v>
      </c>
      <c r="G8255" s="43">
        <v>1877777</v>
      </c>
      <c r="H8255" s="43">
        <v>501100</v>
      </c>
      <c r="I8255" s="43" t="s">
        <v>949</v>
      </c>
      <c r="J8255" s="44" t="s">
        <v>1000</v>
      </c>
    </row>
    <row r="8256" ht="22" customHeight="1" spans="1:10" x14ac:dyDescent="0.25">
      <c r="A8256" s="43">
        <v>3130</v>
      </c>
      <c r="B8256" s="43">
        <v>18</v>
      </c>
      <c r="C8256" s="43" t="s">
        <v>950</v>
      </c>
      <c r="D8256" s="43" t="s">
        <v>1009</v>
      </c>
      <c r="E8256" s="43" t="s">
        <v>984</v>
      </c>
      <c r="F8256" s="43" t="s">
        <v>958</v>
      </c>
      <c r="G8256" s="43">
        <v>1877777</v>
      </c>
      <c r="H8256" s="43">
        <v>501100</v>
      </c>
      <c r="I8256" s="43" t="s">
        <v>949</v>
      </c>
      <c r="J8256" s="44" t="s">
        <v>1000</v>
      </c>
    </row>
    <row r="8257" ht="22" customHeight="1" spans="1:10" x14ac:dyDescent="0.25">
      <c r="A8257" s="43">
        <v>3130</v>
      </c>
      <c r="B8257" s="43">
        <v>18</v>
      </c>
      <c r="C8257" s="43" t="s">
        <v>950</v>
      </c>
      <c r="D8257" s="43" t="s">
        <v>1009</v>
      </c>
      <c r="E8257" s="43" t="s">
        <v>984</v>
      </c>
      <c r="F8257" s="43" t="s">
        <v>959</v>
      </c>
      <c r="G8257" s="43">
        <v>1877777</v>
      </c>
      <c r="H8257" s="43">
        <v>501100</v>
      </c>
      <c r="I8257" s="43" t="s">
        <v>949</v>
      </c>
      <c r="J8257" s="44" t="s">
        <v>1000</v>
      </c>
    </row>
    <row r="8258" ht="22" customHeight="1" spans="1:10" x14ac:dyDescent="0.25">
      <c r="A8258" s="43">
        <v>3130</v>
      </c>
      <c r="B8258" s="43">
        <v>18</v>
      </c>
      <c r="C8258" s="43" t="s">
        <v>950</v>
      </c>
      <c r="D8258" s="43" t="s">
        <v>1009</v>
      </c>
      <c r="E8258" s="43" t="s">
        <v>984</v>
      </c>
      <c r="F8258" s="43" t="s">
        <v>960</v>
      </c>
      <c r="G8258" s="43">
        <v>1877777</v>
      </c>
      <c r="H8258" s="43">
        <v>501100</v>
      </c>
      <c r="I8258" s="43" t="s">
        <v>949</v>
      </c>
      <c r="J8258" s="44" t="s">
        <v>1000</v>
      </c>
    </row>
    <row r="8259" ht="22" customHeight="1" spans="1:10" x14ac:dyDescent="0.25">
      <c r="A8259" s="43">
        <v>3130</v>
      </c>
      <c r="B8259" s="43">
        <v>18</v>
      </c>
      <c r="C8259" s="43" t="s">
        <v>950</v>
      </c>
      <c r="D8259" s="43" t="s">
        <v>1009</v>
      </c>
      <c r="E8259" s="43" t="s">
        <v>984</v>
      </c>
      <c r="F8259" s="43" t="s">
        <v>961</v>
      </c>
      <c r="G8259" s="43">
        <v>1877777</v>
      </c>
      <c r="H8259" s="43">
        <v>501100</v>
      </c>
      <c r="I8259" s="43" t="s">
        <v>949</v>
      </c>
      <c r="J8259" s="44" t="s">
        <v>1000</v>
      </c>
    </row>
    <row r="8260" ht="22" customHeight="1" spans="1:10" x14ac:dyDescent="0.25">
      <c r="A8260" s="43">
        <v>3130</v>
      </c>
      <c r="B8260" s="43">
        <v>18</v>
      </c>
      <c r="C8260" s="43" t="s">
        <v>962</v>
      </c>
      <c r="D8260" s="43" t="s">
        <v>1009</v>
      </c>
      <c r="E8260" s="43" t="s">
        <v>984</v>
      </c>
      <c r="F8260" s="43" t="s">
        <v>951</v>
      </c>
      <c r="G8260" s="43">
        <v>1877777</v>
      </c>
      <c r="H8260" s="43">
        <v>501100</v>
      </c>
      <c r="I8260" s="43" t="s">
        <v>949</v>
      </c>
      <c r="J8260" s="44" t="s">
        <v>1000</v>
      </c>
    </row>
    <row r="8261" ht="22" customHeight="1" spans="1:10" x14ac:dyDescent="0.25">
      <c r="A8261" s="43">
        <v>3130</v>
      </c>
      <c r="B8261" s="43">
        <v>18</v>
      </c>
      <c r="C8261" s="43" t="s">
        <v>962</v>
      </c>
      <c r="D8261" s="43" t="s">
        <v>1009</v>
      </c>
      <c r="E8261" s="43" t="s">
        <v>984</v>
      </c>
      <c r="F8261" s="43" t="s">
        <v>952</v>
      </c>
      <c r="G8261" s="43">
        <v>1877777</v>
      </c>
      <c r="H8261" s="43">
        <v>501100</v>
      </c>
      <c r="I8261" s="43" t="s">
        <v>949</v>
      </c>
      <c r="J8261" s="44" t="s">
        <v>1000</v>
      </c>
    </row>
    <row r="8262" ht="22" customHeight="1" spans="1:10" x14ac:dyDescent="0.25">
      <c r="A8262" s="43">
        <v>3130</v>
      </c>
      <c r="B8262" s="43">
        <v>18</v>
      </c>
      <c r="C8262" s="43" t="s">
        <v>962</v>
      </c>
      <c r="D8262" s="43" t="s">
        <v>1009</v>
      </c>
      <c r="E8262" s="43" t="s">
        <v>984</v>
      </c>
      <c r="F8262" s="43" t="s">
        <v>953</v>
      </c>
      <c r="G8262" s="43">
        <v>1877777</v>
      </c>
      <c r="H8262" s="43">
        <v>501100</v>
      </c>
      <c r="I8262" s="43" t="s">
        <v>949</v>
      </c>
      <c r="J8262" s="44" t="s">
        <v>1000</v>
      </c>
    </row>
    <row r="8263" ht="22" customHeight="1" spans="1:10" x14ac:dyDescent="0.25">
      <c r="A8263" s="43">
        <v>3130</v>
      </c>
      <c r="B8263" s="43">
        <v>18</v>
      </c>
      <c r="C8263" s="43" t="s">
        <v>962</v>
      </c>
      <c r="D8263" s="43" t="s">
        <v>1009</v>
      </c>
      <c r="E8263" s="43" t="s">
        <v>984</v>
      </c>
      <c r="F8263" s="43" t="s">
        <v>954</v>
      </c>
      <c r="G8263" s="43">
        <v>1877777</v>
      </c>
      <c r="H8263" s="43">
        <v>501100</v>
      </c>
      <c r="I8263" s="43" t="s">
        <v>949</v>
      </c>
      <c r="J8263" s="44" t="s">
        <v>1000</v>
      </c>
    </row>
    <row r="8264" ht="22" customHeight="1" spans="1:10" x14ac:dyDescent="0.25">
      <c r="A8264" s="43">
        <v>3130</v>
      </c>
      <c r="B8264" s="43">
        <v>18</v>
      </c>
      <c r="C8264" s="43" t="s">
        <v>962</v>
      </c>
      <c r="D8264" s="43" t="s">
        <v>1009</v>
      </c>
      <c r="E8264" s="43" t="s">
        <v>984</v>
      </c>
      <c r="F8264" s="43" t="s">
        <v>955</v>
      </c>
      <c r="G8264" s="43">
        <v>1877777</v>
      </c>
      <c r="H8264" s="43">
        <v>501100</v>
      </c>
      <c r="I8264" s="43" t="s">
        <v>949</v>
      </c>
      <c r="J8264" s="44" t="s">
        <v>1000</v>
      </c>
    </row>
    <row r="8265" ht="22" customHeight="1" spans="1:10" x14ac:dyDescent="0.25">
      <c r="A8265" s="43">
        <v>3130</v>
      </c>
      <c r="B8265" s="43">
        <v>18</v>
      </c>
      <c r="C8265" s="43" t="s">
        <v>962</v>
      </c>
      <c r="D8265" s="43" t="s">
        <v>1009</v>
      </c>
      <c r="E8265" s="43" t="s">
        <v>984</v>
      </c>
      <c r="F8265" s="43" t="s">
        <v>956</v>
      </c>
      <c r="G8265" s="43">
        <v>1877777</v>
      </c>
      <c r="H8265" s="43">
        <v>501100</v>
      </c>
      <c r="I8265" s="43" t="s">
        <v>949</v>
      </c>
      <c r="J8265" s="44" t="s">
        <v>1000</v>
      </c>
    </row>
    <row r="8266" ht="22" customHeight="1" spans="1:10" x14ac:dyDescent="0.25">
      <c r="A8266" s="43">
        <v>3130</v>
      </c>
      <c r="B8266" s="43">
        <v>18</v>
      </c>
      <c r="C8266" s="43" t="s">
        <v>962</v>
      </c>
      <c r="D8266" s="43" t="s">
        <v>1009</v>
      </c>
      <c r="E8266" s="43" t="s">
        <v>984</v>
      </c>
      <c r="F8266" s="43" t="s">
        <v>957</v>
      </c>
      <c r="G8266" s="43">
        <v>1877777</v>
      </c>
      <c r="H8266" s="43">
        <v>501100</v>
      </c>
      <c r="I8266" s="43" t="s">
        <v>949</v>
      </c>
      <c r="J8266" s="44" t="s">
        <v>1000</v>
      </c>
    </row>
    <row r="8267" ht="22" customHeight="1" spans="1:10" x14ac:dyDescent="0.25">
      <c r="A8267" s="43">
        <v>3130</v>
      </c>
      <c r="B8267" s="43">
        <v>18</v>
      </c>
      <c r="C8267" s="43" t="s">
        <v>962</v>
      </c>
      <c r="D8267" s="43" t="s">
        <v>1009</v>
      </c>
      <c r="E8267" s="43" t="s">
        <v>984</v>
      </c>
      <c r="F8267" s="43" t="s">
        <v>958</v>
      </c>
      <c r="G8267" s="43">
        <v>1877777</v>
      </c>
      <c r="H8267" s="43">
        <v>501100</v>
      </c>
      <c r="I8267" s="43" t="s">
        <v>949</v>
      </c>
      <c r="J8267" s="44" t="s">
        <v>1000</v>
      </c>
    </row>
    <row r="8268" ht="22" customHeight="1" spans="1:10" x14ac:dyDescent="0.25">
      <c r="A8268" s="43">
        <v>3130</v>
      </c>
      <c r="B8268" s="43">
        <v>18</v>
      </c>
      <c r="C8268" s="43" t="s">
        <v>962</v>
      </c>
      <c r="D8268" s="43" t="s">
        <v>1009</v>
      </c>
      <c r="E8268" s="43" t="s">
        <v>984</v>
      </c>
      <c r="F8268" s="43" t="s">
        <v>959</v>
      </c>
      <c r="G8268" s="43">
        <v>1877777</v>
      </c>
      <c r="H8268" s="43">
        <v>501100</v>
      </c>
      <c r="I8268" s="43" t="s">
        <v>949</v>
      </c>
      <c r="J8268" s="44" t="s">
        <v>1000</v>
      </c>
    </row>
    <row r="8269" ht="22" customHeight="1" spans="1:10" x14ac:dyDescent="0.25">
      <c r="A8269" s="43">
        <v>3130</v>
      </c>
      <c r="B8269" s="43">
        <v>18</v>
      </c>
      <c r="C8269" s="43" t="s">
        <v>962</v>
      </c>
      <c r="D8269" s="43" t="s">
        <v>1009</v>
      </c>
      <c r="E8269" s="43" t="s">
        <v>984</v>
      </c>
      <c r="F8269" s="43" t="s">
        <v>960</v>
      </c>
      <c r="G8269" s="43">
        <v>1877777</v>
      </c>
      <c r="H8269" s="43">
        <v>501100</v>
      </c>
      <c r="I8269" s="43" t="s">
        <v>949</v>
      </c>
      <c r="J8269" s="44" t="s">
        <v>1000</v>
      </c>
    </row>
    <row r="8270" ht="22" customHeight="1" spans="1:10" x14ac:dyDescent="0.25">
      <c r="A8270" s="43">
        <v>3130</v>
      </c>
      <c r="B8270" s="43">
        <v>18</v>
      </c>
      <c r="C8270" s="43" t="s">
        <v>962</v>
      </c>
      <c r="D8270" s="43" t="s">
        <v>1009</v>
      </c>
      <c r="E8270" s="43" t="s">
        <v>984</v>
      </c>
      <c r="F8270" s="43" t="s">
        <v>961</v>
      </c>
      <c r="G8270" s="43">
        <v>1877777</v>
      </c>
      <c r="H8270" s="43">
        <v>501100</v>
      </c>
      <c r="I8270" s="43" t="s">
        <v>949</v>
      </c>
      <c r="J8270" s="44" t="s">
        <v>1000</v>
      </c>
    </row>
    <row r="8271" ht="22" customHeight="1" spans="1:10" x14ac:dyDescent="0.25">
      <c r="A8271" s="43">
        <v>3130</v>
      </c>
      <c r="B8271" s="43">
        <v>18</v>
      </c>
      <c r="C8271" s="43" t="s">
        <v>963</v>
      </c>
      <c r="D8271" s="43" t="s">
        <v>1009</v>
      </c>
      <c r="E8271" s="43" t="s">
        <v>984</v>
      </c>
      <c r="F8271" s="43" t="s">
        <v>951</v>
      </c>
      <c r="G8271" s="43">
        <v>1877777</v>
      </c>
      <c r="H8271" s="43">
        <v>501100</v>
      </c>
      <c r="I8271" s="43" t="s">
        <v>949</v>
      </c>
      <c r="J8271" s="44" t="s">
        <v>1000</v>
      </c>
    </row>
    <row r="8272" ht="22" customHeight="1" spans="1:10" x14ac:dyDescent="0.25">
      <c r="A8272" s="43">
        <v>3130</v>
      </c>
      <c r="B8272" s="43">
        <v>18</v>
      </c>
      <c r="C8272" s="43" t="s">
        <v>963</v>
      </c>
      <c r="D8272" s="43" t="s">
        <v>1009</v>
      </c>
      <c r="E8272" s="43" t="s">
        <v>984</v>
      </c>
      <c r="F8272" s="43" t="s">
        <v>952</v>
      </c>
      <c r="G8272" s="43">
        <v>1877777</v>
      </c>
      <c r="H8272" s="43">
        <v>501100</v>
      </c>
      <c r="I8272" s="43" t="s">
        <v>949</v>
      </c>
      <c r="J8272" s="44" t="s">
        <v>1000</v>
      </c>
    </row>
    <row r="8273" ht="22" customHeight="1" spans="1:10" x14ac:dyDescent="0.25">
      <c r="A8273" s="43">
        <v>3130</v>
      </c>
      <c r="B8273" s="43">
        <v>18</v>
      </c>
      <c r="C8273" s="43" t="s">
        <v>963</v>
      </c>
      <c r="D8273" s="43" t="s">
        <v>1009</v>
      </c>
      <c r="E8273" s="43" t="s">
        <v>984</v>
      </c>
      <c r="F8273" s="43" t="s">
        <v>953</v>
      </c>
      <c r="G8273" s="43">
        <v>1877777</v>
      </c>
      <c r="H8273" s="43">
        <v>501100</v>
      </c>
      <c r="I8273" s="43" t="s">
        <v>949</v>
      </c>
      <c r="J8273" s="44" t="s">
        <v>1000</v>
      </c>
    </row>
    <row r="8274" ht="22" customHeight="1" spans="1:10" x14ac:dyDescent="0.25">
      <c r="A8274" s="43">
        <v>3130</v>
      </c>
      <c r="B8274" s="43">
        <v>18</v>
      </c>
      <c r="C8274" s="43" t="s">
        <v>963</v>
      </c>
      <c r="D8274" s="43" t="s">
        <v>1009</v>
      </c>
      <c r="E8274" s="43" t="s">
        <v>984</v>
      </c>
      <c r="F8274" s="43" t="s">
        <v>954</v>
      </c>
      <c r="G8274" s="43">
        <v>1877777</v>
      </c>
      <c r="H8274" s="43">
        <v>501100</v>
      </c>
      <c r="I8274" s="43" t="s">
        <v>949</v>
      </c>
      <c r="J8274" s="44" t="s">
        <v>1000</v>
      </c>
    </row>
    <row r="8275" ht="22" customHeight="1" spans="1:10" x14ac:dyDescent="0.25">
      <c r="A8275" s="43">
        <v>3130</v>
      </c>
      <c r="B8275" s="43">
        <v>18</v>
      </c>
      <c r="C8275" s="43" t="s">
        <v>963</v>
      </c>
      <c r="D8275" s="43" t="s">
        <v>1009</v>
      </c>
      <c r="E8275" s="43" t="s">
        <v>984</v>
      </c>
      <c r="F8275" s="43" t="s">
        <v>955</v>
      </c>
      <c r="G8275" s="43">
        <v>1877777</v>
      </c>
      <c r="H8275" s="43">
        <v>501100</v>
      </c>
      <c r="I8275" s="43" t="s">
        <v>949</v>
      </c>
      <c r="J8275" s="44" t="s">
        <v>1000</v>
      </c>
    </row>
    <row r="8276" ht="22" customHeight="1" spans="1:10" x14ac:dyDescent="0.25">
      <c r="A8276" s="43">
        <v>3130</v>
      </c>
      <c r="B8276" s="43">
        <v>18</v>
      </c>
      <c r="C8276" s="43" t="s">
        <v>963</v>
      </c>
      <c r="D8276" s="43" t="s">
        <v>1009</v>
      </c>
      <c r="E8276" s="43" t="s">
        <v>984</v>
      </c>
      <c r="F8276" s="43" t="s">
        <v>956</v>
      </c>
      <c r="G8276" s="43">
        <v>1877777</v>
      </c>
      <c r="H8276" s="43">
        <v>501100</v>
      </c>
      <c r="I8276" s="43" t="s">
        <v>949</v>
      </c>
      <c r="J8276" s="44" t="s">
        <v>1000</v>
      </c>
    </row>
    <row r="8277" ht="22" customHeight="1" spans="1:10" x14ac:dyDescent="0.25">
      <c r="A8277" s="43">
        <v>3130</v>
      </c>
      <c r="B8277" s="43">
        <v>18</v>
      </c>
      <c r="C8277" s="43" t="s">
        <v>963</v>
      </c>
      <c r="D8277" s="43" t="s">
        <v>1009</v>
      </c>
      <c r="E8277" s="43" t="s">
        <v>984</v>
      </c>
      <c r="F8277" s="43" t="s">
        <v>957</v>
      </c>
      <c r="G8277" s="43">
        <v>1877777</v>
      </c>
      <c r="H8277" s="43">
        <v>501100</v>
      </c>
      <c r="I8277" s="43" t="s">
        <v>949</v>
      </c>
      <c r="J8277" s="44" t="s">
        <v>1000</v>
      </c>
    </row>
    <row r="8278" ht="22" customHeight="1" spans="1:10" x14ac:dyDescent="0.25">
      <c r="A8278" s="43">
        <v>3130</v>
      </c>
      <c r="B8278" s="43">
        <v>18</v>
      </c>
      <c r="C8278" s="43" t="s">
        <v>963</v>
      </c>
      <c r="D8278" s="43" t="s">
        <v>1009</v>
      </c>
      <c r="E8278" s="43" t="s">
        <v>984</v>
      </c>
      <c r="F8278" s="43" t="s">
        <v>958</v>
      </c>
      <c r="G8278" s="43">
        <v>1877777</v>
      </c>
      <c r="H8278" s="43">
        <v>501100</v>
      </c>
      <c r="I8278" s="43" t="s">
        <v>949</v>
      </c>
      <c r="J8278" s="44" t="s">
        <v>1000</v>
      </c>
    </row>
    <row r="8279" ht="22" customHeight="1" spans="1:10" x14ac:dyDescent="0.25">
      <c r="A8279" s="43">
        <v>3130</v>
      </c>
      <c r="B8279" s="43">
        <v>18</v>
      </c>
      <c r="C8279" s="43" t="s">
        <v>963</v>
      </c>
      <c r="D8279" s="43" t="s">
        <v>1009</v>
      </c>
      <c r="E8279" s="43" t="s">
        <v>984</v>
      </c>
      <c r="F8279" s="43" t="s">
        <v>959</v>
      </c>
      <c r="G8279" s="43">
        <v>1877777</v>
      </c>
      <c r="H8279" s="43">
        <v>501100</v>
      </c>
      <c r="I8279" s="43" t="s">
        <v>949</v>
      </c>
      <c r="J8279" s="44" t="s">
        <v>1000</v>
      </c>
    </row>
    <row r="8280" ht="22" customHeight="1" spans="1:10" x14ac:dyDescent="0.25">
      <c r="A8280" s="43">
        <v>3130</v>
      </c>
      <c r="B8280" s="43">
        <v>18</v>
      </c>
      <c r="C8280" s="43" t="s">
        <v>963</v>
      </c>
      <c r="D8280" s="43" t="s">
        <v>1009</v>
      </c>
      <c r="E8280" s="43" t="s">
        <v>984</v>
      </c>
      <c r="F8280" s="43" t="s">
        <v>960</v>
      </c>
      <c r="G8280" s="43">
        <v>1877777</v>
      </c>
      <c r="H8280" s="43">
        <v>501100</v>
      </c>
      <c r="I8280" s="43" t="s">
        <v>949</v>
      </c>
      <c r="J8280" s="44" t="s">
        <v>1000</v>
      </c>
    </row>
    <row r="8281" ht="22" customHeight="1" spans="1:10" x14ac:dyDescent="0.25">
      <c r="A8281" s="43">
        <v>3130</v>
      </c>
      <c r="B8281" s="43">
        <v>18</v>
      </c>
      <c r="C8281" s="43" t="s">
        <v>963</v>
      </c>
      <c r="D8281" s="43" t="s">
        <v>1009</v>
      </c>
      <c r="E8281" s="43" t="s">
        <v>984</v>
      </c>
      <c r="F8281" s="43" t="s">
        <v>961</v>
      </c>
      <c r="G8281" s="43">
        <v>1877777</v>
      </c>
      <c r="H8281" s="43">
        <v>501100</v>
      </c>
      <c r="I8281" s="43" t="s">
        <v>949</v>
      </c>
      <c r="J8281" s="44" t="s">
        <v>1000</v>
      </c>
    </row>
    <row r="8282" spans="1:9" x14ac:dyDescent="0.25">
      <c r="A8282">
        <v>4122</v>
      </c>
      <c r="B8282">
        <v>18</v>
      </c>
      <c r="C8282" t="s">
        <v>946</v>
      </c>
      <c r="D8282" t="s">
        <v>1009</v>
      </c>
      <c r="E8282" t="s">
        <v>984</v>
      </c>
      <c r="F8282" t="s">
        <v>948</v>
      </c>
      <c r="G8282">
        <v>1800000</v>
      </c>
      <c r="H8282">
        <v>141000</v>
      </c>
      <c r="I8282" t="s">
        <v>985</v>
      </c>
    </row>
    <row r="8283" spans="1:9" x14ac:dyDescent="0.25">
      <c r="A8283">
        <v>4124</v>
      </c>
      <c r="B8283">
        <v>18</v>
      </c>
      <c r="C8283" t="s">
        <v>946</v>
      </c>
      <c r="D8283" t="s">
        <v>1009</v>
      </c>
      <c r="E8283" t="s">
        <v>984</v>
      </c>
      <c r="F8283" t="s">
        <v>948</v>
      </c>
      <c r="G8283">
        <v>1800000</v>
      </c>
      <c r="H8283">
        <v>501100</v>
      </c>
      <c r="I8283" t="s">
        <v>949</v>
      </c>
    </row>
    <row r="8284" spans="1:9" x14ac:dyDescent="0.25">
      <c r="A8284">
        <v>4140</v>
      </c>
      <c r="B8284">
        <v>18</v>
      </c>
      <c r="C8284" t="s">
        <v>946</v>
      </c>
      <c r="D8284" t="s">
        <v>1010</v>
      </c>
      <c r="E8284" t="s">
        <v>49</v>
      </c>
      <c r="F8284" t="s">
        <v>948</v>
      </c>
      <c r="G8284">
        <v>1877777</v>
      </c>
      <c r="H8284">
        <v>500460</v>
      </c>
      <c r="I8284" t="s">
        <v>949</v>
      </c>
    </row>
    <row r="8285" spans="1:9" x14ac:dyDescent="0.25">
      <c r="A8285">
        <v>4141</v>
      </c>
      <c r="B8285">
        <v>18</v>
      </c>
      <c r="C8285" t="s">
        <v>946</v>
      </c>
      <c r="D8285" t="s">
        <v>1010</v>
      </c>
      <c r="E8285" t="s">
        <v>49</v>
      </c>
      <c r="F8285" t="s">
        <v>948</v>
      </c>
      <c r="G8285">
        <v>1877777</v>
      </c>
      <c r="H8285">
        <v>500460</v>
      </c>
      <c r="I8285" t="s">
        <v>949</v>
      </c>
    </row>
    <row r="8286" spans="1:9" x14ac:dyDescent="0.25">
      <c r="A8286">
        <v>4162</v>
      </c>
      <c r="B8286">
        <v>18</v>
      </c>
      <c r="C8286" t="s">
        <v>946</v>
      </c>
      <c r="D8286" t="s">
        <v>1010</v>
      </c>
      <c r="E8286" t="s">
        <v>49</v>
      </c>
      <c r="F8286" t="s">
        <v>948</v>
      </c>
      <c r="G8286">
        <v>1800000</v>
      </c>
      <c r="H8286">
        <v>14200</v>
      </c>
      <c r="I8286" t="s">
        <v>949</v>
      </c>
    </row>
    <row r="8287" spans="1:9" x14ac:dyDescent="0.25">
      <c r="A8287">
        <v>4164</v>
      </c>
      <c r="B8287">
        <v>18</v>
      </c>
      <c r="C8287" t="s">
        <v>946</v>
      </c>
      <c r="D8287" t="s">
        <v>1010</v>
      </c>
      <c r="E8287" t="s">
        <v>49</v>
      </c>
      <c r="F8287" t="s">
        <v>948</v>
      </c>
      <c r="G8287">
        <v>1800000</v>
      </c>
      <c r="H8287">
        <v>14200</v>
      </c>
      <c r="I8287" t="s">
        <v>949</v>
      </c>
    </row>
    <row r="8288" spans="1:9" x14ac:dyDescent="0.25">
      <c r="A8288">
        <v>4122</v>
      </c>
      <c r="B8288">
        <v>18</v>
      </c>
      <c r="C8288" t="s">
        <v>946</v>
      </c>
      <c r="D8288" t="s">
        <v>1010</v>
      </c>
      <c r="E8288" t="s">
        <v>243</v>
      </c>
      <c r="F8288" t="s">
        <v>948</v>
      </c>
      <c r="G8288">
        <v>1800000</v>
      </c>
      <c r="H8288">
        <v>145000</v>
      </c>
      <c r="I8288" t="s">
        <v>949</v>
      </c>
    </row>
    <row r="8289" spans="1:9" x14ac:dyDescent="0.25">
      <c r="A8289">
        <v>4124</v>
      </c>
      <c r="B8289">
        <v>18</v>
      </c>
      <c r="C8289" t="s">
        <v>946</v>
      </c>
      <c r="D8289" t="s">
        <v>1010</v>
      </c>
      <c r="E8289" t="s">
        <v>243</v>
      </c>
      <c r="F8289" t="s">
        <v>948</v>
      </c>
      <c r="G8289">
        <v>1800000</v>
      </c>
      <c r="H8289">
        <v>145000</v>
      </c>
      <c r="I8289" t="s">
        <v>949</v>
      </c>
    </row>
    <row r="8290" spans="1:9" x14ac:dyDescent="0.25">
      <c r="A8290">
        <v>4126</v>
      </c>
      <c r="B8290">
        <v>18</v>
      </c>
      <c r="C8290" t="s">
        <v>946</v>
      </c>
      <c r="D8290" t="s">
        <v>1010</v>
      </c>
      <c r="E8290" t="s">
        <v>243</v>
      </c>
      <c r="F8290" t="s">
        <v>948</v>
      </c>
      <c r="G8290">
        <v>1800000</v>
      </c>
      <c r="H8290">
        <v>145000</v>
      </c>
      <c r="I8290" t="s">
        <v>949</v>
      </c>
    </row>
    <row r="8291" spans="1:9" x14ac:dyDescent="0.25">
      <c r="A8291">
        <v>4128</v>
      </c>
      <c r="B8291">
        <v>18</v>
      </c>
      <c r="C8291" t="s">
        <v>946</v>
      </c>
      <c r="D8291" t="s">
        <v>1010</v>
      </c>
      <c r="E8291" t="s">
        <v>243</v>
      </c>
      <c r="F8291" t="s">
        <v>948</v>
      </c>
      <c r="G8291">
        <v>1800000</v>
      </c>
      <c r="H8291">
        <v>145000</v>
      </c>
      <c r="I8291" t="s">
        <v>949</v>
      </c>
    </row>
    <row r="8292" spans="1:9" x14ac:dyDescent="0.25">
      <c r="A8292">
        <v>4122</v>
      </c>
      <c r="B8292">
        <v>18</v>
      </c>
      <c r="C8292" t="s">
        <v>946</v>
      </c>
      <c r="D8292" t="s">
        <v>1010</v>
      </c>
      <c r="E8292" t="s">
        <v>247</v>
      </c>
      <c r="F8292" t="s">
        <v>948</v>
      </c>
      <c r="G8292">
        <v>1800000</v>
      </c>
      <c r="H8292">
        <v>145000</v>
      </c>
      <c r="I8292" t="s">
        <v>949</v>
      </c>
    </row>
    <row r="8293" spans="1:9" x14ac:dyDescent="0.25">
      <c r="A8293">
        <v>4124</v>
      </c>
      <c r="B8293">
        <v>18</v>
      </c>
      <c r="C8293" t="s">
        <v>946</v>
      </c>
      <c r="D8293" t="s">
        <v>1010</v>
      </c>
      <c r="E8293" t="s">
        <v>247</v>
      </c>
      <c r="F8293" t="s">
        <v>948</v>
      </c>
      <c r="G8293">
        <v>1800000</v>
      </c>
      <c r="H8293">
        <v>145000</v>
      </c>
      <c r="I8293" t="s">
        <v>949</v>
      </c>
    </row>
    <row r="8294" spans="1:9" x14ac:dyDescent="0.25">
      <c r="A8294">
        <v>4126</v>
      </c>
      <c r="B8294">
        <v>18</v>
      </c>
      <c r="C8294" t="s">
        <v>946</v>
      </c>
      <c r="D8294" t="s">
        <v>1010</v>
      </c>
      <c r="E8294" t="s">
        <v>247</v>
      </c>
      <c r="F8294" t="s">
        <v>948</v>
      </c>
      <c r="G8294">
        <v>1800000</v>
      </c>
      <c r="H8294">
        <v>145000</v>
      </c>
      <c r="I8294" t="s">
        <v>949</v>
      </c>
    </row>
    <row r="8295" spans="1:9" x14ac:dyDescent="0.25">
      <c r="A8295">
        <v>4128</v>
      </c>
      <c r="B8295">
        <v>18</v>
      </c>
      <c r="C8295" t="s">
        <v>946</v>
      </c>
      <c r="D8295" t="s">
        <v>1010</v>
      </c>
      <c r="E8295" t="s">
        <v>247</v>
      </c>
      <c r="F8295" t="s">
        <v>948</v>
      </c>
      <c r="G8295">
        <v>1800000</v>
      </c>
      <c r="H8295">
        <v>145000</v>
      </c>
      <c r="I8295" t="s">
        <v>949</v>
      </c>
    </row>
    <row r="8296" spans="1:9" x14ac:dyDescent="0.25">
      <c r="A8296">
        <v>4122</v>
      </c>
      <c r="B8296">
        <v>18</v>
      </c>
      <c r="C8296" t="s">
        <v>946</v>
      </c>
      <c r="D8296" t="s">
        <v>1010</v>
      </c>
      <c r="E8296" t="s">
        <v>251</v>
      </c>
      <c r="F8296" t="s">
        <v>948</v>
      </c>
      <c r="G8296">
        <v>1800000</v>
      </c>
      <c r="H8296">
        <v>142000</v>
      </c>
      <c r="I8296" t="s">
        <v>949</v>
      </c>
    </row>
    <row r="8297" spans="1:9" x14ac:dyDescent="0.25">
      <c r="A8297">
        <v>4124</v>
      </c>
      <c r="B8297">
        <v>18</v>
      </c>
      <c r="C8297" t="s">
        <v>946</v>
      </c>
      <c r="D8297" t="s">
        <v>1010</v>
      </c>
      <c r="E8297" t="s">
        <v>251</v>
      </c>
      <c r="F8297" t="s">
        <v>948</v>
      </c>
      <c r="G8297">
        <v>1800000</v>
      </c>
      <c r="H8297">
        <v>142000</v>
      </c>
      <c r="I8297" t="s">
        <v>949</v>
      </c>
    </row>
    <row r="8298" spans="1:9" x14ac:dyDescent="0.25">
      <c r="A8298">
        <v>4126</v>
      </c>
      <c r="B8298">
        <v>18</v>
      </c>
      <c r="C8298" t="s">
        <v>946</v>
      </c>
      <c r="D8298" t="s">
        <v>1010</v>
      </c>
      <c r="E8298" t="s">
        <v>251</v>
      </c>
      <c r="F8298" t="s">
        <v>948</v>
      </c>
      <c r="G8298">
        <v>1800000</v>
      </c>
      <c r="H8298">
        <v>142000</v>
      </c>
      <c r="I8298" t="s">
        <v>949</v>
      </c>
    </row>
    <row r="8299" spans="1:9" x14ac:dyDescent="0.25">
      <c r="A8299">
        <v>4128</v>
      </c>
      <c r="B8299">
        <v>18</v>
      </c>
      <c r="C8299" t="s">
        <v>946</v>
      </c>
      <c r="D8299" t="s">
        <v>1010</v>
      </c>
      <c r="E8299" t="s">
        <v>251</v>
      </c>
      <c r="F8299" t="s">
        <v>948</v>
      </c>
      <c r="G8299">
        <v>1800000</v>
      </c>
      <c r="H8299">
        <v>142000</v>
      </c>
      <c r="I8299" t="s">
        <v>949</v>
      </c>
    </row>
    <row r="8300" spans="1:9" x14ac:dyDescent="0.25">
      <c r="A8300">
        <v>4122</v>
      </c>
      <c r="B8300">
        <v>18</v>
      </c>
      <c r="C8300" t="s">
        <v>946</v>
      </c>
      <c r="D8300" t="s">
        <v>1010</v>
      </c>
      <c r="E8300" t="s">
        <v>969</v>
      </c>
      <c r="F8300" t="s">
        <v>948</v>
      </c>
      <c r="G8300">
        <v>1800000</v>
      </c>
      <c r="H8300">
        <v>141000</v>
      </c>
      <c r="I8300" t="s">
        <v>970</v>
      </c>
    </row>
    <row r="8301" spans="1:9" x14ac:dyDescent="0.25">
      <c r="A8301">
        <v>4124</v>
      </c>
      <c r="B8301">
        <v>18</v>
      </c>
      <c r="C8301" t="s">
        <v>946</v>
      </c>
      <c r="D8301" t="s">
        <v>1010</v>
      </c>
      <c r="E8301" t="s">
        <v>969</v>
      </c>
      <c r="F8301" t="s">
        <v>948</v>
      </c>
      <c r="G8301">
        <v>1800000</v>
      </c>
      <c r="H8301">
        <v>141000</v>
      </c>
      <c r="I8301" t="s">
        <v>970</v>
      </c>
    </row>
    <row r="8302" spans="1:9" x14ac:dyDescent="0.25">
      <c r="A8302">
        <v>4126</v>
      </c>
      <c r="B8302">
        <v>18</v>
      </c>
      <c r="C8302" t="s">
        <v>946</v>
      </c>
      <c r="D8302" t="s">
        <v>1010</v>
      </c>
      <c r="E8302" t="s">
        <v>969</v>
      </c>
      <c r="F8302" t="s">
        <v>948</v>
      </c>
      <c r="G8302">
        <v>1800000</v>
      </c>
      <c r="H8302">
        <v>141000</v>
      </c>
      <c r="I8302" t="s">
        <v>970</v>
      </c>
    </row>
    <row r="8303" spans="1:9" x14ac:dyDescent="0.25">
      <c r="A8303">
        <v>4128</v>
      </c>
      <c r="B8303">
        <v>18</v>
      </c>
      <c r="C8303" t="s">
        <v>946</v>
      </c>
      <c r="D8303" t="s">
        <v>1010</v>
      </c>
      <c r="E8303" t="s">
        <v>969</v>
      </c>
      <c r="F8303" t="s">
        <v>948</v>
      </c>
      <c r="G8303">
        <v>1800000</v>
      </c>
      <c r="H8303">
        <v>141000</v>
      </c>
      <c r="I8303" t="s">
        <v>970</v>
      </c>
    </row>
    <row r="8304" spans="1:9" x14ac:dyDescent="0.25">
      <c r="A8304">
        <v>4122</v>
      </c>
      <c r="B8304">
        <v>18</v>
      </c>
      <c r="C8304" t="s">
        <v>946</v>
      </c>
      <c r="D8304" t="s">
        <v>1010</v>
      </c>
      <c r="E8304" t="s">
        <v>255</v>
      </c>
      <c r="F8304" t="s">
        <v>948</v>
      </c>
      <c r="G8304">
        <v>1800000</v>
      </c>
      <c r="H8304">
        <v>145000</v>
      </c>
      <c r="I8304" t="s">
        <v>949</v>
      </c>
    </row>
    <row r="8305" spans="1:9" x14ac:dyDescent="0.25">
      <c r="A8305">
        <v>4124</v>
      </c>
      <c r="B8305">
        <v>18</v>
      </c>
      <c r="C8305" t="s">
        <v>946</v>
      </c>
      <c r="D8305" t="s">
        <v>1010</v>
      </c>
      <c r="E8305" t="s">
        <v>255</v>
      </c>
      <c r="F8305" t="s">
        <v>948</v>
      </c>
      <c r="G8305">
        <v>1800000</v>
      </c>
      <c r="H8305">
        <v>145000</v>
      </c>
      <c r="I8305" t="s">
        <v>949</v>
      </c>
    </row>
    <row r="8306" spans="1:9" x14ac:dyDescent="0.25">
      <c r="A8306">
        <v>4126</v>
      </c>
      <c r="B8306">
        <v>18</v>
      </c>
      <c r="C8306" t="s">
        <v>946</v>
      </c>
      <c r="D8306" t="s">
        <v>1010</v>
      </c>
      <c r="E8306" t="s">
        <v>255</v>
      </c>
      <c r="F8306" t="s">
        <v>948</v>
      </c>
      <c r="G8306">
        <v>1800000</v>
      </c>
      <c r="H8306">
        <v>145000</v>
      </c>
      <c r="I8306" t="s">
        <v>949</v>
      </c>
    </row>
    <row r="8307" spans="1:9" x14ac:dyDescent="0.25">
      <c r="A8307">
        <v>4128</v>
      </c>
      <c r="B8307">
        <v>18</v>
      </c>
      <c r="C8307" t="s">
        <v>946</v>
      </c>
      <c r="D8307" t="s">
        <v>1010</v>
      </c>
      <c r="E8307" t="s">
        <v>255</v>
      </c>
      <c r="F8307" t="s">
        <v>948</v>
      </c>
      <c r="G8307">
        <v>1800000</v>
      </c>
      <c r="H8307">
        <v>145000</v>
      </c>
      <c r="I8307" t="s">
        <v>949</v>
      </c>
    </row>
    <row r="8308" spans="1:9" x14ac:dyDescent="0.25">
      <c r="A8308">
        <v>4122</v>
      </c>
      <c r="B8308">
        <v>18</v>
      </c>
      <c r="C8308" t="s">
        <v>946</v>
      </c>
      <c r="D8308" t="s">
        <v>1010</v>
      </c>
      <c r="E8308" t="s">
        <v>971</v>
      </c>
      <c r="F8308" t="s">
        <v>948</v>
      </c>
      <c r="G8308">
        <v>1800000</v>
      </c>
      <c r="H8308">
        <v>141000</v>
      </c>
      <c r="I8308" t="s">
        <v>972</v>
      </c>
    </row>
    <row r="8309" spans="1:9" x14ac:dyDescent="0.25">
      <c r="A8309">
        <v>4124</v>
      </c>
      <c r="B8309">
        <v>18</v>
      </c>
      <c r="C8309" t="s">
        <v>946</v>
      </c>
      <c r="D8309" t="s">
        <v>1010</v>
      </c>
      <c r="E8309" t="s">
        <v>971</v>
      </c>
      <c r="F8309" t="s">
        <v>948</v>
      </c>
      <c r="G8309">
        <v>1800000</v>
      </c>
      <c r="H8309">
        <v>141000</v>
      </c>
      <c r="I8309" t="s">
        <v>972</v>
      </c>
    </row>
    <row r="8310" spans="1:9" x14ac:dyDescent="0.25">
      <c r="A8310">
        <v>4126</v>
      </c>
      <c r="B8310">
        <v>18</v>
      </c>
      <c r="C8310" t="s">
        <v>946</v>
      </c>
      <c r="D8310" t="s">
        <v>1010</v>
      </c>
      <c r="E8310" t="s">
        <v>971</v>
      </c>
      <c r="F8310" t="s">
        <v>948</v>
      </c>
      <c r="G8310">
        <v>1800000</v>
      </c>
      <c r="H8310">
        <v>141000</v>
      </c>
      <c r="I8310" t="s">
        <v>972</v>
      </c>
    </row>
    <row r="8311" spans="1:9" x14ac:dyDescent="0.25">
      <c r="A8311">
        <v>4128</v>
      </c>
      <c r="B8311">
        <v>18</v>
      </c>
      <c r="C8311" t="s">
        <v>946</v>
      </c>
      <c r="D8311" t="s">
        <v>1010</v>
      </c>
      <c r="E8311" t="s">
        <v>971</v>
      </c>
      <c r="F8311" t="s">
        <v>948</v>
      </c>
      <c r="G8311">
        <v>1800000</v>
      </c>
      <c r="H8311">
        <v>141000</v>
      </c>
      <c r="I8311" t="s">
        <v>972</v>
      </c>
    </row>
    <row r="8312" spans="1:9" x14ac:dyDescent="0.25">
      <c r="A8312">
        <v>4122</v>
      </c>
      <c r="B8312">
        <v>18</v>
      </c>
      <c r="C8312" t="s">
        <v>946</v>
      </c>
      <c r="D8312" t="s">
        <v>1010</v>
      </c>
      <c r="E8312" t="s">
        <v>263</v>
      </c>
      <c r="F8312" t="s">
        <v>948</v>
      </c>
      <c r="G8312">
        <v>1800000</v>
      </c>
      <c r="H8312">
        <v>145000</v>
      </c>
      <c r="I8312" t="s">
        <v>949</v>
      </c>
    </row>
    <row r="8313" spans="1:9" x14ac:dyDescent="0.25">
      <c r="A8313">
        <v>4124</v>
      </c>
      <c r="B8313">
        <v>18</v>
      </c>
      <c r="C8313" t="s">
        <v>946</v>
      </c>
      <c r="D8313" t="s">
        <v>1010</v>
      </c>
      <c r="E8313" t="s">
        <v>263</v>
      </c>
      <c r="F8313" t="s">
        <v>948</v>
      </c>
      <c r="G8313">
        <v>1800000</v>
      </c>
      <c r="H8313">
        <v>145000</v>
      </c>
      <c r="I8313" t="s">
        <v>949</v>
      </c>
    </row>
    <row r="8314" spans="1:9" x14ac:dyDescent="0.25">
      <c r="A8314">
        <v>4126</v>
      </c>
      <c r="B8314">
        <v>18</v>
      </c>
      <c r="C8314" t="s">
        <v>946</v>
      </c>
      <c r="D8314" t="s">
        <v>1010</v>
      </c>
      <c r="E8314" t="s">
        <v>263</v>
      </c>
      <c r="F8314" t="s">
        <v>948</v>
      </c>
      <c r="G8314">
        <v>1800000</v>
      </c>
      <c r="H8314">
        <v>145000</v>
      </c>
      <c r="I8314" t="s">
        <v>949</v>
      </c>
    </row>
    <row r="8315" spans="1:9" x14ac:dyDescent="0.25">
      <c r="A8315">
        <v>4128</v>
      </c>
      <c r="B8315">
        <v>18</v>
      </c>
      <c r="C8315" t="s">
        <v>946</v>
      </c>
      <c r="D8315" t="s">
        <v>1010</v>
      </c>
      <c r="E8315" t="s">
        <v>263</v>
      </c>
      <c r="F8315" t="s">
        <v>948</v>
      </c>
      <c r="G8315">
        <v>1800000</v>
      </c>
      <c r="H8315">
        <v>145000</v>
      </c>
      <c r="I8315" t="s">
        <v>949</v>
      </c>
    </row>
    <row r="8316" spans="1:9" x14ac:dyDescent="0.25">
      <c r="A8316">
        <v>4122</v>
      </c>
      <c r="B8316">
        <v>18</v>
      </c>
      <c r="C8316" t="s">
        <v>946</v>
      </c>
      <c r="D8316" t="s">
        <v>1010</v>
      </c>
      <c r="E8316" t="s">
        <v>100</v>
      </c>
      <c r="F8316" t="s">
        <v>948</v>
      </c>
      <c r="G8316">
        <v>1877777</v>
      </c>
      <c r="H8316">
        <v>500220</v>
      </c>
      <c r="I8316" t="s">
        <v>949</v>
      </c>
    </row>
    <row r="8317" spans="1:9" x14ac:dyDescent="0.25">
      <c r="A8317">
        <v>4124</v>
      </c>
      <c r="B8317">
        <v>18</v>
      </c>
      <c r="C8317" t="s">
        <v>946</v>
      </c>
      <c r="D8317" t="s">
        <v>1010</v>
      </c>
      <c r="E8317" t="s">
        <v>100</v>
      </c>
      <c r="F8317" t="s">
        <v>948</v>
      </c>
      <c r="G8317">
        <v>1877777</v>
      </c>
      <c r="H8317">
        <v>500221</v>
      </c>
      <c r="I8317" t="s">
        <v>949</v>
      </c>
    </row>
    <row r="8318" spans="1:9" x14ac:dyDescent="0.25">
      <c r="A8318">
        <v>4126</v>
      </c>
      <c r="B8318">
        <v>18</v>
      </c>
      <c r="C8318" t="s">
        <v>946</v>
      </c>
      <c r="D8318" t="s">
        <v>1010</v>
      </c>
      <c r="E8318" t="s">
        <v>100</v>
      </c>
      <c r="F8318" t="s">
        <v>948</v>
      </c>
      <c r="G8318">
        <v>1877777</v>
      </c>
      <c r="H8318">
        <v>500220</v>
      </c>
      <c r="I8318" t="s">
        <v>949</v>
      </c>
    </row>
    <row r="8319" spans="1:9" x14ac:dyDescent="0.25">
      <c r="A8319">
        <v>4128</v>
      </c>
      <c r="B8319">
        <v>18</v>
      </c>
      <c r="C8319" t="s">
        <v>946</v>
      </c>
      <c r="D8319" t="s">
        <v>1010</v>
      </c>
      <c r="E8319" t="s">
        <v>100</v>
      </c>
      <c r="F8319" t="s">
        <v>948</v>
      </c>
      <c r="G8319">
        <v>1877777</v>
      </c>
      <c r="H8319">
        <v>500221</v>
      </c>
      <c r="I8319" t="s">
        <v>949</v>
      </c>
    </row>
    <row r="8320" spans="1:9" x14ac:dyDescent="0.25">
      <c r="A8320">
        <v>4122</v>
      </c>
      <c r="B8320">
        <v>18</v>
      </c>
      <c r="C8320" t="s">
        <v>946</v>
      </c>
      <c r="D8320" t="s">
        <v>1010</v>
      </c>
      <c r="E8320" t="s">
        <v>270</v>
      </c>
      <c r="F8320" t="s">
        <v>948</v>
      </c>
      <c r="G8320">
        <v>1800000</v>
      </c>
      <c r="H8320">
        <v>145000</v>
      </c>
      <c r="I8320" t="s">
        <v>949</v>
      </c>
    </row>
    <row r="8321" spans="1:9" x14ac:dyDescent="0.25">
      <c r="A8321">
        <v>4124</v>
      </c>
      <c r="B8321">
        <v>18</v>
      </c>
      <c r="C8321" t="s">
        <v>946</v>
      </c>
      <c r="D8321" t="s">
        <v>1010</v>
      </c>
      <c r="E8321" t="s">
        <v>270</v>
      </c>
      <c r="F8321" t="s">
        <v>948</v>
      </c>
      <c r="G8321">
        <v>1800000</v>
      </c>
      <c r="H8321">
        <v>145000</v>
      </c>
      <c r="I8321" t="s">
        <v>949</v>
      </c>
    </row>
    <row r="8322" spans="1:9" x14ac:dyDescent="0.25">
      <c r="A8322">
        <v>4126</v>
      </c>
      <c r="B8322">
        <v>18</v>
      </c>
      <c r="C8322" t="s">
        <v>946</v>
      </c>
      <c r="D8322" t="s">
        <v>1010</v>
      </c>
      <c r="E8322" t="s">
        <v>270</v>
      </c>
      <c r="F8322" t="s">
        <v>948</v>
      </c>
      <c r="G8322">
        <v>1800000</v>
      </c>
      <c r="H8322">
        <v>145000</v>
      </c>
      <c r="I8322" t="s">
        <v>949</v>
      </c>
    </row>
    <row r="8323" spans="1:9" x14ac:dyDescent="0.25">
      <c r="A8323">
        <v>4128</v>
      </c>
      <c r="B8323">
        <v>18</v>
      </c>
      <c r="C8323" t="s">
        <v>946</v>
      </c>
      <c r="D8323" t="s">
        <v>1010</v>
      </c>
      <c r="E8323" t="s">
        <v>270</v>
      </c>
      <c r="F8323" t="s">
        <v>948</v>
      </c>
      <c r="G8323">
        <v>1800000</v>
      </c>
      <c r="H8323">
        <v>145000</v>
      </c>
      <c r="I8323" t="s">
        <v>949</v>
      </c>
    </row>
    <row r="8324" spans="1:9" x14ac:dyDescent="0.25">
      <c r="A8324">
        <v>4122</v>
      </c>
      <c r="B8324">
        <v>18</v>
      </c>
      <c r="C8324" t="s">
        <v>946</v>
      </c>
      <c r="D8324" t="s">
        <v>1010</v>
      </c>
      <c r="E8324" t="s">
        <v>274</v>
      </c>
      <c r="F8324" t="s">
        <v>948</v>
      </c>
      <c r="G8324">
        <v>1800000</v>
      </c>
      <c r="H8324">
        <v>143000</v>
      </c>
      <c r="I8324" t="s">
        <v>973</v>
      </c>
    </row>
    <row r="8325" spans="1:9" x14ac:dyDescent="0.25">
      <c r="A8325">
        <v>4124</v>
      </c>
      <c r="B8325">
        <v>18</v>
      </c>
      <c r="C8325" t="s">
        <v>946</v>
      </c>
      <c r="D8325" t="s">
        <v>1010</v>
      </c>
      <c r="E8325" t="s">
        <v>274</v>
      </c>
      <c r="F8325" t="s">
        <v>948</v>
      </c>
      <c r="G8325">
        <v>1800000</v>
      </c>
      <c r="H8325">
        <v>143000</v>
      </c>
      <c r="I8325" t="s">
        <v>973</v>
      </c>
    </row>
    <row r="8326" spans="1:9" x14ac:dyDescent="0.25">
      <c r="A8326">
        <v>4126</v>
      </c>
      <c r="B8326">
        <v>18</v>
      </c>
      <c r="C8326" t="s">
        <v>946</v>
      </c>
      <c r="D8326" t="s">
        <v>1010</v>
      </c>
      <c r="E8326" t="s">
        <v>274</v>
      </c>
      <c r="F8326" t="s">
        <v>948</v>
      </c>
      <c r="G8326">
        <v>1800000</v>
      </c>
      <c r="H8326">
        <v>143000</v>
      </c>
      <c r="I8326" t="s">
        <v>973</v>
      </c>
    </row>
    <row r="8327" spans="1:9" x14ac:dyDescent="0.25">
      <c r="A8327">
        <v>4128</v>
      </c>
      <c r="B8327">
        <v>18</v>
      </c>
      <c r="C8327" t="s">
        <v>946</v>
      </c>
      <c r="D8327" t="s">
        <v>1010</v>
      </c>
      <c r="E8327" t="s">
        <v>274</v>
      </c>
      <c r="F8327" t="s">
        <v>948</v>
      </c>
      <c r="G8327">
        <v>1800000</v>
      </c>
      <c r="H8327">
        <v>143000</v>
      </c>
      <c r="I8327" t="s">
        <v>973</v>
      </c>
    </row>
    <row r="8328" spans="1:9" x14ac:dyDescent="0.25">
      <c r="A8328">
        <v>4122</v>
      </c>
      <c r="B8328">
        <v>18</v>
      </c>
      <c r="C8328" t="s">
        <v>946</v>
      </c>
      <c r="D8328" t="s">
        <v>1010</v>
      </c>
      <c r="E8328" t="s">
        <v>974</v>
      </c>
      <c r="F8328" t="s">
        <v>948</v>
      </c>
      <c r="G8328">
        <v>1800000</v>
      </c>
      <c r="H8328">
        <v>141000</v>
      </c>
      <c r="I8328" t="s">
        <v>975</v>
      </c>
    </row>
    <row r="8329" spans="1:9" x14ac:dyDescent="0.25">
      <c r="A8329">
        <v>4124</v>
      </c>
      <c r="B8329">
        <v>18</v>
      </c>
      <c r="C8329" t="s">
        <v>946</v>
      </c>
      <c r="D8329" t="s">
        <v>1010</v>
      </c>
      <c r="E8329" t="s">
        <v>974</v>
      </c>
      <c r="F8329" t="s">
        <v>948</v>
      </c>
      <c r="G8329">
        <v>1800000</v>
      </c>
      <c r="H8329">
        <v>141000</v>
      </c>
      <c r="I8329" t="s">
        <v>975</v>
      </c>
    </row>
    <row r="8330" spans="1:9" x14ac:dyDescent="0.25">
      <c r="A8330">
        <v>4126</v>
      </c>
      <c r="B8330">
        <v>18</v>
      </c>
      <c r="C8330" t="s">
        <v>946</v>
      </c>
      <c r="D8330" t="s">
        <v>1010</v>
      </c>
      <c r="E8330" t="s">
        <v>974</v>
      </c>
      <c r="F8330" t="s">
        <v>948</v>
      </c>
      <c r="G8330">
        <v>1800000</v>
      </c>
      <c r="H8330">
        <v>141000</v>
      </c>
      <c r="I8330" t="s">
        <v>975</v>
      </c>
    </row>
    <row r="8331" spans="1:9" x14ac:dyDescent="0.25">
      <c r="A8331">
        <v>4128</v>
      </c>
      <c r="B8331">
        <v>18</v>
      </c>
      <c r="C8331" t="s">
        <v>946</v>
      </c>
      <c r="D8331" t="s">
        <v>1010</v>
      </c>
      <c r="E8331" t="s">
        <v>974</v>
      </c>
      <c r="F8331" t="s">
        <v>948</v>
      </c>
      <c r="G8331">
        <v>1800000</v>
      </c>
      <c r="H8331">
        <v>141000</v>
      </c>
      <c r="I8331" t="s">
        <v>975</v>
      </c>
    </row>
    <row r="8332" spans="1:9" x14ac:dyDescent="0.25">
      <c r="A8332">
        <v>4122</v>
      </c>
      <c r="B8332">
        <v>18</v>
      </c>
      <c r="C8332" t="s">
        <v>946</v>
      </c>
      <c r="D8332" t="s">
        <v>1010</v>
      </c>
      <c r="E8332" t="s">
        <v>104</v>
      </c>
      <c r="F8332" t="s">
        <v>948</v>
      </c>
      <c r="G8332">
        <v>1877777</v>
      </c>
      <c r="H8332">
        <v>500220</v>
      </c>
      <c r="I8332" t="s">
        <v>949</v>
      </c>
    </row>
    <row r="8333" spans="1:9" x14ac:dyDescent="0.25">
      <c r="A8333">
        <v>4124</v>
      </c>
      <c r="B8333">
        <v>18</v>
      </c>
      <c r="C8333" t="s">
        <v>946</v>
      </c>
      <c r="D8333" t="s">
        <v>1010</v>
      </c>
      <c r="E8333" t="s">
        <v>104</v>
      </c>
      <c r="F8333" t="s">
        <v>948</v>
      </c>
      <c r="G8333">
        <v>1877777</v>
      </c>
      <c r="H8333">
        <v>500221</v>
      </c>
      <c r="I8333" t="s">
        <v>949</v>
      </c>
    </row>
    <row r="8334" spans="1:9" x14ac:dyDescent="0.25">
      <c r="A8334">
        <v>4126</v>
      </c>
      <c r="B8334">
        <v>18</v>
      </c>
      <c r="C8334" t="s">
        <v>946</v>
      </c>
      <c r="D8334" t="s">
        <v>1010</v>
      </c>
      <c r="E8334" t="s">
        <v>104</v>
      </c>
      <c r="F8334" t="s">
        <v>948</v>
      </c>
      <c r="G8334">
        <v>1877777</v>
      </c>
      <c r="H8334">
        <v>500220</v>
      </c>
      <c r="I8334" t="s">
        <v>949</v>
      </c>
    </row>
    <row r="8335" spans="1:9" x14ac:dyDescent="0.25">
      <c r="A8335">
        <v>4128</v>
      </c>
      <c r="B8335">
        <v>18</v>
      </c>
      <c r="C8335" t="s">
        <v>946</v>
      </c>
      <c r="D8335" t="s">
        <v>1010</v>
      </c>
      <c r="E8335" t="s">
        <v>104</v>
      </c>
      <c r="F8335" t="s">
        <v>948</v>
      </c>
      <c r="G8335">
        <v>1877777</v>
      </c>
      <c r="H8335">
        <v>500221</v>
      </c>
      <c r="I8335" t="s">
        <v>949</v>
      </c>
    </row>
    <row r="8336" spans="1:9" x14ac:dyDescent="0.25">
      <c r="A8336">
        <v>4122</v>
      </c>
      <c r="B8336">
        <v>18</v>
      </c>
      <c r="C8336" t="s">
        <v>946</v>
      </c>
      <c r="D8336" t="s">
        <v>1010</v>
      </c>
      <c r="E8336" t="s">
        <v>278</v>
      </c>
      <c r="F8336" t="s">
        <v>948</v>
      </c>
      <c r="G8336">
        <v>1800000</v>
      </c>
      <c r="H8336">
        <v>145000</v>
      </c>
      <c r="I8336" t="s">
        <v>949</v>
      </c>
    </row>
    <row r="8337" spans="1:9" x14ac:dyDescent="0.25">
      <c r="A8337">
        <v>4124</v>
      </c>
      <c r="B8337">
        <v>18</v>
      </c>
      <c r="C8337" t="s">
        <v>946</v>
      </c>
      <c r="D8337" t="s">
        <v>1010</v>
      </c>
      <c r="E8337" t="s">
        <v>278</v>
      </c>
      <c r="F8337" t="s">
        <v>948</v>
      </c>
      <c r="G8337">
        <v>1800000</v>
      </c>
      <c r="H8337">
        <v>145000</v>
      </c>
      <c r="I8337" t="s">
        <v>949</v>
      </c>
    </row>
    <row r="8338" spans="1:9" x14ac:dyDescent="0.25">
      <c r="A8338">
        <v>4126</v>
      </c>
      <c r="B8338">
        <v>18</v>
      </c>
      <c r="C8338" t="s">
        <v>946</v>
      </c>
      <c r="D8338" t="s">
        <v>1010</v>
      </c>
      <c r="E8338" t="s">
        <v>278</v>
      </c>
      <c r="F8338" t="s">
        <v>948</v>
      </c>
      <c r="G8338">
        <v>1800000</v>
      </c>
      <c r="H8338">
        <v>145000</v>
      </c>
      <c r="I8338" t="s">
        <v>949</v>
      </c>
    </row>
    <row r="8339" spans="1:9" x14ac:dyDescent="0.25">
      <c r="A8339">
        <v>4128</v>
      </c>
      <c r="B8339">
        <v>18</v>
      </c>
      <c r="C8339" t="s">
        <v>946</v>
      </c>
      <c r="D8339" t="s">
        <v>1010</v>
      </c>
      <c r="E8339" t="s">
        <v>278</v>
      </c>
      <c r="F8339" t="s">
        <v>948</v>
      </c>
      <c r="G8339">
        <v>1800000</v>
      </c>
      <c r="H8339">
        <v>145000</v>
      </c>
      <c r="I8339" t="s">
        <v>949</v>
      </c>
    </row>
    <row r="8340" spans="1:9" x14ac:dyDescent="0.25">
      <c r="A8340">
        <v>4122</v>
      </c>
      <c r="B8340">
        <v>18</v>
      </c>
      <c r="C8340" t="s">
        <v>946</v>
      </c>
      <c r="D8340" t="s">
        <v>1010</v>
      </c>
      <c r="E8340" t="s">
        <v>282</v>
      </c>
      <c r="F8340" t="s">
        <v>948</v>
      </c>
      <c r="G8340">
        <v>1800000</v>
      </c>
      <c r="H8340">
        <v>143100</v>
      </c>
      <c r="I8340" t="s">
        <v>949</v>
      </c>
    </row>
    <row r="8341" spans="1:9" x14ac:dyDescent="0.25">
      <c r="A8341">
        <v>4124</v>
      </c>
      <c r="B8341">
        <v>18</v>
      </c>
      <c r="C8341" t="s">
        <v>946</v>
      </c>
      <c r="D8341" t="s">
        <v>1010</v>
      </c>
      <c r="E8341" t="s">
        <v>282</v>
      </c>
      <c r="F8341" t="s">
        <v>948</v>
      </c>
      <c r="G8341">
        <v>1800000</v>
      </c>
      <c r="H8341">
        <v>143100</v>
      </c>
      <c r="I8341" t="s">
        <v>949</v>
      </c>
    </row>
    <row r="8342" spans="1:9" x14ac:dyDescent="0.25">
      <c r="A8342">
        <v>4126</v>
      </c>
      <c r="B8342">
        <v>18</v>
      </c>
      <c r="C8342" t="s">
        <v>946</v>
      </c>
      <c r="D8342" t="s">
        <v>1010</v>
      </c>
      <c r="E8342" t="s">
        <v>282</v>
      </c>
      <c r="F8342" t="s">
        <v>948</v>
      </c>
      <c r="G8342">
        <v>1800000</v>
      </c>
      <c r="H8342">
        <v>143100</v>
      </c>
      <c r="I8342" t="s">
        <v>949</v>
      </c>
    </row>
    <row r="8343" spans="1:9" x14ac:dyDescent="0.25">
      <c r="A8343">
        <v>4128</v>
      </c>
      <c r="B8343">
        <v>18</v>
      </c>
      <c r="C8343" t="s">
        <v>946</v>
      </c>
      <c r="D8343" t="s">
        <v>1010</v>
      </c>
      <c r="E8343" t="s">
        <v>282</v>
      </c>
      <c r="F8343" t="s">
        <v>948</v>
      </c>
      <c r="G8343">
        <v>1877777</v>
      </c>
      <c r="H8343">
        <v>500460</v>
      </c>
      <c r="I8343" t="s">
        <v>949</v>
      </c>
    </row>
    <row r="8344" spans="1:9" x14ac:dyDescent="0.25">
      <c r="A8344">
        <v>4122</v>
      </c>
      <c r="B8344">
        <v>18</v>
      </c>
      <c r="C8344" t="s">
        <v>946</v>
      </c>
      <c r="D8344" t="s">
        <v>1010</v>
      </c>
      <c r="E8344" t="s">
        <v>286</v>
      </c>
      <c r="F8344" t="s">
        <v>948</v>
      </c>
      <c r="G8344">
        <v>1800000</v>
      </c>
      <c r="H8344">
        <v>145000</v>
      </c>
      <c r="I8344" t="s">
        <v>949</v>
      </c>
    </row>
    <row r="8345" spans="1:9" x14ac:dyDescent="0.25">
      <c r="A8345">
        <v>4124</v>
      </c>
      <c r="B8345">
        <v>18</v>
      </c>
      <c r="C8345" t="s">
        <v>946</v>
      </c>
      <c r="D8345" t="s">
        <v>1010</v>
      </c>
      <c r="E8345" t="s">
        <v>286</v>
      </c>
      <c r="F8345" t="s">
        <v>948</v>
      </c>
      <c r="G8345">
        <v>1800000</v>
      </c>
      <c r="H8345">
        <v>145000</v>
      </c>
      <c r="I8345" t="s">
        <v>949</v>
      </c>
    </row>
    <row r="8346" spans="1:9" x14ac:dyDescent="0.25">
      <c r="A8346">
        <v>4126</v>
      </c>
      <c r="B8346">
        <v>18</v>
      </c>
      <c r="C8346" t="s">
        <v>946</v>
      </c>
      <c r="D8346" t="s">
        <v>1010</v>
      </c>
      <c r="E8346" t="s">
        <v>286</v>
      </c>
      <c r="F8346" t="s">
        <v>948</v>
      </c>
      <c r="G8346">
        <v>1800000</v>
      </c>
      <c r="H8346">
        <v>145000</v>
      </c>
      <c r="I8346" t="s">
        <v>949</v>
      </c>
    </row>
    <row r="8347" spans="1:9" x14ac:dyDescent="0.25">
      <c r="A8347">
        <v>4128</v>
      </c>
      <c r="B8347">
        <v>18</v>
      </c>
      <c r="C8347" t="s">
        <v>946</v>
      </c>
      <c r="D8347" t="s">
        <v>1010</v>
      </c>
      <c r="E8347" t="s">
        <v>286</v>
      </c>
      <c r="F8347" t="s">
        <v>948</v>
      </c>
      <c r="G8347">
        <v>1800000</v>
      </c>
      <c r="H8347">
        <v>145000</v>
      </c>
      <c r="I8347" t="s">
        <v>949</v>
      </c>
    </row>
    <row r="8348" spans="1:9" x14ac:dyDescent="0.25">
      <c r="A8348">
        <v>4122</v>
      </c>
      <c r="B8348">
        <v>18</v>
      </c>
      <c r="C8348" t="s">
        <v>946</v>
      </c>
      <c r="D8348" t="s">
        <v>1010</v>
      </c>
      <c r="E8348" t="s">
        <v>976</v>
      </c>
      <c r="F8348" t="s">
        <v>948</v>
      </c>
      <c r="G8348">
        <v>1800000</v>
      </c>
      <c r="H8348">
        <v>141000</v>
      </c>
      <c r="I8348" t="s">
        <v>977</v>
      </c>
    </row>
    <row r="8349" spans="1:9" x14ac:dyDescent="0.25">
      <c r="A8349">
        <v>4124</v>
      </c>
      <c r="B8349">
        <v>18</v>
      </c>
      <c r="C8349" t="s">
        <v>946</v>
      </c>
      <c r="D8349" t="s">
        <v>1010</v>
      </c>
      <c r="E8349" t="s">
        <v>976</v>
      </c>
      <c r="F8349" t="s">
        <v>948</v>
      </c>
      <c r="G8349">
        <v>1800000</v>
      </c>
      <c r="H8349">
        <v>141000</v>
      </c>
      <c r="I8349" t="s">
        <v>977</v>
      </c>
    </row>
    <row r="8350" spans="1:9" x14ac:dyDescent="0.25">
      <c r="A8350">
        <v>4126</v>
      </c>
      <c r="B8350">
        <v>18</v>
      </c>
      <c r="C8350" t="s">
        <v>946</v>
      </c>
      <c r="D8350" t="s">
        <v>1010</v>
      </c>
      <c r="E8350" t="s">
        <v>976</v>
      </c>
      <c r="F8350" t="s">
        <v>948</v>
      </c>
      <c r="G8350">
        <v>1800000</v>
      </c>
      <c r="H8350">
        <v>141000</v>
      </c>
      <c r="I8350" t="s">
        <v>977</v>
      </c>
    </row>
    <row r="8351" spans="1:9" x14ac:dyDescent="0.25">
      <c r="A8351">
        <v>4128</v>
      </c>
      <c r="B8351">
        <v>18</v>
      </c>
      <c r="C8351" t="s">
        <v>946</v>
      </c>
      <c r="D8351" t="s">
        <v>1010</v>
      </c>
      <c r="E8351" t="s">
        <v>976</v>
      </c>
      <c r="F8351" t="s">
        <v>948</v>
      </c>
      <c r="G8351">
        <v>1800000</v>
      </c>
      <c r="H8351">
        <v>141000</v>
      </c>
      <c r="I8351" t="s">
        <v>977</v>
      </c>
    </row>
    <row r="8352" spans="1:9" x14ac:dyDescent="0.25">
      <c r="A8352">
        <v>4122</v>
      </c>
      <c r="B8352">
        <v>18</v>
      </c>
      <c r="C8352" t="s">
        <v>946</v>
      </c>
      <c r="D8352" t="s">
        <v>1010</v>
      </c>
      <c r="E8352" t="s">
        <v>290</v>
      </c>
      <c r="F8352" t="s">
        <v>948</v>
      </c>
      <c r="G8352">
        <v>1800000</v>
      </c>
      <c r="H8352">
        <v>143000</v>
      </c>
      <c r="I8352" t="s">
        <v>978</v>
      </c>
    </row>
    <row r="8353" spans="1:9" x14ac:dyDescent="0.25">
      <c r="A8353">
        <v>4124</v>
      </c>
      <c r="B8353">
        <v>18</v>
      </c>
      <c r="C8353" t="s">
        <v>946</v>
      </c>
      <c r="D8353" t="s">
        <v>1010</v>
      </c>
      <c r="E8353" t="s">
        <v>290</v>
      </c>
      <c r="F8353" t="s">
        <v>948</v>
      </c>
      <c r="G8353">
        <v>1800000</v>
      </c>
      <c r="H8353">
        <v>143000</v>
      </c>
      <c r="I8353" t="s">
        <v>978</v>
      </c>
    </row>
    <row r="8354" spans="1:9" x14ac:dyDescent="0.25">
      <c r="A8354">
        <v>4126</v>
      </c>
      <c r="B8354">
        <v>18</v>
      </c>
      <c r="C8354" t="s">
        <v>946</v>
      </c>
      <c r="D8354" t="s">
        <v>1010</v>
      </c>
      <c r="E8354" t="s">
        <v>290</v>
      </c>
      <c r="F8354" t="s">
        <v>948</v>
      </c>
      <c r="G8354">
        <v>1800000</v>
      </c>
      <c r="H8354">
        <v>143000</v>
      </c>
      <c r="I8354" t="s">
        <v>978</v>
      </c>
    </row>
    <row r="8355" spans="1:9" x14ac:dyDescent="0.25">
      <c r="A8355">
        <v>4128</v>
      </c>
      <c r="B8355">
        <v>18</v>
      </c>
      <c r="C8355" t="s">
        <v>946</v>
      </c>
      <c r="D8355" t="s">
        <v>1010</v>
      </c>
      <c r="E8355" t="s">
        <v>290</v>
      </c>
      <c r="F8355" t="s">
        <v>948</v>
      </c>
      <c r="G8355">
        <v>1800000</v>
      </c>
      <c r="H8355">
        <v>143000</v>
      </c>
      <c r="I8355" t="s">
        <v>978</v>
      </c>
    </row>
    <row r="8356" spans="1:9" x14ac:dyDescent="0.25">
      <c r="A8356">
        <v>4122</v>
      </c>
      <c r="B8356">
        <v>18</v>
      </c>
      <c r="C8356" t="s">
        <v>946</v>
      </c>
      <c r="D8356" t="s">
        <v>1010</v>
      </c>
      <c r="E8356" t="s">
        <v>294</v>
      </c>
      <c r="F8356" t="s">
        <v>948</v>
      </c>
      <c r="G8356">
        <v>1800000</v>
      </c>
      <c r="H8356">
        <v>143000</v>
      </c>
      <c r="I8356" t="s">
        <v>979</v>
      </c>
    </row>
    <row r="8357" spans="1:9" x14ac:dyDescent="0.25">
      <c r="A8357">
        <v>4124</v>
      </c>
      <c r="B8357">
        <v>18</v>
      </c>
      <c r="C8357" t="s">
        <v>946</v>
      </c>
      <c r="D8357" t="s">
        <v>1010</v>
      </c>
      <c r="E8357" t="s">
        <v>294</v>
      </c>
      <c r="F8357" t="s">
        <v>948</v>
      </c>
      <c r="G8357">
        <v>1800000</v>
      </c>
      <c r="H8357">
        <v>143000</v>
      </c>
      <c r="I8357" t="s">
        <v>979</v>
      </c>
    </row>
    <row r="8358" spans="1:9" x14ac:dyDescent="0.25">
      <c r="A8358">
        <v>4126</v>
      </c>
      <c r="B8358">
        <v>18</v>
      </c>
      <c r="C8358" t="s">
        <v>946</v>
      </c>
      <c r="D8358" t="s">
        <v>1010</v>
      </c>
      <c r="E8358" t="s">
        <v>294</v>
      </c>
      <c r="F8358" t="s">
        <v>948</v>
      </c>
      <c r="G8358">
        <v>1800000</v>
      </c>
      <c r="H8358">
        <v>143000</v>
      </c>
      <c r="I8358" t="s">
        <v>979</v>
      </c>
    </row>
    <row r="8359" spans="1:9" x14ac:dyDescent="0.25">
      <c r="A8359">
        <v>4128</v>
      </c>
      <c r="B8359">
        <v>18</v>
      </c>
      <c r="C8359" t="s">
        <v>946</v>
      </c>
      <c r="D8359" t="s">
        <v>1010</v>
      </c>
      <c r="E8359" t="s">
        <v>294</v>
      </c>
      <c r="F8359" t="s">
        <v>948</v>
      </c>
      <c r="G8359">
        <v>1800000</v>
      </c>
      <c r="H8359">
        <v>143000</v>
      </c>
      <c r="I8359" t="s">
        <v>979</v>
      </c>
    </row>
    <row r="8360" spans="1:9" x14ac:dyDescent="0.25">
      <c r="A8360">
        <v>4122</v>
      </c>
      <c r="B8360">
        <v>18</v>
      </c>
      <c r="C8360" t="s">
        <v>946</v>
      </c>
      <c r="D8360" t="s">
        <v>1010</v>
      </c>
      <c r="E8360" t="s">
        <v>980</v>
      </c>
      <c r="F8360" t="s">
        <v>948</v>
      </c>
      <c r="G8360">
        <v>1800000</v>
      </c>
      <c r="H8360">
        <v>141000</v>
      </c>
      <c r="I8360" t="s">
        <v>981</v>
      </c>
    </row>
    <row r="8361" spans="1:9" x14ac:dyDescent="0.25">
      <c r="A8361">
        <v>4124</v>
      </c>
      <c r="B8361">
        <v>18</v>
      </c>
      <c r="C8361" t="s">
        <v>946</v>
      </c>
      <c r="D8361" t="s">
        <v>1010</v>
      </c>
      <c r="E8361" t="s">
        <v>980</v>
      </c>
      <c r="F8361" t="s">
        <v>948</v>
      </c>
      <c r="G8361">
        <v>1800000</v>
      </c>
      <c r="H8361">
        <v>141000</v>
      </c>
      <c r="I8361" t="s">
        <v>981</v>
      </c>
    </row>
    <row r="8362" spans="1:9" x14ac:dyDescent="0.25">
      <c r="A8362">
        <v>4126</v>
      </c>
      <c r="B8362">
        <v>18</v>
      </c>
      <c r="C8362" t="s">
        <v>946</v>
      </c>
      <c r="D8362" t="s">
        <v>1010</v>
      </c>
      <c r="E8362" t="s">
        <v>980</v>
      </c>
      <c r="F8362" t="s">
        <v>948</v>
      </c>
      <c r="G8362">
        <v>1800000</v>
      </c>
      <c r="H8362">
        <v>141000</v>
      </c>
      <c r="I8362" t="s">
        <v>981</v>
      </c>
    </row>
    <row r="8363" spans="1:9" x14ac:dyDescent="0.25">
      <c r="A8363">
        <v>4128</v>
      </c>
      <c r="B8363">
        <v>18</v>
      </c>
      <c r="C8363" t="s">
        <v>946</v>
      </c>
      <c r="D8363" t="s">
        <v>1010</v>
      </c>
      <c r="E8363" t="s">
        <v>980</v>
      </c>
      <c r="F8363" t="s">
        <v>948</v>
      </c>
      <c r="G8363">
        <v>1800000</v>
      </c>
      <c r="H8363">
        <v>141000</v>
      </c>
      <c r="I8363" t="s">
        <v>981</v>
      </c>
    </row>
    <row r="8364" spans="1:9" x14ac:dyDescent="0.25">
      <c r="A8364">
        <v>4122</v>
      </c>
      <c r="B8364">
        <v>18</v>
      </c>
      <c r="C8364" t="s">
        <v>946</v>
      </c>
      <c r="D8364" t="s">
        <v>1010</v>
      </c>
      <c r="E8364" t="s">
        <v>302</v>
      </c>
      <c r="F8364" t="s">
        <v>948</v>
      </c>
      <c r="G8364">
        <v>1800000</v>
      </c>
      <c r="H8364">
        <v>143000</v>
      </c>
      <c r="I8364" t="s">
        <v>982</v>
      </c>
    </row>
    <row r="8365" spans="1:9" x14ac:dyDescent="0.25">
      <c r="A8365">
        <v>4124</v>
      </c>
      <c r="B8365">
        <v>18</v>
      </c>
      <c r="C8365" t="s">
        <v>946</v>
      </c>
      <c r="D8365" t="s">
        <v>1010</v>
      </c>
      <c r="E8365" t="s">
        <v>302</v>
      </c>
      <c r="F8365" t="s">
        <v>948</v>
      </c>
      <c r="G8365">
        <v>1800000</v>
      </c>
      <c r="H8365">
        <v>143000</v>
      </c>
      <c r="I8365" t="s">
        <v>982</v>
      </c>
    </row>
    <row r="8366" spans="1:9" x14ac:dyDescent="0.25">
      <c r="A8366">
        <v>4126</v>
      </c>
      <c r="B8366">
        <v>18</v>
      </c>
      <c r="C8366" t="s">
        <v>946</v>
      </c>
      <c r="D8366" t="s">
        <v>1010</v>
      </c>
      <c r="E8366" t="s">
        <v>302</v>
      </c>
      <c r="F8366" t="s">
        <v>948</v>
      </c>
      <c r="G8366">
        <v>1800000</v>
      </c>
      <c r="H8366">
        <v>143000</v>
      </c>
      <c r="I8366" t="s">
        <v>982</v>
      </c>
    </row>
    <row r="8367" spans="1:9" x14ac:dyDescent="0.25">
      <c r="A8367">
        <v>4128</v>
      </c>
      <c r="B8367">
        <v>18</v>
      </c>
      <c r="C8367" t="s">
        <v>946</v>
      </c>
      <c r="D8367" t="s">
        <v>1010</v>
      </c>
      <c r="E8367" t="s">
        <v>302</v>
      </c>
      <c r="F8367" t="s">
        <v>948</v>
      </c>
      <c r="G8367">
        <v>1800000</v>
      </c>
      <c r="H8367">
        <v>143000</v>
      </c>
      <c r="I8367" t="s">
        <v>982</v>
      </c>
    </row>
    <row r="8368" spans="1:9" x14ac:dyDescent="0.25">
      <c r="A8368">
        <v>4122</v>
      </c>
      <c r="B8368">
        <v>18</v>
      </c>
      <c r="C8368" t="s">
        <v>946</v>
      </c>
      <c r="D8368" t="s">
        <v>1010</v>
      </c>
      <c r="E8368" t="s">
        <v>306</v>
      </c>
      <c r="F8368" t="s">
        <v>948</v>
      </c>
      <c r="G8368">
        <v>1800000</v>
      </c>
      <c r="H8368">
        <v>143000</v>
      </c>
      <c r="I8368" t="s">
        <v>983</v>
      </c>
    </row>
    <row r="8369" spans="1:9" x14ac:dyDescent="0.25">
      <c r="A8369">
        <v>4124</v>
      </c>
      <c r="B8369">
        <v>18</v>
      </c>
      <c r="C8369" t="s">
        <v>946</v>
      </c>
      <c r="D8369" t="s">
        <v>1010</v>
      </c>
      <c r="E8369" t="s">
        <v>306</v>
      </c>
      <c r="F8369" t="s">
        <v>948</v>
      </c>
      <c r="G8369">
        <v>1800000</v>
      </c>
      <c r="H8369">
        <v>143000</v>
      </c>
      <c r="I8369" t="s">
        <v>983</v>
      </c>
    </row>
    <row r="8370" spans="1:9" x14ac:dyDescent="0.25">
      <c r="A8370">
        <v>4126</v>
      </c>
      <c r="B8370">
        <v>18</v>
      </c>
      <c r="C8370" t="s">
        <v>946</v>
      </c>
      <c r="D8370" t="s">
        <v>1010</v>
      </c>
      <c r="E8370" t="s">
        <v>306</v>
      </c>
      <c r="F8370" t="s">
        <v>948</v>
      </c>
      <c r="G8370">
        <v>1800000</v>
      </c>
      <c r="H8370">
        <v>143000</v>
      </c>
      <c r="I8370" t="s">
        <v>983</v>
      </c>
    </row>
    <row r="8371" spans="1:9" x14ac:dyDescent="0.25">
      <c r="A8371">
        <v>4128</v>
      </c>
      <c r="B8371">
        <v>18</v>
      </c>
      <c r="C8371" t="s">
        <v>946</v>
      </c>
      <c r="D8371" t="s">
        <v>1010</v>
      </c>
      <c r="E8371" t="s">
        <v>306</v>
      </c>
      <c r="F8371" t="s">
        <v>948</v>
      </c>
      <c r="G8371">
        <v>1800000</v>
      </c>
      <c r="H8371">
        <v>143000</v>
      </c>
      <c r="I8371" t="s">
        <v>983</v>
      </c>
    </row>
    <row r="8372" spans="1:9" x14ac:dyDescent="0.25">
      <c r="A8372">
        <v>4122</v>
      </c>
      <c r="B8372">
        <v>18</v>
      </c>
      <c r="C8372" t="s">
        <v>946</v>
      </c>
      <c r="D8372" t="s">
        <v>1010</v>
      </c>
      <c r="E8372" t="s">
        <v>108</v>
      </c>
      <c r="F8372" t="s">
        <v>948</v>
      </c>
      <c r="G8372">
        <v>1877777</v>
      </c>
      <c r="H8372">
        <v>500220</v>
      </c>
      <c r="I8372" t="s">
        <v>949</v>
      </c>
    </row>
    <row r="8373" spans="1:9" x14ac:dyDescent="0.25">
      <c r="A8373">
        <v>4124</v>
      </c>
      <c r="B8373">
        <v>18</v>
      </c>
      <c r="C8373" t="s">
        <v>946</v>
      </c>
      <c r="D8373" t="s">
        <v>1010</v>
      </c>
      <c r="E8373" t="s">
        <v>108</v>
      </c>
      <c r="F8373" t="s">
        <v>948</v>
      </c>
      <c r="G8373">
        <v>1877777</v>
      </c>
      <c r="H8373">
        <v>500221</v>
      </c>
      <c r="I8373" t="s">
        <v>949</v>
      </c>
    </row>
    <row r="8374" spans="1:9" x14ac:dyDescent="0.25">
      <c r="A8374">
        <v>4126</v>
      </c>
      <c r="B8374">
        <v>18</v>
      </c>
      <c r="C8374" t="s">
        <v>946</v>
      </c>
      <c r="D8374" t="s">
        <v>1010</v>
      </c>
      <c r="E8374" t="s">
        <v>108</v>
      </c>
      <c r="F8374" t="s">
        <v>948</v>
      </c>
      <c r="G8374">
        <v>1877777</v>
      </c>
      <c r="H8374">
        <v>500220</v>
      </c>
      <c r="I8374" t="s">
        <v>949</v>
      </c>
    </row>
    <row r="8375" spans="1:9" x14ac:dyDescent="0.25">
      <c r="A8375">
        <v>4128</v>
      </c>
      <c r="B8375">
        <v>18</v>
      </c>
      <c r="C8375" t="s">
        <v>946</v>
      </c>
      <c r="D8375" t="s">
        <v>1010</v>
      </c>
      <c r="E8375" t="s">
        <v>108</v>
      </c>
      <c r="F8375" t="s">
        <v>948</v>
      </c>
      <c r="G8375">
        <v>1877777</v>
      </c>
      <c r="H8375">
        <v>500221</v>
      </c>
      <c r="I8375" t="s">
        <v>949</v>
      </c>
    </row>
    <row r="8376" spans="1:9" x14ac:dyDescent="0.25">
      <c r="A8376">
        <v>4122</v>
      </c>
      <c r="B8376">
        <v>18</v>
      </c>
      <c r="C8376" t="s">
        <v>946</v>
      </c>
      <c r="D8376" t="s">
        <v>1010</v>
      </c>
      <c r="E8376" t="s">
        <v>310</v>
      </c>
      <c r="F8376" t="s">
        <v>948</v>
      </c>
      <c r="G8376">
        <v>1800000</v>
      </c>
      <c r="H8376">
        <v>145000</v>
      </c>
      <c r="I8376" t="s">
        <v>949</v>
      </c>
    </row>
    <row r="8377" spans="1:9" x14ac:dyDescent="0.25">
      <c r="A8377">
        <v>4124</v>
      </c>
      <c r="B8377">
        <v>18</v>
      </c>
      <c r="C8377" t="s">
        <v>946</v>
      </c>
      <c r="D8377" t="s">
        <v>1010</v>
      </c>
      <c r="E8377" t="s">
        <v>310</v>
      </c>
      <c r="F8377" t="s">
        <v>948</v>
      </c>
      <c r="G8377">
        <v>1800000</v>
      </c>
      <c r="H8377">
        <v>145000</v>
      </c>
      <c r="I8377" t="s">
        <v>949</v>
      </c>
    </row>
    <row r="8378" spans="1:9" x14ac:dyDescent="0.25">
      <c r="A8378">
        <v>4126</v>
      </c>
      <c r="B8378">
        <v>18</v>
      </c>
      <c r="C8378" t="s">
        <v>946</v>
      </c>
      <c r="D8378" t="s">
        <v>1010</v>
      </c>
      <c r="E8378" t="s">
        <v>310</v>
      </c>
      <c r="F8378" t="s">
        <v>948</v>
      </c>
      <c r="G8378">
        <v>1800000</v>
      </c>
      <c r="H8378">
        <v>145000</v>
      </c>
      <c r="I8378" t="s">
        <v>949</v>
      </c>
    </row>
    <row r="8379" spans="1:9" x14ac:dyDescent="0.25">
      <c r="A8379">
        <v>4128</v>
      </c>
      <c r="B8379">
        <v>18</v>
      </c>
      <c r="C8379" t="s">
        <v>946</v>
      </c>
      <c r="D8379" t="s">
        <v>1010</v>
      </c>
      <c r="E8379" t="s">
        <v>310</v>
      </c>
      <c r="F8379" t="s">
        <v>948</v>
      </c>
      <c r="G8379">
        <v>1800000</v>
      </c>
      <c r="H8379">
        <v>145000</v>
      </c>
      <c r="I8379" t="s">
        <v>949</v>
      </c>
    </row>
    <row r="8380" spans="1:9" x14ac:dyDescent="0.25">
      <c r="A8380">
        <v>4122</v>
      </c>
      <c r="B8380">
        <v>18</v>
      </c>
      <c r="C8380" t="s">
        <v>946</v>
      </c>
      <c r="D8380" t="s">
        <v>1010</v>
      </c>
      <c r="E8380" t="s">
        <v>314</v>
      </c>
      <c r="F8380" t="s">
        <v>948</v>
      </c>
      <c r="G8380">
        <v>1800000</v>
      </c>
      <c r="H8380">
        <v>145000</v>
      </c>
      <c r="I8380" t="s">
        <v>949</v>
      </c>
    </row>
    <row r="8381" spans="1:9" x14ac:dyDescent="0.25">
      <c r="A8381">
        <v>4124</v>
      </c>
      <c r="B8381">
        <v>18</v>
      </c>
      <c r="C8381" t="s">
        <v>946</v>
      </c>
      <c r="D8381" t="s">
        <v>1010</v>
      </c>
      <c r="E8381" t="s">
        <v>314</v>
      </c>
      <c r="F8381" t="s">
        <v>948</v>
      </c>
      <c r="G8381">
        <v>1800000</v>
      </c>
      <c r="H8381">
        <v>145000</v>
      </c>
      <c r="I8381" t="s">
        <v>949</v>
      </c>
    </row>
    <row r="8382" spans="1:9" x14ac:dyDescent="0.25">
      <c r="A8382">
        <v>4126</v>
      </c>
      <c r="B8382">
        <v>18</v>
      </c>
      <c r="C8382" t="s">
        <v>946</v>
      </c>
      <c r="D8382" t="s">
        <v>1010</v>
      </c>
      <c r="E8382" t="s">
        <v>314</v>
      </c>
      <c r="F8382" t="s">
        <v>948</v>
      </c>
      <c r="G8382">
        <v>1800000</v>
      </c>
      <c r="H8382">
        <v>145000</v>
      </c>
      <c r="I8382" t="s">
        <v>949</v>
      </c>
    </row>
    <row r="8383" spans="1:9" x14ac:dyDescent="0.25">
      <c r="A8383">
        <v>4128</v>
      </c>
      <c r="B8383">
        <v>18</v>
      </c>
      <c r="C8383" t="s">
        <v>946</v>
      </c>
      <c r="D8383" t="s">
        <v>1010</v>
      </c>
      <c r="E8383" t="s">
        <v>314</v>
      </c>
      <c r="F8383" t="s">
        <v>948</v>
      </c>
      <c r="G8383">
        <v>1800000</v>
      </c>
      <c r="H8383">
        <v>145000</v>
      </c>
      <c r="I8383" t="s">
        <v>949</v>
      </c>
    </row>
    <row r="8384" spans="1:9" x14ac:dyDescent="0.25">
      <c r="A8384">
        <v>4122</v>
      </c>
      <c r="B8384">
        <v>18</v>
      </c>
      <c r="C8384" t="s">
        <v>946</v>
      </c>
      <c r="D8384" t="s">
        <v>1010</v>
      </c>
      <c r="E8384" t="s">
        <v>121</v>
      </c>
      <c r="F8384" t="s">
        <v>948</v>
      </c>
      <c r="G8384">
        <v>1877777</v>
      </c>
      <c r="H8384">
        <v>500220</v>
      </c>
      <c r="I8384" t="s">
        <v>949</v>
      </c>
    </row>
    <row r="8385" spans="1:9" x14ac:dyDescent="0.25">
      <c r="A8385">
        <v>4124</v>
      </c>
      <c r="B8385">
        <v>18</v>
      </c>
      <c r="C8385" t="s">
        <v>946</v>
      </c>
      <c r="D8385" t="s">
        <v>1010</v>
      </c>
      <c r="E8385" t="s">
        <v>121</v>
      </c>
      <c r="F8385" t="s">
        <v>948</v>
      </c>
      <c r="G8385">
        <v>1877777</v>
      </c>
      <c r="H8385">
        <v>500221</v>
      </c>
      <c r="I8385" t="s">
        <v>949</v>
      </c>
    </row>
    <row r="8386" spans="1:9" x14ac:dyDescent="0.25">
      <c r="A8386">
        <v>4126</v>
      </c>
      <c r="B8386">
        <v>18</v>
      </c>
      <c r="C8386" t="s">
        <v>946</v>
      </c>
      <c r="D8386" t="s">
        <v>1010</v>
      </c>
      <c r="E8386" t="s">
        <v>121</v>
      </c>
      <c r="F8386" t="s">
        <v>948</v>
      </c>
      <c r="G8386">
        <v>1877777</v>
      </c>
      <c r="H8386">
        <v>500220</v>
      </c>
      <c r="I8386" t="s">
        <v>949</v>
      </c>
    </row>
    <row r="8387" spans="1:9" x14ac:dyDescent="0.25">
      <c r="A8387">
        <v>4128</v>
      </c>
      <c r="B8387">
        <v>18</v>
      </c>
      <c r="C8387" t="s">
        <v>946</v>
      </c>
      <c r="D8387" t="s">
        <v>1010</v>
      </c>
      <c r="E8387" t="s">
        <v>121</v>
      </c>
      <c r="F8387" t="s">
        <v>948</v>
      </c>
      <c r="G8387">
        <v>1877777</v>
      </c>
      <c r="H8387">
        <v>500221</v>
      </c>
      <c r="I8387" t="s">
        <v>949</v>
      </c>
    </row>
    <row r="8388" spans="1:9" x14ac:dyDescent="0.25">
      <c r="A8388">
        <v>4122</v>
      </c>
      <c r="B8388">
        <v>18</v>
      </c>
      <c r="C8388" t="s">
        <v>946</v>
      </c>
      <c r="D8388" t="s">
        <v>1010</v>
      </c>
      <c r="E8388" t="s">
        <v>984</v>
      </c>
      <c r="F8388" t="s">
        <v>948</v>
      </c>
      <c r="G8388">
        <v>1800000</v>
      </c>
      <c r="H8388">
        <v>141000</v>
      </c>
      <c r="I8388" t="s">
        <v>985</v>
      </c>
    </row>
    <row r="8389" spans="1:9" x14ac:dyDescent="0.25">
      <c r="A8389">
        <v>4124</v>
      </c>
      <c r="B8389">
        <v>18</v>
      </c>
      <c r="C8389" t="s">
        <v>946</v>
      </c>
      <c r="D8389" t="s">
        <v>1010</v>
      </c>
      <c r="E8389" t="s">
        <v>984</v>
      </c>
      <c r="F8389" t="s">
        <v>948</v>
      </c>
      <c r="G8389">
        <v>1800000</v>
      </c>
      <c r="H8389">
        <v>141000</v>
      </c>
      <c r="I8389" t="s">
        <v>985</v>
      </c>
    </row>
    <row r="8390" spans="1:9" x14ac:dyDescent="0.25">
      <c r="A8390">
        <v>4126</v>
      </c>
      <c r="B8390">
        <v>18</v>
      </c>
      <c r="C8390" t="s">
        <v>946</v>
      </c>
      <c r="D8390" t="s">
        <v>1010</v>
      </c>
      <c r="E8390" t="s">
        <v>984</v>
      </c>
      <c r="F8390" t="s">
        <v>948</v>
      </c>
      <c r="G8390">
        <v>1800000</v>
      </c>
      <c r="H8390">
        <v>141000</v>
      </c>
      <c r="I8390" t="s">
        <v>985</v>
      </c>
    </row>
    <row r="8391" spans="1:9" x14ac:dyDescent="0.25">
      <c r="A8391">
        <v>4128</v>
      </c>
      <c r="B8391">
        <v>18</v>
      </c>
      <c r="C8391" t="s">
        <v>946</v>
      </c>
      <c r="D8391" t="s">
        <v>1010</v>
      </c>
      <c r="E8391" t="s">
        <v>984</v>
      </c>
      <c r="F8391" t="s">
        <v>948</v>
      </c>
      <c r="G8391">
        <v>1800000</v>
      </c>
      <c r="H8391">
        <v>141000</v>
      </c>
      <c r="I8391" t="s">
        <v>985</v>
      </c>
    </row>
    <row r="8392" spans="1:9" x14ac:dyDescent="0.25">
      <c r="A8392">
        <v>3220</v>
      </c>
      <c r="B8392">
        <v>18</v>
      </c>
      <c r="C8392" t="s">
        <v>950</v>
      </c>
      <c r="D8392" t="s">
        <v>1011</v>
      </c>
      <c r="E8392" t="s">
        <v>49</v>
      </c>
      <c r="F8392" t="s">
        <v>954</v>
      </c>
      <c r="G8392">
        <v>1877777</v>
      </c>
      <c r="H8392">
        <v>501030</v>
      </c>
      <c r="I8392" t="s">
        <v>949</v>
      </c>
    </row>
    <row r="8393" spans="1:9" x14ac:dyDescent="0.25">
      <c r="A8393">
        <v>3220</v>
      </c>
      <c r="B8393">
        <v>18</v>
      </c>
      <c r="C8393" t="s">
        <v>950</v>
      </c>
      <c r="D8393" t="s">
        <v>1011</v>
      </c>
      <c r="E8393" t="s">
        <v>49</v>
      </c>
      <c r="F8393" t="s">
        <v>955</v>
      </c>
      <c r="G8393">
        <v>1877777</v>
      </c>
      <c r="H8393">
        <v>505100</v>
      </c>
      <c r="I8393" t="s">
        <v>949</v>
      </c>
    </row>
    <row r="8394" spans="1:9" x14ac:dyDescent="0.25">
      <c r="A8394">
        <v>3220</v>
      </c>
      <c r="B8394">
        <v>18</v>
      </c>
      <c r="C8394" t="s">
        <v>950</v>
      </c>
      <c r="D8394" t="s">
        <v>1011</v>
      </c>
      <c r="E8394" t="s">
        <v>49</v>
      </c>
      <c r="F8394" t="s">
        <v>956</v>
      </c>
      <c r="G8394">
        <v>1877777</v>
      </c>
      <c r="H8394">
        <v>501090</v>
      </c>
      <c r="I8394" t="s">
        <v>949</v>
      </c>
    </row>
    <row r="8395" spans="1:9" x14ac:dyDescent="0.25">
      <c r="A8395">
        <v>3220</v>
      </c>
      <c r="B8395">
        <v>18</v>
      </c>
      <c r="C8395" t="s">
        <v>950</v>
      </c>
      <c r="D8395" t="s">
        <v>1011</v>
      </c>
      <c r="E8395" t="s">
        <v>49</v>
      </c>
      <c r="F8395" t="s">
        <v>957</v>
      </c>
      <c r="G8395">
        <v>1877777</v>
      </c>
      <c r="H8395">
        <v>501090</v>
      </c>
      <c r="I8395" t="s">
        <v>949</v>
      </c>
    </row>
    <row r="8396" spans="1:9" x14ac:dyDescent="0.25">
      <c r="A8396">
        <v>3220</v>
      </c>
      <c r="B8396">
        <v>18</v>
      </c>
      <c r="C8396" t="s">
        <v>950</v>
      </c>
      <c r="D8396" t="s">
        <v>1011</v>
      </c>
      <c r="E8396" t="s">
        <v>49</v>
      </c>
      <c r="F8396" t="s">
        <v>958</v>
      </c>
      <c r="G8396">
        <v>1877777</v>
      </c>
      <c r="H8396">
        <v>501090</v>
      </c>
      <c r="I8396" t="s">
        <v>949</v>
      </c>
    </row>
    <row r="8397" spans="1:9" x14ac:dyDescent="0.25">
      <c r="A8397">
        <v>3220</v>
      </c>
      <c r="B8397">
        <v>18</v>
      </c>
      <c r="C8397" t="s">
        <v>962</v>
      </c>
      <c r="D8397" t="s">
        <v>1011</v>
      </c>
      <c r="E8397" t="s">
        <v>49</v>
      </c>
      <c r="F8397" t="s">
        <v>954</v>
      </c>
      <c r="G8397">
        <v>1877777</v>
      </c>
      <c r="H8397">
        <v>501030</v>
      </c>
      <c r="I8397" t="s">
        <v>949</v>
      </c>
    </row>
    <row r="8398" spans="1:9" x14ac:dyDescent="0.25">
      <c r="A8398">
        <v>3220</v>
      </c>
      <c r="B8398">
        <v>18</v>
      </c>
      <c r="C8398" t="s">
        <v>962</v>
      </c>
      <c r="D8398" t="s">
        <v>1011</v>
      </c>
      <c r="E8398" t="s">
        <v>49</v>
      </c>
      <c r="F8398" t="s">
        <v>955</v>
      </c>
      <c r="G8398">
        <v>1877777</v>
      </c>
      <c r="H8398">
        <v>505100</v>
      </c>
      <c r="I8398" t="s">
        <v>949</v>
      </c>
    </row>
    <row r="8399" spans="1:9" x14ac:dyDescent="0.25">
      <c r="A8399">
        <v>3220</v>
      </c>
      <c r="B8399">
        <v>18</v>
      </c>
      <c r="C8399" t="s">
        <v>962</v>
      </c>
      <c r="D8399" t="s">
        <v>1011</v>
      </c>
      <c r="E8399" t="s">
        <v>49</v>
      </c>
      <c r="F8399" t="s">
        <v>956</v>
      </c>
      <c r="G8399">
        <v>1877777</v>
      </c>
      <c r="H8399">
        <v>501090</v>
      </c>
      <c r="I8399" t="s">
        <v>949</v>
      </c>
    </row>
    <row r="8400" spans="1:9" x14ac:dyDescent="0.25">
      <c r="A8400">
        <v>3220</v>
      </c>
      <c r="B8400">
        <v>18</v>
      </c>
      <c r="C8400" t="s">
        <v>962</v>
      </c>
      <c r="D8400" t="s">
        <v>1011</v>
      </c>
      <c r="E8400" t="s">
        <v>49</v>
      </c>
      <c r="F8400" t="s">
        <v>957</v>
      </c>
      <c r="G8400">
        <v>1877777</v>
      </c>
      <c r="H8400">
        <v>501090</v>
      </c>
      <c r="I8400" t="s">
        <v>949</v>
      </c>
    </row>
    <row r="8401" spans="1:9" x14ac:dyDescent="0.25">
      <c r="A8401">
        <v>3220</v>
      </c>
      <c r="B8401">
        <v>18</v>
      </c>
      <c r="C8401" t="s">
        <v>962</v>
      </c>
      <c r="D8401" t="s">
        <v>1011</v>
      </c>
      <c r="E8401" t="s">
        <v>49</v>
      </c>
      <c r="F8401" t="s">
        <v>958</v>
      </c>
      <c r="G8401">
        <v>1877777</v>
      </c>
      <c r="H8401">
        <v>501090</v>
      </c>
      <c r="I8401" t="s">
        <v>949</v>
      </c>
    </row>
    <row r="8402" spans="1:9" x14ac:dyDescent="0.25">
      <c r="A8402">
        <v>3220</v>
      </c>
      <c r="B8402">
        <v>18</v>
      </c>
      <c r="C8402" t="s">
        <v>963</v>
      </c>
      <c r="D8402" t="s">
        <v>1011</v>
      </c>
      <c r="E8402" t="s">
        <v>49</v>
      </c>
      <c r="F8402" t="s">
        <v>954</v>
      </c>
      <c r="G8402">
        <v>1877777</v>
      </c>
      <c r="H8402">
        <v>501030</v>
      </c>
      <c r="I8402" t="s">
        <v>949</v>
      </c>
    </row>
    <row r="8403" spans="1:9" x14ac:dyDescent="0.25">
      <c r="A8403">
        <v>3220</v>
      </c>
      <c r="B8403">
        <v>18</v>
      </c>
      <c r="C8403" t="s">
        <v>963</v>
      </c>
      <c r="D8403" t="s">
        <v>1011</v>
      </c>
      <c r="E8403" t="s">
        <v>49</v>
      </c>
      <c r="F8403" t="s">
        <v>955</v>
      </c>
      <c r="G8403">
        <v>1877777</v>
      </c>
      <c r="H8403">
        <v>505100</v>
      </c>
      <c r="I8403" t="s">
        <v>949</v>
      </c>
    </row>
    <row r="8404" spans="1:9" x14ac:dyDescent="0.25">
      <c r="A8404">
        <v>3220</v>
      </c>
      <c r="B8404">
        <v>18</v>
      </c>
      <c r="C8404" t="s">
        <v>963</v>
      </c>
      <c r="D8404" t="s">
        <v>1011</v>
      </c>
      <c r="E8404" t="s">
        <v>49</v>
      </c>
      <c r="F8404" t="s">
        <v>956</v>
      </c>
      <c r="G8404">
        <v>1877777</v>
      </c>
      <c r="H8404">
        <v>501090</v>
      </c>
      <c r="I8404" t="s">
        <v>949</v>
      </c>
    </row>
    <row r="8405" spans="1:9" x14ac:dyDescent="0.25">
      <c r="A8405">
        <v>3220</v>
      </c>
      <c r="B8405">
        <v>18</v>
      </c>
      <c r="C8405" t="s">
        <v>963</v>
      </c>
      <c r="D8405" t="s">
        <v>1011</v>
      </c>
      <c r="E8405" t="s">
        <v>49</v>
      </c>
      <c r="F8405" t="s">
        <v>957</v>
      </c>
      <c r="G8405">
        <v>1877777</v>
      </c>
      <c r="H8405">
        <v>501090</v>
      </c>
      <c r="I8405" t="s">
        <v>949</v>
      </c>
    </row>
    <row r="8406" spans="1:9" x14ac:dyDescent="0.25">
      <c r="A8406">
        <v>3220</v>
      </c>
      <c r="B8406">
        <v>18</v>
      </c>
      <c r="C8406" t="s">
        <v>963</v>
      </c>
      <c r="D8406" t="s">
        <v>1011</v>
      </c>
      <c r="E8406" t="s">
        <v>49</v>
      </c>
      <c r="F8406" t="s">
        <v>958</v>
      </c>
      <c r="G8406">
        <v>1877777</v>
      </c>
      <c r="H8406">
        <v>501090</v>
      </c>
      <c r="I8406" t="s">
        <v>949</v>
      </c>
    </row>
    <row r="8407" spans="1:9" x14ac:dyDescent="0.25">
      <c r="A8407">
        <v>3240</v>
      </c>
      <c r="B8407">
        <v>18</v>
      </c>
      <c r="C8407" t="s">
        <v>950</v>
      </c>
      <c r="D8407" t="s">
        <v>1011</v>
      </c>
      <c r="E8407" t="s">
        <v>49</v>
      </c>
      <c r="F8407" t="s">
        <v>951</v>
      </c>
      <c r="G8407">
        <v>1877777</v>
      </c>
      <c r="H8407">
        <v>501015</v>
      </c>
      <c r="I8407" t="s">
        <v>949</v>
      </c>
    </row>
    <row r="8408" spans="1:9" x14ac:dyDescent="0.25">
      <c r="A8408">
        <v>3240</v>
      </c>
      <c r="B8408">
        <v>18</v>
      </c>
      <c r="C8408" t="s">
        <v>950</v>
      </c>
      <c r="D8408" t="s">
        <v>1011</v>
      </c>
      <c r="E8408" t="s">
        <v>49</v>
      </c>
      <c r="F8408" t="s">
        <v>952</v>
      </c>
      <c r="G8408">
        <v>1877777</v>
      </c>
      <c r="H8408">
        <v>501015</v>
      </c>
      <c r="I8408" t="s">
        <v>949</v>
      </c>
    </row>
    <row r="8409" spans="1:9" x14ac:dyDescent="0.25">
      <c r="A8409">
        <v>3240</v>
      </c>
      <c r="B8409">
        <v>18</v>
      </c>
      <c r="C8409" t="s">
        <v>950</v>
      </c>
      <c r="D8409" t="s">
        <v>1011</v>
      </c>
      <c r="E8409" t="s">
        <v>49</v>
      </c>
      <c r="F8409" t="s">
        <v>956</v>
      </c>
      <c r="G8409">
        <v>1877777</v>
      </c>
      <c r="H8409">
        <v>501015</v>
      </c>
      <c r="I8409" t="s">
        <v>949</v>
      </c>
    </row>
    <row r="8410" spans="1:9" x14ac:dyDescent="0.25">
      <c r="A8410">
        <v>3240</v>
      </c>
      <c r="B8410">
        <v>18</v>
      </c>
      <c r="C8410" t="s">
        <v>950</v>
      </c>
      <c r="D8410" t="s">
        <v>1011</v>
      </c>
      <c r="E8410" t="s">
        <v>49</v>
      </c>
      <c r="F8410" t="s">
        <v>957</v>
      </c>
      <c r="G8410">
        <v>1877777</v>
      </c>
      <c r="H8410">
        <v>501015</v>
      </c>
      <c r="I8410" t="s">
        <v>949</v>
      </c>
    </row>
    <row r="8411" spans="1:9" x14ac:dyDescent="0.25">
      <c r="A8411">
        <v>3240</v>
      </c>
      <c r="B8411">
        <v>18</v>
      </c>
      <c r="C8411" t="s">
        <v>950</v>
      </c>
      <c r="D8411" t="s">
        <v>1011</v>
      </c>
      <c r="E8411" t="s">
        <v>49</v>
      </c>
      <c r="F8411" t="s">
        <v>958</v>
      </c>
      <c r="G8411">
        <v>1877777</v>
      </c>
      <c r="H8411">
        <v>501015</v>
      </c>
      <c r="I8411" t="s">
        <v>949</v>
      </c>
    </row>
    <row r="8412" spans="1:9" x14ac:dyDescent="0.25">
      <c r="A8412">
        <v>3240</v>
      </c>
      <c r="B8412">
        <v>18</v>
      </c>
      <c r="C8412" t="s">
        <v>950</v>
      </c>
      <c r="D8412" t="s">
        <v>1011</v>
      </c>
      <c r="E8412" t="s">
        <v>49</v>
      </c>
      <c r="F8412" t="s">
        <v>959</v>
      </c>
      <c r="G8412">
        <v>1877777</v>
      </c>
      <c r="H8412">
        <v>501015</v>
      </c>
      <c r="I8412" t="s">
        <v>949</v>
      </c>
    </row>
    <row r="8413" spans="1:9" x14ac:dyDescent="0.25">
      <c r="A8413">
        <v>3240</v>
      </c>
      <c r="B8413">
        <v>18</v>
      </c>
      <c r="C8413" t="s">
        <v>950</v>
      </c>
      <c r="D8413" t="s">
        <v>1011</v>
      </c>
      <c r="E8413" t="s">
        <v>49</v>
      </c>
      <c r="F8413" t="s">
        <v>960</v>
      </c>
      <c r="G8413">
        <v>1877777</v>
      </c>
      <c r="H8413">
        <v>501015</v>
      </c>
      <c r="I8413" t="s">
        <v>949</v>
      </c>
    </row>
    <row r="8414" spans="1:9" x14ac:dyDescent="0.25">
      <c r="A8414">
        <v>3240</v>
      </c>
      <c r="B8414">
        <v>18</v>
      </c>
      <c r="C8414" t="s">
        <v>950</v>
      </c>
      <c r="D8414" t="s">
        <v>1011</v>
      </c>
      <c r="E8414" t="s">
        <v>49</v>
      </c>
      <c r="F8414" t="s">
        <v>961</v>
      </c>
      <c r="G8414">
        <v>1877777</v>
      </c>
      <c r="H8414">
        <v>501015</v>
      </c>
      <c r="I8414" t="s">
        <v>949</v>
      </c>
    </row>
    <row r="8415" spans="1:9" x14ac:dyDescent="0.25">
      <c r="A8415">
        <v>3240</v>
      </c>
      <c r="B8415">
        <v>18</v>
      </c>
      <c r="C8415" t="s">
        <v>962</v>
      </c>
      <c r="D8415" t="s">
        <v>1011</v>
      </c>
      <c r="E8415" t="s">
        <v>49</v>
      </c>
      <c r="F8415" t="s">
        <v>951</v>
      </c>
      <c r="G8415">
        <v>1877777</v>
      </c>
      <c r="H8415">
        <v>501015</v>
      </c>
      <c r="I8415" t="s">
        <v>949</v>
      </c>
    </row>
    <row r="8416" spans="1:9" x14ac:dyDescent="0.25">
      <c r="A8416">
        <v>3240</v>
      </c>
      <c r="B8416">
        <v>18</v>
      </c>
      <c r="C8416" t="s">
        <v>962</v>
      </c>
      <c r="D8416" t="s">
        <v>1011</v>
      </c>
      <c r="E8416" t="s">
        <v>49</v>
      </c>
      <c r="F8416" t="s">
        <v>952</v>
      </c>
      <c r="G8416">
        <v>1877777</v>
      </c>
      <c r="H8416">
        <v>501015</v>
      </c>
      <c r="I8416" t="s">
        <v>949</v>
      </c>
    </row>
    <row r="8417" spans="1:9" x14ac:dyDescent="0.25">
      <c r="A8417">
        <v>3240</v>
      </c>
      <c r="B8417">
        <v>18</v>
      </c>
      <c r="C8417" t="s">
        <v>962</v>
      </c>
      <c r="D8417" t="s">
        <v>1011</v>
      </c>
      <c r="E8417" t="s">
        <v>49</v>
      </c>
      <c r="F8417" t="s">
        <v>956</v>
      </c>
      <c r="G8417">
        <v>1877777</v>
      </c>
      <c r="H8417">
        <v>501015</v>
      </c>
      <c r="I8417" t="s">
        <v>949</v>
      </c>
    </row>
    <row r="8418" spans="1:9" x14ac:dyDescent="0.25">
      <c r="A8418">
        <v>3240</v>
      </c>
      <c r="B8418">
        <v>18</v>
      </c>
      <c r="C8418" t="s">
        <v>962</v>
      </c>
      <c r="D8418" t="s">
        <v>1011</v>
      </c>
      <c r="E8418" t="s">
        <v>49</v>
      </c>
      <c r="F8418" t="s">
        <v>957</v>
      </c>
      <c r="G8418">
        <v>1877777</v>
      </c>
      <c r="H8418">
        <v>501015</v>
      </c>
      <c r="I8418" t="s">
        <v>949</v>
      </c>
    </row>
    <row r="8419" spans="1:9" x14ac:dyDescent="0.25">
      <c r="A8419">
        <v>3240</v>
      </c>
      <c r="B8419">
        <v>18</v>
      </c>
      <c r="C8419" t="s">
        <v>962</v>
      </c>
      <c r="D8419" t="s">
        <v>1011</v>
      </c>
      <c r="E8419" t="s">
        <v>49</v>
      </c>
      <c r="F8419" t="s">
        <v>958</v>
      </c>
      <c r="G8419">
        <v>1877777</v>
      </c>
      <c r="H8419">
        <v>501015</v>
      </c>
      <c r="I8419" t="s">
        <v>949</v>
      </c>
    </row>
    <row r="8420" spans="1:9" x14ac:dyDescent="0.25">
      <c r="A8420">
        <v>3240</v>
      </c>
      <c r="B8420">
        <v>18</v>
      </c>
      <c r="C8420" t="s">
        <v>962</v>
      </c>
      <c r="D8420" t="s">
        <v>1011</v>
      </c>
      <c r="E8420" t="s">
        <v>49</v>
      </c>
      <c r="F8420" t="s">
        <v>959</v>
      </c>
      <c r="G8420">
        <v>1877777</v>
      </c>
      <c r="H8420">
        <v>501015</v>
      </c>
      <c r="I8420" t="s">
        <v>949</v>
      </c>
    </row>
    <row r="8421" spans="1:9" x14ac:dyDescent="0.25">
      <c r="A8421">
        <v>3240</v>
      </c>
      <c r="B8421">
        <v>18</v>
      </c>
      <c r="C8421" t="s">
        <v>962</v>
      </c>
      <c r="D8421" t="s">
        <v>1011</v>
      </c>
      <c r="E8421" t="s">
        <v>49</v>
      </c>
      <c r="F8421" t="s">
        <v>960</v>
      </c>
      <c r="G8421">
        <v>1877777</v>
      </c>
      <c r="H8421">
        <v>501015</v>
      </c>
      <c r="I8421" t="s">
        <v>949</v>
      </c>
    </row>
    <row r="8422" spans="1:9" x14ac:dyDescent="0.25">
      <c r="A8422">
        <v>3240</v>
      </c>
      <c r="B8422">
        <v>18</v>
      </c>
      <c r="C8422" t="s">
        <v>962</v>
      </c>
      <c r="D8422" t="s">
        <v>1011</v>
      </c>
      <c r="E8422" t="s">
        <v>49</v>
      </c>
      <c r="F8422" t="s">
        <v>961</v>
      </c>
      <c r="G8422">
        <v>1877777</v>
      </c>
      <c r="H8422">
        <v>501015</v>
      </c>
      <c r="I8422" t="s">
        <v>949</v>
      </c>
    </row>
    <row r="8423" spans="1:9" x14ac:dyDescent="0.25">
      <c r="A8423">
        <v>3240</v>
      </c>
      <c r="B8423">
        <v>18</v>
      </c>
      <c r="C8423" t="s">
        <v>963</v>
      </c>
      <c r="D8423" t="s">
        <v>1011</v>
      </c>
      <c r="E8423" t="s">
        <v>49</v>
      </c>
      <c r="F8423" t="s">
        <v>951</v>
      </c>
      <c r="G8423">
        <v>1877777</v>
      </c>
      <c r="H8423">
        <v>501015</v>
      </c>
      <c r="I8423" t="s">
        <v>949</v>
      </c>
    </row>
    <row r="8424" spans="1:9" x14ac:dyDescent="0.25">
      <c r="A8424">
        <v>3240</v>
      </c>
      <c r="B8424">
        <v>18</v>
      </c>
      <c r="C8424" t="s">
        <v>963</v>
      </c>
      <c r="D8424" t="s">
        <v>1011</v>
      </c>
      <c r="E8424" t="s">
        <v>49</v>
      </c>
      <c r="F8424" t="s">
        <v>952</v>
      </c>
      <c r="G8424">
        <v>1877777</v>
      </c>
      <c r="H8424">
        <v>501015</v>
      </c>
      <c r="I8424" t="s">
        <v>949</v>
      </c>
    </row>
    <row r="8425" spans="1:9" x14ac:dyDescent="0.25">
      <c r="A8425">
        <v>3240</v>
      </c>
      <c r="B8425">
        <v>18</v>
      </c>
      <c r="C8425" t="s">
        <v>963</v>
      </c>
      <c r="D8425" t="s">
        <v>1011</v>
      </c>
      <c r="E8425" t="s">
        <v>49</v>
      </c>
      <c r="F8425" t="s">
        <v>956</v>
      </c>
      <c r="G8425">
        <v>1877777</v>
      </c>
      <c r="H8425">
        <v>501015</v>
      </c>
      <c r="I8425" t="s">
        <v>949</v>
      </c>
    </row>
    <row r="8426" spans="1:9" x14ac:dyDescent="0.25">
      <c r="A8426">
        <v>3240</v>
      </c>
      <c r="B8426">
        <v>18</v>
      </c>
      <c r="C8426" t="s">
        <v>963</v>
      </c>
      <c r="D8426" t="s">
        <v>1011</v>
      </c>
      <c r="E8426" t="s">
        <v>49</v>
      </c>
      <c r="F8426" t="s">
        <v>957</v>
      </c>
      <c r="G8426">
        <v>1877777</v>
      </c>
      <c r="H8426">
        <v>501015</v>
      </c>
      <c r="I8426" t="s">
        <v>949</v>
      </c>
    </row>
    <row r="8427" spans="1:9" x14ac:dyDescent="0.25">
      <c r="A8427">
        <v>3240</v>
      </c>
      <c r="B8427">
        <v>18</v>
      </c>
      <c r="C8427" t="s">
        <v>963</v>
      </c>
      <c r="D8427" t="s">
        <v>1011</v>
      </c>
      <c r="E8427" t="s">
        <v>49</v>
      </c>
      <c r="F8427" t="s">
        <v>958</v>
      </c>
      <c r="G8427">
        <v>1877777</v>
      </c>
      <c r="H8427">
        <v>501015</v>
      </c>
      <c r="I8427" t="s">
        <v>949</v>
      </c>
    </row>
    <row r="8428" spans="1:9" x14ac:dyDescent="0.25">
      <c r="A8428">
        <v>3240</v>
      </c>
      <c r="B8428">
        <v>18</v>
      </c>
      <c r="C8428" t="s">
        <v>963</v>
      </c>
      <c r="D8428" t="s">
        <v>1011</v>
      </c>
      <c r="E8428" t="s">
        <v>49</v>
      </c>
      <c r="F8428" t="s">
        <v>959</v>
      </c>
      <c r="G8428">
        <v>1877777</v>
      </c>
      <c r="H8428">
        <v>501015</v>
      </c>
      <c r="I8428" t="s">
        <v>949</v>
      </c>
    </row>
    <row r="8429" spans="1:9" x14ac:dyDescent="0.25">
      <c r="A8429">
        <v>3240</v>
      </c>
      <c r="B8429">
        <v>18</v>
      </c>
      <c r="C8429" t="s">
        <v>963</v>
      </c>
      <c r="D8429" t="s">
        <v>1011</v>
      </c>
      <c r="E8429" t="s">
        <v>49</v>
      </c>
      <c r="F8429" t="s">
        <v>960</v>
      </c>
      <c r="G8429">
        <v>1877777</v>
      </c>
      <c r="H8429">
        <v>501015</v>
      </c>
      <c r="I8429" t="s">
        <v>949</v>
      </c>
    </row>
    <row r="8430" spans="1:9" x14ac:dyDescent="0.25">
      <c r="A8430">
        <v>3240</v>
      </c>
      <c r="B8430">
        <v>18</v>
      </c>
      <c r="C8430" t="s">
        <v>963</v>
      </c>
      <c r="D8430" t="s">
        <v>1011</v>
      </c>
      <c r="E8430" t="s">
        <v>49</v>
      </c>
      <c r="F8430" t="s">
        <v>961</v>
      </c>
      <c r="G8430">
        <v>1877777</v>
      </c>
      <c r="H8430">
        <v>501015</v>
      </c>
      <c r="I8430" t="s">
        <v>949</v>
      </c>
    </row>
    <row r="8431" spans="1:9" x14ac:dyDescent="0.25">
      <c r="A8431">
        <v>3260</v>
      </c>
      <c r="B8431">
        <v>18</v>
      </c>
      <c r="C8431" t="s">
        <v>950</v>
      </c>
      <c r="D8431" t="s">
        <v>1011</v>
      </c>
      <c r="E8431" t="s">
        <v>49</v>
      </c>
      <c r="F8431" t="s">
        <v>951</v>
      </c>
      <c r="G8431">
        <v>1877777</v>
      </c>
      <c r="H8431">
        <v>501087</v>
      </c>
      <c r="I8431" t="s">
        <v>949</v>
      </c>
    </row>
    <row r="8432" spans="1:9" x14ac:dyDescent="0.25">
      <c r="A8432">
        <v>3260</v>
      </c>
      <c r="B8432">
        <v>18</v>
      </c>
      <c r="C8432" t="s">
        <v>950</v>
      </c>
      <c r="D8432" t="s">
        <v>1011</v>
      </c>
      <c r="E8432" t="s">
        <v>49</v>
      </c>
      <c r="F8432" t="s">
        <v>952</v>
      </c>
      <c r="G8432">
        <v>1877777</v>
      </c>
      <c r="H8432">
        <v>501087</v>
      </c>
      <c r="I8432" t="s">
        <v>949</v>
      </c>
    </row>
    <row r="8433" spans="1:9" x14ac:dyDescent="0.25">
      <c r="A8433">
        <v>3260</v>
      </c>
      <c r="B8433">
        <v>18</v>
      </c>
      <c r="C8433" t="s">
        <v>950</v>
      </c>
      <c r="D8433" t="s">
        <v>1011</v>
      </c>
      <c r="E8433" t="s">
        <v>49</v>
      </c>
      <c r="F8433" t="s">
        <v>953</v>
      </c>
      <c r="G8433">
        <v>1877777</v>
      </c>
      <c r="H8433">
        <v>501087</v>
      </c>
      <c r="I8433" t="s">
        <v>949</v>
      </c>
    </row>
    <row r="8434" spans="1:9" x14ac:dyDescent="0.25">
      <c r="A8434">
        <v>3260</v>
      </c>
      <c r="B8434">
        <v>18</v>
      </c>
      <c r="C8434" t="s">
        <v>950</v>
      </c>
      <c r="D8434" t="s">
        <v>1011</v>
      </c>
      <c r="E8434" t="s">
        <v>49</v>
      </c>
      <c r="F8434" t="s">
        <v>954</v>
      </c>
      <c r="G8434">
        <v>1877777</v>
      </c>
      <c r="H8434">
        <v>501087</v>
      </c>
      <c r="I8434" t="s">
        <v>949</v>
      </c>
    </row>
    <row r="8435" spans="1:9" x14ac:dyDescent="0.25">
      <c r="A8435">
        <v>3260</v>
      </c>
      <c r="B8435">
        <v>18</v>
      </c>
      <c r="C8435" t="s">
        <v>950</v>
      </c>
      <c r="D8435" t="s">
        <v>1011</v>
      </c>
      <c r="E8435" t="s">
        <v>49</v>
      </c>
      <c r="F8435" t="s">
        <v>955</v>
      </c>
      <c r="G8435">
        <v>1877777</v>
      </c>
      <c r="H8435">
        <v>501087</v>
      </c>
      <c r="I8435" t="s">
        <v>949</v>
      </c>
    </row>
    <row r="8436" spans="1:9" x14ac:dyDescent="0.25">
      <c r="A8436">
        <v>3260</v>
      </c>
      <c r="B8436">
        <v>18</v>
      </c>
      <c r="C8436" t="s">
        <v>950</v>
      </c>
      <c r="D8436" t="s">
        <v>1011</v>
      </c>
      <c r="E8436" t="s">
        <v>49</v>
      </c>
      <c r="F8436" t="s">
        <v>956</v>
      </c>
      <c r="G8436">
        <v>1877777</v>
      </c>
      <c r="H8436">
        <v>501087</v>
      </c>
      <c r="I8436" t="s">
        <v>949</v>
      </c>
    </row>
    <row r="8437" spans="1:9" x14ac:dyDescent="0.25">
      <c r="A8437">
        <v>3260</v>
      </c>
      <c r="B8437">
        <v>18</v>
      </c>
      <c r="C8437" t="s">
        <v>950</v>
      </c>
      <c r="D8437" t="s">
        <v>1011</v>
      </c>
      <c r="E8437" t="s">
        <v>49</v>
      </c>
      <c r="F8437" t="s">
        <v>957</v>
      </c>
      <c r="G8437">
        <v>1877777</v>
      </c>
      <c r="H8437">
        <v>501087</v>
      </c>
      <c r="I8437" t="s">
        <v>949</v>
      </c>
    </row>
    <row r="8438" spans="1:9" x14ac:dyDescent="0.25">
      <c r="A8438">
        <v>3260</v>
      </c>
      <c r="B8438">
        <v>18</v>
      </c>
      <c r="C8438" t="s">
        <v>950</v>
      </c>
      <c r="D8438" t="s">
        <v>1011</v>
      </c>
      <c r="E8438" t="s">
        <v>49</v>
      </c>
      <c r="F8438" t="s">
        <v>958</v>
      </c>
      <c r="G8438">
        <v>1877777</v>
      </c>
      <c r="H8438">
        <v>501087</v>
      </c>
      <c r="I8438" t="s">
        <v>949</v>
      </c>
    </row>
    <row r="8439" spans="1:9" x14ac:dyDescent="0.25">
      <c r="A8439">
        <v>3260</v>
      </c>
      <c r="B8439">
        <v>18</v>
      </c>
      <c r="C8439" t="s">
        <v>950</v>
      </c>
      <c r="D8439" t="s">
        <v>1011</v>
      </c>
      <c r="E8439" t="s">
        <v>49</v>
      </c>
      <c r="F8439" t="s">
        <v>959</v>
      </c>
      <c r="G8439">
        <v>1877777</v>
      </c>
      <c r="H8439">
        <v>501087</v>
      </c>
      <c r="I8439" t="s">
        <v>949</v>
      </c>
    </row>
    <row r="8440" spans="1:9" x14ac:dyDescent="0.25">
      <c r="A8440">
        <v>3260</v>
      </c>
      <c r="B8440">
        <v>18</v>
      </c>
      <c r="C8440" t="s">
        <v>950</v>
      </c>
      <c r="D8440" t="s">
        <v>1011</v>
      </c>
      <c r="E8440" t="s">
        <v>49</v>
      </c>
      <c r="F8440" t="s">
        <v>960</v>
      </c>
      <c r="G8440">
        <v>1877777</v>
      </c>
      <c r="H8440">
        <v>501087</v>
      </c>
      <c r="I8440" t="s">
        <v>949</v>
      </c>
    </row>
    <row r="8441" spans="1:9" x14ac:dyDescent="0.25">
      <c r="A8441">
        <v>3260</v>
      </c>
      <c r="B8441">
        <v>18</v>
      </c>
      <c r="C8441" t="s">
        <v>950</v>
      </c>
      <c r="D8441" t="s">
        <v>1011</v>
      </c>
      <c r="E8441" t="s">
        <v>49</v>
      </c>
      <c r="F8441" t="s">
        <v>961</v>
      </c>
      <c r="G8441">
        <v>1877777</v>
      </c>
      <c r="H8441">
        <v>501087</v>
      </c>
      <c r="I8441" t="s">
        <v>949</v>
      </c>
    </row>
    <row r="8442" spans="1:9" x14ac:dyDescent="0.25">
      <c r="A8442">
        <v>3260</v>
      </c>
      <c r="B8442">
        <v>18</v>
      </c>
      <c r="C8442" t="s">
        <v>962</v>
      </c>
      <c r="D8442" t="s">
        <v>1011</v>
      </c>
      <c r="E8442" t="s">
        <v>49</v>
      </c>
      <c r="F8442" t="s">
        <v>951</v>
      </c>
      <c r="G8442">
        <v>1877777</v>
      </c>
      <c r="H8442">
        <v>501087</v>
      </c>
      <c r="I8442" t="s">
        <v>949</v>
      </c>
    </row>
    <row r="8443" spans="1:9" x14ac:dyDescent="0.25">
      <c r="A8443">
        <v>3260</v>
      </c>
      <c r="B8443">
        <v>18</v>
      </c>
      <c r="C8443" t="s">
        <v>962</v>
      </c>
      <c r="D8443" t="s">
        <v>1011</v>
      </c>
      <c r="E8443" t="s">
        <v>49</v>
      </c>
      <c r="F8443" t="s">
        <v>952</v>
      </c>
      <c r="G8443">
        <v>1877777</v>
      </c>
      <c r="H8443">
        <v>501087</v>
      </c>
      <c r="I8443" t="s">
        <v>949</v>
      </c>
    </row>
    <row r="8444" spans="1:9" x14ac:dyDescent="0.25">
      <c r="A8444">
        <v>3260</v>
      </c>
      <c r="B8444">
        <v>18</v>
      </c>
      <c r="C8444" t="s">
        <v>962</v>
      </c>
      <c r="D8444" t="s">
        <v>1011</v>
      </c>
      <c r="E8444" t="s">
        <v>49</v>
      </c>
      <c r="F8444" t="s">
        <v>953</v>
      </c>
      <c r="G8444">
        <v>1877777</v>
      </c>
      <c r="H8444">
        <v>501087</v>
      </c>
      <c r="I8444" t="s">
        <v>949</v>
      </c>
    </row>
    <row r="8445" spans="1:9" x14ac:dyDescent="0.25">
      <c r="A8445">
        <v>3260</v>
      </c>
      <c r="B8445">
        <v>18</v>
      </c>
      <c r="C8445" t="s">
        <v>962</v>
      </c>
      <c r="D8445" t="s">
        <v>1011</v>
      </c>
      <c r="E8445" t="s">
        <v>49</v>
      </c>
      <c r="F8445" t="s">
        <v>954</v>
      </c>
      <c r="G8445">
        <v>1877777</v>
      </c>
      <c r="H8445">
        <v>501087</v>
      </c>
      <c r="I8445" t="s">
        <v>949</v>
      </c>
    </row>
    <row r="8446" spans="1:9" x14ac:dyDescent="0.25">
      <c r="A8446">
        <v>3260</v>
      </c>
      <c r="B8446">
        <v>18</v>
      </c>
      <c r="C8446" t="s">
        <v>962</v>
      </c>
      <c r="D8446" t="s">
        <v>1011</v>
      </c>
      <c r="E8446" t="s">
        <v>49</v>
      </c>
      <c r="F8446" t="s">
        <v>955</v>
      </c>
      <c r="G8446">
        <v>1877777</v>
      </c>
      <c r="H8446">
        <v>501087</v>
      </c>
      <c r="I8446" t="s">
        <v>949</v>
      </c>
    </row>
    <row r="8447" spans="1:9" x14ac:dyDescent="0.25">
      <c r="A8447">
        <v>3260</v>
      </c>
      <c r="B8447">
        <v>18</v>
      </c>
      <c r="C8447" t="s">
        <v>962</v>
      </c>
      <c r="D8447" t="s">
        <v>1011</v>
      </c>
      <c r="E8447" t="s">
        <v>49</v>
      </c>
      <c r="F8447" t="s">
        <v>956</v>
      </c>
      <c r="G8447">
        <v>1877777</v>
      </c>
      <c r="H8447">
        <v>501087</v>
      </c>
      <c r="I8447" t="s">
        <v>949</v>
      </c>
    </row>
    <row r="8448" spans="1:9" x14ac:dyDescent="0.25">
      <c r="A8448">
        <v>3260</v>
      </c>
      <c r="B8448">
        <v>18</v>
      </c>
      <c r="C8448" t="s">
        <v>962</v>
      </c>
      <c r="D8448" t="s">
        <v>1011</v>
      </c>
      <c r="E8448" t="s">
        <v>49</v>
      </c>
      <c r="F8448" t="s">
        <v>957</v>
      </c>
      <c r="G8448">
        <v>1877777</v>
      </c>
      <c r="H8448">
        <v>501087</v>
      </c>
      <c r="I8448" t="s">
        <v>949</v>
      </c>
    </row>
    <row r="8449" spans="1:9" x14ac:dyDescent="0.25">
      <c r="A8449">
        <v>3260</v>
      </c>
      <c r="B8449">
        <v>18</v>
      </c>
      <c r="C8449" t="s">
        <v>962</v>
      </c>
      <c r="D8449" t="s">
        <v>1011</v>
      </c>
      <c r="E8449" t="s">
        <v>49</v>
      </c>
      <c r="F8449" t="s">
        <v>958</v>
      </c>
      <c r="G8449">
        <v>1877777</v>
      </c>
      <c r="H8449">
        <v>501087</v>
      </c>
      <c r="I8449" t="s">
        <v>949</v>
      </c>
    </row>
    <row r="8450" spans="1:9" x14ac:dyDescent="0.25">
      <c r="A8450">
        <v>3260</v>
      </c>
      <c r="B8450">
        <v>18</v>
      </c>
      <c r="C8450" t="s">
        <v>962</v>
      </c>
      <c r="D8450" t="s">
        <v>1011</v>
      </c>
      <c r="E8450" t="s">
        <v>49</v>
      </c>
      <c r="F8450" t="s">
        <v>959</v>
      </c>
      <c r="G8450">
        <v>1877777</v>
      </c>
      <c r="H8450">
        <v>501087</v>
      </c>
      <c r="I8450" t="s">
        <v>949</v>
      </c>
    </row>
    <row r="8451" spans="1:9" x14ac:dyDescent="0.25">
      <c r="A8451">
        <v>3260</v>
      </c>
      <c r="B8451">
        <v>18</v>
      </c>
      <c r="C8451" t="s">
        <v>962</v>
      </c>
      <c r="D8451" t="s">
        <v>1011</v>
      </c>
      <c r="E8451" t="s">
        <v>49</v>
      </c>
      <c r="F8451" t="s">
        <v>960</v>
      </c>
      <c r="G8451">
        <v>1877777</v>
      </c>
      <c r="H8451">
        <v>501087</v>
      </c>
      <c r="I8451" t="s">
        <v>949</v>
      </c>
    </row>
    <row r="8452" spans="1:9" x14ac:dyDescent="0.25">
      <c r="A8452">
        <v>3260</v>
      </c>
      <c r="B8452">
        <v>18</v>
      </c>
      <c r="C8452" t="s">
        <v>962</v>
      </c>
      <c r="D8452" t="s">
        <v>1011</v>
      </c>
      <c r="E8452" t="s">
        <v>49</v>
      </c>
      <c r="F8452" t="s">
        <v>961</v>
      </c>
      <c r="G8452">
        <v>1877777</v>
      </c>
      <c r="H8452">
        <v>501087</v>
      </c>
      <c r="I8452" t="s">
        <v>949</v>
      </c>
    </row>
    <row r="8453" spans="1:9" x14ac:dyDescent="0.25">
      <c r="A8453">
        <v>3260</v>
      </c>
      <c r="B8453">
        <v>18</v>
      </c>
      <c r="C8453" t="s">
        <v>963</v>
      </c>
      <c r="D8453" t="s">
        <v>1011</v>
      </c>
      <c r="E8453" t="s">
        <v>49</v>
      </c>
      <c r="F8453" t="s">
        <v>951</v>
      </c>
      <c r="G8453">
        <v>1877777</v>
      </c>
      <c r="H8453">
        <v>501087</v>
      </c>
      <c r="I8453" t="s">
        <v>949</v>
      </c>
    </row>
    <row r="8454" spans="1:9" x14ac:dyDescent="0.25">
      <c r="A8454">
        <v>3260</v>
      </c>
      <c r="B8454">
        <v>18</v>
      </c>
      <c r="C8454" t="s">
        <v>963</v>
      </c>
      <c r="D8454" t="s">
        <v>1011</v>
      </c>
      <c r="E8454" t="s">
        <v>49</v>
      </c>
      <c r="F8454" t="s">
        <v>952</v>
      </c>
      <c r="G8454">
        <v>1877777</v>
      </c>
      <c r="H8454">
        <v>501087</v>
      </c>
      <c r="I8454" t="s">
        <v>949</v>
      </c>
    </row>
    <row r="8455" spans="1:9" x14ac:dyDescent="0.25">
      <c r="A8455">
        <v>3260</v>
      </c>
      <c r="B8455">
        <v>18</v>
      </c>
      <c r="C8455" t="s">
        <v>963</v>
      </c>
      <c r="D8455" t="s">
        <v>1011</v>
      </c>
      <c r="E8455" t="s">
        <v>49</v>
      </c>
      <c r="F8455" t="s">
        <v>953</v>
      </c>
      <c r="G8455">
        <v>1877777</v>
      </c>
      <c r="H8455">
        <v>501087</v>
      </c>
      <c r="I8455" t="s">
        <v>949</v>
      </c>
    </row>
    <row r="8456" spans="1:9" x14ac:dyDescent="0.25">
      <c r="A8456">
        <v>3260</v>
      </c>
      <c r="B8456">
        <v>18</v>
      </c>
      <c r="C8456" t="s">
        <v>963</v>
      </c>
      <c r="D8456" t="s">
        <v>1011</v>
      </c>
      <c r="E8456" t="s">
        <v>49</v>
      </c>
      <c r="F8456" t="s">
        <v>954</v>
      </c>
      <c r="G8456">
        <v>1877777</v>
      </c>
      <c r="H8456">
        <v>501087</v>
      </c>
      <c r="I8456" t="s">
        <v>949</v>
      </c>
    </row>
    <row r="8457" spans="1:9" x14ac:dyDescent="0.25">
      <c r="A8457">
        <v>3260</v>
      </c>
      <c r="B8457">
        <v>18</v>
      </c>
      <c r="C8457" t="s">
        <v>963</v>
      </c>
      <c r="D8457" t="s">
        <v>1011</v>
      </c>
      <c r="E8457" t="s">
        <v>49</v>
      </c>
      <c r="F8457" t="s">
        <v>955</v>
      </c>
      <c r="G8457">
        <v>1877777</v>
      </c>
      <c r="H8457">
        <v>501087</v>
      </c>
      <c r="I8457" t="s">
        <v>949</v>
      </c>
    </row>
    <row r="8458" spans="1:9" x14ac:dyDescent="0.25">
      <c r="A8458">
        <v>3260</v>
      </c>
      <c r="B8458">
        <v>18</v>
      </c>
      <c r="C8458" t="s">
        <v>963</v>
      </c>
      <c r="D8458" t="s">
        <v>1011</v>
      </c>
      <c r="E8458" t="s">
        <v>49</v>
      </c>
      <c r="F8458" t="s">
        <v>956</v>
      </c>
      <c r="G8458">
        <v>1877777</v>
      </c>
      <c r="H8458">
        <v>501087</v>
      </c>
      <c r="I8458" t="s">
        <v>949</v>
      </c>
    </row>
    <row r="8459" spans="1:9" x14ac:dyDescent="0.25">
      <c r="A8459">
        <v>3260</v>
      </c>
      <c r="B8459">
        <v>18</v>
      </c>
      <c r="C8459" t="s">
        <v>963</v>
      </c>
      <c r="D8459" t="s">
        <v>1011</v>
      </c>
      <c r="E8459" t="s">
        <v>49</v>
      </c>
      <c r="F8459" t="s">
        <v>957</v>
      </c>
      <c r="G8459">
        <v>1877777</v>
      </c>
      <c r="H8459">
        <v>501087</v>
      </c>
      <c r="I8459" t="s">
        <v>949</v>
      </c>
    </row>
    <row r="8460" spans="1:9" x14ac:dyDescent="0.25">
      <c r="A8460">
        <v>3260</v>
      </c>
      <c r="B8460">
        <v>18</v>
      </c>
      <c r="C8460" t="s">
        <v>963</v>
      </c>
      <c r="D8460" t="s">
        <v>1011</v>
      </c>
      <c r="E8460" t="s">
        <v>49</v>
      </c>
      <c r="F8460" t="s">
        <v>958</v>
      </c>
      <c r="G8460">
        <v>1877777</v>
      </c>
      <c r="H8460">
        <v>501087</v>
      </c>
      <c r="I8460" t="s">
        <v>949</v>
      </c>
    </row>
    <row r="8461" spans="1:9" x14ac:dyDescent="0.25">
      <c r="A8461">
        <v>3260</v>
      </c>
      <c r="B8461">
        <v>18</v>
      </c>
      <c r="C8461" t="s">
        <v>963</v>
      </c>
      <c r="D8461" t="s">
        <v>1011</v>
      </c>
      <c r="E8461" t="s">
        <v>49</v>
      </c>
      <c r="F8461" t="s">
        <v>959</v>
      </c>
      <c r="G8461">
        <v>1877777</v>
      </c>
      <c r="H8461">
        <v>501087</v>
      </c>
      <c r="I8461" t="s">
        <v>949</v>
      </c>
    </row>
    <row r="8462" spans="1:9" x14ac:dyDescent="0.25">
      <c r="A8462">
        <v>3260</v>
      </c>
      <c r="B8462">
        <v>18</v>
      </c>
      <c r="C8462" t="s">
        <v>963</v>
      </c>
      <c r="D8462" t="s">
        <v>1011</v>
      </c>
      <c r="E8462" t="s">
        <v>49</v>
      </c>
      <c r="F8462" t="s">
        <v>960</v>
      </c>
      <c r="G8462">
        <v>1877777</v>
      </c>
      <c r="H8462">
        <v>501087</v>
      </c>
      <c r="I8462" t="s">
        <v>949</v>
      </c>
    </row>
    <row r="8463" spans="1:9" x14ac:dyDescent="0.25">
      <c r="A8463">
        <v>3260</v>
      </c>
      <c r="B8463">
        <v>18</v>
      </c>
      <c r="C8463" t="s">
        <v>963</v>
      </c>
      <c r="D8463" t="s">
        <v>1011</v>
      </c>
      <c r="E8463" t="s">
        <v>49</v>
      </c>
      <c r="F8463" t="s">
        <v>961</v>
      </c>
      <c r="G8463">
        <v>1877777</v>
      </c>
      <c r="H8463">
        <v>501087</v>
      </c>
      <c r="I8463" t="s">
        <v>949</v>
      </c>
    </row>
    <row r="8464" spans="1:9" x14ac:dyDescent="0.25">
      <c r="A8464">
        <v>3270</v>
      </c>
      <c r="B8464">
        <v>18</v>
      </c>
      <c r="C8464" t="s">
        <v>950</v>
      </c>
      <c r="D8464" t="s">
        <v>1011</v>
      </c>
      <c r="E8464" t="s">
        <v>49</v>
      </c>
      <c r="F8464" t="s">
        <v>951</v>
      </c>
      <c r="G8464">
        <v>1877777</v>
      </c>
      <c r="H8464">
        <v>501086</v>
      </c>
      <c r="I8464" t="s">
        <v>949</v>
      </c>
    </row>
    <row r="8465" spans="1:9" x14ac:dyDescent="0.25">
      <c r="A8465">
        <v>3270</v>
      </c>
      <c r="B8465">
        <v>18</v>
      </c>
      <c r="C8465" t="s">
        <v>950</v>
      </c>
      <c r="D8465" t="s">
        <v>1011</v>
      </c>
      <c r="E8465" t="s">
        <v>49</v>
      </c>
      <c r="F8465" t="s">
        <v>952</v>
      </c>
      <c r="G8465">
        <v>1877777</v>
      </c>
      <c r="H8465">
        <v>501017</v>
      </c>
      <c r="I8465" t="s">
        <v>949</v>
      </c>
    </row>
    <row r="8466" spans="1:9" x14ac:dyDescent="0.25">
      <c r="A8466">
        <v>3270</v>
      </c>
      <c r="B8466">
        <v>18</v>
      </c>
      <c r="C8466" t="s">
        <v>950</v>
      </c>
      <c r="D8466" t="s">
        <v>1011</v>
      </c>
      <c r="E8466" t="s">
        <v>49</v>
      </c>
      <c r="F8466" t="s">
        <v>953</v>
      </c>
      <c r="G8466">
        <v>1877777</v>
      </c>
      <c r="H8466">
        <v>501086</v>
      </c>
      <c r="I8466" t="s">
        <v>949</v>
      </c>
    </row>
    <row r="8467" spans="1:9" x14ac:dyDescent="0.25">
      <c r="A8467">
        <v>3270</v>
      </c>
      <c r="B8467">
        <v>18</v>
      </c>
      <c r="C8467" t="s">
        <v>950</v>
      </c>
      <c r="D8467" t="s">
        <v>1011</v>
      </c>
      <c r="E8467" t="s">
        <v>49</v>
      </c>
      <c r="F8467" t="s">
        <v>954</v>
      </c>
      <c r="G8467">
        <v>1877777</v>
      </c>
      <c r="H8467">
        <v>501086</v>
      </c>
      <c r="I8467" t="s">
        <v>949</v>
      </c>
    </row>
    <row r="8468" spans="1:9" x14ac:dyDescent="0.25">
      <c r="A8468">
        <v>3270</v>
      </c>
      <c r="B8468">
        <v>18</v>
      </c>
      <c r="C8468" t="s">
        <v>950</v>
      </c>
      <c r="D8468" t="s">
        <v>1011</v>
      </c>
      <c r="E8468" t="s">
        <v>49</v>
      </c>
      <c r="F8468" t="s">
        <v>955</v>
      </c>
      <c r="G8468">
        <v>1877777</v>
      </c>
      <c r="H8468">
        <v>501086</v>
      </c>
      <c r="I8468" t="s">
        <v>949</v>
      </c>
    </row>
    <row r="8469" spans="1:9" x14ac:dyDescent="0.25">
      <c r="A8469">
        <v>3270</v>
      </c>
      <c r="B8469">
        <v>18</v>
      </c>
      <c r="C8469" t="s">
        <v>950</v>
      </c>
      <c r="D8469" t="s">
        <v>1011</v>
      </c>
      <c r="E8469" t="s">
        <v>49</v>
      </c>
      <c r="F8469" t="s">
        <v>956</v>
      </c>
      <c r="G8469">
        <v>1877777</v>
      </c>
      <c r="H8469">
        <v>501086</v>
      </c>
      <c r="I8469" t="s">
        <v>949</v>
      </c>
    </row>
    <row r="8470" spans="1:9" x14ac:dyDescent="0.25">
      <c r="A8470">
        <v>3270</v>
      </c>
      <c r="B8470">
        <v>18</v>
      </c>
      <c r="C8470" t="s">
        <v>950</v>
      </c>
      <c r="D8470" t="s">
        <v>1011</v>
      </c>
      <c r="E8470" t="s">
        <v>49</v>
      </c>
      <c r="F8470" t="s">
        <v>957</v>
      </c>
      <c r="G8470">
        <v>1877777</v>
      </c>
      <c r="H8470">
        <v>501086</v>
      </c>
      <c r="I8470" t="s">
        <v>949</v>
      </c>
    </row>
    <row r="8471" spans="1:9" x14ac:dyDescent="0.25">
      <c r="A8471">
        <v>3270</v>
      </c>
      <c r="B8471">
        <v>18</v>
      </c>
      <c r="C8471" t="s">
        <v>950</v>
      </c>
      <c r="D8471" t="s">
        <v>1011</v>
      </c>
      <c r="E8471" t="s">
        <v>49</v>
      </c>
      <c r="F8471" t="s">
        <v>958</v>
      </c>
      <c r="G8471">
        <v>1877777</v>
      </c>
      <c r="H8471">
        <v>501086</v>
      </c>
      <c r="I8471" t="s">
        <v>949</v>
      </c>
    </row>
    <row r="8472" spans="1:9" x14ac:dyDescent="0.25">
      <c r="A8472">
        <v>3270</v>
      </c>
      <c r="B8472">
        <v>18</v>
      </c>
      <c r="C8472" t="s">
        <v>950</v>
      </c>
      <c r="D8472" t="s">
        <v>1011</v>
      </c>
      <c r="E8472" t="s">
        <v>49</v>
      </c>
      <c r="F8472" t="s">
        <v>959</v>
      </c>
      <c r="G8472">
        <v>1877777</v>
      </c>
      <c r="H8472">
        <v>501086</v>
      </c>
      <c r="I8472" t="s">
        <v>949</v>
      </c>
    </row>
    <row r="8473" spans="1:9" x14ac:dyDescent="0.25">
      <c r="A8473">
        <v>3270</v>
      </c>
      <c r="B8473">
        <v>18</v>
      </c>
      <c r="C8473" t="s">
        <v>950</v>
      </c>
      <c r="D8473" t="s">
        <v>1011</v>
      </c>
      <c r="E8473" t="s">
        <v>49</v>
      </c>
      <c r="F8473" t="s">
        <v>960</v>
      </c>
      <c r="G8473">
        <v>1877777</v>
      </c>
      <c r="H8473">
        <v>501086</v>
      </c>
      <c r="I8473" t="s">
        <v>949</v>
      </c>
    </row>
    <row r="8474" spans="1:9" x14ac:dyDescent="0.25">
      <c r="A8474">
        <v>3270</v>
      </c>
      <c r="B8474">
        <v>18</v>
      </c>
      <c r="C8474" t="s">
        <v>950</v>
      </c>
      <c r="D8474" t="s">
        <v>1011</v>
      </c>
      <c r="E8474" t="s">
        <v>49</v>
      </c>
      <c r="F8474" t="s">
        <v>961</v>
      </c>
      <c r="G8474">
        <v>1877777</v>
      </c>
      <c r="H8474">
        <v>501086</v>
      </c>
      <c r="I8474" t="s">
        <v>949</v>
      </c>
    </row>
    <row r="8475" spans="1:9" x14ac:dyDescent="0.25">
      <c r="A8475">
        <v>3270</v>
      </c>
      <c r="B8475">
        <v>18</v>
      </c>
      <c r="C8475" t="s">
        <v>962</v>
      </c>
      <c r="D8475" t="s">
        <v>1011</v>
      </c>
      <c r="E8475" t="s">
        <v>49</v>
      </c>
      <c r="F8475" t="s">
        <v>951</v>
      </c>
      <c r="G8475">
        <v>1877777</v>
      </c>
      <c r="H8475">
        <v>501086</v>
      </c>
      <c r="I8475" t="s">
        <v>949</v>
      </c>
    </row>
    <row r="8476" spans="1:9" x14ac:dyDescent="0.25">
      <c r="A8476">
        <v>3270</v>
      </c>
      <c r="B8476">
        <v>18</v>
      </c>
      <c r="C8476" t="s">
        <v>962</v>
      </c>
      <c r="D8476" t="s">
        <v>1011</v>
      </c>
      <c r="E8476" t="s">
        <v>49</v>
      </c>
      <c r="F8476" t="s">
        <v>952</v>
      </c>
      <c r="G8476">
        <v>1877777</v>
      </c>
      <c r="H8476">
        <v>501017</v>
      </c>
      <c r="I8476" t="s">
        <v>949</v>
      </c>
    </row>
    <row r="8477" spans="1:9" x14ac:dyDescent="0.25">
      <c r="A8477">
        <v>3270</v>
      </c>
      <c r="B8477">
        <v>18</v>
      </c>
      <c r="C8477" t="s">
        <v>962</v>
      </c>
      <c r="D8477" t="s">
        <v>1011</v>
      </c>
      <c r="E8477" t="s">
        <v>49</v>
      </c>
      <c r="F8477" t="s">
        <v>953</v>
      </c>
      <c r="G8477">
        <v>1877777</v>
      </c>
      <c r="H8477">
        <v>501086</v>
      </c>
      <c r="I8477" t="s">
        <v>949</v>
      </c>
    </row>
    <row r="8478" spans="1:9" x14ac:dyDescent="0.25">
      <c r="A8478">
        <v>3270</v>
      </c>
      <c r="B8478">
        <v>18</v>
      </c>
      <c r="C8478" t="s">
        <v>962</v>
      </c>
      <c r="D8478" t="s">
        <v>1011</v>
      </c>
      <c r="E8478" t="s">
        <v>49</v>
      </c>
      <c r="F8478" t="s">
        <v>954</v>
      </c>
      <c r="G8478">
        <v>1877777</v>
      </c>
      <c r="H8478">
        <v>501086</v>
      </c>
      <c r="I8478" t="s">
        <v>949</v>
      </c>
    </row>
    <row r="8479" spans="1:9" x14ac:dyDescent="0.25">
      <c r="A8479">
        <v>3270</v>
      </c>
      <c r="B8479">
        <v>18</v>
      </c>
      <c r="C8479" t="s">
        <v>962</v>
      </c>
      <c r="D8479" t="s">
        <v>1011</v>
      </c>
      <c r="E8479" t="s">
        <v>49</v>
      </c>
      <c r="F8479" t="s">
        <v>955</v>
      </c>
      <c r="G8479">
        <v>1877777</v>
      </c>
      <c r="H8479">
        <v>501086</v>
      </c>
      <c r="I8479" t="s">
        <v>949</v>
      </c>
    </row>
    <row r="8480" spans="1:9" x14ac:dyDescent="0.25">
      <c r="A8480">
        <v>3270</v>
      </c>
      <c r="B8480">
        <v>18</v>
      </c>
      <c r="C8480" t="s">
        <v>962</v>
      </c>
      <c r="D8480" t="s">
        <v>1011</v>
      </c>
      <c r="E8480" t="s">
        <v>49</v>
      </c>
      <c r="F8480" t="s">
        <v>956</v>
      </c>
      <c r="G8480">
        <v>1877777</v>
      </c>
      <c r="H8480">
        <v>501086</v>
      </c>
      <c r="I8480" t="s">
        <v>949</v>
      </c>
    </row>
    <row r="8481" spans="1:9" x14ac:dyDescent="0.25">
      <c r="A8481">
        <v>3270</v>
      </c>
      <c r="B8481">
        <v>18</v>
      </c>
      <c r="C8481" t="s">
        <v>962</v>
      </c>
      <c r="D8481" t="s">
        <v>1011</v>
      </c>
      <c r="E8481" t="s">
        <v>49</v>
      </c>
      <c r="F8481" t="s">
        <v>957</v>
      </c>
      <c r="G8481">
        <v>1877777</v>
      </c>
      <c r="H8481">
        <v>501086</v>
      </c>
      <c r="I8481" t="s">
        <v>949</v>
      </c>
    </row>
    <row r="8482" spans="1:9" x14ac:dyDescent="0.25">
      <c r="A8482">
        <v>3270</v>
      </c>
      <c r="B8482">
        <v>18</v>
      </c>
      <c r="C8482" t="s">
        <v>962</v>
      </c>
      <c r="D8482" t="s">
        <v>1011</v>
      </c>
      <c r="E8482" t="s">
        <v>49</v>
      </c>
      <c r="F8482" t="s">
        <v>958</v>
      </c>
      <c r="G8482">
        <v>1877777</v>
      </c>
      <c r="H8482">
        <v>501086</v>
      </c>
      <c r="I8482" t="s">
        <v>949</v>
      </c>
    </row>
    <row r="8483" spans="1:9" x14ac:dyDescent="0.25">
      <c r="A8483">
        <v>3270</v>
      </c>
      <c r="B8483">
        <v>18</v>
      </c>
      <c r="C8483" t="s">
        <v>962</v>
      </c>
      <c r="D8483" t="s">
        <v>1011</v>
      </c>
      <c r="E8483" t="s">
        <v>49</v>
      </c>
      <c r="F8483" t="s">
        <v>959</v>
      </c>
      <c r="G8483">
        <v>1877777</v>
      </c>
      <c r="H8483">
        <v>501086</v>
      </c>
      <c r="I8483" t="s">
        <v>949</v>
      </c>
    </row>
    <row r="8484" spans="1:9" x14ac:dyDescent="0.25">
      <c r="A8484">
        <v>3270</v>
      </c>
      <c r="B8484">
        <v>18</v>
      </c>
      <c r="C8484" t="s">
        <v>962</v>
      </c>
      <c r="D8484" t="s">
        <v>1011</v>
      </c>
      <c r="E8484" t="s">
        <v>49</v>
      </c>
      <c r="F8484" t="s">
        <v>960</v>
      </c>
      <c r="G8484">
        <v>1877777</v>
      </c>
      <c r="H8484">
        <v>501086</v>
      </c>
      <c r="I8484" t="s">
        <v>949</v>
      </c>
    </row>
    <row r="8485" spans="1:9" x14ac:dyDescent="0.25">
      <c r="A8485">
        <v>3270</v>
      </c>
      <c r="B8485">
        <v>18</v>
      </c>
      <c r="C8485" t="s">
        <v>962</v>
      </c>
      <c r="D8485" t="s">
        <v>1011</v>
      </c>
      <c r="E8485" t="s">
        <v>49</v>
      </c>
      <c r="F8485" t="s">
        <v>961</v>
      </c>
      <c r="G8485">
        <v>1877777</v>
      </c>
      <c r="H8485">
        <v>501086</v>
      </c>
      <c r="I8485" t="s">
        <v>949</v>
      </c>
    </row>
    <row r="8486" spans="1:9" x14ac:dyDescent="0.25">
      <c r="A8486">
        <v>3270</v>
      </c>
      <c r="B8486">
        <v>18</v>
      </c>
      <c r="C8486" t="s">
        <v>963</v>
      </c>
      <c r="D8486" t="s">
        <v>1011</v>
      </c>
      <c r="E8486" t="s">
        <v>49</v>
      </c>
      <c r="F8486" t="s">
        <v>951</v>
      </c>
      <c r="G8486">
        <v>1877777</v>
      </c>
      <c r="H8486">
        <v>501086</v>
      </c>
      <c r="I8486" t="s">
        <v>949</v>
      </c>
    </row>
    <row r="8487" spans="1:9" x14ac:dyDescent="0.25">
      <c r="A8487">
        <v>3270</v>
      </c>
      <c r="B8487">
        <v>18</v>
      </c>
      <c r="C8487" t="s">
        <v>963</v>
      </c>
      <c r="D8487" t="s">
        <v>1011</v>
      </c>
      <c r="E8487" t="s">
        <v>49</v>
      </c>
      <c r="F8487" t="s">
        <v>952</v>
      </c>
      <c r="G8487">
        <v>1877777</v>
      </c>
      <c r="H8487">
        <v>501017</v>
      </c>
      <c r="I8487" t="s">
        <v>949</v>
      </c>
    </row>
    <row r="8488" spans="1:9" x14ac:dyDescent="0.25">
      <c r="A8488">
        <v>3270</v>
      </c>
      <c r="B8488">
        <v>18</v>
      </c>
      <c r="C8488" t="s">
        <v>963</v>
      </c>
      <c r="D8488" t="s">
        <v>1011</v>
      </c>
      <c r="E8488" t="s">
        <v>49</v>
      </c>
      <c r="F8488" t="s">
        <v>953</v>
      </c>
      <c r="G8488">
        <v>1877777</v>
      </c>
      <c r="H8488">
        <v>501086</v>
      </c>
      <c r="I8488" t="s">
        <v>949</v>
      </c>
    </row>
    <row r="8489" spans="1:9" x14ac:dyDescent="0.25">
      <c r="A8489">
        <v>3270</v>
      </c>
      <c r="B8489">
        <v>18</v>
      </c>
      <c r="C8489" t="s">
        <v>963</v>
      </c>
      <c r="D8489" t="s">
        <v>1011</v>
      </c>
      <c r="E8489" t="s">
        <v>49</v>
      </c>
      <c r="F8489" t="s">
        <v>954</v>
      </c>
      <c r="G8489">
        <v>1877777</v>
      </c>
      <c r="H8489">
        <v>501086</v>
      </c>
      <c r="I8489" t="s">
        <v>949</v>
      </c>
    </row>
    <row r="8490" spans="1:9" x14ac:dyDescent="0.25">
      <c r="A8490">
        <v>3270</v>
      </c>
      <c r="B8490">
        <v>18</v>
      </c>
      <c r="C8490" t="s">
        <v>963</v>
      </c>
      <c r="D8490" t="s">
        <v>1011</v>
      </c>
      <c r="E8490" t="s">
        <v>49</v>
      </c>
      <c r="F8490" t="s">
        <v>955</v>
      </c>
      <c r="G8490">
        <v>1877777</v>
      </c>
      <c r="H8490">
        <v>501086</v>
      </c>
      <c r="I8490" t="s">
        <v>949</v>
      </c>
    </row>
    <row r="8491" spans="1:9" x14ac:dyDescent="0.25">
      <c r="A8491">
        <v>3270</v>
      </c>
      <c r="B8491">
        <v>18</v>
      </c>
      <c r="C8491" t="s">
        <v>963</v>
      </c>
      <c r="D8491" t="s">
        <v>1011</v>
      </c>
      <c r="E8491" t="s">
        <v>49</v>
      </c>
      <c r="F8491" t="s">
        <v>956</v>
      </c>
      <c r="G8491">
        <v>1877777</v>
      </c>
      <c r="H8491">
        <v>501086</v>
      </c>
      <c r="I8491" t="s">
        <v>949</v>
      </c>
    </row>
    <row r="8492" spans="1:9" x14ac:dyDescent="0.25">
      <c r="A8492">
        <v>3270</v>
      </c>
      <c r="B8492">
        <v>18</v>
      </c>
      <c r="C8492" t="s">
        <v>963</v>
      </c>
      <c r="D8492" t="s">
        <v>1011</v>
      </c>
      <c r="E8492" t="s">
        <v>49</v>
      </c>
      <c r="F8492" t="s">
        <v>957</v>
      </c>
      <c r="G8492">
        <v>1877777</v>
      </c>
      <c r="H8492">
        <v>501086</v>
      </c>
      <c r="I8492" t="s">
        <v>949</v>
      </c>
    </row>
    <row r="8493" spans="1:9" x14ac:dyDescent="0.25">
      <c r="A8493">
        <v>3270</v>
      </c>
      <c r="B8493">
        <v>18</v>
      </c>
      <c r="C8493" t="s">
        <v>963</v>
      </c>
      <c r="D8493" t="s">
        <v>1011</v>
      </c>
      <c r="E8493" t="s">
        <v>49</v>
      </c>
      <c r="F8493" t="s">
        <v>958</v>
      </c>
      <c r="G8493">
        <v>1877777</v>
      </c>
      <c r="H8493">
        <v>501086</v>
      </c>
      <c r="I8493" t="s">
        <v>949</v>
      </c>
    </row>
    <row r="8494" spans="1:9" x14ac:dyDescent="0.25">
      <c r="A8494">
        <v>3270</v>
      </c>
      <c r="B8494">
        <v>18</v>
      </c>
      <c r="C8494" t="s">
        <v>963</v>
      </c>
      <c r="D8494" t="s">
        <v>1011</v>
      </c>
      <c r="E8494" t="s">
        <v>49</v>
      </c>
      <c r="F8494" t="s">
        <v>959</v>
      </c>
      <c r="G8494">
        <v>1877777</v>
      </c>
      <c r="H8494">
        <v>501086</v>
      </c>
      <c r="I8494" t="s">
        <v>949</v>
      </c>
    </row>
    <row r="8495" spans="1:9" x14ac:dyDescent="0.25">
      <c r="A8495">
        <v>3270</v>
      </c>
      <c r="B8495">
        <v>18</v>
      </c>
      <c r="C8495" t="s">
        <v>963</v>
      </c>
      <c r="D8495" t="s">
        <v>1011</v>
      </c>
      <c r="E8495" t="s">
        <v>49</v>
      </c>
      <c r="F8495" t="s">
        <v>960</v>
      </c>
      <c r="G8495">
        <v>1877777</v>
      </c>
      <c r="H8495">
        <v>501086</v>
      </c>
      <c r="I8495" t="s">
        <v>949</v>
      </c>
    </row>
    <row r="8496" spans="1:9" x14ac:dyDescent="0.25">
      <c r="A8496">
        <v>3270</v>
      </c>
      <c r="B8496">
        <v>18</v>
      </c>
      <c r="C8496" t="s">
        <v>963</v>
      </c>
      <c r="D8496" t="s">
        <v>1011</v>
      </c>
      <c r="E8496" t="s">
        <v>49</v>
      </c>
      <c r="F8496" t="s">
        <v>961</v>
      </c>
      <c r="G8496">
        <v>1877777</v>
      </c>
      <c r="H8496">
        <v>501086</v>
      </c>
      <c r="I8496" t="s">
        <v>949</v>
      </c>
    </row>
    <row r="8497" spans="1:9" x14ac:dyDescent="0.25">
      <c r="A8497">
        <v>3280</v>
      </c>
      <c r="B8497">
        <v>18</v>
      </c>
      <c r="C8497" t="s">
        <v>950</v>
      </c>
      <c r="D8497" t="s">
        <v>1011</v>
      </c>
      <c r="E8497" t="s">
        <v>49</v>
      </c>
      <c r="F8497" t="s">
        <v>951</v>
      </c>
      <c r="G8497">
        <v>1877777</v>
      </c>
      <c r="H8497">
        <v>501085</v>
      </c>
      <c r="I8497" t="s">
        <v>949</v>
      </c>
    </row>
    <row r="8498" spans="1:9" x14ac:dyDescent="0.25">
      <c r="A8498">
        <v>3280</v>
      </c>
      <c r="B8498">
        <v>18</v>
      </c>
      <c r="C8498" t="s">
        <v>950</v>
      </c>
      <c r="D8498" t="s">
        <v>1011</v>
      </c>
      <c r="E8498" t="s">
        <v>49</v>
      </c>
      <c r="F8498" t="s">
        <v>952</v>
      </c>
      <c r="G8498">
        <v>1877777</v>
      </c>
      <c r="H8498">
        <v>501085</v>
      </c>
      <c r="I8498" t="s">
        <v>949</v>
      </c>
    </row>
    <row r="8499" spans="1:9" x14ac:dyDescent="0.25">
      <c r="A8499">
        <v>3280</v>
      </c>
      <c r="B8499">
        <v>18</v>
      </c>
      <c r="C8499" t="s">
        <v>950</v>
      </c>
      <c r="D8499" t="s">
        <v>1011</v>
      </c>
      <c r="E8499" t="s">
        <v>49</v>
      </c>
      <c r="F8499" t="s">
        <v>953</v>
      </c>
      <c r="G8499">
        <v>1877777</v>
      </c>
      <c r="H8499">
        <v>501085</v>
      </c>
      <c r="I8499" t="s">
        <v>949</v>
      </c>
    </row>
    <row r="8500" spans="1:9" x14ac:dyDescent="0.25">
      <c r="A8500">
        <v>3280</v>
      </c>
      <c r="B8500">
        <v>18</v>
      </c>
      <c r="C8500" t="s">
        <v>950</v>
      </c>
      <c r="D8500" t="s">
        <v>1011</v>
      </c>
      <c r="E8500" t="s">
        <v>49</v>
      </c>
      <c r="F8500" t="s">
        <v>954</v>
      </c>
      <c r="G8500">
        <v>1877777</v>
      </c>
      <c r="H8500">
        <v>501085</v>
      </c>
      <c r="I8500" t="s">
        <v>949</v>
      </c>
    </row>
    <row r="8501" spans="1:9" x14ac:dyDescent="0.25">
      <c r="A8501">
        <v>3280</v>
      </c>
      <c r="B8501">
        <v>18</v>
      </c>
      <c r="C8501" t="s">
        <v>950</v>
      </c>
      <c r="D8501" t="s">
        <v>1011</v>
      </c>
      <c r="E8501" t="s">
        <v>49</v>
      </c>
      <c r="F8501" t="s">
        <v>955</v>
      </c>
      <c r="G8501">
        <v>1877777</v>
      </c>
      <c r="H8501">
        <v>501085</v>
      </c>
      <c r="I8501" t="s">
        <v>949</v>
      </c>
    </row>
    <row r="8502" spans="1:9" x14ac:dyDescent="0.25">
      <c r="A8502">
        <v>3280</v>
      </c>
      <c r="B8502">
        <v>18</v>
      </c>
      <c r="C8502" t="s">
        <v>950</v>
      </c>
      <c r="D8502" t="s">
        <v>1011</v>
      </c>
      <c r="E8502" t="s">
        <v>49</v>
      </c>
      <c r="F8502" t="s">
        <v>956</v>
      </c>
      <c r="G8502">
        <v>1877777</v>
      </c>
      <c r="H8502">
        <v>501085</v>
      </c>
      <c r="I8502" t="s">
        <v>949</v>
      </c>
    </row>
    <row r="8503" spans="1:9" x14ac:dyDescent="0.25">
      <c r="A8503">
        <v>3280</v>
      </c>
      <c r="B8503">
        <v>18</v>
      </c>
      <c r="C8503" t="s">
        <v>950</v>
      </c>
      <c r="D8503" t="s">
        <v>1011</v>
      </c>
      <c r="E8503" t="s">
        <v>49</v>
      </c>
      <c r="F8503" t="s">
        <v>957</v>
      </c>
      <c r="G8503">
        <v>1877777</v>
      </c>
      <c r="H8503">
        <v>501085</v>
      </c>
      <c r="I8503" t="s">
        <v>949</v>
      </c>
    </row>
    <row r="8504" spans="1:9" x14ac:dyDescent="0.25">
      <c r="A8504">
        <v>3280</v>
      </c>
      <c r="B8504">
        <v>18</v>
      </c>
      <c r="C8504" t="s">
        <v>950</v>
      </c>
      <c r="D8504" t="s">
        <v>1011</v>
      </c>
      <c r="E8504" t="s">
        <v>49</v>
      </c>
      <c r="F8504" t="s">
        <v>958</v>
      </c>
      <c r="G8504">
        <v>1877777</v>
      </c>
      <c r="H8504">
        <v>501085</v>
      </c>
      <c r="I8504" t="s">
        <v>949</v>
      </c>
    </row>
    <row r="8505" spans="1:9" x14ac:dyDescent="0.25">
      <c r="A8505">
        <v>3280</v>
      </c>
      <c r="B8505">
        <v>18</v>
      </c>
      <c r="C8505" t="s">
        <v>950</v>
      </c>
      <c r="D8505" t="s">
        <v>1011</v>
      </c>
      <c r="E8505" t="s">
        <v>49</v>
      </c>
      <c r="F8505" t="s">
        <v>959</v>
      </c>
      <c r="G8505">
        <v>1877777</v>
      </c>
      <c r="H8505">
        <v>501085</v>
      </c>
      <c r="I8505" t="s">
        <v>949</v>
      </c>
    </row>
    <row r="8506" spans="1:9" x14ac:dyDescent="0.25">
      <c r="A8506">
        <v>3280</v>
      </c>
      <c r="B8506">
        <v>18</v>
      </c>
      <c r="C8506" t="s">
        <v>950</v>
      </c>
      <c r="D8506" t="s">
        <v>1011</v>
      </c>
      <c r="E8506" t="s">
        <v>49</v>
      </c>
      <c r="F8506" t="s">
        <v>960</v>
      </c>
      <c r="G8506">
        <v>1877777</v>
      </c>
      <c r="H8506">
        <v>501085</v>
      </c>
      <c r="I8506" t="s">
        <v>949</v>
      </c>
    </row>
    <row r="8507" spans="1:9" x14ac:dyDescent="0.25">
      <c r="A8507">
        <v>3280</v>
      </c>
      <c r="B8507">
        <v>18</v>
      </c>
      <c r="C8507" t="s">
        <v>950</v>
      </c>
      <c r="D8507" t="s">
        <v>1011</v>
      </c>
      <c r="E8507" t="s">
        <v>49</v>
      </c>
      <c r="F8507" t="s">
        <v>961</v>
      </c>
      <c r="G8507">
        <v>1877777</v>
      </c>
      <c r="H8507">
        <v>501085</v>
      </c>
      <c r="I8507" t="s">
        <v>949</v>
      </c>
    </row>
    <row r="8508" spans="1:9" x14ac:dyDescent="0.25">
      <c r="A8508">
        <v>3280</v>
      </c>
      <c r="B8508">
        <v>18</v>
      </c>
      <c r="C8508" t="s">
        <v>962</v>
      </c>
      <c r="D8508" t="s">
        <v>1011</v>
      </c>
      <c r="E8508" t="s">
        <v>49</v>
      </c>
      <c r="F8508" t="s">
        <v>951</v>
      </c>
      <c r="G8508">
        <v>1877777</v>
      </c>
      <c r="H8508">
        <v>501085</v>
      </c>
      <c r="I8508" t="s">
        <v>949</v>
      </c>
    </row>
    <row r="8509" spans="1:9" x14ac:dyDescent="0.25">
      <c r="A8509">
        <v>3280</v>
      </c>
      <c r="B8509">
        <v>18</v>
      </c>
      <c r="C8509" t="s">
        <v>962</v>
      </c>
      <c r="D8509" t="s">
        <v>1011</v>
      </c>
      <c r="E8509" t="s">
        <v>49</v>
      </c>
      <c r="F8509" t="s">
        <v>952</v>
      </c>
      <c r="G8509">
        <v>1877777</v>
      </c>
      <c r="H8509">
        <v>501085</v>
      </c>
      <c r="I8509" t="s">
        <v>949</v>
      </c>
    </row>
    <row r="8510" spans="1:9" x14ac:dyDescent="0.25">
      <c r="A8510">
        <v>3280</v>
      </c>
      <c r="B8510">
        <v>18</v>
      </c>
      <c r="C8510" t="s">
        <v>962</v>
      </c>
      <c r="D8510" t="s">
        <v>1011</v>
      </c>
      <c r="E8510" t="s">
        <v>49</v>
      </c>
      <c r="F8510" t="s">
        <v>953</v>
      </c>
      <c r="G8510">
        <v>1877777</v>
      </c>
      <c r="H8510">
        <v>501085</v>
      </c>
      <c r="I8510" t="s">
        <v>949</v>
      </c>
    </row>
    <row r="8511" spans="1:9" x14ac:dyDescent="0.25">
      <c r="A8511">
        <v>3280</v>
      </c>
      <c r="B8511">
        <v>18</v>
      </c>
      <c r="C8511" t="s">
        <v>962</v>
      </c>
      <c r="D8511" t="s">
        <v>1011</v>
      </c>
      <c r="E8511" t="s">
        <v>49</v>
      </c>
      <c r="F8511" t="s">
        <v>954</v>
      </c>
      <c r="G8511">
        <v>1877777</v>
      </c>
      <c r="H8511">
        <v>501085</v>
      </c>
      <c r="I8511" t="s">
        <v>949</v>
      </c>
    </row>
    <row r="8512" spans="1:9" x14ac:dyDescent="0.25">
      <c r="A8512">
        <v>3280</v>
      </c>
      <c r="B8512">
        <v>18</v>
      </c>
      <c r="C8512" t="s">
        <v>962</v>
      </c>
      <c r="D8512" t="s">
        <v>1011</v>
      </c>
      <c r="E8512" t="s">
        <v>49</v>
      </c>
      <c r="F8512" t="s">
        <v>955</v>
      </c>
      <c r="G8512">
        <v>1877777</v>
      </c>
      <c r="H8512">
        <v>501085</v>
      </c>
      <c r="I8512" t="s">
        <v>949</v>
      </c>
    </row>
    <row r="8513" spans="1:9" x14ac:dyDescent="0.25">
      <c r="A8513">
        <v>3280</v>
      </c>
      <c r="B8513">
        <v>18</v>
      </c>
      <c r="C8513" t="s">
        <v>962</v>
      </c>
      <c r="D8513" t="s">
        <v>1011</v>
      </c>
      <c r="E8513" t="s">
        <v>49</v>
      </c>
      <c r="F8513" t="s">
        <v>956</v>
      </c>
      <c r="G8513">
        <v>1877777</v>
      </c>
      <c r="H8513">
        <v>501085</v>
      </c>
      <c r="I8513" t="s">
        <v>949</v>
      </c>
    </row>
    <row r="8514" spans="1:9" x14ac:dyDescent="0.25">
      <c r="A8514">
        <v>3280</v>
      </c>
      <c r="B8514">
        <v>18</v>
      </c>
      <c r="C8514" t="s">
        <v>962</v>
      </c>
      <c r="D8514" t="s">
        <v>1011</v>
      </c>
      <c r="E8514" t="s">
        <v>49</v>
      </c>
      <c r="F8514" t="s">
        <v>957</v>
      </c>
      <c r="G8514">
        <v>1877777</v>
      </c>
      <c r="H8514">
        <v>501085</v>
      </c>
      <c r="I8514" t="s">
        <v>949</v>
      </c>
    </row>
    <row r="8515" spans="1:9" x14ac:dyDescent="0.25">
      <c r="A8515">
        <v>3280</v>
      </c>
      <c r="B8515">
        <v>18</v>
      </c>
      <c r="C8515" t="s">
        <v>962</v>
      </c>
      <c r="D8515" t="s">
        <v>1011</v>
      </c>
      <c r="E8515" t="s">
        <v>49</v>
      </c>
      <c r="F8515" t="s">
        <v>958</v>
      </c>
      <c r="G8515">
        <v>1877777</v>
      </c>
      <c r="H8515">
        <v>501085</v>
      </c>
      <c r="I8515" t="s">
        <v>949</v>
      </c>
    </row>
    <row r="8516" spans="1:9" x14ac:dyDescent="0.25">
      <c r="A8516">
        <v>3280</v>
      </c>
      <c r="B8516">
        <v>18</v>
      </c>
      <c r="C8516" t="s">
        <v>962</v>
      </c>
      <c r="D8516" t="s">
        <v>1011</v>
      </c>
      <c r="E8516" t="s">
        <v>49</v>
      </c>
      <c r="F8516" t="s">
        <v>959</v>
      </c>
      <c r="G8516">
        <v>1877777</v>
      </c>
      <c r="H8516">
        <v>501085</v>
      </c>
      <c r="I8516" t="s">
        <v>949</v>
      </c>
    </row>
    <row r="8517" spans="1:9" x14ac:dyDescent="0.25">
      <c r="A8517">
        <v>3280</v>
      </c>
      <c r="B8517">
        <v>18</v>
      </c>
      <c r="C8517" t="s">
        <v>962</v>
      </c>
      <c r="D8517" t="s">
        <v>1011</v>
      </c>
      <c r="E8517" t="s">
        <v>49</v>
      </c>
      <c r="F8517" t="s">
        <v>960</v>
      </c>
      <c r="G8517">
        <v>1877777</v>
      </c>
      <c r="H8517">
        <v>501085</v>
      </c>
      <c r="I8517" t="s">
        <v>949</v>
      </c>
    </row>
    <row r="8518" spans="1:9" x14ac:dyDescent="0.25">
      <c r="A8518">
        <v>3280</v>
      </c>
      <c r="B8518">
        <v>18</v>
      </c>
      <c r="C8518" t="s">
        <v>962</v>
      </c>
      <c r="D8518" t="s">
        <v>1011</v>
      </c>
      <c r="E8518" t="s">
        <v>49</v>
      </c>
      <c r="F8518" t="s">
        <v>961</v>
      </c>
      <c r="G8518">
        <v>1877777</v>
      </c>
      <c r="H8518">
        <v>501085</v>
      </c>
      <c r="I8518" t="s">
        <v>949</v>
      </c>
    </row>
    <row r="8519" spans="1:9" x14ac:dyDescent="0.25">
      <c r="A8519">
        <v>3280</v>
      </c>
      <c r="B8519">
        <v>18</v>
      </c>
      <c r="C8519" t="s">
        <v>963</v>
      </c>
      <c r="D8519" t="s">
        <v>1011</v>
      </c>
      <c r="E8519" t="s">
        <v>49</v>
      </c>
      <c r="F8519" t="s">
        <v>951</v>
      </c>
      <c r="G8519">
        <v>1877777</v>
      </c>
      <c r="H8519">
        <v>501085</v>
      </c>
      <c r="I8519" t="s">
        <v>949</v>
      </c>
    </row>
    <row r="8520" spans="1:9" x14ac:dyDescent="0.25">
      <c r="A8520">
        <v>3280</v>
      </c>
      <c r="B8520">
        <v>18</v>
      </c>
      <c r="C8520" t="s">
        <v>963</v>
      </c>
      <c r="D8520" t="s">
        <v>1011</v>
      </c>
      <c r="E8520" t="s">
        <v>49</v>
      </c>
      <c r="F8520" t="s">
        <v>952</v>
      </c>
      <c r="G8520">
        <v>1877777</v>
      </c>
      <c r="H8520">
        <v>501085</v>
      </c>
      <c r="I8520" t="s">
        <v>949</v>
      </c>
    </row>
    <row r="8521" spans="1:9" x14ac:dyDescent="0.25">
      <c r="A8521">
        <v>3280</v>
      </c>
      <c r="B8521">
        <v>18</v>
      </c>
      <c r="C8521" t="s">
        <v>963</v>
      </c>
      <c r="D8521" t="s">
        <v>1011</v>
      </c>
      <c r="E8521" t="s">
        <v>49</v>
      </c>
      <c r="F8521" t="s">
        <v>953</v>
      </c>
      <c r="G8521">
        <v>1877777</v>
      </c>
      <c r="H8521">
        <v>501085</v>
      </c>
      <c r="I8521" t="s">
        <v>949</v>
      </c>
    </row>
    <row r="8522" spans="1:9" x14ac:dyDescent="0.25">
      <c r="A8522">
        <v>3280</v>
      </c>
      <c r="B8522">
        <v>18</v>
      </c>
      <c r="C8522" t="s">
        <v>963</v>
      </c>
      <c r="D8522" t="s">
        <v>1011</v>
      </c>
      <c r="E8522" t="s">
        <v>49</v>
      </c>
      <c r="F8522" t="s">
        <v>954</v>
      </c>
      <c r="G8522">
        <v>1877777</v>
      </c>
      <c r="H8522">
        <v>501085</v>
      </c>
      <c r="I8522" t="s">
        <v>949</v>
      </c>
    </row>
    <row r="8523" spans="1:9" x14ac:dyDescent="0.25">
      <c r="A8523">
        <v>3280</v>
      </c>
      <c r="B8523">
        <v>18</v>
      </c>
      <c r="C8523" t="s">
        <v>963</v>
      </c>
      <c r="D8523" t="s">
        <v>1011</v>
      </c>
      <c r="E8523" t="s">
        <v>49</v>
      </c>
      <c r="F8523" t="s">
        <v>955</v>
      </c>
      <c r="G8523">
        <v>1877777</v>
      </c>
      <c r="H8523">
        <v>501085</v>
      </c>
      <c r="I8523" t="s">
        <v>949</v>
      </c>
    </row>
    <row r="8524" spans="1:9" x14ac:dyDescent="0.25">
      <c r="A8524">
        <v>3280</v>
      </c>
      <c r="B8524">
        <v>18</v>
      </c>
      <c r="C8524" t="s">
        <v>963</v>
      </c>
      <c r="D8524" t="s">
        <v>1011</v>
      </c>
      <c r="E8524" t="s">
        <v>49</v>
      </c>
      <c r="F8524" t="s">
        <v>956</v>
      </c>
      <c r="G8524">
        <v>1877777</v>
      </c>
      <c r="H8524">
        <v>501085</v>
      </c>
      <c r="I8524" t="s">
        <v>949</v>
      </c>
    </row>
    <row r="8525" spans="1:9" x14ac:dyDescent="0.25">
      <c r="A8525">
        <v>3280</v>
      </c>
      <c r="B8525">
        <v>18</v>
      </c>
      <c r="C8525" t="s">
        <v>963</v>
      </c>
      <c r="D8525" t="s">
        <v>1011</v>
      </c>
      <c r="E8525" t="s">
        <v>49</v>
      </c>
      <c r="F8525" t="s">
        <v>957</v>
      </c>
      <c r="G8525">
        <v>1877777</v>
      </c>
      <c r="H8525">
        <v>501085</v>
      </c>
      <c r="I8525" t="s">
        <v>949</v>
      </c>
    </row>
    <row r="8526" spans="1:9" x14ac:dyDescent="0.25">
      <c r="A8526">
        <v>3280</v>
      </c>
      <c r="B8526">
        <v>18</v>
      </c>
      <c r="C8526" t="s">
        <v>963</v>
      </c>
      <c r="D8526" t="s">
        <v>1011</v>
      </c>
      <c r="E8526" t="s">
        <v>49</v>
      </c>
      <c r="F8526" t="s">
        <v>958</v>
      </c>
      <c r="G8526">
        <v>1877777</v>
      </c>
      <c r="H8526">
        <v>501085</v>
      </c>
      <c r="I8526" t="s">
        <v>949</v>
      </c>
    </row>
    <row r="8527" spans="1:9" x14ac:dyDescent="0.25">
      <c r="A8527">
        <v>3280</v>
      </c>
      <c r="B8527">
        <v>18</v>
      </c>
      <c r="C8527" t="s">
        <v>963</v>
      </c>
      <c r="D8527" t="s">
        <v>1011</v>
      </c>
      <c r="E8527" t="s">
        <v>49</v>
      </c>
      <c r="F8527" t="s">
        <v>959</v>
      </c>
      <c r="G8527">
        <v>1877777</v>
      </c>
      <c r="H8527">
        <v>501085</v>
      </c>
      <c r="I8527" t="s">
        <v>949</v>
      </c>
    </row>
    <row r="8528" spans="1:9" x14ac:dyDescent="0.25">
      <c r="A8528">
        <v>3280</v>
      </c>
      <c r="B8528">
        <v>18</v>
      </c>
      <c r="C8528" t="s">
        <v>963</v>
      </c>
      <c r="D8528" t="s">
        <v>1011</v>
      </c>
      <c r="E8528" t="s">
        <v>49</v>
      </c>
      <c r="F8528" t="s">
        <v>960</v>
      </c>
      <c r="G8528">
        <v>1877777</v>
      </c>
      <c r="H8528">
        <v>501085</v>
      </c>
      <c r="I8528" t="s">
        <v>949</v>
      </c>
    </row>
    <row r="8529" spans="1:9" x14ac:dyDescent="0.25">
      <c r="A8529">
        <v>3280</v>
      </c>
      <c r="B8529">
        <v>18</v>
      </c>
      <c r="C8529" t="s">
        <v>963</v>
      </c>
      <c r="D8529" t="s">
        <v>1011</v>
      </c>
      <c r="E8529" t="s">
        <v>49</v>
      </c>
      <c r="F8529" t="s">
        <v>961</v>
      </c>
      <c r="G8529">
        <v>1877777</v>
      </c>
      <c r="H8529">
        <v>501085</v>
      </c>
      <c r="I8529" t="s">
        <v>949</v>
      </c>
    </row>
    <row r="8530" spans="1:9" x14ac:dyDescent="0.25">
      <c r="A8530">
        <v>4122</v>
      </c>
      <c r="B8530">
        <v>18</v>
      </c>
      <c r="C8530" t="s">
        <v>946</v>
      </c>
      <c r="D8530" t="s">
        <v>1012</v>
      </c>
      <c r="E8530" t="s">
        <v>49</v>
      </c>
      <c r="F8530" t="s">
        <v>948</v>
      </c>
      <c r="G8530">
        <v>1877777</v>
      </c>
      <c r="H8530">
        <v>500220</v>
      </c>
      <c r="I8530" t="s">
        <v>949</v>
      </c>
    </row>
    <row r="8531" spans="1:9" x14ac:dyDescent="0.25">
      <c r="A8531">
        <v>4124</v>
      </c>
      <c r="B8531">
        <v>18</v>
      </c>
      <c r="C8531" t="s">
        <v>946</v>
      </c>
      <c r="D8531" t="s">
        <v>1012</v>
      </c>
      <c r="E8531" t="s">
        <v>49</v>
      </c>
      <c r="F8531" t="s">
        <v>948</v>
      </c>
      <c r="G8531">
        <v>1877777</v>
      </c>
      <c r="H8531">
        <v>500221</v>
      </c>
      <c r="I8531" t="s">
        <v>949</v>
      </c>
    </row>
    <row r="8532" spans="1:9" x14ac:dyDescent="0.25">
      <c r="A8532">
        <v>4320</v>
      </c>
      <c r="B8532">
        <v>18</v>
      </c>
      <c r="C8532" t="s">
        <v>946</v>
      </c>
      <c r="D8532" t="s">
        <v>1013</v>
      </c>
      <c r="E8532" t="s">
        <v>49</v>
      </c>
      <c r="F8532" t="s">
        <v>948</v>
      </c>
      <c r="G8532">
        <v>1800000</v>
      </c>
      <c r="H8532">
        <v>200110</v>
      </c>
      <c r="I8532" t="s">
        <v>949</v>
      </c>
    </row>
    <row r="8533" spans="1:9" x14ac:dyDescent="0.25">
      <c r="A8533">
        <v>4330</v>
      </c>
      <c r="B8533">
        <v>18</v>
      </c>
      <c r="C8533" t="s">
        <v>946</v>
      </c>
      <c r="D8533" t="s">
        <v>1013</v>
      </c>
      <c r="E8533" t="s">
        <v>49</v>
      </c>
      <c r="F8533" t="s">
        <v>948</v>
      </c>
      <c r="G8533">
        <v>1877777</v>
      </c>
      <c r="H8533">
        <v>500210</v>
      </c>
      <c r="I8533" t="s">
        <v>949</v>
      </c>
    </row>
    <row r="8534" spans="1:9" x14ac:dyDescent="0.25">
      <c r="A8534">
        <v>4332</v>
      </c>
      <c r="B8534">
        <v>18</v>
      </c>
      <c r="C8534" t="s">
        <v>946</v>
      </c>
      <c r="D8534" t="s">
        <v>1013</v>
      </c>
      <c r="E8534" t="s">
        <v>49</v>
      </c>
      <c r="F8534" t="s">
        <v>948</v>
      </c>
      <c r="G8534">
        <v>1877777</v>
      </c>
      <c r="H8534">
        <v>500210</v>
      </c>
      <c r="I8534" t="s">
        <v>949</v>
      </c>
    </row>
    <row r="8535" spans="1:9" x14ac:dyDescent="0.25">
      <c r="A8535">
        <v>4355</v>
      </c>
      <c r="B8535">
        <v>18</v>
      </c>
      <c r="C8535" t="s">
        <v>946</v>
      </c>
      <c r="D8535" t="s">
        <v>1013</v>
      </c>
      <c r="E8535" t="s">
        <v>49</v>
      </c>
      <c r="F8535" t="s">
        <v>948</v>
      </c>
      <c r="G8535">
        <v>1800000</v>
      </c>
      <c r="H8535">
        <v>200105</v>
      </c>
      <c r="I8535" t="s">
        <v>949</v>
      </c>
    </row>
    <row r="8536" spans="1:9" x14ac:dyDescent="0.25">
      <c r="A8536">
        <v>4320</v>
      </c>
      <c r="B8536">
        <v>18</v>
      </c>
      <c r="C8536" t="s">
        <v>946</v>
      </c>
      <c r="D8536" t="s">
        <v>1014</v>
      </c>
      <c r="E8536" t="s">
        <v>49</v>
      </c>
      <c r="F8536" t="s">
        <v>948</v>
      </c>
      <c r="G8536">
        <v>1800000</v>
      </c>
      <c r="H8536">
        <v>200110</v>
      </c>
      <c r="I8536" t="s">
        <v>949</v>
      </c>
    </row>
    <row r="8537" spans="1:9" x14ac:dyDescent="0.25">
      <c r="A8537">
        <v>4330</v>
      </c>
      <c r="B8537">
        <v>18</v>
      </c>
      <c r="C8537" t="s">
        <v>946</v>
      </c>
      <c r="D8537" t="s">
        <v>1014</v>
      </c>
      <c r="E8537" t="s">
        <v>49</v>
      </c>
      <c r="F8537" t="s">
        <v>948</v>
      </c>
      <c r="G8537">
        <v>1877777</v>
      </c>
      <c r="H8537">
        <v>500210</v>
      </c>
      <c r="I8537" t="s">
        <v>949</v>
      </c>
    </row>
    <row r="8538" spans="1:9" x14ac:dyDescent="0.25">
      <c r="A8538">
        <v>4332</v>
      </c>
      <c r="B8538">
        <v>18</v>
      </c>
      <c r="C8538" t="s">
        <v>946</v>
      </c>
      <c r="D8538" t="s">
        <v>1014</v>
      </c>
      <c r="E8538" t="s">
        <v>49</v>
      </c>
      <c r="F8538" t="s">
        <v>948</v>
      </c>
      <c r="G8538">
        <v>1877777</v>
      </c>
      <c r="H8538">
        <v>500210</v>
      </c>
      <c r="I8538" t="s">
        <v>949</v>
      </c>
    </row>
    <row r="8539" spans="1:9" x14ac:dyDescent="0.25">
      <c r="A8539">
        <v>4355</v>
      </c>
      <c r="B8539">
        <v>18</v>
      </c>
      <c r="C8539" t="s">
        <v>946</v>
      </c>
      <c r="D8539" t="s">
        <v>1014</v>
      </c>
      <c r="E8539" t="s">
        <v>49</v>
      </c>
      <c r="F8539" t="s">
        <v>948</v>
      </c>
      <c r="G8539">
        <v>1800000</v>
      </c>
      <c r="H8539">
        <v>200105</v>
      </c>
      <c r="I8539" t="s">
        <v>949</v>
      </c>
    </row>
    <row r="8540" spans="1:9" x14ac:dyDescent="0.25">
      <c r="A8540">
        <v>4315</v>
      </c>
      <c r="B8540">
        <v>18</v>
      </c>
      <c r="C8540" t="s">
        <v>946</v>
      </c>
      <c r="D8540" t="s">
        <v>1015</v>
      </c>
      <c r="E8540" t="s">
        <v>49</v>
      </c>
      <c r="F8540" t="s">
        <v>948</v>
      </c>
      <c r="G8540">
        <v>1877777</v>
      </c>
      <c r="H8540">
        <v>500220</v>
      </c>
      <c r="I8540" t="s">
        <v>949</v>
      </c>
    </row>
    <row r="8541" spans="1:9" x14ac:dyDescent="0.25">
      <c r="A8541">
        <v>4320</v>
      </c>
      <c r="B8541">
        <v>18</v>
      </c>
      <c r="C8541" t="s">
        <v>946</v>
      </c>
      <c r="D8541" t="s">
        <v>1015</v>
      </c>
      <c r="E8541" t="s">
        <v>49</v>
      </c>
      <c r="F8541" t="s">
        <v>948</v>
      </c>
      <c r="G8541">
        <v>1877777</v>
      </c>
      <c r="H8541">
        <v>500221</v>
      </c>
      <c r="I8541" t="s">
        <v>949</v>
      </c>
    </row>
    <row r="8542" spans="1:9" x14ac:dyDescent="0.25">
      <c r="A8542">
        <v>4310</v>
      </c>
      <c r="B8542">
        <v>18</v>
      </c>
      <c r="C8542" t="s">
        <v>946</v>
      </c>
      <c r="D8542" t="s">
        <v>171</v>
      </c>
      <c r="E8542" t="s">
        <v>49</v>
      </c>
      <c r="F8542" t="s">
        <v>948</v>
      </c>
      <c r="G8542">
        <v>1877777</v>
      </c>
      <c r="H8542">
        <v>501090</v>
      </c>
      <c r="I8542" t="s">
        <v>949</v>
      </c>
    </row>
    <row r="8543" spans="1:9" x14ac:dyDescent="0.25">
      <c r="A8543">
        <v>4320</v>
      </c>
      <c r="B8543">
        <v>18</v>
      </c>
      <c r="C8543" t="s">
        <v>946</v>
      </c>
      <c r="D8543" t="s">
        <v>171</v>
      </c>
      <c r="E8543" t="s">
        <v>49</v>
      </c>
      <c r="F8543" t="s">
        <v>948</v>
      </c>
      <c r="G8543">
        <v>1800000</v>
      </c>
      <c r="H8543">
        <v>200110</v>
      </c>
      <c r="I8543" t="s">
        <v>949</v>
      </c>
    </row>
    <row r="8544" spans="1:9" x14ac:dyDescent="0.25">
      <c r="A8544">
        <v>4330</v>
      </c>
      <c r="B8544">
        <v>18</v>
      </c>
      <c r="C8544" t="s">
        <v>946</v>
      </c>
      <c r="D8544" t="s">
        <v>171</v>
      </c>
      <c r="E8544" t="s">
        <v>49</v>
      </c>
      <c r="F8544" t="s">
        <v>948</v>
      </c>
      <c r="G8544">
        <v>1877777</v>
      </c>
      <c r="H8544">
        <v>500210</v>
      </c>
      <c r="I8544" t="s">
        <v>949</v>
      </c>
    </row>
    <row r="8545" spans="1:9" x14ac:dyDescent="0.25">
      <c r="A8545">
        <v>4332</v>
      </c>
      <c r="B8545">
        <v>18</v>
      </c>
      <c r="C8545" t="s">
        <v>946</v>
      </c>
      <c r="D8545" t="s">
        <v>171</v>
      </c>
      <c r="E8545" t="s">
        <v>49</v>
      </c>
      <c r="F8545" t="s">
        <v>948</v>
      </c>
      <c r="G8545">
        <v>1877777</v>
      </c>
      <c r="H8545">
        <v>500210</v>
      </c>
      <c r="I8545" t="s">
        <v>949</v>
      </c>
    </row>
    <row r="8546" spans="1:9" x14ac:dyDescent="0.25">
      <c r="A8546">
        <v>4335</v>
      </c>
      <c r="B8546">
        <v>18</v>
      </c>
      <c r="C8546" t="s">
        <v>946</v>
      </c>
      <c r="D8546" t="s">
        <v>171</v>
      </c>
      <c r="E8546" t="s">
        <v>49</v>
      </c>
      <c r="F8546" t="s">
        <v>948</v>
      </c>
      <c r="G8546">
        <v>1877777</v>
      </c>
      <c r="H8546">
        <v>500200</v>
      </c>
      <c r="I8546" t="s">
        <v>949</v>
      </c>
    </row>
    <row r="8547" spans="1:9" x14ac:dyDescent="0.25">
      <c r="A8547">
        <v>4337</v>
      </c>
      <c r="B8547">
        <v>18</v>
      </c>
      <c r="C8547" t="s">
        <v>946</v>
      </c>
      <c r="D8547" t="s">
        <v>171</v>
      </c>
      <c r="E8547" t="s">
        <v>49</v>
      </c>
      <c r="F8547" t="s">
        <v>948</v>
      </c>
      <c r="G8547">
        <v>1877777</v>
      </c>
      <c r="H8547">
        <v>500210</v>
      </c>
      <c r="I8547" t="s">
        <v>949</v>
      </c>
    </row>
    <row r="8548" spans="1:9" x14ac:dyDescent="0.25">
      <c r="A8548">
        <v>4340</v>
      </c>
      <c r="B8548">
        <v>18</v>
      </c>
      <c r="C8548" t="s">
        <v>946</v>
      </c>
      <c r="D8548" t="s">
        <v>171</v>
      </c>
      <c r="E8548" t="s">
        <v>49</v>
      </c>
      <c r="F8548" t="s">
        <v>948</v>
      </c>
      <c r="G8548">
        <v>1877777</v>
      </c>
      <c r="H8548">
        <v>500210</v>
      </c>
      <c r="I8548" t="s">
        <v>949</v>
      </c>
    </row>
    <row r="8549" spans="1:9" x14ac:dyDescent="0.25">
      <c r="A8549">
        <v>4405</v>
      </c>
      <c r="B8549">
        <v>18</v>
      </c>
      <c r="C8549" t="s">
        <v>946</v>
      </c>
      <c r="D8549" t="s">
        <v>171</v>
      </c>
      <c r="E8549" t="s">
        <v>49</v>
      </c>
      <c r="F8549" t="s">
        <v>948</v>
      </c>
      <c r="G8549">
        <v>1877777</v>
      </c>
      <c r="H8549">
        <v>500465</v>
      </c>
      <c r="I8549" t="s">
        <v>949</v>
      </c>
    </row>
    <row r="8550" ht="22" customHeight="1" spans="1:10" x14ac:dyDescent="0.25">
      <c r="A8550" s="43">
        <v>4310</v>
      </c>
      <c r="B8550" s="43">
        <v>18</v>
      </c>
      <c r="C8550" s="43" t="s">
        <v>946</v>
      </c>
      <c r="D8550" s="43" t="s">
        <v>171</v>
      </c>
      <c r="E8550" s="43" t="s">
        <v>39</v>
      </c>
      <c r="F8550" s="43" t="s">
        <v>948</v>
      </c>
      <c r="G8550" s="43">
        <v>1877777</v>
      </c>
      <c r="H8550" s="43">
        <v>501090</v>
      </c>
      <c r="I8550" s="43" t="s">
        <v>949</v>
      </c>
      <c r="J8550" s="44" t="s">
        <v>1000</v>
      </c>
    </row>
    <row r="8551" spans="1:9" x14ac:dyDescent="0.25">
      <c r="A8551">
        <v>4400</v>
      </c>
      <c r="B8551">
        <v>18</v>
      </c>
      <c r="C8551" t="s">
        <v>946</v>
      </c>
      <c r="D8551" t="s">
        <v>171</v>
      </c>
      <c r="E8551" t="s">
        <v>39</v>
      </c>
      <c r="F8551" t="s">
        <v>948</v>
      </c>
      <c r="G8551">
        <v>1800000</v>
      </c>
      <c r="H8551">
        <v>142020</v>
      </c>
      <c r="I8551" t="s">
        <v>949</v>
      </c>
    </row>
    <row r="8552" ht="22" customHeight="1" spans="1:10" x14ac:dyDescent="0.25">
      <c r="A8552" s="43">
        <v>4310</v>
      </c>
      <c r="B8552" s="43">
        <v>18</v>
      </c>
      <c r="C8552" s="43" t="s">
        <v>946</v>
      </c>
      <c r="D8552" s="43" t="s">
        <v>171</v>
      </c>
      <c r="E8552" s="43" t="s">
        <v>290</v>
      </c>
      <c r="F8552" s="43" t="s">
        <v>948</v>
      </c>
      <c r="G8552" s="43">
        <v>1877777</v>
      </c>
      <c r="H8552" s="43">
        <v>501090</v>
      </c>
      <c r="I8552" s="43" t="s">
        <v>949</v>
      </c>
      <c r="J8552" s="44" t="s">
        <v>1000</v>
      </c>
    </row>
    <row r="8553" spans="1:9" x14ac:dyDescent="0.25">
      <c r="A8553">
        <v>4400</v>
      </c>
      <c r="B8553">
        <v>18</v>
      </c>
      <c r="C8553" t="s">
        <v>946</v>
      </c>
      <c r="D8553" t="s">
        <v>171</v>
      </c>
      <c r="E8553" t="s">
        <v>290</v>
      </c>
      <c r="F8553" t="s">
        <v>948</v>
      </c>
      <c r="G8553">
        <v>1800000</v>
      </c>
      <c r="H8553">
        <v>142020</v>
      </c>
      <c r="I8553" t="s">
        <v>949</v>
      </c>
    </row>
    <row r="8554" ht="22" customHeight="1" spans="1:10" x14ac:dyDescent="0.25">
      <c r="A8554" s="43">
        <v>4310</v>
      </c>
      <c r="B8554" s="43">
        <v>18</v>
      </c>
      <c r="C8554" s="43" t="s">
        <v>946</v>
      </c>
      <c r="D8554" s="43" t="s">
        <v>171</v>
      </c>
      <c r="E8554" s="43" t="s">
        <v>294</v>
      </c>
      <c r="F8554" s="43" t="s">
        <v>948</v>
      </c>
      <c r="G8554" s="43">
        <v>1877777</v>
      </c>
      <c r="H8554" s="43">
        <v>501090</v>
      </c>
      <c r="I8554" s="43" t="s">
        <v>949</v>
      </c>
      <c r="J8554" s="44" t="s">
        <v>1000</v>
      </c>
    </row>
    <row r="8555" spans="1:9" x14ac:dyDescent="0.25">
      <c r="A8555">
        <v>4400</v>
      </c>
      <c r="B8555">
        <v>18</v>
      </c>
      <c r="C8555" t="s">
        <v>946</v>
      </c>
      <c r="D8555" t="s">
        <v>171</v>
      </c>
      <c r="E8555" t="s">
        <v>294</v>
      </c>
      <c r="F8555" t="s">
        <v>948</v>
      </c>
      <c r="G8555">
        <v>1800000</v>
      </c>
      <c r="H8555">
        <v>142020</v>
      </c>
      <c r="I8555" t="s">
        <v>949</v>
      </c>
    </row>
    <row r="8556" ht="22" customHeight="1" spans="1:10" x14ac:dyDescent="0.25">
      <c r="A8556" s="43">
        <v>4310</v>
      </c>
      <c r="B8556" s="43">
        <v>18</v>
      </c>
      <c r="C8556" s="43" t="s">
        <v>946</v>
      </c>
      <c r="D8556" s="43" t="s">
        <v>171</v>
      </c>
      <c r="E8556" s="43" t="s">
        <v>306</v>
      </c>
      <c r="F8556" s="43" t="s">
        <v>948</v>
      </c>
      <c r="G8556" s="43">
        <v>1877777</v>
      </c>
      <c r="H8556" s="43">
        <v>501090</v>
      </c>
      <c r="I8556" s="43" t="s">
        <v>949</v>
      </c>
      <c r="J8556" s="44" t="s">
        <v>1000</v>
      </c>
    </row>
    <row r="8557" spans="1:9" x14ac:dyDescent="0.25">
      <c r="A8557">
        <v>4400</v>
      </c>
      <c r="B8557">
        <v>18</v>
      </c>
      <c r="C8557" t="s">
        <v>946</v>
      </c>
      <c r="D8557" t="s">
        <v>171</v>
      </c>
      <c r="E8557" t="s">
        <v>306</v>
      </c>
      <c r="F8557" t="s">
        <v>948</v>
      </c>
      <c r="G8557">
        <v>1800000</v>
      </c>
      <c r="H8557">
        <v>142020</v>
      </c>
      <c r="I8557" t="s">
        <v>949</v>
      </c>
    </row>
    <row r="8558" spans="1:9" x14ac:dyDescent="0.25">
      <c r="A8558">
        <v>4318</v>
      </c>
      <c r="B8558">
        <v>18</v>
      </c>
      <c r="C8558" t="s">
        <v>946</v>
      </c>
      <c r="D8558" t="s">
        <v>1016</v>
      </c>
      <c r="E8558" t="s">
        <v>49</v>
      </c>
      <c r="F8558" t="s">
        <v>948</v>
      </c>
      <c r="G8558">
        <v>1800000</v>
      </c>
      <c r="H8558">
        <v>145100</v>
      </c>
      <c r="I8558" t="s">
        <v>949</v>
      </c>
    </row>
    <row r="8559" spans="1:9" x14ac:dyDescent="0.25">
      <c r="A8559">
        <v>4320</v>
      </c>
      <c r="B8559">
        <v>18</v>
      </c>
      <c r="C8559" t="s">
        <v>946</v>
      </c>
      <c r="D8559" t="s">
        <v>1016</v>
      </c>
      <c r="E8559" t="s">
        <v>49</v>
      </c>
      <c r="F8559" t="s">
        <v>948</v>
      </c>
      <c r="G8559">
        <v>1800000</v>
      </c>
      <c r="H8559">
        <v>200110</v>
      </c>
      <c r="I8559" t="s">
        <v>949</v>
      </c>
    </row>
    <row r="8560" spans="1:9" x14ac:dyDescent="0.25">
      <c r="A8560">
        <v>4330</v>
      </c>
      <c r="B8560">
        <v>18</v>
      </c>
      <c r="C8560" t="s">
        <v>946</v>
      </c>
      <c r="D8560" t="s">
        <v>1016</v>
      </c>
      <c r="E8560" t="s">
        <v>49</v>
      </c>
      <c r="F8560" t="s">
        <v>948</v>
      </c>
      <c r="G8560">
        <v>1877777</v>
      </c>
      <c r="H8560">
        <v>500210</v>
      </c>
      <c r="I8560" t="s">
        <v>949</v>
      </c>
    </row>
    <row r="8561" spans="1:9" x14ac:dyDescent="0.25">
      <c r="A8561">
        <v>4332</v>
      </c>
      <c r="B8561">
        <v>18</v>
      </c>
      <c r="C8561" t="s">
        <v>946</v>
      </c>
      <c r="D8561" t="s">
        <v>1016</v>
      </c>
      <c r="E8561" t="s">
        <v>49</v>
      </c>
      <c r="F8561" t="s">
        <v>948</v>
      </c>
      <c r="G8561">
        <v>1877777</v>
      </c>
      <c r="H8561">
        <v>500210</v>
      </c>
      <c r="I8561" t="s">
        <v>949</v>
      </c>
    </row>
    <row r="8562" spans="1:9" x14ac:dyDescent="0.25">
      <c r="A8562">
        <v>4335</v>
      </c>
      <c r="B8562">
        <v>18</v>
      </c>
      <c r="C8562" t="s">
        <v>946</v>
      </c>
      <c r="D8562" t="s">
        <v>1016</v>
      </c>
      <c r="E8562" t="s">
        <v>49</v>
      </c>
      <c r="F8562" t="s">
        <v>948</v>
      </c>
      <c r="G8562">
        <v>1877777</v>
      </c>
      <c r="H8562">
        <v>500200</v>
      </c>
      <c r="I8562" t="s">
        <v>949</v>
      </c>
    </row>
    <row r="8563" spans="1:9" x14ac:dyDescent="0.25">
      <c r="A8563">
        <v>4337</v>
      </c>
      <c r="B8563">
        <v>18</v>
      </c>
      <c r="C8563" t="s">
        <v>946</v>
      </c>
      <c r="D8563" t="s">
        <v>1016</v>
      </c>
      <c r="E8563" t="s">
        <v>49</v>
      </c>
      <c r="F8563" t="s">
        <v>948</v>
      </c>
      <c r="G8563">
        <v>1877777</v>
      </c>
      <c r="H8563">
        <v>500210</v>
      </c>
      <c r="I8563" t="s">
        <v>949</v>
      </c>
    </row>
    <row r="8564" spans="1:9" x14ac:dyDescent="0.25">
      <c r="A8564">
        <v>4340</v>
      </c>
      <c r="B8564">
        <v>18</v>
      </c>
      <c r="C8564" t="s">
        <v>946</v>
      </c>
      <c r="D8564" t="s">
        <v>1016</v>
      </c>
      <c r="E8564" t="s">
        <v>49</v>
      </c>
      <c r="F8564" t="s">
        <v>948</v>
      </c>
      <c r="G8564">
        <v>1877777</v>
      </c>
      <c r="H8564">
        <v>500210</v>
      </c>
      <c r="I8564" t="s">
        <v>949</v>
      </c>
    </row>
    <row r="8565" spans="1:9" x14ac:dyDescent="0.25">
      <c r="A8565">
        <v>4350</v>
      </c>
      <c r="B8565">
        <v>18</v>
      </c>
      <c r="C8565" t="s">
        <v>946</v>
      </c>
      <c r="D8565" t="s">
        <v>1016</v>
      </c>
      <c r="E8565" t="s">
        <v>49</v>
      </c>
      <c r="F8565" t="s">
        <v>948</v>
      </c>
      <c r="G8565">
        <v>1800000</v>
      </c>
      <c r="H8565">
        <v>142000</v>
      </c>
      <c r="I8565" t="s">
        <v>949</v>
      </c>
    </row>
    <row r="8566" spans="1:9" x14ac:dyDescent="0.25">
      <c r="A8566">
        <v>4355</v>
      </c>
      <c r="B8566">
        <v>18</v>
      </c>
      <c r="C8566" t="s">
        <v>946</v>
      </c>
      <c r="D8566" t="s">
        <v>1016</v>
      </c>
      <c r="E8566" t="s">
        <v>49</v>
      </c>
      <c r="F8566" t="s">
        <v>948</v>
      </c>
      <c r="G8566">
        <v>1800000</v>
      </c>
      <c r="H8566">
        <v>200105</v>
      </c>
      <c r="I8566" t="s">
        <v>949</v>
      </c>
    </row>
    <row r="8567" spans="1:9" x14ac:dyDescent="0.25">
      <c r="A8567">
        <v>4405</v>
      </c>
      <c r="B8567">
        <v>18</v>
      </c>
      <c r="C8567" t="s">
        <v>946</v>
      </c>
      <c r="D8567" t="s">
        <v>1016</v>
      </c>
      <c r="E8567" t="s">
        <v>49</v>
      </c>
      <c r="F8567" t="s">
        <v>948</v>
      </c>
      <c r="G8567">
        <v>1877777</v>
      </c>
      <c r="H8567">
        <v>500465</v>
      </c>
      <c r="I8567" t="s">
        <v>949</v>
      </c>
    </row>
    <row r="8568" spans="1:9" x14ac:dyDescent="0.25">
      <c r="A8568">
        <v>4310</v>
      </c>
      <c r="B8568">
        <v>18</v>
      </c>
      <c r="C8568" t="s">
        <v>946</v>
      </c>
      <c r="D8568" t="s">
        <v>1016</v>
      </c>
      <c r="E8568" t="s">
        <v>243</v>
      </c>
      <c r="F8568" t="s">
        <v>948</v>
      </c>
      <c r="G8568">
        <v>1800000</v>
      </c>
      <c r="H8568">
        <v>145000</v>
      </c>
      <c r="I8568" t="s">
        <v>949</v>
      </c>
    </row>
    <row r="8569" spans="1:9" x14ac:dyDescent="0.25">
      <c r="A8569">
        <v>4400</v>
      </c>
      <c r="B8569">
        <v>18</v>
      </c>
      <c r="C8569" t="s">
        <v>946</v>
      </c>
      <c r="D8569" t="s">
        <v>1016</v>
      </c>
      <c r="E8569" t="s">
        <v>243</v>
      </c>
      <c r="F8569" t="s">
        <v>948</v>
      </c>
      <c r="G8569">
        <v>1800000</v>
      </c>
      <c r="H8569">
        <v>145000</v>
      </c>
      <c r="I8569" t="s">
        <v>949</v>
      </c>
    </row>
    <row r="8570" spans="1:9" x14ac:dyDescent="0.25">
      <c r="A8570">
        <v>4310</v>
      </c>
      <c r="B8570">
        <v>18</v>
      </c>
      <c r="C8570" t="s">
        <v>946</v>
      </c>
      <c r="D8570" t="s">
        <v>1016</v>
      </c>
      <c r="E8570" t="s">
        <v>247</v>
      </c>
      <c r="F8570" t="s">
        <v>948</v>
      </c>
      <c r="G8570">
        <v>1800000</v>
      </c>
      <c r="H8570">
        <v>145000</v>
      </c>
      <c r="I8570" t="s">
        <v>949</v>
      </c>
    </row>
    <row r="8571" spans="1:9" x14ac:dyDescent="0.25">
      <c r="A8571">
        <v>4400</v>
      </c>
      <c r="B8571">
        <v>18</v>
      </c>
      <c r="C8571" t="s">
        <v>946</v>
      </c>
      <c r="D8571" t="s">
        <v>1016</v>
      </c>
      <c r="E8571" t="s">
        <v>247</v>
      </c>
      <c r="F8571" t="s">
        <v>948</v>
      </c>
      <c r="G8571">
        <v>1800000</v>
      </c>
      <c r="H8571">
        <v>145000</v>
      </c>
      <c r="I8571" t="s">
        <v>949</v>
      </c>
    </row>
    <row r="8572" spans="1:9" x14ac:dyDescent="0.25">
      <c r="A8572">
        <v>4310</v>
      </c>
      <c r="B8572">
        <v>18</v>
      </c>
      <c r="C8572" t="s">
        <v>946</v>
      </c>
      <c r="D8572" t="s">
        <v>1016</v>
      </c>
      <c r="E8572" t="s">
        <v>251</v>
      </c>
      <c r="F8572" t="s">
        <v>948</v>
      </c>
      <c r="G8572">
        <v>1800000</v>
      </c>
      <c r="H8572">
        <v>142000</v>
      </c>
      <c r="I8572" t="s">
        <v>949</v>
      </c>
    </row>
    <row r="8573" spans="1:9" x14ac:dyDescent="0.25">
      <c r="A8573">
        <v>4400</v>
      </c>
      <c r="B8573">
        <v>18</v>
      </c>
      <c r="C8573" t="s">
        <v>946</v>
      </c>
      <c r="D8573" t="s">
        <v>1016</v>
      </c>
      <c r="E8573" t="s">
        <v>251</v>
      </c>
      <c r="F8573" t="s">
        <v>948</v>
      </c>
      <c r="G8573">
        <v>1800000</v>
      </c>
      <c r="H8573">
        <v>142000</v>
      </c>
      <c r="I8573" t="s">
        <v>949</v>
      </c>
    </row>
    <row r="8574" spans="1:9" x14ac:dyDescent="0.25">
      <c r="A8574">
        <v>4310</v>
      </c>
      <c r="B8574">
        <v>18</v>
      </c>
      <c r="C8574" t="s">
        <v>946</v>
      </c>
      <c r="D8574" t="s">
        <v>1016</v>
      </c>
      <c r="E8574" t="s">
        <v>969</v>
      </c>
      <c r="F8574" t="s">
        <v>948</v>
      </c>
      <c r="G8574">
        <v>1800000</v>
      </c>
      <c r="H8574">
        <v>141000</v>
      </c>
      <c r="I8574" t="s">
        <v>970</v>
      </c>
    </row>
    <row r="8575" spans="1:9" x14ac:dyDescent="0.25">
      <c r="A8575">
        <v>4400</v>
      </c>
      <c r="B8575">
        <v>18</v>
      </c>
      <c r="C8575" t="s">
        <v>946</v>
      </c>
      <c r="D8575" t="s">
        <v>1016</v>
      </c>
      <c r="E8575" t="s">
        <v>969</v>
      </c>
      <c r="F8575" t="s">
        <v>948</v>
      </c>
      <c r="G8575">
        <v>1800000</v>
      </c>
      <c r="H8575">
        <v>141000</v>
      </c>
      <c r="I8575" t="s">
        <v>970</v>
      </c>
    </row>
    <row r="8576" spans="1:9" x14ac:dyDescent="0.25">
      <c r="A8576">
        <v>4310</v>
      </c>
      <c r="B8576">
        <v>18</v>
      </c>
      <c r="C8576" t="s">
        <v>946</v>
      </c>
      <c r="D8576" t="s">
        <v>1016</v>
      </c>
      <c r="E8576" t="s">
        <v>255</v>
      </c>
      <c r="F8576" t="s">
        <v>948</v>
      </c>
      <c r="G8576">
        <v>1800000</v>
      </c>
      <c r="H8576">
        <v>145000</v>
      </c>
      <c r="I8576" t="s">
        <v>949</v>
      </c>
    </row>
    <row r="8577" spans="1:9" x14ac:dyDescent="0.25">
      <c r="A8577">
        <v>4400</v>
      </c>
      <c r="B8577">
        <v>18</v>
      </c>
      <c r="C8577" t="s">
        <v>946</v>
      </c>
      <c r="D8577" t="s">
        <v>1016</v>
      </c>
      <c r="E8577" t="s">
        <v>255</v>
      </c>
      <c r="F8577" t="s">
        <v>948</v>
      </c>
      <c r="G8577">
        <v>1800000</v>
      </c>
      <c r="H8577">
        <v>145000</v>
      </c>
      <c r="I8577" t="s">
        <v>949</v>
      </c>
    </row>
    <row r="8578" spans="1:9" x14ac:dyDescent="0.25">
      <c r="A8578">
        <v>4310</v>
      </c>
      <c r="B8578">
        <v>18</v>
      </c>
      <c r="C8578" t="s">
        <v>946</v>
      </c>
      <c r="D8578" t="s">
        <v>1016</v>
      </c>
      <c r="E8578" t="s">
        <v>971</v>
      </c>
      <c r="F8578" t="s">
        <v>948</v>
      </c>
      <c r="G8578">
        <v>1800000</v>
      </c>
      <c r="H8578">
        <v>141000</v>
      </c>
      <c r="I8578" t="s">
        <v>972</v>
      </c>
    </row>
    <row r="8579" spans="1:9" x14ac:dyDescent="0.25">
      <c r="A8579">
        <v>4400</v>
      </c>
      <c r="B8579">
        <v>18</v>
      </c>
      <c r="C8579" t="s">
        <v>946</v>
      </c>
      <c r="D8579" t="s">
        <v>1016</v>
      </c>
      <c r="E8579" t="s">
        <v>971</v>
      </c>
      <c r="F8579" t="s">
        <v>948</v>
      </c>
      <c r="G8579">
        <v>1800000</v>
      </c>
      <c r="H8579">
        <v>141000</v>
      </c>
      <c r="I8579" t="s">
        <v>972</v>
      </c>
    </row>
    <row r="8580" spans="1:9" x14ac:dyDescent="0.25">
      <c r="A8580">
        <v>4310</v>
      </c>
      <c r="B8580">
        <v>18</v>
      </c>
      <c r="C8580" t="s">
        <v>946</v>
      </c>
      <c r="D8580" t="s">
        <v>1016</v>
      </c>
      <c r="E8580" t="s">
        <v>263</v>
      </c>
      <c r="F8580" t="s">
        <v>948</v>
      </c>
      <c r="G8580">
        <v>1800000</v>
      </c>
      <c r="H8580">
        <v>145000</v>
      </c>
      <c r="I8580" t="s">
        <v>949</v>
      </c>
    </row>
    <row r="8581" spans="1:9" x14ac:dyDescent="0.25">
      <c r="A8581">
        <v>4400</v>
      </c>
      <c r="B8581">
        <v>18</v>
      </c>
      <c r="C8581" t="s">
        <v>946</v>
      </c>
      <c r="D8581" t="s">
        <v>1016</v>
      </c>
      <c r="E8581" t="s">
        <v>263</v>
      </c>
      <c r="F8581" t="s">
        <v>948</v>
      </c>
      <c r="G8581">
        <v>1800000</v>
      </c>
      <c r="H8581">
        <v>145000</v>
      </c>
      <c r="I8581" t="s">
        <v>949</v>
      </c>
    </row>
    <row r="8582" spans="1:9" x14ac:dyDescent="0.25">
      <c r="A8582">
        <v>4310</v>
      </c>
      <c r="B8582">
        <v>18</v>
      </c>
      <c r="C8582" t="s">
        <v>946</v>
      </c>
      <c r="D8582" t="s">
        <v>1016</v>
      </c>
      <c r="E8582" t="s">
        <v>270</v>
      </c>
      <c r="F8582" t="s">
        <v>948</v>
      </c>
      <c r="G8582">
        <v>1800000</v>
      </c>
      <c r="H8582">
        <v>145000</v>
      </c>
      <c r="I8582" t="s">
        <v>949</v>
      </c>
    </row>
    <row r="8583" spans="1:9" x14ac:dyDescent="0.25">
      <c r="A8583">
        <v>4400</v>
      </c>
      <c r="B8583">
        <v>18</v>
      </c>
      <c r="C8583" t="s">
        <v>946</v>
      </c>
      <c r="D8583" t="s">
        <v>1016</v>
      </c>
      <c r="E8583" t="s">
        <v>270</v>
      </c>
      <c r="F8583" t="s">
        <v>948</v>
      </c>
      <c r="G8583">
        <v>1800000</v>
      </c>
      <c r="H8583">
        <v>145000</v>
      </c>
      <c r="I8583" t="s">
        <v>949</v>
      </c>
    </row>
    <row r="8584" spans="1:9" x14ac:dyDescent="0.25">
      <c r="A8584">
        <v>4310</v>
      </c>
      <c r="B8584">
        <v>18</v>
      </c>
      <c r="C8584" t="s">
        <v>946</v>
      </c>
      <c r="D8584" t="s">
        <v>1016</v>
      </c>
      <c r="E8584" t="s">
        <v>274</v>
      </c>
      <c r="F8584" t="s">
        <v>948</v>
      </c>
      <c r="G8584">
        <v>1800000</v>
      </c>
      <c r="H8584">
        <v>143000</v>
      </c>
      <c r="I8584" t="s">
        <v>973</v>
      </c>
    </row>
    <row r="8585" spans="1:9" x14ac:dyDescent="0.25">
      <c r="A8585">
        <v>4400</v>
      </c>
      <c r="B8585">
        <v>18</v>
      </c>
      <c r="C8585" t="s">
        <v>946</v>
      </c>
      <c r="D8585" t="s">
        <v>1016</v>
      </c>
      <c r="E8585" t="s">
        <v>274</v>
      </c>
      <c r="F8585" t="s">
        <v>948</v>
      </c>
      <c r="G8585">
        <v>1800000</v>
      </c>
      <c r="H8585">
        <v>143000</v>
      </c>
      <c r="I8585" t="s">
        <v>973</v>
      </c>
    </row>
    <row r="8586" spans="1:9" x14ac:dyDescent="0.25">
      <c r="A8586">
        <v>4310</v>
      </c>
      <c r="B8586">
        <v>18</v>
      </c>
      <c r="C8586" t="s">
        <v>946</v>
      </c>
      <c r="D8586" t="s">
        <v>1016</v>
      </c>
      <c r="E8586" t="s">
        <v>974</v>
      </c>
      <c r="F8586" t="s">
        <v>948</v>
      </c>
      <c r="G8586">
        <v>1800000</v>
      </c>
      <c r="H8586">
        <v>141000</v>
      </c>
      <c r="I8586" t="s">
        <v>975</v>
      </c>
    </row>
    <row r="8587" spans="1:9" x14ac:dyDescent="0.25">
      <c r="A8587">
        <v>4400</v>
      </c>
      <c r="B8587">
        <v>18</v>
      </c>
      <c r="C8587" t="s">
        <v>946</v>
      </c>
      <c r="D8587" t="s">
        <v>1016</v>
      </c>
      <c r="E8587" t="s">
        <v>974</v>
      </c>
      <c r="F8587" t="s">
        <v>948</v>
      </c>
      <c r="G8587">
        <v>1800000</v>
      </c>
      <c r="H8587">
        <v>141000</v>
      </c>
      <c r="I8587" t="s">
        <v>975</v>
      </c>
    </row>
    <row r="8588" spans="1:9" x14ac:dyDescent="0.25">
      <c r="A8588">
        <v>4310</v>
      </c>
      <c r="B8588">
        <v>18</v>
      </c>
      <c r="C8588" t="s">
        <v>946</v>
      </c>
      <c r="D8588" t="s">
        <v>1016</v>
      </c>
      <c r="E8588" t="s">
        <v>278</v>
      </c>
      <c r="F8588" t="s">
        <v>948</v>
      </c>
      <c r="G8588">
        <v>1800000</v>
      </c>
      <c r="H8588">
        <v>145000</v>
      </c>
      <c r="I8588" t="s">
        <v>949</v>
      </c>
    </row>
    <row r="8589" spans="1:9" x14ac:dyDescent="0.25">
      <c r="A8589">
        <v>4400</v>
      </c>
      <c r="B8589">
        <v>18</v>
      </c>
      <c r="C8589" t="s">
        <v>946</v>
      </c>
      <c r="D8589" t="s">
        <v>1016</v>
      </c>
      <c r="E8589" t="s">
        <v>278</v>
      </c>
      <c r="F8589" t="s">
        <v>948</v>
      </c>
      <c r="G8589">
        <v>1800000</v>
      </c>
      <c r="H8589">
        <v>145000</v>
      </c>
      <c r="I8589" t="s">
        <v>949</v>
      </c>
    </row>
    <row r="8590" spans="1:9" x14ac:dyDescent="0.25">
      <c r="A8590">
        <v>4310</v>
      </c>
      <c r="B8590">
        <v>18</v>
      </c>
      <c r="C8590" t="s">
        <v>946</v>
      </c>
      <c r="D8590" t="s">
        <v>1016</v>
      </c>
      <c r="E8590" t="s">
        <v>282</v>
      </c>
      <c r="F8590" t="s">
        <v>948</v>
      </c>
      <c r="G8590">
        <v>1800000</v>
      </c>
      <c r="H8590">
        <v>143100</v>
      </c>
      <c r="I8590" t="s">
        <v>949</v>
      </c>
    </row>
    <row r="8591" spans="1:9" x14ac:dyDescent="0.25">
      <c r="A8591">
        <v>4400</v>
      </c>
      <c r="B8591">
        <v>18</v>
      </c>
      <c r="C8591" t="s">
        <v>946</v>
      </c>
      <c r="D8591" t="s">
        <v>1016</v>
      </c>
      <c r="E8591" t="s">
        <v>282</v>
      </c>
      <c r="F8591" t="s">
        <v>948</v>
      </c>
      <c r="G8591">
        <v>1800000</v>
      </c>
      <c r="H8591">
        <v>143100</v>
      </c>
      <c r="I8591" t="s">
        <v>949</v>
      </c>
    </row>
    <row r="8592" spans="1:9" x14ac:dyDescent="0.25">
      <c r="A8592">
        <v>4310</v>
      </c>
      <c r="B8592">
        <v>18</v>
      </c>
      <c r="C8592" t="s">
        <v>946</v>
      </c>
      <c r="D8592" t="s">
        <v>1016</v>
      </c>
      <c r="E8592" t="s">
        <v>286</v>
      </c>
      <c r="F8592" t="s">
        <v>948</v>
      </c>
      <c r="G8592">
        <v>1800000</v>
      </c>
      <c r="H8592">
        <v>145000</v>
      </c>
      <c r="I8592" t="s">
        <v>949</v>
      </c>
    </row>
    <row r="8593" spans="1:9" x14ac:dyDescent="0.25">
      <c r="A8593">
        <v>4400</v>
      </c>
      <c r="B8593">
        <v>18</v>
      </c>
      <c r="C8593" t="s">
        <v>946</v>
      </c>
      <c r="D8593" t="s">
        <v>1016</v>
      </c>
      <c r="E8593" t="s">
        <v>286</v>
      </c>
      <c r="F8593" t="s">
        <v>948</v>
      </c>
      <c r="G8593">
        <v>1800000</v>
      </c>
      <c r="H8593">
        <v>145000</v>
      </c>
      <c r="I8593" t="s">
        <v>949</v>
      </c>
    </row>
    <row r="8594" spans="1:9" x14ac:dyDescent="0.25">
      <c r="A8594">
        <v>4310</v>
      </c>
      <c r="B8594">
        <v>18</v>
      </c>
      <c r="C8594" t="s">
        <v>946</v>
      </c>
      <c r="D8594" t="s">
        <v>1016</v>
      </c>
      <c r="E8594" t="s">
        <v>976</v>
      </c>
      <c r="F8594" t="s">
        <v>948</v>
      </c>
      <c r="G8594">
        <v>1800000</v>
      </c>
      <c r="H8594">
        <v>141000</v>
      </c>
      <c r="I8594" t="s">
        <v>977</v>
      </c>
    </row>
    <row r="8595" spans="1:9" x14ac:dyDescent="0.25">
      <c r="A8595">
        <v>4400</v>
      </c>
      <c r="B8595">
        <v>18</v>
      </c>
      <c r="C8595" t="s">
        <v>946</v>
      </c>
      <c r="D8595" t="s">
        <v>1016</v>
      </c>
      <c r="E8595" t="s">
        <v>976</v>
      </c>
      <c r="F8595" t="s">
        <v>948</v>
      </c>
      <c r="G8595">
        <v>1800000</v>
      </c>
      <c r="H8595">
        <v>141000</v>
      </c>
      <c r="I8595" t="s">
        <v>977</v>
      </c>
    </row>
    <row r="8596" spans="1:9" x14ac:dyDescent="0.25">
      <c r="A8596">
        <v>4310</v>
      </c>
      <c r="B8596">
        <v>18</v>
      </c>
      <c r="C8596" t="s">
        <v>946</v>
      </c>
      <c r="D8596" t="s">
        <v>1016</v>
      </c>
      <c r="E8596" t="s">
        <v>290</v>
      </c>
      <c r="F8596" t="s">
        <v>948</v>
      </c>
      <c r="G8596">
        <v>1800000</v>
      </c>
      <c r="H8596">
        <v>143000</v>
      </c>
      <c r="I8596" t="s">
        <v>978</v>
      </c>
    </row>
    <row r="8597" spans="1:9" x14ac:dyDescent="0.25">
      <c r="A8597">
        <v>4400</v>
      </c>
      <c r="B8597">
        <v>18</v>
      </c>
      <c r="C8597" t="s">
        <v>946</v>
      </c>
      <c r="D8597" t="s">
        <v>1016</v>
      </c>
      <c r="E8597" t="s">
        <v>290</v>
      </c>
      <c r="F8597" t="s">
        <v>948</v>
      </c>
      <c r="G8597">
        <v>1800000</v>
      </c>
      <c r="H8597">
        <v>143000</v>
      </c>
      <c r="I8597" t="s">
        <v>978</v>
      </c>
    </row>
    <row r="8598" spans="1:9" x14ac:dyDescent="0.25">
      <c r="A8598">
        <v>4310</v>
      </c>
      <c r="B8598">
        <v>18</v>
      </c>
      <c r="C8598" t="s">
        <v>946</v>
      </c>
      <c r="D8598" t="s">
        <v>1016</v>
      </c>
      <c r="E8598" t="s">
        <v>294</v>
      </c>
      <c r="F8598" t="s">
        <v>948</v>
      </c>
      <c r="G8598">
        <v>1800000</v>
      </c>
      <c r="H8598">
        <v>143000</v>
      </c>
      <c r="I8598" t="s">
        <v>979</v>
      </c>
    </row>
    <row r="8599" spans="1:9" x14ac:dyDescent="0.25">
      <c r="A8599">
        <v>4400</v>
      </c>
      <c r="B8599">
        <v>18</v>
      </c>
      <c r="C8599" t="s">
        <v>946</v>
      </c>
      <c r="D8599" t="s">
        <v>1016</v>
      </c>
      <c r="E8599" t="s">
        <v>294</v>
      </c>
      <c r="F8599" t="s">
        <v>948</v>
      </c>
      <c r="G8599">
        <v>1800000</v>
      </c>
      <c r="H8599">
        <v>143000</v>
      </c>
      <c r="I8599" t="s">
        <v>979</v>
      </c>
    </row>
    <row r="8600" spans="1:9" x14ac:dyDescent="0.25">
      <c r="A8600">
        <v>4310</v>
      </c>
      <c r="B8600">
        <v>18</v>
      </c>
      <c r="C8600" t="s">
        <v>946</v>
      </c>
      <c r="D8600" t="s">
        <v>1016</v>
      </c>
      <c r="E8600" t="s">
        <v>980</v>
      </c>
      <c r="F8600" t="s">
        <v>948</v>
      </c>
      <c r="G8600">
        <v>1800000</v>
      </c>
      <c r="H8600">
        <v>141000</v>
      </c>
      <c r="I8600" t="s">
        <v>981</v>
      </c>
    </row>
    <row r="8601" spans="1:9" x14ac:dyDescent="0.25">
      <c r="A8601">
        <v>4400</v>
      </c>
      <c r="B8601">
        <v>18</v>
      </c>
      <c r="C8601" t="s">
        <v>946</v>
      </c>
      <c r="D8601" t="s">
        <v>1016</v>
      </c>
      <c r="E8601" t="s">
        <v>980</v>
      </c>
      <c r="F8601" t="s">
        <v>948</v>
      </c>
      <c r="G8601">
        <v>1800000</v>
      </c>
      <c r="H8601">
        <v>141000</v>
      </c>
      <c r="I8601" t="s">
        <v>981</v>
      </c>
    </row>
    <row r="8602" spans="1:9" x14ac:dyDescent="0.25">
      <c r="A8602">
        <v>4310</v>
      </c>
      <c r="B8602">
        <v>18</v>
      </c>
      <c r="C8602" t="s">
        <v>946</v>
      </c>
      <c r="D8602" t="s">
        <v>1016</v>
      </c>
      <c r="E8602" t="s">
        <v>302</v>
      </c>
      <c r="F8602" t="s">
        <v>948</v>
      </c>
      <c r="G8602">
        <v>1800000</v>
      </c>
      <c r="H8602">
        <v>143000</v>
      </c>
      <c r="I8602" t="s">
        <v>982</v>
      </c>
    </row>
    <row r="8603" spans="1:9" x14ac:dyDescent="0.25">
      <c r="A8603">
        <v>4400</v>
      </c>
      <c r="B8603">
        <v>18</v>
      </c>
      <c r="C8603" t="s">
        <v>946</v>
      </c>
      <c r="D8603" t="s">
        <v>1016</v>
      </c>
      <c r="E8603" t="s">
        <v>302</v>
      </c>
      <c r="F8603" t="s">
        <v>948</v>
      </c>
      <c r="G8603">
        <v>1800000</v>
      </c>
      <c r="H8603">
        <v>143000</v>
      </c>
      <c r="I8603" t="s">
        <v>982</v>
      </c>
    </row>
    <row r="8604" spans="1:9" x14ac:dyDescent="0.25">
      <c r="A8604">
        <v>4310</v>
      </c>
      <c r="B8604">
        <v>18</v>
      </c>
      <c r="C8604" t="s">
        <v>946</v>
      </c>
      <c r="D8604" t="s">
        <v>1016</v>
      </c>
      <c r="E8604" t="s">
        <v>306</v>
      </c>
      <c r="F8604" t="s">
        <v>948</v>
      </c>
      <c r="G8604">
        <v>1800000</v>
      </c>
      <c r="H8604">
        <v>143000</v>
      </c>
      <c r="I8604" t="s">
        <v>983</v>
      </c>
    </row>
    <row r="8605" spans="1:9" x14ac:dyDescent="0.25">
      <c r="A8605">
        <v>4310</v>
      </c>
      <c r="B8605">
        <v>18</v>
      </c>
      <c r="C8605" t="s">
        <v>946</v>
      </c>
      <c r="D8605" t="s">
        <v>1016</v>
      </c>
      <c r="E8605" t="s">
        <v>310</v>
      </c>
      <c r="F8605" t="s">
        <v>948</v>
      </c>
      <c r="G8605">
        <v>1800000</v>
      </c>
      <c r="H8605">
        <v>145000</v>
      </c>
      <c r="I8605" t="s">
        <v>949</v>
      </c>
    </row>
    <row r="8606" spans="1:9" x14ac:dyDescent="0.25">
      <c r="A8606">
        <v>4400</v>
      </c>
      <c r="B8606">
        <v>18</v>
      </c>
      <c r="C8606" t="s">
        <v>946</v>
      </c>
      <c r="D8606" t="s">
        <v>1016</v>
      </c>
      <c r="E8606" t="s">
        <v>310</v>
      </c>
      <c r="F8606" t="s">
        <v>948</v>
      </c>
      <c r="G8606">
        <v>1800000</v>
      </c>
      <c r="H8606">
        <v>145000</v>
      </c>
      <c r="I8606" t="s">
        <v>949</v>
      </c>
    </row>
    <row r="8607" spans="1:9" x14ac:dyDescent="0.25">
      <c r="A8607">
        <v>4310</v>
      </c>
      <c r="B8607">
        <v>18</v>
      </c>
      <c r="C8607" t="s">
        <v>946</v>
      </c>
      <c r="D8607" t="s">
        <v>1016</v>
      </c>
      <c r="E8607" t="s">
        <v>314</v>
      </c>
      <c r="F8607" t="s">
        <v>948</v>
      </c>
      <c r="G8607">
        <v>1800000</v>
      </c>
      <c r="H8607">
        <v>145000</v>
      </c>
      <c r="I8607" t="s">
        <v>949</v>
      </c>
    </row>
    <row r="8608" spans="1:9" x14ac:dyDescent="0.25">
      <c r="A8608">
        <v>4400</v>
      </c>
      <c r="B8608">
        <v>18</v>
      </c>
      <c r="C8608" t="s">
        <v>946</v>
      </c>
      <c r="D8608" t="s">
        <v>1016</v>
      </c>
      <c r="E8608" t="s">
        <v>314</v>
      </c>
      <c r="F8608" t="s">
        <v>948</v>
      </c>
      <c r="G8608">
        <v>1800000</v>
      </c>
      <c r="H8608">
        <v>145000</v>
      </c>
      <c r="I8608" t="s">
        <v>949</v>
      </c>
    </row>
    <row r="8609" spans="1:9" x14ac:dyDescent="0.25">
      <c r="A8609">
        <v>4310</v>
      </c>
      <c r="B8609">
        <v>18</v>
      </c>
      <c r="C8609" t="s">
        <v>946</v>
      </c>
      <c r="D8609" t="s">
        <v>1016</v>
      </c>
      <c r="E8609" t="s">
        <v>984</v>
      </c>
      <c r="F8609" t="s">
        <v>948</v>
      </c>
      <c r="G8609">
        <v>1800000</v>
      </c>
      <c r="H8609">
        <v>141000</v>
      </c>
      <c r="I8609" t="s">
        <v>985</v>
      </c>
    </row>
    <row r="8610" spans="1:9" x14ac:dyDescent="0.25">
      <c r="A8610">
        <v>4400</v>
      </c>
      <c r="B8610">
        <v>18</v>
      </c>
      <c r="C8610" t="s">
        <v>946</v>
      </c>
      <c r="D8610" t="s">
        <v>1016</v>
      </c>
      <c r="E8610" t="s">
        <v>984</v>
      </c>
      <c r="F8610" t="s">
        <v>948</v>
      </c>
      <c r="G8610">
        <v>1800000</v>
      </c>
      <c r="H8610">
        <v>141000</v>
      </c>
      <c r="I8610" t="s">
        <v>985</v>
      </c>
    </row>
    <row r="8611" spans="1:9" x14ac:dyDescent="0.25">
      <c r="A8611">
        <v>4315</v>
      </c>
      <c r="B8611">
        <v>18</v>
      </c>
      <c r="C8611" t="s">
        <v>946</v>
      </c>
      <c r="D8611" t="s">
        <v>67</v>
      </c>
      <c r="E8611" t="s">
        <v>49</v>
      </c>
      <c r="F8611" t="s">
        <v>948</v>
      </c>
      <c r="G8611">
        <v>1877777</v>
      </c>
      <c r="H8611">
        <v>500220</v>
      </c>
      <c r="I8611" t="s">
        <v>949</v>
      </c>
    </row>
    <row r="8612" spans="1:9" x14ac:dyDescent="0.25">
      <c r="A8612">
        <v>4318</v>
      </c>
      <c r="B8612">
        <v>18</v>
      </c>
      <c r="C8612" t="s">
        <v>946</v>
      </c>
      <c r="D8612" t="s">
        <v>67</v>
      </c>
      <c r="E8612" t="s">
        <v>49</v>
      </c>
      <c r="F8612" t="s">
        <v>948</v>
      </c>
      <c r="G8612">
        <v>1800000</v>
      </c>
      <c r="H8612">
        <v>145100</v>
      </c>
      <c r="I8612" t="s">
        <v>949</v>
      </c>
    </row>
    <row r="8613" spans="1:9" x14ac:dyDescent="0.25">
      <c r="A8613">
        <v>4320</v>
      </c>
      <c r="B8613">
        <v>18</v>
      </c>
      <c r="C8613" t="s">
        <v>946</v>
      </c>
      <c r="D8613" t="s">
        <v>67</v>
      </c>
      <c r="E8613" t="s">
        <v>49</v>
      </c>
      <c r="F8613" t="s">
        <v>948</v>
      </c>
      <c r="G8613">
        <v>1800000</v>
      </c>
      <c r="H8613">
        <v>145200</v>
      </c>
      <c r="I8613" t="s">
        <v>949</v>
      </c>
    </row>
    <row r="8614" spans="1:9" x14ac:dyDescent="0.25">
      <c r="A8614">
        <v>4330</v>
      </c>
      <c r="B8614">
        <v>18</v>
      </c>
      <c r="C8614" t="s">
        <v>946</v>
      </c>
      <c r="D8614" t="s">
        <v>67</v>
      </c>
      <c r="E8614" t="s">
        <v>49</v>
      </c>
      <c r="F8614" t="s">
        <v>948</v>
      </c>
      <c r="G8614">
        <v>1877777</v>
      </c>
      <c r="H8614">
        <v>500465</v>
      </c>
      <c r="I8614" t="s">
        <v>949</v>
      </c>
    </row>
    <row r="8615" spans="1:9" x14ac:dyDescent="0.25">
      <c r="A8615">
        <v>4332</v>
      </c>
      <c r="B8615">
        <v>18</v>
      </c>
      <c r="C8615" t="s">
        <v>946</v>
      </c>
      <c r="D8615" t="s">
        <v>67</v>
      </c>
      <c r="E8615" t="s">
        <v>49</v>
      </c>
      <c r="F8615" t="s">
        <v>948</v>
      </c>
      <c r="G8615">
        <v>1877777</v>
      </c>
      <c r="H8615">
        <v>500465</v>
      </c>
      <c r="I8615" t="s">
        <v>949</v>
      </c>
    </row>
    <row r="8616" spans="1:9" x14ac:dyDescent="0.25">
      <c r="A8616">
        <v>4335</v>
      </c>
      <c r="B8616">
        <v>18</v>
      </c>
      <c r="C8616" t="s">
        <v>946</v>
      </c>
      <c r="D8616" t="s">
        <v>67</v>
      </c>
      <c r="E8616" t="s">
        <v>49</v>
      </c>
      <c r="F8616" t="s">
        <v>948</v>
      </c>
      <c r="G8616">
        <v>1877777</v>
      </c>
      <c r="H8616">
        <v>500465</v>
      </c>
      <c r="I8616" t="s">
        <v>949</v>
      </c>
    </row>
    <row r="8617" spans="1:9" x14ac:dyDescent="0.25">
      <c r="A8617">
        <v>4337</v>
      </c>
      <c r="B8617">
        <v>18</v>
      </c>
      <c r="C8617" t="s">
        <v>946</v>
      </c>
      <c r="D8617" t="s">
        <v>67</v>
      </c>
      <c r="E8617" t="s">
        <v>49</v>
      </c>
      <c r="F8617" t="s">
        <v>948</v>
      </c>
      <c r="G8617">
        <v>1877777</v>
      </c>
      <c r="H8617">
        <v>500465</v>
      </c>
      <c r="I8617" t="s">
        <v>949</v>
      </c>
    </row>
    <row r="8618" spans="1:9" x14ac:dyDescent="0.25">
      <c r="A8618">
        <v>4340</v>
      </c>
      <c r="B8618">
        <v>18</v>
      </c>
      <c r="C8618" t="s">
        <v>946</v>
      </c>
      <c r="D8618" t="s">
        <v>67</v>
      </c>
      <c r="E8618" t="s">
        <v>49</v>
      </c>
      <c r="F8618" t="s">
        <v>948</v>
      </c>
      <c r="G8618">
        <v>1877777</v>
      </c>
      <c r="H8618">
        <v>500210</v>
      </c>
      <c r="I8618" t="s">
        <v>949</v>
      </c>
    </row>
    <row r="8619" spans="1:9" x14ac:dyDescent="0.25">
      <c r="A8619">
        <v>4350</v>
      </c>
      <c r="B8619">
        <v>18</v>
      </c>
      <c r="C8619" t="s">
        <v>946</v>
      </c>
      <c r="D8619" t="s">
        <v>67</v>
      </c>
      <c r="E8619" t="s">
        <v>49</v>
      </c>
      <c r="F8619" t="s">
        <v>948</v>
      </c>
      <c r="G8619">
        <v>1800000</v>
      </c>
      <c r="H8619">
        <v>142000</v>
      </c>
      <c r="I8619" t="s">
        <v>949</v>
      </c>
    </row>
    <row r="8620" spans="1:9" x14ac:dyDescent="0.25">
      <c r="A8620">
        <v>4355</v>
      </c>
      <c r="B8620">
        <v>18</v>
      </c>
      <c r="C8620" t="s">
        <v>946</v>
      </c>
      <c r="D8620" t="s">
        <v>67</v>
      </c>
      <c r="E8620" t="s">
        <v>49</v>
      </c>
      <c r="F8620" t="s">
        <v>948</v>
      </c>
      <c r="G8620">
        <v>1800000</v>
      </c>
      <c r="H8620">
        <v>200105</v>
      </c>
      <c r="I8620" t="s">
        <v>949</v>
      </c>
    </row>
    <row r="8621" spans="1:9" x14ac:dyDescent="0.25">
      <c r="A8621">
        <v>4385</v>
      </c>
      <c r="B8621">
        <v>18</v>
      </c>
      <c r="C8621" t="s">
        <v>946</v>
      </c>
      <c r="D8621" t="s">
        <v>67</v>
      </c>
      <c r="E8621" t="s">
        <v>49</v>
      </c>
      <c r="F8621" t="s">
        <v>948</v>
      </c>
      <c r="G8621">
        <v>1877777</v>
      </c>
      <c r="H8621">
        <v>500510</v>
      </c>
      <c r="I8621" t="s">
        <v>949</v>
      </c>
    </row>
    <row r="8622" spans="1:9" x14ac:dyDescent="0.25">
      <c r="A8622">
        <v>4390</v>
      </c>
      <c r="B8622">
        <v>18</v>
      </c>
      <c r="C8622" t="s">
        <v>946</v>
      </c>
      <c r="D8622" t="s">
        <v>67</v>
      </c>
      <c r="E8622" t="s">
        <v>49</v>
      </c>
      <c r="F8622" t="s">
        <v>948</v>
      </c>
      <c r="G8622">
        <v>1877777</v>
      </c>
      <c r="H8622">
        <v>500510</v>
      </c>
      <c r="I8622" t="s">
        <v>949</v>
      </c>
    </row>
    <row r="8623" spans="1:9" x14ac:dyDescent="0.25">
      <c r="A8623">
        <v>4405</v>
      </c>
      <c r="B8623">
        <v>18</v>
      </c>
      <c r="C8623" t="s">
        <v>946</v>
      </c>
      <c r="D8623" t="s">
        <v>67</v>
      </c>
      <c r="E8623" t="s">
        <v>49</v>
      </c>
      <c r="F8623" t="s">
        <v>948</v>
      </c>
      <c r="G8623">
        <v>1877777</v>
      </c>
      <c r="H8623">
        <v>500465</v>
      </c>
      <c r="I8623" t="s">
        <v>949</v>
      </c>
    </row>
    <row r="8624" spans="1:9" x14ac:dyDescent="0.25">
      <c r="A8624">
        <v>4310</v>
      </c>
      <c r="B8624">
        <v>18</v>
      </c>
      <c r="C8624" t="s">
        <v>946</v>
      </c>
      <c r="D8624" t="s">
        <v>67</v>
      </c>
      <c r="E8624" t="s">
        <v>243</v>
      </c>
      <c r="F8624" t="s">
        <v>948</v>
      </c>
      <c r="G8624">
        <v>1800000</v>
      </c>
      <c r="H8624">
        <v>145000</v>
      </c>
      <c r="I8624" t="s">
        <v>949</v>
      </c>
    </row>
    <row r="8625" spans="1:9" x14ac:dyDescent="0.25">
      <c r="A8625">
        <v>4400</v>
      </c>
      <c r="B8625">
        <v>18</v>
      </c>
      <c r="C8625" t="s">
        <v>946</v>
      </c>
      <c r="D8625" t="s">
        <v>67</v>
      </c>
      <c r="E8625" t="s">
        <v>243</v>
      </c>
      <c r="F8625" t="s">
        <v>948</v>
      </c>
      <c r="G8625">
        <v>1877777</v>
      </c>
      <c r="H8625">
        <v>500465</v>
      </c>
      <c r="I8625" t="s">
        <v>949</v>
      </c>
    </row>
    <row r="8626" spans="1:9" x14ac:dyDescent="0.25">
      <c r="A8626">
        <v>4310</v>
      </c>
      <c r="B8626">
        <v>18</v>
      </c>
      <c r="C8626" t="s">
        <v>946</v>
      </c>
      <c r="D8626" t="s">
        <v>67</v>
      </c>
      <c r="E8626" t="s">
        <v>247</v>
      </c>
      <c r="F8626" t="s">
        <v>948</v>
      </c>
      <c r="G8626">
        <v>1800000</v>
      </c>
      <c r="H8626">
        <v>145000</v>
      </c>
      <c r="I8626" t="s">
        <v>949</v>
      </c>
    </row>
    <row r="8627" spans="1:9" x14ac:dyDescent="0.25">
      <c r="A8627">
        <v>4400</v>
      </c>
      <c r="B8627">
        <v>18</v>
      </c>
      <c r="C8627" t="s">
        <v>946</v>
      </c>
      <c r="D8627" t="s">
        <v>67</v>
      </c>
      <c r="E8627" t="s">
        <v>247</v>
      </c>
      <c r="F8627" t="s">
        <v>948</v>
      </c>
      <c r="G8627">
        <v>1877777</v>
      </c>
      <c r="H8627">
        <v>500465</v>
      </c>
      <c r="I8627" t="s">
        <v>949</v>
      </c>
    </row>
    <row r="8628" spans="1:9" x14ac:dyDescent="0.25">
      <c r="A8628">
        <v>4310</v>
      </c>
      <c r="B8628">
        <v>18</v>
      </c>
      <c r="C8628" t="s">
        <v>946</v>
      </c>
      <c r="D8628" t="s">
        <v>67</v>
      </c>
      <c r="E8628" t="s">
        <v>251</v>
      </c>
      <c r="F8628" t="s">
        <v>948</v>
      </c>
      <c r="G8628">
        <v>1800000</v>
      </c>
      <c r="H8628">
        <v>142000</v>
      </c>
      <c r="I8628" t="s">
        <v>949</v>
      </c>
    </row>
    <row r="8629" spans="1:9" x14ac:dyDescent="0.25">
      <c r="A8629">
        <v>4400</v>
      </c>
      <c r="B8629">
        <v>18</v>
      </c>
      <c r="C8629" t="s">
        <v>946</v>
      </c>
      <c r="D8629" t="s">
        <v>67</v>
      </c>
      <c r="E8629" t="s">
        <v>251</v>
      </c>
      <c r="F8629" t="s">
        <v>948</v>
      </c>
      <c r="G8629">
        <v>1877777</v>
      </c>
      <c r="H8629">
        <v>500465</v>
      </c>
      <c r="I8629" t="s">
        <v>949</v>
      </c>
    </row>
    <row r="8630" spans="1:9" x14ac:dyDescent="0.25">
      <c r="A8630">
        <v>4310</v>
      </c>
      <c r="B8630">
        <v>18</v>
      </c>
      <c r="C8630" t="s">
        <v>946</v>
      </c>
      <c r="D8630" t="s">
        <v>67</v>
      </c>
      <c r="E8630" t="s">
        <v>969</v>
      </c>
      <c r="F8630" t="s">
        <v>948</v>
      </c>
      <c r="G8630">
        <v>1800000</v>
      </c>
      <c r="H8630">
        <v>141000</v>
      </c>
      <c r="I8630" t="s">
        <v>970</v>
      </c>
    </row>
    <row r="8631" spans="1:9" x14ac:dyDescent="0.25">
      <c r="A8631">
        <v>4400</v>
      </c>
      <c r="B8631">
        <v>18</v>
      </c>
      <c r="C8631" t="s">
        <v>946</v>
      </c>
      <c r="D8631" t="s">
        <v>67</v>
      </c>
      <c r="E8631" t="s">
        <v>969</v>
      </c>
      <c r="F8631" t="s">
        <v>948</v>
      </c>
      <c r="G8631">
        <v>1877777</v>
      </c>
      <c r="H8631">
        <v>500465</v>
      </c>
      <c r="I8631" t="s">
        <v>949</v>
      </c>
    </row>
    <row r="8632" spans="1:9" x14ac:dyDescent="0.25">
      <c r="A8632">
        <v>4310</v>
      </c>
      <c r="B8632">
        <v>18</v>
      </c>
      <c r="C8632" t="s">
        <v>946</v>
      </c>
      <c r="D8632" t="s">
        <v>67</v>
      </c>
      <c r="E8632" t="s">
        <v>255</v>
      </c>
      <c r="F8632" t="s">
        <v>948</v>
      </c>
      <c r="G8632">
        <v>1800000</v>
      </c>
      <c r="H8632">
        <v>145000</v>
      </c>
      <c r="I8632" t="s">
        <v>949</v>
      </c>
    </row>
    <row r="8633" spans="1:9" x14ac:dyDescent="0.25">
      <c r="A8633">
        <v>4400</v>
      </c>
      <c r="B8633">
        <v>18</v>
      </c>
      <c r="C8633" t="s">
        <v>946</v>
      </c>
      <c r="D8633" t="s">
        <v>67</v>
      </c>
      <c r="E8633" t="s">
        <v>255</v>
      </c>
      <c r="F8633" t="s">
        <v>948</v>
      </c>
      <c r="G8633">
        <v>1877777</v>
      </c>
      <c r="H8633">
        <v>500465</v>
      </c>
      <c r="I8633" t="s">
        <v>949</v>
      </c>
    </row>
    <row r="8634" spans="1:9" x14ac:dyDescent="0.25">
      <c r="A8634">
        <v>4310</v>
      </c>
      <c r="B8634">
        <v>18</v>
      </c>
      <c r="C8634" t="s">
        <v>946</v>
      </c>
      <c r="D8634" t="s">
        <v>67</v>
      </c>
      <c r="E8634" t="s">
        <v>971</v>
      </c>
      <c r="F8634" t="s">
        <v>948</v>
      </c>
      <c r="G8634">
        <v>1800000</v>
      </c>
      <c r="H8634">
        <v>141000</v>
      </c>
      <c r="I8634" t="s">
        <v>972</v>
      </c>
    </row>
    <row r="8635" spans="1:9" x14ac:dyDescent="0.25">
      <c r="A8635">
        <v>4400</v>
      </c>
      <c r="B8635">
        <v>18</v>
      </c>
      <c r="C8635" t="s">
        <v>946</v>
      </c>
      <c r="D8635" t="s">
        <v>67</v>
      </c>
      <c r="E8635" t="s">
        <v>971</v>
      </c>
      <c r="F8635" t="s">
        <v>948</v>
      </c>
      <c r="G8635">
        <v>1877777</v>
      </c>
      <c r="H8635">
        <v>500465</v>
      </c>
      <c r="I8635" t="s">
        <v>949</v>
      </c>
    </row>
    <row r="8636" spans="1:9" x14ac:dyDescent="0.25">
      <c r="A8636">
        <v>4310</v>
      </c>
      <c r="B8636">
        <v>18</v>
      </c>
      <c r="C8636" t="s">
        <v>946</v>
      </c>
      <c r="D8636" t="s">
        <v>67</v>
      </c>
      <c r="E8636" t="s">
        <v>263</v>
      </c>
      <c r="F8636" t="s">
        <v>948</v>
      </c>
      <c r="G8636">
        <v>1800000</v>
      </c>
      <c r="H8636">
        <v>145000</v>
      </c>
      <c r="I8636" t="s">
        <v>949</v>
      </c>
    </row>
    <row r="8637" spans="1:9" x14ac:dyDescent="0.25">
      <c r="A8637">
        <v>4400</v>
      </c>
      <c r="B8637">
        <v>18</v>
      </c>
      <c r="C8637" t="s">
        <v>946</v>
      </c>
      <c r="D8637" t="s">
        <v>67</v>
      </c>
      <c r="E8637" t="s">
        <v>263</v>
      </c>
      <c r="F8637" t="s">
        <v>948</v>
      </c>
      <c r="G8637">
        <v>1877777</v>
      </c>
      <c r="H8637">
        <v>500465</v>
      </c>
      <c r="I8637" t="s">
        <v>949</v>
      </c>
    </row>
    <row r="8638" spans="1:9" x14ac:dyDescent="0.25">
      <c r="A8638">
        <v>4310</v>
      </c>
      <c r="B8638">
        <v>18</v>
      </c>
      <c r="C8638" t="s">
        <v>946</v>
      </c>
      <c r="D8638" t="s">
        <v>67</v>
      </c>
      <c r="E8638" t="s">
        <v>100</v>
      </c>
      <c r="F8638" t="s">
        <v>948</v>
      </c>
      <c r="G8638">
        <v>1877777</v>
      </c>
      <c r="H8638">
        <v>500220</v>
      </c>
      <c r="I8638" t="s">
        <v>949</v>
      </c>
    </row>
    <row r="8639" spans="1:9" x14ac:dyDescent="0.25">
      <c r="A8639">
        <v>4320</v>
      </c>
      <c r="B8639">
        <v>18</v>
      </c>
      <c r="C8639" t="s">
        <v>946</v>
      </c>
      <c r="D8639" t="s">
        <v>67</v>
      </c>
      <c r="E8639" t="s">
        <v>100</v>
      </c>
      <c r="F8639" t="s">
        <v>948</v>
      </c>
      <c r="G8639">
        <v>1877777</v>
      </c>
      <c r="H8639">
        <v>500221</v>
      </c>
      <c r="I8639" t="s">
        <v>949</v>
      </c>
    </row>
    <row r="8640" spans="1:9" x14ac:dyDescent="0.25">
      <c r="A8640">
        <v>4310</v>
      </c>
      <c r="B8640">
        <v>18</v>
      </c>
      <c r="C8640" t="s">
        <v>946</v>
      </c>
      <c r="D8640" t="s">
        <v>67</v>
      </c>
      <c r="E8640" t="s">
        <v>270</v>
      </c>
      <c r="F8640" t="s">
        <v>948</v>
      </c>
      <c r="G8640">
        <v>1800000</v>
      </c>
      <c r="H8640">
        <v>145000</v>
      </c>
      <c r="I8640" t="s">
        <v>949</v>
      </c>
    </row>
    <row r="8641" spans="1:9" x14ac:dyDescent="0.25">
      <c r="A8641">
        <v>4400</v>
      </c>
      <c r="B8641">
        <v>18</v>
      </c>
      <c r="C8641" t="s">
        <v>946</v>
      </c>
      <c r="D8641" t="s">
        <v>67</v>
      </c>
      <c r="E8641" t="s">
        <v>270</v>
      </c>
      <c r="F8641" t="s">
        <v>948</v>
      </c>
      <c r="G8641">
        <v>1877777</v>
      </c>
      <c r="H8641">
        <v>500465</v>
      </c>
      <c r="I8641" t="s">
        <v>949</v>
      </c>
    </row>
    <row r="8642" spans="1:9" x14ac:dyDescent="0.25">
      <c r="A8642">
        <v>4310</v>
      </c>
      <c r="B8642">
        <v>18</v>
      </c>
      <c r="C8642" t="s">
        <v>946</v>
      </c>
      <c r="D8642" t="s">
        <v>67</v>
      </c>
      <c r="E8642" t="s">
        <v>274</v>
      </c>
      <c r="F8642" t="s">
        <v>948</v>
      </c>
      <c r="G8642">
        <v>1800000</v>
      </c>
      <c r="H8642">
        <v>143000</v>
      </c>
      <c r="I8642" t="s">
        <v>973</v>
      </c>
    </row>
    <row r="8643" spans="1:9" x14ac:dyDescent="0.25">
      <c r="A8643">
        <v>4400</v>
      </c>
      <c r="B8643">
        <v>18</v>
      </c>
      <c r="C8643" t="s">
        <v>946</v>
      </c>
      <c r="D8643" t="s">
        <v>67</v>
      </c>
      <c r="E8643" t="s">
        <v>274</v>
      </c>
      <c r="F8643" t="s">
        <v>948</v>
      </c>
      <c r="G8643">
        <v>1877777</v>
      </c>
      <c r="H8643">
        <v>500465</v>
      </c>
      <c r="I8643" t="s">
        <v>949</v>
      </c>
    </row>
    <row r="8644" spans="1:9" x14ac:dyDescent="0.25">
      <c r="A8644">
        <v>4310</v>
      </c>
      <c r="B8644">
        <v>18</v>
      </c>
      <c r="C8644" t="s">
        <v>946</v>
      </c>
      <c r="D8644" t="s">
        <v>67</v>
      </c>
      <c r="E8644" t="s">
        <v>974</v>
      </c>
      <c r="F8644" t="s">
        <v>948</v>
      </c>
      <c r="G8644">
        <v>1800000</v>
      </c>
      <c r="H8644">
        <v>141000</v>
      </c>
      <c r="I8644" t="s">
        <v>975</v>
      </c>
    </row>
    <row r="8645" spans="1:9" x14ac:dyDescent="0.25">
      <c r="A8645">
        <v>4400</v>
      </c>
      <c r="B8645">
        <v>18</v>
      </c>
      <c r="C8645" t="s">
        <v>946</v>
      </c>
      <c r="D8645" t="s">
        <v>67</v>
      </c>
      <c r="E8645" t="s">
        <v>974</v>
      </c>
      <c r="F8645" t="s">
        <v>948</v>
      </c>
      <c r="G8645">
        <v>1877777</v>
      </c>
      <c r="H8645">
        <v>500465</v>
      </c>
      <c r="I8645" t="s">
        <v>949</v>
      </c>
    </row>
    <row r="8646" spans="1:9" x14ac:dyDescent="0.25">
      <c r="A8646">
        <v>4310</v>
      </c>
      <c r="B8646">
        <v>18</v>
      </c>
      <c r="C8646" t="s">
        <v>946</v>
      </c>
      <c r="D8646" t="s">
        <v>67</v>
      </c>
      <c r="E8646" t="s">
        <v>104</v>
      </c>
      <c r="F8646" t="s">
        <v>948</v>
      </c>
      <c r="G8646">
        <v>1877777</v>
      </c>
      <c r="H8646">
        <v>500220</v>
      </c>
      <c r="I8646" t="s">
        <v>949</v>
      </c>
    </row>
    <row r="8647" spans="1:9" x14ac:dyDescent="0.25">
      <c r="A8647">
        <v>4320</v>
      </c>
      <c r="B8647">
        <v>18</v>
      </c>
      <c r="C8647" t="s">
        <v>946</v>
      </c>
      <c r="D8647" t="s">
        <v>67</v>
      </c>
      <c r="E8647" t="s">
        <v>104</v>
      </c>
      <c r="F8647" t="s">
        <v>948</v>
      </c>
      <c r="G8647">
        <v>1877777</v>
      </c>
      <c r="H8647">
        <v>500221</v>
      </c>
      <c r="I8647" t="s">
        <v>949</v>
      </c>
    </row>
    <row r="8648" spans="1:9" x14ac:dyDescent="0.25">
      <c r="A8648">
        <v>4310</v>
      </c>
      <c r="B8648">
        <v>18</v>
      </c>
      <c r="C8648" t="s">
        <v>946</v>
      </c>
      <c r="D8648" t="s">
        <v>67</v>
      </c>
      <c r="E8648" t="s">
        <v>278</v>
      </c>
      <c r="F8648" t="s">
        <v>948</v>
      </c>
      <c r="G8648">
        <v>1800000</v>
      </c>
      <c r="H8648">
        <v>145000</v>
      </c>
      <c r="I8648" t="s">
        <v>949</v>
      </c>
    </row>
    <row r="8649" spans="1:9" x14ac:dyDescent="0.25">
      <c r="A8649">
        <v>4400</v>
      </c>
      <c r="B8649">
        <v>18</v>
      </c>
      <c r="C8649" t="s">
        <v>946</v>
      </c>
      <c r="D8649" t="s">
        <v>67</v>
      </c>
      <c r="E8649" t="s">
        <v>278</v>
      </c>
      <c r="F8649" t="s">
        <v>948</v>
      </c>
      <c r="G8649">
        <v>1877777</v>
      </c>
      <c r="H8649">
        <v>500465</v>
      </c>
      <c r="I8649" t="s">
        <v>949</v>
      </c>
    </row>
    <row r="8650" spans="1:9" x14ac:dyDescent="0.25">
      <c r="A8650">
        <v>4310</v>
      </c>
      <c r="B8650">
        <v>18</v>
      </c>
      <c r="C8650" t="s">
        <v>946</v>
      </c>
      <c r="D8650" t="s">
        <v>67</v>
      </c>
      <c r="E8650" t="s">
        <v>282</v>
      </c>
      <c r="F8650" t="s">
        <v>948</v>
      </c>
      <c r="G8650">
        <v>1800000</v>
      </c>
      <c r="H8650">
        <v>143100</v>
      </c>
      <c r="I8650" t="s">
        <v>949</v>
      </c>
    </row>
    <row r="8651" spans="1:9" x14ac:dyDescent="0.25">
      <c r="A8651">
        <v>4400</v>
      </c>
      <c r="B8651">
        <v>18</v>
      </c>
      <c r="C8651" t="s">
        <v>946</v>
      </c>
      <c r="D8651" t="s">
        <v>67</v>
      </c>
      <c r="E8651" t="s">
        <v>282</v>
      </c>
      <c r="F8651" t="s">
        <v>948</v>
      </c>
      <c r="G8651">
        <v>1877777</v>
      </c>
      <c r="H8651">
        <v>500465</v>
      </c>
      <c r="I8651" t="s">
        <v>949</v>
      </c>
    </row>
    <row r="8652" spans="1:9" x14ac:dyDescent="0.25">
      <c r="A8652">
        <v>4310</v>
      </c>
      <c r="B8652">
        <v>18</v>
      </c>
      <c r="C8652" t="s">
        <v>946</v>
      </c>
      <c r="D8652" t="s">
        <v>67</v>
      </c>
      <c r="E8652" t="s">
        <v>286</v>
      </c>
      <c r="F8652" t="s">
        <v>948</v>
      </c>
      <c r="G8652">
        <v>1800000</v>
      </c>
      <c r="H8652">
        <v>145000</v>
      </c>
      <c r="I8652" t="s">
        <v>949</v>
      </c>
    </row>
    <row r="8653" spans="1:9" x14ac:dyDescent="0.25">
      <c r="A8653">
        <v>4400</v>
      </c>
      <c r="B8653">
        <v>18</v>
      </c>
      <c r="C8653" t="s">
        <v>946</v>
      </c>
      <c r="D8653" t="s">
        <v>67</v>
      </c>
      <c r="E8653" t="s">
        <v>286</v>
      </c>
      <c r="F8653" t="s">
        <v>948</v>
      </c>
      <c r="G8653">
        <v>1877777</v>
      </c>
      <c r="H8653">
        <v>500465</v>
      </c>
      <c r="I8653" t="s">
        <v>949</v>
      </c>
    </row>
    <row r="8654" spans="1:9" x14ac:dyDescent="0.25">
      <c r="A8654">
        <v>4310</v>
      </c>
      <c r="B8654">
        <v>18</v>
      </c>
      <c r="C8654" t="s">
        <v>946</v>
      </c>
      <c r="D8654" t="s">
        <v>67</v>
      </c>
      <c r="E8654" t="s">
        <v>976</v>
      </c>
      <c r="F8654" t="s">
        <v>948</v>
      </c>
      <c r="G8654">
        <v>1800000</v>
      </c>
      <c r="H8654">
        <v>141000</v>
      </c>
      <c r="I8654" t="s">
        <v>977</v>
      </c>
    </row>
    <row r="8655" spans="1:9" x14ac:dyDescent="0.25">
      <c r="A8655">
        <v>4400</v>
      </c>
      <c r="B8655">
        <v>18</v>
      </c>
      <c r="C8655" t="s">
        <v>946</v>
      </c>
      <c r="D8655" t="s">
        <v>67</v>
      </c>
      <c r="E8655" t="s">
        <v>976</v>
      </c>
      <c r="F8655" t="s">
        <v>948</v>
      </c>
      <c r="G8655">
        <v>1877777</v>
      </c>
      <c r="H8655">
        <v>500465</v>
      </c>
      <c r="I8655" t="s">
        <v>949</v>
      </c>
    </row>
    <row r="8656" spans="1:9" x14ac:dyDescent="0.25">
      <c r="A8656">
        <v>4310</v>
      </c>
      <c r="B8656">
        <v>18</v>
      </c>
      <c r="C8656" t="s">
        <v>946</v>
      </c>
      <c r="D8656" t="s">
        <v>67</v>
      </c>
      <c r="E8656" t="s">
        <v>290</v>
      </c>
      <c r="F8656" t="s">
        <v>948</v>
      </c>
      <c r="G8656">
        <v>1800000</v>
      </c>
      <c r="H8656">
        <v>143000</v>
      </c>
      <c r="I8656" t="s">
        <v>978</v>
      </c>
    </row>
    <row r="8657" spans="1:9" x14ac:dyDescent="0.25">
      <c r="A8657">
        <v>4400</v>
      </c>
      <c r="B8657">
        <v>18</v>
      </c>
      <c r="C8657" t="s">
        <v>946</v>
      </c>
      <c r="D8657" t="s">
        <v>67</v>
      </c>
      <c r="E8657" t="s">
        <v>290</v>
      </c>
      <c r="F8657" t="s">
        <v>948</v>
      </c>
      <c r="G8657">
        <v>1877777</v>
      </c>
      <c r="H8657">
        <v>500465</v>
      </c>
      <c r="I8657" t="s">
        <v>949</v>
      </c>
    </row>
    <row r="8658" spans="1:9" x14ac:dyDescent="0.25">
      <c r="A8658">
        <v>4310</v>
      </c>
      <c r="B8658">
        <v>18</v>
      </c>
      <c r="C8658" t="s">
        <v>946</v>
      </c>
      <c r="D8658" t="s">
        <v>67</v>
      </c>
      <c r="E8658" t="s">
        <v>294</v>
      </c>
      <c r="F8658" t="s">
        <v>948</v>
      </c>
      <c r="G8658">
        <v>1800000</v>
      </c>
      <c r="H8658">
        <v>143000</v>
      </c>
      <c r="I8658" t="s">
        <v>979</v>
      </c>
    </row>
    <row r="8659" spans="1:9" x14ac:dyDescent="0.25">
      <c r="A8659">
        <v>4400</v>
      </c>
      <c r="B8659">
        <v>18</v>
      </c>
      <c r="C8659" t="s">
        <v>946</v>
      </c>
      <c r="D8659" t="s">
        <v>67</v>
      </c>
      <c r="E8659" t="s">
        <v>294</v>
      </c>
      <c r="F8659" t="s">
        <v>948</v>
      </c>
      <c r="G8659">
        <v>1877777</v>
      </c>
      <c r="H8659">
        <v>500465</v>
      </c>
      <c r="I8659" t="s">
        <v>949</v>
      </c>
    </row>
    <row r="8660" spans="1:9" x14ac:dyDescent="0.25">
      <c r="A8660">
        <v>4310</v>
      </c>
      <c r="B8660">
        <v>18</v>
      </c>
      <c r="C8660" t="s">
        <v>946</v>
      </c>
      <c r="D8660" t="s">
        <v>67</v>
      </c>
      <c r="E8660" t="s">
        <v>980</v>
      </c>
      <c r="F8660" t="s">
        <v>948</v>
      </c>
      <c r="G8660">
        <v>1800000</v>
      </c>
      <c r="H8660">
        <v>141000</v>
      </c>
      <c r="I8660" t="s">
        <v>981</v>
      </c>
    </row>
    <row r="8661" spans="1:9" x14ac:dyDescent="0.25">
      <c r="A8661">
        <v>4400</v>
      </c>
      <c r="B8661">
        <v>18</v>
      </c>
      <c r="C8661" t="s">
        <v>946</v>
      </c>
      <c r="D8661" t="s">
        <v>67</v>
      </c>
      <c r="E8661" t="s">
        <v>980</v>
      </c>
      <c r="F8661" t="s">
        <v>948</v>
      </c>
      <c r="G8661">
        <v>1877777</v>
      </c>
      <c r="H8661">
        <v>500465</v>
      </c>
      <c r="I8661" t="s">
        <v>949</v>
      </c>
    </row>
    <row r="8662" spans="1:9" x14ac:dyDescent="0.25">
      <c r="A8662">
        <v>4310</v>
      </c>
      <c r="B8662">
        <v>18</v>
      </c>
      <c r="C8662" t="s">
        <v>946</v>
      </c>
      <c r="D8662" t="s">
        <v>67</v>
      </c>
      <c r="E8662" t="s">
        <v>302</v>
      </c>
      <c r="F8662" t="s">
        <v>948</v>
      </c>
      <c r="G8662">
        <v>1800000</v>
      </c>
      <c r="H8662">
        <v>143000</v>
      </c>
      <c r="I8662" t="s">
        <v>982</v>
      </c>
    </row>
    <row r="8663" spans="1:9" x14ac:dyDescent="0.25">
      <c r="A8663">
        <v>4400</v>
      </c>
      <c r="B8663">
        <v>18</v>
      </c>
      <c r="C8663" t="s">
        <v>946</v>
      </c>
      <c r="D8663" t="s">
        <v>67</v>
      </c>
      <c r="E8663" t="s">
        <v>302</v>
      </c>
      <c r="F8663" t="s">
        <v>948</v>
      </c>
      <c r="G8663">
        <v>1877777</v>
      </c>
      <c r="H8663">
        <v>500465</v>
      </c>
      <c r="I8663" t="s">
        <v>949</v>
      </c>
    </row>
    <row r="8664" spans="1:9" x14ac:dyDescent="0.25">
      <c r="A8664">
        <v>4310</v>
      </c>
      <c r="B8664">
        <v>18</v>
      </c>
      <c r="C8664" t="s">
        <v>946</v>
      </c>
      <c r="D8664" t="s">
        <v>67</v>
      </c>
      <c r="E8664" t="s">
        <v>306</v>
      </c>
      <c r="F8664" t="s">
        <v>948</v>
      </c>
      <c r="G8664">
        <v>1800000</v>
      </c>
      <c r="H8664">
        <v>143000</v>
      </c>
      <c r="I8664" t="s">
        <v>983</v>
      </c>
    </row>
    <row r="8665" spans="1:9" x14ac:dyDescent="0.25">
      <c r="A8665">
        <v>4310</v>
      </c>
      <c r="B8665">
        <v>18</v>
      </c>
      <c r="C8665" t="s">
        <v>946</v>
      </c>
      <c r="D8665" t="s">
        <v>67</v>
      </c>
      <c r="E8665" t="s">
        <v>108</v>
      </c>
      <c r="F8665" t="s">
        <v>948</v>
      </c>
      <c r="G8665">
        <v>1877777</v>
      </c>
      <c r="H8665">
        <v>500220</v>
      </c>
      <c r="I8665" t="s">
        <v>949</v>
      </c>
    </row>
    <row r="8666" spans="1:9" x14ac:dyDescent="0.25">
      <c r="A8666">
        <v>4320</v>
      </c>
      <c r="B8666">
        <v>18</v>
      </c>
      <c r="C8666" t="s">
        <v>946</v>
      </c>
      <c r="D8666" t="s">
        <v>67</v>
      </c>
      <c r="E8666" t="s">
        <v>108</v>
      </c>
      <c r="F8666" t="s">
        <v>948</v>
      </c>
      <c r="G8666">
        <v>1877777</v>
      </c>
      <c r="H8666">
        <v>500221</v>
      </c>
      <c r="I8666" t="s">
        <v>949</v>
      </c>
    </row>
    <row r="8667" spans="1:9" x14ac:dyDescent="0.25">
      <c r="A8667">
        <v>4310</v>
      </c>
      <c r="B8667">
        <v>18</v>
      </c>
      <c r="C8667" t="s">
        <v>946</v>
      </c>
      <c r="D8667" t="s">
        <v>67</v>
      </c>
      <c r="E8667" t="s">
        <v>310</v>
      </c>
      <c r="F8667" t="s">
        <v>948</v>
      </c>
      <c r="G8667">
        <v>1800000</v>
      </c>
      <c r="H8667">
        <v>145000</v>
      </c>
      <c r="I8667" t="s">
        <v>949</v>
      </c>
    </row>
    <row r="8668" spans="1:9" x14ac:dyDescent="0.25">
      <c r="A8668">
        <v>4400</v>
      </c>
      <c r="B8668">
        <v>18</v>
      </c>
      <c r="C8668" t="s">
        <v>946</v>
      </c>
      <c r="D8668" t="s">
        <v>67</v>
      </c>
      <c r="E8668" t="s">
        <v>310</v>
      </c>
      <c r="F8668" t="s">
        <v>948</v>
      </c>
      <c r="G8668">
        <v>1877777</v>
      </c>
      <c r="H8668">
        <v>500465</v>
      </c>
      <c r="I8668" t="s">
        <v>949</v>
      </c>
    </row>
    <row r="8669" spans="1:9" x14ac:dyDescent="0.25">
      <c r="A8669">
        <v>4310</v>
      </c>
      <c r="B8669">
        <v>18</v>
      </c>
      <c r="C8669" t="s">
        <v>946</v>
      </c>
      <c r="D8669" t="s">
        <v>67</v>
      </c>
      <c r="E8669" t="s">
        <v>314</v>
      </c>
      <c r="F8669" t="s">
        <v>948</v>
      </c>
      <c r="G8669">
        <v>1800000</v>
      </c>
      <c r="H8669">
        <v>145000</v>
      </c>
      <c r="I8669" t="s">
        <v>949</v>
      </c>
    </row>
    <row r="8670" spans="1:9" x14ac:dyDescent="0.25">
      <c r="A8670">
        <v>4400</v>
      </c>
      <c r="B8670">
        <v>18</v>
      </c>
      <c r="C8670" t="s">
        <v>946</v>
      </c>
      <c r="D8670" t="s">
        <v>67</v>
      </c>
      <c r="E8670" t="s">
        <v>314</v>
      </c>
      <c r="F8670" t="s">
        <v>948</v>
      </c>
      <c r="G8670">
        <v>1877777</v>
      </c>
      <c r="H8670">
        <v>500465</v>
      </c>
      <c r="I8670" t="s">
        <v>949</v>
      </c>
    </row>
    <row r="8671" ht="22" customHeight="1" spans="1:10" x14ac:dyDescent="0.25">
      <c r="A8671" s="41">
        <v>4320</v>
      </c>
      <c r="B8671" s="41">
        <v>18</v>
      </c>
      <c r="C8671" s="41" t="s">
        <v>946</v>
      </c>
      <c r="D8671" s="41" t="s">
        <v>67</v>
      </c>
      <c r="E8671" s="41" t="s">
        <v>113</v>
      </c>
      <c r="F8671" s="41" t="s">
        <v>948</v>
      </c>
      <c r="G8671" s="41">
        <v>1877777</v>
      </c>
      <c r="H8671" s="41">
        <v>500221</v>
      </c>
      <c r="I8671" s="41" t="s">
        <v>949</v>
      </c>
      <c r="J8671" s="42" t="s">
        <v>1018</v>
      </c>
    </row>
    <row r="8672" ht="22" customHeight="1" spans="1:10" x14ac:dyDescent="0.25">
      <c r="A8672" s="41">
        <v>4320</v>
      </c>
      <c r="B8672" s="41">
        <v>18</v>
      </c>
      <c r="C8672" s="41" t="s">
        <v>946</v>
      </c>
      <c r="D8672" s="41" t="s">
        <v>67</v>
      </c>
      <c r="E8672" s="41" t="s">
        <v>117</v>
      </c>
      <c r="F8672" s="41" t="s">
        <v>948</v>
      </c>
      <c r="G8672" s="41">
        <v>1877777</v>
      </c>
      <c r="H8672" s="41">
        <v>500221</v>
      </c>
      <c r="I8672" s="41" t="s">
        <v>949</v>
      </c>
      <c r="J8672" s="42" t="s">
        <v>1018</v>
      </c>
    </row>
    <row r="8673" spans="1:9" x14ac:dyDescent="0.25">
      <c r="A8673">
        <v>4310</v>
      </c>
      <c r="B8673">
        <v>18</v>
      </c>
      <c r="C8673" t="s">
        <v>946</v>
      </c>
      <c r="D8673" t="s">
        <v>67</v>
      </c>
      <c r="E8673" t="s">
        <v>121</v>
      </c>
      <c r="F8673" t="s">
        <v>948</v>
      </c>
      <c r="G8673">
        <v>1877777</v>
      </c>
      <c r="H8673">
        <v>500220</v>
      </c>
      <c r="I8673" t="s">
        <v>949</v>
      </c>
    </row>
    <row r="8674" spans="1:9" x14ac:dyDescent="0.25">
      <c r="A8674">
        <v>4320</v>
      </c>
      <c r="B8674">
        <v>18</v>
      </c>
      <c r="C8674" t="s">
        <v>946</v>
      </c>
      <c r="D8674" t="s">
        <v>67</v>
      </c>
      <c r="E8674" t="s">
        <v>121</v>
      </c>
      <c r="F8674" t="s">
        <v>948</v>
      </c>
      <c r="G8674">
        <v>1877777</v>
      </c>
      <c r="H8674">
        <v>500221</v>
      </c>
      <c r="I8674" t="s">
        <v>949</v>
      </c>
    </row>
    <row r="8675" spans="1:9" x14ac:dyDescent="0.25">
      <c r="A8675">
        <v>4310</v>
      </c>
      <c r="B8675">
        <v>18</v>
      </c>
      <c r="C8675" t="s">
        <v>946</v>
      </c>
      <c r="D8675" t="s">
        <v>67</v>
      </c>
      <c r="E8675" t="s">
        <v>984</v>
      </c>
      <c r="F8675" t="s">
        <v>948</v>
      </c>
      <c r="G8675">
        <v>1800000</v>
      </c>
      <c r="H8675">
        <v>141000</v>
      </c>
      <c r="I8675" t="s">
        <v>985</v>
      </c>
    </row>
    <row r="8676" spans="1:9" x14ac:dyDescent="0.25">
      <c r="A8676">
        <v>4400</v>
      </c>
      <c r="B8676">
        <v>18</v>
      </c>
      <c r="C8676" t="s">
        <v>946</v>
      </c>
      <c r="D8676" t="s">
        <v>67</v>
      </c>
      <c r="E8676" t="s">
        <v>984</v>
      </c>
      <c r="F8676" t="s">
        <v>948</v>
      </c>
      <c r="G8676">
        <v>1877777</v>
      </c>
      <c r="H8676">
        <v>500465</v>
      </c>
      <c r="I8676" t="s">
        <v>949</v>
      </c>
    </row>
    <row r="8677" ht="22" customHeight="1" spans="1:10" x14ac:dyDescent="0.25">
      <c r="A8677" s="41">
        <v>4154</v>
      </c>
      <c r="B8677" s="41">
        <v>18</v>
      </c>
      <c r="C8677" s="41" t="s">
        <v>946</v>
      </c>
      <c r="D8677" s="41" t="s">
        <v>1022</v>
      </c>
      <c r="E8677" s="41" t="s">
        <v>49</v>
      </c>
      <c r="F8677" s="41" t="s">
        <v>948</v>
      </c>
      <c r="G8677" s="41">
        <v>1877777</v>
      </c>
      <c r="H8677" s="41">
        <v>500465</v>
      </c>
      <c r="I8677" s="41" t="s">
        <v>949</v>
      </c>
      <c r="J8677" s="42" t="s">
        <v>1049</v>
      </c>
    </row>
    <row r="8678" spans="1:9" x14ac:dyDescent="0.25">
      <c r="A8678">
        <v>4152</v>
      </c>
      <c r="B8678">
        <v>18</v>
      </c>
      <c r="C8678" t="s">
        <v>946</v>
      </c>
      <c r="D8678" t="s">
        <v>1022</v>
      </c>
      <c r="E8678" t="s">
        <v>243</v>
      </c>
      <c r="F8678" t="s">
        <v>948</v>
      </c>
      <c r="G8678">
        <v>1800000</v>
      </c>
      <c r="H8678">
        <v>145000</v>
      </c>
      <c r="I8678" t="s">
        <v>949</v>
      </c>
    </row>
    <row r="8679" spans="1:9" x14ac:dyDescent="0.25">
      <c r="A8679">
        <v>4152</v>
      </c>
      <c r="B8679">
        <v>18</v>
      </c>
      <c r="C8679" t="s">
        <v>946</v>
      </c>
      <c r="D8679" t="s">
        <v>1022</v>
      </c>
      <c r="E8679" t="s">
        <v>247</v>
      </c>
      <c r="F8679" t="s">
        <v>948</v>
      </c>
      <c r="G8679">
        <v>1800000</v>
      </c>
      <c r="H8679">
        <v>145000</v>
      </c>
      <c r="I8679" t="s">
        <v>949</v>
      </c>
    </row>
    <row r="8680" spans="1:9" x14ac:dyDescent="0.25">
      <c r="A8680">
        <v>4152</v>
      </c>
      <c r="B8680">
        <v>18</v>
      </c>
      <c r="C8680" t="s">
        <v>946</v>
      </c>
      <c r="D8680" t="s">
        <v>1022</v>
      </c>
      <c r="E8680" t="s">
        <v>251</v>
      </c>
      <c r="F8680" t="s">
        <v>948</v>
      </c>
      <c r="G8680">
        <v>1800000</v>
      </c>
      <c r="H8680">
        <v>142000</v>
      </c>
      <c r="I8680" t="s">
        <v>949</v>
      </c>
    </row>
    <row r="8681" spans="1:9" x14ac:dyDescent="0.25">
      <c r="A8681">
        <v>4152</v>
      </c>
      <c r="B8681">
        <v>18</v>
      </c>
      <c r="C8681" t="s">
        <v>946</v>
      </c>
      <c r="D8681" t="s">
        <v>1022</v>
      </c>
      <c r="E8681" t="s">
        <v>969</v>
      </c>
      <c r="F8681" t="s">
        <v>948</v>
      </c>
      <c r="G8681">
        <v>1800000</v>
      </c>
      <c r="H8681">
        <v>141000</v>
      </c>
      <c r="I8681" t="s">
        <v>970</v>
      </c>
    </row>
    <row r="8682" spans="1:9" x14ac:dyDescent="0.25">
      <c r="A8682">
        <v>4152</v>
      </c>
      <c r="B8682">
        <v>18</v>
      </c>
      <c r="C8682" t="s">
        <v>946</v>
      </c>
      <c r="D8682" t="s">
        <v>1022</v>
      </c>
      <c r="E8682" t="s">
        <v>255</v>
      </c>
      <c r="F8682" t="s">
        <v>948</v>
      </c>
      <c r="G8682">
        <v>1800000</v>
      </c>
      <c r="H8682">
        <v>145000</v>
      </c>
      <c r="I8682" t="s">
        <v>949</v>
      </c>
    </row>
    <row r="8683" spans="1:9" x14ac:dyDescent="0.25">
      <c r="A8683">
        <v>4152</v>
      </c>
      <c r="B8683">
        <v>18</v>
      </c>
      <c r="C8683" t="s">
        <v>946</v>
      </c>
      <c r="D8683" t="s">
        <v>1022</v>
      </c>
      <c r="E8683" t="s">
        <v>971</v>
      </c>
      <c r="F8683" t="s">
        <v>948</v>
      </c>
      <c r="G8683">
        <v>1800000</v>
      </c>
      <c r="H8683">
        <v>141000</v>
      </c>
      <c r="I8683" t="s">
        <v>972</v>
      </c>
    </row>
    <row r="8684" spans="1:9" x14ac:dyDescent="0.25">
      <c r="A8684">
        <v>4152</v>
      </c>
      <c r="B8684">
        <v>18</v>
      </c>
      <c r="C8684" t="s">
        <v>946</v>
      </c>
      <c r="D8684" t="s">
        <v>1022</v>
      </c>
      <c r="E8684" t="s">
        <v>263</v>
      </c>
      <c r="F8684" t="s">
        <v>948</v>
      </c>
      <c r="G8684">
        <v>1800000</v>
      </c>
      <c r="H8684">
        <v>145000</v>
      </c>
      <c r="I8684" t="s">
        <v>949</v>
      </c>
    </row>
    <row r="8685" ht="22" customHeight="1" spans="1:10" x14ac:dyDescent="0.25">
      <c r="A8685" s="41">
        <v>4152</v>
      </c>
      <c r="B8685" s="41">
        <v>18</v>
      </c>
      <c r="C8685" s="41" t="s">
        <v>946</v>
      </c>
      <c r="D8685" s="41" t="s">
        <v>1022</v>
      </c>
      <c r="E8685" s="41" t="s">
        <v>100</v>
      </c>
      <c r="F8685" s="41" t="s">
        <v>948</v>
      </c>
      <c r="G8685" s="41">
        <v>1877777</v>
      </c>
      <c r="H8685" s="41">
        <v>500465</v>
      </c>
      <c r="I8685" s="41" t="s">
        <v>949</v>
      </c>
      <c r="J8685" s="42" t="s">
        <v>1050</v>
      </c>
    </row>
    <row r="8686" spans="1:9" x14ac:dyDescent="0.25">
      <c r="A8686">
        <v>4152</v>
      </c>
      <c r="B8686">
        <v>18</v>
      </c>
      <c r="C8686" t="s">
        <v>946</v>
      </c>
      <c r="D8686" t="s">
        <v>1022</v>
      </c>
      <c r="E8686" t="s">
        <v>270</v>
      </c>
      <c r="F8686" t="s">
        <v>948</v>
      </c>
      <c r="G8686">
        <v>1800000</v>
      </c>
      <c r="H8686">
        <v>145000</v>
      </c>
      <c r="I8686" t="s">
        <v>949</v>
      </c>
    </row>
    <row r="8687" spans="1:9" x14ac:dyDescent="0.25">
      <c r="A8687">
        <v>4152</v>
      </c>
      <c r="B8687">
        <v>18</v>
      </c>
      <c r="C8687" t="s">
        <v>946</v>
      </c>
      <c r="D8687" t="s">
        <v>1022</v>
      </c>
      <c r="E8687" t="s">
        <v>274</v>
      </c>
      <c r="F8687" t="s">
        <v>948</v>
      </c>
      <c r="G8687">
        <v>1800000</v>
      </c>
      <c r="H8687">
        <v>143000</v>
      </c>
      <c r="I8687" t="s">
        <v>973</v>
      </c>
    </row>
    <row r="8688" spans="1:9" x14ac:dyDescent="0.25">
      <c r="A8688">
        <v>4152</v>
      </c>
      <c r="B8688">
        <v>18</v>
      </c>
      <c r="C8688" t="s">
        <v>946</v>
      </c>
      <c r="D8688" t="s">
        <v>1022</v>
      </c>
      <c r="E8688" t="s">
        <v>974</v>
      </c>
      <c r="F8688" t="s">
        <v>948</v>
      </c>
      <c r="G8688">
        <v>1800000</v>
      </c>
      <c r="H8688">
        <v>141000</v>
      </c>
      <c r="I8688" t="s">
        <v>975</v>
      </c>
    </row>
    <row r="8689" ht="22" customHeight="1" spans="1:10" x14ac:dyDescent="0.25">
      <c r="A8689" s="41">
        <v>4152</v>
      </c>
      <c r="B8689" s="41">
        <v>18</v>
      </c>
      <c r="C8689" s="41" t="s">
        <v>946</v>
      </c>
      <c r="D8689" s="41" t="s">
        <v>1022</v>
      </c>
      <c r="E8689" s="41" t="s">
        <v>104</v>
      </c>
      <c r="F8689" s="41" t="s">
        <v>948</v>
      </c>
      <c r="G8689" s="41">
        <v>1877777</v>
      </c>
      <c r="H8689" s="41">
        <v>500465</v>
      </c>
      <c r="I8689" s="41" t="s">
        <v>949</v>
      </c>
      <c r="J8689" s="42" t="s">
        <v>1050</v>
      </c>
    </row>
    <row r="8690" spans="1:9" x14ac:dyDescent="0.25">
      <c r="A8690">
        <v>4152</v>
      </c>
      <c r="B8690">
        <v>18</v>
      </c>
      <c r="C8690" t="s">
        <v>946</v>
      </c>
      <c r="D8690" t="s">
        <v>1022</v>
      </c>
      <c r="E8690" t="s">
        <v>278</v>
      </c>
      <c r="F8690" t="s">
        <v>948</v>
      </c>
      <c r="G8690">
        <v>1800000</v>
      </c>
      <c r="H8690">
        <v>145000</v>
      </c>
      <c r="I8690" t="s">
        <v>949</v>
      </c>
    </row>
    <row r="8691" spans="1:9" x14ac:dyDescent="0.25">
      <c r="A8691">
        <v>4152</v>
      </c>
      <c r="B8691">
        <v>18</v>
      </c>
      <c r="C8691" t="s">
        <v>946</v>
      </c>
      <c r="D8691" t="s">
        <v>1022</v>
      </c>
      <c r="E8691" t="s">
        <v>282</v>
      </c>
      <c r="F8691" t="s">
        <v>948</v>
      </c>
      <c r="G8691">
        <v>1800000</v>
      </c>
      <c r="H8691">
        <v>143100</v>
      </c>
      <c r="I8691" t="s">
        <v>949</v>
      </c>
    </row>
    <row r="8692" spans="1:9" x14ac:dyDescent="0.25">
      <c r="A8692">
        <v>4152</v>
      </c>
      <c r="B8692">
        <v>18</v>
      </c>
      <c r="C8692" t="s">
        <v>946</v>
      </c>
      <c r="D8692" t="s">
        <v>1022</v>
      </c>
      <c r="E8692" t="s">
        <v>39</v>
      </c>
      <c r="F8692" t="s">
        <v>948</v>
      </c>
      <c r="G8692">
        <v>1877777</v>
      </c>
      <c r="H8692">
        <v>501090</v>
      </c>
      <c r="I8692" t="s">
        <v>949</v>
      </c>
    </row>
    <row r="8693" spans="1:9" x14ac:dyDescent="0.25">
      <c r="A8693">
        <v>4152</v>
      </c>
      <c r="B8693">
        <v>18</v>
      </c>
      <c r="C8693" t="s">
        <v>946</v>
      </c>
      <c r="D8693" t="s">
        <v>1022</v>
      </c>
      <c r="E8693" t="s">
        <v>286</v>
      </c>
      <c r="F8693" t="s">
        <v>948</v>
      </c>
      <c r="G8693">
        <v>1800000</v>
      </c>
      <c r="H8693">
        <v>145000</v>
      </c>
      <c r="I8693" t="s">
        <v>949</v>
      </c>
    </row>
    <row r="8694" spans="1:9" x14ac:dyDescent="0.25">
      <c r="A8694">
        <v>4152</v>
      </c>
      <c r="B8694">
        <v>18</v>
      </c>
      <c r="C8694" t="s">
        <v>946</v>
      </c>
      <c r="D8694" t="s">
        <v>1022</v>
      </c>
      <c r="E8694" t="s">
        <v>976</v>
      </c>
      <c r="F8694" t="s">
        <v>948</v>
      </c>
      <c r="G8694">
        <v>1800000</v>
      </c>
      <c r="H8694">
        <v>141000</v>
      </c>
      <c r="I8694" t="s">
        <v>977</v>
      </c>
    </row>
    <row r="8695" spans="1:9" x14ac:dyDescent="0.25">
      <c r="A8695">
        <v>4152</v>
      </c>
      <c r="B8695">
        <v>18</v>
      </c>
      <c r="C8695" t="s">
        <v>946</v>
      </c>
      <c r="D8695" t="s">
        <v>1022</v>
      </c>
      <c r="E8695" t="s">
        <v>290</v>
      </c>
      <c r="F8695" t="s">
        <v>948</v>
      </c>
      <c r="G8695">
        <v>1800000</v>
      </c>
      <c r="H8695">
        <v>143000</v>
      </c>
      <c r="I8695" t="s">
        <v>978</v>
      </c>
    </row>
    <row r="8696" spans="1:9" x14ac:dyDescent="0.25">
      <c r="A8696">
        <v>4152</v>
      </c>
      <c r="B8696">
        <v>18</v>
      </c>
      <c r="C8696" t="s">
        <v>946</v>
      </c>
      <c r="D8696" t="s">
        <v>1022</v>
      </c>
      <c r="E8696" t="s">
        <v>294</v>
      </c>
      <c r="F8696" t="s">
        <v>948</v>
      </c>
      <c r="G8696">
        <v>1800000</v>
      </c>
      <c r="H8696">
        <v>143000</v>
      </c>
      <c r="I8696" t="s">
        <v>979</v>
      </c>
    </row>
    <row r="8697" spans="1:9" x14ac:dyDescent="0.25">
      <c r="A8697">
        <v>4152</v>
      </c>
      <c r="B8697">
        <v>18</v>
      </c>
      <c r="C8697" t="s">
        <v>946</v>
      </c>
      <c r="D8697" t="s">
        <v>1022</v>
      </c>
      <c r="E8697" t="s">
        <v>980</v>
      </c>
      <c r="F8697" t="s">
        <v>948</v>
      </c>
      <c r="G8697">
        <v>1800000</v>
      </c>
      <c r="H8697">
        <v>141000</v>
      </c>
      <c r="I8697" t="s">
        <v>981</v>
      </c>
    </row>
    <row r="8698" spans="1:9" x14ac:dyDescent="0.25">
      <c r="A8698">
        <v>4152</v>
      </c>
      <c r="B8698">
        <v>18</v>
      </c>
      <c r="C8698" t="s">
        <v>946</v>
      </c>
      <c r="D8698" t="s">
        <v>1022</v>
      </c>
      <c r="E8698" t="s">
        <v>302</v>
      </c>
      <c r="F8698" t="s">
        <v>948</v>
      </c>
      <c r="G8698">
        <v>1800000</v>
      </c>
      <c r="H8698">
        <v>143000</v>
      </c>
      <c r="I8698" t="s">
        <v>982</v>
      </c>
    </row>
    <row r="8699" spans="1:9" x14ac:dyDescent="0.25">
      <c r="A8699">
        <v>4152</v>
      </c>
      <c r="B8699">
        <v>18</v>
      </c>
      <c r="C8699" t="s">
        <v>946</v>
      </c>
      <c r="D8699" t="s">
        <v>1022</v>
      </c>
      <c r="E8699" t="s">
        <v>306</v>
      </c>
      <c r="F8699" t="s">
        <v>948</v>
      </c>
      <c r="G8699">
        <v>1800000</v>
      </c>
      <c r="H8699">
        <v>143000</v>
      </c>
      <c r="I8699" t="s">
        <v>983</v>
      </c>
    </row>
    <row r="8700" ht="22" customHeight="1" spans="1:10" x14ac:dyDescent="0.25">
      <c r="A8700" s="41">
        <v>4152</v>
      </c>
      <c r="B8700" s="41">
        <v>18</v>
      </c>
      <c r="C8700" s="41" t="s">
        <v>946</v>
      </c>
      <c r="D8700" s="41" t="s">
        <v>1022</v>
      </c>
      <c r="E8700" s="41" t="s">
        <v>108</v>
      </c>
      <c r="F8700" s="41" t="s">
        <v>948</v>
      </c>
      <c r="G8700" s="41">
        <v>1877777</v>
      </c>
      <c r="H8700" s="41">
        <v>500465</v>
      </c>
      <c r="I8700" s="41" t="s">
        <v>949</v>
      </c>
      <c r="J8700" s="42" t="s">
        <v>1050</v>
      </c>
    </row>
    <row r="8701" spans="1:9" x14ac:dyDescent="0.25">
      <c r="A8701">
        <v>4152</v>
      </c>
      <c r="B8701">
        <v>18</v>
      </c>
      <c r="C8701" t="s">
        <v>946</v>
      </c>
      <c r="D8701" t="s">
        <v>1022</v>
      </c>
      <c r="E8701" t="s">
        <v>310</v>
      </c>
      <c r="F8701" t="s">
        <v>948</v>
      </c>
      <c r="G8701">
        <v>1800000</v>
      </c>
      <c r="H8701">
        <v>145000</v>
      </c>
      <c r="I8701" t="s">
        <v>949</v>
      </c>
    </row>
    <row r="8702" spans="1:9" x14ac:dyDescent="0.25">
      <c r="A8702">
        <v>4152</v>
      </c>
      <c r="B8702">
        <v>18</v>
      </c>
      <c r="C8702" t="s">
        <v>946</v>
      </c>
      <c r="D8702" t="s">
        <v>1022</v>
      </c>
      <c r="E8702" t="s">
        <v>314</v>
      </c>
      <c r="F8702" t="s">
        <v>948</v>
      </c>
      <c r="G8702">
        <v>1800000</v>
      </c>
      <c r="H8702">
        <v>145000</v>
      </c>
      <c r="I8702" t="s">
        <v>949</v>
      </c>
    </row>
    <row r="8703" ht="22" customHeight="1" spans="1:10" x14ac:dyDescent="0.25">
      <c r="A8703" s="41">
        <v>4152</v>
      </c>
      <c r="B8703" s="41">
        <v>18</v>
      </c>
      <c r="C8703" s="41" t="s">
        <v>946</v>
      </c>
      <c r="D8703" s="41" t="s">
        <v>1022</v>
      </c>
      <c r="E8703" s="41" t="s">
        <v>121</v>
      </c>
      <c r="F8703" s="41" t="s">
        <v>948</v>
      </c>
      <c r="G8703" s="41">
        <v>1877777</v>
      </c>
      <c r="H8703" s="41">
        <v>500465</v>
      </c>
      <c r="I8703" s="41" t="s">
        <v>949</v>
      </c>
      <c r="J8703" s="42" t="s">
        <v>1050</v>
      </c>
    </row>
    <row r="8704" spans="1:9" x14ac:dyDescent="0.25">
      <c r="A8704">
        <v>4152</v>
      </c>
      <c r="B8704">
        <v>18</v>
      </c>
      <c r="C8704" t="s">
        <v>946</v>
      </c>
      <c r="D8704" t="s">
        <v>1022</v>
      </c>
      <c r="E8704" t="s">
        <v>984</v>
      </c>
      <c r="F8704" t="s">
        <v>948</v>
      </c>
      <c r="G8704">
        <v>1800000</v>
      </c>
      <c r="H8704">
        <v>141000</v>
      </c>
      <c r="I8704" t="s">
        <v>985</v>
      </c>
    </row>
    <row r="8705" spans="1:9" x14ac:dyDescent="0.25">
      <c r="A8705">
        <v>4141</v>
      </c>
      <c r="B8705">
        <v>18</v>
      </c>
      <c r="C8705" t="s">
        <v>946</v>
      </c>
      <c r="D8705" t="s">
        <v>1025</v>
      </c>
      <c r="E8705" t="s">
        <v>243</v>
      </c>
      <c r="F8705" t="s">
        <v>948</v>
      </c>
      <c r="G8705">
        <v>1877777</v>
      </c>
      <c r="H8705">
        <v>501010</v>
      </c>
      <c r="I8705">
        <v>70</v>
      </c>
    </row>
    <row r="8706" spans="1:9" x14ac:dyDescent="0.25">
      <c r="A8706">
        <v>4220</v>
      </c>
      <c r="B8706">
        <v>18</v>
      </c>
      <c r="C8706" t="s">
        <v>946</v>
      </c>
      <c r="D8706" t="s">
        <v>1025</v>
      </c>
      <c r="E8706" t="s">
        <v>243</v>
      </c>
      <c r="F8706" t="s">
        <v>948</v>
      </c>
      <c r="G8706">
        <v>1877777</v>
      </c>
      <c r="H8706">
        <v>501010</v>
      </c>
      <c r="I8706">
        <v>70</v>
      </c>
    </row>
    <row r="8707" spans="1:9" x14ac:dyDescent="0.25">
      <c r="A8707">
        <v>4230</v>
      </c>
      <c r="B8707">
        <v>18</v>
      </c>
      <c r="C8707" t="s">
        <v>946</v>
      </c>
      <c r="D8707" t="s">
        <v>1025</v>
      </c>
      <c r="E8707" t="s">
        <v>243</v>
      </c>
      <c r="F8707" t="s">
        <v>948</v>
      </c>
      <c r="G8707">
        <v>1899999</v>
      </c>
      <c r="H8707">
        <v>401055</v>
      </c>
      <c r="I8707">
        <v>70</v>
      </c>
    </row>
    <row r="8708" spans="1:9" x14ac:dyDescent="0.25">
      <c r="A8708">
        <v>4240</v>
      </c>
      <c r="B8708">
        <v>18</v>
      </c>
      <c r="C8708" t="s">
        <v>946</v>
      </c>
      <c r="D8708" t="s">
        <v>1025</v>
      </c>
      <c r="E8708" t="s">
        <v>243</v>
      </c>
      <c r="F8708" t="s">
        <v>948</v>
      </c>
      <c r="G8708">
        <v>1800000</v>
      </c>
      <c r="H8708">
        <v>145000</v>
      </c>
      <c r="I8708" t="s">
        <v>949</v>
      </c>
    </row>
    <row r="8709" spans="1:9" x14ac:dyDescent="0.25">
      <c r="A8709">
        <v>4141</v>
      </c>
      <c r="B8709">
        <v>18</v>
      </c>
      <c r="C8709" t="s">
        <v>946</v>
      </c>
      <c r="D8709" t="s">
        <v>1025</v>
      </c>
      <c r="E8709" t="s">
        <v>247</v>
      </c>
      <c r="F8709" t="s">
        <v>948</v>
      </c>
      <c r="G8709">
        <v>1877777</v>
      </c>
      <c r="H8709">
        <v>501010</v>
      </c>
      <c r="I8709">
        <v>70</v>
      </c>
    </row>
    <row r="8710" spans="1:9" x14ac:dyDescent="0.25">
      <c r="A8710">
        <v>4220</v>
      </c>
      <c r="B8710">
        <v>18</v>
      </c>
      <c r="C8710" t="s">
        <v>946</v>
      </c>
      <c r="D8710" t="s">
        <v>1025</v>
      </c>
      <c r="E8710" t="s">
        <v>247</v>
      </c>
      <c r="F8710" t="s">
        <v>948</v>
      </c>
      <c r="G8710">
        <v>1877777</v>
      </c>
      <c r="H8710">
        <v>501010</v>
      </c>
      <c r="I8710">
        <v>70</v>
      </c>
    </row>
    <row r="8711" spans="1:9" x14ac:dyDescent="0.25">
      <c r="A8711">
        <v>4230</v>
      </c>
      <c r="B8711">
        <v>18</v>
      </c>
      <c r="C8711" t="s">
        <v>946</v>
      </c>
      <c r="D8711" t="s">
        <v>1025</v>
      </c>
      <c r="E8711" t="s">
        <v>247</v>
      </c>
      <c r="F8711" t="s">
        <v>948</v>
      </c>
      <c r="G8711">
        <v>1899999</v>
      </c>
      <c r="H8711">
        <v>401025</v>
      </c>
      <c r="I8711">
        <v>70</v>
      </c>
    </row>
    <row r="8712" spans="1:9" x14ac:dyDescent="0.25">
      <c r="A8712">
        <v>4240</v>
      </c>
      <c r="B8712">
        <v>18</v>
      </c>
      <c r="C8712" t="s">
        <v>946</v>
      </c>
      <c r="D8712" t="s">
        <v>1025</v>
      </c>
      <c r="E8712" t="s">
        <v>247</v>
      </c>
      <c r="F8712" t="s">
        <v>948</v>
      </c>
      <c r="G8712">
        <v>1800000</v>
      </c>
      <c r="H8712">
        <v>145000</v>
      </c>
      <c r="I8712" t="s">
        <v>949</v>
      </c>
    </row>
    <row r="8713" spans="1:9" x14ac:dyDescent="0.25">
      <c r="A8713">
        <v>4141</v>
      </c>
      <c r="B8713">
        <v>18</v>
      </c>
      <c r="C8713" t="s">
        <v>946</v>
      </c>
      <c r="D8713" t="s">
        <v>1025</v>
      </c>
      <c r="E8713" t="s">
        <v>251</v>
      </c>
      <c r="F8713" t="s">
        <v>948</v>
      </c>
      <c r="G8713">
        <v>1877777</v>
      </c>
      <c r="H8713">
        <v>501010</v>
      </c>
      <c r="I8713">
        <v>70</v>
      </c>
    </row>
    <row r="8714" spans="1:9" x14ac:dyDescent="0.25">
      <c r="A8714">
        <v>4220</v>
      </c>
      <c r="B8714">
        <v>18</v>
      </c>
      <c r="C8714" t="s">
        <v>946</v>
      </c>
      <c r="D8714" t="s">
        <v>1025</v>
      </c>
      <c r="E8714" t="s">
        <v>251</v>
      </c>
      <c r="F8714" t="s">
        <v>948</v>
      </c>
      <c r="G8714">
        <v>1877777</v>
      </c>
      <c r="H8714">
        <v>501010</v>
      </c>
      <c r="I8714">
        <v>70</v>
      </c>
    </row>
    <row r="8715" spans="1:9" x14ac:dyDescent="0.25">
      <c r="A8715">
        <v>4230</v>
      </c>
      <c r="B8715">
        <v>18</v>
      </c>
      <c r="C8715" t="s">
        <v>946</v>
      </c>
      <c r="D8715" t="s">
        <v>1025</v>
      </c>
      <c r="E8715" t="s">
        <v>251</v>
      </c>
      <c r="F8715" t="s">
        <v>948</v>
      </c>
      <c r="G8715">
        <v>1899999</v>
      </c>
      <c r="H8715">
        <v>401045</v>
      </c>
      <c r="I8715">
        <v>70</v>
      </c>
    </row>
    <row r="8716" spans="1:9" x14ac:dyDescent="0.25">
      <c r="A8716">
        <v>4240</v>
      </c>
      <c r="B8716">
        <v>18</v>
      </c>
      <c r="C8716" t="s">
        <v>946</v>
      </c>
      <c r="D8716" t="s">
        <v>1025</v>
      </c>
      <c r="E8716" t="s">
        <v>251</v>
      </c>
      <c r="F8716" t="s">
        <v>948</v>
      </c>
      <c r="G8716">
        <v>1800000</v>
      </c>
      <c r="H8716">
        <v>142000</v>
      </c>
      <c r="I8716" t="s">
        <v>949</v>
      </c>
    </row>
    <row r="8717" spans="1:9" x14ac:dyDescent="0.25">
      <c r="A8717">
        <v>4141</v>
      </c>
      <c r="B8717">
        <v>18</v>
      </c>
      <c r="C8717" t="s">
        <v>946</v>
      </c>
      <c r="D8717" t="s">
        <v>1025</v>
      </c>
      <c r="E8717" t="s">
        <v>969</v>
      </c>
      <c r="F8717" t="s">
        <v>948</v>
      </c>
      <c r="G8717">
        <v>1877777</v>
      </c>
      <c r="H8717">
        <v>501010</v>
      </c>
      <c r="I8717">
        <v>70</v>
      </c>
    </row>
    <row r="8718" spans="1:9" x14ac:dyDescent="0.25">
      <c r="A8718">
        <v>4220</v>
      </c>
      <c r="B8718">
        <v>18</v>
      </c>
      <c r="C8718" t="s">
        <v>946</v>
      </c>
      <c r="D8718" t="s">
        <v>1025</v>
      </c>
      <c r="E8718" t="s">
        <v>969</v>
      </c>
      <c r="F8718" t="s">
        <v>948</v>
      </c>
      <c r="G8718">
        <v>1877777</v>
      </c>
      <c r="H8718">
        <v>501010</v>
      </c>
      <c r="I8718">
        <v>70</v>
      </c>
    </row>
    <row r="8719" spans="1:9" x14ac:dyDescent="0.25">
      <c r="A8719">
        <v>4230</v>
      </c>
      <c r="B8719">
        <v>18</v>
      </c>
      <c r="C8719" t="s">
        <v>946</v>
      </c>
      <c r="D8719" t="s">
        <v>1025</v>
      </c>
      <c r="E8719" t="s">
        <v>969</v>
      </c>
      <c r="F8719" t="s">
        <v>948</v>
      </c>
      <c r="G8719">
        <v>1899999</v>
      </c>
      <c r="H8719">
        <v>401915</v>
      </c>
      <c r="I8719">
        <v>70</v>
      </c>
    </row>
    <row r="8720" spans="1:9" x14ac:dyDescent="0.25">
      <c r="A8720">
        <v>4240</v>
      </c>
      <c r="B8720">
        <v>18</v>
      </c>
      <c r="C8720" t="s">
        <v>946</v>
      </c>
      <c r="D8720" t="s">
        <v>1025</v>
      </c>
      <c r="E8720" t="s">
        <v>969</v>
      </c>
      <c r="F8720" t="s">
        <v>948</v>
      </c>
      <c r="G8720">
        <v>1800000</v>
      </c>
      <c r="H8720">
        <v>141000</v>
      </c>
      <c r="I8720" t="s">
        <v>970</v>
      </c>
    </row>
    <row r="8721" spans="1:9" x14ac:dyDescent="0.25">
      <c r="A8721">
        <v>4141</v>
      </c>
      <c r="B8721">
        <v>18</v>
      </c>
      <c r="C8721" t="s">
        <v>946</v>
      </c>
      <c r="D8721" t="s">
        <v>1025</v>
      </c>
      <c r="E8721" t="s">
        <v>255</v>
      </c>
      <c r="F8721" t="s">
        <v>948</v>
      </c>
      <c r="G8721">
        <v>1877777</v>
      </c>
      <c r="H8721">
        <v>501010</v>
      </c>
      <c r="I8721">
        <v>70</v>
      </c>
    </row>
    <row r="8722" spans="1:9" x14ac:dyDescent="0.25">
      <c r="A8722">
        <v>4220</v>
      </c>
      <c r="B8722">
        <v>18</v>
      </c>
      <c r="C8722" t="s">
        <v>946</v>
      </c>
      <c r="D8722" t="s">
        <v>1025</v>
      </c>
      <c r="E8722" t="s">
        <v>255</v>
      </c>
      <c r="F8722" t="s">
        <v>948</v>
      </c>
      <c r="G8722">
        <v>1877777</v>
      </c>
      <c r="H8722">
        <v>501010</v>
      </c>
      <c r="I8722">
        <v>70</v>
      </c>
    </row>
    <row r="8723" spans="1:9" x14ac:dyDescent="0.25">
      <c r="A8723">
        <v>4230</v>
      </c>
      <c r="B8723">
        <v>18</v>
      </c>
      <c r="C8723" t="s">
        <v>946</v>
      </c>
      <c r="D8723" t="s">
        <v>1025</v>
      </c>
      <c r="E8723" t="s">
        <v>255</v>
      </c>
      <c r="F8723" t="s">
        <v>948</v>
      </c>
      <c r="G8723">
        <v>1899999</v>
      </c>
      <c r="H8723">
        <v>401075</v>
      </c>
      <c r="I8723">
        <v>70</v>
      </c>
    </row>
    <row r="8724" spans="1:9" x14ac:dyDescent="0.25">
      <c r="A8724">
        <v>4240</v>
      </c>
      <c r="B8724">
        <v>18</v>
      </c>
      <c r="C8724" t="s">
        <v>946</v>
      </c>
      <c r="D8724" t="s">
        <v>1025</v>
      </c>
      <c r="E8724" t="s">
        <v>255</v>
      </c>
      <c r="F8724" t="s">
        <v>948</v>
      </c>
      <c r="G8724">
        <v>1800000</v>
      </c>
      <c r="H8724">
        <v>145000</v>
      </c>
      <c r="I8724" t="s">
        <v>949</v>
      </c>
    </row>
    <row r="8725" spans="1:9" x14ac:dyDescent="0.25">
      <c r="A8725">
        <v>4141</v>
      </c>
      <c r="B8725">
        <v>18</v>
      </c>
      <c r="C8725" t="s">
        <v>946</v>
      </c>
      <c r="D8725" t="s">
        <v>1025</v>
      </c>
      <c r="E8725" t="s">
        <v>971</v>
      </c>
      <c r="F8725" t="s">
        <v>948</v>
      </c>
      <c r="G8725">
        <v>1877777</v>
      </c>
      <c r="H8725">
        <v>501010</v>
      </c>
      <c r="I8725">
        <v>70</v>
      </c>
    </row>
    <row r="8726" spans="1:9" x14ac:dyDescent="0.25">
      <c r="A8726">
        <v>4220</v>
      </c>
      <c r="B8726">
        <v>18</v>
      </c>
      <c r="C8726" t="s">
        <v>946</v>
      </c>
      <c r="D8726" t="s">
        <v>1025</v>
      </c>
      <c r="E8726" t="s">
        <v>971</v>
      </c>
      <c r="F8726" t="s">
        <v>948</v>
      </c>
      <c r="G8726">
        <v>1877777</v>
      </c>
      <c r="H8726">
        <v>501010</v>
      </c>
      <c r="I8726">
        <v>70</v>
      </c>
    </row>
    <row r="8727" spans="1:9" x14ac:dyDescent="0.25">
      <c r="A8727">
        <v>4230</v>
      </c>
      <c r="B8727">
        <v>18</v>
      </c>
      <c r="C8727" t="s">
        <v>946</v>
      </c>
      <c r="D8727" t="s">
        <v>1025</v>
      </c>
      <c r="E8727" t="s">
        <v>971</v>
      </c>
      <c r="F8727" t="s">
        <v>948</v>
      </c>
      <c r="G8727">
        <v>1899999</v>
      </c>
      <c r="H8727">
        <v>401915</v>
      </c>
      <c r="I8727">
        <v>70</v>
      </c>
    </row>
    <row r="8728" spans="1:9" x14ac:dyDescent="0.25">
      <c r="A8728">
        <v>4240</v>
      </c>
      <c r="B8728">
        <v>18</v>
      </c>
      <c r="C8728" t="s">
        <v>946</v>
      </c>
      <c r="D8728" t="s">
        <v>1025</v>
      </c>
      <c r="E8728" t="s">
        <v>971</v>
      </c>
      <c r="F8728" t="s">
        <v>948</v>
      </c>
      <c r="G8728">
        <v>1800000</v>
      </c>
      <c r="H8728">
        <v>141000</v>
      </c>
      <c r="I8728" t="s">
        <v>972</v>
      </c>
    </row>
    <row r="8729" spans="1:9" x14ac:dyDescent="0.25">
      <c r="A8729">
        <v>4230</v>
      </c>
      <c r="B8729">
        <v>18</v>
      </c>
      <c r="C8729" t="s">
        <v>946</v>
      </c>
      <c r="D8729" t="s">
        <v>1025</v>
      </c>
      <c r="E8729" t="s">
        <v>259</v>
      </c>
      <c r="F8729" t="s">
        <v>948</v>
      </c>
      <c r="G8729">
        <v>1899999</v>
      </c>
      <c r="H8729">
        <v>409005</v>
      </c>
      <c r="I8729">
        <v>70</v>
      </c>
    </row>
    <row r="8730" spans="1:9" x14ac:dyDescent="0.25">
      <c r="A8730">
        <v>4141</v>
      </c>
      <c r="B8730">
        <v>18</v>
      </c>
      <c r="C8730" t="s">
        <v>946</v>
      </c>
      <c r="D8730" t="s">
        <v>1025</v>
      </c>
      <c r="E8730" t="s">
        <v>263</v>
      </c>
      <c r="F8730" t="s">
        <v>948</v>
      </c>
      <c r="G8730">
        <v>1877777</v>
      </c>
      <c r="H8730">
        <v>501010</v>
      </c>
      <c r="I8730">
        <v>70</v>
      </c>
    </row>
    <row r="8731" spans="1:9" x14ac:dyDescent="0.25">
      <c r="A8731">
        <v>4220</v>
      </c>
      <c r="B8731">
        <v>18</v>
      </c>
      <c r="C8731" t="s">
        <v>946</v>
      </c>
      <c r="D8731" t="s">
        <v>1025</v>
      </c>
      <c r="E8731" t="s">
        <v>263</v>
      </c>
      <c r="F8731" t="s">
        <v>948</v>
      </c>
      <c r="G8731">
        <v>1877777</v>
      </c>
      <c r="H8731">
        <v>501010</v>
      </c>
      <c r="I8731">
        <v>70</v>
      </c>
    </row>
    <row r="8732" spans="1:9" x14ac:dyDescent="0.25">
      <c r="A8732">
        <v>4230</v>
      </c>
      <c r="B8732">
        <v>18</v>
      </c>
      <c r="C8732" t="s">
        <v>946</v>
      </c>
      <c r="D8732" t="s">
        <v>1025</v>
      </c>
      <c r="E8732" t="s">
        <v>263</v>
      </c>
      <c r="F8732" t="s">
        <v>948</v>
      </c>
      <c r="G8732">
        <v>1899999</v>
      </c>
      <c r="H8732">
        <v>401045</v>
      </c>
      <c r="I8732">
        <v>70</v>
      </c>
    </row>
    <row r="8733" spans="1:9" x14ac:dyDescent="0.25">
      <c r="A8733">
        <v>4240</v>
      </c>
      <c r="B8733">
        <v>18</v>
      </c>
      <c r="C8733" t="s">
        <v>946</v>
      </c>
      <c r="D8733" t="s">
        <v>1025</v>
      </c>
      <c r="E8733" t="s">
        <v>263</v>
      </c>
      <c r="F8733" t="s">
        <v>948</v>
      </c>
      <c r="G8733">
        <v>1800000</v>
      </c>
      <c r="H8733">
        <v>145000</v>
      </c>
      <c r="I8733" t="s">
        <v>949</v>
      </c>
    </row>
    <row r="8734" spans="1:9" x14ac:dyDescent="0.25">
      <c r="A8734">
        <v>4141</v>
      </c>
      <c r="B8734">
        <v>18</v>
      </c>
      <c r="C8734" t="s">
        <v>946</v>
      </c>
      <c r="D8734" t="s">
        <v>1025</v>
      </c>
      <c r="E8734" t="s">
        <v>100</v>
      </c>
      <c r="F8734" t="s">
        <v>948</v>
      </c>
      <c r="G8734">
        <v>1877777</v>
      </c>
      <c r="H8734">
        <v>500220</v>
      </c>
      <c r="I8734" t="s">
        <v>949</v>
      </c>
    </row>
    <row r="8735" spans="1:9" x14ac:dyDescent="0.25">
      <c r="A8735">
        <v>4220</v>
      </c>
      <c r="B8735">
        <v>18</v>
      </c>
      <c r="C8735" t="s">
        <v>946</v>
      </c>
      <c r="D8735" t="s">
        <v>1025</v>
      </c>
      <c r="E8735" t="s">
        <v>100</v>
      </c>
      <c r="F8735" t="s">
        <v>948</v>
      </c>
      <c r="G8735">
        <v>1877777</v>
      </c>
      <c r="H8735">
        <v>500220</v>
      </c>
      <c r="I8735" t="s">
        <v>949</v>
      </c>
    </row>
    <row r="8736" spans="1:9" x14ac:dyDescent="0.25">
      <c r="A8736">
        <v>4230</v>
      </c>
      <c r="B8736">
        <v>18</v>
      </c>
      <c r="C8736" t="s">
        <v>946</v>
      </c>
      <c r="D8736" t="s">
        <v>1025</v>
      </c>
      <c r="E8736" t="s">
        <v>100</v>
      </c>
      <c r="F8736" t="s">
        <v>948</v>
      </c>
      <c r="G8736">
        <v>1899999</v>
      </c>
      <c r="H8736">
        <v>401045</v>
      </c>
      <c r="I8736">
        <v>70</v>
      </c>
    </row>
    <row r="8737" spans="1:9" x14ac:dyDescent="0.25">
      <c r="A8737">
        <v>4240</v>
      </c>
      <c r="B8737">
        <v>18</v>
      </c>
      <c r="C8737" t="s">
        <v>946</v>
      </c>
      <c r="D8737" t="s">
        <v>1025</v>
      </c>
      <c r="E8737" t="s">
        <v>100</v>
      </c>
      <c r="F8737" t="s">
        <v>948</v>
      </c>
      <c r="G8737">
        <v>1877777</v>
      </c>
      <c r="H8737">
        <v>500221</v>
      </c>
      <c r="I8737" t="s">
        <v>949</v>
      </c>
    </row>
    <row r="8738" spans="1:9" x14ac:dyDescent="0.25">
      <c r="A8738">
        <v>4141</v>
      </c>
      <c r="B8738">
        <v>18</v>
      </c>
      <c r="C8738" t="s">
        <v>946</v>
      </c>
      <c r="D8738" t="s">
        <v>1025</v>
      </c>
      <c r="E8738" t="s">
        <v>270</v>
      </c>
      <c r="F8738" t="s">
        <v>948</v>
      </c>
      <c r="G8738">
        <v>1877777</v>
      </c>
      <c r="H8738">
        <v>501010</v>
      </c>
      <c r="I8738">
        <v>70</v>
      </c>
    </row>
    <row r="8739" spans="1:9" x14ac:dyDescent="0.25">
      <c r="A8739">
        <v>4220</v>
      </c>
      <c r="B8739">
        <v>18</v>
      </c>
      <c r="C8739" t="s">
        <v>946</v>
      </c>
      <c r="D8739" t="s">
        <v>1025</v>
      </c>
      <c r="E8739" t="s">
        <v>270</v>
      </c>
      <c r="F8739" t="s">
        <v>948</v>
      </c>
      <c r="G8739">
        <v>1877777</v>
      </c>
      <c r="H8739">
        <v>501010</v>
      </c>
      <c r="I8739">
        <v>70</v>
      </c>
    </row>
    <row r="8740" spans="1:9" x14ac:dyDescent="0.25">
      <c r="A8740">
        <v>4230</v>
      </c>
      <c r="B8740">
        <v>18</v>
      </c>
      <c r="C8740" t="s">
        <v>946</v>
      </c>
      <c r="D8740" t="s">
        <v>1025</v>
      </c>
      <c r="E8740" t="s">
        <v>270</v>
      </c>
      <c r="F8740" t="s">
        <v>948</v>
      </c>
      <c r="G8740">
        <v>1899999</v>
      </c>
      <c r="H8740">
        <v>401065</v>
      </c>
      <c r="I8740">
        <v>70</v>
      </c>
    </row>
    <row r="8741" spans="1:9" x14ac:dyDescent="0.25">
      <c r="A8741">
        <v>4240</v>
      </c>
      <c r="B8741">
        <v>18</v>
      </c>
      <c r="C8741" t="s">
        <v>946</v>
      </c>
      <c r="D8741" t="s">
        <v>1025</v>
      </c>
      <c r="E8741" t="s">
        <v>270</v>
      </c>
      <c r="F8741" t="s">
        <v>948</v>
      </c>
      <c r="G8741">
        <v>1800000</v>
      </c>
      <c r="H8741">
        <v>145000</v>
      </c>
      <c r="I8741" t="s">
        <v>949</v>
      </c>
    </row>
    <row r="8742" spans="1:9" x14ac:dyDescent="0.25">
      <c r="A8742">
        <v>4141</v>
      </c>
      <c r="B8742">
        <v>18</v>
      </c>
      <c r="C8742" t="s">
        <v>946</v>
      </c>
      <c r="D8742" t="s">
        <v>1025</v>
      </c>
      <c r="E8742" t="s">
        <v>274</v>
      </c>
      <c r="F8742" t="s">
        <v>948</v>
      </c>
      <c r="G8742">
        <v>1877777</v>
      </c>
      <c r="H8742">
        <v>501010</v>
      </c>
      <c r="I8742">
        <v>70</v>
      </c>
    </row>
    <row r="8743" spans="1:9" x14ac:dyDescent="0.25">
      <c r="A8743">
        <v>4220</v>
      </c>
      <c r="B8743">
        <v>18</v>
      </c>
      <c r="C8743" t="s">
        <v>946</v>
      </c>
      <c r="D8743" t="s">
        <v>1025</v>
      </c>
      <c r="E8743" t="s">
        <v>274</v>
      </c>
      <c r="F8743" t="s">
        <v>948</v>
      </c>
      <c r="G8743">
        <v>1877777</v>
      </c>
      <c r="H8743">
        <v>501010</v>
      </c>
      <c r="I8743">
        <v>70</v>
      </c>
    </row>
    <row r="8744" spans="1:9" x14ac:dyDescent="0.25">
      <c r="A8744">
        <v>4230</v>
      </c>
      <c r="B8744">
        <v>18</v>
      </c>
      <c r="C8744" t="s">
        <v>946</v>
      </c>
      <c r="D8744" t="s">
        <v>1025</v>
      </c>
      <c r="E8744" t="s">
        <v>274</v>
      </c>
      <c r="F8744" t="s">
        <v>948</v>
      </c>
      <c r="G8744">
        <v>1899999</v>
      </c>
      <c r="H8744">
        <v>401045</v>
      </c>
      <c r="I8744">
        <v>70</v>
      </c>
    </row>
    <row r="8745" spans="1:9" x14ac:dyDescent="0.25">
      <c r="A8745">
        <v>4240</v>
      </c>
      <c r="B8745">
        <v>18</v>
      </c>
      <c r="C8745" t="s">
        <v>946</v>
      </c>
      <c r="D8745" t="s">
        <v>1025</v>
      </c>
      <c r="E8745" t="s">
        <v>274</v>
      </c>
      <c r="F8745" t="s">
        <v>948</v>
      </c>
      <c r="G8745">
        <v>1800000</v>
      </c>
      <c r="H8745">
        <v>143000</v>
      </c>
      <c r="I8745" t="s">
        <v>973</v>
      </c>
    </row>
    <row r="8746" spans="1:9" x14ac:dyDescent="0.25">
      <c r="A8746">
        <v>4141</v>
      </c>
      <c r="B8746">
        <v>18</v>
      </c>
      <c r="C8746" t="s">
        <v>946</v>
      </c>
      <c r="D8746" t="s">
        <v>1025</v>
      </c>
      <c r="E8746" t="s">
        <v>974</v>
      </c>
      <c r="F8746" t="s">
        <v>948</v>
      </c>
      <c r="G8746">
        <v>1877777</v>
      </c>
      <c r="H8746">
        <v>501010</v>
      </c>
      <c r="I8746">
        <v>70</v>
      </c>
    </row>
    <row r="8747" spans="1:9" x14ac:dyDescent="0.25">
      <c r="A8747">
        <v>4220</v>
      </c>
      <c r="B8747">
        <v>18</v>
      </c>
      <c r="C8747" t="s">
        <v>946</v>
      </c>
      <c r="D8747" t="s">
        <v>1025</v>
      </c>
      <c r="E8747" t="s">
        <v>974</v>
      </c>
      <c r="F8747" t="s">
        <v>948</v>
      </c>
      <c r="G8747">
        <v>1877777</v>
      </c>
      <c r="H8747">
        <v>501010</v>
      </c>
      <c r="I8747">
        <v>70</v>
      </c>
    </row>
    <row r="8748" spans="1:9" x14ac:dyDescent="0.25">
      <c r="A8748">
        <v>4230</v>
      </c>
      <c r="B8748">
        <v>18</v>
      </c>
      <c r="C8748" t="s">
        <v>946</v>
      </c>
      <c r="D8748" t="s">
        <v>1025</v>
      </c>
      <c r="E8748" t="s">
        <v>974</v>
      </c>
      <c r="F8748" t="s">
        <v>948</v>
      </c>
      <c r="G8748">
        <v>1899999</v>
      </c>
      <c r="H8748">
        <v>401915</v>
      </c>
      <c r="I8748">
        <v>70</v>
      </c>
    </row>
    <row r="8749" spans="1:9" x14ac:dyDescent="0.25">
      <c r="A8749">
        <v>4240</v>
      </c>
      <c r="B8749">
        <v>18</v>
      </c>
      <c r="C8749" t="s">
        <v>946</v>
      </c>
      <c r="D8749" t="s">
        <v>1025</v>
      </c>
      <c r="E8749" t="s">
        <v>974</v>
      </c>
      <c r="F8749" t="s">
        <v>948</v>
      </c>
      <c r="G8749">
        <v>1800000</v>
      </c>
      <c r="H8749">
        <v>141000</v>
      </c>
      <c r="I8749" t="s">
        <v>975</v>
      </c>
    </row>
    <row r="8750" spans="1:9" x14ac:dyDescent="0.25">
      <c r="A8750">
        <v>4141</v>
      </c>
      <c r="B8750">
        <v>18</v>
      </c>
      <c r="C8750" t="s">
        <v>946</v>
      </c>
      <c r="D8750" t="s">
        <v>1025</v>
      </c>
      <c r="E8750" t="s">
        <v>104</v>
      </c>
      <c r="F8750" t="s">
        <v>948</v>
      </c>
      <c r="G8750">
        <v>1877777</v>
      </c>
      <c r="H8750">
        <v>500220</v>
      </c>
      <c r="I8750" t="s">
        <v>949</v>
      </c>
    </row>
    <row r="8751" spans="1:9" x14ac:dyDescent="0.25">
      <c r="A8751">
        <v>4220</v>
      </c>
      <c r="B8751">
        <v>18</v>
      </c>
      <c r="C8751" t="s">
        <v>946</v>
      </c>
      <c r="D8751" t="s">
        <v>1025</v>
      </c>
      <c r="E8751" t="s">
        <v>104</v>
      </c>
      <c r="F8751" t="s">
        <v>948</v>
      </c>
      <c r="G8751">
        <v>1877777</v>
      </c>
      <c r="H8751">
        <v>500220</v>
      </c>
      <c r="I8751" t="s">
        <v>949</v>
      </c>
    </row>
    <row r="8752" spans="1:9" x14ac:dyDescent="0.25">
      <c r="A8752">
        <v>4230</v>
      </c>
      <c r="B8752">
        <v>18</v>
      </c>
      <c r="C8752" t="s">
        <v>946</v>
      </c>
      <c r="D8752" t="s">
        <v>1025</v>
      </c>
      <c r="E8752" t="s">
        <v>104</v>
      </c>
      <c r="F8752" t="s">
        <v>948</v>
      </c>
      <c r="G8752">
        <v>1899999</v>
      </c>
      <c r="H8752">
        <v>401045</v>
      </c>
      <c r="I8752">
        <v>70</v>
      </c>
    </row>
    <row r="8753" spans="1:9" x14ac:dyDescent="0.25">
      <c r="A8753">
        <v>4240</v>
      </c>
      <c r="B8753">
        <v>18</v>
      </c>
      <c r="C8753" t="s">
        <v>946</v>
      </c>
      <c r="D8753" t="s">
        <v>1025</v>
      </c>
      <c r="E8753" t="s">
        <v>104</v>
      </c>
      <c r="F8753" t="s">
        <v>948</v>
      </c>
      <c r="G8753">
        <v>1877777</v>
      </c>
      <c r="H8753">
        <v>500221</v>
      </c>
      <c r="I8753" t="s">
        <v>949</v>
      </c>
    </row>
    <row r="8754" spans="1:9" x14ac:dyDescent="0.25">
      <c r="A8754">
        <v>4141</v>
      </c>
      <c r="B8754">
        <v>18</v>
      </c>
      <c r="C8754" t="s">
        <v>946</v>
      </c>
      <c r="D8754" t="s">
        <v>1025</v>
      </c>
      <c r="E8754" t="s">
        <v>278</v>
      </c>
      <c r="F8754" t="s">
        <v>948</v>
      </c>
      <c r="G8754">
        <v>1877777</v>
      </c>
      <c r="H8754">
        <v>501010</v>
      </c>
      <c r="I8754">
        <v>70</v>
      </c>
    </row>
    <row r="8755" spans="1:9" x14ac:dyDescent="0.25">
      <c r="A8755">
        <v>4220</v>
      </c>
      <c r="B8755">
        <v>18</v>
      </c>
      <c r="C8755" t="s">
        <v>946</v>
      </c>
      <c r="D8755" t="s">
        <v>1025</v>
      </c>
      <c r="E8755" t="s">
        <v>278</v>
      </c>
      <c r="F8755" t="s">
        <v>948</v>
      </c>
      <c r="G8755">
        <v>1877777</v>
      </c>
      <c r="H8755">
        <v>501010</v>
      </c>
      <c r="I8755">
        <v>70</v>
      </c>
    </row>
    <row r="8756" spans="1:9" x14ac:dyDescent="0.25">
      <c r="A8756">
        <v>4230</v>
      </c>
      <c r="B8756">
        <v>18</v>
      </c>
      <c r="C8756" t="s">
        <v>946</v>
      </c>
      <c r="D8756" t="s">
        <v>1025</v>
      </c>
      <c r="E8756" t="s">
        <v>278</v>
      </c>
      <c r="F8756" t="s">
        <v>948</v>
      </c>
      <c r="G8756">
        <v>1899999</v>
      </c>
      <c r="H8756">
        <v>401055</v>
      </c>
      <c r="I8756">
        <v>70</v>
      </c>
    </row>
    <row r="8757" spans="1:9" x14ac:dyDescent="0.25">
      <c r="A8757">
        <v>4240</v>
      </c>
      <c r="B8757">
        <v>18</v>
      </c>
      <c r="C8757" t="s">
        <v>946</v>
      </c>
      <c r="D8757" t="s">
        <v>1025</v>
      </c>
      <c r="E8757" t="s">
        <v>278</v>
      </c>
      <c r="F8757" t="s">
        <v>948</v>
      </c>
      <c r="G8757">
        <v>1800000</v>
      </c>
      <c r="H8757">
        <v>145000</v>
      </c>
      <c r="I8757" t="s">
        <v>949</v>
      </c>
    </row>
    <row r="8758" spans="1:9" x14ac:dyDescent="0.25">
      <c r="A8758">
        <v>4141</v>
      </c>
      <c r="B8758">
        <v>18</v>
      </c>
      <c r="C8758" t="s">
        <v>946</v>
      </c>
      <c r="D8758" t="s">
        <v>1025</v>
      </c>
      <c r="E8758" t="s">
        <v>282</v>
      </c>
      <c r="F8758" t="s">
        <v>948</v>
      </c>
      <c r="G8758">
        <v>1877777</v>
      </c>
      <c r="H8758">
        <v>501010</v>
      </c>
      <c r="I8758">
        <v>70</v>
      </c>
    </row>
    <row r="8759" spans="1:9" x14ac:dyDescent="0.25">
      <c r="A8759">
        <v>4220</v>
      </c>
      <c r="B8759">
        <v>18</v>
      </c>
      <c r="C8759" t="s">
        <v>946</v>
      </c>
      <c r="D8759" t="s">
        <v>1025</v>
      </c>
      <c r="E8759" t="s">
        <v>282</v>
      </c>
      <c r="F8759" t="s">
        <v>948</v>
      </c>
      <c r="G8759">
        <v>1877777</v>
      </c>
      <c r="H8759">
        <v>501010</v>
      </c>
      <c r="I8759">
        <v>70</v>
      </c>
    </row>
    <row r="8760" spans="1:9" x14ac:dyDescent="0.25">
      <c r="A8760">
        <v>4230</v>
      </c>
      <c r="B8760">
        <v>18</v>
      </c>
      <c r="C8760" t="s">
        <v>946</v>
      </c>
      <c r="D8760" t="s">
        <v>1025</v>
      </c>
      <c r="E8760" t="s">
        <v>282</v>
      </c>
      <c r="F8760" t="s">
        <v>948</v>
      </c>
      <c r="G8760">
        <v>1899999</v>
      </c>
      <c r="H8760">
        <v>401045</v>
      </c>
      <c r="I8760">
        <v>70</v>
      </c>
    </row>
    <row r="8761" spans="1:9" x14ac:dyDescent="0.25">
      <c r="A8761">
        <v>4240</v>
      </c>
      <c r="B8761">
        <v>18</v>
      </c>
      <c r="C8761" t="s">
        <v>946</v>
      </c>
      <c r="D8761" t="s">
        <v>1025</v>
      </c>
      <c r="E8761" t="s">
        <v>282</v>
      </c>
      <c r="F8761" t="s">
        <v>948</v>
      </c>
      <c r="G8761">
        <v>1800000</v>
      </c>
      <c r="H8761">
        <v>143100</v>
      </c>
      <c r="I8761" t="s">
        <v>949</v>
      </c>
    </row>
    <row r="8762" spans="1:9" x14ac:dyDescent="0.25">
      <c r="A8762">
        <v>4141</v>
      </c>
      <c r="B8762">
        <v>18</v>
      </c>
      <c r="C8762" t="s">
        <v>946</v>
      </c>
      <c r="D8762" t="s">
        <v>1025</v>
      </c>
      <c r="E8762" t="s">
        <v>286</v>
      </c>
      <c r="F8762" t="s">
        <v>948</v>
      </c>
      <c r="G8762">
        <v>1877777</v>
      </c>
      <c r="H8762">
        <v>501010</v>
      </c>
      <c r="I8762">
        <v>70</v>
      </c>
    </row>
    <row r="8763" spans="1:9" x14ac:dyDescent="0.25">
      <c r="A8763">
        <v>4220</v>
      </c>
      <c r="B8763">
        <v>18</v>
      </c>
      <c r="C8763" t="s">
        <v>946</v>
      </c>
      <c r="D8763" t="s">
        <v>1025</v>
      </c>
      <c r="E8763" t="s">
        <v>286</v>
      </c>
      <c r="F8763" t="s">
        <v>948</v>
      </c>
      <c r="G8763">
        <v>1877777</v>
      </c>
      <c r="H8763">
        <v>501010</v>
      </c>
      <c r="I8763">
        <v>70</v>
      </c>
    </row>
    <row r="8764" spans="1:9" x14ac:dyDescent="0.25">
      <c r="A8764">
        <v>4230</v>
      </c>
      <c r="B8764">
        <v>18</v>
      </c>
      <c r="C8764" t="s">
        <v>946</v>
      </c>
      <c r="D8764" t="s">
        <v>1025</v>
      </c>
      <c r="E8764" t="s">
        <v>286</v>
      </c>
      <c r="F8764" t="s">
        <v>948</v>
      </c>
      <c r="G8764">
        <v>1899999</v>
      </c>
      <c r="H8764">
        <v>401035</v>
      </c>
      <c r="I8764">
        <v>70</v>
      </c>
    </row>
    <row r="8765" spans="1:9" x14ac:dyDescent="0.25">
      <c r="A8765">
        <v>4240</v>
      </c>
      <c r="B8765">
        <v>18</v>
      </c>
      <c r="C8765" t="s">
        <v>946</v>
      </c>
      <c r="D8765" t="s">
        <v>1025</v>
      </c>
      <c r="E8765" t="s">
        <v>286</v>
      </c>
      <c r="F8765" t="s">
        <v>948</v>
      </c>
      <c r="G8765">
        <v>1800000</v>
      </c>
      <c r="H8765">
        <v>145000</v>
      </c>
      <c r="I8765" t="s">
        <v>949</v>
      </c>
    </row>
    <row r="8766" spans="1:9" x14ac:dyDescent="0.25">
      <c r="A8766">
        <v>4141</v>
      </c>
      <c r="B8766">
        <v>18</v>
      </c>
      <c r="C8766" t="s">
        <v>946</v>
      </c>
      <c r="D8766" t="s">
        <v>1025</v>
      </c>
      <c r="E8766" t="s">
        <v>976</v>
      </c>
      <c r="F8766" t="s">
        <v>948</v>
      </c>
      <c r="G8766">
        <v>1877777</v>
      </c>
      <c r="H8766">
        <v>501010</v>
      </c>
      <c r="I8766">
        <v>70</v>
      </c>
    </row>
    <row r="8767" spans="1:9" x14ac:dyDescent="0.25">
      <c r="A8767">
        <v>4220</v>
      </c>
      <c r="B8767">
        <v>18</v>
      </c>
      <c r="C8767" t="s">
        <v>946</v>
      </c>
      <c r="D8767" t="s">
        <v>1025</v>
      </c>
      <c r="E8767" t="s">
        <v>976</v>
      </c>
      <c r="F8767" t="s">
        <v>948</v>
      </c>
      <c r="G8767">
        <v>1877777</v>
      </c>
      <c r="H8767">
        <v>501010</v>
      </c>
      <c r="I8767">
        <v>70</v>
      </c>
    </row>
    <row r="8768" spans="1:9" x14ac:dyDescent="0.25">
      <c r="A8768">
        <v>4230</v>
      </c>
      <c r="B8768">
        <v>18</v>
      </c>
      <c r="C8768" t="s">
        <v>946</v>
      </c>
      <c r="D8768" t="s">
        <v>1025</v>
      </c>
      <c r="E8768" t="s">
        <v>976</v>
      </c>
      <c r="F8768" t="s">
        <v>948</v>
      </c>
      <c r="G8768">
        <v>1899999</v>
      </c>
      <c r="H8768">
        <v>401915</v>
      </c>
      <c r="I8768">
        <v>70</v>
      </c>
    </row>
    <row r="8769" spans="1:9" x14ac:dyDescent="0.25">
      <c r="A8769">
        <v>4240</v>
      </c>
      <c r="B8769">
        <v>18</v>
      </c>
      <c r="C8769" t="s">
        <v>946</v>
      </c>
      <c r="D8769" t="s">
        <v>1025</v>
      </c>
      <c r="E8769" t="s">
        <v>976</v>
      </c>
      <c r="F8769" t="s">
        <v>948</v>
      </c>
      <c r="G8769">
        <v>1800000</v>
      </c>
      <c r="H8769">
        <v>141000</v>
      </c>
      <c r="I8769" t="s">
        <v>977</v>
      </c>
    </row>
    <row r="8770" spans="1:9" x14ac:dyDescent="0.25">
      <c r="A8770">
        <v>4141</v>
      </c>
      <c r="B8770">
        <v>18</v>
      </c>
      <c r="C8770" t="s">
        <v>946</v>
      </c>
      <c r="D8770" t="s">
        <v>1025</v>
      </c>
      <c r="E8770" t="s">
        <v>290</v>
      </c>
      <c r="F8770" t="s">
        <v>948</v>
      </c>
      <c r="G8770">
        <v>1877777</v>
      </c>
      <c r="H8770">
        <v>501010</v>
      </c>
      <c r="I8770">
        <v>70</v>
      </c>
    </row>
    <row r="8771" spans="1:9" x14ac:dyDescent="0.25">
      <c r="A8771">
        <v>4220</v>
      </c>
      <c r="B8771">
        <v>18</v>
      </c>
      <c r="C8771" t="s">
        <v>946</v>
      </c>
      <c r="D8771" t="s">
        <v>1025</v>
      </c>
      <c r="E8771" t="s">
        <v>290</v>
      </c>
      <c r="F8771" t="s">
        <v>948</v>
      </c>
      <c r="G8771">
        <v>1877777</v>
      </c>
      <c r="H8771">
        <v>501010</v>
      </c>
      <c r="I8771">
        <v>70</v>
      </c>
    </row>
    <row r="8772" spans="1:9" x14ac:dyDescent="0.25">
      <c r="A8772">
        <v>4230</v>
      </c>
      <c r="B8772">
        <v>18</v>
      </c>
      <c r="C8772" t="s">
        <v>946</v>
      </c>
      <c r="D8772" t="s">
        <v>1025</v>
      </c>
      <c r="E8772" t="s">
        <v>290</v>
      </c>
      <c r="F8772" t="s">
        <v>948</v>
      </c>
      <c r="G8772">
        <v>1899999</v>
      </c>
      <c r="H8772">
        <v>401045</v>
      </c>
      <c r="I8772">
        <v>70</v>
      </c>
    </row>
    <row r="8773" spans="1:9" x14ac:dyDescent="0.25">
      <c r="A8773">
        <v>4240</v>
      </c>
      <c r="B8773">
        <v>18</v>
      </c>
      <c r="C8773" t="s">
        <v>946</v>
      </c>
      <c r="D8773" t="s">
        <v>1025</v>
      </c>
      <c r="E8773" t="s">
        <v>290</v>
      </c>
      <c r="F8773" t="s">
        <v>948</v>
      </c>
      <c r="G8773">
        <v>1800000</v>
      </c>
      <c r="H8773">
        <v>143000</v>
      </c>
      <c r="I8773" t="s">
        <v>978</v>
      </c>
    </row>
    <row r="8774" spans="1:9" x14ac:dyDescent="0.25">
      <c r="A8774">
        <v>4141</v>
      </c>
      <c r="B8774">
        <v>18</v>
      </c>
      <c r="C8774" t="s">
        <v>946</v>
      </c>
      <c r="D8774" t="s">
        <v>1025</v>
      </c>
      <c r="E8774" t="s">
        <v>294</v>
      </c>
      <c r="F8774" t="s">
        <v>948</v>
      </c>
      <c r="G8774">
        <v>1877777</v>
      </c>
      <c r="H8774">
        <v>501010</v>
      </c>
      <c r="I8774">
        <v>70</v>
      </c>
    </row>
    <row r="8775" spans="1:9" x14ac:dyDescent="0.25">
      <c r="A8775">
        <v>4220</v>
      </c>
      <c r="B8775">
        <v>18</v>
      </c>
      <c r="C8775" t="s">
        <v>946</v>
      </c>
      <c r="D8775" t="s">
        <v>1025</v>
      </c>
      <c r="E8775" t="s">
        <v>294</v>
      </c>
      <c r="F8775" t="s">
        <v>948</v>
      </c>
      <c r="G8775">
        <v>1877777</v>
      </c>
      <c r="H8775">
        <v>501010</v>
      </c>
      <c r="I8775">
        <v>70</v>
      </c>
    </row>
    <row r="8776" spans="1:9" x14ac:dyDescent="0.25">
      <c r="A8776">
        <v>4230</v>
      </c>
      <c r="B8776">
        <v>18</v>
      </c>
      <c r="C8776" t="s">
        <v>946</v>
      </c>
      <c r="D8776" t="s">
        <v>1025</v>
      </c>
      <c r="E8776" t="s">
        <v>294</v>
      </c>
      <c r="F8776" t="s">
        <v>948</v>
      </c>
      <c r="G8776">
        <v>1899999</v>
      </c>
      <c r="H8776">
        <v>401045</v>
      </c>
      <c r="I8776">
        <v>70</v>
      </c>
    </row>
    <row r="8777" spans="1:9" x14ac:dyDescent="0.25">
      <c r="A8777">
        <v>4240</v>
      </c>
      <c r="B8777">
        <v>18</v>
      </c>
      <c r="C8777" t="s">
        <v>946</v>
      </c>
      <c r="D8777" t="s">
        <v>1025</v>
      </c>
      <c r="E8777" t="s">
        <v>294</v>
      </c>
      <c r="F8777" t="s">
        <v>948</v>
      </c>
      <c r="G8777">
        <v>1800000</v>
      </c>
      <c r="H8777">
        <v>143000</v>
      </c>
      <c r="I8777" t="s">
        <v>979</v>
      </c>
    </row>
    <row r="8778" spans="1:9" x14ac:dyDescent="0.25">
      <c r="A8778">
        <v>4230</v>
      </c>
      <c r="B8778">
        <v>18</v>
      </c>
      <c r="C8778" t="s">
        <v>946</v>
      </c>
      <c r="D8778" t="s">
        <v>1025</v>
      </c>
      <c r="E8778" t="s">
        <v>298</v>
      </c>
      <c r="F8778" t="s">
        <v>948</v>
      </c>
      <c r="G8778">
        <v>1899999</v>
      </c>
      <c r="H8778">
        <v>402085</v>
      </c>
      <c r="I8778">
        <v>70</v>
      </c>
    </row>
    <row r="8779" spans="1:9" x14ac:dyDescent="0.25">
      <c r="A8779">
        <v>4141</v>
      </c>
      <c r="B8779">
        <v>18</v>
      </c>
      <c r="C8779" t="s">
        <v>946</v>
      </c>
      <c r="D8779" t="s">
        <v>1025</v>
      </c>
      <c r="E8779" t="s">
        <v>980</v>
      </c>
      <c r="F8779" t="s">
        <v>948</v>
      </c>
      <c r="G8779">
        <v>1877777</v>
      </c>
      <c r="H8779">
        <v>501010</v>
      </c>
      <c r="I8779">
        <v>70</v>
      </c>
    </row>
    <row r="8780" spans="1:9" x14ac:dyDescent="0.25">
      <c r="A8780">
        <v>4220</v>
      </c>
      <c r="B8780">
        <v>18</v>
      </c>
      <c r="C8780" t="s">
        <v>946</v>
      </c>
      <c r="D8780" t="s">
        <v>1025</v>
      </c>
      <c r="E8780" t="s">
        <v>980</v>
      </c>
      <c r="F8780" t="s">
        <v>948</v>
      </c>
      <c r="G8780">
        <v>1877777</v>
      </c>
      <c r="H8780">
        <v>501010</v>
      </c>
      <c r="I8780">
        <v>70</v>
      </c>
    </row>
    <row r="8781" spans="1:9" x14ac:dyDescent="0.25">
      <c r="A8781">
        <v>4230</v>
      </c>
      <c r="B8781">
        <v>18</v>
      </c>
      <c r="C8781" t="s">
        <v>946</v>
      </c>
      <c r="D8781" t="s">
        <v>1025</v>
      </c>
      <c r="E8781" t="s">
        <v>980</v>
      </c>
      <c r="F8781" t="s">
        <v>948</v>
      </c>
      <c r="G8781">
        <v>1899999</v>
      </c>
      <c r="H8781">
        <v>401915</v>
      </c>
      <c r="I8781">
        <v>70</v>
      </c>
    </row>
    <row r="8782" spans="1:9" x14ac:dyDescent="0.25">
      <c r="A8782">
        <v>4240</v>
      </c>
      <c r="B8782">
        <v>18</v>
      </c>
      <c r="C8782" t="s">
        <v>946</v>
      </c>
      <c r="D8782" t="s">
        <v>1025</v>
      </c>
      <c r="E8782" t="s">
        <v>980</v>
      </c>
      <c r="F8782" t="s">
        <v>948</v>
      </c>
      <c r="G8782">
        <v>1800000</v>
      </c>
      <c r="H8782">
        <v>141000</v>
      </c>
      <c r="I8782" t="s">
        <v>981</v>
      </c>
    </row>
    <row r="8783" spans="1:9" x14ac:dyDescent="0.25">
      <c r="A8783">
        <v>4141</v>
      </c>
      <c r="B8783">
        <v>18</v>
      </c>
      <c r="C8783" t="s">
        <v>946</v>
      </c>
      <c r="D8783" t="s">
        <v>1025</v>
      </c>
      <c r="E8783" t="s">
        <v>302</v>
      </c>
      <c r="F8783" t="s">
        <v>948</v>
      </c>
      <c r="G8783">
        <v>1877777</v>
      </c>
      <c r="H8783">
        <v>501010</v>
      </c>
      <c r="I8783">
        <v>70</v>
      </c>
    </row>
    <row r="8784" spans="1:9" x14ac:dyDescent="0.25">
      <c r="A8784">
        <v>4220</v>
      </c>
      <c r="B8784">
        <v>18</v>
      </c>
      <c r="C8784" t="s">
        <v>946</v>
      </c>
      <c r="D8784" t="s">
        <v>1025</v>
      </c>
      <c r="E8784" t="s">
        <v>302</v>
      </c>
      <c r="F8784" t="s">
        <v>948</v>
      </c>
      <c r="G8784">
        <v>1877777</v>
      </c>
      <c r="H8784">
        <v>501010</v>
      </c>
      <c r="I8784">
        <v>70</v>
      </c>
    </row>
    <row r="8785" spans="1:9" x14ac:dyDescent="0.25">
      <c r="A8785">
        <v>4230</v>
      </c>
      <c r="B8785">
        <v>18</v>
      </c>
      <c r="C8785" t="s">
        <v>946</v>
      </c>
      <c r="D8785" t="s">
        <v>1025</v>
      </c>
      <c r="E8785" t="s">
        <v>302</v>
      </c>
      <c r="F8785" t="s">
        <v>948</v>
      </c>
      <c r="G8785">
        <v>1899999</v>
      </c>
      <c r="H8785">
        <v>401905</v>
      </c>
      <c r="I8785">
        <v>70</v>
      </c>
    </row>
    <row r="8786" spans="1:9" x14ac:dyDescent="0.25">
      <c r="A8786">
        <v>4240</v>
      </c>
      <c r="B8786">
        <v>18</v>
      </c>
      <c r="C8786" t="s">
        <v>946</v>
      </c>
      <c r="D8786" t="s">
        <v>1025</v>
      </c>
      <c r="E8786" t="s">
        <v>302</v>
      </c>
      <c r="F8786" t="s">
        <v>948</v>
      </c>
      <c r="G8786">
        <v>1800000</v>
      </c>
      <c r="H8786">
        <v>143000</v>
      </c>
      <c r="I8786" t="s">
        <v>982</v>
      </c>
    </row>
    <row r="8787" spans="1:9" x14ac:dyDescent="0.25">
      <c r="A8787">
        <v>4141</v>
      </c>
      <c r="B8787">
        <v>18</v>
      </c>
      <c r="C8787" t="s">
        <v>946</v>
      </c>
      <c r="D8787" t="s">
        <v>1025</v>
      </c>
      <c r="E8787" t="s">
        <v>306</v>
      </c>
      <c r="F8787" t="s">
        <v>948</v>
      </c>
      <c r="G8787">
        <v>1877777</v>
      </c>
      <c r="H8787">
        <v>501010</v>
      </c>
      <c r="I8787">
        <v>70</v>
      </c>
    </row>
    <row r="8788" spans="1:9" x14ac:dyDescent="0.25">
      <c r="A8788">
        <v>4220</v>
      </c>
      <c r="B8788">
        <v>18</v>
      </c>
      <c r="C8788" t="s">
        <v>946</v>
      </c>
      <c r="D8788" t="s">
        <v>1025</v>
      </c>
      <c r="E8788" t="s">
        <v>306</v>
      </c>
      <c r="F8788" t="s">
        <v>948</v>
      </c>
      <c r="G8788">
        <v>1877777</v>
      </c>
      <c r="H8788">
        <v>501010</v>
      </c>
      <c r="I8788">
        <v>70</v>
      </c>
    </row>
    <row r="8789" spans="1:9" x14ac:dyDescent="0.25">
      <c r="A8789">
        <v>4230</v>
      </c>
      <c r="B8789">
        <v>18</v>
      </c>
      <c r="C8789" t="s">
        <v>946</v>
      </c>
      <c r="D8789" t="s">
        <v>1025</v>
      </c>
      <c r="E8789" t="s">
        <v>306</v>
      </c>
      <c r="F8789" t="s">
        <v>948</v>
      </c>
      <c r="G8789">
        <v>1899999</v>
      </c>
      <c r="H8789">
        <v>401045</v>
      </c>
      <c r="I8789">
        <v>70</v>
      </c>
    </row>
    <row r="8790" spans="1:9" x14ac:dyDescent="0.25">
      <c r="A8790">
        <v>4240</v>
      </c>
      <c r="B8790">
        <v>18</v>
      </c>
      <c r="C8790" t="s">
        <v>946</v>
      </c>
      <c r="D8790" t="s">
        <v>1025</v>
      </c>
      <c r="E8790" t="s">
        <v>306</v>
      </c>
      <c r="F8790" t="s">
        <v>948</v>
      </c>
      <c r="G8790">
        <v>1800000</v>
      </c>
      <c r="H8790">
        <v>143000</v>
      </c>
      <c r="I8790" t="s">
        <v>983</v>
      </c>
    </row>
    <row r="8791" spans="1:9" x14ac:dyDescent="0.25">
      <c r="A8791">
        <v>4141</v>
      </c>
      <c r="B8791">
        <v>18</v>
      </c>
      <c r="C8791" t="s">
        <v>946</v>
      </c>
      <c r="D8791" t="s">
        <v>1025</v>
      </c>
      <c r="E8791" t="s">
        <v>108</v>
      </c>
      <c r="F8791" t="s">
        <v>948</v>
      </c>
      <c r="G8791">
        <v>1877777</v>
      </c>
      <c r="H8791">
        <v>500220</v>
      </c>
      <c r="I8791" t="s">
        <v>949</v>
      </c>
    </row>
    <row r="8792" spans="1:9" x14ac:dyDescent="0.25">
      <c r="A8792">
        <v>4220</v>
      </c>
      <c r="B8792">
        <v>18</v>
      </c>
      <c r="C8792" t="s">
        <v>946</v>
      </c>
      <c r="D8792" t="s">
        <v>1025</v>
      </c>
      <c r="E8792" t="s">
        <v>108</v>
      </c>
      <c r="F8792" t="s">
        <v>948</v>
      </c>
      <c r="G8792">
        <v>1877777</v>
      </c>
      <c r="H8792">
        <v>500220</v>
      </c>
      <c r="I8792" t="s">
        <v>949</v>
      </c>
    </row>
    <row r="8793" spans="1:9" x14ac:dyDescent="0.25">
      <c r="A8793">
        <v>4230</v>
      </c>
      <c r="B8793">
        <v>18</v>
      </c>
      <c r="C8793" t="s">
        <v>946</v>
      </c>
      <c r="D8793" t="s">
        <v>1025</v>
      </c>
      <c r="E8793" t="s">
        <v>108</v>
      </c>
      <c r="F8793" t="s">
        <v>948</v>
      </c>
      <c r="G8793">
        <v>1899999</v>
      </c>
      <c r="H8793">
        <v>401045</v>
      </c>
      <c r="I8793">
        <v>70</v>
      </c>
    </row>
    <row r="8794" spans="1:9" x14ac:dyDescent="0.25">
      <c r="A8794">
        <v>4240</v>
      </c>
      <c r="B8794">
        <v>18</v>
      </c>
      <c r="C8794" t="s">
        <v>946</v>
      </c>
      <c r="D8794" t="s">
        <v>1025</v>
      </c>
      <c r="E8794" t="s">
        <v>108</v>
      </c>
      <c r="F8794" t="s">
        <v>948</v>
      </c>
      <c r="G8794">
        <v>1877777</v>
      </c>
      <c r="H8794">
        <v>500221</v>
      </c>
      <c r="I8794" t="s">
        <v>949</v>
      </c>
    </row>
    <row r="8795" spans="1:9" x14ac:dyDescent="0.25">
      <c r="A8795">
        <v>4141</v>
      </c>
      <c r="B8795">
        <v>18</v>
      </c>
      <c r="C8795" t="s">
        <v>946</v>
      </c>
      <c r="D8795" t="s">
        <v>1025</v>
      </c>
      <c r="E8795" t="s">
        <v>310</v>
      </c>
      <c r="F8795" t="s">
        <v>948</v>
      </c>
      <c r="G8795">
        <v>1877777</v>
      </c>
      <c r="H8795">
        <v>501010</v>
      </c>
      <c r="I8795">
        <v>70</v>
      </c>
    </row>
    <row r="8796" spans="1:9" x14ac:dyDescent="0.25">
      <c r="A8796">
        <v>4220</v>
      </c>
      <c r="B8796">
        <v>18</v>
      </c>
      <c r="C8796" t="s">
        <v>946</v>
      </c>
      <c r="D8796" t="s">
        <v>1025</v>
      </c>
      <c r="E8796" t="s">
        <v>310</v>
      </c>
      <c r="F8796" t="s">
        <v>948</v>
      </c>
      <c r="G8796">
        <v>1877777</v>
      </c>
      <c r="H8796">
        <v>501010</v>
      </c>
      <c r="I8796">
        <v>70</v>
      </c>
    </row>
    <row r="8797" spans="1:9" x14ac:dyDescent="0.25">
      <c r="A8797">
        <v>4230</v>
      </c>
      <c r="B8797">
        <v>18</v>
      </c>
      <c r="C8797" t="s">
        <v>946</v>
      </c>
      <c r="D8797" t="s">
        <v>1025</v>
      </c>
      <c r="E8797" t="s">
        <v>310</v>
      </c>
      <c r="F8797" t="s">
        <v>948</v>
      </c>
      <c r="G8797">
        <v>1899999</v>
      </c>
      <c r="H8797">
        <v>401015</v>
      </c>
      <c r="I8797">
        <v>70</v>
      </c>
    </row>
    <row r="8798" spans="1:9" x14ac:dyDescent="0.25">
      <c r="A8798">
        <v>4240</v>
      </c>
      <c r="B8798">
        <v>18</v>
      </c>
      <c r="C8798" t="s">
        <v>946</v>
      </c>
      <c r="D8798" t="s">
        <v>1025</v>
      </c>
      <c r="E8798" t="s">
        <v>310</v>
      </c>
      <c r="F8798" t="s">
        <v>948</v>
      </c>
      <c r="G8798">
        <v>1800000</v>
      </c>
      <c r="H8798">
        <v>145000</v>
      </c>
      <c r="I8798" t="s">
        <v>949</v>
      </c>
    </row>
    <row r="8799" spans="1:9" x14ac:dyDescent="0.25">
      <c r="A8799">
        <v>4141</v>
      </c>
      <c r="B8799">
        <v>18</v>
      </c>
      <c r="C8799" t="s">
        <v>946</v>
      </c>
      <c r="D8799" t="s">
        <v>1025</v>
      </c>
      <c r="E8799" t="s">
        <v>314</v>
      </c>
      <c r="F8799" t="s">
        <v>948</v>
      </c>
      <c r="G8799">
        <v>1877777</v>
      </c>
      <c r="H8799">
        <v>501010</v>
      </c>
      <c r="I8799">
        <v>70</v>
      </c>
    </row>
    <row r="8800" spans="1:9" x14ac:dyDescent="0.25">
      <c r="A8800">
        <v>4220</v>
      </c>
      <c r="B8800">
        <v>18</v>
      </c>
      <c r="C8800" t="s">
        <v>946</v>
      </c>
      <c r="D8800" t="s">
        <v>1025</v>
      </c>
      <c r="E8800" t="s">
        <v>314</v>
      </c>
      <c r="F8800" t="s">
        <v>948</v>
      </c>
      <c r="G8800">
        <v>1877777</v>
      </c>
      <c r="H8800">
        <v>501010</v>
      </c>
      <c r="I8800">
        <v>70</v>
      </c>
    </row>
    <row r="8801" spans="1:9" x14ac:dyDescent="0.25">
      <c r="A8801">
        <v>4230</v>
      </c>
      <c r="B8801">
        <v>18</v>
      </c>
      <c r="C8801" t="s">
        <v>946</v>
      </c>
      <c r="D8801" t="s">
        <v>1025</v>
      </c>
      <c r="E8801" t="s">
        <v>314</v>
      </c>
      <c r="F8801" t="s">
        <v>948</v>
      </c>
      <c r="G8801">
        <v>1899999</v>
      </c>
      <c r="H8801">
        <v>401065</v>
      </c>
      <c r="I8801">
        <v>70</v>
      </c>
    </row>
    <row r="8802" spans="1:9" x14ac:dyDescent="0.25">
      <c r="A8802">
        <v>4240</v>
      </c>
      <c r="B8802">
        <v>18</v>
      </c>
      <c r="C8802" t="s">
        <v>946</v>
      </c>
      <c r="D8802" t="s">
        <v>1025</v>
      </c>
      <c r="E8802" t="s">
        <v>314</v>
      </c>
      <c r="F8802" t="s">
        <v>948</v>
      </c>
      <c r="G8802">
        <v>1800000</v>
      </c>
      <c r="H8802">
        <v>145000</v>
      </c>
      <c r="I8802" t="s">
        <v>949</v>
      </c>
    </row>
    <row r="8803" spans="1:9" x14ac:dyDescent="0.25">
      <c r="A8803">
        <v>4141</v>
      </c>
      <c r="B8803">
        <v>18</v>
      </c>
      <c r="C8803" t="s">
        <v>946</v>
      </c>
      <c r="D8803" t="s">
        <v>1025</v>
      </c>
      <c r="E8803" t="s">
        <v>113</v>
      </c>
      <c r="F8803" t="s">
        <v>948</v>
      </c>
      <c r="G8803">
        <v>1877777</v>
      </c>
      <c r="H8803">
        <v>500220</v>
      </c>
      <c r="I8803" t="s">
        <v>949</v>
      </c>
    </row>
    <row r="8804" spans="1:9" x14ac:dyDescent="0.25">
      <c r="A8804">
        <v>4220</v>
      </c>
      <c r="B8804">
        <v>18</v>
      </c>
      <c r="C8804" t="s">
        <v>946</v>
      </c>
      <c r="D8804" t="s">
        <v>1025</v>
      </c>
      <c r="E8804" t="s">
        <v>113</v>
      </c>
      <c r="F8804" t="s">
        <v>948</v>
      </c>
      <c r="G8804">
        <v>1877777</v>
      </c>
      <c r="H8804">
        <v>500220</v>
      </c>
      <c r="I8804" t="s">
        <v>949</v>
      </c>
    </row>
    <row r="8805" spans="1:9" x14ac:dyDescent="0.25">
      <c r="A8805">
        <v>4230</v>
      </c>
      <c r="B8805">
        <v>18</v>
      </c>
      <c r="C8805" t="s">
        <v>946</v>
      </c>
      <c r="D8805" t="s">
        <v>1025</v>
      </c>
      <c r="E8805" t="s">
        <v>113</v>
      </c>
      <c r="F8805" t="s">
        <v>948</v>
      </c>
      <c r="G8805">
        <v>1899999</v>
      </c>
      <c r="H8805">
        <v>402085</v>
      </c>
      <c r="I8805">
        <v>70</v>
      </c>
    </row>
    <row r="8806" spans="1:9" x14ac:dyDescent="0.25">
      <c r="A8806">
        <v>4240</v>
      </c>
      <c r="B8806">
        <v>18</v>
      </c>
      <c r="C8806" t="s">
        <v>946</v>
      </c>
      <c r="D8806" t="s">
        <v>1025</v>
      </c>
      <c r="E8806" t="s">
        <v>113</v>
      </c>
      <c r="F8806" t="s">
        <v>948</v>
      </c>
      <c r="G8806">
        <v>1877777</v>
      </c>
      <c r="H8806">
        <v>500221</v>
      </c>
      <c r="I8806" t="s">
        <v>949</v>
      </c>
    </row>
    <row r="8807" spans="1:9" x14ac:dyDescent="0.25">
      <c r="A8807">
        <v>4141</v>
      </c>
      <c r="B8807">
        <v>18</v>
      </c>
      <c r="C8807" t="s">
        <v>946</v>
      </c>
      <c r="D8807" t="s">
        <v>1025</v>
      </c>
      <c r="E8807" t="s">
        <v>117</v>
      </c>
      <c r="F8807" t="s">
        <v>948</v>
      </c>
      <c r="G8807">
        <v>1877777</v>
      </c>
      <c r="H8807">
        <v>500220</v>
      </c>
      <c r="I8807" t="s">
        <v>949</v>
      </c>
    </row>
    <row r="8808" spans="1:9" x14ac:dyDescent="0.25">
      <c r="A8808">
        <v>4220</v>
      </c>
      <c r="B8808">
        <v>18</v>
      </c>
      <c r="C8808" t="s">
        <v>946</v>
      </c>
      <c r="D8808" t="s">
        <v>1025</v>
      </c>
      <c r="E8808" t="s">
        <v>117</v>
      </c>
      <c r="F8808" t="s">
        <v>948</v>
      </c>
      <c r="G8808">
        <v>1877777</v>
      </c>
      <c r="H8808">
        <v>500220</v>
      </c>
      <c r="I8808" t="s">
        <v>949</v>
      </c>
    </row>
    <row r="8809" spans="1:9" x14ac:dyDescent="0.25">
      <c r="A8809">
        <v>4230</v>
      </c>
      <c r="B8809">
        <v>18</v>
      </c>
      <c r="C8809" t="s">
        <v>946</v>
      </c>
      <c r="D8809" t="s">
        <v>1025</v>
      </c>
      <c r="E8809" t="s">
        <v>117</v>
      </c>
      <c r="F8809" t="s">
        <v>948</v>
      </c>
      <c r="G8809">
        <v>1888888</v>
      </c>
      <c r="H8809">
        <v>810600</v>
      </c>
      <c r="I8809">
        <v>70</v>
      </c>
    </row>
    <row r="8810" spans="1:9" x14ac:dyDescent="0.25">
      <c r="A8810">
        <v>4240</v>
      </c>
      <c r="B8810">
        <v>18</v>
      </c>
      <c r="C8810" t="s">
        <v>946</v>
      </c>
      <c r="D8810" t="s">
        <v>1025</v>
      </c>
      <c r="E8810" t="s">
        <v>117</v>
      </c>
      <c r="F8810" t="s">
        <v>948</v>
      </c>
      <c r="G8810">
        <v>1877777</v>
      </c>
      <c r="H8810">
        <v>500221</v>
      </c>
      <c r="I8810" t="s">
        <v>949</v>
      </c>
    </row>
    <row r="8811" spans="1:9" x14ac:dyDescent="0.25">
      <c r="A8811">
        <v>4141</v>
      </c>
      <c r="B8811">
        <v>18</v>
      </c>
      <c r="C8811" t="s">
        <v>946</v>
      </c>
      <c r="D8811" t="s">
        <v>1025</v>
      </c>
      <c r="E8811" t="s">
        <v>121</v>
      </c>
      <c r="F8811" t="s">
        <v>948</v>
      </c>
      <c r="G8811">
        <v>1877777</v>
      </c>
      <c r="H8811">
        <v>500220</v>
      </c>
      <c r="I8811" t="s">
        <v>949</v>
      </c>
    </row>
    <row r="8812" spans="1:9" x14ac:dyDescent="0.25">
      <c r="A8812">
        <v>4220</v>
      </c>
      <c r="B8812">
        <v>18</v>
      </c>
      <c r="C8812" t="s">
        <v>946</v>
      </c>
      <c r="D8812" t="s">
        <v>1025</v>
      </c>
      <c r="E8812" t="s">
        <v>121</v>
      </c>
      <c r="F8812" t="s">
        <v>948</v>
      </c>
      <c r="G8812">
        <v>1877777</v>
      </c>
      <c r="H8812">
        <v>500220</v>
      </c>
      <c r="I8812" t="s">
        <v>949</v>
      </c>
    </row>
    <row r="8813" spans="1:9" x14ac:dyDescent="0.25">
      <c r="A8813">
        <v>4230</v>
      </c>
      <c r="B8813">
        <v>18</v>
      </c>
      <c r="C8813" t="s">
        <v>946</v>
      </c>
      <c r="D8813" t="s">
        <v>1025</v>
      </c>
      <c r="E8813" t="s">
        <v>121</v>
      </c>
      <c r="F8813" t="s">
        <v>948</v>
      </c>
      <c r="G8813">
        <v>1899999</v>
      </c>
      <c r="H8813">
        <v>401045</v>
      </c>
      <c r="I8813">
        <v>70</v>
      </c>
    </row>
    <row r="8814" spans="1:9" x14ac:dyDescent="0.25">
      <c r="A8814">
        <v>4240</v>
      </c>
      <c r="B8814">
        <v>18</v>
      </c>
      <c r="C8814" t="s">
        <v>946</v>
      </c>
      <c r="D8814" t="s">
        <v>1025</v>
      </c>
      <c r="E8814" t="s">
        <v>121</v>
      </c>
      <c r="F8814" t="s">
        <v>948</v>
      </c>
      <c r="G8814">
        <v>1877777</v>
      </c>
      <c r="H8814">
        <v>500221</v>
      </c>
      <c r="I8814" t="s">
        <v>949</v>
      </c>
    </row>
    <row r="8815" spans="1:9" x14ac:dyDescent="0.25">
      <c r="A8815">
        <v>4141</v>
      </c>
      <c r="B8815">
        <v>18</v>
      </c>
      <c r="C8815" t="s">
        <v>946</v>
      </c>
      <c r="D8815" t="s">
        <v>1025</v>
      </c>
      <c r="E8815" t="s">
        <v>984</v>
      </c>
      <c r="F8815" t="s">
        <v>948</v>
      </c>
      <c r="G8815">
        <v>1877777</v>
      </c>
      <c r="H8815">
        <v>501010</v>
      </c>
      <c r="I8815">
        <v>70</v>
      </c>
    </row>
    <row r="8816" spans="1:9" x14ac:dyDescent="0.25">
      <c r="A8816">
        <v>4220</v>
      </c>
      <c r="B8816">
        <v>18</v>
      </c>
      <c r="C8816" t="s">
        <v>946</v>
      </c>
      <c r="D8816" t="s">
        <v>1025</v>
      </c>
      <c r="E8816" t="s">
        <v>984</v>
      </c>
      <c r="F8816" t="s">
        <v>948</v>
      </c>
      <c r="G8816">
        <v>1877777</v>
      </c>
      <c r="H8816">
        <v>501010</v>
      </c>
      <c r="I8816">
        <v>70</v>
      </c>
    </row>
    <row r="8817" spans="1:9" x14ac:dyDescent="0.25">
      <c r="A8817">
        <v>4230</v>
      </c>
      <c r="B8817">
        <v>18</v>
      </c>
      <c r="C8817" t="s">
        <v>946</v>
      </c>
      <c r="D8817" t="s">
        <v>1025</v>
      </c>
      <c r="E8817" t="s">
        <v>984</v>
      </c>
      <c r="F8817" t="s">
        <v>948</v>
      </c>
      <c r="G8817">
        <v>1899999</v>
      </c>
      <c r="H8817">
        <v>401915</v>
      </c>
      <c r="I8817">
        <v>70</v>
      </c>
    </row>
    <row r="8818" spans="1:9" x14ac:dyDescent="0.25">
      <c r="A8818">
        <v>4240</v>
      </c>
      <c r="B8818">
        <v>18</v>
      </c>
      <c r="C8818" t="s">
        <v>946</v>
      </c>
      <c r="D8818" t="s">
        <v>1025</v>
      </c>
      <c r="E8818" t="s">
        <v>984</v>
      </c>
      <c r="F8818" t="s">
        <v>948</v>
      </c>
      <c r="G8818">
        <v>1800000</v>
      </c>
      <c r="H8818">
        <v>141000</v>
      </c>
      <c r="I8818" t="s">
        <v>985</v>
      </c>
    </row>
    <row r="8819" spans="1:9" x14ac:dyDescent="0.25">
      <c r="A8819">
        <v>4141</v>
      </c>
      <c r="B8819">
        <v>18</v>
      </c>
      <c r="C8819" t="s">
        <v>946</v>
      </c>
      <c r="D8819" t="s">
        <v>1026</v>
      </c>
      <c r="E8819" t="s">
        <v>243</v>
      </c>
      <c r="F8819" t="s">
        <v>948</v>
      </c>
      <c r="G8819">
        <v>1877777</v>
      </c>
      <c r="H8819">
        <v>501010</v>
      </c>
      <c r="I8819">
        <v>73</v>
      </c>
    </row>
    <row r="8820" spans="1:9" x14ac:dyDescent="0.25">
      <c r="A8820">
        <v>4220</v>
      </c>
      <c r="B8820">
        <v>18</v>
      </c>
      <c r="C8820" t="s">
        <v>946</v>
      </c>
      <c r="D8820" t="s">
        <v>1026</v>
      </c>
      <c r="E8820" t="s">
        <v>243</v>
      </c>
      <c r="F8820" t="s">
        <v>948</v>
      </c>
      <c r="G8820">
        <v>1877777</v>
      </c>
      <c r="H8820">
        <v>501010</v>
      </c>
      <c r="I8820">
        <v>73</v>
      </c>
    </row>
    <row r="8821" spans="1:9" x14ac:dyDescent="0.25">
      <c r="A8821">
        <v>4230</v>
      </c>
      <c r="B8821">
        <v>18</v>
      </c>
      <c r="C8821" t="s">
        <v>946</v>
      </c>
      <c r="D8821" t="s">
        <v>1026</v>
      </c>
      <c r="E8821" t="s">
        <v>243</v>
      </c>
      <c r="F8821" t="s">
        <v>948</v>
      </c>
      <c r="G8821">
        <v>1899999</v>
      </c>
      <c r="H8821">
        <v>401055</v>
      </c>
      <c r="I8821">
        <v>73</v>
      </c>
    </row>
    <row r="8822" spans="1:9" x14ac:dyDescent="0.25">
      <c r="A8822">
        <v>4240</v>
      </c>
      <c r="B8822">
        <v>18</v>
      </c>
      <c r="C8822" t="s">
        <v>946</v>
      </c>
      <c r="D8822" t="s">
        <v>1026</v>
      </c>
      <c r="E8822" t="s">
        <v>243</v>
      </c>
      <c r="F8822" t="s">
        <v>948</v>
      </c>
      <c r="G8822">
        <v>1800000</v>
      </c>
      <c r="H8822">
        <v>145000</v>
      </c>
      <c r="I8822" t="s">
        <v>949</v>
      </c>
    </row>
    <row r="8823" spans="1:9" x14ac:dyDescent="0.25">
      <c r="A8823">
        <v>4141</v>
      </c>
      <c r="B8823">
        <v>18</v>
      </c>
      <c r="C8823" t="s">
        <v>946</v>
      </c>
      <c r="D8823" t="s">
        <v>1026</v>
      </c>
      <c r="E8823" t="s">
        <v>247</v>
      </c>
      <c r="F8823" t="s">
        <v>948</v>
      </c>
      <c r="G8823">
        <v>1877777</v>
      </c>
      <c r="H8823">
        <v>501010</v>
      </c>
      <c r="I8823">
        <v>73</v>
      </c>
    </row>
    <row r="8824" spans="1:9" x14ac:dyDescent="0.25">
      <c r="A8824">
        <v>4220</v>
      </c>
      <c r="B8824">
        <v>18</v>
      </c>
      <c r="C8824" t="s">
        <v>946</v>
      </c>
      <c r="D8824" t="s">
        <v>1026</v>
      </c>
      <c r="E8824" t="s">
        <v>247</v>
      </c>
      <c r="F8824" t="s">
        <v>948</v>
      </c>
      <c r="G8824">
        <v>1877777</v>
      </c>
      <c r="H8824">
        <v>501010</v>
      </c>
      <c r="I8824">
        <v>73</v>
      </c>
    </row>
    <row r="8825" spans="1:9" x14ac:dyDescent="0.25">
      <c r="A8825">
        <v>4230</v>
      </c>
      <c r="B8825">
        <v>18</v>
      </c>
      <c r="C8825" t="s">
        <v>946</v>
      </c>
      <c r="D8825" t="s">
        <v>1026</v>
      </c>
      <c r="E8825" t="s">
        <v>247</v>
      </c>
      <c r="F8825" t="s">
        <v>948</v>
      </c>
      <c r="G8825">
        <v>1899999</v>
      </c>
      <c r="H8825">
        <v>401025</v>
      </c>
      <c r="I8825">
        <v>73</v>
      </c>
    </row>
    <row r="8826" spans="1:9" x14ac:dyDescent="0.25">
      <c r="A8826">
        <v>4240</v>
      </c>
      <c r="B8826">
        <v>18</v>
      </c>
      <c r="C8826" t="s">
        <v>946</v>
      </c>
      <c r="D8826" t="s">
        <v>1026</v>
      </c>
      <c r="E8826" t="s">
        <v>247</v>
      </c>
      <c r="F8826" t="s">
        <v>948</v>
      </c>
      <c r="G8826">
        <v>1800000</v>
      </c>
      <c r="H8826">
        <v>145000</v>
      </c>
      <c r="I8826" t="s">
        <v>949</v>
      </c>
    </row>
    <row r="8827" spans="1:9" x14ac:dyDescent="0.25">
      <c r="A8827">
        <v>4141</v>
      </c>
      <c r="B8827">
        <v>18</v>
      </c>
      <c r="C8827" t="s">
        <v>946</v>
      </c>
      <c r="D8827" t="s">
        <v>1026</v>
      </c>
      <c r="E8827" t="s">
        <v>251</v>
      </c>
      <c r="F8827" t="s">
        <v>948</v>
      </c>
      <c r="G8827">
        <v>1877777</v>
      </c>
      <c r="H8827">
        <v>501010</v>
      </c>
      <c r="I8827">
        <v>73</v>
      </c>
    </row>
    <row r="8828" spans="1:9" x14ac:dyDescent="0.25">
      <c r="A8828">
        <v>4220</v>
      </c>
      <c r="B8828">
        <v>18</v>
      </c>
      <c r="C8828" t="s">
        <v>946</v>
      </c>
      <c r="D8828" t="s">
        <v>1026</v>
      </c>
      <c r="E8828" t="s">
        <v>251</v>
      </c>
      <c r="F8828" t="s">
        <v>948</v>
      </c>
      <c r="G8828">
        <v>1877777</v>
      </c>
      <c r="H8828">
        <v>501010</v>
      </c>
      <c r="I8828">
        <v>73</v>
      </c>
    </row>
    <row r="8829" spans="1:9" x14ac:dyDescent="0.25">
      <c r="A8829">
        <v>4230</v>
      </c>
      <c r="B8829">
        <v>18</v>
      </c>
      <c r="C8829" t="s">
        <v>946</v>
      </c>
      <c r="D8829" t="s">
        <v>1026</v>
      </c>
      <c r="E8829" t="s">
        <v>251</v>
      </c>
      <c r="F8829" t="s">
        <v>948</v>
      </c>
      <c r="G8829">
        <v>1899999</v>
      </c>
      <c r="H8829">
        <v>401045</v>
      </c>
      <c r="I8829">
        <v>73</v>
      </c>
    </row>
    <row r="8830" spans="1:9" x14ac:dyDescent="0.25">
      <c r="A8830">
        <v>4240</v>
      </c>
      <c r="B8830">
        <v>18</v>
      </c>
      <c r="C8830" t="s">
        <v>946</v>
      </c>
      <c r="D8830" t="s">
        <v>1026</v>
      </c>
      <c r="E8830" t="s">
        <v>251</v>
      </c>
      <c r="F8830" t="s">
        <v>948</v>
      </c>
      <c r="G8830">
        <v>1800000</v>
      </c>
      <c r="H8830">
        <v>142000</v>
      </c>
      <c r="I8830" t="s">
        <v>949</v>
      </c>
    </row>
    <row r="8831" spans="1:9" x14ac:dyDescent="0.25">
      <c r="A8831">
        <v>4141</v>
      </c>
      <c r="B8831">
        <v>18</v>
      </c>
      <c r="C8831" t="s">
        <v>946</v>
      </c>
      <c r="D8831" t="s">
        <v>1026</v>
      </c>
      <c r="E8831" t="s">
        <v>969</v>
      </c>
      <c r="F8831" t="s">
        <v>948</v>
      </c>
      <c r="G8831">
        <v>1877777</v>
      </c>
      <c r="H8831">
        <v>501010</v>
      </c>
      <c r="I8831">
        <v>73</v>
      </c>
    </row>
    <row r="8832" spans="1:9" x14ac:dyDescent="0.25">
      <c r="A8832">
        <v>4220</v>
      </c>
      <c r="B8832">
        <v>18</v>
      </c>
      <c r="C8832" t="s">
        <v>946</v>
      </c>
      <c r="D8832" t="s">
        <v>1026</v>
      </c>
      <c r="E8832" t="s">
        <v>969</v>
      </c>
      <c r="F8832" t="s">
        <v>948</v>
      </c>
      <c r="G8832">
        <v>1877777</v>
      </c>
      <c r="H8832">
        <v>501010</v>
      </c>
      <c r="I8832">
        <v>73</v>
      </c>
    </row>
    <row r="8833" spans="1:9" x14ac:dyDescent="0.25">
      <c r="A8833">
        <v>4230</v>
      </c>
      <c r="B8833">
        <v>18</v>
      </c>
      <c r="C8833" t="s">
        <v>946</v>
      </c>
      <c r="D8833" t="s">
        <v>1026</v>
      </c>
      <c r="E8833" t="s">
        <v>969</v>
      </c>
      <c r="F8833" t="s">
        <v>948</v>
      </c>
      <c r="G8833">
        <v>1899999</v>
      </c>
      <c r="H8833">
        <v>401915</v>
      </c>
      <c r="I8833">
        <v>73</v>
      </c>
    </row>
    <row r="8834" spans="1:9" x14ac:dyDescent="0.25">
      <c r="A8834">
        <v>4240</v>
      </c>
      <c r="B8834">
        <v>18</v>
      </c>
      <c r="C8834" t="s">
        <v>946</v>
      </c>
      <c r="D8834" t="s">
        <v>1026</v>
      </c>
      <c r="E8834" t="s">
        <v>969</v>
      </c>
      <c r="F8834" t="s">
        <v>948</v>
      </c>
      <c r="G8834">
        <v>1800000</v>
      </c>
      <c r="H8834">
        <v>141000</v>
      </c>
      <c r="I8834" t="s">
        <v>970</v>
      </c>
    </row>
    <row r="8835" spans="1:9" x14ac:dyDescent="0.25">
      <c r="A8835">
        <v>4141</v>
      </c>
      <c r="B8835">
        <v>18</v>
      </c>
      <c r="C8835" t="s">
        <v>946</v>
      </c>
      <c r="D8835" t="s">
        <v>1026</v>
      </c>
      <c r="E8835" t="s">
        <v>255</v>
      </c>
      <c r="F8835" t="s">
        <v>948</v>
      </c>
      <c r="G8835">
        <v>1877777</v>
      </c>
      <c r="H8835">
        <v>501010</v>
      </c>
      <c r="I8835">
        <v>73</v>
      </c>
    </row>
    <row r="8836" spans="1:9" x14ac:dyDescent="0.25">
      <c r="A8836">
        <v>4220</v>
      </c>
      <c r="B8836">
        <v>18</v>
      </c>
      <c r="C8836" t="s">
        <v>946</v>
      </c>
      <c r="D8836" t="s">
        <v>1026</v>
      </c>
      <c r="E8836" t="s">
        <v>255</v>
      </c>
      <c r="F8836" t="s">
        <v>948</v>
      </c>
      <c r="G8836">
        <v>1877777</v>
      </c>
      <c r="H8836">
        <v>501010</v>
      </c>
      <c r="I8836">
        <v>73</v>
      </c>
    </row>
    <row r="8837" spans="1:9" x14ac:dyDescent="0.25">
      <c r="A8837">
        <v>4230</v>
      </c>
      <c r="B8837">
        <v>18</v>
      </c>
      <c r="C8837" t="s">
        <v>946</v>
      </c>
      <c r="D8837" t="s">
        <v>1026</v>
      </c>
      <c r="E8837" t="s">
        <v>255</v>
      </c>
      <c r="F8837" t="s">
        <v>948</v>
      </c>
      <c r="G8837">
        <v>1899999</v>
      </c>
      <c r="H8837">
        <v>401075</v>
      </c>
      <c r="I8837">
        <v>73</v>
      </c>
    </row>
    <row r="8838" spans="1:9" x14ac:dyDescent="0.25">
      <c r="A8838">
        <v>4240</v>
      </c>
      <c r="B8838">
        <v>18</v>
      </c>
      <c r="C8838" t="s">
        <v>946</v>
      </c>
      <c r="D8838" t="s">
        <v>1026</v>
      </c>
      <c r="E8838" t="s">
        <v>255</v>
      </c>
      <c r="F8838" t="s">
        <v>948</v>
      </c>
      <c r="G8838">
        <v>1800000</v>
      </c>
      <c r="H8838">
        <v>145000</v>
      </c>
      <c r="I8838" t="s">
        <v>949</v>
      </c>
    </row>
    <row r="8839" spans="1:9" x14ac:dyDescent="0.25">
      <c r="A8839">
        <v>4141</v>
      </c>
      <c r="B8839">
        <v>18</v>
      </c>
      <c r="C8839" t="s">
        <v>946</v>
      </c>
      <c r="D8839" t="s">
        <v>1026</v>
      </c>
      <c r="E8839" t="s">
        <v>971</v>
      </c>
      <c r="F8839" t="s">
        <v>948</v>
      </c>
      <c r="G8839">
        <v>1877777</v>
      </c>
      <c r="H8839">
        <v>501010</v>
      </c>
      <c r="I8839">
        <v>73</v>
      </c>
    </row>
    <row r="8840" spans="1:9" x14ac:dyDescent="0.25">
      <c r="A8840">
        <v>4220</v>
      </c>
      <c r="B8840">
        <v>18</v>
      </c>
      <c r="C8840" t="s">
        <v>946</v>
      </c>
      <c r="D8840" t="s">
        <v>1026</v>
      </c>
      <c r="E8840" t="s">
        <v>971</v>
      </c>
      <c r="F8840" t="s">
        <v>948</v>
      </c>
      <c r="G8840">
        <v>1877777</v>
      </c>
      <c r="H8840">
        <v>501010</v>
      </c>
      <c r="I8840">
        <v>73</v>
      </c>
    </row>
    <row r="8841" spans="1:9" x14ac:dyDescent="0.25">
      <c r="A8841">
        <v>4230</v>
      </c>
      <c r="B8841">
        <v>18</v>
      </c>
      <c r="C8841" t="s">
        <v>946</v>
      </c>
      <c r="D8841" t="s">
        <v>1026</v>
      </c>
      <c r="E8841" t="s">
        <v>971</v>
      </c>
      <c r="F8841" t="s">
        <v>948</v>
      </c>
      <c r="G8841">
        <v>1899999</v>
      </c>
      <c r="H8841">
        <v>401915</v>
      </c>
      <c r="I8841">
        <v>73</v>
      </c>
    </row>
    <row r="8842" spans="1:9" x14ac:dyDescent="0.25">
      <c r="A8842">
        <v>4240</v>
      </c>
      <c r="B8842">
        <v>18</v>
      </c>
      <c r="C8842" t="s">
        <v>946</v>
      </c>
      <c r="D8842" t="s">
        <v>1026</v>
      </c>
      <c r="E8842" t="s">
        <v>971</v>
      </c>
      <c r="F8842" t="s">
        <v>948</v>
      </c>
      <c r="G8842">
        <v>1800000</v>
      </c>
      <c r="H8842">
        <v>141000</v>
      </c>
      <c r="I8842" t="s">
        <v>972</v>
      </c>
    </row>
    <row r="8843" spans="1:9" x14ac:dyDescent="0.25">
      <c r="A8843">
        <v>4230</v>
      </c>
      <c r="B8843">
        <v>18</v>
      </c>
      <c r="C8843" t="s">
        <v>946</v>
      </c>
      <c r="D8843" t="s">
        <v>1026</v>
      </c>
      <c r="E8843" t="s">
        <v>259</v>
      </c>
      <c r="F8843" t="s">
        <v>948</v>
      </c>
      <c r="G8843">
        <v>1899999</v>
      </c>
      <c r="H8843">
        <v>409005</v>
      </c>
      <c r="I8843">
        <v>73</v>
      </c>
    </row>
    <row r="8844" spans="1:9" x14ac:dyDescent="0.25">
      <c r="A8844">
        <v>4141</v>
      </c>
      <c r="B8844">
        <v>18</v>
      </c>
      <c r="C8844" t="s">
        <v>946</v>
      </c>
      <c r="D8844" t="s">
        <v>1026</v>
      </c>
      <c r="E8844" t="s">
        <v>263</v>
      </c>
      <c r="F8844" t="s">
        <v>948</v>
      </c>
      <c r="G8844">
        <v>1877777</v>
      </c>
      <c r="H8844">
        <v>501010</v>
      </c>
      <c r="I8844">
        <v>73</v>
      </c>
    </row>
    <row r="8845" spans="1:9" x14ac:dyDescent="0.25">
      <c r="A8845">
        <v>4220</v>
      </c>
      <c r="B8845">
        <v>18</v>
      </c>
      <c r="C8845" t="s">
        <v>946</v>
      </c>
      <c r="D8845" t="s">
        <v>1026</v>
      </c>
      <c r="E8845" t="s">
        <v>263</v>
      </c>
      <c r="F8845" t="s">
        <v>948</v>
      </c>
      <c r="G8845">
        <v>1877777</v>
      </c>
      <c r="H8845">
        <v>501010</v>
      </c>
      <c r="I8845">
        <v>73</v>
      </c>
    </row>
    <row r="8846" spans="1:9" x14ac:dyDescent="0.25">
      <c r="A8846">
        <v>4230</v>
      </c>
      <c r="B8846">
        <v>18</v>
      </c>
      <c r="C8846" t="s">
        <v>946</v>
      </c>
      <c r="D8846" t="s">
        <v>1026</v>
      </c>
      <c r="E8846" t="s">
        <v>263</v>
      </c>
      <c r="F8846" t="s">
        <v>948</v>
      </c>
      <c r="G8846">
        <v>1899999</v>
      </c>
      <c r="H8846">
        <v>401045</v>
      </c>
      <c r="I8846">
        <v>73</v>
      </c>
    </row>
    <row r="8847" spans="1:9" x14ac:dyDescent="0.25">
      <c r="A8847">
        <v>4240</v>
      </c>
      <c r="B8847">
        <v>18</v>
      </c>
      <c r="C8847" t="s">
        <v>946</v>
      </c>
      <c r="D8847" t="s">
        <v>1026</v>
      </c>
      <c r="E8847" t="s">
        <v>263</v>
      </c>
      <c r="F8847" t="s">
        <v>948</v>
      </c>
      <c r="G8847">
        <v>1800000</v>
      </c>
      <c r="H8847">
        <v>145000</v>
      </c>
      <c r="I8847" t="s">
        <v>949</v>
      </c>
    </row>
    <row r="8848" spans="1:9" x14ac:dyDescent="0.25">
      <c r="A8848">
        <v>4141</v>
      </c>
      <c r="B8848">
        <v>18</v>
      </c>
      <c r="C8848" t="s">
        <v>946</v>
      </c>
      <c r="D8848" t="s">
        <v>1026</v>
      </c>
      <c r="E8848" t="s">
        <v>100</v>
      </c>
      <c r="F8848" t="s">
        <v>948</v>
      </c>
      <c r="G8848">
        <v>1877777</v>
      </c>
      <c r="H8848">
        <v>500220</v>
      </c>
      <c r="I8848" t="s">
        <v>949</v>
      </c>
    </row>
    <row r="8849" spans="1:9" x14ac:dyDescent="0.25">
      <c r="A8849">
        <v>4220</v>
      </c>
      <c r="B8849">
        <v>18</v>
      </c>
      <c r="C8849" t="s">
        <v>946</v>
      </c>
      <c r="D8849" t="s">
        <v>1026</v>
      </c>
      <c r="E8849" t="s">
        <v>100</v>
      </c>
      <c r="F8849" t="s">
        <v>948</v>
      </c>
      <c r="G8849">
        <v>1877777</v>
      </c>
      <c r="H8849">
        <v>500220</v>
      </c>
      <c r="I8849" t="s">
        <v>949</v>
      </c>
    </row>
    <row r="8850" spans="1:9" x14ac:dyDescent="0.25">
      <c r="A8850">
        <v>4230</v>
      </c>
      <c r="B8850">
        <v>18</v>
      </c>
      <c r="C8850" t="s">
        <v>946</v>
      </c>
      <c r="D8850" t="s">
        <v>1026</v>
      </c>
      <c r="E8850" t="s">
        <v>100</v>
      </c>
      <c r="F8850" t="s">
        <v>948</v>
      </c>
      <c r="G8850">
        <v>1899999</v>
      </c>
      <c r="H8850">
        <v>401045</v>
      </c>
      <c r="I8850">
        <v>73</v>
      </c>
    </row>
    <row r="8851" spans="1:9" x14ac:dyDescent="0.25">
      <c r="A8851">
        <v>4240</v>
      </c>
      <c r="B8851">
        <v>18</v>
      </c>
      <c r="C8851" t="s">
        <v>946</v>
      </c>
      <c r="D8851" t="s">
        <v>1026</v>
      </c>
      <c r="E8851" t="s">
        <v>100</v>
      </c>
      <c r="F8851" t="s">
        <v>948</v>
      </c>
      <c r="G8851">
        <v>1877777</v>
      </c>
      <c r="H8851">
        <v>500221</v>
      </c>
      <c r="I8851" t="s">
        <v>949</v>
      </c>
    </row>
    <row r="8852" spans="1:9" x14ac:dyDescent="0.25">
      <c r="A8852">
        <v>4141</v>
      </c>
      <c r="B8852">
        <v>18</v>
      </c>
      <c r="C8852" t="s">
        <v>946</v>
      </c>
      <c r="D8852" t="s">
        <v>1026</v>
      </c>
      <c r="E8852" t="s">
        <v>270</v>
      </c>
      <c r="F8852" t="s">
        <v>948</v>
      </c>
      <c r="G8852">
        <v>1877777</v>
      </c>
      <c r="H8852">
        <v>501010</v>
      </c>
      <c r="I8852">
        <v>73</v>
      </c>
    </row>
    <row r="8853" spans="1:9" x14ac:dyDescent="0.25">
      <c r="A8853">
        <v>4220</v>
      </c>
      <c r="B8853">
        <v>18</v>
      </c>
      <c r="C8853" t="s">
        <v>946</v>
      </c>
      <c r="D8853" t="s">
        <v>1026</v>
      </c>
      <c r="E8853" t="s">
        <v>270</v>
      </c>
      <c r="F8853" t="s">
        <v>948</v>
      </c>
      <c r="G8853">
        <v>1877777</v>
      </c>
      <c r="H8853">
        <v>501010</v>
      </c>
      <c r="I8853">
        <v>73</v>
      </c>
    </row>
    <row r="8854" spans="1:9" x14ac:dyDescent="0.25">
      <c r="A8854">
        <v>4230</v>
      </c>
      <c r="B8854">
        <v>18</v>
      </c>
      <c r="C8854" t="s">
        <v>946</v>
      </c>
      <c r="D8854" t="s">
        <v>1026</v>
      </c>
      <c r="E8854" t="s">
        <v>270</v>
      </c>
      <c r="F8854" t="s">
        <v>948</v>
      </c>
      <c r="G8854">
        <v>1899999</v>
      </c>
      <c r="H8854">
        <v>401065</v>
      </c>
      <c r="I8854">
        <v>73</v>
      </c>
    </row>
    <row r="8855" spans="1:9" x14ac:dyDescent="0.25">
      <c r="A8855">
        <v>4240</v>
      </c>
      <c r="B8855">
        <v>18</v>
      </c>
      <c r="C8855" t="s">
        <v>946</v>
      </c>
      <c r="D8855" t="s">
        <v>1026</v>
      </c>
      <c r="E8855" t="s">
        <v>270</v>
      </c>
      <c r="F8855" t="s">
        <v>948</v>
      </c>
      <c r="G8855">
        <v>1800000</v>
      </c>
      <c r="H8855">
        <v>145000</v>
      </c>
      <c r="I8855" t="s">
        <v>949</v>
      </c>
    </row>
    <row r="8856" spans="1:9" x14ac:dyDescent="0.25">
      <c r="A8856">
        <v>4141</v>
      </c>
      <c r="B8856">
        <v>18</v>
      </c>
      <c r="C8856" t="s">
        <v>946</v>
      </c>
      <c r="D8856" t="s">
        <v>1026</v>
      </c>
      <c r="E8856" t="s">
        <v>274</v>
      </c>
      <c r="F8856" t="s">
        <v>948</v>
      </c>
      <c r="G8856">
        <v>1877777</v>
      </c>
      <c r="H8856">
        <v>501010</v>
      </c>
      <c r="I8856">
        <v>73</v>
      </c>
    </row>
    <row r="8857" spans="1:9" x14ac:dyDescent="0.25">
      <c r="A8857">
        <v>4220</v>
      </c>
      <c r="B8857">
        <v>18</v>
      </c>
      <c r="C8857" t="s">
        <v>946</v>
      </c>
      <c r="D8857" t="s">
        <v>1026</v>
      </c>
      <c r="E8857" t="s">
        <v>274</v>
      </c>
      <c r="F8857" t="s">
        <v>948</v>
      </c>
      <c r="G8857">
        <v>1877777</v>
      </c>
      <c r="H8857">
        <v>501010</v>
      </c>
      <c r="I8857">
        <v>73</v>
      </c>
    </row>
    <row r="8858" spans="1:9" x14ac:dyDescent="0.25">
      <c r="A8858">
        <v>4230</v>
      </c>
      <c r="B8858">
        <v>18</v>
      </c>
      <c r="C8858" t="s">
        <v>946</v>
      </c>
      <c r="D8858" t="s">
        <v>1026</v>
      </c>
      <c r="E8858" t="s">
        <v>274</v>
      </c>
      <c r="F8858" t="s">
        <v>948</v>
      </c>
      <c r="G8858">
        <v>1899999</v>
      </c>
      <c r="H8858">
        <v>401045</v>
      </c>
      <c r="I8858">
        <v>73</v>
      </c>
    </row>
    <row r="8859" spans="1:9" x14ac:dyDescent="0.25">
      <c r="A8859">
        <v>4240</v>
      </c>
      <c r="B8859">
        <v>18</v>
      </c>
      <c r="C8859" t="s">
        <v>946</v>
      </c>
      <c r="D8859" t="s">
        <v>1026</v>
      </c>
      <c r="E8859" t="s">
        <v>274</v>
      </c>
      <c r="F8859" t="s">
        <v>948</v>
      </c>
      <c r="G8859">
        <v>1800000</v>
      </c>
      <c r="H8859">
        <v>143000</v>
      </c>
      <c r="I8859" t="s">
        <v>973</v>
      </c>
    </row>
    <row r="8860" spans="1:9" x14ac:dyDescent="0.25">
      <c r="A8860">
        <v>4141</v>
      </c>
      <c r="B8860">
        <v>18</v>
      </c>
      <c r="C8860" t="s">
        <v>946</v>
      </c>
      <c r="D8860" t="s">
        <v>1026</v>
      </c>
      <c r="E8860" t="s">
        <v>974</v>
      </c>
      <c r="F8860" t="s">
        <v>948</v>
      </c>
      <c r="G8860">
        <v>1877777</v>
      </c>
      <c r="H8860">
        <v>501010</v>
      </c>
      <c r="I8860">
        <v>73</v>
      </c>
    </row>
    <row r="8861" spans="1:9" x14ac:dyDescent="0.25">
      <c r="A8861">
        <v>4220</v>
      </c>
      <c r="B8861">
        <v>18</v>
      </c>
      <c r="C8861" t="s">
        <v>946</v>
      </c>
      <c r="D8861" t="s">
        <v>1026</v>
      </c>
      <c r="E8861" t="s">
        <v>974</v>
      </c>
      <c r="F8861" t="s">
        <v>948</v>
      </c>
      <c r="G8861">
        <v>1877777</v>
      </c>
      <c r="H8861">
        <v>501010</v>
      </c>
      <c r="I8861">
        <v>73</v>
      </c>
    </row>
    <row r="8862" spans="1:9" x14ac:dyDescent="0.25">
      <c r="A8862">
        <v>4230</v>
      </c>
      <c r="B8862">
        <v>18</v>
      </c>
      <c r="C8862" t="s">
        <v>946</v>
      </c>
      <c r="D8862" t="s">
        <v>1026</v>
      </c>
      <c r="E8862" t="s">
        <v>974</v>
      </c>
      <c r="F8862" t="s">
        <v>948</v>
      </c>
      <c r="G8862">
        <v>1899999</v>
      </c>
      <c r="H8862">
        <v>401915</v>
      </c>
      <c r="I8862">
        <v>73</v>
      </c>
    </row>
    <row r="8863" spans="1:9" x14ac:dyDescent="0.25">
      <c r="A8863">
        <v>4240</v>
      </c>
      <c r="B8863">
        <v>18</v>
      </c>
      <c r="C8863" t="s">
        <v>946</v>
      </c>
      <c r="D8863" t="s">
        <v>1026</v>
      </c>
      <c r="E8863" t="s">
        <v>974</v>
      </c>
      <c r="F8863" t="s">
        <v>948</v>
      </c>
      <c r="G8863">
        <v>1800000</v>
      </c>
      <c r="H8863">
        <v>141000</v>
      </c>
      <c r="I8863" t="s">
        <v>975</v>
      </c>
    </row>
    <row r="8864" spans="1:9" x14ac:dyDescent="0.25">
      <c r="A8864">
        <v>4141</v>
      </c>
      <c r="B8864">
        <v>18</v>
      </c>
      <c r="C8864" t="s">
        <v>946</v>
      </c>
      <c r="D8864" t="s">
        <v>1026</v>
      </c>
      <c r="E8864" t="s">
        <v>104</v>
      </c>
      <c r="F8864" t="s">
        <v>948</v>
      </c>
      <c r="G8864">
        <v>1877777</v>
      </c>
      <c r="H8864">
        <v>500220</v>
      </c>
      <c r="I8864" t="s">
        <v>949</v>
      </c>
    </row>
    <row r="8865" spans="1:9" x14ac:dyDescent="0.25">
      <c r="A8865">
        <v>4220</v>
      </c>
      <c r="B8865">
        <v>18</v>
      </c>
      <c r="C8865" t="s">
        <v>946</v>
      </c>
      <c r="D8865" t="s">
        <v>1026</v>
      </c>
      <c r="E8865" t="s">
        <v>104</v>
      </c>
      <c r="F8865" t="s">
        <v>948</v>
      </c>
      <c r="G8865">
        <v>1877777</v>
      </c>
      <c r="H8865">
        <v>500220</v>
      </c>
      <c r="I8865" t="s">
        <v>949</v>
      </c>
    </row>
    <row r="8866" spans="1:9" x14ac:dyDescent="0.25">
      <c r="A8866">
        <v>4230</v>
      </c>
      <c r="B8866">
        <v>18</v>
      </c>
      <c r="C8866" t="s">
        <v>946</v>
      </c>
      <c r="D8866" t="s">
        <v>1026</v>
      </c>
      <c r="E8866" t="s">
        <v>104</v>
      </c>
      <c r="F8866" t="s">
        <v>948</v>
      </c>
      <c r="G8866">
        <v>1899999</v>
      </c>
      <c r="H8866">
        <v>401045</v>
      </c>
      <c r="I8866">
        <v>73</v>
      </c>
    </row>
    <row r="8867" spans="1:9" x14ac:dyDescent="0.25">
      <c r="A8867">
        <v>4240</v>
      </c>
      <c r="B8867">
        <v>18</v>
      </c>
      <c r="C8867" t="s">
        <v>946</v>
      </c>
      <c r="D8867" t="s">
        <v>1026</v>
      </c>
      <c r="E8867" t="s">
        <v>104</v>
      </c>
      <c r="F8867" t="s">
        <v>948</v>
      </c>
      <c r="G8867">
        <v>1877777</v>
      </c>
      <c r="H8867">
        <v>500221</v>
      </c>
      <c r="I8867" t="s">
        <v>949</v>
      </c>
    </row>
    <row r="8868" spans="1:9" x14ac:dyDescent="0.25">
      <c r="A8868">
        <v>4141</v>
      </c>
      <c r="B8868">
        <v>18</v>
      </c>
      <c r="C8868" t="s">
        <v>946</v>
      </c>
      <c r="D8868" t="s">
        <v>1026</v>
      </c>
      <c r="E8868" t="s">
        <v>278</v>
      </c>
      <c r="F8868" t="s">
        <v>948</v>
      </c>
      <c r="G8868">
        <v>1877777</v>
      </c>
      <c r="H8868">
        <v>501010</v>
      </c>
      <c r="I8868">
        <v>73</v>
      </c>
    </row>
    <row r="8869" spans="1:9" x14ac:dyDescent="0.25">
      <c r="A8869">
        <v>4220</v>
      </c>
      <c r="B8869">
        <v>18</v>
      </c>
      <c r="C8869" t="s">
        <v>946</v>
      </c>
      <c r="D8869" t="s">
        <v>1026</v>
      </c>
      <c r="E8869" t="s">
        <v>278</v>
      </c>
      <c r="F8869" t="s">
        <v>948</v>
      </c>
      <c r="G8869">
        <v>1877777</v>
      </c>
      <c r="H8869">
        <v>501010</v>
      </c>
      <c r="I8869">
        <v>73</v>
      </c>
    </row>
    <row r="8870" spans="1:9" x14ac:dyDescent="0.25">
      <c r="A8870">
        <v>4230</v>
      </c>
      <c r="B8870">
        <v>18</v>
      </c>
      <c r="C8870" t="s">
        <v>946</v>
      </c>
      <c r="D8870" t="s">
        <v>1026</v>
      </c>
      <c r="E8870" t="s">
        <v>278</v>
      </c>
      <c r="F8870" t="s">
        <v>948</v>
      </c>
      <c r="G8870">
        <v>1899999</v>
      </c>
      <c r="H8870">
        <v>401055</v>
      </c>
      <c r="I8870">
        <v>73</v>
      </c>
    </row>
    <row r="8871" spans="1:9" x14ac:dyDescent="0.25">
      <c r="A8871">
        <v>4240</v>
      </c>
      <c r="B8871">
        <v>18</v>
      </c>
      <c r="C8871" t="s">
        <v>946</v>
      </c>
      <c r="D8871" t="s">
        <v>1026</v>
      </c>
      <c r="E8871" t="s">
        <v>278</v>
      </c>
      <c r="F8871" t="s">
        <v>948</v>
      </c>
      <c r="G8871">
        <v>1800000</v>
      </c>
      <c r="H8871">
        <v>145000</v>
      </c>
      <c r="I8871" t="s">
        <v>949</v>
      </c>
    </row>
    <row r="8872" spans="1:9" x14ac:dyDescent="0.25">
      <c r="A8872">
        <v>4141</v>
      </c>
      <c r="B8872">
        <v>18</v>
      </c>
      <c r="C8872" t="s">
        <v>946</v>
      </c>
      <c r="D8872" t="s">
        <v>1026</v>
      </c>
      <c r="E8872" t="s">
        <v>282</v>
      </c>
      <c r="F8872" t="s">
        <v>948</v>
      </c>
      <c r="G8872">
        <v>1877777</v>
      </c>
      <c r="H8872">
        <v>501010</v>
      </c>
      <c r="I8872">
        <v>73</v>
      </c>
    </row>
    <row r="8873" spans="1:9" x14ac:dyDescent="0.25">
      <c r="A8873">
        <v>4220</v>
      </c>
      <c r="B8873">
        <v>18</v>
      </c>
      <c r="C8873" t="s">
        <v>946</v>
      </c>
      <c r="D8873" t="s">
        <v>1026</v>
      </c>
      <c r="E8873" t="s">
        <v>282</v>
      </c>
      <c r="F8873" t="s">
        <v>948</v>
      </c>
      <c r="G8873">
        <v>1877777</v>
      </c>
      <c r="H8873">
        <v>501010</v>
      </c>
      <c r="I8873">
        <v>73</v>
      </c>
    </row>
    <row r="8874" spans="1:9" x14ac:dyDescent="0.25">
      <c r="A8874">
        <v>4230</v>
      </c>
      <c r="B8874">
        <v>18</v>
      </c>
      <c r="C8874" t="s">
        <v>946</v>
      </c>
      <c r="D8874" t="s">
        <v>1026</v>
      </c>
      <c r="E8874" t="s">
        <v>282</v>
      </c>
      <c r="F8874" t="s">
        <v>948</v>
      </c>
      <c r="G8874">
        <v>1899999</v>
      </c>
      <c r="H8874">
        <v>401045</v>
      </c>
      <c r="I8874">
        <v>73</v>
      </c>
    </row>
    <row r="8875" spans="1:9" x14ac:dyDescent="0.25">
      <c r="A8875">
        <v>4240</v>
      </c>
      <c r="B8875">
        <v>18</v>
      </c>
      <c r="C8875" t="s">
        <v>946</v>
      </c>
      <c r="D8875" t="s">
        <v>1026</v>
      </c>
      <c r="E8875" t="s">
        <v>282</v>
      </c>
      <c r="F8875" t="s">
        <v>948</v>
      </c>
      <c r="G8875">
        <v>1800000</v>
      </c>
      <c r="H8875">
        <v>143100</v>
      </c>
      <c r="I8875" t="s">
        <v>949</v>
      </c>
    </row>
    <row r="8876" spans="1:9" x14ac:dyDescent="0.25">
      <c r="A8876">
        <v>4141</v>
      </c>
      <c r="B8876">
        <v>18</v>
      </c>
      <c r="C8876" t="s">
        <v>946</v>
      </c>
      <c r="D8876" t="s">
        <v>1026</v>
      </c>
      <c r="E8876" t="s">
        <v>286</v>
      </c>
      <c r="F8876" t="s">
        <v>948</v>
      </c>
      <c r="G8876">
        <v>1877777</v>
      </c>
      <c r="H8876">
        <v>501010</v>
      </c>
      <c r="I8876">
        <v>73</v>
      </c>
    </row>
    <row r="8877" spans="1:9" x14ac:dyDescent="0.25">
      <c r="A8877">
        <v>4220</v>
      </c>
      <c r="B8877">
        <v>18</v>
      </c>
      <c r="C8877" t="s">
        <v>946</v>
      </c>
      <c r="D8877" t="s">
        <v>1026</v>
      </c>
      <c r="E8877" t="s">
        <v>286</v>
      </c>
      <c r="F8877" t="s">
        <v>948</v>
      </c>
      <c r="G8877">
        <v>1877777</v>
      </c>
      <c r="H8877">
        <v>501010</v>
      </c>
      <c r="I8877">
        <v>73</v>
      </c>
    </row>
    <row r="8878" spans="1:9" x14ac:dyDescent="0.25">
      <c r="A8878">
        <v>4230</v>
      </c>
      <c r="B8878">
        <v>18</v>
      </c>
      <c r="C8878" t="s">
        <v>946</v>
      </c>
      <c r="D8878" t="s">
        <v>1026</v>
      </c>
      <c r="E8878" t="s">
        <v>286</v>
      </c>
      <c r="F8878" t="s">
        <v>948</v>
      </c>
      <c r="G8878">
        <v>1899999</v>
      </c>
      <c r="H8878">
        <v>401035</v>
      </c>
      <c r="I8878">
        <v>73</v>
      </c>
    </row>
    <row r="8879" spans="1:9" x14ac:dyDescent="0.25">
      <c r="A8879">
        <v>4240</v>
      </c>
      <c r="B8879">
        <v>18</v>
      </c>
      <c r="C8879" t="s">
        <v>946</v>
      </c>
      <c r="D8879" t="s">
        <v>1026</v>
      </c>
      <c r="E8879" t="s">
        <v>286</v>
      </c>
      <c r="F8879" t="s">
        <v>948</v>
      </c>
      <c r="G8879">
        <v>1800000</v>
      </c>
      <c r="H8879">
        <v>145000</v>
      </c>
      <c r="I8879" t="s">
        <v>949</v>
      </c>
    </row>
    <row r="8880" spans="1:9" x14ac:dyDescent="0.25">
      <c r="A8880">
        <v>4141</v>
      </c>
      <c r="B8880">
        <v>18</v>
      </c>
      <c r="C8880" t="s">
        <v>946</v>
      </c>
      <c r="D8880" t="s">
        <v>1026</v>
      </c>
      <c r="E8880" t="s">
        <v>976</v>
      </c>
      <c r="F8880" t="s">
        <v>948</v>
      </c>
      <c r="G8880">
        <v>1877777</v>
      </c>
      <c r="H8880">
        <v>501010</v>
      </c>
      <c r="I8880">
        <v>73</v>
      </c>
    </row>
    <row r="8881" spans="1:9" x14ac:dyDescent="0.25">
      <c r="A8881">
        <v>4220</v>
      </c>
      <c r="B8881">
        <v>18</v>
      </c>
      <c r="C8881" t="s">
        <v>946</v>
      </c>
      <c r="D8881" t="s">
        <v>1026</v>
      </c>
      <c r="E8881" t="s">
        <v>976</v>
      </c>
      <c r="F8881" t="s">
        <v>948</v>
      </c>
      <c r="G8881">
        <v>1877777</v>
      </c>
      <c r="H8881">
        <v>501010</v>
      </c>
      <c r="I8881">
        <v>73</v>
      </c>
    </row>
    <row r="8882" spans="1:9" x14ac:dyDescent="0.25">
      <c r="A8882">
        <v>4230</v>
      </c>
      <c r="B8882">
        <v>18</v>
      </c>
      <c r="C8882" t="s">
        <v>946</v>
      </c>
      <c r="D8882" t="s">
        <v>1026</v>
      </c>
      <c r="E8882" t="s">
        <v>976</v>
      </c>
      <c r="F8882" t="s">
        <v>948</v>
      </c>
      <c r="G8882">
        <v>1899999</v>
      </c>
      <c r="H8882">
        <v>401915</v>
      </c>
      <c r="I8882">
        <v>73</v>
      </c>
    </row>
    <row r="8883" spans="1:9" x14ac:dyDescent="0.25">
      <c r="A8883">
        <v>4240</v>
      </c>
      <c r="B8883">
        <v>18</v>
      </c>
      <c r="C8883" t="s">
        <v>946</v>
      </c>
      <c r="D8883" t="s">
        <v>1026</v>
      </c>
      <c r="E8883" t="s">
        <v>976</v>
      </c>
      <c r="F8883" t="s">
        <v>948</v>
      </c>
      <c r="G8883">
        <v>1800000</v>
      </c>
      <c r="H8883">
        <v>141000</v>
      </c>
      <c r="I8883" t="s">
        <v>977</v>
      </c>
    </row>
    <row r="8884" spans="1:9" x14ac:dyDescent="0.25">
      <c r="A8884">
        <v>4141</v>
      </c>
      <c r="B8884">
        <v>18</v>
      </c>
      <c r="C8884" t="s">
        <v>946</v>
      </c>
      <c r="D8884" t="s">
        <v>1026</v>
      </c>
      <c r="E8884" t="s">
        <v>290</v>
      </c>
      <c r="F8884" t="s">
        <v>948</v>
      </c>
      <c r="G8884">
        <v>1877777</v>
      </c>
      <c r="H8884">
        <v>501010</v>
      </c>
      <c r="I8884">
        <v>73</v>
      </c>
    </row>
    <row r="8885" spans="1:9" x14ac:dyDescent="0.25">
      <c r="A8885">
        <v>4220</v>
      </c>
      <c r="B8885">
        <v>18</v>
      </c>
      <c r="C8885" t="s">
        <v>946</v>
      </c>
      <c r="D8885" t="s">
        <v>1026</v>
      </c>
      <c r="E8885" t="s">
        <v>290</v>
      </c>
      <c r="F8885" t="s">
        <v>948</v>
      </c>
      <c r="G8885">
        <v>1877777</v>
      </c>
      <c r="H8885">
        <v>501010</v>
      </c>
      <c r="I8885">
        <v>73</v>
      </c>
    </row>
    <row r="8886" spans="1:9" x14ac:dyDescent="0.25">
      <c r="A8886">
        <v>4230</v>
      </c>
      <c r="B8886">
        <v>18</v>
      </c>
      <c r="C8886" t="s">
        <v>946</v>
      </c>
      <c r="D8886" t="s">
        <v>1026</v>
      </c>
      <c r="E8886" t="s">
        <v>290</v>
      </c>
      <c r="F8886" t="s">
        <v>948</v>
      </c>
      <c r="G8886">
        <v>1899999</v>
      </c>
      <c r="H8886">
        <v>401045</v>
      </c>
      <c r="I8886">
        <v>73</v>
      </c>
    </row>
    <row r="8887" spans="1:9" x14ac:dyDescent="0.25">
      <c r="A8887">
        <v>4240</v>
      </c>
      <c r="B8887">
        <v>18</v>
      </c>
      <c r="C8887" t="s">
        <v>946</v>
      </c>
      <c r="D8887" t="s">
        <v>1026</v>
      </c>
      <c r="E8887" t="s">
        <v>290</v>
      </c>
      <c r="F8887" t="s">
        <v>948</v>
      </c>
      <c r="G8887">
        <v>1800000</v>
      </c>
      <c r="H8887">
        <v>143000</v>
      </c>
      <c r="I8887" t="s">
        <v>978</v>
      </c>
    </row>
    <row r="8888" spans="1:9" x14ac:dyDescent="0.25">
      <c r="A8888">
        <v>4141</v>
      </c>
      <c r="B8888">
        <v>18</v>
      </c>
      <c r="C8888" t="s">
        <v>946</v>
      </c>
      <c r="D8888" t="s">
        <v>1026</v>
      </c>
      <c r="E8888" t="s">
        <v>294</v>
      </c>
      <c r="F8888" t="s">
        <v>948</v>
      </c>
      <c r="G8888">
        <v>1877777</v>
      </c>
      <c r="H8888">
        <v>501010</v>
      </c>
      <c r="I8888">
        <v>73</v>
      </c>
    </row>
    <row r="8889" spans="1:9" x14ac:dyDescent="0.25">
      <c r="A8889">
        <v>4220</v>
      </c>
      <c r="B8889">
        <v>18</v>
      </c>
      <c r="C8889" t="s">
        <v>946</v>
      </c>
      <c r="D8889" t="s">
        <v>1026</v>
      </c>
      <c r="E8889" t="s">
        <v>294</v>
      </c>
      <c r="F8889" t="s">
        <v>948</v>
      </c>
      <c r="G8889">
        <v>1877777</v>
      </c>
      <c r="H8889">
        <v>501010</v>
      </c>
      <c r="I8889">
        <v>73</v>
      </c>
    </row>
    <row r="8890" spans="1:9" x14ac:dyDescent="0.25">
      <c r="A8890">
        <v>4230</v>
      </c>
      <c r="B8890">
        <v>18</v>
      </c>
      <c r="C8890" t="s">
        <v>946</v>
      </c>
      <c r="D8890" t="s">
        <v>1026</v>
      </c>
      <c r="E8890" t="s">
        <v>294</v>
      </c>
      <c r="F8890" t="s">
        <v>948</v>
      </c>
      <c r="G8890">
        <v>1899999</v>
      </c>
      <c r="H8890">
        <v>401045</v>
      </c>
      <c r="I8890">
        <v>73</v>
      </c>
    </row>
    <row r="8891" spans="1:9" x14ac:dyDescent="0.25">
      <c r="A8891">
        <v>4240</v>
      </c>
      <c r="B8891">
        <v>18</v>
      </c>
      <c r="C8891" t="s">
        <v>946</v>
      </c>
      <c r="D8891" t="s">
        <v>1026</v>
      </c>
      <c r="E8891" t="s">
        <v>294</v>
      </c>
      <c r="F8891" t="s">
        <v>948</v>
      </c>
      <c r="G8891">
        <v>1800000</v>
      </c>
      <c r="H8891">
        <v>143000</v>
      </c>
      <c r="I8891" t="s">
        <v>979</v>
      </c>
    </row>
    <row r="8892" spans="1:9" x14ac:dyDescent="0.25">
      <c r="A8892">
        <v>4230</v>
      </c>
      <c r="B8892">
        <v>18</v>
      </c>
      <c r="C8892" t="s">
        <v>946</v>
      </c>
      <c r="D8892" t="s">
        <v>1026</v>
      </c>
      <c r="E8892" t="s">
        <v>298</v>
      </c>
      <c r="F8892" t="s">
        <v>948</v>
      </c>
      <c r="G8892">
        <v>1899999</v>
      </c>
      <c r="H8892">
        <v>402085</v>
      </c>
      <c r="I8892">
        <v>73</v>
      </c>
    </row>
    <row r="8893" spans="1:9" x14ac:dyDescent="0.25">
      <c r="A8893">
        <v>4141</v>
      </c>
      <c r="B8893">
        <v>18</v>
      </c>
      <c r="C8893" t="s">
        <v>946</v>
      </c>
      <c r="D8893" t="s">
        <v>1026</v>
      </c>
      <c r="E8893" t="s">
        <v>980</v>
      </c>
      <c r="F8893" t="s">
        <v>948</v>
      </c>
      <c r="G8893">
        <v>1877777</v>
      </c>
      <c r="H8893">
        <v>501010</v>
      </c>
      <c r="I8893">
        <v>73</v>
      </c>
    </row>
    <row r="8894" spans="1:9" x14ac:dyDescent="0.25">
      <c r="A8894">
        <v>4220</v>
      </c>
      <c r="B8894">
        <v>18</v>
      </c>
      <c r="C8894" t="s">
        <v>946</v>
      </c>
      <c r="D8894" t="s">
        <v>1026</v>
      </c>
      <c r="E8894" t="s">
        <v>980</v>
      </c>
      <c r="F8894" t="s">
        <v>948</v>
      </c>
      <c r="G8894">
        <v>1877777</v>
      </c>
      <c r="H8894">
        <v>501010</v>
      </c>
      <c r="I8894">
        <v>73</v>
      </c>
    </row>
    <row r="8895" spans="1:9" x14ac:dyDescent="0.25">
      <c r="A8895">
        <v>4230</v>
      </c>
      <c r="B8895">
        <v>18</v>
      </c>
      <c r="C8895" t="s">
        <v>946</v>
      </c>
      <c r="D8895" t="s">
        <v>1026</v>
      </c>
      <c r="E8895" t="s">
        <v>980</v>
      </c>
      <c r="F8895" t="s">
        <v>948</v>
      </c>
      <c r="G8895">
        <v>1899999</v>
      </c>
      <c r="H8895">
        <v>401915</v>
      </c>
      <c r="I8895">
        <v>73</v>
      </c>
    </row>
    <row r="8896" spans="1:9" x14ac:dyDescent="0.25">
      <c r="A8896">
        <v>4240</v>
      </c>
      <c r="B8896">
        <v>18</v>
      </c>
      <c r="C8896" t="s">
        <v>946</v>
      </c>
      <c r="D8896" t="s">
        <v>1026</v>
      </c>
      <c r="E8896" t="s">
        <v>980</v>
      </c>
      <c r="F8896" t="s">
        <v>948</v>
      </c>
      <c r="G8896">
        <v>1800000</v>
      </c>
      <c r="H8896">
        <v>141000</v>
      </c>
      <c r="I8896" t="s">
        <v>981</v>
      </c>
    </row>
    <row r="8897" spans="1:9" x14ac:dyDescent="0.25">
      <c r="A8897">
        <v>4141</v>
      </c>
      <c r="B8897">
        <v>18</v>
      </c>
      <c r="C8897" t="s">
        <v>946</v>
      </c>
      <c r="D8897" t="s">
        <v>1026</v>
      </c>
      <c r="E8897" t="s">
        <v>302</v>
      </c>
      <c r="F8897" t="s">
        <v>948</v>
      </c>
      <c r="G8897">
        <v>1877777</v>
      </c>
      <c r="H8897">
        <v>501010</v>
      </c>
      <c r="I8897">
        <v>73</v>
      </c>
    </row>
    <row r="8898" spans="1:9" x14ac:dyDescent="0.25">
      <c r="A8898">
        <v>4220</v>
      </c>
      <c r="B8898">
        <v>18</v>
      </c>
      <c r="C8898" t="s">
        <v>946</v>
      </c>
      <c r="D8898" t="s">
        <v>1026</v>
      </c>
      <c r="E8898" t="s">
        <v>302</v>
      </c>
      <c r="F8898" t="s">
        <v>948</v>
      </c>
      <c r="G8898">
        <v>1877777</v>
      </c>
      <c r="H8898">
        <v>501010</v>
      </c>
      <c r="I8898">
        <v>73</v>
      </c>
    </row>
    <row r="8899" spans="1:9" x14ac:dyDescent="0.25">
      <c r="A8899">
        <v>4230</v>
      </c>
      <c r="B8899">
        <v>18</v>
      </c>
      <c r="C8899" t="s">
        <v>946</v>
      </c>
      <c r="D8899" t="s">
        <v>1026</v>
      </c>
      <c r="E8899" t="s">
        <v>302</v>
      </c>
      <c r="F8899" t="s">
        <v>948</v>
      </c>
      <c r="G8899">
        <v>1899999</v>
      </c>
      <c r="H8899">
        <v>401905</v>
      </c>
      <c r="I8899">
        <v>73</v>
      </c>
    </row>
    <row r="8900" spans="1:9" x14ac:dyDescent="0.25">
      <c r="A8900">
        <v>4240</v>
      </c>
      <c r="B8900">
        <v>18</v>
      </c>
      <c r="C8900" t="s">
        <v>946</v>
      </c>
      <c r="D8900" t="s">
        <v>1026</v>
      </c>
      <c r="E8900" t="s">
        <v>302</v>
      </c>
      <c r="F8900" t="s">
        <v>948</v>
      </c>
      <c r="G8900">
        <v>1800000</v>
      </c>
      <c r="H8900">
        <v>143000</v>
      </c>
      <c r="I8900" t="s">
        <v>982</v>
      </c>
    </row>
    <row r="8901" spans="1:9" x14ac:dyDescent="0.25">
      <c r="A8901">
        <v>4141</v>
      </c>
      <c r="B8901">
        <v>18</v>
      </c>
      <c r="C8901" t="s">
        <v>946</v>
      </c>
      <c r="D8901" t="s">
        <v>1026</v>
      </c>
      <c r="E8901" t="s">
        <v>306</v>
      </c>
      <c r="F8901" t="s">
        <v>948</v>
      </c>
      <c r="G8901">
        <v>1877777</v>
      </c>
      <c r="H8901">
        <v>501010</v>
      </c>
      <c r="I8901">
        <v>73</v>
      </c>
    </row>
    <row r="8902" spans="1:9" x14ac:dyDescent="0.25">
      <c r="A8902">
        <v>4220</v>
      </c>
      <c r="B8902">
        <v>18</v>
      </c>
      <c r="C8902" t="s">
        <v>946</v>
      </c>
      <c r="D8902" t="s">
        <v>1026</v>
      </c>
      <c r="E8902" t="s">
        <v>306</v>
      </c>
      <c r="F8902" t="s">
        <v>948</v>
      </c>
      <c r="G8902">
        <v>1877777</v>
      </c>
      <c r="H8902">
        <v>501010</v>
      </c>
      <c r="I8902">
        <v>73</v>
      </c>
    </row>
    <row r="8903" spans="1:9" x14ac:dyDescent="0.25">
      <c r="A8903">
        <v>4230</v>
      </c>
      <c r="B8903">
        <v>18</v>
      </c>
      <c r="C8903" t="s">
        <v>946</v>
      </c>
      <c r="D8903" t="s">
        <v>1026</v>
      </c>
      <c r="E8903" t="s">
        <v>306</v>
      </c>
      <c r="F8903" t="s">
        <v>948</v>
      </c>
      <c r="G8903">
        <v>1899999</v>
      </c>
      <c r="H8903">
        <v>401045</v>
      </c>
      <c r="I8903">
        <v>73</v>
      </c>
    </row>
    <row r="8904" spans="1:9" x14ac:dyDescent="0.25">
      <c r="A8904">
        <v>4240</v>
      </c>
      <c r="B8904">
        <v>18</v>
      </c>
      <c r="C8904" t="s">
        <v>946</v>
      </c>
      <c r="D8904" t="s">
        <v>1026</v>
      </c>
      <c r="E8904" t="s">
        <v>306</v>
      </c>
      <c r="F8904" t="s">
        <v>948</v>
      </c>
      <c r="G8904">
        <v>1800000</v>
      </c>
      <c r="H8904">
        <v>143000</v>
      </c>
      <c r="I8904" t="s">
        <v>983</v>
      </c>
    </row>
    <row r="8905" spans="1:9" x14ac:dyDescent="0.25">
      <c r="A8905">
        <v>4141</v>
      </c>
      <c r="B8905">
        <v>18</v>
      </c>
      <c r="C8905" t="s">
        <v>946</v>
      </c>
      <c r="D8905" t="s">
        <v>1026</v>
      </c>
      <c r="E8905" t="s">
        <v>108</v>
      </c>
      <c r="F8905" t="s">
        <v>948</v>
      </c>
      <c r="G8905">
        <v>1877777</v>
      </c>
      <c r="H8905">
        <v>500220</v>
      </c>
      <c r="I8905" t="s">
        <v>949</v>
      </c>
    </row>
    <row r="8906" spans="1:9" x14ac:dyDescent="0.25">
      <c r="A8906">
        <v>4220</v>
      </c>
      <c r="B8906">
        <v>18</v>
      </c>
      <c r="C8906" t="s">
        <v>946</v>
      </c>
      <c r="D8906" t="s">
        <v>1026</v>
      </c>
      <c r="E8906" t="s">
        <v>108</v>
      </c>
      <c r="F8906" t="s">
        <v>948</v>
      </c>
      <c r="G8906">
        <v>1877777</v>
      </c>
      <c r="H8906">
        <v>500220</v>
      </c>
      <c r="I8906" t="s">
        <v>949</v>
      </c>
    </row>
    <row r="8907" spans="1:9" x14ac:dyDescent="0.25">
      <c r="A8907">
        <v>4230</v>
      </c>
      <c r="B8907">
        <v>18</v>
      </c>
      <c r="C8907" t="s">
        <v>946</v>
      </c>
      <c r="D8907" t="s">
        <v>1026</v>
      </c>
      <c r="E8907" t="s">
        <v>108</v>
      </c>
      <c r="F8907" t="s">
        <v>948</v>
      </c>
      <c r="G8907">
        <v>1899999</v>
      </c>
      <c r="H8907">
        <v>401045</v>
      </c>
      <c r="I8907">
        <v>73</v>
      </c>
    </row>
    <row r="8908" spans="1:9" x14ac:dyDescent="0.25">
      <c r="A8908">
        <v>4240</v>
      </c>
      <c r="B8908">
        <v>18</v>
      </c>
      <c r="C8908" t="s">
        <v>946</v>
      </c>
      <c r="D8908" t="s">
        <v>1026</v>
      </c>
      <c r="E8908" t="s">
        <v>108</v>
      </c>
      <c r="F8908" t="s">
        <v>948</v>
      </c>
      <c r="G8908">
        <v>1877777</v>
      </c>
      <c r="H8908">
        <v>500221</v>
      </c>
      <c r="I8908" t="s">
        <v>949</v>
      </c>
    </row>
    <row r="8909" spans="1:9" x14ac:dyDescent="0.25">
      <c r="A8909">
        <v>4141</v>
      </c>
      <c r="B8909">
        <v>18</v>
      </c>
      <c r="C8909" t="s">
        <v>946</v>
      </c>
      <c r="D8909" t="s">
        <v>1026</v>
      </c>
      <c r="E8909" t="s">
        <v>310</v>
      </c>
      <c r="F8909" t="s">
        <v>948</v>
      </c>
      <c r="G8909">
        <v>1877777</v>
      </c>
      <c r="H8909">
        <v>501010</v>
      </c>
      <c r="I8909">
        <v>73</v>
      </c>
    </row>
    <row r="8910" spans="1:9" x14ac:dyDescent="0.25">
      <c r="A8910">
        <v>4220</v>
      </c>
      <c r="B8910">
        <v>18</v>
      </c>
      <c r="C8910" t="s">
        <v>946</v>
      </c>
      <c r="D8910" t="s">
        <v>1026</v>
      </c>
      <c r="E8910" t="s">
        <v>310</v>
      </c>
      <c r="F8910" t="s">
        <v>948</v>
      </c>
      <c r="G8910">
        <v>1877777</v>
      </c>
      <c r="H8910">
        <v>501010</v>
      </c>
      <c r="I8910">
        <v>73</v>
      </c>
    </row>
    <row r="8911" spans="1:9" x14ac:dyDescent="0.25">
      <c r="A8911">
        <v>4230</v>
      </c>
      <c r="B8911">
        <v>18</v>
      </c>
      <c r="C8911" t="s">
        <v>946</v>
      </c>
      <c r="D8911" t="s">
        <v>1026</v>
      </c>
      <c r="E8911" t="s">
        <v>310</v>
      </c>
      <c r="F8911" t="s">
        <v>948</v>
      </c>
      <c r="G8911">
        <v>1899999</v>
      </c>
      <c r="H8911">
        <v>401015</v>
      </c>
      <c r="I8911">
        <v>73</v>
      </c>
    </row>
    <row r="8912" spans="1:9" x14ac:dyDescent="0.25">
      <c r="A8912">
        <v>4240</v>
      </c>
      <c r="B8912">
        <v>18</v>
      </c>
      <c r="C8912" t="s">
        <v>946</v>
      </c>
      <c r="D8912" t="s">
        <v>1026</v>
      </c>
      <c r="E8912" t="s">
        <v>310</v>
      </c>
      <c r="F8912" t="s">
        <v>948</v>
      </c>
      <c r="G8912">
        <v>1800000</v>
      </c>
      <c r="H8912">
        <v>145000</v>
      </c>
      <c r="I8912" t="s">
        <v>949</v>
      </c>
    </row>
    <row r="8913" spans="1:9" x14ac:dyDescent="0.25">
      <c r="A8913">
        <v>4141</v>
      </c>
      <c r="B8913">
        <v>18</v>
      </c>
      <c r="C8913" t="s">
        <v>946</v>
      </c>
      <c r="D8913" t="s">
        <v>1026</v>
      </c>
      <c r="E8913" t="s">
        <v>314</v>
      </c>
      <c r="F8913" t="s">
        <v>948</v>
      </c>
      <c r="G8913">
        <v>1877777</v>
      </c>
      <c r="H8913">
        <v>501010</v>
      </c>
      <c r="I8913">
        <v>73</v>
      </c>
    </row>
    <row r="8914" spans="1:9" x14ac:dyDescent="0.25">
      <c r="A8914">
        <v>4220</v>
      </c>
      <c r="B8914">
        <v>18</v>
      </c>
      <c r="C8914" t="s">
        <v>946</v>
      </c>
      <c r="D8914" t="s">
        <v>1026</v>
      </c>
      <c r="E8914" t="s">
        <v>314</v>
      </c>
      <c r="F8914" t="s">
        <v>948</v>
      </c>
      <c r="G8914">
        <v>1877777</v>
      </c>
      <c r="H8914">
        <v>501010</v>
      </c>
      <c r="I8914">
        <v>73</v>
      </c>
    </row>
    <row r="8915" spans="1:9" x14ac:dyDescent="0.25">
      <c r="A8915">
        <v>4230</v>
      </c>
      <c r="B8915">
        <v>18</v>
      </c>
      <c r="C8915" t="s">
        <v>946</v>
      </c>
      <c r="D8915" t="s">
        <v>1026</v>
      </c>
      <c r="E8915" t="s">
        <v>314</v>
      </c>
      <c r="F8915" t="s">
        <v>948</v>
      </c>
      <c r="G8915">
        <v>1899999</v>
      </c>
      <c r="H8915">
        <v>401065</v>
      </c>
      <c r="I8915">
        <v>73</v>
      </c>
    </row>
    <row r="8916" spans="1:9" x14ac:dyDescent="0.25">
      <c r="A8916">
        <v>4240</v>
      </c>
      <c r="B8916">
        <v>18</v>
      </c>
      <c r="C8916" t="s">
        <v>946</v>
      </c>
      <c r="D8916" t="s">
        <v>1026</v>
      </c>
      <c r="E8916" t="s">
        <v>314</v>
      </c>
      <c r="F8916" t="s">
        <v>948</v>
      </c>
      <c r="G8916">
        <v>1800000</v>
      </c>
      <c r="H8916">
        <v>145000</v>
      </c>
      <c r="I8916" t="s">
        <v>949</v>
      </c>
    </row>
    <row r="8917" spans="1:9" x14ac:dyDescent="0.25">
      <c r="A8917">
        <v>4141</v>
      </c>
      <c r="B8917">
        <v>18</v>
      </c>
      <c r="C8917" t="s">
        <v>946</v>
      </c>
      <c r="D8917" t="s">
        <v>1026</v>
      </c>
      <c r="E8917" t="s">
        <v>113</v>
      </c>
      <c r="F8917" t="s">
        <v>948</v>
      </c>
      <c r="G8917">
        <v>1877777</v>
      </c>
      <c r="H8917">
        <v>500220</v>
      </c>
      <c r="I8917" t="s">
        <v>949</v>
      </c>
    </row>
    <row r="8918" spans="1:9" x14ac:dyDescent="0.25">
      <c r="A8918">
        <v>4220</v>
      </c>
      <c r="B8918">
        <v>18</v>
      </c>
      <c r="C8918" t="s">
        <v>946</v>
      </c>
      <c r="D8918" t="s">
        <v>1026</v>
      </c>
      <c r="E8918" t="s">
        <v>113</v>
      </c>
      <c r="F8918" t="s">
        <v>948</v>
      </c>
      <c r="G8918">
        <v>1877777</v>
      </c>
      <c r="H8918">
        <v>500220</v>
      </c>
      <c r="I8918" t="s">
        <v>949</v>
      </c>
    </row>
    <row r="8919" spans="1:9" x14ac:dyDescent="0.25">
      <c r="A8919">
        <v>4230</v>
      </c>
      <c r="B8919">
        <v>18</v>
      </c>
      <c r="C8919" t="s">
        <v>946</v>
      </c>
      <c r="D8919" t="s">
        <v>1026</v>
      </c>
      <c r="E8919" t="s">
        <v>113</v>
      </c>
      <c r="F8919" t="s">
        <v>948</v>
      </c>
      <c r="G8919">
        <v>1899999</v>
      </c>
      <c r="H8919">
        <v>402085</v>
      </c>
      <c r="I8919">
        <v>73</v>
      </c>
    </row>
    <row r="8920" spans="1:9" x14ac:dyDescent="0.25">
      <c r="A8920">
        <v>4240</v>
      </c>
      <c r="B8920">
        <v>18</v>
      </c>
      <c r="C8920" t="s">
        <v>946</v>
      </c>
      <c r="D8920" t="s">
        <v>1026</v>
      </c>
      <c r="E8920" t="s">
        <v>113</v>
      </c>
      <c r="F8920" t="s">
        <v>948</v>
      </c>
      <c r="G8920">
        <v>1877777</v>
      </c>
      <c r="H8920">
        <v>500221</v>
      </c>
      <c r="I8920" t="s">
        <v>949</v>
      </c>
    </row>
    <row r="8921" spans="1:9" x14ac:dyDescent="0.25">
      <c r="A8921">
        <v>4141</v>
      </c>
      <c r="B8921">
        <v>18</v>
      </c>
      <c r="C8921" t="s">
        <v>946</v>
      </c>
      <c r="D8921" t="s">
        <v>1026</v>
      </c>
      <c r="E8921" t="s">
        <v>117</v>
      </c>
      <c r="F8921" t="s">
        <v>948</v>
      </c>
      <c r="G8921">
        <v>1877777</v>
      </c>
      <c r="H8921">
        <v>500220</v>
      </c>
      <c r="I8921" t="s">
        <v>949</v>
      </c>
    </row>
    <row r="8922" spans="1:9" x14ac:dyDescent="0.25">
      <c r="A8922">
        <v>4220</v>
      </c>
      <c r="B8922">
        <v>18</v>
      </c>
      <c r="C8922" t="s">
        <v>946</v>
      </c>
      <c r="D8922" t="s">
        <v>1026</v>
      </c>
      <c r="E8922" t="s">
        <v>117</v>
      </c>
      <c r="F8922" t="s">
        <v>948</v>
      </c>
      <c r="G8922">
        <v>1877777</v>
      </c>
      <c r="H8922">
        <v>500220</v>
      </c>
      <c r="I8922" t="s">
        <v>949</v>
      </c>
    </row>
    <row r="8923" spans="1:9" x14ac:dyDescent="0.25">
      <c r="A8923">
        <v>4230</v>
      </c>
      <c r="B8923">
        <v>18</v>
      </c>
      <c r="C8923" t="s">
        <v>946</v>
      </c>
      <c r="D8923" t="s">
        <v>1026</v>
      </c>
      <c r="E8923" t="s">
        <v>117</v>
      </c>
      <c r="F8923" t="s">
        <v>948</v>
      </c>
      <c r="G8923">
        <v>1888888</v>
      </c>
      <c r="H8923">
        <v>810600</v>
      </c>
      <c r="I8923">
        <v>73</v>
      </c>
    </row>
    <row r="8924" spans="1:9" x14ac:dyDescent="0.25">
      <c r="A8924">
        <v>4240</v>
      </c>
      <c r="B8924">
        <v>18</v>
      </c>
      <c r="C8924" t="s">
        <v>946</v>
      </c>
      <c r="D8924" t="s">
        <v>1026</v>
      </c>
      <c r="E8924" t="s">
        <v>117</v>
      </c>
      <c r="F8924" t="s">
        <v>948</v>
      </c>
      <c r="G8924">
        <v>1877777</v>
      </c>
      <c r="H8924">
        <v>500221</v>
      </c>
      <c r="I8924" t="s">
        <v>949</v>
      </c>
    </row>
    <row r="8925" spans="1:9" x14ac:dyDescent="0.25">
      <c r="A8925">
        <v>4141</v>
      </c>
      <c r="B8925">
        <v>18</v>
      </c>
      <c r="C8925" t="s">
        <v>946</v>
      </c>
      <c r="D8925" t="s">
        <v>1026</v>
      </c>
      <c r="E8925" t="s">
        <v>121</v>
      </c>
      <c r="F8925" t="s">
        <v>948</v>
      </c>
      <c r="G8925">
        <v>1877777</v>
      </c>
      <c r="H8925">
        <v>500220</v>
      </c>
      <c r="I8925" t="s">
        <v>949</v>
      </c>
    </row>
    <row r="8926" spans="1:9" x14ac:dyDescent="0.25">
      <c r="A8926">
        <v>4220</v>
      </c>
      <c r="B8926">
        <v>18</v>
      </c>
      <c r="C8926" t="s">
        <v>946</v>
      </c>
      <c r="D8926" t="s">
        <v>1026</v>
      </c>
      <c r="E8926" t="s">
        <v>121</v>
      </c>
      <c r="F8926" t="s">
        <v>948</v>
      </c>
      <c r="G8926">
        <v>1877777</v>
      </c>
      <c r="H8926">
        <v>500220</v>
      </c>
      <c r="I8926" t="s">
        <v>949</v>
      </c>
    </row>
    <row r="8927" spans="1:9" x14ac:dyDescent="0.25">
      <c r="A8927">
        <v>4230</v>
      </c>
      <c r="B8927">
        <v>18</v>
      </c>
      <c r="C8927" t="s">
        <v>946</v>
      </c>
      <c r="D8927" t="s">
        <v>1026</v>
      </c>
      <c r="E8927" t="s">
        <v>121</v>
      </c>
      <c r="F8927" t="s">
        <v>948</v>
      </c>
      <c r="G8927">
        <v>1899999</v>
      </c>
      <c r="H8927">
        <v>401045</v>
      </c>
      <c r="I8927">
        <v>73</v>
      </c>
    </row>
    <row r="8928" spans="1:9" x14ac:dyDescent="0.25">
      <c r="A8928">
        <v>4240</v>
      </c>
      <c r="B8928">
        <v>18</v>
      </c>
      <c r="C8928" t="s">
        <v>946</v>
      </c>
      <c r="D8928" t="s">
        <v>1026</v>
      </c>
      <c r="E8928" t="s">
        <v>121</v>
      </c>
      <c r="F8928" t="s">
        <v>948</v>
      </c>
      <c r="G8928">
        <v>1877777</v>
      </c>
      <c r="H8928">
        <v>500221</v>
      </c>
      <c r="I8928" t="s">
        <v>949</v>
      </c>
    </row>
    <row r="8929" spans="1:9" x14ac:dyDescent="0.25">
      <c r="A8929">
        <v>4141</v>
      </c>
      <c r="B8929">
        <v>18</v>
      </c>
      <c r="C8929" t="s">
        <v>946</v>
      </c>
      <c r="D8929" t="s">
        <v>1026</v>
      </c>
      <c r="E8929" t="s">
        <v>984</v>
      </c>
      <c r="F8929" t="s">
        <v>948</v>
      </c>
      <c r="G8929">
        <v>1877777</v>
      </c>
      <c r="H8929">
        <v>501010</v>
      </c>
      <c r="I8929">
        <v>73</v>
      </c>
    </row>
    <row r="8930" spans="1:9" x14ac:dyDescent="0.25">
      <c r="A8930">
        <v>4220</v>
      </c>
      <c r="B8930">
        <v>18</v>
      </c>
      <c r="C8930" t="s">
        <v>946</v>
      </c>
      <c r="D8930" t="s">
        <v>1026</v>
      </c>
      <c r="E8930" t="s">
        <v>984</v>
      </c>
      <c r="F8930" t="s">
        <v>948</v>
      </c>
      <c r="G8930">
        <v>1877777</v>
      </c>
      <c r="H8930">
        <v>501010</v>
      </c>
      <c r="I8930">
        <v>73</v>
      </c>
    </row>
    <row r="8931" spans="1:9" x14ac:dyDescent="0.25">
      <c r="A8931">
        <v>4230</v>
      </c>
      <c r="B8931">
        <v>18</v>
      </c>
      <c r="C8931" t="s">
        <v>946</v>
      </c>
      <c r="D8931" t="s">
        <v>1026</v>
      </c>
      <c r="E8931" t="s">
        <v>984</v>
      </c>
      <c r="F8931" t="s">
        <v>948</v>
      </c>
      <c r="G8931">
        <v>1899999</v>
      </c>
      <c r="H8931">
        <v>401915</v>
      </c>
      <c r="I8931">
        <v>73</v>
      </c>
    </row>
    <row r="8932" spans="1:9" x14ac:dyDescent="0.25">
      <c r="A8932">
        <v>4240</v>
      </c>
      <c r="B8932">
        <v>18</v>
      </c>
      <c r="C8932" t="s">
        <v>946</v>
      </c>
      <c r="D8932" t="s">
        <v>1026</v>
      </c>
      <c r="E8932" t="s">
        <v>984</v>
      </c>
      <c r="F8932" t="s">
        <v>948</v>
      </c>
      <c r="G8932">
        <v>1800000</v>
      </c>
      <c r="H8932">
        <v>141000</v>
      </c>
      <c r="I8932" t="s">
        <v>985</v>
      </c>
    </row>
    <row r="8933" spans="1:9" x14ac:dyDescent="0.25">
      <c r="A8933">
        <v>4141</v>
      </c>
      <c r="B8933">
        <v>18</v>
      </c>
      <c r="C8933" t="s">
        <v>946</v>
      </c>
      <c r="D8933" t="s">
        <v>1027</v>
      </c>
      <c r="E8933" t="s">
        <v>243</v>
      </c>
      <c r="F8933" t="s">
        <v>948</v>
      </c>
      <c r="G8933">
        <v>1877777</v>
      </c>
      <c r="H8933">
        <v>501010</v>
      </c>
      <c r="I8933">
        <v>72</v>
      </c>
    </row>
    <row r="8934" spans="1:9" x14ac:dyDescent="0.25">
      <c r="A8934">
        <v>4220</v>
      </c>
      <c r="B8934">
        <v>18</v>
      </c>
      <c r="C8934" t="s">
        <v>946</v>
      </c>
      <c r="D8934" t="s">
        <v>1027</v>
      </c>
      <c r="E8934" t="s">
        <v>243</v>
      </c>
      <c r="F8934" t="s">
        <v>948</v>
      </c>
      <c r="G8934">
        <v>1877777</v>
      </c>
      <c r="H8934">
        <v>501010</v>
      </c>
      <c r="I8934">
        <v>72</v>
      </c>
    </row>
    <row r="8935" spans="1:9" x14ac:dyDescent="0.25">
      <c r="A8935">
        <v>4230</v>
      </c>
      <c r="B8935">
        <v>18</v>
      </c>
      <c r="C8935" t="s">
        <v>946</v>
      </c>
      <c r="D8935" t="s">
        <v>1027</v>
      </c>
      <c r="E8935" t="s">
        <v>243</v>
      </c>
      <c r="F8935" t="s">
        <v>948</v>
      </c>
      <c r="G8935">
        <v>1899999</v>
      </c>
      <c r="H8935">
        <v>401055</v>
      </c>
      <c r="I8935">
        <v>72</v>
      </c>
    </row>
    <row r="8936" spans="1:9" x14ac:dyDescent="0.25">
      <c r="A8936">
        <v>4240</v>
      </c>
      <c r="B8936">
        <v>18</v>
      </c>
      <c r="C8936" t="s">
        <v>946</v>
      </c>
      <c r="D8936" t="s">
        <v>1027</v>
      </c>
      <c r="E8936" t="s">
        <v>243</v>
      </c>
      <c r="F8936" t="s">
        <v>948</v>
      </c>
      <c r="G8936">
        <v>1800000</v>
      </c>
      <c r="H8936">
        <v>145000</v>
      </c>
      <c r="I8936" t="s">
        <v>949</v>
      </c>
    </row>
    <row r="8937" spans="1:9" x14ac:dyDescent="0.25">
      <c r="A8937">
        <v>4141</v>
      </c>
      <c r="B8937">
        <v>18</v>
      </c>
      <c r="C8937" t="s">
        <v>946</v>
      </c>
      <c r="D8937" t="s">
        <v>1027</v>
      </c>
      <c r="E8937" t="s">
        <v>247</v>
      </c>
      <c r="F8937" t="s">
        <v>948</v>
      </c>
      <c r="G8937">
        <v>1877777</v>
      </c>
      <c r="H8937">
        <v>501010</v>
      </c>
      <c r="I8937">
        <v>72</v>
      </c>
    </row>
    <row r="8938" spans="1:9" x14ac:dyDescent="0.25">
      <c r="A8938">
        <v>4220</v>
      </c>
      <c r="B8938">
        <v>18</v>
      </c>
      <c r="C8938" t="s">
        <v>946</v>
      </c>
      <c r="D8938" t="s">
        <v>1027</v>
      </c>
      <c r="E8938" t="s">
        <v>247</v>
      </c>
      <c r="F8938" t="s">
        <v>948</v>
      </c>
      <c r="G8938">
        <v>1877777</v>
      </c>
      <c r="H8938">
        <v>501010</v>
      </c>
      <c r="I8938">
        <v>72</v>
      </c>
    </row>
    <row r="8939" spans="1:9" x14ac:dyDescent="0.25">
      <c r="A8939">
        <v>4230</v>
      </c>
      <c r="B8939">
        <v>18</v>
      </c>
      <c r="C8939" t="s">
        <v>946</v>
      </c>
      <c r="D8939" t="s">
        <v>1027</v>
      </c>
      <c r="E8939" t="s">
        <v>247</v>
      </c>
      <c r="F8939" t="s">
        <v>948</v>
      </c>
      <c r="G8939">
        <v>1899999</v>
      </c>
      <c r="H8939">
        <v>401025</v>
      </c>
      <c r="I8939">
        <v>72</v>
      </c>
    </row>
    <row r="8940" spans="1:9" x14ac:dyDescent="0.25">
      <c r="A8940">
        <v>4240</v>
      </c>
      <c r="B8940">
        <v>18</v>
      </c>
      <c r="C8940" t="s">
        <v>946</v>
      </c>
      <c r="D8940" t="s">
        <v>1027</v>
      </c>
      <c r="E8940" t="s">
        <v>247</v>
      </c>
      <c r="F8940" t="s">
        <v>948</v>
      </c>
      <c r="G8940">
        <v>1800000</v>
      </c>
      <c r="H8940">
        <v>145000</v>
      </c>
      <c r="I8940" t="s">
        <v>949</v>
      </c>
    </row>
    <row r="8941" spans="1:9" x14ac:dyDescent="0.25">
      <c r="A8941">
        <v>4141</v>
      </c>
      <c r="B8941">
        <v>18</v>
      </c>
      <c r="C8941" t="s">
        <v>946</v>
      </c>
      <c r="D8941" t="s">
        <v>1027</v>
      </c>
      <c r="E8941" t="s">
        <v>251</v>
      </c>
      <c r="F8941" t="s">
        <v>948</v>
      </c>
      <c r="G8941">
        <v>1877777</v>
      </c>
      <c r="H8941">
        <v>501010</v>
      </c>
      <c r="I8941">
        <v>72</v>
      </c>
    </row>
    <row r="8942" spans="1:9" x14ac:dyDescent="0.25">
      <c r="A8942">
        <v>4220</v>
      </c>
      <c r="B8942">
        <v>18</v>
      </c>
      <c r="C8942" t="s">
        <v>946</v>
      </c>
      <c r="D8942" t="s">
        <v>1027</v>
      </c>
      <c r="E8942" t="s">
        <v>251</v>
      </c>
      <c r="F8942" t="s">
        <v>948</v>
      </c>
      <c r="G8942">
        <v>1877777</v>
      </c>
      <c r="H8942">
        <v>501010</v>
      </c>
      <c r="I8942">
        <v>72</v>
      </c>
    </row>
    <row r="8943" spans="1:9" x14ac:dyDescent="0.25">
      <c r="A8943">
        <v>4230</v>
      </c>
      <c r="B8943">
        <v>18</v>
      </c>
      <c r="C8943" t="s">
        <v>946</v>
      </c>
      <c r="D8943" t="s">
        <v>1027</v>
      </c>
      <c r="E8943" t="s">
        <v>251</v>
      </c>
      <c r="F8943" t="s">
        <v>948</v>
      </c>
      <c r="G8943">
        <v>1899999</v>
      </c>
      <c r="H8943">
        <v>401045</v>
      </c>
      <c r="I8943">
        <v>72</v>
      </c>
    </row>
    <row r="8944" spans="1:9" x14ac:dyDescent="0.25">
      <c r="A8944">
        <v>4240</v>
      </c>
      <c r="B8944">
        <v>18</v>
      </c>
      <c r="C8944" t="s">
        <v>946</v>
      </c>
      <c r="D8944" t="s">
        <v>1027</v>
      </c>
      <c r="E8944" t="s">
        <v>251</v>
      </c>
      <c r="F8944" t="s">
        <v>948</v>
      </c>
      <c r="G8944">
        <v>1800000</v>
      </c>
      <c r="H8944">
        <v>142000</v>
      </c>
      <c r="I8944" t="s">
        <v>949</v>
      </c>
    </row>
    <row r="8945" spans="1:9" x14ac:dyDescent="0.25">
      <c r="A8945">
        <v>4141</v>
      </c>
      <c r="B8945">
        <v>18</v>
      </c>
      <c r="C8945" t="s">
        <v>946</v>
      </c>
      <c r="D8945" t="s">
        <v>1027</v>
      </c>
      <c r="E8945" t="s">
        <v>969</v>
      </c>
      <c r="F8945" t="s">
        <v>948</v>
      </c>
      <c r="G8945">
        <v>1877777</v>
      </c>
      <c r="H8945">
        <v>501010</v>
      </c>
      <c r="I8945">
        <v>72</v>
      </c>
    </row>
    <row r="8946" spans="1:9" x14ac:dyDescent="0.25">
      <c r="A8946">
        <v>4220</v>
      </c>
      <c r="B8946">
        <v>18</v>
      </c>
      <c r="C8946" t="s">
        <v>946</v>
      </c>
      <c r="D8946" t="s">
        <v>1027</v>
      </c>
      <c r="E8946" t="s">
        <v>969</v>
      </c>
      <c r="F8946" t="s">
        <v>948</v>
      </c>
      <c r="G8946">
        <v>1877777</v>
      </c>
      <c r="H8946">
        <v>501010</v>
      </c>
      <c r="I8946">
        <v>72</v>
      </c>
    </row>
    <row r="8947" spans="1:9" x14ac:dyDescent="0.25">
      <c r="A8947">
        <v>4230</v>
      </c>
      <c r="B8947">
        <v>18</v>
      </c>
      <c r="C8947" t="s">
        <v>946</v>
      </c>
      <c r="D8947" t="s">
        <v>1027</v>
      </c>
      <c r="E8947" t="s">
        <v>969</v>
      </c>
      <c r="F8947" t="s">
        <v>948</v>
      </c>
      <c r="G8947">
        <v>1899999</v>
      </c>
      <c r="H8947">
        <v>401915</v>
      </c>
      <c r="I8947">
        <v>72</v>
      </c>
    </row>
    <row r="8948" spans="1:9" x14ac:dyDescent="0.25">
      <c r="A8948">
        <v>4240</v>
      </c>
      <c r="B8948">
        <v>18</v>
      </c>
      <c r="C8948" t="s">
        <v>946</v>
      </c>
      <c r="D8948" t="s">
        <v>1027</v>
      </c>
      <c r="E8948" t="s">
        <v>969</v>
      </c>
      <c r="F8948" t="s">
        <v>948</v>
      </c>
      <c r="G8948">
        <v>1800000</v>
      </c>
      <c r="H8948">
        <v>141000</v>
      </c>
      <c r="I8948" t="s">
        <v>970</v>
      </c>
    </row>
    <row r="8949" spans="1:9" x14ac:dyDescent="0.25">
      <c r="A8949">
        <v>4141</v>
      </c>
      <c r="B8949">
        <v>18</v>
      </c>
      <c r="C8949" t="s">
        <v>946</v>
      </c>
      <c r="D8949" t="s">
        <v>1027</v>
      </c>
      <c r="E8949" t="s">
        <v>255</v>
      </c>
      <c r="F8949" t="s">
        <v>948</v>
      </c>
      <c r="G8949">
        <v>1877777</v>
      </c>
      <c r="H8949">
        <v>501010</v>
      </c>
      <c r="I8949">
        <v>72</v>
      </c>
    </row>
    <row r="8950" spans="1:9" x14ac:dyDescent="0.25">
      <c r="A8950">
        <v>4220</v>
      </c>
      <c r="B8950">
        <v>18</v>
      </c>
      <c r="C8950" t="s">
        <v>946</v>
      </c>
      <c r="D8950" t="s">
        <v>1027</v>
      </c>
      <c r="E8950" t="s">
        <v>255</v>
      </c>
      <c r="F8950" t="s">
        <v>948</v>
      </c>
      <c r="G8950">
        <v>1877777</v>
      </c>
      <c r="H8950">
        <v>501010</v>
      </c>
      <c r="I8950">
        <v>72</v>
      </c>
    </row>
    <row r="8951" spans="1:9" x14ac:dyDescent="0.25">
      <c r="A8951">
        <v>4230</v>
      </c>
      <c r="B8951">
        <v>18</v>
      </c>
      <c r="C8951" t="s">
        <v>946</v>
      </c>
      <c r="D8951" t="s">
        <v>1027</v>
      </c>
      <c r="E8951" t="s">
        <v>255</v>
      </c>
      <c r="F8951" t="s">
        <v>948</v>
      </c>
      <c r="G8951">
        <v>1899999</v>
      </c>
      <c r="H8951">
        <v>401075</v>
      </c>
      <c r="I8951">
        <v>72</v>
      </c>
    </row>
    <row r="8952" spans="1:9" x14ac:dyDescent="0.25">
      <c r="A8952">
        <v>4240</v>
      </c>
      <c r="B8952">
        <v>18</v>
      </c>
      <c r="C8952" t="s">
        <v>946</v>
      </c>
      <c r="D8952" t="s">
        <v>1027</v>
      </c>
      <c r="E8952" t="s">
        <v>255</v>
      </c>
      <c r="F8952" t="s">
        <v>948</v>
      </c>
      <c r="G8952">
        <v>1800000</v>
      </c>
      <c r="H8952">
        <v>145000</v>
      </c>
      <c r="I8952" t="s">
        <v>949</v>
      </c>
    </row>
    <row r="8953" spans="1:9" x14ac:dyDescent="0.25">
      <c r="A8953">
        <v>4141</v>
      </c>
      <c r="B8953">
        <v>18</v>
      </c>
      <c r="C8953" t="s">
        <v>946</v>
      </c>
      <c r="D8953" t="s">
        <v>1027</v>
      </c>
      <c r="E8953" t="s">
        <v>971</v>
      </c>
      <c r="F8953" t="s">
        <v>948</v>
      </c>
      <c r="G8953">
        <v>1877777</v>
      </c>
      <c r="H8953">
        <v>501010</v>
      </c>
      <c r="I8953">
        <v>72</v>
      </c>
    </row>
    <row r="8954" spans="1:9" x14ac:dyDescent="0.25">
      <c r="A8954">
        <v>4220</v>
      </c>
      <c r="B8954">
        <v>18</v>
      </c>
      <c r="C8954" t="s">
        <v>946</v>
      </c>
      <c r="D8954" t="s">
        <v>1027</v>
      </c>
      <c r="E8954" t="s">
        <v>971</v>
      </c>
      <c r="F8954" t="s">
        <v>948</v>
      </c>
      <c r="G8954">
        <v>1877777</v>
      </c>
      <c r="H8954">
        <v>501010</v>
      </c>
      <c r="I8954">
        <v>72</v>
      </c>
    </row>
    <row r="8955" spans="1:9" x14ac:dyDescent="0.25">
      <c r="A8955">
        <v>4230</v>
      </c>
      <c r="B8955">
        <v>18</v>
      </c>
      <c r="C8955" t="s">
        <v>946</v>
      </c>
      <c r="D8955" t="s">
        <v>1027</v>
      </c>
      <c r="E8955" t="s">
        <v>971</v>
      </c>
      <c r="F8955" t="s">
        <v>948</v>
      </c>
      <c r="G8955">
        <v>1899999</v>
      </c>
      <c r="H8955">
        <v>401915</v>
      </c>
      <c r="I8955">
        <v>72</v>
      </c>
    </row>
    <row r="8956" spans="1:9" x14ac:dyDescent="0.25">
      <c r="A8956">
        <v>4240</v>
      </c>
      <c r="B8956">
        <v>18</v>
      </c>
      <c r="C8956" t="s">
        <v>946</v>
      </c>
      <c r="D8956" t="s">
        <v>1027</v>
      </c>
      <c r="E8956" t="s">
        <v>971</v>
      </c>
      <c r="F8956" t="s">
        <v>948</v>
      </c>
      <c r="G8956">
        <v>1800000</v>
      </c>
      <c r="H8956">
        <v>141000</v>
      </c>
      <c r="I8956" t="s">
        <v>972</v>
      </c>
    </row>
    <row r="8957" spans="1:9" x14ac:dyDescent="0.25">
      <c r="A8957">
        <v>4230</v>
      </c>
      <c r="B8957">
        <v>18</v>
      </c>
      <c r="C8957" t="s">
        <v>946</v>
      </c>
      <c r="D8957" t="s">
        <v>1027</v>
      </c>
      <c r="E8957" t="s">
        <v>259</v>
      </c>
      <c r="F8957" t="s">
        <v>948</v>
      </c>
      <c r="G8957">
        <v>1899999</v>
      </c>
      <c r="H8957">
        <v>409005</v>
      </c>
      <c r="I8957">
        <v>72</v>
      </c>
    </row>
    <row r="8958" spans="1:9" x14ac:dyDescent="0.25">
      <c r="A8958">
        <v>4141</v>
      </c>
      <c r="B8958">
        <v>18</v>
      </c>
      <c r="C8958" t="s">
        <v>946</v>
      </c>
      <c r="D8958" t="s">
        <v>1027</v>
      </c>
      <c r="E8958" t="s">
        <v>263</v>
      </c>
      <c r="F8958" t="s">
        <v>948</v>
      </c>
      <c r="G8958">
        <v>1877777</v>
      </c>
      <c r="H8958">
        <v>501010</v>
      </c>
      <c r="I8958">
        <v>72</v>
      </c>
    </row>
    <row r="8959" spans="1:9" x14ac:dyDescent="0.25">
      <c r="A8959">
        <v>4220</v>
      </c>
      <c r="B8959">
        <v>18</v>
      </c>
      <c r="C8959" t="s">
        <v>946</v>
      </c>
      <c r="D8959" t="s">
        <v>1027</v>
      </c>
      <c r="E8959" t="s">
        <v>263</v>
      </c>
      <c r="F8959" t="s">
        <v>948</v>
      </c>
      <c r="G8959">
        <v>1877777</v>
      </c>
      <c r="H8959">
        <v>501010</v>
      </c>
      <c r="I8959">
        <v>72</v>
      </c>
    </row>
    <row r="8960" spans="1:9" x14ac:dyDescent="0.25">
      <c r="A8960">
        <v>4230</v>
      </c>
      <c r="B8960">
        <v>18</v>
      </c>
      <c r="C8960" t="s">
        <v>946</v>
      </c>
      <c r="D8960" t="s">
        <v>1027</v>
      </c>
      <c r="E8960" t="s">
        <v>263</v>
      </c>
      <c r="F8960" t="s">
        <v>948</v>
      </c>
      <c r="G8960">
        <v>1899999</v>
      </c>
      <c r="H8960">
        <v>401045</v>
      </c>
      <c r="I8960">
        <v>72</v>
      </c>
    </row>
    <row r="8961" spans="1:9" x14ac:dyDescent="0.25">
      <c r="A8961">
        <v>4240</v>
      </c>
      <c r="B8961">
        <v>18</v>
      </c>
      <c r="C8961" t="s">
        <v>946</v>
      </c>
      <c r="D8961" t="s">
        <v>1027</v>
      </c>
      <c r="E8961" t="s">
        <v>263</v>
      </c>
      <c r="F8961" t="s">
        <v>948</v>
      </c>
      <c r="G8961">
        <v>1800000</v>
      </c>
      <c r="H8961">
        <v>145000</v>
      </c>
      <c r="I8961" t="s">
        <v>949</v>
      </c>
    </row>
    <row r="8962" spans="1:9" x14ac:dyDescent="0.25">
      <c r="A8962">
        <v>4141</v>
      </c>
      <c r="B8962">
        <v>18</v>
      </c>
      <c r="C8962" t="s">
        <v>946</v>
      </c>
      <c r="D8962" t="s">
        <v>1027</v>
      </c>
      <c r="E8962" t="s">
        <v>100</v>
      </c>
      <c r="F8962" t="s">
        <v>948</v>
      </c>
      <c r="G8962">
        <v>1877777</v>
      </c>
      <c r="H8962">
        <v>500220</v>
      </c>
      <c r="I8962" t="s">
        <v>949</v>
      </c>
    </row>
    <row r="8963" spans="1:9" x14ac:dyDescent="0.25">
      <c r="A8963">
        <v>4220</v>
      </c>
      <c r="B8963">
        <v>18</v>
      </c>
      <c r="C8963" t="s">
        <v>946</v>
      </c>
      <c r="D8963" t="s">
        <v>1027</v>
      </c>
      <c r="E8963" t="s">
        <v>100</v>
      </c>
      <c r="F8963" t="s">
        <v>948</v>
      </c>
      <c r="G8963">
        <v>1877777</v>
      </c>
      <c r="H8963">
        <v>500220</v>
      </c>
      <c r="I8963" t="s">
        <v>949</v>
      </c>
    </row>
    <row r="8964" spans="1:9" x14ac:dyDescent="0.25">
      <c r="A8964">
        <v>4230</v>
      </c>
      <c r="B8964">
        <v>18</v>
      </c>
      <c r="C8964" t="s">
        <v>946</v>
      </c>
      <c r="D8964" t="s">
        <v>1027</v>
      </c>
      <c r="E8964" t="s">
        <v>100</v>
      </c>
      <c r="F8964" t="s">
        <v>948</v>
      </c>
      <c r="G8964">
        <v>1899999</v>
      </c>
      <c r="H8964">
        <v>401045</v>
      </c>
      <c r="I8964">
        <v>72</v>
      </c>
    </row>
    <row r="8965" spans="1:9" x14ac:dyDescent="0.25">
      <c r="A8965">
        <v>4240</v>
      </c>
      <c r="B8965">
        <v>18</v>
      </c>
      <c r="C8965" t="s">
        <v>946</v>
      </c>
      <c r="D8965" t="s">
        <v>1027</v>
      </c>
      <c r="E8965" t="s">
        <v>100</v>
      </c>
      <c r="F8965" t="s">
        <v>948</v>
      </c>
      <c r="G8965">
        <v>1877777</v>
      </c>
      <c r="H8965">
        <v>500221</v>
      </c>
      <c r="I8965" t="s">
        <v>949</v>
      </c>
    </row>
    <row r="8966" spans="1:9" x14ac:dyDescent="0.25">
      <c r="A8966">
        <v>4141</v>
      </c>
      <c r="B8966">
        <v>18</v>
      </c>
      <c r="C8966" t="s">
        <v>946</v>
      </c>
      <c r="D8966" t="s">
        <v>1027</v>
      </c>
      <c r="E8966" t="s">
        <v>270</v>
      </c>
      <c r="F8966" t="s">
        <v>948</v>
      </c>
      <c r="G8966">
        <v>1877777</v>
      </c>
      <c r="H8966">
        <v>501010</v>
      </c>
      <c r="I8966">
        <v>72</v>
      </c>
    </row>
    <row r="8967" spans="1:9" x14ac:dyDescent="0.25">
      <c r="A8967">
        <v>4220</v>
      </c>
      <c r="B8967">
        <v>18</v>
      </c>
      <c r="C8967" t="s">
        <v>946</v>
      </c>
      <c r="D8967" t="s">
        <v>1027</v>
      </c>
      <c r="E8967" t="s">
        <v>270</v>
      </c>
      <c r="F8967" t="s">
        <v>948</v>
      </c>
      <c r="G8967">
        <v>1877777</v>
      </c>
      <c r="H8967">
        <v>501010</v>
      </c>
      <c r="I8967">
        <v>72</v>
      </c>
    </row>
    <row r="8968" spans="1:9" x14ac:dyDescent="0.25">
      <c r="A8968">
        <v>4230</v>
      </c>
      <c r="B8968">
        <v>18</v>
      </c>
      <c r="C8968" t="s">
        <v>946</v>
      </c>
      <c r="D8968" t="s">
        <v>1027</v>
      </c>
      <c r="E8968" t="s">
        <v>270</v>
      </c>
      <c r="F8968" t="s">
        <v>948</v>
      </c>
      <c r="G8968">
        <v>1899999</v>
      </c>
      <c r="H8968">
        <v>401065</v>
      </c>
      <c r="I8968">
        <v>72</v>
      </c>
    </row>
    <row r="8969" spans="1:9" x14ac:dyDescent="0.25">
      <c r="A8969">
        <v>4240</v>
      </c>
      <c r="B8969">
        <v>18</v>
      </c>
      <c r="C8969" t="s">
        <v>946</v>
      </c>
      <c r="D8969" t="s">
        <v>1027</v>
      </c>
      <c r="E8969" t="s">
        <v>270</v>
      </c>
      <c r="F8969" t="s">
        <v>948</v>
      </c>
      <c r="G8969">
        <v>1800000</v>
      </c>
      <c r="H8969">
        <v>145000</v>
      </c>
      <c r="I8969" t="s">
        <v>949</v>
      </c>
    </row>
    <row r="8970" spans="1:9" x14ac:dyDescent="0.25">
      <c r="A8970">
        <v>4141</v>
      </c>
      <c r="B8970">
        <v>18</v>
      </c>
      <c r="C8970" t="s">
        <v>946</v>
      </c>
      <c r="D8970" t="s">
        <v>1027</v>
      </c>
      <c r="E8970" t="s">
        <v>274</v>
      </c>
      <c r="F8970" t="s">
        <v>948</v>
      </c>
      <c r="G8970">
        <v>1877777</v>
      </c>
      <c r="H8970">
        <v>501010</v>
      </c>
      <c r="I8970">
        <v>72</v>
      </c>
    </row>
    <row r="8971" spans="1:9" x14ac:dyDescent="0.25">
      <c r="A8971">
        <v>4220</v>
      </c>
      <c r="B8971">
        <v>18</v>
      </c>
      <c r="C8971" t="s">
        <v>946</v>
      </c>
      <c r="D8971" t="s">
        <v>1027</v>
      </c>
      <c r="E8971" t="s">
        <v>274</v>
      </c>
      <c r="F8971" t="s">
        <v>948</v>
      </c>
      <c r="G8971">
        <v>1877777</v>
      </c>
      <c r="H8971">
        <v>501010</v>
      </c>
      <c r="I8971">
        <v>72</v>
      </c>
    </row>
    <row r="8972" spans="1:9" x14ac:dyDescent="0.25">
      <c r="A8972">
        <v>4230</v>
      </c>
      <c r="B8972">
        <v>18</v>
      </c>
      <c r="C8972" t="s">
        <v>946</v>
      </c>
      <c r="D8972" t="s">
        <v>1027</v>
      </c>
      <c r="E8972" t="s">
        <v>274</v>
      </c>
      <c r="F8972" t="s">
        <v>948</v>
      </c>
      <c r="G8972">
        <v>1899999</v>
      </c>
      <c r="H8972">
        <v>401045</v>
      </c>
      <c r="I8972">
        <v>72</v>
      </c>
    </row>
    <row r="8973" spans="1:9" x14ac:dyDescent="0.25">
      <c r="A8973">
        <v>4240</v>
      </c>
      <c r="B8973">
        <v>18</v>
      </c>
      <c r="C8973" t="s">
        <v>946</v>
      </c>
      <c r="D8973" t="s">
        <v>1027</v>
      </c>
      <c r="E8973" t="s">
        <v>274</v>
      </c>
      <c r="F8973" t="s">
        <v>948</v>
      </c>
      <c r="G8973">
        <v>1800000</v>
      </c>
      <c r="H8973">
        <v>143000</v>
      </c>
      <c r="I8973" t="s">
        <v>973</v>
      </c>
    </row>
    <row r="8974" spans="1:9" x14ac:dyDescent="0.25">
      <c r="A8974">
        <v>4141</v>
      </c>
      <c r="B8974">
        <v>18</v>
      </c>
      <c r="C8974" t="s">
        <v>946</v>
      </c>
      <c r="D8974" t="s">
        <v>1027</v>
      </c>
      <c r="E8974" t="s">
        <v>974</v>
      </c>
      <c r="F8974" t="s">
        <v>948</v>
      </c>
      <c r="G8974">
        <v>1877777</v>
      </c>
      <c r="H8974">
        <v>501010</v>
      </c>
      <c r="I8974">
        <v>72</v>
      </c>
    </row>
    <row r="8975" spans="1:9" x14ac:dyDescent="0.25">
      <c r="A8975">
        <v>4220</v>
      </c>
      <c r="B8975">
        <v>18</v>
      </c>
      <c r="C8975" t="s">
        <v>946</v>
      </c>
      <c r="D8975" t="s">
        <v>1027</v>
      </c>
      <c r="E8975" t="s">
        <v>974</v>
      </c>
      <c r="F8975" t="s">
        <v>948</v>
      </c>
      <c r="G8975">
        <v>1877777</v>
      </c>
      <c r="H8975">
        <v>501010</v>
      </c>
      <c r="I8975">
        <v>72</v>
      </c>
    </row>
    <row r="8976" spans="1:9" x14ac:dyDescent="0.25">
      <c r="A8976">
        <v>4230</v>
      </c>
      <c r="B8976">
        <v>18</v>
      </c>
      <c r="C8976" t="s">
        <v>946</v>
      </c>
      <c r="D8976" t="s">
        <v>1027</v>
      </c>
      <c r="E8976" t="s">
        <v>974</v>
      </c>
      <c r="F8976" t="s">
        <v>948</v>
      </c>
      <c r="G8976">
        <v>1899999</v>
      </c>
      <c r="H8976">
        <v>401915</v>
      </c>
      <c r="I8976">
        <v>72</v>
      </c>
    </row>
    <row r="8977" spans="1:9" x14ac:dyDescent="0.25">
      <c r="A8977">
        <v>4240</v>
      </c>
      <c r="B8977">
        <v>18</v>
      </c>
      <c r="C8977" t="s">
        <v>946</v>
      </c>
      <c r="D8977" t="s">
        <v>1027</v>
      </c>
      <c r="E8977" t="s">
        <v>974</v>
      </c>
      <c r="F8977" t="s">
        <v>948</v>
      </c>
      <c r="G8977">
        <v>1800000</v>
      </c>
      <c r="H8977">
        <v>141000</v>
      </c>
      <c r="I8977" t="s">
        <v>975</v>
      </c>
    </row>
    <row r="8978" spans="1:9" x14ac:dyDescent="0.25">
      <c r="A8978">
        <v>4141</v>
      </c>
      <c r="B8978">
        <v>18</v>
      </c>
      <c r="C8978" t="s">
        <v>946</v>
      </c>
      <c r="D8978" t="s">
        <v>1027</v>
      </c>
      <c r="E8978" t="s">
        <v>104</v>
      </c>
      <c r="F8978" t="s">
        <v>948</v>
      </c>
      <c r="G8978">
        <v>1877777</v>
      </c>
      <c r="H8978">
        <v>500220</v>
      </c>
      <c r="I8978" t="s">
        <v>949</v>
      </c>
    </row>
    <row r="8979" spans="1:9" x14ac:dyDescent="0.25">
      <c r="A8979">
        <v>4220</v>
      </c>
      <c r="B8979">
        <v>18</v>
      </c>
      <c r="C8979" t="s">
        <v>946</v>
      </c>
      <c r="D8979" t="s">
        <v>1027</v>
      </c>
      <c r="E8979" t="s">
        <v>104</v>
      </c>
      <c r="F8979" t="s">
        <v>948</v>
      </c>
      <c r="G8979">
        <v>1877777</v>
      </c>
      <c r="H8979">
        <v>500220</v>
      </c>
      <c r="I8979" t="s">
        <v>949</v>
      </c>
    </row>
    <row r="8980" spans="1:9" x14ac:dyDescent="0.25">
      <c r="A8980">
        <v>4230</v>
      </c>
      <c r="B8980">
        <v>18</v>
      </c>
      <c r="C8980" t="s">
        <v>946</v>
      </c>
      <c r="D8980" t="s">
        <v>1027</v>
      </c>
      <c r="E8980" t="s">
        <v>104</v>
      </c>
      <c r="F8980" t="s">
        <v>948</v>
      </c>
      <c r="G8980">
        <v>1899999</v>
      </c>
      <c r="H8980">
        <v>401045</v>
      </c>
      <c r="I8980">
        <v>72</v>
      </c>
    </row>
    <row r="8981" spans="1:9" x14ac:dyDescent="0.25">
      <c r="A8981">
        <v>4240</v>
      </c>
      <c r="B8981">
        <v>18</v>
      </c>
      <c r="C8981" t="s">
        <v>946</v>
      </c>
      <c r="D8981" t="s">
        <v>1027</v>
      </c>
      <c r="E8981" t="s">
        <v>104</v>
      </c>
      <c r="F8981" t="s">
        <v>948</v>
      </c>
      <c r="G8981">
        <v>1877777</v>
      </c>
      <c r="H8981">
        <v>500221</v>
      </c>
      <c r="I8981" t="s">
        <v>949</v>
      </c>
    </row>
    <row r="8982" spans="1:9" x14ac:dyDescent="0.25">
      <c r="A8982">
        <v>4141</v>
      </c>
      <c r="B8982">
        <v>18</v>
      </c>
      <c r="C8982" t="s">
        <v>946</v>
      </c>
      <c r="D8982" t="s">
        <v>1027</v>
      </c>
      <c r="E8982" t="s">
        <v>278</v>
      </c>
      <c r="F8982" t="s">
        <v>948</v>
      </c>
      <c r="G8982">
        <v>1877777</v>
      </c>
      <c r="H8982">
        <v>501010</v>
      </c>
      <c r="I8982">
        <v>72</v>
      </c>
    </row>
    <row r="8983" spans="1:9" x14ac:dyDescent="0.25">
      <c r="A8983">
        <v>4220</v>
      </c>
      <c r="B8983">
        <v>18</v>
      </c>
      <c r="C8983" t="s">
        <v>946</v>
      </c>
      <c r="D8983" t="s">
        <v>1027</v>
      </c>
      <c r="E8983" t="s">
        <v>278</v>
      </c>
      <c r="F8983" t="s">
        <v>948</v>
      </c>
      <c r="G8983">
        <v>1877777</v>
      </c>
      <c r="H8983">
        <v>501010</v>
      </c>
      <c r="I8983">
        <v>72</v>
      </c>
    </row>
    <row r="8984" spans="1:9" x14ac:dyDescent="0.25">
      <c r="A8984">
        <v>4230</v>
      </c>
      <c r="B8984">
        <v>18</v>
      </c>
      <c r="C8984" t="s">
        <v>946</v>
      </c>
      <c r="D8984" t="s">
        <v>1027</v>
      </c>
      <c r="E8984" t="s">
        <v>278</v>
      </c>
      <c r="F8984" t="s">
        <v>948</v>
      </c>
      <c r="G8984">
        <v>1899999</v>
      </c>
      <c r="H8984">
        <v>401055</v>
      </c>
      <c r="I8984">
        <v>72</v>
      </c>
    </row>
    <row r="8985" spans="1:9" x14ac:dyDescent="0.25">
      <c r="A8985">
        <v>4240</v>
      </c>
      <c r="B8985">
        <v>18</v>
      </c>
      <c r="C8985" t="s">
        <v>946</v>
      </c>
      <c r="D8985" t="s">
        <v>1027</v>
      </c>
      <c r="E8985" t="s">
        <v>278</v>
      </c>
      <c r="F8985" t="s">
        <v>948</v>
      </c>
      <c r="G8985">
        <v>1800000</v>
      </c>
      <c r="H8985">
        <v>145000</v>
      </c>
      <c r="I8985" t="s">
        <v>949</v>
      </c>
    </row>
    <row r="8986" spans="1:9" x14ac:dyDescent="0.25">
      <c r="A8986">
        <v>4141</v>
      </c>
      <c r="B8986">
        <v>18</v>
      </c>
      <c r="C8986" t="s">
        <v>946</v>
      </c>
      <c r="D8986" t="s">
        <v>1027</v>
      </c>
      <c r="E8986" t="s">
        <v>282</v>
      </c>
      <c r="F8986" t="s">
        <v>948</v>
      </c>
      <c r="G8986">
        <v>1877777</v>
      </c>
      <c r="H8986">
        <v>501010</v>
      </c>
      <c r="I8986">
        <v>72</v>
      </c>
    </row>
    <row r="8987" spans="1:9" x14ac:dyDescent="0.25">
      <c r="A8987">
        <v>4220</v>
      </c>
      <c r="B8987">
        <v>18</v>
      </c>
      <c r="C8987" t="s">
        <v>946</v>
      </c>
      <c r="D8987" t="s">
        <v>1027</v>
      </c>
      <c r="E8987" t="s">
        <v>282</v>
      </c>
      <c r="F8987" t="s">
        <v>948</v>
      </c>
      <c r="G8987">
        <v>1877777</v>
      </c>
      <c r="H8987">
        <v>501010</v>
      </c>
      <c r="I8987">
        <v>72</v>
      </c>
    </row>
    <row r="8988" spans="1:9" x14ac:dyDescent="0.25">
      <c r="A8988">
        <v>4230</v>
      </c>
      <c r="B8988">
        <v>18</v>
      </c>
      <c r="C8988" t="s">
        <v>946</v>
      </c>
      <c r="D8988" t="s">
        <v>1027</v>
      </c>
      <c r="E8988" t="s">
        <v>282</v>
      </c>
      <c r="F8988" t="s">
        <v>948</v>
      </c>
      <c r="G8988">
        <v>1899999</v>
      </c>
      <c r="H8988">
        <v>401045</v>
      </c>
      <c r="I8988">
        <v>72</v>
      </c>
    </row>
    <row r="8989" spans="1:9" x14ac:dyDescent="0.25">
      <c r="A8989">
        <v>4240</v>
      </c>
      <c r="B8989">
        <v>18</v>
      </c>
      <c r="C8989" t="s">
        <v>946</v>
      </c>
      <c r="D8989" t="s">
        <v>1027</v>
      </c>
      <c r="E8989" t="s">
        <v>282</v>
      </c>
      <c r="F8989" t="s">
        <v>948</v>
      </c>
      <c r="G8989">
        <v>1800000</v>
      </c>
      <c r="H8989">
        <v>143100</v>
      </c>
      <c r="I8989" t="s">
        <v>949</v>
      </c>
    </row>
    <row r="8990" spans="1:9" x14ac:dyDescent="0.25">
      <c r="A8990">
        <v>4141</v>
      </c>
      <c r="B8990">
        <v>18</v>
      </c>
      <c r="C8990" t="s">
        <v>946</v>
      </c>
      <c r="D8990" t="s">
        <v>1027</v>
      </c>
      <c r="E8990" t="s">
        <v>286</v>
      </c>
      <c r="F8990" t="s">
        <v>948</v>
      </c>
      <c r="G8990">
        <v>1877777</v>
      </c>
      <c r="H8990">
        <v>501010</v>
      </c>
      <c r="I8990">
        <v>72</v>
      </c>
    </row>
    <row r="8991" spans="1:9" x14ac:dyDescent="0.25">
      <c r="A8991">
        <v>4220</v>
      </c>
      <c r="B8991">
        <v>18</v>
      </c>
      <c r="C8991" t="s">
        <v>946</v>
      </c>
      <c r="D8991" t="s">
        <v>1027</v>
      </c>
      <c r="E8991" t="s">
        <v>286</v>
      </c>
      <c r="F8991" t="s">
        <v>948</v>
      </c>
      <c r="G8991">
        <v>1877777</v>
      </c>
      <c r="H8991">
        <v>501010</v>
      </c>
      <c r="I8991">
        <v>72</v>
      </c>
    </row>
    <row r="8992" spans="1:9" x14ac:dyDescent="0.25">
      <c r="A8992">
        <v>4230</v>
      </c>
      <c r="B8992">
        <v>18</v>
      </c>
      <c r="C8992" t="s">
        <v>946</v>
      </c>
      <c r="D8992" t="s">
        <v>1027</v>
      </c>
      <c r="E8992" t="s">
        <v>286</v>
      </c>
      <c r="F8992" t="s">
        <v>948</v>
      </c>
      <c r="G8992">
        <v>1899999</v>
      </c>
      <c r="H8992">
        <v>401035</v>
      </c>
      <c r="I8992">
        <v>72</v>
      </c>
    </row>
    <row r="8993" spans="1:9" x14ac:dyDescent="0.25">
      <c r="A8993">
        <v>4240</v>
      </c>
      <c r="B8993">
        <v>18</v>
      </c>
      <c r="C8993" t="s">
        <v>946</v>
      </c>
      <c r="D8993" t="s">
        <v>1027</v>
      </c>
      <c r="E8993" t="s">
        <v>286</v>
      </c>
      <c r="F8993" t="s">
        <v>948</v>
      </c>
      <c r="G8993">
        <v>1800000</v>
      </c>
      <c r="H8993">
        <v>145000</v>
      </c>
      <c r="I8993" t="s">
        <v>949</v>
      </c>
    </row>
    <row r="8994" spans="1:9" x14ac:dyDescent="0.25">
      <c r="A8994">
        <v>4141</v>
      </c>
      <c r="B8994">
        <v>18</v>
      </c>
      <c r="C8994" t="s">
        <v>946</v>
      </c>
      <c r="D8994" t="s">
        <v>1027</v>
      </c>
      <c r="E8994" t="s">
        <v>976</v>
      </c>
      <c r="F8994" t="s">
        <v>948</v>
      </c>
      <c r="G8994">
        <v>1877777</v>
      </c>
      <c r="H8994">
        <v>501010</v>
      </c>
      <c r="I8994">
        <v>72</v>
      </c>
    </row>
    <row r="8995" spans="1:9" x14ac:dyDescent="0.25">
      <c r="A8995">
        <v>4220</v>
      </c>
      <c r="B8995">
        <v>18</v>
      </c>
      <c r="C8995" t="s">
        <v>946</v>
      </c>
      <c r="D8995" t="s">
        <v>1027</v>
      </c>
      <c r="E8995" t="s">
        <v>976</v>
      </c>
      <c r="F8995" t="s">
        <v>948</v>
      </c>
      <c r="G8995">
        <v>1877777</v>
      </c>
      <c r="H8995">
        <v>501010</v>
      </c>
      <c r="I8995">
        <v>72</v>
      </c>
    </row>
    <row r="8996" spans="1:9" x14ac:dyDescent="0.25">
      <c r="A8996">
        <v>4230</v>
      </c>
      <c r="B8996">
        <v>18</v>
      </c>
      <c r="C8996" t="s">
        <v>946</v>
      </c>
      <c r="D8996" t="s">
        <v>1027</v>
      </c>
      <c r="E8996" t="s">
        <v>976</v>
      </c>
      <c r="F8996" t="s">
        <v>948</v>
      </c>
      <c r="G8996">
        <v>1899999</v>
      </c>
      <c r="H8996">
        <v>401915</v>
      </c>
      <c r="I8996">
        <v>72</v>
      </c>
    </row>
    <row r="8997" spans="1:9" x14ac:dyDescent="0.25">
      <c r="A8997">
        <v>4240</v>
      </c>
      <c r="B8997">
        <v>18</v>
      </c>
      <c r="C8997" t="s">
        <v>946</v>
      </c>
      <c r="D8997" t="s">
        <v>1027</v>
      </c>
      <c r="E8997" t="s">
        <v>976</v>
      </c>
      <c r="F8997" t="s">
        <v>948</v>
      </c>
      <c r="G8997">
        <v>1800000</v>
      </c>
      <c r="H8997">
        <v>141000</v>
      </c>
      <c r="I8997" t="s">
        <v>977</v>
      </c>
    </row>
    <row r="8998" spans="1:9" x14ac:dyDescent="0.25">
      <c r="A8998">
        <v>4141</v>
      </c>
      <c r="B8998">
        <v>18</v>
      </c>
      <c r="C8998" t="s">
        <v>946</v>
      </c>
      <c r="D8998" t="s">
        <v>1027</v>
      </c>
      <c r="E8998" t="s">
        <v>290</v>
      </c>
      <c r="F8998" t="s">
        <v>948</v>
      </c>
      <c r="G8998">
        <v>1877777</v>
      </c>
      <c r="H8998">
        <v>501010</v>
      </c>
      <c r="I8998">
        <v>72</v>
      </c>
    </row>
    <row r="8999" spans="1:9" x14ac:dyDescent="0.25">
      <c r="A8999">
        <v>4220</v>
      </c>
      <c r="B8999">
        <v>18</v>
      </c>
      <c r="C8999" t="s">
        <v>946</v>
      </c>
      <c r="D8999" t="s">
        <v>1027</v>
      </c>
      <c r="E8999" t="s">
        <v>290</v>
      </c>
      <c r="F8999" t="s">
        <v>948</v>
      </c>
      <c r="G8999">
        <v>1877777</v>
      </c>
      <c r="H8999">
        <v>501010</v>
      </c>
      <c r="I8999">
        <v>72</v>
      </c>
    </row>
    <row r="9000" spans="1:9" x14ac:dyDescent="0.25">
      <c r="A9000">
        <v>4230</v>
      </c>
      <c r="B9000">
        <v>18</v>
      </c>
      <c r="C9000" t="s">
        <v>946</v>
      </c>
      <c r="D9000" t="s">
        <v>1027</v>
      </c>
      <c r="E9000" t="s">
        <v>290</v>
      </c>
      <c r="F9000" t="s">
        <v>948</v>
      </c>
      <c r="G9000">
        <v>1899999</v>
      </c>
      <c r="H9000">
        <v>401045</v>
      </c>
      <c r="I9000">
        <v>72</v>
      </c>
    </row>
    <row r="9001" spans="1:9" x14ac:dyDescent="0.25">
      <c r="A9001">
        <v>4240</v>
      </c>
      <c r="B9001">
        <v>18</v>
      </c>
      <c r="C9001" t="s">
        <v>946</v>
      </c>
      <c r="D9001" t="s">
        <v>1027</v>
      </c>
      <c r="E9001" t="s">
        <v>290</v>
      </c>
      <c r="F9001" t="s">
        <v>948</v>
      </c>
      <c r="G9001">
        <v>1800000</v>
      </c>
      <c r="H9001">
        <v>143000</v>
      </c>
      <c r="I9001" t="s">
        <v>978</v>
      </c>
    </row>
    <row r="9002" spans="1:9" x14ac:dyDescent="0.25">
      <c r="A9002">
        <v>4141</v>
      </c>
      <c r="B9002">
        <v>18</v>
      </c>
      <c r="C9002" t="s">
        <v>946</v>
      </c>
      <c r="D9002" t="s">
        <v>1027</v>
      </c>
      <c r="E9002" t="s">
        <v>294</v>
      </c>
      <c r="F9002" t="s">
        <v>948</v>
      </c>
      <c r="G9002">
        <v>1877777</v>
      </c>
      <c r="H9002">
        <v>501010</v>
      </c>
      <c r="I9002">
        <v>72</v>
      </c>
    </row>
    <row r="9003" spans="1:9" x14ac:dyDescent="0.25">
      <c r="A9003">
        <v>4220</v>
      </c>
      <c r="B9003">
        <v>18</v>
      </c>
      <c r="C9003" t="s">
        <v>946</v>
      </c>
      <c r="D9003" t="s">
        <v>1027</v>
      </c>
      <c r="E9003" t="s">
        <v>294</v>
      </c>
      <c r="F9003" t="s">
        <v>948</v>
      </c>
      <c r="G9003">
        <v>1877777</v>
      </c>
      <c r="H9003">
        <v>501010</v>
      </c>
      <c r="I9003">
        <v>72</v>
      </c>
    </row>
    <row r="9004" spans="1:9" x14ac:dyDescent="0.25">
      <c r="A9004">
        <v>4230</v>
      </c>
      <c r="B9004">
        <v>18</v>
      </c>
      <c r="C9004" t="s">
        <v>946</v>
      </c>
      <c r="D9004" t="s">
        <v>1027</v>
      </c>
      <c r="E9004" t="s">
        <v>294</v>
      </c>
      <c r="F9004" t="s">
        <v>948</v>
      </c>
      <c r="G9004">
        <v>1899999</v>
      </c>
      <c r="H9004">
        <v>401045</v>
      </c>
      <c r="I9004">
        <v>72</v>
      </c>
    </row>
    <row r="9005" spans="1:9" x14ac:dyDescent="0.25">
      <c r="A9005">
        <v>4240</v>
      </c>
      <c r="B9005">
        <v>18</v>
      </c>
      <c r="C9005" t="s">
        <v>946</v>
      </c>
      <c r="D9005" t="s">
        <v>1027</v>
      </c>
      <c r="E9005" t="s">
        <v>294</v>
      </c>
      <c r="F9005" t="s">
        <v>948</v>
      </c>
      <c r="G9005">
        <v>1800000</v>
      </c>
      <c r="H9005">
        <v>143000</v>
      </c>
      <c r="I9005" t="s">
        <v>979</v>
      </c>
    </row>
    <row r="9006" spans="1:9" x14ac:dyDescent="0.25">
      <c r="A9006">
        <v>4230</v>
      </c>
      <c r="B9006">
        <v>18</v>
      </c>
      <c r="C9006" t="s">
        <v>946</v>
      </c>
      <c r="D9006" t="s">
        <v>1027</v>
      </c>
      <c r="E9006" t="s">
        <v>298</v>
      </c>
      <c r="F9006" t="s">
        <v>948</v>
      </c>
      <c r="G9006">
        <v>1899999</v>
      </c>
      <c r="H9006">
        <v>402085</v>
      </c>
      <c r="I9006">
        <v>72</v>
      </c>
    </row>
    <row r="9007" spans="1:9" x14ac:dyDescent="0.25">
      <c r="A9007">
        <v>4141</v>
      </c>
      <c r="B9007">
        <v>18</v>
      </c>
      <c r="C9007" t="s">
        <v>946</v>
      </c>
      <c r="D9007" t="s">
        <v>1027</v>
      </c>
      <c r="E9007" t="s">
        <v>980</v>
      </c>
      <c r="F9007" t="s">
        <v>948</v>
      </c>
      <c r="G9007">
        <v>1877777</v>
      </c>
      <c r="H9007">
        <v>501010</v>
      </c>
      <c r="I9007">
        <v>72</v>
      </c>
    </row>
    <row r="9008" spans="1:9" x14ac:dyDescent="0.25">
      <c r="A9008">
        <v>4220</v>
      </c>
      <c r="B9008">
        <v>18</v>
      </c>
      <c r="C9008" t="s">
        <v>946</v>
      </c>
      <c r="D9008" t="s">
        <v>1027</v>
      </c>
      <c r="E9008" t="s">
        <v>980</v>
      </c>
      <c r="F9008" t="s">
        <v>948</v>
      </c>
      <c r="G9008">
        <v>1877777</v>
      </c>
      <c r="H9008">
        <v>501010</v>
      </c>
      <c r="I9008">
        <v>72</v>
      </c>
    </row>
    <row r="9009" spans="1:9" x14ac:dyDescent="0.25">
      <c r="A9009">
        <v>4230</v>
      </c>
      <c r="B9009">
        <v>18</v>
      </c>
      <c r="C9009" t="s">
        <v>946</v>
      </c>
      <c r="D9009" t="s">
        <v>1027</v>
      </c>
      <c r="E9009" t="s">
        <v>980</v>
      </c>
      <c r="F9009" t="s">
        <v>948</v>
      </c>
      <c r="G9009">
        <v>1899999</v>
      </c>
      <c r="H9009">
        <v>401915</v>
      </c>
      <c r="I9009">
        <v>72</v>
      </c>
    </row>
    <row r="9010" spans="1:9" x14ac:dyDescent="0.25">
      <c r="A9010">
        <v>4240</v>
      </c>
      <c r="B9010">
        <v>18</v>
      </c>
      <c r="C9010" t="s">
        <v>946</v>
      </c>
      <c r="D9010" t="s">
        <v>1027</v>
      </c>
      <c r="E9010" t="s">
        <v>980</v>
      </c>
      <c r="F9010" t="s">
        <v>948</v>
      </c>
      <c r="G9010">
        <v>1800000</v>
      </c>
      <c r="H9010">
        <v>141000</v>
      </c>
      <c r="I9010" t="s">
        <v>981</v>
      </c>
    </row>
    <row r="9011" spans="1:9" x14ac:dyDescent="0.25">
      <c r="A9011">
        <v>4141</v>
      </c>
      <c r="B9011">
        <v>18</v>
      </c>
      <c r="C9011" t="s">
        <v>946</v>
      </c>
      <c r="D9011" t="s">
        <v>1027</v>
      </c>
      <c r="E9011" t="s">
        <v>302</v>
      </c>
      <c r="F9011" t="s">
        <v>948</v>
      </c>
      <c r="G9011">
        <v>1877777</v>
      </c>
      <c r="H9011">
        <v>501010</v>
      </c>
      <c r="I9011">
        <v>72</v>
      </c>
    </row>
    <row r="9012" spans="1:9" x14ac:dyDescent="0.25">
      <c r="A9012">
        <v>4220</v>
      </c>
      <c r="B9012">
        <v>18</v>
      </c>
      <c r="C9012" t="s">
        <v>946</v>
      </c>
      <c r="D9012" t="s">
        <v>1027</v>
      </c>
      <c r="E9012" t="s">
        <v>302</v>
      </c>
      <c r="F9012" t="s">
        <v>948</v>
      </c>
      <c r="G9012">
        <v>1877777</v>
      </c>
      <c r="H9012">
        <v>501010</v>
      </c>
      <c r="I9012">
        <v>72</v>
      </c>
    </row>
    <row r="9013" spans="1:9" x14ac:dyDescent="0.25">
      <c r="A9013">
        <v>4230</v>
      </c>
      <c r="B9013">
        <v>18</v>
      </c>
      <c r="C9013" t="s">
        <v>946</v>
      </c>
      <c r="D9013" t="s">
        <v>1027</v>
      </c>
      <c r="E9013" t="s">
        <v>302</v>
      </c>
      <c r="F9013" t="s">
        <v>948</v>
      </c>
      <c r="G9013">
        <v>1899999</v>
      </c>
      <c r="H9013">
        <v>401905</v>
      </c>
      <c r="I9013">
        <v>72</v>
      </c>
    </row>
    <row r="9014" spans="1:9" x14ac:dyDescent="0.25">
      <c r="A9014">
        <v>4240</v>
      </c>
      <c r="B9014">
        <v>18</v>
      </c>
      <c r="C9014" t="s">
        <v>946</v>
      </c>
      <c r="D9014" t="s">
        <v>1027</v>
      </c>
      <c r="E9014" t="s">
        <v>302</v>
      </c>
      <c r="F9014" t="s">
        <v>948</v>
      </c>
      <c r="G9014">
        <v>1800000</v>
      </c>
      <c r="H9014">
        <v>143000</v>
      </c>
      <c r="I9014" t="s">
        <v>982</v>
      </c>
    </row>
    <row r="9015" spans="1:9" x14ac:dyDescent="0.25">
      <c r="A9015">
        <v>4141</v>
      </c>
      <c r="B9015">
        <v>18</v>
      </c>
      <c r="C9015" t="s">
        <v>946</v>
      </c>
      <c r="D9015" t="s">
        <v>1027</v>
      </c>
      <c r="E9015" t="s">
        <v>306</v>
      </c>
      <c r="F9015" t="s">
        <v>948</v>
      </c>
      <c r="G9015">
        <v>1877777</v>
      </c>
      <c r="H9015">
        <v>501010</v>
      </c>
      <c r="I9015">
        <v>72</v>
      </c>
    </row>
    <row r="9016" spans="1:9" x14ac:dyDescent="0.25">
      <c r="A9016">
        <v>4220</v>
      </c>
      <c r="B9016">
        <v>18</v>
      </c>
      <c r="C9016" t="s">
        <v>946</v>
      </c>
      <c r="D9016" t="s">
        <v>1027</v>
      </c>
      <c r="E9016" t="s">
        <v>306</v>
      </c>
      <c r="F9016" t="s">
        <v>948</v>
      </c>
      <c r="G9016">
        <v>1877777</v>
      </c>
      <c r="H9016">
        <v>501010</v>
      </c>
      <c r="I9016">
        <v>72</v>
      </c>
    </row>
    <row r="9017" spans="1:9" x14ac:dyDescent="0.25">
      <c r="A9017">
        <v>4230</v>
      </c>
      <c r="B9017">
        <v>18</v>
      </c>
      <c r="C9017" t="s">
        <v>946</v>
      </c>
      <c r="D9017" t="s">
        <v>1027</v>
      </c>
      <c r="E9017" t="s">
        <v>306</v>
      </c>
      <c r="F9017" t="s">
        <v>948</v>
      </c>
      <c r="G9017">
        <v>1899999</v>
      </c>
      <c r="H9017">
        <v>401045</v>
      </c>
      <c r="I9017">
        <v>72</v>
      </c>
    </row>
    <row r="9018" spans="1:9" x14ac:dyDescent="0.25">
      <c r="A9018">
        <v>4240</v>
      </c>
      <c r="B9018">
        <v>18</v>
      </c>
      <c r="C9018" t="s">
        <v>946</v>
      </c>
      <c r="D9018" t="s">
        <v>1027</v>
      </c>
      <c r="E9018" t="s">
        <v>306</v>
      </c>
      <c r="F9018" t="s">
        <v>948</v>
      </c>
      <c r="G9018">
        <v>1800000</v>
      </c>
      <c r="H9018">
        <v>143000</v>
      </c>
      <c r="I9018" t="s">
        <v>983</v>
      </c>
    </row>
    <row r="9019" spans="1:9" x14ac:dyDescent="0.25">
      <c r="A9019">
        <v>4141</v>
      </c>
      <c r="B9019">
        <v>18</v>
      </c>
      <c r="C9019" t="s">
        <v>946</v>
      </c>
      <c r="D9019" t="s">
        <v>1027</v>
      </c>
      <c r="E9019" t="s">
        <v>108</v>
      </c>
      <c r="F9019" t="s">
        <v>948</v>
      </c>
      <c r="G9019">
        <v>1877777</v>
      </c>
      <c r="H9019">
        <v>500220</v>
      </c>
      <c r="I9019" t="s">
        <v>949</v>
      </c>
    </row>
    <row r="9020" spans="1:9" x14ac:dyDescent="0.25">
      <c r="A9020">
        <v>4220</v>
      </c>
      <c r="B9020">
        <v>18</v>
      </c>
      <c r="C9020" t="s">
        <v>946</v>
      </c>
      <c r="D9020" t="s">
        <v>1027</v>
      </c>
      <c r="E9020" t="s">
        <v>108</v>
      </c>
      <c r="F9020" t="s">
        <v>948</v>
      </c>
      <c r="G9020">
        <v>1877777</v>
      </c>
      <c r="H9020">
        <v>500220</v>
      </c>
      <c r="I9020" t="s">
        <v>949</v>
      </c>
    </row>
    <row r="9021" spans="1:9" x14ac:dyDescent="0.25">
      <c r="A9021">
        <v>4230</v>
      </c>
      <c r="B9021">
        <v>18</v>
      </c>
      <c r="C9021" t="s">
        <v>946</v>
      </c>
      <c r="D9021" t="s">
        <v>1027</v>
      </c>
      <c r="E9021" t="s">
        <v>108</v>
      </c>
      <c r="F9021" t="s">
        <v>948</v>
      </c>
      <c r="G9021">
        <v>1899999</v>
      </c>
      <c r="H9021">
        <v>401045</v>
      </c>
      <c r="I9021">
        <v>72</v>
      </c>
    </row>
    <row r="9022" spans="1:9" x14ac:dyDescent="0.25">
      <c r="A9022">
        <v>4240</v>
      </c>
      <c r="B9022">
        <v>18</v>
      </c>
      <c r="C9022" t="s">
        <v>946</v>
      </c>
      <c r="D9022" t="s">
        <v>1027</v>
      </c>
      <c r="E9022" t="s">
        <v>108</v>
      </c>
      <c r="F9022" t="s">
        <v>948</v>
      </c>
      <c r="G9022">
        <v>1877777</v>
      </c>
      <c r="H9022">
        <v>500221</v>
      </c>
      <c r="I9022" t="s">
        <v>949</v>
      </c>
    </row>
    <row r="9023" spans="1:9" x14ac:dyDescent="0.25">
      <c r="A9023">
        <v>4141</v>
      </c>
      <c r="B9023">
        <v>18</v>
      </c>
      <c r="C9023" t="s">
        <v>946</v>
      </c>
      <c r="D9023" t="s">
        <v>1027</v>
      </c>
      <c r="E9023" t="s">
        <v>310</v>
      </c>
      <c r="F9023" t="s">
        <v>948</v>
      </c>
      <c r="G9023">
        <v>1877777</v>
      </c>
      <c r="H9023">
        <v>501010</v>
      </c>
      <c r="I9023">
        <v>72</v>
      </c>
    </row>
    <row r="9024" spans="1:9" x14ac:dyDescent="0.25">
      <c r="A9024">
        <v>4220</v>
      </c>
      <c r="B9024">
        <v>18</v>
      </c>
      <c r="C9024" t="s">
        <v>946</v>
      </c>
      <c r="D9024" t="s">
        <v>1027</v>
      </c>
      <c r="E9024" t="s">
        <v>310</v>
      </c>
      <c r="F9024" t="s">
        <v>948</v>
      </c>
      <c r="G9024">
        <v>1877777</v>
      </c>
      <c r="H9024">
        <v>501010</v>
      </c>
      <c r="I9024">
        <v>72</v>
      </c>
    </row>
    <row r="9025" spans="1:9" x14ac:dyDescent="0.25">
      <c r="A9025">
        <v>4230</v>
      </c>
      <c r="B9025">
        <v>18</v>
      </c>
      <c r="C9025" t="s">
        <v>946</v>
      </c>
      <c r="D9025" t="s">
        <v>1027</v>
      </c>
      <c r="E9025" t="s">
        <v>310</v>
      </c>
      <c r="F9025" t="s">
        <v>948</v>
      </c>
      <c r="G9025">
        <v>1899999</v>
      </c>
      <c r="H9025">
        <v>401015</v>
      </c>
      <c r="I9025">
        <v>72</v>
      </c>
    </row>
    <row r="9026" spans="1:9" x14ac:dyDescent="0.25">
      <c r="A9026">
        <v>4240</v>
      </c>
      <c r="B9026">
        <v>18</v>
      </c>
      <c r="C9026" t="s">
        <v>946</v>
      </c>
      <c r="D9026" t="s">
        <v>1027</v>
      </c>
      <c r="E9026" t="s">
        <v>310</v>
      </c>
      <c r="F9026" t="s">
        <v>948</v>
      </c>
      <c r="G9026">
        <v>1800000</v>
      </c>
      <c r="H9026">
        <v>145000</v>
      </c>
      <c r="I9026" t="s">
        <v>949</v>
      </c>
    </row>
    <row r="9027" spans="1:9" x14ac:dyDescent="0.25">
      <c r="A9027">
        <v>4141</v>
      </c>
      <c r="B9027">
        <v>18</v>
      </c>
      <c r="C9027" t="s">
        <v>946</v>
      </c>
      <c r="D9027" t="s">
        <v>1027</v>
      </c>
      <c r="E9027" t="s">
        <v>314</v>
      </c>
      <c r="F9027" t="s">
        <v>948</v>
      </c>
      <c r="G9027">
        <v>1877777</v>
      </c>
      <c r="H9027">
        <v>501010</v>
      </c>
      <c r="I9027">
        <v>72</v>
      </c>
    </row>
    <row r="9028" spans="1:9" x14ac:dyDescent="0.25">
      <c r="A9028">
        <v>4220</v>
      </c>
      <c r="B9028">
        <v>18</v>
      </c>
      <c r="C9028" t="s">
        <v>946</v>
      </c>
      <c r="D9028" t="s">
        <v>1027</v>
      </c>
      <c r="E9028" t="s">
        <v>314</v>
      </c>
      <c r="F9028" t="s">
        <v>948</v>
      </c>
      <c r="G9028">
        <v>1877777</v>
      </c>
      <c r="H9028">
        <v>501010</v>
      </c>
      <c r="I9028">
        <v>72</v>
      </c>
    </row>
    <row r="9029" spans="1:9" x14ac:dyDescent="0.25">
      <c r="A9029">
        <v>4230</v>
      </c>
      <c r="B9029">
        <v>18</v>
      </c>
      <c r="C9029" t="s">
        <v>946</v>
      </c>
      <c r="D9029" t="s">
        <v>1027</v>
      </c>
      <c r="E9029" t="s">
        <v>314</v>
      </c>
      <c r="F9029" t="s">
        <v>948</v>
      </c>
      <c r="G9029">
        <v>1899999</v>
      </c>
      <c r="H9029">
        <v>401065</v>
      </c>
      <c r="I9029">
        <v>72</v>
      </c>
    </row>
    <row r="9030" spans="1:9" x14ac:dyDescent="0.25">
      <c r="A9030">
        <v>4240</v>
      </c>
      <c r="B9030">
        <v>18</v>
      </c>
      <c r="C9030" t="s">
        <v>946</v>
      </c>
      <c r="D9030" t="s">
        <v>1027</v>
      </c>
      <c r="E9030" t="s">
        <v>314</v>
      </c>
      <c r="F9030" t="s">
        <v>948</v>
      </c>
      <c r="G9030">
        <v>1800000</v>
      </c>
      <c r="H9030">
        <v>145000</v>
      </c>
      <c r="I9030" t="s">
        <v>949</v>
      </c>
    </row>
    <row r="9031" spans="1:9" x14ac:dyDescent="0.25">
      <c r="A9031">
        <v>4141</v>
      </c>
      <c r="B9031">
        <v>18</v>
      </c>
      <c r="C9031" t="s">
        <v>946</v>
      </c>
      <c r="D9031" t="s">
        <v>1027</v>
      </c>
      <c r="E9031" t="s">
        <v>113</v>
      </c>
      <c r="F9031" t="s">
        <v>948</v>
      </c>
      <c r="G9031">
        <v>1877777</v>
      </c>
      <c r="H9031">
        <v>500220</v>
      </c>
      <c r="I9031" t="s">
        <v>949</v>
      </c>
    </row>
    <row r="9032" spans="1:9" x14ac:dyDescent="0.25">
      <c r="A9032">
        <v>4220</v>
      </c>
      <c r="B9032">
        <v>18</v>
      </c>
      <c r="C9032" t="s">
        <v>946</v>
      </c>
      <c r="D9032" t="s">
        <v>1027</v>
      </c>
      <c r="E9032" t="s">
        <v>113</v>
      </c>
      <c r="F9032" t="s">
        <v>948</v>
      </c>
      <c r="G9032">
        <v>1877777</v>
      </c>
      <c r="H9032">
        <v>500220</v>
      </c>
      <c r="I9032" t="s">
        <v>949</v>
      </c>
    </row>
    <row r="9033" spans="1:9" x14ac:dyDescent="0.25">
      <c r="A9033">
        <v>4230</v>
      </c>
      <c r="B9033">
        <v>18</v>
      </c>
      <c r="C9033" t="s">
        <v>946</v>
      </c>
      <c r="D9033" t="s">
        <v>1027</v>
      </c>
      <c r="E9033" t="s">
        <v>113</v>
      </c>
      <c r="F9033" t="s">
        <v>948</v>
      </c>
      <c r="G9033">
        <v>1899999</v>
      </c>
      <c r="H9033">
        <v>402085</v>
      </c>
      <c r="I9033">
        <v>72</v>
      </c>
    </row>
    <row r="9034" spans="1:9" x14ac:dyDescent="0.25">
      <c r="A9034">
        <v>4240</v>
      </c>
      <c r="B9034">
        <v>18</v>
      </c>
      <c r="C9034" t="s">
        <v>946</v>
      </c>
      <c r="D9034" t="s">
        <v>1027</v>
      </c>
      <c r="E9034" t="s">
        <v>113</v>
      </c>
      <c r="F9034" t="s">
        <v>948</v>
      </c>
      <c r="G9034">
        <v>1877777</v>
      </c>
      <c r="H9034">
        <v>500221</v>
      </c>
      <c r="I9034" t="s">
        <v>949</v>
      </c>
    </row>
    <row r="9035" spans="1:9" x14ac:dyDescent="0.25">
      <c r="A9035">
        <v>4141</v>
      </c>
      <c r="B9035">
        <v>18</v>
      </c>
      <c r="C9035" t="s">
        <v>946</v>
      </c>
      <c r="D9035" t="s">
        <v>1027</v>
      </c>
      <c r="E9035" t="s">
        <v>117</v>
      </c>
      <c r="F9035" t="s">
        <v>948</v>
      </c>
      <c r="G9035">
        <v>1877777</v>
      </c>
      <c r="H9035">
        <v>500220</v>
      </c>
      <c r="I9035" t="s">
        <v>949</v>
      </c>
    </row>
    <row r="9036" spans="1:9" x14ac:dyDescent="0.25">
      <c r="A9036">
        <v>4220</v>
      </c>
      <c r="B9036">
        <v>18</v>
      </c>
      <c r="C9036" t="s">
        <v>946</v>
      </c>
      <c r="D9036" t="s">
        <v>1027</v>
      </c>
      <c r="E9036" t="s">
        <v>117</v>
      </c>
      <c r="F9036" t="s">
        <v>948</v>
      </c>
      <c r="G9036">
        <v>1877777</v>
      </c>
      <c r="H9036">
        <v>500220</v>
      </c>
      <c r="I9036" t="s">
        <v>949</v>
      </c>
    </row>
    <row r="9037" spans="1:9" x14ac:dyDescent="0.25">
      <c r="A9037">
        <v>4230</v>
      </c>
      <c r="B9037">
        <v>18</v>
      </c>
      <c r="C9037" t="s">
        <v>946</v>
      </c>
      <c r="D9037" t="s">
        <v>1027</v>
      </c>
      <c r="E9037" t="s">
        <v>117</v>
      </c>
      <c r="F9037" t="s">
        <v>948</v>
      </c>
      <c r="G9037">
        <v>1888888</v>
      </c>
      <c r="H9037">
        <v>810600</v>
      </c>
      <c r="I9037">
        <v>72</v>
      </c>
    </row>
    <row r="9038" spans="1:9" x14ac:dyDescent="0.25">
      <c r="A9038">
        <v>4240</v>
      </c>
      <c r="B9038">
        <v>18</v>
      </c>
      <c r="C9038" t="s">
        <v>946</v>
      </c>
      <c r="D9038" t="s">
        <v>1027</v>
      </c>
      <c r="E9038" t="s">
        <v>117</v>
      </c>
      <c r="F9038" t="s">
        <v>948</v>
      </c>
      <c r="G9038">
        <v>1877777</v>
      </c>
      <c r="H9038">
        <v>500221</v>
      </c>
      <c r="I9038" t="s">
        <v>949</v>
      </c>
    </row>
    <row r="9039" spans="1:9" x14ac:dyDescent="0.25">
      <c r="A9039">
        <v>4141</v>
      </c>
      <c r="B9039">
        <v>18</v>
      </c>
      <c r="C9039" t="s">
        <v>946</v>
      </c>
      <c r="D9039" t="s">
        <v>1027</v>
      </c>
      <c r="E9039" t="s">
        <v>121</v>
      </c>
      <c r="F9039" t="s">
        <v>948</v>
      </c>
      <c r="G9039">
        <v>1877777</v>
      </c>
      <c r="H9039">
        <v>500220</v>
      </c>
      <c r="I9039" t="s">
        <v>949</v>
      </c>
    </row>
    <row r="9040" spans="1:9" x14ac:dyDescent="0.25">
      <c r="A9040">
        <v>4220</v>
      </c>
      <c r="B9040">
        <v>18</v>
      </c>
      <c r="C9040" t="s">
        <v>946</v>
      </c>
      <c r="D9040" t="s">
        <v>1027</v>
      </c>
      <c r="E9040" t="s">
        <v>121</v>
      </c>
      <c r="F9040" t="s">
        <v>948</v>
      </c>
      <c r="G9040">
        <v>1877777</v>
      </c>
      <c r="H9040">
        <v>500220</v>
      </c>
      <c r="I9040" t="s">
        <v>949</v>
      </c>
    </row>
    <row r="9041" spans="1:9" x14ac:dyDescent="0.25">
      <c r="A9041">
        <v>4230</v>
      </c>
      <c r="B9041">
        <v>18</v>
      </c>
      <c r="C9041" t="s">
        <v>946</v>
      </c>
      <c r="D9041" t="s">
        <v>1027</v>
      </c>
      <c r="E9041" t="s">
        <v>121</v>
      </c>
      <c r="F9041" t="s">
        <v>948</v>
      </c>
      <c r="G9041">
        <v>1899999</v>
      </c>
      <c r="H9041">
        <v>401045</v>
      </c>
      <c r="I9041">
        <v>72</v>
      </c>
    </row>
    <row r="9042" spans="1:9" x14ac:dyDescent="0.25">
      <c r="A9042">
        <v>4240</v>
      </c>
      <c r="B9042">
        <v>18</v>
      </c>
      <c r="C9042" t="s">
        <v>946</v>
      </c>
      <c r="D9042" t="s">
        <v>1027</v>
      </c>
      <c r="E9042" t="s">
        <v>121</v>
      </c>
      <c r="F9042" t="s">
        <v>948</v>
      </c>
      <c r="G9042">
        <v>1877777</v>
      </c>
      <c r="H9042">
        <v>500221</v>
      </c>
      <c r="I9042" t="s">
        <v>949</v>
      </c>
    </row>
    <row r="9043" spans="1:9" x14ac:dyDescent="0.25">
      <c r="A9043">
        <v>4141</v>
      </c>
      <c r="B9043">
        <v>18</v>
      </c>
      <c r="C9043" t="s">
        <v>946</v>
      </c>
      <c r="D9043" t="s">
        <v>1027</v>
      </c>
      <c r="E9043" t="s">
        <v>984</v>
      </c>
      <c r="F9043" t="s">
        <v>948</v>
      </c>
      <c r="G9043">
        <v>1877777</v>
      </c>
      <c r="H9043">
        <v>501010</v>
      </c>
      <c r="I9043">
        <v>72</v>
      </c>
    </row>
    <row r="9044" spans="1:9" x14ac:dyDescent="0.25">
      <c r="A9044">
        <v>4220</v>
      </c>
      <c r="B9044">
        <v>18</v>
      </c>
      <c r="C9044" t="s">
        <v>946</v>
      </c>
      <c r="D9044" t="s">
        <v>1027</v>
      </c>
      <c r="E9044" t="s">
        <v>984</v>
      </c>
      <c r="F9044" t="s">
        <v>948</v>
      </c>
      <c r="G9044">
        <v>1877777</v>
      </c>
      <c r="H9044">
        <v>501010</v>
      </c>
      <c r="I9044">
        <v>72</v>
      </c>
    </row>
    <row r="9045" spans="1:9" x14ac:dyDescent="0.25">
      <c r="A9045">
        <v>4230</v>
      </c>
      <c r="B9045">
        <v>18</v>
      </c>
      <c r="C9045" t="s">
        <v>946</v>
      </c>
      <c r="D9045" t="s">
        <v>1027</v>
      </c>
      <c r="E9045" t="s">
        <v>984</v>
      </c>
      <c r="F9045" t="s">
        <v>948</v>
      </c>
      <c r="G9045">
        <v>1899999</v>
      </c>
      <c r="H9045">
        <v>401915</v>
      </c>
      <c r="I9045">
        <v>72</v>
      </c>
    </row>
    <row r="9046" spans="1:9" x14ac:dyDescent="0.25">
      <c r="A9046">
        <v>4240</v>
      </c>
      <c r="B9046">
        <v>18</v>
      </c>
      <c r="C9046" t="s">
        <v>946</v>
      </c>
      <c r="D9046" t="s">
        <v>1027</v>
      </c>
      <c r="E9046" t="s">
        <v>984</v>
      </c>
      <c r="F9046" t="s">
        <v>948</v>
      </c>
      <c r="G9046">
        <v>1800000</v>
      </c>
      <c r="H9046">
        <v>141000</v>
      </c>
      <c r="I9046" t="s">
        <v>985</v>
      </c>
    </row>
    <row r="9047" spans="1:9" x14ac:dyDescent="0.25">
      <c r="A9047">
        <v>4245</v>
      </c>
      <c r="B9047">
        <v>18</v>
      </c>
      <c r="C9047" t="s">
        <v>946</v>
      </c>
      <c r="D9047" t="s">
        <v>1028</v>
      </c>
      <c r="E9047" t="s">
        <v>49</v>
      </c>
      <c r="F9047" t="s">
        <v>948</v>
      </c>
      <c r="G9047">
        <v>1800000</v>
      </c>
      <c r="H9047">
        <v>145200</v>
      </c>
      <c r="I9047" t="s">
        <v>949</v>
      </c>
    </row>
    <row r="9048" spans="1:9" x14ac:dyDescent="0.25">
      <c r="A9048">
        <v>4141</v>
      </c>
      <c r="B9048">
        <v>18</v>
      </c>
      <c r="C9048" t="s">
        <v>946</v>
      </c>
      <c r="D9048" t="s">
        <v>1028</v>
      </c>
      <c r="E9048" t="s">
        <v>243</v>
      </c>
      <c r="F9048" t="s">
        <v>948</v>
      </c>
      <c r="G9048">
        <v>1877777</v>
      </c>
      <c r="H9048">
        <v>501010</v>
      </c>
      <c r="I9048">
        <v>50</v>
      </c>
    </row>
    <row r="9049" spans="1:9" x14ac:dyDescent="0.25">
      <c r="A9049">
        <v>4220</v>
      </c>
      <c r="B9049">
        <v>18</v>
      </c>
      <c r="C9049" t="s">
        <v>946</v>
      </c>
      <c r="D9049" t="s">
        <v>1028</v>
      </c>
      <c r="E9049" t="s">
        <v>243</v>
      </c>
      <c r="F9049" t="s">
        <v>948</v>
      </c>
      <c r="G9049">
        <v>1877777</v>
      </c>
      <c r="H9049">
        <v>501010</v>
      </c>
      <c r="I9049">
        <v>50</v>
      </c>
    </row>
    <row r="9050" spans="1:9" x14ac:dyDescent="0.25">
      <c r="A9050">
        <v>4230</v>
      </c>
      <c r="B9050">
        <v>18</v>
      </c>
      <c r="C9050" t="s">
        <v>946</v>
      </c>
      <c r="D9050" t="s">
        <v>1028</v>
      </c>
      <c r="E9050" t="s">
        <v>243</v>
      </c>
      <c r="F9050" t="s">
        <v>948</v>
      </c>
      <c r="G9050">
        <v>1899999</v>
      </c>
      <c r="H9050">
        <v>401055</v>
      </c>
      <c r="I9050">
        <v>50</v>
      </c>
    </row>
    <row r="9051" spans="1:9" x14ac:dyDescent="0.25">
      <c r="A9051">
        <v>4240</v>
      </c>
      <c r="B9051">
        <v>18</v>
      </c>
      <c r="C9051" t="s">
        <v>946</v>
      </c>
      <c r="D9051" t="s">
        <v>1028</v>
      </c>
      <c r="E9051" t="s">
        <v>243</v>
      </c>
      <c r="F9051" t="s">
        <v>948</v>
      </c>
      <c r="G9051">
        <v>1800000</v>
      </c>
      <c r="H9051">
        <v>145000</v>
      </c>
      <c r="I9051" t="s">
        <v>949</v>
      </c>
    </row>
    <row r="9052" spans="1:9" x14ac:dyDescent="0.25">
      <c r="A9052">
        <v>4141</v>
      </c>
      <c r="B9052">
        <v>18</v>
      </c>
      <c r="C9052" t="s">
        <v>946</v>
      </c>
      <c r="D9052" t="s">
        <v>1028</v>
      </c>
      <c r="E9052" t="s">
        <v>247</v>
      </c>
      <c r="F9052" t="s">
        <v>948</v>
      </c>
      <c r="G9052">
        <v>1877777</v>
      </c>
      <c r="H9052">
        <v>501010</v>
      </c>
      <c r="I9052">
        <v>50</v>
      </c>
    </row>
    <row r="9053" spans="1:9" x14ac:dyDescent="0.25">
      <c r="A9053">
        <v>4220</v>
      </c>
      <c r="B9053">
        <v>18</v>
      </c>
      <c r="C9053" t="s">
        <v>946</v>
      </c>
      <c r="D9053" t="s">
        <v>1028</v>
      </c>
      <c r="E9053" t="s">
        <v>247</v>
      </c>
      <c r="F9053" t="s">
        <v>948</v>
      </c>
      <c r="G9053">
        <v>1877777</v>
      </c>
      <c r="H9053">
        <v>501010</v>
      </c>
      <c r="I9053">
        <v>50</v>
      </c>
    </row>
    <row r="9054" spans="1:9" x14ac:dyDescent="0.25">
      <c r="A9054">
        <v>4230</v>
      </c>
      <c r="B9054">
        <v>18</v>
      </c>
      <c r="C9054" t="s">
        <v>946</v>
      </c>
      <c r="D9054" t="s">
        <v>1028</v>
      </c>
      <c r="E9054" t="s">
        <v>247</v>
      </c>
      <c r="F9054" t="s">
        <v>948</v>
      </c>
      <c r="G9054">
        <v>1899999</v>
      </c>
      <c r="H9054">
        <v>401025</v>
      </c>
      <c r="I9054">
        <v>50</v>
      </c>
    </row>
    <row r="9055" spans="1:9" x14ac:dyDescent="0.25">
      <c r="A9055">
        <v>4240</v>
      </c>
      <c r="B9055">
        <v>18</v>
      </c>
      <c r="C9055" t="s">
        <v>946</v>
      </c>
      <c r="D9055" t="s">
        <v>1028</v>
      </c>
      <c r="E9055" t="s">
        <v>247</v>
      </c>
      <c r="F9055" t="s">
        <v>948</v>
      </c>
      <c r="G9055">
        <v>1800000</v>
      </c>
      <c r="H9055">
        <v>145000</v>
      </c>
      <c r="I9055" t="s">
        <v>949</v>
      </c>
    </row>
    <row r="9056" spans="1:9" x14ac:dyDescent="0.25">
      <c r="A9056">
        <v>4141</v>
      </c>
      <c r="B9056">
        <v>18</v>
      </c>
      <c r="C9056" t="s">
        <v>946</v>
      </c>
      <c r="D9056" t="s">
        <v>1028</v>
      </c>
      <c r="E9056" t="s">
        <v>251</v>
      </c>
      <c r="F9056" t="s">
        <v>948</v>
      </c>
      <c r="G9056">
        <v>1877777</v>
      </c>
      <c r="H9056">
        <v>501010</v>
      </c>
      <c r="I9056">
        <v>50</v>
      </c>
    </row>
    <row r="9057" spans="1:9" x14ac:dyDescent="0.25">
      <c r="A9057">
        <v>4220</v>
      </c>
      <c r="B9057">
        <v>18</v>
      </c>
      <c r="C9057" t="s">
        <v>946</v>
      </c>
      <c r="D9057" t="s">
        <v>1028</v>
      </c>
      <c r="E9057" t="s">
        <v>251</v>
      </c>
      <c r="F9057" t="s">
        <v>948</v>
      </c>
      <c r="G9057">
        <v>1877777</v>
      </c>
      <c r="H9057">
        <v>501010</v>
      </c>
      <c r="I9057">
        <v>50</v>
      </c>
    </row>
    <row r="9058" spans="1:9" x14ac:dyDescent="0.25">
      <c r="A9058">
        <v>4230</v>
      </c>
      <c r="B9058">
        <v>18</v>
      </c>
      <c r="C9058" t="s">
        <v>946</v>
      </c>
      <c r="D9058" t="s">
        <v>1028</v>
      </c>
      <c r="E9058" t="s">
        <v>251</v>
      </c>
      <c r="F9058" t="s">
        <v>948</v>
      </c>
      <c r="G9058">
        <v>1899999</v>
      </c>
      <c r="H9058">
        <v>401045</v>
      </c>
      <c r="I9058">
        <v>50</v>
      </c>
    </row>
    <row r="9059" spans="1:9" x14ac:dyDescent="0.25">
      <c r="A9059">
        <v>4240</v>
      </c>
      <c r="B9059">
        <v>18</v>
      </c>
      <c r="C9059" t="s">
        <v>946</v>
      </c>
      <c r="D9059" t="s">
        <v>1028</v>
      </c>
      <c r="E9059" t="s">
        <v>251</v>
      </c>
      <c r="F9059" t="s">
        <v>948</v>
      </c>
      <c r="G9059">
        <v>1800000</v>
      </c>
      <c r="H9059">
        <v>142000</v>
      </c>
      <c r="I9059" t="s">
        <v>949</v>
      </c>
    </row>
    <row r="9060" spans="1:9" x14ac:dyDescent="0.25">
      <c r="A9060">
        <v>4141</v>
      </c>
      <c r="B9060">
        <v>18</v>
      </c>
      <c r="C9060" t="s">
        <v>946</v>
      </c>
      <c r="D9060" t="s">
        <v>1028</v>
      </c>
      <c r="E9060" t="s">
        <v>969</v>
      </c>
      <c r="F9060" t="s">
        <v>948</v>
      </c>
      <c r="G9060">
        <v>1877777</v>
      </c>
      <c r="H9060">
        <v>501010</v>
      </c>
      <c r="I9060">
        <v>50</v>
      </c>
    </row>
    <row r="9061" spans="1:9" x14ac:dyDescent="0.25">
      <c r="A9061">
        <v>4220</v>
      </c>
      <c r="B9061">
        <v>18</v>
      </c>
      <c r="C9061" t="s">
        <v>946</v>
      </c>
      <c r="D9061" t="s">
        <v>1028</v>
      </c>
      <c r="E9061" t="s">
        <v>969</v>
      </c>
      <c r="F9061" t="s">
        <v>948</v>
      </c>
      <c r="G9061">
        <v>1877777</v>
      </c>
      <c r="H9061">
        <v>501010</v>
      </c>
      <c r="I9061">
        <v>50</v>
      </c>
    </row>
    <row r="9062" spans="1:9" x14ac:dyDescent="0.25">
      <c r="A9062">
        <v>4230</v>
      </c>
      <c r="B9062">
        <v>18</v>
      </c>
      <c r="C9062" t="s">
        <v>946</v>
      </c>
      <c r="D9062" t="s">
        <v>1028</v>
      </c>
      <c r="E9062" t="s">
        <v>969</v>
      </c>
      <c r="F9062" t="s">
        <v>948</v>
      </c>
      <c r="G9062">
        <v>1899999</v>
      </c>
      <c r="H9062">
        <v>401915</v>
      </c>
      <c r="I9062">
        <v>50</v>
      </c>
    </row>
    <row r="9063" spans="1:9" x14ac:dyDescent="0.25">
      <c r="A9063">
        <v>4240</v>
      </c>
      <c r="B9063">
        <v>18</v>
      </c>
      <c r="C9063" t="s">
        <v>946</v>
      </c>
      <c r="D9063" t="s">
        <v>1028</v>
      </c>
      <c r="E9063" t="s">
        <v>969</v>
      </c>
      <c r="F9063" t="s">
        <v>948</v>
      </c>
      <c r="G9063">
        <v>1800000</v>
      </c>
      <c r="H9063">
        <v>141000</v>
      </c>
      <c r="I9063" t="s">
        <v>970</v>
      </c>
    </row>
    <row r="9064" spans="1:9" x14ac:dyDescent="0.25">
      <c r="A9064">
        <v>4141</v>
      </c>
      <c r="B9064">
        <v>18</v>
      </c>
      <c r="C9064" t="s">
        <v>946</v>
      </c>
      <c r="D9064" t="s">
        <v>1028</v>
      </c>
      <c r="E9064" t="s">
        <v>255</v>
      </c>
      <c r="F9064" t="s">
        <v>948</v>
      </c>
      <c r="G9064">
        <v>1877777</v>
      </c>
      <c r="H9064">
        <v>501010</v>
      </c>
      <c r="I9064">
        <v>50</v>
      </c>
    </row>
    <row r="9065" spans="1:9" x14ac:dyDescent="0.25">
      <c r="A9065">
        <v>4220</v>
      </c>
      <c r="B9065">
        <v>18</v>
      </c>
      <c r="C9065" t="s">
        <v>946</v>
      </c>
      <c r="D9065" t="s">
        <v>1028</v>
      </c>
      <c r="E9065" t="s">
        <v>255</v>
      </c>
      <c r="F9065" t="s">
        <v>948</v>
      </c>
      <c r="G9065">
        <v>1877777</v>
      </c>
      <c r="H9065">
        <v>501010</v>
      </c>
      <c r="I9065">
        <v>50</v>
      </c>
    </row>
    <row r="9066" spans="1:9" x14ac:dyDescent="0.25">
      <c r="A9066">
        <v>4230</v>
      </c>
      <c r="B9066">
        <v>18</v>
      </c>
      <c r="C9066" t="s">
        <v>946</v>
      </c>
      <c r="D9066" t="s">
        <v>1028</v>
      </c>
      <c r="E9066" t="s">
        <v>255</v>
      </c>
      <c r="F9066" t="s">
        <v>948</v>
      </c>
      <c r="G9066">
        <v>1899999</v>
      </c>
      <c r="H9066">
        <v>401075</v>
      </c>
      <c r="I9066">
        <v>50</v>
      </c>
    </row>
    <row r="9067" spans="1:9" x14ac:dyDescent="0.25">
      <c r="A9067">
        <v>4240</v>
      </c>
      <c r="B9067">
        <v>18</v>
      </c>
      <c r="C9067" t="s">
        <v>946</v>
      </c>
      <c r="D9067" t="s">
        <v>1028</v>
      </c>
      <c r="E9067" t="s">
        <v>255</v>
      </c>
      <c r="F9067" t="s">
        <v>948</v>
      </c>
      <c r="G9067">
        <v>1800000</v>
      </c>
      <c r="H9067">
        <v>145000</v>
      </c>
      <c r="I9067" t="s">
        <v>949</v>
      </c>
    </row>
    <row r="9068" spans="1:9" x14ac:dyDescent="0.25">
      <c r="A9068">
        <v>4141</v>
      </c>
      <c r="B9068">
        <v>18</v>
      </c>
      <c r="C9068" t="s">
        <v>946</v>
      </c>
      <c r="D9068" t="s">
        <v>1028</v>
      </c>
      <c r="E9068" t="s">
        <v>971</v>
      </c>
      <c r="F9068" t="s">
        <v>948</v>
      </c>
      <c r="G9068">
        <v>1877777</v>
      </c>
      <c r="H9068">
        <v>501010</v>
      </c>
      <c r="I9068">
        <v>50</v>
      </c>
    </row>
    <row r="9069" spans="1:9" x14ac:dyDescent="0.25">
      <c r="A9069">
        <v>4220</v>
      </c>
      <c r="B9069">
        <v>18</v>
      </c>
      <c r="C9069" t="s">
        <v>946</v>
      </c>
      <c r="D9069" t="s">
        <v>1028</v>
      </c>
      <c r="E9069" t="s">
        <v>971</v>
      </c>
      <c r="F9069" t="s">
        <v>948</v>
      </c>
      <c r="G9069">
        <v>1877777</v>
      </c>
      <c r="H9069">
        <v>501010</v>
      </c>
      <c r="I9069">
        <v>50</v>
      </c>
    </row>
    <row r="9070" spans="1:9" x14ac:dyDescent="0.25">
      <c r="A9070">
        <v>4230</v>
      </c>
      <c r="B9070">
        <v>18</v>
      </c>
      <c r="C9070" t="s">
        <v>946</v>
      </c>
      <c r="D9070" t="s">
        <v>1028</v>
      </c>
      <c r="E9070" t="s">
        <v>971</v>
      </c>
      <c r="F9070" t="s">
        <v>948</v>
      </c>
      <c r="G9070">
        <v>1899999</v>
      </c>
      <c r="H9070">
        <v>401915</v>
      </c>
      <c r="I9070">
        <v>50</v>
      </c>
    </row>
    <row r="9071" spans="1:9" x14ac:dyDescent="0.25">
      <c r="A9071">
        <v>4240</v>
      </c>
      <c r="B9071">
        <v>18</v>
      </c>
      <c r="C9071" t="s">
        <v>946</v>
      </c>
      <c r="D9071" t="s">
        <v>1028</v>
      </c>
      <c r="E9071" t="s">
        <v>971</v>
      </c>
      <c r="F9071" t="s">
        <v>948</v>
      </c>
      <c r="G9071">
        <v>1800000</v>
      </c>
      <c r="H9071">
        <v>141000</v>
      </c>
      <c r="I9071" t="s">
        <v>972</v>
      </c>
    </row>
    <row r="9072" spans="1:9" x14ac:dyDescent="0.25">
      <c r="A9072">
        <v>4230</v>
      </c>
      <c r="B9072">
        <v>18</v>
      </c>
      <c r="C9072" t="s">
        <v>946</v>
      </c>
      <c r="D9072" t="s">
        <v>1028</v>
      </c>
      <c r="E9072" t="s">
        <v>259</v>
      </c>
      <c r="F9072" t="s">
        <v>948</v>
      </c>
      <c r="G9072">
        <v>1899999</v>
      </c>
      <c r="H9072">
        <v>409005</v>
      </c>
      <c r="I9072">
        <v>50</v>
      </c>
    </row>
    <row r="9073" spans="1:9" x14ac:dyDescent="0.25">
      <c r="A9073">
        <v>4141</v>
      </c>
      <c r="B9073">
        <v>18</v>
      </c>
      <c r="C9073" t="s">
        <v>946</v>
      </c>
      <c r="D9073" t="s">
        <v>1028</v>
      </c>
      <c r="E9073" t="s">
        <v>263</v>
      </c>
      <c r="F9073" t="s">
        <v>948</v>
      </c>
      <c r="G9073">
        <v>1877777</v>
      </c>
      <c r="H9073">
        <v>501010</v>
      </c>
      <c r="I9073">
        <v>50</v>
      </c>
    </row>
    <row r="9074" spans="1:9" x14ac:dyDescent="0.25">
      <c r="A9074">
        <v>4220</v>
      </c>
      <c r="B9074">
        <v>18</v>
      </c>
      <c r="C9074" t="s">
        <v>946</v>
      </c>
      <c r="D9074" t="s">
        <v>1028</v>
      </c>
      <c r="E9074" t="s">
        <v>263</v>
      </c>
      <c r="F9074" t="s">
        <v>948</v>
      </c>
      <c r="G9074">
        <v>1877777</v>
      </c>
      <c r="H9074">
        <v>501010</v>
      </c>
      <c r="I9074">
        <v>50</v>
      </c>
    </row>
    <row r="9075" spans="1:9" x14ac:dyDescent="0.25">
      <c r="A9075">
        <v>4230</v>
      </c>
      <c r="B9075">
        <v>18</v>
      </c>
      <c r="C9075" t="s">
        <v>946</v>
      </c>
      <c r="D9075" t="s">
        <v>1028</v>
      </c>
      <c r="E9075" t="s">
        <v>263</v>
      </c>
      <c r="F9075" t="s">
        <v>948</v>
      </c>
      <c r="G9075">
        <v>1899999</v>
      </c>
      <c r="H9075">
        <v>401045</v>
      </c>
      <c r="I9075">
        <v>50</v>
      </c>
    </row>
    <row r="9076" spans="1:9" x14ac:dyDescent="0.25">
      <c r="A9076">
        <v>4240</v>
      </c>
      <c r="B9076">
        <v>18</v>
      </c>
      <c r="C9076" t="s">
        <v>946</v>
      </c>
      <c r="D9076" t="s">
        <v>1028</v>
      </c>
      <c r="E9076" t="s">
        <v>263</v>
      </c>
      <c r="F9076" t="s">
        <v>948</v>
      </c>
      <c r="G9076">
        <v>1800000</v>
      </c>
      <c r="H9076">
        <v>145000</v>
      </c>
      <c r="I9076" t="s">
        <v>949</v>
      </c>
    </row>
    <row r="9077" spans="1:9" x14ac:dyDescent="0.25">
      <c r="A9077">
        <v>4141</v>
      </c>
      <c r="B9077">
        <v>18</v>
      </c>
      <c r="C9077" t="s">
        <v>946</v>
      </c>
      <c r="D9077" t="s">
        <v>1028</v>
      </c>
      <c r="E9077" t="s">
        <v>100</v>
      </c>
      <c r="F9077" t="s">
        <v>948</v>
      </c>
      <c r="G9077">
        <v>1877777</v>
      </c>
      <c r="H9077">
        <v>500220</v>
      </c>
      <c r="I9077">
        <v>50</v>
      </c>
    </row>
    <row r="9078" spans="1:9" x14ac:dyDescent="0.25">
      <c r="A9078">
        <v>4220</v>
      </c>
      <c r="B9078">
        <v>18</v>
      </c>
      <c r="C9078" t="s">
        <v>946</v>
      </c>
      <c r="D9078" t="s">
        <v>1028</v>
      </c>
      <c r="E9078" t="s">
        <v>100</v>
      </c>
      <c r="F9078" t="s">
        <v>948</v>
      </c>
      <c r="G9078">
        <v>1877777</v>
      </c>
      <c r="H9078">
        <v>500220</v>
      </c>
      <c r="I9078">
        <v>50</v>
      </c>
    </row>
    <row r="9079" spans="1:9" x14ac:dyDescent="0.25">
      <c r="A9079">
        <v>4230</v>
      </c>
      <c r="B9079">
        <v>18</v>
      </c>
      <c r="C9079" t="s">
        <v>946</v>
      </c>
      <c r="D9079" t="s">
        <v>1028</v>
      </c>
      <c r="E9079" t="s">
        <v>100</v>
      </c>
      <c r="F9079" t="s">
        <v>948</v>
      </c>
      <c r="G9079">
        <v>1899999</v>
      </c>
      <c r="H9079">
        <v>401045</v>
      </c>
      <c r="I9079">
        <v>50</v>
      </c>
    </row>
    <row r="9080" spans="1:9" x14ac:dyDescent="0.25">
      <c r="A9080">
        <v>4240</v>
      </c>
      <c r="B9080">
        <v>18</v>
      </c>
      <c r="C9080" t="s">
        <v>946</v>
      </c>
      <c r="D9080" t="s">
        <v>1028</v>
      </c>
      <c r="E9080" t="s">
        <v>100</v>
      </c>
      <c r="F9080" t="s">
        <v>948</v>
      </c>
      <c r="G9080">
        <v>1877777</v>
      </c>
      <c r="H9080">
        <v>500221</v>
      </c>
      <c r="I9080">
        <v>50</v>
      </c>
    </row>
    <row r="9081" spans="1:9" x14ac:dyDescent="0.25">
      <c r="A9081">
        <v>4141</v>
      </c>
      <c r="B9081">
        <v>18</v>
      </c>
      <c r="C9081" t="s">
        <v>946</v>
      </c>
      <c r="D9081" t="s">
        <v>1028</v>
      </c>
      <c r="E9081" t="s">
        <v>270</v>
      </c>
      <c r="F9081" t="s">
        <v>948</v>
      </c>
      <c r="G9081">
        <v>1877777</v>
      </c>
      <c r="H9081">
        <v>501010</v>
      </c>
      <c r="I9081">
        <v>50</v>
      </c>
    </row>
    <row r="9082" spans="1:9" x14ac:dyDescent="0.25">
      <c r="A9082">
        <v>4220</v>
      </c>
      <c r="B9082">
        <v>18</v>
      </c>
      <c r="C9082" t="s">
        <v>946</v>
      </c>
      <c r="D9082" t="s">
        <v>1028</v>
      </c>
      <c r="E9082" t="s">
        <v>270</v>
      </c>
      <c r="F9082" t="s">
        <v>948</v>
      </c>
      <c r="G9082">
        <v>1877777</v>
      </c>
      <c r="H9082">
        <v>501010</v>
      </c>
      <c r="I9082">
        <v>50</v>
      </c>
    </row>
    <row r="9083" spans="1:9" x14ac:dyDescent="0.25">
      <c r="A9083">
        <v>4230</v>
      </c>
      <c r="B9083">
        <v>18</v>
      </c>
      <c r="C9083" t="s">
        <v>946</v>
      </c>
      <c r="D9083" t="s">
        <v>1028</v>
      </c>
      <c r="E9083" t="s">
        <v>270</v>
      </c>
      <c r="F9083" t="s">
        <v>948</v>
      </c>
      <c r="G9083">
        <v>1899999</v>
      </c>
      <c r="H9083">
        <v>401065</v>
      </c>
      <c r="I9083">
        <v>50</v>
      </c>
    </row>
    <row r="9084" spans="1:9" x14ac:dyDescent="0.25">
      <c r="A9084">
        <v>4240</v>
      </c>
      <c r="B9084">
        <v>18</v>
      </c>
      <c r="C9084" t="s">
        <v>946</v>
      </c>
      <c r="D9084" t="s">
        <v>1028</v>
      </c>
      <c r="E9084" t="s">
        <v>270</v>
      </c>
      <c r="F9084" t="s">
        <v>948</v>
      </c>
      <c r="G9084">
        <v>1800000</v>
      </c>
      <c r="H9084">
        <v>145000</v>
      </c>
      <c r="I9084" t="s">
        <v>949</v>
      </c>
    </row>
    <row r="9085" spans="1:9" x14ac:dyDescent="0.25">
      <c r="A9085">
        <v>4141</v>
      </c>
      <c r="B9085">
        <v>18</v>
      </c>
      <c r="C9085" t="s">
        <v>946</v>
      </c>
      <c r="D9085" t="s">
        <v>1028</v>
      </c>
      <c r="E9085" t="s">
        <v>274</v>
      </c>
      <c r="F9085" t="s">
        <v>948</v>
      </c>
      <c r="G9085">
        <v>1877777</v>
      </c>
      <c r="H9085">
        <v>501010</v>
      </c>
      <c r="I9085">
        <v>50</v>
      </c>
    </row>
    <row r="9086" spans="1:9" x14ac:dyDescent="0.25">
      <c r="A9086">
        <v>4220</v>
      </c>
      <c r="B9086">
        <v>18</v>
      </c>
      <c r="C9086" t="s">
        <v>946</v>
      </c>
      <c r="D9086" t="s">
        <v>1028</v>
      </c>
      <c r="E9086" t="s">
        <v>274</v>
      </c>
      <c r="F9086" t="s">
        <v>948</v>
      </c>
      <c r="G9086">
        <v>1877777</v>
      </c>
      <c r="H9086">
        <v>501010</v>
      </c>
      <c r="I9086">
        <v>50</v>
      </c>
    </row>
    <row r="9087" spans="1:9" x14ac:dyDescent="0.25">
      <c r="A9087">
        <v>4230</v>
      </c>
      <c r="B9087">
        <v>18</v>
      </c>
      <c r="C9087" t="s">
        <v>946</v>
      </c>
      <c r="D9087" t="s">
        <v>1028</v>
      </c>
      <c r="E9087" t="s">
        <v>274</v>
      </c>
      <c r="F9087" t="s">
        <v>948</v>
      </c>
      <c r="G9087">
        <v>1899999</v>
      </c>
      <c r="H9087">
        <v>401045</v>
      </c>
      <c r="I9087">
        <v>50</v>
      </c>
    </row>
    <row r="9088" spans="1:9" x14ac:dyDescent="0.25">
      <c r="A9088">
        <v>4240</v>
      </c>
      <c r="B9088">
        <v>18</v>
      </c>
      <c r="C9088" t="s">
        <v>946</v>
      </c>
      <c r="D9088" t="s">
        <v>1028</v>
      </c>
      <c r="E9088" t="s">
        <v>274</v>
      </c>
      <c r="F9088" t="s">
        <v>948</v>
      </c>
      <c r="G9088">
        <v>1800000</v>
      </c>
      <c r="H9088">
        <v>143000</v>
      </c>
      <c r="I9088" t="s">
        <v>973</v>
      </c>
    </row>
    <row r="9089" spans="1:9" x14ac:dyDescent="0.25">
      <c r="A9089">
        <v>4141</v>
      </c>
      <c r="B9089">
        <v>18</v>
      </c>
      <c r="C9089" t="s">
        <v>946</v>
      </c>
      <c r="D9089" t="s">
        <v>1028</v>
      </c>
      <c r="E9089" t="s">
        <v>974</v>
      </c>
      <c r="F9089" t="s">
        <v>948</v>
      </c>
      <c r="G9089">
        <v>1877777</v>
      </c>
      <c r="H9089">
        <v>501010</v>
      </c>
      <c r="I9089">
        <v>50</v>
      </c>
    </row>
    <row r="9090" spans="1:9" x14ac:dyDescent="0.25">
      <c r="A9090">
        <v>4220</v>
      </c>
      <c r="B9090">
        <v>18</v>
      </c>
      <c r="C9090" t="s">
        <v>946</v>
      </c>
      <c r="D9090" t="s">
        <v>1028</v>
      </c>
      <c r="E9090" t="s">
        <v>974</v>
      </c>
      <c r="F9090" t="s">
        <v>948</v>
      </c>
      <c r="G9090">
        <v>1877777</v>
      </c>
      <c r="H9090">
        <v>501010</v>
      </c>
      <c r="I9090">
        <v>50</v>
      </c>
    </row>
    <row r="9091" spans="1:9" x14ac:dyDescent="0.25">
      <c r="A9091">
        <v>4230</v>
      </c>
      <c r="B9091">
        <v>18</v>
      </c>
      <c r="C9091" t="s">
        <v>946</v>
      </c>
      <c r="D9091" t="s">
        <v>1028</v>
      </c>
      <c r="E9091" t="s">
        <v>974</v>
      </c>
      <c r="F9091" t="s">
        <v>948</v>
      </c>
      <c r="G9091">
        <v>1899999</v>
      </c>
      <c r="H9091">
        <v>401915</v>
      </c>
      <c r="I9091">
        <v>50</v>
      </c>
    </row>
    <row r="9092" spans="1:9" x14ac:dyDescent="0.25">
      <c r="A9092">
        <v>4240</v>
      </c>
      <c r="B9092">
        <v>18</v>
      </c>
      <c r="C9092" t="s">
        <v>946</v>
      </c>
      <c r="D9092" t="s">
        <v>1028</v>
      </c>
      <c r="E9092" t="s">
        <v>974</v>
      </c>
      <c r="F9092" t="s">
        <v>948</v>
      </c>
      <c r="G9092">
        <v>1800000</v>
      </c>
      <c r="H9092">
        <v>141000</v>
      </c>
      <c r="I9092" t="s">
        <v>975</v>
      </c>
    </row>
    <row r="9093" spans="1:9" x14ac:dyDescent="0.25">
      <c r="A9093">
        <v>4141</v>
      </c>
      <c r="B9093">
        <v>18</v>
      </c>
      <c r="C9093" t="s">
        <v>946</v>
      </c>
      <c r="D9093" t="s">
        <v>1028</v>
      </c>
      <c r="E9093" t="s">
        <v>104</v>
      </c>
      <c r="F9093" t="s">
        <v>948</v>
      </c>
      <c r="G9093">
        <v>1877777</v>
      </c>
      <c r="H9093">
        <v>500220</v>
      </c>
      <c r="I9093">
        <v>50</v>
      </c>
    </row>
    <row r="9094" spans="1:9" x14ac:dyDescent="0.25">
      <c r="A9094">
        <v>4220</v>
      </c>
      <c r="B9094">
        <v>18</v>
      </c>
      <c r="C9094" t="s">
        <v>946</v>
      </c>
      <c r="D9094" t="s">
        <v>1028</v>
      </c>
      <c r="E9094" t="s">
        <v>104</v>
      </c>
      <c r="F9094" t="s">
        <v>948</v>
      </c>
      <c r="G9094">
        <v>1877777</v>
      </c>
      <c r="H9094">
        <v>500220</v>
      </c>
      <c r="I9094">
        <v>50</v>
      </c>
    </row>
    <row r="9095" spans="1:9" x14ac:dyDescent="0.25">
      <c r="A9095">
        <v>4230</v>
      </c>
      <c r="B9095">
        <v>18</v>
      </c>
      <c r="C9095" t="s">
        <v>946</v>
      </c>
      <c r="D9095" t="s">
        <v>1028</v>
      </c>
      <c r="E9095" t="s">
        <v>104</v>
      </c>
      <c r="F9095" t="s">
        <v>948</v>
      </c>
      <c r="G9095">
        <v>1899999</v>
      </c>
      <c r="H9095">
        <v>401045</v>
      </c>
      <c r="I9095">
        <v>50</v>
      </c>
    </row>
    <row r="9096" spans="1:9" x14ac:dyDescent="0.25">
      <c r="A9096">
        <v>4240</v>
      </c>
      <c r="B9096">
        <v>18</v>
      </c>
      <c r="C9096" t="s">
        <v>946</v>
      </c>
      <c r="D9096" t="s">
        <v>1028</v>
      </c>
      <c r="E9096" t="s">
        <v>104</v>
      </c>
      <c r="F9096" t="s">
        <v>948</v>
      </c>
      <c r="G9096">
        <v>1877777</v>
      </c>
      <c r="H9096">
        <v>500221</v>
      </c>
      <c r="I9096">
        <v>50</v>
      </c>
    </row>
    <row r="9097" spans="1:9" x14ac:dyDescent="0.25">
      <c r="A9097">
        <v>4141</v>
      </c>
      <c r="B9097">
        <v>18</v>
      </c>
      <c r="C9097" t="s">
        <v>946</v>
      </c>
      <c r="D9097" t="s">
        <v>1028</v>
      </c>
      <c r="E9097" t="s">
        <v>278</v>
      </c>
      <c r="F9097" t="s">
        <v>948</v>
      </c>
      <c r="G9097">
        <v>1877777</v>
      </c>
      <c r="H9097">
        <v>501010</v>
      </c>
      <c r="I9097">
        <v>50</v>
      </c>
    </row>
    <row r="9098" spans="1:9" x14ac:dyDescent="0.25">
      <c r="A9098">
        <v>4220</v>
      </c>
      <c r="B9098">
        <v>18</v>
      </c>
      <c r="C9098" t="s">
        <v>946</v>
      </c>
      <c r="D9098" t="s">
        <v>1028</v>
      </c>
      <c r="E9098" t="s">
        <v>278</v>
      </c>
      <c r="F9098" t="s">
        <v>948</v>
      </c>
      <c r="G9098">
        <v>1877777</v>
      </c>
      <c r="H9098">
        <v>501010</v>
      </c>
      <c r="I9098">
        <v>50</v>
      </c>
    </row>
    <row r="9099" spans="1:9" x14ac:dyDescent="0.25">
      <c r="A9099">
        <v>4230</v>
      </c>
      <c r="B9099">
        <v>18</v>
      </c>
      <c r="C9099" t="s">
        <v>946</v>
      </c>
      <c r="D9099" t="s">
        <v>1028</v>
      </c>
      <c r="E9099" t="s">
        <v>278</v>
      </c>
      <c r="F9099" t="s">
        <v>948</v>
      </c>
      <c r="G9099">
        <v>1899999</v>
      </c>
      <c r="H9099">
        <v>401055</v>
      </c>
      <c r="I9099">
        <v>50</v>
      </c>
    </row>
    <row r="9100" spans="1:9" x14ac:dyDescent="0.25">
      <c r="A9100">
        <v>4240</v>
      </c>
      <c r="B9100">
        <v>18</v>
      </c>
      <c r="C9100" t="s">
        <v>946</v>
      </c>
      <c r="D9100" t="s">
        <v>1028</v>
      </c>
      <c r="E9100" t="s">
        <v>278</v>
      </c>
      <c r="F9100" t="s">
        <v>948</v>
      </c>
      <c r="G9100">
        <v>1800000</v>
      </c>
      <c r="H9100">
        <v>145000</v>
      </c>
      <c r="I9100" t="s">
        <v>949</v>
      </c>
    </row>
    <row r="9101" spans="1:9" x14ac:dyDescent="0.25">
      <c r="A9101">
        <v>4141</v>
      </c>
      <c r="B9101">
        <v>18</v>
      </c>
      <c r="C9101" t="s">
        <v>946</v>
      </c>
      <c r="D9101" t="s">
        <v>1028</v>
      </c>
      <c r="E9101" t="s">
        <v>282</v>
      </c>
      <c r="F9101" t="s">
        <v>948</v>
      </c>
      <c r="G9101">
        <v>1877777</v>
      </c>
      <c r="H9101">
        <v>501010</v>
      </c>
      <c r="I9101">
        <v>50</v>
      </c>
    </row>
    <row r="9102" spans="1:9" x14ac:dyDescent="0.25">
      <c r="A9102">
        <v>4220</v>
      </c>
      <c r="B9102">
        <v>18</v>
      </c>
      <c r="C9102" t="s">
        <v>946</v>
      </c>
      <c r="D9102" t="s">
        <v>1028</v>
      </c>
      <c r="E9102" t="s">
        <v>282</v>
      </c>
      <c r="F9102" t="s">
        <v>948</v>
      </c>
      <c r="G9102">
        <v>1877777</v>
      </c>
      <c r="H9102">
        <v>501010</v>
      </c>
      <c r="I9102">
        <v>50</v>
      </c>
    </row>
    <row r="9103" spans="1:9" x14ac:dyDescent="0.25">
      <c r="A9103">
        <v>4230</v>
      </c>
      <c r="B9103">
        <v>18</v>
      </c>
      <c r="C9103" t="s">
        <v>946</v>
      </c>
      <c r="D9103" t="s">
        <v>1028</v>
      </c>
      <c r="E9103" t="s">
        <v>282</v>
      </c>
      <c r="F9103" t="s">
        <v>948</v>
      </c>
      <c r="G9103">
        <v>1899999</v>
      </c>
      <c r="H9103">
        <v>401045</v>
      </c>
      <c r="I9103">
        <v>50</v>
      </c>
    </row>
    <row r="9104" spans="1:9" x14ac:dyDescent="0.25">
      <c r="A9104">
        <v>4240</v>
      </c>
      <c r="B9104">
        <v>18</v>
      </c>
      <c r="C9104" t="s">
        <v>946</v>
      </c>
      <c r="D9104" t="s">
        <v>1028</v>
      </c>
      <c r="E9104" t="s">
        <v>282</v>
      </c>
      <c r="F9104" t="s">
        <v>948</v>
      </c>
      <c r="G9104">
        <v>1800000</v>
      </c>
      <c r="H9104">
        <v>143100</v>
      </c>
      <c r="I9104" t="s">
        <v>949</v>
      </c>
    </row>
    <row r="9105" spans="1:9" x14ac:dyDescent="0.25">
      <c r="A9105">
        <v>4141</v>
      </c>
      <c r="B9105">
        <v>18</v>
      </c>
      <c r="C9105" t="s">
        <v>946</v>
      </c>
      <c r="D9105" t="s">
        <v>1028</v>
      </c>
      <c r="E9105" t="s">
        <v>286</v>
      </c>
      <c r="F9105" t="s">
        <v>948</v>
      </c>
      <c r="G9105">
        <v>1877777</v>
      </c>
      <c r="H9105">
        <v>501010</v>
      </c>
      <c r="I9105">
        <v>50</v>
      </c>
    </row>
    <row r="9106" spans="1:9" x14ac:dyDescent="0.25">
      <c r="A9106">
        <v>4220</v>
      </c>
      <c r="B9106">
        <v>18</v>
      </c>
      <c r="C9106" t="s">
        <v>946</v>
      </c>
      <c r="D9106" t="s">
        <v>1028</v>
      </c>
      <c r="E9106" t="s">
        <v>286</v>
      </c>
      <c r="F9106" t="s">
        <v>948</v>
      </c>
      <c r="G9106">
        <v>1877777</v>
      </c>
      <c r="H9106">
        <v>501010</v>
      </c>
      <c r="I9106">
        <v>50</v>
      </c>
    </row>
    <row r="9107" spans="1:9" x14ac:dyDescent="0.25">
      <c r="A9107">
        <v>4230</v>
      </c>
      <c r="B9107">
        <v>18</v>
      </c>
      <c r="C9107" t="s">
        <v>946</v>
      </c>
      <c r="D9107" t="s">
        <v>1028</v>
      </c>
      <c r="E9107" t="s">
        <v>286</v>
      </c>
      <c r="F9107" t="s">
        <v>948</v>
      </c>
      <c r="G9107">
        <v>1899999</v>
      </c>
      <c r="H9107">
        <v>401035</v>
      </c>
      <c r="I9107">
        <v>50</v>
      </c>
    </row>
    <row r="9108" spans="1:9" x14ac:dyDescent="0.25">
      <c r="A9108">
        <v>4240</v>
      </c>
      <c r="B9108">
        <v>18</v>
      </c>
      <c r="C9108" t="s">
        <v>946</v>
      </c>
      <c r="D9108" t="s">
        <v>1028</v>
      </c>
      <c r="E9108" t="s">
        <v>286</v>
      </c>
      <c r="F9108" t="s">
        <v>948</v>
      </c>
      <c r="G9108">
        <v>1800000</v>
      </c>
      <c r="H9108">
        <v>145000</v>
      </c>
      <c r="I9108" t="s">
        <v>949</v>
      </c>
    </row>
    <row r="9109" spans="1:9" x14ac:dyDescent="0.25">
      <c r="A9109">
        <v>4141</v>
      </c>
      <c r="B9109">
        <v>18</v>
      </c>
      <c r="C9109" t="s">
        <v>946</v>
      </c>
      <c r="D9109" t="s">
        <v>1028</v>
      </c>
      <c r="E9109" t="s">
        <v>976</v>
      </c>
      <c r="F9109" t="s">
        <v>948</v>
      </c>
      <c r="G9109">
        <v>1877777</v>
      </c>
      <c r="H9109">
        <v>501010</v>
      </c>
      <c r="I9109">
        <v>50</v>
      </c>
    </row>
    <row r="9110" spans="1:9" x14ac:dyDescent="0.25">
      <c r="A9110">
        <v>4220</v>
      </c>
      <c r="B9110">
        <v>18</v>
      </c>
      <c r="C9110" t="s">
        <v>946</v>
      </c>
      <c r="D9110" t="s">
        <v>1028</v>
      </c>
      <c r="E9110" t="s">
        <v>976</v>
      </c>
      <c r="F9110" t="s">
        <v>948</v>
      </c>
      <c r="G9110">
        <v>1877777</v>
      </c>
      <c r="H9110">
        <v>501010</v>
      </c>
      <c r="I9110">
        <v>50</v>
      </c>
    </row>
    <row r="9111" spans="1:9" x14ac:dyDescent="0.25">
      <c r="A9111">
        <v>4230</v>
      </c>
      <c r="B9111">
        <v>18</v>
      </c>
      <c r="C9111" t="s">
        <v>946</v>
      </c>
      <c r="D9111" t="s">
        <v>1028</v>
      </c>
      <c r="E9111" t="s">
        <v>976</v>
      </c>
      <c r="F9111" t="s">
        <v>948</v>
      </c>
      <c r="G9111">
        <v>1899999</v>
      </c>
      <c r="H9111">
        <v>401915</v>
      </c>
      <c r="I9111">
        <v>50</v>
      </c>
    </row>
    <row r="9112" spans="1:9" x14ac:dyDescent="0.25">
      <c r="A9112">
        <v>4240</v>
      </c>
      <c r="B9112">
        <v>18</v>
      </c>
      <c r="C9112" t="s">
        <v>946</v>
      </c>
      <c r="D9112" t="s">
        <v>1028</v>
      </c>
      <c r="E9112" t="s">
        <v>976</v>
      </c>
      <c r="F9112" t="s">
        <v>948</v>
      </c>
      <c r="G9112">
        <v>1800000</v>
      </c>
      <c r="H9112">
        <v>141000</v>
      </c>
      <c r="I9112" t="s">
        <v>977</v>
      </c>
    </row>
    <row r="9113" spans="1:9" x14ac:dyDescent="0.25">
      <c r="A9113">
        <v>4141</v>
      </c>
      <c r="B9113">
        <v>18</v>
      </c>
      <c r="C9113" t="s">
        <v>946</v>
      </c>
      <c r="D9113" t="s">
        <v>1028</v>
      </c>
      <c r="E9113" t="s">
        <v>290</v>
      </c>
      <c r="F9113" t="s">
        <v>948</v>
      </c>
      <c r="G9113">
        <v>1877777</v>
      </c>
      <c r="H9113">
        <v>501010</v>
      </c>
      <c r="I9113">
        <v>50</v>
      </c>
    </row>
    <row r="9114" spans="1:9" x14ac:dyDescent="0.25">
      <c r="A9114">
        <v>4220</v>
      </c>
      <c r="B9114">
        <v>18</v>
      </c>
      <c r="C9114" t="s">
        <v>946</v>
      </c>
      <c r="D9114" t="s">
        <v>1028</v>
      </c>
      <c r="E9114" t="s">
        <v>290</v>
      </c>
      <c r="F9114" t="s">
        <v>948</v>
      </c>
      <c r="G9114">
        <v>1877777</v>
      </c>
      <c r="H9114">
        <v>501010</v>
      </c>
      <c r="I9114">
        <v>50</v>
      </c>
    </row>
    <row r="9115" spans="1:9" x14ac:dyDescent="0.25">
      <c r="A9115">
        <v>4230</v>
      </c>
      <c r="B9115">
        <v>18</v>
      </c>
      <c r="C9115" t="s">
        <v>946</v>
      </c>
      <c r="D9115" t="s">
        <v>1028</v>
      </c>
      <c r="E9115" t="s">
        <v>290</v>
      </c>
      <c r="F9115" t="s">
        <v>948</v>
      </c>
      <c r="G9115">
        <v>1899999</v>
      </c>
      <c r="H9115">
        <v>401045</v>
      </c>
      <c r="I9115">
        <v>50</v>
      </c>
    </row>
    <row r="9116" spans="1:9" x14ac:dyDescent="0.25">
      <c r="A9116">
        <v>4240</v>
      </c>
      <c r="B9116">
        <v>18</v>
      </c>
      <c r="C9116" t="s">
        <v>946</v>
      </c>
      <c r="D9116" t="s">
        <v>1028</v>
      </c>
      <c r="E9116" t="s">
        <v>290</v>
      </c>
      <c r="F9116" t="s">
        <v>948</v>
      </c>
      <c r="G9116">
        <v>1800000</v>
      </c>
      <c r="H9116">
        <v>143000</v>
      </c>
      <c r="I9116" t="s">
        <v>978</v>
      </c>
    </row>
    <row r="9117" spans="1:9" x14ac:dyDescent="0.25">
      <c r="A9117">
        <v>4141</v>
      </c>
      <c r="B9117">
        <v>18</v>
      </c>
      <c r="C9117" t="s">
        <v>946</v>
      </c>
      <c r="D9117" t="s">
        <v>1028</v>
      </c>
      <c r="E9117" t="s">
        <v>294</v>
      </c>
      <c r="F9117" t="s">
        <v>948</v>
      </c>
      <c r="G9117">
        <v>1877777</v>
      </c>
      <c r="H9117">
        <v>501010</v>
      </c>
      <c r="I9117">
        <v>50</v>
      </c>
    </row>
    <row r="9118" spans="1:9" x14ac:dyDescent="0.25">
      <c r="A9118">
        <v>4220</v>
      </c>
      <c r="B9118">
        <v>18</v>
      </c>
      <c r="C9118" t="s">
        <v>946</v>
      </c>
      <c r="D9118" t="s">
        <v>1028</v>
      </c>
      <c r="E9118" t="s">
        <v>294</v>
      </c>
      <c r="F9118" t="s">
        <v>948</v>
      </c>
      <c r="G9118">
        <v>1877777</v>
      </c>
      <c r="H9118">
        <v>501010</v>
      </c>
      <c r="I9118">
        <v>50</v>
      </c>
    </row>
    <row r="9119" spans="1:9" x14ac:dyDescent="0.25">
      <c r="A9119">
        <v>4230</v>
      </c>
      <c r="B9119">
        <v>18</v>
      </c>
      <c r="C9119" t="s">
        <v>946</v>
      </c>
      <c r="D9119" t="s">
        <v>1028</v>
      </c>
      <c r="E9119" t="s">
        <v>294</v>
      </c>
      <c r="F9119" t="s">
        <v>948</v>
      </c>
      <c r="G9119">
        <v>1899999</v>
      </c>
      <c r="H9119">
        <v>401045</v>
      </c>
      <c r="I9119">
        <v>50</v>
      </c>
    </row>
    <row r="9120" spans="1:9" x14ac:dyDescent="0.25">
      <c r="A9120">
        <v>4240</v>
      </c>
      <c r="B9120">
        <v>18</v>
      </c>
      <c r="C9120" t="s">
        <v>946</v>
      </c>
      <c r="D9120" t="s">
        <v>1028</v>
      </c>
      <c r="E9120" t="s">
        <v>294</v>
      </c>
      <c r="F9120" t="s">
        <v>948</v>
      </c>
      <c r="G9120">
        <v>1800000</v>
      </c>
      <c r="H9120">
        <v>143000</v>
      </c>
      <c r="I9120" t="s">
        <v>979</v>
      </c>
    </row>
    <row r="9121" spans="1:9" x14ac:dyDescent="0.25">
      <c r="A9121">
        <v>4230</v>
      </c>
      <c r="B9121">
        <v>18</v>
      </c>
      <c r="C9121" t="s">
        <v>946</v>
      </c>
      <c r="D9121" t="s">
        <v>1028</v>
      </c>
      <c r="E9121" t="s">
        <v>298</v>
      </c>
      <c r="F9121" t="s">
        <v>948</v>
      </c>
      <c r="G9121">
        <v>1899999</v>
      </c>
      <c r="H9121">
        <v>402085</v>
      </c>
      <c r="I9121">
        <v>50</v>
      </c>
    </row>
    <row r="9122" spans="1:9" x14ac:dyDescent="0.25">
      <c r="A9122">
        <v>4141</v>
      </c>
      <c r="B9122">
        <v>18</v>
      </c>
      <c r="C9122" t="s">
        <v>946</v>
      </c>
      <c r="D9122" t="s">
        <v>1028</v>
      </c>
      <c r="E9122" t="s">
        <v>980</v>
      </c>
      <c r="F9122" t="s">
        <v>948</v>
      </c>
      <c r="G9122">
        <v>1877777</v>
      </c>
      <c r="H9122">
        <v>501010</v>
      </c>
      <c r="I9122">
        <v>50</v>
      </c>
    </row>
    <row r="9123" spans="1:9" x14ac:dyDescent="0.25">
      <c r="A9123">
        <v>4220</v>
      </c>
      <c r="B9123">
        <v>18</v>
      </c>
      <c r="C9123" t="s">
        <v>946</v>
      </c>
      <c r="D9123" t="s">
        <v>1028</v>
      </c>
      <c r="E9123" t="s">
        <v>980</v>
      </c>
      <c r="F9123" t="s">
        <v>948</v>
      </c>
      <c r="G9123">
        <v>1877777</v>
      </c>
      <c r="H9123">
        <v>501010</v>
      </c>
      <c r="I9123">
        <v>50</v>
      </c>
    </row>
    <row r="9124" spans="1:9" x14ac:dyDescent="0.25">
      <c r="A9124">
        <v>4230</v>
      </c>
      <c r="B9124">
        <v>18</v>
      </c>
      <c r="C9124" t="s">
        <v>946</v>
      </c>
      <c r="D9124" t="s">
        <v>1028</v>
      </c>
      <c r="E9124" t="s">
        <v>980</v>
      </c>
      <c r="F9124" t="s">
        <v>948</v>
      </c>
      <c r="G9124">
        <v>1899999</v>
      </c>
      <c r="H9124">
        <v>401915</v>
      </c>
      <c r="I9124">
        <v>50</v>
      </c>
    </row>
    <row r="9125" spans="1:9" x14ac:dyDescent="0.25">
      <c r="A9125">
        <v>4240</v>
      </c>
      <c r="B9125">
        <v>18</v>
      </c>
      <c r="C9125" t="s">
        <v>946</v>
      </c>
      <c r="D9125" t="s">
        <v>1028</v>
      </c>
      <c r="E9125" t="s">
        <v>980</v>
      </c>
      <c r="F9125" t="s">
        <v>948</v>
      </c>
      <c r="G9125">
        <v>1800000</v>
      </c>
      <c r="H9125">
        <v>141000</v>
      </c>
      <c r="I9125" t="s">
        <v>981</v>
      </c>
    </row>
    <row r="9126" spans="1:9" x14ac:dyDescent="0.25">
      <c r="A9126">
        <v>4141</v>
      </c>
      <c r="B9126">
        <v>18</v>
      </c>
      <c r="C9126" t="s">
        <v>946</v>
      </c>
      <c r="D9126" t="s">
        <v>1028</v>
      </c>
      <c r="E9126" t="s">
        <v>302</v>
      </c>
      <c r="F9126" t="s">
        <v>948</v>
      </c>
      <c r="G9126">
        <v>1877777</v>
      </c>
      <c r="H9126">
        <v>501010</v>
      </c>
      <c r="I9126">
        <v>50</v>
      </c>
    </row>
    <row r="9127" spans="1:9" x14ac:dyDescent="0.25">
      <c r="A9127">
        <v>4220</v>
      </c>
      <c r="B9127">
        <v>18</v>
      </c>
      <c r="C9127" t="s">
        <v>946</v>
      </c>
      <c r="D9127" t="s">
        <v>1028</v>
      </c>
      <c r="E9127" t="s">
        <v>302</v>
      </c>
      <c r="F9127" t="s">
        <v>948</v>
      </c>
      <c r="G9127">
        <v>1877777</v>
      </c>
      <c r="H9127">
        <v>501010</v>
      </c>
      <c r="I9127">
        <v>50</v>
      </c>
    </row>
    <row r="9128" spans="1:9" x14ac:dyDescent="0.25">
      <c r="A9128">
        <v>4230</v>
      </c>
      <c r="B9128">
        <v>18</v>
      </c>
      <c r="C9128" t="s">
        <v>946</v>
      </c>
      <c r="D9128" t="s">
        <v>1028</v>
      </c>
      <c r="E9128" t="s">
        <v>302</v>
      </c>
      <c r="F9128" t="s">
        <v>948</v>
      </c>
      <c r="G9128">
        <v>1899999</v>
      </c>
      <c r="H9128">
        <v>401905</v>
      </c>
      <c r="I9128">
        <v>50</v>
      </c>
    </row>
    <row r="9129" spans="1:9" x14ac:dyDescent="0.25">
      <c r="A9129">
        <v>4240</v>
      </c>
      <c r="B9129">
        <v>18</v>
      </c>
      <c r="C9129" t="s">
        <v>946</v>
      </c>
      <c r="D9129" t="s">
        <v>1028</v>
      </c>
      <c r="E9129" t="s">
        <v>302</v>
      </c>
      <c r="F9129" t="s">
        <v>948</v>
      </c>
      <c r="G9129">
        <v>1800000</v>
      </c>
      <c r="H9129">
        <v>143000</v>
      </c>
      <c r="I9129" t="s">
        <v>982</v>
      </c>
    </row>
    <row r="9130" spans="1:9" x14ac:dyDescent="0.25">
      <c r="A9130">
        <v>4141</v>
      </c>
      <c r="B9130">
        <v>18</v>
      </c>
      <c r="C9130" t="s">
        <v>946</v>
      </c>
      <c r="D9130" t="s">
        <v>1028</v>
      </c>
      <c r="E9130" t="s">
        <v>306</v>
      </c>
      <c r="F9130" t="s">
        <v>948</v>
      </c>
      <c r="G9130">
        <v>1877777</v>
      </c>
      <c r="H9130">
        <v>501010</v>
      </c>
      <c r="I9130">
        <v>50</v>
      </c>
    </row>
    <row r="9131" spans="1:9" x14ac:dyDescent="0.25">
      <c r="A9131">
        <v>4220</v>
      </c>
      <c r="B9131">
        <v>18</v>
      </c>
      <c r="C9131" t="s">
        <v>946</v>
      </c>
      <c r="D9131" t="s">
        <v>1028</v>
      </c>
      <c r="E9131" t="s">
        <v>306</v>
      </c>
      <c r="F9131" t="s">
        <v>948</v>
      </c>
      <c r="G9131">
        <v>1877777</v>
      </c>
      <c r="H9131">
        <v>501010</v>
      </c>
      <c r="I9131">
        <v>50</v>
      </c>
    </row>
    <row r="9132" spans="1:9" x14ac:dyDescent="0.25">
      <c r="A9132">
        <v>4230</v>
      </c>
      <c r="B9132">
        <v>18</v>
      </c>
      <c r="C9132" t="s">
        <v>946</v>
      </c>
      <c r="D9132" t="s">
        <v>1028</v>
      </c>
      <c r="E9132" t="s">
        <v>306</v>
      </c>
      <c r="F9132" t="s">
        <v>948</v>
      </c>
      <c r="G9132">
        <v>1899999</v>
      </c>
      <c r="H9132">
        <v>401045</v>
      </c>
      <c r="I9132">
        <v>50</v>
      </c>
    </row>
    <row r="9133" spans="1:9" x14ac:dyDescent="0.25">
      <c r="A9133">
        <v>4240</v>
      </c>
      <c r="B9133">
        <v>18</v>
      </c>
      <c r="C9133" t="s">
        <v>946</v>
      </c>
      <c r="D9133" t="s">
        <v>1028</v>
      </c>
      <c r="E9133" t="s">
        <v>306</v>
      </c>
      <c r="F9133" t="s">
        <v>948</v>
      </c>
      <c r="G9133">
        <v>1800000</v>
      </c>
      <c r="H9133">
        <v>143000</v>
      </c>
      <c r="I9133" t="s">
        <v>983</v>
      </c>
    </row>
    <row r="9134" spans="1:9" x14ac:dyDescent="0.25">
      <c r="A9134">
        <v>4141</v>
      </c>
      <c r="B9134">
        <v>18</v>
      </c>
      <c r="C9134" t="s">
        <v>946</v>
      </c>
      <c r="D9134" t="s">
        <v>1028</v>
      </c>
      <c r="E9134" t="s">
        <v>108</v>
      </c>
      <c r="F9134" t="s">
        <v>948</v>
      </c>
      <c r="G9134">
        <v>1877777</v>
      </c>
      <c r="H9134">
        <v>500220</v>
      </c>
      <c r="I9134">
        <v>50</v>
      </c>
    </row>
    <row r="9135" spans="1:9" x14ac:dyDescent="0.25">
      <c r="A9135">
        <v>4220</v>
      </c>
      <c r="B9135">
        <v>18</v>
      </c>
      <c r="C9135" t="s">
        <v>946</v>
      </c>
      <c r="D9135" t="s">
        <v>1028</v>
      </c>
      <c r="E9135" t="s">
        <v>108</v>
      </c>
      <c r="F9135" t="s">
        <v>948</v>
      </c>
      <c r="G9135">
        <v>1877777</v>
      </c>
      <c r="H9135">
        <v>500220</v>
      </c>
      <c r="I9135">
        <v>50</v>
      </c>
    </row>
    <row r="9136" spans="1:9" x14ac:dyDescent="0.25">
      <c r="A9136">
        <v>4230</v>
      </c>
      <c r="B9136">
        <v>18</v>
      </c>
      <c r="C9136" t="s">
        <v>946</v>
      </c>
      <c r="D9136" t="s">
        <v>1028</v>
      </c>
      <c r="E9136" t="s">
        <v>108</v>
      </c>
      <c r="F9136" t="s">
        <v>948</v>
      </c>
      <c r="G9136">
        <v>1899999</v>
      </c>
      <c r="H9136">
        <v>401045</v>
      </c>
      <c r="I9136">
        <v>50</v>
      </c>
    </row>
    <row r="9137" spans="1:9" x14ac:dyDescent="0.25">
      <c r="A9137">
        <v>4240</v>
      </c>
      <c r="B9137">
        <v>18</v>
      </c>
      <c r="C9137" t="s">
        <v>946</v>
      </c>
      <c r="D9137" t="s">
        <v>1028</v>
      </c>
      <c r="E9137" t="s">
        <v>108</v>
      </c>
      <c r="F9137" t="s">
        <v>948</v>
      </c>
      <c r="G9137">
        <v>1877777</v>
      </c>
      <c r="H9137">
        <v>500221</v>
      </c>
      <c r="I9137">
        <v>50</v>
      </c>
    </row>
    <row r="9138" spans="1:9" x14ac:dyDescent="0.25">
      <c r="A9138">
        <v>4141</v>
      </c>
      <c r="B9138">
        <v>18</v>
      </c>
      <c r="C9138" t="s">
        <v>946</v>
      </c>
      <c r="D9138" t="s">
        <v>1028</v>
      </c>
      <c r="E9138" t="s">
        <v>310</v>
      </c>
      <c r="F9138" t="s">
        <v>948</v>
      </c>
      <c r="G9138">
        <v>1877777</v>
      </c>
      <c r="H9138">
        <v>501010</v>
      </c>
      <c r="I9138">
        <v>50</v>
      </c>
    </row>
    <row r="9139" spans="1:9" x14ac:dyDescent="0.25">
      <c r="A9139">
        <v>4220</v>
      </c>
      <c r="B9139">
        <v>18</v>
      </c>
      <c r="C9139" t="s">
        <v>946</v>
      </c>
      <c r="D9139" t="s">
        <v>1028</v>
      </c>
      <c r="E9139" t="s">
        <v>310</v>
      </c>
      <c r="F9139" t="s">
        <v>948</v>
      </c>
      <c r="G9139">
        <v>1877777</v>
      </c>
      <c r="H9139">
        <v>501010</v>
      </c>
      <c r="I9139">
        <v>50</v>
      </c>
    </row>
    <row r="9140" spans="1:9" x14ac:dyDescent="0.25">
      <c r="A9140">
        <v>4230</v>
      </c>
      <c r="B9140">
        <v>18</v>
      </c>
      <c r="C9140" t="s">
        <v>946</v>
      </c>
      <c r="D9140" t="s">
        <v>1028</v>
      </c>
      <c r="E9140" t="s">
        <v>310</v>
      </c>
      <c r="F9140" t="s">
        <v>948</v>
      </c>
      <c r="G9140">
        <v>1899999</v>
      </c>
      <c r="H9140">
        <v>401015</v>
      </c>
      <c r="I9140">
        <v>50</v>
      </c>
    </row>
    <row r="9141" spans="1:9" x14ac:dyDescent="0.25">
      <c r="A9141">
        <v>4240</v>
      </c>
      <c r="B9141">
        <v>18</v>
      </c>
      <c r="C9141" t="s">
        <v>946</v>
      </c>
      <c r="D9141" t="s">
        <v>1028</v>
      </c>
      <c r="E9141" t="s">
        <v>310</v>
      </c>
      <c r="F9141" t="s">
        <v>948</v>
      </c>
      <c r="G9141">
        <v>1800000</v>
      </c>
      <c r="H9141">
        <v>145000</v>
      </c>
      <c r="I9141" t="s">
        <v>949</v>
      </c>
    </row>
    <row r="9142" spans="1:9" x14ac:dyDescent="0.25">
      <c r="A9142">
        <v>4141</v>
      </c>
      <c r="B9142">
        <v>18</v>
      </c>
      <c r="C9142" t="s">
        <v>946</v>
      </c>
      <c r="D9142" t="s">
        <v>1028</v>
      </c>
      <c r="E9142" t="s">
        <v>314</v>
      </c>
      <c r="F9142" t="s">
        <v>948</v>
      </c>
      <c r="G9142">
        <v>1877777</v>
      </c>
      <c r="H9142">
        <v>501010</v>
      </c>
      <c r="I9142">
        <v>50</v>
      </c>
    </row>
    <row r="9143" spans="1:9" x14ac:dyDescent="0.25">
      <c r="A9143">
        <v>4220</v>
      </c>
      <c r="B9143">
        <v>18</v>
      </c>
      <c r="C9143" t="s">
        <v>946</v>
      </c>
      <c r="D9143" t="s">
        <v>1028</v>
      </c>
      <c r="E9143" t="s">
        <v>314</v>
      </c>
      <c r="F9143" t="s">
        <v>948</v>
      </c>
      <c r="G9143">
        <v>1877777</v>
      </c>
      <c r="H9143">
        <v>501010</v>
      </c>
      <c r="I9143">
        <v>50</v>
      </c>
    </row>
    <row r="9144" spans="1:9" x14ac:dyDescent="0.25">
      <c r="A9144">
        <v>4230</v>
      </c>
      <c r="B9144">
        <v>18</v>
      </c>
      <c r="C9144" t="s">
        <v>946</v>
      </c>
      <c r="D9144" t="s">
        <v>1028</v>
      </c>
      <c r="E9144" t="s">
        <v>314</v>
      </c>
      <c r="F9144" t="s">
        <v>948</v>
      </c>
      <c r="G9144">
        <v>1899999</v>
      </c>
      <c r="H9144">
        <v>401065</v>
      </c>
      <c r="I9144">
        <v>50</v>
      </c>
    </row>
    <row r="9145" spans="1:9" x14ac:dyDescent="0.25">
      <c r="A9145">
        <v>4240</v>
      </c>
      <c r="B9145">
        <v>18</v>
      </c>
      <c r="C9145" t="s">
        <v>946</v>
      </c>
      <c r="D9145" t="s">
        <v>1028</v>
      </c>
      <c r="E9145" t="s">
        <v>314</v>
      </c>
      <c r="F9145" t="s">
        <v>948</v>
      </c>
      <c r="G9145">
        <v>1800000</v>
      </c>
      <c r="H9145">
        <v>145000</v>
      </c>
      <c r="I9145" t="s">
        <v>949</v>
      </c>
    </row>
    <row r="9146" spans="1:9" x14ac:dyDescent="0.25">
      <c r="A9146">
        <v>4141</v>
      </c>
      <c r="B9146">
        <v>18</v>
      </c>
      <c r="C9146" t="s">
        <v>946</v>
      </c>
      <c r="D9146" t="s">
        <v>1028</v>
      </c>
      <c r="E9146" t="s">
        <v>113</v>
      </c>
      <c r="F9146" t="s">
        <v>948</v>
      </c>
      <c r="G9146">
        <v>1877777</v>
      </c>
      <c r="H9146">
        <v>500220</v>
      </c>
      <c r="I9146">
        <v>50</v>
      </c>
    </row>
    <row r="9147" spans="1:9" x14ac:dyDescent="0.25">
      <c r="A9147">
        <v>4220</v>
      </c>
      <c r="B9147">
        <v>18</v>
      </c>
      <c r="C9147" t="s">
        <v>946</v>
      </c>
      <c r="D9147" t="s">
        <v>1028</v>
      </c>
      <c r="E9147" t="s">
        <v>113</v>
      </c>
      <c r="F9147" t="s">
        <v>948</v>
      </c>
      <c r="G9147">
        <v>1877777</v>
      </c>
      <c r="H9147">
        <v>500220</v>
      </c>
      <c r="I9147">
        <v>50</v>
      </c>
    </row>
    <row r="9148" spans="1:9" x14ac:dyDescent="0.25">
      <c r="A9148">
        <v>4230</v>
      </c>
      <c r="B9148">
        <v>18</v>
      </c>
      <c r="C9148" t="s">
        <v>946</v>
      </c>
      <c r="D9148" t="s">
        <v>1028</v>
      </c>
      <c r="E9148" t="s">
        <v>113</v>
      </c>
      <c r="F9148" t="s">
        <v>948</v>
      </c>
      <c r="G9148">
        <v>1899999</v>
      </c>
      <c r="H9148">
        <v>402085</v>
      </c>
      <c r="I9148">
        <v>50</v>
      </c>
    </row>
    <row r="9149" spans="1:9" x14ac:dyDescent="0.25">
      <c r="A9149">
        <v>4240</v>
      </c>
      <c r="B9149">
        <v>18</v>
      </c>
      <c r="C9149" t="s">
        <v>946</v>
      </c>
      <c r="D9149" t="s">
        <v>1028</v>
      </c>
      <c r="E9149" t="s">
        <v>113</v>
      </c>
      <c r="F9149" t="s">
        <v>948</v>
      </c>
      <c r="G9149">
        <v>1877777</v>
      </c>
      <c r="H9149">
        <v>500221</v>
      </c>
      <c r="I9149">
        <v>50</v>
      </c>
    </row>
    <row r="9150" spans="1:9" x14ac:dyDescent="0.25">
      <c r="A9150">
        <v>4141</v>
      </c>
      <c r="B9150">
        <v>18</v>
      </c>
      <c r="C9150" t="s">
        <v>946</v>
      </c>
      <c r="D9150" t="s">
        <v>1028</v>
      </c>
      <c r="E9150" t="s">
        <v>117</v>
      </c>
      <c r="F9150" t="s">
        <v>948</v>
      </c>
      <c r="G9150">
        <v>1877777</v>
      </c>
      <c r="H9150">
        <v>500220</v>
      </c>
      <c r="I9150">
        <v>50</v>
      </c>
    </row>
    <row r="9151" spans="1:9" x14ac:dyDescent="0.25">
      <c r="A9151">
        <v>4220</v>
      </c>
      <c r="B9151">
        <v>18</v>
      </c>
      <c r="C9151" t="s">
        <v>946</v>
      </c>
      <c r="D9151" t="s">
        <v>1028</v>
      </c>
      <c r="E9151" t="s">
        <v>117</v>
      </c>
      <c r="F9151" t="s">
        <v>948</v>
      </c>
      <c r="G9151">
        <v>1877777</v>
      </c>
      <c r="H9151">
        <v>500220</v>
      </c>
      <c r="I9151">
        <v>50</v>
      </c>
    </row>
    <row r="9152" spans="1:9" x14ac:dyDescent="0.25">
      <c r="A9152">
        <v>4230</v>
      </c>
      <c r="B9152">
        <v>18</v>
      </c>
      <c r="C9152" t="s">
        <v>946</v>
      </c>
      <c r="D9152" t="s">
        <v>1028</v>
      </c>
      <c r="E9152" t="s">
        <v>117</v>
      </c>
      <c r="F9152" t="s">
        <v>948</v>
      </c>
      <c r="G9152">
        <v>1888888</v>
      </c>
      <c r="H9152">
        <v>810600</v>
      </c>
      <c r="I9152">
        <v>50</v>
      </c>
    </row>
    <row r="9153" spans="1:9" x14ac:dyDescent="0.25">
      <c r="A9153">
        <v>4240</v>
      </c>
      <c r="B9153">
        <v>18</v>
      </c>
      <c r="C9153" t="s">
        <v>946</v>
      </c>
      <c r="D9153" t="s">
        <v>1028</v>
      </c>
      <c r="E9153" t="s">
        <v>117</v>
      </c>
      <c r="F9153" t="s">
        <v>948</v>
      </c>
      <c r="G9153">
        <v>1877777</v>
      </c>
      <c r="H9153">
        <v>500221</v>
      </c>
      <c r="I9153">
        <v>50</v>
      </c>
    </row>
    <row r="9154" spans="1:9" x14ac:dyDescent="0.25">
      <c r="A9154">
        <v>4141</v>
      </c>
      <c r="B9154">
        <v>18</v>
      </c>
      <c r="C9154" t="s">
        <v>946</v>
      </c>
      <c r="D9154" t="s">
        <v>1028</v>
      </c>
      <c r="E9154" t="s">
        <v>121</v>
      </c>
      <c r="F9154" t="s">
        <v>948</v>
      </c>
      <c r="G9154">
        <v>1877777</v>
      </c>
      <c r="H9154">
        <v>500220</v>
      </c>
      <c r="I9154">
        <v>50</v>
      </c>
    </row>
    <row r="9155" spans="1:9" x14ac:dyDescent="0.25">
      <c r="A9155">
        <v>4220</v>
      </c>
      <c r="B9155">
        <v>18</v>
      </c>
      <c r="C9155" t="s">
        <v>946</v>
      </c>
      <c r="D9155" t="s">
        <v>1028</v>
      </c>
      <c r="E9155" t="s">
        <v>121</v>
      </c>
      <c r="F9155" t="s">
        <v>948</v>
      </c>
      <c r="G9155">
        <v>1877777</v>
      </c>
      <c r="H9155">
        <v>500220</v>
      </c>
      <c r="I9155">
        <v>50</v>
      </c>
    </row>
    <row r="9156" spans="1:9" x14ac:dyDescent="0.25">
      <c r="A9156">
        <v>4230</v>
      </c>
      <c r="B9156">
        <v>18</v>
      </c>
      <c r="C9156" t="s">
        <v>946</v>
      </c>
      <c r="D9156" t="s">
        <v>1028</v>
      </c>
      <c r="E9156" t="s">
        <v>121</v>
      </c>
      <c r="F9156" t="s">
        <v>948</v>
      </c>
      <c r="G9156">
        <v>1899999</v>
      </c>
      <c r="H9156">
        <v>401045</v>
      </c>
      <c r="I9156">
        <v>50</v>
      </c>
    </row>
    <row r="9157" spans="1:9" x14ac:dyDescent="0.25">
      <c r="A9157">
        <v>4240</v>
      </c>
      <c r="B9157">
        <v>18</v>
      </c>
      <c r="C9157" t="s">
        <v>946</v>
      </c>
      <c r="D9157" t="s">
        <v>1028</v>
      </c>
      <c r="E9157" t="s">
        <v>121</v>
      </c>
      <c r="F9157" t="s">
        <v>948</v>
      </c>
      <c r="G9157">
        <v>1877777</v>
      </c>
      <c r="H9157">
        <v>500221</v>
      </c>
      <c r="I9157">
        <v>50</v>
      </c>
    </row>
    <row r="9158" spans="1:9" x14ac:dyDescent="0.25">
      <c r="A9158">
        <v>4141</v>
      </c>
      <c r="B9158">
        <v>18</v>
      </c>
      <c r="C9158" t="s">
        <v>946</v>
      </c>
      <c r="D9158" t="s">
        <v>1028</v>
      </c>
      <c r="E9158" t="s">
        <v>984</v>
      </c>
      <c r="F9158" t="s">
        <v>948</v>
      </c>
      <c r="G9158">
        <v>1877777</v>
      </c>
      <c r="H9158">
        <v>501010</v>
      </c>
      <c r="I9158">
        <v>50</v>
      </c>
    </row>
    <row r="9159" spans="1:9" x14ac:dyDescent="0.25">
      <c r="A9159">
        <v>4220</v>
      </c>
      <c r="B9159">
        <v>18</v>
      </c>
      <c r="C9159" t="s">
        <v>946</v>
      </c>
      <c r="D9159" t="s">
        <v>1028</v>
      </c>
      <c r="E9159" t="s">
        <v>984</v>
      </c>
      <c r="F9159" t="s">
        <v>948</v>
      </c>
      <c r="G9159">
        <v>1877777</v>
      </c>
      <c r="H9159">
        <v>501010</v>
      </c>
      <c r="I9159">
        <v>50</v>
      </c>
    </row>
    <row r="9160" spans="1:9" x14ac:dyDescent="0.25">
      <c r="A9160">
        <v>4230</v>
      </c>
      <c r="B9160">
        <v>18</v>
      </c>
      <c r="C9160" t="s">
        <v>946</v>
      </c>
      <c r="D9160" t="s">
        <v>1028</v>
      </c>
      <c r="E9160" t="s">
        <v>984</v>
      </c>
      <c r="F9160" t="s">
        <v>948</v>
      </c>
      <c r="G9160">
        <v>1899999</v>
      </c>
      <c r="H9160">
        <v>401915</v>
      </c>
      <c r="I9160">
        <v>50</v>
      </c>
    </row>
    <row r="9161" spans="1:9" x14ac:dyDescent="0.25">
      <c r="A9161">
        <v>4240</v>
      </c>
      <c r="B9161">
        <v>18</v>
      </c>
      <c r="C9161" t="s">
        <v>946</v>
      </c>
      <c r="D9161" t="s">
        <v>1028</v>
      </c>
      <c r="E9161" t="s">
        <v>984</v>
      </c>
      <c r="F9161" t="s">
        <v>948</v>
      </c>
      <c r="G9161">
        <v>1800000</v>
      </c>
      <c r="H9161">
        <v>141000</v>
      </c>
      <c r="I9161" t="s">
        <v>985</v>
      </c>
    </row>
    <row r="9162" spans="1:9" x14ac:dyDescent="0.25">
      <c r="A9162">
        <v>4141</v>
      </c>
      <c r="B9162">
        <v>18</v>
      </c>
      <c r="C9162" t="s">
        <v>946</v>
      </c>
      <c r="D9162" t="s">
        <v>1029</v>
      </c>
      <c r="E9162" t="s">
        <v>243</v>
      </c>
      <c r="F9162" t="s">
        <v>948</v>
      </c>
      <c r="G9162">
        <v>1877777</v>
      </c>
      <c r="H9162">
        <v>501010</v>
      </c>
      <c r="I9162" t="s">
        <v>949</v>
      </c>
    </row>
    <row r="9163" spans="1:9" x14ac:dyDescent="0.25">
      <c r="A9163">
        <v>4220</v>
      </c>
      <c r="B9163">
        <v>18</v>
      </c>
      <c r="C9163" t="s">
        <v>946</v>
      </c>
      <c r="D9163" t="s">
        <v>1029</v>
      </c>
      <c r="E9163" t="s">
        <v>243</v>
      </c>
      <c r="F9163" t="s">
        <v>948</v>
      </c>
      <c r="G9163">
        <v>1877777</v>
      </c>
      <c r="H9163">
        <v>501010</v>
      </c>
      <c r="I9163" t="s">
        <v>949</v>
      </c>
    </row>
    <row r="9164" spans="1:9" x14ac:dyDescent="0.25">
      <c r="A9164">
        <v>4230</v>
      </c>
      <c r="B9164">
        <v>18</v>
      </c>
      <c r="C9164" t="s">
        <v>946</v>
      </c>
      <c r="D9164" t="s">
        <v>1029</v>
      </c>
      <c r="E9164" t="s">
        <v>243</v>
      </c>
      <c r="F9164" t="s">
        <v>948</v>
      </c>
      <c r="G9164">
        <v>1899999</v>
      </c>
      <c r="H9164">
        <v>401052</v>
      </c>
      <c r="I9164" t="s">
        <v>949</v>
      </c>
    </row>
    <row r="9165" spans="1:9" x14ac:dyDescent="0.25">
      <c r="A9165">
        <v>4240</v>
      </c>
      <c r="B9165">
        <v>18</v>
      </c>
      <c r="C9165" t="s">
        <v>946</v>
      </c>
      <c r="D9165" t="s">
        <v>1029</v>
      </c>
      <c r="E9165" t="s">
        <v>243</v>
      </c>
      <c r="F9165" t="s">
        <v>948</v>
      </c>
      <c r="G9165">
        <v>1800000</v>
      </c>
      <c r="H9165">
        <v>145000</v>
      </c>
      <c r="I9165" t="s">
        <v>949</v>
      </c>
    </row>
    <row r="9166" spans="1:9" x14ac:dyDescent="0.25">
      <c r="A9166">
        <v>4141</v>
      </c>
      <c r="B9166">
        <v>18</v>
      </c>
      <c r="C9166" t="s">
        <v>946</v>
      </c>
      <c r="D9166" t="s">
        <v>1029</v>
      </c>
      <c r="E9166" t="s">
        <v>247</v>
      </c>
      <c r="F9166" t="s">
        <v>948</v>
      </c>
      <c r="G9166">
        <v>1877777</v>
      </c>
      <c r="H9166">
        <v>501010</v>
      </c>
      <c r="I9166" t="s">
        <v>949</v>
      </c>
    </row>
    <row r="9167" spans="1:9" x14ac:dyDescent="0.25">
      <c r="A9167">
        <v>4220</v>
      </c>
      <c r="B9167">
        <v>18</v>
      </c>
      <c r="C9167" t="s">
        <v>946</v>
      </c>
      <c r="D9167" t="s">
        <v>1029</v>
      </c>
      <c r="E9167" t="s">
        <v>247</v>
      </c>
      <c r="F9167" t="s">
        <v>948</v>
      </c>
      <c r="G9167">
        <v>1877777</v>
      </c>
      <c r="H9167">
        <v>501010</v>
      </c>
      <c r="I9167" t="s">
        <v>949</v>
      </c>
    </row>
    <row r="9168" spans="1:9" x14ac:dyDescent="0.25">
      <c r="A9168">
        <v>4230</v>
      </c>
      <c r="B9168">
        <v>18</v>
      </c>
      <c r="C9168" t="s">
        <v>946</v>
      </c>
      <c r="D9168" t="s">
        <v>1029</v>
      </c>
      <c r="E9168" t="s">
        <v>247</v>
      </c>
      <c r="F9168" t="s">
        <v>948</v>
      </c>
      <c r="G9168">
        <v>1899999</v>
      </c>
      <c r="H9168">
        <v>401022</v>
      </c>
      <c r="I9168" t="s">
        <v>949</v>
      </c>
    </row>
    <row r="9169" spans="1:9" x14ac:dyDescent="0.25">
      <c r="A9169">
        <v>4240</v>
      </c>
      <c r="B9169">
        <v>18</v>
      </c>
      <c r="C9169" t="s">
        <v>946</v>
      </c>
      <c r="D9169" t="s">
        <v>1029</v>
      </c>
      <c r="E9169" t="s">
        <v>247</v>
      </c>
      <c r="F9169" t="s">
        <v>948</v>
      </c>
      <c r="G9169">
        <v>1800000</v>
      </c>
      <c r="H9169">
        <v>145000</v>
      </c>
      <c r="I9169" t="s">
        <v>949</v>
      </c>
    </row>
    <row r="9170" spans="1:9" x14ac:dyDescent="0.25">
      <c r="A9170">
        <v>4141</v>
      </c>
      <c r="B9170">
        <v>18</v>
      </c>
      <c r="C9170" t="s">
        <v>946</v>
      </c>
      <c r="D9170" t="s">
        <v>1029</v>
      </c>
      <c r="E9170" t="s">
        <v>251</v>
      </c>
      <c r="F9170" t="s">
        <v>948</v>
      </c>
      <c r="G9170">
        <v>1877777</v>
      </c>
      <c r="H9170">
        <v>501010</v>
      </c>
      <c r="I9170" t="s">
        <v>949</v>
      </c>
    </row>
    <row r="9171" spans="1:9" x14ac:dyDescent="0.25">
      <c r="A9171">
        <v>4220</v>
      </c>
      <c r="B9171">
        <v>18</v>
      </c>
      <c r="C9171" t="s">
        <v>946</v>
      </c>
      <c r="D9171" t="s">
        <v>1029</v>
      </c>
      <c r="E9171" t="s">
        <v>251</v>
      </c>
      <c r="F9171" t="s">
        <v>948</v>
      </c>
      <c r="G9171">
        <v>1877777</v>
      </c>
      <c r="H9171">
        <v>501010</v>
      </c>
      <c r="I9171" t="s">
        <v>949</v>
      </c>
    </row>
    <row r="9172" spans="1:9" x14ac:dyDescent="0.25">
      <c r="A9172">
        <v>4230</v>
      </c>
      <c r="B9172">
        <v>18</v>
      </c>
      <c r="C9172" t="s">
        <v>946</v>
      </c>
      <c r="D9172" t="s">
        <v>1029</v>
      </c>
      <c r="E9172" t="s">
        <v>251</v>
      </c>
      <c r="F9172" t="s">
        <v>948</v>
      </c>
      <c r="G9172">
        <v>1899999</v>
      </c>
      <c r="H9172">
        <v>401042</v>
      </c>
      <c r="I9172" t="s">
        <v>949</v>
      </c>
    </row>
    <row r="9173" spans="1:9" x14ac:dyDescent="0.25">
      <c r="A9173">
        <v>4240</v>
      </c>
      <c r="B9173">
        <v>18</v>
      </c>
      <c r="C9173" t="s">
        <v>946</v>
      </c>
      <c r="D9173" t="s">
        <v>1029</v>
      </c>
      <c r="E9173" t="s">
        <v>251</v>
      </c>
      <c r="F9173" t="s">
        <v>948</v>
      </c>
      <c r="G9173">
        <v>1800000</v>
      </c>
      <c r="H9173">
        <v>142000</v>
      </c>
      <c r="I9173" t="s">
        <v>949</v>
      </c>
    </row>
    <row r="9174" spans="1:9" x14ac:dyDescent="0.25">
      <c r="A9174">
        <v>4141</v>
      </c>
      <c r="B9174">
        <v>18</v>
      </c>
      <c r="C9174" t="s">
        <v>946</v>
      </c>
      <c r="D9174" t="s">
        <v>1029</v>
      </c>
      <c r="E9174" t="s">
        <v>969</v>
      </c>
      <c r="F9174" t="s">
        <v>948</v>
      </c>
      <c r="G9174">
        <v>1877777</v>
      </c>
      <c r="H9174">
        <v>501010</v>
      </c>
      <c r="I9174" t="s">
        <v>949</v>
      </c>
    </row>
    <row r="9175" spans="1:9" x14ac:dyDescent="0.25">
      <c r="A9175">
        <v>4220</v>
      </c>
      <c r="B9175">
        <v>18</v>
      </c>
      <c r="C9175" t="s">
        <v>946</v>
      </c>
      <c r="D9175" t="s">
        <v>1029</v>
      </c>
      <c r="E9175" t="s">
        <v>969</v>
      </c>
      <c r="F9175" t="s">
        <v>948</v>
      </c>
      <c r="G9175">
        <v>1877777</v>
      </c>
      <c r="H9175">
        <v>501010</v>
      </c>
      <c r="I9175" t="s">
        <v>949</v>
      </c>
    </row>
    <row r="9176" spans="1:9" x14ac:dyDescent="0.25">
      <c r="A9176">
        <v>4230</v>
      </c>
      <c r="B9176">
        <v>18</v>
      </c>
      <c r="C9176" t="s">
        <v>946</v>
      </c>
      <c r="D9176" t="s">
        <v>1029</v>
      </c>
      <c r="E9176" t="s">
        <v>969</v>
      </c>
      <c r="F9176" t="s">
        <v>948</v>
      </c>
      <c r="G9176">
        <v>1899999</v>
      </c>
      <c r="H9176">
        <v>401912</v>
      </c>
      <c r="I9176" t="s">
        <v>949</v>
      </c>
    </row>
    <row r="9177" spans="1:9" x14ac:dyDescent="0.25">
      <c r="A9177">
        <v>4240</v>
      </c>
      <c r="B9177">
        <v>18</v>
      </c>
      <c r="C9177" t="s">
        <v>946</v>
      </c>
      <c r="D9177" t="s">
        <v>1029</v>
      </c>
      <c r="E9177" t="s">
        <v>969</v>
      </c>
      <c r="F9177" t="s">
        <v>948</v>
      </c>
      <c r="G9177">
        <v>1800000</v>
      </c>
      <c r="H9177">
        <v>141000</v>
      </c>
      <c r="I9177" t="s">
        <v>970</v>
      </c>
    </row>
    <row r="9178" spans="1:9" x14ac:dyDescent="0.25">
      <c r="A9178">
        <v>4141</v>
      </c>
      <c r="B9178">
        <v>18</v>
      </c>
      <c r="C9178" t="s">
        <v>946</v>
      </c>
      <c r="D9178" t="s">
        <v>1029</v>
      </c>
      <c r="E9178" t="s">
        <v>255</v>
      </c>
      <c r="F9178" t="s">
        <v>948</v>
      </c>
      <c r="G9178">
        <v>1877777</v>
      </c>
      <c r="H9178">
        <v>501010</v>
      </c>
      <c r="I9178" t="s">
        <v>949</v>
      </c>
    </row>
    <row r="9179" spans="1:9" x14ac:dyDescent="0.25">
      <c r="A9179">
        <v>4220</v>
      </c>
      <c r="B9179">
        <v>18</v>
      </c>
      <c r="C9179" t="s">
        <v>946</v>
      </c>
      <c r="D9179" t="s">
        <v>1029</v>
      </c>
      <c r="E9179" t="s">
        <v>255</v>
      </c>
      <c r="F9179" t="s">
        <v>948</v>
      </c>
      <c r="G9179">
        <v>1877777</v>
      </c>
      <c r="H9179">
        <v>501010</v>
      </c>
      <c r="I9179" t="s">
        <v>949</v>
      </c>
    </row>
    <row r="9180" spans="1:9" x14ac:dyDescent="0.25">
      <c r="A9180">
        <v>4230</v>
      </c>
      <c r="B9180">
        <v>18</v>
      </c>
      <c r="C9180" t="s">
        <v>946</v>
      </c>
      <c r="D9180" t="s">
        <v>1029</v>
      </c>
      <c r="E9180" t="s">
        <v>255</v>
      </c>
      <c r="F9180" t="s">
        <v>948</v>
      </c>
      <c r="G9180">
        <v>1899999</v>
      </c>
      <c r="H9180">
        <v>401072</v>
      </c>
      <c r="I9180" t="s">
        <v>949</v>
      </c>
    </row>
    <row r="9181" spans="1:9" x14ac:dyDescent="0.25">
      <c r="A9181">
        <v>4240</v>
      </c>
      <c r="B9181">
        <v>18</v>
      </c>
      <c r="C9181" t="s">
        <v>946</v>
      </c>
      <c r="D9181" t="s">
        <v>1029</v>
      </c>
      <c r="E9181" t="s">
        <v>255</v>
      </c>
      <c r="F9181" t="s">
        <v>948</v>
      </c>
      <c r="G9181">
        <v>1800000</v>
      </c>
      <c r="H9181">
        <v>145000</v>
      </c>
      <c r="I9181" t="s">
        <v>949</v>
      </c>
    </row>
    <row r="9182" spans="1:9" x14ac:dyDescent="0.25">
      <c r="A9182">
        <v>4141</v>
      </c>
      <c r="B9182">
        <v>18</v>
      </c>
      <c r="C9182" t="s">
        <v>946</v>
      </c>
      <c r="D9182" t="s">
        <v>1029</v>
      </c>
      <c r="E9182" t="s">
        <v>971</v>
      </c>
      <c r="F9182" t="s">
        <v>948</v>
      </c>
      <c r="G9182">
        <v>1877777</v>
      </c>
      <c r="H9182">
        <v>501010</v>
      </c>
      <c r="I9182" t="s">
        <v>949</v>
      </c>
    </row>
    <row r="9183" spans="1:9" x14ac:dyDescent="0.25">
      <c r="A9183">
        <v>4220</v>
      </c>
      <c r="B9183">
        <v>18</v>
      </c>
      <c r="C9183" t="s">
        <v>946</v>
      </c>
      <c r="D9183" t="s">
        <v>1029</v>
      </c>
      <c r="E9183" t="s">
        <v>971</v>
      </c>
      <c r="F9183" t="s">
        <v>948</v>
      </c>
      <c r="G9183">
        <v>1877777</v>
      </c>
      <c r="H9183">
        <v>501010</v>
      </c>
      <c r="I9183" t="s">
        <v>949</v>
      </c>
    </row>
    <row r="9184" spans="1:9" x14ac:dyDescent="0.25">
      <c r="A9184">
        <v>4230</v>
      </c>
      <c r="B9184">
        <v>18</v>
      </c>
      <c r="C9184" t="s">
        <v>946</v>
      </c>
      <c r="D9184" t="s">
        <v>1029</v>
      </c>
      <c r="E9184" t="s">
        <v>971</v>
      </c>
      <c r="F9184" t="s">
        <v>948</v>
      </c>
      <c r="G9184">
        <v>1899999</v>
      </c>
      <c r="H9184">
        <v>401912</v>
      </c>
      <c r="I9184" t="s">
        <v>949</v>
      </c>
    </row>
    <row r="9185" spans="1:9" x14ac:dyDescent="0.25">
      <c r="A9185">
        <v>4240</v>
      </c>
      <c r="B9185">
        <v>18</v>
      </c>
      <c r="C9185" t="s">
        <v>946</v>
      </c>
      <c r="D9185" t="s">
        <v>1029</v>
      </c>
      <c r="E9185" t="s">
        <v>971</v>
      </c>
      <c r="F9185" t="s">
        <v>948</v>
      </c>
      <c r="G9185">
        <v>1800000</v>
      </c>
      <c r="H9185">
        <v>141000</v>
      </c>
      <c r="I9185" t="s">
        <v>972</v>
      </c>
    </row>
    <row r="9186" spans="1:9" x14ac:dyDescent="0.25">
      <c r="A9186">
        <v>4230</v>
      </c>
      <c r="B9186">
        <v>18</v>
      </c>
      <c r="C9186" t="s">
        <v>946</v>
      </c>
      <c r="D9186" t="s">
        <v>1029</v>
      </c>
      <c r="E9186" t="s">
        <v>259</v>
      </c>
      <c r="F9186" t="s">
        <v>948</v>
      </c>
      <c r="G9186">
        <v>1899999</v>
      </c>
      <c r="H9186">
        <v>409002</v>
      </c>
      <c r="I9186" t="s">
        <v>949</v>
      </c>
    </row>
    <row r="9187" spans="1:9" x14ac:dyDescent="0.25">
      <c r="A9187">
        <v>4141</v>
      </c>
      <c r="B9187">
        <v>18</v>
      </c>
      <c r="C9187" t="s">
        <v>946</v>
      </c>
      <c r="D9187" t="s">
        <v>1029</v>
      </c>
      <c r="E9187" t="s">
        <v>263</v>
      </c>
      <c r="F9187" t="s">
        <v>948</v>
      </c>
      <c r="G9187">
        <v>1877777</v>
      </c>
      <c r="H9187">
        <v>501010</v>
      </c>
      <c r="I9187" t="s">
        <v>949</v>
      </c>
    </row>
    <row r="9188" spans="1:9" x14ac:dyDescent="0.25">
      <c r="A9188">
        <v>4220</v>
      </c>
      <c r="B9188">
        <v>18</v>
      </c>
      <c r="C9188" t="s">
        <v>946</v>
      </c>
      <c r="D9188" t="s">
        <v>1029</v>
      </c>
      <c r="E9188" t="s">
        <v>263</v>
      </c>
      <c r="F9188" t="s">
        <v>948</v>
      </c>
      <c r="G9188">
        <v>1877777</v>
      </c>
      <c r="H9188">
        <v>501010</v>
      </c>
      <c r="I9188" t="s">
        <v>949</v>
      </c>
    </row>
    <row r="9189" spans="1:9" x14ac:dyDescent="0.25">
      <c r="A9189">
        <v>4230</v>
      </c>
      <c r="B9189">
        <v>18</v>
      </c>
      <c r="C9189" t="s">
        <v>946</v>
      </c>
      <c r="D9189" t="s">
        <v>1029</v>
      </c>
      <c r="E9189" t="s">
        <v>263</v>
      </c>
      <c r="F9189" t="s">
        <v>948</v>
      </c>
      <c r="G9189">
        <v>1899999</v>
      </c>
      <c r="H9189">
        <v>401042</v>
      </c>
      <c r="I9189" t="s">
        <v>949</v>
      </c>
    </row>
    <row r="9190" spans="1:9" x14ac:dyDescent="0.25">
      <c r="A9190">
        <v>4240</v>
      </c>
      <c r="B9190">
        <v>18</v>
      </c>
      <c r="C9190" t="s">
        <v>946</v>
      </c>
      <c r="D9190" t="s">
        <v>1029</v>
      </c>
      <c r="E9190" t="s">
        <v>263</v>
      </c>
      <c r="F9190" t="s">
        <v>948</v>
      </c>
      <c r="G9190">
        <v>1800000</v>
      </c>
      <c r="H9190">
        <v>145000</v>
      </c>
      <c r="I9190" t="s">
        <v>949</v>
      </c>
    </row>
    <row r="9191" spans="1:9" x14ac:dyDescent="0.25">
      <c r="A9191">
        <v>4141</v>
      </c>
      <c r="B9191">
        <v>18</v>
      </c>
      <c r="C9191" t="s">
        <v>946</v>
      </c>
      <c r="D9191" t="s">
        <v>1029</v>
      </c>
      <c r="E9191" t="s">
        <v>100</v>
      </c>
      <c r="F9191" t="s">
        <v>948</v>
      </c>
      <c r="G9191">
        <v>1877777</v>
      </c>
      <c r="H9191">
        <v>500220</v>
      </c>
      <c r="I9191" t="s">
        <v>949</v>
      </c>
    </row>
    <row r="9192" spans="1:9" x14ac:dyDescent="0.25">
      <c r="A9192">
        <v>4220</v>
      </c>
      <c r="B9192">
        <v>18</v>
      </c>
      <c r="C9192" t="s">
        <v>946</v>
      </c>
      <c r="D9192" t="s">
        <v>1029</v>
      </c>
      <c r="E9192" t="s">
        <v>100</v>
      </c>
      <c r="F9192" t="s">
        <v>948</v>
      </c>
      <c r="G9192">
        <v>1877777</v>
      </c>
      <c r="H9192">
        <v>500220</v>
      </c>
      <c r="I9192" t="s">
        <v>949</v>
      </c>
    </row>
    <row r="9193" spans="1:9" x14ac:dyDescent="0.25">
      <c r="A9193">
        <v>4230</v>
      </c>
      <c r="B9193">
        <v>18</v>
      </c>
      <c r="C9193" t="s">
        <v>946</v>
      </c>
      <c r="D9193" t="s">
        <v>1029</v>
      </c>
      <c r="E9193" t="s">
        <v>100</v>
      </c>
      <c r="F9193" t="s">
        <v>948</v>
      </c>
      <c r="G9193">
        <v>1899999</v>
      </c>
      <c r="H9193">
        <v>401042</v>
      </c>
      <c r="I9193" t="s">
        <v>949</v>
      </c>
    </row>
    <row r="9194" spans="1:9" x14ac:dyDescent="0.25">
      <c r="A9194">
        <v>4240</v>
      </c>
      <c r="B9194">
        <v>18</v>
      </c>
      <c r="C9194" t="s">
        <v>946</v>
      </c>
      <c r="D9194" t="s">
        <v>1029</v>
      </c>
      <c r="E9194" t="s">
        <v>100</v>
      </c>
      <c r="F9194" t="s">
        <v>948</v>
      </c>
      <c r="G9194">
        <v>1877777</v>
      </c>
      <c r="H9194">
        <v>500221</v>
      </c>
      <c r="I9194" t="s">
        <v>949</v>
      </c>
    </row>
    <row r="9195" spans="1:9" x14ac:dyDescent="0.25">
      <c r="A9195">
        <v>4141</v>
      </c>
      <c r="B9195">
        <v>18</v>
      </c>
      <c r="C9195" t="s">
        <v>946</v>
      </c>
      <c r="D9195" t="s">
        <v>1029</v>
      </c>
      <c r="E9195" t="s">
        <v>270</v>
      </c>
      <c r="F9195" t="s">
        <v>948</v>
      </c>
      <c r="G9195">
        <v>1877777</v>
      </c>
      <c r="H9195">
        <v>501010</v>
      </c>
      <c r="I9195" t="s">
        <v>949</v>
      </c>
    </row>
    <row r="9196" spans="1:9" x14ac:dyDescent="0.25">
      <c r="A9196">
        <v>4220</v>
      </c>
      <c r="B9196">
        <v>18</v>
      </c>
      <c r="C9196" t="s">
        <v>946</v>
      </c>
      <c r="D9196" t="s">
        <v>1029</v>
      </c>
      <c r="E9196" t="s">
        <v>270</v>
      </c>
      <c r="F9196" t="s">
        <v>948</v>
      </c>
      <c r="G9196">
        <v>1877777</v>
      </c>
      <c r="H9196">
        <v>501010</v>
      </c>
      <c r="I9196" t="s">
        <v>949</v>
      </c>
    </row>
    <row r="9197" spans="1:9" x14ac:dyDescent="0.25">
      <c r="A9197">
        <v>4230</v>
      </c>
      <c r="B9197">
        <v>18</v>
      </c>
      <c r="C9197" t="s">
        <v>946</v>
      </c>
      <c r="D9197" t="s">
        <v>1029</v>
      </c>
      <c r="E9197" t="s">
        <v>270</v>
      </c>
      <c r="F9197" t="s">
        <v>948</v>
      </c>
      <c r="G9197">
        <v>1899999</v>
      </c>
      <c r="H9197">
        <v>401062</v>
      </c>
      <c r="I9197" t="s">
        <v>949</v>
      </c>
    </row>
    <row r="9198" spans="1:9" x14ac:dyDescent="0.25">
      <c r="A9198">
        <v>4240</v>
      </c>
      <c r="B9198">
        <v>18</v>
      </c>
      <c r="C9198" t="s">
        <v>946</v>
      </c>
      <c r="D9198" t="s">
        <v>1029</v>
      </c>
      <c r="E9198" t="s">
        <v>270</v>
      </c>
      <c r="F9198" t="s">
        <v>948</v>
      </c>
      <c r="G9198">
        <v>1800000</v>
      </c>
      <c r="H9198">
        <v>145000</v>
      </c>
      <c r="I9198" t="s">
        <v>949</v>
      </c>
    </row>
    <row r="9199" spans="1:9" x14ac:dyDescent="0.25">
      <c r="A9199">
        <v>4141</v>
      </c>
      <c r="B9199">
        <v>18</v>
      </c>
      <c r="C9199" t="s">
        <v>946</v>
      </c>
      <c r="D9199" t="s">
        <v>1029</v>
      </c>
      <c r="E9199" t="s">
        <v>274</v>
      </c>
      <c r="F9199" t="s">
        <v>948</v>
      </c>
      <c r="G9199">
        <v>1877777</v>
      </c>
      <c r="H9199">
        <v>501010</v>
      </c>
      <c r="I9199" t="s">
        <v>949</v>
      </c>
    </row>
    <row r="9200" spans="1:9" x14ac:dyDescent="0.25">
      <c r="A9200">
        <v>4220</v>
      </c>
      <c r="B9200">
        <v>18</v>
      </c>
      <c r="C9200" t="s">
        <v>946</v>
      </c>
      <c r="D9200" t="s">
        <v>1029</v>
      </c>
      <c r="E9200" t="s">
        <v>274</v>
      </c>
      <c r="F9200" t="s">
        <v>948</v>
      </c>
      <c r="G9200">
        <v>1877777</v>
      </c>
      <c r="H9200">
        <v>501010</v>
      </c>
      <c r="I9200" t="s">
        <v>949</v>
      </c>
    </row>
    <row r="9201" spans="1:9" x14ac:dyDescent="0.25">
      <c r="A9201">
        <v>4230</v>
      </c>
      <c r="B9201">
        <v>18</v>
      </c>
      <c r="C9201" t="s">
        <v>946</v>
      </c>
      <c r="D9201" t="s">
        <v>1029</v>
      </c>
      <c r="E9201" t="s">
        <v>274</v>
      </c>
      <c r="F9201" t="s">
        <v>948</v>
      </c>
      <c r="G9201">
        <v>1899999</v>
      </c>
      <c r="H9201">
        <v>401042</v>
      </c>
      <c r="I9201" t="s">
        <v>949</v>
      </c>
    </row>
    <row r="9202" spans="1:9" x14ac:dyDescent="0.25">
      <c r="A9202">
        <v>4240</v>
      </c>
      <c r="B9202">
        <v>18</v>
      </c>
      <c r="C9202" t="s">
        <v>946</v>
      </c>
      <c r="D9202" t="s">
        <v>1029</v>
      </c>
      <c r="E9202" t="s">
        <v>274</v>
      </c>
      <c r="F9202" t="s">
        <v>948</v>
      </c>
      <c r="G9202">
        <v>1800000</v>
      </c>
      <c r="H9202">
        <v>143000</v>
      </c>
      <c r="I9202" t="s">
        <v>973</v>
      </c>
    </row>
    <row r="9203" spans="1:9" x14ac:dyDescent="0.25">
      <c r="A9203">
        <v>4141</v>
      </c>
      <c r="B9203">
        <v>18</v>
      </c>
      <c r="C9203" t="s">
        <v>946</v>
      </c>
      <c r="D9203" t="s">
        <v>1029</v>
      </c>
      <c r="E9203" t="s">
        <v>974</v>
      </c>
      <c r="F9203" t="s">
        <v>948</v>
      </c>
      <c r="G9203">
        <v>1877777</v>
      </c>
      <c r="H9203">
        <v>501010</v>
      </c>
      <c r="I9203" t="s">
        <v>949</v>
      </c>
    </row>
    <row r="9204" spans="1:9" x14ac:dyDescent="0.25">
      <c r="A9204">
        <v>4220</v>
      </c>
      <c r="B9204">
        <v>18</v>
      </c>
      <c r="C9204" t="s">
        <v>946</v>
      </c>
      <c r="D9204" t="s">
        <v>1029</v>
      </c>
      <c r="E9204" t="s">
        <v>974</v>
      </c>
      <c r="F9204" t="s">
        <v>948</v>
      </c>
      <c r="G9204">
        <v>1877777</v>
      </c>
      <c r="H9204">
        <v>501010</v>
      </c>
      <c r="I9204" t="s">
        <v>949</v>
      </c>
    </row>
    <row r="9205" spans="1:9" x14ac:dyDescent="0.25">
      <c r="A9205">
        <v>4230</v>
      </c>
      <c r="B9205">
        <v>18</v>
      </c>
      <c r="C9205" t="s">
        <v>946</v>
      </c>
      <c r="D9205" t="s">
        <v>1029</v>
      </c>
      <c r="E9205" t="s">
        <v>974</v>
      </c>
      <c r="F9205" t="s">
        <v>948</v>
      </c>
      <c r="G9205">
        <v>1899999</v>
      </c>
      <c r="H9205">
        <v>401912</v>
      </c>
      <c r="I9205" t="s">
        <v>949</v>
      </c>
    </row>
    <row r="9206" spans="1:9" x14ac:dyDescent="0.25">
      <c r="A9206">
        <v>4240</v>
      </c>
      <c r="B9206">
        <v>18</v>
      </c>
      <c r="C9206" t="s">
        <v>946</v>
      </c>
      <c r="D9206" t="s">
        <v>1029</v>
      </c>
      <c r="E9206" t="s">
        <v>974</v>
      </c>
      <c r="F9206" t="s">
        <v>948</v>
      </c>
      <c r="G9206">
        <v>1800000</v>
      </c>
      <c r="H9206">
        <v>141000</v>
      </c>
      <c r="I9206" t="s">
        <v>975</v>
      </c>
    </row>
    <row r="9207" spans="1:9" x14ac:dyDescent="0.25">
      <c r="A9207">
        <v>4141</v>
      </c>
      <c r="B9207">
        <v>18</v>
      </c>
      <c r="C9207" t="s">
        <v>946</v>
      </c>
      <c r="D9207" t="s">
        <v>1029</v>
      </c>
      <c r="E9207" t="s">
        <v>104</v>
      </c>
      <c r="F9207" t="s">
        <v>948</v>
      </c>
      <c r="G9207">
        <v>1877777</v>
      </c>
      <c r="H9207">
        <v>500220</v>
      </c>
      <c r="I9207" t="s">
        <v>949</v>
      </c>
    </row>
    <row r="9208" spans="1:9" x14ac:dyDescent="0.25">
      <c r="A9208">
        <v>4220</v>
      </c>
      <c r="B9208">
        <v>18</v>
      </c>
      <c r="C9208" t="s">
        <v>946</v>
      </c>
      <c r="D9208" t="s">
        <v>1029</v>
      </c>
      <c r="E9208" t="s">
        <v>104</v>
      </c>
      <c r="F9208" t="s">
        <v>948</v>
      </c>
      <c r="G9208">
        <v>1877777</v>
      </c>
      <c r="H9208">
        <v>500220</v>
      </c>
      <c r="I9208" t="s">
        <v>949</v>
      </c>
    </row>
    <row r="9209" spans="1:9" x14ac:dyDescent="0.25">
      <c r="A9209">
        <v>4230</v>
      </c>
      <c r="B9209">
        <v>18</v>
      </c>
      <c r="C9209" t="s">
        <v>946</v>
      </c>
      <c r="D9209" t="s">
        <v>1029</v>
      </c>
      <c r="E9209" t="s">
        <v>104</v>
      </c>
      <c r="F9209" t="s">
        <v>948</v>
      </c>
      <c r="G9209">
        <v>1899999</v>
      </c>
      <c r="H9209">
        <v>401042</v>
      </c>
      <c r="I9209" t="s">
        <v>949</v>
      </c>
    </row>
    <row r="9210" spans="1:9" x14ac:dyDescent="0.25">
      <c r="A9210">
        <v>4240</v>
      </c>
      <c r="B9210">
        <v>18</v>
      </c>
      <c r="C9210" t="s">
        <v>946</v>
      </c>
      <c r="D9210" t="s">
        <v>1029</v>
      </c>
      <c r="E9210" t="s">
        <v>104</v>
      </c>
      <c r="F9210" t="s">
        <v>948</v>
      </c>
      <c r="G9210">
        <v>1877777</v>
      </c>
      <c r="H9210">
        <v>500221</v>
      </c>
      <c r="I9210" t="s">
        <v>949</v>
      </c>
    </row>
    <row r="9211" spans="1:9" x14ac:dyDescent="0.25">
      <c r="A9211">
        <v>4141</v>
      </c>
      <c r="B9211">
        <v>18</v>
      </c>
      <c r="C9211" t="s">
        <v>946</v>
      </c>
      <c r="D9211" t="s">
        <v>1029</v>
      </c>
      <c r="E9211" t="s">
        <v>278</v>
      </c>
      <c r="F9211" t="s">
        <v>948</v>
      </c>
      <c r="G9211">
        <v>1877777</v>
      </c>
      <c r="H9211">
        <v>501010</v>
      </c>
      <c r="I9211" t="s">
        <v>949</v>
      </c>
    </row>
    <row r="9212" spans="1:9" x14ac:dyDescent="0.25">
      <c r="A9212">
        <v>4220</v>
      </c>
      <c r="B9212">
        <v>18</v>
      </c>
      <c r="C9212" t="s">
        <v>946</v>
      </c>
      <c r="D9212" t="s">
        <v>1029</v>
      </c>
      <c r="E9212" t="s">
        <v>278</v>
      </c>
      <c r="F9212" t="s">
        <v>948</v>
      </c>
      <c r="G9212">
        <v>1877777</v>
      </c>
      <c r="H9212">
        <v>501010</v>
      </c>
      <c r="I9212" t="s">
        <v>949</v>
      </c>
    </row>
    <row r="9213" spans="1:9" x14ac:dyDescent="0.25">
      <c r="A9213">
        <v>4230</v>
      </c>
      <c r="B9213">
        <v>18</v>
      </c>
      <c r="C9213" t="s">
        <v>946</v>
      </c>
      <c r="D9213" t="s">
        <v>1029</v>
      </c>
      <c r="E9213" t="s">
        <v>278</v>
      </c>
      <c r="F9213" t="s">
        <v>948</v>
      </c>
      <c r="G9213">
        <v>1899999</v>
      </c>
      <c r="H9213">
        <v>401052</v>
      </c>
      <c r="I9213" t="s">
        <v>949</v>
      </c>
    </row>
    <row r="9214" spans="1:9" x14ac:dyDescent="0.25">
      <c r="A9214">
        <v>4240</v>
      </c>
      <c r="B9214">
        <v>18</v>
      </c>
      <c r="C9214" t="s">
        <v>946</v>
      </c>
      <c r="D9214" t="s">
        <v>1029</v>
      </c>
      <c r="E9214" t="s">
        <v>278</v>
      </c>
      <c r="F9214" t="s">
        <v>948</v>
      </c>
      <c r="G9214">
        <v>1800000</v>
      </c>
      <c r="H9214">
        <v>145000</v>
      </c>
      <c r="I9214" t="s">
        <v>949</v>
      </c>
    </row>
    <row r="9215" spans="1:9" x14ac:dyDescent="0.25">
      <c r="A9215">
        <v>4141</v>
      </c>
      <c r="B9215">
        <v>18</v>
      </c>
      <c r="C9215" t="s">
        <v>946</v>
      </c>
      <c r="D9215" t="s">
        <v>1029</v>
      </c>
      <c r="E9215" t="s">
        <v>282</v>
      </c>
      <c r="F9215" t="s">
        <v>948</v>
      </c>
      <c r="G9215">
        <v>1877777</v>
      </c>
      <c r="H9215">
        <v>501010</v>
      </c>
      <c r="I9215" t="s">
        <v>949</v>
      </c>
    </row>
    <row r="9216" spans="1:9" x14ac:dyDescent="0.25">
      <c r="A9216">
        <v>4220</v>
      </c>
      <c r="B9216">
        <v>18</v>
      </c>
      <c r="C9216" t="s">
        <v>946</v>
      </c>
      <c r="D9216" t="s">
        <v>1029</v>
      </c>
      <c r="E9216" t="s">
        <v>282</v>
      </c>
      <c r="F9216" t="s">
        <v>948</v>
      </c>
      <c r="G9216">
        <v>1877777</v>
      </c>
      <c r="H9216">
        <v>501010</v>
      </c>
      <c r="I9216" t="s">
        <v>949</v>
      </c>
    </row>
    <row r="9217" spans="1:9" x14ac:dyDescent="0.25">
      <c r="A9217">
        <v>4230</v>
      </c>
      <c r="B9217">
        <v>18</v>
      </c>
      <c r="C9217" t="s">
        <v>946</v>
      </c>
      <c r="D9217" t="s">
        <v>1029</v>
      </c>
      <c r="E9217" t="s">
        <v>282</v>
      </c>
      <c r="F9217" t="s">
        <v>948</v>
      </c>
      <c r="G9217">
        <v>1899999</v>
      </c>
      <c r="H9217">
        <v>401042</v>
      </c>
      <c r="I9217" t="s">
        <v>949</v>
      </c>
    </row>
    <row r="9218" spans="1:9" x14ac:dyDescent="0.25">
      <c r="A9218">
        <v>4240</v>
      </c>
      <c r="B9218">
        <v>18</v>
      </c>
      <c r="C9218" t="s">
        <v>946</v>
      </c>
      <c r="D9218" t="s">
        <v>1029</v>
      </c>
      <c r="E9218" t="s">
        <v>282</v>
      </c>
      <c r="F9218" t="s">
        <v>948</v>
      </c>
      <c r="G9218">
        <v>1800000</v>
      </c>
      <c r="H9218">
        <v>143100</v>
      </c>
      <c r="I9218" t="s">
        <v>949</v>
      </c>
    </row>
    <row r="9219" spans="1:9" x14ac:dyDescent="0.25">
      <c r="A9219">
        <v>4141</v>
      </c>
      <c r="B9219">
        <v>18</v>
      </c>
      <c r="C9219" t="s">
        <v>946</v>
      </c>
      <c r="D9219" t="s">
        <v>1029</v>
      </c>
      <c r="E9219" t="s">
        <v>286</v>
      </c>
      <c r="F9219" t="s">
        <v>948</v>
      </c>
      <c r="G9219">
        <v>1877777</v>
      </c>
      <c r="H9219">
        <v>501010</v>
      </c>
      <c r="I9219" t="s">
        <v>949</v>
      </c>
    </row>
    <row r="9220" spans="1:9" x14ac:dyDescent="0.25">
      <c r="A9220">
        <v>4220</v>
      </c>
      <c r="B9220">
        <v>18</v>
      </c>
      <c r="C9220" t="s">
        <v>946</v>
      </c>
      <c r="D9220" t="s">
        <v>1029</v>
      </c>
      <c r="E9220" t="s">
        <v>286</v>
      </c>
      <c r="F9220" t="s">
        <v>948</v>
      </c>
      <c r="G9220">
        <v>1877777</v>
      </c>
      <c r="H9220">
        <v>501010</v>
      </c>
      <c r="I9220" t="s">
        <v>949</v>
      </c>
    </row>
    <row r="9221" spans="1:9" x14ac:dyDescent="0.25">
      <c r="A9221">
        <v>4230</v>
      </c>
      <c r="B9221">
        <v>18</v>
      </c>
      <c r="C9221" t="s">
        <v>946</v>
      </c>
      <c r="D9221" t="s">
        <v>1029</v>
      </c>
      <c r="E9221" t="s">
        <v>286</v>
      </c>
      <c r="F9221" t="s">
        <v>948</v>
      </c>
      <c r="G9221">
        <v>1899999</v>
      </c>
      <c r="H9221">
        <v>401032</v>
      </c>
      <c r="I9221" t="s">
        <v>949</v>
      </c>
    </row>
    <row r="9222" spans="1:9" x14ac:dyDescent="0.25">
      <c r="A9222">
        <v>4240</v>
      </c>
      <c r="B9222">
        <v>18</v>
      </c>
      <c r="C9222" t="s">
        <v>946</v>
      </c>
      <c r="D9222" t="s">
        <v>1029</v>
      </c>
      <c r="E9222" t="s">
        <v>286</v>
      </c>
      <c r="F9222" t="s">
        <v>948</v>
      </c>
      <c r="G9222">
        <v>1800000</v>
      </c>
      <c r="H9222">
        <v>145000</v>
      </c>
      <c r="I9222" t="s">
        <v>949</v>
      </c>
    </row>
    <row r="9223" spans="1:9" x14ac:dyDescent="0.25">
      <c r="A9223">
        <v>4141</v>
      </c>
      <c r="B9223">
        <v>18</v>
      </c>
      <c r="C9223" t="s">
        <v>946</v>
      </c>
      <c r="D9223" t="s">
        <v>1029</v>
      </c>
      <c r="E9223" t="s">
        <v>976</v>
      </c>
      <c r="F9223" t="s">
        <v>948</v>
      </c>
      <c r="G9223">
        <v>1877777</v>
      </c>
      <c r="H9223">
        <v>501010</v>
      </c>
      <c r="I9223" t="s">
        <v>949</v>
      </c>
    </row>
    <row r="9224" spans="1:9" x14ac:dyDescent="0.25">
      <c r="A9224">
        <v>4220</v>
      </c>
      <c r="B9224">
        <v>18</v>
      </c>
      <c r="C9224" t="s">
        <v>946</v>
      </c>
      <c r="D9224" t="s">
        <v>1029</v>
      </c>
      <c r="E9224" t="s">
        <v>976</v>
      </c>
      <c r="F9224" t="s">
        <v>948</v>
      </c>
      <c r="G9224">
        <v>1877777</v>
      </c>
      <c r="H9224">
        <v>501010</v>
      </c>
      <c r="I9224" t="s">
        <v>949</v>
      </c>
    </row>
    <row r="9225" spans="1:9" x14ac:dyDescent="0.25">
      <c r="A9225">
        <v>4230</v>
      </c>
      <c r="B9225">
        <v>18</v>
      </c>
      <c r="C9225" t="s">
        <v>946</v>
      </c>
      <c r="D9225" t="s">
        <v>1029</v>
      </c>
      <c r="E9225" t="s">
        <v>976</v>
      </c>
      <c r="F9225" t="s">
        <v>948</v>
      </c>
      <c r="G9225">
        <v>1899999</v>
      </c>
      <c r="H9225">
        <v>401912</v>
      </c>
      <c r="I9225" t="s">
        <v>949</v>
      </c>
    </row>
    <row r="9226" spans="1:9" x14ac:dyDescent="0.25">
      <c r="A9226">
        <v>4240</v>
      </c>
      <c r="B9226">
        <v>18</v>
      </c>
      <c r="C9226" t="s">
        <v>946</v>
      </c>
      <c r="D9226" t="s">
        <v>1029</v>
      </c>
      <c r="E9226" t="s">
        <v>976</v>
      </c>
      <c r="F9226" t="s">
        <v>948</v>
      </c>
      <c r="G9226">
        <v>1800000</v>
      </c>
      <c r="H9226">
        <v>141000</v>
      </c>
      <c r="I9226" t="s">
        <v>977</v>
      </c>
    </row>
    <row r="9227" spans="1:9" x14ac:dyDescent="0.25">
      <c r="A9227">
        <v>4141</v>
      </c>
      <c r="B9227">
        <v>18</v>
      </c>
      <c r="C9227" t="s">
        <v>946</v>
      </c>
      <c r="D9227" t="s">
        <v>1029</v>
      </c>
      <c r="E9227" t="s">
        <v>290</v>
      </c>
      <c r="F9227" t="s">
        <v>948</v>
      </c>
      <c r="G9227">
        <v>1877777</v>
      </c>
      <c r="H9227">
        <v>501010</v>
      </c>
      <c r="I9227" t="s">
        <v>949</v>
      </c>
    </row>
    <row r="9228" spans="1:9" x14ac:dyDescent="0.25">
      <c r="A9228">
        <v>4220</v>
      </c>
      <c r="B9228">
        <v>18</v>
      </c>
      <c r="C9228" t="s">
        <v>946</v>
      </c>
      <c r="D9228" t="s">
        <v>1029</v>
      </c>
      <c r="E9228" t="s">
        <v>290</v>
      </c>
      <c r="F9228" t="s">
        <v>948</v>
      </c>
      <c r="G9228">
        <v>1877777</v>
      </c>
      <c r="H9228">
        <v>501010</v>
      </c>
      <c r="I9228" t="s">
        <v>949</v>
      </c>
    </row>
    <row r="9229" spans="1:9" x14ac:dyDescent="0.25">
      <c r="A9229">
        <v>4230</v>
      </c>
      <c r="B9229">
        <v>18</v>
      </c>
      <c r="C9229" t="s">
        <v>946</v>
      </c>
      <c r="D9229" t="s">
        <v>1029</v>
      </c>
      <c r="E9229" t="s">
        <v>290</v>
      </c>
      <c r="F9229" t="s">
        <v>948</v>
      </c>
      <c r="G9229">
        <v>1899999</v>
      </c>
      <c r="H9229">
        <v>401042</v>
      </c>
      <c r="I9229" t="s">
        <v>949</v>
      </c>
    </row>
    <row r="9230" spans="1:9" x14ac:dyDescent="0.25">
      <c r="A9230">
        <v>4240</v>
      </c>
      <c r="B9230">
        <v>18</v>
      </c>
      <c r="C9230" t="s">
        <v>946</v>
      </c>
      <c r="D9230" t="s">
        <v>1029</v>
      </c>
      <c r="E9230" t="s">
        <v>290</v>
      </c>
      <c r="F9230" t="s">
        <v>948</v>
      </c>
      <c r="G9230">
        <v>1800000</v>
      </c>
      <c r="H9230">
        <v>143000</v>
      </c>
      <c r="I9230" t="s">
        <v>978</v>
      </c>
    </row>
    <row r="9231" spans="1:9" x14ac:dyDescent="0.25">
      <c r="A9231">
        <v>4141</v>
      </c>
      <c r="B9231">
        <v>18</v>
      </c>
      <c r="C9231" t="s">
        <v>946</v>
      </c>
      <c r="D9231" t="s">
        <v>1029</v>
      </c>
      <c r="E9231" t="s">
        <v>294</v>
      </c>
      <c r="F9231" t="s">
        <v>948</v>
      </c>
      <c r="G9231">
        <v>1877777</v>
      </c>
      <c r="H9231">
        <v>501010</v>
      </c>
      <c r="I9231" t="s">
        <v>949</v>
      </c>
    </row>
    <row r="9232" spans="1:9" x14ac:dyDescent="0.25">
      <c r="A9232">
        <v>4220</v>
      </c>
      <c r="B9232">
        <v>18</v>
      </c>
      <c r="C9232" t="s">
        <v>946</v>
      </c>
      <c r="D9232" t="s">
        <v>1029</v>
      </c>
      <c r="E9232" t="s">
        <v>294</v>
      </c>
      <c r="F9232" t="s">
        <v>948</v>
      </c>
      <c r="G9232">
        <v>1877777</v>
      </c>
      <c r="H9232">
        <v>501010</v>
      </c>
      <c r="I9232" t="s">
        <v>949</v>
      </c>
    </row>
    <row r="9233" spans="1:9" x14ac:dyDescent="0.25">
      <c r="A9233">
        <v>4230</v>
      </c>
      <c r="B9233">
        <v>18</v>
      </c>
      <c r="C9233" t="s">
        <v>946</v>
      </c>
      <c r="D9233" t="s">
        <v>1029</v>
      </c>
      <c r="E9233" t="s">
        <v>294</v>
      </c>
      <c r="F9233" t="s">
        <v>948</v>
      </c>
      <c r="G9233">
        <v>1899999</v>
      </c>
      <c r="H9233">
        <v>401042</v>
      </c>
      <c r="I9233" t="s">
        <v>949</v>
      </c>
    </row>
    <row r="9234" spans="1:9" x14ac:dyDescent="0.25">
      <c r="A9234">
        <v>4240</v>
      </c>
      <c r="B9234">
        <v>18</v>
      </c>
      <c r="C9234" t="s">
        <v>946</v>
      </c>
      <c r="D9234" t="s">
        <v>1029</v>
      </c>
      <c r="E9234" t="s">
        <v>294</v>
      </c>
      <c r="F9234" t="s">
        <v>948</v>
      </c>
      <c r="G9234">
        <v>1800000</v>
      </c>
      <c r="H9234">
        <v>143000</v>
      </c>
      <c r="I9234" t="s">
        <v>979</v>
      </c>
    </row>
    <row r="9235" spans="1:9" x14ac:dyDescent="0.25">
      <c r="A9235">
        <v>4230</v>
      </c>
      <c r="B9235">
        <v>18</v>
      </c>
      <c r="C9235" t="s">
        <v>946</v>
      </c>
      <c r="D9235" t="s">
        <v>1029</v>
      </c>
      <c r="E9235" t="s">
        <v>298</v>
      </c>
      <c r="F9235" t="s">
        <v>948</v>
      </c>
      <c r="G9235">
        <v>1899999</v>
      </c>
      <c r="H9235">
        <v>402082</v>
      </c>
      <c r="I9235" t="s">
        <v>949</v>
      </c>
    </row>
    <row r="9236" spans="1:9" x14ac:dyDescent="0.25">
      <c r="A9236">
        <v>4141</v>
      </c>
      <c r="B9236">
        <v>18</v>
      </c>
      <c r="C9236" t="s">
        <v>946</v>
      </c>
      <c r="D9236" t="s">
        <v>1029</v>
      </c>
      <c r="E9236" t="s">
        <v>980</v>
      </c>
      <c r="F9236" t="s">
        <v>948</v>
      </c>
      <c r="G9236">
        <v>1877777</v>
      </c>
      <c r="H9236">
        <v>501010</v>
      </c>
      <c r="I9236" t="s">
        <v>949</v>
      </c>
    </row>
    <row r="9237" spans="1:9" x14ac:dyDescent="0.25">
      <c r="A9237">
        <v>4220</v>
      </c>
      <c r="B9237">
        <v>18</v>
      </c>
      <c r="C9237" t="s">
        <v>946</v>
      </c>
      <c r="D9237" t="s">
        <v>1029</v>
      </c>
      <c r="E9237" t="s">
        <v>980</v>
      </c>
      <c r="F9237" t="s">
        <v>948</v>
      </c>
      <c r="G9237">
        <v>1877777</v>
      </c>
      <c r="H9237">
        <v>501010</v>
      </c>
      <c r="I9237" t="s">
        <v>949</v>
      </c>
    </row>
    <row r="9238" spans="1:9" x14ac:dyDescent="0.25">
      <c r="A9238">
        <v>4230</v>
      </c>
      <c r="B9238">
        <v>18</v>
      </c>
      <c r="C9238" t="s">
        <v>946</v>
      </c>
      <c r="D9238" t="s">
        <v>1029</v>
      </c>
      <c r="E9238" t="s">
        <v>980</v>
      </c>
      <c r="F9238" t="s">
        <v>948</v>
      </c>
      <c r="G9238">
        <v>1899999</v>
      </c>
      <c r="H9238">
        <v>401912</v>
      </c>
      <c r="I9238" t="s">
        <v>949</v>
      </c>
    </row>
    <row r="9239" spans="1:9" x14ac:dyDescent="0.25">
      <c r="A9239">
        <v>4240</v>
      </c>
      <c r="B9239">
        <v>18</v>
      </c>
      <c r="C9239" t="s">
        <v>946</v>
      </c>
      <c r="D9239" t="s">
        <v>1029</v>
      </c>
      <c r="E9239" t="s">
        <v>980</v>
      </c>
      <c r="F9239" t="s">
        <v>948</v>
      </c>
      <c r="G9239">
        <v>1800000</v>
      </c>
      <c r="H9239">
        <v>141000</v>
      </c>
      <c r="I9239" t="s">
        <v>981</v>
      </c>
    </row>
    <row r="9240" spans="1:9" x14ac:dyDescent="0.25">
      <c r="A9240">
        <v>4141</v>
      </c>
      <c r="B9240">
        <v>18</v>
      </c>
      <c r="C9240" t="s">
        <v>946</v>
      </c>
      <c r="D9240" t="s">
        <v>1029</v>
      </c>
      <c r="E9240" t="s">
        <v>302</v>
      </c>
      <c r="F9240" t="s">
        <v>948</v>
      </c>
      <c r="G9240">
        <v>1877777</v>
      </c>
      <c r="H9240">
        <v>501010</v>
      </c>
      <c r="I9240" t="s">
        <v>949</v>
      </c>
    </row>
    <row r="9241" spans="1:9" x14ac:dyDescent="0.25">
      <c r="A9241">
        <v>4220</v>
      </c>
      <c r="B9241">
        <v>18</v>
      </c>
      <c r="C9241" t="s">
        <v>946</v>
      </c>
      <c r="D9241" t="s">
        <v>1029</v>
      </c>
      <c r="E9241" t="s">
        <v>302</v>
      </c>
      <c r="F9241" t="s">
        <v>948</v>
      </c>
      <c r="G9241">
        <v>1877777</v>
      </c>
      <c r="H9241">
        <v>501010</v>
      </c>
      <c r="I9241" t="s">
        <v>949</v>
      </c>
    </row>
    <row r="9242" spans="1:9" x14ac:dyDescent="0.25">
      <c r="A9242">
        <v>4230</v>
      </c>
      <c r="B9242">
        <v>18</v>
      </c>
      <c r="C9242" t="s">
        <v>946</v>
      </c>
      <c r="D9242" t="s">
        <v>1029</v>
      </c>
      <c r="E9242" t="s">
        <v>302</v>
      </c>
      <c r="F9242" t="s">
        <v>948</v>
      </c>
      <c r="G9242">
        <v>1899999</v>
      </c>
      <c r="H9242">
        <v>401902</v>
      </c>
      <c r="I9242" t="s">
        <v>949</v>
      </c>
    </row>
    <row r="9243" spans="1:9" x14ac:dyDescent="0.25">
      <c r="A9243">
        <v>4240</v>
      </c>
      <c r="B9243">
        <v>18</v>
      </c>
      <c r="C9243" t="s">
        <v>946</v>
      </c>
      <c r="D9243" t="s">
        <v>1029</v>
      </c>
      <c r="E9243" t="s">
        <v>302</v>
      </c>
      <c r="F9243" t="s">
        <v>948</v>
      </c>
      <c r="G9243">
        <v>1800000</v>
      </c>
      <c r="H9243">
        <v>143000</v>
      </c>
      <c r="I9243" t="s">
        <v>982</v>
      </c>
    </row>
    <row r="9244" spans="1:9" x14ac:dyDescent="0.25">
      <c r="A9244">
        <v>4141</v>
      </c>
      <c r="B9244">
        <v>18</v>
      </c>
      <c r="C9244" t="s">
        <v>946</v>
      </c>
      <c r="D9244" t="s">
        <v>1029</v>
      </c>
      <c r="E9244" t="s">
        <v>306</v>
      </c>
      <c r="F9244" t="s">
        <v>948</v>
      </c>
      <c r="G9244">
        <v>1877777</v>
      </c>
      <c r="H9244">
        <v>501010</v>
      </c>
      <c r="I9244" t="s">
        <v>949</v>
      </c>
    </row>
    <row r="9245" spans="1:9" x14ac:dyDescent="0.25">
      <c r="A9245">
        <v>4220</v>
      </c>
      <c r="B9245">
        <v>18</v>
      </c>
      <c r="C9245" t="s">
        <v>946</v>
      </c>
      <c r="D9245" t="s">
        <v>1029</v>
      </c>
      <c r="E9245" t="s">
        <v>306</v>
      </c>
      <c r="F9245" t="s">
        <v>948</v>
      </c>
      <c r="G9245">
        <v>1877777</v>
      </c>
      <c r="H9245">
        <v>501010</v>
      </c>
      <c r="I9245" t="s">
        <v>949</v>
      </c>
    </row>
    <row r="9246" spans="1:9" x14ac:dyDescent="0.25">
      <c r="A9246">
        <v>4230</v>
      </c>
      <c r="B9246">
        <v>18</v>
      </c>
      <c r="C9246" t="s">
        <v>946</v>
      </c>
      <c r="D9246" t="s">
        <v>1029</v>
      </c>
      <c r="E9246" t="s">
        <v>306</v>
      </c>
      <c r="F9246" t="s">
        <v>948</v>
      </c>
      <c r="G9246">
        <v>1899999</v>
      </c>
      <c r="H9246">
        <v>401042</v>
      </c>
      <c r="I9246" t="s">
        <v>949</v>
      </c>
    </row>
    <row r="9247" spans="1:9" x14ac:dyDescent="0.25">
      <c r="A9247">
        <v>4240</v>
      </c>
      <c r="B9247">
        <v>18</v>
      </c>
      <c r="C9247" t="s">
        <v>946</v>
      </c>
      <c r="D9247" t="s">
        <v>1029</v>
      </c>
      <c r="E9247" t="s">
        <v>306</v>
      </c>
      <c r="F9247" t="s">
        <v>948</v>
      </c>
      <c r="G9247">
        <v>1800000</v>
      </c>
      <c r="H9247">
        <v>143000</v>
      </c>
      <c r="I9247" t="s">
        <v>983</v>
      </c>
    </row>
    <row r="9248" spans="1:9" x14ac:dyDescent="0.25">
      <c r="A9248">
        <v>4141</v>
      </c>
      <c r="B9248">
        <v>18</v>
      </c>
      <c r="C9248" t="s">
        <v>946</v>
      </c>
      <c r="D9248" t="s">
        <v>1029</v>
      </c>
      <c r="E9248" t="s">
        <v>108</v>
      </c>
      <c r="F9248" t="s">
        <v>948</v>
      </c>
      <c r="G9248">
        <v>1877777</v>
      </c>
      <c r="H9248">
        <v>500220</v>
      </c>
      <c r="I9248" t="s">
        <v>949</v>
      </c>
    </row>
    <row r="9249" spans="1:9" x14ac:dyDescent="0.25">
      <c r="A9249">
        <v>4220</v>
      </c>
      <c r="B9249">
        <v>18</v>
      </c>
      <c r="C9249" t="s">
        <v>946</v>
      </c>
      <c r="D9249" t="s">
        <v>1029</v>
      </c>
      <c r="E9249" t="s">
        <v>108</v>
      </c>
      <c r="F9249" t="s">
        <v>948</v>
      </c>
      <c r="G9249">
        <v>1877777</v>
      </c>
      <c r="H9249">
        <v>500220</v>
      </c>
      <c r="I9249" t="s">
        <v>949</v>
      </c>
    </row>
    <row r="9250" spans="1:9" x14ac:dyDescent="0.25">
      <c r="A9250">
        <v>4230</v>
      </c>
      <c r="B9250">
        <v>18</v>
      </c>
      <c r="C9250" t="s">
        <v>946</v>
      </c>
      <c r="D9250" t="s">
        <v>1029</v>
      </c>
      <c r="E9250" t="s">
        <v>108</v>
      </c>
      <c r="F9250" t="s">
        <v>948</v>
      </c>
      <c r="G9250">
        <v>1899999</v>
      </c>
      <c r="H9250">
        <v>401042</v>
      </c>
      <c r="I9250" t="s">
        <v>949</v>
      </c>
    </row>
    <row r="9251" spans="1:9" x14ac:dyDescent="0.25">
      <c r="A9251">
        <v>4240</v>
      </c>
      <c r="B9251">
        <v>18</v>
      </c>
      <c r="C9251" t="s">
        <v>946</v>
      </c>
      <c r="D9251" t="s">
        <v>1029</v>
      </c>
      <c r="E9251" t="s">
        <v>108</v>
      </c>
      <c r="F9251" t="s">
        <v>948</v>
      </c>
      <c r="G9251">
        <v>1877777</v>
      </c>
      <c r="H9251">
        <v>500221</v>
      </c>
      <c r="I9251" t="s">
        <v>949</v>
      </c>
    </row>
    <row r="9252" spans="1:9" x14ac:dyDescent="0.25">
      <c r="A9252">
        <v>4141</v>
      </c>
      <c r="B9252">
        <v>18</v>
      </c>
      <c r="C9252" t="s">
        <v>946</v>
      </c>
      <c r="D9252" t="s">
        <v>1029</v>
      </c>
      <c r="E9252" t="s">
        <v>310</v>
      </c>
      <c r="F9252" t="s">
        <v>948</v>
      </c>
      <c r="G9252">
        <v>1877777</v>
      </c>
      <c r="H9252">
        <v>501010</v>
      </c>
      <c r="I9252" t="s">
        <v>949</v>
      </c>
    </row>
    <row r="9253" spans="1:9" x14ac:dyDescent="0.25">
      <c r="A9253">
        <v>4220</v>
      </c>
      <c r="B9253">
        <v>18</v>
      </c>
      <c r="C9253" t="s">
        <v>946</v>
      </c>
      <c r="D9253" t="s">
        <v>1029</v>
      </c>
      <c r="E9253" t="s">
        <v>310</v>
      </c>
      <c r="F9253" t="s">
        <v>948</v>
      </c>
      <c r="G9253">
        <v>1877777</v>
      </c>
      <c r="H9253">
        <v>501010</v>
      </c>
      <c r="I9253" t="s">
        <v>949</v>
      </c>
    </row>
    <row r="9254" spans="1:9" x14ac:dyDescent="0.25">
      <c r="A9254">
        <v>4230</v>
      </c>
      <c r="B9254">
        <v>18</v>
      </c>
      <c r="C9254" t="s">
        <v>946</v>
      </c>
      <c r="D9254" t="s">
        <v>1029</v>
      </c>
      <c r="E9254" t="s">
        <v>310</v>
      </c>
      <c r="F9254" t="s">
        <v>948</v>
      </c>
      <c r="G9254">
        <v>1899999</v>
      </c>
      <c r="H9254">
        <v>401012</v>
      </c>
      <c r="I9254" t="s">
        <v>949</v>
      </c>
    </row>
    <row r="9255" spans="1:9" x14ac:dyDescent="0.25">
      <c r="A9255">
        <v>4240</v>
      </c>
      <c r="B9255">
        <v>18</v>
      </c>
      <c r="C9255" t="s">
        <v>946</v>
      </c>
      <c r="D9255" t="s">
        <v>1029</v>
      </c>
      <c r="E9255" t="s">
        <v>310</v>
      </c>
      <c r="F9255" t="s">
        <v>948</v>
      </c>
      <c r="G9255">
        <v>1800000</v>
      </c>
      <c r="H9255">
        <v>145000</v>
      </c>
      <c r="I9255" t="s">
        <v>949</v>
      </c>
    </row>
    <row r="9256" spans="1:9" x14ac:dyDescent="0.25">
      <c r="A9256">
        <v>4141</v>
      </c>
      <c r="B9256">
        <v>18</v>
      </c>
      <c r="C9256" t="s">
        <v>946</v>
      </c>
      <c r="D9256" t="s">
        <v>1029</v>
      </c>
      <c r="E9256" t="s">
        <v>314</v>
      </c>
      <c r="F9256" t="s">
        <v>948</v>
      </c>
      <c r="G9256">
        <v>1877777</v>
      </c>
      <c r="H9256">
        <v>501010</v>
      </c>
      <c r="I9256" t="s">
        <v>949</v>
      </c>
    </row>
    <row r="9257" spans="1:9" x14ac:dyDescent="0.25">
      <c r="A9257">
        <v>4220</v>
      </c>
      <c r="B9257">
        <v>18</v>
      </c>
      <c r="C9257" t="s">
        <v>946</v>
      </c>
      <c r="D9257" t="s">
        <v>1029</v>
      </c>
      <c r="E9257" t="s">
        <v>314</v>
      </c>
      <c r="F9257" t="s">
        <v>948</v>
      </c>
      <c r="G9257">
        <v>1877777</v>
      </c>
      <c r="H9257">
        <v>501010</v>
      </c>
      <c r="I9257" t="s">
        <v>949</v>
      </c>
    </row>
    <row r="9258" spans="1:9" x14ac:dyDescent="0.25">
      <c r="A9258">
        <v>4230</v>
      </c>
      <c r="B9258">
        <v>18</v>
      </c>
      <c r="C9258" t="s">
        <v>946</v>
      </c>
      <c r="D9258" t="s">
        <v>1029</v>
      </c>
      <c r="E9258" t="s">
        <v>314</v>
      </c>
      <c r="F9258" t="s">
        <v>948</v>
      </c>
      <c r="G9258">
        <v>1899999</v>
      </c>
      <c r="H9258">
        <v>401062</v>
      </c>
      <c r="I9258" t="s">
        <v>949</v>
      </c>
    </row>
    <row r="9259" spans="1:9" x14ac:dyDescent="0.25">
      <c r="A9259">
        <v>4240</v>
      </c>
      <c r="B9259">
        <v>18</v>
      </c>
      <c r="C9259" t="s">
        <v>946</v>
      </c>
      <c r="D9259" t="s">
        <v>1029</v>
      </c>
      <c r="E9259" t="s">
        <v>314</v>
      </c>
      <c r="F9259" t="s">
        <v>948</v>
      </c>
      <c r="G9259">
        <v>1800000</v>
      </c>
      <c r="H9259">
        <v>145000</v>
      </c>
      <c r="I9259" t="s">
        <v>949</v>
      </c>
    </row>
    <row r="9260" spans="1:9" x14ac:dyDescent="0.25">
      <c r="A9260">
        <v>4141</v>
      </c>
      <c r="B9260">
        <v>18</v>
      </c>
      <c r="C9260" t="s">
        <v>946</v>
      </c>
      <c r="D9260" t="s">
        <v>1029</v>
      </c>
      <c r="E9260" t="s">
        <v>113</v>
      </c>
      <c r="F9260" t="s">
        <v>948</v>
      </c>
      <c r="G9260">
        <v>1877777</v>
      </c>
      <c r="H9260">
        <v>500220</v>
      </c>
      <c r="I9260" t="s">
        <v>949</v>
      </c>
    </row>
    <row r="9261" spans="1:9" x14ac:dyDescent="0.25">
      <c r="A9261">
        <v>4220</v>
      </c>
      <c r="B9261">
        <v>18</v>
      </c>
      <c r="C9261" t="s">
        <v>946</v>
      </c>
      <c r="D9261" t="s">
        <v>1029</v>
      </c>
      <c r="E9261" t="s">
        <v>113</v>
      </c>
      <c r="F9261" t="s">
        <v>948</v>
      </c>
      <c r="G9261">
        <v>1877777</v>
      </c>
      <c r="H9261">
        <v>500220</v>
      </c>
      <c r="I9261" t="s">
        <v>949</v>
      </c>
    </row>
    <row r="9262" spans="1:9" x14ac:dyDescent="0.25">
      <c r="A9262">
        <v>4230</v>
      </c>
      <c r="B9262">
        <v>18</v>
      </c>
      <c r="C9262" t="s">
        <v>946</v>
      </c>
      <c r="D9262" t="s">
        <v>1029</v>
      </c>
      <c r="E9262" t="s">
        <v>113</v>
      </c>
      <c r="F9262" t="s">
        <v>948</v>
      </c>
      <c r="G9262">
        <v>1899999</v>
      </c>
      <c r="H9262">
        <v>402082</v>
      </c>
      <c r="I9262" t="s">
        <v>949</v>
      </c>
    </row>
    <row r="9263" spans="1:9" x14ac:dyDescent="0.25">
      <c r="A9263">
        <v>4240</v>
      </c>
      <c r="B9263">
        <v>18</v>
      </c>
      <c r="C9263" t="s">
        <v>946</v>
      </c>
      <c r="D9263" t="s">
        <v>1029</v>
      </c>
      <c r="E9263" t="s">
        <v>113</v>
      </c>
      <c r="F9263" t="s">
        <v>948</v>
      </c>
      <c r="G9263">
        <v>1877777</v>
      </c>
      <c r="H9263">
        <v>500221</v>
      </c>
      <c r="I9263" t="s">
        <v>949</v>
      </c>
    </row>
    <row r="9264" spans="1:9" x14ac:dyDescent="0.25">
      <c r="A9264">
        <v>4141</v>
      </c>
      <c r="B9264">
        <v>18</v>
      </c>
      <c r="C9264" t="s">
        <v>946</v>
      </c>
      <c r="D9264" t="s">
        <v>1029</v>
      </c>
      <c r="E9264" t="s">
        <v>117</v>
      </c>
      <c r="F9264" t="s">
        <v>948</v>
      </c>
      <c r="G9264">
        <v>1877777</v>
      </c>
      <c r="H9264">
        <v>500220</v>
      </c>
      <c r="I9264" t="s">
        <v>949</v>
      </c>
    </row>
    <row r="9265" spans="1:9" x14ac:dyDescent="0.25">
      <c r="A9265">
        <v>4220</v>
      </c>
      <c r="B9265">
        <v>18</v>
      </c>
      <c r="C9265" t="s">
        <v>946</v>
      </c>
      <c r="D9265" t="s">
        <v>1029</v>
      </c>
      <c r="E9265" t="s">
        <v>117</v>
      </c>
      <c r="F9265" t="s">
        <v>948</v>
      </c>
      <c r="G9265">
        <v>1877777</v>
      </c>
      <c r="H9265">
        <v>500220</v>
      </c>
      <c r="I9265" t="s">
        <v>949</v>
      </c>
    </row>
    <row r="9266" spans="1:9" x14ac:dyDescent="0.25">
      <c r="A9266">
        <v>4230</v>
      </c>
      <c r="B9266">
        <v>18</v>
      </c>
      <c r="C9266" t="s">
        <v>946</v>
      </c>
      <c r="D9266" t="s">
        <v>1029</v>
      </c>
      <c r="E9266" t="s">
        <v>117</v>
      </c>
      <c r="F9266" t="s">
        <v>948</v>
      </c>
      <c r="G9266">
        <v>1888888</v>
      </c>
      <c r="H9266">
        <v>810600</v>
      </c>
      <c r="I9266" t="s">
        <v>949</v>
      </c>
    </row>
    <row r="9267" spans="1:9" x14ac:dyDescent="0.25">
      <c r="A9267">
        <v>4240</v>
      </c>
      <c r="B9267">
        <v>18</v>
      </c>
      <c r="C9267" t="s">
        <v>946</v>
      </c>
      <c r="D9267" t="s">
        <v>1029</v>
      </c>
      <c r="E9267" t="s">
        <v>117</v>
      </c>
      <c r="F9267" t="s">
        <v>948</v>
      </c>
      <c r="G9267">
        <v>1877777</v>
      </c>
      <c r="H9267">
        <v>500221</v>
      </c>
      <c r="I9267" t="s">
        <v>949</v>
      </c>
    </row>
    <row r="9268" spans="1:9" x14ac:dyDescent="0.25">
      <c r="A9268">
        <v>4141</v>
      </c>
      <c r="B9268">
        <v>18</v>
      </c>
      <c r="C9268" t="s">
        <v>946</v>
      </c>
      <c r="D9268" t="s">
        <v>1029</v>
      </c>
      <c r="E9268" t="s">
        <v>121</v>
      </c>
      <c r="F9268" t="s">
        <v>948</v>
      </c>
      <c r="G9268">
        <v>1877777</v>
      </c>
      <c r="H9268">
        <v>500220</v>
      </c>
      <c r="I9268" t="s">
        <v>949</v>
      </c>
    </row>
    <row r="9269" spans="1:9" x14ac:dyDescent="0.25">
      <c r="A9269">
        <v>4220</v>
      </c>
      <c r="B9269">
        <v>18</v>
      </c>
      <c r="C9269" t="s">
        <v>946</v>
      </c>
      <c r="D9269" t="s">
        <v>1029</v>
      </c>
      <c r="E9269" t="s">
        <v>121</v>
      </c>
      <c r="F9269" t="s">
        <v>948</v>
      </c>
      <c r="G9269">
        <v>1877777</v>
      </c>
      <c r="H9269">
        <v>500220</v>
      </c>
      <c r="I9269" t="s">
        <v>949</v>
      </c>
    </row>
    <row r="9270" spans="1:9" x14ac:dyDescent="0.25">
      <c r="A9270">
        <v>4230</v>
      </c>
      <c r="B9270">
        <v>18</v>
      </c>
      <c r="C9270" t="s">
        <v>946</v>
      </c>
      <c r="D9270" t="s">
        <v>1029</v>
      </c>
      <c r="E9270" t="s">
        <v>121</v>
      </c>
      <c r="F9270" t="s">
        <v>948</v>
      </c>
      <c r="G9270">
        <v>1899999</v>
      </c>
      <c r="H9270">
        <v>401042</v>
      </c>
      <c r="I9270" t="s">
        <v>949</v>
      </c>
    </row>
    <row r="9271" spans="1:9" x14ac:dyDescent="0.25">
      <c r="A9271">
        <v>4240</v>
      </c>
      <c r="B9271">
        <v>18</v>
      </c>
      <c r="C9271" t="s">
        <v>946</v>
      </c>
      <c r="D9271" t="s">
        <v>1029</v>
      </c>
      <c r="E9271" t="s">
        <v>121</v>
      </c>
      <c r="F9271" t="s">
        <v>948</v>
      </c>
      <c r="G9271">
        <v>1877777</v>
      </c>
      <c r="H9271">
        <v>500221</v>
      </c>
      <c r="I9271" t="s">
        <v>949</v>
      </c>
    </row>
    <row r="9272" spans="1:9" x14ac:dyDescent="0.25">
      <c r="A9272">
        <v>4141</v>
      </c>
      <c r="B9272">
        <v>18</v>
      </c>
      <c r="C9272" t="s">
        <v>946</v>
      </c>
      <c r="D9272" t="s">
        <v>1029</v>
      </c>
      <c r="E9272" t="s">
        <v>984</v>
      </c>
      <c r="F9272" t="s">
        <v>948</v>
      </c>
      <c r="G9272">
        <v>1877777</v>
      </c>
      <c r="H9272">
        <v>501010</v>
      </c>
      <c r="I9272" t="s">
        <v>949</v>
      </c>
    </row>
    <row r="9273" spans="1:9" x14ac:dyDescent="0.25">
      <c r="A9273">
        <v>4220</v>
      </c>
      <c r="B9273">
        <v>18</v>
      </c>
      <c r="C9273" t="s">
        <v>946</v>
      </c>
      <c r="D9273" t="s">
        <v>1029</v>
      </c>
      <c r="E9273" t="s">
        <v>984</v>
      </c>
      <c r="F9273" t="s">
        <v>948</v>
      </c>
      <c r="G9273">
        <v>1877777</v>
      </c>
      <c r="H9273">
        <v>501010</v>
      </c>
      <c r="I9273" t="s">
        <v>949</v>
      </c>
    </row>
    <row r="9274" spans="1:9" x14ac:dyDescent="0.25">
      <c r="A9274">
        <v>4230</v>
      </c>
      <c r="B9274">
        <v>18</v>
      </c>
      <c r="C9274" t="s">
        <v>946</v>
      </c>
      <c r="D9274" t="s">
        <v>1029</v>
      </c>
      <c r="E9274" t="s">
        <v>984</v>
      </c>
      <c r="F9274" t="s">
        <v>948</v>
      </c>
      <c r="G9274">
        <v>1899999</v>
      </c>
      <c r="H9274">
        <v>401912</v>
      </c>
      <c r="I9274" t="s">
        <v>949</v>
      </c>
    </row>
    <row r="9275" spans="1:9" x14ac:dyDescent="0.25">
      <c r="A9275">
        <v>4240</v>
      </c>
      <c r="B9275">
        <v>18</v>
      </c>
      <c r="C9275" t="s">
        <v>946</v>
      </c>
      <c r="D9275" t="s">
        <v>1029</v>
      </c>
      <c r="E9275" t="s">
        <v>984</v>
      </c>
      <c r="F9275" t="s">
        <v>948</v>
      </c>
      <c r="G9275">
        <v>1800000</v>
      </c>
      <c r="H9275">
        <v>141000</v>
      </c>
      <c r="I9275" t="s">
        <v>985</v>
      </c>
    </row>
    <row r="9276" spans="1:9" x14ac:dyDescent="0.25">
      <c r="A9276">
        <v>4141</v>
      </c>
      <c r="B9276">
        <v>18</v>
      </c>
      <c r="C9276" t="s">
        <v>946</v>
      </c>
      <c r="D9276" t="s">
        <v>1030</v>
      </c>
      <c r="E9276" t="s">
        <v>243</v>
      </c>
      <c r="F9276" t="s">
        <v>948</v>
      </c>
      <c r="G9276">
        <v>1877777</v>
      </c>
      <c r="H9276">
        <v>501010</v>
      </c>
      <c r="I9276" t="s">
        <v>949</v>
      </c>
    </row>
    <row r="9277" spans="1:9" x14ac:dyDescent="0.25">
      <c r="A9277">
        <v>4220</v>
      </c>
      <c r="B9277">
        <v>18</v>
      </c>
      <c r="C9277" t="s">
        <v>946</v>
      </c>
      <c r="D9277" t="s">
        <v>1030</v>
      </c>
      <c r="E9277" t="s">
        <v>243</v>
      </c>
      <c r="F9277" t="s">
        <v>948</v>
      </c>
      <c r="G9277">
        <v>1877777</v>
      </c>
      <c r="H9277">
        <v>501010</v>
      </c>
      <c r="I9277" t="s">
        <v>949</v>
      </c>
    </row>
    <row r="9278" spans="1:9" x14ac:dyDescent="0.25">
      <c r="A9278">
        <v>4230</v>
      </c>
      <c r="B9278">
        <v>18</v>
      </c>
      <c r="C9278" t="s">
        <v>946</v>
      </c>
      <c r="D9278" t="s">
        <v>1030</v>
      </c>
      <c r="E9278" t="s">
        <v>243</v>
      </c>
      <c r="F9278" t="s">
        <v>948</v>
      </c>
      <c r="G9278">
        <v>1899999</v>
      </c>
      <c r="H9278">
        <v>401052</v>
      </c>
      <c r="I9278" t="s">
        <v>949</v>
      </c>
    </row>
    <row r="9279" spans="1:9" x14ac:dyDescent="0.25">
      <c r="A9279">
        <v>4240</v>
      </c>
      <c r="B9279">
        <v>18</v>
      </c>
      <c r="C9279" t="s">
        <v>946</v>
      </c>
      <c r="D9279" t="s">
        <v>1030</v>
      </c>
      <c r="E9279" t="s">
        <v>243</v>
      </c>
      <c r="F9279" t="s">
        <v>948</v>
      </c>
      <c r="G9279">
        <v>1800000</v>
      </c>
      <c r="H9279">
        <v>145000</v>
      </c>
      <c r="I9279" t="s">
        <v>949</v>
      </c>
    </row>
    <row r="9280" spans="1:9" x14ac:dyDescent="0.25">
      <c r="A9280">
        <v>4141</v>
      </c>
      <c r="B9280">
        <v>18</v>
      </c>
      <c r="C9280" t="s">
        <v>946</v>
      </c>
      <c r="D9280" t="s">
        <v>1030</v>
      </c>
      <c r="E9280" t="s">
        <v>247</v>
      </c>
      <c r="F9280" t="s">
        <v>948</v>
      </c>
      <c r="G9280">
        <v>1877777</v>
      </c>
      <c r="H9280">
        <v>501010</v>
      </c>
      <c r="I9280" t="s">
        <v>949</v>
      </c>
    </row>
    <row r="9281" spans="1:9" x14ac:dyDescent="0.25">
      <c r="A9281">
        <v>4220</v>
      </c>
      <c r="B9281">
        <v>18</v>
      </c>
      <c r="C9281" t="s">
        <v>946</v>
      </c>
      <c r="D9281" t="s">
        <v>1030</v>
      </c>
      <c r="E9281" t="s">
        <v>247</v>
      </c>
      <c r="F9281" t="s">
        <v>948</v>
      </c>
      <c r="G9281">
        <v>1877777</v>
      </c>
      <c r="H9281">
        <v>501010</v>
      </c>
      <c r="I9281" t="s">
        <v>949</v>
      </c>
    </row>
    <row r="9282" spans="1:9" x14ac:dyDescent="0.25">
      <c r="A9282">
        <v>4230</v>
      </c>
      <c r="B9282">
        <v>18</v>
      </c>
      <c r="C9282" t="s">
        <v>946</v>
      </c>
      <c r="D9282" t="s">
        <v>1030</v>
      </c>
      <c r="E9282" t="s">
        <v>247</v>
      </c>
      <c r="F9282" t="s">
        <v>948</v>
      </c>
      <c r="G9282">
        <v>1899999</v>
      </c>
      <c r="H9282">
        <v>401022</v>
      </c>
      <c r="I9282" t="s">
        <v>949</v>
      </c>
    </row>
    <row r="9283" spans="1:9" x14ac:dyDescent="0.25">
      <c r="A9283">
        <v>4240</v>
      </c>
      <c r="B9283">
        <v>18</v>
      </c>
      <c r="C9283" t="s">
        <v>946</v>
      </c>
      <c r="D9283" t="s">
        <v>1030</v>
      </c>
      <c r="E9283" t="s">
        <v>247</v>
      </c>
      <c r="F9283" t="s">
        <v>948</v>
      </c>
      <c r="G9283">
        <v>1800000</v>
      </c>
      <c r="H9283">
        <v>145000</v>
      </c>
      <c r="I9283" t="s">
        <v>949</v>
      </c>
    </row>
    <row r="9284" spans="1:9" x14ac:dyDescent="0.25">
      <c r="A9284">
        <v>4141</v>
      </c>
      <c r="B9284">
        <v>18</v>
      </c>
      <c r="C9284" t="s">
        <v>946</v>
      </c>
      <c r="D9284" t="s">
        <v>1030</v>
      </c>
      <c r="E9284" t="s">
        <v>251</v>
      </c>
      <c r="F9284" t="s">
        <v>948</v>
      </c>
      <c r="G9284">
        <v>1877777</v>
      </c>
      <c r="H9284">
        <v>501010</v>
      </c>
      <c r="I9284" t="s">
        <v>949</v>
      </c>
    </row>
    <row r="9285" spans="1:9" x14ac:dyDescent="0.25">
      <c r="A9285">
        <v>4220</v>
      </c>
      <c r="B9285">
        <v>18</v>
      </c>
      <c r="C9285" t="s">
        <v>946</v>
      </c>
      <c r="D9285" t="s">
        <v>1030</v>
      </c>
      <c r="E9285" t="s">
        <v>251</v>
      </c>
      <c r="F9285" t="s">
        <v>948</v>
      </c>
      <c r="G9285">
        <v>1877777</v>
      </c>
      <c r="H9285">
        <v>501010</v>
      </c>
      <c r="I9285" t="s">
        <v>949</v>
      </c>
    </row>
    <row r="9286" spans="1:9" x14ac:dyDescent="0.25">
      <c r="A9286">
        <v>4230</v>
      </c>
      <c r="B9286">
        <v>18</v>
      </c>
      <c r="C9286" t="s">
        <v>946</v>
      </c>
      <c r="D9286" t="s">
        <v>1030</v>
      </c>
      <c r="E9286" t="s">
        <v>251</v>
      </c>
      <c r="F9286" t="s">
        <v>948</v>
      </c>
      <c r="G9286">
        <v>1899999</v>
      </c>
      <c r="H9286">
        <v>401042</v>
      </c>
      <c r="I9286" t="s">
        <v>949</v>
      </c>
    </row>
    <row r="9287" spans="1:9" x14ac:dyDescent="0.25">
      <c r="A9287">
        <v>4240</v>
      </c>
      <c r="B9287">
        <v>18</v>
      </c>
      <c r="C9287" t="s">
        <v>946</v>
      </c>
      <c r="D9287" t="s">
        <v>1030</v>
      </c>
      <c r="E9287" t="s">
        <v>251</v>
      </c>
      <c r="F9287" t="s">
        <v>948</v>
      </c>
      <c r="G9287">
        <v>1800000</v>
      </c>
      <c r="H9287">
        <v>142000</v>
      </c>
      <c r="I9287" t="s">
        <v>949</v>
      </c>
    </row>
    <row r="9288" spans="1:9" x14ac:dyDescent="0.25">
      <c r="A9288">
        <v>4141</v>
      </c>
      <c r="B9288">
        <v>18</v>
      </c>
      <c r="C9288" t="s">
        <v>946</v>
      </c>
      <c r="D9288" t="s">
        <v>1030</v>
      </c>
      <c r="E9288" t="s">
        <v>969</v>
      </c>
      <c r="F9288" t="s">
        <v>948</v>
      </c>
      <c r="G9288">
        <v>1877777</v>
      </c>
      <c r="H9288">
        <v>501010</v>
      </c>
      <c r="I9288" t="s">
        <v>949</v>
      </c>
    </row>
    <row r="9289" spans="1:9" x14ac:dyDescent="0.25">
      <c r="A9289">
        <v>4220</v>
      </c>
      <c r="B9289">
        <v>18</v>
      </c>
      <c r="C9289" t="s">
        <v>946</v>
      </c>
      <c r="D9289" t="s">
        <v>1030</v>
      </c>
      <c r="E9289" t="s">
        <v>969</v>
      </c>
      <c r="F9289" t="s">
        <v>948</v>
      </c>
      <c r="G9289">
        <v>1877777</v>
      </c>
      <c r="H9289">
        <v>501010</v>
      </c>
      <c r="I9289" t="s">
        <v>949</v>
      </c>
    </row>
    <row r="9290" spans="1:9" x14ac:dyDescent="0.25">
      <c r="A9290">
        <v>4230</v>
      </c>
      <c r="B9290">
        <v>18</v>
      </c>
      <c r="C9290" t="s">
        <v>946</v>
      </c>
      <c r="D9290" t="s">
        <v>1030</v>
      </c>
      <c r="E9290" t="s">
        <v>969</v>
      </c>
      <c r="F9290" t="s">
        <v>948</v>
      </c>
      <c r="G9290">
        <v>1899999</v>
      </c>
      <c r="H9290">
        <v>401912</v>
      </c>
      <c r="I9290" t="s">
        <v>949</v>
      </c>
    </row>
    <row r="9291" spans="1:9" x14ac:dyDescent="0.25">
      <c r="A9291">
        <v>4240</v>
      </c>
      <c r="B9291">
        <v>18</v>
      </c>
      <c r="C9291" t="s">
        <v>946</v>
      </c>
      <c r="D9291" t="s">
        <v>1030</v>
      </c>
      <c r="E9291" t="s">
        <v>969</v>
      </c>
      <c r="F9291" t="s">
        <v>948</v>
      </c>
      <c r="G9291">
        <v>1800000</v>
      </c>
      <c r="H9291">
        <v>141000</v>
      </c>
      <c r="I9291" t="s">
        <v>970</v>
      </c>
    </row>
    <row r="9292" spans="1:9" x14ac:dyDescent="0.25">
      <c r="A9292">
        <v>4141</v>
      </c>
      <c r="B9292">
        <v>18</v>
      </c>
      <c r="C9292" t="s">
        <v>946</v>
      </c>
      <c r="D9292" t="s">
        <v>1030</v>
      </c>
      <c r="E9292" t="s">
        <v>255</v>
      </c>
      <c r="F9292" t="s">
        <v>948</v>
      </c>
      <c r="G9292">
        <v>1877777</v>
      </c>
      <c r="H9292">
        <v>501010</v>
      </c>
      <c r="I9292" t="s">
        <v>949</v>
      </c>
    </row>
    <row r="9293" spans="1:9" x14ac:dyDescent="0.25">
      <c r="A9293">
        <v>4220</v>
      </c>
      <c r="B9293">
        <v>18</v>
      </c>
      <c r="C9293" t="s">
        <v>946</v>
      </c>
      <c r="D9293" t="s">
        <v>1030</v>
      </c>
      <c r="E9293" t="s">
        <v>255</v>
      </c>
      <c r="F9293" t="s">
        <v>948</v>
      </c>
      <c r="G9293">
        <v>1877777</v>
      </c>
      <c r="H9293">
        <v>501010</v>
      </c>
      <c r="I9293" t="s">
        <v>949</v>
      </c>
    </row>
    <row r="9294" spans="1:9" x14ac:dyDescent="0.25">
      <c r="A9294">
        <v>4230</v>
      </c>
      <c r="B9294">
        <v>18</v>
      </c>
      <c r="C9294" t="s">
        <v>946</v>
      </c>
      <c r="D9294" t="s">
        <v>1030</v>
      </c>
      <c r="E9294" t="s">
        <v>255</v>
      </c>
      <c r="F9294" t="s">
        <v>948</v>
      </c>
      <c r="G9294">
        <v>1899999</v>
      </c>
      <c r="H9294">
        <v>401072</v>
      </c>
      <c r="I9294" t="s">
        <v>949</v>
      </c>
    </row>
    <row r="9295" spans="1:9" x14ac:dyDescent="0.25">
      <c r="A9295">
        <v>4240</v>
      </c>
      <c r="B9295">
        <v>18</v>
      </c>
      <c r="C9295" t="s">
        <v>946</v>
      </c>
      <c r="D9295" t="s">
        <v>1030</v>
      </c>
      <c r="E9295" t="s">
        <v>255</v>
      </c>
      <c r="F9295" t="s">
        <v>948</v>
      </c>
      <c r="G9295">
        <v>1800000</v>
      </c>
      <c r="H9295">
        <v>145000</v>
      </c>
      <c r="I9295" t="s">
        <v>949</v>
      </c>
    </row>
    <row r="9296" spans="1:9" x14ac:dyDescent="0.25">
      <c r="A9296">
        <v>4141</v>
      </c>
      <c r="B9296">
        <v>18</v>
      </c>
      <c r="C9296" t="s">
        <v>946</v>
      </c>
      <c r="D9296" t="s">
        <v>1030</v>
      </c>
      <c r="E9296" t="s">
        <v>971</v>
      </c>
      <c r="F9296" t="s">
        <v>948</v>
      </c>
      <c r="G9296">
        <v>1877777</v>
      </c>
      <c r="H9296">
        <v>501010</v>
      </c>
      <c r="I9296" t="s">
        <v>949</v>
      </c>
    </row>
    <row r="9297" spans="1:9" x14ac:dyDescent="0.25">
      <c r="A9297">
        <v>4220</v>
      </c>
      <c r="B9297">
        <v>18</v>
      </c>
      <c r="C9297" t="s">
        <v>946</v>
      </c>
      <c r="D9297" t="s">
        <v>1030</v>
      </c>
      <c r="E9297" t="s">
        <v>971</v>
      </c>
      <c r="F9297" t="s">
        <v>948</v>
      </c>
      <c r="G9297">
        <v>1877777</v>
      </c>
      <c r="H9297">
        <v>501010</v>
      </c>
      <c r="I9297" t="s">
        <v>949</v>
      </c>
    </row>
    <row r="9298" spans="1:9" x14ac:dyDescent="0.25">
      <c r="A9298">
        <v>4230</v>
      </c>
      <c r="B9298">
        <v>18</v>
      </c>
      <c r="C9298" t="s">
        <v>946</v>
      </c>
      <c r="D9298" t="s">
        <v>1030</v>
      </c>
      <c r="E9298" t="s">
        <v>971</v>
      </c>
      <c r="F9298" t="s">
        <v>948</v>
      </c>
      <c r="G9298">
        <v>1899999</v>
      </c>
      <c r="H9298">
        <v>401912</v>
      </c>
      <c r="I9298" t="s">
        <v>949</v>
      </c>
    </row>
    <row r="9299" spans="1:9" x14ac:dyDescent="0.25">
      <c r="A9299">
        <v>4240</v>
      </c>
      <c r="B9299">
        <v>18</v>
      </c>
      <c r="C9299" t="s">
        <v>946</v>
      </c>
      <c r="D9299" t="s">
        <v>1030</v>
      </c>
      <c r="E9299" t="s">
        <v>971</v>
      </c>
      <c r="F9299" t="s">
        <v>948</v>
      </c>
      <c r="G9299">
        <v>1800000</v>
      </c>
      <c r="H9299">
        <v>141000</v>
      </c>
      <c r="I9299" t="s">
        <v>972</v>
      </c>
    </row>
    <row r="9300" spans="1:9" x14ac:dyDescent="0.25">
      <c r="A9300">
        <v>4230</v>
      </c>
      <c r="B9300">
        <v>18</v>
      </c>
      <c r="C9300" t="s">
        <v>946</v>
      </c>
      <c r="D9300" t="s">
        <v>1030</v>
      </c>
      <c r="E9300" t="s">
        <v>259</v>
      </c>
      <c r="F9300" t="s">
        <v>948</v>
      </c>
      <c r="G9300">
        <v>1899999</v>
      </c>
      <c r="H9300">
        <v>409002</v>
      </c>
      <c r="I9300" t="s">
        <v>949</v>
      </c>
    </row>
    <row r="9301" spans="1:9" x14ac:dyDescent="0.25">
      <c r="A9301">
        <v>4141</v>
      </c>
      <c r="B9301">
        <v>18</v>
      </c>
      <c r="C9301" t="s">
        <v>946</v>
      </c>
      <c r="D9301" t="s">
        <v>1030</v>
      </c>
      <c r="E9301" t="s">
        <v>263</v>
      </c>
      <c r="F9301" t="s">
        <v>948</v>
      </c>
      <c r="G9301">
        <v>1877777</v>
      </c>
      <c r="H9301">
        <v>501010</v>
      </c>
      <c r="I9301" t="s">
        <v>949</v>
      </c>
    </row>
    <row r="9302" spans="1:9" x14ac:dyDescent="0.25">
      <c r="A9302">
        <v>4220</v>
      </c>
      <c r="B9302">
        <v>18</v>
      </c>
      <c r="C9302" t="s">
        <v>946</v>
      </c>
      <c r="D9302" t="s">
        <v>1030</v>
      </c>
      <c r="E9302" t="s">
        <v>263</v>
      </c>
      <c r="F9302" t="s">
        <v>948</v>
      </c>
      <c r="G9302">
        <v>1877777</v>
      </c>
      <c r="H9302">
        <v>501010</v>
      </c>
      <c r="I9302" t="s">
        <v>949</v>
      </c>
    </row>
    <row r="9303" spans="1:9" x14ac:dyDescent="0.25">
      <c r="A9303">
        <v>4230</v>
      </c>
      <c r="B9303">
        <v>18</v>
      </c>
      <c r="C9303" t="s">
        <v>946</v>
      </c>
      <c r="D9303" t="s">
        <v>1030</v>
      </c>
      <c r="E9303" t="s">
        <v>263</v>
      </c>
      <c r="F9303" t="s">
        <v>948</v>
      </c>
      <c r="G9303">
        <v>1899999</v>
      </c>
      <c r="H9303">
        <v>401042</v>
      </c>
      <c r="I9303" t="s">
        <v>949</v>
      </c>
    </row>
    <row r="9304" spans="1:9" x14ac:dyDescent="0.25">
      <c r="A9304">
        <v>4240</v>
      </c>
      <c r="B9304">
        <v>18</v>
      </c>
      <c r="C9304" t="s">
        <v>946</v>
      </c>
      <c r="D9304" t="s">
        <v>1030</v>
      </c>
      <c r="E9304" t="s">
        <v>263</v>
      </c>
      <c r="F9304" t="s">
        <v>948</v>
      </c>
      <c r="G9304">
        <v>1800000</v>
      </c>
      <c r="H9304">
        <v>145000</v>
      </c>
      <c r="I9304" t="s">
        <v>949</v>
      </c>
    </row>
    <row r="9305" spans="1:9" x14ac:dyDescent="0.25">
      <c r="A9305">
        <v>4141</v>
      </c>
      <c r="B9305">
        <v>18</v>
      </c>
      <c r="C9305" t="s">
        <v>946</v>
      </c>
      <c r="D9305" t="s">
        <v>1030</v>
      </c>
      <c r="E9305" t="s">
        <v>100</v>
      </c>
      <c r="F9305" t="s">
        <v>948</v>
      </c>
      <c r="G9305">
        <v>1877777</v>
      </c>
      <c r="H9305">
        <v>500220</v>
      </c>
      <c r="I9305" t="s">
        <v>949</v>
      </c>
    </row>
    <row r="9306" spans="1:9" x14ac:dyDescent="0.25">
      <c r="A9306">
        <v>4220</v>
      </c>
      <c r="B9306">
        <v>18</v>
      </c>
      <c r="C9306" t="s">
        <v>946</v>
      </c>
      <c r="D9306" t="s">
        <v>1030</v>
      </c>
      <c r="E9306" t="s">
        <v>100</v>
      </c>
      <c r="F9306" t="s">
        <v>948</v>
      </c>
      <c r="G9306">
        <v>1877777</v>
      </c>
      <c r="H9306">
        <v>500220</v>
      </c>
      <c r="I9306" t="s">
        <v>949</v>
      </c>
    </row>
    <row r="9307" spans="1:9" x14ac:dyDescent="0.25">
      <c r="A9307">
        <v>4230</v>
      </c>
      <c r="B9307">
        <v>18</v>
      </c>
      <c r="C9307" t="s">
        <v>946</v>
      </c>
      <c r="D9307" t="s">
        <v>1030</v>
      </c>
      <c r="E9307" t="s">
        <v>100</v>
      </c>
      <c r="F9307" t="s">
        <v>948</v>
      </c>
      <c r="G9307">
        <v>1899999</v>
      </c>
      <c r="H9307">
        <v>401042</v>
      </c>
      <c r="I9307" t="s">
        <v>949</v>
      </c>
    </row>
    <row r="9308" spans="1:9" x14ac:dyDescent="0.25">
      <c r="A9308">
        <v>4240</v>
      </c>
      <c r="B9308">
        <v>18</v>
      </c>
      <c r="C9308" t="s">
        <v>946</v>
      </c>
      <c r="D9308" t="s">
        <v>1030</v>
      </c>
      <c r="E9308" t="s">
        <v>100</v>
      </c>
      <c r="F9308" t="s">
        <v>948</v>
      </c>
      <c r="G9308">
        <v>1877777</v>
      </c>
      <c r="H9308">
        <v>500221</v>
      </c>
      <c r="I9308" t="s">
        <v>949</v>
      </c>
    </row>
    <row r="9309" spans="1:9" x14ac:dyDescent="0.25">
      <c r="A9309">
        <v>4141</v>
      </c>
      <c r="B9309">
        <v>18</v>
      </c>
      <c r="C9309" t="s">
        <v>946</v>
      </c>
      <c r="D9309" t="s">
        <v>1030</v>
      </c>
      <c r="E9309" t="s">
        <v>270</v>
      </c>
      <c r="F9309" t="s">
        <v>948</v>
      </c>
      <c r="G9309">
        <v>1877777</v>
      </c>
      <c r="H9309">
        <v>501010</v>
      </c>
      <c r="I9309" t="s">
        <v>949</v>
      </c>
    </row>
    <row r="9310" spans="1:9" x14ac:dyDescent="0.25">
      <c r="A9310">
        <v>4220</v>
      </c>
      <c r="B9310">
        <v>18</v>
      </c>
      <c r="C9310" t="s">
        <v>946</v>
      </c>
      <c r="D9310" t="s">
        <v>1030</v>
      </c>
      <c r="E9310" t="s">
        <v>270</v>
      </c>
      <c r="F9310" t="s">
        <v>948</v>
      </c>
      <c r="G9310">
        <v>1877777</v>
      </c>
      <c r="H9310">
        <v>501010</v>
      </c>
      <c r="I9310" t="s">
        <v>949</v>
      </c>
    </row>
    <row r="9311" spans="1:9" x14ac:dyDescent="0.25">
      <c r="A9311">
        <v>4230</v>
      </c>
      <c r="B9311">
        <v>18</v>
      </c>
      <c r="C9311" t="s">
        <v>946</v>
      </c>
      <c r="D9311" t="s">
        <v>1030</v>
      </c>
      <c r="E9311" t="s">
        <v>270</v>
      </c>
      <c r="F9311" t="s">
        <v>948</v>
      </c>
      <c r="G9311">
        <v>1899999</v>
      </c>
      <c r="H9311">
        <v>401062</v>
      </c>
      <c r="I9311" t="s">
        <v>949</v>
      </c>
    </row>
    <row r="9312" spans="1:9" x14ac:dyDescent="0.25">
      <c r="A9312">
        <v>4240</v>
      </c>
      <c r="B9312">
        <v>18</v>
      </c>
      <c r="C9312" t="s">
        <v>946</v>
      </c>
      <c r="D9312" t="s">
        <v>1030</v>
      </c>
      <c r="E9312" t="s">
        <v>270</v>
      </c>
      <c r="F9312" t="s">
        <v>948</v>
      </c>
      <c r="G9312">
        <v>1800000</v>
      </c>
      <c r="H9312">
        <v>145000</v>
      </c>
      <c r="I9312" t="s">
        <v>949</v>
      </c>
    </row>
    <row r="9313" spans="1:9" x14ac:dyDescent="0.25">
      <c r="A9313">
        <v>4141</v>
      </c>
      <c r="B9313">
        <v>18</v>
      </c>
      <c r="C9313" t="s">
        <v>946</v>
      </c>
      <c r="D9313" t="s">
        <v>1030</v>
      </c>
      <c r="E9313" t="s">
        <v>274</v>
      </c>
      <c r="F9313" t="s">
        <v>948</v>
      </c>
      <c r="G9313">
        <v>1877777</v>
      </c>
      <c r="H9313">
        <v>501010</v>
      </c>
      <c r="I9313" t="s">
        <v>949</v>
      </c>
    </row>
    <row r="9314" spans="1:9" x14ac:dyDescent="0.25">
      <c r="A9314">
        <v>4220</v>
      </c>
      <c r="B9314">
        <v>18</v>
      </c>
      <c r="C9314" t="s">
        <v>946</v>
      </c>
      <c r="D9314" t="s">
        <v>1030</v>
      </c>
      <c r="E9314" t="s">
        <v>274</v>
      </c>
      <c r="F9314" t="s">
        <v>948</v>
      </c>
      <c r="G9314">
        <v>1877777</v>
      </c>
      <c r="H9314">
        <v>501010</v>
      </c>
      <c r="I9314" t="s">
        <v>949</v>
      </c>
    </row>
    <row r="9315" spans="1:9" x14ac:dyDescent="0.25">
      <c r="A9315">
        <v>4230</v>
      </c>
      <c r="B9315">
        <v>18</v>
      </c>
      <c r="C9315" t="s">
        <v>946</v>
      </c>
      <c r="D9315" t="s">
        <v>1030</v>
      </c>
      <c r="E9315" t="s">
        <v>274</v>
      </c>
      <c r="F9315" t="s">
        <v>948</v>
      </c>
      <c r="G9315">
        <v>1899999</v>
      </c>
      <c r="H9315">
        <v>401042</v>
      </c>
      <c r="I9315" t="s">
        <v>949</v>
      </c>
    </row>
    <row r="9316" spans="1:9" x14ac:dyDescent="0.25">
      <c r="A9316">
        <v>4240</v>
      </c>
      <c r="B9316">
        <v>18</v>
      </c>
      <c r="C9316" t="s">
        <v>946</v>
      </c>
      <c r="D9316" t="s">
        <v>1030</v>
      </c>
      <c r="E9316" t="s">
        <v>274</v>
      </c>
      <c r="F9316" t="s">
        <v>948</v>
      </c>
      <c r="G9316">
        <v>1800000</v>
      </c>
      <c r="H9316">
        <v>143000</v>
      </c>
      <c r="I9316" t="s">
        <v>973</v>
      </c>
    </row>
    <row r="9317" spans="1:9" x14ac:dyDescent="0.25">
      <c r="A9317">
        <v>4141</v>
      </c>
      <c r="B9317">
        <v>18</v>
      </c>
      <c r="C9317" t="s">
        <v>946</v>
      </c>
      <c r="D9317" t="s">
        <v>1030</v>
      </c>
      <c r="E9317" t="s">
        <v>974</v>
      </c>
      <c r="F9317" t="s">
        <v>948</v>
      </c>
      <c r="G9317">
        <v>1877777</v>
      </c>
      <c r="H9317">
        <v>501010</v>
      </c>
      <c r="I9317" t="s">
        <v>949</v>
      </c>
    </row>
    <row r="9318" spans="1:9" x14ac:dyDescent="0.25">
      <c r="A9318">
        <v>4220</v>
      </c>
      <c r="B9318">
        <v>18</v>
      </c>
      <c r="C9318" t="s">
        <v>946</v>
      </c>
      <c r="D9318" t="s">
        <v>1030</v>
      </c>
      <c r="E9318" t="s">
        <v>974</v>
      </c>
      <c r="F9318" t="s">
        <v>948</v>
      </c>
      <c r="G9318">
        <v>1877777</v>
      </c>
      <c r="H9318">
        <v>501010</v>
      </c>
      <c r="I9318" t="s">
        <v>949</v>
      </c>
    </row>
    <row r="9319" spans="1:9" x14ac:dyDescent="0.25">
      <c r="A9319">
        <v>4230</v>
      </c>
      <c r="B9319">
        <v>18</v>
      </c>
      <c r="C9319" t="s">
        <v>946</v>
      </c>
      <c r="D9319" t="s">
        <v>1030</v>
      </c>
      <c r="E9319" t="s">
        <v>974</v>
      </c>
      <c r="F9319" t="s">
        <v>948</v>
      </c>
      <c r="G9319">
        <v>1899999</v>
      </c>
      <c r="H9319">
        <v>401912</v>
      </c>
      <c r="I9319" t="s">
        <v>949</v>
      </c>
    </row>
    <row r="9320" spans="1:9" x14ac:dyDescent="0.25">
      <c r="A9320">
        <v>4240</v>
      </c>
      <c r="B9320">
        <v>18</v>
      </c>
      <c r="C9320" t="s">
        <v>946</v>
      </c>
      <c r="D9320" t="s">
        <v>1030</v>
      </c>
      <c r="E9320" t="s">
        <v>974</v>
      </c>
      <c r="F9320" t="s">
        <v>948</v>
      </c>
      <c r="G9320">
        <v>1800000</v>
      </c>
      <c r="H9320">
        <v>141000</v>
      </c>
      <c r="I9320" t="s">
        <v>975</v>
      </c>
    </row>
    <row r="9321" spans="1:9" x14ac:dyDescent="0.25">
      <c r="A9321">
        <v>4141</v>
      </c>
      <c r="B9321">
        <v>18</v>
      </c>
      <c r="C9321" t="s">
        <v>946</v>
      </c>
      <c r="D9321" t="s">
        <v>1030</v>
      </c>
      <c r="E9321" t="s">
        <v>104</v>
      </c>
      <c r="F9321" t="s">
        <v>948</v>
      </c>
      <c r="G9321">
        <v>1877777</v>
      </c>
      <c r="H9321">
        <v>500220</v>
      </c>
      <c r="I9321" t="s">
        <v>949</v>
      </c>
    </row>
    <row r="9322" spans="1:9" x14ac:dyDescent="0.25">
      <c r="A9322">
        <v>4220</v>
      </c>
      <c r="B9322">
        <v>18</v>
      </c>
      <c r="C9322" t="s">
        <v>946</v>
      </c>
      <c r="D9322" t="s">
        <v>1030</v>
      </c>
      <c r="E9322" t="s">
        <v>104</v>
      </c>
      <c r="F9322" t="s">
        <v>948</v>
      </c>
      <c r="G9322">
        <v>1877777</v>
      </c>
      <c r="H9322">
        <v>500220</v>
      </c>
      <c r="I9322" t="s">
        <v>949</v>
      </c>
    </row>
    <row r="9323" spans="1:9" x14ac:dyDescent="0.25">
      <c r="A9323">
        <v>4230</v>
      </c>
      <c r="B9323">
        <v>18</v>
      </c>
      <c r="C9323" t="s">
        <v>946</v>
      </c>
      <c r="D9323" t="s">
        <v>1030</v>
      </c>
      <c r="E9323" t="s">
        <v>104</v>
      </c>
      <c r="F9323" t="s">
        <v>948</v>
      </c>
      <c r="G9323">
        <v>1899999</v>
      </c>
      <c r="H9323">
        <v>401042</v>
      </c>
      <c r="I9323" t="s">
        <v>949</v>
      </c>
    </row>
    <row r="9324" spans="1:9" x14ac:dyDescent="0.25">
      <c r="A9324">
        <v>4240</v>
      </c>
      <c r="B9324">
        <v>18</v>
      </c>
      <c r="C9324" t="s">
        <v>946</v>
      </c>
      <c r="D9324" t="s">
        <v>1030</v>
      </c>
      <c r="E9324" t="s">
        <v>104</v>
      </c>
      <c r="F9324" t="s">
        <v>948</v>
      </c>
      <c r="G9324">
        <v>1877777</v>
      </c>
      <c r="H9324">
        <v>500221</v>
      </c>
      <c r="I9324" t="s">
        <v>949</v>
      </c>
    </row>
    <row r="9325" spans="1:9" x14ac:dyDescent="0.25">
      <c r="A9325">
        <v>4141</v>
      </c>
      <c r="B9325">
        <v>18</v>
      </c>
      <c r="C9325" t="s">
        <v>946</v>
      </c>
      <c r="D9325" t="s">
        <v>1030</v>
      </c>
      <c r="E9325" t="s">
        <v>278</v>
      </c>
      <c r="F9325" t="s">
        <v>948</v>
      </c>
      <c r="G9325">
        <v>1877777</v>
      </c>
      <c r="H9325">
        <v>501010</v>
      </c>
      <c r="I9325" t="s">
        <v>949</v>
      </c>
    </row>
    <row r="9326" spans="1:9" x14ac:dyDescent="0.25">
      <c r="A9326">
        <v>4220</v>
      </c>
      <c r="B9326">
        <v>18</v>
      </c>
      <c r="C9326" t="s">
        <v>946</v>
      </c>
      <c r="D9326" t="s">
        <v>1030</v>
      </c>
      <c r="E9326" t="s">
        <v>278</v>
      </c>
      <c r="F9326" t="s">
        <v>948</v>
      </c>
      <c r="G9326">
        <v>1877777</v>
      </c>
      <c r="H9326">
        <v>501010</v>
      </c>
      <c r="I9326" t="s">
        <v>949</v>
      </c>
    </row>
    <row r="9327" spans="1:9" x14ac:dyDescent="0.25">
      <c r="A9327">
        <v>4230</v>
      </c>
      <c r="B9327">
        <v>18</v>
      </c>
      <c r="C9327" t="s">
        <v>946</v>
      </c>
      <c r="D9327" t="s">
        <v>1030</v>
      </c>
      <c r="E9327" t="s">
        <v>278</v>
      </c>
      <c r="F9327" t="s">
        <v>948</v>
      </c>
      <c r="G9327">
        <v>1899999</v>
      </c>
      <c r="H9327">
        <v>401052</v>
      </c>
      <c r="I9327" t="s">
        <v>949</v>
      </c>
    </row>
    <row r="9328" spans="1:9" x14ac:dyDescent="0.25">
      <c r="A9328">
        <v>4240</v>
      </c>
      <c r="B9328">
        <v>18</v>
      </c>
      <c r="C9328" t="s">
        <v>946</v>
      </c>
      <c r="D9328" t="s">
        <v>1030</v>
      </c>
      <c r="E9328" t="s">
        <v>278</v>
      </c>
      <c r="F9328" t="s">
        <v>948</v>
      </c>
      <c r="G9328">
        <v>1800000</v>
      </c>
      <c r="H9328">
        <v>145000</v>
      </c>
      <c r="I9328" t="s">
        <v>949</v>
      </c>
    </row>
    <row r="9329" spans="1:9" x14ac:dyDescent="0.25">
      <c r="A9329">
        <v>4141</v>
      </c>
      <c r="B9329">
        <v>18</v>
      </c>
      <c r="C9329" t="s">
        <v>946</v>
      </c>
      <c r="D9329" t="s">
        <v>1030</v>
      </c>
      <c r="E9329" t="s">
        <v>282</v>
      </c>
      <c r="F9329" t="s">
        <v>948</v>
      </c>
      <c r="G9329">
        <v>1877777</v>
      </c>
      <c r="H9329">
        <v>501010</v>
      </c>
      <c r="I9329" t="s">
        <v>949</v>
      </c>
    </row>
    <row r="9330" spans="1:9" x14ac:dyDescent="0.25">
      <c r="A9330">
        <v>4220</v>
      </c>
      <c r="B9330">
        <v>18</v>
      </c>
      <c r="C9330" t="s">
        <v>946</v>
      </c>
      <c r="D9330" t="s">
        <v>1030</v>
      </c>
      <c r="E9330" t="s">
        <v>282</v>
      </c>
      <c r="F9330" t="s">
        <v>948</v>
      </c>
      <c r="G9330">
        <v>1877777</v>
      </c>
      <c r="H9330">
        <v>501010</v>
      </c>
      <c r="I9330" t="s">
        <v>949</v>
      </c>
    </row>
    <row r="9331" spans="1:9" x14ac:dyDescent="0.25">
      <c r="A9331">
        <v>4230</v>
      </c>
      <c r="B9331">
        <v>18</v>
      </c>
      <c r="C9331" t="s">
        <v>946</v>
      </c>
      <c r="D9331" t="s">
        <v>1030</v>
      </c>
      <c r="E9331" t="s">
        <v>282</v>
      </c>
      <c r="F9331" t="s">
        <v>948</v>
      </c>
      <c r="G9331">
        <v>1899999</v>
      </c>
      <c r="H9331">
        <v>401042</v>
      </c>
      <c r="I9331" t="s">
        <v>949</v>
      </c>
    </row>
    <row r="9332" spans="1:9" x14ac:dyDescent="0.25">
      <c r="A9332">
        <v>4240</v>
      </c>
      <c r="B9332">
        <v>18</v>
      </c>
      <c r="C9332" t="s">
        <v>946</v>
      </c>
      <c r="D9332" t="s">
        <v>1030</v>
      </c>
      <c r="E9332" t="s">
        <v>282</v>
      </c>
      <c r="F9332" t="s">
        <v>948</v>
      </c>
      <c r="G9332">
        <v>1800000</v>
      </c>
      <c r="H9332">
        <v>143100</v>
      </c>
      <c r="I9332" t="s">
        <v>949</v>
      </c>
    </row>
    <row r="9333" spans="1:9" x14ac:dyDescent="0.25">
      <c r="A9333">
        <v>4141</v>
      </c>
      <c r="B9333">
        <v>18</v>
      </c>
      <c r="C9333" t="s">
        <v>946</v>
      </c>
      <c r="D9333" t="s">
        <v>1030</v>
      </c>
      <c r="E9333" t="s">
        <v>286</v>
      </c>
      <c r="F9333" t="s">
        <v>948</v>
      </c>
      <c r="G9333">
        <v>1877777</v>
      </c>
      <c r="H9333">
        <v>501010</v>
      </c>
      <c r="I9333" t="s">
        <v>949</v>
      </c>
    </row>
    <row r="9334" spans="1:9" x14ac:dyDescent="0.25">
      <c r="A9334">
        <v>4220</v>
      </c>
      <c r="B9334">
        <v>18</v>
      </c>
      <c r="C9334" t="s">
        <v>946</v>
      </c>
      <c r="D9334" t="s">
        <v>1030</v>
      </c>
      <c r="E9334" t="s">
        <v>286</v>
      </c>
      <c r="F9334" t="s">
        <v>948</v>
      </c>
      <c r="G9334">
        <v>1877777</v>
      </c>
      <c r="H9334">
        <v>501010</v>
      </c>
      <c r="I9334" t="s">
        <v>949</v>
      </c>
    </row>
    <row r="9335" spans="1:9" x14ac:dyDescent="0.25">
      <c r="A9335">
        <v>4230</v>
      </c>
      <c r="B9335">
        <v>18</v>
      </c>
      <c r="C9335" t="s">
        <v>946</v>
      </c>
      <c r="D9335" t="s">
        <v>1030</v>
      </c>
      <c r="E9335" t="s">
        <v>286</v>
      </c>
      <c r="F9335" t="s">
        <v>948</v>
      </c>
      <c r="G9335">
        <v>1899999</v>
      </c>
      <c r="H9335">
        <v>401032</v>
      </c>
      <c r="I9335" t="s">
        <v>949</v>
      </c>
    </row>
    <row r="9336" spans="1:9" x14ac:dyDescent="0.25">
      <c r="A9336">
        <v>4240</v>
      </c>
      <c r="B9336">
        <v>18</v>
      </c>
      <c r="C9336" t="s">
        <v>946</v>
      </c>
      <c r="D9336" t="s">
        <v>1030</v>
      </c>
      <c r="E9336" t="s">
        <v>286</v>
      </c>
      <c r="F9336" t="s">
        <v>948</v>
      </c>
      <c r="G9336">
        <v>1800000</v>
      </c>
      <c r="H9336">
        <v>145000</v>
      </c>
      <c r="I9336" t="s">
        <v>949</v>
      </c>
    </row>
    <row r="9337" spans="1:9" x14ac:dyDescent="0.25">
      <c r="A9337">
        <v>4141</v>
      </c>
      <c r="B9337">
        <v>18</v>
      </c>
      <c r="C9337" t="s">
        <v>946</v>
      </c>
      <c r="D9337" t="s">
        <v>1030</v>
      </c>
      <c r="E9337" t="s">
        <v>976</v>
      </c>
      <c r="F9337" t="s">
        <v>948</v>
      </c>
      <c r="G9337">
        <v>1877777</v>
      </c>
      <c r="H9337">
        <v>501010</v>
      </c>
      <c r="I9337" t="s">
        <v>949</v>
      </c>
    </row>
    <row r="9338" spans="1:9" x14ac:dyDescent="0.25">
      <c r="A9338">
        <v>4220</v>
      </c>
      <c r="B9338">
        <v>18</v>
      </c>
      <c r="C9338" t="s">
        <v>946</v>
      </c>
      <c r="D9338" t="s">
        <v>1030</v>
      </c>
      <c r="E9338" t="s">
        <v>976</v>
      </c>
      <c r="F9338" t="s">
        <v>948</v>
      </c>
      <c r="G9338">
        <v>1877777</v>
      </c>
      <c r="H9338">
        <v>501010</v>
      </c>
      <c r="I9338" t="s">
        <v>949</v>
      </c>
    </row>
    <row r="9339" spans="1:9" x14ac:dyDescent="0.25">
      <c r="A9339">
        <v>4230</v>
      </c>
      <c r="B9339">
        <v>18</v>
      </c>
      <c r="C9339" t="s">
        <v>946</v>
      </c>
      <c r="D9339" t="s">
        <v>1030</v>
      </c>
      <c r="E9339" t="s">
        <v>976</v>
      </c>
      <c r="F9339" t="s">
        <v>948</v>
      </c>
      <c r="G9339">
        <v>1899999</v>
      </c>
      <c r="H9339">
        <v>401912</v>
      </c>
      <c r="I9339" t="s">
        <v>949</v>
      </c>
    </row>
    <row r="9340" spans="1:9" x14ac:dyDescent="0.25">
      <c r="A9340">
        <v>4240</v>
      </c>
      <c r="B9340">
        <v>18</v>
      </c>
      <c r="C9340" t="s">
        <v>946</v>
      </c>
      <c r="D9340" t="s">
        <v>1030</v>
      </c>
      <c r="E9340" t="s">
        <v>976</v>
      </c>
      <c r="F9340" t="s">
        <v>948</v>
      </c>
      <c r="G9340">
        <v>1800000</v>
      </c>
      <c r="H9340">
        <v>141000</v>
      </c>
      <c r="I9340" t="s">
        <v>977</v>
      </c>
    </row>
    <row r="9341" spans="1:9" x14ac:dyDescent="0.25">
      <c r="A9341">
        <v>4141</v>
      </c>
      <c r="B9341">
        <v>18</v>
      </c>
      <c r="C9341" t="s">
        <v>946</v>
      </c>
      <c r="D9341" t="s">
        <v>1030</v>
      </c>
      <c r="E9341" t="s">
        <v>290</v>
      </c>
      <c r="F9341" t="s">
        <v>948</v>
      </c>
      <c r="G9341">
        <v>1877777</v>
      </c>
      <c r="H9341">
        <v>501010</v>
      </c>
      <c r="I9341" t="s">
        <v>949</v>
      </c>
    </row>
    <row r="9342" spans="1:9" x14ac:dyDescent="0.25">
      <c r="A9342">
        <v>4220</v>
      </c>
      <c r="B9342">
        <v>18</v>
      </c>
      <c r="C9342" t="s">
        <v>946</v>
      </c>
      <c r="D9342" t="s">
        <v>1030</v>
      </c>
      <c r="E9342" t="s">
        <v>290</v>
      </c>
      <c r="F9342" t="s">
        <v>948</v>
      </c>
      <c r="G9342">
        <v>1877777</v>
      </c>
      <c r="H9342">
        <v>501010</v>
      </c>
      <c r="I9342" t="s">
        <v>949</v>
      </c>
    </row>
    <row r="9343" spans="1:9" x14ac:dyDescent="0.25">
      <c r="A9343">
        <v>4230</v>
      </c>
      <c r="B9343">
        <v>18</v>
      </c>
      <c r="C9343" t="s">
        <v>946</v>
      </c>
      <c r="D9343" t="s">
        <v>1030</v>
      </c>
      <c r="E9343" t="s">
        <v>290</v>
      </c>
      <c r="F9343" t="s">
        <v>948</v>
      </c>
      <c r="G9343">
        <v>1899999</v>
      </c>
      <c r="H9343">
        <v>401042</v>
      </c>
      <c r="I9343" t="s">
        <v>949</v>
      </c>
    </row>
    <row r="9344" spans="1:9" x14ac:dyDescent="0.25">
      <c r="A9344">
        <v>4240</v>
      </c>
      <c r="B9344">
        <v>18</v>
      </c>
      <c r="C9344" t="s">
        <v>946</v>
      </c>
      <c r="D9344" t="s">
        <v>1030</v>
      </c>
      <c r="E9344" t="s">
        <v>290</v>
      </c>
      <c r="F9344" t="s">
        <v>948</v>
      </c>
      <c r="G9344">
        <v>1800000</v>
      </c>
      <c r="H9344">
        <v>143000</v>
      </c>
      <c r="I9344" t="s">
        <v>978</v>
      </c>
    </row>
    <row r="9345" spans="1:9" x14ac:dyDescent="0.25">
      <c r="A9345">
        <v>4141</v>
      </c>
      <c r="B9345">
        <v>18</v>
      </c>
      <c r="C9345" t="s">
        <v>946</v>
      </c>
      <c r="D9345" t="s">
        <v>1030</v>
      </c>
      <c r="E9345" t="s">
        <v>294</v>
      </c>
      <c r="F9345" t="s">
        <v>948</v>
      </c>
      <c r="G9345">
        <v>1877777</v>
      </c>
      <c r="H9345">
        <v>501010</v>
      </c>
      <c r="I9345" t="s">
        <v>949</v>
      </c>
    </row>
    <row r="9346" spans="1:9" x14ac:dyDescent="0.25">
      <c r="A9346">
        <v>4220</v>
      </c>
      <c r="B9346">
        <v>18</v>
      </c>
      <c r="C9346" t="s">
        <v>946</v>
      </c>
      <c r="D9346" t="s">
        <v>1030</v>
      </c>
      <c r="E9346" t="s">
        <v>294</v>
      </c>
      <c r="F9346" t="s">
        <v>948</v>
      </c>
      <c r="G9346">
        <v>1877777</v>
      </c>
      <c r="H9346">
        <v>501010</v>
      </c>
      <c r="I9346" t="s">
        <v>949</v>
      </c>
    </row>
    <row r="9347" spans="1:9" x14ac:dyDescent="0.25">
      <c r="A9347">
        <v>4230</v>
      </c>
      <c r="B9347">
        <v>18</v>
      </c>
      <c r="C9347" t="s">
        <v>946</v>
      </c>
      <c r="D9347" t="s">
        <v>1030</v>
      </c>
      <c r="E9347" t="s">
        <v>294</v>
      </c>
      <c r="F9347" t="s">
        <v>948</v>
      </c>
      <c r="G9347">
        <v>1899999</v>
      </c>
      <c r="H9347">
        <v>401042</v>
      </c>
      <c r="I9347" t="s">
        <v>949</v>
      </c>
    </row>
    <row r="9348" spans="1:9" x14ac:dyDescent="0.25">
      <c r="A9348">
        <v>4240</v>
      </c>
      <c r="B9348">
        <v>18</v>
      </c>
      <c r="C9348" t="s">
        <v>946</v>
      </c>
      <c r="D9348" t="s">
        <v>1030</v>
      </c>
      <c r="E9348" t="s">
        <v>294</v>
      </c>
      <c r="F9348" t="s">
        <v>948</v>
      </c>
      <c r="G9348">
        <v>1800000</v>
      </c>
      <c r="H9348">
        <v>143000</v>
      </c>
      <c r="I9348" t="s">
        <v>979</v>
      </c>
    </row>
    <row r="9349" spans="1:9" x14ac:dyDescent="0.25">
      <c r="A9349">
        <v>4230</v>
      </c>
      <c r="B9349">
        <v>18</v>
      </c>
      <c r="C9349" t="s">
        <v>946</v>
      </c>
      <c r="D9349" t="s">
        <v>1030</v>
      </c>
      <c r="E9349" t="s">
        <v>298</v>
      </c>
      <c r="F9349" t="s">
        <v>948</v>
      </c>
      <c r="G9349">
        <v>1899999</v>
      </c>
      <c r="H9349">
        <v>402082</v>
      </c>
      <c r="I9349" t="s">
        <v>949</v>
      </c>
    </row>
    <row r="9350" spans="1:9" x14ac:dyDescent="0.25">
      <c r="A9350">
        <v>4141</v>
      </c>
      <c r="B9350">
        <v>18</v>
      </c>
      <c r="C9350" t="s">
        <v>946</v>
      </c>
      <c r="D9350" t="s">
        <v>1030</v>
      </c>
      <c r="E9350" t="s">
        <v>980</v>
      </c>
      <c r="F9350" t="s">
        <v>948</v>
      </c>
      <c r="G9350">
        <v>1877777</v>
      </c>
      <c r="H9350">
        <v>501010</v>
      </c>
      <c r="I9350" t="s">
        <v>949</v>
      </c>
    </row>
    <row r="9351" spans="1:9" x14ac:dyDescent="0.25">
      <c r="A9351">
        <v>4220</v>
      </c>
      <c r="B9351">
        <v>18</v>
      </c>
      <c r="C9351" t="s">
        <v>946</v>
      </c>
      <c r="D9351" t="s">
        <v>1030</v>
      </c>
      <c r="E9351" t="s">
        <v>980</v>
      </c>
      <c r="F9351" t="s">
        <v>948</v>
      </c>
      <c r="G9351">
        <v>1877777</v>
      </c>
      <c r="H9351">
        <v>501010</v>
      </c>
      <c r="I9351" t="s">
        <v>949</v>
      </c>
    </row>
    <row r="9352" spans="1:9" x14ac:dyDescent="0.25">
      <c r="A9352">
        <v>4230</v>
      </c>
      <c r="B9352">
        <v>18</v>
      </c>
      <c r="C9352" t="s">
        <v>946</v>
      </c>
      <c r="D9352" t="s">
        <v>1030</v>
      </c>
      <c r="E9352" t="s">
        <v>980</v>
      </c>
      <c r="F9352" t="s">
        <v>948</v>
      </c>
      <c r="G9352">
        <v>1899999</v>
      </c>
      <c r="H9352">
        <v>401912</v>
      </c>
      <c r="I9352" t="s">
        <v>949</v>
      </c>
    </row>
    <row r="9353" spans="1:9" x14ac:dyDescent="0.25">
      <c r="A9353">
        <v>4240</v>
      </c>
      <c r="B9353">
        <v>18</v>
      </c>
      <c r="C9353" t="s">
        <v>946</v>
      </c>
      <c r="D9353" t="s">
        <v>1030</v>
      </c>
      <c r="E9353" t="s">
        <v>980</v>
      </c>
      <c r="F9353" t="s">
        <v>948</v>
      </c>
      <c r="G9353">
        <v>1800000</v>
      </c>
      <c r="H9353">
        <v>141000</v>
      </c>
      <c r="I9353" t="s">
        <v>981</v>
      </c>
    </row>
    <row r="9354" spans="1:9" x14ac:dyDescent="0.25">
      <c r="A9354">
        <v>4141</v>
      </c>
      <c r="B9354">
        <v>18</v>
      </c>
      <c r="C9354" t="s">
        <v>946</v>
      </c>
      <c r="D9354" t="s">
        <v>1030</v>
      </c>
      <c r="E9354" t="s">
        <v>302</v>
      </c>
      <c r="F9354" t="s">
        <v>948</v>
      </c>
      <c r="G9354">
        <v>1877777</v>
      </c>
      <c r="H9354">
        <v>501010</v>
      </c>
      <c r="I9354" t="s">
        <v>949</v>
      </c>
    </row>
    <row r="9355" spans="1:9" x14ac:dyDescent="0.25">
      <c r="A9355">
        <v>4220</v>
      </c>
      <c r="B9355">
        <v>18</v>
      </c>
      <c r="C9355" t="s">
        <v>946</v>
      </c>
      <c r="D9355" t="s">
        <v>1030</v>
      </c>
      <c r="E9355" t="s">
        <v>302</v>
      </c>
      <c r="F9355" t="s">
        <v>948</v>
      </c>
      <c r="G9355">
        <v>1877777</v>
      </c>
      <c r="H9355">
        <v>501010</v>
      </c>
      <c r="I9355" t="s">
        <v>949</v>
      </c>
    </row>
    <row r="9356" spans="1:9" x14ac:dyDescent="0.25">
      <c r="A9356">
        <v>4230</v>
      </c>
      <c r="B9356">
        <v>18</v>
      </c>
      <c r="C9356" t="s">
        <v>946</v>
      </c>
      <c r="D9356" t="s">
        <v>1030</v>
      </c>
      <c r="E9356" t="s">
        <v>302</v>
      </c>
      <c r="F9356" t="s">
        <v>948</v>
      </c>
      <c r="G9356">
        <v>1899999</v>
      </c>
      <c r="H9356">
        <v>401902</v>
      </c>
      <c r="I9356" t="s">
        <v>949</v>
      </c>
    </row>
    <row r="9357" spans="1:9" x14ac:dyDescent="0.25">
      <c r="A9357">
        <v>4240</v>
      </c>
      <c r="B9357">
        <v>18</v>
      </c>
      <c r="C9357" t="s">
        <v>946</v>
      </c>
      <c r="D9357" t="s">
        <v>1030</v>
      </c>
      <c r="E9357" t="s">
        <v>302</v>
      </c>
      <c r="F9357" t="s">
        <v>948</v>
      </c>
      <c r="G9357">
        <v>1800000</v>
      </c>
      <c r="H9357">
        <v>143000</v>
      </c>
      <c r="I9357" t="s">
        <v>982</v>
      </c>
    </row>
    <row r="9358" spans="1:9" x14ac:dyDescent="0.25">
      <c r="A9358">
        <v>4141</v>
      </c>
      <c r="B9358">
        <v>18</v>
      </c>
      <c r="C9358" t="s">
        <v>946</v>
      </c>
      <c r="D9358" t="s">
        <v>1030</v>
      </c>
      <c r="E9358" t="s">
        <v>306</v>
      </c>
      <c r="F9358" t="s">
        <v>948</v>
      </c>
      <c r="G9358">
        <v>1877777</v>
      </c>
      <c r="H9358">
        <v>501010</v>
      </c>
      <c r="I9358" t="s">
        <v>949</v>
      </c>
    </row>
    <row r="9359" spans="1:9" x14ac:dyDescent="0.25">
      <c r="A9359">
        <v>4220</v>
      </c>
      <c r="B9359">
        <v>18</v>
      </c>
      <c r="C9359" t="s">
        <v>946</v>
      </c>
      <c r="D9359" t="s">
        <v>1030</v>
      </c>
      <c r="E9359" t="s">
        <v>306</v>
      </c>
      <c r="F9359" t="s">
        <v>948</v>
      </c>
      <c r="G9359">
        <v>1877777</v>
      </c>
      <c r="H9359">
        <v>501010</v>
      </c>
      <c r="I9359" t="s">
        <v>949</v>
      </c>
    </row>
    <row r="9360" spans="1:9" x14ac:dyDescent="0.25">
      <c r="A9360">
        <v>4230</v>
      </c>
      <c r="B9360">
        <v>18</v>
      </c>
      <c r="C9360" t="s">
        <v>946</v>
      </c>
      <c r="D9360" t="s">
        <v>1030</v>
      </c>
      <c r="E9360" t="s">
        <v>306</v>
      </c>
      <c r="F9360" t="s">
        <v>948</v>
      </c>
      <c r="G9360">
        <v>1899999</v>
      </c>
      <c r="H9360">
        <v>401042</v>
      </c>
      <c r="I9360" t="s">
        <v>949</v>
      </c>
    </row>
    <row r="9361" spans="1:9" x14ac:dyDescent="0.25">
      <c r="A9361">
        <v>4240</v>
      </c>
      <c r="B9361">
        <v>18</v>
      </c>
      <c r="C9361" t="s">
        <v>946</v>
      </c>
      <c r="D9361" t="s">
        <v>1030</v>
      </c>
      <c r="E9361" t="s">
        <v>306</v>
      </c>
      <c r="F9361" t="s">
        <v>948</v>
      </c>
      <c r="G9361">
        <v>1800000</v>
      </c>
      <c r="H9361">
        <v>143000</v>
      </c>
      <c r="I9361" t="s">
        <v>983</v>
      </c>
    </row>
    <row r="9362" spans="1:9" x14ac:dyDescent="0.25">
      <c r="A9362">
        <v>4141</v>
      </c>
      <c r="B9362">
        <v>18</v>
      </c>
      <c r="C9362" t="s">
        <v>946</v>
      </c>
      <c r="D9362" t="s">
        <v>1030</v>
      </c>
      <c r="E9362" t="s">
        <v>108</v>
      </c>
      <c r="F9362" t="s">
        <v>948</v>
      </c>
      <c r="G9362">
        <v>1877777</v>
      </c>
      <c r="H9362">
        <v>500220</v>
      </c>
      <c r="I9362" t="s">
        <v>949</v>
      </c>
    </row>
    <row r="9363" spans="1:9" x14ac:dyDescent="0.25">
      <c r="A9363">
        <v>4220</v>
      </c>
      <c r="B9363">
        <v>18</v>
      </c>
      <c r="C9363" t="s">
        <v>946</v>
      </c>
      <c r="D9363" t="s">
        <v>1030</v>
      </c>
      <c r="E9363" t="s">
        <v>108</v>
      </c>
      <c r="F9363" t="s">
        <v>948</v>
      </c>
      <c r="G9363">
        <v>1877777</v>
      </c>
      <c r="H9363">
        <v>500220</v>
      </c>
      <c r="I9363" t="s">
        <v>949</v>
      </c>
    </row>
    <row r="9364" spans="1:9" x14ac:dyDescent="0.25">
      <c r="A9364">
        <v>4230</v>
      </c>
      <c r="B9364">
        <v>18</v>
      </c>
      <c r="C9364" t="s">
        <v>946</v>
      </c>
      <c r="D9364" t="s">
        <v>1030</v>
      </c>
      <c r="E9364" t="s">
        <v>108</v>
      </c>
      <c r="F9364" t="s">
        <v>948</v>
      </c>
      <c r="G9364">
        <v>1899999</v>
      </c>
      <c r="H9364">
        <v>401042</v>
      </c>
      <c r="I9364" t="s">
        <v>949</v>
      </c>
    </row>
    <row r="9365" spans="1:9" x14ac:dyDescent="0.25">
      <c r="A9365">
        <v>4240</v>
      </c>
      <c r="B9365">
        <v>18</v>
      </c>
      <c r="C9365" t="s">
        <v>946</v>
      </c>
      <c r="D9365" t="s">
        <v>1030</v>
      </c>
      <c r="E9365" t="s">
        <v>108</v>
      </c>
      <c r="F9365" t="s">
        <v>948</v>
      </c>
      <c r="G9365">
        <v>1877777</v>
      </c>
      <c r="H9365">
        <v>500221</v>
      </c>
      <c r="I9365" t="s">
        <v>949</v>
      </c>
    </row>
    <row r="9366" spans="1:9" x14ac:dyDescent="0.25">
      <c r="A9366">
        <v>4141</v>
      </c>
      <c r="B9366">
        <v>18</v>
      </c>
      <c r="C9366" t="s">
        <v>946</v>
      </c>
      <c r="D9366" t="s">
        <v>1030</v>
      </c>
      <c r="E9366" t="s">
        <v>310</v>
      </c>
      <c r="F9366" t="s">
        <v>948</v>
      </c>
      <c r="G9366">
        <v>1877777</v>
      </c>
      <c r="H9366">
        <v>501010</v>
      </c>
      <c r="I9366" t="s">
        <v>949</v>
      </c>
    </row>
    <row r="9367" spans="1:9" x14ac:dyDescent="0.25">
      <c r="A9367">
        <v>4220</v>
      </c>
      <c r="B9367">
        <v>18</v>
      </c>
      <c r="C9367" t="s">
        <v>946</v>
      </c>
      <c r="D9367" t="s">
        <v>1030</v>
      </c>
      <c r="E9367" t="s">
        <v>310</v>
      </c>
      <c r="F9367" t="s">
        <v>948</v>
      </c>
      <c r="G9367">
        <v>1877777</v>
      </c>
      <c r="H9367">
        <v>501010</v>
      </c>
      <c r="I9367" t="s">
        <v>949</v>
      </c>
    </row>
    <row r="9368" spans="1:9" x14ac:dyDescent="0.25">
      <c r="A9368">
        <v>4230</v>
      </c>
      <c r="B9368">
        <v>18</v>
      </c>
      <c r="C9368" t="s">
        <v>946</v>
      </c>
      <c r="D9368" t="s">
        <v>1030</v>
      </c>
      <c r="E9368" t="s">
        <v>310</v>
      </c>
      <c r="F9368" t="s">
        <v>948</v>
      </c>
      <c r="G9368">
        <v>1899999</v>
      </c>
      <c r="H9368">
        <v>401012</v>
      </c>
      <c r="I9368" t="s">
        <v>949</v>
      </c>
    </row>
    <row r="9369" spans="1:9" x14ac:dyDescent="0.25">
      <c r="A9369">
        <v>4240</v>
      </c>
      <c r="B9369">
        <v>18</v>
      </c>
      <c r="C9369" t="s">
        <v>946</v>
      </c>
      <c r="D9369" t="s">
        <v>1030</v>
      </c>
      <c r="E9369" t="s">
        <v>310</v>
      </c>
      <c r="F9369" t="s">
        <v>948</v>
      </c>
      <c r="G9369">
        <v>1800000</v>
      </c>
      <c r="H9369">
        <v>145000</v>
      </c>
      <c r="I9369" t="s">
        <v>949</v>
      </c>
    </row>
    <row r="9370" spans="1:9" x14ac:dyDescent="0.25">
      <c r="A9370">
        <v>4141</v>
      </c>
      <c r="B9370">
        <v>18</v>
      </c>
      <c r="C9370" t="s">
        <v>946</v>
      </c>
      <c r="D9370" t="s">
        <v>1030</v>
      </c>
      <c r="E9370" t="s">
        <v>314</v>
      </c>
      <c r="F9370" t="s">
        <v>948</v>
      </c>
      <c r="G9370">
        <v>1877777</v>
      </c>
      <c r="H9370">
        <v>501010</v>
      </c>
      <c r="I9370" t="s">
        <v>949</v>
      </c>
    </row>
    <row r="9371" spans="1:9" x14ac:dyDescent="0.25">
      <c r="A9371">
        <v>4220</v>
      </c>
      <c r="B9371">
        <v>18</v>
      </c>
      <c r="C9371" t="s">
        <v>946</v>
      </c>
      <c r="D9371" t="s">
        <v>1030</v>
      </c>
      <c r="E9371" t="s">
        <v>314</v>
      </c>
      <c r="F9371" t="s">
        <v>948</v>
      </c>
      <c r="G9371">
        <v>1877777</v>
      </c>
      <c r="H9371">
        <v>501010</v>
      </c>
      <c r="I9371" t="s">
        <v>949</v>
      </c>
    </row>
    <row r="9372" spans="1:9" x14ac:dyDescent="0.25">
      <c r="A9372">
        <v>4230</v>
      </c>
      <c r="B9372">
        <v>18</v>
      </c>
      <c r="C9372" t="s">
        <v>946</v>
      </c>
      <c r="D9372" t="s">
        <v>1030</v>
      </c>
      <c r="E9372" t="s">
        <v>314</v>
      </c>
      <c r="F9372" t="s">
        <v>948</v>
      </c>
      <c r="G9372">
        <v>1899999</v>
      </c>
      <c r="H9372">
        <v>401062</v>
      </c>
      <c r="I9372" t="s">
        <v>949</v>
      </c>
    </row>
    <row r="9373" spans="1:9" x14ac:dyDescent="0.25">
      <c r="A9373">
        <v>4240</v>
      </c>
      <c r="B9373">
        <v>18</v>
      </c>
      <c r="C9373" t="s">
        <v>946</v>
      </c>
      <c r="D9373" t="s">
        <v>1030</v>
      </c>
      <c r="E9373" t="s">
        <v>314</v>
      </c>
      <c r="F9373" t="s">
        <v>948</v>
      </c>
      <c r="G9373">
        <v>1800000</v>
      </c>
      <c r="H9373">
        <v>145000</v>
      </c>
      <c r="I9373" t="s">
        <v>949</v>
      </c>
    </row>
    <row r="9374" spans="1:9" x14ac:dyDescent="0.25">
      <c r="A9374">
        <v>4141</v>
      </c>
      <c r="B9374">
        <v>18</v>
      </c>
      <c r="C9374" t="s">
        <v>946</v>
      </c>
      <c r="D9374" t="s">
        <v>1030</v>
      </c>
      <c r="E9374" t="s">
        <v>113</v>
      </c>
      <c r="F9374" t="s">
        <v>948</v>
      </c>
      <c r="G9374">
        <v>1877777</v>
      </c>
      <c r="H9374">
        <v>500220</v>
      </c>
      <c r="I9374" t="s">
        <v>949</v>
      </c>
    </row>
    <row r="9375" spans="1:9" x14ac:dyDescent="0.25">
      <c r="A9375">
        <v>4220</v>
      </c>
      <c r="B9375">
        <v>18</v>
      </c>
      <c r="C9375" t="s">
        <v>946</v>
      </c>
      <c r="D9375" t="s">
        <v>1030</v>
      </c>
      <c r="E9375" t="s">
        <v>113</v>
      </c>
      <c r="F9375" t="s">
        <v>948</v>
      </c>
      <c r="G9375">
        <v>1877777</v>
      </c>
      <c r="H9375">
        <v>500220</v>
      </c>
      <c r="I9375" t="s">
        <v>949</v>
      </c>
    </row>
    <row r="9376" spans="1:9" x14ac:dyDescent="0.25">
      <c r="A9376">
        <v>4230</v>
      </c>
      <c r="B9376">
        <v>18</v>
      </c>
      <c r="C9376" t="s">
        <v>946</v>
      </c>
      <c r="D9376" t="s">
        <v>1030</v>
      </c>
      <c r="E9376" t="s">
        <v>113</v>
      </c>
      <c r="F9376" t="s">
        <v>948</v>
      </c>
      <c r="G9376">
        <v>1899999</v>
      </c>
      <c r="H9376">
        <v>402082</v>
      </c>
      <c r="I9376" t="s">
        <v>949</v>
      </c>
    </row>
    <row r="9377" spans="1:9" x14ac:dyDescent="0.25">
      <c r="A9377">
        <v>4240</v>
      </c>
      <c r="B9377">
        <v>18</v>
      </c>
      <c r="C9377" t="s">
        <v>946</v>
      </c>
      <c r="D9377" t="s">
        <v>1030</v>
      </c>
      <c r="E9377" t="s">
        <v>113</v>
      </c>
      <c r="F9377" t="s">
        <v>948</v>
      </c>
      <c r="G9377">
        <v>1877777</v>
      </c>
      <c r="H9377">
        <v>500221</v>
      </c>
      <c r="I9377" t="s">
        <v>949</v>
      </c>
    </row>
    <row r="9378" spans="1:9" x14ac:dyDescent="0.25">
      <c r="A9378">
        <v>4141</v>
      </c>
      <c r="B9378">
        <v>18</v>
      </c>
      <c r="C9378" t="s">
        <v>946</v>
      </c>
      <c r="D9378" t="s">
        <v>1030</v>
      </c>
      <c r="E9378" t="s">
        <v>117</v>
      </c>
      <c r="F9378" t="s">
        <v>948</v>
      </c>
      <c r="G9378">
        <v>1877777</v>
      </c>
      <c r="H9378">
        <v>500220</v>
      </c>
      <c r="I9378" t="s">
        <v>949</v>
      </c>
    </row>
    <row r="9379" spans="1:9" x14ac:dyDescent="0.25">
      <c r="A9379">
        <v>4220</v>
      </c>
      <c r="B9379">
        <v>18</v>
      </c>
      <c r="C9379" t="s">
        <v>946</v>
      </c>
      <c r="D9379" t="s">
        <v>1030</v>
      </c>
      <c r="E9379" t="s">
        <v>117</v>
      </c>
      <c r="F9379" t="s">
        <v>948</v>
      </c>
      <c r="G9379">
        <v>1877777</v>
      </c>
      <c r="H9379">
        <v>500220</v>
      </c>
      <c r="I9379" t="s">
        <v>949</v>
      </c>
    </row>
    <row r="9380" spans="1:9" x14ac:dyDescent="0.25">
      <c r="A9380">
        <v>4230</v>
      </c>
      <c r="B9380">
        <v>18</v>
      </c>
      <c r="C9380" t="s">
        <v>946</v>
      </c>
      <c r="D9380" t="s">
        <v>1030</v>
      </c>
      <c r="E9380" t="s">
        <v>117</v>
      </c>
      <c r="F9380" t="s">
        <v>948</v>
      </c>
      <c r="G9380">
        <v>1888888</v>
      </c>
      <c r="H9380">
        <v>810600</v>
      </c>
      <c r="I9380" t="s">
        <v>949</v>
      </c>
    </row>
    <row r="9381" spans="1:9" x14ac:dyDescent="0.25">
      <c r="A9381">
        <v>4240</v>
      </c>
      <c r="B9381">
        <v>18</v>
      </c>
      <c r="C9381" t="s">
        <v>946</v>
      </c>
      <c r="D9381" t="s">
        <v>1030</v>
      </c>
      <c r="E9381" t="s">
        <v>117</v>
      </c>
      <c r="F9381" t="s">
        <v>948</v>
      </c>
      <c r="G9381">
        <v>1877777</v>
      </c>
      <c r="H9381">
        <v>500221</v>
      </c>
      <c r="I9381" t="s">
        <v>949</v>
      </c>
    </row>
    <row r="9382" spans="1:9" x14ac:dyDescent="0.25">
      <c r="A9382">
        <v>4141</v>
      </c>
      <c r="B9382">
        <v>18</v>
      </c>
      <c r="C9382" t="s">
        <v>946</v>
      </c>
      <c r="D9382" t="s">
        <v>1030</v>
      </c>
      <c r="E9382" t="s">
        <v>121</v>
      </c>
      <c r="F9382" t="s">
        <v>948</v>
      </c>
      <c r="G9382">
        <v>1877777</v>
      </c>
      <c r="H9382">
        <v>500220</v>
      </c>
      <c r="I9382" t="s">
        <v>949</v>
      </c>
    </row>
    <row r="9383" spans="1:9" x14ac:dyDescent="0.25">
      <c r="A9383">
        <v>4220</v>
      </c>
      <c r="B9383">
        <v>18</v>
      </c>
      <c r="C9383" t="s">
        <v>946</v>
      </c>
      <c r="D9383" t="s">
        <v>1030</v>
      </c>
      <c r="E9383" t="s">
        <v>121</v>
      </c>
      <c r="F9383" t="s">
        <v>948</v>
      </c>
      <c r="G9383">
        <v>1877777</v>
      </c>
      <c r="H9383">
        <v>500220</v>
      </c>
      <c r="I9383" t="s">
        <v>949</v>
      </c>
    </row>
    <row r="9384" spans="1:9" x14ac:dyDescent="0.25">
      <c r="A9384">
        <v>4230</v>
      </c>
      <c r="B9384">
        <v>18</v>
      </c>
      <c r="C9384" t="s">
        <v>946</v>
      </c>
      <c r="D9384" t="s">
        <v>1030</v>
      </c>
      <c r="E9384" t="s">
        <v>121</v>
      </c>
      <c r="F9384" t="s">
        <v>948</v>
      </c>
      <c r="G9384">
        <v>1899999</v>
      </c>
      <c r="H9384">
        <v>401042</v>
      </c>
      <c r="I9384" t="s">
        <v>949</v>
      </c>
    </row>
    <row r="9385" spans="1:9" x14ac:dyDescent="0.25">
      <c r="A9385">
        <v>4240</v>
      </c>
      <c r="B9385">
        <v>18</v>
      </c>
      <c r="C9385" t="s">
        <v>946</v>
      </c>
      <c r="D9385" t="s">
        <v>1030</v>
      </c>
      <c r="E9385" t="s">
        <v>121</v>
      </c>
      <c r="F9385" t="s">
        <v>948</v>
      </c>
      <c r="G9385">
        <v>1877777</v>
      </c>
      <c r="H9385">
        <v>500221</v>
      </c>
      <c r="I9385" t="s">
        <v>949</v>
      </c>
    </row>
    <row r="9386" spans="1:9" x14ac:dyDescent="0.25">
      <c r="A9386">
        <v>4141</v>
      </c>
      <c r="B9386">
        <v>18</v>
      </c>
      <c r="C9386" t="s">
        <v>946</v>
      </c>
      <c r="D9386" t="s">
        <v>1030</v>
      </c>
      <c r="E9386" t="s">
        <v>984</v>
      </c>
      <c r="F9386" t="s">
        <v>948</v>
      </c>
      <c r="G9386">
        <v>1877777</v>
      </c>
      <c r="H9386">
        <v>501010</v>
      </c>
      <c r="I9386" t="s">
        <v>949</v>
      </c>
    </row>
    <row r="9387" spans="1:9" x14ac:dyDescent="0.25">
      <c r="A9387">
        <v>4220</v>
      </c>
      <c r="B9387">
        <v>18</v>
      </c>
      <c r="C9387" t="s">
        <v>946</v>
      </c>
      <c r="D9387" t="s">
        <v>1030</v>
      </c>
      <c r="E9387" t="s">
        <v>984</v>
      </c>
      <c r="F9387" t="s">
        <v>948</v>
      </c>
      <c r="G9387">
        <v>1877777</v>
      </c>
      <c r="H9387">
        <v>501010</v>
      </c>
      <c r="I9387" t="s">
        <v>949</v>
      </c>
    </row>
    <row r="9388" spans="1:9" x14ac:dyDescent="0.25">
      <c r="A9388">
        <v>4230</v>
      </c>
      <c r="B9388">
        <v>18</v>
      </c>
      <c r="C9388" t="s">
        <v>946</v>
      </c>
      <c r="D9388" t="s">
        <v>1030</v>
      </c>
      <c r="E9388" t="s">
        <v>984</v>
      </c>
      <c r="F9388" t="s">
        <v>948</v>
      </c>
      <c r="G9388">
        <v>1899999</v>
      </c>
      <c r="H9388">
        <v>401912</v>
      </c>
      <c r="I9388" t="s">
        <v>949</v>
      </c>
    </row>
    <row r="9389" spans="1:9" x14ac:dyDescent="0.25">
      <c r="A9389">
        <v>4240</v>
      </c>
      <c r="B9389">
        <v>18</v>
      </c>
      <c r="C9389" t="s">
        <v>946</v>
      </c>
      <c r="D9389" t="s">
        <v>1030</v>
      </c>
      <c r="E9389" t="s">
        <v>984</v>
      </c>
      <c r="F9389" t="s">
        <v>948</v>
      </c>
      <c r="G9389">
        <v>1800000</v>
      </c>
      <c r="H9389">
        <v>141000</v>
      </c>
      <c r="I9389" t="s">
        <v>985</v>
      </c>
    </row>
    <row r="9390" spans="1:9" x14ac:dyDescent="0.25">
      <c r="A9390">
        <v>4141</v>
      </c>
      <c r="B9390">
        <v>18</v>
      </c>
      <c r="C9390" t="s">
        <v>946</v>
      </c>
      <c r="D9390" t="s">
        <v>1031</v>
      </c>
      <c r="E9390" t="s">
        <v>243</v>
      </c>
      <c r="F9390" t="s">
        <v>948</v>
      </c>
      <c r="G9390">
        <v>1877777</v>
      </c>
      <c r="H9390">
        <v>501010</v>
      </c>
      <c r="I9390" t="s">
        <v>949</v>
      </c>
    </row>
    <row r="9391" spans="1:9" x14ac:dyDescent="0.25">
      <c r="A9391">
        <v>4220</v>
      </c>
      <c r="B9391">
        <v>18</v>
      </c>
      <c r="C9391" t="s">
        <v>946</v>
      </c>
      <c r="D9391" t="s">
        <v>1031</v>
      </c>
      <c r="E9391" t="s">
        <v>243</v>
      </c>
      <c r="F9391" t="s">
        <v>948</v>
      </c>
      <c r="G9391">
        <v>1877777</v>
      </c>
      <c r="H9391">
        <v>501010</v>
      </c>
      <c r="I9391" t="s">
        <v>949</v>
      </c>
    </row>
    <row r="9392" spans="1:9" x14ac:dyDescent="0.25">
      <c r="A9392">
        <v>4230</v>
      </c>
      <c r="B9392">
        <v>18</v>
      </c>
      <c r="C9392" t="s">
        <v>946</v>
      </c>
      <c r="D9392" t="s">
        <v>1031</v>
      </c>
      <c r="E9392" t="s">
        <v>243</v>
      </c>
      <c r="F9392" t="s">
        <v>948</v>
      </c>
      <c r="G9392">
        <v>1899999</v>
      </c>
      <c r="H9392">
        <v>401052</v>
      </c>
      <c r="I9392" t="s">
        <v>949</v>
      </c>
    </row>
    <row r="9393" spans="1:9" x14ac:dyDescent="0.25">
      <c r="A9393">
        <v>4240</v>
      </c>
      <c r="B9393">
        <v>18</v>
      </c>
      <c r="C9393" t="s">
        <v>946</v>
      </c>
      <c r="D9393" t="s">
        <v>1031</v>
      </c>
      <c r="E9393" t="s">
        <v>243</v>
      </c>
      <c r="F9393" t="s">
        <v>948</v>
      </c>
      <c r="G9393">
        <v>1800000</v>
      </c>
      <c r="H9393">
        <v>145000</v>
      </c>
      <c r="I9393" t="s">
        <v>949</v>
      </c>
    </row>
    <row r="9394" spans="1:9" x14ac:dyDescent="0.25">
      <c r="A9394">
        <v>4141</v>
      </c>
      <c r="B9394">
        <v>18</v>
      </c>
      <c r="C9394" t="s">
        <v>946</v>
      </c>
      <c r="D9394" t="s">
        <v>1031</v>
      </c>
      <c r="E9394" t="s">
        <v>247</v>
      </c>
      <c r="F9394" t="s">
        <v>948</v>
      </c>
      <c r="G9394">
        <v>1877777</v>
      </c>
      <c r="H9394">
        <v>501010</v>
      </c>
      <c r="I9394" t="s">
        <v>949</v>
      </c>
    </row>
    <row r="9395" spans="1:9" x14ac:dyDescent="0.25">
      <c r="A9395">
        <v>4220</v>
      </c>
      <c r="B9395">
        <v>18</v>
      </c>
      <c r="C9395" t="s">
        <v>946</v>
      </c>
      <c r="D9395" t="s">
        <v>1031</v>
      </c>
      <c r="E9395" t="s">
        <v>247</v>
      </c>
      <c r="F9395" t="s">
        <v>948</v>
      </c>
      <c r="G9395">
        <v>1877777</v>
      </c>
      <c r="H9395">
        <v>501010</v>
      </c>
      <c r="I9395" t="s">
        <v>949</v>
      </c>
    </row>
    <row r="9396" spans="1:9" x14ac:dyDescent="0.25">
      <c r="A9396">
        <v>4230</v>
      </c>
      <c r="B9396">
        <v>18</v>
      </c>
      <c r="C9396" t="s">
        <v>946</v>
      </c>
      <c r="D9396" t="s">
        <v>1031</v>
      </c>
      <c r="E9396" t="s">
        <v>247</v>
      </c>
      <c r="F9396" t="s">
        <v>948</v>
      </c>
      <c r="G9396">
        <v>1899999</v>
      </c>
      <c r="H9396">
        <v>401022</v>
      </c>
      <c r="I9396" t="s">
        <v>949</v>
      </c>
    </row>
    <row r="9397" spans="1:9" x14ac:dyDescent="0.25">
      <c r="A9397">
        <v>4240</v>
      </c>
      <c r="B9397">
        <v>18</v>
      </c>
      <c r="C9397" t="s">
        <v>946</v>
      </c>
      <c r="D9397" t="s">
        <v>1031</v>
      </c>
      <c r="E9397" t="s">
        <v>247</v>
      </c>
      <c r="F9397" t="s">
        <v>948</v>
      </c>
      <c r="G9397">
        <v>1800000</v>
      </c>
      <c r="H9397">
        <v>145000</v>
      </c>
      <c r="I9397" t="s">
        <v>949</v>
      </c>
    </row>
    <row r="9398" spans="1:9" x14ac:dyDescent="0.25">
      <c r="A9398">
        <v>4141</v>
      </c>
      <c r="B9398">
        <v>18</v>
      </c>
      <c r="C9398" t="s">
        <v>946</v>
      </c>
      <c r="D9398" t="s">
        <v>1031</v>
      </c>
      <c r="E9398" t="s">
        <v>251</v>
      </c>
      <c r="F9398" t="s">
        <v>948</v>
      </c>
      <c r="G9398">
        <v>1877777</v>
      </c>
      <c r="H9398">
        <v>501010</v>
      </c>
      <c r="I9398" t="s">
        <v>949</v>
      </c>
    </row>
    <row r="9399" spans="1:9" x14ac:dyDescent="0.25">
      <c r="A9399">
        <v>4220</v>
      </c>
      <c r="B9399">
        <v>18</v>
      </c>
      <c r="C9399" t="s">
        <v>946</v>
      </c>
      <c r="D9399" t="s">
        <v>1031</v>
      </c>
      <c r="E9399" t="s">
        <v>251</v>
      </c>
      <c r="F9399" t="s">
        <v>948</v>
      </c>
      <c r="G9399">
        <v>1877777</v>
      </c>
      <c r="H9399">
        <v>501010</v>
      </c>
      <c r="I9399" t="s">
        <v>949</v>
      </c>
    </row>
    <row r="9400" spans="1:9" x14ac:dyDescent="0.25">
      <c r="A9400">
        <v>4230</v>
      </c>
      <c r="B9400">
        <v>18</v>
      </c>
      <c r="C9400" t="s">
        <v>946</v>
      </c>
      <c r="D9400" t="s">
        <v>1031</v>
      </c>
      <c r="E9400" t="s">
        <v>251</v>
      </c>
      <c r="F9400" t="s">
        <v>948</v>
      </c>
      <c r="G9400">
        <v>1899999</v>
      </c>
      <c r="H9400">
        <v>401042</v>
      </c>
      <c r="I9400" t="s">
        <v>949</v>
      </c>
    </row>
    <row r="9401" spans="1:9" x14ac:dyDescent="0.25">
      <c r="A9401">
        <v>4240</v>
      </c>
      <c r="B9401">
        <v>18</v>
      </c>
      <c r="C9401" t="s">
        <v>946</v>
      </c>
      <c r="D9401" t="s">
        <v>1031</v>
      </c>
      <c r="E9401" t="s">
        <v>251</v>
      </c>
      <c r="F9401" t="s">
        <v>948</v>
      </c>
      <c r="G9401">
        <v>1800000</v>
      </c>
      <c r="H9401">
        <v>142000</v>
      </c>
      <c r="I9401" t="s">
        <v>949</v>
      </c>
    </row>
    <row r="9402" spans="1:9" x14ac:dyDescent="0.25">
      <c r="A9402">
        <v>4141</v>
      </c>
      <c r="B9402">
        <v>18</v>
      </c>
      <c r="C9402" t="s">
        <v>946</v>
      </c>
      <c r="D9402" t="s">
        <v>1031</v>
      </c>
      <c r="E9402" t="s">
        <v>969</v>
      </c>
      <c r="F9402" t="s">
        <v>948</v>
      </c>
      <c r="G9402">
        <v>1877777</v>
      </c>
      <c r="H9402">
        <v>501010</v>
      </c>
      <c r="I9402" t="s">
        <v>949</v>
      </c>
    </row>
    <row r="9403" spans="1:9" x14ac:dyDescent="0.25">
      <c r="A9403">
        <v>4220</v>
      </c>
      <c r="B9403">
        <v>18</v>
      </c>
      <c r="C9403" t="s">
        <v>946</v>
      </c>
      <c r="D9403" t="s">
        <v>1031</v>
      </c>
      <c r="E9403" t="s">
        <v>969</v>
      </c>
      <c r="F9403" t="s">
        <v>948</v>
      </c>
      <c r="G9403">
        <v>1877777</v>
      </c>
      <c r="H9403">
        <v>501010</v>
      </c>
      <c r="I9403" t="s">
        <v>949</v>
      </c>
    </row>
    <row r="9404" spans="1:9" x14ac:dyDescent="0.25">
      <c r="A9404">
        <v>4230</v>
      </c>
      <c r="B9404">
        <v>18</v>
      </c>
      <c r="C9404" t="s">
        <v>946</v>
      </c>
      <c r="D9404" t="s">
        <v>1031</v>
      </c>
      <c r="E9404" t="s">
        <v>969</v>
      </c>
      <c r="F9404" t="s">
        <v>948</v>
      </c>
      <c r="G9404">
        <v>1899999</v>
      </c>
      <c r="H9404">
        <v>401912</v>
      </c>
      <c r="I9404" t="s">
        <v>949</v>
      </c>
    </row>
    <row r="9405" spans="1:9" x14ac:dyDescent="0.25">
      <c r="A9405">
        <v>4240</v>
      </c>
      <c r="B9405">
        <v>18</v>
      </c>
      <c r="C9405" t="s">
        <v>946</v>
      </c>
      <c r="D9405" t="s">
        <v>1031</v>
      </c>
      <c r="E9405" t="s">
        <v>969</v>
      </c>
      <c r="F9405" t="s">
        <v>948</v>
      </c>
      <c r="G9405">
        <v>1800000</v>
      </c>
      <c r="H9405">
        <v>141000</v>
      </c>
      <c r="I9405" t="s">
        <v>970</v>
      </c>
    </row>
    <row r="9406" spans="1:9" x14ac:dyDescent="0.25">
      <c r="A9406">
        <v>4141</v>
      </c>
      <c r="B9406">
        <v>18</v>
      </c>
      <c r="C9406" t="s">
        <v>946</v>
      </c>
      <c r="D9406" t="s">
        <v>1031</v>
      </c>
      <c r="E9406" t="s">
        <v>255</v>
      </c>
      <c r="F9406" t="s">
        <v>948</v>
      </c>
      <c r="G9406">
        <v>1877777</v>
      </c>
      <c r="H9406">
        <v>501010</v>
      </c>
      <c r="I9406" t="s">
        <v>949</v>
      </c>
    </row>
    <row r="9407" spans="1:9" x14ac:dyDescent="0.25">
      <c r="A9407">
        <v>4220</v>
      </c>
      <c r="B9407">
        <v>18</v>
      </c>
      <c r="C9407" t="s">
        <v>946</v>
      </c>
      <c r="D9407" t="s">
        <v>1031</v>
      </c>
      <c r="E9407" t="s">
        <v>255</v>
      </c>
      <c r="F9407" t="s">
        <v>948</v>
      </c>
      <c r="G9407">
        <v>1877777</v>
      </c>
      <c r="H9407">
        <v>501010</v>
      </c>
      <c r="I9407" t="s">
        <v>949</v>
      </c>
    </row>
    <row r="9408" spans="1:9" x14ac:dyDescent="0.25">
      <c r="A9408">
        <v>4230</v>
      </c>
      <c r="B9408">
        <v>18</v>
      </c>
      <c r="C9408" t="s">
        <v>946</v>
      </c>
      <c r="D9408" t="s">
        <v>1031</v>
      </c>
      <c r="E9408" t="s">
        <v>255</v>
      </c>
      <c r="F9408" t="s">
        <v>948</v>
      </c>
      <c r="G9408">
        <v>1899999</v>
      </c>
      <c r="H9408">
        <v>401072</v>
      </c>
      <c r="I9408" t="s">
        <v>949</v>
      </c>
    </row>
    <row r="9409" spans="1:9" x14ac:dyDescent="0.25">
      <c r="A9409">
        <v>4240</v>
      </c>
      <c r="B9409">
        <v>18</v>
      </c>
      <c r="C9409" t="s">
        <v>946</v>
      </c>
      <c r="D9409" t="s">
        <v>1031</v>
      </c>
      <c r="E9409" t="s">
        <v>255</v>
      </c>
      <c r="F9409" t="s">
        <v>948</v>
      </c>
      <c r="G9409">
        <v>1800000</v>
      </c>
      <c r="H9409">
        <v>145000</v>
      </c>
      <c r="I9409" t="s">
        <v>949</v>
      </c>
    </row>
    <row r="9410" spans="1:9" x14ac:dyDescent="0.25">
      <c r="A9410">
        <v>4141</v>
      </c>
      <c r="B9410">
        <v>18</v>
      </c>
      <c r="C9410" t="s">
        <v>946</v>
      </c>
      <c r="D9410" t="s">
        <v>1031</v>
      </c>
      <c r="E9410" t="s">
        <v>971</v>
      </c>
      <c r="F9410" t="s">
        <v>948</v>
      </c>
      <c r="G9410">
        <v>1877777</v>
      </c>
      <c r="H9410">
        <v>501010</v>
      </c>
      <c r="I9410" t="s">
        <v>949</v>
      </c>
    </row>
    <row r="9411" spans="1:9" x14ac:dyDescent="0.25">
      <c r="A9411">
        <v>4220</v>
      </c>
      <c r="B9411">
        <v>18</v>
      </c>
      <c r="C9411" t="s">
        <v>946</v>
      </c>
      <c r="D9411" t="s">
        <v>1031</v>
      </c>
      <c r="E9411" t="s">
        <v>971</v>
      </c>
      <c r="F9411" t="s">
        <v>948</v>
      </c>
      <c r="G9411">
        <v>1877777</v>
      </c>
      <c r="H9411">
        <v>501010</v>
      </c>
      <c r="I9411" t="s">
        <v>949</v>
      </c>
    </row>
    <row r="9412" spans="1:9" x14ac:dyDescent="0.25">
      <c r="A9412">
        <v>4230</v>
      </c>
      <c r="B9412">
        <v>18</v>
      </c>
      <c r="C9412" t="s">
        <v>946</v>
      </c>
      <c r="D9412" t="s">
        <v>1031</v>
      </c>
      <c r="E9412" t="s">
        <v>971</v>
      </c>
      <c r="F9412" t="s">
        <v>948</v>
      </c>
      <c r="G9412">
        <v>1899999</v>
      </c>
      <c r="H9412">
        <v>401912</v>
      </c>
      <c r="I9412" t="s">
        <v>949</v>
      </c>
    </row>
    <row r="9413" spans="1:9" x14ac:dyDescent="0.25">
      <c r="A9413">
        <v>4240</v>
      </c>
      <c r="B9413">
        <v>18</v>
      </c>
      <c r="C9413" t="s">
        <v>946</v>
      </c>
      <c r="D9413" t="s">
        <v>1031</v>
      </c>
      <c r="E9413" t="s">
        <v>971</v>
      </c>
      <c r="F9413" t="s">
        <v>948</v>
      </c>
      <c r="G9413">
        <v>1800000</v>
      </c>
      <c r="H9413">
        <v>141000</v>
      </c>
      <c r="I9413" t="s">
        <v>972</v>
      </c>
    </row>
    <row r="9414" spans="1:9" x14ac:dyDescent="0.25">
      <c r="A9414">
        <v>4230</v>
      </c>
      <c r="B9414">
        <v>18</v>
      </c>
      <c r="C9414" t="s">
        <v>946</v>
      </c>
      <c r="D9414" t="s">
        <v>1031</v>
      </c>
      <c r="E9414" t="s">
        <v>259</v>
      </c>
      <c r="F9414" t="s">
        <v>948</v>
      </c>
      <c r="G9414">
        <v>1899999</v>
      </c>
      <c r="H9414">
        <v>409002</v>
      </c>
      <c r="I9414" t="s">
        <v>949</v>
      </c>
    </row>
    <row r="9415" spans="1:9" x14ac:dyDescent="0.25">
      <c r="A9415">
        <v>4141</v>
      </c>
      <c r="B9415">
        <v>18</v>
      </c>
      <c r="C9415" t="s">
        <v>946</v>
      </c>
      <c r="D9415" t="s">
        <v>1031</v>
      </c>
      <c r="E9415" t="s">
        <v>263</v>
      </c>
      <c r="F9415" t="s">
        <v>948</v>
      </c>
      <c r="G9415">
        <v>1877777</v>
      </c>
      <c r="H9415">
        <v>501010</v>
      </c>
      <c r="I9415" t="s">
        <v>949</v>
      </c>
    </row>
    <row r="9416" spans="1:9" x14ac:dyDescent="0.25">
      <c r="A9416">
        <v>4220</v>
      </c>
      <c r="B9416">
        <v>18</v>
      </c>
      <c r="C9416" t="s">
        <v>946</v>
      </c>
      <c r="D9416" t="s">
        <v>1031</v>
      </c>
      <c r="E9416" t="s">
        <v>263</v>
      </c>
      <c r="F9416" t="s">
        <v>948</v>
      </c>
      <c r="G9416">
        <v>1877777</v>
      </c>
      <c r="H9416">
        <v>501010</v>
      </c>
      <c r="I9416" t="s">
        <v>949</v>
      </c>
    </row>
    <row r="9417" spans="1:9" x14ac:dyDescent="0.25">
      <c r="A9417">
        <v>4230</v>
      </c>
      <c r="B9417">
        <v>18</v>
      </c>
      <c r="C9417" t="s">
        <v>946</v>
      </c>
      <c r="D9417" t="s">
        <v>1031</v>
      </c>
      <c r="E9417" t="s">
        <v>263</v>
      </c>
      <c r="F9417" t="s">
        <v>948</v>
      </c>
      <c r="G9417">
        <v>1899999</v>
      </c>
      <c r="H9417">
        <v>401042</v>
      </c>
      <c r="I9417" t="s">
        <v>949</v>
      </c>
    </row>
    <row r="9418" spans="1:9" x14ac:dyDescent="0.25">
      <c r="A9418">
        <v>4240</v>
      </c>
      <c r="B9418">
        <v>18</v>
      </c>
      <c r="C9418" t="s">
        <v>946</v>
      </c>
      <c r="D9418" t="s">
        <v>1031</v>
      </c>
      <c r="E9418" t="s">
        <v>263</v>
      </c>
      <c r="F9418" t="s">
        <v>948</v>
      </c>
      <c r="G9418">
        <v>1800000</v>
      </c>
      <c r="H9418">
        <v>145000</v>
      </c>
      <c r="I9418" t="s">
        <v>949</v>
      </c>
    </row>
    <row r="9419" spans="1:9" x14ac:dyDescent="0.25">
      <c r="A9419">
        <v>4141</v>
      </c>
      <c r="B9419">
        <v>18</v>
      </c>
      <c r="C9419" t="s">
        <v>946</v>
      </c>
      <c r="D9419" t="s">
        <v>1031</v>
      </c>
      <c r="E9419" t="s">
        <v>100</v>
      </c>
      <c r="F9419" t="s">
        <v>948</v>
      </c>
      <c r="G9419">
        <v>1877777</v>
      </c>
      <c r="H9419">
        <v>500220</v>
      </c>
      <c r="I9419" t="s">
        <v>949</v>
      </c>
    </row>
    <row r="9420" spans="1:9" x14ac:dyDescent="0.25">
      <c r="A9420">
        <v>4220</v>
      </c>
      <c r="B9420">
        <v>18</v>
      </c>
      <c r="C9420" t="s">
        <v>946</v>
      </c>
      <c r="D9420" t="s">
        <v>1031</v>
      </c>
      <c r="E9420" t="s">
        <v>100</v>
      </c>
      <c r="F9420" t="s">
        <v>948</v>
      </c>
      <c r="G9420">
        <v>1877777</v>
      </c>
      <c r="H9420">
        <v>500220</v>
      </c>
      <c r="I9420" t="s">
        <v>949</v>
      </c>
    </row>
    <row r="9421" spans="1:9" x14ac:dyDescent="0.25">
      <c r="A9421">
        <v>4230</v>
      </c>
      <c r="B9421">
        <v>18</v>
      </c>
      <c r="C9421" t="s">
        <v>946</v>
      </c>
      <c r="D9421" t="s">
        <v>1031</v>
      </c>
      <c r="E9421" t="s">
        <v>100</v>
      </c>
      <c r="F9421" t="s">
        <v>948</v>
      </c>
      <c r="G9421">
        <v>1899999</v>
      </c>
      <c r="H9421">
        <v>401042</v>
      </c>
      <c r="I9421" t="s">
        <v>949</v>
      </c>
    </row>
    <row r="9422" spans="1:9" x14ac:dyDescent="0.25">
      <c r="A9422">
        <v>4240</v>
      </c>
      <c r="B9422">
        <v>18</v>
      </c>
      <c r="C9422" t="s">
        <v>946</v>
      </c>
      <c r="D9422" t="s">
        <v>1031</v>
      </c>
      <c r="E9422" t="s">
        <v>100</v>
      </c>
      <c r="F9422" t="s">
        <v>948</v>
      </c>
      <c r="G9422">
        <v>1877777</v>
      </c>
      <c r="H9422">
        <v>500221</v>
      </c>
      <c r="I9422" t="s">
        <v>949</v>
      </c>
    </row>
    <row r="9423" spans="1:9" x14ac:dyDescent="0.25">
      <c r="A9423">
        <v>4141</v>
      </c>
      <c r="B9423">
        <v>18</v>
      </c>
      <c r="C9423" t="s">
        <v>946</v>
      </c>
      <c r="D9423" t="s">
        <v>1031</v>
      </c>
      <c r="E9423" t="s">
        <v>270</v>
      </c>
      <c r="F9423" t="s">
        <v>948</v>
      </c>
      <c r="G9423">
        <v>1877777</v>
      </c>
      <c r="H9423">
        <v>501010</v>
      </c>
      <c r="I9423" t="s">
        <v>949</v>
      </c>
    </row>
    <row r="9424" spans="1:9" x14ac:dyDescent="0.25">
      <c r="A9424">
        <v>4220</v>
      </c>
      <c r="B9424">
        <v>18</v>
      </c>
      <c r="C9424" t="s">
        <v>946</v>
      </c>
      <c r="D9424" t="s">
        <v>1031</v>
      </c>
      <c r="E9424" t="s">
        <v>270</v>
      </c>
      <c r="F9424" t="s">
        <v>948</v>
      </c>
      <c r="G9424">
        <v>1877777</v>
      </c>
      <c r="H9424">
        <v>501010</v>
      </c>
      <c r="I9424" t="s">
        <v>949</v>
      </c>
    </row>
    <row r="9425" spans="1:9" x14ac:dyDescent="0.25">
      <c r="A9425">
        <v>4230</v>
      </c>
      <c r="B9425">
        <v>18</v>
      </c>
      <c r="C9425" t="s">
        <v>946</v>
      </c>
      <c r="D9425" t="s">
        <v>1031</v>
      </c>
      <c r="E9425" t="s">
        <v>270</v>
      </c>
      <c r="F9425" t="s">
        <v>948</v>
      </c>
      <c r="G9425">
        <v>1899999</v>
      </c>
      <c r="H9425">
        <v>401062</v>
      </c>
      <c r="I9425" t="s">
        <v>949</v>
      </c>
    </row>
    <row r="9426" spans="1:9" x14ac:dyDescent="0.25">
      <c r="A9426">
        <v>4240</v>
      </c>
      <c r="B9426">
        <v>18</v>
      </c>
      <c r="C9426" t="s">
        <v>946</v>
      </c>
      <c r="D9426" t="s">
        <v>1031</v>
      </c>
      <c r="E9426" t="s">
        <v>270</v>
      </c>
      <c r="F9426" t="s">
        <v>948</v>
      </c>
      <c r="G9426">
        <v>1800000</v>
      </c>
      <c r="H9426">
        <v>145000</v>
      </c>
      <c r="I9426" t="s">
        <v>949</v>
      </c>
    </row>
    <row r="9427" spans="1:9" x14ac:dyDescent="0.25">
      <c r="A9427">
        <v>4141</v>
      </c>
      <c r="B9427">
        <v>18</v>
      </c>
      <c r="C9427" t="s">
        <v>946</v>
      </c>
      <c r="D9427" t="s">
        <v>1031</v>
      </c>
      <c r="E9427" t="s">
        <v>274</v>
      </c>
      <c r="F9427" t="s">
        <v>948</v>
      </c>
      <c r="G9427">
        <v>1877777</v>
      </c>
      <c r="H9427">
        <v>501010</v>
      </c>
      <c r="I9427" t="s">
        <v>949</v>
      </c>
    </row>
    <row r="9428" spans="1:9" x14ac:dyDescent="0.25">
      <c r="A9428">
        <v>4220</v>
      </c>
      <c r="B9428">
        <v>18</v>
      </c>
      <c r="C9428" t="s">
        <v>946</v>
      </c>
      <c r="D9428" t="s">
        <v>1031</v>
      </c>
      <c r="E9428" t="s">
        <v>274</v>
      </c>
      <c r="F9428" t="s">
        <v>948</v>
      </c>
      <c r="G9428">
        <v>1877777</v>
      </c>
      <c r="H9428">
        <v>501010</v>
      </c>
      <c r="I9428" t="s">
        <v>949</v>
      </c>
    </row>
    <row r="9429" spans="1:9" x14ac:dyDescent="0.25">
      <c r="A9429">
        <v>4230</v>
      </c>
      <c r="B9429">
        <v>18</v>
      </c>
      <c r="C9429" t="s">
        <v>946</v>
      </c>
      <c r="D9429" t="s">
        <v>1031</v>
      </c>
      <c r="E9429" t="s">
        <v>274</v>
      </c>
      <c r="F9429" t="s">
        <v>948</v>
      </c>
      <c r="G9429">
        <v>1899999</v>
      </c>
      <c r="H9429">
        <v>401042</v>
      </c>
      <c r="I9429" t="s">
        <v>949</v>
      </c>
    </row>
    <row r="9430" spans="1:9" x14ac:dyDescent="0.25">
      <c r="A9430">
        <v>4240</v>
      </c>
      <c r="B9430">
        <v>18</v>
      </c>
      <c r="C9430" t="s">
        <v>946</v>
      </c>
      <c r="D9430" t="s">
        <v>1031</v>
      </c>
      <c r="E9430" t="s">
        <v>274</v>
      </c>
      <c r="F9430" t="s">
        <v>948</v>
      </c>
      <c r="G9430">
        <v>1800000</v>
      </c>
      <c r="H9430">
        <v>143000</v>
      </c>
      <c r="I9430" t="s">
        <v>973</v>
      </c>
    </row>
    <row r="9431" spans="1:9" x14ac:dyDescent="0.25">
      <c r="A9431">
        <v>4141</v>
      </c>
      <c r="B9431">
        <v>18</v>
      </c>
      <c r="C9431" t="s">
        <v>946</v>
      </c>
      <c r="D9431" t="s">
        <v>1031</v>
      </c>
      <c r="E9431" t="s">
        <v>974</v>
      </c>
      <c r="F9431" t="s">
        <v>948</v>
      </c>
      <c r="G9431">
        <v>1877777</v>
      </c>
      <c r="H9431">
        <v>501010</v>
      </c>
      <c r="I9431" t="s">
        <v>949</v>
      </c>
    </row>
    <row r="9432" spans="1:9" x14ac:dyDescent="0.25">
      <c r="A9432">
        <v>4220</v>
      </c>
      <c r="B9432">
        <v>18</v>
      </c>
      <c r="C9432" t="s">
        <v>946</v>
      </c>
      <c r="D9432" t="s">
        <v>1031</v>
      </c>
      <c r="E9432" t="s">
        <v>974</v>
      </c>
      <c r="F9432" t="s">
        <v>948</v>
      </c>
      <c r="G9432">
        <v>1877777</v>
      </c>
      <c r="H9432">
        <v>501010</v>
      </c>
      <c r="I9432" t="s">
        <v>949</v>
      </c>
    </row>
    <row r="9433" spans="1:9" x14ac:dyDescent="0.25">
      <c r="A9433">
        <v>4230</v>
      </c>
      <c r="B9433">
        <v>18</v>
      </c>
      <c r="C9433" t="s">
        <v>946</v>
      </c>
      <c r="D9433" t="s">
        <v>1031</v>
      </c>
      <c r="E9433" t="s">
        <v>974</v>
      </c>
      <c r="F9433" t="s">
        <v>948</v>
      </c>
      <c r="G9433">
        <v>1899999</v>
      </c>
      <c r="H9433">
        <v>401912</v>
      </c>
      <c r="I9433" t="s">
        <v>949</v>
      </c>
    </row>
    <row r="9434" spans="1:9" x14ac:dyDescent="0.25">
      <c r="A9434">
        <v>4240</v>
      </c>
      <c r="B9434">
        <v>18</v>
      </c>
      <c r="C9434" t="s">
        <v>946</v>
      </c>
      <c r="D9434" t="s">
        <v>1031</v>
      </c>
      <c r="E9434" t="s">
        <v>974</v>
      </c>
      <c r="F9434" t="s">
        <v>948</v>
      </c>
      <c r="G9434">
        <v>1800000</v>
      </c>
      <c r="H9434">
        <v>141000</v>
      </c>
      <c r="I9434" t="s">
        <v>975</v>
      </c>
    </row>
    <row r="9435" spans="1:9" x14ac:dyDescent="0.25">
      <c r="A9435">
        <v>4141</v>
      </c>
      <c r="B9435">
        <v>18</v>
      </c>
      <c r="C9435" t="s">
        <v>946</v>
      </c>
      <c r="D9435" t="s">
        <v>1031</v>
      </c>
      <c r="E9435" t="s">
        <v>104</v>
      </c>
      <c r="F9435" t="s">
        <v>948</v>
      </c>
      <c r="G9435">
        <v>1877777</v>
      </c>
      <c r="H9435">
        <v>500220</v>
      </c>
      <c r="I9435" t="s">
        <v>949</v>
      </c>
    </row>
    <row r="9436" spans="1:9" x14ac:dyDescent="0.25">
      <c r="A9436">
        <v>4220</v>
      </c>
      <c r="B9436">
        <v>18</v>
      </c>
      <c r="C9436" t="s">
        <v>946</v>
      </c>
      <c r="D9436" t="s">
        <v>1031</v>
      </c>
      <c r="E9436" t="s">
        <v>104</v>
      </c>
      <c r="F9436" t="s">
        <v>948</v>
      </c>
      <c r="G9436">
        <v>1877777</v>
      </c>
      <c r="H9436">
        <v>500220</v>
      </c>
      <c r="I9436" t="s">
        <v>949</v>
      </c>
    </row>
    <row r="9437" spans="1:9" x14ac:dyDescent="0.25">
      <c r="A9437">
        <v>4230</v>
      </c>
      <c r="B9437">
        <v>18</v>
      </c>
      <c r="C9437" t="s">
        <v>946</v>
      </c>
      <c r="D9437" t="s">
        <v>1031</v>
      </c>
      <c r="E9437" t="s">
        <v>104</v>
      </c>
      <c r="F9437" t="s">
        <v>948</v>
      </c>
      <c r="G9437">
        <v>1899999</v>
      </c>
      <c r="H9437">
        <v>401042</v>
      </c>
      <c r="I9437" t="s">
        <v>949</v>
      </c>
    </row>
    <row r="9438" spans="1:9" x14ac:dyDescent="0.25">
      <c r="A9438">
        <v>4240</v>
      </c>
      <c r="B9438">
        <v>18</v>
      </c>
      <c r="C9438" t="s">
        <v>946</v>
      </c>
      <c r="D9438" t="s">
        <v>1031</v>
      </c>
      <c r="E9438" t="s">
        <v>104</v>
      </c>
      <c r="F9438" t="s">
        <v>948</v>
      </c>
      <c r="G9438">
        <v>1877777</v>
      </c>
      <c r="H9438">
        <v>500221</v>
      </c>
      <c r="I9438" t="s">
        <v>949</v>
      </c>
    </row>
    <row r="9439" spans="1:9" x14ac:dyDescent="0.25">
      <c r="A9439">
        <v>4141</v>
      </c>
      <c r="B9439">
        <v>18</v>
      </c>
      <c r="C9439" t="s">
        <v>946</v>
      </c>
      <c r="D9439" t="s">
        <v>1031</v>
      </c>
      <c r="E9439" t="s">
        <v>278</v>
      </c>
      <c r="F9439" t="s">
        <v>948</v>
      </c>
      <c r="G9439">
        <v>1877777</v>
      </c>
      <c r="H9439">
        <v>501010</v>
      </c>
      <c r="I9439" t="s">
        <v>949</v>
      </c>
    </row>
    <row r="9440" spans="1:9" x14ac:dyDescent="0.25">
      <c r="A9440">
        <v>4220</v>
      </c>
      <c r="B9440">
        <v>18</v>
      </c>
      <c r="C9440" t="s">
        <v>946</v>
      </c>
      <c r="D9440" t="s">
        <v>1031</v>
      </c>
      <c r="E9440" t="s">
        <v>278</v>
      </c>
      <c r="F9440" t="s">
        <v>948</v>
      </c>
      <c r="G9440">
        <v>1877777</v>
      </c>
      <c r="H9440">
        <v>501010</v>
      </c>
      <c r="I9440" t="s">
        <v>949</v>
      </c>
    </row>
    <row r="9441" spans="1:9" x14ac:dyDescent="0.25">
      <c r="A9441">
        <v>4230</v>
      </c>
      <c r="B9441">
        <v>18</v>
      </c>
      <c r="C9441" t="s">
        <v>946</v>
      </c>
      <c r="D9441" t="s">
        <v>1031</v>
      </c>
      <c r="E9441" t="s">
        <v>278</v>
      </c>
      <c r="F9441" t="s">
        <v>948</v>
      </c>
      <c r="G9441">
        <v>1899999</v>
      </c>
      <c r="H9441">
        <v>401052</v>
      </c>
      <c r="I9441" t="s">
        <v>949</v>
      </c>
    </row>
    <row r="9442" spans="1:9" x14ac:dyDescent="0.25">
      <c r="A9442">
        <v>4240</v>
      </c>
      <c r="B9442">
        <v>18</v>
      </c>
      <c r="C9442" t="s">
        <v>946</v>
      </c>
      <c r="D9442" t="s">
        <v>1031</v>
      </c>
      <c r="E9442" t="s">
        <v>278</v>
      </c>
      <c r="F9442" t="s">
        <v>948</v>
      </c>
      <c r="G9442">
        <v>1800000</v>
      </c>
      <c r="H9442">
        <v>145000</v>
      </c>
      <c r="I9442" t="s">
        <v>949</v>
      </c>
    </row>
    <row r="9443" spans="1:9" x14ac:dyDescent="0.25">
      <c r="A9443">
        <v>4141</v>
      </c>
      <c r="B9443">
        <v>18</v>
      </c>
      <c r="C9443" t="s">
        <v>946</v>
      </c>
      <c r="D9443" t="s">
        <v>1031</v>
      </c>
      <c r="E9443" t="s">
        <v>282</v>
      </c>
      <c r="F9443" t="s">
        <v>948</v>
      </c>
      <c r="G9443">
        <v>1877777</v>
      </c>
      <c r="H9443">
        <v>501010</v>
      </c>
      <c r="I9443" t="s">
        <v>949</v>
      </c>
    </row>
    <row r="9444" spans="1:9" x14ac:dyDescent="0.25">
      <c r="A9444">
        <v>4220</v>
      </c>
      <c r="B9444">
        <v>18</v>
      </c>
      <c r="C9444" t="s">
        <v>946</v>
      </c>
      <c r="D9444" t="s">
        <v>1031</v>
      </c>
      <c r="E9444" t="s">
        <v>282</v>
      </c>
      <c r="F9444" t="s">
        <v>948</v>
      </c>
      <c r="G9444">
        <v>1877777</v>
      </c>
      <c r="H9444">
        <v>501010</v>
      </c>
      <c r="I9444" t="s">
        <v>949</v>
      </c>
    </row>
    <row r="9445" spans="1:9" x14ac:dyDescent="0.25">
      <c r="A9445">
        <v>4230</v>
      </c>
      <c r="B9445">
        <v>18</v>
      </c>
      <c r="C9445" t="s">
        <v>946</v>
      </c>
      <c r="D9445" t="s">
        <v>1031</v>
      </c>
      <c r="E9445" t="s">
        <v>282</v>
      </c>
      <c r="F9445" t="s">
        <v>948</v>
      </c>
      <c r="G9445">
        <v>1899999</v>
      </c>
      <c r="H9445">
        <v>401042</v>
      </c>
      <c r="I9445" t="s">
        <v>949</v>
      </c>
    </row>
    <row r="9446" spans="1:9" x14ac:dyDescent="0.25">
      <c r="A9446">
        <v>4240</v>
      </c>
      <c r="B9446">
        <v>18</v>
      </c>
      <c r="C9446" t="s">
        <v>946</v>
      </c>
      <c r="D9446" t="s">
        <v>1031</v>
      </c>
      <c r="E9446" t="s">
        <v>282</v>
      </c>
      <c r="F9446" t="s">
        <v>948</v>
      </c>
      <c r="G9446">
        <v>1800000</v>
      </c>
      <c r="H9446">
        <v>143100</v>
      </c>
      <c r="I9446" t="s">
        <v>949</v>
      </c>
    </row>
    <row r="9447" spans="1:9" x14ac:dyDescent="0.25">
      <c r="A9447">
        <v>4141</v>
      </c>
      <c r="B9447">
        <v>18</v>
      </c>
      <c r="C9447" t="s">
        <v>946</v>
      </c>
      <c r="D9447" t="s">
        <v>1031</v>
      </c>
      <c r="E9447" t="s">
        <v>286</v>
      </c>
      <c r="F9447" t="s">
        <v>948</v>
      </c>
      <c r="G9447">
        <v>1877777</v>
      </c>
      <c r="H9447">
        <v>501010</v>
      </c>
      <c r="I9447" t="s">
        <v>949</v>
      </c>
    </row>
    <row r="9448" spans="1:9" x14ac:dyDescent="0.25">
      <c r="A9448">
        <v>4220</v>
      </c>
      <c r="B9448">
        <v>18</v>
      </c>
      <c r="C9448" t="s">
        <v>946</v>
      </c>
      <c r="D9448" t="s">
        <v>1031</v>
      </c>
      <c r="E9448" t="s">
        <v>286</v>
      </c>
      <c r="F9448" t="s">
        <v>948</v>
      </c>
      <c r="G9448">
        <v>1877777</v>
      </c>
      <c r="H9448">
        <v>501010</v>
      </c>
      <c r="I9448" t="s">
        <v>949</v>
      </c>
    </row>
    <row r="9449" spans="1:9" x14ac:dyDescent="0.25">
      <c r="A9449">
        <v>4230</v>
      </c>
      <c r="B9449">
        <v>18</v>
      </c>
      <c r="C9449" t="s">
        <v>946</v>
      </c>
      <c r="D9449" t="s">
        <v>1031</v>
      </c>
      <c r="E9449" t="s">
        <v>286</v>
      </c>
      <c r="F9449" t="s">
        <v>948</v>
      </c>
      <c r="G9449">
        <v>1899999</v>
      </c>
      <c r="H9449">
        <v>401032</v>
      </c>
      <c r="I9449" t="s">
        <v>949</v>
      </c>
    </row>
    <row r="9450" spans="1:9" x14ac:dyDescent="0.25">
      <c r="A9450">
        <v>4240</v>
      </c>
      <c r="B9450">
        <v>18</v>
      </c>
      <c r="C9450" t="s">
        <v>946</v>
      </c>
      <c r="D9450" t="s">
        <v>1031</v>
      </c>
      <c r="E9450" t="s">
        <v>286</v>
      </c>
      <c r="F9450" t="s">
        <v>948</v>
      </c>
      <c r="G9450">
        <v>1800000</v>
      </c>
      <c r="H9450">
        <v>145000</v>
      </c>
      <c r="I9450" t="s">
        <v>949</v>
      </c>
    </row>
    <row r="9451" spans="1:9" x14ac:dyDescent="0.25">
      <c r="A9451">
        <v>4141</v>
      </c>
      <c r="B9451">
        <v>18</v>
      </c>
      <c r="C9451" t="s">
        <v>946</v>
      </c>
      <c r="D9451" t="s">
        <v>1031</v>
      </c>
      <c r="E9451" t="s">
        <v>976</v>
      </c>
      <c r="F9451" t="s">
        <v>948</v>
      </c>
      <c r="G9451">
        <v>1877777</v>
      </c>
      <c r="H9451">
        <v>501010</v>
      </c>
      <c r="I9451" t="s">
        <v>949</v>
      </c>
    </row>
    <row r="9452" spans="1:9" x14ac:dyDescent="0.25">
      <c r="A9452">
        <v>4220</v>
      </c>
      <c r="B9452">
        <v>18</v>
      </c>
      <c r="C9452" t="s">
        <v>946</v>
      </c>
      <c r="D9452" t="s">
        <v>1031</v>
      </c>
      <c r="E9452" t="s">
        <v>976</v>
      </c>
      <c r="F9452" t="s">
        <v>948</v>
      </c>
      <c r="G9452">
        <v>1877777</v>
      </c>
      <c r="H9452">
        <v>501010</v>
      </c>
      <c r="I9452" t="s">
        <v>949</v>
      </c>
    </row>
    <row r="9453" spans="1:9" x14ac:dyDescent="0.25">
      <c r="A9453">
        <v>4230</v>
      </c>
      <c r="B9453">
        <v>18</v>
      </c>
      <c r="C9453" t="s">
        <v>946</v>
      </c>
      <c r="D9453" t="s">
        <v>1031</v>
      </c>
      <c r="E9453" t="s">
        <v>976</v>
      </c>
      <c r="F9453" t="s">
        <v>948</v>
      </c>
      <c r="G9453">
        <v>1899999</v>
      </c>
      <c r="H9453">
        <v>401912</v>
      </c>
      <c r="I9453" t="s">
        <v>949</v>
      </c>
    </row>
    <row r="9454" spans="1:9" x14ac:dyDescent="0.25">
      <c r="A9454">
        <v>4240</v>
      </c>
      <c r="B9454">
        <v>18</v>
      </c>
      <c r="C9454" t="s">
        <v>946</v>
      </c>
      <c r="D9454" t="s">
        <v>1031</v>
      </c>
      <c r="E9454" t="s">
        <v>976</v>
      </c>
      <c r="F9454" t="s">
        <v>948</v>
      </c>
      <c r="G9454">
        <v>1800000</v>
      </c>
      <c r="H9454">
        <v>141000</v>
      </c>
      <c r="I9454" t="s">
        <v>977</v>
      </c>
    </row>
    <row r="9455" spans="1:9" x14ac:dyDescent="0.25">
      <c r="A9455">
        <v>4141</v>
      </c>
      <c r="B9455">
        <v>18</v>
      </c>
      <c r="C9455" t="s">
        <v>946</v>
      </c>
      <c r="D9455" t="s">
        <v>1031</v>
      </c>
      <c r="E9455" t="s">
        <v>290</v>
      </c>
      <c r="F9455" t="s">
        <v>948</v>
      </c>
      <c r="G9455">
        <v>1877777</v>
      </c>
      <c r="H9455">
        <v>501010</v>
      </c>
      <c r="I9455" t="s">
        <v>949</v>
      </c>
    </row>
    <row r="9456" spans="1:9" x14ac:dyDescent="0.25">
      <c r="A9456">
        <v>4220</v>
      </c>
      <c r="B9456">
        <v>18</v>
      </c>
      <c r="C9456" t="s">
        <v>946</v>
      </c>
      <c r="D9456" t="s">
        <v>1031</v>
      </c>
      <c r="E9456" t="s">
        <v>290</v>
      </c>
      <c r="F9456" t="s">
        <v>948</v>
      </c>
      <c r="G9456">
        <v>1877777</v>
      </c>
      <c r="H9456">
        <v>501010</v>
      </c>
      <c r="I9456" t="s">
        <v>949</v>
      </c>
    </row>
    <row r="9457" spans="1:9" x14ac:dyDescent="0.25">
      <c r="A9457">
        <v>4230</v>
      </c>
      <c r="B9457">
        <v>18</v>
      </c>
      <c r="C9457" t="s">
        <v>946</v>
      </c>
      <c r="D9457" t="s">
        <v>1031</v>
      </c>
      <c r="E9457" t="s">
        <v>290</v>
      </c>
      <c r="F9457" t="s">
        <v>948</v>
      </c>
      <c r="G9457">
        <v>1899999</v>
      </c>
      <c r="H9457">
        <v>401042</v>
      </c>
      <c r="I9457" t="s">
        <v>949</v>
      </c>
    </row>
    <row r="9458" spans="1:9" x14ac:dyDescent="0.25">
      <c r="A9458">
        <v>4240</v>
      </c>
      <c r="B9458">
        <v>18</v>
      </c>
      <c r="C9458" t="s">
        <v>946</v>
      </c>
      <c r="D9458" t="s">
        <v>1031</v>
      </c>
      <c r="E9458" t="s">
        <v>290</v>
      </c>
      <c r="F9458" t="s">
        <v>948</v>
      </c>
      <c r="G9458">
        <v>1800000</v>
      </c>
      <c r="H9458">
        <v>143000</v>
      </c>
      <c r="I9458" t="s">
        <v>978</v>
      </c>
    </row>
    <row r="9459" spans="1:9" x14ac:dyDescent="0.25">
      <c r="A9459">
        <v>4141</v>
      </c>
      <c r="B9459">
        <v>18</v>
      </c>
      <c r="C9459" t="s">
        <v>946</v>
      </c>
      <c r="D9459" t="s">
        <v>1031</v>
      </c>
      <c r="E9459" t="s">
        <v>294</v>
      </c>
      <c r="F9459" t="s">
        <v>948</v>
      </c>
      <c r="G9459">
        <v>1877777</v>
      </c>
      <c r="H9459">
        <v>501010</v>
      </c>
      <c r="I9459" t="s">
        <v>949</v>
      </c>
    </row>
    <row r="9460" spans="1:9" x14ac:dyDescent="0.25">
      <c r="A9460">
        <v>4220</v>
      </c>
      <c r="B9460">
        <v>18</v>
      </c>
      <c r="C9460" t="s">
        <v>946</v>
      </c>
      <c r="D9460" t="s">
        <v>1031</v>
      </c>
      <c r="E9460" t="s">
        <v>294</v>
      </c>
      <c r="F9460" t="s">
        <v>948</v>
      </c>
      <c r="G9460">
        <v>1877777</v>
      </c>
      <c r="H9460">
        <v>501010</v>
      </c>
      <c r="I9460" t="s">
        <v>949</v>
      </c>
    </row>
    <row r="9461" spans="1:9" x14ac:dyDescent="0.25">
      <c r="A9461">
        <v>4230</v>
      </c>
      <c r="B9461">
        <v>18</v>
      </c>
      <c r="C9461" t="s">
        <v>946</v>
      </c>
      <c r="D9461" t="s">
        <v>1031</v>
      </c>
      <c r="E9461" t="s">
        <v>294</v>
      </c>
      <c r="F9461" t="s">
        <v>948</v>
      </c>
      <c r="G9461">
        <v>1899999</v>
      </c>
      <c r="H9461">
        <v>401042</v>
      </c>
      <c r="I9461" t="s">
        <v>949</v>
      </c>
    </row>
    <row r="9462" spans="1:9" x14ac:dyDescent="0.25">
      <c r="A9462">
        <v>4240</v>
      </c>
      <c r="B9462">
        <v>18</v>
      </c>
      <c r="C9462" t="s">
        <v>946</v>
      </c>
      <c r="D9462" t="s">
        <v>1031</v>
      </c>
      <c r="E9462" t="s">
        <v>294</v>
      </c>
      <c r="F9462" t="s">
        <v>948</v>
      </c>
      <c r="G9462">
        <v>1800000</v>
      </c>
      <c r="H9462">
        <v>143000</v>
      </c>
      <c r="I9462" t="s">
        <v>979</v>
      </c>
    </row>
    <row r="9463" spans="1:9" x14ac:dyDescent="0.25">
      <c r="A9463">
        <v>4230</v>
      </c>
      <c r="B9463">
        <v>18</v>
      </c>
      <c r="C9463" t="s">
        <v>946</v>
      </c>
      <c r="D9463" t="s">
        <v>1031</v>
      </c>
      <c r="E9463" t="s">
        <v>298</v>
      </c>
      <c r="F9463" t="s">
        <v>948</v>
      </c>
      <c r="G9463">
        <v>1899999</v>
      </c>
      <c r="H9463">
        <v>402082</v>
      </c>
      <c r="I9463" t="s">
        <v>949</v>
      </c>
    </row>
    <row r="9464" spans="1:9" x14ac:dyDescent="0.25">
      <c r="A9464">
        <v>4141</v>
      </c>
      <c r="B9464">
        <v>18</v>
      </c>
      <c r="C9464" t="s">
        <v>946</v>
      </c>
      <c r="D9464" t="s">
        <v>1031</v>
      </c>
      <c r="E9464" t="s">
        <v>980</v>
      </c>
      <c r="F9464" t="s">
        <v>948</v>
      </c>
      <c r="G9464">
        <v>1877777</v>
      </c>
      <c r="H9464">
        <v>501010</v>
      </c>
      <c r="I9464" t="s">
        <v>949</v>
      </c>
    </row>
    <row r="9465" spans="1:9" x14ac:dyDescent="0.25">
      <c r="A9465">
        <v>4220</v>
      </c>
      <c r="B9465">
        <v>18</v>
      </c>
      <c r="C9465" t="s">
        <v>946</v>
      </c>
      <c r="D9465" t="s">
        <v>1031</v>
      </c>
      <c r="E9465" t="s">
        <v>980</v>
      </c>
      <c r="F9465" t="s">
        <v>948</v>
      </c>
      <c r="G9465">
        <v>1877777</v>
      </c>
      <c r="H9465">
        <v>501010</v>
      </c>
      <c r="I9465" t="s">
        <v>949</v>
      </c>
    </row>
    <row r="9466" spans="1:9" x14ac:dyDescent="0.25">
      <c r="A9466">
        <v>4230</v>
      </c>
      <c r="B9466">
        <v>18</v>
      </c>
      <c r="C9466" t="s">
        <v>946</v>
      </c>
      <c r="D9466" t="s">
        <v>1031</v>
      </c>
      <c r="E9466" t="s">
        <v>980</v>
      </c>
      <c r="F9466" t="s">
        <v>948</v>
      </c>
      <c r="G9466">
        <v>1899999</v>
      </c>
      <c r="H9466">
        <v>401912</v>
      </c>
      <c r="I9466" t="s">
        <v>949</v>
      </c>
    </row>
    <row r="9467" spans="1:9" x14ac:dyDescent="0.25">
      <c r="A9467">
        <v>4240</v>
      </c>
      <c r="B9467">
        <v>18</v>
      </c>
      <c r="C9467" t="s">
        <v>946</v>
      </c>
      <c r="D9467" t="s">
        <v>1031</v>
      </c>
      <c r="E9467" t="s">
        <v>980</v>
      </c>
      <c r="F9467" t="s">
        <v>948</v>
      </c>
      <c r="G9467">
        <v>1800000</v>
      </c>
      <c r="H9467">
        <v>141000</v>
      </c>
      <c r="I9467" t="s">
        <v>981</v>
      </c>
    </row>
    <row r="9468" spans="1:9" x14ac:dyDescent="0.25">
      <c r="A9468">
        <v>4141</v>
      </c>
      <c r="B9468">
        <v>18</v>
      </c>
      <c r="C9468" t="s">
        <v>946</v>
      </c>
      <c r="D9468" t="s">
        <v>1031</v>
      </c>
      <c r="E9468" t="s">
        <v>302</v>
      </c>
      <c r="F9468" t="s">
        <v>948</v>
      </c>
      <c r="G9468">
        <v>1877777</v>
      </c>
      <c r="H9468">
        <v>501010</v>
      </c>
      <c r="I9468" t="s">
        <v>949</v>
      </c>
    </row>
    <row r="9469" spans="1:9" x14ac:dyDescent="0.25">
      <c r="A9469">
        <v>4220</v>
      </c>
      <c r="B9469">
        <v>18</v>
      </c>
      <c r="C9469" t="s">
        <v>946</v>
      </c>
      <c r="D9469" t="s">
        <v>1031</v>
      </c>
      <c r="E9469" t="s">
        <v>302</v>
      </c>
      <c r="F9469" t="s">
        <v>948</v>
      </c>
      <c r="G9469">
        <v>1877777</v>
      </c>
      <c r="H9469">
        <v>501010</v>
      </c>
      <c r="I9469" t="s">
        <v>949</v>
      </c>
    </row>
    <row r="9470" spans="1:9" x14ac:dyDescent="0.25">
      <c r="A9470">
        <v>4230</v>
      </c>
      <c r="B9470">
        <v>18</v>
      </c>
      <c r="C9470" t="s">
        <v>946</v>
      </c>
      <c r="D9470" t="s">
        <v>1031</v>
      </c>
      <c r="E9470" t="s">
        <v>302</v>
      </c>
      <c r="F9470" t="s">
        <v>948</v>
      </c>
      <c r="G9470">
        <v>1899999</v>
      </c>
      <c r="H9470">
        <v>401902</v>
      </c>
      <c r="I9470" t="s">
        <v>949</v>
      </c>
    </row>
    <row r="9471" spans="1:9" x14ac:dyDescent="0.25">
      <c r="A9471">
        <v>4240</v>
      </c>
      <c r="B9471">
        <v>18</v>
      </c>
      <c r="C9471" t="s">
        <v>946</v>
      </c>
      <c r="D9471" t="s">
        <v>1031</v>
      </c>
      <c r="E9471" t="s">
        <v>302</v>
      </c>
      <c r="F9471" t="s">
        <v>948</v>
      </c>
      <c r="G9471">
        <v>1800000</v>
      </c>
      <c r="H9471">
        <v>143000</v>
      </c>
      <c r="I9471" t="s">
        <v>982</v>
      </c>
    </row>
    <row r="9472" spans="1:9" x14ac:dyDescent="0.25">
      <c r="A9472">
        <v>4141</v>
      </c>
      <c r="B9472">
        <v>18</v>
      </c>
      <c r="C9472" t="s">
        <v>946</v>
      </c>
      <c r="D9472" t="s">
        <v>1031</v>
      </c>
      <c r="E9472" t="s">
        <v>306</v>
      </c>
      <c r="F9472" t="s">
        <v>948</v>
      </c>
      <c r="G9472">
        <v>1877777</v>
      </c>
      <c r="H9472">
        <v>501010</v>
      </c>
      <c r="I9472" t="s">
        <v>949</v>
      </c>
    </row>
    <row r="9473" spans="1:9" x14ac:dyDescent="0.25">
      <c r="A9473">
        <v>4220</v>
      </c>
      <c r="B9473">
        <v>18</v>
      </c>
      <c r="C9473" t="s">
        <v>946</v>
      </c>
      <c r="D9473" t="s">
        <v>1031</v>
      </c>
      <c r="E9473" t="s">
        <v>306</v>
      </c>
      <c r="F9473" t="s">
        <v>948</v>
      </c>
      <c r="G9473">
        <v>1877777</v>
      </c>
      <c r="H9473">
        <v>501010</v>
      </c>
      <c r="I9473" t="s">
        <v>949</v>
      </c>
    </row>
    <row r="9474" spans="1:9" x14ac:dyDescent="0.25">
      <c r="A9474">
        <v>4230</v>
      </c>
      <c r="B9474">
        <v>18</v>
      </c>
      <c r="C9474" t="s">
        <v>946</v>
      </c>
      <c r="D9474" t="s">
        <v>1031</v>
      </c>
      <c r="E9474" t="s">
        <v>306</v>
      </c>
      <c r="F9474" t="s">
        <v>948</v>
      </c>
      <c r="G9474">
        <v>1899999</v>
      </c>
      <c r="H9474">
        <v>401042</v>
      </c>
      <c r="I9474" t="s">
        <v>949</v>
      </c>
    </row>
    <row r="9475" spans="1:9" x14ac:dyDescent="0.25">
      <c r="A9475">
        <v>4240</v>
      </c>
      <c r="B9475">
        <v>18</v>
      </c>
      <c r="C9475" t="s">
        <v>946</v>
      </c>
      <c r="D9475" t="s">
        <v>1031</v>
      </c>
      <c r="E9475" t="s">
        <v>306</v>
      </c>
      <c r="F9475" t="s">
        <v>948</v>
      </c>
      <c r="G9475">
        <v>1800000</v>
      </c>
      <c r="H9475">
        <v>143000</v>
      </c>
      <c r="I9475" t="s">
        <v>983</v>
      </c>
    </row>
    <row r="9476" spans="1:9" x14ac:dyDescent="0.25">
      <c r="A9476">
        <v>4141</v>
      </c>
      <c r="B9476">
        <v>18</v>
      </c>
      <c r="C9476" t="s">
        <v>946</v>
      </c>
      <c r="D9476" t="s">
        <v>1031</v>
      </c>
      <c r="E9476" t="s">
        <v>108</v>
      </c>
      <c r="F9476" t="s">
        <v>948</v>
      </c>
      <c r="G9476">
        <v>1877777</v>
      </c>
      <c r="H9476">
        <v>500220</v>
      </c>
      <c r="I9476" t="s">
        <v>949</v>
      </c>
    </row>
    <row r="9477" spans="1:9" x14ac:dyDescent="0.25">
      <c r="A9477">
        <v>4220</v>
      </c>
      <c r="B9477">
        <v>18</v>
      </c>
      <c r="C9477" t="s">
        <v>946</v>
      </c>
      <c r="D9477" t="s">
        <v>1031</v>
      </c>
      <c r="E9477" t="s">
        <v>108</v>
      </c>
      <c r="F9477" t="s">
        <v>948</v>
      </c>
      <c r="G9477">
        <v>1877777</v>
      </c>
      <c r="H9477">
        <v>500220</v>
      </c>
      <c r="I9477" t="s">
        <v>949</v>
      </c>
    </row>
    <row r="9478" spans="1:9" x14ac:dyDescent="0.25">
      <c r="A9478">
        <v>4230</v>
      </c>
      <c r="B9478">
        <v>18</v>
      </c>
      <c r="C9478" t="s">
        <v>946</v>
      </c>
      <c r="D9478" t="s">
        <v>1031</v>
      </c>
      <c r="E9478" t="s">
        <v>108</v>
      </c>
      <c r="F9478" t="s">
        <v>948</v>
      </c>
      <c r="G9478">
        <v>1899999</v>
      </c>
      <c r="H9478">
        <v>401042</v>
      </c>
      <c r="I9478" t="s">
        <v>949</v>
      </c>
    </row>
    <row r="9479" spans="1:9" x14ac:dyDescent="0.25">
      <c r="A9479">
        <v>4240</v>
      </c>
      <c r="B9479">
        <v>18</v>
      </c>
      <c r="C9479" t="s">
        <v>946</v>
      </c>
      <c r="D9479" t="s">
        <v>1031</v>
      </c>
      <c r="E9479" t="s">
        <v>108</v>
      </c>
      <c r="F9479" t="s">
        <v>948</v>
      </c>
      <c r="G9479">
        <v>1877777</v>
      </c>
      <c r="H9479">
        <v>500221</v>
      </c>
      <c r="I9479" t="s">
        <v>949</v>
      </c>
    </row>
    <row r="9480" spans="1:9" x14ac:dyDescent="0.25">
      <c r="A9480">
        <v>4141</v>
      </c>
      <c r="B9480">
        <v>18</v>
      </c>
      <c r="C9480" t="s">
        <v>946</v>
      </c>
      <c r="D9480" t="s">
        <v>1031</v>
      </c>
      <c r="E9480" t="s">
        <v>310</v>
      </c>
      <c r="F9480" t="s">
        <v>948</v>
      </c>
      <c r="G9480">
        <v>1877777</v>
      </c>
      <c r="H9480">
        <v>501010</v>
      </c>
      <c r="I9480" t="s">
        <v>949</v>
      </c>
    </row>
    <row r="9481" spans="1:9" x14ac:dyDescent="0.25">
      <c r="A9481">
        <v>4220</v>
      </c>
      <c r="B9481">
        <v>18</v>
      </c>
      <c r="C9481" t="s">
        <v>946</v>
      </c>
      <c r="D9481" t="s">
        <v>1031</v>
      </c>
      <c r="E9481" t="s">
        <v>310</v>
      </c>
      <c r="F9481" t="s">
        <v>948</v>
      </c>
      <c r="G9481">
        <v>1877777</v>
      </c>
      <c r="H9481">
        <v>501010</v>
      </c>
      <c r="I9481" t="s">
        <v>949</v>
      </c>
    </row>
    <row r="9482" spans="1:9" x14ac:dyDescent="0.25">
      <c r="A9482">
        <v>4230</v>
      </c>
      <c r="B9482">
        <v>18</v>
      </c>
      <c r="C9482" t="s">
        <v>946</v>
      </c>
      <c r="D9482" t="s">
        <v>1031</v>
      </c>
      <c r="E9482" t="s">
        <v>310</v>
      </c>
      <c r="F9482" t="s">
        <v>948</v>
      </c>
      <c r="G9482">
        <v>1899999</v>
      </c>
      <c r="H9482">
        <v>401012</v>
      </c>
      <c r="I9482" t="s">
        <v>949</v>
      </c>
    </row>
    <row r="9483" spans="1:9" x14ac:dyDescent="0.25">
      <c r="A9483">
        <v>4240</v>
      </c>
      <c r="B9483">
        <v>18</v>
      </c>
      <c r="C9483" t="s">
        <v>946</v>
      </c>
      <c r="D9483" t="s">
        <v>1031</v>
      </c>
      <c r="E9483" t="s">
        <v>310</v>
      </c>
      <c r="F9483" t="s">
        <v>948</v>
      </c>
      <c r="G9483">
        <v>1800000</v>
      </c>
      <c r="H9483">
        <v>145000</v>
      </c>
      <c r="I9483" t="s">
        <v>949</v>
      </c>
    </row>
    <row r="9484" spans="1:9" x14ac:dyDescent="0.25">
      <c r="A9484">
        <v>4141</v>
      </c>
      <c r="B9484">
        <v>18</v>
      </c>
      <c r="C9484" t="s">
        <v>946</v>
      </c>
      <c r="D9484" t="s">
        <v>1031</v>
      </c>
      <c r="E9484" t="s">
        <v>314</v>
      </c>
      <c r="F9484" t="s">
        <v>948</v>
      </c>
      <c r="G9484">
        <v>1877777</v>
      </c>
      <c r="H9484">
        <v>501010</v>
      </c>
      <c r="I9484" t="s">
        <v>949</v>
      </c>
    </row>
    <row r="9485" spans="1:9" x14ac:dyDescent="0.25">
      <c r="A9485">
        <v>4220</v>
      </c>
      <c r="B9485">
        <v>18</v>
      </c>
      <c r="C9485" t="s">
        <v>946</v>
      </c>
      <c r="D9485" t="s">
        <v>1031</v>
      </c>
      <c r="E9485" t="s">
        <v>314</v>
      </c>
      <c r="F9485" t="s">
        <v>948</v>
      </c>
      <c r="G9485">
        <v>1877777</v>
      </c>
      <c r="H9485">
        <v>501010</v>
      </c>
      <c r="I9485" t="s">
        <v>949</v>
      </c>
    </row>
    <row r="9486" spans="1:9" x14ac:dyDescent="0.25">
      <c r="A9486">
        <v>4230</v>
      </c>
      <c r="B9486">
        <v>18</v>
      </c>
      <c r="C9486" t="s">
        <v>946</v>
      </c>
      <c r="D9486" t="s">
        <v>1031</v>
      </c>
      <c r="E9486" t="s">
        <v>314</v>
      </c>
      <c r="F9486" t="s">
        <v>948</v>
      </c>
      <c r="G9486">
        <v>1899999</v>
      </c>
      <c r="H9486">
        <v>401062</v>
      </c>
      <c r="I9486" t="s">
        <v>949</v>
      </c>
    </row>
    <row r="9487" spans="1:9" x14ac:dyDescent="0.25">
      <c r="A9487">
        <v>4240</v>
      </c>
      <c r="B9487">
        <v>18</v>
      </c>
      <c r="C9487" t="s">
        <v>946</v>
      </c>
      <c r="D9487" t="s">
        <v>1031</v>
      </c>
      <c r="E9487" t="s">
        <v>314</v>
      </c>
      <c r="F9487" t="s">
        <v>948</v>
      </c>
      <c r="G9487">
        <v>1800000</v>
      </c>
      <c r="H9487">
        <v>145000</v>
      </c>
      <c r="I9487" t="s">
        <v>949</v>
      </c>
    </row>
    <row r="9488" spans="1:9" x14ac:dyDescent="0.25">
      <c r="A9488">
        <v>4141</v>
      </c>
      <c r="B9488">
        <v>18</v>
      </c>
      <c r="C9488" t="s">
        <v>946</v>
      </c>
      <c r="D9488" t="s">
        <v>1031</v>
      </c>
      <c r="E9488" t="s">
        <v>113</v>
      </c>
      <c r="F9488" t="s">
        <v>948</v>
      </c>
      <c r="G9488">
        <v>1877777</v>
      </c>
      <c r="H9488">
        <v>500220</v>
      </c>
      <c r="I9488" t="s">
        <v>949</v>
      </c>
    </row>
    <row r="9489" spans="1:9" x14ac:dyDescent="0.25">
      <c r="A9489">
        <v>4220</v>
      </c>
      <c r="B9489">
        <v>18</v>
      </c>
      <c r="C9489" t="s">
        <v>946</v>
      </c>
      <c r="D9489" t="s">
        <v>1031</v>
      </c>
      <c r="E9489" t="s">
        <v>113</v>
      </c>
      <c r="F9489" t="s">
        <v>948</v>
      </c>
      <c r="G9489">
        <v>1877777</v>
      </c>
      <c r="H9489">
        <v>500220</v>
      </c>
      <c r="I9489" t="s">
        <v>949</v>
      </c>
    </row>
    <row r="9490" spans="1:9" x14ac:dyDescent="0.25">
      <c r="A9490">
        <v>4230</v>
      </c>
      <c r="B9490">
        <v>18</v>
      </c>
      <c r="C9490" t="s">
        <v>946</v>
      </c>
      <c r="D9490" t="s">
        <v>1031</v>
      </c>
      <c r="E9490" t="s">
        <v>113</v>
      </c>
      <c r="F9490" t="s">
        <v>948</v>
      </c>
      <c r="G9490">
        <v>1899999</v>
      </c>
      <c r="H9490">
        <v>402082</v>
      </c>
      <c r="I9490" t="s">
        <v>949</v>
      </c>
    </row>
    <row r="9491" spans="1:9" x14ac:dyDescent="0.25">
      <c r="A9491">
        <v>4240</v>
      </c>
      <c r="B9491">
        <v>18</v>
      </c>
      <c r="C9491" t="s">
        <v>946</v>
      </c>
      <c r="D9491" t="s">
        <v>1031</v>
      </c>
      <c r="E9491" t="s">
        <v>113</v>
      </c>
      <c r="F9491" t="s">
        <v>948</v>
      </c>
      <c r="G9491">
        <v>1877777</v>
      </c>
      <c r="H9491">
        <v>500221</v>
      </c>
      <c r="I9491" t="s">
        <v>949</v>
      </c>
    </row>
    <row r="9492" spans="1:9" x14ac:dyDescent="0.25">
      <c r="A9492">
        <v>4141</v>
      </c>
      <c r="B9492">
        <v>18</v>
      </c>
      <c r="C9492" t="s">
        <v>946</v>
      </c>
      <c r="D9492" t="s">
        <v>1031</v>
      </c>
      <c r="E9492" t="s">
        <v>117</v>
      </c>
      <c r="F9492" t="s">
        <v>948</v>
      </c>
      <c r="G9492">
        <v>1877777</v>
      </c>
      <c r="H9492">
        <v>500220</v>
      </c>
      <c r="I9492" t="s">
        <v>949</v>
      </c>
    </row>
    <row r="9493" spans="1:9" x14ac:dyDescent="0.25">
      <c r="A9493">
        <v>4220</v>
      </c>
      <c r="B9493">
        <v>18</v>
      </c>
      <c r="C9493" t="s">
        <v>946</v>
      </c>
      <c r="D9493" t="s">
        <v>1031</v>
      </c>
      <c r="E9493" t="s">
        <v>117</v>
      </c>
      <c r="F9493" t="s">
        <v>948</v>
      </c>
      <c r="G9493">
        <v>1877777</v>
      </c>
      <c r="H9493">
        <v>500220</v>
      </c>
      <c r="I9493" t="s">
        <v>949</v>
      </c>
    </row>
    <row r="9494" spans="1:9" x14ac:dyDescent="0.25">
      <c r="A9494">
        <v>4230</v>
      </c>
      <c r="B9494">
        <v>18</v>
      </c>
      <c r="C9494" t="s">
        <v>946</v>
      </c>
      <c r="D9494" t="s">
        <v>1031</v>
      </c>
      <c r="E9494" t="s">
        <v>117</v>
      </c>
      <c r="F9494" t="s">
        <v>948</v>
      </c>
      <c r="G9494">
        <v>1888888</v>
      </c>
      <c r="H9494">
        <v>810600</v>
      </c>
      <c r="I9494" t="s">
        <v>949</v>
      </c>
    </row>
    <row r="9495" spans="1:9" x14ac:dyDescent="0.25">
      <c r="A9495">
        <v>4240</v>
      </c>
      <c r="B9495">
        <v>18</v>
      </c>
      <c r="C9495" t="s">
        <v>946</v>
      </c>
      <c r="D9495" t="s">
        <v>1031</v>
      </c>
      <c r="E9495" t="s">
        <v>117</v>
      </c>
      <c r="F9495" t="s">
        <v>948</v>
      </c>
      <c r="G9495">
        <v>1877777</v>
      </c>
      <c r="H9495">
        <v>500221</v>
      </c>
      <c r="I9495" t="s">
        <v>949</v>
      </c>
    </row>
    <row r="9496" spans="1:9" x14ac:dyDescent="0.25">
      <c r="A9496">
        <v>4141</v>
      </c>
      <c r="B9496">
        <v>18</v>
      </c>
      <c r="C9496" t="s">
        <v>946</v>
      </c>
      <c r="D9496" t="s">
        <v>1031</v>
      </c>
      <c r="E9496" t="s">
        <v>121</v>
      </c>
      <c r="F9496" t="s">
        <v>948</v>
      </c>
      <c r="G9496">
        <v>1877777</v>
      </c>
      <c r="H9496">
        <v>500220</v>
      </c>
      <c r="I9496" t="s">
        <v>949</v>
      </c>
    </row>
    <row r="9497" spans="1:9" x14ac:dyDescent="0.25">
      <c r="A9497">
        <v>4220</v>
      </c>
      <c r="B9497">
        <v>18</v>
      </c>
      <c r="C9497" t="s">
        <v>946</v>
      </c>
      <c r="D9497" t="s">
        <v>1031</v>
      </c>
      <c r="E9497" t="s">
        <v>121</v>
      </c>
      <c r="F9497" t="s">
        <v>948</v>
      </c>
      <c r="G9497">
        <v>1877777</v>
      </c>
      <c r="H9497">
        <v>500220</v>
      </c>
      <c r="I9497" t="s">
        <v>949</v>
      </c>
    </row>
    <row r="9498" spans="1:9" x14ac:dyDescent="0.25">
      <c r="A9498">
        <v>4230</v>
      </c>
      <c r="B9498">
        <v>18</v>
      </c>
      <c r="C9498" t="s">
        <v>946</v>
      </c>
      <c r="D9498" t="s">
        <v>1031</v>
      </c>
      <c r="E9498" t="s">
        <v>121</v>
      </c>
      <c r="F9498" t="s">
        <v>948</v>
      </c>
      <c r="G9498">
        <v>1899999</v>
      </c>
      <c r="H9498">
        <v>401042</v>
      </c>
      <c r="I9498" t="s">
        <v>949</v>
      </c>
    </row>
    <row r="9499" spans="1:9" x14ac:dyDescent="0.25">
      <c r="A9499">
        <v>4240</v>
      </c>
      <c r="B9499">
        <v>18</v>
      </c>
      <c r="C9499" t="s">
        <v>946</v>
      </c>
      <c r="D9499" t="s">
        <v>1031</v>
      </c>
      <c r="E9499" t="s">
        <v>121</v>
      </c>
      <c r="F9499" t="s">
        <v>948</v>
      </c>
      <c r="G9499">
        <v>1877777</v>
      </c>
      <c r="H9499">
        <v>500221</v>
      </c>
      <c r="I9499" t="s">
        <v>949</v>
      </c>
    </row>
    <row r="9500" spans="1:9" x14ac:dyDescent="0.25">
      <c r="A9500">
        <v>4141</v>
      </c>
      <c r="B9500">
        <v>18</v>
      </c>
      <c r="C9500" t="s">
        <v>946</v>
      </c>
      <c r="D9500" t="s">
        <v>1031</v>
      </c>
      <c r="E9500" t="s">
        <v>984</v>
      </c>
      <c r="F9500" t="s">
        <v>948</v>
      </c>
      <c r="G9500">
        <v>1877777</v>
      </c>
      <c r="H9500">
        <v>501010</v>
      </c>
      <c r="I9500" t="s">
        <v>949</v>
      </c>
    </row>
    <row r="9501" spans="1:9" x14ac:dyDescent="0.25">
      <c r="A9501">
        <v>4220</v>
      </c>
      <c r="B9501">
        <v>18</v>
      </c>
      <c r="C9501" t="s">
        <v>946</v>
      </c>
      <c r="D9501" t="s">
        <v>1031</v>
      </c>
      <c r="E9501" t="s">
        <v>984</v>
      </c>
      <c r="F9501" t="s">
        <v>948</v>
      </c>
      <c r="G9501">
        <v>1877777</v>
      </c>
      <c r="H9501">
        <v>501010</v>
      </c>
      <c r="I9501" t="s">
        <v>949</v>
      </c>
    </row>
    <row r="9502" spans="1:9" x14ac:dyDescent="0.25">
      <c r="A9502">
        <v>4230</v>
      </c>
      <c r="B9502">
        <v>18</v>
      </c>
      <c r="C9502" t="s">
        <v>946</v>
      </c>
      <c r="D9502" t="s">
        <v>1031</v>
      </c>
      <c r="E9502" t="s">
        <v>984</v>
      </c>
      <c r="F9502" t="s">
        <v>948</v>
      </c>
      <c r="G9502">
        <v>1899999</v>
      </c>
      <c r="H9502">
        <v>401912</v>
      </c>
      <c r="I9502" t="s">
        <v>949</v>
      </c>
    </row>
    <row r="9503" spans="1:9" x14ac:dyDescent="0.25">
      <c r="A9503">
        <v>4240</v>
      </c>
      <c r="B9503">
        <v>18</v>
      </c>
      <c r="C9503" t="s">
        <v>946</v>
      </c>
      <c r="D9503" t="s">
        <v>1031</v>
      </c>
      <c r="E9503" t="s">
        <v>984</v>
      </c>
      <c r="F9503" t="s">
        <v>948</v>
      </c>
      <c r="G9503">
        <v>1800000</v>
      </c>
      <c r="H9503">
        <v>141000</v>
      </c>
      <c r="I9503" t="s">
        <v>985</v>
      </c>
    </row>
    <row r="9504" spans="1:9" x14ac:dyDescent="0.25">
      <c r="A9504">
        <v>4141</v>
      </c>
      <c r="B9504">
        <v>18</v>
      </c>
      <c r="C9504" t="s">
        <v>946</v>
      </c>
      <c r="D9504" t="s">
        <v>94</v>
      </c>
      <c r="E9504" t="s">
        <v>243</v>
      </c>
      <c r="F9504" t="s">
        <v>948</v>
      </c>
      <c r="G9504">
        <v>1877777</v>
      </c>
      <c r="H9504">
        <v>501010</v>
      </c>
      <c r="I9504" t="s">
        <v>949</v>
      </c>
    </row>
    <row r="9505" spans="1:9" x14ac:dyDescent="0.25">
      <c r="A9505">
        <v>4220</v>
      </c>
      <c r="B9505">
        <v>18</v>
      </c>
      <c r="C9505" t="s">
        <v>946</v>
      </c>
      <c r="D9505" t="s">
        <v>94</v>
      </c>
      <c r="E9505" t="s">
        <v>243</v>
      </c>
      <c r="F9505" t="s">
        <v>948</v>
      </c>
      <c r="G9505">
        <v>1877777</v>
      </c>
      <c r="H9505">
        <v>501010</v>
      </c>
      <c r="I9505" t="s">
        <v>949</v>
      </c>
    </row>
    <row r="9506" spans="1:9" x14ac:dyDescent="0.25">
      <c r="A9506">
        <v>4230</v>
      </c>
      <c r="B9506">
        <v>18</v>
      </c>
      <c r="C9506" t="s">
        <v>946</v>
      </c>
      <c r="D9506" t="s">
        <v>94</v>
      </c>
      <c r="E9506" t="s">
        <v>243</v>
      </c>
      <c r="F9506" t="s">
        <v>948</v>
      </c>
      <c r="G9506">
        <v>1899999</v>
      </c>
      <c r="H9506">
        <v>401052</v>
      </c>
      <c r="I9506" t="s">
        <v>949</v>
      </c>
    </row>
    <row r="9507" spans="1:9" x14ac:dyDescent="0.25">
      <c r="A9507">
        <v>4240</v>
      </c>
      <c r="B9507">
        <v>18</v>
      </c>
      <c r="C9507" t="s">
        <v>946</v>
      </c>
      <c r="D9507" t="s">
        <v>94</v>
      </c>
      <c r="E9507" t="s">
        <v>243</v>
      </c>
      <c r="F9507" t="s">
        <v>948</v>
      </c>
      <c r="G9507">
        <v>1800000</v>
      </c>
      <c r="H9507">
        <v>145000</v>
      </c>
      <c r="I9507" t="s">
        <v>949</v>
      </c>
    </row>
    <row r="9508" spans="1:9" x14ac:dyDescent="0.25">
      <c r="A9508">
        <v>4141</v>
      </c>
      <c r="B9508">
        <v>18</v>
      </c>
      <c r="C9508" t="s">
        <v>946</v>
      </c>
      <c r="D9508" t="s">
        <v>94</v>
      </c>
      <c r="E9508" t="s">
        <v>247</v>
      </c>
      <c r="F9508" t="s">
        <v>948</v>
      </c>
      <c r="G9508">
        <v>1877777</v>
      </c>
      <c r="H9508">
        <v>501010</v>
      </c>
      <c r="I9508" t="s">
        <v>949</v>
      </c>
    </row>
    <row r="9509" spans="1:9" x14ac:dyDescent="0.25">
      <c r="A9509">
        <v>4220</v>
      </c>
      <c r="B9509">
        <v>18</v>
      </c>
      <c r="C9509" t="s">
        <v>946</v>
      </c>
      <c r="D9509" t="s">
        <v>94</v>
      </c>
      <c r="E9509" t="s">
        <v>247</v>
      </c>
      <c r="F9509" t="s">
        <v>948</v>
      </c>
      <c r="G9509">
        <v>1877777</v>
      </c>
      <c r="H9509">
        <v>501010</v>
      </c>
      <c r="I9509" t="s">
        <v>949</v>
      </c>
    </row>
    <row r="9510" spans="1:9" x14ac:dyDescent="0.25">
      <c r="A9510">
        <v>4230</v>
      </c>
      <c r="B9510">
        <v>18</v>
      </c>
      <c r="C9510" t="s">
        <v>946</v>
      </c>
      <c r="D9510" t="s">
        <v>94</v>
      </c>
      <c r="E9510" t="s">
        <v>247</v>
      </c>
      <c r="F9510" t="s">
        <v>948</v>
      </c>
      <c r="G9510">
        <v>1899999</v>
      </c>
      <c r="H9510">
        <v>401022</v>
      </c>
      <c r="I9510" t="s">
        <v>949</v>
      </c>
    </row>
    <row r="9511" spans="1:9" x14ac:dyDescent="0.25">
      <c r="A9511">
        <v>4240</v>
      </c>
      <c r="B9511">
        <v>18</v>
      </c>
      <c r="C9511" t="s">
        <v>946</v>
      </c>
      <c r="D9511" t="s">
        <v>94</v>
      </c>
      <c r="E9511" t="s">
        <v>247</v>
      </c>
      <c r="F9511" t="s">
        <v>948</v>
      </c>
      <c r="G9511">
        <v>1800000</v>
      </c>
      <c r="H9511">
        <v>145000</v>
      </c>
      <c r="I9511" t="s">
        <v>949</v>
      </c>
    </row>
    <row r="9512" spans="1:9" x14ac:dyDescent="0.25">
      <c r="A9512">
        <v>4141</v>
      </c>
      <c r="B9512">
        <v>18</v>
      </c>
      <c r="C9512" t="s">
        <v>946</v>
      </c>
      <c r="D9512" t="s">
        <v>94</v>
      </c>
      <c r="E9512" t="s">
        <v>251</v>
      </c>
      <c r="F9512" t="s">
        <v>948</v>
      </c>
      <c r="G9512">
        <v>1877777</v>
      </c>
      <c r="H9512">
        <v>501010</v>
      </c>
      <c r="I9512" t="s">
        <v>949</v>
      </c>
    </row>
    <row r="9513" spans="1:9" x14ac:dyDescent="0.25">
      <c r="A9513">
        <v>4220</v>
      </c>
      <c r="B9513">
        <v>18</v>
      </c>
      <c r="C9513" t="s">
        <v>946</v>
      </c>
      <c r="D9513" t="s">
        <v>94</v>
      </c>
      <c r="E9513" t="s">
        <v>251</v>
      </c>
      <c r="F9513" t="s">
        <v>948</v>
      </c>
      <c r="G9513">
        <v>1877777</v>
      </c>
      <c r="H9513">
        <v>501010</v>
      </c>
      <c r="I9513" t="s">
        <v>949</v>
      </c>
    </row>
    <row r="9514" spans="1:9" x14ac:dyDescent="0.25">
      <c r="A9514">
        <v>4230</v>
      </c>
      <c r="B9514">
        <v>18</v>
      </c>
      <c r="C9514" t="s">
        <v>946</v>
      </c>
      <c r="D9514" t="s">
        <v>94</v>
      </c>
      <c r="E9514" t="s">
        <v>251</v>
      </c>
      <c r="F9514" t="s">
        <v>948</v>
      </c>
      <c r="G9514">
        <v>1899999</v>
      </c>
      <c r="H9514">
        <v>401042</v>
      </c>
      <c r="I9514" t="s">
        <v>949</v>
      </c>
    </row>
    <row r="9515" spans="1:9" x14ac:dyDescent="0.25">
      <c r="A9515">
        <v>4240</v>
      </c>
      <c r="B9515">
        <v>18</v>
      </c>
      <c r="C9515" t="s">
        <v>946</v>
      </c>
      <c r="D9515" t="s">
        <v>94</v>
      </c>
      <c r="E9515" t="s">
        <v>251</v>
      </c>
      <c r="F9515" t="s">
        <v>948</v>
      </c>
      <c r="G9515">
        <v>1800000</v>
      </c>
      <c r="H9515">
        <v>142000</v>
      </c>
      <c r="I9515" t="s">
        <v>949</v>
      </c>
    </row>
    <row r="9516" spans="1:9" x14ac:dyDescent="0.25">
      <c r="A9516">
        <v>4141</v>
      </c>
      <c r="B9516">
        <v>18</v>
      </c>
      <c r="C9516" t="s">
        <v>946</v>
      </c>
      <c r="D9516" t="s">
        <v>94</v>
      </c>
      <c r="E9516" t="s">
        <v>969</v>
      </c>
      <c r="F9516" t="s">
        <v>948</v>
      </c>
      <c r="G9516">
        <v>1877777</v>
      </c>
      <c r="H9516">
        <v>501010</v>
      </c>
      <c r="I9516" t="s">
        <v>949</v>
      </c>
    </row>
    <row r="9517" spans="1:9" x14ac:dyDescent="0.25">
      <c r="A9517">
        <v>4220</v>
      </c>
      <c r="B9517">
        <v>18</v>
      </c>
      <c r="C9517" t="s">
        <v>946</v>
      </c>
      <c r="D9517" t="s">
        <v>94</v>
      </c>
      <c r="E9517" t="s">
        <v>969</v>
      </c>
      <c r="F9517" t="s">
        <v>948</v>
      </c>
      <c r="G9517">
        <v>1877777</v>
      </c>
      <c r="H9517">
        <v>501010</v>
      </c>
      <c r="I9517" t="s">
        <v>949</v>
      </c>
    </row>
    <row r="9518" spans="1:9" x14ac:dyDescent="0.25">
      <c r="A9518">
        <v>4230</v>
      </c>
      <c r="B9518">
        <v>18</v>
      </c>
      <c r="C9518" t="s">
        <v>946</v>
      </c>
      <c r="D9518" t="s">
        <v>94</v>
      </c>
      <c r="E9518" t="s">
        <v>969</v>
      </c>
      <c r="F9518" t="s">
        <v>948</v>
      </c>
      <c r="G9518">
        <v>1899999</v>
      </c>
      <c r="H9518">
        <v>401912</v>
      </c>
      <c r="I9518" t="s">
        <v>949</v>
      </c>
    </row>
    <row r="9519" spans="1:9" x14ac:dyDescent="0.25">
      <c r="A9519">
        <v>4240</v>
      </c>
      <c r="B9519">
        <v>18</v>
      </c>
      <c r="C9519" t="s">
        <v>946</v>
      </c>
      <c r="D9519" t="s">
        <v>94</v>
      </c>
      <c r="E9519" t="s">
        <v>969</v>
      </c>
      <c r="F9519" t="s">
        <v>948</v>
      </c>
      <c r="G9519">
        <v>1800000</v>
      </c>
      <c r="H9519">
        <v>141000</v>
      </c>
      <c r="I9519" t="s">
        <v>970</v>
      </c>
    </row>
    <row r="9520" spans="1:9" x14ac:dyDescent="0.25">
      <c r="A9520">
        <v>4141</v>
      </c>
      <c r="B9520">
        <v>18</v>
      </c>
      <c r="C9520" t="s">
        <v>946</v>
      </c>
      <c r="D9520" t="s">
        <v>94</v>
      </c>
      <c r="E9520" t="s">
        <v>255</v>
      </c>
      <c r="F9520" t="s">
        <v>948</v>
      </c>
      <c r="G9520">
        <v>1877777</v>
      </c>
      <c r="H9520">
        <v>501010</v>
      </c>
      <c r="I9520" t="s">
        <v>949</v>
      </c>
    </row>
    <row r="9521" spans="1:9" x14ac:dyDescent="0.25">
      <c r="A9521">
        <v>4220</v>
      </c>
      <c r="B9521">
        <v>18</v>
      </c>
      <c r="C9521" t="s">
        <v>946</v>
      </c>
      <c r="D9521" t="s">
        <v>94</v>
      </c>
      <c r="E9521" t="s">
        <v>255</v>
      </c>
      <c r="F9521" t="s">
        <v>948</v>
      </c>
      <c r="G9521">
        <v>1877777</v>
      </c>
      <c r="H9521">
        <v>501010</v>
      </c>
      <c r="I9521" t="s">
        <v>949</v>
      </c>
    </row>
    <row r="9522" spans="1:9" x14ac:dyDescent="0.25">
      <c r="A9522">
        <v>4230</v>
      </c>
      <c r="B9522">
        <v>18</v>
      </c>
      <c r="C9522" t="s">
        <v>946</v>
      </c>
      <c r="D9522" t="s">
        <v>94</v>
      </c>
      <c r="E9522" t="s">
        <v>255</v>
      </c>
      <c r="F9522" t="s">
        <v>948</v>
      </c>
      <c r="G9522">
        <v>1899999</v>
      </c>
      <c r="H9522">
        <v>401072</v>
      </c>
      <c r="I9522" t="s">
        <v>949</v>
      </c>
    </row>
    <row r="9523" spans="1:9" x14ac:dyDescent="0.25">
      <c r="A9523">
        <v>4240</v>
      </c>
      <c r="B9523">
        <v>18</v>
      </c>
      <c r="C9523" t="s">
        <v>946</v>
      </c>
      <c r="D9523" t="s">
        <v>94</v>
      </c>
      <c r="E9523" t="s">
        <v>255</v>
      </c>
      <c r="F9523" t="s">
        <v>948</v>
      </c>
      <c r="G9523">
        <v>1800000</v>
      </c>
      <c r="H9523">
        <v>145000</v>
      </c>
      <c r="I9523" t="s">
        <v>949</v>
      </c>
    </row>
    <row r="9524" spans="1:9" x14ac:dyDescent="0.25">
      <c r="A9524">
        <v>4141</v>
      </c>
      <c r="B9524">
        <v>18</v>
      </c>
      <c r="C9524" t="s">
        <v>946</v>
      </c>
      <c r="D9524" t="s">
        <v>94</v>
      </c>
      <c r="E9524" t="s">
        <v>971</v>
      </c>
      <c r="F9524" t="s">
        <v>948</v>
      </c>
      <c r="G9524">
        <v>1877777</v>
      </c>
      <c r="H9524">
        <v>501010</v>
      </c>
      <c r="I9524" t="s">
        <v>949</v>
      </c>
    </row>
    <row r="9525" spans="1:9" x14ac:dyDescent="0.25">
      <c r="A9525">
        <v>4220</v>
      </c>
      <c r="B9525">
        <v>18</v>
      </c>
      <c r="C9525" t="s">
        <v>946</v>
      </c>
      <c r="D9525" t="s">
        <v>94</v>
      </c>
      <c r="E9525" t="s">
        <v>971</v>
      </c>
      <c r="F9525" t="s">
        <v>948</v>
      </c>
      <c r="G9525">
        <v>1877777</v>
      </c>
      <c r="H9525">
        <v>501010</v>
      </c>
      <c r="I9525" t="s">
        <v>949</v>
      </c>
    </row>
    <row r="9526" spans="1:9" x14ac:dyDescent="0.25">
      <c r="A9526">
        <v>4230</v>
      </c>
      <c r="B9526">
        <v>18</v>
      </c>
      <c r="C9526" t="s">
        <v>946</v>
      </c>
      <c r="D9526" t="s">
        <v>94</v>
      </c>
      <c r="E9526" t="s">
        <v>971</v>
      </c>
      <c r="F9526" t="s">
        <v>948</v>
      </c>
      <c r="G9526">
        <v>1899999</v>
      </c>
      <c r="H9526">
        <v>401912</v>
      </c>
      <c r="I9526" t="s">
        <v>949</v>
      </c>
    </row>
    <row r="9527" spans="1:9" x14ac:dyDescent="0.25">
      <c r="A9527">
        <v>4240</v>
      </c>
      <c r="B9527">
        <v>18</v>
      </c>
      <c r="C9527" t="s">
        <v>946</v>
      </c>
      <c r="D9527" t="s">
        <v>94</v>
      </c>
      <c r="E9527" t="s">
        <v>971</v>
      </c>
      <c r="F9527" t="s">
        <v>948</v>
      </c>
      <c r="G9527">
        <v>1800000</v>
      </c>
      <c r="H9527">
        <v>141000</v>
      </c>
      <c r="I9527" t="s">
        <v>972</v>
      </c>
    </row>
    <row r="9528" spans="1:9" x14ac:dyDescent="0.25">
      <c r="A9528">
        <v>4230</v>
      </c>
      <c r="B9528">
        <v>18</v>
      </c>
      <c r="C9528" t="s">
        <v>946</v>
      </c>
      <c r="D9528" t="s">
        <v>94</v>
      </c>
      <c r="E9528" t="s">
        <v>259</v>
      </c>
      <c r="F9528" t="s">
        <v>948</v>
      </c>
      <c r="G9528">
        <v>1899999</v>
      </c>
      <c r="H9528">
        <v>409002</v>
      </c>
      <c r="I9528" t="s">
        <v>949</v>
      </c>
    </row>
    <row r="9529" ht="22" customHeight="1" spans="1:10" x14ac:dyDescent="0.25">
      <c r="A9529" s="41">
        <v>4240</v>
      </c>
      <c r="B9529" s="41">
        <v>18</v>
      </c>
      <c r="C9529" s="41" t="s">
        <v>946</v>
      </c>
      <c r="D9529" s="41" t="s">
        <v>94</v>
      </c>
      <c r="E9529" s="41" t="s">
        <v>259</v>
      </c>
      <c r="F9529" s="41" t="s">
        <v>948</v>
      </c>
      <c r="G9529" s="41">
        <v>1877777</v>
      </c>
      <c r="H9529" s="41">
        <v>500221</v>
      </c>
      <c r="I9529" s="41" t="s">
        <v>949</v>
      </c>
      <c r="J9529" s="42" t="s">
        <v>1032</v>
      </c>
    </row>
    <row r="9530" spans="1:9" x14ac:dyDescent="0.25">
      <c r="A9530">
        <v>4141</v>
      </c>
      <c r="B9530">
        <v>18</v>
      </c>
      <c r="C9530" t="s">
        <v>946</v>
      </c>
      <c r="D9530" t="s">
        <v>94</v>
      </c>
      <c r="E9530" t="s">
        <v>263</v>
      </c>
      <c r="F9530" t="s">
        <v>948</v>
      </c>
      <c r="G9530">
        <v>1877777</v>
      </c>
      <c r="H9530">
        <v>501010</v>
      </c>
      <c r="I9530" t="s">
        <v>949</v>
      </c>
    </row>
    <row r="9531" spans="1:9" x14ac:dyDescent="0.25">
      <c r="A9531">
        <v>4220</v>
      </c>
      <c r="B9531">
        <v>18</v>
      </c>
      <c r="C9531" t="s">
        <v>946</v>
      </c>
      <c r="D9531" t="s">
        <v>94</v>
      </c>
      <c r="E9531" t="s">
        <v>263</v>
      </c>
      <c r="F9531" t="s">
        <v>948</v>
      </c>
      <c r="G9531">
        <v>1877777</v>
      </c>
      <c r="H9531">
        <v>501010</v>
      </c>
      <c r="I9531" t="s">
        <v>949</v>
      </c>
    </row>
    <row r="9532" spans="1:9" x14ac:dyDescent="0.25">
      <c r="A9532">
        <v>4230</v>
      </c>
      <c r="B9532">
        <v>18</v>
      </c>
      <c r="C9532" t="s">
        <v>946</v>
      </c>
      <c r="D9532" t="s">
        <v>94</v>
      </c>
      <c r="E9532" t="s">
        <v>263</v>
      </c>
      <c r="F9532" t="s">
        <v>948</v>
      </c>
      <c r="G9532">
        <v>1899999</v>
      </c>
      <c r="H9532">
        <v>401042</v>
      </c>
      <c r="I9532" t="s">
        <v>949</v>
      </c>
    </row>
    <row r="9533" spans="1:9" x14ac:dyDescent="0.25">
      <c r="A9533">
        <v>4240</v>
      </c>
      <c r="B9533">
        <v>18</v>
      </c>
      <c r="C9533" t="s">
        <v>946</v>
      </c>
      <c r="D9533" t="s">
        <v>94</v>
      </c>
      <c r="E9533" t="s">
        <v>263</v>
      </c>
      <c r="F9533" t="s">
        <v>948</v>
      </c>
      <c r="G9533">
        <v>1800000</v>
      </c>
      <c r="H9533">
        <v>145000</v>
      </c>
      <c r="I9533" t="s">
        <v>949</v>
      </c>
    </row>
    <row r="9534" spans="1:9" x14ac:dyDescent="0.25">
      <c r="A9534">
        <v>4141</v>
      </c>
      <c r="B9534">
        <v>18</v>
      </c>
      <c r="C9534" t="s">
        <v>946</v>
      </c>
      <c r="D9534" t="s">
        <v>94</v>
      </c>
      <c r="E9534" t="s">
        <v>100</v>
      </c>
      <c r="F9534" t="s">
        <v>948</v>
      </c>
      <c r="G9534">
        <v>1877777</v>
      </c>
      <c r="H9534">
        <v>500220</v>
      </c>
      <c r="I9534" t="s">
        <v>949</v>
      </c>
    </row>
    <row r="9535" spans="1:9" x14ac:dyDescent="0.25">
      <c r="A9535">
        <v>4220</v>
      </c>
      <c r="B9535">
        <v>18</v>
      </c>
      <c r="C9535" t="s">
        <v>946</v>
      </c>
      <c r="D9535" t="s">
        <v>94</v>
      </c>
      <c r="E9535" t="s">
        <v>100</v>
      </c>
      <c r="F9535" t="s">
        <v>948</v>
      </c>
      <c r="G9535">
        <v>1877777</v>
      </c>
      <c r="H9535">
        <v>500220</v>
      </c>
      <c r="I9535" t="s">
        <v>949</v>
      </c>
    </row>
    <row r="9536" spans="1:9" x14ac:dyDescent="0.25">
      <c r="A9536">
        <v>4230</v>
      </c>
      <c r="B9536">
        <v>18</v>
      </c>
      <c r="C9536" t="s">
        <v>946</v>
      </c>
      <c r="D9536" t="s">
        <v>94</v>
      </c>
      <c r="E9536" t="s">
        <v>100</v>
      </c>
      <c r="F9536" t="s">
        <v>948</v>
      </c>
      <c r="G9536">
        <v>1899999</v>
      </c>
      <c r="H9536">
        <v>401042</v>
      </c>
      <c r="I9536" t="s">
        <v>949</v>
      </c>
    </row>
    <row r="9537" spans="1:9" x14ac:dyDescent="0.25">
      <c r="A9537">
        <v>4240</v>
      </c>
      <c r="B9537">
        <v>18</v>
      </c>
      <c r="C9537" t="s">
        <v>946</v>
      </c>
      <c r="D9537" t="s">
        <v>94</v>
      </c>
      <c r="E9537" t="s">
        <v>100</v>
      </c>
      <c r="F9537" t="s">
        <v>948</v>
      </c>
      <c r="G9537">
        <v>1877777</v>
      </c>
      <c r="H9537">
        <v>500221</v>
      </c>
      <c r="I9537" t="s">
        <v>949</v>
      </c>
    </row>
    <row r="9538" spans="1:9" x14ac:dyDescent="0.25">
      <c r="A9538">
        <v>4141</v>
      </c>
      <c r="B9538">
        <v>18</v>
      </c>
      <c r="C9538" t="s">
        <v>946</v>
      </c>
      <c r="D9538" t="s">
        <v>94</v>
      </c>
      <c r="E9538" t="s">
        <v>270</v>
      </c>
      <c r="F9538" t="s">
        <v>948</v>
      </c>
      <c r="G9538">
        <v>1877777</v>
      </c>
      <c r="H9538">
        <v>501010</v>
      </c>
      <c r="I9538" t="s">
        <v>949</v>
      </c>
    </row>
    <row r="9539" spans="1:9" x14ac:dyDescent="0.25">
      <c r="A9539">
        <v>4220</v>
      </c>
      <c r="B9539">
        <v>18</v>
      </c>
      <c r="C9539" t="s">
        <v>946</v>
      </c>
      <c r="D9539" t="s">
        <v>94</v>
      </c>
      <c r="E9539" t="s">
        <v>270</v>
      </c>
      <c r="F9539" t="s">
        <v>948</v>
      </c>
      <c r="G9539">
        <v>1877777</v>
      </c>
      <c r="H9539">
        <v>501010</v>
      </c>
      <c r="I9539" t="s">
        <v>949</v>
      </c>
    </row>
    <row r="9540" spans="1:9" x14ac:dyDescent="0.25">
      <c r="A9540">
        <v>4230</v>
      </c>
      <c r="B9540">
        <v>18</v>
      </c>
      <c r="C9540" t="s">
        <v>946</v>
      </c>
      <c r="D9540" t="s">
        <v>94</v>
      </c>
      <c r="E9540" t="s">
        <v>270</v>
      </c>
      <c r="F9540" t="s">
        <v>948</v>
      </c>
      <c r="G9540">
        <v>1899999</v>
      </c>
      <c r="H9540">
        <v>401062</v>
      </c>
      <c r="I9540" t="s">
        <v>949</v>
      </c>
    </row>
    <row r="9541" spans="1:9" x14ac:dyDescent="0.25">
      <c r="A9541">
        <v>4240</v>
      </c>
      <c r="B9541">
        <v>18</v>
      </c>
      <c r="C9541" t="s">
        <v>946</v>
      </c>
      <c r="D9541" t="s">
        <v>94</v>
      </c>
      <c r="E9541" t="s">
        <v>270</v>
      </c>
      <c r="F9541" t="s">
        <v>948</v>
      </c>
      <c r="G9541">
        <v>1800000</v>
      </c>
      <c r="H9541">
        <v>145000</v>
      </c>
      <c r="I9541" t="s">
        <v>949</v>
      </c>
    </row>
    <row r="9542" spans="1:9" x14ac:dyDescent="0.25">
      <c r="A9542">
        <v>4141</v>
      </c>
      <c r="B9542">
        <v>18</v>
      </c>
      <c r="C9542" t="s">
        <v>946</v>
      </c>
      <c r="D9542" t="s">
        <v>94</v>
      </c>
      <c r="E9542" t="s">
        <v>274</v>
      </c>
      <c r="F9542" t="s">
        <v>948</v>
      </c>
      <c r="G9542">
        <v>1877777</v>
      </c>
      <c r="H9542">
        <v>501010</v>
      </c>
      <c r="I9542" t="s">
        <v>949</v>
      </c>
    </row>
    <row r="9543" spans="1:9" x14ac:dyDescent="0.25">
      <c r="A9543">
        <v>4220</v>
      </c>
      <c r="B9543">
        <v>18</v>
      </c>
      <c r="C9543" t="s">
        <v>946</v>
      </c>
      <c r="D9543" t="s">
        <v>94</v>
      </c>
      <c r="E9543" t="s">
        <v>274</v>
      </c>
      <c r="F9543" t="s">
        <v>948</v>
      </c>
      <c r="G9543">
        <v>1877777</v>
      </c>
      <c r="H9543">
        <v>501010</v>
      </c>
      <c r="I9543" t="s">
        <v>949</v>
      </c>
    </row>
    <row r="9544" spans="1:9" x14ac:dyDescent="0.25">
      <c r="A9544">
        <v>4230</v>
      </c>
      <c r="B9544">
        <v>18</v>
      </c>
      <c r="C9544" t="s">
        <v>946</v>
      </c>
      <c r="D9544" t="s">
        <v>94</v>
      </c>
      <c r="E9544" t="s">
        <v>274</v>
      </c>
      <c r="F9544" t="s">
        <v>948</v>
      </c>
      <c r="G9544">
        <v>1899999</v>
      </c>
      <c r="H9544">
        <v>401042</v>
      </c>
      <c r="I9544" t="s">
        <v>949</v>
      </c>
    </row>
    <row r="9545" spans="1:9" x14ac:dyDescent="0.25">
      <c r="A9545">
        <v>4240</v>
      </c>
      <c r="B9545">
        <v>18</v>
      </c>
      <c r="C9545" t="s">
        <v>946</v>
      </c>
      <c r="D9545" t="s">
        <v>94</v>
      </c>
      <c r="E9545" t="s">
        <v>274</v>
      </c>
      <c r="F9545" t="s">
        <v>948</v>
      </c>
      <c r="G9545">
        <v>1800000</v>
      </c>
      <c r="H9545">
        <v>143000</v>
      </c>
      <c r="I9545" t="s">
        <v>973</v>
      </c>
    </row>
    <row r="9546" spans="1:9" x14ac:dyDescent="0.25">
      <c r="A9546">
        <v>4141</v>
      </c>
      <c r="B9546">
        <v>18</v>
      </c>
      <c r="C9546" t="s">
        <v>946</v>
      </c>
      <c r="D9546" t="s">
        <v>94</v>
      </c>
      <c r="E9546" t="s">
        <v>974</v>
      </c>
      <c r="F9546" t="s">
        <v>948</v>
      </c>
      <c r="G9546">
        <v>1877777</v>
      </c>
      <c r="H9546">
        <v>501010</v>
      </c>
      <c r="I9546" t="s">
        <v>949</v>
      </c>
    </row>
    <row r="9547" spans="1:9" x14ac:dyDescent="0.25">
      <c r="A9547">
        <v>4220</v>
      </c>
      <c r="B9547">
        <v>18</v>
      </c>
      <c r="C9547" t="s">
        <v>946</v>
      </c>
      <c r="D9547" t="s">
        <v>94</v>
      </c>
      <c r="E9547" t="s">
        <v>974</v>
      </c>
      <c r="F9547" t="s">
        <v>948</v>
      </c>
      <c r="G9547">
        <v>1877777</v>
      </c>
      <c r="H9547">
        <v>501010</v>
      </c>
      <c r="I9547" t="s">
        <v>949</v>
      </c>
    </row>
    <row r="9548" spans="1:9" x14ac:dyDescent="0.25">
      <c r="A9548">
        <v>4230</v>
      </c>
      <c r="B9548">
        <v>18</v>
      </c>
      <c r="C9548" t="s">
        <v>946</v>
      </c>
      <c r="D9548" t="s">
        <v>94</v>
      </c>
      <c r="E9548" t="s">
        <v>974</v>
      </c>
      <c r="F9548" t="s">
        <v>948</v>
      </c>
      <c r="G9548">
        <v>1899999</v>
      </c>
      <c r="H9548">
        <v>401912</v>
      </c>
      <c r="I9548" t="s">
        <v>949</v>
      </c>
    </row>
    <row r="9549" spans="1:9" x14ac:dyDescent="0.25">
      <c r="A9549">
        <v>4240</v>
      </c>
      <c r="B9549">
        <v>18</v>
      </c>
      <c r="C9549" t="s">
        <v>946</v>
      </c>
      <c r="D9549" t="s">
        <v>94</v>
      </c>
      <c r="E9549" t="s">
        <v>974</v>
      </c>
      <c r="F9549" t="s">
        <v>948</v>
      </c>
      <c r="G9549">
        <v>1800000</v>
      </c>
      <c r="H9549">
        <v>141000</v>
      </c>
      <c r="I9549" t="s">
        <v>975</v>
      </c>
    </row>
    <row r="9550" spans="1:9" x14ac:dyDescent="0.25">
      <c r="A9550">
        <v>4141</v>
      </c>
      <c r="B9550">
        <v>18</v>
      </c>
      <c r="C9550" t="s">
        <v>946</v>
      </c>
      <c r="D9550" t="s">
        <v>94</v>
      </c>
      <c r="E9550" t="s">
        <v>104</v>
      </c>
      <c r="F9550" t="s">
        <v>948</v>
      </c>
      <c r="G9550">
        <v>1877777</v>
      </c>
      <c r="H9550">
        <v>500220</v>
      </c>
      <c r="I9550" t="s">
        <v>949</v>
      </c>
    </row>
    <row r="9551" spans="1:9" x14ac:dyDescent="0.25">
      <c r="A9551">
        <v>4220</v>
      </c>
      <c r="B9551">
        <v>18</v>
      </c>
      <c r="C9551" t="s">
        <v>946</v>
      </c>
      <c r="D9551" t="s">
        <v>94</v>
      </c>
      <c r="E9551" t="s">
        <v>104</v>
      </c>
      <c r="F9551" t="s">
        <v>948</v>
      </c>
      <c r="G9551">
        <v>1877777</v>
      </c>
      <c r="H9551">
        <v>500220</v>
      </c>
      <c r="I9551" t="s">
        <v>949</v>
      </c>
    </row>
    <row r="9552" spans="1:9" x14ac:dyDescent="0.25">
      <c r="A9552">
        <v>4230</v>
      </c>
      <c r="B9552">
        <v>18</v>
      </c>
      <c r="C9552" t="s">
        <v>946</v>
      </c>
      <c r="D9552" t="s">
        <v>94</v>
      </c>
      <c r="E9552" t="s">
        <v>104</v>
      </c>
      <c r="F9552" t="s">
        <v>948</v>
      </c>
      <c r="G9552">
        <v>1899999</v>
      </c>
      <c r="H9552">
        <v>401042</v>
      </c>
      <c r="I9552" t="s">
        <v>949</v>
      </c>
    </row>
    <row r="9553" spans="1:9" x14ac:dyDescent="0.25">
      <c r="A9553">
        <v>4240</v>
      </c>
      <c r="B9553">
        <v>18</v>
      </c>
      <c r="C9553" t="s">
        <v>946</v>
      </c>
      <c r="D9553" t="s">
        <v>94</v>
      </c>
      <c r="E9553" t="s">
        <v>104</v>
      </c>
      <c r="F9553" t="s">
        <v>948</v>
      </c>
      <c r="G9553">
        <v>1877777</v>
      </c>
      <c r="H9553">
        <v>500221</v>
      </c>
      <c r="I9553" t="s">
        <v>949</v>
      </c>
    </row>
    <row r="9554" spans="1:9" x14ac:dyDescent="0.25">
      <c r="A9554">
        <v>4141</v>
      </c>
      <c r="B9554">
        <v>18</v>
      </c>
      <c r="C9554" t="s">
        <v>946</v>
      </c>
      <c r="D9554" t="s">
        <v>94</v>
      </c>
      <c r="E9554" t="s">
        <v>278</v>
      </c>
      <c r="F9554" t="s">
        <v>948</v>
      </c>
      <c r="G9554">
        <v>1877777</v>
      </c>
      <c r="H9554">
        <v>501010</v>
      </c>
      <c r="I9554" t="s">
        <v>949</v>
      </c>
    </row>
    <row r="9555" spans="1:9" x14ac:dyDescent="0.25">
      <c r="A9555">
        <v>4220</v>
      </c>
      <c r="B9555">
        <v>18</v>
      </c>
      <c r="C9555" t="s">
        <v>946</v>
      </c>
      <c r="D9555" t="s">
        <v>94</v>
      </c>
      <c r="E9555" t="s">
        <v>278</v>
      </c>
      <c r="F9555" t="s">
        <v>948</v>
      </c>
      <c r="G9555">
        <v>1877777</v>
      </c>
      <c r="H9555">
        <v>501010</v>
      </c>
      <c r="I9555" t="s">
        <v>949</v>
      </c>
    </row>
    <row r="9556" spans="1:9" x14ac:dyDescent="0.25">
      <c r="A9556">
        <v>4230</v>
      </c>
      <c r="B9556">
        <v>18</v>
      </c>
      <c r="C9556" t="s">
        <v>946</v>
      </c>
      <c r="D9556" t="s">
        <v>94</v>
      </c>
      <c r="E9556" t="s">
        <v>278</v>
      </c>
      <c r="F9556" t="s">
        <v>948</v>
      </c>
      <c r="G9556">
        <v>1899999</v>
      </c>
      <c r="H9556">
        <v>401052</v>
      </c>
      <c r="I9556" t="s">
        <v>949</v>
      </c>
    </row>
    <row r="9557" spans="1:9" x14ac:dyDescent="0.25">
      <c r="A9557">
        <v>4240</v>
      </c>
      <c r="B9557">
        <v>18</v>
      </c>
      <c r="C9557" t="s">
        <v>946</v>
      </c>
      <c r="D9557" t="s">
        <v>94</v>
      </c>
      <c r="E9557" t="s">
        <v>278</v>
      </c>
      <c r="F9557" t="s">
        <v>948</v>
      </c>
      <c r="G9557">
        <v>1800000</v>
      </c>
      <c r="H9557">
        <v>145000</v>
      </c>
      <c r="I9557" t="s">
        <v>949</v>
      </c>
    </row>
    <row r="9558" spans="1:9" x14ac:dyDescent="0.25">
      <c r="A9558">
        <v>4141</v>
      </c>
      <c r="B9558">
        <v>18</v>
      </c>
      <c r="C9558" t="s">
        <v>946</v>
      </c>
      <c r="D9558" t="s">
        <v>94</v>
      </c>
      <c r="E9558" t="s">
        <v>282</v>
      </c>
      <c r="F9558" t="s">
        <v>948</v>
      </c>
      <c r="G9558">
        <v>1877777</v>
      </c>
      <c r="H9558">
        <v>501010</v>
      </c>
      <c r="I9558" t="s">
        <v>949</v>
      </c>
    </row>
    <row r="9559" spans="1:9" x14ac:dyDescent="0.25">
      <c r="A9559">
        <v>4220</v>
      </c>
      <c r="B9559">
        <v>18</v>
      </c>
      <c r="C9559" t="s">
        <v>946</v>
      </c>
      <c r="D9559" t="s">
        <v>94</v>
      </c>
      <c r="E9559" t="s">
        <v>282</v>
      </c>
      <c r="F9559" t="s">
        <v>948</v>
      </c>
      <c r="G9559">
        <v>1877777</v>
      </c>
      <c r="H9559">
        <v>501010</v>
      </c>
      <c r="I9559" t="s">
        <v>949</v>
      </c>
    </row>
    <row r="9560" spans="1:9" x14ac:dyDescent="0.25">
      <c r="A9560">
        <v>4230</v>
      </c>
      <c r="B9560">
        <v>18</v>
      </c>
      <c r="C9560" t="s">
        <v>946</v>
      </c>
      <c r="D9560" t="s">
        <v>94</v>
      </c>
      <c r="E9560" t="s">
        <v>282</v>
      </c>
      <c r="F9560" t="s">
        <v>948</v>
      </c>
      <c r="G9560">
        <v>1899999</v>
      </c>
      <c r="H9560">
        <v>401042</v>
      </c>
      <c r="I9560" t="s">
        <v>949</v>
      </c>
    </row>
    <row r="9561" spans="1:9" x14ac:dyDescent="0.25">
      <c r="A9561">
        <v>4240</v>
      </c>
      <c r="B9561">
        <v>18</v>
      </c>
      <c r="C9561" t="s">
        <v>946</v>
      </c>
      <c r="D9561" t="s">
        <v>94</v>
      </c>
      <c r="E9561" t="s">
        <v>282</v>
      </c>
      <c r="F9561" t="s">
        <v>948</v>
      </c>
      <c r="G9561">
        <v>1800000</v>
      </c>
      <c r="H9561">
        <v>143100</v>
      </c>
      <c r="I9561" t="s">
        <v>949</v>
      </c>
    </row>
    <row r="9562" spans="1:9" x14ac:dyDescent="0.25">
      <c r="A9562">
        <v>4141</v>
      </c>
      <c r="B9562">
        <v>18</v>
      </c>
      <c r="C9562" t="s">
        <v>946</v>
      </c>
      <c r="D9562" t="s">
        <v>94</v>
      </c>
      <c r="E9562" t="s">
        <v>286</v>
      </c>
      <c r="F9562" t="s">
        <v>948</v>
      </c>
      <c r="G9562">
        <v>1877777</v>
      </c>
      <c r="H9562">
        <v>501010</v>
      </c>
      <c r="I9562" t="s">
        <v>949</v>
      </c>
    </row>
    <row r="9563" spans="1:9" x14ac:dyDescent="0.25">
      <c r="A9563">
        <v>4220</v>
      </c>
      <c r="B9563">
        <v>18</v>
      </c>
      <c r="C9563" t="s">
        <v>946</v>
      </c>
      <c r="D9563" t="s">
        <v>94</v>
      </c>
      <c r="E9563" t="s">
        <v>286</v>
      </c>
      <c r="F9563" t="s">
        <v>948</v>
      </c>
      <c r="G9563">
        <v>1877777</v>
      </c>
      <c r="H9563">
        <v>501010</v>
      </c>
      <c r="I9563" t="s">
        <v>949</v>
      </c>
    </row>
    <row r="9564" spans="1:9" x14ac:dyDescent="0.25">
      <c r="A9564">
        <v>4230</v>
      </c>
      <c r="B9564">
        <v>18</v>
      </c>
      <c r="C9564" t="s">
        <v>946</v>
      </c>
      <c r="D9564" t="s">
        <v>94</v>
      </c>
      <c r="E9564" t="s">
        <v>286</v>
      </c>
      <c r="F9564" t="s">
        <v>948</v>
      </c>
      <c r="G9564">
        <v>1899999</v>
      </c>
      <c r="H9564">
        <v>401032</v>
      </c>
      <c r="I9564" t="s">
        <v>949</v>
      </c>
    </row>
    <row r="9565" spans="1:9" x14ac:dyDescent="0.25">
      <c r="A9565">
        <v>4240</v>
      </c>
      <c r="B9565">
        <v>18</v>
      </c>
      <c r="C9565" t="s">
        <v>946</v>
      </c>
      <c r="D9565" t="s">
        <v>94</v>
      </c>
      <c r="E9565" t="s">
        <v>286</v>
      </c>
      <c r="F9565" t="s">
        <v>948</v>
      </c>
      <c r="G9565">
        <v>1800000</v>
      </c>
      <c r="H9565">
        <v>145000</v>
      </c>
      <c r="I9565" t="s">
        <v>949</v>
      </c>
    </row>
    <row r="9566" spans="1:9" x14ac:dyDescent="0.25">
      <c r="A9566">
        <v>4141</v>
      </c>
      <c r="B9566">
        <v>18</v>
      </c>
      <c r="C9566" t="s">
        <v>946</v>
      </c>
      <c r="D9566" t="s">
        <v>94</v>
      </c>
      <c r="E9566" t="s">
        <v>976</v>
      </c>
      <c r="F9566" t="s">
        <v>948</v>
      </c>
      <c r="G9566">
        <v>1877777</v>
      </c>
      <c r="H9566">
        <v>501010</v>
      </c>
      <c r="I9566" t="s">
        <v>949</v>
      </c>
    </row>
    <row r="9567" spans="1:9" x14ac:dyDescent="0.25">
      <c r="A9567">
        <v>4220</v>
      </c>
      <c r="B9567">
        <v>18</v>
      </c>
      <c r="C9567" t="s">
        <v>946</v>
      </c>
      <c r="D9567" t="s">
        <v>94</v>
      </c>
      <c r="E9567" t="s">
        <v>976</v>
      </c>
      <c r="F9567" t="s">
        <v>948</v>
      </c>
      <c r="G9567">
        <v>1877777</v>
      </c>
      <c r="H9567">
        <v>501010</v>
      </c>
      <c r="I9567" t="s">
        <v>949</v>
      </c>
    </row>
    <row r="9568" spans="1:9" x14ac:dyDescent="0.25">
      <c r="A9568">
        <v>4230</v>
      </c>
      <c r="B9568">
        <v>18</v>
      </c>
      <c r="C9568" t="s">
        <v>946</v>
      </c>
      <c r="D9568" t="s">
        <v>94</v>
      </c>
      <c r="E9568" t="s">
        <v>976</v>
      </c>
      <c r="F9568" t="s">
        <v>948</v>
      </c>
      <c r="G9568">
        <v>1899999</v>
      </c>
      <c r="H9568">
        <v>401912</v>
      </c>
      <c r="I9568" t="s">
        <v>949</v>
      </c>
    </row>
    <row r="9569" spans="1:9" x14ac:dyDescent="0.25">
      <c r="A9569">
        <v>4240</v>
      </c>
      <c r="B9569">
        <v>18</v>
      </c>
      <c r="C9569" t="s">
        <v>946</v>
      </c>
      <c r="D9569" t="s">
        <v>94</v>
      </c>
      <c r="E9569" t="s">
        <v>976</v>
      </c>
      <c r="F9569" t="s">
        <v>948</v>
      </c>
      <c r="G9569">
        <v>1800000</v>
      </c>
      <c r="H9569">
        <v>141000</v>
      </c>
      <c r="I9569" t="s">
        <v>977</v>
      </c>
    </row>
    <row r="9570" spans="1:9" x14ac:dyDescent="0.25">
      <c r="A9570">
        <v>4141</v>
      </c>
      <c r="B9570">
        <v>18</v>
      </c>
      <c r="C9570" t="s">
        <v>946</v>
      </c>
      <c r="D9570" t="s">
        <v>94</v>
      </c>
      <c r="E9570" t="s">
        <v>290</v>
      </c>
      <c r="F9570" t="s">
        <v>948</v>
      </c>
      <c r="G9570">
        <v>1877777</v>
      </c>
      <c r="H9570">
        <v>501010</v>
      </c>
      <c r="I9570" t="s">
        <v>949</v>
      </c>
    </row>
    <row r="9571" spans="1:9" x14ac:dyDescent="0.25">
      <c r="A9571">
        <v>4220</v>
      </c>
      <c r="B9571">
        <v>18</v>
      </c>
      <c r="C9571" t="s">
        <v>946</v>
      </c>
      <c r="D9571" t="s">
        <v>94</v>
      </c>
      <c r="E9571" t="s">
        <v>290</v>
      </c>
      <c r="F9571" t="s">
        <v>948</v>
      </c>
      <c r="G9571">
        <v>1877777</v>
      </c>
      <c r="H9571">
        <v>501010</v>
      </c>
      <c r="I9571" t="s">
        <v>949</v>
      </c>
    </row>
    <row r="9572" spans="1:9" x14ac:dyDescent="0.25">
      <c r="A9572">
        <v>4230</v>
      </c>
      <c r="B9572">
        <v>18</v>
      </c>
      <c r="C9572" t="s">
        <v>946</v>
      </c>
      <c r="D9572" t="s">
        <v>94</v>
      </c>
      <c r="E9572" t="s">
        <v>290</v>
      </c>
      <c r="F9572" t="s">
        <v>948</v>
      </c>
      <c r="G9572">
        <v>1899999</v>
      </c>
      <c r="H9572">
        <v>401042</v>
      </c>
      <c r="I9572" t="s">
        <v>949</v>
      </c>
    </row>
    <row r="9573" spans="1:9" x14ac:dyDescent="0.25">
      <c r="A9573">
        <v>4240</v>
      </c>
      <c r="B9573">
        <v>18</v>
      </c>
      <c r="C9573" t="s">
        <v>946</v>
      </c>
      <c r="D9573" t="s">
        <v>94</v>
      </c>
      <c r="E9573" t="s">
        <v>290</v>
      </c>
      <c r="F9573" t="s">
        <v>948</v>
      </c>
      <c r="G9573">
        <v>1800000</v>
      </c>
      <c r="H9573">
        <v>143000</v>
      </c>
      <c r="I9573" t="s">
        <v>978</v>
      </c>
    </row>
    <row r="9574" spans="1:9" x14ac:dyDescent="0.25">
      <c r="A9574">
        <v>4141</v>
      </c>
      <c r="B9574">
        <v>18</v>
      </c>
      <c r="C9574" t="s">
        <v>946</v>
      </c>
      <c r="D9574" t="s">
        <v>94</v>
      </c>
      <c r="E9574" t="s">
        <v>294</v>
      </c>
      <c r="F9574" t="s">
        <v>948</v>
      </c>
      <c r="G9574">
        <v>1877777</v>
      </c>
      <c r="H9574">
        <v>501010</v>
      </c>
      <c r="I9574" t="s">
        <v>949</v>
      </c>
    </row>
    <row r="9575" spans="1:9" x14ac:dyDescent="0.25">
      <c r="A9575">
        <v>4220</v>
      </c>
      <c r="B9575">
        <v>18</v>
      </c>
      <c r="C9575" t="s">
        <v>946</v>
      </c>
      <c r="D9575" t="s">
        <v>94</v>
      </c>
      <c r="E9575" t="s">
        <v>294</v>
      </c>
      <c r="F9575" t="s">
        <v>948</v>
      </c>
      <c r="G9575">
        <v>1877777</v>
      </c>
      <c r="H9575">
        <v>501010</v>
      </c>
      <c r="I9575" t="s">
        <v>949</v>
      </c>
    </row>
    <row r="9576" spans="1:9" x14ac:dyDescent="0.25">
      <c r="A9576">
        <v>4230</v>
      </c>
      <c r="B9576">
        <v>18</v>
      </c>
      <c r="C9576" t="s">
        <v>946</v>
      </c>
      <c r="D9576" t="s">
        <v>94</v>
      </c>
      <c r="E9576" t="s">
        <v>294</v>
      </c>
      <c r="F9576" t="s">
        <v>948</v>
      </c>
      <c r="G9576">
        <v>1899999</v>
      </c>
      <c r="H9576">
        <v>401042</v>
      </c>
      <c r="I9576" t="s">
        <v>949</v>
      </c>
    </row>
    <row r="9577" spans="1:9" x14ac:dyDescent="0.25">
      <c r="A9577">
        <v>4240</v>
      </c>
      <c r="B9577">
        <v>18</v>
      </c>
      <c r="C9577" t="s">
        <v>946</v>
      </c>
      <c r="D9577" t="s">
        <v>94</v>
      </c>
      <c r="E9577" t="s">
        <v>294</v>
      </c>
      <c r="F9577" t="s">
        <v>948</v>
      </c>
      <c r="G9577">
        <v>1800000</v>
      </c>
      <c r="H9577">
        <v>143000</v>
      </c>
      <c r="I9577" t="s">
        <v>979</v>
      </c>
    </row>
    <row r="9578" spans="1:9" x14ac:dyDescent="0.25">
      <c r="A9578">
        <v>4230</v>
      </c>
      <c r="B9578">
        <v>18</v>
      </c>
      <c r="C9578" t="s">
        <v>946</v>
      </c>
      <c r="D9578" t="s">
        <v>94</v>
      </c>
      <c r="E9578" t="s">
        <v>298</v>
      </c>
      <c r="F9578" t="s">
        <v>948</v>
      </c>
      <c r="G9578">
        <v>1899999</v>
      </c>
      <c r="H9578">
        <v>402082</v>
      </c>
      <c r="I9578" t="s">
        <v>949</v>
      </c>
    </row>
    <row r="9579" ht="22" customHeight="1" spans="1:10" x14ac:dyDescent="0.25">
      <c r="A9579" s="41">
        <v>4240</v>
      </c>
      <c r="B9579" s="41">
        <v>18</v>
      </c>
      <c r="C9579" s="41" t="s">
        <v>946</v>
      </c>
      <c r="D9579" s="41" t="s">
        <v>94</v>
      </c>
      <c r="E9579" s="41" t="s">
        <v>298</v>
      </c>
      <c r="F9579" s="41" t="s">
        <v>948</v>
      </c>
      <c r="G9579" s="41">
        <v>1877777</v>
      </c>
      <c r="H9579" s="41">
        <v>500221</v>
      </c>
      <c r="I9579" s="41" t="s">
        <v>949</v>
      </c>
      <c r="J9579" s="42" t="s">
        <v>1032</v>
      </c>
    </row>
    <row r="9580" spans="1:9" x14ac:dyDescent="0.25">
      <c r="A9580">
        <v>4141</v>
      </c>
      <c r="B9580">
        <v>18</v>
      </c>
      <c r="C9580" t="s">
        <v>946</v>
      </c>
      <c r="D9580" t="s">
        <v>94</v>
      </c>
      <c r="E9580" t="s">
        <v>980</v>
      </c>
      <c r="F9580" t="s">
        <v>948</v>
      </c>
      <c r="G9580">
        <v>1877777</v>
      </c>
      <c r="H9580">
        <v>501010</v>
      </c>
      <c r="I9580" t="s">
        <v>949</v>
      </c>
    </row>
    <row r="9581" spans="1:9" x14ac:dyDescent="0.25">
      <c r="A9581">
        <v>4220</v>
      </c>
      <c r="B9581">
        <v>18</v>
      </c>
      <c r="C9581" t="s">
        <v>946</v>
      </c>
      <c r="D9581" t="s">
        <v>94</v>
      </c>
      <c r="E9581" t="s">
        <v>980</v>
      </c>
      <c r="F9581" t="s">
        <v>948</v>
      </c>
      <c r="G9581">
        <v>1877777</v>
      </c>
      <c r="H9581">
        <v>501010</v>
      </c>
      <c r="I9581" t="s">
        <v>949</v>
      </c>
    </row>
    <row r="9582" spans="1:9" x14ac:dyDescent="0.25">
      <c r="A9582">
        <v>4230</v>
      </c>
      <c r="B9582">
        <v>18</v>
      </c>
      <c r="C9582" t="s">
        <v>946</v>
      </c>
      <c r="D9582" t="s">
        <v>94</v>
      </c>
      <c r="E9582" t="s">
        <v>980</v>
      </c>
      <c r="F9582" t="s">
        <v>948</v>
      </c>
      <c r="G9582">
        <v>1899999</v>
      </c>
      <c r="H9582">
        <v>401912</v>
      </c>
      <c r="I9582" t="s">
        <v>949</v>
      </c>
    </row>
    <row r="9583" spans="1:9" x14ac:dyDescent="0.25">
      <c r="A9583">
        <v>4240</v>
      </c>
      <c r="B9583">
        <v>18</v>
      </c>
      <c r="C9583" t="s">
        <v>946</v>
      </c>
      <c r="D9583" t="s">
        <v>94</v>
      </c>
      <c r="E9583" t="s">
        <v>980</v>
      </c>
      <c r="F9583" t="s">
        <v>948</v>
      </c>
      <c r="G9583">
        <v>1800000</v>
      </c>
      <c r="H9583">
        <v>141000</v>
      </c>
      <c r="I9583" t="s">
        <v>981</v>
      </c>
    </row>
    <row r="9584" spans="1:9" x14ac:dyDescent="0.25">
      <c r="A9584">
        <v>4141</v>
      </c>
      <c r="B9584">
        <v>18</v>
      </c>
      <c r="C9584" t="s">
        <v>946</v>
      </c>
      <c r="D9584" t="s">
        <v>94</v>
      </c>
      <c r="E9584" t="s">
        <v>302</v>
      </c>
      <c r="F9584" t="s">
        <v>948</v>
      </c>
      <c r="G9584">
        <v>1877777</v>
      </c>
      <c r="H9584">
        <v>501010</v>
      </c>
      <c r="I9584" t="s">
        <v>949</v>
      </c>
    </row>
    <row r="9585" spans="1:9" x14ac:dyDescent="0.25">
      <c r="A9585">
        <v>4220</v>
      </c>
      <c r="B9585">
        <v>18</v>
      </c>
      <c r="C9585" t="s">
        <v>946</v>
      </c>
      <c r="D9585" t="s">
        <v>94</v>
      </c>
      <c r="E9585" t="s">
        <v>302</v>
      </c>
      <c r="F9585" t="s">
        <v>948</v>
      </c>
      <c r="G9585">
        <v>1877777</v>
      </c>
      <c r="H9585">
        <v>501010</v>
      </c>
      <c r="I9585" t="s">
        <v>949</v>
      </c>
    </row>
    <row r="9586" spans="1:9" x14ac:dyDescent="0.25">
      <c r="A9586">
        <v>4230</v>
      </c>
      <c r="B9586">
        <v>18</v>
      </c>
      <c r="C9586" t="s">
        <v>946</v>
      </c>
      <c r="D9586" t="s">
        <v>94</v>
      </c>
      <c r="E9586" t="s">
        <v>302</v>
      </c>
      <c r="F9586" t="s">
        <v>948</v>
      </c>
      <c r="G9586">
        <v>1899999</v>
      </c>
      <c r="H9586">
        <v>401902</v>
      </c>
      <c r="I9586" t="s">
        <v>949</v>
      </c>
    </row>
    <row r="9587" spans="1:9" x14ac:dyDescent="0.25">
      <c r="A9587">
        <v>4240</v>
      </c>
      <c r="B9587">
        <v>18</v>
      </c>
      <c r="C9587" t="s">
        <v>946</v>
      </c>
      <c r="D9587" t="s">
        <v>94</v>
      </c>
      <c r="E9587" t="s">
        <v>302</v>
      </c>
      <c r="F9587" t="s">
        <v>948</v>
      </c>
      <c r="G9587">
        <v>1800000</v>
      </c>
      <c r="H9587">
        <v>143000</v>
      </c>
      <c r="I9587" t="s">
        <v>982</v>
      </c>
    </row>
    <row r="9588" spans="1:9" x14ac:dyDescent="0.25">
      <c r="A9588">
        <v>4141</v>
      </c>
      <c r="B9588">
        <v>18</v>
      </c>
      <c r="C9588" t="s">
        <v>946</v>
      </c>
      <c r="D9588" t="s">
        <v>94</v>
      </c>
      <c r="E9588" t="s">
        <v>306</v>
      </c>
      <c r="F9588" t="s">
        <v>948</v>
      </c>
      <c r="G9588">
        <v>1877777</v>
      </c>
      <c r="H9588">
        <v>501010</v>
      </c>
      <c r="I9588" t="s">
        <v>949</v>
      </c>
    </row>
    <row r="9589" spans="1:9" x14ac:dyDescent="0.25">
      <c r="A9589">
        <v>4220</v>
      </c>
      <c r="B9589">
        <v>18</v>
      </c>
      <c r="C9589" t="s">
        <v>946</v>
      </c>
      <c r="D9589" t="s">
        <v>94</v>
      </c>
      <c r="E9589" t="s">
        <v>306</v>
      </c>
      <c r="F9589" t="s">
        <v>948</v>
      </c>
      <c r="G9589">
        <v>1877777</v>
      </c>
      <c r="H9589">
        <v>501010</v>
      </c>
      <c r="I9589" t="s">
        <v>949</v>
      </c>
    </row>
    <row r="9590" spans="1:9" x14ac:dyDescent="0.25">
      <c r="A9590">
        <v>4230</v>
      </c>
      <c r="B9590">
        <v>18</v>
      </c>
      <c r="C9590" t="s">
        <v>946</v>
      </c>
      <c r="D9590" t="s">
        <v>94</v>
      </c>
      <c r="E9590" t="s">
        <v>306</v>
      </c>
      <c r="F9590" t="s">
        <v>948</v>
      </c>
      <c r="G9590">
        <v>1899999</v>
      </c>
      <c r="H9590">
        <v>401042</v>
      </c>
      <c r="I9590" t="s">
        <v>949</v>
      </c>
    </row>
    <row r="9591" spans="1:9" x14ac:dyDescent="0.25">
      <c r="A9591">
        <v>4240</v>
      </c>
      <c r="B9591">
        <v>18</v>
      </c>
      <c r="C9591" t="s">
        <v>946</v>
      </c>
      <c r="D9591" t="s">
        <v>94</v>
      </c>
      <c r="E9591" t="s">
        <v>306</v>
      </c>
      <c r="F9591" t="s">
        <v>948</v>
      </c>
      <c r="G9591">
        <v>1800000</v>
      </c>
      <c r="H9591">
        <v>143000</v>
      </c>
      <c r="I9591" t="s">
        <v>983</v>
      </c>
    </row>
    <row r="9592" spans="1:9" x14ac:dyDescent="0.25">
      <c r="A9592">
        <v>4141</v>
      </c>
      <c r="B9592">
        <v>18</v>
      </c>
      <c r="C9592" t="s">
        <v>946</v>
      </c>
      <c r="D9592" t="s">
        <v>94</v>
      </c>
      <c r="E9592" t="s">
        <v>108</v>
      </c>
      <c r="F9592" t="s">
        <v>948</v>
      </c>
      <c r="G9592">
        <v>1877777</v>
      </c>
      <c r="H9592">
        <v>500220</v>
      </c>
      <c r="I9592" t="s">
        <v>949</v>
      </c>
    </row>
    <row r="9593" spans="1:9" x14ac:dyDescent="0.25">
      <c r="A9593">
        <v>4220</v>
      </c>
      <c r="B9593">
        <v>18</v>
      </c>
      <c r="C9593" t="s">
        <v>946</v>
      </c>
      <c r="D9593" t="s">
        <v>94</v>
      </c>
      <c r="E9593" t="s">
        <v>108</v>
      </c>
      <c r="F9593" t="s">
        <v>948</v>
      </c>
      <c r="G9593">
        <v>1877777</v>
      </c>
      <c r="H9593">
        <v>500220</v>
      </c>
      <c r="I9593" t="s">
        <v>949</v>
      </c>
    </row>
    <row r="9594" spans="1:9" x14ac:dyDescent="0.25">
      <c r="A9594">
        <v>4230</v>
      </c>
      <c r="B9594">
        <v>18</v>
      </c>
      <c r="C9594" t="s">
        <v>946</v>
      </c>
      <c r="D9594" t="s">
        <v>94</v>
      </c>
      <c r="E9594" t="s">
        <v>108</v>
      </c>
      <c r="F9594" t="s">
        <v>948</v>
      </c>
      <c r="G9594">
        <v>1899999</v>
      </c>
      <c r="H9594">
        <v>401042</v>
      </c>
      <c r="I9594" t="s">
        <v>949</v>
      </c>
    </row>
    <row r="9595" spans="1:9" x14ac:dyDescent="0.25">
      <c r="A9595">
        <v>4240</v>
      </c>
      <c r="B9595">
        <v>18</v>
      </c>
      <c r="C9595" t="s">
        <v>946</v>
      </c>
      <c r="D9595" t="s">
        <v>94</v>
      </c>
      <c r="E9595" t="s">
        <v>108</v>
      </c>
      <c r="F9595" t="s">
        <v>948</v>
      </c>
      <c r="G9595">
        <v>1877777</v>
      </c>
      <c r="H9595">
        <v>500221</v>
      </c>
      <c r="I9595" t="s">
        <v>949</v>
      </c>
    </row>
    <row r="9596" spans="1:9" x14ac:dyDescent="0.25">
      <c r="A9596">
        <v>4141</v>
      </c>
      <c r="B9596">
        <v>18</v>
      </c>
      <c r="C9596" t="s">
        <v>946</v>
      </c>
      <c r="D9596" t="s">
        <v>94</v>
      </c>
      <c r="E9596" t="s">
        <v>310</v>
      </c>
      <c r="F9596" t="s">
        <v>948</v>
      </c>
      <c r="G9596">
        <v>1877777</v>
      </c>
      <c r="H9596">
        <v>501010</v>
      </c>
      <c r="I9596" t="s">
        <v>949</v>
      </c>
    </row>
    <row r="9597" spans="1:9" x14ac:dyDescent="0.25">
      <c r="A9597">
        <v>4220</v>
      </c>
      <c r="B9597">
        <v>18</v>
      </c>
      <c r="C9597" t="s">
        <v>946</v>
      </c>
      <c r="D9597" t="s">
        <v>94</v>
      </c>
      <c r="E9597" t="s">
        <v>310</v>
      </c>
      <c r="F9597" t="s">
        <v>948</v>
      </c>
      <c r="G9597">
        <v>1877777</v>
      </c>
      <c r="H9597">
        <v>501010</v>
      </c>
      <c r="I9597" t="s">
        <v>949</v>
      </c>
    </row>
    <row r="9598" spans="1:9" x14ac:dyDescent="0.25">
      <c r="A9598">
        <v>4230</v>
      </c>
      <c r="B9598">
        <v>18</v>
      </c>
      <c r="C9598" t="s">
        <v>946</v>
      </c>
      <c r="D9598" t="s">
        <v>94</v>
      </c>
      <c r="E9598" t="s">
        <v>310</v>
      </c>
      <c r="F9598" t="s">
        <v>948</v>
      </c>
      <c r="G9598">
        <v>1899999</v>
      </c>
      <c r="H9598">
        <v>401012</v>
      </c>
      <c r="I9598" t="s">
        <v>949</v>
      </c>
    </row>
    <row r="9599" spans="1:9" x14ac:dyDescent="0.25">
      <c r="A9599">
        <v>4240</v>
      </c>
      <c r="B9599">
        <v>18</v>
      </c>
      <c r="C9599" t="s">
        <v>946</v>
      </c>
      <c r="D9599" t="s">
        <v>94</v>
      </c>
      <c r="E9599" t="s">
        <v>310</v>
      </c>
      <c r="F9599" t="s">
        <v>948</v>
      </c>
      <c r="G9599">
        <v>1800000</v>
      </c>
      <c r="H9599">
        <v>145000</v>
      </c>
      <c r="I9599" t="s">
        <v>949</v>
      </c>
    </row>
    <row r="9600" spans="1:9" x14ac:dyDescent="0.25">
      <c r="A9600">
        <v>4141</v>
      </c>
      <c r="B9600">
        <v>18</v>
      </c>
      <c r="C9600" t="s">
        <v>946</v>
      </c>
      <c r="D9600" t="s">
        <v>94</v>
      </c>
      <c r="E9600" t="s">
        <v>314</v>
      </c>
      <c r="F9600" t="s">
        <v>948</v>
      </c>
      <c r="G9600">
        <v>1877777</v>
      </c>
      <c r="H9600">
        <v>501010</v>
      </c>
      <c r="I9600" t="s">
        <v>949</v>
      </c>
    </row>
    <row r="9601" spans="1:9" x14ac:dyDescent="0.25">
      <c r="A9601">
        <v>4220</v>
      </c>
      <c r="B9601">
        <v>18</v>
      </c>
      <c r="C9601" t="s">
        <v>946</v>
      </c>
      <c r="D9601" t="s">
        <v>94</v>
      </c>
      <c r="E9601" t="s">
        <v>314</v>
      </c>
      <c r="F9601" t="s">
        <v>948</v>
      </c>
      <c r="G9601">
        <v>1877777</v>
      </c>
      <c r="H9601">
        <v>501010</v>
      </c>
      <c r="I9601" t="s">
        <v>949</v>
      </c>
    </row>
    <row r="9602" spans="1:9" x14ac:dyDescent="0.25">
      <c r="A9602">
        <v>4230</v>
      </c>
      <c r="B9602">
        <v>18</v>
      </c>
      <c r="C9602" t="s">
        <v>946</v>
      </c>
      <c r="D9602" t="s">
        <v>94</v>
      </c>
      <c r="E9602" t="s">
        <v>314</v>
      </c>
      <c r="F9602" t="s">
        <v>948</v>
      </c>
      <c r="G9602">
        <v>1899999</v>
      </c>
      <c r="H9602">
        <v>401062</v>
      </c>
      <c r="I9602" t="s">
        <v>949</v>
      </c>
    </row>
    <row r="9603" spans="1:9" x14ac:dyDescent="0.25">
      <c r="A9603">
        <v>4240</v>
      </c>
      <c r="B9603">
        <v>18</v>
      </c>
      <c r="C9603" t="s">
        <v>946</v>
      </c>
      <c r="D9603" t="s">
        <v>94</v>
      </c>
      <c r="E9603" t="s">
        <v>314</v>
      </c>
      <c r="F9603" t="s">
        <v>948</v>
      </c>
      <c r="G9603">
        <v>1800000</v>
      </c>
      <c r="H9603">
        <v>145000</v>
      </c>
      <c r="I9603" t="s">
        <v>949</v>
      </c>
    </row>
    <row r="9604" spans="1:9" x14ac:dyDescent="0.25">
      <c r="A9604">
        <v>4141</v>
      </c>
      <c r="B9604">
        <v>18</v>
      </c>
      <c r="C9604" t="s">
        <v>946</v>
      </c>
      <c r="D9604" t="s">
        <v>94</v>
      </c>
      <c r="E9604" t="s">
        <v>113</v>
      </c>
      <c r="F9604" t="s">
        <v>948</v>
      </c>
      <c r="G9604">
        <v>1877777</v>
      </c>
      <c r="H9604">
        <v>500220</v>
      </c>
      <c r="I9604" t="s">
        <v>949</v>
      </c>
    </row>
    <row r="9605" spans="1:9" x14ac:dyDescent="0.25">
      <c r="A9605">
        <v>4220</v>
      </c>
      <c r="B9605">
        <v>18</v>
      </c>
      <c r="C9605" t="s">
        <v>946</v>
      </c>
      <c r="D9605" t="s">
        <v>94</v>
      </c>
      <c r="E9605" t="s">
        <v>113</v>
      </c>
      <c r="F9605" t="s">
        <v>948</v>
      </c>
      <c r="G9605">
        <v>1877777</v>
      </c>
      <c r="H9605">
        <v>500220</v>
      </c>
      <c r="I9605" t="s">
        <v>949</v>
      </c>
    </row>
    <row r="9606" spans="1:9" x14ac:dyDescent="0.25">
      <c r="A9606">
        <v>4230</v>
      </c>
      <c r="B9606">
        <v>18</v>
      </c>
      <c r="C9606" t="s">
        <v>946</v>
      </c>
      <c r="D9606" t="s">
        <v>94</v>
      </c>
      <c r="E9606" t="s">
        <v>113</v>
      </c>
      <c r="F9606" t="s">
        <v>948</v>
      </c>
      <c r="G9606">
        <v>1899999</v>
      </c>
      <c r="H9606">
        <v>402082</v>
      </c>
      <c r="I9606" t="s">
        <v>949</v>
      </c>
    </row>
    <row r="9607" spans="1:9" x14ac:dyDescent="0.25">
      <c r="A9607">
        <v>4240</v>
      </c>
      <c r="B9607">
        <v>18</v>
      </c>
      <c r="C9607" t="s">
        <v>946</v>
      </c>
      <c r="D9607" t="s">
        <v>94</v>
      </c>
      <c r="E9607" t="s">
        <v>113</v>
      </c>
      <c r="F9607" t="s">
        <v>948</v>
      </c>
      <c r="G9607">
        <v>1877777</v>
      </c>
      <c r="H9607">
        <v>500221</v>
      </c>
      <c r="I9607" t="s">
        <v>949</v>
      </c>
    </row>
    <row r="9608" spans="1:9" x14ac:dyDescent="0.25">
      <c r="A9608">
        <v>4141</v>
      </c>
      <c r="B9608">
        <v>18</v>
      </c>
      <c r="C9608" t="s">
        <v>946</v>
      </c>
      <c r="D9608" t="s">
        <v>94</v>
      </c>
      <c r="E9608" t="s">
        <v>117</v>
      </c>
      <c r="F9608" t="s">
        <v>948</v>
      </c>
      <c r="G9608">
        <v>1877777</v>
      </c>
      <c r="H9608">
        <v>500220</v>
      </c>
      <c r="I9608" t="s">
        <v>949</v>
      </c>
    </row>
    <row r="9609" spans="1:9" x14ac:dyDescent="0.25">
      <c r="A9609">
        <v>4220</v>
      </c>
      <c r="B9609">
        <v>18</v>
      </c>
      <c r="C9609" t="s">
        <v>946</v>
      </c>
      <c r="D9609" t="s">
        <v>94</v>
      </c>
      <c r="E9609" t="s">
        <v>117</v>
      </c>
      <c r="F9609" t="s">
        <v>948</v>
      </c>
      <c r="G9609">
        <v>1877777</v>
      </c>
      <c r="H9609">
        <v>500220</v>
      </c>
      <c r="I9609" t="s">
        <v>949</v>
      </c>
    </row>
    <row r="9610" spans="1:9" x14ac:dyDescent="0.25">
      <c r="A9610">
        <v>4230</v>
      </c>
      <c r="B9610">
        <v>18</v>
      </c>
      <c r="C9610" t="s">
        <v>946</v>
      </c>
      <c r="D9610" t="s">
        <v>94</v>
      </c>
      <c r="E9610" t="s">
        <v>117</v>
      </c>
      <c r="F9610" t="s">
        <v>948</v>
      </c>
      <c r="G9610">
        <v>1888888</v>
      </c>
      <c r="H9610">
        <v>810600</v>
      </c>
      <c r="I9610" t="s">
        <v>949</v>
      </c>
    </row>
    <row r="9611" spans="1:9" x14ac:dyDescent="0.25">
      <c r="A9611">
        <v>4240</v>
      </c>
      <c r="B9611">
        <v>18</v>
      </c>
      <c r="C9611" t="s">
        <v>946</v>
      </c>
      <c r="D9611" t="s">
        <v>94</v>
      </c>
      <c r="E9611" t="s">
        <v>117</v>
      </c>
      <c r="F9611" t="s">
        <v>948</v>
      </c>
      <c r="G9611">
        <v>1877777</v>
      </c>
      <c r="H9611">
        <v>500221</v>
      </c>
      <c r="I9611" t="s">
        <v>949</v>
      </c>
    </row>
    <row r="9612" spans="1:9" x14ac:dyDescent="0.25">
      <c r="A9612">
        <v>4141</v>
      </c>
      <c r="B9612">
        <v>18</v>
      </c>
      <c r="C9612" t="s">
        <v>946</v>
      </c>
      <c r="D9612" t="s">
        <v>94</v>
      </c>
      <c r="E9612" t="s">
        <v>121</v>
      </c>
      <c r="F9612" t="s">
        <v>948</v>
      </c>
      <c r="G9612">
        <v>1877777</v>
      </c>
      <c r="H9612">
        <v>500220</v>
      </c>
      <c r="I9612" t="s">
        <v>949</v>
      </c>
    </row>
    <row r="9613" spans="1:9" x14ac:dyDescent="0.25">
      <c r="A9613">
        <v>4220</v>
      </c>
      <c r="B9613">
        <v>18</v>
      </c>
      <c r="C9613" t="s">
        <v>946</v>
      </c>
      <c r="D9613" t="s">
        <v>94</v>
      </c>
      <c r="E9613" t="s">
        <v>121</v>
      </c>
      <c r="F9613" t="s">
        <v>948</v>
      </c>
      <c r="G9613">
        <v>1877777</v>
      </c>
      <c r="H9613">
        <v>500220</v>
      </c>
      <c r="I9613" t="s">
        <v>949</v>
      </c>
    </row>
    <row r="9614" spans="1:9" x14ac:dyDescent="0.25">
      <c r="A9614">
        <v>4230</v>
      </c>
      <c r="B9614">
        <v>18</v>
      </c>
      <c r="C9614" t="s">
        <v>946</v>
      </c>
      <c r="D9614" t="s">
        <v>94</v>
      </c>
      <c r="E9614" t="s">
        <v>121</v>
      </c>
      <c r="F9614" t="s">
        <v>948</v>
      </c>
      <c r="G9614">
        <v>1899999</v>
      </c>
      <c r="H9614">
        <v>401042</v>
      </c>
      <c r="I9614" t="s">
        <v>949</v>
      </c>
    </row>
    <row r="9615" spans="1:9" x14ac:dyDescent="0.25">
      <c r="A9615">
        <v>4240</v>
      </c>
      <c r="B9615">
        <v>18</v>
      </c>
      <c r="C9615" t="s">
        <v>946</v>
      </c>
      <c r="D9615" t="s">
        <v>94</v>
      </c>
      <c r="E9615" t="s">
        <v>121</v>
      </c>
      <c r="F9615" t="s">
        <v>948</v>
      </c>
      <c r="G9615">
        <v>1877777</v>
      </c>
      <c r="H9615">
        <v>500221</v>
      </c>
      <c r="I9615" t="s">
        <v>949</v>
      </c>
    </row>
    <row r="9616" spans="1:9" x14ac:dyDescent="0.25">
      <c r="A9616">
        <v>4141</v>
      </c>
      <c r="B9616">
        <v>18</v>
      </c>
      <c r="C9616" t="s">
        <v>946</v>
      </c>
      <c r="D9616" t="s">
        <v>94</v>
      </c>
      <c r="E9616" t="s">
        <v>984</v>
      </c>
      <c r="F9616" t="s">
        <v>948</v>
      </c>
      <c r="G9616">
        <v>1877777</v>
      </c>
      <c r="H9616">
        <v>501010</v>
      </c>
      <c r="I9616" t="s">
        <v>949</v>
      </c>
    </row>
    <row r="9617" spans="1:9" x14ac:dyDescent="0.25">
      <c r="A9617">
        <v>4220</v>
      </c>
      <c r="B9617">
        <v>18</v>
      </c>
      <c r="C9617" t="s">
        <v>946</v>
      </c>
      <c r="D9617" t="s">
        <v>94</v>
      </c>
      <c r="E9617" t="s">
        <v>984</v>
      </c>
      <c r="F9617" t="s">
        <v>948</v>
      </c>
      <c r="G9617">
        <v>1877777</v>
      </c>
      <c r="H9617">
        <v>501010</v>
      </c>
      <c r="I9617" t="s">
        <v>949</v>
      </c>
    </row>
    <row r="9618" spans="1:9" x14ac:dyDescent="0.25">
      <c r="A9618">
        <v>4230</v>
      </c>
      <c r="B9618">
        <v>18</v>
      </c>
      <c r="C9618" t="s">
        <v>946</v>
      </c>
      <c r="D9618" t="s">
        <v>94</v>
      </c>
      <c r="E9618" t="s">
        <v>984</v>
      </c>
      <c r="F9618" t="s">
        <v>948</v>
      </c>
      <c r="G9618">
        <v>1899999</v>
      </c>
      <c r="H9618">
        <v>401912</v>
      </c>
      <c r="I9618" t="s">
        <v>949</v>
      </c>
    </row>
    <row r="9619" spans="1:9" x14ac:dyDescent="0.25">
      <c r="A9619">
        <v>4240</v>
      </c>
      <c r="B9619">
        <v>18</v>
      </c>
      <c r="C9619" t="s">
        <v>946</v>
      </c>
      <c r="D9619" t="s">
        <v>94</v>
      </c>
      <c r="E9619" t="s">
        <v>984</v>
      </c>
      <c r="F9619" t="s">
        <v>948</v>
      </c>
      <c r="G9619">
        <v>1800000</v>
      </c>
      <c r="H9619">
        <v>141000</v>
      </c>
      <c r="I9619" t="s">
        <v>985</v>
      </c>
    </row>
    <row r="9620" spans="1:9" x14ac:dyDescent="0.25">
      <c r="A9620">
        <v>4141</v>
      </c>
      <c r="B9620">
        <v>18</v>
      </c>
      <c r="C9620" t="s">
        <v>946</v>
      </c>
      <c r="D9620" t="s">
        <v>1033</v>
      </c>
      <c r="E9620" t="s">
        <v>49</v>
      </c>
      <c r="F9620" t="s">
        <v>948</v>
      </c>
      <c r="G9620">
        <v>1877777</v>
      </c>
      <c r="H9620">
        <v>500220</v>
      </c>
      <c r="I9620" t="s">
        <v>949</v>
      </c>
    </row>
    <row r="9621" spans="1:9" x14ac:dyDescent="0.25">
      <c r="A9621">
        <v>4220</v>
      </c>
      <c r="B9621">
        <v>18</v>
      </c>
      <c r="C9621" t="s">
        <v>946</v>
      </c>
      <c r="D9621" t="s">
        <v>1033</v>
      </c>
      <c r="E9621" t="s">
        <v>49</v>
      </c>
      <c r="F9621" t="s">
        <v>948</v>
      </c>
      <c r="G9621">
        <v>1877777</v>
      </c>
      <c r="H9621">
        <v>500220</v>
      </c>
      <c r="I9621" t="s">
        <v>949</v>
      </c>
    </row>
    <row r="9622" spans="1:9" x14ac:dyDescent="0.25">
      <c r="A9622">
        <v>4230</v>
      </c>
      <c r="B9622">
        <v>18</v>
      </c>
      <c r="C9622" t="s">
        <v>946</v>
      </c>
      <c r="D9622" t="s">
        <v>1033</v>
      </c>
      <c r="E9622" t="s">
        <v>49</v>
      </c>
      <c r="F9622" t="s">
        <v>948</v>
      </c>
      <c r="G9622">
        <v>1877777</v>
      </c>
      <c r="H9622">
        <v>500220</v>
      </c>
      <c r="I9622" t="s">
        <v>949</v>
      </c>
    </row>
    <row r="9623" spans="1:9" x14ac:dyDescent="0.25">
      <c r="A9623">
        <v>4240</v>
      </c>
      <c r="B9623">
        <v>18</v>
      </c>
      <c r="C9623" t="s">
        <v>946</v>
      </c>
      <c r="D9623" t="s">
        <v>1033</v>
      </c>
      <c r="E9623" t="s">
        <v>49</v>
      </c>
      <c r="F9623" t="s">
        <v>948</v>
      </c>
      <c r="G9623">
        <v>1877777</v>
      </c>
      <c r="H9623">
        <v>500221</v>
      </c>
      <c r="I9623" t="s">
        <v>949</v>
      </c>
    </row>
    <row r="9624" spans="1:9" x14ac:dyDescent="0.25">
      <c r="A9624">
        <v>4245</v>
      </c>
      <c r="B9624">
        <v>18</v>
      </c>
      <c r="C9624" t="s">
        <v>946</v>
      </c>
      <c r="D9624" t="s">
        <v>1033</v>
      </c>
      <c r="E9624" t="s">
        <v>49</v>
      </c>
      <c r="F9624" t="s">
        <v>948</v>
      </c>
      <c r="G9624">
        <v>1877777</v>
      </c>
      <c r="H9624">
        <v>500221</v>
      </c>
      <c r="I9624" t="s">
        <v>949</v>
      </c>
    </row>
    <row r="9625" spans="1:9" x14ac:dyDescent="0.25">
      <c r="A9625">
        <v>4245</v>
      </c>
      <c r="B9625">
        <v>18</v>
      </c>
      <c r="C9625" t="s">
        <v>946</v>
      </c>
      <c r="D9625" t="s">
        <v>89</v>
      </c>
      <c r="E9625" t="s">
        <v>49</v>
      </c>
      <c r="F9625" t="s">
        <v>948</v>
      </c>
      <c r="G9625">
        <v>1800000</v>
      </c>
      <c r="H9625">
        <v>145200</v>
      </c>
      <c r="I9625" t="s">
        <v>1034</v>
      </c>
    </row>
    <row r="9626" spans="1:9" x14ac:dyDescent="0.25">
      <c r="A9626">
        <v>4141</v>
      </c>
      <c r="B9626">
        <v>18</v>
      </c>
      <c r="C9626" t="s">
        <v>946</v>
      </c>
      <c r="D9626" t="s">
        <v>89</v>
      </c>
      <c r="E9626" t="s">
        <v>243</v>
      </c>
      <c r="F9626" t="s">
        <v>948</v>
      </c>
      <c r="G9626">
        <v>1877777</v>
      </c>
      <c r="H9626">
        <v>501010</v>
      </c>
      <c r="I9626">
        <v>50</v>
      </c>
    </row>
    <row r="9627" spans="1:9" x14ac:dyDescent="0.25">
      <c r="A9627">
        <v>4220</v>
      </c>
      <c r="B9627">
        <v>18</v>
      </c>
      <c r="C9627" t="s">
        <v>946</v>
      </c>
      <c r="D9627" t="s">
        <v>89</v>
      </c>
      <c r="E9627" t="s">
        <v>243</v>
      </c>
      <c r="F9627" t="s">
        <v>948</v>
      </c>
      <c r="G9627">
        <v>1877777</v>
      </c>
      <c r="H9627">
        <v>501010</v>
      </c>
      <c r="I9627">
        <v>50</v>
      </c>
    </row>
    <row r="9628" spans="1:9" x14ac:dyDescent="0.25">
      <c r="A9628">
        <v>4230</v>
      </c>
      <c r="B9628">
        <v>18</v>
      </c>
      <c r="C9628" t="s">
        <v>946</v>
      </c>
      <c r="D9628" t="s">
        <v>89</v>
      </c>
      <c r="E9628" t="s">
        <v>243</v>
      </c>
      <c r="F9628" t="s">
        <v>948</v>
      </c>
      <c r="G9628">
        <v>1899999</v>
      </c>
      <c r="H9628">
        <v>401055</v>
      </c>
      <c r="I9628">
        <v>50</v>
      </c>
    </row>
    <row r="9629" spans="1:9" x14ac:dyDescent="0.25">
      <c r="A9629">
        <v>4240</v>
      </c>
      <c r="B9629">
        <v>18</v>
      </c>
      <c r="C9629" t="s">
        <v>946</v>
      </c>
      <c r="D9629" t="s">
        <v>89</v>
      </c>
      <c r="E9629" t="s">
        <v>243</v>
      </c>
      <c r="F9629" t="s">
        <v>948</v>
      </c>
      <c r="G9629">
        <v>1800000</v>
      </c>
      <c r="H9629">
        <v>145000</v>
      </c>
      <c r="I9629" t="s">
        <v>949</v>
      </c>
    </row>
    <row r="9630" spans="1:9" x14ac:dyDescent="0.25">
      <c r="A9630">
        <v>4141</v>
      </c>
      <c r="B9630">
        <v>18</v>
      </c>
      <c r="C9630" t="s">
        <v>946</v>
      </c>
      <c r="D9630" t="s">
        <v>89</v>
      </c>
      <c r="E9630" t="s">
        <v>247</v>
      </c>
      <c r="F9630" t="s">
        <v>948</v>
      </c>
      <c r="G9630">
        <v>1877777</v>
      </c>
      <c r="H9630">
        <v>501010</v>
      </c>
      <c r="I9630">
        <v>50</v>
      </c>
    </row>
    <row r="9631" spans="1:9" x14ac:dyDescent="0.25">
      <c r="A9631">
        <v>4220</v>
      </c>
      <c r="B9631">
        <v>18</v>
      </c>
      <c r="C9631" t="s">
        <v>946</v>
      </c>
      <c r="D9631" t="s">
        <v>89</v>
      </c>
      <c r="E9631" t="s">
        <v>247</v>
      </c>
      <c r="F9631" t="s">
        <v>948</v>
      </c>
      <c r="G9631">
        <v>1877777</v>
      </c>
      <c r="H9631">
        <v>501010</v>
      </c>
      <c r="I9631">
        <v>50</v>
      </c>
    </row>
    <row r="9632" spans="1:9" x14ac:dyDescent="0.25">
      <c r="A9632">
        <v>4230</v>
      </c>
      <c r="B9632">
        <v>18</v>
      </c>
      <c r="C9632" t="s">
        <v>946</v>
      </c>
      <c r="D9632" t="s">
        <v>89</v>
      </c>
      <c r="E9632" t="s">
        <v>247</v>
      </c>
      <c r="F9632" t="s">
        <v>948</v>
      </c>
      <c r="G9632">
        <v>1899999</v>
      </c>
      <c r="H9632">
        <v>401025</v>
      </c>
      <c r="I9632">
        <v>50</v>
      </c>
    </row>
    <row r="9633" spans="1:9" x14ac:dyDescent="0.25">
      <c r="A9633">
        <v>4240</v>
      </c>
      <c r="B9633">
        <v>18</v>
      </c>
      <c r="C9633" t="s">
        <v>946</v>
      </c>
      <c r="D9633" t="s">
        <v>89</v>
      </c>
      <c r="E9633" t="s">
        <v>247</v>
      </c>
      <c r="F9633" t="s">
        <v>948</v>
      </c>
      <c r="G9633">
        <v>1800000</v>
      </c>
      <c r="H9633">
        <v>145000</v>
      </c>
      <c r="I9633" t="s">
        <v>949</v>
      </c>
    </row>
    <row r="9634" spans="1:9" x14ac:dyDescent="0.25">
      <c r="A9634">
        <v>4141</v>
      </c>
      <c r="B9634">
        <v>18</v>
      </c>
      <c r="C9634" t="s">
        <v>946</v>
      </c>
      <c r="D9634" t="s">
        <v>89</v>
      </c>
      <c r="E9634" t="s">
        <v>251</v>
      </c>
      <c r="F9634" t="s">
        <v>948</v>
      </c>
      <c r="G9634">
        <v>1877777</v>
      </c>
      <c r="H9634">
        <v>501010</v>
      </c>
      <c r="I9634">
        <v>50</v>
      </c>
    </row>
    <row r="9635" spans="1:9" x14ac:dyDescent="0.25">
      <c r="A9635">
        <v>4220</v>
      </c>
      <c r="B9635">
        <v>18</v>
      </c>
      <c r="C9635" t="s">
        <v>946</v>
      </c>
      <c r="D9635" t="s">
        <v>89</v>
      </c>
      <c r="E9635" t="s">
        <v>251</v>
      </c>
      <c r="F9635" t="s">
        <v>948</v>
      </c>
      <c r="G9635">
        <v>1877777</v>
      </c>
      <c r="H9635">
        <v>501010</v>
      </c>
      <c r="I9635">
        <v>50</v>
      </c>
    </row>
    <row r="9636" spans="1:9" x14ac:dyDescent="0.25">
      <c r="A9636">
        <v>4230</v>
      </c>
      <c r="B9636">
        <v>18</v>
      </c>
      <c r="C9636" t="s">
        <v>946</v>
      </c>
      <c r="D9636" t="s">
        <v>89</v>
      </c>
      <c r="E9636" t="s">
        <v>251</v>
      </c>
      <c r="F9636" t="s">
        <v>948</v>
      </c>
      <c r="G9636">
        <v>1899999</v>
      </c>
      <c r="H9636">
        <v>401045</v>
      </c>
      <c r="I9636">
        <v>50</v>
      </c>
    </row>
    <row r="9637" spans="1:9" x14ac:dyDescent="0.25">
      <c r="A9637">
        <v>4240</v>
      </c>
      <c r="B9637">
        <v>18</v>
      </c>
      <c r="C9637" t="s">
        <v>946</v>
      </c>
      <c r="D9637" t="s">
        <v>89</v>
      </c>
      <c r="E9637" t="s">
        <v>251</v>
      </c>
      <c r="F9637" t="s">
        <v>948</v>
      </c>
      <c r="G9637">
        <v>1800000</v>
      </c>
      <c r="H9637">
        <v>142000</v>
      </c>
      <c r="I9637" t="s">
        <v>949</v>
      </c>
    </row>
    <row r="9638" spans="1:9" x14ac:dyDescent="0.25">
      <c r="A9638">
        <v>4141</v>
      </c>
      <c r="B9638">
        <v>18</v>
      </c>
      <c r="C9638" t="s">
        <v>946</v>
      </c>
      <c r="D9638" t="s">
        <v>89</v>
      </c>
      <c r="E9638" t="s">
        <v>255</v>
      </c>
      <c r="F9638" t="s">
        <v>948</v>
      </c>
      <c r="G9638">
        <v>1877777</v>
      </c>
      <c r="H9638">
        <v>501010</v>
      </c>
      <c r="I9638">
        <v>50</v>
      </c>
    </row>
    <row r="9639" spans="1:9" x14ac:dyDescent="0.25">
      <c r="A9639">
        <v>4220</v>
      </c>
      <c r="B9639">
        <v>18</v>
      </c>
      <c r="C9639" t="s">
        <v>946</v>
      </c>
      <c r="D9639" t="s">
        <v>89</v>
      </c>
      <c r="E9639" t="s">
        <v>255</v>
      </c>
      <c r="F9639" t="s">
        <v>948</v>
      </c>
      <c r="G9639">
        <v>1877777</v>
      </c>
      <c r="H9639">
        <v>501010</v>
      </c>
      <c r="I9639">
        <v>50</v>
      </c>
    </row>
    <row r="9640" spans="1:9" x14ac:dyDescent="0.25">
      <c r="A9640">
        <v>4230</v>
      </c>
      <c r="B9640">
        <v>18</v>
      </c>
      <c r="C9640" t="s">
        <v>946</v>
      </c>
      <c r="D9640" t="s">
        <v>89</v>
      </c>
      <c r="E9640" t="s">
        <v>255</v>
      </c>
      <c r="F9640" t="s">
        <v>948</v>
      </c>
      <c r="G9640">
        <v>1899999</v>
      </c>
      <c r="H9640">
        <v>401075</v>
      </c>
      <c r="I9640">
        <v>50</v>
      </c>
    </row>
    <row r="9641" spans="1:9" x14ac:dyDescent="0.25">
      <c r="A9641">
        <v>4240</v>
      </c>
      <c r="B9641">
        <v>18</v>
      </c>
      <c r="C9641" t="s">
        <v>946</v>
      </c>
      <c r="D9641" t="s">
        <v>89</v>
      </c>
      <c r="E9641" t="s">
        <v>255</v>
      </c>
      <c r="F9641" t="s">
        <v>948</v>
      </c>
      <c r="G9641">
        <v>1800000</v>
      </c>
      <c r="H9641">
        <v>145000</v>
      </c>
      <c r="I9641" t="s">
        <v>949</v>
      </c>
    </row>
    <row r="9642" spans="1:9" x14ac:dyDescent="0.25">
      <c r="A9642">
        <v>4230</v>
      </c>
      <c r="B9642">
        <v>18</v>
      </c>
      <c r="C9642" t="s">
        <v>946</v>
      </c>
      <c r="D9642" t="s">
        <v>89</v>
      </c>
      <c r="E9642" t="s">
        <v>971</v>
      </c>
      <c r="F9642" t="s">
        <v>948</v>
      </c>
      <c r="G9642">
        <v>1899999</v>
      </c>
      <c r="H9642">
        <v>401915</v>
      </c>
      <c r="I9642">
        <v>50</v>
      </c>
    </row>
    <row r="9643" spans="1:9" x14ac:dyDescent="0.25">
      <c r="A9643">
        <v>4230</v>
      </c>
      <c r="B9643">
        <v>18</v>
      </c>
      <c r="C9643" t="s">
        <v>946</v>
      </c>
      <c r="D9643" t="s">
        <v>89</v>
      </c>
      <c r="E9643" t="s">
        <v>259</v>
      </c>
      <c r="F9643" t="s">
        <v>948</v>
      </c>
      <c r="G9643">
        <v>1899999</v>
      </c>
      <c r="H9643">
        <v>409005</v>
      </c>
      <c r="I9643">
        <v>50</v>
      </c>
    </row>
    <row r="9644" spans="1:9" x14ac:dyDescent="0.25">
      <c r="A9644">
        <v>4141</v>
      </c>
      <c r="B9644">
        <v>18</v>
      </c>
      <c r="C9644" t="s">
        <v>946</v>
      </c>
      <c r="D9644" t="s">
        <v>89</v>
      </c>
      <c r="E9644" t="s">
        <v>263</v>
      </c>
      <c r="F9644" t="s">
        <v>948</v>
      </c>
      <c r="G9644">
        <v>1877777</v>
      </c>
      <c r="H9644">
        <v>501010</v>
      </c>
      <c r="I9644">
        <v>50</v>
      </c>
    </row>
    <row r="9645" spans="1:9" x14ac:dyDescent="0.25">
      <c r="A9645">
        <v>4220</v>
      </c>
      <c r="B9645">
        <v>18</v>
      </c>
      <c r="C9645" t="s">
        <v>946</v>
      </c>
      <c r="D9645" t="s">
        <v>89</v>
      </c>
      <c r="E9645" t="s">
        <v>263</v>
      </c>
      <c r="F9645" t="s">
        <v>948</v>
      </c>
      <c r="G9645">
        <v>1877777</v>
      </c>
      <c r="H9645">
        <v>501010</v>
      </c>
      <c r="I9645">
        <v>50</v>
      </c>
    </row>
    <row r="9646" spans="1:9" x14ac:dyDescent="0.25">
      <c r="A9646">
        <v>4230</v>
      </c>
      <c r="B9646">
        <v>18</v>
      </c>
      <c r="C9646" t="s">
        <v>946</v>
      </c>
      <c r="D9646" t="s">
        <v>89</v>
      </c>
      <c r="E9646" t="s">
        <v>263</v>
      </c>
      <c r="F9646" t="s">
        <v>948</v>
      </c>
      <c r="G9646">
        <v>1899999</v>
      </c>
      <c r="H9646">
        <v>401045</v>
      </c>
      <c r="I9646">
        <v>50</v>
      </c>
    </row>
    <row r="9647" spans="1:9" x14ac:dyDescent="0.25">
      <c r="A9647">
        <v>4240</v>
      </c>
      <c r="B9647">
        <v>18</v>
      </c>
      <c r="C9647" t="s">
        <v>946</v>
      </c>
      <c r="D9647" t="s">
        <v>89</v>
      </c>
      <c r="E9647" t="s">
        <v>263</v>
      </c>
      <c r="F9647" t="s">
        <v>948</v>
      </c>
      <c r="G9647">
        <v>1800000</v>
      </c>
      <c r="H9647">
        <v>145000</v>
      </c>
      <c r="I9647" t="s">
        <v>949</v>
      </c>
    </row>
    <row r="9648" spans="1:9" x14ac:dyDescent="0.25">
      <c r="A9648">
        <v>4141</v>
      </c>
      <c r="B9648">
        <v>18</v>
      </c>
      <c r="C9648" t="s">
        <v>946</v>
      </c>
      <c r="D9648" t="s">
        <v>89</v>
      </c>
      <c r="E9648" t="s">
        <v>100</v>
      </c>
      <c r="F9648" t="s">
        <v>948</v>
      </c>
      <c r="G9648">
        <v>1877777</v>
      </c>
      <c r="H9648">
        <v>500220</v>
      </c>
      <c r="I9648">
        <v>50</v>
      </c>
    </row>
    <row r="9649" spans="1:9" x14ac:dyDescent="0.25">
      <c r="A9649">
        <v>4220</v>
      </c>
      <c r="B9649">
        <v>18</v>
      </c>
      <c r="C9649" t="s">
        <v>946</v>
      </c>
      <c r="D9649" t="s">
        <v>89</v>
      </c>
      <c r="E9649" t="s">
        <v>100</v>
      </c>
      <c r="F9649" t="s">
        <v>948</v>
      </c>
      <c r="G9649">
        <v>1877777</v>
      </c>
      <c r="H9649">
        <v>500220</v>
      </c>
      <c r="I9649">
        <v>50</v>
      </c>
    </row>
    <row r="9650" spans="1:9" x14ac:dyDescent="0.25">
      <c r="A9650">
        <v>4230</v>
      </c>
      <c r="B9650">
        <v>18</v>
      </c>
      <c r="C9650" t="s">
        <v>946</v>
      </c>
      <c r="D9650" t="s">
        <v>89</v>
      </c>
      <c r="E9650" t="s">
        <v>100</v>
      </c>
      <c r="F9650" t="s">
        <v>948</v>
      </c>
      <c r="G9650">
        <v>1899999</v>
      </c>
      <c r="H9650">
        <v>401045</v>
      </c>
      <c r="I9650">
        <v>50</v>
      </c>
    </row>
    <row r="9651" spans="1:9" x14ac:dyDescent="0.25">
      <c r="A9651">
        <v>4240</v>
      </c>
      <c r="B9651">
        <v>18</v>
      </c>
      <c r="C9651" t="s">
        <v>946</v>
      </c>
      <c r="D9651" t="s">
        <v>89</v>
      </c>
      <c r="E9651" t="s">
        <v>100</v>
      </c>
      <c r="F9651" t="s">
        <v>948</v>
      </c>
      <c r="G9651">
        <v>1877777</v>
      </c>
      <c r="H9651">
        <v>500221</v>
      </c>
      <c r="I9651" t="s">
        <v>949</v>
      </c>
    </row>
    <row r="9652" spans="1:9" x14ac:dyDescent="0.25">
      <c r="A9652">
        <v>4141</v>
      </c>
      <c r="B9652">
        <v>18</v>
      </c>
      <c r="C9652" t="s">
        <v>946</v>
      </c>
      <c r="D9652" t="s">
        <v>89</v>
      </c>
      <c r="E9652" t="s">
        <v>270</v>
      </c>
      <c r="F9652" t="s">
        <v>948</v>
      </c>
      <c r="G9652">
        <v>1877777</v>
      </c>
      <c r="H9652">
        <v>501010</v>
      </c>
      <c r="I9652">
        <v>50</v>
      </c>
    </row>
    <row r="9653" spans="1:9" x14ac:dyDescent="0.25">
      <c r="A9653">
        <v>4220</v>
      </c>
      <c r="B9653">
        <v>18</v>
      </c>
      <c r="C9653" t="s">
        <v>946</v>
      </c>
      <c r="D9653" t="s">
        <v>89</v>
      </c>
      <c r="E9653" t="s">
        <v>270</v>
      </c>
      <c r="F9653" t="s">
        <v>948</v>
      </c>
      <c r="G9653">
        <v>1877777</v>
      </c>
      <c r="H9653">
        <v>501010</v>
      </c>
      <c r="I9653">
        <v>50</v>
      </c>
    </row>
    <row r="9654" spans="1:9" x14ac:dyDescent="0.25">
      <c r="A9654">
        <v>4230</v>
      </c>
      <c r="B9654">
        <v>18</v>
      </c>
      <c r="C9654" t="s">
        <v>946</v>
      </c>
      <c r="D9654" t="s">
        <v>89</v>
      </c>
      <c r="E9654" t="s">
        <v>270</v>
      </c>
      <c r="F9654" t="s">
        <v>948</v>
      </c>
      <c r="G9654">
        <v>1899999</v>
      </c>
      <c r="H9654">
        <v>401065</v>
      </c>
      <c r="I9654">
        <v>50</v>
      </c>
    </row>
    <row r="9655" spans="1:9" x14ac:dyDescent="0.25">
      <c r="A9655">
        <v>4240</v>
      </c>
      <c r="B9655">
        <v>18</v>
      </c>
      <c r="C9655" t="s">
        <v>946</v>
      </c>
      <c r="D9655" t="s">
        <v>89</v>
      </c>
      <c r="E9655" t="s">
        <v>270</v>
      </c>
      <c r="F9655" t="s">
        <v>948</v>
      </c>
      <c r="G9655">
        <v>1800000</v>
      </c>
      <c r="H9655">
        <v>145000</v>
      </c>
      <c r="I9655" t="s">
        <v>949</v>
      </c>
    </row>
    <row r="9656" spans="1:9" x14ac:dyDescent="0.25">
      <c r="A9656">
        <v>4141</v>
      </c>
      <c r="B9656">
        <v>18</v>
      </c>
      <c r="C9656" t="s">
        <v>946</v>
      </c>
      <c r="D9656" t="s">
        <v>89</v>
      </c>
      <c r="E9656" t="s">
        <v>274</v>
      </c>
      <c r="F9656" t="s">
        <v>948</v>
      </c>
      <c r="G9656">
        <v>1877777</v>
      </c>
      <c r="H9656">
        <v>501010</v>
      </c>
      <c r="I9656">
        <v>50</v>
      </c>
    </row>
    <row r="9657" spans="1:9" x14ac:dyDescent="0.25">
      <c r="A9657">
        <v>4220</v>
      </c>
      <c r="B9657">
        <v>18</v>
      </c>
      <c r="C9657" t="s">
        <v>946</v>
      </c>
      <c r="D9657" t="s">
        <v>89</v>
      </c>
      <c r="E9657" t="s">
        <v>274</v>
      </c>
      <c r="F9657" t="s">
        <v>948</v>
      </c>
      <c r="G9657">
        <v>1877777</v>
      </c>
      <c r="H9657">
        <v>501010</v>
      </c>
      <c r="I9657">
        <v>50</v>
      </c>
    </row>
    <row r="9658" spans="1:9" x14ac:dyDescent="0.25">
      <c r="A9658">
        <v>4230</v>
      </c>
      <c r="B9658">
        <v>18</v>
      </c>
      <c r="C9658" t="s">
        <v>946</v>
      </c>
      <c r="D9658" t="s">
        <v>89</v>
      </c>
      <c r="E9658" t="s">
        <v>274</v>
      </c>
      <c r="F9658" t="s">
        <v>948</v>
      </c>
      <c r="G9658">
        <v>1899999</v>
      </c>
      <c r="H9658">
        <v>401045</v>
      </c>
      <c r="I9658">
        <v>50</v>
      </c>
    </row>
    <row r="9659" spans="1:9" x14ac:dyDescent="0.25">
      <c r="A9659">
        <v>4240</v>
      </c>
      <c r="B9659">
        <v>18</v>
      </c>
      <c r="C9659" t="s">
        <v>946</v>
      </c>
      <c r="D9659" t="s">
        <v>89</v>
      </c>
      <c r="E9659" t="s">
        <v>274</v>
      </c>
      <c r="F9659" t="s">
        <v>948</v>
      </c>
      <c r="G9659">
        <v>1800000</v>
      </c>
      <c r="H9659">
        <v>143000</v>
      </c>
      <c r="I9659" t="s">
        <v>973</v>
      </c>
    </row>
    <row r="9660" spans="1:9" x14ac:dyDescent="0.25">
      <c r="A9660">
        <v>4141</v>
      </c>
      <c r="B9660">
        <v>18</v>
      </c>
      <c r="C9660" t="s">
        <v>946</v>
      </c>
      <c r="D9660" t="s">
        <v>89</v>
      </c>
      <c r="E9660" t="s">
        <v>104</v>
      </c>
      <c r="F9660" t="s">
        <v>948</v>
      </c>
      <c r="G9660">
        <v>1877777</v>
      </c>
      <c r="H9660">
        <v>500220</v>
      </c>
      <c r="I9660">
        <v>50</v>
      </c>
    </row>
    <row r="9661" spans="1:9" x14ac:dyDescent="0.25">
      <c r="A9661">
        <v>4220</v>
      </c>
      <c r="B9661">
        <v>18</v>
      </c>
      <c r="C9661" t="s">
        <v>946</v>
      </c>
      <c r="D9661" t="s">
        <v>89</v>
      </c>
      <c r="E9661" t="s">
        <v>104</v>
      </c>
      <c r="F9661" t="s">
        <v>948</v>
      </c>
      <c r="G9661">
        <v>1877777</v>
      </c>
      <c r="H9661">
        <v>500220</v>
      </c>
      <c r="I9661">
        <v>50</v>
      </c>
    </row>
    <row r="9662" spans="1:9" x14ac:dyDescent="0.25">
      <c r="A9662">
        <v>4230</v>
      </c>
      <c r="B9662">
        <v>18</v>
      </c>
      <c r="C9662" t="s">
        <v>946</v>
      </c>
      <c r="D9662" t="s">
        <v>89</v>
      </c>
      <c r="E9662" t="s">
        <v>104</v>
      </c>
      <c r="F9662" t="s">
        <v>948</v>
      </c>
      <c r="G9662">
        <v>1899999</v>
      </c>
      <c r="H9662">
        <v>401045</v>
      </c>
      <c r="I9662">
        <v>50</v>
      </c>
    </row>
    <row r="9663" spans="1:9" x14ac:dyDescent="0.25">
      <c r="A9663">
        <v>4240</v>
      </c>
      <c r="B9663">
        <v>18</v>
      </c>
      <c r="C9663" t="s">
        <v>946</v>
      </c>
      <c r="D9663" t="s">
        <v>89</v>
      </c>
      <c r="E9663" t="s">
        <v>104</v>
      </c>
      <c r="F9663" t="s">
        <v>948</v>
      </c>
      <c r="G9663">
        <v>1877777</v>
      </c>
      <c r="H9663">
        <v>500221</v>
      </c>
      <c r="I9663" t="s">
        <v>949</v>
      </c>
    </row>
    <row r="9664" spans="1:9" x14ac:dyDescent="0.25">
      <c r="A9664">
        <v>4141</v>
      </c>
      <c r="B9664">
        <v>18</v>
      </c>
      <c r="C9664" t="s">
        <v>946</v>
      </c>
      <c r="D9664" t="s">
        <v>89</v>
      </c>
      <c r="E9664" t="s">
        <v>278</v>
      </c>
      <c r="F9664" t="s">
        <v>948</v>
      </c>
      <c r="G9664">
        <v>1877777</v>
      </c>
      <c r="H9664">
        <v>501010</v>
      </c>
      <c r="I9664">
        <v>50</v>
      </c>
    </row>
    <row r="9665" spans="1:9" x14ac:dyDescent="0.25">
      <c r="A9665">
        <v>4220</v>
      </c>
      <c r="B9665">
        <v>18</v>
      </c>
      <c r="C9665" t="s">
        <v>946</v>
      </c>
      <c r="D9665" t="s">
        <v>89</v>
      </c>
      <c r="E9665" t="s">
        <v>278</v>
      </c>
      <c r="F9665" t="s">
        <v>948</v>
      </c>
      <c r="G9665">
        <v>1877777</v>
      </c>
      <c r="H9665">
        <v>501010</v>
      </c>
      <c r="I9665">
        <v>50</v>
      </c>
    </row>
    <row r="9666" spans="1:9" x14ac:dyDescent="0.25">
      <c r="A9666">
        <v>4230</v>
      </c>
      <c r="B9666">
        <v>18</v>
      </c>
      <c r="C9666" t="s">
        <v>946</v>
      </c>
      <c r="D9666" t="s">
        <v>89</v>
      </c>
      <c r="E9666" t="s">
        <v>278</v>
      </c>
      <c r="F9666" t="s">
        <v>948</v>
      </c>
      <c r="G9666">
        <v>1899999</v>
      </c>
      <c r="H9666">
        <v>401055</v>
      </c>
      <c r="I9666">
        <v>50</v>
      </c>
    </row>
    <row r="9667" spans="1:9" x14ac:dyDescent="0.25">
      <c r="A9667">
        <v>4240</v>
      </c>
      <c r="B9667">
        <v>18</v>
      </c>
      <c r="C9667" t="s">
        <v>946</v>
      </c>
      <c r="D9667" t="s">
        <v>89</v>
      </c>
      <c r="E9667" t="s">
        <v>278</v>
      </c>
      <c r="F9667" t="s">
        <v>948</v>
      </c>
      <c r="G9667">
        <v>1800000</v>
      </c>
      <c r="H9667">
        <v>145000</v>
      </c>
      <c r="I9667" t="s">
        <v>949</v>
      </c>
    </row>
    <row r="9668" spans="1:9" x14ac:dyDescent="0.25">
      <c r="A9668">
        <v>4141</v>
      </c>
      <c r="B9668">
        <v>18</v>
      </c>
      <c r="C9668" t="s">
        <v>946</v>
      </c>
      <c r="D9668" t="s">
        <v>89</v>
      </c>
      <c r="E9668" t="s">
        <v>282</v>
      </c>
      <c r="F9668" t="s">
        <v>948</v>
      </c>
      <c r="G9668">
        <v>1877777</v>
      </c>
      <c r="H9668">
        <v>501010</v>
      </c>
      <c r="I9668">
        <v>50</v>
      </c>
    </row>
    <row r="9669" ht="22" customHeight="1" spans="1:10" x14ac:dyDescent="0.25">
      <c r="A9669" s="41">
        <v>4220</v>
      </c>
      <c r="B9669" s="41">
        <v>18</v>
      </c>
      <c r="C9669" s="41" t="s">
        <v>946</v>
      </c>
      <c r="D9669" s="41" t="s">
        <v>89</v>
      </c>
      <c r="E9669" s="41" t="s">
        <v>282</v>
      </c>
      <c r="F9669" s="41" t="s">
        <v>948</v>
      </c>
      <c r="G9669" s="41">
        <v>1877777</v>
      </c>
      <c r="H9669" s="41">
        <v>501010</v>
      </c>
      <c r="I9669" s="41">
        <v>50</v>
      </c>
      <c r="J9669" s="42" t="s">
        <v>1035</v>
      </c>
    </row>
    <row r="9670" spans="1:9" x14ac:dyDescent="0.25">
      <c r="A9670">
        <v>4230</v>
      </c>
      <c r="B9670">
        <v>18</v>
      </c>
      <c r="C9670" t="s">
        <v>946</v>
      </c>
      <c r="D9670" t="s">
        <v>89</v>
      </c>
      <c r="E9670" t="s">
        <v>282</v>
      </c>
      <c r="F9670" t="s">
        <v>948</v>
      </c>
      <c r="G9670">
        <v>1899999</v>
      </c>
      <c r="H9670">
        <v>401045</v>
      </c>
      <c r="I9670">
        <v>50</v>
      </c>
    </row>
    <row r="9671" spans="1:9" x14ac:dyDescent="0.25">
      <c r="A9671">
        <v>4141</v>
      </c>
      <c r="B9671">
        <v>18</v>
      </c>
      <c r="C9671" t="s">
        <v>946</v>
      </c>
      <c r="D9671" t="s">
        <v>89</v>
      </c>
      <c r="E9671" t="s">
        <v>286</v>
      </c>
      <c r="F9671" t="s">
        <v>948</v>
      </c>
      <c r="G9671">
        <v>1877777</v>
      </c>
      <c r="H9671">
        <v>501010</v>
      </c>
      <c r="I9671">
        <v>50</v>
      </c>
    </row>
    <row r="9672" spans="1:9" x14ac:dyDescent="0.25">
      <c r="A9672">
        <v>4220</v>
      </c>
      <c r="B9672">
        <v>18</v>
      </c>
      <c r="C9672" t="s">
        <v>946</v>
      </c>
      <c r="D9672" t="s">
        <v>89</v>
      </c>
      <c r="E9672" t="s">
        <v>286</v>
      </c>
      <c r="F9672" t="s">
        <v>948</v>
      </c>
      <c r="G9672">
        <v>1877777</v>
      </c>
      <c r="H9672">
        <v>501010</v>
      </c>
      <c r="I9672">
        <v>50</v>
      </c>
    </row>
    <row r="9673" spans="1:9" x14ac:dyDescent="0.25">
      <c r="A9673">
        <v>4230</v>
      </c>
      <c r="B9673">
        <v>18</v>
      </c>
      <c r="C9673" t="s">
        <v>946</v>
      </c>
      <c r="D9673" t="s">
        <v>89</v>
      </c>
      <c r="E9673" t="s">
        <v>286</v>
      </c>
      <c r="F9673" t="s">
        <v>948</v>
      </c>
      <c r="G9673">
        <v>1899999</v>
      </c>
      <c r="H9673">
        <v>401035</v>
      </c>
      <c r="I9673">
        <v>50</v>
      </c>
    </row>
    <row r="9674" spans="1:9" x14ac:dyDescent="0.25">
      <c r="A9674">
        <v>4240</v>
      </c>
      <c r="B9674">
        <v>18</v>
      </c>
      <c r="C9674" t="s">
        <v>946</v>
      </c>
      <c r="D9674" t="s">
        <v>89</v>
      </c>
      <c r="E9674" t="s">
        <v>286</v>
      </c>
      <c r="F9674" t="s">
        <v>948</v>
      </c>
      <c r="G9674">
        <v>1800000</v>
      </c>
      <c r="H9674">
        <v>145000</v>
      </c>
      <c r="I9674" t="s">
        <v>949</v>
      </c>
    </row>
    <row r="9675" spans="1:9" x14ac:dyDescent="0.25">
      <c r="A9675">
        <v>4141</v>
      </c>
      <c r="B9675">
        <v>18</v>
      </c>
      <c r="C9675" t="s">
        <v>946</v>
      </c>
      <c r="D9675" t="s">
        <v>89</v>
      </c>
      <c r="E9675" t="s">
        <v>290</v>
      </c>
      <c r="F9675" t="s">
        <v>948</v>
      </c>
      <c r="G9675">
        <v>1877777</v>
      </c>
      <c r="H9675">
        <v>501010</v>
      </c>
      <c r="I9675">
        <v>50</v>
      </c>
    </row>
    <row r="9676" spans="1:9" x14ac:dyDescent="0.25">
      <c r="A9676">
        <v>4220</v>
      </c>
      <c r="B9676">
        <v>18</v>
      </c>
      <c r="C9676" t="s">
        <v>946</v>
      </c>
      <c r="D9676" t="s">
        <v>89</v>
      </c>
      <c r="E9676" t="s">
        <v>290</v>
      </c>
      <c r="F9676" t="s">
        <v>948</v>
      </c>
      <c r="G9676">
        <v>1877777</v>
      </c>
      <c r="H9676">
        <v>501010</v>
      </c>
      <c r="I9676">
        <v>50</v>
      </c>
    </row>
    <row r="9677" spans="1:9" x14ac:dyDescent="0.25">
      <c r="A9677">
        <v>4230</v>
      </c>
      <c r="B9677">
        <v>18</v>
      </c>
      <c r="C9677" t="s">
        <v>946</v>
      </c>
      <c r="D9677" t="s">
        <v>89</v>
      </c>
      <c r="E9677" t="s">
        <v>290</v>
      </c>
      <c r="F9677" t="s">
        <v>948</v>
      </c>
      <c r="G9677">
        <v>1899999</v>
      </c>
      <c r="H9677">
        <v>401045</v>
      </c>
      <c r="I9677">
        <v>50</v>
      </c>
    </row>
    <row r="9678" spans="1:9" x14ac:dyDescent="0.25">
      <c r="A9678">
        <v>4240</v>
      </c>
      <c r="B9678">
        <v>18</v>
      </c>
      <c r="C9678" t="s">
        <v>946</v>
      </c>
      <c r="D9678" t="s">
        <v>89</v>
      </c>
      <c r="E9678" t="s">
        <v>290</v>
      </c>
      <c r="F9678" t="s">
        <v>948</v>
      </c>
      <c r="G9678">
        <v>1800000</v>
      </c>
      <c r="H9678">
        <v>143000</v>
      </c>
      <c r="I9678" t="s">
        <v>978</v>
      </c>
    </row>
    <row r="9679" spans="1:9" x14ac:dyDescent="0.25">
      <c r="A9679">
        <v>4141</v>
      </c>
      <c r="B9679">
        <v>18</v>
      </c>
      <c r="C9679" t="s">
        <v>946</v>
      </c>
      <c r="D9679" t="s">
        <v>89</v>
      </c>
      <c r="E9679" t="s">
        <v>294</v>
      </c>
      <c r="F9679" t="s">
        <v>948</v>
      </c>
      <c r="G9679">
        <v>1877777</v>
      </c>
      <c r="H9679">
        <v>501010</v>
      </c>
      <c r="I9679">
        <v>50</v>
      </c>
    </row>
    <row r="9680" spans="1:9" x14ac:dyDescent="0.25">
      <c r="A9680">
        <v>4220</v>
      </c>
      <c r="B9680">
        <v>18</v>
      </c>
      <c r="C9680" t="s">
        <v>946</v>
      </c>
      <c r="D9680" t="s">
        <v>89</v>
      </c>
      <c r="E9680" t="s">
        <v>294</v>
      </c>
      <c r="F9680" t="s">
        <v>948</v>
      </c>
      <c r="G9680">
        <v>1877777</v>
      </c>
      <c r="H9680">
        <v>501010</v>
      </c>
      <c r="I9680">
        <v>50</v>
      </c>
    </row>
    <row r="9681" spans="1:9" x14ac:dyDescent="0.25">
      <c r="A9681">
        <v>4230</v>
      </c>
      <c r="B9681">
        <v>18</v>
      </c>
      <c r="C9681" t="s">
        <v>946</v>
      </c>
      <c r="D9681" t="s">
        <v>89</v>
      </c>
      <c r="E9681" t="s">
        <v>294</v>
      </c>
      <c r="F9681" t="s">
        <v>948</v>
      </c>
      <c r="G9681">
        <v>1899999</v>
      </c>
      <c r="H9681">
        <v>401045</v>
      </c>
      <c r="I9681">
        <v>50</v>
      </c>
    </row>
    <row r="9682" spans="1:9" x14ac:dyDescent="0.25">
      <c r="A9682">
        <v>4240</v>
      </c>
      <c r="B9682">
        <v>18</v>
      </c>
      <c r="C9682" t="s">
        <v>946</v>
      </c>
      <c r="D9682" t="s">
        <v>89</v>
      </c>
      <c r="E9682" t="s">
        <v>294</v>
      </c>
      <c r="F9682" t="s">
        <v>948</v>
      </c>
      <c r="G9682">
        <v>1800000</v>
      </c>
      <c r="H9682">
        <v>143000</v>
      </c>
      <c r="I9682" t="s">
        <v>979</v>
      </c>
    </row>
    <row r="9683" spans="1:9" x14ac:dyDescent="0.25">
      <c r="A9683">
        <v>4230</v>
      </c>
      <c r="B9683">
        <v>18</v>
      </c>
      <c r="C9683" t="s">
        <v>946</v>
      </c>
      <c r="D9683" t="s">
        <v>89</v>
      </c>
      <c r="E9683" t="s">
        <v>298</v>
      </c>
      <c r="F9683" t="s">
        <v>948</v>
      </c>
      <c r="G9683">
        <v>1899999</v>
      </c>
      <c r="H9683">
        <v>402085</v>
      </c>
      <c r="I9683">
        <v>50</v>
      </c>
    </row>
    <row r="9684" spans="1:9" x14ac:dyDescent="0.25">
      <c r="A9684">
        <v>4141</v>
      </c>
      <c r="B9684">
        <v>18</v>
      </c>
      <c r="C9684" t="s">
        <v>946</v>
      </c>
      <c r="D9684" t="s">
        <v>89</v>
      </c>
      <c r="E9684" t="s">
        <v>302</v>
      </c>
      <c r="F9684" t="s">
        <v>948</v>
      </c>
      <c r="G9684">
        <v>1877777</v>
      </c>
      <c r="H9684">
        <v>501010</v>
      </c>
      <c r="I9684">
        <v>50</v>
      </c>
    </row>
    <row r="9685" spans="1:9" x14ac:dyDescent="0.25">
      <c r="A9685">
        <v>4220</v>
      </c>
      <c r="B9685">
        <v>18</v>
      </c>
      <c r="C9685" t="s">
        <v>946</v>
      </c>
      <c r="D9685" t="s">
        <v>89</v>
      </c>
      <c r="E9685" t="s">
        <v>302</v>
      </c>
      <c r="F9685" t="s">
        <v>948</v>
      </c>
      <c r="G9685">
        <v>1877777</v>
      </c>
      <c r="H9685">
        <v>501010</v>
      </c>
      <c r="I9685">
        <v>50</v>
      </c>
    </row>
    <row r="9686" spans="1:9" x14ac:dyDescent="0.25">
      <c r="A9686">
        <v>4230</v>
      </c>
      <c r="B9686">
        <v>18</v>
      </c>
      <c r="C9686" t="s">
        <v>946</v>
      </c>
      <c r="D9686" t="s">
        <v>89</v>
      </c>
      <c r="E9686" t="s">
        <v>302</v>
      </c>
      <c r="F9686" t="s">
        <v>948</v>
      </c>
      <c r="G9686">
        <v>1899999</v>
      </c>
      <c r="H9686">
        <v>401905</v>
      </c>
      <c r="I9686">
        <v>50</v>
      </c>
    </row>
    <row r="9687" spans="1:9" x14ac:dyDescent="0.25">
      <c r="A9687">
        <v>4240</v>
      </c>
      <c r="B9687">
        <v>18</v>
      </c>
      <c r="C9687" t="s">
        <v>946</v>
      </c>
      <c r="D9687" t="s">
        <v>89</v>
      </c>
      <c r="E9687" t="s">
        <v>302</v>
      </c>
      <c r="F9687" t="s">
        <v>948</v>
      </c>
      <c r="G9687">
        <v>1800000</v>
      </c>
      <c r="H9687">
        <v>143000</v>
      </c>
      <c r="I9687" t="s">
        <v>982</v>
      </c>
    </row>
    <row r="9688" spans="1:9" x14ac:dyDescent="0.25">
      <c r="A9688">
        <v>4141</v>
      </c>
      <c r="B9688">
        <v>18</v>
      </c>
      <c r="C9688" t="s">
        <v>946</v>
      </c>
      <c r="D9688" t="s">
        <v>89</v>
      </c>
      <c r="E9688" t="s">
        <v>306</v>
      </c>
      <c r="F9688" t="s">
        <v>948</v>
      </c>
      <c r="G9688">
        <v>1877777</v>
      </c>
      <c r="H9688">
        <v>501010</v>
      </c>
      <c r="I9688">
        <v>50</v>
      </c>
    </row>
    <row r="9689" spans="1:9" x14ac:dyDescent="0.25">
      <c r="A9689">
        <v>4220</v>
      </c>
      <c r="B9689">
        <v>18</v>
      </c>
      <c r="C9689" t="s">
        <v>946</v>
      </c>
      <c r="D9689" t="s">
        <v>89</v>
      </c>
      <c r="E9689" t="s">
        <v>306</v>
      </c>
      <c r="F9689" t="s">
        <v>948</v>
      </c>
      <c r="G9689">
        <v>1877777</v>
      </c>
      <c r="H9689">
        <v>501010</v>
      </c>
      <c r="I9689">
        <v>50</v>
      </c>
    </row>
    <row r="9690" spans="1:9" x14ac:dyDescent="0.25">
      <c r="A9690">
        <v>4230</v>
      </c>
      <c r="B9690">
        <v>18</v>
      </c>
      <c r="C9690" t="s">
        <v>946</v>
      </c>
      <c r="D9690" t="s">
        <v>89</v>
      </c>
      <c r="E9690" t="s">
        <v>306</v>
      </c>
      <c r="F9690" t="s">
        <v>948</v>
      </c>
      <c r="G9690">
        <v>1899999</v>
      </c>
      <c r="H9690">
        <v>401045</v>
      </c>
      <c r="I9690">
        <v>50</v>
      </c>
    </row>
    <row r="9691" spans="1:9" x14ac:dyDescent="0.25">
      <c r="A9691">
        <v>4240</v>
      </c>
      <c r="B9691">
        <v>18</v>
      </c>
      <c r="C9691" t="s">
        <v>946</v>
      </c>
      <c r="D9691" t="s">
        <v>89</v>
      </c>
      <c r="E9691" t="s">
        <v>306</v>
      </c>
      <c r="F9691" t="s">
        <v>948</v>
      </c>
      <c r="G9691">
        <v>1800000</v>
      </c>
      <c r="H9691">
        <v>143000</v>
      </c>
      <c r="I9691" t="s">
        <v>983</v>
      </c>
    </row>
    <row r="9692" spans="1:9" x14ac:dyDescent="0.25">
      <c r="A9692">
        <v>4141</v>
      </c>
      <c r="B9692">
        <v>18</v>
      </c>
      <c r="C9692" t="s">
        <v>946</v>
      </c>
      <c r="D9692" t="s">
        <v>89</v>
      </c>
      <c r="E9692" t="s">
        <v>108</v>
      </c>
      <c r="F9692" t="s">
        <v>948</v>
      </c>
      <c r="G9692">
        <v>1877777</v>
      </c>
      <c r="H9692">
        <v>500220</v>
      </c>
      <c r="I9692">
        <v>50</v>
      </c>
    </row>
    <row r="9693" ht="22" customHeight="1" spans="1:10" x14ac:dyDescent="0.25">
      <c r="A9693" s="41">
        <v>4220</v>
      </c>
      <c r="B9693" s="41">
        <v>18</v>
      </c>
      <c r="C9693" s="41" t="s">
        <v>946</v>
      </c>
      <c r="D9693" s="41" t="s">
        <v>89</v>
      </c>
      <c r="E9693" s="41" t="s">
        <v>108</v>
      </c>
      <c r="F9693" s="41" t="s">
        <v>948</v>
      </c>
      <c r="G9693" s="41">
        <v>1877777</v>
      </c>
      <c r="H9693" s="41">
        <v>500220</v>
      </c>
      <c r="I9693" s="41">
        <v>50</v>
      </c>
      <c r="J9693" s="42" t="s">
        <v>1035</v>
      </c>
    </row>
    <row r="9694" spans="1:9" x14ac:dyDescent="0.25">
      <c r="A9694">
        <v>4230</v>
      </c>
      <c r="B9694">
        <v>18</v>
      </c>
      <c r="C9694" t="s">
        <v>946</v>
      </c>
      <c r="D9694" t="s">
        <v>89</v>
      </c>
      <c r="E9694" t="s">
        <v>108</v>
      </c>
      <c r="F9694" t="s">
        <v>948</v>
      </c>
      <c r="G9694">
        <v>1899999</v>
      </c>
      <c r="H9694">
        <v>401045</v>
      </c>
      <c r="I9694">
        <v>50</v>
      </c>
    </row>
    <row r="9695" spans="1:9" x14ac:dyDescent="0.25">
      <c r="A9695">
        <v>4141</v>
      </c>
      <c r="B9695">
        <v>18</v>
      </c>
      <c r="C9695" t="s">
        <v>946</v>
      </c>
      <c r="D9695" t="s">
        <v>89</v>
      </c>
      <c r="E9695" t="s">
        <v>310</v>
      </c>
      <c r="F9695" t="s">
        <v>948</v>
      </c>
      <c r="G9695">
        <v>1877777</v>
      </c>
      <c r="H9695">
        <v>501010</v>
      </c>
      <c r="I9695">
        <v>50</v>
      </c>
    </row>
    <row r="9696" spans="1:9" x14ac:dyDescent="0.25">
      <c r="A9696">
        <v>4220</v>
      </c>
      <c r="B9696">
        <v>18</v>
      </c>
      <c r="C9696" t="s">
        <v>946</v>
      </c>
      <c r="D9696" t="s">
        <v>89</v>
      </c>
      <c r="E9696" t="s">
        <v>310</v>
      </c>
      <c r="F9696" t="s">
        <v>948</v>
      </c>
      <c r="G9696">
        <v>1877777</v>
      </c>
      <c r="H9696">
        <v>501010</v>
      </c>
      <c r="I9696">
        <v>50</v>
      </c>
    </row>
    <row r="9697" spans="1:9" x14ac:dyDescent="0.25">
      <c r="A9697">
        <v>4230</v>
      </c>
      <c r="B9697">
        <v>18</v>
      </c>
      <c r="C9697" t="s">
        <v>946</v>
      </c>
      <c r="D9697" t="s">
        <v>89</v>
      </c>
      <c r="E9697" t="s">
        <v>310</v>
      </c>
      <c r="F9697" t="s">
        <v>948</v>
      </c>
      <c r="G9697">
        <v>1899999</v>
      </c>
      <c r="H9697">
        <v>401015</v>
      </c>
      <c r="I9697">
        <v>50</v>
      </c>
    </row>
    <row r="9698" spans="1:9" x14ac:dyDescent="0.25">
      <c r="A9698">
        <v>4240</v>
      </c>
      <c r="B9698">
        <v>18</v>
      </c>
      <c r="C9698" t="s">
        <v>946</v>
      </c>
      <c r="D9698" t="s">
        <v>89</v>
      </c>
      <c r="E9698" t="s">
        <v>310</v>
      </c>
      <c r="F9698" t="s">
        <v>948</v>
      </c>
      <c r="G9698">
        <v>1800000</v>
      </c>
      <c r="H9698">
        <v>145000</v>
      </c>
      <c r="I9698" t="s">
        <v>949</v>
      </c>
    </row>
    <row r="9699" spans="1:9" x14ac:dyDescent="0.25">
      <c r="A9699">
        <v>4141</v>
      </c>
      <c r="B9699">
        <v>18</v>
      </c>
      <c r="C9699" t="s">
        <v>946</v>
      </c>
      <c r="D9699" t="s">
        <v>89</v>
      </c>
      <c r="E9699" t="s">
        <v>314</v>
      </c>
      <c r="F9699" t="s">
        <v>948</v>
      </c>
      <c r="G9699">
        <v>1877777</v>
      </c>
      <c r="H9699">
        <v>501010</v>
      </c>
      <c r="I9699">
        <v>50</v>
      </c>
    </row>
    <row r="9700" spans="1:9" x14ac:dyDescent="0.25">
      <c r="A9700">
        <v>4220</v>
      </c>
      <c r="B9700">
        <v>18</v>
      </c>
      <c r="C9700" t="s">
        <v>946</v>
      </c>
      <c r="D9700" t="s">
        <v>89</v>
      </c>
      <c r="E9700" t="s">
        <v>314</v>
      </c>
      <c r="F9700" t="s">
        <v>948</v>
      </c>
      <c r="G9700">
        <v>1877777</v>
      </c>
      <c r="H9700">
        <v>501010</v>
      </c>
      <c r="I9700">
        <v>50</v>
      </c>
    </row>
    <row r="9701" spans="1:9" x14ac:dyDescent="0.25">
      <c r="A9701">
        <v>4230</v>
      </c>
      <c r="B9701">
        <v>18</v>
      </c>
      <c r="C9701" t="s">
        <v>946</v>
      </c>
      <c r="D9701" t="s">
        <v>89</v>
      </c>
      <c r="E9701" t="s">
        <v>314</v>
      </c>
      <c r="F9701" t="s">
        <v>948</v>
      </c>
      <c r="G9701">
        <v>1899999</v>
      </c>
      <c r="H9701">
        <v>401065</v>
      </c>
      <c r="I9701">
        <v>50</v>
      </c>
    </row>
    <row r="9702" spans="1:9" x14ac:dyDescent="0.25">
      <c r="A9702">
        <v>4240</v>
      </c>
      <c r="B9702">
        <v>18</v>
      </c>
      <c r="C9702" t="s">
        <v>946</v>
      </c>
      <c r="D9702" t="s">
        <v>89</v>
      </c>
      <c r="E9702" t="s">
        <v>314</v>
      </c>
      <c r="F9702" t="s">
        <v>948</v>
      </c>
      <c r="G9702">
        <v>1800000</v>
      </c>
      <c r="H9702">
        <v>145000</v>
      </c>
      <c r="I9702" t="s">
        <v>949</v>
      </c>
    </row>
    <row r="9703" spans="1:9" x14ac:dyDescent="0.25">
      <c r="A9703">
        <v>4141</v>
      </c>
      <c r="B9703">
        <v>18</v>
      </c>
      <c r="C9703" t="s">
        <v>946</v>
      </c>
      <c r="D9703" t="s">
        <v>89</v>
      </c>
      <c r="E9703" t="s">
        <v>113</v>
      </c>
      <c r="F9703" t="s">
        <v>948</v>
      </c>
      <c r="G9703">
        <v>1877777</v>
      </c>
      <c r="H9703">
        <v>500220</v>
      </c>
      <c r="I9703">
        <v>50</v>
      </c>
    </row>
    <row r="9704" ht="22" customHeight="1" spans="1:10" x14ac:dyDescent="0.25">
      <c r="A9704" s="41">
        <v>4220</v>
      </c>
      <c r="B9704" s="41">
        <v>18</v>
      </c>
      <c r="C9704" s="41" t="s">
        <v>946</v>
      </c>
      <c r="D9704" s="41" t="s">
        <v>89</v>
      </c>
      <c r="E9704" s="41" t="s">
        <v>113</v>
      </c>
      <c r="F9704" s="41" t="s">
        <v>948</v>
      </c>
      <c r="G9704" s="41">
        <v>1877777</v>
      </c>
      <c r="H9704" s="41">
        <v>500220</v>
      </c>
      <c r="I9704" s="41">
        <v>50</v>
      </c>
      <c r="J9704" s="42" t="s">
        <v>1035</v>
      </c>
    </row>
    <row r="9705" spans="1:9" x14ac:dyDescent="0.25">
      <c r="A9705">
        <v>4141</v>
      </c>
      <c r="B9705">
        <v>18</v>
      </c>
      <c r="C9705" t="s">
        <v>946</v>
      </c>
      <c r="D9705" t="s">
        <v>89</v>
      </c>
      <c r="E9705" t="s">
        <v>117</v>
      </c>
      <c r="F9705" t="s">
        <v>948</v>
      </c>
      <c r="G9705">
        <v>1877777</v>
      </c>
      <c r="H9705">
        <v>500220</v>
      </c>
      <c r="I9705">
        <v>50</v>
      </c>
    </row>
    <row r="9706" ht="22" customHeight="1" spans="1:10" x14ac:dyDescent="0.25">
      <c r="A9706" s="41">
        <v>4220</v>
      </c>
      <c r="B9706" s="41">
        <v>18</v>
      </c>
      <c r="C9706" s="41" t="s">
        <v>946</v>
      </c>
      <c r="D9706" s="41" t="s">
        <v>89</v>
      </c>
      <c r="E9706" s="41" t="s">
        <v>117</v>
      </c>
      <c r="F9706" s="41" t="s">
        <v>948</v>
      </c>
      <c r="G9706" s="41">
        <v>1877777</v>
      </c>
      <c r="H9706" s="41">
        <v>500220</v>
      </c>
      <c r="I9706" s="41">
        <v>50</v>
      </c>
      <c r="J9706" s="42" t="s">
        <v>1035</v>
      </c>
    </row>
    <row r="9707" spans="1:9" x14ac:dyDescent="0.25">
      <c r="A9707">
        <v>4141</v>
      </c>
      <c r="B9707">
        <v>18</v>
      </c>
      <c r="C9707" t="s">
        <v>946</v>
      </c>
      <c r="D9707" t="s">
        <v>89</v>
      </c>
      <c r="E9707" t="s">
        <v>121</v>
      </c>
      <c r="F9707" t="s">
        <v>948</v>
      </c>
      <c r="G9707">
        <v>1877777</v>
      </c>
      <c r="H9707">
        <v>500220</v>
      </c>
      <c r="I9707">
        <v>50</v>
      </c>
    </row>
    <row r="9708" ht="22" customHeight="1" spans="1:10" x14ac:dyDescent="0.25">
      <c r="A9708" s="41">
        <v>4220</v>
      </c>
      <c r="B9708" s="41">
        <v>18</v>
      </c>
      <c r="C9708" s="41" t="s">
        <v>946</v>
      </c>
      <c r="D9708" s="41" t="s">
        <v>89</v>
      </c>
      <c r="E9708" s="41" t="s">
        <v>121</v>
      </c>
      <c r="F9708" s="41" t="s">
        <v>948</v>
      </c>
      <c r="G9708" s="41">
        <v>1877777</v>
      </c>
      <c r="H9708" s="41">
        <v>500220</v>
      </c>
      <c r="I9708" s="41">
        <v>50</v>
      </c>
      <c r="J9708" s="42" t="s">
        <v>1035</v>
      </c>
    </row>
    <row r="9709" spans="1:9" x14ac:dyDescent="0.25">
      <c r="A9709">
        <v>4141</v>
      </c>
      <c r="B9709">
        <v>18</v>
      </c>
      <c r="C9709" t="s">
        <v>946</v>
      </c>
      <c r="D9709" t="s">
        <v>1036</v>
      </c>
      <c r="E9709" t="s">
        <v>49</v>
      </c>
      <c r="F9709" t="s">
        <v>948</v>
      </c>
      <c r="G9709">
        <v>1801515</v>
      </c>
      <c r="H9709">
        <v>700255</v>
      </c>
      <c r="I9709" t="s">
        <v>949</v>
      </c>
    </row>
    <row r="9710" spans="1:9" x14ac:dyDescent="0.25">
      <c r="A9710">
        <v>4220</v>
      </c>
      <c r="B9710">
        <v>18</v>
      </c>
      <c r="C9710" t="s">
        <v>946</v>
      </c>
      <c r="D9710" t="s">
        <v>1036</v>
      </c>
      <c r="E9710" t="s">
        <v>49</v>
      </c>
      <c r="F9710" t="s">
        <v>948</v>
      </c>
      <c r="G9710">
        <v>1801515</v>
      </c>
      <c r="H9710">
        <v>700255</v>
      </c>
      <c r="I9710" t="s">
        <v>949</v>
      </c>
    </row>
    <row r="9711" spans="1:9" x14ac:dyDescent="0.25">
      <c r="A9711">
        <v>4230</v>
      </c>
      <c r="B9711">
        <v>18</v>
      </c>
      <c r="C9711" t="s">
        <v>946</v>
      </c>
      <c r="D9711" t="s">
        <v>1036</v>
      </c>
      <c r="E9711" t="s">
        <v>49</v>
      </c>
      <c r="F9711" t="s">
        <v>948</v>
      </c>
      <c r="G9711">
        <v>1801515</v>
      </c>
      <c r="H9711">
        <v>700255</v>
      </c>
      <c r="I9711" t="s">
        <v>949</v>
      </c>
    </row>
    <row r="9712" spans="1:9" x14ac:dyDescent="0.25">
      <c r="A9712">
        <v>4240</v>
      </c>
      <c r="B9712">
        <v>18</v>
      </c>
      <c r="C9712" t="s">
        <v>946</v>
      </c>
      <c r="D9712" t="s">
        <v>1036</v>
      </c>
      <c r="E9712" t="s">
        <v>243</v>
      </c>
      <c r="F9712" t="s">
        <v>948</v>
      </c>
      <c r="G9712">
        <v>1800000</v>
      </c>
      <c r="H9712">
        <v>145000</v>
      </c>
      <c r="I9712" t="s">
        <v>949</v>
      </c>
    </row>
    <row r="9713" spans="1:9" x14ac:dyDescent="0.25">
      <c r="A9713">
        <v>4240</v>
      </c>
      <c r="B9713">
        <v>18</v>
      </c>
      <c r="C9713" t="s">
        <v>946</v>
      </c>
      <c r="D9713" t="s">
        <v>1036</v>
      </c>
      <c r="E9713" t="s">
        <v>247</v>
      </c>
      <c r="F9713" t="s">
        <v>948</v>
      </c>
      <c r="G9713">
        <v>1800000</v>
      </c>
      <c r="H9713">
        <v>145000</v>
      </c>
      <c r="I9713" t="s">
        <v>949</v>
      </c>
    </row>
    <row r="9714" spans="1:9" x14ac:dyDescent="0.25">
      <c r="A9714">
        <v>4141</v>
      </c>
      <c r="B9714">
        <v>18</v>
      </c>
      <c r="C9714" t="s">
        <v>946</v>
      </c>
      <c r="D9714" t="s">
        <v>1036</v>
      </c>
      <c r="E9714" t="s">
        <v>251</v>
      </c>
      <c r="F9714" t="s">
        <v>948</v>
      </c>
      <c r="G9714">
        <v>1877777</v>
      </c>
      <c r="H9714">
        <v>501010</v>
      </c>
      <c r="I9714" t="s">
        <v>949</v>
      </c>
    </row>
    <row r="9715" spans="1:9" x14ac:dyDescent="0.25">
      <c r="A9715">
        <v>4220</v>
      </c>
      <c r="B9715">
        <v>18</v>
      </c>
      <c r="C9715" t="s">
        <v>946</v>
      </c>
      <c r="D9715" t="s">
        <v>1036</v>
      </c>
      <c r="E9715" t="s">
        <v>251</v>
      </c>
      <c r="F9715" t="s">
        <v>948</v>
      </c>
      <c r="G9715">
        <v>1877777</v>
      </c>
      <c r="H9715">
        <v>501010</v>
      </c>
      <c r="I9715" t="s">
        <v>949</v>
      </c>
    </row>
    <row r="9716" spans="1:9" x14ac:dyDescent="0.25">
      <c r="A9716">
        <v>4240</v>
      </c>
      <c r="B9716">
        <v>18</v>
      </c>
      <c r="C9716" t="s">
        <v>946</v>
      </c>
      <c r="D9716" t="s">
        <v>1036</v>
      </c>
      <c r="E9716" t="s">
        <v>251</v>
      </c>
      <c r="F9716" t="s">
        <v>948</v>
      </c>
      <c r="G9716">
        <v>1800000</v>
      </c>
      <c r="H9716">
        <v>142000</v>
      </c>
      <c r="I9716" t="s">
        <v>949</v>
      </c>
    </row>
    <row r="9717" spans="1:9" x14ac:dyDescent="0.25">
      <c r="A9717">
        <v>4240</v>
      </c>
      <c r="B9717">
        <v>18</v>
      </c>
      <c r="C9717" t="s">
        <v>946</v>
      </c>
      <c r="D9717" t="s">
        <v>1036</v>
      </c>
      <c r="E9717" t="s">
        <v>969</v>
      </c>
      <c r="F9717" t="s">
        <v>948</v>
      </c>
      <c r="G9717">
        <v>1800000</v>
      </c>
      <c r="H9717">
        <v>141000</v>
      </c>
      <c r="I9717" t="s">
        <v>970</v>
      </c>
    </row>
    <row r="9718" spans="1:9" x14ac:dyDescent="0.25">
      <c r="A9718">
        <v>4240</v>
      </c>
      <c r="B9718">
        <v>18</v>
      </c>
      <c r="C9718" t="s">
        <v>946</v>
      </c>
      <c r="D9718" t="s">
        <v>1036</v>
      </c>
      <c r="E9718" t="s">
        <v>255</v>
      </c>
      <c r="F9718" t="s">
        <v>948</v>
      </c>
      <c r="G9718">
        <v>1800000</v>
      </c>
      <c r="H9718">
        <v>145000</v>
      </c>
      <c r="I9718" t="s">
        <v>949</v>
      </c>
    </row>
    <row r="9719" spans="1:9" x14ac:dyDescent="0.25">
      <c r="A9719">
        <v>4240</v>
      </c>
      <c r="B9719">
        <v>18</v>
      </c>
      <c r="C9719" t="s">
        <v>946</v>
      </c>
      <c r="D9719" t="s">
        <v>1036</v>
      </c>
      <c r="E9719" t="s">
        <v>971</v>
      </c>
      <c r="F9719" t="s">
        <v>948</v>
      </c>
      <c r="G9719">
        <v>1800000</v>
      </c>
      <c r="H9719">
        <v>141000</v>
      </c>
      <c r="I9719" t="s">
        <v>972</v>
      </c>
    </row>
    <row r="9720" spans="1:9" x14ac:dyDescent="0.25">
      <c r="A9720">
        <v>4240</v>
      </c>
      <c r="B9720">
        <v>18</v>
      </c>
      <c r="C9720" t="s">
        <v>946</v>
      </c>
      <c r="D9720" t="s">
        <v>1036</v>
      </c>
      <c r="E9720" t="s">
        <v>263</v>
      </c>
      <c r="F9720" t="s">
        <v>948</v>
      </c>
      <c r="G9720">
        <v>1800000</v>
      </c>
      <c r="H9720">
        <v>145000</v>
      </c>
      <c r="I9720" t="s">
        <v>949</v>
      </c>
    </row>
    <row r="9721" spans="1:9" x14ac:dyDescent="0.25">
      <c r="A9721">
        <v>4141</v>
      </c>
      <c r="B9721">
        <v>18</v>
      </c>
      <c r="C9721" t="s">
        <v>946</v>
      </c>
      <c r="D9721" t="s">
        <v>1036</v>
      </c>
      <c r="E9721" t="s">
        <v>100</v>
      </c>
      <c r="F9721" t="s">
        <v>948</v>
      </c>
      <c r="G9721">
        <v>1877777</v>
      </c>
      <c r="H9721">
        <v>500220</v>
      </c>
      <c r="I9721" t="s">
        <v>949</v>
      </c>
    </row>
    <row r="9722" spans="1:9" x14ac:dyDescent="0.25">
      <c r="A9722">
        <v>4220</v>
      </c>
      <c r="B9722">
        <v>18</v>
      </c>
      <c r="C9722" t="s">
        <v>946</v>
      </c>
      <c r="D9722" t="s">
        <v>1036</v>
      </c>
      <c r="E9722" t="s">
        <v>100</v>
      </c>
      <c r="F9722" t="s">
        <v>948</v>
      </c>
      <c r="G9722">
        <v>1877777</v>
      </c>
      <c r="H9722">
        <v>500220</v>
      </c>
      <c r="I9722" t="s">
        <v>949</v>
      </c>
    </row>
    <row r="9723" spans="1:9" x14ac:dyDescent="0.25">
      <c r="A9723">
        <v>4240</v>
      </c>
      <c r="B9723">
        <v>18</v>
      </c>
      <c r="C9723" t="s">
        <v>946</v>
      </c>
      <c r="D9723" t="s">
        <v>1036</v>
      </c>
      <c r="E9723" t="s">
        <v>100</v>
      </c>
      <c r="F9723" t="s">
        <v>948</v>
      </c>
      <c r="G9723">
        <v>1877777</v>
      </c>
      <c r="H9723">
        <v>500221</v>
      </c>
      <c r="I9723" t="s">
        <v>949</v>
      </c>
    </row>
    <row r="9724" spans="1:9" x14ac:dyDescent="0.25">
      <c r="A9724">
        <v>4240</v>
      </c>
      <c r="B9724">
        <v>18</v>
      </c>
      <c r="C9724" t="s">
        <v>946</v>
      </c>
      <c r="D9724" t="s">
        <v>1036</v>
      </c>
      <c r="E9724" t="s">
        <v>270</v>
      </c>
      <c r="F9724" t="s">
        <v>948</v>
      </c>
      <c r="G9724">
        <v>1800000</v>
      </c>
      <c r="H9724">
        <v>145000</v>
      </c>
      <c r="I9724" t="s">
        <v>949</v>
      </c>
    </row>
    <row r="9725" spans="1:9" x14ac:dyDescent="0.25">
      <c r="A9725">
        <v>4240</v>
      </c>
      <c r="B9725">
        <v>18</v>
      </c>
      <c r="C9725" t="s">
        <v>946</v>
      </c>
      <c r="D9725" t="s">
        <v>1036</v>
      </c>
      <c r="E9725" t="s">
        <v>274</v>
      </c>
      <c r="F9725" t="s">
        <v>948</v>
      </c>
      <c r="G9725">
        <v>1800000</v>
      </c>
      <c r="H9725">
        <v>143000</v>
      </c>
      <c r="I9725" t="s">
        <v>973</v>
      </c>
    </row>
    <row r="9726" spans="1:9" x14ac:dyDescent="0.25">
      <c r="A9726">
        <v>4240</v>
      </c>
      <c r="B9726">
        <v>18</v>
      </c>
      <c r="C9726" t="s">
        <v>946</v>
      </c>
      <c r="D9726" t="s">
        <v>1036</v>
      </c>
      <c r="E9726" t="s">
        <v>974</v>
      </c>
      <c r="F9726" t="s">
        <v>948</v>
      </c>
      <c r="G9726">
        <v>1800000</v>
      </c>
      <c r="H9726">
        <v>141000</v>
      </c>
      <c r="I9726" t="s">
        <v>975</v>
      </c>
    </row>
    <row r="9727" spans="1:9" x14ac:dyDescent="0.25">
      <c r="A9727">
        <v>4141</v>
      </c>
      <c r="B9727">
        <v>18</v>
      </c>
      <c r="C9727" t="s">
        <v>946</v>
      </c>
      <c r="D9727" t="s">
        <v>1036</v>
      </c>
      <c r="E9727" t="s">
        <v>104</v>
      </c>
      <c r="F9727" t="s">
        <v>948</v>
      </c>
      <c r="G9727">
        <v>1877777</v>
      </c>
      <c r="H9727">
        <v>500220</v>
      </c>
      <c r="I9727" t="s">
        <v>949</v>
      </c>
    </row>
    <row r="9728" spans="1:9" x14ac:dyDescent="0.25">
      <c r="A9728">
        <v>4220</v>
      </c>
      <c r="B9728">
        <v>18</v>
      </c>
      <c r="C9728" t="s">
        <v>946</v>
      </c>
      <c r="D9728" t="s">
        <v>1036</v>
      </c>
      <c r="E9728" t="s">
        <v>104</v>
      </c>
      <c r="F9728" t="s">
        <v>948</v>
      </c>
      <c r="G9728">
        <v>1877777</v>
      </c>
      <c r="H9728">
        <v>500220</v>
      </c>
      <c r="I9728" t="s">
        <v>949</v>
      </c>
    </row>
    <row r="9729" spans="1:9" x14ac:dyDescent="0.25">
      <c r="A9729">
        <v>4240</v>
      </c>
      <c r="B9729">
        <v>18</v>
      </c>
      <c r="C9729" t="s">
        <v>946</v>
      </c>
      <c r="D9729" t="s">
        <v>1036</v>
      </c>
      <c r="E9729" t="s">
        <v>104</v>
      </c>
      <c r="F9729" t="s">
        <v>948</v>
      </c>
      <c r="G9729">
        <v>1877777</v>
      </c>
      <c r="H9729">
        <v>500221</v>
      </c>
      <c r="I9729" t="s">
        <v>949</v>
      </c>
    </row>
    <row r="9730" spans="1:9" x14ac:dyDescent="0.25">
      <c r="A9730">
        <v>4240</v>
      </c>
      <c r="B9730">
        <v>18</v>
      </c>
      <c r="C9730" t="s">
        <v>946</v>
      </c>
      <c r="D9730" t="s">
        <v>1036</v>
      </c>
      <c r="E9730" t="s">
        <v>278</v>
      </c>
      <c r="F9730" t="s">
        <v>948</v>
      </c>
      <c r="G9730">
        <v>1800000</v>
      </c>
      <c r="H9730">
        <v>145000</v>
      </c>
      <c r="I9730" t="s">
        <v>949</v>
      </c>
    </row>
    <row r="9731" spans="1:9" x14ac:dyDescent="0.25">
      <c r="A9731">
        <v>4240</v>
      </c>
      <c r="B9731">
        <v>18</v>
      </c>
      <c r="C9731" t="s">
        <v>946</v>
      </c>
      <c r="D9731" t="s">
        <v>1036</v>
      </c>
      <c r="E9731" t="s">
        <v>282</v>
      </c>
      <c r="F9731" t="s">
        <v>948</v>
      </c>
      <c r="G9731">
        <v>1800000</v>
      </c>
      <c r="H9731">
        <v>143100</v>
      </c>
      <c r="I9731" t="s">
        <v>949</v>
      </c>
    </row>
    <row r="9732" spans="1:9" x14ac:dyDescent="0.25">
      <c r="A9732">
        <v>4240</v>
      </c>
      <c r="B9732">
        <v>18</v>
      </c>
      <c r="C9732" t="s">
        <v>946</v>
      </c>
      <c r="D9732" t="s">
        <v>1036</v>
      </c>
      <c r="E9732" t="s">
        <v>286</v>
      </c>
      <c r="F9732" t="s">
        <v>948</v>
      </c>
      <c r="G9732">
        <v>1800000</v>
      </c>
      <c r="H9732">
        <v>145000</v>
      </c>
      <c r="I9732" t="s">
        <v>949</v>
      </c>
    </row>
    <row r="9733" spans="1:9" x14ac:dyDescent="0.25">
      <c r="A9733">
        <v>4240</v>
      </c>
      <c r="B9733">
        <v>18</v>
      </c>
      <c r="C9733" t="s">
        <v>946</v>
      </c>
      <c r="D9733" t="s">
        <v>1036</v>
      </c>
      <c r="E9733" t="s">
        <v>976</v>
      </c>
      <c r="F9733" t="s">
        <v>948</v>
      </c>
      <c r="G9733">
        <v>1800000</v>
      </c>
      <c r="H9733">
        <v>141000</v>
      </c>
      <c r="I9733" t="s">
        <v>977</v>
      </c>
    </row>
    <row r="9734" spans="1:9" x14ac:dyDescent="0.25">
      <c r="A9734">
        <v>4240</v>
      </c>
      <c r="B9734">
        <v>18</v>
      </c>
      <c r="C9734" t="s">
        <v>946</v>
      </c>
      <c r="D9734" t="s">
        <v>1036</v>
      </c>
      <c r="E9734" t="s">
        <v>290</v>
      </c>
      <c r="F9734" t="s">
        <v>948</v>
      </c>
      <c r="G9734">
        <v>1800000</v>
      </c>
      <c r="H9734">
        <v>143000</v>
      </c>
      <c r="I9734" t="s">
        <v>978</v>
      </c>
    </row>
    <row r="9735" spans="1:9" x14ac:dyDescent="0.25">
      <c r="A9735">
        <v>4240</v>
      </c>
      <c r="B9735">
        <v>18</v>
      </c>
      <c r="C9735" t="s">
        <v>946</v>
      </c>
      <c r="D9735" t="s">
        <v>1036</v>
      </c>
      <c r="E9735" t="s">
        <v>294</v>
      </c>
      <c r="F9735" t="s">
        <v>948</v>
      </c>
      <c r="G9735">
        <v>1800000</v>
      </c>
      <c r="H9735">
        <v>143000</v>
      </c>
      <c r="I9735" t="s">
        <v>979</v>
      </c>
    </row>
    <row r="9736" spans="1:9" x14ac:dyDescent="0.25">
      <c r="A9736">
        <v>4240</v>
      </c>
      <c r="B9736">
        <v>18</v>
      </c>
      <c r="C9736" t="s">
        <v>946</v>
      </c>
      <c r="D9736" t="s">
        <v>1036</v>
      </c>
      <c r="E9736" t="s">
        <v>980</v>
      </c>
      <c r="F9736" t="s">
        <v>948</v>
      </c>
      <c r="G9736">
        <v>1800000</v>
      </c>
      <c r="H9736">
        <v>141000</v>
      </c>
      <c r="I9736" t="s">
        <v>981</v>
      </c>
    </row>
    <row r="9737" spans="1:9" x14ac:dyDescent="0.25">
      <c r="A9737">
        <v>4141</v>
      </c>
      <c r="B9737">
        <v>18</v>
      </c>
      <c r="C9737" t="s">
        <v>946</v>
      </c>
      <c r="D9737" t="s">
        <v>1036</v>
      </c>
      <c r="E9737" t="s">
        <v>302</v>
      </c>
      <c r="F9737" t="s">
        <v>948</v>
      </c>
      <c r="G9737">
        <v>1877777</v>
      </c>
      <c r="H9737">
        <v>501010</v>
      </c>
      <c r="I9737" t="s">
        <v>949</v>
      </c>
    </row>
    <row r="9738" spans="1:9" x14ac:dyDescent="0.25">
      <c r="A9738">
        <v>4220</v>
      </c>
      <c r="B9738">
        <v>18</v>
      </c>
      <c r="C9738" t="s">
        <v>946</v>
      </c>
      <c r="D9738" t="s">
        <v>1036</v>
      </c>
      <c r="E9738" t="s">
        <v>302</v>
      </c>
      <c r="F9738" t="s">
        <v>948</v>
      </c>
      <c r="G9738">
        <v>1877777</v>
      </c>
      <c r="H9738">
        <v>501010</v>
      </c>
      <c r="I9738" t="s">
        <v>949</v>
      </c>
    </row>
    <row r="9739" spans="1:9" x14ac:dyDescent="0.25">
      <c r="A9739">
        <v>4240</v>
      </c>
      <c r="B9739">
        <v>18</v>
      </c>
      <c r="C9739" t="s">
        <v>946</v>
      </c>
      <c r="D9739" t="s">
        <v>1036</v>
      </c>
      <c r="E9739" t="s">
        <v>302</v>
      </c>
      <c r="F9739" t="s">
        <v>948</v>
      </c>
      <c r="G9739">
        <v>1800000</v>
      </c>
      <c r="H9739">
        <v>143000</v>
      </c>
      <c r="I9739" t="s">
        <v>982</v>
      </c>
    </row>
    <row r="9740" spans="1:9" x14ac:dyDescent="0.25">
      <c r="A9740">
        <v>4240</v>
      </c>
      <c r="B9740">
        <v>18</v>
      </c>
      <c r="C9740" t="s">
        <v>946</v>
      </c>
      <c r="D9740" t="s">
        <v>1036</v>
      </c>
      <c r="E9740" t="s">
        <v>306</v>
      </c>
      <c r="F9740" t="s">
        <v>948</v>
      </c>
      <c r="G9740">
        <v>1800000</v>
      </c>
      <c r="H9740">
        <v>143000</v>
      </c>
      <c r="I9740" t="s">
        <v>983</v>
      </c>
    </row>
    <row r="9741" spans="1:9" x14ac:dyDescent="0.25">
      <c r="A9741">
        <v>4141</v>
      </c>
      <c r="B9741">
        <v>18</v>
      </c>
      <c r="C9741" t="s">
        <v>946</v>
      </c>
      <c r="D9741" t="s">
        <v>1036</v>
      </c>
      <c r="E9741" t="s">
        <v>108</v>
      </c>
      <c r="F9741" t="s">
        <v>948</v>
      </c>
      <c r="G9741">
        <v>1877777</v>
      </c>
      <c r="H9741">
        <v>500220</v>
      </c>
      <c r="I9741" t="s">
        <v>949</v>
      </c>
    </row>
    <row r="9742" spans="1:9" x14ac:dyDescent="0.25">
      <c r="A9742">
        <v>4220</v>
      </c>
      <c r="B9742">
        <v>18</v>
      </c>
      <c r="C9742" t="s">
        <v>946</v>
      </c>
      <c r="D9742" t="s">
        <v>1036</v>
      </c>
      <c r="E9742" t="s">
        <v>108</v>
      </c>
      <c r="F9742" t="s">
        <v>948</v>
      </c>
      <c r="G9742">
        <v>1877777</v>
      </c>
      <c r="H9742">
        <v>500220</v>
      </c>
      <c r="I9742" t="s">
        <v>949</v>
      </c>
    </row>
    <row r="9743" spans="1:9" x14ac:dyDescent="0.25">
      <c r="A9743">
        <v>4240</v>
      </c>
      <c r="B9743">
        <v>18</v>
      </c>
      <c r="C9743" t="s">
        <v>946</v>
      </c>
      <c r="D9743" t="s">
        <v>1036</v>
      </c>
      <c r="E9743" t="s">
        <v>108</v>
      </c>
      <c r="F9743" t="s">
        <v>948</v>
      </c>
      <c r="G9743">
        <v>1877777</v>
      </c>
      <c r="H9743">
        <v>500221</v>
      </c>
      <c r="I9743" t="s">
        <v>949</v>
      </c>
    </row>
    <row r="9744" spans="1:9" x14ac:dyDescent="0.25">
      <c r="A9744">
        <v>4240</v>
      </c>
      <c r="B9744">
        <v>18</v>
      </c>
      <c r="C9744" t="s">
        <v>946</v>
      </c>
      <c r="D9744" t="s">
        <v>1036</v>
      </c>
      <c r="E9744" t="s">
        <v>310</v>
      </c>
      <c r="F9744" t="s">
        <v>948</v>
      </c>
      <c r="G9744">
        <v>1800000</v>
      </c>
      <c r="H9744">
        <v>145000</v>
      </c>
      <c r="I9744" t="s">
        <v>949</v>
      </c>
    </row>
    <row r="9745" spans="1:9" x14ac:dyDescent="0.25">
      <c r="A9745">
        <v>4240</v>
      </c>
      <c r="B9745">
        <v>18</v>
      </c>
      <c r="C9745" t="s">
        <v>946</v>
      </c>
      <c r="D9745" t="s">
        <v>1036</v>
      </c>
      <c r="E9745" t="s">
        <v>314</v>
      </c>
      <c r="F9745" t="s">
        <v>948</v>
      </c>
      <c r="G9745">
        <v>1800000</v>
      </c>
      <c r="H9745">
        <v>145000</v>
      </c>
      <c r="I9745" t="s">
        <v>949</v>
      </c>
    </row>
    <row r="9746" spans="1:9" x14ac:dyDescent="0.25">
      <c r="A9746">
        <v>4240</v>
      </c>
      <c r="B9746">
        <v>18</v>
      </c>
      <c r="C9746" t="s">
        <v>946</v>
      </c>
      <c r="D9746" t="s">
        <v>1036</v>
      </c>
      <c r="E9746" t="s">
        <v>121</v>
      </c>
      <c r="F9746" t="s">
        <v>948</v>
      </c>
      <c r="G9746">
        <v>1877777</v>
      </c>
      <c r="H9746">
        <v>500221</v>
      </c>
      <c r="I9746" t="s">
        <v>949</v>
      </c>
    </row>
    <row r="9747" spans="1:9" x14ac:dyDescent="0.25">
      <c r="A9747">
        <v>4240</v>
      </c>
      <c r="B9747">
        <v>18</v>
      </c>
      <c r="C9747" t="s">
        <v>946</v>
      </c>
      <c r="D9747" t="s">
        <v>1036</v>
      </c>
      <c r="E9747" t="s">
        <v>984</v>
      </c>
      <c r="F9747" t="s">
        <v>948</v>
      </c>
      <c r="G9747">
        <v>1800000</v>
      </c>
      <c r="H9747">
        <v>141000</v>
      </c>
      <c r="I9747" t="s">
        <v>985</v>
      </c>
    </row>
    <row r="9748" spans="1:9" x14ac:dyDescent="0.25">
      <c r="A9748">
        <v>4141</v>
      </c>
      <c r="B9748">
        <v>18</v>
      </c>
      <c r="C9748" t="s">
        <v>946</v>
      </c>
      <c r="D9748" t="s">
        <v>1037</v>
      </c>
      <c r="E9748" t="s">
        <v>49</v>
      </c>
      <c r="F9748" t="s">
        <v>948</v>
      </c>
      <c r="G9748">
        <v>1877777</v>
      </c>
      <c r="H9748">
        <v>500220</v>
      </c>
      <c r="I9748" t="s">
        <v>949</v>
      </c>
    </row>
    <row r="9749" spans="1:9" x14ac:dyDescent="0.25">
      <c r="A9749">
        <v>4220</v>
      </c>
      <c r="B9749">
        <v>18</v>
      </c>
      <c r="C9749" t="s">
        <v>946</v>
      </c>
      <c r="D9749" t="s">
        <v>1037</v>
      </c>
      <c r="E9749" t="s">
        <v>49</v>
      </c>
      <c r="F9749" t="s">
        <v>948</v>
      </c>
      <c r="G9749">
        <v>1877777</v>
      </c>
      <c r="H9749">
        <v>500220</v>
      </c>
      <c r="I9749" t="s">
        <v>949</v>
      </c>
    </row>
    <row r="9750" spans="1:9" x14ac:dyDescent="0.25">
      <c r="A9750">
        <v>4230</v>
      </c>
      <c r="B9750">
        <v>18</v>
      </c>
      <c r="C9750" t="s">
        <v>946</v>
      </c>
      <c r="D9750" t="s">
        <v>1037</v>
      </c>
      <c r="E9750" t="s">
        <v>49</v>
      </c>
      <c r="F9750" t="s">
        <v>948</v>
      </c>
      <c r="G9750">
        <v>1877777</v>
      </c>
      <c r="H9750">
        <v>500220</v>
      </c>
      <c r="I9750" t="s">
        <v>949</v>
      </c>
    </row>
    <row r="9751" spans="1:9" x14ac:dyDescent="0.25">
      <c r="A9751">
        <v>4240</v>
      </c>
      <c r="B9751">
        <v>18</v>
      </c>
      <c r="C9751" t="s">
        <v>946</v>
      </c>
      <c r="D9751" t="s">
        <v>1037</v>
      </c>
      <c r="E9751" t="s">
        <v>49</v>
      </c>
      <c r="F9751" t="s">
        <v>948</v>
      </c>
      <c r="G9751">
        <v>1877777</v>
      </c>
      <c r="H9751">
        <v>500221</v>
      </c>
      <c r="I9751" t="s">
        <v>949</v>
      </c>
    </row>
    <row r="9752" spans="1:9" x14ac:dyDescent="0.25">
      <c r="A9752">
        <v>4245</v>
      </c>
      <c r="B9752">
        <v>18</v>
      </c>
      <c r="C9752" t="s">
        <v>946</v>
      </c>
      <c r="D9752" t="s">
        <v>1037</v>
      </c>
      <c r="E9752" t="s">
        <v>49</v>
      </c>
      <c r="F9752" t="s">
        <v>948</v>
      </c>
      <c r="G9752">
        <v>1877777</v>
      </c>
      <c r="H9752">
        <v>500221</v>
      </c>
      <c r="I9752" t="s">
        <v>949</v>
      </c>
    </row>
    <row r="9753" spans="1:9" x14ac:dyDescent="0.25">
      <c r="A9753">
        <v>4141</v>
      </c>
      <c r="B9753">
        <v>18</v>
      </c>
      <c r="C9753" t="s">
        <v>946</v>
      </c>
      <c r="D9753" t="s">
        <v>1038</v>
      </c>
      <c r="E9753" t="s">
        <v>243</v>
      </c>
      <c r="F9753" t="s">
        <v>948</v>
      </c>
      <c r="G9753">
        <v>1877777</v>
      </c>
      <c r="H9753">
        <v>501010</v>
      </c>
      <c r="I9753" t="s">
        <v>949</v>
      </c>
    </row>
    <row r="9754" spans="1:9" x14ac:dyDescent="0.25">
      <c r="A9754">
        <v>4220</v>
      </c>
      <c r="B9754">
        <v>18</v>
      </c>
      <c r="C9754" t="s">
        <v>946</v>
      </c>
      <c r="D9754" t="s">
        <v>1038</v>
      </c>
      <c r="E9754" t="s">
        <v>243</v>
      </c>
      <c r="F9754" t="s">
        <v>948</v>
      </c>
      <c r="G9754">
        <v>1877777</v>
      </c>
      <c r="H9754">
        <v>501010</v>
      </c>
      <c r="I9754" t="s">
        <v>949</v>
      </c>
    </row>
    <row r="9755" spans="1:9" x14ac:dyDescent="0.25">
      <c r="A9755">
        <v>4230</v>
      </c>
      <c r="B9755">
        <v>18</v>
      </c>
      <c r="C9755" t="s">
        <v>946</v>
      </c>
      <c r="D9755" t="s">
        <v>1038</v>
      </c>
      <c r="E9755" t="s">
        <v>243</v>
      </c>
      <c r="F9755" t="s">
        <v>948</v>
      </c>
      <c r="G9755">
        <v>1899999</v>
      </c>
      <c r="H9755">
        <v>401052</v>
      </c>
      <c r="I9755" t="s">
        <v>949</v>
      </c>
    </row>
    <row r="9756" spans="1:9" x14ac:dyDescent="0.25">
      <c r="A9756">
        <v>4240</v>
      </c>
      <c r="B9756">
        <v>18</v>
      </c>
      <c r="C9756" t="s">
        <v>946</v>
      </c>
      <c r="D9756" t="s">
        <v>1038</v>
      </c>
      <c r="E9756" t="s">
        <v>243</v>
      </c>
      <c r="F9756" t="s">
        <v>948</v>
      </c>
      <c r="G9756">
        <v>1800000</v>
      </c>
      <c r="H9756">
        <v>145000</v>
      </c>
      <c r="I9756" t="s">
        <v>949</v>
      </c>
    </row>
    <row r="9757" spans="1:9" x14ac:dyDescent="0.25">
      <c r="A9757">
        <v>4141</v>
      </c>
      <c r="B9757">
        <v>18</v>
      </c>
      <c r="C9757" t="s">
        <v>946</v>
      </c>
      <c r="D9757" t="s">
        <v>1038</v>
      </c>
      <c r="E9757" t="s">
        <v>247</v>
      </c>
      <c r="F9757" t="s">
        <v>948</v>
      </c>
      <c r="G9757">
        <v>1877777</v>
      </c>
      <c r="H9757">
        <v>501010</v>
      </c>
      <c r="I9757" t="s">
        <v>949</v>
      </c>
    </row>
    <row r="9758" spans="1:9" x14ac:dyDescent="0.25">
      <c r="A9758">
        <v>4220</v>
      </c>
      <c r="B9758">
        <v>18</v>
      </c>
      <c r="C9758" t="s">
        <v>946</v>
      </c>
      <c r="D9758" t="s">
        <v>1038</v>
      </c>
      <c r="E9758" t="s">
        <v>247</v>
      </c>
      <c r="F9758" t="s">
        <v>948</v>
      </c>
      <c r="G9758">
        <v>1877777</v>
      </c>
      <c r="H9758">
        <v>501010</v>
      </c>
      <c r="I9758" t="s">
        <v>949</v>
      </c>
    </row>
    <row r="9759" spans="1:9" x14ac:dyDescent="0.25">
      <c r="A9759">
        <v>4230</v>
      </c>
      <c r="B9759">
        <v>18</v>
      </c>
      <c r="C9759" t="s">
        <v>946</v>
      </c>
      <c r="D9759" t="s">
        <v>1038</v>
      </c>
      <c r="E9759" t="s">
        <v>247</v>
      </c>
      <c r="F9759" t="s">
        <v>948</v>
      </c>
      <c r="G9759">
        <v>1899999</v>
      </c>
      <c r="H9759">
        <v>401022</v>
      </c>
      <c r="I9759" t="s">
        <v>949</v>
      </c>
    </row>
    <row r="9760" spans="1:9" x14ac:dyDescent="0.25">
      <c r="A9760">
        <v>4240</v>
      </c>
      <c r="B9760">
        <v>18</v>
      </c>
      <c r="C9760" t="s">
        <v>946</v>
      </c>
      <c r="D9760" t="s">
        <v>1038</v>
      </c>
      <c r="E9760" t="s">
        <v>247</v>
      </c>
      <c r="F9760" t="s">
        <v>948</v>
      </c>
      <c r="G9760">
        <v>1800000</v>
      </c>
      <c r="H9760">
        <v>145000</v>
      </c>
      <c r="I9760" t="s">
        <v>949</v>
      </c>
    </row>
    <row r="9761" spans="1:9" x14ac:dyDescent="0.25">
      <c r="A9761">
        <v>4141</v>
      </c>
      <c r="B9761">
        <v>18</v>
      </c>
      <c r="C9761" t="s">
        <v>946</v>
      </c>
      <c r="D9761" t="s">
        <v>1038</v>
      </c>
      <c r="E9761" t="s">
        <v>251</v>
      </c>
      <c r="F9761" t="s">
        <v>948</v>
      </c>
      <c r="G9761">
        <v>1877777</v>
      </c>
      <c r="H9761">
        <v>501010</v>
      </c>
      <c r="I9761" t="s">
        <v>949</v>
      </c>
    </row>
    <row r="9762" spans="1:9" x14ac:dyDescent="0.25">
      <c r="A9762">
        <v>4220</v>
      </c>
      <c r="B9762">
        <v>18</v>
      </c>
      <c r="C9762" t="s">
        <v>946</v>
      </c>
      <c r="D9762" t="s">
        <v>1038</v>
      </c>
      <c r="E9762" t="s">
        <v>251</v>
      </c>
      <c r="F9762" t="s">
        <v>948</v>
      </c>
      <c r="G9762">
        <v>1877777</v>
      </c>
      <c r="H9762">
        <v>501010</v>
      </c>
      <c r="I9762" t="s">
        <v>949</v>
      </c>
    </row>
    <row r="9763" spans="1:9" x14ac:dyDescent="0.25">
      <c r="A9763">
        <v>4230</v>
      </c>
      <c r="B9763">
        <v>18</v>
      </c>
      <c r="C9763" t="s">
        <v>946</v>
      </c>
      <c r="D9763" t="s">
        <v>1038</v>
      </c>
      <c r="E9763" t="s">
        <v>251</v>
      </c>
      <c r="F9763" t="s">
        <v>948</v>
      </c>
      <c r="G9763">
        <v>1899999</v>
      </c>
      <c r="H9763">
        <v>401042</v>
      </c>
      <c r="I9763" t="s">
        <v>949</v>
      </c>
    </row>
    <row r="9764" spans="1:9" x14ac:dyDescent="0.25">
      <c r="A9764">
        <v>4240</v>
      </c>
      <c r="B9764">
        <v>18</v>
      </c>
      <c r="C9764" t="s">
        <v>946</v>
      </c>
      <c r="D9764" t="s">
        <v>1038</v>
      </c>
      <c r="E9764" t="s">
        <v>251</v>
      </c>
      <c r="F9764" t="s">
        <v>948</v>
      </c>
      <c r="G9764">
        <v>1800000</v>
      </c>
      <c r="H9764">
        <v>142000</v>
      </c>
      <c r="I9764" t="s">
        <v>949</v>
      </c>
    </row>
    <row r="9765" spans="1:9" x14ac:dyDescent="0.25">
      <c r="A9765">
        <v>4141</v>
      </c>
      <c r="B9765">
        <v>18</v>
      </c>
      <c r="C9765" t="s">
        <v>946</v>
      </c>
      <c r="D9765" t="s">
        <v>1038</v>
      </c>
      <c r="E9765" t="s">
        <v>969</v>
      </c>
      <c r="F9765" t="s">
        <v>948</v>
      </c>
      <c r="G9765">
        <v>1877777</v>
      </c>
      <c r="H9765">
        <v>501010</v>
      </c>
      <c r="I9765" t="s">
        <v>949</v>
      </c>
    </row>
    <row r="9766" spans="1:9" x14ac:dyDescent="0.25">
      <c r="A9766">
        <v>4220</v>
      </c>
      <c r="B9766">
        <v>18</v>
      </c>
      <c r="C9766" t="s">
        <v>946</v>
      </c>
      <c r="D9766" t="s">
        <v>1038</v>
      </c>
      <c r="E9766" t="s">
        <v>969</v>
      </c>
      <c r="F9766" t="s">
        <v>948</v>
      </c>
      <c r="G9766">
        <v>1877777</v>
      </c>
      <c r="H9766">
        <v>501010</v>
      </c>
      <c r="I9766" t="s">
        <v>949</v>
      </c>
    </row>
    <row r="9767" spans="1:9" x14ac:dyDescent="0.25">
      <c r="A9767">
        <v>4230</v>
      </c>
      <c r="B9767">
        <v>18</v>
      </c>
      <c r="C9767" t="s">
        <v>946</v>
      </c>
      <c r="D9767" t="s">
        <v>1038</v>
      </c>
      <c r="E9767" t="s">
        <v>969</v>
      </c>
      <c r="F9767" t="s">
        <v>948</v>
      </c>
      <c r="G9767">
        <v>1899999</v>
      </c>
      <c r="H9767">
        <v>401912</v>
      </c>
      <c r="I9767" t="s">
        <v>949</v>
      </c>
    </row>
    <row r="9768" spans="1:9" x14ac:dyDescent="0.25">
      <c r="A9768">
        <v>4240</v>
      </c>
      <c r="B9768">
        <v>18</v>
      </c>
      <c r="C9768" t="s">
        <v>946</v>
      </c>
      <c r="D9768" t="s">
        <v>1038</v>
      </c>
      <c r="E9768" t="s">
        <v>969</v>
      </c>
      <c r="F9768" t="s">
        <v>948</v>
      </c>
      <c r="G9768">
        <v>1800000</v>
      </c>
      <c r="H9768">
        <v>141000</v>
      </c>
      <c r="I9768" t="s">
        <v>970</v>
      </c>
    </row>
    <row r="9769" spans="1:9" x14ac:dyDescent="0.25">
      <c r="A9769">
        <v>4141</v>
      </c>
      <c r="B9769">
        <v>18</v>
      </c>
      <c r="C9769" t="s">
        <v>946</v>
      </c>
      <c r="D9769" t="s">
        <v>1038</v>
      </c>
      <c r="E9769" t="s">
        <v>255</v>
      </c>
      <c r="F9769" t="s">
        <v>948</v>
      </c>
      <c r="G9769">
        <v>1877777</v>
      </c>
      <c r="H9769">
        <v>501010</v>
      </c>
      <c r="I9769" t="s">
        <v>949</v>
      </c>
    </row>
    <row r="9770" spans="1:9" x14ac:dyDescent="0.25">
      <c r="A9770">
        <v>4220</v>
      </c>
      <c r="B9770">
        <v>18</v>
      </c>
      <c r="C9770" t="s">
        <v>946</v>
      </c>
      <c r="D9770" t="s">
        <v>1038</v>
      </c>
      <c r="E9770" t="s">
        <v>255</v>
      </c>
      <c r="F9770" t="s">
        <v>948</v>
      </c>
      <c r="G9770">
        <v>1877777</v>
      </c>
      <c r="H9770">
        <v>501010</v>
      </c>
      <c r="I9770" t="s">
        <v>949</v>
      </c>
    </row>
    <row r="9771" spans="1:9" x14ac:dyDescent="0.25">
      <c r="A9771">
        <v>4230</v>
      </c>
      <c r="B9771">
        <v>18</v>
      </c>
      <c r="C9771" t="s">
        <v>946</v>
      </c>
      <c r="D9771" t="s">
        <v>1038</v>
      </c>
      <c r="E9771" t="s">
        <v>255</v>
      </c>
      <c r="F9771" t="s">
        <v>948</v>
      </c>
      <c r="G9771">
        <v>1899999</v>
      </c>
      <c r="H9771">
        <v>401072</v>
      </c>
      <c r="I9771" t="s">
        <v>949</v>
      </c>
    </row>
    <row r="9772" spans="1:9" x14ac:dyDescent="0.25">
      <c r="A9772">
        <v>4240</v>
      </c>
      <c r="B9772">
        <v>18</v>
      </c>
      <c r="C9772" t="s">
        <v>946</v>
      </c>
      <c r="D9772" t="s">
        <v>1038</v>
      </c>
      <c r="E9772" t="s">
        <v>255</v>
      </c>
      <c r="F9772" t="s">
        <v>948</v>
      </c>
      <c r="G9772">
        <v>1800000</v>
      </c>
      <c r="H9772">
        <v>145000</v>
      </c>
      <c r="I9772" t="s">
        <v>949</v>
      </c>
    </row>
    <row r="9773" spans="1:9" x14ac:dyDescent="0.25">
      <c r="A9773">
        <v>4141</v>
      </c>
      <c r="B9773">
        <v>18</v>
      </c>
      <c r="C9773" t="s">
        <v>946</v>
      </c>
      <c r="D9773" t="s">
        <v>1038</v>
      </c>
      <c r="E9773" t="s">
        <v>971</v>
      </c>
      <c r="F9773" t="s">
        <v>948</v>
      </c>
      <c r="G9773">
        <v>1877777</v>
      </c>
      <c r="H9773">
        <v>501010</v>
      </c>
      <c r="I9773" t="s">
        <v>949</v>
      </c>
    </row>
    <row r="9774" spans="1:9" x14ac:dyDescent="0.25">
      <c r="A9774">
        <v>4220</v>
      </c>
      <c r="B9774">
        <v>18</v>
      </c>
      <c r="C9774" t="s">
        <v>946</v>
      </c>
      <c r="D9774" t="s">
        <v>1038</v>
      </c>
      <c r="E9774" t="s">
        <v>971</v>
      </c>
      <c r="F9774" t="s">
        <v>948</v>
      </c>
      <c r="G9774">
        <v>1877777</v>
      </c>
      <c r="H9774">
        <v>501010</v>
      </c>
      <c r="I9774" t="s">
        <v>949</v>
      </c>
    </row>
    <row r="9775" spans="1:9" x14ac:dyDescent="0.25">
      <c r="A9775">
        <v>4230</v>
      </c>
      <c r="B9775">
        <v>18</v>
      </c>
      <c r="C9775" t="s">
        <v>946</v>
      </c>
      <c r="D9775" t="s">
        <v>1038</v>
      </c>
      <c r="E9775" t="s">
        <v>971</v>
      </c>
      <c r="F9775" t="s">
        <v>948</v>
      </c>
      <c r="G9775">
        <v>1899999</v>
      </c>
      <c r="H9775">
        <v>401912</v>
      </c>
      <c r="I9775" t="s">
        <v>949</v>
      </c>
    </row>
    <row r="9776" spans="1:9" x14ac:dyDescent="0.25">
      <c r="A9776">
        <v>4240</v>
      </c>
      <c r="B9776">
        <v>18</v>
      </c>
      <c r="C9776" t="s">
        <v>946</v>
      </c>
      <c r="D9776" t="s">
        <v>1038</v>
      </c>
      <c r="E9776" t="s">
        <v>971</v>
      </c>
      <c r="F9776" t="s">
        <v>948</v>
      </c>
      <c r="G9776">
        <v>1800000</v>
      </c>
      <c r="H9776">
        <v>141000</v>
      </c>
      <c r="I9776" t="s">
        <v>972</v>
      </c>
    </row>
    <row r="9777" spans="1:9" x14ac:dyDescent="0.25">
      <c r="A9777">
        <v>4230</v>
      </c>
      <c r="B9777">
        <v>18</v>
      </c>
      <c r="C9777" t="s">
        <v>946</v>
      </c>
      <c r="D9777" t="s">
        <v>1038</v>
      </c>
      <c r="E9777" t="s">
        <v>259</v>
      </c>
      <c r="F9777" t="s">
        <v>948</v>
      </c>
      <c r="G9777">
        <v>1899999</v>
      </c>
      <c r="H9777">
        <v>409002</v>
      </c>
      <c r="I9777" t="s">
        <v>949</v>
      </c>
    </row>
    <row r="9778" spans="1:9" x14ac:dyDescent="0.25">
      <c r="A9778">
        <v>4141</v>
      </c>
      <c r="B9778">
        <v>18</v>
      </c>
      <c r="C9778" t="s">
        <v>946</v>
      </c>
      <c r="D9778" t="s">
        <v>1038</v>
      </c>
      <c r="E9778" t="s">
        <v>263</v>
      </c>
      <c r="F9778" t="s">
        <v>948</v>
      </c>
      <c r="G9778">
        <v>1877777</v>
      </c>
      <c r="H9778">
        <v>501010</v>
      </c>
      <c r="I9778" t="s">
        <v>949</v>
      </c>
    </row>
    <row r="9779" spans="1:9" x14ac:dyDescent="0.25">
      <c r="A9779">
        <v>4220</v>
      </c>
      <c r="B9779">
        <v>18</v>
      </c>
      <c r="C9779" t="s">
        <v>946</v>
      </c>
      <c r="D9779" t="s">
        <v>1038</v>
      </c>
      <c r="E9779" t="s">
        <v>263</v>
      </c>
      <c r="F9779" t="s">
        <v>948</v>
      </c>
      <c r="G9779">
        <v>1877777</v>
      </c>
      <c r="H9779">
        <v>501010</v>
      </c>
      <c r="I9779" t="s">
        <v>949</v>
      </c>
    </row>
    <row r="9780" spans="1:9" x14ac:dyDescent="0.25">
      <c r="A9780">
        <v>4230</v>
      </c>
      <c r="B9780">
        <v>18</v>
      </c>
      <c r="C9780" t="s">
        <v>946</v>
      </c>
      <c r="D9780" t="s">
        <v>1038</v>
      </c>
      <c r="E9780" t="s">
        <v>263</v>
      </c>
      <c r="F9780" t="s">
        <v>948</v>
      </c>
      <c r="G9780">
        <v>1899999</v>
      </c>
      <c r="H9780">
        <v>401042</v>
      </c>
      <c r="I9780" t="s">
        <v>949</v>
      </c>
    </row>
    <row r="9781" spans="1:9" x14ac:dyDescent="0.25">
      <c r="A9781">
        <v>4240</v>
      </c>
      <c r="B9781">
        <v>18</v>
      </c>
      <c r="C9781" t="s">
        <v>946</v>
      </c>
      <c r="D9781" t="s">
        <v>1038</v>
      </c>
      <c r="E9781" t="s">
        <v>263</v>
      </c>
      <c r="F9781" t="s">
        <v>948</v>
      </c>
      <c r="G9781">
        <v>1800000</v>
      </c>
      <c r="H9781">
        <v>145000</v>
      </c>
      <c r="I9781" t="s">
        <v>949</v>
      </c>
    </row>
    <row r="9782" spans="1:9" x14ac:dyDescent="0.25">
      <c r="A9782">
        <v>4141</v>
      </c>
      <c r="B9782">
        <v>18</v>
      </c>
      <c r="C9782" t="s">
        <v>946</v>
      </c>
      <c r="D9782" t="s">
        <v>1038</v>
      </c>
      <c r="E9782" t="s">
        <v>100</v>
      </c>
      <c r="F9782" t="s">
        <v>948</v>
      </c>
      <c r="G9782">
        <v>1877777</v>
      </c>
      <c r="H9782">
        <v>500220</v>
      </c>
      <c r="I9782" t="s">
        <v>949</v>
      </c>
    </row>
    <row r="9783" spans="1:9" x14ac:dyDescent="0.25">
      <c r="A9783">
        <v>4220</v>
      </c>
      <c r="B9783">
        <v>18</v>
      </c>
      <c r="C9783" t="s">
        <v>946</v>
      </c>
      <c r="D9783" t="s">
        <v>1038</v>
      </c>
      <c r="E9783" t="s">
        <v>100</v>
      </c>
      <c r="F9783" t="s">
        <v>948</v>
      </c>
      <c r="G9783">
        <v>1877777</v>
      </c>
      <c r="H9783">
        <v>500220</v>
      </c>
      <c r="I9783" t="s">
        <v>949</v>
      </c>
    </row>
    <row r="9784" spans="1:9" x14ac:dyDescent="0.25">
      <c r="A9784">
        <v>4230</v>
      </c>
      <c r="B9784">
        <v>18</v>
      </c>
      <c r="C9784" t="s">
        <v>946</v>
      </c>
      <c r="D9784" t="s">
        <v>1038</v>
      </c>
      <c r="E9784" t="s">
        <v>100</v>
      </c>
      <c r="F9784" t="s">
        <v>948</v>
      </c>
      <c r="G9784">
        <v>1899999</v>
      </c>
      <c r="H9784">
        <v>401042</v>
      </c>
      <c r="I9784" t="s">
        <v>949</v>
      </c>
    </row>
    <row r="9785" spans="1:9" x14ac:dyDescent="0.25">
      <c r="A9785">
        <v>4240</v>
      </c>
      <c r="B9785">
        <v>18</v>
      </c>
      <c r="C9785" t="s">
        <v>946</v>
      </c>
      <c r="D9785" t="s">
        <v>1038</v>
      </c>
      <c r="E9785" t="s">
        <v>100</v>
      </c>
      <c r="F9785" t="s">
        <v>948</v>
      </c>
      <c r="G9785">
        <v>1877777</v>
      </c>
      <c r="H9785">
        <v>500221</v>
      </c>
      <c r="I9785" t="s">
        <v>949</v>
      </c>
    </row>
    <row r="9786" spans="1:9" x14ac:dyDescent="0.25">
      <c r="A9786">
        <v>4141</v>
      </c>
      <c r="B9786">
        <v>18</v>
      </c>
      <c r="C9786" t="s">
        <v>946</v>
      </c>
      <c r="D9786" t="s">
        <v>1038</v>
      </c>
      <c r="E9786" t="s">
        <v>270</v>
      </c>
      <c r="F9786" t="s">
        <v>948</v>
      </c>
      <c r="G9786">
        <v>1877777</v>
      </c>
      <c r="H9786">
        <v>501010</v>
      </c>
      <c r="I9786" t="s">
        <v>949</v>
      </c>
    </row>
    <row r="9787" spans="1:9" x14ac:dyDescent="0.25">
      <c r="A9787">
        <v>4220</v>
      </c>
      <c r="B9787">
        <v>18</v>
      </c>
      <c r="C9787" t="s">
        <v>946</v>
      </c>
      <c r="D9787" t="s">
        <v>1038</v>
      </c>
      <c r="E9787" t="s">
        <v>270</v>
      </c>
      <c r="F9787" t="s">
        <v>948</v>
      </c>
      <c r="G9787">
        <v>1877777</v>
      </c>
      <c r="H9787">
        <v>501010</v>
      </c>
      <c r="I9787" t="s">
        <v>949</v>
      </c>
    </row>
    <row r="9788" spans="1:9" x14ac:dyDescent="0.25">
      <c r="A9788">
        <v>4230</v>
      </c>
      <c r="B9788">
        <v>18</v>
      </c>
      <c r="C9788" t="s">
        <v>946</v>
      </c>
      <c r="D9788" t="s">
        <v>1038</v>
      </c>
      <c r="E9788" t="s">
        <v>270</v>
      </c>
      <c r="F9788" t="s">
        <v>948</v>
      </c>
      <c r="G9788">
        <v>1899999</v>
      </c>
      <c r="H9788">
        <v>401062</v>
      </c>
      <c r="I9788" t="s">
        <v>949</v>
      </c>
    </row>
    <row r="9789" spans="1:9" x14ac:dyDescent="0.25">
      <c r="A9789">
        <v>4240</v>
      </c>
      <c r="B9789">
        <v>18</v>
      </c>
      <c r="C9789" t="s">
        <v>946</v>
      </c>
      <c r="D9789" t="s">
        <v>1038</v>
      </c>
      <c r="E9789" t="s">
        <v>270</v>
      </c>
      <c r="F9789" t="s">
        <v>948</v>
      </c>
      <c r="G9789">
        <v>1800000</v>
      </c>
      <c r="H9789">
        <v>145000</v>
      </c>
      <c r="I9789" t="s">
        <v>949</v>
      </c>
    </row>
    <row r="9790" spans="1:9" x14ac:dyDescent="0.25">
      <c r="A9790">
        <v>4141</v>
      </c>
      <c r="B9790">
        <v>18</v>
      </c>
      <c r="C9790" t="s">
        <v>946</v>
      </c>
      <c r="D9790" t="s">
        <v>1038</v>
      </c>
      <c r="E9790" t="s">
        <v>274</v>
      </c>
      <c r="F9790" t="s">
        <v>948</v>
      </c>
      <c r="G9790">
        <v>1877777</v>
      </c>
      <c r="H9790">
        <v>501010</v>
      </c>
      <c r="I9790" t="s">
        <v>949</v>
      </c>
    </row>
    <row r="9791" spans="1:9" x14ac:dyDescent="0.25">
      <c r="A9791">
        <v>4220</v>
      </c>
      <c r="B9791">
        <v>18</v>
      </c>
      <c r="C9791" t="s">
        <v>946</v>
      </c>
      <c r="D9791" t="s">
        <v>1038</v>
      </c>
      <c r="E9791" t="s">
        <v>274</v>
      </c>
      <c r="F9791" t="s">
        <v>948</v>
      </c>
      <c r="G9791">
        <v>1877777</v>
      </c>
      <c r="H9791">
        <v>501010</v>
      </c>
      <c r="I9791" t="s">
        <v>949</v>
      </c>
    </row>
    <row r="9792" spans="1:9" x14ac:dyDescent="0.25">
      <c r="A9792">
        <v>4230</v>
      </c>
      <c r="B9792">
        <v>18</v>
      </c>
      <c r="C9792" t="s">
        <v>946</v>
      </c>
      <c r="D9792" t="s">
        <v>1038</v>
      </c>
      <c r="E9792" t="s">
        <v>274</v>
      </c>
      <c r="F9792" t="s">
        <v>948</v>
      </c>
      <c r="G9792">
        <v>1899999</v>
      </c>
      <c r="H9792">
        <v>401042</v>
      </c>
      <c r="I9792" t="s">
        <v>949</v>
      </c>
    </row>
    <row r="9793" spans="1:9" x14ac:dyDescent="0.25">
      <c r="A9793">
        <v>4240</v>
      </c>
      <c r="B9793">
        <v>18</v>
      </c>
      <c r="C9793" t="s">
        <v>946</v>
      </c>
      <c r="D9793" t="s">
        <v>1038</v>
      </c>
      <c r="E9793" t="s">
        <v>274</v>
      </c>
      <c r="F9793" t="s">
        <v>948</v>
      </c>
      <c r="G9793">
        <v>1800000</v>
      </c>
      <c r="H9793">
        <v>143000</v>
      </c>
      <c r="I9793" t="s">
        <v>973</v>
      </c>
    </row>
    <row r="9794" spans="1:9" x14ac:dyDescent="0.25">
      <c r="A9794">
        <v>4141</v>
      </c>
      <c r="B9794">
        <v>18</v>
      </c>
      <c r="C9794" t="s">
        <v>946</v>
      </c>
      <c r="D9794" t="s">
        <v>1038</v>
      </c>
      <c r="E9794" t="s">
        <v>974</v>
      </c>
      <c r="F9794" t="s">
        <v>948</v>
      </c>
      <c r="G9794">
        <v>1877777</v>
      </c>
      <c r="H9794">
        <v>501010</v>
      </c>
      <c r="I9794" t="s">
        <v>949</v>
      </c>
    </row>
    <row r="9795" spans="1:9" x14ac:dyDescent="0.25">
      <c r="A9795">
        <v>4220</v>
      </c>
      <c r="B9795">
        <v>18</v>
      </c>
      <c r="C9795" t="s">
        <v>946</v>
      </c>
      <c r="D9795" t="s">
        <v>1038</v>
      </c>
      <c r="E9795" t="s">
        <v>974</v>
      </c>
      <c r="F9795" t="s">
        <v>948</v>
      </c>
      <c r="G9795">
        <v>1877777</v>
      </c>
      <c r="H9795">
        <v>501010</v>
      </c>
      <c r="I9795" t="s">
        <v>949</v>
      </c>
    </row>
    <row r="9796" spans="1:9" x14ac:dyDescent="0.25">
      <c r="A9796">
        <v>4230</v>
      </c>
      <c r="B9796">
        <v>18</v>
      </c>
      <c r="C9796" t="s">
        <v>946</v>
      </c>
      <c r="D9796" t="s">
        <v>1038</v>
      </c>
      <c r="E9796" t="s">
        <v>974</v>
      </c>
      <c r="F9796" t="s">
        <v>948</v>
      </c>
      <c r="G9796">
        <v>1899999</v>
      </c>
      <c r="H9796">
        <v>401912</v>
      </c>
      <c r="I9796" t="s">
        <v>949</v>
      </c>
    </row>
    <row r="9797" spans="1:9" x14ac:dyDescent="0.25">
      <c r="A9797">
        <v>4240</v>
      </c>
      <c r="B9797">
        <v>18</v>
      </c>
      <c r="C9797" t="s">
        <v>946</v>
      </c>
      <c r="D9797" t="s">
        <v>1038</v>
      </c>
      <c r="E9797" t="s">
        <v>974</v>
      </c>
      <c r="F9797" t="s">
        <v>948</v>
      </c>
      <c r="G9797">
        <v>1800000</v>
      </c>
      <c r="H9797">
        <v>141000</v>
      </c>
      <c r="I9797" t="s">
        <v>975</v>
      </c>
    </row>
    <row r="9798" spans="1:9" x14ac:dyDescent="0.25">
      <c r="A9798">
        <v>4141</v>
      </c>
      <c r="B9798">
        <v>18</v>
      </c>
      <c r="C9798" t="s">
        <v>946</v>
      </c>
      <c r="D9798" t="s">
        <v>1038</v>
      </c>
      <c r="E9798" t="s">
        <v>104</v>
      </c>
      <c r="F9798" t="s">
        <v>948</v>
      </c>
      <c r="G9798">
        <v>1877777</v>
      </c>
      <c r="H9798">
        <v>500220</v>
      </c>
      <c r="I9798" t="s">
        <v>949</v>
      </c>
    </row>
    <row r="9799" spans="1:9" x14ac:dyDescent="0.25">
      <c r="A9799">
        <v>4220</v>
      </c>
      <c r="B9799">
        <v>18</v>
      </c>
      <c r="C9799" t="s">
        <v>946</v>
      </c>
      <c r="D9799" t="s">
        <v>1038</v>
      </c>
      <c r="E9799" t="s">
        <v>104</v>
      </c>
      <c r="F9799" t="s">
        <v>948</v>
      </c>
      <c r="G9799">
        <v>1877777</v>
      </c>
      <c r="H9799">
        <v>500220</v>
      </c>
      <c r="I9799" t="s">
        <v>949</v>
      </c>
    </row>
    <row r="9800" spans="1:9" x14ac:dyDescent="0.25">
      <c r="A9800">
        <v>4230</v>
      </c>
      <c r="B9800">
        <v>18</v>
      </c>
      <c r="C9800" t="s">
        <v>946</v>
      </c>
      <c r="D9800" t="s">
        <v>1038</v>
      </c>
      <c r="E9800" t="s">
        <v>104</v>
      </c>
      <c r="F9800" t="s">
        <v>948</v>
      </c>
      <c r="G9800">
        <v>1899999</v>
      </c>
      <c r="H9800">
        <v>401042</v>
      </c>
      <c r="I9800" t="s">
        <v>949</v>
      </c>
    </row>
    <row r="9801" spans="1:9" x14ac:dyDescent="0.25">
      <c r="A9801">
        <v>4240</v>
      </c>
      <c r="B9801">
        <v>18</v>
      </c>
      <c r="C9801" t="s">
        <v>946</v>
      </c>
      <c r="D9801" t="s">
        <v>1038</v>
      </c>
      <c r="E9801" t="s">
        <v>104</v>
      </c>
      <c r="F9801" t="s">
        <v>948</v>
      </c>
      <c r="G9801">
        <v>1877777</v>
      </c>
      <c r="H9801">
        <v>500221</v>
      </c>
      <c r="I9801" t="s">
        <v>949</v>
      </c>
    </row>
    <row r="9802" spans="1:9" x14ac:dyDescent="0.25">
      <c r="A9802">
        <v>4141</v>
      </c>
      <c r="B9802">
        <v>18</v>
      </c>
      <c r="C9802" t="s">
        <v>946</v>
      </c>
      <c r="D9802" t="s">
        <v>1038</v>
      </c>
      <c r="E9802" t="s">
        <v>278</v>
      </c>
      <c r="F9802" t="s">
        <v>948</v>
      </c>
      <c r="G9802">
        <v>1877777</v>
      </c>
      <c r="H9802">
        <v>501010</v>
      </c>
      <c r="I9802" t="s">
        <v>949</v>
      </c>
    </row>
    <row r="9803" spans="1:9" x14ac:dyDescent="0.25">
      <c r="A9803">
        <v>4220</v>
      </c>
      <c r="B9803">
        <v>18</v>
      </c>
      <c r="C9803" t="s">
        <v>946</v>
      </c>
      <c r="D9803" t="s">
        <v>1038</v>
      </c>
      <c r="E9803" t="s">
        <v>278</v>
      </c>
      <c r="F9803" t="s">
        <v>948</v>
      </c>
      <c r="G9803">
        <v>1877777</v>
      </c>
      <c r="H9803">
        <v>501010</v>
      </c>
      <c r="I9803" t="s">
        <v>949</v>
      </c>
    </row>
    <row r="9804" spans="1:9" x14ac:dyDescent="0.25">
      <c r="A9804">
        <v>4230</v>
      </c>
      <c r="B9804">
        <v>18</v>
      </c>
      <c r="C9804" t="s">
        <v>946</v>
      </c>
      <c r="D9804" t="s">
        <v>1038</v>
      </c>
      <c r="E9804" t="s">
        <v>278</v>
      </c>
      <c r="F9804" t="s">
        <v>948</v>
      </c>
      <c r="G9804">
        <v>1899999</v>
      </c>
      <c r="H9804">
        <v>401052</v>
      </c>
      <c r="I9804" t="s">
        <v>949</v>
      </c>
    </row>
    <row r="9805" spans="1:9" x14ac:dyDescent="0.25">
      <c r="A9805">
        <v>4240</v>
      </c>
      <c r="B9805">
        <v>18</v>
      </c>
      <c r="C9805" t="s">
        <v>946</v>
      </c>
      <c r="D9805" t="s">
        <v>1038</v>
      </c>
      <c r="E9805" t="s">
        <v>278</v>
      </c>
      <c r="F9805" t="s">
        <v>948</v>
      </c>
      <c r="G9805">
        <v>1800000</v>
      </c>
      <c r="H9805">
        <v>145000</v>
      </c>
      <c r="I9805" t="s">
        <v>949</v>
      </c>
    </row>
    <row r="9806" spans="1:9" x14ac:dyDescent="0.25">
      <c r="A9806">
        <v>4141</v>
      </c>
      <c r="B9806">
        <v>18</v>
      </c>
      <c r="C9806" t="s">
        <v>946</v>
      </c>
      <c r="D9806" t="s">
        <v>1038</v>
      </c>
      <c r="E9806" t="s">
        <v>282</v>
      </c>
      <c r="F9806" t="s">
        <v>948</v>
      </c>
      <c r="G9806">
        <v>1877777</v>
      </c>
      <c r="H9806">
        <v>501010</v>
      </c>
      <c r="I9806" t="s">
        <v>949</v>
      </c>
    </row>
    <row r="9807" spans="1:9" x14ac:dyDescent="0.25">
      <c r="A9807">
        <v>4220</v>
      </c>
      <c r="B9807">
        <v>18</v>
      </c>
      <c r="C9807" t="s">
        <v>946</v>
      </c>
      <c r="D9807" t="s">
        <v>1038</v>
      </c>
      <c r="E9807" t="s">
        <v>282</v>
      </c>
      <c r="F9807" t="s">
        <v>948</v>
      </c>
      <c r="G9807">
        <v>1877777</v>
      </c>
      <c r="H9807">
        <v>501010</v>
      </c>
      <c r="I9807" t="s">
        <v>949</v>
      </c>
    </row>
    <row r="9808" spans="1:9" x14ac:dyDescent="0.25">
      <c r="A9808">
        <v>4230</v>
      </c>
      <c r="B9808">
        <v>18</v>
      </c>
      <c r="C9808" t="s">
        <v>946</v>
      </c>
      <c r="D9808" t="s">
        <v>1038</v>
      </c>
      <c r="E9808" t="s">
        <v>282</v>
      </c>
      <c r="F9808" t="s">
        <v>948</v>
      </c>
      <c r="G9808">
        <v>1899999</v>
      </c>
      <c r="H9808">
        <v>401042</v>
      </c>
      <c r="I9808" t="s">
        <v>949</v>
      </c>
    </row>
    <row r="9809" spans="1:9" x14ac:dyDescent="0.25">
      <c r="A9809">
        <v>4240</v>
      </c>
      <c r="B9809">
        <v>18</v>
      </c>
      <c r="C9809" t="s">
        <v>946</v>
      </c>
      <c r="D9809" t="s">
        <v>1038</v>
      </c>
      <c r="E9809" t="s">
        <v>282</v>
      </c>
      <c r="F9809" t="s">
        <v>948</v>
      </c>
      <c r="G9809">
        <v>1800000</v>
      </c>
      <c r="H9809">
        <v>143100</v>
      </c>
      <c r="I9809" t="s">
        <v>949</v>
      </c>
    </row>
    <row r="9810" spans="1:9" x14ac:dyDescent="0.25">
      <c r="A9810">
        <v>4141</v>
      </c>
      <c r="B9810">
        <v>18</v>
      </c>
      <c r="C9810" t="s">
        <v>946</v>
      </c>
      <c r="D9810" t="s">
        <v>1038</v>
      </c>
      <c r="E9810" t="s">
        <v>286</v>
      </c>
      <c r="F9810" t="s">
        <v>948</v>
      </c>
      <c r="G9810">
        <v>1877777</v>
      </c>
      <c r="H9810">
        <v>501010</v>
      </c>
      <c r="I9810" t="s">
        <v>949</v>
      </c>
    </row>
    <row r="9811" spans="1:9" x14ac:dyDescent="0.25">
      <c r="A9811">
        <v>4220</v>
      </c>
      <c r="B9811">
        <v>18</v>
      </c>
      <c r="C9811" t="s">
        <v>946</v>
      </c>
      <c r="D9811" t="s">
        <v>1038</v>
      </c>
      <c r="E9811" t="s">
        <v>286</v>
      </c>
      <c r="F9811" t="s">
        <v>948</v>
      </c>
      <c r="G9811">
        <v>1877777</v>
      </c>
      <c r="H9811">
        <v>501010</v>
      </c>
      <c r="I9811" t="s">
        <v>949</v>
      </c>
    </row>
    <row r="9812" spans="1:9" x14ac:dyDescent="0.25">
      <c r="A9812">
        <v>4230</v>
      </c>
      <c r="B9812">
        <v>18</v>
      </c>
      <c r="C9812" t="s">
        <v>946</v>
      </c>
      <c r="D9812" t="s">
        <v>1038</v>
      </c>
      <c r="E9812" t="s">
        <v>286</v>
      </c>
      <c r="F9812" t="s">
        <v>948</v>
      </c>
      <c r="G9812">
        <v>1899999</v>
      </c>
      <c r="H9812">
        <v>401032</v>
      </c>
      <c r="I9812" t="s">
        <v>949</v>
      </c>
    </row>
    <row r="9813" spans="1:9" x14ac:dyDescent="0.25">
      <c r="A9813">
        <v>4240</v>
      </c>
      <c r="B9813">
        <v>18</v>
      </c>
      <c r="C9813" t="s">
        <v>946</v>
      </c>
      <c r="D9813" t="s">
        <v>1038</v>
      </c>
      <c r="E9813" t="s">
        <v>286</v>
      </c>
      <c r="F9813" t="s">
        <v>948</v>
      </c>
      <c r="G9813">
        <v>1800000</v>
      </c>
      <c r="H9813">
        <v>145000</v>
      </c>
      <c r="I9813" t="s">
        <v>949</v>
      </c>
    </row>
    <row r="9814" spans="1:9" x14ac:dyDescent="0.25">
      <c r="A9814">
        <v>4141</v>
      </c>
      <c r="B9814">
        <v>18</v>
      </c>
      <c r="C9814" t="s">
        <v>946</v>
      </c>
      <c r="D9814" t="s">
        <v>1038</v>
      </c>
      <c r="E9814" t="s">
        <v>976</v>
      </c>
      <c r="F9814" t="s">
        <v>948</v>
      </c>
      <c r="G9814">
        <v>1877777</v>
      </c>
      <c r="H9814">
        <v>501010</v>
      </c>
      <c r="I9814" t="s">
        <v>949</v>
      </c>
    </row>
    <row r="9815" spans="1:9" x14ac:dyDescent="0.25">
      <c r="A9815">
        <v>4220</v>
      </c>
      <c r="B9815">
        <v>18</v>
      </c>
      <c r="C9815" t="s">
        <v>946</v>
      </c>
      <c r="D9815" t="s">
        <v>1038</v>
      </c>
      <c r="E9815" t="s">
        <v>976</v>
      </c>
      <c r="F9815" t="s">
        <v>948</v>
      </c>
      <c r="G9815">
        <v>1877777</v>
      </c>
      <c r="H9815">
        <v>501010</v>
      </c>
      <c r="I9815" t="s">
        <v>949</v>
      </c>
    </row>
    <row r="9816" spans="1:9" x14ac:dyDescent="0.25">
      <c r="A9816">
        <v>4230</v>
      </c>
      <c r="B9816">
        <v>18</v>
      </c>
      <c r="C9816" t="s">
        <v>946</v>
      </c>
      <c r="D9816" t="s">
        <v>1038</v>
      </c>
      <c r="E9816" t="s">
        <v>976</v>
      </c>
      <c r="F9816" t="s">
        <v>948</v>
      </c>
      <c r="G9816">
        <v>1899999</v>
      </c>
      <c r="H9816">
        <v>401912</v>
      </c>
      <c r="I9816" t="s">
        <v>949</v>
      </c>
    </row>
    <row r="9817" spans="1:9" x14ac:dyDescent="0.25">
      <c r="A9817">
        <v>4240</v>
      </c>
      <c r="B9817">
        <v>18</v>
      </c>
      <c r="C9817" t="s">
        <v>946</v>
      </c>
      <c r="D9817" t="s">
        <v>1038</v>
      </c>
      <c r="E9817" t="s">
        <v>976</v>
      </c>
      <c r="F9817" t="s">
        <v>948</v>
      </c>
      <c r="G9817">
        <v>1800000</v>
      </c>
      <c r="H9817">
        <v>141000</v>
      </c>
      <c r="I9817" t="s">
        <v>977</v>
      </c>
    </row>
    <row r="9818" spans="1:9" x14ac:dyDescent="0.25">
      <c r="A9818">
        <v>4141</v>
      </c>
      <c r="B9818">
        <v>18</v>
      </c>
      <c r="C9818" t="s">
        <v>946</v>
      </c>
      <c r="D9818" t="s">
        <v>1038</v>
      </c>
      <c r="E9818" t="s">
        <v>290</v>
      </c>
      <c r="F9818" t="s">
        <v>948</v>
      </c>
      <c r="G9818">
        <v>1877777</v>
      </c>
      <c r="H9818">
        <v>501010</v>
      </c>
      <c r="I9818" t="s">
        <v>949</v>
      </c>
    </row>
    <row r="9819" spans="1:9" x14ac:dyDescent="0.25">
      <c r="A9819">
        <v>4220</v>
      </c>
      <c r="B9819">
        <v>18</v>
      </c>
      <c r="C9819" t="s">
        <v>946</v>
      </c>
      <c r="D9819" t="s">
        <v>1038</v>
      </c>
      <c r="E9819" t="s">
        <v>290</v>
      </c>
      <c r="F9819" t="s">
        <v>948</v>
      </c>
      <c r="G9819">
        <v>1877777</v>
      </c>
      <c r="H9819">
        <v>501010</v>
      </c>
      <c r="I9819" t="s">
        <v>949</v>
      </c>
    </row>
    <row r="9820" spans="1:9" x14ac:dyDescent="0.25">
      <c r="A9820">
        <v>4230</v>
      </c>
      <c r="B9820">
        <v>18</v>
      </c>
      <c r="C9820" t="s">
        <v>946</v>
      </c>
      <c r="D9820" t="s">
        <v>1038</v>
      </c>
      <c r="E9820" t="s">
        <v>290</v>
      </c>
      <c r="F9820" t="s">
        <v>948</v>
      </c>
      <c r="G9820">
        <v>1899999</v>
      </c>
      <c r="H9820">
        <v>401042</v>
      </c>
      <c r="I9820" t="s">
        <v>949</v>
      </c>
    </row>
    <row r="9821" spans="1:9" x14ac:dyDescent="0.25">
      <c r="A9821">
        <v>4240</v>
      </c>
      <c r="B9821">
        <v>18</v>
      </c>
      <c r="C9821" t="s">
        <v>946</v>
      </c>
      <c r="D9821" t="s">
        <v>1038</v>
      </c>
      <c r="E9821" t="s">
        <v>290</v>
      </c>
      <c r="F9821" t="s">
        <v>948</v>
      </c>
      <c r="G9821">
        <v>1800000</v>
      </c>
      <c r="H9821">
        <v>143000</v>
      </c>
      <c r="I9821" t="s">
        <v>978</v>
      </c>
    </row>
    <row r="9822" spans="1:9" x14ac:dyDescent="0.25">
      <c r="A9822">
        <v>4141</v>
      </c>
      <c r="B9822">
        <v>18</v>
      </c>
      <c r="C9822" t="s">
        <v>946</v>
      </c>
      <c r="D9822" t="s">
        <v>1038</v>
      </c>
      <c r="E9822" t="s">
        <v>294</v>
      </c>
      <c r="F9822" t="s">
        <v>948</v>
      </c>
      <c r="G9822">
        <v>1877777</v>
      </c>
      <c r="H9822">
        <v>501010</v>
      </c>
      <c r="I9822" t="s">
        <v>949</v>
      </c>
    </row>
    <row r="9823" spans="1:9" x14ac:dyDescent="0.25">
      <c r="A9823">
        <v>4220</v>
      </c>
      <c r="B9823">
        <v>18</v>
      </c>
      <c r="C9823" t="s">
        <v>946</v>
      </c>
      <c r="D9823" t="s">
        <v>1038</v>
      </c>
      <c r="E9823" t="s">
        <v>294</v>
      </c>
      <c r="F9823" t="s">
        <v>948</v>
      </c>
      <c r="G9823">
        <v>1877777</v>
      </c>
      <c r="H9823">
        <v>501010</v>
      </c>
      <c r="I9823" t="s">
        <v>949</v>
      </c>
    </row>
    <row r="9824" spans="1:9" x14ac:dyDescent="0.25">
      <c r="A9824">
        <v>4230</v>
      </c>
      <c r="B9824">
        <v>18</v>
      </c>
      <c r="C9824" t="s">
        <v>946</v>
      </c>
      <c r="D9824" t="s">
        <v>1038</v>
      </c>
      <c r="E9824" t="s">
        <v>294</v>
      </c>
      <c r="F9824" t="s">
        <v>948</v>
      </c>
      <c r="G9824">
        <v>1899999</v>
      </c>
      <c r="H9824">
        <v>401042</v>
      </c>
      <c r="I9824" t="s">
        <v>949</v>
      </c>
    </row>
    <row r="9825" spans="1:9" x14ac:dyDescent="0.25">
      <c r="A9825">
        <v>4240</v>
      </c>
      <c r="B9825">
        <v>18</v>
      </c>
      <c r="C9825" t="s">
        <v>946</v>
      </c>
      <c r="D9825" t="s">
        <v>1038</v>
      </c>
      <c r="E9825" t="s">
        <v>294</v>
      </c>
      <c r="F9825" t="s">
        <v>948</v>
      </c>
      <c r="G9825">
        <v>1800000</v>
      </c>
      <c r="H9825">
        <v>143000</v>
      </c>
      <c r="I9825" t="s">
        <v>979</v>
      </c>
    </row>
    <row r="9826" spans="1:9" x14ac:dyDescent="0.25">
      <c r="A9826">
        <v>4230</v>
      </c>
      <c r="B9826">
        <v>18</v>
      </c>
      <c r="C9826" t="s">
        <v>946</v>
      </c>
      <c r="D9826" t="s">
        <v>1038</v>
      </c>
      <c r="E9826" t="s">
        <v>298</v>
      </c>
      <c r="F9826" t="s">
        <v>948</v>
      </c>
      <c r="G9826">
        <v>1899999</v>
      </c>
      <c r="H9826">
        <v>402082</v>
      </c>
      <c r="I9826" t="s">
        <v>949</v>
      </c>
    </row>
    <row r="9827" spans="1:9" x14ac:dyDescent="0.25">
      <c r="A9827">
        <v>4141</v>
      </c>
      <c r="B9827">
        <v>18</v>
      </c>
      <c r="C9827" t="s">
        <v>946</v>
      </c>
      <c r="D9827" t="s">
        <v>1038</v>
      </c>
      <c r="E9827" t="s">
        <v>980</v>
      </c>
      <c r="F9827" t="s">
        <v>948</v>
      </c>
      <c r="G9827">
        <v>1877777</v>
      </c>
      <c r="H9827">
        <v>501010</v>
      </c>
      <c r="I9827" t="s">
        <v>949</v>
      </c>
    </row>
    <row r="9828" spans="1:9" x14ac:dyDescent="0.25">
      <c r="A9828">
        <v>4220</v>
      </c>
      <c r="B9828">
        <v>18</v>
      </c>
      <c r="C9828" t="s">
        <v>946</v>
      </c>
      <c r="D9828" t="s">
        <v>1038</v>
      </c>
      <c r="E9828" t="s">
        <v>980</v>
      </c>
      <c r="F9828" t="s">
        <v>948</v>
      </c>
      <c r="G9828">
        <v>1877777</v>
      </c>
      <c r="H9828">
        <v>501010</v>
      </c>
      <c r="I9828" t="s">
        <v>949</v>
      </c>
    </row>
    <row r="9829" spans="1:9" x14ac:dyDescent="0.25">
      <c r="A9829">
        <v>4230</v>
      </c>
      <c r="B9829">
        <v>18</v>
      </c>
      <c r="C9829" t="s">
        <v>946</v>
      </c>
      <c r="D9829" t="s">
        <v>1038</v>
      </c>
      <c r="E9829" t="s">
        <v>980</v>
      </c>
      <c r="F9829" t="s">
        <v>948</v>
      </c>
      <c r="G9829">
        <v>1899999</v>
      </c>
      <c r="H9829">
        <v>401912</v>
      </c>
      <c r="I9829" t="s">
        <v>949</v>
      </c>
    </row>
    <row r="9830" spans="1:9" x14ac:dyDescent="0.25">
      <c r="A9830">
        <v>4240</v>
      </c>
      <c r="B9830">
        <v>18</v>
      </c>
      <c r="C9830" t="s">
        <v>946</v>
      </c>
      <c r="D9830" t="s">
        <v>1038</v>
      </c>
      <c r="E9830" t="s">
        <v>980</v>
      </c>
      <c r="F9830" t="s">
        <v>948</v>
      </c>
      <c r="G9830">
        <v>1800000</v>
      </c>
      <c r="H9830">
        <v>141000</v>
      </c>
      <c r="I9830" t="s">
        <v>981</v>
      </c>
    </row>
    <row r="9831" spans="1:9" x14ac:dyDescent="0.25">
      <c r="A9831">
        <v>4141</v>
      </c>
      <c r="B9831">
        <v>18</v>
      </c>
      <c r="C9831" t="s">
        <v>946</v>
      </c>
      <c r="D9831" t="s">
        <v>1038</v>
      </c>
      <c r="E9831" t="s">
        <v>302</v>
      </c>
      <c r="F9831" t="s">
        <v>948</v>
      </c>
      <c r="G9831">
        <v>1877777</v>
      </c>
      <c r="H9831">
        <v>501010</v>
      </c>
      <c r="I9831" t="s">
        <v>949</v>
      </c>
    </row>
    <row r="9832" spans="1:9" x14ac:dyDescent="0.25">
      <c r="A9832">
        <v>4220</v>
      </c>
      <c r="B9832">
        <v>18</v>
      </c>
      <c r="C9832" t="s">
        <v>946</v>
      </c>
      <c r="D9832" t="s">
        <v>1038</v>
      </c>
      <c r="E9832" t="s">
        <v>302</v>
      </c>
      <c r="F9832" t="s">
        <v>948</v>
      </c>
      <c r="G9832">
        <v>1877777</v>
      </c>
      <c r="H9832">
        <v>501010</v>
      </c>
      <c r="I9832" t="s">
        <v>949</v>
      </c>
    </row>
    <row r="9833" spans="1:9" x14ac:dyDescent="0.25">
      <c r="A9833">
        <v>4230</v>
      </c>
      <c r="B9833">
        <v>18</v>
      </c>
      <c r="C9833" t="s">
        <v>946</v>
      </c>
      <c r="D9833" t="s">
        <v>1038</v>
      </c>
      <c r="E9833" t="s">
        <v>302</v>
      </c>
      <c r="F9833" t="s">
        <v>948</v>
      </c>
      <c r="G9833">
        <v>1899999</v>
      </c>
      <c r="H9833">
        <v>401902</v>
      </c>
      <c r="I9833" t="s">
        <v>949</v>
      </c>
    </row>
    <row r="9834" spans="1:9" x14ac:dyDescent="0.25">
      <c r="A9834">
        <v>4240</v>
      </c>
      <c r="B9834">
        <v>18</v>
      </c>
      <c r="C9834" t="s">
        <v>946</v>
      </c>
      <c r="D9834" t="s">
        <v>1038</v>
      </c>
      <c r="E9834" t="s">
        <v>302</v>
      </c>
      <c r="F9834" t="s">
        <v>948</v>
      </c>
      <c r="G9834">
        <v>1800000</v>
      </c>
      <c r="H9834">
        <v>143000</v>
      </c>
      <c r="I9834" t="s">
        <v>982</v>
      </c>
    </row>
    <row r="9835" spans="1:9" x14ac:dyDescent="0.25">
      <c r="A9835">
        <v>4141</v>
      </c>
      <c r="B9835">
        <v>18</v>
      </c>
      <c r="C9835" t="s">
        <v>946</v>
      </c>
      <c r="D9835" t="s">
        <v>1038</v>
      </c>
      <c r="E9835" t="s">
        <v>306</v>
      </c>
      <c r="F9835" t="s">
        <v>948</v>
      </c>
      <c r="G9835">
        <v>1877777</v>
      </c>
      <c r="H9835">
        <v>501010</v>
      </c>
      <c r="I9835" t="s">
        <v>949</v>
      </c>
    </row>
    <row r="9836" spans="1:9" x14ac:dyDescent="0.25">
      <c r="A9836">
        <v>4220</v>
      </c>
      <c r="B9836">
        <v>18</v>
      </c>
      <c r="C9836" t="s">
        <v>946</v>
      </c>
      <c r="D9836" t="s">
        <v>1038</v>
      </c>
      <c r="E9836" t="s">
        <v>306</v>
      </c>
      <c r="F9836" t="s">
        <v>948</v>
      </c>
      <c r="G9836">
        <v>1877777</v>
      </c>
      <c r="H9836">
        <v>501010</v>
      </c>
      <c r="I9836" t="s">
        <v>949</v>
      </c>
    </row>
    <row r="9837" spans="1:9" x14ac:dyDescent="0.25">
      <c r="A9837">
        <v>4230</v>
      </c>
      <c r="B9837">
        <v>18</v>
      </c>
      <c r="C9837" t="s">
        <v>946</v>
      </c>
      <c r="D9837" t="s">
        <v>1038</v>
      </c>
      <c r="E9837" t="s">
        <v>306</v>
      </c>
      <c r="F9837" t="s">
        <v>948</v>
      </c>
      <c r="G9837">
        <v>1899999</v>
      </c>
      <c r="H9837">
        <v>401042</v>
      </c>
      <c r="I9837" t="s">
        <v>949</v>
      </c>
    </row>
    <row r="9838" spans="1:9" x14ac:dyDescent="0.25">
      <c r="A9838">
        <v>4240</v>
      </c>
      <c r="B9838">
        <v>18</v>
      </c>
      <c r="C9838" t="s">
        <v>946</v>
      </c>
      <c r="D9838" t="s">
        <v>1038</v>
      </c>
      <c r="E9838" t="s">
        <v>306</v>
      </c>
      <c r="F9838" t="s">
        <v>948</v>
      </c>
      <c r="G9838">
        <v>1800000</v>
      </c>
      <c r="H9838">
        <v>143000</v>
      </c>
      <c r="I9838" t="s">
        <v>983</v>
      </c>
    </row>
    <row r="9839" spans="1:9" x14ac:dyDescent="0.25">
      <c r="A9839">
        <v>4141</v>
      </c>
      <c r="B9839">
        <v>18</v>
      </c>
      <c r="C9839" t="s">
        <v>946</v>
      </c>
      <c r="D9839" t="s">
        <v>1038</v>
      </c>
      <c r="E9839" t="s">
        <v>108</v>
      </c>
      <c r="F9839" t="s">
        <v>948</v>
      </c>
      <c r="G9839">
        <v>1877777</v>
      </c>
      <c r="H9839">
        <v>500220</v>
      </c>
      <c r="I9839" t="s">
        <v>949</v>
      </c>
    </row>
    <row r="9840" spans="1:9" x14ac:dyDescent="0.25">
      <c r="A9840">
        <v>4220</v>
      </c>
      <c r="B9840">
        <v>18</v>
      </c>
      <c r="C9840" t="s">
        <v>946</v>
      </c>
      <c r="D9840" t="s">
        <v>1038</v>
      </c>
      <c r="E9840" t="s">
        <v>108</v>
      </c>
      <c r="F9840" t="s">
        <v>948</v>
      </c>
      <c r="G9840">
        <v>1877777</v>
      </c>
      <c r="H9840">
        <v>500220</v>
      </c>
      <c r="I9840" t="s">
        <v>949</v>
      </c>
    </row>
    <row r="9841" spans="1:9" x14ac:dyDescent="0.25">
      <c r="A9841">
        <v>4230</v>
      </c>
      <c r="B9841">
        <v>18</v>
      </c>
      <c r="C9841" t="s">
        <v>946</v>
      </c>
      <c r="D9841" t="s">
        <v>1038</v>
      </c>
      <c r="E9841" t="s">
        <v>108</v>
      </c>
      <c r="F9841" t="s">
        <v>948</v>
      </c>
      <c r="G9841">
        <v>1899999</v>
      </c>
      <c r="H9841">
        <v>401042</v>
      </c>
      <c r="I9841" t="s">
        <v>949</v>
      </c>
    </row>
    <row r="9842" spans="1:9" x14ac:dyDescent="0.25">
      <c r="A9842">
        <v>4240</v>
      </c>
      <c r="B9842">
        <v>18</v>
      </c>
      <c r="C9842" t="s">
        <v>946</v>
      </c>
      <c r="D9842" t="s">
        <v>1038</v>
      </c>
      <c r="E9842" t="s">
        <v>108</v>
      </c>
      <c r="F9842" t="s">
        <v>948</v>
      </c>
      <c r="G9842">
        <v>1877777</v>
      </c>
      <c r="H9842">
        <v>500221</v>
      </c>
      <c r="I9842" t="s">
        <v>949</v>
      </c>
    </row>
    <row r="9843" spans="1:9" x14ac:dyDescent="0.25">
      <c r="A9843">
        <v>4141</v>
      </c>
      <c r="B9843">
        <v>18</v>
      </c>
      <c r="C9843" t="s">
        <v>946</v>
      </c>
      <c r="D9843" t="s">
        <v>1038</v>
      </c>
      <c r="E9843" t="s">
        <v>310</v>
      </c>
      <c r="F9843" t="s">
        <v>948</v>
      </c>
      <c r="G9843">
        <v>1877777</v>
      </c>
      <c r="H9843">
        <v>501010</v>
      </c>
      <c r="I9843" t="s">
        <v>949</v>
      </c>
    </row>
    <row r="9844" spans="1:9" x14ac:dyDescent="0.25">
      <c r="A9844">
        <v>4220</v>
      </c>
      <c r="B9844">
        <v>18</v>
      </c>
      <c r="C9844" t="s">
        <v>946</v>
      </c>
      <c r="D9844" t="s">
        <v>1038</v>
      </c>
      <c r="E9844" t="s">
        <v>310</v>
      </c>
      <c r="F9844" t="s">
        <v>948</v>
      </c>
      <c r="G9844">
        <v>1877777</v>
      </c>
      <c r="H9844">
        <v>501010</v>
      </c>
      <c r="I9844" t="s">
        <v>949</v>
      </c>
    </row>
    <row r="9845" spans="1:9" x14ac:dyDescent="0.25">
      <c r="A9845">
        <v>4230</v>
      </c>
      <c r="B9845">
        <v>18</v>
      </c>
      <c r="C9845" t="s">
        <v>946</v>
      </c>
      <c r="D9845" t="s">
        <v>1038</v>
      </c>
      <c r="E9845" t="s">
        <v>310</v>
      </c>
      <c r="F9845" t="s">
        <v>948</v>
      </c>
      <c r="G9845">
        <v>1899999</v>
      </c>
      <c r="H9845">
        <v>401012</v>
      </c>
      <c r="I9845" t="s">
        <v>949</v>
      </c>
    </row>
    <row r="9846" spans="1:9" x14ac:dyDescent="0.25">
      <c r="A9846">
        <v>4240</v>
      </c>
      <c r="B9846">
        <v>18</v>
      </c>
      <c r="C9846" t="s">
        <v>946</v>
      </c>
      <c r="D9846" t="s">
        <v>1038</v>
      </c>
      <c r="E9846" t="s">
        <v>310</v>
      </c>
      <c r="F9846" t="s">
        <v>948</v>
      </c>
      <c r="G9846">
        <v>1800000</v>
      </c>
      <c r="H9846">
        <v>145000</v>
      </c>
      <c r="I9846" t="s">
        <v>949</v>
      </c>
    </row>
    <row r="9847" spans="1:9" x14ac:dyDescent="0.25">
      <c r="A9847">
        <v>4141</v>
      </c>
      <c r="B9847">
        <v>18</v>
      </c>
      <c r="C9847" t="s">
        <v>946</v>
      </c>
      <c r="D9847" t="s">
        <v>1038</v>
      </c>
      <c r="E9847" t="s">
        <v>314</v>
      </c>
      <c r="F9847" t="s">
        <v>948</v>
      </c>
      <c r="G9847">
        <v>1877777</v>
      </c>
      <c r="H9847">
        <v>501010</v>
      </c>
      <c r="I9847" t="s">
        <v>949</v>
      </c>
    </row>
    <row r="9848" spans="1:9" x14ac:dyDescent="0.25">
      <c r="A9848">
        <v>4220</v>
      </c>
      <c r="B9848">
        <v>18</v>
      </c>
      <c r="C9848" t="s">
        <v>946</v>
      </c>
      <c r="D9848" t="s">
        <v>1038</v>
      </c>
      <c r="E9848" t="s">
        <v>314</v>
      </c>
      <c r="F9848" t="s">
        <v>948</v>
      </c>
      <c r="G9848">
        <v>1877777</v>
      </c>
      <c r="H9848">
        <v>501010</v>
      </c>
      <c r="I9848" t="s">
        <v>949</v>
      </c>
    </row>
    <row r="9849" spans="1:9" x14ac:dyDescent="0.25">
      <c r="A9849">
        <v>4230</v>
      </c>
      <c r="B9849">
        <v>18</v>
      </c>
      <c r="C9849" t="s">
        <v>946</v>
      </c>
      <c r="D9849" t="s">
        <v>1038</v>
      </c>
      <c r="E9849" t="s">
        <v>314</v>
      </c>
      <c r="F9849" t="s">
        <v>948</v>
      </c>
      <c r="G9849">
        <v>1899999</v>
      </c>
      <c r="H9849">
        <v>401062</v>
      </c>
      <c r="I9849" t="s">
        <v>949</v>
      </c>
    </row>
    <row r="9850" spans="1:9" x14ac:dyDescent="0.25">
      <c r="A9850">
        <v>4240</v>
      </c>
      <c r="B9850">
        <v>18</v>
      </c>
      <c r="C9850" t="s">
        <v>946</v>
      </c>
      <c r="D9850" t="s">
        <v>1038</v>
      </c>
      <c r="E9850" t="s">
        <v>314</v>
      </c>
      <c r="F9850" t="s">
        <v>948</v>
      </c>
      <c r="G9850">
        <v>1800000</v>
      </c>
      <c r="H9850">
        <v>145000</v>
      </c>
      <c r="I9850" t="s">
        <v>949</v>
      </c>
    </row>
    <row r="9851" spans="1:9" x14ac:dyDescent="0.25">
      <c r="A9851">
        <v>4141</v>
      </c>
      <c r="B9851">
        <v>18</v>
      </c>
      <c r="C9851" t="s">
        <v>946</v>
      </c>
      <c r="D9851" t="s">
        <v>1038</v>
      </c>
      <c r="E9851" t="s">
        <v>113</v>
      </c>
      <c r="F9851" t="s">
        <v>948</v>
      </c>
      <c r="G9851">
        <v>1877777</v>
      </c>
      <c r="H9851">
        <v>500220</v>
      </c>
      <c r="I9851" t="s">
        <v>949</v>
      </c>
    </row>
    <row r="9852" spans="1:9" x14ac:dyDescent="0.25">
      <c r="A9852">
        <v>4220</v>
      </c>
      <c r="B9852">
        <v>18</v>
      </c>
      <c r="C9852" t="s">
        <v>946</v>
      </c>
      <c r="D9852" t="s">
        <v>1038</v>
      </c>
      <c r="E9852" t="s">
        <v>113</v>
      </c>
      <c r="F9852" t="s">
        <v>948</v>
      </c>
      <c r="G9852">
        <v>1877777</v>
      </c>
      <c r="H9852">
        <v>500220</v>
      </c>
      <c r="I9852" t="s">
        <v>949</v>
      </c>
    </row>
    <row r="9853" spans="1:9" x14ac:dyDescent="0.25">
      <c r="A9853">
        <v>4230</v>
      </c>
      <c r="B9853">
        <v>18</v>
      </c>
      <c r="C9853" t="s">
        <v>946</v>
      </c>
      <c r="D9853" t="s">
        <v>1038</v>
      </c>
      <c r="E9853" t="s">
        <v>113</v>
      </c>
      <c r="F9853" t="s">
        <v>948</v>
      </c>
      <c r="G9853">
        <v>1899999</v>
      </c>
      <c r="H9853">
        <v>402082</v>
      </c>
      <c r="I9853" t="s">
        <v>949</v>
      </c>
    </row>
    <row r="9854" spans="1:9" x14ac:dyDescent="0.25">
      <c r="A9854">
        <v>4240</v>
      </c>
      <c r="B9854">
        <v>18</v>
      </c>
      <c r="C9854" t="s">
        <v>946</v>
      </c>
      <c r="D9854" t="s">
        <v>1038</v>
      </c>
      <c r="E9854" t="s">
        <v>113</v>
      </c>
      <c r="F9854" t="s">
        <v>948</v>
      </c>
      <c r="G9854">
        <v>1877777</v>
      </c>
      <c r="H9854">
        <v>500221</v>
      </c>
      <c r="I9854" t="s">
        <v>949</v>
      </c>
    </row>
    <row r="9855" spans="1:9" x14ac:dyDescent="0.25">
      <c r="A9855">
        <v>4141</v>
      </c>
      <c r="B9855">
        <v>18</v>
      </c>
      <c r="C9855" t="s">
        <v>946</v>
      </c>
      <c r="D9855" t="s">
        <v>1038</v>
      </c>
      <c r="E9855" t="s">
        <v>117</v>
      </c>
      <c r="F9855" t="s">
        <v>948</v>
      </c>
      <c r="G9855">
        <v>1877777</v>
      </c>
      <c r="H9855">
        <v>500220</v>
      </c>
      <c r="I9855" t="s">
        <v>949</v>
      </c>
    </row>
    <row r="9856" spans="1:9" x14ac:dyDescent="0.25">
      <c r="A9856">
        <v>4220</v>
      </c>
      <c r="B9856">
        <v>18</v>
      </c>
      <c r="C9856" t="s">
        <v>946</v>
      </c>
      <c r="D9856" t="s">
        <v>1038</v>
      </c>
      <c r="E9856" t="s">
        <v>117</v>
      </c>
      <c r="F9856" t="s">
        <v>948</v>
      </c>
      <c r="G9856">
        <v>1877777</v>
      </c>
      <c r="H9856">
        <v>500220</v>
      </c>
      <c r="I9856" t="s">
        <v>949</v>
      </c>
    </row>
    <row r="9857" spans="1:9" x14ac:dyDescent="0.25">
      <c r="A9857">
        <v>4230</v>
      </c>
      <c r="B9857">
        <v>18</v>
      </c>
      <c r="C9857" t="s">
        <v>946</v>
      </c>
      <c r="D9857" t="s">
        <v>1038</v>
      </c>
      <c r="E9857" t="s">
        <v>117</v>
      </c>
      <c r="F9857" t="s">
        <v>948</v>
      </c>
      <c r="G9857">
        <v>1888888</v>
      </c>
      <c r="H9857">
        <v>810600</v>
      </c>
      <c r="I9857" t="s">
        <v>949</v>
      </c>
    </row>
    <row r="9858" spans="1:9" x14ac:dyDescent="0.25">
      <c r="A9858">
        <v>4240</v>
      </c>
      <c r="B9858">
        <v>18</v>
      </c>
      <c r="C9858" t="s">
        <v>946</v>
      </c>
      <c r="D9858" t="s">
        <v>1038</v>
      </c>
      <c r="E9858" t="s">
        <v>117</v>
      </c>
      <c r="F9858" t="s">
        <v>948</v>
      </c>
      <c r="G9858">
        <v>1877777</v>
      </c>
      <c r="H9858">
        <v>500221</v>
      </c>
      <c r="I9858" t="s">
        <v>949</v>
      </c>
    </row>
    <row r="9859" spans="1:9" x14ac:dyDescent="0.25">
      <c r="A9859">
        <v>4141</v>
      </c>
      <c r="B9859">
        <v>18</v>
      </c>
      <c r="C9859" t="s">
        <v>946</v>
      </c>
      <c r="D9859" t="s">
        <v>1038</v>
      </c>
      <c r="E9859" t="s">
        <v>121</v>
      </c>
      <c r="F9859" t="s">
        <v>948</v>
      </c>
      <c r="G9859">
        <v>1877777</v>
      </c>
      <c r="H9859">
        <v>500220</v>
      </c>
      <c r="I9859" t="s">
        <v>949</v>
      </c>
    </row>
    <row r="9860" spans="1:9" x14ac:dyDescent="0.25">
      <c r="A9860">
        <v>4220</v>
      </c>
      <c r="B9860">
        <v>18</v>
      </c>
      <c r="C9860" t="s">
        <v>946</v>
      </c>
      <c r="D9860" t="s">
        <v>1038</v>
      </c>
      <c r="E9860" t="s">
        <v>121</v>
      </c>
      <c r="F9860" t="s">
        <v>948</v>
      </c>
      <c r="G9860">
        <v>1877777</v>
      </c>
      <c r="H9860">
        <v>500220</v>
      </c>
      <c r="I9860" t="s">
        <v>949</v>
      </c>
    </row>
    <row r="9861" spans="1:9" x14ac:dyDescent="0.25">
      <c r="A9861">
        <v>4230</v>
      </c>
      <c r="B9861">
        <v>18</v>
      </c>
      <c r="C9861" t="s">
        <v>946</v>
      </c>
      <c r="D9861" t="s">
        <v>1038</v>
      </c>
      <c r="E9861" t="s">
        <v>121</v>
      </c>
      <c r="F9861" t="s">
        <v>948</v>
      </c>
      <c r="G9861">
        <v>1899999</v>
      </c>
      <c r="H9861">
        <v>401042</v>
      </c>
      <c r="I9861" t="s">
        <v>949</v>
      </c>
    </row>
    <row r="9862" spans="1:9" x14ac:dyDescent="0.25">
      <c r="A9862">
        <v>4240</v>
      </c>
      <c r="B9862">
        <v>18</v>
      </c>
      <c r="C9862" t="s">
        <v>946</v>
      </c>
      <c r="D9862" t="s">
        <v>1038</v>
      </c>
      <c r="E9862" t="s">
        <v>121</v>
      </c>
      <c r="F9862" t="s">
        <v>948</v>
      </c>
      <c r="G9862">
        <v>1877777</v>
      </c>
      <c r="H9862">
        <v>500221</v>
      </c>
      <c r="I9862" t="s">
        <v>949</v>
      </c>
    </row>
    <row r="9863" spans="1:9" x14ac:dyDescent="0.25">
      <c r="A9863">
        <v>4141</v>
      </c>
      <c r="B9863">
        <v>18</v>
      </c>
      <c r="C9863" t="s">
        <v>946</v>
      </c>
      <c r="D9863" t="s">
        <v>1038</v>
      </c>
      <c r="E9863" t="s">
        <v>984</v>
      </c>
      <c r="F9863" t="s">
        <v>948</v>
      </c>
      <c r="G9863">
        <v>1877777</v>
      </c>
      <c r="H9863">
        <v>501010</v>
      </c>
      <c r="I9863" t="s">
        <v>949</v>
      </c>
    </row>
    <row r="9864" spans="1:9" x14ac:dyDescent="0.25">
      <c r="A9864">
        <v>4220</v>
      </c>
      <c r="B9864">
        <v>18</v>
      </c>
      <c r="C9864" t="s">
        <v>946</v>
      </c>
      <c r="D9864" t="s">
        <v>1038</v>
      </c>
      <c r="E9864" t="s">
        <v>984</v>
      </c>
      <c r="F9864" t="s">
        <v>948</v>
      </c>
      <c r="G9864">
        <v>1877777</v>
      </c>
      <c r="H9864">
        <v>501010</v>
      </c>
      <c r="I9864" t="s">
        <v>949</v>
      </c>
    </row>
    <row r="9865" spans="1:9" x14ac:dyDescent="0.25">
      <c r="A9865">
        <v>4230</v>
      </c>
      <c r="B9865">
        <v>18</v>
      </c>
      <c r="C9865" t="s">
        <v>946</v>
      </c>
      <c r="D9865" t="s">
        <v>1038</v>
      </c>
      <c r="E9865" t="s">
        <v>984</v>
      </c>
      <c r="F9865" t="s">
        <v>948</v>
      </c>
      <c r="G9865">
        <v>1899999</v>
      </c>
      <c r="H9865">
        <v>401912</v>
      </c>
      <c r="I9865" t="s">
        <v>949</v>
      </c>
    </row>
    <row r="9866" spans="1:9" x14ac:dyDescent="0.25">
      <c r="A9866">
        <v>4240</v>
      </c>
      <c r="B9866">
        <v>18</v>
      </c>
      <c r="C9866" t="s">
        <v>946</v>
      </c>
      <c r="D9866" t="s">
        <v>1038</v>
      </c>
      <c r="E9866" t="s">
        <v>984</v>
      </c>
      <c r="F9866" t="s">
        <v>948</v>
      </c>
      <c r="G9866">
        <v>1800000</v>
      </c>
      <c r="H9866">
        <v>141000</v>
      </c>
      <c r="I9866" t="s">
        <v>985</v>
      </c>
    </row>
    <row r="9867" spans="1:9" x14ac:dyDescent="0.25">
      <c r="A9867">
        <v>4141</v>
      </c>
      <c r="B9867">
        <v>18</v>
      </c>
      <c r="C9867" t="s">
        <v>946</v>
      </c>
      <c r="D9867" t="s">
        <v>144</v>
      </c>
      <c r="E9867" t="s">
        <v>49</v>
      </c>
      <c r="F9867" t="s">
        <v>948</v>
      </c>
      <c r="G9867">
        <v>1800000</v>
      </c>
      <c r="H9867">
        <v>145200</v>
      </c>
      <c r="I9867" t="s">
        <v>949</v>
      </c>
    </row>
    <row r="9868" spans="1:9" x14ac:dyDescent="0.25">
      <c r="A9868">
        <v>4220</v>
      </c>
      <c r="B9868">
        <v>18</v>
      </c>
      <c r="C9868" t="s">
        <v>946</v>
      </c>
      <c r="D9868" t="s">
        <v>144</v>
      </c>
      <c r="E9868" t="s">
        <v>49</v>
      </c>
      <c r="F9868" t="s">
        <v>948</v>
      </c>
      <c r="G9868">
        <v>1800000</v>
      </c>
      <c r="H9868">
        <v>145200</v>
      </c>
      <c r="I9868" t="s">
        <v>949</v>
      </c>
    </row>
    <row r="9869" spans="1:9" x14ac:dyDescent="0.25">
      <c r="A9869">
        <v>4230</v>
      </c>
      <c r="B9869">
        <v>18</v>
      </c>
      <c r="C9869" t="s">
        <v>946</v>
      </c>
      <c r="D9869" t="s">
        <v>144</v>
      </c>
      <c r="E9869" t="s">
        <v>49</v>
      </c>
      <c r="F9869" t="s">
        <v>948</v>
      </c>
      <c r="G9869">
        <v>1877777</v>
      </c>
      <c r="H9869">
        <v>500220</v>
      </c>
      <c r="I9869" t="s">
        <v>949</v>
      </c>
    </row>
    <row r="9870" spans="1:9" x14ac:dyDescent="0.25">
      <c r="A9870">
        <v>4245</v>
      </c>
      <c r="B9870">
        <v>18</v>
      </c>
      <c r="C9870" t="s">
        <v>946</v>
      </c>
      <c r="D9870" t="s">
        <v>144</v>
      </c>
      <c r="E9870" t="s">
        <v>49</v>
      </c>
      <c r="F9870" t="s">
        <v>948</v>
      </c>
      <c r="G9870">
        <v>1877777</v>
      </c>
      <c r="H9870">
        <v>500221</v>
      </c>
      <c r="I9870" t="s">
        <v>949</v>
      </c>
    </row>
    <row r="9871" spans="1:9" x14ac:dyDescent="0.25">
      <c r="A9871">
        <v>4240</v>
      </c>
      <c r="B9871">
        <v>18</v>
      </c>
      <c r="C9871" t="s">
        <v>946</v>
      </c>
      <c r="D9871" t="s">
        <v>144</v>
      </c>
      <c r="E9871" t="s">
        <v>243</v>
      </c>
      <c r="F9871" t="s">
        <v>948</v>
      </c>
      <c r="G9871">
        <v>1800000</v>
      </c>
      <c r="H9871">
        <v>145000</v>
      </c>
      <c r="I9871" t="s">
        <v>949</v>
      </c>
    </row>
    <row r="9872" spans="1:9" x14ac:dyDescent="0.25">
      <c r="A9872">
        <v>4240</v>
      </c>
      <c r="B9872">
        <v>18</v>
      </c>
      <c r="C9872" t="s">
        <v>946</v>
      </c>
      <c r="D9872" t="s">
        <v>144</v>
      </c>
      <c r="E9872" t="s">
        <v>247</v>
      </c>
      <c r="F9872" t="s">
        <v>948</v>
      </c>
      <c r="G9872">
        <v>1800000</v>
      </c>
      <c r="H9872">
        <v>145000</v>
      </c>
      <c r="I9872" t="s">
        <v>949</v>
      </c>
    </row>
    <row r="9873" spans="1:9" x14ac:dyDescent="0.25">
      <c r="A9873">
        <v>4240</v>
      </c>
      <c r="B9873">
        <v>18</v>
      </c>
      <c r="C9873" t="s">
        <v>946</v>
      </c>
      <c r="D9873" t="s">
        <v>144</v>
      </c>
      <c r="E9873" t="s">
        <v>251</v>
      </c>
      <c r="F9873" t="s">
        <v>948</v>
      </c>
      <c r="G9873">
        <v>1800000</v>
      </c>
      <c r="H9873">
        <v>142000</v>
      </c>
      <c r="I9873" t="s">
        <v>949</v>
      </c>
    </row>
    <row r="9874" spans="1:9" x14ac:dyDescent="0.25">
      <c r="A9874">
        <v>4240</v>
      </c>
      <c r="B9874">
        <v>18</v>
      </c>
      <c r="C9874" t="s">
        <v>946</v>
      </c>
      <c r="D9874" t="s">
        <v>144</v>
      </c>
      <c r="E9874" t="s">
        <v>969</v>
      </c>
      <c r="F9874" t="s">
        <v>948</v>
      </c>
      <c r="G9874">
        <v>1800000</v>
      </c>
      <c r="H9874">
        <v>141000</v>
      </c>
      <c r="I9874" t="s">
        <v>970</v>
      </c>
    </row>
    <row r="9875" spans="1:9" x14ac:dyDescent="0.25">
      <c r="A9875">
        <v>4240</v>
      </c>
      <c r="B9875">
        <v>18</v>
      </c>
      <c r="C9875" t="s">
        <v>946</v>
      </c>
      <c r="D9875" t="s">
        <v>144</v>
      </c>
      <c r="E9875" t="s">
        <v>255</v>
      </c>
      <c r="F9875" t="s">
        <v>948</v>
      </c>
      <c r="G9875">
        <v>1800000</v>
      </c>
      <c r="H9875">
        <v>145000</v>
      </c>
      <c r="I9875" t="s">
        <v>949</v>
      </c>
    </row>
    <row r="9876" spans="1:9" x14ac:dyDescent="0.25">
      <c r="A9876">
        <v>4240</v>
      </c>
      <c r="B9876">
        <v>18</v>
      </c>
      <c r="C9876" t="s">
        <v>946</v>
      </c>
      <c r="D9876" t="s">
        <v>144</v>
      </c>
      <c r="E9876" t="s">
        <v>971</v>
      </c>
      <c r="F9876" t="s">
        <v>948</v>
      </c>
      <c r="G9876">
        <v>1800000</v>
      </c>
      <c r="H9876">
        <v>141000</v>
      </c>
      <c r="I9876" t="s">
        <v>972</v>
      </c>
    </row>
    <row r="9877" spans="1:9" x14ac:dyDescent="0.25">
      <c r="A9877">
        <v>4240</v>
      </c>
      <c r="B9877">
        <v>18</v>
      </c>
      <c r="C9877" t="s">
        <v>946</v>
      </c>
      <c r="D9877" t="s">
        <v>144</v>
      </c>
      <c r="E9877" t="s">
        <v>263</v>
      </c>
      <c r="F9877" t="s">
        <v>948</v>
      </c>
      <c r="G9877">
        <v>1800000</v>
      </c>
      <c r="H9877">
        <v>145000</v>
      </c>
      <c r="I9877" t="s">
        <v>949</v>
      </c>
    </row>
    <row r="9878" spans="1:9" x14ac:dyDescent="0.25">
      <c r="A9878">
        <v>4141</v>
      </c>
      <c r="B9878">
        <v>18</v>
      </c>
      <c r="C9878" t="s">
        <v>946</v>
      </c>
      <c r="D9878" t="s">
        <v>144</v>
      </c>
      <c r="E9878" t="s">
        <v>100</v>
      </c>
      <c r="F9878" t="s">
        <v>948</v>
      </c>
      <c r="G9878">
        <v>1877777</v>
      </c>
      <c r="H9878">
        <v>500220</v>
      </c>
      <c r="I9878" t="s">
        <v>949</v>
      </c>
    </row>
    <row r="9879" spans="1:9" x14ac:dyDescent="0.25">
      <c r="A9879">
        <v>4220</v>
      </c>
      <c r="B9879">
        <v>18</v>
      </c>
      <c r="C9879" t="s">
        <v>946</v>
      </c>
      <c r="D9879" t="s">
        <v>144</v>
      </c>
      <c r="E9879" t="s">
        <v>100</v>
      </c>
      <c r="F9879" t="s">
        <v>948</v>
      </c>
      <c r="G9879">
        <v>1877777</v>
      </c>
      <c r="H9879">
        <v>500220</v>
      </c>
      <c r="I9879" t="s">
        <v>949</v>
      </c>
    </row>
    <row r="9880" spans="1:9" x14ac:dyDescent="0.25">
      <c r="A9880">
        <v>4240</v>
      </c>
      <c r="B9880">
        <v>18</v>
      </c>
      <c r="C9880" t="s">
        <v>946</v>
      </c>
      <c r="D9880" t="s">
        <v>144</v>
      </c>
      <c r="E9880" t="s">
        <v>100</v>
      </c>
      <c r="F9880" t="s">
        <v>948</v>
      </c>
      <c r="G9880">
        <v>1877777</v>
      </c>
      <c r="H9880">
        <v>500221</v>
      </c>
      <c r="I9880" t="s">
        <v>949</v>
      </c>
    </row>
    <row r="9881" spans="1:9" x14ac:dyDescent="0.25">
      <c r="A9881">
        <v>4240</v>
      </c>
      <c r="B9881">
        <v>18</v>
      </c>
      <c r="C9881" t="s">
        <v>946</v>
      </c>
      <c r="D9881" t="s">
        <v>144</v>
      </c>
      <c r="E9881" t="s">
        <v>270</v>
      </c>
      <c r="F9881" t="s">
        <v>948</v>
      </c>
      <c r="G9881">
        <v>1800000</v>
      </c>
      <c r="H9881">
        <v>145000</v>
      </c>
      <c r="I9881" t="s">
        <v>949</v>
      </c>
    </row>
    <row r="9882" spans="1:9" x14ac:dyDescent="0.25">
      <c r="A9882">
        <v>4240</v>
      </c>
      <c r="B9882">
        <v>18</v>
      </c>
      <c r="C9882" t="s">
        <v>946</v>
      </c>
      <c r="D9882" t="s">
        <v>144</v>
      </c>
      <c r="E9882" t="s">
        <v>274</v>
      </c>
      <c r="F9882" t="s">
        <v>948</v>
      </c>
      <c r="G9882">
        <v>1800000</v>
      </c>
      <c r="H9882">
        <v>143000</v>
      </c>
      <c r="I9882" t="s">
        <v>973</v>
      </c>
    </row>
    <row r="9883" spans="1:9" x14ac:dyDescent="0.25">
      <c r="A9883">
        <v>4240</v>
      </c>
      <c r="B9883">
        <v>18</v>
      </c>
      <c r="C9883" t="s">
        <v>946</v>
      </c>
      <c r="D9883" t="s">
        <v>144</v>
      </c>
      <c r="E9883" t="s">
        <v>974</v>
      </c>
      <c r="F9883" t="s">
        <v>948</v>
      </c>
      <c r="G9883">
        <v>1800000</v>
      </c>
      <c r="H9883">
        <v>141000</v>
      </c>
      <c r="I9883" t="s">
        <v>975</v>
      </c>
    </row>
    <row r="9884" spans="1:9" x14ac:dyDescent="0.25">
      <c r="A9884">
        <v>4141</v>
      </c>
      <c r="B9884">
        <v>18</v>
      </c>
      <c r="C9884" t="s">
        <v>946</v>
      </c>
      <c r="D9884" t="s">
        <v>144</v>
      </c>
      <c r="E9884" t="s">
        <v>104</v>
      </c>
      <c r="F9884" t="s">
        <v>948</v>
      </c>
      <c r="G9884">
        <v>1877777</v>
      </c>
      <c r="H9884">
        <v>500220</v>
      </c>
      <c r="I9884" t="s">
        <v>949</v>
      </c>
    </row>
    <row r="9885" spans="1:9" x14ac:dyDescent="0.25">
      <c r="A9885">
        <v>4220</v>
      </c>
      <c r="B9885">
        <v>18</v>
      </c>
      <c r="C9885" t="s">
        <v>946</v>
      </c>
      <c r="D9885" t="s">
        <v>144</v>
      </c>
      <c r="E9885" t="s">
        <v>104</v>
      </c>
      <c r="F9885" t="s">
        <v>948</v>
      </c>
      <c r="G9885">
        <v>1877777</v>
      </c>
      <c r="H9885">
        <v>500220</v>
      </c>
      <c r="I9885" t="s">
        <v>949</v>
      </c>
    </row>
    <row r="9886" spans="1:9" x14ac:dyDescent="0.25">
      <c r="A9886">
        <v>4240</v>
      </c>
      <c r="B9886">
        <v>18</v>
      </c>
      <c r="C9886" t="s">
        <v>946</v>
      </c>
      <c r="D9886" t="s">
        <v>144</v>
      </c>
      <c r="E9886" t="s">
        <v>104</v>
      </c>
      <c r="F9886" t="s">
        <v>948</v>
      </c>
      <c r="G9886">
        <v>1877777</v>
      </c>
      <c r="H9886">
        <v>500221</v>
      </c>
      <c r="I9886" t="s">
        <v>949</v>
      </c>
    </row>
    <row r="9887" spans="1:9" x14ac:dyDescent="0.25">
      <c r="A9887">
        <v>4240</v>
      </c>
      <c r="B9887">
        <v>18</v>
      </c>
      <c r="C9887" t="s">
        <v>946</v>
      </c>
      <c r="D9887" t="s">
        <v>144</v>
      </c>
      <c r="E9887" t="s">
        <v>278</v>
      </c>
      <c r="F9887" t="s">
        <v>948</v>
      </c>
      <c r="G9887">
        <v>1800000</v>
      </c>
      <c r="H9887">
        <v>145000</v>
      </c>
      <c r="I9887" t="s">
        <v>949</v>
      </c>
    </row>
    <row r="9888" spans="1:9" x14ac:dyDescent="0.25">
      <c r="A9888">
        <v>4240</v>
      </c>
      <c r="B9888">
        <v>18</v>
      </c>
      <c r="C9888" t="s">
        <v>946</v>
      </c>
      <c r="D9888" t="s">
        <v>144</v>
      </c>
      <c r="E9888" t="s">
        <v>282</v>
      </c>
      <c r="F9888" t="s">
        <v>948</v>
      </c>
      <c r="G9888">
        <v>1800000</v>
      </c>
      <c r="H9888">
        <v>143100</v>
      </c>
      <c r="I9888" t="s">
        <v>949</v>
      </c>
    </row>
    <row r="9889" spans="1:9" x14ac:dyDescent="0.25">
      <c r="A9889">
        <v>4240</v>
      </c>
      <c r="B9889">
        <v>18</v>
      </c>
      <c r="C9889" t="s">
        <v>946</v>
      </c>
      <c r="D9889" t="s">
        <v>144</v>
      </c>
      <c r="E9889" t="s">
        <v>286</v>
      </c>
      <c r="F9889" t="s">
        <v>948</v>
      </c>
      <c r="G9889">
        <v>1800000</v>
      </c>
      <c r="H9889">
        <v>145000</v>
      </c>
      <c r="I9889" t="s">
        <v>949</v>
      </c>
    </row>
    <row r="9890" spans="1:9" x14ac:dyDescent="0.25">
      <c r="A9890">
        <v>4240</v>
      </c>
      <c r="B9890">
        <v>18</v>
      </c>
      <c r="C9890" t="s">
        <v>946</v>
      </c>
      <c r="D9890" t="s">
        <v>144</v>
      </c>
      <c r="E9890" t="s">
        <v>976</v>
      </c>
      <c r="F9890" t="s">
        <v>948</v>
      </c>
      <c r="G9890">
        <v>1800000</v>
      </c>
      <c r="H9890">
        <v>141000</v>
      </c>
      <c r="I9890" t="s">
        <v>977</v>
      </c>
    </row>
    <row r="9891" spans="1:9" x14ac:dyDescent="0.25">
      <c r="A9891">
        <v>4240</v>
      </c>
      <c r="B9891">
        <v>18</v>
      </c>
      <c r="C9891" t="s">
        <v>946</v>
      </c>
      <c r="D9891" t="s">
        <v>144</v>
      </c>
      <c r="E9891" t="s">
        <v>290</v>
      </c>
      <c r="F9891" t="s">
        <v>948</v>
      </c>
      <c r="G9891">
        <v>1800000</v>
      </c>
      <c r="H9891">
        <v>143000</v>
      </c>
      <c r="I9891" t="s">
        <v>978</v>
      </c>
    </row>
    <row r="9892" spans="1:9" x14ac:dyDescent="0.25">
      <c r="A9892">
        <v>4240</v>
      </c>
      <c r="B9892">
        <v>18</v>
      </c>
      <c r="C9892" t="s">
        <v>946</v>
      </c>
      <c r="D9892" t="s">
        <v>144</v>
      </c>
      <c r="E9892" t="s">
        <v>294</v>
      </c>
      <c r="F9892" t="s">
        <v>948</v>
      </c>
      <c r="G9892">
        <v>1800000</v>
      </c>
      <c r="H9892">
        <v>143000</v>
      </c>
      <c r="I9892" t="s">
        <v>979</v>
      </c>
    </row>
    <row r="9893" spans="1:9" x14ac:dyDescent="0.25">
      <c r="A9893">
        <v>4240</v>
      </c>
      <c r="B9893">
        <v>18</v>
      </c>
      <c r="C9893" t="s">
        <v>946</v>
      </c>
      <c r="D9893" t="s">
        <v>144</v>
      </c>
      <c r="E9893" t="s">
        <v>980</v>
      </c>
      <c r="F9893" t="s">
        <v>948</v>
      </c>
      <c r="G9893">
        <v>1800000</v>
      </c>
      <c r="H9893">
        <v>141000</v>
      </c>
      <c r="I9893" t="s">
        <v>981</v>
      </c>
    </row>
    <row r="9894" spans="1:9" x14ac:dyDescent="0.25">
      <c r="A9894">
        <v>4240</v>
      </c>
      <c r="B9894">
        <v>18</v>
      </c>
      <c r="C9894" t="s">
        <v>946</v>
      </c>
      <c r="D9894" t="s">
        <v>144</v>
      </c>
      <c r="E9894" t="s">
        <v>302</v>
      </c>
      <c r="F9894" t="s">
        <v>948</v>
      </c>
      <c r="G9894">
        <v>1800000</v>
      </c>
      <c r="H9894">
        <v>143000</v>
      </c>
      <c r="I9894" t="s">
        <v>982</v>
      </c>
    </row>
    <row r="9895" spans="1:9" x14ac:dyDescent="0.25">
      <c r="A9895">
        <v>4240</v>
      </c>
      <c r="B9895">
        <v>18</v>
      </c>
      <c r="C9895" t="s">
        <v>946</v>
      </c>
      <c r="D9895" t="s">
        <v>144</v>
      </c>
      <c r="E9895" t="s">
        <v>306</v>
      </c>
      <c r="F9895" t="s">
        <v>948</v>
      </c>
      <c r="G9895">
        <v>1800000</v>
      </c>
      <c r="H9895">
        <v>143000</v>
      </c>
      <c r="I9895" t="s">
        <v>983</v>
      </c>
    </row>
    <row r="9896" ht="22" customHeight="1" spans="1:10" x14ac:dyDescent="0.25">
      <c r="A9896" s="43">
        <v>4141</v>
      </c>
      <c r="B9896" s="43">
        <v>18</v>
      </c>
      <c r="C9896" s="43" t="s">
        <v>946</v>
      </c>
      <c r="D9896" s="43" t="s">
        <v>144</v>
      </c>
      <c r="E9896" s="43" t="s">
        <v>108</v>
      </c>
      <c r="F9896" s="43" t="s">
        <v>948</v>
      </c>
      <c r="G9896" s="43">
        <v>1800000</v>
      </c>
      <c r="H9896" s="43">
        <v>145200</v>
      </c>
      <c r="I9896" s="43" t="s">
        <v>949</v>
      </c>
      <c r="J9896" s="44" t="s">
        <v>1000</v>
      </c>
    </row>
    <row r="9897" spans="1:9" x14ac:dyDescent="0.25">
      <c r="A9897">
        <v>4220</v>
      </c>
      <c r="B9897">
        <v>18</v>
      </c>
      <c r="C9897" t="s">
        <v>946</v>
      </c>
      <c r="D9897" t="s">
        <v>144</v>
      </c>
      <c r="E9897" t="s">
        <v>108</v>
      </c>
      <c r="F9897" t="s">
        <v>948</v>
      </c>
      <c r="G9897">
        <v>1877777</v>
      </c>
      <c r="H9897">
        <v>500220</v>
      </c>
      <c r="I9897" t="s">
        <v>949</v>
      </c>
    </row>
    <row r="9898" spans="1:9" x14ac:dyDescent="0.25">
      <c r="A9898">
        <v>4240</v>
      </c>
      <c r="B9898">
        <v>18</v>
      </c>
      <c r="C9898" t="s">
        <v>946</v>
      </c>
      <c r="D9898" t="s">
        <v>144</v>
      </c>
      <c r="E9898" t="s">
        <v>108</v>
      </c>
      <c r="F9898" t="s">
        <v>948</v>
      </c>
      <c r="G9898">
        <v>1877777</v>
      </c>
      <c r="H9898">
        <v>500221</v>
      </c>
      <c r="I9898" t="s">
        <v>949</v>
      </c>
    </row>
    <row r="9899" spans="1:9" x14ac:dyDescent="0.25">
      <c r="A9899">
        <v>4240</v>
      </c>
      <c r="B9899">
        <v>18</v>
      </c>
      <c r="C9899" t="s">
        <v>946</v>
      </c>
      <c r="D9899" t="s">
        <v>144</v>
      </c>
      <c r="E9899" t="s">
        <v>310</v>
      </c>
      <c r="F9899" t="s">
        <v>948</v>
      </c>
      <c r="G9899">
        <v>1800000</v>
      </c>
      <c r="H9899">
        <v>145000</v>
      </c>
      <c r="I9899" t="s">
        <v>949</v>
      </c>
    </row>
    <row r="9900" spans="1:9" x14ac:dyDescent="0.25">
      <c r="A9900">
        <v>4240</v>
      </c>
      <c r="B9900">
        <v>18</v>
      </c>
      <c r="C9900" t="s">
        <v>946</v>
      </c>
      <c r="D9900" t="s">
        <v>144</v>
      </c>
      <c r="E9900" t="s">
        <v>314</v>
      </c>
      <c r="F9900" t="s">
        <v>948</v>
      </c>
      <c r="G9900">
        <v>1800000</v>
      </c>
      <c r="H9900">
        <v>145000</v>
      </c>
      <c r="I9900" t="s">
        <v>949</v>
      </c>
    </row>
    <row r="9901" spans="1:9" x14ac:dyDescent="0.25">
      <c r="A9901">
        <v>4141</v>
      </c>
      <c r="B9901">
        <v>18</v>
      </c>
      <c r="C9901" t="s">
        <v>946</v>
      </c>
      <c r="D9901" t="s">
        <v>144</v>
      </c>
      <c r="E9901" t="s">
        <v>113</v>
      </c>
      <c r="F9901" t="s">
        <v>948</v>
      </c>
      <c r="G9901">
        <v>1877777</v>
      </c>
      <c r="H9901">
        <v>500220</v>
      </c>
      <c r="I9901" t="s">
        <v>949</v>
      </c>
    </row>
    <row r="9902" spans="1:9" x14ac:dyDescent="0.25">
      <c r="A9902">
        <v>4220</v>
      </c>
      <c r="B9902">
        <v>18</v>
      </c>
      <c r="C9902" t="s">
        <v>946</v>
      </c>
      <c r="D9902" t="s">
        <v>144</v>
      </c>
      <c r="E9902" t="s">
        <v>113</v>
      </c>
      <c r="F9902" t="s">
        <v>948</v>
      </c>
      <c r="G9902">
        <v>1877777</v>
      </c>
      <c r="H9902">
        <v>500220</v>
      </c>
      <c r="I9902" t="s">
        <v>949</v>
      </c>
    </row>
    <row r="9903" spans="1:9" x14ac:dyDescent="0.25">
      <c r="A9903">
        <v>4240</v>
      </c>
      <c r="B9903">
        <v>18</v>
      </c>
      <c r="C9903" t="s">
        <v>946</v>
      </c>
      <c r="D9903" t="s">
        <v>144</v>
      </c>
      <c r="E9903" t="s">
        <v>113</v>
      </c>
      <c r="F9903" t="s">
        <v>948</v>
      </c>
      <c r="G9903">
        <v>1877777</v>
      </c>
      <c r="H9903">
        <v>500221</v>
      </c>
      <c r="I9903" t="s">
        <v>949</v>
      </c>
    </row>
    <row r="9904" spans="1:9" x14ac:dyDescent="0.25">
      <c r="A9904">
        <v>4141</v>
      </c>
      <c r="B9904">
        <v>18</v>
      </c>
      <c r="C9904" t="s">
        <v>946</v>
      </c>
      <c r="D9904" t="s">
        <v>144</v>
      </c>
      <c r="E9904" t="s">
        <v>117</v>
      </c>
      <c r="F9904" t="s">
        <v>948</v>
      </c>
      <c r="G9904">
        <v>1877777</v>
      </c>
      <c r="H9904">
        <v>500220</v>
      </c>
      <c r="I9904" t="s">
        <v>949</v>
      </c>
    </row>
    <row r="9905" spans="1:9" x14ac:dyDescent="0.25">
      <c r="A9905">
        <v>4220</v>
      </c>
      <c r="B9905">
        <v>18</v>
      </c>
      <c r="C9905" t="s">
        <v>946</v>
      </c>
      <c r="D9905" t="s">
        <v>144</v>
      </c>
      <c r="E9905" t="s">
        <v>117</v>
      </c>
      <c r="F9905" t="s">
        <v>948</v>
      </c>
      <c r="G9905">
        <v>1877777</v>
      </c>
      <c r="H9905">
        <v>500220</v>
      </c>
      <c r="I9905" t="s">
        <v>949</v>
      </c>
    </row>
    <row r="9906" spans="1:9" x14ac:dyDescent="0.25">
      <c r="A9906">
        <v>4240</v>
      </c>
      <c r="B9906">
        <v>18</v>
      </c>
      <c r="C9906" t="s">
        <v>946</v>
      </c>
      <c r="D9906" t="s">
        <v>144</v>
      </c>
      <c r="E9906" t="s">
        <v>117</v>
      </c>
      <c r="F9906" t="s">
        <v>948</v>
      </c>
      <c r="G9906">
        <v>1877777</v>
      </c>
      <c r="H9906">
        <v>500221</v>
      </c>
      <c r="I9906" t="s">
        <v>949</v>
      </c>
    </row>
    <row r="9907" spans="1:9" x14ac:dyDescent="0.25">
      <c r="A9907">
        <v>4141</v>
      </c>
      <c r="B9907">
        <v>18</v>
      </c>
      <c r="C9907" t="s">
        <v>946</v>
      </c>
      <c r="D9907" t="s">
        <v>144</v>
      </c>
      <c r="E9907" t="s">
        <v>121</v>
      </c>
      <c r="F9907" t="s">
        <v>948</v>
      </c>
      <c r="G9907">
        <v>1877777</v>
      </c>
      <c r="H9907">
        <v>500220</v>
      </c>
      <c r="I9907" t="s">
        <v>949</v>
      </c>
    </row>
    <row r="9908" spans="1:9" x14ac:dyDescent="0.25">
      <c r="A9908">
        <v>4220</v>
      </c>
      <c r="B9908">
        <v>18</v>
      </c>
      <c r="C9908" t="s">
        <v>946</v>
      </c>
      <c r="D9908" t="s">
        <v>144</v>
      </c>
      <c r="E9908" t="s">
        <v>121</v>
      </c>
      <c r="F9908" t="s">
        <v>948</v>
      </c>
      <c r="G9908">
        <v>1877777</v>
      </c>
      <c r="H9908">
        <v>500220</v>
      </c>
      <c r="I9908" t="s">
        <v>949</v>
      </c>
    </row>
    <row r="9909" spans="1:9" x14ac:dyDescent="0.25">
      <c r="A9909">
        <v>4240</v>
      </c>
      <c r="B9909">
        <v>18</v>
      </c>
      <c r="C9909" t="s">
        <v>946</v>
      </c>
      <c r="D9909" t="s">
        <v>144</v>
      </c>
      <c r="E9909" t="s">
        <v>121</v>
      </c>
      <c r="F9909" t="s">
        <v>948</v>
      </c>
      <c r="G9909">
        <v>1877777</v>
      </c>
      <c r="H9909">
        <v>500221</v>
      </c>
      <c r="I9909" t="s">
        <v>949</v>
      </c>
    </row>
    <row r="9910" spans="1:9" x14ac:dyDescent="0.25">
      <c r="A9910">
        <v>4240</v>
      </c>
      <c r="B9910">
        <v>18</v>
      </c>
      <c r="C9910" t="s">
        <v>946</v>
      </c>
      <c r="D9910" t="s">
        <v>144</v>
      </c>
      <c r="E9910" t="s">
        <v>984</v>
      </c>
      <c r="F9910" t="s">
        <v>948</v>
      </c>
      <c r="G9910">
        <v>1800000</v>
      </c>
      <c r="H9910">
        <v>141000</v>
      </c>
      <c r="I9910" t="s">
        <v>985</v>
      </c>
    </row>
    <row r="9911" spans="1:9" x14ac:dyDescent="0.25">
      <c r="A9911">
        <v>4124</v>
      </c>
      <c r="B9911">
        <v>18</v>
      </c>
      <c r="C9911" t="s">
        <v>946</v>
      </c>
      <c r="D9911" t="s">
        <v>1040</v>
      </c>
      <c r="E9911" t="s">
        <v>49</v>
      </c>
      <c r="F9911" t="s">
        <v>948</v>
      </c>
      <c r="G9911">
        <v>1877777</v>
      </c>
      <c r="H9911">
        <v>500465</v>
      </c>
      <c r="I9911" t="s">
        <v>949</v>
      </c>
    </row>
    <row r="9912" spans="1:9" x14ac:dyDescent="0.25">
      <c r="A9912">
        <v>4141</v>
      </c>
      <c r="B9912">
        <v>18</v>
      </c>
      <c r="C9912" t="s">
        <v>946</v>
      </c>
      <c r="D9912" t="s">
        <v>1040</v>
      </c>
      <c r="E9912" t="s">
        <v>49</v>
      </c>
      <c r="F9912" t="s">
        <v>948</v>
      </c>
      <c r="G9912">
        <v>1877777</v>
      </c>
      <c r="H9912">
        <v>500460</v>
      </c>
      <c r="I9912" t="s">
        <v>949</v>
      </c>
    </row>
    <row r="9913" spans="1:9" x14ac:dyDescent="0.25">
      <c r="A9913">
        <v>4220</v>
      </c>
      <c r="B9913">
        <v>18</v>
      </c>
      <c r="C9913" t="s">
        <v>946</v>
      </c>
      <c r="D9913" t="s">
        <v>1040</v>
      </c>
      <c r="E9913" t="s">
        <v>49</v>
      </c>
      <c r="F9913" t="s">
        <v>948</v>
      </c>
      <c r="G9913">
        <v>1877777</v>
      </c>
      <c r="H9913">
        <v>500465</v>
      </c>
      <c r="I9913" t="s">
        <v>949</v>
      </c>
    </row>
    <row r="9914" spans="1:9" x14ac:dyDescent="0.25">
      <c r="A9914">
        <v>4122</v>
      </c>
      <c r="B9914">
        <v>18</v>
      </c>
      <c r="C9914" t="s">
        <v>946</v>
      </c>
      <c r="D9914" t="s">
        <v>1040</v>
      </c>
      <c r="E9914" t="s">
        <v>243</v>
      </c>
      <c r="F9914" t="s">
        <v>948</v>
      </c>
      <c r="G9914">
        <v>1800000</v>
      </c>
      <c r="H9914">
        <v>145000</v>
      </c>
      <c r="I9914" t="s">
        <v>949</v>
      </c>
    </row>
    <row r="9915" spans="1:9" x14ac:dyDescent="0.25">
      <c r="A9915">
        <v>4240</v>
      </c>
      <c r="B9915">
        <v>18</v>
      </c>
      <c r="C9915" t="s">
        <v>946</v>
      </c>
      <c r="D9915" t="s">
        <v>1040</v>
      </c>
      <c r="E9915" t="s">
        <v>243</v>
      </c>
      <c r="F9915" t="s">
        <v>948</v>
      </c>
      <c r="G9915">
        <v>1800000</v>
      </c>
      <c r="H9915">
        <v>145000</v>
      </c>
      <c r="I9915" t="s">
        <v>949</v>
      </c>
    </row>
    <row r="9916" spans="1:9" x14ac:dyDescent="0.25">
      <c r="A9916">
        <v>4122</v>
      </c>
      <c r="B9916">
        <v>18</v>
      </c>
      <c r="C9916" t="s">
        <v>946</v>
      </c>
      <c r="D9916" t="s">
        <v>1040</v>
      </c>
      <c r="E9916" t="s">
        <v>247</v>
      </c>
      <c r="F9916" t="s">
        <v>948</v>
      </c>
      <c r="G9916">
        <v>1800000</v>
      </c>
      <c r="H9916">
        <v>145000</v>
      </c>
      <c r="I9916" t="s">
        <v>949</v>
      </c>
    </row>
    <row r="9917" spans="1:9" x14ac:dyDescent="0.25">
      <c r="A9917">
        <v>4240</v>
      </c>
      <c r="B9917">
        <v>18</v>
      </c>
      <c r="C9917" t="s">
        <v>946</v>
      </c>
      <c r="D9917" t="s">
        <v>1040</v>
      </c>
      <c r="E9917" t="s">
        <v>247</v>
      </c>
      <c r="F9917" t="s">
        <v>948</v>
      </c>
      <c r="G9917">
        <v>1800000</v>
      </c>
      <c r="H9917">
        <v>145000</v>
      </c>
      <c r="I9917" t="s">
        <v>949</v>
      </c>
    </row>
    <row r="9918" spans="1:9" x14ac:dyDescent="0.25">
      <c r="A9918">
        <v>4122</v>
      </c>
      <c r="B9918">
        <v>18</v>
      </c>
      <c r="C9918" t="s">
        <v>946</v>
      </c>
      <c r="D9918" t="s">
        <v>1040</v>
      </c>
      <c r="E9918" t="s">
        <v>251</v>
      </c>
      <c r="F9918" t="s">
        <v>948</v>
      </c>
      <c r="G9918">
        <v>1800000</v>
      </c>
      <c r="H9918">
        <v>142000</v>
      </c>
      <c r="I9918" t="s">
        <v>949</v>
      </c>
    </row>
    <row r="9919" spans="1:9" x14ac:dyDescent="0.25">
      <c r="A9919">
        <v>4240</v>
      </c>
      <c r="B9919">
        <v>18</v>
      </c>
      <c r="C9919" t="s">
        <v>946</v>
      </c>
      <c r="D9919" t="s">
        <v>1040</v>
      </c>
      <c r="E9919" t="s">
        <v>251</v>
      </c>
      <c r="F9919" t="s">
        <v>948</v>
      </c>
      <c r="G9919">
        <v>1800000</v>
      </c>
      <c r="H9919">
        <v>142000</v>
      </c>
      <c r="I9919" t="s">
        <v>949</v>
      </c>
    </row>
    <row r="9920" spans="1:9" x14ac:dyDescent="0.25">
      <c r="A9920">
        <v>4122</v>
      </c>
      <c r="B9920">
        <v>18</v>
      </c>
      <c r="C9920" t="s">
        <v>946</v>
      </c>
      <c r="D9920" t="s">
        <v>1040</v>
      </c>
      <c r="E9920" t="s">
        <v>969</v>
      </c>
      <c r="F9920" t="s">
        <v>948</v>
      </c>
      <c r="G9920">
        <v>1800000</v>
      </c>
      <c r="H9920">
        <v>141000</v>
      </c>
      <c r="I9920" t="s">
        <v>970</v>
      </c>
    </row>
    <row r="9921" spans="1:9" x14ac:dyDescent="0.25">
      <c r="A9921">
        <v>4240</v>
      </c>
      <c r="B9921">
        <v>18</v>
      </c>
      <c r="C9921" t="s">
        <v>946</v>
      </c>
      <c r="D9921" t="s">
        <v>1040</v>
      </c>
      <c r="E9921" t="s">
        <v>969</v>
      </c>
      <c r="F9921" t="s">
        <v>948</v>
      </c>
      <c r="G9921">
        <v>1800000</v>
      </c>
      <c r="H9921">
        <v>141000</v>
      </c>
      <c r="I9921" t="s">
        <v>970</v>
      </c>
    </row>
    <row r="9922" spans="1:9" x14ac:dyDescent="0.25">
      <c r="A9922">
        <v>4122</v>
      </c>
      <c r="B9922">
        <v>18</v>
      </c>
      <c r="C9922" t="s">
        <v>946</v>
      </c>
      <c r="D9922" t="s">
        <v>1040</v>
      </c>
      <c r="E9922" t="s">
        <v>255</v>
      </c>
      <c r="F9922" t="s">
        <v>948</v>
      </c>
      <c r="G9922">
        <v>1800000</v>
      </c>
      <c r="H9922">
        <v>145000</v>
      </c>
      <c r="I9922" t="s">
        <v>949</v>
      </c>
    </row>
    <row r="9923" spans="1:9" x14ac:dyDescent="0.25">
      <c r="A9923">
        <v>4240</v>
      </c>
      <c r="B9923">
        <v>18</v>
      </c>
      <c r="C9923" t="s">
        <v>946</v>
      </c>
      <c r="D9923" t="s">
        <v>1040</v>
      </c>
      <c r="E9923" t="s">
        <v>255</v>
      </c>
      <c r="F9923" t="s">
        <v>948</v>
      </c>
      <c r="G9923">
        <v>1800000</v>
      </c>
      <c r="H9923">
        <v>145000</v>
      </c>
      <c r="I9923" t="s">
        <v>949</v>
      </c>
    </row>
    <row r="9924" spans="1:9" x14ac:dyDescent="0.25">
      <c r="A9924">
        <v>4122</v>
      </c>
      <c r="B9924">
        <v>18</v>
      </c>
      <c r="C9924" t="s">
        <v>946</v>
      </c>
      <c r="D9924" t="s">
        <v>1040</v>
      </c>
      <c r="E9924" t="s">
        <v>971</v>
      </c>
      <c r="F9924" t="s">
        <v>948</v>
      </c>
      <c r="G9924">
        <v>1800000</v>
      </c>
      <c r="H9924">
        <v>141000</v>
      </c>
      <c r="I9924" t="s">
        <v>972</v>
      </c>
    </row>
    <row r="9925" spans="1:9" x14ac:dyDescent="0.25">
      <c r="A9925">
        <v>4240</v>
      </c>
      <c r="B9925">
        <v>18</v>
      </c>
      <c r="C9925" t="s">
        <v>946</v>
      </c>
      <c r="D9925" t="s">
        <v>1040</v>
      </c>
      <c r="E9925" t="s">
        <v>971</v>
      </c>
      <c r="F9925" t="s">
        <v>948</v>
      </c>
      <c r="G9925">
        <v>1800000</v>
      </c>
      <c r="H9925">
        <v>141000</v>
      </c>
      <c r="I9925" t="s">
        <v>972</v>
      </c>
    </row>
    <row r="9926" spans="1:9" x14ac:dyDescent="0.25">
      <c r="A9926">
        <v>4122</v>
      </c>
      <c r="B9926">
        <v>18</v>
      </c>
      <c r="C9926" t="s">
        <v>946</v>
      </c>
      <c r="D9926" t="s">
        <v>1040</v>
      </c>
      <c r="E9926" t="s">
        <v>263</v>
      </c>
      <c r="F9926" t="s">
        <v>948</v>
      </c>
      <c r="G9926">
        <v>1800000</v>
      </c>
      <c r="H9926">
        <v>145000</v>
      </c>
      <c r="I9926" t="s">
        <v>949</v>
      </c>
    </row>
    <row r="9927" spans="1:9" x14ac:dyDescent="0.25">
      <c r="A9927">
        <v>4240</v>
      </c>
      <c r="B9927">
        <v>18</v>
      </c>
      <c r="C9927" t="s">
        <v>946</v>
      </c>
      <c r="D9927" t="s">
        <v>1040</v>
      </c>
      <c r="E9927" t="s">
        <v>263</v>
      </c>
      <c r="F9927" t="s">
        <v>948</v>
      </c>
      <c r="G9927">
        <v>1800000</v>
      </c>
      <c r="H9927">
        <v>145000</v>
      </c>
      <c r="I9927" t="s">
        <v>949</v>
      </c>
    </row>
    <row r="9928" spans="1:9" x14ac:dyDescent="0.25">
      <c r="A9928">
        <v>4122</v>
      </c>
      <c r="B9928">
        <v>18</v>
      </c>
      <c r="C9928" t="s">
        <v>946</v>
      </c>
      <c r="D9928" t="s">
        <v>1040</v>
      </c>
      <c r="E9928" t="s">
        <v>100</v>
      </c>
      <c r="F9928" t="s">
        <v>948</v>
      </c>
      <c r="G9928">
        <v>1877777</v>
      </c>
      <c r="H9928">
        <v>500220</v>
      </c>
      <c r="I9928" t="s">
        <v>949</v>
      </c>
    </row>
    <row r="9929" spans="1:9" x14ac:dyDescent="0.25">
      <c r="A9929">
        <v>4240</v>
      </c>
      <c r="B9929">
        <v>18</v>
      </c>
      <c r="C9929" t="s">
        <v>946</v>
      </c>
      <c r="D9929" t="s">
        <v>1040</v>
      </c>
      <c r="E9929" t="s">
        <v>100</v>
      </c>
      <c r="F9929" t="s">
        <v>948</v>
      </c>
      <c r="G9929">
        <v>1877777</v>
      </c>
      <c r="H9929">
        <v>500221</v>
      </c>
      <c r="I9929" t="s">
        <v>949</v>
      </c>
    </row>
    <row r="9930" spans="1:9" x14ac:dyDescent="0.25">
      <c r="A9930">
        <v>4122</v>
      </c>
      <c r="B9930">
        <v>18</v>
      </c>
      <c r="C9930" t="s">
        <v>946</v>
      </c>
      <c r="D9930" t="s">
        <v>1040</v>
      </c>
      <c r="E9930" t="s">
        <v>270</v>
      </c>
      <c r="F9930" t="s">
        <v>948</v>
      </c>
      <c r="G9930">
        <v>1800000</v>
      </c>
      <c r="H9930">
        <v>145000</v>
      </c>
      <c r="I9930" t="s">
        <v>949</v>
      </c>
    </row>
    <row r="9931" spans="1:9" x14ac:dyDescent="0.25">
      <c r="A9931">
        <v>4240</v>
      </c>
      <c r="B9931">
        <v>18</v>
      </c>
      <c r="C9931" t="s">
        <v>946</v>
      </c>
      <c r="D9931" t="s">
        <v>1040</v>
      </c>
      <c r="E9931" t="s">
        <v>270</v>
      </c>
      <c r="F9931" t="s">
        <v>948</v>
      </c>
      <c r="G9931">
        <v>1800000</v>
      </c>
      <c r="H9931">
        <v>145000</v>
      </c>
      <c r="I9931" t="s">
        <v>949</v>
      </c>
    </row>
    <row r="9932" spans="1:9" x14ac:dyDescent="0.25">
      <c r="A9932">
        <v>4122</v>
      </c>
      <c r="B9932">
        <v>18</v>
      </c>
      <c r="C9932" t="s">
        <v>946</v>
      </c>
      <c r="D9932" t="s">
        <v>1040</v>
      </c>
      <c r="E9932" t="s">
        <v>274</v>
      </c>
      <c r="F9932" t="s">
        <v>948</v>
      </c>
      <c r="G9932">
        <v>1800000</v>
      </c>
      <c r="H9932">
        <v>143000</v>
      </c>
      <c r="I9932" t="s">
        <v>973</v>
      </c>
    </row>
    <row r="9933" spans="1:9" x14ac:dyDescent="0.25">
      <c r="A9933">
        <v>4240</v>
      </c>
      <c r="B9933">
        <v>18</v>
      </c>
      <c r="C9933" t="s">
        <v>946</v>
      </c>
      <c r="D9933" t="s">
        <v>1040</v>
      </c>
      <c r="E9933" t="s">
        <v>274</v>
      </c>
      <c r="F9933" t="s">
        <v>948</v>
      </c>
      <c r="G9933">
        <v>1800000</v>
      </c>
      <c r="H9933">
        <v>143000</v>
      </c>
      <c r="I9933" t="s">
        <v>973</v>
      </c>
    </row>
    <row r="9934" spans="1:9" x14ac:dyDescent="0.25">
      <c r="A9934">
        <v>4122</v>
      </c>
      <c r="B9934">
        <v>18</v>
      </c>
      <c r="C9934" t="s">
        <v>946</v>
      </c>
      <c r="D9934" t="s">
        <v>1040</v>
      </c>
      <c r="E9934" t="s">
        <v>974</v>
      </c>
      <c r="F9934" t="s">
        <v>948</v>
      </c>
      <c r="G9934">
        <v>1800000</v>
      </c>
      <c r="H9934">
        <v>141000</v>
      </c>
      <c r="I9934" t="s">
        <v>975</v>
      </c>
    </row>
    <row r="9935" spans="1:9" x14ac:dyDescent="0.25">
      <c r="A9935">
        <v>4240</v>
      </c>
      <c r="B9935">
        <v>18</v>
      </c>
      <c r="C9935" t="s">
        <v>946</v>
      </c>
      <c r="D9935" t="s">
        <v>1040</v>
      </c>
      <c r="E9935" t="s">
        <v>974</v>
      </c>
      <c r="F9935" t="s">
        <v>948</v>
      </c>
      <c r="G9935">
        <v>1800000</v>
      </c>
      <c r="H9935">
        <v>141000</v>
      </c>
      <c r="I9935" t="s">
        <v>975</v>
      </c>
    </row>
    <row r="9936" spans="1:9" x14ac:dyDescent="0.25">
      <c r="A9936">
        <v>4122</v>
      </c>
      <c r="B9936">
        <v>18</v>
      </c>
      <c r="C9936" t="s">
        <v>946</v>
      </c>
      <c r="D9936" t="s">
        <v>1040</v>
      </c>
      <c r="E9936" t="s">
        <v>104</v>
      </c>
      <c r="F9936" t="s">
        <v>948</v>
      </c>
      <c r="G9936">
        <v>1877777</v>
      </c>
      <c r="H9936">
        <v>500220</v>
      </c>
      <c r="I9936" t="s">
        <v>949</v>
      </c>
    </row>
    <row r="9937" spans="1:9" x14ac:dyDescent="0.25">
      <c r="A9937">
        <v>4240</v>
      </c>
      <c r="B9937">
        <v>18</v>
      </c>
      <c r="C9937" t="s">
        <v>946</v>
      </c>
      <c r="D9937" t="s">
        <v>1040</v>
      </c>
      <c r="E9937" t="s">
        <v>104</v>
      </c>
      <c r="F9937" t="s">
        <v>948</v>
      </c>
      <c r="G9937">
        <v>1877777</v>
      </c>
      <c r="H9937">
        <v>500221</v>
      </c>
      <c r="I9937" t="s">
        <v>949</v>
      </c>
    </row>
    <row r="9938" spans="1:9" x14ac:dyDescent="0.25">
      <c r="A9938">
        <v>4122</v>
      </c>
      <c r="B9938">
        <v>18</v>
      </c>
      <c r="C9938" t="s">
        <v>946</v>
      </c>
      <c r="D9938" t="s">
        <v>1040</v>
      </c>
      <c r="E9938" t="s">
        <v>278</v>
      </c>
      <c r="F9938" t="s">
        <v>948</v>
      </c>
      <c r="G9938">
        <v>1800000</v>
      </c>
      <c r="H9938">
        <v>145000</v>
      </c>
      <c r="I9938" t="s">
        <v>949</v>
      </c>
    </row>
    <row r="9939" spans="1:9" x14ac:dyDescent="0.25">
      <c r="A9939">
        <v>4240</v>
      </c>
      <c r="B9939">
        <v>18</v>
      </c>
      <c r="C9939" t="s">
        <v>946</v>
      </c>
      <c r="D9939" t="s">
        <v>1040</v>
      </c>
      <c r="E9939" t="s">
        <v>278</v>
      </c>
      <c r="F9939" t="s">
        <v>948</v>
      </c>
      <c r="G9939">
        <v>1800000</v>
      </c>
      <c r="H9939">
        <v>145000</v>
      </c>
      <c r="I9939" t="s">
        <v>949</v>
      </c>
    </row>
    <row r="9940" spans="1:9" x14ac:dyDescent="0.25">
      <c r="A9940">
        <v>4122</v>
      </c>
      <c r="B9940">
        <v>18</v>
      </c>
      <c r="C9940" t="s">
        <v>946</v>
      </c>
      <c r="D9940" t="s">
        <v>1040</v>
      </c>
      <c r="E9940" t="s">
        <v>282</v>
      </c>
      <c r="F9940" t="s">
        <v>948</v>
      </c>
      <c r="G9940">
        <v>1800000</v>
      </c>
      <c r="H9940">
        <v>143100</v>
      </c>
      <c r="I9940" t="s">
        <v>949</v>
      </c>
    </row>
    <row r="9941" spans="1:9" x14ac:dyDescent="0.25">
      <c r="A9941">
        <v>4240</v>
      </c>
      <c r="B9941">
        <v>18</v>
      </c>
      <c r="C9941" t="s">
        <v>946</v>
      </c>
      <c r="D9941" t="s">
        <v>1040</v>
      </c>
      <c r="E9941" t="s">
        <v>282</v>
      </c>
      <c r="F9941" t="s">
        <v>948</v>
      </c>
      <c r="G9941">
        <v>1800000</v>
      </c>
      <c r="H9941">
        <v>143100</v>
      </c>
      <c r="I9941" t="s">
        <v>949</v>
      </c>
    </row>
    <row r="9942" spans="1:9" x14ac:dyDescent="0.25">
      <c r="A9942">
        <v>4122</v>
      </c>
      <c r="B9942">
        <v>18</v>
      </c>
      <c r="C9942" t="s">
        <v>946</v>
      </c>
      <c r="D9942" t="s">
        <v>1040</v>
      </c>
      <c r="E9942" t="s">
        <v>286</v>
      </c>
      <c r="F9942" t="s">
        <v>948</v>
      </c>
      <c r="G9942">
        <v>1800000</v>
      </c>
      <c r="H9942">
        <v>145000</v>
      </c>
      <c r="I9942" t="s">
        <v>949</v>
      </c>
    </row>
    <row r="9943" spans="1:9" x14ac:dyDescent="0.25">
      <c r="A9943">
        <v>4240</v>
      </c>
      <c r="B9943">
        <v>18</v>
      </c>
      <c r="C9943" t="s">
        <v>946</v>
      </c>
      <c r="D9943" t="s">
        <v>1040</v>
      </c>
      <c r="E9943" t="s">
        <v>286</v>
      </c>
      <c r="F9943" t="s">
        <v>948</v>
      </c>
      <c r="G9943">
        <v>1800000</v>
      </c>
      <c r="H9943">
        <v>145000</v>
      </c>
      <c r="I9943" t="s">
        <v>949</v>
      </c>
    </row>
    <row r="9944" spans="1:9" x14ac:dyDescent="0.25">
      <c r="A9944">
        <v>4122</v>
      </c>
      <c r="B9944">
        <v>18</v>
      </c>
      <c r="C9944" t="s">
        <v>946</v>
      </c>
      <c r="D9944" t="s">
        <v>1040</v>
      </c>
      <c r="E9944" t="s">
        <v>976</v>
      </c>
      <c r="F9944" t="s">
        <v>948</v>
      </c>
      <c r="G9944">
        <v>1800000</v>
      </c>
      <c r="H9944">
        <v>141000</v>
      </c>
      <c r="I9944" t="s">
        <v>977</v>
      </c>
    </row>
    <row r="9945" spans="1:9" x14ac:dyDescent="0.25">
      <c r="A9945">
        <v>4240</v>
      </c>
      <c r="B9945">
        <v>18</v>
      </c>
      <c r="C9945" t="s">
        <v>946</v>
      </c>
      <c r="D9945" t="s">
        <v>1040</v>
      </c>
      <c r="E9945" t="s">
        <v>976</v>
      </c>
      <c r="F9945" t="s">
        <v>948</v>
      </c>
      <c r="G9945">
        <v>1800000</v>
      </c>
      <c r="H9945">
        <v>141000</v>
      </c>
      <c r="I9945" t="s">
        <v>977</v>
      </c>
    </row>
    <row r="9946" spans="1:9" x14ac:dyDescent="0.25">
      <c r="A9946">
        <v>4122</v>
      </c>
      <c r="B9946">
        <v>18</v>
      </c>
      <c r="C9946" t="s">
        <v>946</v>
      </c>
      <c r="D9946" t="s">
        <v>1040</v>
      </c>
      <c r="E9946" t="s">
        <v>290</v>
      </c>
      <c r="F9946" t="s">
        <v>948</v>
      </c>
      <c r="G9946">
        <v>1800000</v>
      </c>
      <c r="H9946">
        <v>143000</v>
      </c>
      <c r="I9946" t="s">
        <v>978</v>
      </c>
    </row>
    <row r="9947" spans="1:9" x14ac:dyDescent="0.25">
      <c r="A9947">
        <v>4240</v>
      </c>
      <c r="B9947">
        <v>18</v>
      </c>
      <c r="C9947" t="s">
        <v>946</v>
      </c>
      <c r="D9947" t="s">
        <v>1040</v>
      </c>
      <c r="E9947" t="s">
        <v>290</v>
      </c>
      <c r="F9947" t="s">
        <v>948</v>
      </c>
      <c r="G9947">
        <v>1800000</v>
      </c>
      <c r="H9947">
        <v>143000</v>
      </c>
      <c r="I9947" t="s">
        <v>978</v>
      </c>
    </row>
    <row r="9948" spans="1:9" x14ac:dyDescent="0.25">
      <c r="A9948">
        <v>4122</v>
      </c>
      <c r="B9948">
        <v>18</v>
      </c>
      <c r="C9948" t="s">
        <v>946</v>
      </c>
      <c r="D9948" t="s">
        <v>1040</v>
      </c>
      <c r="E9948" t="s">
        <v>294</v>
      </c>
      <c r="F9948" t="s">
        <v>948</v>
      </c>
      <c r="G9948">
        <v>1800000</v>
      </c>
      <c r="H9948">
        <v>143000</v>
      </c>
      <c r="I9948" t="s">
        <v>979</v>
      </c>
    </row>
    <row r="9949" spans="1:9" x14ac:dyDescent="0.25">
      <c r="A9949">
        <v>4240</v>
      </c>
      <c r="B9949">
        <v>18</v>
      </c>
      <c r="C9949" t="s">
        <v>946</v>
      </c>
      <c r="D9949" t="s">
        <v>1040</v>
      </c>
      <c r="E9949" t="s">
        <v>294</v>
      </c>
      <c r="F9949" t="s">
        <v>948</v>
      </c>
      <c r="G9949">
        <v>1800000</v>
      </c>
      <c r="H9949">
        <v>143000</v>
      </c>
      <c r="I9949" t="s">
        <v>979</v>
      </c>
    </row>
    <row r="9950" spans="1:9" x14ac:dyDescent="0.25">
      <c r="A9950">
        <v>4122</v>
      </c>
      <c r="B9950">
        <v>18</v>
      </c>
      <c r="C9950" t="s">
        <v>946</v>
      </c>
      <c r="D9950" t="s">
        <v>1040</v>
      </c>
      <c r="E9950" t="s">
        <v>980</v>
      </c>
      <c r="F9950" t="s">
        <v>948</v>
      </c>
      <c r="G9950">
        <v>1800000</v>
      </c>
      <c r="H9950">
        <v>141000</v>
      </c>
      <c r="I9950" t="s">
        <v>981</v>
      </c>
    </row>
    <row r="9951" spans="1:9" x14ac:dyDescent="0.25">
      <c r="A9951">
        <v>4240</v>
      </c>
      <c r="B9951">
        <v>18</v>
      </c>
      <c r="C9951" t="s">
        <v>946</v>
      </c>
      <c r="D9951" t="s">
        <v>1040</v>
      </c>
      <c r="E9951" t="s">
        <v>980</v>
      </c>
      <c r="F9951" t="s">
        <v>948</v>
      </c>
      <c r="G9951">
        <v>1800000</v>
      </c>
      <c r="H9951">
        <v>141000</v>
      </c>
      <c r="I9951" t="s">
        <v>981</v>
      </c>
    </row>
    <row r="9952" spans="1:9" x14ac:dyDescent="0.25">
      <c r="A9952">
        <v>4122</v>
      </c>
      <c r="B9952">
        <v>18</v>
      </c>
      <c r="C9952" t="s">
        <v>946</v>
      </c>
      <c r="D9952" t="s">
        <v>1040</v>
      </c>
      <c r="E9952" t="s">
        <v>302</v>
      </c>
      <c r="F9952" t="s">
        <v>948</v>
      </c>
      <c r="G9952">
        <v>1800000</v>
      </c>
      <c r="H9952">
        <v>143000</v>
      </c>
      <c r="I9952" t="s">
        <v>982</v>
      </c>
    </row>
    <row r="9953" spans="1:9" x14ac:dyDescent="0.25">
      <c r="A9953">
        <v>4240</v>
      </c>
      <c r="B9953">
        <v>18</v>
      </c>
      <c r="C9953" t="s">
        <v>946</v>
      </c>
      <c r="D9953" t="s">
        <v>1040</v>
      </c>
      <c r="E9953" t="s">
        <v>302</v>
      </c>
      <c r="F9953" t="s">
        <v>948</v>
      </c>
      <c r="G9953">
        <v>1800000</v>
      </c>
      <c r="H9953">
        <v>143000</v>
      </c>
      <c r="I9953" t="s">
        <v>982</v>
      </c>
    </row>
    <row r="9954" spans="1:9" x14ac:dyDescent="0.25">
      <c r="A9954">
        <v>4122</v>
      </c>
      <c r="B9954">
        <v>18</v>
      </c>
      <c r="C9954" t="s">
        <v>946</v>
      </c>
      <c r="D9954" t="s">
        <v>1040</v>
      </c>
      <c r="E9954" t="s">
        <v>306</v>
      </c>
      <c r="F9954" t="s">
        <v>948</v>
      </c>
      <c r="G9954">
        <v>1800000</v>
      </c>
      <c r="H9954">
        <v>143000</v>
      </c>
      <c r="I9954" t="s">
        <v>983</v>
      </c>
    </row>
    <row r="9955" spans="1:9" x14ac:dyDescent="0.25">
      <c r="A9955">
        <v>4240</v>
      </c>
      <c r="B9955">
        <v>18</v>
      </c>
      <c r="C9955" t="s">
        <v>946</v>
      </c>
      <c r="D9955" t="s">
        <v>1040</v>
      </c>
      <c r="E9955" t="s">
        <v>306</v>
      </c>
      <c r="F9955" t="s">
        <v>948</v>
      </c>
      <c r="G9955">
        <v>1800000</v>
      </c>
      <c r="H9955">
        <v>143000</v>
      </c>
      <c r="I9955" t="s">
        <v>983</v>
      </c>
    </row>
    <row r="9956" spans="1:9" x14ac:dyDescent="0.25">
      <c r="A9956">
        <v>4122</v>
      </c>
      <c r="B9956">
        <v>18</v>
      </c>
      <c r="C9956" t="s">
        <v>946</v>
      </c>
      <c r="D9956" t="s">
        <v>1040</v>
      </c>
      <c r="E9956" t="s">
        <v>108</v>
      </c>
      <c r="F9956" t="s">
        <v>948</v>
      </c>
      <c r="G9956">
        <v>1877777</v>
      </c>
      <c r="H9956">
        <v>500220</v>
      </c>
      <c r="I9956" t="s">
        <v>949</v>
      </c>
    </row>
    <row r="9957" spans="1:9" x14ac:dyDescent="0.25">
      <c r="A9957">
        <v>4240</v>
      </c>
      <c r="B9957">
        <v>18</v>
      </c>
      <c r="C9957" t="s">
        <v>946</v>
      </c>
      <c r="D9957" t="s">
        <v>1040</v>
      </c>
      <c r="E9957" t="s">
        <v>108</v>
      </c>
      <c r="F9957" t="s">
        <v>948</v>
      </c>
      <c r="G9957">
        <v>1877777</v>
      </c>
      <c r="H9957">
        <v>500221</v>
      </c>
      <c r="I9957" t="s">
        <v>949</v>
      </c>
    </row>
    <row r="9958" spans="1:9" x14ac:dyDescent="0.25">
      <c r="A9958">
        <v>4122</v>
      </c>
      <c r="B9958">
        <v>18</v>
      </c>
      <c r="C9958" t="s">
        <v>946</v>
      </c>
      <c r="D9958" t="s">
        <v>1040</v>
      </c>
      <c r="E9958" t="s">
        <v>310</v>
      </c>
      <c r="F9958" t="s">
        <v>948</v>
      </c>
      <c r="G9958">
        <v>1800000</v>
      </c>
      <c r="H9958">
        <v>145000</v>
      </c>
      <c r="I9958" t="s">
        <v>949</v>
      </c>
    </row>
    <row r="9959" spans="1:9" x14ac:dyDescent="0.25">
      <c r="A9959">
        <v>4240</v>
      </c>
      <c r="B9959">
        <v>18</v>
      </c>
      <c r="C9959" t="s">
        <v>946</v>
      </c>
      <c r="D9959" t="s">
        <v>1040</v>
      </c>
      <c r="E9959" t="s">
        <v>310</v>
      </c>
      <c r="F9959" t="s">
        <v>948</v>
      </c>
      <c r="G9959">
        <v>1800000</v>
      </c>
      <c r="H9959">
        <v>145000</v>
      </c>
      <c r="I9959" t="s">
        <v>949</v>
      </c>
    </row>
    <row r="9960" spans="1:9" x14ac:dyDescent="0.25">
      <c r="A9960">
        <v>4122</v>
      </c>
      <c r="B9960">
        <v>18</v>
      </c>
      <c r="C9960" t="s">
        <v>946</v>
      </c>
      <c r="D9960" t="s">
        <v>1040</v>
      </c>
      <c r="E9960" t="s">
        <v>314</v>
      </c>
      <c r="F9960" t="s">
        <v>948</v>
      </c>
      <c r="G9960">
        <v>1800000</v>
      </c>
      <c r="H9960">
        <v>145000</v>
      </c>
      <c r="I9960" t="s">
        <v>949</v>
      </c>
    </row>
    <row r="9961" spans="1:9" x14ac:dyDescent="0.25">
      <c r="A9961">
        <v>4240</v>
      </c>
      <c r="B9961">
        <v>18</v>
      </c>
      <c r="C9961" t="s">
        <v>946</v>
      </c>
      <c r="D9961" t="s">
        <v>1040</v>
      </c>
      <c r="E9961" t="s">
        <v>314</v>
      </c>
      <c r="F9961" t="s">
        <v>948</v>
      </c>
      <c r="G9961">
        <v>1800000</v>
      </c>
      <c r="H9961">
        <v>145000</v>
      </c>
      <c r="I9961" t="s">
        <v>949</v>
      </c>
    </row>
    <row r="9962" spans="1:9" x14ac:dyDescent="0.25">
      <c r="A9962">
        <v>4240</v>
      </c>
      <c r="B9962">
        <v>18</v>
      </c>
      <c r="C9962" t="s">
        <v>946</v>
      </c>
      <c r="D9962" t="s">
        <v>1040</v>
      </c>
      <c r="E9962" t="s">
        <v>113</v>
      </c>
      <c r="F9962" t="s">
        <v>948</v>
      </c>
      <c r="G9962">
        <v>1877777</v>
      </c>
      <c r="H9962">
        <v>500221</v>
      </c>
      <c r="I9962" t="s">
        <v>949</v>
      </c>
    </row>
    <row r="9963" spans="1:9" x14ac:dyDescent="0.25">
      <c r="A9963">
        <v>4240</v>
      </c>
      <c r="B9963">
        <v>18</v>
      </c>
      <c r="C9963" t="s">
        <v>946</v>
      </c>
      <c r="D9963" t="s">
        <v>1040</v>
      </c>
      <c r="E9963" t="s">
        <v>117</v>
      </c>
      <c r="F9963" t="s">
        <v>948</v>
      </c>
      <c r="G9963">
        <v>1877777</v>
      </c>
      <c r="H9963">
        <v>500221</v>
      </c>
      <c r="I9963" t="s">
        <v>949</v>
      </c>
    </row>
    <row r="9964" spans="1:9" x14ac:dyDescent="0.25">
      <c r="A9964">
        <v>4122</v>
      </c>
      <c r="B9964">
        <v>18</v>
      </c>
      <c r="C9964" t="s">
        <v>946</v>
      </c>
      <c r="D9964" t="s">
        <v>1040</v>
      </c>
      <c r="E9964" t="s">
        <v>121</v>
      </c>
      <c r="F9964" t="s">
        <v>948</v>
      </c>
      <c r="G9964">
        <v>1877777</v>
      </c>
      <c r="H9964">
        <v>500220</v>
      </c>
      <c r="I9964" t="s">
        <v>949</v>
      </c>
    </row>
    <row r="9965" spans="1:9" x14ac:dyDescent="0.25">
      <c r="A9965">
        <v>4122</v>
      </c>
      <c r="B9965">
        <v>18</v>
      </c>
      <c r="C9965" t="s">
        <v>946</v>
      </c>
      <c r="D9965" t="s">
        <v>1040</v>
      </c>
      <c r="E9965" t="s">
        <v>984</v>
      </c>
      <c r="F9965" t="s">
        <v>948</v>
      </c>
      <c r="G9965">
        <v>1800000</v>
      </c>
      <c r="H9965">
        <v>141000</v>
      </c>
      <c r="I9965" t="s">
        <v>985</v>
      </c>
    </row>
    <row r="9966" spans="1:9" x14ac:dyDescent="0.25">
      <c r="A9966">
        <v>4240</v>
      </c>
      <c r="B9966">
        <v>18</v>
      </c>
      <c r="C9966" t="s">
        <v>946</v>
      </c>
      <c r="D9966" t="s">
        <v>1040</v>
      </c>
      <c r="E9966" t="s">
        <v>984</v>
      </c>
      <c r="F9966" t="s">
        <v>948</v>
      </c>
      <c r="G9966">
        <v>1800000</v>
      </c>
      <c r="H9966">
        <v>141000</v>
      </c>
      <c r="I9966" t="s">
        <v>985</v>
      </c>
    </row>
    <row r="9967" spans="1:9" x14ac:dyDescent="0.25">
      <c r="A9967">
        <v>4320</v>
      </c>
      <c r="B9967">
        <v>30</v>
      </c>
      <c r="C9967" t="s">
        <v>946</v>
      </c>
      <c r="D9967" t="s">
        <v>1014</v>
      </c>
      <c r="E9967" t="s">
        <v>49</v>
      </c>
      <c r="F9967" t="s">
        <v>948</v>
      </c>
      <c r="G9967">
        <v>3000000</v>
      </c>
      <c r="H9967">
        <v>200110</v>
      </c>
      <c r="I9967" t="s">
        <v>949</v>
      </c>
    </row>
    <row r="9968" spans="1:9" x14ac:dyDescent="0.25">
      <c r="A9968">
        <v>4152</v>
      </c>
      <c r="B9968">
        <v>50</v>
      </c>
      <c r="C9968" t="s">
        <v>946</v>
      </c>
      <c r="D9968">
        <v>99</v>
      </c>
      <c r="E9968" t="s">
        <v>49</v>
      </c>
      <c r="F9968" t="s">
        <v>948</v>
      </c>
      <c r="G9968">
        <v>5000000</v>
      </c>
      <c r="H9968">
        <v>145000</v>
      </c>
      <c r="I9968" t="s">
        <v>949</v>
      </c>
    </row>
    <row r="9969" spans="1:9" x14ac:dyDescent="0.25">
      <c r="A9969">
        <v>4141</v>
      </c>
      <c r="B9969">
        <v>50</v>
      </c>
      <c r="C9969" t="s">
        <v>946</v>
      </c>
      <c r="D9969" t="s">
        <v>1051</v>
      </c>
      <c r="E9969" t="s">
        <v>49</v>
      </c>
      <c r="F9969" t="s">
        <v>948</v>
      </c>
      <c r="G9969">
        <v>5077777</v>
      </c>
      <c r="H9969">
        <v>501010</v>
      </c>
      <c r="I9969">
        <v>51</v>
      </c>
    </row>
    <row r="9970" spans="1:9" x14ac:dyDescent="0.25">
      <c r="A9970">
        <v>4220</v>
      </c>
      <c r="B9970">
        <v>50</v>
      </c>
      <c r="C9970" t="s">
        <v>946</v>
      </c>
      <c r="D9970" t="s">
        <v>1051</v>
      </c>
      <c r="E9970" t="s">
        <v>49</v>
      </c>
      <c r="F9970" t="s">
        <v>948</v>
      </c>
      <c r="G9970">
        <v>5077777</v>
      </c>
      <c r="H9970">
        <v>501010</v>
      </c>
      <c r="I9970">
        <v>51</v>
      </c>
    </row>
    <row r="9971" spans="1:9" x14ac:dyDescent="0.25">
      <c r="A9971">
        <v>4230</v>
      </c>
      <c r="B9971">
        <v>50</v>
      </c>
      <c r="C9971" t="s">
        <v>946</v>
      </c>
      <c r="D9971" t="s">
        <v>1051</v>
      </c>
      <c r="E9971" t="s">
        <v>49</v>
      </c>
      <c r="F9971" t="s">
        <v>948</v>
      </c>
      <c r="G9971">
        <v>5099999</v>
      </c>
      <c r="H9971">
        <v>403055</v>
      </c>
      <c r="I9971">
        <v>51</v>
      </c>
    </row>
    <row r="9972" spans="1:9" x14ac:dyDescent="0.25">
      <c r="A9972">
        <v>4240</v>
      </c>
      <c r="B9972">
        <v>50</v>
      </c>
      <c r="C9972" t="s">
        <v>946</v>
      </c>
      <c r="D9972" t="s">
        <v>1051</v>
      </c>
      <c r="E9972" t="s">
        <v>49</v>
      </c>
      <c r="F9972" t="s">
        <v>948</v>
      </c>
      <c r="G9972">
        <v>5000000</v>
      </c>
      <c r="H9972">
        <v>145000</v>
      </c>
      <c r="I9972" t="s">
        <v>949</v>
      </c>
    </row>
    <row r="9973" spans="1:9" x14ac:dyDescent="0.25">
      <c r="A9973">
        <v>4250</v>
      </c>
      <c r="B9973">
        <v>50</v>
      </c>
      <c r="C9973" t="s">
        <v>946</v>
      </c>
      <c r="D9973" t="s">
        <v>1051</v>
      </c>
      <c r="E9973" t="s">
        <v>49</v>
      </c>
      <c r="F9973" t="s">
        <v>948</v>
      </c>
      <c r="G9973">
        <v>5000000</v>
      </c>
      <c r="H9973">
        <v>130305</v>
      </c>
      <c r="I9973" t="s">
        <v>949</v>
      </c>
    </row>
    <row r="9974" spans="1:9" x14ac:dyDescent="0.25">
      <c r="A9974">
        <v>4141</v>
      </c>
      <c r="B9974">
        <v>50</v>
      </c>
      <c r="C9974" t="s">
        <v>946</v>
      </c>
      <c r="D9974" t="s">
        <v>992</v>
      </c>
      <c r="E9974" t="s">
        <v>49</v>
      </c>
      <c r="F9974" t="s">
        <v>948</v>
      </c>
      <c r="G9974">
        <v>5077777</v>
      </c>
      <c r="H9974">
        <v>501010</v>
      </c>
      <c r="I9974" t="s">
        <v>949</v>
      </c>
    </row>
    <row r="9975" spans="1:9" x14ac:dyDescent="0.25">
      <c r="A9975">
        <v>4220</v>
      </c>
      <c r="B9975">
        <v>50</v>
      </c>
      <c r="C9975" t="s">
        <v>946</v>
      </c>
      <c r="D9975" t="s">
        <v>992</v>
      </c>
      <c r="E9975" t="s">
        <v>49</v>
      </c>
      <c r="F9975" t="s">
        <v>948</v>
      </c>
      <c r="G9975">
        <v>5077777</v>
      </c>
      <c r="H9975">
        <v>501010</v>
      </c>
      <c r="I9975" t="s">
        <v>949</v>
      </c>
    </row>
    <row r="9976" spans="1:9" x14ac:dyDescent="0.25">
      <c r="A9976">
        <v>4240</v>
      </c>
      <c r="B9976">
        <v>50</v>
      </c>
      <c r="C9976" t="s">
        <v>946</v>
      </c>
      <c r="D9976" t="s">
        <v>992</v>
      </c>
      <c r="E9976" t="s">
        <v>49</v>
      </c>
      <c r="F9976" t="s">
        <v>948</v>
      </c>
      <c r="G9976">
        <v>5000000</v>
      </c>
      <c r="H9976">
        <v>145000</v>
      </c>
      <c r="I9976" t="s">
        <v>949</v>
      </c>
    </row>
    <row r="9977" spans="1:9" x14ac:dyDescent="0.25">
      <c r="A9977">
        <v>4250</v>
      </c>
      <c r="B9977">
        <v>50</v>
      </c>
      <c r="C9977" t="s">
        <v>946</v>
      </c>
      <c r="D9977" t="s">
        <v>992</v>
      </c>
      <c r="E9977" t="s">
        <v>49</v>
      </c>
      <c r="F9977" t="s">
        <v>948</v>
      </c>
      <c r="G9977">
        <v>5000000</v>
      </c>
      <c r="H9977">
        <v>130305</v>
      </c>
      <c r="I9977" t="s">
        <v>949</v>
      </c>
    </row>
    <row r="9978" spans="1:9" x14ac:dyDescent="0.25">
      <c r="A9978">
        <v>4230</v>
      </c>
      <c r="B9978">
        <v>50</v>
      </c>
      <c r="C9978" t="s">
        <v>946</v>
      </c>
      <c r="D9978" t="s">
        <v>992</v>
      </c>
      <c r="E9978" t="s">
        <v>243</v>
      </c>
      <c r="F9978" t="s">
        <v>948</v>
      </c>
      <c r="G9978">
        <v>5099999</v>
      </c>
      <c r="H9978">
        <v>403052</v>
      </c>
      <c r="I9978" t="s">
        <v>949</v>
      </c>
    </row>
    <row r="9979" spans="1:9" x14ac:dyDescent="0.25">
      <c r="A9979">
        <v>4230</v>
      </c>
      <c r="B9979">
        <v>50</v>
      </c>
      <c r="C9979" t="s">
        <v>946</v>
      </c>
      <c r="D9979" t="s">
        <v>992</v>
      </c>
      <c r="E9979" t="s">
        <v>247</v>
      </c>
      <c r="F9979" t="s">
        <v>948</v>
      </c>
      <c r="G9979">
        <v>5099999</v>
      </c>
      <c r="H9979">
        <v>403022</v>
      </c>
      <c r="I9979" t="s">
        <v>949</v>
      </c>
    </row>
    <row r="9980" spans="1:9" x14ac:dyDescent="0.25">
      <c r="A9980">
        <v>4230</v>
      </c>
      <c r="B9980">
        <v>50</v>
      </c>
      <c r="C9980" t="s">
        <v>946</v>
      </c>
      <c r="D9980" t="s">
        <v>992</v>
      </c>
      <c r="E9980" t="s">
        <v>251</v>
      </c>
      <c r="F9980" t="s">
        <v>948</v>
      </c>
      <c r="G9980">
        <v>5099999</v>
      </c>
      <c r="H9980">
        <v>403042</v>
      </c>
      <c r="I9980" t="s">
        <v>949</v>
      </c>
    </row>
    <row r="9981" spans="1:9" x14ac:dyDescent="0.25">
      <c r="A9981">
        <v>4230</v>
      </c>
      <c r="B9981">
        <v>50</v>
      </c>
      <c r="C9981" t="s">
        <v>946</v>
      </c>
      <c r="D9981" t="s">
        <v>992</v>
      </c>
      <c r="E9981" t="s">
        <v>255</v>
      </c>
      <c r="F9981" t="s">
        <v>948</v>
      </c>
      <c r="G9981">
        <v>5099999</v>
      </c>
      <c r="H9981">
        <v>403072</v>
      </c>
      <c r="I9981" t="s">
        <v>949</v>
      </c>
    </row>
    <row r="9982" spans="1:9" x14ac:dyDescent="0.25">
      <c r="A9982">
        <v>4230</v>
      </c>
      <c r="B9982">
        <v>50</v>
      </c>
      <c r="C9982" t="s">
        <v>946</v>
      </c>
      <c r="D9982" t="s">
        <v>992</v>
      </c>
      <c r="E9982" t="s">
        <v>259</v>
      </c>
      <c r="F9982" t="s">
        <v>948</v>
      </c>
      <c r="G9982">
        <v>5099999</v>
      </c>
      <c r="H9982">
        <v>409002</v>
      </c>
      <c r="I9982" t="s">
        <v>949</v>
      </c>
    </row>
    <row r="9983" spans="1:9" x14ac:dyDescent="0.25">
      <c r="A9983">
        <v>4230</v>
      </c>
      <c r="B9983">
        <v>50</v>
      </c>
      <c r="C9983" t="s">
        <v>946</v>
      </c>
      <c r="D9983" t="s">
        <v>992</v>
      </c>
      <c r="E9983" t="s">
        <v>263</v>
      </c>
      <c r="F9983" t="s">
        <v>948</v>
      </c>
      <c r="G9983">
        <v>5099999</v>
      </c>
      <c r="H9983">
        <v>403042</v>
      </c>
      <c r="I9983" t="s">
        <v>949</v>
      </c>
    </row>
    <row r="9984" spans="1:9" x14ac:dyDescent="0.25">
      <c r="A9984">
        <v>4230</v>
      </c>
      <c r="B9984">
        <v>50</v>
      </c>
      <c r="C9984" t="s">
        <v>946</v>
      </c>
      <c r="D9984" t="s">
        <v>992</v>
      </c>
      <c r="E9984" t="s">
        <v>100</v>
      </c>
      <c r="F9984" t="s">
        <v>948</v>
      </c>
      <c r="G9984">
        <v>5099999</v>
      </c>
      <c r="H9984">
        <v>401042</v>
      </c>
      <c r="I9984" t="s">
        <v>949</v>
      </c>
    </row>
    <row r="9985" spans="1:9" x14ac:dyDescent="0.25">
      <c r="A9985">
        <v>4230</v>
      </c>
      <c r="B9985">
        <v>50</v>
      </c>
      <c r="C9985" t="s">
        <v>946</v>
      </c>
      <c r="D9985" t="s">
        <v>992</v>
      </c>
      <c r="E9985" t="s">
        <v>987</v>
      </c>
      <c r="F9985" t="s">
        <v>948</v>
      </c>
      <c r="G9985">
        <v>5099999</v>
      </c>
      <c r="H9985">
        <v>740150</v>
      </c>
      <c r="I9985" t="s">
        <v>949</v>
      </c>
    </row>
    <row r="9986" spans="1:9" x14ac:dyDescent="0.25">
      <c r="A9986">
        <v>4230</v>
      </c>
      <c r="B9986">
        <v>50</v>
      </c>
      <c r="C9986" t="s">
        <v>946</v>
      </c>
      <c r="D9986" t="s">
        <v>992</v>
      </c>
      <c r="E9986" t="s">
        <v>270</v>
      </c>
      <c r="F9986" t="s">
        <v>948</v>
      </c>
      <c r="G9986">
        <v>5099999</v>
      </c>
      <c r="H9986">
        <v>403062</v>
      </c>
      <c r="I9986" t="s">
        <v>949</v>
      </c>
    </row>
    <row r="9987" spans="1:9" x14ac:dyDescent="0.25">
      <c r="A9987">
        <v>4230</v>
      </c>
      <c r="B9987">
        <v>50</v>
      </c>
      <c r="C9987" t="s">
        <v>946</v>
      </c>
      <c r="D9987" t="s">
        <v>992</v>
      </c>
      <c r="E9987" t="s">
        <v>274</v>
      </c>
      <c r="F9987" t="s">
        <v>948</v>
      </c>
      <c r="G9987">
        <v>5099999</v>
      </c>
      <c r="H9987">
        <v>403042</v>
      </c>
      <c r="I9987" t="s">
        <v>949</v>
      </c>
    </row>
    <row r="9988" spans="1:9" x14ac:dyDescent="0.25">
      <c r="A9988">
        <v>4230</v>
      </c>
      <c r="B9988">
        <v>50</v>
      </c>
      <c r="C9988" t="s">
        <v>946</v>
      </c>
      <c r="D9988" t="s">
        <v>992</v>
      </c>
      <c r="E9988" t="s">
        <v>278</v>
      </c>
      <c r="F9988" t="s">
        <v>948</v>
      </c>
      <c r="G9988">
        <v>5099999</v>
      </c>
      <c r="H9988">
        <v>403052</v>
      </c>
      <c r="I9988" t="s">
        <v>949</v>
      </c>
    </row>
    <row r="9989" spans="1:9" x14ac:dyDescent="0.25">
      <c r="A9989">
        <v>4230</v>
      </c>
      <c r="B9989">
        <v>50</v>
      </c>
      <c r="C9989" t="s">
        <v>946</v>
      </c>
      <c r="D9989" t="s">
        <v>992</v>
      </c>
      <c r="E9989" t="s">
        <v>282</v>
      </c>
      <c r="F9989" t="s">
        <v>948</v>
      </c>
      <c r="G9989">
        <v>5099999</v>
      </c>
      <c r="H9989">
        <v>401042</v>
      </c>
      <c r="I9989" t="s">
        <v>949</v>
      </c>
    </row>
    <row r="9990" spans="1:9" x14ac:dyDescent="0.25">
      <c r="A9990">
        <v>4230</v>
      </c>
      <c r="B9990">
        <v>50</v>
      </c>
      <c r="C9990" t="s">
        <v>946</v>
      </c>
      <c r="D9990" t="s">
        <v>992</v>
      </c>
      <c r="E9990" t="s">
        <v>286</v>
      </c>
      <c r="F9990" t="s">
        <v>948</v>
      </c>
      <c r="G9990">
        <v>5099999</v>
      </c>
      <c r="H9990">
        <v>403032</v>
      </c>
      <c r="I9990" t="s">
        <v>949</v>
      </c>
    </row>
    <row r="9991" spans="1:9" x14ac:dyDescent="0.25">
      <c r="A9991">
        <v>4230</v>
      </c>
      <c r="B9991">
        <v>50</v>
      </c>
      <c r="C9991" t="s">
        <v>946</v>
      </c>
      <c r="D9991" t="s">
        <v>992</v>
      </c>
      <c r="E9991" t="s">
        <v>290</v>
      </c>
      <c r="F9991" t="s">
        <v>948</v>
      </c>
      <c r="G9991">
        <v>5099999</v>
      </c>
      <c r="H9991">
        <v>403042</v>
      </c>
      <c r="I9991" t="s">
        <v>949</v>
      </c>
    </row>
    <row r="9992" spans="1:9" x14ac:dyDescent="0.25">
      <c r="A9992">
        <v>4230</v>
      </c>
      <c r="B9992">
        <v>50</v>
      </c>
      <c r="C9992" t="s">
        <v>946</v>
      </c>
      <c r="D9992" t="s">
        <v>992</v>
      </c>
      <c r="E9992" t="s">
        <v>294</v>
      </c>
      <c r="F9992" t="s">
        <v>948</v>
      </c>
      <c r="G9992">
        <v>5099999</v>
      </c>
      <c r="H9992">
        <v>403042</v>
      </c>
      <c r="I9992" t="s">
        <v>949</v>
      </c>
    </row>
    <row r="9993" spans="1:9" x14ac:dyDescent="0.25">
      <c r="A9993">
        <v>4230</v>
      </c>
      <c r="B9993">
        <v>50</v>
      </c>
      <c r="C9993" t="s">
        <v>946</v>
      </c>
      <c r="D9993" t="s">
        <v>992</v>
      </c>
      <c r="E9993" t="s">
        <v>298</v>
      </c>
      <c r="F9993" t="s">
        <v>948</v>
      </c>
      <c r="G9993">
        <v>5099999</v>
      </c>
      <c r="H9993">
        <v>403082</v>
      </c>
      <c r="I9993" t="s">
        <v>949</v>
      </c>
    </row>
    <row r="9994" spans="1:9" x14ac:dyDescent="0.25">
      <c r="A9994">
        <v>4230</v>
      </c>
      <c r="B9994">
        <v>50</v>
      </c>
      <c r="C9994" t="s">
        <v>946</v>
      </c>
      <c r="D9994" t="s">
        <v>992</v>
      </c>
      <c r="E9994" t="s">
        <v>302</v>
      </c>
      <c r="F9994" t="s">
        <v>948</v>
      </c>
      <c r="G9994">
        <v>5099999</v>
      </c>
      <c r="H9994">
        <v>401902</v>
      </c>
      <c r="I9994" t="s">
        <v>949</v>
      </c>
    </row>
    <row r="9995" spans="1:9" x14ac:dyDescent="0.25">
      <c r="A9995">
        <v>4230</v>
      </c>
      <c r="B9995">
        <v>50</v>
      </c>
      <c r="C9995" t="s">
        <v>946</v>
      </c>
      <c r="D9995" t="s">
        <v>992</v>
      </c>
      <c r="E9995" t="s">
        <v>306</v>
      </c>
      <c r="F9995" t="s">
        <v>948</v>
      </c>
      <c r="G9995">
        <v>5099999</v>
      </c>
      <c r="H9995">
        <v>401042</v>
      </c>
      <c r="I9995" t="s">
        <v>949</v>
      </c>
    </row>
    <row r="9996" spans="1:9" x14ac:dyDescent="0.25">
      <c r="A9996">
        <v>4230</v>
      </c>
      <c r="B9996">
        <v>50</v>
      </c>
      <c r="C9996" t="s">
        <v>946</v>
      </c>
      <c r="D9996" t="s">
        <v>992</v>
      </c>
      <c r="E9996" t="s">
        <v>310</v>
      </c>
      <c r="F9996" t="s">
        <v>948</v>
      </c>
      <c r="G9996">
        <v>5099999</v>
      </c>
      <c r="H9996">
        <v>403012</v>
      </c>
      <c r="I9996" t="s">
        <v>949</v>
      </c>
    </row>
    <row r="9997" spans="1:9" x14ac:dyDescent="0.25">
      <c r="A9997">
        <v>4230</v>
      </c>
      <c r="B9997">
        <v>50</v>
      </c>
      <c r="C9997" t="s">
        <v>946</v>
      </c>
      <c r="D9997" t="s">
        <v>992</v>
      </c>
      <c r="E9997" t="s">
        <v>314</v>
      </c>
      <c r="F9997" t="s">
        <v>948</v>
      </c>
      <c r="G9997">
        <v>5099999</v>
      </c>
      <c r="H9997">
        <v>403062</v>
      </c>
      <c r="I9997" t="s">
        <v>949</v>
      </c>
    </row>
    <row r="9998" spans="1:9" x14ac:dyDescent="0.25">
      <c r="A9998">
        <v>4141</v>
      </c>
      <c r="B9998">
        <v>50</v>
      </c>
      <c r="C9998" t="s">
        <v>946</v>
      </c>
      <c r="D9998" t="s">
        <v>947</v>
      </c>
      <c r="E9998" t="s">
        <v>49</v>
      </c>
      <c r="F9998" t="s">
        <v>948</v>
      </c>
      <c r="G9998">
        <v>5077777</v>
      </c>
      <c r="H9998">
        <v>500220</v>
      </c>
      <c r="I9998" t="s">
        <v>949</v>
      </c>
    </row>
    <row r="9999" ht="22" customHeight="1" spans="1:10" x14ac:dyDescent="0.25">
      <c r="A9999" s="41">
        <v>4220</v>
      </c>
      <c r="B9999" s="41">
        <v>50</v>
      </c>
      <c r="C9999" s="41" t="s">
        <v>946</v>
      </c>
      <c r="D9999" s="41" t="s">
        <v>947</v>
      </c>
      <c r="E9999" s="41" t="s">
        <v>49</v>
      </c>
      <c r="F9999" s="41" t="s">
        <v>948</v>
      </c>
      <c r="G9999" s="41">
        <v>5077777</v>
      </c>
      <c r="H9999" s="41">
        <v>500221</v>
      </c>
      <c r="I9999" s="41" t="s">
        <v>949</v>
      </c>
      <c r="J9999" s="42" t="s">
        <v>1052</v>
      </c>
    </row>
    <row r="10000" ht="22" customHeight="1" spans="1:10" x14ac:dyDescent="0.25">
      <c r="A10000" s="41">
        <v>4240</v>
      </c>
      <c r="B10000" s="41">
        <v>50</v>
      </c>
      <c r="C10000" s="41" t="s">
        <v>946</v>
      </c>
      <c r="D10000" s="41" t="s">
        <v>947</v>
      </c>
      <c r="E10000" s="41" t="s">
        <v>49</v>
      </c>
      <c r="F10000" s="41" t="s">
        <v>948</v>
      </c>
      <c r="G10000" s="41">
        <v>5077777</v>
      </c>
      <c r="H10000" s="41">
        <v>500221</v>
      </c>
      <c r="I10000" s="41" t="s">
        <v>949</v>
      </c>
      <c r="J10000" s="42" t="s">
        <v>1053</v>
      </c>
    </row>
    <row r="10001" spans="1:9" x14ac:dyDescent="0.25">
      <c r="A10001">
        <v>4250</v>
      </c>
      <c r="B10001">
        <v>50</v>
      </c>
      <c r="C10001" t="s">
        <v>946</v>
      </c>
      <c r="D10001" t="s">
        <v>947</v>
      </c>
      <c r="E10001" t="s">
        <v>49</v>
      </c>
      <c r="F10001" t="s">
        <v>948</v>
      </c>
      <c r="G10001">
        <v>5000000</v>
      </c>
      <c r="H10001">
        <v>130305</v>
      </c>
      <c r="I10001" t="s">
        <v>949</v>
      </c>
    </row>
    <row r="10002" spans="1:9" x14ac:dyDescent="0.25">
      <c r="A10002">
        <v>4230</v>
      </c>
      <c r="B10002">
        <v>50</v>
      </c>
      <c r="C10002" t="s">
        <v>946</v>
      </c>
      <c r="D10002" t="s">
        <v>947</v>
      </c>
      <c r="E10002" t="s">
        <v>243</v>
      </c>
      <c r="F10002" t="s">
        <v>948</v>
      </c>
      <c r="G10002">
        <v>5099999</v>
      </c>
      <c r="H10002">
        <v>401052</v>
      </c>
      <c r="I10002" t="s">
        <v>949</v>
      </c>
    </row>
    <row r="10003" spans="1:9" x14ac:dyDescent="0.25">
      <c r="A10003">
        <v>4230</v>
      </c>
      <c r="B10003">
        <v>50</v>
      </c>
      <c r="C10003" t="s">
        <v>946</v>
      </c>
      <c r="D10003" t="s">
        <v>947</v>
      </c>
      <c r="E10003" t="s">
        <v>247</v>
      </c>
      <c r="F10003" t="s">
        <v>948</v>
      </c>
      <c r="G10003">
        <v>5099999</v>
      </c>
      <c r="H10003">
        <v>401022</v>
      </c>
      <c r="I10003" t="s">
        <v>949</v>
      </c>
    </row>
    <row r="10004" spans="1:9" x14ac:dyDescent="0.25">
      <c r="A10004">
        <v>4230</v>
      </c>
      <c r="B10004">
        <v>50</v>
      </c>
      <c r="C10004" t="s">
        <v>946</v>
      </c>
      <c r="D10004" t="s">
        <v>947</v>
      </c>
      <c r="E10004" t="s">
        <v>251</v>
      </c>
      <c r="F10004" t="s">
        <v>948</v>
      </c>
      <c r="G10004">
        <v>5099999</v>
      </c>
      <c r="H10004">
        <v>401042</v>
      </c>
      <c r="I10004" t="s">
        <v>949</v>
      </c>
    </row>
    <row r="10005" spans="1:9" x14ac:dyDescent="0.25">
      <c r="A10005">
        <v>4230</v>
      </c>
      <c r="B10005">
        <v>50</v>
      </c>
      <c r="C10005" t="s">
        <v>946</v>
      </c>
      <c r="D10005" t="s">
        <v>947</v>
      </c>
      <c r="E10005" t="s">
        <v>255</v>
      </c>
      <c r="F10005" t="s">
        <v>948</v>
      </c>
      <c r="G10005">
        <v>5099999</v>
      </c>
      <c r="H10005">
        <v>401072</v>
      </c>
      <c r="I10005" t="s">
        <v>949</v>
      </c>
    </row>
    <row r="10006" spans="1:9" x14ac:dyDescent="0.25">
      <c r="A10006">
        <v>4230</v>
      </c>
      <c r="B10006">
        <v>50</v>
      </c>
      <c r="C10006" t="s">
        <v>946</v>
      </c>
      <c r="D10006" t="s">
        <v>947</v>
      </c>
      <c r="E10006" t="s">
        <v>259</v>
      </c>
      <c r="F10006" t="s">
        <v>948</v>
      </c>
      <c r="G10006">
        <v>5099999</v>
      </c>
      <c r="H10006">
        <v>409002</v>
      </c>
      <c r="I10006" t="s">
        <v>949</v>
      </c>
    </row>
    <row r="10007" spans="1:9" x14ac:dyDescent="0.25">
      <c r="A10007">
        <v>4230</v>
      </c>
      <c r="B10007">
        <v>50</v>
      </c>
      <c r="C10007" t="s">
        <v>946</v>
      </c>
      <c r="D10007" t="s">
        <v>947</v>
      </c>
      <c r="E10007" t="s">
        <v>263</v>
      </c>
      <c r="F10007" t="s">
        <v>948</v>
      </c>
      <c r="G10007">
        <v>5099999</v>
      </c>
      <c r="H10007">
        <v>401042</v>
      </c>
      <c r="I10007" t="s">
        <v>949</v>
      </c>
    </row>
    <row r="10008" spans="1:9" x14ac:dyDescent="0.25">
      <c r="A10008">
        <v>4230</v>
      </c>
      <c r="B10008">
        <v>50</v>
      </c>
      <c r="C10008" t="s">
        <v>946</v>
      </c>
      <c r="D10008" t="s">
        <v>947</v>
      </c>
      <c r="E10008" t="s">
        <v>100</v>
      </c>
      <c r="F10008" t="s">
        <v>948</v>
      </c>
      <c r="G10008">
        <v>5099999</v>
      </c>
      <c r="H10008">
        <v>401042</v>
      </c>
      <c r="I10008" t="s">
        <v>949</v>
      </c>
    </row>
    <row r="10009" spans="1:9" x14ac:dyDescent="0.25">
      <c r="A10009">
        <v>4230</v>
      </c>
      <c r="B10009">
        <v>50</v>
      </c>
      <c r="C10009" t="s">
        <v>946</v>
      </c>
      <c r="D10009" t="s">
        <v>947</v>
      </c>
      <c r="E10009" t="s">
        <v>987</v>
      </c>
      <c r="F10009" t="s">
        <v>948</v>
      </c>
      <c r="G10009">
        <v>5001305</v>
      </c>
      <c r="H10009">
        <v>740150</v>
      </c>
      <c r="I10009" t="s">
        <v>949</v>
      </c>
    </row>
    <row r="10010" spans="1:9" x14ac:dyDescent="0.25">
      <c r="A10010">
        <v>4230</v>
      </c>
      <c r="B10010">
        <v>50</v>
      </c>
      <c r="C10010" t="s">
        <v>946</v>
      </c>
      <c r="D10010" t="s">
        <v>947</v>
      </c>
      <c r="E10010" t="s">
        <v>270</v>
      </c>
      <c r="F10010" t="s">
        <v>948</v>
      </c>
      <c r="G10010">
        <v>5099999</v>
      </c>
      <c r="H10010">
        <v>401062</v>
      </c>
      <c r="I10010" t="s">
        <v>949</v>
      </c>
    </row>
    <row r="10011" spans="1:9" x14ac:dyDescent="0.25">
      <c r="A10011">
        <v>4230</v>
      </c>
      <c r="B10011">
        <v>50</v>
      </c>
      <c r="C10011" t="s">
        <v>946</v>
      </c>
      <c r="D10011" t="s">
        <v>947</v>
      </c>
      <c r="E10011" t="s">
        <v>274</v>
      </c>
      <c r="F10011" t="s">
        <v>948</v>
      </c>
      <c r="G10011">
        <v>5099999</v>
      </c>
      <c r="H10011">
        <v>401042</v>
      </c>
      <c r="I10011" t="s">
        <v>949</v>
      </c>
    </row>
    <row r="10012" spans="1:9" x14ac:dyDescent="0.25">
      <c r="A10012">
        <v>4230</v>
      </c>
      <c r="B10012">
        <v>50</v>
      </c>
      <c r="C10012" t="s">
        <v>946</v>
      </c>
      <c r="D10012" t="s">
        <v>947</v>
      </c>
      <c r="E10012" t="s">
        <v>104</v>
      </c>
      <c r="F10012" t="s">
        <v>948</v>
      </c>
      <c r="G10012">
        <v>5099999</v>
      </c>
      <c r="H10012">
        <v>401042</v>
      </c>
      <c r="I10012" t="s">
        <v>949</v>
      </c>
    </row>
    <row r="10013" spans="1:9" x14ac:dyDescent="0.25">
      <c r="A10013">
        <v>4230</v>
      </c>
      <c r="B10013">
        <v>50</v>
      </c>
      <c r="C10013" t="s">
        <v>946</v>
      </c>
      <c r="D10013" t="s">
        <v>947</v>
      </c>
      <c r="E10013" t="s">
        <v>278</v>
      </c>
      <c r="F10013" t="s">
        <v>948</v>
      </c>
      <c r="G10013">
        <v>5099999</v>
      </c>
      <c r="H10013">
        <v>401052</v>
      </c>
      <c r="I10013" t="s">
        <v>949</v>
      </c>
    </row>
    <row r="10014" spans="1:9" x14ac:dyDescent="0.25">
      <c r="A10014">
        <v>4230</v>
      </c>
      <c r="B10014">
        <v>50</v>
      </c>
      <c r="C10014" t="s">
        <v>946</v>
      </c>
      <c r="D10014" t="s">
        <v>947</v>
      </c>
      <c r="E10014" t="s">
        <v>282</v>
      </c>
      <c r="F10014" t="s">
        <v>948</v>
      </c>
      <c r="G10014">
        <v>5099999</v>
      </c>
      <c r="H10014">
        <v>401042</v>
      </c>
      <c r="I10014" t="s">
        <v>949</v>
      </c>
    </row>
    <row r="10015" spans="1:9" x14ac:dyDescent="0.25">
      <c r="A10015">
        <v>4230</v>
      </c>
      <c r="B10015">
        <v>50</v>
      </c>
      <c r="C10015" t="s">
        <v>946</v>
      </c>
      <c r="D10015" t="s">
        <v>947</v>
      </c>
      <c r="E10015" t="s">
        <v>286</v>
      </c>
      <c r="F10015" t="s">
        <v>948</v>
      </c>
      <c r="G10015">
        <v>5099999</v>
      </c>
      <c r="H10015">
        <v>401032</v>
      </c>
      <c r="I10015" t="s">
        <v>949</v>
      </c>
    </row>
    <row r="10016" spans="1:9" x14ac:dyDescent="0.25">
      <c r="A10016">
        <v>4230</v>
      </c>
      <c r="B10016">
        <v>50</v>
      </c>
      <c r="C10016" t="s">
        <v>946</v>
      </c>
      <c r="D10016" t="s">
        <v>947</v>
      </c>
      <c r="E10016" t="s">
        <v>290</v>
      </c>
      <c r="F10016" t="s">
        <v>948</v>
      </c>
      <c r="G10016">
        <v>5099999</v>
      </c>
      <c r="H10016">
        <v>401042</v>
      </c>
      <c r="I10016" t="s">
        <v>949</v>
      </c>
    </row>
    <row r="10017" spans="1:9" x14ac:dyDescent="0.25">
      <c r="A10017">
        <v>4230</v>
      </c>
      <c r="B10017">
        <v>50</v>
      </c>
      <c r="C10017" t="s">
        <v>946</v>
      </c>
      <c r="D10017" t="s">
        <v>947</v>
      </c>
      <c r="E10017" t="s">
        <v>294</v>
      </c>
      <c r="F10017" t="s">
        <v>948</v>
      </c>
      <c r="G10017">
        <v>5099999</v>
      </c>
      <c r="H10017">
        <v>401042</v>
      </c>
      <c r="I10017" t="s">
        <v>949</v>
      </c>
    </row>
    <row r="10018" spans="1:9" x14ac:dyDescent="0.25">
      <c r="A10018">
        <v>4230</v>
      </c>
      <c r="B10018">
        <v>50</v>
      </c>
      <c r="C10018" t="s">
        <v>946</v>
      </c>
      <c r="D10018" t="s">
        <v>947</v>
      </c>
      <c r="E10018" t="s">
        <v>298</v>
      </c>
      <c r="F10018" t="s">
        <v>948</v>
      </c>
      <c r="G10018">
        <v>5099999</v>
      </c>
      <c r="H10018">
        <v>402082</v>
      </c>
      <c r="I10018" t="s">
        <v>949</v>
      </c>
    </row>
    <row r="10019" spans="1:9" x14ac:dyDescent="0.25">
      <c r="A10019">
        <v>4230</v>
      </c>
      <c r="B10019">
        <v>50</v>
      </c>
      <c r="C10019" t="s">
        <v>946</v>
      </c>
      <c r="D10019" t="s">
        <v>947</v>
      </c>
      <c r="E10019" t="s">
        <v>302</v>
      </c>
      <c r="F10019" t="s">
        <v>948</v>
      </c>
      <c r="G10019">
        <v>5099999</v>
      </c>
      <c r="H10019">
        <v>401902</v>
      </c>
      <c r="I10019" t="s">
        <v>949</v>
      </c>
    </row>
    <row r="10020" spans="1:9" x14ac:dyDescent="0.25">
      <c r="A10020">
        <v>4230</v>
      </c>
      <c r="B10020">
        <v>50</v>
      </c>
      <c r="C10020" t="s">
        <v>946</v>
      </c>
      <c r="D10020" t="s">
        <v>947</v>
      </c>
      <c r="E10020" t="s">
        <v>306</v>
      </c>
      <c r="F10020" t="s">
        <v>948</v>
      </c>
      <c r="G10020">
        <v>5099999</v>
      </c>
      <c r="H10020">
        <v>401042</v>
      </c>
      <c r="I10020" t="s">
        <v>949</v>
      </c>
    </row>
    <row r="10021" spans="1:9" x14ac:dyDescent="0.25">
      <c r="A10021">
        <v>4230</v>
      </c>
      <c r="B10021">
        <v>50</v>
      </c>
      <c r="C10021" t="s">
        <v>946</v>
      </c>
      <c r="D10021" t="s">
        <v>947</v>
      </c>
      <c r="E10021" t="s">
        <v>310</v>
      </c>
      <c r="F10021" t="s">
        <v>948</v>
      </c>
      <c r="G10021">
        <v>5099999</v>
      </c>
      <c r="H10021">
        <v>401012</v>
      </c>
      <c r="I10021" t="s">
        <v>949</v>
      </c>
    </row>
    <row r="10022" spans="1:9" x14ac:dyDescent="0.25">
      <c r="A10022">
        <v>4230</v>
      </c>
      <c r="B10022">
        <v>50</v>
      </c>
      <c r="C10022" t="s">
        <v>946</v>
      </c>
      <c r="D10022" t="s">
        <v>947</v>
      </c>
      <c r="E10022" t="s">
        <v>314</v>
      </c>
      <c r="F10022" t="s">
        <v>948</v>
      </c>
      <c r="G10022">
        <v>5099999</v>
      </c>
      <c r="H10022">
        <v>401062</v>
      </c>
      <c r="I10022" t="s">
        <v>949</v>
      </c>
    </row>
    <row r="10023" spans="1:9" x14ac:dyDescent="0.25">
      <c r="A10023">
        <v>4141</v>
      </c>
      <c r="B10023">
        <v>50</v>
      </c>
      <c r="C10023" t="s">
        <v>946</v>
      </c>
      <c r="D10023" t="s">
        <v>993</v>
      </c>
      <c r="E10023" t="s">
        <v>49</v>
      </c>
      <c r="F10023" t="s">
        <v>948</v>
      </c>
      <c r="G10023">
        <v>5077777</v>
      </c>
      <c r="H10023">
        <v>501010</v>
      </c>
      <c r="I10023" t="s">
        <v>949</v>
      </c>
    </row>
    <row r="10024" spans="1:9" x14ac:dyDescent="0.25">
      <c r="A10024">
        <v>4220</v>
      </c>
      <c r="B10024">
        <v>50</v>
      </c>
      <c r="C10024" t="s">
        <v>946</v>
      </c>
      <c r="D10024" t="s">
        <v>993</v>
      </c>
      <c r="E10024" t="s">
        <v>49</v>
      </c>
      <c r="F10024" t="s">
        <v>948</v>
      </c>
      <c r="G10024">
        <v>5077777</v>
      </c>
      <c r="H10024">
        <v>501010</v>
      </c>
      <c r="I10024" t="s">
        <v>949</v>
      </c>
    </row>
    <row r="10025" spans="1:9" x14ac:dyDescent="0.25">
      <c r="A10025">
        <v>4230</v>
      </c>
      <c r="B10025">
        <v>50</v>
      </c>
      <c r="C10025" t="s">
        <v>946</v>
      </c>
      <c r="D10025" t="s">
        <v>993</v>
      </c>
      <c r="E10025" t="s">
        <v>49</v>
      </c>
      <c r="F10025" t="s">
        <v>948</v>
      </c>
      <c r="G10025">
        <v>5001305</v>
      </c>
      <c r="H10025">
        <v>740250</v>
      </c>
      <c r="I10025" t="s">
        <v>949</v>
      </c>
    </row>
    <row r="10026" spans="1:9" x14ac:dyDescent="0.25">
      <c r="A10026">
        <v>4240</v>
      </c>
      <c r="B10026">
        <v>50</v>
      </c>
      <c r="C10026" t="s">
        <v>946</v>
      </c>
      <c r="D10026" t="s">
        <v>993</v>
      </c>
      <c r="E10026" t="s">
        <v>49</v>
      </c>
      <c r="F10026" t="s">
        <v>948</v>
      </c>
      <c r="G10026">
        <v>5000000</v>
      </c>
      <c r="H10026">
        <v>145000</v>
      </c>
      <c r="I10026" t="s">
        <v>949</v>
      </c>
    </row>
    <row r="10027" spans="1:9" x14ac:dyDescent="0.25">
      <c r="A10027">
        <v>4250</v>
      </c>
      <c r="B10027">
        <v>50</v>
      </c>
      <c r="C10027" t="s">
        <v>946</v>
      </c>
      <c r="D10027" t="s">
        <v>993</v>
      </c>
      <c r="E10027" t="s">
        <v>49</v>
      </c>
      <c r="F10027" t="s">
        <v>948</v>
      </c>
      <c r="G10027">
        <v>5000000</v>
      </c>
      <c r="H10027">
        <v>130305</v>
      </c>
      <c r="I10027" t="s">
        <v>949</v>
      </c>
    </row>
    <row r="10028" spans="1:9" x14ac:dyDescent="0.25">
      <c r="A10028">
        <v>4122</v>
      </c>
      <c r="B10028">
        <v>50</v>
      </c>
      <c r="C10028" t="s">
        <v>946</v>
      </c>
      <c r="D10028" t="s">
        <v>1054</v>
      </c>
      <c r="E10028" t="s">
        <v>49</v>
      </c>
      <c r="F10028" t="s">
        <v>948</v>
      </c>
      <c r="G10028">
        <v>5000000</v>
      </c>
      <c r="H10028">
        <v>145000</v>
      </c>
      <c r="I10028" t="s">
        <v>949</v>
      </c>
    </row>
    <row r="10029" spans="1:9" x14ac:dyDescent="0.25">
      <c r="A10029">
        <v>4124</v>
      </c>
      <c r="B10029">
        <v>50</v>
      </c>
      <c r="C10029" t="s">
        <v>946</v>
      </c>
      <c r="D10029" t="s">
        <v>1054</v>
      </c>
      <c r="E10029" t="s">
        <v>49</v>
      </c>
      <c r="F10029" t="s">
        <v>948</v>
      </c>
      <c r="G10029">
        <v>5000000</v>
      </c>
      <c r="H10029">
        <v>145200</v>
      </c>
      <c r="I10029" t="s">
        <v>949</v>
      </c>
    </row>
    <row r="10030" spans="1:9" x14ac:dyDescent="0.25">
      <c r="A10030">
        <v>4122</v>
      </c>
      <c r="B10030">
        <v>50</v>
      </c>
      <c r="C10030" t="s">
        <v>946</v>
      </c>
      <c r="D10030" t="s">
        <v>38</v>
      </c>
      <c r="E10030" t="s">
        <v>49</v>
      </c>
      <c r="F10030" t="s">
        <v>948</v>
      </c>
      <c r="G10030">
        <v>5000000</v>
      </c>
      <c r="H10030">
        <v>145000</v>
      </c>
      <c r="I10030" t="s">
        <v>949</v>
      </c>
    </row>
    <row r="10031" spans="1:9" x14ac:dyDescent="0.25">
      <c r="A10031">
        <v>4124</v>
      </c>
      <c r="B10031">
        <v>50</v>
      </c>
      <c r="C10031" t="s">
        <v>946</v>
      </c>
      <c r="D10031" t="s">
        <v>38</v>
      </c>
      <c r="E10031" t="s">
        <v>49</v>
      </c>
      <c r="F10031" t="s">
        <v>948</v>
      </c>
      <c r="G10031">
        <v>5077777</v>
      </c>
      <c r="H10031">
        <v>500465</v>
      </c>
      <c r="I10031" t="s">
        <v>949</v>
      </c>
    </row>
    <row r="10032" spans="1:9" x14ac:dyDescent="0.25">
      <c r="A10032">
        <v>4126</v>
      </c>
      <c r="B10032">
        <v>50</v>
      </c>
      <c r="C10032" t="s">
        <v>946</v>
      </c>
      <c r="D10032" t="s">
        <v>38</v>
      </c>
      <c r="E10032" t="s">
        <v>49</v>
      </c>
      <c r="F10032" t="s">
        <v>948</v>
      </c>
      <c r="G10032">
        <v>5000000</v>
      </c>
      <c r="H10032">
        <v>145000</v>
      </c>
      <c r="I10032" t="s">
        <v>949</v>
      </c>
    </row>
    <row r="10033" spans="1:9" x14ac:dyDescent="0.25">
      <c r="A10033">
        <v>4128</v>
      </c>
      <c r="B10033">
        <v>50</v>
      </c>
      <c r="C10033" t="s">
        <v>946</v>
      </c>
      <c r="D10033" t="s">
        <v>38</v>
      </c>
      <c r="E10033" t="s">
        <v>49</v>
      </c>
      <c r="F10033" t="s">
        <v>948</v>
      </c>
      <c r="G10033">
        <v>5077777</v>
      </c>
      <c r="H10033">
        <v>500460</v>
      </c>
      <c r="I10033" t="s">
        <v>949</v>
      </c>
    </row>
    <row r="10034" spans="1:9" x14ac:dyDescent="0.25">
      <c r="A10034">
        <v>4141</v>
      </c>
      <c r="B10034">
        <v>50</v>
      </c>
      <c r="C10034" t="s">
        <v>946</v>
      </c>
      <c r="D10034" t="s">
        <v>38</v>
      </c>
      <c r="E10034" t="s">
        <v>49</v>
      </c>
      <c r="F10034" t="s">
        <v>948</v>
      </c>
      <c r="G10034">
        <v>5077777</v>
      </c>
      <c r="H10034">
        <v>500460</v>
      </c>
      <c r="I10034" t="s">
        <v>949</v>
      </c>
    </row>
    <row r="10035" spans="1:9" x14ac:dyDescent="0.25">
      <c r="A10035">
        <v>4162</v>
      </c>
      <c r="B10035">
        <v>50</v>
      </c>
      <c r="C10035" t="s">
        <v>946</v>
      </c>
      <c r="D10035" t="s">
        <v>38</v>
      </c>
      <c r="E10035" t="s">
        <v>49</v>
      </c>
      <c r="F10035" t="s">
        <v>948</v>
      </c>
      <c r="G10035">
        <v>5000000</v>
      </c>
      <c r="H10035">
        <v>145000</v>
      </c>
      <c r="I10035" t="s">
        <v>949</v>
      </c>
    </row>
    <row r="10036" spans="1:9" x14ac:dyDescent="0.25">
      <c r="A10036">
        <v>4164</v>
      </c>
      <c r="B10036">
        <v>50</v>
      </c>
      <c r="C10036" t="s">
        <v>946</v>
      </c>
      <c r="D10036" t="s">
        <v>38</v>
      </c>
      <c r="E10036" t="s">
        <v>49</v>
      </c>
      <c r="F10036" t="s">
        <v>948</v>
      </c>
      <c r="G10036">
        <v>5077777</v>
      </c>
      <c r="H10036">
        <v>500461</v>
      </c>
      <c r="I10036" t="s">
        <v>949</v>
      </c>
    </row>
    <row r="10037" spans="1:9" x14ac:dyDescent="0.25">
      <c r="A10037">
        <v>4134</v>
      </c>
      <c r="B10037">
        <v>50</v>
      </c>
      <c r="C10037" t="s">
        <v>946</v>
      </c>
      <c r="D10037" t="s">
        <v>998</v>
      </c>
      <c r="E10037" t="s">
        <v>49</v>
      </c>
      <c r="F10037" t="s">
        <v>948</v>
      </c>
      <c r="G10037">
        <v>5000000</v>
      </c>
      <c r="H10037">
        <v>145000</v>
      </c>
      <c r="I10037" t="s">
        <v>949</v>
      </c>
    </row>
    <row r="10038" spans="1:9" x14ac:dyDescent="0.25">
      <c r="A10038">
        <v>4136</v>
      </c>
      <c r="B10038">
        <v>50</v>
      </c>
      <c r="C10038" t="s">
        <v>946</v>
      </c>
      <c r="D10038" t="s">
        <v>998</v>
      </c>
      <c r="E10038" t="s">
        <v>49</v>
      </c>
      <c r="F10038" t="s">
        <v>948</v>
      </c>
      <c r="G10038">
        <v>5077777</v>
      </c>
      <c r="H10038">
        <v>500465</v>
      </c>
      <c r="I10038" t="s">
        <v>949</v>
      </c>
    </row>
    <row r="10039" spans="1:9" x14ac:dyDescent="0.25">
      <c r="A10039">
        <v>4124</v>
      </c>
      <c r="B10039">
        <v>50</v>
      </c>
      <c r="C10039" t="s">
        <v>946</v>
      </c>
      <c r="D10039" t="s">
        <v>1001</v>
      </c>
      <c r="E10039" t="s">
        <v>49</v>
      </c>
      <c r="F10039" t="s">
        <v>948</v>
      </c>
      <c r="G10039">
        <v>5077777</v>
      </c>
      <c r="H10039">
        <v>500465</v>
      </c>
      <c r="I10039" t="s">
        <v>949</v>
      </c>
    </row>
    <row r="10040" spans="1:9" x14ac:dyDescent="0.25">
      <c r="A10040">
        <v>4141</v>
      </c>
      <c r="B10040">
        <v>50</v>
      </c>
      <c r="C10040" t="s">
        <v>946</v>
      </c>
      <c r="D10040" t="s">
        <v>1001</v>
      </c>
      <c r="E10040" t="s">
        <v>49</v>
      </c>
      <c r="F10040" t="s">
        <v>948</v>
      </c>
      <c r="G10040">
        <v>5077777</v>
      </c>
      <c r="H10040">
        <v>500460</v>
      </c>
      <c r="I10040" t="s">
        <v>949</v>
      </c>
    </row>
    <row r="10041" spans="1:9" x14ac:dyDescent="0.25">
      <c r="A10041">
        <v>4122</v>
      </c>
      <c r="B10041">
        <v>50</v>
      </c>
      <c r="C10041" t="s">
        <v>946</v>
      </c>
      <c r="D10041" t="s">
        <v>1004</v>
      </c>
      <c r="E10041" t="s">
        <v>49</v>
      </c>
      <c r="F10041" t="s">
        <v>948</v>
      </c>
      <c r="G10041">
        <v>5077777</v>
      </c>
      <c r="H10041">
        <v>500220</v>
      </c>
      <c r="I10041" t="s">
        <v>949</v>
      </c>
    </row>
    <row r="10042" spans="1:9" x14ac:dyDescent="0.25">
      <c r="A10042">
        <v>4124</v>
      </c>
      <c r="B10042">
        <v>50</v>
      </c>
      <c r="C10042" t="s">
        <v>946</v>
      </c>
      <c r="D10042" t="s">
        <v>1004</v>
      </c>
      <c r="E10042" t="s">
        <v>49</v>
      </c>
      <c r="F10042" t="s">
        <v>948</v>
      </c>
      <c r="G10042">
        <v>5077777</v>
      </c>
      <c r="H10042">
        <v>500221</v>
      </c>
      <c r="I10042" t="s">
        <v>949</v>
      </c>
    </row>
    <row r="10043" spans="1:9" x14ac:dyDescent="0.25">
      <c r="A10043">
        <v>4122</v>
      </c>
      <c r="B10043">
        <v>50</v>
      </c>
      <c r="C10043" t="s">
        <v>946</v>
      </c>
      <c r="D10043" t="s">
        <v>1006</v>
      </c>
      <c r="E10043" t="s">
        <v>49</v>
      </c>
      <c r="F10043" t="s">
        <v>948</v>
      </c>
      <c r="G10043">
        <v>5000000</v>
      </c>
      <c r="H10043">
        <v>145000</v>
      </c>
      <c r="I10043" t="s">
        <v>949</v>
      </c>
    </row>
    <row r="10044" spans="1:9" x14ac:dyDescent="0.25">
      <c r="A10044">
        <v>4124</v>
      </c>
      <c r="B10044">
        <v>50</v>
      </c>
      <c r="C10044" t="s">
        <v>946</v>
      </c>
      <c r="D10044" t="s">
        <v>1006</v>
      </c>
      <c r="E10044" t="s">
        <v>49</v>
      </c>
      <c r="F10044" t="s">
        <v>948</v>
      </c>
      <c r="G10044">
        <v>5077777</v>
      </c>
      <c r="H10044">
        <v>500460</v>
      </c>
      <c r="I10044" t="s">
        <v>1055</v>
      </c>
    </row>
    <row r="10045" spans="1:9" x14ac:dyDescent="0.25">
      <c r="A10045">
        <v>4152</v>
      </c>
      <c r="B10045">
        <v>50</v>
      </c>
      <c r="C10045" t="s">
        <v>946</v>
      </c>
      <c r="D10045" t="s">
        <v>1006</v>
      </c>
      <c r="E10045" t="s">
        <v>49</v>
      </c>
      <c r="F10045" t="s">
        <v>948</v>
      </c>
      <c r="G10045">
        <v>5000000</v>
      </c>
      <c r="H10045">
        <v>145000</v>
      </c>
      <c r="I10045" t="s">
        <v>949</v>
      </c>
    </row>
    <row r="10046" spans="1:9" x14ac:dyDescent="0.25">
      <c r="A10046">
        <v>4154</v>
      </c>
      <c r="B10046">
        <v>50</v>
      </c>
      <c r="C10046" t="s">
        <v>946</v>
      </c>
      <c r="D10046" t="s">
        <v>1006</v>
      </c>
      <c r="E10046" t="s">
        <v>49</v>
      </c>
      <c r="F10046" t="s">
        <v>948</v>
      </c>
      <c r="G10046">
        <v>5077777</v>
      </c>
      <c r="H10046">
        <v>500460</v>
      </c>
      <c r="I10046" t="s">
        <v>1055</v>
      </c>
    </row>
    <row r="10047" spans="1:9" x14ac:dyDescent="0.25">
      <c r="A10047">
        <v>4122</v>
      </c>
      <c r="B10047">
        <v>50</v>
      </c>
      <c r="C10047" t="s">
        <v>946</v>
      </c>
      <c r="D10047" t="s">
        <v>1010</v>
      </c>
      <c r="E10047" t="s">
        <v>49</v>
      </c>
      <c r="F10047" t="s">
        <v>948</v>
      </c>
      <c r="G10047">
        <v>5077777</v>
      </c>
      <c r="H10047">
        <v>500220</v>
      </c>
      <c r="I10047" t="s">
        <v>949</v>
      </c>
    </row>
    <row r="10048" spans="1:9" x14ac:dyDescent="0.25">
      <c r="A10048">
        <v>4124</v>
      </c>
      <c r="B10048">
        <v>50</v>
      </c>
      <c r="C10048" t="s">
        <v>946</v>
      </c>
      <c r="D10048" t="s">
        <v>1010</v>
      </c>
      <c r="E10048" t="s">
        <v>49</v>
      </c>
      <c r="F10048" t="s">
        <v>948</v>
      </c>
      <c r="G10048">
        <v>5077777</v>
      </c>
      <c r="H10048">
        <v>500220</v>
      </c>
      <c r="I10048" t="s">
        <v>949</v>
      </c>
    </row>
    <row r="10049" spans="1:9" x14ac:dyDescent="0.25">
      <c r="A10049">
        <v>4126</v>
      </c>
      <c r="B10049">
        <v>50</v>
      </c>
      <c r="C10049" t="s">
        <v>946</v>
      </c>
      <c r="D10049" t="s">
        <v>1010</v>
      </c>
      <c r="E10049" t="s">
        <v>49</v>
      </c>
      <c r="F10049" t="s">
        <v>948</v>
      </c>
      <c r="G10049">
        <v>5077777</v>
      </c>
      <c r="H10049">
        <v>500220</v>
      </c>
      <c r="I10049" t="s">
        <v>949</v>
      </c>
    </row>
    <row r="10050" spans="1:9" x14ac:dyDescent="0.25">
      <c r="A10050">
        <v>4128</v>
      </c>
      <c r="B10050">
        <v>50</v>
      </c>
      <c r="C10050" t="s">
        <v>946</v>
      </c>
      <c r="D10050" t="s">
        <v>1010</v>
      </c>
      <c r="E10050" t="s">
        <v>49</v>
      </c>
      <c r="F10050" t="s">
        <v>948</v>
      </c>
      <c r="G10050">
        <v>5077777</v>
      </c>
      <c r="H10050">
        <v>500220</v>
      </c>
      <c r="I10050" t="s">
        <v>949</v>
      </c>
    </row>
    <row r="10051" spans="1:9" x14ac:dyDescent="0.25">
      <c r="A10051">
        <v>4141</v>
      </c>
      <c r="B10051">
        <v>50</v>
      </c>
      <c r="C10051" t="s">
        <v>946</v>
      </c>
      <c r="D10051" t="s">
        <v>1010</v>
      </c>
      <c r="E10051" t="s">
        <v>49</v>
      </c>
      <c r="F10051" t="s">
        <v>948</v>
      </c>
      <c r="G10051">
        <v>5077777</v>
      </c>
      <c r="H10051">
        <v>500460</v>
      </c>
      <c r="I10051" t="s">
        <v>949</v>
      </c>
    </row>
    <row r="10052" spans="1:9" x14ac:dyDescent="0.25">
      <c r="A10052">
        <v>4162</v>
      </c>
      <c r="B10052">
        <v>50</v>
      </c>
      <c r="C10052" t="s">
        <v>946</v>
      </c>
      <c r="D10052" t="s">
        <v>1010</v>
      </c>
      <c r="E10052" t="s">
        <v>49</v>
      </c>
      <c r="F10052" t="s">
        <v>948</v>
      </c>
      <c r="G10052">
        <v>5077777</v>
      </c>
      <c r="H10052">
        <v>500220</v>
      </c>
      <c r="I10052" t="s">
        <v>949</v>
      </c>
    </row>
    <row r="10053" spans="1:9" x14ac:dyDescent="0.25">
      <c r="A10053">
        <v>4164</v>
      </c>
      <c r="B10053">
        <v>50</v>
      </c>
      <c r="C10053" t="s">
        <v>946</v>
      </c>
      <c r="D10053" t="s">
        <v>1010</v>
      </c>
      <c r="E10053" t="s">
        <v>49</v>
      </c>
      <c r="F10053" t="s">
        <v>948</v>
      </c>
      <c r="G10053">
        <v>5077777</v>
      </c>
      <c r="H10053">
        <v>500220</v>
      </c>
      <c r="I10053" t="s">
        <v>949</v>
      </c>
    </row>
    <row r="10054" spans="1:9" x14ac:dyDescent="0.25">
      <c r="A10054">
        <v>4310</v>
      </c>
      <c r="B10054">
        <v>50</v>
      </c>
      <c r="C10054" t="s">
        <v>946</v>
      </c>
      <c r="D10054" t="s">
        <v>1056</v>
      </c>
      <c r="E10054" t="s">
        <v>49</v>
      </c>
      <c r="F10054" t="s">
        <v>948</v>
      </c>
      <c r="G10054">
        <v>5000000</v>
      </c>
      <c r="H10054">
        <v>145000</v>
      </c>
      <c r="I10054" t="s">
        <v>949</v>
      </c>
    </row>
    <row r="10055" spans="1:9" x14ac:dyDescent="0.25">
      <c r="A10055">
        <v>4320</v>
      </c>
      <c r="B10055">
        <v>50</v>
      </c>
      <c r="C10055" t="s">
        <v>946</v>
      </c>
      <c r="D10055" t="s">
        <v>1056</v>
      </c>
      <c r="E10055" t="s">
        <v>49</v>
      </c>
      <c r="F10055" t="s">
        <v>948</v>
      </c>
      <c r="G10055">
        <v>5000000</v>
      </c>
      <c r="H10055">
        <v>145200</v>
      </c>
      <c r="I10055" t="s">
        <v>949</v>
      </c>
    </row>
    <row r="10056" spans="1:9" x14ac:dyDescent="0.25">
      <c r="A10056">
        <v>4330</v>
      </c>
      <c r="B10056">
        <v>50</v>
      </c>
      <c r="C10056" t="s">
        <v>946</v>
      </c>
      <c r="D10056" t="s">
        <v>1056</v>
      </c>
      <c r="E10056" t="s">
        <v>49</v>
      </c>
      <c r="F10056" t="s">
        <v>948</v>
      </c>
      <c r="G10056">
        <v>5077777</v>
      </c>
      <c r="H10056">
        <v>500210</v>
      </c>
      <c r="I10056" t="s">
        <v>949</v>
      </c>
    </row>
    <row r="10057" spans="1:9" x14ac:dyDescent="0.25">
      <c r="A10057">
        <v>4332</v>
      </c>
      <c r="B10057">
        <v>50</v>
      </c>
      <c r="C10057" t="s">
        <v>946</v>
      </c>
      <c r="D10057" t="s">
        <v>1056</v>
      </c>
      <c r="E10057" t="s">
        <v>49</v>
      </c>
      <c r="F10057" t="s">
        <v>948</v>
      </c>
      <c r="G10057">
        <v>5077777</v>
      </c>
      <c r="H10057">
        <v>500210</v>
      </c>
      <c r="I10057" t="s">
        <v>949</v>
      </c>
    </row>
    <row r="10058" spans="1:9" x14ac:dyDescent="0.25">
      <c r="A10058">
        <v>4335</v>
      </c>
      <c r="B10058">
        <v>50</v>
      </c>
      <c r="C10058" t="s">
        <v>946</v>
      </c>
      <c r="D10058" t="s">
        <v>1056</v>
      </c>
      <c r="E10058" t="s">
        <v>49</v>
      </c>
      <c r="F10058" t="s">
        <v>948</v>
      </c>
      <c r="G10058">
        <v>5077777</v>
      </c>
      <c r="H10058">
        <v>500200</v>
      </c>
      <c r="I10058" t="s">
        <v>949</v>
      </c>
    </row>
    <row r="10059" spans="1:9" x14ac:dyDescent="0.25">
      <c r="A10059">
        <v>4340</v>
      </c>
      <c r="B10059">
        <v>50</v>
      </c>
      <c r="C10059" t="s">
        <v>946</v>
      </c>
      <c r="D10059" t="s">
        <v>1056</v>
      </c>
      <c r="E10059" t="s">
        <v>49</v>
      </c>
      <c r="F10059" t="s">
        <v>948</v>
      </c>
      <c r="G10059">
        <v>5088888</v>
      </c>
      <c r="H10059">
        <v>810710</v>
      </c>
      <c r="I10059" t="s">
        <v>949</v>
      </c>
    </row>
    <row r="10060" spans="1:9" x14ac:dyDescent="0.25">
      <c r="A10060">
        <v>4370</v>
      </c>
      <c r="B10060">
        <v>50</v>
      </c>
      <c r="C10060" t="s">
        <v>946</v>
      </c>
      <c r="D10060" t="s">
        <v>1056</v>
      </c>
      <c r="E10060" t="s">
        <v>49</v>
      </c>
      <c r="F10060" t="s">
        <v>948</v>
      </c>
      <c r="G10060">
        <v>5000000</v>
      </c>
      <c r="H10060">
        <v>142500</v>
      </c>
      <c r="I10060" t="s">
        <v>949</v>
      </c>
    </row>
    <row r="10061" spans="1:9" x14ac:dyDescent="0.25">
      <c r="A10061">
        <v>4400</v>
      </c>
      <c r="B10061">
        <v>50</v>
      </c>
      <c r="C10061" t="s">
        <v>946</v>
      </c>
      <c r="D10061" t="s">
        <v>1056</v>
      </c>
      <c r="E10061" t="s">
        <v>49</v>
      </c>
      <c r="F10061" t="s">
        <v>948</v>
      </c>
      <c r="G10061">
        <v>5000000</v>
      </c>
      <c r="H10061">
        <v>145000</v>
      </c>
      <c r="I10061" t="s">
        <v>949</v>
      </c>
    </row>
    <row r="10062" spans="1:9" x14ac:dyDescent="0.25">
      <c r="A10062">
        <v>4405</v>
      </c>
      <c r="B10062">
        <v>50</v>
      </c>
      <c r="C10062" t="s">
        <v>946</v>
      </c>
      <c r="D10062" t="s">
        <v>1056</v>
      </c>
      <c r="E10062" t="s">
        <v>49</v>
      </c>
      <c r="F10062" t="s">
        <v>948</v>
      </c>
      <c r="G10062">
        <v>5077777</v>
      </c>
      <c r="H10062">
        <v>500465</v>
      </c>
      <c r="I10062" t="s">
        <v>949</v>
      </c>
    </row>
    <row r="10063" spans="1:9" x14ac:dyDescent="0.25">
      <c r="A10063">
        <v>4320</v>
      </c>
      <c r="B10063">
        <v>50</v>
      </c>
      <c r="C10063" t="s">
        <v>946</v>
      </c>
      <c r="D10063" t="s">
        <v>1014</v>
      </c>
      <c r="E10063" t="s">
        <v>49</v>
      </c>
      <c r="F10063" t="s">
        <v>948</v>
      </c>
      <c r="G10063">
        <v>5000000</v>
      </c>
      <c r="H10063">
        <v>200110</v>
      </c>
      <c r="I10063" t="s">
        <v>949</v>
      </c>
    </row>
    <row r="10064" spans="1:9" x14ac:dyDescent="0.25">
      <c r="A10064">
        <v>4330</v>
      </c>
      <c r="B10064">
        <v>50</v>
      </c>
      <c r="C10064" t="s">
        <v>946</v>
      </c>
      <c r="D10064" t="s">
        <v>1014</v>
      </c>
      <c r="E10064" t="s">
        <v>49</v>
      </c>
      <c r="F10064" t="s">
        <v>948</v>
      </c>
      <c r="G10064">
        <v>5077777</v>
      </c>
      <c r="H10064">
        <v>500210</v>
      </c>
      <c r="I10064" t="s">
        <v>949</v>
      </c>
    </row>
    <row r="10065" spans="1:9" x14ac:dyDescent="0.25">
      <c r="A10065">
        <v>4332</v>
      </c>
      <c r="B10065">
        <v>50</v>
      </c>
      <c r="C10065" t="s">
        <v>946</v>
      </c>
      <c r="D10065" t="s">
        <v>1014</v>
      </c>
      <c r="E10065" t="s">
        <v>49</v>
      </c>
      <c r="F10065" t="s">
        <v>948</v>
      </c>
      <c r="G10065">
        <v>5077777</v>
      </c>
      <c r="H10065">
        <v>500210</v>
      </c>
      <c r="I10065" t="s">
        <v>949</v>
      </c>
    </row>
    <row r="10066" spans="1:9" x14ac:dyDescent="0.25">
      <c r="A10066">
        <v>4400</v>
      </c>
      <c r="B10066">
        <v>50</v>
      </c>
      <c r="C10066" t="s">
        <v>946</v>
      </c>
      <c r="D10066" t="s">
        <v>1014</v>
      </c>
      <c r="E10066" t="s">
        <v>49</v>
      </c>
      <c r="F10066" t="s">
        <v>948</v>
      </c>
      <c r="G10066">
        <v>5000000</v>
      </c>
      <c r="H10066">
        <v>145000</v>
      </c>
      <c r="I10066" t="s">
        <v>949</v>
      </c>
    </row>
    <row r="10067" spans="1:9" x14ac:dyDescent="0.25">
      <c r="A10067">
        <v>4405</v>
      </c>
      <c r="B10067">
        <v>50</v>
      </c>
      <c r="C10067" t="s">
        <v>946</v>
      </c>
      <c r="D10067" t="s">
        <v>1014</v>
      </c>
      <c r="E10067" t="s">
        <v>49</v>
      </c>
      <c r="F10067" t="s">
        <v>948</v>
      </c>
      <c r="G10067">
        <v>5077777</v>
      </c>
      <c r="H10067">
        <v>500465</v>
      </c>
      <c r="I10067" t="s">
        <v>949</v>
      </c>
    </row>
    <row r="10068" spans="1:9" x14ac:dyDescent="0.25">
      <c r="A10068">
        <v>4310</v>
      </c>
      <c r="B10068">
        <v>50</v>
      </c>
      <c r="C10068" t="s">
        <v>946</v>
      </c>
      <c r="D10068" t="s">
        <v>1016</v>
      </c>
      <c r="E10068" t="s">
        <v>49</v>
      </c>
      <c r="F10068" t="s">
        <v>948</v>
      </c>
      <c r="G10068">
        <v>5000000</v>
      </c>
      <c r="H10068">
        <v>145000</v>
      </c>
      <c r="I10068" t="s">
        <v>949</v>
      </c>
    </row>
    <row r="10069" spans="1:9" x14ac:dyDescent="0.25">
      <c r="A10069">
        <v>4320</v>
      </c>
      <c r="B10069">
        <v>50</v>
      </c>
      <c r="C10069" t="s">
        <v>946</v>
      </c>
      <c r="D10069" t="s">
        <v>1016</v>
      </c>
      <c r="E10069" t="s">
        <v>49</v>
      </c>
      <c r="F10069" t="s">
        <v>948</v>
      </c>
      <c r="G10069">
        <v>5000000</v>
      </c>
      <c r="H10069">
        <v>200110</v>
      </c>
      <c r="I10069" t="s">
        <v>949</v>
      </c>
    </row>
    <row r="10070" spans="1:9" x14ac:dyDescent="0.25">
      <c r="A10070">
        <v>4330</v>
      </c>
      <c r="B10070">
        <v>50</v>
      </c>
      <c r="C10070" t="s">
        <v>946</v>
      </c>
      <c r="D10070" t="s">
        <v>1016</v>
      </c>
      <c r="E10070" t="s">
        <v>49</v>
      </c>
      <c r="F10070" t="s">
        <v>948</v>
      </c>
      <c r="G10070">
        <v>5077777</v>
      </c>
      <c r="H10070">
        <v>500210</v>
      </c>
      <c r="I10070" t="s">
        <v>949</v>
      </c>
    </row>
    <row r="10071" spans="1:9" x14ac:dyDescent="0.25">
      <c r="A10071">
        <v>4332</v>
      </c>
      <c r="B10071">
        <v>50</v>
      </c>
      <c r="C10071" t="s">
        <v>946</v>
      </c>
      <c r="D10071" t="s">
        <v>1016</v>
      </c>
      <c r="E10071" t="s">
        <v>49</v>
      </c>
      <c r="F10071" t="s">
        <v>948</v>
      </c>
      <c r="G10071">
        <v>5077777</v>
      </c>
      <c r="H10071">
        <v>500210</v>
      </c>
      <c r="I10071" t="s">
        <v>949</v>
      </c>
    </row>
    <row r="10072" spans="1:9" x14ac:dyDescent="0.25">
      <c r="A10072">
        <v>4335</v>
      </c>
      <c r="B10072">
        <v>50</v>
      </c>
      <c r="C10072" t="s">
        <v>946</v>
      </c>
      <c r="D10072" t="s">
        <v>1016</v>
      </c>
      <c r="E10072" t="s">
        <v>49</v>
      </c>
      <c r="F10072" t="s">
        <v>948</v>
      </c>
      <c r="G10072">
        <v>5077777</v>
      </c>
      <c r="H10072">
        <v>500200</v>
      </c>
      <c r="I10072" t="s">
        <v>949</v>
      </c>
    </row>
    <row r="10073" spans="1:9" x14ac:dyDescent="0.25">
      <c r="A10073">
        <v>4340</v>
      </c>
      <c r="B10073">
        <v>50</v>
      </c>
      <c r="C10073" t="s">
        <v>946</v>
      </c>
      <c r="D10073" t="s">
        <v>1016</v>
      </c>
      <c r="E10073" t="s">
        <v>49</v>
      </c>
      <c r="F10073" t="s">
        <v>948</v>
      </c>
      <c r="G10073">
        <v>5088888</v>
      </c>
      <c r="H10073">
        <v>810710</v>
      </c>
      <c r="I10073" t="s">
        <v>949</v>
      </c>
    </row>
    <row r="10074" spans="1:9" x14ac:dyDescent="0.25">
      <c r="A10074">
        <v>4350</v>
      </c>
      <c r="B10074">
        <v>50</v>
      </c>
      <c r="C10074" t="s">
        <v>946</v>
      </c>
      <c r="D10074" t="s">
        <v>1016</v>
      </c>
      <c r="E10074" t="s">
        <v>49</v>
      </c>
      <c r="F10074" t="s">
        <v>948</v>
      </c>
      <c r="G10074">
        <v>5000000</v>
      </c>
      <c r="H10074">
        <v>130305</v>
      </c>
      <c r="I10074" t="s">
        <v>949</v>
      </c>
    </row>
    <row r="10075" spans="1:9" x14ac:dyDescent="0.25">
      <c r="A10075">
        <v>4400</v>
      </c>
      <c r="B10075">
        <v>50</v>
      </c>
      <c r="C10075" t="s">
        <v>946</v>
      </c>
      <c r="D10075" t="s">
        <v>1016</v>
      </c>
      <c r="E10075" t="s">
        <v>49</v>
      </c>
      <c r="F10075" t="s">
        <v>948</v>
      </c>
      <c r="G10075">
        <v>5000000</v>
      </c>
      <c r="H10075">
        <v>145000</v>
      </c>
      <c r="I10075" t="s">
        <v>949</v>
      </c>
    </row>
    <row r="10076" spans="1:9" x14ac:dyDescent="0.25">
      <c r="A10076">
        <v>4405</v>
      </c>
      <c r="B10076">
        <v>50</v>
      </c>
      <c r="C10076" t="s">
        <v>946</v>
      </c>
      <c r="D10076" t="s">
        <v>1016</v>
      </c>
      <c r="E10076" t="s">
        <v>49</v>
      </c>
      <c r="F10076" t="s">
        <v>948</v>
      </c>
      <c r="G10076">
        <v>5077777</v>
      </c>
      <c r="H10076">
        <v>500465</v>
      </c>
      <c r="I10076" t="s">
        <v>949</v>
      </c>
    </row>
    <row r="10077" ht="22" customHeight="1" spans="1:10" x14ac:dyDescent="0.25">
      <c r="A10077" s="41">
        <v>4320</v>
      </c>
      <c r="B10077" s="41">
        <v>50</v>
      </c>
      <c r="C10077" s="41" t="s">
        <v>946</v>
      </c>
      <c r="D10077" s="41" t="s">
        <v>67</v>
      </c>
      <c r="E10077" s="41" t="s">
        <v>49</v>
      </c>
      <c r="F10077" s="41" t="s">
        <v>948</v>
      </c>
      <c r="G10077" s="41">
        <v>5077777</v>
      </c>
      <c r="H10077" s="41">
        <v>500220</v>
      </c>
      <c r="I10077" s="41" t="s">
        <v>949</v>
      </c>
      <c r="J10077" s="42" t="s">
        <v>1057</v>
      </c>
    </row>
    <row r="10078" spans="1:9" x14ac:dyDescent="0.25">
      <c r="A10078">
        <v>4330</v>
      </c>
      <c r="B10078">
        <v>50</v>
      </c>
      <c r="C10078" t="s">
        <v>946</v>
      </c>
      <c r="D10078" t="s">
        <v>67</v>
      </c>
      <c r="E10078" t="s">
        <v>49</v>
      </c>
      <c r="F10078" t="s">
        <v>948</v>
      </c>
      <c r="G10078">
        <v>5077777</v>
      </c>
      <c r="H10078">
        <v>500220</v>
      </c>
      <c r="I10078" t="s">
        <v>949</v>
      </c>
    </row>
    <row r="10079" spans="1:9" x14ac:dyDescent="0.25">
      <c r="A10079">
        <v>4332</v>
      </c>
      <c r="B10079">
        <v>50</v>
      </c>
      <c r="C10079" t="s">
        <v>946</v>
      </c>
      <c r="D10079" t="s">
        <v>67</v>
      </c>
      <c r="E10079" t="s">
        <v>49</v>
      </c>
      <c r="F10079" t="s">
        <v>948</v>
      </c>
      <c r="G10079">
        <v>5077777</v>
      </c>
      <c r="H10079">
        <v>500220</v>
      </c>
      <c r="I10079" t="s">
        <v>949</v>
      </c>
    </row>
    <row r="10080" spans="1:9" x14ac:dyDescent="0.25">
      <c r="A10080">
        <v>4335</v>
      </c>
      <c r="B10080">
        <v>50</v>
      </c>
      <c r="C10080" t="s">
        <v>946</v>
      </c>
      <c r="D10080" t="s">
        <v>67</v>
      </c>
      <c r="E10080" t="s">
        <v>49</v>
      </c>
      <c r="F10080" t="s">
        <v>948</v>
      </c>
      <c r="G10080">
        <v>5077777</v>
      </c>
      <c r="H10080">
        <v>500220</v>
      </c>
      <c r="I10080" t="s">
        <v>949</v>
      </c>
    </row>
    <row r="10081" spans="1:9" x14ac:dyDescent="0.25">
      <c r="A10081">
        <v>4337</v>
      </c>
      <c r="B10081">
        <v>50</v>
      </c>
      <c r="C10081" t="s">
        <v>946</v>
      </c>
      <c r="D10081" t="s">
        <v>67</v>
      </c>
      <c r="E10081" t="s">
        <v>49</v>
      </c>
      <c r="F10081" t="s">
        <v>948</v>
      </c>
      <c r="G10081">
        <v>5077777</v>
      </c>
      <c r="H10081">
        <v>500465</v>
      </c>
      <c r="I10081" t="s">
        <v>949</v>
      </c>
    </row>
    <row r="10082" spans="1:9" x14ac:dyDescent="0.25">
      <c r="A10082">
        <v>4340</v>
      </c>
      <c r="B10082">
        <v>50</v>
      </c>
      <c r="C10082" t="s">
        <v>946</v>
      </c>
      <c r="D10082" t="s">
        <v>67</v>
      </c>
      <c r="E10082" t="s">
        <v>49</v>
      </c>
      <c r="F10082" t="s">
        <v>948</v>
      </c>
      <c r="G10082">
        <v>5088888</v>
      </c>
      <c r="H10082">
        <v>810710</v>
      </c>
      <c r="I10082" t="s">
        <v>949</v>
      </c>
    </row>
    <row r="10083" spans="1:9" x14ac:dyDescent="0.25">
      <c r="A10083">
        <v>4400</v>
      </c>
      <c r="B10083">
        <v>50</v>
      </c>
      <c r="C10083" t="s">
        <v>946</v>
      </c>
      <c r="D10083" t="s">
        <v>67</v>
      </c>
      <c r="E10083" t="s">
        <v>49</v>
      </c>
      <c r="F10083" t="s">
        <v>948</v>
      </c>
      <c r="G10083">
        <v>5077777</v>
      </c>
      <c r="H10083">
        <v>500465</v>
      </c>
      <c r="I10083" t="s">
        <v>949</v>
      </c>
    </row>
    <row r="10084" spans="1:9" x14ac:dyDescent="0.25">
      <c r="A10084">
        <v>4405</v>
      </c>
      <c r="B10084">
        <v>50</v>
      </c>
      <c r="C10084" t="s">
        <v>946</v>
      </c>
      <c r="D10084" t="s">
        <v>67</v>
      </c>
      <c r="E10084" t="s">
        <v>49</v>
      </c>
      <c r="F10084" t="s">
        <v>948</v>
      </c>
      <c r="G10084">
        <v>5077777</v>
      </c>
      <c r="H10084">
        <v>500465</v>
      </c>
      <c r="I10084" t="s">
        <v>949</v>
      </c>
    </row>
    <row r="10085" spans="1:9" x14ac:dyDescent="0.25">
      <c r="A10085">
        <v>4310</v>
      </c>
      <c r="B10085">
        <v>50</v>
      </c>
      <c r="C10085" t="s">
        <v>946</v>
      </c>
      <c r="D10085" t="s">
        <v>67</v>
      </c>
      <c r="E10085" t="s">
        <v>243</v>
      </c>
      <c r="F10085" t="s">
        <v>948</v>
      </c>
      <c r="G10085">
        <v>5000000</v>
      </c>
      <c r="H10085">
        <v>145000</v>
      </c>
      <c r="I10085" t="s">
        <v>949</v>
      </c>
    </row>
    <row r="10086" spans="1:9" x14ac:dyDescent="0.25">
      <c r="A10086">
        <v>4310</v>
      </c>
      <c r="B10086">
        <v>50</v>
      </c>
      <c r="C10086" t="s">
        <v>946</v>
      </c>
      <c r="D10086" t="s">
        <v>67</v>
      </c>
      <c r="E10086" t="s">
        <v>247</v>
      </c>
      <c r="F10086" t="s">
        <v>948</v>
      </c>
      <c r="G10086">
        <v>5000000</v>
      </c>
      <c r="H10086">
        <v>145000</v>
      </c>
      <c r="I10086" t="s">
        <v>949</v>
      </c>
    </row>
    <row r="10087" spans="1:9" x14ac:dyDescent="0.25">
      <c r="A10087">
        <v>4310</v>
      </c>
      <c r="B10087">
        <v>50</v>
      </c>
      <c r="C10087" t="s">
        <v>946</v>
      </c>
      <c r="D10087" t="s">
        <v>67</v>
      </c>
      <c r="E10087" t="s">
        <v>251</v>
      </c>
      <c r="F10087" t="s">
        <v>948</v>
      </c>
      <c r="G10087">
        <v>5000000</v>
      </c>
      <c r="H10087">
        <v>145000</v>
      </c>
      <c r="I10087" t="s">
        <v>949</v>
      </c>
    </row>
    <row r="10088" spans="1:9" x14ac:dyDescent="0.25">
      <c r="A10088">
        <v>4310</v>
      </c>
      <c r="B10088">
        <v>50</v>
      </c>
      <c r="C10088" t="s">
        <v>946</v>
      </c>
      <c r="D10088" t="s">
        <v>67</v>
      </c>
      <c r="E10088" t="s">
        <v>255</v>
      </c>
      <c r="F10088" t="s">
        <v>948</v>
      </c>
      <c r="G10088">
        <v>5000000</v>
      </c>
      <c r="H10088">
        <v>145000</v>
      </c>
      <c r="I10088" t="s">
        <v>949</v>
      </c>
    </row>
    <row r="10089" spans="1:9" x14ac:dyDescent="0.25">
      <c r="A10089">
        <v>4310</v>
      </c>
      <c r="B10089">
        <v>50</v>
      </c>
      <c r="C10089" t="s">
        <v>946</v>
      </c>
      <c r="D10089" t="s">
        <v>67</v>
      </c>
      <c r="E10089" t="s">
        <v>263</v>
      </c>
      <c r="F10089" t="s">
        <v>948</v>
      </c>
      <c r="G10089">
        <v>5000000</v>
      </c>
      <c r="H10089">
        <v>145000</v>
      </c>
      <c r="I10089" t="s">
        <v>949</v>
      </c>
    </row>
    <row r="10090" ht="22" customHeight="1" spans="1:10" x14ac:dyDescent="0.25">
      <c r="A10090" s="41">
        <v>4310</v>
      </c>
      <c r="B10090" s="41">
        <v>50</v>
      </c>
      <c r="C10090" s="41" t="s">
        <v>946</v>
      </c>
      <c r="D10090" s="41" t="s">
        <v>67</v>
      </c>
      <c r="E10090" s="41" t="s">
        <v>100</v>
      </c>
      <c r="F10090" s="41" t="s">
        <v>948</v>
      </c>
      <c r="G10090" s="41">
        <v>5077777</v>
      </c>
      <c r="H10090" s="41">
        <v>500220</v>
      </c>
      <c r="I10090" s="41" t="s">
        <v>949</v>
      </c>
      <c r="J10090" s="42" t="s">
        <v>1058</v>
      </c>
    </row>
    <row r="10091" spans="1:9" x14ac:dyDescent="0.25">
      <c r="A10091">
        <v>4310</v>
      </c>
      <c r="B10091">
        <v>50</v>
      </c>
      <c r="C10091" t="s">
        <v>946</v>
      </c>
      <c r="D10091" t="s">
        <v>67</v>
      </c>
      <c r="E10091" t="s">
        <v>270</v>
      </c>
      <c r="F10091" t="s">
        <v>948</v>
      </c>
      <c r="G10091">
        <v>5000000</v>
      </c>
      <c r="H10091">
        <v>145000</v>
      </c>
      <c r="I10091" t="s">
        <v>949</v>
      </c>
    </row>
    <row r="10092" spans="1:9" x14ac:dyDescent="0.25">
      <c r="A10092">
        <v>4310</v>
      </c>
      <c r="B10092">
        <v>50</v>
      </c>
      <c r="C10092" t="s">
        <v>946</v>
      </c>
      <c r="D10092" t="s">
        <v>67</v>
      </c>
      <c r="E10092" t="s">
        <v>274</v>
      </c>
      <c r="F10092" t="s">
        <v>948</v>
      </c>
      <c r="G10092">
        <v>5000000</v>
      </c>
      <c r="H10092">
        <v>145000</v>
      </c>
      <c r="I10092" t="s">
        <v>949</v>
      </c>
    </row>
    <row r="10093" ht="22" customHeight="1" spans="1:10" x14ac:dyDescent="0.25">
      <c r="A10093" s="41">
        <v>4310</v>
      </c>
      <c r="B10093" s="41">
        <v>50</v>
      </c>
      <c r="C10093" s="41" t="s">
        <v>946</v>
      </c>
      <c r="D10093" s="41" t="s">
        <v>67</v>
      </c>
      <c r="E10093" s="41" t="s">
        <v>104</v>
      </c>
      <c r="F10093" s="41" t="s">
        <v>948</v>
      </c>
      <c r="G10093" s="41">
        <v>5077777</v>
      </c>
      <c r="H10093" s="41">
        <v>500220</v>
      </c>
      <c r="I10093" s="41" t="s">
        <v>949</v>
      </c>
      <c r="J10093" s="42" t="s">
        <v>1058</v>
      </c>
    </row>
    <row r="10094" spans="1:9" x14ac:dyDescent="0.25">
      <c r="A10094">
        <v>4310</v>
      </c>
      <c r="B10094">
        <v>50</v>
      </c>
      <c r="C10094" t="s">
        <v>946</v>
      </c>
      <c r="D10094" t="s">
        <v>67</v>
      </c>
      <c r="E10094" t="s">
        <v>278</v>
      </c>
      <c r="F10094" t="s">
        <v>948</v>
      </c>
      <c r="G10094">
        <v>5000000</v>
      </c>
      <c r="H10094">
        <v>145000</v>
      </c>
      <c r="I10094" t="s">
        <v>949</v>
      </c>
    </row>
    <row r="10095" spans="1:9" x14ac:dyDescent="0.25">
      <c r="A10095">
        <v>4310</v>
      </c>
      <c r="B10095">
        <v>50</v>
      </c>
      <c r="C10095" t="s">
        <v>946</v>
      </c>
      <c r="D10095" t="s">
        <v>67</v>
      </c>
      <c r="E10095" t="s">
        <v>282</v>
      </c>
      <c r="F10095" t="s">
        <v>948</v>
      </c>
      <c r="G10095">
        <v>5000000</v>
      </c>
      <c r="H10095">
        <v>145000</v>
      </c>
      <c r="I10095" t="s">
        <v>949</v>
      </c>
    </row>
    <row r="10096" spans="1:9" x14ac:dyDescent="0.25">
      <c r="A10096">
        <v>4310</v>
      </c>
      <c r="B10096">
        <v>50</v>
      </c>
      <c r="C10096" t="s">
        <v>946</v>
      </c>
      <c r="D10096" t="s">
        <v>67</v>
      </c>
      <c r="E10096" t="s">
        <v>286</v>
      </c>
      <c r="F10096" t="s">
        <v>948</v>
      </c>
      <c r="G10096">
        <v>5000000</v>
      </c>
      <c r="H10096">
        <v>145000</v>
      </c>
      <c r="I10096" t="s">
        <v>949</v>
      </c>
    </row>
    <row r="10097" spans="1:9" x14ac:dyDescent="0.25">
      <c r="A10097">
        <v>4310</v>
      </c>
      <c r="B10097">
        <v>50</v>
      </c>
      <c r="C10097" t="s">
        <v>946</v>
      </c>
      <c r="D10097" t="s">
        <v>67</v>
      </c>
      <c r="E10097" t="s">
        <v>290</v>
      </c>
      <c r="F10097" t="s">
        <v>948</v>
      </c>
      <c r="G10097">
        <v>5000000</v>
      </c>
      <c r="H10097">
        <v>145000</v>
      </c>
      <c r="I10097" t="s">
        <v>949</v>
      </c>
    </row>
    <row r="10098" spans="1:9" x14ac:dyDescent="0.25">
      <c r="A10098">
        <v>4310</v>
      </c>
      <c r="B10098">
        <v>50</v>
      </c>
      <c r="C10098" t="s">
        <v>946</v>
      </c>
      <c r="D10098" t="s">
        <v>67</v>
      </c>
      <c r="E10098" t="s">
        <v>294</v>
      </c>
      <c r="F10098" t="s">
        <v>948</v>
      </c>
      <c r="G10098">
        <v>5000000</v>
      </c>
      <c r="H10098">
        <v>145000</v>
      </c>
      <c r="I10098" t="s">
        <v>949</v>
      </c>
    </row>
    <row r="10099" spans="1:9" x14ac:dyDescent="0.25">
      <c r="A10099">
        <v>4310</v>
      </c>
      <c r="B10099">
        <v>50</v>
      </c>
      <c r="C10099" t="s">
        <v>946</v>
      </c>
      <c r="D10099" t="s">
        <v>67</v>
      </c>
      <c r="E10099" t="s">
        <v>302</v>
      </c>
      <c r="F10099" t="s">
        <v>948</v>
      </c>
      <c r="G10099">
        <v>5000000</v>
      </c>
      <c r="H10099">
        <v>145000</v>
      </c>
      <c r="I10099" t="s">
        <v>949</v>
      </c>
    </row>
    <row r="10100" spans="1:9" x14ac:dyDescent="0.25">
      <c r="A10100">
        <v>4310</v>
      </c>
      <c r="B10100">
        <v>50</v>
      </c>
      <c r="C10100" t="s">
        <v>946</v>
      </c>
      <c r="D10100" t="s">
        <v>67</v>
      </c>
      <c r="E10100" t="s">
        <v>306</v>
      </c>
      <c r="F10100" t="s">
        <v>948</v>
      </c>
      <c r="G10100">
        <v>5000000</v>
      </c>
      <c r="H10100">
        <v>145000</v>
      </c>
      <c r="I10100" t="s">
        <v>949</v>
      </c>
    </row>
    <row r="10101" ht="22" customHeight="1" spans="1:10" x14ac:dyDescent="0.25">
      <c r="A10101" s="41">
        <v>4310</v>
      </c>
      <c r="B10101" s="41">
        <v>50</v>
      </c>
      <c r="C10101" s="41" t="s">
        <v>946</v>
      </c>
      <c r="D10101" s="41" t="s">
        <v>67</v>
      </c>
      <c r="E10101" s="41" t="s">
        <v>108</v>
      </c>
      <c r="F10101" s="41" t="s">
        <v>948</v>
      </c>
      <c r="G10101" s="41">
        <v>5077777</v>
      </c>
      <c r="H10101" s="41">
        <v>500220</v>
      </c>
      <c r="I10101" s="41" t="s">
        <v>949</v>
      </c>
      <c r="J10101" s="42" t="s">
        <v>1058</v>
      </c>
    </row>
    <row r="10102" spans="1:9" x14ac:dyDescent="0.25">
      <c r="A10102">
        <v>4310</v>
      </c>
      <c r="B10102">
        <v>50</v>
      </c>
      <c r="C10102" t="s">
        <v>946</v>
      </c>
      <c r="D10102" t="s">
        <v>67</v>
      </c>
      <c r="E10102" t="s">
        <v>310</v>
      </c>
      <c r="F10102" t="s">
        <v>948</v>
      </c>
      <c r="G10102">
        <v>5000000</v>
      </c>
      <c r="H10102">
        <v>145000</v>
      </c>
      <c r="I10102" t="s">
        <v>949</v>
      </c>
    </row>
    <row r="10103" spans="1:9" x14ac:dyDescent="0.25">
      <c r="A10103">
        <v>4310</v>
      </c>
      <c r="B10103">
        <v>50</v>
      </c>
      <c r="C10103" t="s">
        <v>946</v>
      </c>
      <c r="D10103" t="s">
        <v>67</v>
      </c>
      <c r="E10103" t="s">
        <v>314</v>
      </c>
      <c r="F10103" t="s">
        <v>948</v>
      </c>
      <c r="G10103">
        <v>5000000</v>
      </c>
      <c r="H10103">
        <v>145000</v>
      </c>
      <c r="I10103" t="s">
        <v>949</v>
      </c>
    </row>
    <row r="10104" ht="22" customHeight="1" spans="1:10" x14ac:dyDescent="0.25">
      <c r="A10104" s="41">
        <v>4310</v>
      </c>
      <c r="B10104" s="41">
        <v>50</v>
      </c>
      <c r="C10104" s="41" t="s">
        <v>946</v>
      </c>
      <c r="D10104" s="41" t="s">
        <v>67</v>
      </c>
      <c r="E10104" s="41" t="s">
        <v>121</v>
      </c>
      <c r="F10104" s="41" t="s">
        <v>948</v>
      </c>
      <c r="G10104" s="41">
        <v>5077777</v>
      </c>
      <c r="H10104" s="41">
        <v>500220</v>
      </c>
      <c r="I10104" s="41" t="s">
        <v>949</v>
      </c>
      <c r="J10104" s="42" t="s">
        <v>1058</v>
      </c>
    </row>
    <row r="10105" spans="1:9" x14ac:dyDescent="0.25">
      <c r="A10105">
        <v>4152</v>
      </c>
      <c r="B10105">
        <v>50</v>
      </c>
      <c r="C10105" t="s">
        <v>946</v>
      </c>
      <c r="D10105" t="s">
        <v>1022</v>
      </c>
      <c r="E10105" t="s">
        <v>49</v>
      </c>
      <c r="F10105" t="s">
        <v>948</v>
      </c>
      <c r="G10105">
        <v>5000000</v>
      </c>
      <c r="H10105">
        <v>145000</v>
      </c>
      <c r="I10105" t="s">
        <v>949</v>
      </c>
    </row>
    <row r="10106" spans="1:9" x14ac:dyDescent="0.25">
      <c r="A10106">
        <v>4154</v>
      </c>
      <c r="B10106">
        <v>50</v>
      </c>
      <c r="C10106" t="s">
        <v>946</v>
      </c>
      <c r="D10106" t="s">
        <v>1022</v>
      </c>
      <c r="E10106" t="s">
        <v>49</v>
      </c>
      <c r="F10106" t="s">
        <v>948</v>
      </c>
      <c r="G10106">
        <v>5077777</v>
      </c>
      <c r="H10106">
        <v>500465</v>
      </c>
      <c r="I10106" t="s">
        <v>949</v>
      </c>
    </row>
    <row r="10107" spans="1:9" x14ac:dyDescent="0.25">
      <c r="A10107">
        <v>4141</v>
      </c>
      <c r="B10107">
        <v>50</v>
      </c>
      <c r="C10107" t="s">
        <v>946</v>
      </c>
      <c r="D10107" t="s">
        <v>1030</v>
      </c>
      <c r="E10107" t="s">
        <v>49</v>
      </c>
      <c r="F10107" t="s">
        <v>948</v>
      </c>
      <c r="G10107">
        <v>5077777</v>
      </c>
      <c r="H10107">
        <v>501010</v>
      </c>
      <c r="I10107" t="s">
        <v>949</v>
      </c>
    </row>
    <row r="10108" spans="1:9" x14ac:dyDescent="0.25">
      <c r="A10108">
        <v>4220</v>
      </c>
      <c r="B10108">
        <v>50</v>
      </c>
      <c r="C10108" t="s">
        <v>946</v>
      </c>
      <c r="D10108" t="s">
        <v>1030</v>
      </c>
      <c r="E10108" t="s">
        <v>49</v>
      </c>
      <c r="F10108" t="s">
        <v>948</v>
      </c>
      <c r="G10108">
        <v>5077777</v>
      </c>
      <c r="H10108">
        <v>501010</v>
      </c>
      <c r="I10108" t="s">
        <v>949</v>
      </c>
    </row>
    <row r="10109" spans="1:9" x14ac:dyDescent="0.25">
      <c r="A10109">
        <v>4240</v>
      </c>
      <c r="B10109">
        <v>50</v>
      </c>
      <c r="C10109" t="s">
        <v>946</v>
      </c>
      <c r="D10109" t="s">
        <v>1030</v>
      </c>
      <c r="E10109" t="s">
        <v>49</v>
      </c>
      <c r="F10109" t="s">
        <v>948</v>
      </c>
      <c r="G10109">
        <v>5000000</v>
      </c>
      <c r="H10109">
        <v>145000</v>
      </c>
      <c r="I10109" t="s">
        <v>949</v>
      </c>
    </row>
    <row r="10110" spans="1:9" x14ac:dyDescent="0.25">
      <c r="A10110">
        <v>4250</v>
      </c>
      <c r="B10110">
        <v>50</v>
      </c>
      <c r="C10110" t="s">
        <v>946</v>
      </c>
      <c r="D10110" t="s">
        <v>1030</v>
      </c>
      <c r="E10110" t="s">
        <v>49</v>
      </c>
      <c r="F10110" t="s">
        <v>948</v>
      </c>
      <c r="G10110">
        <v>5000000</v>
      </c>
      <c r="H10110">
        <v>130305</v>
      </c>
      <c r="I10110" t="s">
        <v>949</v>
      </c>
    </row>
    <row r="10111" spans="1:9" x14ac:dyDescent="0.25">
      <c r="A10111">
        <v>4230</v>
      </c>
      <c r="B10111">
        <v>50</v>
      </c>
      <c r="C10111" t="s">
        <v>946</v>
      </c>
      <c r="D10111" t="s">
        <v>1030</v>
      </c>
      <c r="E10111" t="s">
        <v>243</v>
      </c>
      <c r="F10111" t="s">
        <v>948</v>
      </c>
      <c r="G10111">
        <v>5099999</v>
      </c>
      <c r="H10111">
        <v>401052</v>
      </c>
      <c r="I10111" t="s">
        <v>949</v>
      </c>
    </row>
    <row r="10112" spans="1:9" x14ac:dyDescent="0.25">
      <c r="A10112">
        <v>4230</v>
      </c>
      <c r="B10112">
        <v>50</v>
      </c>
      <c r="C10112" t="s">
        <v>946</v>
      </c>
      <c r="D10112" t="s">
        <v>1030</v>
      </c>
      <c r="E10112" t="s">
        <v>247</v>
      </c>
      <c r="F10112" t="s">
        <v>948</v>
      </c>
      <c r="G10112">
        <v>5099999</v>
      </c>
      <c r="H10112">
        <v>401022</v>
      </c>
      <c r="I10112" t="s">
        <v>949</v>
      </c>
    </row>
    <row r="10113" spans="1:9" x14ac:dyDescent="0.25">
      <c r="A10113">
        <v>4230</v>
      </c>
      <c r="B10113">
        <v>50</v>
      </c>
      <c r="C10113" t="s">
        <v>946</v>
      </c>
      <c r="D10113" t="s">
        <v>1030</v>
      </c>
      <c r="E10113" t="s">
        <v>251</v>
      </c>
      <c r="F10113" t="s">
        <v>948</v>
      </c>
      <c r="G10113">
        <v>5099999</v>
      </c>
      <c r="H10113">
        <v>401042</v>
      </c>
      <c r="I10113" t="s">
        <v>949</v>
      </c>
    </row>
    <row r="10114" spans="1:9" x14ac:dyDescent="0.25">
      <c r="A10114">
        <v>4230</v>
      </c>
      <c r="B10114">
        <v>50</v>
      </c>
      <c r="C10114" t="s">
        <v>946</v>
      </c>
      <c r="D10114" t="s">
        <v>1030</v>
      </c>
      <c r="E10114" t="s">
        <v>255</v>
      </c>
      <c r="F10114" t="s">
        <v>948</v>
      </c>
      <c r="G10114">
        <v>5099999</v>
      </c>
      <c r="H10114">
        <v>401072</v>
      </c>
      <c r="I10114" t="s">
        <v>949</v>
      </c>
    </row>
    <row r="10115" spans="1:9" x14ac:dyDescent="0.25">
      <c r="A10115">
        <v>4230</v>
      </c>
      <c r="B10115">
        <v>50</v>
      </c>
      <c r="C10115" t="s">
        <v>946</v>
      </c>
      <c r="D10115" t="s">
        <v>1030</v>
      </c>
      <c r="E10115" t="s">
        <v>259</v>
      </c>
      <c r="F10115" t="s">
        <v>948</v>
      </c>
      <c r="G10115">
        <v>5099999</v>
      </c>
      <c r="H10115">
        <v>409002</v>
      </c>
      <c r="I10115" t="s">
        <v>949</v>
      </c>
    </row>
    <row r="10116" spans="1:9" x14ac:dyDescent="0.25">
      <c r="A10116">
        <v>4230</v>
      </c>
      <c r="B10116">
        <v>50</v>
      </c>
      <c r="C10116" t="s">
        <v>946</v>
      </c>
      <c r="D10116" t="s">
        <v>1030</v>
      </c>
      <c r="E10116" t="s">
        <v>263</v>
      </c>
      <c r="F10116" t="s">
        <v>948</v>
      </c>
      <c r="G10116">
        <v>5099999</v>
      </c>
      <c r="H10116">
        <v>401042</v>
      </c>
      <c r="I10116" t="s">
        <v>949</v>
      </c>
    </row>
    <row r="10117" spans="1:9" x14ac:dyDescent="0.25">
      <c r="A10117">
        <v>4230</v>
      </c>
      <c r="B10117">
        <v>50</v>
      </c>
      <c r="C10117" t="s">
        <v>946</v>
      </c>
      <c r="D10117" t="s">
        <v>1030</v>
      </c>
      <c r="E10117" t="s">
        <v>100</v>
      </c>
      <c r="F10117" t="s">
        <v>948</v>
      </c>
      <c r="G10117">
        <v>5099999</v>
      </c>
      <c r="H10117">
        <v>401042</v>
      </c>
      <c r="I10117" t="s">
        <v>949</v>
      </c>
    </row>
    <row r="10118" spans="1:9" x14ac:dyDescent="0.25">
      <c r="A10118">
        <v>4230</v>
      </c>
      <c r="B10118">
        <v>50</v>
      </c>
      <c r="C10118" t="s">
        <v>946</v>
      </c>
      <c r="D10118" t="s">
        <v>1030</v>
      </c>
      <c r="E10118" t="s">
        <v>270</v>
      </c>
      <c r="F10118" t="s">
        <v>948</v>
      </c>
      <c r="G10118">
        <v>5099999</v>
      </c>
      <c r="H10118">
        <v>401062</v>
      </c>
      <c r="I10118" t="s">
        <v>949</v>
      </c>
    </row>
    <row r="10119" spans="1:9" x14ac:dyDescent="0.25">
      <c r="A10119">
        <v>4230</v>
      </c>
      <c r="B10119">
        <v>50</v>
      </c>
      <c r="C10119" t="s">
        <v>946</v>
      </c>
      <c r="D10119" t="s">
        <v>1030</v>
      </c>
      <c r="E10119" t="s">
        <v>274</v>
      </c>
      <c r="F10119" t="s">
        <v>948</v>
      </c>
      <c r="G10119">
        <v>5099999</v>
      </c>
      <c r="H10119">
        <v>401042</v>
      </c>
      <c r="I10119" t="s">
        <v>949</v>
      </c>
    </row>
    <row r="10120" spans="1:9" x14ac:dyDescent="0.25">
      <c r="A10120">
        <v>4230</v>
      </c>
      <c r="B10120">
        <v>50</v>
      </c>
      <c r="C10120" t="s">
        <v>946</v>
      </c>
      <c r="D10120" t="s">
        <v>1030</v>
      </c>
      <c r="E10120" t="s">
        <v>104</v>
      </c>
      <c r="F10120" t="s">
        <v>948</v>
      </c>
      <c r="G10120">
        <v>5099999</v>
      </c>
      <c r="H10120">
        <v>401042</v>
      </c>
      <c r="I10120" t="s">
        <v>949</v>
      </c>
    </row>
    <row r="10121" spans="1:9" x14ac:dyDescent="0.25">
      <c r="A10121">
        <v>4230</v>
      </c>
      <c r="B10121">
        <v>50</v>
      </c>
      <c r="C10121" t="s">
        <v>946</v>
      </c>
      <c r="D10121" t="s">
        <v>1030</v>
      </c>
      <c r="E10121" t="s">
        <v>278</v>
      </c>
      <c r="F10121" t="s">
        <v>948</v>
      </c>
      <c r="G10121">
        <v>5099999</v>
      </c>
      <c r="H10121">
        <v>401052</v>
      </c>
      <c r="I10121" t="s">
        <v>949</v>
      </c>
    </row>
    <row r="10122" spans="1:9" x14ac:dyDescent="0.25">
      <c r="A10122">
        <v>4230</v>
      </c>
      <c r="B10122">
        <v>50</v>
      </c>
      <c r="C10122" t="s">
        <v>946</v>
      </c>
      <c r="D10122" t="s">
        <v>1030</v>
      </c>
      <c r="E10122" t="s">
        <v>282</v>
      </c>
      <c r="F10122" t="s">
        <v>948</v>
      </c>
      <c r="G10122">
        <v>5099999</v>
      </c>
      <c r="H10122">
        <v>401042</v>
      </c>
      <c r="I10122" t="s">
        <v>949</v>
      </c>
    </row>
    <row r="10123" spans="1:9" x14ac:dyDescent="0.25">
      <c r="A10123">
        <v>4230</v>
      </c>
      <c r="B10123">
        <v>50</v>
      </c>
      <c r="C10123" t="s">
        <v>946</v>
      </c>
      <c r="D10123" t="s">
        <v>1030</v>
      </c>
      <c r="E10123" t="s">
        <v>286</v>
      </c>
      <c r="F10123" t="s">
        <v>948</v>
      </c>
      <c r="G10123">
        <v>5099999</v>
      </c>
      <c r="H10123">
        <v>401032</v>
      </c>
      <c r="I10123" t="s">
        <v>949</v>
      </c>
    </row>
    <row r="10124" spans="1:9" x14ac:dyDescent="0.25">
      <c r="A10124">
        <v>4230</v>
      </c>
      <c r="B10124">
        <v>50</v>
      </c>
      <c r="C10124" t="s">
        <v>946</v>
      </c>
      <c r="D10124" t="s">
        <v>1030</v>
      </c>
      <c r="E10124" t="s">
        <v>290</v>
      </c>
      <c r="F10124" t="s">
        <v>948</v>
      </c>
      <c r="G10124">
        <v>5099999</v>
      </c>
      <c r="H10124">
        <v>401042</v>
      </c>
      <c r="I10124" t="s">
        <v>949</v>
      </c>
    </row>
    <row r="10125" spans="1:9" x14ac:dyDescent="0.25">
      <c r="A10125">
        <v>4230</v>
      </c>
      <c r="B10125">
        <v>50</v>
      </c>
      <c r="C10125" t="s">
        <v>946</v>
      </c>
      <c r="D10125" t="s">
        <v>1030</v>
      </c>
      <c r="E10125" t="s">
        <v>294</v>
      </c>
      <c r="F10125" t="s">
        <v>948</v>
      </c>
      <c r="G10125">
        <v>5099999</v>
      </c>
      <c r="H10125">
        <v>401042</v>
      </c>
      <c r="I10125" t="s">
        <v>949</v>
      </c>
    </row>
    <row r="10126" spans="1:9" x14ac:dyDescent="0.25">
      <c r="A10126">
        <v>4230</v>
      </c>
      <c r="B10126">
        <v>50</v>
      </c>
      <c r="C10126" t="s">
        <v>946</v>
      </c>
      <c r="D10126" t="s">
        <v>1030</v>
      </c>
      <c r="E10126" t="s">
        <v>298</v>
      </c>
      <c r="F10126" t="s">
        <v>948</v>
      </c>
      <c r="G10126">
        <v>5099999</v>
      </c>
      <c r="H10126">
        <v>402082</v>
      </c>
      <c r="I10126" t="s">
        <v>949</v>
      </c>
    </row>
    <row r="10127" spans="1:9" x14ac:dyDescent="0.25">
      <c r="A10127">
        <v>4230</v>
      </c>
      <c r="B10127">
        <v>50</v>
      </c>
      <c r="C10127" t="s">
        <v>946</v>
      </c>
      <c r="D10127" t="s">
        <v>1030</v>
      </c>
      <c r="E10127" t="s">
        <v>302</v>
      </c>
      <c r="F10127" t="s">
        <v>948</v>
      </c>
      <c r="G10127">
        <v>5099999</v>
      </c>
      <c r="H10127">
        <v>401902</v>
      </c>
      <c r="I10127" t="s">
        <v>949</v>
      </c>
    </row>
    <row r="10128" spans="1:9" x14ac:dyDescent="0.25">
      <c r="A10128">
        <v>4230</v>
      </c>
      <c r="B10128">
        <v>50</v>
      </c>
      <c r="C10128" t="s">
        <v>946</v>
      </c>
      <c r="D10128" t="s">
        <v>1030</v>
      </c>
      <c r="E10128" t="s">
        <v>306</v>
      </c>
      <c r="F10128" t="s">
        <v>948</v>
      </c>
      <c r="G10128">
        <v>5099999</v>
      </c>
      <c r="H10128">
        <v>401042</v>
      </c>
      <c r="I10128" t="s">
        <v>949</v>
      </c>
    </row>
    <row r="10129" spans="1:9" x14ac:dyDescent="0.25">
      <c r="A10129">
        <v>4230</v>
      </c>
      <c r="B10129">
        <v>50</v>
      </c>
      <c r="C10129" t="s">
        <v>946</v>
      </c>
      <c r="D10129" t="s">
        <v>1030</v>
      </c>
      <c r="E10129" t="s">
        <v>310</v>
      </c>
      <c r="F10129" t="s">
        <v>948</v>
      </c>
      <c r="G10129">
        <v>5099999</v>
      </c>
      <c r="H10129">
        <v>401012</v>
      </c>
      <c r="I10129" t="s">
        <v>949</v>
      </c>
    </row>
    <row r="10130" spans="1:9" x14ac:dyDescent="0.25">
      <c r="A10130">
        <v>4230</v>
      </c>
      <c r="B10130">
        <v>50</v>
      </c>
      <c r="C10130" t="s">
        <v>946</v>
      </c>
      <c r="D10130" t="s">
        <v>1030</v>
      </c>
      <c r="E10130" t="s">
        <v>314</v>
      </c>
      <c r="F10130" t="s">
        <v>948</v>
      </c>
      <c r="G10130">
        <v>5099999</v>
      </c>
      <c r="H10130">
        <v>401062</v>
      </c>
      <c r="I10130" t="s">
        <v>949</v>
      </c>
    </row>
    <row r="10131" spans="1:9" x14ac:dyDescent="0.25">
      <c r="A10131">
        <v>4141</v>
      </c>
      <c r="B10131">
        <v>50</v>
      </c>
      <c r="C10131" t="s">
        <v>946</v>
      </c>
      <c r="D10131" t="s">
        <v>1031</v>
      </c>
      <c r="E10131" t="s">
        <v>49</v>
      </c>
      <c r="F10131" t="s">
        <v>948</v>
      </c>
      <c r="G10131">
        <v>5077777</v>
      </c>
      <c r="H10131">
        <v>501010</v>
      </c>
      <c r="I10131" t="s">
        <v>949</v>
      </c>
    </row>
    <row r="10132" spans="1:9" x14ac:dyDescent="0.25">
      <c r="A10132">
        <v>4220</v>
      </c>
      <c r="B10132">
        <v>50</v>
      </c>
      <c r="C10132" t="s">
        <v>946</v>
      </c>
      <c r="D10132" t="s">
        <v>1031</v>
      </c>
      <c r="E10132" t="s">
        <v>49</v>
      </c>
      <c r="F10132" t="s">
        <v>948</v>
      </c>
      <c r="G10132">
        <v>5077777</v>
      </c>
      <c r="H10132">
        <v>501010</v>
      </c>
      <c r="I10132" t="s">
        <v>949</v>
      </c>
    </row>
    <row r="10133" spans="1:9" x14ac:dyDescent="0.25">
      <c r="A10133">
        <v>4240</v>
      </c>
      <c r="B10133">
        <v>50</v>
      </c>
      <c r="C10133" t="s">
        <v>946</v>
      </c>
      <c r="D10133" t="s">
        <v>1031</v>
      </c>
      <c r="E10133" t="s">
        <v>49</v>
      </c>
      <c r="F10133" t="s">
        <v>948</v>
      </c>
      <c r="G10133">
        <v>5000000</v>
      </c>
      <c r="H10133">
        <v>145000</v>
      </c>
      <c r="I10133" t="s">
        <v>949</v>
      </c>
    </row>
    <row r="10134" spans="1:9" x14ac:dyDescent="0.25">
      <c r="A10134">
        <v>4250</v>
      </c>
      <c r="B10134">
        <v>50</v>
      </c>
      <c r="C10134" t="s">
        <v>946</v>
      </c>
      <c r="D10134" t="s">
        <v>1031</v>
      </c>
      <c r="E10134" t="s">
        <v>49</v>
      </c>
      <c r="F10134" t="s">
        <v>948</v>
      </c>
      <c r="G10134">
        <v>5000000</v>
      </c>
      <c r="H10134">
        <v>130305</v>
      </c>
      <c r="I10134" t="s">
        <v>949</v>
      </c>
    </row>
    <row r="10135" spans="1:9" x14ac:dyDescent="0.25">
      <c r="A10135">
        <v>4230</v>
      </c>
      <c r="B10135">
        <v>50</v>
      </c>
      <c r="C10135" t="s">
        <v>946</v>
      </c>
      <c r="D10135" t="s">
        <v>1031</v>
      </c>
      <c r="E10135" t="s">
        <v>243</v>
      </c>
      <c r="F10135" t="s">
        <v>948</v>
      </c>
      <c r="G10135">
        <v>5099999</v>
      </c>
      <c r="H10135">
        <v>401052</v>
      </c>
      <c r="I10135" t="s">
        <v>949</v>
      </c>
    </row>
    <row r="10136" spans="1:9" x14ac:dyDescent="0.25">
      <c r="A10136">
        <v>4230</v>
      </c>
      <c r="B10136">
        <v>50</v>
      </c>
      <c r="C10136" t="s">
        <v>946</v>
      </c>
      <c r="D10136" t="s">
        <v>1031</v>
      </c>
      <c r="E10136" t="s">
        <v>247</v>
      </c>
      <c r="F10136" t="s">
        <v>948</v>
      </c>
      <c r="G10136">
        <v>5099999</v>
      </c>
      <c r="H10136">
        <v>401022</v>
      </c>
      <c r="I10136" t="s">
        <v>949</v>
      </c>
    </row>
    <row r="10137" spans="1:9" x14ac:dyDescent="0.25">
      <c r="A10137">
        <v>4230</v>
      </c>
      <c r="B10137">
        <v>50</v>
      </c>
      <c r="C10137" t="s">
        <v>946</v>
      </c>
      <c r="D10137" t="s">
        <v>1031</v>
      </c>
      <c r="E10137" t="s">
        <v>251</v>
      </c>
      <c r="F10137" t="s">
        <v>948</v>
      </c>
      <c r="G10137">
        <v>5099999</v>
      </c>
      <c r="H10137">
        <v>401042</v>
      </c>
      <c r="I10137" t="s">
        <v>949</v>
      </c>
    </row>
    <row r="10138" spans="1:9" x14ac:dyDescent="0.25">
      <c r="A10138">
        <v>4230</v>
      </c>
      <c r="B10138">
        <v>50</v>
      </c>
      <c r="C10138" t="s">
        <v>946</v>
      </c>
      <c r="D10138" t="s">
        <v>1031</v>
      </c>
      <c r="E10138" t="s">
        <v>255</v>
      </c>
      <c r="F10138" t="s">
        <v>948</v>
      </c>
      <c r="G10138">
        <v>5099999</v>
      </c>
      <c r="H10138">
        <v>401072</v>
      </c>
      <c r="I10138" t="s">
        <v>949</v>
      </c>
    </row>
    <row r="10139" spans="1:9" x14ac:dyDescent="0.25">
      <c r="A10139">
        <v>4230</v>
      </c>
      <c r="B10139">
        <v>50</v>
      </c>
      <c r="C10139" t="s">
        <v>946</v>
      </c>
      <c r="D10139" t="s">
        <v>1031</v>
      </c>
      <c r="E10139" t="s">
        <v>259</v>
      </c>
      <c r="F10139" t="s">
        <v>948</v>
      </c>
      <c r="G10139">
        <v>5099999</v>
      </c>
      <c r="H10139">
        <v>409002</v>
      </c>
      <c r="I10139" t="s">
        <v>949</v>
      </c>
    </row>
    <row r="10140" spans="1:9" x14ac:dyDescent="0.25">
      <c r="A10140">
        <v>4230</v>
      </c>
      <c r="B10140">
        <v>50</v>
      </c>
      <c r="C10140" t="s">
        <v>946</v>
      </c>
      <c r="D10140" t="s">
        <v>1031</v>
      </c>
      <c r="E10140" t="s">
        <v>263</v>
      </c>
      <c r="F10140" t="s">
        <v>948</v>
      </c>
      <c r="G10140">
        <v>5099999</v>
      </c>
      <c r="H10140">
        <v>401042</v>
      </c>
      <c r="I10140" t="s">
        <v>949</v>
      </c>
    </row>
    <row r="10141" spans="1:9" x14ac:dyDescent="0.25">
      <c r="A10141">
        <v>4230</v>
      </c>
      <c r="B10141">
        <v>50</v>
      </c>
      <c r="C10141" t="s">
        <v>946</v>
      </c>
      <c r="D10141" t="s">
        <v>1031</v>
      </c>
      <c r="E10141" t="s">
        <v>100</v>
      </c>
      <c r="F10141" t="s">
        <v>948</v>
      </c>
      <c r="G10141">
        <v>5099999</v>
      </c>
      <c r="H10141">
        <v>401042</v>
      </c>
      <c r="I10141" t="s">
        <v>949</v>
      </c>
    </row>
    <row r="10142" spans="1:9" x14ac:dyDescent="0.25">
      <c r="A10142">
        <v>4230</v>
      </c>
      <c r="B10142">
        <v>50</v>
      </c>
      <c r="C10142" t="s">
        <v>946</v>
      </c>
      <c r="D10142" t="s">
        <v>1031</v>
      </c>
      <c r="E10142" t="s">
        <v>270</v>
      </c>
      <c r="F10142" t="s">
        <v>948</v>
      </c>
      <c r="G10142">
        <v>5099999</v>
      </c>
      <c r="H10142">
        <v>401062</v>
      </c>
      <c r="I10142" t="s">
        <v>949</v>
      </c>
    </row>
    <row r="10143" spans="1:9" x14ac:dyDescent="0.25">
      <c r="A10143">
        <v>4230</v>
      </c>
      <c r="B10143">
        <v>50</v>
      </c>
      <c r="C10143" t="s">
        <v>946</v>
      </c>
      <c r="D10143" t="s">
        <v>1031</v>
      </c>
      <c r="E10143" t="s">
        <v>274</v>
      </c>
      <c r="F10143" t="s">
        <v>948</v>
      </c>
      <c r="G10143">
        <v>5099999</v>
      </c>
      <c r="H10143">
        <v>401042</v>
      </c>
      <c r="I10143" t="s">
        <v>949</v>
      </c>
    </row>
    <row r="10144" spans="1:9" x14ac:dyDescent="0.25">
      <c r="A10144">
        <v>4230</v>
      </c>
      <c r="B10144">
        <v>50</v>
      </c>
      <c r="C10144" t="s">
        <v>946</v>
      </c>
      <c r="D10144" t="s">
        <v>1031</v>
      </c>
      <c r="E10144" t="s">
        <v>104</v>
      </c>
      <c r="F10144" t="s">
        <v>948</v>
      </c>
      <c r="G10144">
        <v>5099999</v>
      </c>
      <c r="H10144">
        <v>401042</v>
      </c>
      <c r="I10144" t="s">
        <v>949</v>
      </c>
    </row>
    <row r="10145" spans="1:9" x14ac:dyDescent="0.25">
      <c r="A10145">
        <v>4230</v>
      </c>
      <c r="B10145">
        <v>50</v>
      </c>
      <c r="C10145" t="s">
        <v>946</v>
      </c>
      <c r="D10145" t="s">
        <v>1031</v>
      </c>
      <c r="E10145" t="s">
        <v>278</v>
      </c>
      <c r="F10145" t="s">
        <v>948</v>
      </c>
      <c r="G10145">
        <v>5099999</v>
      </c>
      <c r="H10145">
        <v>401052</v>
      </c>
      <c r="I10145" t="s">
        <v>949</v>
      </c>
    </row>
    <row r="10146" spans="1:9" x14ac:dyDescent="0.25">
      <c r="A10146">
        <v>4230</v>
      </c>
      <c r="B10146">
        <v>50</v>
      </c>
      <c r="C10146" t="s">
        <v>946</v>
      </c>
      <c r="D10146" t="s">
        <v>1031</v>
      </c>
      <c r="E10146" t="s">
        <v>282</v>
      </c>
      <c r="F10146" t="s">
        <v>948</v>
      </c>
      <c r="G10146">
        <v>5099999</v>
      </c>
      <c r="H10146">
        <v>401042</v>
      </c>
      <c r="I10146" t="s">
        <v>949</v>
      </c>
    </row>
    <row r="10147" spans="1:9" x14ac:dyDescent="0.25">
      <c r="A10147">
        <v>4230</v>
      </c>
      <c r="B10147">
        <v>50</v>
      </c>
      <c r="C10147" t="s">
        <v>946</v>
      </c>
      <c r="D10147" t="s">
        <v>1031</v>
      </c>
      <c r="E10147" t="s">
        <v>286</v>
      </c>
      <c r="F10147" t="s">
        <v>948</v>
      </c>
      <c r="G10147">
        <v>5099999</v>
      </c>
      <c r="H10147">
        <v>401032</v>
      </c>
      <c r="I10147" t="s">
        <v>949</v>
      </c>
    </row>
    <row r="10148" spans="1:9" x14ac:dyDescent="0.25">
      <c r="A10148">
        <v>4230</v>
      </c>
      <c r="B10148">
        <v>50</v>
      </c>
      <c r="C10148" t="s">
        <v>946</v>
      </c>
      <c r="D10148" t="s">
        <v>1031</v>
      </c>
      <c r="E10148" t="s">
        <v>290</v>
      </c>
      <c r="F10148" t="s">
        <v>948</v>
      </c>
      <c r="G10148">
        <v>5099999</v>
      </c>
      <c r="H10148">
        <v>401042</v>
      </c>
      <c r="I10148" t="s">
        <v>949</v>
      </c>
    </row>
    <row r="10149" spans="1:9" x14ac:dyDescent="0.25">
      <c r="A10149">
        <v>4230</v>
      </c>
      <c r="B10149">
        <v>50</v>
      </c>
      <c r="C10149" t="s">
        <v>946</v>
      </c>
      <c r="D10149" t="s">
        <v>1031</v>
      </c>
      <c r="E10149" t="s">
        <v>294</v>
      </c>
      <c r="F10149" t="s">
        <v>948</v>
      </c>
      <c r="G10149">
        <v>5099999</v>
      </c>
      <c r="H10149">
        <v>401042</v>
      </c>
      <c r="I10149" t="s">
        <v>949</v>
      </c>
    </row>
    <row r="10150" spans="1:9" x14ac:dyDescent="0.25">
      <c r="A10150">
        <v>4230</v>
      </c>
      <c r="B10150">
        <v>50</v>
      </c>
      <c r="C10150" t="s">
        <v>946</v>
      </c>
      <c r="D10150" t="s">
        <v>1031</v>
      </c>
      <c r="E10150" t="s">
        <v>298</v>
      </c>
      <c r="F10150" t="s">
        <v>948</v>
      </c>
      <c r="G10150">
        <v>5099999</v>
      </c>
      <c r="H10150">
        <v>402082</v>
      </c>
      <c r="I10150" t="s">
        <v>949</v>
      </c>
    </row>
    <row r="10151" spans="1:9" x14ac:dyDescent="0.25">
      <c r="A10151">
        <v>4230</v>
      </c>
      <c r="B10151">
        <v>50</v>
      </c>
      <c r="C10151" t="s">
        <v>946</v>
      </c>
      <c r="D10151" t="s">
        <v>1031</v>
      </c>
      <c r="E10151" t="s">
        <v>302</v>
      </c>
      <c r="F10151" t="s">
        <v>948</v>
      </c>
      <c r="G10151">
        <v>5099999</v>
      </c>
      <c r="H10151">
        <v>401902</v>
      </c>
      <c r="I10151" t="s">
        <v>949</v>
      </c>
    </row>
    <row r="10152" spans="1:9" x14ac:dyDescent="0.25">
      <c r="A10152">
        <v>4230</v>
      </c>
      <c r="B10152">
        <v>50</v>
      </c>
      <c r="C10152" t="s">
        <v>946</v>
      </c>
      <c r="D10152" t="s">
        <v>1031</v>
      </c>
      <c r="E10152" t="s">
        <v>306</v>
      </c>
      <c r="F10152" t="s">
        <v>948</v>
      </c>
      <c r="G10152">
        <v>5099999</v>
      </c>
      <c r="H10152">
        <v>401042</v>
      </c>
      <c r="I10152" t="s">
        <v>949</v>
      </c>
    </row>
    <row r="10153" spans="1:9" x14ac:dyDescent="0.25">
      <c r="A10153">
        <v>4230</v>
      </c>
      <c r="B10153">
        <v>50</v>
      </c>
      <c r="C10153" t="s">
        <v>946</v>
      </c>
      <c r="D10153" t="s">
        <v>1031</v>
      </c>
      <c r="E10153" t="s">
        <v>310</v>
      </c>
      <c r="F10153" t="s">
        <v>948</v>
      </c>
      <c r="G10153">
        <v>5099999</v>
      </c>
      <c r="H10153">
        <v>401012</v>
      </c>
      <c r="I10153" t="s">
        <v>949</v>
      </c>
    </row>
    <row r="10154" spans="1:9" x14ac:dyDescent="0.25">
      <c r="A10154">
        <v>4230</v>
      </c>
      <c r="B10154">
        <v>50</v>
      </c>
      <c r="C10154" t="s">
        <v>946</v>
      </c>
      <c r="D10154" t="s">
        <v>1031</v>
      </c>
      <c r="E10154" t="s">
        <v>314</v>
      </c>
      <c r="F10154" t="s">
        <v>948</v>
      </c>
      <c r="G10154">
        <v>5099999</v>
      </c>
      <c r="H10154">
        <v>401062</v>
      </c>
      <c r="I10154" t="s">
        <v>949</v>
      </c>
    </row>
    <row r="10155" spans="1:9" x14ac:dyDescent="0.25">
      <c r="A10155">
        <v>4141</v>
      </c>
      <c r="B10155">
        <v>50</v>
      </c>
      <c r="C10155" t="s">
        <v>946</v>
      </c>
      <c r="D10155" t="s">
        <v>1059</v>
      </c>
      <c r="E10155" t="s">
        <v>49</v>
      </c>
      <c r="F10155" t="s">
        <v>948</v>
      </c>
      <c r="G10155">
        <v>5077777</v>
      </c>
      <c r="H10155">
        <v>501010</v>
      </c>
      <c r="I10155" t="s">
        <v>949</v>
      </c>
    </row>
    <row r="10156" spans="1:9" x14ac:dyDescent="0.25">
      <c r="A10156">
        <v>4220</v>
      </c>
      <c r="B10156">
        <v>50</v>
      </c>
      <c r="C10156" t="s">
        <v>946</v>
      </c>
      <c r="D10156" t="s">
        <v>1059</v>
      </c>
      <c r="E10156" t="s">
        <v>49</v>
      </c>
      <c r="F10156" t="s">
        <v>948</v>
      </c>
      <c r="G10156">
        <v>5077777</v>
      </c>
      <c r="H10156">
        <v>501010</v>
      </c>
      <c r="I10156" t="s">
        <v>949</v>
      </c>
    </row>
    <row r="10157" spans="1:9" x14ac:dyDescent="0.25">
      <c r="A10157">
        <v>4240</v>
      </c>
      <c r="B10157">
        <v>50</v>
      </c>
      <c r="C10157" t="s">
        <v>946</v>
      </c>
      <c r="D10157" t="s">
        <v>1059</v>
      </c>
      <c r="E10157" t="s">
        <v>49</v>
      </c>
      <c r="F10157" t="s">
        <v>948</v>
      </c>
      <c r="G10157">
        <v>5000000</v>
      </c>
      <c r="H10157">
        <v>145200</v>
      </c>
      <c r="I10157" t="s">
        <v>1034</v>
      </c>
    </row>
    <row r="10158" spans="1:9" x14ac:dyDescent="0.25">
      <c r="A10158">
        <v>4250</v>
      </c>
      <c r="B10158">
        <v>50</v>
      </c>
      <c r="C10158" t="s">
        <v>946</v>
      </c>
      <c r="D10158" t="s">
        <v>1059</v>
      </c>
      <c r="E10158" t="s">
        <v>49</v>
      </c>
      <c r="F10158" t="s">
        <v>948</v>
      </c>
      <c r="G10158">
        <v>5000000</v>
      </c>
      <c r="H10158">
        <v>130305</v>
      </c>
      <c r="I10158" t="s">
        <v>949</v>
      </c>
    </row>
    <row r="10159" spans="1:9" x14ac:dyDescent="0.25">
      <c r="A10159">
        <v>4230</v>
      </c>
      <c r="B10159">
        <v>50</v>
      </c>
      <c r="C10159" t="s">
        <v>946</v>
      </c>
      <c r="D10159" t="s">
        <v>1059</v>
      </c>
      <c r="E10159" t="s">
        <v>243</v>
      </c>
      <c r="F10159" t="s">
        <v>948</v>
      </c>
      <c r="G10159">
        <v>5099999</v>
      </c>
      <c r="H10159">
        <v>401052</v>
      </c>
      <c r="I10159" t="s">
        <v>949</v>
      </c>
    </row>
    <row r="10160" spans="1:9" x14ac:dyDescent="0.25">
      <c r="A10160">
        <v>4230</v>
      </c>
      <c r="B10160">
        <v>50</v>
      </c>
      <c r="C10160" t="s">
        <v>946</v>
      </c>
      <c r="D10160" t="s">
        <v>1059</v>
      </c>
      <c r="E10160" t="s">
        <v>247</v>
      </c>
      <c r="F10160" t="s">
        <v>948</v>
      </c>
      <c r="G10160">
        <v>5099999</v>
      </c>
      <c r="H10160">
        <v>401022</v>
      </c>
      <c r="I10160" t="s">
        <v>949</v>
      </c>
    </row>
    <row r="10161" spans="1:9" x14ac:dyDescent="0.25">
      <c r="A10161">
        <v>4230</v>
      </c>
      <c r="B10161">
        <v>50</v>
      </c>
      <c r="C10161" t="s">
        <v>946</v>
      </c>
      <c r="D10161" t="s">
        <v>1059</v>
      </c>
      <c r="E10161" t="s">
        <v>251</v>
      </c>
      <c r="F10161" t="s">
        <v>948</v>
      </c>
      <c r="G10161">
        <v>5099999</v>
      </c>
      <c r="H10161">
        <v>401042</v>
      </c>
      <c r="I10161" t="s">
        <v>949</v>
      </c>
    </row>
    <row r="10162" spans="1:9" x14ac:dyDescent="0.25">
      <c r="A10162">
        <v>4230</v>
      </c>
      <c r="B10162">
        <v>50</v>
      </c>
      <c r="C10162" t="s">
        <v>946</v>
      </c>
      <c r="D10162" t="s">
        <v>1059</v>
      </c>
      <c r="E10162" t="s">
        <v>255</v>
      </c>
      <c r="F10162" t="s">
        <v>948</v>
      </c>
      <c r="G10162">
        <v>5099999</v>
      </c>
      <c r="H10162">
        <v>401072</v>
      </c>
      <c r="I10162" t="s">
        <v>949</v>
      </c>
    </row>
    <row r="10163" spans="1:9" x14ac:dyDescent="0.25">
      <c r="A10163">
        <v>4230</v>
      </c>
      <c r="B10163">
        <v>50</v>
      </c>
      <c r="C10163" t="s">
        <v>946</v>
      </c>
      <c r="D10163" t="s">
        <v>1059</v>
      </c>
      <c r="E10163" t="s">
        <v>259</v>
      </c>
      <c r="F10163" t="s">
        <v>948</v>
      </c>
      <c r="G10163">
        <v>5099999</v>
      </c>
      <c r="H10163">
        <v>409002</v>
      </c>
      <c r="I10163" t="s">
        <v>949</v>
      </c>
    </row>
    <row r="10164" spans="1:9" x14ac:dyDescent="0.25">
      <c r="A10164">
        <v>4230</v>
      </c>
      <c r="B10164">
        <v>50</v>
      </c>
      <c r="C10164" t="s">
        <v>946</v>
      </c>
      <c r="D10164" t="s">
        <v>1059</v>
      </c>
      <c r="E10164" t="s">
        <v>263</v>
      </c>
      <c r="F10164" t="s">
        <v>948</v>
      </c>
      <c r="G10164">
        <v>5099999</v>
      </c>
      <c r="H10164">
        <v>401042</v>
      </c>
      <c r="I10164" t="s">
        <v>949</v>
      </c>
    </row>
    <row r="10165" spans="1:9" x14ac:dyDescent="0.25">
      <c r="A10165">
        <v>4230</v>
      </c>
      <c r="B10165">
        <v>50</v>
      </c>
      <c r="C10165" t="s">
        <v>946</v>
      </c>
      <c r="D10165" t="s">
        <v>1059</v>
      </c>
      <c r="E10165" t="s">
        <v>100</v>
      </c>
      <c r="F10165" t="s">
        <v>948</v>
      </c>
      <c r="G10165">
        <v>5099999</v>
      </c>
      <c r="H10165">
        <v>401042</v>
      </c>
      <c r="I10165" t="s">
        <v>949</v>
      </c>
    </row>
    <row r="10166" spans="1:9" x14ac:dyDescent="0.25">
      <c r="A10166">
        <v>4230</v>
      </c>
      <c r="B10166">
        <v>50</v>
      </c>
      <c r="C10166" t="s">
        <v>946</v>
      </c>
      <c r="D10166" t="s">
        <v>1059</v>
      </c>
      <c r="E10166" t="s">
        <v>270</v>
      </c>
      <c r="F10166" t="s">
        <v>948</v>
      </c>
      <c r="G10166">
        <v>5099999</v>
      </c>
      <c r="H10166">
        <v>401062</v>
      </c>
      <c r="I10166" t="s">
        <v>949</v>
      </c>
    </row>
    <row r="10167" spans="1:9" x14ac:dyDescent="0.25">
      <c r="A10167">
        <v>4230</v>
      </c>
      <c r="B10167">
        <v>50</v>
      </c>
      <c r="C10167" t="s">
        <v>946</v>
      </c>
      <c r="D10167" t="s">
        <v>1059</v>
      </c>
      <c r="E10167" t="s">
        <v>274</v>
      </c>
      <c r="F10167" t="s">
        <v>948</v>
      </c>
      <c r="G10167">
        <v>5099999</v>
      </c>
      <c r="H10167">
        <v>401042</v>
      </c>
      <c r="I10167" t="s">
        <v>949</v>
      </c>
    </row>
    <row r="10168" spans="1:9" x14ac:dyDescent="0.25">
      <c r="A10168">
        <v>4230</v>
      </c>
      <c r="B10168">
        <v>50</v>
      </c>
      <c r="C10168" t="s">
        <v>946</v>
      </c>
      <c r="D10168" t="s">
        <v>1059</v>
      </c>
      <c r="E10168" t="s">
        <v>104</v>
      </c>
      <c r="F10168" t="s">
        <v>948</v>
      </c>
      <c r="G10168">
        <v>5099999</v>
      </c>
      <c r="H10168">
        <v>401042</v>
      </c>
      <c r="I10168" t="s">
        <v>949</v>
      </c>
    </row>
    <row r="10169" spans="1:9" x14ac:dyDescent="0.25">
      <c r="A10169">
        <v>4230</v>
      </c>
      <c r="B10169">
        <v>50</v>
      </c>
      <c r="C10169" t="s">
        <v>946</v>
      </c>
      <c r="D10169" t="s">
        <v>1059</v>
      </c>
      <c r="E10169" t="s">
        <v>278</v>
      </c>
      <c r="F10169" t="s">
        <v>948</v>
      </c>
      <c r="G10169">
        <v>5099999</v>
      </c>
      <c r="H10169">
        <v>401052</v>
      </c>
      <c r="I10169" t="s">
        <v>949</v>
      </c>
    </row>
    <row r="10170" spans="1:9" x14ac:dyDescent="0.25">
      <c r="A10170">
        <v>4230</v>
      </c>
      <c r="B10170">
        <v>50</v>
      </c>
      <c r="C10170" t="s">
        <v>946</v>
      </c>
      <c r="D10170" t="s">
        <v>1059</v>
      </c>
      <c r="E10170" t="s">
        <v>282</v>
      </c>
      <c r="F10170" t="s">
        <v>948</v>
      </c>
      <c r="G10170">
        <v>5099999</v>
      </c>
      <c r="H10170">
        <v>401042</v>
      </c>
      <c r="I10170" t="s">
        <v>949</v>
      </c>
    </row>
    <row r="10171" spans="1:9" x14ac:dyDescent="0.25">
      <c r="A10171">
        <v>4230</v>
      </c>
      <c r="B10171">
        <v>50</v>
      </c>
      <c r="C10171" t="s">
        <v>946</v>
      </c>
      <c r="D10171" t="s">
        <v>1059</v>
      </c>
      <c r="E10171" t="s">
        <v>286</v>
      </c>
      <c r="F10171" t="s">
        <v>948</v>
      </c>
      <c r="G10171">
        <v>5099999</v>
      </c>
      <c r="H10171">
        <v>401032</v>
      </c>
      <c r="I10171" t="s">
        <v>949</v>
      </c>
    </row>
    <row r="10172" spans="1:9" x14ac:dyDescent="0.25">
      <c r="A10172">
        <v>4230</v>
      </c>
      <c r="B10172">
        <v>50</v>
      </c>
      <c r="C10172" t="s">
        <v>946</v>
      </c>
      <c r="D10172" t="s">
        <v>1059</v>
      </c>
      <c r="E10172" t="s">
        <v>290</v>
      </c>
      <c r="F10172" t="s">
        <v>948</v>
      </c>
      <c r="G10172">
        <v>5099999</v>
      </c>
      <c r="H10172">
        <v>401042</v>
      </c>
      <c r="I10172" t="s">
        <v>949</v>
      </c>
    </row>
    <row r="10173" spans="1:9" x14ac:dyDescent="0.25">
      <c r="A10173">
        <v>4230</v>
      </c>
      <c r="B10173">
        <v>50</v>
      </c>
      <c r="C10173" t="s">
        <v>946</v>
      </c>
      <c r="D10173" t="s">
        <v>1059</v>
      </c>
      <c r="E10173" t="s">
        <v>294</v>
      </c>
      <c r="F10173" t="s">
        <v>948</v>
      </c>
      <c r="G10173">
        <v>5099999</v>
      </c>
      <c r="H10173">
        <v>401042</v>
      </c>
      <c r="I10173" t="s">
        <v>949</v>
      </c>
    </row>
    <row r="10174" spans="1:9" x14ac:dyDescent="0.25">
      <c r="A10174">
        <v>4230</v>
      </c>
      <c r="B10174">
        <v>50</v>
      </c>
      <c r="C10174" t="s">
        <v>946</v>
      </c>
      <c r="D10174" t="s">
        <v>1059</v>
      </c>
      <c r="E10174" t="s">
        <v>298</v>
      </c>
      <c r="F10174" t="s">
        <v>948</v>
      </c>
      <c r="G10174">
        <v>5099999</v>
      </c>
      <c r="H10174">
        <v>402082</v>
      </c>
      <c r="I10174" t="s">
        <v>949</v>
      </c>
    </row>
    <row r="10175" spans="1:9" x14ac:dyDescent="0.25">
      <c r="A10175">
        <v>4230</v>
      </c>
      <c r="B10175">
        <v>50</v>
      </c>
      <c r="C10175" t="s">
        <v>946</v>
      </c>
      <c r="D10175" t="s">
        <v>1059</v>
      </c>
      <c r="E10175" t="s">
        <v>302</v>
      </c>
      <c r="F10175" t="s">
        <v>948</v>
      </c>
      <c r="G10175">
        <v>5099999</v>
      </c>
      <c r="H10175">
        <v>401902</v>
      </c>
      <c r="I10175" t="s">
        <v>949</v>
      </c>
    </row>
    <row r="10176" spans="1:9" x14ac:dyDescent="0.25">
      <c r="A10176">
        <v>4230</v>
      </c>
      <c r="B10176">
        <v>50</v>
      </c>
      <c r="C10176" t="s">
        <v>946</v>
      </c>
      <c r="D10176" t="s">
        <v>1059</v>
      </c>
      <c r="E10176" t="s">
        <v>306</v>
      </c>
      <c r="F10176" t="s">
        <v>948</v>
      </c>
      <c r="G10176">
        <v>5099999</v>
      </c>
      <c r="H10176">
        <v>401042</v>
      </c>
      <c r="I10176" t="s">
        <v>949</v>
      </c>
    </row>
    <row r="10177" spans="1:9" x14ac:dyDescent="0.25">
      <c r="A10177">
        <v>4230</v>
      </c>
      <c r="B10177">
        <v>50</v>
      </c>
      <c r="C10177" t="s">
        <v>946</v>
      </c>
      <c r="D10177" t="s">
        <v>1059</v>
      </c>
      <c r="E10177" t="s">
        <v>310</v>
      </c>
      <c r="F10177" t="s">
        <v>948</v>
      </c>
      <c r="G10177">
        <v>5099999</v>
      </c>
      <c r="H10177">
        <v>401012</v>
      </c>
      <c r="I10177" t="s">
        <v>949</v>
      </c>
    </row>
    <row r="10178" spans="1:9" x14ac:dyDescent="0.25">
      <c r="A10178">
        <v>4230</v>
      </c>
      <c r="B10178">
        <v>50</v>
      </c>
      <c r="C10178" t="s">
        <v>946</v>
      </c>
      <c r="D10178" t="s">
        <v>1059</v>
      </c>
      <c r="E10178" t="s">
        <v>314</v>
      </c>
      <c r="F10178" t="s">
        <v>948</v>
      </c>
      <c r="G10178">
        <v>5099999</v>
      </c>
      <c r="H10178">
        <v>401062</v>
      </c>
      <c r="I10178" t="s">
        <v>949</v>
      </c>
    </row>
    <row r="10179" spans="1:9" x14ac:dyDescent="0.25">
      <c r="A10179">
        <v>4141</v>
      </c>
      <c r="B10179">
        <v>50</v>
      </c>
      <c r="C10179" t="s">
        <v>946</v>
      </c>
      <c r="D10179" t="s">
        <v>1060</v>
      </c>
      <c r="E10179" t="s">
        <v>49</v>
      </c>
      <c r="F10179" t="s">
        <v>948</v>
      </c>
      <c r="G10179">
        <v>5077777</v>
      </c>
      <c r="H10179">
        <v>501010</v>
      </c>
      <c r="I10179">
        <v>51</v>
      </c>
    </row>
    <row r="10180" spans="1:9" x14ac:dyDescent="0.25">
      <c r="A10180">
        <v>4220</v>
      </c>
      <c r="B10180">
        <v>50</v>
      </c>
      <c r="C10180" t="s">
        <v>946</v>
      </c>
      <c r="D10180" t="s">
        <v>1060</v>
      </c>
      <c r="E10180" t="s">
        <v>49</v>
      </c>
      <c r="F10180" t="s">
        <v>948</v>
      </c>
      <c r="G10180">
        <v>5077777</v>
      </c>
      <c r="H10180">
        <v>501010</v>
      </c>
      <c r="I10180">
        <v>51</v>
      </c>
    </row>
    <row r="10181" spans="1:9" x14ac:dyDescent="0.25">
      <c r="A10181">
        <v>4240</v>
      </c>
      <c r="B10181">
        <v>50</v>
      </c>
      <c r="C10181" t="s">
        <v>946</v>
      </c>
      <c r="D10181" t="s">
        <v>1060</v>
      </c>
      <c r="E10181" t="s">
        <v>49</v>
      </c>
      <c r="F10181" t="s">
        <v>948</v>
      </c>
      <c r="G10181">
        <v>5000000</v>
      </c>
      <c r="H10181">
        <v>145000</v>
      </c>
      <c r="I10181" t="s">
        <v>949</v>
      </c>
    </row>
    <row r="10182" spans="1:9" x14ac:dyDescent="0.25">
      <c r="A10182">
        <v>4230</v>
      </c>
      <c r="B10182">
        <v>50</v>
      </c>
      <c r="C10182" t="s">
        <v>946</v>
      </c>
      <c r="D10182" t="s">
        <v>1060</v>
      </c>
      <c r="E10182" t="s">
        <v>243</v>
      </c>
      <c r="F10182" t="s">
        <v>948</v>
      </c>
      <c r="G10182">
        <v>5099999</v>
      </c>
      <c r="H10182">
        <v>401055</v>
      </c>
      <c r="I10182">
        <v>51</v>
      </c>
    </row>
    <row r="10183" spans="1:9" x14ac:dyDescent="0.25">
      <c r="A10183">
        <v>4230</v>
      </c>
      <c r="B10183">
        <v>50</v>
      </c>
      <c r="C10183" t="s">
        <v>946</v>
      </c>
      <c r="D10183" t="s">
        <v>1060</v>
      </c>
      <c r="E10183" t="s">
        <v>247</v>
      </c>
      <c r="F10183" t="s">
        <v>948</v>
      </c>
      <c r="G10183">
        <v>5099999</v>
      </c>
      <c r="H10183">
        <v>401025</v>
      </c>
      <c r="I10183">
        <v>51</v>
      </c>
    </row>
    <row r="10184" spans="1:9" x14ac:dyDescent="0.25">
      <c r="A10184">
        <v>4230</v>
      </c>
      <c r="B10184">
        <v>50</v>
      </c>
      <c r="C10184" t="s">
        <v>946</v>
      </c>
      <c r="D10184" t="s">
        <v>1060</v>
      </c>
      <c r="E10184" t="s">
        <v>251</v>
      </c>
      <c r="F10184" t="s">
        <v>948</v>
      </c>
      <c r="G10184">
        <v>5099999</v>
      </c>
      <c r="H10184">
        <v>401045</v>
      </c>
      <c r="I10184">
        <v>51</v>
      </c>
    </row>
    <row r="10185" spans="1:9" x14ac:dyDescent="0.25">
      <c r="A10185">
        <v>4230</v>
      </c>
      <c r="B10185">
        <v>50</v>
      </c>
      <c r="C10185" t="s">
        <v>946</v>
      </c>
      <c r="D10185" t="s">
        <v>1060</v>
      </c>
      <c r="E10185" t="s">
        <v>255</v>
      </c>
      <c r="F10185" t="s">
        <v>948</v>
      </c>
      <c r="G10185">
        <v>5099999</v>
      </c>
      <c r="H10185">
        <v>401075</v>
      </c>
      <c r="I10185">
        <v>51</v>
      </c>
    </row>
    <row r="10186" spans="1:9" x14ac:dyDescent="0.25">
      <c r="A10186">
        <v>4230</v>
      </c>
      <c r="B10186">
        <v>50</v>
      </c>
      <c r="C10186" t="s">
        <v>946</v>
      </c>
      <c r="D10186" t="s">
        <v>1060</v>
      </c>
      <c r="E10186" t="s">
        <v>259</v>
      </c>
      <c r="F10186" t="s">
        <v>948</v>
      </c>
      <c r="G10186">
        <v>5099999</v>
      </c>
      <c r="H10186">
        <v>409005</v>
      </c>
      <c r="I10186">
        <v>51</v>
      </c>
    </row>
    <row r="10187" spans="1:9" x14ac:dyDescent="0.25">
      <c r="A10187">
        <v>4230</v>
      </c>
      <c r="B10187">
        <v>50</v>
      </c>
      <c r="C10187" t="s">
        <v>946</v>
      </c>
      <c r="D10187" t="s">
        <v>1060</v>
      </c>
      <c r="E10187" t="s">
        <v>263</v>
      </c>
      <c r="F10187" t="s">
        <v>948</v>
      </c>
      <c r="G10187">
        <v>5099999</v>
      </c>
      <c r="H10187">
        <v>401045</v>
      </c>
      <c r="I10187">
        <v>51</v>
      </c>
    </row>
    <row r="10188" spans="1:9" x14ac:dyDescent="0.25">
      <c r="A10188">
        <v>4230</v>
      </c>
      <c r="B10188">
        <v>50</v>
      </c>
      <c r="C10188" t="s">
        <v>946</v>
      </c>
      <c r="D10188" t="s">
        <v>1060</v>
      </c>
      <c r="E10188" t="s">
        <v>100</v>
      </c>
      <c r="F10188" t="s">
        <v>948</v>
      </c>
      <c r="G10188">
        <v>5099999</v>
      </c>
      <c r="H10188">
        <v>401045</v>
      </c>
      <c r="I10188">
        <v>51</v>
      </c>
    </row>
    <row r="10189" spans="1:9" x14ac:dyDescent="0.25">
      <c r="A10189">
        <v>4230</v>
      </c>
      <c r="B10189">
        <v>50</v>
      </c>
      <c r="C10189" t="s">
        <v>946</v>
      </c>
      <c r="D10189" t="s">
        <v>1060</v>
      </c>
      <c r="E10189" t="s">
        <v>270</v>
      </c>
      <c r="F10189" t="s">
        <v>948</v>
      </c>
      <c r="G10189">
        <v>5099999</v>
      </c>
      <c r="H10189">
        <v>401065</v>
      </c>
      <c r="I10189">
        <v>51</v>
      </c>
    </row>
    <row r="10190" spans="1:9" x14ac:dyDescent="0.25">
      <c r="A10190">
        <v>4230</v>
      </c>
      <c r="B10190">
        <v>50</v>
      </c>
      <c r="C10190" t="s">
        <v>946</v>
      </c>
      <c r="D10190" t="s">
        <v>1060</v>
      </c>
      <c r="E10190" t="s">
        <v>274</v>
      </c>
      <c r="F10190" t="s">
        <v>948</v>
      </c>
      <c r="G10190">
        <v>5099999</v>
      </c>
      <c r="H10190">
        <v>401045</v>
      </c>
      <c r="I10190">
        <v>51</v>
      </c>
    </row>
    <row r="10191" spans="1:9" x14ac:dyDescent="0.25">
      <c r="A10191">
        <v>4230</v>
      </c>
      <c r="B10191">
        <v>50</v>
      </c>
      <c r="C10191" t="s">
        <v>946</v>
      </c>
      <c r="D10191" t="s">
        <v>1060</v>
      </c>
      <c r="E10191" t="s">
        <v>104</v>
      </c>
      <c r="F10191" t="s">
        <v>948</v>
      </c>
      <c r="G10191">
        <v>5099999</v>
      </c>
      <c r="H10191">
        <v>401045</v>
      </c>
      <c r="I10191">
        <v>51</v>
      </c>
    </row>
    <row r="10192" spans="1:9" x14ac:dyDescent="0.25">
      <c r="A10192">
        <v>4230</v>
      </c>
      <c r="B10192">
        <v>50</v>
      </c>
      <c r="C10192" t="s">
        <v>946</v>
      </c>
      <c r="D10192" t="s">
        <v>1060</v>
      </c>
      <c r="E10192" t="s">
        <v>278</v>
      </c>
      <c r="F10192" t="s">
        <v>948</v>
      </c>
      <c r="G10192">
        <v>5099999</v>
      </c>
      <c r="H10192">
        <v>401055</v>
      </c>
      <c r="I10192">
        <v>51</v>
      </c>
    </row>
    <row r="10193" spans="1:9" x14ac:dyDescent="0.25">
      <c r="A10193">
        <v>4230</v>
      </c>
      <c r="B10193">
        <v>50</v>
      </c>
      <c r="C10193" t="s">
        <v>946</v>
      </c>
      <c r="D10193" t="s">
        <v>1060</v>
      </c>
      <c r="E10193" t="s">
        <v>282</v>
      </c>
      <c r="F10193" t="s">
        <v>948</v>
      </c>
      <c r="G10193">
        <v>5099999</v>
      </c>
      <c r="H10193">
        <v>401045</v>
      </c>
      <c r="I10193">
        <v>51</v>
      </c>
    </row>
    <row r="10194" spans="1:9" x14ac:dyDescent="0.25">
      <c r="A10194">
        <v>4230</v>
      </c>
      <c r="B10194">
        <v>50</v>
      </c>
      <c r="C10194" t="s">
        <v>946</v>
      </c>
      <c r="D10194" t="s">
        <v>1060</v>
      </c>
      <c r="E10194" t="s">
        <v>286</v>
      </c>
      <c r="F10194" t="s">
        <v>948</v>
      </c>
      <c r="G10194">
        <v>5099999</v>
      </c>
      <c r="H10194">
        <v>401035</v>
      </c>
      <c r="I10194">
        <v>51</v>
      </c>
    </row>
    <row r="10195" spans="1:9" x14ac:dyDescent="0.25">
      <c r="A10195">
        <v>4230</v>
      </c>
      <c r="B10195">
        <v>50</v>
      </c>
      <c r="C10195" t="s">
        <v>946</v>
      </c>
      <c r="D10195" t="s">
        <v>1060</v>
      </c>
      <c r="E10195" t="s">
        <v>290</v>
      </c>
      <c r="F10195" t="s">
        <v>948</v>
      </c>
      <c r="G10195">
        <v>5099999</v>
      </c>
      <c r="H10195">
        <v>401045</v>
      </c>
      <c r="I10195">
        <v>51</v>
      </c>
    </row>
    <row r="10196" spans="1:9" x14ac:dyDescent="0.25">
      <c r="A10196">
        <v>4230</v>
      </c>
      <c r="B10196">
        <v>50</v>
      </c>
      <c r="C10196" t="s">
        <v>946</v>
      </c>
      <c r="D10196" t="s">
        <v>1060</v>
      </c>
      <c r="E10196" t="s">
        <v>294</v>
      </c>
      <c r="F10196" t="s">
        <v>948</v>
      </c>
      <c r="G10196">
        <v>5099999</v>
      </c>
      <c r="H10196">
        <v>401045</v>
      </c>
      <c r="I10196">
        <v>51</v>
      </c>
    </row>
    <row r="10197" spans="1:9" x14ac:dyDescent="0.25">
      <c r="A10197">
        <v>4230</v>
      </c>
      <c r="B10197">
        <v>50</v>
      </c>
      <c r="C10197" t="s">
        <v>946</v>
      </c>
      <c r="D10197" t="s">
        <v>1060</v>
      </c>
      <c r="E10197" t="s">
        <v>298</v>
      </c>
      <c r="F10197" t="s">
        <v>948</v>
      </c>
      <c r="G10197">
        <v>5099999</v>
      </c>
      <c r="H10197">
        <v>402085</v>
      </c>
      <c r="I10197">
        <v>51</v>
      </c>
    </row>
    <row r="10198" spans="1:9" x14ac:dyDescent="0.25">
      <c r="A10198">
        <v>4230</v>
      </c>
      <c r="B10198">
        <v>50</v>
      </c>
      <c r="C10198" t="s">
        <v>946</v>
      </c>
      <c r="D10198" t="s">
        <v>1060</v>
      </c>
      <c r="E10198" t="s">
        <v>302</v>
      </c>
      <c r="F10198" t="s">
        <v>948</v>
      </c>
      <c r="G10198">
        <v>5099999</v>
      </c>
      <c r="H10198">
        <v>401905</v>
      </c>
      <c r="I10198">
        <v>51</v>
      </c>
    </row>
    <row r="10199" spans="1:9" x14ac:dyDescent="0.25">
      <c r="A10199">
        <v>4230</v>
      </c>
      <c r="B10199">
        <v>50</v>
      </c>
      <c r="C10199" t="s">
        <v>946</v>
      </c>
      <c r="D10199" t="s">
        <v>1060</v>
      </c>
      <c r="E10199" t="s">
        <v>306</v>
      </c>
      <c r="F10199" t="s">
        <v>948</v>
      </c>
      <c r="G10199">
        <v>5099999</v>
      </c>
      <c r="H10199">
        <v>401045</v>
      </c>
      <c r="I10199">
        <v>51</v>
      </c>
    </row>
    <row r="10200" spans="1:9" x14ac:dyDescent="0.25">
      <c r="A10200">
        <v>4230</v>
      </c>
      <c r="B10200">
        <v>50</v>
      </c>
      <c r="C10200" t="s">
        <v>946</v>
      </c>
      <c r="D10200" t="s">
        <v>1060</v>
      </c>
      <c r="E10200" t="s">
        <v>310</v>
      </c>
      <c r="F10200" t="s">
        <v>948</v>
      </c>
      <c r="G10200">
        <v>5099999</v>
      </c>
      <c r="H10200">
        <v>401015</v>
      </c>
      <c r="I10200">
        <v>51</v>
      </c>
    </row>
    <row r="10201" spans="1:9" x14ac:dyDescent="0.25">
      <c r="A10201">
        <v>4230</v>
      </c>
      <c r="B10201">
        <v>50</v>
      </c>
      <c r="C10201" t="s">
        <v>946</v>
      </c>
      <c r="D10201" t="s">
        <v>1060</v>
      </c>
      <c r="E10201" t="s">
        <v>314</v>
      </c>
      <c r="F10201" t="s">
        <v>948</v>
      </c>
      <c r="G10201">
        <v>5099999</v>
      </c>
      <c r="H10201">
        <v>401065</v>
      </c>
      <c r="I10201">
        <v>51</v>
      </c>
    </row>
    <row r="10202" spans="1:9" x14ac:dyDescent="0.25">
      <c r="A10202">
        <v>4141</v>
      </c>
      <c r="B10202">
        <v>50</v>
      </c>
      <c r="C10202" t="s">
        <v>946</v>
      </c>
      <c r="D10202" t="s">
        <v>1036</v>
      </c>
      <c r="E10202" t="s">
        <v>49</v>
      </c>
      <c r="F10202" t="s">
        <v>948</v>
      </c>
      <c r="G10202">
        <v>5001505</v>
      </c>
      <c r="H10202">
        <v>700255</v>
      </c>
      <c r="I10202" t="s">
        <v>949</v>
      </c>
    </row>
    <row r="10203" spans="1:9" x14ac:dyDescent="0.25">
      <c r="A10203">
        <v>4220</v>
      </c>
      <c r="B10203">
        <v>50</v>
      </c>
      <c r="C10203" t="s">
        <v>946</v>
      </c>
      <c r="D10203" t="s">
        <v>1036</v>
      </c>
      <c r="E10203" t="s">
        <v>49</v>
      </c>
      <c r="F10203" t="s">
        <v>948</v>
      </c>
      <c r="G10203">
        <v>5001505</v>
      </c>
      <c r="H10203">
        <v>700255</v>
      </c>
      <c r="I10203" t="s">
        <v>949</v>
      </c>
    </row>
    <row r="10204" spans="1:9" x14ac:dyDescent="0.25">
      <c r="A10204">
        <v>4230</v>
      </c>
      <c r="B10204">
        <v>50</v>
      </c>
      <c r="C10204" t="s">
        <v>946</v>
      </c>
      <c r="D10204" t="s">
        <v>1036</v>
      </c>
      <c r="E10204" t="s">
        <v>49</v>
      </c>
      <c r="F10204" t="s">
        <v>948</v>
      </c>
      <c r="G10204">
        <v>5001505</v>
      </c>
      <c r="H10204">
        <v>700255</v>
      </c>
      <c r="I10204" t="s">
        <v>949</v>
      </c>
    </row>
    <row r="10205" spans="1:9" x14ac:dyDescent="0.25">
      <c r="A10205">
        <v>4240</v>
      </c>
      <c r="B10205">
        <v>50</v>
      </c>
      <c r="C10205" t="s">
        <v>946</v>
      </c>
      <c r="D10205" t="s">
        <v>1036</v>
      </c>
      <c r="E10205" t="s">
        <v>49</v>
      </c>
      <c r="F10205" t="s">
        <v>948</v>
      </c>
      <c r="G10205">
        <v>5000000</v>
      </c>
      <c r="H10205">
        <v>145000</v>
      </c>
      <c r="I10205" t="s">
        <v>949</v>
      </c>
    </row>
    <row r="10206" spans="1:9" x14ac:dyDescent="0.25">
      <c r="A10206">
        <v>4141</v>
      </c>
      <c r="B10206">
        <v>50</v>
      </c>
      <c r="C10206" t="s">
        <v>946</v>
      </c>
      <c r="D10206" t="s">
        <v>1038</v>
      </c>
      <c r="E10206" t="s">
        <v>49</v>
      </c>
      <c r="F10206" t="s">
        <v>948</v>
      </c>
      <c r="G10206">
        <v>5077777</v>
      </c>
      <c r="H10206">
        <v>501010</v>
      </c>
      <c r="I10206" t="s">
        <v>949</v>
      </c>
    </row>
    <row r="10207" spans="1:9" x14ac:dyDescent="0.25">
      <c r="A10207">
        <v>4220</v>
      </c>
      <c r="B10207">
        <v>50</v>
      </c>
      <c r="C10207" t="s">
        <v>946</v>
      </c>
      <c r="D10207" t="s">
        <v>1038</v>
      </c>
      <c r="E10207" t="s">
        <v>49</v>
      </c>
      <c r="F10207" t="s">
        <v>948</v>
      </c>
      <c r="G10207">
        <v>5077777</v>
      </c>
      <c r="H10207">
        <v>501010</v>
      </c>
      <c r="I10207" t="s">
        <v>949</v>
      </c>
    </row>
    <row r="10208" spans="1:9" x14ac:dyDescent="0.25">
      <c r="A10208">
        <v>4240</v>
      </c>
      <c r="B10208">
        <v>50</v>
      </c>
      <c r="C10208" t="s">
        <v>946</v>
      </c>
      <c r="D10208" t="s">
        <v>1038</v>
      </c>
      <c r="E10208" t="s">
        <v>49</v>
      </c>
      <c r="F10208" t="s">
        <v>948</v>
      </c>
      <c r="G10208">
        <v>5000000</v>
      </c>
      <c r="H10208">
        <v>145000</v>
      </c>
      <c r="I10208" t="s">
        <v>949</v>
      </c>
    </row>
    <row r="10209" spans="1:9" x14ac:dyDescent="0.25">
      <c r="A10209">
        <v>4250</v>
      </c>
      <c r="B10209">
        <v>50</v>
      </c>
      <c r="C10209" t="s">
        <v>946</v>
      </c>
      <c r="D10209" t="s">
        <v>1038</v>
      </c>
      <c r="E10209" t="s">
        <v>49</v>
      </c>
      <c r="F10209" t="s">
        <v>948</v>
      </c>
      <c r="G10209">
        <v>5000000</v>
      </c>
      <c r="H10209">
        <v>130305</v>
      </c>
      <c r="I10209" t="s">
        <v>949</v>
      </c>
    </row>
    <row r="10210" spans="1:9" x14ac:dyDescent="0.25">
      <c r="A10210">
        <v>4270</v>
      </c>
      <c r="B10210">
        <v>50</v>
      </c>
      <c r="C10210" t="s">
        <v>946</v>
      </c>
      <c r="D10210" t="s">
        <v>1038</v>
      </c>
      <c r="E10210" t="s">
        <v>49</v>
      </c>
      <c r="F10210" t="s">
        <v>948</v>
      </c>
      <c r="G10210">
        <v>5077777</v>
      </c>
      <c r="H10210">
        <v>500220</v>
      </c>
      <c r="I10210" t="s">
        <v>949</v>
      </c>
    </row>
    <row r="10211" spans="1:9" x14ac:dyDescent="0.25">
      <c r="A10211">
        <v>4230</v>
      </c>
      <c r="B10211">
        <v>50</v>
      </c>
      <c r="C10211" t="s">
        <v>946</v>
      </c>
      <c r="D10211" t="s">
        <v>1038</v>
      </c>
      <c r="E10211" t="s">
        <v>243</v>
      </c>
      <c r="F10211" t="s">
        <v>948</v>
      </c>
      <c r="G10211">
        <v>5099999</v>
      </c>
      <c r="H10211">
        <v>401052</v>
      </c>
      <c r="I10211" t="s">
        <v>949</v>
      </c>
    </row>
    <row r="10212" spans="1:9" x14ac:dyDescent="0.25">
      <c r="A10212">
        <v>4230</v>
      </c>
      <c r="B10212">
        <v>50</v>
      </c>
      <c r="C10212" t="s">
        <v>946</v>
      </c>
      <c r="D10212" t="s">
        <v>1038</v>
      </c>
      <c r="E10212" t="s">
        <v>247</v>
      </c>
      <c r="F10212" t="s">
        <v>948</v>
      </c>
      <c r="G10212">
        <v>5099999</v>
      </c>
      <c r="H10212">
        <v>401022</v>
      </c>
      <c r="I10212" t="s">
        <v>949</v>
      </c>
    </row>
    <row r="10213" spans="1:9" x14ac:dyDescent="0.25">
      <c r="A10213">
        <v>4230</v>
      </c>
      <c r="B10213">
        <v>50</v>
      </c>
      <c r="C10213" t="s">
        <v>946</v>
      </c>
      <c r="D10213" t="s">
        <v>1038</v>
      </c>
      <c r="E10213" t="s">
        <v>251</v>
      </c>
      <c r="F10213" t="s">
        <v>948</v>
      </c>
      <c r="G10213">
        <v>5099999</v>
      </c>
      <c r="H10213">
        <v>401042</v>
      </c>
      <c r="I10213" t="s">
        <v>949</v>
      </c>
    </row>
    <row r="10214" spans="1:9" x14ac:dyDescent="0.25">
      <c r="A10214">
        <v>4230</v>
      </c>
      <c r="B10214">
        <v>50</v>
      </c>
      <c r="C10214" t="s">
        <v>946</v>
      </c>
      <c r="D10214" t="s">
        <v>1038</v>
      </c>
      <c r="E10214" t="s">
        <v>255</v>
      </c>
      <c r="F10214" t="s">
        <v>948</v>
      </c>
      <c r="G10214">
        <v>5099999</v>
      </c>
      <c r="H10214">
        <v>401072</v>
      </c>
      <c r="I10214" t="s">
        <v>949</v>
      </c>
    </row>
    <row r="10215" spans="1:9" x14ac:dyDescent="0.25">
      <c r="A10215">
        <v>4230</v>
      </c>
      <c r="B10215">
        <v>50</v>
      </c>
      <c r="C10215" t="s">
        <v>946</v>
      </c>
      <c r="D10215" t="s">
        <v>1038</v>
      </c>
      <c r="E10215" t="s">
        <v>259</v>
      </c>
      <c r="F10215" t="s">
        <v>948</v>
      </c>
      <c r="G10215">
        <v>5099999</v>
      </c>
      <c r="H10215">
        <v>409002</v>
      </c>
      <c r="I10215" t="s">
        <v>949</v>
      </c>
    </row>
    <row r="10216" spans="1:9" x14ac:dyDescent="0.25">
      <c r="A10216">
        <v>4230</v>
      </c>
      <c r="B10216">
        <v>50</v>
      </c>
      <c r="C10216" t="s">
        <v>946</v>
      </c>
      <c r="D10216" t="s">
        <v>1038</v>
      </c>
      <c r="E10216" t="s">
        <v>263</v>
      </c>
      <c r="F10216" t="s">
        <v>948</v>
      </c>
      <c r="G10216">
        <v>5099999</v>
      </c>
      <c r="H10216">
        <v>401042</v>
      </c>
      <c r="I10216" t="s">
        <v>949</v>
      </c>
    </row>
    <row r="10217" spans="1:9" x14ac:dyDescent="0.25">
      <c r="A10217">
        <v>4230</v>
      </c>
      <c r="B10217">
        <v>50</v>
      </c>
      <c r="C10217" t="s">
        <v>946</v>
      </c>
      <c r="D10217" t="s">
        <v>1038</v>
      </c>
      <c r="E10217" t="s">
        <v>100</v>
      </c>
      <c r="F10217" t="s">
        <v>948</v>
      </c>
      <c r="G10217">
        <v>5099999</v>
      </c>
      <c r="H10217">
        <v>401042</v>
      </c>
      <c r="I10217" t="s">
        <v>949</v>
      </c>
    </row>
    <row r="10218" spans="1:9" x14ac:dyDescent="0.25">
      <c r="A10218">
        <v>4230</v>
      </c>
      <c r="B10218">
        <v>50</v>
      </c>
      <c r="C10218" t="s">
        <v>946</v>
      </c>
      <c r="D10218" t="s">
        <v>1038</v>
      </c>
      <c r="E10218" t="s">
        <v>270</v>
      </c>
      <c r="F10218" t="s">
        <v>948</v>
      </c>
      <c r="G10218">
        <v>5099999</v>
      </c>
      <c r="H10218">
        <v>401062</v>
      </c>
      <c r="I10218" t="s">
        <v>949</v>
      </c>
    </row>
    <row r="10219" spans="1:9" x14ac:dyDescent="0.25">
      <c r="A10219">
        <v>4230</v>
      </c>
      <c r="B10219">
        <v>50</v>
      </c>
      <c r="C10219" t="s">
        <v>946</v>
      </c>
      <c r="D10219" t="s">
        <v>1038</v>
      </c>
      <c r="E10219" t="s">
        <v>274</v>
      </c>
      <c r="F10219" t="s">
        <v>948</v>
      </c>
      <c r="G10219">
        <v>5099999</v>
      </c>
      <c r="H10219">
        <v>401042</v>
      </c>
      <c r="I10219" t="s">
        <v>949</v>
      </c>
    </row>
    <row r="10220" spans="1:9" x14ac:dyDescent="0.25">
      <c r="A10220">
        <v>4230</v>
      </c>
      <c r="B10220">
        <v>50</v>
      </c>
      <c r="C10220" t="s">
        <v>946</v>
      </c>
      <c r="D10220" t="s">
        <v>1038</v>
      </c>
      <c r="E10220" t="s">
        <v>104</v>
      </c>
      <c r="F10220" t="s">
        <v>948</v>
      </c>
      <c r="G10220">
        <v>5099999</v>
      </c>
      <c r="H10220">
        <v>401042</v>
      </c>
      <c r="I10220" t="s">
        <v>949</v>
      </c>
    </row>
    <row r="10221" spans="1:9" x14ac:dyDescent="0.25">
      <c r="A10221">
        <v>4230</v>
      </c>
      <c r="B10221">
        <v>50</v>
      </c>
      <c r="C10221" t="s">
        <v>946</v>
      </c>
      <c r="D10221" t="s">
        <v>1038</v>
      </c>
      <c r="E10221" t="s">
        <v>278</v>
      </c>
      <c r="F10221" t="s">
        <v>948</v>
      </c>
      <c r="G10221">
        <v>5099999</v>
      </c>
      <c r="H10221">
        <v>401052</v>
      </c>
      <c r="I10221" t="s">
        <v>949</v>
      </c>
    </row>
    <row r="10222" spans="1:9" x14ac:dyDescent="0.25">
      <c r="A10222">
        <v>4230</v>
      </c>
      <c r="B10222">
        <v>50</v>
      </c>
      <c r="C10222" t="s">
        <v>946</v>
      </c>
      <c r="D10222" t="s">
        <v>1038</v>
      </c>
      <c r="E10222" t="s">
        <v>282</v>
      </c>
      <c r="F10222" t="s">
        <v>948</v>
      </c>
      <c r="G10222">
        <v>5099999</v>
      </c>
      <c r="H10222">
        <v>401042</v>
      </c>
      <c r="I10222" t="s">
        <v>949</v>
      </c>
    </row>
    <row r="10223" spans="1:9" x14ac:dyDescent="0.25">
      <c r="A10223">
        <v>4230</v>
      </c>
      <c r="B10223">
        <v>50</v>
      </c>
      <c r="C10223" t="s">
        <v>946</v>
      </c>
      <c r="D10223" t="s">
        <v>1038</v>
      </c>
      <c r="E10223" t="s">
        <v>286</v>
      </c>
      <c r="F10223" t="s">
        <v>948</v>
      </c>
      <c r="G10223">
        <v>5099999</v>
      </c>
      <c r="H10223">
        <v>401032</v>
      </c>
      <c r="I10223" t="s">
        <v>949</v>
      </c>
    </row>
    <row r="10224" spans="1:9" x14ac:dyDescent="0.25">
      <c r="A10224">
        <v>4230</v>
      </c>
      <c r="B10224">
        <v>50</v>
      </c>
      <c r="C10224" t="s">
        <v>946</v>
      </c>
      <c r="D10224" t="s">
        <v>1038</v>
      </c>
      <c r="E10224" t="s">
        <v>290</v>
      </c>
      <c r="F10224" t="s">
        <v>948</v>
      </c>
      <c r="G10224">
        <v>5099999</v>
      </c>
      <c r="H10224">
        <v>401042</v>
      </c>
      <c r="I10224" t="s">
        <v>949</v>
      </c>
    </row>
    <row r="10225" spans="1:9" x14ac:dyDescent="0.25">
      <c r="A10225">
        <v>4230</v>
      </c>
      <c r="B10225">
        <v>50</v>
      </c>
      <c r="C10225" t="s">
        <v>946</v>
      </c>
      <c r="D10225" t="s">
        <v>1038</v>
      </c>
      <c r="E10225" t="s">
        <v>294</v>
      </c>
      <c r="F10225" t="s">
        <v>948</v>
      </c>
      <c r="G10225">
        <v>5099999</v>
      </c>
      <c r="H10225">
        <v>401042</v>
      </c>
      <c r="I10225" t="s">
        <v>949</v>
      </c>
    </row>
    <row r="10226" spans="1:9" x14ac:dyDescent="0.25">
      <c r="A10226">
        <v>4230</v>
      </c>
      <c r="B10226">
        <v>50</v>
      </c>
      <c r="C10226" t="s">
        <v>946</v>
      </c>
      <c r="D10226" t="s">
        <v>1038</v>
      </c>
      <c r="E10226" t="s">
        <v>298</v>
      </c>
      <c r="F10226" t="s">
        <v>948</v>
      </c>
      <c r="G10226">
        <v>5099999</v>
      </c>
      <c r="H10226">
        <v>402082</v>
      </c>
      <c r="I10226" t="s">
        <v>949</v>
      </c>
    </row>
    <row r="10227" spans="1:9" x14ac:dyDescent="0.25">
      <c r="A10227">
        <v>4230</v>
      </c>
      <c r="B10227">
        <v>50</v>
      </c>
      <c r="C10227" t="s">
        <v>946</v>
      </c>
      <c r="D10227" t="s">
        <v>1038</v>
      </c>
      <c r="E10227" t="s">
        <v>302</v>
      </c>
      <c r="F10227" t="s">
        <v>948</v>
      </c>
      <c r="G10227">
        <v>5099999</v>
      </c>
      <c r="H10227">
        <v>401902</v>
      </c>
      <c r="I10227" t="s">
        <v>949</v>
      </c>
    </row>
    <row r="10228" spans="1:9" x14ac:dyDescent="0.25">
      <c r="A10228">
        <v>4230</v>
      </c>
      <c r="B10228">
        <v>50</v>
      </c>
      <c r="C10228" t="s">
        <v>946</v>
      </c>
      <c r="D10228" t="s">
        <v>1038</v>
      </c>
      <c r="E10228" t="s">
        <v>306</v>
      </c>
      <c r="F10228" t="s">
        <v>948</v>
      </c>
      <c r="G10228">
        <v>5099999</v>
      </c>
      <c r="H10228">
        <v>401042</v>
      </c>
      <c r="I10228" t="s">
        <v>949</v>
      </c>
    </row>
    <row r="10229" spans="1:9" x14ac:dyDescent="0.25">
      <c r="A10229">
        <v>4230</v>
      </c>
      <c r="B10229">
        <v>50</v>
      </c>
      <c r="C10229" t="s">
        <v>946</v>
      </c>
      <c r="D10229" t="s">
        <v>1038</v>
      </c>
      <c r="E10229" t="s">
        <v>310</v>
      </c>
      <c r="F10229" t="s">
        <v>948</v>
      </c>
      <c r="G10229">
        <v>5099999</v>
      </c>
      <c r="H10229">
        <v>401012</v>
      </c>
      <c r="I10229" t="s">
        <v>949</v>
      </c>
    </row>
    <row r="10230" spans="1:9" x14ac:dyDescent="0.25">
      <c r="A10230">
        <v>4230</v>
      </c>
      <c r="B10230">
        <v>50</v>
      </c>
      <c r="C10230" t="s">
        <v>946</v>
      </c>
      <c r="D10230" t="s">
        <v>1038</v>
      </c>
      <c r="E10230" t="s">
        <v>314</v>
      </c>
      <c r="F10230" t="s">
        <v>948</v>
      </c>
      <c r="G10230">
        <v>5099999</v>
      </c>
      <c r="H10230">
        <v>401062</v>
      </c>
      <c r="I10230" t="s">
        <v>949</v>
      </c>
    </row>
    <row r="10231" spans="1:9" x14ac:dyDescent="0.25">
      <c r="A10231">
        <v>4141</v>
      </c>
      <c r="B10231">
        <v>50</v>
      </c>
      <c r="C10231" t="s">
        <v>946</v>
      </c>
      <c r="D10231" t="s">
        <v>144</v>
      </c>
      <c r="E10231" t="s">
        <v>49</v>
      </c>
      <c r="F10231" t="s">
        <v>948</v>
      </c>
      <c r="G10231">
        <v>5077777</v>
      </c>
      <c r="H10231">
        <v>500220</v>
      </c>
      <c r="I10231" t="s">
        <v>949</v>
      </c>
    </row>
    <row r="10232" ht="22" customHeight="1" spans="1:10" x14ac:dyDescent="0.25">
      <c r="A10232" s="41">
        <v>4220</v>
      </c>
      <c r="B10232" s="41">
        <v>50</v>
      </c>
      <c r="C10232" s="41" t="s">
        <v>946</v>
      </c>
      <c r="D10232" s="41" t="s">
        <v>144</v>
      </c>
      <c r="E10232" s="41" t="s">
        <v>49</v>
      </c>
      <c r="F10232" s="41" t="s">
        <v>948</v>
      </c>
      <c r="G10232" s="41">
        <v>5077777</v>
      </c>
      <c r="H10232" s="41">
        <v>500220</v>
      </c>
      <c r="I10232" s="41" t="s">
        <v>949</v>
      </c>
      <c r="J10232" s="42" t="s">
        <v>1061</v>
      </c>
    </row>
    <row r="10233" spans="1:9" x14ac:dyDescent="0.25">
      <c r="A10233">
        <v>4230</v>
      </c>
      <c r="B10233">
        <v>50</v>
      </c>
      <c r="C10233" t="s">
        <v>946</v>
      </c>
      <c r="D10233" t="s">
        <v>144</v>
      </c>
      <c r="E10233" t="s">
        <v>49</v>
      </c>
      <c r="F10233" t="s">
        <v>948</v>
      </c>
      <c r="G10233">
        <v>5077777</v>
      </c>
      <c r="H10233">
        <v>500220</v>
      </c>
      <c r="I10233" t="s">
        <v>949</v>
      </c>
    </row>
    <row r="10234" spans="1:9" x14ac:dyDescent="0.25">
      <c r="A10234">
        <v>4245</v>
      </c>
      <c r="B10234">
        <v>50</v>
      </c>
      <c r="C10234" t="s">
        <v>946</v>
      </c>
      <c r="D10234" t="s">
        <v>144</v>
      </c>
      <c r="E10234" t="s">
        <v>49</v>
      </c>
      <c r="F10234" t="s">
        <v>948</v>
      </c>
      <c r="G10234">
        <v>5077777</v>
      </c>
      <c r="H10234">
        <v>500220</v>
      </c>
      <c r="I10234" t="s">
        <v>949</v>
      </c>
    </row>
    <row r="10235" spans="1:9" x14ac:dyDescent="0.25">
      <c r="A10235">
        <v>4240</v>
      </c>
      <c r="B10235">
        <v>50</v>
      </c>
      <c r="C10235" t="s">
        <v>946</v>
      </c>
      <c r="D10235" t="s">
        <v>144</v>
      </c>
      <c r="E10235" t="s">
        <v>243</v>
      </c>
      <c r="F10235" t="s">
        <v>948</v>
      </c>
      <c r="G10235">
        <v>5000000</v>
      </c>
      <c r="H10235">
        <v>145000</v>
      </c>
      <c r="I10235" t="s">
        <v>949</v>
      </c>
    </row>
    <row r="10236" spans="1:9" x14ac:dyDescent="0.25">
      <c r="A10236">
        <v>4240</v>
      </c>
      <c r="B10236">
        <v>50</v>
      </c>
      <c r="C10236" t="s">
        <v>946</v>
      </c>
      <c r="D10236" t="s">
        <v>144</v>
      </c>
      <c r="E10236" t="s">
        <v>247</v>
      </c>
      <c r="F10236" t="s">
        <v>948</v>
      </c>
      <c r="G10236">
        <v>5000000</v>
      </c>
      <c r="H10236">
        <v>145000</v>
      </c>
      <c r="I10236" t="s">
        <v>949</v>
      </c>
    </row>
    <row r="10237" spans="1:9" x14ac:dyDescent="0.25">
      <c r="A10237">
        <v>4240</v>
      </c>
      <c r="B10237">
        <v>50</v>
      </c>
      <c r="C10237" t="s">
        <v>946</v>
      </c>
      <c r="D10237" t="s">
        <v>144</v>
      </c>
      <c r="E10237" t="s">
        <v>251</v>
      </c>
      <c r="F10237" t="s">
        <v>948</v>
      </c>
      <c r="G10237">
        <v>5000000</v>
      </c>
      <c r="H10237">
        <v>145000</v>
      </c>
      <c r="I10237" t="s">
        <v>949</v>
      </c>
    </row>
    <row r="10238" spans="1:9" x14ac:dyDescent="0.25">
      <c r="A10238">
        <v>4240</v>
      </c>
      <c r="B10238">
        <v>50</v>
      </c>
      <c r="C10238" t="s">
        <v>946</v>
      </c>
      <c r="D10238" t="s">
        <v>144</v>
      </c>
      <c r="E10238" t="s">
        <v>255</v>
      </c>
      <c r="F10238" t="s">
        <v>948</v>
      </c>
      <c r="G10238">
        <v>5000000</v>
      </c>
      <c r="H10238">
        <v>145000</v>
      </c>
      <c r="I10238" t="s">
        <v>949</v>
      </c>
    </row>
    <row r="10239" spans="1:9" x14ac:dyDescent="0.25">
      <c r="A10239">
        <v>4240</v>
      </c>
      <c r="B10239">
        <v>50</v>
      </c>
      <c r="C10239" t="s">
        <v>946</v>
      </c>
      <c r="D10239" t="s">
        <v>144</v>
      </c>
      <c r="E10239" t="s">
        <v>263</v>
      </c>
      <c r="F10239" t="s">
        <v>948</v>
      </c>
      <c r="G10239">
        <v>5000000</v>
      </c>
      <c r="H10239">
        <v>145000</v>
      </c>
      <c r="I10239" t="s">
        <v>949</v>
      </c>
    </row>
    <row r="10240" ht="22" customHeight="1" spans="1:10" x14ac:dyDescent="0.25">
      <c r="A10240" s="41">
        <v>4240</v>
      </c>
      <c r="B10240" s="41">
        <v>50</v>
      </c>
      <c r="C10240" s="41" t="s">
        <v>946</v>
      </c>
      <c r="D10240" s="41" t="s">
        <v>144</v>
      </c>
      <c r="E10240" s="41" t="s">
        <v>100</v>
      </c>
      <c r="F10240" s="41" t="s">
        <v>948</v>
      </c>
      <c r="G10240" s="41">
        <v>5077777</v>
      </c>
      <c r="H10240" s="41">
        <v>500220</v>
      </c>
      <c r="I10240" s="41" t="s">
        <v>949</v>
      </c>
      <c r="J10240" s="42" t="s">
        <v>1062</v>
      </c>
    </row>
    <row r="10241" spans="1:9" x14ac:dyDescent="0.25">
      <c r="A10241">
        <v>4240</v>
      </c>
      <c r="B10241">
        <v>50</v>
      </c>
      <c r="C10241" t="s">
        <v>946</v>
      </c>
      <c r="D10241" t="s">
        <v>144</v>
      </c>
      <c r="E10241" t="s">
        <v>270</v>
      </c>
      <c r="F10241" t="s">
        <v>948</v>
      </c>
      <c r="G10241">
        <v>5000000</v>
      </c>
      <c r="H10241">
        <v>145000</v>
      </c>
      <c r="I10241" t="s">
        <v>949</v>
      </c>
    </row>
    <row r="10242" spans="1:9" x14ac:dyDescent="0.25">
      <c r="A10242">
        <v>4240</v>
      </c>
      <c r="B10242">
        <v>50</v>
      </c>
      <c r="C10242" t="s">
        <v>946</v>
      </c>
      <c r="D10242" t="s">
        <v>144</v>
      </c>
      <c r="E10242" t="s">
        <v>274</v>
      </c>
      <c r="F10242" t="s">
        <v>948</v>
      </c>
      <c r="G10242">
        <v>5000000</v>
      </c>
      <c r="H10242">
        <v>145000</v>
      </c>
      <c r="I10242" t="s">
        <v>949</v>
      </c>
    </row>
    <row r="10243" ht="22" customHeight="1" spans="1:10" x14ac:dyDescent="0.25">
      <c r="A10243" s="41">
        <v>4240</v>
      </c>
      <c r="B10243" s="41">
        <v>50</v>
      </c>
      <c r="C10243" s="41" t="s">
        <v>946</v>
      </c>
      <c r="D10243" s="41" t="s">
        <v>144</v>
      </c>
      <c r="E10243" s="41" t="s">
        <v>104</v>
      </c>
      <c r="F10243" s="41" t="s">
        <v>948</v>
      </c>
      <c r="G10243" s="41">
        <v>5077777</v>
      </c>
      <c r="H10243" s="41">
        <v>500220</v>
      </c>
      <c r="I10243" s="41" t="s">
        <v>949</v>
      </c>
      <c r="J10243" s="42" t="s">
        <v>1062</v>
      </c>
    </row>
    <row r="10244" spans="1:9" x14ac:dyDescent="0.25">
      <c r="A10244">
        <v>4240</v>
      </c>
      <c r="B10244">
        <v>50</v>
      </c>
      <c r="C10244" t="s">
        <v>946</v>
      </c>
      <c r="D10244" t="s">
        <v>144</v>
      </c>
      <c r="E10244" t="s">
        <v>278</v>
      </c>
      <c r="F10244" t="s">
        <v>948</v>
      </c>
      <c r="G10244">
        <v>5000000</v>
      </c>
      <c r="H10244">
        <v>145000</v>
      </c>
      <c r="I10244" t="s">
        <v>949</v>
      </c>
    </row>
    <row r="10245" spans="1:9" x14ac:dyDescent="0.25">
      <c r="A10245">
        <v>4240</v>
      </c>
      <c r="B10245">
        <v>50</v>
      </c>
      <c r="C10245" t="s">
        <v>946</v>
      </c>
      <c r="D10245" t="s">
        <v>144</v>
      </c>
      <c r="E10245" t="s">
        <v>282</v>
      </c>
      <c r="F10245" t="s">
        <v>948</v>
      </c>
      <c r="G10245">
        <v>5000000</v>
      </c>
      <c r="H10245">
        <v>145000</v>
      </c>
      <c r="I10245" t="s">
        <v>949</v>
      </c>
    </row>
    <row r="10246" spans="1:9" x14ac:dyDescent="0.25">
      <c r="A10246">
        <v>4240</v>
      </c>
      <c r="B10246">
        <v>50</v>
      </c>
      <c r="C10246" t="s">
        <v>946</v>
      </c>
      <c r="D10246" t="s">
        <v>144</v>
      </c>
      <c r="E10246" t="s">
        <v>286</v>
      </c>
      <c r="F10246" t="s">
        <v>948</v>
      </c>
      <c r="G10246">
        <v>5000000</v>
      </c>
      <c r="H10246">
        <v>145000</v>
      </c>
      <c r="I10246" t="s">
        <v>949</v>
      </c>
    </row>
    <row r="10247" spans="1:9" x14ac:dyDescent="0.25">
      <c r="A10247">
        <v>4240</v>
      </c>
      <c r="B10247">
        <v>50</v>
      </c>
      <c r="C10247" t="s">
        <v>946</v>
      </c>
      <c r="D10247" t="s">
        <v>144</v>
      </c>
      <c r="E10247" t="s">
        <v>290</v>
      </c>
      <c r="F10247" t="s">
        <v>948</v>
      </c>
      <c r="G10247">
        <v>5000000</v>
      </c>
      <c r="H10247">
        <v>145000</v>
      </c>
      <c r="I10247" t="s">
        <v>949</v>
      </c>
    </row>
    <row r="10248" spans="1:9" x14ac:dyDescent="0.25">
      <c r="A10248">
        <v>4240</v>
      </c>
      <c r="B10248">
        <v>50</v>
      </c>
      <c r="C10248" t="s">
        <v>946</v>
      </c>
      <c r="D10248" t="s">
        <v>144</v>
      </c>
      <c r="E10248" t="s">
        <v>294</v>
      </c>
      <c r="F10248" t="s">
        <v>948</v>
      </c>
      <c r="G10248">
        <v>5000000</v>
      </c>
      <c r="H10248">
        <v>145000</v>
      </c>
      <c r="I10248" t="s">
        <v>949</v>
      </c>
    </row>
    <row r="10249" spans="1:9" x14ac:dyDescent="0.25">
      <c r="A10249">
        <v>4240</v>
      </c>
      <c r="B10249">
        <v>50</v>
      </c>
      <c r="C10249" t="s">
        <v>946</v>
      </c>
      <c r="D10249" t="s">
        <v>144</v>
      </c>
      <c r="E10249" t="s">
        <v>302</v>
      </c>
      <c r="F10249" t="s">
        <v>948</v>
      </c>
      <c r="G10249">
        <v>5000000</v>
      </c>
      <c r="H10249">
        <v>145000</v>
      </c>
      <c r="I10249" t="s">
        <v>949</v>
      </c>
    </row>
    <row r="10250" spans="1:9" x14ac:dyDescent="0.25">
      <c r="A10250">
        <v>4240</v>
      </c>
      <c r="B10250">
        <v>50</v>
      </c>
      <c r="C10250" t="s">
        <v>946</v>
      </c>
      <c r="D10250" t="s">
        <v>144</v>
      </c>
      <c r="E10250" t="s">
        <v>306</v>
      </c>
      <c r="F10250" t="s">
        <v>948</v>
      </c>
      <c r="G10250">
        <v>5000000</v>
      </c>
      <c r="H10250">
        <v>145000</v>
      </c>
      <c r="I10250" t="s">
        <v>949</v>
      </c>
    </row>
    <row r="10251" ht="22" customHeight="1" spans="1:10" x14ac:dyDescent="0.25">
      <c r="A10251" s="41">
        <v>4240</v>
      </c>
      <c r="B10251" s="41">
        <v>50</v>
      </c>
      <c r="C10251" s="41" t="s">
        <v>946</v>
      </c>
      <c r="D10251" s="41" t="s">
        <v>144</v>
      </c>
      <c r="E10251" s="41" t="s">
        <v>108</v>
      </c>
      <c r="F10251" s="41" t="s">
        <v>948</v>
      </c>
      <c r="G10251" s="41">
        <v>5077777</v>
      </c>
      <c r="H10251" s="41">
        <v>500220</v>
      </c>
      <c r="I10251" s="41" t="s">
        <v>949</v>
      </c>
      <c r="J10251" s="42" t="s">
        <v>1062</v>
      </c>
    </row>
    <row r="10252" spans="1:9" x14ac:dyDescent="0.25">
      <c r="A10252">
        <v>4240</v>
      </c>
      <c r="B10252">
        <v>50</v>
      </c>
      <c r="C10252" t="s">
        <v>946</v>
      </c>
      <c r="D10252" t="s">
        <v>144</v>
      </c>
      <c r="E10252" t="s">
        <v>310</v>
      </c>
      <c r="F10252" t="s">
        <v>948</v>
      </c>
      <c r="G10252">
        <v>5000000</v>
      </c>
      <c r="H10252">
        <v>145000</v>
      </c>
      <c r="I10252" t="s">
        <v>949</v>
      </c>
    </row>
    <row r="10253" spans="1:9" x14ac:dyDescent="0.25">
      <c r="A10253">
        <v>4240</v>
      </c>
      <c r="B10253">
        <v>50</v>
      </c>
      <c r="C10253" t="s">
        <v>946</v>
      </c>
      <c r="D10253" t="s">
        <v>144</v>
      </c>
      <c r="E10253" t="s">
        <v>314</v>
      </c>
      <c r="F10253" t="s">
        <v>948</v>
      </c>
      <c r="G10253">
        <v>5000000</v>
      </c>
      <c r="H10253">
        <v>145000</v>
      </c>
      <c r="I10253" t="s">
        <v>949</v>
      </c>
    </row>
    <row r="10254" ht="22" customHeight="1" spans="1:10" x14ac:dyDescent="0.25">
      <c r="A10254" s="41">
        <v>4240</v>
      </c>
      <c r="B10254" s="41">
        <v>50</v>
      </c>
      <c r="C10254" s="41" t="s">
        <v>946</v>
      </c>
      <c r="D10254" s="41" t="s">
        <v>144</v>
      </c>
      <c r="E10254" s="41" t="s">
        <v>121</v>
      </c>
      <c r="F10254" s="41" t="s">
        <v>948</v>
      </c>
      <c r="G10254" s="41">
        <v>5077777</v>
      </c>
      <c r="H10254" s="41">
        <v>500220</v>
      </c>
      <c r="I10254" s="41" t="s">
        <v>949</v>
      </c>
      <c r="J10254" s="42" t="s">
        <v>1062</v>
      </c>
    </row>
    <row r="10255" spans="1:9" x14ac:dyDescent="0.25">
      <c r="A10255">
        <v>4172</v>
      </c>
      <c r="B10255">
        <v>50</v>
      </c>
      <c r="C10255" t="s">
        <v>946</v>
      </c>
      <c r="D10255" t="s">
        <v>1063</v>
      </c>
      <c r="E10255" t="s">
        <v>49</v>
      </c>
      <c r="F10255" t="s">
        <v>948</v>
      </c>
      <c r="G10255">
        <v>5000000</v>
      </c>
      <c r="H10255">
        <v>145000</v>
      </c>
      <c r="I10255" t="s">
        <v>949</v>
      </c>
    </row>
    <row r="10256" spans="1:9" x14ac:dyDescent="0.25">
      <c r="A10256">
        <v>4174</v>
      </c>
      <c r="B10256">
        <v>50</v>
      </c>
      <c r="C10256" t="s">
        <v>946</v>
      </c>
      <c r="D10256" t="s">
        <v>1063</v>
      </c>
      <c r="E10256" t="s">
        <v>49</v>
      </c>
      <c r="F10256" t="s">
        <v>948</v>
      </c>
      <c r="G10256">
        <v>5077777</v>
      </c>
      <c r="H10256">
        <v>500465</v>
      </c>
      <c r="I10256" t="s">
        <v>949</v>
      </c>
    </row>
    <row r="10257" spans="1:9" x14ac:dyDescent="0.25">
      <c r="A10257">
        <v>4141</v>
      </c>
      <c r="B10257">
        <v>50</v>
      </c>
      <c r="C10257" t="s">
        <v>946</v>
      </c>
      <c r="D10257" t="s">
        <v>1040</v>
      </c>
      <c r="E10257" t="s">
        <v>49</v>
      </c>
      <c r="F10257" t="s">
        <v>948</v>
      </c>
      <c r="G10257">
        <v>5077777</v>
      </c>
      <c r="H10257">
        <v>500460</v>
      </c>
      <c r="I10257" t="s">
        <v>949</v>
      </c>
    </row>
    <row r="10258" spans="1:9" x14ac:dyDescent="0.25">
      <c r="A10258">
        <v>4152</v>
      </c>
      <c r="B10258">
        <v>51</v>
      </c>
      <c r="C10258" t="s">
        <v>946</v>
      </c>
      <c r="D10258">
        <v>99</v>
      </c>
      <c r="E10258" t="s">
        <v>49</v>
      </c>
      <c r="F10258" t="s">
        <v>948</v>
      </c>
      <c r="G10258">
        <v>5100000</v>
      </c>
      <c r="H10258">
        <v>145000</v>
      </c>
      <c r="I10258" t="s">
        <v>949</v>
      </c>
    </row>
    <row r="10259" spans="1:9" x14ac:dyDescent="0.25">
      <c r="A10259">
        <v>4141</v>
      </c>
      <c r="B10259">
        <v>51</v>
      </c>
      <c r="C10259" t="s">
        <v>946</v>
      </c>
      <c r="D10259" t="s">
        <v>1051</v>
      </c>
      <c r="E10259" t="s">
        <v>49</v>
      </c>
      <c r="F10259" t="s">
        <v>948</v>
      </c>
      <c r="G10259">
        <v>5177777</v>
      </c>
      <c r="H10259">
        <v>501010</v>
      </c>
      <c r="I10259">
        <v>51</v>
      </c>
    </row>
    <row r="10260" spans="1:9" x14ac:dyDescent="0.25">
      <c r="A10260">
        <v>4220</v>
      </c>
      <c r="B10260">
        <v>51</v>
      </c>
      <c r="C10260" t="s">
        <v>946</v>
      </c>
      <c r="D10260" t="s">
        <v>1051</v>
      </c>
      <c r="E10260" t="s">
        <v>49</v>
      </c>
      <c r="F10260" t="s">
        <v>948</v>
      </c>
      <c r="G10260">
        <v>5177777</v>
      </c>
      <c r="H10260">
        <v>501010</v>
      </c>
      <c r="I10260">
        <v>51</v>
      </c>
    </row>
    <row r="10261" spans="1:9" x14ac:dyDescent="0.25">
      <c r="A10261">
        <v>4230</v>
      </c>
      <c r="B10261">
        <v>51</v>
      </c>
      <c r="C10261" t="s">
        <v>946</v>
      </c>
      <c r="D10261" t="s">
        <v>1051</v>
      </c>
      <c r="E10261" t="s">
        <v>49</v>
      </c>
      <c r="F10261" t="s">
        <v>948</v>
      </c>
      <c r="G10261">
        <v>5199999</v>
      </c>
      <c r="H10261">
        <v>403055</v>
      </c>
      <c r="I10261">
        <v>51</v>
      </c>
    </row>
    <row r="10262" spans="1:9" x14ac:dyDescent="0.25">
      <c r="A10262">
        <v>4240</v>
      </c>
      <c r="B10262">
        <v>51</v>
      </c>
      <c r="C10262" t="s">
        <v>946</v>
      </c>
      <c r="D10262" t="s">
        <v>1051</v>
      </c>
      <c r="E10262" t="s">
        <v>49</v>
      </c>
      <c r="F10262" t="s">
        <v>948</v>
      </c>
      <c r="G10262">
        <v>5100000</v>
      </c>
      <c r="H10262">
        <v>145000</v>
      </c>
      <c r="I10262" t="s">
        <v>949</v>
      </c>
    </row>
    <row r="10263" spans="1:9" x14ac:dyDescent="0.25">
      <c r="A10263">
        <v>4250</v>
      </c>
      <c r="B10263">
        <v>51</v>
      </c>
      <c r="C10263" t="s">
        <v>946</v>
      </c>
      <c r="D10263" t="s">
        <v>1051</v>
      </c>
      <c r="E10263" t="s">
        <v>49</v>
      </c>
      <c r="F10263" t="s">
        <v>948</v>
      </c>
      <c r="G10263">
        <v>5100000</v>
      </c>
      <c r="H10263">
        <v>130305</v>
      </c>
      <c r="I10263" t="s">
        <v>949</v>
      </c>
    </row>
    <row r="10264" spans="1:9" x14ac:dyDescent="0.25">
      <c r="A10264">
        <v>4141</v>
      </c>
      <c r="B10264">
        <v>51</v>
      </c>
      <c r="C10264" t="s">
        <v>946</v>
      </c>
      <c r="D10264" t="s">
        <v>992</v>
      </c>
      <c r="E10264" t="s">
        <v>49</v>
      </c>
      <c r="F10264" t="s">
        <v>948</v>
      </c>
      <c r="G10264">
        <v>5177777</v>
      </c>
      <c r="H10264">
        <v>501010</v>
      </c>
      <c r="I10264" t="s">
        <v>949</v>
      </c>
    </row>
    <row r="10265" spans="1:9" x14ac:dyDescent="0.25">
      <c r="A10265">
        <v>4220</v>
      </c>
      <c r="B10265">
        <v>51</v>
      </c>
      <c r="C10265" t="s">
        <v>946</v>
      </c>
      <c r="D10265" t="s">
        <v>992</v>
      </c>
      <c r="E10265" t="s">
        <v>49</v>
      </c>
      <c r="F10265" t="s">
        <v>948</v>
      </c>
      <c r="G10265">
        <v>5177777</v>
      </c>
      <c r="H10265">
        <v>501010</v>
      </c>
      <c r="I10265" t="s">
        <v>949</v>
      </c>
    </row>
    <row r="10266" spans="1:9" x14ac:dyDescent="0.25">
      <c r="A10266">
        <v>4240</v>
      </c>
      <c r="B10266">
        <v>51</v>
      </c>
      <c r="C10266" t="s">
        <v>946</v>
      </c>
      <c r="D10266" t="s">
        <v>992</v>
      </c>
      <c r="E10266" t="s">
        <v>49</v>
      </c>
      <c r="F10266" t="s">
        <v>948</v>
      </c>
      <c r="G10266">
        <v>5100000</v>
      </c>
      <c r="H10266">
        <v>145000</v>
      </c>
      <c r="I10266" t="s">
        <v>949</v>
      </c>
    </row>
    <row r="10267" spans="1:9" x14ac:dyDescent="0.25">
      <c r="A10267">
        <v>4250</v>
      </c>
      <c r="B10267">
        <v>51</v>
      </c>
      <c r="C10267" t="s">
        <v>946</v>
      </c>
      <c r="D10267" t="s">
        <v>992</v>
      </c>
      <c r="E10267" t="s">
        <v>49</v>
      </c>
      <c r="F10267" t="s">
        <v>948</v>
      </c>
      <c r="G10267">
        <v>5100000</v>
      </c>
      <c r="H10267">
        <v>130305</v>
      </c>
      <c r="I10267" t="s">
        <v>949</v>
      </c>
    </row>
    <row r="10268" spans="1:9" x14ac:dyDescent="0.25">
      <c r="A10268">
        <v>4230</v>
      </c>
      <c r="B10268">
        <v>51</v>
      </c>
      <c r="C10268" t="s">
        <v>946</v>
      </c>
      <c r="D10268" t="s">
        <v>992</v>
      </c>
      <c r="E10268" t="s">
        <v>243</v>
      </c>
      <c r="F10268" t="s">
        <v>948</v>
      </c>
      <c r="G10268">
        <v>5199999</v>
      </c>
      <c r="H10268">
        <v>403052</v>
      </c>
      <c r="I10268" t="s">
        <v>949</v>
      </c>
    </row>
    <row r="10269" spans="1:9" x14ac:dyDescent="0.25">
      <c r="A10269">
        <v>4230</v>
      </c>
      <c r="B10269">
        <v>51</v>
      </c>
      <c r="C10269" t="s">
        <v>946</v>
      </c>
      <c r="D10269" t="s">
        <v>992</v>
      </c>
      <c r="E10269" t="s">
        <v>247</v>
      </c>
      <c r="F10269" t="s">
        <v>948</v>
      </c>
      <c r="G10269">
        <v>5199999</v>
      </c>
      <c r="H10269">
        <v>403022</v>
      </c>
      <c r="I10269" t="s">
        <v>949</v>
      </c>
    </row>
    <row r="10270" spans="1:9" x14ac:dyDescent="0.25">
      <c r="A10270">
        <v>4230</v>
      </c>
      <c r="B10270">
        <v>51</v>
      </c>
      <c r="C10270" t="s">
        <v>946</v>
      </c>
      <c r="D10270" t="s">
        <v>992</v>
      </c>
      <c r="E10270" t="s">
        <v>251</v>
      </c>
      <c r="F10270" t="s">
        <v>948</v>
      </c>
      <c r="G10270">
        <v>5199999</v>
      </c>
      <c r="H10270">
        <v>403042</v>
      </c>
      <c r="I10270" t="s">
        <v>949</v>
      </c>
    </row>
    <row r="10271" spans="1:9" x14ac:dyDescent="0.25">
      <c r="A10271">
        <v>4230</v>
      </c>
      <c r="B10271">
        <v>51</v>
      </c>
      <c r="C10271" t="s">
        <v>946</v>
      </c>
      <c r="D10271" t="s">
        <v>992</v>
      </c>
      <c r="E10271" t="s">
        <v>255</v>
      </c>
      <c r="F10271" t="s">
        <v>948</v>
      </c>
      <c r="G10271">
        <v>5199999</v>
      </c>
      <c r="H10271">
        <v>403072</v>
      </c>
      <c r="I10271" t="s">
        <v>949</v>
      </c>
    </row>
    <row r="10272" spans="1:9" x14ac:dyDescent="0.25">
      <c r="A10272">
        <v>4230</v>
      </c>
      <c r="B10272">
        <v>51</v>
      </c>
      <c r="C10272" t="s">
        <v>946</v>
      </c>
      <c r="D10272" t="s">
        <v>992</v>
      </c>
      <c r="E10272" t="s">
        <v>259</v>
      </c>
      <c r="F10272" t="s">
        <v>948</v>
      </c>
      <c r="G10272">
        <v>5199999</v>
      </c>
      <c r="H10272">
        <v>409002</v>
      </c>
      <c r="I10272" t="s">
        <v>949</v>
      </c>
    </row>
    <row r="10273" spans="1:9" x14ac:dyDescent="0.25">
      <c r="A10273">
        <v>4230</v>
      </c>
      <c r="B10273">
        <v>51</v>
      </c>
      <c r="C10273" t="s">
        <v>946</v>
      </c>
      <c r="D10273" t="s">
        <v>992</v>
      </c>
      <c r="E10273" t="s">
        <v>263</v>
      </c>
      <c r="F10273" t="s">
        <v>948</v>
      </c>
      <c r="G10273">
        <v>5199999</v>
      </c>
      <c r="H10273">
        <v>403042</v>
      </c>
      <c r="I10273" t="s">
        <v>949</v>
      </c>
    </row>
    <row r="10274" spans="1:9" x14ac:dyDescent="0.25">
      <c r="A10274">
        <v>4230</v>
      </c>
      <c r="B10274">
        <v>51</v>
      </c>
      <c r="C10274" t="s">
        <v>946</v>
      </c>
      <c r="D10274" t="s">
        <v>992</v>
      </c>
      <c r="E10274" t="s">
        <v>100</v>
      </c>
      <c r="F10274" t="s">
        <v>948</v>
      </c>
      <c r="G10274">
        <v>5199999</v>
      </c>
      <c r="H10274">
        <v>401042</v>
      </c>
      <c r="I10274" t="s">
        <v>949</v>
      </c>
    </row>
    <row r="10275" spans="1:9" x14ac:dyDescent="0.25">
      <c r="A10275">
        <v>4230</v>
      </c>
      <c r="B10275">
        <v>51</v>
      </c>
      <c r="C10275" t="s">
        <v>946</v>
      </c>
      <c r="D10275" t="s">
        <v>992</v>
      </c>
      <c r="E10275" t="s">
        <v>987</v>
      </c>
      <c r="F10275" t="s">
        <v>948</v>
      </c>
      <c r="G10275">
        <v>5199999</v>
      </c>
      <c r="H10275">
        <v>740150</v>
      </c>
      <c r="I10275" t="s">
        <v>949</v>
      </c>
    </row>
    <row r="10276" spans="1:9" x14ac:dyDescent="0.25">
      <c r="A10276">
        <v>4230</v>
      </c>
      <c r="B10276">
        <v>51</v>
      </c>
      <c r="C10276" t="s">
        <v>946</v>
      </c>
      <c r="D10276" t="s">
        <v>992</v>
      </c>
      <c r="E10276" t="s">
        <v>270</v>
      </c>
      <c r="F10276" t="s">
        <v>948</v>
      </c>
      <c r="G10276">
        <v>5199999</v>
      </c>
      <c r="H10276">
        <v>403062</v>
      </c>
      <c r="I10276" t="s">
        <v>949</v>
      </c>
    </row>
    <row r="10277" spans="1:9" x14ac:dyDescent="0.25">
      <c r="A10277">
        <v>4230</v>
      </c>
      <c r="B10277">
        <v>51</v>
      </c>
      <c r="C10277" t="s">
        <v>946</v>
      </c>
      <c r="D10277" t="s">
        <v>992</v>
      </c>
      <c r="E10277" t="s">
        <v>274</v>
      </c>
      <c r="F10277" t="s">
        <v>948</v>
      </c>
      <c r="G10277">
        <v>5199999</v>
      </c>
      <c r="H10277">
        <v>403042</v>
      </c>
      <c r="I10277" t="s">
        <v>949</v>
      </c>
    </row>
    <row r="10278" spans="1:9" x14ac:dyDescent="0.25">
      <c r="A10278">
        <v>4230</v>
      </c>
      <c r="B10278">
        <v>51</v>
      </c>
      <c r="C10278" t="s">
        <v>946</v>
      </c>
      <c r="D10278" t="s">
        <v>992</v>
      </c>
      <c r="E10278" t="s">
        <v>278</v>
      </c>
      <c r="F10278" t="s">
        <v>948</v>
      </c>
      <c r="G10278">
        <v>5199999</v>
      </c>
      <c r="H10278">
        <v>403052</v>
      </c>
      <c r="I10278" t="s">
        <v>949</v>
      </c>
    </row>
    <row r="10279" spans="1:9" x14ac:dyDescent="0.25">
      <c r="A10279">
        <v>4230</v>
      </c>
      <c r="B10279">
        <v>51</v>
      </c>
      <c r="C10279" t="s">
        <v>946</v>
      </c>
      <c r="D10279" t="s">
        <v>992</v>
      </c>
      <c r="E10279" t="s">
        <v>282</v>
      </c>
      <c r="F10279" t="s">
        <v>948</v>
      </c>
      <c r="G10279">
        <v>5199999</v>
      </c>
      <c r="H10279">
        <v>401042</v>
      </c>
      <c r="I10279" t="s">
        <v>949</v>
      </c>
    </row>
    <row r="10280" spans="1:9" x14ac:dyDescent="0.25">
      <c r="A10280">
        <v>4230</v>
      </c>
      <c r="B10280">
        <v>51</v>
      </c>
      <c r="C10280" t="s">
        <v>946</v>
      </c>
      <c r="D10280" t="s">
        <v>992</v>
      </c>
      <c r="E10280" t="s">
        <v>286</v>
      </c>
      <c r="F10280" t="s">
        <v>948</v>
      </c>
      <c r="G10280">
        <v>5199999</v>
      </c>
      <c r="H10280">
        <v>403032</v>
      </c>
      <c r="I10280" t="s">
        <v>949</v>
      </c>
    </row>
    <row r="10281" spans="1:9" x14ac:dyDescent="0.25">
      <c r="A10281">
        <v>4230</v>
      </c>
      <c r="B10281">
        <v>51</v>
      </c>
      <c r="C10281" t="s">
        <v>946</v>
      </c>
      <c r="D10281" t="s">
        <v>992</v>
      </c>
      <c r="E10281" t="s">
        <v>290</v>
      </c>
      <c r="F10281" t="s">
        <v>948</v>
      </c>
      <c r="G10281">
        <v>5199999</v>
      </c>
      <c r="H10281">
        <v>403042</v>
      </c>
      <c r="I10281" t="s">
        <v>949</v>
      </c>
    </row>
    <row r="10282" spans="1:9" x14ac:dyDescent="0.25">
      <c r="A10282">
        <v>4230</v>
      </c>
      <c r="B10282">
        <v>51</v>
      </c>
      <c r="C10282" t="s">
        <v>946</v>
      </c>
      <c r="D10282" t="s">
        <v>992</v>
      </c>
      <c r="E10282" t="s">
        <v>294</v>
      </c>
      <c r="F10282" t="s">
        <v>948</v>
      </c>
      <c r="G10282">
        <v>5199999</v>
      </c>
      <c r="H10282">
        <v>403042</v>
      </c>
      <c r="I10282" t="s">
        <v>949</v>
      </c>
    </row>
    <row r="10283" spans="1:9" x14ac:dyDescent="0.25">
      <c r="A10283">
        <v>4230</v>
      </c>
      <c r="B10283">
        <v>51</v>
      </c>
      <c r="C10283" t="s">
        <v>946</v>
      </c>
      <c r="D10283" t="s">
        <v>992</v>
      </c>
      <c r="E10283" t="s">
        <v>298</v>
      </c>
      <c r="F10283" t="s">
        <v>948</v>
      </c>
      <c r="G10283">
        <v>5199999</v>
      </c>
      <c r="H10283">
        <v>403082</v>
      </c>
      <c r="I10283" t="s">
        <v>949</v>
      </c>
    </row>
    <row r="10284" spans="1:9" x14ac:dyDescent="0.25">
      <c r="A10284">
        <v>4230</v>
      </c>
      <c r="B10284">
        <v>51</v>
      </c>
      <c r="C10284" t="s">
        <v>946</v>
      </c>
      <c r="D10284" t="s">
        <v>992</v>
      </c>
      <c r="E10284" t="s">
        <v>302</v>
      </c>
      <c r="F10284" t="s">
        <v>948</v>
      </c>
      <c r="G10284">
        <v>5199999</v>
      </c>
      <c r="H10284">
        <v>401902</v>
      </c>
      <c r="I10284" t="s">
        <v>949</v>
      </c>
    </row>
    <row r="10285" spans="1:9" x14ac:dyDescent="0.25">
      <c r="A10285">
        <v>4230</v>
      </c>
      <c r="B10285">
        <v>51</v>
      </c>
      <c r="C10285" t="s">
        <v>946</v>
      </c>
      <c r="D10285" t="s">
        <v>992</v>
      </c>
      <c r="E10285" t="s">
        <v>306</v>
      </c>
      <c r="F10285" t="s">
        <v>948</v>
      </c>
      <c r="G10285">
        <v>5199999</v>
      </c>
      <c r="H10285">
        <v>401042</v>
      </c>
      <c r="I10285" t="s">
        <v>949</v>
      </c>
    </row>
    <row r="10286" spans="1:9" x14ac:dyDescent="0.25">
      <c r="A10286">
        <v>4230</v>
      </c>
      <c r="B10286">
        <v>51</v>
      </c>
      <c r="C10286" t="s">
        <v>946</v>
      </c>
      <c r="D10286" t="s">
        <v>992</v>
      </c>
      <c r="E10286" t="s">
        <v>310</v>
      </c>
      <c r="F10286" t="s">
        <v>948</v>
      </c>
      <c r="G10286">
        <v>5199999</v>
      </c>
      <c r="H10286">
        <v>403012</v>
      </c>
      <c r="I10286" t="s">
        <v>949</v>
      </c>
    </row>
    <row r="10287" spans="1:9" x14ac:dyDescent="0.25">
      <c r="A10287">
        <v>4230</v>
      </c>
      <c r="B10287">
        <v>51</v>
      </c>
      <c r="C10287" t="s">
        <v>946</v>
      </c>
      <c r="D10287" t="s">
        <v>992</v>
      </c>
      <c r="E10287" t="s">
        <v>314</v>
      </c>
      <c r="F10287" t="s">
        <v>948</v>
      </c>
      <c r="G10287">
        <v>5199999</v>
      </c>
      <c r="H10287">
        <v>403062</v>
      </c>
      <c r="I10287" t="s">
        <v>949</v>
      </c>
    </row>
    <row r="10288" spans="1:9" x14ac:dyDescent="0.25">
      <c r="A10288">
        <v>4141</v>
      </c>
      <c r="B10288">
        <v>51</v>
      </c>
      <c r="C10288" t="s">
        <v>946</v>
      </c>
      <c r="D10288" t="s">
        <v>947</v>
      </c>
      <c r="E10288" t="s">
        <v>49</v>
      </c>
      <c r="F10288" t="s">
        <v>948</v>
      </c>
      <c r="G10288">
        <v>5177777</v>
      </c>
      <c r="H10288">
        <v>500220</v>
      </c>
      <c r="I10288" t="s">
        <v>949</v>
      </c>
    </row>
    <row r="10289" ht="22" customHeight="1" spans="1:10" x14ac:dyDescent="0.25">
      <c r="A10289" s="41">
        <v>4220</v>
      </c>
      <c r="B10289" s="41">
        <v>51</v>
      </c>
      <c r="C10289" s="41" t="s">
        <v>946</v>
      </c>
      <c r="D10289" s="41" t="s">
        <v>947</v>
      </c>
      <c r="E10289" s="41" t="s">
        <v>49</v>
      </c>
      <c r="F10289" s="41" t="s">
        <v>948</v>
      </c>
      <c r="G10289" s="41">
        <v>5177777</v>
      </c>
      <c r="H10289" s="41">
        <v>500221</v>
      </c>
      <c r="I10289" s="41" t="s">
        <v>949</v>
      </c>
      <c r="J10289" s="42" t="s">
        <v>1064</v>
      </c>
    </row>
    <row r="10290" ht="22" customHeight="1" spans="1:10" x14ac:dyDescent="0.25">
      <c r="A10290" s="41">
        <v>4240</v>
      </c>
      <c r="B10290" s="41">
        <v>51</v>
      </c>
      <c r="C10290" s="41" t="s">
        <v>946</v>
      </c>
      <c r="D10290" s="41" t="s">
        <v>947</v>
      </c>
      <c r="E10290" s="41" t="s">
        <v>49</v>
      </c>
      <c r="F10290" s="41" t="s">
        <v>948</v>
      </c>
      <c r="G10290" s="41">
        <v>5177777</v>
      </c>
      <c r="H10290" s="41">
        <v>500221</v>
      </c>
      <c r="I10290" s="41" t="s">
        <v>949</v>
      </c>
      <c r="J10290" s="42" t="s">
        <v>1065</v>
      </c>
    </row>
    <row r="10291" spans="1:9" x14ac:dyDescent="0.25">
      <c r="A10291">
        <v>4250</v>
      </c>
      <c r="B10291">
        <v>51</v>
      </c>
      <c r="C10291" t="s">
        <v>946</v>
      </c>
      <c r="D10291" t="s">
        <v>947</v>
      </c>
      <c r="E10291" t="s">
        <v>49</v>
      </c>
      <c r="F10291" t="s">
        <v>948</v>
      </c>
      <c r="G10291">
        <v>5100000</v>
      </c>
      <c r="H10291">
        <v>130305</v>
      </c>
      <c r="I10291" t="s">
        <v>949</v>
      </c>
    </row>
    <row r="10292" spans="1:9" x14ac:dyDescent="0.25">
      <c r="A10292">
        <v>4230</v>
      </c>
      <c r="B10292">
        <v>51</v>
      </c>
      <c r="C10292" t="s">
        <v>946</v>
      </c>
      <c r="D10292" t="s">
        <v>947</v>
      </c>
      <c r="E10292" t="s">
        <v>243</v>
      </c>
      <c r="F10292" t="s">
        <v>948</v>
      </c>
      <c r="G10292">
        <v>5199999</v>
      </c>
      <c r="H10292">
        <v>401052</v>
      </c>
      <c r="I10292" t="s">
        <v>949</v>
      </c>
    </row>
    <row r="10293" spans="1:9" x14ac:dyDescent="0.25">
      <c r="A10293">
        <v>4230</v>
      </c>
      <c r="B10293">
        <v>51</v>
      </c>
      <c r="C10293" t="s">
        <v>946</v>
      </c>
      <c r="D10293" t="s">
        <v>947</v>
      </c>
      <c r="E10293" t="s">
        <v>247</v>
      </c>
      <c r="F10293" t="s">
        <v>948</v>
      </c>
      <c r="G10293">
        <v>5199999</v>
      </c>
      <c r="H10293">
        <v>401022</v>
      </c>
      <c r="I10293" t="s">
        <v>949</v>
      </c>
    </row>
    <row r="10294" spans="1:9" x14ac:dyDescent="0.25">
      <c r="A10294">
        <v>4230</v>
      </c>
      <c r="B10294">
        <v>51</v>
      </c>
      <c r="C10294" t="s">
        <v>946</v>
      </c>
      <c r="D10294" t="s">
        <v>947</v>
      </c>
      <c r="E10294" t="s">
        <v>251</v>
      </c>
      <c r="F10294" t="s">
        <v>948</v>
      </c>
      <c r="G10294">
        <v>5199999</v>
      </c>
      <c r="H10294">
        <v>401042</v>
      </c>
      <c r="I10294" t="s">
        <v>949</v>
      </c>
    </row>
    <row r="10295" spans="1:9" x14ac:dyDescent="0.25">
      <c r="A10295">
        <v>4230</v>
      </c>
      <c r="B10295">
        <v>51</v>
      </c>
      <c r="C10295" t="s">
        <v>946</v>
      </c>
      <c r="D10295" t="s">
        <v>947</v>
      </c>
      <c r="E10295" t="s">
        <v>255</v>
      </c>
      <c r="F10295" t="s">
        <v>948</v>
      </c>
      <c r="G10295">
        <v>5199999</v>
      </c>
      <c r="H10295">
        <v>401072</v>
      </c>
      <c r="I10295" t="s">
        <v>949</v>
      </c>
    </row>
    <row r="10296" spans="1:9" x14ac:dyDescent="0.25">
      <c r="A10296">
        <v>4230</v>
      </c>
      <c r="B10296">
        <v>51</v>
      </c>
      <c r="C10296" t="s">
        <v>946</v>
      </c>
      <c r="D10296" t="s">
        <v>947</v>
      </c>
      <c r="E10296" t="s">
        <v>259</v>
      </c>
      <c r="F10296" t="s">
        <v>948</v>
      </c>
      <c r="G10296">
        <v>5199999</v>
      </c>
      <c r="H10296">
        <v>409002</v>
      </c>
      <c r="I10296" t="s">
        <v>949</v>
      </c>
    </row>
    <row r="10297" spans="1:9" x14ac:dyDescent="0.25">
      <c r="A10297">
        <v>4230</v>
      </c>
      <c r="B10297">
        <v>51</v>
      </c>
      <c r="C10297" t="s">
        <v>946</v>
      </c>
      <c r="D10297" t="s">
        <v>947</v>
      </c>
      <c r="E10297" t="s">
        <v>263</v>
      </c>
      <c r="F10297" t="s">
        <v>948</v>
      </c>
      <c r="G10297">
        <v>5199999</v>
      </c>
      <c r="H10297">
        <v>401042</v>
      </c>
      <c r="I10297" t="s">
        <v>949</v>
      </c>
    </row>
    <row r="10298" spans="1:9" x14ac:dyDescent="0.25">
      <c r="A10298">
        <v>4230</v>
      </c>
      <c r="B10298">
        <v>51</v>
      </c>
      <c r="C10298" t="s">
        <v>946</v>
      </c>
      <c r="D10298" t="s">
        <v>947</v>
      </c>
      <c r="E10298" t="s">
        <v>100</v>
      </c>
      <c r="F10298" t="s">
        <v>948</v>
      </c>
      <c r="G10298">
        <v>5199999</v>
      </c>
      <c r="H10298">
        <v>401042</v>
      </c>
      <c r="I10298" t="s">
        <v>949</v>
      </c>
    </row>
    <row r="10299" spans="1:9" x14ac:dyDescent="0.25">
      <c r="A10299">
        <v>4230</v>
      </c>
      <c r="B10299">
        <v>51</v>
      </c>
      <c r="C10299" t="s">
        <v>946</v>
      </c>
      <c r="D10299" t="s">
        <v>947</v>
      </c>
      <c r="E10299" t="s">
        <v>987</v>
      </c>
      <c r="F10299" t="s">
        <v>948</v>
      </c>
      <c r="G10299">
        <v>5101305</v>
      </c>
      <c r="H10299">
        <v>740150</v>
      </c>
      <c r="I10299" t="s">
        <v>949</v>
      </c>
    </row>
    <row r="10300" spans="1:9" x14ac:dyDescent="0.25">
      <c r="A10300">
        <v>4230</v>
      </c>
      <c r="B10300">
        <v>51</v>
      </c>
      <c r="C10300" t="s">
        <v>946</v>
      </c>
      <c r="D10300" t="s">
        <v>947</v>
      </c>
      <c r="E10300" t="s">
        <v>270</v>
      </c>
      <c r="F10300" t="s">
        <v>948</v>
      </c>
      <c r="G10300">
        <v>5199999</v>
      </c>
      <c r="H10300">
        <v>401062</v>
      </c>
      <c r="I10300" t="s">
        <v>949</v>
      </c>
    </row>
    <row r="10301" spans="1:9" x14ac:dyDescent="0.25">
      <c r="A10301">
        <v>4230</v>
      </c>
      <c r="B10301">
        <v>51</v>
      </c>
      <c r="C10301" t="s">
        <v>946</v>
      </c>
      <c r="D10301" t="s">
        <v>947</v>
      </c>
      <c r="E10301" t="s">
        <v>274</v>
      </c>
      <c r="F10301" t="s">
        <v>948</v>
      </c>
      <c r="G10301">
        <v>5199999</v>
      </c>
      <c r="H10301">
        <v>401042</v>
      </c>
      <c r="I10301" t="s">
        <v>949</v>
      </c>
    </row>
    <row r="10302" spans="1:9" x14ac:dyDescent="0.25">
      <c r="A10302">
        <v>4230</v>
      </c>
      <c r="B10302">
        <v>51</v>
      </c>
      <c r="C10302" t="s">
        <v>946</v>
      </c>
      <c r="D10302" t="s">
        <v>947</v>
      </c>
      <c r="E10302" t="s">
        <v>104</v>
      </c>
      <c r="F10302" t="s">
        <v>948</v>
      </c>
      <c r="G10302">
        <v>5199999</v>
      </c>
      <c r="H10302">
        <v>401042</v>
      </c>
      <c r="I10302" t="s">
        <v>949</v>
      </c>
    </row>
    <row r="10303" spans="1:9" x14ac:dyDescent="0.25">
      <c r="A10303">
        <v>4230</v>
      </c>
      <c r="B10303">
        <v>51</v>
      </c>
      <c r="C10303" t="s">
        <v>946</v>
      </c>
      <c r="D10303" t="s">
        <v>947</v>
      </c>
      <c r="E10303" t="s">
        <v>278</v>
      </c>
      <c r="F10303" t="s">
        <v>948</v>
      </c>
      <c r="G10303">
        <v>5199999</v>
      </c>
      <c r="H10303">
        <v>401052</v>
      </c>
      <c r="I10303" t="s">
        <v>949</v>
      </c>
    </row>
    <row r="10304" spans="1:9" x14ac:dyDescent="0.25">
      <c r="A10304">
        <v>4230</v>
      </c>
      <c r="B10304">
        <v>51</v>
      </c>
      <c r="C10304" t="s">
        <v>946</v>
      </c>
      <c r="D10304" t="s">
        <v>947</v>
      </c>
      <c r="E10304" t="s">
        <v>282</v>
      </c>
      <c r="F10304" t="s">
        <v>948</v>
      </c>
      <c r="G10304">
        <v>5199999</v>
      </c>
      <c r="H10304">
        <v>401042</v>
      </c>
      <c r="I10304" t="s">
        <v>949</v>
      </c>
    </row>
    <row r="10305" spans="1:9" x14ac:dyDescent="0.25">
      <c r="A10305">
        <v>4230</v>
      </c>
      <c r="B10305">
        <v>51</v>
      </c>
      <c r="C10305" t="s">
        <v>946</v>
      </c>
      <c r="D10305" t="s">
        <v>947</v>
      </c>
      <c r="E10305" t="s">
        <v>286</v>
      </c>
      <c r="F10305" t="s">
        <v>948</v>
      </c>
      <c r="G10305">
        <v>5199999</v>
      </c>
      <c r="H10305">
        <v>401032</v>
      </c>
      <c r="I10305" t="s">
        <v>949</v>
      </c>
    </row>
    <row r="10306" spans="1:9" x14ac:dyDescent="0.25">
      <c r="A10306">
        <v>4230</v>
      </c>
      <c r="B10306">
        <v>51</v>
      </c>
      <c r="C10306" t="s">
        <v>946</v>
      </c>
      <c r="D10306" t="s">
        <v>947</v>
      </c>
      <c r="E10306" t="s">
        <v>290</v>
      </c>
      <c r="F10306" t="s">
        <v>948</v>
      </c>
      <c r="G10306">
        <v>5199999</v>
      </c>
      <c r="H10306">
        <v>401042</v>
      </c>
      <c r="I10306" t="s">
        <v>949</v>
      </c>
    </row>
    <row r="10307" spans="1:9" x14ac:dyDescent="0.25">
      <c r="A10307">
        <v>4230</v>
      </c>
      <c r="B10307">
        <v>51</v>
      </c>
      <c r="C10307" t="s">
        <v>946</v>
      </c>
      <c r="D10307" t="s">
        <v>947</v>
      </c>
      <c r="E10307" t="s">
        <v>294</v>
      </c>
      <c r="F10307" t="s">
        <v>948</v>
      </c>
      <c r="G10307">
        <v>5199999</v>
      </c>
      <c r="H10307">
        <v>401042</v>
      </c>
      <c r="I10307" t="s">
        <v>949</v>
      </c>
    </row>
    <row r="10308" spans="1:9" x14ac:dyDescent="0.25">
      <c r="A10308">
        <v>4230</v>
      </c>
      <c r="B10308">
        <v>51</v>
      </c>
      <c r="C10308" t="s">
        <v>946</v>
      </c>
      <c r="D10308" t="s">
        <v>947</v>
      </c>
      <c r="E10308" t="s">
        <v>298</v>
      </c>
      <c r="F10308" t="s">
        <v>948</v>
      </c>
      <c r="G10308">
        <v>5199999</v>
      </c>
      <c r="H10308">
        <v>402082</v>
      </c>
      <c r="I10308" t="s">
        <v>949</v>
      </c>
    </row>
    <row r="10309" spans="1:9" x14ac:dyDescent="0.25">
      <c r="A10309">
        <v>4230</v>
      </c>
      <c r="B10309">
        <v>51</v>
      </c>
      <c r="C10309" t="s">
        <v>946</v>
      </c>
      <c r="D10309" t="s">
        <v>947</v>
      </c>
      <c r="E10309" t="s">
        <v>302</v>
      </c>
      <c r="F10309" t="s">
        <v>948</v>
      </c>
      <c r="G10309">
        <v>5199999</v>
      </c>
      <c r="H10309">
        <v>401902</v>
      </c>
      <c r="I10309" t="s">
        <v>949</v>
      </c>
    </row>
    <row r="10310" spans="1:9" x14ac:dyDescent="0.25">
      <c r="A10310">
        <v>4230</v>
      </c>
      <c r="B10310">
        <v>51</v>
      </c>
      <c r="C10310" t="s">
        <v>946</v>
      </c>
      <c r="D10310" t="s">
        <v>947</v>
      </c>
      <c r="E10310" t="s">
        <v>306</v>
      </c>
      <c r="F10310" t="s">
        <v>948</v>
      </c>
      <c r="G10310">
        <v>5199999</v>
      </c>
      <c r="H10310">
        <v>401042</v>
      </c>
      <c r="I10310" t="s">
        <v>949</v>
      </c>
    </row>
    <row r="10311" spans="1:9" x14ac:dyDescent="0.25">
      <c r="A10311">
        <v>4230</v>
      </c>
      <c r="B10311">
        <v>51</v>
      </c>
      <c r="C10311" t="s">
        <v>946</v>
      </c>
      <c r="D10311" t="s">
        <v>947</v>
      </c>
      <c r="E10311" t="s">
        <v>310</v>
      </c>
      <c r="F10311" t="s">
        <v>948</v>
      </c>
      <c r="G10311">
        <v>5199999</v>
      </c>
      <c r="H10311">
        <v>401012</v>
      </c>
      <c r="I10311" t="s">
        <v>949</v>
      </c>
    </row>
    <row r="10312" spans="1:9" x14ac:dyDescent="0.25">
      <c r="A10312">
        <v>4230</v>
      </c>
      <c r="B10312">
        <v>51</v>
      </c>
      <c r="C10312" t="s">
        <v>946</v>
      </c>
      <c r="D10312" t="s">
        <v>947</v>
      </c>
      <c r="E10312" t="s">
        <v>314</v>
      </c>
      <c r="F10312" t="s">
        <v>948</v>
      </c>
      <c r="G10312">
        <v>5199999</v>
      </c>
      <c r="H10312">
        <v>401062</v>
      </c>
      <c r="I10312" t="s">
        <v>949</v>
      </c>
    </row>
    <row r="10313" spans="1:9" x14ac:dyDescent="0.25">
      <c r="A10313">
        <v>4141</v>
      </c>
      <c r="B10313">
        <v>51</v>
      </c>
      <c r="C10313" t="s">
        <v>946</v>
      </c>
      <c r="D10313" t="s">
        <v>993</v>
      </c>
      <c r="E10313" t="s">
        <v>49</v>
      </c>
      <c r="F10313" t="s">
        <v>948</v>
      </c>
      <c r="G10313">
        <v>5177777</v>
      </c>
      <c r="H10313">
        <v>501010</v>
      </c>
      <c r="I10313" t="s">
        <v>949</v>
      </c>
    </row>
    <row r="10314" spans="1:9" x14ac:dyDescent="0.25">
      <c r="A10314">
        <v>4220</v>
      </c>
      <c r="B10314">
        <v>51</v>
      </c>
      <c r="C10314" t="s">
        <v>946</v>
      </c>
      <c r="D10314" t="s">
        <v>993</v>
      </c>
      <c r="E10314" t="s">
        <v>49</v>
      </c>
      <c r="F10314" t="s">
        <v>948</v>
      </c>
      <c r="G10314">
        <v>5177777</v>
      </c>
      <c r="H10314">
        <v>501010</v>
      </c>
      <c r="I10314" t="s">
        <v>949</v>
      </c>
    </row>
    <row r="10315" spans="1:9" x14ac:dyDescent="0.25">
      <c r="A10315">
        <v>4230</v>
      </c>
      <c r="B10315">
        <v>51</v>
      </c>
      <c r="C10315" t="s">
        <v>946</v>
      </c>
      <c r="D10315" t="s">
        <v>993</v>
      </c>
      <c r="E10315" t="s">
        <v>49</v>
      </c>
      <c r="F10315" t="s">
        <v>948</v>
      </c>
      <c r="G10315">
        <v>5101305</v>
      </c>
      <c r="H10315">
        <v>740250</v>
      </c>
      <c r="I10315" t="s">
        <v>949</v>
      </c>
    </row>
    <row r="10316" spans="1:9" x14ac:dyDescent="0.25">
      <c r="A10316">
        <v>4240</v>
      </c>
      <c r="B10316">
        <v>51</v>
      </c>
      <c r="C10316" t="s">
        <v>946</v>
      </c>
      <c r="D10316" t="s">
        <v>993</v>
      </c>
      <c r="E10316" t="s">
        <v>49</v>
      </c>
      <c r="F10316" t="s">
        <v>948</v>
      </c>
      <c r="G10316">
        <v>5100000</v>
      </c>
      <c r="H10316">
        <v>145000</v>
      </c>
      <c r="I10316" t="s">
        <v>949</v>
      </c>
    </row>
    <row r="10317" spans="1:9" x14ac:dyDescent="0.25">
      <c r="A10317">
        <v>4250</v>
      </c>
      <c r="B10317">
        <v>51</v>
      </c>
      <c r="C10317" t="s">
        <v>946</v>
      </c>
      <c r="D10317" t="s">
        <v>993</v>
      </c>
      <c r="E10317" t="s">
        <v>49</v>
      </c>
      <c r="F10317" t="s">
        <v>948</v>
      </c>
      <c r="G10317">
        <v>5100000</v>
      </c>
      <c r="H10317">
        <v>130305</v>
      </c>
      <c r="I10317" t="s">
        <v>949</v>
      </c>
    </row>
    <row r="10318" spans="1:9" x14ac:dyDescent="0.25">
      <c r="A10318">
        <v>4122</v>
      </c>
      <c r="B10318">
        <v>51</v>
      </c>
      <c r="C10318" t="s">
        <v>946</v>
      </c>
      <c r="D10318" t="s">
        <v>1054</v>
      </c>
      <c r="E10318" t="s">
        <v>49</v>
      </c>
      <c r="F10318" t="s">
        <v>948</v>
      </c>
      <c r="G10318">
        <v>5100000</v>
      </c>
      <c r="H10318">
        <v>145000</v>
      </c>
      <c r="I10318" t="s">
        <v>949</v>
      </c>
    </row>
    <row r="10319" spans="1:9" x14ac:dyDescent="0.25">
      <c r="A10319">
        <v>4124</v>
      </c>
      <c r="B10319">
        <v>51</v>
      </c>
      <c r="C10319" t="s">
        <v>946</v>
      </c>
      <c r="D10319" t="s">
        <v>1054</v>
      </c>
      <c r="E10319" t="s">
        <v>49</v>
      </c>
      <c r="F10319" t="s">
        <v>948</v>
      </c>
      <c r="G10319">
        <v>5100000</v>
      </c>
      <c r="H10319">
        <v>145200</v>
      </c>
      <c r="I10319" t="s">
        <v>949</v>
      </c>
    </row>
    <row r="10320" spans="1:9" x14ac:dyDescent="0.25">
      <c r="A10320">
        <v>4122</v>
      </c>
      <c r="B10320">
        <v>51</v>
      </c>
      <c r="C10320" t="s">
        <v>946</v>
      </c>
      <c r="D10320" t="s">
        <v>38</v>
      </c>
      <c r="E10320" t="s">
        <v>49</v>
      </c>
      <c r="F10320" t="s">
        <v>948</v>
      </c>
      <c r="G10320">
        <v>5100000</v>
      </c>
      <c r="H10320">
        <v>145000</v>
      </c>
      <c r="I10320" t="s">
        <v>949</v>
      </c>
    </row>
    <row r="10321" spans="1:9" x14ac:dyDescent="0.25">
      <c r="A10321">
        <v>4124</v>
      </c>
      <c r="B10321">
        <v>51</v>
      </c>
      <c r="C10321" t="s">
        <v>946</v>
      </c>
      <c r="D10321" t="s">
        <v>38</v>
      </c>
      <c r="E10321" t="s">
        <v>49</v>
      </c>
      <c r="F10321" t="s">
        <v>948</v>
      </c>
      <c r="G10321">
        <v>5177777</v>
      </c>
      <c r="H10321">
        <v>500465</v>
      </c>
      <c r="I10321" t="s">
        <v>949</v>
      </c>
    </row>
    <row r="10322" spans="1:9" x14ac:dyDescent="0.25">
      <c r="A10322">
        <v>4126</v>
      </c>
      <c r="B10322">
        <v>51</v>
      </c>
      <c r="C10322" t="s">
        <v>946</v>
      </c>
      <c r="D10322" t="s">
        <v>38</v>
      </c>
      <c r="E10322" t="s">
        <v>49</v>
      </c>
      <c r="F10322" t="s">
        <v>948</v>
      </c>
      <c r="G10322">
        <v>5100000</v>
      </c>
      <c r="H10322">
        <v>145000</v>
      </c>
      <c r="I10322" t="s">
        <v>949</v>
      </c>
    </row>
    <row r="10323" spans="1:9" x14ac:dyDescent="0.25">
      <c r="A10323">
        <v>4128</v>
      </c>
      <c r="B10323">
        <v>51</v>
      </c>
      <c r="C10323" t="s">
        <v>946</v>
      </c>
      <c r="D10323" t="s">
        <v>38</v>
      </c>
      <c r="E10323" t="s">
        <v>49</v>
      </c>
      <c r="F10323" t="s">
        <v>948</v>
      </c>
      <c r="G10323">
        <v>5177777</v>
      </c>
      <c r="H10323">
        <v>500460</v>
      </c>
      <c r="I10323" t="s">
        <v>949</v>
      </c>
    </row>
    <row r="10324" spans="1:9" x14ac:dyDescent="0.25">
      <c r="A10324">
        <v>4141</v>
      </c>
      <c r="B10324">
        <v>51</v>
      </c>
      <c r="C10324" t="s">
        <v>946</v>
      </c>
      <c r="D10324" t="s">
        <v>38</v>
      </c>
      <c r="E10324" t="s">
        <v>49</v>
      </c>
      <c r="F10324" t="s">
        <v>948</v>
      </c>
      <c r="G10324">
        <v>5177777</v>
      </c>
      <c r="H10324">
        <v>500460</v>
      </c>
      <c r="I10324" t="s">
        <v>949</v>
      </c>
    </row>
    <row r="10325" spans="1:9" x14ac:dyDescent="0.25">
      <c r="A10325">
        <v>4162</v>
      </c>
      <c r="B10325">
        <v>51</v>
      </c>
      <c r="C10325" t="s">
        <v>946</v>
      </c>
      <c r="D10325" t="s">
        <v>38</v>
      </c>
      <c r="E10325" t="s">
        <v>49</v>
      </c>
      <c r="F10325" t="s">
        <v>948</v>
      </c>
      <c r="G10325">
        <v>5100000</v>
      </c>
      <c r="H10325">
        <v>145000</v>
      </c>
      <c r="I10325" t="s">
        <v>949</v>
      </c>
    </row>
    <row r="10326" spans="1:9" x14ac:dyDescent="0.25">
      <c r="A10326">
        <v>4164</v>
      </c>
      <c r="B10326">
        <v>51</v>
      </c>
      <c r="C10326" t="s">
        <v>946</v>
      </c>
      <c r="D10326" t="s">
        <v>38</v>
      </c>
      <c r="E10326" t="s">
        <v>49</v>
      </c>
      <c r="F10326" t="s">
        <v>948</v>
      </c>
      <c r="G10326">
        <v>5177777</v>
      </c>
      <c r="H10326">
        <v>500461</v>
      </c>
      <c r="I10326" t="s">
        <v>949</v>
      </c>
    </row>
    <row r="10327" spans="1:9" x14ac:dyDescent="0.25">
      <c r="A10327">
        <v>4134</v>
      </c>
      <c r="B10327">
        <v>51</v>
      </c>
      <c r="C10327" t="s">
        <v>946</v>
      </c>
      <c r="D10327" t="s">
        <v>998</v>
      </c>
      <c r="E10327" t="s">
        <v>49</v>
      </c>
      <c r="F10327" t="s">
        <v>948</v>
      </c>
      <c r="G10327">
        <v>5100000</v>
      </c>
      <c r="H10327">
        <v>145000</v>
      </c>
      <c r="I10327" t="s">
        <v>949</v>
      </c>
    </row>
    <row r="10328" spans="1:9" x14ac:dyDescent="0.25">
      <c r="A10328">
        <v>4136</v>
      </c>
      <c r="B10328">
        <v>51</v>
      </c>
      <c r="C10328" t="s">
        <v>946</v>
      </c>
      <c r="D10328" t="s">
        <v>998</v>
      </c>
      <c r="E10328" t="s">
        <v>49</v>
      </c>
      <c r="F10328" t="s">
        <v>948</v>
      </c>
      <c r="G10328">
        <v>5177777</v>
      </c>
      <c r="H10328">
        <v>500465</v>
      </c>
      <c r="I10328" t="s">
        <v>949</v>
      </c>
    </row>
    <row r="10329" spans="1:9" x14ac:dyDescent="0.25">
      <c r="A10329">
        <v>4124</v>
      </c>
      <c r="B10329">
        <v>51</v>
      </c>
      <c r="C10329" t="s">
        <v>946</v>
      </c>
      <c r="D10329" t="s">
        <v>1001</v>
      </c>
      <c r="E10329" t="s">
        <v>49</v>
      </c>
      <c r="F10329" t="s">
        <v>948</v>
      </c>
      <c r="G10329">
        <v>5177777</v>
      </c>
      <c r="H10329">
        <v>500465</v>
      </c>
      <c r="I10329" t="s">
        <v>949</v>
      </c>
    </row>
    <row r="10330" spans="1:9" x14ac:dyDescent="0.25">
      <c r="A10330">
        <v>4141</v>
      </c>
      <c r="B10330">
        <v>51</v>
      </c>
      <c r="C10330" t="s">
        <v>946</v>
      </c>
      <c r="D10330" t="s">
        <v>1001</v>
      </c>
      <c r="E10330" t="s">
        <v>49</v>
      </c>
      <c r="F10330" t="s">
        <v>948</v>
      </c>
      <c r="G10330">
        <v>5177777</v>
      </c>
      <c r="H10330">
        <v>500460</v>
      </c>
      <c r="I10330" t="s">
        <v>949</v>
      </c>
    </row>
    <row r="10331" spans="1:9" x14ac:dyDescent="0.25">
      <c r="A10331">
        <v>4122</v>
      </c>
      <c r="B10331">
        <v>51</v>
      </c>
      <c r="C10331" t="s">
        <v>946</v>
      </c>
      <c r="D10331" t="s">
        <v>1004</v>
      </c>
      <c r="E10331" t="s">
        <v>49</v>
      </c>
      <c r="F10331" t="s">
        <v>948</v>
      </c>
      <c r="G10331">
        <v>5177777</v>
      </c>
      <c r="H10331">
        <v>500220</v>
      </c>
      <c r="I10331" t="s">
        <v>949</v>
      </c>
    </row>
    <row r="10332" spans="1:9" x14ac:dyDescent="0.25">
      <c r="A10332">
        <v>4124</v>
      </c>
      <c r="B10332">
        <v>51</v>
      </c>
      <c r="C10332" t="s">
        <v>946</v>
      </c>
      <c r="D10332" t="s">
        <v>1004</v>
      </c>
      <c r="E10332" t="s">
        <v>49</v>
      </c>
      <c r="F10332" t="s">
        <v>948</v>
      </c>
      <c r="G10332">
        <v>5177777</v>
      </c>
      <c r="H10332">
        <v>500221</v>
      </c>
      <c r="I10332" t="s">
        <v>949</v>
      </c>
    </row>
    <row r="10333" spans="1:9" x14ac:dyDescent="0.25">
      <c r="A10333">
        <v>4122</v>
      </c>
      <c r="B10333">
        <v>51</v>
      </c>
      <c r="C10333" t="s">
        <v>946</v>
      </c>
      <c r="D10333" t="s">
        <v>1006</v>
      </c>
      <c r="E10333" t="s">
        <v>49</v>
      </c>
      <c r="F10333" t="s">
        <v>948</v>
      </c>
      <c r="G10333">
        <v>5100000</v>
      </c>
      <c r="H10333">
        <v>145000</v>
      </c>
      <c r="I10333" t="s">
        <v>949</v>
      </c>
    </row>
    <row r="10334" spans="1:9" x14ac:dyDescent="0.25">
      <c r="A10334">
        <v>4124</v>
      </c>
      <c r="B10334">
        <v>51</v>
      </c>
      <c r="C10334" t="s">
        <v>946</v>
      </c>
      <c r="D10334" t="s">
        <v>1006</v>
      </c>
      <c r="E10334" t="s">
        <v>49</v>
      </c>
      <c r="F10334" t="s">
        <v>948</v>
      </c>
      <c r="G10334">
        <v>5177777</v>
      </c>
      <c r="H10334">
        <v>500460</v>
      </c>
      <c r="I10334" t="s">
        <v>1055</v>
      </c>
    </row>
    <row r="10335" spans="1:9" x14ac:dyDescent="0.25">
      <c r="A10335">
        <v>4152</v>
      </c>
      <c r="B10335">
        <v>51</v>
      </c>
      <c r="C10335" t="s">
        <v>946</v>
      </c>
      <c r="D10335" t="s">
        <v>1006</v>
      </c>
      <c r="E10335" t="s">
        <v>49</v>
      </c>
      <c r="F10335" t="s">
        <v>948</v>
      </c>
      <c r="G10335">
        <v>5100000</v>
      </c>
      <c r="H10335">
        <v>145000</v>
      </c>
      <c r="I10335" t="s">
        <v>949</v>
      </c>
    </row>
    <row r="10336" spans="1:9" x14ac:dyDescent="0.25">
      <c r="A10336">
        <v>4154</v>
      </c>
      <c r="B10336">
        <v>51</v>
      </c>
      <c r="C10336" t="s">
        <v>946</v>
      </c>
      <c r="D10336" t="s">
        <v>1006</v>
      </c>
      <c r="E10336" t="s">
        <v>49</v>
      </c>
      <c r="F10336" t="s">
        <v>948</v>
      </c>
      <c r="G10336">
        <v>5177777</v>
      </c>
      <c r="H10336">
        <v>500460</v>
      </c>
      <c r="I10336" t="s">
        <v>1055</v>
      </c>
    </row>
    <row r="10337" spans="1:9" x14ac:dyDescent="0.25">
      <c r="A10337">
        <v>4122</v>
      </c>
      <c r="B10337">
        <v>51</v>
      </c>
      <c r="C10337" t="s">
        <v>946</v>
      </c>
      <c r="D10337" t="s">
        <v>1010</v>
      </c>
      <c r="E10337" t="s">
        <v>49</v>
      </c>
      <c r="F10337" t="s">
        <v>948</v>
      </c>
      <c r="G10337">
        <v>5177777</v>
      </c>
      <c r="H10337">
        <v>500220</v>
      </c>
      <c r="I10337" t="s">
        <v>949</v>
      </c>
    </row>
    <row r="10338" spans="1:9" x14ac:dyDescent="0.25">
      <c r="A10338">
        <v>4124</v>
      </c>
      <c r="B10338">
        <v>51</v>
      </c>
      <c r="C10338" t="s">
        <v>946</v>
      </c>
      <c r="D10338" t="s">
        <v>1010</v>
      </c>
      <c r="E10338" t="s">
        <v>49</v>
      </c>
      <c r="F10338" t="s">
        <v>948</v>
      </c>
      <c r="G10338">
        <v>5177777</v>
      </c>
      <c r="H10338">
        <v>500220</v>
      </c>
      <c r="I10338" t="s">
        <v>949</v>
      </c>
    </row>
    <row r="10339" spans="1:9" x14ac:dyDescent="0.25">
      <c r="A10339">
        <v>4126</v>
      </c>
      <c r="B10339">
        <v>51</v>
      </c>
      <c r="C10339" t="s">
        <v>946</v>
      </c>
      <c r="D10339" t="s">
        <v>1010</v>
      </c>
      <c r="E10339" t="s">
        <v>49</v>
      </c>
      <c r="F10339" t="s">
        <v>948</v>
      </c>
      <c r="G10339">
        <v>5177777</v>
      </c>
      <c r="H10339">
        <v>500220</v>
      </c>
      <c r="I10339" t="s">
        <v>949</v>
      </c>
    </row>
    <row r="10340" spans="1:9" x14ac:dyDescent="0.25">
      <c r="A10340">
        <v>4128</v>
      </c>
      <c r="B10340">
        <v>51</v>
      </c>
      <c r="C10340" t="s">
        <v>946</v>
      </c>
      <c r="D10340" t="s">
        <v>1010</v>
      </c>
      <c r="E10340" t="s">
        <v>49</v>
      </c>
      <c r="F10340" t="s">
        <v>948</v>
      </c>
      <c r="G10340">
        <v>5177777</v>
      </c>
      <c r="H10340">
        <v>500220</v>
      </c>
      <c r="I10340" t="s">
        <v>949</v>
      </c>
    </row>
    <row r="10341" spans="1:9" x14ac:dyDescent="0.25">
      <c r="A10341">
        <v>4141</v>
      </c>
      <c r="B10341">
        <v>51</v>
      </c>
      <c r="C10341" t="s">
        <v>946</v>
      </c>
      <c r="D10341" t="s">
        <v>1010</v>
      </c>
      <c r="E10341" t="s">
        <v>49</v>
      </c>
      <c r="F10341" t="s">
        <v>948</v>
      </c>
      <c r="G10341">
        <v>5177777</v>
      </c>
      <c r="H10341">
        <v>500460</v>
      </c>
      <c r="I10341" t="s">
        <v>949</v>
      </c>
    </row>
    <row r="10342" spans="1:9" x14ac:dyDescent="0.25">
      <c r="A10342">
        <v>4162</v>
      </c>
      <c r="B10342">
        <v>51</v>
      </c>
      <c r="C10342" t="s">
        <v>946</v>
      </c>
      <c r="D10342" t="s">
        <v>1010</v>
      </c>
      <c r="E10342" t="s">
        <v>49</v>
      </c>
      <c r="F10342" t="s">
        <v>948</v>
      </c>
      <c r="G10342">
        <v>5177777</v>
      </c>
      <c r="H10342">
        <v>500220</v>
      </c>
      <c r="I10342" t="s">
        <v>949</v>
      </c>
    </row>
    <row r="10343" spans="1:9" x14ac:dyDescent="0.25">
      <c r="A10343">
        <v>4164</v>
      </c>
      <c r="B10343">
        <v>51</v>
      </c>
      <c r="C10343" t="s">
        <v>946</v>
      </c>
      <c r="D10343" t="s">
        <v>1010</v>
      </c>
      <c r="E10343" t="s">
        <v>49</v>
      </c>
      <c r="F10343" t="s">
        <v>948</v>
      </c>
      <c r="G10343">
        <v>5177777</v>
      </c>
      <c r="H10343">
        <v>500220</v>
      </c>
      <c r="I10343" t="s">
        <v>949</v>
      </c>
    </row>
    <row r="10344" spans="1:9" x14ac:dyDescent="0.25">
      <c r="A10344">
        <v>4310</v>
      </c>
      <c r="B10344">
        <v>51</v>
      </c>
      <c r="C10344" t="s">
        <v>946</v>
      </c>
      <c r="D10344" t="s">
        <v>1056</v>
      </c>
      <c r="E10344" t="s">
        <v>49</v>
      </c>
      <c r="F10344" t="s">
        <v>948</v>
      </c>
      <c r="G10344">
        <v>5100000</v>
      </c>
      <c r="H10344">
        <v>145000</v>
      </c>
      <c r="I10344" t="s">
        <v>949</v>
      </c>
    </row>
    <row r="10345" spans="1:9" x14ac:dyDescent="0.25">
      <c r="A10345">
        <v>4320</v>
      </c>
      <c r="B10345">
        <v>51</v>
      </c>
      <c r="C10345" t="s">
        <v>946</v>
      </c>
      <c r="D10345" t="s">
        <v>1056</v>
      </c>
      <c r="E10345" t="s">
        <v>49</v>
      </c>
      <c r="F10345" t="s">
        <v>948</v>
      </c>
      <c r="G10345">
        <v>5100000</v>
      </c>
      <c r="H10345">
        <v>145200</v>
      </c>
      <c r="I10345" t="s">
        <v>949</v>
      </c>
    </row>
    <row r="10346" spans="1:9" x14ac:dyDescent="0.25">
      <c r="A10346">
        <v>4330</v>
      </c>
      <c r="B10346">
        <v>51</v>
      </c>
      <c r="C10346" t="s">
        <v>946</v>
      </c>
      <c r="D10346" t="s">
        <v>1056</v>
      </c>
      <c r="E10346" t="s">
        <v>49</v>
      </c>
      <c r="F10346" t="s">
        <v>948</v>
      </c>
      <c r="G10346">
        <v>5177777</v>
      </c>
      <c r="H10346">
        <v>500210</v>
      </c>
      <c r="I10346" t="s">
        <v>949</v>
      </c>
    </row>
    <row r="10347" spans="1:9" x14ac:dyDescent="0.25">
      <c r="A10347">
        <v>4332</v>
      </c>
      <c r="B10347">
        <v>51</v>
      </c>
      <c r="C10347" t="s">
        <v>946</v>
      </c>
      <c r="D10347" t="s">
        <v>1056</v>
      </c>
      <c r="E10347" t="s">
        <v>49</v>
      </c>
      <c r="F10347" t="s">
        <v>948</v>
      </c>
      <c r="G10347">
        <v>5177777</v>
      </c>
      <c r="H10347">
        <v>500210</v>
      </c>
      <c r="I10347" t="s">
        <v>949</v>
      </c>
    </row>
    <row r="10348" spans="1:9" x14ac:dyDescent="0.25">
      <c r="A10348">
        <v>4335</v>
      </c>
      <c r="B10348">
        <v>51</v>
      </c>
      <c r="C10348" t="s">
        <v>946</v>
      </c>
      <c r="D10348" t="s">
        <v>1056</v>
      </c>
      <c r="E10348" t="s">
        <v>49</v>
      </c>
      <c r="F10348" t="s">
        <v>948</v>
      </c>
      <c r="G10348">
        <v>5177777</v>
      </c>
      <c r="H10348">
        <v>500200</v>
      </c>
      <c r="I10348" t="s">
        <v>949</v>
      </c>
    </row>
    <row r="10349" spans="1:9" x14ac:dyDescent="0.25">
      <c r="A10349">
        <v>4340</v>
      </c>
      <c r="B10349">
        <v>51</v>
      </c>
      <c r="C10349" t="s">
        <v>946</v>
      </c>
      <c r="D10349" t="s">
        <v>1056</v>
      </c>
      <c r="E10349" t="s">
        <v>49</v>
      </c>
      <c r="F10349" t="s">
        <v>948</v>
      </c>
      <c r="G10349">
        <v>5188888</v>
      </c>
      <c r="H10349">
        <v>810710</v>
      </c>
      <c r="I10349" t="s">
        <v>949</v>
      </c>
    </row>
    <row r="10350" spans="1:9" x14ac:dyDescent="0.25">
      <c r="A10350">
        <v>4370</v>
      </c>
      <c r="B10350">
        <v>51</v>
      </c>
      <c r="C10350" t="s">
        <v>946</v>
      </c>
      <c r="D10350" t="s">
        <v>1056</v>
      </c>
      <c r="E10350" t="s">
        <v>49</v>
      </c>
      <c r="F10350" t="s">
        <v>948</v>
      </c>
      <c r="G10350">
        <v>5100000</v>
      </c>
      <c r="H10350">
        <v>142500</v>
      </c>
      <c r="I10350" t="s">
        <v>949</v>
      </c>
    </row>
    <row r="10351" spans="1:9" x14ac:dyDescent="0.25">
      <c r="A10351">
        <v>4400</v>
      </c>
      <c r="B10351">
        <v>51</v>
      </c>
      <c r="C10351" t="s">
        <v>946</v>
      </c>
      <c r="D10351" t="s">
        <v>1056</v>
      </c>
      <c r="E10351" t="s">
        <v>49</v>
      </c>
      <c r="F10351" t="s">
        <v>948</v>
      </c>
      <c r="G10351">
        <v>5100000</v>
      </c>
      <c r="H10351">
        <v>145000</v>
      </c>
      <c r="I10351" t="s">
        <v>949</v>
      </c>
    </row>
    <row r="10352" spans="1:9" x14ac:dyDescent="0.25">
      <c r="A10352">
        <v>4405</v>
      </c>
      <c r="B10352">
        <v>51</v>
      </c>
      <c r="C10352" t="s">
        <v>946</v>
      </c>
      <c r="D10352" t="s">
        <v>1056</v>
      </c>
      <c r="E10352" t="s">
        <v>49</v>
      </c>
      <c r="F10352" t="s">
        <v>948</v>
      </c>
      <c r="G10352">
        <v>5177777</v>
      </c>
      <c r="H10352">
        <v>500465</v>
      </c>
      <c r="I10352" t="s">
        <v>949</v>
      </c>
    </row>
    <row r="10353" spans="1:9" x14ac:dyDescent="0.25">
      <c r="A10353">
        <v>4320</v>
      </c>
      <c r="B10353">
        <v>51</v>
      </c>
      <c r="C10353" t="s">
        <v>946</v>
      </c>
      <c r="D10353" t="s">
        <v>1014</v>
      </c>
      <c r="E10353" t="s">
        <v>49</v>
      </c>
      <c r="F10353" t="s">
        <v>948</v>
      </c>
      <c r="G10353">
        <v>5100000</v>
      </c>
      <c r="H10353">
        <v>200110</v>
      </c>
      <c r="I10353" t="s">
        <v>949</v>
      </c>
    </row>
    <row r="10354" spans="1:9" x14ac:dyDescent="0.25">
      <c r="A10354">
        <v>4330</v>
      </c>
      <c r="B10354">
        <v>51</v>
      </c>
      <c r="C10354" t="s">
        <v>946</v>
      </c>
      <c r="D10354" t="s">
        <v>1014</v>
      </c>
      <c r="E10354" t="s">
        <v>49</v>
      </c>
      <c r="F10354" t="s">
        <v>948</v>
      </c>
      <c r="G10354">
        <v>5177777</v>
      </c>
      <c r="H10354">
        <v>500210</v>
      </c>
      <c r="I10354" t="s">
        <v>949</v>
      </c>
    </row>
    <row r="10355" spans="1:9" x14ac:dyDescent="0.25">
      <c r="A10355">
        <v>4332</v>
      </c>
      <c r="B10355">
        <v>51</v>
      </c>
      <c r="C10355" t="s">
        <v>946</v>
      </c>
      <c r="D10355" t="s">
        <v>1014</v>
      </c>
      <c r="E10355" t="s">
        <v>49</v>
      </c>
      <c r="F10355" t="s">
        <v>948</v>
      </c>
      <c r="G10355">
        <v>5177777</v>
      </c>
      <c r="H10355">
        <v>500210</v>
      </c>
      <c r="I10355" t="s">
        <v>949</v>
      </c>
    </row>
    <row r="10356" spans="1:9" x14ac:dyDescent="0.25">
      <c r="A10356">
        <v>4400</v>
      </c>
      <c r="B10356">
        <v>51</v>
      </c>
      <c r="C10356" t="s">
        <v>946</v>
      </c>
      <c r="D10356" t="s">
        <v>1014</v>
      </c>
      <c r="E10356" t="s">
        <v>49</v>
      </c>
      <c r="F10356" t="s">
        <v>948</v>
      </c>
      <c r="G10356">
        <v>5100000</v>
      </c>
      <c r="H10356">
        <v>145000</v>
      </c>
      <c r="I10356" t="s">
        <v>949</v>
      </c>
    </row>
    <row r="10357" spans="1:9" x14ac:dyDescent="0.25">
      <c r="A10357">
        <v>4405</v>
      </c>
      <c r="B10357">
        <v>51</v>
      </c>
      <c r="C10357" t="s">
        <v>946</v>
      </c>
      <c r="D10357" t="s">
        <v>1014</v>
      </c>
      <c r="E10357" t="s">
        <v>49</v>
      </c>
      <c r="F10357" t="s">
        <v>948</v>
      </c>
      <c r="G10357">
        <v>5177777</v>
      </c>
      <c r="H10357">
        <v>500465</v>
      </c>
      <c r="I10357" t="s">
        <v>949</v>
      </c>
    </row>
    <row r="10358" spans="1:9" x14ac:dyDescent="0.25">
      <c r="A10358">
        <v>4310</v>
      </c>
      <c r="B10358">
        <v>51</v>
      </c>
      <c r="C10358" t="s">
        <v>946</v>
      </c>
      <c r="D10358" t="s">
        <v>1016</v>
      </c>
      <c r="E10358" t="s">
        <v>49</v>
      </c>
      <c r="F10358" t="s">
        <v>948</v>
      </c>
      <c r="G10358">
        <v>5100000</v>
      </c>
      <c r="H10358">
        <v>145000</v>
      </c>
      <c r="I10358" t="s">
        <v>949</v>
      </c>
    </row>
    <row r="10359" spans="1:9" x14ac:dyDescent="0.25">
      <c r="A10359">
        <v>4320</v>
      </c>
      <c r="B10359">
        <v>51</v>
      </c>
      <c r="C10359" t="s">
        <v>946</v>
      </c>
      <c r="D10359" t="s">
        <v>1016</v>
      </c>
      <c r="E10359" t="s">
        <v>49</v>
      </c>
      <c r="F10359" t="s">
        <v>948</v>
      </c>
      <c r="G10359">
        <v>5100000</v>
      </c>
      <c r="H10359">
        <v>200110</v>
      </c>
      <c r="I10359" t="s">
        <v>949</v>
      </c>
    </row>
    <row r="10360" spans="1:9" x14ac:dyDescent="0.25">
      <c r="A10360">
        <v>4330</v>
      </c>
      <c r="B10360">
        <v>51</v>
      </c>
      <c r="C10360" t="s">
        <v>946</v>
      </c>
      <c r="D10360" t="s">
        <v>1016</v>
      </c>
      <c r="E10360" t="s">
        <v>49</v>
      </c>
      <c r="F10360" t="s">
        <v>948</v>
      </c>
      <c r="G10360">
        <v>5177777</v>
      </c>
      <c r="H10360">
        <v>500210</v>
      </c>
      <c r="I10360" t="s">
        <v>949</v>
      </c>
    </row>
    <row r="10361" spans="1:9" x14ac:dyDescent="0.25">
      <c r="A10361">
        <v>4332</v>
      </c>
      <c r="B10361">
        <v>51</v>
      </c>
      <c r="C10361" t="s">
        <v>946</v>
      </c>
      <c r="D10361" t="s">
        <v>1016</v>
      </c>
      <c r="E10361" t="s">
        <v>49</v>
      </c>
      <c r="F10361" t="s">
        <v>948</v>
      </c>
      <c r="G10361">
        <v>5177777</v>
      </c>
      <c r="H10361">
        <v>500210</v>
      </c>
      <c r="I10361" t="s">
        <v>949</v>
      </c>
    </row>
    <row r="10362" spans="1:9" x14ac:dyDescent="0.25">
      <c r="A10362">
        <v>4335</v>
      </c>
      <c r="B10362">
        <v>51</v>
      </c>
      <c r="C10362" t="s">
        <v>946</v>
      </c>
      <c r="D10362" t="s">
        <v>1016</v>
      </c>
      <c r="E10362" t="s">
        <v>49</v>
      </c>
      <c r="F10362" t="s">
        <v>948</v>
      </c>
      <c r="G10362">
        <v>5177777</v>
      </c>
      <c r="H10362">
        <v>500200</v>
      </c>
      <c r="I10362" t="s">
        <v>949</v>
      </c>
    </row>
    <row r="10363" spans="1:9" x14ac:dyDescent="0.25">
      <c r="A10363">
        <v>4340</v>
      </c>
      <c r="B10363">
        <v>51</v>
      </c>
      <c r="C10363" t="s">
        <v>946</v>
      </c>
      <c r="D10363" t="s">
        <v>1016</v>
      </c>
      <c r="E10363" t="s">
        <v>49</v>
      </c>
      <c r="F10363" t="s">
        <v>948</v>
      </c>
      <c r="G10363">
        <v>5188888</v>
      </c>
      <c r="H10363">
        <v>810710</v>
      </c>
      <c r="I10363" t="s">
        <v>949</v>
      </c>
    </row>
    <row r="10364" spans="1:9" x14ac:dyDescent="0.25">
      <c r="A10364">
        <v>4350</v>
      </c>
      <c r="B10364">
        <v>51</v>
      </c>
      <c r="C10364" t="s">
        <v>946</v>
      </c>
      <c r="D10364" t="s">
        <v>1016</v>
      </c>
      <c r="E10364" t="s">
        <v>49</v>
      </c>
      <c r="F10364" t="s">
        <v>948</v>
      </c>
      <c r="G10364">
        <v>5100000</v>
      </c>
      <c r="H10364">
        <v>130305</v>
      </c>
      <c r="I10364" t="s">
        <v>949</v>
      </c>
    </row>
    <row r="10365" spans="1:9" x14ac:dyDescent="0.25">
      <c r="A10365">
        <v>4400</v>
      </c>
      <c r="B10365">
        <v>51</v>
      </c>
      <c r="C10365" t="s">
        <v>946</v>
      </c>
      <c r="D10365" t="s">
        <v>1016</v>
      </c>
      <c r="E10365" t="s">
        <v>49</v>
      </c>
      <c r="F10365" t="s">
        <v>948</v>
      </c>
      <c r="G10365">
        <v>5100000</v>
      </c>
      <c r="H10365">
        <v>145000</v>
      </c>
      <c r="I10365" t="s">
        <v>949</v>
      </c>
    </row>
    <row r="10366" spans="1:9" x14ac:dyDescent="0.25">
      <c r="A10366">
        <v>4405</v>
      </c>
      <c r="B10366">
        <v>51</v>
      </c>
      <c r="C10366" t="s">
        <v>946</v>
      </c>
      <c r="D10366" t="s">
        <v>1016</v>
      </c>
      <c r="E10366" t="s">
        <v>49</v>
      </c>
      <c r="F10366" t="s">
        <v>948</v>
      </c>
      <c r="G10366">
        <v>5177777</v>
      </c>
      <c r="H10366">
        <v>500465</v>
      </c>
      <c r="I10366" t="s">
        <v>949</v>
      </c>
    </row>
    <row r="10367" ht="22" customHeight="1" spans="1:10" x14ac:dyDescent="0.25">
      <c r="A10367" s="41">
        <v>4320</v>
      </c>
      <c r="B10367" s="41">
        <v>51</v>
      </c>
      <c r="C10367" s="41" t="s">
        <v>946</v>
      </c>
      <c r="D10367" s="41" t="s">
        <v>67</v>
      </c>
      <c r="E10367" s="41" t="s">
        <v>49</v>
      </c>
      <c r="F10367" s="41" t="s">
        <v>948</v>
      </c>
      <c r="G10367" s="41">
        <v>5177777</v>
      </c>
      <c r="H10367" s="41">
        <v>500220</v>
      </c>
      <c r="I10367" s="41" t="s">
        <v>949</v>
      </c>
      <c r="J10367" s="42" t="s">
        <v>1066</v>
      </c>
    </row>
    <row r="10368" spans="1:9" x14ac:dyDescent="0.25">
      <c r="A10368">
        <v>4330</v>
      </c>
      <c r="B10368">
        <v>51</v>
      </c>
      <c r="C10368" t="s">
        <v>946</v>
      </c>
      <c r="D10368" t="s">
        <v>67</v>
      </c>
      <c r="E10368" t="s">
        <v>49</v>
      </c>
      <c r="F10368" t="s">
        <v>948</v>
      </c>
      <c r="G10368">
        <v>5177777</v>
      </c>
      <c r="H10368">
        <v>500220</v>
      </c>
      <c r="I10368" t="s">
        <v>949</v>
      </c>
    </row>
    <row r="10369" spans="1:9" x14ac:dyDescent="0.25">
      <c r="A10369">
        <v>4332</v>
      </c>
      <c r="B10369">
        <v>51</v>
      </c>
      <c r="C10369" t="s">
        <v>946</v>
      </c>
      <c r="D10369" t="s">
        <v>67</v>
      </c>
      <c r="E10369" t="s">
        <v>49</v>
      </c>
      <c r="F10369" t="s">
        <v>948</v>
      </c>
      <c r="G10369">
        <v>5177777</v>
      </c>
      <c r="H10369">
        <v>500220</v>
      </c>
      <c r="I10369" t="s">
        <v>949</v>
      </c>
    </row>
    <row r="10370" spans="1:9" x14ac:dyDescent="0.25">
      <c r="A10370">
        <v>4335</v>
      </c>
      <c r="B10370">
        <v>51</v>
      </c>
      <c r="C10370" t="s">
        <v>946</v>
      </c>
      <c r="D10370" t="s">
        <v>67</v>
      </c>
      <c r="E10370" t="s">
        <v>49</v>
      </c>
      <c r="F10370" t="s">
        <v>948</v>
      </c>
      <c r="G10370">
        <v>5177777</v>
      </c>
      <c r="H10370">
        <v>500220</v>
      </c>
      <c r="I10370" t="s">
        <v>949</v>
      </c>
    </row>
    <row r="10371" spans="1:9" x14ac:dyDescent="0.25">
      <c r="A10371">
        <v>4340</v>
      </c>
      <c r="B10371">
        <v>51</v>
      </c>
      <c r="C10371" t="s">
        <v>946</v>
      </c>
      <c r="D10371" t="s">
        <v>67</v>
      </c>
      <c r="E10371" t="s">
        <v>49</v>
      </c>
      <c r="F10371" t="s">
        <v>948</v>
      </c>
      <c r="G10371">
        <v>5188888</v>
      </c>
      <c r="H10371">
        <v>810710</v>
      </c>
      <c r="I10371" t="s">
        <v>949</v>
      </c>
    </row>
    <row r="10372" spans="1:9" x14ac:dyDescent="0.25">
      <c r="A10372">
        <v>4400</v>
      </c>
      <c r="B10372">
        <v>51</v>
      </c>
      <c r="C10372" t="s">
        <v>946</v>
      </c>
      <c r="D10372" t="s">
        <v>67</v>
      </c>
      <c r="E10372" t="s">
        <v>49</v>
      </c>
      <c r="F10372" t="s">
        <v>948</v>
      </c>
      <c r="G10372">
        <v>5177777</v>
      </c>
      <c r="H10372">
        <v>500465</v>
      </c>
      <c r="I10372" t="s">
        <v>949</v>
      </c>
    </row>
    <row r="10373" spans="1:9" x14ac:dyDescent="0.25">
      <c r="A10373">
        <v>4405</v>
      </c>
      <c r="B10373">
        <v>51</v>
      </c>
      <c r="C10373" t="s">
        <v>946</v>
      </c>
      <c r="D10373" t="s">
        <v>67</v>
      </c>
      <c r="E10373" t="s">
        <v>49</v>
      </c>
      <c r="F10373" t="s">
        <v>948</v>
      </c>
      <c r="G10373">
        <v>5177777</v>
      </c>
      <c r="H10373">
        <v>500465</v>
      </c>
      <c r="I10373" t="s">
        <v>949</v>
      </c>
    </row>
    <row r="10374" spans="1:9" x14ac:dyDescent="0.25">
      <c r="A10374">
        <v>4310</v>
      </c>
      <c r="B10374">
        <v>51</v>
      </c>
      <c r="C10374" t="s">
        <v>946</v>
      </c>
      <c r="D10374" t="s">
        <v>67</v>
      </c>
      <c r="E10374" t="s">
        <v>243</v>
      </c>
      <c r="F10374" t="s">
        <v>948</v>
      </c>
      <c r="G10374">
        <v>5100000</v>
      </c>
      <c r="H10374">
        <v>145000</v>
      </c>
      <c r="I10374" t="s">
        <v>949</v>
      </c>
    </row>
    <row r="10375" spans="1:9" x14ac:dyDescent="0.25">
      <c r="A10375">
        <v>4310</v>
      </c>
      <c r="B10375">
        <v>51</v>
      </c>
      <c r="C10375" t="s">
        <v>946</v>
      </c>
      <c r="D10375" t="s">
        <v>67</v>
      </c>
      <c r="E10375" t="s">
        <v>247</v>
      </c>
      <c r="F10375" t="s">
        <v>948</v>
      </c>
      <c r="G10375">
        <v>5100000</v>
      </c>
      <c r="H10375">
        <v>145000</v>
      </c>
      <c r="I10375" t="s">
        <v>949</v>
      </c>
    </row>
    <row r="10376" spans="1:9" x14ac:dyDescent="0.25">
      <c r="A10376">
        <v>4310</v>
      </c>
      <c r="B10376">
        <v>51</v>
      </c>
      <c r="C10376" t="s">
        <v>946</v>
      </c>
      <c r="D10376" t="s">
        <v>67</v>
      </c>
      <c r="E10376" t="s">
        <v>251</v>
      </c>
      <c r="F10376" t="s">
        <v>948</v>
      </c>
      <c r="G10376">
        <v>5100000</v>
      </c>
      <c r="H10376">
        <v>145000</v>
      </c>
      <c r="I10376" t="s">
        <v>949</v>
      </c>
    </row>
    <row r="10377" spans="1:9" x14ac:dyDescent="0.25">
      <c r="A10377">
        <v>4310</v>
      </c>
      <c r="B10377">
        <v>51</v>
      </c>
      <c r="C10377" t="s">
        <v>946</v>
      </c>
      <c r="D10377" t="s">
        <v>67</v>
      </c>
      <c r="E10377" t="s">
        <v>255</v>
      </c>
      <c r="F10377" t="s">
        <v>948</v>
      </c>
      <c r="G10377">
        <v>5100000</v>
      </c>
      <c r="H10377">
        <v>145000</v>
      </c>
      <c r="I10377" t="s">
        <v>949</v>
      </c>
    </row>
    <row r="10378" spans="1:9" x14ac:dyDescent="0.25">
      <c r="A10378">
        <v>4310</v>
      </c>
      <c r="B10378">
        <v>51</v>
      </c>
      <c r="C10378" t="s">
        <v>946</v>
      </c>
      <c r="D10378" t="s">
        <v>67</v>
      </c>
      <c r="E10378" t="s">
        <v>263</v>
      </c>
      <c r="F10378" t="s">
        <v>948</v>
      </c>
      <c r="G10378">
        <v>5100000</v>
      </c>
      <c r="H10378">
        <v>145000</v>
      </c>
      <c r="I10378" t="s">
        <v>949</v>
      </c>
    </row>
    <row r="10379" ht="22" customHeight="1" spans="1:10" x14ac:dyDescent="0.25">
      <c r="A10379" s="41">
        <v>4310</v>
      </c>
      <c r="B10379" s="41">
        <v>51</v>
      </c>
      <c r="C10379" s="41" t="s">
        <v>946</v>
      </c>
      <c r="D10379" s="41" t="s">
        <v>67</v>
      </c>
      <c r="E10379" s="41" t="s">
        <v>100</v>
      </c>
      <c r="F10379" s="41" t="s">
        <v>948</v>
      </c>
      <c r="G10379" s="41">
        <v>5177777</v>
      </c>
      <c r="H10379" s="41">
        <v>500220</v>
      </c>
      <c r="I10379" s="41" t="s">
        <v>949</v>
      </c>
      <c r="J10379" s="42" t="s">
        <v>1067</v>
      </c>
    </row>
    <row r="10380" spans="1:9" x14ac:dyDescent="0.25">
      <c r="A10380">
        <v>4310</v>
      </c>
      <c r="B10380">
        <v>51</v>
      </c>
      <c r="C10380" t="s">
        <v>946</v>
      </c>
      <c r="D10380" t="s">
        <v>67</v>
      </c>
      <c r="E10380" t="s">
        <v>270</v>
      </c>
      <c r="F10380" t="s">
        <v>948</v>
      </c>
      <c r="G10380">
        <v>5100000</v>
      </c>
      <c r="H10380">
        <v>145000</v>
      </c>
      <c r="I10380" t="s">
        <v>949</v>
      </c>
    </row>
    <row r="10381" spans="1:9" x14ac:dyDescent="0.25">
      <c r="A10381">
        <v>4310</v>
      </c>
      <c r="B10381">
        <v>51</v>
      </c>
      <c r="C10381" t="s">
        <v>946</v>
      </c>
      <c r="D10381" t="s">
        <v>67</v>
      </c>
      <c r="E10381" t="s">
        <v>274</v>
      </c>
      <c r="F10381" t="s">
        <v>948</v>
      </c>
      <c r="G10381">
        <v>5100000</v>
      </c>
      <c r="H10381">
        <v>145000</v>
      </c>
      <c r="I10381" t="s">
        <v>949</v>
      </c>
    </row>
    <row r="10382" ht="22" customHeight="1" spans="1:10" x14ac:dyDescent="0.25">
      <c r="A10382" s="41">
        <v>4310</v>
      </c>
      <c r="B10382" s="41">
        <v>51</v>
      </c>
      <c r="C10382" s="41" t="s">
        <v>946</v>
      </c>
      <c r="D10382" s="41" t="s">
        <v>67</v>
      </c>
      <c r="E10382" s="41" t="s">
        <v>104</v>
      </c>
      <c r="F10382" s="41" t="s">
        <v>948</v>
      </c>
      <c r="G10382" s="41">
        <v>5177777</v>
      </c>
      <c r="H10382" s="41">
        <v>500220</v>
      </c>
      <c r="I10382" s="41" t="s">
        <v>949</v>
      </c>
      <c r="J10382" s="42" t="s">
        <v>1067</v>
      </c>
    </row>
    <row r="10383" spans="1:9" x14ac:dyDescent="0.25">
      <c r="A10383">
        <v>4310</v>
      </c>
      <c r="B10383">
        <v>51</v>
      </c>
      <c r="C10383" t="s">
        <v>946</v>
      </c>
      <c r="D10383" t="s">
        <v>67</v>
      </c>
      <c r="E10383" t="s">
        <v>278</v>
      </c>
      <c r="F10383" t="s">
        <v>948</v>
      </c>
      <c r="G10383">
        <v>5100000</v>
      </c>
      <c r="H10383">
        <v>145000</v>
      </c>
      <c r="I10383" t="s">
        <v>949</v>
      </c>
    </row>
    <row r="10384" spans="1:9" x14ac:dyDescent="0.25">
      <c r="A10384">
        <v>4310</v>
      </c>
      <c r="B10384">
        <v>51</v>
      </c>
      <c r="C10384" t="s">
        <v>946</v>
      </c>
      <c r="D10384" t="s">
        <v>67</v>
      </c>
      <c r="E10384" t="s">
        <v>282</v>
      </c>
      <c r="F10384" t="s">
        <v>948</v>
      </c>
      <c r="G10384">
        <v>5100000</v>
      </c>
      <c r="H10384">
        <v>145000</v>
      </c>
      <c r="I10384" t="s">
        <v>949</v>
      </c>
    </row>
    <row r="10385" spans="1:9" x14ac:dyDescent="0.25">
      <c r="A10385">
        <v>4310</v>
      </c>
      <c r="B10385">
        <v>51</v>
      </c>
      <c r="C10385" t="s">
        <v>946</v>
      </c>
      <c r="D10385" t="s">
        <v>67</v>
      </c>
      <c r="E10385" t="s">
        <v>286</v>
      </c>
      <c r="F10385" t="s">
        <v>948</v>
      </c>
      <c r="G10385">
        <v>5100000</v>
      </c>
      <c r="H10385">
        <v>145000</v>
      </c>
      <c r="I10385" t="s">
        <v>949</v>
      </c>
    </row>
    <row r="10386" spans="1:9" x14ac:dyDescent="0.25">
      <c r="A10386">
        <v>4310</v>
      </c>
      <c r="B10386">
        <v>51</v>
      </c>
      <c r="C10386" t="s">
        <v>946</v>
      </c>
      <c r="D10386" t="s">
        <v>67</v>
      </c>
      <c r="E10386" t="s">
        <v>290</v>
      </c>
      <c r="F10386" t="s">
        <v>948</v>
      </c>
      <c r="G10386">
        <v>5100000</v>
      </c>
      <c r="H10386">
        <v>145000</v>
      </c>
      <c r="I10386" t="s">
        <v>949</v>
      </c>
    </row>
    <row r="10387" spans="1:9" x14ac:dyDescent="0.25">
      <c r="A10387">
        <v>4310</v>
      </c>
      <c r="B10387">
        <v>51</v>
      </c>
      <c r="C10387" t="s">
        <v>946</v>
      </c>
      <c r="D10387" t="s">
        <v>67</v>
      </c>
      <c r="E10387" t="s">
        <v>294</v>
      </c>
      <c r="F10387" t="s">
        <v>948</v>
      </c>
      <c r="G10387">
        <v>5100000</v>
      </c>
      <c r="H10387">
        <v>145000</v>
      </c>
      <c r="I10387" t="s">
        <v>949</v>
      </c>
    </row>
    <row r="10388" spans="1:9" x14ac:dyDescent="0.25">
      <c r="A10388">
        <v>4310</v>
      </c>
      <c r="B10388">
        <v>51</v>
      </c>
      <c r="C10388" t="s">
        <v>946</v>
      </c>
      <c r="D10388" t="s">
        <v>67</v>
      </c>
      <c r="E10388" t="s">
        <v>302</v>
      </c>
      <c r="F10388" t="s">
        <v>948</v>
      </c>
      <c r="G10388">
        <v>5100000</v>
      </c>
      <c r="H10388">
        <v>145000</v>
      </c>
      <c r="I10388" t="s">
        <v>949</v>
      </c>
    </row>
    <row r="10389" spans="1:9" x14ac:dyDescent="0.25">
      <c r="A10389">
        <v>4310</v>
      </c>
      <c r="B10389">
        <v>51</v>
      </c>
      <c r="C10389" t="s">
        <v>946</v>
      </c>
      <c r="D10389" t="s">
        <v>67</v>
      </c>
      <c r="E10389" t="s">
        <v>306</v>
      </c>
      <c r="F10389" t="s">
        <v>948</v>
      </c>
      <c r="G10389">
        <v>5100000</v>
      </c>
      <c r="H10389">
        <v>145000</v>
      </c>
      <c r="I10389" t="s">
        <v>949</v>
      </c>
    </row>
    <row r="10390" ht="22" customHeight="1" spans="1:10" x14ac:dyDescent="0.25">
      <c r="A10390" s="41">
        <v>4310</v>
      </c>
      <c r="B10390" s="41">
        <v>51</v>
      </c>
      <c r="C10390" s="41" t="s">
        <v>946</v>
      </c>
      <c r="D10390" s="41" t="s">
        <v>67</v>
      </c>
      <c r="E10390" s="41" t="s">
        <v>108</v>
      </c>
      <c r="F10390" s="41" t="s">
        <v>948</v>
      </c>
      <c r="G10390" s="41">
        <v>5177777</v>
      </c>
      <c r="H10390" s="41">
        <v>500220</v>
      </c>
      <c r="I10390" s="41" t="s">
        <v>949</v>
      </c>
      <c r="J10390" s="42" t="s">
        <v>1067</v>
      </c>
    </row>
    <row r="10391" spans="1:9" x14ac:dyDescent="0.25">
      <c r="A10391">
        <v>4310</v>
      </c>
      <c r="B10391">
        <v>51</v>
      </c>
      <c r="C10391" t="s">
        <v>946</v>
      </c>
      <c r="D10391" t="s">
        <v>67</v>
      </c>
      <c r="E10391" t="s">
        <v>310</v>
      </c>
      <c r="F10391" t="s">
        <v>948</v>
      </c>
      <c r="G10391">
        <v>5100000</v>
      </c>
      <c r="H10391">
        <v>145000</v>
      </c>
      <c r="I10391" t="s">
        <v>949</v>
      </c>
    </row>
    <row r="10392" spans="1:9" x14ac:dyDescent="0.25">
      <c r="A10392">
        <v>4310</v>
      </c>
      <c r="B10392">
        <v>51</v>
      </c>
      <c r="C10392" t="s">
        <v>946</v>
      </c>
      <c r="D10392" t="s">
        <v>67</v>
      </c>
      <c r="E10392" t="s">
        <v>314</v>
      </c>
      <c r="F10392" t="s">
        <v>948</v>
      </c>
      <c r="G10392">
        <v>5100000</v>
      </c>
      <c r="H10392">
        <v>145000</v>
      </c>
      <c r="I10392" t="s">
        <v>949</v>
      </c>
    </row>
    <row r="10393" ht="22" customHeight="1" spans="1:10" x14ac:dyDescent="0.25">
      <c r="A10393" s="41">
        <v>4310</v>
      </c>
      <c r="B10393" s="41">
        <v>51</v>
      </c>
      <c r="C10393" s="41" t="s">
        <v>946</v>
      </c>
      <c r="D10393" s="41" t="s">
        <v>67</v>
      </c>
      <c r="E10393" s="41" t="s">
        <v>121</v>
      </c>
      <c r="F10393" s="41" t="s">
        <v>948</v>
      </c>
      <c r="G10393" s="41">
        <v>5177777</v>
      </c>
      <c r="H10393" s="41">
        <v>500220</v>
      </c>
      <c r="I10393" s="41" t="s">
        <v>949</v>
      </c>
      <c r="J10393" s="42" t="s">
        <v>1067</v>
      </c>
    </row>
    <row r="10394" spans="1:9" x14ac:dyDescent="0.25">
      <c r="A10394">
        <v>4152</v>
      </c>
      <c r="B10394">
        <v>51</v>
      </c>
      <c r="C10394" t="s">
        <v>946</v>
      </c>
      <c r="D10394" t="s">
        <v>1022</v>
      </c>
      <c r="E10394" t="s">
        <v>49</v>
      </c>
      <c r="F10394" t="s">
        <v>948</v>
      </c>
      <c r="G10394">
        <v>5100000</v>
      </c>
      <c r="H10394">
        <v>145000</v>
      </c>
      <c r="I10394" t="s">
        <v>949</v>
      </c>
    </row>
    <row r="10395" spans="1:9" x14ac:dyDescent="0.25">
      <c r="A10395">
        <v>4154</v>
      </c>
      <c r="B10395">
        <v>51</v>
      </c>
      <c r="C10395" t="s">
        <v>946</v>
      </c>
      <c r="D10395" t="s">
        <v>1022</v>
      </c>
      <c r="E10395" t="s">
        <v>49</v>
      </c>
      <c r="F10395" t="s">
        <v>948</v>
      </c>
      <c r="G10395">
        <v>5177777</v>
      </c>
      <c r="H10395">
        <v>500465</v>
      </c>
      <c r="I10395" t="s">
        <v>949</v>
      </c>
    </row>
    <row r="10396" spans="1:9" x14ac:dyDescent="0.25">
      <c r="A10396">
        <v>4141</v>
      </c>
      <c r="B10396">
        <v>51</v>
      </c>
      <c r="C10396" t="s">
        <v>946</v>
      </c>
      <c r="D10396" t="s">
        <v>1030</v>
      </c>
      <c r="E10396" t="s">
        <v>49</v>
      </c>
      <c r="F10396" t="s">
        <v>948</v>
      </c>
      <c r="G10396">
        <v>5177777</v>
      </c>
      <c r="H10396">
        <v>501010</v>
      </c>
      <c r="I10396" t="s">
        <v>949</v>
      </c>
    </row>
    <row r="10397" spans="1:9" x14ac:dyDescent="0.25">
      <c r="A10397">
        <v>4220</v>
      </c>
      <c r="B10397">
        <v>51</v>
      </c>
      <c r="C10397" t="s">
        <v>946</v>
      </c>
      <c r="D10397" t="s">
        <v>1030</v>
      </c>
      <c r="E10397" t="s">
        <v>49</v>
      </c>
      <c r="F10397" t="s">
        <v>948</v>
      </c>
      <c r="G10397">
        <v>5177777</v>
      </c>
      <c r="H10397">
        <v>501010</v>
      </c>
      <c r="I10397" t="s">
        <v>949</v>
      </c>
    </row>
    <row r="10398" spans="1:9" x14ac:dyDescent="0.25">
      <c r="A10398">
        <v>4240</v>
      </c>
      <c r="B10398">
        <v>51</v>
      </c>
      <c r="C10398" t="s">
        <v>946</v>
      </c>
      <c r="D10398" t="s">
        <v>1030</v>
      </c>
      <c r="E10398" t="s">
        <v>49</v>
      </c>
      <c r="F10398" t="s">
        <v>948</v>
      </c>
      <c r="G10398">
        <v>5100000</v>
      </c>
      <c r="H10398">
        <v>145000</v>
      </c>
      <c r="I10398" t="s">
        <v>949</v>
      </c>
    </row>
    <row r="10399" spans="1:9" x14ac:dyDescent="0.25">
      <c r="A10399">
        <v>4250</v>
      </c>
      <c r="B10399">
        <v>51</v>
      </c>
      <c r="C10399" t="s">
        <v>946</v>
      </c>
      <c r="D10399" t="s">
        <v>1030</v>
      </c>
      <c r="E10399" t="s">
        <v>49</v>
      </c>
      <c r="F10399" t="s">
        <v>948</v>
      </c>
      <c r="G10399">
        <v>5100000</v>
      </c>
      <c r="H10399">
        <v>130305</v>
      </c>
      <c r="I10399" t="s">
        <v>949</v>
      </c>
    </row>
    <row r="10400" spans="1:9" x14ac:dyDescent="0.25">
      <c r="A10400">
        <v>4230</v>
      </c>
      <c r="B10400">
        <v>51</v>
      </c>
      <c r="C10400" t="s">
        <v>946</v>
      </c>
      <c r="D10400" t="s">
        <v>1030</v>
      </c>
      <c r="E10400" t="s">
        <v>243</v>
      </c>
      <c r="F10400" t="s">
        <v>948</v>
      </c>
      <c r="G10400">
        <v>5199999</v>
      </c>
      <c r="H10400">
        <v>401052</v>
      </c>
      <c r="I10400" t="s">
        <v>949</v>
      </c>
    </row>
    <row r="10401" spans="1:9" x14ac:dyDescent="0.25">
      <c r="A10401">
        <v>4230</v>
      </c>
      <c r="B10401">
        <v>51</v>
      </c>
      <c r="C10401" t="s">
        <v>946</v>
      </c>
      <c r="D10401" t="s">
        <v>1030</v>
      </c>
      <c r="E10401" t="s">
        <v>247</v>
      </c>
      <c r="F10401" t="s">
        <v>948</v>
      </c>
      <c r="G10401">
        <v>5199999</v>
      </c>
      <c r="H10401">
        <v>401022</v>
      </c>
      <c r="I10401" t="s">
        <v>949</v>
      </c>
    </row>
    <row r="10402" spans="1:9" x14ac:dyDescent="0.25">
      <c r="A10402">
        <v>4230</v>
      </c>
      <c r="B10402">
        <v>51</v>
      </c>
      <c r="C10402" t="s">
        <v>946</v>
      </c>
      <c r="D10402" t="s">
        <v>1030</v>
      </c>
      <c r="E10402" t="s">
        <v>251</v>
      </c>
      <c r="F10402" t="s">
        <v>948</v>
      </c>
      <c r="G10402">
        <v>5199999</v>
      </c>
      <c r="H10402">
        <v>401042</v>
      </c>
      <c r="I10402" t="s">
        <v>949</v>
      </c>
    </row>
    <row r="10403" spans="1:9" x14ac:dyDescent="0.25">
      <c r="A10403">
        <v>4230</v>
      </c>
      <c r="B10403">
        <v>51</v>
      </c>
      <c r="C10403" t="s">
        <v>946</v>
      </c>
      <c r="D10403" t="s">
        <v>1030</v>
      </c>
      <c r="E10403" t="s">
        <v>255</v>
      </c>
      <c r="F10403" t="s">
        <v>948</v>
      </c>
      <c r="G10403">
        <v>5199999</v>
      </c>
      <c r="H10403">
        <v>401072</v>
      </c>
      <c r="I10403" t="s">
        <v>949</v>
      </c>
    </row>
    <row r="10404" spans="1:9" x14ac:dyDescent="0.25">
      <c r="A10404">
        <v>4230</v>
      </c>
      <c r="B10404">
        <v>51</v>
      </c>
      <c r="C10404" t="s">
        <v>946</v>
      </c>
      <c r="D10404" t="s">
        <v>1030</v>
      </c>
      <c r="E10404" t="s">
        <v>259</v>
      </c>
      <c r="F10404" t="s">
        <v>948</v>
      </c>
      <c r="G10404">
        <v>5199999</v>
      </c>
      <c r="H10404">
        <v>409002</v>
      </c>
      <c r="I10404" t="s">
        <v>949</v>
      </c>
    </row>
    <row r="10405" spans="1:9" x14ac:dyDescent="0.25">
      <c r="A10405">
        <v>4230</v>
      </c>
      <c r="B10405">
        <v>51</v>
      </c>
      <c r="C10405" t="s">
        <v>946</v>
      </c>
      <c r="D10405" t="s">
        <v>1030</v>
      </c>
      <c r="E10405" t="s">
        <v>263</v>
      </c>
      <c r="F10405" t="s">
        <v>948</v>
      </c>
      <c r="G10405">
        <v>5199999</v>
      </c>
      <c r="H10405">
        <v>401042</v>
      </c>
      <c r="I10405" t="s">
        <v>949</v>
      </c>
    </row>
    <row r="10406" spans="1:9" x14ac:dyDescent="0.25">
      <c r="A10406">
        <v>4230</v>
      </c>
      <c r="B10406">
        <v>51</v>
      </c>
      <c r="C10406" t="s">
        <v>946</v>
      </c>
      <c r="D10406" t="s">
        <v>1030</v>
      </c>
      <c r="E10406" t="s">
        <v>100</v>
      </c>
      <c r="F10406" t="s">
        <v>948</v>
      </c>
      <c r="G10406">
        <v>5199999</v>
      </c>
      <c r="H10406">
        <v>401042</v>
      </c>
      <c r="I10406" t="s">
        <v>949</v>
      </c>
    </row>
    <row r="10407" spans="1:9" x14ac:dyDescent="0.25">
      <c r="A10407">
        <v>4230</v>
      </c>
      <c r="B10407">
        <v>51</v>
      </c>
      <c r="C10407" t="s">
        <v>946</v>
      </c>
      <c r="D10407" t="s">
        <v>1030</v>
      </c>
      <c r="E10407" t="s">
        <v>270</v>
      </c>
      <c r="F10407" t="s">
        <v>948</v>
      </c>
      <c r="G10407">
        <v>5199999</v>
      </c>
      <c r="H10407">
        <v>401062</v>
      </c>
      <c r="I10407" t="s">
        <v>949</v>
      </c>
    </row>
    <row r="10408" spans="1:9" x14ac:dyDescent="0.25">
      <c r="A10408">
        <v>4230</v>
      </c>
      <c r="B10408">
        <v>51</v>
      </c>
      <c r="C10408" t="s">
        <v>946</v>
      </c>
      <c r="D10408" t="s">
        <v>1030</v>
      </c>
      <c r="E10408" t="s">
        <v>274</v>
      </c>
      <c r="F10408" t="s">
        <v>948</v>
      </c>
      <c r="G10408">
        <v>5199999</v>
      </c>
      <c r="H10408">
        <v>401042</v>
      </c>
      <c r="I10408" t="s">
        <v>949</v>
      </c>
    </row>
    <row r="10409" spans="1:9" x14ac:dyDescent="0.25">
      <c r="A10409">
        <v>4230</v>
      </c>
      <c r="B10409">
        <v>51</v>
      </c>
      <c r="C10409" t="s">
        <v>946</v>
      </c>
      <c r="D10409" t="s">
        <v>1030</v>
      </c>
      <c r="E10409" t="s">
        <v>104</v>
      </c>
      <c r="F10409" t="s">
        <v>948</v>
      </c>
      <c r="G10409">
        <v>5199999</v>
      </c>
      <c r="H10409">
        <v>401042</v>
      </c>
      <c r="I10409" t="s">
        <v>949</v>
      </c>
    </row>
    <row r="10410" spans="1:9" x14ac:dyDescent="0.25">
      <c r="A10410">
        <v>4230</v>
      </c>
      <c r="B10410">
        <v>51</v>
      </c>
      <c r="C10410" t="s">
        <v>946</v>
      </c>
      <c r="D10410" t="s">
        <v>1030</v>
      </c>
      <c r="E10410" t="s">
        <v>278</v>
      </c>
      <c r="F10410" t="s">
        <v>948</v>
      </c>
      <c r="G10410">
        <v>5199999</v>
      </c>
      <c r="H10410">
        <v>401052</v>
      </c>
      <c r="I10410" t="s">
        <v>949</v>
      </c>
    </row>
    <row r="10411" spans="1:9" x14ac:dyDescent="0.25">
      <c r="A10411">
        <v>4230</v>
      </c>
      <c r="B10411">
        <v>51</v>
      </c>
      <c r="C10411" t="s">
        <v>946</v>
      </c>
      <c r="D10411" t="s">
        <v>1030</v>
      </c>
      <c r="E10411" t="s">
        <v>282</v>
      </c>
      <c r="F10411" t="s">
        <v>948</v>
      </c>
      <c r="G10411">
        <v>5199999</v>
      </c>
      <c r="H10411">
        <v>401042</v>
      </c>
      <c r="I10411" t="s">
        <v>949</v>
      </c>
    </row>
    <row r="10412" spans="1:9" x14ac:dyDescent="0.25">
      <c r="A10412">
        <v>4230</v>
      </c>
      <c r="B10412">
        <v>51</v>
      </c>
      <c r="C10412" t="s">
        <v>946</v>
      </c>
      <c r="D10412" t="s">
        <v>1030</v>
      </c>
      <c r="E10412" t="s">
        <v>286</v>
      </c>
      <c r="F10412" t="s">
        <v>948</v>
      </c>
      <c r="G10412">
        <v>5199999</v>
      </c>
      <c r="H10412">
        <v>401032</v>
      </c>
      <c r="I10412" t="s">
        <v>949</v>
      </c>
    </row>
    <row r="10413" spans="1:9" x14ac:dyDescent="0.25">
      <c r="A10413">
        <v>4230</v>
      </c>
      <c r="B10413">
        <v>51</v>
      </c>
      <c r="C10413" t="s">
        <v>946</v>
      </c>
      <c r="D10413" t="s">
        <v>1030</v>
      </c>
      <c r="E10413" t="s">
        <v>290</v>
      </c>
      <c r="F10413" t="s">
        <v>948</v>
      </c>
      <c r="G10413">
        <v>5199999</v>
      </c>
      <c r="H10413">
        <v>401042</v>
      </c>
      <c r="I10413" t="s">
        <v>949</v>
      </c>
    </row>
    <row r="10414" spans="1:9" x14ac:dyDescent="0.25">
      <c r="A10414">
        <v>4230</v>
      </c>
      <c r="B10414">
        <v>51</v>
      </c>
      <c r="C10414" t="s">
        <v>946</v>
      </c>
      <c r="D10414" t="s">
        <v>1030</v>
      </c>
      <c r="E10414" t="s">
        <v>294</v>
      </c>
      <c r="F10414" t="s">
        <v>948</v>
      </c>
      <c r="G10414">
        <v>5199999</v>
      </c>
      <c r="H10414">
        <v>401042</v>
      </c>
      <c r="I10414" t="s">
        <v>949</v>
      </c>
    </row>
    <row r="10415" spans="1:9" x14ac:dyDescent="0.25">
      <c r="A10415">
        <v>4230</v>
      </c>
      <c r="B10415">
        <v>51</v>
      </c>
      <c r="C10415" t="s">
        <v>946</v>
      </c>
      <c r="D10415" t="s">
        <v>1030</v>
      </c>
      <c r="E10415" t="s">
        <v>298</v>
      </c>
      <c r="F10415" t="s">
        <v>948</v>
      </c>
      <c r="G10415">
        <v>5199999</v>
      </c>
      <c r="H10415">
        <v>402082</v>
      </c>
      <c r="I10415" t="s">
        <v>949</v>
      </c>
    </row>
    <row r="10416" spans="1:9" x14ac:dyDescent="0.25">
      <c r="A10416">
        <v>4230</v>
      </c>
      <c r="B10416">
        <v>51</v>
      </c>
      <c r="C10416" t="s">
        <v>946</v>
      </c>
      <c r="D10416" t="s">
        <v>1030</v>
      </c>
      <c r="E10416" t="s">
        <v>302</v>
      </c>
      <c r="F10416" t="s">
        <v>948</v>
      </c>
      <c r="G10416">
        <v>5199999</v>
      </c>
      <c r="H10416">
        <v>401902</v>
      </c>
      <c r="I10416" t="s">
        <v>949</v>
      </c>
    </row>
    <row r="10417" spans="1:9" x14ac:dyDescent="0.25">
      <c r="A10417">
        <v>4230</v>
      </c>
      <c r="B10417">
        <v>51</v>
      </c>
      <c r="C10417" t="s">
        <v>946</v>
      </c>
      <c r="D10417" t="s">
        <v>1030</v>
      </c>
      <c r="E10417" t="s">
        <v>306</v>
      </c>
      <c r="F10417" t="s">
        <v>948</v>
      </c>
      <c r="G10417">
        <v>5199999</v>
      </c>
      <c r="H10417">
        <v>401042</v>
      </c>
      <c r="I10417" t="s">
        <v>949</v>
      </c>
    </row>
    <row r="10418" spans="1:9" x14ac:dyDescent="0.25">
      <c r="A10418">
        <v>4230</v>
      </c>
      <c r="B10418">
        <v>51</v>
      </c>
      <c r="C10418" t="s">
        <v>946</v>
      </c>
      <c r="D10418" t="s">
        <v>1030</v>
      </c>
      <c r="E10418" t="s">
        <v>310</v>
      </c>
      <c r="F10418" t="s">
        <v>948</v>
      </c>
      <c r="G10418">
        <v>5199999</v>
      </c>
      <c r="H10418">
        <v>401012</v>
      </c>
      <c r="I10418" t="s">
        <v>949</v>
      </c>
    </row>
    <row r="10419" spans="1:9" x14ac:dyDescent="0.25">
      <c r="A10419">
        <v>4230</v>
      </c>
      <c r="B10419">
        <v>51</v>
      </c>
      <c r="C10419" t="s">
        <v>946</v>
      </c>
      <c r="D10419" t="s">
        <v>1030</v>
      </c>
      <c r="E10419" t="s">
        <v>314</v>
      </c>
      <c r="F10419" t="s">
        <v>948</v>
      </c>
      <c r="G10419">
        <v>5199999</v>
      </c>
      <c r="H10419">
        <v>401062</v>
      </c>
      <c r="I10419" t="s">
        <v>949</v>
      </c>
    </row>
    <row r="10420" spans="1:9" x14ac:dyDescent="0.25">
      <c r="A10420">
        <v>4141</v>
      </c>
      <c r="B10420">
        <v>51</v>
      </c>
      <c r="C10420" t="s">
        <v>946</v>
      </c>
      <c r="D10420" t="s">
        <v>1031</v>
      </c>
      <c r="E10420" t="s">
        <v>49</v>
      </c>
      <c r="F10420" t="s">
        <v>948</v>
      </c>
      <c r="G10420">
        <v>5177777</v>
      </c>
      <c r="H10420">
        <v>501010</v>
      </c>
      <c r="I10420" t="s">
        <v>949</v>
      </c>
    </row>
    <row r="10421" spans="1:9" x14ac:dyDescent="0.25">
      <c r="A10421">
        <v>4220</v>
      </c>
      <c r="B10421">
        <v>51</v>
      </c>
      <c r="C10421" t="s">
        <v>946</v>
      </c>
      <c r="D10421" t="s">
        <v>1031</v>
      </c>
      <c r="E10421" t="s">
        <v>49</v>
      </c>
      <c r="F10421" t="s">
        <v>948</v>
      </c>
      <c r="G10421">
        <v>5177777</v>
      </c>
      <c r="H10421">
        <v>501010</v>
      </c>
      <c r="I10421" t="s">
        <v>949</v>
      </c>
    </row>
    <row r="10422" spans="1:9" x14ac:dyDescent="0.25">
      <c r="A10422">
        <v>4240</v>
      </c>
      <c r="B10422">
        <v>51</v>
      </c>
      <c r="C10422" t="s">
        <v>946</v>
      </c>
      <c r="D10422" t="s">
        <v>1031</v>
      </c>
      <c r="E10422" t="s">
        <v>49</v>
      </c>
      <c r="F10422" t="s">
        <v>948</v>
      </c>
      <c r="G10422">
        <v>5100000</v>
      </c>
      <c r="H10422">
        <v>145000</v>
      </c>
      <c r="I10422" t="s">
        <v>949</v>
      </c>
    </row>
    <row r="10423" spans="1:9" x14ac:dyDescent="0.25">
      <c r="A10423">
        <v>4250</v>
      </c>
      <c r="B10423">
        <v>51</v>
      </c>
      <c r="C10423" t="s">
        <v>946</v>
      </c>
      <c r="D10423" t="s">
        <v>1031</v>
      </c>
      <c r="E10423" t="s">
        <v>49</v>
      </c>
      <c r="F10423" t="s">
        <v>948</v>
      </c>
      <c r="G10423">
        <v>5100000</v>
      </c>
      <c r="H10423">
        <v>130305</v>
      </c>
      <c r="I10423" t="s">
        <v>949</v>
      </c>
    </row>
    <row r="10424" spans="1:9" x14ac:dyDescent="0.25">
      <c r="A10424">
        <v>4230</v>
      </c>
      <c r="B10424">
        <v>51</v>
      </c>
      <c r="C10424" t="s">
        <v>946</v>
      </c>
      <c r="D10424" t="s">
        <v>1031</v>
      </c>
      <c r="E10424" t="s">
        <v>243</v>
      </c>
      <c r="F10424" t="s">
        <v>948</v>
      </c>
      <c r="G10424">
        <v>5199999</v>
      </c>
      <c r="H10424">
        <v>401052</v>
      </c>
      <c r="I10424" t="s">
        <v>949</v>
      </c>
    </row>
    <row r="10425" spans="1:9" x14ac:dyDescent="0.25">
      <c r="A10425">
        <v>4230</v>
      </c>
      <c r="B10425">
        <v>51</v>
      </c>
      <c r="C10425" t="s">
        <v>946</v>
      </c>
      <c r="D10425" t="s">
        <v>1031</v>
      </c>
      <c r="E10425" t="s">
        <v>247</v>
      </c>
      <c r="F10425" t="s">
        <v>948</v>
      </c>
      <c r="G10425">
        <v>5199999</v>
      </c>
      <c r="H10425">
        <v>401022</v>
      </c>
      <c r="I10425" t="s">
        <v>949</v>
      </c>
    </row>
    <row r="10426" spans="1:9" x14ac:dyDescent="0.25">
      <c r="A10426">
        <v>4230</v>
      </c>
      <c r="B10426">
        <v>51</v>
      </c>
      <c r="C10426" t="s">
        <v>946</v>
      </c>
      <c r="D10426" t="s">
        <v>1031</v>
      </c>
      <c r="E10426" t="s">
        <v>251</v>
      </c>
      <c r="F10426" t="s">
        <v>948</v>
      </c>
      <c r="G10426">
        <v>5199999</v>
      </c>
      <c r="H10426">
        <v>401042</v>
      </c>
      <c r="I10426" t="s">
        <v>949</v>
      </c>
    </row>
    <row r="10427" spans="1:9" x14ac:dyDescent="0.25">
      <c r="A10427">
        <v>4230</v>
      </c>
      <c r="B10427">
        <v>51</v>
      </c>
      <c r="C10427" t="s">
        <v>946</v>
      </c>
      <c r="D10427" t="s">
        <v>1031</v>
      </c>
      <c r="E10427" t="s">
        <v>255</v>
      </c>
      <c r="F10427" t="s">
        <v>948</v>
      </c>
      <c r="G10427">
        <v>5199999</v>
      </c>
      <c r="H10427">
        <v>401072</v>
      </c>
      <c r="I10427" t="s">
        <v>949</v>
      </c>
    </row>
    <row r="10428" spans="1:9" x14ac:dyDescent="0.25">
      <c r="A10428">
        <v>4230</v>
      </c>
      <c r="B10428">
        <v>51</v>
      </c>
      <c r="C10428" t="s">
        <v>946</v>
      </c>
      <c r="D10428" t="s">
        <v>1031</v>
      </c>
      <c r="E10428" t="s">
        <v>259</v>
      </c>
      <c r="F10428" t="s">
        <v>948</v>
      </c>
      <c r="G10428">
        <v>5199999</v>
      </c>
      <c r="H10428">
        <v>409002</v>
      </c>
      <c r="I10428" t="s">
        <v>949</v>
      </c>
    </row>
    <row r="10429" spans="1:9" x14ac:dyDescent="0.25">
      <c r="A10429">
        <v>4230</v>
      </c>
      <c r="B10429">
        <v>51</v>
      </c>
      <c r="C10429" t="s">
        <v>946</v>
      </c>
      <c r="D10429" t="s">
        <v>1031</v>
      </c>
      <c r="E10429" t="s">
        <v>263</v>
      </c>
      <c r="F10429" t="s">
        <v>948</v>
      </c>
      <c r="G10429">
        <v>5199999</v>
      </c>
      <c r="H10429">
        <v>401042</v>
      </c>
      <c r="I10429" t="s">
        <v>949</v>
      </c>
    </row>
    <row r="10430" spans="1:9" x14ac:dyDescent="0.25">
      <c r="A10430">
        <v>4230</v>
      </c>
      <c r="B10430">
        <v>51</v>
      </c>
      <c r="C10430" t="s">
        <v>946</v>
      </c>
      <c r="D10430" t="s">
        <v>1031</v>
      </c>
      <c r="E10430" t="s">
        <v>100</v>
      </c>
      <c r="F10430" t="s">
        <v>948</v>
      </c>
      <c r="G10430">
        <v>5199999</v>
      </c>
      <c r="H10430">
        <v>401042</v>
      </c>
      <c r="I10430" t="s">
        <v>949</v>
      </c>
    </row>
    <row r="10431" spans="1:9" x14ac:dyDescent="0.25">
      <c r="A10431">
        <v>4230</v>
      </c>
      <c r="B10431">
        <v>51</v>
      </c>
      <c r="C10431" t="s">
        <v>946</v>
      </c>
      <c r="D10431" t="s">
        <v>1031</v>
      </c>
      <c r="E10431" t="s">
        <v>270</v>
      </c>
      <c r="F10431" t="s">
        <v>948</v>
      </c>
      <c r="G10431">
        <v>5199999</v>
      </c>
      <c r="H10431">
        <v>401062</v>
      </c>
      <c r="I10431" t="s">
        <v>949</v>
      </c>
    </row>
    <row r="10432" spans="1:9" x14ac:dyDescent="0.25">
      <c r="A10432">
        <v>4230</v>
      </c>
      <c r="B10432">
        <v>51</v>
      </c>
      <c r="C10432" t="s">
        <v>946</v>
      </c>
      <c r="D10432" t="s">
        <v>1031</v>
      </c>
      <c r="E10432" t="s">
        <v>274</v>
      </c>
      <c r="F10432" t="s">
        <v>948</v>
      </c>
      <c r="G10432">
        <v>5199999</v>
      </c>
      <c r="H10432">
        <v>401042</v>
      </c>
      <c r="I10432" t="s">
        <v>949</v>
      </c>
    </row>
    <row r="10433" spans="1:9" x14ac:dyDescent="0.25">
      <c r="A10433">
        <v>4230</v>
      </c>
      <c r="B10433">
        <v>51</v>
      </c>
      <c r="C10433" t="s">
        <v>946</v>
      </c>
      <c r="D10433" t="s">
        <v>1031</v>
      </c>
      <c r="E10433" t="s">
        <v>104</v>
      </c>
      <c r="F10433" t="s">
        <v>948</v>
      </c>
      <c r="G10433">
        <v>5199999</v>
      </c>
      <c r="H10433">
        <v>401042</v>
      </c>
      <c r="I10433" t="s">
        <v>949</v>
      </c>
    </row>
    <row r="10434" spans="1:9" x14ac:dyDescent="0.25">
      <c r="A10434">
        <v>4230</v>
      </c>
      <c r="B10434">
        <v>51</v>
      </c>
      <c r="C10434" t="s">
        <v>946</v>
      </c>
      <c r="D10434" t="s">
        <v>1031</v>
      </c>
      <c r="E10434" t="s">
        <v>278</v>
      </c>
      <c r="F10434" t="s">
        <v>948</v>
      </c>
      <c r="G10434">
        <v>5199999</v>
      </c>
      <c r="H10434">
        <v>401052</v>
      </c>
      <c r="I10434" t="s">
        <v>949</v>
      </c>
    </row>
    <row r="10435" spans="1:9" x14ac:dyDescent="0.25">
      <c r="A10435">
        <v>4230</v>
      </c>
      <c r="B10435">
        <v>51</v>
      </c>
      <c r="C10435" t="s">
        <v>946</v>
      </c>
      <c r="D10435" t="s">
        <v>1031</v>
      </c>
      <c r="E10435" t="s">
        <v>282</v>
      </c>
      <c r="F10435" t="s">
        <v>948</v>
      </c>
      <c r="G10435">
        <v>5199999</v>
      </c>
      <c r="H10435">
        <v>401042</v>
      </c>
      <c r="I10435" t="s">
        <v>949</v>
      </c>
    </row>
    <row r="10436" spans="1:9" x14ac:dyDescent="0.25">
      <c r="A10436">
        <v>4230</v>
      </c>
      <c r="B10436">
        <v>51</v>
      </c>
      <c r="C10436" t="s">
        <v>946</v>
      </c>
      <c r="D10436" t="s">
        <v>1031</v>
      </c>
      <c r="E10436" t="s">
        <v>286</v>
      </c>
      <c r="F10436" t="s">
        <v>948</v>
      </c>
      <c r="G10436">
        <v>5199999</v>
      </c>
      <c r="H10436">
        <v>401032</v>
      </c>
      <c r="I10436" t="s">
        <v>949</v>
      </c>
    </row>
    <row r="10437" spans="1:9" x14ac:dyDescent="0.25">
      <c r="A10437">
        <v>4230</v>
      </c>
      <c r="B10437">
        <v>51</v>
      </c>
      <c r="C10437" t="s">
        <v>946</v>
      </c>
      <c r="D10437" t="s">
        <v>1031</v>
      </c>
      <c r="E10437" t="s">
        <v>290</v>
      </c>
      <c r="F10437" t="s">
        <v>948</v>
      </c>
      <c r="G10437">
        <v>5199999</v>
      </c>
      <c r="H10437">
        <v>401042</v>
      </c>
      <c r="I10437" t="s">
        <v>949</v>
      </c>
    </row>
    <row r="10438" spans="1:9" x14ac:dyDescent="0.25">
      <c r="A10438">
        <v>4230</v>
      </c>
      <c r="B10438">
        <v>51</v>
      </c>
      <c r="C10438" t="s">
        <v>946</v>
      </c>
      <c r="D10438" t="s">
        <v>1031</v>
      </c>
      <c r="E10438" t="s">
        <v>294</v>
      </c>
      <c r="F10438" t="s">
        <v>948</v>
      </c>
      <c r="G10438">
        <v>5199999</v>
      </c>
      <c r="H10438">
        <v>401042</v>
      </c>
      <c r="I10438" t="s">
        <v>949</v>
      </c>
    </row>
    <row r="10439" spans="1:9" x14ac:dyDescent="0.25">
      <c r="A10439">
        <v>4230</v>
      </c>
      <c r="B10439">
        <v>51</v>
      </c>
      <c r="C10439" t="s">
        <v>946</v>
      </c>
      <c r="D10439" t="s">
        <v>1031</v>
      </c>
      <c r="E10439" t="s">
        <v>298</v>
      </c>
      <c r="F10439" t="s">
        <v>948</v>
      </c>
      <c r="G10439">
        <v>5199999</v>
      </c>
      <c r="H10439">
        <v>402082</v>
      </c>
      <c r="I10439" t="s">
        <v>949</v>
      </c>
    </row>
    <row r="10440" spans="1:9" x14ac:dyDescent="0.25">
      <c r="A10440">
        <v>4230</v>
      </c>
      <c r="B10440">
        <v>51</v>
      </c>
      <c r="C10440" t="s">
        <v>946</v>
      </c>
      <c r="D10440" t="s">
        <v>1031</v>
      </c>
      <c r="E10440" t="s">
        <v>302</v>
      </c>
      <c r="F10440" t="s">
        <v>948</v>
      </c>
      <c r="G10440">
        <v>5199999</v>
      </c>
      <c r="H10440">
        <v>401902</v>
      </c>
      <c r="I10440" t="s">
        <v>949</v>
      </c>
    </row>
    <row r="10441" spans="1:9" x14ac:dyDescent="0.25">
      <c r="A10441">
        <v>4230</v>
      </c>
      <c r="B10441">
        <v>51</v>
      </c>
      <c r="C10441" t="s">
        <v>946</v>
      </c>
      <c r="D10441" t="s">
        <v>1031</v>
      </c>
      <c r="E10441" t="s">
        <v>306</v>
      </c>
      <c r="F10441" t="s">
        <v>948</v>
      </c>
      <c r="G10441">
        <v>5199999</v>
      </c>
      <c r="H10441">
        <v>401042</v>
      </c>
      <c r="I10441" t="s">
        <v>949</v>
      </c>
    </row>
    <row r="10442" spans="1:9" x14ac:dyDescent="0.25">
      <c r="A10442">
        <v>4230</v>
      </c>
      <c r="B10442">
        <v>51</v>
      </c>
      <c r="C10442" t="s">
        <v>946</v>
      </c>
      <c r="D10442" t="s">
        <v>1031</v>
      </c>
      <c r="E10442" t="s">
        <v>310</v>
      </c>
      <c r="F10442" t="s">
        <v>948</v>
      </c>
      <c r="G10442">
        <v>5199999</v>
      </c>
      <c r="H10442">
        <v>401012</v>
      </c>
      <c r="I10442" t="s">
        <v>949</v>
      </c>
    </row>
    <row r="10443" spans="1:9" x14ac:dyDescent="0.25">
      <c r="A10443">
        <v>4230</v>
      </c>
      <c r="B10443">
        <v>51</v>
      </c>
      <c r="C10443" t="s">
        <v>946</v>
      </c>
      <c r="D10443" t="s">
        <v>1031</v>
      </c>
      <c r="E10443" t="s">
        <v>314</v>
      </c>
      <c r="F10443" t="s">
        <v>948</v>
      </c>
      <c r="G10443">
        <v>5199999</v>
      </c>
      <c r="H10443">
        <v>401062</v>
      </c>
      <c r="I10443" t="s">
        <v>949</v>
      </c>
    </row>
    <row r="10444" spans="1:9" x14ac:dyDescent="0.25">
      <c r="A10444">
        <v>4141</v>
      </c>
      <c r="B10444">
        <v>51</v>
      </c>
      <c r="C10444" t="s">
        <v>946</v>
      </c>
      <c r="D10444" t="s">
        <v>1059</v>
      </c>
      <c r="E10444" t="s">
        <v>49</v>
      </c>
      <c r="F10444" t="s">
        <v>948</v>
      </c>
      <c r="G10444">
        <v>5177777</v>
      </c>
      <c r="H10444">
        <v>501010</v>
      </c>
      <c r="I10444" t="s">
        <v>949</v>
      </c>
    </row>
    <row r="10445" spans="1:9" x14ac:dyDescent="0.25">
      <c r="A10445">
        <v>4220</v>
      </c>
      <c r="B10445">
        <v>51</v>
      </c>
      <c r="C10445" t="s">
        <v>946</v>
      </c>
      <c r="D10445" t="s">
        <v>1059</v>
      </c>
      <c r="E10445" t="s">
        <v>49</v>
      </c>
      <c r="F10445" t="s">
        <v>948</v>
      </c>
      <c r="G10445">
        <v>5177777</v>
      </c>
      <c r="H10445">
        <v>501010</v>
      </c>
      <c r="I10445" t="s">
        <v>949</v>
      </c>
    </row>
    <row r="10446" spans="1:9" x14ac:dyDescent="0.25">
      <c r="A10446">
        <v>4240</v>
      </c>
      <c r="B10446">
        <v>51</v>
      </c>
      <c r="C10446" t="s">
        <v>946</v>
      </c>
      <c r="D10446" t="s">
        <v>1059</v>
      </c>
      <c r="E10446" t="s">
        <v>49</v>
      </c>
      <c r="F10446" t="s">
        <v>948</v>
      </c>
      <c r="G10446">
        <v>5100000</v>
      </c>
      <c r="H10446">
        <v>145200</v>
      </c>
      <c r="I10446" t="s">
        <v>1034</v>
      </c>
    </row>
    <row r="10447" spans="1:9" x14ac:dyDescent="0.25">
      <c r="A10447">
        <v>4250</v>
      </c>
      <c r="B10447">
        <v>51</v>
      </c>
      <c r="C10447" t="s">
        <v>946</v>
      </c>
      <c r="D10447" t="s">
        <v>1059</v>
      </c>
      <c r="E10447" t="s">
        <v>49</v>
      </c>
      <c r="F10447" t="s">
        <v>948</v>
      </c>
      <c r="G10447">
        <v>5100000</v>
      </c>
      <c r="H10447">
        <v>130305</v>
      </c>
      <c r="I10447" t="s">
        <v>949</v>
      </c>
    </row>
    <row r="10448" spans="1:9" x14ac:dyDescent="0.25">
      <c r="A10448">
        <v>4230</v>
      </c>
      <c r="B10448">
        <v>51</v>
      </c>
      <c r="C10448" t="s">
        <v>946</v>
      </c>
      <c r="D10448" t="s">
        <v>1059</v>
      </c>
      <c r="E10448" t="s">
        <v>243</v>
      </c>
      <c r="F10448" t="s">
        <v>948</v>
      </c>
      <c r="G10448">
        <v>5199999</v>
      </c>
      <c r="H10448">
        <v>401052</v>
      </c>
      <c r="I10448" t="s">
        <v>949</v>
      </c>
    </row>
    <row r="10449" spans="1:9" x14ac:dyDescent="0.25">
      <c r="A10449">
        <v>4230</v>
      </c>
      <c r="B10449">
        <v>51</v>
      </c>
      <c r="C10449" t="s">
        <v>946</v>
      </c>
      <c r="D10449" t="s">
        <v>1059</v>
      </c>
      <c r="E10449" t="s">
        <v>247</v>
      </c>
      <c r="F10449" t="s">
        <v>948</v>
      </c>
      <c r="G10449">
        <v>5199999</v>
      </c>
      <c r="H10449">
        <v>401022</v>
      </c>
      <c r="I10449" t="s">
        <v>949</v>
      </c>
    </row>
    <row r="10450" spans="1:9" x14ac:dyDescent="0.25">
      <c r="A10450">
        <v>4230</v>
      </c>
      <c r="B10450">
        <v>51</v>
      </c>
      <c r="C10450" t="s">
        <v>946</v>
      </c>
      <c r="D10450" t="s">
        <v>1059</v>
      </c>
      <c r="E10450" t="s">
        <v>251</v>
      </c>
      <c r="F10450" t="s">
        <v>948</v>
      </c>
      <c r="G10450">
        <v>5199999</v>
      </c>
      <c r="H10450">
        <v>401042</v>
      </c>
      <c r="I10450" t="s">
        <v>949</v>
      </c>
    </row>
    <row r="10451" spans="1:9" x14ac:dyDescent="0.25">
      <c r="A10451">
        <v>4230</v>
      </c>
      <c r="B10451">
        <v>51</v>
      </c>
      <c r="C10451" t="s">
        <v>946</v>
      </c>
      <c r="D10451" t="s">
        <v>1059</v>
      </c>
      <c r="E10451" t="s">
        <v>255</v>
      </c>
      <c r="F10451" t="s">
        <v>948</v>
      </c>
      <c r="G10451">
        <v>5199999</v>
      </c>
      <c r="H10451">
        <v>401072</v>
      </c>
      <c r="I10451" t="s">
        <v>949</v>
      </c>
    </row>
    <row r="10452" spans="1:9" x14ac:dyDescent="0.25">
      <c r="A10452">
        <v>4230</v>
      </c>
      <c r="B10452">
        <v>51</v>
      </c>
      <c r="C10452" t="s">
        <v>946</v>
      </c>
      <c r="D10452" t="s">
        <v>1059</v>
      </c>
      <c r="E10452" t="s">
        <v>259</v>
      </c>
      <c r="F10452" t="s">
        <v>948</v>
      </c>
      <c r="G10452">
        <v>5199999</v>
      </c>
      <c r="H10452">
        <v>409002</v>
      </c>
      <c r="I10452" t="s">
        <v>949</v>
      </c>
    </row>
    <row r="10453" spans="1:9" x14ac:dyDescent="0.25">
      <c r="A10453">
        <v>4230</v>
      </c>
      <c r="B10453">
        <v>51</v>
      </c>
      <c r="C10453" t="s">
        <v>946</v>
      </c>
      <c r="D10453" t="s">
        <v>1059</v>
      </c>
      <c r="E10453" t="s">
        <v>263</v>
      </c>
      <c r="F10453" t="s">
        <v>948</v>
      </c>
      <c r="G10453">
        <v>5199999</v>
      </c>
      <c r="H10453">
        <v>401042</v>
      </c>
      <c r="I10453" t="s">
        <v>949</v>
      </c>
    </row>
    <row r="10454" spans="1:9" x14ac:dyDescent="0.25">
      <c r="A10454">
        <v>4230</v>
      </c>
      <c r="B10454">
        <v>51</v>
      </c>
      <c r="C10454" t="s">
        <v>946</v>
      </c>
      <c r="D10454" t="s">
        <v>1059</v>
      </c>
      <c r="E10454" t="s">
        <v>100</v>
      </c>
      <c r="F10454" t="s">
        <v>948</v>
      </c>
      <c r="G10454">
        <v>5199999</v>
      </c>
      <c r="H10454">
        <v>401042</v>
      </c>
      <c r="I10454" t="s">
        <v>949</v>
      </c>
    </row>
    <row r="10455" spans="1:9" x14ac:dyDescent="0.25">
      <c r="A10455">
        <v>4230</v>
      </c>
      <c r="B10455">
        <v>51</v>
      </c>
      <c r="C10455" t="s">
        <v>946</v>
      </c>
      <c r="D10455" t="s">
        <v>1059</v>
      </c>
      <c r="E10455" t="s">
        <v>270</v>
      </c>
      <c r="F10455" t="s">
        <v>948</v>
      </c>
      <c r="G10455">
        <v>5199999</v>
      </c>
      <c r="H10455">
        <v>401062</v>
      </c>
      <c r="I10455" t="s">
        <v>949</v>
      </c>
    </row>
    <row r="10456" spans="1:9" x14ac:dyDescent="0.25">
      <c r="A10456">
        <v>4230</v>
      </c>
      <c r="B10456">
        <v>51</v>
      </c>
      <c r="C10456" t="s">
        <v>946</v>
      </c>
      <c r="D10456" t="s">
        <v>1059</v>
      </c>
      <c r="E10456" t="s">
        <v>274</v>
      </c>
      <c r="F10456" t="s">
        <v>948</v>
      </c>
      <c r="G10456">
        <v>5199999</v>
      </c>
      <c r="H10456">
        <v>401042</v>
      </c>
      <c r="I10456" t="s">
        <v>949</v>
      </c>
    </row>
    <row r="10457" spans="1:9" x14ac:dyDescent="0.25">
      <c r="A10457">
        <v>4230</v>
      </c>
      <c r="B10457">
        <v>51</v>
      </c>
      <c r="C10457" t="s">
        <v>946</v>
      </c>
      <c r="D10457" t="s">
        <v>1059</v>
      </c>
      <c r="E10457" t="s">
        <v>104</v>
      </c>
      <c r="F10457" t="s">
        <v>948</v>
      </c>
      <c r="G10457">
        <v>5199999</v>
      </c>
      <c r="H10457">
        <v>401042</v>
      </c>
      <c r="I10457" t="s">
        <v>949</v>
      </c>
    </row>
    <row r="10458" spans="1:9" x14ac:dyDescent="0.25">
      <c r="A10458">
        <v>4230</v>
      </c>
      <c r="B10458">
        <v>51</v>
      </c>
      <c r="C10458" t="s">
        <v>946</v>
      </c>
      <c r="D10458" t="s">
        <v>1059</v>
      </c>
      <c r="E10458" t="s">
        <v>278</v>
      </c>
      <c r="F10458" t="s">
        <v>948</v>
      </c>
      <c r="G10458">
        <v>5199999</v>
      </c>
      <c r="H10458">
        <v>401052</v>
      </c>
      <c r="I10458" t="s">
        <v>949</v>
      </c>
    </row>
    <row r="10459" spans="1:9" x14ac:dyDescent="0.25">
      <c r="A10459">
        <v>4230</v>
      </c>
      <c r="B10459">
        <v>51</v>
      </c>
      <c r="C10459" t="s">
        <v>946</v>
      </c>
      <c r="D10459" t="s">
        <v>1059</v>
      </c>
      <c r="E10459" t="s">
        <v>282</v>
      </c>
      <c r="F10459" t="s">
        <v>948</v>
      </c>
      <c r="G10459">
        <v>5199999</v>
      </c>
      <c r="H10459">
        <v>401042</v>
      </c>
      <c r="I10459" t="s">
        <v>949</v>
      </c>
    </row>
    <row r="10460" spans="1:9" x14ac:dyDescent="0.25">
      <c r="A10460">
        <v>4230</v>
      </c>
      <c r="B10460">
        <v>51</v>
      </c>
      <c r="C10460" t="s">
        <v>946</v>
      </c>
      <c r="D10460" t="s">
        <v>1059</v>
      </c>
      <c r="E10460" t="s">
        <v>286</v>
      </c>
      <c r="F10460" t="s">
        <v>948</v>
      </c>
      <c r="G10460">
        <v>5199999</v>
      </c>
      <c r="H10460">
        <v>401032</v>
      </c>
      <c r="I10460" t="s">
        <v>949</v>
      </c>
    </row>
    <row r="10461" spans="1:9" x14ac:dyDescent="0.25">
      <c r="A10461">
        <v>4230</v>
      </c>
      <c r="B10461">
        <v>51</v>
      </c>
      <c r="C10461" t="s">
        <v>946</v>
      </c>
      <c r="D10461" t="s">
        <v>1059</v>
      </c>
      <c r="E10461" t="s">
        <v>290</v>
      </c>
      <c r="F10461" t="s">
        <v>948</v>
      </c>
      <c r="G10461">
        <v>5199999</v>
      </c>
      <c r="H10461">
        <v>401042</v>
      </c>
      <c r="I10461" t="s">
        <v>949</v>
      </c>
    </row>
    <row r="10462" spans="1:9" x14ac:dyDescent="0.25">
      <c r="A10462">
        <v>4230</v>
      </c>
      <c r="B10462">
        <v>51</v>
      </c>
      <c r="C10462" t="s">
        <v>946</v>
      </c>
      <c r="D10462" t="s">
        <v>1059</v>
      </c>
      <c r="E10462" t="s">
        <v>294</v>
      </c>
      <c r="F10462" t="s">
        <v>948</v>
      </c>
      <c r="G10462">
        <v>5199999</v>
      </c>
      <c r="H10462">
        <v>401042</v>
      </c>
      <c r="I10462" t="s">
        <v>949</v>
      </c>
    </row>
    <row r="10463" spans="1:9" x14ac:dyDescent="0.25">
      <c r="A10463">
        <v>4230</v>
      </c>
      <c r="B10463">
        <v>51</v>
      </c>
      <c r="C10463" t="s">
        <v>946</v>
      </c>
      <c r="D10463" t="s">
        <v>1059</v>
      </c>
      <c r="E10463" t="s">
        <v>298</v>
      </c>
      <c r="F10463" t="s">
        <v>948</v>
      </c>
      <c r="G10463">
        <v>5199999</v>
      </c>
      <c r="H10463">
        <v>402082</v>
      </c>
      <c r="I10463" t="s">
        <v>949</v>
      </c>
    </row>
    <row r="10464" spans="1:9" x14ac:dyDescent="0.25">
      <c r="A10464">
        <v>4230</v>
      </c>
      <c r="B10464">
        <v>51</v>
      </c>
      <c r="C10464" t="s">
        <v>946</v>
      </c>
      <c r="D10464" t="s">
        <v>1059</v>
      </c>
      <c r="E10464" t="s">
        <v>302</v>
      </c>
      <c r="F10464" t="s">
        <v>948</v>
      </c>
      <c r="G10464">
        <v>5199999</v>
      </c>
      <c r="H10464">
        <v>401902</v>
      </c>
      <c r="I10464" t="s">
        <v>949</v>
      </c>
    </row>
    <row r="10465" spans="1:9" x14ac:dyDescent="0.25">
      <c r="A10465">
        <v>4230</v>
      </c>
      <c r="B10465">
        <v>51</v>
      </c>
      <c r="C10465" t="s">
        <v>946</v>
      </c>
      <c r="D10465" t="s">
        <v>1059</v>
      </c>
      <c r="E10465" t="s">
        <v>306</v>
      </c>
      <c r="F10465" t="s">
        <v>948</v>
      </c>
      <c r="G10465">
        <v>5199999</v>
      </c>
      <c r="H10465">
        <v>401042</v>
      </c>
      <c r="I10465" t="s">
        <v>949</v>
      </c>
    </row>
    <row r="10466" spans="1:9" x14ac:dyDescent="0.25">
      <c r="A10466">
        <v>4230</v>
      </c>
      <c r="B10466">
        <v>51</v>
      </c>
      <c r="C10466" t="s">
        <v>946</v>
      </c>
      <c r="D10466" t="s">
        <v>1059</v>
      </c>
      <c r="E10466" t="s">
        <v>310</v>
      </c>
      <c r="F10466" t="s">
        <v>948</v>
      </c>
      <c r="G10466">
        <v>5199999</v>
      </c>
      <c r="H10466">
        <v>401012</v>
      </c>
      <c r="I10466" t="s">
        <v>949</v>
      </c>
    </row>
    <row r="10467" spans="1:9" x14ac:dyDescent="0.25">
      <c r="A10467">
        <v>4230</v>
      </c>
      <c r="B10467">
        <v>51</v>
      </c>
      <c r="C10467" t="s">
        <v>946</v>
      </c>
      <c r="D10467" t="s">
        <v>1059</v>
      </c>
      <c r="E10467" t="s">
        <v>314</v>
      </c>
      <c r="F10467" t="s">
        <v>948</v>
      </c>
      <c r="G10467">
        <v>5199999</v>
      </c>
      <c r="H10467">
        <v>401062</v>
      </c>
      <c r="I10467" t="s">
        <v>949</v>
      </c>
    </row>
    <row r="10468" spans="1:9" x14ac:dyDescent="0.25">
      <c r="A10468">
        <v>4141</v>
      </c>
      <c r="B10468">
        <v>51</v>
      </c>
      <c r="C10468" t="s">
        <v>946</v>
      </c>
      <c r="D10468" t="s">
        <v>1060</v>
      </c>
      <c r="E10468" t="s">
        <v>49</v>
      </c>
      <c r="F10468" t="s">
        <v>948</v>
      </c>
      <c r="G10468">
        <v>5177777</v>
      </c>
      <c r="H10468">
        <v>501010</v>
      </c>
      <c r="I10468">
        <v>51</v>
      </c>
    </row>
    <row r="10469" spans="1:9" x14ac:dyDescent="0.25">
      <c r="A10469">
        <v>4220</v>
      </c>
      <c r="B10469">
        <v>51</v>
      </c>
      <c r="C10469" t="s">
        <v>946</v>
      </c>
      <c r="D10469" t="s">
        <v>1060</v>
      </c>
      <c r="E10469" t="s">
        <v>49</v>
      </c>
      <c r="F10469" t="s">
        <v>948</v>
      </c>
      <c r="G10469">
        <v>5177777</v>
      </c>
      <c r="H10469">
        <v>501010</v>
      </c>
      <c r="I10469">
        <v>51</v>
      </c>
    </row>
    <row r="10470" spans="1:9" x14ac:dyDescent="0.25">
      <c r="A10470">
        <v>4240</v>
      </c>
      <c r="B10470">
        <v>51</v>
      </c>
      <c r="C10470" t="s">
        <v>946</v>
      </c>
      <c r="D10470" t="s">
        <v>1060</v>
      </c>
      <c r="E10470" t="s">
        <v>49</v>
      </c>
      <c r="F10470" t="s">
        <v>948</v>
      </c>
      <c r="G10470">
        <v>5100000</v>
      </c>
      <c r="H10470">
        <v>145000</v>
      </c>
      <c r="I10470" t="s">
        <v>949</v>
      </c>
    </row>
    <row r="10471" spans="1:9" x14ac:dyDescent="0.25">
      <c r="A10471">
        <v>4230</v>
      </c>
      <c r="B10471">
        <v>51</v>
      </c>
      <c r="C10471" t="s">
        <v>946</v>
      </c>
      <c r="D10471" t="s">
        <v>1060</v>
      </c>
      <c r="E10471" t="s">
        <v>243</v>
      </c>
      <c r="F10471" t="s">
        <v>948</v>
      </c>
      <c r="G10471">
        <v>5199999</v>
      </c>
      <c r="H10471">
        <v>401055</v>
      </c>
      <c r="I10471">
        <v>51</v>
      </c>
    </row>
    <row r="10472" spans="1:9" x14ac:dyDescent="0.25">
      <c r="A10472">
        <v>4230</v>
      </c>
      <c r="B10472">
        <v>51</v>
      </c>
      <c r="C10472" t="s">
        <v>946</v>
      </c>
      <c r="D10472" t="s">
        <v>1060</v>
      </c>
      <c r="E10472" t="s">
        <v>247</v>
      </c>
      <c r="F10472" t="s">
        <v>948</v>
      </c>
      <c r="G10472">
        <v>5199999</v>
      </c>
      <c r="H10472">
        <v>401025</v>
      </c>
      <c r="I10472">
        <v>51</v>
      </c>
    </row>
    <row r="10473" spans="1:9" x14ac:dyDescent="0.25">
      <c r="A10473">
        <v>4230</v>
      </c>
      <c r="B10473">
        <v>51</v>
      </c>
      <c r="C10473" t="s">
        <v>946</v>
      </c>
      <c r="D10473" t="s">
        <v>1060</v>
      </c>
      <c r="E10473" t="s">
        <v>251</v>
      </c>
      <c r="F10473" t="s">
        <v>948</v>
      </c>
      <c r="G10473">
        <v>5199999</v>
      </c>
      <c r="H10473">
        <v>401045</v>
      </c>
      <c r="I10473">
        <v>51</v>
      </c>
    </row>
    <row r="10474" spans="1:9" x14ac:dyDescent="0.25">
      <c r="A10474">
        <v>4230</v>
      </c>
      <c r="B10474">
        <v>51</v>
      </c>
      <c r="C10474" t="s">
        <v>946</v>
      </c>
      <c r="D10474" t="s">
        <v>1060</v>
      </c>
      <c r="E10474" t="s">
        <v>255</v>
      </c>
      <c r="F10474" t="s">
        <v>948</v>
      </c>
      <c r="G10474">
        <v>5199999</v>
      </c>
      <c r="H10474">
        <v>401075</v>
      </c>
      <c r="I10474">
        <v>51</v>
      </c>
    </row>
    <row r="10475" spans="1:9" x14ac:dyDescent="0.25">
      <c r="A10475">
        <v>4230</v>
      </c>
      <c r="B10475">
        <v>51</v>
      </c>
      <c r="C10475" t="s">
        <v>946</v>
      </c>
      <c r="D10475" t="s">
        <v>1060</v>
      </c>
      <c r="E10475" t="s">
        <v>259</v>
      </c>
      <c r="F10475" t="s">
        <v>948</v>
      </c>
      <c r="G10475">
        <v>5199999</v>
      </c>
      <c r="H10475">
        <v>409005</v>
      </c>
      <c r="I10475">
        <v>51</v>
      </c>
    </row>
    <row r="10476" spans="1:9" x14ac:dyDescent="0.25">
      <c r="A10476">
        <v>4230</v>
      </c>
      <c r="B10476">
        <v>51</v>
      </c>
      <c r="C10476" t="s">
        <v>946</v>
      </c>
      <c r="D10476" t="s">
        <v>1060</v>
      </c>
      <c r="E10476" t="s">
        <v>263</v>
      </c>
      <c r="F10476" t="s">
        <v>948</v>
      </c>
      <c r="G10476">
        <v>5199999</v>
      </c>
      <c r="H10476">
        <v>401045</v>
      </c>
      <c r="I10476">
        <v>51</v>
      </c>
    </row>
    <row r="10477" spans="1:9" x14ac:dyDescent="0.25">
      <c r="A10477">
        <v>4230</v>
      </c>
      <c r="B10477">
        <v>51</v>
      </c>
      <c r="C10477" t="s">
        <v>946</v>
      </c>
      <c r="D10477" t="s">
        <v>1060</v>
      </c>
      <c r="E10477" t="s">
        <v>100</v>
      </c>
      <c r="F10477" t="s">
        <v>948</v>
      </c>
      <c r="G10477">
        <v>5199999</v>
      </c>
      <c r="H10477">
        <v>401045</v>
      </c>
      <c r="I10477">
        <v>51</v>
      </c>
    </row>
    <row r="10478" spans="1:9" x14ac:dyDescent="0.25">
      <c r="A10478">
        <v>4230</v>
      </c>
      <c r="B10478">
        <v>51</v>
      </c>
      <c r="C10478" t="s">
        <v>946</v>
      </c>
      <c r="D10478" t="s">
        <v>1060</v>
      </c>
      <c r="E10478" t="s">
        <v>270</v>
      </c>
      <c r="F10478" t="s">
        <v>948</v>
      </c>
      <c r="G10478">
        <v>5199999</v>
      </c>
      <c r="H10478">
        <v>401065</v>
      </c>
      <c r="I10478">
        <v>51</v>
      </c>
    </row>
    <row r="10479" spans="1:9" x14ac:dyDescent="0.25">
      <c r="A10479">
        <v>4230</v>
      </c>
      <c r="B10479">
        <v>51</v>
      </c>
      <c r="C10479" t="s">
        <v>946</v>
      </c>
      <c r="D10479" t="s">
        <v>1060</v>
      </c>
      <c r="E10479" t="s">
        <v>274</v>
      </c>
      <c r="F10479" t="s">
        <v>948</v>
      </c>
      <c r="G10479">
        <v>5199999</v>
      </c>
      <c r="H10479">
        <v>401045</v>
      </c>
      <c r="I10479">
        <v>51</v>
      </c>
    </row>
    <row r="10480" spans="1:9" x14ac:dyDescent="0.25">
      <c r="A10480">
        <v>4230</v>
      </c>
      <c r="B10480">
        <v>51</v>
      </c>
      <c r="C10480" t="s">
        <v>946</v>
      </c>
      <c r="D10480" t="s">
        <v>1060</v>
      </c>
      <c r="E10480" t="s">
        <v>104</v>
      </c>
      <c r="F10480" t="s">
        <v>948</v>
      </c>
      <c r="G10480">
        <v>5199999</v>
      </c>
      <c r="H10480">
        <v>401045</v>
      </c>
      <c r="I10480">
        <v>51</v>
      </c>
    </row>
    <row r="10481" spans="1:9" x14ac:dyDescent="0.25">
      <c r="A10481">
        <v>4230</v>
      </c>
      <c r="B10481">
        <v>51</v>
      </c>
      <c r="C10481" t="s">
        <v>946</v>
      </c>
      <c r="D10481" t="s">
        <v>1060</v>
      </c>
      <c r="E10481" t="s">
        <v>278</v>
      </c>
      <c r="F10481" t="s">
        <v>948</v>
      </c>
      <c r="G10481">
        <v>5199999</v>
      </c>
      <c r="H10481">
        <v>401055</v>
      </c>
      <c r="I10481">
        <v>51</v>
      </c>
    </row>
    <row r="10482" spans="1:9" x14ac:dyDescent="0.25">
      <c r="A10482">
        <v>4230</v>
      </c>
      <c r="B10482">
        <v>51</v>
      </c>
      <c r="C10482" t="s">
        <v>946</v>
      </c>
      <c r="D10482" t="s">
        <v>1060</v>
      </c>
      <c r="E10482" t="s">
        <v>282</v>
      </c>
      <c r="F10482" t="s">
        <v>948</v>
      </c>
      <c r="G10482">
        <v>5199999</v>
      </c>
      <c r="H10482">
        <v>401045</v>
      </c>
      <c r="I10482">
        <v>51</v>
      </c>
    </row>
    <row r="10483" spans="1:9" x14ac:dyDescent="0.25">
      <c r="A10483">
        <v>4230</v>
      </c>
      <c r="B10483">
        <v>51</v>
      </c>
      <c r="C10483" t="s">
        <v>946</v>
      </c>
      <c r="D10483" t="s">
        <v>1060</v>
      </c>
      <c r="E10483" t="s">
        <v>286</v>
      </c>
      <c r="F10483" t="s">
        <v>948</v>
      </c>
      <c r="G10483">
        <v>5199999</v>
      </c>
      <c r="H10483">
        <v>401035</v>
      </c>
      <c r="I10483">
        <v>51</v>
      </c>
    </row>
    <row r="10484" spans="1:9" x14ac:dyDescent="0.25">
      <c r="A10484">
        <v>4230</v>
      </c>
      <c r="B10484">
        <v>51</v>
      </c>
      <c r="C10484" t="s">
        <v>946</v>
      </c>
      <c r="D10484" t="s">
        <v>1060</v>
      </c>
      <c r="E10484" t="s">
        <v>290</v>
      </c>
      <c r="F10484" t="s">
        <v>948</v>
      </c>
      <c r="G10484">
        <v>5199999</v>
      </c>
      <c r="H10484">
        <v>401045</v>
      </c>
      <c r="I10484">
        <v>51</v>
      </c>
    </row>
    <row r="10485" spans="1:9" x14ac:dyDescent="0.25">
      <c r="A10485">
        <v>4230</v>
      </c>
      <c r="B10485">
        <v>51</v>
      </c>
      <c r="C10485" t="s">
        <v>946</v>
      </c>
      <c r="D10485" t="s">
        <v>1060</v>
      </c>
      <c r="E10485" t="s">
        <v>294</v>
      </c>
      <c r="F10485" t="s">
        <v>948</v>
      </c>
      <c r="G10485">
        <v>5199999</v>
      </c>
      <c r="H10485">
        <v>401045</v>
      </c>
      <c r="I10485">
        <v>51</v>
      </c>
    </row>
    <row r="10486" spans="1:9" x14ac:dyDescent="0.25">
      <c r="A10486">
        <v>4230</v>
      </c>
      <c r="B10486">
        <v>51</v>
      </c>
      <c r="C10486" t="s">
        <v>946</v>
      </c>
      <c r="D10486" t="s">
        <v>1060</v>
      </c>
      <c r="E10486" t="s">
        <v>298</v>
      </c>
      <c r="F10486" t="s">
        <v>948</v>
      </c>
      <c r="G10486">
        <v>5199999</v>
      </c>
      <c r="H10486">
        <v>402085</v>
      </c>
      <c r="I10486">
        <v>51</v>
      </c>
    </row>
    <row r="10487" spans="1:9" x14ac:dyDescent="0.25">
      <c r="A10487">
        <v>4230</v>
      </c>
      <c r="B10487">
        <v>51</v>
      </c>
      <c r="C10487" t="s">
        <v>946</v>
      </c>
      <c r="D10487" t="s">
        <v>1060</v>
      </c>
      <c r="E10487" t="s">
        <v>302</v>
      </c>
      <c r="F10487" t="s">
        <v>948</v>
      </c>
      <c r="G10487">
        <v>5199999</v>
      </c>
      <c r="H10487">
        <v>401905</v>
      </c>
      <c r="I10487">
        <v>51</v>
      </c>
    </row>
    <row r="10488" spans="1:9" x14ac:dyDescent="0.25">
      <c r="A10488">
        <v>4230</v>
      </c>
      <c r="B10488">
        <v>51</v>
      </c>
      <c r="C10488" t="s">
        <v>946</v>
      </c>
      <c r="D10488" t="s">
        <v>1060</v>
      </c>
      <c r="E10488" t="s">
        <v>306</v>
      </c>
      <c r="F10488" t="s">
        <v>948</v>
      </c>
      <c r="G10488">
        <v>5199999</v>
      </c>
      <c r="H10488">
        <v>401045</v>
      </c>
      <c r="I10488">
        <v>51</v>
      </c>
    </row>
    <row r="10489" spans="1:9" x14ac:dyDescent="0.25">
      <c r="A10489">
        <v>4230</v>
      </c>
      <c r="B10489">
        <v>51</v>
      </c>
      <c r="C10489" t="s">
        <v>946</v>
      </c>
      <c r="D10489" t="s">
        <v>1060</v>
      </c>
      <c r="E10489" t="s">
        <v>310</v>
      </c>
      <c r="F10489" t="s">
        <v>948</v>
      </c>
      <c r="G10489">
        <v>5199999</v>
      </c>
      <c r="H10489">
        <v>401015</v>
      </c>
      <c r="I10489">
        <v>51</v>
      </c>
    </row>
    <row r="10490" spans="1:9" x14ac:dyDescent="0.25">
      <c r="A10490">
        <v>4230</v>
      </c>
      <c r="B10490">
        <v>51</v>
      </c>
      <c r="C10490" t="s">
        <v>946</v>
      </c>
      <c r="D10490" t="s">
        <v>1060</v>
      </c>
      <c r="E10490" t="s">
        <v>314</v>
      </c>
      <c r="F10490" t="s">
        <v>948</v>
      </c>
      <c r="G10490">
        <v>5199999</v>
      </c>
      <c r="H10490">
        <v>401065</v>
      </c>
      <c r="I10490">
        <v>51</v>
      </c>
    </row>
    <row r="10491" spans="1:9" x14ac:dyDescent="0.25">
      <c r="A10491">
        <v>4141</v>
      </c>
      <c r="B10491">
        <v>51</v>
      </c>
      <c r="C10491" t="s">
        <v>946</v>
      </c>
      <c r="D10491" t="s">
        <v>1036</v>
      </c>
      <c r="E10491" t="s">
        <v>49</v>
      </c>
      <c r="F10491" t="s">
        <v>948</v>
      </c>
      <c r="G10491">
        <v>5101505</v>
      </c>
      <c r="H10491">
        <v>700255</v>
      </c>
      <c r="I10491" t="s">
        <v>949</v>
      </c>
    </row>
    <row r="10492" spans="1:9" x14ac:dyDescent="0.25">
      <c r="A10492">
        <v>4220</v>
      </c>
      <c r="B10492">
        <v>51</v>
      </c>
      <c r="C10492" t="s">
        <v>946</v>
      </c>
      <c r="D10492" t="s">
        <v>1036</v>
      </c>
      <c r="E10492" t="s">
        <v>49</v>
      </c>
      <c r="F10492" t="s">
        <v>948</v>
      </c>
      <c r="G10492">
        <v>5101505</v>
      </c>
      <c r="H10492">
        <v>700255</v>
      </c>
      <c r="I10492" t="s">
        <v>949</v>
      </c>
    </row>
    <row r="10493" spans="1:9" x14ac:dyDescent="0.25">
      <c r="A10493">
        <v>4230</v>
      </c>
      <c r="B10493">
        <v>51</v>
      </c>
      <c r="C10493" t="s">
        <v>946</v>
      </c>
      <c r="D10493" t="s">
        <v>1036</v>
      </c>
      <c r="E10493" t="s">
        <v>49</v>
      </c>
      <c r="F10493" t="s">
        <v>948</v>
      </c>
      <c r="G10493">
        <v>5101305</v>
      </c>
      <c r="H10493">
        <v>700255</v>
      </c>
      <c r="I10493" t="s">
        <v>949</v>
      </c>
    </row>
    <row r="10494" spans="1:9" x14ac:dyDescent="0.25">
      <c r="A10494">
        <v>4240</v>
      </c>
      <c r="B10494">
        <v>51</v>
      </c>
      <c r="C10494" t="s">
        <v>946</v>
      </c>
      <c r="D10494" t="s">
        <v>1036</v>
      </c>
      <c r="E10494" t="s">
        <v>49</v>
      </c>
      <c r="F10494" t="s">
        <v>948</v>
      </c>
      <c r="G10494">
        <v>5100000</v>
      </c>
      <c r="H10494">
        <v>145000</v>
      </c>
      <c r="I10494" t="s">
        <v>949</v>
      </c>
    </row>
    <row r="10495" spans="1:9" x14ac:dyDescent="0.25">
      <c r="A10495">
        <v>4141</v>
      </c>
      <c r="B10495">
        <v>51</v>
      </c>
      <c r="C10495" t="s">
        <v>946</v>
      </c>
      <c r="D10495" t="s">
        <v>1038</v>
      </c>
      <c r="E10495" t="s">
        <v>49</v>
      </c>
      <c r="F10495" t="s">
        <v>948</v>
      </c>
      <c r="G10495">
        <v>5177777</v>
      </c>
      <c r="H10495">
        <v>501010</v>
      </c>
      <c r="I10495" t="s">
        <v>949</v>
      </c>
    </row>
    <row r="10496" spans="1:9" x14ac:dyDescent="0.25">
      <c r="A10496">
        <v>4220</v>
      </c>
      <c r="B10496">
        <v>51</v>
      </c>
      <c r="C10496" t="s">
        <v>946</v>
      </c>
      <c r="D10496" t="s">
        <v>1038</v>
      </c>
      <c r="E10496" t="s">
        <v>49</v>
      </c>
      <c r="F10496" t="s">
        <v>948</v>
      </c>
      <c r="G10496">
        <v>5177777</v>
      </c>
      <c r="H10496">
        <v>501010</v>
      </c>
      <c r="I10496" t="s">
        <v>949</v>
      </c>
    </row>
    <row r="10497" spans="1:9" x14ac:dyDescent="0.25">
      <c r="A10497">
        <v>4240</v>
      </c>
      <c r="B10497">
        <v>51</v>
      </c>
      <c r="C10497" t="s">
        <v>946</v>
      </c>
      <c r="D10497" t="s">
        <v>1038</v>
      </c>
      <c r="E10497" t="s">
        <v>49</v>
      </c>
      <c r="F10497" t="s">
        <v>948</v>
      </c>
      <c r="G10497">
        <v>5100000</v>
      </c>
      <c r="H10497">
        <v>145000</v>
      </c>
      <c r="I10497" t="s">
        <v>949</v>
      </c>
    </row>
    <row r="10498" spans="1:9" x14ac:dyDescent="0.25">
      <c r="A10498">
        <v>4250</v>
      </c>
      <c r="B10498">
        <v>51</v>
      </c>
      <c r="C10498" t="s">
        <v>946</v>
      </c>
      <c r="D10498" t="s">
        <v>1038</v>
      </c>
      <c r="E10498" t="s">
        <v>49</v>
      </c>
      <c r="F10498" t="s">
        <v>948</v>
      </c>
      <c r="G10498">
        <v>5100000</v>
      </c>
      <c r="H10498">
        <v>130305</v>
      </c>
      <c r="I10498" t="s">
        <v>949</v>
      </c>
    </row>
    <row r="10499" spans="1:9" x14ac:dyDescent="0.25">
      <c r="A10499">
        <v>4270</v>
      </c>
      <c r="B10499">
        <v>51</v>
      </c>
      <c r="C10499" t="s">
        <v>946</v>
      </c>
      <c r="D10499" t="s">
        <v>1038</v>
      </c>
      <c r="E10499" t="s">
        <v>49</v>
      </c>
      <c r="F10499" t="s">
        <v>948</v>
      </c>
      <c r="G10499">
        <v>5177777</v>
      </c>
      <c r="H10499">
        <v>500220</v>
      </c>
      <c r="I10499" t="s">
        <v>949</v>
      </c>
    </row>
    <row r="10500" spans="1:9" x14ac:dyDescent="0.25">
      <c r="A10500">
        <v>4230</v>
      </c>
      <c r="B10500">
        <v>51</v>
      </c>
      <c r="C10500" t="s">
        <v>946</v>
      </c>
      <c r="D10500" t="s">
        <v>1038</v>
      </c>
      <c r="E10500" t="s">
        <v>243</v>
      </c>
      <c r="F10500" t="s">
        <v>948</v>
      </c>
      <c r="G10500">
        <v>5199999</v>
      </c>
      <c r="H10500">
        <v>401052</v>
      </c>
      <c r="I10500" t="s">
        <v>949</v>
      </c>
    </row>
    <row r="10501" spans="1:9" x14ac:dyDescent="0.25">
      <c r="A10501">
        <v>4230</v>
      </c>
      <c r="B10501">
        <v>51</v>
      </c>
      <c r="C10501" t="s">
        <v>946</v>
      </c>
      <c r="D10501" t="s">
        <v>1038</v>
      </c>
      <c r="E10501" t="s">
        <v>247</v>
      </c>
      <c r="F10501" t="s">
        <v>948</v>
      </c>
      <c r="G10501">
        <v>5199999</v>
      </c>
      <c r="H10501">
        <v>401022</v>
      </c>
      <c r="I10501" t="s">
        <v>949</v>
      </c>
    </row>
    <row r="10502" spans="1:9" x14ac:dyDescent="0.25">
      <c r="A10502">
        <v>4230</v>
      </c>
      <c r="B10502">
        <v>51</v>
      </c>
      <c r="C10502" t="s">
        <v>946</v>
      </c>
      <c r="D10502" t="s">
        <v>1038</v>
      </c>
      <c r="E10502" t="s">
        <v>251</v>
      </c>
      <c r="F10502" t="s">
        <v>948</v>
      </c>
      <c r="G10502">
        <v>5199999</v>
      </c>
      <c r="H10502">
        <v>401042</v>
      </c>
      <c r="I10502" t="s">
        <v>949</v>
      </c>
    </row>
    <row r="10503" spans="1:9" x14ac:dyDescent="0.25">
      <c r="A10503">
        <v>4230</v>
      </c>
      <c r="B10503">
        <v>51</v>
      </c>
      <c r="C10503" t="s">
        <v>946</v>
      </c>
      <c r="D10503" t="s">
        <v>1038</v>
      </c>
      <c r="E10503" t="s">
        <v>255</v>
      </c>
      <c r="F10503" t="s">
        <v>948</v>
      </c>
      <c r="G10503">
        <v>5199999</v>
      </c>
      <c r="H10503">
        <v>401072</v>
      </c>
      <c r="I10503" t="s">
        <v>949</v>
      </c>
    </row>
    <row r="10504" spans="1:9" x14ac:dyDescent="0.25">
      <c r="A10504">
        <v>4230</v>
      </c>
      <c r="B10504">
        <v>51</v>
      </c>
      <c r="C10504" t="s">
        <v>946</v>
      </c>
      <c r="D10504" t="s">
        <v>1038</v>
      </c>
      <c r="E10504" t="s">
        <v>259</v>
      </c>
      <c r="F10504" t="s">
        <v>948</v>
      </c>
      <c r="G10504">
        <v>5199999</v>
      </c>
      <c r="H10504">
        <v>409002</v>
      </c>
      <c r="I10504" t="s">
        <v>949</v>
      </c>
    </row>
    <row r="10505" spans="1:9" x14ac:dyDescent="0.25">
      <c r="A10505">
        <v>4230</v>
      </c>
      <c r="B10505">
        <v>51</v>
      </c>
      <c r="C10505" t="s">
        <v>946</v>
      </c>
      <c r="D10505" t="s">
        <v>1038</v>
      </c>
      <c r="E10505" t="s">
        <v>263</v>
      </c>
      <c r="F10505" t="s">
        <v>948</v>
      </c>
      <c r="G10505">
        <v>5199999</v>
      </c>
      <c r="H10505">
        <v>401042</v>
      </c>
      <c r="I10505" t="s">
        <v>949</v>
      </c>
    </row>
    <row r="10506" spans="1:9" x14ac:dyDescent="0.25">
      <c r="A10506">
        <v>4230</v>
      </c>
      <c r="B10506">
        <v>51</v>
      </c>
      <c r="C10506" t="s">
        <v>946</v>
      </c>
      <c r="D10506" t="s">
        <v>1038</v>
      </c>
      <c r="E10506" t="s">
        <v>100</v>
      </c>
      <c r="F10506" t="s">
        <v>948</v>
      </c>
      <c r="G10506">
        <v>5199999</v>
      </c>
      <c r="H10506">
        <v>401042</v>
      </c>
      <c r="I10506" t="s">
        <v>949</v>
      </c>
    </row>
    <row r="10507" spans="1:9" x14ac:dyDescent="0.25">
      <c r="A10507">
        <v>4230</v>
      </c>
      <c r="B10507">
        <v>51</v>
      </c>
      <c r="C10507" t="s">
        <v>946</v>
      </c>
      <c r="D10507" t="s">
        <v>1038</v>
      </c>
      <c r="E10507" t="s">
        <v>270</v>
      </c>
      <c r="F10507" t="s">
        <v>948</v>
      </c>
      <c r="G10507">
        <v>5199999</v>
      </c>
      <c r="H10507">
        <v>401062</v>
      </c>
      <c r="I10507" t="s">
        <v>949</v>
      </c>
    </row>
    <row r="10508" spans="1:9" x14ac:dyDescent="0.25">
      <c r="A10508">
        <v>4230</v>
      </c>
      <c r="B10508">
        <v>51</v>
      </c>
      <c r="C10508" t="s">
        <v>946</v>
      </c>
      <c r="D10508" t="s">
        <v>1038</v>
      </c>
      <c r="E10508" t="s">
        <v>274</v>
      </c>
      <c r="F10508" t="s">
        <v>948</v>
      </c>
      <c r="G10508">
        <v>5199999</v>
      </c>
      <c r="H10508">
        <v>401042</v>
      </c>
      <c r="I10508" t="s">
        <v>949</v>
      </c>
    </row>
    <row r="10509" spans="1:9" x14ac:dyDescent="0.25">
      <c r="A10509">
        <v>4230</v>
      </c>
      <c r="B10509">
        <v>51</v>
      </c>
      <c r="C10509" t="s">
        <v>946</v>
      </c>
      <c r="D10509" t="s">
        <v>1038</v>
      </c>
      <c r="E10509" t="s">
        <v>104</v>
      </c>
      <c r="F10509" t="s">
        <v>948</v>
      </c>
      <c r="G10509">
        <v>5199999</v>
      </c>
      <c r="H10509">
        <v>401042</v>
      </c>
      <c r="I10509" t="s">
        <v>949</v>
      </c>
    </row>
    <row r="10510" spans="1:9" x14ac:dyDescent="0.25">
      <c r="A10510">
        <v>4230</v>
      </c>
      <c r="B10510">
        <v>51</v>
      </c>
      <c r="C10510" t="s">
        <v>946</v>
      </c>
      <c r="D10510" t="s">
        <v>1038</v>
      </c>
      <c r="E10510" t="s">
        <v>278</v>
      </c>
      <c r="F10510" t="s">
        <v>948</v>
      </c>
      <c r="G10510">
        <v>5199999</v>
      </c>
      <c r="H10510">
        <v>401052</v>
      </c>
      <c r="I10510" t="s">
        <v>949</v>
      </c>
    </row>
    <row r="10511" spans="1:9" x14ac:dyDescent="0.25">
      <c r="A10511">
        <v>4230</v>
      </c>
      <c r="B10511">
        <v>51</v>
      </c>
      <c r="C10511" t="s">
        <v>946</v>
      </c>
      <c r="D10511" t="s">
        <v>1038</v>
      </c>
      <c r="E10511" t="s">
        <v>282</v>
      </c>
      <c r="F10511" t="s">
        <v>948</v>
      </c>
      <c r="G10511">
        <v>5199999</v>
      </c>
      <c r="H10511">
        <v>401042</v>
      </c>
      <c r="I10511" t="s">
        <v>949</v>
      </c>
    </row>
    <row r="10512" spans="1:9" x14ac:dyDescent="0.25">
      <c r="A10512">
        <v>4230</v>
      </c>
      <c r="B10512">
        <v>51</v>
      </c>
      <c r="C10512" t="s">
        <v>946</v>
      </c>
      <c r="D10512" t="s">
        <v>1038</v>
      </c>
      <c r="E10512" t="s">
        <v>286</v>
      </c>
      <c r="F10512" t="s">
        <v>948</v>
      </c>
      <c r="G10512">
        <v>5199999</v>
      </c>
      <c r="H10512">
        <v>401032</v>
      </c>
      <c r="I10512" t="s">
        <v>949</v>
      </c>
    </row>
    <row r="10513" spans="1:9" x14ac:dyDescent="0.25">
      <c r="A10513">
        <v>4230</v>
      </c>
      <c r="B10513">
        <v>51</v>
      </c>
      <c r="C10513" t="s">
        <v>946</v>
      </c>
      <c r="D10513" t="s">
        <v>1038</v>
      </c>
      <c r="E10513" t="s">
        <v>290</v>
      </c>
      <c r="F10513" t="s">
        <v>948</v>
      </c>
      <c r="G10513">
        <v>5199999</v>
      </c>
      <c r="H10513">
        <v>401042</v>
      </c>
      <c r="I10513" t="s">
        <v>949</v>
      </c>
    </row>
    <row r="10514" spans="1:9" x14ac:dyDescent="0.25">
      <c r="A10514">
        <v>4230</v>
      </c>
      <c r="B10514">
        <v>51</v>
      </c>
      <c r="C10514" t="s">
        <v>946</v>
      </c>
      <c r="D10514" t="s">
        <v>1038</v>
      </c>
      <c r="E10514" t="s">
        <v>294</v>
      </c>
      <c r="F10514" t="s">
        <v>948</v>
      </c>
      <c r="G10514">
        <v>5199999</v>
      </c>
      <c r="H10514">
        <v>401042</v>
      </c>
      <c r="I10514" t="s">
        <v>949</v>
      </c>
    </row>
    <row r="10515" spans="1:9" x14ac:dyDescent="0.25">
      <c r="A10515">
        <v>4230</v>
      </c>
      <c r="B10515">
        <v>51</v>
      </c>
      <c r="C10515" t="s">
        <v>946</v>
      </c>
      <c r="D10515" t="s">
        <v>1038</v>
      </c>
      <c r="E10515" t="s">
        <v>298</v>
      </c>
      <c r="F10515" t="s">
        <v>948</v>
      </c>
      <c r="G10515">
        <v>5199999</v>
      </c>
      <c r="H10515">
        <v>402082</v>
      </c>
      <c r="I10515" t="s">
        <v>949</v>
      </c>
    </row>
    <row r="10516" spans="1:9" x14ac:dyDescent="0.25">
      <c r="A10516">
        <v>4230</v>
      </c>
      <c r="B10516">
        <v>51</v>
      </c>
      <c r="C10516" t="s">
        <v>946</v>
      </c>
      <c r="D10516" t="s">
        <v>1038</v>
      </c>
      <c r="E10516" t="s">
        <v>302</v>
      </c>
      <c r="F10516" t="s">
        <v>948</v>
      </c>
      <c r="G10516">
        <v>5199999</v>
      </c>
      <c r="H10516">
        <v>401902</v>
      </c>
      <c r="I10516" t="s">
        <v>949</v>
      </c>
    </row>
    <row r="10517" spans="1:9" x14ac:dyDescent="0.25">
      <c r="A10517">
        <v>4230</v>
      </c>
      <c r="B10517">
        <v>51</v>
      </c>
      <c r="C10517" t="s">
        <v>946</v>
      </c>
      <c r="D10517" t="s">
        <v>1038</v>
      </c>
      <c r="E10517" t="s">
        <v>306</v>
      </c>
      <c r="F10517" t="s">
        <v>948</v>
      </c>
      <c r="G10517">
        <v>5199999</v>
      </c>
      <c r="H10517">
        <v>401042</v>
      </c>
      <c r="I10517" t="s">
        <v>949</v>
      </c>
    </row>
    <row r="10518" spans="1:9" x14ac:dyDescent="0.25">
      <c r="A10518">
        <v>4230</v>
      </c>
      <c r="B10518">
        <v>51</v>
      </c>
      <c r="C10518" t="s">
        <v>946</v>
      </c>
      <c r="D10518" t="s">
        <v>1038</v>
      </c>
      <c r="E10518" t="s">
        <v>310</v>
      </c>
      <c r="F10518" t="s">
        <v>948</v>
      </c>
      <c r="G10518">
        <v>5199999</v>
      </c>
      <c r="H10518">
        <v>401012</v>
      </c>
      <c r="I10518" t="s">
        <v>949</v>
      </c>
    </row>
    <row r="10519" spans="1:9" x14ac:dyDescent="0.25">
      <c r="A10519">
        <v>4230</v>
      </c>
      <c r="B10519">
        <v>51</v>
      </c>
      <c r="C10519" t="s">
        <v>946</v>
      </c>
      <c r="D10519" t="s">
        <v>1038</v>
      </c>
      <c r="E10519" t="s">
        <v>314</v>
      </c>
      <c r="F10519" t="s">
        <v>948</v>
      </c>
      <c r="G10519">
        <v>5199999</v>
      </c>
      <c r="H10519">
        <v>401062</v>
      </c>
      <c r="I10519" t="s">
        <v>949</v>
      </c>
    </row>
    <row r="10520" spans="1:9" x14ac:dyDescent="0.25">
      <c r="A10520">
        <v>4141</v>
      </c>
      <c r="B10520">
        <v>51</v>
      </c>
      <c r="C10520" t="s">
        <v>946</v>
      </c>
      <c r="D10520" t="s">
        <v>144</v>
      </c>
      <c r="E10520" t="s">
        <v>49</v>
      </c>
      <c r="F10520" t="s">
        <v>948</v>
      </c>
      <c r="G10520">
        <v>5177777</v>
      </c>
      <c r="H10520">
        <v>500220</v>
      </c>
      <c r="I10520" t="s">
        <v>949</v>
      </c>
    </row>
    <row r="10521" ht="22" customHeight="1" spans="1:10" x14ac:dyDescent="0.25">
      <c r="A10521" s="41">
        <v>4220</v>
      </c>
      <c r="B10521" s="41">
        <v>51</v>
      </c>
      <c r="C10521" s="41" t="s">
        <v>946</v>
      </c>
      <c r="D10521" s="41" t="s">
        <v>144</v>
      </c>
      <c r="E10521" s="41" t="s">
        <v>49</v>
      </c>
      <c r="F10521" s="41" t="s">
        <v>948</v>
      </c>
      <c r="G10521" s="41">
        <v>5177777</v>
      </c>
      <c r="H10521" s="41">
        <v>500220</v>
      </c>
      <c r="I10521" s="41" t="s">
        <v>949</v>
      </c>
      <c r="J10521" s="42" t="s">
        <v>1068</v>
      </c>
    </row>
    <row r="10522" spans="1:9" x14ac:dyDescent="0.25">
      <c r="A10522">
        <v>4230</v>
      </c>
      <c r="B10522">
        <v>51</v>
      </c>
      <c r="C10522" t="s">
        <v>946</v>
      </c>
      <c r="D10522" t="s">
        <v>144</v>
      </c>
      <c r="E10522" t="s">
        <v>49</v>
      </c>
      <c r="F10522" t="s">
        <v>948</v>
      </c>
      <c r="G10522">
        <v>5177777</v>
      </c>
      <c r="H10522">
        <v>500220</v>
      </c>
      <c r="I10522" t="s">
        <v>949</v>
      </c>
    </row>
    <row r="10523" spans="1:9" x14ac:dyDescent="0.25">
      <c r="A10523">
        <v>4245</v>
      </c>
      <c r="B10523">
        <v>51</v>
      </c>
      <c r="C10523" t="s">
        <v>946</v>
      </c>
      <c r="D10523" t="s">
        <v>144</v>
      </c>
      <c r="E10523" t="s">
        <v>49</v>
      </c>
      <c r="F10523" t="s">
        <v>948</v>
      </c>
      <c r="G10523">
        <v>5177777</v>
      </c>
      <c r="H10523">
        <v>500220</v>
      </c>
      <c r="I10523" t="s">
        <v>949</v>
      </c>
    </row>
    <row r="10524" spans="1:9" x14ac:dyDescent="0.25">
      <c r="A10524">
        <v>4240</v>
      </c>
      <c r="B10524">
        <v>51</v>
      </c>
      <c r="C10524" t="s">
        <v>946</v>
      </c>
      <c r="D10524" t="s">
        <v>144</v>
      </c>
      <c r="E10524" t="s">
        <v>243</v>
      </c>
      <c r="F10524" t="s">
        <v>948</v>
      </c>
      <c r="G10524">
        <v>5100000</v>
      </c>
      <c r="H10524">
        <v>145000</v>
      </c>
      <c r="I10524" t="s">
        <v>949</v>
      </c>
    </row>
    <row r="10525" spans="1:9" x14ac:dyDescent="0.25">
      <c r="A10525">
        <v>4240</v>
      </c>
      <c r="B10525">
        <v>51</v>
      </c>
      <c r="C10525" t="s">
        <v>946</v>
      </c>
      <c r="D10525" t="s">
        <v>144</v>
      </c>
      <c r="E10525" t="s">
        <v>247</v>
      </c>
      <c r="F10525" t="s">
        <v>948</v>
      </c>
      <c r="G10525">
        <v>5100000</v>
      </c>
      <c r="H10525">
        <v>145000</v>
      </c>
      <c r="I10525" t="s">
        <v>949</v>
      </c>
    </row>
    <row r="10526" spans="1:9" x14ac:dyDescent="0.25">
      <c r="A10526">
        <v>4240</v>
      </c>
      <c r="B10526">
        <v>51</v>
      </c>
      <c r="C10526" t="s">
        <v>946</v>
      </c>
      <c r="D10526" t="s">
        <v>144</v>
      </c>
      <c r="E10526" t="s">
        <v>251</v>
      </c>
      <c r="F10526" t="s">
        <v>948</v>
      </c>
      <c r="G10526">
        <v>5100000</v>
      </c>
      <c r="H10526">
        <v>145000</v>
      </c>
      <c r="I10526" t="s">
        <v>949</v>
      </c>
    </row>
    <row r="10527" spans="1:9" x14ac:dyDescent="0.25">
      <c r="A10527">
        <v>4240</v>
      </c>
      <c r="B10527">
        <v>51</v>
      </c>
      <c r="C10527" t="s">
        <v>946</v>
      </c>
      <c r="D10527" t="s">
        <v>144</v>
      </c>
      <c r="E10527" t="s">
        <v>255</v>
      </c>
      <c r="F10527" t="s">
        <v>948</v>
      </c>
      <c r="G10527">
        <v>5100000</v>
      </c>
      <c r="H10527">
        <v>145000</v>
      </c>
      <c r="I10527" t="s">
        <v>949</v>
      </c>
    </row>
    <row r="10528" spans="1:9" x14ac:dyDescent="0.25">
      <c r="A10528">
        <v>4240</v>
      </c>
      <c r="B10528">
        <v>51</v>
      </c>
      <c r="C10528" t="s">
        <v>946</v>
      </c>
      <c r="D10528" t="s">
        <v>144</v>
      </c>
      <c r="E10528" t="s">
        <v>263</v>
      </c>
      <c r="F10528" t="s">
        <v>948</v>
      </c>
      <c r="G10528">
        <v>5100000</v>
      </c>
      <c r="H10528">
        <v>145000</v>
      </c>
      <c r="I10528" t="s">
        <v>949</v>
      </c>
    </row>
    <row r="10529" ht="22" customHeight="1" spans="1:10" x14ac:dyDescent="0.25">
      <c r="A10529" s="41">
        <v>4240</v>
      </c>
      <c r="B10529" s="41">
        <v>51</v>
      </c>
      <c r="C10529" s="41" t="s">
        <v>946</v>
      </c>
      <c r="D10529" s="41" t="s">
        <v>144</v>
      </c>
      <c r="E10529" s="41" t="s">
        <v>100</v>
      </c>
      <c r="F10529" s="41" t="s">
        <v>948</v>
      </c>
      <c r="G10529" s="41">
        <v>5177777</v>
      </c>
      <c r="H10529" s="41">
        <v>500220</v>
      </c>
      <c r="I10529" s="41" t="s">
        <v>949</v>
      </c>
      <c r="J10529" s="42" t="s">
        <v>1069</v>
      </c>
    </row>
    <row r="10530" spans="1:9" x14ac:dyDescent="0.25">
      <c r="A10530">
        <v>4240</v>
      </c>
      <c r="B10530">
        <v>51</v>
      </c>
      <c r="C10530" t="s">
        <v>946</v>
      </c>
      <c r="D10530" t="s">
        <v>144</v>
      </c>
      <c r="E10530" t="s">
        <v>270</v>
      </c>
      <c r="F10530" t="s">
        <v>948</v>
      </c>
      <c r="G10530">
        <v>5100000</v>
      </c>
      <c r="H10530">
        <v>145000</v>
      </c>
      <c r="I10530" t="s">
        <v>949</v>
      </c>
    </row>
    <row r="10531" spans="1:9" x14ac:dyDescent="0.25">
      <c r="A10531">
        <v>4240</v>
      </c>
      <c r="B10531">
        <v>51</v>
      </c>
      <c r="C10531" t="s">
        <v>946</v>
      </c>
      <c r="D10531" t="s">
        <v>144</v>
      </c>
      <c r="E10531" t="s">
        <v>274</v>
      </c>
      <c r="F10531" t="s">
        <v>948</v>
      </c>
      <c r="G10531">
        <v>5100000</v>
      </c>
      <c r="H10531">
        <v>145000</v>
      </c>
      <c r="I10531" t="s">
        <v>949</v>
      </c>
    </row>
    <row r="10532" ht="22" customHeight="1" spans="1:10" x14ac:dyDescent="0.25">
      <c r="A10532" s="41">
        <v>4240</v>
      </c>
      <c r="B10532" s="41">
        <v>51</v>
      </c>
      <c r="C10532" s="41" t="s">
        <v>946</v>
      </c>
      <c r="D10532" s="41" t="s">
        <v>144</v>
      </c>
      <c r="E10532" s="41" t="s">
        <v>104</v>
      </c>
      <c r="F10532" s="41" t="s">
        <v>948</v>
      </c>
      <c r="G10532" s="41">
        <v>5177777</v>
      </c>
      <c r="H10532" s="41">
        <v>500220</v>
      </c>
      <c r="I10532" s="41" t="s">
        <v>949</v>
      </c>
      <c r="J10532" s="42" t="s">
        <v>1069</v>
      </c>
    </row>
    <row r="10533" spans="1:9" x14ac:dyDescent="0.25">
      <c r="A10533">
        <v>4240</v>
      </c>
      <c r="B10533">
        <v>51</v>
      </c>
      <c r="C10533" t="s">
        <v>946</v>
      </c>
      <c r="D10533" t="s">
        <v>144</v>
      </c>
      <c r="E10533" t="s">
        <v>278</v>
      </c>
      <c r="F10533" t="s">
        <v>948</v>
      </c>
      <c r="G10533">
        <v>5100000</v>
      </c>
      <c r="H10533">
        <v>145000</v>
      </c>
      <c r="I10533" t="s">
        <v>949</v>
      </c>
    </row>
    <row r="10534" spans="1:9" x14ac:dyDescent="0.25">
      <c r="A10534">
        <v>4240</v>
      </c>
      <c r="B10534">
        <v>51</v>
      </c>
      <c r="C10534" t="s">
        <v>946</v>
      </c>
      <c r="D10534" t="s">
        <v>144</v>
      </c>
      <c r="E10534" t="s">
        <v>282</v>
      </c>
      <c r="F10534" t="s">
        <v>948</v>
      </c>
      <c r="G10534">
        <v>5100000</v>
      </c>
      <c r="H10534">
        <v>145000</v>
      </c>
      <c r="I10534" t="s">
        <v>949</v>
      </c>
    </row>
    <row r="10535" spans="1:9" x14ac:dyDescent="0.25">
      <c r="A10535">
        <v>4240</v>
      </c>
      <c r="B10535">
        <v>51</v>
      </c>
      <c r="C10535" t="s">
        <v>946</v>
      </c>
      <c r="D10535" t="s">
        <v>144</v>
      </c>
      <c r="E10535" t="s">
        <v>286</v>
      </c>
      <c r="F10535" t="s">
        <v>948</v>
      </c>
      <c r="G10535">
        <v>5100000</v>
      </c>
      <c r="H10535">
        <v>145000</v>
      </c>
      <c r="I10535" t="s">
        <v>949</v>
      </c>
    </row>
    <row r="10536" spans="1:9" x14ac:dyDescent="0.25">
      <c r="A10536">
        <v>4240</v>
      </c>
      <c r="B10536">
        <v>51</v>
      </c>
      <c r="C10536" t="s">
        <v>946</v>
      </c>
      <c r="D10536" t="s">
        <v>144</v>
      </c>
      <c r="E10536" t="s">
        <v>290</v>
      </c>
      <c r="F10536" t="s">
        <v>948</v>
      </c>
      <c r="G10536">
        <v>5100000</v>
      </c>
      <c r="H10536">
        <v>145000</v>
      </c>
      <c r="I10536" t="s">
        <v>949</v>
      </c>
    </row>
    <row r="10537" spans="1:9" x14ac:dyDescent="0.25">
      <c r="A10537">
        <v>4240</v>
      </c>
      <c r="B10537">
        <v>51</v>
      </c>
      <c r="C10537" t="s">
        <v>946</v>
      </c>
      <c r="D10537" t="s">
        <v>144</v>
      </c>
      <c r="E10537" t="s">
        <v>294</v>
      </c>
      <c r="F10537" t="s">
        <v>948</v>
      </c>
      <c r="G10537">
        <v>5100000</v>
      </c>
      <c r="H10537">
        <v>145000</v>
      </c>
      <c r="I10537" t="s">
        <v>949</v>
      </c>
    </row>
    <row r="10538" spans="1:9" x14ac:dyDescent="0.25">
      <c r="A10538">
        <v>4240</v>
      </c>
      <c r="B10538">
        <v>51</v>
      </c>
      <c r="C10538" t="s">
        <v>946</v>
      </c>
      <c r="D10538" t="s">
        <v>144</v>
      </c>
      <c r="E10538" t="s">
        <v>302</v>
      </c>
      <c r="F10538" t="s">
        <v>948</v>
      </c>
      <c r="G10538">
        <v>5100000</v>
      </c>
      <c r="H10538">
        <v>145000</v>
      </c>
      <c r="I10538" t="s">
        <v>949</v>
      </c>
    </row>
    <row r="10539" spans="1:9" x14ac:dyDescent="0.25">
      <c r="A10539">
        <v>4240</v>
      </c>
      <c r="B10539">
        <v>51</v>
      </c>
      <c r="C10539" t="s">
        <v>946</v>
      </c>
      <c r="D10539" t="s">
        <v>144</v>
      </c>
      <c r="E10539" t="s">
        <v>306</v>
      </c>
      <c r="F10539" t="s">
        <v>948</v>
      </c>
      <c r="G10539">
        <v>5100000</v>
      </c>
      <c r="H10539">
        <v>145000</v>
      </c>
      <c r="I10539" t="s">
        <v>949</v>
      </c>
    </row>
    <row r="10540" ht="22" customHeight="1" spans="1:10" x14ac:dyDescent="0.25">
      <c r="A10540" s="41">
        <v>4240</v>
      </c>
      <c r="B10540" s="41">
        <v>51</v>
      </c>
      <c r="C10540" s="41" t="s">
        <v>946</v>
      </c>
      <c r="D10540" s="41" t="s">
        <v>144</v>
      </c>
      <c r="E10540" s="41" t="s">
        <v>108</v>
      </c>
      <c r="F10540" s="41" t="s">
        <v>948</v>
      </c>
      <c r="G10540" s="41">
        <v>5177777</v>
      </c>
      <c r="H10540" s="41">
        <v>500220</v>
      </c>
      <c r="I10540" s="41" t="s">
        <v>949</v>
      </c>
      <c r="J10540" s="42" t="s">
        <v>1069</v>
      </c>
    </row>
    <row r="10541" spans="1:9" x14ac:dyDescent="0.25">
      <c r="A10541">
        <v>4240</v>
      </c>
      <c r="B10541">
        <v>51</v>
      </c>
      <c r="C10541" t="s">
        <v>946</v>
      </c>
      <c r="D10541" t="s">
        <v>144</v>
      </c>
      <c r="E10541" t="s">
        <v>310</v>
      </c>
      <c r="F10541" t="s">
        <v>948</v>
      </c>
      <c r="G10541">
        <v>5100000</v>
      </c>
      <c r="H10541">
        <v>145000</v>
      </c>
      <c r="I10541" t="s">
        <v>949</v>
      </c>
    </row>
    <row r="10542" spans="1:9" x14ac:dyDescent="0.25">
      <c r="A10542">
        <v>4240</v>
      </c>
      <c r="B10542">
        <v>51</v>
      </c>
      <c r="C10542" t="s">
        <v>946</v>
      </c>
      <c r="D10542" t="s">
        <v>144</v>
      </c>
      <c r="E10542" t="s">
        <v>314</v>
      </c>
      <c r="F10542" t="s">
        <v>948</v>
      </c>
      <c r="G10542">
        <v>5100000</v>
      </c>
      <c r="H10542">
        <v>145000</v>
      </c>
      <c r="I10542" t="s">
        <v>949</v>
      </c>
    </row>
    <row r="10543" ht="22" customHeight="1" spans="1:10" x14ac:dyDescent="0.25">
      <c r="A10543" s="41">
        <v>4240</v>
      </c>
      <c r="B10543" s="41">
        <v>51</v>
      </c>
      <c r="C10543" s="41" t="s">
        <v>946</v>
      </c>
      <c r="D10543" s="41" t="s">
        <v>144</v>
      </c>
      <c r="E10543" s="41" t="s">
        <v>121</v>
      </c>
      <c r="F10543" s="41" t="s">
        <v>948</v>
      </c>
      <c r="G10543" s="41">
        <v>5177777</v>
      </c>
      <c r="H10543" s="41">
        <v>500220</v>
      </c>
      <c r="I10543" s="41" t="s">
        <v>949</v>
      </c>
      <c r="J10543" s="42" t="s">
        <v>1069</v>
      </c>
    </row>
    <row r="10544" spans="1:9" x14ac:dyDescent="0.25">
      <c r="A10544">
        <v>4172</v>
      </c>
      <c r="B10544">
        <v>51</v>
      </c>
      <c r="C10544" t="s">
        <v>946</v>
      </c>
      <c r="D10544" t="s">
        <v>1063</v>
      </c>
      <c r="E10544" t="s">
        <v>49</v>
      </c>
      <c r="F10544" t="s">
        <v>948</v>
      </c>
      <c r="G10544">
        <v>5100000</v>
      </c>
      <c r="H10544">
        <v>145000</v>
      </c>
      <c r="I10544" t="s">
        <v>949</v>
      </c>
    </row>
    <row r="10545" spans="1:9" x14ac:dyDescent="0.25">
      <c r="A10545">
        <v>4174</v>
      </c>
      <c r="B10545">
        <v>51</v>
      </c>
      <c r="C10545" t="s">
        <v>946</v>
      </c>
      <c r="D10545" t="s">
        <v>1063</v>
      </c>
      <c r="E10545" t="s">
        <v>49</v>
      </c>
      <c r="F10545" t="s">
        <v>948</v>
      </c>
      <c r="G10545">
        <v>5177777</v>
      </c>
      <c r="H10545">
        <v>500465</v>
      </c>
      <c r="I10545" t="s">
        <v>949</v>
      </c>
    </row>
    <row r="10546" spans="1:9" x14ac:dyDescent="0.25">
      <c r="A10546">
        <v>4141</v>
      </c>
      <c r="B10546">
        <v>51</v>
      </c>
      <c r="C10546" t="s">
        <v>946</v>
      </c>
      <c r="D10546" t="s">
        <v>1040</v>
      </c>
      <c r="E10546" t="s">
        <v>49</v>
      </c>
      <c r="F10546" t="s">
        <v>948</v>
      </c>
      <c r="G10546">
        <v>5177777</v>
      </c>
      <c r="H10546">
        <v>500460</v>
      </c>
      <c r="I10546" t="s">
        <v>949</v>
      </c>
    </row>
    <row r="10547" spans="1:9" x14ac:dyDescent="0.25">
      <c r="A10547">
        <v>4152</v>
      </c>
      <c r="B10547">
        <v>53</v>
      </c>
      <c r="C10547" t="s">
        <v>946</v>
      </c>
      <c r="D10547">
        <v>99</v>
      </c>
      <c r="E10547" t="s">
        <v>49</v>
      </c>
      <c r="F10547" t="s">
        <v>948</v>
      </c>
      <c r="G10547">
        <v>5300000</v>
      </c>
      <c r="H10547">
        <v>145000</v>
      </c>
      <c r="I10547" t="s">
        <v>949</v>
      </c>
    </row>
    <row r="10548" spans="1:9" x14ac:dyDescent="0.25">
      <c r="A10548">
        <v>4141</v>
      </c>
      <c r="B10548">
        <v>53</v>
      </c>
      <c r="C10548" t="s">
        <v>946</v>
      </c>
      <c r="D10548" t="s">
        <v>1051</v>
      </c>
      <c r="E10548" t="s">
        <v>49</v>
      </c>
      <c r="F10548" t="s">
        <v>948</v>
      </c>
      <c r="G10548">
        <v>5377777</v>
      </c>
      <c r="H10548">
        <v>501010</v>
      </c>
      <c r="I10548">
        <v>51</v>
      </c>
    </row>
    <row r="10549" spans="1:9" x14ac:dyDescent="0.25">
      <c r="A10549">
        <v>4220</v>
      </c>
      <c r="B10549">
        <v>53</v>
      </c>
      <c r="C10549" t="s">
        <v>946</v>
      </c>
      <c r="D10549" t="s">
        <v>1051</v>
      </c>
      <c r="E10549" t="s">
        <v>49</v>
      </c>
      <c r="F10549" t="s">
        <v>948</v>
      </c>
      <c r="G10549">
        <v>5377777</v>
      </c>
      <c r="H10549">
        <v>501010</v>
      </c>
      <c r="I10549">
        <v>51</v>
      </c>
    </row>
    <row r="10550" spans="1:9" x14ac:dyDescent="0.25">
      <c r="A10550">
        <v>4230</v>
      </c>
      <c r="B10550">
        <v>53</v>
      </c>
      <c r="C10550" t="s">
        <v>946</v>
      </c>
      <c r="D10550" t="s">
        <v>1051</v>
      </c>
      <c r="E10550" t="s">
        <v>49</v>
      </c>
      <c r="F10550" t="s">
        <v>948</v>
      </c>
      <c r="G10550">
        <v>5399999</v>
      </c>
      <c r="H10550">
        <v>403055</v>
      </c>
      <c r="I10550">
        <v>51</v>
      </c>
    </row>
    <row r="10551" spans="1:9" x14ac:dyDescent="0.25">
      <c r="A10551">
        <v>4240</v>
      </c>
      <c r="B10551">
        <v>53</v>
      </c>
      <c r="C10551" t="s">
        <v>946</v>
      </c>
      <c r="D10551" t="s">
        <v>1051</v>
      </c>
      <c r="E10551" t="s">
        <v>49</v>
      </c>
      <c r="F10551" t="s">
        <v>948</v>
      </c>
      <c r="G10551">
        <v>5300000</v>
      </c>
      <c r="H10551">
        <v>145000</v>
      </c>
      <c r="I10551" t="s">
        <v>949</v>
      </c>
    </row>
    <row r="10552" spans="1:9" x14ac:dyDescent="0.25">
      <c r="A10552">
        <v>4250</v>
      </c>
      <c r="B10552">
        <v>53</v>
      </c>
      <c r="C10552" t="s">
        <v>946</v>
      </c>
      <c r="D10552" t="s">
        <v>1051</v>
      </c>
      <c r="E10552" t="s">
        <v>49</v>
      </c>
      <c r="F10552" t="s">
        <v>948</v>
      </c>
      <c r="G10552">
        <v>5300000</v>
      </c>
      <c r="H10552">
        <v>130305</v>
      </c>
      <c r="I10552" t="s">
        <v>949</v>
      </c>
    </row>
    <row r="10553" spans="1:9" x14ac:dyDescent="0.25">
      <c r="A10553">
        <v>4141</v>
      </c>
      <c r="B10553">
        <v>53</v>
      </c>
      <c r="C10553" t="s">
        <v>946</v>
      </c>
      <c r="D10553" t="s">
        <v>992</v>
      </c>
      <c r="E10553" t="s">
        <v>49</v>
      </c>
      <c r="F10553" t="s">
        <v>948</v>
      </c>
      <c r="G10553">
        <v>5377777</v>
      </c>
      <c r="H10553">
        <v>501010</v>
      </c>
      <c r="I10553" t="s">
        <v>949</v>
      </c>
    </row>
    <row r="10554" spans="1:9" x14ac:dyDescent="0.25">
      <c r="A10554">
        <v>4220</v>
      </c>
      <c r="B10554">
        <v>53</v>
      </c>
      <c r="C10554" t="s">
        <v>946</v>
      </c>
      <c r="D10554" t="s">
        <v>992</v>
      </c>
      <c r="E10554" t="s">
        <v>49</v>
      </c>
      <c r="F10554" t="s">
        <v>948</v>
      </c>
      <c r="G10554">
        <v>5377777</v>
      </c>
      <c r="H10554">
        <v>501010</v>
      </c>
      <c r="I10554" t="s">
        <v>949</v>
      </c>
    </row>
    <row r="10555" spans="1:9" x14ac:dyDescent="0.25">
      <c r="A10555">
        <v>4240</v>
      </c>
      <c r="B10555">
        <v>53</v>
      </c>
      <c r="C10555" t="s">
        <v>946</v>
      </c>
      <c r="D10555" t="s">
        <v>992</v>
      </c>
      <c r="E10555" t="s">
        <v>49</v>
      </c>
      <c r="F10555" t="s">
        <v>948</v>
      </c>
      <c r="G10555">
        <v>5300000</v>
      </c>
      <c r="H10555">
        <v>145000</v>
      </c>
      <c r="I10555" t="s">
        <v>949</v>
      </c>
    </row>
    <row r="10556" spans="1:9" x14ac:dyDescent="0.25">
      <c r="A10556">
        <v>4250</v>
      </c>
      <c r="B10556">
        <v>53</v>
      </c>
      <c r="C10556" t="s">
        <v>946</v>
      </c>
      <c r="D10556" t="s">
        <v>992</v>
      </c>
      <c r="E10556" t="s">
        <v>49</v>
      </c>
      <c r="F10556" t="s">
        <v>948</v>
      </c>
      <c r="G10556">
        <v>5300000</v>
      </c>
      <c r="H10556">
        <v>130305</v>
      </c>
      <c r="I10556" t="s">
        <v>949</v>
      </c>
    </row>
    <row r="10557" spans="1:9" x14ac:dyDescent="0.25">
      <c r="A10557">
        <v>4230</v>
      </c>
      <c r="B10557">
        <v>53</v>
      </c>
      <c r="C10557" t="s">
        <v>946</v>
      </c>
      <c r="D10557" t="s">
        <v>992</v>
      </c>
      <c r="E10557" t="s">
        <v>243</v>
      </c>
      <c r="F10557" t="s">
        <v>948</v>
      </c>
      <c r="G10557">
        <v>5399999</v>
      </c>
      <c r="H10557">
        <v>403052</v>
      </c>
      <c r="I10557" t="s">
        <v>949</v>
      </c>
    </row>
    <row r="10558" spans="1:9" x14ac:dyDescent="0.25">
      <c r="A10558">
        <v>4230</v>
      </c>
      <c r="B10558">
        <v>53</v>
      </c>
      <c r="C10558" t="s">
        <v>946</v>
      </c>
      <c r="D10558" t="s">
        <v>992</v>
      </c>
      <c r="E10558" t="s">
        <v>247</v>
      </c>
      <c r="F10558" t="s">
        <v>948</v>
      </c>
      <c r="G10558">
        <v>5399999</v>
      </c>
      <c r="H10558">
        <v>403022</v>
      </c>
      <c r="I10558" t="s">
        <v>949</v>
      </c>
    </row>
    <row r="10559" spans="1:9" x14ac:dyDescent="0.25">
      <c r="A10559">
        <v>4230</v>
      </c>
      <c r="B10559">
        <v>53</v>
      </c>
      <c r="C10559" t="s">
        <v>946</v>
      </c>
      <c r="D10559" t="s">
        <v>992</v>
      </c>
      <c r="E10559" t="s">
        <v>251</v>
      </c>
      <c r="F10559" t="s">
        <v>948</v>
      </c>
      <c r="G10559">
        <v>5399999</v>
      </c>
      <c r="H10559">
        <v>403042</v>
      </c>
      <c r="I10559" t="s">
        <v>949</v>
      </c>
    </row>
    <row r="10560" spans="1:9" x14ac:dyDescent="0.25">
      <c r="A10560">
        <v>4230</v>
      </c>
      <c r="B10560">
        <v>53</v>
      </c>
      <c r="C10560" t="s">
        <v>946</v>
      </c>
      <c r="D10560" t="s">
        <v>992</v>
      </c>
      <c r="E10560" t="s">
        <v>255</v>
      </c>
      <c r="F10560" t="s">
        <v>948</v>
      </c>
      <c r="G10560">
        <v>5399999</v>
      </c>
      <c r="H10560">
        <v>403072</v>
      </c>
      <c r="I10560" t="s">
        <v>949</v>
      </c>
    </row>
    <row r="10561" spans="1:9" x14ac:dyDescent="0.25">
      <c r="A10561">
        <v>4230</v>
      </c>
      <c r="B10561">
        <v>53</v>
      </c>
      <c r="C10561" t="s">
        <v>946</v>
      </c>
      <c r="D10561" t="s">
        <v>992</v>
      </c>
      <c r="E10561" t="s">
        <v>259</v>
      </c>
      <c r="F10561" t="s">
        <v>948</v>
      </c>
      <c r="G10561">
        <v>5399999</v>
      </c>
      <c r="H10561">
        <v>409002</v>
      </c>
      <c r="I10561" t="s">
        <v>949</v>
      </c>
    </row>
    <row r="10562" spans="1:9" x14ac:dyDescent="0.25">
      <c r="A10562">
        <v>4230</v>
      </c>
      <c r="B10562">
        <v>53</v>
      </c>
      <c r="C10562" t="s">
        <v>946</v>
      </c>
      <c r="D10562" t="s">
        <v>992</v>
      </c>
      <c r="E10562" t="s">
        <v>263</v>
      </c>
      <c r="F10562" t="s">
        <v>948</v>
      </c>
      <c r="G10562">
        <v>5399999</v>
      </c>
      <c r="H10562">
        <v>403042</v>
      </c>
      <c r="I10562" t="s">
        <v>949</v>
      </c>
    </row>
    <row r="10563" spans="1:9" x14ac:dyDescent="0.25">
      <c r="A10563">
        <v>4230</v>
      </c>
      <c r="B10563">
        <v>53</v>
      </c>
      <c r="C10563" t="s">
        <v>946</v>
      </c>
      <c r="D10563" t="s">
        <v>992</v>
      </c>
      <c r="E10563" t="s">
        <v>100</v>
      </c>
      <c r="F10563" t="s">
        <v>948</v>
      </c>
      <c r="G10563">
        <v>5399999</v>
      </c>
      <c r="H10563">
        <v>401042</v>
      </c>
      <c r="I10563" t="s">
        <v>949</v>
      </c>
    </row>
    <row r="10564" spans="1:9" x14ac:dyDescent="0.25">
      <c r="A10564">
        <v>4230</v>
      </c>
      <c r="B10564">
        <v>53</v>
      </c>
      <c r="C10564" t="s">
        <v>946</v>
      </c>
      <c r="D10564" t="s">
        <v>992</v>
      </c>
      <c r="E10564" t="s">
        <v>987</v>
      </c>
      <c r="F10564" t="s">
        <v>948</v>
      </c>
      <c r="G10564">
        <v>5399999</v>
      </c>
      <c r="H10564">
        <v>740150</v>
      </c>
      <c r="I10564" t="s">
        <v>949</v>
      </c>
    </row>
    <row r="10565" spans="1:9" x14ac:dyDescent="0.25">
      <c r="A10565">
        <v>4230</v>
      </c>
      <c r="B10565">
        <v>53</v>
      </c>
      <c r="C10565" t="s">
        <v>946</v>
      </c>
      <c r="D10565" t="s">
        <v>992</v>
      </c>
      <c r="E10565" t="s">
        <v>270</v>
      </c>
      <c r="F10565" t="s">
        <v>948</v>
      </c>
      <c r="G10565">
        <v>5399999</v>
      </c>
      <c r="H10565">
        <v>403062</v>
      </c>
      <c r="I10565" t="s">
        <v>949</v>
      </c>
    </row>
    <row r="10566" spans="1:9" x14ac:dyDescent="0.25">
      <c r="A10566">
        <v>4230</v>
      </c>
      <c r="B10566">
        <v>53</v>
      </c>
      <c r="C10566" t="s">
        <v>946</v>
      </c>
      <c r="D10566" t="s">
        <v>992</v>
      </c>
      <c r="E10566" t="s">
        <v>274</v>
      </c>
      <c r="F10566" t="s">
        <v>948</v>
      </c>
      <c r="G10566">
        <v>5399999</v>
      </c>
      <c r="H10566">
        <v>403042</v>
      </c>
      <c r="I10566" t="s">
        <v>949</v>
      </c>
    </row>
    <row r="10567" spans="1:9" x14ac:dyDescent="0.25">
      <c r="A10567">
        <v>4230</v>
      </c>
      <c r="B10567">
        <v>53</v>
      </c>
      <c r="C10567" t="s">
        <v>946</v>
      </c>
      <c r="D10567" t="s">
        <v>992</v>
      </c>
      <c r="E10567" t="s">
        <v>278</v>
      </c>
      <c r="F10567" t="s">
        <v>948</v>
      </c>
      <c r="G10567">
        <v>5399999</v>
      </c>
      <c r="H10567">
        <v>403052</v>
      </c>
      <c r="I10567" t="s">
        <v>949</v>
      </c>
    </row>
    <row r="10568" spans="1:9" x14ac:dyDescent="0.25">
      <c r="A10568">
        <v>4230</v>
      </c>
      <c r="B10568">
        <v>53</v>
      </c>
      <c r="C10568" t="s">
        <v>946</v>
      </c>
      <c r="D10568" t="s">
        <v>992</v>
      </c>
      <c r="E10568" t="s">
        <v>282</v>
      </c>
      <c r="F10568" t="s">
        <v>948</v>
      </c>
      <c r="G10568">
        <v>5399999</v>
      </c>
      <c r="H10568">
        <v>401042</v>
      </c>
      <c r="I10568" t="s">
        <v>949</v>
      </c>
    </row>
    <row r="10569" spans="1:9" x14ac:dyDescent="0.25">
      <c r="A10569">
        <v>4230</v>
      </c>
      <c r="B10569">
        <v>53</v>
      </c>
      <c r="C10569" t="s">
        <v>946</v>
      </c>
      <c r="D10569" t="s">
        <v>992</v>
      </c>
      <c r="E10569" t="s">
        <v>286</v>
      </c>
      <c r="F10569" t="s">
        <v>948</v>
      </c>
      <c r="G10569">
        <v>5399999</v>
      </c>
      <c r="H10569">
        <v>403032</v>
      </c>
      <c r="I10569" t="s">
        <v>949</v>
      </c>
    </row>
    <row r="10570" spans="1:9" x14ac:dyDescent="0.25">
      <c r="A10570">
        <v>4230</v>
      </c>
      <c r="B10570">
        <v>53</v>
      </c>
      <c r="C10570" t="s">
        <v>946</v>
      </c>
      <c r="D10570" t="s">
        <v>992</v>
      </c>
      <c r="E10570" t="s">
        <v>290</v>
      </c>
      <c r="F10570" t="s">
        <v>948</v>
      </c>
      <c r="G10570">
        <v>5399999</v>
      </c>
      <c r="H10570">
        <v>403042</v>
      </c>
      <c r="I10570" t="s">
        <v>949</v>
      </c>
    </row>
    <row r="10571" spans="1:9" x14ac:dyDescent="0.25">
      <c r="A10571">
        <v>4230</v>
      </c>
      <c r="B10571">
        <v>53</v>
      </c>
      <c r="C10571" t="s">
        <v>946</v>
      </c>
      <c r="D10571" t="s">
        <v>992</v>
      </c>
      <c r="E10571" t="s">
        <v>294</v>
      </c>
      <c r="F10571" t="s">
        <v>948</v>
      </c>
      <c r="G10571">
        <v>5399999</v>
      </c>
      <c r="H10571">
        <v>403042</v>
      </c>
      <c r="I10571" t="s">
        <v>949</v>
      </c>
    </row>
    <row r="10572" spans="1:9" x14ac:dyDescent="0.25">
      <c r="A10572">
        <v>4230</v>
      </c>
      <c r="B10572">
        <v>53</v>
      </c>
      <c r="C10572" t="s">
        <v>946</v>
      </c>
      <c r="D10572" t="s">
        <v>992</v>
      </c>
      <c r="E10572" t="s">
        <v>298</v>
      </c>
      <c r="F10572" t="s">
        <v>948</v>
      </c>
      <c r="G10572">
        <v>5399999</v>
      </c>
      <c r="H10572">
        <v>403082</v>
      </c>
      <c r="I10572" t="s">
        <v>949</v>
      </c>
    </row>
    <row r="10573" spans="1:9" x14ac:dyDescent="0.25">
      <c r="A10573">
        <v>4230</v>
      </c>
      <c r="B10573">
        <v>53</v>
      </c>
      <c r="C10573" t="s">
        <v>946</v>
      </c>
      <c r="D10573" t="s">
        <v>992</v>
      </c>
      <c r="E10573" t="s">
        <v>302</v>
      </c>
      <c r="F10573" t="s">
        <v>948</v>
      </c>
      <c r="G10573">
        <v>5399999</v>
      </c>
      <c r="H10573">
        <v>401902</v>
      </c>
      <c r="I10573" t="s">
        <v>949</v>
      </c>
    </row>
    <row r="10574" spans="1:9" x14ac:dyDescent="0.25">
      <c r="A10574">
        <v>4230</v>
      </c>
      <c r="B10574">
        <v>53</v>
      </c>
      <c r="C10574" t="s">
        <v>946</v>
      </c>
      <c r="D10574" t="s">
        <v>992</v>
      </c>
      <c r="E10574" t="s">
        <v>306</v>
      </c>
      <c r="F10574" t="s">
        <v>948</v>
      </c>
      <c r="G10574">
        <v>5399999</v>
      </c>
      <c r="H10574">
        <v>401042</v>
      </c>
      <c r="I10574" t="s">
        <v>949</v>
      </c>
    </row>
    <row r="10575" spans="1:9" x14ac:dyDescent="0.25">
      <c r="A10575">
        <v>4230</v>
      </c>
      <c r="B10575">
        <v>53</v>
      </c>
      <c r="C10575" t="s">
        <v>946</v>
      </c>
      <c r="D10575" t="s">
        <v>992</v>
      </c>
      <c r="E10575" t="s">
        <v>310</v>
      </c>
      <c r="F10575" t="s">
        <v>948</v>
      </c>
      <c r="G10575">
        <v>5399999</v>
      </c>
      <c r="H10575">
        <v>403012</v>
      </c>
      <c r="I10575" t="s">
        <v>949</v>
      </c>
    </row>
    <row r="10576" spans="1:9" x14ac:dyDescent="0.25">
      <c r="A10576">
        <v>4230</v>
      </c>
      <c r="B10576">
        <v>53</v>
      </c>
      <c r="C10576" t="s">
        <v>946</v>
      </c>
      <c r="D10576" t="s">
        <v>992</v>
      </c>
      <c r="E10576" t="s">
        <v>314</v>
      </c>
      <c r="F10576" t="s">
        <v>948</v>
      </c>
      <c r="G10576">
        <v>5399999</v>
      </c>
      <c r="H10576">
        <v>403062</v>
      </c>
      <c r="I10576" t="s">
        <v>949</v>
      </c>
    </row>
    <row r="10577" spans="1:9" x14ac:dyDescent="0.25">
      <c r="A10577">
        <v>4141</v>
      </c>
      <c r="B10577">
        <v>53</v>
      </c>
      <c r="C10577" t="s">
        <v>946</v>
      </c>
      <c r="D10577" t="s">
        <v>947</v>
      </c>
      <c r="E10577" t="s">
        <v>49</v>
      </c>
      <c r="F10577" t="s">
        <v>948</v>
      </c>
      <c r="G10577">
        <v>5377777</v>
      </c>
      <c r="H10577">
        <v>500220</v>
      </c>
      <c r="I10577" t="s">
        <v>949</v>
      </c>
    </row>
    <row r="10578" ht="22" customHeight="1" spans="1:10" x14ac:dyDescent="0.25">
      <c r="A10578" s="41">
        <v>4220</v>
      </c>
      <c r="B10578" s="41">
        <v>53</v>
      </c>
      <c r="C10578" s="41" t="s">
        <v>946</v>
      </c>
      <c r="D10578" s="41" t="s">
        <v>947</v>
      </c>
      <c r="E10578" s="41" t="s">
        <v>49</v>
      </c>
      <c r="F10578" s="41" t="s">
        <v>948</v>
      </c>
      <c r="G10578" s="41">
        <v>5377777</v>
      </c>
      <c r="H10578" s="41">
        <v>500221</v>
      </c>
      <c r="I10578" s="41" t="s">
        <v>949</v>
      </c>
      <c r="J10578" s="42" t="s">
        <v>1070</v>
      </c>
    </row>
    <row r="10579" ht="22" customHeight="1" spans="1:10" x14ac:dyDescent="0.25">
      <c r="A10579" s="41">
        <v>4240</v>
      </c>
      <c r="B10579" s="41">
        <v>53</v>
      </c>
      <c r="C10579" s="41" t="s">
        <v>946</v>
      </c>
      <c r="D10579" s="41" t="s">
        <v>947</v>
      </c>
      <c r="E10579" s="41" t="s">
        <v>49</v>
      </c>
      <c r="F10579" s="41" t="s">
        <v>948</v>
      </c>
      <c r="G10579" s="41">
        <v>5377777</v>
      </c>
      <c r="H10579" s="41">
        <v>500221</v>
      </c>
      <c r="I10579" s="41" t="s">
        <v>949</v>
      </c>
      <c r="J10579" s="42" t="s">
        <v>1071</v>
      </c>
    </row>
    <row r="10580" spans="1:9" x14ac:dyDescent="0.25">
      <c r="A10580">
        <v>4250</v>
      </c>
      <c r="B10580">
        <v>53</v>
      </c>
      <c r="C10580" t="s">
        <v>946</v>
      </c>
      <c r="D10580" t="s">
        <v>947</v>
      </c>
      <c r="E10580" t="s">
        <v>49</v>
      </c>
      <c r="F10580" t="s">
        <v>948</v>
      </c>
      <c r="G10580">
        <v>5300000</v>
      </c>
      <c r="H10580">
        <v>130305</v>
      </c>
      <c r="I10580" t="s">
        <v>949</v>
      </c>
    </row>
    <row r="10581" spans="1:9" x14ac:dyDescent="0.25">
      <c r="A10581">
        <v>4230</v>
      </c>
      <c r="B10581">
        <v>53</v>
      </c>
      <c r="C10581" t="s">
        <v>946</v>
      </c>
      <c r="D10581" t="s">
        <v>947</v>
      </c>
      <c r="E10581" t="s">
        <v>243</v>
      </c>
      <c r="F10581" t="s">
        <v>948</v>
      </c>
      <c r="G10581">
        <v>5399999</v>
      </c>
      <c r="H10581">
        <v>401052</v>
      </c>
      <c r="I10581" t="s">
        <v>949</v>
      </c>
    </row>
    <row r="10582" spans="1:9" x14ac:dyDescent="0.25">
      <c r="A10582">
        <v>4230</v>
      </c>
      <c r="B10582">
        <v>53</v>
      </c>
      <c r="C10582" t="s">
        <v>946</v>
      </c>
      <c r="D10582" t="s">
        <v>947</v>
      </c>
      <c r="E10582" t="s">
        <v>247</v>
      </c>
      <c r="F10582" t="s">
        <v>948</v>
      </c>
      <c r="G10582">
        <v>5399999</v>
      </c>
      <c r="H10582">
        <v>401022</v>
      </c>
      <c r="I10582" t="s">
        <v>949</v>
      </c>
    </row>
    <row r="10583" spans="1:9" x14ac:dyDescent="0.25">
      <c r="A10583">
        <v>4230</v>
      </c>
      <c r="B10583">
        <v>53</v>
      </c>
      <c r="C10583" t="s">
        <v>946</v>
      </c>
      <c r="D10583" t="s">
        <v>947</v>
      </c>
      <c r="E10583" t="s">
        <v>251</v>
      </c>
      <c r="F10583" t="s">
        <v>948</v>
      </c>
      <c r="G10583">
        <v>5399999</v>
      </c>
      <c r="H10583">
        <v>401042</v>
      </c>
      <c r="I10583" t="s">
        <v>949</v>
      </c>
    </row>
    <row r="10584" spans="1:9" x14ac:dyDescent="0.25">
      <c r="A10584">
        <v>4230</v>
      </c>
      <c r="B10584">
        <v>53</v>
      </c>
      <c r="C10584" t="s">
        <v>946</v>
      </c>
      <c r="D10584" t="s">
        <v>947</v>
      </c>
      <c r="E10584" t="s">
        <v>255</v>
      </c>
      <c r="F10584" t="s">
        <v>948</v>
      </c>
      <c r="G10584">
        <v>5399999</v>
      </c>
      <c r="H10584">
        <v>401072</v>
      </c>
      <c r="I10584" t="s">
        <v>949</v>
      </c>
    </row>
    <row r="10585" spans="1:9" x14ac:dyDescent="0.25">
      <c r="A10585">
        <v>4230</v>
      </c>
      <c r="B10585">
        <v>53</v>
      </c>
      <c r="C10585" t="s">
        <v>946</v>
      </c>
      <c r="D10585" t="s">
        <v>947</v>
      </c>
      <c r="E10585" t="s">
        <v>259</v>
      </c>
      <c r="F10585" t="s">
        <v>948</v>
      </c>
      <c r="G10585">
        <v>5399999</v>
      </c>
      <c r="H10585">
        <v>409002</v>
      </c>
      <c r="I10585" t="s">
        <v>949</v>
      </c>
    </row>
    <row r="10586" spans="1:9" x14ac:dyDescent="0.25">
      <c r="A10586">
        <v>4230</v>
      </c>
      <c r="B10586">
        <v>53</v>
      </c>
      <c r="C10586" t="s">
        <v>946</v>
      </c>
      <c r="D10586" t="s">
        <v>947</v>
      </c>
      <c r="E10586" t="s">
        <v>263</v>
      </c>
      <c r="F10586" t="s">
        <v>948</v>
      </c>
      <c r="G10586">
        <v>5399999</v>
      </c>
      <c r="H10586">
        <v>401042</v>
      </c>
      <c r="I10586" t="s">
        <v>949</v>
      </c>
    </row>
    <row r="10587" spans="1:9" x14ac:dyDescent="0.25">
      <c r="A10587">
        <v>4230</v>
      </c>
      <c r="B10587">
        <v>53</v>
      </c>
      <c r="C10587" t="s">
        <v>946</v>
      </c>
      <c r="D10587" t="s">
        <v>947</v>
      </c>
      <c r="E10587" t="s">
        <v>100</v>
      </c>
      <c r="F10587" t="s">
        <v>948</v>
      </c>
      <c r="G10587">
        <v>5399999</v>
      </c>
      <c r="H10587">
        <v>401042</v>
      </c>
      <c r="I10587" t="s">
        <v>949</v>
      </c>
    </row>
    <row r="10588" spans="1:9" x14ac:dyDescent="0.25">
      <c r="A10588">
        <v>4230</v>
      </c>
      <c r="B10588">
        <v>53</v>
      </c>
      <c r="C10588" t="s">
        <v>946</v>
      </c>
      <c r="D10588" t="s">
        <v>947</v>
      </c>
      <c r="E10588" t="s">
        <v>987</v>
      </c>
      <c r="F10588" t="s">
        <v>948</v>
      </c>
      <c r="G10588">
        <v>5301305</v>
      </c>
      <c r="H10588">
        <v>740150</v>
      </c>
      <c r="I10588" t="s">
        <v>949</v>
      </c>
    </row>
    <row r="10589" spans="1:9" x14ac:dyDescent="0.25">
      <c r="A10589">
        <v>4230</v>
      </c>
      <c r="B10589">
        <v>53</v>
      </c>
      <c r="C10589" t="s">
        <v>946</v>
      </c>
      <c r="D10589" t="s">
        <v>947</v>
      </c>
      <c r="E10589" t="s">
        <v>270</v>
      </c>
      <c r="F10589" t="s">
        <v>948</v>
      </c>
      <c r="G10589">
        <v>5399999</v>
      </c>
      <c r="H10589">
        <v>401062</v>
      </c>
      <c r="I10589" t="s">
        <v>949</v>
      </c>
    </row>
    <row r="10590" spans="1:9" x14ac:dyDescent="0.25">
      <c r="A10590">
        <v>4230</v>
      </c>
      <c r="B10590">
        <v>53</v>
      </c>
      <c r="C10590" t="s">
        <v>946</v>
      </c>
      <c r="D10590" t="s">
        <v>947</v>
      </c>
      <c r="E10590" t="s">
        <v>274</v>
      </c>
      <c r="F10590" t="s">
        <v>948</v>
      </c>
      <c r="G10590">
        <v>5399999</v>
      </c>
      <c r="H10590">
        <v>401042</v>
      </c>
      <c r="I10590" t="s">
        <v>949</v>
      </c>
    </row>
    <row r="10591" spans="1:9" x14ac:dyDescent="0.25">
      <c r="A10591">
        <v>4230</v>
      </c>
      <c r="B10591">
        <v>53</v>
      </c>
      <c r="C10591" t="s">
        <v>946</v>
      </c>
      <c r="D10591" t="s">
        <v>947</v>
      </c>
      <c r="E10591" t="s">
        <v>104</v>
      </c>
      <c r="F10591" t="s">
        <v>948</v>
      </c>
      <c r="G10591">
        <v>5399999</v>
      </c>
      <c r="H10591">
        <v>401042</v>
      </c>
      <c r="I10591" t="s">
        <v>949</v>
      </c>
    </row>
    <row r="10592" spans="1:9" x14ac:dyDescent="0.25">
      <c r="A10592">
        <v>4230</v>
      </c>
      <c r="B10592">
        <v>53</v>
      </c>
      <c r="C10592" t="s">
        <v>946</v>
      </c>
      <c r="D10592" t="s">
        <v>947</v>
      </c>
      <c r="E10592" t="s">
        <v>278</v>
      </c>
      <c r="F10592" t="s">
        <v>948</v>
      </c>
      <c r="G10592">
        <v>5399999</v>
      </c>
      <c r="H10592">
        <v>401052</v>
      </c>
      <c r="I10592" t="s">
        <v>949</v>
      </c>
    </row>
    <row r="10593" spans="1:9" x14ac:dyDescent="0.25">
      <c r="A10593">
        <v>4230</v>
      </c>
      <c r="B10593">
        <v>53</v>
      </c>
      <c r="C10593" t="s">
        <v>946</v>
      </c>
      <c r="D10593" t="s">
        <v>947</v>
      </c>
      <c r="E10593" t="s">
        <v>282</v>
      </c>
      <c r="F10593" t="s">
        <v>948</v>
      </c>
      <c r="G10593">
        <v>5399999</v>
      </c>
      <c r="H10593">
        <v>401042</v>
      </c>
      <c r="I10593" t="s">
        <v>949</v>
      </c>
    </row>
    <row r="10594" spans="1:9" x14ac:dyDescent="0.25">
      <c r="A10594">
        <v>4230</v>
      </c>
      <c r="B10594">
        <v>53</v>
      </c>
      <c r="C10594" t="s">
        <v>946</v>
      </c>
      <c r="D10594" t="s">
        <v>947</v>
      </c>
      <c r="E10594" t="s">
        <v>286</v>
      </c>
      <c r="F10594" t="s">
        <v>948</v>
      </c>
      <c r="G10594">
        <v>5399999</v>
      </c>
      <c r="H10594">
        <v>401032</v>
      </c>
      <c r="I10594" t="s">
        <v>949</v>
      </c>
    </row>
    <row r="10595" spans="1:9" x14ac:dyDescent="0.25">
      <c r="A10595">
        <v>4230</v>
      </c>
      <c r="B10595">
        <v>53</v>
      </c>
      <c r="C10595" t="s">
        <v>946</v>
      </c>
      <c r="D10595" t="s">
        <v>947</v>
      </c>
      <c r="E10595" t="s">
        <v>290</v>
      </c>
      <c r="F10595" t="s">
        <v>948</v>
      </c>
      <c r="G10595">
        <v>5399999</v>
      </c>
      <c r="H10595">
        <v>401042</v>
      </c>
      <c r="I10595" t="s">
        <v>949</v>
      </c>
    </row>
    <row r="10596" spans="1:9" x14ac:dyDescent="0.25">
      <c r="A10596">
        <v>4230</v>
      </c>
      <c r="B10596">
        <v>53</v>
      </c>
      <c r="C10596" t="s">
        <v>946</v>
      </c>
      <c r="D10596" t="s">
        <v>947</v>
      </c>
      <c r="E10596" t="s">
        <v>294</v>
      </c>
      <c r="F10596" t="s">
        <v>948</v>
      </c>
      <c r="G10596">
        <v>5399999</v>
      </c>
      <c r="H10596">
        <v>401042</v>
      </c>
      <c r="I10596" t="s">
        <v>949</v>
      </c>
    </row>
    <row r="10597" spans="1:9" x14ac:dyDescent="0.25">
      <c r="A10597">
        <v>4230</v>
      </c>
      <c r="B10597">
        <v>53</v>
      </c>
      <c r="C10597" t="s">
        <v>946</v>
      </c>
      <c r="D10597" t="s">
        <v>947</v>
      </c>
      <c r="E10597" t="s">
        <v>298</v>
      </c>
      <c r="F10597" t="s">
        <v>948</v>
      </c>
      <c r="G10597">
        <v>5399999</v>
      </c>
      <c r="H10597">
        <v>402082</v>
      </c>
      <c r="I10597" t="s">
        <v>949</v>
      </c>
    </row>
    <row r="10598" spans="1:9" x14ac:dyDescent="0.25">
      <c r="A10598">
        <v>4230</v>
      </c>
      <c r="B10598">
        <v>53</v>
      </c>
      <c r="C10598" t="s">
        <v>946</v>
      </c>
      <c r="D10598" t="s">
        <v>947</v>
      </c>
      <c r="E10598" t="s">
        <v>302</v>
      </c>
      <c r="F10598" t="s">
        <v>948</v>
      </c>
      <c r="G10598">
        <v>5399999</v>
      </c>
      <c r="H10598">
        <v>401902</v>
      </c>
      <c r="I10598" t="s">
        <v>949</v>
      </c>
    </row>
    <row r="10599" spans="1:9" x14ac:dyDescent="0.25">
      <c r="A10599">
        <v>4230</v>
      </c>
      <c r="B10599">
        <v>53</v>
      </c>
      <c r="C10599" t="s">
        <v>946</v>
      </c>
      <c r="D10599" t="s">
        <v>947</v>
      </c>
      <c r="E10599" t="s">
        <v>306</v>
      </c>
      <c r="F10599" t="s">
        <v>948</v>
      </c>
      <c r="G10599">
        <v>5399999</v>
      </c>
      <c r="H10599">
        <v>401042</v>
      </c>
      <c r="I10599" t="s">
        <v>949</v>
      </c>
    </row>
    <row r="10600" spans="1:9" x14ac:dyDescent="0.25">
      <c r="A10600">
        <v>4230</v>
      </c>
      <c r="B10600">
        <v>53</v>
      </c>
      <c r="C10600" t="s">
        <v>946</v>
      </c>
      <c r="D10600" t="s">
        <v>947</v>
      </c>
      <c r="E10600" t="s">
        <v>310</v>
      </c>
      <c r="F10600" t="s">
        <v>948</v>
      </c>
      <c r="G10600">
        <v>5399999</v>
      </c>
      <c r="H10600">
        <v>401012</v>
      </c>
      <c r="I10600" t="s">
        <v>949</v>
      </c>
    </row>
    <row r="10601" spans="1:9" x14ac:dyDescent="0.25">
      <c r="A10601">
        <v>4230</v>
      </c>
      <c r="B10601">
        <v>53</v>
      </c>
      <c r="C10601" t="s">
        <v>946</v>
      </c>
      <c r="D10601" t="s">
        <v>947</v>
      </c>
      <c r="E10601" t="s">
        <v>314</v>
      </c>
      <c r="F10601" t="s">
        <v>948</v>
      </c>
      <c r="G10601">
        <v>5399999</v>
      </c>
      <c r="H10601">
        <v>401062</v>
      </c>
      <c r="I10601" t="s">
        <v>949</v>
      </c>
    </row>
    <row r="10602" spans="1:9" x14ac:dyDescent="0.25">
      <c r="A10602">
        <v>4141</v>
      </c>
      <c r="B10602">
        <v>53</v>
      </c>
      <c r="C10602" t="s">
        <v>946</v>
      </c>
      <c r="D10602" t="s">
        <v>993</v>
      </c>
      <c r="E10602" t="s">
        <v>49</v>
      </c>
      <c r="F10602" t="s">
        <v>948</v>
      </c>
      <c r="G10602">
        <v>5377777</v>
      </c>
      <c r="H10602">
        <v>501010</v>
      </c>
      <c r="I10602" t="s">
        <v>949</v>
      </c>
    </row>
    <row r="10603" spans="1:9" x14ac:dyDescent="0.25">
      <c r="A10603">
        <v>4220</v>
      </c>
      <c r="B10603">
        <v>53</v>
      </c>
      <c r="C10603" t="s">
        <v>946</v>
      </c>
      <c r="D10603" t="s">
        <v>993</v>
      </c>
      <c r="E10603" t="s">
        <v>49</v>
      </c>
      <c r="F10603" t="s">
        <v>948</v>
      </c>
      <c r="G10603">
        <v>5377777</v>
      </c>
      <c r="H10603">
        <v>501010</v>
      </c>
      <c r="I10603" t="s">
        <v>949</v>
      </c>
    </row>
    <row r="10604" spans="1:9" x14ac:dyDescent="0.25">
      <c r="A10604">
        <v>4230</v>
      </c>
      <c r="B10604">
        <v>53</v>
      </c>
      <c r="C10604" t="s">
        <v>946</v>
      </c>
      <c r="D10604" t="s">
        <v>993</v>
      </c>
      <c r="E10604" t="s">
        <v>49</v>
      </c>
      <c r="F10604" t="s">
        <v>948</v>
      </c>
      <c r="G10604">
        <v>5301305</v>
      </c>
      <c r="H10604">
        <v>740250</v>
      </c>
      <c r="I10604" t="s">
        <v>949</v>
      </c>
    </row>
    <row r="10605" spans="1:9" x14ac:dyDescent="0.25">
      <c r="A10605">
        <v>4240</v>
      </c>
      <c r="B10605">
        <v>53</v>
      </c>
      <c r="C10605" t="s">
        <v>946</v>
      </c>
      <c r="D10605" t="s">
        <v>993</v>
      </c>
      <c r="E10605" t="s">
        <v>49</v>
      </c>
      <c r="F10605" t="s">
        <v>948</v>
      </c>
      <c r="G10605">
        <v>5300000</v>
      </c>
      <c r="H10605">
        <v>145000</v>
      </c>
      <c r="I10605" t="s">
        <v>949</v>
      </c>
    </row>
    <row r="10606" spans="1:9" x14ac:dyDescent="0.25">
      <c r="A10606">
        <v>4250</v>
      </c>
      <c r="B10606">
        <v>53</v>
      </c>
      <c r="C10606" t="s">
        <v>946</v>
      </c>
      <c r="D10606" t="s">
        <v>993</v>
      </c>
      <c r="E10606" t="s">
        <v>49</v>
      </c>
      <c r="F10606" t="s">
        <v>948</v>
      </c>
      <c r="G10606">
        <v>5300000</v>
      </c>
      <c r="H10606">
        <v>130305</v>
      </c>
      <c r="I10606" t="s">
        <v>949</v>
      </c>
    </row>
    <row r="10607" spans="1:9" x14ac:dyDescent="0.25">
      <c r="A10607">
        <v>4122</v>
      </c>
      <c r="B10607">
        <v>53</v>
      </c>
      <c r="C10607" t="s">
        <v>946</v>
      </c>
      <c r="D10607" t="s">
        <v>1054</v>
      </c>
      <c r="E10607" t="s">
        <v>49</v>
      </c>
      <c r="F10607" t="s">
        <v>948</v>
      </c>
      <c r="G10607">
        <v>5300000</v>
      </c>
      <c r="H10607">
        <v>145000</v>
      </c>
      <c r="I10607" t="s">
        <v>949</v>
      </c>
    </row>
    <row r="10608" spans="1:9" x14ac:dyDescent="0.25">
      <c r="A10608">
        <v>4124</v>
      </c>
      <c r="B10608">
        <v>53</v>
      </c>
      <c r="C10608" t="s">
        <v>946</v>
      </c>
      <c r="D10608" t="s">
        <v>1054</v>
      </c>
      <c r="E10608" t="s">
        <v>49</v>
      </c>
      <c r="F10608" t="s">
        <v>948</v>
      </c>
      <c r="G10608">
        <v>5300000</v>
      </c>
      <c r="H10608">
        <v>145200</v>
      </c>
      <c r="I10608" t="s">
        <v>949</v>
      </c>
    </row>
    <row r="10609" spans="1:9" x14ac:dyDescent="0.25">
      <c r="A10609">
        <v>4122</v>
      </c>
      <c r="B10609">
        <v>53</v>
      </c>
      <c r="C10609" t="s">
        <v>946</v>
      </c>
      <c r="D10609" t="s">
        <v>38</v>
      </c>
      <c r="E10609" t="s">
        <v>49</v>
      </c>
      <c r="F10609" t="s">
        <v>948</v>
      </c>
      <c r="G10609">
        <v>5300000</v>
      </c>
      <c r="H10609">
        <v>145000</v>
      </c>
      <c r="I10609" t="s">
        <v>949</v>
      </c>
    </row>
    <row r="10610" spans="1:9" x14ac:dyDescent="0.25">
      <c r="A10610">
        <v>4124</v>
      </c>
      <c r="B10610">
        <v>53</v>
      </c>
      <c r="C10610" t="s">
        <v>946</v>
      </c>
      <c r="D10610" t="s">
        <v>38</v>
      </c>
      <c r="E10610" t="s">
        <v>49</v>
      </c>
      <c r="F10610" t="s">
        <v>948</v>
      </c>
      <c r="G10610">
        <v>5377777</v>
      </c>
      <c r="H10610">
        <v>500465</v>
      </c>
      <c r="I10610" t="s">
        <v>949</v>
      </c>
    </row>
    <row r="10611" spans="1:9" x14ac:dyDescent="0.25">
      <c r="A10611">
        <v>4126</v>
      </c>
      <c r="B10611">
        <v>53</v>
      </c>
      <c r="C10611" t="s">
        <v>946</v>
      </c>
      <c r="D10611" t="s">
        <v>38</v>
      </c>
      <c r="E10611" t="s">
        <v>49</v>
      </c>
      <c r="F10611" t="s">
        <v>948</v>
      </c>
      <c r="G10611">
        <v>5300000</v>
      </c>
      <c r="H10611">
        <v>145000</v>
      </c>
      <c r="I10611" t="s">
        <v>949</v>
      </c>
    </row>
    <row r="10612" spans="1:9" x14ac:dyDescent="0.25">
      <c r="A10612">
        <v>4128</v>
      </c>
      <c r="B10612">
        <v>53</v>
      </c>
      <c r="C10612" t="s">
        <v>946</v>
      </c>
      <c r="D10612" t="s">
        <v>38</v>
      </c>
      <c r="E10612" t="s">
        <v>49</v>
      </c>
      <c r="F10612" t="s">
        <v>948</v>
      </c>
      <c r="G10612">
        <v>5377777</v>
      </c>
      <c r="H10612">
        <v>500460</v>
      </c>
      <c r="I10612" t="s">
        <v>949</v>
      </c>
    </row>
    <row r="10613" spans="1:9" x14ac:dyDescent="0.25">
      <c r="A10613">
        <v>4141</v>
      </c>
      <c r="B10613">
        <v>53</v>
      </c>
      <c r="C10613" t="s">
        <v>946</v>
      </c>
      <c r="D10613" t="s">
        <v>38</v>
      </c>
      <c r="E10613" t="s">
        <v>49</v>
      </c>
      <c r="F10613" t="s">
        <v>948</v>
      </c>
      <c r="G10613">
        <v>5377777</v>
      </c>
      <c r="H10613">
        <v>500460</v>
      </c>
      <c r="I10613" t="s">
        <v>949</v>
      </c>
    </row>
    <row r="10614" spans="1:9" x14ac:dyDescent="0.25">
      <c r="A10614">
        <v>4162</v>
      </c>
      <c r="B10614">
        <v>53</v>
      </c>
      <c r="C10614" t="s">
        <v>946</v>
      </c>
      <c r="D10614" t="s">
        <v>38</v>
      </c>
      <c r="E10614" t="s">
        <v>49</v>
      </c>
      <c r="F10614" t="s">
        <v>948</v>
      </c>
      <c r="G10614">
        <v>5300000</v>
      </c>
      <c r="H10614">
        <v>145000</v>
      </c>
      <c r="I10614" t="s">
        <v>949</v>
      </c>
    </row>
    <row r="10615" spans="1:9" x14ac:dyDescent="0.25">
      <c r="A10615">
        <v>4164</v>
      </c>
      <c r="B10615">
        <v>53</v>
      </c>
      <c r="C10615" t="s">
        <v>946</v>
      </c>
      <c r="D10615" t="s">
        <v>38</v>
      </c>
      <c r="E10615" t="s">
        <v>49</v>
      </c>
      <c r="F10615" t="s">
        <v>948</v>
      </c>
      <c r="G10615">
        <v>5377777</v>
      </c>
      <c r="H10615">
        <v>500461</v>
      </c>
      <c r="I10615" t="s">
        <v>949</v>
      </c>
    </row>
    <row r="10616" spans="1:9" x14ac:dyDescent="0.25">
      <c r="A10616">
        <v>4134</v>
      </c>
      <c r="B10616">
        <v>53</v>
      </c>
      <c r="C10616" t="s">
        <v>946</v>
      </c>
      <c r="D10616" t="s">
        <v>998</v>
      </c>
      <c r="E10616" t="s">
        <v>49</v>
      </c>
      <c r="F10616" t="s">
        <v>948</v>
      </c>
      <c r="G10616">
        <v>5300000</v>
      </c>
      <c r="H10616">
        <v>145000</v>
      </c>
      <c r="I10616" t="s">
        <v>949</v>
      </c>
    </row>
    <row r="10617" spans="1:9" x14ac:dyDescent="0.25">
      <c r="A10617">
        <v>4136</v>
      </c>
      <c r="B10617">
        <v>53</v>
      </c>
      <c r="C10617" t="s">
        <v>946</v>
      </c>
      <c r="D10617" t="s">
        <v>998</v>
      </c>
      <c r="E10617" t="s">
        <v>49</v>
      </c>
      <c r="F10617" t="s">
        <v>948</v>
      </c>
      <c r="G10617">
        <v>5377777</v>
      </c>
      <c r="H10617">
        <v>500465</v>
      </c>
      <c r="I10617" t="s">
        <v>949</v>
      </c>
    </row>
    <row r="10618" spans="1:9" x14ac:dyDescent="0.25">
      <c r="A10618">
        <v>4124</v>
      </c>
      <c r="B10618">
        <v>53</v>
      </c>
      <c r="C10618" t="s">
        <v>946</v>
      </c>
      <c r="D10618" t="s">
        <v>1001</v>
      </c>
      <c r="E10618" t="s">
        <v>49</v>
      </c>
      <c r="F10618" t="s">
        <v>948</v>
      </c>
      <c r="G10618">
        <v>5377777</v>
      </c>
      <c r="H10618">
        <v>500465</v>
      </c>
      <c r="I10618" t="s">
        <v>949</v>
      </c>
    </row>
    <row r="10619" spans="1:9" x14ac:dyDescent="0.25">
      <c r="A10619">
        <v>4141</v>
      </c>
      <c r="B10619">
        <v>53</v>
      </c>
      <c r="C10619" t="s">
        <v>946</v>
      </c>
      <c r="D10619" t="s">
        <v>1001</v>
      </c>
      <c r="E10619" t="s">
        <v>49</v>
      </c>
      <c r="F10619" t="s">
        <v>948</v>
      </c>
      <c r="G10619">
        <v>5377777</v>
      </c>
      <c r="H10619">
        <v>500460</v>
      </c>
      <c r="I10619" t="s">
        <v>949</v>
      </c>
    </row>
    <row r="10620" spans="1:9" x14ac:dyDescent="0.25">
      <c r="A10620">
        <v>4122</v>
      </c>
      <c r="B10620">
        <v>53</v>
      </c>
      <c r="C10620" t="s">
        <v>946</v>
      </c>
      <c r="D10620" t="s">
        <v>1004</v>
      </c>
      <c r="E10620" t="s">
        <v>49</v>
      </c>
      <c r="F10620" t="s">
        <v>948</v>
      </c>
      <c r="G10620">
        <v>5377777</v>
      </c>
      <c r="H10620">
        <v>500220</v>
      </c>
      <c r="I10620" t="s">
        <v>949</v>
      </c>
    </row>
    <row r="10621" spans="1:9" x14ac:dyDescent="0.25">
      <c r="A10621">
        <v>4124</v>
      </c>
      <c r="B10621">
        <v>53</v>
      </c>
      <c r="C10621" t="s">
        <v>946</v>
      </c>
      <c r="D10621" t="s">
        <v>1004</v>
      </c>
      <c r="E10621" t="s">
        <v>49</v>
      </c>
      <c r="F10621" t="s">
        <v>948</v>
      </c>
      <c r="G10621">
        <v>5377777</v>
      </c>
      <c r="H10621">
        <v>500221</v>
      </c>
      <c r="I10621" t="s">
        <v>949</v>
      </c>
    </row>
    <row r="10622" spans="1:9" x14ac:dyDescent="0.25">
      <c r="A10622">
        <v>4122</v>
      </c>
      <c r="B10622">
        <v>53</v>
      </c>
      <c r="C10622" t="s">
        <v>946</v>
      </c>
      <c r="D10622" t="s">
        <v>1006</v>
      </c>
      <c r="E10622" t="s">
        <v>49</v>
      </c>
      <c r="F10622" t="s">
        <v>948</v>
      </c>
      <c r="G10622">
        <v>5300000</v>
      </c>
      <c r="H10622">
        <v>145000</v>
      </c>
      <c r="I10622" t="s">
        <v>949</v>
      </c>
    </row>
    <row r="10623" spans="1:9" x14ac:dyDescent="0.25">
      <c r="A10623">
        <v>4124</v>
      </c>
      <c r="B10623">
        <v>53</v>
      </c>
      <c r="C10623" t="s">
        <v>946</v>
      </c>
      <c r="D10623" t="s">
        <v>1006</v>
      </c>
      <c r="E10623" t="s">
        <v>49</v>
      </c>
      <c r="F10623" t="s">
        <v>948</v>
      </c>
      <c r="G10623">
        <v>5377777</v>
      </c>
      <c r="H10623">
        <v>500460</v>
      </c>
      <c r="I10623" t="s">
        <v>1055</v>
      </c>
    </row>
    <row r="10624" spans="1:9" x14ac:dyDescent="0.25">
      <c r="A10624">
        <v>4152</v>
      </c>
      <c r="B10624">
        <v>53</v>
      </c>
      <c r="C10624" t="s">
        <v>946</v>
      </c>
      <c r="D10624" t="s">
        <v>1006</v>
      </c>
      <c r="E10624" t="s">
        <v>49</v>
      </c>
      <c r="F10624" t="s">
        <v>948</v>
      </c>
      <c r="G10624">
        <v>5300000</v>
      </c>
      <c r="H10624">
        <v>145000</v>
      </c>
      <c r="I10624" t="s">
        <v>949</v>
      </c>
    </row>
    <row r="10625" spans="1:9" x14ac:dyDescent="0.25">
      <c r="A10625">
        <v>4154</v>
      </c>
      <c r="B10625">
        <v>53</v>
      </c>
      <c r="C10625" t="s">
        <v>946</v>
      </c>
      <c r="D10625" t="s">
        <v>1006</v>
      </c>
      <c r="E10625" t="s">
        <v>49</v>
      </c>
      <c r="F10625" t="s">
        <v>948</v>
      </c>
      <c r="G10625">
        <v>5377777</v>
      </c>
      <c r="H10625">
        <v>500460</v>
      </c>
      <c r="I10625" t="s">
        <v>1055</v>
      </c>
    </row>
    <row r="10626" spans="1:9" x14ac:dyDescent="0.25">
      <c r="A10626">
        <v>4122</v>
      </c>
      <c r="B10626">
        <v>53</v>
      </c>
      <c r="C10626" t="s">
        <v>946</v>
      </c>
      <c r="D10626" t="s">
        <v>1010</v>
      </c>
      <c r="E10626" t="s">
        <v>49</v>
      </c>
      <c r="F10626" t="s">
        <v>948</v>
      </c>
      <c r="G10626">
        <v>5377777</v>
      </c>
      <c r="H10626">
        <v>500220</v>
      </c>
      <c r="I10626" t="s">
        <v>949</v>
      </c>
    </row>
    <row r="10627" spans="1:9" x14ac:dyDescent="0.25">
      <c r="A10627">
        <v>4124</v>
      </c>
      <c r="B10627">
        <v>53</v>
      </c>
      <c r="C10627" t="s">
        <v>946</v>
      </c>
      <c r="D10627" t="s">
        <v>1010</v>
      </c>
      <c r="E10627" t="s">
        <v>49</v>
      </c>
      <c r="F10627" t="s">
        <v>948</v>
      </c>
      <c r="G10627">
        <v>5377777</v>
      </c>
      <c r="H10627">
        <v>500220</v>
      </c>
      <c r="I10627" t="s">
        <v>949</v>
      </c>
    </row>
    <row r="10628" spans="1:9" x14ac:dyDescent="0.25">
      <c r="A10628">
        <v>4126</v>
      </c>
      <c r="B10628">
        <v>53</v>
      </c>
      <c r="C10628" t="s">
        <v>946</v>
      </c>
      <c r="D10628" t="s">
        <v>1010</v>
      </c>
      <c r="E10628" t="s">
        <v>49</v>
      </c>
      <c r="F10628" t="s">
        <v>948</v>
      </c>
      <c r="G10628">
        <v>5377777</v>
      </c>
      <c r="H10628">
        <v>500220</v>
      </c>
      <c r="I10628" t="s">
        <v>949</v>
      </c>
    </row>
    <row r="10629" spans="1:9" x14ac:dyDescent="0.25">
      <c r="A10629">
        <v>4128</v>
      </c>
      <c r="B10629">
        <v>53</v>
      </c>
      <c r="C10629" t="s">
        <v>946</v>
      </c>
      <c r="D10629" t="s">
        <v>1010</v>
      </c>
      <c r="E10629" t="s">
        <v>49</v>
      </c>
      <c r="F10629" t="s">
        <v>948</v>
      </c>
      <c r="G10629">
        <v>5377777</v>
      </c>
      <c r="H10629">
        <v>500220</v>
      </c>
      <c r="I10629" t="s">
        <v>949</v>
      </c>
    </row>
    <row r="10630" spans="1:9" x14ac:dyDescent="0.25">
      <c r="A10630">
        <v>4141</v>
      </c>
      <c r="B10630">
        <v>53</v>
      </c>
      <c r="C10630" t="s">
        <v>946</v>
      </c>
      <c r="D10630" t="s">
        <v>1010</v>
      </c>
      <c r="E10630" t="s">
        <v>49</v>
      </c>
      <c r="F10630" t="s">
        <v>948</v>
      </c>
      <c r="G10630">
        <v>5377777</v>
      </c>
      <c r="H10630">
        <v>500460</v>
      </c>
      <c r="I10630" t="s">
        <v>949</v>
      </c>
    </row>
    <row r="10631" spans="1:9" x14ac:dyDescent="0.25">
      <c r="A10631">
        <v>4162</v>
      </c>
      <c r="B10631">
        <v>53</v>
      </c>
      <c r="C10631" t="s">
        <v>946</v>
      </c>
      <c r="D10631" t="s">
        <v>1010</v>
      </c>
      <c r="E10631" t="s">
        <v>49</v>
      </c>
      <c r="F10631" t="s">
        <v>948</v>
      </c>
      <c r="G10631">
        <v>5377777</v>
      </c>
      <c r="H10631">
        <v>500220</v>
      </c>
      <c r="I10631" t="s">
        <v>949</v>
      </c>
    </row>
    <row r="10632" spans="1:9" x14ac:dyDescent="0.25">
      <c r="A10632">
        <v>4164</v>
      </c>
      <c r="B10632">
        <v>53</v>
      </c>
      <c r="C10632" t="s">
        <v>946</v>
      </c>
      <c r="D10632" t="s">
        <v>1010</v>
      </c>
      <c r="E10632" t="s">
        <v>49</v>
      </c>
      <c r="F10632" t="s">
        <v>948</v>
      </c>
      <c r="G10632">
        <v>5377777</v>
      </c>
      <c r="H10632">
        <v>500220</v>
      </c>
      <c r="I10632" t="s">
        <v>949</v>
      </c>
    </row>
    <row r="10633" spans="1:9" x14ac:dyDescent="0.25">
      <c r="A10633">
        <v>4310</v>
      </c>
      <c r="B10633">
        <v>53</v>
      </c>
      <c r="C10633" t="s">
        <v>946</v>
      </c>
      <c r="D10633" t="s">
        <v>1056</v>
      </c>
      <c r="E10633" t="s">
        <v>49</v>
      </c>
      <c r="F10633" t="s">
        <v>948</v>
      </c>
      <c r="G10633">
        <v>5300000</v>
      </c>
      <c r="H10633">
        <v>145000</v>
      </c>
      <c r="I10633" t="s">
        <v>949</v>
      </c>
    </row>
    <row r="10634" spans="1:9" x14ac:dyDescent="0.25">
      <c r="A10634">
        <v>4320</v>
      </c>
      <c r="B10634">
        <v>53</v>
      </c>
      <c r="C10634" t="s">
        <v>946</v>
      </c>
      <c r="D10634" t="s">
        <v>1056</v>
      </c>
      <c r="E10634" t="s">
        <v>49</v>
      </c>
      <c r="F10634" t="s">
        <v>948</v>
      </c>
      <c r="G10634">
        <v>5300000</v>
      </c>
      <c r="H10634">
        <v>145200</v>
      </c>
      <c r="I10634" t="s">
        <v>949</v>
      </c>
    </row>
    <row r="10635" spans="1:9" x14ac:dyDescent="0.25">
      <c r="A10635">
        <v>4330</v>
      </c>
      <c r="B10635">
        <v>53</v>
      </c>
      <c r="C10635" t="s">
        <v>946</v>
      </c>
      <c r="D10635" t="s">
        <v>1056</v>
      </c>
      <c r="E10635" t="s">
        <v>49</v>
      </c>
      <c r="F10635" t="s">
        <v>948</v>
      </c>
      <c r="G10635">
        <v>5377777</v>
      </c>
      <c r="H10635">
        <v>500210</v>
      </c>
      <c r="I10635" t="s">
        <v>949</v>
      </c>
    </row>
    <row r="10636" spans="1:9" x14ac:dyDescent="0.25">
      <c r="A10636">
        <v>4332</v>
      </c>
      <c r="B10636">
        <v>53</v>
      </c>
      <c r="C10636" t="s">
        <v>946</v>
      </c>
      <c r="D10636" t="s">
        <v>1056</v>
      </c>
      <c r="E10636" t="s">
        <v>49</v>
      </c>
      <c r="F10636" t="s">
        <v>948</v>
      </c>
      <c r="G10636">
        <v>5377777</v>
      </c>
      <c r="H10636">
        <v>500210</v>
      </c>
      <c r="I10636" t="s">
        <v>949</v>
      </c>
    </row>
    <row r="10637" spans="1:9" x14ac:dyDescent="0.25">
      <c r="A10637">
        <v>4335</v>
      </c>
      <c r="B10637">
        <v>53</v>
      </c>
      <c r="C10637" t="s">
        <v>946</v>
      </c>
      <c r="D10637" t="s">
        <v>1056</v>
      </c>
      <c r="E10637" t="s">
        <v>49</v>
      </c>
      <c r="F10637" t="s">
        <v>948</v>
      </c>
      <c r="G10637">
        <v>5377777</v>
      </c>
      <c r="H10637">
        <v>500200</v>
      </c>
      <c r="I10637" t="s">
        <v>949</v>
      </c>
    </row>
    <row r="10638" spans="1:9" x14ac:dyDescent="0.25">
      <c r="A10638">
        <v>4340</v>
      </c>
      <c r="B10638">
        <v>53</v>
      </c>
      <c r="C10638" t="s">
        <v>946</v>
      </c>
      <c r="D10638" t="s">
        <v>1056</v>
      </c>
      <c r="E10638" t="s">
        <v>49</v>
      </c>
      <c r="F10638" t="s">
        <v>948</v>
      </c>
      <c r="G10638">
        <v>5388888</v>
      </c>
      <c r="H10638">
        <v>810710</v>
      </c>
      <c r="I10638" t="s">
        <v>949</v>
      </c>
    </row>
    <row r="10639" spans="1:9" x14ac:dyDescent="0.25">
      <c r="A10639">
        <v>4370</v>
      </c>
      <c r="B10639">
        <v>53</v>
      </c>
      <c r="C10639" t="s">
        <v>946</v>
      </c>
      <c r="D10639" t="s">
        <v>1056</v>
      </c>
      <c r="E10639" t="s">
        <v>49</v>
      </c>
      <c r="F10639" t="s">
        <v>948</v>
      </c>
      <c r="G10639">
        <v>5300000</v>
      </c>
      <c r="H10639">
        <v>142500</v>
      </c>
      <c r="I10639" t="s">
        <v>949</v>
      </c>
    </row>
    <row r="10640" spans="1:9" x14ac:dyDescent="0.25">
      <c r="A10640">
        <v>4400</v>
      </c>
      <c r="B10640">
        <v>53</v>
      </c>
      <c r="C10640" t="s">
        <v>946</v>
      </c>
      <c r="D10640" t="s">
        <v>1056</v>
      </c>
      <c r="E10640" t="s">
        <v>49</v>
      </c>
      <c r="F10640" t="s">
        <v>948</v>
      </c>
      <c r="G10640">
        <v>5300000</v>
      </c>
      <c r="H10640">
        <v>145000</v>
      </c>
      <c r="I10640" t="s">
        <v>949</v>
      </c>
    </row>
    <row r="10641" spans="1:9" x14ac:dyDescent="0.25">
      <c r="A10641">
        <v>4405</v>
      </c>
      <c r="B10641">
        <v>53</v>
      </c>
      <c r="C10641" t="s">
        <v>946</v>
      </c>
      <c r="D10641" t="s">
        <v>1056</v>
      </c>
      <c r="E10641" t="s">
        <v>49</v>
      </c>
      <c r="F10641" t="s">
        <v>948</v>
      </c>
      <c r="G10641">
        <v>5377777</v>
      </c>
      <c r="H10641">
        <v>500465</v>
      </c>
      <c r="I10641" t="s">
        <v>949</v>
      </c>
    </row>
    <row r="10642" spans="1:9" x14ac:dyDescent="0.25">
      <c r="A10642">
        <v>4320</v>
      </c>
      <c r="B10642">
        <v>53</v>
      </c>
      <c r="C10642" t="s">
        <v>946</v>
      </c>
      <c r="D10642" t="s">
        <v>1014</v>
      </c>
      <c r="E10642" t="s">
        <v>49</v>
      </c>
      <c r="F10642" t="s">
        <v>948</v>
      </c>
      <c r="G10642">
        <v>5300000</v>
      </c>
      <c r="H10642">
        <v>200110</v>
      </c>
      <c r="I10642" t="s">
        <v>949</v>
      </c>
    </row>
    <row r="10643" spans="1:9" x14ac:dyDescent="0.25">
      <c r="A10643">
        <v>4330</v>
      </c>
      <c r="B10643">
        <v>53</v>
      </c>
      <c r="C10643" t="s">
        <v>946</v>
      </c>
      <c r="D10643" t="s">
        <v>1014</v>
      </c>
      <c r="E10643" t="s">
        <v>49</v>
      </c>
      <c r="F10643" t="s">
        <v>948</v>
      </c>
      <c r="G10643">
        <v>5377777</v>
      </c>
      <c r="H10643">
        <v>500210</v>
      </c>
      <c r="I10643" t="s">
        <v>949</v>
      </c>
    </row>
    <row r="10644" spans="1:9" x14ac:dyDescent="0.25">
      <c r="A10644">
        <v>4332</v>
      </c>
      <c r="B10644">
        <v>53</v>
      </c>
      <c r="C10644" t="s">
        <v>946</v>
      </c>
      <c r="D10644" t="s">
        <v>1014</v>
      </c>
      <c r="E10644" t="s">
        <v>49</v>
      </c>
      <c r="F10644" t="s">
        <v>948</v>
      </c>
      <c r="G10644">
        <v>5377777</v>
      </c>
      <c r="H10644">
        <v>500210</v>
      </c>
      <c r="I10644" t="s">
        <v>949</v>
      </c>
    </row>
    <row r="10645" spans="1:9" x14ac:dyDescent="0.25">
      <c r="A10645">
        <v>4400</v>
      </c>
      <c r="B10645">
        <v>53</v>
      </c>
      <c r="C10645" t="s">
        <v>946</v>
      </c>
      <c r="D10645" t="s">
        <v>1014</v>
      </c>
      <c r="E10645" t="s">
        <v>49</v>
      </c>
      <c r="F10645" t="s">
        <v>948</v>
      </c>
      <c r="G10645">
        <v>5300000</v>
      </c>
      <c r="H10645">
        <v>145000</v>
      </c>
      <c r="I10645" t="s">
        <v>949</v>
      </c>
    </row>
    <row r="10646" spans="1:9" x14ac:dyDescent="0.25">
      <c r="A10646">
        <v>4405</v>
      </c>
      <c r="B10646">
        <v>53</v>
      </c>
      <c r="C10646" t="s">
        <v>946</v>
      </c>
      <c r="D10646" t="s">
        <v>1014</v>
      </c>
      <c r="E10646" t="s">
        <v>49</v>
      </c>
      <c r="F10646" t="s">
        <v>948</v>
      </c>
      <c r="G10646">
        <v>5377777</v>
      </c>
      <c r="H10646">
        <v>500465</v>
      </c>
      <c r="I10646" t="s">
        <v>949</v>
      </c>
    </row>
    <row r="10647" spans="1:9" x14ac:dyDescent="0.25">
      <c r="A10647">
        <v>4310</v>
      </c>
      <c r="B10647">
        <v>53</v>
      </c>
      <c r="C10647" t="s">
        <v>946</v>
      </c>
      <c r="D10647" t="s">
        <v>1016</v>
      </c>
      <c r="E10647" t="s">
        <v>49</v>
      </c>
      <c r="F10647" t="s">
        <v>948</v>
      </c>
      <c r="G10647">
        <v>5300000</v>
      </c>
      <c r="H10647">
        <v>145000</v>
      </c>
      <c r="I10647" t="s">
        <v>949</v>
      </c>
    </row>
    <row r="10648" spans="1:9" x14ac:dyDescent="0.25">
      <c r="A10648">
        <v>4320</v>
      </c>
      <c r="B10648">
        <v>53</v>
      </c>
      <c r="C10648" t="s">
        <v>946</v>
      </c>
      <c r="D10648" t="s">
        <v>1016</v>
      </c>
      <c r="E10648" t="s">
        <v>49</v>
      </c>
      <c r="F10648" t="s">
        <v>948</v>
      </c>
      <c r="G10648">
        <v>5300000</v>
      </c>
      <c r="H10648">
        <v>200110</v>
      </c>
      <c r="I10648" t="s">
        <v>949</v>
      </c>
    </row>
    <row r="10649" spans="1:9" x14ac:dyDescent="0.25">
      <c r="A10649">
        <v>4330</v>
      </c>
      <c r="B10649">
        <v>53</v>
      </c>
      <c r="C10649" t="s">
        <v>946</v>
      </c>
      <c r="D10649" t="s">
        <v>1016</v>
      </c>
      <c r="E10649" t="s">
        <v>49</v>
      </c>
      <c r="F10649" t="s">
        <v>948</v>
      </c>
      <c r="G10649">
        <v>5377777</v>
      </c>
      <c r="H10649">
        <v>500210</v>
      </c>
      <c r="I10649" t="s">
        <v>949</v>
      </c>
    </row>
    <row r="10650" spans="1:9" x14ac:dyDescent="0.25">
      <c r="A10650">
        <v>4332</v>
      </c>
      <c r="B10650">
        <v>53</v>
      </c>
      <c r="C10650" t="s">
        <v>946</v>
      </c>
      <c r="D10650" t="s">
        <v>1016</v>
      </c>
      <c r="E10650" t="s">
        <v>49</v>
      </c>
      <c r="F10650" t="s">
        <v>948</v>
      </c>
      <c r="G10650">
        <v>5377777</v>
      </c>
      <c r="H10650">
        <v>500210</v>
      </c>
      <c r="I10650" t="s">
        <v>949</v>
      </c>
    </row>
    <row r="10651" spans="1:9" x14ac:dyDescent="0.25">
      <c r="A10651">
        <v>4335</v>
      </c>
      <c r="B10651">
        <v>53</v>
      </c>
      <c r="C10651" t="s">
        <v>946</v>
      </c>
      <c r="D10651" t="s">
        <v>1016</v>
      </c>
      <c r="E10651" t="s">
        <v>49</v>
      </c>
      <c r="F10651" t="s">
        <v>948</v>
      </c>
      <c r="G10651">
        <v>5377777</v>
      </c>
      <c r="H10651">
        <v>500200</v>
      </c>
      <c r="I10651" t="s">
        <v>949</v>
      </c>
    </row>
    <row r="10652" spans="1:9" x14ac:dyDescent="0.25">
      <c r="A10652">
        <v>4340</v>
      </c>
      <c r="B10652">
        <v>53</v>
      </c>
      <c r="C10652" t="s">
        <v>946</v>
      </c>
      <c r="D10652" t="s">
        <v>1016</v>
      </c>
      <c r="E10652" t="s">
        <v>49</v>
      </c>
      <c r="F10652" t="s">
        <v>948</v>
      </c>
      <c r="G10652">
        <v>5388888</v>
      </c>
      <c r="H10652">
        <v>810710</v>
      </c>
      <c r="I10652" t="s">
        <v>949</v>
      </c>
    </row>
    <row r="10653" spans="1:9" x14ac:dyDescent="0.25">
      <c r="A10653">
        <v>4350</v>
      </c>
      <c r="B10653">
        <v>53</v>
      </c>
      <c r="C10653" t="s">
        <v>946</v>
      </c>
      <c r="D10653" t="s">
        <v>1016</v>
      </c>
      <c r="E10653" t="s">
        <v>49</v>
      </c>
      <c r="F10653" t="s">
        <v>948</v>
      </c>
      <c r="G10653">
        <v>5300000</v>
      </c>
      <c r="H10653">
        <v>130305</v>
      </c>
      <c r="I10653" t="s">
        <v>949</v>
      </c>
    </row>
    <row r="10654" spans="1:9" x14ac:dyDescent="0.25">
      <c r="A10654">
        <v>4400</v>
      </c>
      <c r="B10654">
        <v>53</v>
      </c>
      <c r="C10654" t="s">
        <v>946</v>
      </c>
      <c r="D10654" t="s">
        <v>1016</v>
      </c>
      <c r="E10654" t="s">
        <v>49</v>
      </c>
      <c r="F10654" t="s">
        <v>948</v>
      </c>
      <c r="G10654">
        <v>5300000</v>
      </c>
      <c r="H10654">
        <v>145000</v>
      </c>
      <c r="I10654" t="s">
        <v>949</v>
      </c>
    </row>
    <row r="10655" spans="1:9" x14ac:dyDescent="0.25">
      <c r="A10655">
        <v>4405</v>
      </c>
      <c r="B10655">
        <v>53</v>
      </c>
      <c r="C10655" t="s">
        <v>946</v>
      </c>
      <c r="D10655" t="s">
        <v>1016</v>
      </c>
      <c r="E10655" t="s">
        <v>49</v>
      </c>
      <c r="F10655" t="s">
        <v>948</v>
      </c>
      <c r="G10655">
        <v>5377777</v>
      </c>
      <c r="H10655">
        <v>500465</v>
      </c>
      <c r="I10655" t="s">
        <v>949</v>
      </c>
    </row>
    <row r="10656" ht="22" customHeight="1" spans="1:10" x14ac:dyDescent="0.25">
      <c r="A10656" s="41">
        <v>4320</v>
      </c>
      <c r="B10656" s="41">
        <v>53</v>
      </c>
      <c r="C10656" s="41" t="s">
        <v>946</v>
      </c>
      <c r="D10656" s="41" t="s">
        <v>67</v>
      </c>
      <c r="E10656" s="41" t="s">
        <v>49</v>
      </c>
      <c r="F10656" s="41" t="s">
        <v>948</v>
      </c>
      <c r="G10656" s="41">
        <v>5377777</v>
      </c>
      <c r="H10656" s="41">
        <v>500220</v>
      </c>
      <c r="I10656" s="41" t="s">
        <v>949</v>
      </c>
      <c r="J10656" s="42" t="s">
        <v>1072</v>
      </c>
    </row>
    <row r="10657" spans="1:9" x14ac:dyDescent="0.25">
      <c r="A10657">
        <v>4330</v>
      </c>
      <c r="B10657">
        <v>53</v>
      </c>
      <c r="C10657" t="s">
        <v>946</v>
      </c>
      <c r="D10657" t="s">
        <v>67</v>
      </c>
      <c r="E10657" t="s">
        <v>49</v>
      </c>
      <c r="F10657" t="s">
        <v>948</v>
      </c>
      <c r="G10657">
        <v>5377777</v>
      </c>
      <c r="H10657">
        <v>500220</v>
      </c>
      <c r="I10657" t="s">
        <v>949</v>
      </c>
    </row>
    <row r="10658" spans="1:9" x14ac:dyDescent="0.25">
      <c r="A10658">
        <v>4332</v>
      </c>
      <c r="B10658">
        <v>53</v>
      </c>
      <c r="C10658" t="s">
        <v>946</v>
      </c>
      <c r="D10658" t="s">
        <v>67</v>
      </c>
      <c r="E10658" t="s">
        <v>49</v>
      </c>
      <c r="F10658" t="s">
        <v>948</v>
      </c>
      <c r="G10658">
        <v>5377777</v>
      </c>
      <c r="H10658">
        <v>500220</v>
      </c>
      <c r="I10658" t="s">
        <v>949</v>
      </c>
    </row>
    <row r="10659" spans="1:9" x14ac:dyDescent="0.25">
      <c r="A10659">
        <v>4335</v>
      </c>
      <c r="B10659">
        <v>53</v>
      </c>
      <c r="C10659" t="s">
        <v>946</v>
      </c>
      <c r="D10659" t="s">
        <v>67</v>
      </c>
      <c r="E10659" t="s">
        <v>49</v>
      </c>
      <c r="F10659" t="s">
        <v>948</v>
      </c>
      <c r="G10659">
        <v>5377777</v>
      </c>
      <c r="H10659">
        <v>500220</v>
      </c>
      <c r="I10659" t="s">
        <v>949</v>
      </c>
    </row>
    <row r="10660" spans="1:9" x14ac:dyDescent="0.25">
      <c r="A10660">
        <v>4340</v>
      </c>
      <c r="B10660">
        <v>53</v>
      </c>
      <c r="C10660" t="s">
        <v>946</v>
      </c>
      <c r="D10660" t="s">
        <v>67</v>
      </c>
      <c r="E10660" t="s">
        <v>49</v>
      </c>
      <c r="F10660" t="s">
        <v>948</v>
      </c>
      <c r="G10660">
        <v>5388888</v>
      </c>
      <c r="H10660">
        <v>810710</v>
      </c>
      <c r="I10660" t="s">
        <v>949</v>
      </c>
    </row>
    <row r="10661" spans="1:9" x14ac:dyDescent="0.25">
      <c r="A10661">
        <v>4400</v>
      </c>
      <c r="B10661">
        <v>53</v>
      </c>
      <c r="C10661" t="s">
        <v>946</v>
      </c>
      <c r="D10661" t="s">
        <v>67</v>
      </c>
      <c r="E10661" t="s">
        <v>49</v>
      </c>
      <c r="F10661" t="s">
        <v>948</v>
      </c>
      <c r="G10661">
        <v>5377777</v>
      </c>
      <c r="H10661">
        <v>500465</v>
      </c>
      <c r="I10661" t="s">
        <v>949</v>
      </c>
    </row>
    <row r="10662" spans="1:9" x14ac:dyDescent="0.25">
      <c r="A10662">
        <v>4405</v>
      </c>
      <c r="B10662">
        <v>53</v>
      </c>
      <c r="C10662" t="s">
        <v>946</v>
      </c>
      <c r="D10662" t="s">
        <v>67</v>
      </c>
      <c r="E10662" t="s">
        <v>49</v>
      </c>
      <c r="F10662" t="s">
        <v>948</v>
      </c>
      <c r="G10662">
        <v>5377777</v>
      </c>
      <c r="H10662">
        <v>500465</v>
      </c>
      <c r="I10662" t="s">
        <v>949</v>
      </c>
    </row>
    <row r="10663" spans="1:9" x14ac:dyDescent="0.25">
      <c r="A10663">
        <v>4310</v>
      </c>
      <c r="B10663">
        <v>53</v>
      </c>
      <c r="C10663" t="s">
        <v>946</v>
      </c>
      <c r="D10663" t="s">
        <v>67</v>
      </c>
      <c r="E10663" t="s">
        <v>243</v>
      </c>
      <c r="F10663" t="s">
        <v>948</v>
      </c>
      <c r="G10663">
        <v>5300000</v>
      </c>
      <c r="H10663">
        <v>145000</v>
      </c>
      <c r="I10663" t="s">
        <v>949</v>
      </c>
    </row>
    <row r="10664" spans="1:9" x14ac:dyDescent="0.25">
      <c r="A10664">
        <v>4310</v>
      </c>
      <c r="B10664">
        <v>53</v>
      </c>
      <c r="C10664" t="s">
        <v>946</v>
      </c>
      <c r="D10664" t="s">
        <v>67</v>
      </c>
      <c r="E10664" t="s">
        <v>247</v>
      </c>
      <c r="F10664" t="s">
        <v>948</v>
      </c>
      <c r="G10664">
        <v>5300000</v>
      </c>
      <c r="H10664">
        <v>145000</v>
      </c>
      <c r="I10664" t="s">
        <v>949</v>
      </c>
    </row>
    <row r="10665" spans="1:9" x14ac:dyDescent="0.25">
      <c r="A10665">
        <v>4310</v>
      </c>
      <c r="B10665">
        <v>53</v>
      </c>
      <c r="C10665" t="s">
        <v>946</v>
      </c>
      <c r="D10665" t="s">
        <v>67</v>
      </c>
      <c r="E10665" t="s">
        <v>251</v>
      </c>
      <c r="F10665" t="s">
        <v>948</v>
      </c>
      <c r="G10665">
        <v>5300000</v>
      </c>
      <c r="H10665">
        <v>145000</v>
      </c>
      <c r="I10665" t="s">
        <v>949</v>
      </c>
    </row>
    <row r="10666" spans="1:9" x14ac:dyDescent="0.25">
      <c r="A10666">
        <v>4310</v>
      </c>
      <c r="B10666">
        <v>53</v>
      </c>
      <c r="C10666" t="s">
        <v>946</v>
      </c>
      <c r="D10666" t="s">
        <v>67</v>
      </c>
      <c r="E10666" t="s">
        <v>255</v>
      </c>
      <c r="F10666" t="s">
        <v>948</v>
      </c>
      <c r="G10666">
        <v>5300000</v>
      </c>
      <c r="H10666">
        <v>145000</v>
      </c>
      <c r="I10666" t="s">
        <v>949</v>
      </c>
    </row>
    <row r="10667" spans="1:9" x14ac:dyDescent="0.25">
      <c r="A10667">
        <v>4310</v>
      </c>
      <c r="B10667">
        <v>53</v>
      </c>
      <c r="C10667" t="s">
        <v>946</v>
      </c>
      <c r="D10667" t="s">
        <v>67</v>
      </c>
      <c r="E10667" t="s">
        <v>263</v>
      </c>
      <c r="F10667" t="s">
        <v>948</v>
      </c>
      <c r="G10667">
        <v>5300000</v>
      </c>
      <c r="H10667">
        <v>145000</v>
      </c>
      <c r="I10667" t="s">
        <v>949</v>
      </c>
    </row>
    <row r="10668" ht="22" customHeight="1" spans="1:10" x14ac:dyDescent="0.25">
      <c r="A10668" s="41">
        <v>4310</v>
      </c>
      <c r="B10668" s="41">
        <v>53</v>
      </c>
      <c r="C10668" s="41" t="s">
        <v>946</v>
      </c>
      <c r="D10668" s="41" t="s">
        <v>67</v>
      </c>
      <c r="E10668" s="41" t="s">
        <v>100</v>
      </c>
      <c r="F10668" s="41" t="s">
        <v>948</v>
      </c>
      <c r="G10668" s="41">
        <v>5377777</v>
      </c>
      <c r="H10668" s="41">
        <v>500220</v>
      </c>
      <c r="I10668" s="41" t="s">
        <v>949</v>
      </c>
      <c r="J10668" s="42" t="s">
        <v>1073</v>
      </c>
    </row>
    <row r="10669" spans="1:9" x14ac:dyDescent="0.25">
      <c r="A10669">
        <v>4310</v>
      </c>
      <c r="B10669">
        <v>53</v>
      </c>
      <c r="C10669" t="s">
        <v>946</v>
      </c>
      <c r="D10669" t="s">
        <v>67</v>
      </c>
      <c r="E10669" t="s">
        <v>270</v>
      </c>
      <c r="F10669" t="s">
        <v>948</v>
      </c>
      <c r="G10669">
        <v>5300000</v>
      </c>
      <c r="H10669">
        <v>145000</v>
      </c>
      <c r="I10669" t="s">
        <v>949</v>
      </c>
    </row>
    <row r="10670" spans="1:9" x14ac:dyDescent="0.25">
      <c r="A10670">
        <v>4310</v>
      </c>
      <c r="B10670">
        <v>53</v>
      </c>
      <c r="C10670" t="s">
        <v>946</v>
      </c>
      <c r="D10670" t="s">
        <v>67</v>
      </c>
      <c r="E10670" t="s">
        <v>274</v>
      </c>
      <c r="F10670" t="s">
        <v>948</v>
      </c>
      <c r="G10670">
        <v>5300000</v>
      </c>
      <c r="H10670">
        <v>145000</v>
      </c>
      <c r="I10670" t="s">
        <v>949</v>
      </c>
    </row>
    <row r="10671" ht="22" customHeight="1" spans="1:10" x14ac:dyDescent="0.25">
      <c r="A10671" s="41">
        <v>4310</v>
      </c>
      <c r="B10671" s="41">
        <v>53</v>
      </c>
      <c r="C10671" s="41" t="s">
        <v>946</v>
      </c>
      <c r="D10671" s="41" t="s">
        <v>67</v>
      </c>
      <c r="E10671" s="41" t="s">
        <v>104</v>
      </c>
      <c r="F10671" s="41" t="s">
        <v>948</v>
      </c>
      <c r="G10671" s="41">
        <v>5377777</v>
      </c>
      <c r="H10671" s="41">
        <v>500220</v>
      </c>
      <c r="I10671" s="41" t="s">
        <v>949</v>
      </c>
      <c r="J10671" s="42" t="s">
        <v>1073</v>
      </c>
    </row>
    <row r="10672" spans="1:9" x14ac:dyDescent="0.25">
      <c r="A10672">
        <v>4310</v>
      </c>
      <c r="B10672">
        <v>53</v>
      </c>
      <c r="C10672" t="s">
        <v>946</v>
      </c>
      <c r="D10672" t="s">
        <v>67</v>
      </c>
      <c r="E10672" t="s">
        <v>278</v>
      </c>
      <c r="F10672" t="s">
        <v>948</v>
      </c>
      <c r="G10672">
        <v>5300000</v>
      </c>
      <c r="H10672">
        <v>145000</v>
      </c>
      <c r="I10672" t="s">
        <v>949</v>
      </c>
    </row>
    <row r="10673" spans="1:9" x14ac:dyDescent="0.25">
      <c r="A10673">
        <v>4310</v>
      </c>
      <c r="B10673">
        <v>53</v>
      </c>
      <c r="C10673" t="s">
        <v>946</v>
      </c>
      <c r="D10673" t="s">
        <v>67</v>
      </c>
      <c r="E10673" t="s">
        <v>282</v>
      </c>
      <c r="F10673" t="s">
        <v>948</v>
      </c>
      <c r="G10673">
        <v>5300000</v>
      </c>
      <c r="H10673">
        <v>145000</v>
      </c>
      <c r="I10673" t="s">
        <v>949</v>
      </c>
    </row>
    <row r="10674" spans="1:9" x14ac:dyDescent="0.25">
      <c r="A10674">
        <v>4310</v>
      </c>
      <c r="B10674">
        <v>53</v>
      </c>
      <c r="C10674" t="s">
        <v>946</v>
      </c>
      <c r="D10674" t="s">
        <v>67</v>
      </c>
      <c r="E10674" t="s">
        <v>286</v>
      </c>
      <c r="F10674" t="s">
        <v>948</v>
      </c>
      <c r="G10674">
        <v>5300000</v>
      </c>
      <c r="H10674">
        <v>145000</v>
      </c>
      <c r="I10674" t="s">
        <v>949</v>
      </c>
    </row>
    <row r="10675" spans="1:9" x14ac:dyDescent="0.25">
      <c r="A10675">
        <v>4310</v>
      </c>
      <c r="B10675">
        <v>53</v>
      </c>
      <c r="C10675" t="s">
        <v>946</v>
      </c>
      <c r="D10675" t="s">
        <v>67</v>
      </c>
      <c r="E10675" t="s">
        <v>290</v>
      </c>
      <c r="F10675" t="s">
        <v>948</v>
      </c>
      <c r="G10675">
        <v>5300000</v>
      </c>
      <c r="H10675">
        <v>145000</v>
      </c>
      <c r="I10675" t="s">
        <v>949</v>
      </c>
    </row>
    <row r="10676" spans="1:9" x14ac:dyDescent="0.25">
      <c r="A10676">
        <v>4310</v>
      </c>
      <c r="B10676">
        <v>53</v>
      </c>
      <c r="C10676" t="s">
        <v>946</v>
      </c>
      <c r="D10676" t="s">
        <v>67</v>
      </c>
      <c r="E10676" t="s">
        <v>294</v>
      </c>
      <c r="F10676" t="s">
        <v>948</v>
      </c>
      <c r="G10676">
        <v>5300000</v>
      </c>
      <c r="H10676">
        <v>145000</v>
      </c>
      <c r="I10676" t="s">
        <v>949</v>
      </c>
    </row>
    <row r="10677" spans="1:9" x14ac:dyDescent="0.25">
      <c r="A10677">
        <v>4310</v>
      </c>
      <c r="B10677">
        <v>53</v>
      </c>
      <c r="C10677" t="s">
        <v>946</v>
      </c>
      <c r="D10677" t="s">
        <v>67</v>
      </c>
      <c r="E10677" t="s">
        <v>302</v>
      </c>
      <c r="F10677" t="s">
        <v>948</v>
      </c>
      <c r="G10677">
        <v>5300000</v>
      </c>
      <c r="H10677">
        <v>145000</v>
      </c>
      <c r="I10677" t="s">
        <v>949</v>
      </c>
    </row>
    <row r="10678" spans="1:9" x14ac:dyDescent="0.25">
      <c r="A10678">
        <v>4310</v>
      </c>
      <c r="B10678">
        <v>53</v>
      </c>
      <c r="C10678" t="s">
        <v>946</v>
      </c>
      <c r="D10678" t="s">
        <v>67</v>
      </c>
      <c r="E10678" t="s">
        <v>306</v>
      </c>
      <c r="F10678" t="s">
        <v>948</v>
      </c>
      <c r="G10678">
        <v>5300000</v>
      </c>
      <c r="H10678">
        <v>145000</v>
      </c>
      <c r="I10678" t="s">
        <v>949</v>
      </c>
    </row>
    <row r="10679" ht="22" customHeight="1" spans="1:10" x14ac:dyDescent="0.25">
      <c r="A10679" s="41">
        <v>4310</v>
      </c>
      <c r="B10679" s="41">
        <v>53</v>
      </c>
      <c r="C10679" s="41" t="s">
        <v>946</v>
      </c>
      <c r="D10679" s="41" t="s">
        <v>67</v>
      </c>
      <c r="E10679" s="41" t="s">
        <v>108</v>
      </c>
      <c r="F10679" s="41" t="s">
        <v>948</v>
      </c>
      <c r="G10679" s="41">
        <v>5377777</v>
      </c>
      <c r="H10679" s="41">
        <v>500220</v>
      </c>
      <c r="I10679" s="41" t="s">
        <v>949</v>
      </c>
      <c r="J10679" s="42" t="s">
        <v>1073</v>
      </c>
    </row>
    <row r="10680" spans="1:9" x14ac:dyDescent="0.25">
      <c r="A10680">
        <v>4310</v>
      </c>
      <c r="B10680">
        <v>53</v>
      </c>
      <c r="C10680" t="s">
        <v>946</v>
      </c>
      <c r="D10680" t="s">
        <v>67</v>
      </c>
      <c r="E10680" t="s">
        <v>310</v>
      </c>
      <c r="F10680" t="s">
        <v>948</v>
      </c>
      <c r="G10680">
        <v>5300000</v>
      </c>
      <c r="H10680">
        <v>145000</v>
      </c>
      <c r="I10680" t="s">
        <v>949</v>
      </c>
    </row>
    <row r="10681" spans="1:9" x14ac:dyDescent="0.25">
      <c r="A10681">
        <v>4310</v>
      </c>
      <c r="B10681">
        <v>53</v>
      </c>
      <c r="C10681" t="s">
        <v>946</v>
      </c>
      <c r="D10681" t="s">
        <v>67</v>
      </c>
      <c r="E10681" t="s">
        <v>314</v>
      </c>
      <c r="F10681" t="s">
        <v>948</v>
      </c>
      <c r="G10681">
        <v>5300000</v>
      </c>
      <c r="H10681">
        <v>145000</v>
      </c>
      <c r="I10681" t="s">
        <v>949</v>
      </c>
    </row>
    <row r="10682" ht="22" customHeight="1" spans="1:10" x14ac:dyDescent="0.25">
      <c r="A10682" s="41">
        <v>4310</v>
      </c>
      <c r="B10682" s="41">
        <v>53</v>
      </c>
      <c r="C10682" s="41" t="s">
        <v>946</v>
      </c>
      <c r="D10682" s="41" t="s">
        <v>67</v>
      </c>
      <c r="E10682" s="41" t="s">
        <v>121</v>
      </c>
      <c r="F10682" s="41" t="s">
        <v>948</v>
      </c>
      <c r="G10682" s="41">
        <v>5377777</v>
      </c>
      <c r="H10682" s="41">
        <v>500220</v>
      </c>
      <c r="I10682" s="41" t="s">
        <v>949</v>
      </c>
      <c r="J10682" s="42" t="s">
        <v>1073</v>
      </c>
    </row>
    <row r="10683" spans="1:9" x14ac:dyDescent="0.25">
      <c r="A10683">
        <v>4152</v>
      </c>
      <c r="B10683">
        <v>53</v>
      </c>
      <c r="C10683" t="s">
        <v>946</v>
      </c>
      <c r="D10683" t="s">
        <v>1022</v>
      </c>
      <c r="E10683" t="s">
        <v>49</v>
      </c>
      <c r="F10683" t="s">
        <v>948</v>
      </c>
      <c r="G10683">
        <v>5300000</v>
      </c>
      <c r="H10683">
        <v>145000</v>
      </c>
      <c r="I10683" t="s">
        <v>949</v>
      </c>
    </row>
    <row r="10684" spans="1:9" x14ac:dyDescent="0.25">
      <c r="A10684">
        <v>4154</v>
      </c>
      <c r="B10684">
        <v>53</v>
      </c>
      <c r="C10684" t="s">
        <v>946</v>
      </c>
      <c r="D10684" t="s">
        <v>1022</v>
      </c>
      <c r="E10684" t="s">
        <v>49</v>
      </c>
      <c r="F10684" t="s">
        <v>948</v>
      </c>
      <c r="G10684">
        <v>5377777</v>
      </c>
      <c r="H10684">
        <v>500465</v>
      </c>
      <c r="I10684" t="s">
        <v>949</v>
      </c>
    </row>
    <row r="10685" spans="1:9" x14ac:dyDescent="0.25">
      <c r="A10685">
        <v>4141</v>
      </c>
      <c r="B10685">
        <v>53</v>
      </c>
      <c r="C10685" t="s">
        <v>946</v>
      </c>
      <c r="D10685" t="s">
        <v>1030</v>
      </c>
      <c r="E10685" t="s">
        <v>49</v>
      </c>
      <c r="F10685" t="s">
        <v>948</v>
      </c>
      <c r="G10685">
        <v>5377777</v>
      </c>
      <c r="H10685">
        <v>501010</v>
      </c>
      <c r="I10685" t="s">
        <v>949</v>
      </c>
    </row>
    <row r="10686" spans="1:9" x14ac:dyDescent="0.25">
      <c r="A10686">
        <v>4220</v>
      </c>
      <c r="B10686">
        <v>53</v>
      </c>
      <c r="C10686" t="s">
        <v>946</v>
      </c>
      <c r="D10686" t="s">
        <v>1030</v>
      </c>
      <c r="E10686" t="s">
        <v>49</v>
      </c>
      <c r="F10686" t="s">
        <v>948</v>
      </c>
      <c r="G10686">
        <v>5377777</v>
      </c>
      <c r="H10686">
        <v>501010</v>
      </c>
      <c r="I10686" t="s">
        <v>949</v>
      </c>
    </row>
    <row r="10687" spans="1:9" x14ac:dyDescent="0.25">
      <c r="A10687">
        <v>4240</v>
      </c>
      <c r="B10687">
        <v>53</v>
      </c>
      <c r="C10687" t="s">
        <v>946</v>
      </c>
      <c r="D10687" t="s">
        <v>1030</v>
      </c>
      <c r="E10687" t="s">
        <v>49</v>
      </c>
      <c r="F10687" t="s">
        <v>948</v>
      </c>
      <c r="G10687">
        <v>5300000</v>
      </c>
      <c r="H10687">
        <v>145000</v>
      </c>
      <c r="I10687" t="s">
        <v>949</v>
      </c>
    </row>
    <row r="10688" spans="1:9" x14ac:dyDescent="0.25">
      <c r="A10688">
        <v>4250</v>
      </c>
      <c r="B10688">
        <v>53</v>
      </c>
      <c r="C10688" t="s">
        <v>946</v>
      </c>
      <c r="D10688" t="s">
        <v>1030</v>
      </c>
      <c r="E10688" t="s">
        <v>49</v>
      </c>
      <c r="F10688" t="s">
        <v>948</v>
      </c>
      <c r="G10688">
        <v>5300000</v>
      </c>
      <c r="H10688">
        <v>130305</v>
      </c>
      <c r="I10688" t="s">
        <v>949</v>
      </c>
    </row>
    <row r="10689" spans="1:9" x14ac:dyDescent="0.25">
      <c r="A10689">
        <v>4230</v>
      </c>
      <c r="B10689">
        <v>53</v>
      </c>
      <c r="C10689" t="s">
        <v>946</v>
      </c>
      <c r="D10689" t="s">
        <v>1030</v>
      </c>
      <c r="E10689" t="s">
        <v>243</v>
      </c>
      <c r="F10689" t="s">
        <v>948</v>
      </c>
      <c r="G10689">
        <v>5399999</v>
      </c>
      <c r="H10689">
        <v>401052</v>
      </c>
      <c r="I10689" t="s">
        <v>949</v>
      </c>
    </row>
    <row r="10690" spans="1:9" x14ac:dyDescent="0.25">
      <c r="A10690">
        <v>4230</v>
      </c>
      <c r="B10690">
        <v>53</v>
      </c>
      <c r="C10690" t="s">
        <v>946</v>
      </c>
      <c r="D10690" t="s">
        <v>1030</v>
      </c>
      <c r="E10690" t="s">
        <v>247</v>
      </c>
      <c r="F10690" t="s">
        <v>948</v>
      </c>
      <c r="G10690">
        <v>5399999</v>
      </c>
      <c r="H10690">
        <v>401022</v>
      </c>
      <c r="I10690" t="s">
        <v>949</v>
      </c>
    </row>
    <row r="10691" spans="1:9" x14ac:dyDescent="0.25">
      <c r="A10691">
        <v>4230</v>
      </c>
      <c r="B10691">
        <v>53</v>
      </c>
      <c r="C10691" t="s">
        <v>946</v>
      </c>
      <c r="D10691" t="s">
        <v>1030</v>
      </c>
      <c r="E10691" t="s">
        <v>251</v>
      </c>
      <c r="F10691" t="s">
        <v>948</v>
      </c>
      <c r="G10691">
        <v>5399999</v>
      </c>
      <c r="H10691">
        <v>401042</v>
      </c>
      <c r="I10691" t="s">
        <v>949</v>
      </c>
    </row>
    <row r="10692" spans="1:9" x14ac:dyDescent="0.25">
      <c r="A10692">
        <v>4230</v>
      </c>
      <c r="B10692">
        <v>53</v>
      </c>
      <c r="C10692" t="s">
        <v>946</v>
      </c>
      <c r="D10692" t="s">
        <v>1030</v>
      </c>
      <c r="E10692" t="s">
        <v>255</v>
      </c>
      <c r="F10692" t="s">
        <v>948</v>
      </c>
      <c r="G10692">
        <v>5399999</v>
      </c>
      <c r="H10692">
        <v>401072</v>
      </c>
      <c r="I10692" t="s">
        <v>949</v>
      </c>
    </row>
    <row r="10693" spans="1:9" x14ac:dyDescent="0.25">
      <c r="A10693">
        <v>4230</v>
      </c>
      <c r="B10693">
        <v>53</v>
      </c>
      <c r="C10693" t="s">
        <v>946</v>
      </c>
      <c r="D10693" t="s">
        <v>1030</v>
      </c>
      <c r="E10693" t="s">
        <v>259</v>
      </c>
      <c r="F10693" t="s">
        <v>948</v>
      </c>
      <c r="G10693">
        <v>5399999</v>
      </c>
      <c r="H10693">
        <v>409002</v>
      </c>
      <c r="I10693" t="s">
        <v>949</v>
      </c>
    </row>
    <row r="10694" spans="1:9" x14ac:dyDescent="0.25">
      <c r="A10694">
        <v>4230</v>
      </c>
      <c r="B10694">
        <v>53</v>
      </c>
      <c r="C10694" t="s">
        <v>946</v>
      </c>
      <c r="D10694" t="s">
        <v>1030</v>
      </c>
      <c r="E10694" t="s">
        <v>263</v>
      </c>
      <c r="F10694" t="s">
        <v>948</v>
      </c>
      <c r="G10694">
        <v>5399999</v>
      </c>
      <c r="H10694">
        <v>401042</v>
      </c>
      <c r="I10694" t="s">
        <v>949</v>
      </c>
    </row>
    <row r="10695" spans="1:9" x14ac:dyDescent="0.25">
      <c r="A10695">
        <v>4230</v>
      </c>
      <c r="B10695">
        <v>53</v>
      </c>
      <c r="C10695" t="s">
        <v>946</v>
      </c>
      <c r="D10695" t="s">
        <v>1030</v>
      </c>
      <c r="E10695" t="s">
        <v>100</v>
      </c>
      <c r="F10695" t="s">
        <v>948</v>
      </c>
      <c r="G10695">
        <v>5399999</v>
      </c>
      <c r="H10695">
        <v>401042</v>
      </c>
      <c r="I10695" t="s">
        <v>949</v>
      </c>
    </row>
    <row r="10696" spans="1:9" x14ac:dyDescent="0.25">
      <c r="A10696">
        <v>4230</v>
      </c>
      <c r="B10696">
        <v>53</v>
      </c>
      <c r="C10696" t="s">
        <v>946</v>
      </c>
      <c r="D10696" t="s">
        <v>1030</v>
      </c>
      <c r="E10696" t="s">
        <v>270</v>
      </c>
      <c r="F10696" t="s">
        <v>948</v>
      </c>
      <c r="G10696">
        <v>5399999</v>
      </c>
      <c r="H10696">
        <v>401062</v>
      </c>
      <c r="I10696" t="s">
        <v>949</v>
      </c>
    </row>
    <row r="10697" spans="1:9" x14ac:dyDescent="0.25">
      <c r="A10697">
        <v>4230</v>
      </c>
      <c r="B10697">
        <v>53</v>
      </c>
      <c r="C10697" t="s">
        <v>946</v>
      </c>
      <c r="D10697" t="s">
        <v>1030</v>
      </c>
      <c r="E10697" t="s">
        <v>274</v>
      </c>
      <c r="F10697" t="s">
        <v>948</v>
      </c>
      <c r="G10697">
        <v>5399999</v>
      </c>
      <c r="H10697">
        <v>401042</v>
      </c>
      <c r="I10697" t="s">
        <v>949</v>
      </c>
    </row>
    <row r="10698" spans="1:9" x14ac:dyDescent="0.25">
      <c r="A10698">
        <v>4230</v>
      </c>
      <c r="B10698">
        <v>53</v>
      </c>
      <c r="C10698" t="s">
        <v>946</v>
      </c>
      <c r="D10698" t="s">
        <v>1030</v>
      </c>
      <c r="E10698" t="s">
        <v>104</v>
      </c>
      <c r="F10698" t="s">
        <v>948</v>
      </c>
      <c r="G10698">
        <v>5399999</v>
      </c>
      <c r="H10698">
        <v>401042</v>
      </c>
      <c r="I10698" t="s">
        <v>949</v>
      </c>
    </row>
    <row r="10699" spans="1:9" x14ac:dyDescent="0.25">
      <c r="A10699">
        <v>4230</v>
      </c>
      <c r="B10699">
        <v>53</v>
      </c>
      <c r="C10699" t="s">
        <v>946</v>
      </c>
      <c r="D10699" t="s">
        <v>1030</v>
      </c>
      <c r="E10699" t="s">
        <v>278</v>
      </c>
      <c r="F10699" t="s">
        <v>948</v>
      </c>
      <c r="G10699">
        <v>5399999</v>
      </c>
      <c r="H10699">
        <v>401052</v>
      </c>
      <c r="I10699" t="s">
        <v>949</v>
      </c>
    </row>
    <row r="10700" spans="1:9" x14ac:dyDescent="0.25">
      <c r="A10700">
        <v>4230</v>
      </c>
      <c r="B10700">
        <v>53</v>
      </c>
      <c r="C10700" t="s">
        <v>946</v>
      </c>
      <c r="D10700" t="s">
        <v>1030</v>
      </c>
      <c r="E10700" t="s">
        <v>282</v>
      </c>
      <c r="F10700" t="s">
        <v>948</v>
      </c>
      <c r="G10700">
        <v>5399999</v>
      </c>
      <c r="H10700">
        <v>401042</v>
      </c>
      <c r="I10700" t="s">
        <v>949</v>
      </c>
    </row>
    <row r="10701" spans="1:9" x14ac:dyDescent="0.25">
      <c r="A10701">
        <v>4230</v>
      </c>
      <c r="B10701">
        <v>53</v>
      </c>
      <c r="C10701" t="s">
        <v>946</v>
      </c>
      <c r="D10701" t="s">
        <v>1030</v>
      </c>
      <c r="E10701" t="s">
        <v>286</v>
      </c>
      <c r="F10701" t="s">
        <v>948</v>
      </c>
      <c r="G10701">
        <v>5399999</v>
      </c>
      <c r="H10701">
        <v>401032</v>
      </c>
      <c r="I10701" t="s">
        <v>949</v>
      </c>
    </row>
    <row r="10702" spans="1:9" x14ac:dyDescent="0.25">
      <c r="A10702">
        <v>4230</v>
      </c>
      <c r="B10702">
        <v>53</v>
      </c>
      <c r="C10702" t="s">
        <v>946</v>
      </c>
      <c r="D10702" t="s">
        <v>1030</v>
      </c>
      <c r="E10702" t="s">
        <v>290</v>
      </c>
      <c r="F10702" t="s">
        <v>948</v>
      </c>
      <c r="G10702">
        <v>5399999</v>
      </c>
      <c r="H10702">
        <v>401042</v>
      </c>
      <c r="I10702" t="s">
        <v>949</v>
      </c>
    </row>
    <row r="10703" spans="1:9" x14ac:dyDescent="0.25">
      <c r="A10703">
        <v>4230</v>
      </c>
      <c r="B10703">
        <v>53</v>
      </c>
      <c r="C10703" t="s">
        <v>946</v>
      </c>
      <c r="D10703" t="s">
        <v>1030</v>
      </c>
      <c r="E10703" t="s">
        <v>294</v>
      </c>
      <c r="F10703" t="s">
        <v>948</v>
      </c>
      <c r="G10703">
        <v>5399999</v>
      </c>
      <c r="H10703">
        <v>401042</v>
      </c>
      <c r="I10703" t="s">
        <v>949</v>
      </c>
    </row>
    <row r="10704" spans="1:9" x14ac:dyDescent="0.25">
      <c r="A10704">
        <v>4230</v>
      </c>
      <c r="B10704">
        <v>53</v>
      </c>
      <c r="C10704" t="s">
        <v>946</v>
      </c>
      <c r="D10704" t="s">
        <v>1030</v>
      </c>
      <c r="E10704" t="s">
        <v>298</v>
      </c>
      <c r="F10704" t="s">
        <v>948</v>
      </c>
      <c r="G10704">
        <v>5399999</v>
      </c>
      <c r="H10704">
        <v>402082</v>
      </c>
      <c r="I10704" t="s">
        <v>949</v>
      </c>
    </row>
    <row r="10705" spans="1:9" x14ac:dyDescent="0.25">
      <c r="A10705">
        <v>4230</v>
      </c>
      <c r="B10705">
        <v>53</v>
      </c>
      <c r="C10705" t="s">
        <v>946</v>
      </c>
      <c r="D10705" t="s">
        <v>1030</v>
      </c>
      <c r="E10705" t="s">
        <v>302</v>
      </c>
      <c r="F10705" t="s">
        <v>948</v>
      </c>
      <c r="G10705">
        <v>5399999</v>
      </c>
      <c r="H10705">
        <v>401902</v>
      </c>
      <c r="I10705" t="s">
        <v>949</v>
      </c>
    </row>
    <row r="10706" spans="1:9" x14ac:dyDescent="0.25">
      <c r="A10706">
        <v>4230</v>
      </c>
      <c r="B10706">
        <v>53</v>
      </c>
      <c r="C10706" t="s">
        <v>946</v>
      </c>
      <c r="D10706" t="s">
        <v>1030</v>
      </c>
      <c r="E10706" t="s">
        <v>306</v>
      </c>
      <c r="F10706" t="s">
        <v>948</v>
      </c>
      <c r="G10706">
        <v>5399999</v>
      </c>
      <c r="H10706">
        <v>401042</v>
      </c>
      <c r="I10706" t="s">
        <v>949</v>
      </c>
    </row>
    <row r="10707" spans="1:9" x14ac:dyDescent="0.25">
      <c r="A10707">
        <v>4230</v>
      </c>
      <c r="B10707">
        <v>53</v>
      </c>
      <c r="C10707" t="s">
        <v>946</v>
      </c>
      <c r="D10707" t="s">
        <v>1030</v>
      </c>
      <c r="E10707" t="s">
        <v>310</v>
      </c>
      <c r="F10707" t="s">
        <v>948</v>
      </c>
      <c r="G10707">
        <v>5399999</v>
      </c>
      <c r="H10707">
        <v>401012</v>
      </c>
      <c r="I10707" t="s">
        <v>949</v>
      </c>
    </row>
    <row r="10708" spans="1:9" x14ac:dyDescent="0.25">
      <c r="A10708">
        <v>4230</v>
      </c>
      <c r="B10708">
        <v>53</v>
      </c>
      <c r="C10708" t="s">
        <v>946</v>
      </c>
      <c r="D10708" t="s">
        <v>1030</v>
      </c>
      <c r="E10708" t="s">
        <v>314</v>
      </c>
      <c r="F10708" t="s">
        <v>948</v>
      </c>
      <c r="G10708">
        <v>5399999</v>
      </c>
      <c r="H10708">
        <v>401062</v>
      </c>
      <c r="I10708" t="s">
        <v>949</v>
      </c>
    </row>
    <row r="10709" spans="1:9" x14ac:dyDescent="0.25">
      <c r="A10709">
        <v>4141</v>
      </c>
      <c r="B10709">
        <v>53</v>
      </c>
      <c r="C10709" t="s">
        <v>946</v>
      </c>
      <c r="D10709" t="s">
        <v>1031</v>
      </c>
      <c r="E10709" t="s">
        <v>49</v>
      </c>
      <c r="F10709" t="s">
        <v>948</v>
      </c>
      <c r="G10709">
        <v>5377777</v>
      </c>
      <c r="H10709">
        <v>501010</v>
      </c>
      <c r="I10709" t="s">
        <v>949</v>
      </c>
    </row>
    <row r="10710" spans="1:9" x14ac:dyDescent="0.25">
      <c r="A10710">
        <v>4220</v>
      </c>
      <c r="B10710">
        <v>53</v>
      </c>
      <c r="C10710" t="s">
        <v>946</v>
      </c>
      <c r="D10710" t="s">
        <v>1031</v>
      </c>
      <c r="E10710" t="s">
        <v>49</v>
      </c>
      <c r="F10710" t="s">
        <v>948</v>
      </c>
      <c r="G10710">
        <v>5377777</v>
      </c>
      <c r="H10710">
        <v>501010</v>
      </c>
      <c r="I10710" t="s">
        <v>949</v>
      </c>
    </row>
    <row r="10711" spans="1:9" x14ac:dyDescent="0.25">
      <c r="A10711">
        <v>4240</v>
      </c>
      <c r="B10711">
        <v>53</v>
      </c>
      <c r="C10711" t="s">
        <v>946</v>
      </c>
      <c r="D10711" t="s">
        <v>1031</v>
      </c>
      <c r="E10711" t="s">
        <v>49</v>
      </c>
      <c r="F10711" t="s">
        <v>948</v>
      </c>
      <c r="G10711">
        <v>5300000</v>
      </c>
      <c r="H10711">
        <v>145000</v>
      </c>
      <c r="I10711" t="s">
        <v>949</v>
      </c>
    </row>
    <row r="10712" spans="1:9" x14ac:dyDescent="0.25">
      <c r="A10712">
        <v>4250</v>
      </c>
      <c r="B10712">
        <v>53</v>
      </c>
      <c r="C10712" t="s">
        <v>946</v>
      </c>
      <c r="D10712" t="s">
        <v>1031</v>
      </c>
      <c r="E10712" t="s">
        <v>49</v>
      </c>
      <c r="F10712" t="s">
        <v>948</v>
      </c>
      <c r="G10712">
        <v>5300000</v>
      </c>
      <c r="H10712">
        <v>130305</v>
      </c>
      <c r="I10712" t="s">
        <v>949</v>
      </c>
    </row>
    <row r="10713" spans="1:9" x14ac:dyDescent="0.25">
      <c r="A10713">
        <v>4230</v>
      </c>
      <c r="B10713">
        <v>53</v>
      </c>
      <c r="C10713" t="s">
        <v>946</v>
      </c>
      <c r="D10713" t="s">
        <v>1031</v>
      </c>
      <c r="E10713" t="s">
        <v>243</v>
      </c>
      <c r="F10713" t="s">
        <v>948</v>
      </c>
      <c r="G10713">
        <v>5399999</v>
      </c>
      <c r="H10713">
        <v>401052</v>
      </c>
      <c r="I10713" t="s">
        <v>949</v>
      </c>
    </row>
    <row r="10714" spans="1:9" x14ac:dyDescent="0.25">
      <c r="A10714">
        <v>4230</v>
      </c>
      <c r="B10714">
        <v>53</v>
      </c>
      <c r="C10714" t="s">
        <v>946</v>
      </c>
      <c r="D10714" t="s">
        <v>1031</v>
      </c>
      <c r="E10714" t="s">
        <v>247</v>
      </c>
      <c r="F10714" t="s">
        <v>948</v>
      </c>
      <c r="G10714">
        <v>5399999</v>
      </c>
      <c r="H10714">
        <v>401022</v>
      </c>
      <c r="I10714" t="s">
        <v>949</v>
      </c>
    </row>
    <row r="10715" spans="1:9" x14ac:dyDescent="0.25">
      <c r="A10715">
        <v>4230</v>
      </c>
      <c r="B10715">
        <v>53</v>
      </c>
      <c r="C10715" t="s">
        <v>946</v>
      </c>
      <c r="D10715" t="s">
        <v>1031</v>
      </c>
      <c r="E10715" t="s">
        <v>251</v>
      </c>
      <c r="F10715" t="s">
        <v>948</v>
      </c>
      <c r="G10715">
        <v>5399999</v>
      </c>
      <c r="H10715">
        <v>401042</v>
      </c>
      <c r="I10715" t="s">
        <v>949</v>
      </c>
    </row>
    <row r="10716" spans="1:9" x14ac:dyDescent="0.25">
      <c r="A10716">
        <v>4230</v>
      </c>
      <c r="B10716">
        <v>53</v>
      </c>
      <c r="C10716" t="s">
        <v>946</v>
      </c>
      <c r="D10716" t="s">
        <v>1031</v>
      </c>
      <c r="E10716" t="s">
        <v>255</v>
      </c>
      <c r="F10716" t="s">
        <v>948</v>
      </c>
      <c r="G10716">
        <v>5399999</v>
      </c>
      <c r="H10716">
        <v>401072</v>
      </c>
      <c r="I10716" t="s">
        <v>949</v>
      </c>
    </row>
    <row r="10717" spans="1:9" x14ac:dyDescent="0.25">
      <c r="A10717">
        <v>4230</v>
      </c>
      <c r="B10717">
        <v>53</v>
      </c>
      <c r="C10717" t="s">
        <v>946</v>
      </c>
      <c r="D10717" t="s">
        <v>1031</v>
      </c>
      <c r="E10717" t="s">
        <v>259</v>
      </c>
      <c r="F10717" t="s">
        <v>948</v>
      </c>
      <c r="G10717">
        <v>5399999</v>
      </c>
      <c r="H10717">
        <v>409002</v>
      </c>
      <c r="I10717" t="s">
        <v>949</v>
      </c>
    </row>
    <row r="10718" spans="1:9" x14ac:dyDescent="0.25">
      <c r="A10718">
        <v>4230</v>
      </c>
      <c r="B10718">
        <v>53</v>
      </c>
      <c r="C10718" t="s">
        <v>946</v>
      </c>
      <c r="D10718" t="s">
        <v>1031</v>
      </c>
      <c r="E10718" t="s">
        <v>263</v>
      </c>
      <c r="F10718" t="s">
        <v>948</v>
      </c>
      <c r="G10718">
        <v>5399999</v>
      </c>
      <c r="H10718">
        <v>401042</v>
      </c>
      <c r="I10718" t="s">
        <v>949</v>
      </c>
    </row>
    <row r="10719" spans="1:9" x14ac:dyDescent="0.25">
      <c r="A10719">
        <v>4230</v>
      </c>
      <c r="B10719">
        <v>53</v>
      </c>
      <c r="C10719" t="s">
        <v>946</v>
      </c>
      <c r="D10719" t="s">
        <v>1031</v>
      </c>
      <c r="E10719" t="s">
        <v>100</v>
      </c>
      <c r="F10719" t="s">
        <v>948</v>
      </c>
      <c r="G10719">
        <v>5399999</v>
      </c>
      <c r="H10719">
        <v>401042</v>
      </c>
      <c r="I10719" t="s">
        <v>949</v>
      </c>
    </row>
    <row r="10720" spans="1:9" x14ac:dyDescent="0.25">
      <c r="A10720">
        <v>4230</v>
      </c>
      <c r="B10720">
        <v>53</v>
      </c>
      <c r="C10720" t="s">
        <v>946</v>
      </c>
      <c r="D10720" t="s">
        <v>1031</v>
      </c>
      <c r="E10720" t="s">
        <v>270</v>
      </c>
      <c r="F10720" t="s">
        <v>948</v>
      </c>
      <c r="G10720">
        <v>5399999</v>
      </c>
      <c r="H10720">
        <v>401062</v>
      </c>
      <c r="I10720" t="s">
        <v>949</v>
      </c>
    </row>
    <row r="10721" spans="1:9" x14ac:dyDescent="0.25">
      <c r="A10721">
        <v>4230</v>
      </c>
      <c r="B10721">
        <v>53</v>
      </c>
      <c r="C10721" t="s">
        <v>946</v>
      </c>
      <c r="D10721" t="s">
        <v>1031</v>
      </c>
      <c r="E10721" t="s">
        <v>274</v>
      </c>
      <c r="F10721" t="s">
        <v>948</v>
      </c>
      <c r="G10721">
        <v>5399999</v>
      </c>
      <c r="H10721">
        <v>401042</v>
      </c>
      <c r="I10721" t="s">
        <v>949</v>
      </c>
    </row>
    <row r="10722" spans="1:9" x14ac:dyDescent="0.25">
      <c r="A10722">
        <v>4230</v>
      </c>
      <c r="B10722">
        <v>53</v>
      </c>
      <c r="C10722" t="s">
        <v>946</v>
      </c>
      <c r="D10722" t="s">
        <v>1031</v>
      </c>
      <c r="E10722" t="s">
        <v>104</v>
      </c>
      <c r="F10722" t="s">
        <v>948</v>
      </c>
      <c r="G10722">
        <v>5399999</v>
      </c>
      <c r="H10722">
        <v>401042</v>
      </c>
      <c r="I10722" t="s">
        <v>949</v>
      </c>
    </row>
    <row r="10723" spans="1:9" x14ac:dyDescent="0.25">
      <c r="A10723">
        <v>4230</v>
      </c>
      <c r="B10723">
        <v>53</v>
      </c>
      <c r="C10723" t="s">
        <v>946</v>
      </c>
      <c r="D10723" t="s">
        <v>1031</v>
      </c>
      <c r="E10723" t="s">
        <v>278</v>
      </c>
      <c r="F10723" t="s">
        <v>948</v>
      </c>
      <c r="G10723">
        <v>5399999</v>
      </c>
      <c r="H10723">
        <v>401052</v>
      </c>
      <c r="I10723" t="s">
        <v>949</v>
      </c>
    </row>
    <row r="10724" spans="1:9" x14ac:dyDescent="0.25">
      <c r="A10724">
        <v>4230</v>
      </c>
      <c r="B10724">
        <v>53</v>
      </c>
      <c r="C10724" t="s">
        <v>946</v>
      </c>
      <c r="D10724" t="s">
        <v>1031</v>
      </c>
      <c r="E10724" t="s">
        <v>282</v>
      </c>
      <c r="F10724" t="s">
        <v>948</v>
      </c>
      <c r="G10724">
        <v>5399999</v>
      </c>
      <c r="H10724">
        <v>401042</v>
      </c>
      <c r="I10724" t="s">
        <v>949</v>
      </c>
    </row>
    <row r="10725" spans="1:9" x14ac:dyDescent="0.25">
      <c r="A10725">
        <v>4230</v>
      </c>
      <c r="B10725">
        <v>53</v>
      </c>
      <c r="C10725" t="s">
        <v>946</v>
      </c>
      <c r="D10725" t="s">
        <v>1031</v>
      </c>
      <c r="E10725" t="s">
        <v>286</v>
      </c>
      <c r="F10725" t="s">
        <v>948</v>
      </c>
      <c r="G10725">
        <v>5399999</v>
      </c>
      <c r="H10725">
        <v>401032</v>
      </c>
      <c r="I10725" t="s">
        <v>949</v>
      </c>
    </row>
    <row r="10726" spans="1:9" x14ac:dyDescent="0.25">
      <c r="A10726">
        <v>4230</v>
      </c>
      <c r="B10726">
        <v>53</v>
      </c>
      <c r="C10726" t="s">
        <v>946</v>
      </c>
      <c r="D10726" t="s">
        <v>1031</v>
      </c>
      <c r="E10726" t="s">
        <v>290</v>
      </c>
      <c r="F10726" t="s">
        <v>948</v>
      </c>
      <c r="G10726">
        <v>5399999</v>
      </c>
      <c r="H10726">
        <v>401042</v>
      </c>
      <c r="I10726" t="s">
        <v>949</v>
      </c>
    </row>
    <row r="10727" spans="1:9" x14ac:dyDescent="0.25">
      <c r="A10727">
        <v>4230</v>
      </c>
      <c r="B10727">
        <v>53</v>
      </c>
      <c r="C10727" t="s">
        <v>946</v>
      </c>
      <c r="D10727" t="s">
        <v>1031</v>
      </c>
      <c r="E10727" t="s">
        <v>294</v>
      </c>
      <c r="F10727" t="s">
        <v>948</v>
      </c>
      <c r="G10727">
        <v>5399999</v>
      </c>
      <c r="H10727">
        <v>401042</v>
      </c>
      <c r="I10727" t="s">
        <v>949</v>
      </c>
    </row>
    <row r="10728" spans="1:9" x14ac:dyDescent="0.25">
      <c r="A10728">
        <v>4230</v>
      </c>
      <c r="B10728">
        <v>53</v>
      </c>
      <c r="C10728" t="s">
        <v>946</v>
      </c>
      <c r="D10728" t="s">
        <v>1031</v>
      </c>
      <c r="E10728" t="s">
        <v>298</v>
      </c>
      <c r="F10728" t="s">
        <v>948</v>
      </c>
      <c r="G10728">
        <v>5399999</v>
      </c>
      <c r="H10728">
        <v>402082</v>
      </c>
      <c r="I10728" t="s">
        <v>949</v>
      </c>
    </row>
    <row r="10729" spans="1:9" x14ac:dyDescent="0.25">
      <c r="A10729">
        <v>4230</v>
      </c>
      <c r="B10729">
        <v>53</v>
      </c>
      <c r="C10729" t="s">
        <v>946</v>
      </c>
      <c r="D10729" t="s">
        <v>1031</v>
      </c>
      <c r="E10729" t="s">
        <v>302</v>
      </c>
      <c r="F10729" t="s">
        <v>948</v>
      </c>
      <c r="G10729">
        <v>5399999</v>
      </c>
      <c r="H10729">
        <v>401902</v>
      </c>
      <c r="I10729" t="s">
        <v>949</v>
      </c>
    </row>
    <row r="10730" spans="1:9" x14ac:dyDescent="0.25">
      <c r="A10730">
        <v>4230</v>
      </c>
      <c r="B10730">
        <v>53</v>
      </c>
      <c r="C10730" t="s">
        <v>946</v>
      </c>
      <c r="D10730" t="s">
        <v>1031</v>
      </c>
      <c r="E10730" t="s">
        <v>306</v>
      </c>
      <c r="F10730" t="s">
        <v>948</v>
      </c>
      <c r="G10730">
        <v>5399999</v>
      </c>
      <c r="H10730">
        <v>401042</v>
      </c>
      <c r="I10730" t="s">
        <v>949</v>
      </c>
    </row>
    <row r="10731" spans="1:9" x14ac:dyDescent="0.25">
      <c r="A10731">
        <v>4230</v>
      </c>
      <c r="B10731">
        <v>53</v>
      </c>
      <c r="C10731" t="s">
        <v>946</v>
      </c>
      <c r="D10731" t="s">
        <v>1031</v>
      </c>
      <c r="E10731" t="s">
        <v>310</v>
      </c>
      <c r="F10731" t="s">
        <v>948</v>
      </c>
      <c r="G10731">
        <v>5399999</v>
      </c>
      <c r="H10731">
        <v>401012</v>
      </c>
      <c r="I10731" t="s">
        <v>949</v>
      </c>
    </row>
    <row r="10732" spans="1:9" x14ac:dyDescent="0.25">
      <c r="A10732">
        <v>4230</v>
      </c>
      <c r="B10732">
        <v>53</v>
      </c>
      <c r="C10732" t="s">
        <v>946</v>
      </c>
      <c r="D10732" t="s">
        <v>1031</v>
      </c>
      <c r="E10732" t="s">
        <v>314</v>
      </c>
      <c r="F10732" t="s">
        <v>948</v>
      </c>
      <c r="G10732">
        <v>5399999</v>
      </c>
      <c r="H10732">
        <v>401062</v>
      </c>
      <c r="I10732" t="s">
        <v>949</v>
      </c>
    </row>
    <row r="10733" spans="1:9" x14ac:dyDescent="0.25">
      <c r="A10733">
        <v>4141</v>
      </c>
      <c r="B10733">
        <v>53</v>
      </c>
      <c r="C10733" t="s">
        <v>946</v>
      </c>
      <c r="D10733" t="s">
        <v>1059</v>
      </c>
      <c r="E10733" t="s">
        <v>49</v>
      </c>
      <c r="F10733" t="s">
        <v>948</v>
      </c>
      <c r="G10733">
        <v>5377777</v>
      </c>
      <c r="H10733">
        <v>501010</v>
      </c>
      <c r="I10733" t="s">
        <v>949</v>
      </c>
    </row>
    <row r="10734" spans="1:9" x14ac:dyDescent="0.25">
      <c r="A10734">
        <v>4220</v>
      </c>
      <c r="B10734">
        <v>53</v>
      </c>
      <c r="C10734" t="s">
        <v>946</v>
      </c>
      <c r="D10734" t="s">
        <v>1059</v>
      </c>
      <c r="E10734" t="s">
        <v>49</v>
      </c>
      <c r="F10734" t="s">
        <v>948</v>
      </c>
      <c r="G10734">
        <v>5377777</v>
      </c>
      <c r="H10734">
        <v>501010</v>
      </c>
      <c r="I10734" t="s">
        <v>949</v>
      </c>
    </row>
    <row r="10735" spans="1:9" x14ac:dyDescent="0.25">
      <c r="A10735">
        <v>4240</v>
      </c>
      <c r="B10735">
        <v>53</v>
      </c>
      <c r="C10735" t="s">
        <v>946</v>
      </c>
      <c r="D10735" t="s">
        <v>1059</v>
      </c>
      <c r="E10735" t="s">
        <v>49</v>
      </c>
      <c r="F10735" t="s">
        <v>948</v>
      </c>
      <c r="G10735">
        <v>5300000</v>
      </c>
      <c r="H10735">
        <v>145200</v>
      </c>
      <c r="I10735" t="s">
        <v>1034</v>
      </c>
    </row>
    <row r="10736" spans="1:9" x14ac:dyDescent="0.25">
      <c r="A10736">
        <v>4250</v>
      </c>
      <c r="B10736">
        <v>53</v>
      </c>
      <c r="C10736" t="s">
        <v>946</v>
      </c>
      <c r="D10736" t="s">
        <v>1059</v>
      </c>
      <c r="E10736" t="s">
        <v>49</v>
      </c>
      <c r="F10736" t="s">
        <v>948</v>
      </c>
      <c r="G10736">
        <v>5300000</v>
      </c>
      <c r="H10736">
        <v>130305</v>
      </c>
      <c r="I10736" t="s">
        <v>949</v>
      </c>
    </row>
    <row r="10737" spans="1:9" x14ac:dyDescent="0.25">
      <c r="A10737">
        <v>4230</v>
      </c>
      <c r="B10737">
        <v>53</v>
      </c>
      <c r="C10737" t="s">
        <v>946</v>
      </c>
      <c r="D10737" t="s">
        <v>1059</v>
      </c>
      <c r="E10737" t="s">
        <v>243</v>
      </c>
      <c r="F10737" t="s">
        <v>948</v>
      </c>
      <c r="G10737">
        <v>5399999</v>
      </c>
      <c r="H10737">
        <v>401052</v>
      </c>
      <c r="I10737" t="s">
        <v>949</v>
      </c>
    </row>
    <row r="10738" spans="1:9" x14ac:dyDescent="0.25">
      <c r="A10738">
        <v>4230</v>
      </c>
      <c r="B10738">
        <v>53</v>
      </c>
      <c r="C10738" t="s">
        <v>946</v>
      </c>
      <c r="D10738" t="s">
        <v>1059</v>
      </c>
      <c r="E10738" t="s">
        <v>247</v>
      </c>
      <c r="F10738" t="s">
        <v>948</v>
      </c>
      <c r="G10738">
        <v>5399999</v>
      </c>
      <c r="H10738">
        <v>401022</v>
      </c>
      <c r="I10738" t="s">
        <v>949</v>
      </c>
    </row>
    <row r="10739" spans="1:9" x14ac:dyDescent="0.25">
      <c r="A10739">
        <v>4230</v>
      </c>
      <c r="B10739">
        <v>53</v>
      </c>
      <c r="C10739" t="s">
        <v>946</v>
      </c>
      <c r="D10739" t="s">
        <v>1059</v>
      </c>
      <c r="E10739" t="s">
        <v>251</v>
      </c>
      <c r="F10739" t="s">
        <v>948</v>
      </c>
      <c r="G10739">
        <v>5399999</v>
      </c>
      <c r="H10739">
        <v>401042</v>
      </c>
      <c r="I10739" t="s">
        <v>949</v>
      </c>
    </row>
    <row r="10740" spans="1:9" x14ac:dyDescent="0.25">
      <c r="A10740">
        <v>4230</v>
      </c>
      <c r="B10740">
        <v>53</v>
      </c>
      <c r="C10740" t="s">
        <v>946</v>
      </c>
      <c r="D10740" t="s">
        <v>1059</v>
      </c>
      <c r="E10740" t="s">
        <v>255</v>
      </c>
      <c r="F10740" t="s">
        <v>948</v>
      </c>
      <c r="G10740">
        <v>5399999</v>
      </c>
      <c r="H10740">
        <v>401072</v>
      </c>
      <c r="I10740" t="s">
        <v>949</v>
      </c>
    </row>
    <row r="10741" spans="1:9" x14ac:dyDescent="0.25">
      <c r="A10741">
        <v>4230</v>
      </c>
      <c r="B10741">
        <v>53</v>
      </c>
      <c r="C10741" t="s">
        <v>946</v>
      </c>
      <c r="D10741" t="s">
        <v>1059</v>
      </c>
      <c r="E10741" t="s">
        <v>259</v>
      </c>
      <c r="F10741" t="s">
        <v>948</v>
      </c>
      <c r="G10741">
        <v>5399999</v>
      </c>
      <c r="H10741">
        <v>409002</v>
      </c>
      <c r="I10741" t="s">
        <v>949</v>
      </c>
    </row>
    <row r="10742" spans="1:9" x14ac:dyDescent="0.25">
      <c r="A10742">
        <v>4230</v>
      </c>
      <c r="B10742">
        <v>53</v>
      </c>
      <c r="C10742" t="s">
        <v>946</v>
      </c>
      <c r="D10742" t="s">
        <v>1059</v>
      </c>
      <c r="E10742" t="s">
        <v>263</v>
      </c>
      <c r="F10742" t="s">
        <v>948</v>
      </c>
      <c r="G10742">
        <v>5399999</v>
      </c>
      <c r="H10742">
        <v>401042</v>
      </c>
      <c r="I10742" t="s">
        <v>949</v>
      </c>
    </row>
    <row r="10743" spans="1:9" x14ac:dyDescent="0.25">
      <c r="A10743">
        <v>4230</v>
      </c>
      <c r="B10743">
        <v>53</v>
      </c>
      <c r="C10743" t="s">
        <v>946</v>
      </c>
      <c r="D10743" t="s">
        <v>1059</v>
      </c>
      <c r="E10743" t="s">
        <v>100</v>
      </c>
      <c r="F10743" t="s">
        <v>948</v>
      </c>
      <c r="G10743">
        <v>5399999</v>
      </c>
      <c r="H10743">
        <v>401042</v>
      </c>
      <c r="I10743" t="s">
        <v>949</v>
      </c>
    </row>
    <row r="10744" spans="1:9" x14ac:dyDescent="0.25">
      <c r="A10744">
        <v>4230</v>
      </c>
      <c r="B10744">
        <v>53</v>
      </c>
      <c r="C10744" t="s">
        <v>946</v>
      </c>
      <c r="D10744" t="s">
        <v>1059</v>
      </c>
      <c r="E10744" t="s">
        <v>270</v>
      </c>
      <c r="F10744" t="s">
        <v>948</v>
      </c>
      <c r="G10744">
        <v>5399999</v>
      </c>
      <c r="H10744">
        <v>401062</v>
      </c>
      <c r="I10744" t="s">
        <v>949</v>
      </c>
    </row>
    <row r="10745" spans="1:9" x14ac:dyDescent="0.25">
      <c r="A10745">
        <v>4230</v>
      </c>
      <c r="B10745">
        <v>53</v>
      </c>
      <c r="C10745" t="s">
        <v>946</v>
      </c>
      <c r="D10745" t="s">
        <v>1059</v>
      </c>
      <c r="E10745" t="s">
        <v>274</v>
      </c>
      <c r="F10745" t="s">
        <v>948</v>
      </c>
      <c r="G10745">
        <v>5399999</v>
      </c>
      <c r="H10745">
        <v>401042</v>
      </c>
      <c r="I10745" t="s">
        <v>949</v>
      </c>
    </row>
    <row r="10746" spans="1:9" x14ac:dyDescent="0.25">
      <c r="A10746">
        <v>4230</v>
      </c>
      <c r="B10746">
        <v>53</v>
      </c>
      <c r="C10746" t="s">
        <v>946</v>
      </c>
      <c r="D10746" t="s">
        <v>1059</v>
      </c>
      <c r="E10746" t="s">
        <v>104</v>
      </c>
      <c r="F10746" t="s">
        <v>948</v>
      </c>
      <c r="G10746">
        <v>5399999</v>
      </c>
      <c r="H10746">
        <v>401042</v>
      </c>
      <c r="I10746" t="s">
        <v>949</v>
      </c>
    </row>
    <row r="10747" spans="1:9" x14ac:dyDescent="0.25">
      <c r="A10747">
        <v>4230</v>
      </c>
      <c r="B10747">
        <v>53</v>
      </c>
      <c r="C10747" t="s">
        <v>946</v>
      </c>
      <c r="D10747" t="s">
        <v>1059</v>
      </c>
      <c r="E10747" t="s">
        <v>278</v>
      </c>
      <c r="F10747" t="s">
        <v>948</v>
      </c>
      <c r="G10747">
        <v>5399999</v>
      </c>
      <c r="H10747">
        <v>401052</v>
      </c>
      <c r="I10747" t="s">
        <v>949</v>
      </c>
    </row>
    <row r="10748" spans="1:9" x14ac:dyDescent="0.25">
      <c r="A10748">
        <v>4230</v>
      </c>
      <c r="B10748">
        <v>53</v>
      </c>
      <c r="C10748" t="s">
        <v>946</v>
      </c>
      <c r="D10748" t="s">
        <v>1059</v>
      </c>
      <c r="E10748" t="s">
        <v>282</v>
      </c>
      <c r="F10748" t="s">
        <v>948</v>
      </c>
      <c r="G10748">
        <v>5399999</v>
      </c>
      <c r="H10748">
        <v>401042</v>
      </c>
      <c r="I10748" t="s">
        <v>949</v>
      </c>
    </row>
    <row r="10749" spans="1:9" x14ac:dyDescent="0.25">
      <c r="A10749">
        <v>4230</v>
      </c>
      <c r="B10749">
        <v>53</v>
      </c>
      <c r="C10749" t="s">
        <v>946</v>
      </c>
      <c r="D10749" t="s">
        <v>1059</v>
      </c>
      <c r="E10749" t="s">
        <v>286</v>
      </c>
      <c r="F10749" t="s">
        <v>948</v>
      </c>
      <c r="G10749">
        <v>5399999</v>
      </c>
      <c r="H10749">
        <v>401032</v>
      </c>
      <c r="I10749" t="s">
        <v>949</v>
      </c>
    </row>
    <row r="10750" spans="1:9" x14ac:dyDescent="0.25">
      <c r="A10750">
        <v>4230</v>
      </c>
      <c r="B10750">
        <v>53</v>
      </c>
      <c r="C10750" t="s">
        <v>946</v>
      </c>
      <c r="D10750" t="s">
        <v>1059</v>
      </c>
      <c r="E10750" t="s">
        <v>290</v>
      </c>
      <c r="F10750" t="s">
        <v>948</v>
      </c>
      <c r="G10750">
        <v>5399999</v>
      </c>
      <c r="H10750">
        <v>401042</v>
      </c>
      <c r="I10750" t="s">
        <v>949</v>
      </c>
    </row>
    <row r="10751" spans="1:9" x14ac:dyDescent="0.25">
      <c r="A10751">
        <v>4230</v>
      </c>
      <c r="B10751">
        <v>53</v>
      </c>
      <c r="C10751" t="s">
        <v>946</v>
      </c>
      <c r="D10751" t="s">
        <v>1059</v>
      </c>
      <c r="E10751" t="s">
        <v>294</v>
      </c>
      <c r="F10751" t="s">
        <v>948</v>
      </c>
      <c r="G10751">
        <v>5399999</v>
      </c>
      <c r="H10751">
        <v>401042</v>
      </c>
      <c r="I10751" t="s">
        <v>949</v>
      </c>
    </row>
    <row r="10752" spans="1:9" x14ac:dyDescent="0.25">
      <c r="A10752">
        <v>4230</v>
      </c>
      <c r="B10752">
        <v>53</v>
      </c>
      <c r="C10752" t="s">
        <v>946</v>
      </c>
      <c r="D10752" t="s">
        <v>1059</v>
      </c>
      <c r="E10752" t="s">
        <v>298</v>
      </c>
      <c r="F10752" t="s">
        <v>948</v>
      </c>
      <c r="G10752">
        <v>5399999</v>
      </c>
      <c r="H10752">
        <v>402082</v>
      </c>
      <c r="I10752" t="s">
        <v>949</v>
      </c>
    </row>
    <row r="10753" spans="1:9" x14ac:dyDescent="0.25">
      <c r="A10753">
        <v>4230</v>
      </c>
      <c r="B10753">
        <v>53</v>
      </c>
      <c r="C10753" t="s">
        <v>946</v>
      </c>
      <c r="D10753" t="s">
        <v>1059</v>
      </c>
      <c r="E10753" t="s">
        <v>302</v>
      </c>
      <c r="F10753" t="s">
        <v>948</v>
      </c>
      <c r="G10753">
        <v>5399999</v>
      </c>
      <c r="H10753">
        <v>401902</v>
      </c>
      <c r="I10753" t="s">
        <v>949</v>
      </c>
    </row>
    <row r="10754" spans="1:9" x14ac:dyDescent="0.25">
      <c r="A10754">
        <v>4230</v>
      </c>
      <c r="B10754">
        <v>53</v>
      </c>
      <c r="C10754" t="s">
        <v>946</v>
      </c>
      <c r="D10754" t="s">
        <v>1059</v>
      </c>
      <c r="E10754" t="s">
        <v>306</v>
      </c>
      <c r="F10754" t="s">
        <v>948</v>
      </c>
      <c r="G10754">
        <v>5399999</v>
      </c>
      <c r="H10754">
        <v>401042</v>
      </c>
      <c r="I10754" t="s">
        <v>949</v>
      </c>
    </row>
    <row r="10755" spans="1:9" x14ac:dyDescent="0.25">
      <c r="A10755">
        <v>4230</v>
      </c>
      <c r="B10755">
        <v>53</v>
      </c>
      <c r="C10755" t="s">
        <v>946</v>
      </c>
      <c r="D10755" t="s">
        <v>1059</v>
      </c>
      <c r="E10755" t="s">
        <v>310</v>
      </c>
      <c r="F10755" t="s">
        <v>948</v>
      </c>
      <c r="G10755">
        <v>5399999</v>
      </c>
      <c r="H10755">
        <v>401012</v>
      </c>
      <c r="I10755" t="s">
        <v>949</v>
      </c>
    </row>
    <row r="10756" spans="1:9" x14ac:dyDescent="0.25">
      <c r="A10756">
        <v>4230</v>
      </c>
      <c r="B10756">
        <v>53</v>
      </c>
      <c r="C10756" t="s">
        <v>946</v>
      </c>
      <c r="D10756" t="s">
        <v>1059</v>
      </c>
      <c r="E10756" t="s">
        <v>314</v>
      </c>
      <c r="F10756" t="s">
        <v>948</v>
      </c>
      <c r="G10756">
        <v>5399999</v>
      </c>
      <c r="H10756">
        <v>401062</v>
      </c>
      <c r="I10756" t="s">
        <v>949</v>
      </c>
    </row>
    <row r="10757" spans="1:9" x14ac:dyDescent="0.25">
      <c r="A10757">
        <v>4141</v>
      </c>
      <c r="B10757">
        <v>53</v>
      </c>
      <c r="C10757" t="s">
        <v>946</v>
      </c>
      <c r="D10757" t="s">
        <v>1060</v>
      </c>
      <c r="E10757" t="s">
        <v>49</v>
      </c>
      <c r="F10757" t="s">
        <v>948</v>
      </c>
      <c r="G10757">
        <v>5377777</v>
      </c>
      <c r="H10757">
        <v>501010</v>
      </c>
      <c r="I10757">
        <v>51</v>
      </c>
    </row>
    <row r="10758" spans="1:9" x14ac:dyDescent="0.25">
      <c r="A10758">
        <v>4220</v>
      </c>
      <c r="B10758">
        <v>53</v>
      </c>
      <c r="C10758" t="s">
        <v>946</v>
      </c>
      <c r="D10758" t="s">
        <v>1060</v>
      </c>
      <c r="E10758" t="s">
        <v>49</v>
      </c>
      <c r="F10758" t="s">
        <v>948</v>
      </c>
      <c r="G10758">
        <v>5377777</v>
      </c>
      <c r="H10758">
        <v>501010</v>
      </c>
      <c r="I10758">
        <v>51</v>
      </c>
    </row>
    <row r="10759" spans="1:9" x14ac:dyDescent="0.25">
      <c r="A10759">
        <v>4240</v>
      </c>
      <c r="B10759">
        <v>53</v>
      </c>
      <c r="C10759" t="s">
        <v>946</v>
      </c>
      <c r="D10759" t="s">
        <v>1060</v>
      </c>
      <c r="E10759" t="s">
        <v>49</v>
      </c>
      <c r="F10759" t="s">
        <v>948</v>
      </c>
      <c r="G10759">
        <v>5300000</v>
      </c>
      <c r="H10759">
        <v>145000</v>
      </c>
      <c r="I10759" t="s">
        <v>949</v>
      </c>
    </row>
    <row r="10760" spans="1:9" x14ac:dyDescent="0.25">
      <c r="A10760">
        <v>4230</v>
      </c>
      <c r="B10760">
        <v>53</v>
      </c>
      <c r="C10760" t="s">
        <v>946</v>
      </c>
      <c r="D10760" t="s">
        <v>1060</v>
      </c>
      <c r="E10760" t="s">
        <v>243</v>
      </c>
      <c r="F10760" t="s">
        <v>948</v>
      </c>
      <c r="G10760">
        <v>5399999</v>
      </c>
      <c r="H10760">
        <v>401055</v>
      </c>
      <c r="I10760">
        <v>51</v>
      </c>
    </row>
    <row r="10761" spans="1:9" x14ac:dyDescent="0.25">
      <c r="A10761">
        <v>4230</v>
      </c>
      <c r="B10761">
        <v>53</v>
      </c>
      <c r="C10761" t="s">
        <v>946</v>
      </c>
      <c r="D10761" t="s">
        <v>1060</v>
      </c>
      <c r="E10761" t="s">
        <v>247</v>
      </c>
      <c r="F10761" t="s">
        <v>948</v>
      </c>
      <c r="G10761">
        <v>5399999</v>
      </c>
      <c r="H10761">
        <v>401025</v>
      </c>
      <c r="I10761">
        <v>51</v>
      </c>
    </row>
    <row r="10762" spans="1:9" x14ac:dyDescent="0.25">
      <c r="A10762">
        <v>4230</v>
      </c>
      <c r="B10762">
        <v>53</v>
      </c>
      <c r="C10762" t="s">
        <v>946</v>
      </c>
      <c r="D10762" t="s">
        <v>1060</v>
      </c>
      <c r="E10762" t="s">
        <v>251</v>
      </c>
      <c r="F10762" t="s">
        <v>948</v>
      </c>
      <c r="G10762">
        <v>5399999</v>
      </c>
      <c r="H10762">
        <v>401045</v>
      </c>
      <c r="I10762">
        <v>51</v>
      </c>
    </row>
    <row r="10763" spans="1:9" x14ac:dyDescent="0.25">
      <c r="A10763">
        <v>4230</v>
      </c>
      <c r="B10763">
        <v>53</v>
      </c>
      <c r="C10763" t="s">
        <v>946</v>
      </c>
      <c r="D10763" t="s">
        <v>1060</v>
      </c>
      <c r="E10763" t="s">
        <v>255</v>
      </c>
      <c r="F10763" t="s">
        <v>948</v>
      </c>
      <c r="G10763">
        <v>5399999</v>
      </c>
      <c r="H10763">
        <v>401075</v>
      </c>
      <c r="I10763">
        <v>51</v>
      </c>
    </row>
    <row r="10764" spans="1:9" x14ac:dyDescent="0.25">
      <c r="A10764">
        <v>4230</v>
      </c>
      <c r="B10764">
        <v>53</v>
      </c>
      <c r="C10764" t="s">
        <v>946</v>
      </c>
      <c r="D10764" t="s">
        <v>1060</v>
      </c>
      <c r="E10764" t="s">
        <v>259</v>
      </c>
      <c r="F10764" t="s">
        <v>948</v>
      </c>
      <c r="G10764">
        <v>5399999</v>
      </c>
      <c r="H10764">
        <v>409005</v>
      </c>
      <c r="I10764">
        <v>51</v>
      </c>
    </row>
    <row r="10765" spans="1:9" x14ac:dyDescent="0.25">
      <c r="A10765">
        <v>4230</v>
      </c>
      <c r="B10765">
        <v>53</v>
      </c>
      <c r="C10765" t="s">
        <v>946</v>
      </c>
      <c r="D10765" t="s">
        <v>1060</v>
      </c>
      <c r="E10765" t="s">
        <v>263</v>
      </c>
      <c r="F10765" t="s">
        <v>948</v>
      </c>
      <c r="G10765">
        <v>5399999</v>
      </c>
      <c r="H10765">
        <v>401045</v>
      </c>
      <c r="I10765">
        <v>51</v>
      </c>
    </row>
    <row r="10766" spans="1:9" x14ac:dyDescent="0.25">
      <c r="A10766">
        <v>4230</v>
      </c>
      <c r="B10766">
        <v>53</v>
      </c>
      <c r="C10766" t="s">
        <v>946</v>
      </c>
      <c r="D10766" t="s">
        <v>1060</v>
      </c>
      <c r="E10766" t="s">
        <v>100</v>
      </c>
      <c r="F10766" t="s">
        <v>948</v>
      </c>
      <c r="G10766">
        <v>5399999</v>
      </c>
      <c r="H10766">
        <v>401045</v>
      </c>
      <c r="I10766">
        <v>51</v>
      </c>
    </row>
    <row r="10767" spans="1:9" x14ac:dyDescent="0.25">
      <c r="A10767">
        <v>4230</v>
      </c>
      <c r="B10767">
        <v>53</v>
      </c>
      <c r="C10767" t="s">
        <v>946</v>
      </c>
      <c r="D10767" t="s">
        <v>1060</v>
      </c>
      <c r="E10767" t="s">
        <v>270</v>
      </c>
      <c r="F10767" t="s">
        <v>948</v>
      </c>
      <c r="G10767">
        <v>5399999</v>
      </c>
      <c r="H10767">
        <v>401065</v>
      </c>
      <c r="I10767">
        <v>51</v>
      </c>
    </row>
    <row r="10768" spans="1:9" x14ac:dyDescent="0.25">
      <c r="A10768">
        <v>4230</v>
      </c>
      <c r="B10768">
        <v>53</v>
      </c>
      <c r="C10768" t="s">
        <v>946</v>
      </c>
      <c r="D10768" t="s">
        <v>1060</v>
      </c>
      <c r="E10768" t="s">
        <v>274</v>
      </c>
      <c r="F10768" t="s">
        <v>948</v>
      </c>
      <c r="G10768">
        <v>5399999</v>
      </c>
      <c r="H10768">
        <v>401045</v>
      </c>
      <c r="I10768">
        <v>51</v>
      </c>
    </row>
    <row r="10769" spans="1:9" x14ac:dyDescent="0.25">
      <c r="A10769">
        <v>4230</v>
      </c>
      <c r="B10769">
        <v>53</v>
      </c>
      <c r="C10769" t="s">
        <v>946</v>
      </c>
      <c r="D10769" t="s">
        <v>1060</v>
      </c>
      <c r="E10769" t="s">
        <v>104</v>
      </c>
      <c r="F10769" t="s">
        <v>948</v>
      </c>
      <c r="G10769">
        <v>5399999</v>
      </c>
      <c r="H10769">
        <v>401045</v>
      </c>
      <c r="I10769">
        <v>51</v>
      </c>
    </row>
    <row r="10770" spans="1:9" x14ac:dyDescent="0.25">
      <c r="A10770">
        <v>4230</v>
      </c>
      <c r="B10770">
        <v>53</v>
      </c>
      <c r="C10770" t="s">
        <v>946</v>
      </c>
      <c r="D10770" t="s">
        <v>1060</v>
      </c>
      <c r="E10770" t="s">
        <v>278</v>
      </c>
      <c r="F10770" t="s">
        <v>948</v>
      </c>
      <c r="G10770">
        <v>5399999</v>
      </c>
      <c r="H10770">
        <v>401055</v>
      </c>
      <c r="I10770">
        <v>51</v>
      </c>
    </row>
    <row r="10771" spans="1:9" x14ac:dyDescent="0.25">
      <c r="A10771">
        <v>4230</v>
      </c>
      <c r="B10771">
        <v>53</v>
      </c>
      <c r="C10771" t="s">
        <v>946</v>
      </c>
      <c r="D10771" t="s">
        <v>1060</v>
      </c>
      <c r="E10771" t="s">
        <v>282</v>
      </c>
      <c r="F10771" t="s">
        <v>948</v>
      </c>
      <c r="G10771">
        <v>5399999</v>
      </c>
      <c r="H10771">
        <v>401045</v>
      </c>
      <c r="I10771">
        <v>51</v>
      </c>
    </row>
    <row r="10772" spans="1:9" x14ac:dyDescent="0.25">
      <c r="A10772">
        <v>4230</v>
      </c>
      <c r="B10772">
        <v>53</v>
      </c>
      <c r="C10772" t="s">
        <v>946</v>
      </c>
      <c r="D10772" t="s">
        <v>1060</v>
      </c>
      <c r="E10772" t="s">
        <v>286</v>
      </c>
      <c r="F10772" t="s">
        <v>948</v>
      </c>
      <c r="G10772">
        <v>5399999</v>
      </c>
      <c r="H10772">
        <v>401035</v>
      </c>
      <c r="I10772">
        <v>51</v>
      </c>
    </row>
    <row r="10773" spans="1:9" x14ac:dyDescent="0.25">
      <c r="A10773">
        <v>4230</v>
      </c>
      <c r="B10773">
        <v>53</v>
      </c>
      <c r="C10773" t="s">
        <v>946</v>
      </c>
      <c r="D10773" t="s">
        <v>1060</v>
      </c>
      <c r="E10773" t="s">
        <v>290</v>
      </c>
      <c r="F10773" t="s">
        <v>948</v>
      </c>
      <c r="G10773">
        <v>5399999</v>
      </c>
      <c r="H10773">
        <v>401045</v>
      </c>
      <c r="I10773">
        <v>51</v>
      </c>
    </row>
    <row r="10774" spans="1:9" x14ac:dyDescent="0.25">
      <c r="A10774">
        <v>4230</v>
      </c>
      <c r="B10774">
        <v>53</v>
      </c>
      <c r="C10774" t="s">
        <v>946</v>
      </c>
      <c r="D10774" t="s">
        <v>1060</v>
      </c>
      <c r="E10774" t="s">
        <v>294</v>
      </c>
      <c r="F10774" t="s">
        <v>948</v>
      </c>
      <c r="G10774">
        <v>5399999</v>
      </c>
      <c r="H10774">
        <v>401045</v>
      </c>
      <c r="I10774">
        <v>51</v>
      </c>
    </row>
    <row r="10775" spans="1:9" x14ac:dyDescent="0.25">
      <c r="A10775">
        <v>4230</v>
      </c>
      <c r="B10775">
        <v>53</v>
      </c>
      <c r="C10775" t="s">
        <v>946</v>
      </c>
      <c r="D10775" t="s">
        <v>1060</v>
      </c>
      <c r="E10775" t="s">
        <v>298</v>
      </c>
      <c r="F10775" t="s">
        <v>948</v>
      </c>
      <c r="G10775">
        <v>5399999</v>
      </c>
      <c r="H10775">
        <v>402085</v>
      </c>
      <c r="I10775">
        <v>51</v>
      </c>
    </row>
    <row r="10776" spans="1:9" x14ac:dyDescent="0.25">
      <c r="A10776">
        <v>4230</v>
      </c>
      <c r="B10776">
        <v>53</v>
      </c>
      <c r="C10776" t="s">
        <v>946</v>
      </c>
      <c r="D10776" t="s">
        <v>1060</v>
      </c>
      <c r="E10776" t="s">
        <v>302</v>
      </c>
      <c r="F10776" t="s">
        <v>948</v>
      </c>
      <c r="G10776">
        <v>5399999</v>
      </c>
      <c r="H10776">
        <v>401905</v>
      </c>
      <c r="I10776">
        <v>51</v>
      </c>
    </row>
    <row r="10777" spans="1:9" x14ac:dyDescent="0.25">
      <c r="A10777">
        <v>4230</v>
      </c>
      <c r="B10777">
        <v>53</v>
      </c>
      <c r="C10777" t="s">
        <v>946</v>
      </c>
      <c r="D10777" t="s">
        <v>1060</v>
      </c>
      <c r="E10777" t="s">
        <v>306</v>
      </c>
      <c r="F10777" t="s">
        <v>948</v>
      </c>
      <c r="G10777">
        <v>5399999</v>
      </c>
      <c r="H10777">
        <v>401045</v>
      </c>
      <c r="I10777">
        <v>51</v>
      </c>
    </row>
    <row r="10778" spans="1:9" x14ac:dyDescent="0.25">
      <c r="A10778">
        <v>4230</v>
      </c>
      <c r="B10778">
        <v>53</v>
      </c>
      <c r="C10778" t="s">
        <v>946</v>
      </c>
      <c r="D10778" t="s">
        <v>1060</v>
      </c>
      <c r="E10778" t="s">
        <v>310</v>
      </c>
      <c r="F10778" t="s">
        <v>948</v>
      </c>
      <c r="G10778">
        <v>5399999</v>
      </c>
      <c r="H10778">
        <v>401015</v>
      </c>
      <c r="I10778">
        <v>51</v>
      </c>
    </row>
    <row r="10779" spans="1:9" x14ac:dyDescent="0.25">
      <c r="A10779">
        <v>4230</v>
      </c>
      <c r="B10779">
        <v>53</v>
      </c>
      <c r="C10779" t="s">
        <v>946</v>
      </c>
      <c r="D10779" t="s">
        <v>1060</v>
      </c>
      <c r="E10779" t="s">
        <v>314</v>
      </c>
      <c r="F10779" t="s">
        <v>948</v>
      </c>
      <c r="G10779">
        <v>5399999</v>
      </c>
      <c r="H10779">
        <v>401065</v>
      </c>
      <c r="I10779">
        <v>51</v>
      </c>
    </row>
    <row r="10780" spans="1:9" x14ac:dyDescent="0.25">
      <c r="A10780">
        <v>4141</v>
      </c>
      <c r="B10780">
        <v>53</v>
      </c>
      <c r="C10780" t="s">
        <v>946</v>
      </c>
      <c r="D10780" t="s">
        <v>1036</v>
      </c>
      <c r="E10780" t="s">
        <v>49</v>
      </c>
      <c r="F10780" t="s">
        <v>948</v>
      </c>
      <c r="G10780">
        <v>5301505</v>
      </c>
      <c r="H10780">
        <v>700255</v>
      </c>
      <c r="I10780" t="s">
        <v>949</v>
      </c>
    </row>
    <row r="10781" spans="1:9" x14ac:dyDescent="0.25">
      <c r="A10781">
        <v>4220</v>
      </c>
      <c r="B10781">
        <v>53</v>
      </c>
      <c r="C10781" t="s">
        <v>946</v>
      </c>
      <c r="D10781" t="s">
        <v>1036</v>
      </c>
      <c r="E10781" t="s">
        <v>49</v>
      </c>
      <c r="F10781" t="s">
        <v>948</v>
      </c>
      <c r="G10781">
        <v>5301505</v>
      </c>
      <c r="H10781">
        <v>700255</v>
      </c>
      <c r="I10781" t="s">
        <v>949</v>
      </c>
    </row>
    <row r="10782" spans="1:9" x14ac:dyDescent="0.25">
      <c r="A10782">
        <v>4230</v>
      </c>
      <c r="B10782">
        <v>53</v>
      </c>
      <c r="C10782" t="s">
        <v>946</v>
      </c>
      <c r="D10782" t="s">
        <v>1036</v>
      </c>
      <c r="E10782" t="s">
        <v>49</v>
      </c>
      <c r="F10782" t="s">
        <v>948</v>
      </c>
      <c r="G10782">
        <v>5301305</v>
      </c>
      <c r="H10782">
        <v>700255</v>
      </c>
      <c r="I10782" t="s">
        <v>949</v>
      </c>
    </row>
    <row r="10783" spans="1:9" x14ac:dyDescent="0.25">
      <c r="A10783">
        <v>4240</v>
      </c>
      <c r="B10783">
        <v>53</v>
      </c>
      <c r="C10783" t="s">
        <v>946</v>
      </c>
      <c r="D10783" t="s">
        <v>1036</v>
      </c>
      <c r="E10783" t="s">
        <v>49</v>
      </c>
      <c r="F10783" t="s">
        <v>948</v>
      </c>
      <c r="G10783">
        <v>5300000</v>
      </c>
      <c r="H10783">
        <v>145000</v>
      </c>
      <c r="I10783" t="s">
        <v>949</v>
      </c>
    </row>
    <row r="10784" spans="1:9" x14ac:dyDescent="0.25">
      <c r="A10784">
        <v>4141</v>
      </c>
      <c r="B10784">
        <v>53</v>
      </c>
      <c r="C10784" t="s">
        <v>946</v>
      </c>
      <c r="D10784" t="s">
        <v>1038</v>
      </c>
      <c r="E10784" t="s">
        <v>49</v>
      </c>
      <c r="F10784" t="s">
        <v>948</v>
      </c>
      <c r="G10784">
        <v>5377777</v>
      </c>
      <c r="H10784">
        <v>501010</v>
      </c>
      <c r="I10784" t="s">
        <v>949</v>
      </c>
    </row>
    <row r="10785" spans="1:9" x14ac:dyDescent="0.25">
      <c r="A10785">
        <v>4220</v>
      </c>
      <c r="B10785">
        <v>53</v>
      </c>
      <c r="C10785" t="s">
        <v>946</v>
      </c>
      <c r="D10785" t="s">
        <v>1038</v>
      </c>
      <c r="E10785" t="s">
        <v>49</v>
      </c>
      <c r="F10785" t="s">
        <v>948</v>
      </c>
      <c r="G10785">
        <v>5377777</v>
      </c>
      <c r="H10785">
        <v>501010</v>
      </c>
      <c r="I10785" t="s">
        <v>949</v>
      </c>
    </row>
    <row r="10786" spans="1:9" x14ac:dyDescent="0.25">
      <c r="A10786">
        <v>4240</v>
      </c>
      <c r="B10786">
        <v>53</v>
      </c>
      <c r="C10786" t="s">
        <v>946</v>
      </c>
      <c r="D10786" t="s">
        <v>1038</v>
      </c>
      <c r="E10786" t="s">
        <v>49</v>
      </c>
      <c r="F10786" t="s">
        <v>948</v>
      </c>
      <c r="G10786">
        <v>5300000</v>
      </c>
      <c r="H10786">
        <v>145000</v>
      </c>
      <c r="I10786" t="s">
        <v>949</v>
      </c>
    </row>
    <row r="10787" spans="1:9" x14ac:dyDescent="0.25">
      <c r="A10787">
        <v>4250</v>
      </c>
      <c r="B10787">
        <v>53</v>
      </c>
      <c r="C10787" t="s">
        <v>946</v>
      </c>
      <c r="D10787" t="s">
        <v>1038</v>
      </c>
      <c r="E10787" t="s">
        <v>49</v>
      </c>
      <c r="F10787" t="s">
        <v>948</v>
      </c>
      <c r="G10787">
        <v>5300000</v>
      </c>
      <c r="H10787">
        <v>130305</v>
      </c>
      <c r="I10787" t="s">
        <v>949</v>
      </c>
    </row>
    <row r="10788" spans="1:9" x14ac:dyDescent="0.25">
      <c r="A10788">
        <v>4270</v>
      </c>
      <c r="B10788">
        <v>53</v>
      </c>
      <c r="C10788" t="s">
        <v>946</v>
      </c>
      <c r="D10788" t="s">
        <v>1038</v>
      </c>
      <c r="E10788" t="s">
        <v>49</v>
      </c>
      <c r="F10788" t="s">
        <v>948</v>
      </c>
      <c r="G10788">
        <v>5377777</v>
      </c>
      <c r="H10788">
        <v>500220</v>
      </c>
      <c r="I10788" t="s">
        <v>949</v>
      </c>
    </row>
    <row r="10789" spans="1:9" x14ac:dyDescent="0.25">
      <c r="A10789">
        <v>4230</v>
      </c>
      <c r="B10789">
        <v>53</v>
      </c>
      <c r="C10789" t="s">
        <v>946</v>
      </c>
      <c r="D10789" t="s">
        <v>1038</v>
      </c>
      <c r="E10789" t="s">
        <v>243</v>
      </c>
      <c r="F10789" t="s">
        <v>948</v>
      </c>
      <c r="G10789">
        <v>5399999</v>
      </c>
      <c r="H10789">
        <v>401052</v>
      </c>
      <c r="I10789" t="s">
        <v>949</v>
      </c>
    </row>
    <row r="10790" spans="1:9" x14ac:dyDescent="0.25">
      <c r="A10790">
        <v>4230</v>
      </c>
      <c r="B10790">
        <v>53</v>
      </c>
      <c r="C10790" t="s">
        <v>946</v>
      </c>
      <c r="D10790" t="s">
        <v>1038</v>
      </c>
      <c r="E10790" t="s">
        <v>247</v>
      </c>
      <c r="F10790" t="s">
        <v>948</v>
      </c>
      <c r="G10790">
        <v>5399999</v>
      </c>
      <c r="H10790">
        <v>401022</v>
      </c>
      <c r="I10790" t="s">
        <v>949</v>
      </c>
    </row>
    <row r="10791" spans="1:9" x14ac:dyDescent="0.25">
      <c r="A10791">
        <v>4230</v>
      </c>
      <c r="B10791">
        <v>53</v>
      </c>
      <c r="C10791" t="s">
        <v>946</v>
      </c>
      <c r="D10791" t="s">
        <v>1038</v>
      </c>
      <c r="E10791" t="s">
        <v>251</v>
      </c>
      <c r="F10791" t="s">
        <v>948</v>
      </c>
      <c r="G10791">
        <v>5399999</v>
      </c>
      <c r="H10791">
        <v>401042</v>
      </c>
      <c r="I10791" t="s">
        <v>949</v>
      </c>
    </row>
    <row r="10792" spans="1:9" x14ac:dyDescent="0.25">
      <c r="A10792">
        <v>4230</v>
      </c>
      <c r="B10792">
        <v>53</v>
      </c>
      <c r="C10792" t="s">
        <v>946</v>
      </c>
      <c r="D10792" t="s">
        <v>1038</v>
      </c>
      <c r="E10792" t="s">
        <v>255</v>
      </c>
      <c r="F10792" t="s">
        <v>948</v>
      </c>
      <c r="G10792">
        <v>5399999</v>
      </c>
      <c r="H10792">
        <v>401072</v>
      </c>
      <c r="I10792" t="s">
        <v>949</v>
      </c>
    </row>
    <row r="10793" spans="1:9" x14ac:dyDescent="0.25">
      <c r="A10793">
        <v>4230</v>
      </c>
      <c r="B10793">
        <v>53</v>
      </c>
      <c r="C10793" t="s">
        <v>946</v>
      </c>
      <c r="D10793" t="s">
        <v>1038</v>
      </c>
      <c r="E10793" t="s">
        <v>259</v>
      </c>
      <c r="F10793" t="s">
        <v>948</v>
      </c>
      <c r="G10793">
        <v>5399999</v>
      </c>
      <c r="H10793">
        <v>409002</v>
      </c>
      <c r="I10793" t="s">
        <v>949</v>
      </c>
    </row>
    <row r="10794" spans="1:9" x14ac:dyDescent="0.25">
      <c r="A10794">
        <v>4230</v>
      </c>
      <c r="B10794">
        <v>53</v>
      </c>
      <c r="C10794" t="s">
        <v>946</v>
      </c>
      <c r="D10794" t="s">
        <v>1038</v>
      </c>
      <c r="E10794" t="s">
        <v>263</v>
      </c>
      <c r="F10794" t="s">
        <v>948</v>
      </c>
      <c r="G10794">
        <v>5399999</v>
      </c>
      <c r="H10794">
        <v>401042</v>
      </c>
      <c r="I10794" t="s">
        <v>949</v>
      </c>
    </row>
    <row r="10795" spans="1:9" x14ac:dyDescent="0.25">
      <c r="A10795">
        <v>4230</v>
      </c>
      <c r="B10795">
        <v>53</v>
      </c>
      <c r="C10795" t="s">
        <v>946</v>
      </c>
      <c r="D10795" t="s">
        <v>1038</v>
      </c>
      <c r="E10795" t="s">
        <v>100</v>
      </c>
      <c r="F10795" t="s">
        <v>948</v>
      </c>
      <c r="G10795">
        <v>5399999</v>
      </c>
      <c r="H10795">
        <v>401042</v>
      </c>
      <c r="I10795" t="s">
        <v>949</v>
      </c>
    </row>
    <row r="10796" spans="1:9" x14ac:dyDescent="0.25">
      <c r="A10796">
        <v>4230</v>
      </c>
      <c r="B10796">
        <v>53</v>
      </c>
      <c r="C10796" t="s">
        <v>946</v>
      </c>
      <c r="D10796" t="s">
        <v>1038</v>
      </c>
      <c r="E10796" t="s">
        <v>270</v>
      </c>
      <c r="F10796" t="s">
        <v>948</v>
      </c>
      <c r="G10796">
        <v>5399999</v>
      </c>
      <c r="H10796">
        <v>401062</v>
      </c>
      <c r="I10796" t="s">
        <v>949</v>
      </c>
    </row>
    <row r="10797" spans="1:9" x14ac:dyDescent="0.25">
      <c r="A10797">
        <v>4230</v>
      </c>
      <c r="B10797">
        <v>53</v>
      </c>
      <c r="C10797" t="s">
        <v>946</v>
      </c>
      <c r="D10797" t="s">
        <v>1038</v>
      </c>
      <c r="E10797" t="s">
        <v>274</v>
      </c>
      <c r="F10797" t="s">
        <v>948</v>
      </c>
      <c r="G10797">
        <v>5399999</v>
      </c>
      <c r="H10797">
        <v>401042</v>
      </c>
      <c r="I10797" t="s">
        <v>949</v>
      </c>
    </row>
    <row r="10798" spans="1:9" x14ac:dyDescent="0.25">
      <c r="A10798">
        <v>4230</v>
      </c>
      <c r="B10798">
        <v>53</v>
      </c>
      <c r="C10798" t="s">
        <v>946</v>
      </c>
      <c r="D10798" t="s">
        <v>1038</v>
      </c>
      <c r="E10798" t="s">
        <v>104</v>
      </c>
      <c r="F10798" t="s">
        <v>948</v>
      </c>
      <c r="G10798">
        <v>5399999</v>
      </c>
      <c r="H10798">
        <v>401042</v>
      </c>
      <c r="I10798" t="s">
        <v>949</v>
      </c>
    </row>
    <row r="10799" spans="1:9" x14ac:dyDescent="0.25">
      <c r="A10799">
        <v>4230</v>
      </c>
      <c r="B10799">
        <v>53</v>
      </c>
      <c r="C10799" t="s">
        <v>946</v>
      </c>
      <c r="D10799" t="s">
        <v>1038</v>
      </c>
      <c r="E10799" t="s">
        <v>278</v>
      </c>
      <c r="F10799" t="s">
        <v>948</v>
      </c>
      <c r="G10799">
        <v>5399999</v>
      </c>
      <c r="H10799">
        <v>401052</v>
      </c>
      <c r="I10799" t="s">
        <v>949</v>
      </c>
    </row>
    <row r="10800" spans="1:9" x14ac:dyDescent="0.25">
      <c r="A10800">
        <v>4230</v>
      </c>
      <c r="B10800">
        <v>53</v>
      </c>
      <c r="C10800" t="s">
        <v>946</v>
      </c>
      <c r="D10800" t="s">
        <v>1038</v>
      </c>
      <c r="E10800" t="s">
        <v>282</v>
      </c>
      <c r="F10800" t="s">
        <v>948</v>
      </c>
      <c r="G10800">
        <v>5399999</v>
      </c>
      <c r="H10800">
        <v>401042</v>
      </c>
      <c r="I10800" t="s">
        <v>949</v>
      </c>
    </row>
    <row r="10801" spans="1:9" x14ac:dyDescent="0.25">
      <c r="A10801">
        <v>4230</v>
      </c>
      <c r="B10801">
        <v>53</v>
      </c>
      <c r="C10801" t="s">
        <v>946</v>
      </c>
      <c r="D10801" t="s">
        <v>1038</v>
      </c>
      <c r="E10801" t="s">
        <v>286</v>
      </c>
      <c r="F10801" t="s">
        <v>948</v>
      </c>
      <c r="G10801">
        <v>5399999</v>
      </c>
      <c r="H10801">
        <v>401032</v>
      </c>
      <c r="I10801" t="s">
        <v>949</v>
      </c>
    </row>
    <row r="10802" spans="1:9" x14ac:dyDescent="0.25">
      <c r="A10802">
        <v>4230</v>
      </c>
      <c r="B10802">
        <v>53</v>
      </c>
      <c r="C10802" t="s">
        <v>946</v>
      </c>
      <c r="D10802" t="s">
        <v>1038</v>
      </c>
      <c r="E10802" t="s">
        <v>290</v>
      </c>
      <c r="F10802" t="s">
        <v>948</v>
      </c>
      <c r="G10802">
        <v>5399999</v>
      </c>
      <c r="H10802">
        <v>401042</v>
      </c>
      <c r="I10802" t="s">
        <v>949</v>
      </c>
    </row>
    <row r="10803" spans="1:9" x14ac:dyDescent="0.25">
      <c r="A10803">
        <v>4230</v>
      </c>
      <c r="B10803">
        <v>53</v>
      </c>
      <c r="C10803" t="s">
        <v>946</v>
      </c>
      <c r="D10803" t="s">
        <v>1038</v>
      </c>
      <c r="E10803" t="s">
        <v>294</v>
      </c>
      <c r="F10803" t="s">
        <v>948</v>
      </c>
      <c r="G10803">
        <v>5399999</v>
      </c>
      <c r="H10803">
        <v>401042</v>
      </c>
      <c r="I10803" t="s">
        <v>949</v>
      </c>
    </row>
    <row r="10804" spans="1:9" x14ac:dyDescent="0.25">
      <c r="A10804">
        <v>4230</v>
      </c>
      <c r="B10804">
        <v>53</v>
      </c>
      <c r="C10804" t="s">
        <v>946</v>
      </c>
      <c r="D10804" t="s">
        <v>1038</v>
      </c>
      <c r="E10804" t="s">
        <v>298</v>
      </c>
      <c r="F10804" t="s">
        <v>948</v>
      </c>
      <c r="G10804">
        <v>5399999</v>
      </c>
      <c r="H10804">
        <v>402082</v>
      </c>
      <c r="I10804" t="s">
        <v>949</v>
      </c>
    </row>
    <row r="10805" spans="1:9" x14ac:dyDescent="0.25">
      <c r="A10805">
        <v>4230</v>
      </c>
      <c r="B10805">
        <v>53</v>
      </c>
      <c r="C10805" t="s">
        <v>946</v>
      </c>
      <c r="D10805" t="s">
        <v>1038</v>
      </c>
      <c r="E10805" t="s">
        <v>302</v>
      </c>
      <c r="F10805" t="s">
        <v>948</v>
      </c>
      <c r="G10805">
        <v>5399999</v>
      </c>
      <c r="H10805">
        <v>401902</v>
      </c>
      <c r="I10805" t="s">
        <v>949</v>
      </c>
    </row>
    <row r="10806" spans="1:9" x14ac:dyDescent="0.25">
      <c r="A10806">
        <v>4230</v>
      </c>
      <c r="B10806">
        <v>53</v>
      </c>
      <c r="C10806" t="s">
        <v>946</v>
      </c>
      <c r="D10806" t="s">
        <v>1038</v>
      </c>
      <c r="E10806" t="s">
        <v>306</v>
      </c>
      <c r="F10806" t="s">
        <v>948</v>
      </c>
      <c r="G10806">
        <v>5399999</v>
      </c>
      <c r="H10806">
        <v>401042</v>
      </c>
      <c r="I10806" t="s">
        <v>949</v>
      </c>
    </row>
    <row r="10807" spans="1:9" x14ac:dyDescent="0.25">
      <c r="A10807">
        <v>4230</v>
      </c>
      <c r="B10807">
        <v>53</v>
      </c>
      <c r="C10807" t="s">
        <v>946</v>
      </c>
      <c r="D10807" t="s">
        <v>1038</v>
      </c>
      <c r="E10807" t="s">
        <v>310</v>
      </c>
      <c r="F10807" t="s">
        <v>948</v>
      </c>
      <c r="G10807">
        <v>5399999</v>
      </c>
      <c r="H10807">
        <v>401012</v>
      </c>
      <c r="I10807" t="s">
        <v>949</v>
      </c>
    </row>
    <row r="10808" spans="1:9" x14ac:dyDescent="0.25">
      <c r="A10808">
        <v>4230</v>
      </c>
      <c r="B10808">
        <v>53</v>
      </c>
      <c r="C10808" t="s">
        <v>946</v>
      </c>
      <c r="D10808" t="s">
        <v>1038</v>
      </c>
      <c r="E10808" t="s">
        <v>314</v>
      </c>
      <c r="F10808" t="s">
        <v>948</v>
      </c>
      <c r="G10808">
        <v>5399999</v>
      </c>
      <c r="H10808">
        <v>401062</v>
      </c>
      <c r="I10808" t="s">
        <v>949</v>
      </c>
    </row>
    <row r="10809" spans="1:9" x14ac:dyDescent="0.25">
      <c r="A10809">
        <v>4141</v>
      </c>
      <c r="B10809">
        <v>53</v>
      </c>
      <c r="C10809" t="s">
        <v>946</v>
      </c>
      <c r="D10809" t="s">
        <v>144</v>
      </c>
      <c r="E10809" t="s">
        <v>49</v>
      </c>
      <c r="F10809" t="s">
        <v>948</v>
      </c>
      <c r="G10809">
        <v>5377777</v>
      </c>
      <c r="H10809">
        <v>500220</v>
      </c>
      <c r="I10809" t="s">
        <v>949</v>
      </c>
    </row>
    <row r="10810" ht="22" customHeight="1" spans="1:10" x14ac:dyDescent="0.25">
      <c r="A10810" s="41">
        <v>4220</v>
      </c>
      <c r="B10810" s="41">
        <v>53</v>
      </c>
      <c r="C10810" s="41" t="s">
        <v>946</v>
      </c>
      <c r="D10810" s="41" t="s">
        <v>144</v>
      </c>
      <c r="E10810" s="41" t="s">
        <v>49</v>
      </c>
      <c r="F10810" s="41" t="s">
        <v>948</v>
      </c>
      <c r="G10810" s="41">
        <v>5377777</v>
      </c>
      <c r="H10810" s="41">
        <v>500220</v>
      </c>
      <c r="I10810" s="41" t="s">
        <v>949</v>
      </c>
      <c r="J10810" s="42" t="s">
        <v>1074</v>
      </c>
    </row>
    <row r="10811" spans="1:9" x14ac:dyDescent="0.25">
      <c r="A10811">
        <v>4230</v>
      </c>
      <c r="B10811">
        <v>53</v>
      </c>
      <c r="C10811" t="s">
        <v>946</v>
      </c>
      <c r="D10811" t="s">
        <v>144</v>
      </c>
      <c r="E10811" t="s">
        <v>49</v>
      </c>
      <c r="F10811" t="s">
        <v>948</v>
      </c>
      <c r="G10811">
        <v>5377777</v>
      </c>
      <c r="H10811">
        <v>500220</v>
      </c>
      <c r="I10811" t="s">
        <v>949</v>
      </c>
    </row>
    <row r="10812" spans="1:9" x14ac:dyDescent="0.25">
      <c r="A10812">
        <v>4245</v>
      </c>
      <c r="B10812">
        <v>53</v>
      </c>
      <c r="C10812" t="s">
        <v>946</v>
      </c>
      <c r="D10812" t="s">
        <v>144</v>
      </c>
      <c r="E10812" t="s">
        <v>49</v>
      </c>
      <c r="F10812" t="s">
        <v>948</v>
      </c>
      <c r="G10812">
        <v>5377777</v>
      </c>
      <c r="H10812">
        <v>500220</v>
      </c>
      <c r="I10812" t="s">
        <v>949</v>
      </c>
    </row>
    <row r="10813" spans="1:9" x14ac:dyDescent="0.25">
      <c r="A10813">
        <v>4240</v>
      </c>
      <c r="B10813">
        <v>53</v>
      </c>
      <c r="C10813" t="s">
        <v>946</v>
      </c>
      <c r="D10813" t="s">
        <v>144</v>
      </c>
      <c r="E10813" t="s">
        <v>243</v>
      </c>
      <c r="F10813" t="s">
        <v>948</v>
      </c>
      <c r="G10813">
        <v>5300000</v>
      </c>
      <c r="H10813">
        <v>145000</v>
      </c>
      <c r="I10813" t="s">
        <v>949</v>
      </c>
    </row>
    <row r="10814" spans="1:9" x14ac:dyDescent="0.25">
      <c r="A10814">
        <v>4240</v>
      </c>
      <c r="B10814">
        <v>53</v>
      </c>
      <c r="C10814" t="s">
        <v>946</v>
      </c>
      <c r="D10814" t="s">
        <v>144</v>
      </c>
      <c r="E10814" t="s">
        <v>247</v>
      </c>
      <c r="F10814" t="s">
        <v>948</v>
      </c>
      <c r="G10814">
        <v>5300000</v>
      </c>
      <c r="H10814">
        <v>145000</v>
      </c>
      <c r="I10814" t="s">
        <v>949</v>
      </c>
    </row>
    <row r="10815" spans="1:9" x14ac:dyDescent="0.25">
      <c r="A10815">
        <v>4240</v>
      </c>
      <c r="B10815">
        <v>53</v>
      </c>
      <c r="C10815" t="s">
        <v>946</v>
      </c>
      <c r="D10815" t="s">
        <v>144</v>
      </c>
      <c r="E10815" t="s">
        <v>251</v>
      </c>
      <c r="F10815" t="s">
        <v>948</v>
      </c>
      <c r="G10815">
        <v>5300000</v>
      </c>
      <c r="H10815">
        <v>145000</v>
      </c>
      <c r="I10815" t="s">
        <v>949</v>
      </c>
    </row>
    <row r="10816" spans="1:9" x14ac:dyDescent="0.25">
      <c r="A10816">
        <v>4240</v>
      </c>
      <c r="B10816">
        <v>53</v>
      </c>
      <c r="C10816" t="s">
        <v>946</v>
      </c>
      <c r="D10816" t="s">
        <v>144</v>
      </c>
      <c r="E10816" t="s">
        <v>255</v>
      </c>
      <c r="F10816" t="s">
        <v>948</v>
      </c>
      <c r="G10816">
        <v>5300000</v>
      </c>
      <c r="H10816">
        <v>145000</v>
      </c>
      <c r="I10816" t="s">
        <v>949</v>
      </c>
    </row>
    <row r="10817" spans="1:9" x14ac:dyDescent="0.25">
      <c r="A10817">
        <v>4240</v>
      </c>
      <c r="B10817">
        <v>53</v>
      </c>
      <c r="C10817" t="s">
        <v>946</v>
      </c>
      <c r="D10817" t="s">
        <v>144</v>
      </c>
      <c r="E10817" t="s">
        <v>263</v>
      </c>
      <c r="F10817" t="s">
        <v>948</v>
      </c>
      <c r="G10817">
        <v>5300000</v>
      </c>
      <c r="H10817">
        <v>145000</v>
      </c>
      <c r="I10817" t="s">
        <v>949</v>
      </c>
    </row>
    <row r="10818" ht="22" customHeight="1" spans="1:10" x14ac:dyDescent="0.25">
      <c r="A10818" s="41">
        <v>4240</v>
      </c>
      <c r="B10818" s="41">
        <v>53</v>
      </c>
      <c r="C10818" s="41" t="s">
        <v>946</v>
      </c>
      <c r="D10818" s="41" t="s">
        <v>144</v>
      </c>
      <c r="E10818" s="41" t="s">
        <v>100</v>
      </c>
      <c r="F10818" s="41" t="s">
        <v>948</v>
      </c>
      <c r="G10818" s="41">
        <v>5377777</v>
      </c>
      <c r="H10818" s="41">
        <v>500220</v>
      </c>
      <c r="I10818" s="41" t="s">
        <v>949</v>
      </c>
      <c r="J10818" s="42" t="s">
        <v>1075</v>
      </c>
    </row>
    <row r="10819" spans="1:9" x14ac:dyDescent="0.25">
      <c r="A10819">
        <v>4240</v>
      </c>
      <c r="B10819">
        <v>53</v>
      </c>
      <c r="C10819" t="s">
        <v>946</v>
      </c>
      <c r="D10819" t="s">
        <v>144</v>
      </c>
      <c r="E10819" t="s">
        <v>270</v>
      </c>
      <c r="F10819" t="s">
        <v>948</v>
      </c>
      <c r="G10819">
        <v>5300000</v>
      </c>
      <c r="H10819">
        <v>145000</v>
      </c>
      <c r="I10819" t="s">
        <v>949</v>
      </c>
    </row>
    <row r="10820" spans="1:9" x14ac:dyDescent="0.25">
      <c r="A10820">
        <v>4240</v>
      </c>
      <c r="B10820">
        <v>53</v>
      </c>
      <c r="C10820" t="s">
        <v>946</v>
      </c>
      <c r="D10820" t="s">
        <v>144</v>
      </c>
      <c r="E10820" t="s">
        <v>274</v>
      </c>
      <c r="F10820" t="s">
        <v>948</v>
      </c>
      <c r="G10820">
        <v>5300000</v>
      </c>
      <c r="H10820">
        <v>145000</v>
      </c>
      <c r="I10820" t="s">
        <v>949</v>
      </c>
    </row>
    <row r="10821" ht="22" customHeight="1" spans="1:10" x14ac:dyDescent="0.25">
      <c r="A10821" s="41">
        <v>4240</v>
      </c>
      <c r="B10821" s="41">
        <v>53</v>
      </c>
      <c r="C10821" s="41" t="s">
        <v>946</v>
      </c>
      <c r="D10821" s="41" t="s">
        <v>144</v>
      </c>
      <c r="E10821" s="41" t="s">
        <v>104</v>
      </c>
      <c r="F10821" s="41" t="s">
        <v>948</v>
      </c>
      <c r="G10821" s="41">
        <v>5377777</v>
      </c>
      <c r="H10821" s="41">
        <v>500220</v>
      </c>
      <c r="I10821" s="41" t="s">
        <v>949</v>
      </c>
      <c r="J10821" s="42" t="s">
        <v>1075</v>
      </c>
    </row>
    <row r="10822" spans="1:9" x14ac:dyDescent="0.25">
      <c r="A10822">
        <v>4240</v>
      </c>
      <c r="B10822">
        <v>53</v>
      </c>
      <c r="C10822" t="s">
        <v>946</v>
      </c>
      <c r="D10822" t="s">
        <v>144</v>
      </c>
      <c r="E10822" t="s">
        <v>278</v>
      </c>
      <c r="F10822" t="s">
        <v>948</v>
      </c>
      <c r="G10822">
        <v>5300000</v>
      </c>
      <c r="H10822">
        <v>145000</v>
      </c>
      <c r="I10822" t="s">
        <v>949</v>
      </c>
    </row>
    <row r="10823" spans="1:9" x14ac:dyDescent="0.25">
      <c r="A10823">
        <v>4240</v>
      </c>
      <c r="B10823">
        <v>53</v>
      </c>
      <c r="C10823" t="s">
        <v>946</v>
      </c>
      <c r="D10823" t="s">
        <v>144</v>
      </c>
      <c r="E10823" t="s">
        <v>282</v>
      </c>
      <c r="F10823" t="s">
        <v>948</v>
      </c>
      <c r="G10823">
        <v>5300000</v>
      </c>
      <c r="H10823">
        <v>145000</v>
      </c>
      <c r="I10823" t="s">
        <v>949</v>
      </c>
    </row>
    <row r="10824" spans="1:9" x14ac:dyDescent="0.25">
      <c r="A10824">
        <v>4240</v>
      </c>
      <c r="B10824">
        <v>53</v>
      </c>
      <c r="C10824" t="s">
        <v>946</v>
      </c>
      <c r="D10824" t="s">
        <v>144</v>
      </c>
      <c r="E10824" t="s">
        <v>286</v>
      </c>
      <c r="F10824" t="s">
        <v>948</v>
      </c>
      <c r="G10824">
        <v>5300000</v>
      </c>
      <c r="H10824">
        <v>145000</v>
      </c>
      <c r="I10824" t="s">
        <v>949</v>
      </c>
    </row>
    <row r="10825" spans="1:9" x14ac:dyDescent="0.25">
      <c r="A10825">
        <v>4240</v>
      </c>
      <c r="B10825">
        <v>53</v>
      </c>
      <c r="C10825" t="s">
        <v>946</v>
      </c>
      <c r="D10825" t="s">
        <v>144</v>
      </c>
      <c r="E10825" t="s">
        <v>290</v>
      </c>
      <c r="F10825" t="s">
        <v>948</v>
      </c>
      <c r="G10825">
        <v>5300000</v>
      </c>
      <c r="H10825">
        <v>145000</v>
      </c>
      <c r="I10825" t="s">
        <v>949</v>
      </c>
    </row>
    <row r="10826" spans="1:9" x14ac:dyDescent="0.25">
      <c r="A10826">
        <v>4240</v>
      </c>
      <c r="B10826">
        <v>53</v>
      </c>
      <c r="C10826" t="s">
        <v>946</v>
      </c>
      <c r="D10826" t="s">
        <v>144</v>
      </c>
      <c r="E10826" t="s">
        <v>294</v>
      </c>
      <c r="F10826" t="s">
        <v>948</v>
      </c>
      <c r="G10826">
        <v>5300000</v>
      </c>
      <c r="H10826">
        <v>145000</v>
      </c>
      <c r="I10826" t="s">
        <v>949</v>
      </c>
    </row>
    <row r="10827" spans="1:9" x14ac:dyDescent="0.25">
      <c r="A10827">
        <v>4240</v>
      </c>
      <c r="B10827">
        <v>53</v>
      </c>
      <c r="C10827" t="s">
        <v>946</v>
      </c>
      <c r="D10827" t="s">
        <v>144</v>
      </c>
      <c r="E10827" t="s">
        <v>302</v>
      </c>
      <c r="F10827" t="s">
        <v>948</v>
      </c>
      <c r="G10827">
        <v>5300000</v>
      </c>
      <c r="H10827">
        <v>145000</v>
      </c>
      <c r="I10827" t="s">
        <v>949</v>
      </c>
    </row>
    <row r="10828" spans="1:9" x14ac:dyDescent="0.25">
      <c r="A10828">
        <v>4240</v>
      </c>
      <c r="B10828">
        <v>53</v>
      </c>
      <c r="C10828" t="s">
        <v>946</v>
      </c>
      <c r="D10828" t="s">
        <v>144</v>
      </c>
      <c r="E10828" t="s">
        <v>306</v>
      </c>
      <c r="F10828" t="s">
        <v>948</v>
      </c>
      <c r="G10828">
        <v>5300000</v>
      </c>
      <c r="H10828">
        <v>145000</v>
      </c>
      <c r="I10828" t="s">
        <v>949</v>
      </c>
    </row>
    <row r="10829" ht="22" customHeight="1" spans="1:10" x14ac:dyDescent="0.25">
      <c r="A10829" s="41">
        <v>4240</v>
      </c>
      <c r="B10829" s="41">
        <v>53</v>
      </c>
      <c r="C10829" s="41" t="s">
        <v>946</v>
      </c>
      <c r="D10829" s="41" t="s">
        <v>144</v>
      </c>
      <c r="E10829" s="41" t="s">
        <v>108</v>
      </c>
      <c r="F10829" s="41" t="s">
        <v>948</v>
      </c>
      <c r="G10829" s="41">
        <v>5377777</v>
      </c>
      <c r="H10829" s="41">
        <v>500220</v>
      </c>
      <c r="I10829" s="41" t="s">
        <v>949</v>
      </c>
      <c r="J10829" s="42" t="s">
        <v>1075</v>
      </c>
    </row>
    <row r="10830" spans="1:9" x14ac:dyDescent="0.25">
      <c r="A10830">
        <v>4240</v>
      </c>
      <c r="B10830">
        <v>53</v>
      </c>
      <c r="C10830" t="s">
        <v>946</v>
      </c>
      <c r="D10830" t="s">
        <v>144</v>
      </c>
      <c r="E10830" t="s">
        <v>310</v>
      </c>
      <c r="F10830" t="s">
        <v>948</v>
      </c>
      <c r="G10830">
        <v>5300000</v>
      </c>
      <c r="H10830">
        <v>145000</v>
      </c>
      <c r="I10830" t="s">
        <v>949</v>
      </c>
    </row>
    <row r="10831" spans="1:9" x14ac:dyDescent="0.25">
      <c r="A10831">
        <v>4240</v>
      </c>
      <c r="B10831">
        <v>53</v>
      </c>
      <c r="C10831" t="s">
        <v>946</v>
      </c>
      <c r="D10831" t="s">
        <v>144</v>
      </c>
      <c r="E10831" t="s">
        <v>314</v>
      </c>
      <c r="F10831" t="s">
        <v>948</v>
      </c>
      <c r="G10831">
        <v>5300000</v>
      </c>
      <c r="H10831">
        <v>145000</v>
      </c>
      <c r="I10831" t="s">
        <v>949</v>
      </c>
    </row>
    <row r="10832" ht="22" customHeight="1" spans="1:10" x14ac:dyDescent="0.25">
      <c r="A10832" s="41">
        <v>4240</v>
      </c>
      <c r="B10832" s="41">
        <v>53</v>
      </c>
      <c r="C10832" s="41" t="s">
        <v>946</v>
      </c>
      <c r="D10832" s="41" t="s">
        <v>144</v>
      </c>
      <c r="E10832" s="41" t="s">
        <v>121</v>
      </c>
      <c r="F10832" s="41" t="s">
        <v>948</v>
      </c>
      <c r="G10832" s="41">
        <v>5377777</v>
      </c>
      <c r="H10832" s="41">
        <v>500220</v>
      </c>
      <c r="I10832" s="41" t="s">
        <v>949</v>
      </c>
      <c r="J10832" s="42" t="s">
        <v>1075</v>
      </c>
    </row>
    <row r="10833" spans="1:9" x14ac:dyDescent="0.25">
      <c r="A10833">
        <v>4172</v>
      </c>
      <c r="B10833">
        <v>53</v>
      </c>
      <c r="C10833" t="s">
        <v>946</v>
      </c>
      <c r="D10833" t="s">
        <v>1063</v>
      </c>
      <c r="E10833" t="s">
        <v>49</v>
      </c>
      <c r="F10833" t="s">
        <v>948</v>
      </c>
      <c r="G10833">
        <v>5300000</v>
      </c>
      <c r="H10833">
        <v>145000</v>
      </c>
      <c r="I10833" t="s">
        <v>949</v>
      </c>
    </row>
    <row r="10834" spans="1:9" x14ac:dyDescent="0.25">
      <c r="A10834">
        <v>4174</v>
      </c>
      <c r="B10834">
        <v>53</v>
      </c>
      <c r="C10834" t="s">
        <v>946</v>
      </c>
      <c r="D10834" t="s">
        <v>1063</v>
      </c>
      <c r="E10834" t="s">
        <v>49</v>
      </c>
      <c r="F10834" t="s">
        <v>948</v>
      </c>
      <c r="G10834">
        <v>5377777</v>
      </c>
      <c r="H10834">
        <v>500465</v>
      </c>
      <c r="I10834" t="s">
        <v>949</v>
      </c>
    </row>
    <row r="10835" spans="1:9" x14ac:dyDescent="0.25">
      <c r="A10835">
        <v>4141</v>
      </c>
      <c r="B10835">
        <v>53</v>
      </c>
      <c r="C10835" t="s">
        <v>946</v>
      </c>
      <c r="D10835" t="s">
        <v>1040</v>
      </c>
      <c r="E10835" t="s">
        <v>49</v>
      </c>
      <c r="F10835" t="s">
        <v>948</v>
      </c>
      <c r="G10835">
        <v>5377777</v>
      </c>
      <c r="H10835">
        <v>500460</v>
      </c>
      <c r="I10835" t="s">
        <v>949</v>
      </c>
    </row>
    <row r="10836" spans="1:9" x14ac:dyDescent="0.25">
      <c r="A10836">
        <v>3120</v>
      </c>
      <c r="B10836">
        <v>60</v>
      </c>
      <c r="C10836" t="s">
        <v>950</v>
      </c>
      <c r="D10836" t="s">
        <v>946</v>
      </c>
      <c r="E10836" t="s">
        <v>49</v>
      </c>
      <c r="F10836" t="s">
        <v>951</v>
      </c>
      <c r="G10836">
        <v>6000000</v>
      </c>
      <c r="H10836">
        <v>144000</v>
      </c>
      <c r="I10836" t="s">
        <v>949</v>
      </c>
    </row>
    <row r="10837" spans="1:9" x14ac:dyDescent="0.25">
      <c r="A10837">
        <v>3120</v>
      </c>
      <c r="B10837">
        <v>60</v>
      </c>
      <c r="C10837" t="s">
        <v>950</v>
      </c>
      <c r="D10837" t="s">
        <v>946</v>
      </c>
      <c r="E10837" t="s">
        <v>49</v>
      </c>
      <c r="F10837" t="s">
        <v>952</v>
      </c>
      <c r="G10837">
        <v>6000000</v>
      </c>
      <c r="H10837">
        <v>144000</v>
      </c>
      <c r="I10837" t="s">
        <v>949</v>
      </c>
    </row>
    <row r="10838" spans="1:9" x14ac:dyDescent="0.25">
      <c r="A10838">
        <v>3120</v>
      </c>
      <c r="B10838">
        <v>60</v>
      </c>
      <c r="C10838" t="s">
        <v>950</v>
      </c>
      <c r="D10838" t="s">
        <v>946</v>
      </c>
      <c r="E10838" t="s">
        <v>49</v>
      </c>
      <c r="F10838" t="s">
        <v>953</v>
      </c>
      <c r="G10838">
        <v>6000000</v>
      </c>
      <c r="H10838">
        <v>144000</v>
      </c>
      <c r="I10838" t="s">
        <v>949</v>
      </c>
    </row>
    <row r="10839" spans="1:9" x14ac:dyDescent="0.25">
      <c r="A10839">
        <v>3120</v>
      </c>
      <c r="B10839">
        <v>60</v>
      </c>
      <c r="C10839" t="s">
        <v>950</v>
      </c>
      <c r="D10839" t="s">
        <v>946</v>
      </c>
      <c r="E10839" t="s">
        <v>49</v>
      </c>
      <c r="F10839" t="s">
        <v>954</v>
      </c>
      <c r="G10839">
        <v>6000000</v>
      </c>
      <c r="H10839">
        <v>144000</v>
      </c>
      <c r="I10839" t="s">
        <v>949</v>
      </c>
    </row>
    <row r="10840" spans="1:9" x14ac:dyDescent="0.25">
      <c r="A10840">
        <v>3120</v>
      </c>
      <c r="B10840">
        <v>60</v>
      </c>
      <c r="C10840" t="s">
        <v>950</v>
      </c>
      <c r="D10840" t="s">
        <v>946</v>
      </c>
      <c r="E10840" t="s">
        <v>49</v>
      </c>
      <c r="F10840" t="s">
        <v>955</v>
      </c>
      <c r="G10840">
        <v>6000000</v>
      </c>
      <c r="H10840">
        <v>144000</v>
      </c>
      <c r="I10840" t="s">
        <v>949</v>
      </c>
    </row>
    <row r="10841" spans="1:9" x14ac:dyDescent="0.25">
      <c r="A10841">
        <v>3120</v>
      </c>
      <c r="B10841">
        <v>60</v>
      </c>
      <c r="C10841" t="s">
        <v>950</v>
      </c>
      <c r="D10841" t="s">
        <v>946</v>
      </c>
      <c r="E10841" t="s">
        <v>49</v>
      </c>
      <c r="F10841" t="s">
        <v>956</v>
      </c>
      <c r="G10841">
        <v>6000000</v>
      </c>
      <c r="H10841">
        <v>144000</v>
      </c>
      <c r="I10841" t="s">
        <v>949</v>
      </c>
    </row>
    <row r="10842" spans="1:9" x14ac:dyDescent="0.25">
      <c r="A10842">
        <v>3120</v>
      </c>
      <c r="B10842">
        <v>60</v>
      </c>
      <c r="C10842" t="s">
        <v>950</v>
      </c>
      <c r="D10842" t="s">
        <v>946</v>
      </c>
      <c r="E10842" t="s">
        <v>49</v>
      </c>
      <c r="F10842" t="s">
        <v>957</v>
      </c>
      <c r="G10842">
        <v>6000000</v>
      </c>
      <c r="H10842">
        <v>144000</v>
      </c>
      <c r="I10842" t="s">
        <v>949</v>
      </c>
    </row>
    <row r="10843" spans="1:9" x14ac:dyDescent="0.25">
      <c r="A10843">
        <v>3120</v>
      </c>
      <c r="B10843">
        <v>60</v>
      </c>
      <c r="C10843" t="s">
        <v>950</v>
      </c>
      <c r="D10843" t="s">
        <v>946</v>
      </c>
      <c r="E10843" t="s">
        <v>49</v>
      </c>
      <c r="F10843" t="s">
        <v>958</v>
      </c>
      <c r="G10843">
        <v>6000000</v>
      </c>
      <c r="H10843">
        <v>144000</v>
      </c>
      <c r="I10843" t="s">
        <v>949</v>
      </c>
    </row>
    <row r="10844" spans="1:9" x14ac:dyDescent="0.25">
      <c r="A10844">
        <v>3120</v>
      </c>
      <c r="B10844">
        <v>60</v>
      </c>
      <c r="C10844" t="s">
        <v>950</v>
      </c>
      <c r="D10844" t="s">
        <v>946</v>
      </c>
      <c r="E10844" t="s">
        <v>49</v>
      </c>
      <c r="F10844" t="s">
        <v>959</v>
      </c>
      <c r="G10844">
        <v>6000000</v>
      </c>
      <c r="H10844">
        <v>144000</v>
      </c>
      <c r="I10844" t="s">
        <v>949</v>
      </c>
    </row>
    <row r="10845" spans="1:9" x14ac:dyDescent="0.25">
      <c r="A10845">
        <v>3120</v>
      </c>
      <c r="B10845">
        <v>60</v>
      </c>
      <c r="C10845" t="s">
        <v>950</v>
      </c>
      <c r="D10845" t="s">
        <v>946</v>
      </c>
      <c r="E10845" t="s">
        <v>49</v>
      </c>
      <c r="F10845" t="s">
        <v>960</v>
      </c>
      <c r="G10845">
        <v>6000000</v>
      </c>
      <c r="H10845">
        <v>144000</v>
      </c>
      <c r="I10845" t="s">
        <v>949</v>
      </c>
    </row>
    <row r="10846" spans="1:9" x14ac:dyDescent="0.25">
      <c r="A10846">
        <v>3120</v>
      </c>
      <c r="B10846">
        <v>60</v>
      </c>
      <c r="C10846" t="s">
        <v>950</v>
      </c>
      <c r="D10846" t="s">
        <v>946</v>
      </c>
      <c r="E10846" t="s">
        <v>49</v>
      </c>
      <c r="F10846" t="s">
        <v>961</v>
      </c>
      <c r="G10846">
        <v>6000000</v>
      </c>
      <c r="H10846">
        <v>144000</v>
      </c>
      <c r="I10846" t="s">
        <v>949</v>
      </c>
    </row>
    <row r="10847" spans="1:9" x14ac:dyDescent="0.25">
      <c r="A10847">
        <v>3120</v>
      </c>
      <c r="B10847">
        <v>60</v>
      </c>
      <c r="C10847" t="s">
        <v>962</v>
      </c>
      <c r="D10847" t="s">
        <v>946</v>
      </c>
      <c r="E10847" t="s">
        <v>49</v>
      </c>
      <c r="F10847" t="s">
        <v>951</v>
      </c>
      <c r="G10847">
        <v>6000000</v>
      </c>
      <c r="H10847">
        <v>144000</v>
      </c>
      <c r="I10847" t="s">
        <v>949</v>
      </c>
    </row>
    <row r="10848" spans="1:9" x14ac:dyDescent="0.25">
      <c r="A10848">
        <v>3120</v>
      </c>
      <c r="B10848">
        <v>60</v>
      </c>
      <c r="C10848" t="s">
        <v>962</v>
      </c>
      <c r="D10848" t="s">
        <v>946</v>
      </c>
      <c r="E10848" t="s">
        <v>49</v>
      </c>
      <c r="F10848" t="s">
        <v>952</v>
      </c>
      <c r="G10848">
        <v>6000000</v>
      </c>
      <c r="H10848">
        <v>144000</v>
      </c>
      <c r="I10848" t="s">
        <v>949</v>
      </c>
    </row>
    <row r="10849" spans="1:9" x14ac:dyDescent="0.25">
      <c r="A10849">
        <v>3120</v>
      </c>
      <c r="B10849">
        <v>60</v>
      </c>
      <c r="C10849" t="s">
        <v>962</v>
      </c>
      <c r="D10849" t="s">
        <v>946</v>
      </c>
      <c r="E10849" t="s">
        <v>49</v>
      </c>
      <c r="F10849" t="s">
        <v>953</v>
      </c>
      <c r="G10849">
        <v>6000000</v>
      </c>
      <c r="H10849">
        <v>144000</v>
      </c>
      <c r="I10849" t="s">
        <v>949</v>
      </c>
    </row>
    <row r="10850" spans="1:9" x14ac:dyDescent="0.25">
      <c r="A10850">
        <v>3120</v>
      </c>
      <c r="B10850">
        <v>60</v>
      </c>
      <c r="C10850" t="s">
        <v>962</v>
      </c>
      <c r="D10850" t="s">
        <v>946</v>
      </c>
      <c r="E10850" t="s">
        <v>49</v>
      </c>
      <c r="F10850" t="s">
        <v>954</v>
      </c>
      <c r="G10850">
        <v>6000000</v>
      </c>
      <c r="H10850">
        <v>144000</v>
      </c>
      <c r="I10850" t="s">
        <v>949</v>
      </c>
    </row>
    <row r="10851" spans="1:9" x14ac:dyDescent="0.25">
      <c r="A10851">
        <v>3120</v>
      </c>
      <c r="B10851">
        <v>60</v>
      </c>
      <c r="C10851" t="s">
        <v>962</v>
      </c>
      <c r="D10851" t="s">
        <v>946</v>
      </c>
      <c r="E10851" t="s">
        <v>49</v>
      </c>
      <c r="F10851" t="s">
        <v>955</v>
      </c>
      <c r="G10851">
        <v>6000000</v>
      </c>
      <c r="H10851">
        <v>144000</v>
      </c>
      <c r="I10851" t="s">
        <v>949</v>
      </c>
    </row>
    <row r="10852" spans="1:9" x14ac:dyDescent="0.25">
      <c r="A10852">
        <v>3120</v>
      </c>
      <c r="B10852">
        <v>60</v>
      </c>
      <c r="C10852" t="s">
        <v>962</v>
      </c>
      <c r="D10852" t="s">
        <v>946</v>
      </c>
      <c r="E10852" t="s">
        <v>49</v>
      </c>
      <c r="F10852" t="s">
        <v>956</v>
      </c>
      <c r="G10852">
        <v>6000000</v>
      </c>
      <c r="H10852">
        <v>144000</v>
      </c>
      <c r="I10852" t="s">
        <v>949</v>
      </c>
    </row>
    <row r="10853" spans="1:9" x14ac:dyDescent="0.25">
      <c r="A10853">
        <v>3120</v>
      </c>
      <c r="B10853">
        <v>60</v>
      </c>
      <c r="C10853" t="s">
        <v>962</v>
      </c>
      <c r="D10853" t="s">
        <v>946</v>
      </c>
      <c r="E10853" t="s">
        <v>49</v>
      </c>
      <c r="F10853" t="s">
        <v>957</v>
      </c>
      <c r="G10853">
        <v>6000000</v>
      </c>
      <c r="H10853">
        <v>144000</v>
      </c>
      <c r="I10853" t="s">
        <v>949</v>
      </c>
    </row>
    <row r="10854" spans="1:9" x14ac:dyDescent="0.25">
      <c r="A10854">
        <v>3120</v>
      </c>
      <c r="B10854">
        <v>60</v>
      </c>
      <c r="C10854" t="s">
        <v>962</v>
      </c>
      <c r="D10854" t="s">
        <v>946</v>
      </c>
      <c r="E10854" t="s">
        <v>49</v>
      </c>
      <c r="F10854" t="s">
        <v>958</v>
      </c>
      <c r="G10854">
        <v>6000000</v>
      </c>
      <c r="H10854">
        <v>144000</v>
      </c>
      <c r="I10854" t="s">
        <v>949</v>
      </c>
    </row>
    <row r="10855" spans="1:9" x14ac:dyDescent="0.25">
      <c r="A10855">
        <v>3120</v>
      </c>
      <c r="B10855">
        <v>60</v>
      </c>
      <c r="C10855" t="s">
        <v>962</v>
      </c>
      <c r="D10855" t="s">
        <v>946</v>
      </c>
      <c r="E10855" t="s">
        <v>49</v>
      </c>
      <c r="F10855" t="s">
        <v>959</v>
      </c>
      <c r="G10855">
        <v>6000000</v>
      </c>
      <c r="H10855">
        <v>144000</v>
      </c>
      <c r="I10855" t="s">
        <v>949</v>
      </c>
    </row>
    <row r="10856" spans="1:9" x14ac:dyDescent="0.25">
      <c r="A10856">
        <v>3120</v>
      </c>
      <c r="B10856">
        <v>60</v>
      </c>
      <c r="C10856" t="s">
        <v>962</v>
      </c>
      <c r="D10856" t="s">
        <v>946</v>
      </c>
      <c r="E10856" t="s">
        <v>49</v>
      </c>
      <c r="F10856" t="s">
        <v>960</v>
      </c>
      <c r="G10856">
        <v>6000000</v>
      </c>
      <c r="H10856">
        <v>144000</v>
      </c>
      <c r="I10856" t="s">
        <v>949</v>
      </c>
    </row>
    <row r="10857" spans="1:9" x14ac:dyDescent="0.25">
      <c r="A10857">
        <v>3120</v>
      </c>
      <c r="B10857">
        <v>60</v>
      </c>
      <c r="C10857" t="s">
        <v>962</v>
      </c>
      <c r="D10857" t="s">
        <v>946</v>
      </c>
      <c r="E10857" t="s">
        <v>49</v>
      </c>
      <c r="F10857" t="s">
        <v>961</v>
      </c>
      <c r="G10857">
        <v>6000000</v>
      </c>
      <c r="H10857">
        <v>144000</v>
      </c>
      <c r="I10857" t="s">
        <v>949</v>
      </c>
    </row>
    <row r="10858" spans="1:9" x14ac:dyDescent="0.25">
      <c r="A10858">
        <v>3120</v>
      </c>
      <c r="B10858">
        <v>60</v>
      </c>
      <c r="C10858" t="s">
        <v>963</v>
      </c>
      <c r="D10858" t="s">
        <v>946</v>
      </c>
      <c r="E10858" t="s">
        <v>49</v>
      </c>
      <c r="F10858" t="s">
        <v>951</v>
      </c>
      <c r="G10858">
        <v>6000000</v>
      </c>
      <c r="H10858">
        <v>144000</v>
      </c>
      <c r="I10858" t="s">
        <v>949</v>
      </c>
    </row>
    <row r="10859" spans="1:9" x14ac:dyDescent="0.25">
      <c r="A10859">
        <v>3120</v>
      </c>
      <c r="B10859">
        <v>60</v>
      </c>
      <c r="C10859" t="s">
        <v>963</v>
      </c>
      <c r="D10859" t="s">
        <v>946</v>
      </c>
      <c r="E10859" t="s">
        <v>49</v>
      </c>
      <c r="F10859" t="s">
        <v>952</v>
      </c>
      <c r="G10859">
        <v>6000000</v>
      </c>
      <c r="H10859">
        <v>144000</v>
      </c>
      <c r="I10859" t="s">
        <v>949</v>
      </c>
    </row>
    <row r="10860" spans="1:9" x14ac:dyDescent="0.25">
      <c r="A10860">
        <v>3120</v>
      </c>
      <c r="B10860">
        <v>60</v>
      </c>
      <c r="C10860" t="s">
        <v>963</v>
      </c>
      <c r="D10860" t="s">
        <v>946</v>
      </c>
      <c r="E10860" t="s">
        <v>49</v>
      </c>
      <c r="F10860" t="s">
        <v>953</v>
      </c>
      <c r="G10860">
        <v>6000000</v>
      </c>
      <c r="H10860">
        <v>144000</v>
      </c>
      <c r="I10860" t="s">
        <v>949</v>
      </c>
    </row>
    <row r="10861" spans="1:9" x14ac:dyDescent="0.25">
      <c r="A10861">
        <v>3120</v>
      </c>
      <c r="B10861">
        <v>60</v>
      </c>
      <c r="C10861" t="s">
        <v>963</v>
      </c>
      <c r="D10861" t="s">
        <v>946</v>
      </c>
      <c r="E10861" t="s">
        <v>49</v>
      </c>
      <c r="F10861" t="s">
        <v>954</v>
      </c>
      <c r="G10861">
        <v>6000000</v>
      </c>
      <c r="H10861">
        <v>144000</v>
      </c>
      <c r="I10861" t="s">
        <v>949</v>
      </c>
    </row>
    <row r="10862" spans="1:9" x14ac:dyDescent="0.25">
      <c r="A10862">
        <v>3120</v>
      </c>
      <c r="B10862">
        <v>60</v>
      </c>
      <c r="C10862" t="s">
        <v>963</v>
      </c>
      <c r="D10862" t="s">
        <v>946</v>
      </c>
      <c r="E10862" t="s">
        <v>49</v>
      </c>
      <c r="F10862" t="s">
        <v>955</v>
      </c>
      <c r="G10862">
        <v>6000000</v>
      </c>
      <c r="H10862">
        <v>144000</v>
      </c>
      <c r="I10862" t="s">
        <v>949</v>
      </c>
    </row>
    <row r="10863" spans="1:9" x14ac:dyDescent="0.25">
      <c r="A10863">
        <v>3120</v>
      </c>
      <c r="B10863">
        <v>60</v>
      </c>
      <c r="C10863" t="s">
        <v>963</v>
      </c>
      <c r="D10863" t="s">
        <v>946</v>
      </c>
      <c r="E10863" t="s">
        <v>49</v>
      </c>
      <c r="F10863" t="s">
        <v>956</v>
      </c>
      <c r="G10863">
        <v>6000000</v>
      </c>
      <c r="H10863">
        <v>144000</v>
      </c>
      <c r="I10863" t="s">
        <v>949</v>
      </c>
    </row>
    <row r="10864" spans="1:9" x14ac:dyDescent="0.25">
      <c r="A10864">
        <v>3120</v>
      </c>
      <c r="B10864">
        <v>60</v>
      </c>
      <c r="C10864" t="s">
        <v>963</v>
      </c>
      <c r="D10864" t="s">
        <v>946</v>
      </c>
      <c r="E10864" t="s">
        <v>49</v>
      </c>
      <c r="F10864" t="s">
        <v>957</v>
      </c>
      <c r="G10864">
        <v>6000000</v>
      </c>
      <c r="H10864">
        <v>144000</v>
      </c>
      <c r="I10864" t="s">
        <v>949</v>
      </c>
    </row>
    <row r="10865" spans="1:9" x14ac:dyDescent="0.25">
      <c r="A10865">
        <v>3120</v>
      </c>
      <c r="B10865">
        <v>60</v>
      </c>
      <c r="C10865" t="s">
        <v>963</v>
      </c>
      <c r="D10865" t="s">
        <v>946</v>
      </c>
      <c r="E10865" t="s">
        <v>49</v>
      </c>
      <c r="F10865" t="s">
        <v>958</v>
      </c>
      <c r="G10865">
        <v>6000000</v>
      </c>
      <c r="H10865">
        <v>144000</v>
      </c>
      <c r="I10865" t="s">
        <v>949</v>
      </c>
    </row>
    <row r="10866" spans="1:9" x14ac:dyDescent="0.25">
      <c r="A10866">
        <v>3120</v>
      </c>
      <c r="B10866">
        <v>60</v>
      </c>
      <c r="C10866" t="s">
        <v>963</v>
      </c>
      <c r="D10866" t="s">
        <v>946</v>
      </c>
      <c r="E10866" t="s">
        <v>49</v>
      </c>
      <c r="F10866" t="s">
        <v>959</v>
      </c>
      <c r="G10866">
        <v>6000000</v>
      </c>
      <c r="H10866">
        <v>144000</v>
      </c>
      <c r="I10866" t="s">
        <v>949</v>
      </c>
    </row>
    <row r="10867" spans="1:9" x14ac:dyDescent="0.25">
      <c r="A10867">
        <v>3120</v>
      </c>
      <c r="B10867">
        <v>60</v>
      </c>
      <c r="C10867" t="s">
        <v>963</v>
      </c>
      <c r="D10867" t="s">
        <v>946</v>
      </c>
      <c r="E10867" t="s">
        <v>49</v>
      </c>
      <c r="F10867" t="s">
        <v>960</v>
      </c>
      <c r="G10867">
        <v>6000000</v>
      </c>
      <c r="H10867">
        <v>144000</v>
      </c>
      <c r="I10867" t="s">
        <v>949</v>
      </c>
    </row>
    <row r="10868" spans="1:9" x14ac:dyDescent="0.25">
      <c r="A10868">
        <v>3120</v>
      </c>
      <c r="B10868">
        <v>60</v>
      </c>
      <c r="C10868" t="s">
        <v>963</v>
      </c>
      <c r="D10868" t="s">
        <v>946</v>
      </c>
      <c r="E10868" t="s">
        <v>49</v>
      </c>
      <c r="F10868" t="s">
        <v>961</v>
      </c>
      <c r="G10868">
        <v>6000000</v>
      </c>
      <c r="H10868">
        <v>144000</v>
      </c>
      <c r="I10868" t="s">
        <v>949</v>
      </c>
    </row>
    <row r="10869" spans="1:9" x14ac:dyDescent="0.25">
      <c r="A10869">
        <v>3401</v>
      </c>
      <c r="B10869">
        <v>60</v>
      </c>
      <c r="C10869" t="s">
        <v>950</v>
      </c>
      <c r="D10869" t="s">
        <v>946</v>
      </c>
      <c r="E10869" t="s">
        <v>49</v>
      </c>
      <c r="F10869" t="s">
        <v>953</v>
      </c>
      <c r="G10869">
        <v>6077777</v>
      </c>
      <c r="H10869">
        <v>501020</v>
      </c>
      <c r="I10869" t="s">
        <v>949</v>
      </c>
    </row>
    <row r="10870" spans="1:9" x14ac:dyDescent="0.25">
      <c r="A10870">
        <v>3401</v>
      </c>
      <c r="B10870">
        <v>60</v>
      </c>
      <c r="C10870" t="s">
        <v>950</v>
      </c>
      <c r="D10870" t="s">
        <v>946</v>
      </c>
      <c r="E10870" t="s">
        <v>49</v>
      </c>
      <c r="F10870" t="s">
        <v>954</v>
      </c>
      <c r="G10870">
        <v>6077777</v>
      </c>
      <c r="H10870">
        <v>501030</v>
      </c>
      <c r="I10870" t="s">
        <v>949</v>
      </c>
    </row>
    <row r="10871" spans="1:9" x14ac:dyDescent="0.25">
      <c r="A10871">
        <v>3401</v>
      </c>
      <c r="B10871">
        <v>60</v>
      </c>
      <c r="C10871" t="s">
        <v>950</v>
      </c>
      <c r="D10871" t="s">
        <v>946</v>
      </c>
      <c r="E10871" t="s">
        <v>49</v>
      </c>
      <c r="F10871" t="s">
        <v>955</v>
      </c>
      <c r="G10871">
        <v>6077777</v>
      </c>
      <c r="H10871">
        <v>505100</v>
      </c>
      <c r="I10871" t="s">
        <v>949</v>
      </c>
    </row>
    <row r="10872" spans="1:9" x14ac:dyDescent="0.25">
      <c r="A10872">
        <v>3401</v>
      </c>
      <c r="B10872">
        <v>60</v>
      </c>
      <c r="C10872" t="s">
        <v>950</v>
      </c>
      <c r="D10872" t="s">
        <v>946</v>
      </c>
      <c r="E10872" t="s">
        <v>49</v>
      </c>
      <c r="F10872" t="s">
        <v>964</v>
      </c>
      <c r="G10872">
        <v>6077777</v>
      </c>
      <c r="H10872">
        <v>501070</v>
      </c>
      <c r="I10872" t="s">
        <v>949</v>
      </c>
    </row>
    <row r="10873" spans="1:9" x14ac:dyDescent="0.25">
      <c r="A10873">
        <v>3401</v>
      </c>
      <c r="B10873">
        <v>60</v>
      </c>
      <c r="C10873" t="s">
        <v>950</v>
      </c>
      <c r="D10873" t="s">
        <v>946</v>
      </c>
      <c r="E10873" t="s">
        <v>49</v>
      </c>
      <c r="F10873" t="s">
        <v>965</v>
      </c>
      <c r="G10873">
        <v>6077777</v>
      </c>
      <c r="H10873">
        <v>501080</v>
      </c>
      <c r="I10873" t="s">
        <v>949</v>
      </c>
    </row>
    <row r="10874" spans="1:9" x14ac:dyDescent="0.25">
      <c r="A10874">
        <v>3401</v>
      </c>
      <c r="B10874">
        <v>60</v>
      </c>
      <c r="C10874" t="s">
        <v>950</v>
      </c>
      <c r="D10874" t="s">
        <v>946</v>
      </c>
      <c r="E10874" t="s">
        <v>49</v>
      </c>
      <c r="F10874" t="s">
        <v>966</v>
      </c>
      <c r="G10874">
        <v>6077777</v>
      </c>
      <c r="H10874">
        <v>501040</v>
      </c>
      <c r="I10874" t="s">
        <v>949</v>
      </c>
    </row>
    <row r="10875" spans="1:9" x14ac:dyDescent="0.25">
      <c r="A10875">
        <v>3401</v>
      </c>
      <c r="B10875">
        <v>60</v>
      </c>
      <c r="C10875" t="s">
        <v>950</v>
      </c>
      <c r="D10875" t="s">
        <v>946</v>
      </c>
      <c r="E10875" t="s">
        <v>49</v>
      </c>
      <c r="F10875" t="s">
        <v>967</v>
      </c>
      <c r="G10875">
        <v>6077777</v>
      </c>
      <c r="H10875">
        <v>501050</v>
      </c>
      <c r="I10875" t="s">
        <v>949</v>
      </c>
    </row>
    <row r="10876" spans="1:9" x14ac:dyDescent="0.25">
      <c r="A10876">
        <v>3401</v>
      </c>
      <c r="B10876">
        <v>60</v>
      </c>
      <c r="C10876" t="s">
        <v>950</v>
      </c>
      <c r="D10876" t="s">
        <v>946</v>
      </c>
      <c r="E10876" t="s">
        <v>49</v>
      </c>
      <c r="F10876" t="s">
        <v>956</v>
      </c>
      <c r="G10876">
        <v>6077777</v>
      </c>
      <c r="H10876">
        <v>501090</v>
      </c>
      <c r="I10876" t="s">
        <v>949</v>
      </c>
    </row>
    <row r="10877" spans="1:9" x14ac:dyDescent="0.25">
      <c r="A10877">
        <v>3401</v>
      </c>
      <c r="B10877">
        <v>60</v>
      </c>
      <c r="C10877" t="s">
        <v>950</v>
      </c>
      <c r="D10877" t="s">
        <v>946</v>
      </c>
      <c r="E10877" t="s">
        <v>49</v>
      </c>
      <c r="F10877" t="s">
        <v>957</v>
      </c>
      <c r="G10877">
        <v>6077777</v>
      </c>
      <c r="H10877">
        <v>501090</v>
      </c>
      <c r="I10877" t="s">
        <v>949</v>
      </c>
    </row>
    <row r="10878" spans="1:9" x14ac:dyDescent="0.25">
      <c r="A10878">
        <v>3401</v>
      </c>
      <c r="B10878">
        <v>60</v>
      </c>
      <c r="C10878" t="s">
        <v>950</v>
      </c>
      <c r="D10878" t="s">
        <v>946</v>
      </c>
      <c r="E10878" t="s">
        <v>49</v>
      </c>
      <c r="F10878" t="s">
        <v>958</v>
      </c>
      <c r="G10878">
        <v>6077777</v>
      </c>
      <c r="H10878">
        <v>501090</v>
      </c>
      <c r="I10878" t="s">
        <v>949</v>
      </c>
    </row>
    <row r="10879" spans="1:9" x14ac:dyDescent="0.25">
      <c r="A10879">
        <v>3401</v>
      </c>
      <c r="B10879">
        <v>60</v>
      </c>
      <c r="C10879" t="s">
        <v>950</v>
      </c>
      <c r="D10879" t="s">
        <v>946</v>
      </c>
      <c r="E10879" t="s">
        <v>49</v>
      </c>
      <c r="F10879" t="s">
        <v>959</v>
      </c>
      <c r="G10879">
        <v>6077777</v>
      </c>
      <c r="H10879">
        <v>501095</v>
      </c>
      <c r="I10879" t="s">
        <v>949</v>
      </c>
    </row>
    <row r="10880" spans="1:9" x14ac:dyDescent="0.25">
      <c r="A10880">
        <v>3401</v>
      </c>
      <c r="B10880">
        <v>60</v>
      </c>
      <c r="C10880" t="s">
        <v>950</v>
      </c>
      <c r="D10880" t="s">
        <v>946</v>
      </c>
      <c r="E10880" t="s">
        <v>49</v>
      </c>
      <c r="F10880" t="s">
        <v>960</v>
      </c>
      <c r="G10880">
        <v>6077777</v>
      </c>
      <c r="H10880">
        <v>501095</v>
      </c>
      <c r="I10880" t="s">
        <v>949</v>
      </c>
    </row>
    <row r="10881" spans="1:9" x14ac:dyDescent="0.25">
      <c r="A10881">
        <v>3401</v>
      </c>
      <c r="B10881">
        <v>60</v>
      </c>
      <c r="C10881" t="s">
        <v>950</v>
      </c>
      <c r="D10881" t="s">
        <v>946</v>
      </c>
      <c r="E10881" t="s">
        <v>49</v>
      </c>
      <c r="F10881" t="s">
        <v>961</v>
      </c>
      <c r="G10881">
        <v>6077777</v>
      </c>
      <c r="H10881">
        <v>501095</v>
      </c>
      <c r="I10881" t="s">
        <v>949</v>
      </c>
    </row>
    <row r="10882" spans="1:9" x14ac:dyDescent="0.25">
      <c r="A10882">
        <v>3401</v>
      </c>
      <c r="B10882">
        <v>60</v>
      </c>
      <c r="C10882" t="s">
        <v>962</v>
      </c>
      <c r="D10882" t="s">
        <v>946</v>
      </c>
      <c r="E10882" t="s">
        <v>49</v>
      </c>
      <c r="F10882" t="s">
        <v>953</v>
      </c>
      <c r="G10882">
        <v>6077777</v>
      </c>
      <c r="H10882">
        <v>501020</v>
      </c>
      <c r="I10882" t="s">
        <v>949</v>
      </c>
    </row>
    <row r="10883" spans="1:9" x14ac:dyDescent="0.25">
      <c r="A10883">
        <v>3401</v>
      </c>
      <c r="B10883">
        <v>60</v>
      </c>
      <c r="C10883" t="s">
        <v>962</v>
      </c>
      <c r="D10883" t="s">
        <v>946</v>
      </c>
      <c r="E10883" t="s">
        <v>49</v>
      </c>
      <c r="F10883" t="s">
        <v>954</v>
      </c>
      <c r="G10883">
        <v>6077777</v>
      </c>
      <c r="H10883">
        <v>501030</v>
      </c>
      <c r="I10883" t="s">
        <v>949</v>
      </c>
    </row>
    <row r="10884" spans="1:9" x14ac:dyDescent="0.25">
      <c r="A10884">
        <v>3401</v>
      </c>
      <c r="B10884">
        <v>60</v>
      </c>
      <c r="C10884" t="s">
        <v>962</v>
      </c>
      <c r="D10884" t="s">
        <v>946</v>
      </c>
      <c r="E10884" t="s">
        <v>49</v>
      </c>
      <c r="F10884" t="s">
        <v>955</v>
      </c>
      <c r="G10884">
        <v>6077777</v>
      </c>
      <c r="H10884">
        <v>505100</v>
      </c>
      <c r="I10884" t="s">
        <v>949</v>
      </c>
    </row>
    <row r="10885" spans="1:9" x14ac:dyDescent="0.25">
      <c r="A10885">
        <v>3401</v>
      </c>
      <c r="B10885">
        <v>60</v>
      </c>
      <c r="C10885" t="s">
        <v>962</v>
      </c>
      <c r="D10885" t="s">
        <v>946</v>
      </c>
      <c r="E10885" t="s">
        <v>49</v>
      </c>
      <c r="F10885" t="s">
        <v>964</v>
      </c>
      <c r="G10885">
        <v>6077777</v>
      </c>
      <c r="H10885">
        <v>501070</v>
      </c>
      <c r="I10885" t="s">
        <v>949</v>
      </c>
    </row>
    <row r="10886" spans="1:9" x14ac:dyDescent="0.25">
      <c r="A10886">
        <v>3401</v>
      </c>
      <c r="B10886">
        <v>60</v>
      </c>
      <c r="C10886" t="s">
        <v>962</v>
      </c>
      <c r="D10886" t="s">
        <v>946</v>
      </c>
      <c r="E10886" t="s">
        <v>49</v>
      </c>
      <c r="F10886" t="s">
        <v>965</v>
      </c>
      <c r="G10886">
        <v>6077777</v>
      </c>
      <c r="H10886">
        <v>501080</v>
      </c>
      <c r="I10886" t="s">
        <v>949</v>
      </c>
    </row>
    <row r="10887" spans="1:9" x14ac:dyDescent="0.25">
      <c r="A10887">
        <v>3401</v>
      </c>
      <c r="B10887">
        <v>60</v>
      </c>
      <c r="C10887" t="s">
        <v>962</v>
      </c>
      <c r="D10887" t="s">
        <v>946</v>
      </c>
      <c r="E10887" t="s">
        <v>49</v>
      </c>
      <c r="F10887" t="s">
        <v>966</v>
      </c>
      <c r="G10887">
        <v>6077777</v>
      </c>
      <c r="H10887">
        <v>501040</v>
      </c>
      <c r="I10887" t="s">
        <v>949</v>
      </c>
    </row>
    <row r="10888" spans="1:9" x14ac:dyDescent="0.25">
      <c r="A10888">
        <v>3401</v>
      </c>
      <c r="B10888">
        <v>60</v>
      </c>
      <c r="C10888" t="s">
        <v>962</v>
      </c>
      <c r="D10888" t="s">
        <v>946</v>
      </c>
      <c r="E10888" t="s">
        <v>49</v>
      </c>
      <c r="F10888" t="s">
        <v>967</v>
      </c>
      <c r="G10888">
        <v>6077777</v>
      </c>
      <c r="H10888">
        <v>501050</v>
      </c>
      <c r="I10888" t="s">
        <v>949</v>
      </c>
    </row>
    <row r="10889" spans="1:9" x14ac:dyDescent="0.25">
      <c r="A10889">
        <v>3401</v>
      </c>
      <c r="B10889">
        <v>60</v>
      </c>
      <c r="C10889" t="s">
        <v>962</v>
      </c>
      <c r="D10889" t="s">
        <v>946</v>
      </c>
      <c r="E10889" t="s">
        <v>49</v>
      </c>
      <c r="F10889" t="s">
        <v>956</v>
      </c>
      <c r="G10889">
        <v>6077777</v>
      </c>
      <c r="H10889">
        <v>501090</v>
      </c>
      <c r="I10889" t="s">
        <v>949</v>
      </c>
    </row>
    <row r="10890" spans="1:9" x14ac:dyDescent="0.25">
      <c r="A10890">
        <v>3401</v>
      </c>
      <c r="B10890">
        <v>60</v>
      </c>
      <c r="C10890" t="s">
        <v>962</v>
      </c>
      <c r="D10890" t="s">
        <v>946</v>
      </c>
      <c r="E10890" t="s">
        <v>49</v>
      </c>
      <c r="F10890" t="s">
        <v>957</v>
      </c>
      <c r="G10890">
        <v>6077777</v>
      </c>
      <c r="H10890">
        <v>501090</v>
      </c>
      <c r="I10890" t="s">
        <v>949</v>
      </c>
    </row>
    <row r="10891" spans="1:9" x14ac:dyDescent="0.25">
      <c r="A10891">
        <v>3401</v>
      </c>
      <c r="B10891">
        <v>60</v>
      </c>
      <c r="C10891" t="s">
        <v>962</v>
      </c>
      <c r="D10891" t="s">
        <v>946</v>
      </c>
      <c r="E10891" t="s">
        <v>49</v>
      </c>
      <c r="F10891" t="s">
        <v>958</v>
      </c>
      <c r="G10891">
        <v>6077777</v>
      </c>
      <c r="H10891">
        <v>501090</v>
      </c>
      <c r="I10891" t="s">
        <v>949</v>
      </c>
    </row>
    <row r="10892" spans="1:9" x14ac:dyDescent="0.25">
      <c r="A10892">
        <v>3401</v>
      </c>
      <c r="B10892">
        <v>60</v>
      </c>
      <c r="C10892" t="s">
        <v>962</v>
      </c>
      <c r="D10892" t="s">
        <v>946</v>
      </c>
      <c r="E10892" t="s">
        <v>49</v>
      </c>
      <c r="F10892" t="s">
        <v>959</v>
      </c>
      <c r="G10892">
        <v>6077777</v>
      </c>
      <c r="H10892">
        <v>501095</v>
      </c>
      <c r="I10892" t="s">
        <v>949</v>
      </c>
    </row>
    <row r="10893" spans="1:9" x14ac:dyDescent="0.25">
      <c r="A10893">
        <v>3401</v>
      </c>
      <c r="B10893">
        <v>60</v>
      </c>
      <c r="C10893" t="s">
        <v>962</v>
      </c>
      <c r="D10893" t="s">
        <v>946</v>
      </c>
      <c r="E10893" t="s">
        <v>49</v>
      </c>
      <c r="F10893" t="s">
        <v>960</v>
      </c>
      <c r="G10893">
        <v>6077777</v>
      </c>
      <c r="H10893">
        <v>501095</v>
      </c>
      <c r="I10893" t="s">
        <v>949</v>
      </c>
    </row>
    <row r="10894" spans="1:9" x14ac:dyDescent="0.25">
      <c r="A10894">
        <v>3401</v>
      </c>
      <c r="B10894">
        <v>60</v>
      </c>
      <c r="C10894" t="s">
        <v>962</v>
      </c>
      <c r="D10894" t="s">
        <v>946</v>
      </c>
      <c r="E10894" t="s">
        <v>49</v>
      </c>
      <c r="F10894" t="s">
        <v>961</v>
      </c>
      <c r="G10894">
        <v>6077777</v>
      </c>
      <c r="H10894">
        <v>501095</v>
      </c>
      <c r="I10894" t="s">
        <v>949</v>
      </c>
    </row>
    <row r="10895" spans="1:9" x14ac:dyDescent="0.25">
      <c r="A10895">
        <v>3401</v>
      </c>
      <c r="B10895">
        <v>60</v>
      </c>
      <c r="C10895" t="s">
        <v>963</v>
      </c>
      <c r="D10895" t="s">
        <v>946</v>
      </c>
      <c r="E10895" t="s">
        <v>49</v>
      </c>
      <c r="F10895" t="s">
        <v>953</v>
      </c>
      <c r="G10895">
        <v>6077777</v>
      </c>
      <c r="H10895">
        <v>501020</v>
      </c>
      <c r="I10895" t="s">
        <v>949</v>
      </c>
    </row>
    <row r="10896" spans="1:9" x14ac:dyDescent="0.25">
      <c r="A10896">
        <v>3401</v>
      </c>
      <c r="B10896">
        <v>60</v>
      </c>
      <c r="C10896" t="s">
        <v>963</v>
      </c>
      <c r="D10896" t="s">
        <v>946</v>
      </c>
      <c r="E10896" t="s">
        <v>49</v>
      </c>
      <c r="F10896" t="s">
        <v>954</v>
      </c>
      <c r="G10896">
        <v>6077777</v>
      </c>
      <c r="H10896">
        <v>501030</v>
      </c>
      <c r="I10896" t="s">
        <v>949</v>
      </c>
    </row>
    <row r="10897" spans="1:9" x14ac:dyDescent="0.25">
      <c r="A10897">
        <v>3401</v>
      </c>
      <c r="B10897">
        <v>60</v>
      </c>
      <c r="C10897" t="s">
        <v>963</v>
      </c>
      <c r="D10897" t="s">
        <v>946</v>
      </c>
      <c r="E10897" t="s">
        <v>49</v>
      </c>
      <c r="F10897" t="s">
        <v>955</v>
      </c>
      <c r="G10897">
        <v>6077777</v>
      </c>
      <c r="H10897">
        <v>505100</v>
      </c>
      <c r="I10897" t="s">
        <v>949</v>
      </c>
    </row>
    <row r="10898" spans="1:9" x14ac:dyDescent="0.25">
      <c r="A10898">
        <v>3401</v>
      </c>
      <c r="B10898">
        <v>60</v>
      </c>
      <c r="C10898" t="s">
        <v>963</v>
      </c>
      <c r="D10898" t="s">
        <v>946</v>
      </c>
      <c r="E10898" t="s">
        <v>49</v>
      </c>
      <c r="F10898" t="s">
        <v>964</v>
      </c>
      <c r="G10898">
        <v>6077777</v>
      </c>
      <c r="H10898">
        <v>501070</v>
      </c>
      <c r="I10898" t="s">
        <v>949</v>
      </c>
    </row>
    <row r="10899" spans="1:9" x14ac:dyDescent="0.25">
      <c r="A10899">
        <v>3401</v>
      </c>
      <c r="B10899">
        <v>60</v>
      </c>
      <c r="C10899" t="s">
        <v>963</v>
      </c>
      <c r="D10899" t="s">
        <v>946</v>
      </c>
      <c r="E10899" t="s">
        <v>49</v>
      </c>
      <c r="F10899" t="s">
        <v>965</v>
      </c>
      <c r="G10899">
        <v>6077777</v>
      </c>
      <c r="H10899">
        <v>501080</v>
      </c>
      <c r="I10899" t="s">
        <v>949</v>
      </c>
    </row>
    <row r="10900" spans="1:9" x14ac:dyDescent="0.25">
      <c r="A10900">
        <v>3401</v>
      </c>
      <c r="B10900">
        <v>60</v>
      </c>
      <c r="C10900" t="s">
        <v>963</v>
      </c>
      <c r="D10900" t="s">
        <v>946</v>
      </c>
      <c r="E10900" t="s">
        <v>49</v>
      </c>
      <c r="F10900" t="s">
        <v>966</v>
      </c>
      <c r="G10900">
        <v>6077777</v>
      </c>
      <c r="H10900">
        <v>501040</v>
      </c>
      <c r="I10900" t="s">
        <v>949</v>
      </c>
    </row>
    <row r="10901" spans="1:9" x14ac:dyDescent="0.25">
      <c r="A10901">
        <v>3401</v>
      </c>
      <c r="B10901">
        <v>60</v>
      </c>
      <c r="C10901" t="s">
        <v>963</v>
      </c>
      <c r="D10901" t="s">
        <v>946</v>
      </c>
      <c r="E10901" t="s">
        <v>49</v>
      </c>
      <c r="F10901" t="s">
        <v>967</v>
      </c>
      <c r="G10901">
        <v>6077777</v>
      </c>
      <c r="H10901">
        <v>501050</v>
      </c>
      <c r="I10901" t="s">
        <v>949</v>
      </c>
    </row>
    <row r="10902" spans="1:9" x14ac:dyDescent="0.25">
      <c r="A10902">
        <v>3401</v>
      </c>
      <c r="B10902">
        <v>60</v>
      </c>
      <c r="C10902" t="s">
        <v>963</v>
      </c>
      <c r="D10902" t="s">
        <v>946</v>
      </c>
      <c r="E10902" t="s">
        <v>49</v>
      </c>
      <c r="F10902" t="s">
        <v>956</v>
      </c>
      <c r="G10902">
        <v>6077777</v>
      </c>
      <c r="H10902">
        <v>501090</v>
      </c>
      <c r="I10902" t="s">
        <v>949</v>
      </c>
    </row>
    <row r="10903" spans="1:9" x14ac:dyDescent="0.25">
      <c r="A10903">
        <v>3401</v>
      </c>
      <c r="B10903">
        <v>60</v>
      </c>
      <c r="C10903" t="s">
        <v>963</v>
      </c>
      <c r="D10903" t="s">
        <v>946</v>
      </c>
      <c r="E10903" t="s">
        <v>49</v>
      </c>
      <c r="F10903" t="s">
        <v>957</v>
      </c>
      <c r="G10903">
        <v>6077777</v>
      </c>
      <c r="H10903">
        <v>501090</v>
      </c>
      <c r="I10903" t="s">
        <v>949</v>
      </c>
    </row>
    <row r="10904" spans="1:9" x14ac:dyDescent="0.25">
      <c r="A10904">
        <v>3401</v>
      </c>
      <c r="B10904">
        <v>60</v>
      </c>
      <c r="C10904" t="s">
        <v>963</v>
      </c>
      <c r="D10904" t="s">
        <v>946</v>
      </c>
      <c r="E10904" t="s">
        <v>49</v>
      </c>
      <c r="F10904" t="s">
        <v>958</v>
      </c>
      <c r="G10904">
        <v>6077777</v>
      </c>
      <c r="H10904">
        <v>501090</v>
      </c>
      <c r="I10904" t="s">
        <v>949</v>
      </c>
    </row>
    <row r="10905" spans="1:9" x14ac:dyDescent="0.25">
      <c r="A10905">
        <v>3401</v>
      </c>
      <c r="B10905">
        <v>60</v>
      </c>
      <c r="C10905" t="s">
        <v>963</v>
      </c>
      <c r="D10905" t="s">
        <v>946</v>
      </c>
      <c r="E10905" t="s">
        <v>49</v>
      </c>
      <c r="F10905" t="s">
        <v>959</v>
      </c>
      <c r="G10905">
        <v>6077777</v>
      </c>
      <c r="H10905">
        <v>501095</v>
      </c>
      <c r="I10905" t="s">
        <v>949</v>
      </c>
    </row>
    <row r="10906" spans="1:9" x14ac:dyDescent="0.25">
      <c r="A10906">
        <v>3401</v>
      </c>
      <c r="B10906">
        <v>60</v>
      </c>
      <c r="C10906" t="s">
        <v>963</v>
      </c>
      <c r="D10906" t="s">
        <v>946</v>
      </c>
      <c r="E10906" t="s">
        <v>49</v>
      </c>
      <c r="F10906" t="s">
        <v>960</v>
      </c>
      <c r="G10906">
        <v>6077777</v>
      </c>
      <c r="H10906">
        <v>501095</v>
      </c>
      <c r="I10906" t="s">
        <v>949</v>
      </c>
    </row>
    <row r="10907" spans="1:9" x14ac:dyDescent="0.25">
      <c r="A10907">
        <v>3401</v>
      </c>
      <c r="B10907">
        <v>60</v>
      </c>
      <c r="C10907" t="s">
        <v>963</v>
      </c>
      <c r="D10907" t="s">
        <v>946</v>
      </c>
      <c r="E10907" t="s">
        <v>49</v>
      </c>
      <c r="F10907" t="s">
        <v>961</v>
      </c>
      <c r="G10907">
        <v>6077777</v>
      </c>
      <c r="H10907">
        <v>501095</v>
      </c>
      <c r="I10907" t="s">
        <v>949</v>
      </c>
    </row>
    <row r="10908" spans="1:9" x14ac:dyDescent="0.25">
      <c r="A10908">
        <v>3120</v>
      </c>
      <c r="B10908">
        <v>60</v>
      </c>
      <c r="C10908" t="s">
        <v>950</v>
      </c>
      <c r="D10908" t="s">
        <v>946</v>
      </c>
      <c r="E10908" t="s">
        <v>100</v>
      </c>
      <c r="F10908" t="s">
        <v>951</v>
      </c>
      <c r="G10908">
        <v>6077777</v>
      </c>
      <c r="H10908">
        <v>500221</v>
      </c>
      <c r="I10908" t="s">
        <v>949</v>
      </c>
    </row>
    <row r="10909" spans="1:9" x14ac:dyDescent="0.25">
      <c r="A10909">
        <v>3120</v>
      </c>
      <c r="B10909">
        <v>60</v>
      </c>
      <c r="C10909" t="s">
        <v>950</v>
      </c>
      <c r="D10909" t="s">
        <v>946</v>
      </c>
      <c r="E10909" t="s">
        <v>100</v>
      </c>
      <c r="F10909" t="s">
        <v>952</v>
      </c>
      <c r="G10909">
        <v>6077777</v>
      </c>
      <c r="H10909">
        <v>500221</v>
      </c>
      <c r="I10909" t="s">
        <v>949</v>
      </c>
    </row>
    <row r="10910" spans="1:9" x14ac:dyDescent="0.25">
      <c r="A10910">
        <v>3120</v>
      </c>
      <c r="B10910">
        <v>60</v>
      </c>
      <c r="C10910" t="s">
        <v>962</v>
      </c>
      <c r="D10910" t="s">
        <v>946</v>
      </c>
      <c r="E10910" t="s">
        <v>100</v>
      </c>
      <c r="F10910" t="s">
        <v>951</v>
      </c>
      <c r="G10910">
        <v>6077777</v>
      </c>
      <c r="H10910">
        <v>500221</v>
      </c>
      <c r="I10910" t="s">
        <v>949</v>
      </c>
    </row>
    <row r="10911" spans="1:9" x14ac:dyDescent="0.25">
      <c r="A10911">
        <v>3120</v>
      </c>
      <c r="B10911">
        <v>60</v>
      </c>
      <c r="C10911" t="s">
        <v>962</v>
      </c>
      <c r="D10911" t="s">
        <v>946</v>
      </c>
      <c r="E10911" t="s">
        <v>100</v>
      </c>
      <c r="F10911" t="s">
        <v>952</v>
      </c>
      <c r="G10911">
        <v>6077777</v>
      </c>
      <c r="H10911">
        <v>500221</v>
      </c>
      <c r="I10911" t="s">
        <v>949</v>
      </c>
    </row>
    <row r="10912" spans="1:9" x14ac:dyDescent="0.25">
      <c r="A10912">
        <v>3120</v>
      </c>
      <c r="B10912">
        <v>60</v>
      </c>
      <c r="C10912" t="s">
        <v>963</v>
      </c>
      <c r="D10912" t="s">
        <v>946</v>
      </c>
      <c r="E10912" t="s">
        <v>100</v>
      </c>
      <c r="F10912" t="s">
        <v>951</v>
      </c>
      <c r="G10912">
        <v>6077777</v>
      </c>
      <c r="H10912">
        <v>500221</v>
      </c>
      <c r="I10912" t="s">
        <v>949</v>
      </c>
    </row>
    <row r="10913" spans="1:9" x14ac:dyDescent="0.25">
      <c r="A10913">
        <v>3120</v>
      </c>
      <c r="B10913">
        <v>60</v>
      </c>
      <c r="C10913" t="s">
        <v>963</v>
      </c>
      <c r="D10913" t="s">
        <v>946</v>
      </c>
      <c r="E10913" t="s">
        <v>100</v>
      </c>
      <c r="F10913" t="s">
        <v>952</v>
      </c>
      <c r="G10913">
        <v>6077777</v>
      </c>
      <c r="H10913">
        <v>500221</v>
      </c>
      <c r="I10913" t="s">
        <v>949</v>
      </c>
    </row>
    <row r="10914" spans="1:9" x14ac:dyDescent="0.25">
      <c r="A10914">
        <v>3120</v>
      </c>
      <c r="B10914">
        <v>60</v>
      </c>
      <c r="C10914" t="s">
        <v>950</v>
      </c>
      <c r="D10914" t="s">
        <v>946</v>
      </c>
      <c r="E10914" t="s">
        <v>104</v>
      </c>
      <c r="F10914" t="s">
        <v>951</v>
      </c>
      <c r="G10914">
        <v>6077777</v>
      </c>
      <c r="H10914">
        <v>500221</v>
      </c>
      <c r="I10914" t="s">
        <v>949</v>
      </c>
    </row>
    <row r="10915" spans="1:9" x14ac:dyDescent="0.25">
      <c r="A10915">
        <v>3120</v>
      </c>
      <c r="B10915">
        <v>60</v>
      </c>
      <c r="C10915" t="s">
        <v>950</v>
      </c>
      <c r="D10915" t="s">
        <v>946</v>
      </c>
      <c r="E10915" t="s">
        <v>104</v>
      </c>
      <c r="F10915" t="s">
        <v>952</v>
      </c>
      <c r="G10915">
        <v>6077777</v>
      </c>
      <c r="H10915">
        <v>500221</v>
      </c>
      <c r="I10915" t="s">
        <v>949</v>
      </c>
    </row>
    <row r="10916" spans="1:9" x14ac:dyDescent="0.25">
      <c r="A10916">
        <v>3120</v>
      </c>
      <c r="B10916">
        <v>60</v>
      </c>
      <c r="C10916" t="s">
        <v>962</v>
      </c>
      <c r="D10916" t="s">
        <v>946</v>
      </c>
      <c r="E10916" t="s">
        <v>104</v>
      </c>
      <c r="F10916" t="s">
        <v>951</v>
      </c>
      <c r="G10916">
        <v>6077777</v>
      </c>
      <c r="H10916">
        <v>500221</v>
      </c>
      <c r="I10916" t="s">
        <v>949</v>
      </c>
    </row>
    <row r="10917" spans="1:9" x14ac:dyDescent="0.25">
      <c r="A10917">
        <v>3120</v>
      </c>
      <c r="B10917">
        <v>60</v>
      </c>
      <c r="C10917" t="s">
        <v>962</v>
      </c>
      <c r="D10917" t="s">
        <v>946</v>
      </c>
      <c r="E10917" t="s">
        <v>104</v>
      </c>
      <c r="F10917" t="s">
        <v>952</v>
      </c>
      <c r="G10917">
        <v>6077777</v>
      </c>
      <c r="H10917">
        <v>500221</v>
      </c>
      <c r="I10917" t="s">
        <v>949</v>
      </c>
    </row>
    <row r="10918" spans="1:9" x14ac:dyDescent="0.25">
      <c r="A10918">
        <v>3120</v>
      </c>
      <c r="B10918">
        <v>60</v>
      </c>
      <c r="C10918" t="s">
        <v>963</v>
      </c>
      <c r="D10918" t="s">
        <v>946</v>
      </c>
      <c r="E10918" t="s">
        <v>104</v>
      </c>
      <c r="F10918" t="s">
        <v>951</v>
      </c>
      <c r="G10918">
        <v>6077777</v>
      </c>
      <c r="H10918">
        <v>500221</v>
      </c>
      <c r="I10918" t="s">
        <v>949</v>
      </c>
    </row>
    <row r="10919" spans="1:9" x14ac:dyDescent="0.25">
      <c r="A10919">
        <v>3120</v>
      </c>
      <c r="B10919">
        <v>60</v>
      </c>
      <c r="C10919" t="s">
        <v>963</v>
      </c>
      <c r="D10919" t="s">
        <v>946</v>
      </c>
      <c r="E10919" t="s">
        <v>104</v>
      </c>
      <c r="F10919" t="s">
        <v>952</v>
      </c>
      <c r="G10919">
        <v>6077777</v>
      </c>
      <c r="H10919">
        <v>500221</v>
      </c>
      <c r="I10919" t="s">
        <v>949</v>
      </c>
    </row>
    <row r="10920" spans="1:9" x14ac:dyDescent="0.25">
      <c r="A10920">
        <v>3120</v>
      </c>
      <c r="B10920">
        <v>60</v>
      </c>
      <c r="C10920" t="s">
        <v>950</v>
      </c>
      <c r="D10920" t="s">
        <v>946</v>
      </c>
      <c r="E10920" t="s">
        <v>108</v>
      </c>
      <c r="F10920" t="s">
        <v>951</v>
      </c>
      <c r="G10920">
        <v>6077777</v>
      </c>
      <c r="H10920">
        <v>500221</v>
      </c>
      <c r="I10920" t="s">
        <v>949</v>
      </c>
    </row>
    <row r="10921" spans="1:9" x14ac:dyDescent="0.25">
      <c r="A10921">
        <v>3120</v>
      </c>
      <c r="B10921">
        <v>60</v>
      </c>
      <c r="C10921" t="s">
        <v>950</v>
      </c>
      <c r="D10921" t="s">
        <v>946</v>
      </c>
      <c r="E10921" t="s">
        <v>108</v>
      </c>
      <c r="F10921" t="s">
        <v>952</v>
      </c>
      <c r="G10921">
        <v>6077777</v>
      </c>
      <c r="H10921">
        <v>500221</v>
      </c>
      <c r="I10921" t="s">
        <v>949</v>
      </c>
    </row>
    <row r="10922" spans="1:9" x14ac:dyDescent="0.25">
      <c r="A10922">
        <v>3120</v>
      </c>
      <c r="B10922">
        <v>60</v>
      </c>
      <c r="C10922" t="s">
        <v>962</v>
      </c>
      <c r="D10922" t="s">
        <v>946</v>
      </c>
      <c r="E10922" t="s">
        <v>108</v>
      </c>
      <c r="F10922" t="s">
        <v>951</v>
      </c>
      <c r="G10922">
        <v>6077777</v>
      </c>
      <c r="H10922">
        <v>500221</v>
      </c>
      <c r="I10922" t="s">
        <v>949</v>
      </c>
    </row>
    <row r="10923" spans="1:9" x14ac:dyDescent="0.25">
      <c r="A10923">
        <v>3120</v>
      </c>
      <c r="B10923">
        <v>60</v>
      </c>
      <c r="C10923" t="s">
        <v>962</v>
      </c>
      <c r="D10923" t="s">
        <v>946</v>
      </c>
      <c r="E10923" t="s">
        <v>108</v>
      </c>
      <c r="F10923" t="s">
        <v>952</v>
      </c>
      <c r="G10923">
        <v>6077777</v>
      </c>
      <c r="H10923">
        <v>500221</v>
      </c>
      <c r="I10923" t="s">
        <v>949</v>
      </c>
    </row>
    <row r="10924" spans="1:9" x14ac:dyDescent="0.25">
      <c r="A10924">
        <v>3120</v>
      </c>
      <c r="B10924">
        <v>60</v>
      </c>
      <c r="C10924" t="s">
        <v>963</v>
      </c>
      <c r="D10924" t="s">
        <v>946</v>
      </c>
      <c r="E10924" t="s">
        <v>108</v>
      </c>
      <c r="F10924" t="s">
        <v>951</v>
      </c>
      <c r="G10924">
        <v>6077777</v>
      </c>
      <c r="H10924">
        <v>500221</v>
      </c>
      <c r="I10924" t="s">
        <v>949</v>
      </c>
    </row>
    <row r="10925" spans="1:9" x14ac:dyDescent="0.25">
      <c r="A10925">
        <v>3120</v>
      </c>
      <c r="B10925">
        <v>60</v>
      </c>
      <c r="C10925" t="s">
        <v>963</v>
      </c>
      <c r="D10925" t="s">
        <v>946</v>
      </c>
      <c r="E10925" t="s">
        <v>108</v>
      </c>
      <c r="F10925" t="s">
        <v>952</v>
      </c>
      <c r="G10925">
        <v>6077777</v>
      </c>
      <c r="H10925">
        <v>500221</v>
      </c>
      <c r="I10925" t="s">
        <v>949</v>
      </c>
    </row>
    <row r="10926" spans="1:9" x14ac:dyDescent="0.25">
      <c r="A10926">
        <v>3120</v>
      </c>
      <c r="B10926">
        <v>60</v>
      </c>
      <c r="C10926" t="s">
        <v>950</v>
      </c>
      <c r="D10926" t="s">
        <v>946</v>
      </c>
      <c r="E10926" t="s">
        <v>121</v>
      </c>
      <c r="F10926" t="s">
        <v>951</v>
      </c>
      <c r="G10926">
        <v>6077777</v>
      </c>
      <c r="H10926">
        <v>500221</v>
      </c>
      <c r="I10926" t="s">
        <v>949</v>
      </c>
    </row>
    <row r="10927" spans="1:9" x14ac:dyDescent="0.25">
      <c r="A10927">
        <v>3120</v>
      </c>
      <c r="B10927">
        <v>60</v>
      </c>
      <c r="C10927" t="s">
        <v>962</v>
      </c>
      <c r="D10927" t="s">
        <v>946</v>
      </c>
      <c r="E10927" t="s">
        <v>121</v>
      </c>
      <c r="F10927" t="s">
        <v>951</v>
      </c>
      <c r="G10927">
        <v>6077777</v>
      </c>
      <c r="H10927">
        <v>500221</v>
      </c>
      <c r="I10927" t="s">
        <v>949</v>
      </c>
    </row>
    <row r="10928" spans="1:9" x14ac:dyDescent="0.25">
      <c r="A10928">
        <v>3120</v>
      </c>
      <c r="B10928">
        <v>60</v>
      </c>
      <c r="C10928" t="s">
        <v>963</v>
      </c>
      <c r="D10928" t="s">
        <v>946</v>
      </c>
      <c r="E10928" t="s">
        <v>121</v>
      </c>
      <c r="F10928" t="s">
        <v>951</v>
      </c>
      <c r="G10928">
        <v>6077777</v>
      </c>
      <c r="H10928">
        <v>500221</v>
      </c>
      <c r="I10928" t="s">
        <v>949</v>
      </c>
    </row>
    <row r="10929" ht="22" customHeight="1" spans="1:10" x14ac:dyDescent="0.25">
      <c r="A10929" s="41">
        <v>4152</v>
      </c>
      <c r="B10929" s="41">
        <v>60</v>
      </c>
      <c r="C10929" s="41" t="s">
        <v>946</v>
      </c>
      <c r="D10929" s="41">
        <v>99</v>
      </c>
      <c r="E10929" s="41" t="s">
        <v>243</v>
      </c>
      <c r="F10929" s="41" t="s">
        <v>948</v>
      </c>
      <c r="G10929" s="41">
        <v>6000000</v>
      </c>
      <c r="H10929" s="41">
        <v>145000</v>
      </c>
      <c r="I10929" s="41" t="s">
        <v>949</v>
      </c>
      <c r="J10929" s="42" t="s">
        <v>968</v>
      </c>
    </row>
    <row r="10930" ht="22" customHeight="1" spans="1:10" x14ac:dyDescent="0.25">
      <c r="A10930" s="41">
        <v>4152</v>
      </c>
      <c r="B10930" s="41">
        <v>60</v>
      </c>
      <c r="C10930" s="41" t="s">
        <v>946</v>
      </c>
      <c r="D10930" s="41">
        <v>99</v>
      </c>
      <c r="E10930" s="41" t="s">
        <v>247</v>
      </c>
      <c r="F10930" s="41" t="s">
        <v>948</v>
      </c>
      <c r="G10930" s="41">
        <v>6000000</v>
      </c>
      <c r="H10930" s="41">
        <v>145000</v>
      </c>
      <c r="I10930" s="41" t="s">
        <v>949</v>
      </c>
      <c r="J10930" s="42" t="s">
        <v>968</v>
      </c>
    </row>
    <row r="10931" ht="22" customHeight="1" spans="1:10" x14ac:dyDescent="0.25">
      <c r="A10931" s="41">
        <v>4152</v>
      </c>
      <c r="B10931" s="41">
        <v>60</v>
      </c>
      <c r="C10931" s="41" t="s">
        <v>946</v>
      </c>
      <c r="D10931" s="41">
        <v>99</v>
      </c>
      <c r="E10931" s="41" t="s">
        <v>251</v>
      </c>
      <c r="F10931" s="41" t="s">
        <v>948</v>
      </c>
      <c r="G10931" s="41">
        <v>6000000</v>
      </c>
      <c r="H10931" s="41">
        <v>142000</v>
      </c>
      <c r="I10931" s="41" t="s">
        <v>949</v>
      </c>
      <c r="J10931" s="42" t="s">
        <v>968</v>
      </c>
    </row>
    <row r="10932" ht="22" customHeight="1" spans="1:10" x14ac:dyDescent="0.25">
      <c r="A10932" s="41">
        <v>4152</v>
      </c>
      <c r="B10932" s="41">
        <v>60</v>
      </c>
      <c r="C10932" s="41" t="s">
        <v>946</v>
      </c>
      <c r="D10932" s="41">
        <v>99</v>
      </c>
      <c r="E10932" s="41" t="s">
        <v>969</v>
      </c>
      <c r="F10932" s="41" t="s">
        <v>948</v>
      </c>
      <c r="G10932" s="41">
        <v>6000000</v>
      </c>
      <c r="H10932" s="41">
        <v>141000</v>
      </c>
      <c r="I10932" s="41" t="s">
        <v>970</v>
      </c>
      <c r="J10932" s="42" t="s">
        <v>968</v>
      </c>
    </row>
    <row r="10933" ht="22" customHeight="1" spans="1:10" x14ac:dyDescent="0.25">
      <c r="A10933" s="41">
        <v>4152</v>
      </c>
      <c r="B10933" s="41">
        <v>60</v>
      </c>
      <c r="C10933" s="41" t="s">
        <v>946</v>
      </c>
      <c r="D10933" s="41">
        <v>99</v>
      </c>
      <c r="E10933" s="41" t="s">
        <v>255</v>
      </c>
      <c r="F10933" s="41" t="s">
        <v>948</v>
      </c>
      <c r="G10933" s="41">
        <v>6000000</v>
      </c>
      <c r="H10933" s="41">
        <v>145000</v>
      </c>
      <c r="I10933" s="41" t="s">
        <v>949</v>
      </c>
      <c r="J10933" s="42" t="s">
        <v>968</v>
      </c>
    </row>
    <row r="10934" ht="22" customHeight="1" spans="1:10" x14ac:dyDescent="0.25">
      <c r="A10934" s="41">
        <v>4152</v>
      </c>
      <c r="B10934" s="41">
        <v>60</v>
      </c>
      <c r="C10934" s="41" t="s">
        <v>946</v>
      </c>
      <c r="D10934" s="41">
        <v>99</v>
      </c>
      <c r="E10934" s="41" t="s">
        <v>971</v>
      </c>
      <c r="F10934" s="41" t="s">
        <v>948</v>
      </c>
      <c r="G10934" s="41">
        <v>6000000</v>
      </c>
      <c r="H10934" s="41">
        <v>141000</v>
      </c>
      <c r="I10934" s="41" t="s">
        <v>972</v>
      </c>
      <c r="J10934" s="42" t="s">
        <v>968</v>
      </c>
    </row>
    <row r="10935" ht="22" customHeight="1" spans="1:10" x14ac:dyDescent="0.25">
      <c r="A10935" s="41">
        <v>4152</v>
      </c>
      <c r="B10935" s="41">
        <v>60</v>
      </c>
      <c r="C10935" s="41" t="s">
        <v>946</v>
      </c>
      <c r="D10935" s="41">
        <v>99</v>
      </c>
      <c r="E10935" s="41" t="s">
        <v>263</v>
      </c>
      <c r="F10935" s="41" t="s">
        <v>948</v>
      </c>
      <c r="G10935" s="41">
        <v>6000000</v>
      </c>
      <c r="H10935" s="41">
        <v>145000</v>
      </c>
      <c r="I10935" s="41" t="s">
        <v>949</v>
      </c>
      <c r="J10935" s="42" t="s">
        <v>968</v>
      </c>
    </row>
    <row r="10936" ht="22" customHeight="1" spans="1:10" x14ac:dyDescent="0.25">
      <c r="A10936" s="41">
        <v>4152</v>
      </c>
      <c r="B10936" s="41">
        <v>60</v>
      </c>
      <c r="C10936" s="41" t="s">
        <v>946</v>
      </c>
      <c r="D10936" s="41">
        <v>99</v>
      </c>
      <c r="E10936" s="41" t="s">
        <v>270</v>
      </c>
      <c r="F10936" s="41" t="s">
        <v>948</v>
      </c>
      <c r="G10936" s="41">
        <v>6000000</v>
      </c>
      <c r="H10936" s="41">
        <v>145000</v>
      </c>
      <c r="I10936" s="41" t="s">
        <v>949</v>
      </c>
      <c r="J10936" s="42" t="s">
        <v>968</v>
      </c>
    </row>
    <row r="10937" ht="22" customHeight="1" spans="1:10" x14ac:dyDescent="0.25">
      <c r="A10937" s="41">
        <v>4152</v>
      </c>
      <c r="B10937" s="41">
        <v>60</v>
      </c>
      <c r="C10937" s="41" t="s">
        <v>946</v>
      </c>
      <c r="D10937" s="41">
        <v>99</v>
      </c>
      <c r="E10937" s="41" t="s">
        <v>274</v>
      </c>
      <c r="F10937" s="41" t="s">
        <v>948</v>
      </c>
      <c r="G10937" s="41">
        <v>6000000</v>
      </c>
      <c r="H10937" s="41">
        <v>143000</v>
      </c>
      <c r="I10937" s="41" t="s">
        <v>973</v>
      </c>
      <c r="J10937" s="42" t="s">
        <v>968</v>
      </c>
    </row>
    <row r="10938" ht="22" customHeight="1" spans="1:10" x14ac:dyDescent="0.25">
      <c r="A10938" s="41">
        <v>4152</v>
      </c>
      <c r="B10938" s="41">
        <v>60</v>
      </c>
      <c r="C10938" s="41" t="s">
        <v>946</v>
      </c>
      <c r="D10938" s="41">
        <v>99</v>
      </c>
      <c r="E10938" s="41" t="s">
        <v>974</v>
      </c>
      <c r="F10938" s="41" t="s">
        <v>948</v>
      </c>
      <c r="G10938" s="41">
        <v>6000000</v>
      </c>
      <c r="H10938" s="41">
        <v>141000</v>
      </c>
      <c r="I10938" s="41" t="s">
        <v>975</v>
      </c>
      <c r="J10938" s="42" t="s">
        <v>968</v>
      </c>
    </row>
    <row r="10939" ht="22" customHeight="1" spans="1:10" x14ac:dyDescent="0.25">
      <c r="A10939" s="41">
        <v>4152</v>
      </c>
      <c r="B10939" s="41">
        <v>60</v>
      </c>
      <c r="C10939" s="41" t="s">
        <v>946</v>
      </c>
      <c r="D10939" s="41">
        <v>99</v>
      </c>
      <c r="E10939" s="41" t="s">
        <v>278</v>
      </c>
      <c r="F10939" s="41" t="s">
        <v>948</v>
      </c>
      <c r="G10939" s="41">
        <v>6000000</v>
      </c>
      <c r="H10939" s="41">
        <v>145000</v>
      </c>
      <c r="I10939" s="41" t="s">
        <v>949</v>
      </c>
      <c r="J10939" s="42" t="s">
        <v>968</v>
      </c>
    </row>
    <row r="10940" ht="22" customHeight="1" spans="1:10" x14ac:dyDescent="0.25">
      <c r="A10940" s="41">
        <v>4152</v>
      </c>
      <c r="B10940" s="41">
        <v>60</v>
      </c>
      <c r="C10940" s="41" t="s">
        <v>946</v>
      </c>
      <c r="D10940" s="41">
        <v>99</v>
      </c>
      <c r="E10940" s="41" t="s">
        <v>282</v>
      </c>
      <c r="F10940" s="41" t="s">
        <v>948</v>
      </c>
      <c r="G10940" s="41">
        <v>6000000</v>
      </c>
      <c r="H10940" s="41">
        <v>143100</v>
      </c>
      <c r="I10940" s="41" t="s">
        <v>949</v>
      </c>
      <c r="J10940" s="42" t="s">
        <v>968</v>
      </c>
    </row>
    <row r="10941" ht="22" customHeight="1" spans="1:10" x14ac:dyDescent="0.25">
      <c r="A10941" s="41">
        <v>4152</v>
      </c>
      <c r="B10941" s="41">
        <v>60</v>
      </c>
      <c r="C10941" s="41" t="s">
        <v>946</v>
      </c>
      <c r="D10941" s="41">
        <v>99</v>
      </c>
      <c r="E10941" s="41" t="s">
        <v>286</v>
      </c>
      <c r="F10941" s="41" t="s">
        <v>948</v>
      </c>
      <c r="G10941" s="41">
        <v>6000000</v>
      </c>
      <c r="H10941" s="41">
        <v>145000</v>
      </c>
      <c r="I10941" s="41" t="s">
        <v>949</v>
      </c>
      <c r="J10941" s="42" t="s">
        <v>968</v>
      </c>
    </row>
    <row r="10942" ht="22" customHeight="1" spans="1:10" x14ac:dyDescent="0.25">
      <c r="A10942" s="41">
        <v>4152</v>
      </c>
      <c r="B10942" s="41">
        <v>60</v>
      </c>
      <c r="C10942" s="41" t="s">
        <v>946</v>
      </c>
      <c r="D10942" s="41">
        <v>99</v>
      </c>
      <c r="E10942" s="41" t="s">
        <v>976</v>
      </c>
      <c r="F10942" s="41" t="s">
        <v>948</v>
      </c>
      <c r="G10942" s="41">
        <v>6000000</v>
      </c>
      <c r="H10942" s="41">
        <v>141000</v>
      </c>
      <c r="I10942" s="41" t="s">
        <v>977</v>
      </c>
      <c r="J10942" s="42" t="s">
        <v>968</v>
      </c>
    </row>
    <row r="10943" ht="22" customHeight="1" spans="1:10" x14ac:dyDescent="0.25">
      <c r="A10943" s="41">
        <v>4152</v>
      </c>
      <c r="B10943" s="41">
        <v>60</v>
      </c>
      <c r="C10943" s="41" t="s">
        <v>946</v>
      </c>
      <c r="D10943" s="41">
        <v>99</v>
      </c>
      <c r="E10943" s="41" t="s">
        <v>290</v>
      </c>
      <c r="F10943" s="41" t="s">
        <v>948</v>
      </c>
      <c r="G10943" s="41">
        <v>6000000</v>
      </c>
      <c r="H10943" s="41">
        <v>143000</v>
      </c>
      <c r="I10943" s="41" t="s">
        <v>978</v>
      </c>
      <c r="J10943" s="42" t="s">
        <v>968</v>
      </c>
    </row>
    <row r="10944" ht="22" customHeight="1" spans="1:10" x14ac:dyDescent="0.25">
      <c r="A10944" s="41">
        <v>4152</v>
      </c>
      <c r="B10944" s="41">
        <v>60</v>
      </c>
      <c r="C10944" s="41" t="s">
        <v>946</v>
      </c>
      <c r="D10944" s="41">
        <v>99</v>
      </c>
      <c r="E10944" s="41" t="s">
        <v>294</v>
      </c>
      <c r="F10944" s="41" t="s">
        <v>948</v>
      </c>
      <c r="G10944" s="41">
        <v>6000000</v>
      </c>
      <c r="H10944" s="41">
        <v>143000</v>
      </c>
      <c r="I10944" s="41" t="s">
        <v>979</v>
      </c>
      <c r="J10944" s="42" t="s">
        <v>968</v>
      </c>
    </row>
    <row r="10945" ht="22" customHeight="1" spans="1:10" x14ac:dyDescent="0.25">
      <c r="A10945" s="41">
        <v>4152</v>
      </c>
      <c r="B10945" s="41">
        <v>60</v>
      </c>
      <c r="C10945" s="41" t="s">
        <v>946</v>
      </c>
      <c r="D10945" s="41">
        <v>99</v>
      </c>
      <c r="E10945" s="41" t="s">
        <v>980</v>
      </c>
      <c r="F10945" s="41" t="s">
        <v>948</v>
      </c>
      <c r="G10945" s="41">
        <v>6000000</v>
      </c>
      <c r="H10945" s="41">
        <v>141000</v>
      </c>
      <c r="I10945" s="41" t="s">
        <v>981</v>
      </c>
      <c r="J10945" s="42" t="s">
        <v>968</v>
      </c>
    </row>
    <row r="10946" ht="22" customHeight="1" spans="1:10" x14ac:dyDescent="0.25">
      <c r="A10946" s="41">
        <v>4152</v>
      </c>
      <c r="B10946" s="41">
        <v>60</v>
      </c>
      <c r="C10946" s="41" t="s">
        <v>946</v>
      </c>
      <c r="D10946" s="41">
        <v>99</v>
      </c>
      <c r="E10946" s="41" t="s">
        <v>302</v>
      </c>
      <c r="F10946" s="41" t="s">
        <v>948</v>
      </c>
      <c r="G10946" s="41">
        <v>6000000</v>
      </c>
      <c r="H10946" s="41">
        <v>143000</v>
      </c>
      <c r="I10946" s="41" t="s">
        <v>982</v>
      </c>
      <c r="J10946" s="42" t="s">
        <v>968</v>
      </c>
    </row>
    <row r="10947" ht="22" customHeight="1" spans="1:10" x14ac:dyDescent="0.25">
      <c r="A10947" s="41">
        <v>4152</v>
      </c>
      <c r="B10947" s="41">
        <v>60</v>
      </c>
      <c r="C10947" s="41" t="s">
        <v>946</v>
      </c>
      <c r="D10947" s="41">
        <v>99</v>
      </c>
      <c r="E10947" s="41" t="s">
        <v>306</v>
      </c>
      <c r="F10947" s="41" t="s">
        <v>948</v>
      </c>
      <c r="G10947" s="41">
        <v>6000000</v>
      </c>
      <c r="H10947" s="41">
        <v>143000</v>
      </c>
      <c r="I10947" s="41" t="s">
        <v>983</v>
      </c>
      <c r="J10947" s="42" t="s">
        <v>968</v>
      </c>
    </row>
    <row r="10948" ht="22" customHeight="1" spans="1:10" x14ac:dyDescent="0.25">
      <c r="A10948" s="41">
        <v>4152</v>
      </c>
      <c r="B10948" s="41">
        <v>60</v>
      </c>
      <c r="C10948" s="41" t="s">
        <v>946</v>
      </c>
      <c r="D10948" s="41">
        <v>99</v>
      </c>
      <c r="E10948" s="41" t="s">
        <v>310</v>
      </c>
      <c r="F10948" s="41" t="s">
        <v>948</v>
      </c>
      <c r="G10948" s="41">
        <v>6000000</v>
      </c>
      <c r="H10948" s="41">
        <v>145000</v>
      </c>
      <c r="I10948" s="41" t="s">
        <v>949</v>
      </c>
      <c r="J10948" s="42" t="s">
        <v>968</v>
      </c>
    </row>
    <row r="10949" ht="22" customHeight="1" spans="1:10" x14ac:dyDescent="0.25">
      <c r="A10949" s="41">
        <v>4152</v>
      </c>
      <c r="B10949" s="41">
        <v>60</v>
      </c>
      <c r="C10949" s="41" t="s">
        <v>946</v>
      </c>
      <c r="D10949" s="41">
        <v>99</v>
      </c>
      <c r="E10949" s="41" t="s">
        <v>314</v>
      </c>
      <c r="F10949" s="41" t="s">
        <v>948</v>
      </c>
      <c r="G10949" s="41">
        <v>6000000</v>
      </c>
      <c r="H10949" s="41">
        <v>145000</v>
      </c>
      <c r="I10949" s="41" t="s">
        <v>949</v>
      </c>
      <c r="J10949" s="42" t="s">
        <v>968</v>
      </c>
    </row>
    <row r="10950" ht="22" customHeight="1" spans="1:10" x14ac:dyDescent="0.25">
      <c r="A10950" s="41">
        <v>4152</v>
      </c>
      <c r="B10950" s="41">
        <v>60</v>
      </c>
      <c r="C10950" s="41" t="s">
        <v>946</v>
      </c>
      <c r="D10950" s="41">
        <v>99</v>
      </c>
      <c r="E10950" s="41" t="s">
        <v>984</v>
      </c>
      <c r="F10950" s="41" t="s">
        <v>948</v>
      </c>
      <c r="G10950" s="41">
        <v>6000000</v>
      </c>
      <c r="H10950" s="41">
        <v>141000</v>
      </c>
      <c r="I10950" s="41" t="s">
        <v>985</v>
      </c>
      <c r="J10950" s="42" t="s">
        <v>968</v>
      </c>
    </row>
    <row r="10951" spans="1:9" x14ac:dyDescent="0.25">
      <c r="A10951">
        <v>4141</v>
      </c>
      <c r="B10951">
        <v>60</v>
      </c>
      <c r="C10951" t="s">
        <v>946</v>
      </c>
      <c r="D10951" t="s">
        <v>986</v>
      </c>
      <c r="E10951" t="s">
        <v>243</v>
      </c>
      <c r="F10951" t="s">
        <v>948</v>
      </c>
      <c r="G10951">
        <v>6077777</v>
      </c>
      <c r="H10951">
        <v>501010</v>
      </c>
      <c r="I10951">
        <v>70</v>
      </c>
    </row>
    <row r="10952" spans="1:9" x14ac:dyDescent="0.25">
      <c r="A10952">
        <v>4220</v>
      </c>
      <c r="B10952">
        <v>60</v>
      </c>
      <c r="C10952" t="s">
        <v>946</v>
      </c>
      <c r="D10952" t="s">
        <v>986</v>
      </c>
      <c r="E10952" t="s">
        <v>243</v>
      </c>
      <c r="F10952" t="s">
        <v>948</v>
      </c>
      <c r="G10952">
        <v>6077777</v>
      </c>
      <c r="H10952">
        <v>500220</v>
      </c>
      <c r="I10952" t="s">
        <v>949</v>
      </c>
    </row>
    <row r="10953" spans="1:9" x14ac:dyDescent="0.25">
      <c r="A10953">
        <v>4230</v>
      </c>
      <c r="B10953">
        <v>60</v>
      </c>
      <c r="C10953" t="s">
        <v>946</v>
      </c>
      <c r="D10953" t="s">
        <v>986</v>
      </c>
      <c r="E10953" t="s">
        <v>243</v>
      </c>
      <c r="F10953" t="s">
        <v>948</v>
      </c>
      <c r="G10953">
        <v>6099999</v>
      </c>
      <c r="H10953">
        <v>403055</v>
      </c>
      <c r="I10953">
        <v>70</v>
      </c>
    </row>
    <row r="10954" spans="1:9" x14ac:dyDescent="0.25">
      <c r="A10954">
        <v>4240</v>
      </c>
      <c r="B10954">
        <v>60</v>
      </c>
      <c r="C10954" t="s">
        <v>946</v>
      </c>
      <c r="D10954" t="s">
        <v>986</v>
      </c>
      <c r="E10954" t="s">
        <v>243</v>
      </c>
      <c r="F10954" t="s">
        <v>948</v>
      </c>
      <c r="G10954">
        <v>6077777</v>
      </c>
      <c r="H10954">
        <v>500221</v>
      </c>
      <c r="I10954" t="s">
        <v>949</v>
      </c>
    </row>
    <row r="10955" spans="1:9" x14ac:dyDescent="0.25">
      <c r="A10955">
        <v>4141</v>
      </c>
      <c r="B10955">
        <v>60</v>
      </c>
      <c r="C10955" t="s">
        <v>946</v>
      </c>
      <c r="D10955" t="s">
        <v>986</v>
      </c>
      <c r="E10955" t="s">
        <v>247</v>
      </c>
      <c r="F10955" t="s">
        <v>948</v>
      </c>
      <c r="G10955">
        <v>6077777</v>
      </c>
      <c r="H10955">
        <v>501010</v>
      </c>
      <c r="I10955">
        <v>70</v>
      </c>
    </row>
    <row r="10956" spans="1:9" x14ac:dyDescent="0.25">
      <c r="A10956">
        <v>4220</v>
      </c>
      <c r="B10956">
        <v>60</v>
      </c>
      <c r="C10956" t="s">
        <v>946</v>
      </c>
      <c r="D10956" t="s">
        <v>986</v>
      </c>
      <c r="E10956" t="s">
        <v>247</v>
      </c>
      <c r="F10956" t="s">
        <v>948</v>
      </c>
      <c r="G10956">
        <v>6077777</v>
      </c>
      <c r="H10956">
        <v>500220</v>
      </c>
      <c r="I10956" t="s">
        <v>949</v>
      </c>
    </row>
    <row r="10957" spans="1:9" x14ac:dyDescent="0.25">
      <c r="A10957">
        <v>4230</v>
      </c>
      <c r="B10957">
        <v>60</v>
      </c>
      <c r="C10957" t="s">
        <v>946</v>
      </c>
      <c r="D10957" t="s">
        <v>986</v>
      </c>
      <c r="E10957" t="s">
        <v>247</v>
      </c>
      <c r="F10957" t="s">
        <v>948</v>
      </c>
      <c r="G10957">
        <v>6099999</v>
      </c>
      <c r="H10957">
        <v>403025</v>
      </c>
      <c r="I10957">
        <v>70</v>
      </c>
    </row>
    <row r="10958" spans="1:9" x14ac:dyDescent="0.25">
      <c r="A10958">
        <v>4240</v>
      </c>
      <c r="B10958">
        <v>60</v>
      </c>
      <c r="C10958" t="s">
        <v>946</v>
      </c>
      <c r="D10958" t="s">
        <v>986</v>
      </c>
      <c r="E10958" t="s">
        <v>247</v>
      </c>
      <c r="F10958" t="s">
        <v>948</v>
      </c>
      <c r="G10958">
        <v>6077777</v>
      </c>
      <c r="H10958">
        <v>500221</v>
      </c>
      <c r="I10958" t="s">
        <v>949</v>
      </c>
    </row>
    <row r="10959" spans="1:9" x14ac:dyDescent="0.25">
      <c r="A10959">
        <v>4141</v>
      </c>
      <c r="B10959">
        <v>60</v>
      </c>
      <c r="C10959" t="s">
        <v>946</v>
      </c>
      <c r="D10959" t="s">
        <v>986</v>
      </c>
      <c r="E10959" t="s">
        <v>251</v>
      </c>
      <c r="F10959" t="s">
        <v>948</v>
      </c>
      <c r="G10959">
        <v>6077777</v>
      </c>
      <c r="H10959">
        <v>501010</v>
      </c>
      <c r="I10959">
        <v>70</v>
      </c>
    </row>
    <row r="10960" spans="1:9" x14ac:dyDescent="0.25">
      <c r="A10960">
        <v>4220</v>
      </c>
      <c r="B10960">
        <v>60</v>
      </c>
      <c r="C10960" t="s">
        <v>946</v>
      </c>
      <c r="D10960" t="s">
        <v>986</v>
      </c>
      <c r="E10960" t="s">
        <v>251</v>
      </c>
      <c r="F10960" t="s">
        <v>948</v>
      </c>
      <c r="G10960">
        <v>6077777</v>
      </c>
      <c r="H10960">
        <v>500220</v>
      </c>
      <c r="I10960" t="s">
        <v>949</v>
      </c>
    </row>
    <row r="10961" spans="1:9" x14ac:dyDescent="0.25">
      <c r="A10961">
        <v>4230</v>
      </c>
      <c r="B10961">
        <v>60</v>
      </c>
      <c r="C10961" t="s">
        <v>946</v>
      </c>
      <c r="D10961" t="s">
        <v>986</v>
      </c>
      <c r="E10961" t="s">
        <v>251</v>
      </c>
      <c r="F10961" t="s">
        <v>948</v>
      </c>
      <c r="G10961">
        <v>6099999</v>
      </c>
      <c r="H10961">
        <v>403045</v>
      </c>
      <c r="I10961">
        <v>70</v>
      </c>
    </row>
    <row r="10962" spans="1:9" x14ac:dyDescent="0.25">
      <c r="A10962">
        <v>4240</v>
      </c>
      <c r="B10962">
        <v>60</v>
      </c>
      <c r="C10962" t="s">
        <v>946</v>
      </c>
      <c r="D10962" t="s">
        <v>986</v>
      </c>
      <c r="E10962" t="s">
        <v>251</v>
      </c>
      <c r="F10962" t="s">
        <v>948</v>
      </c>
      <c r="G10962">
        <v>6077777</v>
      </c>
      <c r="H10962">
        <v>500221</v>
      </c>
      <c r="I10962" t="s">
        <v>949</v>
      </c>
    </row>
    <row r="10963" spans="1:9" x14ac:dyDescent="0.25">
      <c r="A10963">
        <v>4141</v>
      </c>
      <c r="B10963">
        <v>60</v>
      </c>
      <c r="C10963" t="s">
        <v>946</v>
      </c>
      <c r="D10963" t="s">
        <v>986</v>
      </c>
      <c r="E10963" t="s">
        <v>969</v>
      </c>
      <c r="F10963" t="s">
        <v>948</v>
      </c>
      <c r="G10963">
        <v>6077777</v>
      </c>
      <c r="H10963">
        <v>501010</v>
      </c>
      <c r="I10963">
        <v>70</v>
      </c>
    </row>
    <row r="10964" spans="1:9" x14ac:dyDescent="0.25">
      <c r="A10964">
        <v>4220</v>
      </c>
      <c r="B10964">
        <v>60</v>
      </c>
      <c r="C10964" t="s">
        <v>946</v>
      </c>
      <c r="D10964" t="s">
        <v>986</v>
      </c>
      <c r="E10964" t="s">
        <v>969</v>
      </c>
      <c r="F10964" t="s">
        <v>948</v>
      </c>
      <c r="G10964">
        <v>6077777</v>
      </c>
      <c r="H10964">
        <v>500220</v>
      </c>
      <c r="I10964" t="s">
        <v>949</v>
      </c>
    </row>
    <row r="10965" spans="1:9" x14ac:dyDescent="0.25">
      <c r="A10965">
        <v>4230</v>
      </c>
      <c r="B10965">
        <v>60</v>
      </c>
      <c r="C10965" t="s">
        <v>946</v>
      </c>
      <c r="D10965" t="s">
        <v>986</v>
      </c>
      <c r="E10965" t="s">
        <v>969</v>
      </c>
      <c r="F10965" t="s">
        <v>948</v>
      </c>
      <c r="G10965">
        <v>6099999</v>
      </c>
      <c r="H10965">
        <v>403915</v>
      </c>
      <c r="I10965">
        <v>70</v>
      </c>
    </row>
    <row r="10966" spans="1:9" x14ac:dyDescent="0.25">
      <c r="A10966">
        <v>4240</v>
      </c>
      <c r="B10966">
        <v>60</v>
      </c>
      <c r="C10966" t="s">
        <v>946</v>
      </c>
      <c r="D10966" t="s">
        <v>986</v>
      </c>
      <c r="E10966" t="s">
        <v>969</v>
      </c>
      <c r="F10966" t="s">
        <v>948</v>
      </c>
      <c r="G10966">
        <v>6077777</v>
      </c>
      <c r="H10966">
        <v>500221</v>
      </c>
      <c r="I10966" t="s">
        <v>949</v>
      </c>
    </row>
    <row r="10967" spans="1:9" x14ac:dyDescent="0.25">
      <c r="A10967">
        <v>4141</v>
      </c>
      <c r="B10967">
        <v>60</v>
      </c>
      <c r="C10967" t="s">
        <v>946</v>
      </c>
      <c r="D10967" t="s">
        <v>986</v>
      </c>
      <c r="E10967" t="s">
        <v>255</v>
      </c>
      <c r="F10967" t="s">
        <v>948</v>
      </c>
      <c r="G10967">
        <v>6077777</v>
      </c>
      <c r="H10967">
        <v>501010</v>
      </c>
      <c r="I10967">
        <v>70</v>
      </c>
    </row>
    <row r="10968" spans="1:9" x14ac:dyDescent="0.25">
      <c r="A10968">
        <v>4220</v>
      </c>
      <c r="B10968">
        <v>60</v>
      </c>
      <c r="C10968" t="s">
        <v>946</v>
      </c>
      <c r="D10968" t="s">
        <v>986</v>
      </c>
      <c r="E10968" t="s">
        <v>255</v>
      </c>
      <c r="F10968" t="s">
        <v>948</v>
      </c>
      <c r="G10968">
        <v>6077777</v>
      </c>
      <c r="H10968">
        <v>500220</v>
      </c>
      <c r="I10968" t="s">
        <v>949</v>
      </c>
    </row>
    <row r="10969" spans="1:9" x14ac:dyDescent="0.25">
      <c r="A10969">
        <v>4230</v>
      </c>
      <c r="B10969">
        <v>60</v>
      </c>
      <c r="C10969" t="s">
        <v>946</v>
      </c>
      <c r="D10969" t="s">
        <v>986</v>
      </c>
      <c r="E10969" t="s">
        <v>255</v>
      </c>
      <c r="F10969" t="s">
        <v>948</v>
      </c>
      <c r="G10969">
        <v>6099999</v>
      </c>
      <c r="H10969">
        <v>403075</v>
      </c>
      <c r="I10969">
        <v>70</v>
      </c>
    </row>
    <row r="10970" spans="1:9" x14ac:dyDescent="0.25">
      <c r="A10970">
        <v>4240</v>
      </c>
      <c r="B10970">
        <v>60</v>
      </c>
      <c r="C10970" t="s">
        <v>946</v>
      </c>
      <c r="D10970" t="s">
        <v>986</v>
      </c>
      <c r="E10970" t="s">
        <v>255</v>
      </c>
      <c r="F10970" t="s">
        <v>948</v>
      </c>
      <c r="G10970">
        <v>6077777</v>
      </c>
      <c r="H10970">
        <v>500221</v>
      </c>
      <c r="I10970" t="s">
        <v>949</v>
      </c>
    </row>
    <row r="10971" spans="1:9" x14ac:dyDescent="0.25">
      <c r="A10971">
        <v>4141</v>
      </c>
      <c r="B10971">
        <v>60</v>
      </c>
      <c r="C10971" t="s">
        <v>946</v>
      </c>
      <c r="D10971" t="s">
        <v>986</v>
      </c>
      <c r="E10971" t="s">
        <v>971</v>
      </c>
      <c r="F10971" t="s">
        <v>948</v>
      </c>
      <c r="G10971">
        <v>6077777</v>
      </c>
      <c r="H10971">
        <v>501010</v>
      </c>
      <c r="I10971">
        <v>70</v>
      </c>
    </row>
    <row r="10972" spans="1:9" x14ac:dyDescent="0.25">
      <c r="A10972">
        <v>4220</v>
      </c>
      <c r="B10972">
        <v>60</v>
      </c>
      <c r="C10972" t="s">
        <v>946</v>
      </c>
      <c r="D10972" t="s">
        <v>986</v>
      </c>
      <c r="E10972" t="s">
        <v>971</v>
      </c>
      <c r="F10972" t="s">
        <v>948</v>
      </c>
      <c r="G10972">
        <v>6077777</v>
      </c>
      <c r="H10972">
        <v>500220</v>
      </c>
      <c r="I10972" t="s">
        <v>949</v>
      </c>
    </row>
    <row r="10973" spans="1:9" x14ac:dyDescent="0.25">
      <c r="A10973">
        <v>4230</v>
      </c>
      <c r="B10973">
        <v>60</v>
      </c>
      <c r="C10973" t="s">
        <v>946</v>
      </c>
      <c r="D10973" t="s">
        <v>986</v>
      </c>
      <c r="E10973" t="s">
        <v>971</v>
      </c>
      <c r="F10973" t="s">
        <v>948</v>
      </c>
      <c r="G10973">
        <v>6099999</v>
      </c>
      <c r="H10973">
        <v>403915</v>
      </c>
      <c r="I10973">
        <v>70</v>
      </c>
    </row>
    <row r="10974" spans="1:9" x14ac:dyDescent="0.25">
      <c r="A10974">
        <v>4240</v>
      </c>
      <c r="B10974">
        <v>60</v>
      </c>
      <c r="C10974" t="s">
        <v>946</v>
      </c>
      <c r="D10974" t="s">
        <v>986</v>
      </c>
      <c r="E10974" t="s">
        <v>971</v>
      </c>
      <c r="F10974" t="s">
        <v>948</v>
      </c>
      <c r="G10974">
        <v>6077777</v>
      </c>
      <c r="H10974">
        <v>500221</v>
      </c>
      <c r="I10974" t="s">
        <v>949</v>
      </c>
    </row>
    <row r="10975" spans="1:9" x14ac:dyDescent="0.25">
      <c r="A10975">
        <v>4230</v>
      </c>
      <c r="B10975">
        <v>60</v>
      </c>
      <c r="C10975" t="s">
        <v>946</v>
      </c>
      <c r="D10975" t="s">
        <v>986</v>
      </c>
      <c r="E10975" t="s">
        <v>259</v>
      </c>
      <c r="F10975" t="s">
        <v>948</v>
      </c>
      <c r="G10975">
        <v>6099999</v>
      </c>
      <c r="H10975">
        <v>409005</v>
      </c>
      <c r="I10975">
        <v>70</v>
      </c>
    </row>
    <row r="10976" spans="1:9" x14ac:dyDescent="0.25">
      <c r="A10976">
        <v>4141</v>
      </c>
      <c r="B10976">
        <v>60</v>
      </c>
      <c r="C10976" t="s">
        <v>946</v>
      </c>
      <c r="D10976" t="s">
        <v>986</v>
      </c>
      <c r="E10976" t="s">
        <v>263</v>
      </c>
      <c r="F10976" t="s">
        <v>948</v>
      </c>
      <c r="G10976">
        <v>6077777</v>
      </c>
      <c r="H10976">
        <v>501010</v>
      </c>
      <c r="I10976">
        <v>70</v>
      </c>
    </row>
    <row r="10977" spans="1:9" x14ac:dyDescent="0.25">
      <c r="A10977">
        <v>4220</v>
      </c>
      <c r="B10977">
        <v>60</v>
      </c>
      <c r="C10977" t="s">
        <v>946</v>
      </c>
      <c r="D10977" t="s">
        <v>986</v>
      </c>
      <c r="E10977" t="s">
        <v>263</v>
      </c>
      <c r="F10977" t="s">
        <v>948</v>
      </c>
      <c r="G10977">
        <v>6077777</v>
      </c>
      <c r="H10977">
        <v>500220</v>
      </c>
      <c r="I10977" t="s">
        <v>949</v>
      </c>
    </row>
    <row r="10978" spans="1:9" x14ac:dyDescent="0.25">
      <c r="A10978">
        <v>4230</v>
      </c>
      <c r="B10978">
        <v>60</v>
      </c>
      <c r="C10978" t="s">
        <v>946</v>
      </c>
      <c r="D10978" t="s">
        <v>986</v>
      </c>
      <c r="E10978" t="s">
        <v>263</v>
      </c>
      <c r="F10978" t="s">
        <v>948</v>
      </c>
      <c r="G10978">
        <v>6099999</v>
      </c>
      <c r="H10978">
        <v>403045</v>
      </c>
      <c r="I10978">
        <v>70</v>
      </c>
    </row>
    <row r="10979" spans="1:9" x14ac:dyDescent="0.25">
      <c r="A10979">
        <v>4240</v>
      </c>
      <c r="B10979">
        <v>60</v>
      </c>
      <c r="C10979" t="s">
        <v>946</v>
      </c>
      <c r="D10979" t="s">
        <v>986</v>
      </c>
      <c r="E10979" t="s">
        <v>263</v>
      </c>
      <c r="F10979" t="s">
        <v>948</v>
      </c>
      <c r="G10979">
        <v>6077777</v>
      </c>
      <c r="H10979">
        <v>500221</v>
      </c>
      <c r="I10979" t="s">
        <v>949</v>
      </c>
    </row>
    <row r="10980" spans="1:9" x14ac:dyDescent="0.25">
      <c r="A10980">
        <v>4141</v>
      </c>
      <c r="B10980">
        <v>60</v>
      </c>
      <c r="C10980" t="s">
        <v>946</v>
      </c>
      <c r="D10980" t="s">
        <v>986</v>
      </c>
      <c r="E10980" t="s">
        <v>100</v>
      </c>
      <c r="F10980" t="s">
        <v>948</v>
      </c>
      <c r="G10980">
        <v>6077777</v>
      </c>
      <c r="H10980">
        <v>500220</v>
      </c>
      <c r="I10980" t="s">
        <v>949</v>
      </c>
    </row>
    <row r="10981" spans="1:9" x14ac:dyDescent="0.25">
      <c r="A10981">
        <v>4220</v>
      </c>
      <c r="B10981">
        <v>60</v>
      </c>
      <c r="C10981" t="s">
        <v>946</v>
      </c>
      <c r="D10981" t="s">
        <v>986</v>
      </c>
      <c r="E10981" t="s">
        <v>100</v>
      </c>
      <c r="F10981" t="s">
        <v>948</v>
      </c>
      <c r="G10981">
        <v>6077777</v>
      </c>
      <c r="H10981">
        <v>500220</v>
      </c>
      <c r="I10981" t="s">
        <v>949</v>
      </c>
    </row>
    <row r="10982" spans="1:9" x14ac:dyDescent="0.25">
      <c r="A10982">
        <v>4230</v>
      </c>
      <c r="B10982">
        <v>60</v>
      </c>
      <c r="C10982" t="s">
        <v>946</v>
      </c>
      <c r="D10982" t="s">
        <v>986</v>
      </c>
      <c r="E10982" t="s">
        <v>100</v>
      </c>
      <c r="F10982" t="s">
        <v>948</v>
      </c>
      <c r="G10982">
        <v>6099999</v>
      </c>
      <c r="H10982">
        <v>403045</v>
      </c>
      <c r="I10982">
        <v>70</v>
      </c>
    </row>
    <row r="10983" spans="1:9" x14ac:dyDescent="0.25">
      <c r="A10983">
        <v>4240</v>
      </c>
      <c r="B10983">
        <v>60</v>
      </c>
      <c r="C10983" t="s">
        <v>946</v>
      </c>
      <c r="D10983" t="s">
        <v>986</v>
      </c>
      <c r="E10983" t="s">
        <v>100</v>
      </c>
      <c r="F10983" t="s">
        <v>948</v>
      </c>
      <c r="G10983">
        <v>6077777</v>
      </c>
      <c r="H10983">
        <v>500221</v>
      </c>
      <c r="I10983" t="s">
        <v>949</v>
      </c>
    </row>
    <row r="10984" spans="1:9" x14ac:dyDescent="0.25">
      <c r="A10984">
        <v>4141</v>
      </c>
      <c r="B10984">
        <v>60</v>
      </c>
      <c r="C10984" t="s">
        <v>946</v>
      </c>
      <c r="D10984" t="s">
        <v>986</v>
      </c>
      <c r="E10984" t="s">
        <v>270</v>
      </c>
      <c r="F10984" t="s">
        <v>948</v>
      </c>
      <c r="G10984">
        <v>6077777</v>
      </c>
      <c r="H10984">
        <v>501010</v>
      </c>
      <c r="I10984">
        <v>70</v>
      </c>
    </row>
    <row r="10985" spans="1:9" x14ac:dyDescent="0.25">
      <c r="A10985">
        <v>4220</v>
      </c>
      <c r="B10985">
        <v>60</v>
      </c>
      <c r="C10985" t="s">
        <v>946</v>
      </c>
      <c r="D10985" t="s">
        <v>986</v>
      </c>
      <c r="E10985" t="s">
        <v>270</v>
      </c>
      <c r="F10985" t="s">
        <v>948</v>
      </c>
      <c r="G10985">
        <v>6077777</v>
      </c>
      <c r="H10985">
        <v>500220</v>
      </c>
      <c r="I10985" t="s">
        <v>949</v>
      </c>
    </row>
    <row r="10986" spans="1:9" x14ac:dyDescent="0.25">
      <c r="A10986">
        <v>4230</v>
      </c>
      <c r="B10986">
        <v>60</v>
      </c>
      <c r="C10986" t="s">
        <v>946</v>
      </c>
      <c r="D10986" t="s">
        <v>986</v>
      </c>
      <c r="E10986" t="s">
        <v>270</v>
      </c>
      <c r="F10986" t="s">
        <v>948</v>
      </c>
      <c r="G10986">
        <v>6099999</v>
      </c>
      <c r="H10986">
        <v>403065</v>
      </c>
      <c r="I10986">
        <v>70</v>
      </c>
    </row>
    <row r="10987" spans="1:9" x14ac:dyDescent="0.25">
      <c r="A10987">
        <v>4240</v>
      </c>
      <c r="B10987">
        <v>60</v>
      </c>
      <c r="C10987" t="s">
        <v>946</v>
      </c>
      <c r="D10987" t="s">
        <v>986</v>
      </c>
      <c r="E10987" t="s">
        <v>270</v>
      </c>
      <c r="F10987" t="s">
        <v>948</v>
      </c>
      <c r="G10987">
        <v>6077777</v>
      </c>
      <c r="H10987">
        <v>500221</v>
      </c>
      <c r="I10987" t="s">
        <v>949</v>
      </c>
    </row>
    <row r="10988" spans="1:9" x14ac:dyDescent="0.25">
      <c r="A10988">
        <v>4141</v>
      </c>
      <c r="B10988">
        <v>60</v>
      </c>
      <c r="C10988" t="s">
        <v>946</v>
      </c>
      <c r="D10988" t="s">
        <v>986</v>
      </c>
      <c r="E10988" t="s">
        <v>274</v>
      </c>
      <c r="F10988" t="s">
        <v>948</v>
      </c>
      <c r="G10988">
        <v>6077777</v>
      </c>
      <c r="H10988">
        <v>501010</v>
      </c>
      <c r="I10988">
        <v>70</v>
      </c>
    </row>
    <row r="10989" spans="1:9" x14ac:dyDescent="0.25">
      <c r="A10989">
        <v>4220</v>
      </c>
      <c r="B10989">
        <v>60</v>
      </c>
      <c r="C10989" t="s">
        <v>946</v>
      </c>
      <c r="D10989" t="s">
        <v>986</v>
      </c>
      <c r="E10989" t="s">
        <v>274</v>
      </c>
      <c r="F10989" t="s">
        <v>948</v>
      </c>
      <c r="G10989">
        <v>6077777</v>
      </c>
      <c r="H10989">
        <v>500220</v>
      </c>
      <c r="I10989" t="s">
        <v>949</v>
      </c>
    </row>
    <row r="10990" spans="1:9" x14ac:dyDescent="0.25">
      <c r="A10990">
        <v>4230</v>
      </c>
      <c r="B10990">
        <v>60</v>
      </c>
      <c r="C10990" t="s">
        <v>946</v>
      </c>
      <c r="D10990" t="s">
        <v>986</v>
      </c>
      <c r="E10990" t="s">
        <v>274</v>
      </c>
      <c r="F10990" t="s">
        <v>948</v>
      </c>
      <c r="G10990">
        <v>6099999</v>
      </c>
      <c r="H10990">
        <v>403045</v>
      </c>
      <c r="I10990">
        <v>70</v>
      </c>
    </row>
    <row r="10991" spans="1:9" x14ac:dyDescent="0.25">
      <c r="A10991">
        <v>4240</v>
      </c>
      <c r="B10991">
        <v>60</v>
      </c>
      <c r="C10991" t="s">
        <v>946</v>
      </c>
      <c r="D10991" t="s">
        <v>986</v>
      </c>
      <c r="E10991" t="s">
        <v>274</v>
      </c>
      <c r="F10991" t="s">
        <v>948</v>
      </c>
      <c r="G10991">
        <v>6077777</v>
      </c>
      <c r="H10991">
        <v>500221</v>
      </c>
      <c r="I10991" t="s">
        <v>949</v>
      </c>
    </row>
    <row r="10992" spans="1:9" x14ac:dyDescent="0.25">
      <c r="A10992">
        <v>4141</v>
      </c>
      <c r="B10992">
        <v>60</v>
      </c>
      <c r="C10992" t="s">
        <v>946</v>
      </c>
      <c r="D10992" t="s">
        <v>986</v>
      </c>
      <c r="E10992" t="s">
        <v>974</v>
      </c>
      <c r="F10992" t="s">
        <v>948</v>
      </c>
      <c r="G10992">
        <v>6077777</v>
      </c>
      <c r="H10992">
        <v>501010</v>
      </c>
      <c r="I10992">
        <v>70</v>
      </c>
    </row>
    <row r="10993" spans="1:9" x14ac:dyDescent="0.25">
      <c r="A10993">
        <v>4220</v>
      </c>
      <c r="B10993">
        <v>60</v>
      </c>
      <c r="C10993" t="s">
        <v>946</v>
      </c>
      <c r="D10993" t="s">
        <v>986</v>
      </c>
      <c r="E10993" t="s">
        <v>974</v>
      </c>
      <c r="F10993" t="s">
        <v>948</v>
      </c>
      <c r="G10993">
        <v>6077777</v>
      </c>
      <c r="H10993">
        <v>500220</v>
      </c>
      <c r="I10993" t="s">
        <v>949</v>
      </c>
    </row>
    <row r="10994" spans="1:9" x14ac:dyDescent="0.25">
      <c r="A10994">
        <v>4230</v>
      </c>
      <c r="B10994">
        <v>60</v>
      </c>
      <c r="C10994" t="s">
        <v>946</v>
      </c>
      <c r="D10994" t="s">
        <v>986</v>
      </c>
      <c r="E10994" t="s">
        <v>974</v>
      </c>
      <c r="F10994" t="s">
        <v>948</v>
      </c>
      <c r="G10994">
        <v>6099999</v>
      </c>
      <c r="H10994">
        <v>403915</v>
      </c>
      <c r="I10994">
        <v>70</v>
      </c>
    </row>
    <row r="10995" spans="1:9" x14ac:dyDescent="0.25">
      <c r="A10995">
        <v>4240</v>
      </c>
      <c r="B10995">
        <v>60</v>
      </c>
      <c r="C10995" t="s">
        <v>946</v>
      </c>
      <c r="D10995" t="s">
        <v>986</v>
      </c>
      <c r="E10995" t="s">
        <v>974</v>
      </c>
      <c r="F10995" t="s">
        <v>948</v>
      </c>
      <c r="G10995">
        <v>6077777</v>
      </c>
      <c r="H10995">
        <v>500221</v>
      </c>
      <c r="I10995" t="s">
        <v>949</v>
      </c>
    </row>
    <row r="10996" spans="1:9" x14ac:dyDescent="0.25">
      <c r="A10996">
        <v>4141</v>
      </c>
      <c r="B10996">
        <v>60</v>
      </c>
      <c r="C10996" t="s">
        <v>946</v>
      </c>
      <c r="D10996" t="s">
        <v>986</v>
      </c>
      <c r="E10996" t="s">
        <v>104</v>
      </c>
      <c r="F10996" t="s">
        <v>948</v>
      </c>
      <c r="G10996">
        <v>6077777</v>
      </c>
      <c r="H10996">
        <v>500220</v>
      </c>
      <c r="I10996" t="s">
        <v>949</v>
      </c>
    </row>
    <row r="10997" spans="1:9" x14ac:dyDescent="0.25">
      <c r="A10997">
        <v>4220</v>
      </c>
      <c r="B10997">
        <v>60</v>
      </c>
      <c r="C10997" t="s">
        <v>946</v>
      </c>
      <c r="D10997" t="s">
        <v>986</v>
      </c>
      <c r="E10997" t="s">
        <v>104</v>
      </c>
      <c r="F10997" t="s">
        <v>948</v>
      </c>
      <c r="G10997">
        <v>6077777</v>
      </c>
      <c r="H10997">
        <v>500220</v>
      </c>
      <c r="I10997" t="s">
        <v>949</v>
      </c>
    </row>
    <row r="10998" spans="1:9" x14ac:dyDescent="0.25">
      <c r="A10998">
        <v>4230</v>
      </c>
      <c r="B10998">
        <v>60</v>
      </c>
      <c r="C10998" t="s">
        <v>946</v>
      </c>
      <c r="D10998" t="s">
        <v>986</v>
      </c>
      <c r="E10998" t="s">
        <v>104</v>
      </c>
      <c r="F10998" t="s">
        <v>948</v>
      </c>
      <c r="G10998">
        <v>6099999</v>
      </c>
      <c r="H10998">
        <v>403045</v>
      </c>
      <c r="I10998">
        <v>70</v>
      </c>
    </row>
    <row r="10999" spans="1:9" x14ac:dyDescent="0.25">
      <c r="A10999">
        <v>4240</v>
      </c>
      <c r="B10999">
        <v>60</v>
      </c>
      <c r="C10999" t="s">
        <v>946</v>
      </c>
      <c r="D10999" t="s">
        <v>986</v>
      </c>
      <c r="E10999" t="s">
        <v>104</v>
      </c>
      <c r="F10999" t="s">
        <v>948</v>
      </c>
      <c r="G10999">
        <v>6077777</v>
      </c>
      <c r="H10999">
        <v>500221</v>
      </c>
      <c r="I10999" t="s">
        <v>949</v>
      </c>
    </row>
    <row r="11000" spans="1:9" x14ac:dyDescent="0.25">
      <c r="A11000">
        <v>4141</v>
      </c>
      <c r="B11000">
        <v>60</v>
      </c>
      <c r="C11000" t="s">
        <v>946</v>
      </c>
      <c r="D11000" t="s">
        <v>986</v>
      </c>
      <c r="E11000" t="s">
        <v>278</v>
      </c>
      <c r="F11000" t="s">
        <v>948</v>
      </c>
      <c r="G11000">
        <v>6077777</v>
      </c>
      <c r="H11000">
        <v>501010</v>
      </c>
      <c r="I11000">
        <v>70</v>
      </c>
    </row>
    <row r="11001" spans="1:9" x14ac:dyDescent="0.25">
      <c r="A11001">
        <v>4220</v>
      </c>
      <c r="B11001">
        <v>60</v>
      </c>
      <c r="C11001" t="s">
        <v>946</v>
      </c>
      <c r="D11001" t="s">
        <v>986</v>
      </c>
      <c r="E11001" t="s">
        <v>278</v>
      </c>
      <c r="F11001" t="s">
        <v>948</v>
      </c>
      <c r="G11001">
        <v>6077777</v>
      </c>
      <c r="H11001">
        <v>500220</v>
      </c>
      <c r="I11001" t="s">
        <v>949</v>
      </c>
    </row>
    <row r="11002" spans="1:9" x14ac:dyDescent="0.25">
      <c r="A11002">
        <v>4230</v>
      </c>
      <c r="B11002">
        <v>60</v>
      </c>
      <c r="C11002" t="s">
        <v>946</v>
      </c>
      <c r="D11002" t="s">
        <v>986</v>
      </c>
      <c r="E11002" t="s">
        <v>278</v>
      </c>
      <c r="F11002" t="s">
        <v>948</v>
      </c>
      <c r="G11002">
        <v>6099999</v>
      </c>
      <c r="H11002">
        <v>403055</v>
      </c>
      <c r="I11002">
        <v>70</v>
      </c>
    </row>
    <row r="11003" spans="1:9" x14ac:dyDescent="0.25">
      <c r="A11003">
        <v>4240</v>
      </c>
      <c r="B11003">
        <v>60</v>
      </c>
      <c r="C11003" t="s">
        <v>946</v>
      </c>
      <c r="D11003" t="s">
        <v>986</v>
      </c>
      <c r="E11003" t="s">
        <v>278</v>
      </c>
      <c r="F11003" t="s">
        <v>948</v>
      </c>
      <c r="G11003">
        <v>6077777</v>
      </c>
      <c r="H11003">
        <v>500221</v>
      </c>
      <c r="I11003" t="s">
        <v>949</v>
      </c>
    </row>
    <row r="11004" spans="1:9" x14ac:dyDescent="0.25">
      <c r="A11004">
        <v>4141</v>
      </c>
      <c r="B11004">
        <v>60</v>
      </c>
      <c r="C11004" t="s">
        <v>946</v>
      </c>
      <c r="D11004" t="s">
        <v>986</v>
      </c>
      <c r="E11004" t="s">
        <v>282</v>
      </c>
      <c r="F11004" t="s">
        <v>948</v>
      </c>
      <c r="G11004">
        <v>6077777</v>
      </c>
      <c r="H11004">
        <v>501010</v>
      </c>
      <c r="I11004">
        <v>70</v>
      </c>
    </row>
    <row r="11005" spans="1:9" x14ac:dyDescent="0.25">
      <c r="A11005">
        <v>4220</v>
      </c>
      <c r="B11005">
        <v>60</v>
      </c>
      <c r="C11005" t="s">
        <v>946</v>
      </c>
      <c r="D11005" t="s">
        <v>986</v>
      </c>
      <c r="E11005" t="s">
        <v>282</v>
      </c>
      <c r="F11005" t="s">
        <v>948</v>
      </c>
      <c r="G11005">
        <v>6077777</v>
      </c>
      <c r="H11005">
        <v>500220</v>
      </c>
      <c r="I11005" t="s">
        <v>949</v>
      </c>
    </row>
    <row r="11006" spans="1:9" x14ac:dyDescent="0.25">
      <c r="A11006">
        <v>4230</v>
      </c>
      <c r="B11006">
        <v>60</v>
      </c>
      <c r="C11006" t="s">
        <v>946</v>
      </c>
      <c r="D11006" t="s">
        <v>986</v>
      </c>
      <c r="E11006" t="s">
        <v>282</v>
      </c>
      <c r="F11006" t="s">
        <v>948</v>
      </c>
      <c r="G11006">
        <v>6099999</v>
      </c>
      <c r="H11006">
        <v>403045</v>
      </c>
      <c r="I11006">
        <v>70</v>
      </c>
    </row>
    <row r="11007" spans="1:9" x14ac:dyDescent="0.25">
      <c r="A11007">
        <v>4240</v>
      </c>
      <c r="B11007">
        <v>60</v>
      </c>
      <c r="C11007" t="s">
        <v>946</v>
      </c>
      <c r="D11007" t="s">
        <v>986</v>
      </c>
      <c r="E11007" t="s">
        <v>282</v>
      </c>
      <c r="F11007" t="s">
        <v>948</v>
      </c>
      <c r="G11007">
        <v>6077777</v>
      </c>
      <c r="H11007">
        <v>500221</v>
      </c>
      <c r="I11007" t="s">
        <v>949</v>
      </c>
    </row>
    <row r="11008" spans="1:9" x14ac:dyDescent="0.25">
      <c r="A11008">
        <v>4141</v>
      </c>
      <c r="B11008">
        <v>60</v>
      </c>
      <c r="C11008" t="s">
        <v>946</v>
      </c>
      <c r="D11008" t="s">
        <v>986</v>
      </c>
      <c r="E11008" t="s">
        <v>286</v>
      </c>
      <c r="F11008" t="s">
        <v>948</v>
      </c>
      <c r="G11008">
        <v>6077777</v>
      </c>
      <c r="H11008">
        <v>501010</v>
      </c>
      <c r="I11008">
        <v>70</v>
      </c>
    </row>
    <row r="11009" spans="1:9" x14ac:dyDescent="0.25">
      <c r="A11009">
        <v>4220</v>
      </c>
      <c r="B11009">
        <v>60</v>
      </c>
      <c r="C11009" t="s">
        <v>946</v>
      </c>
      <c r="D11009" t="s">
        <v>986</v>
      </c>
      <c r="E11009" t="s">
        <v>286</v>
      </c>
      <c r="F11009" t="s">
        <v>948</v>
      </c>
      <c r="G11009">
        <v>6077777</v>
      </c>
      <c r="H11009">
        <v>500220</v>
      </c>
      <c r="I11009" t="s">
        <v>949</v>
      </c>
    </row>
    <row r="11010" spans="1:9" x14ac:dyDescent="0.25">
      <c r="A11010">
        <v>4230</v>
      </c>
      <c r="B11010">
        <v>60</v>
      </c>
      <c r="C11010" t="s">
        <v>946</v>
      </c>
      <c r="D11010" t="s">
        <v>986</v>
      </c>
      <c r="E11010" t="s">
        <v>286</v>
      </c>
      <c r="F11010" t="s">
        <v>948</v>
      </c>
      <c r="G11010">
        <v>6099999</v>
      </c>
      <c r="H11010">
        <v>403035</v>
      </c>
      <c r="I11010">
        <v>70</v>
      </c>
    </row>
    <row r="11011" spans="1:9" x14ac:dyDescent="0.25">
      <c r="A11011">
        <v>4240</v>
      </c>
      <c r="B11011">
        <v>60</v>
      </c>
      <c r="C11011" t="s">
        <v>946</v>
      </c>
      <c r="D11011" t="s">
        <v>986</v>
      </c>
      <c r="E11011" t="s">
        <v>286</v>
      </c>
      <c r="F11011" t="s">
        <v>948</v>
      </c>
      <c r="G11011">
        <v>6077777</v>
      </c>
      <c r="H11011">
        <v>500221</v>
      </c>
      <c r="I11011" t="s">
        <v>949</v>
      </c>
    </row>
    <row r="11012" spans="1:9" x14ac:dyDescent="0.25">
      <c r="A11012">
        <v>4141</v>
      </c>
      <c r="B11012">
        <v>60</v>
      </c>
      <c r="C11012" t="s">
        <v>946</v>
      </c>
      <c r="D11012" t="s">
        <v>986</v>
      </c>
      <c r="E11012" t="s">
        <v>976</v>
      </c>
      <c r="F11012" t="s">
        <v>948</v>
      </c>
      <c r="G11012">
        <v>6077777</v>
      </c>
      <c r="H11012">
        <v>501010</v>
      </c>
      <c r="I11012">
        <v>70</v>
      </c>
    </row>
    <row r="11013" spans="1:9" x14ac:dyDescent="0.25">
      <c r="A11013">
        <v>4220</v>
      </c>
      <c r="B11013">
        <v>60</v>
      </c>
      <c r="C11013" t="s">
        <v>946</v>
      </c>
      <c r="D11013" t="s">
        <v>986</v>
      </c>
      <c r="E11013" t="s">
        <v>976</v>
      </c>
      <c r="F11013" t="s">
        <v>948</v>
      </c>
      <c r="G11013">
        <v>6077777</v>
      </c>
      <c r="H11013">
        <v>500220</v>
      </c>
      <c r="I11013" t="s">
        <v>949</v>
      </c>
    </row>
    <row r="11014" spans="1:9" x14ac:dyDescent="0.25">
      <c r="A11014">
        <v>4230</v>
      </c>
      <c r="B11014">
        <v>60</v>
      </c>
      <c r="C11014" t="s">
        <v>946</v>
      </c>
      <c r="D11014" t="s">
        <v>986</v>
      </c>
      <c r="E11014" t="s">
        <v>976</v>
      </c>
      <c r="F11014" t="s">
        <v>948</v>
      </c>
      <c r="G11014">
        <v>6099999</v>
      </c>
      <c r="H11014">
        <v>403915</v>
      </c>
      <c r="I11014">
        <v>70</v>
      </c>
    </row>
    <row r="11015" spans="1:9" x14ac:dyDescent="0.25">
      <c r="A11015">
        <v>4240</v>
      </c>
      <c r="B11015">
        <v>60</v>
      </c>
      <c r="C11015" t="s">
        <v>946</v>
      </c>
      <c r="D11015" t="s">
        <v>986</v>
      </c>
      <c r="E11015" t="s">
        <v>976</v>
      </c>
      <c r="F11015" t="s">
        <v>948</v>
      </c>
      <c r="G11015">
        <v>6077777</v>
      </c>
      <c r="H11015">
        <v>500221</v>
      </c>
      <c r="I11015" t="s">
        <v>949</v>
      </c>
    </row>
    <row r="11016" spans="1:9" x14ac:dyDescent="0.25">
      <c r="A11016">
        <v>4141</v>
      </c>
      <c r="B11016">
        <v>60</v>
      </c>
      <c r="C11016" t="s">
        <v>946</v>
      </c>
      <c r="D11016" t="s">
        <v>986</v>
      </c>
      <c r="E11016" t="s">
        <v>290</v>
      </c>
      <c r="F11016" t="s">
        <v>948</v>
      </c>
      <c r="G11016">
        <v>6077777</v>
      </c>
      <c r="H11016">
        <v>501010</v>
      </c>
      <c r="I11016">
        <v>70</v>
      </c>
    </row>
    <row r="11017" spans="1:9" x14ac:dyDescent="0.25">
      <c r="A11017">
        <v>4220</v>
      </c>
      <c r="B11017">
        <v>60</v>
      </c>
      <c r="C11017" t="s">
        <v>946</v>
      </c>
      <c r="D11017" t="s">
        <v>986</v>
      </c>
      <c r="E11017" t="s">
        <v>290</v>
      </c>
      <c r="F11017" t="s">
        <v>948</v>
      </c>
      <c r="G11017">
        <v>6077777</v>
      </c>
      <c r="H11017">
        <v>500220</v>
      </c>
      <c r="I11017" t="s">
        <v>949</v>
      </c>
    </row>
    <row r="11018" spans="1:9" x14ac:dyDescent="0.25">
      <c r="A11018">
        <v>4230</v>
      </c>
      <c r="B11018">
        <v>60</v>
      </c>
      <c r="C11018" t="s">
        <v>946</v>
      </c>
      <c r="D11018" t="s">
        <v>986</v>
      </c>
      <c r="E11018" t="s">
        <v>290</v>
      </c>
      <c r="F11018" t="s">
        <v>948</v>
      </c>
      <c r="G11018">
        <v>6099999</v>
      </c>
      <c r="H11018">
        <v>403045</v>
      </c>
      <c r="I11018">
        <v>70</v>
      </c>
    </row>
    <row r="11019" spans="1:9" x14ac:dyDescent="0.25">
      <c r="A11019">
        <v>4240</v>
      </c>
      <c r="B11019">
        <v>60</v>
      </c>
      <c r="C11019" t="s">
        <v>946</v>
      </c>
      <c r="D11019" t="s">
        <v>986</v>
      </c>
      <c r="E11019" t="s">
        <v>290</v>
      </c>
      <c r="F11019" t="s">
        <v>948</v>
      </c>
      <c r="G11019">
        <v>6077777</v>
      </c>
      <c r="H11019">
        <v>500221</v>
      </c>
      <c r="I11019" t="s">
        <v>949</v>
      </c>
    </row>
    <row r="11020" spans="1:9" x14ac:dyDescent="0.25">
      <c r="A11020">
        <v>4141</v>
      </c>
      <c r="B11020">
        <v>60</v>
      </c>
      <c r="C11020" t="s">
        <v>946</v>
      </c>
      <c r="D11020" t="s">
        <v>986</v>
      </c>
      <c r="E11020" t="s">
        <v>294</v>
      </c>
      <c r="F11020" t="s">
        <v>948</v>
      </c>
      <c r="G11020">
        <v>6077777</v>
      </c>
      <c r="H11020">
        <v>501010</v>
      </c>
      <c r="I11020">
        <v>70</v>
      </c>
    </row>
    <row r="11021" spans="1:9" x14ac:dyDescent="0.25">
      <c r="A11021">
        <v>4220</v>
      </c>
      <c r="B11021">
        <v>60</v>
      </c>
      <c r="C11021" t="s">
        <v>946</v>
      </c>
      <c r="D11021" t="s">
        <v>986</v>
      </c>
      <c r="E11021" t="s">
        <v>294</v>
      </c>
      <c r="F11021" t="s">
        <v>948</v>
      </c>
      <c r="G11021">
        <v>6077777</v>
      </c>
      <c r="H11021">
        <v>500220</v>
      </c>
      <c r="I11021" t="s">
        <v>949</v>
      </c>
    </row>
    <row r="11022" spans="1:9" x14ac:dyDescent="0.25">
      <c r="A11022">
        <v>4230</v>
      </c>
      <c r="B11022">
        <v>60</v>
      </c>
      <c r="C11022" t="s">
        <v>946</v>
      </c>
      <c r="D11022" t="s">
        <v>986</v>
      </c>
      <c r="E11022" t="s">
        <v>294</v>
      </c>
      <c r="F11022" t="s">
        <v>948</v>
      </c>
      <c r="G11022">
        <v>6099999</v>
      </c>
      <c r="H11022">
        <v>403045</v>
      </c>
      <c r="I11022">
        <v>70</v>
      </c>
    </row>
    <row r="11023" spans="1:9" x14ac:dyDescent="0.25">
      <c r="A11023">
        <v>4240</v>
      </c>
      <c r="B11023">
        <v>60</v>
      </c>
      <c r="C11023" t="s">
        <v>946</v>
      </c>
      <c r="D11023" t="s">
        <v>986</v>
      </c>
      <c r="E11023" t="s">
        <v>294</v>
      </c>
      <c r="F11023" t="s">
        <v>948</v>
      </c>
      <c r="G11023">
        <v>6077777</v>
      </c>
      <c r="H11023">
        <v>500221</v>
      </c>
      <c r="I11023" t="s">
        <v>949</v>
      </c>
    </row>
    <row r="11024" spans="1:9" x14ac:dyDescent="0.25">
      <c r="A11024">
        <v>4230</v>
      </c>
      <c r="B11024">
        <v>60</v>
      </c>
      <c r="C11024" t="s">
        <v>946</v>
      </c>
      <c r="D11024" t="s">
        <v>986</v>
      </c>
      <c r="E11024" t="s">
        <v>298</v>
      </c>
      <c r="F11024" t="s">
        <v>948</v>
      </c>
      <c r="G11024">
        <v>6099999</v>
      </c>
      <c r="H11024">
        <v>403085</v>
      </c>
      <c r="I11024">
        <v>70</v>
      </c>
    </row>
    <row r="11025" spans="1:9" x14ac:dyDescent="0.25">
      <c r="A11025">
        <v>4141</v>
      </c>
      <c r="B11025">
        <v>60</v>
      </c>
      <c r="C11025" t="s">
        <v>946</v>
      </c>
      <c r="D11025" t="s">
        <v>986</v>
      </c>
      <c r="E11025" t="s">
        <v>980</v>
      </c>
      <c r="F11025" t="s">
        <v>948</v>
      </c>
      <c r="G11025">
        <v>6077777</v>
      </c>
      <c r="H11025">
        <v>501010</v>
      </c>
      <c r="I11025">
        <v>70</v>
      </c>
    </row>
    <row r="11026" spans="1:9" x14ac:dyDescent="0.25">
      <c r="A11026">
        <v>4220</v>
      </c>
      <c r="B11026">
        <v>60</v>
      </c>
      <c r="C11026" t="s">
        <v>946</v>
      </c>
      <c r="D11026" t="s">
        <v>986</v>
      </c>
      <c r="E11026" t="s">
        <v>980</v>
      </c>
      <c r="F11026" t="s">
        <v>948</v>
      </c>
      <c r="G11026">
        <v>6077777</v>
      </c>
      <c r="H11026">
        <v>500220</v>
      </c>
      <c r="I11026" t="s">
        <v>949</v>
      </c>
    </row>
    <row r="11027" spans="1:9" x14ac:dyDescent="0.25">
      <c r="A11027">
        <v>4230</v>
      </c>
      <c r="B11027">
        <v>60</v>
      </c>
      <c r="C11027" t="s">
        <v>946</v>
      </c>
      <c r="D11027" t="s">
        <v>986</v>
      </c>
      <c r="E11027" t="s">
        <v>980</v>
      </c>
      <c r="F11027" t="s">
        <v>948</v>
      </c>
      <c r="G11027">
        <v>6099999</v>
      </c>
      <c r="H11027">
        <v>403915</v>
      </c>
      <c r="I11027">
        <v>70</v>
      </c>
    </row>
    <row r="11028" spans="1:9" x14ac:dyDescent="0.25">
      <c r="A11028">
        <v>4240</v>
      </c>
      <c r="B11028">
        <v>60</v>
      </c>
      <c r="C11028" t="s">
        <v>946</v>
      </c>
      <c r="D11028" t="s">
        <v>986</v>
      </c>
      <c r="E11028" t="s">
        <v>980</v>
      </c>
      <c r="F11028" t="s">
        <v>948</v>
      </c>
      <c r="G11028">
        <v>6077777</v>
      </c>
      <c r="H11028">
        <v>500221</v>
      </c>
      <c r="I11028" t="s">
        <v>949</v>
      </c>
    </row>
    <row r="11029" spans="1:9" x14ac:dyDescent="0.25">
      <c r="A11029">
        <v>4141</v>
      </c>
      <c r="B11029">
        <v>60</v>
      </c>
      <c r="C11029" t="s">
        <v>946</v>
      </c>
      <c r="D11029" t="s">
        <v>986</v>
      </c>
      <c r="E11029" t="s">
        <v>302</v>
      </c>
      <c r="F11029" t="s">
        <v>948</v>
      </c>
      <c r="G11029">
        <v>6077777</v>
      </c>
      <c r="H11029">
        <v>501010</v>
      </c>
      <c r="I11029">
        <v>70</v>
      </c>
    </row>
    <row r="11030" spans="1:9" x14ac:dyDescent="0.25">
      <c r="A11030">
        <v>4220</v>
      </c>
      <c r="B11030">
        <v>60</v>
      </c>
      <c r="C11030" t="s">
        <v>946</v>
      </c>
      <c r="D11030" t="s">
        <v>986</v>
      </c>
      <c r="E11030" t="s">
        <v>302</v>
      </c>
      <c r="F11030" t="s">
        <v>948</v>
      </c>
      <c r="G11030">
        <v>6077777</v>
      </c>
      <c r="H11030">
        <v>500220</v>
      </c>
      <c r="I11030" t="s">
        <v>949</v>
      </c>
    </row>
    <row r="11031" spans="1:9" x14ac:dyDescent="0.25">
      <c r="A11031">
        <v>4230</v>
      </c>
      <c r="B11031">
        <v>60</v>
      </c>
      <c r="C11031" t="s">
        <v>946</v>
      </c>
      <c r="D11031" t="s">
        <v>986</v>
      </c>
      <c r="E11031" t="s">
        <v>302</v>
      </c>
      <c r="F11031" t="s">
        <v>948</v>
      </c>
      <c r="G11031">
        <v>6099999</v>
      </c>
      <c r="H11031">
        <v>401905</v>
      </c>
      <c r="I11031">
        <v>70</v>
      </c>
    </row>
    <row r="11032" spans="1:9" x14ac:dyDescent="0.25">
      <c r="A11032">
        <v>4240</v>
      </c>
      <c r="B11032">
        <v>60</v>
      </c>
      <c r="C11032" t="s">
        <v>946</v>
      </c>
      <c r="D11032" t="s">
        <v>986</v>
      </c>
      <c r="E11032" t="s">
        <v>302</v>
      </c>
      <c r="F11032" t="s">
        <v>948</v>
      </c>
      <c r="G11032">
        <v>6077777</v>
      </c>
      <c r="H11032">
        <v>500221</v>
      </c>
      <c r="I11032" t="s">
        <v>949</v>
      </c>
    </row>
    <row r="11033" spans="1:9" x14ac:dyDescent="0.25">
      <c r="A11033">
        <v>4141</v>
      </c>
      <c r="B11033">
        <v>60</v>
      </c>
      <c r="C11033" t="s">
        <v>946</v>
      </c>
      <c r="D11033" t="s">
        <v>986</v>
      </c>
      <c r="E11033" t="s">
        <v>306</v>
      </c>
      <c r="F11033" t="s">
        <v>948</v>
      </c>
      <c r="G11033">
        <v>6077777</v>
      </c>
      <c r="H11033">
        <v>501010</v>
      </c>
      <c r="I11033">
        <v>70</v>
      </c>
    </row>
    <row r="11034" spans="1:9" x14ac:dyDescent="0.25">
      <c r="A11034">
        <v>4220</v>
      </c>
      <c r="B11034">
        <v>60</v>
      </c>
      <c r="C11034" t="s">
        <v>946</v>
      </c>
      <c r="D11034" t="s">
        <v>986</v>
      </c>
      <c r="E11034" t="s">
        <v>306</v>
      </c>
      <c r="F11034" t="s">
        <v>948</v>
      </c>
      <c r="G11034">
        <v>6077777</v>
      </c>
      <c r="H11034">
        <v>500220</v>
      </c>
      <c r="I11034" t="s">
        <v>949</v>
      </c>
    </row>
    <row r="11035" spans="1:9" x14ac:dyDescent="0.25">
      <c r="A11035">
        <v>4230</v>
      </c>
      <c r="B11035">
        <v>60</v>
      </c>
      <c r="C11035" t="s">
        <v>946</v>
      </c>
      <c r="D11035" t="s">
        <v>986</v>
      </c>
      <c r="E11035" t="s">
        <v>306</v>
      </c>
      <c r="F11035" t="s">
        <v>948</v>
      </c>
      <c r="G11035">
        <v>6099999</v>
      </c>
      <c r="H11035">
        <v>403045</v>
      </c>
      <c r="I11035">
        <v>70</v>
      </c>
    </row>
    <row r="11036" spans="1:9" x14ac:dyDescent="0.25">
      <c r="A11036">
        <v>4240</v>
      </c>
      <c r="B11036">
        <v>60</v>
      </c>
      <c r="C11036" t="s">
        <v>946</v>
      </c>
      <c r="D11036" t="s">
        <v>986</v>
      </c>
      <c r="E11036" t="s">
        <v>306</v>
      </c>
      <c r="F11036" t="s">
        <v>948</v>
      </c>
      <c r="G11036">
        <v>6077777</v>
      </c>
      <c r="H11036">
        <v>500221</v>
      </c>
      <c r="I11036" t="s">
        <v>949</v>
      </c>
    </row>
    <row r="11037" spans="1:9" x14ac:dyDescent="0.25">
      <c r="A11037">
        <v>4141</v>
      </c>
      <c r="B11037">
        <v>60</v>
      </c>
      <c r="C11037" t="s">
        <v>946</v>
      </c>
      <c r="D11037" t="s">
        <v>986</v>
      </c>
      <c r="E11037" t="s">
        <v>108</v>
      </c>
      <c r="F11037" t="s">
        <v>948</v>
      </c>
      <c r="G11037">
        <v>6077777</v>
      </c>
      <c r="H11037">
        <v>500220</v>
      </c>
      <c r="I11037" t="s">
        <v>949</v>
      </c>
    </row>
    <row r="11038" spans="1:9" x14ac:dyDescent="0.25">
      <c r="A11038">
        <v>4220</v>
      </c>
      <c r="B11038">
        <v>60</v>
      </c>
      <c r="C11038" t="s">
        <v>946</v>
      </c>
      <c r="D11038" t="s">
        <v>986</v>
      </c>
      <c r="E11038" t="s">
        <v>108</v>
      </c>
      <c r="F11038" t="s">
        <v>948</v>
      </c>
      <c r="G11038">
        <v>6077777</v>
      </c>
      <c r="H11038">
        <v>500220</v>
      </c>
      <c r="I11038" t="s">
        <v>949</v>
      </c>
    </row>
    <row r="11039" spans="1:9" x14ac:dyDescent="0.25">
      <c r="A11039">
        <v>4230</v>
      </c>
      <c r="B11039">
        <v>60</v>
      </c>
      <c r="C11039" t="s">
        <v>946</v>
      </c>
      <c r="D11039" t="s">
        <v>986</v>
      </c>
      <c r="E11039" t="s">
        <v>108</v>
      </c>
      <c r="F11039" t="s">
        <v>948</v>
      </c>
      <c r="G11039">
        <v>6099999</v>
      </c>
      <c r="H11039">
        <v>403045</v>
      </c>
      <c r="I11039">
        <v>70</v>
      </c>
    </row>
    <row r="11040" spans="1:9" x14ac:dyDescent="0.25">
      <c r="A11040">
        <v>4240</v>
      </c>
      <c r="B11040">
        <v>60</v>
      </c>
      <c r="C11040" t="s">
        <v>946</v>
      </c>
      <c r="D11040" t="s">
        <v>986</v>
      </c>
      <c r="E11040" t="s">
        <v>108</v>
      </c>
      <c r="F11040" t="s">
        <v>948</v>
      </c>
      <c r="G11040">
        <v>6077777</v>
      </c>
      <c r="H11040">
        <v>500221</v>
      </c>
      <c r="I11040" t="s">
        <v>949</v>
      </c>
    </row>
    <row r="11041" spans="1:9" x14ac:dyDescent="0.25">
      <c r="A11041">
        <v>4141</v>
      </c>
      <c r="B11041">
        <v>60</v>
      </c>
      <c r="C11041" t="s">
        <v>946</v>
      </c>
      <c r="D11041" t="s">
        <v>986</v>
      </c>
      <c r="E11041" t="s">
        <v>310</v>
      </c>
      <c r="F11041" t="s">
        <v>948</v>
      </c>
      <c r="G11041">
        <v>6077777</v>
      </c>
      <c r="H11041">
        <v>501010</v>
      </c>
      <c r="I11041">
        <v>70</v>
      </c>
    </row>
    <row r="11042" spans="1:9" x14ac:dyDescent="0.25">
      <c r="A11042">
        <v>4220</v>
      </c>
      <c r="B11042">
        <v>60</v>
      </c>
      <c r="C11042" t="s">
        <v>946</v>
      </c>
      <c r="D11042" t="s">
        <v>986</v>
      </c>
      <c r="E11042" t="s">
        <v>310</v>
      </c>
      <c r="F11042" t="s">
        <v>948</v>
      </c>
      <c r="G11042">
        <v>6077777</v>
      </c>
      <c r="H11042">
        <v>500220</v>
      </c>
      <c r="I11042" t="s">
        <v>949</v>
      </c>
    </row>
    <row r="11043" spans="1:9" x14ac:dyDescent="0.25">
      <c r="A11043">
        <v>4230</v>
      </c>
      <c r="B11043">
        <v>60</v>
      </c>
      <c r="C11043" t="s">
        <v>946</v>
      </c>
      <c r="D11043" t="s">
        <v>986</v>
      </c>
      <c r="E11043" t="s">
        <v>310</v>
      </c>
      <c r="F11043" t="s">
        <v>948</v>
      </c>
      <c r="G11043">
        <v>6099999</v>
      </c>
      <c r="H11043">
        <v>403015</v>
      </c>
      <c r="I11043">
        <v>70</v>
      </c>
    </row>
    <row r="11044" spans="1:9" x14ac:dyDescent="0.25">
      <c r="A11044">
        <v>4240</v>
      </c>
      <c r="B11044">
        <v>60</v>
      </c>
      <c r="C11044" t="s">
        <v>946</v>
      </c>
      <c r="D11044" t="s">
        <v>986</v>
      </c>
      <c r="E11044" t="s">
        <v>310</v>
      </c>
      <c r="F11044" t="s">
        <v>948</v>
      </c>
      <c r="G11044">
        <v>6077777</v>
      </c>
      <c r="H11044">
        <v>500221</v>
      </c>
      <c r="I11044" t="s">
        <v>949</v>
      </c>
    </row>
    <row r="11045" spans="1:9" x14ac:dyDescent="0.25">
      <c r="A11045">
        <v>4141</v>
      </c>
      <c r="B11045">
        <v>60</v>
      </c>
      <c r="C11045" t="s">
        <v>946</v>
      </c>
      <c r="D11045" t="s">
        <v>986</v>
      </c>
      <c r="E11045" t="s">
        <v>314</v>
      </c>
      <c r="F11045" t="s">
        <v>948</v>
      </c>
      <c r="G11045">
        <v>6077777</v>
      </c>
      <c r="H11045">
        <v>501010</v>
      </c>
      <c r="I11045">
        <v>70</v>
      </c>
    </row>
    <row r="11046" spans="1:9" x14ac:dyDescent="0.25">
      <c r="A11046">
        <v>4220</v>
      </c>
      <c r="B11046">
        <v>60</v>
      </c>
      <c r="C11046" t="s">
        <v>946</v>
      </c>
      <c r="D11046" t="s">
        <v>986</v>
      </c>
      <c r="E11046" t="s">
        <v>314</v>
      </c>
      <c r="F11046" t="s">
        <v>948</v>
      </c>
      <c r="G11046">
        <v>6077777</v>
      </c>
      <c r="H11046">
        <v>500220</v>
      </c>
      <c r="I11046" t="s">
        <v>949</v>
      </c>
    </row>
    <row r="11047" spans="1:9" x14ac:dyDescent="0.25">
      <c r="A11047">
        <v>4230</v>
      </c>
      <c r="B11047">
        <v>60</v>
      </c>
      <c r="C11047" t="s">
        <v>946</v>
      </c>
      <c r="D11047" t="s">
        <v>986</v>
      </c>
      <c r="E11047" t="s">
        <v>314</v>
      </c>
      <c r="F11047" t="s">
        <v>948</v>
      </c>
      <c r="G11047">
        <v>6099999</v>
      </c>
      <c r="H11047">
        <v>403065</v>
      </c>
      <c r="I11047">
        <v>70</v>
      </c>
    </row>
    <row r="11048" spans="1:9" x14ac:dyDescent="0.25">
      <c r="A11048">
        <v>4240</v>
      </c>
      <c r="B11048">
        <v>60</v>
      </c>
      <c r="C11048" t="s">
        <v>946</v>
      </c>
      <c r="D11048" t="s">
        <v>986</v>
      </c>
      <c r="E11048" t="s">
        <v>314</v>
      </c>
      <c r="F11048" t="s">
        <v>948</v>
      </c>
      <c r="G11048">
        <v>6077777</v>
      </c>
      <c r="H11048">
        <v>500221</v>
      </c>
      <c r="I11048" t="s">
        <v>949</v>
      </c>
    </row>
    <row r="11049" spans="1:9" x14ac:dyDescent="0.25">
      <c r="A11049">
        <v>4141</v>
      </c>
      <c r="B11049">
        <v>60</v>
      </c>
      <c r="C11049" t="s">
        <v>946</v>
      </c>
      <c r="D11049" t="s">
        <v>986</v>
      </c>
      <c r="E11049" t="s">
        <v>113</v>
      </c>
      <c r="F11049" t="s">
        <v>948</v>
      </c>
      <c r="G11049">
        <v>6077777</v>
      </c>
      <c r="H11049">
        <v>500220</v>
      </c>
      <c r="I11049" t="s">
        <v>949</v>
      </c>
    </row>
    <row r="11050" spans="1:9" x14ac:dyDescent="0.25">
      <c r="A11050">
        <v>4220</v>
      </c>
      <c r="B11050">
        <v>60</v>
      </c>
      <c r="C11050" t="s">
        <v>946</v>
      </c>
      <c r="D11050" t="s">
        <v>986</v>
      </c>
      <c r="E11050" t="s">
        <v>113</v>
      </c>
      <c r="F11050" t="s">
        <v>948</v>
      </c>
      <c r="G11050">
        <v>6077777</v>
      </c>
      <c r="H11050">
        <v>500220</v>
      </c>
      <c r="I11050" t="s">
        <v>949</v>
      </c>
    </row>
    <row r="11051" spans="1:9" x14ac:dyDescent="0.25">
      <c r="A11051">
        <v>4230</v>
      </c>
      <c r="B11051">
        <v>60</v>
      </c>
      <c r="C11051" t="s">
        <v>946</v>
      </c>
      <c r="D11051" t="s">
        <v>986</v>
      </c>
      <c r="E11051" t="s">
        <v>113</v>
      </c>
      <c r="F11051" t="s">
        <v>948</v>
      </c>
      <c r="G11051">
        <v>6099999</v>
      </c>
      <c r="H11051">
        <v>403085</v>
      </c>
      <c r="I11051">
        <v>70</v>
      </c>
    </row>
    <row r="11052" spans="1:9" x14ac:dyDescent="0.25">
      <c r="A11052">
        <v>4240</v>
      </c>
      <c r="B11052">
        <v>60</v>
      </c>
      <c r="C11052" t="s">
        <v>946</v>
      </c>
      <c r="D11052" t="s">
        <v>986</v>
      </c>
      <c r="E11052" t="s">
        <v>113</v>
      </c>
      <c r="F11052" t="s">
        <v>948</v>
      </c>
      <c r="G11052">
        <v>6077777</v>
      </c>
      <c r="H11052">
        <v>500221</v>
      </c>
      <c r="I11052" t="s">
        <v>949</v>
      </c>
    </row>
    <row r="11053" spans="1:9" x14ac:dyDescent="0.25">
      <c r="A11053">
        <v>4141</v>
      </c>
      <c r="B11053">
        <v>60</v>
      </c>
      <c r="C11053" t="s">
        <v>946</v>
      </c>
      <c r="D11053" t="s">
        <v>986</v>
      </c>
      <c r="E11053" t="s">
        <v>117</v>
      </c>
      <c r="F11053" t="s">
        <v>948</v>
      </c>
      <c r="G11053">
        <v>6077777</v>
      </c>
      <c r="H11053">
        <v>500220</v>
      </c>
      <c r="I11053" t="s">
        <v>949</v>
      </c>
    </row>
    <row r="11054" spans="1:9" x14ac:dyDescent="0.25">
      <c r="A11054">
        <v>4220</v>
      </c>
      <c r="B11054">
        <v>60</v>
      </c>
      <c r="C11054" t="s">
        <v>946</v>
      </c>
      <c r="D11054" t="s">
        <v>986</v>
      </c>
      <c r="E11054" t="s">
        <v>117</v>
      </c>
      <c r="F11054" t="s">
        <v>948</v>
      </c>
      <c r="G11054">
        <v>6077777</v>
      </c>
      <c r="H11054">
        <v>500220</v>
      </c>
      <c r="I11054" t="s">
        <v>949</v>
      </c>
    </row>
    <row r="11055" spans="1:9" x14ac:dyDescent="0.25">
      <c r="A11055">
        <v>4230</v>
      </c>
      <c r="B11055">
        <v>60</v>
      </c>
      <c r="C11055" t="s">
        <v>946</v>
      </c>
      <c r="D11055" t="s">
        <v>986</v>
      </c>
      <c r="E11055" t="s">
        <v>117</v>
      </c>
      <c r="F11055" t="s">
        <v>948</v>
      </c>
      <c r="G11055">
        <v>6088888</v>
      </c>
      <c r="H11055">
        <v>810600</v>
      </c>
      <c r="I11055">
        <v>70</v>
      </c>
    </row>
    <row r="11056" spans="1:9" x14ac:dyDescent="0.25">
      <c r="A11056">
        <v>4240</v>
      </c>
      <c r="B11056">
        <v>60</v>
      </c>
      <c r="C11056" t="s">
        <v>946</v>
      </c>
      <c r="D11056" t="s">
        <v>986</v>
      </c>
      <c r="E11056" t="s">
        <v>117</v>
      </c>
      <c r="F11056" t="s">
        <v>948</v>
      </c>
      <c r="G11056">
        <v>6077777</v>
      </c>
      <c r="H11056">
        <v>500221</v>
      </c>
      <c r="I11056" t="s">
        <v>949</v>
      </c>
    </row>
    <row r="11057" spans="1:9" x14ac:dyDescent="0.25">
      <c r="A11057">
        <v>4141</v>
      </c>
      <c r="B11057">
        <v>60</v>
      </c>
      <c r="C11057" t="s">
        <v>946</v>
      </c>
      <c r="D11057" t="s">
        <v>986</v>
      </c>
      <c r="E11057" t="s">
        <v>121</v>
      </c>
      <c r="F11057" t="s">
        <v>948</v>
      </c>
      <c r="G11057">
        <v>6077777</v>
      </c>
      <c r="H11057">
        <v>500220</v>
      </c>
      <c r="I11057" t="s">
        <v>949</v>
      </c>
    </row>
    <row r="11058" spans="1:9" x14ac:dyDescent="0.25">
      <c r="A11058">
        <v>4220</v>
      </c>
      <c r="B11058">
        <v>60</v>
      </c>
      <c r="C11058" t="s">
        <v>946</v>
      </c>
      <c r="D11058" t="s">
        <v>986</v>
      </c>
      <c r="E11058" t="s">
        <v>121</v>
      </c>
      <c r="F11058" t="s">
        <v>948</v>
      </c>
      <c r="G11058">
        <v>6077777</v>
      </c>
      <c r="H11058">
        <v>500220</v>
      </c>
      <c r="I11058" t="s">
        <v>949</v>
      </c>
    </row>
    <row r="11059" spans="1:9" x14ac:dyDescent="0.25">
      <c r="A11059">
        <v>4230</v>
      </c>
      <c r="B11059">
        <v>60</v>
      </c>
      <c r="C11059" t="s">
        <v>946</v>
      </c>
      <c r="D11059" t="s">
        <v>986</v>
      </c>
      <c r="E11059" t="s">
        <v>121</v>
      </c>
      <c r="F11059" t="s">
        <v>948</v>
      </c>
      <c r="G11059">
        <v>6099999</v>
      </c>
      <c r="H11059">
        <v>403045</v>
      </c>
      <c r="I11059">
        <v>70</v>
      </c>
    </row>
    <row r="11060" spans="1:9" x14ac:dyDescent="0.25">
      <c r="A11060">
        <v>4240</v>
      </c>
      <c r="B11060">
        <v>60</v>
      </c>
      <c r="C11060" t="s">
        <v>946</v>
      </c>
      <c r="D11060" t="s">
        <v>986</v>
      </c>
      <c r="E11060" t="s">
        <v>121</v>
      </c>
      <c r="F11060" t="s">
        <v>948</v>
      </c>
      <c r="G11060">
        <v>6077777</v>
      </c>
      <c r="H11060">
        <v>500221</v>
      </c>
      <c r="I11060" t="s">
        <v>949</v>
      </c>
    </row>
    <row r="11061" spans="1:9" x14ac:dyDescent="0.25">
      <c r="A11061">
        <v>4141</v>
      </c>
      <c r="B11061">
        <v>60</v>
      </c>
      <c r="C11061" t="s">
        <v>946</v>
      </c>
      <c r="D11061" t="s">
        <v>986</v>
      </c>
      <c r="E11061" t="s">
        <v>984</v>
      </c>
      <c r="F11061" t="s">
        <v>948</v>
      </c>
      <c r="G11061">
        <v>6077777</v>
      </c>
      <c r="H11061">
        <v>501010</v>
      </c>
      <c r="I11061">
        <v>70</v>
      </c>
    </row>
    <row r="11062" spans="1:9" x14ac:dyDescent="0.25">
      <c r="A11062">
        <v>4220</v>
      </c>
      <c r="B11062">
        <v>60</v>
      </c>
      <c r="C11062" t="s">
        <v>946</v>
      </c>
      <c r="D11062" t="s">
        <v>986</v>
      </c>
      <c r="E11062" t="s">
        <v>984</v>
      </c>
      <c r="F11062" t="s">
        <v>948</v>
      </c>
      <c r="G11062">
        <v>6077777</v>
      </c>
      <c r="H11062">
        <v>500220</v>
      </c>
      <c r="I11062" t="s">
        <v>949</v>
      </c>
    </row>
    <row r="11063" spans="1:9" x14ac:dyDescent="0.25">
      <c r="A11063">
        <v>4230</v>
      </c>
      <c r="B11063">
        <v>60</v>
      </c>
      <c r="C11063" t="s">
        <v>946</v>
      </c>
      <c r="D11063" t="s">
        <v>986</v>
      </c>
      <c r="E11063" t="s">
        <v>984</v>
      </c>
      <c r="F11063" t="s">
        <v>948</v>
      </c>
      <c r="G11063">
        <v>6099999</v>
      </c>
      <c r="H11063">
        <v>403915</v>
      </c>
      <c r="I11063">
        <v>70</v>
      </c>
    </row>
    <row r="11064" spans="1:9" x14ac:dyDescent="0.25">
      <c r="A11064">
        <v>4240</v>
      </c>
      <c r="B11064">
        <v>60</v>
      </c>
      <c r="C11064" t="s">
        <v>946</v>
      </c>
      <c r="D11064" t="s">
        <v>986</v>
      </c>
      <c r="E11064" t="s">
        <v>984</v>
      </c>
      <c r="F11064" t="s">
        <v>948</v>
      </c>
      <c r="G11064">
        <v>6077777</v>
      </c>
      <c r="H11064">
        <v>500221</v>
      </c>
      <c r="I11064" t="s">
        <v>949</v>
      </c>
    </row>
    <row r="11065" spans="1:9" x14ac:dyDescent="0.25">
      <c r="A11065">
        <v>4141</v>
      </c>
      <c r="B11065">
        <v>60</v>
      </c>
      <c r="C11065" t="s">
        <v>946</v>
      </c>
      <c r="D11065" t="s">
        <v>988</v>
      </c>
      <c r="E11065" t="s">
        <v>243</v>
      </c>
      <c r="F11065" t="s">
        <v>948</v>
      </c>
      <c r="G11065">
        <v>6077777</v>
      </c>
      <c r="H11065">
        <v>501010</v>
      </c>
      <c r="I11065">
        <v>73</v>
      </c>
    </row>
    <row r="11066" spans="1:9" x14ac:dyDescent="0.25">
      <c r="A11066">
        <v>4220</v>
      </c>
      <c r="B11066">
        <v>60</v>
      </c>
      <c r="C11066" t="s">
        <v>946</v>
      </c>
      <c r="D11066" t="s">
        <v>988</v>
      </c>
      <c r="E11066" t="s">
        <v>243</v>
      </c>
      <c r="F11066" t="s">
        <v>948</v>
      </c>
      <c r="G11066">
        <v>6077777</v>
      </c>
      <c r="H11066">
        <v>500220</v>
      </c>
      <c r="I11066" t="s">
        <v>949</v>
      </c>
    </row>
    <row r="11067" spans="1:9" x14ac:dyDescent="0.25">
      <c r="A11067">
        <v>4230</v>
      </c>
      <c r="B11067">
        <v>60</v>
      </c>
      <c r="C11067" t="s">
        <v>946</v>
      </c>
      <c r="D11067" t="s">
        <v>988</v>
      </c>
      <c r="E11067" t="s">
        <v>243</v>
      </c>
      <c r="F11067" t="s">
        <v>948</v>
      </c>
      <c r="G11067">
        <v>6099999</v>
      </c>
      <c r="H11067">
        <v>403055</v>
      </c>
      <c r="I11067">
        <v>73</v>
      </c>
    </row>
    <row r="11068" spans="1:9" x14ac:dyDescent="0.25">
      <c r="A11068">
        <v>4240</v>
      </c>
      <c r="B11068">
        <v>60</v>
      </c>
      <c r="C11068" t="s">
        <v>946</v>
      </c>
      <c r="D11068" t="s">
        <v>988</v>
      </c>
      <c r="E11068" t="s">
        <v>243</v>
      </c>
      <c r="F11068" t="s">
        <v>948</v>
      </c>
      <c r="G11068">
        <v>6077777</v>
      </c>
      <c r="H11068">
        <v>500221</v>
      </c>
      <c r="I11068" t="s">
        <v>949</v>
      </c>
    </row>
    <row r="11069" spans="1:9" x14ac:dyDescent="0.25">
      <c r="A11069">
        <v>4141</v>
      </c>
      <c r="B11069">
        <v>60</v>
      </c>
      <c r="C11069" t="s">
        <v>946</v>
      </c>
      <c r="D11069" t="s">
        <v>988</v>
      </c>
      <c r="E11069" t="s">
        <v>247</v>
      </c>
      <c r="F11069" t="s">
        <v>948</v>
      </c>
      <c r="G11069">
        <v>6077777</v>
      </c>
      <c r="H11069">
        <v>501010</v>
      </c>
      <c r="I11069">
        <v>73</v>
      </c>
    </row>
    <row r="11070" spans="1:9" x14ac:dyDescent="0.25">
      <c r="A11070">
        <v>4220</v>
      </c>
      <c r="B11070">
        <v>60</v>
      </c>
      <c r="C11070" t="s">
        <v>946</v>
      </c>
      <c r="D11070" t="s">
        <v>988</v>
      </c>
      <c r="E11070" t="s">
        <v>247</v>
      </c>
      <c r="F11070" t="s">
        <v>948</v>
      </c>
      <c r="G11070">
        <v>6077777</v>
      </c>
      <c r="H11070">
        <v>500220</v>
      </c>
      <c r="I11070" t="s">
        <v>949</v>
      </c>
    </row>
    <row r="11071" spans="1:9" x14ac:dyDescent="0.25">
      <c r="A11071">
        <v>4230</v>
      </c>
      <c r="B11071">
        <v>60</v>
      </c>
      <c r="C11071" t="s">
        <v>946</v>
      </c>
      <c r="D11071" t="s">
        <v>988</v>
      </c>
      <c r="E11071" t="s">
        <v>247</v>
      </c>
      <c r="F11071" t="s">
        <v>948</v>
      </c>
      <c r="G11071">
        <v>6099999</v>
      </c>
      <c r="H11071">
        <v>403025</v>
      </c>
      <c r="I11071">
        <v>73</v>
      </c>
    </row>
    <row r="11072" spans="1:9" x14ac:dyDescent="0.25">
      <c r="A11072">
        <v>4240</v>
      </c>
      <c r="B11072">
        <v>60</v>
      </c>
      <c r="C11072" t="s">
        <v>946</v>
      </c>
      <c r="D11072" t="s">
        <v>988</v>
      </c>
      <c r="E11072" t="s">
        <v>247</v>
      </c>
      <c r="F11072" t="s">
        <v>948</v>
      </c>
      <c r="G11072">
        <v>6077777</v>
      </c>
      <c r="H11072">
        <v>500221</v>
      </c>
      <c r="I11072" t="s">
        <v>949</v>
      </c>
    </row>
    <row r="11073" spans="1:9" x14ac:dyDescent="0.25">
      <c r="A11073">
        <v>4141</v>
      </c>
      <c r="B11073">
        <v>60</v>
      </c>
      <c r="C11073" t="s">
        <v>946</v>
      </c>
      <c r="D11073" t="s">
        <v>988</v>
      </c>
      <c r="E11073" t="s">
        <v>251</v>
      </c>
      <c r="F11073" t="s">
        <v>948</v>
      </c>
      <c r="G11073">
        <v>6077777</v>
      </c>
      <c r="H11073">
        <v>501010</v>
      </c>
      <c r="I11073">
        <v>73</v>
      </c>
    </row>
    <row r="11074" spans="1:9" x14ac:dyDescent="0.25">
      <c r="A11074">
        <v>4220</v>
      </c>
      <c r="B11074">
        <v>60</v>
      </c>
      <c r="C11074" t="s">
        <v>946</v>
      </c>
      <c r="D11074" t="s">
        <v>988</v>
      </c>
      <c r="E11074" t="s">
        <v>251</v>
      </c>
      <c r="F11074" t="s">
        <v>948</v>
      </c>
      <c r="G11074">
        <v>6077777</v>
      </c>
      <c r="H11074">
        <v>500220</v>
      </c>
      <c r="I11074" t="s">
        <v>949</v>
      </c>
    </row>
    <row r="11075" spans="1:9" x14ac:dyDescent="0.25">
      <c r="A11075">
        <v>4230</v>
      </c>
      <c r="B11075">
        <v>60</v>
      </c>
      <c r="C11075" t="s">
        <v>946</v>
      </c>
      <c r="D11075" t="s">
        <v>988</v>
      </c>
      <c r="E11075" t="s">
        <v>251</v>
      </c>
      <c r="F11075" t="s">
        <v>948</v>
      </c>
      <c r="G11075">
        <v>6099999</v>
      </c>
      <c r="H11075">
        <v>403045</v>
      </c>
      <c r="I11075">
        <v>73</v>
      </c>
    </row>
    <row r="11076" spans="1:9" x14ac:dyDescent="0.25">
      <c r="A11076">
        <v>4240</v>
      </c>
      <c r="B11076">
        <v>60</v>
      </c>
      <c r="C11076" t="s">
        <v>946</v>
      </c>
      <c r="D11076" t="s">
        <v>988</v>
      </c>
      <c r="E11076" t="s">
        <v>251</v>
      </c>
      <c r="F11076" t="s">
        <v>948</v>
      </c>
      <c r="G11076">
        <v>6077777</v>
      </c>
      <c r="H11076">
        <v>500221</v>
      </c>
      <c r="I11076" t="s">
        <v>949</v>
      </c>
    </row>
    <row r="11077" spans="1:9" x14ac:dyDescent="0.25">
      <c r="A11077">
        <v>4141</v>
      </c>
      <c r="B11077">
        <v>60</v>
      </c>
      <c r="C11077" t="s">
        <v>946</v>
      </c>
      <c r="D11077" t="s">
        <v>988</v>
      </c>
      <c r="E11077" t="s">
        <v>969</v>
      </c>
      <c r="F11077" t="s">
        <v>948</v>
      </c>
      <c r="G11077">
        <v>6077777</v>
      </c>
      <c r="H11077">
        <v>501010</v>
      </c>
      <c r="I11077">
        <v>73</v>
      </c>
    </row>
    <row r="11078" spans="1:9" x14ac:dyDescent="0.25">
      <c r="A11078">
        <v>4220</v>
      </c>
      <c r="B11078">
        <v>60</v>
      </c>
      <c r="C11078" t="s">
        <v>946</v>
      </c>
      <c r="D11078" t="s">
        <v>988</v>
      </c>
      <c r="E11078" t="s">
        <v>969</v>
      </c>
      <c r="F11078" t="s">
        <v>948</v>
      </c>
      <c r="G11078">
        <v>6077777</v>
      </c>
      <c r="H11078">
        <v>500220</v>
      </c>
      <c r="I11078" t="s">
        <v>949</v>
      </c>
    </row>
    <row r="11079" spans="1:9" x14ac:dyDescent="0.25">
      <c r="A11079">
        <v>4230</v>
      </c>
      <c r="B11079">
        <v>60</v>
      </c>
      <c r="C11079" t="s">
        <v>946</v>
      </c>
      <c r="D11079" t="s">
        <v>988</v>
      </c>
      <c r="E11079" t="s">
        <v>969</v>
      </c>
      <c r="F11079" t="s">
        <v>948</v>
      </c>
      <c r="G11079">
        <v>6099999</v>
      </c>
      <c r="H11079">
        <v>403915</v>
      </c>
      <c r="I11079">
        <v>73</v>
      </c>
    </row>
    <row r="11080" spans="1:9" x14ac:dyDescent="0.25">
      <c r="A11080">
        <v>4240</v>
      </c>
      <c r="B11080">
        <v>60</v>
      </c>
      <c r="C11080" t="s">
        <v>946</v>
      </c>
      <c r="D11080" t="s">
        <v>988</v>
      </c>
      <c r="E11080" t="s">
        <v>969</v>
      </c>
      <c r="F11080" t="s">
        <v>948</v>
      </c>
      <c r="G11080">
        <v>6077777</v>
      </c>
      <c r="H11080">
        <v>500221</v>
      </c>
      <c r="I11080" t="s">
        <v>949</v>
      </c>
    </row>
    <row r="11081" spans="1:9" x14ac:dyDescent="0.25">
      <c r="A11081">
        <v>4141</v>
      </c>
      <c r="B11081">
        <v>60</v>
      </c>
      <c r="C11081" t="s">
        <v>946</v>
      </c>
      <c r="D11081" t="s">
        <v>988</v>
      </c>
      <c r="E11081" t="s">
        <v>255</v>
      </c>
      <c r="F11081" t="s">
        <v>948</v>
      </c>
      <c r="G11081">
        <v>6077777</v>
      </c>
      <c r="H11081">
        <v>501010</v>
      </c>
      <c r="I11081">
        <v>73</v>
      </c>
    </row>
    <row r="11082" spans="1:9" x14ac:dyDescent="0.25">
      <c r="A11082">
        <v>4220</v>
      </c>
      <c r="B11082">
        <v>60</v>
      </c>
      <c r="C11082" t="s">
        <v>946</v>
      </c>
      <c r="D11082" t="s">
        <v>988</v>
      </c>
      <c r="E11082" t="s">
        <v>255</v>
      </c>
      <c r="F11082" t="s">
        <v>948</v>
      </c>
      <c r="G11082">
        <v>6077777</v>
      </c>
      <c r="H11082">
        <v>500220</v>
      </c>
      <c r="I11082" t="s">
        <v>949</v>
      </c>
    </row>
    <row r="11083" spans="1:9" x14ac:dyDescent="0.25">
      <c r="A11083">
        <v>4230</v>
      </c>
      <c r="B11083">
        <v>60</v>
      </c>
      <c r="C11083" t="s">
        <v>946</v>
      </c>
      <c r="D11083" t="s">
        <v>988</v>
      </c>
      <c r="E11083" t="s">
        <v>255</v>
      </c>
      <c r="F11083" t="s">
        <v>948</v>
      </c>
      <c r="G11083">
        <v>6099999</v>
      </c>
      <c r="H11083">
        <v>403075</v>
      </c>
      <c r="I11083">
        <v>73</v>
      </c>
    </row>
    <row r="11084" spans="1:9" x14ac:dyDescent="0.25">
      <c r="A11084">
        <v>4240</v>
      </c>
      <c r="B11084">
        <v>60</v>
      </c>
      <c r="C11084" t="s">
        <v>946</v>
      </c>
      <c r="D11084" t="s">
        <v>988</v>
      </c>
      <c r="E11084" t="s">
        <v>255</v>
      </c>
      <c r="F11084" t="s">
        <v>948</v>
      </c>
      <c r="G11084">
        <v>6077777</v>
      </c>
      <c r="H11084">
        <v>500221</v>
      </c>
      <c r="I11084" t="s">
        <v>949</v>
      </c>
    </row>
    <row r="11085" spans="1:9" x14ac:dyDescent="0.25">
      <c r="A11085">
        <v>4141</v>
      </c>
      <c r="B11085">
        <v>60</v>
      </c>
      <c r="C11085" t="s">
        <v>946</v>
      </c>
      <c r="D11085" t="s">
        <v>988</v>
      </c>
      <c r="E11085" t="s">
        <v>971</v>
      </c>
      <c r="F11085" t="s">
        <v>948</v>
      </c>
      <c r="G11085">
        <v>6077777</v>
      </c>
      <c r="H11085">
        <v>501010</v>
      </c>
      <c r="I11085">
        <v>73</v>
      </c>
    </row>
    <row r="11086" spans="1:9" x14ac:dyDescent="0.25">
      <c r="A11086">
        <v>4220</v>
      </c>
      <c r="B11086">
        <v>60</v>
      </c>
      <c r="C11086" t="s">
        <v>946</v>
      </c>
      <c r="D11086" t="s">
        <v>988</v>
      </c>
      <c r="E11086" t="s">
        <v>971</v>
      </c>
      <c r="F11086" t="s">
        <v>948</v>
      </c>
      <c r="G11086">
        <v>6077777</v>
      </c>
      <c r="H11086">
        <v>500220</v>
      </c>
      <c r="I11086" t="s">
        <v>949</v>
      </c>
    </row>
    <row r="11087" spans="1:9" x14ac:dyDescent="0.25">
      <c r="A11087">
        <v>4230</v>
      </c>
      <c r="B11087">
        <v>60</v>
      </c>
      <c r="C11087" t="s">
        <v>946</v>
      </c>
      <c r="D11087" t="s">
        <v>988</v>
      </c>
      <c r="E11087" t="s">
        <v>971</v>
      </c>
      <c r="F11087" t="s">
        <v>948</v>
      </c>
      <c r="G11087">
        <v>6099999</v>
      </c>
      <c r="H11087">
        <v>403915</v>
      </c>
      <c r="I11087">
        <v>73</v>
      </c>
    </row>
    <row r="11088" spans="1:9" x14ac:dyDescent="0.25">
      <c r="A11088">
        <v>4240</v>
      </c>
      <c r="B11088">
        <v>60</v>
      </c>
      <c r="C11088" t="s">
        <v>946</v>
      </c>
      <c r="D11088" t="s">
        <v>988</v>
      </c>
      <c r="E11088" t="s">
        <v>971</v>
      </c>
      <c r="F11088" t="s">
        <v>948</v>
      </c>
      <c r="G11088">
        <v>6077777</v>
      </c>
      <c r="H11088">
        <v>500221</v>
      </c>
      <c r="I11088" t="s">
        <v>949</v>
      </c>
    </row>
    <row r="11089" spans="1:9" x14ac:dyDescent="0.25">
      <c r="A11089">
        <v>4230</v>
      </c>
      <c r="B11089">
        <v>60</v>
      </c>
      <c r="C11089" t="s">
        <v>946</v>
      </c>
      <c r="D11089" t="s">
        <v>988</v>
      </c>
      <c r="E11089" t="s">
        <v>259</v>
      </c>
      <c r="F11089" t="s">
        <v>948</v>
      </c>
      <c r="G11089">
        <v>6099999</v>
      </c>
      <c r="H11089">
        <v>409005</v>
      </c>
      <c r="I11089">
        <v>73</v>
      </c>
    </row>
    <row r="11090" spans="1:9" x14ac:dyDescent="0.25">
      <c r="A11090">
        <v>4141</v>
      </c>
      <c r="B11090">
        <v>60</v>
      </c>
      <c r="C11090" t="s">
        <v>946</v>
      </c>
      <c r="D11090" t="s">
        <v>988</v>
      </c>
      <c r="E11090" t="s">
        <v>263</v>
      </c>
      <c r="F11090" t="s">
        <v>948</v>
      </c>
      <c r="G11090">
        <v>6077777</v>
      </c>
      <c r="H11090">
        <v>501010</v>
      </c>
      <c r="I11090">
        <v>73</v>
      </c>
    </row>
    <row r="11091" spans="1:9" x14ac:dyDescent="0.25">
      <c r="A11091">
        <v>4220</v>
      </c>
      <c r="B11091">
        <v>60</v>
      </c>
      <c r="C11091" t="s">
        <v>946</v>
      </c>
      <c r="D11091" t="s">
        <v>988</v>
      </c>
      <c r="E11091" t="s">
        <v>263</v>
      </c>
      <c r="F11091" t="s">
        <v>948</v>
      </c>
      <c r="G11091">
        <v>6077777</v>
      </c>
      <c r="H11091">
        <v>500220</v>
      </c>
      <c r="I11091" t="s">
        <v>949</v>
      </c>
    </row>
    <row r="11092" spans="1:9" x14ac:dyDescent="0.25">
      <c r="A11092">
        <v>4230</v>
      </c>
      <c r="B11092">
        <v>60</v>
      </c>
      <c r="C11092" t="s">
        <v>946</v>
      </c>
      <c r="D11092" t="s">
        <v>988</v>
      </c>
      <c r="E11092" t="s">
        <v>263</v>
      </c>
      <c r="F11092" t="s">
        <v>948</v>
      </c>
      <c r="G11092">
        <v>6099999</v>
      </c>
      <c r="H11092">
        <v>403045</v>
      </c>
      <c r="I11092">
        <v>73</v>
      </c>
    </row>
    <row r="11093" spans="1:9" x14ac:dyDescent="0.25">
      <c r="A11093">
        <v>4240</v>
      </c>
      <c r="B11093">
        <v>60</v>
      </c>
      <c r="C11093" t="s">
        <v>946</v>
      </c>
      <c r="D11093" t="s">
        <v>988</v>
      </c>
      <c r="E11093" t="s">
        <v>263</v>
      </c>
      <c r="F11093" t="s">
        <v>948</v>
      </c>
      <c r="G11093">
        <v>6077777</v>
      </c>
      <c r="H11093">
        <v>500221</v>
      </c>
      <c r="I11093" t="s">
        <v>949</v>
      </c>
    </row>
    <row r="11094" spans="1:9" x14ac:dyDescent="0.25">
      <c r="A11094">
        <v>4141</v>
      </c>
      <c r="B11094">
        <v>60</v>
      </c>
      <c r="C11094" t="s">
        <v>946</v>
      </c>
      <c r="D11094" t="s">
        <v>988</v>
      </c>
      <c r="E11094" t="s">
        <v>100</v>
      </c>
      <c r="F11094" t="s">
        <v>948</v>
      </c>
      <c r="G11094">
        <v>6077777</v>
      </c>
      <c r="H11094">
        <v>500220</v>
      </c>
      <c r="I11094" t="s">
        <v>949</v>
      </c>
    </row>
    <row r="11095" spans="1:9" x14ac:dyDescent="0.25">
      <c r="A11095">
        <v>4220</v>
      </c>
      <c r="B11095">
        <v>60</v>
      </c>
      <c r="C11095" t="s">
        <v>946</v>
      </c>
      <c r="D11095" t="s">
        <v>988</v>
      </c>
      <c r="E11095" t="s">
        <v>100</v>
      </c>
      <c r="F11095" t="s">
        <v>948</v>
      </c>
      <c r="G11095">
        <v>6077777</v>
      </c>
      <c r="H11095">
        <v>500220</v>
      </c>
      <c r="I11095" t="s">
        <v>949</v>
      </c>
    </row>
    <row r="11096" spans="1:9" x14ac:dyDescent="0.25">
      <c r="A11096">
        <v>4230</v>
      </c>
      <c r="B11096">
        <v>60</v>
      </c>
      <c r="C11096" t="s">
        <v>946</v>
      </c>
      <c r="D11096" t="s">
        <v>988</v>
      </c>
      <c r="E11096" t="s">
        <v>100</v>
      </c>
      <c r="F11096" t="s">
        <v>948</v>
      </c>
      <c r="G11096">
        <v>6099999</v>
      </c>
      <c r="H11096">
        <v>403045</v>
      </c>
      <c r="I11096">
        <v>73</v>
      </c>
    </row>
    <row r="11097" spans="1:9" x14ac:dyDescent="0.25">
      <c r="A11097">
        <v>4240</v>
      </c>
      <c r="B11097">
        <v>60</v>
      </c>
      <c r="C11097" t="s">
        <v>946</v>
      </c>
      <c r="D11097" t="s">
        <v>988</v>
      </c>
      <c r="E11097" t="s">
        <v>100</v>
      </c>
      <c r="F11097" t="s">
        <v>948</v>
      </c>
      <c r="G11097">
        <v>6077777</v>
      </c>
      <c r="H11097">
        <v>500221</v>
      </c>
      <c r="I11097" t="s">
        <v>949</v>
      </c>
    </row>
    <row r="11098" spans="1:9" x14ac:dyDescent="0.25">
      <c r="A11098">
        <v>4141</v>
      </c>
      <c r="B11098">
        <v>60</v>
      </c>
      <c r="C11098" t="s">
        <v>946</v>
      </c>
      <c r="D11098" t="s">
        <v>988</v>
      </c>
      <c r="E11098" t="s">
        <v>270</v>
      </c>
      <c r="F11098" t="s">
        <v>948</v>
      </c>
      <c r="G11098">
        <v>6077777</v>
      </c>
      <c r="H11098">
        <v>501010</v>
      </c>
      <c r="I11098">
        <v>73</v>
      </c>
    </row>
    <row r="11099" spans="1:9" x14ac:dyDescent="0.25">
      <c r="A11099">
        <v>4220</v>
      </c>
      <c r="B11099">
        <v>60</v>
      </c>
      <c r="C11099" t="s">
        <v>946</v>
      </c>
      <c r="D11099" t="s">
        <v>988</v>
      </c>
      <c r="E11099" t="s">
        <v>270</v>
      </c>
      <c r="F11099" t="s">
        <v>948</v>
      </c>
      <c r="G11099">
        <v>6077777</v>
      </c>
      <c r="H11099">
        <v>500220</v>
      </c>
      <c r="I11099" t="s">
        <v>949</v>
      </c>
    </row>
    <row r="11100" spans="1:9" x14ac:dyDescent="0.25">
      <c r="A11100">
        <v>4230</v>
      </c>
      <c r="B11100">
        <v>60</v>
      </c>
      <c r="C11100" t="s">
        <v>946</v>
      </c>
      <c r="D11100" t="s">
        <v>988</v>
      </c>
      <c r="E11100" t="s">
        <v>270</v>
      </c>
      <c r="F11100" t="s">
        <v>948</v>
      </c>
      <c r="G11100">
        <v>6099999</v>
      </c>
      <c r="H11100">
        <v>403065</v>
      </c>
      <c r="I11100">
        <v>73</v>
      </c>
    </row>
    <row r="11101" spans="1:9" x14ac:dyDescent="0.25">
      <c r="A11101">
        <v>4240</v>
      </c>
      <c r="B11101">
        <v>60</v>
      </c>
      <c r="C11101" t="s">
        <v>946</v>
      </c>
      <c r="D11101" t="s">
        <v>988</v>
      </c>
      <c r="E11101" t="s">
        <v>270</v>
      </c>
      <c r="F11101" t="s">
        <v>948</v>
      </c>
      <c r="G11101">
        <v>6077777</v>
      </c>
      <c r="H11101">
        <v>500221</v>
      </c>
      <c r="I11101" t="s">
        <v>949</v>
      </c>
    </row>
    <row r="11102" spans="1:9" x14ac:dyDescent="0.25">
      <c r="A11102">
        <v>4141</v>
      </c>
      <c r="B11102">
        <v>60</v>
      </c>
      <c r="C11102" t="s">
        <v>946</v>
      </c>
      <c r="D11102" t="s">
        <v>988</v>
      </c>
      <c r="E11102" t="s">
        <v>274</v>
      </c>
      <c r="F11102" t="s">
        <v>948</v>
      </c>
      <c r="G11102">
        <v>6077777</v>
      </c>
      <c r="H11102">
        <v>501010</v>
      </c>
      <c r="I11102">
        <v>73</v>
      </c>
    </row>
    <row r="11103" spans="1:9" x14ac:dyDescent="0.25">
      <c r="A11103">
        <v>4220</v>
      </c>
      <c r="B11103">
        <v>60</v>
      </c>
      <c r="C11103" t="s">
        <v>946</v>
      </c>
      <c r="D11103" t="s">
        <v>988</v>
      </c>
      <c r="E11103" t="s">
        <v>274</v>
      </c>
      <c r="F11103" t="s">
        <v>948</v>
      </c>
      <c r="G11103">
        <v>6077777</v>
      </c>
      <c r="H11103">
        <v>500220</v>
      </c>
      <c r="I11103" t="s">
        <v>949</v>
      </c>
    </row>
    <row r="11104" spans="1:9" x14ac:dyDescent="0.25">
      <c r="A11104">
        <v>4230</v>
      </c>
      <c r="B11104">
        <v>60</v>
      </c>
      <c r="C11104" t="s">
        <v>946</v>
      </c>
      <c r="D11104" t="s">
        <v>988</v>
      </c>
      <c r="E11104" t="s">
        <v>274</v>
      </c>
      <c r="F11104" t="s">
        <v>948</v>
      </c>
      <c r="G11104">
        <v>6099999</v>
      </c>
      <c r="H11104">
        <v>403045</v>
      </c>
      <c r="I11104">
        <v>73</v>
      </c>
    </row>
    <row r="11105" spans="1:9" x14ac:dyDescent="0.25">
      <c r="A11105">
        <v>4240</v>
      </c>
      <c r="B11105">
        <v>60</v>
      </c>
      <c r="C11105" t="s">
        <v>946</v>
      </c>
      <c r="D11105" t="s">
        <v>988</v>
      </c>
      <c r="E11105" t="s">
        <v>274</v>
      </c>
      <c r="F11105" t="s">
        <v>948</v>
      </c>
      <c r="G11105">
        <v>6077777</v>
      </c>
      <c r="H11105">
        <v>500221</v>
      </c>
      <c r="I11105" t="s">
        <v>949</v>
      </c>
    </row>
    <row r="11106" spans="1:9" x14ac:dyDescent="0.25">
      <c r="A11106">
        <v>4141</v>
      </c>
      <c r="B11106">
        <v>60</v>
      </c>
      <c r="C11106" t="s">
        <v>946</v>
      </c>
      <c r="D11106" t="s">
        <v>988</v>
      </c>
      <c r="E11106" t="s">
        <v>974</v>
      </c>
      <c r="F11106" t="s">
        <v>948</v>
      </c>
      <c r="G11106">
        <v>6077777</v>
      </c>
      <c r="H11106">
        <v>501010</v>
      </c>
      <c r="I11106">
        <v>73</v>
      </c>
    </row>
    <row r="11107" spans="1:9" x14ac:dyDescent="0.25">
      <c r="A11107">
        <v>4220</v>
      </c>
      <c r="B11107">
        <v>60</v>
      </c>
      <c r="C11107" t="s">
        <v>946</v>
      </c>
      <c r="D11107" t="s">
        <v>988</v>
      </c>
      <c r="E11107" t="s">
        <v>974</v>
      </c>
      <c r="F11107" t="s">
        <v>948</v>
      </c>
      <c r="G11107">
        <v>6077777</v>
      </c>
      <c r="H11107">
        <v>500220</v>
      </c>
      <c r="I11107" t="s">
        <v>949</v>
      </c>
    </row>
    <row r="11108" spans="1:9" x14ac:dyDescent="0.25">
      <c r="A11108">
        <v>4230</v>
      </c>
      <c r="B11108">
        <v>60</v>
      </c>
      <c r="C11108" t="s">
        <v>946</v>
      </c>
      <c r="D11108" t="s">
        <v>988</v>
      </c>
      <c r="E11108" t="s">
        <v>974</v>
      </c>
      <c r="F11108" t="s">
        <v>948</v>
      </c>
      <c r="G11108">
        <v>6099999</v>
      </c>
      <c r="H11108">
        <v>403915</v>
      </c>
      <c r="I11108">
        <v>73</v>
      </c>
    </row>
    <row r="11109" spans="1:9" x14ac:dyDescent="0.25">
      <c r="A11109">
        <v>4240</v>
      </c>
      <c r="B11109">
        <v>60</v>
      </c>
      <c r="C11109" t="s">
        <v>946</v>
      </c>
      <c r="D11109" t="s">
        <v>988</v>
      </c>
      <c r="E11109" t="s">
        <v>974</v>
      </c>
      <c r="F11109" t="s">
        <v>948</v>
      </c>
      <c r="G11109">
        <v>6077777</v>
      </c>
      <c r="H11109">
        <v>500221</v>
      </c>
      <c r="I11109" t="s">
        <v>949</v>
      </c>
    </row>
    <row r="11110" spans="1:9" x14ac:dyDescent="0.25">
      <c r="A11110">
        <v>4141</v>
      </c>
      <c r="B11110">
        <v>60</v>
      </c>
      <c r="C11110" t="s">
        <v>946</v>
      </c>
      <c r="D11110" t="s">
        <v>988</v>
      </c>
      <c r="E11110" t="s">
        <v>104</v>
      </c>
      <c r="F11110" t="s">
        <v>948</v>
      </c>
      <c r="G11110">
        <v>6077777</v>
      </c>
      <c r="H11110">
        <v>500220</v>
      </c>
      <c r="I11110" t="s">
        <v>949</v>
      </c>
    </row>
    <row r="11111" spans="1:9" x14ac:dyDescent="0.25">
      <c r="A11111">
        <v>4220</v>
      </c>
      <c r="B11111">
        <v>60</v>
      </c>
      <c r="C11111" t="s">
        <v>946</v>
      </c>
      <c r="D11111" t="s">
        <v>988</v>
      </c>
      <c r="E11111" t="s">
        <v>104</v>
      </c>
      <c r="F11111" t="s">
        <v>948</v>
      </c>
      <c r="G11111">
        <v>6077777</v>
      </c>
      <c r="H11111">
        <v>500220</v>
      </c>
      <c r="I11111" t="s">
        <v>949</v>
      </c>
    </row>
    <row r="11112" spans="1:9" x14ac:dyDescent="0.25">
      <c r="A11112">
        <v>4230</v>
      </c>
      <c r="B11112">
        <v>60</v>
      </c>
      <c r="C11112" t="s">
        <v>946</v>
      </c>
      <c r="D11112" t="s">
        <v>988</v>
      </c>
      <c r="E11112" t="s">
        <v>104</v>
      </c>
      <c r="F11112" t="s">
        <v>948</v>
      </c>
      <c r="G11112">
        <v>6099999</v>
      </c>
      <c r="H11112">
        <v>403045</v>
      </c>
      <c r="I11112">
        <v>73</v>
      </c>
    </row>
    <row r="11113" spans="1:9" x14ac:dyDescent="0.25">
      <c r="A11113">
        <v>4240</v>
      </c>
      <c r="B11113">
        <v>60</v>
      </c>
      <c r="C11113" t="s">
        <v>946</v>
      </c>
      <c r="D11113" t="s">
        <v>988</v>
      </c>
      <c r="E11113" t="s">
        <v>104</v>
      </c>
      <c r="F11113" t="s">
        <v>948</v>
      </c>
      <c r="G11113">
        <v>6077777</v>
      </c>
      <c r="H11113">
        <v>500221</v>
      </c>
      <c r="I11113" t="s">
        <v>949</v>
      </c>
    </row>
    <row r="11114" spans="1:9" x14ac:dyDescent="0.25">
      <c r="A11114">
        <v>4141</v>
      </c>
      <c r="B11114">
        <v>60</v>
      </c>
      <c r="C11114" t="s">
        <v>946</v>
      </c>
      <c r="D11114" t="s">
        <v>988</v>
      </c>
      <c r="E11114" t="s">
        <v>278</v>
      </c>
      <c r="F11114" t="s">
        <v>948</v>
      </c>
      <c r="G11114">
        <v>6077777</v>
      </c>
      <c r="H11114">
        <v>501010</v>
      </c>
      <c r="I11114">
        <v>73</v>
      </c>
    </row>
    <row r="11115" spans="1:9" x14ac:dyDescent="0.25">
      <c r="A11115">
        <v>4220</v>
      </c>
      <c r="B11115">
        <v>60</v>
      </c>
      <c r="C11115" t="s">
        <v>946</v>
      </c>
      <c r="D11115" t="s">
        <v>988</v>
      </c>
      <c r="E11115" t="s">
        <v>278</v>
      </c>
      <c r="F11115" t="s">
        <v>948</v>
      </c>
      <c r="G11115">
        <v>6077777</v>
      </c>
      <c r="H11115">
        <v>500220</v>
      </c>
      <c r="I11115" t="s">
        <v>949</v>
      </c>
    </row>
    <row r="11116" spans="1:9" x14ac:dyDescent="0.25">
      <c r="A11116">
        <v>4230</v>
      </c>
      <c r="B11116">
        <v>60</v>
      </c>
      <c r="C11116" t="s">
        <v>946</v>
      </c>
      <c r="D11116" t="s">
        <v>988</v>
      </c>
      <c r="E11116" t="s">
        <v>278</v>
      </c>
      <c r="F11116" t="s">
        <v>948</v>
      </c>
      <c r="G11116">
        <v>6099999</v>
      </c>
      <c r="H11116">
        <v>403055</v>
      </c>
      <c r="I11116">
        <v>73</v>
      </c>
    </row>
    <row r="11117" spans="1:9" x14ac:dyDescent="0.25">
      <c r="A11117">
        <v>4240</v>
      </c>
      <c r="B11117">
        <v>60</v>
      </c>
      <c r="C11117" t="s">
        <v>946</v>
      </c>
      <c r="D11117" t="s">
        <v>988</v>
      </c>
      <c r="E11117" t="s">
        <v>278</v>
      </c>
      <c r="F11117" t="s">
        <v>948</v>
      </c>
      <c r="G11117">
        <v>6077777</v>
      </c>
      <c r="H11117">
        <v>500221</v>
      </c>
      <c r="I11117" t="s">
        <v>949</v>
      </c>
    </row>
    <row r="11118" spans="1:9" x14ac:dyDescent="0.25">
      <c r="A11118">
        <v>4141</v>
      </c>
      <c r="B11118">
        <v>60</v>
      </c>
      <c r="C11118" t="s">
        <v>946</v>
      </c>
      <c r="D11118" t="s">
        <v>988</v>
      </c>
      <c r="E11118" t="s">
        <v>282</v>
      </c>
      <c r="F11118" t="s">
        <v>948</v>
      </c>
      <c r="G11118">
        <v>6077777</v>
      </c>
      <c r="H11118">
        <v>501010</v>
      </c>
      <c r="I11118">
        <v>73</v>
      </c>
    </row>
    <row r="11119" spans="1:9" x14ac:dyDescent="0.25">
      <c r="A11119">
        <v>4220</v>
      </c>
      <c r="B11119">
        <v>60</v>
      </c>
      <c r="C11119" t="s">
        <v>946</v>
      </c>
      <c r="D11119" t="s">
        <v>988</v>
      </c>
      <c r="E11119" t="s">
        <v>282</v>
      </c>
      <c r="F11119" t="s">
        <v>948</v>
      </c>
      <c r="G11119">
        <v>6077777</v>
      </c>
      <c r="H11119">
        <v>500220</v>
      </c>
      <c r="I11119" t="s">
        <v>949</v>
      </c>
    </row>
    <row r="11120" spans="1:9" x14ac:dyDescent="0.25">
      <c r="A11120">
        <v>4230</v>
      </c>
      <c r="B11120">
        <v>60</v>
      </c>
      <c r="C11120" t="s">
        <v>946</v>
      </c>
      <c r="D11120" t="s">
        <v>988</v>
      </c>
      <c r="E11120" t="s">
        <v>282</v>
      </c>
      <c r="F11120" t="s">
        <v>948</v>
      </c>
      <c r="G11120">
        <v>6099999</v>
      </c>
      <c r="H11120">
        <v>403045</v>
      </c>
      <c r="I11120">
        <v>73</v>
      </c>
    </row>
    <row r="11121" spans="1:9" x14ac:dyDescent="0.25">
      <c r="A11121">
        <v>4240</v>
      </c>
      <c r="B11121">
        <v>60</v>
      </c>
      <c r="C11121" t="s">
        <v>946</v>
      </c>
      <c r="D11121" t="s">
        <v>988</v>
      </c>
      <c r="E11121" t="s">
        <v>282</v>
      </c>
      <c r="F11121" t="s">
        <v>948</v>
      </c>
      <c r="G11121">
        <v>6077777</v>
      </c>
      <c r="H11121">
        <v>500221</v>
      </c>
      <c r="I11121" t="s">
        <v>949</v>
      </c>
    </row>
    <row r="11122" spans="1:9" x14ac:dyDescent="0.25">
      <c r="A11122">
        <v>4141</v>
      </c>
      <c r="B11122">
        <v>60</v>
      </c>
      <c r="C11122" t="s">
        <v>946</v>
      </c>
      <c r="D11122" t="s">
        <v>988</v>
      </c>
      <c r="E11122" t="s">
        <v>286</v>
      </c>
      <c r="F11122" t="s">
        <v>948</v>
      </c>
      <c r="G11122">
        <v>6077777</v>
      </c>
      <c r="H11122">
        <v>501010</v>
      </c>
      <c r="I11122">
        <v>73</v>
      </c>
    </row>
    <row r="11123" spans="1:9" x14ac:dyDescent="0.25">
      <c r="A11123">
        <v>4220</v>
      </c>
      <c r="B11123">
        <v>60</v>
      </c>
      <c r="C11123" t="s">
        <v>946</v>
      </c>
      <c r="D11123" t="s">
        <v>988</v>
      </c>
      <c r="E11123" t="s">
        <v>286</v>
      </c>
      <c r="F11123" t="s">
        <v>948</v>
      </c>
      <c r="G11123">
        <v>6077777</v>
      </c>
      <c r="H11123">
        <v>500220</v>
      </c>
      <c r="I11123" t="s">
        <v>949</v>
      </c>
    </row>
    <row r="11124" spans="1:9" x14ac:dyDescent="0.25">
      <c r="A11124">
        <v>4230</v>
      </c>
      <c r="B11124">
        <v>60</v>
      </c>
      <c r="C11124" t="s">
        <v>946</v>
      </c>
      <c r="D11124" t="s">
        <v>988</v>
      </c>
      <c r="E11124" t="s">
        <v>286</v>
      </c>
      <c r="F11124" t="s">
        <v>948</v>
      </c>
      <c r="G11124">
        <v>6099999</v>
      </c>
      <c r="H11124">
        <v>403035</v>
      </c>
      <c r="I11124">
        <v>73</v>
      </c>
    </row>
    <row r="11125" spans="1:9" x14ac:dyDescent="0.25">
      <c r="A11125">
        <v>4240</v>
      </c>
      <c r="B11125">
        <v>60</v>
      </c>
      <c r="C11125" t="s">
        <v>946</v>
      </c>
      <c r="D11125" t="s">
        <v>988</v>
      </c>
      <c r="E11125" t="s">
        <v>286</v>
      </c>
      <c r="F11125" t="s">
        <v>948</v>
      </c>
      <c r="G11125">
        <v>6077777</v>
      </c>
      <c r="H11125">
        <v>500221</v>
      </c>
      <c r="I11125" t="s">
        <v>949</v>
      </c>
    </row>
    <row r="11126" spans="1:9" x14ac:dyDescent="0.25">
      <c r="A11126">
        <v>4141</v>
      </c>
      <c r="B11126">
        <v>60</v>
      </c>
      <c r="C11126" t="s">
        <v>946</v>
      </c>
      <c r="D11126" t="s">
        <v>988</v>
      </c>
      <c r="E11126" t="s">
        <v>976</v>
      </c>
      <c r="F11126" t="s">
        <v>948</v>
      </c>
      <c r="G11126">
        <v>6077777</v>
      </c>
      <c r="H11126">
        <v>501010</v>
      </c>
      <c r="I11126">
        <v>73</v>
      </c>
    </row>
    <row r="11127" spans="1:9" x14ac:dyDescent="0.25">
      <c r="A11127">
        <v>4220</v>
      </c>
      <c r="B11127">
        <v>60</v>
      </c>
      <c r="C11127" t="s">
        <v>946</v>
      </c>
      <c r="D11127" t="s">
        <v>988</v>
      </c>
      <c r="E11127" t="s">
        <v>976</v>
      </c>
      <c r="F11127" t="s">
        <v>948</v>
      </c>
      <c r="G11127">
        <v>6077777</v>
      </c>
      <c r="H11127">
        <v>500220</v>
      </c>
      <c r="I11127" t="s">
        <v>949</v>
      </c>
    </row>
    <row r="11128" spans="1:9" x14ac:dyDescent="0.25">
      <c r="A11128">
        <v>4230</v>
      </c>
      <c r="B11128">
        <v>60</v>
      </c>
      <c r="C11128" t="s">
        <v>946</v>
      </c>
      <c r="D11128" t="s">
        <v>988</v>
      </c>
      <c r="E11128" t="s">
        <v>976</v>
      </c>
      <c r="F11128" t="s">
        <v>948</v>
      </c>
      <c r="G11128">
        <v>6099999</v>
      </c>
      <c r="H11128">
        <v>403915</v>
      </c>
      <c r="I11128">
        <v>73</v>
      </c>
    </row>
    <row r="11129" spans="1:9" x14ac:dyDescent="0.25">
      <c r="A11129">
        <v>4240</v>
      </c>
      <c r="B11129">
        <v>60</v>
      </c>
      <c r="C11129" t="s">
        <v>946</v>
      </c>
      <c r="D11129" t="s">
        <v>988</v>
      </c>
      <c r="E11129" t="s">
        <v>976</v>
      </c>
      <c r="F11129" t="s">
        <v>948</v>
      </c>
      <c r="G11129">
        <v>6077777</v>
      </c>
      <c r="H11129">
        <v>500221</v>
      </c>
      <c r="I11129" t="s">
        <v>949</v>
      </c>
    </row>
    <row r="11130" spans="1:9" x14ac:dyDescent="0.25">
      <c r="A11130">
        <v>4141</v>
      </c>
      <c r="B11130">
        <v>60</v>
      </c>
      <c r="C11130" t="s">
        <v>946</v>
      </c>
      <c r="D11130" t="s">
        <v>988</v>
      </c>
      <c r="E11130" t="s">
        <v>290</v>
      </c>
      <c r="F11130" t="s">
        <v>948</v>
      </c>
      <c r="G11130">
        <v>6077777</v>
      </c>
      <c r="H11130">
        <v>501010</v>
      </c>
      <c r="I11130">
        <v>73</v>
      </c>
    </row>
    <row r="11131" spans="1:9" x14ac:dyDescent="0.25">
      <c r="A11131">
        <v>4220</v>
      </c>
      <c r="B11131">
        <v>60</v>
      </c>
      <c r="C11131" t="s">
        <v>946</v>
      </c>
      <c r="D11131" t="s">
        <v>988</v>
      </c>
      <c r="E11131" t="s">
        <v>290</v>
      </c>
      <c r="F11131" t="s">
        <v>948</v>
      </c>
      <c r="G11131">
        <v>6077777</v>
      </c>
      <c r="H11131">
        <v>500220</v>
      </c>
      <c r="I11131" t="s">
        <v>949</v>
      </c>
    </row>
    <row r="11132" spans="1:9" x14ac:dyDescent="0.25">
      <c r="A11132">
        <v>4230</v>
      </c>
      <c r="B11132">
        <v>60</v>
      </c>
      <c r="C11132" t="s">
        <v>946</v>
      </c>
      <c r="D11132" t="s">
        <v>988</v>
      </c>
      <c r="E11132" t="s">
        <v>290</v>
      </c>
      <c r="F11132" t="s">
        <v>948</v>
      </c>
      <c r="G11132">
        <v>6099999</v>
      </c>
      <c r="H11132">
        <v>403045</v>
      </c>
      <c r="I11132">
        <v>73</v>
      </c>
    </row>
    <row r="11133" spans="1:9" x14ac:dyDescent="0.25">
      <c r="A11133">
        <v>4240</v>
      </c>
      <c r="B11133">
        <v>60</v>
      </c>
      <c r="C11133" t="s">
        <v>946</v>
      </c>
      <c r="D11133" t="s">
        <v>988</v>
      </c>
      <c r="E11133" t="s">
        <v>290</v>
      </c>
      <c r="F11133" t="s">
        <v>948</v>
      </c>
      <c r="G11133">
        <v>6077777</v>
      </c>
      <c r="H11133">
        <v>500221</v>
      </c>
      <c r="I11133" t="s">
        <v>949</v>
      </c>
    </row>
    <row r="11134" spans="1:9" x14ac:dyDescent="0.25">
      <c r="A11134">
        <v>4141</v>
      </c>
      <c r="B11134">
        <v>60</v>
      </c>
      <c r="C11134" t="s">
        <v>946</v>
      </c>
      <c r="D11134" t="s">
        <v>988</v>
      </c>
      <c r="E11134" t="s">
        <v>294</v>
      </c>
      <c r="F11134" t="s">
        <v>948</v>
      </c>
      <c r="G11134">
        <v>6077777</v>
      </c>
      <c r="H11134">
        <v>501010</v>
      </c>
      <c r="I11134">
        <v>73</v>
      </c>
    </row>
    <row r="11135" spans="1:9" x14ac:dyDescent="0.25">
      <c r="A11135">
        <v>4220</v>
      </c>
      <c r="B11135">
        <v>60</v>
      </c>
      <c r="C11135" t="s">
        <v>946</v>
      </c>
      <c r="D11135" t="s">
        <v>988</v>
      </c>
      <c r="E11135" t="s">
        <v>294</v>
      </c>
      <c r="F11135" t="s">
        <v>948</v>
      </c>
      <c r="G11135">
        <v>6077777</v>
      </c>
      <c r="H11135">
        <v>500220</v>
      </c>
      <c r="I11135" t="s">
        <v>949</v>
      </c>
    </row>
    <row r="11136" spans="1:9" x14ac:dyDescent="0.25">
      <c r="A11136">
        <v>4230</v>
      </c>
      <c r="B11136">
        <v>60</v>
      </c>
      <c r="C11136" t="s">
        <v>946</v>
      </c>
      <c r="D11136" t="s">
        <v>988</v>
      </c>
      <c r="E11136" t="s">
        <v>294</v>
      </c>
      <c r="F11136" t="s">
        <v>948</v>
      </c>
      <c r="G11136">
        <v>6099999</v>
      </c>
      <c r="H11136">
        <v>403045</v>
      </c>
      <c r="I11136">
        <v>73</v>
      </c>
    </row>
    <row r="11137" spans="1:9" x14ac:dyDescent="0.25">
      <c r="A11137">
        <v>4240</v>
      </c>
      <c r="B11137">
        <v>60</v>
      </c>
      <c r="C11137" t="s">
        <v>946</v>
      </c>
      <c r="D11137" t="s">
        <v>988</v>
      </c>
      <c r="E11137" t="s">
        <v>294</v>
      </c>
      <c r="F11137" t="s">
        <v>948</v>
      </c>
      <c r="G11137">
        <v>6077777</v>
      </c>
      <c r="H11137">
        <v>500221</v>
      </c>
      <c r="I11137" t="s">
        <v>949</v>
      </c>
    </row>
    <row r="11138" spans="1:9" x14ac:dyDescent="0.25">
      <c r="A11138">
        <v>4230</v>
      </c>
      <c r="B11138">
        <v>60</v>
      </c>
      <c r="C11138" t="s">
        <v>946</v>
      </c>
      <c r="D11138" t="s">
        <v>988</v>
      </c>
      <c r="E11138" t="s">
        <v>298</v>
      </c>
      <c r="F11138" t="s">
        <v>948</v>
      </c>
      <c r="G11138">
        <v>6099999</v>
      </c>
      <c r="H11138">
        <v>403085</v>
      </c>
      <c r="I11138">
        <v>73</v>
      </c>
    </row>
    <row r="11139" spans="1:9" x14ac:dyDescent="0.25">
      <c r="A11139">
        <v>4141</v>
      </c>
      <c r="B11139">
        <v>60</v>
      </c>
      <c r="C11139" t="s">
        <v>946</v>
      </c>
      <c r="D11139" t="s">
        <v>988</v>
      </c>
      <c r="E11139" t="s">
        <v>980</v>
      </c>
      <c r="F11139" t="s">
        <v>948</v>
      </c>
      <c r="G11139">
        <v>6077777</v>
      </c>
      <c r="H11139">
        <v>501010</v>
      </c>
      <c r="I11139">
        <v>73</v>
      </c>
    </row>
    <row r="11140" spans="1:9" x14ac:dyDescent="0.25">
      <c r="A11140">
        <v>4220</v>
      </c>
      <c r="B11140">
        <v>60</v>
      </c>
      <c r="C11140" t="s">
        <v>946</v>
      </c>
      <c r="D11140" t="s">
        <v>988</v>
      </c>
      <c r="E11140" t="s">
        <v>980</v>
      </c>
      <c r="F11140" t="s">
        <v>948</v>
      </c>
      <c r="G11140">
        <v>6077777</v>
      </c>
      <c r="H11140">
        <v>500220</v>
      </c>
      <c r="I11140" t="s">
        <v>949</v>
      </c>
    </row>
    <row r="11141" spans="1:9" x14ac:dyDescent="0.25">
      <c r="A11141">
        <v>4230</v>
      </c>
      <c r="B11141">
        <v>60</v>
      </c>
      <c r="C11141" t="s">
        <v>946</v>
      </c>
      <c r="D11141" t="s">
        <v>988</v>
      </c>
      <c r="E11141" t="s">
        <v>980</v>
      </c>
      <c r="F11141" t="s">
        <v>948</v>
      </c>
      <c r="G11141">
        <v>6099999</v>
      </c>
      <c r="H11141">
        <v>403915</v>
      </c>
      <c r="I11141">
        <v>73</v>
      </c>
    </row>
    <row r="11142" spans="1:9" x14ac:dyDescent="0.25">
      <c r="A11142">
        <v>4240</v>
      </c>
      <c r="B11142">
        <v>60</v>
      </c>
      <c r="C11142" t="s">
        <v>946</v>
      </c>
      <c r="D11142" t="s">
        <v>988</v>
      </c>
      <c r="E11142" t="s">
        <v>980</v>
      </c>
      <c r="F11142" t="s">
        <v>948</v>
      </c>
      <c r="G11142">
        <v>6077777</v>
      </c>
      <c r="H11142">
        <v>500221</v>
      </c>
      <c r="I11142" t="s">
        <v>949</v>
      </c>
    </row>
    <row r="11143" spans="1:9" x14ac:dyDescent="0.25">
      <c r="A11143">
        <v>4141</v>
      </c>
      <c r="B11143">
        <v>60</v>
      </c>
      <c r="C11143" t="s">
        <v>946</v>
      </c>
      <c r="D11143" t="s">
        <v>988</v>
      </c>
      <c r="E11143" t="s">
        <v>302</v>
      </c>
      <c r="F11143" t="s">
        <v>948</v>
      </c>
      <c r="G11143">
        <v>6077777</v>
      </c>
      <c r="H11143">
        <v>501010</v>
      </c>
      <c r="I11143">
        <v>73</v>
      </c>
    </row>
    <row r="11144" spans="1:9" x14ac:dyDescent="0.25">
      <c r="A11144">
        <v>4220</v>
      </c>
      <c r="B11144">
        <v>60</v>
      </c>
      <c r="C11144" t="s">
        <v>946</v>
      </c>
      <c r="D11144" t="s">
        <v>988</v>
      </c>
      <c r="E11144" t="s">
        <v>302</v>
      </c>
      <c r="F11144" t="s">
        <v>948</v>
      </c>
      <c r="G11144">
        <v>6077777</v>
      </c>
      <c r="H11144">
        <v>500220</v>
      </c>
      <c r="I11144" t="s">
        <v>949</v>
      </c>
    </row>
    <row r="11145" spans="1:9" x14ac:dyDescent="0.25">
      <c r="A11145">
        <v>4230</v>
      </c>
      <c r="B11145">
        <v>60</v>
      </c>
      <c r="C11145" t="s">
        <v>946</v>
      </c>
      <c r="D11145" t="s">
        <v>988</v>
      </c>
      <c r="E11145" t="s">
        <v>302</v>
      </c>
      <c r="F11145" t="s">
        <v>948</v>
      </c>
      <c r="G11145">
        <v>6099999</v>
      </c>
      <c r="H11145">
        <v>401905</v>
      </c>
      <c r="I11145">
        <v>73</v>
      </c>
    </row>
    <row r="11146" spans="1:9" x14ac:dyDescent="0.25">
      <c r="A11146">
        <v>4240</v>
      </c>
      <c r="B11146">
        <v>60</v>
      </c>
      <c r="C11146" t="s">
        <v>946</v>
      </c>
      <c r="D11146" t="s">
        <v>988</v>
      </c>
      <c r="E11146" t="s">
        <v>302</v>
      </c>
      <c r="F11146" t="s">
        <v>948</v>
      </c>
      <c r="G11146">
        <v>6077777</v>
      </c>
      <c r="H11146">
        <v>500221</v>
      </c>
      <c r="I11146" t="s">
        <v>949</v>
      </c>
    </row>
    <row r="11147" spans="1:9" x14ac:dyDescent="0.25">
      <c r="A11147">
        <v>4141</v>
      </c>
      <c r="B11147">
        <v>60</v>
      </c>
      <c r="C11147" t="s">
        <v>946</v>
      </c>
      <c r="D11147" t="s">
        <v>988</v>
      </c>
      <c r="E11147" t="s">
        <v>306</v>
      </c>
      <c r="F11147" t="s">
        <v>948</v>
      </c>
      <c r="G11147">
        <v>6077777</v>
      </c>
      <c r="H11147">
        <v>501010</v>
      </c>
      <c r="I11147">
        <v>73</v>
      </c>
    </row>
    <row r="11148" spans="1:9" x14ac:dyDescent="0.25">
      <c r="A11148">
        <v>4220</v>
      </c>
      <c r="B11148">
        <v>60</v>
      </c>
      <c r="C11148" t="s">
        <v>946</v>
      </c>
      <c r="D11148" t="s">
        <v>988</v>
      </c>
      <c r="E11148" t="s">
        <v>306</v>
      </c>
      <c r="F11148" t="s">
        <v>948</v>
      </c>
      <c r="G11148">
        <v>6077777</v>
      </c>
      <c r="H11148">
        <v>500220</v>
      </c>
      <c r="I11148" t="s">
        <v>949</v>
      </c>
    </row>
    <row r="11149" spans="1:9" x14ac:dyDescent="0.25">
      <c r="A11149">
        <v>4230</v>
      </c>
      <c r="B11149">
        <v>60</v>
      </c>
      <c r="C11149" t="s">
        <v>946</v>
      </c>
      <c r="D11149" t="s">
        <v>988</v>
      </c>
      <c r="E11149" t="s">
        <v>306</v>
      </c>
      <c r="F11149" t="s">
        <v>948</v>
      </c>
      <c r="G11149">
        <v>6099999</v>
      </c>
      <c r="H11149">
        <v>403045</v>
      </c>
      <c r="I11149">
        <v>73</v>
      </c>
    </row>
    <row r="11150" spans="1:9" x14ac:dyDescent="0.25">
      <c r="A11150">
        <v>4240</v>
      </c>
      <c r="B11150">
        <v>60</v>
      </c>
      <c r="C11150" t="s">
        <v>946</v>
      </c>
      <c r="D11150" t="s">
        <v>988</v>
      </c>
      <c r="E11150" t="s">
        <v>306</v>
      </c>
      <c r="F11150" t="s">
        <v>948</v>
      </c>
      <c r="G11150">
        <v>6077777</v>
      </c>
      <c r="H11150">
        <v>500221</v>
      </c>
      <c r="I11150" t="s">
        <v>949</v>
      </c>
    </row>
    <row r="11151" spans="1:9" x14ac:dyDescent="0.25">
      <c r="A11151">
        <v>4141</v>
      </c>
      <c r="B11151">
        <v>60</v>
      </c>
      <c r="C11151" t="s">
        <v>946</v>
      </c>
      <c r="D11151" t="s">
        <v>988</v>
      </c>
      <c r="E11151" t="s">
        <v>108</v>
      </c>
      <c r="F11151" t="s">
        <v>948</v>
      </c>
      <c r="G11151">
        <v>6077777</v>
      </c>
      <c r="H11151">
        <v>500220</v>
      </c>
      <c r="I11151" t="s">
        <v>949</v>
      </c>
    </row>
    <row r="11152" spans="1:9" x14ac:dyDescent="0.25">
      <c r="A11152">
        <v>4220</v>
      </c>
      <c r="B11152">
        <v>60</v>
      </c>
      <c r="C11152" t="s">
        <v>946</v>
      </c>
      <c r="D11152" t="s">
        <v>988</v>
      </c>
      <c r="E11152" t="s">
        <v>108</v>
      </c>
      <c r="F11152" t="s">
        <v>948</v>
      </c>
      <c r="G11152">
        <v>6077777</v>
      </c>
      <c r="H11152">
        <v>500220</v>
      </c>
      <c r="I11152" t="s">
        <v>949</v>
      </c>
    </row>
    <row r="11153" spans="1:9" x14ac:dyDescent="0.25">
      <c r="A11153">
        <v>4230</v>
      </c>
      <c r="B11153">
        <v>60</v>
      </c>
      <c r="C11153" t="s">
        <v>946</v>
      </c>
      <c r="D11153" t="s">
        <v>988</v>
      </c>
      <c r="E11153" t="s">
        <v>108</v>
      </c>
      <c r="F11153" t="s">
        <v>948</v>
      </c>
      <c r="G11153">
        <v>6099999</v>
      </c>
      <c r="H11153">
        <v>403045</v>
      </c>
      <c r="I11153">
        <v>73</v>
      </c>
    </row>
    <row r="11154" spans="1:9" x14ac:dyDescent="0.25">
      <c r="A11154">
        <v>4240</v>
      </c>
      <c r="B11154">
        <v>60</v>
      </c>
      <c r="C11154" t="s">
        <v>946</v>
      </c>
      <c r="D11154" t="s">
        <v>988</v>
      </c>
      <c r="E11154" t="s">
        <v>108</v>
      </c>
      <c r="F11154" t="s">
        <v>948</v>
      </c>
      <c r="G11154">
        <v>6077777</v>
      </c>
      <c r="H11154">
        <v>500221</v>
      </c>
      <c r="I11154" t="s">
        <v>949</v>
      </c>
    </row>
    <row r="11155" spans="1:9" x14ac:dyDescent="0.25">
      <c r="A11155">
        <v>4141</v>
      </c>
      <c r="B11155">
        <v>60</v>
      </c>
      <c r="C11155" t="s">
        <v>946</v>
      </c>
      <c r="D11155" t="s">
        <v>988</v>
      </c>
      <c r="E11155" t="s">
        <v>310</v>
      </c>
      <c r="F11155" t="s">
        <v>948</v>
      </c>
      <c r="G11155">
        <v>6077777</v>
      </c>
      <c r="H11155">
        <v>501010</v>
      </c>
      <c r="I11155">
        <v>73</v>
      </c>
    </row>
    <row r="11156" spans="1:9" x14ac:dyDescent="0.25">
      <c r="A11156">
        <v>4220</v>
      </c>
      <c r="B11156">
        <v>60</v>
      </c>
      <c r="C11156" t="s">
        <v>946</v>
      </c>
      <c r="D11156" t="s">
        <v>988</v>
      </c>
      <c r="E11156" t="s">
        <v>310</v>
      </c>
      <c r="F11156" t="s">
        <v>948</v>
      </c>
      <c r="G11156">
        <v>6077777</v>
      </c>
      <c r="H11156">
        <v>500220</v>
      </c>
      <c r="I11156" t="s">
        <v>949</v>
      </c>
    </row>
    <row r="11157" spans="1:9" x14ac:dyDescent="0.25">
      <c r="A11157">
        <v>4230</v>
      </c>
      <c r="B11157">
        <v>60</v>
      </c>
      <c r="C11157" t="s">
        <v>946</v>
      </c>
      <c r="D11157" t="s">
        <v>988</v>
      </c>
      <c r="E11157" t="s">
        <v>310</v>
      </c>
      <c r="F11157" t="s">
        <v>948</v>
      </c>
      <c r="G11157">
        <v>6099999</v>
      </c>
      <c r="H11157">
        <v>403015</v>
      </c>
      <c r="I11157">
        <v>73</v>
      </c>
    </row>
    <row r="11158" spans="1:9" x14ac:dyDescent="0.25">
      <c r="A11158">
        <v>4240</v>
      </c>
      <c r="B11158">
        <v>60</v>
      </c>
      <c r="C11158" t="s">
        <v>946</v>
      </c>
      <c r="D11158" t="s">
        <v>988</v>
      </c>
      <c r="E11158" t="s">
        <v>310</v>
      </c>
      <c r="F11158" t="s">
        <v>948</v>
      </c>
      <c r="G11158">
        <v>6077777</v>
      </c>
      <c r="H11158">
        <v>500221</v>
      </c>
      <c r="I11158" t="s">
        <v>949</v>
      </c>
    </row>
    <row r="11159" spans="1:9" x14ac:dyDescent="0.25">
      <c r="A11159">
        <v>4141</v>
      </c>
      <c r="B11159">
        <v>60</v>
      </c>
      <c r="C11159" t="s">
        <v>946</v>
      </c>
      <c r="D11159" t="s">
        <v>988</v>
      </c>
      <c r="E11159" t="s">
        <v>314</v>
      </c>
      <c r="F11159" t="s">
        <v>948</v>
      </c>
      <c r="G11159">
        <v>6077777</v>
      </c>
      <c r="H11159">
        <v>501010</v>
      </c>
      <c r="I11159">
        <v>73</v>
      </c>
    </row>
    <row r="11160" spans="1:9" x14ac:dyDescent="0.25">
      <c r="A11160">
        <v>4220</v>
      </c>
      <c r="B11160">
        <v>60</v>
      </c>
      <c r="C11160" t="s">
        <v>946</v>
      </c>
      <c r="D11160" t="s">
        <v>988</v>
      </c>
      <c r="E11160" t="s">
        <v>314</v>
      </c>
      <c r="F11160" t="s">
        <v>948</v>
      </c>
      <c r="G11160">
        <v>6077777</v>
      </c>
      <c r="H11160">
        <v>500220</v>
      </c>
      <c r="I11160" t="s">
        <v>949</v>
      </c>
    </row>
    <row r="11161" spans="1:9" x14ac:dyDescent="0.25">
      <c r="A11161">
        <v>4230</v>
      </c>
      <c r="B11161">
        <v>60</v>
      </c>
      <c r="C11161" t="s">
        <v>946</v>
      </c>
      <c r="D11161" t="s">
        <v>988</v>
      </c>
      <c r="E11161" t="s">
        <v>314</v>
      </c>
      <c r="F11161" t="s">
        <v>948</v>
      </c>
      <c r="G11161">
        <v>6099999</v>
      </c>
      <c r="H11161">
        <v>403065</v>
      </c>
      <c r="I11161">
        <v>73</v>
      </c>
    </row>
    <row r="11162" spans="1:9" x14ac:dyDescent="0.25">
      <c r="A11162">
        <v>4240</v>
      </c>
      <c r="B11162">
        <v>60</v>
      </c>
      <c r="C11162" t="s">
        <v>946</v>
      </c>
      <c r="D11162" t="s">
        <v>988</v>
      </c>
      <c r="E11162" t="s">
        <v>314</v>
      </c>
      <c r="F11162" t="s">
        <v>948</v>
      </c>
      <c r="G11162">
        <v>6077777</v>
      </c>
      <c r="H11162">
        <v>500221</v>
      </c>
      <c r="I11162" t="s">
        <v>949</v>
      </c>
    </row>
    <row r="11163" spans="1:9" x14ac:dyDescent="0.25">
      <c r="A11163">
        <v>4141</v>
      </c>
      <c r="B11163">
        <v>60</v>
      </c>
      <c r="C11163" t="s">
        <v>946</v>
      </c>
      <c r="D11163" t="s">
        <v>988</v>
      </c>
      <c r="E11163" t="s">
        <v>113</v>
      </c>
      <c r="F11163" t="s">
        <v>948</v>
      </c>
      <c r="G11163">
        <v>6077777</v>
      </c>
      <c r="H11163">
        <v>500220</v>
      </c>
      <c r="I11163" t="s">
        <v>949</v>
      </c>
    </row>
    <row r="11164" spans="1:9" x14ac:dyDescent="0.25">
      <c r="A11164">
        <v>4220</v>
      </c>
      <c r="B11164">
        <v>60</v>
      </c>
      <c r="C11164" t="s">
        <v>946</v>
      </c>
      <c r="D11164" t="s">
        <v>988</v>
      </c>
      <c r="E11164" t="s">
        <v>113</v>
      </c>
      <c r="F11164" t="s">
        <v>948</v>
      </c>
      <c r="G11164">
        <v>6077777</v>
      </c>
      <c r="H11164">
        <v>500220</v>
      </c>
      <c r="I11164" t="s">
        <v>949</v>
      </c>
    </row>
    <row r="11165" spans="1:9" x14ac:dyDescent="0.25">
      <c r="A11165">
        <v>4230</v>
      </c>
      <c r="B11165">
        <v>60</v>
      </c>
      <c r="C11165" t="s">
        <v>946</v>
      </c>
      <c r="D11165" t="s">
        <v>988</v>
      </c>
      <c r="E11165" t="s">
        <v>113</v>
      </c>
      <c r="F11165" t="s">
        <v>948</v>
      </c>
      <c r="G11165">
        <v>6099999</v>
      </c>
      <c r="H11165">
        <v>403085</v>
      </c>
      <c r="I11165">
        <v>73</v>
      </c>
    </row>
    <row r="11166" spans="1:9" x14ac:dyDescent="0.25">
      <c r="A11166">
        <v>4240</v>
      </c>
      <c r="B11166">
        <v>60</v>
      </c>
      <c r="C11166" t="s">
        <v>946</v>
      </c>
      <c r="D11166" t="s">
        <v>988</v>
      </c>
      <c r="E11166" t="s">
        <v>113</v>
      </c>
      <c r="F11166" t="s">
        <v>948</v>
      </c>
      <c r="G11166">
        <v>6077777</v>
      </c>
      <c r="H11166">
        <v>500221</v>
      </c>
      <c r="I11166" t="s">
        <v>949</v>
      </c>
    </row>
    <row r="11167" spans="1:9" x14ac:dyDescent="0.25">
      <c r="A11167">
        <v>4141</v>
      </c>
      <c r="B11167">
        <v>60</v>
      </c>
      <c r="C11167" t="s">
        <v>946</v>
      </c>
      <c r="D11167" t="s">
        <v>988</v>
      </c>
      <c r="E11167" t="s">
        <v>117</v>
      </c>
      <c r="F11167" t="s">
        <v>948</v>
      </c>
      <c r="G11167">
        <v>6077777</v>
      </c>
      <c r="H11167">
        <v>500220</v>
      </c>
      <c r="I11167" t="s">
        <v>949</v>
      </c>
    </row>
    <row r="11168" spans="1:9" x14ac:dyDescent="0.25">
      <c r="A11168">
        <v>4220</v>
      </c>
      <c r="B11168">
        <v>60</v>
      </c>
      <c r="C11168" t="s">
        <v>946</v>
      </c>
      <c r="D11168" t="s">
        <v>988</v>
      </c>
      <c r="E11168" t="s">
        <v>117</v>
      </c>
      <c r="F11168" t="s">
        <v>948</v>
      </c>
      <c r="G11168">
        <v>6077777</v>
      </c>
      <c r="H11168">
        <v>500220</v>
      </c>
      <c r="I11168" t="s">
        <v>949</v>
      </c>
    </row>
    <row r="11169" spans="1:9" x14ac:dyDescent="0.25">
      <c r="A11169">
        <v>4230</v>
      </c>
      <c r="B11169">
        <v>60</v>
      </c>
      <c r="C11169" t="s">
        <v>946</v>
      </c>
      <c r="D11169" t="s">
        <v>988</v>
      </c>
      <c r="E11169" t="s">
        <v>117</v>
      </c>
      <c r="F11169" t="s">
        <v>948</v>
      </c>
      <c r="G11169">
        <v>6088888</v>
      </c>
      <c r="H11169">
        <v>810600</v>
      </c>
      <c r="I11169">
        <v>73</v>
      </c>
    </row>
    <row r="11170" spans="1:9" x14ac:dyDescent="0.25">
      <c r="A11170">
        <v>4240</v>
      </c>
      <c r="B11170">
        <v>60</v>
      </c>
      <c r="C11170" t="s">
        <v>946</v>
      </c>
      <c r="D11170" t="s">
        <v>988</v>
      </c>
      <c r="E11170" t="s">
        <v>117</v>
      </c>
      <c r="F11170" t="s">
        <v>948</v>
      </c>
      <c r="G11170">
        <v>6077777</v>
      </c>
      <c r="H11170">
        <v>500221</v>
      </c>
      <c r="I11170" t="s">
        <v>949</v>
      </c>
    </row>
    <row r="11171" spans="1:9" x14ac:dyDescent="0.25">
      <c r="A11171">
        <v>4141</v>
      </c>
      <c r="B11171">
        <v>60</v>
      </c>
      <c r="C11171" t="s">
        <v>946</v>
      </c>
      <c r="D11171" t="s">
        <v>988</v>
      </c>
      <c r="E11171" t="s">
        <v>121</v>
      </c>
      <c r="F11171" t="s">
        <v>948</v>
      </c>
      <c r="G11171">
        <v>6077777</v>
      </c>
      <c r="H11171">
        <v>500220</v>
      </c>
      <c r="I11171" t="s">
        <v>949</v>
      </c>
    </row>
    <row r="11172" spans="1:9" x14ac:dyDescent="0.25">
      <c r="A11172">
        <v>4220</v>
      </c>
      <c r="B11172">
        <v>60</v>
      </c>
      <c r="C11172" t="s">
        <v>946</v>
      </c>
      <c r="D11172" t="s">
        <v>988</v>
      </c>
      <c r="E11172" t="s">
        <v>121</v>
      </c>
      <c r="F11172" t="s">
        <v>948</v>
      </c>
      <c r="G11172">
        <v>6077777</v>
      </c>
      <c r="H11172">
        <v>500220</v>
      </c>
      <c r="I11172" t="s">
        <v>949</v>
      </c>
    </row>
    <row r="11173" spans="1:9" x14ac:dyDescent="0.25">
      <c r="A11173">
        <v>4230</v>
      </c>
      <c r="B11173">
        <v>60</v>
      </c>
      <c r="C11173" t="s">
        <v>946</v>
      </c>
      <c r="D11173" t="s">
        <v>988</v>
      </c>
      <c r="E11173" t="s">
        <v>121</v>
      </c>
      <c r="F11173" t="s">
        <v>948</v>
      </c>
      <c r="G11173">
        <v>6099999</v>
      </c>
      <c r="H11173">
        <v>403045</v>
      </c>
      <c r="I11173">
        <v>73</v>
      </c>
    </row>
    <row r="11174" spans="1:9" x14ac:dyDescent="0.25">
      <c r="A11174">
        <v>4240</v>
      </c>
      <c r="B11174">
        <v>60</v>
      </c>
      <c r="C11174" t="s">
        <v>946</v>
      </c>
      <c r="D11174" t="s">
        <v>988</v>
      </c>
      <c r="E11174" t="s">
        <v>121</v>
      </c>
      <c r="F11174" t="s">
        <v>948</v>
      </c>
      <c r="G11174">
        <v>6077777</v>
      </c>
      <c r="H11174">
        <v>500221</v>
      </c>
      <c r="I11174" t="s">
        <v>949</v>
      </c>
    </row>
    <row r="11175" spans="1:9" x14ac:dyDescent="0.25">
      <c r="A11175">
        <v>4141</v>
      </c>
      <c r="B11175">
        <v>60</v>
      </c>
      <c r="C11175" t="s">
        <v>946</v>
      </c>
      <c r="D11175" t="s">
        <v>988</v>
      </c>
      <c r="E11175" t="s">
        <v>984</v>
      </c>
      <c r="F11175" t="s">
        <v>948</v>
      </c>
      <c r="G11175">
        <v>6077777</v>
      </c>
      <c r="H11175">
        <v>501010</v>
      </c>
      <c r="I11175">
        <v>73</v>
      </c>
    </row>
    <row r="11176" spans="1:9" x14ac:dyDescent="0.25">
      <c r="A11176">
        <v>4220</v>
      </c>
      <c r="B11176">
        <v>60</v>
      </c>
      <c r="C11176" t="s">
        <v>946</v>
      </c>
      <c r="D11176" t="s">
        <v>988</v>
      </c>
      <c r="E11176" t="s">
        <v>984</v>
      </c>
      <c r="F11176" t="s">
        <v>948</v>
      </c>
      <c r="G11176">
        <v>6077777</v>
      </c>
      <c r="H11176">
        <v>500220</v>
      </c>
      <c r="I11176" t="s">
        <v>949</v>
      </c>
    </row>
    <row r="11177" spans="1:9" x14ac:dyDescent="0.25">
      <c r="A11177">
        <v>4230</v>
      </c>
      <c r="B11177">
        <v>60</v>
      </c>
      <c r="C11177" t="s">
        <v>946</v>
      </c>
      <c r="D11177" t="s">
        <v>988</v>
      </c>
      <c r="E11177" t="s">
        <v>984</v>
      </c>
      <c r="F11177" t="s">
        <v>948</v>
      </c>
      <c r="G11177">
        <v>6099999</v>
      </c>
      <c r="H11177">
        <v>403915</v>
      </c>
      <c r="I11177">
        <v>73</v>
      </c>
    </row>
    <row r="11178" spans="1:9" x14ac:dyDescent="0.25">
      <c r="A11178">
        <v>4240</v>
      </c>
      <c r="B11178">
        <v>60</v>
      </c>
      <c r="C11178" t="s">
        <v>946</v>
      </c>
      <c r="D11178" t="s">
        <v>988</v>
      </c>
      <c r="E11178" t="s">
        <v>984</v>
      </c>
      <c r="F11178" t="s">
        <v>948</v>
      </c>
      <c r="G11178">
        <v>6077777</v>
      </c>
      <c r="H11178">
        <v>500221</v>
      </c>
      <c r="I11178" t="s">
        <v>949</v>
      </c>
    </row>
    <row r="11179" spans="1:9" x14ac:dyDescent="0.25">
      <c r="A11179">
        <v>4141</v>
      </c>
      <c r="B11179">
        <v>60</v>
      </c>
      <c r="C11179" t="s">
        <v>946</v>
      </c>
      <c r="D11179" t="s">
        <v>989</v>
      </c>
      <c r="E11179" t="s">
        <v>243</v>
      </c>
      <c r="F11179" t="s">
        <v>948</v>
      </c>
      <c r="G11179">
        <v>6077777</v>
      </c>
      <c r="H11179">
        <v>501010</v>
      </c>
      <c r="I11179">
        <v>72</v>
      </c>
    </row>
    <row r="11180" spans="1:9" x14ac:dyDescent="0.25">
      <c r="A11180">
        <v>4220</v>
      </c>
      <c r="B11180">
        <v>60</v>
      </c>
      <c r="C11180" t="s">
        <v>946</v>
      </c>
      <c r="D11180" t="s">
        <v>989</v>
      </c>
      <c r="E11180" t="s">
        <v>243</v>
      </c>
      <c r="F11180" t="s">
        <v>948</v>
      </c>
      <c r="G11180">
        <v>6077777</v>
      </c>
      <c r="H11180">
        <v>500220</v>
      </c>
      <c r="I11180" t="s">
        <v>949</v>
      </c>
    </row>
    <row r="11181" spans="1:9" x14ac:dyDescent="0.25">
      <c r="A11181">
        <v>4230</v>
      </c>
      <c r="B11181">
        <v>60</v>
      </c>
      <c r="C11181" t="s">
        <v>946</v>
      </c>
      <c r="D11181" t="s">
        <v>989</v>
      </c>
      <c r="E11181" t="s">
        <v>243</v>
      </c>
      <c r="F11181" t="s">
        <v>948</v>
      </c>
      <c r="G11181">
        <v>6099999</v>
      </c>
      <c r="H11181">
        <v>403055</v>
      </c>
      <c r="I11181">
        <v>72</v>
      </c>
    </row>
    <row r="11182" spans="1:9" x14ac:dyDescent="0.25">
      <c r="A11182">
        <v>4240</v>
      </c>
      <c r="B11182">
        <v>60</v>
      </c>
      <c r="C11182" t="s">
        <v>946</v>
      </c>
      <c r="D11182" t="s">
        <v>989</v>
      </c>
      <c r="E11182" t="s">
        <v>243</v>
      </c>
      <c r="F11182" t="s">
        <v>948</v>
      </c>
      <c r="G11182">
        <v>6077777</v>
      </c>
      <c r="H11182">
        <v>500221</v>
      </c>
      <c r="I11182" t="s">
        <v>949</v>
      </c>
    </row>
    <row r="11183" spans="1:9" x14ac:dyDescent="0.25">
      <c r="A11183">
        <v>4141</v>
      </c>
      <c r="B11183">
        <v>60</v>
      </c>
      <c r="C11183" t="s">
        <v>946</v>
      </c>
      <c r="D11183" t="s">
        <v>989</v>
      </c>
      <c r="E11183" t="s">
        <v>247</v>
      </c>
      <c r="F11183" t="s">
        <v>948</v>
      </c>
      <c r="G11183">
        <v>6077777</v>
      </c>
      <c r="H11183">
        <v>501010</v>
      </c>
      <c r="I11183">
        <v>72</v>
      </c>
    </row>
    <row r="11184" spans="1:9" x14ac:dyDescent="0.25">
      <c r="A11184">
        <v>4220</v>
      </c>
      <c r="B11184">
        <v>60</v>
      </c>
      <c r="C11184" t="s">
        <v>946</v>
      </c>
      <c r="D11184" t="s">
        <v>989</v>
      </c>
      <c r="E11184" t="s">
        <v>247</v>
      </c>
      <c r="F11184" t="s">
        <v>948</v>
      </c>
      <c r="G11184">
        <v>6077777</v>
      </c>
      <c r="H11184">
        <v>500220</v>
      </c>
      <c r="I11184" t="s">
        <v>949</v>
      </c>
    </row>
    <row r="11185" spans="1:9" x14ac:dyDescent="0.25">
      <c r="A11185">
        <v>4230</v>
      </c>
      <c r="B11185">
        <v>60</v>
      </c>
      <c r="C11185" t="s">
        <v>946</v>
      </c>
      <c r="D11185" t="s">
        <v>989</v>
      </c>
      <c r="E11185" t="s">
        <v>247</v>
      </c>
      <c r="F11185" t="s">
        <v>948</v>
      </c>
      <c r="G11185">
        <v>6099999</v>
      </c>
      <c r="H11185">
        <v>403025</v>
      </c>
      <c r="I11185">
        <v>72</v>
      </c>
    </row>
    <row r="11186" spans="1:9" x14ac:dyDescent="0.25">
      <c r="A11186">
        <v>4240</v>
      </c>
      <c r="B11186">
        <v>60</v>
      </c>
      <c r="C11186" t="s">
        <v>946</v>
      </c>
      <c r="D11186" t="s">
        <v>989</v>
      </c>
      <c r="E11186" t="s">
        <v>247</v>
      </c>
      <c r="F11186" t="s">
        <v>948</v>
      </c>
      <c r="G11186">
        <v>6077777</v>
      </c>
      <c r="H11186">
        <v>500221</v>
      </c>
      <c r="I11186" t="s">
        <v>949</v>
      </c>
    </row>
    <row r="11187" spans="1:9" x14ac:dyDescent="0.25">
      <c r="A11187">
        <v>4141</v>
      </c>
      <c r="B11187">
        <v>60</v>
      </c>
      <c r="C11187" t="s">
        <v>946</v>
      </c>
      <c r="D11187" t="s">
        <v>989</v>
      </c>
      <c r="E11187" t="s">
        <v>251</v>
      </c>
      <c r="F11187" t="s">
        <v>948</v>
      </c>
      <c r="G11187">
        <v>6077777</v>
      </c>
      <c r="H11187">
        <v>501010</v>
      </c>
      <c r="I11187">
        <v>72</v>
      </c>
    </row>
    <row r="11188" spans="1:9" x14ac:dyDescent="0.25">
      <c r="A11188">
        <v>4220</v>
      </c>
      <c r="B11188">
        <v>60</v>
      </c>
      <c r="C11188" t="s">
        <v>946</v>
      </c>
      <c r="D11188" t="s">
        <v>989</v>
      </c>
      <c r="E11188" t="s">
        <v>251</v>
      </c>
      <c r="F11188" t="s">
        <v>948</v>
      </c>
      <c r="G11188">
        <v>6077777</v>
      </c>
      <c r="H11188">
        <v>500220</v>
      </c>
      <c r="I11188" t="s">
        <v>949</v>
      </c>
    </row>
    <row r="11189" spans="1:9" x14ac:dyDescent="0.25">
      <c r="A11189">
        <v>4230</v>
      </c>
      <c r="B11189">
        <v>60</v>
      </c>
      <c r="C11189" t="s">
        <v>946</v>
      </c>
      <c r="D11189" t="s">
        <v>989</v>
      </c>
      <c r="E11189" t="s">
        <v>251</v>
      </c>
      <c r="F11189" t="s">
        <v>948</v>
      </c>
      <c r="G11189">
        <v>6099999</v>
      </c>
      <c r="H11189">
        <v>403045</v>
      </c>
      <c r="I11189">
        <v>72</v>
      </c>
    </row>
    <row r="11190" spans="1:9" x14ac:dyDescent="0.25">
      <c r="A11190">
        <v>4240</v>
      </c>
      <c r="B11190">
        <v>60</v>
      </c>
      <c r="C11190" t="s">
        <v>946</v>
      </c>
      <c r="D11190" t="s">
        <v>989</v>
      </c>
      <c r="E11190" t="s">
        <v>251</v>
      </c>
      <c r="F11190" t="s">
        <v>948</v>
      </c>
      <c r="G11190">
        <v>6077777</v>
      </c>
      <c r="H11190">
        <v>500221</v>
      </c>
      <c r="I11190" t="s">
        <v>949</v>
      </c>
    </row>
    <row r="11191" spans="1:9" x14ac:dyDescent="0.25">
      <c r="A11191">
        <v>4141</v>
      </c>
      <c r="B11191">
        <v>60</v>
      </c>
      <c r="C11191" t="s">
        <v>946</v>
      </c>
      <c r="D11191" t="s">
        <v>989</v>
      </c>
      <c r="E11191" t="s">
        <v>969</v>
      </c>
      <c r="F11191" t="s">
        <v>948</v>
      </c>
      <c r="G11191">
        <v>6077777</v>
      </c>
      <c r="H11191">
        <v>501010</v>
      </c>
      <c r="I11191">
        <v>72</v>
      </c>
    </row>
    <row r="11192" spans="1:9" x14ac:dyDescent="0.25">
      <c r="A11192">
        <v>4220</v>
      </c>
      <c r="B11192">
        <v>60</v>
      </c>
      <c r="C11192" t="s">
        <v>946</v>
      </c>
      <c r="D11192" t="s">
        <v>989</v>
      </c>
      <c r="E11192" t="s">
        <v>969</v>
      </c>
      <c r="F11192" t="s">
        <v>948</v>
      </c>
      <c r="G11192">
        <v>6077777</v>
      </c>
      <c r="H11192">
        <v>500220</v>
      </c>
      <c r="I11192" t="s">
        <v>949</v>
      </c>
    </row>
    <row r="11193" spans="1:9" x14ac:dyDescent="0.25">
      <c r="A11193">
        <v>4230</v>
      </c>
      <c r="B11193">
        <v>60</v>
      </c>
      <c r="C11193" t="s">
        <v>946</v>
      </c>
      <c r="D11193" t="s">
        <v>989</v>
      </c>
      <c r="E11193" t="s">
        <v>969</v>
      </c>
      <c r="F11193" t="s">
        <v>948</v>
      </c>
      <c r="G11193">
        <v>6099999</v>
      </c>
      <c r="H11193">
        <v>403915</v>
      </c>
      <c r="I11193">
        <v>72</v>
      </c>
    </row>
    <row r="11194" spans="1:9" x14ac:dyDescent="0.25">
      <c r="A11194">
        <v>4240</v>
      </c>
      <c r="B11194">
        <v>60</v>
      </c>
      <c r="C11194" t="s">
        <v>946</v>
      </c>
      <c r="D11194" t="s">
        <v>989</v>
      </c>
      <c r="E11194" t="s">
        <v>969</v>
      </c>
      <c r="F11194" t="s">
        <v>948</v>
      </c>
      <c r="G11194">
        <v>6077777</v>
      </c>
      <c r="H11194">
        <v>500221</v>
      </c>
      <c r="I11194" t="s">
        <v>949</v>
      </c>
    </row>
    <row r="11195" spans="1:9" x14ac:dyDescent="0.25">
      <c r="A11195">
        <v>4141</v>
      </c>
      <c r="B11195">
        <v>60</v>
      </c>
      <c r="C11195" t="s">
        <v>946</v>
      </c>
      <c r="D11195" t="s">
        <v>989</v>
      </c>
      <c r="E11195" t="s">
        <v>255</v>
      </c>
      <c r="F11195" t="s">
        <v>948</v>
      </c>
      <c r="G11195">
        <v>6077777</v>
      </c>
      <c r="H11195">
        <v>501010</v>
      </c>
      <c r="I11195">
        <v>72</v>
      </c>
    </row>
    <row r="11196" spans="1:9" x14ac:dyDescent="0.25">
      <c r="A11196">
        <v>4220</v>
      </c>
      <c r="B11196">
        <v>60</v>
      </c>
      <c r="C11196" t="s">
        <v>946</v>
      </c>
      <c r="D11196" t="s">
        <v>989</v>
      </c>
      <c r="E11196" t="s">
        <v>255</v>
      </c>
      <c r="F11196" t="s">
        <v>948</v>
      </c>
      <c r="G11196">
        <v>6077777</v>
      </c>
      <c r="H11196">
        <v>500220</v>
      </c>
      <c r="I11196" t="s">
        <v>949</v>
      </c>
    </row>
    <row r="11197" spans="1:9" x14ac:dyDescent="0.25">
      <c r="A11197">
        <v>4230</v>
      </c>
      <c r="B11197">
        <v>60</v>
      </c>
      <c r="C11197" t="s">
        <v>946</v>
      </c>
      <c r="D11197" t="s">
        <v>989</v>
      </c>
      <c r="E11197" t="s">
        <v>255</v>
      </c>
      <c r="F11197" t="s">
        <v>948</v>
      </c>
      <c r="G11197">
        <v>6099999</v>
      </c>
      <c r="H11197">
        <v>403075</v>
      </c>
      <c r="I11197">
        <v>72</v>
      </c>
    </row>
    <row r="11198" spans="1:9" x14ac:dyDescent="0.25">
      <c r="A11198">
        <v>4240</v>
      </c>
      <c r="B11198">
        <v>60</v>
      </c>
      <c r="C11198" t="s">
        <v>946</v>
      </c>
      <c r="D11198" t="s">
        <v>989</v>
      </c>
      <c r="E11198" t="s">
        <v>255</v>
      </c>
      <c r="F11198" t="s">
        <v>948</v>
      </c>
      <c r="G11198">
        <v>6077777</v>
      </c>
      <c r="H11198">
        <v>500221</v>
      </c>
      <c r="I11198" t="s">
        <v>949</v>
      </c>
    </row>
    <row r="11199" spans="1:9" x14ac:dyDescent="0.25">
      <c r="A11199">
        <v>4141</v>
      </c>
      <c r="B11199">
        <v>60</v>
      </c>
      <c r="C11199" t="s">
        <v>946</v>
      </c>
      <c r="D11199" t="s">
        <v>989</v>
      </c>
      <c r="E11199" t="s">
        <v>971</v>
      </c>
      <c r="F11199" t="s">
        <v>948</v>
      </c>
      <c r="G11199">
        <v>6077777</v>
      </c>
      <c r="H11199">
        <v>501010</v>
      </c>
      <c r="I11199">
        <v>72</v>
      </c>
    </row>
    <row r="11200" spans="1:9" x14ac:dyDescent="0.25">
      <c r="A11200">
        <v>4220</v>
      </c>
      <c r="B11200">
        <v>60</v>
      </c>
      <c r="C11200" t="s">
        <v>946</v>
      </c>
      <c r="D11200" t="s">
        <v>989</v>
      </c>
      <c r="E11200" t="s">
        <v>971</v>
      </c>
      <c r="F11200" t="s">
        <v>948</v>
      </c>
      <c r="G11200">
        <v>6077777</v>
      </c>
      <c r="H11200">
        <v>500220</v>
      </c>
      <c r="I11200" t="s">
        <v>949</v>
      </c>
    </row>
    <row r="11201" spans="1:9" x14ac:dyDescent="0.25">
      <c r="A11201">
        <v>4230</v>
      </c>
      <c r="B11201">
        <v>60</v>
      </c>
      <c r="C11201" t="s">
        <v>946</v>
      </c>
      <c r="D11201" t="s">
        <v>989</v>
      </c>
      <c r="E11201" t="s">
        <v>971</v>
      </c>
      <c r="F11201" t="s">
        <v>948</v>
      </c>
      <c r="G11201">
        <v>6099999</v>
      </c>
      <c r="H11201">
        <v>403915</v>
      </c>
      <c r="I11201">
        <v>72</v>
      </c>
    </row>
    <row r="11202" spans="1:9" x14ac:dyDescent="0.25">
      <c r="A11202">
        <v>4240</v>
      </c>
      <c r="B11202">
        <v>60</v>
      </c>
      <c r="C11202" t="s">
        <v>946</v>
      </c>
      <c r="D11202" t="s">
        <v>989</v>
      </c>
      <c r="E11202" t="s">
        <v>971</v>
      </c>
      <c r="F11202" t="s">
        <v>948</v>
      </c>
      <c r="G11202">
        <v>6077777</v>
      </c>
      <c r="H11202">
        <v>500221</v>
      </c>
      <c r="I11202" t="s">
        <v>949</v>
      </c>
    </row>
    <row r="11203" spans="1:9" x14ac:dyDescent="0.25">
      <c r="A11203">
        <v>4230</v>
      </c>
      <c r="B11203">
        <v>60</v>
      </c>
      <c r="C11203" t="s">
        <v>946</v>
      </c>
      <c r="D11203" t="s">
        <v>989</v>
      </c>
      <c r="E11203" t="s">
        <v>259</v>
      </c>
      <c r="F11203" t="s">
        <v>948</v>
      </c>
      <c r="G11203">
        <v>6099999</v>
      </c>
      <c r="H11203">
        <v>409005</v>
      </c>
      <c r="I11203">
        <v>72</v>
      </c>
    </row>
    <row r="11204" spans="1:9" x14ac:dyDescent="0.25">
      <c r="A11204">
        <v>4141</v>
      </c>
      <c r="B11204">
        <v>60</v>
      </c>
      <c r="C11204" t="s">
        <v>946</v>
      </c>
      <c r="D11204" t="s">
        <v>989</v>
      </c>
      <c r="E11204" t="s">
        <v>263</v>
      </c>
      <c r="F11204" t="s">
        <v>948</v>
      </c>
      <c r="G11204">
        <v>6077777</v>
      </c>
      <c r="H11204">
        <v>501010</v>
      </c>
      <c r="I11204">
        <v>72</v>
      </c>
    </row>
    <row r="11205" spans="1:9" x14ac:dyDescent="0.25">
      <c r="A11205">
        <v>4220</v>
      </c>
      <c r="B11205">
        <v>60</v>
      </c>
      <c r="C11205" t="s">
        <v>946</v>
      </c>
      <c r="D11205" t="s">
        <v>989</v>
      </c>
      <c r="E11205" t="s">
        <v>263</v>
      </c>
      <c r="F11205" t="s">
        <v>948</v>
      </c>
      <c r="G11205">
        <v>6077777</v>
      </c>
      <c r="H11205">
        <v>500220</v>
      </c>
      <c r="I11205" t="s">
        <v>949</v>
      </c>
    </row>
    <row r="11206" spans="1:9" x14ac:dyDescent="0.25">
      <c r="A11206">
        <v>4230</v>
      </c>
      <c r="B11206">
        <v>60</v>
      </c>
      <c r="C11206" t="s">
        <v>946</v>
      </c>
      <c r="D11206" t="s">
        <v>989</v>
      </c>
      <c r="E11206" t="s">
        <v>263</v>
      </c>
      <c r="F11206" t="s">
        <v>948</v>
      </c>
      <c r="G11206">
        <v>6099999</v>
      </c>
      <c r="H11206">
        <v>403045</v>
      </c>
      <c r="I11206">
        <v>72</v>
      </c>
    </row>
    <row r="11207" spans="1:9" x14ac:dyDescent="0.25">
      <c r="A11207">
        <v>4240</v>
      </c>
      <c r="B11207">
        <v>60</v>
      </c>
      <c r="C11207" t="s">
        <v>946</v>
      </c>
      <c r="D11207" t="s">
        <v>989</v>
      </c>
      <c r="E11207" t="s">
        <v>263</v>
      </c>
      <c r="F11207" t="s">
        <v>948</v>
      </c>
      <c r="G11207">
        <v>6077777</v>
      </c>
      <c r="H11207">
        <v>500221</v>
      </c>
      <c r="I11207" t="s">
        <v>949</v>
      </c>
    </row>
    <row r="11208" spans="1:9" x14ac:dyDescent="0.25">
      <c r="A11208">
        <v>4141</v>
      </c>
      <c r="B11208">
        <v>60</v>
      </c>
      <c r="C11208" t="s">
        <v>946</v>
      </c>
      <c r="D11208" t="s">
        <v>989</v>
      </c>
      <c r="E11208" t="s">
        <v>100</v>
      </c>
      <c r="F11208" t="s">
        <v>948</v>
      </c>
      <c r="G11208">
        <v>6077777</v>
      </c>
      <c r="H11208">
        <v>500220</v>
      </c>
      <c r="I11208" t="s">
        <v>949</v>
      </c>
    </row>
    <row r="11209" spans="1:9" x14ac:dyDescent="0.25">
      <c r="A11209">
        <v>4220</v>
      </c>
      <c r="B11209">
        <v>60</v>
      </c>
      <c r="C11209" t="s">
        <v>946</v>
      </c>
      <c r="D11209" t="s">
        <v>989</v>
      </c>
      <c r="E11209" t="s">
        <v>100</v>
      </c>
      <c r="F11209" t="s">
        <v>948</v>
      </c>
      <c r="G11209">
        <v>6077777</v>
      </c>
      <c r="H11209">
        <v>500220</v>
      </c>
      <c r="I11209" t="s">
        <v>949</v>
      </c>
    </row>
    <row r="11210" spans="1:9" x14ac:dyDescent="0.25">
      <c r="A11210">
        <v>4230</v>
      </c>
      <c r="B11210">
        <v>60</v>
      </c>
      <c r="C11210" t="s">
        <v>946</v>
      </c>
      <c r="D11210" t="s">
        <v>989</v>
      </c>
      <c r="E11210" t="s">
        <v>100</v>
      </c>
      <c r="F11210" t="s">
        <v>948</v>
      </c>
      <c r="G11210">
        <v>6099999</v>
      </c>
      <c r="H11210">
        <v>403045</v>
      </c>
      <c r="I11210">
        <v>72</v>
      </c>
    </row>
    <row r="11211" spans="1:9" x14ac:dyDescent="0.25">
      <c r="A11211">
        <v>4240</v>
      </c>
      <c r="B11211">
        <v>60</v>
      </c>
      <c r="C11211" t="s">
        <v>946</v>
      </c>
      <c r="D11211" t="s">
        <v>989</v>
      </c>
      <c r="E11211" t="s">
        <v>100</v>
      </c>
      <c r="F11211" t="s">
        <v>948</v>
      </c>
      <c r="G11211">
        <v>6077777</v>
      </c>
      <c r="H11211">
        <v>500221</v>
      </c>
      <c r="I11211" t="s">
        <v>949</v>
      </c>
    </row>
    <row r="11212" spans="1:9" x14ac:dyDescent="0.25">
      <c r="A11212">
        <v>4141</v>
      </c>
      <c r="B11212">
        <v>60</v>
      </c>
      <c r="C11212" t="s">
        <v>946</v>
      </c>
      <c r="D11212" t="s">
        <v>989</v>
      </c>
      <c r="E11212" t="s">
        <v>270</v>
      </c>
      <c r="F11212" t="s">
        <v>948</v>
      </c>
      <c r="G11212">
        <v>6077777</v>
      </c>
      <c r="H11212">
        <v>501010</v>
      </c>
      <c r="I11212">
        <v>72</v>
      </c>
    </row>
    <row r="11213" spans="1:9" x14ac:dyDescent="0.25">
      <c r="A11213">
        <v>4220</v>
      </c>
      <c r="B11213">
        <v>60</v>
      </c>
      <c r="C11213" t="s">
        <v>946</v>
      </c>
      <c r="D11213" t="s">
        <v>989</v>
      </c>
      <c r="E11213" t="s">
        <v>270</v>
      </c>
      <c r="F11213" t="s">
        <v>948</v>
      </c>
      <c r="G11213">
        <v>6077777</v>
      </c>
      <c r="H11213">
        <v>500220</v>
      </c>
      <c r="I11213" t="s">
        <v>949</v>
      </c>
    </row>
    <row r="11214" spans="1:9" x14ac:dyDescent="0.25">
      <c r="A11214">
        <v>4230</v>
      </c>
      <c r="B11214">
        <v>60</v>
      </c>
      <c r="C11214" t="s">
        <v>946</v>
      </c>
      <c r="D11214" t="s">
        <v>989</v>
      </c>
      <c r="E11214" t="s">
        <v>270</v>
      </c>
      <c r="F11214" t="s">
        <v>948</v>
      </c>
      <c r="G11214">
        <v>6099999</v>
      </c>
      <c r="H11214">
        <v>403065</v>
      </c>
      <c r="I11214">
        <v>72</v>
      </c>
    </row>
    <row r="11215" spans="1:9" x14ac:dyDescent="0.25">
      <c r="A11215">
        <v>4240</v>
      </c>
      <c r="B11215">
        <v>60</v>
      </c>
      <c r="C11215" t="s">
        <v>946</v>
      </c>
      <c r="D11215" t="s">
        <v>989</v>
      </c>
      <c r="E11215" t="s">
        <v>270</v>
      </c>
      <c r="F11215" t="s">
        <v>948</v>
      </c>
      <c r="G11215">
        <v>6077777</v>
      </c>
      <c r="H11215">
        <v>500221</v>
      </c>
      <c r="I11215" t="s">
        <v>949</v>
      </c>
    </row>
    <row r="11216" spans="1:9" x14ac:dyDescent="0.25">
      <c r="A11216">
        <v>4141</v>
      </c>
      <c r="B11216">
        <v>60</v>
      </c>
      <c r="C11216" t="s">
        <v>946</v>
      </c>
      <c r="D11216" t="s">
        <v>989</v>
      </c>
      <c r="E11216" t="s">
        <v>274</v>
      </c>
      <c r="F11216" t="s">
        <v>948</v>
      </c>
      <c r="G11216">
        <v>6077777</v>
      </c>
      <c r="H11216">
        <v>501010</v>
      </c>
      <c r="I11216">
        <v>72</v>
      </c>
    </row>
    <row r="11217" spans="1:9" x14ac:dyDescent="0.25">
      <c r="A11217">
        <v>4220</v>
      </c>
      <c r="B11217">
        <v>60</v>
      </c>
      <c r="C11217" t="s">
        <v>946</v>
      </c>
      <c r="D11217" t="s">
        <v>989</v>
      </c>
      <c r="E11217" t="s">
        <v>274</v>
      </c>
      <c r="F11217" t="s">
        <v>948</v>
      </c>
      <c r="G11217">
        <v>6077777</v>
      </c>
      <c r="H11217">
        <v>500220</v>
      </c>
      <c r="I11217" t="s">
        <v>949</v>
      </c>
    </row>
    <row r="11218" spans="1:9" x14ac:dyDescent="0.25">
      <c r="A11218">
        <v>4230</v>
      </c>
      <c r="B11218">
        <v>60</v>
      </c>
      <c r="C11218" t="s">
        <v>946</v>
      </c>
      <c r="D11218" t="s">
        <v>989</v>
      </c>
      <c r="E11218" t="s">
        <v>274</v>
      </c>
      <c r="F11218" t="s">
        <v>948</v>
      </c>
      <c r="G11218">
        <v>6099999</v>
      </c>
      <c r="H11218">
        <v>403045</v>
      </c>
      <c r="I11218">
        <v>72</v>
      </c>
    </row>
    <row r="11219" spans="1:9" x14ac:dyDescent="0.25">
      <c r="A11219">
        <v>4240</v>
      </c>
      <c r="B11219">
        <v>60</v>
      </c>
      <c r="C11219" t="s">
        <v>946</v>
      </c>
      <c r="D11219" t="s">
        <v>989</v>
      </c>
      <c r="E11219" t="s">
        <v>274</v>
      </c>
      <c r="F11219" t="s">
        <v>948</v>
      </c>
      <c r="G11219">
        <v>6077777</v>
      </c>
      <c r="H11219">
        <v>500221</v>
      </c>
      <c r="I11219" t="s">
        <v>949</v>
      </c>
    </row>
    <row r="11220" spans="1:9" x14ac:dyDescent="0.25">
      <c r="A11220">
        <v>4141</v>
      </c>
      <c r="B11220">
        <v>60</v>
      </c>
      <c r="C11220" t="s">
        <v>946</v>
      </c>
      <c r="D11220" t="s">
        <v>989</v>
      </c>
      <c r="E11220" t="s">
        <v>974</v>
      </c>
      <c r="F11220" t="s">
        <v>948</v>
      </c>
      <c r="G11220">
        <v>6077777</v>
      </c>
      <c r="H11220">
        <v>501010</v>
      </c>
      <c r="I11220">
        <v>72</v>
      </c>
    </row>
    <row r="11221" spans="1:9" x14ac:dyDescent="0.25">
      <c r="A11221">
        <v>4220</v>
      </c>
      <c r="B11221">
        <v>60</v>
      </c>
      <c r="C11221" t="s">
        <v>946</v>
      </c>
      <c r="D11221" t="s">
        <v>989</v>
      </c>
      <c r="E11221" t="s">
        <v>974</v>
      </c>
      <c r="F11221" t="s">
        <v>948</v>
      </c>
      <c r="G11221">
        <v>6077777</v>
      </c>
      <c r="H11221">
        <v>500220</v>
      </c>
      <c r="I11221" t="s">
        <v>949</v>
      </c>
    </row>
    <row r="11222" spans="1:9" x14ac:dyDescent="0.25">
      <c r="A11222">
        <v>4230</v>
      </c>
      <c r="B11222">
        <v>60</v>
      </c>
      <c r="C11222" t="s">
        <v>946</v>
      </c>
      <c r="D11222" t="s">
        <v>989</v>
      </c>
      <c r="E11222" t="s">
        <v>974</v>
      </c>
      <c r="F11222" t="s">
        <v>948</v>
      </c>
      <c r="G11222">
        <v>6099999</v>
      </c>
      <c r="H11222">
        <v>403915</v>
      </c>
      <c r="I11222">
        <v>72</v>
      </c>
    </row>
    <row r="11223" spans="1:9" x14ac:dyDescent="0.25">
      <c r="A11223">
        <v>4240</v>
      </c>
      <c r="B11223">
        <v>60</v>
      </c>
      <c r="C11223" t="s">
        <v>946</v>
      </c>
      <c r="D11223" t="s">
        <v>989</v>
      </c>
      <c r="E11223" t="s">
        <v>974</v>
      </c>
      <c r="F11223" t="s">
        <v>948</v>
      </c>
      <c r="G11223">
        <v>6077777</v>
      </c>
      <c r="H11223">
        <v>500221</v>
      </c>
      <c r="I11223" t="s">
        <v>949</v>
      </c>
    </row>
    <row r="11224" spans="1:9" x14ac:dyDescent="0.25">
      <c r="A11224">
        <v>4141</v>
      </c>
      <c r="B11224">
        <v>60</v>
      </c>
      <c r="C11224" t="s">
        <v>946</v>
      </c>
      <c r="D11224" t="s">
        <v>989</v>
      </c>
      <c r="E11224" t="s">
        <v>104</v>
      </c>
      <c r="F11224" t="s">
        <v>948</v>
      </c>
      <c r="G11224">
        <v>6077777</v>
      </c>
      <c r="H11224">
        <v>500220</v>
      </c>
      <c r="I11224" t="s">
        <v>949</v>
      </c>
    </row>
    <row r="11225" spans="1:9" x14ac:dyDescent="0.25">
      <c r="A11225">
        <v>4220</v>
      </c>
      <c r="B11225">
        <v>60</v>
      </c>
      <c r="C11225" t="s">
        <v>946</v>
      </c>
      <c r="D11225" t="s">
        <v>989</v>
      </c>
      <c r="E11225" t="s">
        <v>104</v>
      </c>
      <c r="F11225" t="s">
        <v>948</v>
      </c>
      <c r="G11225">
        <v>6077777</v>
      </c>
      <c r="H11225">
        <v>500220</v>
      </c>
      <c r="I11225" t="s">
        <v>949</v>
      </c>
    </row>
    <row r="11226" spans="1:9" x14ac:dyDescent="0.25">
      <c r="A11226">
        <v>4230</v>
      </c>
      <c r="B11226">
        <v>60</v>
      </c>
      <c r="C11226" t="s">
        <v>946</v>
      </c>
      <c r="D11226" t="s">
        <v>989</v>
      </c>
      <c r="E11226" t="s">
        <v>104</v>
      </c>
      <c r="F11226" t="s">
        <v>948</v>
      </c>
      <c r="G11226">
        <v>6099999</v>
      </c>
      <c r="H11226">
        <v>403045</v>
      </c>
      <c r="I11226">
        <v>72</v>
      </c>
    </row>
    <row r="11227" spans="1:9" x14ac:dyDescent="0.25">
      <c r="A11227">
        <v>4240</v>
      </c>
      <c r="B11227">
        <v>60</v>
      </c>
      <c r="C11227" t="s">
        <v>946</v>
      </c>
      <c r="D11227" t="s">
        <v>989</v>
      </c>
      <c r="E11227" t="s">
        <v>104</v>
      </c>
      <c r="F11227" t="s">
        <v>948</v>
      </c>
      <c r="G11227">
        <v>6077777</v>
      </c>
      <c r="H11227">
        <v>500221</v>
      </c>
      <c r="I11227" t="s">
        <v>949</v>
      </c>
    </row>
    <row r="11228" spans="1:9" x14ac:dyDescent="0.25">
      <c r="A11228">
        <v>4141</v>
      </c>
      <c r="B11228">
        <v>60</v>
      </c>
      <c r="C11228" t="s">
        <v>946</v>
      </c>
      <c r="D11228" t="s">
        <v>989</v>
      </c>
      <c r="E11228" t="s">
        <v>278</v>
      </c>
      <c r="F11228" t="s">
        <v>948</v>
      </c>
      <c r="G11228">
        <v>6077777</v>
      </c>
      <c r="H11228">
        <v>501010</v>
      </c>
      <c r="I11228">
        <v>72</v>
      </c>
    </row>
    <row r="11229" spans="1:9" x14ac:dyDescent="0.25">
      <c r="A11229">
        <v>4220</v>
      </c>
      <c r="B11229">
        <v>60</v>
      </c>
      <c r="C11229" t="s">
        <v>946</v>
      </c>
      <c r="D11229" t="s">
        <v>989</v>
      </c>
      <c r="E11229" t="s">
        <v>278</v>
      </c>
      <c r="F11229" t="s">
        <v>948</v>
      </c>
      <c r="G11229">
        <v>6077777</v>
      </c>
      <c r="H11229">
        <v>500220</v>
      </c>
      <c r="I11229" t="s">
        <v>949</v>
      </c>
    </row>
    <row r="11230" spans="1:9" x14ac:dyDescent="0.25">
      <c r="A11230">
        <v>4230</v>
      </c>
      <c r="B11230">
        <v>60</v>
      </c>
      <c r="C11230" t="s">
        <v>946</v>
      </c>
      <c r="D11230" t="s">
        <v>989</v>
      </c>
      <c r="E11230" t="s">
        <v>278</v>
      </c>
      <c r="F11230" t="s">
        <v>948</v>
      </c>
      <c r="G11230">
        <v>6099999</v>
      </c>
      <c r="H11230">
        <v>403055</v>
      </c>
      <c r="I11230">
        <v>72</v>
      </c>
    </row>
    <row r="11231" spans="1:9" x14ac:dyDescent="0.25">
      <c r="A11231">
        <v>4240</v>
      </c>
      <c r="B11231">
        <v>60</v>
      </c>
      <c r="C11231" t="s">
        <v>946</v>
      </c>
      <c r="D11231" t="s">
        <v>989</v>
      </c>
      <c r="E11231" t="s">
        <v>278</v>
      </c>
      <c r="F11231" t="s">
        <v>948</v>
      </c>
      <c r="G11231">
        <v>6077777</v>
      </c>
      <c r="H11231">
        <v>500221</v>
      </c>
      <c r="I11231" t="s">
        <v>949</v>
      </c>
    </row>
    <row r="11232" spans="1:9" x14ac:dyDescent="0.25">
      <c r="A11232">
        <v>4141</v>
      </c>
      <c r="B11232">
        <v>60</v>
      </c>
      <c r="C11232" t="s">
        <v>946</v>
      </c>
      <c r="D11232" t="s">
        <v>989</v>
      </c>
      <c r="E11232" t="s">
        <v>282</v>
      </c>
      <c r="F11232" t="s">
        <v>948</v>
      </c>
      <c r="G11232">
        <v>6077777</v>
      </c>
      <c r="H11232">
        <v>501010</v>
      </c>
      <c r="I11232">
        <v>72</v>
      </c>
    </row>
    <row r="11233" spans="1:9" x14ac:dyDescent="0.25">
      <c r="A11233">
        <v>4220</v>
      </c>
      <c r="B11233">
        <v>60</v>
      </c>
      <c r="C11233" t="s">
        <v>946</v>
      </c>
      <c r="D11233" t="s">
        <v>989</v>
      </c>
      <c r="E11233" t="s">
        <v>282</v>
      </c>
      <c r="F11233" t="s">
        <v>948</v>
      </c>
      <c r="G11233">
        <v>6077777</v>
      </c>
      <c r="H11233">
        <v>500220</v>
      </c>
      <c r="I11233" t="s">
        <v>949</v>
      </c>
    </row>
    <row r="11234" spans="1:9" x14ac:dyDescent="0.25">
      <c r="A11234">
        <v>4230</v>
      </c>
      <c r="B11234">
        <v>60</v>
      </c>
      <c r="C11234" t="s">
        <v>946</v>
      </c>
      <c r="D11234" t="s">
        <v>989</v>
      </c>
      <c r="E11234" t="s">
        <v>282</v>
      </c>
      <c r="F11234" t="s">
        <v>948</v>
      </c>
      <c r="G11234">
        <v>6099999</v>
      </c>
      <c r="H11234">
        <v>403045</v>
      </c>
      <c r="I11234">
        <v>72</v>
      </c>
    </row>
    <row r="11235" spans="1:9" x14ac:dyDescent="0.25">
      <c r="A11235">
        <v>4240</v>
      </c>
      <c r="B11235">
        <v>60</v>
      </c>
      <c r="C11235" t="s">
        <v>946</v>
      </c>
      <c r="D11235" t="s">
        <v>989</v>
      </c>
      <c r="E11235" t="s">
        <v>282</v>
      </c>
      <c r="F11235" t="s">
        <v>948</v>
      </c>
      <c r="G11235">
        <v>6077777</v>
      </c>
      <c r="H11235">
        <v>500221</v>
      </c>
      <c r="I11235" t="s">
        <v>949</v>
      </c>
    </row>
    <row r="11236" spans="1:9" x14ac:dyDescent="0.25">
      <c r="A11236">
        <v>4141</v>
      </c>
      <c r="B11236">
        <v>60</v>
      </c>
      <c r="C11236" t="s">
        <v>946</v>
      </c>
      <c r="D11236" t="s">
        <v>989</v>
      </c>
      <c r="E11236" t="s">
        <v>286</v>
      </c>
      <c r="F11236" t="s">
        <v>948</v>
      </c>
      <c r="G11236">
        <v>6077777</v>
      </c>
      <c r="H11236">
        <v>501010</v>
      </c>
      <c r="I11236">
        <v>72</v>
      </c>
    </row>
    <row r="11237" spans="1:9" x14ac:dyDescent="0.25">
      <c r="A11237">
        <v>4220</v>
      </c>
      <c r="B11237">
        <v>60</v>
      </c>
      <c r="C11237" t="s">
        <v>946</v>
      </c>
      <c r="D11237" t="s">
        <v>989</v>
      </c>
      <c r="E11237" t="s">
        <v>286</v>
      </c>
      <c r="F11237" t="s">
        <v>948</v>
      </c>
      <c r="G11237">
        <v>6077777</v>
      </c>
      <c r="H11237">
        <v>500220</v>
      </c>
      <c r="I11237" t="s">
        <v>949</v>
      </c>
    </row>
    <row r="11238" spans="1:9" x14ac:dyDescent="0.25">
      <c r="A11238">
        <v>4230</v>
      </c>
      <c r="B11238">
        <v>60</v>
      </c>
      <c r="C11238" t="s">
        <v>946</v>
      </c>
      <c r="D11238" t="s">
        <v>989</v>
      </c>
      <c r="E11238" t="s">
        <v>286</v>
      </c>
      <c r="F11238" t="s">
        <v>948</v>
      </c>
      <c r="G11238">
        <v>6099999</v>
      </c>
      <c r="H11238">
        <v>403035</v>
      </c>
      <c r="I11238">
        <v>72</v>
      </c>
    </row>
    <row r="11239" spans="1:9" x14ac:dyDescent="0.25">
      <c r="A11239">
        <v>4240</v>
      </c>
      <c r="B11239">
        <v>60</v>
      </c>
      <c r="C11239" t="s">
        <v>946</v>
      </c>
      <c r="D11239" t="s">
        <v>989</v>
      </c>
      <c r="E11239" t="s">
        <v>286</v>
      </c>
      <c r="F11239" t="s">
        <v>948</v>
      </c>
      <c r="G11239">
        <v>6077777</v>
      </c>
      <c r="H11239">
        <v>500221</v>
      </c>
      <c r="I11239" t="s">
        <v>949</v>
      </c>
    </row>
    <row r="11240" spans="1:9" x14ac:dyDescent="0.25">
      <c r="A11240">
        <v>4141</v>
      </c>
      <c r="B11240">
        <v>60</v>
      </c>
      <c r="C11240" t="s">
        <v>946</v>
      </c>
      <c r="D11240" t="s">
        <v>989</v>
      </c>
      <c r="E11240" t="s">
        <v>976</v>
      </c>
      <c r="F11240" t="s">
        <v>948</v>
      </c>
      <c r="G11240">
        <v>6077777</v>
      </c>
      <c r="H11240">
        <v>501010</v>
      </c>
      <c r="I11240">
        <v>72</v>
      </c>
    </row>
    <row r="11241" spans="1:9" x14ac:dyDescent="0.25">
      <c r="A11241">
        <v>4220</v>
      </c>
      <c r="B11241">
        <v>60</v>
      </c>
      <c r="C11241" t="s">
        <v>946</v>
      </c>
      <c r="D11241" t="s">
        <v>989</v>
      </c>
      <c r="E11241" t="s">
        <v>976</v>
      </c>
      <c r="F11241" t="s">
        <v>948</v>
      </c>
      <c r="G11241">
        <v>6077777</v>
      </c>
      <c r="H11241">
        <v>500220</v>
      </c>
      <c r="I11241" t="s">
        <v>949</v>
      </c>
    </row>
    <row r="11242" spans="1:9" x14ac:dyDescent="0.25">
      <c r="A11242">
        <v>4230</v>
      </c>
      <c r="B11242">
        <v>60</v>
      </c>
      <c r="C11242" t="s">
        <v>946</v>
      </c>
      <c r="D11242" t="s">
        <v>989</v>
      </c>
      <c r="E11242" t="s">
        <v>976</v>
      </c>
      <c r="F11242" t="s">
        <v>948</v>
      </c>
      <c r="G11242">
        <v>6099999</v>
      </c>
      <c r="H11242">
        <v>403915</v>
      </c>
      <c r="I11242">
        <v>72</v>
      </c>
    </row>
    <row r="11243" spans="1:9" x14ac:dyDescent="0.25">
      <c r="A11243">
        <v>4240</v>
      </c>
      <c r="B11243">
        <v>60</v>
      </c>
      <c r="C11243" t="s">
        <v>946</v>
      </c>
      <c r="D11243" t="s">
        <v>989</v>
      </c>
      <c r="E11243" t="s">
        <v>976</v>
      </c>
      <c r="F11243" t="s">
        <v>948</v>
      </c>
      <c r="G11243">
        <v>6077777</v>
      </c>
      <c r="H11243">
        <v>500221</v>
      </c>
      <c r="I11243" t="s">
        <v>949</v>
      </c>
    </row>
    <row r="11244" spans="1:9" x14ac:dyDescent="0.25">
      <c r="A11244">
        <v>4141</v>
      </c>
      <c r="B11244">
        <v>60</v>
      </c>
      <c r="C11244" t="s">
        <v>946</v>
      </c>
      <c r="D11244" t="s">
        <v>989</v>
      </c>
      <c r="E11244" t="s">
        <v>290</v>
      </c>
      <c r="F11244" t="s">
        <v>948</v>
      </c>
      <c r="G11244">
        <v>6077777</v>
      </c>
      <c r="H11244">
        <v>501010</v>
      </c>
      <c r="I11244">
        <v>72</v>
      </c>
    </row>
    <row r="11245" spans="1:9" x14ac:dyDescent="0.25">
      <c r="A11245">
        <v>4220</v>
      </c>
      <c r="B11245">
        <v>60</v>
      </c>
      <c r="C11245" t="s">
        <v>946</v>
      </c>
      <c r="D11245" t="s">
        <v>989</v>
      </c>
      <c r="E11245" t="s">
        <v>290</v>
      </c>
      <c r="F11245" t="s">
        <v>948</v>
      </c>
      <c r="G11245">
        <v>6077777</v>
      </c>
      <c r="H11245">
        <v>500220</v>
      </c>
      <c r="I11245" t="s">
        <v>949</v>
      </c>
    </row>
    <row r="11246" spans="1:9" x14ac:dyDescent="0.25">
      <c r="A11246">
        <v>4230</v>
      </c>
      <c r="B11246">
        <v>60</v>
      </c>
      <c r="C11246" t="s">
        <v>946</v>
      </c>
      <c r="D11246" t="s">
        <v>989</v>
      </c>
      <c r="E11246" t="s">
        <v>290</v>
      </c>
      <c r="F11246" t="s">
        <v>948</v>
      </c>
      <c r="G11246">
        <v>6099999</v>
      </c>
      <c r="H11246">
        <v>403045</v>
      </c>
      <c r="I11246">
        <v>72</v>
      </c>
    </row>
    <row r="11247" spans="1:9" x14ac:dyDescent="0.25">
      <c r="A11247">
        <v>4240</v>
      </c>
      <c r="B11247">
        <v>60</v>
      </c>
      <c r="C11247" t="s">
        <v>946</v>
      </c>
      <c r="D11247" t="s">
        <v>989</v>
      </c>
      <c r="E11247" t="s">
        <v>290</v>
      </c>
      <c r="F11247" t="s">
        <v>948</v>
      </c>
      <c r="G11247">
        <v>6077777</v>
      </c>
      <c r="H11247">
        <v>500221</v>
      </c>
      <c r="I11247" t="s">
        <v>949</v>
      </c>
    </row>
    <row r="11248" spans="1:9" x14ac:dyDescent="0.25">
      <c r="A11248">
        <v>4141</v>
      </c>
      <c r="B11248">
        <v>60</v>
      </c>
      <c r="C11248" t="s">
        <v>946</v>
      </c>
      <c r="D11248" t="s">
        <v>989</v>
      </c>
      <c r="E11248" t="s">
        <v>294</v>
      </c>
      <c r="F11248" t="s">
        <v>948</v>
      </c>
      <c r="G11248">
        <v>6077777</v>
      </c>
      <c r="H11248">
        <v>501010</v>
      </c>
      <c r="I11248">
        <v>72</v>
      </c>
    </row>
    <row r="11249" spans="1:9" x14ac:dyDescent="0.25">
      <c r="A11249">
        <v>4220</v>
      </c>
      <c r="B11249">
        <v>60</v>
      </c>
      <c r="C11249" t="s">
        <v>946</v>
      </c>
      <c r="D11249" t="s">
        <v>989</v>
      </c>
      <c r="E11249" t="s">
        <v>294</v>
      </c>
      <c r="F11249" t="s">
        <v>948</v>
      </c>
      <c r="G11249">
        <v>6077777</v>
      </c>
      <c r="H11249">
        <v>500220</v>
      </c>
      <c r="I11249" t="s">
        <v>949</v>
      </c>
    </row>
    <row r="11250" spans="1:9" x14ac:dyDescent="0.25">
      <c r="A11250">
        <v>4230</v>
      </c>
      <c r="B11250">
        <v>60</v>
      </c>
      <c r="C11250" t="s">
        <v>946</v>
      </c>
      <c r="D11250" t="s">
        <v>989</v>
      </c>
      <c r="E11250" t="s">
        <v>294</v>
      </c>
      <c r="F11250" t="s">
        <v>948</v>
      </c>
      <c r="G11250">
        <v>6099999</v>
      </c>
      <c r="H11250">
        <v>403045</v>
      </c>
      <c r="I11250">
        <v>72</v>
      </c>
    </row>
    <row r="11251" spans="1:9" x14ac:dyDescent="0.25">
      <c r="A11251">
        <v>4240</v>
      </c>
      <c r="B11251">
        <v>60</v>
      </c>
      <c r="C11251" t="s">
        <v>946</v>
      </c>
      <c r="D11251" t="s">
        <v>989</v>
      </c>
      <c r="E11251" t="s">
        <v>294</v>
      </c>
      <c r="F11251" t="s">
        <v>948</v>
      </c>
      <c r="G11251">
        <v>6077777</v>
      </c>
      <c r="H11251">
        <v>500221</v>
      </c>
      <c r="I11251" t="s">
        <v>949</v>
      </c>
    </row>
    <row r="11252" spans="1:9" x14ac:dyDescent="0.25">
      <c r="A11252">
        <v>4230</v>
      </c>
      <c r="B11252">
        <v>60</v>
      </c>
      <c r="C11252" t="s">
        <v>946</v>
      </c>
      <c r="D11252" t="s">
        <v>989</v>
      </c>
      <c r="E11252" t="s">
        <v>298</v>
      </c>
      <c r="F11252" t="s">
        <v>948</v>
      </c>
      <c r="G11252">
        <v>6099999</v>
      </c>
      <c r="H11252">
        <v>403085</v>
      </c>
      <c r="I11252">
        <v>72</v>
      </c>
    </row>
    <row r="11253" spans="1:9" x14ac:dyDescent="0.25">
      <c r="A11253">
        <v>4141</v>
      </c>
      <c r="B11253">
        <v>60</v>
      </c>
      <c r="C11253" t="s">
        <v>946</v>
      </c>
      <c r="D11253" t="s">
        <v>989</v>
      </c>
      <c r="E11253" t="s">
        <v>980</v>
      </c>
      <c r="F11253" t="s">
        <v>948</v>
      </c>
      <c r="G11253">
        <v>6077777</v>
      </c>
      <c r="H11253">
        <v>501010</v>
      </c>
      <c r="I11253">
        <v>72</v>
      </c>
    </row>
    <row r="11254" spans="1:9" x14ac:dyDescent="0.25">
      <c r="A11254">
        <v>4220</v>
      </c>
      <c r="B11254">
        <v>60</v>
      </c>
      <c r="C11254" t="s">
        <v>946</v>
      </c>
      <c r="D11254" t="s">
        <v>989</v>
      </c>
      <c r="E11254" t="s">
        <v>980</v>
      </c>
      <c r="F11254" t="s">
        <v>948</v>
      </c>
      <c r="G11254">
        <v>6077777</v>
      </c>
      <c r="H11254">
        <v>500220</v>
      </c>
      <c r="I11254" t="s">
        <v>949</v>
      </c>
    </row>
    <row r="11255" spans="1:9" x14ac:dyDescent="0.25">
      <c r="A11255">
        <v>4230</v>
      </c>
      <c r="B11255">
        <v>60</v>
      </c>
      <c r="C11255" t="s">
        <v>946</v>
      </c>
      <c r="D11255" t="s">
        <v>989</v>
      </c>
      <c r="E11255" t="s">
        <v>980</v>
      </c>
      <c r="F11255" t="s">
        <v>948</v>
      </c>
      <c r="G11255">
        <v>6099999</v>
      </c>
      <c r="H11255">
        <v>403915</v>
      </c>
      <c r="I11255">
        <v>72</v>
      </c>
    </row>
    <row r="11256" spans="1:9" x14ac:dyDescent="0.25">
      <c r="A11256">
        <v>4240</v>
      </c>
      <c r="B11256">
        <v>60</v>
      </c>
      <c r="C11256" t="s">
        <v>946</v>
      </c>
      <c r="D11256" t="s">
        <v>989</v>
      </c>
      <c r="E11256" t="s">
        <v>980</v>
      </c>
      <c r="F11256" t="s">
        <v>948</v>
      </c>
      <c r="G11256">
        <v>6077777</v>
      </c>
      <c r="H11256">
        <v>500221</v>
      </c>
      <c r="I11256" t="s">
        <v>949</v>
      </c>
    </row>
    <row r="11257" spans="1:9" x14ac:dyDescent="0.25">
      <c r="A11257">
        <v>4141</v>
      </c>
      <c r="B11257">
        <v>60</v>
      </c>
      <c r="C11257" t="s">
        <v>946</v>
      </c>
      <c r="D11257" t="s">
        <v>989</v>
      </c>
      <c r="E11257" t="s">
        <v>302</v>
      </c>
      <c r="F11257" t="s">
        <v>948</v>
      </c>
      <c r="G11257">
        <v>6077777</v>
      </c>
      <c r="H11257">
        <v>501010</v>
      </c>
      <c r="I11257">
        <v>72</v>
      </c>
    </row>
    <row r="11258" spans="1:9" x14ac:dyDescent="0.25">
      <c r="A11258">
        <v>4220</v>
      </c>
      <c r="B11258">
        <v>60</v>
      </c>
      <c r="C11258" t="s">
        <v>946</v>
      </c>
      <c r="D11258" t="s">
        <v>989</v>
      </c>
      <c r="E11258" t="s">
        <v>302</v>
      </c>
      <c r="F11258" t="s">
        <v>948</v>
      </c>
      <c r="G11258">
        <v>6077777</v>
      </c>
      <c r="H11258">
        <v>500220</v>
      </c>
      <c r="I11258" t="s">
        <v>949</v>
      </c>
    </row>
    <row r="11259" spans="1:9" x14ac:dyDescent="0.25">
      <c r="A11259">
        <v>4230</v>
      </c>
      <c r="B11259">
        <v>60</v>
      </c>
      <c r="C11259" t="s">
        <v>946</v>
      </c>
      <c r="D11259" t="s">
        <v>989</v>
      </c>
      <c r="E11259" t="s">
        <v>302</v>
      </c>
      <c r="F11259" t="s">
        <v>948</v>
      </c>
      <c r="G11259">
        <v>6099999</v>
      </c>
      <c r="H11259">
        <v>401905</v>
      </c>
      <c r="I11259">
        <v>72</v>
      </c>
    </row>
    <row r="11260" spans="1:9" x14ac:dyDescent="0.25">
      <c r="A11260">
        <v>4240</v>
      </c>
      <c r="B11260">
        <v>60</v>
      </c>
      <c r="C11260" t="s">
        <v>946</v>
      </c>
      <c r="D11260" t="s">
        <v>989</v>
      </c>
      <c r="E11260" t="s">
        <v>302</v>
      </c>
      <c r="F11260" t="s">
        <v>948</v>
      </c>
      <c r="G11260">
        <v>6077777</v>
      </c>
      <c r="H11260">
        <v>500221</v>
      </c>
      <c r="I11260" t="s">
        <v>949</v>
      </c>
    </row>
    <row r="11261" spans="1:9" x14ac:dyDescent="0.25">
      <c r="A11261">
        <v>4141</v>
      </c>
      <c r="B11261">
        <v>60</v>
      </c>
      <c r="C11261" t="s">
        <v>946</v>
      </c>
      <c r="D11261" t="s">
        <v>989</v>
      </c>
      <c r="E11261" t="s">
        <v>306</v>
      </c>
      <c r="F11261" t="s">
        <v>948</v>
      </c>
      <c r="G11261">
        <v>6077777</v>
      </c>
      <c r="H11261">
        <v>501010</v>
      </c>
      <c r="I11261">
        <v>72</v>
      </c>
    </row>
    <row r="11262" spans="1:9" x14ac:dyDescent="0.25">
      <c r="A11262">
        <v>4220</v>
      </c>
      <c r="B11262">
        <v>60</v>
      </c>
      <c r="C11262" t="s">
        <v>946</v>
      </c>
      <c r="D11262" t="s">
        <v>989</v>
      </c>
      <c r="E11262" t="s">
        <v>306</v>
      </c>
      <c r="F11262" t="s">
        <v>948</v>
      </c>
      <c r="G11262">
        <v>6077777</v>
      </c>
      <c r="H11262">
        <v>500220</v>
      </c>
      <c r="I11262" t="s">
        <v>949</v>
      </c>
    </row>
    <row r="11263" spans="1:9" x14ac:dyDescent="0.25">
      <c r="A11263">
        <v>4230</v>
      </c>
      <c r="B11263">
        <v>60</v>
      </c>
      <c r="C11263" t="s">
        <v>946</v>
      </c>
      <c r="D11263" t="s">
        <v>989</v>
      </c>
      <c r="E11263" t="s">
        <v>306</v>
      </c>
      <c r="F11263" t="s">
        <v>948</v>
      </c>
      <c r="G11263">
        <v>6099999</v>
      </c>
      <c r="H11263">
        <v>403045</v>
      </c>
      <c r="I11263">
        <v>72</v>
      </c>
    </row>
    <row r="11264" spans="1:9" x14ac:dyDescent="0.25">
      <c r="A11264">
        <v>4240</v>
      </c>
      <c r="B11264">
        <v>60</v>
      </c>
      <c r="C11264" t="s">
        <v>946</v>
      </c>
      <c r="D11264" t="s">
        <v>989</v>
      </c>
      <c r="E11264" t="s">
        <v>306</v>
      </c>
      <c r="F11264" t="s">
        <v>948</v>
      </c>
      <c r="G11264">
        <v>6077777</v>
      </c>
      <c r="H11264">
        <v>500221</v>
      </c>
      <c r="I11264" t="s">
        <v>949</v>
      </c>
    </row>
    <row r="11265" spans="1:9" x14ac:dyDescent="0.25">
      <c r="A11265">
        <v>4141</v>
      </c>
      <c r="B11265">
        <v>60</v>
      </c>
      <c r="C11265" t="s">
        <v>946</v>
      </c>
      <c r="D11265" t="s">
        <v>989</v>
      </c>
      <c r="E11265" t="s">
        <v>108</v>
      </c>
      <c r="F11265" t="s">
        <v>948</v>
      </c>
      <c r="G11265">
        <v>6077777</v>
      </c>
      <c r="H11265">
        <v>500220</v>
      </c>
      <c r="I11265" t="s">
        <v>949</v>
      </c>
    </row>
    <row r="11266" spans="1:9" x14ac:dyDescent="0.25">
      <c r="A11266">
        <v>4220</v>
      </c>
      <c r="B11266">
        <v>60</v>
      </c>
      <c r="C11266" t="s">
        <v>946</v>
      </c>
      <c r="D11266" t="s">
        <v>989</v>
      </c>
      <c r="E11266" t="s">
        <v>108</v>
      </c>
      <c r="F11266" t="s">
        <v>948</v>
      </c>
      <c r="G11266">
        <v>6077777</v>
      </c>
      <c r="H11266">
        <v>500220</v>
      </c>
      <c r="I11266" t="s">
        <v>949</v>
      </c>
    </row>
    <row r="11267" spans="1:9" x14ac:dyDescent="0.25">
      <c r="A11267">
        <v>4230</v>
      </c>
      <c r="B11267">
        <v>60</v>
      </c>
      <c r="C11267" t="s">
        <v>946</v>
      </c>
      <c r="D11267" t="s">
        <v>989</v>
      </c>
      <c r="E11267" t="s">
        <v>108</v>
      </c>
      <c r="F11267" t="s">
        <v>948</v>
      </c>
      <c r="G11267">
        <v>6099999</v>
      </c>
      <c r="H11267">
        <v>403045</v>
      </c>
      <c r="I11267">
        <v>72</v>
      </c>
    </row>
    <row r="11268" spans="1:9" x14ac:dyDescent="0.25">
      <c r="A11268">
        <v>4240</v>
      </c>
      <c r="B11268">
        <v>60</v>
      </c>
      <c r="C11268" t="s">
        <v>946</v>
      </c>
      <c r="D11268" t="s">
        <v>989</v>
      </c>
      <c r="E11268" t="s">
        <v>108</v>
      </c>
      <c r="F11268" t="s">
        <v>948</v>
      </c>
      <c r="G11268">
        <v>6077777</v>
      </c>
      <c r="H11268">
        <v>500221</v>
      </c>
      <c r="I11268" t="s">
        <v>949</v>
      </c>
    </row>
    <row r="11269" spans="1:9" x14ac:dyDescent="0.25">
      <c r="A11269">
        <v>4141</v>
      </c>
      <c r="B11269">
        <v>60</v>
      </c>
      <c r="C11269" t="s">
        <v>946</v>
      </c>
      <c r="D11269" t="s">
        <v>989</v>
      </c>
      <c r="E11269" t="s">
        <v>310</v>
      </c>
      <c r="F11269" t="s">
        <v>948</v>
      </c>
      <c r="G11269">
        <v>6077777</v>
      </c>
      <c r="H11269">
        <v>501010</v>
      </c>
      <c r="I11269">
        <v>72</v>
      </c>
    </row>
    <row r="11270" spans="1:9" x14ac:dyDescent="0.25">
      <c r="A11270">
        <v>4220</v>
      </c>
      <c r="B11270">
        <v>60</v>
      </c>
      <c r="C11270" t="s">
        <v>946</v>
      </c>
      <c r="D11270" t="s">
        <v>989</v>
      </c>
      <c r="E11270" t="s">
        <v>310</v>
      </c>
      <c r="F11270" t="s">
        <v>948</v>
      </c>
      <c r="G11270">
        <v>6077777</v>
      </c>
      <c r="H11270">
        <v>500220</v>
      </c>
      <c r="I11270" t="s">
        <v>949</v>
      </c>
    </row>
    <row r="11271" spans="1:9" x14ac:dyDescent="0.25">
      <c r="A11271">
        <v>4230</v>
      </c>
      <c r="B11271">
        <v>60</v>
      </c>
      <c r="C11271" t="s">
        <v>946</v>
      </c>
      <c r="D11271" t="s">
        <v>989</v>
      </c>
      <c r="E11271" t="s">
        <v>310</v>
      </c>
      <c r="F11271" t="s">
        <v>948</v>
      </c>
      <c r="G11271">
        <v>6099999</v>
      </c>
      <c r="H11271">
        <v>403015</v>
      </c>
      <c r="I11271">
        <v>72</v>
      </c>
    </row>
    <row r="11272" spans="1:9" x14ac:dyDescent="0.25">
      <c r="A11272">
        <v>4240</v>
      </c>
      <c r="B11272">
        <v>60</v>
      </c>
      <c r="C11272" t="s">
        <v>946</v>
      </c>
      <c r="D11272" t="s">
        <v>989</v>
      </c>
      <c r="E11272" t="s">
        <v>310</v>
      </c>
      <c r="F11272" t="s">
        <v>948</v>
      </c>
      <c r="G11272">
        <v>6077777</v>
      </c>
      <c r="H11272">
        <v>500221</v>
      </c>
      <c r="I11272" t="s">
        <v>949</v>
      </c>
    </row>
    <row r="11273" spans="1:9" x14ac:dyDescent="0.25">
      <c r="A11273">
        <v>4141</v>
      </c>
      <c r="B11273">
        <v>60</v>
      </c>
      <c r="C11273" t="s">
        <v>946</v>
      </c>
      <c r="D11273" t="s">
        <v>989</v>
      </c>
      <c r="E11273" t="s">
        <v>314</v>
      </c>
      <c r="F11273" t="s">
        <v>948</v>
      </c>
      <c r="G11273">
        <v>6077777</v>
      </c>
      <c r="H11273">
        <v>501010</v>
      </c>
      <c r="I11273">
        <v>72</v>
      </c>
    </row>
    <row r="11274" spans="1:9" x14ac:dyDescent="0.25">
      <c r="A11274">
        <v>4220</v>
      </c>
      <c r="B11274">
        <v>60</v>
      </c>
      <c r="C11274" t="s">
        <v>946</v>
      </c>
      <c r="D11274" t="s">
        <v>989</v>
      </c>
      <c r="E11274" t="s">
        <v>314</v>
      </c>
      <c r="F11274" t="s">
        <v>948</v>
      </c>
      <c r="G11274">
        <v>6077777</v>
      </c>
      <c r="H11274">
        <v>500220</v>
      </c>
      <c r="I11274" t="s">
        <v>949</v>
      </c>
    </row>
    <row r="11275" spans="1:9" x14ac:dyDescent="0.25">
      <c r="A11275">
        <v>4230</v>
      </c>
      <c r="B11275">
        <v>60</v>
      </c>
      <c r="C11275" t="s">
        <v>946</v>
      </c>
      <c r="D11275" t="s">
        <v>989</v>
      </c>
      <c r="E11275" t="s">
        <v>314</v>
      </c>
      <c r="F11275" t="s">
        <v>948</v>
      </c>
      <c r="G11275">
        <v>6099999</v>
      </c>
      <c r="H11275">
        <v>403065</v>
      </c>
      <c r="I11275">
        <v>72</v>
      </c>
    </row>
    <row r="11276" spans="1:9" x14ac:dyDescent="0.25">
      <c r="A11276">
        <v>4240</v>
      </c>
      <c r="B11276">
        <v>60</v>
      </c>
      <c r="C11276" t="s">
        <v>946</v>
      </c>
      <c r="D11276" t="s">
        <v>989</v>
      </c>
      <c r="E11276" t="s">
        <v>314</v>
      </c>
      <c r="F11276" t="s">
        <v>948</v>
      </c>
      <c r="G11276">
        <v>6077777</v>
      </c>
      <c r="H11276">
        <v>500221</v>
      </c>
      <c r="I11276" t="s">
        <v>949</v>
      </c>
    </row>
    <row r="11277" spans="1:9" x14ac:dyDescent="0.25">
      <c r="A11277">
        <v>4141</v>
      </c>
      <c r="B11277">
        <v>60</v>
      </c>
      <c r="C11277" t="s">
        <v>946</v>
      </c>
      <c r="D11277" t="s">
        <v>989</v>
      </c>
      <c r="E11277" t="s">
        <v>113</v>
      </c>
      <c r="F11277" t="s">
        <v>948</v>
      </c>
      <c r="G11277">
        <v>6077777</v>
      </c>
      <c r="H11277">
        <v>500220</v>
      </c>
      <c r="I11277" t="s">
        <v>949</v>
      </c>
    </row>
    <row r="11278" spans="1:9" x14ac:dyDescent="0.25">
      <c r="A11278">
        <v>4220</v>
      </c>
      <c r="B11278">
        <v>60</v>
      </c>
      <c r="C11278" t="s">
        <v>946</v>
      </c>
      <c r="D11278" t="s">
        <v>989</v>
      </c>
      <c r="E11278" t="s">
        <v>113</v>
      </c>
      <c r="F11278" t="s">
        <v>948</v>
      </c>
      <c r="G11278">
        <v>6077777</v>
      </c>
      <c r="H11278">
        <v>500220</v>
      </c>
      <c r="I11278" t="s">
        <v>949</v>
      </c>
    </row>
    <row r="11279" spans="1:9" x14ac:dyDescent="0.25">
      <c r="A11279">
        <v>4230</v>
      </c>
      <c r="B11279">
        <v>60</v>
      </c>
      <c r="C11279" t="s">
        <v>946</v>
      </c>
      <c r="D11279" t="s">
        <v>989</v>
      </c>
      <c r="E11279" t="s">
        <v>113</v>
      </c>
      <c r="F11279" t="s">
        <v>948</v>
      </c>
      <c r="G11279">
        <v>6099999</v>
      </c>
      <c r="H11279">
        <v>403085</v>
      </c>
      <c r="I11279">
        <v>72</v>
      </c>
    </row>
    <row r="11280" spans="1:9" x14ac:dyDescent="0.25">
      <c r="A11280">
        <v>4240</v>
      </c>
      <c r="B11280">
        <v>60</v>
      </c>
      <c r="C11280" t="s">
        <v>946</v>
      </c>
      <c r="D11280" t="s">
        <v>989</v>
      </c>
      <c r="E11280" t="s">
        <v>113</v>
      </c>
      <c r="F11280" t="s">
        <v>948</v>
      </c>
      <c r="G11280">
        <v>6077777</v>
      </c>
      <c r="H11280">
        <v>500221</v>
      </c>
      <c r="I11280" t="s">
        <v>949</v>
      </c>
    </row>
    <row r="11281" spans="1:9" x14ac:dyDescent="0.25">
      <c r="A11281">
        <v>4141</v>
      </c>
      <c r="B11281">
        <v>60</v>
      </c>
      <c r="C11281" t="s">
        <v>946</v>
      </c>
      <c r="D11281" t="s">
        <v>989</v>
      </c>
      <c r="E11281" t="s">
        <v>117</v>
      </c>
      <c r="F11281" t="s">
        <v>948</v>
      </c>
      <c r="G11281">
        <v>6077777</v>
      </c>
      <c r="H11281">
        <v>500220</v>
      </c>
      <c r="I11281" t="s">
        <v>949</v>
      </c>
    </row>
    <row r="11282" spans="1:9" x14ac:dyDescent="0.25">
      <c r="A11282">
        <v>4220</v>
      </c>
      <c r="B11282">
        <v>60</v>
      </c>
      <c r="C11282" t="s">
        <v>946</v>
      </c>
      <c r="D11282" t="s">
        <v>989</v>
      </c>
      <c r="E11282" t="s">
        <v>117</v>
      </c>
      <c r="F11282" t="s">
        <v>948</v>
      </c>
      <c r="G11282">
        <v>6077777</v>
      </c>
      <c r="H11282">
        <v>500220</v>
      </c>
      <c r="I11282" t="s">
        <v>949</v>
      </c>
    </row>
    <row r="11283" spans="1:9" x14ac:dyDescent="0.25">
      <c r="A11283">
        <v>4230</v>
      </c>
      <c r="B11283">
        <v>60</v>
      </c>
      <c r="C11283" t="s">
        <v>946</v>
      </c>
      <c r="D11283" t="s">
        <v>989</v>
      </c>
      <c r="E11283" t="s">
        <v>117</v>
      </c>
      <c r="F11283" t="s">
        <v>948</v>
      </c>
      <c r="G11283">
        <v>6088888</v>
      </c>
      <c r="H11283">
        <v>810600</v>
      </c>
      <c r="I11283">
        <v>72</v>
      </c>
    </row>
    <row r="11284" spans="1:9" x14ac:dyDescent="0.25">
      <c r="A11284">
        <v>4240</v>
      </c>
      <c r="B11284">
        <v>60</v>
      </c>
      <c r="C11284" t="s">
        <v>946</v>
      </c>
      <c r="D11284" t="s">
        <v>989</v>
      </c>
      <c r="E11284" t="s">
        <v>117</v>
      </c>
      <c r="F11284" t="s">
        <v>948</v>
      </c>
      <c r="G11284">
        <v>6077777</v>
      </c>
      <c r="H11284">
        <v>500221</v>
      </c>
      <c r="I11284" t="s">
        <v>949</v>
      </c>
    </row>
    <row r="11285" spans="1:9" x14ac:dyDescent="0.25">
      <c r="A11285">
        <v>4141</v>
      </c>
      <c r="B11285">
        <v>60</v>
      </c>
      <c r="C11285" t="s">
        <v>946</v>
      </c>
      <c r="D11285" t="s">
        <v>989</v>
      </c>
      <c r="E11285" t="s">
        <v>121</v>
      </c>
      <c r="F11285" t="s">
        <v>948</v>
      </c>
      <c r="G11285">
        <v>6077777</v>
      </c>
      <c r="H11285">
        <v>500220</v>
      </c>
      <c r="I11285" t="s">
        <v>949</v>
      </c>
    </row>
    <row r="11286" spans="1:9" x14ac:dyDescent="0.25">
      <c r="A11286">
        <v>4220</v>
      </c>
      <c r="B11286">
        <v>60</v>
      </c>
      <c r="C11286" t="s">
        <v>946</v>
      </c>
      <c r="D11286" t="s">
        <v>989</v>
      </c>
      <c r="E11286" t="s">
        <v>121</v>
      </c>
      <c r="F11286" t="s">
        <v>948</v>
      </c>
      <c r="G11286">
        <v>6077777</v>
      </c>
      <c r="H11286">
        <v>500220</v>
      </c>
      <c r="I11286" t="s">
        <v>949</v>
      </c>
    </row>
    <row r="11287" spans="1:9" x14ac:dyDescent="0.25">
      <c r="A11287">
        <v>4230</v>
      </c>
      <c r="B11287">
        <v>60</v>
      </c>
      <c r="C11287" t="s">
        <v>946</v>
      </c>
      <c r="D11287" t="s">
        <v>989</v>
      </c>
      <c r="E11287" t="s">
        <v>121</v>
      </c>
      <c r="F11287" t="s">
        <v>948</v>
      </c>
      <c r="G11287">
        <v>6099999</v>
      </c>
      <c r="H11287">
        <v>403045</v>
      </c>
      <c r="I11287">
        <v>72</v>
      </c>
    </row>
    <row r="11288" spans="1:9" x14ac:dyDescent="0.25">
      <c r="A11288">
        <v>4240</v>
      </c>
      <c r="B11288">
        <v>60</v>
      </c>
      <c r="C11288" t="s">
        <v>946</v>
      </c>
      <c r="D11288" t="s">
        <v>989</v>
      </c>
      <c r="E11288" t="s">
        <v>121</v>
      </c>
      <c r="F11288" t="s">
        <v>948</v>
      </c>
      <c r="G11288">
        <v>6077777</v>
      </c>
      <c r="H11288">
        <v>500221</v>
      </c>
      <c r="I11288" t="s">
        <v>949</v>
      </c>
    </row>
    <row r="11289" spans="1:9" x14ac:dyDescent="0.25">
      <c r="A11289">
        <v>4141</v>
      </c>
      <c r="B11289">
        <v>60</v>
      </c>
      <c r="C11289" t="s">
        <v>946</v>
      </c>
      <c r="D11289" t="s">
        <v>989</v>
      </c>
      <c r="E11289" t="s">
        <v>984</v>
      </c>
      <c r="F11289" t="s">
        <v>948</v>
      </c>
      <c r="G11289">
        <v>6077777</v>
      </c>
      <c r="H11289">
        <v>501010</v>
      </c>
      <c r="I11289">
        <v>72</v>
      </c>
    </row>
    <row r="11290" spans="1:9" x14ac:dyDescent="0.25">
      <c r="A11290">
        <v>4220</v>
      </c>
      <c r="B11290">
        <v>60</v>
      </c>
      <c r="C11290" t="s">
        <v>946</v>
      </c>
      <c r="D11290" t="s">
        <v>989</v>
      </c>
      <c r="E11290" t="s">
        <v>984</v>
      </c>
      <c r="F11290" t="s">
        <v>948</v>
      </c>
      <c r="G11290">
        <v>6077777</v>
      </c>
      <c r="H11290">
        <v>500220</v>
      </c>
      <c r="I11290" t="s">
        <v>949</v>
      </c>
    </row>
    <row r="11291" spans="1:9" x14ac:dyDescent="0.25">
      <c r="A11291">
        <v>4230</v>
      </c>
      <c r="B11291">
        <v>60</v>
      </c>
      <c r="C11291" t="s">
        <v>946</v>
      </c>
      <c r="D11291" t="s">
        <v>989</v>
      </c>
      <c r="E11291" t="s">
        <v>984</v>
      </c>
      <c r="F11291" t="s">
        <v>948</v>
      </c>
      <c r="G11291">
        <v>6099999</v>
      </c>
      <c r="H11291">
        <v>403915</v>
      </c>
      <c r="I11291">
        <v>72</v>
      </c>
    </row>
    <row r="11292" spans="1:9" x14ac:dyDescent="0.25">
      <c r="A11292">
        <v>4240</v>
      </c>
      <c r="B11292">
        <v>60</v>
      </c>
      <c r="C11292" t="s">
        <v>946</v>
      </c>
      <c r="D11292" t="s">
        <v>989</v>
      </c>
      <c r="E11292" t="s">
        <v>984</v>
      </c>
      <c r="F11292" t="s">
        <v>948</v>
      </c>
      <c r="G11292">
        <v>6077777</v>
      </c>
      <c r="H11292">
        <v>500221</v>
      </c>
      <c r="I11292" t="s">
        <v>949</v>
      </c>
    </row>
    <row r="11293" spans="1:9" x14ac:dyDescent="0.25">
      <c r="A11293">
        <v>4141</v>
      </c>
      <c r="B11293">
        <v>60</v>
      </c>
      <c r="C11293" t="s">
        <v>946</v>
      </c>
      <c r="D11293" t="s">
        <v>990</v>
      </c>
      <c r="E11293" t="s">
        <v>243</v>
      </c>
      <c r="F11293" t="s">
        <v>948</v>
      </c>
      <c r="G11293">
        <v>6077777</v>
      </c>
      <c r="H11293">
        <v>501010</v>
      </c>
      <c r="I11293">
        <v>50</v>
      </c>
    </row>
    <row r="11294" spans="1:9" x14ac:dyDescent="0.25">
      <c r="A11294">
        <v>4220</v>
      </c>
      <c r="B11294">
        <v>60</v>
      </c>
      <c r="C11294" t="s">
        <v>946</v>
      </c>
      <c r="D11294" t="s">
        <v>990</v>
      </c>
      <c r="E11294" t="s">
        <v>243</v>
      </c>
      <c r="F11294" t="s">
        <v>948</v>
      </c>
      <c r="G11294">
        <v>6077777</v>
      </c>
      <c r="H11294">
        <v>500220</v>
      </c>
      <c r="I11294" t="s">
        <v>949</v>
      </c>
    </row>
    <row r="11295" spans="1:9" x14ac:dyDescent="0.25">
      <c r="A11295">
        <v>4230</v>
      </c>
      <c r="B11295">
        <v>60</v>
      </c>
      <c r="C11295" t="s">
        <v>946</v>
      </c>
      <c r="D11295" t="s">
        <v>990</v>
      </c>
      <c r="E11295" t="s">
        <v>243</v>
      </c>
      <c r="F11295" t="s">
        <v>948</v>
      </c>
      <c r="G11295">
        <v>6099999</v>
      </c>
      <c r="H11295">
        <v>403055</v>
      </c>
      <c r="I11295">
        <v>50</v>
      </c>
    </row>
    <row r="11296" spans="1:9" x14ac:dyDescent="0.25">
      <c r="A11296">
        <v>4240</v>
      </c>
      <c r="B11296">
        <v>60</v>
      </c>
      <c r="C11296" t="s">
        <v>946</v>
      </c>
      <c r="D11296" t="s">
        <v>990</v>
      </c>
      <c r="E11296" t="s">
        <v>243</v>
      </c>
      <c r="F11296" t="s">
        <v>948</v>
      </c>
      <c r="G11296">
        <v>6077777</v>
      </c>
      <c r="H11296">
        <v>500221</v>
      </c>
      <c r="I11296" t="s">
        <v>949</v>
      </c>
    </row>
    <row r="11297" spans="1:9" x14ac:dyDescent="0.25">
      <c r="A11297">
        <v>4141</v>
      </c>
      <c r="B11297">
        <v>60</v>
      </c>
      <c r="C11297" t="s">
        <v>946</v>
      </c>
      <c r="D11297" t="s">
        <v>990</v>
      </c>
      <c r="E11297" t="s">
        <v>247</v>
      </c>
      <c r="F11297" t="s">
        <v>948</v>
      </c>
      <c r="G11297">
        <v>6077777</v>
      </c>
      <c r="H11297">
        <v>501010</v>
      </c>
      <c r="I11297">
        <v>50</v>
      </c>
    </row>
    <row r="11298" spans="1:9" x14ac:dyDescent="0.25">
      <c r="A11298">
        <v>4220</v>
      </c>
      <c r="B11298">
        <v>60</v>
      </c>
      <c r="C11298" t="s">
        <v>946</v>
      </c>
      <c r="D11298" t="s">
        <v>990</v>
      </c>
      <c r="E11298" t="s">
        <v>247</v>
      </c>
      <c r="F11298" t="s">
        <v>948</v>
      </c>
      <c r="G11298">
        <v>6077777</v>
      </c>
      <c r="H11298">
        <v>500220</v>
      </c>
      <c r="I11298" t="s">
        <v>949</v>
      </c>
    </row>
    <row r="11299" spans="1:9" x14ac:dyDescent="0.25">
      <c r="A11299">
        <v>4230</v>
      </c>
      <c r="B11299">
        <v>60</v>
      </c>
      <c r="C11299" t="s">
        <v>946</v>
      </c>
      <c r="D11299" t="s">
        <v>990</v>
      </c>
      <c r="E11299" t="s">
        <v>247</v>
      </c>
      <c r="F11299" t="s">
        <v>948</v>
      </c>
      <c r="G11299">
        <v>6099999</v>
      </c>
      <c r="H11299">
        <v>403025</v>
      </c>
      <c r="I11299">
        <v>50</v>
      </c>
    </row>
    <row r="11300" spans="1:9" x14ac:dyDescent="0.25">
      <c r="A11300">
        <v>4240</v>
      </c>
      <c r="B11300">
        <v>60</v>
      </c>
      <c r="C11300" t="s">
        <v>946</v>
      </c>
      <c r="D11300" t="s">
        <v>990</v>
      </c>
      <c r="E11300" t="s">
        <v>247</v>
      </c>
      <c r="F11300" t="s">
        <v>948</v>
      </c>
      <c r="G11300">
        <v>6077777</v>
      </c>
      <c r="H11300">
        <v>500221</v>
      </c>
      <c r="I11300" t="s">
        <v>949</v>
      </c>
    </row>
    <row r="11301" spans="1:9" x14ac:dyDescent="0.25">
      <c r="A11301">
        <v>4141</v>
      </c>
      <c r="B11301">
        <v>60</v>
      </c>
      <c r="C11301" t="s">
        <v>946</v>
      </c>
      <c r="D11301" t="s">
        <v>990</v>
      </c>
      <c r="E11301" t="s">
        <v>251</v>
      </c>
      <c r="F11301" t="s">
        <v>948</v>
      </c>
      <c r="G11301">
        <v>6077777</v>
      </c>
      <c r="H11301">
        <v>501010</v>
      </c>
      <c r="I11301">
        <v>50</v>
      </c>
    </row>
    <row r="11302" spans="1:9" x14ac:dyDescent="0.25">
      <c r="A11302">
        <v>4220</v>
      </c>
      <c r="B11302">
        <v>60</v>
      </c>
      <c r="C11302" t="s">
        <v>946</v>
      </c>
      <c r="D11302" t="s">
        <v>990</v>
      </c>
      <c r="E11302" t="s">
        <v>251</v>
      </c>
      <c r="F11302" t="s">
        <v>948</v>
      </c>
      <c r="G11302">
        <v>6077777</v>
      </c>
      <c r="H11302">
        <v>500220</v>
      </c>
      <c r="I11302" t="s">
        <v>949</v>
      </c>
    </row>
    <row r="11303" spans="1:9" x14ac:dyDescent="0.25">
      <c r="A11303">
        <v>4230</v>
      </c>
      <c r="B11303">
        <v>60</v>
      </c>
      <c r="C11303" t="s">
        <v>946</v>
      </c>
      <c r="D11303" t="s">
        <v>990</v>
      </c>
      <c r="E11303" t="s">
        <v>251</v>
      </c>
      <c r="F11303" t="s">
        <v>948</v>
      </c>
      <c r="G11303">
        <v>6099999</v>
      </c>
      <c r="H11303">
        <v>403045</v>
      </c>
      <c r="I11303">
        <v>50</v>
      </c>
    </row>
    <row r="11304" spans="1:9" x14ac:dyDescent="0.25">
      <c r="A11304">
        <v>4240</v>
      </c>
      <c r="B11304">
        <v>60</v>
      </c>
      <c r="C11304" t="s">
        <v>946</v>
      </c>
      <c r="D11304" t="s">
        <v>990</v>
      </c>
      <c r="E11304" t="s">
        <v>251</v>
      </c>
      <c r="F11304" t="s">
        <v>948</v>
      </c>
      <c r="G11304">
        <v>6077777</v>
      </c>
      <c r="H11304">
        <v>500221</v>
      </c>
      <c r="I11304" t="s">
        <v>949</v>
      </c>
    </row>
    <row r="11305" spans="1:9" x14ac:dyDescent="0.25">
      <c r="A11305">
        <v>4141</v>
      </c>
      <c r="B11305">
        <v>60</v>
      </c>
      <c r="C11305" t="s">
        <v>946</v>
      </c>
      <c r="D11305" t="s">
        <v>990</v>
      </c>
      <c r="E11305" t="s">
        <v>969</v>
      </c>
      <c r="F11305" t="s">
        <v>948</v>
      </c>
      <c r="G11305">
        <v>6077777</v>
      </c>
      <c r="H11305">
        <v>501010</v>
      </c>
      <c r="I11305">
        <v>50</v>
      </c>
    </row>
    <row r="11306" spans="1:9" x14ac:dyDescent="0.25">
      <c r="A11306">
        <v>4220</v>
      </c>
      <c r="B11306">
        <v>60</v>
      </c>
      <c r="C11306" t="s">
        <v>946</v>
      </c>
      <c r="D11306" t="s">
        <v>990</v>
      </c>
      <c r="E11306" t="s">
        <v>969</v>
      </c>
      <c r="F11306" t="s">
        <v>948</v>
      </c>
      <c r="G11306">
        <v>6077777</v>
      </c>
      <c r="H11306">
        <v>500220</v>
      </c>
      <c r="I11306" t="s">
        <v>949</v>
      </c>
    </row>
    <row r="11307" spans="1:9" x14ac:dyDescent="0.25">
      <c r="A11307">
        <v>4230</v>
      </c>
      <c r="B11307">
        <v>60</v>
      </c>
      <c r="C11307" t="s">
        <v>946</v>
      </c>
      <c r="D11307" t="s">
        <v>990</v>
      </c>
      <c r="E11307" t="s">
        <v>969</v>
      </c>
      <c r="F11307" t="s">
        <v>948</v>
      </c>
      <c r="G11307">
        <v>6099999</v>
      </c>
      <c r="H11307">
        <v>403915</v>
      </c>
      <c r="I11307">
        <v>50</v>
      </c>
    </row>
    <row r="11308" spans="1:9" x14ac:dyDescent="0.25">
      <c r="A11308">
        <v>4240</v>
      </c>
      <c r="B11308">
        <v>60</v>
      </c>
      <c r="C11308" t="s">
        <v>946</v>
      </c>
      <c r="D11308" t="s">
        <v>990</v>
      </c>
      <c r="E11308" t="s">
        <v>969</v>
      </c>
      <c r="F11308" t="s">
        <v>948</v>
      </c>
      <c r="G11308">
        <v>6077777</v>
      </c>
      <c r="H11308">
        <v>500221</v>
      </c>
      <c r="I11308" t="s">
        <v>949</v>
      </c>
    </row>
    <row r="11309" spans="1:9" x14ac:dyDescent="0.25">
      <c r="A11309">
        <v>4141</v>
      </c>
      <c r="B11309">
        <v>60</v>
      </c>
      <c r="C11309" t="s">
        <v>946</v>
      </c>
      <c r="D11309" t="s">
        <v>990</v>
      </c>
      <c r="E11309" t="s">
        <v>255</v>
      </c>
      <c r="F11309" t="s">
        <v>948</v>
      </c>
      <c r="G11309">
        <v>6077777</v>
      </c>
      <c r="H11309">
        <v>501010</v>
      </c>
      <c r="I11309">
        <v>50</v>
      </c>
    </row>
    <row r="11310" spans="1:9" x14ac:dyDescent="0.25">
      <c r="A11310">
        <v>4220</v>
      </c>
      <c r="B11310">
        <v>60</v>
      </c>
      <c r="C11310" t="s">
        <v>946</v>
      </c>
      <c r="D11310" t="s">
        <v>990</v>
      </c>
      <c r="E11310" t="s">
        <v>255</v>
      </c>
      <c r="F11310" t="s">
        <v>948</v>
      </c>
      <c r="G11310">
        <v>6077777</v>
      </c>
      <c r="H11310">
        <v>500220</v>
      </c>
      <c r="I11310" t="s">
        <v>949</v>
      </c>
    </row>
    <row r="11311" spans="1:9" x14ac:dyDescent="0.25">
      <c r="A11311">
        <v>4230</v>
      </c>
      <c r="B11311">
        <v>60</v>
      </c>
      <c r="C11311" t="s">
        <v>946</v>
      </c>
      <c r="D11311" t="s">
        <v>990</v>
      </c>
      <c r="E11311" t="s">
        <v>255</v>
      </c>
      <c r="F11311" t="s">
        <v>948</v>
      </c>
      <c r="G11311">
        <v>6099999</v>
      </c>
      <c r="H11311">
        <v>403075</v>
      </c>
      <c r="I11311">
        <v>50</v>
      </c>
    </row>
    <row r="11312" spans="1:9" x14ac:dyDescent="0.25">
      <c r="A11312">
        <v>4240</v>
      </c>
      <c r="B11312">
        <v>60</v>
      </c>
      <c r="C11312" t="s">
        <v>946</v>
      </c>
      <c r="D11312" t="s">
        <v>990</v>
      </c>
      <c r="E11312" t="s">
        <v>255</v>
      </c>
      <c r="F11312" t="s">
        <v>948</v>
      </c>
      <c r="G11312">
        <v>6077777</v>
      </c>
      <c r="H11312">
        <v>500221</v>
      </c>
      <c r="I11312" t="s">
        <v>949</v>
      </c>
    </row>
    <row r="11313" spans="1:9" x14ac:dyDescent="0.25">
      <c r="A11313">
        <v>4141</v>
      </c>
      <c r="B11313">
        <v>60</v>
      </c>
      <c r="C11313" t="s">
        <v>946</v>
      </c>
      <c r="D11313" t="s">
        <v>990</v>
      </c>
      <c r="E11313" t="s">
        <v>971</v>
      </c>
      <c r="F11313" t="s">
        <v>948</v>
      </c>
      <c r="G11313">
        <v>6077777</v>
      </c>
      <c r="H11313">
        <v>501010</v>
      </c>
      <c r="I11313">
        <v>50</v>
      </c>
    </row>
    <row r="11314" spans="1:9" x14ac:dyDescent="0.25">
      <c r="A11314">
        <v>4220</v>
      </c>
      <c r="B11314">
        <v>60</v>
      </c>
      <c r="C11314" t="s">
        <v>946</v>
      </c>
      <c r="D11314" t="s">
        <v>990</v>
      </c>
      <c r="E11314" t="s">
        <v>971</v>
      </c>
      <c r="F11314" t="s">
        <v>948</v>
      </c>
      <c r="G11314">
        <v>6077777</v>
      </c>
      <c r="H11314">
        <v>500220</v>
      </c>
      <c r="I11314" t="s">
        <v>949</v>
      </c>
    </row>
    <row r="11315" spans="1:9" x14ac:dyDescent="0.25">
      <c r="A11315">
        <v>4230</v>
      </c>
      <c r="B11315">
        <v>60</v>
      </c>
      <c r="C11315" t="s">
        <v>946</v>
      </c>
      <c r="D11315" t="s">
        <v>990</v>
      </c>
      <c r="E11315" t="s">
        <v>971</v>
      </c>
      <c r="F11315" t="s">
        <v>948</v>
      </c>
      <c r="G11315">
        <v>6099999</v>
      </c>
      <c r="H11315">
        <v>403915</v>
      </c>
      <c r="I11315">
        <v>50</v>
      </c>
    </row>
    <row r="11316" spans="1:9" x14ac:dyDescent="0.25">
      <c r="A11316">
        <v>4240</v>
      </c>
      <c r="B11316">
        <v>60</v>
      </c>
      <c r="C11316" t="s">
        <v>946</v>
      </c>
      <c r="D11316" t="s">
        <v>990</v>
      </c>
      <c r="E11316" t="s">
        <v>971</v>
      </c>
      <c r="F11316" t="s">
        <v>948</v>
      </c>
      <c r="G11316">
        <v>6077777</v>
      </c>
      <c r="H11316">
        <v>500221</v>
      </c>
      <c r="I11316" t="s">
        <v>949</v>
      </c>
    </row>
    <row r="11317" spans="1:9" x14ac:dyDescent="0.25">
      <c r="A11317">
        <v>4230</v>
      </c>
      <c r="B11317">
        <v>60</v>
      </c>
      <c r="C11317" t="s">
        <v>946</v>
      </c>
      <c r="D11317" t="s">
        <v>990</v>
      </c>
      <c r="E11317" t="s">
        <v>259</v>
      </c>
      <c r="F11317" t="s">
        <v>948</v>
      </c>
      <c r="G11317">
        <v>6099999</v>
      </c>
      <c r="H11317">
        <v>409005</v>
      </c>
      <c r="I11317">
        <v>50</v>
      </c>
    </row>
    <row r="11318" spans="1:9" x14ac:dyDescent="0.25">
      <c r="A11318">
        <v>4141</v>
      </c>
      <c r="B11318">
        <v>60</v>
      </c>
      <c r="C11318" t="s">
        <v>946</v>
      </c>
      <c r="D11318" t="s">
        <v>990</v>
      </c>
      <c r="E11318" t="s">
        <v>263</v>
      </c>
      <c r="F11318" t="s">
        <v>948</v>
      </c>
      <c r="G11318">
        <v>6077777</v>
      </c>
      <c r="H11318">
        <v>501010</v>
      </c>
      <c r="I11318">
        <v>50</v>
      </c>
    </row>
    <row r="11319" spans="1:9" x14ac:dyDescent="0.25">
      <c r="A11319">
        <v>4220</v>
      </c>
      <c r="B11319">
        <v>60</v>
      </c>
      <c r="C11319" t="s">
        <v>946</v>
      </c>
      <c r="D11319" t="s">
        <v>990</v>
      </c>
      <c r="E11319" t="s">
        <v>263</v>
      </c>
      <c r="F11319" t="s">
        <v>948</v>
      </c>
      <c r="G11319">
        <v>6077777</v>
      </c>
      <c r="H11319">
        <v>500220</v>
      </c>
      <c r="I11319" t="s">
        <v>949</v>
      </c>
    </row>
    <row r="11320" spans="1:9" x14ac:dyDescent="0.25">
      <c r="A11320">
        <v>4230</v>
      </c>
      <c r="B11320">
        <v>60</v>
      </c>
      <c r="C11320" t="s">
        <v>946</v>
      </c>
      <c r="D11320" t="s">
        <v>990</v>
      </c>
      <c r="E11320" t="s">
        <v>263</v>
      </c>
      <c r="F11320" t="s">
        <v>948</v>
      </c>
      <c r="G11320">
        <v>6099999</v>
      </c>
      <c r="H11320">
        <v>403045</v>
      </c>
      <c r="I11320">
        <v>50</v>
      </c>
    </row>
    <row r="11321" spans="1:9" x14ac:dyDescent="0.25">
      <c r="A11321">
        <v>4240</v>
      </c>
      <c r="B11321">
        <v>60</v>
      </c>
      <c r="C11321" t="s">
        <v>946</v>
      </c>
      <c r="D11321" t="s">
        <v>990</v>
      </c>
      <c r="E11321" t="s">
        <v>263</v>
      </c>
      <c r="F11321" t="s">
        <v>948</v>
      </c>
      <c r="G11321">
        <v>6077777</v>
      </c>
      <c r="H11321">
        <v>500221</v>
      </c>
      <c r="I11321" t="s">
        <v>949</v>
      </c>
    </row>
    <row r="11322" spans="1:9" x14ac:dyDescent="0.25">
      <c r="A11322">
        <v>4141</v>
      </c>
      <c r="B11322">
        <v>60</v>
      </c>
      <c r="C11322" t="s">
        <v>946</v>
      </c>
      <c r="D11322" t="s">
        <v>990</v>
      </c>
      <c r="E11322" t="s">
        <v>100</v>
      </c>
      <c r="F11322" t="s">
        <v>948</v>
      </c>
      <c r="G11322">
        <v>6077777</v>
      </c>
      <c r="H11322">
        <v>500220</v>
      </c>
      <c r="I11322" t="s">
        <v>949</v>
      </c>
    </row>
    <row r="11323" spans="1:9" x14ac:dyDescent="0.25">
      <c r="A11323">
        <v>4220</v>
      </c>
      <c r="B11323">
        <v>60</v>
      </c>
      <c r="C11323" t="s">
        <v>946</v>
      </c>
      <c r="D11323" t="s">
        <v>990</v>
      </c>
      <c r="E11323" t="s">
        <v>100</v>
      </c>
      <c r="F11323" t="s">
        <v>948</v>
      </c>
      <c r="G11323">
        <v>6077777</v>
      </c>
      <c r="H11323">
        <v>500220</v>
      </c>
      <c r="I11323" t="s">
        <v>949</v>
      </c>
    </row>
    <row r="11324" spans="1:9" x14ac:dyDescent="0.25">
      <c r="A11324">
        <v>4230</v>
      </c>
      <c r="B11324">
        <v>60</v>
      </c>
      <c r="C11324" t="s">
        <v>946</v>
      </c>
      <c r="D11324" t="s">
        <v>990</v>
      </c>
      <c r="E11324" t="s">
        <v>100</v>
      </c>
      <c r="F11324" t="s">
        <v>948</v>
      </c>
      <c r="G11324">
        <v>6099999</v>
      </c>
      <c r="H11324">
        <v>403045</v>
      </c>
      <c r="I11324">
        <v>50</v>
      </c>
    </row>
    <row r="11325" spans="1:9" x14ac:dyDescent="0.25">
      <c r="A11325">
        <v>4240</v>
      </c>
      <c r="B11325">
        <v>60</v>
      </c>
      <c r="C11325" t="s">
        <v>946</v>
      </c>
      <c r="D11325" t="s">
        <v>990</v>
      </c>
      <c r="E11325" t="s">
        <v>100</v>
      </c>
      <c r="F11325" t="s">
        <v>948</v>
      </c>
      <c r="G11325">
        <v>6077777</v>
      </c>
      <c r="H11325">
        <v>500221</v>
      </c>
      <c r="I11325" t="s">
        <v>949</v>
      </c>
    </row>
    <row r="11326" spans="1:9" x14ac:dyDescent="0.25">
      <c r="A11326">
        <v>4141</v>
      </c>
      <c r="B11326">
        <v>60</v>
      </c>
      <c r="C11326" t="s">
        <v>946</v>
      </c>
      <c r="D11326" t="s">
        <v>990</v>
      </c>
      <c r="E11326" t="s">
        <v>270</v>
      </c>
      <c r="F11326" t="s">
        <v>948</v>
      </c>
      <c r="G11326">
        <v>6077777</v>
      </c>
      <c r="H11326">
        <v>501010</v>
      </c>
      <c r="I11326">
        <v>50</v>
      </c>
    </row>
    <row r="11327" spans="1:9" x14ac:dyDescent="0.25">
      <c r="A11327">
        <v>4220</v>
      </c>
      <c r="B11327">
        <v>60</v>
      </c>
      <c r="C11327" t="s">
        <v>946</v>
      </c>
      <c r="D11327" t="s">
        <v>990</v>
      </c>
      <c r="E11327" t="s">
        <v>270</v>
      </c>
      <c r="F11327" t="s">
        <v>948</v>
      </c>
      <c r="G11327">
        <v>6077777</v>
      </c>
      <c r="H11327">
        <v>500220</v>
      </c>
      <c r="I11327" t="s">
        <v>949</v>
      </c>
    </row>
    <row r="11328" spans="1:9" x14ac:dyDescent="0.25">
      <c r="A11328">
        <v>4230</v>
      </c>
      <c r="B11328">
        <v>60</v>
      </c>
      <c r="C11328" t="s">
        <v>946</v>
      </c>
      <c r="D11328" t="s">
        <v>990</v>
      </c>
      <c r="E11328" t="s">
        <v>270</v>
      </c>
      <c r="F11328" t="s">
        <v>948</v>
      </c>
      <c r="G11328">
        <v>6099999</v>
      </c>
      <c r="H11328">
        <v>403065</v>
      </c>
      <c r="I11328">
        <v>50</v>
      </c>
    </row>
    <row r="11329" spans="1:9" x14ac:dyDescent="0.25">
      <c r="A11329">
        <v>4240</v>
      </c>
      <c r="B11329">
        <v>60</v>
      </c>
      <c r="C11329" t="s">
        <v>946</v>
      </c>
      <c r="D11329" t="s">
        <v>990</v>
      </c>
      <c r="E11329" t="s">
        <v>270</v>
      </c>
      <c r="F11329" t="s">
        <v>948</v>
      </c>
      <c r="G11329">
        <v>6077777</v>
      </c>
      <c r="H11329">
        <v>500221</v>
      </c>
      <c r="I11329" t="s">
        <v>949</v>
      </c>
    </row>
    <row r="11330" spans="1:9" x14ac:dyDescent="0.25">
      <c r="A11330">
        <v>4141</v>
      </c>
      <c r="B11330">
        <v>60</v>
      </c>
      <c r="C11330" t="s">
        <v>946</v>
      </c>
      <c r="D11330" t="s">
        <v>990</v>
      </c>
      <c r="E11330" t="s">
        <v>274</v>
      </c>
      <c r="F11330" t="s">
        <v>948</v>
      </c>
      <c r="G11330">
        <v>6077777</v>
      </c>
      <c r="H11330">
        <v>501010</v>
      </c>
      <c r="I11330">
        <v>50</v>
      </c>
    </row>
    <row r="11331" spans="1:9" x14ac:dyDescent="0.25">
      <c r="A11331">
        <v>4220</v>
      </c>
      <c r="B11331">
        <v>60</v>
      </c>
      <c r="C11331" t="s">
        <v>946</v>
      </c>
      <c r="D11331" t="s">
        <v>990</v>
      </c>
      <c r="E11331" t="s">
        <v>274</v>
      </c>
      <c r="F11331" t="s">
        <v>948</v>
      </c>
      <c r="G11331">
        <v>6077777</v>
      </c>
      <c r="H11331">
        <v>500220</v>
      </c>
      <c r="I11331" t="s">
        <v>949</v>
      </c>
    </row>
    <row r="11332" spans="1:9" x14ac:dyDescent="0.25">
      <c r="A11332">
        <v>4230</v>
      </c>
      <c r="B11332">
        <v>60</v>
      </c>
      <c r="C11332" t="s">
        <v>946</v>
      </c>
      <c r="D11332" t="s">
        <v>990</v>
      </c>
      <c r="E11332" t="s">
        <v>274</v>
      </c>
      <c r="F11332" t="s">
        <v>948</v>
      </c>
      <c r="G11332">
        <v>6099999</v>
      </c>
      <c r="H11332">
        <v>403045</v>
      </c>
      <c r="I11332">
        <v>50</v>
      </c>
    </row>
    <row r="11333" spans="1:9" x14ac:dyDescent="0.25">
      <c r="A11333">
        <v>4240</v>
      </c>
      <c r="B11333">
        <v>60</v>
      </c>
      <c r="C11333" t="s">
        <v>946</v>
      </c>
      <c r="D11333" t="s">
        <v>990</v>
      </c>
      <c r="E11333" t="s">
        <v>274</v>
      </c>
      <c r="F11333" t="s">
        <v>948</v>
      </c>
      <c r="G11333">
        <v>6077777</v>
      </c>
      <c r="H11333">
        <v>500221</v>
      </c>
      <c r="I11333" t="s">
        <v>949</v>
      </c>
    </row>
    <row r="11334" spans="1:9" x14ac:dyDescent="0.25">
      <c r="A11334">
        <v>4141</v>
      </c>
      <c r="B11334">
        <v>60</v>
      </c>
      <c r="C11334" t="s">
        <v>946</v>
      </c>
      <c r="D11334" t="s">
        <v>990</v>
      </c>
      <c r="E11334" t="s">
        <v>974</v>
      </c>
      <c r="F11334" t="s">
        <v>948</v>
      </c>
      <c r="G11334">
        <v>6077777</v>
      </c>
      <c r="H11334">
        <v>501010</v>
      </c>
      <c r="I11334">
        <v>50</v>
      </c>
    </row>
    <row r="11335" spans="1:9" x14ac:dyDescent="0.25">
      <c r="A11335">
        <v>4220</v>
      </c>
      <c r="B11335">
        <v>60</v>
      </c>
      <c r="C11335" t="s">
        <v>946</v>
      </c>
      <c r="D11335" t="s">
        <v>990</v>
      </c>
      <c r="E11335" t="s">
        <v>974</v>
      </c>
      <c r="F11335" t="s">
        <v>948</v>
      </c>
      <c r="G11335">
        <v>6077777</v>
      </c>
      <c r="H11335">
        <v>500220</v>
      </c>
      <c r="I11335" t="s">
        <v>949</v>
      </c>
    </row>
    <row r="11336" spans="1:9" x14ac:dyDescent="0.25">
      <c r="A11336">
        <v>4230</v>
      </c>
      <c r="B11336">
        <v>60</v>
      </c>
      <c r="C11336" t="s">
        <v>946</v>
      </c>
      <c r="D11336" t="s">
        <v>990</v>
      </c>
      <c r="E11336" t="s">
        <v>974</v>
      </c>
      <c r="F11336" t="s">
        <v>948</v>
      </c>
      <c r="G11336">
        <v>6099999</v>
      </c>
      <c r="H11336">
        <v>403915</v>
      </c>
      <c r="I11336">
        <v>50</v>
      </c>
    </row>
    <row r="11337" spans="1:9" x14ac:dyDescent="0.25">
      <c r="A11337">
        <v>4240</v>
      </c>
      <c r="B11337">
        <v>60</v>
      </c>
      <c r="C11337" t="s">
        <v>946</v>
      </c>
      <c r="D11337" t="s">
        <v>990</v>
      </c>
      <c r="E11337" t="s">
        <v>974</v>
      </c>
      <c r="F11337" t="s">
        <v>948</v>
      </c>
      <c r="G11337">
        <v>6077777</v>
      </c>
      <c r="H11337">
        <v>500221</v>
      </c>
      <c r="I11337" t="s">
        <v>949</v>
      </c>
    </row>
    <row r="11338" spans="1:9" x14ac:dyDescent="0.25">
      <c r="A11338">
        <v>4141</v>
      </c>
      <c r="B11338">
        <v>60</v>
      </c>
      <c r="C11338" t="s">
        <v>946</v>
      </c>
      <c r="D11338" t="s">
        <v>990</v>
      </c>
      <c r="E11338" t="s">
        <v>104</v>
      </c>
      <c r="F11338" t="s">
        <v>948</v>
      </c>
      <c r="G11338">
        <v>6077777</v>
      </c>
      <c r="H11338">
        <v>500220</v>
      </c>
      <c r="I11338" t="s">
        <v>949</v>
      </c>
    </row>
    <row r="11339" spans="1:9" x14ac:dyDescent="0.25">
      <c r="A11339">
        <v>4220</v>
      </c>
      <c r="B11339">
        <v>60</v>
      </c>
      <c r="C11339" t="s">
        <v>946</v>
      </c>
      <c r="D11339" t="s">
        <v>990</v>
      </c>
      <c r="E11339" t="s">
        <v>104</v>
      </c>
      <c r="F11339" t="s">
        <v>948</v>
      </c>
      <c r="G11339">
        <v>6077777</v>
      </c>
      <c r="H11339">
        <v>500220</v>
      </c>
      <c r="I11339" t="s">
        <v>949</v>
      </c>
    </row>
    <row r="11340" spans="1:9" x14ac:dyDescent="0.25">
      <c r="A11340">
        <v>4230</v>
      </c>
      <c r="B11340">
        <v>60</v>
      </c>
      <c r="C11340" t="s">
        <v>946</v>
      </c>
      <c r="D11340" t="s">
        <v>990</v>
      </c>
      <c r="E11340" t="s">
        <v>104</v>
      </c>
      <c r="F11340" t="s">
        <v>948</v>
      </c>
      <c r="G11340">
        <v>6099999</v>
      </c>
      <c r="H11340">
        <v>403045</v>
      </c>
      <c r="I11340">
        <v>50</v>
      </c>
    </row>
    <row r="11341" spans="1:9" x14ac:dyDescent="0.25">
      <c r="A11341">
        <v>4240</v>
      </c>
      <c r="B11341">
        <v>60</v>
      </c>
      <c r="C11341" t="s">
        <v>946</v>
      </c>
      <c r="D11341" t="s">
        <v>990</v>
      </c>
      <c r="E11341" t="s">
        <v>104</v>
      </c>
      <c r="F11341" t="s">
        <v>948</v>
      </c>
      <c r="G11341">
        <v>6077777</v>
      </c>
      <c r="H11341">
        <v>500221</v>
      </c>
      <c r="I11341" t="s">
        <v>949</v>
      </c>
    </row>
    <row r="11342" spans="1:9" x14ac:dyDescent="0.25">
      <c r="A11342">
        <v>4141</v>
      </c>
      <c r="B11342">
        <v>60</v>
      </c>
      <c r="C11342" t="s">
        <v>946</v>
      </c>
      <c r="D11342" t="s">
        <v>990</v>
      </c>
      <c r="E11342" t="s">
        <v>278</v>
      </c>
      <c r="F11342" t="s">
        <v>948</v>
      </c>
      <c r="G11342">
        <v>6077777</v>
      </c>
      <c r="H11342">
        <v>501010</v>
      </c>
      <c r="I11342">
        <v>50</v>
      </c>
    </row>
    <row r="11343" spans="1:9" x14ac:dyDescent="0.25">
      <c r="A11343">
        <v>4220</v>
      </c>
      <c r="B11343">
        <v>60</v>
      </c>
      <c r="C11343" t="s">
        <v>946</v>
      </c>
      <c r="D11343" t="s">
        <v>990</v>
      </c>
      <c r="E11343" t="s">
        <v>278</v>
      </c>
      <c r="F11343" t="s">
        <v>948</v>
      </c>
      <c r="G11343">
        <v>6077777</v>
      </c>
      <c r="H11343">
        <v>500220</v>
      </c>
      <c r="I11343" t="s">
        <v>949</v>
      </c>
    </row>
    <row r="11344" spans="1:9" x14ac:dyDescent="0.25">
      <c r="A11344">
        <v>4230</v>
      </c>
      <c r="B11344">
        <v>60</v>
      </c>
      <c r="C11344" t="s">
        <v>946</v>
      </c>
      <c r="D11344" t="s">
        <v>990</v>
      </c>
      <c r="E11344" t="s">
        <v>278</v>
      </c>
      <c r="F11344" t="s">
        <v>948</v>
      </c>
      <c r="G11344">
        <v>6099999</v>
      </c>
      <c r="H11344">
        <v>403055</v>
      </c>
      <c r="I11344">
        <v>50</v>
      </c>
    </row>
    <row r="11345" spans="1:9" x14ac:dyDescent="0.25">
      <c r="A11345">
        <v>4240</v>
      </c>
      <c r="B11345">
        <v>60</v>
      </c>
      <c r="C11345" t="s">
        <v>946</v>
      </c>
      <c r="D11345" t="s">
        <v>990</v>
      </c>
      <c r="E11345" t="s">
        <v>278</v>
      </c>
      <c r="F11345" t="s">
        <v>948</v>
      </c>
      <c r="G11345">
        <v>6077777</v>
      </c>
      <c r="H11345">
        <v>500221</v>
      </c>
      <c r="I11345" t="s">
        <v>949</v>
      </c>
    </row>
    <row r="11346" spans="1:9" x14ac:dyDescent="0.25">
      <c r="A11346">
        <v>4141</v>
      </c>
      <c r="B11346">
        <v>60</v>
      </c>
      <c r="C11346" t="s">
        <v>946</v>
      </c>
      <c r="D11346" t="s">
        <v>990</v>
      </c>
      <c r="E11346" t="s">
        <v>282</v>
      </c>
      <c r="F11346" t="s">
        <v>948</v>
      </c>
      <c r="G11346">
        <v>6077777</v>
      </c>
      <c r="H11346">
        <v>501010</v>
      </c>
      <c r="I11346">
        <v>50</v>
      </c>
    </row>
    <row r="11347" spans="1:9" x14ac:dyDescent="0.25">
      <c r="A11347">
        <v>4220</v>
      </c>
      <c r="B11347">
        <v>60</v>
      </c>
      <c r="C11347" t="s">
        <v>946</v>
      </c>
      <c r="D11347" t="s">
        <v>990</v>
      </c>
      <c r="E11347" t="s">
        <v>282</v>
      </c>
      <c r="F11347" t="s">
        <v>948</v>
      </c>
      <c r="G11347">
        <v>6077777</v>
      </c>
      <c r="H11347">
        <v>500220</v>
      </c>
      <c r="I11347" t="s">
        <v>949</v>
      </c>
    </row>
    <row r="11348" spans="1:9" x14ac:dyDescent="0.25">
      <c r="A11348">
        <v>4230</v>
      </c>
      <c r="B11348">
        <v>60</v>
      </c>
      <c r="C11348" t="s">
        <v>946</v>
      </c>
      <c r="D11348" t="s">
        <v>990</v>
      </c>
      <c r="E11348" t="s">
        <v>282</v>
      </c>
      <c r="F11348" t="s">
        <v>948</v>
      </c>
      <c r="G11348">
        <v>6099999</v>
      </c>
      <c r="H11348">
        <v>403045</v>
      </c>
      <c r="I11348">
        <v>50</v>
      </c>
    </row>
    <row r="11349" spans="1:9" x14ac:dyDescent="0.25">
      <c r="A11349">
        <v>4240</v>
      </c>
      <c r="B11349">
        <v>60</v>
      </c>
      <c r="C11349" t="s">
        <v>946</v>
      </c>
      <c r="D11349" t="s">
        <v>990</v>
      </c>
      <c r="E11349" t="s">
        <v>282</v>
      </c>
      <c r="F11349" t="s">
        <v>948</v>
      </c>
      <c r="G11349">
        <v>6077777</v>
      </c>
      <c r="H11349">
        <v>500221</v>
      </c>
      <c r="I11349" t="s">
        <v>949</v>
      </c>
    </row>
    <row r="11350" spans="1:9" x14ac:dyDescent="0.25">
      <c r="A11350">
        <v>4141</v>
      </c>
      <c r="B11350">
        <v>60</v>
      </c>
      <c r="C11350" t="s">
        <v>946</v>
      </c>
      <c r="D11350" t="s">
        <v>990</v>
      </c>
      <c r="E11350" t="s">
        <v>286</v>
      </c>
      <c r="F11350" t="s">
        <v>948</v>
      </c>
      <c r="G11350">
        <v>6077777</v>
      </c>
      <c r="H11350">
        <v>501010</v>
      </c>
      <c r="I11350">
        <v>50</v>
      </c>
    </row>
    <row r="11351" spans="1:9" x14ac:dyDescent="0.25">
      <c r="A11351">
        <v>4220</v>
      </c>
      <c r="B11351">
        <v>60</v>
      </c>
      <c r="C11351" t="s">
        <v>946</v>
      </c>
      <c r="D11351" t="s">
        <v>990</v>
      </c>
      <c r="E11351" t="s">
        <v>286</v>
      </c>
      <c r="F11351" t="s">
        <v>948</v>
      </c>
      <c r="G11351">
        <v>6077777</v>
      </c>
      <c r="H11351">
        <v>500220</v>
      </c>
      <c r="I11351" t="s">
        <v>949</v>
      </c>
    </row>
    <row r="11352" spans="1:9" x14ac:dyDescent="0.25">
      <c r="A11352">
        <v>4230</v>
      </c>
      <c r="B11352">
        <v>60</v>
      </c>
      <c r="C11352" t="s">
        <v>946</v>
      </c>
      <c r="D11352" t="s">
        <v>990</v>
      </c>
      <c r="E11352" t="s">
        <v>286</v>
      </c>
      <c r="F11352" t="s">
        <v>948</v>
      </c>
      <c r="G11352">
        <v>6099999</v>
      </c>
      <c r="H11352">
        <v>403035</v>
      </c>
      <c r="I11352">
        <v>50</v>
      </c>
    </row>
    <row r="11353" spans="1:9" x14ac:dyDescent="0.25">
      <c r="A11353">
        <v>4240</v>
      </c>
      <c r="B11353">
        <v>60</v>
      </c>
      <c r="C11353" t="s">
        <v>946</v>
      </c>
      <c r="D11353" t="s">
        <v>990</v>
      </c>
      <c r="E11353" t="s">
        <v>286</v>
      </c>
      <c r="F11353" t="s">
        <v>948</v>
      </c>
      <c r="G11353">
        <v>6077777</v>
      </c>
      <c r="H11353">
        <v>500221</v>
      </c>
      <c r="I11353" t="s">
        <v>949</v>
      </c>
    </row>
    <row r="11354" spans="1:9" x14ac:dyDescent="0.25">
      <c r="A11354">
        <v>4141</v>
      </c>
      <c r="B11354">
        <v>60</v>
      </c>
      <c r="C11354" t="s">
        <v>946</v>
      </c>
      <c r="D11354" t="s">
        <v>990</v>
      </c>
      <c r="E11354" t="s">
        <v>976</v>
      </c>
      <c r="F11354" t="s">
        <v>948</v>
      </c>
      <c r="G11354">
        <v>6077777</v>
      </c>
      <c r="H11354">
        <v>501010</v>
      </c>
      <c r="I11354">
        <v>50</v>
      </c>
    </row>
    <row r="11355" spans="1:9" x14ac:dyDescent="0.25">
      <c r="A11355">
        <v>4220</v>
      </c>
      <c r="B11355">
        <v>60</v>
      </c>
      <c r="C11355" t="s">
        <v>946</v>
      </c>
      <c r="D11355" t="s">
        <v>990</v>
      </c>
      <c r="E11355" t="s">
        <v>976</v>
      </c>
      <c r="F11355" t="s">
        <v>948</v>
      </c>
      <c r="G11355">
        <v>6077777</v>
      </c>
      <c r="H11355">
        <v>500220</v>
      </c>
      <c r="I11355" t="s">
        <v>949</v>
      </c>
    </row>
    <row r="11356" spans="1:9" x14ac:dyDescent="0.25">
      <c r="A11356">
        <v>4230</v>
      </c>
      <c r="B11356">
        <v>60</v>
      </c>
      <c r="C11356" t="s">
        <v>946</v>
      </c>
      <c r="D11356" t="s">
        <v>990</v>
      </c>
      <c r="E11356" t="s">
        <v>976</v>
      </c>
      <c r="F11356" t="s">
        <v>948</v>
      </c>
      <c r="G11356">
        <v>6099999</v>
      </c>
      <c r="H11356">
        <v>403915</v>
      </c>
      <c r="I11356">
        <v>50</v>
      </c>
    </row>
    <row r="11357" spans="1:9" x14ac:dyDescent="0.25">
      <c r="A11357">
        <v>4240</v>
      </c>
      <c r="B11357">
        <v>60</v>
      </c>
      <c r="C11357" t="s">
        <v>946</v>
      </c>
      <c r="D11357" t="s">
        <v>990</v>
      </c>
      <c r="E11357" t="s">
        <v>976</v>
      </c>
      <c r="F11357" t="s">
        <v>948</v>
      </c>
      <c r="G11357">
        <v>6077777</v>
      </c>
      <c r="H11357">
        <v>500221</v>
      </c>
      <c r="I11357" t="s">
        <v>949</v>
      </c>
    </row>
    <row r="11358" spans="1:9" x14ac:dyDescent="0.25">
      <c r="A11358">
        <v>4141</v>
      </c>
      <c r="B11358">
        <v>60</v>
      </c>
      <c r="C11358" t="s">
        <v>946</v>
      </c>
      <c r="D11358" t="s">
        <v>990</v>
      </c>
      <c r="E11358" t="s">
        <v>290</v>
      </c>
      <c r="F11358" t="s">
        <v>948</v>
      </c>
      <c r="G11358">
        <v>6077777</v>
      </c>
      <c r="H11358">
        <v>501010</v>
      </c>
      <c r="I11358">
        <v>50</v>
      </c>
    </row>
    <row r="11359" spans="1:9" x14ac:dyDescent="0.25">
      <c r="A11359">
        <v>4220</v>
      </c>
      <c r="B11359">
        <v>60</v>
      </c>
      <c r="C11359" t="s">
        <v>946</v>
      </c>
      <c r="D11359" t="s">
        <v>990</v>
      </c>
      <c r="E11359" t="s">
        <v>290</v>
      </c>
      <c r="F11359" t="s">
        <v>948</v>
      </c>
      <c r="G11359">
        <v>6077777</v>
      </c>
      <c r="H11359">
        <v>500220</v>
      </c>
      <c r="I11359" t="s">
        <v>949</v>
      </c>
    </row>
    <row r="11360" spans="1:9" x14ac:dyDescent="0.25">
      <c r="A11360">
        <v>4230</v>
      </c>
      <c r="B11360">
        <v>60</v>
      </c>
      <c r="C11360" t="s">
        <v>946</v>
      </c>
      <c r="D11360" t="s">
        <v>990</v>
      </c>
      <c r="E11360" t="s">
        <v>290</v>
      </c>
      <c r="F11360" t="s">
        <v>948</v>
      </c>
      <c r="G11360">
        <v>6099999</v>
      </c>
      <c r="H11360">
        <v>403045</v>
      </c>
      <c r="I11360">
        <v>50</v>
      </c>
    </row>
    <row r="11361" spans="1:9" x14ac:dyDescent="0.25">
      <c r="A11361">
        <v>4240</v>
      </c>
      <c r="B11361">
        <v>60</v>
      </c>
      <c r="C11361" t="s">
        <v>946</v>
      </c>
      <c r="D11361" t="s">
        <v>990</v>
      </c>
      <c r="E11361" t="s">
        <v>290</v>
      </c>
      <c r="F11361" t="s">
        <v>948</v>
      </c>
      <c r="G11361">
        <v>6077777</v>
      </c>
      <c r="H11361">
        <v>500221</v>
      </c>
      <c r="I11361" t="s">
        <v>949</v>
      </c>
    </row>
    <row r="11362" spans="1:9" x14ac:dyDescent="0.25">
      <c r="A11362">
        <v>4141</v>
      </c>
      <c r="B11362">
        <v>60</v>
      </c>
      <c r="C11362" t="s">
        <v>946</v>
      </c>
      <c r="D11362" t="s">
        <v>990</v>
      </c>
      <c r="E11362" t="s">
        <v>294</v>
      </c>
      <c r="F11362" t="s">
        <v>948</v>
      </c>
      <c r="G11362">
        <v>6077777</v>
      </c>
      <c r="H11362">
        <v>501010</v>
      </c>
      <c r="I11362">
        <v>50</v>
      </c>
    </row>
    <row r="11363" spans="1:9" x14ac:dyDescent="0.25">
      <c r="A11363">
        <v>4220</v>
      </c>
      <c r="B11363">
        <v>60</v>
      </c>
      <c r="C11363" t="s">
        <v>946</v>
      </c>
      <c r="D11363" t="s">
        <v>990</v>
      </c>
      <c r="E11363" t="s">
        <v>294</v>
      </c>
      <c r="F11363" t="s">
        <v>948</v>
      </c>
      <c r="G11363">
        <v>6077777</v>
      </c>
      <c r="H11363">
        <v>500220</v>
      </c>
      <c r="I11363" t="s">
        <v>949</v>
      </c>
    </row>
    <row r="11364" spans="1:9" x14ac:dyDescent="0.25">
      <c r="A11364">
        <v>4230</v>
      </c>
      <c r="B11364">
        <v>60</v>
      </c>
      <c r="C11364" t="s">
        <v>946</v>
      </c>
      <c r="D11364" t="s">
        <v>990</v>
      </c>
      <c r="E11364" t="s">
        <v>294</v>
      </c>
      <c r="F11364" t="s">
        <v>948</v>
      </c>
      <c r="G11364">
        <v>6099999</v>
      </c>
      <c r="H11364">
        <v>403045</v>
      </c>
      <c r="I11364">
        <v>50</v>
      </c>
    </row>
    <row r="11365" spans="1:9" x14ac:dyDescent="0.25">
      <c r="A11365">
        <v>4240</v>
      </c>
      <c r="B11365">
        <v>60</v>
      </c>
      <c r="C11365" t="s">
        <v>946</v>
      </c>
      <c r="D11365" t="s">
        <v>990</v>
      </c>
      <c r="E11365" t="s">
        <v>294</v>
      </c>
      <c r="F11365" t="s">
        <v>948</v>
      </c>
      <c r="G11365">
        <v>6077777</v>
      </c>
      <c r="H11365">
        <v>500221</v>
      </c>
      <c r="I11365" t="s">
        <v>949</v>
      </c>
    </row>
    <row r="11366" spans="1:9" x14ac:dyDescent="0.25">
      <c r="A11366">
        <v>4230</v>
      </c>
      <c r="B11366">
        <v>60</v>
      </c>
      <c r="C11366" t="s">
        <v>946</v>
      </c>
      <c r="D11366" t="s">
        <v>990</v>
      </c>
      <c r="E11366" t="s">
        <v>298</v>
      </c>
      <c r="F11366" t="s">
        <v>948</v>
      </c>
      <c r="G11366">
        <v>6099999</v>
      </c>
      <c r="H11366">
        <v>403085</v>
      </c>
      <c r="I11366">
        <v>50</v>
      </c>
    </row>
    <row r="11367" spans="1:9" x14ac:dyDescent="0.25">
      <c r="A11367">
        <v>4141</v>
      </c>
      <c r="B11367">
        <v>60</v>
      </c>
      <c r="C11367" t="s">
        <v>946</v>
      </c>
      <c r="D11367" t="s">
        <v>990</v>
      </c>
      <c r="E11367" t="s">
        <v>980</v>
      </c>
      <c r="F11367" t="s">
        <v>948</v>
      </c>
      <c r="G11367">
        <v>6077777</v>
      </c>
      <c r="H11367">
        <v>501010</v>
      </c>
      <c r="I11367">
        <v>50</v>
      </c>
    </row>
    <row r="11368" spans="1:9" x14ac:dyDescent="0.25">
      <c r="A11368">
        <v>4220</v>
      </c>
      <c r="B11368">
        <v>60</v>
      </c>
      <c r="C11368" t="s">
        <v>946</v>
      </c>
      <c r="D11368" t="s">
        <v>990</v>
      </c>
      <c r="E11368" t="s">
        <v>980</v>
      </c>
      <c r="F11368" t="s">
        <v>948</v>
      </c>
      <c r="G11368">
        <v>6077777</v>
      </c>
      <c r="H11368">
        <v>500220</v>
      </c>
      <c r="I11368" t="s">
        <v>949</v>
      </c>
    </row>
    <row r="11369" spans="1:9" x14ac:dyDescent="0.25">
      <c r="A11369">
        <v>4230</v>
      </c>
      <c r="B11369">
        <v>60</v>
      </c>
      <c r="C11369" t="s">
        <v>946</v>
      </c>
      <c r="D11369" t="s">
        <v>990</v>
      </c>
      <c r="E11369" t="s">
        <v>980</v>
      </c>
      <c r="F11369" t="s">
        <v>948</v>
      </c>
      <c r="G11369">
        <v>6099999</v>
      </c>
      <c r="H11369">
        <v>403915</v>
      </c>
      <c r="I11369">
        <v>50</v>
      </c>
    </row>
    <row r="11370" spans="1:9" x14ac:dyDescent="0.25">
      <c r="A11370">
        <v>4240</v>
      </c>
      <c r="B11370">
        <v>60</v>
      </c>
      <c r="C11370" t="s">
        <v>946</v>
      </c>
      <c r="D11370" t="s">
        <v>990</v>
      </c>
      <c r="E11370" t="s">
        <v>980</v>
      </c>
      <c r="F11370" t="s">
        <v>948</v>
      </c>
      <c r="G11370">
        <v>6077777</v>
      </c>
      <c r="H11370">
        <v>500221</v>
      </c>
      <c r="I11370" t="s">
        <v>949</v>
      </c>
    </row>
    <row r="11371" spans="1:9" x14ac:dyDescent="0.25">
      <c r="A11371">
        <v>4141</v>
      </c>
      <c r="B11371">
        <v>60</v>
      </c>
      <c r="C11371" t="s">
        <v>946</v>
      </c>
      <c r="D11371" t="s">
        <v>990</v>
      </c>
      <c r="E11371" t="s">
        <v>302</v>
      </c>
      <c r="F11371" t="s">
        <v>948</v>
      </c>
      <c r="G11371">
        <v>6077777</v>
      </c>
      <c r="H11371">
        <v>501010</v>
      </c>
      <c r="I11371">
        <v>50</v>
      </c>
    </row>
    <row r="11372" spans="1:9" x14ac:dyDescent="0.25">
      <c r="A11372">
        <v>4220</v>
      </c>
      <c r="B11372">
        <v>60</v>
      </c>
      <c r="C11372" t="s">
        <v>946</v>
      </c>
      <c r="D11372" t="s">
        <v>990</v>
      </c>
      <c r="E11372" t="s">
        <v>302</v>
      </c>
      <c r="F11372" t="s">
        <v>948</v>
      </c>
      <c r="G11372">
        <v>6077777</v>
      </c>
      <c r="H11372">
        <v>500220</v>
      </c>
      <c r="I11372" t="s">
        <v>949</v>
      </c>
    </row>
    <row r="11373" spans="1:9" x14ac:dyDescent="0.25">
      <c r="A11373">
        <v>4230</v>
      </c>
      <c r="B11373">
        <v>60</v>
      </c>
      <c r="C11373" t="s">
        <v>946</v>
      </c>
      <c r="D11373" t="s">
        <v>990</v>
      </c>
      <c r="E11373" t="s">
        <v>302</v>
      </c>
      <c r="F11373" t="s">
        <v>948</v>
      </c>
      <c r="G11373">
        <v>6099999</v>
      </c>
      <c r="H11373">
        <v>401905</v>
      </c>
      <c r="I11373">
        <v>50</v>
      </c>
    </row>
    <row r="11374" spans="1:9" x14ac:dyDescent="0.25">
      <c r="A11374">
        <v>4240</v>
      </c>
      <c r="B11374">
        <v>60</v>
      </c>
      <c r="C11374" t="s">
        <v>946</v>
      </c>
      <c r="D11374" t="s">
        <v>990</v>
      </c>
      <c r="E11374" t="s">
        <v>302</v>
      </c>
      <c r="F11374" t="s">
        <v>948</v>
      </c>
      <c r="G11374">
        <v>6077777</v>
      </c>
      <c r="H11374">
        <v>500221</v>
      </c>
      <c r="I11374" t="s">
        <v>949</v>
      </c>
    </row>
    <row r="11375" spans="1:9" x14ac:dyDescent="0.25">
      <c r="A11375">
        <v>4141</v>
      </c>
      <c r="B11375">
        <v>60</v>
      </c>
      <c r="C11375" t="s">
        <v>946</v>
      </c>
      <c r="D11375" t="s">
        <v>990</v>
      </c>
      <c r="E11375" t="s">
        <v>306</v>
      </c>
      <c r="F11375" t="s">
        <v>948</v>
      </c>
      <c r="G11375">
        <v>6077777</v>
      </c>
      <c r="H11375">
        <v>501010</v>
      </c>
      <c r="I11375">
        <v>50</v>
      </c>
    </row>
    <row r="11376" spans="1:9" x14ac:dyDescent="0.25">
      <c r="A11376">
        <v>4220</v>
      </c>
      <c r="B11376">
        <v>60</v>
      </c>
      <c r="C11376" t="s">
        <v>946</v>
      </c>
      <c r="D11376" t="s">
        <v>990</v>
      </c>
      <c r="E11376" t="s">
        <v>306</v>
      </c>
      <c r="F11376" t="s">
        <v>948</v>
      </c>
      <c r="G11376">
        <v>6077777</v>
      </c>
      <c r="H11376">
        <v>500220</v>
      </c>
      <c r="I11376" t="s">
        <v>949</v>
      </c>
    </row>
    <row r="11377" spans="1:9" x14ac:dyDescent="0.25">
      <c r="A11377">
        <v>4230</v>
      </c>
      <c r="B11377">
        <v>60</v>
      </c>
      <c r="C11377" t="s">
        <v>946</v>
      </c>
      <c r="D11377" t="s">
        <v>990</v>
      </c>
      <c r="E11377" t="s">
        <v>306</v>
      </c>
      <c r="F11377" t="s">
        <v>948</v>
      </c>
      <c r="G11377">
        <v>6099999</v>
      </c>
      <c r="H11377">
        <v>403045</v>
      </c>
      <c r="I11377">
        <v>50</v>
      </c>
    </row>
    <row r="11378" spans="1:9" x14ac:dyDescent="0.25">
      <c r="A11378">
        <v>4240</v>
      </c>
      <c r="B11378">
        <v>60</v>
      </c>
      <c r="C11378" t="s">
        <v>946</v>
      </c>
      <c r="D11378" t="s">
        <v>990</v>
      </c>
      <c r="E11378" t="s">
        <v>306</v>
      </c>
      <c r="F11378" t="s">
        <v>948</v>
      </c>
      <c r="G11378">
        <v>6077777</v>
      </c>
      <c r="H11378">
        <v>500221</v>
      </c>
      <c r="I11378" t="s">
        <v>949</v>
      </c>
    </row>
    <row r="11379" spans="1:9" x14ac:dyDescent="0.25">
      <c r="A11379">
        <v>4141</v>
      </c>
      <c r="B11379">
        <v>60</v>
      </c>
      <c r="C11379" t="s">
        <v>946</v>
      </c>
      <c r="D11379" t="s">
        <v>990</v>
      </c>
      <c r="E11379" t="s">
        <v>108</v>
      </c>
      <c r="F11379" t="s">
        <v>948</v>
      </c>
      <c r="G11379">
        <v>6077777</v>
      </c>
      <c r="H11379">
        <v>500220</v>
      </c>
      <c r="I11379" t="s">
        <v>949</v>
      </c>
    </row>
    <row r="11380" spans="1:9" x14ac:dyDescent="0.25">
      <c r="A11380">
        <v>4220</v>
      </c>
      <c r="B11380">
        <v>60</v>
      </c>
      <c r="C11380" t="s">
        <v>946</v>
      </c>
      <c r="D11380" t="s">
        <v>990</v>
      </c>
      <c r="E11380" t="s">
        <v>108</v>
      </c>
      <c r="F11380" t="s">
        <v>948</v>
      </c>
      <c r="G11380">
        <v>6077777</v>
      </c>
      <c r="H11380">
        <v>500220</v>
      </c>
      <c r="I11380" t="s">
        <v>949</v>
      </c>
    </row>
    <row r="11381" spans="1:9" x14ac:dyDescent="0.25">
      <c r="A11381">
        <v>4230</v>
      </c>
      <c r="B11381">
        <v>60</v>
      </c>
      <c r="C11381" t="s">
        <v>946</v>
      </c>
      <c r="D11381" t="s">
        <v>990</v>
      </c>
      <c r="E11381" t="s">
        <v>108</v>
      </c>
      <c r="F11381" t="s">
        <v>948</v>
      </c>
      <c r="G11381">
        <v>6099999</v>
      </c>
      <c r="H11381">
        <v>403045</v>
      </c>
      <c r="I11381">
        <v>50</v>
      </c>
    </row>
    <row r="11382" spans="1:9" x14ac:dyDescent="0.25">
      <c r="A11382">
        <v>4240</v>
      </c>
      <c r="B11382">
        <v>60</v>
      </c>
      <c r="C11382" t="s">
        <v>946</v>
      </c>
      <c r="D11382" t="s">
        <v>990</v>
      </c>
      <c r="E11382" t="s">
        <v>108</v>
      </c>
      <c r="F11382" t="s">
        <v>948</v>
      </c>
      <c r="G11382">
        <v>6077777</v>
      </c>
      <c r="H11382">
        <v>500221</v>
      </c>
      <c r="I11382" t="s">
        <v>949</v>
      </c>
    </row>
    <row r="11383" spans="1:9" x14ac:dyDescent="0.25">
      <c r="A11383">
        <v>4141</v>
      </c>
      <c r="B11383">
        <v>60</v>
      </c>
      <c r="C11383" t="s">
        <v>946</v>
      </c>
      <c r="D11383" t="s">
        <v>990</v>
      </c>
      <c r="E11383" t="s">
        <v>310</v>
      </c>
      <c r="F11383" t="s">
        <v>948</v>
      </c>
      <c r="G11383">
        <v>6077777</v>
      </c>
      <c r="H11383">
        <v>501010</v>
      </c>
      <c r="I11383">
        <v>50</v>
      </c>
    </row>
    <row r="11384" spans="1:9" x14ac:dyDescent="0.25">
      <c r="A11384">
        <v>4220</v>
      </c>
      <c r="B11384">
        <v>60</v>
      </c>
      <c r="C11384" t="s">
        <v>946</v>
      </c>
      <c r="D11384" t="s">
        <v>990</v>
      </c>
      <c r="E11384" t="s">
        <v>310</v>
      </c>
      <c r="F11384" t="s">
        <v>948</v>
      </c>
      <c r="G11384">
        <v>6077777</v>
      </c>
      <c r="H11384">
        <v>500220</v>
      </c>
      <c r="I11384" t="s">
        <v>949</v>
      </c>
    </row>
    <row r="11385" spans="1:9" x14ac:dyDescent="0.25">
      <c r="A11385">
        <v>4230</v>
      </c>
      <c r="B11385">
        <v>60</v>
      </c>
      <c r="C11385" t="s">
        <v>946</v>
      </c>
      <c r="D11385" t="s">
        <v>990</v>
      </c>
      <c r="E11385" t="s">
        <v>310</v>
      </c>
      <c r="F11385" t="s">
        <v>948</v>
      </c>
      <c r="G11385">
        <v>6099999</v>
      </c>
      <c r="H11385">
        <v>403015</v>
      </c>
      <c r="I11385">
        <v>50</v>
      </c>
    </row>
    <row r="11386" spans="1:9" x14ac:dyDescent="0.25">
      <c r="A11386">
        <v>4240</v>
      </c>
      <c r="B11386">
        <v>60</v>
      </c>
      <c r="C11386" t="s">
        <v>946</v>
      </c>
      <c r="D11386" t="s">
        <v>990</v>
      </c>
      <c r="E11386" t="s">
        <v>310</v>
      </c>
      <c r="F11386" t="s">
        <v>948</v>
      </c>
      <c r="G11386">
        <v>6077777</v>
      </c>
      <c r="H11386">
        <v>500221</v>
      </c>
      <c r="I11386" t="s">
        <v>949</v>
      </c>
    </row>
    <row r="11387" spans="1:9" x14ac:dyDescent="0.25">
      <c r="A11387">
        <v>4141</v>
      </c>
      <c r="B11387">
        <v>60</v>
      </c>
      <c r="C11387" t="s">
        <v>946</v>
      </c>
      <c r="D11387" t="s">
        <v>990</v>
      </c>
      <c r="E11387" t="s">
        <v>314</v>
      </c>
      <c r="F11387" t="s">
        <v>948</v>
      </c>
      <c r="G11387">
        <v>6077777</v>
      </c>
      <c r="H11387">
        <v>501010</v>
      </c>
      <c r="I11387">
        <v>50</v>
      </c>
    </row>
    <row r="11388" spans="1:9" x14ac:dyDescent="0.25">
      <c r="A11388">
        <v>4220</v>
      </c>
      <c r="B11388">
        <v>60</v>
      </c>
      <c r="C11388" t="s">
        <v>946</v>
      </c>
      <c r="D11388" t="s">
        <v>990</v>
      </c>
      <c r="E11388" t="s">
        <v>314</v>
      </c>
      <c r="F11388" t="s">
        <v>948</v>
      </c>
      <c r="G11388">
        <v>6077777</v>
      </c>
      <c r="H11388">
        <v>500220</v>
      </c>
      <c r="I11388" t="s">
        <v>949</v>
      </c>
    </row>
    <row r="11389" spans="1:9" x14ac:dyDescent="0.25">
      <c r="A11389">
        <v>4230</v>
      </c>
      <c r="B11389">
        <v>60</v>
      </c>
      <c r="C11389" t="s">
        <v>946</v>
      </c>
      <c r="D11389" t="s">
        <v>990</v>
      </c>
      <c r="E11389" t="s">
        <v>314</v>
      </c>
      <c r="F11389" t="s">
        <v>948</v>
      </c>
      <c r="G11389">
        <v>6099999</v>
      </c>
      <c r="H11389">
        <v>403065</v>
      </c>
      <c r="I11389">
        <v>50</v>
      </c>
    </row>
    <row r="11390" spans="1:9" x14ac:dyDescent="0.25">
      <c r="A11390">
        <v>4240</v>
      </c>
      <c r="B11390">
        <v>60</v>
      </c>
      <c r="C11390" t="s">
        <v>946</v>
      </c>
      <c r="D11390" t="s">
        <v>990</v>
      </c>
      <c r="E11390" t="s">
        <v>314</v>
      </c>
      <c r="F11390" t="s">
        <v>948</v>
      </c>
      <c r="G11390">
        <v>6077777</v>
      </c>
      <c r="H11390">
        <v>500221</v>
      </c>
      <c r="I11390" t="s">
        <v>949</v>
      </c>
    </row>
    <row r="11391" spans="1:9" x14ac:dyDescent="0.25">
      <c r="A11391">
        <v>4141</v>
      </c>
      <c r="B11391">
        <v>60</v>
      </c>
      <c r="C11391" t="s">
        <v>946</v>
      </c>
      <c r="D11391" t="s">
        <v>990</v>
      </c>
      <c r="E11391" t="s">
        <v>113</v>
      </c>
      <c r="F11391" t="s">
        <v>948</v>
      </c>
      <c r="G11391">
        <v>6077777</v>
      </c>
      <c r="H11391">
        <v>500220</v>
      </c>
      <c r="I11391" t="s">
        <v>949</v>
      </c>
    </row>
    <row r="11392" spans="1:9" x14ac:dyDescent="0.25">
      <c r="A11392">
        <v>4220</v>
      </c>
      <c r="B11392">
        <v>60</v>
      </c>
      <c r="C11392" t="s">
        <v>946</v>
      </c>
      <c r="D11392" t="s">
        <v>990</v>
      </c>
      <c r="E11392" t="s">
        <v>113</v>
      </c>
      <c r="F11392" t="s">
        <v>948</v>
      </c>
      <c r="G11392">
        <v>6077777</v>
      </c>
      <c r="H11392">
        <v>500220</v>
      </c>
      <c r="I11392" t="s">
        <v>949</v>
      </c>
    </row>
    <row r="11393" spans="1:9" x14ac:dyDescent="0.25">
      <c r="A11393">
        <v>4230</v>
      </c>
      <c r="B11393">
        <v>60</v>
      </c>
      <c r="C11393" t="s">
        <v>946</v>
      </c>
      <c r="D11393" t="s">
        <v>990</v>
      </c>
      <c r="E11393" t="s">
        <v>113</v>
      </c>
      <c r="F11393" t="s">
        <v>948</v>
      </c>
      <c r="G11393">
        <v>6099999</v>
      </c>
      <c r="H11393">
        <v>403085</v>
      </c>
      <c r="I11393">
        <v>50</v>
      </c>
    </row>
    <row r="11394" spans="1:9" x14ac:dyDescent="0.25">
      <c r="A11394">
        <v>4240</v>
      </c>
      <c r="B11394">
        <v>60</v>
      </c>
      <c r="C11394" t="s">
        <v>946</v>
      </c>
      <c r="D11394" t="s">
        <v>990</v>
      </c>
      <c r="E11394" t="s">
        <v>113</v>
      </c>
      <c r="F11394" t="s">
        <v>948</v>
      </c>
      <c r="G11394">
        <v>6077777</v>
      </c>
      <c r="H11394">
        <v>500221</v>
      </c>
      <c r="I11394" t="s">
        <v>949</v>
      </c>
    </row>
    <row r="11395" spans="1:9" x14ac:dyDescent="0.25">
      <c r="A11395">
        <v>4141</v>
      </c>
      <c r="B11395">
        <v>60</v>
      </c>
      <c r="C11395" t="s">
        <v>946</v>
      </c>
      <c r="D11395" t="s">
        <v>990</v>
      </c>
      <c r="E11395" t="s">
        <v>117</v>
      </c>
      <c r="F11395" t="s">
        <v>948</v>
      </c>
      <c r="G11395">
        <v>6077777</v>
      </c>
      <c r="H11395">
        <v>500220</v>
      </c>
      <c r="I11395" t="s">
        <v>949</v>
      </c>
    </row>
    <row r="11396" spans="1:9" x14ac:dyDescent="0.25">
      <c r="A11396">
        <v>4220</v>
      </c>
      <c r="B11396">
        <v>60</v>
      </c>
      <c r="C11396" t="s">
        <v>946</v>
      </c>
      <c r="D11396" t="s">
        <v>990</v>
      </c>
      <c r="E11396" t="s">
        <v>117</v>
      </c>
      <c r="F11396" t="s">
        <v>948</v>
      </c>
      <c r="G11396">
        <v>6077777</v>
      </c>
      <c r="H11396">
        <v>500220</v>
      </c>
      <c r="I11396" t="s">
        <v>949</v>
      </c>
    </row>
    <row r="11397" spans="1:9" x14ac:dyDescent="0.25">
      <c r="A11397">
        <v>4230</v>
      </c>
      <c r="B11397">
        <v>60</v>
      </c>
      <c r="C11397" t="s">
        <v>946</v>
      </c>
      <c r="D11397" t="s">
        <v>990</v>
      </c>
      <c r="E11397" t="s">
        <v>117</v>
      </c>
      <c r="F11397" t="s">
        <v>948</v>
      </c>
      <c r="G11397">
        <v>6088888</v>
      </c>
      <c r="H11397">
        <v>810600</v>
      </c>
      <c r="I11397">
        <v>50</v>
      </c>
    </row>
    <row r="11398" spans="1:9" x14ac:dyDescent="0.25">
      <c r="A11398">
        <v>4240</v>
      </c>
      <c r="B11398">
        <v>60</v>
      </c>
      <c r="C11398" t="s">
        <v>946</v>
      </c>
      <c r="D11398" t="s">
        <v>990</v>
      </c>
      <c r="E11398" t="s">
        <v>117</v>
      </c>
      <c r="F11398" t="s">
        <v>948</v>
      </c>
      <c r="G11398">
        <v>6077777</v>
      </c>
      <c r="H11398">
        <v>500221</v>
      </c>
      <c r="I11398" t="s">
        <v>949</v>
      </c>
    </row>
    <row r="11399" spans="1:9" x14ac:dyDescent="0.25">
      <c r="A11399">
        <v>4141</v>
      </c>
      <c r="B11399">
        <v>60</v>
      </c>
      <c r="C11399" t="s">
        <v>946</v>
      </c>
      <c r="D11399" t="s">
        <v>990</v>
      </c>
      <c r="E11399" t="s">
        <v>121</v>
      </c>
      <c r="F11399" t="s">
        <v>948</v>
      </c>
      <c r="G11399">
        <v>6077777</v>
      </c>
      <c r="H11399">
        <v>500220</v>
      </c>
      <c r="I11399" t="s">
        <v>949</v>
      </c>
    </row>
    <row r="11400" spans="1:9" x14ac:dyDescent="0.25">
      <c r="A11400">
        <v>4220</v>
      </c>
      <c r="B11400">
        <v>60</v>
      </c>
      <c r="C11400" t="s">
        <v>946</v>
      </c>
      <c r="D11400" t="s">
        <v>990</v>
      </c>
      <c r="E11400" t="s">
        <v>121</v>
      </c>
      <c r="F11400" t="s">
        <v>948</v>
      </c>
      <c r="G11400">
        <v>6077777</v>
      </c>
      <c r="H11400">
        <v>500220</v>
      </c>
      <c r="I11400" t="s">
        <v>949</v>
      </c>
    </row>
    <row r="11401" spans="1:9" x14ac:dyDescent="0.25">
      <c r="A11401">
        <v>4230</v>
      </c>
      <c r="B11401">
        <v>60</v>
      </c>
      <c r="C11401" t="s">
        <v>946</v>
      </c>
      <c r="D11401" t="s">
        <v>990</v>
      </c>
      <c r="E11401" t="s">
        <v>121</v>
      </c>
      <c r="F11401" t="s">
        <v>948</v>
      </c>
      <c r="G11401">
        <v>6099999</v>
      </c>
      <c r="H11401">
        <v>403045</v>
      </c>
      <c r="I11401">
        <v>50</v>
      </c>
    </row>
    <row r="11402" spans="1:9" x14ac:dyDescent="0.25">
      <c r="A11402">
        <v>4240</v>
      </c>
      <c r="B11402">
        <v>60</v>
      </c>
      <c r="C11402" t="s">
        <v>946</v>
      </c>
      <c r="D11402" t="s">
        <v>990</v>
      </c>
      <c r="E11402" t="s">
        <v>121</v>
      </c>
      <c r="F11402" t="s">
        <v>948</v>
      </c>
      <c r="G11402">
        <v>6077777</v>
      </c>
      <c r="H11402">
        <v>500221</v>
      </c>
      <c r="I11402" t="s">
        <v>949</v>
      </c>
    </row>
    <row r="11403" spans="1:9" x14ac:dyDescent="0.25">
      <c r="A11403">
        <v>4141</v>
      </c>
      <c r="B11403">
        <v>60</v>
      </c>
      <c r="C11403" t="s">
        <v>946</v>
      </c>
      <c r="D11403" t="s">
        <v>990</v>
      </c>
      <c r="E11403" t="s">
        <v>984</v>
      </c>
      <c r="F11403" t="s">
        <v>948</v>
      </c>
      <c r="G11403">
        <v>6077777</v>
      </c>
      <c r="H11403">
        <v>501010</v>
      </c>
      <c r="I11403">
        <v>50</v>
      </c>
    </row>
    <row r="11404" spans="1:9" x14ac:dyDescent="0.25">
      <c r="A11404">
        <v>4220</v>
      </c>
      <c r="B11404">
        <v>60</v>
      </c>
      <c r="C11404" t="s">
        <v>946</v>
      </c>
      <c r="D11404" t="s">
        <v>990</v>
      </c>
      <c r="E11404" t="s">
        <v>984</v>
      </c>
      <c r="F11404" t="s">
        <v>948</v>
      </c>
      <c r="G11404">
        <v>6077777</v>
      </c>
      <c r="H11404">
        <v>500220</v>
      </c>
      <c r="I11404" t="s">
        <v>949</v>
      </c>
    </row>
    <row r="11405" spans="1:9" x14ac:dyDescent="0.25">
      <c r="A11405">
        <v>4230</v>
      </c>
      <c r="B11405">
        <v>60</v>
      </c>
      <c r="C11405" t="s">
        <v>946</v>
      </c>
      <c r="D11405" t="s">
        <v>990</v>
      </c>
      <c r="E11405" t="s">
        <v>984</v>
      </c>
      <c r="F11405" t="s">
        <v>948</v>
      </c>
      <c r="G11405">
        <v>6099999</v>
      </c>
      <c r="H11405">
        <v>403915</v>
      </c>
      <c r="I11405">
        <v>50</v>
      </c>
    </row>
    <row r="11406" spans="1:9" x14ac:dyDescent="0.25">
      <c r="A11406">
        <v>4240</v>
      </c>
      <c r="B11406">
        <v>60</v>
      </c>
      <c r="C11406" t="s">
        <v>946</v>
      </c>
      <c r="D11406" t="s">
        <v>990</v>
      </c>
      <c r="E11406" t="s">
        <v>984</v>
      </c>
      <c r="F11406" t="s">
        <v>948</v>
      </c>
      <c r="G11406">
        <v>6077777</v>
      </c>
      <c r="H11406">
        <v>500221</v>
      </c>
      <c r="I11406" t="s">
        <v>949</v>
      </c>
    </row>
    <row r="11407" spans="1:9" x14ac:dyDescent="0.25">
      <c r="A11407">
        <v>4141</v>
      </c>
      <c r="B11407">
        <v>60</v>
      </c>
      <c r="C11407" t="s">
        <v>946</v>
      </c>
      <c r="D11407" t="s">
        <v>991</v>
      </c>
      <c r="E11407" t="s">
        <v>243</v>
      </c>
      <c r="F11407" t="s">
        <v>948</v>
      </c>
      <c r="G11407">
        <v>6077777</v>
      </c>
      <c r="H11407">
        <v>501010</v>
      </c>
      <c r="I11407" t="s">
        <v>949</v>
      </c>
    </row>
    <row r="11408" spans="1:9" x14ac:dyDescent="0.25">
      <c r="A11408">
        <v>4220</v>
      </c>
      <c r="B11408">
        <v>60</v>
      </c>
      <c r="C11408" t="s">
        <v>946</v>
      </c>
      <c r="D11408" t="s">
        <v>991</v>
      </c>
      <c r="E11408" t="s">
        <v>243</v>
      </c>
      <c r="F11408" t="s">
        <v>948</v>
      </c>
      <c r="G11408">
        <v>6077777</v>
      </c>
      <c r="H11408">
        <v>500220</v>
      </c>
      <c r="I11408" t="s">
        <v>949</v>
      </c>
    </row>
    <row r="11409" spans="1:9" x14ac:dyDescent="0.25">
      <c r="A11409">
        <v>4230</v>
      </c>
      <c r="B11409">
        <v>60</v>
      </c>
      <c r="C11409" t="s">
        <v>946</v>
      </c>
      <c r="D11409" t="s">
        <v>991</v>
      </c>
      <c r="E11409" t="s">
        <v>243</v>
      </c>
      <c r="F11409" t="s">
        <v>948</v>
      </c>
      <c r="G11409">
        <v>6099999</v>
      </c>
      <c r="H11409">
        <v>403052</v>
      </c>
      <c r="I11409" t="s">
        <v>949</v>
      </c>
    </row>
    <row r="11410" spans="1:9" x14ac:dyDescent="0.25">
      <c r="A11410">
        <v>4240</v>
      </c>
      <c r="B11410">
        <v>60</v>
      </c>
      <c r="C11410" t="s">
        <v>946</v>
      </c>
      <c r="D11410" t="s">
        <v>991</v>
      </c>
      <c r="E11410" t="s">
        <v>243</v>
      </c>
      <c r="F11410" t="s">
        <v>948</v>
      </c>
      <c r="G11410">
        <v>6077777</v>
      </c>
      <c r="H11410">
        <v>500221</v>
      </c>
      <c r="I11410" t="s">
        <v>949</v>
      </c>
    </row>
    <row r="11411" spans="1:9" x14ac:dyDescent="0.25">
      <c r="A11411">
        <v>4141</v>
      </c>
      <c r="B11411">
        <v>60</v>
      </c>
      <c r="C11411" t="s">
        <v>946</v>
      </c>
      <c r="D11411" t="s">
        <v>991</v>
      </c>
      <c r="E11411" t="s">
        <v>247</v>
      </c>
      <c r="F11411" t="s">
        <v>948</v>
      </c>
      <c r="G11411">
        <v>6077777</v>
      </c>
      <c r="H11411">
        <v>501010</v>
      </c>
      <c r="I11411" t="s">
        <v>949</v>
      </c>
    </row>
    <row r="11412" spans="1:9" x14ac:dyDescent="0.25">
      <c r="A11412">
        <v>4220</v>
      </c>
      <c r="B11412">
        <v>60</v>
      </c>
      <c r="C11412" t="s">
        <v>946</v>
      </c>
      <c r="D11412" t="s">
        <v>991</v>
      </c>
      <c r="E11412" t="s">
        <v>247</v>
      </c>
      <c r="F11412" t="s">
        <v>948</v>
      </c>
      <c r="G11412">
        <v>6077777</v>
      </c>
      <c r="H11412">
        <v>500220</v>
      </c>
      <c r="I11412" t="s">
        <v>949</v>
      </c>
    </row>
    <row r="11413" spans="1:9" x14ac:dyDescent="0.25">
      <c r="A11413">
        <v>4230</v>
      </c>
      <c r="B11413">
        <v>60</v>
      </c>
      <c r="C11413" t="s">
        <v>946</v>
      </c>
      <c r="D11413" t="s">
        <v>991</v>
      </c>
      <c r="E11413" t="s">
        <v>247</v>
      </c>
      <c r="F11413" t="s">
        <v>948</v>
      </c>
      <c r="G11413">
        <v>6099999</v>
      </c>
      <c r="H11413">
        <v>403022</v>
      </c>
      <c r="I11413" t="s">
        <v>949</v>
      </c>
    </row>
    <row r="11414" spans="1:9" x14ac:dyDescent="0.25">
      <c r="A11414">
        <v>4240</v>
      </c>
      <c r="B11414">
        <v>60</v>
      </c>
      <c r="C11414" t="s">
        <v>946</v>
      </c>
      <c r="D11414" t="s">
        <v>991</v>
      </c>
      <c r="E11414" t="s">
        <v>247</v>
      </c>
      <c r="F11414" t="s">
        <v>948</v>
      </c>
      <c r="G11414">
        <v>6077777</v>
      </c>
      <c r="H11414">
        <v>500221</v>
      </c>
      <c r="I11414" t="s">
        <v>949</v>
      </c>
    </row>
    <row r="11415" spans="1:9" x14ac:dyDescent="0.25">
      <c r="A11415">
        <v>4141</v>
      </c>
      <c r="B11415">
        <v>60</v>
      </c>
      <c r="C11415" t="s">
        <v>946</v>
      </c>
      <c r="D11415" t="s">
        <v>991</v>
      </c>
      <c r="E11415" t="s">
        <v>251</v>
      </c>
      <c r="F11415" t="s">
        <v>948</v>
      </c>
      <c r="G11415">
        <v>6077777</v>
      </c>
      <c r="H11415">
        <v>501010</v>
      </c>
      <c r="I11415" t="s">
        <v>949</v>
      </c>
    </row>
    <row r="11416" spans="1:9" x14ac:dyDescent="0.25">
      <c r="A11416">
        <v>4220</v>
      </c>
      <c r="B11416">
        <v>60</v>
      </c>
      <c r="C11416" t="s">
        <v>946</v>
      </c>
      <c r="D11416" t="s">
        <v>991</v>
      </c>
      <c r="E11416" t="s">
        <v>251</v>
      </c>
      <c r="F11416" t="s">
        <v>948</v>
      </c>
      <c r="G11416">
        <v>6077777</v>
      </c>
      <c r="H11416">
        <v>500220</v>
      </c>
      <c r="I11416" t="s">
        <v>949</v>
      </c>
    </row>
    <row r="11417" spans="1:9" x14ac:dyDescent="0.25">
      <c r="A11417">
        <v>4230</v>
      </c>
      <c r="B11417">
        <v>60</v>
      </c>
      <c r="C11417" t="s">
        <v>946</v>
      </c>
      <c r="D11417" t="s">
        <v>991</v>
      </c>
      <c r="E11417" t="s">
        <v>251</v>
      </c>
      <c r="F11417" t="s">
        <v>948</v>
      </c>
      <c r="G11417">
        <v>6099999</v>
      </c>
      <c r="H11417">
        <v>403042</v>
      </c>
      <c r="I11417" t="s">
        <v>949</v>
      </c>
    </row>
    <row r="11418" spans="1:9" x14ac:dyDescent="0.25">
      <c r="A11418">
        <v>4240</v>
      </c>
      <c r="B11418">
        <v>60</v>
      </c>
      <c r="C11418" t="s">
        <v>946</v>
      </c>
      <c r="D11418" t="s">
        <v>991</v>
      </c>
      <c r="E11418" t="s">
        <v>251</v>
      </c>
      <c r="F11418" t="s">
        <v>948</v>
      </c>
      <c r="G11418">
        <v>6077777</v>
      </c>
      <c r="H11418">
        <v>500221</v>
      </c>
      <c r="I11418" t="s">
        <v>949</v>
      </c>
    </row>
    <row r="11419" spans="1:9" x14ac:dyDescent="0.25">
      <c r="A11419">
        <v>4141</v>
      </c>
      <c r="B11419">
        <v>60</v>
      </c>
      <c r="C11419" t="s">
        <v>946</v>
      </c>
      <c r="D11419" t="s">
        <v>991</v>
      </c>
      <c r="E11419" t="s">
        <v>969</v>
      </c>
      <c r="F11419" t="s">
        <v>948</v>
      </c>
      <c r="G11419">
        <v>6077777</v>
      </c>
      <c r="H11419">
        <v>501010</v>
      </c>
      <c r="I11419" t="s">
        <v>949</v>
      </c>
    </row>
    <row r="11420" spans="1:9" x14ac:dyDescent="0.25">
      <c r="A11420">
        <v>4220</v>
      </c>
      <c r="B11420">
        <v>60</v>
      </c>
      <c r="C11420" t="s">
        <v>946</v>
      </c>
      <c r="D11420" t="s">
        <v>991</v>
      </c>
      <c r="E11420" t="s">
        <v>969</v>
      </c>
      <c r="F11420" t="s">
        <v>948</v>
      </c>
      <c r="G11420">
        <v>6077777</v>
      </c>
      <c r="H11420">
        <v>500220</v>
      </c>
      <c r="I11420" t="s">
        <v>949</v>
      </c>
    </row>
    <row r="11421" spans="1:9" x14ac:dyDescent="0.25">
      <c r="A11421">
        <v>4230</v>
      </c>
      <c r="B11421">
        <v>60</v>
      </c>
      <c r="C11421" t="s">
        <v>946</v>
      </c>
      <c r="D11421" t="s">
        <v>991</v>
      </c>
      <c r="E11421" t="s">
        <v>969</v>
      </c>
      <c r="F11421" t="s">
        <v>948</v>
      </c>
      <c r="G11421">
        <v>6099999</v>
      </c>
      <c r="H11421">
        <v>403912</v>
      </c>
      <c r="I11421" t="s">
        <v>949</v>
      </c>
    </row>
    <row r="11422" spans="1:9" x14ac:dyDescent="0.25">
      <c r="A11422">
        <v>4240</v>
      </c>
      <c r="B11422">
        <v>60</v>
      </c>
      <c r="C11422" t="s">
        <v>946</v>
      </c>
      <c r="D11422" t="s">
        <v>991</v>
      </c>
      <c r="E11422" t="s">
        <v>969</v>
      </c>
      <c r="F11422" t="s">
        <v>948</v>
      </c>
      <c r="G11422">
        <v>6077777</v>
      </c>
      <c r="H11422">
        <v>500221</v>
      </c>
      <c r="I11422" t="s">
        <v>949</v>
      </c>
    </row>
    <row r="11423" spans="1:9" x14ac:dyDescent="0.25">
      <c r="A11423">
        <v>4141</v>
      </c>
      <c r="B11423">
        <v>60</v>
      </c>
      <c r="C11423" t="s">
        <v>946</v>
      </c>
      <c r="D11423" t="s">
        <v>991</v>
      </c>
      <c r="E11423" t="s">
        <v>255</v>
      </c>
      <c r="F11423" t="s">
        <v>948</v>
      </c>
      <c r="G11423">
        <v>6077777</v>
      </c>
      <c r="H11423">
        <v>501010</v>
      </c>
      <c r="I11423" t="s">
        <v>949</v>
      </c>
    </row>
    <row r="11424" spans="1:9" x14ac:dyDescent="0.25">
      <c r="A11424">
        <v>4220</v>
      </c>
      <c r="B11424">
        <v>60</v>
      </c>
      <c r="C11424" t="s">
        <v>946</v>
      </c>
      <c r="D11424" t="s">
        <v>991</v>
      </c>
      <c r="E11424" t="s">
        <v>255</v>
      </c>
      <c r="F11424" t="s">
        <v>948</v>
      </c>
      <c r="G11424">
        <v>6077777</v>
      </c>
      <c r="H11424">
        <v>500220</v>
      </c>
      <c r="I11424" t="s">
        <v>949</v>
      </c>
    </row>
    <row r="11425" spans="1:9" x14ac:dyDescent="0.25">
      <c r="A11425">
        <v>4230</v>
      </c>
      <c r="B11425">
        <v>60</v>
      </c>
      <c r="C11425" t="s">
        <v>946</v>
      </c>
      <c r="D11425" t="s">
        <v>991</v>
      </c>
      <c r="E11425" t="s">
        <v>255</v>
      </c>
      <c r="F11425" t="s">
        <v>948</v>
      </c>
      <c r="G11425">
        <v>6099999</v>
      </c>
      <c r="H11425">
        <v>403072</v>
      </c>
      <c r="I11425" t="s">
        <v>949</v>
      </c>
    </row>
    <row r="11426" spans="1:9" x14ac:dyDescent="0.25">
      <c r="A11426">
        <v>4240</v>
      </c>
      <c r="B11426">
        <v>60</v>
      </c>
      <c r="C11426" t="s">
        <v>946</v>
      </c>
      <c r="D11426" t="s">
        <v>991</v>
      </c>
      <c r="E11426" t="s">
        <v>255</v>
      </c>
      <c r="F11426" t="s">
        <v>948</v>
      </c>
      <c r="G11426">
        <v>6077777</v>
      </c>
      <c r="H11426">
        <v>500221</v>
      </c>
      <c r="I11426" t="s">
        <v>949</v>
      </c>
    </row>
    <row r="11427" spans="1:9" x14ac:dyDescent="0.25">
      <c r="A11427">
        <v>4141</v>
      </c>
      <c r="B11427">
        <v>60</v>
      </c>
      <c r="C11427" t="s">
        <v>946</v>
      </c>
      <c r="D11427" t="s">
        <v>991</v>
      </c>
      <c r="E11427" t="s">
        <v>971</v>
      </c>
      <c r="F11427" t="s">
        <v>948</v>
      </c>
      <c r="G11427">
        <v>6077777</v>
      </c>
      <c r="H11427">
        <v>501010</v>
      </c>
      <c r="I11427" t="s">
        <v>949</v>
      </c>
    </row>
    <row r="11428" spans="1:9" x14ac:dyDescent="0.25">
      <c r="A11428">
        <v>4220</v>
      </c>
      <c r="B11428">
        <v>60</v>
      </c>
      <c r="C11428" t="s">
        <v>946</v>
      </c>
      <c r="D11428" t="s">
        <v>991</v>
      </c>
      <c r="E11428" t="s">
        <v>971</v>
      </c>
      <c r="F11428" t="s">
        <v>948</v>
      </c>
      <c r="G11428">
        <v>6077777</v>
      </c>
      <c r="H11428">
        <v>500220</v>
      </c>
      <c r="I11428" t="s">
        <v>949</v>
      </c>
    </row>
    <row r="11429" spans="1:9" x14ac:dyDescent="0.25">
      <c r="A11429">
        <v>4230</v>
      </c>
      <c r="B11429">
        <v>60</v>
      </c>
      <c r="C11429" t="s">
        <v>946</v>
      </c>
      <c r="D11429" t="s">
        <v>991</v>
      </c>
      <c r="E11429" t="s">
        <v>971</v>
      </c>
      <c r="F11429" t="s">
        <v>948</v>
      </c>
      <c r="G11429">
        <v>6099999</v>
      </c>
      <c r="H11429">
        <v>403912</v>
      </c>
      <c r="I11429" t="s">
        <v>949</v>
      </c>
    </row>
    <row r="11430" spans="1:9" x14ac:dyDescent="0.25">
      <c r="A11430">
        <v>4240</v>
      </c>
      <c r="B11430">
        <v>60</v>
      </c>
      <c r="C11430" t="s">
        <v>946</v>
      </c>
      <c r="D11430" t="s">
        <v>991</v>
      </c>
      <c r="E11430" t="s">
        <v>971</v>
      </c>
      <c r="F11430" t="s">
        <v>948</v>
      </c>
      <c r="G11430">
        <v>6077777</v>
      </c>
      <c r="H11430">
        <v>500221</v>
      </c>
      <c r="I11430" t="s">
        <v>949</v>
      </c>
    </row>
    <row r="11431" spans="1:9" x14ac:dyDescent="0.25">
      <c r="A11431">
        <v>4230</v>
      </c>
      <c r="B11431">
        <v>60</v>
      </c>
      <c r="C11431" t="s">
        <v>946</v>
      </c>
      <c r="D11431" t="s">
        <v>991</v>
      </c>
      <c r="E11431" t="s">
        <v>259</v>
      </c>
      <c r="F11431" t="s">
        <v>948</v>
      </c>
      <c r="G11431">
        <v>6099999</v>
      </c>
      <c r="H11431">
        <v>409002</v>
      </c>
      <c r="I11431" t="s">
        <v>949</v>
      </c>
    </row>
    <row r="11432" spans="1:9" x14ac:dyDescent="0.25">
      <c r="A11432">
        <v>4141</v>
      </c>
      <c r="B11432">
        <v>60</v>
      </c>
      <c r="C11432" t="s">
        <v>946</v>
      </c>
      <c r="D11432" t="s">
        <v>991</v>
      </c>
      <c r="E11432" t="s">
        <v>263</v>
      </c>
      <c r="F11432" t="s">
        <v>948</v>
      </c>
      <c r="G11432">
        <v>6077777</v>
      </c>
      <c r="H11432">
        <v>501010</v>
      </c>
      <c r="I11432" t="s">
        <v>949</v>
      </c>
    </row>
    <row r="11433" spans="1:9" x14ac:dyDescent="0.25">
      <c r="A11433">
        <v>4220</v>
      </c>
      <c r="B11433">
        <v>60</v>
      </c>
      <c r="C11433" t="s">
        <v>946</v>
      </c>
      <c r="D11433" t="s">
        <v>991</v>
      </c>
      <c r="E11433" t="s">
        <v>263</v>
      </c>
      <c r="F11433" t="s">
        <v>948</v>
      </c>
      <c r="G11433">
        <v>6077777</v>
      </c>
      <c r="H11433">
        <v>500220</v>
      </c>
      <c r="I11433" t="s">
        <v>949</v>
      </c>
    </row>
    <row r="11434" spans="1:9" x14ac:dyDescent="0.25">
      <c r="A11434">
        <v>4230</v>
      </c>
      <c r="B11434">
        <v>60</v>
      </c>
      <c r="C11434" t="s">
        <v>946</v>
      </c>
      <c r="D11434" t="s">
        <v>991</v>
      </c>
      <c r="E11434" t="s">
        <v>263</v>
      </c>
      <c r="F11434" t="s">
        <v>948</v>
      </c>
      <c r="G11434">
        <v>6099999</v>
      </c>
      <c r="H11434">
        <v>403042</v>
      </c>
      <c r="I11434" t="s">
        <v>949</v>
      </c>
    </row>
    <row r="11435" spans="1:9" x14ac:dyDescent="0.25">
      <c r="A11435">
        <v>4240</v>
      </c>
      <c r="B11435">
        <v>60</v>
      </c>
      <c r="C11435" t="s">
        <v>946</v>
      </c>
      <c r="D11435" t="s">
        <v>991</v>
      </c>
      <c r="E11435" t="s">
        <v>263</v>
      </c>
      <c r="F11435" t="s">
        <v>948</v>
      </c>
      <c r="G11435">
        <v>6077777</v>
      </c>
      <c r="H11435">
        <v>500221</v>
      </c>
      <c r="I11435" t="s">
        <v>949</v>
      </c>
    </row>
    <row r="11436" spans="1:9" x14ac:dyDescent="0.25">
      <c r="A11436">
        <v>4141</v>
      </c>
      <c r="B11436">
        <v>60</v>
      </c>
      <c r="C11436" t="s">
        <v>946</v>
      </c>
      <c r="D11436" t="s">
        <v>991</v>
      </c>
      <c r="E11436" t="s">
        <v>100</v>
      </c>
      <c r="F11436" t="s">
        <v>948</v>
      </c>
      <c r="G11436">
        <v>6077777</v>
      </c>
      <c r="H11436">
        <v>500220</v>
      </c>
      <c r="I11436" t="s">
        <v>949</v>
      </c>
    </row>
    <row r="11437" spans="1:9" x14ac:dyDescent="0.25">
      <c r="A11437">
        <v>4220</v>
      </c>
      <c r="B11437">
        <v>60</v>
      </c>
      <c r="C11437" t="s">
        <v>946</v>
      </c>
      <c r="D11437" t="s">
        <v>991</v>
      </c>
      <c r="E11437" t="s">
        <v>100</v>
      </c>
      <c r="F11437" t="s">
        <v>948</v>
      </c>
      <c r="G11437">
        <v>6077777</v>
      </c>
      <c r="H11437">
        <v>500220</v>
      </c>
      <c r="I11437" t="s">
        <v>949</v>
      </c>
    </row>
    <row r="11438" spans="1:9" x14ac:dyDescent="0.25">
      <c r="A11438">
        <v>4230</v>
      </c>
      <c r="B11438">
        <v>60</v>
      </c>
      <c r="C11438" t="s">
        <v>946</v>
      </c>
      <c r="D11438" t="s">
        <v>991</v>
      </c>
      <c r="E11438" t="s">
        <v>100</v>
      </c>
      <c r="F11438" t="s">
        <v>948</v>
      </c>
      <c r="G11438">
        <v>6099999</v>
      </c>
      <c r="H11438">
        <v>403042</v>
      </c>
      <c r="I11438" t="s">
        <v>949</v>
      </c>
    </row>
    <row r="11439" spans="1:9" x14ac:dyDescent="0.25">
      <c r="A11439">
        <v>4240</v>
      </c>
      <c r="B11439">
        <v>60</v>
      </c>
      <c r="C11439" t="s">
        <v>946</v>
      </c>
      <c r="D11439" t="s">
        <v>991</v>
      </c>
      <c r="E11439" t="s">
        <v>100</v>
      </c>
      <c r="F11439" t="s">
        <v>948</v>
      </c>
      <c r="G11439">
        <v>6077777</v>
      </c>
      <c r="H11439">
        <v>500221</v>
      </c>
      <c r="I11439" t="s">
        <v>949</v>
      </c>
    </row>
    <row r="11440" spans="1:9" x14ac:dyDescent="0.25">
      <c r="A11440">
        <v>4141</v>
      </c>
      <c r="B11440">
        <v>60</v>
      </c>
      <c r="C11440" t="s">
        <v>946</v>
      </c>
      <c r="D11440" t="s">
        <v>991</v>
      </c>
      <c r="E11440" t="s">
        <v>270</v>
      </c>
      <c r="F11440" t="s">
        <v>948</v>
      </c>
      <c r="G11440">
        <v>6077777</v>
      </c>
      <c r="H11440">
        <v>501010</v>
      </c>
      <c r="I11440" t="s">
        <v>949</v>
      </c>
    </row>
    <row r="11441" spans="1:9" x14ac:dyDescent="0.25">
      <c r="A11441">
        <v>4220</v>
      </c>
      <c r="B11441">
        <v>60</v>
      </c>
      <c r="C11441" t="s">
        <v>946</v>
      </c>
      <c r="D11441" t="s">
        <v>991</v>
      </c>
      <c r="E11441" t="s">
        <v>270</v>
      </c>
      <c r="F11441" t="s">
        <v>948</v>
      </c>
      <c r="G11441">
        <v>6077777</v>
      </c>
      <c r="H11441">
        <v>500220</v>
      </c>
      <c r="I11441" t="s">
        <v>949</v>
      </c>
    </row>
    <row r="11442" spans="1:9" x14ac:dyDescent="0.25">
      <c r="A11442">
        <v>4230</v>
      </c>
      <c r="B11442">
        <v>60</v>
      </c>
      <c r="C11442" t="s">
        <v>946</v>
      </c>
      <c r="D11442" t="s">
        <v>991</v>
      </c>
      <c r="E11442" t="s">
        <v>270</v>
      </c>
      <c r="F11442" t="s">
        <v>948</v>
      </c>
      <c r="G11442">
        <v>6099999</v>
      </c>
      <c r="H11442">
        <v>403062</v>
      </c>
      <c r="I11442" t="s">
        <v>949</v>
      </c>
    </row>
    <row r="11443" spans="1:9" x14ac:dyDescent="0.25">
      <c r="A11443">
        <v>4240</v>
      </c>
      <c r="B11443">
        <v>60</v>
      </c>
      <c r="C11443" t="s">
        <v>946</v>
      </c>
      <c r="D11443" t="s">
        <v>991</v>
      </c>
      <c r="E11443" t="s">
        <v>270</v>
      </c>
      <c r="F11443" t="s">
        <v>948</v>
      </c>
      <c r="G11443">
        <v>6077777</v>
      </c>
      <c r="H11443">
        <v>500221</v>
      </c>
      <c r="I11443" t="s">
        <v>949</v>
      </c>
    </row>
    <row r="11444" spans="1:9" x14ac:dyDescent="0.25">
      <c r="A11444">
        <v>4141</v>
      </c>
      <c r="B11444">
        <v>60</v>
      </c>
      <c r="C11444" t="s">
        <v>946</v>
      </c>
      <c r="D11444" t="s">
        <v>991</v>
      </c>
      <c r="E11444" t="s">
        <v>274</v>
      </c>
      <c r="F11444" t="s">
        <v>948</v>
      </c>
      <c r="G11444">
        <v>6077777</v>
      </c>
      <c r="H11444">
        <v>501010</v>
      </c>
      <c r="I11444" t="s">
        <v>949</v>
      </c>
    </row>
    <row r="11445" spans="1:9" x14ac:dyDescent="0.25">
      <c r="A11445">
        <v>4220</v>
      </c>
      <c r="B11445">
        <v>60</v>
      </c>
      <c r="C11445" t="s">
        <v>946</v>
      </c>
      <c r="D11445" t="s">
        <v>991</v>
      </c>
      <c r="E11445" t="s">
        <v>274</v>
      </c>
      <c r="F11445" t="s">
        <v>948</v>
      </c>
      <c r="G11445">
        <v>6077777</v>
      </c>
      <c r="H11445">
        <v>500220</v>
      </c>
      <c r="I11445" t="s">
        <v>949</v>
      </c>
    </row>
    <row r="11446" spans="1:9" x14ac:dyDescent="0.25">
      <c r="A11446">
        <v>4230</v>
      </c>
      <c r="B11446">
        <v>60</v>
      </c>
      <c r="C11446" t="s">
        <v>946</v>
      </c>
      <c r="D11446" t="s">
        <v>991</v>
      </c>
      <c r="E11446" t="s">
        <v>274</v>
      </c>
      <c r="F11446" t="s">
        <v>948</v>
      </c>
      <c r="G11446">
        <v>6099999</v>
      </c>
      <c r="H11446">
        <v>403042</v>
      </c>
      <c r="I11446" t="s">
        <v>949</v>
      </c>
    </row>
    <row r="11447" spans="1:9" x14ac:dyDescent="0.25">
      <c r="A11447">
        <v>4240</v>
      </c>
      <c r="B11447">
        <v>60</v>
      </c>
      <c r="C11447" t="s">
        <v>946</v>
      </c>
      <c r="D11447" t="s">
        <v>991</v>
      </c>
      <c r="E11447" t="s">
        <v>274</v>
      </c>
      <c r="F11447" t="s">
        <v>948</v>
      </c>
      <c r="G11447">
        <v>6077777</v>
      </c>
      <c r="H11447">
        <v>500221</v>
      </c>
      <c r="I11447" t="s">
        <v>949</v>
      </c>
    </row>
    <row r="11448" spans="1:9" x14ac:dyDescent="0.25">
      <c r="A11448">
        <v>4141</v>
      </c>
      <c r="B11448">
        <v>60</v>
      </c>
      <c r="C11448" t="s">
        <v>946</v>
      </c>
      <c r="D11448" t="s">
        <v>991</v>
      </c>
      <c r="E11448" t="s">
        <v>974</v>
      </c>
      <c r="F11448" t="s">
        <v>948</v>
      </c>
      <c r="G11448">
        <v>6077777</v>
      </c>
      <c r="H11448">
        <v>501010</v>
      </c>
      <c r="I11448" t="s">
        <v>949</v>
      </c>
    </row>
    <row r="11449" spans="1:9" x14ac:dyDescent="0.25">
      <c r="A11449">
        <v>4220</v>
      </c>
      <c r="B11449">
        <v>60</v>
      </c>
      <c r="C11449" t="s">
        <v>946</v>
      </c>
      <c r="D11449" t="s">
        <v>991</v>
      </c>
      <c r="E11449" t="s">
        <v>974</v>
      </c>
      <c r="F11449" t="s">
        <v>948</v>
      </c>
      <c r="G11449">
        <v>6077777</v>
      </c>
      <c r="H11449">
        <v>500220</v>
      </c>
      <c r="I11449" t="s">
        <v>949</v>
      </c>
    </row>
    <row r="11450" spans="1:9" x14ac:dyDescent="0.25">
      <c r="A11450">
        <v>4230</v>
      </c>
      <c r="B11450">
        <v>60</v>
      </c>
      <c r="C11450" t="s">
        <v>946</v>
      </c>
      <c r="D11450" t="s">
        <v>991</v>
      </c>
      <c r="E11450" t="s">
        <v>974</v>
      </c>
      <c r="F11450" t="s">
        <v>948</v>
      </c>
      <c r="G11450">
        <v>6099999</v>
      </c>
      <c r="H11450">
        <v>403912</v>
      </c>
      <c r="I11450" t="s">
        <v>949</v>
      </c>
    </row>
    <row r="11451" spans="1:9" x14ac:dyDescent="0.25">
      <c r="A11451">
        <v>4240</v>
      </c>
      <c r="B11451">
        <v>60</v>
      </c>
      <c r="C11451" t="s">
        <v>946</v>
      </c>
      <c r="D11451" t="s">
        <v>991</v>
      </c>
      <c r="E11451" t="s">
        <v>974</v>
      </c>
      <c r="F11451" t="s">
        <v>948</v>
      </c>
      <c r="G11451">
        <v>6077777</v>
      </c>
      <c r="H11451">
        <v>500221</v>
      </c>
      <c r="I11451" t="s">
        <v>949</v>
      </c>
    </row>
    <row r="11452" spans="1:9" x14ac:dyDescent="0.25">
      <c r="A11452">
        <v>4141</v>
      </c>
      <c r="B11452">
        <v>60</v>
      </c>
      <c r="C11452" t="s">
        <v>946</v>
      </c>
      <c r="D11452" t="s">
        <v>991</v>
      </c>
      <c r="E11452" t="s">
        <v>104</v>
      </c>
      <c r="F11452" t="s">
        <v>948</v>
      </c>
      <c r="G11452">
        <v>6077777</v>
      </c>
      <c r="H11452">
        <v>500220</v>
      </c>
      <c r="I11452" t="s">
        <v>949</v>
      </c>
    </row>
    <row r="11453" spans="1:9" x14ac:dyDescent="0.25">
      <c r="A11453">
        <v>4220</v>
      </c>
      <c r="B11453">
        <v>60</v>
      </c>
      <c r="C11453" t="s">
        <v>946</v>
      </c>
      <c r="D11453" t="s">
        <v>991</v>
      </c>
      <c r="E11453" t="s">
        <v>104</v>
      </c>
      <c r="F11453" t="s">
        <v>948</v>
      </c>
      <c r="G11453">
        <v>6077777</v>
      </c>
      <c r="H11453">
        <v>500220</v>
      </c>
      <c r="I11453" t="s">
        <v>949</v>
      </c>
    </row>
    <row r="11454" spans="1:9" x14ac:dyDescent="0.25">
      <c r="A11454">
        <v>4230</v>
      </c>
      <c r="B11454">
        <v>60</v>
      </c>
      <c r="C11454" t="s">
        <v>946</v>
      </c>
      <c r="D11454" t="s">
        <v>991</v>
      </c>
      <c r="E11454" t="s">
        <v>104</v>
      </c>
      <c r="F11454" t="s">
        <v>948</v>
      </c>
      <c r="G11454">
        <v>6099999</v>
      </c>
      <c r="H11454">
        <v>403042</v>
      </c>
      <c r="I11454" t="s">
        <v>949</v>
      </c>
    </row>
    <row r="11455" spans="1:9" x14ac:dyDescent="0.25">
      <c r="A11455">
        <v>4240</v>
      </c>
      <c r="B11455">
        <v>60</v>
      </c>
      <c r="C11455" t="s">
        <v>946</v>
      </c>
      <c r="D11455" t="s">
        <v>991</v>
      </c>
      <c r="E11455" t="s">
        <v>104</v>
      </c>
      <c r="F11455" t="s">
        <v>948</v>
      </c>
      <c r="G11455">
        <v>6077777</v>
      </c>
      <c r="H11455">
        <v>500221</v>
      </c>
      <c r="I11455" t="s">
        <v>949</v>
      </c>
    </row>
    <row r="11456" spans="1:9" x14ac:dyDescent="0.25">
      <c r="A11456">
        <v>4141</v>
      </c>
      <c r="B11456">
        <v>60</v>
      </c>
      <c r="C11456" t="s">
        <v>946</v>
      </c>
      <c r="D11456" t="s">
        <v>991</v>
      </c>
      <c r="E11456" t="s">
        <v>278</v>
      </c>
      <c r="F11456" t="s">
        <v>948</v>
      </c>
      <c r="G11456">
        <v>6077777</v>
      </c>
      <c r="H11456">
        <v>501010</v>
      </c>
      <c r="I11456" t="s">
        <v>949</v>
      </c>
    </row>
    <row r="11457" spans="1:9" x14ac:dyDescent="0.25">
      <c r="A11457">
        <v>4220</v>
      </c>
      <c r="B11457">
        <v>60</v>
      </c>
      <c r="C11457" t="s">
        <v>946</v>
      </c>
      <c r="D11457" t="s">
        <v>991</v>
      </c>
      <c r="E11457" t="s">
        <v>278</v>
      </c>
      <c r="F11457" t="s">
        <v>948</v>
      </c>
      <c r="G11457">
        <v>6077777</v>
      </c>
      <c r="H11457">
        <v>500220</v>
      </c>
      <c r="I11457" t="s">
        <v>949</v>
      </c>
    </row>
    <row r="11458" spans="1:9" x14ac:dyDescent="0.25">
      <c r="A11458">
        <v>4230</v>
      </c>
      <c r="B11458">
        <v>60</v>
      </c>
      <c r="C11458" t="s">
        <v>946</v>
      </c>
      <c r="D11458" t="s">
        <v>991</v>
      </c>
      <c r="E11458" t="s">
        <v>278</v>
      </c>
      <c r="F11458" t="s">
        <v>948</v>
      </c>
      <c r="G11458">
        <v>6099999</v>
      </c>
      <c r="H11458">
        <v>403052</v>
      </c>
      <c r="I11458" t="s">
        <v>949</v>
      </c>
    </row>
    <row r="11459" spans="1:9" x14ac:dyDescent="0.25">
      <c r="A11459">
        <v>4240</v>
      </c>
      <c r="B11459">
        <v>60</v>
      </c>
      <c r="C11459" t="s">
        <v>946</v>
      </c>
      <c r="D11459" t="s">
        <v>991</v>
      </c>
      <c r="E11459" t="s">
        <v>278</v>
      </c>
      <c r="F11459" t="s">
        <v>948</v>
      </c>
      <c r="G11459">
        <v>6077777</v>
      </c>
      <c r="H11459">
        <v>500221</v>
      </c>
      <c r="I11459" t="s">
        <v>949</v>
      </c>
    </row>
    <row r="11460" spans="1:9" x14ac:dyDescent="0.25">
      <c r="A11460">
        <v>4141</v>
      </c>
      <c r="B11460">
        <v>60</v>
      </c>
      <c r="C11460" t="s">
        <v>946</v>
      </c>
      <c r="D11460" t="s">
        <v>991</v>
      </c>
      <c r="E11460" t="s">
        <v>282</v>
      </c>
      <c r="F11460" t="s">
        <v>948</v>
      </c>
      <c r="G11460">
        <v>6077777</v>
      </c>
      <c r="H11460">
        <v>501010</v>
      </c>
      <c r="I11460" t="s">
        <v>949</v>
      </c>
    </row>
    <row r="11461" spans="1:9" x14ac:dyDescent="0.25">
      <c r="A11461">
        <v>4220</v>
      </c>
      <c r="B11461">
        <v>60</v>
      </c>
      <c r="C11461" t="s">
        <v>946</v>
      </c>
      <c r="D11461" t="s">
        <v>991</v>
      </c>
      <c r="E11461" t="s">
        <v>282</v>
      </c>
      <c r="F11461" t="s">
        <v>948</v>
      </c>
      <c r="G11461">
        <v>6077777</v>
      </c>
      <c r="H11461">
        <v>500220</v>
      </c>
      <c r="I11461" t="s">
        <v>949</v>
      </c>
    </row>
    <row r="11462" spans="1:9" x14ac:dyDescent="0.25">
      <c r="A11462">
        <v>4230</v>
      </c>
      <c r="B11462">
        <v>60</v>
      </c>
      <c r="C11462" t="s">
        <v>946</v>
      </c>
      <c r="D11462" t="s">
        <v>991</v>
      </c>
      <c r="E11462" t="s">
        <v>282</v>
      </c>
      <c r="F11462" t="s">
        <v>948</v>
      </c>
      <c r="G11462">
        <v>6099999</v>
      </c>
      <c r="H11462">
        <v>403042</v>
      </c>
      <c r="I11462" t="s">
        <v>949</v>
      </c>
    </row>
    <row r="11463" spans="1:9" x14ac:dyDescent="0.25">
      <c r="A11463">
        <v>4240</v>
      </c>
      <c r="B11463">
        <v>60</v>
      </c>
      <c r="C11463" t="s">
        <v>946</v>
      </c>
      <c r="D11463" t="s">
        <v>991</v>
      </c>
      <c r="E11463" t="s">
        <v>282</v>
      </c>
      <c r="F11463" t="s">
        <v>948</v>
      </c>
      <c r="G11463">
        <v>6077777</v>
      </c>
      <c r="H11463">
        <v>500221</v>
      </c>
      <c r="I11463" t="s">
        <v>949</v>
      </c>
    </row>
    <row r="11464" spans="1:9" x14ac:dyDescent="0.25">
      <c r="A11464">
        <v>4141</v>
      </c>
      <c r="B11464">
        <v>60</v>
      </c>
      <c r="C11464" t="s">
        <v>946</v>
      </c>
      <c r="D11464" t="s">
        <v>991</v>
      </c>
      <c r="E11464" t="s">
        <v>286</v>
      </c>
      <c r="F11464" t="s">
        <v>948</v>
      </c>
      <c r="G11464">
        <v>6077777</v>
      </c>
      <c r="H11464">
        <v>501010</v>
      </c>
      <c r="I11464" t="s">
        <v>949</v>
      </c>
    </row>
    <row r="11465" spans="1:9" x14ac:dyDescent="0.25">
      <c r="A11465">
        <v>4220</v>
      </c>
      <c r="B11465">
        <v>60</v>
      </c>
      <c r="C11465" t="s">
        <v>946</v>
      </c>
      <c r="D11465" t="s">
        <v>991</v>
      </c>
      <c r="E11465" t="s">
        <v>286</v>
      </c>
      <c r="F11465" t="s">
        <v>948</v>
      </c>
      <c r="G11465">
        <v>6077777</v>
      </c>
      <c r="H11465">
        <v>500220</v>
      </c>
      <c r="I11465" t="s">
        <v>949</v>
      </c>
    </row>
    <row r="11466" spans="1:9" x14ac:dyDescent="0.25">
      <c r="A11466">
        <v>4230</v>
      </c>
      <c r="B11466">
        <v>60</v>
      </c>
      <c r="C11466" t="s">
        <v>946</v>
      </c>
      <c r="D11466" t="s">
        <v>991</v>
      </c>
      <c r="E11466" t="s">
        <v>286</v>
      </c>
      <c r="F11466" t="s">
        <v>948</v>
      </c>
      <c r="G11466">
        <v>6099999</v>
      </c>
      <c r="H11466">
        <v>403032</v>
      </c>
      <c r="I11466" t="s">
        <v>949</v>
      </c>
    </row>
    <row r="11467" spans="1:9" x14ac:dyDescent="0.25">
      <c r="A11467">
        <v>4240</v>
      </c>
      <c r="B11467">
        <v>60</v>
      </c>
      <c r="C11467" t="s">
        <v>946</v>
      </c>
      <c r="D11467" t="s">
        <v>991</v>
      </c>
      <c r="E11467" t="s">
        <v>286</v>
      </c>
      <c r="F11467" t="s">
        <v>948</v>
      </c>
      <c r="G11467">
        <v>6077777</v>
      </c>
      <c r="H11467">
        <v>500221</v>
      </c>
      <c r="I11467" t="s">
        <v>949</v>
      </c>
    </row>
    <row r="11468" spans="1:9" x14ac:dyDescent="0.25">
      <c r="A11468">
        <v>4141</v>
      </c>
      <c r="B11468">
        <v>60</v>
      </c>
      <c r="C11468" t="s">
        <v>946</v>
      </c>
      <c r="D11468" t="s">
        <v>991</v>
      </c>
      <c r="E11468" t="s">
        <v>976</v>
      </c>
      <c r="F11468" t="s">
        <v>948</v>
      </c>
      <c r="G11468">
        <v>6077777</v>
      </c>
      <c r="H11468">
        <v>501010</v>
      </c>
      <c r="I11468" t="s">
        <v>949</v>
      </c>
    </row>
    <row r="11469" spans="1:9" x14ac:dyDescent="0.25">
      <c r="A11469">
        <v>4220</v>
      </c>
      <c r="B11469">
        <v>60</v>
      </c>
      <c r="C11469" t="s">
        <v>946</v>
      </c>
      <c r="D11469" t="s">
        <v>991</v>
      </c>
      <c r="E11469" t="s">
        <v>976</v>
      </c>
      <c r="F11469" t="s">
        <v>948</v>
      </c>
      <c r="G11469">
        <v>6077777</v>
      </c>
      <c r="H11469">
        <v>500220</v>
      </c>
      <c r="I11469" t="s">
        <v>949</v>
      </c>
    </row>
    <row r="11470" spans="1:9" x14ac:dyDescent="0.25">
      <c r="A11470">
        <v>4230</v>
      </c>
      <c r="B11470">
        <v>60</v>
      </c>
      <c r="C11470" t="s">
        <v>946</v>
      </c>
      <c r="D11470" t="s">
        <v>991</v>
      </c>
      <c r="E11470" t="s">
        <v>976</v>
      </c>
      <c r="F11470" t="s">
        <v>948</v>
      </c>
      <c r="G11470">
        <v>6099999</v>
      </c>
      <c r="H11470">
        <v>403912</v>
      </c>
      <c r="I11470" t="s">
        <v>949</v>
      </c>
    </row>
    <row r="11471" spans="1:9" x14ac:dyDescent="0.25">
      <c r="A11471">
        <v>4240</v>
      </c>
      <c r="B11471">
        <v>60</v>
      </c>
      <c r="C11471" t="s">
        <v>946</v>
      </c>
      <c r="D11471" t="s">
        <v>991</v>
      </c>
      <c r="E11471" t="s">
        <v>976</v>
      </c>
      <c r="F11471" t="s">
        <v>948</v>
      </c>
      <c r="G11471">
        <v>6077777</v>
      </c>
      <c r="H11471">
        <v>500221</v>
      </c>
      <c r="I11471" t="s">
        <v>949</v>
      </c>
    </row>
    <row r="11472" spans="1:9" x14ac:dyDescent="0.25">
      <c r="A11472">
        <v>4141</v>
      </c>
      <c r="B11472">
        <v>60</v>
      </c>
      <c r="C11472" t="s">
        <v>946</v>
      </c>
      <c r="D11472" t="s">
        <v>991</v>
      </c>
      <c r="E11472" t="s">
        <v>290</v>
      </c>
      <c r="F11472" t="s">
        <v>948</v>
      </c>
      <c r="G11472">
        <v>6077777</v>
      </c>
      <c r="H11472">
        <v>501010</v>
      </c>
      <c r="I11472" t="s">
        <v>949</v>
      </c>
    </row>
    <row r="11473" spans="1:9" x14ac:dyDescent="0.25">
      <c r="A11473">
        <v>4220</v>
      </c>
      <c r="B11473">
        <v>60</v>
      </c>
      <c r="C11473" t="s">
        <v>946</v>
      </c>
      <c r="D11473" t="s">
        <v>991</v>
      </c>
      <c r="E11473" t="s">
        <v>290</v>
      </c>
      <c r="F11473" t="s">
        <v>948</v>
      </c>
      <c r="G11473">
        <v>6077777</v>
      </c>
      <c r="H11473">
        <v>500220</v>
      </c>
      <c r="I11473" t="s">
        <v>949</v>
      </c>
    </row>
    <row r="11474" spans="1:9" x14ac:dyDescent="0.25">
      <c r="A11474">
        <v>4230</v>
      </c>
      <c r="B11474">
        <v>60</v>
      </c>
      <c r="C11474" t="s">
        <v>946</v>
      </c>
      <c r="D11474" t="s">
        <v>991</v>
      </c>
      <c r="E11474" t="s">
        <v>290</v>
      </c>
      <c r="F11474" t="s">
        <v>948</v>
      </c>
      <c r="G11474">
        <v>6099999</v>
      </c>
      <c r="H11474">
        <v>403042</v>
      </c>
      <c r="I11474" t="s">
        <v>949</v>
      </c>
    </row>
    <row r="11475" spans="1:9" x14ac:dyDescent="0.25">
      <c r="A11475">
        <v>4240</v>
      </c>
      <c r="B11475">
        <v>60</v>
      </c>
      <c r="C11475" t="s">
        <v>946</v>
      </c>
      <c r="D11475" t="s">
        <v>991</v>
      </c>
      <c r="E11475" t="s">
        <v>290</v>
      </c>
      <c r="F11475" t="s">
        <v>948</v>
      </c>
      <c r="G11475">
        <v>6077777</v>
      </c>
      <c r="H11475">
        <v>500221</v>
      </c>
      <c r="I11475" t="s">
        <v>949</v>
      </c>
    </row>
    <row r="11476" spans="1:9" x14ac:dyDescent="0.25">
      <c r="A11476">
        <v>4141</v>
      </c>
      <c r="B11476">
        <v>60</v>
      </c>
      <c r="C11476" t="s">
        <v>946</v>
      </c>
      <c r="D11476" t="s">
        <v>991</v>
      </c>
      <c r="E11476" t="s">
        <v>294</v>
      </c>
      <c r="F11476" t="s">
        <v>948</v>
      </c>
      <c r="G11476">
        <v>6077777</v>
      </c>
      <c r="H11476">
        <v>501010</v>
      </c>
      <c r="I11476" t="s">
        <v>949</v>
      </c>
    </row>
    <row r="11477" spans="1:9" x14ac:dyDescent="0.25">
      <c r="A11477">
        <v>4220</v>
      </c>
      <c r="B11477">
        <v>60</v>
      </c>
      <c r="C11477" t="s">
        <v>946</v>
      </c>
      <c r="D11477" t="s">
        <v>991</v>
      </c>
      <c r="E11477" t="s">
        <v>294</v>
      </c>
      <c r="F11477" t="s">
        <v>948</v>
      </c>
      <c r="G11477">
        <v>6077777</v>
      </c>
      <c r="H11477">
        <v>500220</v>
      </c>
      <c r="I11477" t="s">
        <v>949</v>
      </c>
    </row>
    <row r="11478" spans="1:9" x14ac:dyDescent="0.25">
      <c r="A11478">
        <v>4230</v>
      </c>
      <c r="B11478">
        <v>60</v>
      </c>
      <c r="C11478" t="s">
        <v>946</v>
      </c>
      <c r="D11478" t="s">
        <v>991</v>
      </c>
      <c r="E11478" t="s">
        <v>294</v>
      </c>
      <c r="F11478" t="s">
        <v>948</v>
      </c>
      <c r="G11478">
        <v>6099999</v>
      </c>
      <c r="H11478">
        <v>403042</v>
      </c>
      <c r="I11478" t="s">
        <v>949</v>
      </c>
    </row>
    <row r="11479" spans="1:9" x14ac:dyDescent="0.25">
      <c r="A11479">
        <v>4240</v>
      </c>
      <c r="B11479">
        <v>60</v>
      </c>
      <c r="C11479" t="s">
        <v>946</v>
      </c>
      <c r="D11479" t="s">
        <v>991</v>
      </c>
      <c r="E11479" t="s">
        <v>294</v>
      </c>
      <c r="F11479" t="s">
        <v>948</v>
      </c>
      <c r="G11479">
        <v>6077777</v>
      </c>
      <c r="H11479">
        <v>500221</v>
      </c>
      <c r="I11479" t="s">
        <v>949</v>
      </c>
    </row>
    <row r="11480" spans="1:9" x14ac:dyDescent="0.25">
      <c r="A11480">
        <v>4230</v>
      </c>
      <c r="B11480">
        <v>60</v>
      </c>
      <c r="C11480" t="s">
        <v>946</v>
      </c>
      <c r="D11480" t="s">
        <v>991</v>
      </c>
      <c r="E11480" t="s">
        <v>298</v>
      </c>
      <c r="F11480" t="s">
        <v>948</v>
      </c>
      <c r="G11480">
        <v>6099999</v>
      </c>
      <c r="H11480">
        <v>403082</v>
      </c>
      <c r="I11480" t="s">
        <v>949</v>
      </c>
    </row>
    <row r="11481" spans="1:9" x14ac:dyDescent="0.25">
      <c r="A11481">
        <v>4141</v>
      </c>
      <c r="B11481">
        <v>60</v>
      </c>
      <c r="C11481" t="s">
        <v>946</v>
      </c>
      <c r="D11481" t="s">
        <v>991</v>
      </c>
      <c r="E11481" t="s">
        <v>980</v>
      </c>
      <c r="F11481" t="s">
        <v>948</v>
      </c>
      <c r="G11481">
        <v>6077777</v>
      </c>
      <c r="H11481">
        <v>501010</v>
      </c>
      <c r="I11481" t="s">
        <v>949</v>
      </c>
    </row>
    <row r="11482" spans="1:9" x14ac:dyDescent="0.25">
      <c r="A11482">
        <v>4220</v>
      </c>
      <c r="B11482">
        <v>60</v>
      </c>
      <c r="C11482" t="s">
        <v>946</v>
      </c>
      <c r="D11482" t="s">
        <v>991</v>
      </c>
      <c r="E11482" t="s">
        <v>980</v>
      </c>
      <c r="F11482" t="s">
        <v>948</v>
      </c>
      <c r="G11482">
        <v>6077777</v>
      </c>
      <c r="H11482">
        <v>500220</v>
      </c>
      <c r="I11482" t="s">
        <v>949</v>
      </c>
    </row>
    <row r="11483" spans="1:9" x14ac:dyDescent="0.25">
      <c r="A11483">
        <v>4230</v>
      </c>
      <c r="B11483">
        <v>60</v>
      </c>
      <c r="C11483" t="s">
        <v>946</v>
      </c>
      <c r="D11483" t="s">
        <v>991</v>
      </c>
      <c r="E11483" t="s">
        <v>980</v>
      </c>
      <c r="F11483" t="s">
        <v>948</v>
      </c>
      <c r="G11483">
        <v>6099999</v>
      </c>
      <c r="H11483">
        <v>403912</v>
      </c>
      <c r="I11483" t="s">
        <v>949</v>
      </c>
    </row>
    <row r="11484" spans="1:9" x14ac:dyDescent="0.25">
      <c r="A11484">
        <v>4240</v>
      </c>
      <c r="B11484">
        <v>60</v>
      </c>
      <c r="C11484" t="s">
        <v>946</v>
      </c>
      <c r="D11484" t="s">
        <v>991</v>
      </c>
      <c r="E11484" t="s">
        <v>980</v>
      </c>
      <c r="F11484" t="s">
        <v>948</v>
      </c>
      <c r="G11484">
        <v>6077777</v>
      </c>
      <c r="H11484">
        <v>500221</v>
      </c>
      <c r="I11484" t="s">
        <v>949</v>
      </c>
    </row>
    <row r="11485" spans="1:9" x14ac:dyDescent="0.25">
      <c r="A11485">
        <v>4141</v>
      </c>
      <c r="B11485">
        <v>60</v>
      </c>
      <c r="C11485" t="s">
        <v>946</v>
      </c>
      <c r="D11485" t="s">
        <v>991</v>
      </c>
      <c r="E11485" t="s">
        <v>302</v>
      </c>
      <c r="F11485" t="s">
        <v>948</v>
      </c>
      <c r="G11485">
        <v>6077777</v>
      </c>
      <c r="H11485">
        <v>501010</v>
      </c>
      <c r="I11485" t="s">
        <v>949</v>
      </c>
    </row>
    <row r="11486" spans="1:9" x14ac:dyDescent="0.25">
      <c r="A11486">
        <v>4220</v>
      </c>
      <c r="B11486">
        <v>60</v>
      </c>
      <c r="C11486" t="s">
        <v>946</v>
      </c>
      <c r="D11486" t="s">
        <v>991</v>
      </c>
      <c r="E11486" t="s">
        <v>302</v>
      </c>
      <c r="F11486" t="s">
        <v>948</v>
      </c>
      <c r="G11486">
        <v>6077777</v>
      </c>
      <c r="H11486">
        <v>500220</v>
      </c>
      <c r="I11486" t="s">
        <v>949</v>
      </c>
    </row>
    <row r="11487" spans="1:9" x14ac:dyDescent="0.25">
      <c r="A11487">
        <v>4230</v>
      </c>
      <c r="B11487">
        <v>60</v>
      </c>
      <c r="C11487" t="s">
        <v>946</v>
      </c>
      <c r="D11487" t="s">
        <v>991</v>
      </c>
      <c r="E11487" t="s">
        <v>302</v>
      </c>
      <c r="F11487" t="s">
        <v>948</v>
      </c>
      <c r="G11487">
        <v>6099999</v>
      </c>
      <c r="H11487">
        <v>401902</v>
      </c>
      <c r="I11487" t="s">
        <v>949</v>
      </c>
    </row>
    <row r="11488" spans="1:9" x14ac:dyDescent="0.25">
      <c r="A11488">
        <v>4240</v>
      </c>
      <c r="B11488">
        <v>60</v>
      </c>
      <c r="C11488" t="s">
        <v>946</v>
      </c>
      <c r="D11488" t="s">
        <v>991</v>
      </c>
      <c r="E11488" t="s">
        <v>302</v>
      </c>
      <c r="F11488" t="s">
        <v>948</v>
      </c>
      <c r="G11488">
        <v>6077777</v>
      </c>
      <c r="H11488">
        <v>500221</v>
      </c>
      <c r="I11488" t="s">
        <v>949</v>
      </c>
    </row>
    <row r="11489" spans="1:9" x14ac:dyDescent="0.25">
      <c r="A11489">
        <v>4141</v>
      </c>
      <c r="B11489">
        <v>60</v>
      </c>
      <c r="C11489" t="s">
        <v>946</v>
      </c>
      <c r="D11489" t="s">
        <v>991</v>
      </c>
      <c r="E11489" t="s">
        <v>306</v>
      </c>
      <c r="F11489" t="s">
        <v>948</v>
      </c>
      <c r="G11489">
        <v>6077777</v>
      </c>
      <c r="H11489">
        <v>501010</v>
      </c>
      <c r="I11489" t="s">
        <v>949</v>
      </c>
    </row>
    <row r="11490" spans="1:9" x14ac:dyDescent="0.25">
      <c r="A11490">
        <v>4220</v>
      </c>
      <c r="B11490">
        <v>60</v>
      </c>
      <c r="C11490" t="s">
        <v>946</v>
      </c>
      <c r="D11490" t="s">
        <v>991</v>
      </c>
      <c r="E11490" t="s">
        <v>306</v>
      </c>
      <c r="F11490" t="s">
        <v>948</v>
      </c>
      <c r="G11490">
        <v>6077777</v>
      </c>
      <c r="H11490">
        <v>500220</v>
      </c>
      <c r="I11490" t="s">
        <v>949</v>
      </c>
    </row>
    <row r="11491" spans="1:9" x14ac:dyDescent="0.25">
      <c r="A11491">
        <v>4230</v>
      </c>
      <c r="B11491">
        <v>60</v>
      </c>
      <c r="C11491" t="s">
        <v>946</v>
      </c>
      <c r="D11491" t="s">
        <v>991</v>
      </c>
      <c r="E11491" t="s">
        <v>306</v>
      </c>
      <c r="F11491" t="s">
        <v>948</v>
      </c>
      <c r="G11491">
        <v>6099999</v>
      </c>
      <c r="H11491">
        <v>403042</v>
      </c>
      <c r="I11491" t="s">
        <v>949</v>
      </c>
    </row>
    <row r="11492" spans="1:9" x14ac:dyDescent="0.25">
      <c r="A11492">
        <v>4240</v>
      </c>
      <c r="B11492">
        <v>60</v>
      </c>
      <c r="C11492" t="s">
        <v>946</v>
      </c>
      <c r="D11492" t="s">
        <v>991</v>
      </c>
      <c r="E11492" t="s">
        <v>306</v>
      </c>
      <c r="F11492" t="s">
        <v>948</v>
      </c>
      <c r="G11492">
        <v>6077777</v>
      </c>
      <c r="H11492">
        <v>500221</v>
      </c>
      <c r="I11492" t="s">
        <v>949</v>
      </c>
    </row>
    <row r="11493" spans="1:9" x14ac:dyDescent="0.25">
      <c r="A11493">
        <v>4141</v>
      </c>
      <c r="B11493">
        <v>60</v>
      </c>
      <c r="C11493" t="s">
        <v>946</v>
      </c>
      <c r="D11493" t="s">
        <v>991</v>
      </c>
      <c r="E11493" t="s">
        <v>108</v>
      </c>
      <c r="F11493" t="s">
        <v>948</v>
      </c>
      <c r="G11493">
        <v>6077777</v>
      </c>
      <c r="H11493">
        <v>500220</v>
      </c>
      <c r="I11493" t="s">
        <v>949</v>
      </c>
    </row>
    <row r="11494" spans="1:9" x14ac:dyDescent="0.25">
      <c r="A11494">
        <v>4220</v>
      </c>
      <c r="B11494">
        <v>60</v>
      </c>
      <c r="C11494" t="s">
        <v>946</v>
      </c>
      <c r="D11494" t="s">
        <v>991</v>
      </c>
      <c r="E11494" t="s">
        <v>108</v>
      </c>
      <c r="F11494" t="s">
        <v>948</v>
      </c>
      <c r="G11494">
        <v>6077777</v>
      </c>
      <c r="H11494">
        <v>500220</v>
      </c>
      <c r="I11494" t="s">
        <v>949</v>
      </c>
    </row>
    <row r="11495" spans="1:9" x14ac:dyDescent="0.25">
      <c r="A11495">
        <v>4230</v>
      </c>
      <c r="B11495">
        <v>60</v>
      </c>
      <c r="C11495" t="s">
        <v>946</v>
      </c>
      <c r="D11495" t="s">
        <v>991</v>
      </c>
      <c r="E11495" t="s">
        <v>108</v>
      </c>
      <c r="F11495" t="s">
        <v>948</v>
      </c>
      <c r="G11495">
        <v>6099999</v>
      </c>
      <c r="H11495">
        <v>403042</v>
      </c>
      <c r="I11495" t="s">
        <v>949</v>
      </c>
    </row>
    <row r="11496" spans="1:9" x14ac:dyDescent="0.25">
      <c r="A11496">
        <v>4240</v>
      </c>
      <c r="B11496">
        <v>60</v>
      </c>
      <c r="C11496" t="s">
        <v>946</v>
      </c>
      <c r="D11496" t="s">
        <v>991</v>
      </c>
      <c r="E11496" t="s">
        <v>108</v>
      </c>
      <c r="F11496" t="s">
        <v>948</v>
      </c>
      <c r="G11496">
        <v>6077777</v>
      </c>
      <c r="H11496">
        <v>500221</v>
      </c>
      <c r="I11496" t="s">
        <v>949</v>
      </c>
    </row>
    <row r="11497" spans="1:9" x14ac:dyDescent="0.25">
      <c r="A11497">
        <v>4141</v>
      </c>
      <c r="B11497">
        <v>60</v>
      </c>
      <c r="C11497" t="s">
        <v>946</v>
      </c>
      <c r="D11497" t="s">
        <v>991</v>
      </c>
      <c r="E11497" t="s">
        <v>310</v>
      </c>
      <c r="F11497" t="s">
        <v>948</v>
      </c>
      <c r="G11497">
        <v>6077777</v>
      </c>
      <c r="H11497">
        <v>501010</v>
      </c>
      <c r="I11497" t="s">
        <v>949</v>
      </c>
    </row>
    <row r="11498" spans="1:9" x14ac:dyDescent="0.25">
      <c r="A11498">
        <v>4220</v>
      </c>
      <c r="B11498">
        <v>60</v>
      </c>
      <c r="C11498" t="s">
        <v>946</v>
      </c>
      <c r="D11498" t="s">
        <v>991</v>
      </c>
      <c r="E11498" t="s">
        <v>310</v>
      </c>
      <c r="F11498" t="s">
        <v>948</v>
      </c>
      <c r="G11498">
        <v>6077777</v>
      </c>
      <c r="H11498">
        <v>500220</v>
      </c>
      <c r="I11498" t="s">
        <v>949</v>
      </c>
    </row>
    <row r="11499" spans="1:9" x14ac:dyDescent="0.25">
      <c r="A11499">
        <v>4230</v>
      </c>
      <c r="B11499">
        <v>60</v>
      </c>
      <c r="C11499" t="s">
        <v>946</v>
      </c>
      <c r="D11499" t="s">
        <v>991</v>
      </c>
      <c r="E11499" t="s">
        <v>310</v>
      </c>
      <c r="F11499" t="s">
        <v>948</v>
      </c>
      <c r="G11499">
        <v>6099999</v>
      </c>
      <c r="H11499">
        <v>403012</v>
      </c>
      <c r="I11499" t="s">
        <v>949</v>
      </c>
    </row>
    <row r="11500" spans="1:9" x14ac:dyDescent="0.25">
      <c r="A11500">
        <v>4240</v>
      </c>
      <c r="B11500">
        <v>60</v>
      </c>
      <c r="C11500" t="s">
        <v>946</v>
      </c>
      <c r="D11500" t="s">
        <v>991</v>
      </c>
      <c r="E11500" t="s">
        <v>310</v>
      </c>
      <c r="F11500" t="s">
        <v>948</v>
      </c>
      <c r="G11500">
        <v>6077777</v>
      </c>
      <c r="H11500">
        <v>500221</v>
      </c>
      <c r="I11500" t="s">
        <v>949</v>
      </c>
    </row>
    <row r="11501" spans="1:9" x14ac:dyDescent="0.25">
      <c r="A11501">
        <v>4141</v>
      </c>
      <c r="B11501">
        <v>60</v>
      </c>
      <c r="C11501" t="s">
        <v>946</v>
      </c>
      <c r="D11501" t="s">
        <v>991</v>
      </c>
      <c r="E11501" t="s">
        <v>314</v>
      </c>
      <c r="F11501" t="s">
        <v>948</v>
      </c>
      <c r="G11501">
        <v>6077777</v>
      </c>
      <c r="H11501">
        <v>501010</v>
      </c>
      <c r="I11501" t="s">
        <v>949</v>
      </c>
    </row>
    <row r="11502" spans="1:9" x14ac:dyDescent="0.25">
      <c r="A11502">
        <v>4220</v>
      </c>
      <c r="B11502">
        <v>60</v>
      </c>
      <c r="C11502" t="s">
        <v>946</v>
      </c>
      <c r="D11502" t="s">
        <v>991</v>
      </c>
      <c r="E11502" t="s">
        <v>314</v>
      </c>
      <c r="F11502" t="s">
        <v>948</v>
      </c>
      <c r="G11502">
        <v>6077777</v>
      </c>
      <c r="H11502">
        <v>500220</v>
      </c>
      <c r="I11502" t="s">
        <v>949</v>
      </c>
    </row>
    <row r="11503" spans="1:9" x14ac:dyDescent="0.25">
      <c r="A11503">
        <v>4230</v>
      </c>
      <c r="B11503">
        <v>60</v>
      </c>
      <c r="C11503" t="s">
        <v>946</v>
      </c>
      <c r="D11503" t="s">
        <v>991</v>
      </c>
      <c r="E11503" t="s">
        <v>314</v>
      </c>
      <c r="F11503" t="s">
        <v>948</v>
      </c>
      <c r="G11503">
        <v>6099999</v>
      </c>
      <c r="H11503">
        <v>403062</v>
      </c>
      <c r="I11503" t="s">
        <v>949</v>
      </c>
    </row>
    <row r="11504" spans="1:9" x14ac:dyDescent="0.25">
      <c r="A11504">
        <v>4240</v>
      </c>
      <c r="B11504">
        <v>60</v>
      </c>
      <c r="C11504" t="s">
        <v>946</v>
      </c>
      <c r="D11504" t="s">
        <v>991</v>
      </c>
      <c r="E11504" t="s">
        <v>314</v>
      </c>
      <c r="F11504" t="s">
        <v>948</v>
      </c>
      <c r="G11504">
        <v>6077777</v>
      </c>
      <c r="H11504">
        <v>500221</v>
      </c>
      <c r="I11504" t="s">
        <v>949</v>
      </c>
    </row>
    <row r="11505" spans="1:9" x14ac:dyDescent="0.25">
      <c r="A11505">
        <v>4141</v>
      </c>
      <c r="B11505">
        <v>60</v>
      </c>
      <c r="C11505" t="s">
        <v>946</v>
      </c>
      <c r="D11505" t="s">
        <v>991</v>
      </c>
      <c r="E11505" t="s">
        <v>113</v>
      </c>
      <c r="F11505" t="s">
        <v>948</v>
      </c>
      <c r="G11505">
        <v>6077777</v>
      </c>
      <c r="H11505">
        <v>500220</v>
      </c>
      <c r="I11505" t="s">
        <v>949</v>
      </c>
    </row>
    <row r="11506" spans="1:9" x14ac:dyDescent="0.25">
      <c r="A11506">
        <v>4220</v>
      </c>
      <c r="B11506">
        <v>60</v>
      </c>
      <c r="C11506" t="s">
        <v>946</v>
      </c>
      <c r="D11506" t="s">
        <v>991</v>
      </c>
      <c r="E11506" t="s">
        <v>113</v>
      </c>
      <c r="F11506" t="s">
        <v>948</v>
      </c>
      <c r="G11506">
        <v>6077777</v>
      </c>
      <c r="H11506">
        <v>500220</v>
      </c>
      <c r="I11506" t="s">
        <v>949</v>
      </c>
    </row>
    <row r="11507" spans="1:9" x14ac:dyDescent="0.25">
      <c r="A11507">
        <v>4230</v>
      </c>
      <c r="B11507">
        <v>60</v>
      </c>
      <c r="C11507" t="s">
        <v>946</v>
      </c>
      <c r="D11507" t="s">
        <v>991</v>
      </c>
      <c r="E11507" t="s">
        <v>113</v>
      </c>
      <c r="F11507" t="s">
        <v>948</v>
      </c>
      <c r="G11507">
        <v>6099999</v>
      </c>
      <c r="H11507">
        <v>403082</v>
      </c>
      <c r="I11507" t="s">
        <v>949</v>
      </c>
    </row>
    <row r="11508" spans="1:9" x14ac:dyDescent="0.25">
      <c r="A11508">
        <v>4240</v>
      </c>
      <c r="B11508">
        <v>60</v>
      </c>
      <c r="C11508" t="s">
        <v>946</v>
      </c>
      <c r="D11508" t="s">
        <v>991</v>
      </c>
      <c r="E11508" t="s">
        <v>113</v>
      </c>
      <c r="F11508" t="s">
        <v>948</v>
      </c>
      <c r="G11508">
        <v>6077777</v>
      </c>
      <c r="H11508">
        <v>500221</v>
      </c>
      <c r="I11508" t="s">
        <v>949</v>
      </c>
    </row>
    <row r="11509" spans="1:9" x14ac:dyDescent="0.25">
      <c r="A11509">
        <v>4141</v>
      </c>
      <c r="B11509">
        <v>60</v>
      </c>
      <c r="C11509" t="s">
        <v>946</v>
      </c>
      <c r="D11509" t="s">
        <v>991</v>
      </c>
      <c r="E11509" t="s">
        <v>117</v>
      </c>
      <c r="F11509" t="s">
        <v>948</v>
      </c>
      <c r="G11509">
        <v>6077777</v>
      </c>
      <c r="H11509">
        <v>500220</v>
      </c>
      <c r="I11509" t="s">
        <v>949</v>
      </c>
    </row>
    <row r="11510" spans="1:9" x14ac:dyDescent="0.25">
      <c r="A11510">
        <v>4220</v>
      </c>
      <c r="B11510">
        <v>60</v>
      </c>
      <c r="C11510" t="s">
        <v>946</v>
      </c>
      <c r="D11510" t="s">
        <v>991</v>
      </c>
      <c r="E11510" t="s">
        <v>117</v>
      </c>
      <c r="F11510" t="s">
        <v>948</v>
      </c>
      <c r="G11510">
        <v>6077777</v>
      </c>
      <c r="H11510">
        <v>500220</v>
      </c>
      <c r="I11510" t="s">
        <v>949</v>
      </c>
    </row>
    <row r="11511" spans="1:9" x14ac:dyDescent="0.25">
      <c r="A11511">
        <v>4230</v>
      </c>
      <c r="B11511">
        <v>60</v>
      </c>
      <c r="C11511" t="s">
        <v>946</v>
      </c>
      <c r="D11511" t="s">
        <v>991</v>
      </c>
      <c r="E11511" t="s">
        <v>117</v>
      </c>
      <c r="F11511" t="s">
        <v>948</v>
      </c>
      <c r="G11511">
        <v>6088888</v>
      </c>
      <c r="H11511">
        <v>810600</v>
      </c>
      <c r="I11511" t="s">
        <v>949</v>
      </c>
    </row>
    <row r="11512" spans="1:9" x14ac:dyDescent="0.25">
      <c r="A11512">
        <v>4240</v>
      </c>
      <c r="B11512">
        <v>60</v>
      </c>
      <c r="C11512" t="s">
        <v>946</v>
      </c>
      <c r="D11512" t="s">
        <v>991</v>
      </c>
      <c r="E11512" t="s">
        <v>117</v>
      </c>
      <c r="F11512" t="s">
        <v>948</v>
      </c>
      <c r="G11512">
        <v>6077777</v>
      </c>
      <c r="H11512">
        <v>500221</v>
      </c>
      <c r="I11512" t="s">
        <v>949</v>
      </c>
    </row>
    <row r="11513" spans="1:9" x14ac:dyDescent="0.25">
      <c r="A11513">
        <v>4141</v>
      </c>
      <c r="B11513">
        <v>60</v>
      </c>
      <c r="C11513" t="s">
        <v>946</v>
      </c>
      <c r="D11513" t="s">
        <v>991</v>
      </c>
      <c r="E11513" t="s">
        <v>121</v>
      </c>
      <c r="F11513" t="s">
        <v>948</v>
      </c>
      <c r="G11513">
        <v>6077777</v>
      </c>
      <c r="H11513">
        <v>500220</v>
      </c>
      <c r="I11513" t="s">
        <v>949</v>
      </c>
    </row>
    <row r="11514" spans="1:9" x14ac:dyDescent="0.25">
      <c r="A11514">
        <v>4220</v>
      </c>
      <c r="B11514">
        <v>60</v>
      </c>
      <c r="C11514" t="s">
        <v>946</v>
      </c>
      <c r="D11514" t="s">
        <v>991</v>
      </c>
      <c r="E11514" t="s">
        <v>121</v>
      </c>
      <c r="F11514" t="s">
        <v>948</v>
      </c>
      <c r="G11514">
        <v>6077777</v>
      </c>
      <c r="H11514">
        <v>500220</v>
      </c>
      <c r="I11514" t="s">
        <v>949</v>
      </c>
    </row>
    <row r="11515" spans="1:9" x14ac:dyDescent="0.25">
      <c r="A11515">
        <v>4230</v>
      </c>
      <c r="B11515">
        <v>60</v>
      </c>
      <c r="C11515" t="s">
        <v>946</v>
      </c>
      <c r="D11515" t="s">
        <v>991</v>
      </c>
      <c r="E11515" t="s">
        <v>121</v>
      </c>
      <c r="F11515" t="s">
        <v>948</v>
      </c>
      <c r="G11515">
        <v>6099999</v>
      </c>
      <c r="H11515">
        <v>403042</v>
      </c>
      <c r="I11515" t="s">
        <v>949</v>
      </c>
    </row>
    <row r="11516" spans="1:9" x14ac:dyDescent="0.25">
      <c r="A11516">
        <v>4240</v>
      </c>
      <c r="B11516">
        <v>60</v>
      </c>
      <c r="C11516" t="s">
        <v>946</v>
      </c>
      <c r="D11516" t="s">
        <v>991</v>
      </c>
      <c r="E11516" t="s">
        <v>121</v>
      </c>
      <c r="F11516" t="s">
        <v>948</v>
      </c>
      <c r="G11516">
        <v>6077777</v>
      </c>
      <c r="H11516">
        <v>500221</v>
      </c>
      <c r="I11516" t="s">
        <v>949</v>
      </c>
    </row>
    <row r="11517" spans="1:9" x14ac:dyDescent="0.25">
      <c r="A11517">
        <v>4141</v>
      </c>
      <c r="B11517">
        <v>60</v>
      </c>
      <c r="C11517" t="s">
        <v>946</v>
      </c>
      <c r="D11517" t="s">
        <v>991</v>
      </c>
      <c r="E11517" t="s">
        <v>984</v>
      </c>
      <c r="F11517" t="s">
        <v>948</v>
      </c>
      <c r="G11517">
        <v>6077777</v>
      </c>
      <c r="H11517">
        <v>501010</v>
      </c>
      <c r="I11517" t="s">
        <v>949</v>
      </c>
    </row>
    <row r="11518" spans="1:9" x14ac:dyDescent="0.25">
      <c r="A11518">
        <v>4220</v>
      </c>
      <c r="B11518">
        <v>60</v>
      </c>
      <c r="C11518" t="s">
        <v>946</v>
      </c>
      <c r="D11518" t="s">
        <v>991</v>
      </c>
      <c r="E11518" t="s">
        <v>984</v>
      </c>
      <c r="F11518" t="s">
        <v>948</v>
      </c>
      <c r="G11518">
        <v>6077777</v>
      </c>
      <c r="H11518">
        <v>500220</v>
      </c>
      <c r="I11518" t="s">
        <v>949</v>
      </c>
    </row>
    <row r="11519" spans="1:9" x14ac:dyDescent="0.25">
      <c r="A11519">
        <v>4230</v>
      </c>
      <c r="B11519">
        <v>60</v>
      </c>
      <c r="C11519" t="s">
        <v>946</v>
      </c>
      <c r="D11519" t="s">
        <v>991</v>
      </c>
      <c r="E11519" t="s">
        <v>984</v>
      </c>
      <c r="F11519" t="s">
        <v>948</v>
      </c>
      <c r="G11519">
        <v>6099999</v>
      </c>
      <c r="H11519">
        <v>403912</v>
      </c>
      <c r="I11519" t="s">
        <v>949</v>
      </c>
    </row>
    <row r="11520" spans="1:9" x14ac:dyDescent="0.25">
      <c r="A11520">
        <v>4240</v>
      </c>
      <c r="B11520">
        <v>60</v>
      </c>
      <c r="C11520" t="s">
        <v>946</v>
      </c>
      <c r="D11520" t="s">
        <v>991</v>
      </c>
      <c r="E11520" t="s">
        <v>984</v>
      </c>
      <c r="F11520" t="s">
        <v>948</v>
      </c>
      <c r="G11520">
        <v>6077777</v>
      </c>
      <c r="H11520">
        <v>500221</v>
      </c>
      <c r="I11520" t="s">
        <v>949</v>
      </c>
    </row>
    <row r="11521" spans="1:9" x14ac:dyDescent="0.25">
      <c r="A11521">
        <v>4141</v>
      </c>
      <c r="B11521">
        <v>60</v>
      </c>
      <c r="C11521" t="s">
        <v>946</v>
      </c>
      <c r="D11521" t="s">
        <v>992</v>
      </c>
      <c r="E11521" t="s">
        <v>243</v>
      </c>
      <c r="F11521" t="s">
        <v>948</v>
      </c>
      <c r="G11521">
        <v>6077777</v>
      </c>
      <c r="H11521">
        <v>501010</v>
      </c>
      <c r="I11521" t="s">
        <v>949</v>
      </c>
    </row>
    <row r="11522" spans="1:9" x14ac:dyDescent="0.25">
      <c r="A11522">
        <v>4220</v>
      </c>
      <c r="B11522">
        <v>60</v>
      </c>
      <c r="C11522" t="s">
        <v>946</v>
      </c>
      <c r="D11522" t="s">
        <v>992</v>
      </c>
      <c r="E11522" t="s">
        <v>243</v>
      </c>
      <c r="F11522" t="s">
        <v>948</v>
      </c>
      <c r="G11522">
        <v>6077777</v>
      </c>
      <c r="H11522">
        <v>500220</v>
      </c>
      <c r="I11522" t="s">
        <v>949</v>
      </c>
    </row>
    <row r="11523" spans="1:9" x14ac:dyDescent="0.25">
      <c r="A11523">
        <v>4230</v>
      </c>
      <c r="B11523">
        <v>60</v>
      </c>
      <c r="C11523" t="s">
        <v>946</v>
      </c>
      <c r="D11523" t="s">
        <v>992</v>
      </c>
      <c r="E11523" t="s">
        <v>243</v>
      </c>
      <c r="F11523" t="s">
        <v>948</v>
      </c>
      <c r="G11523">
        <v>6099999</v>
      </c>
      <c r="H11523">
        <v>403052</v>
      </c>
      <c r="I11523" t="s">
        <v>949</v>
      </c>
    </row>
    <row r="11524" spans="1:9" x14ac:dyDescent="0.25">
      <c r="A11524">
        <v>4240</v>
      </c>
      <c r="B11524">
        <v>60</v>
      </c>
      <c r="C11524" t="s">
        <v>946</v>
      </c>
      <c r="D11524" t="s">
        <v>992</v>
      </c>
      <c r="E11524" t="s">
        <v>243</v>
      </c>
      <c r="F11524" t="s">
        <v>948</v>
      </c>
      <c r="G11524">
        <v>6077777</v>
      </c>
      <c r="H11524">
        <v>500221</v>
      </c>
      <c r="I11524" t="s">
        <v>949</v>
      </c>
    </row>
    <row r="11525" spans="1:9" x14ac:dyDescent="0.25">
      <c r="A11525">
        <v>4141</v>
      </c>
      <c r="B11525">
        <v>60</v>
      </c>
      <c r="C11525" t="s">
        <v>946</v>
      </c>
      <c r="D11525" t="s">
        <v>992</v>
      </c>
      <c r="E11525" t="s">
        <v>247</v>
      </c>
      <c r="F11525" t="s">
        <v>948</v>
      </c>
      <c r="G11525">
        <v>6077777</v>
      </c>
      <c r="H11525">
        <v>501010</v>
      </c>
      <c r="I11525" t="s">
        <v>949</v>
      </c>
    </row>
    <row r="11526" spans="1:9" x14ac:dyDescent="0.25">
      <c r="A11526">
        <v>4220</v>
      </c>
      <c r="B11526">
        <v>60</v>
      </c>
      <c r="C11526" t="s">
        <v>946</v>
      </c>
      <c r="D11526" t="s">
        <v>992</v>
      </c>
      <c r="E11526" t="s">
        <v>247</v>
      </c>
      <c r="F11526" t="s">
        <v>948</v>
      </c>
      <c r="G11526">
        <v>6077777</v>
      </c>
      <c r="H11526">
        <v>500220</v>
      </c>
      <c r="I11526" t="s">
        <v>949</v>
      </c>
    </row>
    <row r="11527" spans="1:9" x14ac:dyDescent="0.25">
      <c r="A11527">
        <v>4230</v>
      </c>
      <c r="B11527">
        <v>60</v>
      </c>
      <c r="C11527" t="s">
        <v>946</v>
      </c>
      <c r="D11527" t="s">
        <v>992</v>
      </c>
      <c r="E11527" t="s">
        <v>247</v>
      </c>
      <c r="F11527" t="s">
        <v>948</v>
      </c>
      <c r="G11527">
        <v>6099999</v>
      </c>
      <c r="H11527">
        <v>403022</v>
      </c>
      <c r="I11527" t="s">
        <v>949</v>
      </c>
    </row>
    <row r="11528" spans="1:9" x14ac:dyDescent="0.25">
      <c r="A11528">
        <v>4240</v>
      </c>
      <c r="B11528">
        <v>60</v>
      </c>
      <c r="C11528" t="s">
        <v>946</v>
      </c>
      <c r="D11528" t="s">
        <v>992</v>
      </c>
      <c r="E11528" t="s">
        <v>247</v>
      </c>
      <c r="F11528" t="s">
        <v>948</v>
      </c>
      <c r="G11528">
        <v>6077777</v>
      </c>
      <c r="H11528">
        <v>500221</v>
      </c>
      <c r="I11528" t="s">
        <v>949</v>
      </c>
    </row>
    <row r="11529" spans="1:9" x14ac:dyDescent="0.25">
      <c r="A11529">
        <v>4141</v>
      </c>
      <c r="B11529">
        <v>60</v>
      </c>
      <c r="C11529" t="s">
        <v>946</v>
      </c>
      <c r="D11529" t="s">
        <v>992</v>
      </c>
      <c r="E11529" t="s">
        <v>251</v>
      </c>
      <c r="F11529" t="s">
        <v>948</v>
      </c>
      <c r="G11529">
        <v>6077777</v>
      </c>
      <c r="H11529">
        <v>501010</v>
      </c>
      <c r="I11529" t="s">
        <v>949</v>
      </c>
    </row>
    <row r="11530" spans="1:9" x14ac:dyDescent="0.25">
      <c r="A11530">
        <v>4220</v>
      </c>
      <c r="B11530">
        <v>60</v>
      </c>
      <c r="C11530" t="s">
        <v>946</v>
      </c>
      <c r="D11530" t="s">
        <v>992</v>
      </c>
      <c r="E11530" t="s">
        <v>251</v>
      </c>
      <c r="F11530" t="s">
        <v>948</v>
      </c>
      <c r="G11530">
        <v>6077777</v>
      </c>
      <c r="H11530">
        <v>500220</v>
      </c>
      <c r="I11530" t="s">
        <v>949</v>
      </c>
    </row>
    <row r="11531" spans="1:9" x14ac:dyDescent="0.25">
      <c r="A11531">
        <v>4230</v>
      </c>
      <c r="B11531">
        <v>60</v>
      </c>
      <c r="C11531" t="s">
        <v>946</v>
      </c>
      <c r="D11531" t="s">
        <v>992</v>
      </c>
      <c r="E11531" t="s">
        <v>251</v>
      </c>
      <c r="F11531" t="s">
        <v>948</v>
      </c>
      <c r="G11531">
        <v>6099999</v>
      </c>
      <c r="H11531">
        <v>403042</v>
      </c>
      <c r="I11531" t="s">
        <v>949</v>
      </c>
    </row>
    <row r="11532" spans="1:9" x14ac:dyDescent="0.25">
      <c r="A11532">
        <v>4240</v>
      </c>
      <c r="B11532">
        <v>60</v>
      </c>
      <c r="C11532" t="s">
        <v>946</v>
      </c>
      <c r="D11532" t="s">
        <v>992</v>
      </c>
      <c r="E11532" t="s">
        <v>251</v>
      </c>
      <c r="F11532" t="s">
        <v>948</v>
      </c>
      <c r="G11532">
        <v>6077777</v>
      </c>
      <c r="H11532">
        <v>500221</v>
      </c>
      <c r="I11532" t="s">
        <v>949</v>
      </c>
    </row>
    <row r="11533" spans="1:9" x14ac:dyDescent="0.25">
      <c r="A11533">
        <v>4141</v>
      </c>
      <c r="B11533">
        <v>60</v>
      </c>
      <c r="C11533" t="s">
        <v>946</v>
      </c>
      <c r="D11533" t="s">
        <v>992</v>
      </c>
      <c r="E11533" t="s">
        <v>969</v>
      </c>
      <c r="F11533" t="s">
        <v>948</v>
      </c>
      <c r="G11533">
        <v>6077777</v>
      </c>
      <c r="H11533">
        <v>501010</v>
      </c>
      <c r="I11533" t="s">
        <v>949</v>
      </c>
    </row>
    <row r="11534" spans="1:9" x14ac:dyDescent="0.25">
      <c r="A11534">
        <v>4220</v>
      </c>
      <c r="B11534">
        <v>60</v>
      </c>
      <c r="C11534" t="s">
        <v>946</v>
      </c>
      <c r="D11534" t="s">
        <v>992</v>
      </c>
      <c r="E11534" t="s">
        <v>969</v>
      </c>
      <c r="F11534" t="s">
        <v>948</v>
      </c>
      <c r="G11534">
        <v>6077777</v>
      </c>
      <c r="H11534">
        <v>500220</v>
      </c>
      <c r="I11534" t="s">
        <v>949</v>
      </c>
    </row>
    <row r="11535" spans="1:9" x14ac:dyDescent="0.25">
      <c r="A11535">
        <v>4230</v>
      </c>
      <c r="B11535">
        <v>60</v>
      </c>
      <c r="C11535" t="s">
        <v>946</v>
      </c>
      <c r="D11535" t="s">
        <v>992</v>
      </c>
      <c r="E11535" t="s">
        <v>969</v>
      </c>
      <c r="F11535" t="s">
        <v>948</v>
      </c>
      <c r="G11535">
        <v>6099999</v>
      </c>
      <c r="H11535">
        <v>403912</v>
      </c>
      <c r="I11535" t="s">
        <v>949</v>
      </c>
    </row>
    <row r="11536" spans="1:9" x14ac:dyDescent="0.25">
      <c r="A11536">
        <v>4240</v>
      </c>
      <c r="B11536">
        <v>60</v>
      </c>
      <c r="C11536" t="s">
        <v>946</v>
      </c>
      <c r="D11536" t="s">
        <v>992</v>
      </c>
      <c r="E11536" t="s">
        <v>969</v>
      </c>
      <c r="F11536" t="s">
        <v>948</v>
      </c>
      <c r="G11536">
        <v>6077777</v>
      </c>
      <c r="H11536">
        <v>500221</v>
      </c>
      <c r="I11536" t="s">
        <v>949</v>
      </c>
    </row>
    <row r="11537" spans="1:9" x14ac:dyDescent="0.25">
      <c r="A11537">
        <v>4141</v>
      </c>
      <c r="B11537">
        <v>60</v>
      </c>
      <c r="C11537" t="s">
        <v>946</v>
      </c>
      <c r="D11537" t="s">
        <v>992</v>
      </c>
      <c r="E11537" t="s">
        <v>255</v>
      </c>
      <c r="F11537" t="s">
        <v>948</v>
      </c>
      <c r="G11537">
        <v>6077777</v>
      </c>
      <c r="H11537">
        <v>501010</v>
      </c>
      <c r="I11537" t="s">
        <v>949</v>
      </c>
    </row>
    <row r="11538" spans="1:9" x14ac:dyDescent="0.25">
      <c r="A11538">
        <v>4220</v>
      </c>
      <c r="B11538">
        <v>60</v>
      </c>
      <c r="C11538" t="s">
        <v>946</v>
      </c>
      <c r="D11538" t="s">
        <v>992</v>
      </c>
      <c r="E11538" t="s">
        <v>255</v>
      </c>
      <c r="F11538" t="s">
        <v>948</v>
      </c>
      <c r="G11538">
        <v>6077777</v>
      </c>
      <c r="H11538">
        <v>500220</v>
      </c>
      <c r="I11538" t="s">
        <v>949</v>
      </c>
    </row>
    <row r="11539" spans="1:9" x14ac:dyDescent="0.25">
      <c r="A11539">
        <v>4230</v>
      </c>
      <c r="B11539">
        <v>60</v>
      </c>
      <c r="C11539" t="s">
        <v>946</v>
      </c>
      <c r="D11539" t="s">
        <v>992</v>
      </c>
      <c r="E11539" t="s">
        <v>255</v>
      </c>
      <c r="F11539" t="s">
        <v>948</v>
      </c>
      <c r="G11539">
        <v>6099999</v>
      </c>
      <c r="H11539">
        <v>403072</v>
      </c>
      <c r="I11539" t="s">
        <v>949</v>
      </c>
    </row>
    <row r="11540" spans="1:9" x14ac:dyDescent="0.25">
      <c r="A11540">
        <v>4240</v>
      </c>
      <c r="B11540">
        <v>60</v>
      </c>
      <c r="C11540" t="s">
        <v>946</v>
      </c>
      <c r="D11540" t="s">
        <v>992</v>
      </c>
      <c r="E11540" t="s">
        <v>255</v>
      </c>
      <c r="F11540" t="s">
        <v>948</v>
      </c>
      <c r="G11540">
        <v>6077777</v>
      </c>
      <c r="H11540">
        <v>500221</v>
      </c>
      <c r="I11540" t="s">
        <v>949</v>
      </c>
    </row>
    <row r="11541" spans="1:9" x14ac:dyDescent="0.25">
      <c r="A11541">
        <v>4141</v>
      </c>
      <c r="B11541">
        <v>60</v>
      </c>
      <c r="C11541" t="s">
        <v>946</v>
      </c>
      <c r="D11541" t="s">
        <v>992</v>
      </c>
      <c r="E11541" t="s">
        <v>971</v>
      </c>
      <c r="F11541" t="s">
        <v>948</v>
      </c>
      <c r="G11541">
        <v>6077777</v>
      </c>
      <c r="H11541">
        <v>501010</v>
      </c>
      <c r="I11541" t="s">
        <v>949</v>
      </c>
    </row>
    <row r="11542" spans="1:9" x14ac:dyDescent="0.25">
      <c r="A11542">
        <v>4220</v>
      </c>
      <c r="B11542">
        <v>60</v>
      </c>
      <c r="C11542" t="s">
        <v>946</v>
      </c>
      <c r="D11542" t="s">
        <v>992</v>
      </c>
      <c r="E11542" t="s">
        <v>971</v>
      </c>
      <c r="F11542" t="s">
        <v>948</v>
      </c>
      <c r="G11542">
        <v>6077777</v>
      </c>
      <c r="H11542">
        <v>500220</v>
      </c>
      <c r="I11542" t="s">
        <v>949</v>
      </c>
    </row>
    <row r="11543" spans="1:9" x14ac:dyDescent="0.25">
      <c r="A11543">
        <v>4230</v>
      </c>
      <c r="B11543">
        <v>60</v>
      </c>
      <c r="C11543" t="s">
        <v>946</v>
      </c>
      <c r="D11543" t="s">
        <v>992</v>
      </c>
      <c r="E11543" t="s">
        <v>971</v>
      </c>
      <c r="F11543" t="s">
        <v>948</v>
      </c>
      <c r="G11543">
        <v>6099999</v>
      </c>
      <c r="H11543">
        <v>403912</v>
      </c>
      <c r="I11543" t="s">
        <v>949</v>
      </c>
    </row>
    <row r="11544" spans="1:9" x14ac:dyDescent="0.25">
      <c r="A11544">
        <v>4240</v>
      </c>
      <c r="B11544">
        <v>60</v>
      </c>
      <c r="C11544" t="s">
        <v>946</v>
      </c>
      <c r="D11544" t="s">
        <v>992</v>
      </c>
      <c r="E11544" t="s">
        <v>971</v>
      </c>
      <c r="F11544" t="s">
        <v>948</v>
      </c>
      <c r="G11544">
        <v>6077777</v>
      </c>
      <c r="H11544">
        <v>500221</v>
      </c>
      <c r="I11544" t="s">
        <v>949</v>
      </c>
    </row>
    <row r="11545" spans="1:9" x14ac:dyDescent="0.25">
      <c r="A11545">
        <v>4230</v>
      </c>
      <c r="B11545">
        <v>60</v>
      </c>
      <c r="C11545" t="s">
        <v>946</v>
      </c>
      <c r="D11545" t="s">
        <v>992</v>
      </c>
      <c r="E11545" t="s">
        <v>259</v>
      </c>
      <c r="F11545" t="s">
        <v>948</v>
      </c>
      <c r="G11545">
        <v>6099999</v>
      </c>
      <c r="H11545">
        <v>409002</v>
      </c>
      <c r="I11545" t="s">
        <v>949</v>
      </c>
    </row>
    <row r="11546" spans="1:9" x14ac:dyDescent="0.25">
      <c r="A11546">
        <v>4141</v>
      </c>
      <c r="B11546">
        <v>60</v>
      </c>
      <c r="C11546" t="s">
        <v>946</v>
      </c>
      <c r="D11546" t="s">
        <v>992</v>
      </c>
      <c r="E11546" t="s">
        <v>263</v>
      </c>
      <c r="F11546" t="s">
        <v>948</v>
      </c>
      <c r="G11546">
        <v>6077777</v>
      </c>
      <c r="H11546">
        <v>501010</v>
      </c>
      <c r="I11546" t="s">
        <v>949</v>
      </c>
    </row>
    <row r="11547" spans="1:9" x14ac:dyDescent="0.25">
      <c r="A11547">
        <v>4220</v>
      </c>
      <c r="B11547">
        <v>60</v>
      </c>
      <c r="C11547" t="s">
        <v>946</v>
      </c>
      <c r="D11547" t="s">
        <v>992</v>
      </c>
      <c r="E11547" t="s">
        <v>263</v>
      </c>
      <c r="F11547" t="s">
        <v>948</v>
      </c>
      <c r="G11547">
        <v>6077777</v>
      </c>
      <c r="H11547">
        <v>500220</v>
      </c>
      <c r="I11547" t="s">
        <v>949</v>
      </c>
    </row>
    <row r="11548" spans="1:9" x14ac:dyDescent="0.25">
      <c r="A11548">
        <v>4230</v>
      </c>
      <c r="B11548">
        <v>60</v>
      </c>
      <c r="C11548" t="s">
        <v>946</v>
      </c>
      <c r="D11548" t="s">
        <v>992</v>
      </c>
      <c r="E11548" t="s">
        <v>263</v>
      </c>
      <c r="F11548" t="s">
        <v>948</v>
      </c>
      <c r="G11548">
        <v>6099999</v>
      </c>
      <c r="H11548">
        <v>403042</v>
      </c>
      <c r="I11548" t="s">
        <v>949</v>
      </c>
    </row>
    <row r="11549" spans="1:9" x14ac:dyDescent="0.25">
      <c r="A11549">
        <v>4240</v>
      </c>
      <c r="B11549">
        <v>60</v>
      </c>
      <c r="C11549" t="s">
        <v>946</v>
      </c>
      <c r="D11549" t="s">
        <v>992</v>
      </c>
      <c r="E11549" t="s">
        <v>263</v>
      </c>
      <c r="F11549" t="s">
        <v>948</v>
      </c>
      <c r="G11549">
        <v>6077777</v>
      </c>
      <c r="H11549">
        <v>500221</v>
      </c>
      <c r="I11549" t="s">
        <v>949</v>
      </c>
    </row>
    <row r="11550" spans="1:9" x14ac:dyDescent="0.25">
      <c r="A11550">
        <v>4141</v>
      </c>
      <c r="B11550">
        <v>60</v>
      </c>
      <c r="C11550" t="s">
        <v>946</v>
      </c>
      <c r="D11550" t="s">
        <v>992</v>
      </c>
      <c r="E11550" t="s">
        <v>100</v>
      </c>
      <c r="F11550" t="s">
        <v>948</v>
      </c>
      <c r="G11550">
        <v>6077777</v>
      </c>
      <c r="H11550">
        <v>500220</v>
      </c>
      <c r="I11550" t="s">
        <v>949</v>
      </c>
    </row>
    <row r="11551" spans="1:9" x14ac:dyDescent="0.25">
      <c r="A11551">
        <v>4220</v>
      </c>
      <c r="B11551">
        <v>60</v>
      </c>
      <c r="C11551" t="s">
        <v>946</v>
      </c>
      <c r="D11551" t="s">
        <v>992</v>
      </c>
      <c r="E11551" t="s">
        <v>100</v>
      </c>
      <c r="F11551" t="s">
        <v>948</v>
      </c>
      <c r="G11551">
        <v>6077777</v>
      </c>
      <c r="H11551">
        <v>500220</v>
      </c>
      <c r="I11551" t="s">
        <v>949</v>
      </c>
    </row>
    <row r="11552" spans="1:9" x14ac:dyDescent="0.25">
      <c r="A11552">
        <v>4230</v>
      </c>
      <c r="B11552">
        <v>60</v>
      </c>
      <c r="C11552" t="s">
        <v>946</v>
      </c>
      <c r="D11552" t="s">
        <v>992</v>
      </c>
      <c r="E11552" t="s">
        <v>100</v>
      </c>
      <c r="F11552" t="s">
        <v>948</v>
      </c>
      <c r="G11552">
        <v>6099999</v>
      </c>
      <c r="H11552">
        <v>401042</v>
      </c>
      <c r="I11552" t="s">
        <v>949</v>
      </c>
    </row>
    <row r="11553" spans="1:9" x14ac:dyDescent="0.25">
      <c r="A11553">
        <v>4240</v>
      </c>
      <c r="B11553">
        <v>60</v>
      </c>
      <c r="C11553" t="s">
        <v>946</v>
      </c>
      <c r="D11553" t="s">
        <v>992</v>
      </c>
      <c r="E11553" t="s">
        <v>100</v>
      </c>
      <c r="F11553" t="s">
        <v>948</v>
      </c>
      <c r="G11553">
        <v>6077777</v>
      </c>
      <c r="H11553">
        <v>500221</v>
      </c>
      <c r="I11553" t="s">
        <v>949</v>
      </c>
    </row>
    <row r="11554" spans="1:9" x14ac:dyDescent="0.25">
      <c r="A11554">
        <v>4141</v>
      </c>
      <c r="B11554">
        <v>60</v>
      </c>
      <c r="C11554" t="s">
        <v>946</v>
      </c>
      <c r="D11554" t="s">
        <v>992</v>
      </c>
      <c r="E11554" t="s">
        <v>270</v>
      </c>
      <c r="F11554" t="s">
        <v>948</v>
      </c>
      <c r="G11554">
        <v>6077777</v>
      </c>
      <c r="H11554">
        <v>501010</v>
      </c>
      <c r="I11554" t="s">
        <v>949</v>
      </c>
    </row>
    <row r="11555" spans="1:9" x14ac:dyDescent="0.25">
      <c r="A11555">
        <v>4220</v>
      </c>
      <c r="B11555">
        <v>60</v>
      </c>
      <c r="C11555" t="s">
        <v>946</v>
      </c>
      <c r="D11555" t="s">
        <v>992</v>
      </c>
      <c r="E11555" t="s">
        <v>270</v>
      </c>
      <c r="F11555" t="s">
        <v>948</v>
      </c>
      <c r="G11555">
        <v>6077777</v>
      </c>
      <c r="H11555">
        <v>500220</v>
      </c>
      <c r="I11555" t="s">
        <v>949</v>
      </c>
    </row>
    <row r="11556" spans="1:9" x14ac:dyDescent="0.25">
      <c r="A11556">
        <v>4230</v>
      </c>
      <c r="B11556">
        <v>60</v>
      </c>
      <c r="C11556" t="s">
        <v>946</v>
      </c>
      <c r="D11556" t="s">
        <v>992</v>
      </c>
      <c r="E11556" t="s">
        <v>270</v>
      </c>
      <c r="F11556" t="s">
        <v>948</v>
      </c>
      <c r="G11556">
        <v>6099999</v>
      </c>
      <c r="H11556">
        <v>403062</v>
      </c>
      <c r="I11556" t="s">
        <v>949</v>
      </c>
    </row>
    <row r="11557" spans="1:9" x14ac:dyDescent="0.25">
      <c r="A11557">
        <v>4240</v>
      </c>
      <c r="B11557">
        <v>60</v>
      </c>
      <c r="C11557" t="s">
        <v>946</v>
      </c>
      <c r="D11557" t="s">
        <v>992</v>
      </c>
      <c r="E11557" t="s">
        <v>270</v>
      </c>
      <c r="F11557" t="s">
        <v>948</v>
      </c>
      <c r="G11557">
        <v>6077777</v>
      </c>
      <c r="H11557">
        <v>500221</v>
      </c>
      <c r="I11557" t="s">
        <v>949</v>
      </c>
    </row>
    <row r="11558" spans="1:9" x14ac:dyDescent="0.25">
      <c r="A11558">
        <v>4141</v>
      </c>
      <c r="B11558">
        <v>60</v>
      </c>
      <c r="C11558" t="s">
        <v>946</v>
      </c>
      <c r="D11558" t="s">
        <v>992</v>
      </c>
      <c r="E11558" t="s">
        <v>274</v>
      </c>
      <c r="F11558" t="s">
        <v>948</v>
      </c>
      <c r="G11558">
        <v>6077777</v>
      </c>
      <c r="H11558">
        <v>501010</v>
      </c>
      <c r="I11558" t="s">
        <v>949</v>
      </c>
    </row>
    <row r="11559" spans="1:9" x14ac:dyDescent="0.25">
      <c r="A11559">
        <v>4220</v>
      </c>
      <c r="B11559">
        <v>60</v>
      </c>
      <c r="C11559" t="s">
        <v>946</v>
      </c>
      <c r="D11559" t="s">
        <v>992</v>
      </c>
      <c r="E11559" t="s">
        <v>274</v>
      </c>
      <c r="F11559" t="s">
        <v>948</v>
      </c>
      <c r="G11559">
        <v>6077777</v>
      </c>
      <c r="H11559">
        <v>500220</v>
      </c>
      <c r="I11559" t="s">
        <v>949</v>
      </c>
    </row>
    <row r="11560" spans="1:9" x14ac:dyDescent="0.25">
      <c r="A11560">
        <v>4230</v>
      </c>
      <c r="B11560">
        <v>60</v>
      </c>
      <c r="C11560" t="s">
        <v>946</v>
      </c>
      <c r="D11560" t="s">
        <v>992</v>
      </c>
      <c r="E11560" t="s">
        <v>274</v>
      </c>
      <c r="F11560" t="s">
        <v>948</v>
      </c>
      <c r="G11560">
        <v>6099999</v>
      </c>
      <c r="H11560">
        <v>403042</v>
      </c>
      <c r="I11560" t="s">
        <v>949</v>
      </c>
    </row>
    <row r="11561" spans="1:9" x14ac:dyDescent="0.25">
      <c r="A11561">
        <v>4240</v>
      </c>
      <c r="B11561">
        <v>60</v>
      </c>
      <c r="C11561" t="s">
        <v>946</v>
      </c>
      <c r="D11561" t="s">
        <v>992</v>
      </c>
      <c r="E11561" t="s">
        <v>274</v>
      </c>
      <c r="F11561" t="s">
        <v>948</v>
      </c>
      <c r="G11561">
        <v>6077777</v>
      </c>
      <c r="H11561">
        <v>500221</v>
      </c>
      <c r="I11561" t="s">
        <v>949</v>
      </c>
    </row>
    <row r="11562" spans="1:9" x14ac:dyDescent="0.25">
      <c r="A11562">
        <v>4141</v>
      </c>
      <c r="B11562">
        <v>60</v>
      </c>
      <c r="C11562" t="s">
        <v>946</v>
      </c>
      <c r="D11562" t="s">
        <v>992</v>
      </c>
      <c r="E11562" t="s">
        <v>974</v>
      </c>
      <c r="F11562" t="s">
        <v>948</v>
      </c>
      <c r="G11562">
        <v>6077777</v>
      </c>
      <c r="H11562">
        <v>501010</v>
      </c>
      <c r="I11562" t="s">
        <v>949</v>
      </c>
    </row>
    <row r="11563" spans="1:9" x14ac:dyDescent="0.25">
      <c r="A11563">
        <v>4220</v>
      </c>
      <c r="B11563">
        <v>60</v>
      </c>
      <c r="C11563" t="s">
        <v>946</v>
      </c>
      <c r="D11563" t="s">
        <v>992</v>
      </c>
      <c r="E11563" t="s">
        <v>974</v>
      </c>
      <c r="F11563" t="s">
        <v>948</v>
      </c>
      <c r="G11563">
        <v>6077777</v>
      </c>
      <c r="H11563">
        <v>500220</v>
      </c>
      <c r="I11563" t="s">
        <v>949</v>
      </c>
    </row>
    <row r="11564" spans="1:9" x14ac:dyDescent="0.25">
      <c r="A11564">
        <v>4230</v>
      </c>
      <c r="B11564">
        <v>60</v>
      </c>
      <c r="C11564" t="s">
        <v>946</v>
      </c>
      <c r="D11564" t="s">
        <v>992</v>
      </c>
      <c r="E11564" t="s">
        <v>974</v>
      </c>
      <c r="F11564" t="s">
        <v>948</v>
      </c>
      <c r="G11564">
        <v>6099999</v>
      </c>
      <c r="H11564">
        <v>403912</v>
      </c>
      <c r="I11564" t="s">
        <v>949</v>
      </c>
    </row>
    <row r="11565" spans="1:9" x14ac:dyDescent="0.25">
      <c r="A11565">
        <v>4240</v>
      </c>
      <c r="B11565">
        <v>60</v>
      </c>
      <c r="C11565" t="s">
        <v>946</v>
      </c>
      <c r="D11565" t="s">
        <v>992</v>
      </c>
      <c r="E11565" t="s">
        <v>974</v>
      </c>
      <c r="F11565" t="s">
        <v>948</v>
      </c>
      <c r="G11565">
        <v>6077777</v>
      </c>
      <c r="H11565">
        <v>500221</v>
      </c>
      <c r="I11565" t="s">
        <v>949</v>
      </c>
    </row>
    <row r="11566" spans="1:9" x14ac:dyDescent="0.25">
      <c r="A11566">
        <v>4141</v>
      </c>
      <c r="B11566">
        <v>60</v>
      </c>
      <c r="C11566" t="s">
        <v>946</v>
      </c>
      <c r="D11566" t="s">
        <v>992</v>
      </c>
      <c r="E11566" t="s">
        <v>104</v>
      </c>
      <c r="F11566" t="s">
        <v>948</v>
      </c>
      <c r="G11566">
        <v>6077777</v>
      </c>
      <c r="H11566">
        <v>500220</v>
      </c>
      <c r="I11566" t="s">
        <v>949</v>
      </c>
    </row>
    <row r="11567" spans="1:9" x14ac:dyDescent="0.25">
      <c r="A11567">
        <v>4220</v>
      </c>
      <c r="B11567">
        <v>60</v>
      </c>
      <c r="C11567" t="s">
        <v>946</v>
      </c>
      <c r="D11567" t="s">
        <v>992</v>
      </c>
      <c r="E11567" t="s">
        <v>104</v>
      </c>
      <c r="F11567" t="s">
        <v>948</v>
      </c>
      <c r="G11567">
        <v>6077777</v>
      </c>
      <c r="H11567">
        <v>500220</v>
      </c>
      <c r="I11567" t="s">
        <v>949</v>
      </c>
    </row>
    <row r="11568" spans="1:9" x14ac:dyDescent="0.25">
      <c r="A11568">
        <v>4230</v>
      </c>
      <c r="B11568">
        <v>60</v>
      </c>
      <c r="C11568" t="s">
        <v>946</v>
      </c>
      <c r="D11568" t="s">
        <v>992</v>
      </c>
      <c r="E11568" t="s">
        <v>104</v>
      </c>
      <c r="F11568" t="s">
        <v>948</v>
      </c>
      <c r="G11568">
        <v>6099999</v>
      </c>
      <c r="H11568">
        <v>403042</v>
      </c>
      <c r="I11568" t="s">
        <v>949</v>
      </c>
    </row>
    <row r="11569" spans="1:9" x14ac:dyDescent="0.25">
      <c r="A11569">
        <v>4240</v>
      </c>
      <c r="B11569">
        <v>60</v>
      </c>
      <c r="C11569" t="s">
        <v>946</v>
      </c>
      <c r="D11569" t="s">
        <v>992</v>
      </c>
      <c r="E11569" t="s">
        <v>104</v>
      </c>
      <c r="F11569" t="s">
        <v>948</v>
      </c>
      <c r="G11569">
        <v>6077777</v>
      </c>
      <c r="H11569">
        <v>500221</v>
      </c>
      <c r="I11569" t="s">
        <v>949</v>
      </c>
    </row>
    <row r="11570" spans="1:9" x14ac:dyDescent="0.25">
      <c r="A11570">
        <v>4141</v>
      </c>
      <c r="B11570">
        <v>60</v>
      </c>
      <c r="C11570" t="s">
        <v>946</v>
      </c>
      <c r="D11570" t="s">
        <v>992</v>
      </c>
      <c r="E11570" t="s">
        <v>278</v>
      </c>
      <c r="F11570" t="s">
        <v>948</v>
      </c>
      <c r="G11570">
        <v>6077777</v>
      </c>
      <c r="H11570">
        <v>501010</v>
      </c>
      <c r="I11570" t="s">
        <v>949</v>
      </c>
    </row>
    <row r="11571" spans="1:9" x14ac:dyDescent="0.25">
      <c r="A11571">
        <v>4220</v>
      </c>
      <c r="B11571">
        <v>60</v>
      </c>
      <c r="C11571" t="s">
        <v>946</v>
      </c>
      <c r="D11571" t="s">
        <v>992</v>
      </c>
      <c r="E11571" t="s">
        <v>278</v>
      </c>
      <c r="F11571" t="s">
        <v>948</v>
      </c>
      <c r="G11571">
        <v>6077777</v>
      </c>
      <c r="H11571">
        <v>500220</v>
      </c>
      <c r="I11571" t="s">
        <v>949</v>
      </c>
    </row>
    <row r="11572" spans="1:9" x14ac:dyDescent="0.25">
      <c r="A11572">
        <v>4230</v>
      </c>
      <c r="B11572">
        <v>60</v>
      </c>
      <c r="C11572" t="s">
        <v>946</v>
      </c>
      <c r="D11572" t="s">
        <v>992</v>
      </c>
      <c r="E11572" t="s">
        <v>278</v>
      </c>
      <c r="F11572" t="s">
        <v>948</v>
      </c>
      <c r="G11572">
        <v>6099999</v>
      </c>
      <c r="H11572">
        <v>403052</v>
      </c>
      <c r="I11572" t="s">
        <v>949</v>
      </c>
    </row>
    <row r="11573" spans="1:9" x14ac:dyDescent="0.25">
      <c r="A11573">
        <v>4240</v>
      </c>
      <c r="B11573">
        <v>60</v>
      </c>
      <c r="C11573" t="s">
        <v>946</v>
      </c>
      <c r="D11573" t="s">
        <v>992</v>
      </c>
      <c r="E11573" t="s">
        <v>278</v>
      </c>
      <c r="F11573" t="s">
        <v>948</v>
      </c>
      <c r="G11573">
        <v>6077777</v>
      </c>
      <c r="H11573">
        <v>500221</v>
      </c>
      <c r="I11573" t="s">
        <v>949</v>
      </c>
    </row>
    <row r="11574" spans="1:9" x14ac:dyDescent="0.25">
      <c r="A11574">
        <v>4141</v>
      </c>
      <c r="B11574">
        <v>60</v>
      </c>
      <c r="C11574" t="s">
        <v>946</v>
      </c>
      <c r="D11574" t="s">
        <v>992</v>
      </c>
      <c r="E11574" t="s">
        <v>282</v>
      </c>
      <c r="F11574" t="s">
        <v>948</v>
      </c>
      <c r="G11574">
        <v>6077777</v>
      </c>
      <c r="H11574">
        <v>501010</v>
      </c>
      <c r="I11574" t="s">
        <v>949</v>
      </c>
    </row>
    <row r="11575" spans="1:9" x14ac:dyDescent="0.25">
      <c r="A11575">
        <v>4220</v>
      </c>
      <c r="B11575">
        <v>60</v>
      </c>
      <c r="C11575" t="s">
        <v>946</v>
      </c>
      <c r="D11575" t="s">
        <v>992</v>
      </c>
      <c r="E11575" t="s">
        <v>282</v>
      </c>
      <c r="F11575" t="s">
        <v>948</v>
      </c>
      <c r="G11575">
        <v>6077777</v>
      </c>
      <c r="H11575">
        <v>500220</v>
      </c>
      <c r="I11575" t="s">
        <v>949</v>
      </c>
    </row>
    <row r="11576" spans="1:9" x14ac:dyDescent="0.25">
      <c r="A11576">
        <v>4240</v>
      </c>
      <c r="B11576">
        <v>60</v>
      </c>
      <c r="C11576" t="s">
        <v>946</v>
      </c>
      <c r="D11576" t="s">
        <v>992</v>
      </c>
      <c r="E11576" t="s">
        <v>282</v>
      </c>
      <c r="F11576" t="s">
        <v>948</v>
      </c>
      <c r="G11576">
        <v>6077777</v>
      </c>
      <c r="H11576">
        <v>500221</v>
      </c>
      <c r="I11576" t="s">
        <v>949</v>
      </c>
    </row>
    <row r="11577" spans="1:9" x14ac:dyDescent="0.25">
      <c r="A11577">
        <v>4141</v>
      </c>
      <c r="B11577">
        <v>60</v>
      </c>
      <c r="C11577" t="s">
        <v>946</v>
      </c>
      <c r="D11577" t="s">
        <v>992</v>
      </c>
      <c r="E11577" t="s">
        <v>286</v>
      </c>
      <c r="F11577" t="s">
        <v>948</v>
      </c>
      <c r="G11577">
        <v>6077777</v>
      </c>
      <c r="H11577">
        <v>501010</v>
      </c>
      <c r="I11577" t="s">
        <v>949</v>
      </c>
    </row>
    <row r="11578" spans="1:9" x14ac:dyDescent="0.25">
      <c r="A11578">
        <v>4220</v>
      </c>
      <c r="B11578">
        <v>60</v>
      </c>
      <c r="C11578" t="s">
        <v>946</v>
      </c>
      <c r="D11578" t="s">
        <v>992</v>
      </c>
      <c r="E11578" t="s">
        <v>286</v>
      </c>
      <c r="F11578" t="s">
        <v>948</v>
      </c>
      <c r="G11578">
        <v>6077777</v>
      </c>
      <c r="H11578">
        <v>500220</v>
      </c>
      <c r="I11578" t="s">
        <v>949</v>
      </c>
    </row>
    <row r="11579" spans="1:9" x14ac:dyDescent="0.25">
      <c r="A11579">
        <v>4230</v>
      </c>
      <c r="B11579">
        <v>60</v>
      </c>
      <c r="C11579" t="s">
        <v>946</v>
      </c>
      <c r="D11579" t="s">
        <v>992</v>
      </c>
      <c r="E11579" t="s">
        <v>286</v>
      </c>
      <c r="F11579" t="s">
        <v>948</v>
      </c>
      <c r="G11579">
        <v>6099999</v>
      </c>
      <c r="H11579">
        <v>403032</v>
      </c>
      <c r="I11579" t="s">
        <v>949</v>
      </c>
    </row>
    <row r="11580" spans="1:9" x14ac:dyDescent="0.25">
      <c r="A11580">
        <v>4240</v>
      </c>
      <c r="B11580">
        <v>60</v>
      </c>
      <c r="C11580" t="s">
        <v>946</v>
      </c>
      <c r="D11580" t="s">
        <v>992</v>
      </c>
      <c r="E11580" t="s">
        <v>286</v>
      </c>
      <c r="F11580" t="s">
        <v>948</v>
      </c>
      <c r="G11580">
        <v>6077777</v>
      </c>
      <c r="H11580">
        <v>500221</v>
      </c>
      <c r="I11580" t="s">
        <v>949</v>
      </c>
    </row>
    <row r="11581" spans="1:9" x14ac:dyDescent="0.25">
      <c r="A11581">
        <v>4141</v>
      </c>
      <c r="B11581">
        <v>60</v>
      </c>
      <c r="C11581" t="s">
        <v>946</v>
      </c>
      <c r="D11581" t="s">
        <v>992</v>
      </c>
      <c r="E11581" t="s">
        <v>976</v>
      </c>
      <c r="F11581" t="s">
        <v>948</v>
      </c>
      <c r="G11581">
        <v>6077777</v>
      </c>
      <c r="H11581">
        <v>501010</v>
      </c>
      <c r="I11581" t="s">
        <v>949</v>
      </c>
    </row>
    <row r="11582" spans="1:9" x14ac:dyDescent="0.25">
      <c r="A11582">
        <v>4220</v>
      </c>
      <c r="B11582">
        <v>60</v>
      </c>
      <c r="C11582" t="s">
        <v>946</v>
      </c>
      <c r="D11582" t="s">
        <v>992</v>
      </c>
      <c r="E11582" t="s">
        <v>976</v>
      </c>
      <c r="F11582" t="s">
        <v>948</v>
      </c>
      <c r="G11582">
        <v>6077777</v>
      </c>
      <c r="H11582">
        <v>500220</v>
      </c>
      <c r="I11582" t="s">
        <v>949</v>
      </c>
    </row>
    <row r="11583" spans="1:9" x14ac:dyDescent="0.25">
      <c r="A11583">
        <v>4230</v>
      </c>
      <c r="B11583">
        <v>60</v>
      </c>
      <c r="C11583" t="s">
        <v>946</v>
      </c>
      <c r="D11583" t="s">
        <v>992</v>
      </c>
      <c r="E11583" t="s">
        <v>976</v>
      </c>
      <c r="F11583" t="s">
        <v>948</v>
      </c>
      <c r="G11583">
        <v>6099999</v>
      </c>
      <c r="H11583">
        <v>403912</v>
      </c>
      <c r="I11583" t="s">
        <v>949</v>
      </c>
    </row>
    <row r="11584" spans="1:9" x14ac:dyDescent="0.25">
      <c r="A11584">
        <v>4240</v>
      </c>
      <c r="B11584">
        <v>60</v>
      </c>
      <c r="C11584" t="s">
        <v>946</v>
      </c>
      <c r="D11584" t="s">
        <v>992</v>
      </c>
      <c r="E11584" t="s">
        <v>976</v>
      </c>
      <c r="F11584" t="s">
        <v>948</v>
      </c>
      <c r="G11584">
        <v>6077777</v>
      </c>
      <c r="H11584">
        <v>500221</v>
      </c>
      <c r="I11584" t="s">
        <v>949</v>
      </c>
    </row>
    <row r="11585" spans="1:9" x14ac:dyDescent="0.25">
      <c r="A11585">
        <v>4141</v>
      </c>
      <c r="B11585">
        <v>60</v>
      </c>
      <c r="C11585" t="s">
        <v>946</v>
      </c>
      <c r="D11585" t="s">
        <v>992</v>
      </c>
      <c r="E11585" t="s">
        <v>290</v>
      </c>
      <c r="F11585" t="s">
        <v>948</v>
      </c>
      <c r="G11585">
        <v>6077777</v>
      </c>
      <c r="H11585">
        <v>501010</v>
      </c>
      <c r="I11585" t="s">
        <v>949</v>
      </c>
    </row>
    <row r="11586" spans="1:9" x14ac:dyDescent="0.25">
      <c r="A11586">
        <v>4220</v>
      </c>
      <c r="B11586">
        <v>60</v>
      </c>
      <c r="C11586" t="s">
        <v>946</v>
      </c>
      <c r="D11586" t="s">
        <v>992</v>
      </c>
      <c r="E11586" t="s">
        <v>290</v>
      </c>
      <c r="F11586" t="s">
        <v>948</v>
      </c>
      <c r="G11586">
        <v>6077777</v>
      </c>
      <c r="H11586">
        <v>500220</v>
      </c>
      <c r="I11586" t="s">
        <v>949</v>
      </c>
    </row>
    <row r="11587" spans="1:9" x14ac:dyDescent="0.25">
      <c r="A11587">
        <v>4230</v>
      </c>
      <c r="B11587">
        <v>60</v>
      </c>
      <c r="C11587" t="s">
        <v>946</v>
      </c>
      <c r="D11587" t="s">
        <v>992</v>
      </c>
      <c r="E11587" t="s">
        <v>290</v>
      </c>
      <c r="F11587" t="s">
        <v>948</v>
      </c>
      <c r="G11587">
        <v>6099999</v>
      </c>
      <c r="H11587">
        <v>403042</v>
      </c>
      <c r="I11587" t="s">
        <v>949</v>
      </c>
    </row>
    <row r="11588" spans="1:9" x14ac:dyDescent="0.25">
      <c r="A11588">
        <v>4240</v>
      </c>
      <c r="B11588">
        <v>60</v>
      </c>
      <c r="C11588" t="s">
        <v>946</v>
      </c>
      <c r="D11588" t="s">
        <v>992</v>
      </c>
      <c r="E11588" t="s">
        <v>290</v>
      </c>
      <c r="F11588" t="s">
        <v>948</v>
      </c>
      <c r="G11588">
        <v>6077777</v>
      </c>
      <c r="H11588">
        <v>500221</v>
      </c>
      <c r="I11588" t="s">
        <v>949</v>
      </c>
    </row>
    <row r="11589" spans="1:9" x14ac:dyDescent="0.25">
      <c r="A11589">
        <v>4141</v>
      </c>
      <c r="B11589">
        <v>60</v>
      </c>
      <c r="C11589" t="s">
        <v>946</v>
      </c>
      <c r="D11589" t="s">
        <v>992</v>
      </c>
      <c r="E11589" t="s">
        <v>294</v>
      </c>
      <c r="F11589" t="s">
        <v>948</v>
      </c>
      <c r="G11589">
        <v>6077777</v>
      </c>
      <c r="H11589">
        <v>501010</v>
      </c>
      <c r="I11589" t="s">
        <v>949</v>
      </c>
    </row>
    <row r="11590" spans="1:9" x14ac:dyDescent="0.25">
      <c r="A11590">
        <v>4220</v>
      </c>
      <c r="B11590">
        <v>60</v>
      </c>
      <c r="C11590" t="s">
        <v>946</v>
      </c>
      <c r="D11590" t="s">
        <v>992</v>
      </c>
      <c r="E11590" t="s">
        <v>294</v>
      </c>
      <c r="F11590" t="s">
        <v>948</v>
      </c>
      <c r="G11590">
        <v>6077777</v>
      </c>
      <c r="H11590">
        <v>500220</v>
      </c>
      <c r="I11590" t="s">
        <v>949</v>
      </c>
    </row>
    <row r="11591" spans="1:9" x14ac:dyDescent="0.25">
      <c r="A11591">
        <v>4230</v>
      </c>
      <c r="B11591">
        <v>60</v>
      </c>
      <c r="C11591" t="s">
        <v>946</v>
      </c>
      <c r="D11591" t="s">
        <v>992</v>
      </c>
      <c r="E11591" t="s">
        <v>294</v>
      </c>
      <c r="F11591" t="s">
        <v>948</v>
      </c>
      <c r="G11591">
        <v>6099999</v>
      </c>
      <c r="H11591">
        <v>403042</v>
      </c>
      <c r="I11591" t="s">
        <v>949</v>
      </c>
    </row>
    <row r="11592" spans="1:9" x14ac:dyDescent="0.25">
      <c r="A11592">
        <v>4240</v>
      </c>
      <c r="B11592">
        <v>60</v>
      </c>
      <c r="C11592" t="s">
        <v>946</v>
      </c>
      <c r="D11592" t="s">
        <v>992</v>
      </c>
      <c r="E11592" t="s">
        <v>294</v>
      </c>
      <c r="F11592" t="s">
        <v>948</v>
      </c>
      <c r="G11592">
        <v>6077777</v>
      </c>
      <c r="H11592">
        <v>500221</v>
      </c>
      <c r="I11592" t="s">
        <v>949</v>
      </c>
    </row>
    <row r="11593" spans="1:9" x14ac:dyDescent="0.25">
      <c r="A11593">
        <v>4230</v>
      </c>
      <c r="B11593">
        <v>60</v>
      </c>
      <c r="C11593" t="s">
        <v>946</v>
      </c>
      <c r="D11593" t="s">
        <v>992</v>
      </c>
      <c r="E11593" t="s">
        <v>298</v>
      </c>
      <c r="F11593" t="s">
        <v>948</v>
      </c>
      <c r="G11593">
        <v>6099999</v>
      </c>
      <c r="H11593">
        <v>403082</v>
      </c>
      <c r="I11593" t="s">
        <v>949</v>
      </c>
    </row>
    <row r="11594" spans="1:9" x14ac:dyDescent="0.25">
      <c r="A11594">
        <v>4141</v>
      </c>
      <c r="B11594">
        <v>60</v>
      </c>
      <c r="C11594" t="s">
        <v>946</v>
      </c>
      <c r="D11594" t="s">
        <v>992</v>
      </c>
      <c r="E11594" t="s">
        <v>980</v>
      </c>
      <c r="F11594" t="s">
        <v>948</v>
      </c>
      <c r="G11594">
        <v>6077777</v>
      </c>
      <c r="H11594">
        <v>501010</v>
      </c>
      <c r="I11594" t="s">
        <v>949</v>
      </c>
    </row>
    <row r="11595" spans="1:9" x14ac:dyDescent="0.25">
      <c r="A11595">
        <v>4220</v>
      </c>
      <c r="B11595">
        <v>60</v>
      </c>
      <c r="C11595" t="s">
        <v>946</v>
      </c>
      <c r="D11595" t="s">
        <v>992</v>
      </c>
      <c r="E11595" t="s">
        <v>980</v>
      </c>
      <c r="F11595" t="s">
        <v>948</v>
      </c>
      <c r="G11595">
        <v>6077777</v>
      </c>
      <c r="H11595">
        <v>500220</v>
      </c>
      <c r="I11595" t="s">
        <v>949</v>
      </c>
    </row>
    <row r="11596" spans="1:9" x14ac:dyDescent="0.25">
      <c r="A11596">
        <v>4230</v>
      </c>
      <c r="B11596">
        <v>60</v>
      </c>
      <c r="C11596" t="s">
        <v>946</v>
      </c>
      <c r="D11596" t="s">
        <v>992</v>
      </c>
      <c r="E11596" t="s">
        <v>980</v>
      </c>
      <c r="F11596" t="s">
        <v>948</v>
      </c>
      <c r="G11596">
        <v>6099999</v>
      </c>
      <c r="H11596">
        <v>403912</v>
      </c>
      <c r="I11596" t="s">
        <v>949</v>
      </c>
    </row>
    <row r="11597" spans="1:9" x14ac:dyDescent="0.25">
      <c r="A11597">
        <v>4240</v>
      </c>
      <c r="B11597">
        <v>60</v>
      </c>
      <c r="C11597" t="s">
        <v>946</v>
      </c>
      <c r="D11597" t="s">
        <v>992</v>
      </c>
      <c r="E11597" t="s">
        <v>980</v>
      </c>
      <c r="F11597" t="s">
        <v>948</v>
      </c>
      <c r="G11597">
        <v>6077777</v>
      </c>
      <c r="H11597">
        <v>500221</v>
      </c>
      <c r="I11597" t="s">
        <v>949</v>
      </c>
    </row>
    <row r="11598" spans="1:9" x14ac:dyDescent="0.25">
      <c r="A11598">
        <v>4141</v>
      </c>
      <c r="B11598">
        <v>60</v>
      </c>
      <c r="C11598" t="s">
        <v>946</v>
      </c>
      <c r="D11598" t="s">
        <v>992</v>
      </c>
      <c r="E11598" t="s">
        <v>302</v>
      </c>
      <c r="F11598" t="s">
        <v>948</v>
      </c>
      <c r="G11598">
        <v>6077777</v>
      </c>
      <c r="H11598">
        <v>501010</v>
      </c>
      <c r="I11598" t="s">
        <v>949</v>
      </c>
    </row>
    <row r="11599" spans="1:9" x14ac:dyDescent="0.25">
      <c r="A11599">
        <v>4220</v>
      </c>
      <c r="B11599">
        <v>60</v>
      </c>
      <c r="C11599" t="s">
        <v>946</v>
      </c>
      <c r="D11599" t="s">
        <v>992</v>
      </c>
      <c r="E11599" t="s">
        <v>302</v>
      </c>
      <c r="F11599" t="s">
        <v>948</v>
      </c>
      <c r="G11599">
        <v>6077777</v>
      </c>
      <c r="H11599">
        <v>500220</v>
      </c>
      <c r="I11599" t="s">
        <v>949</v>
      </c>
    </row>
    <row r="11600" spans="1:9" x14ac:dyDescent="0.25">
      <c r="A11600">
        <v>4230</v>
      </c>
      <c r="B11600">
        <v>60</v>
      </c>
      <c r="C11600" t="s">
        <v>946</v>
      </c>
      <c r="D11600" t="s">
        <v>992</v>
      </c>
      <c r="E11600" t="s">
        <v>302</v>
      </c>
      <c r="F11600" t="s">
        <v>948</v>
      </c>
      <c r="G11600">
        <v>6099999</v>
      </c>
      <c r="H11600">
        <v>401902</v>
      </c>
      <c r="I11600" t="s">
        <v>949</v>
      </c>
    </row>
    <row r="11601" spans="1:9" x14ac:dyDescent="0.25">
      <c r="A11601">
        <v>4240</v>
      </c>
      <c r="B11601">
        <v>60</v>
      </c>
      <c r="C11601" t="s">
        <v>946</v>
      </c>
      <c r="D11601" t="s">
        <v>992</v>
      </c>
      <c r="E11601" t="s">
        <v>302</v>
      </c>
      <c r="F11601" t="s">
        <v>948</v>
      </c>
      <c r="G11601">
        <v>6077777</v>
      </c>
      <c r="H11601">
        <v>500221</v>
      </c>
      <c r="I11601" t="s">
        <v>949</v>
      </c>
    </row>
    <row r="11602" spans="1:9" x14ac:dyDescent="0.25">
      <c r="A11602">
        <v>4141</v>
      </c>
      <c r="B11602">
        <v>60</v>
      </c>
      <c r="C11602" t="s">
        <v>946</v>
      </c>
      <c r="D11602" t="s">
        <v>992</v>
      </c>
      <c r="E11602" t="s">
        <v>306</v>
      </c>
      <c r="F11602" t="s">
        <v>948</v>
      </c>
      <c r="G11602">
        <v>6077777</v>
      </c>
      <c r="H11602">
        <v>501010</v>
      </c>
      <c r="I11602" t="s">
        <v>949</v>
      </c>
    </row>
    <row r="11603" spans="1:9" x14ac:dyDescent="0.25">
      <c r="A11603">
        <v>4220</v>
      </c>
      <c r="B11603">
        <v>60</v>
      </c>
      <c r="C11603" t="s">
        <v>946</v>
      </c>
      <c r="D11603" t="s">
        <v>992</v>
      </c>
      <c r="E11603" t="s">
        <v>306</v>
      </c>
      <c r="F11603" t="s">
        <v>948</v>
      </c>
      <c r="G11603">
        <v>6077777</v>
      </c>
      <c r="H11603">
        <v>500220</v>
      </c>
      <c r="I11603" t="s">
        <v>949</v>
      </c>
    </row>
    <row r="11604" spans="1:9" x14ac:dyDescent="0.25">
      <c r="A11604">
        <v>4230</v>
      </c>
      <c r="B11604">
        <v>60</v>
      </c>
      <c r="C11604" t="s">
        <v>946</v>
      </c>
      <c r="D11604" t="s">
        <v>992</v>
      </c>
      <c r="E11604" t="s">
        <v>306</v>
      </c>
      <c r="F11604" t="s">
        <v>948</v>
      </c>
      <c r="G11604">
        <v>6099999</v>
      </c>
      <c r="H11604">
        <v>401042</v>
      </c>
      <c r="I11604" t="s">
        <v>949</v>
      </c>
    </row>
    <row r="11605" spans="1:9" x14ac:dyDescent="0.25">
      <c r="A11605">
        <v>4240</v>
      </c>
      <c r="B11605">
        <v>60</v>
      </c>
      <c r="C11605" t="s">
        <v>946</v>
      </c>
      <c r="D11605" t="s">
        <v>992</v>
      </c>
      <c r="E11605" t="s">
        <v>306</v>
      </c>
      <c r="F11605" t="s">
        <v>948</v>
      </c>
      <c r="G11605">
        <v>6077777</v>
      </c>
      <c r="H11605">
        <v>500221</v>
      </c>
      <c r="I11605" t="s">
        <v>949</v>
      </c>
    </row>
    <row r="11606" spans="1:9" x14ac:dyDescent="0.25">
      <c r="A11606">
        <v>4141</v>
      </c>
      <c r="B11606">
        <v>60</v>
      </c>
      <c r="C11606" t="s">
        <v>946</v>
      </c>
      <c r="D11606" t="s">
        <v>992</v>
      </c>
      <c r="E11606" t="s">
        <v>108</v>
      </c>
      <c r="F11606" t="s">
        <v>948</v>
      </c>
      <c r="G11606">
        <v>6077777</v>
      </c>
      <c r="H11606">
        <v>500220</v>
      </c>
      <c r="I11606" t="s">
        <v>949</v>
      </c>
    </row>
    <row r="11607" spans="1:9" x14ac:dyDescent="0.25">
      <c r="A11607">
        <v>4220</v>
      </c>
      <c r="B11607">
        <v>60</v>
      </c>
      <c r="C11607" t="s">
        <v>946</v>
      </c>
      <c r="D11607" t="s">
        <v>992</v>
      </c>
      <c r="E11607" t="s">
        <v>108</v>
      </c>
      <c r="F11607" t="s">
        <v>948</v>
      </c>
      <c r="G11607">
        <v>6077777</v>
      </c>
      <c r="H11607">
        <v>500220</v>
      </c>
      <c r="I11607" t="s">
        <v>949</v>
      </c>
    </row>
    <row r="11608" spans="1:9" x14ac:dyDescent="0.25">
      <c r="A11608">
        <v>4240</v>
      </c>
      <c r="B11608">
        <v>60</v>
      </c>
      <c r="C11608" t="s">
        <v>946</v>
      </c>
      <c r="D11608" t="s">
        <v>992</v>
      </c>
      <c r="E11608" t="s">
        <v>108</v>
      </c>
      <c r="F11608" t="s">
        <v>948</v>
      </c>
      <c r="G11608">
        <v>6077777</v>
      </c>
      <c r="H11608">
        <v>500221</v>
      </c>
      <c r="I11608" t="s">
        <v>949</v>
      </c>
    </row>
    <row r="11609" spans="1:9" x14ac:dyDescent="0.25">
      <c r="A11609">
        <v>4141</v>
      </c>
      <c r="B11609">
        <v>60</v>
      </c>
      <c r="C11609" t="s">
        <v>946</v>
      </c>
      <c r="D11609" t="s">
        <v>992</v>
      </c>
      <c r="E11609" t="s">
        <v>310</v>
      </c>
      <c r="F11609" t="s">
        <v>948</v>
      </c>
      <c r="G11609">
        <v>6077777</v>
      </c>
      <c r="H11609">
        <v>501010</v>
      </c>
      <c r="I11609" t="s">
        <v>949</v>
      </c>
    </row>
    <row r="11610" spans="1:9" x14ac:dyDescent="0.25">
      <c r="A11610">
        <v>4220</v>
      </c>
      <c r="B11610">
        <v>60</v>
      </c>
      <c r="C11610" t="s">
        <v>946</v>
      </c>
      <c r="D11610" t="s">
        <v>992</v>
      </c>
      <c r="E11610" t="s">
        <v>310</v>
      </c>
      <c r="F11610" t="s">
        <v>948</v>
      </c>
      <c r="G11610">
        <v>6077777</v>
      </c>
      <c r="H11610">
        <v>500220</v>
      </c>
      <c r="I11610" t="s">
        <v>949</v>
      </c>
    </row>
    <row r="11611" spans="1:9" x14ac:dyDescent="0.25">
      <c r="A11611">
        <v>4230</v>
      </c>
      <c r="B11611">
        <v>60</v>
      </c>
      <c r="C11611" t="s">
        <v>946</v>
      </c>
      <c r="D11611" t="s">
        <v>992</v>
      </c>
      <c r="E11611" t="s">
        <v>310</v>
      </c>
      <c r="F11611" t="s">
        <v>948</v>
      </c>
      <c r="G11611">
        <v>6099999</v>
      </c>
      <c r="H11611">
        <v>403012</v>
      </c>
      <c r="I11611" t="s">
        <v>949</v>
      </c>
    </row>
    <row r="11612" spans="1:9" x14ac:dyDescent="0.25">
      <c r="A11612">
        <v>4240</v>
      </c>
      <c r="B11612">
        <v>60</v>
      </c>
      <c r="C11612" t="s">
        <v>946</v>
      </c>
      <c r="D11612" t="s">
        <v>992</v>
      </c>
      <c r="E11612" t="s">
        <v>310</v>
      </c>
      <c r="F11612" t="s">
        <v>948</v>
      </c>
      <c r="G11612">
        <v>6077777</v>
      </c>
      <c r="H11612">
        <v>500221</v>
      </c>
      <c r="I11612" t="s">
        <v>949</v>
      </c>
    </row>
    <row r="11613" spans="1:9" x14ac:dyDescent="0.25">
      <c r="A11613">
        <v>4141</v>
      </c>
      <c r="B11613">
        <v>60</v>
      </c>
      <c r="C11613" t="s">
        <v>946</v>
      </c>
      <c r="D11613" t="s">
        <v>992</v>
      </c>
      <c r="E11613" t="s">
        <v>314</v>
      </c>
      <c r="F11613" t="s">
        <v>948</v>
      </c>
      <c r="G11613">
        <v>6077777</v>
      </c>
      <c r="H11613">
        <v>501010</v>
      </c>
      <c r="I11613" t="s">
        <v>949</v>
      </c>
    </row>
    <row r="11614" spans="1:9" x14ac:dyDescent="0.25">
      <c r="A11614">
        <v>4220</v>
      </c>
      <c r="B11614">
        <v>60</v>
      </c>
      <c r="C11614" t="s">
        <v>946</v>
      </c>
      <c r="D11614" t="s">
        <v>992</v>
      </c>
      <c r="E11614" t="s">
        <v>314</v>
      </c>
      <c r="F11614" t="s">
        <v>948</v>
      </c>
      <c r="G11614">
        <v>6077777</v>
      </c>
      <c r="H11614">
        <v>500220</v>
      </c>
      <c r="I11614" t="s">
        <v>949</v>
      </c>
    </row>
    <row r="11615" spans="1:9" x14ac:dyDescent="0.25">
      <c r="A11615">
        <v>4230</v>
      </c>
      <c r="B11615">
        <v>60</v>
      </c>
      <c r="C11615" t="s">
        <v>946</v>
      </c>
      <c r="D11615" t="s">
        <v>992</v>
      </c>
      <c r="E11615" t="s">
        <v>314</v>
      </c>
      <c r="F11615" t="s">
        <v>948</v>
      </c>
      <c r="G11615">
        <v>6099999</v>
      </c>
      <c r="H11615">
        <v>403062</v>
      </c>
      <c r="I11615" t="s">
        <v>949</v>
      </c>
    </row>
    <row r="11616" spans="1:9" x14ac:dyDescent="0.25">
      <c r="A11616">
        <v>4240</v>
      </c>
      <c r="B11616">
        <v>60</v>
      </c>
      <c r="C11616" t="s">
        <v>946</v>
      </c>
      <c r="D11616" t="s">
        <v>992</v>
      </c>
      <c r="E11616" t="s">
        <v>314</v>
      </c>
      <c r="F11616" t="s">
        <v>948</v>
      </c>
      <c r="G11616">
        <v>6077777</v>
      </c>
      <c r="H11616">
        <v>500221</v>
      </c>
      <c r="I11616" t="s">
        <v>949</v>
      </c>
    </row>
    <row r="11617" spans="1:9" x14ac:dyDescent="0.25">
      <c r="A11617">
        <v>4141</v>
      </c>
      <c r="B11617">
        <v>60</v>
      </c>
      <c r="C11617" t="s">
        <v>946</v>
      </c>
      <c r="D11617" t="s">
        <v>992</v>
      </c>
      <c r="E11617" t="s">
        <v>113</v>
      </c>
      <c r="F11617" t="s">
        <v>948</v>
      </c>
      <c r="G11617">
        <v>6077777</v>
      </c>
      <c r="H11617">
        <v>500220</v>
      </c>
      <c r="I11617" t="s">
        <v>949</v>
      </c>
    </row>
    <row r="11618" spans="1:9" x14ac:dyDescent="0.25">
      <c r="A11618">
        <v>4220</v>
      </c>
      <c r="B11618">
        <v>60</v>
      </c>
      <c r="C11618" t="s">
        <v>946</v>
      </c>
      <c r="D11618" t="s">
        <v>992</v>
      </c>
      <c r="E11618" t="s">
        <v>113</v>
      </c>
      <c r="F11618" t="s">
        <v>948</v>
      </c>
      <c r="G11618">
        <v>6077777</v>
      </c>
      <c r="H11618">
        <v>500220</v>
      </c>
      <c r="I11618" t="s">
        <v>949</v>
      </c>
    </row>
    <row r="11619" spans="1:9" x14ac:dyDescent="0.25">
      <c r="A11619">
        <v>4230</v>
      </c>
      <c r="B11619">
        <v>60</v>
      </c>
      <c r="C11619" t="s">
        <v>946</v>
      </c>
      <c r="D11619" t="s">
        <v>992</v>
      </c>
      <c r="E11619" t="s">
        <v>113</v>
      </c>
      <c r="F11619" t="s">
        <v>948</v>
      </c>
      <c r="G11619">
        <v>6099999</v>
      </c>
      <c r="H11619">
        <v>403082</v>
      </c>
      <c r="I11619" t="s">
        <v>949</v>
      </c>
    </row>
    <row r="11620" spans="1:9" x14ac:dyDescent="0.25">
      <c r="A11620">
        <v>4240</v>
      </c>
      <c r="B11620">
        <v>60</v>
      </c>
      <c r="C11620" t="s">
        <v>946</v>
      </c>
      <c r="D11620" t="s">
        <v>992</v>
      </c>
      <c r="E11620" t="s">
        <v>113</v>
      </c>
      <c r="F11620" t="s">
        <v>948</v>
      </c>
      <c r="G11620">
        <v>6077777</v>
      </c>
      <c r="H11620">
        <v>500221</v>
      </c>
      <c r="I11620" t="s">
        <v>949</v>
      </c>
    </row>
    <row r="11621" spans="1:9" x14ac:dyDescent="0.25">
      <c r="A11621">
        <v>4141</v>
      </c>
      <c r="B11621">
        <v>60</v>
      </c>
      <c r="C11621" t="s">
        <v>946</v>
      </c>
      <c r="D11621" t="s">
        <v>992</v>
      </c>
      <c r="E11621" t="s">
        <v>117</v>
      </c>
      <c r="F11621" t="s">
        <v>948</v>
      </c>
      <c r="G11621">
        <v>6077777</v>
      </c>
      <c r="H11621">
        <v>500220</v>
      </c>
      <c r="I11621" t="s">
        <v>949</v>
      </c>
    </row>
    <row r="11622" spans="1:9" x14ac:dyDescent="0.25">
      <c r="A11622">
        <v>4220</v>
      </c>
      <c r="B11622">
        <v>60</v>
      </c>
      <c r="C11622" t="s">
        <v>946</v>
      </c>
      <c r="D11622" t="s">
        <v>992</v>
      </c>
      <c r="E11622" t="s">
        <v>117</v>
      </c>
      <c r="F11622" t="s">
        <v>948</v>
      </c>
      <c r="G11622">
        <v>6077777</v>
      </c>
      <c r="H11622">
        <v>500220</v>
      </c>
      <c r="I11622" t="s">
        <v>949</v>
      </c>
    </row>
    <row r="11623" spans="1:9" x14ac:dyDescent="0.25">
      <c r="A11623">
        <v>4230</v>
      </c>
      <c r="B11623">
        <v>60</v>
      </c>
      <c r="C11623" t="s">
        <v>946</v>
      </c>
      <c r="D11623" t="s">
        <v>992</v>
      </c>
      <c r="E11623" t="s">
        <v>117</v>
      </c>
      <c r="F11623" t="s">
        <v>948</v>
      </c>
      <c r="G11623">
        <v>6088888</v>
      </c>
      <c r="H11623">
        <v>810600</v>
      </c>
      <c r="I11623" t="s">
        <v>949</v>
      </c>
    </row>
    <row r="11624" spans="1:9" x14ac:dyDescent="0.25">
      <c r="A11624">
        <v>4240</v>
      </c>
      <c r="B11624">
        <v>60</v>
      </c>
      <c r="C11624" t="s">
        <v>946</v>
      </c>
      <c r="D11624" t="s">
        <v>992</v>
      </c>
      <c r="E11624" t="s">
        <v>117</v>
      </c>
      <c r="F11624" t="s">
        <v>948</v>
      </c>
      <c r="G11624">
        <v>6077777</v>
      </c>
      <c r="H11624">
        <v>500221</v>
      </c>
      <c r="I11624" t="s">
        <v>949</v>
      </c>
    </row>
    <row r="11625" spans="1:9" x14ac:dyDescent="0.25">
      <c r="A11625">
        <v>4141</v>
      </c>
      <c r="B11625">
        <v>60</v>
      </c>
      <c r="C11625" t="s">
        <v>946</v>
      </c>
      <c r="D11625" t="s">
        <v>992</v>
      </c>
      <c r="E11625" t="s">
        <v>121</v>
      </c>
      <c r="F11625" t="s">
        <v>948</v>
      </c>
      <c r="G11625">
        <v>6077777</v>
      </c>
      <c r="H11625">
        <v>500220</v>
      </c>
      <c r="I11625" t="s">
        <v>949</v>
      </c>
    </row>
    <row r="11626" spans="1:9" x14ac:dyDescent="0.25">
      <c r="A11626">
        <v>4220</v>
      </c>
      <c r="B11626">
        <v>60</v>
      </c>
      <c r="C11626" t="s">
        <v>946</v>
      </c>
      <c r="D11626" t="s">
        <v>992</v>
      </c>
      <c r="E11626" t="s">
        <v>121</v>
      </c>
      <c r="F11626" t="s">
        <v>948</v>
      </c>
      <c r="G11626">
        <v>6077777</v>
      </c>
      <c r="H11626">
        <v>500220</v>
      </c>
      <c r="I11626" t="s">
        <v>949</v>
      </c>
    </row>
    <row r="11627" spans="1:9" x14ac:dyDescent="0.25">
      <c r="A11627">
        <v>4230</v>
      </c>
      <c r="B11627">
        <v>60</v>
      </c>
      <c r="C11627" t="s">
        <v>946</v>
      </c>
      <c r="D11627" t="s">
        <v>992</v>
      </c>
      <c r="E11627" t="s">
        <v>121</v>
      </c>
      <c r="F11627" t="s">
        <v>948</v>
      </c>
      <c r="G11627">
        <v>6099999</v>
      </c>
      <c r="H11627">
        <v>403042</v>
      </c>
      <c r="I11627" t="s">
        <v>949</v>
      </c>
    </row>
    <row r="11628" spans="1:9" x14ac:dyDescent="0.25">
      <c r="A11628">
        <v>4240</v>
      </c>
      <c r="B11628">
        <v>60</v>
      </c>
      <c r="C11628" t="s">
        <v>946</v>
      </c>
      <c r="D11628" t="s">
        <v>992</v>
      </c>
      <c r="E11628" t="s">
        <v>121</v>
      </c>
      <c r="F11628" t="s">
        <v>948</v>
      </c>
      <c r="G11628">
        <v>6077777</v>
      </c>
      <c r="H11628">
        <v>500221</v>
      </c>
      <c r="I11628" t="s">
        <v>949</v>
      </c>
    </row>
    <row r="11629" spans="1:9" x14ac:dyDescent="0.25">
      <c r="A11629">
        <v>4141</v>
      </c>
      <c r="B11629">
        <v>60</v>
      </c>
      <c r="C11629" t="s">
        <v>946</v>
      </c>
      <c r="D11629" t="s">
        <v>992</v>
      </c>
      <c r="E11629" t="s">
        <v>984</v>
      </c>
      <c r="F11629" t="s">
        <v>948</v>
      </c>
      <c r="G11629">
        <v>6077777</v>
      </c>
      <c r="H11629">
        <v>501010</v>
      </c>
      <c r="I11629" t="s">
        <v>949</v>
      </c>
    </row>
    <row r="11630" spans="1:9" x14ac:dyDescent="0.25">
      <c r="A11630">
        <v>4220</v>
      </c>
      <c r="B11630">
        <v>60</v>
      </c>
      <c r="C11630" t="s">
        <v>946</v>
      </c>
      <c r="D11630" t="s">
        <v>992</v>
      </c>
      <c r="E11630" t="s">
        <v>984</v>
      </c>
      <c r="F11630" t="s">
        <v>948</v>
      </c>
      <c r="G11630">
        <v>6077777</v>
      </c>
      <c r="H11630">
        <v>500220</v>
      </c>
      <c r="I11630" t="s">
        <v>949</v>
      </c>
    </row>
    <row r="11631" spans="1:9" x14ac:dyDescent="0.25">
      <c r="A11631">
        <v>4230</v>
      </c>
      <c r="B11631">
        <v>60</v>
      </c>
      <c r="C11631" t="s">
        <v>946</v>
      </c>
      <c r="D11631" t="s">
        <v>992</v>
      </c>
      <c r="E11631" t="s">
        <v>984</v>
      </c>
      <c r="F11631" t="s">
        <v>948</v>
      </c>
      <c r="G11631">
        <v>6099999</v>
      </c>
      <c r="H11631">
        <v>403912</v>
      </c>
      <c r="I11631" t="s">
        <v>949</v>
      </c>
    </row>
    <row r="11632" spans="1:9" x14ac:dyDescent="0.25">
      <c r="A11632">
        <v>4240</v>
      </c>
      <c r="B11632">
        <v>60</v>
      </c>
      <c r="C11632" t="s">
        <v>946</v>
      </c>
      <c r="D11632" t="s">
        <v>992</v>
      </c>
      <c r="E11632" t="s">
        <v>984</v>
      </c>
      <c r="F11632" t="s">
        <v>948</v>
      </c>
      <c r="G11632">
        <v>6077777</v>
      </c>
      <c r="H11632">
        <v>500221</v>
      </c>
      <c r="I11632" t="s">
        <v>949</v>
      </c>
    </row>
    <row r="11633" spans="1:9" x14ac:dyDescent="0.25">
      <c r="A11633">
        <v>4141</v>
      </c>
      <c r="B11633">
        <v>60</v>
      </c>
      <c r="C11633" t="s">
        <v>946</v>
      </c>
      <c r="D11633" t="s">
        <v>947</v>
      </c>
      <c r="E11633" t="s">
        <v>243</v>
      </c>
      <c r="F11633" t="s">
        <v>948</v>
      </c>
      <c r="G11633">
        <v>6077777</v>
      </c>
      <c r="H11633">
        <v>500220</v>
      </c>
      <c r="I11633" t="s">
        <v>949</v>
      </c>
    </row>
    <row r="11634" spans="1:9" x14ac:dyDescent="0.25">
      <c r="A11634">
        <v>4220</v>
      </c>
      <c r="B11634">
        <v>60</v>
      </c>
      <c r="C11634" t="s">
        <v>946</v>
      </c>
      <c r="D11634" t="s">
        <v>947</v>
      </c>
      <c r="E11634" t="s">
        <v>243</v>
      </c>
      <c r="F11634" t="s">
        <v>948</v>
      </c>
      <c r="G11634">
        <v>6077777</v>
      </c>
      <c r="H11634">
        <v>500220</v>
      </c>
      <c r="I11634" t="s">
        <v>949</v>
      </c>
    </row>
    <row r="11635" spans="1:9" x14ac:dyDescent="0.25">
      <c r="A11635">
        <v>4230</v>
      </c>
      <c r="B11635">
        <v>60</v>
      </c>
      <c r="C11635" t="s">
        <v>946</v>
      </c>
      <c r="D11635" t="s">
        <v>947</v>
      </c>
      <c r="E11635" t="s">
        <v>243</v>
      </c>
      <c r="F11635" t="s">
        <v>948</v>
      </c>
      <c r="G11635">
        <v>6099999</v>
      </c>
      <c r="H11635">
        <v>401052</v>
      </c>
      <c r="I11635" t="s">
        <v>949</v>
      </c>
    </row>
    <row r="11636" spans="1:9" x14ac:dyDescent="0.25">
      <c r="A11636">
        <v>4240</v>
      </c>
      <c r="B11636">
        <v>60</v>
      </c>
      <c r="C11636" t="s">
        <v>946</v>
      </c>
      <c r="D11636" t="s">
        <v>947</v>
      </c>
      <c r="E11636" t="s">
        <v>243</v>
      </c>
      <c r="F11636" t="s">
        <v>948</v>
      </c>
      <c r="G11636">
        <v>6077777</v>
      </c>
      <c r="H11636">
        <v>500221</v>
      </c>
      <c r="I11636" t="s">
        <v>949</v>
      </c>
    </row>
    <row r="11637" spans="1:9" x14ac:dyDescent="0.25">
      <c r="A11637">
        <v>4141</v>
      </c>
      <c r="B11637">
        <v>60</v>
      </c>
      <c r="C11637" t="s">
        <v>946</v>
      </c>
      <c r="D11637" t="s">
        <v>947</v>
      </c>
      <c r="E11637" t="s">
        <v>247</v>
      </c>
      <c r="F11637" t="s">
        <v>948</v>
      </c>
      <c r="G11637">
        <v>6077777</v>
      </c>
      <c r="H11637">
        <v>500220</v>
      </c>
      <c r="I11637" t="s">
        <v>949</v>
      </c>
    </row>
    <row r="11638" spans="1:9" x14ac:dyDescent="0.25">
      <c r="A11638">
        <v>4220</v>
      </c>
      <c r="B11638">
        <v>60</v>
      </c>
      <c r="C11638" t="s">
        <v>946</v>
      </c>
      <c r="D11638" t="s">
        <v>947</v>
      </c>
      <c r="E11638" t="s">
        <v>247</v>
      </c>
      <c r="F11638" t="s">
        <v>948</v>
      </c>
      <c r="G11638">
        <v>6077777</v>
      </c>
      <c r="H11638">
        <v>500220</v>
      </c>
      <c r="I11638" t="s">
        <v>949</v>
      </c>
    </row>
    <row r="11639" spans="1:9" x14ac:dyDescent="0.25">
      <c r="A11639">
        <v>4230</v>
      </c>
      <c r="B11639">
        <v>60</v>
      </c>
      <c r="C11639" t="s">
        <v>946</v>
      </c>
      <c r="D11639" t="s">
        <v>947</v>
      </c>
      <c r="E11639" t="s">
        <v>247</v>
      </c>
      <c r="F11639" t="s">
        <v>948</v>
      </c>
      <c r="G11639">
        <v>6099999</v>
      </c>
      <c r="H11639">
        <v>401022</v>
      </c>
      <c r="I11639" t="s">
        <v>949</v>
      </c>
    </row>
    <row r="11640" spans="1:9" x14ac:dyDescent="0.25">
      <c r="A11640">
        <v>4240</v>
      </c>
      <c r="B11640">
        <v>60</v>
      </c>
      <c r="C11640" t="s">
        <v>946</v>
      </c>
      <c r="D11640" t="s">
        <v>947</v>
      </c>
      <c r="E11640" t="s">
        <v>247</v>
      </c>
      <c r="F11640" t="s">
        <v>948</v>
      </c>
      <c r="G11640">
        <v>6077777</v>
      </c>
      <c r="H11640">
        <v>500221</v>
      </c>
      <c r="I11640" t="s">
        <v>949</v>
      </c>
    </row>
    <row r="11641" spans="1:9" x14ac:dyDescent="0.25">
      <c r="A11641">
        <v>4141</v>
      </c>
      <c r="B11641">
        <v>60</v>
      </c>
      <c r="C11641" t="s">
        <v>946</v>
      </c>
      <c r="D11641" t="s">
        <v>947</v>
      </c>
      <c r="E11641" t="s">
        <v>251</v>
      </c>
      <c r="F11641" t="s">
        <v>948</v>
      </c>
      <c r="G11641">
        <v>6077777</v>
      </c>
      <c r="H11641">
        <v>500220</v>
      </c>
      <c r="I11641" t="s">
        <v>949</v>
      </c>
    </row>
    <row r="11642" spans="1:9" x14ac:dyDescent="0.25">
      <c r="A11642">
        <v>4220</v>
      </c>
      <c r="B11642">
        <v>60</v>
      </c>
      <c r="C11642" t="s">
        <v>946</v>
      </c>
      <c r="D11642" t="s">
        <v>947</v>
      </c>
      <c r="E11642" t="s">
        <v>251</v>
      </c>
      <c r="F11642" t="s">
        <v>948</v>
      </c>
      <c r="G11642">
        <v>6077777</v>
      </c>
      <c r="H11642">
        <v>500220</v>
      </c>
      <c r="I11642" t="s">
        <v>949</v>
      </c>
    </row>
    <row r="11643" spans="1:9" x14ac:dyDescent="0.25">
      <c r="A11643">
        <v>4230</v>
      </c>
      <c r="B11643">
        <v>60</v>
      </c>
      <c r="C11643" t="s">
        <v>946</v>
      </c>
      <c r="D11643" t="s">
        <v>947</v>
      </c>
      <c r="E11643" t="s">
        <v>251</v>
      </c>
      <c r="F11643" t="s">
        <v>948</v>
      </c>
      <c r="G11643">
        <v>6099999</v>
      </c>
      <c r="H11643">
        <v>401042</v>
      </c>
      <c r="I11643" t="s">
        <v>949</v>
      </c>
    </row>
    <row r="11644" spans="1:9" x14ac:dyDescent="0.25">
      <c r="A11644">
        <v>4240</v>
      </c>
      <c r="B11644">
        <v>60</v>
      </c>
      <c r="C11644" t="s">
        <v>946</v>
      </c>
      <c r="D11644" t="s">
        <v>947</v>
      </c>
      <c r="E11644" t="s">
        <v>251</v>
      </c>
      <c r="F11644" t="s">
        <v>948</v>
      </c>
      <c r="G11644">
        <v>6077777</v>
      </c>
      <c r="H11644">
        <v>500221</v>
      </c>
      <c r="I11644" t="s">
        <v>949</v>
      </c>
    </row>
    <row r="11645" spans="1:9" x14ac:dyDescent="0.25">
      <c r="A11645">
        <v>4141</v>
      </c>
      <c r="B11645">
        <v>60</v>
      </c>
      <c r="C11645" t="s">
        <v>946</v>
      </c>
      <c r="D11645" t="s">
        <v>947</v>
      </c>
      <c r="E11645" t="s">
        <v>969</v>
      </c>
      <c r="F11645" t="s">
        <v>948</v>
      </c>
      <c r="G11645">
        <v>6077777</v>
      </c>
      <c r="H11645">
        <v>500220</v>
      </c>
      <c r="I11645" t="s">
        <v>949</v>
      </c>
    </row>
    <row r="11646" spans="1:9" x14ac:dyDescent="0.25">
      <c r="A11646">
        <v>4220</v>
      </c>
      <c r="B11646">
        <v>60</v>
      </c>
      <c r="C11646" t="s">
        <v>946</v>
      </c>
      <c r="D11646" t="s">
        <v>947</v>
      </c>
      <c r="E11646" t="s">
        <v>969</v>
      </c>
      <c r="F11646" t="s">
        <v>948</v>
      </c>
      <c r="G11646">
        <v>6077777</v>
      </c>
      <c r="H11646">
        <v>500220</v>
      </c>
      <c r="I11646" t="s">
        <v>949</v>
      </c>
    </row>
    <row r="11647" spans="1:9" x14ac:dyDescent="0.25">
      <c r="A11647">
        <v>4230</v>
      </c>
      <c r="B11647">
        <v>60</v>
      </c>
      <c r="C11647" t="s">
        <v>946</v>
      </c>
      <c r="D11647" t="s">
        <v>947</v>
      </c>
      <c r="E11647" t="s">
        <v>969</v>
      </c>
      <c r="F11647" t="s">
        <v>948</v>
      </c>
      <c r="G11647">
        <v>6099999</v>
      </c>
      <c r="H11647">
        <v>401912</v>
      </c>
      <c r="I11647" t="s">
        <v>949</v>
      </c>
    </row>
    <row r="11648" spans="1:9" x14ac:dyDescent="0.25">
      <c r="A11648">
        <v>4240</v>
      </c>
      <c r="B11648">
        <v>60</v>
      </c>
      <c r="C11648" t="s">
        <v>946</v>
      </c>
      <c r="D11648" t="s">
        <v>947</v>
      </c>
      <c r="E11648" t="s">
        <v>969</v>
      </c>
      <c r="F11648" t="s">
        <v>948</v>
      </c>
      <c r="G11648">
        <v>6077777</v>
      </c>
      <c r="H11648">
        <v>500221</v>
      </c>
      <c r="I11648" t="s">
        <v>949</v>
      </c>
    </row>
    <row r="11649" spans="1:9" x14ac:dyDescent="0.25">
      <c r="A11649">
        <v>4141</v>
      </c>
      <c r="B11649">
        <v>60</v>
      </c>
      <c r="C11649" t="s">
        <v>946</v>
      </c>
      <c r="D11649" t="s">
        <v>947</v>
      </c>
      <c r="E11649" t="s">
        <v>255</v>
      </c>
      <c r="F11649" t="s">
        <v>948</v>
      </c>
      <c r="G11649">
        <v>6077777</v>
      </c>
      <c r="H11649">
        <v>500220</v>
      </c>
      <c r="I11649" t="s">
        <v>949</v>
      </c>
    </row>
    <row r="11650" spans="1:9" x14ac:dyDescent="0.25">
      <c r="A11650">
        <v>4220</v>
      </c>
      <c r="B11650">
        <v>60</v>
      </c>
      <c r="C11650" t="s">
        <v>946</v>
      </c>
      <c r="D11650" t="s">
        <v>947</v>
      </c>
      <c r="E11650" t="s">
        <v>255</v>
      </c>
      <c r="F11650" t="s">
        <v>948</v>
      </c>
      <c r="G11650">
        <v>6077777</v>
      </c>
      <c r="H11650">
        <v>500220</v>
      </c>
      <c r="I11650" t="s">
        <v>949</v>
      </c>
    </row>
    <row r="11651" spans="1:9" x14ac:dyDescent="0.25">
      <c r="A11651">
        <v>4230</v>
      </c>
      <c r="B11651">
        <v>60</v>
      </c>
      <c r="C11651" t="s">
        <v>946</v>
      </c>
      <c r="D11651" t="s">
        <v>947</v>
      </c>
      <c r="E11651" t="s">
        <v>255</v>
      </c>
      <c r="F11651" t="s">
        <v>948</v>
      </c>
      <c r="G11651">
        <v>6099999</v>
      </c>
      <c r="H11651">
        <v>401072</v>
      </c>
      <c r="I11651" t="s">
        <v>949</v>
      </c>
    </row>
    <row r="11652" spans="1:9" x14ac:dyDescent="0.25">
      <c r="A11652">
        <v>4240</v>
      </c>
      <c r="B11652">
        <v>60</v>
      </c>
      <c r="C11652" t="s">
        <v>946</v>
      </c>
      <c r="D11652" t="s">
        <v>947</v>
      </c>
      <c r="E11652" t="s">
        <v>255</v>
      </c>
      <c r="F11652" t="s">
        <v>948</v>
      </c>
      <c r="G11652">
        <v>6077777</v>
      </c>
      <c r="H11652">
        <v>500221</v>
      </c>
      <c r="I11652" t="s">
        <v>949</v>
      </c>
    </row>
    <row r="11653" spans="1:9" x14ac:dyDescent="0.25">
      <c r="A11653">
        <v>4141</v>
      </c>
      <c r="B11653">
        <v>60</v>
      </c>
      <c r="C11653" t="s">
        <v>946</v>
      </c>
      <c r="D11653" t="s">
        <v>947</v>
      </c>
      <c r="E11653" t="s">
        <v>971</v>
      </c>
      <c r="F11653" t="s">
        <v>948</v>
      </c>
      <c r="G11653">
        <v>6077777</v>
      </c>
      <c r="H11653">
        <v>500220</v>
      </c>
      <c r="I11653" t="s">
        <v>949</v>
      </c>
    </row>
    <row r="11654" spans="1:9" x14ac:dyDescent="0.25">
      <c r="A11654">
        <v>4220</v>
      </c>
      <c r="B11654">
        <v>60</v>
      </c>
      <c r="C11654" t="s">
        <v>946</v>
      </c>
      <c r="D11654" t="s">
        <v>947</v>
      </c>
      <c r="E11654" t="s">
        <v>971</v>
      </c>
      <c r="F11654" t="s">
        <v>948</v>
      </c>
      <c r="G11654">
        <v>6077777</v>
      </c>
      <c r="H11654">
        <v>500220</v>
      </c>
      <c r="I11654" t="s">
        <v>949</v>
      </c>
    </row>
    <row r="11655" spans="1:9" x14ac:dyDescent="0.25">
      <c r="A11655">
        <v>4230</v>
      </c>
      <c r="B11655">
        <v>60</v>
      </c>
      <c r="C11655" t="s">
        <v>946</v>
      </c>
      <c r="D11655" t="s">
        <v>947</v>
      </c>
      <c r="E11655" t="s">
        <v>971</v>
      </c>
      <c r="F11655" t="s">
        <v>948</v>
      </c>
      <c r="G11655">
        <v>6099999</v>
      </c>
      <c r="H11655">
        <v>401912</v>
      </c>
      <c r="I11655" t="s">
        <v>949</v>
      </c>
    </row>
    <row r="11656" spans="1:9" x14ac:dyDescent="0.25">
      <c r="A11656">
        <v>4240</v>
      </c>
      <c r="B11656">
        <v>60</v>
      </c>
      <c r="C11656" t="s">
        <v>946</v>
      </c>
      <c r="D11656" t="s">
        <v>947</v>
      </c>
      <c r="E11656" t="s">
        <v>971</v>
      </c>
      <c r="F11656" t="s">
        <v>948</v>
      </c>
      <c r="G11656">
        <v>6077777</v>
      </c>
      <c r="H11656">
        <v>500221</v>
      </c>
      <c r="I11656" t="s">
        <v>949</v>
      </c>
    </row>
    <row r="11657" spans="1:9" x14ac:dyDescent="0.25">
      <c r="A11657">
        <v>4230</v>
      </c>
      <c r="B11657">
        <v>60</v>
      </c>
      <c r="C11657" t="s">
        <v>946</v>
      </c>
      <c r="D11657" t="s">
        <v>947</v>
      </c>
      <c r="E11657" t="s">
        <v>259</v>
      </c>
      <c r="F11657" t="s">
        <v>948</v>
      </c>
      <c r="G11657">
        <v>6099999</v>
      </c>
      <c r="H11657">
        <v>409002</v>
      </c>
      <c r="I11657" t="s">
        <v>949</v>
      </c>
    </row>
    <row r="11658" spans="1:9" x14ac:dyDescent="0.25">
      <c r="A11658">
        <v>4141</v>
      </c>
      <c r="B11658">
        <v>60</v>
      </c>
      <c r="C11658" t="s">
        <v>946</v>
      </c>
      <c r="D11658" t="s">
        <v>947</v>
      </c>
      <c r="E11658" t="s">
        <v>263</v>
      </c>
      <c r="F11658" t="s">
        <v>948</v>
      </c>
      <c r="G11658">
        <v>6077777</v>
      </c>
      <c r="H11658">
        <v>500200</v>
      </c>
      <c r="I11658" t="s">
        <v>949</v>
      </c>
    </row>
    <row r="11659" spans="1:9" x14ac:dyDescent="0.25">
      <c r="A11659">
        <v>4220</v>
      </c>
      <c r="B11659">
        <v>60</v>
      </c>
      <c r="C11659" t="s">
        <v>946</v>
      </c>
      <c r="D11659" t="s">
        <v>947</v>
      </c>
      <c r="E11659" t="s">
        <v>263</v>
      </c>
      <c r="F11659" t="s">
        <v>948</v>
      </c>
      <c r="G11659">
        <v>6077777</v>
      </c>
      <c r="H11659">
        <v>500200</v>
      </c>
      <c r="I11659" t="s">
        <v>949</v>
      </c>
    </row>
    <row r="11660" spans="1:9" x14ac:dyDescent="0.25">
      <c r="A11660">
        <v>4230</v>
      </c>
      <c r="B11660">
        <v>60</v>
      </c>
      <c r="C11660" t="s">
        <v>946</v>
      </c>
      <c r="D11660" t="s">
        <v>947</v>
      </c>
      <c r="E11660" t="s">
        <v>263</v>
      </c>
      <c r="F11660" t="s">
        <v>948</v>
      </c>
      <c r="G11660">
        <v>6099999</v>
      </c>
      <c r="H11660">
        <v>401042</v>
      </c>
      <c r="I11660" t="s">
        <v>949</v>
      </c>
    </row>
    <row r="11661" spans="1:9" x14ac:dyDescent="0.25">
      <c r="A11661">
        <v>4240</v>
      </c>
      <c r="B11661">
        <v>60</v>
      </c>
      <c r="C11661" t="s">
        <v>946</v>
      </c>
      <c r="D11661" t="s">
        <v>947</v>
      </c>
      <c r="E11661" t="s">
        <v>263</v>
      </c>
      <c r="F11661" t="s">
        <v>948</v>
      </c>
      <c r="G11661">
        <v>6077777</v>
      </c>
      <c r="H11661">
        <v>500221</v>
      </c>
      <c r="I11661" t="s">
        <v>949</v>
      </c>
    </row>
    <row r="11662" spans="1:9" x14ac:dyDescent="0.25">
      <c r="A11662">
        <v>4141</v>
      </c>
      <c r="B11662">
        <v>60</v>
      </c>
      <c r="C11662" t="s">
        <v>946</v>
      </c>
      <c r="D11662" t="s">
        <v>947</v>
      </c>
      <c r="E11662" t="s">
        <v>100</v>
      </c>
      <c r="F11662" t="s">
        <v>948</v>
      </c>
      <c r="G11662">
        <v>6077777</v>
      </c>
      <c r="H11662">
        <v>500220</v>
      </c>
      <c r="I11662" t="s">
        <v>949</v>
      </c>
    </row>
    <row r="11663" spans="1:9" x14ac:dyDescent="0.25">
      <c r="A11663">
        <v>4220</v>
      </c>
      <c r="B11663">
        <v>60</v>
      </c>
      <c r="C11663" t="s">
        <v>946</v>
      </c>
      <c r="D11663" t="s">
        <v>947</v>
      </c>
      <c r="E11663" t="s">
        <v>100</v>
      </c>
      <c r="F11663" t="s">
        <v>948</v>
      </c>
      <c r="G11663">
        <v>6077777</v>
      </c>
      <c r="H11663">
        <v>500220</v>
      </c>
      <c r="I11663" t="s">
        <v>949</v>
      </c>
    </row>
    <row r="11664" spans="1:9" x14ac:dyDescent="0.25">
      <c r="A11664">
        <v>4230</v>
      </c>
      <c r="B11664">
        <v>60</v>
      </c>
      <c r="C11664" t="s">
        <v>946</v>
      </c>
      <c r="D11664" t="s">
        <v>947</v>
      </c>
      <c r="E11664" t="s">
        <v>100</v>
      </c>
      <c r="F11664" t="s">
        <v>948</v>
      </c>
      <c r="G11664">
        <v>6099999</v>
      </c>
      <c r="H11664">
        <v>401042</v>
      </c>
      <c r="I11664" t="s">
        <v>949</v>
      </c>
    </row>
    <row r="11665" spans="1:9" x14ac:dyDescent="0.25">
      <c r="A11665">
        <v>4240</v>
      </c>
      <c r="B11665">
        <v>60</v>
      </c>
      <c r="C11665" t="s">
        <v>946</v>
      </c>
      <c r="D11665" t="s">
        <v>947</v>
      </c>
      <c r="E11665" t="s">
        <v>100</v>
      </c>
      <c r="F11665" t="s">
        <v>948</v>
      </c>
      <c r="G11665">
        <v>6077777</v>
      </c>
      <c r="H11665">
        <v>500221</v>
      </c>
      <c r="I11665" t="s">
        <v>949</v>
      </c>
    </row>
    <row r="11666" spans="1:9" x14ac:dyDescent="0.25">
      <c r="A11666">
        <v>4141</v>
      </c>
      <c r="B11666">
        <v>60</v>
      </c>
      <c r="C11666" t="s">
        <v>946</v>
      </c>
      <c r="D11666" t="s">
        <v>947</v>
      </c>
      <c r="E11666" t="s">
        <v>270</v>
      </c>
      <c r="F11666" t="s">
        <v>948</v>
      </c>
      <c r="G11666">
        <v>6077777</v>
      </c>
      <c r="H11666">
        <v>500220</v>
      </c>
      <c r="I11666" t="s">
        <v>949</v>
      </c>
    </row>
    <row r="11667" spans="1:9" x14ac:dyDescent="0.25">
      <c r="A11667">
        <v>4220</v>
      </c>
      <c r="B11667">
        <v>60</v>
      </c>
      <c r="C11667" t="s">
        <v>946</v>
      </c>
      <c r="D11667" t="s">
        <v>947</v>
      </c>
      <c r="E11667" t="s">
        <v>270</v>
      </c>
      <c r="F11667" t="s">
        <v>948</v>
      </c>
      <c r="G11667">
        <v>6077777</v>
      </c>
      <c r="H11667">
        <v>500220</v>
      </c>
      <c r="I11667" t="s">
        <v>949</v>
      </c>
    </row>
    <row r="11668" spans="1:9" x14ac:dyDescent="0.25">
      <c r="A11668">
        <v>4230</v>
      </c>
      <c r="B11668">
        <v>60</v>
      </c>
      <c r="C11668" t="s">
        <v>946</v>
      </c>
      <c r="D11668" t="s">
        <v>947</v>
      </c>
      <c r="E11668" t="s">
        <v>270</v>
      </c>
      <c r="F11668" t="s">
        <v>948</v>
      </c>
      <c r="G11668">
        <v>6099999</v>
      </c>
      <c r="H11668">
        <v>401062</v>
      </c>
      <c r="I11668" t="s">
        <v>949</v>
      </c>
    </row>
    <row r="11669" spans="1:9" x14ac:dyDescent="0.25">
      <c r="A11669">
        <v>4240</v>
      </c>
      <c r="B11669">
        <v>60</v>
      </c>
      <c r="C11669" t="s">
        <v>946</v>
      </c>
      <c r="D11669" t="s">
        <v>947</v>
      </c>
      <c r="E11669" t="s">
        <v>270</v>
      </c>
      <c r="F11669" t="s">
        <v>948</v>
      </c>
      <c r="G11669">
        <v>6077777</v>
      </c>
      <c r="H11669">
        <v>500221</v>
      </c>
      <c r="I11669" t="s">
        <v>949</v>
      </c>
    </row>
    <row r="11670" spans="1:9" x14ac:dyDescent="0.25">
      <c r="A11670">
        <v>4141</v>
      </c>
      <c r="B11670">
        <v>60</v>
      </c>
      <c r="C11670" t="s">
        <v>946</v>
      </c>
      <c r="D11670" t="s">
        <v>947</v>
      </c>
      <c r="E11670" t="s">
        <v>274</v>
      </c>
      <c r="F11670" t="s">
        <v>948</v>
      </c>
      <c r="G11670">
        <v>6077777</v>
      </c>
      <c r="H11670">
        <v>500220</v>
      </c>
      <c r="I11670" t="s">
        <v>949</v>
      </c>
    </row>
    <row r="11671" spans="1:9" x14ac:dyDescent="0.25">
      <c r="A11671">
        <v>4220</v>
      </c>
      <c r="B11671">
        <v>60</v>
      </c>
      <c r="C11671" t="s">
        <v>946</v>
      </c>
      <c r="D11671" t="s">
        <v>947</v>
      </c>
      <c r="E11671" t="s">
        <v>274</v>
      </c>
      <c r="F11671" t="s">
        <v>948</v>
      </c>
      <c r="G11671">
        <v>6077777</v>
      </c>
      <c r="H11671">
        <v>500220</v>
      </c>
      <c r="I11671" t="s">
        <v>949</v>
      </c>
    </row>
    <row r="11672" spans="1:9" x14ac:dyDescent="0.25">
      <c r="A11672">
        <v>4230</v>
      </c>
      <c r="B11672">
        <v>60</v>
      </c>
      <c r="C11672" t="s">
        <v>946</v>
      </c>
      <c r="D11672" t="s">
        <v>947</v>
      </c>
      <c r="E11672" t="s">
        <v>274</v>
      </c>
      <c r="F11672" t="s">
        <v>948</v>
      </c>
      <c r="G11672">
        <v>6099999</v>
      </c>
      <c r="H11672">
        <v>401042</v>
      </c>
      <c r="I11672" t="s">
        <v>949</v>
      </c>
    </row>
    <row r="11673" spans="1:9" x14ac:dyDescent="0.25">
      <c r="A11673">
        <v>4240</v>
      </c>
      <c r="B11673">
        <v>60</v>
      </c>
      <c r="C11673" t="s">
        <v>946</v>
      </c>
      <c r="D11673" t="s">
        <v>947</v>
      </c>
      <c r="E11673" t="s">
        <v>274</v>
      </c>
      <c r="F11673" t="s">
        <v>948</v>
      </c>
      <c r="G11673">
        <v>6077777</v>
      </c>
      <c r="H11673">
        <v>500221</v>
      </c>
      <c r="I11673" t="s">
        <v>949</v>
      </c>
    </row>
    <row r="11674" spans="1:9" x14ac:dyDescent="0.25">
      <c r="A11674">
        <v>4141</v>
      </c>
      <c r="B11674">
        <v>60</v>
      </c>
      <c r="C11674" t="s">
        <v>946</v>
      </c>
      <c r="D11674" t="s">
        <v>947</v>
      </c>
      <c r="E11674" t="s">
        <v>974</v>
      </c>
      <c r="F11674" t="s">
        <v>948</v>
      </c>
      <c r="G11674">
        <v>6077777</v>
      </c>
      <c r="H11674">
        <v>500220</v>
      </c>
      <c r="I11674" t="s">
        <v>949</v>
      </c>
    </row>
    <row r="11675" spans="1:9" x14ac:dyDescent="0.25">
      <c r="A11675">
        <v>4220</v>
      </c>
      <c r="B11675">
        <v>60</v>
      </c>
      <c r="C11675" t="s">
        <v>946</v>
      </c>
      <c r="D11675" t="s">
        <v>947</v>
      </c>
      <c r="E11675" t="s">
        <v>974</v>
      </c>
      <c r="F11675" t="s">
        <v>948</v>
      </c>
      <c r="G11675">
        <v>6077777</v>
      </c>
      <c r="H11675">
        <v>500220</v>
      </c>
      <c r="I11675" t="s">
        <v>949</v>
      </c>
    </row>
    <row r="11676" spans="1:9" x14ac:dyDescent="0.25">
      <c r="A11676">
        <v>4230</v>
      </c>
      <c r="B11676">
        <v>60</v>
      </c>
      <c r="C11676" t="s">
        <v>946</v>
      </c>
      <c r="D11676" t="s">
        <v>947</v>
      </c>
      <c r="E11676" t="s">
        <v>974</v>
      </c>
      <c r="F11676" t="s">
        <v>948</v>
      </c>
      <c r="G11676">
        <v>6099999</v>
      </c>
      <c r="H11676">
        <v>401912</v>
      </c>
      <c r="I11676" t="s">
        <v>949</v>
      </c>
    </row>
    <row r="11677" spans="1:9" x14ac:dyDescent="0.25">
      <c r="A11677">
        <v>4240</v>
      </c>
      <c r="B11677">
        <v>60</v>
      </c>
      <c r="C11677" t="s">
        <v>946</v>
      </c>
      <c r="D11677" t="s">
        <v>947</v>
      </c>
      <c r="E11677" t="s">
        <v>974</v>
      </c>
      <c r="F11677" t="s">
        <v>948</v>
      </c>
      <c r="G11677">
        <v>6077777</v>
      </c>
      <c r="H11677">
        <v>500221</v>
      </c>
      <c r="I11677" t="s">
        <v>949</v>
      </c>
    </row>
    <row r="11678" spans="1:9" x14ac:dyDescent="0.25">
      <c r="A11678">
        <v>4141</v>
      </c>
      <c r="B11678">
        <v>60</v>
      </c>
      <c r="C11678" t="s">
        <v>946</v>
      </c>
      <c r="D11678" t="s">
        <v>947</v>
      </c>
      <c r="E11678" t="s">
        <v>104</v>
      </c>
      <c r="F11678" t="s">
        <v>948</v>
      </c>
      <c r="G11678">
        <v>6077777</v>
      </c>
      <c r="H11678">
        <v>500220</v>
      </c>
      <c r="I11678" t="s">
        <v>949</v>
      </c>
    </row>
    <row r="11679" spans="1:9" x14ac:dyDescent="0.25">
      <c r="A11679">
        <v>4220</v>
      </c>
      <c r="B11679">
        <v>60</v>
      </c>
      <c r="C11679" t="s">
        <v>946</v>
      </c>
      <c r="D11679" t="s">
        <v>947</v>
      </c>
      <c r="E11679" t="s">
        <v>104</v>
      </c>
      <c r="F11679" t="s">
        <v>948</v>
      </c>
      <c r="G11679">
        <v>6077777</v>
      </c>
      <c r="H11679">
        <v>500220</v>
      </c>
      <c r="I11679" t="s">
        <v>949</v>
      </c>
    </row>
    <row r="11680" spans="1:9" x14ac:dyDescent="0.25">
      <c r="A11680">
        <v>4230</v>
      </c>
      <c r="B11680">
        <v>60</v>
      </c>
      <c r="C11680" t="s">
        <v>946</v>
      </c>
      <c r="D11680" t="s">
        <v>947</v>
      </c>
      <c r="E11680" t="s">
        <v>104</v>
      </c>
      <c r="F11680" t="s">
        <v>948</v>
      </c>
      <c r="G11680">
        <v>6099999</v>
      </c>
      <c r="H11680">
        <v>401042</v>
      </c>
      <c r="I11680" t="s">
        <v>949</v>
      </c>
    </row>
    <row r="11681" spans="1:9" x14ac:dyDescent="0.25">
      <c r="A11681">
        <v>4240</v>
      </c>
      <c r="B11681">
        <v>60</v>
      </c>
      <c r="C11681" t="s">
        <v>946</v>
      </c>
      <c r="D11681" t="s">
        <v>947</v>
      </c>
      <c r="E11681" t="s">
        <v>104</v>
      </c>
      <c r="F11681" t="s">
        <v>948</v>
      </c>
      <c r="G11681">
        <v>6077777</v>
      </c>
      <c r="H11681">
        <v>500221</v>
      </c>
      <c r="I11681" t="s">
        <v>949</v>
      </c>
    </row>
    <row r="11682" spans="1:9" x14ac:dyDescent="0.25">
      <c r="A11682">
        <v>4141</v>
      </c>
      <c r="B11682">
        <v>60</v>
      </c>
      <c r="C11682" t="s">
        <v>946</v>
      </c>
      <c r="D11682" t="s">
        <v>947</v>
      </c>
      <c r="E11682" t="s">
        <v>278</v>
      </c>
      <c r="F11682" t="s">
        <v>948</v>
      </c>
      <c r="G11682">
        <v>6077777</v>
      </c>
      <c r="H11682">
        <v>500220</v>
      </c>
      <c r="I11682" t="s">
        <v>949</v>
      </c>
    </row>
    <row r="11683" spans="1:9" x14ac:dyDescent="0.25">
      <c r="A11683">
        <v>4220</v>
      </c>
      <c r="B11683">
        <v>60</v>
      </c>
      <c r="C11683" t="s">
        <v>946</v>
      </c>
      <c r="D11683" t="s">
        <v>947</v>
      </c>
      <c r="E11683" t="s">
        <v>278</v>
      </c>
      <c r="F11683" t="s">
        <v>948</v>
      </c>
      <c r="G11683">
        <v>6077777</v>
      </c>
      <c r="H11683">
        <v>500220</v>
      </c>
      <c r="I11683" t="s">
        <v>949</v>
      </c>
    </row>
    <row r="11684" spans="1:9" x14ac:dyDescent="0.25">
      <c r="A11684">
        <v>4230</v>
      </c>
      <c r="B11684">
        <v>60</v>
      </c>
      <c r="C11684" t="s">
        <v>946</v>
      </c>
      <c r="D11684" t="s">
        <v>947</v>
      </c>
      <c r="E11684" t="s">
        <v>278</v>
      </c>
      <c r="F11684" t="s">
        <v>948</v>
      </c>
      <c r="G11684">
        <v>6099999</v>
      </c>
      <c r="H11684">
        <v>401052</v>
      </c>
      <c r="I11684" t="s">
        <v>949</v>
      </c>
    </row>
    <row r="11685" spans="1:9" x14ac:dyDescent="0.25">
      <c r="A11685">
        <v>4240</v>
      </c>
      <c r="B11685">
        <v>60</v>
      </c>
      <c r="C11685" t="s">
        <v>946</v>
      </c>
      <c r="D11685" t="s">
        <v>947</v>
      </c>
      <c r="E11685" t="s">
        <v>278</v>
      </c>
      <c r="F11685" t="s">
        <v>948</v>
      </c>
      <c r="G11685">
        <v>6077777</v>
      </c>
      <c r="H11685">
        <v>500221</v>
      </c>
      <c r="I11685" t="s">
        <v>949</v>
      </c>
    </row>
    <row r="11686" spans="1:9" x14ac:dyDescent="0.25">
      <c r="A11686">
        <v>4141</v>
      </c>
      <c r="B11686">
        <v>60</v>
      </c>
      <c r="C11686" t="s">
        <v>946</v>
      </c>
      <c r="D11686" t="s">
        <v>947</v>
      </c>
      <c r="E11686" t="s">
        <v>282</v>
      </c>
      <c r="F11686" t="s">
        <v>948</v>
      </c>
      <c r="G11686">
        <v>6077777</v>
      </c>
      <c r="H11686">
        <v>500220</v>
      </c>
      <c r="I11686" t="s">
        <v>949</v>
      </c>
    </row>
    <row r="11687" spans="1:9" x14ac:dyDescent="0.25">
      <c r="A11687">
        <v>4220</v>
      </c>
      <c r="B11687">
        <v>60</v>
      </c>
      <c r="C11687" t="s">
        <v>946</v>
      </c>
      <c r="D11687" t="s">
        <v>947</v>
      </c>
      <c r="E11687" t="s">
        <v>282</v>
      </c>
      <c r="F11687" t="s">
        <v>948</v>
      </c>
      <c r="G11687">
        <v>6077777</v>
      </c>
      <c r="H11687">
        <v>500220</v>
      </c>
      <c r="I11687" t="s">
        <v>949</v>
      </c>
    </row>
    <row r="11688" spans="1:9" x14ac:dyDescent="0.25">
      <c r="A11688">
        <v>4230</v>
      </c>
      <c r="B11688">
        <v>60</v>
      </c>
      <c r="C11688" t="s">
        <v>946</v>
      </c>
      <c r="D11688" t="s">
        <v>947</v>
      </c>
      <c r="E11688" t="s">
        <v>282</v>
      </c>
      <c r="F11688" t="s">
        <v>948</v>
      </c>
      <c r="G11688">
        <v>6099999</v>
      </c>
      <c r="H11688">
        <v>401042</v>
      </c>
      <c r="I11688" t="s">
        <v>949</v>
      </c>
    </row>
    <row r="11689" spans="1:9" x14ac:dyDescent="0.25">
      <c r="A11689">
        <v>4240</v>
      </c>
      <c r="B11689">
        <v>60</v>
      </c>
      <c r="C11689" t="s">
        <v>946</v>
      </c>
      <c r="D11689" t="s">
        <v>947</v>
      </c>
      <c r="E11689" t="s">
        <v>282</v>
      </c>
      <c r="F11689" t="s">
        <v>948</v>
      </c>
      <c r="G11689">
        <v>6077777</v>
      </c>
      <c r="H11689">
        <v>500221</v>
      </c>
      <c r="I11689" t="s">
        <v>949</v>
      </c>
    </row>
    <row r="11690" spans="1:9" x14ac:dyDescent="0.25">
      <c r="A11690">
        <v>4141</v>
      </c>
      <c r="B11690">
        <v>60</v>
      </c>
      <c r="C11690" t="s">
        <v>946</v>
      </c>
      <c r="D11690" t="s">
        <v>947</v>
      </c>
      <c r="E11690" t="s">
        <v>286</v>
      </c>
      <c r="F11690" t="s">
        <v>948</v>
      </c>
      <c r="G11690">
        <v>6077777</v>
      </c>
      <c r="H11690">
        <v>500220</v>
      </c>
      <c r="I11690" t="s">
        <v>949</v>
      </c>
    </row>
    <row r="11691" spans="1:9" x14ac:dyDescent="0.25">
      <c r="A11691">
        <v>4220</v>
      </c>
      <c r="B11691">
        <v>60</v>
      </c>
      <c r="C11691" t="s">
        <v>946</v>
      </c>
      <c r="D11691" t="s">
        <v>947</v>
      </c>
      <c r="E11691" t="s">
        <v>286</v>
      </c>
      <c r="F11691" t="s">
        <v>948</v>
      </c>
      <c r="G11691">
        <v>6077777</v>
      </c>
      <c r="H11691">
        <v>500220</v>
      </c>
      <c r="I11691" t="s">
        <v>949</v>
      </c>
    </row>
    <row r="11692" spans="1:9" x14ac:dyDescent="0.25">
      <c r="A11692">
        <v>4230</v>
      </c>
      <c r="B11692">
        <v>60</v>
      </c>
      <c r="C11692" t="s">
        <v>946</v>
      </c>
      <c r="D11692" t="s">
        <v>947</v>
      </c>
      <c r="E11692" t="s">
        <v>286</v>
      </c>
      <c r="F11692" t="s">
        <v>948</v>
      </c>
      <c r="G11692">
        <v>6099999</v>
      </c>
      <c r="H11692">
        <v>401032</v>
      </c>
      <c r="I11692" t="s">
        <v>949</v>
      </c>
    </row>
    <row r="11693" spans="1:9" x14ac:dyDescent="0.25">
      <c r="A11693">
        <v>4240</v>
      </c>
      <c r="B11693">
        <v>60</v>
      </c>
      <c r="C11693" t="s">
        <v>946</v>
      </c>
      <c r="D11693" t="s">
        <v>947</v>
      </c>
      <c r="E11693" t="s">
        <v>286</v>
      </c>
      <c r="F11693" t="s">
        <v>948</v>
      </c>
      <c r="G11693">
        <v>6077777</v>
      </c>
      <c r="H11693">
        <v>500221</v>
      </c>
      <c r="I11693" t="s">
        <v>949</v>
      </c>
    </row>
    <row r="11694" spans="1:9" x14ac:dyDescent="0.25">
      <c r="A11694">
        <v>4141</v>
      </c>
      <c r="B11694">
        <v>60</v>
      </c>
      <c r="C11694" t="s">
        <v>946</v>
      </c>
      <c r="D11694" t="s">
        <v>947</v>
      </c>
      <c r="E11694" t="s">
        <v>976</v>
      </c>
      <c r="F11694" t="s">
        <v>948</v>
      </c>
      <c r="G11694">
        <v>6077777</v>
      </c>
      <c r="H11694">
        <v>500220</v>
      </c>
      <c r="I11694" t="s">
        <v>949</v>
      </c>
    </row>
    <row r="11695" spans="1:9" x14ac:dyDescent="0.25">
      <c r="A11695">
        <v>4220</v>
      </c>
      <c r="B11695">
        <v>60</v>
      </c>
      <c r="C11695" t="s">
        <v>946</v>
      </c>
      <c r="D11695" t="s">
        <v>947</v>
      </c>
      <c r="E11695" t="s">
        <v>976</v>
      </c>
      <c r="F11695" t="s">
        <v>948</v>
      </c>
      <c r="G11695">
        <v>6077777</v>
      </c>
      <c r="H11695">
        <v>500220</v>
      </c>
      <c r="I11695" t="s">
        <v>949</v>
      </c>
    </row>
    <row r="11696" spans="1:9" x14ac:dyDescent="0.25">
      <c r="A11696">
        <v>4230</v>
      </c>
      <c r="B11696">
        <v>60</v>
      </c>
      <c r="C11696" t="s">
        <v>946</v>
      </c>
      <c r="D11696" t="s">
        <v>947</v>
      </c>
      <c r="E11696" t="s">
        <v>976</v>
      </c>
      <c r="F11696" t="s">
        <v>948</v>
      </c>
      <c r="G11696">
        <v>6099999</v>
      </c>
      <c r="H11696">
        <v>401912</v>
      </c>
      <c r="I11696" t="s">
        <v>949</v>
      </c>
    </row>
    <row r="11697" spans="1:9" x14ac:dyDescent="0.25">
      <c r="A11697">
        <v>4240</v>
      </c>
      <c r="B11697">
        <v>60</v>
      </c>
      <c r="C11697" t="s">
        <v>946</v>
      </c>
      <c r="D11697" t="s">
        <v>947</v>
      </c>
      <c r="E11697" t="s">
        <v>976</v>
      </c>
      <c r="F11697" t="s">
        <v>948</v>
      </c>
      <c r="G11697">
        <v>6077777</v>
      </c>
      <c r="H11697">
        <v>500221</v>
      </c>
      <c r="I11697" t="s">
        <v>949</v>
      </c>
    </row>
    <row r="11698" spans="1:9" x14ac:dyDescent="0.25">
      <c r="A11698">
        <v>4141</v>
      </c>
      <c r="B11698">
        <v>60</v>
      </c>
      <c r="C11698" t="s">
        <v>946</v>
      </c>
      <c r="D11698" t="s">
        <v>947</v>
      </c>
      <c r="E11698" t="s">
        <v>290</v>
      </c>
      <c r="F11698" t="s">
        <v>948</v>
      </c>
      <c r="G11698">
        <v>6077777</v>
      </c>
      <c r="H11698">
        <v>500220</v>
      </c>
      <c r="I11698" t="s">
        <v>949</v>
      </c>
    </row>
    <row r="11699" spans="1:9" x14ac:dyDescent="0.25">
      <c r="A11699">
        <v>4220</v>
      </c>
      <c r="B11699">
        <v>60</v>
      </c>
      <c r="C11699" t="s">
        <v>946</v>
      </c>
      <c r="D11699" t="s">
        <v>947</v>
      </c>
      <c r="E11699" t="s">
        <v>290</v>
      </c>
      <c r="F11699" t="s">
        <v>948</v>
      </c>
      <c r="G11699">
        <v>6077777</v>
      </c>
      <c r="H11699">
        <v>500220</v>
      </c>
      <c r="I11699" t="s">
        <v>949</v>
      </c>
    </row>
    <row r="11700" spans="1:9" x14ac:dyDescent="0.25">
      <c r="A11700">
        <v>4230</v>
      </c>
      <c r="B11700">
        <v>60</v>
      </c>
      <c r="C11700" t="s">
        <v>946</v>
      </c>
      <c r="D11700" t="s">
        <v>947</v>
      </c>
      <c r="E11700" t="s">
        <v>290</v>
      </c>
      <c r="F11700" t="s">
        <v>948</v>
      </c>
      <c r="G11700">
        <v>6099999</v>
      </c>
      <c r="H11700">
        <v>401042</v>
      </c>
      <c r="I11700" t="s">
        <v>949</v>
      </c>
    </row>
    <row r="11701" spans="1:9" x14ac:dyDescent="0.25">
      <c r="A11701">
        <v>4240</v>
      </c>
      <c r="B11701">
        <v>60</v>
      </c>
      <c r="C11701" t="s">
        <v>946</v>
      </c>
      <c r="D11701" t="s">
        <v>947</v>
      </c>
      <c r="E11701" t="s">
        <v>290</v>
      </c>
      <c r="F11701" t="s">
        <v>948</v>
      </c>
      <c r="G11701">
        <v>6077777</v>
      </c>
      <c r="H11701">
        <v>500221</v>
      </c>
      <c r="I11701" t="s">
        <v>949</v>
      </c>
    </row>
    <row r="11702" spans="1:9" x14ac:dyDescent="0.25">
      <c r="A11702">
        <v>4141</v>
      </c>
      <c r="B11702">
        <v>60</v>
      </c>
      <c r="C11702" t="s">
        <v>946</v>
      </c>
      <c r="D11702" t="s">
        <v>947</v>
      </c>
      <c r="E11702" t="s">
        <v>294</v>
      </c>
      <c r="F11702" t="s">
        <v>948</v>
      </c>
      <c r="G11702">
        <v>6077777</v>
      </c>
      <c r="H11702">
        <v>500220</v>
      </c>
      <c r="I11702" t="s">
        <v>949</v>
      </c>
    </row>
    <row r="11703" spans="1:9" x14ac:dyDescent="0.25">
      <c r="A11703">
        <v>4220</v>
      </c>
      <c r="B11703">
        <v>60</v>
      </c>
      <c r="C11703" t="s">
        <v>946</v>
      </c>
      <c r="D11703" t="s">
        <v>947</v>
      </c>
      <c r="E11703" t="s">
        <v>294</v>
      </c>
      <c r="F11703" t="s">
        <v>948</v>
      </c>
      <c r="G11703">
        <v>6077777</v>
      </c>
      <c r="H11703">
        <v>500220</v>
      </c>
      <c r="I11703" t="s">
        <v>949</v>
      </c>
    </row>
    <row r="11704" spans="1:9" x14ac:dyDescent="0.25">
      <c r="A11704">
        <v>4230</v>
      </c>
      <c r="B11704">
        <v>60</v>
      </c>
      <c r="C11704" t="s">
        <v>946</v>
      </c>
      <c r="D11704" t="s">
        <v>947</v>
      </c>
      <c r="E11704" t="s">
        <v>294</v>
      </c>
      <c r="F11704" t="s">
        <v>948</v>
      </c>
      <c r="G11704">
        <v>6099999</v>
      </c>
      <c r="H11704">
        <v>401042</v>
      </c>
      <c r="I11704" t="s">
        <v>949</v>
      </c>
    </row>
    <row r="11705" spans="1:9" x14ac:dyDescent="0.25">
      <c r="A11705">
        <v>4240</v>
      </c>
      <c r="B11705">
        <v>60</v>
      </c>
      <c r="C11705" t="s">
        <v>946</v>
      </c>
      <c r="D11705" t="s">
        <v>947</v>
      </c>
      <c r="E11705" t="s">
        <v>294</v>
      </c>
      <c r="F11705" t="s">
        <v>948</v>
      </c>
      <c r="G11705">
        <v>6077777</v>
      </c>
      <c r="H11705">
        <v>500221</v>
      </c>
      <c r="I11705" t="s">
        <v>949</v>
      </c>
    </row>
    <row r="11706" spans="1:9" x14ac:dyDescent="0.25">
      <c r="A11706">
        <v>4230</v>
      </c>
      <c r="B11706">
        <v>60</v>
      </c>
      <c r="C11706" t="s">
        <v>946</v>
      </c>
      <c r="D11706" t="s">
        <v>947</v>
      </c>
      <c r="E11706" t="s">
        <v>298</v>
      </c>
      <c r="F11706" t="s">
        <v>948</v>
      </c>
      <c r="G11706">
        <v>6099999</v>
      </c>
      <c r="H11706">
        <v>402082</v>
      </c>
      <c r="I11706" t="s">
        <v>949</v>
      </c>
    </row>
    <row r="11707" spans="1:9" x14ac:dyDescent="0.25">
      <c r="A11707">
        <v>4141</v>
      </c>
      <c r="B11707">
        <v>60</v>
      </c>
      <c r="C11707" t="s">
        <v>946</v>
      </c>
      <c r="D11707" t="s">
        <v>947</v>
      </c>
      <c r="E11707" t="s">
        <v>980</v>
      </c>
      <c r="F11707" t="s">
        <v>948</v>
      </c>
      <c r="G11707">
        <v>6077777</v>
      </c>
      <c r="H11707">
        <v>500220</v>
      </c>
      <c r="I11707" t="s">
        <v>949</v>
      </c>
    </row>
    <row r="11708" spans="1:9" x14ac:dyDescent="0.25">
      <c r="A11708">
        <v>4220</v>
      </c>
      <c r="B11708">
        <v>60</v>
      </c>
      <c r="C11708" t="s">
        <v>946</v>
      </c>
      <c r="D11708" t="s">
        <v>947</v>
      </c>
      <c r="E11708" t="s">
        <v>980</v>
      </c>
      <c r="F11708" t="s">
        <v>948</v>
      </c>
      <c r="G11708">
        <v>6077777</v>
      </c>
      <c r="H11708">
        <v>500220</v>
      </c>
      <c r="I11708" t="s">
        <v>949</v>
      </c>
    </row>
    <row r="11709" spans="1:9" x14ac:dyDescent="0.25">
      <c r="A11709">
        <v>4230</v>
      </c>
      <c r="B11709">
        <v>60</v>
      </c>
      <c r="C11709" t="s">
        <v>946</v>
      </c>
      <c r="D11709" t="s">
        <v>947</v>
      </c>
      <c r="E11709" t="s">
        <v>980</v>
      </c>
      <c r="F11709" t="s">
        <v>948</v>
      </c>
      <c r="G11709">
        <v>6099999</v>
      </c>
      <c r="H11709">
        <v>401912</v>
      </c>
      <c r="I11709" t="s">
        <v>949</v>
      </c>
    </row>
    <row r="11710" spans="1:9" x14ac:dyDescent="0.25">
      <c r="A11710">
        <v>4240</v>
      </c>
      <c r="B11710">
        <v>60</v>
      </c>
      <c r="C11710" t="s">
        <v>946</v>
      </c>
      <c r="D11710" t="s">
        <v>947</v>
      </c>
      <c r="E11710" t="s">
        <v>980</v>
      </c>
      <c r="F11710" t="s">
        <v>948</v>
      </c>
      <c r="G11710">
        <v>6077777</v>
      </c>
      <c r="H11710">
        <v>500221</v>
      </c>
      <c r="I11710" t="s">
        <v>949</v>
      </c>
    </row>
    <row r="11711" spans="1:9" x14ac:dyDescent="0.25">
      <c r="A11711">
        <v>4141</v>
      </c>
      <c r="B11711">
        <v>60</v>
      </c>
      <c r="C11711" t="s">
        <v>946</v>
      </c>
      <c r="D11711" t="s">
        <v>947</v>
      </c>
      <c r="E11711" t="s">
        <v>302</v>
      </c>
      <c r="F11711" t="s">
        <v>948</v>
      </c>
      <c r="G11711">
        <v>6077777</v>
      </c>
      <c r="H11711">
        <v>500220</v>
      </c>
      <c r="I11711" t="s">
        <v>949</v>
      </c>
    </row>
    <row r="11712" spans="1:9" x14ac:dyDescent="0.25">
      <c r="A11712">
        <v>4220</v>
      </c>
      <c r="B11712">
        <v>60</v>
      </c>
      <c r="C11712" t="s">
        <v>946</v>
      </c>
      <c r="D11712" t="s">
        <v>947</v>
      </c>
      <c r="E11712" t="s">
        <v>302</v>
      </c>
      <c r="F11712" t="s">
        <v>948</v>
      </c>
      <c r="G11712">
        <v>6077777</v>
      </c>
      <c r="H11712">
        <v>500220</v>
      </c>
      <c r="I11712" t="s">
        <v>949</v>
      </c>
    </row>
    <row r="11713" spans="1:9" x14ac:dyDescent="0.25">
      <c r="A11713">
        <v>4230</v>
      </c>
      <c r="B11713">
        <v>60</v>
      </c>
      <c r="C11713" t="s">
        <v>946</v>
      </c>
      <c r="D11713" t="s">
        <v>947</v>
      </c>
      <c r="E11713" t="s">
        <v>302</v>
      </c>
      <c r="F11713" t="s">
        <v>948</v>
      </c>
      <c r="G11713">
        <v>6099999</v>
      </c>
      <c r="H11713">
        <v>401902</v>
      </c>
      <c r="I11713" t="s">
        <v>949</v>
      </c>
    </row>
    <row r="11714" spans="1:9" x14ac:dyDescent="0.25">
      <c r="A11714">
        <v>4240</v>
      </c>
      <c r="B11714">
        <v>60</v>
      </c>
      <c r="C11714" t="s">
        <v>946</v>
      </c>
      <c r="D11714" t="s">
        <v>947</v>
      </c>
      <c r="E11714" t="s">
        <v>302</v>
      </c>
      <c r="F11714" t="s">
        <v>948</v>
      </c>
      <c r="G11714">
        <v>6077777</v>
      </c>
      <c r="H11714">
        <v>500221</v>
      </c>
      <c r="I11714" t="s">
        <v>949</v>
      </c>
    </row>
    <row r="11715" spans="1:9" x14ac:dyDescent="0.25">
      <c r="A11715">
        <v>4141</v>
      </c>
      <c r="B11715">
        <v>60</v>
      </c>
      <c r="C11715" t="s">
        <v>946</v>
      </c>
      <c r="D11715" t="s">
        <v>947</v>
      </c>
      <c r="E11715" t="s">
        <v>306</v>
      </c>
      <c r="F11715" t="s">
        <v>948</v>
      </c>
      <c r="G11715">
        <v>6077777</v>
      </c>
      <c r="H11715">
        <v>500220</v>
      </c>
      <c r="I11715" t="s">
        <v>949</v>
      </c>
    </row>
    <row r="11716" spans="1:9" x14ac:dyDescent="0.25">
      <c r="A11716">
        <v>4220</v>
      </c>
      <c r="B11716">
        <v>60</v>
      </c>
      <c r="C11716" t="s">
        <v>946</v>
      </c>
      <c r="D11716" t="s">
        <v>947</v>
      </c>
      <c r="E11716" t="s">
        <v>306</v>
      </c>
      <c r="F11716" t="s">
        <v>948</v>
      </c>
      <c r="G11716">
        <v>6077777</v>
      </c>
      <c r="H11716">
        <v>500220</v>
      </c>
      <c r="I11716" t="s">
        <v>949</v>
      </c>
    </row>
    <row r="11717" spans="1:9" x14ac:dyDescent="0.25">
      <c r="A11717">
        <v>4230</v>
      </c>
      <c r="B11717">
        <v>60</v>
      </c>
      <c r="C11717" t="s">
        <v>946</v>
      </c>
      <c r="D11717" t="s">
        <v>947</v>
      </c>
      <c r="E11717" t="s">
        <v>306</v>
      </c>
      <c r="F11717" t="s">
        <v>948</v>
      </c>
      <c r="G11717">
        <v>6099999</v>
      </c>
      <c r="H11717">
        <v>401042</v>
      </c>
      <c r="I11717" t="s">
        <v>949</v>
      </c>
    </row>
    <row r="11718" spans="1:9" x14ac:dyDescent="0.25">
      <c r="A11718">
        <v>4240</v>
      </c>
      <c r="B11718">
        <v>60</v>
      </c>
      <c r="C11718" t="s">
        <v>946</v>
      </c>
      <c r="D11718" t="s">
        <v>947</v>
      </c>
      <c r="E11718" t="s">
        <v>306</v>
      </c>
      <c r="F11718" t="s">
        <v>948</v>
      </c>
      <c r="G11718">
        <v>6077777</v>
      </c>
      <c r="H11718">
        <v>500221</v>
      </c>
      <c r="I11718" t="s">
        <v>949</v>
      </c>
    </row>
    <row r="11719" spans="1:9" x14ac:dyDescent="0.25">
      <c r="A11719">
        <v>4141</v>
      </c>
      <c r="B11719">
        <v>60</v>
      </c>
      <c r="C11719" t="s">
        <v>946</v>
      </c>
      <c r="D11719" t="s">
        <v>947</v>
      </c>
      <c r="E11719" t="s">
        <v>108</v>
      </c>
      <c r="F11719" t="s">
        <v>948</v>
      </c>
      <c r="G11719">
        <v>6077777</v>
      </c>
      <c r="H11719">
        <v>500220</v>
      </c>
      <c r="I11719" t="s">
        <v>949</v>
      </c>
    </row>
    <row r="11720" spans="1:9" x14ac:dyDescent="0.25">
      <c r="A11720">
        <v>4220</v>
      </c>
      <c r="B11720">
        <v>60</v>
      </c>
      <c r="C11720" t="s">
        <v>946</v>
      </c>
      <c r="D11720" t="s">
        <v>947</v>
      </c>
      <c r="E11720" t="s">
        <v>108</v>
      </c>
      <c r="F11720" t="s">
        <v>948</v>
      </c>
      <c r="G11720">
        <v>6077777</v>
      </c>
      <c r="H11720">
        <v>500220</v>
      </c>
      <c r="I11720" t="s">
        <v>949</v>
      </c>
    </row>
    <row r="11721" spans="1:9" x14ac:dyDescent="0.25">
      <c r="A11721">
        <v>4230</v>
      </c>
      <c r="B11721">
        <v>60</v>
      </c>
      <c r="C11721" t="s">
        <v>946</v>
      </c>
      <c r="D11721" t="s">
        <v>947</v>
      </c>
      <c r="E11721" t="s">
        <v>108</v>
      </c>
      <c r="F11721" t="s">
        <v>948</v>
      </c>
      <c r="G11721">
        <v>6099999</v>
      </c>
      <c r="H11721">
        <v>401042</v>
      </c>
      <c r="I11721" t="s">
        <v>949</v>
      </c>
    </row>
    <row r="11722" spans="1:9" x14ac:dyDescent="0.25">
      <c r="A11722">
        <v>4240</v>
      </c>
      <c r="B11722">
        <v>60</v>
      </c>
      <c r="C11722" t="s">
        <v>946</v>
      </c>
      <c r="D11722" t="s">
        <v>947</v>
      </c>
      <c r="E11722" t="s">
        <v>108</v>
      </c>
      <c r="F11722" t="s">
        <v>948</v>
      </c>
      <c r="G11722">
        <v>6077777</v>
      </c>
      <c r="H11722">
        <v>500221</v>
      </c>
      <c r="I11722" t="s">
        <v>949</v>
      </c>
    </row>
    <row r="11723" spans="1:9" x14ac:dyDescent="0.25">
      <c r="A11723">
        <v>4141</v>
      </c>
      <c r="B11723">
        <v>60</v>
      </c>
      <c r="C11723" t="s">
        <v>946</v>
      </c>
      <c r="D11723" t="s">
        <v>947</v>
      </c>
      <c r="E11723" t="s">
        <v>310</v>
      </c>
      <c r="F11723" t="s">
        <v>948</v>
      </c>
      <c r="G11723">
        <v>6077777</v>
      </c>
      <c r="H11723">
        <v>500220</v>
      </c>
      <c r="I11723" t="s">
        <v>949</v>
      </c>
    </row>
    <row r="11724" spans="1:9" x14ac:dyDescent="0.25">
      <c r="A11724">
        <v>4220</v>
      </c>
      <c r="B11724">
        <v>60</v>
      </c>
      <c r="C11724" t="s">
        <v>946</v>
      </c>
      <c r="D11724" t="s">
        <v>947</v>
      </c>
      <c r="E11724" t="s">
        <v>310</v>
      </c>
      <c r="F11724" t="s">
        <v>948</v>
      </c>
      <c r="G11724">
        <v>6077777</v>
      </c>
      <c r="H11724">
        <v>500220</v>
      </c>
      <c r="I11724" t="s">
        <v>949</v>
      </c>
    </row>
    <row r="11725" spans="1:9" x14ac:dyDescent="0.25">
      <c r="A11725">
        <v>4230</v>
      </c>
      <c r="B11725">
        <v>60</v>
      </c>
      <c r="C11725" t="s">
        <v>946</v>
      </c>
      <c r="D11725" t="s">
        <v>947</v>
      </c>
      <c r="E11725" t="s">
        <v>310</v>
      </c>
      <c r="F11725" t="s">
        <v>948</v>
      </c>
      <c r="G11725">
        <v>6099999</v>
      </c>
      <c r="H11725">
        <v>401012</v>
      </c>
      <c r="I11725" t="s">
        <v>949</v>
      </c>
    </row>
    <row r="11726" spans="1:9" x14ac:dyDescent="0.25">
      <c r="A11726">
        <v>4240</v>
      </c>
      <c r="B11726">
        <v>60</v>
      </c>
      <c r="C11726" t="s">
        <v>946</v>
      </c>
      <c r="D11726" t="s">
        <v>947</v>
      </c>
      <c r="E11726" t="s">
        <v>310</v>
      </c>
      <c r="F11726" t="s">
        <v>948</v>
      </c>
      <c r="G11726">
        <v>6077777</v>
      </c>
      <c r="H11726">
        <v>500221</v>
      </c>
      <c r="I11726" t="s">
        <v>949</v>
      </c>
    </row>
    <row r="11727" spans="1:9" x14ac:dyDescent="0.25">
      <c r="A11727">
        <v>4141</v>
      </c>
      <c r="B11727">
        <v>60</v>
      </c>
      <c r="C11727" t="s">
        <v>946</v>
      </c>
      <c r="D11727" t="s">
        <v>947</v>
      </c>
      <c r="E11727" t="s">
        <v>314</v>
      </c>
      <c r="F11727" t="s">
        <v>948</v>
      </c>
      <c r="G11727">
        <v>6077777</v>
      </c>
      <c r="H11727">
        <v>500220</v>
      </c>
      <c r="I11727" t="s">
        <v>949</v>
      </c>
    </row>
    <row r="11728" spans="1:9" x14ac:dyDescent="0.25">
      <c r="A11728">
        <v>4220</v>
      </c>
      <c r="B11728">
        <v>60</v>
      </c>
      <c r="C11728" t="s">
        <v>946</v>
      </c>
      <c r="D11728" t="s">
        <v>947</v>
      </c>
      <c r="E11728" t="s">
        <v>314</v>
      </c>
      <c r="F11728" t="s">
        <v>948</v>
      </c>
      <c r="G11728">
        <v>6077777</v>
      </c>
      <c r="H11728">
        <v>500220</v>
      </c>
      <c r="I11728" t="s">
        <v>949</v>
      </c>
    </row>
    <row r="11729" spans="1:9" x14ac:dyDescent="0.25">
      <c r="A11729">
        <v>4230</v>
      </c>
      <c r="B11729">
        <v>60</v>
      </c>
      <c r="C11729" t="s">
        <v>946</v>
      </c>
      <c r="D11729" t="s">
        <v>947</v>
      </c>
      <c r="E11729" t="s">
        <v>314</v>
      </c>
      <c r="F11729" t="s">
        <v>948</v>
      </c>
      <c r="G11729">
        <v>6099999</v>
      </c>
      <c r="H11729">
        <v>401062</v>
      </c>
      <c r="I11729" t="s">
        <v>949</v>
      </c>
    </row>
    <row r="11730" spans="1:9" x14ac:dyDescent="0.25">
      <c r="A11730">
        <v>4240</v>
      </c>
      <c r="B11730">
        <v>60</v>
      </c>
      <c r="C11730" t="s">
        <v>946</v>
      </c>
      <c r="D11730" t="s">
        <v>947</v>
      </c>
      <c r="E11730" t="s">
        <v>314</v>
      </c>
      <c r="F11730" t="s">
        <v>948</v>
      </c>
      <c r="G11730">
        <v>6077777</v>
      </c>
      <c r="H11730">
        <v>500221</v>
      </c>
      <c r="I11730" t="s">
        <v>949</v>
      </c>
    </row>
    <row r="11731" spans="1:9" x14ac:dyDescent="0.25">
      <c r="A11731">
        <v>4141</v>
      </c>
      <c r="B11731">
        <v>60</v>
      </c>
      <c r="C11731" t="s">
        <v>946</v>
      </c>
      <c r="D11731" t="s">
        <v>947</v>
      </c>
      <c r="E11731" t="s">
        <v>113</v>
      </c>
      <c r="F11731" t="s">
        <v>948</v>
      </c>
      <c r="G11731">
        <v>6077777</v>
      </c>
      <c r="H11731">
        <v>500220</v>
      </c>
      <c r="I11731" t="s">
        <v>949</v>
      </c>
    </row>
    <row r="11732" spans="1:9" x14ac:dyDescent="0.25">
      <c r="A11732">
        <v>4220</v>
      </c>
      <c r="B11732">
        <v>60</v>
      </c>
      <c r="C11732" t="s">
        <v>946</v>
      </c>
      <c r="D11732" t="s">
        <v>947</v>
      </c>
      <c r="E11732" t="s">
        <v>113</v>
      </c>
      <c r="F11732" t="s">
        <v>948</v>
      </c>
      <c r="G11732">
        <v>6077777</v>
      </c>
      <c r="H11732">
        <v>500220</v>
      </c>
      <c r="I11732" t="s">
        <v>949</v>
      </c>
    </row>
    <row r="11733" spans="1:9" x14ac:dyDescent="0.25">
      <c r="A11733">
        <v>4230</v>
      </c>
      <c r="B11733">
        <v>60</v>
      </c>
      <c r="C11733" t="s">
        <v>946</v>
      </c>
      <c r="D11733" t="s">
        <v>947</v>
      </c>
      <c r="E11733" t="s">
        <v>113</v>
      </c>
      <c r="F11733" t="s">
        <v>948</v>
      </c>
      <c r="G11733">
        <v>6099999</v>
      </c>
      <c r="H11733">
        <v>402082</v>
      </c>
      <c r="I11733" t="s">
        <v>949</v>
      </c>
    </row>
    <row r="11734" spans="1:9" x14ac:dyDescent="0.25">
      <c r="A11734">
        <v>4240</v>
      </c>
      <c r="B11734">
        <v>60</v>
      </c>
      <c r="C11734" t="s">
        <v>946</v>
      </c>
      <c r="D11734" t="s">
        <v>947</v>
      </c>
      <c r="E11734" t="s">
        <v>113</v>
      </c>
      <c r="F11734" t="s">
        <v>948</v>
      </c>
      <c r="G11734">
        <v>6077777</v>
      </c>
      <c r="H11734">
        <v>500221</v>
      </c>
      <c r="I11734" t="s">
        <v>949</v>
      </c>
    </row>
    <row r="11735" spans="1:9" x14ac:dyDescent="0.25">
      <c r="A11735">
        <v>4141</v>
      </c>
      <c r="B11735">
        <v>60</v>
      </c>
      <c r="C11735" t="s">
        <v>946</v>
      </c>
      <c r="D11735" t="s">
        <v>947</v>
      </c>
      <c r="E11735" t="s">
        <v>117</v>
      </c>
      <c r="F11735" t="s">
        <v>948</v>
      </c>
      <c r="G11735">
        <v>6077777</v>
      </c>
      <c r="H11735">
        <v>500220</v>
      </c>
      <c r="I11735" t="s">
        <v>949</v>
      </c>
    </row>
    <row r="11736" spans="1:9" x14ac:dyDescent="0.25">
      <c r="A11736">
        <v>4220</v>
      </c>
      <c r="B11736">
        <v>60</v>
      </c>
      <c r="C11736" t="s">
        <v>946</v>
      </c>
      <c r="D11736" t="s">
        <v>947</v>
      </c>
      <c r="E11736" t="s">
        <v>117</v>
      </c>
      <c r="F11736" t="s">
        <v>948</v>
      </c>
      <c r="G11736">
        <v>6077777</v>
      </c>
      <c r="H11736">
        <v>500220</v>
      </c>
      <c r="I11736" t="s">
        <v>949</v>
      </c>
    </row>
    <row r="11737" spans="1:9" x14ac:dyDescent="0.25">
      <c r="A11737">
        <v>4240</v>
      </c>
      <c r="B11737">
        <v>60</v>
      </c>
      <c r="C11737" t="s">
        <v>946</v>
      </c>
      <c r="D11737" t="s">
        <v>947</v>
      </c>
      <c r="E11737" t="s">
        <v>117</v>
      </c>
      <c r="F11737" t="s">
        <v>948</v>
      </c>
      <c r="G11737">
        <v>6077777</v>
      </c>
      <c r="H11737">
        <v>500221</v>
      </c>
      <c r="I11737" t="s">
        <v>949</v>
      </c>
    </row>
    <row r="11738" spans="1:9" x14ac:dyDescent="0.25">
      <c r="A11738">
        <v>4141</v>
      </c>
      <c r="B11738">
        <v>60</v>
      </c>
      <c r="C11738" t="s">
        <v>946</v>
      </c>
      <c r="D11738" t="s">
        <v>947</v>
      </c>
      <c r="E11738" t="s">
        <v>121</v>
      </c>
      <c r="F11738" t="s">
        <v>948</v>
      </c>
      <c r="G11738">
        <v>6077777</v>
      </c>
      <c r="H11738">
        <v>500220</v>
      </c>
      <c r="I11738" t="s">
        <v>949</v>
      </c>
    </row>
    <row r="11739" spans="1:9" x14ac:dyDescent="0.25">
      <c r="A11739">
        <v>4220</v>
      </c>
      <c r="B11739">
        <v>60</v>
      </c>
      <c r="C11739" t="s">
        <v>946</v>
      </c>
      <c r="D11739" t="s">
        <v>947</v>
      </c>
      <c r="E11739" t="s">
        <v>121</v>
      </c>
      <c r="F11739" t="s">
        <v>948</v>
      </c>
      <c r="G11739">
        <v>6077777</v>
      </c>
      <c r="H11739">
        <v>500220</v>
      </c>
      <c r="I11739" t="s">
        <v>949</v>
      </c>
    </row>
    <row r="11740" spans="1:9" x14ac:dyDescent="0.25">
      <c r="A11740">
        <v>4230</v>
      </c>
      <c r="B11740">
        <v>60</v>
      </c>
      <c r="C11740" t="s">
        <v>946</v>
      </c>
      <c r="D11740" t="s">
        <v>947</v>
      </c>
      <c r="E11740" t="s">
        <v>121</v>
      </c>
      <c r="F11740" t="s">
        <v>948</v>
      </c>
      <c r="G11740">
        <v>6099999</v>
      </c>
      <c r="H11740">
        <v>401042</v>
      </c>
      <c r="I11740" t="s">
        <v>949</v>
      </c>
    </row>
    <row r="11741" spans="1:9" x14ac:dyDescent="0.25">
      <c r="A11741">
        <v>4240</v>
      </c>
      <c r="B11741">
        <v>60</v>
      </c>
      <c r="C11741" t="s">
        <v>946</v>
      </c>
      <c r="D11741" t="s">
        <v>947</v>
      </c>
      <c r="E11741" t="s">
        <v>121</v>
      </c>
      <c r="F11741" t="s">
        <v>948</v>
      </c>
      <c r="G11741">
        <v>6077777</v>
      </c>
      <c r="H11741">
        <v>500221</v>
      </c>
      <c r="I11741" t="s">
        <v>949</v>
      </c>
    </row>
    <row r="11742" spans="1:9" x14ac:dyDescent="0.25">
      <c r="A11742">
        <v>4141</v>
      </c>
      <c r="B11742">
        <v>60</v>
      </c>
      <c r="C11742" t="s">
        <v>946</v>
      </c>
      <c r="D11742" t="s">
        <v>947</v>
      </c>
      <c r="E11742" t="s">
        <v>984</v>
      </c>
      <c r="F11742" t="s">
        <v>948</v>
      </c>
      <c r="G11742">
        <v>6077777</v>
      </c>
      <c r="H11742">
        <v>500220</v>
      </c>
      <c r="I11742" t="s">
        <v>949</v>
      </c>
    </row>
    <row r="11743" spans="1:9" x14ac:dyDescent="0.25">
      <c r="A11743">
        <v>4220</v>
      </c>
      <c r="B11743">
        <v>60</v>
      </c>
      <c r="C11743" t="s">
        <v>946</v>
      </c>
      <c r="D11743" t="s">
        <v>947</v>
      </c>
      <c r="E11743" t="s">
        <v>984</v>
      </c>
      <c r="F11743" t="s">
        <v>948</v>
      </c>
      <c r="G11743">
        <v>6077777</v>
      </c>
      <c r="H11743">
        <v>500220</v>
      </c>
      <c r="I11743" t="s">
        <v>949</v>
      </c>
    </row>
    <row r="11744" spans="1:9" x14ac:dyDescent="0.25">
      <c r="A11744">
        <v>4230</v>
      </c>
      <c r="B11744">
        <v>60</v>
      </c>
      <c r="C11744" t="s">
        <v>946</v>
      </c>
      <c r="D11744" t="s">
        <v>947</v>
      </c>
      <c r="E11744" t="s">
        <v>984</v>
      </c>
      <c r="F11744" t="s">
        <v>948</v>
      </c>
      <c r="G11744">
        <v>6099999</v>
      </c>
      <c r="H11744">
        <v>401912</v>
      </c>
      <c r="I11744" t="s">
        <v>949</v>
      </c>
    </row>
    <row r="11745" spans="1:9" x14ac:dyDescent="0.25">
      <c r="A11745">
        <v>4240</v>
      </c>
      <c r="B11745">
        <v>60</v>
      </c>
      <c r="C11745" t="s">
        <v>946</v>
      </c>
      <c r="D11745" t="s">
        <v>947</v>
      </c>
      <c r="E11745" t="s">
        <v>984</v>
      </c>
      <c r="F11745" t="s">
        <v>948</v>
      </c>
      <c r="G11745">
        <v>6077777</v>
      </c>
      <c r="H11745">
        <v>500221</v>
      </c>
      <c r="I11745" t="s">
        <v>949</v>
      </c>
    </row>
    <row r="11746" spans="1:9" x14ac:dyDescent="0.25">
      <c r="A11746">
        <v>4230</v>
      </c>
      <c r="B11746">
        <v>60</v>
      </c>
      <c r="C11746" t="s">
        <v>946</v>
      </c>
      <c r="D11746" t="s">
        <v>993</v>
      </c>
      <c r="E11746" t="s">
        <v>49</v>
      </c>
      <c r="F11746" t="s">
        <v>948</v>
      </c>
      <c r="G11746">
        <v>6001305</v>
      </c>
      <c r="H11746">
        <v>740250</v>
      </c>
      <c r="I11746" t="s">
        <v>949</v>
      </c>
    </row>
    <row r="11747" spans="1:9" x14ac:dyDescent="0.25">
      <c r="A11747">
        <v>4141</v>
      </c>
      <c r="B11747">
        <v>60</v>
      </c>
      <c r="C11747" t="s">
        <v>946</v>
      </c>
      <c r="D11747" t="s">
        <v>993</v>
      </c>
      <c r="E11747" t="s">
        <v>243</v>
      </c>
      <c r="F11747" t="s">
        <v>948</v>
      </c>
      <c r="G11747">
        <v>6077777</v>
      </c>
      <c r="H11747">
        <v>501010</v>
      </c>
      <c r="I11747" t="s">
        <v>949</v>
      </c>
    </row>
    <row r="11748" spans="1:9" x14ac:dyDescent="0.25">
      <c r="A11748">
        <v>4220</v>
      </c>
      <c r="B11748">
        <v>60</v>
      </c>
      <c r="C11748" t="s">
        <v>946</v>
      </c>
      <c r="D11748" t="s">
        <v>993</v>
      </c>
      <c r="E11748" t="s">
        <v>243</v>
      </c>
      <c r="F11748" t="s">
        <v>948</v>
      </c>
      <c r="G11748">
        <v>6077777</v>
      </c>
      <c r="H11748">
        <v>500220</v>
      </c>
      <c r="I11748" t="s">
        <v>949</v>
      </c>
    </row>
    <row r="11749" spans="1:9" x14ac:dyDescent="0.25">
      <c r="A11749">
        <v>4240</v>
      </c>
      <c r="B11749">
        <v>60</v>
      </c>
      <c r="C11749" t="s">
        <v>946</v>
      </c>
      <c r="D11749" t="s">
        <v>993</v>
      </c>
      <c r="E11749" t="s">
        <v>243</v>
      </c>
      <c r="F11749" t="s">
        <v>948</v>
      </c>
      <c r="G11749">
        <v>6077777</v>
      </c>
      <c r="H11749">
        <v>500221</v>
      </c>
      <c r="I11749" t="s">
        <v>949</v>
      </c>
    </row>
    <row r="11750" spans="1:9" x14ac:dyDescent="0.25">
      <c r="A11750">
        <v>4141</v>
      </c>
      <c r="B11750">
        <v>60</v>
      </c>
      <c r="C11750" t="s">
        <v>946</v>
      </c>
      <c r="D11750" t="s">
        <v>993</v>
      </c>
      <c r="E11750" t="s">
        <v>247</v>
      </c>
      <c r="F11750" t="s">
        <v>948</v>
      </c>
      <c r="G11750">
        <v>6077777</v>
      </c>
      <c r="H11750">
        <v>501010</v>
      </c>
      <c r="I11750" t="s">
        <v>949</v>
      </c>
    </row>
    <row r="11751" spans="1:9" x14ac:dyDescent="0.25">
      <c r="A11751">
        <v>4220</v>
      </c>
      <c r="B11751">
        <v>60</v>
      </c>
      <c r="C11751" t="s">
        <v>946</v>
      </c>
      <c r="D11751" t="s">
        <v>993</v>
      </c>
      <c r="E11751" t="s">
        <v>247</v>
      </c>
      <c r="F11751" t="s">
        <v>948</v>
      </c>
      <c r="G11751">
        <v>6077777</v>
      </c>
      <c r="H11751">
        <v>500220</v>
      </c>
      <c r="I11751" t="s">
        <v>949</v>
      </c>
    </row>
    <row r="11752" spans="1:9" x14ac:dyDescent="0.25">
      <c r="A11752">
        <v>4240</v>
      </c>
      <c r="B11752">
        <v>60</v>
      </c>
      <c r="C11752" t="s">
        <v>946</v>
      </c>
      <c r="D11752" t="s">
        <v>993</v>
      </c>
      <c r="E11752" t="s">
        <v>247</v>
      </c>
      <c r="F11752" t="s">
        <v>948</v>
      </c>
      <c r="G11752">
        <v>6077777</v>
      </c>
      <c r="H11752">
        <v>500221</v>
      </c>
      <c r="I11752" t="s">
        <v>949</v>
      </c>
    </row>
    <row r="11753" spans="1:9" x14ac:dyDescent="0.25">
      <c r="A11753">
        <v>4141</v>
      </c>
      <c r="B11753">
        <v>60</v>
      </c>
      <c r="C11753" t="s">
        <v>946</v>
      </c>
      <c r="D11753" t="s">
        <v>993</v>
      </c>
      <c r="E11753" t="s">
        <v>251</v>
      </c>
      <c r="F11753" t="s">
        <v>948</v>
      </c>
      <c r="G11753">
        <v>6077777</v>
      </c>
      <c r="H11753">
        <v>501010</v>
      </c>
      <c r="I11753" t="s">
        <v>949</v>
      </c>
    </row>
    <row r="11754" spans="1:9" x14ac:dyDescent="0.25">
      <c r="A11754">
        <v>4220</v>
      </c>
      <c r="B11754">
        <v>60</v>
      </c>
      <c r="C11754" t="s">
        <v>946</v>
      </c>
      <c r="D11754" t="s">
        <v>993</v>
      </c>
      <c r="E11754" t="s">
        <v>251</v>
      </c>
      <c r="F11754" t="s">
        <v>948</v>
      </c>
      <c r="G11754">
        <v>6077777</v>
      </c>
      <c r="H11754">
        <v>500220</v>
      </c>
      <c r="I11754" t="s">
        <v>949</v>
      </c>
    </row>
    <row r="11755" spans="1:9" x14ac:dyDescent="0.25">
      <c r="A11755">
        <v>4240</v>
      </c>
      <c r="B11755">
        <v>60</v>
      </c>
      <c r="C11755" t="s">
        <v>946</v>
      </c>
      <c r="D11755" t="s">
        <v>993</v>
      </c>
      <c r="E11755" t="s">
        <v>251</v>
      </c>
      <c r="F11755" t="s">
        <v>948</v>
      </c>
      <c r="G11755">
        <v>6077777</v>
      </c>
      <c r="H11755">
        <v>500221</v>
      </c>
      <c r="I11755" t="s">
        <v>949</v>
      </c>
    </row>
    <row r="11756" spans="1:9" x14ac:dyDescent="0.25">
      <c r="A11756">
        <v>4141</v>
      </c>
      <c r="B11756">
        <v>60</v>
      </c>
      <c r="C11756" t="s">
        <v>946</v>
      </c>
      <c r="D11756" t="s">
        <v>993</v>
      </c>
      <c r="E11756" t="s">
        <v>969</v>
      </c>
      <c r="F11756" t="s">
        <v>948</v>
      </c>
      <c r="G11756">
        <v>6077777</v>
      </c>
      <c r="H11756">
        <v>501010</v>
      </c>
      <c r="I11756" t="s">
        <v>949</v>
      </c>
    </row>
    <row r="11757" spans="1:9" x14ac:dyDescent="0.25">
      <c r="A11757">
        <v>4220</v>
      </c>
      <c r="B11757">
        <v>60</v>
      </c>
      <c r="C11757" t="s">
        <v>946</v>
      </c>
      <c r="D11757" t="s">
        <v>993</v>
      </c>
      <c r="E11757" t="s">
        <v>969</v>
      </c>
      <c r="F11757" t="s">
        <v>948</v>
      </c>
      <c r="G11757">
        <v>6077777</v>
      </c>
      <c r="H11757">
        <v>500220</v>
      </c>
      <c r="I11757" t="s">
        <v>949</v>
      </c>
    </row>
    <row r="11758" spans="1:9" x14ac:dyDescent="0.25">
      <c r="A11758">
        <v>4240</v>
      </c>
      <c r="B11758">
        <v>60</v>
      </c>
      <c r="C11758" t="s">
        <v>946</v>
      </c>
      <c r="D11758" t="s">
        <v>993</v>
      </c>
      <c r="E11758" t="s">
        <v>969</v>
      </c>
      <c r="F11758" t="s">
        <v>948</v>
      </c>
      <c r="G11758">
        <v>6077777</v>
      </c>
      <c r="H11758">
        <v>500221</v>
      </c>
      <c r="I11758" t="s">
        <v>949</v>
      </c>
    </row>
    <row r="11759" spans="1:9" x14ac:dyDescent="0.25">
      <c r="A11759">
        <v>4141</v>
      </c>
      <c r="B11759">
        <v>60</v>
      </c>
      <c r="C11759" t="s">
        <v>946</v>
      </c>
      <c r="D11759" t="s">
        <v>993</v>
      </c>
      <c r="E11759" t="s">
        <v>255</v>
      </c>
      <c r="F11759" t="s">
        <v>948</v>
      </c>
      <c r="G11759">
        <v>6077777</v>
      </c>
      <c r="H11759">
        <v>501010</v>
      </c>
      <c r="I11759" t="s">
        <v>949</v>
      </c>
    </row>
    <row r="11760" spans="1:9" x14ac:dyDescent="0.25">
      <c r="A11760">
        <v>4220</v>
      </c>
      <c r="B11760">
        <v>60</v>
      </c>
      <c r="C11760" t="s">
        <v>946</v>
      </c>
      <c r="D11760" t="s">
        <v>993</v>
      </c>
      <c r="E11760" t="s">
        <v>255</v>
      </c>
      <c r="F11760" t="s">
        <v>948</v>
      </c>
      <c r="G11760">
        <v>6077777</v>
      </c>
      <c r="H11760">
        <v>500220</v>
      </c>
      <c r="I11760" t="s">
        <v>949</v>
      </c>
    </row>
    <row r="11761" spans="1:9" x14ac:dyDescent="0.25">
      <c r="A11761">
        <v>4240</v>
      </c>
      <c r="B11761">
        <v>60</v>
      </c>
      <c r="C11761" t="s">
        <v>946</v>
      </c>
      <c r="D11761" t="s">
        <v>993</v>
      </c>
      <c r="E11761" t="s">
        <v>255</v>
      </c>
      <c r="F11761" t="s">
        <v>948</v>
      </c>
      <c r="G11761">
        <v>6077777</v>
      </c>
      <c r="H11761">
        <v>500221</v>
      </c>
      <c r="I11761" t="s">
        <v>949</v>
      </c>
    </row>
    <row r="11762" spans="1:9" x14ac:dyDescent="0.25">
      <c r="A11762">
        <v>4141</v>
      </c>
      <c r="B11762">
        <v>60</v>
      </c>
      <c r="C11762" t="s">
        <v>946</v>
      </c>
      <c r="D11762" t="s">
        <v>993</v>
      </c>
      <c r="E11762" t="s">
        <v>971</v>
      </c>
      <c r="F11762" t="s">
        <v>948</v>
      </c>
      <c r="G11762">
        <v>6077777</v>
      </c>
      <c r="H11762">
        <v>501010</v>
      </c>
      <c r="I11762" t="s">
        <v>949</v>
      </c>
    </row>
    <row r="11763" spans="1:9" x14ac:dyDescent="0.25">
      <c r="A11763">
        <v>4220</v>
      </c>
      <c r="B11763">
        <v>60</v>
      </c>
      <c r="C11763" t="s">
        <v>946</v>
      </c>
      <c r="D11763" t="s">
        <v>993</v>
      </c>
      <c r="E11763" t="s">
        <v>971</v>
      </c>
      <c r="F11763" t="s">
        <v>948</v>
      </c>
      <c r="G11763">
        <v>6077777</v>
      </c>
      <c r="H11763">
        <v>500220</v>
      </c>
      <c r="I11763" t="s">
        <v>949</v>
      </c>
    </row>
    <row r="11764" spans="1:9" x14ac:dyDescent="0.25">
      <c r="A11764">
        <v>4240</v>
      </c>
      <c r="B11764">
        <v>60</v>
      </c>
      <c r="C11764" t="s">
        <v>946</v>
      </c>
      <c r="D11764" t="s">
        <v>993</v>
      </c>
      <c r="E11764" t="s">
        <v>971</v>
      </c>
      <c r="F11764" t="s">
        <v>948</v>
      </c>
      <c r="G11764">
        <v>6077777</v>
      </c>
      <c r="H11764">
        <v>500221</v>
      </c>
      <c r="I11764" t="s">
        <v>949</v>
      </c>
    </row>
    <row r="11765" spans="1:9" x14ac:dyDescent="0.25">
      <c r="A11765">
        <v>4141</v>
      </c>
      <c r="B11765">
        <v>60</v>
      </c>
      <c r="C11765" t="s">
        <v>946</v>
      </c>
      <c r="D11765" t="s">
        <v>993</v>
      </c>
      <c r="E11765" t="s">
        <v>263</v>
      </c>
      <c r="F11765" t="s">
        <v>948</v>
      </c>
      <c r="G11765">
        <v>6077777</v>
      </c>
      <c r="H11765">
        <v>501010</v>
      </c>
      <c r="I11765" t="s">
        <v>949</v>
      </c>
    </row>
    <row r="11766" spans="1:9" x14ac:dyDescent="0.25">
      <c r="A11766">
        <v>4220</v>
      </c>
      <c r="B11766">
        <v>60</v>
      </c>
      <c r="C11766" t="s">
        <v>946</v>
      </c>
      <c r="D11766" t="s">
        <v>993</v>
      </c>
      <c r="E11766" t="s">
        <v>263</v>
      </c>
      <c r="F11766" t="s">
        <v>948</v>
      </c>
      <c r="G11766">
        <v>6077777</v>
      </c>
      <c r="H11766">
        <v>500220</v>
      </c>
      <c r="I11766" t="s">
        <v>949</v>
      </c>
    </row>
    <row r="11767" spans="1:9" x14ac:dyDescent="0.25">
      <c r="A11767">
        <v>4240</v>
      </c>
      <c r="B11767">
        <v>60</v>
      </c>
      <c r="C11767" t="s">
        <v>946</v>
      </c>
      <c r="D11767" t="s">
        <v>993</v>
      </c>
      <c r="E11767" t="s">
        <v>263</v>
      </c>
      <c r="F11767" t="s">
        <v>948</v>
      </c>
      <c r="G11767">
        <v>6077777</v>
      </c>
      <c r="H11767">
        <v>500221</v>
      </c>
      <c r="I11767" t="s">
        <v>949</v>
      </c>
    </row>
    <row r="11768" spans="1:9" x14ac:dyDescent="0.25">
      <c r="A11768">
        <v>4141</v>
      </c>
      <c r="B11768">
        <v>60</v>
      </c>
      <c r="C11768" t="s">
        <v>946</v>
      </c>
      <c r="D11768" t="s">
        <v>993</v>
      </c>
      <c r="E11768" t="s">
        <v>100</v>
      </c>
      <c r="F11768" t="s">
        <v>948</v>
      </c>
      <c r="G11768">
        <v>6077777</v>
      </c>
      <c r="H11768">
        <v>500220</v>
      </c>
      <c r="I11768" t="s">
        <v>949</v>
      </c>
    </row>
    <row r="11769" spans="1:9" x14ac:dyDescent="0.25">
      <c r="A11769">
        <v>4220</v>
      </c>
      <c r="B11769">
        <v>60</v>
      </c>
      <c r="C11769" t="s">
        <v>946</v>
      </c>
      <c r="D11769" t="s">
        <v>993</v>
      </c>
      <c r="E11769" t="s">
        <v>100</v>
      </c>
      <c r="F11769" t="s">
        <v>948</v>
      </c>
      <c r="G11769">
        <v>6077777</v>
      </c>
      <c r="H11769">
        <v>500220</v>
      </c>
      <c r="I11769" t="s">
        <v>949</v>
      </c>
    </row>
    <row r="11770" spans="1:9" x14ac:dyDescent="0.25">
      <c r="A11770">
        <v>4240</v>
      </c>
      <c r="B11770">
        <v>60</v>
      </c>
      <c r="C11770" t="s">
        <v>946</v>
      </c>
      <c r="D11770" t="s">
        <v>993</v>
      </c>
      <c r="E11770" t="s">
        <v>100</v>
      </c>
      <c r="F11770" t="s">
        <v>948</v>
      </c>
      <c r="G11770">
        <v>6077777</v>
      </c>
      <c r="H11770">
        <v>500221</v>
      </c>
      <c r="I11770" t="s">
        <v>949</v>
      </c>
    </row>
    <row r="11771" spans="1:9" x14ac:dyDescent="0.25">
      <c r="A11771">
        <v>4141</v>
      </c>
      <c r="B11771">
        <v>60</v>
      </c>
      <c r="C11771" t="s">
        <v>946</v>
      </c>
      <c r="D11771" t="s">
        <v>993</v>
      </c>
      <c r="E11771" t="s">
        <v>270</v>
      </c>
      <c r="F11771" t="s">
        <v>948</v>
      </c>
      <c r="G11771">
        <v>6077777</v>
      </c>
      <c r="H11771">
        <v>501010</v>
      </c>
      <c r="I11771" t="s">
        <v>949</v>
      </c>
    </row>
    <row r="11772" spans="1:9" x14ac:dyDescent="0.25">
      <c r="A11772">
        <v>4220</v>
      </c>
      <c r="B11772">
        <v>60</v>
      </c>
      <c r="C11772" t="s">
        <v>946</v>
      </c>
      <c r="D11772" t="s">
        <v>993</v>
      </c>
      <c r="E11772" t="s">
        <v>270</v>
      </c>
      <c r="F11772" t="s">
        <v>948</v>
      </c>
      <c r="G11772">
        <v>6077777</v>
      </c>
      <c r="H11772">
        <v>500220</v>
      </c>
      <c r="I11772" t="s">
        <v>949</v>
      </c>
    </row>
    <row r="11773" spans="1:9" x14ac:dyDescent="0.25">
      <c r="A11773">
        <v>4240</v>
      </c>
      <c r="B11773">
        <v>60</v>
      </c>
      <c r="C11773" t="s">
        <v>946</v>
      </c>
      <c r="D11773" t="s">
        <v>993</v>
      </c>
      <c r="E11773" t="s">
        <v>270</v>
      </c>
      <c r="F11773" t="s">
        <v>948</v>
      </c>
      <c r="G11773">
        <v>6077777</v>
      </c>
      <c r="H11773">
        <v>500221</v>
      </c>
      <c r="I11773" t="s">
        <v>949</v>
      </c>
    </row>
    <row r="11774" spans="1:9" x14ac:dyDescent="0.25">
      <c r="A11774">
        <v>4141</v>
      </c>
      <c r="B11774">
        <v>60</v>
      </c>
      <c r="C11774" t="s">
        <v>946</v>
      </c>
      <c r="D11774" t="s">
        <v>993</v>
      </c>
      <c r="E11774" t="s">
        <v>274</v>
      </c>
      <c r="F11774" t="s">
        <v>948</v>
      </c>
      <c r="G11774">
        <v>6077777</v>
      </c>
      <c r="H11774">
        <v>501010</v>
      </c>
      <c r="I11774" t="s">
        <v>949</v>
      </c>
    </row>
    <row r="11775" spans="1:9" x14ac:dyDescent="0.25">
      <c r="A11775">
        <v>4220</v>
      </c>
      <c r="B11775">
        <v>60</v>
      </c>
      <c r="C11775" t="s">
        <v>946</v>
      </c>
      <c r="D11775" t="s">
        <v>993</v>
      </c>
      <c r="E11775" t="s">
        <v>274</v>
      </c>
      <c r="F11775" t="s">
        <v>948</v>
      </c>
      <c r="G11775">
        <v>6077777</v>
      </c>
      <c r="H11775">
        <v>500220</v>
      </c>
      <c r="I11775" t="s">
        <v>949</v>
      </c>
    </row>
    <row r="11776" spans="1:9" x14ac:dyDescent="0.25">
      <c r="A11776">
        <v>4240</v>
      </c>
      <c r="B11776">
        <v>60</v>
      </c>
      <c r="C11776" t="s">
        <v>946</v>
      </c>
      <c r="D11776" t="s">
        <v>993</v>
      </c>
      <c r="E11776" t="s">
        <v>274</v>
      </c>
      <c r="F11776" t="s">
        <v>948</v>
      </c>
      <c r="G11776">
        <v>6077777</v>
      </c>
      <c r="H11776">
        <v>500221</v>
      </c>
      <c r="I11776" t="s">
        <v>949</v>
      </c>
    </row>
    <row r="11777" spans="1:9" x14ac:dyDescent="0.25">
      <c r="A11777">
        <v>4141</v>
      </c>
      <c r="B11777">
        <v>60</v>
      </c>
      <c r="C11777" t="s">
        <v>946</v>
      </c>
      <c r="D11777" t="s">
        <v>993</v>
      </c>
      <c r="E11777" t="s">
        <v>974</v>
      </c>
      <c r="F11777" t="s">
        <v>948</v>
      </c>
      <c r="G11777">
        <v>6077777</v>
      </c>
      <c r="H11777">
        <v>501010</v>
      </c>
      <c r="I11777" t="s">
        <v>949</v>
      </c>
    </row>
    <row r="11778" spans="1:9" x14ac:dyDescent="0.25">
      <c r="A11778">
        <v>4220</v>
      </c>
      <c r="B11778">
        <v>60</v>
      </c>
      <c r="C11778" t="s">
        <v>946</v>
      </c>
      <c r="D11778" t="s">
        <v>993</v>
      </c>
      <c r="E11778" t="s">
        <v>974</v>
      </c>
      <c r="F11778" t="s">
        <v>948</v>
      </c>
      <c r="G11778">
        <v>6077777</v>
      </c>
      <c r="H11778">
        <v>500220</v>
      </c>
      <c r="I11778" t="s">
        <v>949</v>
      </c>
    </row>
    <row r="11779" spans="1:9" x14ac:dyDescent="0.25">
      <c r="A11779">
        <v>4240</v>
      </c>
      <c r="B11779">
        <v>60</v>
      </c>
      <c r="C11779" t="s">
        <v>946</v>
      </c>
      <c r="D11779" t="s">
        <v>993</v>
      </c>
      <c r="E11779" t="s">
        <v>974</v>
      </c>
      <c r="F11779" t="s">
        <v>948</v>
      </c>
      <c r="G11779">
        <v>6077777</v>
      </c>
      <c r="H11779">
        <v>500221</v>
      </c>
      <c r="I11779" t="s">
        <v>949</v>
      </c>
    </row>
    <row r="11780" spans="1:9" x14ac:dyDescent="0.25">
      <c r="A11780">
        <v>4141</v>
      </c>
      <c r="B11780">
        <v>60</v>
      </c>
      <c r="C11780" t="s">
        <v>946</v>
      </c>
      <c r="D11780" t="s">
        <v>993</v>
      </c>
      <c r="E11780" t="s">
        <v>104</v>
      </c>
      <c r="F11780" t="s">
        <v>948</v>
      </c>
      <c r="G11780">
        <v>6077777</v>
      </c>
      <c r="H11780">
        <v>500220</v>
      </c>
      <c r="I11780" t="s">
        <v>949</v>
      </c>
    </row>
    <row r="11781" spans="1:9" x14ac:dyDescent="0.25">
      <c r="A11781">
        <v>4220</v>
      </c>
      <c r="B11781">
        <v>60</v>
      </c>
      <c r="C11781" t="s">
        <v>946</v>
      </c>
      <c r="D11781" t="s">
        <v>993</v>
      </c>
      <c r="E11781" t="s">
        <v>104</v>
      </c>
      <c r="F11781" t="s">
        <v>948</v>
      </c>
      <c r="G11781">
        <v>6077777</v>
      </c>
      <c r="H11781">
        <v>500220</v>
      </c>
      <c r="I11781" t="s">
        <v>949</v>
      </c>
    </row>
    <row r="11782" spans="1:9" x14ac:dyDescent="0.25">
      <c r="A11782">
        <v>4240</v>
      </c>
      <c r="B11782">
        <v>60</v>
      </c>
      <c r="C11782" t="s">
        <v>946</v>
      </c>
      <c r="D11782" t="s">
        <v>993</v>
      </c>
      <c r="E11782" t="s">
        <v>104</v>
      </c>
      <c r="F11782" t="s">
        <v>948</v>
      </c>
      <c r="G11782">
        <v>6077777</v>
      </c>
      <c r="H11782">
        <v>500221</v>
      </c>
      <c r="I11782" t="s">
        <v>949</v>
      </c>
    </row>
    <row r="11783" spans="1:9" x14ac:dyDescent="0.25">
      <c r="A11783">
        <v>4141</v>
      </c>
      <c r="B11783">
        <v>60</v>
      </c>
      <c r="C11783" t="s">
        <v>946</v>
      </c>
      <c r="D11783" t="s">
        <v>993</v>
      </c>
      <c r="E11783" t="s">
        <v>278</v>
      </c>
      <c r="F11783" t="s">
        <v>948</v>
      </c>
      <c r="G11783">
        <v>6077777</v>
      </c>
      <c r="H11783">
        <v>501010</v>
      </c>
      <c r="I11783" t="s">
        <v>949</v>
      </c>
    </row>
    <row r="11784" spans="1:9" x14ac:dyDescent="0.25">
      <c r="A11784">
        <v>4220</v>
      </c>
      <c r="B11784">
        <v>60</v>
      </c>
      <c r="C11784" t="s">
        <v>946</v>
      </c>
      <c r="D11784" t="s">
        <v>993</v>
      </c>
      <c r="E11784" t="s">
        <v>278</v>
      </c>
      <c r="F11784" t="s">
        <v>948</v>
      </c>
      <c r="G11784">
        <v>6077777</v>
      </c>
      <c r="H11784">
        <v>500220</v>
      </c>
      <c r="I11784" t="s">
        <v>949</v>
      </c>
    </row>
    <row r="11785" spans="1:9" x14ac:dyDescent="0.25">
      <c r="A11785">
        <v>4240</v>
      </c>
      <c r="B11785">
        <v>60</v>
      </c>
      <c r="C11785" t="s">
        <v>946</v>
      </c>
      <c r="D11785" t="s">
        <v>993</v>
      </c>
      <c r="E11785" t="s">
        <v>278</v>
      </c>
      <c r="F11785" t="s">
        <v>948</v>
      </c>
      <c r="G11785">
        <v>6077777</v>
      </c>
      <c r="H11785">
        <v>500221</v>
      </c>
      <c r="I11785" t="s">
        <v>949</v>
      </c>
    </row>
    <row r="11786" spans="1:9" x14ac:dyDescent="0.25">
      <c r="A11786">
        <v>4141</v>
      </c>
      <c r="B11786">
        <v>60</v>
      </c>
      <c r="C11786" t="s">
        <v>946</v>
      </c>
      <c r="D11786" t="s">
        <v>993</v>
      </c>
      <c r="E11786" t="s">
        <v>282</v>
      </c>
      <c r="F11786" t="s">
        <v>948</v>
      </c>
      <c r="G11786">
        <v>6077777</v>
      </c>
      <c r="H11786">
        <v>501010</v>
      </c>
      <c r="I11786" t="s">
        <v>949</v>
      </c>
    </row>
    <row r="11787" spans="1:9" x14ac:dyDescent="0.25">
      <c r="A11787">
        <v>4220</v>
      </c>
      <c r="B11787">
        <v>60</v>
      </c>
      <c r="C11787" t="s">
        <v>946</v>
      </c>
      <c r="D11787" t="s">
        <v>993</v>
      </c>
      <c r="E11787" t="s">
        <v>282</v>
      </c>
      <c r="F11787" t="s">
        <v>948</v>
      </c>
      <c r="G11787">
        <v>6077777</v>
      </c>
      <c r="H11787">
        <v>500220</v>
      </c>
      <c r="I11787" t="s">
        <v>949</v>
      </c>
    </row>
    <row r="11788" spans="1:9" x14ac:dyDescent="0.25">
      <c r="A11788">
        <v>4240</v>
      </c>
      <c r="B11788">
        <v>60</v>
      </c>
      <c r="C11788" t="s">
        <v>946</v>
      </c>
      <c r="D11788" t="s">
        <v>993</v>
      </c>
      <c r="E11788" t="s">
        <v>282</v>
      </c>
      <c r="F11788" t="s">
        <v>948</v>
      </c>
      <c r="G11788">
        <v>6077777</v>
      </c>
      <c r="H11788">
        <v>500221</v>
      </c>
      <c r="I11788" t="s">
        <v>949</v>
      </c>
    </row>
    <row r="11789" spans="1:9" x14ac:dyDescent="0.25">
      <c r="A11789">
        <v>4141</v>
      </c>
      <c r="B11789">
        <v>60</v>
      </c>
      <c r="C11789" t="s">
        <v>946</v>
      </c>
      <c r="D11789" t="s">
        <v>993</v>
      </c>
      <c r="E11789" t="s">
        <v>286</v>
      </c>
      <c r="F11789" t="s">
        <v>948</v>
      </c>
      <c r="G11789">
        <v>6077777</v>
      </c>
      <c r="H11789">
        <v>501010</v>
      </c>
      <c r="I11789" t="s">
        <v>949</v>
      </c>
    </row>
    <row r="11790" spans="1:9" x14ac:dyDescent="0.25">
      <c r="A11790">
        <v>4220</v>
      </c>
      <c r="B11790">
        <v>60</v>
      </c>
      <c r="C11790" t="s">
        <v>946</v>
      </c>
      <c r="D11790" t="s">
        <v>993</v>
      </c>
      <c r="E11790" t="s">
        <v>286</v>
      </c>
      <c r="F11790" t="s">
        <v>948</v>
      </c>
      <c r="G11790">
        <v>6077777</v>
      </c>
      <c r="H11790">
        <v>500220</v>
      </c>
      <c r="I11790" t="s">
        <v>949</v>
      </c>
    </row>
    <row r="11791" spans="1:9" x14ac:dyDescent="0.25">
      <c r="A11791">
        <v>4240</v>
      </c>
      <c r="B11791">
        <v>60</v>
      </c>
      <c r="C11791" t="s">
        <v>946</v>
      </c>
      <c r="D11791" t="s">
        <v>993</v>
      </c>
      <c r="E11791" t="s">
        <v>286</v>
      </c>
      <c r="F11791" t="s">
        <v>948</v>
      </c>
      <c r="G11791">
        <v>6077777</v>
      </c>
      <c r="H11791">
        <v>500221</v>
      </c>
      <c r="I11791" t="s">
        <v>949</v>
      </c>
    </row>
    <row r="11792" spans="1:9" x14ac:dyDescent="0.25">
      <c r="A11792">
        <v>4141</v>
      </c>
      <c r="B11792">
        <v>60</v>
      </c>
      <c r="C11792" t="s">
        <v>946</v>
      </c>
      <c r="D11792" t="s">
        <v>993</v>
      </c>
      <c r="E11792" t="s">
        <v>976</v>
      </c>
      <c r="F11792" t="s">
        <v>948</v>
      </c>
      <c r="G11792">
        <v>6077777</v>
      </c>
      <c r="H11792">
        <v>501010</v>
      </c>
      <c r="I11792" t="s">
        <v>949</v>
      </c>
    </row>
    <row r="11793" spans="1:9" x14ac:dyDescent="0.25">
      <c r="A11793">
        <v>4220</v>
      </c>
      <c r="B11793">
        <v>60</v>
      </c>
      <c r="C11793" t="s">
        <v>946</v>
      </c>
      <c r="D11793" t="s">
        <v>993</v>
      </c>
      <c r="E11793" t="s">
        <v>976</v>
      </c>
      <c r="F11793" t="s">
        <v>948</v>
      </c>
      <c r="G11793">
        <v>6077777</v>
      </c>
      <c r="H11793">
        <v>500220</v>
      </c>
      <c r="I11793" t="s">
        <v>949</v>
      </c>
    </row>
    <row r="11794" spans="1:9" x14ac:dyDescent="0.25">
      <c r="A11794">
        <v>4240</v>
      </c>
      <c r="B11794">
        <v>60</v>
      </c>
      <c r="C11794" t="s">
        <v>946</v>
      </c>
      <c r="D11794" t="s">
        <v>993</v>
      </c>
      <c r="E11794" t="s">
        <v>976</v>
      </c>
      <c r="F11794" t="s">
        <v>948</v>
      </c>
      <c r="G11794">
        <v>6077777</v>
      </c>
      <c r="H11794">
        <v>500221</v>
      </c>
      <c r="I11794" t="s">
        <v>949</v>
      </c>
    </row>
    <row r="11795" spans="1:9" x14ac:dyDescent="0.25">
      <c r="A11795">
        <v>4141</v>
      </c>
      <c r="B11795">
        <v>60</v>
      </c>
      <c r="C11795" t="s">
        <v>946</v>
      </c>
      <c r="D11795" t="s">
        <v>993</v>
      </c>
      <c r="E11795" t="s">
        <v>290</v>
      </c>
      <c r="F11795" t="s">
        <v>948</v>
      </c>
      <c r="G11795">
        <v>6077777</v>
      </c>
      <c r="H11795">
        <v>501010</v>
      </c>
      <c r="I11795" t="s">
        <v>949</v>
      </c>
    </row>
    <row r="11796" spans="1:9" x14ac:dyDescent="0.25">
      <c r="A11796">
        <v>4220</v>
      </c>
      <c r="B11796">
        <v>60</v>
      </c>
      <c r="C11796" t="s">
        <v>946</v>
      </c>
      <c r="D11796" t="s">
        <v>993</v>
      </c>
      <c r="E11796" t="s">
        <v>290</v>
      </c>
      <c r="F11796" t="s">
        <v>948</v>
      </c>
      <c r="G11796">
        <v>6077777</v>
      </c>
      <c r="H11796">
        <v>500220</v>
      </c>
      <c r="I11796" t="s">
        <v>949</v>
      </c>
    </row>
    <row r="11797" spans="1:9" x14ac:dyDescent="0.25">
      <c r="A11797">
        <v>4240</v>
      </c>
      <c r="B11797">
        <v>60</v>
      </c>
      <c r="C11797" t="s">
        <v>946</v>
      </c>
      <c r="D11797" t="s">
        <v>993</v>
      </c>
      <c r="E11797" t="s">
        <v>290</v>
      </c>
      <c r="F11797" t="s">
        <v>948</v>
      </c>
      <c r="G11797">
        <v>6077777</v>
      </c>
      <c r="H11797">
        <v>500221</v>
      </c>
      <c r="I11797" t="s">
        <v>949</v>
      </c>
    </row>
    <row r="11798" spans="1:9" x14ac:dyDescent="0.25">
      <c r="A11798">
        <v>4141</v>
      </c>
      <c r="B11798">
        <v>60</v>
      </c>
      <c r="C11798" t="s">
        <v>946</v>
      </c>
      <c r="D11798" t="s">
        <v>993</v>
      </c>
      <c r="E11798" t="s">
        <v>294</v>
      </c>
      <c r="F11798" t="s">
        <v>948</v>
      </c>
      <c r="G11798">
        <v>6077777</v>
      </c>
      <c r="H11798">
        <v>501010</v>
      </c>
      <c r="I11798" t="s">
        <v>949</v>
      </c>
    </row>
    <row r="11799" spans="1:9" x14ac:dyDescent="0.25">
      <c r="A11799">
        <v>4220</v>
      </c>
      <c r="B11799">
        <v>60</v>
      </c>
      <c r="C11799" t="s">
        <v>946</v>
      </c>
      <c r="D11799" t="s">
        <v>993</v>
      </c>
      <c r="E11799" t="s">
        <v>294</v>
      </c>
      <c r="F11799" t="s">
        <v>948</v>
      </c>
      <c r="G11799">
        <v>6077777</v>
      </c>
      <c r="H11799">
        <v>500220</v>
      </c>
      <c r="I11799" t="s">
        <v>949</v>
      </c>
    </row>
    <row r="11800" spans="1:9" x14ac:dyDescent="0.25">
      <c r="A11800">
        <v>4240</v>
      </c>
      <c r="B11800">
        <v>60</v>
      </c>
      <c r="C11800" t="s">
        <v>946</v>
      </c>
      <c r="D11800" t="s">
        <v>993</v>
      </c>
      <c r="E11800" t="s">
        <v>294</v>
      </c>
      <c r="F11800" t="s">
        <v>948</v>
      </c>
      <c r="G11800">
        <v>6077777</v>
      </c>
      <c r="H11800">
        <v>500221</v>
      </c>
      <c r="I11800" t="s">
        <v>949</v>
      </c>
    </row>
    <row r="11801" spans="1:9" x14ac:dyDescent="0.25">
      <c r="A11801">
        <v>4141</v>
      </c>
      <c r="B11801">
        <v>60</v>
      </c>
      <c r="C11801" t="s">
        <v>946</v>
      </c>
      <c r="D11801" t="s">
        <v>993</v>
      </c>
      <c r="E11801" t="s">
        <v>980</v>
      </c>
      <c r="F11801" t="s">
        <v>948</v>
      </c>
      <c r="G11801">
        <v>6077777</v>
      </c>
      <c r="H11801">
        <v>501010</v>
      </c>
      <c r="I11801" t="s">
        <v>949</v>
      </c>
    </row>
    <row r="11802" spans="1:9" x14ac:dyDescent="0.25">
      <c r="A11802">
        <v>4220</v>
      </c>
      <c r="B11802">
        <v>60</v>
      </c>
      <c r="C11802" t="s">
        <v>946</v>
      </c>
      <c r="D11802" t="s">
        <v>993</v>
      </c>
      <c r="E11802" t="s">
        <v>980</v>
      </c>
      <c r="F11802" t="s">
        <v>948</v>
      </c>
      <c r="G11802">
        <v>6077777</v>
      </c>
      <c r="H11802">
        <v>500220</v>
      </c>
      <c r="I11802" t="s">
        <v>949</v>
      </c>
    </row>
    <row r="11803" spans="1:9" x14ac:dyDescent="0.25">
      <c r="A11803">
        <v>4240</v>
      </c>
      <c r="B11803">
        <v>60</v>
      </c>
      <c r="C11803" t="s">
        <v>946</v>
      </c>
      <c r="D11803" t="s">
        <v>993</v>
      </c>
      <c r="E11803" t="s">
        <v>980</v>
      </c>
      <c r="F11803" t="s">
        <v>948</v>
      </c>
      <c r="G11803">
        <v>6077777</v>
      </c>
      <c r="H11803">
        <v>500221</v>
      </c>
      <c r="I11803" t="s">
        <v>949</v>
      </c>
    </row>
    <row r="11804" spans="1:9" x14ac:dyDescent="0.25">
      <c r="A11804">
        <v>4141</v>
      </c>
      <c r="B11804">
        <v>60</v>
      </c>
      <c r="C11804" t="s">
        <v>946</v>
      </c>
      <c r="D11804" t="s">
        <v>993</v>
      </c>
      <c r="E11804" t="s">
        <v>302</v>
      </c>
      <c r="F11804" t="s">
        <v>948</v>
      </c>
      <c r="G11804">
        <v>6077777</v>
      </c>
      <c r="H11804">
        <v>501010</v>
      </c>
      <c r="I11804" t="s">
        <v>949</v>
      </c>
    </row>
    <row r="11805" spans="1:9" x14ac:dyDescent="0.25">
      <c r="A11805">
        <v>4220</v>
      </c>
      <c r="B11805">
        <v>60</v>
      </c>
      <c r="C11805" t="s">
        <v>946</v>
      </c>
      <c r="D11805" t="s">
        <v>993</v>
      </c>
      <c r="E11805" t="s">
        <v>302</v>
      </c>
      <c r="F11805" t="s">
        <v>948</v>
      </c>
      <c r="G11805">
        <v>6077777</v>
      </c>
      <c r="H11805">
        <v>500220</v>
      </c>
      <c r="I11805" t="s">
        <v>949</v>
      </c>
    </row>
    <row r="11806" spans="1:9" x14ac:dyDescent="0.25">
      <c r="A11806">
        <v>4240</v>
      </c>
      <c r="B11806">
        <v>60</v>
      </c>
      <c r="C11806" t="s">
        <v>946</v>
      </c>
      <c r="D11806" t="s">
        <v>993</v>
      </c>
      <c r="E11806" t="s">
        <v>302</v>
      </c>
      <c r="F11806" t="s">
        <v>948</v>
      </c>
      <c r="G11806">
        <v>6077777</v>
      </c>
      <c r="H11806">
        <v>500221</v>
      </c>
      <c r="I11806" t="s">
        <v>949</v>
      </c>
    </row>
    <row r="11807" spans="1:9" x14ac:dyDescent="0.25">
      <c r="A11807">
        <v>4141</v>
      </c>
      <c r="B11807">
        <v>60</v>
      </c>
      <c r="C11807" t="s">
        <v>946</v>
      </c>
      <c r="D11807" t="s">
        <v>993</v>
      </c>
      <c r="E11807" t="s">
        <v>306</v>
      </c>
      <c r="F11807" t="s">
        <v>948</v>
      </c>
      <c r="G11807">
        <v>6077777</v>
      </c>
      <c r="H11807">
        <v>501010</v>
      </c>
      <c r="I11807" t="s">
        <v>949</v>
      </c>
    </row>
    <row r="11808" spans="1:9" x14ac:dyDescent="0.25">
      <c r="A11808">
        <v>4220</v>
      </c>
      <c r="B11808">
        <v>60</v>
      </c>
      <c r="C11808" t="s">
        <v>946</v>
      </c>
      <c r="D11808" t="s">
        <v>993</v>
      </c>
      <c r="E11808" t="s">
        <v>306</v>
      </c>
      <c r="F11808" t="s">
        <v>948</v>
      </c>
      <c r="G11808">
        <v>6077777</v>
      </c>
      <c r="H11808">
        <v>500220</v>
      </c>
      <c r="I11808" t="s">
        <v>949</v>
      </c>
    </row>
    <row r="11809" spans="1:9" x14ac:dyDescent="0.25">
      <c r="A11809">
        <v>4240</v>
      </c>
      <c r="B11809">
        <v>60</v>
      </c>
      <c r="C11809" t="s">
        <v>946</v>
      </c>
      <c r="D11809" t="s">
        <v>993</v>
      </c>
      <c r="E11809" t="s">
        <v>306</v>
      </c>
      <c r="F11809" t="s">
        <v>948</v>
      </c>
      <c r="G11809">
        <v>6077777</v>
      </c>
      <c r="H11809">
        <v>500221</v>
      </c>
      <c r="I11809" t="s">
        <v>949</v>
      </c>
    </row>
    <row r="11810" spans="1:9" x14ac:dyDescent="0.25">
      <c r="A11810">
        <v>4141</v>
      </c>
      <c r="B11810">
        <v>60</v>
      </c>
      <c r="C11810" t="s">
        <v>946</v>
      </c>
      <c r="D11810" t="s">
        <v>993</v>
      </c>
      <c r="E11810" t="s">
        <v>108</v>
      </c>
      <c r="F11810" t="s">
        <v>948</v>
      </c>
      <c r="G11810">
        <v>6077777</v>
      </c>
      <c r="H11810">
        <v>500220</v>
      </c>
      <c r="I11810" t="s">
        <v>949</v>
      </c>
    </row>
    <row r="11811" spans="1:9" x14ac:dyDescent="0.25">
      <c r="A11811">
        <v>4220</v>
      </c>
      <c r="B11811">
        <v>60</v>
      </c>
      <c r="C11811" t="s">
        <v>946</v>
      </c>
      <c r="D11811" t="s">
        <v>993</v>
      </c>
      <c r="E11811" t="s">
        <v>108</v>
      </c>
      <c r="F11811" t="s">
        <v>948</v>
      </c>
      <c r="G11811">
        <v>6077777</v>
      </c>
      <c r="H11811">
        <v>500220</v>
      </c>
      <c r="I11811" t="s">
        <v>949</v>
      </c>
    </row>
    <row r="11812" spans="1:9" x14ac:dyDescent="0.25">
      <c r="A11812">
        <v>4240</v>
      </c>
      <c r="B11812">
        <v>60</v>
      </c>
      <c r="C11812" t="s">
        <v>946</v>
      </c>
      <c r="D11812" t="s">
        <v>993</v>
      </c>
      <c r="E11812" t="s">
        <v>108</v>
      </c>
      <c r="F11812" t="s">
        <v>948</v>
      </c>
      <c r="G11812">
        <v>6077777</v>
      </c>
      <c r="H11812">
        <v>500221</v>
      </c>
      <c r="I11812" t="s">
        <v>949</v>
      </c>
    </row>
    <row r="11813" spans="1:9" x14ac:dyDescent="0.25">
      <c r="A11813">
        <v>4141</v>
      </c>
      <c r="B11813">
        <v>60</v>
      </c>
      <c r="C11813" t="s">
        <v>946</v>
      </c>
      <c r="D11813" t="s">
        <v>993</v>
      </c>
      <c r="E11813" t="s">
        <v>310</v>
      </c>
      <c r="F11813" t="s">
        <v>948</v>
      </c>
      <c r="G11813">
        <v>6077777</v>
      </c>
      <c r="H11813">
        <v>501010</v>
      </c>
      <c r="I11813" t="s">
        <v>949</v>
      </c>
    </row>
    <row r="11814" spans="1:9" x14ac:dyDescent="0.25">
      <c r="A11814">
        <v>4220</v>
      </c>
      <c r="B11814">
        <v>60</v>
      </c>
      <c r="C11814" t="s">
        <v>946</v>
      </c>
      <c r="D11814" t="s">
        <v>993</v>
      </c>
      <c r="E11814" t="s">
        <v>310</v>
      </c>
      <c r="F11814" t="s">
        <v>948</v>
      </c>
      <c r="G11814">
        <v>6077777</v>
      </c>
      <c r="H11814">
        <v>500220</v>
      </c>
      <c r="I11814" t="s">
        <v>949</v>
      </c>
    </row>
    <row r="11815" spans="1:9" x14ac:dyDescent="0.25">
      <c r="A11815">
        <v>4240</v>
      </c>
      <c r="B11815">
        <v>60</v>
      </c>
      <c r="C11815" t="s">
        <v>946</v>
      </c>
      <c r="D11815" t="s">
        <v>993</v>
      </c>
      <c r="E11815" t="s">
        <v>310</v>
      </c>
      <c r="F11815" t="s">
        <v>948</v>
      </c>
      <c r="G11815">
        <v>6077777</v>
      </c>
      <c r="H11815">
        <v>500221</v>
      </c>
      <c r="I11815" t="s">
        <v>949</v>
      </c>
    </row>
    <row r="11816" spans="1:9" x14ac:dyDescent="0.25">
      <c r="A11816">
        <v>4141</v>
      </c>
      <c r="B11816">
        <v>60</v>
      </c>
      <c r="C11816" t="s">
        <v>946</v>
      </c>
      <c r="D11816" t="s">
        <v>993</v>
      </c>
      <c r="E11816" t="s">
        <v>314</v>
      </c>
      <c r="F11816" t="s">
        <v>948</v>
      </c>
      <c r="G11816">
        <v>6077777</v>
      </c>
      <c r="H11816">
        <v>501010</v>
      </c>
      <c r="I11816" t="s">
        <v>949</v>
      </c>
    </row>
    <row r="11817" spans="1:9" x14ac:dyDescent="0.25">
      <c r="A11817">
        <v>4220</v>
      </c>
      <c r="B11817">
        <v>60</v>
      </c>
      <c r="C11817" t="s">
        <v>946</v>
      </c>
      <c r="D11817" t="s">
        <v>993</v>
      </c>
      <c r="E11817" t="s">
        <v>314</v>
      </c>
      <c r="F11817" t="s">
        <v>948</v>
      </c>
      <c r="G11817">
        <v>6077777</v>
      </c>
      <c r="H11817">
        <v>500220</v>
      </c>
      <c r="I11817" t="s">
        <v>949</v>
      </c>
    </row>
    <row r="11818" spans="1:9" x14ac:dyDescent="0.25">
      <c r="A11818">
        <v>4240</v>
      </c>
      <c r="B11818">
        <v>60</v>
      </c>
      <c r="C11818" t="s">
        <v>946</v>
      </c>
      <c r="D11818" t="s">
        <v>993</v>
      </c>
      <c r="E11818" t="s">
        <v>314</v>
      </c>
      <c r="F11818" t="s">
        <v>948</v>
      </c>
      <c r="G11818">
        <v>6077777</v>
      </c>
      <c r="H11818">
        <v>500221</v>
      </c>
      <c r="I11818" t="s">
        <v>949</v>
      </c>
    </row>
    <row r="11819" spans="1:9" x14ac:dyDescent="0.25">
      <c r="A11819">
        <v>4141</v>
      </c>
      <c r="B11819">
        <v>60</v>
      </c>
      <c r="C11819" t="s">
        <v>946</v>
      </c>
      <c r="D11819" t="s">
        <v>993</v>
      </c>
      <c r="E11819" t="s">
        <v>113</v>
      </c>
      <c r="F11819" t="s">
        <v>948</v>
      </c>
      <c r="G11819">
        <v>6077777</v>
      </c>
      <c r="H11819">
        <v>500220</v>
      </c>
      <c r="I11819" t="s">
        <v>949</v>
      </c>
    </row>
    <row r="11820" spans="1:9" x14ac:dyDescent="0.25">
      <c r="A11820">
        <v>4220</v>
      </c>
      <c r="B11820">
        <v>60</v>
      </c>
      <c r="C11820" t="s">
        <v>946</v>
      </c>
      <c r="D11820" t="s">
        <v>993</v>
      </c>
      <c r="E11820" t="s">
        <v>113</v>
      </c>
      <c r="F11820" t="s">
        <v>948</v>
      </c>
      <c r="G11820">
        <v>6077777</v>
      </c>
      <c r="H11820">
        <v>500220</v>
      </c>
      <c r="I11820" t="s">
        <v>949</v>
      </c>
    </row>
    <row r="11821" spans="1:9" x14ac:dyDescent="0.25">
      <c r="A11821">
        <v>4240</v>
      </c>
      <c r="B11821">
        <v>60</v>
      </c>
      <c r="C11821" t="s">
        <v>946</v>
      </c>
      <c r="D11821" t="s">
        <v>993</v>
      </c>
      <c r="E11821" t="s">
        <v>113</v>
      </c>
      <c r="F11821" t="s">
        <v>948</v>
      </c>
      <c r="G11821">
        <v>6077777</v>
      </c>
      <c r="H11821">
        <v>500221</v>
      </c>
      <c r="I11821" t="s">
        <v>949</v>
      </c>
    </row>
    <row r="11822" spans="1:9" x14ac:dyDescent="0.25">
      <c r="A11822">
        <v>4141</v>
      </c>
      <c r="B11822">
        <v>60</v>
      </c>
      <c r="C11822" t="s">
        <v>946</v>
      </c>
      <c r="D11822" t="s">
        <v>993</v>
      </c>
      <c r="E11822" t="s">
        <v>117</v>
      </c>
      <c r="F11822" t="s">
        <v>948</v>
      </c>
      <c r="G11822">
        <v>6077777</v>
      </c>
      <c r="H11822">
        <v>500220</v>
      </c>
      <c r="I11822" t="s">
        <v>949</v>
      </c>
    </row>
    <row r="11823" spans="1:9" x14ac:dyDescent="0.25">
      <c r="A11823">
        <v>4220</v>
      </c>
      <c r="B11823">
        <v>60</v>
      </c>
      <c r="C11823" t="s">
        <v>946</v>
      </c>
      <c r="D11823" t="s">
        <v>993</v>
      </c>
      <c r="E11823" t="s">
        <v>117</v>
      </c>
      <c r="F11823" t="s">
        <v>948</v>
      </c>
      <c r="G11823">
        <v>6077777</v>
      </c>
      <c r="H11823">
        <v>500220</v>
      </c>
      <c r="I11823" t="s">
        <v>949</v>
      </c>
    </row>
    <row r="11824" spans="1:9" x14ac:dyDescent="0.25">
      <c r="A11824">
        <v>4240</v>
      </c>
      <c r="B11824">
        <v>60</v>
      </c>
      <c r="C11824" t="s">
        <v>946</v>
      </c>
      <c r="D11824" t="s">
        <v>993</v>
      </c>
      <c r="E11824" t="s">
        <v>117</v>
      </c>
      <c r="F11824" t="s">
        <v>948</v>
      </c>
      <c r="G11824">
        <v>6077777</v>
      </c>
      <c r="H11824">
        <v>500221</v>
      </c>
      <c r="I11824" t="s">
        <v>949</v>
      </c>
    </row>
    <row r="11825" spans="1:9" x14ac:dyDescent="0.25">
      <c r="A11825">
        <v>4141</v>
      </c>
      <c r="B11825">
        <v>60</v>
      </c>
      <c r="C11825" t="s">
        <v>946</v>
      </c>
      <c r="D11825" t="s">
        <v>993</v>
      </c>
      <c r="E11825" t="s">
        <v>121</v>
      </c>
      <c r="F11825" t="s">
        <v>948</v>
      </c>
      <c r="G11825">
        <v>6077777</v>
      </c>
      <c r="H11825">
        <v>500220</v>
      </c>
      <c r="I11825" t="s">
        <v>949</v>
      </c>
    </row>
    <row r="11826" spans="1:9" x14ac:dyDescent="0.25">
      <c r="A11826">
        <v>4220</v>
      </c>
      <c r="B11826">
        <v>60</v>
      </c>
      <c r="C11826" t="s">
        <v>946</v>
      </c>
      <c r="D11826" t="s">
        <v>993</v>
      </c>
      <c r="E11826" t="s">
        <v>121</v>
      </c>
      <c r="F11826" t="s">
        <v>948</v>
      </c>
      <c r="G11826">
        <v>6077777</v>
      </c>
      <c r="H11826">
        <v>500220</v>
      </c>
      <c r="I11826" t="s">
        <v>949</v>
      </c>
    </row>
    <row r="11827" spans="1:9" x14ac:dyDescent="0.25">
      <c r="A11827">
        <v>4240</v>
      </c>
      <c r="B11827">
        <v>60</v>
      </c>
      <c r="C11827" t="s">
        <v>946</v>
      </c>
      <c r="D11827" t="s">
        <v>993</v>
      </c>
      <c r="E11827" t="s">
        <v>121</v>
      </c>
      <c r="F11827" t="s">
        <v>948</v>
      </c>
      <c r="G11827">
        <v>6077777</v>
      </c>
      <c r="H11827">
        <v>500221</v>
      </c>
      <c r="I11827" t="s">
        <v>949</v>
      </c>
    </row>
    <row r="11828" spans="1:9" x14ac:dyDescent="0.25">
      <c r="A11828">
        <v>4141</v>
      </c>
      <c r="B11828">
        <v>60</v>
      </c>
      <c r="C11828" t="s">
        <v>946</v>
      </c>
      <c r="D11828" t="s">
        <v>993</v>
      </c>
      <c r="E11828" t="s">
        <v>984</v>
      </c>
      <c r="F11828" t="s">
        <v>948</v>
      </c>
      <c r="G11828">
        <v>6077777</v>
      </c>
      <c r="H11828">
        <v>501010</v>
      </c>
      <c r="I11828" t="s">
        <v>949</v>
      </c>
    </row>
    <row r="11829" spans="1:9" x14ac:dyDescent="0.25">
      <c r="A11829">
        <v>4220</v>
      </c>
      <c r="B11829">
        <v>60</v>
      </c>
      <c r="C11829" t="s">
        <v>946</v>
      </c>
      <c r="D11829" t="s">
        <v>993</v>
      </c>
      <c r="E11829" t="s">
        <v>984</v>
      </c>
      <c r="F11829" t="s">
        <v>948</v>
      </c>
      <c r="G11829">
        <v>6077777</v>
      </c>
      <c r="H11829">
        <v>500220</v>
      </c>
      <c r="I11829" t="s">
        <v>949</v>
      </c>
    </row>
    <row r="11830" spans="1:9" x14ac:dyDescent="0.25">
      <c r="A11830">
        <v>4240</v>
      </c>
      <c r="B11830">
        <v>60</v>
      </c>
      <c r="C11830" t="s">
        <v>946</v>
      </c>
      <c r="D11830" t="s">
        <v>993</v>
      </c>
      <c r="E11830" t="s">
        <v>984</v>
      </c>
      <c r="F11830" t="s">
        <v>948</v>
      </c>
      <c r="G11830">
        <v>6077777</v>
      </c>
      <c r="H11830">
        <v>500221</v>
      </c>
      <c r="I11830" t="s">
        <v>949</v>
      </c>
    </row>
    <row r="11831" spans="1:9" x14ac:dyDescent="0.25">
      <c r="A11831">
        <v>4140</v>
      </c>
      <c r="B11831">
        <v>60</v>
      </c>
      <c r="C11831" t="s">
        <v>946</v>
      </c>
      <c r="D11831" t="s">
        <v>38</v>
      </c>
      <c r="E11831" t="s">
        <v>49</v>
      </c>
      <c r="F11831" t="s">
        <v>948</v>
      </c>
      <c r="G11831">
        <v>6077777</v>
      </c>
      <c r="H11831">
        <v>500460</v>
      </c>
      <c r="I11831" t="s">
        <v>949</v>
      </c>
    </row>
    <row r="11832" spans="1:9" x14ac:dyDescent="0.25">
      <c r="A11832">
        <v>4141</v>
      </c>
      <c r="B11832">
        <v>60</v>
      </c>
      <c r="C11832" t="s">
        <v>946</v>
      </c>
      <c r="D11832" t="s">
        <v>38</v>
      </c>
      <c r="E11832" t="s">
        <v>49</v>
      </c>
      <c r="F11832" t="s">
        <v>948</v>
      </c>
      <c r="G11832">
        <v>6077777</v>
      </c>
      <c r="H11832">
        <v>500460</v>
      </c>
      <c r="I11832" t="s">
        <v>949</v>
      </c>
    </row>
    <row r="11833" ht="22" customHeight="1" spans="1:10" x14ac:dyDescent="0.25">
      <c r="A11833" s="41">
        <v>4162</v>
      </c>
      <c r="B11833" s="41">
        <v>60</v>
      </c>
      <c r="C11833" s="41" t="s">
        <v>946</v>
      </c>
      <c r="D11833" s="41" t="s">
        <v>38</v>
      </c>
      <c r="E11833" s="41" t="s">
        <v>49</v>
      </c>
      <c r="F11833" s="41" t="s">
        <v>948</v>
      </c>
      <c r="G11833" s="41">
        <v>6000000</v>
      </c>
      <c r="H11833" s="41">
        <v>14200</v>
      </c>
      <c r="I11833" s="41" t="s">
        <v>949</v>
      </c>
      <c r="J11833" s="42" t="s">
        <v>1076</v>
      </c>
    </row>
    <row r="11834" ht="22" customHeight="1" spans="1:10" x14ac:dyDescent="0.25">
      <c r="A11834" s="41">
        <v>4164</v>
      </c>
      <c r="B11834" s="41">
        <v>60</v>
      </c>
      <c r="C11834" s="41" t="s">
        <v>946</v>
      </c>
      <c r="D11834" s="41" t="s">
        <v>38</v>
      </c>
      <c r="E11834" s="41" t="s">
        <v>49</v>
      </c>
      <c r="F11834" s="41" t="s">
        <v>948</v>
      </c>
      <c r="G11834" s="41">
        <v>6000000</v>
      </c>
      <c r="H11834" s="41">
        <v>14200</v>
      </c>
      <c r="I11834" s="41" t="s">
        <v>949</v>
      </c>
      <c r="J11834" s="42" t="s">
        <v>1077</v>
      </c>
    </row>
    <row r="11835" spans="1:9" x14ac:dyDescent="0.25">
      <c r="A11835">
        <v>4122</v>
      </c>
      <c r="B11835">
        <v>60</v>
      </c>
      <c r="C11835" t="s">
        <v>946</v>
      </c>
      <c r="D11835" t="s">
        <v>38</v>
      </c>
      <c r="E11835" t="s">
        <v>243</v>
      </c>
      <c r="F11835" t="s">
        <v>948</v>
      </c>
      <c r="G11835">
        <v>6000000</v>
      </c>
      <c r="H11835">
        <v>145000</v>
      </c>
      <c r="I11835" t="s">
        <v>949</v>
      </c>
    </row>
    <row r="11836" spans="1:9" x14ac:dyDescent="0.25">
      <c r="A11836">
        <v>4124</v>
      </c>
      <c r="B11836">
        <v>60</v>
      </c>
      <c r="C11836" t="s">
        <v>946</v>
      </c>
      <c r="D11836" t="s">
        <v>38</v>
      </c>
      <c r="E11836" t="s">
        <v>243</v>
      </c>
      <c r="F11836" t="s">
        <v>948</v>
      </c>
      <c r="G11836">
        <v>6077777</v>
      </c>
      <c r="H11836">
        <v>500465</v>
      </c>
      <c r="I11836" t="s">
        <v>949</v>
      </c>
    </row>
    <row r="11837" spans="1:9" x14ac:dyDescent="0.25">
      <c r="A11837">
        <v>4126</v>
      </c>
      <c r="B11837">
        <v>60</v>
      </c>
      <c r="C11837" t="s">
        <v>946</v>
      </c>
      <c r="D11837" t="s">
        <v>38</v>
      </c>
      <c r="E11837" t="s">
        <v>243</v>
      </c>
      <c r="F11837" t="s">
        <v>948</v>
      </c>
      <c r="G11837">
        <v>6000000</v>
      </c>
      <c r="H11837">
        <v>145000</v>
      </c>
      <c r="I11837" t="s">
        <v>949</v>
      </c>
    </row>
    <row r="11838" spans="1:9" x14ac:dyDescent="0.25">
      <c r="A11838">
        <v>4128</v>
      </c>
      <c r="B11838">
        <v>60</v>
      </c>
      <c r="C11838" t="s">
        <v>946</v>
      </c>
      <c r="D11838" t="s">
        <v>38</v>
      </c>
      <c r="E11838" t="s">
        <v>243</v>
      </c>
      <c r="F11838" t="s">
        <v>948</v>
      </c>
      <c r="G11838">
        <v>6077777</v>
      </c>
      <c r="H11838">
        <v>500460</v>
      </c>
      <c r="I11838" t="s">
        <v>949</v>
      </c>
    </row>
    <row r="11839" spans="1:9" x14ac:dyDescent="0.25">
      <c r="A11839">
        <v>4122</v>
      </c>
      <c r="B11839">
        <v>60</v>
      </c>
      <c r="C11839" t="s">
        <v>946</v>
      </c>
      <c r="D11839" t="s">
        <v>38</v>
      </c>
      <c r="E11839" t="s">
        <v>247</v>
      </c>
      <c r="F11839" t="s">
        <v>948</v>
      </c>
      <c r="G11839">
        <v>6000000</v>
      </c>
      <c r="H11839">
        <v>145000</v>
      </c>
      <c r="I11839" t="s">
        <v>949</v>
      </c>
    </row>
    <row r="11840" spans="1:9" x14ac:dyDescent="0.25">
      <c r="A11840">
        <v>4124</v>
      </c>
      <c r="B11840">
        <v>60</v>
      </c>
      <c r="C11840" t="s">
        <v>946</v>
      </c>
      <c r="D11840" t="s">
        <v>38</v>
      </c>
      <c r="E11840" t="s">
        <v>247</v>
      </c>
      <c r="F11840" t="s">
        <v>948</v>
      </c>
      <c r="G11840">
        <v>6077777</v>
      </c>
      <c r="H11840">
        <v>500465</v>
      </c>
      <c r="I11840" t="s">
        <v>949</v>
      </c>
    </row>
    <row r="11841" spans="1:9" x14ac:dyDescent="0.25">
      <c r="A11841">
        <v>4126</v>
      </c>
      <c r="B11841">
        <v>60</v>
      </c>
      <c r="C11841" t="s">
        <v>946</v>
      </c>
      <c r="D11841" t="s">
        <v>38</v>
      </c>
      <c r="E11841" t="s">
        <v>247</v>
      </c>
      <c r="F11841" t="s">
        <v>948</v>
      </c>
      <c r="G11841">
        <v>6000000</v>
      </c>
      <c r="H11841">
        <v>145000</v>
      </c>
      <c r="I11841" t="s">
        <v>949</v>
      </c>
    </row>
    <row r="11842" spans="1:9" x14ac:dyDescent="0.25">
      <c r="A11842">
        <v>4128</v>
      </c>
      <c r="B11842">
        <v>60</v>
      </c>
      <c r="C11842" t="s">
        <v>946</v>
      </c>
      <c r="D11842" t="s">
        <v>38</v>
      </c>
      <c r="E11842" t="s">
        <v>247</v>
      </c>
      <c r="F11842" t="s">
        <v>948</v>
      </c>
      <c r="G11842">
        <v>6077777</v>
      </c>
      <c r="H11842">
        <v>500460</v>
      </c>
      <c r="I11842" t="s">
        <v>949</v>
      </c>
    </row>
    <row r="11843" spans="1:9" x14ac:dyDescent="0.25">
      <c r="A11843">
        <v>4122</v>
      </c>
      <c r="B11843">
        <v>60</v>
      </c>
      <c r="C11843" t="s">
        <v>946</v>
      </c>
      <c r="D11843" t="s">
        <v>38</v>
      </c>
      <c r="E11843" t="s">
        <v>251</v>
      </c>
      <c r="F11843" t="s">
        <v>948</v>
      </c>
      <c r="G11843">
        <v>6000000</v>
      </c>
      <c r="H11843">
        <v>142000</v>
      </c>
      <c r="I11843" t="s">
        <v>949</v>
      </c>
    </row>
    <row r="11844" spans="1:9" x14ac:dyDescent="0.25">
      <c r="A11844">
        <v>4124</v>
      </c>
      <c r="B11844">
        <v>60</v>
      </c>
      <c r="C11844" t="s">
        <v>946</v>
      </c>
      <c r="D11844" t="s">
        <v>38</v>
      </c>
      <c r="E11844" t="s">
        <v>251</v>
      </c>
      <c r="F11844" t="s">
        <v>948</v>
      </c>
      <c r="G11844">
        <v>6077777</v>
      </c>
      <c r="H11844">
        <v>500465</v>
      </c>
      <c r="I11844" t="s">
        <v>949</v>
      </c>
    </row>
    <row r="11845" spans="1:9" x14ac:dyDescent="0.25">
      <c r="A11845">
        <v>4126</v>
      </c>
      <c r="B11845">
        <v>60</v>
      </c>
      <c r="C11845" t="s">
        <v>946</v>
      </c>
      <c r="D11845" t="s">
        <v>38</v>
      </c>
      <c r="E11845" t="s">
        <v>251</v>
      </c>
      <c r="F11845" t="s">
        <v>948</v>
      </c>
      <c r="G11845">
        <v>6000000</v>
      </c>
      <c r="H11845">
        <v>142000</v>
      </c>
      <c r="I11845" t="s">
        <v>949</v>
      </c>
    </row>
    <row r="11846" spans="1:9" x14ac:dyDescent="0.25">
      <c r="A11846">
        <v>4128</v>
      </c>
      <c r="B11846">
        <v>60</v>
      </c>
      <c r="C11846" t="s">
        <v>946</v>
      </c>
      <c r="D11846" t="s">
        <v>38</v>
      </c>
      <c r="E11846" t="s">
        <v>251</v>
      </c>
      <c r="F11846" t="s">
        <v>948</v>
      </c>
      <c r="G11846">
        <v>6077777</v>
      </c>
      <c r="H11846">
        <v>500460</v>
      </c>
      <c r="I11846" t="s">
        <v>949</v>
      </c>
    </row>
    <row r="11847" spans="1:9" x14ac:dyDescent="0.25">
      <c r="A11847">
        <v>4122</v>
      </c>
      <c r="B11847">
        <v>60</v>
      </c>
      <c r="C11847" t="s">
        <v>946</v>
      </c>
      <c r="D11847" t="s">
        <v>38</v>
      </c>
      <c r="E11847" t="s">
        <v>969</v>
      </c>
      <c r="F11847" t="s">
        <v>948</v>
      </c>
      <c r="G11847">
        <v>6000000</v>
      </c>
      <c r="H11847">
        <v>141000</v>
      </c>
      <c r="I11847" t="s">
        <v>970</v>
      </c>
    </row>
    <row r="11848" spans="1:9" x14ac:dyDescent="0.25">
      <c r="A11848">
        <v>4124</v>
      </c>
      <c r="B11848">
        <v>60</v>
      </c>
      <c r="C11848" t="s">
        <v>946</v>
      </c>
      <c r="D11848" t="s">
        <v>38</v>
      </c>
      <c r="E11848" t="s">
        <v>969</v>
      </c>
      <c r="F11848" t="s">
        <v>948</v>
      </c>
      <c r="G11848">
        <v>6077777</v>
      </c>
      <c r="H11848">
        <v>500465</v>
      </c>
      <c r="I11848" t="s">
        <v>949</v>
      </c>
    </row>
    <row r="11849" spans="1:9" x14ac:dyDescent="0.25">
      <c r="A11849">
        <v>4126</v>
      </c>
      <c r="B11849">
        <v>60</v>
      </c>
      <c r="C11849" t="s">
        <v>946</v>
      </c>
      <c r="D11849" t="s">
        <v>38</v>
      </c>
      <c r="E11849" t="s">
        <v>969</v>
      </c>
      <c r="F11849" t="s">
        <v>948</v>
      </c>
      <c r="G11849">
        <v>6000000</v>
      </c>
      <c r="H11849">
        <v>141000</v>
      </c>
      <c r="I11849" t="s">
        <v>970</v>
      </c>
    </row>
    <row r="11850" spans="1:9" x14ac:dyDescent="0.25">
      <c r="A11850">
        <v>4128</v>
      </c>
      <c r="B11850">
        <v>60</v>
      </c>
      <c r="C11850" t="s">
        <v>946</v>
      </c>
      <c r="D11850" t="s">
        <v>38</v>
      </c>
      <c r="E11850" t="s">
        <v>969</v>
      </c>
      <c r="F11850" t="s">
        <v>948</v>
      </c>
      <c r="G11850">
        <v>6077777</v>
      </c>
      <c r="H11850">
        <v>500460</v>
      </c>
      <c r="I11850" t="s">
        <v>949</v>
      </c>
    </row>
    <row r="11851" spans="1:9" x14ac:dyDescent="0.25">
      <c r="A11851">
        <v>4122</v>
      </c>
      <c r="B11851">
        <v>60</v>
      </c>
      <c r="C11851" t="s">
        <v>946</v>
      </c>
      <c r="D11851" t="s">
        <v>38</v>
      </c>
      <c r="E11851" t="s">
        <v>255</v>
      </c>
      <c r="F11851" t="s">
        <v>948</v>
      </c>
      <c r="G11851">
        <v>6000000</v>
      </c>
      <c r="H11851">
        <v>145000</v>
      </c>
      <c r="I11851" t="s">
        <v>949</v>
      </c>
    </row>
    <row r="11852" spans="1:9" x14ac:dyDescent="0.25">
      <c r="A11852">
        <v>4124</v>
      </c>
      <c r="B11852">
        <v>60</v>
      </c>
      <c r="C11852" t="s">
        <v>946</v>
      </c>
      <c r="D11852" t="s">
        <v>38</v>
      </c>
      <c r="E11852" t="s">
        <v>255</v>
      </c>
      <c r="F11852" t="s">
        <v>948</v>
      </c>
      <c r="G11852">
        <v>6077777</v>
      </c>
      <c r="H11852">
        <v>500465</v>
      </c>
      <c r="I11852" t="s">
        <v>949</v>
      </c>
    </row>
    <row r="11853" spans="1:9" x14ac:dyDescent="0.25">
      <c r="A11853">
        <v>4126</v>
      </c>
      <c r="B11853">
        <v>60</v>
      </c>
      <c r="C11853" t="s">
        <v>946</v>
      </c>
      <c r="D11853" t="s">
        <v>38</v>
      </c>
      <c r="E11853" t="s">
        <v>255</v>
      </c>
      <c r="F11853" t="s">
        <v>948</v>
      </c>
      <c r="G11853">
        <v>6000000</v>
      </c>
      <c r="H11853">
        <v>145000</v>
      </c>
      <c r="I11853" t="s">
        <v>949</v>
      </c>
    </row>
    <row r="11854" spans="1:9" x14ac:dyDescent="0.25">
      <c r="A11854">
        <v>4128</v>
      </c>
      <c r="B11854">
        <v>60</v>
      </c>
      <c r="C11854" t="s">
        <v>946</v>
      </c>
      <c r="D11854" t="s">
        <v>38</v>
      </c>
      <c r="E11854" t="s">
        <v>255</v>
      </c>
      <c r="F11854" t="s">
        <v>948</v>
      </c>
      <c r="G11854">
        <v>6077777</v>
      </c>
      <c r="H11854">
        <v>500460</v>
      </c>
      <c r="I11854" t="s">
        <v>949</v>
      </c>
    </row>
    <row r="11855" spans="1:9" x14ac:dyDescent="0.25">
      <c r="A11855">
        <v>4122</v>
      </c>
      <c r="B11855">
        <v>60</v>
      </c>
      <c r="C11855" t="s">
        <v>946</v>
      </c>
      <c r="D11855" t="s">
        <v>38</v>
      </c>
      <c r="E11855" t="s">
        <v>971</v>
      </c>
      <c r="F11855" t="s">
        <v>948</v>
      </c>
      <c r="G11855">
        <v>6000000</v>
      </c>
      <c r="H11855">
        <v>141000</v>
      </c>
      <c r="I11855" t="s">
        <v>972</v>
      </c>
    </row>
    <row r="11856" spans="1:9" x14ac:dyDescent="0.25">
      <c r="A11856">
        <v>4124</v>
      </c>
      <c r="B11856">
        <v>60</v>
      </c>
      <c r="C11856" t="s">
        <v>946</v>
      </c>
      <c r="D11856" t="s">
        <v>38</v>
      </c>
      <c r="E11856" t="s">
        <v>971</v>
      </c>
      <c r="F11856" t="s">
        <v>948</v>
      </c>
      <c r="G11856">
        <v>6077777</v>
      </c>
      <c r="H11856">
        <v>500465</v>
      </c>
      <c r="I11856" t="s">
        <v>949</v>
      </c>
    </row>
    <row r="11857" spans="1:9" x14ac:dyDescent="0.25">
      <c r="A11857">
        <v>4126</v>
      </c>
      <c r="B11857">
        <v>60</v>
      </c>
      <c r="C11857" t="s">
        <v>946</v>
      </c>
      <c r="D11857" t="s">
        <v>38</v>
      </c>
      <c r="E11857" t="s">
        <v>971</v>
      </c>
      <c r="F11857" t="s">
        <v>948</v>
      </c>
      <c r="G11857">
        <v>6000000</v>
      </c>
      <c r="H11857">
        <v>141000</v>
      </c>
      <c r="I11857" t="s">
        <v>972</v>
      </c>
    </row>
    <row r="11858" spans="1:9" x14ac:dyDescent="0.25">
      <c r="A11858">
        <v>4128</v>
      </c>
      <c r="B11858">
        <v>60</v>
      </c>
      <c r="C11858" t="s">
        <v>946</v>
      </c>
      <c r="D11858" t="s">
        <v>38</v>
      </c>
      <c r="E11858" t="s">
        <v>971</v>
      </c>
      <c r="F11858" t="s">
        <v>948</v>
      </c>
      <c r="G11858">
        <v>6077777</v>
      </c>
      <c r="H11858">
        <v>500460</v>
      </c>
      <c r="I11858" t="s">
        <v>949</v>
      </c>
    </row>
    <row r="11859" spans="1:9" x14ac:dyDescent="0.25">
      <c r="A11859">
        <v>4122</v>
      </c>
      <c r="B11859">
        <v>60</v>
      </c>
      <c r="C11859" t="s">
        <v>946</v>
      </c>
      <c r="D11859" t="s">
        <v>38</v>
      </c>
      <c r="E11859" t="s">
        <v>263</v>
      </c>
      <c r="F11859" t="s">
        <v>948</v>
      </c>
      <c r="G11859">
        <v>6000000</v>
      </c>
      <c r="H11859">
        <v>145000</v>
      </c>
      <c r="I11859" t="s">
        <v>949</v>
      </c>
    </row>
    <row r="11860" spans="1:9" x14ac:dyDescent="0.25">
      <c r="A11860">
        <v>4124</v>
      </c>
      <c r="B11860">
        <v>60</v>
      </c>
      <c r="C11860" t="s">
        <v>946</v>
      </c>
      <c r="D11860" t="s">
        <v>38</v>
      </c>
      <c r="E11860" t="s">
        <v>263</v>
      </c>
      <c r="F11860" t="s">
        <v>948</v>
      </c>
      <c r="G11860">
        <v>6077777</v>
      </c>
      <c r="H11860">
        <v>500465</v>
      </c>
      <c r="I11860" t="s">
        <v>949</v>
      </c>
    </row>
    <row r="11861" spans="1:9" x14ac:dyDescent="0.25">
      <c r="A11861">
        <v>4126</v>
      </c>
      <c r="B11861">
        <v>60</v>
      </c>
      <c r="C11861" t="s">
        <v>946</v>
      </c>
      <c r="D11861" t="s">
        <v>38</v>
      </c>
      <c r="E11861" t="s">
        <v>263</v>
      </c>
      <c r="F11861" t="s">
        <v>948</v>
      </c>
      <c r="G11861">
        <v>6000000</v>
      </c>
      <c r="H11861">
        <v>145000</v>
      </c>
      <c r="I11861" t="s">
        <v>949</v>
      </c>
    </row>
    <row r="11862" spans="1:9" x14ac:dyDescent="0.25">
      <c r="A11862">
        <v>4128</v>
      </c>
      <c r="B11862">
        <v>60</v>
      </c>
      <c r="C11862" t="s">
        <v>946</v>
      </c>
      <c r="D11862" t="s">
        <v>38</v>
      </c>
      <c r="E11862" t="s">
        <v>263</v>
      </c>
      <c r="F11862" t="s">
        <v>948</v>
      </c>
      <c r="G11862">
        <v>6077777</v>
      </c>
      <c r="H11862">
        <v>500460</v>
      </c>
      <c r="I11862" t="s">
        <v>949</v>
      </c>
    </row>
    <row r="11863" spans="1:9" x14ac:dyDescent="0.25">
      <c r="A11863">
        <v>4122</v>
      </c>
      <c r="B11863">
        <v>60</v>
      </c>
      <c r="C11863" t="s">
        <v>946</v>
      </c>
      <c r="D11863" t="s">
        <v>38</v>
      </c>
      <c r="E11863" t="s">
        <v>100</v>
      </c>
      <c r="F11863" t="s">
        <v>948</v>
      </c>
      <c r="G11863">
        <v>6077777</v>
      </c>
      <c r="H11863">
        <v>500220</v>
      </c>
      <c r="I11863" t="s">
        <v>949</v>
      </c>
    </row>
    <row r="11864" spans="1:9" x14ac:dyDescent="0.25">
      <c r="A11864">
        <v>4124</v>
      </c>
      <c r="B11864">
        <v>60</v>
      </c>
      <c r="C11864" t="s">
        <v>946</v>
      </c>
      <c r="D11864" t="s">
        <v>38</v>
      </c>
      <c r="E11864" t="s">
        <v>100</v>
      </c>
      <c r="F11864" t="s">
        <v>948</v>
      </c>
      <c r="G11864">
        <v>6077777</v>
      </c>
      <c r="H11864">
        <v>500221</v>
      </c>
      <c r="I11864" t="s">
        <v>949</v>
      </c>
    </row>
    <row r="11865" spans="1:9" x14ac:dyDescent="0.25">
      <c r="A11865">
        <v>4126</v>
      </c>
      <c r="B11865">
        <v>60</v>
      </c>
      <c r="C11865" t="s">
        <v>946</v>
      </c>
      <c r="D11865" t="s">
        <v>38</v>
      </c>
      <c r="E11865" t="s">
        <v>100</v>
      </c>
      <c r="F11865" t="s">
        <v>948</v>
      </c>
      <c r="G11865">
        <v>6077777</v>
      </c>
      <c r="H11865">
        <v>500220</v>
      </c>
      <c r="I11865" t="s">
        <v>949</v>
      </c>
    </row>
    <row r="11866" spans="1:9" x14ac:dyDescent="0.25">
      <c r="A11866">
        <v>4128</v>
      </c>
      <c r="B11866">
        <v>60</v>
      </c>
      <c r="C11866" t="s">
        <v>946</v>
      </c>
      <c r="D11866" t="s">
        <v>38</v>
      </c>
      <c r="E11866" t="s">
        <v>100</v>
      </c>
      <c r="F11866" t="s">
        <v>948</v>
      </c>
      <c r="G11866">
        <v>6077777</v>
      </c>
      <c r="H11866">
        <v>500221</v>
      </c>
      <c r="I11866" t="s">
        <v>949</v>
      </c>
    </row>
    <row r="11867" spans="1:9" x14ac:dyDescent="0.25">
      <c r="A11867">
        <v>4122</v>
      </c>
      <c r="B11867">
        <v>60</v>
      </c>
      <c r="C11867" t="s">
        <v>946</v>
      </c>
      <c r="D11867" t="s">
        <v>38</v>
      </c>
      <c r="E11867" t="s">
        <v>270</v>
      </c>
      <c r="F11867" t="s">
        <v>948</v>
      </c>
      <c r="G11867">
        <v>6000000</v>
      </c>
      <c r="H11867">
        <v>145000</v>
      </c>
      <c r="I11867" t="s">
        <v>949</v>
      </c>
    </row>
    <row r="11868" spans="1:9" x14ac:dyDescent="0.25">
      <c r="A11868">
        <v>4124</v>
      </c>
      <c r="B11868">
        <v>60</v>
      </c>
      <c r="C11868" t="s">
        <v>946</v>
      </c>
      <c r="D11868" t="s">
        <v>38</v>
      </c>
      <c r="E11868" t="s">
        <v>270</v>
      </c>
      <c r="F11868" t="s">
        <v>948</v>
      </c>
      <c r="G11868">
        <v>6077777</v>
      </c>
      <c r="H11868">
        <v>500465</v>
      </c>
      <c r="I11868" t="s">
        <v>949</v>
      </c>
    </row>
    <row r="11869" spans="1:9" x14ac:dyDescent="0.25">
      <c r="A11869">
        <v>4126</v>
      </c>
      <c r="B11869">
        <v>60</v>
      </c>
      <c r="C11869" t="s">
        <v>946</v>
      </c>
      <c r="D11869" t="s">
        <v>38</v>
      </c>
      <c r="E11869" t="s">
        <v>270</v>
      </c>
      <c r="F11869" t="s">
        <v>948</v>
      </c>
      <c r="G11869">
        <v>6000000</v>
      </c>
      <c r="H11869">
        <v>145000</v>
      </c>
      <c r="I11869" t="s">
        <v>949</v>
      </c>
    </row>
    <row r="11870" spans="1:9" x14ac:dyDescent="0.25">
      <c r="A11870">
        <v>4128</v>
      </c>
      <c r="B11870">
        <v>60</v>
      </c>
      <c r="C11870" t="s">
        <v>946</v>
      </c>
      <c r="D11870" t="s">
        <v>38</v>
      </c>
      <c r="E11870" t="s">
        <v>270</v>
      </c>
      <c r="F11870" t="s">
        <v>948</v>
      </c>
      <c r="G11870">
        <v>6077777</v>
      </c>
      <c r="H11870">
        <v>500460</v>
      </c>
      <c r="I11870" t="s">
        <v>949</v>
      </c>
    </row>
    <row r="11871" spans="1:9" x14ac:dyDescent="0.25">
      <c r="A11871">
        <v>4122</v>
      </c>
      <c r="B11871">
        <v>60</v>
      </c>
      <c r="C11871" t="s">
        <v>946</v>
      </c>
      <c r="D11871" t="s">
        <v>38</v>
      </c>
      <c r="E11871" t="s">
        <v>274</v>
      </c>
      <c r="F11871" t="s">
        <v>948</v>
      </c>
      <c r="G11871">
        <v>6000000</v>
      </c>
      <c r="H11871">
        <v>143000</v>
      </c>
      <c r="I11871" t="s">
        <v>973</v>
      </c>
    </row>
    <row r="11872" spans="1:9" x14ac:dyDescent="0.25">
      <c r="A11872">
        <v>4124</v>
      </c>
      <c r="B11872">
        <v>60</v>
      </c>
      <c r="C11872" t="s">
        <v>946</v>
      </c>
      <c r="D11872" t="s">
        <v>38</v>
      </c>
      <c r="E11872" t="s">
        <v>274</v>
      </c>
      <c r="F11872" t="s">
        <v>948</v>
      </c>
      <c r="G11872">
        <v>6077777</v>
      </c>
      <c r="H11872">
        <v>500465</v>
      </c>
      <c r="I11872" t="s">
        <v>949</v>
      </c>
    </row>
    <row r="11873" spans="1:9" x14ac:dyDescent="0.25">
      <c r="A11873">
        <v>4126</v>
      </c>
      <c r="B11873">
        <v>60</v>
      </c>
      <c r="C11873" t="s">
        <v>946</v>
      </c>
      <c r="D11873" t="s">
        <v>38</v>
      </c>
      <c r="E11873" t="s">
        <v>274</v>
      </c>
      <c r="F11873" t="s">
        <v>948</v>
      </c>
      <c r="G11873">
        <v>6000000</v>
      </c>
      <c r="H11873">
        <v>143000</v>
      </c>
      <c r="I11873" t="s">
        <v>973</v>
      </c>
    </row>
    <row r="11874" spans="1:9" x14ac:dyDescent="0.25">
      <c r="A11874">
        <v>4128</v>
      </c>
      <c r="B11874">
        <v>60</v>
      </c>
      <c r="C11874" t="s">
        <v>946</v>
      </c>
      <c r="D11874" t="s">
        <v>38</v>
      </c>
      <c r="E11874" t="s">
        <v>274</v>
      </c>
      <c r="F11874" t="s">
        <v>948</v>
      </c>
      <c r="G11874">
        <v>6077777</v>
      </c>
      <c r="H11874">
        <v>500460</v>
      </c>
      <c r="I11874" t="s">
        <v>949</v>
      </c>
    </row>
    <row r="11875" spans="1:9" x14ac:dyDescent="0.25">
      <c r="A11875">
        <v>4122</v>
      </c>
      <c r="B11875">
        <v>60</v>
      </c>
      <c r="C11875" t="s">
        <v>946</v>
      </c>
      <c r="D11875" t="s">
        <v>38</v>
      </c>
      <c r="E11875" t="s">
        <v>974</v>
      </c>
      <c r="F11875" t="s">
        <v>948</v>
      </c>
      <c r="G11875">
        <v>6000000</v>
      </c>
      <c r="H11875">
        <v>141000</v>
      </c>
      <c r="I11875" t="s">
        <v>975</v>
      </c>
    </row>
    <row r="11876" spans="1:9" x14ac:dyDescent="0.25">
      <c r="A11876">
        <v>4124</v>
      </c>
      <c r="B11876">
        <v>60</v>
      </c>
      <c r="C11876" t="s">
        <v>946</v>
      </c>
      <c r="D11876" t="s">
        <v>38</v>
      </c>
      <c r="E11876" t="s">
        <v>974</v>
      </c>
      <c r="F11876" t="s">
        <v>948</v>
      </c>
      <c r="G11876">
        <v>6077777</v>
      </c>
      <c r="H11876">
        <v>500465</v>
      </c>
      <c r="I11876" t="s">
        <v>949</v>
      </c>
    </row>
    <row r="11877" spans="1:9" x14ac:dyDescent="0.25">
      <c r="A11877">
        <v>4126</v>
      </c>
      <c r="B11877">
        <v>60</v>
      </c>
      <c r="C11877" t="s">
        <v>946</v>
      </c>
      <c r="D11877" t="s">
        <v>38</v>
      </c>
      <c r="E11877" t="s">
        <v>974</v>
      </c>
      <c r="F11877" t="s">
        <v>948</v>
      </c>
      <c r="G11877">
        <v>6000000</v>
      </c>
      <c r="H11877">
        <v>141000</v>
      </c>
      <c r="I11877" t="s">
        <v>975</v>
      </c>
    </row>
    <row r="11878" spans="1:9" x14ac:dyDescent="0.25">
      <c r="A11878">
        <v>4128</v>
      </c>
      <c r="B11878">
        <v>60</v>
      </c>
      <c r="C11878" t="s">
        <v>946</v>
      </c>
      <c r="D11878" t="s">
        <v>38</v>
      </c>
      <c r="E11878" t="s">
        <v>974</v>
      </c>
      <c r="F11878" t="s">
        <v>948</v>
      </c>
      <c r="G11878">
        <v>6077777</v>
      </c>
      <c r="H11878">
        <v>500460</v>
      </c>
      <c r="I11878" t="s">
        <v>949</v>
      </c>
    </row>
    <row r="11879" spans="1:9" x14ac:dyDescent="0.25">
      <c r="A11879">
        <v>4122</v>
      </c>
      <c r="B11879">
        <v>60</v>
      </c>
      <c r="C11879" t="s">
        <v>946</v>
      </c>
      <c r="D11879" t="s">
        <v>38</v>
      </c>
      <c r="E11879" t="s">
        <v>104</v>
      </c>
      <c r="F11879" t="s">
        <v>948</v>
      </c>
      <c r="G11879">
        <v>6077777</v>
      </c>
      <c r="H11879">
        <v>500220</v>
      </c>
      <c r="I11879" t="s">
        <v>949</v>
      </c>
    </row>
    <row r="11880" spans="1:9" x14ac:dyDescent="0.25">
      <c r="A11880">
        <v>4124</v>
      </c>
      <c r="B11880">
        <v>60</v>
      </c>
      <c r="C11880" t="s">
        <v>946</v>
      </c>
      <c r="D11880" t="s">
        <v>38</v>
      </c>
      <c r="E11880" t="s">
        <v>104</v>
      </c>
      <c r="F11880" t="s">
        <v>948</v>
      </c>
      <c r="G11880">
        <v>6077777</v>
      </c>
      <c r="H11880">
        <v>500221</v>
      </c>
      <c r="I11880" t="s">
        <v>949</v>
      </c>
    </row>
    <row r="11881" spans="1:9" x14ac:dyDescent="0.25">
      <c r="A11881">
        <v>4126</v>
      </c>
      <c r="B11881">
        <v>60</v>
      </c>
      <c r="C11881" t="s">
        <v>946</v>
      </c>
      <c r="D11881" t="s">
        <v>38</v>
      </c>
      <c r="E11881" t="s">
        <v>104</v>
      </c>
      <c r="F11881" t="s">
        <v>948</v>
      </c>
      <c r="G11881">
        <v>6077777</v>
      </c>
      <c r="H11881">
        <v>500220</v>
      </c>
      <c r="I11881" t="s">
        <v>949</v>
      </c>
    </row>
    <row r="11882" spans="1:9" x14ac:dyDescent="0.25">
      <c r="A11882">
        <v>4128</v>
      </c>
      <c r="B11882">
        <v>60</v>
      </c>
      <c r="C11882" t="s">
        <v>946</v>
      </c>
      <c r="D11882" t="s">
        <v>38</v>
      </c>
      <c r="E11882" t="s">
        <v>104</v>
      </c>
      <c r="F11882" t="s">
        <v>948</v>
      </c>
      <c r="G11882">
        <v>6077777</v>
      </c>
      <c r="H11882">
        <v>500221</v>
      </c>
      <c r="I11882" t="s">
        <v>949</v>
      </c>
    </row>
    <row r="11883" spans="1:9" x14ac:dyDescent="0.25">
      <c r="A11883">
        <v>4122</v>
      </c>
      <c r="B11883">
        <v>60</v>
      </c>
      <c r="C11883" t="s">
        <v>946</v>
      </c>
      <c r="D11883" t="s">
        <v>38</v>
      </c>
      <c r="E11883" t="s">
        <v>278</v>
      </c>
      <c r="F11883" t="s">
        <v>948</v>
      </c>
      <c r="G11883">
        <v>6000000</v>
      </c>
      <c r="H11883">
        <v>145000</v>
      </c>
      <c r="I11883" t="s">
        <v>949</v>
      </c>
    </row>
    <row r="11884" spans="1:9" x14ac:dyDescent="0.25">
      <c r="A11884">
        <v>4124</v>
      </c>
      <c r="B11884">
        <v>60</v>
      </c>
      <c r="C11884" t="s">
        <v>946</v>
      </c>
      <c r="D11884" t="s">
        <v>38</v>
      </c>
      <c r="E11884" t="s">
        <v>278</v>
      </c>
      <c r="F11884" t="s">
        <v>948</v>
      </c>
      <c r="G11884">
        <v>6077777</v>
      </c>
      <c r="H11884">
        <v>500465</v>
      </c>
      <c r="I11884" t="s">
        <v>949</v>
      </c>
    </row>
    <row r="11885" spans="1:9" x14ac:dyDescent="0.25">
      <c r="A11885">
        <v>4126</v>
      </c>
      <c r="B11885">
        <v>60</v>
      </c>
      <c r="C11885" t="s">
        <v>946</v>
      </c>
      <c r="D11885" t="s">
        <v>38</v>
      </c>
      <c r="E11885" t="s">
        <v>278</v>
      </c>
      <c r="F11885" t="s">
        <v>948</v>
      </c>
      <c r="G11885">
        <v>6000000</v>
      </c>
      <c r="H11885">
        <v>145000</v>
      </c>
      <c r="I11885" t="s">
        <v>949</v>
      </c>
    </row>
    <row r="11886" spans="1:9" x14ac:dyDescent="0.25">
      <c r="A11886">
        <v>4128</v>
      </c>
      <c r="B11886">
        <v>60</v>
      </c>
      <c r="C11886" t="s">
        <v>946</v>
      </c>
      <c r="D11886" t="s">
        <v>38</v>
      </c>
      <c r="E11886" t="s">
        <v>278</v>
      </c>
      <c r="F11886" t="s">
        <v>948</v>
      </c>
      <c r="G11886">
        <v>6077777</v>
      </c>
      <c r="H11886">
        <v>500460</v>
      </c>
      <c r="I11886" t="s">
        <v>949</v>
      </c>
    </row>
    <row r="11887" spans="1:9" x14ac:dyDescent="0.25">
      <c r="A11887">
        <v>4122</v>
      </c>
      <c r="B11887">
        <v>60</v>
      </c>
      <c r="C11887" t="s">
        <v>946</v>
      </c>
      <c r="D11887" t="s">
        <v>38</v>
      </c>
      <c r="E11887" t="s">
        <v>282</v>
      </c>
      <c r="F11887" t="s">
        <v>948</v>
      </c>
      <c r="G11887">
        <v>6000000</v>
      </c>
      <c r="H11887">
        <v>143100</v>
      </c>
      <c r="I11887" t="s">
        <v>949</v>
      </c>
    </row>
    <row r="11888" spans="1:9" x14ac:dyDescent="0.25">
      <c r="A11888">
        <v>4124</v>
      </c>
      <c r="B11888">
        <v>60</v>
      </c>
      <c r="C11888" t="s">
        <v>946</v>
      </c>
      <c r="D11888" t="s">
        <v>38</v>
      </c>
      <c r="E11888" t="s">
        <v>282</v>
      </c>
      <c r="F11888" t="s">
        <v>948</v>
      </c>
      <c r="G11888">
        <v>6077777</v>
      </c>
      <c r="H11888">
        <v>500465</v>
      </c>
      <c r="I11888" t="s">
        <v>949</v>
      </c>
    </row>
    <row r="11889" spans="1:9" x14ac:dyDescent="0.25">
      <c r="A11889">
        <v>4126</v>
      </c>
      <c r="B11889">
        <v>60</v>
      </c>
      <c r="C11889" t="s">
        <v>946</v>
      </c>
      <c r="D11889" t="s">
        <v>38</v>
      </c>
      <c r="E11889" t="s">
        <v>282</v>
      </c>
      <c r="F11889" t="s">
        <v>948</v>
      </c>
      <c r="G11889">
        <v>6000000</v>
      </c>
      <c r="H11889">
        <v>143100</v>
      </c>
      <c r="I11889" t="s">
        <v>949</v>
      </c>
    </row>
    <row r="11890" spans="1:9" x14ac:dyDescent="0.25">
      <c r="A11890">
        <v>4128</v>
      </c>
      <c r="B11890">
        <v>60</v>
      </c>
      <c r="C11890" t="s">
        <v>946</v>
      </c>
      <c r="D11890" t="s">
        <v>38</v>
      </c>
      <c r="E11890" t="s">
        <v>282</v>
      </c>
      <c r="F11890" t="s">
        <v>948</v>
      </c>
      <c r="G11890">
        <v>6077777</v>
      </c>
      <c r="H11890">
        <v>500460</v>
      </c>
      <c r="I11890" t="s">
        <v>949</v>
      </c>
    </row>
    <row r="11891" ht="22" customHeight="1" spans="1:10" x14ac:dyDescent="0.25">
      <c r="A11891" s="41">
        <v>4122</v>
      </c>
      <c r="B11891" s="41">
        <v>60</v>
      </c>
      <c r="C11891" s="41" t="s">
        <v>946</v>
      </c>
      <c r="D11891" s="41" t="s">
        <v>38</v>
      </c>
      <c r="E11891" s="41" t="s">
        <v>39</v>
      </c>
      <c r="F11891" s="41" t="s">
        <v>948</v>
      </c>
      <c r="G11891" s="41">
        <v>6077777</v>
      </c>
      <c r="H11891" s="41">
        <v>501090</v>
      </c>
      <c r="I11891" s="41" t="s">
        <v>949</v>
      </c>
      <c r="J11891" s="42" t="s">
        <v>1078</v>
      </c>
    </row>
    <row r="11892" ht="22" customHeight="1" spans="1:10" x14ac:dyDescent="0.25">
      <c r="A11892" s="41">
        <v>4124</v>
      </c>
      <c r="B11892" s="41">
        <v>60</v>
      </c>
      <c r="C11892" s="41" t="s">
        <v>946</v>
      </c>
      <c r="D11892" s="41" t="s">
        <v>38</v>
      </c>
      <c r="E11892" s="41" t="s">
        <v>39</v>
      </c>
      <c r="F11892" s="41" t="s">
        <v>948</v>
      </c>
      <c r="G11892" s="41">
        <v>6077777</v>
      </c>
      <c r="H11892" s="41">
        <v>501090</v>
      </c>
      <c r="I11892" s="41" t="s">
        <v>949</v>
      </c>
      <c r="J11892" s="42" t="s">
        <v>1079</v>
      </c>
    </row>
    <row r="11893" spans="1:9" x14ac:dyDescent="0.25">
      <c r="A11893">
        <v>4122</v>
      </c>
      <c r="B11893">
        <v>60</v>
      </c>
      <c r="C11893" t="s">
        <v>946</v>
      </c>
      <c r="D11893" t="s">
        <v>38</v>
      </c>
      <c r="E11893" t="s">
        <v>286</v>
      </c>
      <c r="F11893" t="s">
        <v>948</v>
      </c>
      <c r="G11893">
        <v>6000000</v>
      </c>
      <c r="H11893">
        <v>145000</v>
      </c>
      <c r="I11893" t="s">
        <v>949</v>
      </c>
    </row>
    <row r="11894" spans="1:9" x14ac:dyDescent="0.25">
      <c r="A11894">
        <v>4124</v>
      </c>
      <c r="B11894">
        <v>60</v>
      </c>
      <c r="C11894" t="s">
        <v>946</v>
      </c>
      <c r="D11894" t="s">
        <v>38</v>
      </c>
      <c r="E11894" t="s">
        <v>286</v>
      </c>
      <c r="F11894" t="s">
        <v>948</v>
      </c>
      <c r="G11894">
        <v>6077777</v>
      </c>
      <c r="H11894">
        <v>500465</v>
      </c>
      <c r="I11894" t="s">
        <v>949</v>
      </c>
    </row>
    <row r="11895" spans="1:9" x14ac:dyDescent="0.25">
      <c r="A11895">
        <v>4126</v>
      </c>
      <c r="B11895">
        <v>60</v>
      </c>
      <c r="C11895" t="s">
        <v>946</v>
      </c>
      <c r="D11895" t="s">
        <v>38</v>
      </c>
      <c r="E11895" t="s">
        <v>286</v>
      </c>
      <c r="F11895" t="s">
        <v>948</v>
      </c>
      <c r="G11895">
        <v>6000000</v>
      </c>
      <c r="H11895">
        <v>145000</v>
      </c>
      <c r="I11895" t="s">
        <v>949</v>
      </c>
    </row>
    <row r="11896" spans="1:9" x14ac:dyDescent="0.25">
      <c r="A11896">
        <v>4128</v>
      </c>
      <c r="B11896">
        <v>60</v>
      </c>
      <c r="C11896" t="s">
        <v>946</v>
      </c>
      <c r="D11896" t="s">
        <v>38</v>
      </c>
      <c r="E11896" t="s">
        <v>286</v>
      </c>
      <c r="F11896" t="s">
        <v>948</v>
      </c>
      <c r="G11896">
        <v>6077777</v>
      </c>
      <c r="H11896">
        <v>500460</v>
      </c>
      <c r="I11896" t="s">
        <v>949</v>
      </c>
    </row>
    <row r="11897" spans="1:9" x14ac:dyDescent="0.25">
      <c r="A11897">
        <v>4122</v>
      </c>
      <c r="B11897">
        <v>60</v>
      </c>
      <c r="C11897" t="s">
        <v>946</v>
      </c>
      <c r="D11897" t="s">
        <v>38</v>
      </c>
      <c r="E11897" t="s">
        <v>976</v>
      </c>
      <c r="F11897" t="s">
        <v>948</v>
      </c>
      <c r="G11897">
        <v>6000000</v>
      </c>
      <c r="H11897">
        <v>141000</v>
      </c>
      <c r="I11897" t="s">
        <v>977</v>
      </c>
    </row>
    <row r="11898" spans="1:9" x14ac:dyDescent="0.25">
      <c r="A11898">
        <v>4124</v>
      </c>
      <c r="B11898">
        <v>60</v>
      </c>
      <c r="C11898" t="s">
        <v>946</v>
      </c>
      <c r="D11898" t="s">
        <v>38</v>
      </c>
      <c r="E11898" t="s">
        <v>976</v>
      </c>
      <c r="F11898" t="s">
        <v>948</v>
      </c>
      <c r="G11898">
        <v>6077777</v>
      </c>
      <c r="H11898">
        <v>500465</v>
      </c>
      <c r="I11898" t="s">
        <v>949</v>
      </c>
    </row>
    <row r="11899" spans="1:9" x14ac:dyDescent="0.25">
      <c r="A11899">
        <v>4126</v>
      </c>
      <c r="B11899">
        <v>60</v>
      </c>
      <c r="C11899" t="s">
        <v>946</v>
      </c>
      <c r="D11899" t="s">
        <v>38</v>
      </c>
      <c r="E11899" t="s">
        <v>976</v>
      </c>
      <c r="F11899" t="s">
        <v>948</v>
      </c>
      <c r="G11899">
        <v>6000000</v>
      </c>
      <c r="H11899">
        <v>141000</v>
      </c>
      <c r="I11899" t="s">
        <v>977</v>
      </c>
    </row>
    <row r="11900" spans="1:9" x14ac:dyDescent="0.25">
      <c r="A11900">
        <v>4128</v>
      </c>
      <c r="B11900">
        <v>60</v>
      </c>
      <c r="C11900" t="s">
        <v>946</v>
      </c>
      <c r="D11900" t="s">
        <v>38</v>
      </c>
      <c r="E11900" t="s">
        <v>976</v>
      </c>
      <c r="F11900" t="s">
        <v>948</v>
      </c>
      <c r="G11900">
        <v>6077777</v>
      </c>
      <c r="H11900">
        <v>500460</v>
      </c>
      <c r="I11900" t="s">
        <v>949</v>
      </c>
    </row>
    <row r="11901" spans="1:9" x14ac:dyDescent="0.25">
      <c r="A11901">
        <v>4122</v>
      </c>
      <c r="B11901">
        <v>60</v>
      </c>
      <c r="C11901" t="s">
        <v>946</v>
      </c>
      <c r="D11901" t="s">
        <v>38</v>
      </c>
      <c r="E11901" t="s">
        <v>290</v>
      </c>
      <c r="F11901" t="s">
        <v>948</v>
      </c>
      <c r="G11901">
        <v>6000000</v>
      </c>
      <c r="H11901">
        <v>143000</v>
      </c>
      <c r="I11901" t="s">
        <v>978</v>
      </c>
    </row>
    <row r="11902" spans="1:9" x14ac:dyDescent="0.25">
      <c r="A11902">
        <v>4124</v>
      </c>
      <c r="B11902">
        <v>60</v>
      </c>
      <c r="C11902" t="s">
        <v>946</v>
      </c>
      <c r="D11902" t="s">
        <v>38</v>
      </c>
      <c r="E11902" t="s">
        <v>290</v>
      </c>
      <c r="F11902" t="s">
        <v>948</v>
      </c>
      <c r="G11902">
        <v>6077777</v>
      </c>
      <c r="H11902">
        <v>500465</v>
      </c>
      <c r="I11902" t="s">
        <v>949</v>
      </c>
    </row>
    <row r="11903" spans="1:9" x14ac:dyDescent="0.25">
      <c r="A11903">
        <v>4126</v>
      </c>
      <c r="B11903">
        <v>60</v>
      </c>
      <c r="C11903" t="s">
        <v>946</v>
      </c>
      <c r="D11903" t="s">
        <v>38</v>
      </c>
      <c r="E11903" t="s">
        <v>290</v>
      </c>
      <c r="F11903" t="s">
        <v>948</v>
      </c>
      <c r="G11903">
        <v>6000000</v>
      </c>
      <c r="H11903">
        <v>143000</v>
      </c>
      <c r="I11903" t="s">
        <v>978</v>
      </c>
    </row>
    <row r="11904" spans="1:9" x14ac:dyDescent="0.25">
      <c r="A11904">
        <v>4128</v>
      </c>
      <c r="B11904">
        <v>60</v>
      </c>
      <c r="C11904" t="s">
        <v>946</v>
      </c>
      <c r="D11904" t="s">
        <v>38</v>
      </c>
      <c r="E11904" t="s">
        <v>290</v>
      </c>
      <c r="F11904" t="s">
        <v>948</v>
      </c>
      <c r="G11904">
        <v>6077777</v>
      </c>
      <c r="H11904">
        <v>500460</v>
      </c>
      <c r="I11904" t="s">
        <v>949</v>
      </c>
    </row>
    <row r="11905" spans="1:9" x14ac:dyDescent="0.25">
      <c r="A11905">
        <v>4122</v>
      </c>
      <c r="B11905">
        <v>60</v>
      </c>
      <c r="C11905" t="s">
        <v>946</v>
      </c>
      <c r="D11905" t="s">
        <v>38</v>
      </c>
      <c r="E11905" t="s">
        <v>294</v>
      </c>
      <c r="F11905" t="s">
        <v>948</v>
      </c>
      <c r="G11905">
        <v>6000000</v>
      </c>
      <c r="H11905">
        <v>143000</v>
      </c>
      <c r="I11905" t="s">
        <v>979</v>
      </c>
    </row>
    <row r="11906" spans="1:9" x14ac:dyDescent="0.25">
      <c r="A11906">
        <v>4124</v>
      </c>
      <c r="B11906">
        <v>60</v>
      </c>
      <c r="C11906" t="s">
        <v>946</v>
      </c>
      <c r="D11906" t="s">
        <v>38</v>
      </c>
      <c r="E11906" t="s">
        <v>294</v>
      </c>
      <c r="F11906" t="s">
        <v>948</v>
      </c>
      <c r="G11906">
        <v>6077777</v>
      </c>
      <c r="H11906">
        <v>500465</v>
      </c>
      <c r="I11906" t="s">
        <v>949</v>
      </c>
    </row>
    <row r="11907" spans="1:9" x14ac:dyDescent="0.25">
      <c r="A11907">
        <v>4126</v>
      </c>
      <c r="B11907">
        <v>60</v>
      </c>
      <c r="C11907" t="s">
        <v>946</v>
      </c>
      <c r="D11907" t="s">
        <v>38</v>
      </c>
      <c r="E11907" t="s">
        <v>294</v>
      </c>
      <c r="F11907" t="s">
        <v>948</v>
      </c>
      <c r="G11907">
        <v>6000000</v>
      </c>
      <c r="H11907">
        <v>143000</v>
      </c>
      <c r="I11907" t="s">
        <v>979</v>
      </c>
    </row>
    <row r="11908" spans="1:9" x14ac:dyDescent="0.25">
      <c r="A11908">
        <v>4128</v>
      </c>
      <c r="B11908">
        <v>60</v>
      </c>
      <c r="C11908" t="s">
        <v>946</v>
      </c>
      <c r="D11908" t="s">
        <v>38</v>
      </c>
      <c r="E11908" t="s">
        <v>294</v>
      </c>
      <c r="F11908" t="s">
        <v>948</v>
      </c>
      <c r="G11908">
        <v>6077777</v>
      </c>
      <c r="H11908">
        <v>500460</v>
      </c>
      <c r="I11908" t="s">
        <v>949</v>
      </c>
    </row>
    <row r="11909" spans="1:9" x14ac:dyDescent="0.25">
      <c r="A11909">
        <v>4122</v>
      </c>
      <c r="B11909">
        <v>60</v>
      </c>
      <c r="C11909" t="s">
        <v>946</v>
      </c>
      <c r="D11909" t="s">
        <v>38</v>
      </c>
      <c r="E11909" t="s">
        <v>980</v>
      </c>
      <c r="F11909" t="s">
        <v>948</v>
      </c>
      <c r="G11909">
        <v>6000000</v>
      </c>
      <c r="H11909">
        <v>141000</v>
      </c>
      <c r="I11909" t="s">
        <v>981</v>
      </c>
    </row>
    <row r="11910" spans="1:9" x14ac:dyDescent="0.25">
      <c r="A11910">
        <v>4124</v>
      </c>
      <c r="B11910">
        <v>60</v>
      </c>
      <c r="C11910" t="s">
        <v>946</v>
      </c>
      <c r="D11910" t="s">
        <v>38</v>
      </c>
      <c r="E11910" t="s">
        <v>980</v>
      </c>
      <c r="F11910" t="s">
        <v>948</v>
      </c>
      <c r="G11910">
        <v>6077777</v>
      </c>
      <c r="H11910">
        <v>500465</v>
      </c>
      <c r="I11910" t="s">
        <v>949</v>
      </c>
    </row>
    <row r="11911" spans="1:9" x14ac:dyDescent="0.25">
      <c r="A11911">
        <v>4126</v>
      </c>
      <c r="B11911">
        <v>60</v>
      </c>
      <c r="C11911" t="s">
        <v>946</v>
      </c>
      <c r="D11911" t="s">
        <v>38</v>
      </c>
      <c r="E11911" t="s">
        <v>980</v>
      </c>
      <c r="F11911" t="s">
        <v>948</v>
      </c>
      <c r="G11911">
        <v>6000000</v>
      </c>
      <c r="H11911">
        <v>141000</v>
      </c>
      <c r="I11911" t="s">
        <v>981</v>
      </c>
    </row>
    <row r="11912" spans="1:9" x14ac:dyDescent="0.25">
      <c r="A11912">
        <v>4128</v>
      </c>
      <c r="B11912">
        <v>60</v>
      </c>
      <c r="C11912" t="s">
        <v>946</v>
      </c>
      <c r="D11912" t="s">
        <v>38</v>
      </c>
      <c r="E11912" t="s">
        <v>980</v>
      </c>
      <c r="F11912" t="s">
        <v>948</v>
      </c>
      <c r="G11912">
        <v>6077777</v>
      </c>
      <c r="H11912">
        <v>500460</v>
      </c>
      <c r="I11912" t="s">
        <v>949</v>
      </c>
    </row>
    <row r="11913" spans="1:9" x14ac:dyDescent="0.25">
      <c r="A11913">
        <v>4122</v>
      </c>
      <c r="B11913">
        <v>60</v>
      </c>
      <c r="C11913" t="s">
        <v>946</v>
      </c>
      <c r="D11913" t="s">
        <v>38</v>
      </c>
      <c r="E11913" t="s">
        <v>302</v>
      </c>
      <c r="F11913" t="s">
        <v>948</v>
      </c>
      <c r="G11913">
        <v>6000000</v>
      </c>
      <c r="H11913">
        <v>143000</v>
      </c>
      <c r="I11913" t="s">
        <v>982</v>
      </c>
    </row>
    <row r="11914" spans="1:9" x14ac:dyDescent="0.25">
      <c r="A11914">
        <v>4124</v>
      </c>
      <c r="B11914">
        <v>60</v>
      </c>
      <c r="C11914" t="s">
        <v>946</v>
      </c>
      <c r="D11914" t="s">
        <v>38</v>
      </c>
      <c r="E11914" t="s">
        <v>302</v>
      </c>
      <c r="F11914" t="s">
        <v>948</v>
      </c>
      <c r="G11914">
        <v>6077777</v>
      </c>
      <c r="H11914">
        <v>500465</v>
      </c>
      <c r="I11914" t="s">
        <v>949</v>
      </c>
    </row>
    <row r="11915" spans="1:9" x14ac:dyDescent="0.25">
      <c r="A11915">
        <v>4126</v>
      </c>
      <c r="B11915">
        <v>60</v>
      </c>
      <c r="C11915" t="s">
        <v>946</v>
      </c>
      <c r="D11915" t="s">
        <v>38</v>
      </c>
      <c r="E11915" t="s">
        <v>302</v>
      </c>
      <c r="F11915" t="s">
        <v>948</v>
      </c>
      <c r="G11915">
        <v>6000000</v>
      </c>
      <c r="H11915">
        <v>143000</v>
      </c>
      <c r="I11915" t="s">
        <v>982</v>
      </c>
    </row>
    <row r="11916" spans="1:9" x14ac:dyDescent="0.25">
      <c r="A11916">
        <v>4128</v>
      </c>
      <c r="B11916">
        <v>60</v>
      </c>
      <c r="C11916" t="s">
        <v>946</v>
      </c>
      <c r="D11916" t="s">
        <v>38</v>
      </c>
      <c r="E11916" t="s">
        <v>302</v>
      </c>
      <c r="F11916" t="s">
        <v>948</v>
      </c>
      <c r="G11916">
        <v>6077777</v>
      </c>
      <c r="H11916">
        <v>500460</v>
      </c>
      <c r="I11916" t="s">
        <v>949</v>
      </c>
    </row>
    <row r="11917" spans="1:9" x14ac:dyDescent="0.25">
      <c r="A11917">
        <v>4122</v>
      </c>
      <c r="B11917">
        <v>60</v>
      </c>
      <c r="C11917" t="s">
        <v>946</v>
      </c>
      <c r="D11917" t="s">
        <v>38</v>
      </c>
      <c r="E11917" t="s">
        <v>306</v>
      </c>
      <c r="F11917" t="s">
        <v>948</v>
      </c>
      <c r="G11917">
        <v>6000000</v>
      </c>
      <c r="H11917">
        <v>143000</v>
      </c>
      <c r="I11917" t="s">
        <v>983</v>
      </c>
    </row>
    <row r="11918" spans="1:9" x14ac:dyDescent="0.25">
      <c r="A11918">
        <v>4124</v>
      </c>
      <c r="B11918">
        <v>60</v>
      </c>
      <c r="C11918" t="s">
        <v>946</v>
      </c>
      <c r="D11918" t="s">
        <v>38</v>
      </c>
      <c r="E11918" t="s">
        <v>306</v>
      </c>
      <c r="F11918" t="s">
        <v>948</v>
      </c>
      <c r="G11918">
        <v>6077777</v>
      </c>
      <c r="H11918">
        <v>500465</v>
      </c>
      <c r="I11918" t="s">
        <v>949</v>
      </c>
    </row>
    <row r="11919" spans="1:9" x14ac:dyDescent="0.25">
      <c r="A11919">
        <v>4126</v>
      </c>
      <c r="B11919">
        <v>60</v>
      </c>
      <c r="C11919" t="s">
        <v>946</v>
      </c>
      <c r="D11919" t="s">
        <v>38</v>
      </c>
      <c r="E11919" t="s">
        <v>306</v>
      </c>
      <c r="F11919" t="s">
        <v>948</v>
      </c>
      <c r="G11919">
        <v>6000000</v>
      </c>
      <c r="H11919">
        <v>143000</v>
      </c>
      <c r="I11919" t="s">
        <v>983</v>
      </c>
    </row>
    <row r="11920" spans="1:9" x14ac:dyDescent="0.25">
      <c r="A11920">
        <v>4128</v>
      </c>
      <c r="B11920">
        <v>60</v>
      </c>
      <c r="C11920" t="s">
        <v>946</v>
      </c>
      <c r="D11920" t="s">
        <v>38</v>
      </c>
      <c r="E11920" t="s">
        <v>306</v>
      </c>
      <c r="F11920" t="s">
        <v>948</v>
      </c>
      <c r="G11920">
        <v>6077777</v>
      </c>
      <c r="H11920">
        <v>500460</v>
      </c>
      <c r="I11920" t="s">
        <v>949</v>
      </c>
    </row>
    <row r="11921" spans="1:9" x14ac:dyDescent="0.25">
      <c r="A11921">
        <v>4122</v>
      </c>
      <c r="B11921">
        <v>60</v>
      </c>
      <c r="C11921" t="s">
        <v>946</v>
      </c>
      <c r="D11921" t="s">
        <v>38</v>
      </c>
      <c r="E11921" t="s">
        <v>108</v>
      </c>
      <c r="F11921" t="s">
        <v>948</v>
      </c>
      <c r="G11921">
        <v>6077777</v>
      </c>
      <c r="H11921">
        <v>500220</v>
      </c>
      <c r="I11921" t="s">
        <v>949</v>
      </c>
    </row>
    <row r="11922" spans="1:9" x14ac:dyDescent="0.25">
      <c r="A11922">
        <v>4124</v>
      </c>
      <c r="B11922">
        <v>60</v>
      </c>
      <c r="C11922" t="s">
        <v>946</v>
      </c>
      <c r="D11922" t="s">
        <v>38</v>
      </c>
      <c r="E11922" t="s">
        <v>108</v>
      </c>
      <c r="F11922" t="s">
        <v>948</v>
      </c>
      <c r="G11922">
        <v>6077777</v>
      </c>
      <c r="H11922">
        <v>500221</v>
      </c>
      <c r="I11922" t="s">
        <v>949</v>
      </c>
    </row>
    <row r="11923" spans="1:9" x14ac:dyDescent="0.25">
      <c r="A11923">
        <v>4126</v>
      </c>
      <c r="B11923">
        <v>60</v>
      </c>
      <c r="C11923" t="s">
        <v>946</v>
      </c>
      <c r="D11923" t="s">
        <v>38</v>
      </c>
      <c r="E11923" t="s">
        <v>108</v>
      </c>
      <c r="F11923" t="s">
        <v>948</v>
      </c>
      <c r="G11923">
        <v>6077777</v>
      </c>
      <c r="H11923">
        <v>500220</v>
      </c>
      <c r="I11923" t="s">
        <v>949</v>
      </c>
    </row>
    <row r="11924" spans="1:9" x14ac:dyDescent="0.25">
      <c r="A11924">
        <v>4128</v>
      </c>
      <c r="B11924">
        <v>60</v>
      </c>
      <c r="C11924" t="s">
        <v>946</v>
      </c>
      <c r="D11924" t="s">
        <v>38</v>
      </c>
      <c r="E11924" t="s">
        <v>108</v>
      </c>
      <c r="F11924" t="s">
        <v>948</v>
      </c>
      <c r="G11924">
        <v>6077777</v>
      </c>
      <c r="H11924">
        <v>500221</v>
      </c>
      <c r="I11924" t="s">
        <v>949</v>
      </c>
    </row>
    <row r="11925" spans="1:9" x14ac:dyDescent="0.25">
      <c r="A11925">
        <v>4122</v>
      </c>
      <c r="B11925">
        <v>60</v>
      </c>
      <c r="C11925" t="s">
        <v>946</v>
      </c>
      <c r="D11925" t="s">
        <v>38</v>
      </c>
      <c r="E11925" t="s">
        <v>310</v>
      </c>
      <c r="F11925" t="s">
        <v>948</v>
      </c>
      <c r="G11925">
        <v>6000000</v>
      </c>
      <c r="H11925">
        <v>145000</v>
      </c>
      <c r="I11925" t="s">
        <v>949</v>
      </c>
    </row>
    <row r="11926" spans="1:9" x14ac:dyDescent="0.25">
      <c r="A11926">
        <v>4124</v>
      </c>
      <c r="B11926">
        <v>60</v>
      </c>
      <c r="C11926" t="s">
        <v>946</v>
      </c>
      <c r="D11926" t="s">
        <v>38</v>
      </c>
      <c r="E11926" t="s">
        <v>310</v>
      </c>
      <c r="F11926" t="s">
        <v>948</v>
      </c>
      <c r="G11926">
        <v>6077777</v>
      </c>
      <c r="H11926">
        <v>500465</v>
      </c>
      <c r="I11926" t="s">
        <v>949</v>
      </c>
    </row>
    <row r="11927" spans="1:9" x14ac:dyDescent="0.25">
      <c r="A11927">
        <v>4126</v>
      </c>
      <c r="B11927">
        <v>60</v>
      </c>
      <c r="C11927" t="s">
        <v>946</v>
      </c>
      <c r="D11927" t="s">
        <v>38</v>
      </c>
      <c r="E11927" t="s">
        <v>310</v>
      </c>
      <c r="F11927" t="s">
        <v>948</v>
      </c>
      <c r="G11927">
        <v>6000000</v>
      </c>
      <c r="H11927">
        <v>145000</v>
      </c>
      <c r="I11927" t="s">
        <v>949</v>
      </c>
    </row>
    <row r="11928" spans="1:9" x14ac:dyDescent="0.25">
      <c r="A11928">
        <v>4128</v>
      </c>
      <c r="B11928">
        <v>60</v>
      </c>
      <c r="C11928" t="s">
        <v>946</v>
      </c>
      <c r="D11928" t="s">
        <v>38</v>
      </c>
      <c r="E11928" t="s">
        <v>310</v>
      </c>
      <c r="F11928" t="s">
        <v>948</v>
      </c>
      <c r="G11928">
        <v>6077777</v>
      </c>
      <c r="H11928">
        <v>500460</v>
      </c>
      <c r="I11928" t="s">
        <v>949</v>
      </c>
    </row>
    <row r="11929" spans="1:9" x14ac:dyDescent="0.25">
      <c r="A11929">
        <v>4122</v>
      </c>
      <c r="B11929">
        <v>60</v>
      </c>
      <c r="C11929" t="s">
        <v>946</v>
      </c>
      <c r="D11929" t="s">
        <v>38</v>
      </c>
      <c r="E11929" t="s">
        <v>314</v>
      </c>
      <c r="F11929" t="s">
        <v>948</v>
      </c>
      <c r="G11929">
        <v>6000000</v>
      </c>
      <c r="H11929">
        <v>145000</v>
      </c>
      <c r="I11929" t="s">
        <v>949</v>
      </c>
    </row>
    <row r="11930" spans="1:9" x14ac:dyDescent="0.25">
      <c r="A11930">
        <v>4124</v>
      </c>
      <c r="B11930">
        <v>60</v>
      </c>
      <c r="C11930" t="s">
        <v>946</v>
      </c>
      <c r="D11930" t="s">
        <v>38</v>
      </c>
      <c r="E11930" t="s">
        <v>314</v>
      </c>
      <c r="F11930" t="s">
        <v>948</v>
      </c>
      <c r="G11930">
        <v>6077777</v>
      </c>
      <c r="H11930">
        <v>500465</v>
      </c>
      <c r="I11930" t="s">
        <v>949</v>
      </c>
    </row>
    <row r="11931" spans="1:9" x14ac:dyDescent="0.25">
      <c r="A11931">
        <v>4126</v>
      </c>
      <c r="B11931">
        <v>60</v>
      </c>
      <c r="C11931" t="s">
        <v>946</v>
      </c>
      <c r="D11931" t="s">
        <v>38</v>
      </c>
      <c r="E11931" t="s">
        <v>314</v>
      </c>
      <c r="F11931" t="s">
        <v>948</v>
      </c>
      <c r="G11931">
        <v>6000000</v>
      </c>
      <c r="H11931">
        <v>145000</v>
      </c>
      <c r="I11931" t="s">
        <v>949</v>
      </c>
    </row>
    <row r="11932" spans="1:9" x14ac:dyDescent="0.25">
      <c r="A11932">
        <v>4128</v>
      </c>
      <c r="B11932">
        <v>60</v>
      </c>
      <c r="C11932" t="s">
        <v>946</v>
      </c>
      <c r="D11932" t="s">
        <v>38</v>
      </c>
      <c r="E11932" t="s">
        <v>314</v>
      </c>
      <c r="F11932" t="s">
        <v>948</v>
      </c>
      <c r="G11932">
        <v>6077777</v>
      </c>
      <c r="H11932">
        <v>500460</v>
      </c>
      <c r="I11932" t="s">
        <v>949</v>
      </c>
    </row>
    <row r="11933" spans="1:9" x14ac:dyDescent="0.25">
      <c r="A11933">
        <v>4122</v>
      </c>
      <c r="B11933">
        <v>60</v>
      </c>
      <c r="C11933" t="s">
        <v>946</v>
      </c>
      <c r="D11933" t="s">
        <v>38</v>
      </c>
      <c r="E11933" t="s">
        <v>121</v>
      </c>
      <c r="F11933" t="s">
        <v>948</v>
      </c>
      <c r="G11933">
        <v>6077777</v>
      </c>
      <c r="H11933">
        <v>500220</v>
      </c>
      <c r="I11933" t="s">
        <v>949</v>
      </c>
    </row>
    <row r="11934" spans="1:9" x14ac:dyDescent="0.25">
      <c r="A11934">
        <v>4124</v>
      </c>
      <c r="B11934">
        <v>60</v>
      </c>
      <c r="C11934" t="s">
        <v>946</v>
      </c>
      <c r="D11934" t="s">
        <v>38</v>
      </c>
      <c r="E11934" t="s">
        <v>121</v>
      </c>
      <c r="F11934" t="s">
        <v>948</v>
      </c>
      <c r="G11934">
        <v>6077777</v>
      </c>
      <c r="H11934">
        <v>500221</v>
      </c>
      <c r="I11934" t="s">
        <v>949</v>
      </c>
    </row>
    <row r="11935" spans="1:9" x14ac:dyDescent="0.25">
      <c r="A11935">
        <v>4126</v>
      </c>
      <c r="B11935">
        <v>60</v>
      </c>
      <c r="C11935" t="s">
        <v>946</v>
      </c>
      <c r="D11935" t="s">
        <v>38</v>
      </c>
      <c r="E11935" t="s">
        <v>121</v>
      </c>
      <c r="F11935" t="s">
        <v>948</v>
      </c>
      <c r="G11935">
        <v>6077777</v>
      </c>
      <c r="H11935">
        <v>500220</v>
      </c>
      <c r="I11935" t="s">
        <v>949</v>
      </c>
    </row>
    <row r="11936" spans="1:9" x14ac:dyDescent="0.25">
      <c r="A11936">
        <v>4128</v>
      </c>
      <c r="B11936">
        <v>60</v>
      </c>
      <c r="C11936" t="s">
        <v>946</v>
      </c>
      <c r="D11936" t="s">
        <v>38</v>
      </c>
      <c r="E11936" t="s">
        <v>121</v>
      </c>
      <c r="F11936" t="s">
        <v>948</v>
      </c>
      <c r="G11936">
        <v>6077777</v>
      </c>
      <c r="H11936">
        <v>500221</v>
      </c>
      <c r="I11936" t="s">
        <v>949</v>
      </c>
    </row>
    <row r="11937" spans="1:9" x14ac:dyDescent="0.25">
      <c r="A11937">
        <v>4122</v>
      </c>
      <c r="B11937">
        <v>60</v>
      </c>
      <c r="C11937" t="s">
        <v>946</v>
      </c>
      <c r="D11937" t="s">
        <v>38</v>
      </c>
      <c r="E11937" t="s">
        <v>984</v>
      </c>
      <c r="F11937" t="s">
        <v>948</v>
      </c>
      <c r="G11937">
        <v>6000000</v>
      </c>
      <c r="H11937">
        <v>141000</v>
      </c>
      <c r="I11937" t="s">
        <v>985</v>
      </c>
    </row>
    <row r="11938" spans="1:9" x14ac:dyDescent="0.25">
      <c r="A11938">
        <v>4124</v>
      </c>
      <c r="B11938">
        <v>60</v>
      </c>
      <c r="C11938" t="s">
        <v>946</v>
      </c>
      <c r="D11938" t="s">
        <v>38</v>
      </c>
      <c r="E11938" t="s">
        <v>984</v>
      </c>
      <c r="F11938" t="s">
        <v>948</v>
      </c>
      <c r="G11938">
        <v>6077777</v>
      </c>
      <c r="H11938">
        <v>500465</v>
      </c>
      <c r="I11938" t="s">
        <v>949</v>
      </c>
    </row>
    <row r="11939" spans="1:9" x14ac:dyDescent="0.25">
      <c r="A11939">
        <v>4126</v>
      </c>
      <c r="B11939">
        <v>60</v>
      </c>
      <c r="C11939" t="s">
        <v>946</v>
      </c>
      <c r="D11939" t="s">
        <v>38</v>
      </c>
      <c r="E11939" t="s">
        <v>984</v>
      </c>
      <c r="F11939" t="s">
        <v>948</v>
      </c>
      <c r="G11939">
        <v>6000000</v>
      </c>
      <c r="H11939">
        <v>141000</v>
      </c>
      <c r="I11939" t="s">
        <v>985</v>
      </c>
    </row>
    <row r="11940" spans="1:9" x14ac:dyDescent="0.25">
      <c r="A11940">
        <v>4128</v>
      </c>
      <c r="B11940">
        <v>60</v>
      </c>
      <c r="C11940" t="s">
        <v>946</v>
      </c>
      <c r="D11940" t="s">
        <v>38</v>
      </c>
      <c r="E11940" t="s">
        <v>984</v>
      </c>
      <c r="F11940" t="s">
        <v>948</v>
      </c>
      <c r="G11940">
        <v>6077777</v>
      </c>
      <c r="H11940">
        <v>500460</v>
      </c>
      <c r="I11940" t="s">
        <v>949</v>
      </c>
    </row>
    <row r="11941" spans="1:9" x14ac:dyDescent="0.25">
      <c r="A11941">
        <v>4134</v>
      </c>
      <c r="B11941">
        <v>60</v>
      </c>
      <c r="C11941" t="s">
        <v>946</v>
      </c>
      <c r="D11941" t="s">
        <v>998</v>
      </c>
      <c r="E11941" t="s">
        <v>243</v>
      </c>
      <c r="F11941" t="s">
        <v>948</v>
      </c>
      <c r="G11941">
        <v>6000000</v>
      </c>
      <c r="H11941">
        <v>145000</v>
      </c>
      <c r="I11941" t="s">
        <v>949</v>
      </c>
    </row>
    <row r="11942" spans="1:9" x14ac:dyDescent="0.25">
      <c r="A11942">
        <v>4136</v>
      </c>
      <c r="B11942">
        <v>60</v>
      </c>
      <c r="C11942" t="s">
        <v>946</v>
      </c>
      <c r="D11942" t="s">
        <v>998</v>
      </c>
      <c r="E11942" t="s">
        <v>243</v>
      </c>
      <c r="F11942" t="s">
        <v>948</v>
      </c>
      <c r="G11942">
        <v>6077777</v>
      </c>
      <c r="H11942">
        <v>500461</v>
      </c>
      <c r="I11942" t="s">
        <v>949</v>
      </c>
    </row>
    <row r="11943" spans="1:9" x14ac:dyDescent="0.25">
      <c r="A11943">
        <v>4134</v>
      </c>
      <c r="B11943">
        <v>60</v>
      </c>
      <c r="C11943" t="s">
        <v>946</v>
      </c>
      <c r="D11943" t="s">
        <v>998</v>
      </c>
      <c r="E11943" t="s">
        <v>247</v>
      </c>
      <c r="F11943" t="s">
        <v>948</v>
      </c>
      <c r="G11943">
        <v>6000000</v>
      </c>
      <c r="H11943">
        <v>145000</v>
      </c>
      <c r="I11943" t="s">
        <v>949</v>
      </c>
    </row>
    <row r="11944" spans="1:9" x14ac:dyDescent="0.25">
      <c r="A11944">
        <v>4136</v>
      </c>
      <c r="B11944">
        <v>60</v>
      </c>
      <c r="C11944" t="s">
        <v>946</v>
      </c>
      <c r="D11944" t="s">
        <v>998</v>
      </c>
      <c r="E11944" t="s">
        <v>247</v>
      </c>
      <c r="F11944" t="s">
        <v>948</v>
      </c>
      <c r="G11944">
        <v>6077777</v>
      </c>
      <c r="H11944">
        <v>500461</v>
      </c>
      <c r="I11944" t="s">
        <v>949</v>
      </c>
    </row>
    <row r="11945" spans="1:9" x14ac:dyDescent="0.25">
      <c r="A11945">
        <v>4134</v>
      </c>
      <c r="B11945">
        <v>60</v>
      </c>
      <c r="C11945" t="s">
        <v>946</v>
      </c>
      <c r="D11945" t="s">
        <v>998</v>
      </c>
      <c r="E11945" t="s">
        <v>251</v>
      </c>
      <c r="F11945" t="s">
        <v>948</v>
      </c>
      <c r="G11945">
        <v>6000000</v>
      </c>
      <c r="H11945">
        <v>142000</v>
      </c>
      <c r="I11945" t="s">
        <v>949</v>
      </c>
    </row>
    <row r="11946" spans="1:9" x14ac:dyDescent="0.25">
      <c r="A11946">
        <v>4136</v>
      </c>
      <c r="B11946">
        <v>60</v>
      </c>
      <c r="C11946" t="s">
        <v>946</v>
      </c>
      <c r="D11946" t="s">
        <v>998</v>
      </c>
      <c r="E11946" t="s">
        <v>251</v>
      </c>
      <c r="F11946" t="s">
        <v>948</v>
      </c>
      <c r="G11946">
        <v>6077777</v>
      </c>
      <c r="H11946">
        <v>500461</v>
      </c>
      <c r="I11946" t="s">
        <v>949</v>
      </c>
    </row>
    <row r="11947" spans="1:9" x14ac:dyDescent="0.25">
      <c r="A11947">
        <v>4134</v>
      </c>
      <c r="B11947">
        <v>60</v>
      </c>
      <c r="C11947" t="s">
        <v>946</v>
      </c>
      <c r="D11947" t="s">
        <v>998</v>
      </c>
      <c r="E11947" t="s">
        <v>969</v>
      </c>
      <c r="F11947" t="s">
        <v>948</v>
      </c>
      <c r="G11947">
        <v>6000000</v>
      </c>
      <c r="H11947">
        <v>141000</v>
      </c>
      <c r="I11947" t="s">
        <v>970</v>
      </c>
    </row>
    <row r="11948" spans="1:9" x14ac:dyDescent="0.25">
      <c r="A11948">
        <v>4136</v>
      </c>
      <c r="B11948">
        <v>60</v>
      </c>
      <c r="C11948" t="s">
        <v>946</v>
      </c>
      <c r="D11948" t="s">
        <v>998</v>
      </c>
      <c r="E11948" t="s">
        <v>969</v>
      </c>
      <c r="F11948" t="s">
        <v>948</v>
      </c>
      <c r="G11948">
        <v>6077777</v>
      </c>
      <c r="H11948">
        <v>500461</v>
      </c>
      <c r="I11948" t="s">
        <v>949</v>
      </c>
    </row>
    <row r="11949" spans="1:9" x14ac:dyDescent="0.25">
      <c r="A11949">
        <v>4134</v>
      </c>
      <c r="B11949">
        <v>60</v>
      </c>
      <c r="C11949" t="s">
        <v>946</v>
      </c>
      <c r="D11949" t="s">
        <v>998</v>
      </c>
      <c r="E11949" t="s">
        <v>255</v>
      </c>
      <c r="F11949" t="s">
        <v>948</v>
      </c>
      <c r="G11949">
        <v>6000000</v>
      </c>
      <c r="H11949">
        <v>145000</v>
      </c>
      <c r="I11949" t="s">
        <v>949</v>
      </c>
    </row>
    <row r="11950" spans="1:9" x14ac:dyDescent="0.25">
      <c r="A11950">
        <v>4136</v>
      </c>
      <c r="B11950">
        <v>60</v>
      </c>
      <c r="C11950" t="s">
        <v>946</v>
      </c>
      <c r="D11950" t="s">
        <v>998</v>
      </c>
      <c r="E11950" t="s">
        <v>255</v>
      </c>
      <c r="F11950" t="s">
        <v>948</v>
      </c>
      <c r="G11950">
        <v>6077777</v>
      </c>
      <c r="H11950">
        <v>500461</v>
      </c>
      <c r="I11950" t="s">
        <v>949</v>
      </c>
    </row>
    <row r="11951" spans="1:9" x14ac:dyDescent="0.25">
      <c r="A11951">
        <v>4134</v>
      </c>
      <c r="B11951">
        <v>60</v>
      </c>
      <c r="C11951" t="s">
        <v>946</v>
      </c>
      <c r="D11951" t="s">
        <v>998</v>
      </c>
      <c r="E11951" t="s">
        <v>971</v>
      </c>
      <c r="F11951" t="s">
        <v>948</v>
      </c>
      <c r="G11951">
        <v>6000000</v>
      </c>
      <c r="H11951">
        <v>141000</v>
      </c>
      <c r="I11951" t="s">
        <v>972</v>
      </c>
    </row>
    <row r="11952" spans="1:9" x14ac:dyDescent="0.25">
      <c r="A11952">
        <v>4136</v>
      </c>
      <c r="B11952">
        <v>60</v>
      </c>
      <c r="C11952" t="s">
        <v>946</v>
      </c>
      <c r="D11952" t="s">
        <v>998</v>
      </c>
      <c r="E11952" t="s">
        <v>971</v>
      </c>
      <c r="F11952" t="s">
        <v>948</v>
      </c>
      <c r="G11952">
        <v>6077777</v>
      </c>
      <c r="H11952">
        <v>500461</v>
      </c>
      <c r="I11952" t="s">
        <v>949</v>
      </c>
    </row>
    <row r="11953" spans="1:9" x14ac:dyDescent="0.25">
      <c r="A11953">
        <v>4134</v>
      </c>
      <c r="B11953">
        <v>60</v>
      </c>
      <c r="C11953" t="s">
        <v>946</v>
      </c>
      <c r="D11953" t="s">
        <v>998</v>
      </c>
      <c r="E11953" t="s">
        <v>263</v>
      </c>
      <c r="F11953" t="s">
        <v>948</v>
      </c>
      <c r="G11953">
        <v>6000000</v>
      </c>
      <c r="H11953">
        <v>145000</v>
      </c>
      <c r="I11953" t="s">
        <v>949</v>
      </c>
    </row>
    <row r="11954" spans="1:9" x14ac:dyDescent="0.25">
      <c r="A11954">
        <v>4136</v>
      </c>
      <c r="B11954">
        <v>60</v>
      </c>
      <c r="C11954" t="s">
        <v>946</v>
      </c>
      <c r="D11954" t="s">
        <v>998</v>
      </c>
      <c r="E11954" t="s">
        <v>263</v>
      </c>
      <c r="F11954" t="s">
        <v>948</v>
      </c>
      <c r="G11954">
        <v>6077777</v>
      </c>
      <c r="H11954">
        <v>500461</v>
      </c>
      <c r="I11954" t="s">
        <v>949</v>
      </c>
    </row>
    <row r="11955" spans="1:9" x14ac:dyDescent="0.25">
      <c r="A11955">
        <v>4134</v>
      </c>
      <c r="B11955">
        <v>60</v>
      </c>
      <c r="C11955" t="s">
        <v>946</v>
      </c>
      <c r="D11955" t="s">
        <v>998</v>
      </c>
      <c r="E11955" t="s">
        <v>100</v>
      </c>
      <c r="F11955" t="s">
        <v>948</v>
      </c>
      <c r="G11955">
        <v>6077777</v>
      </c>
      <c r="H11955">
        <v>500220</v>
      </c>
      <c r="I11955" t="s">
        <v>949</v>
      </c>
    </row>
    <row r="11956" spans="1:9" x14ac:dyDescent="0.25">
      <c r="A11956">
        <v>4136</v>
      </c>
      <c r="B11956">
        <v>60</v>
      </c>
      <c r="C11956" t="s">
        <v>946</v>
      </c>
      <c r="D11956" t="s">
        <v>998</v>
      </c>
      <c r="E11956" t="s">
        <v>100</v>
      </c>
      <c r="F11956" t="s">
        <v>948</v>
      </c>
      <c r="G11956">
        <v>6077777</v>
      </c>
      <c r="H11956">
        <v>500221</v>
      </c>
      <c r="I11956" t="s">
        <v>949</v>
      </c>
    </row>
    <row r="11957" spans="1:9" x14ac:dyDescent="0.25">
      <c r="A11957">
        <v>4134</v>
      </c>
      <c r="B11957">
        <v>60</v>
      </c>
      <c r="C11957" t="s">
        <v>946</v>
      </c>
      <c r="D11957" t="s">
        <v>998</v>
      </c>
      <c r="E11957" t="s">
        <v>270</v>
      </c>
      <c r="F11957" t="s">
        <v>948</v>
      </c>
      <c r="G11957">
        <v>6000000</v>
      </c>
      <c r="H11957">
        <v>145000</v>
      </c>
      <c r="I11957" t="s">
        <v>949</v>
      </c>
    </row>
    <row r="11958" spans="1:9" x14ac:dyDescent="0.25">
      <c r="A11958">
        <v>4136</v>
      </c>
      <c r="B11958">
        <v>60</v>
      </c>
      <c r="C11958" t="s">
        <v>946</v>
      </c>
      <c r="D11958" t="s">
        <v>998</v>
      </c>
      <c r="E11958" t="s">
        <v>270</v>
      </c>
      <c r="F11958" t="s">
        <v>948</v>
      </c>
      <c r="G11958">
        <v>6077777</v>
      </c>
      <c r="H11958">
        <v>500461</v>
      </c>
      <c r="I11958" t="s">
        <v>949</v>
      </c>
    </row>
    <row r="11959" spans="1:9" x14ac:dyDescent="0.25">
      <c r="A11959">
        <v>4134</v>
      </c>
      <c r="B11959">
        <v>60</v>
      </c>
      <c r="C11959" t="s">
        <v>946</v>
      </c>
      <c r="D11959" t="s">
        <v>998</v>
      </c>
      <c r="E11959" t="s">
        <v>274</v>
      </c>
      <c r="F11959" t="s">
        <v>948</v>
      </c>
      <c r="G11959">
        <v>6000000</v>
      </c>
      <c r="H11959">
        <v>143000</v>
      </c>
      <c r="I11959" t="s">
        <v>973</v>
      </c>
    </row>
    <row r="11960" spans="1:9" x14ac:dyDescent="0.25">
      <c r="A11960">
        <v>4136</v>
      </c>
      <c r="B11960">
        <v>60</v>
      </c>
      <c r="C11960" t="s">
        <v>946</v>
      </c>
      <c r="D11960" t="s">
        <v>998</v>
      </c>
      <c r="E11960" t="s">
        <v>274</v>
      </c>
      <c r="F11960" t="s">
        <v>948</v>
      </c>
      <c r="G11960">
        <v>6077777</v>
      </c>
      <c r="H11960">
        <v>500461</v>
      </c>
      <c r="I11960" t="s">
        <v>949</v>
      </c>
    </row>
    <row r="11961" spans="1:9" x14ac:dyDescent="0.25">
      <c r="A11961">
        <v>4134</v>
      </c>
      <c r="B11961">
        <v>60</v>
      </c>
      <c r="C11961" t="s">
        <v>946</v>
      </c>
      <c r="D11961" t="s">
        <v>998</v>
      </c>
      <c r="E11961" t="s">
        <v>974</v>
      </c>
      <c r="F11961" t="s">
        <v>948</v>
      </c>
      <c r="G11961">
        <v>6000000</v>
      </c>
      <c r="H11961">
        <v>141000</v>
      </c>
      <c r="I11961" t="s">
        <v>975</v>
      </c>
    </row>
    <row r="11962" spans="1:9" x14ac:dyDescent="0.25">
      <c r="A11962">
        <v>4136</v>
      </c>
      <c r="B11962">
        <v>60</v>
      </c>
      <c r="C11962" t="s">
        <v>946</v>
      </c>
      <c r="D11962" t="s">
        <v>998</v>
      </c>
      <c r="E11962" t="s">
        <v>974</v>
      </c>
      <c r="F11962" t="s">
        <v>948</v>
      </c>
      <c r="G11962">
        <v>6077777</v>
      </c>
      <c r="H11962">
        <v>500461</v>
      </c>
      <c r="I11962" t="s">
        <v>949</v>
      </c>
    </row>
    <row r="11963" spans="1:9" x14ac:dyDescent="0.25">
      <c r="A11963">
        <v>4134</v>
      </c>
      <c r="B11963">
        <v>60</v>
      </c>
      <c r="C11963" t="s">
        <v>946</v>
      </c>
      <c r="D11963" t="s">
        <v>998</v>
      </c>
      <c r="E11963" t="s">
        <v>104</v>
      </c>
      <c r="F11963" t="s">
        <v>948</v>
      </c>
      <c r="G11963">
        <v>6077777</v>
      </c>
      <c r="H11963">
        <v>500220</v>
      </c>
      <c r="I11963" t="s">
        <v>949</v>
      </c>
    </row>
    <row r="11964" spans="1:9" x14ac:dyDescent="0.25">
      <c r="A11964">
        <v>4136</v>
      </c>
      <c r="B11964">
        <v>60</v>
      </c>
      <c r="C11964" t="s">
        <v>946</v>
      </c>
      <c r="D11964" t="s">
        <v>998</v>
      </c>
      <c r="E11964" t="s">
        <v>104</v>
      </c>
      <c r="F11964" t="s">
        <v>948</v>
      </c>
      <c r="G11964">
        <v>6077777</v>
      </c>
      <c r="H11964">
        <v>500221</v>
      </c>
      <c r="I11964" t="s">
        <v>949</v>
      </c>
    </row>
    <row r="11965" spans="1:9" x14ac:dyDescent="0.25">
      <c r="A11965">
        <v>4134</v>
      </c>
      <c r="B11965">
        <v>60</v>
      </c>
      <c r="C11965" t="s">
        <v>946</v>
      </c>
      <c r="D11965" t="s">
        <v>998</v>
      </c>
      <c r="E11965" t="s">
        <v>278</v>
      </c>
      <c r="F11965" t="s">
        <v>948</v>
      </c>
      <c r="G11965">
        <v>6000000</v>
      </c>
      <c r="H11965">
        <v>145000</v>
      </c>
      <c r="I11965" t="s">
        <v>949</v>
      </c>
    </row>
    <row r="11966" spans="1:9" x14ac:dyDescent="0.25">
      <c r="A11966">
        <v>4136</v>
      </c>
      <c r="B11966">
        <v>60</v>
      </c>
      <c r="C11966" t="s">
        <v>946</v>
      </c>
      <c r="D11966" t="s">
        <v>998</v>
      </c>
      <c r="E11966" t="s">
        <v>278</v>
      </c>
      <c r="F11966" t="s">
        <v>948</v>
      </c>
      <c r="G11966">
        <v>6077777</v>
      </c>
      <c r="H11966">
        <v>500461</v>
      </c>
      <c r="I11966" t="s">
        <v>949</v>
      </c>
    </row>
    <row r="11967" spans="1:9" x14ac:dyDescent="0.25">
      <c r="A11967">
        <v>4134</v>
      </c>
      <c r="B11967">
        <v>60</v>
      </c>
      <c r="C11967" t="s">
        <v>946</v>
      </c>
      <c r="D11967" t="s">
        <v>998</v>
      </c>
      <c r="E11967" t="s">
        <v>282</v>
      </c>
      <c r="F11967" t="s">
        <v>948</v>
      </c>
      <c r="G11967">
        <v>6000000</v>
      </c>
      <c r="H11967">
        <v>143100</v>
      </c>
      <c r="I11967" t="s">
        <v>949</v>
      </c>
    </row>
    <row r="11968" spans="1:9" x14ac:dyDescent="0.25">
      <c r="A11968">
        <v>4136</v>
      </c>
      <c r="B11968">
        <v>60</v>
      </c>
      <c r="C11968" t="s">
        <v>946</v>
      </c>
      <c r="D11968" t="s">
        <v>998</v>
      </c>
      <c r="E11968" t="s">
        <v>282</v>
      </c>
      <c r="F11968" t="s">
        <v>948</v>
      </c>
      <c r="G11968">
        <v>6077777</v>
      </c>
      <c r="H11968">
        <v>500461</v>
      </c>
      <c r="I11968" t="s">
        <v>949</v>
      </c>
    </row>
    <row r="11969" spans="1:9" x14ac:dyDescent="0.25">
      <c r="A11969">
        <v>4134</v>
      </c>
      <c r="B11969">
        <v>60</v>
      </c>
      <c r="C11969" t="s">
        <v>946</v>
      </c>
      <c r="D11969" t="s">
        <v>998</v>
      </c>
      <c r="E11969" t="s">
        <v>39</v>
      </c>
      <c r="F11969" t="s">
        <v>948</v>
      </c>
      <c r="G11969">
        <v>6077777</v>
      </c>
      <c r="H11969">
        <v>501095</v>
      </c>
      <c r="I11969" t="s">
        <v>949</v>
      </c>
    </row>
    <row r="11970" spans="1:9" x14ac:dyDescent="0.25">
      <c r="A11970">
        <v>4136</v>
      </c>
      <c r="B11970">
        <v>60</v>
      </c>
      <c r="C11970" t="s">
        <v>946</v>
      </c>
      <c r="D11970" t="s">
        <v>998</v>
      </c>
      <c r="E11970" t="s">
        <v>39</v>
      </c>
      <c r="F11970" t="s">
        <v>948</v>
      </c>
      <c r="G11970">
        <v>6077777</v>
      </c>
      <c r="H11970">
        <v>500461</v>
      </c>
      <c r="I11970" t="s">
        <v>949</v>
      </c>
    </row>
    <row r="11971" spans="1:9" x14ac:dyDescent="0.25">
      <c r="A11971">
        <v>4134</v>
      </c>
      <c r="B11971">
        <v>60</v>
      </c>
      <c r="C11971" t="s">
        <v>946</v>
      </c>
      <c r="D11971" t="s">
        <v>998</v>
      </c>
      <c r="E11971" t="s">
        <v>286</v>
      </c>
      <c r="F11971" t="s">
        <v>948</v>
      </c>
      <c r="G11971">
        <v>6000000</v>
      </c>
      <c r="H11971">
        <v>145000</v>
      </c>
      <c r="I11971" t="s">
        <v>949</v>
      </c>
    </row>
    <row r="11972" spans="1:9" x14ac:dyDescent="0.25">
      <c r="A11972">
        <v>4136</v>
      </c>
      <c r="B11972">
        <v>60</v>
      </c>
      <c r="C11972" t="s">
        <v>946</v>
      </c>
      <c r="D11972" t="s">
        <v>998</v>
      </c>
      <c r="E11972" t="s">
        <v>286</v>
      </c>
      <c r="F11972" t="s">
        <v>948</v>
      </c>
      <c r="G11972">
        <v>6077777</v>
      </c>
      <c r="H11972">
        <v>500461</v>
      </c>
      <c r="I11972" t="s">
        <v>949</v>
      </c>
    </row>
    <row r="11973" spans="1:9" x14ac:dyDescent="0.25">
      <c r="A11973">
        <v>4134</v>
      </c>
      <c r="B11973">
        <v>60</v>
      </c>
      <c r="C11973" t="s">
        <v>946</v>
      </c>
      <c r="D11973" t="s">
        <v>998</v>
      </c>
      <c r="E11973" t="s">
        <v>976</v>
      </c>
      <c r="F11973" t="s">
        <v>948</v>
      </c>
      <c r="G11973">
        <v>6000000</v>
      </c>
      <c r="H11973">
        <v>141000</v>
      </c>
      <c r="I11973" t="s">
        <v>977</v>
      </c>
    </row>
    <row r="11974" spans="1:9" x14ac:dyDescent="0.25">
      <c r="A11974">
        <v>4136</v>
      </c>
      <c r="B11974">
        <v>60</v>
      </c>
      <c r="C11974" t="s">
        <v>946</v>
      </c>
      <c r="D11974" t="s">
        <v>998</v>
      </c>
      <c r="E11974" t="s">
        <v>976</v>
      </c>
      <c r="F11974" t="s">
        <v>948</v>
      </c>
      <c r="G11974">
        <v>6077777</v>
      </c>
      <c r="H11974">
        <v>500461</v>
      </c>
      <c r="I11974" t="s">
        <v>949</v>
      </c>
    </row>
    <row r="11975" spans="1:9" x14ac:dyDescent="0.25">
      <c r="A11975">
        <v>4134</v>
      </c>
      <c r="B11975">
        <v>60</v>
      </c>
      <c r="C11975" t="s">
        <v>946</v>
      </c>
      <c r="D11975" t="s">
        <v>998</v>
      </c>
      <c r="E11975" t="s">
        <v>290</v>
      </c>
      <c r="F11975" t="s">
        <v>948</v>
      </c>
      <c r="G11975">
        <v>6000000</v>
      </c>
      <c r="H11975">
        <v>143000</v>
      </c>
      <c r="I11975" t="s">
        <v>978</v>
      </c>
    </row>
    <row r="11976" spans="1:9" x14ac:dyDescent="0.25">
      <c r="A11976">
        <v>4136</v>
      </c>
      <c r="B11976">
        <v>60</v>
      </c>
      <c r="C11976" t="s">
        <v>946</v>
      </c>
      <c r="D11976" t="s">
        <v>998</v>
      </c>
      <c r="E11976" t="s">
        <v>290</v>
      </c>
      <c r="F11976" t="s">
        <v>948</v>
      </c>
      <c r="G11976">
        <v>6077777</v>
      </c>
      <c r="H11976">
        <v>500461</v>
      </c>
      <c r="I11976" t="s">
        <v>949</v>
      </c>
    </row>
    <row r="11977" spans="1:9" x14ac:dyDescent="0.25">
      <c r="A11977">
        <v>4134</v>
      </c>
      <c r="B11977">
        <v>60</v>
      </c>
      <c r="C11977" t="s">
        <v>946</v>
      </c>
      <c r="D11977" t="s">
        <v>998</v>
      </c>
      <c r="E11977" t="s">
        <v>294</v>
      </c>
      <c r="F11977" t="s">
        <v>948</v>
      </c>
      <c r="G11977">
        <v>6000000</v>
      </c>
      <c r="H11977">
        <v>143000</v>
      </c>
      <c r="I11977" t="s">
        <v>979</v>
      </c>
    </row>
    <row r="11978" spans="1:9" x14ac:dyDescent="0.25">
      <c r="A11978">
        <v>4136</v>
      </c>
      <c r="B11978">
        <v>60</v>
      </c>
      <c r="C11978" t="s">
        <v>946</v>
      </c>
      <c r="D11978" t="s">
        <v>998</v>
      </c>
      <c r="E11978" t="s">
        <v>294</v>
      </c>
      <c r="F11978" t="s">
        <v>948</v>
      </c>
      <c r="G11978">
        <v>6077777</v>
      </c>
      <c r="H11978">
        <v>500461</v>
      </c>
      <c r="I11978" t="s">
        <v>949</v>
      </c>
    </row>
    <row r="11979" spans="1:9" x14ac:dyDescent="0.25">
      <c r="A11979">
        <v>4134</v>
      </c>
      <c r="B11979">
        <v>60</v>
      </c>
      <c r="C11979" t="s">
        <v>946</v>
      </c>
      <c r="D11979" t="s">
        <v>998</v>
      </c>
      <c r="E11979" t="s">
        <v>980</v>
      </c>
      <c r="F11979" t="s">
        <v>948</v>
      </c>
      <c r="G11979">
        <v>6000000</v>
      </c>
      <c r="H11979">
        <v>141000</v>
      </c>
      <c r="I11979" t="s">
        <v>981</v>
      </c>
    </row>
    <row r="11980" spans="1:9" x14ac:dyDescent="0.25">
      <c r="A11980">
        <v>4136</v>
      </c>
      <c r="B11980">
        <v>60</v>
      </c>
      <c r="C11980" t="s">
        <v>946</v>
      </c>
      <c r="D11980" t="s">
        <v>998</v>
      </c>
      <c r="E11980" t="s">
        <v>980</v>
      </c>
      <c r="F11980" t="s">
        <v>948</v>
      </c>
      <c r="G11980">
        <v>6077777</v>
      </c>
      <c r="H11980">
        <v>500461</v>
      </c>
      <c r="I11980" t="s">
        <v>949</v>
      </c>
    </row>
    <row r="11981" spans="1:9" x14ac:dyDescent="0.25">
      <c r="A11981">
        <v>4134</v>
      </c>
      <c r="B11981">
        <v>60</v>
      </c>
      <c r="C11981" t="s">
        <v>946</v>
      </c>
      <c r="D11981" t="s">
        <v>998</v>
      </c>
      <c r="E11981" t="s">
        <v>302</v>
      </c>
      <c r="F11981" t="s">
        <v>948</v>
      </c>
      <c r="G11981">
        <v>6000000</v>
      </c>
      <c r="H11981">
        <v>143000</v>
      </c>
      <c r="I11981" t="s">
        <v>982</v>
      </c>
    </row>
    <row r="11982" spans="1:9" x14ac:dyDescent="0.25">
      <c r="A11982">
        <v>4136</v>
      </c>
      <c r="B11982">
        <v>60</v>
      </c>
      <c r="C11982" t="s">
        <v>946</v>
      </c>
      <c r="D11982" t="s">
        <v>998</v>
      </c>
      <c r="E11982" t="s">
        <v>302</v>
      </c>
      <c r="F11982" t="s">
        <v>948</v>
      </c>
      <c r="G11982">
        <v>6077777</v>
      </c>
      <c r="H11982">
        <v>500461</v>
      </c>
      <c r="I11982" t="s">
        <v>949</v>
      </c>
    </row>
    <row r="11983" spans="1:9" x14ac:dyDescent="0.25">
      <c r="A11983">
        <v>4134</v>
      </c>
      <c r="B11983">
        <v>60</v>
      </c>
      <c r="C11983" t="s">
        <v>946</v>
      </c>
      <c r="D11983" t="s">
        <v>998</v>
      </c>
      <c r="E11983" t="s">
        <v>306</v>
      </c>
      <c r="F11983" t="s">
        <v>948</v>
      </c>
      <c r="G11983">
        <v>6000000</v>
      </c>
      <c r="H11983">
        <v>143000</v>
      </c>
      <c r="I11983" t="s">
        <v>983</v>
      </c>
    </row>
    <row r="11984" spans="1:9" x14ac:dyDescent="0.25">
      <c r="A11984">
        <v>4136</v>
      </c>
      <c r="B11984">
        <v>60</v>
      </c>
      <c r="C11984" t="s">
        <v>946</v>
      </c>
      <c r="D11984" t="s">
        <v>998</v>
      </c>
      <c r="E11984" t="s">
        <v>306</v>
      </c>
      <c r="F11984" t="s">
        <v>948</v>
      </c>
      <c r="G11984">
        <v>6077777</v>
      </c>
      <c r="H11984">
        <v>500461</v>
      </c>
      <c r="I11984" t="s">
        <v>949</v>
      </c>
    </row>
    <row r="11985" spans="1:9" x14ac:dyDescent="0.25">
      <c r="A11985">
        <v>4134</v>
      </c>
      <c r="B11985">
        <v>60</v>
      </c>
      <c r="C11985" t="s">
        <v>946</v>
      </c>
      <c r="D11985" t="s">
        <v>998</v>
      </c>
      <c r="E11985" t="s">
        <v>108</v>
      </c>
      <c r="F11985" t="s">
        <v>948</v>
      </c>
      <c r="G11985">
        <v>6077777</v>
      </c>
      <c r="H11985">
        <v>500220</v>
      </c>
      <c r="I11985" t="s">
        <v>949</v>
      </c>
    </row>
    <row r="11986" spans="1:9" x14ac:dyDescent="0.25">
      <c r="A11986">
        <v>4136</v>
      </c>
      <c r="B11986">
        <v>60</v>
      </c>
      <c r="C11986" t="s">
        <v>946</v>
      </c>
      <c r="D11986" t="s">
        <v>998</v>
      </c>
      <c r="E11986" t="s">
        <v>108</v>
      </c>
      <c r="F11986" t="s">
        <v>948</v>
      </c>
      <c r="G11986">
        <v>6077777</v>
      </c>
      <c r="H11986">
        <v>500221</v>
      </c>
      <c r="I11986" t="s">
        <v>949</v>
      </c>
    </row>
    <row r="11987" spans="1:9" x14ac:dyDescent="0.25">
      <c r="A11987">
        <v>4134</v>
      </c>
      <c r="B11987">
        <v>60</v>
      </c>
      <c r="C11987" t="s">
        <v>946</v>
      </c>
      <c r="D11987" t="s">
        <v>998</v>
      </c>
      <c r="E11987" t="s">
        <v>310</v>
      </c>
      <c r="F11987" t="s">
        <v>948</v>
      </c>
      <c r="G11987">
        <v>6000000</v>
      </c>
      <c r="H11987">
        <v>145000</v>
      </c>
      <c r="I11987" t="s">
        <v>949</v>
      </c>
    </row>
    <row r="11988" spans="1:9" x14ac:dyDescent="0.25">
      <c r="A11988">
        <v>4136</v>
      </c>
      <c r="B11988">
        <v>60</v>
      </c>
      <c r="C11988" t="s">
        <v>946</v>
      </c>
      <c r="D11988" t="s">
        <v>998</v>
      </c>
      <c r="E11988" t="s">
        <v>310</v>
      </c>
      <c r="F11988" t="s">
        <v>948</v>
      </c>
      <c r="G11988">
        <v>6077777</v>
      </c>
      <c r="H11988">
        <v>500461</v>
      </c>
      <c r="I11988" t="s">
        <v>949</v>
      </c>
    </row>
    <row r="11989" spans="1:9" x14ac:dyDescent="0.25">
      <c r="A11989">
        <v>4134</v>
      </c>
      <c r="B11989">
        <v>60</v>
      </c>
      <c r="C11989" t="s">
        <v>946</v>
      </c>
      <c r="D11989" t="s">
        <v>998</v>
      </c>
      <c r="E11989" t="s">
        <v>314</v>
      </c>
      <c r="F11989" t="s">
        <v>948</v>
      </c>
      <c r="G11989">
        <v>6000000</v>
      </c>
      <c r="H11989">
        <v>145000</v>
      </c>
      <c r="I11989" t="s">
        <v>949</v>
      </c>
    </row>
    <row r="11990" spans="1:9" x14ac:dyDescent="0.25">
      <c r="A11990">
        <v>4136</v>
      </c>
      <c r="B11990">
        <v>60</v>
      </c>
      <c r="C11990" t="s">
        <v>946</v>
      </c>
      <c r="D11990" t="s">
        <v>998</v>
      </c>
      <c r="E11990" t="s">
        <v>314</v>
      </c>
      <c r="F11990" t="s">
        <v>948</v>
      </c>
      <c r="G11990">
        <v>6077777</v>
      </c>
      <c r="H11990">
        <v>500461</v>
      </c>
      <c r="I11990" t="s">
        <v>949</v>
      </c>
    </row>
    <row r="11991" spans="1:9" x14ac:dyDescent="0.25">
      <c r="A11991">
        <v>4134</v>
      </c>
      <c r="B11991">
        <v>60</v>
      </c>
      <c r="C11991" t="s">
        <v>946</v>
      </c>
      <c r="D11991" t="s">
        <v>998</v>
      </c>
      <c r="E11991" t="s">
        <v>121</v>
      </c>
      <c r="F11991" t="s">
        <v>948</v>
      </c>
      <c r="G11991">
        <v>6077777</v>
      </c>
      <c r="H11991">
        <v>500220</v>
      </c>
      <c r="I11991" t="s">
        <v>949</v>
      </c>
    </row>
    <row r="11992" spans="1:9" x14ac:dyDescent="0.25">
      <c r="A11992">
        <v>4136</v>
      </c>
      <c r="B11992">
        <v>60</v>
      </c>
      <c r="C11992" t="s">
        <v>946</v>
      </c>
      <c r="D11992" t="s">
        <v>998</v>
      </c>
      <c r="E11992" t="s">
        <v>121</v>
      </c>
      <c r="F11992" t="s">
        <v>948</v>
      </c>
      <c r="G11992">
        <v>6077777</v>
      </c>
      <c r="H11992">
        <v>500221</v>
      </c>
      <c r="I11992" t="s">
        <v>949</v>
      </c>
    </row>
    <row r="11993" spans="1:9" x14ac:dyDescent="0.25">
      <c r="A11993">
        <v>4134</v>
      </c>
      <c r="B11993">
        <v>60</v>
      </c>
      <c r="C11993" t="s">
        <v>946</v>
      </c>
      <c r="D11993" t="s">
        <v>998</v>
      </c>
      <c r="E11993" t="s">
        <v>984</v>
      </c>
      <c r="F11993" t="s">
        <v>948</v>
      </c>
      <c r="G11993">
        <v>6000000</v>
      </c>
      <c r="H11993">
        <v>141000</v>
      </c>
      <c r="I11993" t="s">
        <v>985</v>
      </c>
    </row>
    <row r="11994" spans="1:9" x14ac:dyDescent="0.25">
      <c r="A11994">
        <v>4136</v>
      </c>
      <c r="B11994">
        <v>60</v>
      </c>
      <c r="C11994" t="s">
        <v>946</v>
      </c>
      <c r="D11994" t="s">
        <v>998</v>
      </c>
      <c r="E11994" t="s">
        <v>984</v>
      </c>
      <c r="F11994" t="s">
        <v>948</v>
      </c>
      <c r="G11994">
        <v>6077777</v>
      </c>
      <c r="H11994">
        <v>500461</v>
      </c>
      <c r="I11994" t="s">
        <v>949</v>
      </c>
    </row>
    <row r="11995" spans="1:9" x14ac:dyDescent="0.25">
      <c r="A11995">
        <v>3130</v>
      </c>
      <c r="B11995">
        <v>60</v>
      </c>
      <c r="C11995" t="s">
        <v>950</v>
      </c>
      <c r="D11995" t="s">
        <v>999</v>
      </c>
      <c r="E11995" t="s">
        <v>49</v>
      </c>
      <c r="F11995" t="s">
        <v>951</v>
      </c>
      <c r="G11995">
        <v>6000000</v>
      </c>
      <c r="H11995">
        <v>145000</v>
      </c>
      <c r="I11995" t="s">
        <v>949</v>
      </c>
    </row>
    <row r="11996" spans="1:9" x14ac:dyDescent="0.25">
      <c r="A11996">
        <v>3130</v>
      </c>
      <c r="B11996">
        <v>60</v>
      </c>
      <c r="C11996" t="s">
        <v>950</v>
      </c>
      <c r="D11996" t="s">
        <v>999</v>
      </c>
      <c r="E11996" t="s">
        <v>49</v>
      </c>
      <c r="F11996" t="s">
        <v>952</v>
      </c>
      <c r="G11996">
        <v>6000000</v>
      </c>
      <c r="H11996">
        <v>145000</v>
      </c>
      <c r="I11996" t="s">
        <v>949</v>
      </c>
    </row>
    <row r="11997" spans="1:9" x14ac:dyDescent="0.25">
      <c r="A11997">
        <v>3130</v>
      </c>
      <c r="B11997">
        <v>60</v>
      </c>
      <c r="C11997" t="s">
        <v>950</v>
      </c>
      <c r="D11997" t="s">
        <v>999</v>
      </c>
      <c r="E11997" t="s">
        <v>49</v>
      </c>
      <c r="F11997" t="s">
        <v>953</v>
      </c>
      <c r="G11997">
        <v>6000000</v>
      </c>
      <c r="H11997">
        <v>145000</v>
      </c>
      <c r="I11997" t="s">
        <v>949</v>
      </c>
    </row>
    <row r="11998" spans="1:9" x14ac:dyDescent="0.25">
      <c r="A11998">
        <v>3130</v>
      </c>
      <c r="B11998">
        <v>60</v>
      </c>
      <c r="C11998" t="s">
        <v>950</v>
      </c>
      <c r="D11998" t="s">
        <v>999</v>
      </c>
      <c r="E11998" t="s">
        <v>49</v>
      </c>
      <c r="F11998" t="s">
        <v>954</v>
      </c>
      <c r="G11998">
        <v>6000000</v>
      </c>
      <c r="H11998">
        <v>145000</v>
      </c>
      <c r="I11998" t="s">
        <v>949</v>
      </c>
    </row>
    <row r="11999" spans="1:9" x14ac:dyDescent="0.25">
      <c r="A11999">
        <v>3130</v>
      </c>
      <c r="B11999">
        <v>60</v>
      </c>
      <c r="C11999" t="s">
        <v>950</v>
      </c>
      <c r="D11999" t="s">
        <v>999</v>
      </c>
      <c r="E11999" t="s">
        <v>49</v>
      </c>
      <c r="F11999" t="s">
        <v>955</v>
      </c>
      <c r="G11999">
        <v>6000000</v>
      </c>
      <c r="H11999">
        <v>145000</v>
      </c>
      <c r="I11999" t="s">
        <v>949</v>
      </c>
    </row>
    <row r="12000" spans="1:9" x14ac:dyDescent="0.25">
      <c r="A12000">
        <v>3130</v>
      </c>
      <c r="B12000">
        <v>60</v>
      </c>
      <c r="C12000" t="s">
        <v>950</v>
      </c>
      <c r="D12000" t="s">
        <v>999</v>
      </c>
      <c r="E12000" t="s">
        <v>49</v>
      </c>
      <c r="F12000" t="s">
        <v>956</v>
      </c>
      <c r="G12000">
        <v>6000000</v>
      </c>
      <c r="H12000">
        <v>145000</v>
      </c>
      <c r="I12000" t="s">
        <v>949</v>
      </c>
    </row>
    <row r="12001" spans="1:9" x14ac:dyDescent="0.25">
      <c r="A12001">
        <v>3130</v>
      </c>
      <c r="B12001">
        <v>60</v>
      </c>
      <c r="C12001" t="s">
        <v>950</v>
      </c>
      <c r="D12001" t="s">
        <v>999</v>
      </c>
      <c r="E12001" t="s">
        <v>49</v>
      </c>
      <c r="F12001" t="s">
        <v>957</v>
      </c>
      <c r="G12001">
        <v>6000000</v>
      </c>
      <c r="H12001">
        <v>145000</v>
      </c>
      <c r="I12001" t="s">
        <v>949</v>
      </c>
    </row>
    <row r="12002" spans="1:9" x14ac:dyDescent="0.25">
      <c r="A12002">
        <v>3130</v>
      </c>
      <c r="B12002">
        <v>60</v>
      </c>
      <c r="C12002" t="s">
        <v>950</v>
      </c>
      <c r="D12002" t="s">
        <v>999</v>
      </c>
      <c r="E12002" t="s">
        <v>49</v>
      </c>
      <c r="F12002" t="s">
        <v>958</v>
      </c>
      <c r="G12002">
        <v>6000000</v>
      </c>
      <c r="H12002">
        <v>145000</v>
      </c>
      <c r="I12002" t="s">
        <v>949</v>
      </c>
    </row>
    <row r="12003" spans="1:9" x14ac:dyDescent="0.25">
      <c r="A12003">
        <v>3130</v>
      </c>
      <c r="B12003">
        <v>60</v>
      </c>
      <c r="C12003" t="s">
        <v>950</v>
      </c>
      <c r="D12003" t="s">
        <v>999</v>
      </c>
      <c r="E12003" t="s">
        <v>49</v>
      </c>
      <c r="F12003" t="s">
        <v>959</v>
      </c>
      <c r="G12003">
        <v>6000000</v>
      </c>
      <c r="H12003">
        <v>145000</v>
      </c>
      <c r="I12003" t="s">
        <v>949</v>
      </c>
    </row>
    <row r="12004" spans="1:9" x14ac:dyDescent="0.25">
      <c r="A12004">
        <v>3130</v>
      </c>
      <c r="B12004">
        <v>60</v>
      </c>
      <c r="C12004" t="s">
        <v>950</v>
      </c>
      <c r="D12004" t="s">
        <v>999</v>
      </c>
      <c r="E12004" t="s">
        <v>49</v>
      </c>
      <c r="F12004" t="s">
        <v>960</v>
      </c>
      <c r="G12004">
        <v>6000000</v>
      </c>
      <c r="H12004">
        <v>145000</v>
      </c>
      <c r="I12004" t="s">
        <v>949</v>
      </c>
    </row>
    <row r="12005" spans="1:9" x14ac:dyDescent="0.25">
      <c r="A12005">
        <v>3130</v>
      </c>
      <c r="B12005">
        <v>60</v>
      </c>
      <c r="C12005" t="s">
        <v>950</v>
      </c>
      <c r="D12005" t="s">
        <v>999</v>
      </c>
      <c r="E12005" t="s">
        <v>49</v>
      </c>
      <c r="F12005" t="s">
        <v>961</v>
      </c>
      <c r="G12005">
        <v>6000000</v>
      </c>
      <c r="H12005">
        <v>145000</v>
      </c>
      <c r="I12005" t="s">
        <v>949</v>
      </c>
    </row>
    <row r="12006" spans="1:9" x14ac:dyDescent="0.25">
      <c r="A12006">
        <v>3130</v>
      </c>
      <c r="B12006">
        <v>60</v>
      </c>
      <c r="C12006" t="s">
        <v>962</v>
      </c>
      <c r="D12006" t="s">
        <v>999</v>
      </c>
      <c r="E12006" t="s">
        <v>49</v>
      </c>
      <c r="F12006" t="s">
        <v>951</v>
      </c>
      <c r="G12006">
        <v>6000000</v>
      </c>
      <c r="H12006">
        <v>145000</v>
      </c>
      <c r="I12006" t="s">
        <v>949</v>
      </c>
    </row>
    <row r="12007" spans="1:9" x14ac:dyDescent="0.25">
      <c r="A12007">
        <v>3130</v>
      </c>
      <c r="B12007">
        <v>60</v>
      </c>
      <c r="C12007" t="s">
        <v>962</v>
      </c>
      <c r="D12007" t="s">
        <v>999</v>
      </c>
      <c r="E12007" t="s">
        <v>49</v>
      </c>
      <c r="F12007" t="s">
        <v>952</v>
      </c>
      <c r="G12007">
        <v>6000000</v>
      </c>
      <c r="H12007">
        <v>145000</v>
      </c>
      <c r="I12007" t="s">
        <v>949</v>
      </c>
    </row>
    <row r="12008" spans="1:9" x14ac:dyDescent="0.25">
      <c r="A12008">
        <v>3130</v>
      </c>
      <c r="B12008">
        <v>60</v>
      </c>
      <c r="C12008" t="s">
        <v>962</v>
      </c>
      <c r="D12008" t="s">
        <v>999</v>
      </c>
      <c r="E12008" t="s">
        <v>49</v>
      </c>
      <c r="F12008" t="s">
        <v>953</v>
      </c>
      <c r="G12008">
        <v>6000000</v>
      </c>
      <c r="H12008">
        <v>145000</v>
      </c>
      <c r="I12008" t="s">
        <v>949</v>
      </c>
    </row>
    <row r="12009" spans="1:9" x14ac:dyDescent="0.25">
      <c r="A12009">
        <v>3130</v>
      </c>
      <c r="B12009">
        <v>60</v>
      </c>
      <c r="C12009" t="s">
        <v>962</v>
      </c>
      <c r="D12009" t="s">
        <v>999</v>
      </c>
      <c r="E12009" t="s">
        <v>49</v>
      </c>
      <c r="F12009" t="s">
        <v>954</v>
      </c>
      <c r="G12009">
        <v>6000000</v>
      </c>
      <c r="H12009">
        <v>145000</v>
      </c>
      <c r="I12009" t="s">
        <v>949</v>
      </c>
    </row>
    <row r="12010" spans="1:9" x14ac:dyDescent="0.25">
      <c r="A12010">
        <v>3130</v>
      </c>
      <c r="B12010">
        <v>60</v>
      </c>
      <c r="C12010" t="s">
        <v>962</v>
      </c>
      <c r="D12010" t="s">
        <v>999</v>
      </c>
      <c r="E12010" t="s">
        <v>49</v>
      </c>
      <c r="F12010" t="s">
        <v>955</v>
      </c>
      <c r="G12010">
        <v>6000000</v>
      </c>
      <c r="H12010">
        <v>145000</v>
      </c>
      <c r="I12010" t="s">
        <v>949</v>
      </c>
    </row>
    <row r="12011" spans="1:9" x14ac:dyDescent="0.25">
      <c r="A12011">
        <v>3130</v>
      </c>
      <c r="B12011">
        <v>60</v>
      </c>
      <c r="C12011" t="s">
        <v>962</v>
      </c>
      <c r="D12011" t="s">
        <v>999</v>
      </c>
      <c r="E12011" t="s">
        <v>49</v>
      </c>
      <c r="F12011" t="s">
        <v>956</v>
      </c>
      <c r="G12011">
        <v>6000000</v>
      </c>
      <c r="H12011">
        <v>145000</v>
      </c>
      <c r="I12011" t="s">
        <v>949</v>
      </c>
    </row>
    <row r="12012" spans="1:9" x14ac:dyDescent="0.25">
      <c r="A12012">
        <v>3130</v>
      </c>
      <c r="B12012">
        <v>60</v>
      </c>
      <c r="C12012" t="s">
        <v>962</v>
      </c>
      <c r="D12012" t="s">
        <v>999</v>
      </c>
      <c r="E12012" t="s">
        <v>49</v>
      </c>
      <c r="F12012" t="s">
        <v>957</v>
      </c>
      <c r="G12012">
        <v>6000000</v>
      </c>
      <c r="H12012">
        <v>145000</v>
      </c>
      <c r="I12012" t="s">
        <v>949</v>
      </c>
    </row>
    <row r="12013" spans="1:9" x14ac:dyDescent="0.25">
      <c r="A12013">
        <v>3130</v>
      </c>
      <c r="B12013">
        <v>60</v>
      </c>
      <c r="C12013" t="s">
        <v>962</v>
      </c>
      <c r="D12013" t="s">
        <v>999</v>
      </c>
      <c r="E12013" t="s">
        <v>49</v>
      </c>
      <c r="F12013" t="s">
        <v>958</v>
      </c>
      <c r="G12013">
        <v>6000000</v>
      </c>
      <c r="H12013">
        <v>145000</v>
      </c>
      <c r="I12013" t="s">
        <v>949</v>
      </c>
    </row>
    <row r="12014" spans="1:9" x14ac:dyDescent="0.25">
      <c r="A12014">
        <v>3130</v>
      </c>
      <c r="B12014">
        <v>60</v>
      </c>
      <c r="C12014" t="s">
        <v>962</v>
      </c>
      <c r="D12014" t="s">
        <v>999</v>
      </c>
      <c r="E12014" t="s">
        <v>49</v>
      </c>
      <c r="F12014" t="s">
        <v>959</v>
      </c>
      <c r="G12014">
        <v>6000000</v>
      </c>
      <c r="H12014">
        <v>145000</v>
      </c>
      <c r="I12014" t="s">
        <v>949</v>
      </c>
    </row>
    <row r="12015" spans="1:9" x14ac:dyDescent="0.25">
      <c r="A12015">
        <v>3130</v>
      </c>
      <c r="B12015">
        <v>60</v>
      </c>
      <c r="C12015" t="s">
        <v>962</v>
      </c>
      <c r="D12015" t="s">
        <v>999</v>
      </c>
      <c r="E12015" t="s">
        <v>49</v>
      </c>
      <c r="F12015" t="s">
        <v>960</v>
      </c>
      <c r="G12015">
        <v>6000000</v>
      </c>
      <c r="H12015">
        <v>145000</v>
      </c>
      <c r="I12015" t="s">
        <v>949</v>
      </c>
    </row>
    <row r="12016" spans="1:9" x14ac:dyDescent="0.25">
      <c r="A12016">
        <v>3130</v>
      </c>
      <c r="B12016">
        <v>60</v>
      </c>
      <c r="C12016" t="s">
        <v>962</v>
      </c>
      <c r="D12016" t="s">
        <v>999</v>
      </c>
      <c r="E12016" t="s">
        <v>49</v>
      </c>
      <c r="F12016" t="s">
        <v>961</v>
      </c>
      <c r="G12016">
        <v>6000000</v>
      </c>
      <c r="H12016">
        <v>145000</v>
      </c>
      <c r="I12016" t="s">
        <v>949</v>
      </c>
    </row>
    <row r="12017" spans="1:9" x14ac:dyDescent="0.25">
      <c r="A12017">
        <v>3130</v>
      </c>
      <c r="B12017">
        <v>60</v>
      </c>
      <c r="C12017" t="s">
        <v>963</v>
      </c>
      <c r="D12017" t="s">
        <v>999</v>
      </c>
      <c r="E12017" t="s">
        <v>49</v>
      </c>
      <c r="F12017" t="s">
        <v>951</v>
      </c>
      <c r="G12017">
        <v>6000000</v>
      </c>
      <c r="H12017">
        <v>145000</v>
      </c>
      <c r="I12017" t="s">
        <v>949</v>
      </c>
    </row>
    <row r="12018" spans="1:9" x14ac:dyDescent="0.25">
      <c r="A12018">
        <v>3130</v>
      </c>
      <c r="B12018">
        <v>60</v>
      </c>
      <c r="C12018" t="s">
        <v>963</v>
      </c>
      <c r="D12018" t="s">
        <v>999</v>
      </c>
      <c r="E12018" t="s">
        <v>49</v>
      </c>
      <c r="F12018" t="s">
        <v>952</v>
      </c>
      <c r="G12018">
        <v>6000000</v>
      </c>
      <c r="H12018">
        <v>145000</v>
      </c>
      <c r="I12018" t="s">
        <v>949</v>
      </c>
    </row>
    <row r="12019" spans="1:9" x14ac:dyDescent="0.25">
      <c r="A12019">
        <v>3130</v>
      </c>
      <c r="B12019">
        <v>60</v>
      </c>
      <c r="C12019" t="s">
        <v>963</v>
      </c>
      <c r="D12019" t="s">
        <v>999</v>
      </c>
      <c r="E12019" t="s">
        <v>49</v>
      </c>
      <c r="F12019" t="s">
        <v>953</v>
      </c>
      <c r="G12019">
        <v>6000000</v>
      </c>
      <c r="H12019">
        <v>145000</v>
      </c>
      <c r="I12019" t="s">
        <v>949</v>
      </c>
    </row>
    <row r="12020" spans="1:9" x14ac:dyDescent="0.25">
      <c r="A12020">
        <v>3130</v>
      </c>
      <c r="B12020">
        <v>60</v>
      </c>
      <c r="C12020" t="s">
        <v>963</v>
      </c>
      <c r="D12020" t="s">
        <v>999</v>
      </c>
      <c r="E12020" t="s">
        <v>49</v>
      </c>
      <c r="F12020" t="s">
        <v>954</v>
      </c>
      <c r="G12020">
        <v>6000000</v>
      </c>
      <c r="H12020">
        <v>145000</v>
      </c>
      <c r="I12020" t="s">
        <v>949</v>
      </c>
    </row>
    <row r="12021" spans="1:9" x14ac:dyDescent="0.25">
      <c r="A12021">
        <v>3130</v>
      </c>
      <c r="B12021">
        <v>60</v>
      </c>
      <c r="C12021" t="s">
        <v>963</v>
      </c>
      <c r="D12021" t="s">
        <v>999</v>
      </c>
      <c r="E12021" t="s">
        <v>49</v>
      </c>
      <c r="F12021" t="s">
        <v>955</v>
      </c>
      <c r="G12021">
        <v>6000000</v>
      </c>
      <c r="H12021">
        <v>145000</v>
      </c>
      <c r="I12021" t="s">
        <v>949</v>
      </c>
    </row>
    <row r="12022" spans="1:9" x14ac:dyDescent="0.25">
      <c r="A12022">
        <v>3130</v>
      </c>
      <c r="B12022">
        <v>60</v>
      </c>
      <c r="C12022" t="s">
        <v>963</v>
      </c>
      <c r="D12022" t="s">
        <v>999</v>
      </c>
      <c r="E12022" t="s">
        <v>49</v>
      </c>
      <c r="F12022" t="s">
        <v>956</v>
      </c>
      <c r="G12022">
        <v>6000000</v>
      </c>
      <c r="H12022">
        <v>145000</v>
      </c>
      <c r="I12022" t="s">
        <v>949</v>
      </c>
    </row>
    <row r="12023" spans="1:9" x14ac:dyDescent="0.25">
      <c r="A12023">
        <v>3130</v>
      </c>
      <c r="B12023">
        <v>60</v>
      </c>
      <c r="C12023" t="s">
        <v>963</v>
      </c>
      <c r="D12023" t="s">
        <v>999</v>
      </c>
      <c r="E12023" t="s">
        <v>49</v>
      </c>
      <c r="F12023" t="s">
        <v>957</v>
      </c>
      <c r="G12023">
        <v>6000000</v>
      </c>
      <c r="H12023">
        <v>145000</v>
      </c>
      <c r="I12023" t="s">
        <v>949</v>
      </c>
    </row>
    <row r="12024" spans="1:9" x14ac:dyDescent="0.25">
      <c r="A12024">
        <v>3130</v>
      </c>
      <c r="B12024">
        <v>60</v>
      </c>
      <c r="C12024" t="s">
        <v>963</v>
      </c>
      <c r="D12024" t="s">
        <v>999</v>
      </c>
      <c r="E12024" t="s">
        <v>49</v>
      </c>
      <c r="F12024" t="s">
        <v>958</v>
      </c>
      <c r="G12024">
        <v>6000000</v>
      </c>
      <c r="H12024">
        <v>145000</v>
      </c>
      <c r="I12024" t="s">
        <v>949</v>
      </c>
    </row>
    <row r="12025" spans="1:9" x14ac:dyDescent="0.25">
      <c r="A12025">
        <v>3130</v>
      </c>
      <c r="B12025">
        <v>60</v>
      </c>
      <c r="C12025" t="s">
        <v>963</v>
      </c>
      <c r="D12025" t="s">
        <v>999</v>
      </c>
      <c r="E12025" t="s">
        <v>49</v>
      </c>
      <c r="F12025" t="s">
        <v>959</v>
      </c>
      <c r="G12025">
        <v>6000000</v>
      </c>
      <c r="H12025">
        <v>145000</v>
      </c>
      <c r="I12025" t="s">
        <v>949</v>
      </c>
    </row>
    <row r="12026" spans="1:9" x14ac:dyDescent="0.25">
      <c r="A12026">
        <v>3130</v>
      </c>
      <c r="B12026">
        <v>60</v>
      </c>
      <c r="C12026" t="s">
        <v>963</v>
      </c>
      <c r="D12026" t="s">
        <v>999</v>
      </c>
      <c r="E12026" t="s">
        <v>49</v>
      </c>
      <c r="F12026" t="s">
        <v>960</v>
      </c>
      <c r="G12026">
        <v>6000000</v>
      </c>
      <c r="H12026">
        <v>145000</v>
      </c>
      <c r="I12026" t="s">
        <v>949</v>
      </c>
    </row>
    <row r="12027" spans="1:9" x14ac:dyDescent="0.25">
      <c r="A12027">
        <v>3130</v>
      </c>
      <c r="B12027">
        <v>60</v>
      </c>
      <c r="C12027" t="s">
        <v>963</v>
      </c>
      <c r="D12027" t="s">
        <v>999</v>
      </c>
      <c r="E12027" t="s">
        <v>49</v>
      </c>
      <c r="F12027" t="s">
        <v>961</v>
      </c>
      <c r="G12027">
        <v>6000000</v>
      </c>
      <c r="H12027">
        <v>145000</v>
      </c>
      <c r="I12027" t="s">
        <v>949</v>
      </c>
    </row>
    <row r="12028" spans="1:9" x14ac:dyDescent="0.25">
      <c r="A12028">
        <v>3400</v>
      </c>
      <c r="B12028">
        <v>60</v>
      </c>
      <c r="C12028" t="s">
        <v>962</v>
      </c>
      <c r="D12028" t="s">
        <v>999</v>
      </c>
      <c r="E12028" t="s">
        <v>49</v>
      </c>
      <c r="F12028" t="s">
        <v>959</v>
      </c>
      <c r="G12028">
        <v>6001355</v>
      </c>
      <c r="H12028">
        <v>500400</v>
      </c>
      <c r="I12028" t="s">
        <v>983</v>
      </c>
    </row>
    <row r="12029" spans="1:9" x14ac:dyDescent="0.25">
      <c r="A12029">
        <v>3400</v>
      </c>
      <c r="B12029">
        <v>60</v>
      </c>
      <c r="C12029" t="s">
        <v>962</v>
      </c>
      <c r="D12029" t="s">
        <v>999</v>
      </c>
      <c r="E12029" t="s">
        <v>49</v>
      </c>
      <c r="F12029" t="s">
        <v>960</v>
      </c>
      <c r="G12029">
        <v>6001355</v>
      </c>
      <c r="H12029">
        <v>500400</v>
      </c>
      <c r="I12029" t="s">
        <v>949</v>
      </c>
    </row>
    <row r="12030" spans="1:9" x14ac:dyDescent="0.25">
      <c r="A12030">
        <v>3400</v>
      </c>
      <c r="B12030">
        <v>60</v>
      </c>
      <c r="C12030" t="s">
        <v>962</v>
      </c>
      <c r="D12030" t="s">
        <v>999</v>
      </c>
      <c r="E12030" t="s">
        <v>49</v>
      </c>
      <c r="F12030" t="s">
        <v>961</v>
      </c>
      <c r="G12030">
        <v>6001355</v>
      </c>
      <c r="H12030">
        <v>500400</v>
      </c>
      <c r="I12030" t="s">
        <v>949</v>
      </c>
    </row>
    <row r="12031" ht="22" customHeight="1" spans="1:10" x14ac:dyDescent="0.25">
      <c r="A12031" s="43">
        <v>3130</v>
      </c>
      <c r="B12031" s="43">
        <v>60</v>
      </c>
      <c r="C12031" s="43" t="s">
        <v>950</v>
      </c>
      <c r="D12031" s="43" t="s">
        <v>999</v>
      </c>
      <c r="E12031" s="43" t="s">
        <v>243</v>
      </c>
      <c r="F12031" s="43" t="s">
        <v>951</v>
      </c>
      <c r="G12031" s="43">
        <v>6000000</v>
      </c>
      <c r="H12031" s="43">
        <v>145000</v>
      </c>
      <c r="I12031" s="43" t="s">
        <v>949</v>
      </c>
      <c r="J12031" s="44" t="s">
        <v>1000</v>
      </c>
    </row>
    <row r="12032" ht="22" customHeight="1" spans="1:10" x14ac:dyDescent="0.25">
      <c r="A12032" s="43">
        <v>3130</v>
      </c>
      <c r="B12032" s="43">
        <v>60</v>
      </c>
      <c r="C12032" s="43" t="s">
        <v>950</v>
      </c>
      <c r="D12032" s="43" t="s">
        <v>999</v>
      </c>
      <c r="E12032" s="43" t="s">
        <v>243</v>
      </c>
      <c r="F12032" s="43" t="s">
        <v>952</v>
      </c>
      <c r="G12032" s="43">
        <v>6000000</v>
      </c>
      <c r="H12032" s="43">
        <v>145000</v>
      </c>
      <c r="I12032" s="43" t="s">
        <v>949</v>
      </c>
      <c r="J12032" s="44" t="s">
        <v>1000</v>
      </c>
    </row>
    <row r="12033" ht="22" customHeight="1" spans="1:10" x14ac:dyDescent="0.25">
      <c r="A12033" s="43">
        <v>3130</v>
      </c>
      <c r="B12033" s="43">
        <v>60</v>
      </c>
      <c r="C12033" s="43" t="s">
        <v>950</v>
      </c>
      <c r="D12033" s="43" t="s">
        <v>999</v>
      </c>
      <c r="E12033" s="43" t="s">
        <v>243</v>
      </c>
      <c r="F12033" s="43" t="s">
        <v>953</v>
      </c>
      <c r="G12033" s="43">
        <v>6000000</v>
      </c>
      <c r="H12033" s="43">
        <v>145000</v>
      </c>
      <c r="I12033" s="43" t="s">
        <v>949</v>
      </c>
      <c r="J12033" s="44" t="s">
        <v>1000</v>
      </c>
    </row>
    <row r="12034" ht="22" customHeight="1" spans="1:10" x14ac:dyDescent="0.25">
      <c r="A12034" s="43">
        <v>3130</v>
      </c>
      <c r="B12034" s="43">
        <v>60</v>
      </c>
      <c r="C12034" s="43" t="s">
        <v>950</v>
      </c>
      <c r="D12034" s="43" t="s">
        <v>999</v>
      </c>
      <c r="E12034" s="43" t="s">
        <v>243</v>
      </c>
      <c r="F12034" s="43" t="s">
        <v>954</v>
      </c>
      <c r="G12034" s="43">
        <v>6000000</v>
      </c>
      <c r="H12034" s="43">
        <v>145000</v>
      </c>
      <c r="I12034" s="43" t="s">
        <v>949</v>
      </c>
      <c r="J12034" s="44" t="s">
        <v>1000</v>
      </c>
    </row>
    <row r="12035" ht="22" customHeight="1" spans="1:10" x14ac:dyDescent="0.25">
      <c r="A12035" s="43">
        <v>3130</v>
      </c>
      <c r="B12035" s="43">
        <v>60</v>
      </c>
      <c r="C12035" s="43" t="s">
        <v>950</v>
      </c>
      <c r="D12035" s="43" t="s">
        <v>999</v>
      </c>
      <c r="E12035" s="43" t="s">
        <v>243</v>
      </c>
      <c r="F12035" s="43" t="s">
        <v>955</v>
      </c>
      <c r="G12035" s="43">
        <v>6000000</v>
      </c>
      <c r="H12035" s="43">
        <v>145000</v>
      </c>
      <c r="I12035" s="43" t="s">
        <v>949</v>
      </c>
      <c r="J12035" s="44" t="s">
        <v>1000</v>
      </c>
    </row>
    <row r="12036" ht="22" customHeight="1" spans="1:10" x14ac:dyDescent="0.25">
      <c r="A12036" s="43">
        <v>3130</v>
      </c>
      <c r="B12036" s="43">
        <v>60</v>
      </c>
      <c r="C12036" s="43" t="s">
        <v>950</v>
      </c>
      <c r="D12036" s="43" t="s">
        <v>999</v>
      </c>
      <c r="E12036" s="43" t="s">
        <v>243</v>
      </c>
      <c r="F12036" s="43" t="s">
        <v>956</v>
      </c>
      <c r="G12036" s="43">
        <v>6000000</v>
      </c>
      <c r="H12036" s="43">
        <v>145000</v>
      </c>
      <c r="I12036" s="43" t="s">
        <v>949</v>
      </c>
      <c r="J12036" s="44" t="s">
        <v>1000</v>
      </c>
    </row>
    <row r="12037" ht="22" customHeight="1" spans="1:10" x14ac:dyDescent="0.25">
      <c r="A12037" s="43">
        <v>3130</v>
      </c>
      <c r="B12037" s="43">
        <v>60</v>
      </c>
      <c r="C12037" s="43" t="s">
        <v>950</v>
      </c>
      <c r="D12037" s="43" t="s">
        <v>999</v>
      </c>
      <c r="E12037" s="43" t="s">
        <v>243</v>
      </c>
      <c r="F12037" s="43" t="s">
        <v>957</v>
      </c>
      <c r="G12037" s="43">
        <v>6000000</v>
      </c>
      <c r="H12037" s="43">
        <v>145000</v>
      </c>
      <c r="I12037" s="43" t="s">
        <v>949</v>
      </c>
      <c r="J12037" s="44" t="s">
        <v>1000</v>
      </c>
    </row>
    <row r="12038" ht="22" customHeight="1" spans="1:10" x14ac:dyDescent="0.25">
      <c r="A12038" s="43">
        <v>3130</v>
      </c>
      <c r="B12038" s="43">
        <v>60</v>
      </c>
      <c r="C12038" s="43" t="s">
        <v>950</v>
      </c>
      <c r="D12038" s="43" t="s">
        <v>999</v>
      </c>
      <c r="E12038" s="43" t="s">
        <v>243</v>
      </c>
      <c r="F12038" s="43" t="s">
        <v>958</v>
      </c>
      <c r="G12038" s="43">
        <v>6000000</v>
      </c>
      <c r="H12038" s="43">
        <v>145000</v>
      </c>
      <c r="I12038" s="43" t="s">
        <v>949</v>
      </c>
      <c r="J12038" s="44" t="s">
        <v>1000</v>
      </c>
    </row>
    <row r="12039" ht="22" customHeight="1" spans="1:10" x14ac:dyDescent="0.25">
      <c r="A12039" s="43">
        <v>3130</v>
      </c>
      <c r="B12039" s="43">
        <v>60</v>
      </c>
      <c r="C12039" s="43" t="s">
        <v>950</v>
      </c>
      <c r="D12039" s="43" t="s">
        <v>999</v>
      </c>
      <c r="E12039" s="43" t="s">
        <v>243</v>
      </c>
      <c r="F12039" s="43" t="s">
        <v>959</v>
      </c>
      <c r="G12039" s="43">
        <v>6000000</v>
      </c>
      <c r="H12039" s="43">
        <v>145000</v>
      </c>
      <c r="I12039" s="43" t="s">
        <v>949</v>
      </c>
      <c r="J12039" s="44" t="s">
        <v>1000</v>
      </c>
    </row>
    <row r="12040" ht="22" customHeight="1" spans="1:10" x14ac:dyDescent="0.25">
      <c r="A12040" s="43">
        <v>3130</v>
      </c>
      <c r="B12040" s="43">
        <v>60</v>
      </c>
      <c r="C12040" s="43" t="s">
        <v>950</v>
      </c>
      <c r="D12040" s="43" t="s">
        <v>999</v>
      </c>
      <c r="E12040" s="43" t="s">
        <v>243</v>
      </c>
      <c r="F12040" s="43" t="s">
        <v>960</v>
      </c>
      <c r="G12040" s="43">
        <v>6000000</v>
      </c>
      <c r="H12040" s="43">
        <v>145000</v>
      </c>
      <c r="I12040" s="43" t="s">
        <v>949</v>
      </c>
      <c r="J12040" s="44" t="s">
        <v>1000</v>
      </c>
    </row>
    <row r="12041" ht="22" customHeight="1" spans="1:10" x14ac:dyDescent="0.25">
      <c r="A12041" s="43">
        <v>3130</v>
      </c>
      <c r="B12041" s="43">
        <v>60</v>
      </c>
      <c r="C12041" s="43" t="s">
        <v>950</v>
      </c>
      <c r="D12041" s="43" t="s">
        <v>999</v>
      </c>
      <c r="E12041" s="43" t="s">
        <v>243</v>
      </c>
      <c r="F12041" s="43" t="s">
        <v>961</v>
      </c>
      <c r="G12041" s="43">
        <v>6000000</v>
      </c>
      <c r="H12041" s="43">
        <v>145000</v>
      </c>
      <c r="I12041" s="43" t="s">
        <v>949</v>
      </c>
      <c r="J12041" s="44" t="s">
        <v>1000</v>
      </c>
    </row>
    <row r="12042" ht="22" customHeight="1" spans="1:10" x14ac:dyDescent="0.25">
      <c r="A12042" s="43">
        <v>3130</v>
      </c>
      <c r="B12042" s="43">
        <v>60</v>
      </c>
      <c r="C12042" s="43" t="s">
        <v>962</v>
      </c>
      <c r="D12042" s="43" t="s">
        <v>999</v>
      </c>
      <c r="E12042" s="43" t="s">
        <v>243</v>
      </c>
      <c r="F12042" s="43" t="s">
        <v>951</v>
      </c>
      <c r="G12042" s="43">
        <v>6000000</v>
      </c>
      <c r="H12042" s="43">
        <v>145000</v>
      </c>
      <c r="I12042" s="43" t="s">
        <v>949</v>
      </c>
      <c r="J12042" s="44" t="s">
        <v>1000</v>
      </c>
    </row>
    <row r="12043" ht="22" customHeight="1" spans="1:10" x14ac:dyDescent="0.25">
      <c r="A12043" s="43">
        <v>3130</v>
      </c>
      <c r="B12043" s="43">
        <v>60</v>
      </c>
      <c r="C12043" s="43" t="s">
        <v>962</v>
      </c>
      <c r="D12043" s="43" t="s">
        <v>999</v>
      </c>
      <c r="E12043" s="43" t="s">
        <v>243</v>
      </c>
      <c r="F12043" s="43" t="s">
        <v>952</v>
      </c>
      <c r="G12043" s="43">
        <v>6000000</v>
      </c>
      <c r="H12043" s="43">
        <v>145000</v>
      </c>
      <c r="I12043" s="43" t="s">
        <v>949</v>
      </c>
      <c r="J12043" s="44" t="s">
        <v>1000</v>
      </c>
    </row>
    <row r="12044" ht="22" customHeight="1" spans="1:10" x14ac:dyDescent="0.25">
      <c r="A12044" s="43">
        <v>3130</v>
      </c>
      <c r="B12044" s="43">
        <v>60</v>
      </c>
      <c r="C12044" s="43" t="s">
        <v>962</v>
      </c>
      <c r="D12044" s="43" t="s">
        <v>999</v>
      </c>
      <c r="E12044" s="43" t="s">
        <v>243</v>
      </c>
      <c r="F12044" s="43" t="s">
        <v>953</v>
      </c>
      <c r="G12044" s="43">
        <v>6000000</v>
      </c>
      <c r="H12044" s="43">
        <v>145000</v>
      </c>
      <c r="I12044" s="43" t="s">
        <v>949</v>
      </c>
      <c r="J12044" s="44" t="s">
        <v>1000</v>
      </c>
    </row>
    <row r="12045" ht="22" customHeight="1" spans="1:10" x14ac:dyDescent="0.25">
      <c r="A12045" s="43">
        <v>3130</v>
      </c>
      <c r="B12045" s="43">
        <v>60</v>
      </c>
      <c r="C12045" s="43" t="s">
        <v>962</v>
      </c>
      <c r="D12045" s="43" t="s">
        <v>999</v>
      </c>
      <c r="E12045" s="43" t="s">
        <v>243</v>
      </c>
      <c r="F12045" s="43" t="s">
        <v>954</v>
      </c>
      <c r="G12045" s="43">
        <v>6000000</v>
      </c>
      <c r="H12045" s="43">
        <v>145000</v>
      </c>
      <c r="I12045" s="43" t="s">
        <v>949</v>
      </c>
      <c r="J12045" s="44" t="s">
        <v>1000</v>
      </c>
    </row>
    <row r="12046" ht="22" customHeight="1" spans="1:10" x14ac:dyDescent="0.25">
      <c r="A12046" s="43">
        <v>3130</v>
      </c>
      <c r="B12046" s="43">
        <v>60</v>
      </c>
      <c r="C12046" s="43" t="s">
        <v>962</v>
      </c>
      <c r="D12046" s="43" t="s">
        <v>999</v>
      </c>
      <c r="E12046" s="43" t="s">
        <v>243</v>
      </c>
      <c r="F12046" s="43" t="s">
        <v>955</v>
      </c>
      <c r="G12046" s="43">
        <v>6000000</v>
      </c>
      <c r="H12046" s="43">
        <v>145000</v>
      </c>
      <c r="I12046" s="43" t="s">
        <v>949</v>
      </c>
      <c r="J12046" s="44" t="s">
        <v>1000</v>
      </c>
    </row>
    <row r="12047" ht="22" customHeight="1" spans="1:10" x14ac:dyDescent="0.25">
      <c r="A12047" s="43">
        <v>3130</v>
      </c>
      <c r="B12047" s="43">
        <v>60</v>
      </c>
      <c r="C12047" s="43" t="s">
        <v>962</v>
      </c>
      <c r="D12047" s="43" t="s">
        <v>999</v>
      </c>
      <c r="E12047" s="43" t="s">
        <v>243</v>
      </c>
      <c r="F12047" s="43" t="s">
        <v>956</v>
      </c>
      <c r="G12047" s="43">
        <v>6000000</v>
      </c>
      <c r="H12047" s="43">
        <v>145000</v>
      </c>
      <c r="I12047" s="43" t="s">
        <v>949</v>
      </c>
      <c r="J12047" s="44" t="s">
        <v>1000</v>
      </c>
    </row>
    <row r="12048" ht="22" customHeight="1" spans="1:10" x14ac:dyDescent="0.25">
      <c r="A12048" s="43">
        <v>3130</v>
      </c>
      <c r="B12048" s="43">
        <v>60</v>
      </c>
      <c r="C12048" s="43" t="s">
        <v>962</v>
      </c>
      <c r="D12048" s="43" t="s">
        <v>999</v>
      </c>
      <c r="E12048" s="43" t="s">
        <v>243</v>
      </c>
      <c r="F12048" s="43" t="s">
        <v>957</v>
      </c>
      <c r="G12048" s="43">
        <v>6000000</v>
      </c>
      <c r="H12048" s="43">
        <v>145000</v>
      </c>
      <c r="I12048" s="43" t="s">
        <v>949</v>
      </c>
      <c r="J12048" s="44" t="s">
        <v>1000</v>
      </c>
    </row>
    <row r="12049" ht="22" customHeight="1" spans="1:10" x14ac:dyDescent="0.25">
      <c r="A12049" s="43">
        <v>3130</v>
      </c>
      <c r="B12049" s="43">
        <v>60</v>
      </c>
      <c r="C12049" s="43" t="s">
        <v>962</v>
      </c>
      <c r="D12049" s="43" t="s">
        <v>999</v>
      </c>
      <c r="E12049" s="43" t="s">
        <v>243</v>
      </c>
      <c r="F12049" s="43" t="s">
        <v>958</v>
      </c>
      <c r="G12049" s="43">
        <v>6000000</v>
      </c>
      <c r="H12049" s="43">
        <v>145000</v>
      </c>
      <c r="I12049" s="43" t="s">
        <v>949</v>
      </c>
      <c r="J12049" s="44" t="s">
        <v>1000</v>
      </c>
    </row>
    <row r="12050" ht="22" customHeight="1" spans="1:10" x14ac:dyDescent="0.25">
      <c r="A12050" s="43">
        <v>3130</v>
      </c>
      <c r="B12050" s="43">
        <v>60</v>
      </c>
      <c r="C12050" s="43" t="s">
        <v>962</v>
      </c>
      <c r="D12050" s="43" t="s">
        <v>999</v>
      </c>
      <c r="E12050" s="43" t="s">
        <v>243</v>
      </c>
      <c r="F12050" s="43" t="s">
        <v>959</v>
      </c>
      <c r="G12050" s="43">
        <v>6000000</v>
      </c>
      <c r="H12050" s="43">
        <v>145000</v>
      </c>
      <c r="I12050" s="43" t="s">
        <v>949</v>
      </c>
      <c r="J12050" s="44" t="s">
        <v>1000</v>
      </c>
    </row>
    <row r="12051" ht="22" customHeight="1" spans="1:10" x14ac:dyDescent="0.25">
      <c r="A12051" s="43">
        <v>3130</v>
      </c>
      <c r="B12051" s="43">
        <v>60</v>
      </c>
      <c r="C12051" s="43" t="s">
        <v>962</v>
      </c>
      <c r="D12051" s="43" t="s">
        <v>999</v>
      </c>
      <c r="E12051" s="43" t="s">
        <v>243</v>
      </c>
      <c r="F12051" s="43" t="s">
        <v>960</v>
      </c>
      <c r="G12051" s="43">
        <v>6000000</v>
      </c>
      <c r="H12051" s="43">
        <v>145000</v>
      </c>
      <c r="I12051" s="43" t="s">
        <v>949</v>
      </c>
      <c r="J12051" s="44" t="s">
        <v>1000</v>
      </c>
    </row>
    <row r="12052" ht="22" customHeight="1" spans="1:10" x14ac:dyDescent="0.25">
      <c r="A12052" s="43">
        <v>3130</v>
      </c>
      <c r="B12052" s="43">
        <v>60</v>
      </c>
      <c r="C12052" s="43" t="s">
        <v>962</v>
      </c>
      <c r="D12052" s="43" t="s">
        <v>999</v>
      </c>
      <c r="E12052" s="43" t="s">
        <v>243</v>
      </c>
      <c r="F12052" s="43" t="s">
        <v>961</v>
      </c>
      <c r="G12052" s="43">
        <v>6000000</v>
      </c>
      <c r="H12052" s="43">
        <v>145000</v>
      </c>
      <c r="I12052" s="43" t="s">
        <v>949</v>
      </c>
      <c r="J12052" s="44" t="s">
        <v>1000</v>
      </c>
    </row>
    <row r="12053" ht="22" customHeight="1" spans="1:10" x14ac:dyDescent="0.25">
      <c r="A12053" s="43">
        <v>3130</v>
      </c>
      <c r="B12053" s="43">
        <v>60</v>
      </c>
      <c r="C12053" s="43" t="s">
        <v>963</v>
      </c>
      <c r="D12053" s="43" t="s">
        <v>999</v>
      </c>
      <c r="E12053" s="43" t="s">
        <v>243</v>
      </c>
      <c r="F12053" s="43" t="s">
        <v>951</v>
      </c>
      <c r="G12053" s="43">
        <v>6000000</v>
      </c>
      <c r="H12053" s="43">
        <v>145000</v>
      </c>
      <c r="I12053" s="43" t="s">
        <v>949</v>
      </c>
      <c r="J12053" s="44" t="s">
        <v>1000</v>
      </c>
    </row>
    <row r="12054" ht="22" customHeight="1" spans="1:10" x14ac:dyDescent="0.25">
      <c r="A12054" s="43">
        <v>3130</v>
      </c>
      <c r="B12054" s="43">
        <v>60</v>
      </c>
      <c r="C12054" s="43" t="s">
        <v>963</v>
      </c>
      <c r="D12054" s="43" t="s">
        <v>999</v>
      </c>
      <c r="E12054" s="43" t="s">
        <v>243</v>
      </c>
      <c r="F12054" s="43" t="s">
        <v>952</v>
      </c>
      <c r="G12054" s="43">
        <v>6000000</v>
      </c>
      <c r="H12054" s="43">
        <v>145000</v>
      </c>
      <c r="I12054" s="43" t="s">
        <v>949</v>
      </c>
      <c r="J12054" s="44" t="s">
        <v>1000</v>
      </c>
    </row>
    <row r="12055" ht="22" customHeight="1" spans="1:10" x14ac:dyDescent="0.25">
      <c r="A12055" s="43">
        <v>3130</v>
      </c>
      <c r="B12055" s="43">
        <v>60</v>
      </c>
      <c r="C12055" s="43" t="s">
        <v>963</v>
      </c>
      <c r="D12055" s="43" t="s">
        <v>999</v>
      </c>
      <c r="E12055" s="43" t="s">
        <v>243</v>
      </c>
      <c r="F12055" s="43" t="s">
        <v>953</v>
      </c>
      <c r="G12055" s="43">
        <v>6000000</v>
      </c>
      <c r="H12055" s="43">
        <v>145000</v>
      </c>
      <c r="I12055" s="43" t="s">
        <v>949</v>
      </c>
      <c r="J12055" s="44" t="s">
        <v>1000</v>
      </c>
    </row>
    <row r="12056" ht="22" customHeight="1" spans="1:10" x14ac:dyDescent="0.25">
      <c r="A12056" s="43">
        <v>3130</v>
      </c>
      <c r="B12056" s="43">
        <v>60</v>
      </c>
      <c r="C12056" s="43" t="s">
        <v>963</v>
      </c>
      <c r="D12056" s="43" t="s">
        <v>999</v>
      </c>
      <c r="E12056" s="43" t="s">
        <v>243</v>
      </c>
      <c r="F12056" s="43" t="s">
        <v>954</v>
      </c>
      <c r="G12056" s="43">
        <v>6000000</v>
      </c>
      <c r="H12056" s="43">
        <v>145000</v>
      </c>
      <c r="I12056" s="43" t="s">
        <v>949</v>
      </c>
      <c r="J12056" s="44" t="s">
        <v>1000</v>
      </c>
    </row>
    <row r="12057" ht="22" customHeight="1" spans="1:10" x14ac:dyDescent="0.25">
      <c r="A12057" s="43">
        <v>3130</v>
      </c>
      <c r="B12057" s="43">
        <v>60</v>
      </c>
      <c r="C12057" s="43" t="s">
        <v>963</v>
      </c>
      <c r="D12057" s="43" t="s">
        <v>999</v>
      </c>
      <c r="E12057" s="43" t="s">
        <v>243</v>
      </c>
      <c r="F12057" s="43" t="s">
        <v>955</v>
      </c>
      <c r="G12057" s="43">
        <v>6000000</v>
      </c>
      <c r="H12057" s="43">
        <v>145000</v>
      </c>
      <c r="I12057" s="43" t="s">
        <v>949</v>
      </c>
      <c r="J12057" s="44" t="s">
        <v>1000</v>
      </c>
    </row>
    <row r="12058" ht="22" customHeight="1" spans="1:10" x14ac:dyDescent="0.25">
      <c r="A12058" s="43">
        <v>3130</v>
      </c>
      <c r="B12058" s="43">
        <v>60</v>
      </c>
      <c r="C12058" s="43" t="s">
        <v>963</v>
      </c>
      <c r="D12058" s="43" t="s">
        <v>999</v>
      </c>
      <c r="E12058" s="43" t="s">
        <v>243</v>
      </c>
      <c r="F12058" s="43" t="s">
        <v>956</v>
      </c>
      <c r="G12058" s="43">
        <v>6000000</v>
      </c>
      <c r="H12058" s="43">
        <v>145000</v>
      </c>
      <c r="I12058" s="43" t="s">
        <v>949</v>
      </c>
      <c r="J12058" s="44" t="s">
        <v>1000</v>
      </c>
    </row>
    <row r="12059" ht="22" customHeight="1" spans="1:10" x14ac:dyDescent="0.25">
      <c r="A12059" s="43">
        <v>3130</v>
      </c>
      <c r="B12059" s="43">
        <v>60</v>
      </c>
      <c r="C12059" s="43" t="s">
        <v>963</v>
      </c>
      <c r="D12059" s="43" t="s">
        <v>999</v>
      </c>
      <c r="E12059" s="43" t="s">
        <v>243</v>
      </c>
      <c r="F12059" s="43" t="s">
        <v>957</v>
      </c>
      <c r="G12059" s="43">
        <v>6000000</v>
      </c>
      <c r="H12059" s="43">
        <v>145000</v>
      </c>
      <c r="I12059" s="43" t="s">
        <v>949</v>
      </c>
      <c r="J12059" s="44" t="s">
        <v>1000</v>
      </c>
    </row>
    <row r="12060" ht="22" customHeight="1" spans="1:10" x14ac:dyDescent="0.25">
      <c r="A12060" s="43">
        <v>3130</v>
      </c>
      <c r="B12060" s="43">
        <v>60</v>
      </c>
      <c r="C12060" s="43" t="s">
        <v>963</v>
      </c>
      <c r="D12060" s="43" t="s">
        <v>999</v>
      </c>
      <c r="E12060" s="43" t="s">
        <v>243</v>
      </c>
      <c r="F12060" s="43" t="s">
        <v>958</v>
      </c>
      <c r="G12060" s="43">
        <v>6000000</v>
      </c>
      <c r="H12060" s="43">
        <v>145000</v>
      </c>
      <c r="I12060" s="43" t="s">
        <v>949</v>
      </c>
      <c r="J12060" s="44" t="s">
        <v>1000</v>
      </c>
    </row>
    <row r="12061" ht="22" customHeight="1" spans="1:10" x14ac:dyDescent="0.25">
      <c r="A12061" s="43">
        <v>3130</v>
      </c>
      <c r="B12061" s="43">
        <v>60</v>
      </c>
      <c r="C12061" s="43" t="s">
        <v>963</v>
      </c>
      <c r="D12061" s="43" t="s">
        <v>999</v>
      </c>
      <c r="E12061" s="43" t="s">
        <v>243</v>
      </c>
      <c r="F12061" s="43" t="s">
        <v>959</v>
      </c>
      <c r="G12061" s="43">
        <v>6000000</v>
      </c>
      <c r="H12061" s="43">
        <v>145000</v>
      </c>
      <c r="I12061" s="43" t="s">
        <v>949</v>
      </c>
      <c r="J12061" s="44" t="s">
        <v>1000</v>
      </c>
    </row>
    <row r="12062" ht="22" customHeight="1" spans="1:10" x14ac:dyDescent="0.25">
      <c r="A12062" s="43">
        <v>3130</v>
      </c>
      <c r="B12062" s="43">
        <v>60</v>
      </c>
      <c r="C12062" s="43" t="s">
        <v>963</v>
      </c>
      <c r="D12062" s="43" t="s">
        <v>999</v>
      </c>
      <c r="E12062" s="43" t="s">
        <v>243</v>
      </c>
      <c r="F12062" s="43" t="s">
        <v>960</v>
      </c>
      <c r="G12062" s="43">
        <v>6000000</v>
      </c>
      <c r="H12062" s="43">
        <v>145000</v>
      </c>
      <c r="I12062" s="43" t="s">
        <v>949</v>
      </c>
      <c r="J12062" s="44" t="s">
        <v>1000</v>
      </c>
    </row>
    <row r="12063" ht="22" customHeight="1" spans="1:10" x14ac:dyDescent="0.25">
      <c r="A12063" s="43">
        <v>3130</v>
      </c>
      <c r="B12063" s="43">
        <v>60</v>
      </c>
      <c r="C12063" s="43" t="s">
        <v>963</v>
      </c>
      <c r="D12063" s="43" t="s">
        <v>999</v>
      </c>
      <c r="E12063" s="43" t="s">
        <v>243</v>
      </c>
      <c r="F12063" s="43" t="s">
        <v>961</v>
      </c>
      <c r="G12063" s="43">
        <v>6000000</v>
      </c>
      <c r="H12063" s="43">
        <v>145000</v>
      </c>
      <c r="I12063" s="43" t="s">
        <v>949</v>
      </c>
      <c r="J12063" s="44" t="s">
        <v>1000</v>
      </c>
    </row>
    <row r="12064" ht="22" customHeight="1" spans="1:10" x14ac:dyDescent="0.25">
      <c r="A12064" s="43">
        <v>3130</v>
      </c>
      <c r="B12064" s="43">
        <v>60</v>
      </c>
      <c r="C12064" s="43" t="s">
        <v>950</v>
      </c>
      <c r="D12064" s="43" t="s">
        <v>999</v>
      </c>
      <c r="E12064" s="43" t="s">
        <v>247</v>
      </c>
      <c r="F12064" s="43" t="s">
        <v>951</v>
      </c>
      <c r="G12064" s="43">
        <v>6000000</v>
      </c>
      <c r="H12064" s="43">
        <v>145000</v>
      </c>
      <c r="I12064" s="43" t="s">
        <v>949</v>
      </c>
      <c r="J12064" s="44" t="s">
        <v>1000</v>
      </c>
    </row>
    <row r="12065" ht="22" customHeight="1" spans="1:10" x14ac:dyDescent="0.25">
      <c r="A12065" s="43">
        <v>3130</v>
      </c>
      <c r="B12065" s="43">
        <v>60</v>
      </c>
      <c r="C12065" s="43" t="s">
        <v>950</v>
      </c>
      <c r="D12065" s="43" t="s">
        <v>999</v>
      </c>
      <c r="E12065" s="43" t="s">
        <v>247</v>
      </c>
      <c r="F12065" s="43" t="s">
        <v>952</v>
      </c>
      <c r="G12065" s="43">
        <v>6000000</v>
      </c>
      <c r="H12065" s="43">
        <v>145000</v>
      </c>
      <c r="I12065" s="43" t="s">
        <v>949</v>
      </c>
      <c r="J12065" s="44" t="s">
        <v>1000</v>
      </c>
    </row>
    <row r="12066" ht="22" customHeight="1" spans="1:10" x14ac:dyDescent="0.25">
      <c r="A12066" s="43">
        <v>3130</v>
      </c>
      <c r="B12066" s="43">
        <v>60</v>
      </c>
      <c r="C12066" s="43" t="s">
        <v>950</v>
      </c>
      <c r="D12066" s="43" t="s">
        <v>999</v>
      </c>
      <c r="E12066" s="43" t="s">
        <v>247</v>
      </c>
      <c r="F12066" s="43" t="s">
        <v>953</v>
      </c>
      <c r="G12066" s="43">
        <v>6000000</v>
      </c>
      <c r="H12066" s="43">
        <v>145000</v>
      </c>
      <c r="I12066" s="43" t="s">
        <v>949</v>
      </c>
      <c r="J12066" s="44" t="s">
        <v>1000</v>
      </c>
    </row>
    <row r="12067" ht="22" customHeight="1" spans="1:10" x14ac:dyDescent="0.25">
      <c r="A12067" s="43">
        <v>3130</v>
      </c>
      <c r="B12067" s="43">
        <v>60</v>
      </c>
      <c r="C12067" s="43" t="s">
        <v>950</v>
      </c>
      <c r="D12067" s="43" t="s">
        <v>999</v>
      </c>
      <c r="E12067" s="43" t="s">
        <v>247</v>
      </c>
      <c r="F12067" s="43" t="s">
        <v>954</v>
      </c>
      <c r="G12067" s="43">
        <v>6000000</v>
      </c>
      <c r="H12067" s="43">
        <v>145000</v>
      </c>
      <c r="I12067" s="43" t="s">
        <v>949</v>
      </c>
      <c r="J12067" s="44" t="s">
        <v>1000</v>
      </c>
    </row>
    <row r="12068" ht="22" customHeight="1" spans="1:10" x14ac:dyDescent="0.25">
      <c r="A12068" s="43">
        <v>3130</v>
      </c>
      <c r="B12068" s="43">
        <v>60</v>
      </c>
      <c r="C12068" s="43" t="s">
        <v>950</v>
      </c>
      <c r="D12068" s="43" t="s">
        <v>999</v>
      </c>
      <c r="E12068" s="43" t="s">
        <v>247</v>
      </c>
      <c r="F12068" s="43" t="s">
        <v>955</v>
      </c>
      <c r="G12068" s="43">
        <v>6000000</v>
      </c>
      <c r="H12068" s="43">
        <v>145000</v>
      </c>
      <c r="I12068" s="43" t="s">
        <v>949</v>
      </c>
      <c r="J12068" s="44" t="s">
        <v>1000</v>
      </c>
    </row>
    <row r="12069" ht="22" customHeight="1" spans="1:10" x14ac:dyDescent="0.25">
      <c r="A12069" s="43">
        <v>3130</v>
      </c>
      <c r="B12069" s="43">
        <v>60</v>
      </c>
      <c r="C12069" s="43" t="s">
        <v>950</v>
      </c>
      <c r="D12069" s="43" t="s">
        <v>999</v>
      </c>
      <c r="E12069" s="43" t="s">
        <v>247</v>
      </c>
      <c r="F12069" s="43" t="s">
        <v>956</v>
      </c>
      <c r="G12069" s="43">
        <v>6000000</v>
      </c>
      <c r="H12069" s="43">
        <v>145000</v>
      </c>
      <c r="I12069" s="43" t="s">
        <v>949</v>
      </c>
      <c r="J12069" s="44" t="s">
        <v>1000</v>
      </c>
    </row>
    <row r="12070" ht="22" customHeight="1" spans="1:10" x14ac:dyDescent="0.25">
      <c r="A12070" s="43">
        <v>3130</v>
      </c>
      <c r="B12070" s="43">
        <v>60</v>
      </c>
      <c r="C12070" s="43" t="s">
        <v>950</v>
      </c>
      <c r="D12070" s="43" t="s">
        <v>999</v>
      </c>
      <c r="E12070" s="43" t="s">
        <v>247</v>
      </c>
      <c r="F12070" s="43" t="s">
        <v>957</v>
      </c>
      <c r="G12070" s="43">
        <v>6000000</v>
      </c>
      <c r="H12070" s="43">
        <v>145000</v>
      </c>
      <c r="I12070" s="43" t="s">
        <v>949</v>
      </c>
      <c r="J12070" s="44" t="s">
        <v>1000</v>
      </c>
    </row>
    <row r="12071" ht="22" customHeight="1" spans="1:10" x14ac:dyDescent="0.25">
      <c r="A12071" s="43">
        <v>3130</v>
      </c>
      <c r="B12071" s="43">
        <v>60</v>
      </c>
      <c r="C12071" s="43" t="s">
        <v>950</v>
      </c>
      <c r="D12071" s="43" t="s">
        <v>999</v>
      </c>
      <c r="E12071" s="43" t="s">
        <v>247</v>
      </c>
      <c r="F12071" s="43" t="s">
        <v>958</v>
      </c>
      <c r="G12071" s="43">
        <v>6000000</v>
      </c>
      <c r="H12071" s="43">
        <v>145000</v>
      </c>
      <c r="I12071" s="43" t="s">
        <v>949</v>
      </c>
      <c r="J12071" s="44" t="s">
        <v>1000</v>
      </c>
    </row>
    <row r="12072" ht="22" customHeight="1" spans="1:10" x14ac:dyDescent="0.25">
      <c r="A12072" s="43">
        <v>3130</v>
      </c>
      <c r="B12072" s="43">
        <v>60</v>
      </c>
      <c r="C12072" s="43" t="s">
        <v>950</v>
      </c>
      <c r="D12072" s="43" t="s">
        <v>999</v>
      </c>
      <c r="E12072" s="43" t="s">
        <v>247</v>
      </c>
      <c r="F12072" s="43" t="s">
        <v>959</v>
      </c>
      <c r="G12072" s="43">
        <v>6000000</v>
      </c>
      <c r="H12072" s="43">
        <v>145000</v>
      </c>
      <c r="I12072" s="43" t="s">
        <v>949</v>
      </c>
      <c r="J12072" s="44" t="s">
        <v>1000</v>
      </c>
    </row>
    <row r="12073" ht="22" customHeight="1" spans="1:10" x14ac:dyDescent="0.25">
      <c r="A12073" s="43">
        <v>3130</v>
      </c>
      <c r="B12073" s="43">
        <v>60</v>
      </c>
      <c r="C12073" s="43" t="s">
        <v>950</v>
      </c>
      <c r="D12073" s="43" t="s">
        <v>999</v>
      </c>
      <c r="E12073" s="43" t="s">
        <v>247</v>
      </c>
      <c r="F12073" s="43" t="s">
        <v>960</v>
      </c>
      <c r="G12073" s="43">
        <v>6000000</v>
      </c>
      <c r="H12073" s="43">
        <v>145000</v>
      </c>
      <c r="I12073" s="43" t="s">
        <v>949</v>
      </c>
      <c r="J12073" s="44" t="s">
        <v>1000</v>
      </c>
    </row>
    <row r="12074" ht="22" customHeight="1" spans="1:10" x14ac:dyDescent="0.25">
      <c r="A12074" s="43">
        <v>3130</v>
      </c>
      <c r="B12074" s="43">
        <v>60</v>
      </c>
      <c r="C12074" s="43" t="s">
        <v>950</v>
      </c>
      <c r="D12074" s="43" t="s">
        <v>999</v>
      </c>
      <c r="E12074" s="43" t="s">
        <v>247</v>
      </c>
      <c r="F12074" s="43" t="s">
        <v>961</v>
      </c>
      <c r="G12074" s="43">
        <v>6000000</v>
      </c>
      <c r="H12074" s="43">
        <v>145000</v>
      </c>
      <c r="I12074" s="43" t="s">
        <v>949</v>
      </c>
      <c r="J12074" s="44" t="s">
        <v>1000</v>
      </c>
    </row>
    <row r="12075" ht="22" customHeight="1" spans="1:10" x14ac:dyDescent="0.25">
      <c r="A12075" s="43">
        <v>3130</v>
      </c>
      <c r="B12075" s="43">
        <v>60</v>
      </c>
      <c r="C12075" s="43" t="s">
        <v>962</v>
      </c>
      <c r="D12075" s="43" t="s">
        <v>999</v>
      </c>
      <c r="E12075" s="43" t="s">
        <v>247</v>
      </c>
      <c r="F12075" s="43" t="s">
        <v>951</v>
      </c>
      <c r="G12075" s="43">
        <v>6000000</v>
      </c>
      <c r="H12075" s="43">
        <v>145000</v>
      </c>
      <c r="I12075" s="43" t="s">
        <v>949</v>
      </c>
      <c r="J12075" s="44" t="s">
        <v>1000</v>
      </c>
    </row>
    <row r="12076" ht="22" customHeight="1" spans="1:10" x14ac:dyDescent="0.25">
      <c r="A12076" s="43">
        <v>3130</v>
      </c>
      <c r="B12076" s="43">
        <v>60</v>
      </c>
      <c r="C12076" s="43" t="s">
        <v>962</v>
      </c>
      <c r="D12076" s="43" t="s">
        <v>999</v>
      </c>
      <c r="E12076" s="43" t="s">
        <v>247</v>
      </c>
      <c r="F12076" s="43" t="s">
        <v>952</v>
      </c>
      <c r="G12076" s="43">
        <v>6000000</v>
      </c>
      <c r="H12076" s="43">
        <v>145000</v>
      </c>
      <c r="I12076" s="43" t="s">
        <v>949</v>
      </c>
      <c r="J12076" s="44" t="s">
        <v>1000</v>
      </c>
    </row>
    <row r="12077" ht="22" customHeight="1" spans="1:10" x14ac:dyDescent="0.25">
      <c r="A12077" s="43">
        <v>3130</v>
      </c>
      <c r="B12077" s="43">
        <v>60</v>
      </c>
      <c r="C12077" s="43" t="s">
        <v>962</v>
      </c>
      <c r="D12077" s="43" t="s">
        <v>999</v>
      </c>
      <c r="E12077" s="43" t="s">
        <v>247</v>
      </c>
      <c r="F12077" s="43" t="s">
        <v>953</v>
      </c>
      <c r="G12077" s="43">
        <v>6000000</v>
      </c>
      <c r="H12077" s="43">
        <v>145000</v>
      </c>
      <c r="I12077" s="43" t="s">
        <v>949</v>
      </c>
      <c r="J12077" s="44" t="s">
        <v>1000</v>
      </c>
    </row>
    <row r="12078" ht="22" customHeight="1" spans="1:10" x14ac:dyDescent="0.25">
      <c r="A12078" s="43">
        <v>3130</v>
      </c>
      <c r="B12078" s="43">
        <v>60</v>
      </c>
      <c r="C12078" s="43" t="s">
        <v>962</v>
      </c>
      <c r="D12078" s="43" t="s">
        <v>999</v>
      </c>
      <c r="E12078" s="43" t="s">
        <v>247</v>
      </c>
      <c r="F12078" s="43" t="s">
        <v>954</v>
      </c>
      <c r="G12078" s="43">
        <v>6000000</v>
      </c>
      <c r="H12078" s="43">
        <v>145000</v>
      </c>
      <c r="I12078" s="43" t="s">
        <v>949</v>
      </c>
      <c r="J12078" s="44" t="s">
        <v>1000</v>
      </c>
    </row>
    <row r="12079" ht="22" customHeight="1" spans="1:10" x14ac:dyDescent="0.25">
      <c r="A12079" s="43">
        <v>3130</v>
      </c>
      <c r="B12079" s="43">
        <v>60</v>
      </c>
      <c r="C12079" s="43" t="s">
        <v>962</v>
      </c>
      <c r="D12079" s="43" t="s">
        <v>999</v>
      </c>
      <c r="E12079" s="43" t="s">
        <v>247</v>
      </c>
      <c r="F12079" s="43" t="s">
        <v>955</v>
      </c>
      <c r="G12079" s="43">
        <v>6000000</v>
      </c>
      <c r="H12079" s="43">
        <v>145000</v>
      </c>
      <c r="I12079" s="43" t="s">
        <v>949</v>
      </c>
      <c r="J12079" s="44" t="s">
        <v>1000</v>
      </c>
    </row>
    <row r="12080" ht="22" customHeight="1" spans="1:10" x14ac:dyDescent="0.25">
      <c r="A12080" s="43">
        <v>3130</v>
      </c>
      <c r="B12080" s="43">
        <v>60</v>
      </c>
      <c r="C12080" s="43" t="s">
        <v>962</v>
      </c>
      <c r="D12080" s="43" t="s">
        <v>999</v>
      </c>
      <c r="E12080" s="43" t="s">
        <v>247</v>
      </c>
      <c r="F12080" s="43" t="s">
        <v>956</v>
      </c>
      <c r="G12080" s="43">
        <v>6000000</v>
      </c>
      <c r="H12080" s="43">
        <v>145000</v>
      </c>
      <c r="I12080" s="43" t="s">
        <v>949</v>
      </c>
      <c r="J12080" s="44" t="s">
        <v>1000</v>
      </c>
    </row>
    <row r="12081" ht="22" customHeight="1" spans="1:10" x14ac:dyDescent="0.25">
      <c r="A12081" s="43">
        <v>3130</v>
      </c>
      <c r="B12081" s="43">
        <v>60</v>
      </c>
      <c r="C12081" s="43" t="s">
        <v>962</v>
      </c>
      <c r="D12081" s="43" t="s">
        <v>999</v>
      </c>
      <c r="E12081" s="43" t="s">
        <v>247</v>
      </c>
      <c r="F12081" s="43" t="s">
        <v>957</v>
      </c>
      <c r="G12081" s="43">
        <v>6000000</v>
      </c>
      <c r="H12081" s="43">
        <v>145000</v>
      </c>
      <c r="I12081" s="43" t="s">
        <v>949</v>
      </c>
      <c r="J12081" s="44" t="s">
        <v>1000</v>
      </c>
    </row>
    <row r="12082" ht="22" customHeight="1" spans="1:10" x14ac:dyDescent="0.25">
      <c r="A12082" s="43">
        <v>3130</v>
      </c>
      <c r="B12082" s="43">
        <v>60</v>
      </c>
      <c r="C12082" s="43" t="s">
        <v>962</v>
      </c>
      <c r="D12082" s="43" t="s">
        <v>999</v>
      </c>
      <c r="E12082" s="43" t="s">
        <v>247</v>
      </c>
      <c r="F12082" s="43" t="s">
        <v>958</v>
      </c>
      <c r="G12082" s="43">
        <v>6000000</v>
      </c>
      <c r="H12082" s="43">
        <v>145000</v>
      </c>
      <c r="I12082" s="43" t="s">
        <v>949</v>
      </c>
      <c r="J12082" s="44" t="s">
        <v>1000</v>
      </c>
    </row>
    <row r="12083" ht="22" customHeight="1" spans="1:10" x14ac:dyDescent="0.25">
      <c r="A12083" s="43">
        <v>3130</v>
      </c>
      <c r="B12083" s="43">
        <v>60</v>
      </c>
      <c r="C12083" s="43" t="s">
        <v>962</v>
      </c>
      <c r="D12083" s="43" t="s">
        <v>999</v>
      </c>
      <c r="E12083" s="43" t="s">
        <v>247</v>
      </c>
      <c r="F12083" s="43" t="s">
        <v>959</v>
      </c>
      <c r="G12083" s="43">
        <v>6000000</v>
      </c>
      <c r="H12083" s="43">
        <v>145000</v>
      </c>
      <c r="I12083" s="43" t="s">
        <v>949</v>
      </c>
      <c r="J12083" s="44" t="s">
        <v>1000</v>
      </c>
    </row>
    <row r="12084" ht="22" customHeight="1" spans="1:10" x14ac:dyDescent="0.25">
      <c r="A12084" s="43">
        <v>3130</v>
      </c>
      <c r="B12084" s="43">
        <v>60</v>
      </c>
      <c r="C12084" s="43" t="s">
        <v>962</v>
      </c>
      <c r="D12084" s="43" t="s">
        <v>999</v>
      </c>
      <c r="E12084" s="43" t="s">
        <v>247</v>
      </c>
      <c r="F12084" s="43" t="s">
        <v>960</v>
      </c>
      <c r="G12084" s="43">
        <v>6000000</v>
      </c>
      <c r="H12084" s="43">
        <v>145000</v>
      </c>
      <c r="I12084" s="43" t="s">
        <v>949</v>
      </c>
      <c r="J12084" s="44" t="s">
        <v>1000</v>
      </c>
    </row>
    <row r="12085" ht="22" customHeight="1" spans="1:10" x14ac:dyDescent="0.25">
      <c r="A12085" s="43">
        <v>3130</v>
      </c>
      <c r="B12085" s="43">
        <v>60</v>
      </c>
      <c r="C12085" s="43" t="s">
        <v>962</v>
      </c>
      <c r="D12085" s="43" t="s">
        <v>999</v>
      </c>
      <c r="E12085" s="43" t="s">
        <v>247</v>
      </c>
      <c r="F12085" s="43" t="s">
        <v>961</v>
      </c>
      <c r="G12085" s="43">
        <v>6000000</v>
      </c>
      <c r="H12085" s="43">
        <v>145000</v>
      </c>
      <c r="I12085" s="43" t="s">
        <v>949</v>
      </c>
      <c r="J12085" s="44" t="s">
        <v>1000</v>
      </c>
    </row>
    <row r="12086" ht="22" customHeight="1" spans="1:10" x14ac:dyDescent="0.25">
      <c r="A12086" s="43">
        <v>3130</v>
      </c>
      <c r="B12086" s="43">
        <v>60</v>
      </c>
      <c r="C12086" s="43" t="s">
        <v>963</v>
      </c>
      <c r="D12086" s="43" t="s">
        <v>999</v>
      </c>
      <c r="E12086" s="43" t="s">
        <v>247</v>
      </c>
      <c r="F12086" s="43" t="s">
        <v>951</v>
      </c>
      <c r="G12086" s="43">
        <v>6000000</v>
      </c>
      <c r="H12086" s="43">
        <v>145000</v>
      </c>
      <c r="I12086" s="43" t="s">
        <v>949</v>
      </c>
      <c r="J12086" s="44" t="s">
        <v>1000</v>
      </c>
    </row>
    <row r="12087" ht="22" customHeight="1" spans="1:10" x14ac:dyDescent="0.25">
      <c r="A12087" s="43">
        <v>3130</v>
      </c>
      <c r="B12087" s="43">
        <v>60</v>
      </c>
      <c r="C12087" s="43" t="s">
        <v>963</v>
      </c>
      <c r="D12087" s="43" t="s">
        <v>999</v>
      </c>
      <c r="E12087" s="43" t="s">
        <v>247</v>
      </c>
      <c r="F12087" s="43" t="s">
        <v>952</v>
      </c>
      <c r="G12087" s="43">
        <v>6000000</v>
      </c>
      <c r="H12087" s="43">
        <v>145000</v>
      </c>
      <c r="I12087" s="43" t="s">
        <v>949</v>
      </c>
      <c r="J12087" s="44" t="s">
        <v>1000</v>
      </c>
    </row>
    <row r="12088" ht="22" customHeight="1" spans="1:10" x14ac:dyDescent="0.25">
      <c r="A12088" s="43">
        <v>3130</v>
      </c>
      <c r="B12088" s="43">
        <v>60</v>
      </c>
      <c r="C12088" s="43" t="s">
        <v>963</v>
      </c>
      <c r="D12088" s="43" t="s">
        <v>999</v>
      </c>
      <c r="E12088" s="43" t="s">
        <v>247</v>
      </c>
      <c r="F12088" s="43" t="s">
        <v>953</v>
      </c>
      <c r="G12088" s="43">
        <v>6000000</v>
      </c>
      <c r="H12088" s="43">
        <v>145000</v>
      </c>
      <c r="I12088" s="43" t="s">
        <v>949</v>
      </c>
      <c r="J12088" s="44" t="s">
        <v>1000</v>
      </c>
    </row>
    <row r="12089" ht="22" customHeight="1" spans="1:10" x14ac:dyDescent="0.25">
      <c r="A12089" s="43">
        <v>3130</v>
      </c>
      <c r="B12089" s="43">
        <v>60</v>
      </c>
      <c r="C12089" s="43" t="s">
        <v>963</v>
      </c>
      <c r="D12089" s="43" t="s">
        <v>999</v>
      </c>
      <c r="E12089" s="43" t="s">
        <v>247</v>
      </c>
      <c r="F12089" s="43" t="s">
        <v>954</v>
      </c>
      <c r="G12089" s="43">
        <v>6000000</v>
      </c>
      <c r="H12089" s="43">
        <v>145000</v>
      </c>
      <c r="I12089" s="43" t="s">
        <v>949</v>
      </c>
      <c r="J12089" s="44" t="s">
        <v>1000</v>
      </c>
    </row>
    <row r="12090" ht="22" customHeight="1" spans="1:10" x14ac:dyDescent="0.25">
      <c r="A12090" s="43">
        <v>3130</v>
      </c>
      <c r="B12090" s="43">
        <v>60</v>
      </c>
      <c r="C12090" s="43" t="s">
        <v>963</v>
      </c>
      <c r="D12090" s="43" t="s">
        <v>999</v>
      </c>
      <c r="E12090" s="43" t="s">
        <v>247</v>
      </c>
      <c r="F12090" s="43" t="s">
        <v>955</v>
      </c>
      <c r="G12090" s="43">
        <v>6000000</v>
      </c>
      <c r="H12090" s="43">
        <v>145000</v>
      </c>
      <c r="I12090" s="43" t="s">
        <v>949</v>
      </c>
      <c r="J12090" s="44" t="s">
        <v>1000</v>
      </c>
    </row>
    <row r="12091" ht="22" customHeight="1" spans="1:10" x14ac:dyDescent="0.25">
      <c r="A12091" s="43">
        <v>3130</v>
      </c>
      <c r="B12091" s="43">
        <v>60</v>
      </c>
      <c r="C12091" s="43" t="s">
        <v>963</v>
      </c>
      <c r="D12091" s="43" t="s">
        <v>999</v>
      </c>
      <c r="E12091" s="43" t="s">
        <v>247</v>
      </c>
      <c r="F12091" s="43" t="s">
        <v>956</v>
      </c>
      <c r="G12091" s="43">
        <v>6000000</v>
      </c>
      <c r="H12091" s="43">
        <v>145000</v>
      </c>
      <c r="I12091" s="43" t="s">
        <v>949</v>
      </c>
      <c r="J12091" s="44" t="s">
        <v>1000</v>
      </c>
    </row>
    <row r="12092" ht="22" customHeight="1" spans="1:10" x14ac:dyDescent="0.25">
      <c r="A12092" s="43">
        <v>3130</v>
      </c>
      <c r="B12092" s="43">
        <v>60</v>
      </c>
      <c r="C12092" s="43" t="s">
        <v>963</v>
      </c>
      <c r="D12092" s="43" t="s">
        <v>999</v>
      </c>
      <c r="E12092" s="43" t="s">
        <v>247</v>
      </c>
      <c r="F12092" s="43" t="s">
        <v>957</v>
      </c>
      <c r="G12092" s="43">
        <v>6000000</v>
      </c>
      <c r="H12092" s="43">
        <v>145000</v>
      </c>
      <c r="I12092" s="43" t="s">
        <v>949</v>
      </c>
      <c r="J12092" s="44" t="s">
        <v>1000</v>
      </c>
    </row>
    <row r="12093" ht="22" customHeight="1" spans="1:10" x14ac:dyDescent="0.25">
      <c r="A12093" s="43">
        <v>3130</v>
      </c>
      <c r="B12093" s="43">
        <v>60</v>
      </c>
      <c r="C12093" s="43" t="s">
        <v>963</v>
      </c>
      <c r="D12093" s="43" t="s">
        <v>999</v>
      </c>
      <c r="E12093" s="43" t="s">
        <v>247</v>
      </c>
      <c r="F12093" s="43" t="s">
        <v>958</v>
      </c>
      <c r="G12093" s="43">
        <v>6000000</v>
      </c>
      <c r="H12093" s="43">
        <v>145000</v>
      </c>
      <c r="I12093" s="43" t="s">
        <v>949</v>
      </c>
      <c r="J12093" s="44" t="s">
        <v>1000</v>
      </c>
    </row>
    <row r="12094" ht="22" customHeight="1" spans="1:10" x14ac:dyDescent="0.25">
      <c r="A12094" s="43">
        <v>3130</v>
      </c>
      <c r="B12094" s="43">
        <v>60</v>
      </c>
      <c r="C12094" s="43" t="s">
        <v>963</v>
      </c>
      <c r="D12094" s="43" t="s">
        <v>999</v>
      </c>
      <c r="E12094" s="43" t="s">
        <v>247</v>
      </c>
      <c r="F12094" s="43" t="s">
        <v>959</v>
      </c>
      <c r="G12094" s="43">
        <v>6000000</v>
      </c>
      <c r="H12094" s="43">
        <v>145000</v>
      </c>
      <c r="I12094" s="43" t="s">
        <v>949</v>
      </c>
      <c r="J12094" s="44" t="s">
        <v>1000</v>
      </c>
    </row>
    <row r="12095" ht="22" customHeight="1" spans="1:10" x14ac:dyDescent="0.25">
      <c r="A12095" s="43">
        <v>3130</v>
      </c>
      <c r="B12095" s="43">
        <v>60</v>
      </c>
      <c r="C12095" s="43" t="s">
        <v>963</v>
      </c>
      <c r="D12095" s="43" t="s">
        <v>999</v>
      </c>
      <c r="E12095" s="43" t="s">
        <v>247</v>
      </c>
      <c r="F12095" s="43" t="s">
        <v>960</v>
      </c>
      <c r="G12095" s="43">
        <v>6000000</v>
      </c>
      <c r="H12095" s="43">
        <v>145000</v>
      </c>
      <c r="I12095" s="43" t="s">
        <v>949</v>
      </c>
      <c r="J12095" s="44" t="s">
        <v>1000</v>
      </c>
    </row>
    <row r="12096" ht="22" customHeight="1" spans="1:10" x14ac:dyDescent="0.25">
      <c r="A12096" s="43">
        <v>3130</v>
      </c>
      <c r="B12096" s="43">
        <v>60</v>
      </c>
      <c r="C12096" s="43" t="s">
        <v>963</v>
      </c>
      <c r="D12096" s="43" t="s">
        <v>999</v>
      </c>
      <c r="E12096" s="43" t="s">
        <v>247</v>
      </c>
      <c r="F12096" s="43" t="s">
        <v>961</v>
      </c>
      <c r="G12096" s="43">
        <v>6000000</v>
      </c>
      <c r="H12096" s="43">
        <v>145000</v>
      </c>
      <c r="I12096" s="43" t="s">
        <v>949</v>
      </c>
      <c r="J12096" s="44" t="s">
        <v>1000</v>
      </c>
    </row>
    <row r="12097" spans="1:9" x14ac:dyDescent="0.25">
      <c r="A12097">
        <v>3130</v>
      </c>
      <c r="B12097">
        <v>60</v>
      </c>
      <c r="C12097" t="s">
        <v>950</v>
      </c>
      <c r="D12097" t="s">
        <v>999</v>
      </c>
      <c r="E12097" t="s">
        <v>251</v>
      </c>
      <c r="F12097" t="s">
        <v>951</v>
      </c>
      <c r="G12097">
        <v>6000000</v>
      </c>
      <c r="H12097">
        <v>142000</v>
      </c>
      <c r="I12097" t="s">
        <v>949</v>
      </c>
    </row>
    <row r="12098" spans="1:9" x14ac:dyDescent="0.25">
      <c r="A12098">
        <v>3130</v>
      </c>
      <c r="B12098">
        <v>60</v>
      </c>
      <c r="C12098" t="s">
        <v>950</v>
      </c>
      <c r="D12098" t="s">
        <v>999</v>
      </c>
      <c r="E12098" t="s">
        <v>251</v>
      </c>
      <c r="F12098" t="s">
        <v>952</v>
      </c>
      <c r="G12098">
        <v>6000000</v>
      </c>
      <c r="H12098">
        <v>142000</v>
      </c>
      <c r="I12098" t="s">
        <v>949</v>
      </c>
    </row>
    <row r="12099" spans="1:9" x14ac:dyDescent="0.25">
      <c r="A12099">
        <v>3130</v>
      </c>
      <c r="B12099">
        <v>60</v>
      </c>
      <c r="C12099" t="s">
        <v>950</v>
      </c>
      <c r="D12099" t="s">
        <v>999</v>
      </c>
      <c r="E12099" t="s">
        <v>251</v>
      </c>
      <c r="F12099" t="s">
        <v>953</v>
      </c>
      <c r="G12099">
        <v>6000000</v>
      </c>
      <c r="H12099">
        <v>142000</v>
      </c>
      <c r="I12099" t="s">
        <v>949</v>
      </c>
    </row>
    <row r="12100" spans="1:9" x14ac:dyDescent="0.25">
      <c r="A12100">
        <v>3130</v>
      </c>
      <c r="B12100">
        <v>60</v>
      </c>
      <c r="C12100" t="s">
        <v>950</v>
      </c>
      <c r="D12100" t="s">
        <v>999</v>
      </c>
      <c r="E12100" t="s">
        <v>251</v>
      </c>
      <c r="F12100" t="s">
        <v>954</v>
      </c>
      <c r="G12100">
        <v>6000000</v>
      </c>
      <c r="H12100">
        <v>142000</v>
      </c>
      <c r="I12100" t="s">
        <v>949</v>
      </c>
    </row>
    <row r="12101" spans="1:9" x14ac:dyDescent="0.25">
      <c r="A12101">
        <v>3130</v>
      </c>
      <c r="B12101">
        <v>60</v>
      </c>
      <c r="C12101" t="s">
        <v>950</v>
      </c>
      <c r="D12101" t="s">
        <v>999</v>
      </c>
      <c r="E12101" t="s">
        <v>251</v>
      </c>
      <c r="F12101" t="s">
        <v>955</v>
      </c>
      <c r="G12101">
        <v>6000000</v>
      </c>
      <c r="H12101">
        <v>142000</v>
      </c>
      <c r="I12101" t="s">
        <v>949</v>
      </c>
    </row>
    <row r="12102" spans="1:9" x14ac:dyDescent="0.25">
      <c r="A12102">
        <v>3130</v>
      </c>
      <c r="B12102">
        <v>60</v>
      </c>
      <c r="C12102" t="s">
        <v>950</v>
      </c>
      <c r="D12102" t="s">
        <v>999</v>
      </c>
      <c r="E12102" t="s">
        <v>251</v>
      </c>
      <c r="F12102" t="s">
        <v>956</v>
      </c>
      <c r="G12102">
        <v>6000000</v>
      </c>
      <c r="H12102">
        <v>142000</v>
      </c>
      <c r="I12102" t="s">
        <v>949</v>
      </c>
    </row>
    <row r="12103" spans="1:9" x14ac:dyDescent="0.25">
      <c r="A12103">
        <v>3130</v>
      </c>
      <c r="B12103">
        <v>60</v>
      </c>
      <c r="C12103" t="s">
        <v>950</v>
      </c>
      <c r="D12103" t="s">
        <v>999</v>
      </c>
      <c r="E12103" t="s">
        <v>251</v>
      </c>
      <c r="F12103" t="s">
        <v>957</v>
      </c>
      <c r="G12103">
        <v>6000000</v>
      </c>
      <c r="H12103">
        <v>142000</v>
      </c>
      <c r="I12103" t="s">
        <v>949</v>
      </c>
    </row>
    <row r="12104" spans="1:9" x14ac:dyDescent="0.25">
      <c r="A12104">
        <v>3130</v>
      </c>
      <c r="B12104">
        <v>60</v>
      </c>
      <c r="C12104" t="s">
        <v>950</v>
      </c>
      <c r="D12104" t="s">
        <v>999</v>
      </c>
      <c r="E12104" t="s">
        <v>251</v>
      </c>
      <c r="F12104" t="s">
        <v>958</v>
      </c>
      <c r="G12104">
        <v>6000000</v>
      </c>
      <c r="H12104">
        <v>142000</v>
      </c>
      <c r="I12104" t="s">
        <v>949</v>
      </c>
    </row>
    <row r="12105" spans="1:9" x14ac:dyDescent="0.25">
      <c r="A12105">
        <v>3130</v>
      </c>
      <c r="B12105">
        <v>60</v>
      </c>
      <c r="C12105" t="s">
        <v>950</v>
      </c>
      <c r="D12105" t="s">
        <v>999</v>
      </c>
      <c r="E12105" t="s">
        <v>251</v>
      </c>
      <c r="F12105" t="s">
        <v>959</v>
      </c>
      <c r="G12105">
        <v>6000000</v>
      </c>
      <c r="H12105">
        <v>142000</v>
      </c>
      <c r="I12105" t="s">
        <v>949</v>
      </c>
    </row>
    <row r="12106" spans="1:9" x14ac:dyDescent="0.25">
      <c r="A12106">
        <v>3130</v>
      </c>
      <c r="B12106">
        <v>60</v>
      </c>
      <c r="C12106" t="s">
        <v>950</v>
      </c>
      <c r="D12106" t="s">
        <v>999</v>
      </c>
      <c r="E12106" t="s">
        <v>251</v>
      </c>
      <c r="F12106" t="s">
        <v>960</v>
      </c>
      <c r="G12106">
        <v>6000000</v>
      </c>
      <c r="H12106">
        <v>142000</v>
      </c>
      <c r="I12106" t="s">
        <v>949</v>
      </c>
    </row>
    <row r="12107" spans="1:9" x14ac:dyDescent="0.25">
      <c r="A12107">
        <v>3130</v>
      </c>
      <c r="B12107">
        <v>60</v>
      </c>
      <c r="C12107" t="s">
        <v>950</v>
      </c>
      <c r="D12107" t="s">
        <v>999</v>
      </c>
      <c r="E12107" t="s">
        <v>251</v>
      </c>
      <c r="F12107" t="s">
        <v>961</v>
      </c>
      <c r="G12107">
        <v>6000000</v>
      </c>
      <c r="H12107">
        <v>142000</v>
      </c>
      <c r="I12107" t="s">
        <v>949</v>
      </c>
    </row>
    <row r="12108" spans="1:9" x14ac:dyDescent="0.25">
      <c r="A12108">
        <v>3130</v>
      </c>
      <c r="B12108">
        <v>60</v>
      </c>
      <c r="C12108" t="s">
        <v>962</v>
      </c>
      <c r="D12108" t="s">
        <v>999</v>
      </c>
      <c r="E12108" t="s">
        <v>251</v>
      </c>
      <c r="F12108" t="s">
        <v>951</v>
      </c>
      <c r="G12108">
        <v>6000000</v>
      </c>
      <c r="H12108">
        <v>142000</v>
      </c>
      <c r="I12108" t="s">
        <v>949</v>
      </c>
    </row>
    <row r="12109" spans="1:9" x14ac:dyDescent="0.25">
      <c r="A12109">
        <v>3130</v>
      </c>
      <c r="B12109">
        <v>60</v>
      </c>
      <c r="C12109" t="s">
        <v>962</v>
      </c>
      <c r="D12109" t="s">
        <v>999</v>
      </c>
      <c r="E12109" t="s">
        <v>251</v>
      </c>
      <c r="F12109" t="s">
        <v>952</v>
      </c>
      <c r="G12109">
        <v>6000000</v>
      </c>
      <c r="H12109">
        <v>142000</v>
      </c>
      <c r="I12109" t="s">
        <v>949</v>
      </c>
    </row>
    <row r="12110" spans="1:9" x14ac:dyDescent="0.25">
      <c r="A12110">
        <v>3130</v>
      </c>
      <c r="B12110">
        <v>60</v>
      </c>
      <c r="C12110" t="s">
        <v>962</v>
      </c>
      <c r="D12110" t="s">
        <v>999</v>
      </c>
      <c r="E12110" t="s">
        <v>251</v>
      </c>
      <c r="F12110" t="s">
        <v>953</v>
      </c>
      <c r="G12110">
        <v>6000000</v>
      </c>
      <c r="H12110">
        <v>142000</v>
      </c>
      <c r="I12110" t="s">
        <v>949</v>
      </c>
    </row>
    <row r="12111" spans="1:9" x14ac:dyDescent="0.25">
      <c r="A12111">
        <v>3130</v>
      </c>
      <c r="B12111">
        <v>60</v>
      </c>
      <c r="C12111" t="s">
        <v>962</v>
      </c>
      <c r="D12111" t="s">
        <v>999</v>
      </c>
      <c r="E12111" t="s">
        <v>251</v>
      </c>
      <c r="F12111" t="s">
        <v>954</v>
      </c>
      <c r="G12111">
        <v>6000000</v>
      </c>
      <c r="H12111">
        <v>142000</v>
      </c>
      <c r="I12111" t="s">
        <v>949</v>
      </c>
    </row>
    <row r="12112" spans="1:9" x14ac:dyDescent="0.25">
      <c r="A12112">
        <v>3130</v>
      </c>
      <c r="B12112">
        <v>60</v>
      </c>
      <c r="C12112" t="s">
        <v>962</v>
      </c>
      <c r="D12112" t="s">
        <v>999</v>
      </c>
      <c r="E12112" t="s">
        <v>251</v>
      </c>
      <c r="F12112" t="s">
        <v>955</v>
      </c>
      <c r="G12112">
        <v>6000000</v>
      </c>
      <c r="H12112">
        <v>142000</v>
      </c>
      <c r="I12112" t="s">
        <v>949</v>
      </c>
    </row>
    <row r="12113" spans="1:9" x14ac:dyDescent="0.25">
      <c r="A12113">
        <v>3130</v>
      </c>
      <c r="B12113">
        <v>60</v>
      </c>
      <c r="C12113" t="s">
        <v>962</v>
      </c>
      <c r="D12113" t="s">
        <v>999</v>
      </c>
      <c r="E12113" t="s">
        <v>251</v>
      </c>
      <c r="F12113" t="s">
        <v>956</v>
      </c>
      <c r="G12113">
        <v>6000000</v>
      </c>
      <c r="H12113">
        <v>142000</v>
      </c>
      <c r="I12113" t="s">
        <v>949</v>
      </c>
    </row>
    <row r="12114" spans="1:9" x14ac:dyDescent="0.25">
      <c r="A12114">
        <v>3130</v>
      </c>
      <c r="B12114">
        <v>60</v>
      </c>
      <c r="C12114" t="s">
        <v>962</v>
      </c>
      <c r="D12114" t="s">
        <v>999</v>
      </c>
      <c r="E12114" t="s">
        <v>251</v>
      </c>
      <c r="F12114" t="s">
        <v>957</v>
      </c>
      <c r="G12114">
        <v>6000000</v>
      </c>
      <c r="H12114">
        <v>142000</v>
      </c>
      <c r="I12114" t="s">
        <v>949</v>
      </c>
    </row>
    <row r="12115" spans="1:9" x14ac:dyDescent="0.25">
      <c r="A12115">
        <v>3130</v>
      </c>
      <c r="B12115">
        <v>60</v>
      </c>
      <c r="C12115" t="s">
        <v>962</v>
      </c>
      <c r="D12115" t="s">
        <v>999</v>
      </c>
      <c r="E12115" t="s">
        <v>251</v>
      </c>
      <c r="F12115" t="s">
        <v>958</v>
      </c>
      <c r="G12115">
        <v>6000000</v>
      </c>
      <c r="H12115">
        <v>142000</v>
      </c>
      <c r="I12115" t="s">
        <v>949</v>
      </c>
    </row>
    <row r="12116" spans="1:9" x14ac:dyDescent="0.25">
      <c r="A12116">
        <v>3130</v>
      </c>
      <c r="B12116">
        <v>60</v>
      </c>
      <c r="C12116" t="s">
        <v>962</v>
      </c>
      <c r="D12116" t="s">
        <v>999</v>
      </c>
      <c r="E12116" t="s">
        <v>251</v>
      </c>
      <c r="F12116" t="s">
        <v>959</v>
      </c>
      <c r="G12116">
        <v>6000000</v>
      </c>
      <c r="H12116">
        <v>142000</v>
      </c>
      <c r="I12116" t="s">
        <v>949</v>
      </c>
    </row>
    <row r="12117" spans="1:9" x14ac:dyDescent="0.25">
      <c r="A12117">
        <v>3130</v>
      </c>
      <c r="B12117">
        <v>60</v>
      </c>
      <c r="C12117" t="s">
        <v>962</v>
      </c>
      <c r="D12117" t="s">
        <v>999</v>
      </c>
      <c r="E12117" t="s">
        <v>251</v>
      </c>
      <c r="F12117" t="s">
        <v>960</v>
      </c>
      <c r="G12117">
        <v>6000000</v>
      </c>
      <c r="H12117">
        <v>142000</v>
      </c>
      <c r="I12117" t="s">
        <v>949</v>
      </c>
    </row>
    <row r="12118" spans="1:9" x14ac:dyDescent="0.25">
      <c r="A12118">
        <v>3130</v>
      </c>
      <c r="B12118">
        <v>60</v>
      </c>
      <c r="C12118" t="s">
        <v>962</v>
      </c>
      <c r="D12118" t="s">
        <v>999</v>
      </c>
      <c r="E12118" t="s">
        <v>251</v>
      </c>
      <c r="F12118" t="s">
        <v>961</v>
      </c>
      <c r="G12118">
        <v>6000000</v>
      </c>
      <c r="H12118">
        <v>142000</v>
      </c>
      <c r="I12118" t="s">
        <v>949</v>
      </c>
    </row>
    <row r="12119" spans="1:9" x14ac:dyDescent="0.25">
      <c r="A12119">
        <v>3130</v>
      </c>
      <c r="B12119">
        <v>60</v>
      </c>
      <c r="C12119" t="s">
        <v>963</v>
      </c>
      <c r="D12119" t="s">
        <v>999</v>
      </c>
      <c r="E12119" t="s">
        <v>251</v>
      </c>
      <c r="F12119" t="s">
        <v>951</v>
      </c>
      <c r="G12119">
        <v>6000000</v>
      </c>
      <c r="H12119">
        <v>142000</v>
      </c>
      <c r="I12119" t="s">
        <v>949</v>
      </c>
    </row>
    <row r="12120" spans="1:9" x14ac:dyDescent="0.25">
      <c r="A12120">
        <v>3130</v>
      </c>
      <c r="B12120">
        <v>60</v>
      </c>
      <c r="C12120" t="s">
        <v>963</v>
      </c>
      <c r="D12120" t="s">
        <v>999</v>
      </c>
      <c r="E12120" t="s">
        <v>251</v>
      </c>
      <c r="F12120" t="s">
        <v>952</v>
      </c>
      <c r="G12120">
        <v>6000000</v>
      </c>
      <c r="H12120">
        <v>142000</v>
      </c>
      <c r="I12120" t="s">
        <v>949</v>
      </c>
    </row>
    <row r="12121" spans="1:9" x14ac:dyDescent="0.25">
      <c r="A12121">
        <v>3130</v>
      </c>
      <c r="B12121">
        <v>60</v>
      </c>
      <c r="C12121" t="s">
        <v>963</v>
      </c>
      <c r="D12121" t="s">
        <v>999</v>
      </c>
      <c r="E12121" t="s">
        <v>251</v>
      </c>
      <c r="F12121" t="s">
        <v>953</v>
      </c>
      <c r="G12121">
        <v>6000000</v>
      </c>
      <c r="H12121">
        <v>142000</v>
      </c>
      <c r="I12121" t="s">
        <v>949</v>
      </c>
    </row>
    <row r="12122" spans="1:9" x14ac:dyDescent="0.25">
      <c r="A12122">
        <v>3130</v>
      </c>
      <c r="B12122">
        <v>60</v>
      </c>
      <c r="C12122" t="s">
        <v>963</v>
      </c>
      <c r="D12122" t="s">
        <v>999</v>
      </c>
      <c r="E12122" t="s">
        <v>251</v>
      </c>
      <c r="F12122" t="s">
        <v>954</v>
      </c>
      <c r="G12122">
        <v>6000000</v>
      </c>
      <c r="H12122">
        <v>142000</v>
      </c>
      <c r="I12122" t="s">
        <v>949</v>
      </c>
    </row>
    <row r="12123" spans="1:9" x14ac:dyDescent="0.25">
      <c r="A12123">
        <v>3130</v>
      </c>
      <c r="B12123">
        <v>60</v>
      </c>
      <c r="C12123" t="s">
        <v>963</v>
      </c>
      <c r="D12123" t="s">
        <v>999</v>
      </c>
      <c r="E12123" t="s">
        <v>251</v>
      </c>
      <c r="F12123" t="s">
        <v>955</v>
      </c>
      <c r="G12123">
        <v>6000000</v>
      </c>
      <c r="H12123">
        <v>142000</v>
      </c>
      <c r="I12123" t="s">
        <v>949</v>
      </c>
    </row>
    <row r="12124" spans="1:9" x14ac:dyDescent="0.25">
      <c r="A12124">
        <v>3130</v>
      </c>
      <c r="B12124">
        <v>60</v>
      </c>
      <c r="C12124" t="s">
        <v>963</v>
      </c>
      <c r="D12124" t="s">
        <v>999</v>
      </c>
      <c r="E12124" t="s">
        <v>251</v>
      </c>
      <c r="F12124" t="s">
        <v>956</v>
      </c>
      <c r="G12124">
        <v>6000000</v>
      </c>
      <c r="H12124">
        <v>142000</v>
      </c>
      <c r="I12124" t="s">
        <v>949</v>
      </c>
    </row>
    <row r="12125" spans="1:9" x14ac:dyDescent="0.25">
      <c r="A12125">
        <v>3130</v>
      </c>
      <c r="B12125">
        <v>60</v>
      </c>
      <c r="C12125" t="s">
        <v>963</v>
      </c>
      <c r="D12125" t="s">
        <v>999</v>
      </c>
      <c r="E12125" t="s">
        <v>251</v>
      </c>
      <c r="F12125" t="s">
        <v>957</v>
      </c>
      <c r="G12125">
        <v>6000000</v>
      </c>
      <c r="H12125">
        <v>142000</v>
      </c>
      <c r="I12125" t="s">
        <v>949</v>
      </c>
    </row>
    <row r="12126" spans="1:9" x14ac:dyDescent="0.25">
      <c r="A12126">
        <v>3130</v>
      </c>
      <c r="B12126">
        <v>60</v>
      </c>
      <c r="C12126" t="s">
        <v>963</v>
      </c>
      <c r="D12126" t="s">
        <v>999</v>
      </c>
      <c r="E12126" t="s">
        <v>251</v>
      </c>
      <c r="F12126" t="s">
        <v>958</v>
      </c>
      <c r="G12126">
        <v>6000000</v>
      </c>
      <c r="H12126">
        <v>142000</v>
      </c>
      <c r="I12126" t="s">
        <v>949</v>
      </c>
    </row>
    <row r="12127" spans="1:9" x14ac:dyDescent="0.25">
      <c r="A12127">
        <v>3130</v>
      </c>
      <c r="B12127">
        <v>60</v>
      </c>
      <c r="C12127" t="s">
        <v>963</v>
      </c>
      <c r="D12127" t="s">
        <v>999</v>
      </c>
      <c r="E12127" t="s">
        <v>251</v>
      </c>
      <c r="F12127" t="s">
        <v>959</v>
      </c>
      <c r="G12127">
        <v>6000000</v>
      </c>
      <c r="H12127">
        <v>142000</v>
      </c>
      <c r="I12127" t="s">
        <v>949</v>
      </c>
    </row>
    <row r="12128" spans="1:9" x14ac:dyDescent="0.25">
      <c r="A12128">
        <v>3130</v>
      </c>
      <c r="B12128">
        <v>60</v>
      </c>
      <c r="C12128" t="s">
        <v>963</v>
      </c>
      <c r="D12128" t="s">
        <v>999</v>
      </c>
      <c r="E12128" t="s">
        <v>251</v>
      </c>
      <c r="F12128" t="s">
        <v>960</v>
      </c>
      <c r="G12128">
        <v>6000000</v>
      </c>
      <c r="H12128">
        <v>142000</v>
      </c>
      <c r="I12128" t="s">
        <v>949</v>
      </c>
    </row>
    <row r="12129" spans="1:9" x14ac:dyDescent="0.25">
      <c r="A12129">
        <v>3130</v>
      </c>
      <c r="B12129">
        <v>60</v>
      </c>
      <c r="C12129" t="s">
        <v>963</v>
      </c>
      <c r="D12129" t="s">
        <v>999</v>
      </c>
      <c r="E12129" t="s">
        <v>251</v>
      </c>
      <c r="F12129" t="s">
        <v>961</v>
      </c>
      <c r="G12129">
        <v>6000000</v>
      </c>
      <c r="H12129">
        <v>142000</v>
      </c>
      <c r="I12129" t="s">
        <v>949</v>
      </c>
    </row>
    <row r="12130" spans="1:9" x14ac:dyDescent="0.25">
      <c r="A12130">
        <v>3130</v>
      </c>
      <c r="B12130">
        <v>60</v>
      </c>
      <c r="C12130" t="s">
        <v>950</v>
      </c>
      <c r="D12130" t="s">
        <v>999</v>
      </c>
      <c r="E12130" t="s">
        <v>969</v>
      </c>
      <c r="F12130" t="s">
        <v>951</v>
      </c>
      <c r="G12130">
        <v>6000000</v>
      </c>
      <c r="H12130">
        <v>141000</v>
      </c>
      <c r="I12130" t="s">
        <v>970</v>
      </c>
    </row>
    <row r="12131" spans="1:9" x14ac:dyDescent="0.25">
      <c r="A12131">
        <v>3130</v>
      </c>
      <c r="B12131">
        <v>60</v>
      </c>
      <c r="C12131" t="s">
        <v>950</v>
      </c>
      <c r="D12131" t="s">
        <v>999</v>
      </c>
      <c r="E12131" t="s">
        <v>969</v>
      </c>
      <c r="F12131" t="s">
        <v>952</v>
      </c>
      <c r="G12131">
        <v>6000000</v>
      </c>
      <c r="H12131">
        <v>141000</v>
      </c>
      <c r="I12131" t="s">
        <v>970</v>
      </c>
    </row>
    <row r="12132" spans="1:9" x14ac:dyDescent="0.25">
      <c r="A12132">
        <v>3130</v>
      </c>
      <c r="B12132">
        <v>60</v>
      </c>
      <c r="C12132" t="s">
        <v>950</v>
      </c>
      <c r="D12132" t="s">
        <v>999</v>
      </c>
      <c r="E12132" t="s">
        <v>969</v>
      </c>
      <c r="F12132" t="s">
        <v>953</v>
      </c>
      <c r="G12132">
        <v>6000000</v>
      </c>
      <c r="H12132">
        <v>141000</v>
      </c>
      <c r="I12132" t="s">
        <v>970</v>
      </c>
    </row>
    <row r="12133" spans="1:9" x14ac:dyDescent="0.25">
      <c r="A12133">
        <v>3130</v>
      </c>
      <c r="B12133">
        <v>60</v>
      </c>
      <c r="C12133" t="s">
        <v>950</v>
      </c>
      <c r="D12133" t="s">
        <v>999</v>
      </c>
      <c r="E12133" t="s">
        <v>969</v>
      </c>
      <c r="F12133" t="s">
        <v>954</v>
      </c>
      <c r="G12133">
        <v>6000000</v>
      </c>
      <c r="H12133">
        <v>141000</v>
      </c>
      <c r="I12133" t="s">
        <v>970</v>
      </c>
    </row>
    <row r="12134" spans="1:9" x14ac:dyDescent="0.25">
      <c r="A12134">
        <v>3130</v>
      </c>
      <c r="B12134">
        <v>60</v>
      </c>
      <c r="C12134" t="s">
        <v>950</v>
      </c>
      <c r="D12134" t="s">
        <v>999</v>
      </c>
      <c r="E12134" t="s">
        <v>969</v>
      </c>
      <c r="F12134" t="s">
        <v>955</v>
      </c>
      <c r="G12134">
        <v>6000000</v>
      </c>
      <c r="H12134">
        <v>141000</v>
      </c>
      <c r="I12134" t="s">
        <v>970</v>
      </c>
    </row>
    <row r="12135" spans="1:9" x14ac:dyDescent="0.25">
      <c r="A12135">
        <v>3130</v>
      </c>
      <c r="B12135">
        <v>60</v>
      </c>
      <c r="C12135" t="s">
        <v>950</v>
      </c>
      <c r="D12135" t="s">
        <v>999</v>
      </c>
      <c r="E12135" t="s">
        <v>969</v>
      </c>
      <c r="F12135" t="s">
        <v>956</v>
      </c>
      <c r="G12135">
        <v>6000000</v>
      </c>
      <c r="H12135">
        <v>141000</v>
      </c>
      <c r="I12135" t="s">
        <v>970</v>
      </c>
    </row>
    <row r="12136" spans="1:9" x14ac:dyDescent="0.25">
      <c r="A12136">
        <v>3130</v>
      </c>
      <c r="B12136">
        <v>60</v>
      </c>
      <c r="C12136" t="s">
        <v>950</v>
      </c>
      <c r="D12136" t="s">
        <v>999</v>
      </c>
      <c r="E12136" t="s">
        <v>969</v>
      </c>
      <c r="F12136" t="s">
        <v>957</v>
      </c>
      <c r="G12136">
        <v>6000000</v>
      </c>
      <c r="H12136">
        <v>141000</v>
      </c>
      <c r="I12136" t="s">
        <v>970</v>
      </c>
    </row>
    <row r="12137" spans="1:9" x14ac:dyDescent="0.25">
      <c r="A12137">
        <v>3130</v>
      </c>
      <c r="B12137">
        <v>60</v>
      </c>
      <c r="C12137" t="s">
        <v>950</v>
      </c>
      <c r="D12137" t="s">
        <v>999</v>
      </c>
      <c r="E12137" t="s">
        <v>969</v>
      </c>
      <c r="F12137" t="s">
        <v>958</v>
      </c>
      <c r="G12137">
        <v>6000000</v>
      </c>
      <c r="H12137">
        <v>141000</v>
      </c>
      <c r="I12137" t="s">
        <v>970</v>
      </c>
    </row>
    <row r="12138" spans="1:9" x14ac:dyDescent="0.25">
      <c r="A12138">
        <v>3130</v>
      </c>
      <c r="B12138">
        <v>60</v>
      </c>
      <c r="C12138" t="s">
        <v>950</v>
      </c>
      <c r="D12138" t="s">
        <v>999</v>
      </c>
      <c r="E12138" t="s">
        <v>969</v>
      </c>
      <c r="F12138" t="s">
        <v>959</v>
      </c>
      <c r="G12138">
        <v>6000000</v>
      </c>
      <c r="H12138">
        <v>141000</v>
      </c>
      <c r="I12138" t="s">
        <v>970</v>
      </c>
    </row>
    <row r="12139" spans="1:9" x14ac:dyDescent="0.25">
      <c r="A12139">
        <v>3130</v>
      </c>
      <c r="B12139">
        <v>60</v>
      </c>
      <c r="C12139" t="s">
        <v>950</v>
      </c>
      <c r="D12139" t="s">
        <v>999</v>
      </c>
      <c r="E12139" t="s">
        <v>969</v>
      </c>
      <c r="F12139" t="s">
        <v>960</v>
      </c>
      <c r="G12139">
        <v>6000000</v>
      </c>
      <c r="H12139">
        <v>141000</v>
      </c>
      <c r="I12139" t="s">
        <v>970</v>
      </c>
    </row>
    <row r="12140" spans="1:9" x14ac:dyDescent="0.25">
      <c r="A12140">
        <v>3130</v>
      </c>
      <c r="B12140">
        <v>60</v>
      </c>
      <c r="C12140" t="s">
        <v>950</v>
      </c>
      <c r="D12140" t="s">
        <v>999</v>
      </c>
      <c r="E12140" t="s">
        <v>969</v>
      </c>
      <c r="F12140" t="s">
        <v>961</v>
      </c>
      <c r="G12140">
        <v>6000000</v>
      </c>
      <c r="H12140">
        <v>141000</v>
      </c>
      <c r="I12140" t="s">
        <v>970</v>
      </c>
    </row>
    <row r="12141" spans="1:9" x14ac:dyDescent="0.25">
      <c r="A12141">
        <v>3130</v>
      </c>
      <c r="B12141">
        <v>60</v>
      </c>
      <c r="C12141" t="s">
        <v>962</v>
      </c>
      <c r="D12141" t="s">
        <v>999</v>
      </c>
      <c r="E12141" t="s">
        <v>969</v>
      </c>
      <c r="F12141" t="s">
        <v>951</v>
      </c>
      <c r="G12141">
        <v>6000000</v>
      </c>
      <c r="H12141">
        <v>141000</v>
      </c>
      <c r="I12141" t="s">
        <v>970</v>
      </c>
    </row>
    <row r="12142" spans="1:9" x14ac:dyDescent="0.25">
      <c r="A12142">
        <v>3130</v>
      </c>
      <c r="B12142">
        <v>60</v>
      </c>
      <c r="C12142" t="s">
        <v>962</v>
      </c>
      <c r="D12142" t="s">
        <v>999</v>
      </c>
      <c r="E12142" t="s">
        <v>969</v>
      </c>
      <c r="F12142" t="s">
        <v>952</v>
      </c>
      <c r="G12142">
        <v>6000000</v>
      </c>
      <c r="H12142">
        <v>141000</v>
      </c>
      <c r="I12142" t="s">
        <v>970</v>
      </c>
    </row>
    <row r="12143" spans="1:9" x14ac:dyDescent="0.25">
      <c r="A12143">
        <v>3130</v>
      </c>
      <c r="B12143">
        <v>60</v>
      </c>
      <c r="C12143" t="s">
        <v>962</v>
      </c>
      <c r="D12143" t="s">
        <v>999</v>
      </c>
      <c r="E12143" t="s">
        <v>969</v>
      </c>
      <c r="F12143" t="s">
        <v>953</v>
      </c>
      <c r="G12143">
        <v>6000000</v>
      </c>
      <c r="H12143">
        <v>141000</v>
      </c>
      <c r="I12143" t="s">
        <v>970</v>
      </c>
    </row>
    <row r="12144" spans="1:9" x14ac:dyDescent="0.25">
      <c r="A12144">
        <v>3130</v>
      </c>
      <c r="B12144">
        <v>60</v>
      </c>
      <c r="C12144" t="s">
        <v>962</v>
      </c>
      <c r="D12144" t="s">
        <v>999</v>
      </c>
      <c r="E12144" t="s">
        <v>969</v>
      </c>
      <c r="F12144" t="s">
        <v>954</v>
      </c>
      <c r="G12144">
        <v>6000000</v>
      </c>
      <c r="H12144">
        <v>141000</v>
      </c>
      <c r="I12144" t="s">
        <v>970</v>
      </c>
    </row>
    <row r="12145" spans="1:9" x14ac:dyDescent="0.25">
      <c r="A12145">
        <v>3130</v>
      </c>
      <c r="B12145">
        <v>60</v>
      </c>
      <c r="C12145" t="s">
        <v>962</v>
      </c>
      <c r="D12145" t="s">
        <v>999</v>
      </c>
      <c r="E12145" t="s">
        <v>969</v>
      </c>
      <c r="F12145" t="s">
        <v>955</v>
      </c>
      <c r="G12145">
        <v>6000000</v>
      </c>
      <c r="H12145">
        <v>141000</v>
      </c>
      <c r="I12145" t="s">
        <v>970</v>
      </c>
    </row>
    <row r="12146" spans="1:9" x14ac:dyDescent="0.25">
      <c r="A12146">
        <v>3130</v>
      </c>
      <c r="B12146">
        <v>60</v>
      </c>
      <c r="C12146" t="s">
        <v>962</v>
      </c>
      <c r="D12146" t="s">
        <v>999</v>
      </c>
      <c r="E12146" t="s">
        <v>969</v>
      </c>
      <c r="F12146" t="s">
        <v>956</v>
      </c>
      <c r="G12146">
        <v>6000000</v>
      </c>
      <c r="H12146">
        <v>141000</v>
      </c>
      <c r="I12146" t="s">
        <v>970</v>
      </c>
    </row>
    <row r="12147" spans="1:9" x14ac:dyDescent="0.25">
      <c r="A12147">
        <v>3130</v>
      </c>
      <c r="B12147">
        <v>60</v>
      </c>
      <c r="C12147" t="s">
        <v>962</v>
      </c>
      <c r="D12147" t="s">
        <v>999</v>
      </c>
      <c r="E12147" t="s">
        <v>969</v>
      </c>
      <c r="F12147" t="s">
        <v>957</v>
      </c>
      <c r="G12147">
        <v>6000000</v>
      </c>
      <c r="H12147">
        <v>141000</v>
      </c>
      <c r="I12147" t="s">
        <v>970</v>
      </c>
    </row>
    <row r="12148" spans="1:9" x14ac:dyDescent="0.25">
      <c r="A12148">
        <v>3130</v>
      </c>
      <c r="B12148">
        <v>60</v>
      </c>
      <c r="C12148" t="s">
        <v>962</v>
      </c>
      <c r="D12148" t="s">
        <v>999</v>
      </c>
      <c r="E12148" t="s">
        <v>969</v>
      </c>
      <c r="F12148" t="s">
        <v>958</v>
      </c>
      <c r="G12148">
        <v>6000000</v>
      </c>
      <c r="H12148">
        <v>141000</v>
      </c>
      <c r="I12148" t="s">
        <v>970</v>
      </c>
    </row>
    <row r="12149" spans="1:9" x14ac:dyDescent="0.25">
      <c r="A12149">
        <v>3130</v>
      </c>
      <c r="B12149">
        <v>60</v>
      </c>
      <c r="C12149" t="s">
        <v>962</v>
      </c>
      <c r="D12149" t="s">
        <v>999</v>
      </c>
      <c r="E12149" t="s">
        <v>969</v>
      </c>
      <c r="F12149" t="s">
        <v>959</v>
      </c>
      <c r="G12149">
        <v>6000000</v>
      </c>
      <c r="H12149">
        <v>141000</v>
      </c>
      <c r="I12149" t="s">
        <v>970</v>
      </c>
    </row>
    <row r="12150" spans="1:9" x14ac:dyDescent="0.25">
      <c r="A12150">
        <v>3130</v>
      </c>
      <c r="B12150">
        <v>60</v>
      </c>
      <c r="C12150" t="s">
        <v>962</v>
      </c>
      <c r="D12150" t="s">
        <v>999</v>
      </c>
      <c r="E12150" t="s">
        <v>969</v>
      </c>
      <c r="F12150" t="s">
        <v>960</v>
      </c>
      <c r="G12150">
        <v>6000000</v>
      </c>
      <c r="H12150">
        <v>141000</v>
      </c>
      <c r="I12150" t="s">
        <v>970</v>
      </c>
    </row>
    <row r="12151" spans="1:9" x14ac:dyDescent="0.25">
      <c r="A12151">
        <v>3130</v>
      </c>
      <c r="B12151">
        <v>60</v>
      </c>
      <c r="C12151" t="s">
        <v>962</v>
      </c>
      <c r="D12151" t="s">
        <v>999</v>
      </c>
      <c r="E12151" t="s">
        <v>969</v>
      </c>
      <c r="F12151" t="s">
        <v>961</v>
      </c>
      <c r="G12151">
        <v>6000000</v>
      </c>
      <c r="H12151">
        <v>141000</v>
      </c>
      <c r="I12151" t="s">
        <v>970</v>
      </c>
    </row>
    <row r="12152" spans="1:9" x14ac:dyDescent="0.25">
      <c r="A12152">
        <v>3130</v>
      </c>
      <c r="B12152">
        <v>60</v>
      </c>
      <c r="C12152" t="s">
        <v>963</v>
      </c>
      <c r="D12152" t="s">
        <v>999</v>
      </c>
      <c r="E12152" t="s">
        <v>969</v>
      </c>
      <c r="F12152" t="s">
        <v>951</v>
      </c>
      <c r="G12152">
        <v>6000000</v>
      </c>
      <c r="H12152">
        <v>141000</v>
      </c>
      <c r="I12152" t="s">
        <v>970</v>
      </c>
    </row>
    <row r="12153" spans="1:9" x14ac:dyDescent="0.25">
      <c r="A12153">
        <v>3130</v>
      </c>
      <c r="B12153">
        <v>60</v>
      </c>
      <c r="C12153" t="s">
        <v>963</v>
      </c>
      <c r="D12153" t="s">
        <v>999</v>
      </c>
      <c r="E12153" t="s">
        <v>969</v>
      </c>
      <c r="F12153" t="s">
        <v>952</v>
      </c>
      <c r="G12153">
        <v>6000000</v>
      </c>
      <c r="H12153">
        <v>141000</v>
      </c>
      <c r="I12153" t="s">
        <v>970</v>
      </c>
    </row>
    <row r="12154" spans="1:9" x14ac:dyDescent="0.25">
      <c r="A12154">
        <v>3130</v>
      </c>
      <c r="B12154">
        <v>60</v>
      </c>
      <c r="C12154" t="s">
        <v>963</v>
      </c>
      <c r="D12154" t="s">
        <v>999</v>
      </c>
      <c r="E12154" t="s">
        <v>969</v>
      </c>
      <c r="F12154" t="s">
        <v>953</v>
      </c>
      <c r="G12154">
        <v>6000000</v>
      </c>
      <c r="H12154">
        <v>141000</v>
      </c>
      <c r="I12154" t="s">
        <v>970</v>
      </c>
    </row>
    <row r="12155" spans="1:9" x14ac:dyDescent="0.25">
      <c r="A12155">
        <v>3130</v>
      </c>
      <c r="B12155">
        <v>60</v>
      </c>
      <c r="C12155" t="s">
        <v>963</v>
      </c>
      <c r="D12155" t="s">
        <v>999</v>
      </c>
      <c r="E12155" t="s">
        <v>969</v>
      </c>
      <c r="F12155" t="s">
        <v>954</v>
      </c>
      <c r="G12155">
        <v>6000000</v>
      </c>
      <c r="H12155">
        <v>141000</v>
      </c>
      <c r="I12155" t="s">
        <v>970</v>
      </c>
    </row>
    <row r="12156" spans="1:9" x14ac:dyDescent="0.25">
      <c r="A12156">
        <v>3130</v>
      </c>
      <c r="B12156">
        <v>60</v>
      </c>
      <c r="C12156" t="s">
        <v>963</v>
      </c>
      <c r="D12156" t="s">
        <v>999</v>
      </c>
      <c r="E12156" t="s">
        <v>969</v>
      </c>
      <c r="F12156" t="s">
        <v>955</v>
      </c>
      <c r="G12156">
        <v>6000000</v>
      </c>
      <c r="H12156">
        <v>141000</v>
      </c>
      <c r="I12156" t="s">
        <v>970</v>
      </c>
    </row>
    <row r="12157" spans="1:9" x14ac:dyDescent="0.25">
      <c r="A12157">
        <v>3130</v>
      </c>
      <c r="B12157">
        <v>60</v>
      </c>
      <c r="C12157" t="s">
        <v>963</v>
      </c>
      <c r="D12157" t="s">
        <v>999</v>
      </c>
      <c r="E12157" t="s">
        <v>969</v>
      </c>
      <c r="F12157" t="s">
        <v>956</v>
      </c>
      <c r="G12157">
        <v>6000000</v>
      </c>
      <c r="H12157">
        <v>141000</v>
      </c>
      <c r="I12157" t="s">
        <v>970</v>
      </c>
    </row>
    <row r="12158" spans="1:9" x14ac:dyDescent="0.25">
      <c r="A12158">
        <v>3130</v>
      </c>
      <c r="B12158">
        <v>60</v>
      </c>
      <c r="C12158" t="s">
        <v>963</v>
      </c>
      <c r="D12158" t="s">
        <v>999</v>
      </c>
      <c r="E12158" t="s">
        <v>969</v>
      </c>
      <c r="F12158" t="s">
        <v>957</v>
      </c>
      <c r="G12158">
        <v>6000000</v>
      </c>
      <c r="H12158">
        <v>141000</v>
      </c>
      <c r="I12158" t="s">
        <v>970</v>
      </c>
    </row>
    <row r="12159" spans="1:9" x14ac:dyDescent="0.25">
      <c r="A12159">
        <v>3130</v>
      </c>
      <c r="B12159">
        <v>60</v>
      </c>
      <c r="C12159" t="s">
        <v>963</v>
      </c>
      <c r="D12159" t="s">
        <v>999</v>
      </c>
      <c r="E12159" t="s">
        <v>969</v>
      </c>
      <c r="F12159" t="s">
        <v>958</v>
      </c>
      <c r="G12159">
        <v>6000000</v>
      </c>
      <c r="H12159">
        <v>141000</v>
      </c>
      <c r="I12159" t="s">
        <v>970</v>
      </c>
    </row>
    <row r="12160" spans="1:9" x14ac:dyDescent="0.25">
      <c r="A12160">
        <v>3130</v>
      </c>
      <c r="B12160">
        <v>60</v>
      </c>
      <c r="C12160" t="s">
        <v>963</v>
      </c>
      <c r="D12160" t="s">
        <v>999</v>
      </c>
      <c r="E12160" t="s">
        <v>969</v>
      </c>
      <c r="F12160" t="s">
        <v>959</v>
      </c>
      <c r="G12160">
        <v>6000000</v>
      </c>
      <c r="H12160">
        <v>141000</v>
      </c>
      <c r="I12160" t="s">
        <v>970</v>
      </c>
    </row>
    <row r="12161" spans="1:9" x14ac:dyDescent="0.25">
      <c r="A12161">
        <v>3130</v>
      </c>
      <c r="B12161">
        <v>60</v>
      </c>
      <c r="C12161" t="s">
        <v>963</v>
      </c>
      <c r="D12161" t="s">
        <v>999</v>
      </c>
      <c r="E12161" t="s">
        <v>969</v>
      </c>
      <c r="F12161" t="s">
        <v>960</v>
      </c>
      <c r="G12161">
        <v>6000000</v>
      </c>
      <c r="H12161">
        <v>141000</v>
      </c>
      <c r="I12161" t="s">
        <v>970</v>
      </c>
    </row>
    <row r="12162" spans="1:9" x14ac:dyDescent="0.25">
      <c r="A12162">
        <v>3130</v>
      </c>
      <c r="B12162">
        <v>60</v>
      </c>
      <c r="C12162" t="s">
        <v>963</v>
      </c>
      <c r="D12162" t="s">
        <v>999</v>
      </c>
      <c r="E12162" t="s">
        <v>969</v>
      </c>
      <c r="F12162" t="s">
        <v>961</v>
      </c>
      <c r="G12162">
        <v>6000000</v>
      </c>
      <c r="H12162">
        <v>141000</v>
      </c>
      <c r="I12162" t="s">
        <v>970</v>
      </c>
    </row>
    <row r="12163" ht="22" customHeight="1" spans="1:10" x14ac:dyDescent="0.25">
      <c r="A12163" s="43">
        <v>3130</v>
      </c>
      <c r="B12163" s="43">
        <v>60</v>
      </c>
      <c r="C12163" s="43" t="s">
        <v>950</v>
      </c>
      <c r="D12163" s="43" t="s">
        <v>999</v>
      </c>
      <c r="E12163" s="43" t="s">
        <v>255</v>
      </c>
      <c r="F12163" s="43" t="s">
        <v>951</v>
      </c>
      <c r="G12163" s="43">
        <v>6000000</v>
      </c>
      <c r="H12163" s="43">
        <v>145000</v>
      </c>
      <c r="I12163" s="43" t="s">
        <v>949</v>
      </c>
      <c r="J12163" s="44" t="s">
        <v>1000</v>
      </c>
    </row>
    <row r="12164" ht="22" customHeight="1" spans="1:10" x14ac:dyDescent="0.25">
      <c r="A12164" s="43">
        <v>3130</v>
      </c>
      <c r="B12164" s="43">
        <v>60</v>
      </c>
      <c r="C12164" s="43" t="s">
        <v>950</v>
      </c>
      <c r="D12164" s="43" t="s">
        <v>999</v>
      </c>
      <c r="E12164" s="43" t="s">
        <v>255</v>
      </c>
      <c r="F12164" s="43" t="s">
        <v>952</v>
      </c>
      <c r="G12164" s="43">
        <v>6000000</v>
      </c>
      <c r="H12164" s="43">
        <v>145000</v>
      </c>
      <c r="I12164" s="43" t="s">
        <v>949</v>
      </c>
      <c r="J12164" s="44" t="s">
        <v>1000</v>
      </c>
    </row>
    <row r="12165" ht="22" customHeight="1" spans="1:10" x14ac:dyDescent="0.25">
      <c r="A12165" s="43">
        <v>3130</v>
      </c>
      <c r="B12165" s="43">
        <v>60</v>
      </c>
      <c r="C12165" s="43" t="s">
        <v>950</v>
      </c>
      <c r="D12165" s="43" t="s">
        <v>999</v>
      </c>
      <c r="E12165" s="43" t="s">
        <v>255</v>
      </c>
      <c r="F12165" s="43" t="s">
        <v>953</v>
      </c>
      <c r="G12165" s="43">
        <v>6000000</v>
      </c>
      <c r="H12165" s="43">
        <v>145000</v>
      </c>
      <c r="I12165" s="43" t="s">
        <v>949</v>
      </c>
      <c r="J12165" s="44" t="s">
        <v>1000</v>
      </c>
    </row>
    <row r="12166" ht="22" customHeight="1" spans="1:10" x14ac:dyDescent="0.25">
      <c r="A12166" s="43">
        <v>3130</v>
      </c>
      <c r="B12166" s="43">
        <v>60</v>
      </c>
      <c r="C12166" s="43" t="s">
        <v>950</v>
      </c>
      <c r="D12166" s="43" t="s">
        <v>999</v>
      </c>
      <c r="E12166" s="43" t="s">
        <v>255</v>
      </c>
      <c r="F12166" s="43" t="s">
        <v>954</v>
      </c>
      <c r="G12166" s="43">
        <v>6000000</v>
      </c>
      <c r="H12166" s="43">
        <v>145000</v>
      </c>
      <c r="I12166" s="43" t="s">
        <v>949</v>
      </c>
      <c r="J12166" s="44" t="s">
        <v>1000</v>
      </c>
    </row>
    <row r="12167" ht="22" customHeight="1" spans="1:10" x14ac:dyDescent="0.25">
      <c r="A12167" s="43">
        <v>3130</v>
      </c>
      <c r="B12167" s="43">
        <v>60</v>
      </c>
      <c r="C12167" s="43" t="s">
        <v>950</v>
      </c>
      <c r="D12167" s="43" t="s">
        <v>999</v>
      </c>
      <c r="E12167" s="43" t="s">
        <v>255</v>
      </c>
      <c r="F12167" s="43" t="s">
        <v>955</v>
      </c>
      <c r="G12167" s="43">
        <v>6000000</v>
      </c>
      <c r="H12167" s="43">
        <v>145000</v>
      </c>
      <c r="I12167" s="43" t="s">
        <v>949</v>
      </c>
      <c r="J12167" s="44" t="s">
        <v>1000</v>
      </c>
    </row>
    <row r="12168" ht="22" customHeight="1" spans="1:10" x14ac:dyDescent="0.25">
      <c r="A12168" s="43">
        <v>3130</v>
      </c>
      <c r="B12168" s="43">
        <v>60</v>
      </c>
      <c r="C12168" s="43" t="s">
        <v>950</v>
      </c>
      <c r="D12168" s="43" t="s">
        <v>999</v>
      </c>
      <c r="E12168" s="43" t="s">
        <v>255</v>
      </c>
      <c r="F12168" s="43" t="s">
        <v>956</v>
      </c>
      <c r="G12168" s="43">
        <v>6000000</v>
      </c>
      <c r="H12168" s="43">
        <v>145000</v>
      </c>
      <c r="I12168" s="43" t="s">
        <v>949</v>
      </c>
      <c r="J12168" s="44" t="s">
        <v>1000</v>
      </c>
    </row>
    <row r="12169" ht="22" customHeight="1" spans="1:10" x14ac:dyDescent="0.25">
      <c r="A12169" s="43">
        <v>3130</v>
      </c>
      <c r="B12169" s="43">
        <v>60</v>
      </c>
      <c r="C12169" s="43" t="s">
        <v>950</v>
      </c>
      <c r="D12169" s="43" t="s">
        <v>999</v>
      </c>
      <c r="E12169" s="43" t="s">
        <v>255</v>
      </c>
      <c r="F12169" s="43" t="s">
        <v>957</v>
      </c>
      <c r="G12169" s="43">
        <v>6000000</v>
      </c>
      <c r="H12169" s="43">
        <v>145000</v>
      </c>
      <c r="I12169" s="43" t="s">
        <v>949</v>
      </c>
      <c r="J12169" s="44" t="s">
        <v>1000</v>
      </c>
    </row>
    <row r="12170" ht="22" customHeight="1" spans="1:10" x14ac:dyDescent="0.25">
      <c r="A12170" s="43">
        <v>3130</v>
      </c>
      <c r="B12170" s="43">
        <v>60</v>
      </c>
      <c r="C12170" s="43" t="s">
        <v>950</v>
      </c>
      <c r="D12170" s="43" t="s">
        <v>999</v>
      </c>
      <c r="E12170" s="43" t="s">
        <v>255</v>
      </c>
      <c r="F12170" s="43" t="s">
        <v>958</v>
      </c>
      <c r="G12170" s="43">
        <v>6000000</v>
      </c>
      <c r="H12170" s="43">
        <v>145000</v>
      </c>
      <c r="I12170" s="43" t="s">
        <v>949</v>
      </c>
      <c r="J12170" s="44" t="s">
        <v>1000</v>
      </c>
    </row>
    <row r="12171" ht="22" customHeight="1" spans="1:10" x14ac:dyDescent="0.25">
      <c r="A12171" s="43">
        <v>3130</v>
      </c>
      <c r="B12171" s="43">
        <v>60</v>
      </c>
      <c r="C12171" s="43" t="s">
        <v>950</v>
      </c>
      <c r="D12171" s="43" t="s">
        <v>999</v>
      </c>
      <c r="E12171" s="43" t="s">
        <v>255</v>
      </c>
      <c r="F12171" s="43" t="s">
        <v>959</v>
      </c>
      <c r="G12171" s="43">
        <v>6000000</v>
      </c>
      <c r="H12171" s="43">
        <v>145000</v>
      </c>
      <c r="I12171" s="43" t="s">
        <v>949</v>
      </c>
      <c r="J12171" s="44" t="s">
        <v>1000</v>
      </c>
    </row>
    <row r="12172" ht="22" customHeight="1" spans="1:10" x14ac:dyDescent="0.25">
      <c r="A12172" s="43">
        <v>3130</v>
      </c>
      <c r="B12172" s="43">
        <v>60</v>
      </c>
      <c r="C12172" s="43" t="s">
        <v>950</v>
      </c>
      <c r="D12172" s="43" t="s">
        <v>999</v>
      </c>
      <c r="E12172" s="43" t="s">
        <v>255</v>
      </c>
      <c r="F12172" s="43" t="s">
        <v>960</v>
      </c>
      <c r="G12172" s="43">
        <v>6000000</v>
      </c>
      <c r="H12172" s="43">
        <v>145000</v>
      </c>
      <c r="I12172" s="43" t="s">
        <v>949</v>
      </c>
      <c r="J12172" s="44" t="s">
        <v>1000</v>
      </c>
    </row>
    <row r="12173" ht="22" customHeight="1" spans="1:10" x14ac:dyDescent="0.25">
      <c r="A12173" s="43">
        <v>3130</v>
      </c>
      <c r="B12173" s="43">
        <v>60</v>
      </c>
      <c r="C12173" s="43" t="s">
        <v>950</v>
      </c>
      <c r="D12173" s="43" t="s">
        <v>999</v>
      </c>
      <c r="E12173" s="43" t="s">
        <v>255</v>
      </c>
      <c r="F12173" s="43" t="s">
        <v>961</v>
      </c>
      <c r="G12173" s="43">
        <v>6000000</v>
      </c>
      <c r="H12173" s="43">
        <v>145000</v>
      </c>
      <c r="I12173" s="43" t="s">
        <v>949</v>
      </c>
      <c r="J12173" s="44" t="s">
        <v>1000</v>
      </c>
    </row>
    <row r="12174" ht="22" customHeight="1" spans="1:10" x14ac:dyDescent="0.25">
      <c r="A12174" s="43">
        <v>3130</v>
      </c>
      <c r="B12174" s="43">
        <v>60</v>
      </c>
      <c r="C12174" s="43" t="s">
        <v>962</v>
      </c>
      <c r="D12174" s="43" t="s">
        <v>999</v>
      </c>
      <c r="E12174" s="43" t="s">
        <v>255</v>
      </c>
      <c r="F12174" s="43" t="s">
        <v>951</v>
      </c>
      <c r="G12174" s="43">
        <v>6000000</v>
      </c>
      <c r="H12174" s="43">
        <v>145000</v>
      </c>
      <c r="I12174" s="43" t="s">
        <v>949</v>
      </c>
      <c r="J12174" s="44" t="s">
        <v>1000</v>
      </c>
    </row>
    <row r="12175" ht="22" customHeight="1" spans="1:10" x14ac:dyDescent="0.25">
      <c r="A12175" s="43">
        <v>3130</v>
      </c>
      <c r="B12175" s="43">
        <v>60</v>
      </c>
      <c r="C12175" s="43" t="s">
        <v>962</v>
      </c>
      <c r="D12175" s="43" t="s">
        <v>999</v>
      </c>
      <c r="E12175" s="43" t="s">
        <v>255</v>
      </c>
      <c r="F12175" s="43" t="s">
        <v>952</v>
      </c>
      <c r="G12175" s="43">
        <v>6000000</v>
      </c>
      <c r="H12175" s="43">
        <v>145000</v>
      </c>
      <c r="I12175" s="43" t="s">
        <v>949</v>
      </c>
      <c r="J12175" s="44" t="s">
        <v>1000</v>
      </c>
    </row>
    <row r="12176" ht="22" customHeight="1" spans="1:10" x14ac:dyDescent="0.25">
      <c r="A12176" s="43">
        <v>3130</v>
      </c>
      <c r="B12176" s="43">
        <v>60</v>
      </c>
      <c r="C12176" s="43" t="s">
        <v>962</v>
      </c>
      <c r="D12176" s="43" t="s">
        <v>999</v>
      </c>
      <c r="E12176" s="43" t="s">
        <v>255</v>
      </c>
      <c r="F12176" s="43" t="s">
        <v>953</v>
      </c>
      <c r="G12176" s="43">
        <v>6000000</v>
      </c>
      <c r="H12176" s="43">
        <v>145000</v>
      </c>
      <c r="I12176" s="43" t="s">
        <v>949</v>
      </c>
      <c r="J12176" s="44" t="s">
        <v>1000</v>
      </c>
    </row>
    <row r="12177" ht="22" customHeight="1" spans="1:10" x14ac:dyDescent="0.25">
      <c r="A12177" s="43">
        <v>3130</v>
      </c>
      <c r="B12177" s="43">
        <v>60</v>
      </c>
      <c r="C12177" s="43" t="s">
        <v>962</v>
      </c>
      <c r="D12177" s="43" t="s">
        <v>999</v>
      </c>
      <c r="E12177" s="43" t="s">
        <v>255</v>
      </c>
      <c r="F12177" s="43" t="s">
        <v>954</v>
      </c>
      <c r="G12177" s="43">
        <v>6000000</v>
      </c>
      <c r="H12177" s="43">
        <v>145000</v>
      </c>
      <c r="I12177" s="43" t="s">
        <v>949</v>
      </c>
      <c r="J12177" s="44" t="s">
        <v>1000</v>
      </c>
    </row>
    <row r="12178" ht="22" customHeight="1" spans="1:10" x14ac:dyDescent="0.25">
      <c r="A12178" s="43">
        <v>3130</v>
      </c>
      <c r="B12178" s="43">
        <v>60</v>
      </c>
      <c r="C12178" s="43" t="s">
        <v>962</v>
      </c>
      <c r="D12178" s="43" t="s">
        <v>999</v>
      </c>
      <c r="E12178" s="43" t="s">
        <v>255</v>
      </c>
      <c r="F12178" s="43" t="s">
        <v>955</v>
      </c>
      <c r="G12178" s="43">
        <v>6000000</v>
      </c>
      <c r="H12178" s="43">
        <v>145000</v>
      </c>
      <c r="I12178" s="43" t="s">
        <v>949</v>
      </c>
      <c r="J12178" s="44" t="s">
        <v>1000</v>
      </c>
    </row>
    <row r="12179" ht="22" customHeight="1" spans="1:10" x14ac:dyDescent="0.25">
      <c r="A12179" s="43">
        <v>3130</v>
      </c>
      <c r="B12179" s="43">
        <v>60</v>
      </c>
      <c r="C12179" s="43" t="s">
        <v>962</v>
      </c>
      <c r="D12179" s="43" t="s">
        <v>999</v>
      </c>
      <c r="E12179" s="43" t="s">
        <v>255</v>
      </c>
      <c r="F12179" s="43" t="s">
        <v>956</v>
      </c>
      <c r="G12179" s="43">
        <v>6000000</v>
      </c>
      <c r="H12179" s="43">
        <v>145000</v>
      </c>
      <c r="I12179" s="43" t="s">
        <v>949</v>
      </c>
      <c r="J12179" s="44" t="s">
        <v>1000</v>
      </c>
    </row>
    <row r="12180" ht="22" customHeight="1" spans="1:10" x14ac:dyDescent="0.25">
      <c r="A12180" s="43">
        <v>3130</v>
      </c>
      <c r="B12180" s="43">
        <v>60</v>
      </c>
      <c r="C12180" s="43" t="s">
        <v>962</v>
      </c>
      <c r="D12180" s="43" t="s">
        <v>999</v>
      </c>
      <c r="E12180" s="43" t="s">
        <v>255</v>
      </c>
      <c r="F12180" s="43" t="s">
        <v>957</v>
      </c>
      <c r="G12180" s="43">
        <v>6000000</v>
      </c>
      <c r="H12180" s="43">
        <v>145000</v>
      </c>
      <c r="I12180" s="43" t="s">
        <v>949</v>
      </c>
      <c r="J12180" s="44" t="s">
        <v>1000</v>
      </c>
    </row>
    <row r="12181" ht="22" customHeight="1" spans="1:10" x14ac:dyDescent="0.25">
      <c r="A12181" s="43">
        <v>3130</v>
      </c>
      <c r="B12181" s="43">
        <v>60</v>
      </c>
      <c r="C12181" s="43" t="s">
        <v>962</v>
      </c>
      <c r="D12181" s="43" t="s">
        <v>999</v>
      </c>
      <c r="E12181" s="43" t="s">
        <v>255</v>
      </c>
      <c r="F12181" s="43" t="s">
        <v>958</v>
      </c>
      <c r="G12181" s="43">
        <v>6000000</v>
      </c>
      <c r="H12181" s="43">
        <v>145000</v>
      </c>
      <c r="I12181" s="43" t="s">
        <v>949</v>
      </c>
      <c r="J12181" s="44" t="s">
        <v>1000</v>
      </c>
    </row>
    <row r="12182" ht="22" customHeight="1" spans="1:10" x14ac:dyDescent="0.25">
      <c r="A12182" s="43">
        <v>3130</v>
      </c>
      <c r="B12182" s="43">
        <v>60</v>
      </c>
      <c r="C12182" s="43" t="s">
        <v>962</v>
      </c>
      <c r="D12182" s="43" t="s">
        <v>999</v>
      </c>
      <c r="E12182" s="43" t="s">
        <v>255</v>
      </c>
      <c r="F12182" s="43" t="s">
        <v>959</v>
      </c>
      <c r="G12182" s="43">
        <v>6000000</v>
      </c>
      <c r="H12182" s="43">
        <v>145000</v>
      </c>
      <c r="I12182" s="43" t="s">
        <v>949</v>
      </c>
      <c r="J12182" s="44" t="s">
        <v>1000</v>
      </c>
    </row>
    <row r="12183" ht="22" customHeight="1" spans="1:10" x14ac:dyDescent="0.25">
      <c r="A12183" s="43">
        <v>3130</v>
      </c>
      <c r="B12183" s="43">
        <v>60</v>
      </c>
      <c r="C12183" s="43" t="s">
        <v>962</v>
      </c>
      <c r="D12183" s="43" t="s">
        <v>999</v>
      </c>
      <c r="E12183" s="43" t="s">
        <v>255</v>
      </c>
      <c r="F12183" s="43" t="s">
        <v>960</v>
      </c>
      <c r="G12183" s="43">
        <v>6000000</v>
      </c>
      <c r="H12183" s="43">
        <v>145000</v>
      </c>
      <c r="I12183" s="43" t="s">
        <v>949</v>
      </c>
      <c r="J12183" s="44" t="s">
        <v>1000</v>
      </c>
    </row>
    <row r="12184" ht="22" customHeight="1" spans="1:10" x14ac:dyDescent="0.25">
      <c r="A12184" s="43">
        <v>3130</v>
      </c>
      <c r="B12184" s="43">
        <v>60</v>
      </c>
      <c r="C12184" s="43" t="s">
        <v>962</v>
      </c>
      <c r="D12184" s="43" t="s">
        <v>999</v>
      </c>
      <c r="E12184" s="43" t="s">
        <v>255</v>
      </c>
      <c r="F12184" s="43" t="s">
        <v>961</v>
      </c>
      <c r="G12184" s="43">
        <v>6000000</v>
      </c>
      <c r="H12184" s="43">
        <v>145000</v>
      </c>
      <c r="I12184" s="43" t="s">
        <v>949</v>
      </c>
      <c r="J12184" s="44" t="s">
        <v>1000</v>
      </c>
    </row>
    <row r="12185" ht="22" customHeight="1" spans="1:10" x14ac:dyDescent="0.25">
      <c r="A12185" s="43">
        <v>3130</v>
      </c>
      <c r="B12185" s="43">
        <v>60</v>
      </c>
      <c r="C12185" s="43" t="s">
        <v>963</v>
      </c>
      <c r="D12185" s="43" t="s">
        <v>999</v>
      </c>
      <c r="E12185" s="43" t="s">
        <v>255</v>
      </c>
      <c r="F12185" s="43" t="s">
        <v>951</v>
      </c>
      <c r="G12185" s="43">
        <v>6000000</v>
      </c>
      <c r="H12185" s="43">
        <v>145000</v>
      </c>
      <c r="I12185" s="43" t="s">
        <v>949</v>
      </c>
      <c r="J12185" s="44" t="s">
        <v>1000</v>
      </c>
    </row>
    <row r="12186" ht="22" customHeight="1" spans="1:10" x14ac:dyDescent="0.25">
      <c r="A12186" s="43">
        <v>3130</v>
      </c>
      <c r="B12186" s="43">
        <v>60</v>
      </c>
      <c r="C12186" s="43" t="s">
        <v>963</v>
      </c>
      <c r="D12186" s="43" t="s">
        <v>999</v>
      </c>
      <c r="E12186" s="43" t="s">
        <v>255</v>
      </c>
      <c r="F12186" s="43" t="s">
        <v>952</v>
      </c>
      <c r="G12186" s="43">
        <v>6000000</v>
      </c>
      <c r="H12186" s="43">
        <v>145000</v>
      </c>
      <c r="I12186" s="43" t="s">
        <v>949</v>
      </c>
      <c r="J12186" s="44" t="s">
        <v>1000</v>
      </c>
    </row>
    <row r="12187" ht="22" customHeight="1" spans="1:10" x14ac:dyDescent="0.25">
      <c r="A12187" s="43">
        <v>3130</v>
      </c>
      <c r="B12187" s="43">
        <v>60</v>
      </c>
      <c r="C12187" s="43" t="s">
        <v>963</v>
      </c>
      <c r="D12187" s="43" t="s">
        <v>999</v>
      </c>
      <c r="E12187" s="43" t="s">
        <v>255</v>
      </c>
      <c r="F12187" s="43" t="s">
        <v>953</v>
      </c>
      <c r="G12187" s="43">
        <v>6000000</v>
      </c>
      <c r="H12187" s="43">
        <v>145000</v>
      </c>
      <c r="I12187" s="43" t="s">
        <v>949</v>
      </c>
      <c r="J12187" s="44" t="s">
        <v>1000</v>
      </c>
    </row>
    <row r="12188" ht="22" customHeight="1" spans="1:10" x14ac:dyDescent="0.25">
      <c r="A12188" s="43">
        <v>3130</v>
      </c>
      <c r="B12188" s="43">
        <v>60</v>
      </c>
      <c r="C12188" s="43" t="s">
        <v>963</v>
      </c>
      <c r="D12188" s="43" t="s">
        <v>999</v>
      </c>
      <c r="E12188" s="43" t="s">
        <v>255</v>
      </c>
      <c r="F12188" s="43" t="s">
        <v>954</v>
      </c>
      <c r="G12188" s="43">
        <v>6000000</v>
      </c>
      <c r="H12188" s="43">
        <v>145000</v>
      </c>
      <c r="I12188" s="43" t="s">
        <v>949</v>
      </c>
      <c r="J12188" s="44" t="s">
        <v>1000</v>
      </c>
    </row>
    <row r="12189" ht="22" customHeight="1" spans="1:10" x14ac:dyDescent="0.25">
      <c r="A12189" s="43">
        <v>3130</v>
      </c>
      <c r="B12189" s="43">
        <v>60</v>
      </c>
      <c r="C12189" s="43" t="s">
        <v>963</v>
      </c>
      <c r="D12189" s="43" t="s">
        <v>999</v>
      </c>
      <c r="E12189" s="43" t="s">
        <v>255</v>
      </c>
      <c r="F12189" s="43" t="s">
        <v>955</v>
      </c>
      <c r="G12189" s="43">
        <v>6000000</v>
      </c>
      <c r="H12189" s="43">
        <v>145000</v>
      </c>
      <c r="I12189" s="43" t="s">
        <v>949</v>
      </c>
      <c r="J12189" s="44" t="s">
        <v>1000</v>
      </c>
    </row>
    <row r="12190" ht="22" customHeight="1" spans="1:10" x14ac:dyDescent="0.25">
      <c r="A12190" s="43">
        <v>3130</v>
      </c>
      <c r="B12190" s="43">
        <v>60</v>
      </c>
      <c r="C12190" s="43" t="s">
        <v>963</v>
      </c>
      <c r="D12190" s="43" t="s">
        <v>999</v>
      </c>
      <c r="E12190" s="43" t="s">
        <v>255</v>
      </c>
      <c r="F12190" s="43" t="s">
        <v>956</v>
      </c>
      <c r="G12190" s="43">
        <v>6000000</v>
      </c>
      <c r="H12190" s="43">
        <v>145000</v>
      </c>
      <c r="I12190" s="43" t="s">
        <v>949</v>
      </c>
      <c r="J12190" s="44" t="s">
        <v>1000</v>
      </c>
    </row>
    <row r="12191" ht="22" customHeight="1" spans="1:10" x14ac:dyDescent="0.25">
      <c r="A12191" s="43">
        <v>3130</v>
      </c>
      <c r="B12191" s="43">
        <v>60</v>
      </c>
      <c r="C12191" s="43" t="s">
        <v>963</v>
      </c>
      <c r="D12191" s="43" t="s">
        <v>999</v>
      </c>
      <c r="E12191" s="43" t="s">
        <v>255</v>
      </c>
      <c r="F12191" s="43" t="s">
        <v>957</v>
      </c>
      <c r="G12191" s="43">
        <v>6000000</v>
      </c>
      <c r="H12191" s="43">
        <v>145000</v>
      </c>
      <c r="I12191" s="43" t="s">
        <v>949</v>
      </c>
      <c r="J12191" s="44" t="s">
        <v>1000</v>
      </c>
    </row>
    <row r="12192" ht="22" customHeight="1" spans="1:10" x14ac:dyDescent="0.25">
      <c r="A12192" s="43">
        <v>3130</v>
      </c>
      <c r="B12192" s="43">
        <v>60</v>
      </c>
      <c r="C12192" s="43" t="s">
        <v>963</v>
      </c>
      <c r="D12192" s="43" t="s">
        <v>999</v>
      </c>
      <c r="E12192" s="43" t="s">
        <v>255</v>
      </c>
      <c r="F12192" s="43" t="s">
        <v>958</v>
      </c>
      <c r="G12192" s="43">
        <v>6000000</v>
      </c>
      <c r="H12192" s="43">
        <v>145000</v>
      </c>
      <c r="I12192" s="43" t="s">
        <v>949</v>
      </c>
      <c r="J12192" s="44" t="s">
        <v>1000</v>
      </c>
    </row>
    <row r="12193" ht="22" customHeight="1" spans="1:10" x14ac:dyDescent="0.25">
      <c r="A12193" s="43">
        <v>3130</v>
      </c>
      <c r="B12193" s="43">
        <v>60</v>
      </c>
      <c r="C12193" s="43" t="s">
        <v>963</v>
      </c>
      <c r="D12193" s="43" t="s">
        <v>999</v>
      </c>
      <c r="E12193" s="43" t="s">
        <v>255</v>
      </c>
      <c r="F12193" s="43" t="s">
        <v>959</v>
      </c>
      <c r="G12193" s="43">
        <v>6000000</v>
      </c>
      <c r="H12193" s="43">
        <v>145000</v>
      </c>
      <c r="I12193" s="43" t="s">
        <v>949</v>
      </c>
      <c r="J12193" s="44" t="s">
        <v>1000</v>
      </c>
    </row>
    <row r="12194" ht="22" customHeight="1" spans="1:10" x14ac:dyDescent="0.25">
      <c r="A12194" s="43">
        <v>3130</v>
      </c>
      <c r="B12194" s="43">
        <v>60</v>
      </c>
      <c r="C12194" s="43" t="s">
        <v>963</v>
      </c>
      <c r="D12194" s="43" t="s">
        <v>999</v>
      </c>
      <c r="E12194" s="43" t="s">
        <v>255</v>
      </c>
      <c r="F12194" s="43" t="s">
        <v>960</v>
      </c>
      <c r="G12194" s="43">
        <v>6000000</v>
      </c>
      <c r="H12194" s="43">
        <v>145000</v>
      </c>
      <c r="I12194" s="43" t="s">
        <v>949</v>
      </c>
      <c r="J12194" s="44" t="s">
        <v>1000</v>
      </c>
    </row>
    <row r="12195" ht="22" customHeight="1" spans="1:10" x14ac:dyDescent="0.25">
      <c r="A12195" s="43">
        <v>3130</v>
      </c>
      <c r="B12195" s="43">
        <v>60</v>
      </c>
      <c r="C12195" s="43" t="s">
        <v>963</v>
      </c>
      <c r="D12195" s="43" t="s">
        <v>999</v>
      </c>
      <c r="E12195" s="43" t="s">
        <v>255</v>
      </c>
      <c r="F12195" s="43" t="s">
        <v>961</v>
      </c>
      <c r="G12195" s="43">
        <v>6000000</v>
      </c>
      <c r="H12195" s="43">
        <v>145000</v>
      </c>
      <c r="I12195" s="43" t="s">
        <v>949</v>
      </c>
      <c r="J12195" s="44" t="s">
        <v>1000</v>
      </c>
    </row>
    <row r="12196" spans="1:9" x14ac:dyDescent="0.25">
      <c r="A12196">
        <v>3130</v>
      </c>
      <c r="B12196">
        <v>60</v>
      </c>
      <c r="C12196" t="s">
        <v>950</v>
      </c>
      <c r="D12196" t="s">
        <v>999</v>
      </c>
      <c r="E12196" t="s">
        <v>971</v>
      </c>
      <c r="F12196" t="s">
        <v>951</v>
      </c>
      <c r="G12196">
        <v>6000000</v>
      </c>
      <c r="H12196">
        <v>141000</v>
      </c>
      <c r="I12196" t="s">
        <v>972</v>
      </c>
    </row>
    <row r="12197" spans="1:9" x14ac:dyDescent="0.25">
      <c r="A12197">
        <v>3130</v>
      </c>
      <c r="B12197">
        <v>60</v>
      </c>
      <c r="C12197" t="s">
        <v>950</v>
      </c>
      <c r="D12197" t="s">
        <v>999</v>
      </c>
      <c r="E12197" t="s">
        <v>971</v>
      </c>
      <c r="F12197" t="s">
        <v>952</v>
      </c>
      <c r="G12197">
        <v>6000000</v>
      </c>
      <c r="H12197">
        <v>141000</v>
      </c>
      <c r="I12197" t="s">
        <v>972</v>
      </c>
    </row>
    <row r="12198" spans="1:9" x14ac:dyDescent="0.25">
      <c r="A12198">
        <v>3130</v>
      </c>
      <c r="B12198">
        <v>60</v>
      </c>
      <c r="C12198" t="s">
        <v>950</v>
      </c>
      <c r="D12198" t="s">
        <v>999</v>
      </c>
      <c r="E12198" t="s">
        <v>971</v>
      </c>
      <c r="F12198" t="s">
        <v>953</v>
      </c>
      <c r="G12198">
        <v>6000000</v>
      </c>
      <c r="H12198">
        <v>141000</v>
      </c>
      <c r="I12198" t="s">
        <v>972</v>
      </c>
    </row>
    <row r="12199" spans="1:9" x14ac:dyDescent="0.25">
      <c r="A12199">
        <v>3130</v>
      </c>
      <c r="B12199">
        <v>60</v>
      </c>
      <c r="C12199" t="s">
        <v>950</v>
      </c>
      <c r="D12199" t="s">
        <v>999</v>
      </c>
      <c r="E12199" t="s">
        <v>971</v>
      </c>
      <c r="F12199" t="s">
        <v>954</v>
      </c>
      <c r="G12199">
        <v>6000000</v>
      </c>
      <c r="H12199">
        <v>141000</v>
      </c>
      <c r="I12199" t="s">
        <v>972</v>
      </c>
    </row>
    <row r="12200" spans="1:9" x14ac:dyDescent="0.25">
      <c r="A12200">
        <v>3130</v>
      </c>
      <c r="B12200">
        <v>60</v>
      </c>
      <c r="C12200" t="s">
        <v>950</v>
      </c>
      <c r="D12200" t="s">
        <v>999</v>
      </c>
      <c r="E12200" t="s">
        <v>971</v>
      </c>
      <c r="F12200" t="s">
        <v>955</v>
      </c>
      <c r="G12200">
        <v>6000000</v>
      </c>
      <c r="H12200">
        <v>141000</v>
      </c>
      <c r="I12200" t="s">
        <v>972</v>
      </c>
    </row>
    <row r="12201" spans="1:9" x14ac:dyDescent="0.25">
      <c r="A12201">
        <v>3130</v>
      </c>
      <c r="B12201">
        <v>60</v>
      </c>
      <c r="C12201" t="s">
        <v>950</v>
      </c>
      <c r="D12201" t="s">
        <v>999</v>
      </c>
      <c r="E12201" t="s">
        <v>971</v>
      </c>
      <c r="F12201" t="s">
        <v>956</v>
      </c>
      <c r="G12201">
        <v>6000000</v>
      </c>
      <c r="H12201">
        <v>141000</v>
      </c>
      <c r="I12201" t="s">
        <v>972</v>
      </c>
    </row>
    <row r="12202" spans="1:9" x14ac:dyDescent="0.25">
      <c r="A12202">
        <v>3130</v>
      </c>
      <c r="B12202">
        <v>60</v>
      </c>
      <c r="C12202" t="s">
        <v>950</v>
      </c>
      <c r="D12202" t="s">
        <v>999</v>
      </c>
      <c r="E12202" t="s">
        <v>971</v>
      </c>
      <c r="F12202" t="s">
        <v>957</v>
      </c>
      <c r="G12202">
        <v>6000000</v>
      </c>
      <c r="H12202">
        <v>141000</v>
      </c>
      <c r="I12202" t="s">
        <v>972</v>
      </c>
    </row>
    <row r="12203" spans="1:9" x14ac:dyDescent="0.25">
      <c r="A12203">
        <v>3130</v>
      </c>
      <c r="B12203">
        <v>60</v>
      </c>
      <c r="C12203" t="s">
        <v>950</v>
      </c>
      <c r="D12203" t="s">
        <v>999</v>
      </c>
      <c r="E12203" t="s">
        <v>971</v>
      </c>
      <c r="F12203" t="s">
        <v>958</v>
      </c>
      <c r="G12203">
        <v>6000000</v>
      </c>
      <c r="H12203">
        <v>141000</v>
      </c>
      <c r="I12203" t="s">
        <v>972</v>
      </c>
    </row>
    <row r="12204" spans="1:9" x14ac:dyDescent="0.25">
      <c r="A12204">
        <v>3130</v>
      </c>
      <c r="B12204">
        <v>60</v>
      </c>
      <c r="C12204" t="s">
        <v>950</v>
      </c>
      <c r="D12204" t="s">
        <v>999</v>
      </c>
      <c r="E12204" t="s">
        <v>971</v>
      </c>
      <c r="F12204" t="s">
        <v>959</v>
      </c>
      <c r="G12204">
        <v>6000000</v>
      </c>
      <c r="H12204">
        <v>141000</v>
      </c>
      <c r="I12204" t="s">
        <v>972</v>
      </c>
    </row>
    <row r="12205" spans="1:9" x14ac:dyDescent="0.25">
      <c r="A12205">
        <v>3130</v>
      </c>
      <c r="B12205">
        <v>60</v>
      </c>
      <c r="C12205" t="s">
        <v>950</v>
      </c>
      <c r="D12205" t="s">
        <v>999</v>
      </c>
      <c r="E12205" t="s">
        <v>971</v>
      </c>
      <c r="F12205" t="s">
        <v>960</v>
      </c>
      <c r="G12205">
        <v>6000000</v>
      </c>
      <c r="H12205">
        <v>141000</v>
      </c>
      <c r="I12205" t="s">
        <v>972</v>
      </c>
    </row>
    <row r="12206" spans="1:9" x14ac:dyDescent="0.25">
      <c r="A12206">
        <v>3130</v>
      </c>
      <c r="B12206">
        <v>60</v>
      </c>
      <c r="C12206" t="s">
        <v>950</v>
      </c>
      <c r="D12206" t="s">
        <v>999</v>
      </c>
      <c r="E12206" t="s">
        <v>971</v>
      </c>
      <c r="F12206" t="s">
        <v>961</v>
      </c>
      <c r="G12206">
        <v>6000000</v>
      </c>
      <c r="H12206">
        <v>141000</v>
      </c>
      <c r="I12206" t="s">
        <v>972</v>
      </c>
    </row>
    <row r="12207" spans="1:9" x14ac:dyDescent="0.25">
      <c r="A12207">
        <v>3130</v>
      </c>
      <c r="B12207">
        <v>60</v>
      </c>
      <c r="C12207" t="s">
        <v>962</v>
      </c>
      <c r="D12207" t="s">
        <v>999</v>
      </c>
      <c r="E12207" t="s">
        <v>971</v>
      </c>
      <c r="F12207" t="s">
        <v>951</v>
      </c>
      <c r="G12207">
        <v>6000000</v>
      </c>
      <c r="H12207">
        <v>141000</v>
      </c>
      <c r="I12207" t="s">
        <v>972</v>
      </c>
    </row>
    <row r="12208" spans="1:9" x14ac:dyDescent="0.25">
      <c r="A12208">
        <v>3130</v>
      </c>
      <c r="B12208">
        <v>60</v>
      </c>
      <c r="C12208" t="s">
        <v>962</v>
      </c>
      <c r="D12208" t="s">
        <v>999</v>
      </c>
      <c r="E12208" t="s">
        <v>971</v>
      </c>
      <c r="F12208" t="s">
        <v>952</v>
      </c>
      <c r="G12208">
        <v>6000000</v>
      </c>
      <c r="H12208">
        <v>141000</v>
      </c>
      <c r="I12208" t="s">
        <v>972</v>
      </c>
    </row>
    <row r="12209" spans="1:9" x14ac:dyDescent="0.25">
      <c r="A12209">
        <v>3130</v>
      </c>
      <c r="B12209">
        <v>60</v>
      </c>
      <c r="C12209" t="s">
        <v>962</v>
      </c>
      <c r="D12209" t="s">
        <v>999</v>
      </c>
      <c r="E12209" t="s">
        <v>971</v>
      </c>
      <c r="F12209" t="s">
        <v>953</v>
      </c>
      <c r="G12209">
        <v>6000000</v>
      </c>
      <c r="H12209">
        <v>141000</v>
      </c>
      <c r="I12209" t="s">
        <v>972</v>
      </c>
    </row>
    <row r="12210" spans="1:9" x14ac:dyDescent="0.25">
      <c r="A12210">
        <v>3130</v>
      </c>
      <c r="B12210">
        <v>60</v>
      </c>
      <c r="C12210" t="s">
        <v>962</v>
      </c>
      <c r="D12210" t="s">
        <v>999</v>
      </c>
      <c r="E12210" t="s">
        <v>971</v>
      </c>
      <c r="F12210" t="s">
        <v>954</v>
      </c>
      <c r="G12210">
        <v>6000000</v>
      </c>
      <c r="H12210">
        <v>141000</v>
      </c>
      <c r="I12210" t="s">
        <v>972</v>
      </c>
    </row>
    <row r="12211" spans="1:9" x14ac:dyDescent="0.25">
      <c r="A12211">
        <v>3130</v>
      </c>
      <c r="B12211">
        <v>60</v>
      </c>
      <c r="C12211" t="s">
        <v>962</v>
      </c>
      <c r="D12211" t="s">
        <v>999</v>
      </c>
      <c r="E12211" t="s">
        <v>971</v>
      </c>
      <c r="F12211" t="s">
        <v>955</v>
      </c>
      <c r="G12211">
        <v>6000000</v>
      </c>
      <c r="H12211">
        <v>141000</v>
      </c>
      <c r="I12211" t="s">
        <v>972</v>
      </c>
    </row>
    <row r="12212" spans="1:9" x14ac:dyDescent="0.25">
      <c r="A12212">
        <v>3130</v>
      </c>
      <c r="B12212">
        <v>60</v>
      </c>
      <c r="C12212" t="s">
        <v>962</v>
      </c>
      <c r="D12212" t="s">
        <v>999</v>
      </c>
      <c r="E12212" t="s">
        <v>971</v>
      </c>
      <c r="F12212" t="s">
        <v>956</v>
      </c>
      <c r="G12212">
        <v>6000000</v>
      </c>
      <c r="H12212">
        <v>141000</v>
      </c>
      <c r="I12212" t="s">
        <v>972</v>
      </c>
    </row>
    <row r="12213" spans="1:9" x14ac:dyDescent="0.25">
      <c r="A12213">
        <v>3130</v>
      </c>
      <c r="B12213">
        <v>60</v>
      </c>
      <c r="C12213" t="s">
        <v>962</v>
      </c>
      <c r="D12213" t="s">
        <v>999</v>
      </c>
      <c r="E12213" t="s">
        <v>971</v>
      </c>
      <c r="F12213" t="s">
        <v>957</v>
      </c>
      <c r="G12213">
        <v>6000000</v>
      </c>
      <c r="H12213">
        <v>141000</v>
      </c>
      <c r="I12213" t="s">
        <v>972</v>
      </c>
    </row>
    <row r="12214" spans="1:9" x14ac:dyDescent="0.25">
      <c r="A12214">
        <v>3130</v>
      </c>
      <c r="B12214">
        <v>60</v>
      </c>
      <c r="C12214" t="s">
        <v>962</v>
      </c>
      <c r="D12214" t="s">
        <v>999</v>
      </c>
      <c r="E12214" t="s">
        <v>971</v>
      </c>
      <c r="F12214" t="s">
        <v>958</v>
      </c>
      <c r="G12214">
        <v>6000000</v>
      </c>
      <c r="H12214">
        <v>141000</v>
      </c>
      <c r="I12214" t="s">
        <v>972</v>
      </c>
    </row>
    <row r="12215" spans="1:9" x14ac:dyDescent="0.25">
      <c r="A12215">
        <v>3130</v>
      </c>
      <c r="B12215">
        <v>60</v>
      </c>
      <c r="C12215" t="s">
        <v>962</v>
      </c>
      <c r="D12215" t="s">
        <v>999</v>
      </c>
      <c r="E12215" t="s">
        <v>971</v>
      </c>
      <c r="F12215" t="s">
        <v>959</v>
      </c>
      <c r="G12215">
        <v>6000000</v>
      </c>
      <c r="H12215">
        <v>141000</v>
      </c>
      <c r="I12215" t="s">
        <v>972</v>
      </c>
    </row>
    <row r="12216" spans="1:9" x14ac:dyDescent="0.25">
      <c r="A12216">
        <v>3130</v>
      </c>
      <c r="B12216">
        <v>60</v>
      </c>
      <c r="C12216" t="s">
        <v>962</v>
      </c>
      <c r="D12216" t="s">
        <v>999</v>
      </c>
      <c r="E12216" t="s">
        <v>971</v>
      </c>
      <c r="F12216" t="s">
        <v>960</v>
      </c>
      <c r="G12216">
        <v>6000000</v>
      </c>
      <c r="H12216">
        <v>141000</v>
      </c>
      <c r="I12216" t="s">
        <v>972</v>
      </c>
    </row>
    <row r="12217" spans="1:9" x14ac:dyDescent="0.25">
      <c r="A12217">
        <v>3130</v>
      </c>
      <c r="B12217">
        <v>60</v>
      </c>
      <c r="C12217" t="s">
        <v>962</v>
      </c>
      <c r="D12217" t="s">
        <v>999</v>
      </c>
      <c r="E12217" t="s">
        <v>971</v>
      </c>
      <c r="F12217" t="s">
        <v>961</v>
      </c>
      <c r="G12217">
        <v>6000000</v>
      </c>
      <c r="H12217">
        <v>141000</v>
      </c>
      <c r="I12217" t="s">
        <v>972</v>
      </c>
    </row>
    <row r="12218" spans="1:9" x14ac:dyDescent="0.25">
      <c r="A12218">
        <v>3130</v>
      </c>
      <c r="B12218">
        <v>60</v>
      </c>
      <c r="C12218" t="s">
        <v>963</v>
      </c>
      <c r="D12218" t="s">
        <v>999</v>
      </c>
      <c r="E12218" t="s">
        <v>971</v>
      </c>
      <c r="F12218" t="s">
        <v>951</v>
      </c>
      <c r="G12218">
        <v>6000000</v>
      </c>
      <c r="H12218">
        <v>141000</v>
      </c>
      <c r="I12218" t="s">
        <v>972</v>
      </c>
    </row>
    <row r="12219" spans="1:9" x14ac:dyDescent="0.25">
      <c r="A12219">
        <v>3130</v>
      </c>
      <c r="B12219">
        <v>60</v>
      </c>
      <c r="C12219" t="s">
        <v>963</v>
      </c>
      <c r="D12219" t="s">
        <v>999</v>
      </c>
      <c r="E12219" t="s">
        <v>971</v>
      </c>
      <c r="F12219" t="s">
        <v>952</v>
      </c>
      <c r="G12219">
        <v>6000000</v>
      </c>
      <c r="H12219">
        <v>141000</v>
      </c>
      <c r="I12219" t="s">
        <v>972</v>
      </c>
    </row>
    <row r="12220" spans="1:9" x14ac:dyDescent="0.25">
      <c r="A12220">
        <v>3130</v>
      </c>
      <c r="B12220">
        <v>60</v>
      </c>
      <c r="C12220" t="s">
        <v>963</v>
      </c>
      <c r="D12220" t="s">
        <v>999</v>
      </c>
      <c r="E12220" t="s">
        <v>971</v>
      </c>
      <c r="F12220" t="s">
        <v>953</v>
      </c>
      <c r="G12220">
        <v>6000000</v>
      </c>
      <c r="H12220">
        <v>141000</v>
      </c>
      <c r="I12220" t="s">
        <v>972</v>
      </c>
    </row>
    <row r="12221" spans="1:9" x14ac:dyDescent="0.25">
      <c r="A12221">
        <v>3130</v>
      </c>
      <c r="B12221">
        <v>60</v>
      </c>
      <c r="C12221" t="s">
        <v>963</v>
      </c>
      <c r="D12221" t="s">
        <v>999</v>
      </c>
      <c r="E12221" t="s">
        <v>971</v>
      </c>
      <c r="F12221" t="s">
        <v>954</v>
      </c>
      <c r="G12221">
        <v>6000000</v>
      </c>
      <c r="H12221">
        <v>141000</v>
      </c>
      <c r="I12221" t="s">
        <v>972</v>
      </c>
    </row>
    <row r="12222" spans="1:9" x14ac:dyDescent="0.25">
      <c r="A12222">
        <v>3130</v>
      </c>
      <c r="B12222">
        <v>60</v>
      </c>
      <c r="C12222" t="s">
        <v>963</v>
      </c>
      <c r="D12222" t="s">
        <v>999</v>
      </c>
      <c r="E12222" t="s">
        <v>971</v>
      </c>
      <c r="F12222" t="s">
        <v>955</v>
      </c>
      <c r="G12222">
        <v>6000000</v>
      </c>
      <c r="H12222">
        <v>141000</v>
      </c>
      <c r="I12222" t="s">
        <v>972</v>
      </c>
    </row>
    <row r="12223" spans="1:9" x14ac:dyDescent="0.25">
      <c r="A12223">
        <v>3130</v>
      </c>
      <c r="B12223">
        <v>60</v>
      </c>
      <c r="C12223" t="s">
        <v>963</v>
      </c>
      <c r="D12223" t="s">
        <v>999</v>
      </c>
      <c r="E12223" t="s">
        <v>971</v>
      </c>
      <c r="F12223" t="s">
        <v>956</v>
      </c>
      <c r="G12223">
        <v>6000000</v>
      </c>
      <c r="H12223">
        <v>141000</v>
      </c>
      <c r="I12223" t="s">
        <v>972</v>
      </c>
    </row>
    <row r="12224" spans="1:9" x14ac:dyDescent="0.25">
      <c r="A12224">
        <v>3130</v>
      </c>
      <c r="B12224">
        <v>60</v>
      </c>
      <c r="C12224" t="s">
        <v>963</v>
      </c>
      <c r="D12224" t="s">
        <v>999</v>
      </c>
      <c r="E12224" t="s">
        <v>971</v>
      </c>
      <c r="F12224" t="s">
        <v>957</v>
      </c>
      <c r="G12224">
        <v>6000000</v>
      </c>
      <c r="H12224">
        <v>141000</v>
      </c>
      <c r="I12224" t="s">
        <v>972</v>
      </c>
    </row>
    <row r="12225" spans="1:9" x14ac:dyDescent="0.25">
      <c r="A12225">
        <v>3130</v>
      </c>
      <c r="B12225">
        <v>60</v>
      </c>
      <c r="C12225" t="s">
        <v>963</v>
      </c>
      <c r="D12225" t="s">
        <v>999</v>
      </c>
      <c r="E12225" t="s">
        <v>971</v>
      </c>
      <c r="F12225" t="s">
        <v>958</v>
      </c>
      <c r="G12225">
        <v>6000000</v>
      </c>
      <c r="H12225">
        <v>141000</v>
      </c>
      <c r="I12225" t="s">
        <v>972</v>
      </c>
    </row>
    <row r="12226" spans="1:9" x14ac:dyDescent="0.25">
      <c r="A12226">
        <v>3130</v>
      </c>
      <c r="B12226">
        <v>60</v>
      </c>
      <c r="C12226" t="s">
        <v>963</v>
      </c>
      <c r="D12226" t="s">
        <v>999</v>
      </c>
      <c r="E12226" t="s">
        <v>971</v>
      </c>
      <c r="F12226" t="s">
        <v>959</v>
      </c>
      <c r="G12226">
        <v>6000000</v>
      </c>
      <c r="H12226">
        <v>141000</v>
      </c>
      <c r="I12226" t="s">
        <v>972</v>
      </c>
    </row>
    <row r="12227" spans="1:9" x14ac:dyDescent="0.25">
      <c r="A12227">
        <v>3130</v>
      </c>
      <c r="B12227">
        <v>60</v>
      </c>
      <c r="C12227" t="s">
        <v>963</v>
      </c>
      <c r="D12227" t="s">
        <v>999</v>
      </c>
      <c r="E12227" t="s">
        <v>971</v>
      </c>
      <c r="F12227" t="s">
        <v>960</v>
      </c>
      <c r="G12227">
        <v>6000000</v>
      </c>
      <c r="H12227">
        <v>141000</v>
      </c>
      <c r="I12227" t="s">
        <v>972</v>
      </c>
    </row>
    <row r="12228" spans="1:9" x14ac:dyDescent="0.25">
      <c r="A12228">
        <v>3130</v>
      </c>
      <c r="B12228">
        <v>60</v>
      </c>
      <c r="C12228" t="s">
        <v>963</v>
      </c>
      <c r="D12228" t="s">
        <v>999</v>
      </c>
      <c r="E12228" t="s">
        <v>971</v>
      </c>
      <c r="F12228" t="s">
        <v>961</v>
      </c>
      <c r="G12228">
        <v>6000000</v>
      </c>
      <c r="H12228">
        <v>141000</v>
      </c>
      <c r="I12228" t="s">
        <v>972</v>
      </c>
    </row>
    <row r="12229" ht="22" customHeight="1" spans="1:10" x14ac:dyDescent="0.25">
      <c r="A12229" s="43">
        <v>3130</v>
      </c>
      <c r="B12229" s="43">
        <v>60</v>
      </c>
      <c r="C12229" s="43" t="s">
        <v>950</v>
      </c>
      <c r="D12229" s="43" t="s">
        <v>999</v>
      </c>
      <c r="E12229" s="43" t="s">
        <v>263</v>
      </c>
      <c r="F12229" s="43" t="s">
        <v>951</v>
      </c>
      <c r="G12229" s="43">
        <v>6000000</v>
      </c>
      <c r="H12229" s="43">
        <v>145000</v>
      </c>
      <c r="I12229" s="43" t="s">
        <v>949</v>
      </c>
      <c r="J12229" s="44" t="s">
        <v>1000</v>
      </c>
    </row>
    <row r="12230" ht="22" customHeight="1" spans="1:10" x14ac:dyDescent="0.25">
      <c r="A12230" s="43">
        <v>3130</v>
      </c>
      <c r="B12230" s="43">
        <v>60</v>
      </c>
      <c r="C12230" s="43" t="s">
        <v>950</v>
      </c>
      <c r="D12230" s="43" t="s">
        <v>999</v>
      </c>
      <c r="E12230" s="43" t="s">
        <v>263</v>
      </c>
      <c r="F12230" s="43" t="s">
        <v>952</v>
      </c>
      <c r="G12230" s="43">
        <v>6000000</v>
      </c>
      <c r="H12230" s="43">
        <v>145000</v>
      </c>
      <c r="I12230" s="43" t="s">
        <v>949</v>
      </c>
      <c r="J12230" s="44" t="s">
        <v>1000</v>
      </c>
    </row>
    <row r="12231" ht="22" customHeight="1" spans="1:10" x14ac:dyDescent="0.25">
      <c r="A12231" s="43">
        <v>3130</v>
      </c>
      <c r="B12231" s="43">
        <v>60</v>
      </c>
      <c r="C12231" s="43" t="s">
        <v>950</v>
      </c>
      <c r="D12231" s="43" t="s">
        <v>999</v>
      </c>
      <c r="E12231" s="43" t="s">
        <v>263</v>
      </c>
      <c r="F12231" s="43" t="s">
        <v>953</v>
      </c>
      <c r="G12231" s="43">
        <v>6000000</v>
      </c>
      <c r="H12231" s="43">
        <v>145000</v>
      </c>
      <c r="I12231" s="43" t="s">
        <v>949</v>
      </c>
      <c r="J12231" s="44" t="s">
        <v>1000</v>
      </c>
    </row>
    <row r="12232" ht="22" customHeight="1" spans="1:10" x14ac:dyDescent="0.25">
      <c r="A12232" s="43">
        <v>3130</v>
      </c>
      <c r="B12232" s="43">
        <v>60</v>
      </c>
      <c r="C12232" s="43" t="s">
        <v>950</v>
      </c>
      <c r="D12232" s="43" t="s">
        <v>999</v>
      </c>
      <c r="E12232" s="43" t="s">
        <v>263</v>
      </c>
      <c r="F12232" s="43" t="s">
        <v>954</v>
      </c>
      <c r="G12232" s="43">
        <v>6000000</v>
      </c>
      <c r="H12232" s="43">
        <v>145000</v>
      </c>
      <c r="I12232" s="43" t="s">
        <v>949</v>
      </c>
      <c r="J12232" s="44" t="s">
        <v>1000</v>
      </c>
    </row>
    <row r="12233" ht="22" customHeight="1" spans="1:10" x14ac:dyDescent="0.25">
      <c r="A12233" s="43">
        <v>3130</v>
      </c>
      <c r="B12233" s="43">
        <v>60</v>
      </c>
      <c r="C12233" s="43" t="s">
        <v>950</v>
      </c>
      <c r="D12233" s="43" t="s">
        <v>999</v>
      </c>
      <c r="E12233" s="43" t="s">
        <v>263</v>
      </c>
      <c r="F12233" s="43" t="s">
        <v>955</v>
      </c>
      <c r="G12233" s="43">
        <v>6000000</v>
      </c>
      <c r="H12233" s="43">
        <v>145000</v>
      </c>
      <c r="I12233" s="43" t="s">
        <v>949</v>
      </c>
      <c r="J12233" s="44" t="s">
        <v>1000</v>
      </c>
    </row>
    <row r="12234" ht="22" customHeight="1" spans="1:10" x14ac:dyDescent="0.25">
      <c r="A12234" s="43">
        <v>3130</v>
      </c>
      <c r="B12234" s="43">
        <v>60</v>
      </c>
      <c r="C12234" s="43" t="s">
        <v>950</v>
      </c>
      <c r="D12234" s="43" t="s">
        <v>999</v>
      </c>
      <c r="E12234" s="43" t="s">
        <v>263</v>
      </c>
      <c r="F12234" s="43" t="s">
        <v>956</v>
      </c>
      <c r="G12234" s="43">
        <v>6000000</v>
      </c>
      <c r="H12234" s="43">
        <v>145000</v>
      </c>
      <c r="I12234" s="43" t="s">
        <v>949</v>
      </c>
      <c r="J12234" s="44" t="s">
        <v>1000</v>
      </c>
    </row>
    <row r="12235" ht="22" customHeight="1" spans="1:10" x14ac:dyDescent="0.25">
      <c r="A12235" s="43">
        <v>3130</v>
      </c>
      <c r="B12235" s="43">
        <v>60</v>
      </c>
      <c r="C12235" s="43" t="s">
        <v>950</v>
      </c>
      <c r="D12235" s="43" t="s">
        <v>999</v>
      </c>
      <c r="E12235" s="43" t="s">
        <v>263</v>
      </c>
      <c r="F12235" s="43" t="s">
        <v>957</v>
      </c>
      <c r="G12235" s="43">
        <v>6000000</v>
      </c>
      <c r="H12235" s="43">
        <v>145000</v>
      </c>
      <c r="I12235" s="43" t="s">
        <v>949</v>
      </c>
      <c r="J12235" s="44" t="s">
        <v>1000</v>
      </c>
    </row>
    <row r="12236" ht="22" customHeight="1" spans="1:10" x14ac:dyDescent="0.25">
      <c r="A12236" s="43">
        <v>3130</v>
      </c>
      <c r="B12236" s="43">
        <v>60</v>
      </c>
      <c r="C12236" s="43" t="s">
        <v>950</v>
      </c>
      <c r="D12236" s="43" t="s">
        <v>999</v>
      </c>
      <c r="E12236" s="43" t="s">
        <v>263</v>
      </c>
      <c r="F12236" s="43" t="s">
        <v>958</v>
      </c>
      <c r="G12236" s="43">
        <v>6000000</v>
      </c>
      <c r="H12236" s="43">
        <v>145000</v>
      </c>
      <c r="I12236" s="43" t="s">
        <v>949</v>
      </c>
      <c r="J12236" s="44" t="s">
        <v>1000</v>
      </c>
    </row>
    <row r="12237" ht="22" customHeight="1" spans="1:10" x14ac:dyDescent="0.25">
      <c r="A12237" s="43">
        <v>3130</v>
      </c>
      <c r="B12237" s="43">
        <v>60</v>
      </c>
      <c r="C12237" s="43" t="s">
        <v>950</v>
      </c>
      <c r="D12237" s="43" t="s">
        <v>999</v>
      </c>
      <c r="E12237" s="43" t="s">
        <v>263</v>
      </c>
      <c r="F12237" s="43" t="s">
        <v>959</v>
      </c>
      <c r="G12237" s="43">
        <v>6000000</v>
      </c>
      <c r="H12237" s="43">
        <v>145000</v>
      </c>
      <c r="I12237" s="43" t="s">
        <v>949</v>
      </c>
      <c r="J12237" s="44" t="s">
        <v>1000</v>
      </c>
    </row>
    <row r="12238" ht="22" customHeight="1" spans="1:10" x14ac:dyDescent="0.25">
      <c r="A12238" s="43">
        <v>3130</v>
      </c>
      <c r="B12238" s="43">
        <v>60</v>
      </c>
      <c r="C12238" s="43" t="s">
        <v>950</v>
      </c>
      <c r="D12238" s="43" t="s">
        <v>999</v>
      </c>
      <c r="E12238" s="43" t="s">
        <v>263</v>
      </c>
      <c r="F12238" s="43" t="s">
        <v>960</v>
      </c>
      <c r="G12238" s="43">
        <v>6000000</v>
      </c>
      <c r="H12238" s="43">
        <v>145000</v>
      </c>
      <c r="I12238" s="43" t="s">
        <v>949</v>
      </c>
      <c r="J12238" s="44" t="s">
        <v>1000</v>
      </c>
    </row>
    <row r="12239" ht="22" customHeight="1" spans="1:10" x14ac:dyDescent="0.25">
      <c r="A12239" s="43">
        <v>3130</v>
      </c>
      <c r="B12239" s="43">
        <v>60</v>
      </c>
      <c r="C12239" s="43" t="s">
        <v>950</v>
      </c>
      <c r="D12239" s="43" t="s">
        <v>999</v>
      </c>
      <c r="E12239" s="43" t="s">
        <v>263</v>
      </c>
      <c r="F12239" s="43" t="s">
        <v>961</v>
      </c>
      <c r="G12239" s="43">
        <v>6000000</v>
      </c>
      <c r="H12239" s="43">
        <v>145000</v>
      </c>
      <c r="I12239" s="43" t="s">
        <v>949</v>
      </c>
      <c r="J12239" s="44" t="s">
        <v>1000</v>
      </c>
    </row>
    <row r="12240" ht="22" customHeight="1" spans="1:10" x14ac:dyDescent="0.25">
      <c r="A12240" s="43">
        <v>3130</v>
      </c>
      <c r="B12240" s="43">
        <v>60</v>
      </c>
      <c r="C12240" s="43" t="s">
        <v>962</v>
      </c>
      <c r="D12240" s="43" t="s">
        <v>999</v>
      </c>
      <c r="E12240" s="43" t="s">
        <v>263</v>
      </c>
      <c r="F12240" s="43" t="s">
        <v>951</v>
      </c>
      <c r="G12240" s="43">
        <v>6000000</v>
      </c>
      <c r="H12240" s="43">
        <v>145000</v>
      </c>
      <c r="I12240" s="43" t="s">
        <v>949</v>
      </c>
      <c r="J12240" s="44" t="s">
        <v>1000</v>
      </c>
    </row>
    <row r="12241" ht="22" customHeight="1" spans="1:10" x14ac:dyDescent="0.25">
      <c r="A12241" s="43">
        <v>3130</v>
      </c>
      <c r="B12241" s="43">
        <v>60</v>
      </c>
      <c r="C12241" s="43" t="s">
        <v>962</v>
      </c>
      <c r="D12241" s="43" t="s">
        <v>999</v>
      </c>
      <c r="E12241" s="43" t="s">
        <v>263</v>
      </c>
      <c r="F12241" s="43" t="s">
        <v>952</v>
      </c>
      <c r="G12241" s="43">
        <v>6000000</v>
      </c>
      <c r="H12241" s="43">
        <v>145000</v>
      </c>
      <c r="I12241" s="43" t="s">
        <v>949</v>
      </c>
      <c r="J12241" s="44" t="s">
        <v>1000</v>
      </c>
    </row>
    <row r="12242" ht="22" customHeight="1" spans="1:10" x14ac:dyDescent="0.25">
      <c r="A12242" s="43">
        <v>3130</v>
      </c>
      <c r="B12242" s="43">
        <v>60</v>
      </c>
      <c r="C12242" s="43" t="s">
        <v>962</v>
      </c>
      <c r="D12242" s="43" t="s">
        <v>999</v>
      </c>
      <c r="E12242" s="43" t="s">
        <v>263</v>
      </c>
      <c r="F12242" s="43" t="s">
        <v>953</v>
      </c>
      <c r="G12242" s="43">
        <v>6000000</v>
      </c>
      <c r="H12242" s="43">
        <v>145000</v>
      </c>
      <c r="I12242" s="43" t="s">
        <v>949</v>
      </c>
      <c r="J12242" s="44" t="s">
        <v>1000</v>
      </c>
    </row>
    <row r="12243" ht="22" customHeight="1" spans="1:10" x14ac:dyDescent="0.25">
      <c r="A12243" s="43">
        <v>3130</v>
      </c>
      <c r="B12243" s="43">
        <v>60</v>
      </c>
      <c r="C12243" s="43" t="s">
        <v>962</v>
      </c>
      <c r="D12243" s="43" t="s">
        <v>999</v>
      </c>
      <c r="E12243" s="43" t="s">
        <v>263</v>
      </c>
      <c r="F12243" s="43" t="s">
        <v>954</v>
      </c>
      <c r="G12243" s="43">
        <v>6000000</v>
      </c>
      <c r="H12243" s="43">
        <v>145000</v>
      </c>
      <c r="I12243" s="43" t="s">
        <v>949</v>
      </c>
      <c r="J12243" s="44" t="s">
        <v>1000</v>
      </c>
    </row>
    <row r="12244" ht="22" customHeight="1" spans="1:10" x14ac:dyDescent="0.25">
      <c r="A12244" s="43">
        <v>3130</v>
      </c>
      <c r="B12244" s="43">
        <v>60</v>
      </c>
      <c r="C12244" s="43" t="s">
        <v>962</v>
      </c>
      <c r="D12244" s="43" t="s">
        <v>999</v>
      </c>
      <c r="E12244" s="43" t="s">
        <v>263</v>
      </c>
      <c r="F12244" s="43" t="s">
        <v>955</v>
      </c>
      <c r="G12244" s="43">
        <v>6000000</v>
      </c>
      <c r="H12244" s="43">
        <v>145000</v>
      </c>
      <c r="I12244" s="43" t="s">
        <v>949</v>
      </c>
      <c r="J12244" s="44" t="s">
        <v>1000</v>
      </c>
    </row>
    <row r="12245" ht="22" customHeight="1" spans="1:10" x14ac:dyDescent="0.25">
      <c r="A12245" s="43">
        <v>3130</v>
      </c>
      <c r="B12245" s="43">
        <v>60</v>
      </c>
      <c r="C12245" s="43" t="s">
        <v>962</v>
      </c>
      <c r="D12245" s="43" t="s">
        <v>999</v>
      </c>
      <c r="E12245" s="43" t="s">
        <v>263</v>
      </c>
      <c r="F12245" s="43" t="s">
        <v>956</v>
      </c>
      <c r="G12245" s="43">
        <v>6000000</v>
      </c>
      <c r="H12245" s="43">
        <v>145000</v>
      </c>
      <c r="I12245" s="43" t="s">
        <v>949</v>
      </c>
      <c r="J12245" s="44" t="s">
        <v>1000</v>
      </c>
    </row>
    <row r="12246" ht="22" customHeight="1" spans="1:10" x14ac:dyDescent="0.25">
      <c r="A12246" s="43">
        <v>3130</v>
      </c>
      <c r="B12246" s="43">
        <v>60</v>
      </c>
      <c r="C12246" s="43" t="s">
        <v>962</v>
      </c>
      <c r="D12246" s="43" t="s">
        <v>999</v>
      </c>
      <c r="E12246" s="43" t="s">
        <v>263</v>
      </c>
      <c r="F12246" s="43" t="s">
        <v>957</v>
      </c>
      <c r="G12246" s="43">
        <v>6000000</v>
      </c>
      <c r="H12246" s="43">
        <v>145000</v>
      </c>
      <c r="I12246" s="43" t="s">
        <v>949</v>
      </c>
      <c r="J12246" s="44" t="s">
        <v>1000</v>
      </c>
    </row>
    <row r="12247" ht="22" customHeight="1" spans="1:10" x14ac:dyDescent="0.25">
      <c r="A12247" s="43">
        <v>3130</v>
      </c>
      <c r="B12247" s="43">
        <v>60</v>
      </c>
      <c r="C12247" s="43" t="s">
        <v>962</v>
      </c>
      <c r="D12247" s="43" t="s">
        <v>999</v>
      </c>
      <c r="E12247" s="43" t="s">
        <v>263</v>
      </c>
      <c r="F12247" s="43" t="s">
        <v>958</v>
      </c>
      <c r="G12247" s="43">
        <v>6000000</v>
      </c>
      <c r="H12247" s="43">
        <v>145000</v>
      </c>
      <c r="I12247" s="43" t="s">
        <v>949</v>
      </c>
      <c r="J12247" s="44" t="s">
        <v>1000</v>
      </c>
    </row>
    <row r="12248" ht="22" customHeight="1" spans="1:10" x14ac:dyDescent="0.25">
      <c r="A12248" s="43">
        <v>3130</v>
      </c>
      <c r="B12248" s="43">
        <v>60</v>
      </c>
      <c r="C12248" s="43" t="s">
        <v>962</v>
      </c>
      <c r="D12248" s="43" t="s">
        <v>999</v>
      </c>
      <c r="E12248" s="43" t="s">
        <v>263</v>
      </c>
      <c r="F12248" s="43" t="s">
        <v>959</v>
      </c>
      <c r="G12248" s="43">
        <v>6000000</v>
      </c>
      <c r="H12248" s="43">
        <v>145000</v>
      </c>
      <c r="I12248" s="43" t="s">
        <v>949</v>
      </c>
      <c r="J12248" s="44" t="s">
        <v>1000</v>
      </c>
    </row>
    <row r="12249" ht="22" customHeight="1" spans="1:10" x14ac:dyDescent="0.25">
      <c r="A12249" s="43">
        <v>3130</v>
      </c>
      <c r="B12249" s="43">
        <v>60</v>
      </c>
      <c r="C12249" s="43" t="s">
        <v>962</v>
      </c>
      <c r="D12249" s="43" t="s">
        <v>999</v>
      </c>
      <c r="E12249" s="43" t="s">
        <v>263</v>
      </c>
      <c r="F12249" s="43" t="s">
        <v>960</v>
      </c>
      <c r="G12249" s="43">
        <v>6000000</v>
      </c>
      <c r="H12249" s="43">
        <v>145000</v>
      </c>
      <c r="I12249" s="43" t="s">
        <v>949</v>
      </c>
      <c r="J12249" s="44" t="s">
        <v>1000</v>
      </c>
    </row>
    <row r="12250" ht="22" customHeight="1" spans="1:10" x14ac:dyDescent="0.25">
      <c r="A12250" s="43">
        <v>3130</v>
      </c>
      <c r="B12250" s="43">
        <v>60</v>
      </c>
      <c r="C12250" s="43" t="s">
        <v>962</v>
      </c>
      <c r="D12250" s="43" t="s">
        <v>999</v>
      </c>
      <c r="E12250" s="43" t="s">
        <v>263</v>
      </c>
      <c r="F12250" s="43" t="s">
        <v>961</v>
      </c>
      <c r="G12250" s="43">
        <v>6000000</v>
      </c>
      <c r="H12250" s="43">
        <v>145000</v>
      </c>
      <c r="I12250" s="43" t="s">
        <v>949</v>
      </c>
      <c r="J12250" s="44" t="s">
        <v>1000</v>
      </c>
    </row>
    <row r="12251" ht="22" customHeight="1" spans="1:10" x14ac:dyDescent="0.25">
      <c r="A12251" s="43">
        <v>3130</v>
      </c>
      <c r="B12251" s="43">
        <v>60</v>
      </c>
      <c r="C12251" s="43" t="s">
        <v>963</v>
      </c>
      <c r="D12251" s="43" t="s">
        <v>999</v>
      </c>
      <c r="E12251" s="43" t="s">
        <v>263</v>
      </c>
      <c r="F12251" s="43" t="s">
        <v>951</v>
      </c>
      <c r="G12251" s="43">
        <v>6000000</v>
      </c>
      <c r="H12251" s="43">
        <v>145000</v>
      </c>
      <c r="I12251" s="43" t="s">
        <v>949</v>
      </c>
      <c r="J12251" s="44" t="s">
        <v>1000</v>
      </c>
    </row>
    <row r="12252" ht="22" customHeight="1" spans="1:10" x14ac:dyDescent="0.25">
      <c r="A12252" s="43">
        <v>3130</v>
      </c>
      <c r="B12252" s="43">
        <v>60</v>
      </c>
      <c r="C12252" s="43" t="s">
        <v>963</v>
      </c>
      <c r="D12252" s="43" t="s">
        <v>999</v>
      </c>
      <c r="E12252" s="43" t="s">
        <v>263</v>
      </c>
      <c r="F12252" s="43" t="s">
        <v>952</v>
      </c>
      <c r="G12252" s="43">
        <v>6000000</v>
      </c>
      <c r="H12252" s="43">
        <v>145000</v>
      </c>
      <c r="I12252" s="43" t="s">
        <v>949</v>
      </c>
      <c r="J12252" s="44" t="s">
        <v>1000</v>
      </c>
    </row>
    <row r="12253" ht="22" customHeight="1" spans="1:10" x14ac:dyDescent="0.25">
      <c r="A12253" s="43">
        <v>3130</v>
      </c>
      <c r="B12253" s="43">
        <v>60</v>
      </c>
      <c r="C12253" s="43" t="s">
        <v>963</v>
      </c>
      <c r="D12253" s="43" t="s">
        <v>999</v>
      </c>
      <c r="E12253" s="43" t="s">
        <v>263</v>
      </c>
      <c r="F12253" s="43" t="s">
        <v>953</v>
      </c>
      <c r="G12253" s="43">
        <v>6000000</v>
      </c>
      <c r="H12253" s="43">
        <v>145000</v>
      </c>
      <c r="I12253" s="43" t="s">
        <v>949</v>
      </c>
      <c r="J12253" s="44" t="s">
        <v>1000</v>
      </c>
    </row>
    <row r="12254" ht="22" customHeight="1" spans="1:10" x14ac:dyDescent="0.25">
      <c r="A12254" s="43">
        <v>3130</v>
      </c>
      <c r="B12254" s="43">
        <v>60</v>
      </c>
      <c r="C12254" s="43" t="s">
        <v>963</v>
      </c>
      <c r="D12254" s="43" t="s">
        <v>999</v>
      </c>
      <c r="E12254" s="43" t="s">
        <v>263</v>
      </c>
      <c r="F12254" s="43" t="s">
        <v>954</v>
      </c>
      <c r="G12254" s="43">
        <v>6000000</v>
      </c>
      <c r="H12254" s="43">
        <v>145000</v>
      </c>
      <c r="I12254" s="43" t="s">
        <v>949</v>
      </c>
      <c r="J12254" s="44" t="s">
        <v>1000</v>
      </c>
    </row>
    <row r="12255" ht="22" customHeight="1" spans="1:10" x14ac:dyDescent="0.25">
      <c r="A12255" s="43">
        <v>3130</v>
      </c>
      <c r="B12255" s="43">
        <v>60</v>
      </c>
      <c r="C12255" s="43" t="s">
        <v>963</v>
      </c>
      <c r="D12255" s="43" t="s">
        <v>999</v>
      </c>
      <c r="E12255" s="43" t="s">
        <v>263</v>
      </c>
      <c r="F12255" s="43" t="s">
        <v>955</v>
      </c>
      <c r="G12255" s="43">
        <v>6000000</v>
      </c>
      <c r="H12255" s="43">
        <v>145000</v>
      </c>
      <c r="I12255" s="43" t="s">
        <v>949</v>
      </c>
      <c r="J12255" s="44" t="s">
        <v>1000</v>
      </c>
    </row>
    <row r="12256" ht="22" customHeight="1" spans="1:10" x14ac:dyDescent="0.25">
      <c r="A12256" s="43">
        <v>3130</v>
      </c>
      <c r="B12256" s="43">
        <v>60</v>
      </c>
      <c r="C12256" s="43" t="s">
        <v>963</v>
      </c>
      <c r="D12256" s="43" t="s">
        <v>999</v>
      </c>
      <c r="E12256" s="43" t="s">
        <v>263</v>
      </c>
      <c r="F12256" s="43" t="s">
        <v>956</v>
      </c>
      <c r="G12256" s="43">
        <v>6000000</v>
      </c>
      <c r="H12256" s="43">
        <v>145000</v>
      </c>
      <c r="I12256" s="43" t="s">
        <v>949</v>
      </c>
      <c r="J12256" s="44" t="s">
        <v>1000</v>
      </c>
    </row>
    <row r="12257" ht="22" customHeight="1" spans="1:10" x14ac:dyDescent="0.25">
      <c r="A12257" s="43">
        <v>3130</v>
      </c>
      <c r="B12257" s="43">
        <v>60</v>
      </c>
      <c r="C12257" s="43" t="s">
        <v>963</v>
      </c>
      <c r="D12257" s="43" t="s">
        <v>999</v>
      </c>
      <c r="E12257" s="43" t="s">
        <v>263</v>
      </c>
      <c r="F12257" s="43" t="s">
        <v>957</v>
      </c>
      <c r="G12257" s="43">
        <v>6000000</v>
      </c>
      <c r="H12257" s="43">
        <v>145000</v>
      </c>
      <c r="I12257" s="43" t="s">
        <v>949</v>
      </c>
      <c r="J12257" s="44" t="s">
        <v>1000</v>
      </c>
    </row>
    <row r="12258" ht="22" customHeight="1" spans="1:10" x14ac:dyDescent="0.25">
      <c r="A12258" s="43">
        <v>3130</v>
      </c>
      <c r="B12258" s="43">
        <v>60</v>
      </c>
      <c r="C12258" s="43" t="s">
        <v>963</v>
      </c>
      <c r="D12258" s="43" t="s">
        <v>999</v>
      </c>
      <c r="E12258" s="43" t="s">
        <v>263</v>
      </c>
      <c r="F12258" s="43" t="s">
        <v>958</v>
      </c>
      <c r="G12258" s="43">
        <v>6000000</v>
      </c>
      <c r="H12258" s="43">
        <v>145000</v>
      </c>
      <c r="I12258" s="43" t="s">
        <v>949</v>
      </c>
      <c r="J12258" s="44" t="s">
        <v>1000</v>
      </c>
    </row>
    <row r="12259" ht="22" customHeight="1" spans="1:10" x14ac:dyDescent="0.25">
      <c r="A12259" s="43">
        <v>3130</v>
      </c>
      <c r="B12259" s="43">
        <v>60</v>
      </c>
      <c r="C12259" s="43" t="s">
        <v>963</v>
      </c>
      <c r="D12259" s="43" t="s">
        <v>999</v>
      </c>
      <c r="E12259" s="43" t="s">
        <v>263</v>
      </c>
      <c r="F12259" s="43" t="s">
        <v>959</v>
      </c>
      <c r="G12259" s="43">
        <v>6000000</v>
      </c>
      <c r="H12259" s="43">
        <v>145000</v>
      </c>
      <c r="I12259" s="43" t="s">
        <v>949</v>
      </c>
      <c r="J12259" s="44" t="s">
        <v>1000</v>
      </c>
    </row>
    <row r="12260" ht="22" customHeight="1" spans="1:10" x14ac:dyDescent="0.25">
      <c r="A12260" s="43">
        <v>3130</v>
      </c>
      <c r="B12260" s="43">
        <v>60</v>
      </c>
      <c r="C12260" s="43" t="s">
        <v>963</v>
      </c>
      <c r="D12260" s="43" t="s">
        <v>999</v>
      </c>
      <c r="E12260" s="43" t="s">
        <v>263</v>
      </c>
      <c r="F12260" s="43" t="s">
        <v>960</v>
      </c>
      <c r="G12260" s="43">
        <v>6000000</v>
      </c>
      <c r="H12260" s="43">
        <v>145000</v>
      </c>
      <c r="I12260" s="43" t="s">
        <v>949</v>
      </c>
      <c r="J12260" s="44" t="s">
        <v>1000</v>
      </c>
    </row>
    <row r="12261" ht="22" customHeight="1" spans="1:10" x14ac:dyDescent="0.25">
      <c r="A12261" s="43">
        <v>3130</v>
      </c>
      <c r="B12261" s="43">
        <v>60</v>
      </c>
      <c r="C12261" s="43" t="s">
        <v>963</v>
      </c>
      <c r="D12261" s="43" t="s">
        <v>999</v>
      </c>
      <c r="E12261" s="43" t="s">
        <v>263</v>
      </c>
      <c r="F12261" s="43" t="s">
        <v>961</v>
      </c>
      <c r="G12261" s="43">
        <v>6000000</v>
      </c>
      <c r="H12261" s="43">
        <v>145000</v>
      </c>
      <c r="I12261" s="43" t="s">
        <v>949</v>
      </c>
      <c r="J12261" s="44" t="s">
        <v>1000</v>
      </c>
    </row>
    <row r="12262" spans="1:9" x14ac:dyDescent="0.25">
      <c r="A12262">
        <v>3130</v>
      </c>
      <c r="B12262">
        <v>60</v>
      </c>
      <c r="C12262" t="s">
        <v>950</v>
      </c>
      <c r="D12262" t="s">
        <v>999</v>
      </c>
      <c r="E12262" t="s">
        <v>100</v>
      </c>
      <c r="F12262" t="s">
        <v>951</v>
      </c>
      <c r="G12262">
        <v>6077777</v>
      </c>
      <c r="H12262">
        <v>500220</v>
      </c>
      <c r="I12262" t="s">
        <v>949</v>
      </c>
    </row>
    <row r="12263" spans="1:9" x14ac:dyDescent="0.25">
      <c r="A12263">
        <v>3130</v>
      </c>
      <c r="B12263">
        <v>60</v>
      </c>
      <c r="C12263" t="s">
        <v>950</v>
      </c>
      <c r="D12263" t="s">
        <v>999</v>
      </c>
      <c r="E12263" t="s">
        <v>100</v>
      </c>
      <c r="F12263" t="s">
        <v>952</v>
      </c>
      <c r="G12263">
        <v>6077777</v>
      </c>
      <c r="H12263">
        <v>500220</v>
      </c>
      <c r="I12263" t="s">
        <v>949</v>
      </c>
    </row>
    <row r="12264" spans="1:9" x14ac:dyDescent="0.25">
      <c r="A12264">
        <v>3130</v>
      </c>
      <c r="B12264">
        <v>60</v>
      </c>
      <c r="C12264" t="s">
        <v>950</v>
      </c>
      <c r="D12264" t="s">
        <v>999</v>
      </c>
      <c r="E12264" t="s">
        <v>100</v>
      </c>
      <c r="F12264" t="s">
        <v>953</v>
      </c>
      <c r="G12264">
        <v>6077777</v>
      </c>
      <c r="H12264">
        <v>500220</v>
      </c>
      <c r="I12264" t="s">
        <v>949</v>
      </c>
    </row>
    <row r="12265" spans="1:9" x14ac:dyDescent="0.25">
      <c r="A12265">
        <v>3130</v>
      </c>
      <c r="B12265">
        <v>60</v>
      </c>
      <c r="C12265" t="s">
        <v>950</v>
      </c>
      <c r="D12265" t="s">
        <v>999</v>
      </c>
      <c r="E12265" t="s">
        <v>100</v>
      </c>
      <c r="F12265" t="s">
        <v>954</v>
      </c>
      <c r="G12265">
        <v>6077777</v>
      </c>
      <c r="H12265">
        <v>500220</v>
      </c>
      <c r="I12265" t="s">
        <v>949</v>
      </c>
    </row>
    <row r="12266" spans="1:9" x14ac:dyDescent="0.25">
      <c r="A12266">
        <v>3130</v>
      </c>
      <c r="B12266">
        <v>60</v>
      </c>
      <c r="C12266" t="s">
        <v>950</v>
      </c>
      <c r="D12266" t="s">
        <v>999</v>
      </c>
      <c r="E12266" t="s">
        <v>100</v>
      </c>
      <c r="F12266" t="s">
        <v>955</v>
      </c>
      <c r="G12266">
        <v>6077777</v>
      </c>
      <c r="H12266">
        <v>500220</v>
      </c>
      <c r="I12266" t="s">
        <v>949</v>
      </c>
    </row>
    <row r="12267" spans="1:9" x14ac:dyDescent="0.25">
      <c r="A12267">
        <v>3130</v>
      </c>
      <c r="B12267">
        <v>60</v>
      </c>
      <c r="C12267" t="s">
        <v>950</v>
      </c>
      <c r="D12267" t="s">
        <v>999</v>
      </c>
      <c r="E12267" t="s">
        <v>100</v>
      </c>
      <c r="F12267" t="s">
        <v>956</v>
      </c>
      <c r="G12267">
        <v>6077777</v>
      </c>
      <c r="H12267">
        <v>500220</v>
      </c>
      <c r="I12267" t="s">
        <v>949</v>
      </c>
    </row>
    <row r="12268" spans="1:9" x14ac:dyDescent="0.25">
      <c r="A12268">
        <v>3130</v>
      </c>
      <c r="B12268">
        <v>60</v>
      </c>
      <c r="C12268" t="s">
        <v>950</v>
      </c>
      <c r="D12268" t="s">
        <v>999</v>
      </c>
      <c r="E12268" t="s">
        <v>100</v>
      </c>
      <c r="F12268" t="s">
        <v>957</v>
      </c>
      <c r="G12268">
        <v>6077777</v>
      </c>
      <c r="H12268">
        <v>500220</v>
      </c>
      <c r="I12268" t="s">
        <v>949</v>
      </c>
    </row>
    <row r="12269" spans="1:9" x14ac:dyDescent="0.25">
      <c r="A12269">
        <v>3130</v>
      </c>
      <c r="B12269">
        <v>60</v>
      </c>
      <c r="C12269" t="s">
        <v>950</v>
      </c>
      <c r="D12269" t="s">
        <v>999</v>
      </c>
      <c r="E12269" t="s">
        <v>100</v>
      </c>
      <c r="F12269" t="s">
        <v>958</v>
      </c>
      <c r="G12269">
        <v>6077777</v>
      </c>
      <c r="H12269">
        <v>500220</v>
      </c>
      <c r="I12269" t="s">
        <v>949</v>
      </c>
    </row>
    <row r="12270" spans="1:9" x14ac:dyDescent="0.25">
      <c r="A12270">
        <v>3130</v>
      </c>
      <c r="B12270">
        <v>60</v>
      </c>
      <c r="C12270" t="s">
        <v>950</v>
      </c>
      <c r="D12270" t="s">
        <v>999</v>
      </c>
      <c r="E12270" t="s">
        <v>100</v>
      </c>
      <c r="F12270" t="s">
        <v>959</v>
      </c>
      <c r="G12270">
        <v>6077777</v>
      </c>
      <c r="H12270">
        <v>500220</v>
      </c>
      <c r="I12270" t="s">
        <v>949</v>
      </c>
    </row>
    <row r="12271" spans="1:9" x14ac:dyDescent="0.25">
      <c r="A12271">
        <v>3130</v>
      </c>
      <c r="B12271">
        <v>60</v>
      </c>
      <c r="C12271" t="s">
        <v>950</v>
      </c>
      <c r="D12271" t="s">
        <v>999</v>
      </c>
      <c r="E12271" t="s">
        <v>100</v>
      </c>
      <c r="F12271" t="s">
        <v>960</v>
      </c>
      <c r="G12271">
        <v>6077777</v>
      </c>
      <c r="H12271">
        <v>500220</v>
      </c>
      <c r="I12271" t="s">
        <v>949</v>
      </c>
    </row>
    <row r="12272" spans="1:9" x14ac:dyDescent="0.25">
      <c r="A12272">
        <v>3130</v>
      </c>
      <c r="B12272">
        <v>60</v>
      </c>
      <c r="C12272" t="s">
        <v>950</v>
      </c>
      <c r="D12272" t="s">
        <v>999</v>
      </c>
      <c r="E12272" t="s">
        <v>100</v>
      </c>
      <c r="F12272" t="s">
        <v>961</v>
      </c>
      <c r="G12272">
        <v>6077777</v>
      </c>
      <c r="H12272">
        <v>500220</v>
      </c>
      <c r="I12272" t="s">
        <v>949</v>
      </c>
    </row>
    <row r="12273" spans="1:9" x14ac:dyDescent="0.25">
      <c r="A12273">
        <v>3130</v>
      </c>
      <c r="B12273">
        <v>60</v>
      </c>
      <c r="C12273" t="s">
        <v>962</v>
      </c>
      <c r="D12273" t="s">
        <v>999</v>
      </c>
      <c r="E12273" t="s">
        <v>100</v>
      </c>
      <c r="F12273" t="s">
        <v>951</v>
      </c>
      <c r="G12273">
        <v>6077777</v>
      </c>
      <c r="H12273">
        <v>500220</v>
      </c>
      <c r="I12273" t="s">
        <v>949</v>
      </c>
    </row>
    <row r="12274" spans="1:9" x14ac:dyDescent="0.25">
      <c r="A12274">
        <v>3130</v>
      </c>
      <c r="B12274">
        <v>60</v>
      </c>
      <c r="C12274" t="s">
        <v>962</v>
      </c>
      <c r="D12274" t="s">
        <v>999</v>
      </c>
      <c r="E12274" t="s">
        <v>100</v>
      </c>
      <c r="F12274" t="s">
        <v>952</v>
      </c>
      <c r="G12274">
        <v>6077777</v>
      </c>
      <c r="H12274">
        <v>500220</v>
      </c>
      <c r="I12274" t="s">
        <v>949</v>
      </c>
    </row>
    <row r="12275" spans="1:9" x14ac:dyDescent="0.25">
      <c r="A12275">
        <v>3130</v>
      </c>
      <c r="B12275">
        <v>60</v>
      </c>
      <c r="C12275" t="s">
        <v>962</v>
      </c>
      <c r="D12275" t="s">
        <v>999</v>
      </c>
      <c r="E12275" t="s">
        <v>100</v>
      </c>
      <c r="F12275" t="s">
        <v>953</v>
      </c>
      <c r="G12275">
        <v>6077777</v>
      </c>
      <c r="H12275">
        <v>500220</v>
      </c>
      <c r="I12275" t="s">
        <v>949</v>
      </c>
    </row>
    <row r="12276" spans="1:9" x14ac:dyDescent="0.25">
      <c r="A12276">
        <v>3130</v>
      </c>
      <c r="B12276">
        <v>60</v>
      </c>
      <c r="C12276" t="s">
        <v>962</v>
      </c>
      <c r="D12276" t="s">
        <v>999</v>
      </c>
      <c r="E12276" t="s">
        <v>100</v>
      </c>
      <c r="F12276" t="s">
        <v>954</v>
      </c>
      <c r="G12276">
        <v>6077777</v>
      </c>
      <c r="H12276">
        <v>500220</v>
      </c>
      <c r="I12276" t="s">
        <v>949</v>
      </c>
    </row>
    <row r="12277" spans="1:9" x14ac:dyDescent="0.25">
      <c r="A12277">
        <v>3130</v>
      </c>
      <c r="B12277">
        <v>60</v>
      </c>
      <c r="C12277" t="s">
        <v>962</v>
      </c>
      <c r="D12277" t="s">
        <v>999</v>
      </c>
      <c r="E12277" t="s">
        <v>100</v>
      </c>
      <c r="F12277" t="s">
        <v>955</v>
      </c>
      <c r="G12277">
        <v>6077777</v>
      </c>
      <c r="H12277">
        <v>500220</v>
      </c>
      <c r="I12277" t="s">
        <v>949</v>
      </c>
    </row>
    <row r="12278" spans="1:9" x14ac:dyDescent="0.25">
      <c r="A12278">
        <v>3130</v>
      </c>
      <c r="B12278">
        <v>60</v>
      </c>
      <c r="C12278" t="s">
        <v>962</v>
      </c>
      <c r="D12278" t="s">
        <v>999</v>
      </c>
      <c r="E12278" t="s">
        <v>100</v>
      </c>
      <c r="F12278" t="s">
        <v>956</v>
      </c>
      <c r="G12278">
        <v>6077777</v>
      </c>
      <c r="H12278">
        <v>500220</v>
      </c>
      <c r="I12278" t="s">
        <v>949</v>
      </c>
    </row>
    <row r="12279" spans="1:9" x14ac:dyDescent="0.25">
      <c r="A12279">
        <v>3130</v>
      </c>
      <c r="B12279">
        <v>60</v>
      </c>
      <c r="C12279" t="s">
        <v>962</v>
      </c>
      <c r="D12279" t="s">
        <v>999</v>
      </c>
      <c r="E12279" t="s">
        <v>100</v>
      </c>
      <c r="F12279" t="s">
        <v>957</v>
      </c>
      <c r="G12279">
        <v>6077777</v>
      </c>
      <c r="H12279">
        <v>500220</v>
      </c>
      <c r="I12279" t="s">
        <v>949</v>
      </c>
    </row>
    <row r="12280" spans="1:9" x14ac:dyDescent="0.25">
      <c r="A12280">
        <v>3130</v>
      </c>
      <c r="B12280">
        <v>60</v>
      </c>
      <c r="C12280" t="s">
        <v>962</v>
      </c>
      <c r="D12280" t="s">
        <v>999</v>
      </c>
      <c r="E12280" t="s">
        <v>100</v>
      </c>
      <c r="F12280" t="s">
        <v>958</v>
      </c>
      <c r="G12280">
        <v>6077777</v>
      </c>
      <c r="H12280">
        <v>500220</v>
      </c>
      <c r="I12280" t="s">
        <v>949</v>
      </c>
    </row>
    <row r="12281" spans="1:9" x14ac:dyDescent="0.25">
      <c r="A12281">
        <v>3130</v>
      </c>
      <c r="B12281">
        <v>60</v>
      </c>
      <c r="C12281" t="s">
        <v>962</v>
      </c>
      <c r="D12281" t="s">
        <v>999</v>
      </c>
      <c r="E12281" t="s">
        <v>100</v>
      </c>
      <c r="F12281" t="s">
        <v>959</v>
      </c>
      <c r="G12281">
        <v>6077777</v>
      </c>
      <c r="H12281">
        <v>500220</v>
      </c>
      <c r="I12281" t="s">
        <v>949</v>
      </c>
    </row>
    <row r="12282" spans="1:9" x14ac:dyDescent="0.25">
      <c r="A12282">
        <v>3130</v>
      </c>
      <c r="B12282">
        <v>60</v>
      </c>
      <c r="C12282" t="s">
        <v>962</v>
      </c>
      <c r="D12282" t="s">
        <v>999</v>
      </c>
      <c r="E12282" t="s">
        <v>100</v>
      </c>
      <c r="F12282" t="s">
        <v>960</v>
      </c>
      <c r="G12282">
        <v>6077777</v>
      </c>
      <c r="H12282">
        <v>500220</v>
      </c>
      <c r="I12282" t="s">
        <v>949</v>
      </c>
    </row>
    <row r="12283" spans="1:9" x14ac:dyDescent="0.25">
      <c r="A12283">
        <v>3130</v>
      </c>
      <c r="B12283">
        <v>60</v>
      </c>
      <c r="C12283" t="s">
        <v>962</v>
      </c>
      <c r="D12283" t="s">
        <v>999</v>
      </c>
      <c r="E12283" t="s">
        <v>100</v>
      </c>
      <c r="F12283" t="s">
        <v>961</v>
      </c>
      <c r="G12283">
        <v>6077777</v>
      </c>
      <c r="H12283">
        <v>500220</v>
      </c>
      <c r="I12283" t="s">
        <v>949</v>
      </c>
    </row>
    <row r="12284" spans="1:9" x14ac:dyDescent="0.25">
      <c r="A12284">
        <v>3130</v>
      </c>
      <c r="B12284">
        <v>60</v>
      </c>
      <c r="C12284" t="s">
        <v>963</v>
      </c>
      <c r="D12284" t="s">
        <v>999</v>
      </c>
      <c r="E12284" t="s">
        <v>100</v>
      </c>
      <c r="F12284" t="s">
        <v>951</v>
      </c>
      <c r="G12284">
        <v>6077777</v>
      </c>
      <c r="H12284">
        <v>500220</v>
      </c>
      <c r="I12284" t="s">
        <v>949</v>
      </c>
    </row>
    <row r="12285" spans="1:9" x14ac:dyDescent="0.25">
      <c r="A12285">
        <v>3130</v>
      </c>
      <c r="B12285">
        <v>60</v>
      </c>
      <c r="C12285" t="s">
        <v>963</v>
      </c>
      <c r="D12285" t="s">
        <v>999</v>
      </c>
      <c r="E12285" t="s">
        <v>100</v>
      </c>
      <c r="F12285" t="s">
        <v>952</v>
      </c>
      <c r="G12285">
        <v>6077777</v>
      </c>
      <c r="H12285">
        <v>500220</v>
      </c>
      <c r="I12285" t="s">
        <v>949</v>
      </c>
    </row>
    <row r="12286" spans="1:9" x14ac:dyDescent="0.25">
      <c r="A12286">
        <v>3130</v>
      </c>
      <c r="B12286">
        <v>60</v>
      </c>
      <c r="C12286" t="s">
        <v>963</v>
      </c>
      <c r="D12286" t="s">
        <v>999</v>
      </c>
      <c r="E12286" t="s">
        <v>100</v>
      </c>
      <c r="F12286" t="s">
        <v>953</v>
      </c>
      <c r="G12286">
        <v>6077777</v>
      </c>
      <c r="H12286">
        <v>500220</v>
      </c>
      <c r="I12286" t="s">
        <v>949</v>
      </c>
    </row>
    <row r="12287" spans="1:9" x14ac:dyDescent="0.25">
      <c r="A12287">
        <v>3130</v>
      </c>
      <c r="B12287">
        <v>60</v>
      </c>
      <c r="C12287" t="s">
        <v>963</v>
      </c>
      <c r="D12287" t="s">
        <v>999</v>
      </c>
      <c r="E12287" t="s">
        <v>100</v>
      </c>
      <c r="F12287" t="s">
        <v>954</v>
      </c>
      <c r="G12287">
        <v>6077777</v>
      </c>
      <c r="H12287">
        <v>500220</v>
      </c>
      <c r="I12287" t="s">
        <v>949</v>
      </c>
    </row>
    <row r="12288" spans="1:9" x14ac:dyDescent="0.25">
      <c r="A12288">
        <v>3130</v>
      </c>
      <c r="B12288">
        <v>60</v>
      </c>
      <c r="C12288" t="s">
        <v>963</v>
      </c>
      <c r="D12288" t="s">
        <v>999</v>
      </c>
      <c r="E12288" t="s">
        <v>100</v>
      </c>
      <c r="F12288" t="s">
        <v>955</v>
      </c>
      <c r="G12288">
        <v>6077777</v>
      </c>
      <c r="H12288">
        <v>500220</v>
      </c>
      <c r="I12288" t="s">
        <v>949</v>
      </c>
    </row>
    <row r="12289" spans="1:9" x14ac:dyDescent="0.25">
      <c r="A12289">
        <v>3130</v>
      </c>
      <c r="B12289">
        <v>60</v>
      </c>
      <c r="C12289" t="s">
        <v>963</v>
      </c>
      <c r="D12289" t="s">
        <v>999</v>
      </c>
      <c r="E12289" t="s">
        <v>100</v>
      </c>
      <c r="F12289" t="s">
        <v>956</v>
      </c>
      <c r="G12289">
        <v>6077777</v>
      </c>
      <c r="H12289">
        <v>500220</v>
      </c>
      <c r="I12289" t="s">
        <v>949</v>
      </c>
    </row>
    <row r="12290" spans="1:9" x14ac:dyDescent="0.25">
      <c r="A12290">
        <v>3130</v>
      </c>
      <c r="B12290">
        <v>60</v>
      </c>
      <c r="C12290" t="s">
        <v>963</v>
      </c>
      <c r="D12290" t="s">
        <v>999</v>
      </c>
      <c r="E12290" t="s">
        <v>100</v>
      </c>
      <c r="F12290" t="s">
        <v>957</v>
      </c>
      <c r="G12290">
        <v>6077777</v>
      </c>
      <c r="H12290">
        <v>500220</v>
      </c>
      <c r="I12290" t="s">
        <v>949</v>
      </c>
    </row>
    <row r="12291" spans="1:9" x14ac:dyDescent="0.25">
      <c r="A12291">
        <v>3130</v>
      </c>
      <c r="B12291">
        <v>60</v>
      </c>
      <c r="C12291" t="s">
        <v>963</v>
      </c>
      <c r="D12291" t="s">
        <v>999</v>
      </c>
      <c r="E12291" t="s">
        <v>100</v>
      </c>
      <c r="F12291" t="s">
        <v>958</v>
      </c>
      <c r="G12291">
        <v>6077777</v>
      </c>
      <c r="H12291">
        <v>500220</v>
      </c>
      <c r="I12291" t="s">
        <v>949</v>
      </c>
    </row>
    <row r="12292" spans="1:9" x14ac:dyDescent="0.25">
      <c r="A12292">
        <v>3130</v>
      </c>
      <c r="B12292">
        <v>60</v>
      </c>
      <c r="C12292" t="s">
        <v>963</v>
      </c>
      <c r="D12292" t="s">
        <v>999</v>
      </c>
      <c r="E12292" t="s">
        <v>100</v>
      </c>
      <c r="F12292" t="s">
        <v>959</v>
      </c>
      <c r="G12292">
        <v>6077777</v>
      </c>
      <c r="H12292">
        <v>500220</v>
      </c>
      <c r="I12292" t="s">
        <v>949</v>
      </c>
    </row>
    <row r="12293" spans="1:9" x14ac:dyDescent="0.25">
      <c r="A12293">
        <v>3130</v>
      </c>
      <c r="B12293">
        <v>60</v>
      </c>
      <c r="C12293" t="s">
        <v>963</v>
      </c>
      <c r="D12293" t="s">
        <v>999</v>
      </c>
      <c r="E12293" t="s">
        <v>100</v>
      </c>
      <c r="F12293" t="s">
        <v>960</v>
      </c>
      <c r="G12293">
        <v>6077777</v>
      </c>
      <c r="H12293">
        <v>500220</v>
      </c>
      <c r="I12293" t="s">
        <v>949</v>
      </c>
    </row>
    <row r="12294" spans="1:9" x14ac:dyDescent="0.25">
      <c r="A12294">
        <v>3130</v>
      </c>
      <c r="B12294">
        <v>60</v>
      </c>
      <c r="C12294" t="s">
        <v>963</v>
      </c>
      <c r="D12294" t="s">
        <v>999</v>
      </c>
      <c r="E12294" t="s">
        <v>100</v>
      </c>
      <c r="F12294" t="s">
        <v>961</v>
      </c>
      <c r="G12294">
        <v>6077777</v>
      </c>
      <c r="H12294">
        <v>500220</v>
      </c>
      <c r="I12294" t="s">
        <v>949</v>
      </c>
    </row>
    <row r="12295" ht="22" customHeight="1" spans="1:10" x14ac:dyDescent="0.25">
      <c r="A12295" s="43">
        <v>3130</v>
      </c>
      <c r="B12295" s="43">
        <v>60</v>
      </c>
      <c r="C12295" s="43" t="s">
        <v>950</v>
      </c>
      <c r="D12295" s="43" t="s">
        <v>999</v>
      </c>
      <c r="E12295" s="43" t="s">
        <v>270</v>
      </c>
      <c r="F12295" s="43" t="s">
        <v>951</v>
      </c>
      <c r="G12295" s="43">
        <v>6000000</v>
      </c>
      <c r="H12295" s="43">
        <v>145000</v>
      </c>
      <c r="I12295" s="43" t="s">
        <v>949</v>
      </c>
      <c r="J12295" s="44" t="s">
        <v>1000</v>
      </c>
    </row>
    <row r="12296" ht="22" customHeight="1" spans="1:10" x14ac:dyDescent="0.25">
      <c r="A12296" s="43">
        <v>3130</v>
      </c>
      <c r="B12296" s="43">
        <v>60</v>
      </c>
      <c r="C12296" s="43" t="s">
        <v>950</v>
      </c>
      <c r="D12296" s="43" t="s">
        <v>999</v>
      </c>
      <c r="E12296" s="43" t="s">
        <v>270</v>
      </c>
      <c r="F12296" s="43" t="s">
        <v>952</v>
      </c>
      <c r="G12296" s="43">
        <v>6000000</v>
      </c>
      <c r="H12296" s="43">
        <v>145000</v>
      </c>
      <c r="I12296" s="43" t="s">
        <v>949</v>
      </c>
      <c r="J12296" s="44" t="s">
        <v>1000</v>
      </c>
    </row>
    <row r="12297" ht="22" customHeight="1" spans="1:10" x14ac:dyDescent="0.25">
      <c r="A12297" s="43">
        <v>3130</v>
      </c>
      <c r="B12297" s="43">
        <v>60</v>
      </c>
      <c r="C12297" s="43" t="s">
        <v>950</v>
      </c>
      <c r="D12297" s="43" t="s">
        <v>999</v>
      </c>
      <c r="E12297" s="43" t="s">
        <v>270</v>
      </c>
      <c r="F12297" s="43" t="s">
        <v>953</v>
      </c>
      <c r="G12297" s="43">
        <v>6000000</v>
      </c>
      <c r="H12297" s="43">
        <v>145000</v>
      </c>
      <c r="I12297" s="43" t="s">
        <v>949</v>
      </c>
      <c r="J12297" s="44" t="s">
        <v>1000</v>
      </c>
    </row>
    <row r="12298" ht="22" customHeight="1" spans="1:10" x14ac:dyDescent="0.25">
      <c r="A12298" s="43">
        <v>3130</v>
      </c>
      <c r="B12298" s="43">
        <v>60</v>
      </c>
      <c r="C12298" s="43" t="s">
        <v>950</v>
      </c>
      <c r="D12298" s="43" t="s">
        <v>999</v>
      </c>
      <c r="E12298" s="43" t="s">
        <v>270</v>
      </c>
      <c r="F12298" s="43" t="s">
        <v>954</v>
      </c>
      <c r="G12298" s="43">
        <v>6000000</v>
      </c>
      <c r="H12298" s="43">
        <v>145000</v>
      </c>
      <c r="I12298" s="43" t="s">
        <v>949</v>
      </c>
      <c r="J12298" s="44" t="s">
        <v>1000</v>
      </c>
    </row>
    <row r="12299" ht="22" customHeight="1" spans="1:10" x14ac:dyDescent="0.25">
      <c r="A12299" s="43">
        <v>3130</v>
      </c>
      <c r="B12299" s="43">
        <v>60</v>
      </c>
      <c r="C12299" s="43" t="s">
        <v>950</v>
      </c>
      <c r="D12299" s="43" t="s">
        <v>999</v>
      </c>
      <c r="E12299" s="43" t="s">
        <v>270</v>
      </c>
      <c r="F12299" s="43" t="s">
        <v>955</v>
      </c>
      <c r="G12299" s="43">
        <v>6000000</v>
      </c>
      <c r="H12299" s="43">
        <v>145000</v>
      </c>
      <c r="I12299" s="43" t="s">
        <v>949</v>
      </c>
      <c r="J12299" s="44" t="s">
        <v>1000</v>
      </c>
    </row>
    <row r="12300" ht="22" customHeight="1" spans="1:10" x14ac:dyDescent="0.25">
      <c r="A12300" s="43">
        <v>3130</v>
      </c>
      <c r="B12300" s="43">
        <v>60</v>
      </c>
      <c r="C12300" s="43" t="s">
        <v>950</v>
      </c>
      <c r="D12300" s="43" t="s">
        <v>999</v>
      </c>
      <c r="E12300" s="43" t="s">
        <v>270</v>
      </c>
      <c r="F12300" s="43" t="s">
        <v>956</v>
      </c>
      <c r="G12300" s="43">
        <v>6000000</v>
      </c>
      <c r="H12300" s="43">
        <v>145000</v>
      </c>
      <c r="I12300" s="43" t="s">
        <v>949</v>
      </c>
      <c r="J12300" s="44" t="s">
        <v>1000</v>
      </c>
    </row>
    <row r="12301" ht="22" customHeight="1" spans="1:10" x14ac:dyDescent="0.25">
      <c r="A12301" s="43">
        <v>3130</v>
      </c>
      <c r="B12301" s="43">
        <v>60</v>
      </c>
      <c r="C12301" s="43" t="s">
        <v>950</v>
      </c>
      <c r="D12301" s="43" t="s">
        <v>999</v>
      </c>
      <c r="E12301" s="43" t="s">
        <v>270</v>
      </c>
      <c r="F12301" s="43" t="s">
        <v>957</v>
      </c>
      <c r="G12301" s="43">
        <v>6000000</v>
      </c>
      <c r="H12301" s="43">
        <v>145000</v>
      </c>
      <c r="I12301" s="43" t="s">
        <v>949</v>
      </c>
      <c r="J12301" s="44" t="s">
        <v>1000</v>
      </c>
    </row>
    <row r="12302" ht="22" customHeight="1" spans="1:10" x14ac:dyDescent="0.25">
      <c r="A12302" s="43">
        <v>3130</v>
      </c>
      <c r="B12302" s="43">
        <v>60</v>
      </c>
      <c r="C12302" s="43" t="s">
        <v>950</v>
      </c>
      <c r="D12302" s="43" t="s">
        <v>999</v>
      </c>
      <c r="E12302" s="43" t="s">
        <v>270</v>
      </c>
      <c r="F12302" s="43" t="s">
        <v>958</v>
      </c>
      <c r="G12302" s="43">
        <v>6000000</v>
      </c>
      <c r="H12302" s="43">
        <v>145000</v>
      </c>
      <c r="I12302" s="43" t="s">
        <v>949</v>
      </c>
      <c r="J12302" s="44" t="s">
        <v>1000</v>
      </c>
    </row>
    <row r="12303" ht="22" customHeight="1" spans="1:10" x14ac:dyDescent="0.25">
      <c r="A12303" s="43">
        <v>3130</v>
      </c>
      <c r="B12303" s="43">
        <v>60</v>
      </c>
      <c r="C12303" s="43" t="s">
        <v>950</v>
      </c>
      <c r="D12303" s="43" t="s">
        <v>999</v>
      </c>
      <c r="E12303" s="43" t="s">
        <v>270</v>
      </c>
      <c r="F12303" s="43" t="s">
        <v>959</v>
      </c>
      <c r="G12303" s="43">
        <v>6000000</v>
      </c>
      <c r="H12303" s="43">
        <v>145000</v>
      </c>
      <c r="I12303" s="43" t="s">
        <v>949</v>
      </c>
      <c r="J12303" s="44" t="s">
        <v>1000</v>
      </c>
    </row>
    <row r="12304" ht="22" customHeight="1" spans="1:10" x14ac:dyDescent="0.25">
      <c r="A12304" s="43">
        <v>3130</v>
      </c>
      <c r="B12304" s="43">
        <v>60</v>
      </c>
      <c r="C12304" s="43" t="s">
        <v>950</v>
      </c>
      <c r="D12304" s="43" t="s">
        <v>999</v>
      </c>
      <c r="E12304" s="43" t="s">
        <v>270</v>
      </c>
      <c r="F12304" s="43" t="s">
        <v>960</v>
      </c>
      <c r="G12304" s="43">
        <v>6000000</v>
      </c>
      <c r="H12304" s="43">
        <v>145000</v>
      </c>
      <c r="I12304" s="43" t="s">
        <v>949</v>
      </c>
      <c r="J12304" s="44" t="s">
        <v>1000</v>
      </c>
    </row>
    <row r="12305" ht="22" customHeight="1" spans="1:10" x14ac:dyDescent="0.25">
      <c r="A12305" s="43">
        <v>3130</v>
      </c>
      <c r="B12305" s="43">
        <v>60</v>
      </c>
      <c r="C12305" s="43" t="s">
        <v>950</v>
      </c>
      <c r="D12305" s="43" t="s">
        <v>999</v>
      </c>
      <c r="E12305" s="43" t="s">
        <v>270</v>
      </c>
      <c r="F12305" s="43" t="s">
        <v>961</v>
      </c>
      <c r="G12305" s="43">
        <v>6000000</v>
      </c>
      <c r="H12305" s="43">
        <v>145000</v>
      </c>
      <c r="I12305" s="43" t="s">
        <v>949</v>
      </c>
      <c r="J12305" s="44" t="s">
        <v>1000</v>
      </c>
    </row>
    <row r="12306" ht="22" customHeight="1" spans="1:10" x14ac:dyDescent="0.25">
      <c r="A12306" s="43">
        <v>3130</v>
      </c>
      <c r="B12306" s="43">
        <v>60</v>
      </c>
      <c r="C12306" s="43" t="s">
        <v>962</v>
      </c>
      <c r="D12306" s="43" t="s">
        <v>999</v>
      </c>
      <c r="E12306" s="43" t="s">
        <v>270</v>
      </c>
      <c r="F12306" s="43" t="s">
        <v>951</v>
      </c>
      <c r="G12306" s="43">
        <v>6000000</v>
      </c>
      <c r="H12306" s="43">
        <v>145000</v>
      </c>
      <c r="I12306" s="43" t="s">
        <v>949</v>
      </c>
      <c r="J12306" s="44" t="s">
        <v>1000</v>
      </c>
    </row>
    <row r="12307" ht="22" customHeight="1" spans="1:10" x14ac:dyDescent="0.25">
      <c r="A12307" s="43">
        <v>3130</v>
      </c>
      <c r="B12307" s="43">
        <v>60</v>
      </c>
      <c r="C12307" s="43" t="s">
        <v>962</v>
      </c>
      <c r="D12307" s="43" t="s">
        <v>999</v>
      </c>
      <c r="E12307" s="43" t="s">
        <v>270</v>
      </c>
      <c r="F12307" s="43" t="s">
        <v>952</v>
      </c>
      <c r="G12307" s="43">
        <v>6000000</v>
      </c>
      <c r="H12307" s="43">
        <v>145000</v>
      </c>
      <c r="I12307" s="43" t="s">
        <v>949</v>
      </c>
      <c r="J12307" s="44" t="s">
        <v>1000</v>
      </c>
    </row>
    <row r="12308" ht="22" customHeight="1" spans="1:10" x14ac:dyDescent="0.25">
      <c r="A12308" s="43">
        <v>3130</v>
      </c>
      <c r="B12308" s="43">
        <v>60</v>
      </c>
      <c r="C12308" s="43" t="s">
        <v>962</v>
      </c>
      <c r="D12308" s="43" t="s">
        <v>999</v>
      </c>
      <c r="E12308" s="43" t="s">
        <v>270</v>
      </c>
      <c r="F12308" s="43" t="s">
        <v>953</v>
      </c>
      <c r="G12308" s="43">
        <v>6000000</v>
      </c>
      <c r="H12308" s="43">
        <v>145000</v>
      </c>
      <c r="I12308" s="43" t="s">
        <v>949</v>
      </c>
      <c r="J12308" s="44" t="s">
        <v>1000</v>
      </c>
    </row>
    <row r="12309" ht="22" customHeight="1" spans="1:10" x14ac:dyDescent="0.25">
      <c r="A12309" s="43">
        <v>3130</v>
      </c>
      <c r="B12309" s="43">
        <v>60</v>
      </c>
      <c r="C12309" s="43" t="s">
        <v>962</v>
      </c>
      <c r="D12309" s="43" t="s">
        <v>999</v>
      </c>
      <c r="E12309" s="43" t="s">
        <v>270</v>
      </c>
      <c r="F12309" s="43" t="s">
        <v>954</v>
      </c>
      <c r="G12309" s="43">
        <v>6000000</v>
      </c>
      <c r="H12309" s="43">
        <v>145000</v>
      </c>
      <c r="I12309" s="43" t="s">
        <v>949</v>
      </c>
      <c r="J12309" s="44" t="s">
        <v>1000</v>
      </c>
    </row>
    <row r="12310" ht="22" customHeight="1" spans="1:10" x14ac:dyDescent="0.25">
      <c r="A12310" s="43">
        <v>3130</v>
      </c>
      <c r="B12310" s="43">
        <v>60</v>
      </c>
      <c r="C12310" s="43" t="s">
        <v>962</v>
      </c>
      <c r="D12310" s="43" t="s">
        <v>999</v>
      </c>
      <c r="E12310" s="43" t="s">
        <v>270</v>
      </c>
      <c r="F12310" s="43" t="s">
        <v>955</v>
      </c>
      <c r="G12310" s="43">
        <v>6000000</v>
      </c>
      <c r="H12310" s="43">
        <v>145000</v>
      </c>
      <c r="I12310" s="43" t="s">
        <v>949</v>
      </c>
      <c r="J12310" s="44" t="s">
        <v>1000</v>
      </c>
    </row>
    <row r="12311" ht="22" customHeight="1" spans="1:10" x14ac:dyDescent="0.25">
      <c r="A12311" s="43">
        <v>3130</v>
      </c>
      <c r="B12311" s="43">
        <v>60</v>
      </c>
      <c r="C12311" s="43" t="s">
        <v>962</v>
      </c>
      <c r="D12311" s="43" t="s">
        <v>999</v>
      </c>
      <c r="E12311" s="43" t="s">
        <v>270</v>
      </c>
      <c r="F12311" s="43" t="s">
        <v>956</v>
      </c>
      <c r="G12311" s="43">
        <v>6000000</v>
      </c>
      <c r="H12311" s="43">
        <v>145000</v>
      </c>
      <c r="I12311" s="43" t="s">
        <v>949</v>
      </c>
      <c r="J12311" s="44" t="s">
        <v>1000</v>
      </c>
    </row>
    <row r="12312" ht="22" customHeight="1" spans="1:10" x14ac:dyDescent="0.25">
      <c r="A12312" s="43">
        <v>3130</v>
      </c>
      <c r="B12312" s="43">
        <v>60</v>
      </c>
      <c r="C12312" s="43" t="s">
        <v>962</v>
      </c>
      <c r="D12312" s="43" t="s">
        <v>999</v>
      </c>
      <c r="E12312" s="43" t="s">
        <v>270</v>
      </c>
      <c r="F12312" s="43" t="s">
        <v>957</v>
      </c>
      <c r="G12312" s="43">
        <v>6000000</v>
      </c>
      <c r="H12312" s="43">
        <v>145000</v>
      </c>
      <c r="I12312" s="43" t="s">
        <v>949</v>
      </c>
      <c r="J12312" s="44" t="s">
        <v>1000</v>
      </c>
    </row>
    <row r="12313" ht="22" customHeight="1" spans="1:10" x14ac:dyDescent="0.25">
      <c r="A12313" s="43">
        <v>3130</v>
      </c>
      <c r="B12313" s="43">
        <v>60</v>
      </c>
      <c r="C12313" s="43" t="s">
        <v>962</v>
      </c>
      <c r="D12313" s="43" t="s">
        <v>999</v>
      </c>
      <c r="E12313" s="43" t="s">
        <v>270</v>
      </c>
      <c r="F12313" s="43" t="s">
        <v>958</v>
      </c>
      <c r="G12313" s="43">
        <v>6000000</v>
      </c>
      <c r="H12313" s="43">
        <v>145000</v>
      </c>
      <c r="I12313" s="43" t="s">
        <v>949</v>
      </c>
      <c r="J12313" s="44" t="s">
        <v>1000</v>
      </c>
    </row>
    <row r="12314" ht="22" customHeight="1" spans="1:10" x14ac:dyDescent="0.25">
      <c r="A12314" s="43">
        <v>3130</v>
      </c>
      <c r="B12314" s="43">
        <v>60</v>
      </c>
      <c r="C12314" s="43" t="s">
        <v>962</v>
      </c>
      <c r="D12314" s="43" t="s">
        <v>999</v>
      </c>
      <c r="E12314" s="43" t="s">
        <v>270</v>
      </c>
      <c r="F12314" s="43" t="s">
        <v>959</v>
      </c>
      <c r="G12314" s="43">
        <v>6000000</v>
      </c>
      <c r="H12314" s="43">
        <v>145000</v>
      </c>
      <c r="I12314" s="43" t="s">
        <v>949</v>
      </c>
      <c r="J12314" s="44" t="s">
        <v>1000</v>
      </c>
    </row>
    <row r="12315" ht="22" customHeight="1" spans="1:10" x14ac:dyDescent="0.25">
      <c r="A12315" s="43">
        <v>3130</v>
      </c>
      <c r="B12315" s="43">
        <v>60</v>
      </c>
      <c r="C12315" s="43" t="s">
        <v>962</v>
      </c>
      <c r="D12315" s="43" t="s">
        <v>999</v>
      </c>
      <c r="E12315" s="43" t="s">
        <v>270</v>
      </c>
      <c r="F12315" s="43" t="s">
        <v>960</v>
      </c>
      <c r="G12315" s="43">
        <v>6000000</v>
      </c>
      <c r="H12315" s="43">
        <v>145000</v>
      </c>
      <c r="I12315" s="43" t="s">
        <v>949</v>
      </c>
      <c r="J12315" s="44" t="s">
        <v>1000</v>
      </c>
    </row>
    <row r="12316" ht="22" customHeight="1" spans="1:10" x14ac:dyDescent="0.25">
      <c r="A12316" s="43">
        <v>3130</v>
      </c>
      <c r="B12316" s="43">
        <v>60</v>
      </c>
      <c r="C12316" s="43" t="s">
        <v>962</v>
      </c>
      <c r="D12316" s="43" t="s">
        <v>999</v>
      </c>
      <c r="E12316" s="43" t="s">
        <v>270</v>
      </c>
      <c r="F12316" s="43" t="s">
        <v>961</v>
      </c>
      <c r="G12316" s="43">
        <v>6000000</v>
      </c>
      <c r="H12316" s="43">
        <v>145000</v>
      </c>
      <c r="I12316" s="43" t="s">
        <v>949</v>
      </c>
      <c r="J12316" s="44" t="s">
        <v>1000</v>
      </c>
    </row>
    <row r="12317" ht="22" customHeight="1" spans="1:10" x14ac:dyDescent="0.25">
      <c r="A12317" s="43">
        <v>3130</v>
      </c>
      <c r="B12317" s="43">
        <v>60</v>
      </c>
      <c r="C12317" s="43" t="s">
        <v>963</v>
      </c>
      <c r="D12317" s="43" t="s">
        <v>999</v>
      </c>
      <c r="E12317" s="43" t="s">
        <v>270</v>
      </c>
      <c r="F12317" s="43" t="s">
        <v>951</v>
      </c>
      <c r="G12317" s="43">
        <v>6000000</v>
      </c>
      <c r="H12317" s="43">
        <v>145000</v>
      </c>
      <c r="I12317" s="43" t="s">
        <v>949</v>
      </c>
      <c r="J12317" s="44" t="s">
        <v>1000</v>
      </c>
    </row>
    <row r="12318" ht="22" customHeight="1" spans="1:10" x14ac:dyDescent="0.25">
      <c r="A12318" s="43">
        <v>3130</v>
      </c>
      <c r="B12318" s="43">
        <v>60</v>
      </c>
      <c r="C12318" s="43" t="s">
        <v>963</v>
      </c>
      <c r="D12318" s="43" t="s">
        <v>999</v>
      </c>
      <c r="E12318" s="43" t="s">
        <v>270</v>
      </c>
      <c r="F12318" s="43" t="s">
        <v>952</v>
      </c>
      <c r="G12318" s="43">
        <v>6000000</v>
      </c>
      <c r="H12318" s="43">
        <v>145000</v>
      </c>
      <c r="I12318" s="43" t="s">
        <v>949</v>
      </c>
      <c r="J12318" s="44" t="s">
        <v>1000</v>
      </c>
    </row>
    <row r="12319" ht="22" customHeight="1" spans="1:10" x14ac:dyDescent="0.25">
      <c r="A12319" s="43">
        <v>3130</v>
      </c>
      <c r="B12319" s="43">
        <v>60</v>
      </c>
      <c r="C12319" s="43" t="s">
        <v>963</v>
      </c>
      <c r="D12319" s="43" t="s">
        <v>999</v>
      </c>
      <c r="E12319" s="43" t="s">
        <v>270</v>
      </c>
      <c r="F12319" s="43" t="s">
        <v>953</v>
      </c>
      <c r="G12319" s="43">
        <v>6000000</v>
      </c>
      <c r="H12319" s="43">
        <v>145000</v>
      </c>
      <c r="I12319" s="43" t="s">
        <v>949</v>
      </c>
      <c r="J12319" s="44" t="s">
        <v>1000</v>
      </c>
    </row>
    <row r="12320" ht="22" customHeight="1" spans="1:10" x14ac:dyDescent="0.25">
      <c r="A12320" s="43">
        <v>3130</v>
      </c>
      <c r="B12320" s="43">
        <v>60</v>
      </c>
      <c r="C12320" s="43" t="s">
        <v>963</v>
      </c>
      <c r="D12320" s="43" t="s">
        <v>999</v>
      </c>
      <c r="E12320" s="43" t="s">
        <v>270</v>
      </c>
      <c r="F12320" s="43" t="s">
        <v>954</v>
      </c>
      <c r="G12320" s="43">
        <v>6000000</v>
      </c>
      <c r="H12320" s="43">
        <v>145000</v>
      </c>
      <c r="I12320" s="43" t="s">
        <v>949</v>
      </c>
      <c r="J12320" s="44" t="s">
        <v>1000</v>
      </c>
    </row>
    <row r="12321" ht="22" customHeight="1" spans="1:10" x14ac:dyDescent="0.25">
      <c r="A12321" s="43">
        <v>3130</v>
      </c>
      <c r="B12321" s="43">
        <v>60</v>
      </c>
      <c r="C12321" s="43" t="s">
        <v>963</v>
      </c>
      <c r="D12321" s="43" t="s">
        <v>999</v>
      </c>
      <c r="E12321" s="43" t="s">
        <v>270</v>
      </c>
      <c r="F12321" s="43" t="s">
        <v>955</v>
      </c>
      <c r="G12321" s="43">
        <v>6000000</v>
      </c>
      <c r="H12321" s="43">
        <v>145000</v>
      </c>
      <c r="I12321" s="43" t="s">
        <v>949</v>
      </c>
      <c r="J12321" s="44" t="s">
        <v>1000</v>
      </c>
    </row>
    <row r="12322" ht="22" customHeight="1" spans="1:10" x14ac:dyDescent="0.25">
      <c r="A12322" s="43">
        <v>3130</v>
      </c>
      <c r="B12322" s="43">
        <v>60</v>
      </c>
      <c r="C12322" s="43" t="s">
        <v>963</v>
      </c>
      <c r="D12322" s="43" t="s">
        <v>999</v>
      </c>
      <c r="E12322" s="43" t="s">
        <v>270</v>
      </c>
      <c r="F12322" s="43" t="s">
        <v>956</v>
      </c>
      <c r="G12322" s="43">
        <v>6000000</v>
      </c>
      <c r="H12322" s="43">
        <v>145000</v>
      </c>
      <c r="I12322" s="43" t="s">
        <v>949</v>
      </c>
      <c r="J12322" s="44" t="s">
        <v>1000</v>
      </c>
    </row>
    <row r="12323" ht="22" customHeight="1" spans="1:10" x14ac:dyDescent="0.25">
      <c r="A12323" s="43">
        <v>3130</v>
      </c>
      <c r="B12323" s="43">
        <v>60</v>
      </c>
      <c r="C12323" s="43" t="s">
        <v>963</v>
      </c>
      <c r="D12323" s="43" t="s">
        <v>999</v>
      </c>
      <c r="E12323" s="43" t="s">
        <v>270</v>
      </c>
      <c r="F12323" s="43" t="s">
        <v>957</v>
      </c>
      <c r="G12323" s="43">
        <v>6000000</v>
      </c>
      <c r="H12323" s="43">
        <v>145000</v>
      </c>
      <c r="I12323" s="43" t="s">
        <v>949</v>
      </c>
      <c r="J12323" s="44" t="s">
        <v>1000</v>
      </c>
    </row>
    <row r="12324" ht="22" customHeight="1" spans="1:10" x14ac:dyDescent="0.25">
      <c r="A12324" s="43">
        <v>3130</v>
      </c>
      <c r="B12324" s="43">
        <v>60</v>
      </c>
      <c r="C12324" s="43" t="s">
        <v>963</v>
      </c>
      <c r="D12324" s="43" t="s">
        <v>999</v>
      </c>
      <c r="E12324" s="43" t="s">
        <v>270</v>
      </c>
      <c r="F12324" s="43" t="s">
        <v>958</v>
      </c>
      <c r="G12324" s="43">
        <v>6000000</v>
      </c>
      <c r="H12324" s="43">
        <v>145000</v>
      </c>
      <c r="I12324" s="43" t="s">
        <v>949</v>
      </c>
      <c r="J12324" s="44" t="s">
        <v>1000</v>
      </c>
    </row>
    <row r="12325" ht="22" customHeight="1" spans="1:10" x14ac:dyDescent="0.25">
      <c r="A12325" s="43">
        <v>3130</v>
      </c>
      <c r="B12325" s="43">
        <v>60</v>
      </c>
      <c r="C12325" s="43" t="s">
        <v>963</v>
      </c>
      <c r="D12325" s="43" t="s">
        <v>999</v>
      </c>
      <c r="E12325" s="43" t="s">
        <v>270</v>
      </c>
      <c r="F12325" s="43" t="s">
        <v>959</v>
      </c>
      <c r="G12325" s="43">
        <v>6000000</v>
      </c>
      <c r="H12325" s="43">
        <v>145000</v>
      </c>
      <c r="I12325" s="43" t="s">
        <v>949</v>
      </c>
      <c r="J12325" s="44" t="s">
        <v>1000</v>
      </c>
    </row>
    <row r="12326" ht="22" customHeight="1" spans="1:10" x14ac:dyDescent="0.25">
      <c r="A12326" s="43">
        <v>3130</v>
      </c>
      <c r="B12326" s="43">
        <v>60</v>
      </c>
      <c r="C12326" s="43" t="s">
        <v>963</v>
      </c>
      <c r="D12326" s="43" t="s">
        <v>999</v>
      </c>
      <c r="E12326" s="43" t="s">
        <v>270</v>
      </c>
      <c r="F12326" s="43" t="s">
        <v>960</v>
      </c>
      <c r="G12326" s="43">
        <v>6000000</v>
      </c>
      <c r="H12326" s="43">
        <v>145000</v>
      </c>
      <c r="I12326" s="43" t="s">
        <v>949</v>
      </c>
      <c r="J12326" s="44" t="s">
        <v>1000</v>
      </c>
    </row>
    <row r="12327" ht="22" customHeight="1" spans="1:10" x14ac:dyDescent="0.25">
      <c r="A12327" s="43">
        <v>3130</v>
      </c>
      <c r="B12327" s="43">
        <v>60</v>
      </c>
      <c r="C12327" s="43" t="s">
        <v>963</v>
      </c>
      <c r="D12327" s="43" t="s">
        <v>999</v>
      </c>
      <c r="E12327" s="43" t="s">
        <v>270</v>
      </c>
      <c r="F12327" s="43" t="s">
        <v>961</v>
      </c>
      <c r="G12327" s="43">
        <v>6000000</v>
      </c>
      <c r="H12327" s="43">
        <v>145000</v>
      </c>
      <c r="I12327" s="43" t="s">
        <v>949</v>
      </c>
      <c r="J12327" s="44" t="s">
        <v>1000</v>
      </c>
    </row>
    <row r="12328" spans="1:9" x14ac:dyDescent="0.25">
      <c r="A12328">
        <v>3130</v>
      </c>
      <c r="B12328">
        <v>60</v>
      </c>
      <c r="C12328" t="s">
        <v>950</v>
      </c>
      <c r="D12328" t="s">
        <v>999</v>
      </c>
      <c r="E12328" t="s">
        <v>274</v>
      </c>
      <c r="F12328" t="s">
        <v>951</v>
      </c>
      <c r="G12328">
        <v>6000000</v>
      </c>
      <c r="H12328">
        <v>143000</v>
      </c>
      <c r="I12328" t="s">
        <v>973</v>
      </c>
    </row>
    <row r="12329" spans="1:9" x14ac:dyDescent="0.25">
      <c r="A12329">
        <v>3130</v>
      </c>
      <c r="B12329">
        <v>60</v>
      </c>
      <c r="C12329" t="s">
        <v>950</v>
      </c>
      <c r="D12329" t="s">
        <v>999</v>
      </c>
      <c r="E12329" t="s">
        <v>274</v>
      </c>
      <c r="F12329" t="s">
        <v>952</v>
      </c>
      <c r="G12329">
        <v>6000000</v>
      </c>
      <c r="H12329">
        <v>143000</v>
      </c>
      <c r="I12329" t="s">
        <v>973</v>
      </c>
    </row>
    <row r="12330" spans="1:9" x14ac:dyDescent="0.25">
      <c r="A12330">
        <v>3130</v>
      </c>
      <c r="B12330">
        <v>60</v>
      </c>
      <c r="C12330" t="s">
        <v>950</v>
      </c>
      <c r="D12330" t="s">
        <v>999</v>
      </c>
      <c r="E12330" t="s">
        <v>274</v>
      </c>
      <c r="F12330" t="s">
        <v>953</v>
      </c>
      <c r="G12330">
        <v>6000000</v>
      </c>
      <c r="H12330">
        <v>143000</v>
      </c>
      <c r="I12330" t="s">
        <v>973</v>
      </c>
    </row>
    <row r="12331" spans="1:9" x14ac:dyDescent="0.25">
      <c r="A12331">
        <v>3130</v>
      </c>
      <c r="B12331">
        <v>60</v>
      </c>
      <c r="C12331" t="s">
        <v>950</v>
      </c>
      <c r="D12331" t="s">
        <v>999</v>
      </c>
      <c r="E12331" t="s">
        <v>274</v>
      </c>
      <c r="F12331" t="s">
        <v>954</v>
      </c>
      <c r="G12331">
        <v>6000000</v>
      </c>
      <c r="H12331">
        <v>143000</v>
      </c>
      <c r="I12331" t="s">
        <v>973</v>
      </c>
    </row>
    <row r="12332" spans="1:9" x14ac:dyDescent="0.25">
      <c r="A12332">
        <v>3130</v>
      </c>
      <c r="B12332">
        <v>60</v>
      </c>
      <c r="C12332" t="s">
        <v>950</v>
      </c>
      <c r="D12332" t="s">
        <v>999</v>
      </c>
      <c r="E12332" t="s">
        <v>274</v>
      </c>
      <c r="F12332" t="s">
        <v>955</v>
      </c>
      <c r="G12332">
        <v>6000000</v>
      </c>
      <c r="H12332">
        <v>143000</v>
      </c>
      <c r="I12332" t="s">
        <v>973</v>
      </c>
    </row>
    <row r="12333" spans="1:9" x14ac:dyDescent="0.25">
      <c r="A12333">
        <v>3130</v>
      </c>
      <c r="B12333">
        <v>60</v>
      </c>
      <c r="C12333" t="s">
        <v>950</v>
      </c>
      <c r="D12333" t="s">
        <v>999</v>
      </c>
      <c r="E12333" t="s">
        <v>274</v>
      </c>
      <c r="F12333" t="s">
        <v>956</v>
      </c>
      <c r="G12333">
        <v>6000000</v>
      </c>
      <c r="H12333">
        <v>143000</v>
      </c>
      <c r="I12333" t="s">
        <v>973</v>
      </c>
    </row>
    <row r="12334" spans="1:9" x14ac:dyDescent="0.25">
      <c r="A12334">
        <v>3130</v>
      </c>
      <c r="B12334">
        <v>60</v>
      </c>
      <c r="C12334" t="s">
        <v>950</v>
      </c>
      <c r="D12334" t="s">
        <v>999</v>
      </c>
      <c r="E12334" t="s">
        <v>274</v>
      </c>
      <c r="F12334" t="s">
        <v>957</v>
      </c>
      <c r="G12334">
        <v>6000000</v>
      </c>
      <c r="H12334">
        <v>143000</v>
      </c>
      <c r="I12334" t="s">
        <v>973</v>
      </c>
    </row>
    <row r="12335" spans="1:9" x14ac:dyDescent="0.25">
      <c r="A12335">
        <v>3130</v>
      </c>
      <c r="B12335">
        <v>60</v>
      </c>
      <c r="C12335" t="s">
        <v>950</v>
      </c>
      <c r="D12335" t="s">
        <v>999</v>
      </c>
      <c r="E12335" t="s">
        <v>274</v>
      </c>
      <c r="F12335" t="s">
        <v>958</v>
      </c>
      <c r="G12335">
        <v>6000000</v>
      </c>
      <c r="H12335">
        <v>143000</v>
      </c>
      <c r="I12335" t="s">
        <v>973</v>
      </c>
    </row>
    <row r="12336" spans="1:9" x14ac:dyDescent="0.25">
      <c r="A12336">
        <v>3130</v>
      </c>
      <c r="B12336">
        <v>60</v>
      </c>
      <c r="C12336" t="s">
        <v>950</v>
      </c>
      <c r="D12336" t="s">
        <v>999</v>
      </c>
      <c r="E12336" t="s">
        <v>274</v>
      </c>
      <c r="F12336" t="s">
        <v>959</v>
      </c>
      <c r="G12336">
        <v>6000000</v>
      </c>
      <c r="H12336">
        <v>143000</v>
      </c>
      <c r="I12336" t="s">
        <v>973</v>
      </c>
    </row>
    <row r="12337" spans="1:9" x14ac:dyDescent="0.25">
      <c r="A12337">
        <v>3130</v>
      </c>
      <c r="B12337">
        <v>60</v>
      </c>
      <c r="C12337" t="s">
        <v>950</v>
      </c>
      <c r="D12337" t="s">
        <v>999</v>
      </c>
      <c r="E12337" t="s">
        <v>274</v>
      </c>
      <c r="F12337" t="s">
        <v>960</v>
      </c>
      <c r="G12337">
        <v>6000000</v>
      </c>
      <c r="H12337">
        <v>143000</v>
      </c>
      <c r="I12337" t="s">
        <v>973</v>
      </c>
    </row>
    <row r="12338" spans="1:9" x14ac:dyDescent="0.25">
      <c r="A12338">
        <v>3130</v>
      </c>
      <c r="B12338">
        <v>60</v>
      </c>
      <c r="C12338" t="s">
        <v>950</v>
      </c>
      <c r="D12338" t="s">
        <v>999</v>
      </c>
      <c r="E12338" t="s">
        <v>274</v>
      </c>
      <c r="F12338" t="s">
        <v>961</v>
      </c>
      <c r="G12338">
        <v>6000000</v>
      </c>
      <c r="H12338">
        <v>143000</v>
      </c>
      <c r="I12338" t="s">
        <v>973</v>
      </c>
    </row>
    <row r="12339" spans="1:9" x14ac:dyDescent="0.25">
      <c r="A12339">
        <v>3130</v>
      </c>
      <c r="B12339">
        <v>60</v>
      </c>
      <c r="C12339" t="s">
        <v>962</v>
      </c>
      <c r="D12339" t="s">
        <v>999</v>
      </c>
      <c r="E12339" t="s">
        <v>274</v>
      </c>
      <c r="F12339" t="s">
        <v>951</v>
      </c>
      <c r="G12339">
        <v>6000000</v>
      </c>
      <c r="H12339">
        <v>143000</v>
      </c>
      <c r="I12339" t="s">
        <v>973</v>
      </c>
    </row>
    <row r="12340" spans="1:9" x14ac:dyDescent="0.25">
      <c r="A12340">
        <v>3130</v>
      </c>
      <c r="B12340">
        <v>60</v>
      </c>
      <c r="C12340" t="s">
        <v>962</v>
      </c>
      <c r="D12340" t="s">
        <v>999</v>
      </c>
      <c r="E12340" t="s">
        <v>274</v>
      </c>
      <c r="F12340" t="s">
        <v>952</v>
      </c>
      <c r="G12340">
        <v>6000000</v>
      </c>
      <c r="H12340">
        <v>143000</v>
      </c>
      <c r="I12340" t="s">
        <v>973</v>
      </c>
    </row>
    <row r="12341" spans="1:9" x14ac:dyDescent="0.25">
      <c r="A12341">
        <v>3130</v>
      </c>
      <c r="B12341">
        <v>60</v>
      </c>
      <c r="C12341" t="s">
        <v>962</v>
      </c>
      <c r="D12341" t="s">
        <v>999</v>
      </c>
      <c r="E12341" t="s">
        <v>274</v>
      </c>
      <c r="F12341" t="s">
        <v>953</v>
      </c>
      <c r="G12341">
        <v>6000000</v>
      </c>
      <c r="H12341">
        <v>143000</v>
      </c>
      <c r="I12341" t="s">
        <v>973</v>
      </c>
    </row>
    <row r="12342" spans="1:9" x14ac:dyDescent="0.25">
      <c r="A12342">
        <v>3130</v>
      </c>
      <c r="B12342">
        <v>60</v>
      </c>
      <c r="C12342" t="s">
        <v>962</v>
      </c>
      <c r="D12342" t="s">
        <v>999</v>
      </c>
      <c r="E12342" t="s">
        <v>274</v>
      </c>
      <c r="F12342" t="s">
        <v>954</v>
      </c>
      <c r="G12342">
        <v>6000000</v>
      </c>
      <c r="H12342">
        <v>143000</v>
      </c>
      <c r="I12342" t="s">
        <v>973</v>
      </c>
    </row>
    <row r="12343" spans="1:9" x14ac:dyDescent="0.25">
      <c r="A12343">
        <v>3130</v>
      </c>
      <c r="B12343">
        <v>60</v>
      </c>
      <c r="C12343" t="s">
        <v>962</v>
      </c>
      <c r="D12343" t="s">
        <v>999</v>
      </c>
      <c r="E12343" t="s">
        <v>274</v>
      </c>
      <c r="F12343" t="s">
        <v>955</v>
      </c>
      <c r="G12343">
        <v>6000000</v>
      </c>
      <c r="H12343">
        <v>143000</v>
      </c>
      <c r="I12343" t="s">
        <v>973</v>
      </c>
    </row>
    <row r="12344" spans="1:9" x14ac:dyDescent="0.25">
      <c r="A12344">
        <v>3130</v>
      </c>
      <c r="B12344">
        <v>60</v>
      </c>
      <c r="C12344" t="s">
        <v>962</v>
      </c>
      <c r="D12344" t="s">
        <v>999</v>
      </c>
      <c r="E12344" t="s">
        <v>274</v>
      </c>
      <c r="F12344" t="s">
        <v>956</v>
      </c>
      <c r="G12344">
        <v>6000000</v>
      </c>
      <c r="H12344">
        <v>143000</v>
      </c>
      <c r="I12344" t="s">
        <v>973</v>
      </c>
    </row>
    <row r="12345" spans="1:9" x14ac:dyDescent="0.25">
      <c r="A12345">
        <v>3130</v>
      </c>
      <c r="B12345">
        <v>60</v>
      </c>
      <c r="C12345" t="s">
        <v>962</v>
      </c>
      <c r="D12345" t="s">
        <v>999</v>
      </c>
      <c r="E12345" t="s">
        <v>274</v>
      </c>
      <c r="F12345" t="s">
        <v>957</v>
      </c>
      <c r="G12345">
        <v>6000000</v>
      </c>
      <c r="H12345">
        <v>143000</v>
      </c>
      <c r="I12345" t="s">
        <v>973</v>
      </c>
    </row>
    <row r="12346" spans="1:9" x14ac:dyDescent="0.25">
      <c r="A12346">
        <v>3130</v>
      </c>
      <c r="B12346">
        <v>60</v>
      </c>
      <c r="C12346" t="s">
        <v>962</v>
      </c>
      <c r="D12346" t="s">
        <v>999</v>
      </c>
      <c r="E12346" t="s">
        <v>274</v>
      </c>
      <c r="F12346" t="s">
        <v>958</v>
      </c>
      <c r="G12346">
        <v>6000000</v>
      </c>
      <c r="H12346">
        <v>143000</v>
      </c>
      <c r="I12346" t="s">
        <v>973</v>
      </c>
    </row>
    <row r="12347" spans="1:9" x14ac:dyDescent="0.25">
      <c r="A12347">
        <v>3130</v>
      </c>
      <c r="B12347">
        <v>60</v>
      </c>
      <c r="C12347" t="s">
        <v>962</v>
      </c>
      <c r="D12347" t="s">
        <v>999</v>
      </c>
      <c r="E12347" t="s">
        <v>274</v>
      </c>
      <c r="F12347" t="s">
        <v>959</v>
      </c>
      <c r="G12347">
        <v>6000000</v>
      </c>
      <c r="H12347">
        <v>143000</v>
      </c>
      <c r="I12347" t="s">
        <v>973</v>
      </c>
    </row>
    <row r="12348" spans="1:9" x14ac:dyDescent="0.25">
      <c r="A12348">
        <v>3130</v>
      </c>
      <c r="B12348">
        <v>60</v>
      </c>
      <c r="C12348" t="s">
        <v>962</v>
      </c>
      <c r="D12348" t="s">
        <v>999</v>
      </c>
      <c r="E12348" t="s">
        <v>274</v>
      </c>
      <c r="F12348" t="s">
        <v>960</v>
      </c>
      <c r="G12348">
        <v>6000000</v>
      </c>
      <c r="H12348">
        <v>143000</v>
      </c>
      <c r="I12348" t="s">
        <v>973</v>
      </c>
    </row>
    <row r="12349" spans="1:9" x14ac:dyDescent="0.25">
      <c r="A12349">
        <v>3130</v>
      </c>
      <c r="B12349">
        <v>60</v>
      </c>
      <c r="C12349" t="s">
        <v>962</v>
      </c>
      <c r="D12349" t="s">
        <v>999</v>
      </c>
      <c r="E12349" t="s">
        <v>274</v>
      </c>
      <c r="F12349" t="s">
        <v>961</v>
      </c>
      <c r="G12349">
        <v>6000000</v>
      </c>
      <c r="H12349">
        <v>143000</v>
      </c>
      <c r="I12349" t="s">
        <v>973</v>
      </c>
    </row>
    <row r="12350" spans="1:9" x14ac:dyDescent="0.25">
      <c r="A12350">
        <v>3130</v>
      </c>
      <c r="B12350">
        <v>60</v>
      </c>
      <c r="C12350" t="s">
        <v>963</v>
      </c>
      <c r="D12350" t="s">
        <v>999</v>
      </c>
      <c r="E12350" t="s">
        <v>274</v>
      </c>
      <c r="F12350" t="s">
        <v>951</v>
      </c>
      <c r="G12350">
        <v>6000000</v>
      </c>
      <c r="H12350">
        <v>143000</v>
      </c>
      <c r="I12350" t="s">
        <v>973</v>
      </c>
    </row>
    <row r="12351" spans="1:9" x14ac:dyDescent="0.25">
      <c r="A12351">
        <v>3130</v>
      </c>
      <c r="B12351">
        <v>60</v>
      </c>
      <c r="C12351" t="s">
        <v>963</v>
      </c>
      <c r="D12351" t="s">
        <v>999</v>
      </c>
      <c r="E12351" t="s">
        <v>274</v>
      </c>
      <c r="F12351" t="s">
        <v>952</v>
      </c>
      <c r="G12351">
        <v>6000000</v>
      </c>
      <c r="H12351">
        <v>143000</v>
      </c>
      <c r="I12351" t="s">
        <v>973</v>
      </c>
    </row>
    <row r="12352" spans="1:9" x14ac:dyDescent="0.25">
      <c r="A12352">
        <v>3130</v>
      </c>
      <c r="B12352">
        <v>60</v>
      </c>
      <c r="C12352" t="s">
        <v>963</v>
      </c>
      <c r="D12352" t="s">
        <v>999</v>
      </c>
      <c r="E12352" t="s">
        <v>274</v>
      </c>
      <c r="F12352" t="s">
        <v>953</v>
      </c>
      <c r="G12352">
        <v>6000000</v>
      </c>
      <c r="H12352">
        <v>143000</v>
      </c>
      <c r="I12352" t="s">
        <v>973</v>
      </c>
    </row>
    <row r="12353" spans="1:9" x14ac:dyDescent="0.25">
      <c r="A12353">
        <v>3130</v>
      </c>
      <c r="B12353">
        <v>60</v>
      </c>
      <c r="C12353" t="s">
        <v>963</v>
      </c>
      <c r="D12353" t="s">
        <v>999</v>
      </c>
      <c r="E12353" t="s">
        <v>274</v>
      </c>
      <c r="F12353" t="s">
        <v>954</v>
      </c>
      <c r="G12353">
        <v>6000000</v>
      </c>
      <c r="H12353">
        <v>143000</v>
      </c>
      <c r="I12353" t="s">
        <v>973</v>
      </c>
    </row>
    <row r="12354" spans="1:9" x14ac:dyDescent="0.25">
      <c r="A12354">
        <v>3130</v>
      </c>
      <c r="B12354">
        <v>60</v>
      </c>
      <c r="C12354" t="s">
        <v>963</v>
      </c>
      <c r="D12354" t="s">
        <v>999</v>
      </c>
      <c r="E12354" t="s">
        <v>274</v>
      </c>
      <c r="F12354" t="s">
        <v>955</v>
      </c>
      <c r="G12354">
        <v>6000000</v>
      </c>
      <c r="H12354">
        <v>143000</v>
      </c>
      <c r="I12354" t="s">
        <v>973</v>
      </c>
    </row>
    <row r="12355" spans="1:9" x14ac:dyDescent="0.25">
      <c r="A12355">
        <v>3130</v>
      </c>
      <c r="B12355">
        <v>60</v>
      </c>
      <c r="C12355" t="s">
        <v>963</v>
      </c>
      <c r="D12355" t="s">
        <v>999</v>
      </c>
      <c r="E12355" t="s">
        <v>274</v>
      </c>
      <c r="F12355" t="s">
        <v>956</v>
      </c>
      <c r="G12355">
        <v>6000000</v>
      </c>
      <c r="H12355">
        <v>143000</v>
      </c>
      <c r="I12355" t="s">
        <v>973</v>
      </c>
    </row>
    <row r="12356" spans="1:9" x14ac:dyDescent="0.25">
      <c r="A12356">
        <v>3130</v>
      </c>
      <c r="B12356">
        <v>60</v>
      </c>
      <c r="C12356" t="s">
        <v>963</v>
      </c>
      <c r="D12356" t="s">
        <v>999</v>
      </c>
      <c r="E12356" t="s">
        <v>274</v>
      </c>
      <c r="F12356" t="s">
        <v>957</v>
      </c>
      <c r="G12356">
        <v>6000000</v>
      </c>
      <c r="H12356">
        <v>143000</v>
      </c>
      <c r="I12356" t="s">
        <v>973</v>
      </c>
    </row>
    <row r="12357" spans="1:9" x14ac:dyDescent="0.25">
      <c r="A12357">
        <v>3130</v>
      </c>
      <c r="B12357">
        <v>60</v>
      </c>
      <c r="C12357" t="s">
        <v>963</v>
      </c>
      <c r="D12357" t="s">
        <v>999</v>
      </c>
      <c r="E12357" t="s">
        <v>274</v>
      </c>
      <c r="F12357" t="s">
        <v>958</v>
      </c>
      <c r="G12357">
        <v>6000000</v>
      </c>
      <c r="H12357">
        <v>143000</v>
      </c>
      <c r="I12357" t="s">
        <v>973</v>
      </c>
    </row>
    <row r="12358" spans="1:9" x14ac:dyDescent="0.25">
      <c r="A12358">
        <v>3130</v>
      </c>
      <c r="B12358">
        <v>60</v>
      </c>
      <c r="C12358" t="s">
        <v>963</v>
      </c>
      <c r="D12358" t="s">
        <v>999</v>
      </c>
      <c r="E12358" t="s">
        <v>274</v>
      </c>
      <c r="F12358" t="s">
        <v>959</v>
      </c>
      <c r="G12358">
        <v>6000000</v>
      </c>
      <c r="H12358">
        <v>143000</v>
      </c>
      <c r="I12358" t="s">
        <v>973</v>
      </c>
    </row>
    <row r="12359" spans="1:9" x14ac:dyDescent="0.25">
      <c r="A12359">
        <v>3130</v>
      </c>
      <c r="B12359">
        <v>60</v>
      </c>
      <c r="C12359" t="s">
        <v>963</v>
      </c>
      <c r="D12359" t="s">
        <v>999</v>
      </c>
      <c r="E12359" t="s">
        <v>274</v>
      </c>
      <c r="F12359" t="s">
        <v>960</v>
      </c>
      <c r="G12359">
        <v>6000000</v>
      </c>
      <c r="H12359">
        <v>143000</v>
      </c>
      <c r="I12359" t="s">
        <v>973</v>
      </c>
    </row>
    <row r="12360" spans="1:9" x14ac:dyDescent="0.25">
      <c r="A12360">
        <v>3130</v>
      </c>
      <c r="B12360">
        <v>60</v>
      </c>
      <c r="C12360" t="s">
        <v>963</v>
      </c>
      <c r="D12360" t="s">
        <v>999</v>
      </c>
      <c r="E12360" t="s">
        <v>274</v>
      </c>
      <c r="F12360" t="s">
        <v>961</v>
      </c>
      <c r="G12360">
        <v>6000000</v>
      </c>
      <c r="H12360">
        <v>143000</v>
      </c>
      <c r="I12360" t="s">
        <v>973</v>
      </c>
    </row>
    <row r="12361" spans="1:9" x14ac:dyDescent="0.25">
      <c r="A12361">
        <v>3130</v>
      </c>
      <c r="B12361">
        <v>60</v>
      </c>
      <c r="C12361" t="s">
        <v>950</v>
      </c>
      <c r="D12361" t="s">
        <v>999</v>
      </c>
      <c r="E12361" t="s">
        <v>974</v>
      </c>
      <c r="F12361" t="s">
        <v>951</v>
      </c>
      <c r="G12361">
        <v>6000000</v>
      </c>
      <c r="H12361">
        <v>141000</v>
      </c>
      <c r="I12361" t="s">
        <v>975</v>
      </c>
    </row>
    <row r="12362" spans="1:9" x14ac:dyDescent="0.25">
      <c r="A12362">
        <v>3130</v>
      </c>
      <c r="B12362">
        <v>60</v>
      </c>
      <c r="C12362" t="s">
        <v>950</v>
      </c>
      <c r="D12362" t="s">
        <v>999</v>
      </c>
      <c r="E12362" t="s">
        <v>974</v>
      </c>
      <c r="F12362" t="s">
        <v>952</v>
      </c>
      <c r="G12362">
        <v>6000000</v>
      </c>
      <c r="H12362">
        <v>141000</v>
      </c>
      <c r="I12362" t="s">
        <v>975</v>
      </c>
    </row>
    <row r="12363" spans="1:9" x14ac:dyDescent="0.25">
      <c r="A12363">
        <v>3130</v>
      </c>
      <c r="B12363">
        <v>60</v>
      </c>
      <c r="C12363" t="s">
        <v>950</v>
      </c>
      <c r="D12363" t="s">
        <v>999</v>
      </c>
      <c r="E12363" t="s">
        <v>974</v>
      </c>
      <c r="F12363" t="s">
        <v>953</v>
      </c>
      <c r="G12363">
        <v>6000000</v>
      </c>
      <c r="H12363">
        <v>141000</v>
      </c>
      <c r="I12363" t="s">
        <v>975</v>
      </c>
    </row>
    <row r="12364" spans="1:9" x14ac:dyDescent="0.25">
      <c r="A12364">
        <v>3130</v>
      </c>
      <c r="B12364">
        <v>60</v>
      </c>
      <c r="C12364" t="s">
        <v>950</v>
      </c>
      <c r="D12364" t="s">
        <v>999</v>
      </c>
      <c r="E12364" t="s">
        <v>974</v>
      </c>
      <c r="F12364" t="s">
        <v>954</v>
      </c>
      <c r="G12364">
        <v>6000000</v>
      </c>
      <c r="H12364">
        <v>141000</v>
      </c>
      <c r="I12364" t="s">
        <v>975</v>
      </c>
    </row>
    <row r="12365" spans="1:9" x14ac:dyDescent="0.25">
      <c r="A12365">
        <v>3130</v>
      </c>
      <c r="B12365">
        <v>60</v>
      </c>
      <c r="C12365" t="s">
        <v>950</v>
      </c>
      <c r="D12365" t="s">
        <v>999</v>
      </c>
      <c r="E12365" t="s">
        <v>974</v>
      </c>
      <c r="F12365" t="s">
        <v>955</v>
      </c>
      <c r="G12365">
        <v>6000000</v>
      </c>
      <c r="H12365">
        <v>141000</v>
      </c>
      <c r="I12365" t="s">
        <v>975</v>
      </c>
    </row>
    <row r="12366" spans="1:9" x14ac:dyDescent="0.25">
      <c r="A12366">
        <v>3130</v>
      </c>
      <c r="B12366">
        <v>60</v>
      </c>
      <c r="C12366" t="s">
        <v>950</v>
      </c>
      <c r="D12366" t="s">
        <v>999</v>
      </c>
      <c r="E12366" t="s">
        <v>974</v>
      </c>
      <c r="F12366" t="s">
        <v>956</v>
      </c>
      <c r="G12366">
        <v>6000000</v>
      </c>
      <c r="H12366">
        <v>141000</v>
      </c>
      <c r="I12366" t="s">
        <v>975</v>
      </c>
    </row>
    <row r="12367" spans="1:9" x14ac:dyDescent="0.25">
      <c r="A12367">
        <v>3130</v>
      </c>
      <c r="B12367">
        <v>60</v>
      </c>
      <c r="C12367" t="s">
        <v>950</v>
      </c>
      <c r="D12367" t="s">
        <v>999</v>
      </c>
      <c r="E12367" t="s">
        <v>974</v>
      </c>
      <c r="F12367" t="s">
        <v>957</v>
      </c>
      <c r="G12367">
        <v>6000000</v>
      </c>
      <c r="H12367">
        <v>141000</v>
      </c>
      <c r="I12367" t="s">
        <v>975</v>
      </c>
    </row>
    <row r="12368" spans="1:9" x14ac:dyDescent="0.25">
      <c r="A12368">
        <v>3130</v>
      </c>
      <c r="B12368">
        <v>60</v>
      </c>
      <c r="C12368" t="s">
        <v>950</v>
      </c>
      <c r="D12368" t="s">
        <v>999</v>
      </c>
      <c r="E12368" t="s">
        <v>974</v>
      </c>
      <c r="F12368" t="s">
        <v>958</v>
      </c>
      <c r="G12368">
        <v>6000000</v>
      </c>
      <c r="H12368">
        <v>141000</v>
      </c>
      <c r="I12368" t="s">
        <v>975</v>
      </c>
    </row>
    <row r="12369" spans="1:9" x14ac:dyDescent="0.25">
      <c r="A12369">
        <v>3130</v>
      </c>
      <c r="B12369">
        <v>60</v>
      </c>
      <c r="C12369" t="s">
        <v>950</v>
      </c>
      <c r="D12369" t="s">
        <v>999</v>
      </c>
      <c r="E12369" t="s">
        <v>974</v>
      </c>
      <c r="F12369" t="s">
        <v>959</v>
      </c>
      <c r="G12369">
        <v>6000000</v>
      </c>
      <c r="H12369">
        <v>141000</v>
      </c>
      <c r="I12369" t="s">
        <v>975</v>
      </c>
    </row>
    <row r="12370" spans="1:9" x14ac:dyDescent="0.25">
      <c r="A12370">
        <v>3130</v>
      </c>
      <c r="B12370">
        <v>60</v>
      </c>
      <c r="C12370" t="s">
        <v>950</v>
      </c>
      <c r="D12370" t="s">
        <v>999</v>
      </c>
      <c r="E12370" t="s">
        <v>974</v>
      </c>
      <c r="F12370" t="s">
        <v>960</v>
      </c>
      <c r="G12370">
        <v>6000000</v>
      </c>
      <c r="H12370">
        <v>141000</v>
      </c>
      <c r="I12370" t="s">
        <v>975</v>
      </c>
    </row>
    <row r="12371" spans="1:9" x14ac:dyDescent="0.25">
      <c r="A12371">
        <v>3130</v>
      </c>
      <c r="B12371">
        <v>60</v>
      </c>
      <c r="C12371" t="s">
        <v>950</v>
      </c>
      <c r="D12371" t="s">
        <v>999</v>
      </c>
      <c r="E12371" t="s">
        <v>974</v>
      </c>
      <c r="F12371" t="s">
        <v>961</v>
      </c>
      <c r="G12371">
        <v>6000000</v>
      </c>
      <c r="H12371">
        <v>141000</v>
      </c>
      <c r="I12371" t="s">
        <v>975</v>
      </c>
    </row>
    <row r="12372" spans="1:9" x14ac:dyDescent="0.25">
      <c r="A12372">
        <v>3130</v>
      </c>
      <c r="B12372">
        <v>60</v>
      </c>
      <c r="C12372" t="s">
        <v>962</v>
      </c>
      <c r="D12372" t="s">
        <v>999</v>
      </c>
      <c r="E12372" t="s">
        <v>974</v>
      </c>
      <c r="F12372" t="s">
        <v>951</v>
      </c>
      <c r="G12372">
        <v>6000000</v>
      </c>
      <c r="H12372">
        <v>141000</v>
      </c>
      <c r="I12372" t="s">
        <v>975</v>
      </c>
    </row>
    <row r="12373" spans="1:9" x14ac:dyDescent="0.25">
      <c r="A12373">
        <v>3130</v>
      </c>
      <c r="B12373">
        <v>60</v>
      </c>
      <c r="C12373" t="s">
        <v>962</v>
      </c>
      <c r="D12373" t="s">
        <v>999</v>
      </c>
      <c r="E12373" t="s">
        <v>974</v>
      </c>
      <c r="F12373" t="s">
        <v>952</v>
      </c>
      <c r="G12373">
        <v>6000000</v>
      </c>
      <c r="H12373">
        <v>141000</v>
      </c>
      <c r="I12373" t="s">
        <v>975</v>
      </c>
    </row>
    <row r="12374" spans="1:9" x14ac:dyDescent="0.25">
      <c r="A12374">
        <v>3130</v>
      </c>
      <c r="B12374">
        <v>60</v>
      </c>
      <c r="C12374" t="s">
        <v>962</v>
      </c>
      <c r="D12374" t="s">
        <v>999</v>
      </c>
      <c r="E12374" t="s">
        <v>974</v>
      </c>
      <c r="F12374" t="s">
        <v>953</v>
      </c>
      <c r="G12374">
        <v>6000000</v>
      </c>
      <c r="H12374">
        <v>141000</v>
      </c>
      <c r="I12374" t="s">
        <v>975</v>
      </c>
    </row>
    <row r="12375" spans="1:9" x14ac:dyDescent="0.25">
      <c r="A12375">
        <v>3130</v>
      </c>
      <c r="B12375">
        <v>60</v>
      </c>
      <c r="C12375" t="s">
        <v>962</v>
      </c>
      <c r="D12375" t="s">
        <v>999</v>
      </c>
      <c r="E12375" t="s">
        <v>974</v>
      </c>
      <c r="F12375" t="s">
        <v>954</v>
      </c>
      <c r="G12375">
        <v>6000000</v>
      </c>
      <c r="H12375">
        <v>141000</v>
      </c>
      <c r="I12375" t="s">
        <v>975</v>
      </c>
    </row>
    <row r="12376" spans="1:9" x14ac:dyDescent="0.25">
      <c r="A12376">
        <v>3130</v>
      </c>
      <c r="B12376">
        <v>60</v>
      </c>
      <c r="C12376" t="s">
        <v>962</v>
      </c>
      <c r="D12376" t="s">
        <v>999</v>
      </c>
      <c r="E12376" t="s">
        <v>974</v>
      </c>
      <c r="F12376" t="s">
        <v>955</v>
      </c>
      <c r="G12376">
        <v>6000000</v>
      </c>
      <c r="H12376">
        <v>141000</v>
      </c>
      <c r="I12376" t="s">
        <v>975</v>
      </c>
    </row>
    <row r="12377" spans="1:9" x14ac:dyDescent="0.25">
      <c r="A12377">
        <v>3130</v>
      </c>
      <c r="B12377">
        <v>60</v>
      </c>
      <c r="C12377" t="s">
        <v>962</v>
      </c>
      <c r="D12377" t="s">
        <v>999</v>
      </c>
      <c r="E12377" t="s">
        <v>974</v>
      </c>
      <c r="F12377" t="s">
        <v>956</v>
      </c>
      <c r="G12377">
        <v>6000000</v>
      </c>
      <c r="H12377">
        <v>141000</v>
      </c>
      <c r="I12377" t="s">
        <v>975</v>
      </c>
    </row>
    <row r="12378" spans="1:9" x14ac:dyDescent="0.25">
      <c r="A12378">
        <v>3130</v>
      </c>
      <c r="B12378">
        <v>60</v>
      </c>
      <c r="C12378" t="s">
        <v>962</v>
      </c>
      <c r="D12378" t="s">
        <v>999</v>
      </c>
      <c r="E12378" t="s">
        <v>974</v>
      </c>
      <c r="F12378" t="s">
        <v>957</v>
      </c>
      <c r="G12378">
        <v>6000000</v>
      </c>
      <c r="H12378">
        <v>141000</v>
      </c>
      <c r="I12378" t="s">
        <v>975</v>
      </c>
    </row>
    <row r="12379" spans="1:9" x14ac:dyDescent="0.25">
      <c r="A12379">
        <v>3130</v>
      </c>
      <c r="B12379">
        <v>60</v>
      </c>
      <c r="C12379" t="s">
        <v>962</v>
      </c>
      <c r="D12379" t="s">
        <v>999</v>
      </c>
      <c r="E12379" t="s">
        <v>974</v>
      </c>
      <c r="F12379" t="s">
        <v>958</v>
      </c>
      <c r="G12379">
        <v>6000000</v>
      </c>
      <c r="H12379">
        <v>141000</v>
      </c>
      <c r="I12379" t="s">
        <v>975</v>
      </c>
    </row>
    <row r="12380" spans="1:9" x14ac:dyDescent="0.25">
      <c r="A12380">
        <v>3130</v>
      </c>
      <c r="B12380">
        <v>60</v>
      </c>
      <c r="C12380" t="s">
        <v>962</v>
      </c>
      <c r="D12380" t="s">
        <v>999</v>
      </c>
      <c r="E12380" t="s">
        <v>974</v>
      </c>
      <c r="F12380" t="s">
        <v>959</v>
      </c>
      <c r="G12380">
        <v>6000000</v>
      </c>
      <c r="H12380">
        <v>141000</v>
      </c>
      <c r="I12380" t="s">
        <v>975</v>
      </c>
    </row>
    <row r="12381" spans="1:9" x14ac:dyDescent="0.25">
      <c r="A12381">
        <v>3130</v>
      </c>
      <c r="B12381">
        <v>60</v>
      </c>
      <c r="C12381" t="s">
        <v>962</v>
      </c>
      <c r="D12381" t="s">
        <v>999</v>
      </c>
      <c r="E12381" t="s">
        <v>974</v>
      </c>
      <c r="F12381" t="s">
        <v>960</v>
      </c>
      <c r="G12381">
        <v>6000000</v>
      </c>
      <c r="H12381">
        <v>141000</v>
      </c>
      <c r="I12381" t="s">
        <v>975</v>
      </c>
    </row>
    <row r="12382" spans="1:9" x14ac:dyDescent="0.25">
      <c r="A12382">
        <v>3130</v>
      </c>
      <c r="B12382">
        <v>60</v>
      </c>
      <c r="C12382" t="s">
        <v>962</v>
      </c>
      <c r="D12382" t="s">
        <v>999</v>
      </c>
      <c r="E12382" t="s">
        <v>974</v>
      </c>
      <c r="F12382" t="s">
        <v>961</v>
      </c>
      <c r="G12382">
        <v>6000000</v>
      </c>
      <c r="H12382">
        <v>141000</v>
      </c>
      <c r="I12382" t="s">
        <v>975</v>
      </c>
    </row>
    <row r="12383" spans="1:9" x14ac:dyDescent="0.25">
      <c r="A12383">
        <v>3130</v>
      </c>
      <c r="B12383">
        <v>60</v>
      </c>
      <c r="C12383" t="s">
        <v>963</v>
      </c>
      <c r="D12383" t="s">
        <v>999</v>
      </c>
      <c r="E12383" t="s">
        <v>974</v>
      </c>
      <c r="F12383" t="s">
        <v>951</v>
      </c>
      <c r="G12383">
        <v>6000000</v>
      </c>
      <c r="H12383">
        <v>141000</v>
      </c>
      <c r="I12383" t="s">
        <v>975</v>
      </c>
    </row>
    <row r="12384" spans="1:9" x14ac:dyDescent="0.25">
      <c r="A12384">
        <v>3130</v>
      </c>
      <c r="B12384">
        <v>60</v>
      </c>
      <c r="C12384" t="s">
        <v>963</v>
      </c>
      <c r="D12384" t="s">
        <v>999</v>
      </c>
      <c r="E12384" t="s">
        <v>974</v>
      </c>
      <c r="F12384" t="s">
        <v>952</v>
      </c>
      <c r="G12384">
        <v>6000000</v>
      </c>
      <c r="H12384">
        <v>141000</v>
      </c>
      <c r="I12384" t="s">
        <v>975</v>
      </c>
    </row>
    <row r="12385" spans="1:9" x14ac:dyDescent="0.25">
      <c r="A12385">
        <v>3130</v>
      </c>
      <c r="B12385">
        <v>60</v>
      </c>
      <c r="C12385" t="s">
        <v>963</v>
      </c>
      <c r="D12385" t="s">
        <v>999</v>
      </c>
      <c r="E12385" t="s">
        <v>974</v>
      </c>
      <c r="F12385" t="s">
        <v>953</v>
      </c>
      <c r="G12385">
        <v>6000000</v>
      </c>
      <c r="H12385">
        <v>141000</v>
      </c>
      <c r="I12385" t="s">
        <v>975</v>
      </c>
    </row>
    <row r="12386" spans="1:9" x14ac:dyDescent="0.25">
      <c r="A12386">
        <v>3130</v>
      </c>
      <c r="B12386">
        <v>60</v>
      </c>
      <c r="C12386" t="s">
        <v>963</v>
      </c>
      <c r="D12386" t="s">
        <v>999</v>
      </c>
      <c r="E12386" t="s">
        <v>974</v>
      </c>
      <c r="F12386" t="s">
        <v>954</v>
      </c>
      <c r="G12386">
        <v>6000000</v>
      </c>
      <c r="H12386">
        <v>141000</v>
      </c>
      <c r="I12386" t="s">
        <v>975</v>
      </c>
    </row>
    <row r="12387" spans="1:9" x14ac:dyDescent="0.25">
      <c r="A12387">
        <v>3130</v>
      </c>
      <c r="B12387">
        <v>60</v>
      </c>
      <c r="C12387" t="s">
        <v>963</v>
      </c>
      <c r="D12387" t="s">
        <v>999</v>
      </c>
      <c r="E12387" t="s">
        <v>974</v>
      </c>
      <c r="F12387" t="s">
        <v>955</v>
      </c>
      <c r="G12387">
        <v>6000000</v>
      </c>
      <c r="H12387">
        <v>141000</v>
      </c>
      <c r="I12387" t="s">
        <v>975</v>
      </c>
    </row>
    <row r="12388" spans="1:9" x14ac:dyDescent="0.25">
      <c r="A12388">
        <v>3130</v>
      </c>
      <c r="B12388">
        <v>60</v>
      </c>
      <c r="C12388" t="s">
        <v>963</v>
      </c>
      <c r="D12388" t="s">
        <v>999</v>
      </c>
      <c r="E12388" t="s">
        <v>974</v>
      </c>
      <c r="F12388" t="s">
        <v>956</v>
      </c>
      <c r="G12388">
        <v>6000000</v>
      </c>
      <c r="H12388">
        <v>141000</v>
      </c>
      <c r="I12388" t="s">
        <v>975</v>
      </c>
    </row>
    <row r="12389" spans="1:9" x14ac:dyDescent="0.25">
      <c r="A12389">
        <v>3130</v>
      </c>
      <c r="B12389">
        <v>60</v>
      </c>
      <c r="C12389" t="s">
        <v>963</v>
      </c>
      <c r="D12389" t="s">
        <v>999</v>
      </c>
      <c r="E12389" t="s">
        <v>974</v>
      </c>
      <c r="F12389" t="s">
        <v>957</v>
      </c>
      <c r="G12389">
        <v>6000000</v>
      </c>
      <c r="H12389">
        <v>141000</v>
      </c>
      <c r="I12389" t="s">
        <v>975</v>
      </c>
    </row>
    <row r="12390" spans="1:9" x14ac:dyDescent="0.25">
      <c r="A12390">
        <v>3130</v>
      </c>
      <c r="B12390">
        <v>60</v>
      </c>
      <c r="C12390" t="s">
        <v>963</v>
      </c>
      <c r="D12390" t="s">
        <v>999</v>
      </c>
      <c r="E12390" t="s">
        <v>974</v>
      </c>
      <c r="F12390" t="s">
        <v>958</v>
      </c>
      <c r="G12390">
        <v>6000000</v>
      </c>
      <c r="H12390">
        <v>141000</v>
      </c>
      <c r="I12390" t="s">
        <v>975</v>
      </c>
    </row>
    <row r="12391" spans="1:9" x14ac:dyDescent="0.25">
      <c r="A12391">
        <v>3130</v>
      </c>
      <c r="B12391">
        <v>60</v>
      </c>
      <c r="C12391" t="s">
        <v>963</v>
      </c>
      <c r="D12391" t="s">
        <v>999</v>
      </c>
      <c r="E12391" t="s">
        <v>974</v>
      </c>
      <c r="F12391" t="s">
        <v>959</v>
      </c>
      <c r="G12391">
        <v>6000000</v>
      </c>
      <c r="H12391">
        <v>141000</v>
      </c>
      <c r="I12391" t="s">
        <v>975</v>
      </c>
    </row>
    <row r="12392" spans="1:9" x14ac:dyDescent="0.25">
      <c r="A12392">
        <v>3130</v>
      </c>
      <c r="B12392">
        <v>60</v>
      </c>
      <c r="C12392" t="s">
        <v>963</v>
      </c>
      <c r="D12392" t="s">
        <v>999</v>
      </c>
      <c r="E12392" t="s">
        <v>974</v>
      </c>
      <c r="F12392" t="s">
        <v>960</v>
      </c>
      <c r="G12392">
        <v>6000000</v>
      </c>
      <c r="H12392">
        <v>141000</v>
      </c>
      <c r="I12392" t="s">
        <v>975</v>
      </c>
    </row>
    <row r="12393" spans="1:9" x14ac:dyDescent="0.25">
      <c r="A12393">
        <v>3130</v>
      </c>
      <c r="B12393">
        <v>60</v>
      </c>
      <c r="C12393" t="s">
        <v>963</v>
      </c>
      <c r="D12393" t="s">
        <v>999</v>
      </c>
      <c r="E12393" t="s">
        <v>974</v>
      </c>
      <c r="F12393" t="s">
        <v>961</v>
      </c>
      <c r="G12393">
        <v>6000000</v>
      </c>
      <c r="H12393">
        <v>141000</v>
      </c>
      <c r="I12393" t="s">
        <v>975</v>
      </c>
    </row>
    <row r="12394" spans="1:9" x14ac:dyDescent="0.25">
      <c r="A12394">
        <v>3130</v>
      </c>
      <c r="B12394">
        <v>60</v>
      </c>
      <c r="C12394" t="s">
        <v>950</v>
      </c>
      <c r="D12394" t="s">
        <v>999</v>
      </c>
      <c r="E12394" t="s">
        <v>104</v>
      </c>
      <c r="F12394" t="s">
        <v>951</v>
      </c>
      <c r="G12394">
        <v>6077777</v>
      </c>
      <c r="H12394">
        <v>500220</v>
      </c>
      <c r="I12394" t="s">
        <v>949</v>
      </c>
    </row>
    <row r="12395" spans="1:9" x14ac:dyDescent="0.25">
      <c r="A12395">
        <v>3130</v>
      </c>
      <c r="B12395">
        <v>60</v>
      </c>
      <c r="C12395" t="s">
        <v>950</v>
      </c>
      <c r="D12395" t="s">
        <v>999</v>
      </c>
      <c r="E12395" t="s">
        <v>104</v>
      </c>
      <c r="F12395" t="s">
        <v>952</v>
      </c>
      <c r="G12395">
        <v>6077777</v>
      </c>
      <c r="H12395">
        <v>500220</v>
      </c>
      <c r="I12395" t="s">
        <v>949</v>
      </c>
    </row>
    <row r="12396" spans="1:9" x14ac:dyDescent="0.25">
      <c r="A12396">
        <v>3130</v>
      </c>
      <c r="B12396">
        <v>60</v>
      </c>
      <c r="C12396" t="s">
        <v>950</v>
      </c>
      <c r="D12396" t="s">
        <v>999</v>
      </c>
      <c r="E12396" t="s">
        <v>104</v>
      </c>
      <c r="F12396" t="s">
        <v>953</v>
      </c>
      <c r="G12396">
        <v>6077777</v>
      </c>
      <c r="H12396">
        <v>500220</v>
      </c>
      <c r="I12396" t="s">
        <v>949</v>
      </c>
    </row>
    <row r="12397" spans="1:9" x14ac:dyDescent="0.25">
      <c r="A12397">
        <v>3130</v>
      </c>
      <c r="B12397">
        <v>60</v>
      </c>
      <c r="C12397" t="s">
        <v>950</v>
      </c>
      <c r="D12397" t="s">
        <v>999</v>
      </c>
      <c r="E12397" t="s">
        <v>104</v>
      </c>
      <c r="F12397" t="s">
        <v>954</v>
      </c>
      <c r="G12397">
        <v>6077777</v>
      </c>
      <c r="H12397">
        <v>500220</v>
      </c>
      <c r="I12397" t="s">
        <v>949</v>
      </c>
    </row>
    <row r="12398" spans="1:9" x14ac:dyDescent="0.25">
      <c r="A12398">
        <v>3130</v>
      </c>
      <c r="B12398">
        <v>60</v>
      </c>
      <c r="C12398" t="s">
        <v>950</v>
      </c>
      <c r="D12398" t="s">
        <v>999</v>
      </c>
      <c r="E12398" t="s">
        <v>104</v>
      </c>
      <c r="F12398" t="s">
        <v>955</v>
      </c>
      <c r="G12398">
        <v>6077777</v>
      </c>
      <c r="H12398">
        <v>500220</v>
      </c>
      <c r="I12398" t="s">
        <v>949</v>
      </c>
    </row>
    <row r="12399" spans="1:9" x14ac:dyDescent="0.25">
      <c r="A12399">
        <v>3130</v>
      </c>
      <c r="B12399">
        <v>60</v>
      </c>
      <c r="C12399" t="s">
        <v>950</v>
      </c>
      <c r="D12399" t="s">
        <v>999</v>
      </c>
      <c r="E12399" t="s">
        <v>104</v>
      </c>
      <c r="F12399" t="s">
        <v>956</v>
      </c>
      <c r="G12399">
        <v>6077777</v>
      </c>
      <c r="H12399">
        <v>500220</v>
      </c>
      <c r="I12399" t="s">
        <v>949</v>
      </c>
    </row>
    <row r="12400" spans="1:9" x14ac:dyDescent="0.25">
      <c r="A12400">
        <v>3130</v>
      </c>
      <c r="B12400">
        <v>60</v>
      </c>
      <c r="C12400" t="s">
        <v>950</v>
      </c>
      <c r="D12400" t="s">
        <v>999</v>
      </c>
      <c r="E12400" t="s">
        <v>104</v>
      </c>
      <c r="F12400" t="s">
        <v>957</v>
      </c>
      <c r="G12400">
        <v>6077777</v>
      </c>
      <c r="H12400">
        <v>500220</v>
      </c>
      <c r="I12400" t="s">
        <v>949</v>
      </c>
    </row>
    <row r="12401" spans="1:9" x14ac:dyDescent="0.25">
      <c r="A12401">
        <v>3130</v>
      </c>
      <c r="B12401">
        <v>60</v>
      </c>
      <c r="C12401" t="s">
        <v>950</v>
      </c>
      <c r="D12401" t="s">
        <v>999</v>
      </c>
      <c r="E12401" t="s">
        <v>104</v>
      </c>
      <c r="F12401" t="s">
        <v>958</v>
      </c>
      <c r="G12401">
        <v>6077777</v>
      </c>
      <c r="H12401">
        <v>500220</v>
      </c>
      <c r="I12401" t="s">
        <v>949</v>
      </c>
    </row>
    <row r="12402" spans="1:9" x14ac:dyDescent="0.25">
      <c r="A12402">
        <v>3130</v>
      </c>
      <c r="B12402">
        <v>60</v>
      </c>
      <c r="C12402" t="s">
        <v>950</v>
      </c>
      <c r="D12402" t="s">
        <v>999</v>
      </c>
      <c r="E12402" t="s">
        <v>104</v>
      </c>
      <c r="F12402" t="s">
        <v>959</v>
      </c>
      <c r="G12402">
        <v>6077777</v>
      </c>
      <c r="H12402">
        <v>500220</v>
      </c>
      <c r="I12402" t="s">
        <v>949</v>
      </c>
    </row>
    <row r="12403" spans="1:9" x14ac:dyDescent="0.25">
      <c r="A12403">
        <v>3130</v>
      </c>
      <c r="B12403">
        <v>60</v>
      </c>
      <c r="C12403" t="s">
        <v>950</v>
      </c>
      <c r="D12403" t="s">
        <v>999</v>
      </c>
      <c r="E12403" t="s">
        <v>104</v>
      </c>
      <c r="F12403" t="s">
        <v>960</v>
      </c>
      <c r="G12403">
        <v>6077777</v>
      </c>
      <c r="H12403">
        <v>500220</v>
      </c>
      <c r="I12403" t="s">
        <v>949</v>
      </c>
    </row>
    <row r="12404" spans="1:9" x14ac:dyDescent="0.25">
      <c r="A12404">
        <v>3130</v>
      </c>
      <c r="B12404">
        <v>60</v>
      </c>
      <c r="C12404" t="s">
        <v>950</v>
      </c>
      <c r="D12404" t="s">
        <v>999</v>
      </c>
      <c r="E12404" t="s">
        <v>104</v>
      </c>
      <c r="F12404" t="s">
        <v>961</v>
      </c>
      <c r="G12404">
        <v>6077777</v>
      </c>
      <c r="H12404">
        <v>500220</v>
      </c>
      <c r="I12404" t="s">
        <v>949</v>
      </c>
    </row>
    <row r="12405" spans="1:9" x14ac:dyDescent="0.25">
      <c r="A12405">
        <v>3130</v>
      </c>
      <c r="B12405">
        <v>60</v>
      </c>
      <c r="C12405" t="s">
        <v>962</v>
      </c>
      <c r="D12405" t="s">
        <v>999</v>
      </c>
      <c r="E12405" t="s">
        <v>104</v>
      </c>
      <c r="F12405" t="s">
        <v>951</v>
      </c>
      <c r="G12405">
        <v>6077777</v>
      </c>
      <c r="H12405">
        <v>500220</v>
      </c>
      <c r="I12405" t="s">
        <v>949</v>
      </c>
    </row>
    <row r="12406" spans="1:9" x14ac:dyDescent="0.25">
      <c r="A12406">
        <v>3130</v>
      </c>
      <c r="B12406">
        <v>60</v>
      </c>
      <c r="C12406" t="s">
        <v>962</v>
      </c>
      <c r="D12406" t="s">
        <v>999</v>
      </c>
      <c r="E12406" t="s">
        <v>104</v>
      </c>
      <c r="F12406" t="s">
        <v>952</v>
      </c>
      <c r="G12406">
        <v>6077777</v>
      </c>
      <c r="H12406">
        <v>500220</v>
      </c>
      <c r="I12406" t="s">
        <v>949</v>
      </c>
    </row>
    <row r="12407" spans="1:9" x14ac:dyDescent="0.25">
      <c r="A12407">
        <v>3130</v>
      </c>
      <c r="B12407">
        <v>60</v>
      </c>
      <c r="C12407" t="s">
        <v>962</v>
      </c>
      <c r="D12407" t="s">
        <v>999</v>
      </c>
      <c r="E12407" t="s">
        <v>104</v>
      </c>
      <c r="F12407" t="s">
        <v>953</v>
      </c>
      <c r="G12407">
        <v>6077777</v>
      </c>
      <c r="H12407">
        <v>500220</v>
      </c>
      <c r="I12407" t="s">
        <v>949</v>
      </c>
    </row>
    <row r="12408" spans="1:9" x14ac:dyDescent="0.25">
      <c r="A12408">
        <v>3130</v>
      </c>
      <c r="B12408">
        <v>60</v>
      </c>
      <c r="C12408" t="s">
        <v>962</v>
      </c>
      <c r="D12408" t="s">
        <v>999</v>
      </c>
      <c r="E12408" t="s">
        <v>104</v>
      </c>
      <c r="F12408" t="s">
        <v>954</v>
      </c>
      <c r="G12408">
        <v>6077777</v>
      </c>
      <c r="H12408">
        <v>500220</v>
      </c>
      <c r="I12408" t="s">
        <v>949</v>
      </c>
    </row>
    <row r="12409" spans="1:9" x14ac:dyDescent="0.25">
      <c r="A12409">
        <v>3130</v>
      </c>
      <c r="B12409">
        <v>60</v>
      </c>
      <c r="C12409" t="s">
        <v>962</v>
      </c>
      <c r="D12409" t="s">
        <v>999</v>
      </c>
      <c r="E12409" t="s">
        <v>104</v>
      </c>
      <c r="F12409" t="s">
        <v>955</v>
      </c>
      <c r="G12409">
        <v>6077777</v>
      </c>
      <c r="H12409">
        <v>500220</v>
      </c>
      <c r="I12409" t="s">
        <v>949</v>
      </c>
    </row>
    <row r="12410" spans="1:9" x14ac:dyDescent="0.25">
      <c r="A12410">
        <v>3130</v>
      </c>
      <c r="B12410">
        <v>60</v>
      </c>
      <c r="C12410" t="s">
        <v>962</v>
      </c>
      <c r="D12410" t="s">
        <v>999</v>
      </c>
      <c r="E12410" t="s">
        <v>104</v>
      </c>
      <c r="F12410" t="s">
        <v>956</v>
      </c>
      <c r="G12410">
        <v>6077777</v>
      </c>
      <c r="H12410">
        <v>500220</v>
      </c>
      <c r="I12410" t="s">
        <v>949</v>
      </c>
    </row>
    <row r="12411" spans="1:9" x14ac:dyDescent="0.25">
      <c r="A12411">
        <v>3130</v>
      </c>
      <c r="B12411">
        <v>60</v>
      </c>
      <c r="C12411" t="s">
        <v>962</v>
      </c>
      <c r="D12411" t="s">
        <v>999</v>
      </c>
      <c r="E12411" t="s">
        <v>104</v>
      </c>
      <c r="F12411" t="s">
        <v>957</v>
      </c>
      <c r="G12411">
        <v>6077777</v>
      </c>
      <c r="H12411">
        <v>500220</v>
      </c>
      <c r="I12411" t="s">
        <v>949</v>
      </c>
    </row>
    <row r="12412" spans="1:9" x14ac:dyDescent="0.25">
      <c r="A12412">
        <v>3130</v>
      </c>
      <c r="B12412">
        <v>60</v>
      </c>
      <c r="C12412" t="s">
        <v>962</v>
      </c>
      <c r="D12412" t="s">
        <v>999</v>
      </c>
      <c r="E12412" t="s">
        <v>104</v>
      </c>
      <c r="F12412" t="s">
        <v>958</v>
      </c>
      <c r="G12412">
        <v>6077777</v>
      </c>
      <c r="H12412">
        <v>500220</v>
      </c>
      <c r="I12412" t="s">
        <v>949</v>
      </c>
    </row>
    <row r="12413" spans="1:9" x14ac:dyDescent="0.25">
      <c r="A12413">
        <v>3130</v>
      </c>
      <c r="B12413">
        <v>60</v>
      </c>
      <c r="C12413" t="s">
        <v>962</v>
      </c>
      <c r="D12413" t="s">
        <v>999</v>
      </c>
      <c r="E12413" t="s">
        <v>104</v>
      </c>
      <c r="F12413" t="s">
        <v>959</v>
      </c>
      <c r="G12413">
        <v>6077777</v>
      </c>
      <c r="H12413">
        <v>500220</v>
      </c>
      <c r="I12413" t="s">
        <v>949</v>
      </c>
    </row>
    <row r="12414" spans="1:9" x14ac:dyDescent="0.25">
      <c r="A12414">
        <v>3130</v>
      </c>
      <c r="B12414">
        <v>60</v>
      </c>
      <c r="C12414" t="s">
        <v>962</v>
      </c>
      <c r="D12414" t="s">
        <v>999</v>
      </c>
      <c r="E12414" t="s">
        <v>104</v>
      </c>
      <c r="F12414" t="s">
        <v>960</v>
      </c>
      <c r="G12414">
        <v>6077777</v>
      </c>
      <c r="H12414">
        <v>500220</v>
      </c>
      <c r="I12414" t="s">
        <v>949</v>
      </c>
    </row>
    <row r="12415" spans="1:9" x14ac:dyDescent="0.25">
      <c r="A12415">
        <v>3130</v>
      </c>
      <c r="B12415">
        <v>60</v>
      </c>
      <c r="C12415" t="s">
        <v>962</v>
      </c>
      <c r="D12415" t="s">
        <v>999</v>
      </c>
      <c r="E12415" t="s">
        <v>104</v>
      </c>
      <c r="F12415" t="s">
        <v>961</v>
      </c>
      <c r="G12415">
        <v>6077777</v>
      </c>
      <c r="H12415">
        <v>500220</v>
      </c>
      <c r="I12415" t="s">
        <v>949</v>
      </c>
    </row>
    <row r="12416" spans="1:9" x14ac:dyDescent="0.25">
      <c r="A12416">
        <v>3130</v>
      </c>
      <c r="B12416">
        <v>60</v>
      </c>
      <c r="C12416" t="s">
        <v>963</v>
      </c>
      <c r="D12416" t="s">
        <v>999</v>
      </c>
      <c r="E12416" t="s">
        <v>104</v>
      </c>
      <c r="F12416" t="s">
        <v>951</v>
      </c>
      <c r="G12416">
        <v>6077777</v>
      </c>
      <c r="H12416">
        <v>500220</v>
      </c>
      <c r="I12416" t="s">
        <v>949</v>
      </c>
    </row>
    <row r="12417" spans="1:9" x14ac:dyDescent="0.25">
      <c r="A12417">
        <v>3130</v>
      </c>
      <c r="B12417">
        <v>60</v>
      </c>
      <c r="C12417" t="s">
        <v>963</v>
      </c>
      <c r="D12417" t="s">
        <v>999</v>
      </c>
      <c r="E12417" t="s">
        <v>104</v>
      </c>
      <c r="F12417" t="s">
        <v>952</v>
      </c>
      <c r="G12417">
        <v>6077777</v>
      </c>
      <c r="H12417">
        <v>500220</v>
      </c>
      <c r="I12417" t="s">
        <v>949</v>
      </c>
    </row>
    <row r="12418" spans="1:9" x14ac:dyDescent="0.25">
      <c r="A12418">
        <v>3130</v>
      </c>
      <c r="B12418">
        <v>60</v>
      </c>
      <c r="C12418" t="s">
        <v>963</v>
      </c>
      <c r="D12418" t="s">
        <v>999</v>
      </c>
      <c r="E12418" t="s">
        <v>104</v>
      </c>
      <c r="F12418" t="s">
        <v>953</v>
      </c>
      <c r="G12418">
        <v>6077777</v>
      </c>
      <c r="H12418">
        <v>500220</v>
      </c>
      <c r="I12418" t="s">
        <v>949</v>
      </c>
    </row>
    <row r="12419" spans="1:9" x14ac:dyDescent="0.25">
      <c r="A12419">
        <v>3130</v>
      </c>
      <c r="B12419">
        <v>60</v>
      </c>
      <c r="C12419" t="s">
        <v>963</v>
      </c>
      <c r="D12419" t="s">
        <v>999</v>
      </c>
      <c r="E12419" t="s">
        <v>104</v>
      </c>
      <c r="F12419" t="s">
        <v>954</v>
      </c>
      <c r="G12419">
        <v>6077777</v>
      </c>
      <c r="H12419">
        <v>500220</v>
      </c>
      <c r="I12419" t="s">
        <v>949</v>
      </c>
    </row>
    <row r="12420" spans="1:9" x14ac:dyDescent="0.25">
      <c r="A12420">
        <v>3130</v>
      </c>
      <c r="B12420">
        <v>60</v>
      </c>
      <c r="C12420" t="s">
        <v>963</v>
      </c>
      <c r="D12420" t="s">
        <v>999</v>
      </c>
      <c r="E12420" t="s">
        <v>104</v>
      </c>
      <c r="F12420" t="s">
        <v>955</v>
      </c>
      <c r="G12420">
        <v>6077777</v>
      </c>
      <c r="H12420">
        <v>500220</v>
      </c>
      <c r="I12420" t="s">
        <v>949</v>
      </c>
    </row>
    <row r="12421" spans="1:9" x14ac:dyDescent="0.25">
      <c r="A12421">
        <v>3130</v>
      </c>
      <c r="B12421">
        <v>60</v>
      </c>
      <c r="C12421" t="s">
        <v>963</v>
      </c>
      <c r="D12421" t="s">
        <v>999</v>
      </c>
      <c r="E12421" t="s">
        <v>104</v>
      </c>
      <c r="F12421" t="s">
        <v>956</v>
      </c>
      <c r="G12421">
        <v>6077777</v>
      </c>
      <c r="H12421">
        <v>500220</v>
      </c>
      <c r="I12421" t="s">
        <v>949</v>
      </c>
    </row>
    <row r="12422" spans="1:9" x14ac:dyDescent="0.25">
      <c r="A12422">
        <v>3130</v>
      </c>
      <c r="B12422">
        <v>60</v>
      </c>
      <c r="C12422" t="s">
        <v>963</v>
      </c>
      <c r="D12422" t="s">
        <v>999</v>
      </c>
      <c r="E12422" t="s">
        <v>104</v>
      </c>
      <c r="F12422" t="s">
        <v>957</v>
      </c>
      <c r="G12422">
        <v>6077777</v>
      </c>
      <c r="H12422">
        <v>500220</v>
      </c>
      <c r="I12422" t="s">
        <v>949</v>
      </c>
    </row>
    <row r="12423" spans="1:9" x14ac:dyDescent="0.25">
      <c r="A12423">
        <v>3130</v>
      </c>
      <c r="B12423">
        <v>60</v>
      </c>
      <c r="C12423" t="s">
        <v>963</v>
      </c>
      <c r="D12423" t="s">
        <v>999</v>
      </c>
      <c r="E12423" t="s">
        <v>104</v>
      </c>
      <c r="F12423" t="s">
        <v>958</v>
      </c>
      <c r="G12423">
        <v>6077777</v>
      </c>
      <c r="H12423">
        <v>500220</v>
      </c>
      <c r="I12423" t="s">
        <v>949</v>
      </c>
    </row>
    <row r="12424" spans="1:9" x14ac:dyDescent="0.25">
      <c r="A12424">
        <v>3130</v>
      </c>
      <c r="B12424">
        <v>60</v>
      </c>
      <c r="C12424" t="s">
        <v>963</v>
      </c>
      <c r="D12424" t="s">
        <v>999</v>
      </c>
      <c r="E12424" t="s">
        <v>104</v>
      </c>
      <c r="F12424" t="s">
        <v>959</v>
      </c>
      <c r="G12424">
        <v>6077777</v>
      </c>
      <c r="H12424">
        <v>500220</v>
      </c>
      <c r="I12424" t="s">
        <v>949</v>
      </c>
    </row>
    <row r="12425" spans="1:9" x14ac:dyDescent="0.25">
      <c r="A12425">
        <v>3130</v>
      </c>
      <c r="B12425">
        <v>60</v>
      </c>
      <c r="C12425" t="s">
        <v>963</v>
      </c>
      <c r="D12425" t="s">
        <v>999</v>
      </c>
      <c r="E12425" t="s">
        <v>104</v>
      </c>
      <c r="F12425" t="s">
        <v>960</v>
      </c>
      <c r="G12425">
        <v>6077777</v>
      </c>
      <c r="H12425">
        <v>500220</v>
      </c>
      <c r="I12425" t="s">
        <v>949</v>
      </c>
    </row>
    <row r="12426" spans="1:9" x14ac:dyDescent="0.25">
      <c r="A12426">
        <v>3130</v>
      </c>
      <c r="B12426">
        <v>60</v>
      </c>
      <c r="C12426" t="s">
        <v>963</v>
      </c>
      <c r="D12426" t="s">
        <v>999</v>
      </c>
      <c r="E12426" t="s">
        <v>104</v>
      </c>
      <c r="F12426" t="s">
        <v>961</v>
      </c>
      <c r="G12426">
        <v>6077777</v>
      </c>
      <c r="H12426">
        <v>500220</v>
      </c>
      <c r="I12426" t="s">
        <v>949</v>
      </c>
    </row>
    <row r="12427" ht="22" customHeight="1" spans="1:10" x14ac:dyDescent="0.25">
      <c r="A12427" s="43">
        <v>3130</v>
      </c>
      <c r="B12427" s="43">
        <v>60</v>
      </c>
      <c r="C12427" s="43" t="s">
        <v>950</v>
      </c>
      <c r="D12427" s="43" t="s">
        <v>999</v>
      </c>
      <c r="E12427" s="43" t="s">
        <v>278</v>
      </c>
      <c r="F12427" s="43" t="s">
        <v>951</v>
      </c>
      <c r="G12427" s="43">
        <v>6000000</v>
      </c>
      <c r="H12427" s="43">
        <v>145000</v>
      </c>
      <c r="I12427" s="43" t="s">
        <v>949</v>
      </c>
      <c r="J12427" s="44" t="s">
        <v>1000</v>
      </c>
    </row>
    <row r="12428" ht="22" customHeight="1" spans="1:10" x14ac:dyDescent="0.25">
      <c r="A12428" s="43">
        <v>3130</v>
      </c>
      <c r="B12428" s="43">
        <v>60</v>
      </c>
      <c r="C12428" s="43" t="s">
        <v>950</v>
      </c>
      <c r="D12428" s="43" t="s">
        <v>999</v>
      </c>
      <c r="E12428" s="43" t="s">
        <v>278</v>
      </c>
      <c r="F12428" s="43" t="s">
        <v>952</v>
      </c>
      <c r="G12428" s="43">
        <v>6000000</v>
      </c>
      <c r="H12428" s="43">
        <v>145000</v>
      </c>
      <c r="I12428" s="43" t="s">
        <v>949</v>
      </c>
      <c r="J12428" s="44" t="s">
        <v>1000</v>
      </c>
    </row>
    <row r="12429" ht="22" customHeight="1" spans="1:10" x14ac:dyDescent="0.25">
      <c r="A12429" s="43">
        <v>3130</v>
      </c>
      <c r="B12429" s="43">
        <v>60</v>
      </c>
      <c r="C12429" s="43" t="s">
        <v>950</v>
      </c>
      <c r="D12429" s="43" t="s">
        <v>999</v>
      </c>
      <c r="E12429" s="43" t="s">
        <v>278</v>
      </c>
      <c r="F12429" s="43" t="s">
        <v>953</v>
      </c>
      <c r="G12429" s="43">
        <v>6000000</v>
      </c>
      <c r="H12429" s="43">
        <v>145000</v>
      </c>
      <c r="I12429" s="43" t="s">
        <v>949</v>
      </c>
      <c r="J12429" s="44" t="s">
        <v>1000</v>
      </c>
    </row>
    <row r="12430" ht="22" customHeight="1" spans="1:10" x14ac:dyDescent="0.25">
      <c r="A12430" s="43">
        <v>3130</v>
      </c>
      <c r="B12430" s="43">
        <v>60</v>
      </c>
      <c r="C12430" s="43" t="s">
        <v>950</v>
      </c>
      <c r="D12430" s="43" t="s">
        <v>999</v>
      </c>
      <c r="E12430" s="43" t="s">
        <v>278</v>
      </c>
      <c r="F12430" s="43" t="s">
        <v>954</v>
      </c>
      <c r="G12430" s="43">
        <v>6000000</v>
      </c>
      <c r="H12430" s="43">
        <v>145000</v>
      </c>
      <c r="I12430" s="43" t="s">
        <v>949</v>
      </c>
      <c r="J12430" s="44" t="s">
        <v>1000</v>
      </c>
    </row>
    <row r="12431" ht="22" customHeight="1" spans="1:10" x14ac:dyDescent="0.25">
      <c r="A12431" s="43">
        <v>3130</v>
      </c>
      <c r="B12431" s="43">
        <v>60</v>
      </c>
      <c r="C12431" s="43" t="s">
        <v>950</v>
      </c>
      <c r="D12431" s="43" t="s">
        <v>999</v>
      </c>
      <c r="E12431" s="43" t="s">
        <v>278</v>
      </c>
      <c r="F12431" s="43" t="s">
        <v>955</v>
      </c>
      <c r="G12431" s="43">
        <v>6000000</v>
      </c>
      <c r="H12431" s="43">
        <v>145000</v>
      </c>
      <c r="I12431" s="43" t="s">
        <v>949</v>
      </c>
      <c r="J12431" s="44" t="s">
        <v>1000</v>
      </c>
    </row>
    <row r="12432" ht="22" customHeight="1" spans="1:10" x14ac:dyDescent="0.25">
      <c r="A12432" s="43">
        <v>3130</v>
      </c>
      <c r="B12432" s="43">
        <v>60</v>
      </c>
      <c r="C12432" s="43" t="s">
        <v>950</v>
      </c>
      <c r="D12432" s="43" t="s">
        <v>999</v>
      </c>
      <c r="E12432" s="43" t="s">
        <v>278</v>
      </c>
      <c r="F12432" s="43" t="s">
        <v>956</v>
      </c>
      <c r="G12432" s="43">
        <v>6000000</v>
      </c>
      <c r="H12432" s="43">
        <v>145000</v>
      </c>
      <c r="I12432" s="43" t="s">
        <v>949</v>
      </c>
      <c r="J12432" s="44" t="s">
        <v>1000</v>
      </c>
    </row>
    <row r="12433" ht="22" customHeight="1" spans="1:10" x14ac:dyDescent="0.25">
      <c r="A12433" s="43">
        <v>3130</v>
      </c>
      <c r="B12433" s="43">
        <v>60</v>
      </c>
      <c r="C12433" s="43" t="s">
        <v>950</v>
      </c>
      <c r="D12433" s="43" t="s">
        <v>999</v>
      </c>
      <c r="E12433" s="43" t="s">
        <v>278</v>
      </c>
      <c r="F12433" s="43" t="s">
        <v>957</v>
      </c>
      <c r="G12433" s="43">
        <v>6000000</v>
      </c>
      <c r="H12433" s="43">
        <v>145000</v>
      </c>
      <c r="I12433" s="43" t="s">
        <v>949</v>
      </c>
      <c r="J12433" s="44" t="s">
        <v>1000</v>
      </c>
    </row>
    <row r="12434" ht="22" customHeight="1" spans="1:10" x14ac:dyDescent="0.25">
      <c r="A12434" s="43">
        <v>3130</v>
      </c>
      <c r="B12434" s="43">
        <v>60</v>
      </c>
      <c r="C12434" s="43" t="s">
        <v>950</v>
      </c>
      <c r="D12434" s="43" t="s">
        <v>999</v>
      </c>
      <c r="E12434" s="43" t="s">
        <v>278</v>
      </c>
      <c r="F12434" s="43" t="s">
        <v>958</v>
      </c>
      <c r="G12434" s="43">
        <v>6000000</v>
      </c>
      <c r="H12434" s="43">
        <v>145000</v>
      </c>
      <c r="I12434" s="43" t="s">
        <v>949</v>
      </c>
      <c r="J12434" s="44" t="s">
        <v>1000</v>
      </c>
    </row>
    <row r="12435" ht="22" customHeight="1" spans="1:10" x14ac:dyDescent="0.25">
      <c r="A12435" s="43">
        <v>3130</v>
      </c>
      <c r="B12435" s="43">
        <v>60</v>
      </c>
      <c r="C12435" s="43" t="s">
        <v>950</v>
      </c>
      <c r="D12435" s="43" t="s">
        <v>999</v>
      </c>
      <c r="E12435" s="43" t="s">
        <v>278</v>
      </c>
      <c r="F12435" s="43" t="s">
        <v>959</v>
      </c>
      <c r="G12435" s="43">
        <v>6000000</v>
      </c>
      <c r="H12435" s="43">
        <v>145000</v>
      </c>
      <c r="I12435" s="43" t="s">
        <v>949</v>
      </c>
      <c r="J12435" s="44" t="s">
        <v>1000</v>
      </c>
    </row>
    <row r="12436" ht="22" customHeight="1" spans="1:10" x14ac:dyDescent="0.25">
      <c r="A12436" s="43">
        <v>3130</v>
      </c>
      <c r="B12436" s="43">
        <v>60</v>
      </c>
      <c r="C12436" s="43" t="s">
        <v>950</v>
      </c>
      <c r="D12436" s="43" t="s">
        <v>999</v>
      </c>
      <c r="E12436" s="43" t="s">
        <v>278</v>
      </c>
      <c r="F12436" s="43" t="s">
        <v>960</v>
      </c>
      <c r="G12436" s="43">
        <v>6000000</v>
      </c>
      <c r="H12436" s="43">
        <v>145000</v>
      </c>
      <c r="I12436" s="43" t="s">
        <v>949</v>
      </c>
      <c r="J12436" s="44" t="s">
        <v>1000</v>
      </c>
    </row>
    <row r="12437" ht="22" customHeight="1" spans="1:10" x14ac:dyDescent="0.25">
      <c r="A12437" s="43">
        <v>3130</v>
      </c>
      <c r="B12437" s="43">
        <v>60</v>
      </c>
      <c r="C12437" s="43" t="s">
        <v>950</v>
      </c>
      <c r="D12437" s="43" t="s">
        <v>999</v>
      </c>
      <c r="E12437" s="43" t="s">
        <v>278</v>
      </c>
      <c r="F12437" s="43" t="s">
        <v>961</v>
      </c>
      <c r="G12437" s="43">
        <v>6000000</v>
      </c>
      <c r="H12437" s="43">
        <v>145000</v>
      </c>
      <c r="I12437" s="43" t="s">
        <v>949</v>
      </c>
      <c r="J12437" s="44" t="s">
        <v>1000</v>
      </c>
    </row>
    <row r="12438" ht="22" customHeight="1" spans="1:10" x14ac:dyDescent="0.25">
      <c r="A12438" s="43">
        <v>3130</v>
      </c>
      <c r="B12438" s="43">
        <v>60</v>
      </c>
      <c r="C12438" s="43" t="s">
        <v>962</v>
      </c>
      <c r="D12438" s="43" t="s">
        <v>999</v>
      </c>
      <c r="E12438" s="43" t="s">
        <v>278</v>
      </c>
      <c r="F12438" s="43" t="s">
        <v>951</v>
      </c>
      <c r="G12438" s="43">
        <v>6000000</v>
      </c>
      <c r="H12438" s="43">
        <v>145000</v>
      </c>
      <c r="I12438" s="43" t="s">
        <v>949</v>
      </c>
      <c r="J12438" s="44" t="s">
        <v>1000</v>
      </c>
    </row>
    <row r="12439" ht="22" customHeight="1" spans="1:10" x14ac:dyDescent="0.25">
      <c r="A12439" s="43">
        <v>3130</v>
      </c>
      <c r="B12439" s="43">
        <v>60</v>
      </c>
      <c r="C12439" s="43" t="s">
        <v>962</v>
      </c>
      <c r="D12439" s="43" t="s">
        <v>999</v>
      </c>
      <c r="E12439" s="43" t="s">
        <v>278</v>
      </c>
      <c r="F12439" s="43" t="s">
        <v>952</v>
      </c>
      <c r="G12439" s="43">
        <v>6000000</v>
      </c>
      <c r="H12439" s="43">
        <v>145000</v>
      </c>
      <c r="I12439" s="43" t="s">
        <v>949</v>
      </c>
      <c r="J12439" s="44" t="s">
        <v>1000</v>
      </c>
    </row>
    <row r="12440" ht="22" customHeight="1" spans="1:10" x14ac:dyDescent="0.25">
      <c r="A12440" s="43">
        <v>3130</v>
      </c>
      <c r="B12440" s="43">
        <v>60</v>
      </c>
      <c r="C12440" s="43" t="s">
        <v>962</v>
      </c>
      <c r="D12440" s="43" t="s">
        <v>999</v>
      </c>
      <c r="E12440" s="43" t="s">
        <v>278</v>
      </c>
      <c r="F12440" s="43" t="s">
        <v>953</v>
      </c>
      <c r="G12440" s="43">
        <v>6000000</v>
      </c>
      <c r="H12440" s="43">
        <v>145000</v>
      </c>
      <c r="I12440" s="43" t="s">
        <v>949</v>
      </c>
      <c r="J12440" s="44" t="s">
        <v>1000</v>
      </c>
    </row>
    <row r="12441" ht="22" customHeight="1" spans="1:10" x14ac:dyDescent="0.25">
      <c r="A12441" s="43">
        <v>3130</v>
      </c>
      <c r="B12441" s="43">
        <v>60</v>
      </c>
      <c r="C12441" s="43" t="s">
        <v>962</v>
      </c>
      <c r="D12441" s="43" t="s">
        <v>999</v>
      </c>
      <c r="E12441" s="43" t="s">
        <v>278</v>
      </c>
      <c r="F12441" s="43" t="s">
        <v>954</v>
      </c>
      <c r="G12441" s="43">
        <v>6000000</v>
      </c>
      <c r="H12441" s="43">
        <v>145000</v>
      </c>
      <c r="I12441" s="43" t="s">
        <v>949</v>
      </c>
      <c r="J12441" s="44" t="s">
        <v>1000</v>
      </c>
    </row>
    <row r="12442" ht="22" customHeight="1" spans="1:10" x14ac:dyDescent="0.25">
      <c r="A12442" s="43">
        <v>3130</v>
      </c>
      <c r="B12442" s="43">
        <v>60</v>
      </c>
      <c r="C12442" s="43" t="s">
        <v>962</v>
      </c>
      <c r="D12442" s="43" t="s">
        <v>999</v>
      </c>
      <c r="E12442" s="43" t="s">
        <v>278</v>
      </c>
      <c r="F12442" s="43" t="s">
        <v>955</v>
      </c>
      <c r="G12442" s="43">
        <v>6000000</v>
      </c>
      <c r="H12442" s="43">
        <v>145000</v>
      </c>
      <c r="I12442" s="43" t="s">
        <v>949</v>
      </c>
      <c r="J12442" s="44" t="s">
        <v>1000</v>
      </c>
    </row>
    <row r="12443" ht="22" customHeight="1" spans="1:10" x14ac:dyDescent="0.25">
      <c r="A12443" s="43">
        <v>3130</v>
      </c>
      <c r="B12443" s="43">
        <v>60</v>
      </c>
      <c r="C12443" s="43" t="s">
        <v>962</v>
      </c>
      <c r="D12443" s="43" t="s">
        <v>999</v>
      </c>
      <c r="E12443" s="43" t="s">
        <v>278</v>
      </c>
      <c r="F12443" s="43" t="s">
        <v>956</v>
      </c>
      <c r="G12443" s="43">
        <v>6000000</v>
      </c>
      <c r="H12443" s="43">
        <v>145000</v>
      </c>
      <c r="I12443" s="43" t="s">
        <v>949</v>
      </c>
      <c r="J12443" s="44" t="s">
        <v>1000</v>
      </c>
    </row>
    <row r="12444" ht="22" customHeight="1" spans="1:10" x14ac:dyDescent="0.25">
      <c r="A12444" s="43">
        <v>3130</v>
      </c>
      <c r="B12444" s="43">
        <v>60</v>
      </c>
      <c r="C12444" s="43" t="s">
        <v>962</v>
      </c>
      <c r="D12444" s="43" t="s">
        <v>999</v>
      </c>
      <c r="E12444" s="43" t="s">
        <v>278</v>
      </c>
      <c r="F12444" s="43" t="s">
        <v>957</v>
      </c>
      <c r="G12444" s="43">
        <v>6000000</v>
      </c>
      <c r="H12444" s="43">
        <v>145000</v>
      </c>
      <c r="I12444" s="43" t="s">
        <v>949</v>
      </c>
      <c r="J12444" s="44" t="s">
        <v>1000</v>
      </c>
    </row>
    <row r="12445" ht="22" customHeight="1" spans="1:10" x14ac:dyDescent="0.25">
      <c r="A12445" s="43">
        <v>3130</v>
      </c>
      <c r="B12445" s="43">
        <v>60</v>
      </c>
      <c r="C12445" s="43" t="s">
        <v>962</v>
      </c>
      <c r="D12445" s="43" t="s">
        <v>999</v>
      </c>
      <c r="E12445" s="43" t="s">
        <v>278</v>
      </c>
      <c r="F12445" s="43" t="s">
        <v>958</v>
      </c>
      <c r="G12445" s="43">
        <v>6000000</v>
      </c>
      <c r="H12445" s="43">
        <v>145000</v>
      </c>
      <c r="I12445" s="43" t="s">
        <v>949</v>
      </c>
      <c r="J12445" s="44" t="s">
        <v>1000</v>
      </c>
    </row>
    <row r="12446" ht="22" customHeight="1" spans="1:10" x14ac:dyDescent="0.25">
      <c r="A12446" s="43">
        <v>3130</v>
      </c>
      <c r="B12446" s="43">
        <v>60</v>
      </c>
      <c r="C12446" s="43" t="s">
        <v>962</v>
      </c>
      <c r="D12446" s="43" t="s">
        <v>999</v>
      </c>
      <c r="E12446" s="43" t="s">
        <v>278</v>
      </c>
      <c r="F12446" s="43" t="s">
        <v>959</v>
      </c>
      <c r="G12446" s="43">
        <v>6000000</v>
      </c>
      <c r="H12446" s="43">
        <v>145000</v>
      </c>
      <c r="I12446" s="43" t="s">
        <v>949</v>
      </c>
      <c r="J12446" s="44" t="s">
        <v>1000</v>
      </c>
    </row>
    <row r="12447" ht="22" customHeight="1" spans="1:10" x14ac:dyDescent="0.25">
      <c r="A12447" s="43">
        <v>3130</v>
      </c>
      <c r="B12447" s="43">
        <v>60</v>
      </c>
      <c r="C12447" s="43" t="s">
        <v>962</v>
      </c>
      <c r="D12447" s="43" t="s">
        <v>999</v>
      </c>
      <c r="E12447" s="43" t="s">
        <v>278</v>
      </c>
      <c r="F12447" s="43" t="s">
        <v>960</v>
      </c>
      <c r="G12447" s="43">
        <v>6000000</v>
      </c>
      <c r="H12447" s="43">
        <v>145000</v>
      </c>
      <c r="I12447" s="43" t="s">
        <v>949</v>
      </c>
      <c r="J12447" s="44" t="s">
        <v>1000</v>
      </c>
    </row>
    <row r="12448" ht="22" customHeight="1" spans="1:10" x14ac:dyDescent="0.25">
      <c r="A12448" s="43">
        <v>3130</v>
      </c>
      <c r="B12448" s="43">
        <v>60</v>
      </c>
      <c r="C12448" s="43" t="s">
        <v>962</v>
      </c>
      <c r="D12448" s="43" t="s">
        <v>999</v>
      </c>
      <c r="E12448" s="43" t="s">
        <v>278</v>
      </c>
      <c r="F12448" s="43" t="s">
        <v>961</v>
      </c>
      <c r="G12448" s="43">
        <v>6000000</v>
      </c>
      <c r="H12448" s="43">
        <v>145000</v>
      </c>
      <c r="I12448" s="43" t="s">
        <v>949</v>
      </c>
      <c r="J12448" s="44" t="s">
        <v>1000</v>
      </c>
    </row>
    <row r="12449" ht="22" customHeight="1" spans="1:10" x14ac:dyDescent="0.25">
      <c r="A12449" s="43">
        <v>3130</v>
      </c>
      <c r="B12449" s="43">
        <v>60</v>
      </c>
      <c r="C12449" s="43" t="s">
        <v>963</v>
      </c>
      <c r="D12449" s="43" t="s">
        <v>999</v>
      </c>
      <c r="E12449" s="43" t="s">
        <v>278</v>
      </c>
      <c r="F12449" s="43" t="s">
        <v>951</v>
      </c>
      <c r="G12449" s="43">
        <v>6000000</v>
      </c>
      <c r="H12449" s="43">
        <v>145000</v>
      </c>
      <c r="I12449" s="43" t="s">
        <v>949</v>
      </c>
      <c r="J12449" s="44" t="s">
        <v>1000</v>
      </c>
    </row>
    <row r="12450" ht="22" customHeight="1" spans="1:10" x14ac:dyDescent="0.25">
      <c r="A12450" s="43">
        <v>3130</v>
      </c>
      <c r="B12450" s="43">
        <v>60</v>
      </c>
      <c r="C12450" s="43" t="s">
        <v>963</v>
      </c>
      <c r="D12450" s="43" t="s">
        <v>999</v>
      </c>
      <c r="E12450" s="43" t="s">
        <v>278</v>
      </c>
      <c r="F12450" s="43" t="s">
        <v>952</v>
      </c>
      <c r="G12450" s="43">
        <v>6000000</v>
      </c>
      <c r="H12450" s="43">
        <v>145000</v>
      </c>
      <c r="I12450" s="43" t="s">
        <v>949</v>
      </c>
      <c r="J12450" s="44" t="s">
        <v>1000</v>
      </c>
    </row>
    <row r="12451" ht="22" customHeight="1" spans="1:10" x14ac:dyDescent="0.25">
      <c r="A12451" s="43">
        <v>3130</v>
      </c>
      <c r="B12451" s="43">
        <v>60</v>
      </c>
      <c r="C12451" s="43" t="s">
        <v>963</v>
      </c>
      <c r="D12451" s="43" t="s">
        <v>999</v>
      </c>
      <c r="E12451" s="43" t="s">
        <v>278</v>
      </c>
      <c r="F12451" s="43" t="s">
        <v>953</v>
      </c>
      <c r="G12451" s="43">
        <v>6000000</v>
      </c>
      <c r="H12451" s="43">
        <v>145000</v>
      </c>
      <c r="I12451" s="43" t="s">
        <v>949</v>
      </c>
      <c r="J12451" s="44" t="s">
        <v>1000</v>
      </c>
    </row>
    <row r="12452" ht="22" customHeight="1" spans="1:10" x14ac:dyDescent="0.25">
      <c r="A12452" s="43">
        <v>3130</v>
      </c>
      <c r="B12452" s="43">
        <v>60</v>
      </c>
      <c r="C12452" s="43" t="s">
        <v>963</v>
      </c>
      <c r="D12452" s="43" t="s">
        <v>999</v>
      </c>
      <c r="E12452" s="43" t="s">
        <v>278</v>
      </c>
      <c r="F12452" s="43" t="s">
        <v>954</v>
      </c>
      <c r="G12452" s="43">
        <v>6000000</v>
      </c>
      <c r="H12452" s="43">
        <v>145000</v>
      </c>
      <c r="I12452" s="43" t="s">
        <v>949</v>
      </c>
      <c r="J12452" s="44" t="s">
        <v>1000</v>
      </c>
    </row>
    <row r="12453" ht="22" customHeight="1" spans="1:10" x14ac:dyDescent="0.25">
      <c r="A12453" s="43">
        <v>3130</v>
      </c>
      <c r="B12453" s="43">
        <v>60</v>
      </c>
      <c r="C12453" s="43" t="s">
        <v>963</v>
      </c>
      <c r="D12453" s="43" t="s">
        <v>999</v>
      </c>
      <c r="E12453" s="43" t="s">
        <v>278</v>
      </c>
      <c r="F12453" s="43" t="s">
        <v>955</v>
      </c>
      <c r="G12453" s="43">
        <v>6000000</v>
      </c>
      <c r="H12453" s="43">
        <v>145000</v>
      </c>
      <c r="I12453" s="43" t="s">
        <v>949</v>
      </c>
      <c r="J12453" s="44" t="s">
        <v>1000</v>
      </c>
    </row>
    <row r="12454" ht="22" customHeight="1" spans="1:10" x14ac:dyDescent="0.25">
      <c r="A12454" s="43">
        <v>3130</v>
      </c>
      <c r="B12454" s="43">
        <v>60</v>
      </c>
      <c r="C12454" s="43" t="s">
        <v>963</v>
      </c>
      <c r="D12454" s="43" t="s">
        <v>999</v>
      </c>
      <c r="E12454" s="43" t="s">
        <v>278</v>
      </c>
      <c r="F12454" s="43" t="s">
        <v>956</v>
      </c>
      <c r="G12454" s="43">
        <v>6000000</v>
      </c>
      <c r="H12454" s="43">
        <v>145000</v>
      </c>
      <c r="I12454" s="43" t="s">
        <v>949</v>
      </c>
      <c r="J12454" s="44" t="s">
        <v>1000</v>
      </c>
    </row>
    <row r="12455" ht="22" customHeight="1" spans="1:10" x14ac:dyDescent="0.25">
      <c r="A12455" s="43">
        <v>3130</v>
      </c>
      <c r="B12455" s="43">
        <v>60</v>
      </c>
      <c r="C12455" s="43" t="s">
        <v>963</v>
      </c>
      <c r="D12455" s="43" t="s">
        <v>999</v>
      </c>
      <c r="E12455" s="43" t="s">
        <v>278</v>
      </c>
      <c r="F12455" s="43" t="s">
        <v>957</v>
      </c>
      <c r="G12455" s="43">
        <v>6000000</v>
      </c>
      <c r="H12455" s="43">
        <v>145000</v>
      </c>
      <c r="I12455" s="43" t="s">
        <v>949</v>
      </c>
      <c r="J12455" s="44" t="s">
        <v>1000</v>
      </c>
    </row>
    <row r="12456" ht="22" customHeight="1" spans="1:10" x14ac:dyDescent="0.25">
      <c r="A12456" s="43">
        <v>3130</v>
      </c>
      <c r="B12456" s="43">
        <v>60</v>
      </c>
      <c r="C12456" s="43" t="s">
        <v>963</v>
      </c>
      <c r="D12456" s="43" t="s">
        <v>999</v>
      </c>
      <c r="E12456" s="43" t="s">
        <v>278</v>
      </c>
      <c r="F12456" s="43" t="s">
        <v>958</v>
      </c>
      <c r="G12456" s="43">
        <v>6000000</v>
      </c>
      <c r="H12456" s="43">
        <v>145000</v>
      </c>
      <c r="I12456" s="43" t="s">
        <v>949</v>
      </c>
      <c r="J12456" s="44" t="s">
        <v>1000</v>
      </c>
    </row>
    <row r="12457" ht="22" customHeight="1" spans="1:10" x14ac:dyDescent="0.25">
      <c r="A12457" s="43">
        <v>3130</v>
      </c>
      <c r="B12457" s="43">
        <v>60</v>
      </c>
      <c r="C12457" s="43" t="s">
        <v>963</v>
      </c>
      <c r="D12457" s="43" t="s">
        <v>999</v>
      </c>
      <c r="E12457" s="43" t="s">
        <v>278</v>
      </c>
      <c r="F12457" s="43" t="s">
        <v>959</v>
      </c>
      <c r="G12457" s="43">
        <v>6000000</v>
      </c>
      <c r="H12457" s="43">
        <v>145000</v>
      </c>
      <c r="I12457" s="43" t="s">
        <v>949</v>
      </c>
      <c r="J12457" s="44" t="s">
        <v>1000</v>
      </c>
    </row>
    <row r="12458" ht="22" customHeight="1" spans="1:10" x14ac:dyDescent="0.25">
      <c r="A12458" s="43">
        <v>3130</v>
      </c>
      <c r="B12458" s="43">
        <v>60</v>
      </c>
      <c r="C12458" s="43" t="s">
        <v>963</v>
      </c>
      <c r="D12458" s="43" t="s">
        <v>999</v>
      </c>
      <c r="E12458" s="43" t="s">
        <v>278</v>
      </c>
      <c r="F12458" s="43" t="s">
        <v>960</v>
      </c>
      <c r="G12458" s="43">
        <v>6000000</v>
      </c>
      <c r="H12458" s="43">
        <v>145000</v>
      </c>
      <c r="I12458" s="43" t="s">
        <v>949</v>
      </c>
      <c r="J12458" s="44" t="s">
        <v>1000</v>
      </c>
    </row>
    <row r="12459" ht="22" customHeight="1" spans="1:10" x14ac:dyDescent="0.25">
      <c r="A12459" s="43">
        <v>3130</v>
      </c>
      <c r="B12459" s="43">
        <v>60</v>
      </c>
      <c r="C12459" s="43" t="s">
        <v>963</v>
      </c>
      <c r="D12459" s="43" t="s">
        <v>999</v>
      </c>
      <c r="E12459" s="43" t="s">
        <v>278</v>
      </c>
      <c r="F12459" s="43" t="s">
        <v>961</v>
      </c>
      <c r="G12459" s="43">
        <v>6000000</v>
      </c>
      <c r="H12459" s="43">
        <v>145000</v>
      </c>
      <c r="I12459" s="43" t="s">
        <v>949</v>
      </c>
      <c r="J12459" s="44" t="s">
        <v>1000</v>
      </c>
    </row>
    <row r="12460" spans="1:9" x14ac:dyDescent="0.25">
      <c r="A12460">
        <v>3130</v>
      </c>
      <c r="B12460">
        <v>60</v>
      </c>
      <c r="C12460" t="s">
        <v>950</v>
      </c>
      <c r="D12460" t="s">
        <v>999</v>
      </c>
      <c r="E12460" t="s">
        <v>282</v>
      </c>
      <c r="F12460" t="s">
        <v>951</v>
      </c>
      <c r="G12460">
        <v>6000000</v>
      </c>
      <c r="H12460">
        <v>143100</v>
      </c>
      <c r="I12460" t="s">
        <v>949</v>
      </c>
    </row>
    <row r="12461" spans="1:9" x14ac:dyDescent="0.25">
      <c r="A12461">
        <v>3130</v>
      </c>
      <c r="B12461">
        <v>60</v>
      </c>
      <c r="C12461" t="s">
        <v>950</v>
      </c>
      <c r="D12461" t="s">
        <v>999</v>
      </c>
      <c r="E12461" t="s">
        <v>282</v>
      </c>
      <c r="F12461" t="s">
        <v>952</v>
      </c>
      <c r="G12461">
        <v>6000000</v>
      </c>
      <c r="H12461">
        <v>143100</v>
      </c>
      <c r="I12461" t="s">
        <v>949</v>
      </c>
    </row>
    <row r="12462" spans="1:9" x14ac:dyDescent="0.25">
      <c r="A12462">
        <v>3130</v>
      </c>
      <c r="B12462">
        <v>60</v>
      </c>
      <c r="C12462" t="s">
        <v>950</v>
      </c>
      <c r="D12462" t="s">
        <v>999</v>
      </c>
      <c r="E12462" t="s">
        <v>282</v>
      </c>
      <c r="F12462" t="s">
        <v>953</v>
      </c>
      <c r="G12462">
        <v>6000000</v>
      </c>
      <c r="H12462">
        <v>143100</v>
      </c>
      <c r="I12462" t="s">
        <v>949</v>
      </c>
    </row>
    <row r="12463" spans="1:9" x14ac:dyDescent="0.25">
      <c r="A12463">
        <v>3130</v>
      </c>
      <c r="B12463">
        <v>60</v>
      </c>
      <c r="C12463" t="s">
        <v>950</v>
      </c>
      <c r="D12463" t="s">
        <v>999</v>
      </c>
      <c r="E12463" t="s">
        <v>282</v>
      </c>
      <c r="F12463" t="s">
        <v>954</v>
      </c>
      <c r="G12463">
        <v>6000000</v>
      </c>
      <c r="H12463">
        <v>143100</v>
      </c>
      <c r="I12463" t="s">
        <v>949</v>
      </c>
    </row>
    <row r="12464" spans="1:9" x14ac:dyDescent="0.25">
      <c r="A12464">
        <v>3130</v>
      </c>
      <c r="B12464">
        <v>60</v>
      </c>
      <c r="C12464" t="s">
        <v>950</v>
      </c>
      <c r="D12464" t="s">
        <v>999</v>
      </c>
      <c r="E12464" t="s">
        <v>282</v>
      </c>
      <c r="F12464" t="s">
        <v>955</v>
      </c>
      <c r="G12464">
        <v>6000000</v>
      </c>
      <c r="H12464">
        <v>143100</v>
      </c>
      <c r="I12464" t="s">
        <v>949</v>
      </c>
    </row>
    <row r="12465" spans="1:9" x14ac:dyDescent="0.25">
      <c r="A12465">
        <v>3130</v>
      </c>
      <c r="B12465">
        <v>60</v>
      </c>
      <c r="C12465" t="s">
        <v>950</v>
      </c>
      <c r="D12465" t="s">
        <v>999</v>
      </c>
      <c r="E12465" t="s">
        <v>282</v>
      </c>
      <c r="F12465" t="s">
        <v>956</v>
      </c>
      <c r="G12465">
        <v>6000000</v>
      </c>
      <c r="H12465">
        <v>143100</v>
      </c>
      <c r="I12465" t="s">
        <v>949</v>
      </c>
    </row>
    <row r="12466" spans="1:9" x14ac:dyDescent="0.25">
      <c r="A12466">
        <v>3130</v>
      </c>
      <c r="B12466">
        <v>60</v>
      </c>
      <c r="C12466" t="s">
        <v>950</v>
      </c>
      <c r="D12466" t="s">
        <v>999</v>
      </c>
      <c r="E12466" t="s">
        <v>282</v>
      </c>
      <c r="F12466" t="s">
        <v>957</v>
      </c>
      <c r="G12466">
        <v>6000000</v>
      </c>
      <c r="H12466">
        <v>143100</v>
      </c>
      <c r="I12466" t="s">
        <v>949</v>
      </c>
    </row>
    <row r="12467" spans="1:9" x14ac:dyDescent="0.25">
      <c r="A12467">
        <v>3130</v>
      </c>
      <c r="B12467">
        <v>60</v>
      </c>
      <c r="C12467" t="s">
        <v>950</v>
      </c>
      <c r="D12467" t="s">
        <v>999</v>
      </c>
      <c r="E12467" t="s">
        <v>282</v>
      </c>
      <c r="F12467" t="s">
        <v>958</v>
      </c>
      <c r="G12467">
        <v>6000000</v>
      </c>
      <c r="H12467">
        <v>143100</v>
      </c>
      <c r="I12467" t="s">
        <v>949</v>
      </c>
    </row>
    <row r="12468" spans="1:9" x14ac:dyDescent="0.25">
      <c r="A12468">
        <v>3130</v>
      </c>
      <c r="B12468">
        <v>60</v>
      </c>
      <c r="C12468" t="s">
        <v>950</v>
      </c>
      <c r="D12468" t="s">
        <v>999</v>
      </c>
      <c r="E12468" t="s">
        <v>282</v>
      </c>
      <c r="F12468" t="s">
        <v>959</v>
      </c>
      <c r="G12468">
        <v>6000000</v>
      </c>
      <c r="H12468">
        <v>143100</v>
      </c>
      <c r="I12468" t="s">
        <v>949</v>
      </c>
    </row>
    <row r="12469" spans="1:9" x14ac:dyDescent="0.25">
      <c r="A12469">
        <v>3130</v>
      </c>
      <c r="B12469">
        <v>60</v>
      </c>
      <c r="C12469" t="s">
        <v>950</v>
      </c>
      <c r="D12469" t="s">
        <v>999</v>
      </c>
      <c r="E12469" t="s">
        <v>282</v>
      </c>
      <c r="F12469" t="s">
        <v>960</v>
      </c>
      <c r="G12469">
        <v>6000000</v>
      </c>
      <c r="H12469">
        <v>143100</v>
      </c>
      <c r="I12469" t="s">
        <v>949</v>
      </c>
    </row>
    <row r="12470" spans="1:9" x14ac:dyDescent="0.25">
      <c r="A12470">
        <v>3130</v>
      </c>
      <c r="B12470">
        <v>60</v>
      </c>
      <c r="C12470" t="s">
        <v>950</v>
      </c>
      <c r="D12470" t="s">
        <v>999</v>
      </c>
      <c r="E12470" t="s">
        <v>282</v>
      </c>
      <c r="F12470" t="s">
        <v>961</v>
      </c>
      <c r="G12470">
        <v>6000000</v>
      </c>
      <c r="H12470">
        <v>143100</v>
      </c>
      <c r="I12470" t="s">
        <v>949</v>
      </c>
    </row>
    <row r="12471" spans="1:9" x14ac:dyDescent="0.25">
      <c r="A12471">
        <v>3130</v>
      </c>
      <c r="B12471">
        <v>60</v>
      </c>
      <c r="C12471" t="s">
        <v>962</v>
      </c>
      <c r="D12471" t="s">
        <v>999</v>
      </c>
      <c r="E12471" t="s">
        <v>282</v>
      </c>
      <c r="F12471" t="s">
        <v>951</v>
      </c>
      <c r="G12471">
        <v>6000000</v>
      </c>
      <c r="H12471">
        <v>143100</v>
      </c>
      <c r="I12471" t="s">
        <v>949</v>
      </c>
    </row>
    <row r="12472" spans="1:9" x14ac:dyDescent="0.25">
      <c r="A12472">
        <v>3130</v>
      </c>
      <c r="B12472">
        <v>60</v>
      </c>
      <c r="C12472" t="s">
        <v>962</v>
      </c>
      <c r="D12472" t="s">
        <v>999</v>
      </c>
      <c r="E12472" t="s">
        <v>282</v>
      </c>
      <c r="F12472" t="s">
        <v>952</v>
      </c>
      <c r="G12472">
        <v>6000000</v>
      </c>
      <c r="H12472">
        <v>143100</v>
      </c>
      <c r="I12472" t="s">
        <v>949</v>
      </c>
    </row>
    <row r="12473" spans="1:9" x14ac:dyDescent="0.25">
      <c r="A12473">
        <v>3130</v>
      </c>
      <c r="B12473">
        <v>60</v>
      </c>
      <c r="C12473" t="s">
        <v>962</v>
      </c>
      <c r="D12473" t="s">
        <v>999</v>
      </c>
      <c r="E12473" t="s">
        <v>282</v>
      </c>
      <c r="F12473" t="s">
        <v>953</v>
      </c>
      <c r="G12473">
        <v>6000000</v>
      </c>
      <c r="H12473">
        <v>143100</v>
      </c>
      <c r="I12473" t="s">
        <v>949</v>
      </c>
    </row>
    <row r="12474" spans="1:9" x14ac:dyDescent="0.25">
      <c r="A12474">
        <v>3130</v>
      </c>
      <c r="B12474">
        <v>60</v>
      </c>
      <c r="C12474" t="s">
        <v>962</v>
      </c>
      <c r="D12474" t="s">
        <v>999</v>
      </c>
      <c r="E12474" t="s">
        <v>282</v>
      </c>
      <c r="F12474" t="s">
        <v>954</v>
      </c>
      <c r="G12474">
        <v>6000000</v>
      </c>
      <c r="H12474">
        <v>143100</v>
      </c>
      <c r="I12474" t="s">
        <v>949</v>
      </c>
    </row>
    <row r="12475" spans="1:9" x14ac:dyDescent="0.25">
      <c r="A12475">
        <v>3130</v>
      </c>
      <c r="B12475">
        <v>60</v>
      </c>
      <c r="C12475" t="s">
        <v>962</v>
      </c>
      <c r="D12475" t="s">
        <v>999</v>
      </c>
      <c r="E12475" t="s">
        <v>282</v>
      </c>
      <c r="F12475" t="s">
        <v>955</v>
      </c>
      <c r="G12475">
        <v>6000000</v>
      </c>
      <c r="H12475">
        <v>143100</v>
      </c>
      <c r="I12475" t="s">
        <v>949</v>
      </c>
    </row>
    <row r="12476" spans="1:9" x14ac:dyDescent="0.25">
      <c r="A12476">
        <v>3130</v>
      </c>
      <c r="B12476">
        <v>60</v>
      </c>
      <c r="C12476" t="s">
        <v>962</v>
      </c>
      <c r="D12476" t="s">
        <v>999</v>
      </c>
      <c r="E12476" t="s">
        <v>282</v>
      </c>
      <c r="F12476" t="s">
        <v>956</v>
      </c>
      <c r="G12476">
        <v>6000000</v>
      </c>
      <c r="H12476">
        <v>143100</v>
      </c>
      <c r="I12476" t="s">
        <v>949</v>
      </c>
    </row>
    <row r="12477" spans="1:9" x14ac:dyDescent="0.25">
      <c r="A12477">
        <v>3130</v>
      </c>
      <c r="B12477">
        <v>60</v>
      </c>
      <c r="C12477" t="s">
        <v>962</v>
      </c>
      <c r="D12477" t="s">
        <v>999</v>
      </c>
      <c r="E12477" t="s">
        <v>282</v>
      </c>
      <c r="F12477" t="s">
        <v>957</v>
      </c>
      <c r="G12477">
        <v>6000000</v>
      </c>
      <c r="H12477">
        <v>143100</v>
      </c>
      <c r="I12477" t="s">
        <v>949</v>
      </c>
    </row>
    <row r="12478" spans="1:9" x14ac:dyDescent="0.25">
      <c r="A12478">
        <v>3130</v>
      </c>
      <c r="B12478">
        <v>60</v>
      </c>
      <c r="C12478" t="s">
        <v>962</v>
      </c>
      <c r="D12478" t="s">
        <v>999</v>
      </c>
      <c r="E12478" t="s">
        <v>282</v>
      </c>
      <c r="F12478" t="s">
        <v>958</v>
      </c>
      <c r="G12478">
        <v>6000000</v>
      </c>
      <c r="H12478">
        <v>143100</v>
      </c>
      <c r="I12478" t="s">
        <v>949</v>
      </c>
    </row>
    <row r="12479" spans="1:9" x14ac:dyDescent="0.25">
      <c r="A12479">
        <v>3130</v>
      </c>
      <c r="B12479">
        <v>60</v>
      </c>
      <c r="C12479" t="s">
        <v>962</v>
      </c>
      <c r="D12479" t="s">
        <v>999</v>
      </c>
      <c r="E12479" t="s">
        <v>282</v>
      </c>
      <c r="F12479" t="s">
        <v>959</v>
      </c>
      <c r="G12479">
        <v>6000000</v>
      </c>
      <c r="H12479">
        <v>143100</v>
      </c>
      <c r="I12479" t="s">
        <v>949</v>
      </c>
    </row>
    <row r="12480" spans="1:9" x14ac:dyDescent="0.25">
      <c r="A12480">
        <v>3130</v>
      </c>
      <c r="B12480">
        <v>60</v>
      </c>
      <c r="C12480" t="s">
        <v>962</v>
      </c>
      <c r="D12480" t="s">
        <v>999</v>
      </c>
      <c r="E12480" t="s">
        <v>282</v>
      </c>
      <c r="F12480" t="s">
        <v>960</v>
      </c>
      <c r="G12480">
        <v>6000000</v>
      </c>
      <c r="H12480">
        <v>143100</v>
      </c>
      <c r="I12480" t="s">
        <v>949</v>
      </c>
    </row>
    <row r="12481" spans="1:9" x14ac:dyDescent="0.25">
      <c r="A12481">
        <v>3130</v>
      </c>
      <c r="B12481">
        <v>60</v>
      </c>
      <c r="C12481" t="s">
        <v>962</v>
      </c>
      <c r="D12481" t="s">
        <v>999</v>
      </c>
      <c r="E12481" t="s">
        <v>282</v>
      </c>
      <c r="F12481" t="s">
        <v>961</v>
      </c>
      <c r="G12481">
        <v>6000000</v>
      </c>
      <c r="H12481">
        <v>143100</v>
      </c>
      <c r="I12481" t="s">
        <v>949</v>
      </c>
    </row>
    <row r="12482" spans="1:9" x14ac:dyDescent="0.25">
      <c r="A12482">
        <v>3130</v>
      </c>
      <c r="B12482">
        <v>60</v>
      </c>
      <c r="C12482" t="s">
        <v>963</v>
      </c>
      <c r="D12482" t="s">
        <v>999</v>
      </c>
      <c r="E12482" t="s">
        <v>282</v>
      </c>
      <c r="F12482" t="s">
        <v>951</v>
      </c>
      <c r="G12482">
        <v>6000000</v>
      </c>
      <c r="H12482">
        <v>143100</v>
      </c>
      <c r="I12482" t="s">
        <v>949</v>
      </c>
    </row>
    <row r="12483" spans="1:9" x14ac:dyDescent="0.25">
      <c r="A12483">
        <v>3130</v>
      </c>
      <c r="B12483">
        <v>60</v>
      </c>
      <c r="C12483" t="s">
        <v>963</v>
      </c>
      <c r="D12483" t="s">
        <v>999</v>
      </c>
      <c r="E12483" t="s">
        <v>282</v>
      </c>
      <c r="F12483" t="s">
        <v>952</v>
      </c>
      <c r="G12483">
        <v>6000000</v>
      </c>
      <c r="H12483">
        <v>143100</v>
      </c>
      <c r="I12483" t="s">
        <v>949</v>
      </c>
    </row>
    <row r="12484" spans="1:9" x14ac:dyDescent="0.25">
      <c r="A12484">
        <v>3130</v>
      </c>
      <c r="B12484">
        <v>60</v>
      </c>
      <c r="C12484" t="s">
        <v>963</v>
      </c>
      <c r="D12484" t="s">
        <v>999</v>
      </c>
      <c r="E12484" t="s">
        <v>282</v>
      </c>
      <c r="F12484" t="s">
        <v>953</v>
      </c>
      <c r="G12484">
        <v>6000000</v>
      </c>
      <c r="H12484">
        <v>143100</v>
      </c>
      <c r="I12484" t="s">
        <v>949</v>
      </c>
    </row>
    <row r="12485" spans="1:9" x14ac:dyDescent="0.25">
      <c r="A12485">
        <v>3130</v>
      </c>
      <c r="B12485">
        <v>60</v>
      </c>
      <c r="C12485" t="s">
        <v>963</v>
      </c>
      <c r="D12485" t="s">
        <v>999</v>
      </c>
      <c r="E12485" t="s">
        <v>282</v>
      </c>
      <c r="F12485" t="s">
        <v>954</v>
      </c>
      <c r="G12485">
        <v>6000000</v>
      </c>
      <c r="H12485">
        <v>143100</v>
      </c>
      <c r="I12485" t="s">
        <v>949</v>
      </c>
    </row>
    <row r="12486" spans="1:9" x14ac:dyDescent="0.25">
      <c r="A12486">
        <v>3130</v>
      </c>
      <c r="B12486">
        <v>60</v>
      </c>
      <c r="C12486" t="s">
        <v>963</v>
      </c>
      <c r="D12486" t="s">
        <v>999</v>
      </c>
      <c r="E12486" t="s">
        <v>282</v>
      </c>
      <c r="F12486" t="s">
        <v>955</v>
      </c>
      <c r="G12486">
        <v>6000000</v>
      </c>
      <c r="H12486">
        <v>143100</v>
      </c>
      <c r="I12486" t="s">
        <v>949</v>
      </c>
    </row>
    <row r="12487" spans="1:9" x14ac:dyDescent="0.25">
      <c r="A12487">
        <v>3130</v>
      </c>
      <c r="B12487">
        <v>60</v>
      </c>
      <c r="C12487" t="s">
        <v>963</v>
      </c>
      <c r="D12487" t="s">
        <v>999</v>
      </c>
      <c r="E12487" t="s">
        <v>282</v>
      </c>
      <c r="F12487" t="s">
        <v>956</v>
      </c>
      <c r="G12487">
        <v>6000000</v>
      </c>
      <c r="H12487">
        <v>143100</v>
      </c>
      <c r="I12487" t="s">
        <v>949</v>
      </c>
    </row>
    <row r="12488" spans="1:9" x14ac:dyDescent="0.25">
      <c r="A12488">
        <v>3130</v>
      </c>
      <c r="B12488">
        <v>60</v>
      </c>
      <c r="C12488" t="s">
        <v>963</v>
      </c>
      <c r="D12488" t="s">
        <v>999</v>
      </c>
      <c r="E12488" t="s">
        <v>282</v>
      </c>
      <c r="F12488" t="s">
        <v>957</v>
      </c>
      <c r="G12488">
        <v>6000000</v>
      </c>
      <c r="H12488">
        <v>143100</v>
      </c>
      <c r="I12488" t="s">
        <v>949</v>
      </c>
    </row>
    <row r="12489" spans="1:9" x14ac:dyDescent="0.25">
      <c r="A12489">
        <v>3130</v>
      </c>
      <c r="B12489">
        <v>60</v>
      </c>
      <c r="C12489" t="s">
        <v>963</v>
      </c>
      <c r="D12489" t="s">
        <v>999</v>
      </c>
      <c r="E12489" t="s">
        <v>282</v>
      </c>
      <c r="F12489" t="s">
        <v>958</v>
      </c>
      <c r="G12489">
        <v>6000000</v>
      </c>
      <c r="H12489">
        <v>143100</v>
      </c>
      <c r="I12489" t="s">
        <v>949</v>
      </c>
    </row>
    <row r="12490" spans="1:9" x14ac:dyDescent="0.25">
      <c r="A12490">
        <v>3130</v>
      </c>
      <c r="B12490">
        <v>60</v>
      </c>
      <c r="C12490" t="s">
        <v>963</v>
      </c>
      <c r="D12490" t="s">
        <v>999</v>
      </c>
      <c r="E12490" t="s">
        <v>282</v>
      </c>
      <c r="F12490" t="s">
        <v>959</v>
      </c>
      <c r="G12490">
        <v>6000000</v>
      </c>
      <c r="H12490">
        <v>143100</v>
      </c>
      <c r="I12490" t="s">
        <v>949</v>
      </c>
    </row>
    <row r="12491" spans="1:9" x14ac:dyDescent="0.25">
      <c r="A12491">
        <v>3130</v>
      </c>
      <c r="B12491">
        <v>60</v>
      </c>
      <c r="C12491" t="s">
        <v>963</v>
      </c>
      <c r="D12491" t="s">
        <v>999</v>
      </c>
      <c r="E12491" t="s">
        <v>282</v>
      </c>
      <c r="F12491" t="s">
        <v>960</v>
      </c>
      <c r="G12491">
        <v>6000000</v>
      </c>
      <c r="H12491">
        <v>143100</v>
      </c>
      <c r="I12491" t="s">
        <v>949</v>
      </c>
    </row>
    <row r="12492" spans="1:9" x14ac:dyDescent="0.25">
      <c r="A12492">
        <v>3130</v>
      </c>
      <c r="B12492">
        <v>60</v>
      </c>
      <c r="C12492" t="s">
        <v>963</v>
      </c>
      <c r="D12492" t="s">
        <v>999</v>
      </c>
      <c r="E12492" t="s">
        <v>282</v>
      </c>
      <c r="F12492" t="s">
        <v>961</v>
      </c>
      <c r="G12492">
        <v>6000000</v>
      </c>
      <c r="H12492">
        <v>143100</v>
      </c>
      <c r="I12492" t="s">
        <v>949</v>
      </c>
    </row>
    <row r="12493" spans="1:9" x14ac:dyDescent="0.25">
      <c r="A12493">
        <v>3130</v>
      </c>
      <c r="B12493">
        <v>60</v>
      </c>
      <c r="C12493" t="s">
        <v>950</v>
      </c>
      <c r="D12493" t="s">
        <v>999</v>
      </c>
      <c r="E12493" t="s">
        <v>39</v>
      </c>
      <c r="F12493" t="s">
        <v>951</v>
      </c>
      <c r="G12493">
        <v>6077777</v>
      </c>
      <c r="H12493">
        <v>501090</v>
      </c>
      <c r="I12493" t="s">
        <v>949</v>
      </c>
    </row>
    <row r="12494" spans="1:9" x14ac:dyDescent="0.25">
      <c r="A12494">
        <v>3130</v>
      </c>
      <c r="B12494">
        <v>60</v>
      </c>
      <c r="C12494" t="s">
        <v>950</v>
      </c>
      <c r="D12494" t="s">
        <v>999</v>
      </c>
      <c r="E12494" t="s">
        <v>39</v>
      </c>
      <c r="F12494" t="s">
        <v>952</v>
      </c>
      <c r="G12494">
        <v>6077777</v>
      </c>
      <c r="H12494">
        <v>501090</v>
      </c>
      <c r="I12494" t="s">
        <v>949</v>
      </c>
    </row>
    <row r="12495" spans="1:9" x14ac:dyDescent="0.25">
      <c r="A12495">
        <v>3130</v>
      </c>
      <c r="B12495">
        <v>60</v>
      </c>
      <c r="C12495" t="s">
        <v>950</v>
      </c>
      <c r="D12495" t="s">
        <v>999</v>
      </c>
      <c r="E12495" t="s">
        <v>39</v>
      </c>
      <c r="F12495" t="s">
        <v>953</v>
      </c>
      <c r="G12495">
        <v>6077777</v>
      </c>
      <c r="H12495">
        <v>501090</v>
      </c>
      <c r="I12495" t="s">
        <v>949</v>
      </c>
    </row>
    <row r="12496" spans="1:9" x14ac:dyDescent="0.25">
      <c r="A12496">
        <v>3130</v>
      </c>
      <c r="B12496">
        <v>60</v>
      </c>
      <c r="C12496" t="s">
        <v>950</v>
      </c>
      <c r="D12496" t="s">
        <v>999</v>
      </c>
      <c r="E12496" t="s">
        <v>39</v>
      </c>
      <c r="F12496" t="s">
        <v>954</v>
      </c>
      <c r="G12496">
        <v>6077777</v>
      </c>
      <c r="H12496">
        <v>501090</v>
      </c>
      <c r="I12496" t="s">
        <v>949</v>
      </c>
    </row>
    <row r="12497" spans="1:9" x14ac:dyDescent="0.25">
      <c r="A12497">
        <v>3130</v>
      </c>
      <c r="B12497">
        <v>60</v>
      </c>
      <c r="C12497" t="s">
        <v>950</v>
      </c>
      <c r="D12497" t="s">
        <v>999</v>
      </c>
      <c r="E12497" t="s">
        <v>39</v>
      </c>
      <c r="F12497" t="s">
        <v>955</v>
      </c>
      <c r="G12497">
        <v>6077777</v>
      </c>
      <c r="H12497">
        <v>501090</v>
      </c>
      <c r="I12497" t="s">
        <v>949</v>
      </c>
    </row>
    <row r="12498" spans="1:9" x14ac:dyDescent="0.25">
      <c r="A12498">
        <v>3130</v>
      </c>
      <c r="B12498">
        <v>60</v>
      </c>
      <c r="C12498" t="s">
        <v>950</v>
      </c>
      <c r="D12498" t="s">
        <v>999</v>
      </c>
      <c r="E12498" t="s">
        <v>39</v>
      </c>
      <c r="F12498" t="s">
        <v>956</v>
      </c>
      <c r="G12498">
        <v>6077777</v>
      </c>
      <c r="H12498">
        <v>501090</v>
      </c>
      <c r="I12498" t="s">
        <v>949</v>
      </c>
    </row>
    <row r="12499" spans="1:9" x14ac:dyDescent="0.25">
      <c r="A12499">
        <v>3130</v>
      </c>
      <c r="B12499">
        <v>60</v>
      </c>
      <c r="C12499" t="s">
        <v>950</v>
      </c>
      <c r="D12499" t="s">
        <v>999</v>
      </c>
      <c r="E12499" t="s">
        <v>39</v>
      </c>
      <c r="F12499" t="s">
        <v>957</v>
      </c>
      <c r="G12499">
        <v>6077777</v>
      </c>
      <c r="H12499">
        <v>501090</v>
      </c>
      <c r="I12499" t="s">
        <v>949</v>
      </c>
    </row>
    <row r="12500" spans="1:9" x14ac:dyDescent="0.25">
      <c r="A12500">
        <v>3130</v>
      </c>
      <c r="B12500">
        <v>60</v>
      </c>
      <c r="C12500" t="s">
        <v>950</v>
      </c>
      <c r="D12500" t="s">
        <v>999</v>
      </c>
      <c r="E12500" t="s">
        <v>39</v>
      </c>
      <c r="F12500" t="s">
        <v>958</v>
      </c>
      <c r="G12500">
        <v>6077777</v>
      </c>
      <c r="H12500">
        <v>501090</v>
      </c>
      <c r="I12500" t="s">
        <v>949</v>
      </c>
    </row>
    <row r="12501" spans="1:9" x14ac:dyDescent="0.25">
      <c r="A12501">
        <v>3130</v>
      </c>
      <c r="B12501">
        <v>60</v>
      </c>
      <c r="C12501" t="s">
        <v>950</v>
      </c>
      <c r="D12501" t="s">
        <v>999</v>
      </c>
      <c r="E12501" t="s">
        <v>39</v>
      </c>
      <c r="F12501" t="s">
        <v>959</v>
      </c>
      <c r="G12501">
        <v>6077777</v>
      </c>
      <c r="H12501">
        <v>501090</v>
      </c>
      <c r="I12501" t="s">
        <v>949</v>
      </c>
    </row>
    <row r="12502" spans="1:9" x14ac:dyDescent="0.25">
      <c r="A12502">
        <v>3130</v>
      </c>
      <c r="B12502">
        <v>60</v>
      </c>
      <c r="C12502" t="s">
        <v>950</v>
      </c>
      <c r="D12502" t="s">
        <v>999</v>
      </c>
      <c r="E12502" t="s">
        <v>39</v>
      </c>
      <c r="F12502" t="s">
        <v>960</v>
      </c>
      <c r="G12502">
        <v>6077777</v>
      </c>
      <c r="H12502">
        <v>501090</v>
      </c>
      <c r="I12502" t="s">
        <v>949</v>
      </c>
    </row>
    <row r="12503" spans="1:9" x14ac:dyDescent="0.25">
      <c r="A12503">
        <v>3130</v>
      </c>
      <c r="B12503">
        <v>60</v>
      </c>
      <c r="C12503" t="s">
        <v>950</v>
      </c>
      <c r="D12503" t="s">
        <v>999</v>
      </c>
      <c r="E12503" t="s">
        <v>39</v>
      </c>
      <c r="F12503" t="s">
        <v>961</v>
      </c>
      <c r="G12503">
        <v>6077777</v>
      </c>
      <c r="H12503">
        <v>501090</v>
      </c>
      <c r="I12503" t="s">
        <v>949</v>
      </c>
    </row>
    <row r="12504" spans="1:9" x14ac:dyDescent="0.25">
      <c r="A12504">
        <v>3130</v>
      </c>
      <c r="B12504">
        <v>60</v>
      </c>
      <c r="C12504" t="s">
        <v>962</v>
      </c>
      <c r="D12504" t="s">
        <v>999</v>
      </c>
      <c r="E12504" t="s">
        <v>39</v>
      </c>
      <c r="F12504" t="s">
        <v>951</v>
      </c>
      <c r="G12504">
        <v>6077777</v>
      </c>
      <c r="H12504">
        <v>501090</v>
      </c>
      <c r="I12504" t="s">
        <v>949</v>
      </c>
    </row>
    <row r="12505" spans="1:9" x14ac:dyDescent="0.25">
      <c r="A12505">
        <v>3130</v>
      </c>
      <c r="B12505">
        <v>60</v>
      </c>
      <c r="C12505" t="s">
        <v>962</v>
      </c>
      <c r="D12505" t="s">
        <v>999</v>
      </c>
      <c r="E12505" t="s">
        <v>39</v>
      </c>
      <c r="F12505" t="s">
        <v>952</v>
      </c>
      <c r="G12505">
        <v>6077777</v>
      </c>
      <c r="H12505">
        <v>501090</v>
      </c>
      <c r="I12505" t="s">
        <v>949</v>
      </c>
    </row>
    <row r="12506" spans="1:9" x14ac:dyDescent="0.25">
      <c r="A12506">
        <v>3130</v>
      </c>
      <c r="B12506">
        <v>60</v>
      </c>
      <c r="C12506" t="s">
        <v>962</v>
      </c>
      <c r="D12506" t="s">
        <v>999</v>
      </c>
      <c r="E12506" t="s">
        <v>39</v>
      </c>
      <c r="F12506" t="s">
        <v>953</v>
      </c>
      <c r="G12506">
        <v>6077777</v>
      </c>
      <c r="H12506">
        <v>501090</v>
      </c>
      <c r="I12506" t="s">
        <v>949</v>
      </c>
    </row>
    <row r="12507" spans="1:9" x14ac:dyDescent="0.25">
      <c r="A12507">
        <v>3130</v>
      </c>
      <c r="B12507">
        <v>60</v>
      </c>
      <c r="C12507" t="s">
        <v>962</v>
      </c>
      <c r="D12507" t="s">
        <v>999</v>
      </c>
      <c r="E12507" t="s">
        <v>39</v>
      </c>
      <c r="F12507" t="s">
        <v>954</v>
      </c>
      <c r="G12507">
        <v>6077777</v>
      </c>
      <c r="H12507">
        <v>501090</v>
      </c>
      <c r="I12507" t="s">
        <v>949</v>
      </c>
    </row>
    <row r="12508" spans="1:9" x14ac:dyDescent="0.25">
      <c r="A12508">
        <v>3130</v>
      </c>
      <c r="B12508">
        <v>60</v>
      </c>
      <c r="C12508" t="s">
        <v>962</v>
      </c>
      <c r="D12508" t="s">
        <v>999</v>
      </c>
      <c r="E12508" t="s">
        <v>39</v>
      </c>
      <c r="F12508" t="s">
        <v>955</v>
      </c>
      <c r="G12508">
        <v>6077777</v>
      </c>
      <c r="H12508">
        <v>501090</v>
      </c>
      <c r="I12508" t="s">
        <v>949</v>
      </c>
    </row>
    <row r="12509" spans="1:9" x14ac:dyDescent="0.25">
      <c r="A12509">
        <v>3130</v>
      </c>
      <c r="B12509">
        <v>60</v>
      </c>
      <c r="C12509" t="s">
        <v>962</v>
      </c>
      <c r="D12509" t="s">
        <v>999</v>
      </c>
      <c r="E12509" t="s">
        <v>39</v>
      </c>
      <c r="F12509" t="s">
        <v>956</v>
      </c>
      <c r="G12509">
        <v>6077777</v>
      </c>
      <c r="H12509">
        <v>501090</v>
      </c>
      <c r="I12509" t="s">
        <v>949</v>
      </c>
    </row>
    <row r="12510" spans="1:9" x14ac:dyDescent="0.25">
      <c r="A12510">
        <v>3130</v>
      </c>
      <c r="B12510">
        <v>60</v>
      </c>
      <c r="C12510" t="s">
        <v>962</v>
      </c>
      <c r="D12510" t="s">
        <v>999</v>
      </c>
      <c r="E12510" t="s">
        <v>39</v>
      </c>
      <c r="F12510" t="s">
        <v>957</v>
      </c>
      <c r="G12510">
        <v>6077777</v>
      </c>
      <c r="H12510">
        <v>501090</v>
      </c>
      <c r="I12510" t="s">
        <v>949</v>
      </c>
    </row>
    <row r="12511" spans="1:9" x14ac:dyDescent="0.25">
      <c r="A12511">
        <v>3130</v>
      </c>
      <c r="B12511">
        <v>60</v>
      </c>
      <c r="C12511" t="s">
        <v>962</v>
      </c>
      <c r="D12511" t="s">
        <v>999</v>
      </c>
      <c r="E12511" t="s">
        <v>39</v>
      </c>
      <c r="F12511" t="s">
        <v>958</v>
      </c>
      <c r="G12511">
        <v>6077777</v>
      </c>
      <c r="H12511">
        <v>501090</v>
      </c>
      <c r="I12511" t="s">
        <v>949</v>
      </c>
    </row>
    <row r="12512" spans="1:9" x14ac:dyDescent="0.25">
      <c r="A12512">
        <v>3130</v>
      </c>
      <c r="B12512">
        <v>60</v>
      </c>
      <c r="C12512" t="s">
        <v>962</v>
      </c>
      <c r="D12512" t="s">
        <v>999</v>
      </c>
      <c r="E12512" t="s">
        <v>39</v>
      </c>
      <c r="F12512" t="s">
        <v>959</v>
      </c>
      <c r="G12512">
        <v>6077777</v>
      </c>
      <c r="H12512">
        <v>501090</v>
      </c>
      <c r="I12512" t="s">
        <v>949</v>
      </c>
    </row>
    <row r="12513" spans="1:9" x14ac:dyDescent="0.25">
      <c r="A12513">
        <v>3130</v>
      </c>
      <c r="B12513">
        <v>60</v>
      </c>
      <c r="C12513" t="s">
        <v>962</v>
      </c>
      <c r="D12513" t="s">
        <v>999</v>
      </c>
      <c r="E12513" t="s">
        <v>39</v>
      </c>
      <c r="F12513" t="s">
        <v>960</v>
      </c>
      <c r="G12513">
        <v>6077777</v>
      </c>
      <c r="H12513">
        <v>501090</v>
      </c>
      <c r="I12513" t="s">
        <v>949</v>
      </c>
    </row>
    <row r="12514" spans="1:9" x14ac:dyDescent="0.25">
      <c r="A12514">
        <v>3130</v>
      </c>
      <c r="B12514">
        <v>60</v>
      </c>
      <c r="C12514" t="s">
        <v>962</v>
      </c>
      <c r="D12514" t="s">
        <v>999</v>
      </c>
      <c r="E12514" t="s">
        <v>39</v>
      </c>
      <c r="F12514" t="s">
        <v>961</v>
      </c>
      <c r="G12514">
        <v>6077777</v>
      </c>
      <c r="H12514">
        <v>501090</v>
      </c>
      <c r="I12514" t="s">
        <v>949</v>
      </c>
    </row>
    <row r="12515" spans="1:9" x14ac:dyDescent="0.25">
      <c r="A12515">
        <v>3130</v>
      </c>
      <c r="B12515">
        <v>60</v>
      </c>
      <c r="C12515" t="s">
        <v>963</v>
      </c>
      <c r="D12515" t="s">
        <v>999</v>
      </c>
      <c r="E12515" t="s">
        <v>39</v>
      </c>
      <c r="F12515" t="s">
        <v>951</v>
      </c>
      <c r="G12515">
        <v>6077777</v>
      </c>
      <c r="H12515">
        <v>501090</v>
      </c>
      <c r="I12515" t="s">
        <v>949</v>
      </c>
    </row>
    <row r="12516" spans="1:9" x14ac:dyDescent="0.25">
      <c r="A12516">
        <v>3130</v>
      </c>
      <c r="B12516">
        <v>60</v>
      </c>
      <c r="C12516" t="s">
        <v>963</v>
      </c>
      <c r="D12516" t="s">
        <v>999</v>
      </c>
      <c r="E12516" t="s">
        <v>39</v>
      </c>
      <c r="F12516" t="s">
        <v>952</v>
      </c>
      <c r="G12516">
        <v>6077777</v>
      </c>
      <c r="H12516">
        <v>501090</v>
      </c>
      <c r="I12516" t="s">
        <v>949</v>
      </c>
    </row>
    <row r="12517" spans="1:9" x14ac:dyDescent="0.25">
      <c r="A12517">
        <v>3130</v>
      </c>
      <c r="B12517">
        <v>60</v>
      </c>
      <c r="C12517" t="s">
        <v>963</v>
      </c>
      <c r="D12517" t="s">
        <v>999</v>
      </c>
      <c r="E12517" t="s">
        <v>39</v>
      </c>
      <c r="F12517" t="s">
        <v>953</v>
      </c>
      <c r="G12517">
        <v>6077777</v>
      </c>
      <c r="H12517">
        <v>501090</v>
      </c>
      <c r="I12517" t="s">
        <v>949</v>
      </c>
    </row>
    <row r="12518" spans="1:9" x14ac:dyDescent="0.25">
      <c r="A12518">
        <v>3130</v>
      </c>
      <c r="B12518">
        <v>60</v>
      </c>
      <c r="C12518" t="s">
        <v>963</v>
      </c>
      <c r="D12518" t="s">
        <v>999</v>
      </c>
      <c r="E12518" t="s">
        <v>39</v>
      </c>
      <c r="F12518" t="s">
        <v>954</v>
      </c>
      <c r="G12518">
        <v>6077777</v>
      </c>
      <c r="H12518">
        <v>501090</v>
      </c>
      <c r="I12518" t="s">
        <v>949</v>
      </c>
    </row>
    <row r="12519" spans="1:9" x14ac:dyDescent="0.25">
      <c r="A12519">
        <v>3130</v>
      </c>
      <c r="B12519">
        <v>60</v>
      </c>
      <c r="C12519" t="s">
        <v>963</v>
      </c>
      <c r="D12519" t="s">
        <v>999</v>
      </c>
      <c r="E12519" t="s">
        <v>39</v>
      </c>
      <c r="F12519" t="s">
        <v>955</v>
      </c>
      <c r="G12519">
        <v>6077777</v>
      </c>
      <c r="H12519">
        <v>501090</v>
      </c>
      <c r="I12519" t="s">
        <v>949</v>
      </c>
    </row>
    <row r="12520" spans="1:9" x14ac:dyDescent="0.25">
      <c r="A12520">
        <v>3130</v>
      </c>
      <c r="B12520">
        <v>60</v>
      </c>
      <c r="C12520" t="s">
        <v>963</v>
      </c>
      <c r="D12520" t="s">
        <v>999</v>
      </c>
      <c r="E12520" t="s">
        <v>39</v>
      </c>
      <c r="F12520" t="s">
        <v>956</v>
      </c>
      <c r="G12520">
        <v>6077777</v>
      </c>
      <c r="H12520">
        <v>501090</v>
      </c>
      <c r="I12520" t="s">
        <v>949</v>
      </c>
    </row>
    <row r="12521" spans="1:9" x14ac:dyDescent="0.25">
      <c r="A12521">
        <v>3130</v>
      </c>
      <c r="B12521">
        <v>60</v>
      </c>
      <c r="C12521" t="s">
        <v>963</v>
      </c>
      <c r="D12521" t="s">
        <v>999</v>
      </c>
      <c r="E12521" t="s">
        <v>39</v>
      </c>
      <c r="F12521" t="s">
        <v>957</v>
      </c>
      <c r="G12521">
        <v>6077777</v>
      </c>
      <c r="H12521">
        <v>501090</v>
      </c>
      <c r="I12521" t="s">
        <v>949</v>
      </c>
    </row>
    <row r="12522" spans="1:9" x14ac:dyDescent="0.25">
      <c r="A12522">
        <v>3130</v>
      </c>
      <c r="B12522">
        <v>60</v>
      </c>
      <c r="C12522" t="s">
        <v>963</v>
      </c>
      <c r="D12522" t="s">
        <v>999</v>
      </c>
      <c r="E12522" t="s">
        <v>39</v>
      </c>
      <c r="F12522" t="s">
        <v>958</v>
      </c>
      <c r="G12522">
        <v>6077777</v>
      </c>
      <c r="H12522">
        <v>501090</v>
      </c>
      <c r="I12522" t="s">
        <v>949</v>
      </c>
    </row>
    <row r="12523" spans="1:9" x14ac:dyDescent="0.25">
      <c r="A12523">
        <v>3130</v>
      </c>
      <c r="B12523">
        <v>60</v>
      </c>
      <c r="C12523" t="s">
        <v>963</v>
      </c>
      <c r="D12523" t="s">
        <v>999</v>
      </c>
      <c r="E12523" t="s">
        <v>39</v>
      </c>
      <c r="F12523" t="s">
        <v>959</v>
      </c>
      <c r="G12523">
        <v>6077777</v>
      </c>
      <c r="H12523">
        <v>501090</v>
      </c>
      <c r="I12523" t="s">
        <v>949</v>
      </c>
    </row>
    <row r="12524" spans="1:9" x14ac:dyDescent="0.25">
      <c r="A12524">
        <v>3130</v>
      </c>
      <c r="B12524">
        <v>60</v>
      </c>
      <c r="C12524" t="s">
        <v>963</v>
      </c>
      <c r="D12524" t="s">
        <v>999</v>
      </c>
      <c r="E12524" t="s">
        <v>39</v>
      </c>
      <c r="F12524" t="s">
        <v>960</v>
      </c>
      <c r="G12524">
        <v>6077777</v>
      </c>
      <c r="H12524">
        <v>501090</v>
      </c>
      <c r="I12524" t="s">
        <v>949</v>
      </c>
    </row>
    <row r="12525" spans="1:9" x14ac:dyDescent="0.25">
      <c r="A12525">
        <v>3130</v>
      </c>
      <c r="B12525">
        <v>60</v>
      </c>
      <c r="C12525" t="s">
        <v>963</v>
      </c>
      <c r="D12525" t="s">
        <v>999</v>
      </c>
      <c r="E12525" t="s">
        <v>39</v>
      </c>
      <c r="F12525" t="s">
        <v>961</v>
      </c>
      <c r="G12525">
        <v>6077777</v>
      </c>
      <c r="H12525">
        <v>501090</v>
      </c>
      <c r="I12525" t="s">
        <v>949</v>
      </c>
    </row>
    <row r="12526" ht="22" customHeight="1" spans="1:10" x14ac:dyDescent="0.25">
      <c r="A12526" s="43">
        <v>3130</v>
      </c>
      <c r="B12526" s="43">
        <v>60</v>
      </c>
      <c r="C12526" s="43" t="s">
        <v>950</v>
      </c>
      <c r="D12526" s="43" t="s">
        <v>999</v>
      </c>
      <c r="E12526" s="43" t="s">
        <v>286</v>
      </c>
      <c r="F12526" s="43" t="s">
        <v>951</v>
      </c>
      <c r="G12526" s="43">
        <v>6000000</v>
      </c>
      <c r="H12526" s="43">
        <v>145000</v>
      </c>
      <c r="I12526" s="43" t="s">
        <v>949</v>
      </c>
      <c r="J12526" s="44" t="s">
        <v>1000</v>
      </c>
    </row>
    <row r="12527" ht="22" customHeight="1" spans="1:10" x14ac:dyDescent="0.25">
      <c r="A12527" s="43">
        <v>3130</v>
      </c>
      <c r="B12527" s="43">
        <v>60</v>
      </c>
      <c r="C12527" s="43" t="s">
        <v>950</v>
      </c>
      <c r="D12527" s="43" t="s">
        <v>999</v>
      </c>
      <c r="E12527" s="43" t="s">
        <v>286</v>
      </c>
      <c r="F12527" s="43" t="s">
        <v>952</v>
      </c>
      <c r="G12527" s="43">
        <v>6000000</v>
      </c>
      <c r="H12527" s="43">
        <v>145000</v>
      </c>
      <c r="I12527" s="43" t="s">
        <v>949</v>
      </c>
      <c r="J12527" s="44" t="s">
        <v>1000</v>
      </c>
    </row>
    <row r="12528" ht="22" customHeight="1" spans="1:10" x14ac:dyDescent="0.25">
      <c r="A12528" s="43">
        <v>3130</v>
      </c>
      <c r="B12528" s="43">
        <v>60</v>
      </c>
      <c r="C12528" s="43" t="s">
        <v>950</v>
      </c>
      <c r="D12528" s="43" t="s">
        <v>999</v>
      </c>
      <c r="E12528" s="43" t="s">
        <v>286</v>
      </c>
      <c r="F12528" s="43" t="s">
        <v>953</v>
      </c>
      <c r="G12528" s="43">
        <v>6000000</v>
      </c>
      <c r="H12528" s="43">
        <v>145000</v>
      </c>
      <c r="I12528" s="43" t="s">
        <v>949</v>
      </c>
      <c r="J12528" s="44" t="s">
        <v>1000</v>
      </c>
    </row>
    <row r="12529" ht="22" customHeight="1" spans="1:10" x14ac:dyDescent="0.25">
      <c r="A12529" s="43">
        <v>3130</v>
      </c>
      <c r="B12529" s="43">
        <v>60</v>
      </c>
      <c r="C12529" s="43" t="s">
        <v>950</v>
      </c>
      <c r="D12529" s="43" t="s">
        <v>999</v>
      </c>
      <c r="E12529" s="43" t="s">
        <v>286</v>
      </c>
      <c r="F12529" s="43" t="s">
        <v>954</v>
      </c>
      <c r="G12529" s="43">
        <v>6000000</v>
      </c>
      <c r="H12529" s="43">
        <v>145000</v>
      </c>
      <c r="I12529" s="43" t="s">
        <v>949</v>
      </c>
      <c r="J12529" s="44" t="s">
        <v>1000</v>
      </c>
    </row>
    <row r="12530" ht="22" customHeight="1" spans="1:10" x14ac:dyDescent="0.25">
      <c r="A12530" s="43">
        <v>3130</v>
      </c>
      <c r="B12530" s="43">
        <v>60</v>
      </c>
      <c r="C12530" s="43" t="s">
        <v>950</v>
      </c>
      <c r="D12530" s="43" t="s">
        <v>999</v>
      </c>
      <c r="E12530" s="43" t="s">
        <v>286</v>
      </c>
      <c r="F12530" s="43" t="s">
        <v>955</v>
      </c>
      <c r="G12530" s="43">
        <v>6000000</v>
      </c>
      <c r="H12530" s="43">
        <v>145000</v>
      </c>
      <c r="I12530" s="43" t="s">
        <v>949</v>
      </c>
      <c r="J12530" s="44" t="s">
        <v>1000</v>
      </c>
    </row>
    <row r="12531" ht="22" customHeight="1" spans="1:10" x14ac:dyDescent="0.25">
      <c r="A12531" s="43">
        <v>3130</v>
      </c>
      <c r="B12531" s="43">
        <v>60</v>
      </c>
      <c r="C12531" s="43" t="s">
        <v>950</v>
      </c>
      <c r="D12531" s="43" t="s">
        <v>999</v>
      </c>
      <c r="E12531" s="43" t="s">
        <v>286</v>
      </c>
      <c r="F12531" s="43" t="s">
        <v>956</v>
      </c>
      <c r="G12531" s="43">
        <v>6000000</v>
      </c>
      <c r="H12531" s="43">
        <v>145000</v>
      </c>
      <c r="I12531" s="43" t="s">
        <v>949</v>
      </c>
      <c r="J12531" s="44" t="s">
        <v>1000</v>
      </c>
    </row>
    <row r="12532" ht="22" customHeight="1" spans="1:10" x14ac:dyDescent="0.25">
      <c r="A12532" s="43">
        <v>3130</v>
      </c>
      <c r="B12532" s="43">
        <v>60</v>
      </c>
      <c r="C12532" s="43" t="s">
        <v>950</v>
      </c>
      <c r="D12532" s="43" t="s">
        <v>999</v>
      </c>
      <c r="E12532" s="43" t="s">
        <v>286</v>
      </c>
      <c r="F12532" s="43" t="s">
        <v>957</v>
      </c>
      <c r="G12532" s="43">
        <v>6000000</v>
      </c>
      <c r="H12532" s="43">
        <v>145000</v>
      </c>
      <c r="I12532" s="43" t="s">
        <v>949</v>
      </c>
      <c r="J12532" s="44" t="s">
        <v>1000</v>
      </c>
    </row>
    <row r="12533" ht="22" customHeight="1" spans="1:10" x14ac:dyDescent="0.25">
      <c r="A12533" s="43">
        <v>3130</v>
      </c>
      <c r="B12533" s="43">
        <v>60</v>
      </c>
      <c r="C12533" s="43" t="s">
        <v>950</v>
      </c>
      <c r="D12533" s="43" t="s">
        <v>999</v>
      </c>
      <c r="E12533" s="43" t="s">
        <v>286</v>
      </c>
      <c r="F12533" s="43" t="s">
        <v>958</v>
      </c>
      <c r="G12533" s="43">
        <v>6000000</v>
      </c>
      <c r="H12533" s="43">
        <v>145000</v>
      </c>
      <c r="I12533" s="43" t="s">
        <v>949</v>
      </c>
      <c r="J12533" s="44" t="s">
        <v>1000</v>
      </c>
    </row>
    <row r="12534" ht="22" customHeight="1" spans="1:10" x14ac:dyDescent="0.25">
      <c r="A12534" s="43">
        <v>3130</v>
      </c>
      <c r="B12534" s="43">
        <v>60</v>
      </c>
      <c r="C12534" s="43" t="s">
        <v>950</v>
      </c>
      <c r="D12534" s="43" t="s">
        <v>999</v>
      </c>
      <c r="E12534" s="43" t="s">
        <v>286</v>
      </c>
      <c r="F12534" s="43" t="s">
        <v>959</v>
      </c>
      <c r="G12534" s="43">
        <v>6000000</v>
      </c>
      <c r="H12534" s="43">
        <v>145000</v>
      </c>
      <c r="I12534" s="43" t="s">
        <v>949</v>
      </c>
      <c r="J12534" s="44" t="s">
        <v>1000</v>
      </c>
    </row>
    <row r="12535" ht="22" customHeight="1" spans="1:10" x14ac:dyDescent="0.25">
      <c r="A12535" s="43">
        <v>3130</v>
      </c>
      <c r="B12535" s="43">
        <v>60</v>
      </c>
      <c r="C12535" s="43" t="s">
        <v>950</v>
      </c>
      <c r="D12535" s="43" t="s">
        <v>999</v>
      </c>
      <c r="E12535" s="43" t="s">
        <v>286</v>
      </c>
      <c r="F12535" s="43" t="s">
        <v>960</v>
      </c>
      <c r="G12535" s="43">
        <v>6000000</v>
      </c>
      <c r="H12535" s="43">
        <v>145000</v>
      </c>
      <c r="I12535" s="43" t="s">
        <v>949</v>
      </c>
      <c r="J12535" s="44" t="s">
        <v>1000</v>
      </c>
    </row>
    <row r="12536" ht="22" customHeight="1" spans="1:10" x14ac:dyDescent="0.25">
      <c r="A12536" s="43">
        <v>3130</v>
      </c>
      <c r="B12536" s="43">
        <v>60</v>
      </c>
      <c r="C12536" s="43" t="s">
        <v>950</v>
      </c>
      <c r="D12536" s="43" t="s">
        <v>999</v>
      </c>
      <c r="E12536" s="43" t="s">
        <v>286</v>
      </c>
      <c r="F12536" s="43" t="s">
        <v>961</v>
      </c>
      <c r="G12536" s="43">
        <v>6000000</v>
      </c>
      <c r="H12536" s="43">
        <v>145000</v>
      </c>
      <c r="I12536" s="43" t="s">
        <v>949</v>
      </c>
      <c r="J12536" s="44" t="s">
        <v>1000</v>
      </c>
    </row>
    <row r="12537" ht="22" customHeight="1" spans="1:10" x14ac:dyDescent="0.25">
      <c r="A12537" s="43">
        <v>3130</v>
      </c>
      <c r="B12537" s="43">
        <v>60</v>
      </c>
      <c r="C12537" s="43" t="s">
        <v>962</v>
      </c>
      <c r="D12537" s="43" t="s">
        <v>999</v>
      </c>
      <c r="E12537" s="43" t="s">
        <v>286</v>
      </c>
      <c r="F12537" s="43" t="s">
        <v>951</v>
      </c>
      <c r="G12537" s="43">
        <v>6000000</v>
      </c>
      <c r="H12537" s="43">
        <v>145000</v>
      </c>
      <c r="I12537" s="43" t="s">
        <v>949</v>
      </c>
      <c r="J12537" s="44" t="s">
        <v>1000</v>
      </c>
    </row>
    <row r="12538" ht="22" customHeight="1" spans="1:10" x14ac:dyDescent="0.25">
      <c r="A12538" s="43">
        <v>3130</v>
      </c>
      <c r="B12538" s="43">
        <v>60</v>
      </c>
      <c r="C12538" s="43" t="s">
        <v>962</v>
      </c>
      <c r="D12538" s="43" t="s">
        <v>999</v>
      </c>
      <c r="E12538" s="43" t="s">
        <v>286</v>
      </c>
      <c r="F12538" s="43" t="s">
        <v>952</v>
      </c>
      <c r="G12538" s="43">
        <v>6000000</v>
      </c>
      <c r="H12538" s="43">
        <v>145000</v>
      </c>
      <c r="I12538" s="43" t="s">
        <v>949</v>
      </c>
      <c r="J12538" s="44" t="s">
        <v>1000</v>
      </c>
    </row>
    <row r="12539" ht="22" customHeight="1" spans="1:10" x14ac:dyDescent="0.25">
      <c r="A12539" s="43">
        <v>3130</v>
      </c>
      <c r="B12539" s="43">
        <v>60</v>
      </c>
      <c r="C12539" s="43" t="s">
        <v>962</v>
      </c>
      <c r="D12539" s="43" t="s">
        <v>999</v>
      </c>
      <c r="E12539" s="43" t="s">
        <v>286</v>
      </c>
      <c r="F12539" s="43" t="s">
        <v>953</v>
      </c>
      <c r="G12539" s="43">
        <v>6000000</v>
      </c>
      <c r="H12539" s="43">
        <v>145000</v>
      </c>
      <c r="I12539" s="43" t="s">
        <v>949</v>
      </c>
      <c r="J12539" s="44" t="s">
        <v>1000</v>
      </c>
    </row>
    <row r="12540" ht="22" customHeight="1" spans="1:10" x14ac:dyDescent="0.25">
      <c r="A12540" s="43">
        <v>3130</v>
      </c>
      <c r="B12540" s="43">
        <v>60</v>
      </c>
      <c r="C12540" s="43" t="s">
        <v>962</v>
      </c>
      <c r="D12540" s="43" t="s">
        <v>999</v>
      </c>
      <c r="E12540" s="43" t="s">
        <v>286</v>
      </c>
      <c r="F12540" s="43" t="s">
        <v>954</v>
      </c>
      <c r="G12540" s="43">
        <v>6000000</v>
      </c>
      <c r="H12540" s="43">
        <v>145000</v>
      </c>
      <c r="I12540" s="43" t="s">
        <v>949</v>
      </c>
      <c r="J12540" s="44" t="s">
        <v>1000</v>
      </c>
    </row>
    <row r="12541" ht="22" customHeight="1" spans="1:10" x14ac:dyDescent="0.25">
      <c r="A12541" s="43">
        <v>3130</v>
      </c>
      <c r="B12541" s="43">
        <v>60</v>
      </c>
      <c r="C12541" s="43" t="s">
        <v>962</v>
      </c>
      <c r="D12541" s="43" t="s">
        <v>999</v>
      </c>
      <c r="E12541" s="43" t="s">
        <v>286</v>
      </c>
      <c r="F12541" s="43" t="s">
        <v>955</v>
      </c>
      <c r="G12541" s="43">
        <v>6000000</v>
      </c>
      <c r="H12541" s="43">
        <v>145000</v>
      </c>
      <c r="I12541" s="43" t="s">
        <v>949</v>
      </c>
      <c r="J12541" s="44" t="s">
        <v>1000</v>
      </c>
    </row>
    <row r="12542" ht="22" customHeight="1" spans="1:10" x14ac:dyDescent="0.25">
      <c r="A12542" s="43">
        <v>3130</v>
      </c>
      <c r="B12542" s="43">
        <v>60</v>
      </c>
      <c r="C12542" s="43" t="s">
        <v>962</v>
      </c>
      <c r="D12542" s="43" t="s">
        <v>999</v>
      </c>
      <c r="E12542" s="43" t="s">
        <v>286</v>
      </c>
      <c r="F12542" s="43" t="s">
        <v>956</v>
      </c>
      <c r="G12542" s="43">
        <v>6000000</v>
      </c>
      <c r="H12542" s="43">
        <v>145000</v>
      </c>
      <c r="I12542" s="43" t="s">
        <v>949</v>
      </c>
      <c r="J12542" s="44" t="s">
        <v>1000</v>
      </c>
    </row>
    <row r="12543" ht="22" customHeight="1" spans="1:10" x14ac:dyDescent="0.25">
      <c r="A12543" s="43">
        <v>3130</v>
      </c>
      <c r="B12543" s="43">
        <v>60</v>
      </c>
      <c r="C12543" s="43" t="s">
        <v>962</v>
      </c>
      <c r="D12543" s="43" t="s">
        <v>999</v>
      </c>
      <c r="E12543" s="43" t="s">
        <v>286</v>
      </c>
      <c r="F12543" s="43" t="s">
        <v>957</v>
      </c>
      <c r="G12543" s="43">
        <v>6000000</v>
      </c>
      <c r="H12543" s="43">
        <v>145000</v>
      </c>
      <c r="I12543" s="43" t="s">
        <v>949</v>
      </c>
      <c r="J12543" s="44" t="s">
        <v>1000</v>
      </c>
    </row>
    <row r="12544" ht="22" customHeight="1" spans="1:10" x14ac:dyDescent="0.25">
      <c r="A12544" s="43">
        <v>3130</v>
      </c>
      <c r="B12544" s="43">
        <v>60</v>
      </c>
      <c r="C12544" s="43" t="s">
        <v>962</v>
      </c>
      <c r="D12544" s="43" t="s">
        <v>999</v>
      </c>
      <c r="E12544" s="43" t="s">
        <v>286</v>
      </c>
      <c r="F12544" s="43" t="s">
        <v>958</v>
      </c>
      <c r="G12544" s="43">
        <v>6000000</v>
      </c>
      <c r="H12544" s="43">
        <v>145000</v>
      </c>
      <c r="I12544" s="43" t="s">
        <v>949</v>
      </c>
      <c r="J12544" s="44" t="s">
        <v>1000</v>
      </c>
    </row>
    <row r="12545" ht="22" customHeight="1" spans="1:10" x14ac:dyDescent="0.25">
      <c r="A12545" s="43">
        <v>3130</v>
      </c>
      <c r="B12545" s="43">
        <v>60</v>
      </c>
      <c r="C12545" s="43" t="s">
        <v>962</v>
      </c>
      <c r="D12545" s="43" t="s">
        <v>999</v>
      </c>
      <c r="E12545" s="43" t="s">
        <v>286</v>
      </c>
      <c r="F12545" s="43" t="s">
        <v>959</v>
      </c>
      <c r="G12545" s="43">
        <v>6000000</v>
      </c>
      <c r="H12545" s="43">
        <v>145000</v>
      </c>
      <c r="I12545" s="43" t="s">
        <v>949</v>
      </c>
      <c r="J12545" s="44" t="s">
        <v>1000</v>
      </c>
    </row>
    <row r="12546" ht="22" customHeight="1" spans="1:10" x14ac:dyDescent="0.25">
      <c r="A12546" s="43">
        <v>3130</v>
      </c>
      <c r="B12546" s="43">
        <v>60</v>
      </c>
      <c r="C12546" s="43" t="s">
        <v>962</v>
      </c>
      <c r="D12546" s="43" t="s">
        <v>999</v>
      </c>
      <c r="E12546" s="43" t="s">
        <v>286</v>
      </c>
      <c r="F12546" s="43" t="s">
        <v>960</v>
      </c>
      <c r="G12546" s="43">
        <v>6000000</v>
      </c>
      <c r="H12546" s="43">
        <v>145000</v>
      </c>
      <c r="I12546" s="43" t="s">
        <v>949</v>
      </c>
      <c r="J12546" s="44" t="s">
        <v>1000</v>
      </c>
    </row>
    <row r="12547" ht="22" customHeight="1" spans="1:10" x14ac:dyDescent="0.25">
      <c r="A12547" s="43">
        <v>3130</v>
      </c>
      <c r="B12547" s="43">
        <v>60</v>
      </c>
      <c r="C12547" s="43" t="s">
        <v>962</v>
      </c>
      <c r="D12547" s="43" t="s">
        <v>999</v>
      </c>
      <c r="E12547" s="43" t="s">
        <v>286</v>
      </c>
      <c r="F12547" s="43" t="s">
        <v>961</v>
      </c>
      <c r="G12547" s="43">
        <v>6000000</v>
      </c>
      <c r="H12547" s="43">
        <v>145000</v>
      </c>
      <c r="I12547" s="43" t="s">
        <v>949</v>
      </c>
      <c r="J12547" s="44" t="s">
        <v>1000</v>
      </c>
    </row>
    <row r="12548" ht="22" customHeight="1" spans="1:10" x14ac:dyDescent="0.25">
      <c r="A12548" s="43">
        <v>3130</v>
      </c>
      <c r="B12548" s="43">
        <v>60</v>
      </c>
      <c r="C12548" s="43" t="s">
        <v>963</v>
      </c>
      <c r="D12548" s="43" t="s">
        <v>999</v>
      </c>
      <c r="E12548" s="43" t="s">
        <v>286</v>
      </c>
      <c r="F12548" s="43" t="s">
        <v>951</v>
      </c>
      <c r="G12548" s="43">
        <v>6000000</v>
      </c>
      <c r="H12548" s="43">
        <v>145000</v>
      </c>
      <c r="I12548" s="43" t="s">
        <v>949</v>
      </c>
      <c r="J12548" s="44" t="s">
        <v>1000</v>
      </c>
    </row>
    <row r="12549" ht="22" customHeight="1" spans="1:10" x14ac:dyDescent="0.25">
      <c r="A12549" s="43">
        <v>3130</v>
      </c>
      <c r="B12549" s="43">
        <v>60</v>
      </c>
      <c r="C12549" s="43" t="s">
        <v>963</v>
      </c>
      <c r="D12549" s="43" t="s">
        <v>999</v>
      </c>
      <c r="E12549" s="43" t="s">
        <v>286</v>
      </c>
      <c r="F12549" s="43" t="s">
        <v>952</v>
      </c>
      <c r="G12549" s="43">
        <v>6000000</v>
      </c>
      <c r="H12549" s="43">
        <v>145000</v>
      </c>
      <c r="I12549" s="43" t="s">
        <v>949</v>
      </c>
      <c r="J12549" s="44" t="s">
        <v>1000</v>
      </c>
    </row>
    <row r="12550" ht="22" customHeight="1" spans="1:10" x14ac:dyDescent="0.25">
      <c r="A12550" s="43">
        <v>3130</v>
      </c>
      <c r="B12550" s="43">
        <v>60</v>
      </c>
      <c r="C12550" s="43" t="s">
        <v>963</v>
      </c>
      <c r="D12550" s="43" t="s">
        <v>999</v>
      </c>
      <c r="E12550" s="43" t="s">
        <v>286</v>
      </c>
      <c r="F12550" s="43" t="s">
        <v>953</v>
      </c>
      <c r="G12550" s="43">
        <v>6000000</v>
      </c>
      <c r="H12550" s="43">
        <v>145000</v>
      </c>
      <c r="I12550" s="43" t="s">
        <v>949</v>
      </c>
      <c r="J12550" s="44" t="s">
        <v>1000</v>
      </c>
    </row>
    <row r="12551" ht="22" customHeight="1" spans="1:10" x14ac:dyDescent="0.25">
      <c r="A12551" s="43">
        <v>3130</v>
      </c>
      <c r="B12551" s="43">
        <v>60</v>
      </c>
      <c r="C12551" s="43" t="s">
        <v>963</v>
      </c>
      <c r="D12551" s="43" t="s">
        <v>999</v>
      </c>
      <c r="E12551" s="43" t="s">
        <v>286</v>
      </c>
      <c r="F12551" s="43" t="s">
        <v>954</v>
      </c>
      <c r="G12551" s="43">
        <v>6000000</v>
      </c>
      <c r="H12551" s="43">
        <v>145000</v>
      </c>
      <c r="I12551" s="43" t="s">
        <v>949</v>
      </c>
      <c r="J12551" s="44" t="s">
        <v>1000</v>
      </c>
    </row>
    <row r="12552" ht="22" customHeight="1" spans="1:10" x14ac:dyDescent="0.25">
      <c r="A12552" s="43">
        <v>3130</v>
      </c>
      <c r="B12552" s="43">
        <v>60</v>
      </c>
      <c r="C12552" s="43" t="s">
        <v>963</v>
      </c>
      <c r="D12552" s="43" t="s">
        <v>999</v>
      </c>
      <c r="E12552" s="43" t="s">
        <v>286</v>
      </c>
      <c r="F12552" s="43" t="s">
        <v>955</v>
      </c>
      <c r="G12552" s="43">
        <v>6000000</v>
      </c>
      <c r="H12552" s="43">
        <v>145000</v>
      </c>
      <c r="I12552" s="43" t="s">
        <v>949</v>
      </c>
      <c r="J12552" s="44" t="s">
        <v>1000</v>
      </c>
    </row>
    <row r="12553" ht="22" customHeight="1" spans="1:10" x14ac:dyDescent="0.25">
      <c r="A12553" s="43">
        <v>3130</v>
      </c>
      <c r="B12553" s="43">
        <v>60</v>
      </c>
      <c r="C12553" s="43" t="s">
        <v>963</v>
      </c>
      <c r="D12553" s="43" t="s">
        <v>999</v>
      </c>
      <c r="E12553" s="43" t="s">
        <v>286</v>
      </c>
      <c r="F12553" s="43" t="s">
        <v>956</v>
      </c>
      <c r="G12553" s="43">
        <v>6000000</v>
      </c>
      <c r="H12553" s="43">
        <v>145000</v>
      </c>
      <c r="I12553" s="43" t="s">
        <v>949</v>
      </c>
      <c r="J12553" s="44" t="s">
        <v>1000</v>
      </c>
    </row>
    <row r="12554" ht="22" customHeight="1" spans="1:10" x14ac:dyDescent="0.25">
      <c r="A12554" s="43">
        <v>3130</v>
      </c>
      <c r="B12554" s="43">
        <v>60</v>
      </c>
      <c r="C12554" s="43" t="s">
        <v>963</v>
      </c>
      <c r="D12554" s="43" t="s">
        <v>999</v>
      </c>
      <c r="E12554" s="43" t="s">
        <v>286</v>
      </c>
      <c r="F12554" s="43" t="s">
        <v>957</v>
      </c>
      <c r="G12554" s="43">
        <v>6000000</v>
      </c>
      <c r="H12554" s="43">
        <v>145000</v>
      </c>
      <c r="I12554" s="43" t="s">
        <v>949</v>
      </c>
      <c r="J12554" s="44" t="s">
        <v>1000</v>
      </c>
    </row>
    <row r="12555" ht="22" customHeight="1" spans="1:10" x14ac:dyDescent="0.25">
      <c r="A12555" s="43">
        <v>3130</v>
      </c>
      <c r="B12555" s="43">
        <v>60</v>
      </c>
      <c r="C12555" s="43" t="s">
        <v>963</v>
      </c>
      <c r="D12555" s="43" t="s">
        <v>999</v>
      </c>
      <c r="E12555" s="43" t="s">
        <v>286</v>
      </c>
      <c r="F12555" s="43" t="s">
        <v>958</v>
      </c>
      <c r="G12555" s="43">
        <v>6000000</v>
      </c>
      <c r="H12555" s="43">
        <v>145000</v>
      </c>
      <c r="I12555" s="43" t="s">
        <v>949</v>
      </c>
      <c r="J12555" s="44" t="s">
        <v>1000</v>
      </c>
    </row>
    <row r="12556" ht="22" customHeight="1" spans="1:10" x14ac:dyDescent="0.25">
      <c r="A12556" s="43">
        <v>3130</v>
      </c>
      <c r="B12556" s="43">
        <v>60</v>
      </c>
      <c r="C12556" s="43" t="s">
        <v>963</v>
      </c>
      <c r="D12556" s="43" t="s">
        <v>999</v>
      </c>
      <c r="E12556" s="43" t="s">
        <v>286</v>
      </c>
      <c r="F12556" s="43" t="s">
        <v>959</v>
      </c>
      <c r="G12556" s="43">
        <v>6000000</v>
      </c>
      <c r="H12556" s="43">
        <v>145000</v>
      </c>
      <c r="I12556" s="43" t="s">
        <v>949</v>
      </c>
      <c r="J12556" s="44" t="s">
        <v>1000</v>
      </c>
    </row>
    <row r="12557" ht="22" customHeight="1" spans="1:10" x14ac:dyDescent="0.25">
      <c r="A12557" s="43">
        <v>3130</v>
      </c>
      <c r="B12557" s="43">
        <v>60</v>
      </c>
      <c r="C12557" s="43" t="s">
        <v>963</v>
      </c>
      <c r="D12557" s="43" t="s">
        <v>999</v>
      </c>
      <c r="E12557" s="43" t="s">
        <v>286</v>
      </c>
      <c r="F12557" s="43" t="s">
        <v>960</v>
      </c>
      <c r="G12557" s="43">
        <v>6000000</v>
      </c>
      <c r="H12557" s="43">
        <v>145000</v>
      </c>
      <c r="I12557" s="43" t="s">
        <v>949</v>
      </c>
      <c r="J12557" s="44" t="s">
        <v>1000</v>
      </c>
    </row>
    <row r="12558" ht="22" customHeight="1" spans="1:10" x14ac:dyDescent="0.25">
      <c r="A12558" s="43">
        <v>3130</v>
      </c>
      <c r="B12558" s="43">
        <v>60</v>
      </c>
      <c r="C12558" s="43" t="s">
        <v>963</v>
      </c>
      <c r="D12558" s="43" t="s">
        <v>999</v>
      </c>
      <c r="E12558" s="43" t="s">
        <v>286</v>
      </c>
      <c r="F12558" s="43" t="s">
        <v>961</v>
      </c>
      <c r="G12558" s="43">
        <v>6000000</v>
      </c>
      <c r="H12558" s="43">
        <v>145000</v>
      </c>
      <c r="I12558" s="43" t="s">
        <v>949</v>
      </c>
      <c r="J12558" s="44" t="s">
        <v>1000</v>
      </c>
    </row>
    <row r="12559" spans="1:9" x14ac:dyDescent="0.25">
      <c r="A12559">
        <v>3130</v>
      </c>
      <c r="B12559">
        <v>60</v>
      </c>
      <c r="C12559" t="s">
        <v>950</v>
      </c>
      <c r="D12559" t="s">
        <v>999</v>
      </c>
      <c r="E12559" t="s">
        <v>976</v>
      </c>
      <c r="F12559" t="s">
        <v>951</v>
      </c>
      <c r="G12559">
        <v>6000000</v>
      </c>
      <c r="H12559">
        <v>141000</v>
      </c>
      <c r="I12559" t="s">
        <v>977</v>
      </c>
    </row>
    <row r="12560" spans="1:9" x14ac:dyDescent="0.25">
      <c r="A12560">
        <v>3130</v>
      </c>
      <c r="B12560">
        <v>60</v>
      </c>
      <c r="C12560" t="s">
        <v>950</v>
      </c>
      <c r="D12560" t="s">
        <v>999</v>
      </c>
      <c r="E12560" t="s">
        <v>976</v>
      </c>
      <c r="F12560" t="s">
        <v>952</v>
      </c>
      <c r="G12560">
        <v>6000000</v>
      </c>
      <c r="H12560">
        <v>141000</v>
      </c>
      <c r="I12560" t="s">
        <v>977</v>
      </c>
    </row>
    <row r="12561" spans="1:9" x14ac:dyDescent="0.25">
      <c r="A12561">
        <v>3130</v>
      </c>
      <c r="B12561">
        <v>60</v>
      </c>
      <c r="C12561" t="s">
        <v>950</v>
      </c>
      <c r="D12561" t="s">
        <v>999</v>
      </c>
      <c r="E12561" t="s">
        <v>976</v>
      </c>
      <c r="F12561" t="s">
        <v>953</v>
      </c>
      <c r="G12561">
        <v>6000000</v>
      </c>
      <c r="H12561">
        <v>141000</v>
      </c>
      <c r="I12561" t="s">
        <v>977</v>
      </c>
    </row>
    <row r="12562" spans="1:9" x14ac:dyDescent="0.25">
      <c r="A12562">
        <v>3130</v>
      </c>
      <c r="B12562">
        <v>60</v>
      </c>
      <c r="C12562" t="s">
        <v>950</v>
      </c>
      <c r="D12562" t="s">
        <v>999</v>
      </c>
      <c r="E12562" t="s">
        <v>976</v>
      </c>
      <c r="F12562" t="s">
        <v>954</v>
      </c>
      <c r="G12562">
        <v>6000000</v>
      </c>
      <c r="H12562">
        <v>141000</v>
      </c>
      <c r="I12562" t="s">
        <v>977</v>
      </c>
    </row>
    <row r="12563" spans="1:9" x14ac:dyDescent="0.25">
      <c r="A12563">
        <v>3130</v>
      </c>
      <c r="B12563">
        <v>60</v>
      </c>
      <c r="C12563" t="s">
        <v>950</v>
      </c>
      <c r="D12563" t="s">
        <v>999</v>
      </c>
      <c r="E12563" t="s">
        <v>976</v>
      </c>
      <c r="F12563" t="s">
        <v>955</v>
      </c>
      <c r="G12563">
        <v>6000000</v>
      </c>
      <c r="H12563">
        <v>141000</v>
      </c>
      <c r="I12563" t="s">
        <v>977</v>
      </c>
    </row>
    <row r="12564" spans="1:9" x14ac:dyDescent="0.25">
      <c r="A12564">
        <v>3130</v>
      </c>
      <c r="B12564">
        <v>60</v>
      </c>
      <c r="C12564" t="s">
        <v>950</v>
      </c>
      <c r="D12564" t="s">
        <v>999</v>
      </c>
      <c r="E12564" t="s">
        <v>976</v>
      </c>
      <c r="F12564" t="s">
        <v>956</v>
      </c>
      <c r="G12564">
        <v>6000000</v>
      </c>
      <c r="H12564">
        <v>141000</v>
      </c>
      <c r="I12564" t="s">
        <v>977</v>
      </c>
    </row>
    <row r="12565" spans="1:9" x14ac:dyDescent="0.25">
      <c r="A12565">
        <v>3130</v>
      </c>
      <c r="B12565">
        <v>60</v>
      </c>
      <c r="C12565" t="s">
        <v>950</v>
      </c>
      <c r="D12565" t="s">
        <v>999</v>
      </c>
      <c r="E12565" t="s">
        <v>976</v>
      </c>
      <c r="F12565" t="s">
        <v>957</v>
      </c>
      <c r="G12565">
        <v>6000000</v>
      </c>
      <c r="H12565">
        <v>141000</v>
      </c>
      <c r="I12565" t="s">
        <v>977</v>
      </c>
    </row>
    <row r="12566" spans="1:9" x14ac:dyDescent="0.25">
      <c r="A12566">
        <v>3130</v>
      </c>
      <c r="B12566">
        <v>60</v>
      </c>
      <c r="C12566" t="s">
        <v>950</v>
      </c>
      <c r="D12566" t="s">
        <v>999</v>
      </c>
      <c r="E12566" t="s">
        <v>976</v>
      </c>
      <c r="F12566" t="s">
        <v>958</v>
      </c>
      <c r="G12566">
        <v>6000000</v>
      </c>
      <c r="H12566">
        <v>141000</v>
      </c>
      <c r="I12566" t="s">
        <v>977</v>
      </c>
    </row>
    <row r="12567" spans="1:9" x14ac:dyDescent="0.25">
      <c r="A12567">
        <v>3130</v>
      </c>
      <c r="B12567">
        <v>60</v>
      </c>
      <c r="C12567" t="s">
        <v>950</v>
      </c>
      <c r="D12567" t="s">
        <v>999</v>
      </c>
      <c r="E12567" t="s">
        <v>976</v>
      </c>
      <c r="F12567" t="s">
        <v>959</v>
      </c>
      <c r="G12567">
        <v>6000000</v>
      </c>
      <c r="H12567">
        <v>141000</v>
      </c>
      <c r="I12567" t="s">
        <v>977</v>
      </c>
    </row>
    <row r="12568" spans="1:9" x14ac:dyDescent="0.25">
      <c r="A12568">
        <v>3130</v>
      </c>
      <c r="B12568">
        <v>60</v>
      </c>
      <c r="C12568" t="s">
        <v>950</v>
      </c>
      <c r="D12568" t="s">
        <v>999</v>
      </c>
      <c r="E12568" t="s">
        <v>976</v>
      </c>
      <c r="F12568" t="s">
        <v>960</v>
      </c>
      <c r="G12568">
        <v>6000000</v>
      </c>
      <c r="H12568">
        <v>141000</v>
      </c>
      <c r="I12568" t="s">
        <v>977</v>
      </c>
    </row>
    <row r="12569" spans="1:9" x14ac:dyDescent="0.25">
      <c r="A12569">
        <v>3130</v>
      </c>
      <c r="B12569">
        <v>60</v>
      </c>
      <c r="C12569" t="s">
        <v>950</v>
      </c>
      <c r="D12569" t="s">
        <v>999</v>
      </c>
      <c r="E12569" t="s">
        <v>976</v>
      </c>
      <c r="F12569" t="s">
        <v>961</v>
      </c>
      <c r="G12569">
        <v>6000000</v>
      </c>
      <c r="H12569">
        <v>141000</v>
      </c>
      <c r="I12569" t="s">
        <v>977</v>
      </c>
    </row>
    <row r="12570" spans="1:9" x14ac:dyDescent="0.25">
      <c r="A12570">
        <v>3130</v>
      </c>
      <c r="B12570">
        <v>60</v>
      </c>
      <c r="C12570" t="s">
        <v>962</v>
      </c>
      <c r="D12570" t="s">
        <v>999</v>
      </c>
      <c r="E12570" t="s">
        <v>976</v>
      </c>
      <c r="F12570" t="s">
        <v>951</v>
      </c>
      <c r="G12570">
        <v>6000000</v>
      </c>
      <c r="H12570">
        <v>141000</v>
      </c>
      <c r="I12570" t="s">
        <v>977</v>
      </c>
    </row>
    <row r="12571" spans="1:9" x14ac:dyDescent="0.25">
      <c r="A12571">
        <v>3130</v>
      </c>
      <c r="B12571">
        <v>60</v>
      </c>
      <c r="C12571" t="s">
        <v>962</v>
      </c>
      <c r="D12571" t="s">
        <v>999</v>
      </c>
      <c r="E12571" t="s">
        <v>976</v>
      </c>
      <c r="F12571" t="s">
        <v>952</v>
      </c>
      <c r="G12571">
        <v>6000000</v>
      </c>
      <c r="H12571">
        <v>141000</v>
      </c>
      <c r="I12571" t="s">
        <v>977</v>
      </c>
    </row>
    <row r="12572" spans="1:9" x14ac:dyDescent="0.25">
      <c r="A12572">
        <v>3130</v>
      </c>
      <c r="B12572">
        <v>60</v>
      </c>
      <c r="C12572" t="s">
        <v>962</v>
      </c>
      <c r="D12572" t="s">
        <v>999</v>
      </c>
      <c r="E12572" t="s">
        <v>976</v>
      </c>
      <c r="F12572" t="s">
        <v>953</v>
      </c>
      <c r="G12572">
        <v>6000000</v>
      </c>
      <c r="H12572">
        <v>141000</v>
      </c>
      <c r="I12572" t="s">
        <v>977</v>
      </c>
    </row>
    <row r="12573" spans="1:9" x14ac:dyDescent="0.25">
      <c r="A12573">
        <v>3130</v>
      </c>
      <c r="B12573">
        <v>60</v>
      </c>
      <c r="C12573" t="s">
        <v>962</v>
      </c>
      <c r="D12573" t="s">
        <v>999</v>
      </c>
      <c r="E12573" t="s">
        <v>976</v>
      </c>
      <c r="F12573" t="s">
        <v>954</v>
      </c>
      <c r="G12573">
        <v>6000000</v>
      </c>
      <c r="H12573">
        <v>141000</v>
      </c>
      <c r="I12573" t="s">
        <v>977</v>
      </c>
    </row>
    <row r="12574" spans="1:9" x14ac:dyDescent="0.25">
      <c r="A12574">
        <v>3130</v>
      </c>
      <c r="B12574">
        <v>60</v>
      </c>
      <c r="C12574" t="s">
        <v>962</v>
      </c>
      <c r="D12574" t="s">
        <v>999</v>
      </c>
      <c r="E12574" t="s">
        <v>976</v>
      </c>
      <c r="F12574" t="s">
        <v>955</v>
      </c>
      <c r="G12574">
        <v>6000000</v>
      </c>
      <c r="H12574">
        <v>141000</v>
      </c>
      <c r="I12574" t="s">
        <v>977</v>
      </c>
    </row>
    <row r="12575" spans="1:9" x14ac:dyDescent="0.25">
      <c r="A12575">
        <v>3130</v>
      </c>
      <c r="B12575">
        <v>60</v>
      </c>
      <c r="C12575" t="s">
        <v>962</v>
      </c>
      <c r="D12575" t="s">
        <v>999</v>
      </c>
      <c r="E12575" t="s">
        <v>976</v>
      </c>
      <c r="F12575" t="s">
        <v>956</v>
      </c>
      <c r="G12575">
        <v>6000000</v>
      </c>
      <c r="H12575">
        <v>141000</v>
      </c>
      <c r="I12575" t="s">
        <v>977</v>
      </c>
    </row>
    <row r="12576" spans="1:9" x14ac:dyDescent="0.25">
      <c r="A12576">
        <v>3130</v>
      </c>
      <c r="B12576">
        <v>60</v>
      </c>
      <c r="C12576" t="s">
        <v>962</v>
      </c>
      <c r="D12576" t="s">
        <v>999</v>
      </c>
      <c r="E12576" t="s">
        <v>976</v>
      </c>
      <c r="F12576" t="s">
        <v>957</v>
      </c>
      <c r="G12576">
        <v>6000000</v>
      </c>
      <c r="H12576">
        <v>141000</v>
      </c>
      <c r="I12576" t="s">
        <v>977</v>
      </c>
    </row>
    <row r="12577" spans="1:9" x14ac:dyDescent="0.25">
      <c r="A12577">
        <v>3130</v>
      </c>
      <c r="B12577">
        <v>60</v>
      </c>
      <c r="C12577" t="s">
        <v>962</v>
      </c>
      <c r="D12577" t="s">
        <v>999</v>
      </c>
      <c r="E12577" t="s">
        <v>976</v>
      </c>
      <c r="F12577" t="s">
        <v>958</v>
      </c>
      <c r="G12577">
        <v>6000000</v>
      </c>
      <c r="H12577">
        <v>141000</v>
      </c>
      <c r="I12577" t="s">
        <v>977</v>
      </c>
    </row>
    <row r="12578" spans="1:9" x14ac:dyDescent="0.25">
      <c r="A12578">
        <v>3130</v>
      </c>
      <c r="B12578">
        <v>60</v>
      </c>
      <c r="C12578" t="s">
        <v>962</v>
      </c>
      <c r="D12578" t="s">
        <v>999</v>
      </c>
      <c r="E12578" t="s">
        <v>976</v>
      </c>
      <c r="F12578" t="s">
        <v>959</v>
      </c>
      <c r="G12578">
        <v>6000000</v>
      </c>
      <c r="H12578">
        <v>141000</v>
      </c>
      <c r="I12578" t="s">
        <v>977</v>
      </c>
    </row>
    <row r="12579" spans="1:9" x14ac:dyDescent="0.25">
      <c r="A12579">
        <v>3130</v>
      </c>
      <c r="B12579">
        <v>60</v>
      </c>
      <c r="C12579" t="s">
        <v>962</v>
      </c>
      <c r="D12579" t="s">
        <v>999</v>
      </c>
      <c r="E12579" t="s">
        <v>976</v>
      </c>
      <c r="F12579" t="s">
        <v>960</v>
      </c>
      <c r="G12579">
        <v>6000000</v>
      </c>
      <c r="H12579">
        <v>141000</v>
      </c>
      <c r="I12579" t="s">
        <v>977</v>
      </c>
    </row>
    <row r="12580" spans="1:9" x14ac:dyDescent="0.25">
      <c r="A12580">
        <v>3130</v>
      </c>
      <c r="B12580">
        <v>60</v>
      </c>
      <c r="C12580" t="s">
        <v>962</v>
      </c>
      <c r="D12580" t="s">
        <v>999</v>
      </c>
      <c r="E12580" t="s">
        <v>976</v>
      </c>
      <c r="F12580" t="s">
        <v>961</v>
      </c>
      <c r="G12580">
        <v>6000000</v>
      </c>
      <c r="H12580">
        <v>141000</v>
      </c>
      <c r="I12580" t="s">
        <v>977</v>
      </c>
    </row>
    <row r="12581" spans="1:9" x14ac:dyDescent="0.25">
      <c r="A12581">
        <v>3130</v>
      </c>
      <c r="B12581">
        <v>60</v>
      </c>
      <c r="C12581" t="s">
        <v>963</v>
      </c>
      <c r="D12581" t="s">
        <v>999</v>
      </c>
      <c r="E12581" t="s">
        <v>976</v>
      </c>
      <c r="F12581" t="s">
        <v>951</v>
      </c>
      <c r="G12581">
        <v>6000000</v>
      </c>
      <c r="H12581">
        <v>141000</v>
      </c>
      <c r="I12581" t="s">
        <v>977</v>
      </c>
    </row>
    <row r="12582" spans="1:9" x14ac:dyDescent="0.25">
      <c r="A12582">
        <v>3130</v>
      </c>
      <c r="B12582">
        <v>60</v>
      </c>
      <c r="C12582" t="s">
        <v>963</v>
      </c>
      <c r="D12582" t="s">
        <v>999</v>
      </c>
      <c r="E12582" t="s">
        <v>976</v>
      </c>
      <c r="F12582" t="s">
        <v>952</v>
      </c>
      <c r="G12582">
        <v>6000000</v>
      </c>
      <c r="H12582">
        <v>141000</v>
      </c>
      <c r="I12582" t="s">
        <v>977</v>
      </c>
    </row>
    <row r="12583" spans="1:9" x14ac:dyDescent="0.25">
      <c r="A12583">
        <v>3130</v>
      </c>
      <c r="B12583">
        <v>60</v>
      </c>
      <c r="C12583" t="s">
        <v>963</v>
      </c>
      <c r="D12583" t="s">
        <v>999</v>
      </c>
      <c r="E12583" t="s">
        <v>976</v>
      </c>
      <c r="F12583" t="s">
        <v>953</v>
      </c>
      <c r="G12583">
        <v>6000000</v>
      </c>
      <c r="H12583">
        <v>141000</v>
      </c>
      <c r="I12583" t="s">
        <v>977</v>
      </c>
    </row>
    <row r="12584" spans="1:9" x14ac:dyDescent="0.25">
      <c r="A12584">
        <v>3130</v>
      </c>
      <c r="B12584">
        <v>60</v>
      </c>
      <c r="C12584" t="s">
        <v>963</v>
      </c>
      <c r="D12584" t="s">
        <v>999</v>
      </c>
      <c r="E12584" t="s">
        <v>976</v>
      </c>
      <c r="F12584" t="s">
        <v>954</v>
      </c>
      <c r="G12584">
        <v>6000000</v>
      </c>
      <c r="H12584">
        <v>141000</v>
      </c>
      <c r="I12584" t="s">
        <v>977</v>
      </c>
    </row>
    <row r="12585" spans="1:9" x14ac:dyDescent="0.25">
      <c r="A12585">
        <v>3130</v>
      </c>
      <c r="B12585">
        <v>60</v>
      </c>
      <c r="C12585" t="s">
        <v>963</v>
      </c>
      <c r="D12585" t="s">
        <v>999</v>
      </c>
      <c r="E12585" t="s">
        <v>976</v>
      </c>
      <c r="F12585" t="s">
        <v>955</v>
      </c>
      <c r="G12585">
        <v>6000000</v>
      </c>
      <c r="H12585">
        <v>141000</v>
      </c>
      <c r="I12585" t="s">
        <v>977</v>
      </c>
    </row>
    <row r="12586" spans="1:9" x14ac:dyDescent="0.25">
      <c r="A12586">
        <v>3130</v>
      </c>
      <c r="B12586">
        <v>60</v>
      </c>
      <c r="C12586" t="s">
        <v>963</v>
      </c>
      <c r="D12586" t="s">
        <v>999</v>
      </c>
      <c r="E12586" t="s">
        <v>976</v>
      </c>
      <c r="F12586" t="s">
        <v>956</v>
      </c>
      <c r="G12586">
        <v>6000000</v>
      </c>
      <c r="H12586">
        <v>141000</v>
      </c>
      <c r="I12586" t="s">
        <v>977</v>
      </c>
    </row>
    <row r="12587" spans="1:9" x14ac:dyDescent="0.25">
      <c r="A12587">
        <v>3130</v>
      </c>
      <c r="B12587">
        <v>60</v>
      </c>
      <c r="C12587" t="s">
        <v>963</v>
      </c>
      <c r="D12587" t="s">
        <v>999</v>
      </c>
      <c r="E12587" t="s">
        <v>976</v>
      </c>
      <c r="F12587" t="s">
        <v>957</v>
      </c>
      <c r="G12587">
        <v>6000000</v>
      </c>
      <c r="H12587">
        <v>141000</v>
      </c>
      <c r="I12587" t="s">
        <v>977</v>
      </c>
    </row>
    <row r="12588" spans="1:9" x14ac:dyDescent="0.25">
      <c r="A12588">
        <v>3130</v>
      </c>
      <c r="B12588">
        <v>60</v>
      </c>
      <c r="C12588" t="s">
        <v>963</v>
      </c>
      <c r="D12588" t="s">
        <v>999</v>
      </c>
      <c r="E12588" t="s">
        <v>976</v>
      </c>
      <c r="F12588" t="s">
        <v>958</v>
      </c>
      <c r="G12588">
        <v>6000000</v>
      </c>
      <c r="H12588">
        <v>141000</v>
      </c>
      <c r="I12588" t="s">
        <v>977</v>
      </c>
    </row>
    <row r="12589" spans="1:9" x14ac:dyDescent="0.25">
      <c r="A12589">
        <v>3130</v>
      </c>
      <c r="B12589">
        <v>60</v>
      </c>
      <c r="C12589" t="s">
        <v>963</v>
      </c>
      <c r="D12589" t="s">
        <v>999</v>
      </c>
      <c r="E12589" t="s">
        <v>976</v>
      </c>
      <c r="F12589" t="s">
        <v>959</v>
      </c>
      <c r="G12589">
        <v>6000000</v>
      </c>
      <c r="H12589">
        <v>141000</v>
      </c>
      <c r="I12589" t="s">
        <v>977</v>
      </c>
    </row>
    <row r="12590" spans="1:9" x14ac:dyDescent="0.25">
      <c r="A12590">
        <v>3130</v>
      </c>
      <c r="B12590">
        <v>60</v>
      </c>
      <c r="C12590" t="s">
        <v>963</v>
      </c>
      <c r="D12590" t="s">
        <v>999</v>
      </c>
      <c r="E12590" t="s">
        <v>976</v>
      </c>
      <c r="F12590" t="s">
        <v>960</v>
      </c>
      <c r="G12590">
        <v>6000000</v>
      </c>
      <c r="H12590">
        <v>141000</v>
      </c>
      <c r="I12590" t="s">
        <v>977</v>
      </c>
    </row>
    <row r="12591" spans="1:9" x14ac:dyDescent="0.25">
      <c r="A12591">
        <v>3130</v>
      </c>
      <c r="B12591">
        <v>60</v>
      </c>
      <c r="C12591" t="s">
        <v>963</v>
      </c>
      <c r="D12591" t="s">
        <v>999</v>
      </c>
      <c r="E12591" t="s">
        <v>976</v>
      </c>
      <c r="F12591" t="s">
        <v>961</v>
      </c>
      <c r="G12591">
        <v>6000000</v>
      </c>
      <c r="H12591">
        <v>141000</v>
      </c>
      <c r="I12591" t="s">
        <v>977</v>
      </c>
    </row>
    <row r="12592" spans="1:9" x14ac:dyDescent="0.25">
      <c r="A12592">
        <v>3130</v>
      </c>
      <c r="B12592">
        <v>60</v>
      </c>
      <c r="C12592" t="s">
        <v>950</v>
      </c>
      <c r="D12592" t="s">
        <v>999</v>
      </c>
      <c r="E12592" t="s">
        <v>290</v>
      </c>
      <c r="F12592" t="s">
        <v>951</v>
      </c>
      <c r="G12592">
        <v>6000000</v>
      </c>
      <c r="H12592">
        <v>143000</v>
      </c>
      <c r="I12592" t="s">
        <v>978</v>
      </c>
    </row>
    <row r="12593" spans="1:9" x14ac:dyDescent="0.25">
      <c r="A12593">
        <v>3130</v>
      </c>
      <c r="B12593">
        <v>60</v>
      </c>
      <c r="C12593" t="s">
        <v>950</v>
      </c>
      <c r="D12593" t="s">
        <v>999</v>
      </c>
      <c r="E12593" t="s">
        <v>290</v>
      </c>
      <c r="F12593" t="s">
        <v>952</v>
      </c>
      <c r="G12593">
        <v>6000000</v>
      </c>
      <c r="H12593">
        <v>143000</v>
      </c>
      <c r="I12593" t="s">
        <v>978</v>
      </c>
    </row>
    <row r="12594" spans="1:9" x14ac:dyDescent="0.25">
      <c r="A12594">
        <v>3130</v>
      </c>
      <c r="B12594">
        <v>60</v>
      </c>
      <c r="C12594" t="s">
        <v>950</v>
      </c>
      <c r="D12594" t="s">
        <v>999</v>
      </c>
      <c r="E12594" t="s">
        <v>290</v>
      </c>
      <c r="F12594" t="s">
        <v>953</v>
      </c>
      <c r="G12594">
        <v>6000000</v>
      </c>
      <c r="H12594">
        <v>143000</v>
      </c>
      <c r="I12594" t="s">
        <v>978</v>
      </c>
    </row>
    <row r="12595" spans="1:9" x14ac:dyDescent="0.25">
      <c r="A12595">
        <v>3130</v>
      </c>
      <c r="B12595">
        <v>60</v>
      </c>
      <c r="C12595" t="s">
        <v>950</v>
      </c>
      <c r="D12595" t="s">
        <v>999</v>
      </c>
      <c r="E12595" t="s">
        <v>290</v>
      </c>
      <c r="F12595" t="s">
        <v>954</v>
      </c>
      <c r="G12595">
        <v>6000000</v>
      </c>
      <c r="H12595">
        <v>143000</v>
      </c>
      <c r="I12595" t="s">
        <v>978</v>
      </c>
    </row>
    <row r="12596" spans="1:9" x14ac:dyDescent="0.25">
      <c r="A12596">
        <v>3130</v>
      </c>
      <c r="B12596">
        <v>60</v>
      </c>
      <c r="C12596" t="s">
        <v>950</v>
      </c>
      <c r="D12596" t="s">
        <v>999</v>
      </c>
      <c r="E12596" t="s">
        <v>290</v>
      </c>
      <c r="F12596" t="s">
        <v>955</v>
      </c>
      <c r="G12596">
        <v>6000000</v>
      </c>
      <c r="H12596">
        <v>143000</v>
      </c>
      <c r="I12596" t="s">
        <v>978</v>
      </c>
    </row>
    <row r="12597" spans="1:9" x14ac:dyDescent="0.25">
      <c r="A12597">
        <v>3130</v>
      </c>
      <c r="B12597">
        <v>60</v>
      </c>
      <c r="C12597" t="s">
        <v>950</v>
      </c>
      <c r="D12597" t="s">
        <v>999</v>
      </c>
      <c r="E12597" t="s">
        <v>290</v>
      </c>
      <c r="F12597" t="s">
        <v>956</v>
      </c>
      <c r="G12597">
        <v>6000000</v>
      </c>
      <c r="H12597">
        <v>143000</v>
      </c>
      <c r="I12597" t="s">
        <v>978</v>
      </c>
    </row>
    <row r="12598" spans="1:9" x14ac:dyDescent="0.25">
      <c r="A12598">
        <v>3130</v>
      </c>
      <c r="B12598">
        <v>60</v>
      </c>
      <c r="C12598" t="s">
        <v>950</v>
      </c>
      <c r="D12598" t="s">
        <v>999</v>
      </c>
      <c r="E12598" t="s">
        <v>290</v>
      </c>
      <c r="F12598" t="s">
        <v>957</v>
      </c>
      <c r="G12598">
        <v>6000000</v>
      </c>
      <c r="H12598">
        <v>143000</v>
      </c>
      <c r="I12598" t="s">
        <v>978</v>
      </c>
    </row>
    <row r="12599" spans="1:9" x14ac:dyDescent="0.25">
      <c r="A12599">
        <v>3130</v>
      </c>
      <c r="B12599">
        <v>60</v>
      </c>
      <c r="C12599" t="s">
        <v>950</v>
      </c>
      <c r="D12599" t="s">
        <v>999</v>
      </c>
      <c r="E12599" t="s">
        <v>290</v>
      </c>
      <c r="F12599" t="s">
        <v>958</v>
      </c>
      <c r="G12599">
        <v>6000000</v>
      </c>
      <c r="H12599">
        <v>143000</v>
      </c>
      <c r="I12599" t="s">
        <v>978</v>
      </c>
    </row>
    <row r="12600" spans="1:9" x14ac:dyDescent="0.25">
      <c r="A12600">
        <v>3130</v>
      </c>
      <c r="B12600">
        <v>60</v>
      </c>
      <c r="C12600" t="s">
        <v>950</v>
      </c>
      <c r="D12600" t="s">
        <v>999</v>
      </c>
      <c r="E12600" t="s">
        <v>290</v>
      </c>
      <c r="F12600" t="s">
        <v>959</v>
      </c>
      <c r="G12600">
        <v>6000000</v>
      </c>
      <c r="H12600">
        <v>143000</v>
      </c>
      <c r="I12600" t="s">
        <v>978</v>
      </c>
    </row>
    <row r="12601" spans="1:9" x14ac:dyDescent="0.25">
      <c r="A12601">
        <v>3130</v>
      </c>
      <c r="B12601">
        <v>60</v>
      </c>
      <c r="C12601" t="s">
        <v>950</v>
      </c>
      <c r="D12601" t="s">
        <v>999</v>
      </c>
      <c r="E12601" t="s">
        <v>290</v>
      </c>
      <c r="F12601" t="s">
        <v>960</v>
      </c>
      <c r="G12601">
        <v>6000000</v>
      </c>
      <c r="H12601">
        <v>143000</v>
      </c>
      <c r="I12601" t="s">
        <v>978</v>
      </c>
    </row>
    <row r="12602" spans="1:9" x14ac:dyDescent="0.25">
      <c r="A12602">
        <v>3130</v>
      </c>
      <c r="B12602">
        <v>60</v>
      </c>
      <c r="C12602" t="s">
        <v>950</v>
      </c>
      <c r="D12602" t="s">
        <v>999</v>
      </c>
      <c r="E12602" t="s">
        <v>290</v>
      </c>
      <c r="F12602" t="s">
        <v>961</v>
      </c>
      <c r="G12602">
        <v>6000000</v>
      </c>
      <c r="H12602">
        <v>143000</v>
      </c>
      <c r="I12602" t="s">
        <v>978</v>
      </c>
    </row>
    <row r="12603" spans="1:9" x14ac:dyDescent="0.25">
      <c r="A12603">
        <v>3130</v>
      </c>
      <c r="B12603">
        <v>60</v>
      </c>
      <c r="C12603" t="s">
        <v>962</v>
      </c>
      <c r="D12603" t="s">
        <v>999</v>
      </c>
      <c r="E12603" t="s">
        <v>290</v>
      </c>
      <c r="F12603" t="s">
        <v>951</v>
      </c>
      <c r="G12603">
        <v>6000000</v>
      </c>
      <c r="H12603">
        <v>143000</v>
      </c>
      <c r="I12603" t="s">
        <v>978</v>
      </c>
    </row>
    <row r="12604" spans="1:9" x14ac:dyDescent="0.25">
      <c r="A12604">
        <v>3130</v>
      </c>
      <c r="B12604">
        <v>60</v>
      </c>
      <c r="C12604" t="s">
        <v>962</v>
      </c>
      <c r="D12604" t="s">
        <v>999</v>
      </c>
      <c r="E12604" t="s">
        <v>290</v>
      </c>
      <c r="F12604" t="s">
        <v>952</v>
      </c>
      <c r="G12604">
        <v>6000000</v>
      </c>
      <c r="H12604">
        <v>143000</v>
      </c>
      <c r="I12604" t="s">
        <v>978</v>
      </c>
    </row>
    <row r="12605" spans="1:9" x14ac:dyDescent="0.25">
      <c r="A12605">
        <v>3130</v>
      </c>
      <c r="B12605">
        <v>60</v>
      </c>
      <c r="C12605" t="s">
        <v>962</v>
      </c>
      <c r="D12605" t="s">
        <v>999</v>
      </c>
      <c r="E12605" t="s">
        <v>290</v>
      </c>
      <c r="F12605" t="s">
        <v>953</v>
      </c>
      <c r="G12605">
        <v>6000000</v>
      </c>
      <c r="H12605">
        <v>143000</v>
      </c>
      <c r="I12605" t="s">
        <v>978</v>
      </c>
    </row>
    <row r="12606" spans="1:9" x14ac:dyDescent="0.25">
      <c r="A12606">
        <v>3130</v>
      </c>
      <c r="B12606">
        <v>60</v>
      </c>
      <c r="C12606" t="s">
        <v>962</v>
      </c>
      <c r="D12606" t="s">
        <v>999</v>
      </c>
      <c r="E12606" t="s">
        <v>290</v>
      </c>
      <c r="F12606" t="s">
        <v>954</v>
      </c>
      <c r="G12606">
        <v>6000000</v>
      </c>
      <c r="H12606">
        <v>143000</v>
      </c>
      <c r="I12606" t="s">
        <v>978</v>
      </c>
    </row>
    <row r="12607" spans="1:9" x14ac:dyDescent="0.25">
      <c r="A12607">
        <v>3130</v>
      </c>
      <c r="B12607">
        <v>60</v>
      </c>
      <c r="C12607" t="s">
        <v>962</v>
      </c>
      <c r="D12607" t="s">
        <v>999</v>
      </c>
      <c r="E12607" t="s">
        <v>290</v>
      </c>
      <c r="F12607" t="s">
        <v>955</v>
      </c>
      <c r="G12607">
        <v>6000000</v>
      </c>
      <c r="H12607">
        <v>143000</v>
      </c>
      <c r="I12607" t="s">
        <v>978</v>
      </c>
    </row>
    <row r="12608" spans="1:9" x14ac:dyDescent="0.25">
      <c r="A12608">
        <v>3130</v>
      </c>
      <c r="B12608">
        <v>60</v>
      </c>
      <c r="C12608" t="s">
        <v>962</v>
      </c>
      <c r="D12608" t="s">
        <v>999</v>
      </c>
      <c r="E12608" t="s">
        <v>290</v>
      </c>
      <c r="F12608" t="s">
        <v>956</v>
      </c>
      <c r="G12608">
        <v>6000000</v>
      </c>
      <c r="H12608">
        <v>143000</v>
      </c>
      <c r="I12608" t="s">
        <v>978</v>
      </c>
    </row>
    <row r="12609" spans="1:9" x14ac:dyDescent="0.25">
      <c r="A12609">
        <v>3130</v>
      </c>
      <c r="B12609">
        <v>60</v>
      </c>
      <c r="C12609" t="s">
        <v>962</v>
      </c>
      <c r="D12609" t="s">
        <v>999</v>
      </c>
      <c r="E12609" t="s">
        <v>290</v>
      </c>
      <c r="F12609" t="s">
        <v>957</v>
      </c>
      <c r="G12609">
        <v>6000000</v>
      </c>
      <c r="H12609">
        <v>143000</v>
      </c>
      <c r="I12609" t="s">
        <v>978</v>
      </c>
    </row>
    <row r="12610" spans="1:9" x14ac:dyDescent="0.25">
      <c r="A12610">
        <v>3130</v>
      </c>
      <c r="B12610">
        <v>60</v>
      </c>
      <c r="C12610" t="s">
        <v>962</v>
      </c>
      <c r="D12610" t="s">
        <v>999</v>
      </c>
      <c r="E12610" t="s">
        <v>290</v>
      </c>
      <c r="F12610" t="s">
        <v>958</v>
      </c>
      <c r="G12610">
        <v>6000000</v>
      </c>
      <c r="H12610">
        <v>143000</v>
      </c>
      <c r="I12610" t="s">
        <v>978</v>
      </c>
    </row>
    <row r="12611" spans="1:9" x14ac:dyDescent="0.25">
      <c r="A12611">
        <v>3130</v>
      </c>
      <c r="B12611">
        <v>60</v>
      </c>
      <c r="C12611" t="s">
        <v>962</v>
      </c>
      <c r="D12611" t="s">
        <v>999</v>
      </c>
      <c r="E12611" t="s">
        <v>290</v>
      </c>
      <c r="F12611" t="s">
        <v>959</v>
      </c>
      <c r="G12611">
        <v>6000000</v>
      </c>
      <c r="H12611">
        <v>143000</v>
      </c>
      <c r="I12611" t="s">
        <v>978</v>
      </c>
    </row>
    <row r="12612" spans="1:9" x14ac:dyDescent="0.25">
      <c r="A12612">
        <v>3130</v>
      </c>
      <c r="B12612">
        <v>60</v>
      </c>
      <c r="C12612" t="s">
        <v>962</v>
      </c>
      <c r="D12612" t="s">
        <v>999</v>
      </c>
      <c r="E12612" t="s">
        <v>290</v>
      </c>
      <c r="F12612" t="s">
        <v>960</v>
      </c>
      <c r="G12612">
        <v>6000000</v>
      </c>
      <c r="H12612">
        <v>143000</v>
      </c>
      <c r="I12612" t="s">
        <v>978</v>
      </c>
    </row>
    <row r="12613" spans="1:9" x14ac:dyDescent="0.25">
      <c r="A12613">
        <v>3130</v>
      </c>
      <c r="B12613">
        <v>60</v>
      </c>
      <c r="C12613" t="s">
        <v>962</v>
      </c>
      <c r="D12613" t="s">
        <v>999</v>
      </c>
      <c r="E12613" t="s">
        <v>290</v>
      </c>
      <c r="F12613" t="s">
        <v>961</v>
      </c>
      <c r="G12613">
        <v>6000000</v>
      </c>
      <c r="H12613">
        <v>143000</v>
      </c>
      <c r="I12613" t="s">
        <v>978</v>
      </c>
    </row>
    <row r="12614" spans="1:9" x14ac:dyDescent="0.25">
      <c r="A12614">
        <v>3130</v>
      </c>
      <c r="B12614">
        <v>60</v>
      </c>
      <c r="C12614" t="s">
        <v>963</v>
      </c>
      <c r="D12614" t="s">
        <v>999</v>
      </c>
      <c r="E12614" t="s">
        <v>290</v>
      </c>
      <c r="F12614" t="s">
        <v>951</v>
      </c>
      <c r="G12614">
        <v>6000000</v>
      </c>
      <c r="H12614">
        <v>143000</v>
      </c>
      <c r="I12614" t="s">
        <v>978</v>
      </c>
    </row>
    <row r="12615" spans="1:9" x14ac:dyDescent="0.25">
      <c r="A12615">
        <v>3130</v>
      </c>
      <c r="B12615">
        <v>60</v>
      </c>
      <c r="C12615" t="s">
        <v>963</v>
      </c>
      <c r="D12615" t="s">
        <v>999</v>
      </c>
      <c r="E12615" t="s">
        <v>290</v>
      </c>
      <c r="F12615" t="s">
        <v>952</v>
      </c>
      <c r="G12615">
        <v>6000000</v>
      </c>
      <c r="H12615">
        <v>143000</v>
      </c>
      <c r="I12615" t="s">
        <v>978</v>
      </c>
    </row>
    <row r="12616" spans="1:9" x14ac:dyDescent="0.25">
      <c r="A12616">
        <v>3130</v>
      </c>
      <c r="B12616">
        <v>60</v>
      </c>
      <c r="C12616" t="s">
        <v>963</v>
      </c>
      <c r="D12616" t="s">
        <v>999</v>
      </c>
      <c r="E12616" t="s">
        <v>290</v>
      </c>
      <c r="F12616" t="s">
        <v>953</v>
      </c>
      <c r="G12616">
        <v>6000000</v>
      </c>
      <c r="H12616">
        <v>143000</v>
      </c>
      <c r="I12616" t="s">
        <v>978</v>
      </c>
    </row>
    <row r="12617" spans="1:9" x14ac:dyDescent="0.25">
      <c r="A12617">
        <v>3130</v>
      </c>
      <c r="B12617">
        <v>60</v>
      </c>
      <c r="C12617" t="s">
        <v>963</v>
      </c>
      <c r="D12617" t="s">
        <v>999</v>
      </c>
      <c r="E12617" t="s">
        <v>290</v>
      </c>
      <c r="F12617" t="s">
        <v>954</v>
      </c>
      <c r="G12617">
        <v>6000000</v>
      </c>
      <c r="H12617">
        <v>143000</v>
      </c>
      <c r="I12617" t="s">
        <v>978</v>
      </c>
    </row>
    <row r="12618" spans="1:9" x14ac:dyDescent="0.25">
      <c r="A12618">
        <v>3130</v>
      </c>
      <c r="B12618">
        <v>60</v>
      </c>
      <c r="C12618" t="s">
        <v>963</v>
      </c>
      <c r="D12618" t="s">
        <v>999</v>
      </c>
      <c r="E12618" t="s">
        <v>290</v>
      </c>
      <c r="F12618" t="s">
        <v>955</v>
      </c>
      <c r="G12618">
        <v>6000000</v>
      </c>
      <c r="H12618">
        <v>143000</v>
      </c>
      <c r="I12618" t="s">
        <v>978</v>
      </c>
    </row>
    <row r="12619" spans="1:9" x14ac:dyDescent="0.25">
      <c r="A12619">
        <v>3130</v>
      </c>
      <c r="B12619">
        <v>60</v>
      </c>
      <c r="C12619" t="s">
        <v>963</v>
      </c>
      <c r="D12619" t="s">
        <v>999</v>
      </c>
      <c r="E12619" t="s">
        <v>290</v>
      </c>
      <c r="F12619" t="s">
        <v>956</v>
      </c>
      <c r="G12619">
        <v>6000000</v>
      </c>
      <c r="H12619">
        <v>143000</v>
      </c>
      <c r="I12619" t="s">
        <v>978</v>
      </c>
    </row>
    <row r="12620" spans="1:9" x14ac:dyDescent="0.25">
      <c r="A12620">
        <v>3130</v>
      </c>
      <c r="B12620">
        <v>60</v>
      </c>
      <c r="C12620" t="s">
        <v>963</v>
      </c>
      <c r="D12620" t="s">
        <v>999</v>
      </c>
      <c r="E12620" t="s">
        <v>290</v>
      </c>
      <c r="F12620" t="s">
        <v>957</v>
      </c>
      <c r="G12620">
        <v>6000000</v>
      </c>
      <c r="H12620">
        <v>143000</v>
      </c>
      <c r="I12620" t="s">
        <v>978</v>
      </c>
    </row>
    <row r="12621" spans="1:9" x14ac:dyDescent="0.25">
      <c r="A12621">
        <v>3130</v>
      </c>
      <c r="B12621">
        <v>60</v>
      </c>
      <c r="C12621" t="s">
        <v>963</v>
      </c>
      <c r="D12621" t="s">
        <v>999</v>
      </c>
      <c r="E12621" t="s">
        <v>290</v>
      </c>
      <c r="F12621" t="s">
        <v>958</v>
      </c>
      <c r="G12621">
        <v>6000000</v>
      </c>
      <c r="H12621">
        <v>143000</v>
      </c>
      <c r="I12621" t="s">
        <v>978</v>
      </c>
    </row>
    <row r="12622" spans="1:9" x14ac:dyDescent="0.25">
      <c r="A12622">
        <v>3130</v>
      </c>
      <c r="B12622">
        <v>60</v>
      </c>
      <c r="C12622" t="s">
        <v>963</v>
      </c>
      <c r="D12622" t="s">
        <v>999</v>
      </c>
      <c r="E12622" t="s">
        <v>290</v>
      </c>
      <c r="F12622" t="s">
        <v>959</v>
      </c>
      <c r="G12622">
        <v>6000000</v>
      </c>
      <c r="H12622">
        <v>143000</v>
      </c>
      <c r="I12622" t="s">
        <v>978</v>
      </c>
    </row>
    <row r="12623" spans="1:9" x14ac:dyDescent="0.25">
      <c r="A12623">
        <v>3130</v>
      </c>
      <c r="B12623">
        <v>60</v>
      </c>
      <c r="C12623" t="s">
        <v>963</v>
      </c>
      <c r="D12623" t="s">
        <v>999</v>
      </c>
      <c r="E12623" t="s">
        <v>290</v>
      </c>
      <c r="F12623" t="s">
        <v>960</v>
      </c>
      <c r="G12623">
        <v>6000000</v>
      </c>
      <c r="H12623">
        <v>143000</v>
      </c>
      <c r="I12623" t="s">
        <v>978</v>
      </c>
    </row>
    <row r="12624" spans="1:9" x14ac:dyDescent="0.25">
      <c r="A12624">
        <v>3130</v>
      </c>
      <c r="B12624">
        <v>60</v>
      </c>
      <c r="C12624" t="s">
        <v>963</v>
      </c>
      <c r="D12624" t="s">
        <v>999</v>
      </c>
      <c r="E12624" t="s">
        <v>290</v>
      </c>
      <c r="F12624" t="s">
        <v>961</v>
      </c>
      <c r="G12624">
        <v>6000000</v>
      </c>
      <c r="H12624">
        <v>143000</v>
      </c>
      <c r="I12624" t="s">
        <v>978</v>
      </c>
    </row>
    <row r="12625" spans="1:9" x14ac:dyDescent="0.25">
      <c r="A12625">
        <v>3130</v>
      </c>
      <c r="B12625">
        <v>60</v>
      </c>
      <c r="C12625" t="s">
        <v>950</v>
      </c>
      <c r="D12625" t="s">
        <v>999</v>
      </c>
      <c r="E12625" t="s">
        <v>294</v>
      </c>
      <c r="F12625" t="s">
        <v>951</v>
      </c>
      <c r="G12625">
        <v>6000000</v>
      </c>
      <c r="H12625">
        <v>143000</v>
      </c>
      <c r="I12625" t="s">
        <v>979</v>
      </c>
    </row>
    <row r="12626" spans="1:9" x14ac:dyDescent="0.25">
      <c r="A12626">
        <v>3130</v>
      </c>
      <c r="B12626">
        <v>60</v>
      </c>
      <c r="C12626" t="s">
        <v>950</v>
      </c>
      <c r="D12626" t="s">
        <v>999</v>
      </c>
      <c r="E12626" t="s">
        <v>294</v>
      </c>
      <c r="F12626" t="s">
        <v>952</v>
      </c>
      <c r="G12626">
        <v>6000000</v>
      </c>
      <c r="H12626">
        <v>143000</v>
      </c>
      <c r="I12626" t="s">
        <v>979</v>
      </c>
    </row>
    <row r="12627" spans="1:9" x14ac:dyDescent="0.25">
      <c r="A12627">
        <v>3130</v>
      </c>
      <c r="B12627">
        <v>60</v>
      </c>
      <c r="C12627" t="s">
        <v>950</v>
      </c>
      <c r="D12627" t="s">
        <v>999</v>
      </c>
      <c r="E12627" t="s">
        <v>294</v>
      </c>
      <c r="F12627" t="s">
        <v>953</v>
      </c>
      <c r="G12627">
        <v>6000000</v>
      </c>
      <c r="H12627">
        <v>143000</v>
      </c>
      <c r="I12627" t="s">
        <v>979</v>
      </c>
    </row>
    <row r="12628" spans="1:9" x14ac:dyDescent="0.25">
      <c r="A12628">
        <v>3130</v>
      </c>
      <c r="B12628">
        <v>60</v>
      </c>
      <c r="C12628" t="s">
        <v>950</v>
      </c>
      <c r="D12628" t="s">
        <v>999</v>
      </c>
      <c r="E12628" t="s">
        <v>294</v>
      </c>
      <c r="F12628" t="s">
        <v>954</v>
      </c>
      <c r="G12628">
        <v>6000000</v>
      </c>
      <c r="H12628">
        <v>143000</v>
      </c>
      <c r="I12628" t="s">
        <v>979</v>
      </c>
    </row>
    <row r="12629" spans="1:9" x14ac:dyDescent="0.25">
      <c r="A12629">
        <v>3130</v>
      </c>
      <c r="B12629">
        <v>60</v>
      </c>
      <c r="C12629" t="s">
        <v>950</v>
      </c>
      <c r="D12629" t="s">
        <v>999</v>
      </c>
      <c r="E12629" t="s">
        <v>294</v>
      </c>
      <c r="F12629" t="s">
        <v>955</v>
      </c>
      <c r="G12629">
        <v>6000000</v>
      </c>
      <c r="H12629">
        <v>143000</v>
      </c>
      <c r="I12629" t="s">
        <v>979</v>
      </c>
    </row>
    <row r="12630" spans="1:9" x14ac:dyDescent="0.25">
      <c r="A12630">
        <v>3130</v>
      </c>
      <c r="B12630">
        <v>60</v>
      </c>
      <c r="C12630" t="s">
        <v>950</v>
      </c>
      <c r="D12630" t="s">
        <v>999</v>
      </c>
      <c r="E12630" t="s">
        <v>294</v>
      </c>
      <c r="F12630" t="s">
        <v>956</v>
      </c>
      <c r="G12630">
        <v>6000000</v>
      </c>
      <c r="H12630">
        <v>143000</v>
      </c>
      <c r="I12630" t="s">
        <v>979</v>
      </c>
    </row>
    <row r="12631" spans="1:9" x14ac:dyDescent="0.25">
      <c r="A12631">
        <v>3130</v>
      </c>
      <c r="B12631">
        <v>60</v>
      </c>
      <c r="C12631" t="s">
        <v>950</v>
      </c>
      <c r="D12631" t="s">
        <v>999</v>
      </c>
      <c r="E12631" t="s">
        <v>294</v>
      </c>
      <c r="F12631" t="s">
        <v>957</v>
      </c>
      <c r="G12631">
        <v>6000000</v>
      </c>
      <c r="H12631">
        <v>143000</v>
      </c>
      <c r="I12631" t="s">
        <v>979</v>
      </c>
    </row>
    <row r="12632" spans="1:9" x14ac:dyDescent="0.25">
      <c r="A12632">
        <v>3130</v>
      </c>
      <c r="B12632">
        <v>60</v>
      </c>
      <c r="C12632" t="s">
        <v>950</v>
      </c>
      <c r="D12632" t="s">
        <v>999</v>
      </c>
      <c r="E12632" t="s">
        <v>294</v>
      </c>
      <c r="F12632" t="s">
        <v>958</v>
      </c>
      <c r="G12632">
        <v>6000000</v>
      </c>
      <c r="H12632">
        <v>143000</v>
      </c>
      <c r="I12632" t="s">
        <v>979</v>
      </c>
    </row>
    <row r="12633" spans="1:9" x14ac:dyDescent="0.25">
      <c r="A12633">
        <v>3130</v>
      </c>
      <c r="B12633">
        <v>60</v>
      </c>
      <c r="C12633" t="s">
        <v>950</v>
      </c>
      <c r="D12633" t="s">
        <v>999</v>
      </c>
      <c r="E12633" t="s">
        <v>294</v>
      </c>
      <c r="F12633" t="s">
        <v>959</v>
      </c>
      <c r="G12633">
        <v>6000000</v>
      </c>
      <c r="H12633">
        <v>143000</v>
      </c>
      <c r="I12633" t="s">
        <v>979</v>
      </c>
    </row>
    <row r="12634" spans="1:9" x14ac:dyDescent="0.25">
      <c r="A12634">
        <v>3130</v>
      </c>
      <c r="B12634">
        <v>60</v>
      </c>
      <c r="C12634" t="s">
        <v>950</v>
      </c>
      <c r="D12634" t="s">
        <v>999</v>
      </c>
      <c r="E12634" t="s">
        <v>294</v>
      </c>
      <c r="F12634" t="s">
        <v>960</v>
      </c>
      <c r="G12634">
        <v>6000000</v>
      </c>
      <c r="H12634">
        <v>143000</v>
      </c>
      <c r="I12634" t="s">
        <v>979</v>
      </c>
    </row>
    <row r="12635" spans="1:9" x14ac:dyDescent="0.25">
      <c r="A12635">
        <v>3130</v>
      </c>
      <c r="B12635">
        <v>60</v>
      </c>
      <c r="C12635" t="s">
        <v>950</v>
      </c>
      <c r="D12635" t="s">
        <v>999</v>
      </c>
      <c r="E12635" t="s">
        <v>294</v>
      </c>
      <c r="F12635" t="s">
        <v>961</v>
      </c>
      <c r="G12635">
        <v>6000000</v>
      </c>
      <c r="H12635">
        <v>143000</v>
      </c>
      <c r="I12635" t="s">
        <v>979</v>
      </c>
    </row>
    <row r="12636" spans="1:9" x14ac:dyDescent="0.25">
      <c r="A12636">
        <v>3130</v>
      </c>
      <c r="B12636">
        <v>60</v>
      </c>
      <c r="C12636" t="s">
        <v>962</v>
      </c>
      <c r="D12636" t="s">
        <v>999</v>
      </c>
      <c r="E12636" t="s">
        <v>294</v>
      </c>
      <c r="F12636" t="s">
        <v>951</v>
      </c>
      <c r="G12636">
        <v>6000000</v>
      </c>
      <c r="H12636">
        <v>143000</v>
      </c>
      <c r="I12636" t="s">
        <v>979</v>
      </c>
    </row>
    <row r="12637" spans="1:9" x14ac:dyDescent="0.25">
      <c r="A12637">
        <v>3130</v>
      </c>
      <c r="B12637">
        <v>60</v>
      </c>
      <c r="C12637" t="s">
        <v>962</v>
      </c>
      <c r="D12637" t="s">
        <v>999</v>
      </c>
      <c r="E12637" t="s">
        <v>294</v>
      </c>
      <c r="F12637" t="s">
        <v>952</v>
      </c>
      <c r="G12637">
        <v>6000000</v>
      </c>
      <c r="H12637">
        <v>143000</v>
      </c>
      <c r="I12637" t="s">
        <v>979</v>
      </c>
    </row>
    <row r="12638" spans="1:9" x14ac:dyDescent="0.25">
      <c r="A12638">
        <v>3130</v>
      </c>
      <c r="B12638">
        <v>60</v>
      </c>
      <c r="C12638" t="s">
        <v>962</v>
      </c>
      <c r="D12638" t="s">
        <v>999</v>
      </c>
      <c r="E12638" t="s">
        <v>294</v>
      </c>
      <c r="F12638" t="s">
        <v>953</v>
      </c>
      <c r="G12638">
        <v>6000000</v>
      </c>
      <c r="H12638">
        <v>143000</v>
      </c>
      <c r="I12638" t="s">
        <v>979</v>
      </c>
    </row>
    <row r="12639" spans="1:9" x14ac:dyDescent="0.25">
      <c r="A12639">
        <v>3130</v>
      </c>
      <c r="B12639">
        <v>60</v>
      </c>
      <c r="C12639" t="s">
        <v>962</v>
      </c>
      <c r="D12639" t="s">
        <v>999</v>
      </c>
      <c r="E12639" t="s">
        <v>294</v>
      </c>
      <c r="F12639" t="s">
        <v>954</v>
      </c>
      <c r="G12639">
        <v>6000000</v>
      </c>
      <c r="H12639">
        <v>143000</v>
      </c>
      <c r="I12639" t="s">
        <v>979</v>
      </c>
    </row>
    <row r="12640" spans="1:9" x14ac:dyDescent="0.25">
      <c r="A12640">
        <v>3130</v>
      </c>
      <c r="B12640">
        <v>60</v>
      </c>
      <c r="C12640" t="s">
        <v>962</v>
      </c>
      <c r="D12640" t="s">
        <v>999</v>
      </c>
      <c r="E12640" t="s">
        <v>294</v>
      </c>
      <c r="F12640" t="s">
        <v>955</v>
      </c>
      <c r="G12640">
        <v>6000000</v>
      </c>
      <c r="H12640">
        <v>143000</v>
      </c>
      <c r="I12640" t="s">
        <v>979</v>
      </c>
    </row>
    <row r="12641" spans="1:9" x14ac:dyDescent="0.25">
      <c r="A12641">
        <v>3130</v>
      </c>
      <c r="B12641">
        <v>60</v>
      </c>
      <c r="C12641" t="s">
        <v>962</v>
      </c>
      <c r="D12641" t="s">
        <v>999</v>
      </c>
      <c r="E12641" t="s">
        <v>294</v>
      </c>
      <c r="F12641" t="s">
        <v>956</v>
      </c>
      <c r="G12641">
        <v>6000000</v>
      </c>
      <c r="H12641">
        <v>143000</v>
      </c>
      <c r="I12641" t="s">
        <v>979</v>
      </c>
    </row>
    <row r="12642" spans="1:9" x14ac:dyDescent="0.25">
      <c r="A12642">
        <v>3130</v>
      </c>
      <c r="B12642">
        <v>60</v>
      </c>
      <c r="C12642" t="s">
        <v>962</v>
      </c>
      <c r="D12642" t="s">
        <v>999</v>
      </c>
      <c r="E12642" t="s">
        <v>294</v>
      </c>
      <c r="F12642" t="s">
        <v>957</v>
      </c>
      <c r="G12642">
        <v>6000000</v>
      </c>
      <c r="H12642">
        <v>143000</v>
      </c>
      <c r="I12642" t="s">
        <v>979</v>
      </c>
    </row>
    <row r="12643" spans="1:9" x14ac:dyDescent="0.25">
      <c r="A12643">
        <v>3130</v>
      </c>
      <c r="B12643">
        <v>60</v>
      </c>
      <c r="C12643" t="s">
        <v>962</v>
      </c>
      <c r="D12643" t="s">
        <v>999</v>
      </c>
      <c r="E12643" t="s">
        <v>294</v>
      </c>
      <c r="F12643" t="s">
        <v>958</v>
      </c>
      <c r="G12643">
        <v>6000000</v>
      </c>
      <c r="H12643">
        <v>143000</v>
      </c>
      <c r="I12643" t="s">
        <v>979</v>
      </c>
    </row>
    <row r="12644" spans="1:9" x14ac:dyDescent="0.25">
      <c r="A12644">
        <v>3130</v>
      </c>
      <c r="B12644">
        <v>60</v>
      </c>
      <c r="C12644" t="s">
        <v>962</v>
      </c>
      <c r="D12644" t="s">
        <v>999</v>
      </c>
      <c r="E12644" t="s">
        <v>294</v>
      </c>
      <c r="F12644" t="s">
        <v>959</v>
      </c>
      <c r="G12644">
        <v>6000000</v>
      </c>
      <c r="H12644">
        <v>143000</v>
      </c>
      <c r="I12644" t="s">
        <v>979</v>
      </c>
    </row>
    <row r="12645" spans="1:9" x14ac:dyDescent="0.25">
      <c r="A12645">
        <v>3130</v>
      </c>
      <c r="B12645">
        <v>60</v>
      </c>
      <c r="C12645" t="s">
        <v>962</v>
      </c>
      <c r="D12645" t="s">
        <v>999</v>
      </c>
      <c r="E12645" t="s">
        <v>294</v>
      </c>
      <c r="F12645" t="s">
        <v>960</v>
      </c>
      <c r="G12645">
        <v>6000000</v>
      </c>
      <c r="H12645">
        <v>143000</v>
      </c>
      <c r="I12645" t="s">
        <v>979</v>
      </c>
    </row>
    <row r="12646" spans="1:9" x14ac:dyDescent="0.25">
      <c r="A12646">
        <v>3130</v>
      </c>
      <c r="B12646">
        <v>60</v>
      </c>
      <c r="C12646" t="s">
        <v>962</v>
      </c>
      <c r="D12646" t="s">
        <v>999</v>
      </c>
      <c r="E12646" t="s">
        <v>294</v>
      </c>
      <c r="F12646" t="s">
        <v>961</v>
      </c>
      <c r="G12646">
        <v>6000000</v>
      </c>
      <c r="H12646">
        <v>143000</v>
      </c>
      <c r="I12646" t="s">
        <v>979</v>
      </c>
    </row>
    <row r="12647" spans="1:9" x14ac:dyDescent="0.25">
      <c r="A12647">
        <v>3130</v>
      </c>
      <c r="B12647">
        <v>60</v>
      </c>
      <c r="C12647" t="s">
        <v>963</v>
      </c>
      <c r="D12647" t="s">
        <v>999</v>
      </c>
      <c r="E12647" t="s">
        <v>294</v>
      </c>
      <c r="F12647" t="s">
        <v>951</v>
      </c>
      <c r="G12647">
        <v>6000000</v>
      </c>
      <c r="H12647">
        <v>143000</v>
      </c>
      <c r="I12647" t="s">
        <v>979</v>
      </c>
    </row>
    <row r="12648" spans="1:9" x14ac:dyDescent="0.25">
      <c r="A12648">
        <v>3130</v>
      </c>
      <c r="B12648">
        <v>60</v>
      </c>
      <c r="C12648" t="s">
        <v>963</v>
      </c>
      <c r="D12648" t="s">
        <v>999</v>
      </c>
      <c r="E12648" t="s">
        <v>294</v>
      </c>
      <c r="F12648" t="s">
        <v>952</v>
      </c>
      <c r="G12648">
        <v>6000000</v>
      </c>
      <c r="H12648">
        <v>143000</v>
      </c>
      <c r="I12648" t="s">
        <v>979</v>
      </c>
    </row>
    <row r="12649" spans="1:9" x14ac:dyDescent="0.25">
      <c r="A12649">
        <v>3130</v>
      </c>
      <c r="B12649">
        <v>60</v>
      </c>
      <c r="C12649" t="s">
        <v>963</v>
      </c>
      <c r="D12649" t="s">
        <v>999</v>
      </c>
      <c r="E12649" t="s">
        <v>294</v>
      </c>
      <c r="F12649" t="s">
        <v>953</v>
      </c>
      <c r="G12649">
        <v>6000000</v>
      </c>
      <c r="H12649">
        <v>143000</v>
      </c>
      <c r="I12649" t="s">
        <v>979</v>
      </c>
    </row>
    <row r="12650" spans="1:9" x14ac:dyDescent="0.25">
      <c r="A12650">
        <v>3130</v>
      </c>
      <c r="B12650">
        <v>60</v>
      </c>
      <c r="C12650" t="s">
        <v>963</v>
      </c>
      <c r="D12650" t="s">
        <v>999</v>
      </c>
      <c r="E12650" t="s">
        <v>294</v>
      </c>
      <c r="F12650" t="s">
        <v>954</v>
      </c>
      <c r="G12650">
        <v>6000000</v>
      </c>
      <c r="H12650">
        <v>143000</v>
      </c>
      <c r="I12650" t="s">
        <v>979</v>
      </c>
    </row>
    <row r="12651" spans="1:9" x14ac:dyDescent="0.25">
      <c r="A12651">
        <v>3130</v>
      </c>
      <c r="B12651">
        <v>60</v>
      </c>
      <c r="C12651" t="s">
        <v>963</v>
      </c>
      <c r="D12651" t="s">
        <v>999</v>
      </c>
      <c r="E12651" t="s">
        <v>294</v>
      </c>
      <c r="F12651" t="s">
        <v>955</v>
      </c>
      <c r="G12651">
        <v>6000000</v>
      </c>
      <c r="H12651">
        <v>143000</v>
      </c>
      <c r="I12651" t="s">
        <v>979</v>
      </c>
    </row>
    <row r="12652" spans="1:9" x14ac:dyDescent="0.25">
      <c r="A12652">
        <v>3130</v>
      </c>
      <c r="B12652">
        <v>60</v>
      </c>
      <c r="C12652" t="s">
        <v>963</v>
      </c>
      <c r="D12652" t="s">
        <v>999</v>
      </c>
      <c r="E12652" t="s">
        <v>294</v>
      </c>
      <c r="F12652" t="s">
        <v>956</v>
      </c>
      <c r="G12652">
        <v>6000000</v>
      </c>
      <c r="H12652">
        <v>143000</v>
      </c>
      <c r="I12652" t="s">
        <v>979</v>
      </c>
    </row>
    <row r="12653" spans="1:9" x14ac:dyDescent="0.25">
      <c r="A12653">
        <v>3130</v>
      </c>
      <c r="B12653">
        <v>60</v>
      </c>
      <c r="C12653" t="s">
        <v>963</v>
      </c>
      <c r="D12653" t="s">
        <v>999</v>
      </c>
      <c r="E12653" t="s">
        <v>294</v>
      </c>
      <c r="F12653" t="s">
        <v>957</v>
      </c>
      <c r="G12653">
        <v>6000000</v>
      </c>
      <c r="H12653">
        <v>143000</v>
      </c>
      <c r="I12653" t="s">
        <v>979</v>
      </c>
    </row>
    <row r="12654" spans="1:9" x14ac:dyDescent="0.25">
      <c r="A12654">
        <v>3130</v>
      </c>
      <c r="B12654">
        <v>60</v>
      </c>
      <c r="C12654" t="s">
        <v>963</v>
      </c>
      <c r="D12654" t="s">
        <v>999</v>
      </c>
      <c r="E12654" t="s">
        <v>294</v>
      </c>
      <c r="F12654" t="s">
        <v>958</v>
      </c>
      <c r="G12654">
        <v>6000000</v>
      </c>
      <c r="H12654">
        <v>143000</v>
      </c>
      <c r="I12654" t="s">
        <v>979</v>
      </c>
    </row>
    <row r="12655" spans="1:9" x14ac:dyDescent="0.25">
      <c r="A12655">
        <v>3130</v>
      </c>
      <c r="B12655">
        <v>60</v>
      </c>
      <c r="C12655" t="s">
        <v>963</v>
      </c>
      <c r="D12655" t="s">
        <v>999</v>
      </c>
      <c r="E12655" t="s">
        <v>294</v>
      </c>
      <c r="F12655" t="s">
        <v>959</v>
      </c>
      <c r="G12655">
        <v>6000000</v>
      </c>
      <c r="H12655">
        <v>143000</v>
      </c>
      <c r="I12655" t="s">
        <v>979</v>
      </c>
    </row>
    <row r="12656" spans="1:9" x14ac:dyDescent="0.25">
      <c r="A12656">
        <v>3130</v>
      </c>
      <c r="B12656">
        <v>60</v>
      </c>
      <c r="C12656" t="s">
        <v>963</v>
      </c>
      <c r="D12656" t="s">
        <v>999</v>
      </c>
      <c r="E12656" t="s">
        <v>294</v>
      </c>
      <c r="F12656" t="s">
        <v>960</v>
      </c>
      <c r="G12656">
        <v>6000000</v>
      </c>
      <c r="H12656">
        <v>143000</v>
      </c>
      <c r="I12656" t="s">
        <v>979</v>
      </c>
    </row>
    <row r="12657" spans="1:9" x14ac:dyDescent="0.25">
      <c r="A12657">
        <v>3130</v>
      </c>
      <c r="B12657">
        <v>60</v>
      </c>
      <c r="C12657" t="s">
        <v>963</v>
      </c>
      <c r="D12657" t="s">
        <v>999</v>
      </c>
      <c r="E12657" t="s">
        <v>294</v>
      </c>
      <c r="F12657" t="s">
        <v>961</v>
      </c>
      <c r="G12657">
        <v>6000000</v>
      </c>
      <c r="H12657">
        <v>143000</v>
      </c>
      <c r="I12657" t="s">
        <v>979</v>
      </c>
    </row>
    <row r="12658" spans="1:9" x14ac:dyDescent="0.25">
      <c r="A12658">
        <v>3130</v>
      </c>
      <c r="B12658">
        <v>60</v>
      </c>
      <c r="C12658" t="s">
        <v>950</v>
      </c>
      <c r="D12658" t="s">
        <v>999</v>
      </c>
      <c r="E12658" t="s">
        <v>980</v>
      </c>
      <c r="F12658" t="s">
        <v>951</v>
      </c>
      <c r="G12658">
        <v>6000000</v>
      </c>
      <c r="H12658">
        <v>141000</v>
      </c>
      <c r="I12658" t="s">
        <v>981</v>
      </c>
    </row>
    <row r="12659" spans="1:9" x14ac:dyDescent="0.25">
      <c r="A12659">
        <v>3130</v>
      </c>
      <c r="B12659">
        <v>60</v>
      </c>
      <c r="C12659" t="s">
        <v>950</v>
      </c>
      <c r="D12659" t="s">
        <v>999</v>
      </c>
      <c r="E12659" t="s">
        <v>980</v>
      </c>
      <c r="F12659" t="s">
        <v>952</v>
      </c>
      <c r="G12659">
        <v>6000000</v>
      </c>
      <c r="H12659">
        <v>141000</v>
      </c>
      <c r="I12659" t="s">
        <v>981</v>
      </c>
    </row>
    <row r="12660" spans="1:9" x14ac:dyDescent="0.25">
      <c r="A12660">
        <v>3130</v>
      </c>
      <c r="B12660">
        <v>60</v>
      </c>
      <c r="C12660" t="s">
        <v>950</v>
      </c>
      <c r="D12660" t="s">
        <v>999</v>
      </c>
      <c r="E12660" t="s">
        <v>980</v>
      </c>
      <c r="F12660" t="s">
        <v>953</v>
      </c>
      <c r="G12660">
        <v>6000000</v>
      </c>
      <c r="H12660">
        <v>141000</v>
      </c>
      <c r="I12660" t="s">
        <v>981</v>
      </c>
    </row>
    <row r="12661" spans="1:9" x14ac:dyDescent="0.25">
      <c r="A12661">
        <v>3130</v>
      </c>
      <c r="B12661">
        <v>60</v>
      </c>
      <c r="C12661" t="s">
        <v>950</v>
      </c>
      <c r="D12661" t="s">
        <v>999</v>
      </c>
      <c r="E12661" t="s">
        <v>980</v>
      </c>
      <c r="F12661" t="s">
        <v>954</v>
      </c>
      <c r="G12661">
        <v>6000000</v>
      </c>
      <c r="H12661">
        <v>141000</v>
      </c>
      <c r="I12661" t="s">
        <v>981</v>
      </c>
    </row>
    <row r="12662" spans="1:9" x14ac:dyDescent="0.25">
      <c r="A12662">
        <v>3130</v>
      </c>
      <c r="B12662">
        <v>60</v>
      </c>
      <c r="C12662" t="s">
        <v>950</v>
      </c>
      <c r="D12662" t="s">
        <v>999</v>
      </c>
      <c r="E12662" t="s">
        <v>980</v>
      </c>
      <c r="F12662" t="s">
        <v>955</v>
      </c>
      <c r="G12662">
        <v>6000000</v>
      </c>
      <c r="H12662">
        <v>141000</v>
      </c>
      <c r="I12662" t="s">
        <v>981</v>
      </c>
    </row>
    <row r="12663" spans="1:9" x14ac:dyDescent="0.25">
      <c r="A12663">
        <v>3130</v>
      </c>
      <c r="B12663">
        <v>60</v>
      </c>
      <c r="C12663" t="s">
        <v>950</v>
      </c>
      <c r="D12663" t="s">
        <v>999</v>
      </c>
      <c r="E12663" t="s">
        <v>980</v>
      </c>
      <c r="F12663" t="s">
        <v>956</v>
      </c>
      <c r="G12663">
        <v>6000000</v>
      </c>
      <c r="H12663">
        <v>141000</v>
      </c>
      <c r="I12663" t="s">
        <v>981</v>
      </c>
    </row>
    <row r="12664" spans="1:9" x14ac:dyDescent="0.25">
      <c r="A12664">
        <v>3130</v>
      </c>
      <c r="B12664">
        <v>60</v>
      </c>
      <c r="C12664" t="s">
        <v>950</v>
      </c>
      <c r="D12664" t="s">
        <v>999</v>
      </c>
      <c r="E12664" t="s">
        <v>980</v>
      </c>
      <c r="F12664" t="s">
        <v>957</v>
      </c>
      <c r="G12664">
        <v>6000000</v>
      </c>
      <c r="H12664">
        <v>141000</v>
      </c>
      <c r="I12664" t="s">
        <v>981</v>
      </c>
    </row>
    <row r="12665" spans="1:9" x14ac:dyDescent="0.25">
      <c r="A12665">
        <v>3130</v>
      </c>
      <c r="B12665">
        <v>60</v>
      </c>
      <c r="C12665" t="s">
        <v>950</v>
      </c>
      <c r="D12665" t="s">
        <v>999</v>
      </c>
      <c r="E12665" t="s">
        <v>980</v>
      </c>
      <c r="F12665" t="s">
        <v>958</v>
      </c>
      <c r="G12665">
        <v>6000000</v>
      </c>
      <c r="H12665">
        <v>141000</v>
      </c>
      <c r="I12665" t="s">
        <v>981</v>
      </c>
    </row>
    <row r="12666" spans="1:9" x14ac:dyDescent="0.25">
      <c r="A12666">
        <v>3130</v>
      </c>
      <c r="B12666">
        <v>60</v>
      </c>
      <c r="C12666" t="s">
        <v>950</v>
      </c>
      <c r="D12666" t="s">
        <v>999</v>
      </c>
      <c r="E12666" t="s">
        <v>980</v>
      </c>
      <c r="F12666" t="s">
        <v>959</v>
      </c>
      <c r="G12666">
        <v>6000000</v>
      </c>
      <c r="H12666">
        <v>141000</v>
      </c>
      <c r="I12666" t="s">
        <v>981</v>
      </c>
    </row>
    <row r="12667" spans="1:9" x14ac:dyDescent="0.25">
      <c r="A12667">
        <v>3130</v>
      </c>
      <c r="B12667">
        <v>60</v>
      </c>
      <c r="C12667" t="s">
        <v>950</v>
      </c>
      <c r="D12667" t="s">
        <v>999</v>
      </c>
      <c r="E12667" t="s">
        <v>980</v>
      </c>
      <c r="F12667" t="s">
        <v>960</v>
      </c>
      <c r="G12667">
        <v>6000000</v>
      </c>
      <c r="H12667">
        <v>141000</v>
      </c>
      <c r="I12667" t="s">
        <v>981</v>
      </c>
    </row>
    <row r="12668" spans="1:9" x14ac:dyDescent="0.25">
      <c r="A12668">
        <v>3130</v>
      </c>
      <c r="B12668">
        <v>60</v>
      </c>
      <c r="C12668" t="s">
        <v>950</v>
      </c>
      <c r="D12668" t="s">
        <v>999</v>
      </c>
      <c r="E12668" t="s">
        <v>980</v>
      </c>
      <c r="F12668" t="s">
        <v>961</v>
      </c>
      <c r="G12668">
        <v>6000000</v>
      </c>
      <c r="H12668">
        <v>141000</v>
      </c>
      <c r="I12668" t="s">
        <v>981</v>
      </c>
    </row>
    <row r="12669" spans="1:9" x14ac:dyDescent="0.25">
      <c r="A12669">
        <v>3130</v>
      </c>
      <c r="B12669">
        <v>60</v>
      </c>
      <c r="C12669" t="s">
        <v>962</v>
      </c>
      <c r="D12669" t="s">
        <v>999</v>
      </c>
      <c r="E12669" t="s">
        <v>980</v>
      </c>
      <c r="F12669" t="s">
        <v>951</v>
      </c>
      <c r="G12669">
        <v>6000000</v>
      </c>
      <c r="H12669">
        <v>141000</v>
      </c>
      <c r="I12669" t="s">
        <v>981</v>
      </c>
    </row>
    <row r="12670" spans="1:9" x14ac:dyDescent="0.25">
      <c r="A12670">
        <v>3130</v>
      </c>
      <c r="B12670">
        <v>60</v>
      </c>
      <c r="C12670" t="s">
        <v>962</v>
      </c>
      <c r="D12670" t="s">
        <v>999</v>
      </c>
      <c r="E12670" t="s">
        <v>980</v>
      </c>
      <c r="F12670" t="s">
        <v>952</v>
      </c>
      <c r="G12670">
        <v>6000000</v>
      </c>
      <c r="H12670">
        <v>141000</v>
      </c>
      <c r="I12670" t="s">
        <v>981</v>
      </c>
    </row>
    <row r="12671" spans="1:9" x14ac:dyDescent="0.25">
      <c r="A12671">
        <v>3130</v>
      </c>
      <c r="B12671">
        <v>60</v>
      </c>
      <c r="C12671" t="s">
        <v>962</v>
      </c>
      <c r="D12671" t="s">
        <v>999</v>
      </c>
      <c r="E12671" t="s">
        <v>980</v>
      </c>
      <c r="F12671" t="s">
        <v>953</v>
      </c>
      <c r="G12671">
        <v>6000000</v>
      </c>
      <c r="H12671">
        <v>141000</v>
      </c>
      <c r="I12671" t="s">
        <v>981</v>
      </c>
    </row>
    <row r="12672" spans="1:9" x14ac:dyDescent="0.25">
      <c r="A12672">
        <v>3130</v>
      </c>
      <c r="B12672">
        <v>60</v>
      </c>
      <c r="C12672" t="s">
        <v>962</v>
      </c>
      <c r="D12672" t="s">
        <v>999</v>
      </c>
      <c r="E12672" t="s">
        <v>980</v>
      </c>
      <c r="F12672" t="s">
        <v>954</v>
      </c>
      <c r="G12672">
        <v>6000000</v>
      </c>
      <c r="H12672">
        <v>141000</v>
      </c>
      <c r="I12672" t="s">
        <v>981</v>
      </c>
    </row>
    <row r="12673" spans="1:9" x14ac:dyDescent="0.25">
      <c r="A12673">
        <v>3130</v>
      </c>
      <c r="B12673">
        <v>60</v>
      </c>
      <c r="C12673" t="s">
        <v>962</v>
      </c>
      <c r="D12673" t="s">
        <v>999</v>
      </c>
      <c r="E12673" t="s">
        <v>980</v>
      </c>
      <c r="F12673" t="s">
        <v>955</v>
      </c>
      <c r="G12673">
        <v>6000000</v>
      </c>
      <c r="H12673">
        <v>141000</v>
      </c>
      <c r="I12673" t="s">
        <v>981</v>
      </c>
    </row>
    <row r="12674" spans="1:9" x14ac:dyDescent="0.25">
      <c r="A12674">
        <v>3130</v>
      </c>
      <c r="B12674">
        <v>60</v>
      </c>
      <c r="C12674" t="s">
        <v>962</v>
      </c>
      <c r="D12674" t="s">
        <v>999</v>
      </c>
      <c r="E12674" t="s">
        <v>980</v>
      </c>
      <c r="F12674" t="s">
        <v>956</v>
      </c>
      <c r="G12674">
        <v>6000000</v>
      </c>
      <c r="H12674">
        <v>141000</v>
      </c>
      <c r="I12674" t="s">
        <v>981</v>
      </c>
    </row>
    <row r="12675" spans="1:9" x14ac:dyDescent="0.25">
      <c r="A12675">
        <v>3130</v>
      </c>
      <c r="B12675">
        <v>60</v>
      </c>
      <c r="C12675" t="s">
        <v>962</v>
      </c>
      <c r="D12675" t="s">
        <v>999</v>
      </c>
      <c r="E12675" t="s">
        <v>980</v>
      </c>
      <c r="F12675" t="s">
        <v>957</v>
      </c>
      <c r="G12675">
        <v>6000000</v>
      </c>
      <c r="H12675">
        <v>141000</v>
      </c>
      <c r="I12675" t="s">
        <v>981</v>
      </c>
    </row>
    <row r="12676" spans="1:9" x14ac:dyDescent="0.25">
      <c r="A12676">
        <v>3130</v>
      </c>
      <c r="B12676">
        <v>60</v>
      </c>
      <c r="C12676" t="s">
        <v>962</v>
      </c>
      <c r="D12676" t="s">
        <v>999</v>
      </c>
      <c r="E12676" t="s">
        <v>980</v>
      </c>
      <c r="F12676" t="s">
        <v>958</v>
      </c>
      <c r="G12676">
        <v>6000000</v>
      </c>
      <c r="H12676">
        <v>141000</v>
      </c>
      <c r="I12676" t="s">
        <v>981</v>
      </c>
    </row>
    <row r="12677" spans="1:9" x14ac:dyDescent="0.25">
      <c r="A12677">
        <v>3130</v>
      </c>
      <c r="B12677">
        <v>60</v>
      </c>
      <c r="C12677" t="s">
        <v>962</v>
      </c>
      <c r="D12677" t="s">
        <v>999</v>
      </c>
      <c r="E12677" t="s">
        <v>980</v>
      </c>
      <c r="F12677" t="s">
        <v>959</v>
      </c>
      <c r="G12677">
        <v>6000000</v>
      </c>
      <c r="H12677">
        <v>141000</v>
      </c>
      <c r="I12677" t="s">
        <v>981</v>
      </c>
    </row>
    <row r="12678" spans="1:9" x14ac:dyDescent="0.25">
      <c r="A12678">
        <v>3130</v>
      </c>
      <c r="B12678">
        <v>60</v>
      </c>
      <c r="C12678" t="s">
        <v>962</v>
      </c>
      <c r="D12678" t="s">
        <v>999</v>
      </c>
      <c r="E12678" t="s">
        <v>980</v>
      </c>
      <c r="F12678" t="s">
        <v>960</v>
      </c>
      <c r="G12678">
        <v>6000000</v>
      </c>
      <c r="H12678">
        <v>141000</v>
      </c>
      <c r="I12678" t="s">
        <v>981</v>
      </c>
    </row>
    <row r="12679" spans="1:9" x14ac:dyDescent="0.25">
      <c r="A12679">
        <v>3130</v>
      </c>
      <c r="B12679">
        <v>60</v>
      </c>
      <c r="C12679" t="s">
        <v>962</v>
      </c>
      <c r="D12679" t="s">
        <v>999</v>
      </c>
      <c r="E12679" t="s">
        <v>980</v>
      </c>
      <c r="F12679" t="s">
        <v>961</v>
      </c>
      <c r="G12679">
        <v>6000000</v>
      </c>
      <c r="H12679">
        <v>141000</v>
      </c>
      <c r="I12679" t="s">
        <v>981</v>
      </c>
    </row>
    <row r="12680" spans="1:9" x14ac:dyDescent="0.25">
      <c r="A12680">
        <v>3130</v>
      </c>
      <c r="B12680">
        <v>60</v>
      </c>
      <c r="C12680" t="s">
        <v>963</v>
      </c>
      <c r="D12680" t="s">
        <v>999</v>
      </c>
      <c r="E12680" t="s">
        <v>980</v>
      </c>
      <c r="F12680" t="s">
        <v>951</v>
      </c>
      <c r="G12680">
        <v>6000000</v>
      </c>
      <c r="H12680">
        <v>141000</v>
      </c>
      <c r="I12680" t="s">
        <v>981</v>
      </c>
    </row>
    <row r="12681" spans="1:9" x14ac:dyDescent="0.25">
      <c r="A12681">
        <v>3130</v>
      </c>
      <c r="B12681">
        <v>60</v>
      </c>
      <c r="C12681" t="s">
        <v>963</v>
      </c>
      <c r="D12681" t="s">
        <v>999</v>
      </c>
      <c r="E12681" t="s">
        <v>980</v>
      </c>
      <c r="F12681" t="s">
        <v>952</v>
      </c>
      <c r="G12681">
        <v>6000000</v>
      </c>
      <c r="H12681">
        <v>141000</v>
      </c>
      <c r="I12681" t="s">
        <v>981</v>
      </c>
    </row>
    <row r="12682" spans="1:9" x14ac:dyDescent="0.25">
      <c r="A12682">
        <v>3130</v>
      </c>
      <c r="B12682">
        <v>60</v>
      </c>
      <c r="C12682" t="s">
        <v>963</v>
      </c>
      <c r="D12682" t="s">
        <v>999</v>
      </c>
      <c r="E12682" t="s">
        <v>980</v>
      </c>
      <c r="F12682" t="s">
        <v>953</v>
      </c>
      <c r="G12682">
        <v>6000000</v>
      </c>
      <c r="H12682">
        <v>141000</v>
      </c>
      <c r="I12682" t="s">
        <v>981</v>
      </c>
    </row>
    <row r="12683" spans="1:9" x14ac:dyDescent="0.25">
      <c r="A12683">
        <v>3130</v>
      </c>
      <c r="B12683">
        <v>60</v>
      </c>
      <c r="C12683" t="s">
        <v>963</v>
      </c>
      <c r="D12683" t="s">
        <v>999</v>
      </c>
      <c r="E12683" t="s">
        <v>980</v>
      </c>
      <c r="F12683" t="s">
        <v>954</v>
      </c>
      <c r="G12683">
        <v>6000000</v>
      </c>
      <c r="H12683">
        <v>141000</v>
      </c>
      <c r="I12683" t="s">
        <v>981</v>
      </c>
    </row>
    <row r="12684" spans="1:9" x14ac:dyDescent="0.25">
      <c r="A12684">
        <v>3130</v>
      </c>
      <c r="B12684">
        <v>60</v>
      </c>
      <c r="C12684" t="s">
        <v>963</v>
      </c>
      <c r="D12684" t="s">
        <v>999</v>
      </c>
      <c r="E12684" t="s">
        <v>980</v>
      </c>
      <c r="F12684" t="s">
        <v>955</v>
      </c>
      <c r="G12684">
        <v>6000000</v>
      </c>
      <c r="H12684">
        <v>141000</v>
      </c>
      <c r="I12684" t="s">
        <v>981</v>
      </c>
    </row>
    <row r="12685" spans="1:9" x14ac:dyDescent="0.25">
      <c r="A12685">
        <v>3130</v>
      </c>
      <c r="B12685">
        <v>60</v>
      </c>
      <c r="C12685" t="s">
        <v>963</v>
      </c>
      <c r="D12685" t="s">
        <v>999</v>
      </c>
      <c r="E12685" t="s">
        <v>980</v>
      </c>
      <c r="F12685" t="s">
        <v>956</v>
      </c>
      <c r="G12685">
        <v>6000000</v>
      </c>
      <c r="H12685">
        <v>141000</v>
      </c>
      <c r="I12685" t="s">
        <v>981</v>
      </c>
    </row>
    <row r="12686" spans="1:9" x14ac:dyDescent="0.25">
      <c r="A12686">
        <v>3130</v>
      </c>
      <c r="B12686">
        <v>60</v>
      </c>
      <c r="C12686" t="s">
        <v>963</v>
      </c>
      <c r="D12686" t="s">
        <v>999</v>
      </c>
      <c r="E12686" t="s">
        <v>980</v>
      </c>
      <c r="F12686" t="s">
        <v>957</v>
      </c>
      <c r="G12686">
        <v>6000000</v>
      </c>
      <c r="H12686">
        <v>141000</v>
      </c>
      <c r="I12686" t="s">
        <v>981</v>
      </c>
    </row>
    <row r="12687" spans="1:9" x14ac:dyDescent="0.25">
      <c r="A12687">
        <v>3130</v>
      </c>
      <c r="B12687">
        <v>60</v>
      </c>
      <c r="C12687" t="s">
        <v>963</v>
      </c>
      <c r="D12687" t="s">
        <v>999</v>
      </c>
      <c r="E12687" t="s">
        <v>980</v>
      </c>
      <c r="F12687" t="s">
        <v>958</v>
      </c>
      <c r="G12687">
        <v>6000000</v>
      </c>
      <c r="H12687">
        <v>141000</v>
      </c>
      <c r="I12687" t="s">
        <v>981</v>
      </c>
    </row>
    <row r="12688" spans="1:9" x14ac:dyDescent="0.25">
      <c r="A12688">
        <v>3130</v>
      </c>
      <c r="B12688">
        <v>60</v>
      </c>
      <c r="C12688" t="s">
        <v>963</v>
      </c>
      <c r="D12688" t="s">
        <v>999</v>
      </c>
      <c r="E12688" t="s">
        <v>980</v>
      </c>
      <c r="F12688" t="s">
        <v>959</v>
      </c>
      <c r="G12688">
        <v>6000000</v>
      </c>
      <c r="H12688">
        <v>141000</v>
      </c>
      <c r="I12688" t="s">
        <v>981</v>
      </c>
    </row>
    <row r="12689" spans="1:9" x14ac:dyDescent="0.25">
      <c r="A12689">
        <v>3130</v>
      </c>
      <c r="B12689">
        <v>60</v>
      </c>
      <c r="C12689" t="s">
        <v>963</v>
      </c>
      <c r="D12689" t="s">
        <v>999</v>
      </c>
      <c r="E12689" t="s">
        <v>980</v>
      </c>
      <c r="F12689" t="s">
        <v>960</v>
      </c>
      <c r="G12689">
        <v>6000000</v>
      </c>
      <c r="H12689">
        <v>141000</v>
      </c>
      <c r="I12689" t="s">
        <v>981</v>
      </c>
    </row>
    <row r="12690" spans="1:9" x14ac:dyDescent="0.25">
      <c r="A12690">
        <v>3130</v>
      </c>
      <c r="B12690">
        <v>60</v>
      </c>
      <c r="C12690" t="s">
        <v>963</v>
      </c>
      <c r="D12690" t="s">
        <v>999</v>
      </c>
      <c r="E12690" t="s">
        <v>980</v>
      </c>
      <c r="F12690" t="s">
        <v>961</v>
      </c>
      <c r="G12690">
        <v>6000000</v>
      </c>
      <c r="H12690">
        <v>141000</v>
      </c>
      <c r="I12690" t="s">
        <v>981</v>
      </c>
    </row>
    <row r="12691" spans="1:9" x14ac:dyDescent="0.25">
      <c r="A12691">
        <v>3130</v>
      </c>
      <c r="B12691">
        <v>60</v>
      </c>
      <c r="C12691" t="s">
        <v>950</v>
      </c>
      <c r="D12691" t="s">
        <v>999</v>
      </c>
      <c r="E12691" t="s">
        <v>302</v>
      </c>
      <c r="F12691" t="s">
        <v>951</v>
      </c>
      <c r="G12691">
        <v>6000000</v>
      </c>
      <c r="H12691">
        <v>143000</v>
      </c>
      <c r="I12691" t="s">
        <v>982</v>
      </c>
    </row>
    <row r="12692" spans="1:9" x14ac:dyDescent="0.25">
      <c r="A12692">
        <v>3130</v>
      </c>
      <c r="B12692">
        <v>60</v>
      </c>
      <c r="C12692" t="s">
        <v>950</v>
      </c>
      <c r="D12692" t="s">
        <v>999</v>
      </c>
      <c r="E12692" t="s">
        <v>302</v>
      </c>
      <c r="F12692" t="s">
        <v>952</v>
      </c>
      <c r="G12692">
        <v>6000000</v>
      </c>
      <c r="H12692">
        <v>143000</v>
      </c>
      <c r="I12692" t="s">
        <v>982</v>
      </c>
    </row>
    <row r="12693" spans="1:9" x14ac:dyDescent="0.25">
      <c r="A12693">
        <v>3130</v>
      </c>
      <c r="B12693">
        <v>60</v>
      </c>
      <c r="C12693" t="s">
        <v>950</v>
      </c>
      <c r="D12693" t="s">
        <v>999</v>
      </c>
      <c r="E12693" t="s">
        <v>302</v>
      </c>
      <c r="F12693" t="s">
        <v>953</v>
      </c>
      <c r="G12693">
        <v>6000000</v>
      </c>
      <c r="H12693">
        <v>143000</v>
      </c>
      <c r="I12693" t="s">
        <v>982</v>
      </c>
    </row>
    <row r="12694" spans="1:9" x14ac:dyDescent="0.25">
      <c r="A12694">
        <v>3130</v>
      </c>
      <c r="B12694">
        <v>60</v>
      </c>
      <c r="C12694" t="s">
        <v>950</v>
      </c>
      <c r="D12694" t="s">
        <v>999</v>
      </c>
      <c r="E12694" t="s">
        <v>302</v>
      </c>
      <c r="F12694" t="s">
        <v>954</v>
      </c>
      <c r="G12694">
        <v>6000000</v>
      </c>
      <c r="H12694">
        <v>143000</v>
      </c>
      <c r="I12694" t="s">
        <v>982</v>
      </c>
    </row>
    <row r="12695" spans="1:9" x14ac:dyDescent="0.25">
      <c r="A12695">
        <v>3130</v>
      </c>
      <c r="B12695">
        <v>60</v>
      </c>
      <c r="C12695" t="s">
        <v>950</v>
      </c>
      <c r="D12695" t="s">
        <v>999</v>
      </c>
      <c r="E12695" t="s">
        <v>302</v>
      </c>
      <c r="F12695" t="s">
        <v>955</v>
      </c>
      <c r="G12695">
        <v>6000000</v>
      </c>
      <c r="H12695">
        <v>143000</v>
      </c>
      <c r="I12695" t="s">
        <v>982</v>
      </c>
    </row>
    <row r="12696" spans="1:9" x14ac:dyDescent="0.25">
      <c r="A12696">
        <v>3130</v>
      </c>
      <c r="B12696">
        <v>60</v>
      </c>
      <c r="C12696" t="s">
        <v>950</v>
      </c>
      <c r="D12696" t="s">
        <v>999</v>
      </c>
      <c r="E12696" t="s">
        <v>302</v>
      </c>
      <c r="F12696" t="s">
        <v>956</v>
      </c>
      <c r="G12696">
        <v>6000000</v>
      </c>
      <c r="H12696">
        <v>143000</v>
      </c>
      <c r="I12696" t="s">
        <v>982</v>
      </c>
    </row>
    <row r="12697" spans="1:9" x14ac:dyDescent="0.25">
      <c r="A12697">
        <v>3130</v>
      </c>
      <c r="B12697">
        <v>60</v>
      </c>
      <c r="C12697" t="s">
        <v>950</v>
      </c>
      <c r="D12697" t="s">
        <v>999</v>
      </c>
      <c r="E12697" t="s">
        <v>302</v>
      </c>
      <c r="F12697" t="s">
        <v>957</v>
      </c>
      <c r="G12697">
        <v>6000000</v>
      </c>
      <c r="H12697">
        <v>143000</v>
      </c>
      <c r="I12697" t="s">
        <v>982</v>
      </c>
    </row>
    <row r="12698" spans="1:9" x14ac:dyDescent="0.25">
      <c r="A12698">
        <v>3130</v>
      </c>
      <c r="B12698">
        <v>60</v>
      </c>
      <c r="C12698" t="s">
        <v>950</v>
      </c>
      <c r="D12698" t="s">
        <v>999</v>
      </c>
      <c r="E12698" t="s">
        <v>302</v>
      </c>
      <c r="F12698" t="s">
        <v>958</v>
      </c>
      <c r="G12698">
        <v>6000000</v>
      </c>
      <c r="H12698">
        <v>143000</v>
      </c>
      <c r="I12698" t="s">
        <v>982</v>
      </c>
    </row>
    <row r="12699" spans="1:9" x14ac:dyDescent="0.25">
      <c r="A12699">
        <v>3130</v>
      </c>
      <c r="B12699">
        <v>60</v>
      </c>
      <c r="C12699" t="s">
        <v>950</v>
      </c>
      <c r="D12699" t="s">
        <v>999</v>
      </c>
      <c r="E12699" t="s">
        <v>302</v>
      </c>
      <c r="F12699" t="s">
        <v>959</v>
      </c>
      <c r="G12699">
        <v>6000000</v>
      </c>
      <c r="H12699">
        <v>143000</v>
      </c>
      <c r="I12699" t="s">
        <v>982</v>
      </c>
    </row>
    <row r="12700" spans="1:9" x14ac:dyDescent="0.25">
      <c r="A12700">
        <v>3130</v>
      </c>
      <c r="B12700">
        <v>60</v>
      </c>
      <c r="C12700" t="s">
        <v>950</v>
      </c>
      <c r="D12700" t="s">
        <v>999</v>
      </c>
      <c r="E12700" t="s">
        <v>302</v>
      </c>
      <c r="F12700" t="s">
        <v>960</v>
      </c>
      <c r="G12700">
        <v>6000000</v>
      </c>
      <c r="H12700">
        <v>143000</v>
      </c>
      <c r="I12700" t="s">
        <v>982</v>
      </c>
    </row>
    <row r="12701" spans="1:9" x14ac:dyDescent="0.25">
      <c r="A12701">
        <v>3130</v>
      </c>
      <c r="B12701">
        <v>60</v>
      </c>
      <c r="C12701" t="s">
        <v>950</v>
      </c>
      <c r="D12701" t="s">
        <v>999</v>
      </c>
      <c r="E12701" t="s">
        <v>302</v>
      </c>
      <c r="F12701" t="s">
        <v>961</v>
      </c>
      <c r="G12701">
        <v>6000000</v>
      </c>
      <c r="H12701">
        <v>143000</v>
      </c>
      <c r="I12701" t="s">
        <v>982</v>
      </c>
    </row>
    <row r="12702" spans="1:9" x14ac:dyDescent="0.25">
      <c r="A12702">
        <v>3130</v>
      </c>
      <c r="B12702">
        <v>60</v>
      </c>
      <c r="C12702" t="s">
        <v>962</v>
      </c>
      <c r="D12702" t="s">
        <v>999</v>
      </c>
      <c r="E12702" t="s">
        <v>302</v>
      </c>
      <c r="F12702" t="s">
        <v>951</v>
      </c>
      <c r="G12702">
        <v>6000000</v>
      </c>
      <c r="H12702">
        <v>143000</v>
      </c>
      <c r="I12702" t="s">
        <v>982</v>
      </c>
    </row>
    <row r="12703" spans="1:9" x14ac:dyDescent="0.25">
      <c r="A12703">
        <v>3130</v>
      </c>
      <c r="B12703">
        <v>60</v>
      </c>
      <c r="C12703" t="s">
        <v>962</v>
      </c>
      <c r="D12703" t="s">
        <v>999</v>
      </c>
      <c r="E12703" t="s">
        <v>302</v>
      </c>
      <c r="F12703" t="s">
        <v>952</v>
      </c>
      <c r="G12703">
        <v>6000000</v>
      </c>
      <c r="H12703">
        <v>143000</v>
      </c>
      <c r="I12703" t="s">
        <v>982</v>
      </c>
    </row>
    <row r="12704" spans="1:9" x14ac:dyDescent="0.25">
      <c r="A12704">
        <v>3130</v>
      </c>
      <c r="B12704">
        <v>60</v>
      </c>
      <c r="C12704" t="s">
        <v>962</v>
      </c>
      <c r="D12704" t="s">
        <v>999</v>
      </c>
      <c r="E12704" t="s">
        <v>302</v>
      </c>
      <c r="F12704" t="s">
        <v>953</v>
      </c>
      <c r="G12704">
        <v>6000000</v>
      </c>
      <c r="H12704">
        <v>143000</v>
      </c>
      <c r="I12704" t="s">
        <v>982</v>
      </c>
    </row>
    <row r="12705" spans="1:9" x14ac:dyDescent="0.25">
      <c r="A12705">
        <v>3130</v>
      </c>
      <c r="B12705">
        <v>60</v>
      </c>
      <c r="C12705" t="s">
        <v>962</v>
      </c>
      <c r="D12705" t="s">
        <v>999</v>
      </c>
      <c r="E12705" t="s">
        <v>302</v>
      </c>
      <c r="F12705" t="s">
        <v>954</v>
      </c>
      <c r="G12705">
        <v>6000000</v>
      </c>
      <c r="H12705">
        <v>143000</v>
      </c>
      <c r="I12705" t="s">
        <v>982</v>
      </c>
    </row>
    <row r="12706" spans="1:9" x14ac:dyDescent="0.25">
      <c r="A12706">
        <v>3130</v>
      </c>
      <c r="B12706">
        <v>60</v>
      </c>
      <c r="C12706" t="s">
        <v>962</v>
      </c>
      <c r="D12706" t="s">
        <v>999</v>
      </c>
      <c r="E12706" t="s">
        <v>302</v>
      </c>
      <c r="F12706" t="s">
        <v>955</v>
      </c>
      <c r="G12706">
        <v>6000000</v>
      </c>
      <c r="H12706">
        <v>143000</v>
      </c>
      <c r="I12706" t="s">
        <v>982</v>
      </c>
    </row>
    <row r="12707" spans="1:9" x14ac:dyDescent="0.25">
      <c r="A12707">
        <v>3130</v>
      </c>
      <c r="B12707">
        <v>60</v>
      </c>
      <c r="C12707" t="s">
        <v>962</v>
      </c>
      <c r="D12707" t="s">
        <v>999</v>
      </c>
      <c r="E12707" t="s">
        <v>302</v>
      </c>
      <c r="F12707" t="s">
        <v>956</v>
      </c>
      <c r="G12707">
        <v>6000000</v>
      </c>
      <c r="H12707">
        <v>143000</v>
      </c>
      <c r="I12707" t="s">
        <v>982</v>
      </c>
    </row>
    <row r="12708" spans="1:9" x14ac:dyDescent="0.25">
      <c r="A12708">
        <v>3130</v>
      </c>
      <c r="B12708">
        <v>60</v>
      </c>
      <c r="C12708" t="s">
        <v>962</v>
      </c>
      <c r="D12708" t="s">
        <v>999</v>
      </c>
      <c r="E12708" t="s">
        <v>302</v>
      </c>
      <c r="F12708" t="s">
        <v>957</v>
      </c>
      <c r="G12708">
        <v>6000000</v>
      </c>
      <c r="H12708">
        <v>143000</v>
      </c>
      <c r="I12708" t="s">
        <v>982</v>
      </c>
    </row>
    <row r="12709" spans="1:9" x14ac:dyDescent="0.25">
      <c r="A12709">
        <v>3130</v>
      </c>
      <c r="B12709">
        <v>60</v>
      </c>
      <c r="C12709" t="s">
        <v>962</v>
      </c>
      <c r="D12709" t="s">
        <v>999</v>
      </c>
      <c r="E12709" t="s">
        <v>302</v>
      </c>
      <c r="F12709" t="s">
        <v>958</v>
      </c>
      <c r="G12709">
        <v>6000000</v>
      </c>
      <c r="H12709">
        <v>143000</v>
      </c>
      <c r="I12709" t="s">
        <v>982</v>
      </c>
    </row>
    <row r="12710" spans="1:9" x14ac:dyDescent="0.25">
      <c r="A12710">
        <v>3130</v>
      </c>
      <c r="B12710">
        <v>60</v>
      </c>
      <c r="C12710" t="s">
        <v>962</v>
      </c>
      <c r="D12710" t="s">
        <v>999</v>
      </c>
      <c r="E12710" t="s">
        <v>302</v>
      </c>
      <c r="F12710" t="s">
        <v>959</v>
      </c>
      <c r="G12710">
        <v>6000000</v>
      </c>
      <c r="H12710">
        <v>143000</v>
      </c>
      <c r="I12710" t="s">
        <v>982</v>
      </c>
    </row>
    <row r="12711" spans="1:9" x14ac:dyDescent="0.25">
      <c r="A12711">
        <v>3130</v>
      </c>
      <c r="B12711">
        <v>60</v>
      </c>
      <c r="C12711" t="s">
        <v>962</v>
      </c>
      <c r="D12711" t="s">
        <v>999</v>
      </c>
      <c r="E12711" t="s">
        <v>302</v>
      </c>
      <c r="F12711" t="s">
        <v>960</v>
      </c>
      <c r="G12711">
        <v>6000000</v>
      </c>
      <c r="H12711">
        <v>143000</v>
      </c>
      <c r="I12711" t="s">
        <v>982</v>
      </c>
    </row>
    <row r="12712" spans="1:9" x14ac:dyDescent="0.25">
      <c r="A12712">
        <v>3130</v>
      </c>
      <c r="B12712">
        <v>60</v>
      </c>
      <c r="C12712" t="s">
        <v>962</v>
      </c>
      <c r="D12712" t="s">
        <v>999</v>
      </c>
      <c r="E12712" t="s">
        <v>302</v>
      </c>
      <c r="F12712" t="s">
        <v>961</v>
      </c>
      <c r="G12712">
        <v>6000000</v>
      </c>
      <c r="H12712">
        <v>143000</v>
      </c>
      <c r="I12712" t="s">
        <v>982</v>
      </c>
    </row>
    <row r="12713" spans="1:9" x14ac:dyDescent="0.25">
      <c r="A12713">
        <v>3130</v>
      </c>
      <c r="B12713">
        <v>60</v>
      </c>
      <c r="C12713" t="s">
        <v>963</v>
      </c>
      <c r="D12713" t="s">
        <v>999</v>
      </c>
      <c r="E12713" t="s">
        <v>302</v>
      </c>
      <c r="F12713" t="s">
        <v>951</v>
      </c>
      <c r="G12713">
        <v>6000000</v>
      </c>
      <c r="H12713">
        <v>143000</v>
      </c>
      <c r="I12713" t="s">
        <v>982</v>
      </c>
    </row>
    <row r="12714" spans="1:9" x14ac:dyDescent="0.25">
      <c r="A12714">
        <v>3130</v>
      </c>
      <c r="B12714">
        <v>60</v>
      </c>
      <c r="C12714" t="s">
        <v>963</v>
      </c>
      <c r="D12714" t="s">
        <v>999</v>
      </c>
      <c r="E12714" t="s">
        <v>302</v>
      </c>
      <c r="F12714" t="s">
        <v>952</v>
      </c>
      <c r="G12714">
        <v>6000000</v>
      </c>
      <c r="H12714">
        <v>143000</v>
      </c>
      <c r="I12714" t="s">
        <v>982</v>
      </c>
    </row>
    <row r="12715" spans="1:9" x14ac:dyDescent="0.25">
      <c r="A12715">
        <v>3130</v>
      </c>
      <c r="B12715">
        <v>60</v>
      </c>
      <c r="C12715" t="s">
        <v>963</v>
      </c>
      <c r="D12715" t="s">
        <v>999</v>
      </c>
      <c r="E12715" t="s">
        <v>302</v>
      </c>
      <c r="F12715" t="s">
        <v>953</v>
      </c>
      <c r="G12715">
        <v>6000000</v>
      </c>
      <c r="H12715">
        <v>143000</v>
      </c>
      <c r="I12715" t="s">
        <v>982</v>
      </c>
    </row>
    <row r="12716" spans="1:9" x14ac:dyDescent="0.25">
      <c r="A12716">
        <v>3130</v>
      </c>
      <c r="B12716">
        <v>60</v>
      </c>
      <c r="C12716" t="s">
        <v>963</v>
      </c>
      <c r="D12716" t="s">
        <v>999</v>
      </c>
      <c r="E12716" t="s">
        <v>302</v>
      </c>
      <c r="F12716" t="s">
        <v>954</v>
      </c>
      <c r="G12716">
        <v>6000000</v>
      </c>
      <c r="H12716">
        <v>143000</v>
      </c>
      <c r="I12716" t="s">
        <v>982</v>
      </c>
    </row>
    <row r="12717" spans="1:9" x14ac:dyDescent="0.25">
      <c r="A12717">
        <v>3130</v>
      </c>
      <c r="B12717">
        <v>60</v>
      </c>
      <c r="C12717" t="s">
        <v>963</v>
      </c>
      <c r="D12717" t="s">
        <v>999</v>
      </c>
      <c r="E12717" t="s">
        <v>302</v>
      </c>
      <c r="F12717" t="s">
        <v>955</v>
      </c>
      <c r="G12717">
        <v>6000000</v>
      </c>
      <c r="H12717">
        <v>143000</v>
      </c>
      <c r="I12717" t="s">
        <v>982</v>
      </c>
    </row>
    <row r="12718" spans="1:9" x14ac:dyDescent="0.25">
      <c r="A12718">
        <v>3130</v>
      </c>
      <c r="B12718">
        <v>60</v>
      </c>
      <c r="C12718" t="s">
        <v>963</v>
      </c>
      <c r="D12718" t="s">
        <v>999</v>
      </c>
      <c r="E12718" t="s">
        <v>302</v>
      </c>
      <c r="F12718" t="s">
        <v>956</v>
      </c>
      <c r="G12718">
        <v>6000000</v>
      </c>
      <c r="H12718">
        <v>143000</v>
      </c>
      <c r="I12718" t="s">
        <v>982</v>
      </c>
    </row>
    <row r="12719" spans="1:9" x14ac:dyDescent="0.25">
      <c r="A12719">
        <v>3130</v>
      </c>
      <c r="B12719">
        <v>60</v>
      </c>
      <c r="C12719" t="s">
        <v>963</v>
      </c>
      <c r="D12719" t="s">
        <v>999</v>
      </c>
      <c r="E12719" t="s">
        <v>302</v>
      </c>
      <c r="F12719" t="s">
        <v>957</v>
      </c>
      <c r="G12719">
        <v>6000000</v>
      </c>
      <c r="H12719">
        <v>143000</v>
      </c>
      <c r="I12719" t="s">
        <v>982</v>
      </c>
    </row>
    <row r="12720" spans="1:9" x14ac:dyDescent="0.25">
      <c r="A12720">
        <v>3130</v>
      </c>
      <c r="B12720">
        <v>60</v>
      </c>
      <c r="C12720" t="s">
        <v>963</v>
      </c>
      <c r="D12720" t="s">
        <v>999</v>
      </c>
      <c r="E12720" t="s">
        <v>302</v>
      </c>
      <c r="F12720" t="s">
        <v>958</v>
      </c>
      <c r="G12720">
        <v>6000000</v>
      </c>
      <c r="H12720">
        <v>143000</v>
      </c>
      <c r="I12720" t="s">
        <v>982</v>
      </c>
    </row>
    <row r="12721" spans="1:9" x14ac:dyDescent="0.25">
      <c r="A12721">
        <v>3130</v>
      </c>
      <c r="B12721">
        <v>60</v>
      </c>
      <c r="C12721" t="s">
        <v>963</v>
      </c>
      <c r="D12721" t="s">
        <v>999</v>
      </c>
      <c r="E12721" t="s">
        <v>302</v>
      </c>
      <c r="F12721" t="s">
        <v>959</v>
      </c>
      <c r="G12721">
        <v>6000000</v>
      </c>
      <c r="H12721">
        <v>143000</v>
      </c>
      <c r="I12721" t="s">
        <v>982</v>
      </c>
    </row>
    <row r="12722" spans="1:9" x14ac:dyDescent="0.25">
      <c r="A12722">
        <v>3130</v>
      </c>
      <c r="B12722">
        <v>60</v>
      </c>
      <c r="C12722" t="s">
        <v>963</v>
      </c>
      <c r="D12722" t="s">
        <v>999</v>
      </c>
      <c r="E12722" t="s">
        <v>302</v>
      </c>
      <c r="F12722" t="s">
        <v>960</v>
      </c>
      <c r="G12722">
        <v>6000000</v>
      </c>
      <c r="H12722">
        <v>143000</v>
      </c>
      <c r="I12722" t="s">
        <v>982</v>
      </c>
    </row>
    <row r="12723" spans="1:9" x14ac:dyDescent="0.25">
      <c r="A12723">
        <v>3130</v>
      </c>
      <c r="B12723">
        <v>60</v>
      </c>
      <c r="C12723" t="s">
        <v>963</v>
      </c>
      <c r="D12723" t="s">
        <v>999</v>
      </c>
      <c r="E12723" t="s">
        <v>302</v>
      </c>
      <c r="F12723" t="s">
        <v>961</v>
      </c>
      <c r="G12723">
        <v>6000000</v>
      </c>
      <c r="H12723">
        <v>143000</v>
      </c>
      <c r="I12723" t="s">
        <v>982</v>
      </c>
    </row>
    <row r="12724" spans="1:9" x14ac:dyDescent="0.25">
      <c r="A12724">
        <v>3130</v>
      </c>
      <c r="B12724">
        <v>60</v>
      </c>
      <c r="C12724" t="s">
        <v>950</v>
      </c>
      <c r="D12724" t="s">
        <v>999</v>
      </c>
      <c r="E12724" t="s">
        <v>306</v>
      </c>
      <c r="F12724" t="s">
        <v>951</v>
      </c>
      <c r="G12724">
        <v>6000000</v>
      </c>
      <c r="H12724">
        <v>143000</v>
      </c>
      <c r="I12724" t="s">
        <v>983</v>
      </c>
    </row>
    <row r="12725" spans="1:9" x14ac:dyDescent="0.25">
      <c r="A12725">
        <v>3130</v>
      </c>
      <c r="B12725">
        <v>60</v>
      </c>
      <c r="C12725" t="s">
        <v>950</v>
      </c>
      <c r="D12725" t="s">
        <v>999</v>
      </c>
      <c r="E12725" t="s">
        <v>306</v>
      </c>
      <c r="F12725" t="s">
        <v>952</v>
      </c>
      <c r="G12725">
        <v>6000000</v>
      </c>
      <c r="H12725">
        <v>143000</v>
      </c>
      <c r="I12725" t="s">
        <v>983</v>
      </c>
    </row>
    <row r="12726" spans="1:9" x14ac:dyDescent="0.25">
      <c r="A12726">
        <v>3130</v>
      </c>
      <c r="B12726">
        <v>60</v>
      </c>
      <c r="C12726" t="s">
        <v>950</v>
      </c>
      <c r="D12726" t="s">
        <v>999</v>
      </c>
      <c r="E12726" t="s">
        <v>306</v>
      </c>
      <c r="F12726" t="s">
        <v>953</v>
      </c>
      <c r="G12726">
        <v>6000000</v>
      </c>
      <c r="H12726">
        <v>143000</v>
      </c>
      <c r="I12726" t="s">
        <v>983</v>
      </c>
    </row>
    <row r="12727" spans="1:9" x14ac:dyDescent="0.25">
      <c r="A12727">
        <v>3130</v>
      </c>
      <c r="B12727">
        <v>60</v>
      </c>
      <c r="C12727" t="s">
        <v>950</v>
      </c>
      <c r="D12727" t="s">
        <v>999</v>
      </c>
      <c r="E12727" t="s">
        <v>306</v>
      </c>
      <c r="F12727" t="s">
        <v>954</v>
      </c>
      <c r="G12727">
        <v>6000000</v>
      </c>
      <c r="H12727">
        <v>143000</v>
      </c>
      <c r="I12727" t="s">
        <v>983</v>
      </c>
    </row>
    <row r="12728" spans="1:9" x14ac:dyDescent="0.25">
      <c r="A12728">
        <v>3130</v>
      </c>
      <c r="B12728">
        <v>60</v>
      </c>
      <c r="C12728" t="s">
        <v>950</v>
      </c>
      <c r="D12728" t="s">
        <v>999</v>
      </c>
      <c r="E12728" t="s">
        <v>306</v>
      </c>
      <c r="F12728" t="s">
        <v>955</v>
      </c>
      <c r="G12728">
        <v>6000000</v>
      </c>
      <c r="H12728">
        <v>143000</v>
      </c>
      <c r="I12728" t="s">
        <v>983</v>
      </c>
    </row>
    <row r="12729" spans="1:9" x14ac:dyDescent="0.25">
      <c r="A12729">
        <v>3130</v>
      </c>
      <c r="B12729">
        <v>60</v>
      </c>
      <c r="C12729" t="s">
        <v>950</v>
      </c>
      <c r="D12729" t="s">
        <v>999</v>
      </c>
      <c r="E12729" t="s">
        <v>306</v>
      </c>
      <c r="F12729" t="s">
        <v>956</v>
      </c>
      <c r="G12729">
        <v>6000000</v>
      </c>
      <c r="H12729">
        <v>143000</v>
      </c>
      <c r="I12729" t="s">
        <v>983</v>
      </c>
    </row>
    <row r="12730" spans="1:9" x14ac:dyDescent="0.25">
      <c r="A12730">
        <v>3130</v>
      </c>
      <c r="B12730">
        <v>60</v>
      </c>
      <c r="C12730" t="s">
        <v>950</v>
      </c>
      <c r="D12730" t="s">
        <v>999</v>
      </c>
      <c r="E12730" t="s">
        <v>306</v>
      </c>
      <c r="F12730" t="s">
        <v>957</v>
      </c>
      <c r="G12730">
        <v>6000000</v>
      </c>
      <c r="H12730">
        <v>143000</v>
      </c>
      <c r="I12730" t="s">
        <v>983</v>
      </c>
    </row>
    <row r="12731" spans="1:9" x14ac:dyDescent="0.25">
      <c r="A12731">
        <v>3130</v>
      </c>
      <c r="B12731">
        <v>60</v>
      </c>
      <c r="C12731" t="s">
        <v>950</v>
      </c>
      <c r="D12731" t="s">
        <v>999</v>
      </c>
      <c r="E12731" t="s">
        <v>306</v>
      </c>
      <c r="F12731" t="s">
        <v>958</v>
      </c>
      <c r="G12731">
        <v>6000000</v>
      </c>
      <c r="H12731">
        <v>143000</v>
      </c>
      <c r="I12731" t="s">
        <v>983</v>
      </c>
    </row>
    <row r="12732" spans="1:9" x14ac:dyDescent="0.25">
      <c r="A12732">
        <v>3130</v>
      </c>
      <c r="B12732">
        <v>60</v>
      </c>
      <c r="C12732" t="s">
        <v>950</v>
      </c>
      <c r="D12732" t="s">
        <v>999</v>
      </c>
      <c r="E12732" t="s">
        <v>306</v>
      </c>
      <c r="F12732" t="s">
        <v>959</v>
      </c>
      <c r="G12732">
        <v>6000000</v>
      </c>
      <c r="H12732">
        <v>143000</v>
      </c>
      <c r="I12732" t="s">
        <v>983</v>
      </c>
    </row>
    <row r="12733" spans="1:9" x14ac:dyDescent="0.25">
      <c r="A12733">
        <v>3130</v>
      </c>
      <c r="B12733">
        <v>60</v>
      </c>
      <c r="C12733" t="s">
        <v>950</v>
      </c>
      <c r="D12733" t="s">
        <v>999</v>
      </c>
      <c r="E12733" t="s">
        <v>306</v>
      </c>
      <c r="F12733" t="s">
        <v>960</v>
      </c>
      <c r="G12733">
        <v>6000000</v>
      </c>
      <c r="H12733">
        <v>143000</v>
      </c>
      <c r="I12733" t="s">
        <v>983</v>
      </c>
    </row>
    <row r="12734" spans="1:9" x14ac:dyDescent="0.25">
      <c r="A12734">
        <v>3130</v>
      </c>
      <c r="B12734">
        <v>60</v>
      </c>
      <c r="C12734" t="s">
        <v>950</v>
      </c>
      <c r="D12734" t="s">
        <v>999</v>
      </c>
      <c r="E12734" t="s">
        <v>306</v>
      </c>
      <c r="F12734" t="s">
        <v>961</v>
      </c>
      <c r="G12734">
        <v>6000000</v>
      </c>
      <c r="H12734">
        <v>143000</v>
      </c>
      <c r="I12734" t="s">
        <v>983</v>
      </c>
    </row>
    <row r="12735" spans="1:9" x14ac:dyDescent="0.25">
      <c r="A12735">
        <v>3130</v>
      </c>
      <c r="B12735">
        <v>60</v>
      </c>
      <c r="C12735" t="s">
        <v>962</v>
      </c>
      <c r="D12735" t="s">
        <v>999</v>
      </c>
      <c r="E12735" t="s">
        <v>306</v>
      </c>
      <c r="F12735" t="s">
        <v>951</v>
      </c>
      <c r="G12735">
        <v>6000000</v>
      </c>
      <c r="H12735">
        <v>143000</v>
      </c>
      <c r="I12735" t="s">
        <v>983</v>
      </c>
    </row>
    <row r="12736" spans="1:9" x14ac:dyDescent="0.25">
      <c r="A12736">
        <v>3130</v>
      </c>
      <c r="B12736">
        <v>60</v>
      </c>
      <c r="C12736" t="s">
        <v>962</v>
      </c>
      <c r="D12736" t="s">
        <v>999</v>
      </c>
      <c r="E12736" t="s">
        <v>306</v>
      </c>
      <c r="F12736" t="s">
        <v>952</v>
      </c>
      <c r="G12736">
        <v>6000000</v>
      </c>
      <c r="H12736">
        <v>143000</v>
      </c>
      <c r="I12736" t="s">
        <v>983</v>
      </c>
    </row>
    <row r="12737" spans="1:9" x14ac:dyDescent="0.25">
      <c r="A12737">
        <v>3130</v>
      </c>
      <c r="B12737">
        <v>60</v>
      </c>
      <c r="C12737" t="s">
        <v>962</v>
      </c>
      <c r="D12737" t="s">
        <v>999</v>
      </c>
      <c r="E12737" t="s">
        <v>306</v>
      </c>
      <c r="F12737" t="s">
        <v>953</v>
      </c>
      <c r="G12737">
        <v>6000000</v>
      </c>
      <c r="H12737">
        <v>143000</v>
      </c>
      <c r="I12737" t="s">
        <v>983</v>
      </c>
    </row>
    <row r="12738" spans="1:9" x14ac:dyDescent="0.25">
      <c r="A12738">
        <v>3130</v>
      </c>
      <c r="B12738">
        <v>60</v>
      </c>
      <c r="C12738" t="s">
        <v>962</v>
      </c>
      <c r="D12738" t="s">
        <v>999</v>
      </c>
      <c r="E12738" t="s">
        <v>306</v>
      </c>
      <c r="F12738" t="s">
        <v>954</v>
      </c>
      <c r="G12738">
        <v>6000000</v>
      </c>
      <c r="H12738">
        <v>143000</v>
      </c>
      <c r="I12738" t="s">
        <v>983</v>
      </c>
    </row>
    <row r="12739" spans="1:9" x14ac:dyDescent="0.25">
      <c r="A12739">
        <v>3130</v>
      </c>
      <c r="B12739">
        <v>60</v>
      </c>
      <c r="C12739" t="s">
        <v>962</v>
      </c>
      <c r="D12739" t="s">
        <v>999</v>
      </c>
      <c r="E12739" t="s">
        <v>306</v>
      </c>
      <c r="F12739" t="s">
        <v>955</v>
      </c>
      <c r="G12739">
        <v>6000000</v>
      </c>
      <c r="H12739">
        <v>143000</v>
      </c>
      <c r="I12739" t="s">
        <v>983</v>
      </c>
    </row>
    <row r="12740" spans="1:9" x14ac:dyDescent="0.25">
      <c r="A12740">
        <v>3130</v>
      </c>
      <c r="B12740">
        <v>60</v>
      </c>
      <c r="C12740" t="s">
        <v>962</v>
      </c>
      <c r="D12740" t="s">
        <v>999</v>
      </c>
      <c r="E12740" t="s">
        <v>306</v>
      </c>
      <c r="F12740" t="s">
        <v>956</v>
      </c>
      <c r="G12740">
        <v>6000000</v>
      </c>
      <c r="H12740">
        <v>143000</v>
      </c>
      <c r="I12740" t="s">
        <v>983</v>
      </c>
    </row>
    <row r="12741" spans="1:9" x14ac:dyDescent="0.25">
      <c r="A12741">
        <v>3130</v>
      </c>
      <c r="B12741">
        <v>60</v>
      </c>
      <c r="C12741" t="s">
        <v>962</v>
      </c>
      <c r="D12741" t="s">
        <v>999</v>
      </c>
      <c r="E12741" t="s">
        <v>306</v>
      </c>
      <c r="F12741" t="s">
        <v>957</v>
      </c>
      <c r="G12741">
        <v>6000000</v>
      </c>
      <c r="H12741">
        <v>143000</v>
      </c>
      <c r="I12741" t="s">
        <v>983</v>
      </c>
    </row>
    <row r="12742" spans="1:9" x14ac:dyDescent="0.25">
      <c r="A12742">
        <v>3130</v>
      </c>
      <c r="B12742">
        <v>60</v>
      </c>
      <c r="C12742" t="s">
        <v>962</v>
      </c>
      <c r="D12742" t="s">
        <v>999</v>
      </c>
      <c r="E12742" t="s">
        <v>306</v>
      </c>
      <c r="F12742" t="s">
        <v>958</v>
      </c>
      <c r="G12742">
        <v>6000000</v>
      </c>
      <c r="H12742">
        <v>143000</v>
      </c>
      <c r="I12742" t="s">
        <v>983</v>
      </c>
    </row>
    <row r="12743" spans="1:9" x14ac:dyDescent="0.25">
      <c r="A12743">
        <v>3130</v>
      </c>
      <c r="B12743">
        <v>60</v>
      </c>
      <c r="C12743" t="s">
        <v>962</v>
      </c>
      <c r="D12743" t="s">
        <v>999</v>
      </c>
      <c r="E12743" t="s">
        <v>306</v>
      </c>
      <c r="F12743" t="s">
        <v>959</v>
      </c>
      <c r="G12743">
        <v>6000000</v>
      </c>
      <c r="H12743">
        <v>143000</v>
      </c>
      <c r="I12743" t="s">
        <v>983</v>
      </c>
    </row>
    <row r="12744" spans="1:9" x14ac:dyDescent="0.25">
      <c r="A12744">
        <v>3130</v>
      </c>
      <c r="B12744">
        <v>60</v>
      </c>
      <c r="C12744" t="s">
        <v>962</v>
      </c>
      <c r="D12744" t="s">
        <v>999</v>
      </c>
      <c r="E12744" t="s">
        <v>306</v>
      </c>
      <c r="F12744" t="s">
        <v>960</v>
      </c>
      <c r="G12744">
        <v>6000000</v>
      </c>
      <c r="H12744">
        <v>143000</v>
      </c>
      <c r="I12744" t="s">
        <v>983</v>
      </c>
    </row>
    <row r="12745" spans="1:9" x14ac:dyDescent="0.25">
      <c r="A12745">
        <v>3130</v>
      </c>
      <c r="B12745">
        <v>60</v>
      </c>
      <c r="C12745" t="s">
        <v>962</v>
      </c>
      <c r="D12745" t="s">
        <v>999</v>
      </c>
      <c r="E12745" t="s">
        <v>306</v>
      </c>
      <c r="F12745" t="s">
        <v>961</v>
      </c>
      <c r="G12745">
        <v>6000000</v>
      </c>
      <c r="H12745">
        <v>143000</v>
      </c>
      <c r="I12745" t="s">
        <v>983</v>
      </c>
    </row>
    <row r="12746" spans="1:9" x14ac:dyDescent="0.25">
      <c r="A12746">
        <v>3130</v>
      </c>
      <c r="B12746">
        <v>60</v>
      </c>
      <c r="C12746" t="s">
        <v>963</v>
      </c>
      <c r="D12746" t="s">
        <v>999</v>
      </c>
      <c r="E12746" t="s">
        <v>306</v>
      </c>
      <c r="F12746" t="s">
        <v>951</v>
      </c>
      <c r="G12746">
        <v>6000000</v>
      </c>
      <c r="H12746">
        <v>143000</v>
      </c>
      <c r="I12746" t="s">
        <v>983</v>
      </c>
    </row>
    <row r="12747" spans="1:9" x14ac:dyDescent="0.25">
      <c r="A12747">
        <v>3130</v>
      </c>
      <c r="B12747">
        <v>60</v>
      </c>
      <c r="C12747" t="s">
        <v>963</v>
      </c>
      <c r="D12747" t="s">
        <v>999</v>
      </c>
      <c r="E12747" t="s">
        <v>306</v>
      </c>
      <c r="F12747" t="s">
        <v>952</v>
      </c>
      <c r="G12747">
        <v>6000000</v>
      </c>
      <c r="H12747">
        <v>143000</v>
      </c>
      <c r="I12747" t="s">
        <v>983</v>
      </c>
    </row>
    <row r="12748" spans="1:9" x14ac:dyDescent="0.25">
      <c r="A12748">
        <v>3130</v>
      </c>
      <c r="B12748">
        <v>60</v>
      </c>
      <c r="C12748" t="s">
        <v>963</v>
      </c>
      <c r="D12748" t="s">
        <v>999</v>
      </c>
      <c r="E12748" t="s">
        <v>306</v>
      </c>
      <c r="F12748" t="s">
        <v>953</v>
      </c>
      <c r="G12748">
        <v>6000000</v>
      </c>
      <c r="H12748">
        <v>143000</v>
      </c>
      <c r="I12748" t="s">
        <v>983</v>
      </c>
    </row>
    <row r="12749" spans="1:9" x14ac:dyDescent="0.25">
      <c r="A12749">
        <v>3130</v>
      </c>
      <c r="B12749">
        <v>60</v>
      </c>
      <c r="C12749" t="s">
        <v>963</v>
      </c>
      <c r="D12749" t="s">
        <v>999</v>
      </c>
      <c r="E12749" t="s">
        <v>306</v>
      </c>
      <c r="F12749" t="s">
        <v>954</v>
      </c>
      <c r="G12749">
        <v>6000000</v>
      </c>
      <c r="H12749">
        <v>143000</v>
      </c>
      <c r="I12749" t="s">
        <v>983</v>
      </c>
    </row>
    <row r="12750" spans="1:9" x14ac:dyDescent="0.25">
      <c r="A12750">
        <v>3130</v>
      </c>
      <c r="B12750">
        <v>60</v>
      </c>
      <c r="C12750" t="s">
        <v>963</v>
      </c>
      <c r="D12750" t="s">
        <v>999</v>
      </c>
      <c r="E12750" t="s">
        <v>306</v>
      </c>
      <c r="F12750" t="s">
        <v>955</v>
      </c>
      <c r="G12750">
        <v>6000000</v>
      </c>
      <c r="H12750">
        <v>143000</v>
      </c>
      <c r="I12750" t="s">
        <v>983</v>
      </c>
    </row>
    <row r="12751" spans="1:9" x14ac:dyDescent="0.25">
      <c r="A12751">
        <v>3130</v>
      </c>
      <c r="B12751">
        <v>60</v>
      </c>
      <c r="C12751" t="s">
        <v>963</v>
      </c>
      <c r="D12751" t="s">
        <v>999</v>
      </c>
      <c r="E12751" t="s">
        <v>306</v>
      </c>
      <c r="F12751" t="s">
        <v>956</v>
      </c>
      <c r="G12751">
        <v>6000000</v>
      </c>
      <c r="H12751">
        <v>143000</v>
      </c>
      <c r="I12751" t="s">
        <v>983</v>
      </c>
    </row>
    <row r="12752" spans="1:9" x14ac:dyDescent="0.25">
      <c r="A12752">
        <v>3130</v>
      </c>
      <c r="B12752">
        <v>60</v>
      </c>
      <c r="C12752" t="s">
        <v>963</v>
      </c>
      <c r="D12752" t="s">
        <v>999</v>
      </c>
      <c r="E12752" t="s">
        <v>306</v>
      </c>
      <c r="F12752" t="s">
        <v>957</v>
      </c>
      <c r="G12752">
        <v>6000000</v>
      </c>
      <c r="H12752">
        <v>143000</v>
      </c>
      <c r="I12752" t="s">
        <v>983</v>
      </c>
    </row>
    <row r="12753" spans="1:9" x14ac:dyDescent="0.25">
      <c r="A12753">
        <v>3130</v>
      </c>
      <c r="B12753">
        <v>60</v>
      </c>
      <c r="C12753" t="s">
        <v>963</v>
      </c>
      <c r="D12753" t="s">
        <v>999</v>
      </c>
      <c r="E12753" t="s">
        <v>306</v>
      </c>
      <c r="F12753" t="s">
        <v>958</v>
      </c>
      <c r="G12753">
        <v>6000000</v>
      </c>
      <c r="H12753">
        <v>143000</v>
      </c>
      <c r="I12753" t="s">
        <v>983</v>
      </c>
    </row>
    <row r="12754" spans="1:9" x14ac:dyDescent="0.25">
      <c r="A12754">
        <v>3130</v>
      </c>
      <c r="B12754">
        <v>60</v>
      </c>
      <c r="C12754" t="s">
        <v>963</v>
      </c>
      <c r="D12754" t="s">
        <v>999</v>
      </c>
      <c r="E12754" t="s">
        <v>306</v>
      </c>
      <c r="F12754" t="s">
        <v>959</v>
      </c>
      <c r="G12754">
        <v>6000000</v>
      </c>
      <c r="H12754">
        <v>143000</v>
      </c>
      <c r="I12754" t="s">
        <v>983</v>
      </c>
    </row>
    <row r="12755" spans="1:9" x14ac:dyDescent="0.25">
      <c r="A12755">
        <v>3130</v>
      </c>
      <c r="B12755">
        <v>60</v>
      </c>
      <c r="C12755" t="s">
        <v>963</v>
      </c>
      <c r="D12755" t="s">
        <v>999</v>
      </c>
      <c r="E12755" t="s">
        <v>306</v>
      </c>
      <c r="F12755" t="s">
        <v>960</v>
      </c>
      <c r="G12755">
        <v>6000000</v>
      </c>
      <c r="H12755">
        <v>143000</v>
      </c>
      <c r="I12755" t="s">
        <v>983</v>
      </c>
    </row>
    <row r="12756" spans="1:9" x14ac:dyDescent="0.25">
      <c r="A12756">
        <v>3130</v>
      </c>
      <c r="B12756">
        <v>60</v>
      </c>
      <c r="C12756" t="s">
        <v>963</v>
      </c>
      <c r="D12756" t="s">
        <v>999</v>
      </c>
      <c r="E12756" t="s">
        <v>306</v>
      </c>
      <c r="F12756" t="s">
        <v>961</v>
      </c>
      <c r="G12756">
        <v>6000000</v>
      </c>
      <c r="H12756">
        <v>143000</v>
      </c>
      <c r="I12756" t="s">
        <v>983</v>
      </c>
    </row>
    <row r="12757" spans="1:9" x14ac:dyDescent="0.25">
      <c r="A12757">
        <v>3130</v>
      </c>
      <c r="B12757">
        <v>60</v>
      </c>
      <c r="C12757" t="s">
        <v>950</v>
      </c>
      <c r="D12757" t="s">
        <v>999</v>
      </c>
      <c r="E12757" t="s">
        <v>108</v>
      </c>
      <c r="F12757" t="s">
        <v>951</v>
      </c>
      <c r="G12757">
        <v>6077777</v>
      </c>
      <c r="H12757">
        <v>500220</v>
      </c>
      <c r="I12757" t="s">
        <v>949</v>
      </c>
    </row>
    <row r="12758" spans="1:9" x14ac:dyDescent="0.25">
      <c r="A12758">
        <v>3130</v>
      </c>
      <c r="B12758">
        <v>60</v>
      </c>
      <c r="C12758" t="s">
        <v>950</v>
      </c>
      <c r="D12758" t="s">
        <v>999</v>
      </c>
      <c r="E12758" t="s">
        <v>108</v>
      </c>
      <c r="F12758" t="s">
        <v>952</v>
      </c>
      <c r="G12758">
        <v>6077777</v>
      </c>
      <c r="H12758">
        <v>500220</v>
      </c>
      <c r="I12758" t="s">
        <v>949</v>
      </c>
    </row>
    <row r="12759" spans="1:9" x14ac:dyDescent="0.25">
      <c r="A12759">
        <v>3130</v>
      </c>
      <c r="B12759">
        <v>60</v>
      </c>
      <c r="C12759" t="s">
        <v>962</v>
      </c>
      <c r="D12759" t="s">
        <v>999</v>
      </c>
      <c r="E12759" t="s">
        <v>108</v>
      </c>
      <c r="F12759" t="s">
        <v>951</v>
      </c>
      <c r="G12759">
        <v>6077777</v>
      </c>
      <c r="H12759">
        <v>500220</v>
      </c>
      <c r="I12759" t="s">
        <v>949</v>
      </c>
    </row>
    <row r="12760" spans="1:9" x14ac:dyDescent="0.25">
      <c r="A12760">
        <v>3130</v>
      </c>
      <c r="B12760">
        <v>60</v>
      </c>
      <c r="C12760" t="s">
        <v>962</v>
      </c>
      <c r="D12760" t="s">
        <v>999</v>
      </c>
      <c r="E12760" t="s">
        <v>108</v>
      </c>
      <c r="F12760" t="s">
        <v>952</v>
      </c>
      <c r="G12760">
        <v>6077777</v>
      </c>
      <c r="H12760">
        <v>500220</v>
      </c>
      <c r="I12760" t="s">
        <v>949</v>
      </c>
    </row>
    <row r="12761" spans="1:9" x14ac:dyDescent="0.25">
      <c r="A12761">
        <v>3130</v>
      </c>
      <c r="B12761">
        <v>60</v>
      </c>
      <c r="C12761" t="s">
        <v>963</v>
      </c>
      <c r="D12761" t="s">
        <v>999</v>
      </c>
      <c r="E12761" t="s">
        <v>108</v>
      </c>
      <c r="F12761" t="s">
        <v>951</v>
      </c>
      <c r="G12761">
        <v>6077777</v>
      </c>
      <c r="H12761">
        <v>500220</v>
      </c>
      <c r="I12761" t="s">
        <v>949</v>
      </c>
    </row>
    <row r="12762" spans="1:9" x14ac:dyDescent="0.25">
      <c r="A12762">
        <v>3130</v>
      </c>
      <c r="B12762">
        <v>60</v>
      </c>
      <c r="C12762" t="s">
        <v>963</v>
      </c>
      <c r="D12762" t="s">
        <v>999</v>
      </c>
      <c r="E12762" t="s">
        <v>108</v>
      </c>
      <c r="F12762" t="s">
        <v>952</v>
      </c>
      <c r="G12762">
        <v>6077777</v>
      </c>
      <c r="H12762">
        <v>500220</v>
      </c>
      <c r="I12762" t="s">
        <v>949</v>
      </c>
    </row>
    <row r="12763" ht="22" customHeight="1" spans="1:10" x14ac:dyDescent="0.25">
      <c r="A12763" s="43">
        <v>3130</v>
      </c>
      <c r="B12763" s="43">
        <v>60</v>
      </c>
      <c r="C12763" s="43" t="s">
        <v>950</v>
      </c>
      <c r="D12763" s="43" t="s">
        <v>999</v>
      </c>
      <c r="E12763" s="43" t="s">
        <v>310</v>
      </c>
      <c r="F12763" s="43" t="s">
        <v>951</v>
      </c>
      <c r="G12763" s="43">
        <v>6000000</v>
      </c>
      <c r="H12763" s="43">
        <v>145000</v>
      </c>
      <c r="I12763" s="43" t="s">
        <v>949</v>
      </c>
      <c r="J12763" s="44" t="s">
        <v>1000</v>
      </c>
    </row>
    <row r="12764" ht="22" customHeight="1" spans="1:10" x14ac:dyDescent="0.25">
      <c r="A12764" s="43">
        <v>3130</v>
      </c>
      <c r="B12764" s="43">
        <v>60</v>
      </c>
      <c r="C12764" s="43" t="s">
        <v>950</v>
      </c>
      <c r="D12764" s="43" t="s">
        <v>999</v>
      </c>
      <c r="E12764" s="43" t="s">
        <v>310</v>
      </c>
      <c r="F12764" s="43" t="s">
        <v>952</v>
      </c>
      <c r="G12764" s="43">
        <v>6000000</v>
      </c>
      <c r="H12764" s="43">
        <v>145000</v>
      </c>
      <c r="I12764" s="43" t="s">
        <v>949</v>
      </c>
      <c r="J12764" s="44" t="s">
        <v>1000</v>
      </c>
    </row>
    <row r="12765" ht="22" customHeight="1" spans="1:10" x14ac:dyDescent="0.25">
      <c r="A12765" s="43">
        <v>3130</v>
      </c>
      <c r="B12765" s="43">
        <v>60</v>
      </c>
      <c r="C12765" s="43" t="s">
        <v>950</v>
      </c>
      <c r="D12765" s="43" t="s">
        <v>999</v>
      </c>
      <c r="E12765" s="43" t="s">
        <v>310</v>
      </c>
      <c r="F12765" s="43" t="s">
        <v>953</v>
      </c>
      <c r="G12765" s="43">
        <v>6000000</v>
      </c>
      <c r="H12765" s="43">
        <v>145000</v>
      </c>
      <c r="I12765" s="43" t="s">
        <v>949</v>
      </c>
      <c r="J12765" s="44" t="s">
        <v>1000</v>
      </c>
    </row>
    <row r="12766" ht="22" customHeight="1" spans="1:10" x14ac:dyDescent="0.25">
      <c r="A12766" s="43">
        <v>3130</v>
      </c>
      <c r="B12766" s="43">
        <v>60</v>
      </c>
      <c r="C12766" s="43" t="s">
        <v>950</v>
      </c>
      <c r="D12766" s="43" t="s">
        <v>999</v>
      </c>
      <c r="E12766" s="43" t="s">
        <v>310</v>
      </c>
      <c r="F12766" s="43" t="s">
        <v>954</v>
      </c>
      <c r="G12766" s="43">
        <v>6000000</v>
      </c>
      <c r="H12766" s="43">
        <v>145000</v>
      </c>
      <c r="I12766" s="43" t="s">
        <v>949</v>
      </c>
      <c r="J12766" s="44" t="s">
        <v>1000</v>
      </c>
    </row>
    <row r="12767" ht="22" customHeight="1" spans="1:10" x14ac:dyDescent="0.25">
      <c r="A12767" s="43">
        <v>3130</v>
      </c>
      <c r="B12767" s="43">
        <v>60</v>
      </c>
      <c r="C12767" s="43" t="s">
        <v>950</v>
      </c>
      <c r="D12767" s="43" t="s">
        <v>999</v>
      </c>
      <c r="E12767" s="43" t="s">
        <v>310</v>
      </c>
      <c r="F12767" s="43" t="s">
        <v>955</v>
      </c>
      <c r="G12767" s="43">
        <v>6000000</v>
      </c>
      <c r="H12767" s="43">
        <v>145000</v>
      </c>
      <c r="I12767" s="43" t="s">
        <v>949</v>
      </c>
      <c r="J12767" s="44" t="s">
        <v>1000</v>
      </c>
    </row>
    <row r="12768" ht="22" customHeight="1" spans="1:10" x14ac:dyDescent="0.25">
      <c r="A12768" s="43">
        <v>3130</v>
      </c>
      <c r="B12768" s="43">
        <v>60</v>
      </c>
      <c r="C12768" s="43" t="s">
        <v>950</v>
      </c>
      <c r="D12768" s="43" t="s">
        <v>999</v>
      </c>
      <c r="E12768" s="43" t="s">
        <v>310</v>
      </c>
      <c r="F12768" s="43" t="s">
        <v>956</v>
      </c>
      <c r="G12768" s="43">
        <v>6000000</v>
      </c>
      <c r="H12768" s="43">
        <v>145000</v>
      </c>
      <c r="I12768" s="43" t="s">
        <v>949</v>
      </c>
      <c r="J12768" s="44" t="s">
        <v>1000</v>
      </c>
    </row>
    <row r="12769" ht="22" customHeight="1" spans="1:10" x14ac:dyDescent="0.25">
      <c r="A12769" s="43">
        <v>3130</v>
      </c>
      <c r="B12769" s="43">
        <v>60</v>
      </c>
      <c r="C12769" s="43" t="s">
        <v>950</v>
      </c>
      <c r="D12769" s="43" t="s">
        <v>999</v>
      </c>
      <c r="E12769" s="43" t="s">
        <v>310</v>
      </c>
      <c r="F12769" s="43" t="s">
        <v>957</v>
      </c>
      <c r="G12769" s="43">
        <v>6000000</v>
      </c>
      <c r="H12769" s="43">
        <v>145000</v>
      </c>
      <c r="I12769" s="43" t="s">
        <v>949</v>
      </c>
      <c r="J12769" s="44" t="s">
        <v>1000</v>
      </c>
    </row>
    <row r="12770" ht="22" customHeight="1" spans="1:10" x14ac:dyDescent="0.25">
      <c r="A12770" s="43">
        <v>3130</v>
      </c>
      <c r="B12770" s="43">
        <v>60</v>
      </c>
      <c r="C12770" s="43" t="s">
        <v>950</v>
      </c>
      <c r="D12770" s="43" t="s">
        <v>999</v>
      </c>
      <c r="E12770" s="43" t="s">
        <v>310</v>
      </c>
      <c r="F12770" s="43" t="s">
        <v>958</v>
      </c>
      <c r="G12770" s="43">
        <v>6000000</v>
      </c>
      <c r="H12770" s="43">
        <v>145000</v>
      </c>
      <c r="I12770" s="43" t="s">
        <v>949</v>
      </c>
      <c r="J12770" s="44" t="s">
        <v>1000</v>
      </c>
    </row>
    <row r="12771" ht="22" customHeight="1" spans="1:10" x14ac:dyDescent="0.25">
      <c r="A12771" s="43">
        <v>3130</v>
      </c>
      <c r="B12771" s="43">
        <v>60</v>
      </c>
      <c r="C12771" s="43" t="s">
        <v>950</v>
      </c>
      <c r="D12771" s="43" t="s">
        <v>999</v>
      </c>
      <c r="E12771" s="43" t="s">
        <v>310</v>
      </c>
      <c r="F12771" s="43" t="s">
        <v>959</v>
      </c>
      <c r="G12771" s="43">
        <v>6000000</v>
      </c>
      <c r="H12771" s="43">
        <v>145000</v>
      </c>
      <c r="I12771" s="43" t="s">
        <v>949</v>
      </c>
      <c r="J12771" s="44" t="s">
        <v>1000</v>
      </c>
    </row>
    <row r="12772" ht="22" customHeight="1" spans="1:10" x14ac:dyDescent="0.25">
      <c r="A12772" s="43">
        <v>3130</v>
      </c>
      <c r="B12772" s="43">
        <v>60</v>
      </c>
      <c r="C12772" s="43" t="s">
        <v>950</v>
      </c>
      <c r="D12772" s="43" t="s">
        <v>999</v>
      </c>
      <c r="E12772" s="43" t="s">
        <v>310</v>
      </c>
      <c r="F12772" s="43" t="s">
        <v>960</v>
      </c>
      <c r="G12772" s="43">
        <v>6000000</v>
      </c>
      <c r="H12772" s="43">
        <v>145000</v>
      </c>
      <c r="I12772" s="43" t="s">
        <v>949</v>
      </c>
      <c r="J12772" s="44" t="s">
        <v>1000</v>
      </c>
    </row>
    <row r="12773" ht="22" customHeight="1" spans="1:10" x14ac:dyDescent="0.25">
      <c r="A12773" s="43">
        <v>3130</v>
      </c>
      <c r="B12773" s="43">
        <v>60</v>
      </c>
      <c r="C12773" s="43" t="s">
        <v>950</v>
      </c>
      <c r="D12773" s="43" t="s">
        <v>999</v>
      </c>
      <c r="E12773" s="43" t="s">
        <v>310</v>
      </c>
      <c r="F12773" s="43" t="s">
        <v>961</v>
      </c>
      <c r="G12773" s="43">
        <v>6000000</v>
      </c>
      <c r="H12773" s="43">
        <v>145000</v>
      </c>
      <c r="I12773" s="43" t="s">
        <v>949</v>
      </c>
      <c r="J12773" s="44" t="s">
        <v>1000</v>
      </c>
    </row>
    <row r="12774" ht="22" customHeight="1" spans="1:10" x14ac:dyDescent="0.25">
      <c r="A12774" s="43">
        <v>3130</v>
      </c>
      <c r="B12774" s="43">
        <v>60</v>
      </c>
      <c r="C12774" s="43" t="s">
        <v>962</v>
      </c>
      <c r="D12774" s="43" t="s">
        <v>999</v>
      </c>
      <c r="E12774" s="43" t="s">
        <v>310</v>
      </c>
      <c r="F12774" s="43" t="s">
        <v>951</v>
      </c>
      <c r="G12774" s="43">
        <v>6000000</v>
      </c>
      <c r="H12774" s="43">
        <v>145000</v>
      </c>
      <c r="I12774" s="43" t="s">
        <v>949</v>
      </c>
      <c r="J12774" s="44" t="s">
        <v>1000</v>
      </c>
    </row>
    <row r="12775" ht="22" customHeight="1" spans="1:10" x14ac:dyDescent="0.25">
      <c r="A12775" s="43">
        <v>3130</v>
      </c>
      <c r="B12775" s="43">
        <v>60</v>
      </c>
      <c r="C12775" s="43" t="s">
        <v>962</v>
      </c>
      <c r="D12775" s="43" t="s">
        <v>999</v>
      </c>
      <c r="E12775" s="43" t="s">
        <v>310</v>
      </c>
      <c r="F12775" s="43" t="s">
        <v>952</v>
      </c>
      <c r="G12775" s="43">
        <v>6000000</v>
      </c>
      <c r="H12775" s="43">
        <v>145000</v>
      </c>
      <c r="I12775" s="43" t="s">
        <v>949</v>
      </c>
      <c r="J12775" s="44" t="s">
        <v>1000</v>
      </c>
    </row>
    <row r="12776" ht="22" customHeight="1" spans="1:10" x14ac:dyDescent="0.25">
      <c r="A12776" s="43">
        <v>3130</v>
      </c>
      <c r="B12776" s="43">
        <v>60</v>
      </c>
      <c r="C12776" s="43" t="s">
        <v>962</v>
      </c>
      <c r="D12776" s="43" t="s">
        <v>999</v>
      </c>
      <c r="E12776" s="43" t="s">
        <v>310</v>
      </c>
      <c r="F12776" s="43" t="s">
        <v>953</v>
      </c>
      <c r="G12776" s="43">
        <v>6000000</v>
      </c>
      <c r="H12776" s="43">
        <v>145000</v>
      </c>
      <c r="I12776" s="43" t="s">
        <v>949</v>
      </c>
      <c r="J12776" s="44" t="s">
        <v>1000</v>
      </c>
    </row>
    <row r="12777" ht="22" customHeight="1" spans="1:10" x14ac:dyDescent="0.25">
      <c r="A12777" s="43">
        <v>3130</v>
      </c>
      <c r="B12777" s="43">
        <v>60</v>
      </c>
      <c r="C12777" s="43" t="s">
        <v>962</v>
      </c>
      <c r="D12777" s="43" t="s">
        <v>999</v>
      </c>
      <c r="E12777" s="43" t="s">
        <v>310</v>
      </c>
      <c r="F12777" s="43" t="s">
        <v>954</v>
      </c>
      <c r="G12777" s="43">
        <v>6000000</v>
      </c>
      <c r="H12777" s="43">
        <v>145000</v>
      </c>
      <c r="I12777" s="43" t="s">
        <v>949</v>
      </c>
      <c r="J12777" s="44" t="s">
        <v>1000</v>
      </c>
    </row>
    <row r="12778" ht="22" customHeight="1" spans="1:10" x14ac:dyDescent="0.25">
      <c r="A12778" s="43">
        <v>3130</v>
      </c>
      <c r="B12778" s="43">
        <v>60</v>
      </c>
      <c r="C12778" s="43" t="s">
        <v>962</v>
      </c>
      <c r="D12778" s="43" t="s">
        <v>999</v>
      </c>
      <c r="E12778" s="43" t="s">
        <v>310</v>
      </c>
      <c r="F12778" s="43" t="s">
        <v>955</v>
      </c>
      <c r="G12778" s="43">
        <v>6000000</v>
      </c>
      <c r="H12778" s="43">
        <v>145000</v>
      </c>
      <c r="I12778" s="43" t="s">
        <v>949</v>
      </c>
      <c r="J12778" s="44" t="s">
        <v>1000</v>
      </c>
    </row>
    <row r="12779" ht="22" customHeight="1" spans="1:10" x14ac:dyDescent="0.25">
      <c r="A12779" s="43">
        <v>3130</v>
      </c>
      <c r="B12779" s="43">
        <v>60</v>
      </c>
      <c r="C12779" s="43" t="s">
        <v>962</v>
      </c>
      <c r="D12779" s="43" t="s">
        <v>999</v>
      </c>
      <c r="E12779" s="43" t="s">
        <v>310</v>
      </c>
      <c r="F12779" s="43" t="s">
        <v>956</v>
      </c>
      <c r="G12779" s="43">
        <v>6000000</v>
      </c>
      <c r="H12779" s="43">
        <v>145000</v>
      </c>
      <c r="I12779" s="43" t="s">
        <v>949</v>
      </c>
      <c r="J12779" s="44" t="s">
        <v>1000</v>
      </c>
    </row>
    <row r="12780" ht="22" customHeight="1" spans="1:10" x14ac:dyDescent="0.25">
      <c r="A12780" s="43">
        <v>3130</v>
      </c>
      <c r="B12780" s="43">
        <v>60</v>
      </c>
      <c r="C12780" s="43" t="s">
        <v>962</v>
      </c>
      <c r="D12780" s="43" t="s">
        <v>999</v>
      </c>
      <c r="E12780" s="43" t="s">
        <v>310</v>
      </c>
      <c r="F12780" s="43" t="s">
        <v>957</v>
      </c>
      <c r="G12780" s="43">
        <v>6000000</v>
      </c>
      <c r="H12780" s="43">
        <v>145000</v>
      </c>
      <c r="I12780" s="43" t="s">
        <v>949</v>
      </c>
      <c r="J12780" s="44" t="s">
        <v>1000</v>
      </c>
    </row>
    <row r="12781" ht="22" customHeight="1" spans="1:10" x14ac:dyDescent="0.25">
      <c r="A12781" s="43">
        <v>3130</v>
      </c>
      <c r="B12781" s="43">
        <v>60</v>
      </c>
      <c r="C12781" s="43" t="s">
        <v>962</v>
      </c>
      <c r="D12781" s="43" t="s">
        <v>999</v>
      </c>
      <c r="E12781" s="43" t="s">
        <v>310</v>
      </c>
      <c r="F12781" s="43" t="s">
        <v>958</v>
      </c>
      <c r="G12781" s="43">
        <v>6000000</v>
      </c>
      <c r="H12781" s="43">
        <v>145000</v>
      </c>
      <c r="I12781" s="43" t="s">
        <v>949</v>
      </c>
      <c r="J12781" s="44" t="s">
        <v>1000</v>
      </c>
    </row>
    <row r="12782" ht="22" customHeight="1" spans="1:10" x14ac:dyDescent="0.25">
      <c r="A12782" s="43">
        <v>3130</v>
      </c>
      <c r="B12782" s="43">
        <v>60</v>
      </c>
      <c r="C12782" s="43" t="s">
        <v>962</v>
      </c>
      <c r="D12782" s="43" t="s">
        <v>999</v>
      </c>
      <c r="E12782" s="43" t="s">
        <v>310</v>
      </c>
      <c r="F12782" s="43" t="s">
        <v>959</v>
      </c>
      <c r="G12782" s="43">
        <v>6000000</v>
      </c>
      <c r="H12782" s="43">
        <v>145000</v>
      </c>
      <c r="I12782" s="43" t="s">
        <v>949</v>
      </c>
      <c r="J12782" s="44" t="s">
        <v>1000</v>
      </c>
    </row>
    <row r="12783" ht="22" customHeight="1" spans="1:10" x14ac:dyDescent="0.25">
      <c r="A12783" s="43">
        <v>3130</v>
      </c>
      <c r="B12783" s="43">
        <v>60</v>
      </c>
      <c r="C12783" s="43" t="s">
        <v>962</v>
      </c>
      <c r="D12783" s="43" t="s">
        <v>999</v>
      </c>
      <c r="E12783" s="43" t="s">
        <v>310</v>
      </c>
      <c r="F12783" s="43" t="s">
        <v>960</v>
      </c>
      <c r="G12783" s="43">
        <v>6000000</v>
      </c>
      <c r="H12783" s="43">
        <v>145000</v>
      </c>
      <c r="I12783" s="43" t="s">
        <v>949</v>
      </c>
      <c r="J12783" s="44" t="s">
        <v>1000</v>
      </c>
    </row>
    <row r="12784" ht="22" customHeight="1" spans="1:10" x14ac:dyDescent="0.25">
      <c r="A12784" s="43">
        <v>3130</v>
      </c>
      <c r="B12784" s="43">
        <v>60</v>
      </c>
      <c r="C12784" s="43" t="s">
        <v>962</v>
      </c>
      <c r="D12784" s="43" t="s">
        <v>999</v>
      </c>
      <c r="E12784" s="43" t="s">
        <v>310</v>
      </c>
      <c r="F12784" s="43" t="s">
        <v>961</v>
      </c>
      <c r="G12784" s="43">
        <v>6000000</v>
      </c>
      <c r="H12784" s="43">
        <v>145000</v>
      </c>
      <c r="I12784" s="43" t="s">
        <v>949</v>
      </c>
      <c r="J12784" s="44" t="s">
        <v>1000</v>
      </c>
    </row>
    <row r="12785" ht="22" customHeight="1" spans="1:10" x14ac:dyDescent="0.25">
      <c r="A12785" s="43">
        <v>3130</v>
      </c>
      <c r="B12785" s="43">
        <v>60</v>
      </c>
      <c r="C12785" s="43" t="s">
        <v>963</v>
      </c>
      <c r="D12785" s="43" t="s">
        <v>999</v>
      </c>
      <c r="E12785" s="43" t="s">
        <v>310</v>
      </c>
      <c r="F12785" s="43" t="s">
        <v>951</v>
      </c>
      <c r="G12785" s="43">
        <v>6000000</v>
      </c>
      <c r="H12785" s="43">
        <v>145000</v>
      </c>
      <c r="I12785" s="43" t="s">
        <v>949</v>
      </c>
      <c r="J12785" s="44" t="s">
        <v>1000</v>
      </c>
    </row>
    <row r="12786" ht="22" customHeight="1" spans="1:10" x14ac:dyDescent="0.25">
      <c r="A12786" s="43">
        <v>3130</v>
      </c>
      <c r="B12786" s="43">
        <v>60</v>
      </c>
      <c r="C12786" s="43" t="s">
        <v>963</v>
      </c>
      <c r="D12786" s="43" t="s">
        <v>999</v>
      </c>
      <c r="E12786" s="43" t="s">
        <v>310</v>
      </c>
      <c r="F12786" s="43" t="s">
        <v>952</v>
      </c>
      <c r="G12786" s="43">
        <v>6000000</v>
      </c>
      <c r="H12786" s="43">
        <v>145000</v>
      </c>
      <c r="I12786" s="43" t="s">
        <v>949</v>
      </c>
      <c r="J12786" s="44" t="s">
        <v>1000</v>
      </c>
    </row>
    <row r="12787" ht="22" customHeight="1" spans="1:10" x14ac:dyDescent="0.25">
      <c r="A12787" s="43">
        <v>3130</v>
      </c>
      <c r="B12787" s="43">
        <v>60</v>
      </c>
      <c r="C12787" s="43" t="s">
        <v>963</v>
      </c>
      <c r="D12787" s="43" t="s">
        <v>999</v>
      </c>
      <c r="E12787" s="43" t="s">
        <v>310</v>
      </c>
      <c r="F12787" s="43" t="s">
        <v>953</v>
      </c>
      <c r="G12787" s="43">
        <v>6000000</v>
      </c>
      <c r="H12787" s="43">
        <v>145000</v>
      </c>
      <c r="I12787" s="43" t="s">
        <v>949</v>
      </c>
      <c r="J12787" s="44" t="s">
        <v>1000</v>
      </c>
    </row>
    <row r="12788" ht="22" customHeight="1" spans="1:10" x14ac:dyDescent="0.25">
      <c r="A12788" s="43">
        <v>3130</v>
      </c>
      <c r="B12788" s="43">
        <v>60</v>
      </c>
      <c r="C12788" s="43" t="s">
        <v>963</v>
      </c>
      <c r="D12788" s="43" t="s">
        <v>999</v>
      </c>
      <c r="E12788" s="43" t="s">
        <v>310</v>
      </c>
      <c r="F12788" s="43" t="s">
        <v>954</v>
      </c>
      <c r="G12788" s="43">
        <v>6000000</v>
      </c>
      <c r="H12788" s="43">
        <v>145000</v>
      </c>
      <c r="I12788" s="43" t="s">
        <v>949</v>
      </c>
      <c r="J12788" s="44" t="s">
        <v>1000</v>
      </c>
    </row>
    <row r="12789" ht="22" customHeight="1" spans="1:10" x14ac:dyDescent="0.25">
      <c r="A12789" s="43">
        <v>3130</v>
      </c>
      <c r="B12789" s="43">
        <v>60</v>
      </c>
      <c r="C12789" s="43" t="s">
        <v>963</v>
      </c>
      <c r="D12789" s="43" t="s">
        <v>999</v>
      </c>
      <c r="E12789" s="43" t="s">
        <v>310</v>
      </c>
      <c r="F12789" s="43" t="s">
        <v>955</v>
      </c>
      <c r="G12789" s="43">
        <v>6000000</v>
      </c>
      <c r="H12789" s="43">
        <v>145000</v>
      </c>
      <c r="I12789" s="43" t="s">
        <v>949</v>
      </c>
      <c r="J12789" s="44" t="s">
        <v>1000</v>
      </c>
    </row>
    <row r="12790" ht="22" customHeight="1" spans="1:10" x14ac:dyDescent="0.25">
      <c r="A12790" s="43">
        <v>3130</v>
      </c>
      <c r="B12790" s="43">
        <v>60</v>
      </c>
      <c r="C12790" s="43" t="s">
        <v>963</v>
      </c>
      <c r="D12790" s="43" t="s">
        <v>999</v>
      </c>
      <c r="E12790" s="43" t="s">
        <v>310</v>
      </c>
      <c r="F12790" s="43" t="s">
        <v>956</v>
      </c>
      <c r="G12790" s="43">
        <v>6000000</v>
      </c>
      <c r="H12790" s="43">
        <v>145000</v>
      </c>
      <c r="I12790" s="43" t="s">
        <v>949</v>
      </c>
      <c r="J12790" s="44" t="s">
        <v>1000</v>
      </c>
    </row>
    <row r="12791" ht="22" customHeight="1" spans="1:10" x14ac:dyDescent="0.25">
      <c r="A12791" s="43">
        <v>3130</v>
      </c>
      <c r="B12791" s="43">
        <v>60</v>
      </c>
      <c r="C12791" s="43" t="s">
        <v>963</v>
      </c>
      <c r="D12791" s="43" t="s">
        <v>999</v>
      </c>
      <c r="E12791" s="43" t="s">
        <v>310</v>
      </c>
      <c r="F12791" s="43" t="s">
        <v>957</v>
      </c>
      <c r="G12791" s="43">
        <v>6000000</v>
      </c>
      <c r="H12791" s="43">
        <v>145000</v>
      </c>
      <c r="I12791" s="43" t="s">
        <v>949</v>
      </c>
      <c r="J12791" s="44" t="s">
        <v>1000</v>
      </c>
    </row>
    <row r="12792" ht="22" customHeight="1" spans="1:10" x14ac:dyDescent="0.25">
      <c r="A12792" s="43">
        <v>3130</v>
      </c>
      <c r="B12792" s="43">
        <v>60</v>
      </c>
      <c r="C12792" s="43" t="s">
        <v>963</v>
      </c>
      <c r="D12792" s="43" t="s">
        <v>999</v>
      </c>
      <c r="E12792" s="43" t="s">
        <v>310</v>
      </c>
      <c r="F12792" s="43" t="s">
        <v>958</v>
      </c>
      <c r="G12792" s="43">
        <v>6000000</v>
      </c>
      <c r="H12792" s="43">
        <v>145000</v>
      </c>
      <c r="I12792" s="43" t="s">
        <v>949</v>
      </c>
      <c r="J12792" s="44" t="s">
        <v>1000</v>
      </c>
    </row>
    <row r="12793" ht="22" customHeight="1" spans="1:10" x14ac:dyDescent="0.25">
      <c r="A12793" s="43">
        <v>3130</v>
      </c>
      <c r="B12793" s="43">
        <v>60</v>
      </c>
      <c r="C12793" s="43" t="s">
        <v>963</v>
      </c>
      <c r="D12793" s="43" t="s">
        <v>999</v>
      </c>
      <c r="E12793" s="43" t="s">
        <v>310</v>
      </c>
      <c r="F12793" s="43" t="s">
        <v>959</v>
      </c>
      <c r="G12793" s="43">
        <v>6000000</v>
      </c>
      <c r="H12793" s="43">
        <v>145000</v>
      </c>
      <c r="I12793" s="43" t="s">
        <v>949</v>
      </c>
      <c r="J12793" s="44" t="s">
        <v>1000</v>
      </c>
    </row>
    <row r="12794" ht="22" customHeight="1" spans="1:10" x14ac:dyDescent="0.25">
      <c r="A12794" s="43">
        <v>3130</v>
      </c>
      <c r="B12794" s="43">
        <v>60</v>
      </c>
      <c r="C12794" s="43" t="s">
        <v>963</v>
      </c>
      <c r="D12794" s="43" t="s">
        <v>999</v>
      </c>
      <c r="E12794" s="43" t="s">
        <v>310</v>
      </c>
      <c r="F12794" s="43" t="s">
        <v>960</v>
      </c>
      <c r="G12794" s="43">
        <v>6000000</v>
      </c>
      <c r="H12794" s="43">
        <v>145000</v>
      </c>
      <c r="I12794" s="43" t="s">
        <v>949</v>
      </c>
      <c r="J12794" s="44" t="s">
        <v>1000</v>
      </c>
    </row>
    <row r="12795" ht="22" customHeight="1" spans="1:10" x14ac:dyDescent="0.25">
      <c r="A12795" s="43">
        <v>3130</v>
      </c>
      <c r="B12795" s="43">
        <v>60</v>
      </c>
      <c r="C12795" s="43" t="s">
        <v>963</v>
      </c>
      <c r="D12795" s="43" t="s">
        <v>999</v>
      </c>
      <c r="E12795" s="43" t="s">
        <v>310</v>
      </c>
      <c r="F12795" s="43" t="s">
        <v>961</v>
      </c>
      <c r="G12795" s="43">
        <v>6000000</v>
      </c>
      <c r="H12795" s="43">
        <v>145000</v>
      </c>
      <c r="I12795" s="43" t="s">
        <v>949</v>
      </c>
      <c r="J12795" s="44" t="s">
        <v>1000</v>
      </c>
    </row>
    <row r="12796" ht="22" customHeight="1" spans="1:10" x14ac:dyDescent="0.25">
      <c r="A12796" s="43">
        <v>3130</v>
      </c>
      <c r="B12796" s="43">
        <v>60</v>
      </c>
      <c r="C12796" s="43" t="s">
        <v>950</v>
      </c>
      <c r="D12796" s="43" t="s">
        <v>999</v>
      </c>
      <c r="E12796" s="43" t="s">
        <v>314</v>
      </c>
      <c r="F12796" s="43" t="s">
        <v>951</v>
      </c>
      <c r="G12796" s="43">
        <v>6000000</v>
      </c>
      <c r="H12796" s="43">
        <v>145000</v>
      </c>
      <c r="I12796" s="43" t="s">
        <v>949</v>
      </c>
      <c r="J12796" s="44" t="s">
        <v>1000</v>
      </c>
    </row>
    <row r="12797" ht="22" customHeight="1" spans="1:10" x14ac:dyDescent="0.25">
      <c r="A12797" s="43">
        <v>3130</v>
      </c>
      <c r="B12797" s="43">
        <v>60</v>
      </c>
      <c r="C12797" s="43" t="s">
        <v>950</v>
      </c>
      <c r="D12797" s="43" t="s">
        <v>999</v>
      </c>
      <c r="E12797" s="43" t="s">
        <v>314</v>
      </c>
      <c r="F12797" s="43" t="s">
        <v>952</v>
      </c>
      <c r="G12797" s="43">
        <v>6000000</v>
      </c>
      <c r="H12797" s="43">
        <v>145000</v>
      </c>
      <c r="I12797" s="43" t="s">
        <v>949</v>
      </c>
      <c r="J12797" s="44" t="s">
        <v>1000</v>
      </c>
    </row>
    <row r="12798" ht="22" customHeight="1" spans="1:10" x14ac:dyDescent="0.25">
      <c r="A12798" s="43">
        <v>3130</v>
      </c>
      <c r="B12798" s="43">
        <v>60</v>
      </c>
      <c r="C12798" s="43" t="s">
        <v>950</v>
      </c>
      <c r="D12798" s="43" t="s">
        <v>999</v>
      </c>
      <c r="E12798" s="43" t="s">
        <v>314</v>
      </c>
      <c r="F12798" s="43" t="s">
        <v>953</v>
      </c>
      <c r="G12798" s="43">
        <v>6000000</v>
      </c>
      <c r="H12798" s="43">
        <v>145000</v>
      </c>
      <c r="I12798" s="43" t="s">
        <v>949</v>
      </c>
      <c r="J12798" s="44" t="s">
        <v>1000</v>
      </c>
    </row>
    <row r="12799" ht="22" customHeight="1" spans="1:10" x14ac:dyDescent="0.25">
      <c r="A12799" s="43">
        <v>3130</v>
      </c>
      <c r="B12799" s="43">
        <v>60</v>
      </c>
      <c r="C12799" s="43" t="s">
        <v>950</v>
      </c>
      <c r="D12799" s="43" t="s">
        <v>999</v>
      </c>
      <c r="E12799" s="43" t="s">
        <v>314</v>
      </c>
      <c r="F12799" s="43" t="s">
        <v>954</v>
      </c>
      <c r="G12799" s="43">
        <v>6000000</v>
      </c>
      <c r="H12799" s="43">
        <v>145000</v>
      </c>
      <c r="I12799" s="43" t="s">
        <v>949</v>
      </c>
      <c r="J12799" s="44" t="s">
        <v>1000</v>
      </c>
    </row>
    <row r="12800" ht="22" customHeight="1" spans="1:10" x14ac:dyDescent="0.25">
      <c r="A12800" s="43">
        <v>3130</v>
      </c>
      <c r="B12800" s="43">
        <v>60</v>
      </c>
      <c r="C12800" s="43" t="s">
        <v>950</v>
      </c>
      <c r="D12800" s="43" t="s">
        <v>999</v>
      </c>
      <c r="E12800" s="43" t="s">
        <v>314</v>
      </c>
      <c r="F12800" s="43" t="s">
        <v>955</v>
      </c>
      <c r="G12800" s="43">
        <v>6000000</v>
      </c>
      <c r="H12800" s="43">
        <v>145000</v>
      </c>
      <c r="I12800" s="43" t="s">
        <v>949</v>
      </c>
      <c r="J12800" s="44" t="s">
        <v>1000</v>
      </c>
    </row>
    <row r="12801" ht="22" customHeight="1" spans="1:10" x14ac:dyDescent="0.25">
      <c r="A12801" s="43">
        <v>3130</v>
      </c>
      <c r="B12801" s="43">
        <v>60</v>
      </c>
      <c r="C12801" s="43" t="s">
        <v>950</v>
      </c>
      <c r="D12801" s="43" t="s">
        <v>999</v>
      </c>
      <c r="E12801" s="43" t="s">
        <v>314</v>
      </c>
      <c r="F12801" s="43" t="s">
        <v>956</v>
      </c>
      <c r="G12801" s="43">
        <v>6000000</v>
      </c>
      <c r="H12801" s="43">
        <v>145000</v>
      </c>
      <c r="I12801" s="43" t="s">
        <v>949</v>
      </c>
      <c r="J12801" s="44" t="s">
        <v>1000</v>
      </c>
    </row>
    <row r="12802" ht="22" customHeight="1" spans="1:10" x14ac:dyDescent="0.25">
      <c r="A12802" s="43">
        <v>3130</v>
      </c>
      <c r="B12802" s="43">
        <v>60</v>
      </c>
      <c r="C12802" s="43" t="s">
        <v>950</v>
      </c>
      <c r="D12802" s="43" t="s">
        <v>999</v>
      </c>
      <c r="E12802" s="43" t="s">
        <v>314</v>
      </c>
      <c r="F12802" s="43" t="s">
        <v>957</v>
      </c>
      <c r="G12802" s="43">
        <v>6000000</v>
      </c>
      <c r="H12802" s="43">
        <v>145000</v>
      </c>
      <c r="I12802" s="43" t="s">
        <v>949</v>
      </c>
      <c r="J12802" s="44" t="s">
        <v>1000</v>
      </c>
    </row>
    <row r="12803" ht="22" customHeight="1" spans="1:10" x14ac:dyDescent="0.25">
      <c r="A12803" s="43">
        <v>3130</v>
      </c>
      <c r="B12803" s="43">
        <v>60</v>
      </c>
      <c r="C12803" s="43" t="s">
        <v>950</v>
      </c>
      <c r="D12803" s="43" t="s">
        <v>999</v>
      </c>
      <c r="E12803" s="43" t="s">
        <v>314</v>
      </c>
      <c r="F12803" s="43" t="s">
        <v>958</v>
      </c>
      <c r="G12803" s="43">
        <v>6000000</v>
      </c>
      <c r="H12803" s="43">
        <v>145000</v>
      </c>
      <c r="I12803" s="43" t="s">
        <v>949</v>
      </c>
      <c r="J12803" s="44" t="s">
        <v>1000</v>
      </c>
    </row>
    <row r="12804" ht="22" customHeight="1" spans="1:10" x14ac:dyDescent="0.25">
      <c r="A12804" s="43">
        <v>3130</v>
      </c>
      <c r="B12804" s="43">
        <v>60</v>
      </c>
      <c r="C12804" s="43" t="s">
        <v>950</v>
      </c>
      <c r="D12804" s="43" t="s">
        <v>999</v>
      </c>
      <c r="E12804" s="43" t="s">
        <v>314</v>
      </c>
      <c r="F12804" s="43" t="s">
        <v>959</v>
      </c>
      <c r="G12804" s="43">
        <v>6000000</v>
      </c>
      <c r="H12804" s="43">
        <v>145000</v>
      </c>
      <c r="I12804" s="43" t="s">
        <v>949</v>
      </c>
      <c r="J12804" s="44" t="s">
        <v>1000</v>
      </c>
    </row>
    <row r="12805" ht="22" customHeight="1" spans="1:10" x14ac:dyDescent="0.25">
      <c r="A12805" s="43">
        <v>3130</v>
      </c>
      <c r="B12805" s="43">
        <v>60</v>
      </c>
      <c r="C12805" s="43" t="s">
        <v>950</v>
      </c>
      <c r="D12805" s="43" t="s">
        <v>999</v>
      </c>
      <c r="E12805" s="43" t="s">
        <v>314</v>
      </c>
      <c r="F12805" s="43" t="s">
        <v>960</v>
      </c>
      <c r="G12805" s="43">
        <v>6000000</v>
      </c>
      <c r="H12805" s="43">
        <v>145000</v>
      </c>
      <c r="I12805" s="43" t="s">
        <v>949</v>
      </c>
      <c r="J12805" s="44" t="s">
        <v>1000</v>
      </c>
    </row>
    <row r="12806" ht="22" customHeight="1" spans="1:10" x14ac:dyDescent="0.25">
      <c r="A12806" s="43">
        <v>3130</v>
      </c>
      <c r="B12806" s="43">
        <v>60</v>
      </c>
      <c r="C12806" s="43" t="s">
        <v>950</v>
      </c>
      <c r="D12806" s="43" t="s">
        <v>999</v>
      </c>
      <c r="E12806" s="43" t="s">
        <v>314</v>
      </c>
      <c r="F12806" s="43" t="s">
        <v>961</v>
      </c>
      <c r="G12806" s="43">
        <v>6000000</v>
      </c>
      <c r="H12806" s="43">
        <v>145000</v>
      </c>
      <c r="I12806" s="43" t="s">
        <v>949</v>
      </c>
      <c r="J12806" s="44" t="s">
        <v>1000</v>
      </c>
    </row>
    <row r="12807" ht="22" customHeight="1" spans="1:10" x14ac:dyDescent="0.25">
      <c r="A12807" s="43">
        <v>3130</v>
      </c>
      <c r="B12807" s="43">
        <v>60</v>
      </c>
      <c r="C12807" s="43" t="s">
        <v>962</v>
      </c>
      <c r="D12807" s="43" t="s">
        <v>999</v>
      </c>
      <c r="E12807" s="43" t="s">
        <v>314</v>
      </c>
      <c r="F12807" s="43" t="s">
        <v>951</v>
      </c>
      <c r="G12807" s="43">
        <v>6000000</v>
      </c>
      <c r="H12807" s="43">
        <v>145000</v>
      </c>
      <c r="I12807" s="43" t="s">
        <v>949</v>
      </c>
      <c r="J12807" s="44" t="s">
        <v>1000</v>
      </c>
    </row>
    <row r="12808" ht="22" customHeight="1" spans="1:10" x14ac:dyDescent="0.25">
      <c r="A12808" s="43">
        <v>3130</v>
      </c>
      <c r="B12808" s="43">
        <v>60</v>
      </c>
      <c r="C12808" s="43" t="s">
        <v>962</v>
      </c>
      <c r="D12808" s="43" t="s">
        <v>999</v>
      </c>
      <c r="E12808" s="43" t="s">
        <v>314</v>
      </c>
      <c r="F12808" s="43" t="s">
        <v>952</v>
      </c>
      <c r="G12808" s="43">
        <v>6000000</v>
      </c>
      <c r="H12808" s="43">
        <v>145000</v>
      </c>
      <c r="I12808" s="43" t="s">
        <v>949</v>
      </c>
      <c r="J12808" s="44" t="s">
        <v>1000</v>
      </c>
    </row>
    <row r="12809" ht="22" customHeight="1" spans="1:10" x14ac:dyDescent="0.25">
      <c r="A12809" s="43">
        <v>3130</v>
      </c>
      <c r="B12809" s="43">
        <v>60</v>
      </c>
      <c r="C12809" s="43" t="s">
        <v>962</v>
      </c>
      <c r="D12809" s="43" t="s">
        <v>999</v>
      </c>
      <c r="E12809" s="43" t="s">
        <v>314</v>
      </c>
      <c r="F12809" s="43" t="s">
        <v>953</v>
      </c>
      <c r="G12809" s="43">
        <v>6000000</v>
      </c>
      <c r="H12809" s="43">
        <v>145000</v>
      </c>
      <c r="I12809" s="43" t="s">
        <v>949</v>
      </c>
      <c r="J12809" s="44" t="s">
        <v>1000</v>
      </c>
    </row>
    <row r="12810" ht="22" customHeight="1" spans="1:10" x14ac:dyDescent="0.25">
      <c r="A12810" s="43">
        <v>3130</v>
      </c>
      <c r="B12810" s="43">
        <v>60</v>
      </c>
      <c r="C12810" s="43" t="s">
        <v>962</v>
      </c>
      <c r="D12810" s="43" t="s">
        <v>999</v>
      </c>
      <c r="E12810" s="43" t="s">
        <v>314</v>
      </c>
      <c r="F12810" s="43" t="s">
        <v>954</v>
      </c>
      <c r="G12810" s="43">
        <v>6000000</v>
      </c>
      <c r="H12810" s="43">
        <v>145000</v>
      </c>
      <c r="I12810" s="43" t="s">
        <v>949</v>
      </c>
      <c r="J12810" s="44" t="s">
        <v>1000</v>
      </c>
    </row>
    <row r="12811" ht="22" customHeight="1" spans="1:10" x14ac:dyDescent="0.25">
      <c r="A12811" s="43">
        <v>3130</v>
      </c>
      <c r="B12811" s="43">
        <v>60</v>
      </c>
      <c r="C12811" s="43" t="s">
        <v>962</v>
      </c>
      <c r="D12811" s="43" t="s">
        <v>999</v>
      </c>
      <c r="E12811" s="43" t="s">
        <v>314</v>
      </c>
      <c r="F12811" s="43" t="s">
        <v>955</v>
      </c>
      <c r="G12811" s="43">
        <v>6000000</v>
      </c>
      <c r="H12811" s="43">
        <v>145000</v>
      </c>
      <c r="I12811" s="43" t="s">
        <v>949</v>
      </c>
      <c r="J12811" s="44" t="s">
        <v>1000</v>
      </c>
    </row>
    <row r="12812" ht="22" customHeight="1" spans="1:10" x14ac:dyDescent="0.25">
      <c r="A12812" s="43">
        <v>3130</v>
      </c>
      <c r="B12812" s="43">
        <v>60</v>
      </c>
      <c r="C12812" s="43" t="s">
        <v>962</v>
      </c>
      <c r="D12812" s="43" t="s">
        <v>999</v>
      </c>
      <c r="E12812" s="43" t="s">
        <v>314</v>
      </c>
      <c r="F12812" s="43" t="s">
        <v>956</v>
      </c>
      <c r="G12812" s="43">
        <v>6000000</v>
      </c>
      <c r="H12812" s="43">
        <v>145000</v>
      </c>
      <c r="I12812" s="43" t="s">
        <v>949</v>
      </c>
      <c r="J12812" s="44" t="s">
        <v>1000</v>
      </c>
    </row>
    <row r="12813" ht="22" customHeight="1" spans="1:10" x14ac:dyDescent="0.25">
      <c r="A12813" s="43">
        <v>3130</v>
      </c>
      <c r="B12813" s="43">
        <v>60</v>
      </c>
      <c r="C12813" s="43" t="s">
        <v>962</v>
      </c>
      <c r="D12813" s="43" t="s">
        <v>999</v>
      </c>
      <c r="E12813" s="43" t="s">
        <v>314</v>
      </c>
      <c r="F12813" s="43" t="s">
        <v>957</v>
      </c>
      <c r="G12813" s="43">
        <v>6000000</v>
      </c>
      <c r="H12813" s="43">
        <v>145000</v>
      </c>
      <c r="I12813" s="43" t="s">
        <v>949</v>
      </c>
      <c r="J12813" s="44" t="s">
        <v>1000</v>
      </c>
    </row>
    <row r="12814" ht="22" customHeight="1" spans="1:10" x14ac:dyDescent="0.25">
      <c r="A12814" s="43">
        <v>3130</v>
      </c>
      <c r="B12814" s="43">
        <v>60</v>
      </c>
      <c r="C12814" s="43" t="s">
        <v>962</v>
      </c>
      <c r="D12814" s="43" t="s">
        <v>999</v>
      </c>
      <c r="E12814" s="43" t="s">
        <v>314</v>
      </c>
      <c r="F12814" s="43" t="s">
        <v>958</v>
      </c>
      <c r="G12814" s="43">
        <v>6000000</v>
      </c>
      <c r="H12814" s="43">
        <v>145000</v>
      </c>
      <c r="I12814" s="43" t="s">
        <v>949</v>
      </c>
      <c r="J12814" s="44" t="s">
        <v>1000</v>
      </c>
    </row>
    <row r="12815" ht="22" customHeight="1" spans="1:10" x14ac:dyDescent="0.25">
      <c r="A12815" s="43">
        <v>3130</v>
      </c>
      <c r="B12815" s="43">
        <v>60</v>
      </c>
      <c r="C12815" s="43" t="s">
        <v>962</v>
      </c>
      <c r="D12815" s="43" t="s">
        <v>999</v>
      </c>
      <c r="E12815" s="43" t="s">
        <v>314</v>
      </c>
      <c r="F12815" s="43" t="s">
        <v>959</v>
      </c>
      <c r="G12815" s="43">
        <v>6000000</v>
      </c>
      <c r="H12815" s="43">
        <v>145000</v>
      </c>
      <c r="I12815" s="43" t="s">
        <v>949</v>
      </c>
      <c r="J12815" s="44" t="s">
        <v>1000</v>
      </c>
    </row>
    <row r="12816" ht="22" customHeight="1" spans="1:10" x14ac:dyDescent="0.25">
      <c r="A12816" s="43">
        <v>3130</v>
      </c>
      <c r="B12816" s="43">
        <v>60</v>
      </c>
      <c r="C12816" s="43" t="s">
        <v>962</v>
      </c>
      <c r="D12816" s="43" t="s">
        <v>999</v>
      </c>
      <c r="E12816" s="43" t="s">
        <v>314</v>
      </c>
      <c r="F12816" s="43" t="s">
        <v>960</v>
      </c>
      <c r="G12816" s="43">
        <v>6000000</v>
      </c>
      <c r="H12816" s="43">
        <v>145000</v>
      </c>
      <c r="I12816" s="43" t="s">
        <v>949</v>
      </c>
      <c r="J12816" s="44" t="s">
        <v>1000</v>
      </c>
    </row>
    <row r="12817" ht="22" customHeight="1" spans="1:10" x14ac:dyDescent="0.25">
      <c r="A12817" s="43">
        <v>3130</v>
      </c>
      <c r="B12817" s="43">
        <v>60</v>
      </c>
      <c r="C12817" s="43" t="s">
        <v>962</v>
      </c>
      <c r="D12817" s="43" t="s">
        <v>999</v>
      </c>
      <c r="E12817" s="43" t="s">
        <v>314</v>
      </c>
      <c r="F12817" s="43" t="s">
        <v>961</v>
      </c>
      <c r="G12817" s="43">
        <v>6000000</v>
      </c>
      <c r="H12817" s="43">
        <v>145000</v>
      </c>
      <c r="I12817" s="43" t="s">
        <v>949</v>
      </c>
      <c r="J12817" s="44" t="s">
        <v>1000</v>
      </c>
    </row>
    <row r="12818" ht="22" customHeight="1" spans="1:10" x14ac:dyDescent="0.25">
      <c r="A12818" s="43">
        <v>3130</v>
      </c>
      <c r="B12818" s="43">
        <v>60</v>
      </c>
      <c r="C12818" s="43" t="s">
        <v>963</v>
      </c>
      <c r="D12818" s="43" t="s">
        <v>999</v>
      </c>
      <c r="E12818" s="43" t="s">
        <v>314</v>
      </c>
      <c r="F12818" s="43" t="s">
        <v>951</v>
      </c>
      <c r="G12818" s="43">
        <v>6000000</v>
      </c>
      <c r="H12818" s="43">
        <v>145000</v>
      </c>
      <c r="I12818" s="43" t="s">
        <v>949</v>
      </c>
      <c r="J12818" s="44" t="s">
        <v>1000</v>
      </c>
    </row>
    <row r="12819" ht="22" customHeight="1" spans="1:10" x14ac:dyDescent="0.25">
      <c r="A12819" s="43">
        <v>3130</v>
      </c>
      <c r="B12819" s="43">
        <v>60</v>
      </c>
      <c r="C12819" s="43" t="s">
        <v>963</v>
      </c>
      <c r="D12819" s="43" t="s">
        <v>999</v>
      </c>
      <c r="E12819" s="43" t="s">
        <v>314</v>
      </c>
      <c r="F12819" s="43" t="s">
        <v>952</v>
      </c>
      <c r="G12819" s="43">
        <v>6000000</v>
      </c>
      <c r="H12819" s="43">
        <v>145000</v>
      </c>
      <c r="I12819" s="43" t="s">
        <v>949</v>
      </c>
      <c r="J12819" s="44" t="s">
        <v>1000</v>
      </c>
    </row>
    <row r="12820" ht="22" customHeight="1" spans="1:10" x14ac:dyDescent="0.25">
      <c r="A12820" s="43">
        <v>3130</v>
      </c>
      <c r="B12820" s="43">
        <v>60</v>
      </c>
      <c r="C12820" s="43" t="s">
        <v>963</v>
      </c>
      <c r="D12820" s="43" t="s">
        <v>999</v>
      </c>
      <c r="E12820" s="43" t="s">
        <v>314</v>
      </c>
      <c r="F12820" s="43" t="s">
        <v>953</v>
      </c>
      <c r="G12820" s="43">
        <v>6000000</v>
      </c>
      <c r="H12820" s="43">
        <v>145000</v>
      </c>
      <c r="I12820" s="43" t="s">
        <v>949</v>
      </c>
      <c r="J12820" s="44" t="s">
        <v>1000</v>
      </c>
    </row>
    <row r="12821" ht="22" customHeight="1" spans="1:10" x14ac:dyDescent="0.25">
      <c r="A12821" s="43">
        <v>3130</v>
      </c>
      <c r="B12821" s="43">
        <v>60</v>
      </c>
      <c r="C12821" s="43" t="s">
        <v>963</v>
      </c>
      <c r="D12821" s="43" t="s">
        <v>999</v>
      </c>
      <c r="E12821" s="43" t="s">
        <v>314</v>
      </c>
      <c r="F12821" s="43" t="s">
        <v>954</v>
      </c>
      <c r="G12821" s="43">
        <v>6000000</v>
      </c>
      <c r="H12821" s="43">
        <v>145000</v>
      </c>
      <c r="I12821" s="43" t="s">
        <v>949</v>
      </c>
      <c r="J12821" s="44" t="s">
        <v>1000</v>
      </c>
    </row>
    <row r="12822" ht="22" customHeight="1" spans="1:10" x14ac:dyDescent="0.25">
      <c r="A12822" s="43">
        <v>3130</v>
      </c>
      <c r="B12822" s="43">
        <v>60</v>
      </c>
      <c r="C12822" s="43" t="s">
        <v>963</v>
      </c>
      <c r="D12822" s="43" t="s">
        <v>999</v>
      </c>
      <c r="E12822" s="43" t="s">
        <v>314</v>
      </c>
      <c r="F12822" s="43" t="s">
        <v>955</v>
      </c>
      <c r="G12822" s="43">
        <v>6000000</v>
      </c>
      <c r="H12822" s="43">
        <v>145000</v>
      </c>
      <c r="I12822" s="43" t="s">
        <v>949</v>
      </c>
      <c r="J12822" s="44" t="s">
        <v>1000</v>
      </c>
    </row>
    <row r="12823" ht="22" customHeight="1" spans="1:10" x14ac:dyDescent="0.25">
      <c r="A12823" s="43">
        <v>3130</v>
      </c>
      <c r="B12823" s="43">
        <v>60</v>
      </c>
      <c r="C12823" s="43" t="s">
        <v>963</v>
      </c>
      <c r="D12823" s="43" t="s">
        <v>999</v>
      </c>
      <c r="E12823" s="43" t="s">
        <v>314</v>
      </c>
      <c r="F12823" s="43" t="s">
        <v>956</v>
      </c>
      <c r="G12823" s="43">
        <v>6000000</v>
      </c>
      <c r="H12823" s="43">
        <v>145000</v>
      </c>
      <c r="I12823" s="43" t="s">
        <v>949</v>
      </c>
      <c r="J12823" s="44" t="s">
        <v>1000</v>
      </c>
    </row>
    <row r="12824" ht="22" customHeight="1" spans="1:10" x14ac:dyDescent="0.25">
      <c r="A12824" s="43">
        <v>3130</v>
      </c>
      <c r="B12824" s="43">
        <v>60</v>
      </c>
      <c r="C12824" s="43" t="s">
        <v>963</v>
      </c>
      <c r="D12824" s="43" t="s">
        <v>999</v>
      </c>
      <c r="E12824" s="43" t="s">
        <v>314</v>
      </c>
      <c r="F12824" s="43" t="s">
        <v>957</v>
      </c>
      <c r="G12824" s="43">
        <v>6000000</v>
      </c>
      <c r="H12824" s="43">
        <v>145000</v>
      </c>
      <c r="I12824" s="43" t="s">
        <v>949</v>
      </c>
      <c r="J12824" s="44" t="s">
        <v>1000</v>
      </c>
    </row>
    <row r="12825" ht="22" customHeight="1" spans="1:10" x14ac:dyDescent="0.25">
      <c r="A12825" s="43">
        <v>3130</v>
      </c>
      <c r="B12825" s="43">
        <v>60</v>
      </c>
      <c r="C12825" s="43" t="s">
        <v>963</v>
      </c>
      <c r="D12825" s="43" t="s">
        <v>999</v>
      </c>
      <c r="E12825" s="43" t="s">
        <v>314</v>
      </c>
      <c r="F12825" s="43" t="s">
        <v>958</v>
      </c>
      <c r="G12825" s="43">
        <v>6000000</v>
      </c>
      <c r="H12825" s="43">
        <v>145000</v>
      </c>
      <c r="I12825" s="43" t="s">
        <v>949</v>
      </c>
      <c r="J12825" s="44" t="s">
        <v>1000</v>
      </c>
    </row>
    <row r="12826" ht="22" customHeight="1" spans="1:10" x14ac:dyDescent="0.25">
      <c r="A12826" s="43">
        <v>3130</v>
      </c>
      <c r="B12826" s="43">
        <v>60</v>
      </c>
      <c r="C12826" s="43" t="s">
        <v>963</v>
      </c>
      <c r="D12826" s="43" t="s">
        <v>999</v>
      </c>
      <c r="E12826" s="43" t="s">
        <v>314</v>
      </c>
      <c r="F12826" s="43" t="s">
        <v>959</v>
      </c>
      <c r="G12826" s="43">
        <v>6000000</v>
      </c>
      <c r="H12826" s="43">
        <v>145000</v>
      </c>
      <c r="I12826" s="43" t="s">
        <v>949</v>
      </c>
      <c r="J12826" s="44" t="s">
        <v>1000</v>
      </c>
    </row>
    <row r="12827" ht="22" customHeight="1" spans="1:10" x14ac:dyDescent="0.25">
      <c r="A12827" s="43">
        <v>3130</v>
      </c>
      <c r="B12827" s="43">
        <v>60</v>
      </c>
      <c r="C12827" s="43" t="s">
        <v>963</v>
      </c>
      <c r="D12827" s="43" t="s">
        <v>999</v>
      </c>
      <c r="E12827" s="43" t="s">
        <v>314</v>
      </c>
      <c r="F12827" s="43" t="s">
        <v>960</v>
      </c>
      <c r="G12827" s="43">
        <v>6000000</v>
      </c>
      <c r="H12827" s="43">
        <v>145000</v>
      </c>
      <c r="I12827" s="43" t="s">
        <v>949</v>
      </c>
      <c r="J12827" s="44" t="s">
        <v>1000</v>
      </c>
    </row>
    <row r="12828" ht="22" customHeight="1" spans="1:10" x14ac:dyDescent="0.25">
      <c r="A12828" s="43">
        <v>3130</v>
      </c>
      <c r="B12828" s="43">
        <v>60</v>
      </c>
      <c r="C12828" s="43" t="s">
        <v>963</v>
      </c>
      <c r="D12828" s="43" t="s">
        <v>999</v>
      </c>
      <c r="E12828" s="43" t="s">
        <v>314</v>
      </c>
      <c r="F12828" s="43" t="s">
        <v>961</v>
      </c>
      <c r="G12828" s="43">
        <v>6000000</v>
      </c>
      <c r="H12828" s="43">
        <v>145000</v>
      </c>
      <c r="I12828" s="43" t="s">
        <v>949</v>
      </c>
      <c r="J12828" s="44" t="s">
        <v>1000</v>
      </c>
    </row>
    <row r="12829" spans="1:9" x14ac:dyDescent="0.25">
      <c r="A12829">
        <v>3130</v>
      </c>
      <c r="B12829">
        <v>60</v>
      </c>
      <c r="C12829" t="s">
        <v>950</v>
      </c>
      <c r="D12829" t="s">
        <v>999</v>
      </c>
      <c r="E12829" t="s">
        <v>121</v>
      </c>
      <c r="F12829" t="s">
        <v>951</v>
      </c>
      <c r="G12829">
        <v>6077777</v>
      </c>
      <c r="H12829">
        <v>500220</v>
      </c>
      <c r="I12829" t="s">
        <v>949</v>
      </c>
    </row>
    <row r="12830" spans="1:9" x14ac:dyDescent="0.25">
      <c r="A12830">
        <v>3130</v>
      </c>
      <c r="B12830">
        <v>60</v>
      </c>
      <c r="C12830" t="s">
        <v>962</v>
      </c>
      <c r="D12830" t="s">
        <v>999</v>
      </c>
      <c r="E12830" t="s">
        <v>121</v>
      </c>
      <c r="F12830" t="s">
        <v>951</v>
      </c>
      <c r="G12830">
        <v>6077777</v>
      </c>
      <c r="H12830">
        <v>500220</v>
      </c>
      <c r="I12830" t="s">
        <v>949</v>
      </c>
    </row>
    <row r="12831" spans="1:9" x14ac:dyDescent="0.25">
      <c r="A12831">
        <v>3130</v>
      </c>
      <c r="B12831">
        <v>60</v>
      </c>
      <c r="C12831" t="s">
        <v>963</v>
      </c>
      <c r="D12831" t="s">
        <v>999</v>
      </c>
      <c r="E12831" t="s">
        <v>121</v>
      </c>
      <c r="F12831" t="s">
        <v>951</v>
      </c>
      <c r="G12831">
        <v>6077777</v>
      </c>
      <c r="H12831">
        <v>500220</v>
      </c>
      <c r="I12831" t="s">
        <v>949</v>
      </c>
    </row>
    <row r="12832" spans="1:9" x14ac:dyDescent="0.25">
      <c r="A12832">
        <v>3130</v>
      </c>
      <c r="B12832">
        <v>60</v>
      </c>
      <c r="C12832" t="s">
        <v>950</v>
      </c>
      <c r="D12832" t="s">
        <v>999</v>
      </c>
      <c r="E12832" t="s">
        <v>984</v>
      </c>
      <c r="F12832" t="s">
        <v>951</v>
      </c>
      <c r="G12832">
        <v>6000000</v>
      </c>
      <c r="H12832">
        <v>141000</v>
      </c>
      <c r="I12832" t="s">
        <v>985</v>
      </c>
    </row>
    <row r="12833" spans="1:9" x14ac:dyDescent="0.25">
      <c r="A12833">
        <v>3130</v>
      </c>
      <c r="B12833">
        <v>60</v>
      </c>
      <c r="C12833" t="s">
        <v>950</v>
      </c>
      <c r="D12833" t="s">
        <v>999</v>
      </c>
      <c r="E12833" t="s">
        <v>984</v>
      </c>
      <c r="F12833" t="s">
        <v>952</v>
      </c>
      <c r="G12833">
        <v>6000000</v>
      </c>
      <c r="H12833">
        <v>141000</v>
      </c>
      <c r="I12833" t="s">
        <v>985</v>
      </c>
    </row>
    <row r="12834" spans="1:9" x14ac:dyDescent="0.25">
      <c r="A12834">
        <v>3130</v>
      </c>
      <c r="B12834">
        <v>60</v>
      </c>
      <c r="C12834" t="s">
        <v>950</v>
      </c>
      <c r="D12834" t="s">
        <v>999</v>
      </c>
      <c r="E12834" t="s">
        <v>984</v>
      </c>
      <c r="F12834" t="s">
        <v>953</v>
      </c>
      <c r="G12834">
        <v>6000000</v>
      </c>
      <c r="H12834">
        <v>141000</v>
      </c>
      <c r="I12834" t="s">
        <v>985</v>
      </c>
    </row>
    <row r="12835" spans="1:9" x14ac:dyDescent="0.25">
      <c r="A12835">
        <v>3130</v>
      </c>
      <c r="B12835">
        <v>60</v>
      </c>
      <c r="C12835" t="s">
        <v>950</v>
      </c>
      <c r="D12835" t="s">
        <v>999</v>
      </c>
      <c r="E12835" t="s">
        <v>984</v>
      </c>
      <c r="F12835" t="s">
        <v>954</v>
      </c>
      <c r="G12835">
        <v>6000000</v>
      </c>
      <c r="H12835">
        <v>141000</v>
      </c>
      <c r="I12835" t="s">
        <v>985</v>
      </c>
    </row>
    <row r="12836" spans="1:9" x14ac:dyDescent="0.25">
      <c r="A12836">
        <v>3130</v>
      </c>
      <c r="B12836">
        <v>60</v>
      </c>
      <c r="C12836" t="s">
        <v>950</v>
      </c>
      <c r="D12836" t="s">
        <v>999</v>
      </c>
      <c r="E12836" t="s">
        <v>984</v>
      </c>
      <c r="F12836" t="s">
        <v>955</v>
      </c>
      <c r="G12836">
        <v>6000000</v>
      </c>
      <c r="H12836">
        <v>141000</v>
      </c>
      <c r="I12836" t="s">
        <v>985</v>
      </c>
    </row>
    <row r="12837" spans="1:9" x14ac:dyDescent="0.25">
      <c r="A12837">
        <v>3130</v>
      </c>
      <c r="B12837">
        <v>60</v>
      </c>
      <c r="C12837" t="s">
        <v>950</v>
      </c>
      <c r="D12837" t="s">
        <v>999</v>
      </c>
      <c r="E12837" t="s">
        <v>984</v>
      </c>
      <c r="F12837" t="s">
        <v>956</v>
      </c>
      <c r="G12837">
        <v>6000000</v>
      </c>
      <c r="H12837">
        <v>141000</v>
      </c>
      <c r="I12837" t="s">
        <v>985</v>
      </c>
    </row>
    <row r="12838" spans="1:9" x14ac:dyDescent="0.25">
      <c r="A12838">
        <v>3130</v>
      </c>
      <c r="B12838">
        <v>60</v>
      </c>
      <c r="C12838" t="s">
        <v>950</v>
      </c>
      <c r="D12838" t="s">
        <v>999</v>
      </c>
      <c r="E12838" t="s">
        <v>984</v>
      </c>
      <c r="F12838" t="s">
        <v>957</v>
      </c>
      <c r="G12838">
        <v>6000000</v>
      </c>
      <c r="H12838">
        <v>141000</v>
      </c>
      <c r="I12838" t="s">
        <v>985</v>
      </c>
    </row>
    <row r="12839" spans="1:9" x14ac:dyDescent="0.25">
      <c r="A12839">
        <v>3130</v>
      </c>
      <c r="B12839">
        <v>60</v>
      </c>
      <c r="C12839" t="s">
        <v>950</v>
      </c>
      <c r="D12839" t="s">
        <v>999</v>
      </c>
      <c r="E12839" t="s">
        <v>984</v>
      </c>
      <c r="F12839" t="s">
        <v>958</v>
      </c>
      <c r="G12839">
        <v>6000000</v>
      </c>
      <c r="H12839">
        <v>141000</v>
      </c>
      <c r="I12839" t="s">
        <v>985</v>
      </c>
    </row>
    <row r="12840" spans="1:9" x14ac:dyDescent="0.25">
      <c r="A12840">
        <v>3130</v>
      </c>
      <c r="B12840">
        <v>60</v>
      </c>
      <c r="C12840" t="s">
        <v>950</v>
      </c>
      <c r="D12840" t="s">
        <v>999</v>
      </c>
      <c r="E12840" t="s">
        <v>984</v>
      </c>
      <c r="F12840" t="s">
        <v>959</v>
      </c>
      <c r="G12840">
        <v>6000000</v>
      </c>
      <c r="H12840">
        <v>141000</v>
      </c>
      <c r="I12840" t="s">
        <v>985</v>
      </c>
    </row>
    <row r="12841" spans="1:9" x14ac:dyDescent="0.25">
      <c r="A12841">
        <v>3130</v>
      </c>
      <c r="B12841">
        <v>60</v>
      </c>
      <c r="C12841" t="s">
        <v>950</v>
      </c>
      <c r="D12841" t="s">
        <v>999</v>
      </c>
      <c r="E12841" t="s">
        <v>984</v>
      </c>
      <c r="F12841" t="s">
        <v>960</v>
      </c>
      <c r="G12841">
        <v>6000000</v>
      </c>
      <c r="H12841">
        <v>141000</v>
      </c>
      <c r="I12841" t="s">
        <v>985</v>
      </c>
    </row>
    <row r="12842" spans="1:9" x14ac:dyDescent="0.25">
      <c r="A12842">
        <v>3130</v>
      </c>
      <c r="B12842">
        <v>60</v>
      </c>
      <c r="C12842" t="s">
        <v>950</v>
      </c>
      <c r="D12842" t="s">
        <v>999</v>
      </c>
      <c r="E12842" t="s">
        <v>984</v>
      </c>
      <c r="F12842" t="s">
        <v>961</v>
      </c>
      <c r="G12842">
        <v>6000000</v>
      </c>
      <c r="H12842">
        <v>141000</v>
      </c>
      <c r="I12842" t="s">
        <v>985</v>
      </c>
    </row>
    <row r="12843" spans="1:9" x14ac:dyDescent="0.25">
      <c r="A12843">
        <v>3130</v>
      </c>
      <c r="B12843">
        <v>60</v>
      </c>
      <c r="C12843" t="s">
        <v>962</v>
      </c>
      <c r="D12843" t="s">
        <v>999</v>
      </c>
      <c r="E12843" t="s">
        <v>984</v>
      </c>
      <c r="F12843" t="s">
        <v>951</v>
      </c>
      <c r="G12843">
        <v>6000000</v>
      </c>
      <c r="H12843">
        <v>141000</v>
      </c>
      <c r="I12843" t="s">
        <v>985</v>
      </c>
    </row>
    <row r="12844" spans="1:9" x14ac:dyDescent="0.25">
      <c r="A12844">
        <v>3130</v>
      </c>
      <c r="B12844">
        <v>60</v>
      </c>
      <c r="C12844" t="s">
        <v>962</v>
      </c>
      <c r="D12844" t="s">
        <v>999</v>
      </c>
      <c r="E12844" t="s">
        <v>984</v>
      </c>
      <c r="F12844" t="s">
        <v>952</v>
      </c>
      <c r="G12844">
        <v>6000000</v>
      </c>
      <c r="H12844">
        <v>141000</v>
      </c>
      <c r="I12844" t="s">
        <v>985</v>
      </c>
    </row>
    <row r="12845" spans="1:9" x14ac:dyDescent="0.25">
      <c r="A12845">
        <v>3130</v>
      </c>
      <c r="B12845">
        <v>60</v>
      </c>
      <c r="C12845" t="s">
        <v>962</v>
      </c>
      <c r="D12845" t="s">
        <v>999</v>
      </c>
      <c r="E12845" t="s">
        <v>984</v>
      </c>
      <c r="F12845" t="s">
        <v>953</v>
      </c>
      <c r="G12845">
        <v>6000000</v>
      </c>
      <c r="H12845">
        <v>141000</v>
      </c>
      <c r="I12845" t="s">
        <v>985</v>
      </c>
    </row>
    <row r="12846" spans="1:9" x14ac:dyDescent="0.25">
      <c r="A12846">
        <v>3130</v>
      </c>
      <c r="B12846">
        <v>60</v>
      </c>
      <c r="C12846" t="s">
        <v>962</v>
      </c>
      <c r="D12846" t="s">
        <v>999</v>
      </c>
      <c r="E12846" t="s">
        <v>984</v>
      </c>
      <c r="F12846" t="s">
        <v>954</v>
      </c>
      <c r="G12846">
        <v>6000000</v>
      </c>
      <c r="H12846">
        <v>141000</v>
      </c>
      <c r="I12846" t="s">
        <v>985</v>
      </c>
    </row>
    <row r="12847" spans="1:9" x14ac:dyDescent="0.25">
      <c r="A12847">
        <v>3130</v>
      </c>
      <c r="B12847">
        <v>60</v>
      </c>
      <c r="C12847" t="s">
        <v>962</v>
      </c>
      <c r="D12847" t="s">
        <v>999</v>
      </c>
      <c r="E12847" t="s">
        <v>984</v>
      </c>
      <c r="F12847" t="s">
        <v>955</v>
      </c>
      <c r="G12847">
        <v>6000000</v>
      </c>
      <c r="H12847">
        <v>141000</v>
      </c>
      <c r="I12847" t="s">
        <v>985</v>
      </c>
    </row>
    <row r="12848" spans="1:9" x14ac:dyDescent="0.25">
      <c r="A12848">
        <v>3130</v>
      </c>
      <c r="B12848">
        <v>60</v>
      </c>
      <c r="C12848" t="s">
        <v>962</v>
      </c>
      <c r="D12848" t="s">
        <v>999</v>
      </c>
      <c r="E12848" t="s">
        <v>984</v>
      </c>
      <c r="F12848" t="s">
        <v>956</v>
      </c>
      <c r="G12848">
        <v>6000000</v>
      </c>
      <c r="H12848">
        <v>141000</v>
      </c>
      <c r="I12848" t="s">
        <v>985</v>
      </c>
    </row>
    <row r="12849" spans="1:9" x14ac:dyDescent="0.25">
      <c r="A12849">
        <v>3130</v>
      </c>
      <c r="B12849">
        <v>60</v>
      </c>
      <c r="C12849" t="s">
        <v>962</v>
      </c>
      <c r="D12849" t="s">
        <v>999</v>
      </c>
      <c r="E12849" t="s">
        <v>984</v>
      </c>
      <c r="F12849" t="s">
        <v>957</v>
      </c>
      <c r="G12849">
        <v>6000000</v>
      </c>
      <c r="H12849">
        <v>141000</v>
      </c>
      <c r="I12849" t="s">
        <v>985</v>
      </c>
    </row>
    <row r="12850" spans="1:9" x14ac:dyDescent="0.25">
      <c r="A12850">
        <v>3130</v>
      </c>
      <c r="B12850">
        <v>60</v>
      </c>
      <c r="C12850" t="s">
        <v>962</v>
      </c>
      <c r="D12850" t="s">
        <v>999</v>
      </c>
      <c r="E12850" t="s">
        <v>984</v>
      </c>
      <c r="F12850" t="s">
        <v>958</v>
      </c>
      <c r="G12850">
        <v>6000000</v>
      </c>
      <c r="H12850">
        <v>141000</v>
      </c>
      <c r="I12850" t="s">
        <v>985</v>
      </c>
    </row>
    <row r="12851" spans="1:9" x14ac:dyDescent="0.25">
      <c r="A12851">
        <v>3130</v>
      </c>
      <c r="B12851">
        <v>60</v>
      </c>
      <c r="C12851" t="s">
        <v>962</v>
      </c>
      <c r="D12851" t="s">
        <v>999</v>
      </c>
      <c r="E12851" t="s">
        <v>984</v>
      </c>
      <c r="F12851" t="s">
        <v>959</v>
      </c>
      <c r="G12851">
        <v>6000000</v>
      </c>
      <c r="H12851">
        <v>141000</v>
      </c>
      <c r="I12851" t="s">
        <v>985</v>
      </c>
    </row>
    <row r="12852" spans="1:9" x14ac:dyDescent="0.25">
      <c r="A12852">
        <v>3130</v>
      </c>
      <c r="B12852">
        <v>60</v>
      </c>
      <c r="C12852" t="s">
        <v>962</v>
      </c>
      <c r="D12852" t="s">
        <v>999</v>
      </c>
      <c r="E12852" t="s">
        <v>984</v>
      </c>
      <c r="F12852" t="s">
        <v>960</v>
      </c>
      <c r="G12852">
        <v>6000000</v>
      </c>
      <c r="H12852">
        <v>141000</v>
      </c>
      <c r="I12852" t="s">
        <v>985</v>
      </c>
    </row>
    <row r="12853" spans="1:9" x14ac:dyDescent="0.25">
      <c r="A12853">
        <v>3130</v>
      </c>
      <c r="B12853">
        <v>60</v>
      </c>
      <c r="C12853" t="s">
        <v>962</v>
      </c>
      <c r="D12853" t="s">
        <v>999</v>
      </c>
      <c r="E12853" t="s">
        <v>984</v>
      </c>
      <c r="F12853" t="s">
        <v>961</v>
      </c>
      <c r="G12853">
        <v>6000000</v>
      </c>
      <c r="H12853">
        <v>141000</v>
      </c>
      <c r="I12853" t="s">
        <v>985</v>
      </c>
    </row>
    <row r="12854" spans="1:9" x14ac:dyDescent="0.25">
      <c r="A12854">
        <v>3130</v>
      </c>
      <c r="B12854">
        <v>60</v>
      </c>
      <c r="C12854" t="s">
        <v>963</v>
      </c>
      <c r="D12854" t="s">
        <v>999</v>
      </c>
      <c r="E12854" t="s">
        <v>984</v>
      </c>
      <c r="F12854" t="s">
        <v>951</v>
      </c>
      <c r="G12854">
        <v>6000000</v>
      </c>
      <c r="H12854">
        <v>141000</v>
      </c>
      <c r="I12854" t="s">
        <v>985</v>
      </c>
    </row>
    <row r="12855" spans="1:9" x14ac:dyDescent="0.25">
      <c r="A12855">
        <v>3130</v>
      </c>
      <c r="B12855">
        <v>60</v>
      </c>
      <c r="C12855" t="s">
        <v>963</v>
      </c>
      <c r="D12855" t="s">
        <v>999</v>
      </c>
      <c r="E12855" t="s">
        <v>984</v>
      </c>
      <c r="F12855" t="s">
        <v>952</v>
      </c>
      <c r="G12855">
        <v>6000000</v>
      </c>
      <c r="H12855">
        <v>141000</v>
      </c>
      <c r="I12855" t="s">
        <v>985</v>
      </c>
    </row>
    <row r="12856" spans="1:9" x14ac:dyDescent="0.25">
      <c r="A12856">
        <v>3130</v>
      </c>
      <c r="B12856">
        <v>60</v>
      </c>
      <c r="C12856" t="s">
        <v>963</v>
      </c>
      <c r="D12856" t="s">
        <v>999</v>
      </c>
      <c r="E12856" t="s">
        <v>984</v>
      </c>
      <c r="F12856" t="s">
        <v>953</v>
      </c>
      <c r="G12856">
        <v>6000000</v>
      </c>
      <c r="H12856">
        <v>141000</v>
      </c>
      <c r="I12856" t="s">
        <v>985</v>
      </c>
    </row>
    <row r="12857" spans="1:9" x14ac:dyDescent="0.25">
      <c r="A12857">
        <v>3130</v>
      </c>
      <c r="B12857">
        <v>60</v>
      </c>
      <c r="C12857" t="s">
        <v>963</v>
      </c>
      <c r="D12857" t="s">
        <v>999</v>
      </c>
      <c r="E12857" t="s">
        <v>984</v>
      </c>
      <c r="F12857" t="s">
        <v>954</v>
      </c>
      <c r="G12857">
        <v>6000000</v>
      </c>
      <c r="H12857">
        <v>141000</v>
      </c>
      <c r="I12857" t="s">
        <v>985</v>
      </c>
    </row>
    <row r="12858" spans="1:9" x14ac:dyDescent="0.25">
      <c r="A12858">
        <v>3130</v>
      </c>
      <c r="B12858">
        <v>60</v>
      </c>
      <c r="C12858" t="s">
        <v>963</v>
      </c>
      <c r="D12858" t="s">
        <v>999</v>
      </c>
      <c r="E12858" t="s">
        <v>984</v>
      </c>
      <c r="F12858" t="s">
        <v>955</v>
      </c>
      <c r="G12858">
        <v>6000000</v>
      </c>
      <c r="H12858">
        <v>141000</v>
      </c>
      <c r="I12858" t="s">
        <v>985</v>
      </c>
    </row>
    <row r="12859" spans="1:9" x14ac:dyDescent="0.25">
      <c r="A12859">
        <v>3130</v>
      </c>
      <c r="B12859">
        <v>60</v>
      </c>
      <c r="C12859" t="s">
        <v>963</v>
      </c>
      <c r="D12859" t="s">
        <v>999</v>
      </c>
      <c r="E12859" t="s">
        <v>984</v>
      </c>
      <c r="F12859" t="s">
        <v>956</v>
      </c>
      <c r="G12859">
        <v>6000000</v>
      </c>
      <c r="H12859">
        <v>141000</v>
      </c>
      <c r="I12859" t="s">
        <v>985</v>
      </c>
    </row>
    <row r="12860" spans="1:9" x14ac:dyDescent="0.25">
      <c r="A12860">
        <v>3130</v>
      </c>
      <c r="B12860">
        <v>60</v>
      </c>
      <c r="C12860" t="s">
        <v>963</v>
      </c>
      <c r="D12860" t="s">
        <v>999</v>
      </c>
      <c r="E12860" t="s">
        <v>984</v>
      </c>
      <c r="F12860" t="s">
        <v>957</v>
      </c>
      <c r="G12860">
        <v>6000000</v>
      </c>
      <c r="H12860">
        <v>141000</v>
      </c>
      <c r="I12860" t="s">
        <v>985</v>
      </c>
    </row>
    <row r="12861" spans="1:9" x14ac:dyDescent="0.25">
      <c r="A12861">
        <v>3130</v>
      </c>
      <c r="B12861">
        <v>60</v>
      </c>
      <c r="C12861" t="s">
        <v>963</v>
      </c>
      <c r="D12861" t="s">
        <v>999</v>
      </c>
      <c r="E12861" t="s">
        <v>984</v>
      </c>
      <c r="F12861" t="s">
        <v>958</v>
      </c>
      <c r="G12861">
        <v>6000000</v>
      </c>
      <c r="H12861">
        <v>141000</v>
      </c>
      <c r="I12861" t="s">
        <v>985</v>
      </c>
    </row>
    <row r="12862" spans="1:9" x14ac:dyDescent="0.25">
      <c r="A12862">
        <v>3130</v>
      </c>
      <c r="B12862">
        <v>60</v>
      </c>
      <c r="C12862" t="s">
        <v>963</v>
      </c>
      <c r="D12862" t="s">
        <v>999</v>
      </c>
      <c r="E12862" t="s">
        <v>984</v>
      </c>
      <c r="F12862" t="s">
        <v>959</v>
      </c>
      <c r="G12862">
        <v>6000000</v>
      </c>
      <c r="H12862">
        <v>141000</v>
      </c>
      <c r="I12862" t="s">
        <v>985</v>
      </c>
    </row>
    <row r="12863" spans="1:9" x14ac:dyDescent="0.25">
      <c r="A12863">
        <v>3130</v>
      </c>
      <c r="B12863">
        <v>60</v>
      </c>
      <c r="C12863" t="s">
        <v>963</v>
      </c>
      <c r="D12863" t="s">
        <v>999</v>
      </c>
      <c r="E12863" t="s">
        <v>984</v>
      </c>
      <c r="F12863" t="s">
        <v>960</v>
      </c>
      <c r="G12863">
        <v>6000000</v>
      </c>
      <c r="H12863">
        <v>141000</v>
      </c>
      <c r="I12863" t="s">
        <v>985</v>
      </c>
    </row>
    <row r="12864" spans="1:9" x14ac:dyDescent="0.25">
      <c r="A12864">
        <v>3130</v>
      </c>
      <c r="B12864">
        <v>60</v>
      </c>
      <c r="C12864" t="s">
        <v>963</v>
      </c>
      <c r="D12864" t="s">
        <v>999</v>
      </c>
      <c r="E12864" t="s">
        <v>984</v>
      </c>
      <c r="F12864" t="s">
        <v>961</v>
      </c>
      <c r="G12864">
        <v>6000000</v>
      </c>
      <c r="H12864">
        <v>141000</v>
      </c>
      <c r="I12864" t="s">
        <v>985</v>
      </c>
    </row>
    <row r="12865" spans="1:9" x14ac:dyDescent="0.25">
      <c r="A12865">
        <v>4141</v>
      </c>
      <c r="B12865">
        <v>60</v>
      </c>
      <c r="C12865" t="s">
        <v>946</v>
      </c>
      <c r="D12865" t="s">
        <v>1001</v>
      </c>
      <c r="E12865" t="s">
        <v>49</v>
      </c>
      <c r="F12865" t="s">
        <v>948</v>
      </c>
      <c r="G12865">
        <v>6077777</v>
      </c>
      <c r="H12865">
        <v>500460</v>
      </c>
      <c r="I12865" t="s">
        <v>949</v>
      </c>
    </row>
    <row r="12866" ht="22" customHeight="1" spans="1:10" x14ac:dyDescent="0.25">
      <c r="A12866" s="41">
        <v>4162</v>
      </c>
      <c r="B12866" s="41">
        <v>60</v>
      </c>
      <c r="C12866" s="41" t="s">
        <v>946</v>
      </c>
      <c r="D12866" s="41" t="s">
        <v>1001</v>
      </c>
      <c r="E12866" s="41" t="s">
        <v>49</v>
      </c>
      <c r="F12866" s="41" t="s">
        <v>948</v>
      </c>
      <c r="G12866" s="41">
        <v>6000000</v>
      </c>
      <c r="H12866" s="41">
        <v>14200</v>
      </c>
      <c r="I12866" s="41" t="s">
        <v>949</v>
      </c>
      <c r="J12866" s="42" t="s">
        <v>1080</v>
      </c>
    </row>
    <row r="12867" ht="22" customHeight="1" spans="1:10" x14ac:dyDescent="0.25">
      <c r="A12867" s="41">
        <v>4164</v>
      </c>
      <c r="B12867" s="41">
        <v>60</v>
      </c>
      <c r="C12867" s="41" t="s">
        <v>946</v>
      </c>
      <c r="D12867" s="41" t="s">
        <v>1001</v>
      </c>
      <c r="E12867" s="41" t="s">
        <v>49</v>
      </c>
      <c r="F12867" s="41" t="s">
        <v>948</v>
      </c>
      <c r="G12867" s="41">
        <v>6000000</v>
      </c>
      <c r="H12867" s="41">
        <v>14200</v>
      </c>
      <c r="I12867" s="41" t="s">
        <v>949</v>
      </c>
      <c r="J12867" s="42" t="s">
        <v>1081</v>
      </c>
    </row>
    <row r="12868" spans="1:9" x14ac:dyDescent="0.25">
      <c r="A12868">
        <v>4122</v>
      </c>
      <c r="B12868">
        <v>60</v>
      </c>
      <c r="C12868" t="s">
        <v>946</v>
      </c>
      <c r="D12868" t="s">
        <v>1001</v>
      </c>
      <c r="E12868" t="s">
        <v>243</v>
      </c>
      <c r="F12868" t="s">
        <v>948</v>
      </c>
      <c r="G12868">
        <v>6000000</v>
      </c>
      <c r="H12868">
        <v>145000</v>
      </c>
      <c r="I12868" t="s">
        <v>949</v>
      </c>
    </row>
    <row r="12869" spans="1:9" x14ac:dyDescent="0.25">
      <c r="A12869">
        <v>4124</v>
      </c>
      <c r="B12869">
        <v>60</v>
      </c>
      <c r="C12869" t="s">
        <v>946</v>
      </c>
      <c r="D12869" t="s">
        <v>1001</v>
      </c>
      <c r="E12869" t="s">
        <v>243</v>
      </c>
      <c r="F12869" t="s">
        <v>948</v>
      </c>
      <c r="G12869">
        <v>6077777</v>
      </c>
      <c r="H12869">
        <v>500465</v>
      </c>
      <c r="I12869" t="s">
        <v>949</v>
      </c>
    </row>
    <row r="12870" spans="1:9" x14ac:dyDescent="0.25">
      <c r="A12870">
        <v>4126</v>
      </c>
      <c r="B12870">
        <v>60</v>
      </c>
      <c r="C12870" t="s">
        <v>946</v>
      </c>
      <c r="D12870" t="s">
        <v>1001</v>
      </c>
      <c r="E12870" t="s">
        <v>243</v>
      </c>
      <c r="F12870" t="s">
        <v>948</v>
      </c>
      <c r="G12870">
        <v>6000000</v>
      </c>
      <c r="H12870">
        <v>145000</v>
      </c>
      <c r="I12870" t="s">
        <v>949</v>
      </c>
    </row>
    <row r="12871" spans="1:9" x14ac:dyDescent="0.25">
      <c r="A12871">
        <v>4128</v>
      </c>
      <c r="B12871">
        <v>60</v>
      </c>
      <c r="C12871" t="s">
        <v>946</v>
      </c>
      <c r="D12871" t="s">
        <v>1001</v>
      </c>
      <c r="E12871" t="s">
        <v>243</v>
      </c>
      <c r="F12871" t="s">
        <v>948</v>
      </c>
      <c r="G12871">
        <v>6077777</v>
      </c>
      <c r="H12871">
        <v>500460</v>
      </c>
      <c r="I12871" t="s">
        <v>949</v>
      </c>
    </row>
    <row r="12872" spans="1:9" x14ac:dyDescent="0.25">
      <c r="A12872">
        <v>4122</v>
      </c>
      <c r="B12872">
        <v>60</v>
      </c>
      <c r="C12872" t="s">
        <v>946</v>
      </c>
      <c r="D12872" t="s">
        <v>1001</v>
      </c>
      <c r="E12872" t="s">
        <v>247</v>
      </c>
      <c r="F12872" t="s">
        <v>948</v>
      </c>
      <c r="G12872">
        <v>6000000</v>
      </c>
      <c r="H12872">
        <v>145000</v>
      </c>
      <c r="I12872" t="s">
        <v>949</v>
      </c>
    </row>
    <row r="12873" spans="1:9" x14ac:dyDescent="0.25">
      <c r="A12873">
        <v>4124</v>
      </c>
      <c r="B12873">
        <v>60</v>
      </c>
      <c r="C12873" t="s">
        <v>946</v>
      </c>
      <c r="D12873" t="s">
        <v>1001</v>
      </c>
      <c r="E12873" t="s">
        <v>247</v>
      </c>
      <c r="F12873" t="s">
        <v>948</v>
      </c>
      <c r="G12873">
        <v>6077777</v>
      </c>
      <c r="H12873">
        <v>500465</v>
      </c>
      <c r="I12873" t="s">
        <v>949</v>
      </c>
    </row>
    <row r="12874" spans="1:9" x14ac:dyDescent="0.25">
      <c r="A12874">
        <v>4126</v>
      </c>
      <c r="B12874">
        <v>60</v>
      </c>
      <c r="C12874" t="s">
        <v>946</v>
      </c>
      <c r="D12874" t="s">
        <v>1001</v>
      </c>
      <c r="E12874" t="s">
        <v>247</v>
      </c>
      <c r="F12874" t="s">
        <v>948</v>
      </c>
      <c r="G12874">
        <v>6000000</v>
      </c>
      <c r="H12874">
        <v>145000</v>
      </c>
      <c r="I12874" t="s">
        <v>949</v>
      </c>
    </row>
    <row r="12875" spans="1:9" x14ac:dyDescent="0.25">
      <c r="A12875">
        <v>4128</v>
      </c>
      <c r="B12875">
        <v>60</v>
      </c>
      <c r="C12875" t="s">
        <v>946</v>
      </c>
      <c r="D12875" t="s">
        <v>1001</v>
      </c>
      <c r="E12875" t="s">
        <v>247</v>
      </c>
      <c r="F12875" t="s">
        <v>948</v>
      </c>
      <c r="G12875">
        <v>6077777</v>
      </c>
      <c r="H12875">
        <v>500460</v>
      </c>
      <c r="I12875" t="s">
        <v>949</v>
      </c>
    </row>
    <row r="12876" spans="1:9" x14ac:dyDescent="0.25">
      <c r="A12876">
        <v>4122</v>
      </c>
      <c r="B12876">
        <v>60</v>
      </c>
      <c r="C12876" t="s">
        <v>946</v>
      </c>
      <c r="D12876" t="s">
        <v>1001</v>
      </c>
      <c r="E12876" t="s">
        <v>251</v>
      </c>
      <c r="F12876" t="s">
        <v>948</v>
      </c>
      <c r="G12876">
        <v>6000000</v>
      </c>
      <c r="H12876">
        <v>142000</v>
      </c>
      <c r="I12876" t="s">
        <v>949</v>
      </c>
    </row>
    <row r="12877" spans="1:9" x14ac:dyDescent="0.25">
      <c r="A12877">
        <v>4124</v>
      </c>
      <c r="B12877">
        <v>60</v>
      </c>
      <c r="C12877" t="s">
        <v>946</v>
      </c>
      <c r="D12877" t="s">
        <v>1001</v>
      </c>
      <c r="E12877" t="s">
        <v>251</v>
      </c>
      <c r="F12877" t="s">
        <v>948</v>
      </c>
      <c r="G12877">
        <v>6077777</v>
      </c>
      <c r="H12877">
        <v>500465</v>
      </c>
      <c r="I12877" t="s">
        <v>949</v>
      </c>
    </row>
    <row r="12878" spans="1:9" x14ac:dyDescent="0.25">
      <c r="A12878">
        <v>4126</v>
      </c>
      <c r="B12878">
        <v>60</v>
      </c>
      <c r="C12878" t="s">
        <v>946</v>
      </c>
      <c r="D12878" t="s">
        <v>1001</v>
      </c>
      <c r="E12878" t="s">
        <v>251</v>
      </c>
      <c r="F12878" t="s">
        <v>948</v>
      </c>
      <c r="G12878">
        <v>6000000</v>
      </c>
      <c r="H12878">
        <v>142000</v>
      </c>
      <c r="I12878" t="s">
        <v>949</v>
      </c>
    </row>
    <row r="12879" spans="1:9" x14ac:dyDescent="0.25">
      <c r="A12879">
        <v>4128</v>
      </c>
      <c r="B12879">
        <v>60</v>
      </c>
      <c r="C12879" t="s">
        <v>946</v>
      </c>
      <c r="D12879" t="s">
        <v>1001</v>
      </c>
      <c r="E12879" t="s">
        <v>251</v>
      </c>
      <c r="F12879" t="s">
        <v>948</v>
      </c>
      <c r="G12879">
        <v>6077777</v>
      </c>
      <c r="H12879">
        <v>500460</v>
      </c>
      <c r="I12879" t="s">
        <v>949</v>
      </c>
    </row>
    <row r="12880" spans="1:9" x14ac:dyDescent="0.25">
      <c r="A12880">
        <v>4122</v>
      </c>
      <c r="B12880">
        <v>60</v>
      </c>
      <c r="C12880" t="s">
        <v>946</v>
      </c>
      <c r="D12880" t="s">
        <v>1001</v>
      </c>
      <c r="E12880" t="s">
        <v>969</v>
      </c>
      <c r="F12880" t="s">
        <v>948</v>
      </c>
      <c r="G12880">
        <v>6000000</v>
      </c>
      <c r="H12880">
        <v>141000</v>
      </c>
      <c r="I12880" t="s">
        <v>970</v>
      </c>
    </row>
    <row r="12881" spans="1:9" x14ac:dyDescent="0.25">
      <c r="A12881">
        <v>4124</v>
      </c>
      <c r="B12881">
        <v>60</v>
      </c>
      <c r="C12881" t="s">
        <v>946</v>
      </c>
      <c r="D12881" t="s">
        <v>1001</v>
      </c>
      <c r="E12881" t="s">
        <v>969</v>
      </c>
      <c r="F12881" t="s">
        <v>948</v>
      </c>
      <c r="G12881">
        <v>6077777</v>
      </c>
      <c r="H12881">
        <v>500465</v>
      </c>
      <c r="I12881" t="s">
        <v>949</v>
      </c>
    </row>
    <row r="12882" spans="1:9" x14ac:dyDescent="0.25">
      <c r="A12882">
        <v>4126</v>
      </c>
      <c r="B12882">
        <v>60</v>
      </c>
      <c r="C12882" t="s">
        <v>946</v>
      </c>
      <c r="D12882" t="s">
        <v>1001</v>
      </c>
      <c r="E12882" t="s">
        <v>969</v>
      </c>
      <c r="F12882" t="s">
        <v>948</v>
      </c>
      <c r="G12882">
        <v>6000000</v>
      </c>
      <c r="H12882">
        <v>141000</v>
      </c>
      <c r="I12882" t="s">
        <v>970</v>
      </c>
    </row>
    <row r="12883" spans="1:9" x14ac:dyDescent="0.25">
      <c r="A12883">
        <v>4128</v>
      </c>
      <c r="B12883">
        <v>60</v>
      </c>
      <c r="C12883" t="s">
        <v>946</v>
      </c>
      <c r="D12883" t="s">
        <v>1001</v>
      </c>
      <c r="E12883" t="s">
        <v>969</v>
      </c>
      <c r="F12883" t="s">
        <v>948</v>
      </c>
      <c r="G12883">
        <v>6077777</v>
      </c>
      <c r="H12883">
        <v>500460</v>
      </c>
      <c r="I12883" t="s">
        <v>949</v>
      </c>
    </row>
    <row r="12884" spans="1:9" x14ac:dyDescent="0.25">
      <c r="A12884">
        <v>4122</v>
      </c>
      <c r="B12884">
        <v>60</v>
      </c>
      <c r="C12884" t="s">
        <v>946</v>
      </c>
      <c r="D12884" t="s">
        <v>1001</v>
      </c>
      <c r="E12884" t="s">
        <v>255</v>
      </c>
      <c r="F12884" t="s">
        <v>948</v>
      </c>
      <c r="G12884">
        <v>6000000</v>
      </c>
      <c r="H12884">
        <v>145000</v>
      </c>
      <c r="I12884" t="s">
        <v>949</v>
      </c>
    </row>
    <row r="12885" spans="1:9" x14ac:dyDescent="0.25">
      <c r="A12885">
        <v>4124</v>
      </c>
      <c r="B12885">
        <v>60</v>
      </c>
      <c r="C12885" t="s">
        <v>946</v>
      </c>
      <c r="D12885" t="s">
        <v>1001</v>
      </c>
      <c r="E12885" t="s">
        <v>255</v>
      </c>
      <c r="F12885" t="s">
        <v>948</v>
      </c>
      <c r="G12885">
        <v>6077777</v>
      </c>
      <c r="H12885">
        <v>500465</v>
      </c>
      <c r="I12885" t="s">
        <v>949</v>
      </c>
    </row>
    <row r="12886" spans="1:9" x14ac:dyDescent="0.25">
      <c r="A12886">
        <v>4126</v>
      </c>
      <c r="B12886">
        <v>60</v>
      </c>
      <c r="C12886" t="s">
        <v>946</v>
      </c>
      <c r="D12886" t="s">
        <v>1001</v>
      </c>
      <c r="E12886" t="s">
        <v>255</v>
      </c>
      <c r="F12886" t="s">
        <v>948</v>
      </c>
      <c r="G12886">
        <v>6000000</v>
      </c>
      <c r="H12886">
        <v>145000</v>
      </c>
      <c r="I12886" t="s">
        <v>949</v>
      </c>
    </row>
    <row r="12887" spans="1:9" x14ac:dyDescent="0.25">
      <c r="A12887">
        <v>4128</v>
      </c>
      <c r="B12887">
        <v>60</v>
      </c>
      <c r="C12887" t="s">
        <v>946</v>
      </c>
      <c r="D12887" t="s">
        <v>1001</v>
      </c>
      <c r="E12887" t="s">
        <v>255</v>
      </c>
      <c r="F12887" t="s">
        <v>948</v>
      </c>
      <c r="G12887">
        <v>6077777</v>
      </c>
      <c r="H12887">
        <v>500460</v>
      </c>
      <c r="I12887" t="s">
        <v>949</v>
      </c>
    </row>
    <row r="12888" spans="1:9" x14ac:dyDescent="0.25">
      <c r="A12888">
        <v>4122</v>
      </c>
      <c r="B12888">
        <v>60</v>
      </c>
      <c r="C12888" t="s">
        <v>946</v>
      </c>
      <c r="D12888" t="s">
        <v>1001</v>
      </c>
      <c r="E12888" t="s">
        <v>971</v>
      </c>
      <c r="F12888" t="s">
        <v>948</v>
      </c>
      <c r="G12888">
        <v>6000000</v>
      </c>
      <c r="H12888">
        <v>141000</v>
      </c>
      <c r="I12888" t="s">
        <v>972</v>
      </c>
    </row>
    <row r="12889" spans="1:9" x14ac:dyDescent="0.25">
      <c r="A12889">
        <v>4124</v>
      </c>
      <c r="B12889">
        <v>60</v>
      </c>
      <c r="C12889" t="s">
        <v>946</v>
      </c>
      <c r="D12889" t="s">
        <v>1001</v>
      </c>
      <c r="E12889" t="s">
        <v>971</v>
      </c>
      <c r="F12889" t="s">
        <v>948</v>
      </c>
      <c r="G12889">
        <v>6077777</v>
      </c>
      <c r="H12889">
        <v>500465</v>
      </c>
      <c r="I12889" t="s">
        <v>949</v>
      </c>
    </row>
    <row r="12890" spans="1:9" x14ac:dyDescent="0.25">
      <c r="A12890">
        <v>4126</v>
      </c>
      <c r="B12890">
        <v>60</v>
      </c>
      <c r="C12890" t="s">
        <v>946</v>
      </c>
      <c r="D12890" t="s">
        <v>1001</v>
      </c>
      <c r="E12890" t="s">
        <v>971</v>
      </c>
      <c r="F12890" t="s">
        <v>948</v>
      </c>
      <c r="G12890">
        <v>6000000</v>
      </c>
      <c r="H12890">
        <v>141000</v>
      </c>
      <c r="I12890" t="s">
        <v>972</v>
      </c>
    </row>
    <row r="12891" spans="1:9" x14ac:dyDescent="0.25">
      <c r="A12891">
        <v>4128</v>
      </c>
      <c r="B12891">
        <v>60</v>
      </c>
      <c r="C12891" t="s">
        <v>946</v>
      </c>
      <c r="D12891" t="s">
        <v>1001</v>
      </c>
      <c r="E12891" t="s">
        <v>971</v>
      </c>
      <c r="F12891" t="s">
        <v>948</v>
      </c>
      <c r="G12891">
        <v>6077777</v>
      </c>
      <c r="H12891">
        <v>500460</v>
      </c>
      <c r="I12891" t="s">
        <v>949</v>
      </c>
    </row>
    <row r="12892" spans="1:9" x14ac:dyDescent="0.25">
      <c r="A12892">
        <v>4122</v>
      </c>
      <c r="B12892">
        <v>60</v>
      </c>
      <c r="C12892" t="s">
        <v>946</v>
      </c>
      <c r="D12892" t="s">
        <v>1001</v>
      </c>
      <c r="E12892" t="s">
        <v>263</v>
      </c>
      <c r="F12892" t="s">
        <v>948</v>
      </c>
      <c r="G12892">
        <v>6000000</v>
      </c>
      <c r="H12892">
        <v>145000</v>
      </c>
      <c r="I12892" t="s">
        <v>949</v>
      </c>
    </row>
    <row r="12893" spans="1:9" x14ac:dyDescent="0.25">
      <c r="A12893">
        <v>4124</v>
      </c>
      <c r="B12893">
        <v>60</v>
      </c>
      <c r="C12893" t="s">
        <v>946</v>
      </c>
      <c r="D12893" t="s">
        <v>1001</v>
      </c>
      <c r="E12893" t="s">
        <v>263</v>
      </c>
      <c r="F12893" t="s">
        <v>948</v>
      </c>
      <c r="G12893">
        <v>6077777</v>
      </c>
      <c r="H12893">
        <v>500465</v>
      </c>
      <c r="I12893" t="s">
        <v>949</v>
      </c>
    </row>
    <row r="12894" spans="1:9" x14ac:dyDescent="0.25">
      <c r="A12894">
        <v>4126</v>
      </c>
      <c r="B12894">
        <v>60</v>
      </c>
      <c r="C12894" t="s">
        <v>946</v>
      </c>
      <c r="D12894" t="s">
        <v>1001</v>
      </c>
      <c r="E12894" t="s">
        <v>263</v>
      </c>
      <c r="F12894" t="s">
        <v>948</v>
      </c>
      <c r="G12894">
        <v>6000000</v>
      </c>
      <c r="H12894">
        <v>145000</v>
      </c>
      <c r="I12894" t="s">
        <v>949</v>
      </c>
    </row>
    <row r="12895" spans="1:9" x14ac:dyDescent="0.25">
      <c r="A12895">
        <v>4128</v>
      </c>
      <c r="B12895">
        <v>60</v>
      </c>
      <c r="C12895" t="s">
        <v>946</v>
      </c>
      <c r="D12895" t="s">
        <v>1001</v>
      </c>
      <c r="E12895" t="s">
        <v>263</v>
      </c>
      <c r="F12895" t="s">
        <v>948</v>
      </c>
      <c r="G12895">
        <v>6077777</v>
      </c>
      <c r="H12895">
        <v>500460</v>
      </c>
      <c r="I12895" t="s">
        <v>949</v>
      </c>
    </row>
    <row r="12896" spans="1:9" x14ac:dyDescent="0.25">
      <c r="A12896">
        <v>4122</v>
      </c>
      <c r="B12896">
        <v>60</v>
      </c>
      <c r="C12896" t="s">
        <v>946</v>
      </c>
      <c r="D12896" t="s">
        <v>1001</v>
      </c>
      <c r="E12896" t="s">
        <v>100</v>
      </c>
      <c r="F12896" t="s">
        <v>948</v>
      </c>
      <c r="G12896">
        <v>6077777</v>
      </c>
      <c r="H12896">
        <v>500220</v>
      </c>
      <c r="I12896" t="s">
        <v>949</v>
      </c>
    </row>
    <row r="12897" spans="1:9" x14ac:dyDescent="0.25">
      <c r="A12897">
        <v>4124</v>
      </c>
      <c r="B12897">
        <v>60</v>
      </c>
      <c r="C12897" t="s">
        <v>946</v>
      </c>
      <c r="D12897" t="s">
        <v>1001</v>
      </c>
      <c r="E12897" t="s">
        <v>100</v>
      </c>
      <c r="F12897" t="s">
        <v>948</v>
      </c>
      <c r="G12897">
        <v>6077777</v>
      </c>
      <c r="H12897">
        <v>500221</v>
      </c>
      <c r="I12897" t="s">
        <v>949</v>
      </c>
    </row>
    <row r="12898" spans="1:9" x14ac:dyDescent="0.25">
      <c r="A12898">
        <v>4126</v>
      </c>
      <c r="B12898">
        <v>60</v>
      </c>
      <c r="C12898" t="s">
        <v>946</v>
      </c>
      <c r="D12898" t="s">
        <v>1001</v>
      </c>
      <c r="E12898" t="s">
        <v>100</v>
      </c>
      <c r="F12898" t="s">
        <v>948</v>
      </c>
      <c r="G12898">
        <v>6077777</v>
      </c>
      <c r="H12898">
        <v>500220</v>
      </c>
      <c r="I12898" t="s">
        <v>949</v>
      </c>
    </row>
    <row r="12899" spans="1:9" x14ac:dyDescent="0.25">
      <c r="A12899">
        <v>4128</v>
      </c>
      <c r="B12899">
        <v>60</v>
      </c>
      <c r="C12899" t="s">
        <v>946</v>
      </c>
      <c r="D12899" t="s">
        <v>1001</v>
      </c>
      <c r="E12899" t="s">
        <v>100</v>
      </c>
      <c r="F12899" t="s">
        <v>948</v>
      </c>
      <c r="G12899">
        <v>6077777</v>
      </c>
      <c r="H12899">
        <v>500221</v>
      </c>
      <c r="I12899" t="s">
        <v>949</v>
      </c>
    </row>
    <row r="12900" spans="1:9" x14ac:dyDescent="0.25">
      <c r="A12900">
        <v>4122</v>
      </c>
      <c r="B12900">
        <v>60</v>
      </c>
      <c r="C12900" t="s">
        <v>946</v>
      </c>
      <c r="D12900" t="s">
        <v>1001</v>
      </c>
      <c r="E12900" t="s">
        <v>270</v>
      </c>
      <c r="F12900" t="s">
        <v>948</v>
      </c>
      <c r="G12900">
        <v>6000000</v>
      </c>
      <c r="H12900">
        <v>145000</v>
      </c>
      <c r="I12900" t="s">
        <v>949</v>
      </c>
    </row>
    <row r="12901" spans="1:9" x14ac:dyDescent="0.25">
      <c r="A12901">
        <v>4124</v>
      </c>
      <c r="B12901">
        <v>60</v>
      </c>
      <c r="C12901" t="s">
        <v>946</v>
      </c>
      <c r="D12901" t="s">
        <v>1001</v>
      </c>
      <c r="E12901" t="s">
        <v>270</v>
      </c>
      <c r="F12901" t="s">
        <v>948</v>
      </c>
      <c r="G12901">
        <v>6077777</v>
      </c>
      <c r="H12901">
        <v>500465</v>
      </c>
      <c r="I12901" t="s">
        <v>949</v>
      </c>
    </row>
    <row r="12902" spans="1:9" x14ac:dyDescent="0.25">
      <c r="A12902">
        <v>4126</v>
      </c>
      <c r="B12902">
        <v>60</v>
      </c>
      <c r="C12902" t="s">
        <v>946</v>
      </c>
      <c r="D12902" t="s">
        <v>1001</v>
      </c>
      <c r="E12902" t="s">
        <v>270</v>
      </c>
      <c r="F12902" t="s">
        <v>948</v>
      </c>
      <c r="G12902">
        <v>6000000</v>
      </c>
      <c r="H12902">
        <v>145000</v>
      </c>
      <c r="I12902" t="s">
        <v>949</v>
      </c>
    </row>
    <row r="12903" spans="1:9" x14ac:dyDescent="0.25">
      <c r="A12903">
        <v>4128</v>
      </c>
      <c r="B12903">
        <v>60</v>
      </c>
      <c r="C12903" t="s">
        <v>946</v>
      </c>
      <c r="D12903" t="s">
        <v>1001</v>
      </c>
      <c r="E12903" t="s">
        <v>270</v>
      </c>
      <c r="F12903" t="s">
        <v>948</v>
      </c>
      <c r="G12903">
        <v>6077777</v>
      </c>
      <c r="H12903">
        <v>500460</v>
      </c>
      <c r="I12903" t="s">
        <v>949</v>
      </c>
    </row>
    <row r="12904" spans="1:9" x14ac:dyDescent="0.25">
      <c r="A12904">
        <v>4122</v>
      </c>
      <c r="B12904">
        <v>60</v>
      </c>
      <c r="C12904" t="s">
        <v>946</v>
      </c>
      <c r="D12904" t="s">
        <v>1001</v>
      </c>
      <c r="E12904" t="s">
        <v>274</v>
      </c>
      <c r="F12904" t="s">
        <v>948</v>
      </c>
      <c r="G12904">
        <v>6000000</v>
      </c>
      <c r="H12904">
        <v>143000</v>
      </c>
      <c r="I12904" t="s">
        <v>973</v>
      </c>
    </row>
    <row r="12905" spans="1:9" x14ac:dyDescent="0.25">
      <c r="A12905">
        <v>4124</v>
      </c>
      <c r="B12905">
        <v>60</v>
      </c>
      <c r="C12905" t="s">
        <v>946</v>
      </c>
      <c r="D12905" t="s">
        <v>1001</v>
      </c>
      <c r="E12905" t="s">
        <v>274</v>
      </c>
      <c r="F12905" t="s">
        <v>948</v>
      </c>
      <c r="G12905">
        <v>6077777</v>
      </c>
      <c r="H12905">
        <v>500465</v>
      </c>
      <c r="I12905" t="s">
        <v>949</v>
      </c>
    </row>
    <row r="12906" spans="1:9" x14ac:dyDescent="0.25">
      <c r="A12906">
        <v>4126</v>
      </c>
      <c r="B12906">
        <v>60</v>
      </c>
      <c r="C12906" t="s">
        <v>946</v>
      </c>
      <c r="D12906" t="s">
        <v>1001</v>
      </c>
      <c r="E12906" t="s">
        <v>274</v>
      </c>
      <c r="F12906" t="s">
        <v>948</v>
      </c>
      <c r="G12906">
        <v>6000000</v>
      </c>
      <c r="H12906">
        <v>143000</v>
      </c>
      <c r="I12906" t="s">
        <v>973</v>
      </c>
    </row>
    <row r="12907" spans="1:9" x14ac:dyDescent="0.25">
      <c r="A12907">
        <v>4128</v>
      </c>
      <c r="B12907">
        <v>60</v>
      </c>
      <c r="C12907" t="s">
        <v>946</v>
      </c>
      <c r="D12907" t="s">
        <v>1001</v>
      </c>
      <c r="E12907" t="s">
        <v>274</v>
      </c>
      <c r="F12907" t="s">
        <v>948</v>
      </c>
      <c r="G12907">
        <v>6077777</v>
      </c>
      <c r="H12907">
        <v>500460</v>
      </c>
      <c r="I12907" t="s">
        <v>949</v>
      </c>
    </row>
    <row r="12908" spans="1:9" x14ac:dyDescent="0.25">
      <c r="A12908">
        <v>4122</v>
      </c>
      <c r="B12908">
        <v>60</v>
      </c>
      <c r="C12908" t="s">
        <v>946</v>
      </c>
      <c r="D12908" t="s">
        <v>1001</v>
      </c>
      <c r="E12908" t="s">
        <v>974</v>
      </c>
      <c r="F12908" t="s">
        <v>948</v>
      </c>
      <c r="G12908">
        <v>6000000</v>
      </c>
      <c r="H12908">
        <v>141000</v>
      </c>
      <c r="I12908" t="s">
        <v>975</v>
      </c>
    </row>
    <row r="12909" spans="1:9" x14ac:dyDescent="0.25">
      <c r="A12909">
        <v>4124</v>
      </c>
      <c r="B12909">
        <v>60</v>
      </c>
      <c r="C12909" t="s">
        <v>946</v>
      </c>
      <c r="D12909" t="s">
        <v>1001</v>
      </c>
      <c r="E12909" t="s">
        <v>974</v>
      </c>
      <c r="F12909" t="s">
        <v>948</v>
      </c>
      <c r="G12909">
        <v>6077777</v>
      </c>
      <c r="H12909">
        <v>500465</v>
      </c>
      <c r="I12909" t="s">
        <v>949</v>
      </c>
    </row>
    <row r="12910" spans="1:9" x14ac:dyDescent="0.25">
      <c r="A12910">
        <v>4126</v>
      </c>
      <c r="B12910">
        <v>60</v>
      </c>
      <c r="C12910" t="s">
        <v>946</v>
      </c>
      <c r="D12910" t="s">
        <v>1001</v>
      </c>
      <c r="E12910" t="s">
        <v>974</v>
      </c>
      <c r="F12910" t="s">
        <v>948</v>
      </c>
      <c r="G12910">
        <v>6000000</v>
      </c>
      <c r="H12910">
        <v>141000</v>
      </c>
      <c r="I12910" t="s">
        <v>975</v>
      </c>
    </row>
    <row r="12911" spans="1:9" x14ac:dyDescent="0.25">
      <c r="A12911">
        <v>4128</v>
      </c>
      <c r="B12911">
        <v>60</v>
      </c>
      <c r="C12911" t="s">
        <v>946</v>
      </c>
      <c r="D12911" t="s">
        <v>1001</v>
      </c>
      <c r="E12911" t="s">
        <v>974</v>
      </c>
      <c r="F12911" t="s">
        <v>948</v>
      </c>
      <c r="G12911">
        <v>6077777</v>
      </c>
      <c r="H12911">
        <v>500460</v>
      </c>
      <c r="I12911" t="s">
        <v>949</v>
      </c>
    </row>
    <row r="12912" spans="1:9" x14ac:dyDescent="0.25">
      <c r="A12912">
        <v>4122</v>
      </c>
      <c r="B12912">
        <v>60</v>
      </c>
      <c r="C12912" t="s">
        <v>946</v>
      </c>
      <c r="D12912" t="s">
        <v>1001</v>
      </c>
      <c r="E12912" t="s">
        <v>104</v>
      </c>
      <c r="F12912" t="s">
        <v>948</v>
      </c>
      <c r="G12912">
        <v>6077777</v>
      </c>
      <c r="H12912">
        <v>500220</v>
      </c>
      <c r="I12912" t="s">
        <v>949</v>
      </c>
    </row>
    <row r="12913" spans="1:9" x14ac:dyDescent="0.25">
      <c r="A12913">
        <v>4124</v>
      </c>
      <c r="B12913">
        <v>60</v>
      </c>
      <c r="C12913" t="s">
        <v>946</v>
      </c>
      <c r="D12913" t="s">
        <v>1001</v>
      </c>
      <c r="E12913" t="s">
        <v>104</v>
      </c>
      <c r="F12913" t="s">
        <v>948</v>
      </c>
      <c r="G12913">
        <v>6077777</v>
      </c>
      <c r="H12913">
        <v>500221</v>
      </c>
      <c r="I12913" t="s">
        <v>949</v>
      </c>
    </row>
    <row r="12914" spans="1:9" x14ac:dyDescent="0.25">
      <c r="A12914">
        <v>4126</v>
      </c>
      <c r="B12914">
        <v>60</v>
      </c>
      <c r="C12914" t="s">
        <v>946</v>
      </c>
      <c r="D12914" t="s">
        <v>1001</v>
      </c>
      <c r="E12914" t="s">
        <v>104</v>
      </c>
      <c r="F12914" t="s">
        <v>948</v>
      </c>
      <c r="G12914">
        <v>6077777</v>
      </c>
      <c r="H12914">
        <v>500220</v>
      </c>
      <c r="I12914" t="s">
        <v>949</v>
      </c>
    </row>
    <row r="12915" spans="1:9" x14ac:dyDescent="0.25">
      <c r="A12915">
        <v>4128</v>
      </c>
      <c r="B12915">
        <v>60</v>
      </c>
      <c r="C12915" t="s">
        <v>946</v>
      </c>
      <c r="D12915" t="s">
        <v>1001</v>
      </c>
      <c r="E12915" t="s">
        <v>104</v>
      </c>
      <c r="F12915" t="s">
        <v>948</v>
      </c>
      <c r="G12915">
        <v>6077777</v>
      </c>
      <c r="H12915">
        <v>500221</v>
      </c>
      <c r="I12915" t="s">
        <v>949</v>
      </c>
    </row>
    <row r="12916" spans="1:9" x14ac:dyDescent="0.25">
      <c r="A12916">
        <v>4122</v>
      </c>
      <c r="B12916">
        <v>60</v>
      </c>
      <c r="C12916" t="s">
        <v>946</v>
      </c>
      <c r="D12916" t="s">
        <v>1001</v>
      </c>
      <c r="E12916" t="s">
        <v>278</v>
      </c>
      <c r="F12916" t="s">
        <v>948</v>
      </c>
      <c r="G12916">
        <v>6000000</v>
      </c>
      <c r="H12916">
        <v>145000</v>
      </c>
      <c r="I12916" t="s">
        <v>949</v>
      </c>
    </row>
    <row r="12917" spans="1:9" x14ac:dyDescent="0.25">
      <c r="A12917">
        <v>4124</v>
      </c>
      <c r="B12917">
        <v>60</v>
      </c>
      <c r="C12917" t="s">
        <v>946</v>
      </c>
      <c r="D12917" t="s">
        <v>1001</v>
      </c>
      <c r="E12917" t="s">
        <v>278</v>
      </c>
      <c r="F12917" t="s">
        <v>948</v>
      </c>
      <c r="G12917">
        <v>6077777</v>
      </c>
      <c r="H12917">
        <v>500465</v>
      </c>
      <c r="I12917" t="s">
        <v>949</v>
      </c>
    </row>
    <row r="12918" spans="1:9" x14ac:dyDescent="0.25">
      <c r="A12918">
        <v>4126</v>
      </c>
      <c r="B12918">
        <v>60</v>
      </c>
      <c r="C12918" t="s">
        <v>946</v>
      </c>
      <c r="D12918" t="s">
        <v>1001</v>
      </c>
      <c r="E12918" t="s">
        <v>278</v>
      </c>
      <c r="F12918" t="s">
        <v>948</v>
      </c>
      <c r="G12918">
        <v>6000000</v>
      </c>
      <c r="H12918">
        <v>145000</v>
      </c>
      <c r="I12918" t="s">
        <v>949</v>
      </c>
    </row>
    <row r="12919" spans="1:9" x14ac:dyDescent="0.25">
      <c r="A12919">
        <v>4128</v>
      </c>
      <c r="B12919">
        <v>60</v>
      </c>
      <c r="C12919" t="s">
        <v>946</v>
      </c>
      <c r="D12919" t="s">
        <v>1001</v>
      </c>
      <c r="E12919" t="s">
        <v>278</v>
      </c>
      <c r="F12919" t="s">
        <v>948</v>
      </c>
      <c r="G12919">
        <v>6077777</v>
      </c>
      <c r="H12919">
        <v>500460</v>
      </c>
      <c r="I12919" t="s">
        <v>949</v>
      </c>
    </row>
    <row r="12920" spans="1:9" x14ac:dyDescent="0.25">
      <c r="A12920">
        <v>4122</v>
      </c>
      <c r="B12920">
        <v>60</v>
      </c>
      <c r="C12920" t="s">
        <v>946</v>
      </c>
      <c r="D12920" t="s">
        <v>1001</v>
      </c>
      <c r="E12920" t="s">
        <v>282</v>
      </c>
      <c r="F12920" t="s">
        <v>948</v>
      </c>
      <c r="G12920">
        <v>6000000</v>
      </c>
      <c r="H12920">
        <v>143100</v>
      </c>
      <c r="I12920" t="s">
        <v>949</v>
      </c>
    </row>
    <row r="12921" spans="1:9" x14ac:dyDescent="0.25">
      <c r="A12921">
        <v>4124</v>
      </c>
      <c r="B12921">
        <v>60</v>
      </c>
      <c r="C12921" t="s">
        <v>946</v>
      </c>
      <c r="D12921" t="s">
        <v>1001</v>
      </c>
      <c r="E12921" t="s">
        <v>282</v>
      </c>
      <c r="F12921" t="s">
        <v>948</v>
      </c>
      <c r="G12921">
        <v>6077777</v>
      </c>
      <c r="H12921">
        <v>500465</v>
      </c>
      <c r="I12921" t="s">
        <v>949</v>
      </c>
    </row>
    <row r="12922" spans="1:9" x14ac:dyDescent="0.25">
      <c r="A12922">
        <v>4126</v>
      </c>
      <c r="B12922">
        <v>60</v>
      </c>
      <c r="C12922" t="s">
        <v>946</v>
      </c>
      <c r="D12922" t="s">
        <v>1001</v>
      </c>
      <c r="E12922" t="s">
        <v>282</v>
      </c>
      <c r="F12922" t="s">
        <v>948</v>
      </c>
      <c r="G12922">
        <v>6000000</v>
      </c>
      <c r="H12922">
        <v>143100</v>
      </c>
      <c r="I12922" t="s">
        <v>949</v>
      </c>
    </row>
    <row r="12923" spans="1:9" x14ac:dyDescent="0.25">
      <c r="A12923">
        <v>4128</v>
      </c>
      <c r="B12923">
        <v>60</v>
      </c>
      <c r="C12923" t="s">
        <v>946</v>
      </c>
      <c r="D12923" t="s">
        <v>1001</v>
      </c>
      <c r="E12923" t="s">
        <v>282</v>
      </c>
      <c r="F12923" t="s">
        <v>948</v>
      </c>
      <c r="G12923">
        <v>6077777</v>
      </c>
      <c r="H12923">
        <v>500460</v>
      </c>
      <c r="I12923" t="s">
        <v>949</v>
      </c>
    </row>
    <row r="12924" spans="1:9" x14ac:dyDescent="0.25">
      <c r="A12924">
        <v>4122</v>
      </c>
      <c r="B12924">
        <v>60</v>
      </c>
      <c r="C12924" t="s">
        <v>946</v>
      </c>
      <c r="D12924" t="s">
        <v>1001</v>
      </c>
      <c r="E12924" t="s">
        <v>286</v>
      </c>
      <c r="F12924" t="s">
        <v>948</v>
      </c>
      <c r="G12924">
        <v>6000000</v>
      </c>
      <c r="H12924">
        <v>145000</v>
      </c>
      <c r="I12924" t="s">
        <v>949</v>
      </c>
    </row>
    <row r="12925" spans="1:9" x14ac:dyDescent="0.25">
      <c r="A12925">
        <v>4124</v>
      </c>
      <c r="B12925">
        <v>60</v>
      </c>
      <c r="C12925" t="s">
        <v>946</v>
      </c>
      <c r="D12925" t="s">
        <v>1001</v>
      </c>
      <c r="E12925" t="s">
        <v>286</v>
      </c>
      <c r="F12925" t="s">
        <v>948</v>
      </c>
      <c r="G12925">
        <v>6077777</v>
      </c>
      <c r="H12925">
        <v>500465</v>
      </c>
      <c r="I12925" t="s">
        <v>949</v>
      </c>
    </row>
    <row r="12926" spans="1:9" x14ac:dyDescent="0.25">
      <c r="A12926">
        <v>4126</v>
      </c>
      <c r="B12926">
        <v>60</v>
      </c>
      <c r="C12926" t="s">
        <v>946</v>
      </c>
      <c r="D12926" t="s">
        <v>1001</v>
      </c>
      <c r="E12926" t="s">
        <v>286</v>
      </c>
      <c r="F12926" t="s">
        <v>948</v>
      </c>
      <c r="G12926">
        <v>6000000</v>
      </c>
      <c r="H12926">
        <v>145000</v>
      </c>
      <c r="I12926" t="s">
        <v>949</v>
      </c>
    </row>
    <row r="12927" spans="1:9" x14ac:dyDescent="0.25">
      <c r="A12927">
        <v>4128</v>
      </c>
      <c r="B12927">
        <v>60</v>
      </c>
      <c r="C12927" t="s">
        <v>946</v>
      </c>
      <c r="D12927" t="s">
        <v>1001</v>
      </c>
      <c r="E12927" t="s">
        <v>286</v>
      </c>
      <c r="F12927" t="s">
        <v>948</v>
      </c>
      <c r="G12927">
        <v>6077777</v>
      </c>
      <c r="H12927">
        <v>500460</v>
      </c>
      <c r="I12927" t="s">
        <v>949</v>
      </c>
    </row>
    <row r="12928" spans="1:9" x14ac:dyDescent="0.25">
      <c r="A12928">
        <v>4122</v>
      </c>
      <c r="B12928">
        <v>60</v>
      </c>
      <c r="C12928" t="s">
        <v>946</v>
      </c>
      <c r="D12928" t="s">
        <v>1001</v>
      </c>
      <c r="E12928" t="s">
        <v>976</v>
      </c>
      <c r="F12928" t="s">
        <v>948</v>
      </c>
      <c r="G12928">
        <v>6000000</v>
      </c>
      <c r="H12928">
        <v>141000</v>
      </c>
      <c r="I12928" t="s">
        <v>977</v>
      </c>
    </row>
    <row r="12929" spans="1:9" x14ac:dyDescent="0.25">
      <c r="A12929">
        <v>4124</v>
      </c>
      <c r="B12929">
        <v>60</v>
      </c>
      <c r="C12929" t="s">
        <v>946</v>
      </c>
      <c r="D12929" t="s">
        <v>1001</v>
      </c>
      <c r="E12929" t="s">
        <v>976</v>
      </c>
      <c r="F12929" t="s">
        <v>948</v>
      </c>
      <c r="G12929">
        <v>6077777</v>
      </c>
      <c r="H12929">
        <v>500465</v>
      </c>
      <c r="I12929" t="s">
        <v>949</v>
      </c>
    </row>
    <row r="12930" spans="1:9" x14ac:dyDescent="0.25">
      <c r="A12930">
        <v>4126</v>
      </c>
      <c r="B12930">
        <v>60</v>
      </c>
      <c r="C12930" t="s">
        <v>946</v>
      </c>
      <c r="D12930" t="s">
        <v>1001</v>
      </c>
      <c r="E12930" t="s">
        <v>976</v>
      </c>
      <c r="F12930" t="s">
        <v>948</v>
      </c>
      <c r="G12930">
        <v>6000000</v>
      </c>
      <c r="H12930">
        <v>141000</v>
      </c>
      <c r="I12930" t="s">
        <v>977</v>
      </c>
    </row>
    <row r="12931" spans="1:9" x14ac:dyDescent="0.25">
      <c r="A12931">
        <v>4128</v>
      </c>
      <c r="B12931">
        <v>60</v>
      </c>
      <c r="C12931" t="s">
        <v>946</v>
      </c>
      <c r="D12931" t="s">
        <v>1001</v>
      </c>
      <c r="E12931" t="s">
        <v>976</v>
      </c>
      <c r="F12931" t="s">
        <v>948</v>
      </c>
      <c r="G12931">
        <v>6077777</v>
      </c>
      <c r="H12931">
        <v>500460</v>
      </c>
      <c r="I12931" t="s">
        <v>949</v>
      </c>
    </row>
    <row r="12932" spans="1:9" x14ac:dyDescent="0.25">
      <c r="A12932">
        <v>4122</v>
      </c>
      <c r="B12932">
        <v>60</v>
      </c>
      <c r="C12932" t="s">
        <v>946</v>
      </c>
      <c r="D12932" t="s">
        <v>1001</v>
      </c>
      <c r="E12932" t="s">
        <v>290</v>
      </c>
      <c r="F12932" t="s">
        <v>948</v>
      </c>
      <c r="G12932">
        <v>6000000</v>
      </c>
      <c r="H12932">
        <v>143000</v>
      </c>
      <c r="I12932" t="s">
        <v>978</v>
      </c>
    </row>
    <row r="12933" spans="1:9" x14ac:dyDescent="0.25">
      <c r="A12933">
        <v>4124</v>
      </c>
      <c r="B12933">
        <v>60</v>
      </c>
      <c r="C12933" t="s">
        <v>946</v>
      </c>
      <c r="D12933" t="s">
        <v>1001</v>
      </c>
      <c r="E12933" t="s">
        <v>290</v>
      </c>
      <c r="F12933" t="s">
        <v>948</v>
      </c>
      <c r="G12933">
        <v>6077777</v>
      </c>
      <c r="H12933">
        <v>500465</v>
      </c>
      <c r="I12933" t="s">
        <v>949</v>
      </c>
    </row>
    <row r="12934" spans="1:9" x14ac:dyDescent="0.25">
      <c r="A12934">
        <v>4126</v>
      </c>
      <c r="B12934">
        <v>60</v>
      </c>
      <c r="C12934" t="s">
        <v>946</v>
      </c>
      <c r="D12934" t="s">
        <v>1001</v>
      </c>
      <c r="E12934" t="s">
        <v>290</v>
      </c>
      <c r="F12934" t="s">
        <v>948</v>
      </c>
      <c r="G12934">
        <v>6000000</v>
      </c>
      <c r="H12934">
        <v>143000</v>
      </c>
      <c r="I12934" t="s">
        <v>978</v>
      </c>
    </row>
    <row r="12935" spans="1:9" x14ac:dyDescent="0.25">
      <c r="A12935">
        <v>4128</v>
      </c>
      <c r="B12935">
        <v>60</v>
      </c>
      <c r="C12935" t="s">
        <v>946</v>
      </c>
      <c r="D12935" t="s">
        <v>1001</v>
      </c>
      <c r="E12935" t="s">
        <v>290</v>
      </c>
      <c r="F12935" t="s">
        <v>948</v>
      </c>
      <c r="G12935">
        <v>6077777</v>
      </c>
      <c r="H12935">
        <v>500460</v>
      </c>
      <c r="I12935" t="s">
        <v>949</v>
      </c>
    </row>
    <row r="12936" spans="1:9" x14ac:dyDescent="0.25">
      <c r="A12936">
        <v>4122</v>
      </c>
      <c r="B12936">
        <v>60</v>
      </c>
      <c r="C12936" t="s">
        <v>946</v>
      </c>
      <c r="D12936" t="s">
        <v>1001</v>
      </c>
      <c r="E12936" t="s">
        <v>294</v>
      </c>
      <c r="F12936" t="s">
        <v>948</v>
      </c>
      <c r="G12936">
        <v>6000000</v>
      </c>
      <c r="H12936">
        <v>143000</v>
      </c>
      <c r="I12936" t="s">
        <v>979</v>
      </c>
    </row>
    <row r="12937" spans="1:9" x14ac:dyDescent="0.25">
      <c r="A12937">
        <v>4124</v>
      </c>
      <c r="B12937">
        <v>60</v>
      </c>
      <c r="C12937" t="s">
        <v>946</v>
      </c>
      <c r="D12937" t="s">
        <v>1001</v>
      </c>
      <c r="E12937" t="s">
        <v>294</v>
      </c>
      <c r="F12937" t="s">
        <v>948</v>
      </c>
      <c r="G12937">
        <v>6077777</v>
      </c>
      <c r="H12937">
        <v>500465</v>
      </c>
      <c r="I12937" t="s">
        <v>949</v>
      </c>
    </row>
    <row r="12938" spans="1:9" x14ac:dyDescent="0.25">
      <c r="A12938">
        <v>4126</v>
      </c>
      <c r="B12938">
        <v>60</v>
      </c>
      <c r="C12938" t="s">
        <v>946</v>
      </c>
      <c r="D12938" t="s">
        <v>1001</v>
      </c>
      <c r="E12938" t="s">
        <v>294</v>
      </c>
      <c r="F12938" t="s">
        <v>948</v>
      </c>
      <c r="G12938">
        <v>6000000</v>
      </c>
      <c r="H12938">
        <v>143000</v>
      </c>
      <c r="I12938" t="s">
        <v>979</v>
      </c>
    </row>
    <row r="12939" spans="1:9" x14ac:dyDescent="0.25">
      <c r="A12939">
        <v>4128</v>
      </c>
      <c r="B12939">
        <v>60</v>
      </c>
      <c r="C12939" t="s">
        <v>946</v>
      </c>
      <c r="D12939" t="s">
        <v>1001</v>
      </c>
      <c r="E12939" t="s">
        <v>294</v>
      </c>
      <c r="F12939" t="s">
        <v>948</v>
      </c>
      <c r="G12939">
        <v>6077777</v>
      </c>
      <c r="H12939">
        <v>500460</v>
      </c>
      <c r="I12939" t="s">
        <v>949</v>
      </c>
    </row>
    <row r="12940" spans="1:9" x14ac:dyDescent="0.25">
      <c r="A12940">
        <v>4122</v>
      </c>
      <c r="B12940">
        <v>60</v>
      </c>
      <c r="C12940" t="s">
        <v>946</v>
      </c>
      <c r="D12940" t="s">
        <v>1001</v>
      </c>
      <c r="E12940" t="s">
        <v>980</v>
      </c>
      <c r="F12940" t="s">
        <v>948</v>
      </c>
      <c r="G12940">
        <v>6000000</v>
      </c>
      <c r="H12940">
        <v>141000</v>
      </c>
      <c r="I12940" t="s">
        <v>981</v>
      </c>
    </row>
    <row r="12941" spans="1:9" x14ac:dyDescent="0.25">
      <c r="A12941">
        <v>4124</v>
      </c>
      <c r="B12941">
        <v>60</v>
      </c>
      <c r="C12941" t="s">
        <v>946</v>
      </c>
      <c r="D12941" t="s">
        <v>1001</v>
      </c>
      <c r="E12941" t="s">
        <v>980</v>
      </c>
      <c r="F12941" t="s">
        <v>948</v>
      </c>
      <c r="G12941">
        <v>6077777</v>
      </c>
      <c r="H12941">
        <v>500465</v>
      </c>
      <c r="I12941" t="s">
        <v>949</v>
      </c>
    </row>
    <row r="12942" spans="1:9" x14ac:dyDescent="0.25">
      <c r="A12942">
        <v>4126</v>
      </c>
      <c r="B12942">
        <v>60</v>
      </c>
      <c r="C12942" t="s">
        <v>946</v>
      </c>
      <c r="D12942" t="s">
        <v>1001</v>
      </c>
      <c r="E12942" t="s">
        <v>980</v>
      </c>
      <c r="F12942" t="s">
        <v>948</v>
      </c>
      <c r="G12942">
        <v>6000000</v>
      </c>
      <c r="H12942">
        <v>141000</v>
      </c>
      <c r="I12942" t="s">
        <v>981</v>
      </c>
    </row>
    <row r="12943" spans="1:9" x14ac:dyDescent="0.25">
      <c r="A12943">
        <v>4128</v>
      </c>
      <c r="B12943">
        <v>60</v>
      </c>
      <c r="C12943" t="s">
        <v>946</v>
      </c>
      <c r="D12943" t="s">
        <v>1001</v>
      </c>
      <c r="E12943" t="s">
        <v>980</v>
      </c>
      <c r="F12943" t="s">
        <v>948</v>
      </c>
      <c r="G12943">
        <v>6077777</v>
      </c>
      <c r="H12943">
        <v>500460</v>
      </c>
      <c r="I12943" t="s">
        <v>949</v>
      </c>
    </row>
    <row r="12944" spans="1:9" x14ac:dyDescent="0.25">
      <c r="A12944">
        <v>4122</v>
      </c>
      <c r="B12944">
        <v>60</v>
      </c>
      <c r="C12944" t="s">
        <v>946</v>
      </c>
      <c r="D12944" t="s">
        <v>1001</v>
      </c>
      <c r="E12944" t="s">
        <v>302</v>
      </c>
      <c r="F12944" t="s">
        <v>948</v>
      </c>
      <c r="G12944">
        <v>6000000</v>
      </c>
      <c r="H12944">
        <v>143000</v>
      </c>
      <c r="I12944" t="s">
        <v>982</v>
      </c>
    </row>
    <row r="12945" spans="1:9" x14ac:dyDescent="0.25">
      <c r="A12945">
        <v>4124</v>
      </c>
      <c r="B12945">
        <v>60</v>
      </c>
      <c r="C12945" t="s">
        <v>946</v>
      </c>
      <c r="D12945" t="s">
        <v>1001</v>
      </c>
      <c r="E12945" t="s">
        <v>302</v>
      </c>
      <c r="F12945" t="s">
        <v>948</v>
      </c>
      <c r="G12945">
        <v>6077777</v>
      </c>
      <c r="H12945">
        <v>500465</v>
      </c>
      <c r="I12945" t="s">
        <v>949</v>
      </c>
    </row>
    <row r="12946" spans="1:9" x14ac:dyDescent="0.25">
      <c r="A12946">
        <v>4126</v>
      </c>
      <c r="B12946">
        <v>60</v>
      </c>
      <c r="C12946" t="s">
        <v>946</v>
      </c>
      <c r="D12946" t="s">
        <v>1001</v>
      </c>
      <c r="E12946" t="s">
        <v>302</v>
      </c>
      <c r="F12946" t="s">
        <v>948</v>
      </c>
      <c r="G12946">
        <v>6000000</v>
      </c>
      <c r="H12946">
        <v>143000</v>
      </c>
      <c r="I12946" t="s">
        <v>982</v>
      </c>
    </row>
    <row r="12947" spans="1:9" x14ac:dyDescent="0.25">
      <c r="A12947">
        <v>4128</v>
      </c>
      <c r="B12947">
        <v>60</v>
      </c>
      <c r="C12947" t="s">
        <v>946</v>
      </c>
      <c r="D12947" t="s">
        <v>1001</v>
      </c>
      <c r="E12947" t="s">
        <v>302</v>
      </c>
      <c r="F12947" t="s">
        <v>948</v>
      </c>
      <c r="G12947">
        <v>6077777</v>
      </c>
      <c r="H12947">
        <v>500460</v>
      </c>
      <c r="I12947" t="s">
        <v>949</v>
      </c>
    </row>
    <row r="12948" spans="1:9" x14ac:dyDescent="0.25">
      <c r="A12948">
        <v>4122</v>
      </c>
      <c r="B12948">
        <v>60</v>
      </c>
      <c r="C12948" t="s">
        <v>946</v>
      </c>
      <c r="D12948" t="s">
        <v>1001</v>
      </c>
      <c r="E12948" t="s">
        <v>306</v>
      </c>
      <c r="F12948" t="s">
        <v>948</v>
      </c>
      <c r="G12948">
        <v>6000000</v>
      </c>
      <c r="H12948">
        <v>143000</v>
      </c>
      <c r="I12948" t="s">
        <v>983</v>
      </c>
    </row>
    <row r="12949" spans="1:9" x14ac:dyDescent="0.25">
      <c r="A12949">
        <v>4124</v>
      </c>
      <c r="B12949">
        <v>60</v>
      </c>
      <c r="C12949" t="s">
        <v>946</v>
      </c>
      <c r="D12949" t="s">
        <v>1001</v>
      </c>
      <c r="E12949" t="s">
        <v>306</v>
      </c>
      <c r="F12949" t="s">
        <v>948</v>
      </c>
      <c r="G12949">
        <v>6077777</v>
      </c>
      <c r="H12949">
        <v>500465</v>
      </c>
      <c r="I12949" t="s">
        <v>949</v>
      </c>
    </row>
    <row r="12950" spans="1:9" x14ac:dyDescent="0.25">
      <c r="A12950">
        <v>4126</v>
      </c>
      <c r="B12950">
        <v>60</v>
      </c>
      <c r="C12950" t="s">
        <v>946</v>
      </c>
      <c r="D12950" t="s">
        <v>1001</v>
      </c>
      <c r="E12950" t="s">
        <v>306</v>
      </c>
      <c r="F12950" t="s">
        <v>948</v>
      </c>
      <c r="G12950">
        <v>6000000</v>
      </c>
      <c r="H12950">
        <v>143000</v>
      </c>
      <c r="I12950" t="s">
        <v>983</v>
      </c>
    </row>
    <row r="12951" spans="1:9" x14ac:dyDescent="0.25">
      <c r="A12951">
        <v>4128</v>
      </c>
      <c r="B12951">
        <v>60</v>
      </c>
      <c r="C12951" t="s">
        <v>946</v>
      </c>
      <c r="D12951" t="s">
        <v>1001</v>
      </c>
      <c r="E12951" t="s">
        <v>306</v>
      </c>
      <c r="F12951" t="s">
        <v>948</v>
      </c>
      <c r="G12951">
        <v>6077777</v>
      </c>
      <c r="H12951">
        <v>500460</v>
      </c>
      <c r="I12951" t="s">
        <v>949</v>
      </c>
    </row>
    <row r="12952" spans="1:9" x14ac:dyDescent="0.25">
      <c r="A12952">
        <v>4122</v>
      </c>
      <c r="B12952">
        <v>60</v>
      </c>
      <c r="C12952" t="s">
        <v>946</v>
      </c>
      <c r="D12952" t="s">
        <v>1001</v>
      </c>
      <c r="E12952" t="s">
        <v>108</v>
      </c>
      <c r="F12952" t="s">
        <v>948</v>
      </c>
      <c r="G12952">
        <v>6077777</v>
      </c>
      <c r="H12952">
        <v>500220</v>
      </c>
      <c r="I12952" t="s">
        <v>949</v>
      </c>
    </row>
    <row r="12953" spans="1:9" x14ac:dyDescent="0.25">
      <c r="A12953">
        <v>4124</v>
      </c>
      <c r="B12953">
        <v>60</v>
      </c>
      <c r="C12953" t="s">
        <v>946</v>
      </c>
      <c r="D12953" t="s">
        <v>1001</v>
      </c>
      <c r="E12953" t="s">
        <v>108</v>
      </c>
      <c r="F12953" t="s">
        <v>948</v>
      </c>
      <c r="G12953">
        <v>6077777</v>
      </c>
      <c r="H12953">
        <v>500221</v>
      </c>
      <c r="I12953" t="s">
        <v>949</v>
      </c>
    </row>
    <row r="12954" spans="1:9" x14ac:dyDescent="0.25">
      <c r="A12954">
        <v>4126</v>
      </c>
      <c r="B12954">
        <v>60</v>
      </c>
      <c r="C12954" t="s">
        <v>946</v>
      </c>
      <c r="D12954" t="s">
        <v>1001</v>
      </c>
      <c r="E12954" t="s">
        <v>108</v>
      </c>
      <c r="F12954" t="s">
        <v>948</v>
      </c>
      <c r="G12954">
        <v>6077777</v>
      </c>
      <c r="H12954">
        <v>500220</v>
      </c>
      <c r="I12954" t="s">
        <v>949</v>
      </c>
    </row>
    <row r="12955" spans="1:9" x14ac:dyDescent="0.25">
      <c r="A12955">
        <v>4128</v>
      </c>
      <c r="B12955">
        <v>60</v>
      </c>
      <c r="C12955" t="s">
        <v>946</v>
      </c>
      <c r="D12955" t="s">
        <v>1001</v>
      </c>
      <c r="E12955" t="s">
        <v>108</v>
      </c>
      <c r="F12955" t="s">
        <v>948</v>
      </c>
      <c r="G12955">
        <v>6077777</v>
      </c>
      <c r="H12955">
        <v>500221</v>
      </c>
      <c r="I12955" t="s">
        <v>949</v>
      </c>
    </row>
    <row r="12956" spans="1:9" x14ac:dyDescent="0.25">
      <c r="A12956">
        <v>4122</v>
      </c>
      <c r="B12956">
        <v>60</v>
      </c>
      <c r="C12956" t="s">
        <v>946</v>
      </c>
      <c r="D12956" t="s">
        <v>1001</v>
      </c>
      <c r="E12956" t="s">
        <v>310</v>
      </c>
      <c r="F12956" t="s">
        <v>948</v>
      </c>
      <c r="G12956">
        <v>6000000</v>
      </c>
      <c r="H12956">
        <v>145000</v>
      </c>
      <c r="I12956" t="s">
        <v>949</v>
      </c>
    </row>
    <row r="12957" spans="1:9" x14ac:dyDescent="0.25">
      <c r="A12957">
        <v>4124</v>
      </c>
      <c r="B12957">
        <v>60</v>
      </c>
      <c r="C12957" t="s">
        <v>946</v>
      </c>
      <c r="D12957" t="s">
        <v>1001</v>
      </c>
      <c r="E12957" t="s">
        <v>310</v>
      </c>
      <c r="F12957" t="s">
        <v>948</v>
      </c>
      <c r="G12957">
        <v>6077777</v>
      </c>
      <c r="H12957">
        <v>500465</v>
      </c>
      <c r="I12957" t="s">
        <v>949</v>
      </c>
    </row>
    <row r="12958" spans="1:9" x14ac:dyDescent="0.25">
      <c r="A12958">
        <v>4126</v>
      </c>
      <c r="B12958">
        <v>60</v>
      </c>
      <c r="C12958" t="s">
        <v>946</v>
      </c>
      <c r="D12958" t="s">
        <v>1001</v>
      </c>
      <c r="E12958" t="s">
        <v>310</v>
      </c>
      <c r="F12958" t="s">
        <v>948</v>
      </c>
      <c r="G12958">
        <v>6000000</v>
      </c>
      <c r="H12958">
        <v>145000</v>
      </c>
      <c r="I12958" t="s">
        <v>949</v>
      </c>
    </row>
    <row r="12959" spans="1:9" x14ac:dyDescent="0.25">
      <c r="A12959">
        <v>4128</v>
      </c>
      <c r="B12959">
        <v>60</v>
      </c>
      <c r="C12959" t="s">
        <v>946</v>
      </c>
      <c r="D12959" t="s">
        <v>1001</v>
      </c>
      <c r="E12959" t="s">
        <v>310</v>
      </c>
      <c r="F12959" t="s">
        <v>948</v>
      </c>
      <c r="G12959">
        <v>6077777</v>
      </c>
      <c r="H12959">
        <v>500460</v>
      </c>
      <c r="I12959" t="s">
        <v>949</v>
      </c>
    </row>
    <row r="12960" spans="1:9" x14ac:dyDescent="0.25">
      <c r="A12960">
        <v>4122</v>
      </c>
      <c r="B12960">
        <v>60</v>
      </c>
      <c r="C12960" t="s">
        <v>946</v>
      </c>
      <c r="D12960" t="s">
        <v>1001</v>
      </c>
      <c r="E12960" t="s">
        <v>314</v>
      </c>
      <c r="F12960" t="s">
        <v>948</v>
      </c>
      <c r="G12960">
        <v>6000000</v>
      </c>
      <c r="H12960">
        <v>145000</v>
      </c>
      <c r="I12960" t="s">
        <v>949</v>
      </c>
    </row>
    <row r="12961" spans="1:9" x14ac:dyDescent="0.25">
      <c r="A12961">
        <v>4124</v>
      </c>
      <c r="B12961">
        <v>60</v>
      </c>
      <c r="C12961" t="s">
        <v>946</v>
      </c>
      <c r="D12961" t="s">
        <v>1001</v>
      </c>
      <c r="E12961" t="s">
        <v>314</v>
      </c>
      <c r="F12961" t="s">
        <v>948</v>
      </c>
      <c r="G12961">
        <v>6077777</v>
      </c>
      <c r="H12961">
        <v>500465</v>
      </c>
      <c r="I12961" t="s">
        <v>949</v>
      </c>
    </row>
    <row r="12962" spans="1:9" x14ac:dyDescent="0.25">
      <c r="A12962">
        <v>4126</v>
      </c>
      <c r="B12962">
        <v>60</v>
      </c>
      <c r="C12962" t="s">
        <v>946</v>
      </c>
      <c r="D12962" t="s">
        <v>1001</v>
      </c>
      <c r="E12962" t="s">
        <v>314</v>
      </c>
      <c r="F12962" t="s">
        <v>948</v>
      </c>
      <c r="G12962">
        <v>6000000</v>
      </c>
      <c r="H12962">
        <v>145000</v>
      </c>
      <c r="I12962" t="s">
        <v>949</v>
      </c>
    </row>
    <row r="12963" spans="1:9" x14ac:dyDescent="0.25">
      <c r="A12963">
        <v>4128</v>
      </c>
      <c r="B12963">
        <v>60</v>
      </c>
      <c r="C12963" t="s">
        <v>946</v>
      </c>
      <c r="D12963" t="s">
        <v>1001</v>
      </c>
      <c r="E12963" t="s">
        <v>314</v>
      </c>
      <c r="F12963" t="s">
        <v>948</v>
      </c>
      <c r="G12963">
        <v>6077777</v>
      </c>
      <c r="H12963">
        <v>500460</v>
      </c>
      <c r="I12963" t="s">
        <v>949</v>
      </c>
    </row>
    <row r="12964" spans="1:9" x14ac:dyDescent="0.25">
      <c r="A12964">
        <v>4122</v>
      </c>
      <c r="B12964">
        <v>60</v>
      </c>
      <c r="C12964" t="s">
        <v>946</v>
      </c>
      <c r="D12964" t="s">
        <v>1001</v>
      </c>
      <c r="E12964" t="s">
        <v>121</v>
      </c>
      <c r="F12964" t="s">
        <v>948</v>
      </c>
      <c r="G12964">
        <v>6077777</v>
      </c>
      <c r="H12964">
        <v>500220</v>
      </c>
      <c r="I12964" t="s">
        <v>949</v>
      </c>
    </row>
    <row r="12965" spans="1:9" x14ac:dyDescent="0.25">
      <c r="A12965">
        <v>4124</v>
      </c>
      <c r="B12965">
        <v>60</v>
      </c>
      <c r="C12965" t="s">
        <v>946</v>
      </c>
      <c r="D12965" t="s">
        <v>1001</v>
      </c>
      <c r="E12965" t="s">
        <v>121</v>
      </c>
      <c r="F12965" t="s">
        <v>948</v>
      </c>
      <c r="G12965">
        <v>6077777</v>
      </c>
      <c r="H12965">
        <v>500221</v>
      </c>
      <c r="I12965" t="s">
        <v>949</v>
      </c>
    </row>
    <row r="12966" spans="1:9" x14ac:dyDescent="0.25">
      <c r="A12966">
        <v>4126</v>
      </c>
      <c r="B12966">
        <v>60</v>
      </c>
      <c r="C12966" t="s">
        <v>946</v>
      </c>
      <c r="D12966" t="s">
        <v>1001</v>
      </c>
      <c r="E12966" t="s">
        <v>121</v>
      </c>
      <c r="F12966" t="s">
        <v>948</v>
      </c>
      <c r="G12966">
        <v>6077777</v>
      </c>
      <c r="H12966">
        <v>500220</v>
      </c>
      <c r="I12966" t="s">
        <v>949</v>
      </c>
    </row>
    <row r="12967" spans="1:9" x14ac:dyDescent="0.25">
      <c r="A12967">
        <v>4128</v>
      </c>
      <c r="B12967">
        <v>60</v>
      </c>
      <c r="C12967" t="s">
        <v>946</v>
      </c>
      <c r="D12967" t="s">
        <v>1001</v>
      </c>
      <c r="E12967" t="s">
        <v>121</v>
      </c>
      <c r="F12967" t="s">
        <v>948</v>
      </c>
      <c r="G12967">
        <v>6077777</v>
      </c>
      <c r="H12967">
        <v>500221</v>
      </c>
      <c r="I12967" t="s">
        <v>949</v>
      </c>
    </row>
    <row r="12968" spans="1:9" x14ac:dyDescent="0.25">
      <c r="A12968">
        <v>4122</v>
      </c>
      <c r="B12968">
        <v>60</v>
      </c>
      <c r="C12968" t="s">
        <v>946</v>
      </c>
      <c r="D12968" t="s">
        <v>1001</v>
      </c>
      <c r="E12968" t="s">
        <v>984</v>
      </c>
      <c r="F12968" t="s">
        <v>948</v>
      </c>
      <c r="G12968">
        <v>6000000</v>
      </c>
      <c r="H12968">
        <v>141000</v>
      </c>
      <c r="I12968" t="s">
        <v>985</v>
      </c>
    </row>
    <row r="12969" spans="1:9" x14ac:dyDescent="0.25">
      <c r="A12969">
        <v>4124</v>
      </c>
      <c r="B12969">
        <v>60</v>
      </c>
      <c r="C12969" t="s">
        <v>946</v>
      </c>
      <c r="D12969" t="s">
        <v>1001</v>
      </c>
      <c r="E12969" t="s">
        <v>984</v>
      </c>
      <c r="F12969" t="s">
        <v>948</v>
      </c>
      <c r="G12969">
        <v>6077777</v>
      </c>
      <c r="H12969">
        <v>500465</v>
      </c>
      <c r="I12969" t="s">
        <v>949</v>
      </c>
    </row>
    <row r="12970" spans="1:9" x14ac:dyDescent="0.25">
      <c r="A12970">
        <v>4126</v>
      </c>
      <c r="B12970">
        <v>60</v>
      </c>
      <c r="C12970" t="s">
        <v>946</v>
      </c>
      <c r="D12970" t="s">
        <v>1001</v>
      </c>
      <c r="E12970" t="s">
        <v>984</v>
      </c>
      <c r="F12970" t="s">
        <v>948</v>
      </c>
      <c r="G12970">
        <v>6000000</v>
      </c>
      <c r="H12970">
        <v>141000</v>
      </c>
      <c r="I12970" t="s">
        <v>985</v>
      </c>
    </row>
    <row r="12971" spans="1:9" x14ac:dyDescent="0.25">
      <c r="A12971">
        <v>4128</v>
      </c>
      <c r="B12971">
        <v>60</v>
      </c>
      <c r="C12971" t="s">
        <v>946</v>
      </c>
      <c r="D12971" t="s">
        <v>1001</v>
      </c>
      <c r="E12971" t="s">
        <v>984</v>
      </c>
      <c r="F12971" t="s">
        <v>948</v>
      </c>
      <c r="G12971">
        <v>6077777</v>
      </c>
      <c r="H12971">
        <v>500460</v>
      </c>
      <c r="I12971" t="s">
        <v>949</v>
      </c>
    </row>
    <row r="12972" spans="1:9" x14ac:dyDescent="0.25">
      <c r="A12972">
        <v>4122</v>
      </c>
      <c r="B12972">
        <v>60</v>
      </c>
      <c r="C12972" t="s">
        <v>946</v>
      </c>
      <c r="D12972" t="s">
        <v>1004</v>
      </c>
      <c r="E12972" t="s">
        <v>49</v>
      </c>
      <c r="F12972" t="s">
        <v>948</v>
      </c>
      <c r="G12972">
        <v>6077777</v>
      </c>
      <c r="H12972">
        <v>500220</v>
      </c>
      <c r="I12972" t="s">
        <v>949</v>
      </c>
    </row>
    <row r="12973" spans="1:9" x14ac:dyDescent="0.25">
      <c r="A12973">
        <v>4124</v>
      </c>
      <c r="B12973">
        <v>60</v>
      </c>
      <c r="C12973" t="s">
        <v>946</v>
      </c>
      <c r="D12973" t="s">
        <v>1004</v>
      </c>
      <c r="E12973" t="s">
        <v>49</v>
      </c>
      <c r="F12973" t="s">
        <v>948</v>
      </c>
      <c r="G12973">
        <v>6077777</v>
      </c>
      <c r="H12973">
        <v>500221</v>
      </c>
      <c r="I12973" t="s">
        <v>949</v>
      </c>
    </row>
    <row r="12974" spans="1:9" x14ac:dyDescent="0.25">
      <c r="A12974">
        <v>3110</v>
      </c>
      <c r="B12974">
        <v>60</v>
      </c>
      <c r="C12974" t="s">
        <v>950</v>
      </c>
      <c r="D12974" t="s">
        <v>1005</v>
      </c>
      <c r="E12974" t="s">
        <v>243</v>
      </c>
      <c r="F12974" t="s">
        <v>951</v>
      </c>
      <c r="G12974">
        <v>6000000</v>
      </c>
      <c r="H12974">
        <v>145000</v>
      </c>
      <c r="I12974" t="s">
        <v>949</v>
      </c>
    </row>
    <row r="12975" spans="1:9" x14ac:dyDescent="0.25">
      <c r="A12975">
        <v>3110</v>
      </c>
      <c r="B12975">
        <v>60</v>
      </c>
      <c r="C12975" t="s">
        <v>950</v>
      </c>
      <c r="D12975" t="s">
        <v>1005</v>
      </c>
      <c r="E12975" t="s">
        <v>243</v>
      </c>
      <c r="F12975" t="s">
        <v>952</v>
      </c>
      <c r="G12975">
        <v>6000000</v>
      </c>
      <c r="H12975">
        <v>145000</v>
      </c>
      <c r="I12975" t="s">
        <v>949</v>
      </c>
    </row>
    <row r="12976" spans="1:9" x14ac:dyDescent="0.25">
      <c r="A12976">
        <v>3110</v>
      </c>
      <c r="B12976">
        <v>60</v>
      </c>
      <c r="C12976" t="s">
        <v>962</v>
      </c>
      <c r="D12976" t="s">
        <v>1005</v>
      </c>
      <c r="E12976" t="s">
        <v>243</v>
      </c>
      <c r="F12976" t="s">
        <v>951</v>
      </c>
      <c r="G12976">
        <v>6000000</v>
      </c>
      <c r="H12976">
        <v>145000</v>
      </c>
      <c r="I12976" t="s">
        <v>949</v>
      </c>
    </row>
    <row r="12977" spans="1:9" x14ac:dyDescent="0.25">
      <c r="A12977">
        <v>3110</v>
      </c>
      <c r="B12977">
        <v>60</v>
      </c>
      <c r="C12977" t="s">
        <v>962</v>
      </c>
      <c r="D12977" t="s">
        <v>1005</v>
      </c>
      <c r="E12977" t="s">
        <v>243</v>
      </c>
      <c r="F12977" t="s">
        <v>952</v>
      </c>
      <c r="G12977">
        <v>6000000</v>
      </c>
      <c r="H12977">
        <v>145000</v>
      </c>
      <c r="I12977" t="s">
        <v>949</v>
      </c>
    </row>
    <row r="12978" spans="1:9" x14ac:dyDescent="0.25">
      <c r="A12978">
        <v>3110</v>
      </c>
      <c r="B12978">
        <v>60</v>
      </c>
      <c r="C12978" t="s">
        <v>963</v>
      </c>
      <c r="D12978" t="s">
        <v>1005</v>
      </c>
      <c r="E12978" t="s">
        <v>243</v>
      </c>
      <c r="F12978" t="s">
        <v>951</v>
      </c>
      <c r="G12978">
        <v>6000000</v>
      </c>
      <c r="H12978">
        <v>145000</v>
      </c>
      <c r="I12978" t="s">
        <v>949</v>
      </c>
    </row>
    <row r="12979" spans="1:9" x14ac:dyDescent="0.25">
      <c r="A12979">
        <v>3110</v>
      </c>
      <c r="B12979">
        <v>60</v>
      </c>
      <c r="C12979" t="s">
        <v>963</v>
      </c>
      <c r="D12979" t="s">
        <v>1005</v>
      </c>
      <c r="E12979" t="s">
        <v>243</v>
      </c>
      <c r="F12979" t="s">
        <v>952</v>
      </c>
      <c r="G12979">
        <v>6000000</v>
      </c>
      <c r="H12979">
        <v>145000</v>
      </c>
      <c r="I12979" t="s">
        <v>949</v>
      </c>
    </row>
    <row r="12980" spans="1:9" x14ac:dyDescent="0.25">
      <c r="A12980">
        <v>3110</v>
      </c>
      <c r="B12980">
        <v>60</v>
      </c>
      <c r="C12980" t="s">
        <v>950</v>
      </c>
      <c r="D12980" t="s">
        <v>1005</v>
      </c>
      <c r="E12980" t="s">
        <v>247</v>
      </c>
      <c r="F12980" t="s">
        <v>951</v>
      </c>
      <c r="G12980">
        <v>6000000</v>
      </c>
      <c r="H12980">
        <v>145000</v>
      </c>
      <c r="I12980" t="s">
        <v>949</v>
      </c>
    </row>
    <row r="12981" spans="1:9" x14ac:dyDescent="0.25">
      <c r="A12981">
        <v>3110</v>
      </c>
      <c r="B12981">
        <v>60</v>
      </c>
      <c r="C12981" t="s">
        <v>950</v>
      </c>
      <c r="D12981" t="s">
        <v>1005</v>
      </c>
      <c r="E12981" t="s">
        <v>247</v>
      </c>
      <c r="F12981" t="s">
        <v>952</v>
      </c>
      <c r="G12981">
        <v>6000000</v>
      </c>
      <c r="H12981">
        <v>145000</v>
      </c>
      <c r="I12981" t="s">
        <v>949</v>
      </c>
    </row>
    <row r="12982" spans="1:9" x14ac:dyDescent="0.25">
      <c r="A12982">
        <v>3110</v>
      </c>
      <c r="B12982">
        <v>60</v>
      </c>
      <c r="C12982" t="s">
        <v>962</v>
      </c>
      <c r="D12982" t="s">
        <v>1005</v>
      </c>
      <c r="E12982" t="s">
        <v>247</v>
      </c>
      <c r="F12982" t="s">
        <v>951</v>
      </c>
      <c r="G12982">
        <v>6000000</v>
      </c>
      <c r="H12982">
        <v>145000</v>
      </c>
      <c r="I12982" t="s">
        <v>949</v>
      </c>
    </row>
    <row r="12983" spans="1:9" x14ac:dyDescent="0.25">
      <c r="A12983">
        <v>3110</v>
      </c>
      <c r="B12983">
        <v>60</v>
      </c>
      <c r="C12983" t="s">
        <v>962</v>
      </c>
      <c r="D12983" t="s">
        <v>1005</v>
      </c>
      <c r="E12983" t="s">
        <v>247</v>
      </c>
      <c r="F12983" t="s">
        <v>952</v>
      </c>
      <c r="G12983">
        <v>6000000</v>
      </c>
      <c r="H12983">
        <v>145000</v>
      </c>
      <c r="I12983" t="s">
        <v>949</v>
      </c>
    </row>
    <row r="12984" spans="1:9" x14ac:dyDescent="0.25">
      <c r="A12984">
        <v>3110</v>
      </c>
      <c r="B12984">
        <v>60</v>
      </c>
      <c r="C12984" t="s">
        <v>963</v>
      </c>
      <c r="D12984" t="s">
        <v>1005</v>
      </c>
      <c r="E12984" t="s">
        <v>247</v>
      </c>
      <c r="F12984" t="s">
        <v>951</v>
      </c>
      <c r="G12984">
        <v>6000000</v>
      </c>
      <c r="H12984">
        <v>145000</v>
      </c>
      <c r="I12984" t="s">
        <v>949</v>
      </c>
    </row>
    <row r="12985" spans="1:9" x14ac:dyDescent="0.25">
      <c r="A12985">
        <v>3110</v>
      </c>
      <c r="B12985">
        <v>60</v>
      </c>
      <c r="C12985" t="s">
        <v>963</v>
      </c>
      <c r="D12985" t="s">
        <v>1005</v>
      </c>
      <c r="E12985" t="s">
        <v>247</v>
      </c>
      <c r="F12985" t="s">
        <v>952</v>
      </c>
      <c r="G12985">
        <v>6000000</v>
      </c>
      <c r="H12985">
        <v>145000</v>
      </c>
      <c r="I12985" t="s">
        <v>949</v>
      </c>
    </row>
    <row r="12986" spans="1:9" x14ac:dyDescent="0.25">
      <c r="A12986">
        <v>3110</v>
      </c>
      <c r="B12986">
        <v>60</v>
      </c>
      <c r="C12986" t="s">
        <v>950</v>
      </c>
      <c r="D12986" t="s">
        <v>1005</v>
      </c>
      <c r="E12986" t="s">
        <v>251</v>
      </c>
      <c r="F12986" t="s">
        <v>951</v>
      </c>
      <c r="G12986">
        <v>6000000</v>
      </c>
      <c r="H12986">
        <v>142000</v>
      </c>
      <c r="I12986" t="s">
        <v>949</v>
      </c>
    </row>
    <row r="12987" spans="1:9" x14ac:dyDescent="0.25">
      <c r="A12987">
        <v>3110</v>
      </c>
      <c r="B12987">
        <v>60</v>
      </c>
      <c r="C12987" t="s">
        <v>950</v>
      </c>
      <c r="D12987" t="s">
        <v>1005</v>
      </c>
      <c r="E12987" t="s">
        <v>251</v>
      </c>
      <c r="F12987" t="s">
        <v>952</v>
      </c>
      <c r="G12987">
        <v>6000000</v>
      </c>
      <c r="H12987">
        <v>142000</v>
      </c>
      <c r="I12987" t="s">
        <v>949</v>
      </c>
    </row>
    <row r="12988" spans="1:9" x14ac:dyDescent="0.25">
      <c r="A12988">
        <v>3110</v>
      </c>
      <c r="B12988">
        <v>60</v>
      </c>
      <c r="C12988" t="s">
        <v>962</v>
      </c>
      <c r="D12988" t="s">
        <v>1005</v>
      </c>
      <c r="E12988" t="s">
        <v>251</v>
      </c>
      <c r="F12988" t="s">
        <v>951</v>
      </c>
      <c r="G12988">
        <v>6000000</v>
      </c>
      <c r="H12988">
        <v>142000</v>
      </c>
      <c r="I12988" t="s">
        <v>949</v>
      </c>
    </row>
    <row r="12989" spans="1:9" x14ac:dyDescent="0.25">
      <c r="A12989">
        <v>3110</v>
      </c>
      <c r="B12989">
        <v>60</v>
      </c>
      <c r="C12989" t="s">
        <v>962</v>
      </c>
      <c r="D12989" t="s">
        <v>1005</v>
      </c>
      <c r="E12989" t="s">
        <v>251</v>
      </c>
      <c r="F12989" t="s">
        <v>952</v>
      </c>
      <c r="G12989">
        <v>6000000</v>
      </c>
      <c r="H12989">
        <v>142000</v>
      </c>
      <c r="I12989" t="s">
        <v>949</v>
      </c>
    </row>
    <row r="12990" spans="1:9" x14ac:dyDescent="0.25">
      <c r="A12990">
        <v>3110</v>
      </c>
      <c r="B12990">
        <v>60</v>
      </c>
      <c r="C12990" t="s">
        <v>963</v>
      </c>
      <c r="D12990" t="s">
        <v>1005</v>
      </c>
      <c r="E12990" t="s">
        <v>251</v>
      </c>
      <c r="F12990" t="s">
        <v>951</v>
      </c>
      <c r="G12990">
        <v>6000000</v>
      </c>
      <c r="H12990">
        <v>142000</v>
      </c>
      <c r="I12990" t="s">
        <v>949</v>
      </c>
    </row>
    <row r="12991" spans="1:9" x14ac:dyDescent="0.25">
      <c r="A12991">
        <v>3110</v>
      </c>
      <c r="B12991">
        <v>60</v>
      </c>
      <c r="C12991" t="s">
        <v>963</v>
      </c>
      <c r="D12991" t="s">
        <v>1005</v>
      </c>
      <c r="E12991" t="s">
        <v>251</v>
      </c>
      <c r="F12991" t="s">
        <v>952</v>
      </c>
      <c r="G12991">
        <v>6000000</v>
      </c>
      <c r="H12991">
        <v>142000</v>
      </c>
      <c r="I12991" t="s">
        <v>949</v>
      </c>
    </row>
    <row r="12992" spans="1:9" x14ac:dyDescent="0.25">
      <c r="A12992">
        <v>3110</v>
      </c>
      <c r="B12992">
        <v>60</v>
      </c>
      <c r="C12992" t="s">
        <v>950</v>
      </c>
      <c r="D12992" t="s">
        <v>1005</v>
      </c>
      <c r="E12992" t="s">
        <v>969</v>
      </c>
      <c r="F12992" t="s">
        <v>951</v>
      </c>
      <c r="G12992">
        <v>6000000</v>
      </c>
      <c r="H12992">
        <v>141000</v>
      </c>
      <c r="I12992" t="s">
        <v>970</v>
      </c>
    </row>
    <row r="12993" spans="1:9" x14ac:dyDescent="0.25">
      <c r="A12993">
        <v>3110</v>
      </c>
      <c r="B12993">
        <v>60</v>
      </c>
      <c r="C12993" t="s">
        <v>950</v>
      </c>
      <c r="D12993" t="s">
        <v>1005</v>
      </c>
      <c r="E12993" t="s">
        <v>969</v>
      </c>
      <c r="F12993" t="s">
        <v>952</v>
      </c>
      <c r="G12993">
        <v>6000000</v>
      </c>
      <c r="H12993">
        <v>141000</v>
      </c>
      <c r="I12993" t="s">
        <v>970</v>
      </c>
    </row>
    <row r="12994" spans="1:9" x14ac:dyDescent="0.25">
      <c r="A12994">
        <v>3110</v>
      </c>
      <c r="B12994">
        <v>60</v>
      </c>
      <c r="C12994" t="s">
        <v>962</v>
      </c>
      <c r="D12994" t="s">
        <v>1005</v>
      </c>
      <c r="E12994" t="s">
        <v>969</v>
      </c>
      <c r="F12994" t="s">
        <v>951</v>
      </c>
      <c r="G12994">
        <v>6000000</v>
      </c>
      <c r="H12994">
        <v>141000</v>
      </c>
      <c r="I12994" t="s">
        <v>970</v>
      </c>
    </row>
    <row r="12995" spans="1:9" x14ac:dyDescent="0.25">
      <c r="A12995">
        <v>3110</v>
      </c>
      <c r="B12995">
        <v>60</v>
      </c>
      <c r="C12995" t="s">
        <v>962</v>
      </c>
      <c r="D12995" t="s">
        <v>1005</v>
      </c>
      <c r="E12995" t="s">
        <v>969</v>
      </c>
      <c r="F12995" t="s">
        <v>952</v>
      </c>
      <c r="G12995">
        <v>6000000</v>
      </c>
      <c r="H12995">
        <v>141000</v>
      </c>
      <c r="I12995" t="s">
        <v>970</v>
      </c>
    </row>
    <row r="12996" spans="1:9" x14ac:dyDescent="0.25">
      <c r="A12996">
        <v>3110</v>
      </c>
      <c r="B12996">
        <v>60</v>
      </c>
      <c r="C12996" t="s">
        <v>963</v>
      </c>
      <c r="D12996" t="s">
        <v>1005</v>
      </c>
      <c r="E12996" t="s">
        <v>969</v>
      </c>
      <c r="F12996" t="s">
        <v>951</v>
      </c>
      <c r="G12996">
        <v>6000000</v>
      </c>
      <c r="H12996">
        <v>141000</v>
      </c>
      <c r="I12996" t="s">
        <v>970</v>
      </c>
    </row>
    <row r="12997" spans="1:9" x14ac:dyDescent="0.25">
      <c r="A12997">
        <v>3110</v>
      </c>
      <c r="B12997">
        <v>60</v>
      </c>
      <c r="C12997" t="s">
        <v>963</v>
      </c>
      <c r="D12997" t="s">
        <v>1005</v>
      </c>
      <c r="E12997" t="s">
        <v>969</v>
      </c>
      <c r="F12997" t="s">
        <v>952</v>
      </c>
      <c r="G12997">
        <v>6000000</v>
      </c>
      <c r="H12997">
        <v>141000</v>
      </c>
      <c r="I12997" t="s">
        <v>970</v>
      </c>
    </row>
    <row r="12998" spans="1:9" x14ac:dyDescent="0.25">
      <c r="A12998">
        <v>3110</v>
      </c>
      <c r="B12998">
        <v>60</v>
      </c>
      <c r="C12998" t="s">
        <v>950</v>
      </c>
      <c r="D12998" t="s">
        <v>1005</v>
      </c>
      <c r="E12998" t="s">
        <v>255</v>
      </c>
      <c r="F12998" t="s">
        <v>951</v>
      </c>
      <c r="G12998">
        <v>6000000</v>
      </c>
      <c r="H12998">
        <v>145000</v>
      </c>
      <c r="I12998" t="s">
        <v>949</v>
      </c>
    </row>
    <row r="12999" spans="1:9" x14ac:dyDescent="0.25">
      <c r="A12999">
        <v>3110</v>
      </c>
      <c r="B12999">
        <v>60</v>
      </c>
      <c r="C12999" t="s">
        <v>950</v>
      </c>
      <c r="D12999" t="s">
        <v>1005</v>
      </c>
      <c r="E12999" t="s">
        <v>255</v>
      </c>
      <c r="F12999" t="s">
        <v>952</v>
      </c>
      <c r="G12999">
        <v>6000000</v>
      </c>
      <c r="H12999">
        <v>145000</v>
      </c>
      <c r="I12999" t="s">
        <v>949</v>
      </c>
    </row>
    <row r="13000" spans="1:9" x14ac:dyDescent="0.25">
      <c r="A13000">
        <v>3110</v>
      </c>
      <c r="B13000">
        <v>60</v>
      </c>
      <c r="C13000" t="s">
        <v>962</v>
      </c>
      <c r="D13000" t="s">
        <v>1005</v>
      </c>
      <c r="E13000" t="s">
        <v>255</v>
      </c>
      <c r="F13000" t="s">
        <v>951</v>
      </c>
      <c r="G13000">
        <v>6000000</v>
      </c>
      <c r="H13000">
        <v>145000</v>
      </c>
      <c r="I13000" t="s">
        <v>949</v>
      </c>
    </row>
    <row r="13001" spans="1:9" x14ac:dyDescent="0.25">
      <c r="A13001">
        <v>3110</v>
      </c>
      <c r="B13001">
        <v>60</v>
      </c>
      <c r="C13001" t="s">
        <v>962</v>
      </c>
      <c r="D13001" t="s">
        <v>1005</v>
      </c>
      <c r="E13001" t="s">
        <v>255</v>
      </c>
      <c r="F13001" t="s">
        <v>952</v>
      </c>
      <c r="G13001">
        <v>6000000</v>
      </c>
      <c r="H13001">
        <v>145000</v>
      </c>
      <c r="I13001" t="s">
        <v>949</v>
      </c>
    </row>
    <row r="13002" spans="1:9" x14ac:dyDescent="0.25">
      <c r="A13002">
        <v>3110</v>
      </c>
      <c r="B13002">
        <v>60</v>
      </c>
      <c r="C13002" t="s">
        <v>963</v>
      </c>
      <c r="D13002" t="s">
        <v>1005</v>
      </c>
      <c r="E13002" t="s">
        <v>255</v>
      </c>
      <c r="F13002" t="s">
        <v>951</v>
      </c>
      <c r="G13002">
        <v>6000000</v>
      </c>
      <c r="H13002">
        <v>145000</v>
      </c>
      <c r="I13002" t="s">
        <v>949</v>
      </c>
    </row>
    <row r="13003" spans="1:9" x14ac:dyDescent="0.25">
      <c r="A13003">
        <v>3110</v>
      </c>
      <c r="B13003">
        <v>60</v>
      </c>
      <c r="C13003" t="s">
        <v>963</v>
      </c>
      <c r="D13003" t="s">
        <v>1005</v>
      </c>
      <c r="E13003" t="s">
        <v>255</v>
      </c>
      <c r="F13003" t="s">
        <v>952</v>
      </c>
      <c r="G13003">
        <v>6000000</v>
      </c>
      <c r="H13003">
        <v>145000</v>
      </c>
      <c r="I13003" t="s">
        <v>949</v>
      </c>
    </row>
    <row r="13004" spans="1:9" x14ac:dyDescent="0.25">
      <c r="A13004">
        <v>3110</v>
      </c>
      <c r="B13004">
        <v>60</v>
      </c>
      <c r="C13004" t="s">
        <v>950</v>
      </c>
      <c r="D13004" t="s">
        <v>1005</v>
      </c>
      <c r="E13004" t="s">
        <v>971</v>
      </c>
      <c r="F13004" t="s">
        <v>951</v>
      </c>
      <c r="G13004">
        <v>6000000</v>
      </c>
      <c r="H13004">
        <v>141000</v>
      </c>
      <c r="I13004" t="s">
        <v>972</v>
      </c>
    </row>
    <row r="13005" spans="1:9" x14ac:dyDescent="0.25">
      <c r="A13005">
        <v>3110</v>
      </c>
      <c r="B13005">
        <v>60</v>
      </c>
      <c r="C13005" t="s">
        <v>950</v>
      </c>
      <c r="D13005" t="s">
        <v>1005</v>
      </c>
      <c r="E13005" t="s">
        <v>971</v>
      </c>
      <c r="F13005" t="s">
        <v>952</v>
      </c>
      <c r="G13005">
        <v>6000000</v>
      </c>
      <c r="H13005">
        <v>141000</v>
      </c>
      <c r="I13005" t="s">
        <v>972</v>
      </c>
    </row>
    <row r="13006" spans="1:9" x14ac:dyDescent="0.25">
      <c r="A13006">
        <v>3110</v>
      </c>
      <c r="B13006">
        <v>60</v>
      </c>
      <c r="C13006" t="s">
        <v>962</v>
      </c>
      <c r="D13006" t="s">
        <v>1005</v>
      </c>
      <c r="E13006" t="s">
        <v>971</v>
      </c>
      <c r="F13006" t="s">
        <v>951</v>
      </c>
      <c r="G13006">
        <v>6000000</v>
      </c>
      <c r="H13006">
        <v>141000</v>
      </c>
      <c r="I13006" t="s">
        <v>972</v>
      </c>
    </row>
    <row r="13007" spans="1:9" x14ac:dyDescent="0.25">
      <c r="A13007">
        <v>3110</v>
      </c>
      <c r="B13007">
        <v>60</v>
      </c>
      <c r="C13007" t="s">
        <v>962</v>
      </c>
      <c r="D13007" t="s">
        <v>1005</v>
      </c>
      <c r="E13007" t="s">
        <v>971</v>
      </c>
      <c r="F13007" t="s">
        <v>952</v>
      </c>
      <c r="G13007">
        <v>6000000</v>
      </c>
      <c r="H13007">
        <v>141000</v>
      </c>
      <c r="I13007" t="s">
        <v>972</v>
      </c>
    </row>
    <row r="13008" spans="1:9" x14ac:dyDescent="0.25">
      <c r="A13008">
        <v>3110</v>
      </c>
      <c r="B13008">
        <v>60</v>
      </c>
      <c r="C13008" t="s">
        <v>963</v>
      </c>
      <c r="D13008" t="s">
        <v>1005</v>
      </c>
      <c r="E13008" t="s">
        <v>971</v>
      </c>
      <c r="F13008" t="s">
        <v>951</v>
      </c>
      <c r="G13008">
        <v>6000000</v>
      </c>
      <c r="H13008">
        <v>141000</v>
      </c>
      <c r="I13008" t="s">
        <v>972</v>
      </c>
    </row>
    <row r="13009" spans="1:9" x14ac:dyDescent="0.25">
      <c r="A13009">
        <v>3110</v>
      </c>
      <c r="B13009">
        <v>60</v>
      </c>
      <c r="C13009" t="s">
        <v>963</v>
      </c>
      <c r="D13009" t="s">
        <v>1005</v>
      </c>
      <c r="E13009" t="s">
        <v>971</v>
      </c>
      <c r="F13009" t="s">
        <v>952</v>
      </c>
      <c r="G13009">
        <v>6000000</v>
      </c>
      <c r="H13009">
        <v>141000</v>
      </c>
      <c r="I13009" t="s">
        <v>972</v>
      </c>
    </row>
    <row r="13010" spans="1:9" x14ac:dyDescent="0.25">
      <c r="A13010">
        <v>3110</v>
      </c>
      <c r="B13010">
        <v>60</v>
      </c>
      <c r="C13010" t="s">
        <v>950</v>
      </c>
      <c r="D13010" t="s">
        <v>1005</v>
      </c>
      <c r="E13010" t="s">
        <v>263</v>
      </c>
      <c r="F13010" t="s">
        <v>951</v>
      </c>
      <c r="G13010">
        <v>6000000</v>
      </c>
      <c r="H13010">
        <v>145000</v>
      </c>
      <c r="I13010" t="s">
        <v>949</v>
      </c>
    </row>
    <row r="13011" spans="1:9" x14ac:dyDescent="0.25">
      <c r="A13011">
        <v>3110</v>
      </c>
      <c r="B13011">
        <v>60</v>
      </c>
      <c r="C13011" t="s">
        <v>950</v>
      </c>
      <c r="D13011" t="s">
        <v>1005</v>
      </c>
      <c r="E13011" t="s">
        <v>263</v>
      </c>
      <c r="F13011" t="s">
        <v>952</v>
      </c>
      <c r="G13011">
        <v>6000000</v>
      </c>
      <c r="H13011">
        <v>145000</v>
      </c>
      <c r="I13011" t="s">
        <v>949</v>
      </c>
    </row>
    <row r="13012" spans="1:9" x14ac:dyDescent="0.25">
      <c r="A13012">
        <v>3110</v>
      </c>
      <c r="B13012">
        <v>60</v>
      </c>
      <c r="C13012" t="s">
        <v>962</v>
      </c>
      <c r="D13012" t="s">
        <v>1005</v>
      </c>
      <c r="E13012" t="s">
        <v>263</v>
      </c>
      <c r="F13012" t="s">
        <v>951</v>
      </c>
      <c r="G13012">
        <v>6000000</v>
      </c>
      <c r="H13012">
        <v>145000</v>
      </c>
      <c r="I13012" t="s">
        <v>949</v>
      </c>
    </row>
    <row r="13013" spans="1:9" x14ac:dyDescent="0.25">
      <c r="A13013">
        <v>3110</v>
      </c>
      <c r="B13013">
        <v>60</v>
      </c>
      <c r="C13013" t="s">
        <v>962</v>
      </c>
      <c r="D13013" t="s">
        <v>1005</v>
      </c>
      <c r="E13013" t="s">
        <v>263</v>
      </c>
      <c r="F13013" t="s">
        <v>952</v>
      </c>
      <c r="G13013">
        <v>6000000</v>
      </c>
      <c r="H13013">
        <v>145000</v>
      </c>
      <c r="I13013" t="s">
        <v>949</v>
      </c>
    </row>
    <row r="13014" spans="1:9" x14ac:dyDescent="0.25">
      <c r="A13014">
        <v>3110</v>
      </c>
      <c r="B13014">
        <v>60</v>
      </c>
      <c r="C13014" t="s">
        <v>963</v>
      </c>
      <c r="D13014" t="s">
        <v>1005</v>
      </c>
      <c r="E13014" t="s">
        <v>263</v>
      </c>
      <c r="F13014" t="s">
        <v>951</v>
      </c>
      <c r="G13014">
        <v>6000000</v>
      </c>
      <c r="H13014">
        <v>145000</v>
      </c>
      <c r="I13014" t="s">
        <v>949</v>
      </c>
    </row>
    <row r="13015" spans="1:9" x14ac:dyDescent="0.25">
      <c r="A13015">
        <v>3110</v>
      </c>
      <c r="B13015">
        <v>60</v>
      </c>
      <c r="C13015" t="s">
        <v>963</v>
      </c>
      <c r="D13015" t="s">
        <v>1005</v>
      </c>
      <c r="E13015" t="s">
        <v>263</v>
      </c>
      <c r="F13015" t="s">
        <v>952</v>
      </c>
      <c r="G13015">
        <v>6000000</v>
      </c>
      <c r="H13015">
        <v>145000</v>
      </c>
      <c r="I13015" t="s">
        <v>949</v>
      </c>
    </row>
    <row r="13016" spans="1:9" x14ac:dyDescent="0.25">
      <c r="A13016">
        <v>3110</v>
      </c>
      <c r="B13016">
        <v>60</v>
      </c>
      <c r="C13016" t="s">
        <v>950</v>
      </c>
      <c r="D13016" t="s">
        <v>1005</v>
      </c>
      <c r="E13016" t="s">
        <v>100</v>
      </c>
      <c r="F13016" t="s">
        <v>951</v>
      </c>
      <c r="G13016">
        <v>6077777</v>
      </c>
      <c r="H13016">
        <v>500220</v>
      </c>
      <c r="I13016" t="s">
        <v>949</v>
      </c>
    </row>
    <row r="13017" spans="1:9" x14ac:dyDescent="0.25">
      <c r="A13017">
        <v>3110</v>
      </c>
      <c r="B13017">
        <v>60</v>
      </c>
      <c r="C13017" t="s">
        <v>950</v>
      </c>
      <c r="D13017" t="s">
        <v>1005</v>
      </c>
      <c r="E13017" t="s">
        <v>100</v>
      </c>
      <c r="F13017" t="s">
        <v>952</v>
      </c>
      <c r="G13017">
        <v>6077777</v>
      </c>
      <c r="H13017">
        <v>500220</v>
      </c>
      <c r="I13017" t="s">
        <v>949</v>
      </c>
    </row>
    <row r="13018" spans="1:9" x14ac:dyDescent="0.25">
      <c r="A13018">
        <v>3110</v>
      </c>
      <c r="B13018">
        <v>60</v>
      </c>
      <c r="C13018" t="s">
        <v>962</v>
      </c>
      <c r="D13018" t="s">
        <v>1005</v>
      </c>
      <c r="E13018" t="s">
        <v>100</v>
      </c>
      <c r="F13018" t="s">
        <v>951</v>
      </c>
      <c r="G13018">
        <v>6077777</v>
      </c>
      <c r="H13018">
        <v>500220</v>
      </c>
      <c r="I13018" t="s">
        <v>949</v>
      </c>
    </row>
    <row r="13019" spans="1:9" x14ac:dyDescent="0.25">
      <c r="A13019">
        <v>3110</v>
      </c>
      <c r="B13019">
        <v>60</v>
      </c>
      <c r="C13019" t="s">
        <v>962</v>
      </c>
      <c r="D13019" t="s">
        <v>1005</v>
      </c>
      <c r="E13019" t="s">
        <v>100</v>
      </c>
      <c r="F13019" t="s">
        <v>952</v>
      </c>
      <c r="G13019">
        <v>6077777</v>
      </c>
      <c r="H13019">
        <v>500220</v>
      </c>
      <c r="I13019" t="s">
        <v>949</v>
      </c>
    </row>
    <row r="13020" spans="1:9" x14ac:dyDescent="0.25">
      <c r="A13020">
        <v>3110</v>
      </c>
      <c r="B13020">
        <v>60</v>
      </c>
      <c r="C13020" t="s">
        <v>963</v>
      </c>
      <c r="D13020" t="s">
        <v>1005</v>
      </c>
      <c r="E13020" t="s">
        <v>100</v>
      </c>
      <c r="F13020" t="s">
        <v>951</v>
      </c>
      <c r="G13020">
        <v>6077777</v>
      </c>
      <c r="H13020">
        <v>500220</v>
      </c>
      <c r="I13020" t="s">
        <v>949</v>
      </c>
    </row>
    <row r="13021" spans="1:9" x14ac:dyDescent="0.25">
      <c r="A13021">
        <v>3110</v>
      </c>
      <c r="B13021">
        <v>60</v>
      </c>
      <c r="C13021" t="s">
        <v>963</v>
      </c>
      <c r="D13021" t="s">
        <v>1005</v>
      </c>
      <c r="E13021" t="s">
        <v>100</v>
      </c>
      <c r="F13021" t="s">
        <v>952</v>
      </c>
      <c r="G13021">
        <v>6077777</v>
      </c>
      <c r="H13021">
        <v>500220</v>
      </c>
      <c r="I13021" t="s">
        <v>949</v>
      </c>
    </row>
    <row r="13022" spans="1:9" x14ac:dyDescent="0.25">
      <c r="A13022">
        <v>3110</v>
      </c>
      <c r="B13022">
        <v>60</v>
      </c>
      <c r="C13022" t="s">
        <v>950</v>
      </c>
      <c r="D13022" t="s">
        <v>1005</v>
      </c>
      <c r="E13022" t="s">
        <v>270</v>
      </c>
      <c r="F13022" t="s">
        <v>951</v>
      </c>
      <c r="G13022">
        <v>6000000</v>
      </c>
      <c r="H13022">
        <v>145000</v>
      </c>
      <c r="I13022" t="s">
        <v>949</v>
      </c>
    </row>
    <row r="13023" spans="1:9" x14ac:dyDescent="0.25">
      <c r="A13023">
        <v>3110</v>
      </c>
      <c r="B13023">
        <v>60</v>
      </c>
      <c r="C13023" t="s">
        <v>950</v>
      </c>
      <c r="D13023" t="s">
        <v>1005</v>
      </c>
      <c r="E13023" t="s">
        <v>270</v>
      </c>
      <c r="F13023" t="s">
        <v>952</v>
      </c>
      <c r="G13023">
        <v>6000000</v>
      </c>
      <c r="H13023">
        <v>145000</v>
      </c>
      <c r="I13023" t="s">
        <v>949</v>
      </c>
    </row>
    <row r="13024" spans="1:9" x14ac:dyDescent="0.25">
      <c r="A13024">
        <v>3110</v>
      </c>
      <c r="B13024">
        <v>60</v>
      </c>
      <c r="C13024" t="s">
        <v>962</v>
      </c>
      <c r="D13024" t="s">
        <v>1005</v>
      </c>
      <c r="E13024" t="s">
        <v>270</v>
      </c>
      <c r="F13024" t="s">
        <v>951</v>
      </c>
      <c r="G13024">
        <v>6000000</v>
      </c>
      <c r="H13024">
        <v>145000</v>
      </c>
      <c r="I13024" t="s">
        <v>949</v>
      </c>
    </row>
    <row r="13025" spans="1:9" x14ac:dyDescent="0.25">
      <c r="A13025">
        <v>3110</v>
      </c>
      <c r="B13025">
        <v>60</v>
      </c>
      <c r="C13025" t="s">
        <v>962</v>
      </c>
      <c r="D13025" t="s">
        <v>1005</v>
      </c>
      <c r="E13025" t="s">
        <v>270</v>
      </c>
      <c r="F13025" t="s">
        <v>952</v>
      </c>
      <c r="G13025">
        <v>6000000</v>
      </c>
      <c r="H13025">
        <v>145000</v>
      </c>
      <c r="I13025" t="s">
        <v>949</v>
      </c>
    </row>
    <row r="13026" spans="1:9" x14ac:dyDescent="0.25">
      <c r="A13026">
        <v>3110</v>
      </c>
      <c r="B13026">
        <v>60</v>
      </c>
      <c r="C13026" t="s">
        <v>963</v>
      </c>
      <c r="D13026" t="s">
        <v>1005</v>
      </c>
      <c r="E13026" t="s">
        <v>270</v>
      </c>
      <c r="F13026" t="s">
        <v>951</v>
      </c>
      <c r="G13026">
        <v>6000000</v>
      </c>
      <c r="H13026">
        <v>145000</v>
      </c>
      <c r="I13026" t="s">
        <v>949</v>
      </c>
    </row>
    <row r="13027" spans="1:9" x14ac:dyDescent="0.25">
      <c r="A13027">
        <v>3110</v>
      </c>
      <c r="B13027">
        <v>60</v>
      </c>
      <c r="C13027" t="s">
        <v>963</v>
      </c>
      <c r="D13027" t="s">
        <v>1005</v>
      </c>
      <c r="E13027" t="s">
        <v>270</v>
      </c>
      <c r="F13027" t="s">
        <v>952</v>
      </c>
      <c r="G13027">
        <v>6000000</v>
      </c>
      <c r="H13027">
        <v>145000</v>
      </c>
      <c r="I13027" t="s">
        <v>949</v>
      </c>
    </row>
    <row r="13028" spans="1:9" x14ac:dyDescent="0.25">
      <c r="A13028">
        <v>3110</v>
      </c>
      <c r="B13028">
        <v>60</v>
      </c>
      <c r="C13028" t="s">
        <v>950</v>
      </c>
      <c r="D13028" t="s">
        <v>1005</v>
      </c>
      <c r="E13028" t="s">
        <v>274</v>
      </c>
      <c r="F13028" t="s">
        <v>951</v>
      </c>
      <c r="G13028">
        <v>6000000</v>
      </c>
      <c r="H13028">
        <v>143000</v>
      </c>
      <c r="I13028" t="s">
        <v>973</v>
      </c>
    </row>
    <row r="13029" spans="1:9" x14ac:dyDescent="0.25">
      <c r="A13029">
        <v>3110</v>
      </c>
      <c r="B13029">
        <v>60</v>
      </c>
      <c r="C13029" t="s">
        <v>950</v>
      </c>
      <c r="D13029" t="s">
        <v>1005</v>
      </c>
      <c r="E13029" t="s">
        <v>274</v>
      </c>
      <c r="F13029" t="s">
        <v>952</v>
      </c>
      <c r="G13029">
        <v>6000000</v>
      </c>
      <c r="H13029">
        <v>143000</v>
      </c>
      <c r="I13029" t="s">
        <v>973</v>
      </c>
    </row>
    <row r="13030" spans="1:9" x14ac:dyDescent="0.25">
      <c r="A13030">
        <v>3110</v>
      </c>
      <c r="B13030">
        <v>60</v>
      </c>
      <c r="C13030" t="s">
        <v>950</v>
      </c>
      <c r="D13030" t="s">
        <v>1005</v>
      </c>
      <c r="E13030" t="s">
        <v>274</v>
      </c>
      <c r="F13030" t="s">
        <v>956</v>
      </c>
      <c r="G13030">
        <v>6000000</v>
      </c>
      <c r="H13030">
        <v>143000</v>
      </c>
      <c r="I13030" t="s">
        <v>973</v>
      </c>
    </row>
    <row r="13031" spans="1:9" x14ac:dyDescent="0.25">
      <c r="A13031">
        <v>3110</v>
      </c>
      <c r="B13031">
        <v>60</v>
      </c>
      <c r="C13031" t="s">
        <v>950</v>
      </c>
      <c r="D13031" t="s">
        <v>1005</v>
      </c>
      <c r="E13031" t="s">
        <v>274</v>
      </c>
      <c r="F13031" t="s">
        <v>957</v>
      </c>
      <c r="G13031">
        <v>6000000</v>
      </c>
      <c r="H13031">
        <v>143000</v>
      </c>
      <c r="I13031" t="s">
        <v>973</v>
      </c>
    </row>
    <row r="13032" spans="1:9" x14ac:dyDescent="0.25">
      <c r="A13032">
        <v>3110</v>
      </c>
      <c r="B13032">
        <v>60</v>
      </c>
      <c r="C13032" t="s">
        <v>950</v>
      </c>
      <c r="D13032" t="s">
        <v>1005</v>
      </c>
      <c r="E13032" t="s">
        <v>274</v>
      </c>
      <c r="F13032" t="s">
        <v>958</v>
      </c>
      <c r="G13032">
        <v>6000000</v>
      </c>
      <c r="H13032">
        <v>143000</v>
      </c>
      <c r="I13032" t="s">
        <v>973</v>
      </c>
    </row>
    <row r="13033" spans="1:9" x14ac:dyDescent="0.25">
      <c r="A13033">
        <v>3110</v>
      </c>
      <c r="B13033">
        <v>60</v>
      </c>
      <c r="C13033" t="s">
        <v>962</v>
      </c>
      <c r="D13033" t="s">
        <v>1005</v>
      </c>
      <c r="E13033" t="s">
        <v>274</v>
      </c>
      <c r="F13033" t="s">
        <v>951</v>
      </c>
      <c r="G13033">
        <v>6000000</v>
      </c>
      <c r="H13033">
        <v>143000</v>
      </c>
      <c r="I13033" t="s">
        <v>973</v>
      </c>
    </row>
    <row r="13034" spans="1:9" x14ac:dyDescent="0.25">
      <c r="A13034">
        <v>3110</v>
      </c>
      <c r="B13034">
        <v>60</v>
      </c>
      <c r="C13034" t="s">
        <v>962</v>
      </c>
      <c r="D13034" t="s">
        <v>1005</v>
      </c>
      <c r="E13034" t="s">
        <v>274</v>
      </c>
      <c r="F13034" t="s">
        <v>952</v>
      </c>
      <c r="G13034">
        <v>6000000</v>
      </c>
      <c r="H13034">
        <v>143000</v>
      </c>
      <c r="I13034" t="s">
        <v>973</v>
      </c>
    </row>
    <row r="13035" spans="1:9" x14ac:dyDescent="0.25">
      <c r="A13035">
        <v>3110</v>
      </c>
      <c r="B13035">
        <v>60</v>
      </c>
      <c r="C13035" t="s">
        <v>962</v>
      </c>
      <c r="D13035" t="s">
        <v>1005</v>
      </c>
      <c r="E13035" t="s">
        <v>274</v>
      </c>
      <c r="F13035" t="s">
        <v>956</v>
      </c>
      <c r="G13035">
        <v>6000000</v>
      </c>
      <c r="H13035">
        <v>143000</v>
      </c>
      <c r="I13035" t="s">
        <v>973</v>
      </c>
    </row>
    <row r="13036" spans="1:9" x14ac:dyDescent="0.25">
      <c r="A13036">
        <v>3110</v>
      </c>
      <c r="B13036">
        <v>60</v>
      </c>
      <c r="C13036" t="s">
        <v>962</v>
      </c>
      <c r="D13036" t="s">
        <v>1005</v>
      </c>
      <c r="E13036" t="s">
        <v>274</v>
      </c>
      <c r="F13036" t="s">
        <v>957</v>
      </c>
      <c r="G13036">
        <v>6000000</v>
      </c>
      <c r="H13036">
        <v>143000</v>
      </c>
      <c r="I13036" t="s">
        <v>973</v>
      </c>
    </row>
    <row r="13037" spans="1:9" x14ac:dyDescent="0.25">
      <c r="A13037">
        <v>3110</v>
      </c>
      <c r="B13037">
        <v>60</v>
      </c>
      <c r="C13037" t="s">
        <v>962</v>
      </c>
      <c r="D13037" t="s">
        <v>1005</v>
      </c>
      <c r="E13037" t="s">
        <v>274</v>
      </c>
      <c r="F13037" t="s">
        <v>958</v>
      </c>
      <c r="G13037">
        <v>6000000</v>
      </c>
      <c r="H13037">
        <v>143000</v>
      </c>
      <c r="I13037" t="s">
        <v>973</v>
      </c>
    </row>
    <row r="13038" spans="1:9" x14ac:dyDescent="0.25">
      <c r="A13038">
        <v>3110</v>
      </c>
      <c r="B13038">
        <v>60</v>
      </c>
      <c r="C13038" t="s">
        <v>963</v>
      </c>
      <c r="D13038" t="s">
        <v>1005</v>
      </c>
      <c r="E13038" t="s">
        <v>274</v>
      </c>
      <c r="F13038" t="s">
        <v>951</v>
      </c>
      <c r="G13038">
        <v>6000000</v>
      </c>
      <c r="H13038">
        <v>143000</v>
      </c>
      <c r="I13038" t="s">
        <v>973</v>
      </c>
    </row>
    <row r="13039" spans="1:9" x14ac:dyDescent="0.25">
      <c r="A13039">
        <v>3110</v>
      </c>
      <c r="B13039">
        <v>60</v>
      </c>
      <c r="C13039" t="s">
        <v>963</v>
      </c>
      <c r="D13039" t="s">
        <v>1005</v>
      </c>
      <c r="E13039" t="s">
        <v>274</v>
      </c>
      <c r="F13039" t="s">
        <v>952</v>
      </c>
      <c r="G13039">
        <v>6000000</v>
      </c>
      <c r="H13039">
        <v>143000</v>
      </c>
      <c r="I13039" t="s">
        <v>973</v>
      </c>
    </row>
    <row r="13040" spans="1:9" x14ac:dyDescent="0.25">
      <c r="A13040">
        <v>3110</v>
      </c>
      <c r="B13040">
        <v>60</v>
      </c>
      <c r="C13040" t="s">
        <v>963</v>
      </c>
      <c r="D13040" t="s">
        <v>1005</v>
      </c>
      <c r="E13040" t="s">
        <v>274</v>
      </c>
      <c r="F13040" t="s">
        <v>956</v>
      </c>
      <c r="G13040">
        <v>6000000</v>
      </c>
      <c r="H13040">
        <v>143000</v>
      </c>
      <c r="I13040" t="s">
        <v>973</v>
      </c>
    </row>
    <row r="13041" spans="1:9" x14ac:dyDescent="0.25">
      <c r="A13041">
        <v>3110</v>
      </c>
      <c r="B13041">
        <v>60</v>
      </c>
      <c r="C13041" t="s">
        <v>963</v>
      </c>
      <c r="D13041" t="s">
        <v>1005</v>
      </c>
      <c r="E13041" t="s">
        <v>274</v>
      </c>
      <c r="F13041" t="s">
        <v>957</v>
      </c>
      <c r="G13041">
        <v>6000000</v>
      </c>
      <c r="H13041">
        <v>143000</v>
      </c>
      <c r="I13041" t="s">
        <v>973</v>
      </c>
    </row>
    <row r="13042" spans="1:9" x14ac:dyDescent="0.25">
      <c r="A13042">
        <v>3110</v>
      </c>
      <c r="B13042">
        <v>60</v>
      </c>
      <c r="C13042" t="s">
        <v>963</v>
      </c>
      <c r="D13042" t="s">
        <v>1005</v>
      </c>
      <c r="E13042" t="s">
        <v>274</v>
      </c>
      <c r="F13042" t="s">
        <v>958</v>
      </c>
      <c r="G13042">
        <v>6000000</v>
      </c>
      <c r="H13042">
        <v>143000</v>
      </c>
      <c r="I13042" t="s">
        <v>973</v>
      </c>
    </row>
    <row r="13043" spans="1:9" x14ac:dyDescent="0.25">
      <c r="A13043">
        <v>3110</v>
      </c>
      <c r="B13043">
        <v>60</v>
      </c>
      <c r="C13043" t="s">
        <v>950</v>
      </c>
      <c r="D13043" t="s">
        <v>1005</v>
      </c>
      <c r="E13043" t="s">
        <v>974</v>
      </c>
      <c r="F13043" t="s">
        <v>951</v>
      </c>
      <c r="G13043">
        <v>6000000</v>
      </c>
      <c r="H13043">
        <v>141000</v>
      </c>
      <c r="I13043" t="s">
        <v>975</v>
      </c>
    </row>
    <row r="13044" spans="1:9" x14ac:dyDescent="0.25">
      <c r="A13044">
        <v>3110</v>
      </c>
      <c r="B13044">
        <v>60</v>
      </c>
      <c r="C13044" t="s">
        <v>950</v>
      </c>
      <c r="D13044" t="s">
        <v>1005</v>
      </c>
      <c r="E13044" t="s">
        <v>974</v>
      </c>
      <c r="F13044" t="s">
        <v>952</v>
      </c>
      <c r="G13044">
        <v>6000000</v>
      </c>
      <c r="H13044">
        <v>141000</v>
      </c>
      <c r="I13044" t="s">
        <v>975</v>
      </c>
    </row>
    <row r="13045" spans="1:9" x14ac:dyDescent="0.25">
      <c r="A13045">
        <v>3110</v>
      </c>
      <c r="B13045">
        <v>60</v>
      </c>
      <c r="C13045" t="s">
        <v>962</v>
      </c>
      <c r="D13045" t="s">
        <v>1005</v>
      </c>
      <c r="E13045" t="s">
        <v>974</v>
      </c>
      <c r="F13045" t="s">
        <v>951</v>
      </c>
      <c r="G13045">
        <v>6000000</v>
      </c>
      <c r="H13045">
        <v>141000</v>
      </c>
      <c r="I13045" t="s">
        <v>975</v>
      </c>
    </row>
    <row r="13046" spans="1:9" x14ac:dyDescent="0.25">
      <c r="A13046">
        <v>3110</v>
      </c>
      <c r="B13046">
        <v>60</v>
      </c>
      <c r="C13046" t="s">
        <v>962</v>
      </c>
      <c r="D13046" t="s">
        <v>1005</v>
      </c>
      <c r="E13046" t="s">
        <v>974</v>
      </c>
      <c r="F13046" t="s">
        <v>952</v>
      </c>
      <c r="G13046">
        <v>6000000</v>
      </c>
      <c r="H13046">
        <v>141000</v>
      </c>
      <c r="I13046" t="s">
        <v>975</v>
      </c>
    </row>
    <row r="13047" spans="1:9" x14ac:dyDescent="0.25">
      <c r="A13047">
        <v>3110</v>
      </c>
      <c r="B13047">
        <v>60</v>
      </c>
      <c r="C13047" t="s">
        <v>963</v>
      </c>
      <c r="D13047" t="s">
        <v>1005</v>
      </c>
      <c r="E13047" t="s">
        <v>974</v>
      </c>
      <c r="F13047" t="s">
        <v>951</v>
      </c>
      <c r="G13047">
        <v>6000000</v>
      </c>
      <c r="H13047">
        <v>141000</v>
      </c>
      <c r="I13047" t="s">
        <v>975</v>
      </c>
    </row>
    <row r="13048" spans="1:9" x14ac:dyDescent="0.25">
      <c r="A13048">
        <v>3110</v>
      </c>
      <c r="B13048">
        <v>60</v>
      </c>
      <c r="C13048" t="s">
        <v>963</v>
      </c>
      <c r="D13048" t="s">
        <v>1005</v>
      </c>
      <c r="E13048" t="s">
        <v>974</v>
      </c>
      <c r="F13048" t="s">
        <v>952</v>
      </c>
      <c r="G13048">
        <v>6000000</v>
      </c>
      <c r="H13048">
        <v>141000</v>
      </c>
      <c r="I13048" t="s">
        <v>975</v>
      </c>
    </row>
    <row r="13049" spans="1:9" x14ac:dyDescent="0.25">
      <c r="A13049">
        <v>3110</v>
      </c>
      <c r="B13049">
        <v>60</v>
      </c>
      <c r="C13049" t="s">
        <v>950</v>
      </c>
      <c r="D13049" t="s">
        <v>1005</v>
      </c>
      <c r="E13049" t="s">
        <v>104</v>
      </c>
      <c r="F13049" t="s">
        <v>951</v>
      </c>
      <c r="G13049">
        <v>6077777</v>
      </c>
      <c r="H13049">
        <v>500220</v>
      </c>
      <c r="I13049" t="s">
        <v>949</v>
      </c>
    </row>
    <row r="13050" spans="1:9" x14ac:dyDescent="0.25">
      <c r="A13050">
        <v>3110</v>
      </c>
      <c r="B13050">
        <v>60</v>
      </c>
      <c r="C13050" t="s">
        <v>950</v>
      </c>
      <c r="D13050" t="s">
        <v>1005</v>
      </c>
      <c r="E13050" t="s">
        <v>104</v>
      </c>
      <c r="F13050" t="s">
        <v>952</v>
      </c>
      <c r="G13050">
        <v>6077777</v>
      </c>
      <c r="H13050">
        <v>500220</v>
      </c>
      <c r="I13050" t="s">
        <v>949</v>
      </c>
    </row>
    <row r="13051" spans="1:9" x14ac:dyDescent="0.25">
      <c r="A13051">
        <v>3110</v>
      </c>
      <c r="B13051">
        <v>60</v>
      </c>
      <c r="C13051" t="s">
        <v>962</v>
      </c>
      <c r="D13051" t="s">
        <v>1005</v>
      </c>
      <c r="E13051" t="s">
        <v>104</v>
      </c>
      <c r="F13051" t="s">
        <v>951</v>
      </c>
      <c r="G13051">
        <v>6077777</v>
      </c>
      <c r="H13051">
        <v>500220</v>
      </c>
      <c r="I13051" t="s">
        <v>949</v>
      </c>
    </row>
    <row r="13052" spans="1:9" x14ac:dyDescent="0.25">
      <c r="A13052">
        <v>3110</v>
      </c>
      <c r="B13052">
        <v>60</v>
      </c>
      <c r="C13052" t="s">
        <v>962</v>
      </c>
      <c r="D13052" t="s">
        <v>1005</v>
      </c>
      <c r="E13052" t="s">
        <v>104</v>
      </c>
      <c r="F13052" t="s">
        <v>952</v>
      </c>
      <c r="G13052">
        <v>6077777</v>
      </c>
      <c r="H13052">
        <v>500220</v>
      </c>
      <c r="I13052" t="s">
        <v>949</v>
      </c>
    </row>
    <row r="13053" spans="1:9" x14ac:dyDescent="0.25">
      <c r="A13053">
        <v>3110</v>
      </c>
      <c r="B13053">
        <v>60</v>
      </c>
      <c r="C13053" t="s">
        <v>963</v>
      </c>
      <c r="D13053" t="s">
        <v>1005</v>
      </c>
      <c r="E13053" t="s">
        <v>104</v>
      </c>
      <c r="F13053" t="s">
        <v>951</v>
      </c>
      <c r="G13053">
        <v>6077777</v>
      </c>
      <c r="H13053">
        <v>500220</v>
      </c>
      <c r="I13053" t="s">
        <v>949</v>
      </c>
    </row>
    <row r="13054" spans="1:9" x14ac:dyDescent="0.25">
      <c r="A13054">
        <v>3110</v>
      </c>
      <c r="B13054">
        <v>60</v>
      </c>
      <c r="C13054" t="s">
        <v>963</v>
      </c>
      <c r="D13054" t="s">
        <v>1005</v>
      </c>
      <c r="E13054" t="s">
        <v>104</v>
      </c>
      <c r="F13054" t="s">
        <v>952</v>
      </c>
      <c r="G13054">
        <v>6077777</v>
      </c>
      <c r="H13054">
        <v>500220</v>
      </c>
      <c r="I13054" t="s">
        <v>949</v>
      </c>
    </row>
    <row r="13055" spans="1:9" x14ac:dyDescent="0.25">
      <c r="A13055">
        <v>3110</v>
      </c>
      <c r="B13055">
        <v>60</v>
      </c>
      <c r="C13055" t="s">
        <v>950</v>
      </c>
      <c r="D13055" t="s">
        <v>1005</v>
      </c>
      <c r="E13055" t="s">
        <v>278</v>
      </c>
      <c r="F13055" t="s">
        <v>951</v>
      </c>
      <c r="G13055">
        <v>6000000</v>
      </c>
      <c r="H13055">
        <v>145000</v>
      </c>
      <c r="I13055" t="s">
        <v>949</v>
      </c>
    </row>
    <row r="13056" spans="1:9" x14ac:dyDescent="0.25">
      <c r="A13056">
        <v>3110</v>
      </c>
      <c r="B13056">
        <v>60</v>
      </c>
      <c r="C13056" t="s">
        <v>950</v>
      </c>
      <c r="D13056" t="s">
        <v>1005</v>
      </c>
      <c r="E13056" t="s">
        <v>278</v>
      </c>
      <c r="F13056" t="s">
        <v>952</v>
      </c>
      <c r="G13056">
        <v>6000000</v>
      </c>
      <c r="H13056">
        <v>145000</v>
      </c>
      <c r="I13056" t="s">
        <v>949</v>
      </c>
    </row>
    <row r="13057" spans="1:9" x14ac:dyDescent="0.25">
      <c r="A13057">
        <v>3110</v>
      </c>
      <c r="B13057">
        <v>60</v>
      </c>
      <c r="C13057" t="s">
        <v>962</v>
      </c>
      <c r="D13057" t="s">
        <v>1005</v>
      </c>
      <c r="E13057" t="s">
        <v>278</v>
      </c>
      <c r="F13057" t="s">
        <v>951</v>
      </c>
      <c r="G13057">
        <v>6000000</v>
      </c>
      <c r="H13057">
        <v>145000</v>
      </c>
      <c r="I13057" t="s">
        <v>949</v>
      </c>
    </row>
    <row r="13058" spans="1:9" x14ac:dyDescent="0.25">
      <c r="A13058">
        <v>3110</v>
      </c>
      <c r="B13058">
        <v>60</v>
      </c>
      <c r="C13058" t="s">
        <v>962</v>
      </c>
      <c r="D13058" t="s">
        <v>1005</v>
      </c>
      <c r="E13058" t="s">
        <v>278</v>
      </c>
      <c r="F13058" t="s">
        <v>952</v>
      </c>
      <c r="G13058">
        <v>6000000</v>
      </c>
      <c r="H13058">
        <v>145000</v>
      </c>
      <c r="I13058" t="s">
        <v>949</v>
      </c>
    </row>
    <row r="13059" spans="1:9" x14ac:dyDescent="0.25">
      <c r="A13059">
        <v>3110</v>
      </c>
      <c r="B13059">
        <v>60</v>
      </c>
      <c r="C13059" t="s">
        <v>963</v>
      </c>
      <c r="D13059" t="s">
        <v>1005</v>
      </c>
      <c r="E13059" t="s">
        <v>278</v>
      </c>
      <c r="F13059" t="s">
        <v>951</v>
      </c>
      <c r="G13059">
        <v>6000000</v>
      </c>
      <c r="H13059">
        <v>145000</v>
      </c>
      <c r="I13059" t="s">
        <v>949</v>
      </c>
    </row>
    <row r="13060" spans="1:9" x14ac:dyDescent="0.25">
      <c r="A13060">
        <v>3110</v>
      </c>
      <c r="B13060">
        <v>60</v>
      </c>
      <c r="C13060" t="s">
        <v>963</v>
      </c>
      <c r="D13060" t="s">
        <v>1005</v>
      </c>
      <c r="E13060" t="s">
        <v>278</v>
      </c>
      <c r="F13060" t="s">
        <v>952</v>
      </c>
      <c r="G13060">
        <v>6000000</v>
      </c>
      <c r="H13060">
        <v>145000</v>
      </c>
      <c r="I13060" t="s">
        <v>949</v>
      </c>
    </row>
    <row r="13061" spans="1:9" x14ac:dyDescent="0.25">
      <c r="A13061">
        <v>3110</v>
      </c>
      <c r="B13061">
        <v>60</v>
      </c>
      <c r="C13061" t="s">
        <v>950</v>
      </c>
      <c r="D13061" t="s">
        <v>1005</v>
      </c>
      <c r="E13061" t="s">
        <v>282</v>
      </c>
      <c r="F13061" t="s">
        <v>951</v>
      </c>
      <c r="G13061">
        <v>6000000</v>
      </c>
      <c r="H13061">
        <v>143100</v>
      </c>
      <c r="I13061" t="s">
        <v>949</v>
      </c>
    </row>
    <row r="13062" spans="1:9" x14ac:dyDescent="0.25">
      <c r="A13062">
        <v>3110</v>
      </c>
      <c r="B13062">
        <v>60</v>
      </c>
      <c r="C13062" t="s">
        <v>950</v>
      </c>
      <c r="D13062" t="s">
        <v>1005</v>
      </c>
      <c r="E13062" t="s">
        <v>282</v>
      </c>
      <c r="F13062" t="s">
        <v>952</v>
      </c>
      <c r="G13062">
        <v>6000000</v>
      </c>
      <c r="H13062">
        <v>143100</v>
      </c>
      <c r="I13062" t="s">
        <v>949</v>
      </c>
    </row>
    <row r="13063" spans="1:9" x14ac:dyDescent="0.25">
      <c r="A13063">
        <v>3110</v>
      </c>
      <c r="B13063">
        <v>60</v>
      </c>
      <c r="C13063" t="s">
        <v>962</v>
      </c>
      <c r="D13063" t="s">
        <v>1005</v>
      </c>
      <c r="E13063" t="s">
        <v>282</v>
      </c>
      <c r="F13063" t="s">
        <v>951</v>
      </c>
      <c r="G13063">
        <v>6000000</v>
      </c>
      <c r="H13063">
        <v>143100</v>
      </c>
      <c r="I13063" t="s">
        <v>949</v>
      </c>
    </row>
    <row r="13064" spans="1:9" x14ac:dyDescent="0.25">
      <c r="A13064">
        <v>3110</v>
      </c>
      <c r="B13064">
        <v>60</v>
      </c>
      <c r="C13064" t="s">
        <v>962</v>
      </c>
      <c r="D13064" t="s">
        <v>1005</v>
      </c>
      <c r="E13064" t="s">
        <v>282</v>
      </c>
      <c r="F13064" t="s">
        <v>952</v>
      </c>
      <c r="G13064">
        <v>6000000</v>
      </c>
      <c r="H13064">
        <v>143100</v>
      </c>
      <c r="I13064" t="s">
        <v>949</v>
      </c>
    </row>
    <row r="13065" spans="1:9" x14ac:dyDescent="0.25">
      <c r="A13065">
        <v>3110</v>
      </c>
      <c r="B13065">
        <v>60</v>
      </c>
      <c r="C13065" t="s">
        <v>963</v>
      </c>
      <c r="D13065" t="s">
        <v>1005</v>
      </c>
      <c r="E13065" t="s">
        <v>282</v>
      </c>
      <c r="F13065" t="s">
        <v>951</v>
      </c>
      <c r="G13065">
        <v>6000000</v>
      </c>
      <c r="H13065">
        <v>143100</v>
      </c>
      <c r="I13065" t="s">
        <v>949</v>
      </c>
    </row>
    <row r="13066" spans="1:9" x14ac:dyDescent="0.25">
      <c r="A13066">
        <v>3110</v>
      </c>
      <c r="B13066">
        <v>60</v>
      </c>
      <c r="C13066" t="s">
        <v>963</v>
      </c>
      <c r="D13066" t="s">
        <v>1005</v>
      </c>
      <c r="E13066" t="s">
        <v>282</v>
      </c>
      <c r="F13066" t="s">
        <v>952</v>
      </c>
      <c r="G13066">
        <v>6000000</v>
      </c>
      <c r="H13066">
        <v>143100</v>
      </c>
      <c r="I13066" t="s">
        <v>949</v>
      </c>
    </row>
    <row r="13067" spans="1:9" x14ac:dyDescent="0.25">
      <c r="A13067">
        <v>3110</v>
      </c>
      <c r="B13067">
        <v>60</v>
      </c>
      <c r="C13067" t="s">
        <v>950</v>
      </c>
      <c r="D13067" t="s">
        <v>1005</v>
      </c>
      <c r="E13067" t="s">
        <v>39</v>
      </c>
      <c r="F13067" t="s">
        <v>956</v>
      </c>
      <c r="G13067">
        <v>6077777</v>
      </c>
      <c r="H13067">
        <v>501090</v>
      </c>
      <c r="I13067" t="s">
        <v>949</v>
      </c>
    </row>
    <row r="13068" spans="1:9" x14ac:dyDescent="0.25">
      <c r="A13068">
        <v>3110</v>
      </c>
      <c r="B13068">
        <v>60</v>
      </c>
      <c r="C13068" t="s">
        <v>950</v>
      </c>
      <c r="D13068" t="s">
        <v>1005</v>
      </c>
      <c r="E13068" t="s">
        <v>39</v>
      </c>
      <c r="F13068" t="s">
        <v>957</v>
      </c>
      <c r="G13068">
        <v>6077777</v>
      </c>
      <c r="H13068">
        <v>501090</v>
      </c>
      <c r="I13068" t="s">
        <v>949</v>
      </c>
    </row>
    <row r="13069" spans="1:9" x14ac:dyDescent="0.25">
      <c r="A13069">
        <v>3110</v>
      </c>
      <c r="B13069">
        <v>60</v>
      </c>
      <c r="C13069" t="s">
        <v>950</v>
      </c>
      <c r="D13069" t="s">
        <v>1005</v>
      </c>
      <c r="E13069" t="s">
        <v>39</v>
      </c>
      <c r="F13069" t="s">
        <v>958</v>
      </c>
      <c r="G13069">
        <v>6077777</v>
      </c>
      <c r="H13069">
        <v>501090</v>
      </c>
      <c r="I13069" t="s">
        <v>949</v>
      </c>
    </row>
    <row r="13070" spans="1:9" x14ac:dyDescent="0.25">
      <c r="A13070">
        <v>3110</v>
      </c>
      <c r="B13070">
        <v>60</v>
      </c>
      <c r="C13070" t="s">
        <v>962</v>
      </c>
      <c r="D13070" t="s">
        <v>1005</v>
      </c>
      <c r="E13070" t="s">
        <v>39</v>
      </c>
      <c r="F13070" t="s">
        <v>956</v>
      </c>
      <c r="G13070">
        <v>6077777</v>
      </c>
      <c r="H13070">
        <v>501090</v>
      </c>
      <c r="I13070" t="s">
        <v>949</v>
      </c>
    </row>
    <row r="13071" spans="1:9" x14ac:dyDescent="0.25">
      <c r="A13071">
        <v>3110</v>
      </c>
      <c r="B13071">
        <v>60</v>
      </c>
      <c r="C13071" t="s">
        <v>962</v>
      </c>
      <c r="D13071" t="s">
        <v>1005</v>
      </c>
      <c r="E13071" t="s">
        <v>39</v>
      </c>
      <c r="F13071" t="s">
        <v>957</v>
      </c>
      <c r="G13071">
        <v>6077777</v>
      </c>
      <c r="H13071">
        <v>501090</v>
      </c>
      <c r="I13071" t="s">
        <v>949</v>
      </c>
    </row>
    <row r="13072" spans="1:9" x14ac:dyDescent="0.25">
      <c r="A13072">
        <v>3110</v>
      </c>
      <c r="B13072">
        <v>60</v>
      </c>
      <c r="C13072" t="s">
        <v>962</v>
      </c>
      <c r="D13072" t="s">
        <v>1005</v>
      </c>
      <c r="E13072" t="s">
        <v>39</v>
      </c>
      <c r="F13072" t="s">
        <v>958</v>
      </c>
      <c r="G13072">
        <v>6077777</v>
      </c>
      <c r="H13072">
        <v>501090</v>
      </c>
      <c r="I13072" t="s">
        <v>949</v>
      </c>
    </row>
    <row r="13073" spans="1:9" x14ac:dyDescent="0.25">
      <c r="A13073">
        <v>3110</v>
      </c>
      <c r="B13073">
        <v>60</v>
      </c>
      <c r="C13073" t="s">
        <v>963</v>
      </c>
      <c r="D13073" t="s">
        <v>1005</v>
      </c>
      <c r="E13073" t="s">
        <v>39</v>
      </c>
      <c r="F13073" t="s">
        <v>956</v>
      </c>
      <c r="G13073">
        <v>6077777</v>
      </c>
      <c r="H13073">
        <v>501090</v>
      </c>
      <c r="I13073" t="s">
        <v>949</v>
      </c>
    </row>
    <row r="13074" spans="1:9" x14ac:dyDescent="0.25">
      <c r="A13074">
        <v>3110</v>
      </c>
      <c r="B13074">
        <v>60</v>
      </c>
      <c r="C13074" t="s">
        <v>963</v>
      </c>
      <c r="D13074" t="s">
        <v>1005</v>
      </c>
      <c r="E13074" t="s">
        <v>39</v>
      </c>
      <c r="F13074" t="s">
        <v>957</v>
      </c>
      <c r="G13074">
        <v>6077777</v>
      </c>
      <c r="H13074">
        <v>501090</v>
      </c>
      <c r="I13074" t="s">
        <v>949</v>
      </c>
    </row>
    <row r="13075" spans="1:9" x14ac:dyDescent="0.25">
      <c r="A13075">
        <v>3110</v>
      </c>
      <c r="B13075">
        <v>60</v>
      </c>
      <c r="C13075" t="s">
        <v>963</v>
      </c>
      <c r="D13075" t="s">
        <v>1005</v>
      </c>
      <c r="E13075" t="s">
        <v>39</v>
      </c>
      <c r="F13075" t="s">
        <v>958</v>
      </c>
      <c r="G13075">
        <v>6077777</v>
      </c>
      <c r="H13075">
        <v>501090</v>
      </c>
      <c r="I13075" t="s">
        <v>949</v>
      </c>
    </row>
    <row r="13076" spans="1:9" x14ac:dyDescent="0.25">
      <c r="A13076">
        <v>3110</v>
      </c>
      <c r="B13076">
        <v>60</v>
      </c>
      <c r="C13076" t="s">
        <v>950</v>
      </c>
      <c r="D13076" t="s">
        <v>1005</v>
      </c>
      <c r="E13076" t="s">
        <v>286</v>
      </c>
      <c r="F13076" t="s">
        <v>951</v>
      </c>
      <c r="G13076">
        <v>6000000</v>
      </c>
      <c r="H13076">
        <v>145000</v>
      </c>
      <c r="I13076" t="s">
        <v>949</v>
      </c>
    </row>
    <row r="13077" spans="1:9" x14ac:dyDescent="0.25">
      <c r="A13077">
        <v>3110</v>
      </c>
      <c r="B13077">
        <v>60</v>
      </c>
      <c r="C13077" t="s">
        <v>950</v>
      </c>
      <c r="D13077" t="s">
        <v>1005</v>
      </c>
      <c r="E13077" t="s">
        <v>286</v>
      </c>
      <c r="F13077" t="s">
        <v>952</v>
      </c>
      <c r="G13077">
        <v>6000000</v>
      </c>
      <c r="H13077">
        <v>145000</v>
      </c>
      <c r="I13077" t="s">
        <v>949</v>
      </c>
    </row>
    <row r="13078" spans="1:9" x14ac:dyDescent="0.25">
      <c r="A13078">
        <v>3110</v>
      </c>
      <c r="B13078">
        <v>60</v>
      </c>
      <c r="C13078" t="s">
        <v>962</v>
      </c>
      <c r="D13078" t="s">
        <v>1005</v>
      </c>
      <c r="E13078" t="s">
        <v>286</v>
      </c>
      <c r="F13078" t="s">
        <v>951</v>
      </c>
      <c r="G13078">
        <v>6000000</v>
      </c>
      <c r="H13078">
        <v>145000</v>
      </c>
      <c r="I13078" t="s">
        <v>949</v>
      </c>
    </row>
    <row r="13079" spans="1:9" x14ac:dyDescent="0.25">
      <c r="A13079">
        <v>3110</v>
      </c>
      <c r="B13079">
        <v>60</v>
      </c>
      <c r="C13079" t="s">
        <v>962</v>
      </c>
      <c r="D13079" t="s">
        <v>1005</v>
      </c>
      <c r="E13079" t="s">
        <v>286</v>
      </c>
      <c r="F13079" t="s">
        <v>952</v>
      </c>
      <c r="G13079">
        <v>6000000</v>
      </c>
      <c r="H13079">
        <v>145000</v>
      </c>
      <c r="I13079" t="s">
        <v>949</v>
      </c>
    </row>
    <row r="13080" spans="1:9" x14ac:dyDescent="0.25">
      <c r="A13080">
        <v>3110</v>
      </c>
      <c r="B13080">
        <v>60</v>
      </c>
      <c r="C13080" t="s">
        <v>963</v>
      </c>
      <c r="D13080" t="s">
        <v>1005</v>
      </c>
      <c r="E13080" t="s">
        <v>286</v>
      </c>
      <c r="F13080" t="s">
        <v>951</v>
      </c>
      <c r="G13080">
        <v>6000000</v>
      </c>
      <c r="H13080">
        <v>145000</v>
      </c>
      <c r="I13080" t="s">
        <v>949</v>
      </c>
    </row>
    <row r="13081" spans="1:9" x14ac:dyDescent="0.25">
      <c r="A13081">
        <v>3110</v>
      </c>
      <c r="B13081">
        <v>60</v>
      </c>
      <c r="C13081" t="s">
        <v>963</v>
      </c>
      <c r="D13081" t="s">
        <v>1005</v>
      </c>
      <c r="E13081" t="s">
        <v>286</v>
      </c>
      <c r="F13081" t="s">
        <v>952</v>
      </c>
      <c r="G13081">
        <v>6000000</v>
      </c>
      <c r="H13081">
        <v>145000</v>
      </c>
      <c r="I13081" t="s">
        <v>949</v>
      </c>
    </row>
    <row r="13082" spans="1:9" x14ac:dyDescent="0.25">
      <c r="A13082">
        <v>3110</v>
      </c>
      <c r="B13082">
        <v>60</v>
      </c>
      <c r="C13082" t="s">
        <v>950</v>
      </c>
      <c r="D13082" t="s">
        <v>1005</v>
      </c>
      <c r="E13082" t="s">
        <v>976</v>
      </c>
      <c r="F13082" t="s">
        <v>951</v>
      </c>
      <c r="G13082">
        <v>6000000</v>
      </c>
      <c r="H13082">
        <v>141000</v>
      </c>
      <c r="I13082" t="s">
        <v>977</v>
      </c>
    </row>
    <row r="13083" spans="1:9" x14ac:dyDescent="0.25">
      <c r="A13083">
        <v>3110</v>
      </c>
      <c r="B13083">
        <v>60</v>
      </c>
      <c r="C13083" t="s">
        <v>950</v>
      </c>
      <c r="D13083" t="s">
        <v>1005</v>
      </c>
      <c r="E13083" t="s">
        <v>976</v>
      </c>
      <c r="F13083" t="s">
        <v>952</v>
      </c>
      <c r="G13083">
        <v>6000000</v>
      </c>
      <c r="H13083">
        <v>141000</v>
      </c>
      <c r="I13083" t="s">
        <v>977</v>
      </c>
    </row>
    <row r="13084" spans="1:9" x14ac:dyDescent="0.25">
      <c r="A13084">
        <v>3110</v>
      </c>
      <c r="B13084">
        <v>60</v>
      </c>
      <c r="C13084" t="s">
        <v>962</v>
      </c>
      <c r="D13084" t="s">
        <v>1005</v>
      </c>
      <c r="E13084" t="s">
        <v>976</v>
      </c>
      <c r="F13084" t="s">
        <v>951</v>
      </c>
      <c r="G13084">
        <v>6000000</v>
      </c>
      <c r="H13084">
        <v>141000</v>
      </c>
      <c r="I13084" t="s">
        <v>977</v>
      </c>
    </row>
    <row r="13085" spans="1:9" x14ac:dyDescent="0.25">
      <c r="A13085">
        <v>3110</v>
      </c>
      <c r="B13085">
        <v>60</v>
      </c>
      <c r="C13085" t="s">
        <v>962</v>
      </c>
      <c r="D13085" t="s">
        <v>1005</v>
      </c>
      <c r="E13085" t="s">
        <v>976</v>
      </c>
      <c r="F13085" t="s">
        <v>952</v>
      </c>
      <c r="G13085">
        <v>6000000</v>
      </c>
      <c r="H13085">
        <v>141000</v>
      </c>
      <c r="I13085" t="s">
        <v>977</v>
      </c>
    </row>
    <row r="13086" spans="1:9" x14ac:dyDescent="0.25">
      <c r="A13086">
        <v>3110</v>
      </c>
      <c r="B13086">
        <v>60</v>
      </c>
      <c r="C13086" t="s">
        <v>963</v>
      </c>
      <c r="D13086" t="s">
        <v>1005</v>
      </c>
      <c r="E13086" t="s">
        <v>976</v>
      </c>
      <c r="F13086" t="s">
        <v>951</v>
      </c>
      <c r="G13086">
        <v>6000000</v>
      </c>
      <c r="H13086">
        <v>141000</v>
      </c>
      <c r="I13086" t="s">
        <v>977</v>
      </c>
    </row>
    <row r="13087" spans="1:9" x14ac:dyDescent="0.25">
      <c r="A13087">
        <v>3110</v>
      </c>
      <c r="B13087">
        <v>60</v>
      </c>
      <c r="C13087" t="s">
        <v>963</v>
      </c>
      <c r="D13087" t="s">
        <v>1005</v>
      </c>
      <c r="E13087" t="s">
        <v>976</v>
      </c>
      <c r="F13087" t="s">
        <v>952</v>
      </c>
      <c r="G13087">
        <v>6000000</v>
      </c>
      <c r="H13087">
        <v>141000</v>
      </c>
      <c r="I13087" t="s">
        <v>977</v>
      </c>
    </row>
    <row r="13088" spans="1:9" x14ac:dyDescent="0.25">
      <c r="A13088">
        <v>3110</v>
      </c>
      <c r="B13088">
        <v>60</v>
      </c>
      <c r="C13088" t="s">
        <v>950</v>
      </c>
      <c r="D13088" t="s">
        <v>1005</v>
      </c>
      <c r="E13088" t="s">
        <v>290</v>
      </c>
      <c r="F13088" t="s">
        <v>951</v>
      </c>
      <c r="G13088">
        <v>6000000</v>
      </c>
      <c r="H13088">
        <v>143000</v>
      </c>
      <c r="I13088" t="s">
        <v>978</v>
      </c>
    </row>
    <row r="13089" spans="1:9" x14ac:dyDescent="0.25">
      <c r="A13089">
        <v>3110</v>
      </c>
      <c r="B13089">
        <v>60</v>
      </c>
      <c r="C13089" t="s">
        <v>950</v>
      </c>
      <c r="D13089" t="s">
        <v>1005</v>
      </c>
      <c r="E13089" t="s">
        <v>290</v>
      </c>
      <c r="F13089" t="s">
        <v>952</v>
      </c>
      <c r="G13089">
        <v>6000000</v>
      </c>
      <c r="H13089">
        <v>143000</v>
      </c>
      <c r="I13089" t="s">
        <v>978</v>
      </c>
    </row>
    <row r="13090" spans="1:9" x14ac:dyDescent="0.25">
      <c r="A13090">
        <v>3110</v>
      </c>
      <c r="B13090">
        <v>60</v>
      </c>
      <c r="C13090" t="s">
        <v>950</v>
      </c>
      <c r="D13090" t="s">
        <v>1005</v>
      </c>
      <c r="E13090" t="s">
        <v>290</v>
      </c>
      <c r="F13090" t="s">
        <v>956</v>
      </c>
      <c r="G13090">
        <v>6000000</v>
      </c>
      <c r="H13090">
        <v>143000</v>
      </c>
      <c r="I13090" t="s">
        <v>978</v>
      </c>
    </row>
    <row r="13091" spans="1:9" x14ac:dyDescent="0.25">
      <c r="A13091">
        <v>3110</v>
      </c>
      <c r="B13091">
        <v>60</v>
      </c>
      <c r="C13091" t="s">
        <v>950</v>
      </c>
      <c r="D13091" t="s">
        <v>1005</v>
      </c>
      <c r="E13091" t="s">
        <v>290</v>
      </c>
      <c r="F13091" t="s">
        <v>957</v>
      </c>
      <c r="G13091">
        <v>6000000</v>
      </c>
      <c r="H13091">
        <v>143000</v>
      </c>
      <c r="I13091" t="s">
        <v>978</v>
      </c>
    </row>
    <row r="13092" spans="1:9" x14ac:dyDescent="0.25">
      <c r="A13092">
        <v>3110</v>
      </c>
      <c r="B13092">
        <v>60</v>
      </c>
      <c r="C13092" t="s">
        <v>950</v>
      </c>
      <c r="D13092" t="s">
        <v>1005</v>
      </c>
      <c r="E13092" t="s">
        <v>290</v>
      </c>
      <c r="F13092" t="s">
        <v>958</v>
      </c>
      <c r="G13092">
        <v>6000000</v>
      </c>
      <c r="H13092">
        <v>143000</v>
      </c>
      <c r="I13092" t="s">
        <v>978</v>
      </c>
    </row>
    <row r="13093" spans="1:9" x14ac:dyDescent="0.25">
      <c r="A13093">
        <v>3110</v>
      </c>
      <c r="B13093">
        <v>60</v>
      </c>
      <c r="C13093" t="s">
        <v>962</v>
      </c>
      <c r="D13093" t="s">
        <v>1005</v>
      </c>
      <c r="E13093" t="s">
        <v>290</v>
      </c>
      <c r="F13093" t="s">
        <v>951</v>
      </c>
      <c r="G13093">
        <v>6000000</v>
      </c>
      <c r="H13093">
        <v>143000</v>
      </c>
      <c r="I13093" t="s">
        <v>978</v>
      </c>
    </row>
    <row r="13094" spans="1:9" x14ac:dyDescent="0.25">
      <c r="A13094">
        <v>3110</v>
      </c>
      <c r="B13094">
        <v>60</v>
      </c>
      <c r="C13094" t="s">
        <v>962</v>
      </c>
      <c r="D13094" t="s">
        <v>1005</v>
      </c>
      <c r="E13094" t="s">
        <v>290</v>
      </c>
      <c r="F13094" t="s">
        <v>952</v>
      </c>
      <c r="G13094">
        <v>6000000</v>
      </c>
      <c r="H13094">
        <v>143000</v>
      </c>
      <c r="I13094" t="s">
        <v>978</v>
      </c>
    </row>
    <row r="13095" spans="1:9" x14ac:dyDescent="0.25">
      <c r="A13095">
        <v>3110</v>
      </c>
      <c r="B13095">
        <v>60</v>
      </c>
      <c r="C13095" t="s">
        <v>962</v>
      </c>
      <c r="D13095" t="s">
        <v>1005</v>
      </c>
      <c r="E13095" t="s">
        <v>290</v>
      </c>
      <c r="F13095" t="s">
        <v>956</v>
      </c>
      <c r="G13095">
        <v>6000000</v>
      </c>
      <c r="H13095">
        <v>143000</v>
      </c>
      <c r="I13095" t="s">
        <v>978</v>
      </c>
    </row>
    <row r="13096" spans="1:9" x14ac:dyDescent="0.25">
      <c r="A13096">
        <v>3110</v>
      </c>
      <c r="B13096">
        <v>60</v>
      </c>
      <c r="C13096" t="s">
        <v>962</v>
      </c>
      <c r="D13096" t="s">
        <v>1005</v>
      </c>
      <c r="E13096" t="s">
        <v>290</v>
      </c>
      <c r="F13096" t="s">
        <v>957</v>
      </c>
      <c r="G13096">
        <v>6000000</v>
      </c>
      <c r="H13096">
        <v>143000</v>
      </c>
      <c r="I13096" t="s">
        <v>978</v>
      </c>
    </row>
    <row r="13097" spans="1:9" x14ac:dyDescent="0.25">
      <c r="A13097">
        <v>3110</v>
      </c>
      <c r="B13097">
        <v>60</v>
      </c>
      <c r="C13097" t="s">
        <v>962</v>
      </c>
      <c r="D13097" t="s">
        <v>1005</v>
      </c>
      <c r="E13097" t="s">
        <v>290</v>
      </c>
      <c r="F13097" t="s">
        <v>958</v>
      </c>
      <c r="G13097">
        <v>6000000</v>
      </c>
      <c r="H13097">
        <v>143000</v>
      </c>
      <c r="I13097" t="s">
        <v>978</v>
      </c>
    </row>
    <row r="13098" spans="1:9" x14ac:dyDescent="0.25">
      <c r="A13098">
        <v>3110</v>
      </c>
      <c r="B13098">
        <v>60</v>
      </c>
      <c r="C13098" t="s">
        <v>963</v>
      </c>
      <c r="D13098" t="s">
        <v>1005</v>
      </c>
      <c r="E13098" t="s">
        <v>290</v>
      </c>
      <c r="F13098" t="s">
        <v>951</v>
      </c>
      <c r="G13098">
        <v>6000000</v>
      </c>
      <c r="H13098">
        <v>143000</v>
      </c>
      <c r="I13098" t="s">
        <v>978</v>
      </c>
    </row>
    <row r="13099" spans="1:9" x14ac:dyDescent="0.25">
      <c r="A13099">
        <v>3110</v>
      </c>
      <c r="B13099">
        <v>60</v>
      </c>
      <c r="C13099" t="s">
        <v>963</v>
      </c>
      <c r="D13099" t="s">
        <v>1005</v>
      </c>
      <c r="E13099" t="s">
        <v>290</v>
      </c>
      <c r="F13099" t="s">
        <v>952</v>
      </c>
      <c r="G13099">
        <v>6000000</v>
      </c>
      <c r="H13099">
        <v>143000</v>
      </c>
      <c r="I13099" t="s">
        <v>978</v>
      </c>
    </row>
    <row r="13100" spans="1:9" x14ac:dyDescent="0.25">
      <c r="A13100">
        <v>3110</v>
      </c>
      <c r="B13100">
        <v>60</v>
      </c>
      <c r="C13100" t="s">
        <v>963</v>
      </c>
      <c r="D13100" t="s">
        <v>1005</v>
      </c>
      <c r="E13100" t="s">
        <v>290</v>
      </c>
      <c r="F13100" t="s">
        <v>956</v>
      </c>
      <c r="G13100">
        <v>6000000</v>
      </c>
      <c r="H13100">
        <v>143000</v>
      </c>
      <c r="I13100" t="s">
        <v>978</v>
      </c>
    </row>
    <row r="13101" spans="1:9" x14ac:dyDescent="0.25">
      <c r="A13101">
        <v>3110</v>
      </c>
      <c r="B13101">
        <v>60</v>
      </c>
      <c r="C13101" t="s">
        <v>963</v>
      </c>
      <c r="D13101" t="s">
        <v>1005</v>
      </c>
      <c r="E13101" t="s">
        <v>290</v>
      </c>
      <c r="F13101" t="s">
        <v>957</v>
      </c>
      <c r="G13101">
        <v>6000000</v>
      </c>
      <c r="H13101">
        <v>143000</v>
      </c>
      <c r="I13101" t="s">
        <v>978</v>
      </c>
    </row>
    <row r="13102" spans="1:9" x14ac:dyDescent="0.25">
      <c r="A13102">
        <v>3110</v>
      </c>
      <c r="B13102">
        <v>60</v>
      </c>
      <c r="C13102" t="s">
        <v>963</v>
      </c>
      <c r="D13102" t="s">
        <v>1005</v>
      </c>
      <c r="E13102" t="s">
        <v>290</v>
      </c>
      <c r="F13102" t="s">
        <v>958</v>
      </c>
      <c r="G13102">
        <v>6000000</v>
      </c>
      <c r="H13102">
        <v>143000</v>
      </c>
      <c r="I13102" t="s">
        <v>978</v>
      </c>
    </row>
    <row r="13103" spans="1:9" x14ac:dyDescent="0.25">
      <c r="A13103">
        <v>3110</v>
      </c>
      <c r="B13103">
        <v>60</v>
      </c>
      <c r="C13103" t="s">
        <v>950</v>
      </c>
      <c r="D13103" t="s">
        <v>1005</v>
      </c>
      <c r="E13103" t="s">
        <v>294</v>
      </c>
      <c r="F13103" t="s">
        <v>951</v>
      </c>
      <c r="G13103">
        <v>6000000</v>
      </c>
      <c r="H13103">
        <v>143000</v>
      </c>
      <c r="I13103" t="s">
        <v>979</v>
      </c>
    </row>
    <row r="13104" spans="1:9" x14ac:dyDescent="0.25">
      <c r="A13104">
        <v>3110</v>
      </c>
      <c r="B13104">
        <v>60</v>
      </c>
      <c r="C13104" t="s">
        <v>950</v>
      </c>
      <c r="D13104" t="s">
        <v>1005</v>
      </c>
      <c r="E13104" t="s">
        <v>294</v>
      </c>
      <c r="F13104" t="s">
        <v>952</v>
      </c>
      <c r="G13104">
        <v>6000000</v>
      </c>
      <c r="H13104">
        <v>143000</v>
      </c>
      <c r="I13104" t="s">
        <v>979</v>
      </c>
    </row>
    <row r="13105" spans="1:9" x14ac:dyDescent="0.25">
      <c r="A13105">
        <v>3110</v>
      </c>
      <c r="B13105">
        <v>60</v>
      </c>
      <c r="C13105" t="s">
        <v>950</v>
      </c>
      <c r="D13105" t="s">
        <v>1005</v>
      </c>
      <c r="E13105" t="s">
        <v>294</v>
      </c>
      <c r="F13105" t="s">
        <v>956</v>
      </c>
      <c r="G13105">
        <v>6000000</v>
      </c>
      <c r="H13105">
        <v>143000</v>
      </c>
      <c r="I13105" t="s">
        <v>979</v>
      </c>
    </row>
    <row r="13106" spans="1:9" x14ac:dyDescent="0.25">
      <c r="A13106">
        <v>3110</v>
      </c>
      <c r="B13106">
        <v>60</v>
      </c>
      <c r="C13106" t="s">
        <v>950</v>
      </c>
      <c r="D13106" t="s">
        <v>1005</v>
      </c>
      <c r="E13106" t="s">
        <v>294</v>
      </c>
      <c r="F13106" t="s">
        <v>957</v>
      </c>
      <c r="G13106">
        <v>6000000</v>
      </c>
      <c r="H13106">
        <v>143000</v>
      </c>
      <c r="I13106" t="s">
        <v>979</v>
      </c>
    </row>
    <row r="13107" spans="1:9" x14ac:dyDescent="0.25">
      <c r="A13107">
        <v>3110</v>
      </c>
      <c r="B13107">
        <v>60</v>
      </c>
      <c r="C13107" t="s">
        <v>950</v>
      </c>
      <c r="D13107" t="s">
        <v>1005</v>
      </c>
      <c r="E13107" t="s">
        <v>294</v>
      </c>
      <c r="F13107" t="s">
        <v>958</v>
      </c>
      <c r="G13107">
        <v>6000000</v>
      </c>
      <c r="H13107">
        <v>143000</v>
      </c>
      <c r="I13107" t="s">
        <v>979</v>
      </c>
    </row>
    <row r="13108" spans="1:9" x14ac:dyDescent="0.25">
      <c r="A13108">
        <v>3110</v>
      </c>
      <c r="B13108">
        <v>60</v>
      </c>
      <c r="C13108" t="s">
        <v>962</v>
      </c>
      <c r="D13108" t="s">
        <v>1005</v>
      </c>
      <c r="E13108" t="s">
        <v>294</v>
      </c>
      <c r="F13108" t="s">
        <v>951</v>
      </c>
      <c r="G13108">
        <v>6000000</v>
      </c>
      <c r="H13108">
        <v>143000</v>
      </c>
      <c r="I13108" t="s">
        <v>979</v>
      </c>
    </row>
    <row r="13109" spans="1:9" x14ac:dyDescent="0.25">
      <c r="A13109">
        <v>3110</v>
      </c>
      <c r="B13109">
        <v>60</v>
      </c>
      <c r="C13109" t="s">
        <v>962</v>
      </c>
      <c r="D13109" t="s">
        <v>1005</v>
      </c>
      <c r="E13109" t="s">
        <v>294</v>
      </c>
      <c r="F13109" t="s">
        <v>952</v>
      </c>
      <c r="G13109">
        <v>6000000</v>
      </c>
      <c r="H13109">
        <v>143000</v>
      </c>
      <c r="I13109" t="s">
        <v>979</v>
      </c>
    </row>
    <row r="13110" spans="1:9" x14ac:dyDescent="0.25">
      <c r="A13110">
        <v>3110</v>
      </c>
      <c r="B13110">
        <v>60</v>
      </c>
      <c r="C13110" t="s">
        <v>962</v>
      </c>
      <c r="D13110" t="s">
        <v>1005</v>
      </c>
      <c r="E13110" t="s">
        <v>294</v>
      </c>
      <c r="F13110" t="s">
        <v>956</v>
      </c>
      <c r="G13110">
        <v>6000000</v>
      </c>
      <c r="H13110">
        <v>143000</v>
      </c>
      <c r="I13110" t="s">
        <v>979</v>
      </c>
    </row>
    <row r="13111" spans="1:9" x14ac:dyDescent="0.25">
      <c r="A13111">
        <v>3110</v>
      </c>
      <c r="B13111">
        <v>60</v>
      </c>
      <c r="C13111" t="s">
        <v>962</v>
      </c>
      <c r="D13111" t="s">
        <v>1005</v>
      </c>
      <c r="E13111" t="s">
        <v>294</v>
      </c>
      <c r="F13111" t="s">
        <v>957</v>
      </c>
      <c r="G13111">
        <v>6000000</v>
      </c>
      <c r="H13111">
        <v>143000</v>
      </c>
      <c r="I13111" t="s">
        <v>979</v>
      </c>
    </row>
    <row r="13112" spans="1:9" x14ac:dyDescent="0.25">
      <c r="A13112">
        <v>3110</v>
      </c>
      <c r="B13112">
        <v>60</v>
      </c>
      <c r="C13112" t="s">
        <v>962</v>
      </c>
      <c r="D13112" t="s">
        <v>1005</v>
      </c>
      <c r="E13112" t="s">
        <v>294</v>
      </c>
      <c r="F13112" t="s">
        <v>958</v>
      </c>
      <c r="G13112">
        <v>6000000</v>
      </c>
      <c r="H13112">
        <v>143000</v>
      </c>
      <c r="I13112" t="s">
        <v>979</v>
      </c>
    </row>
    <row r="13113" spans="1:9" x14ac:dyDescent="0.25">
      <c r="A13113">
        <v>3110</v>
      </c>
      <c r="B13113">
        <v>60</v>
      </c>
      <c r="C13113" t="s">
        <v>963</v>
      </c>
      <c r="D13113" t="s">
        <v>1005</v>
      </c>
      <c r="E13113" t="s">
        <v>294</v>
      </c>
      <c r="F13113" t="s">
        <v>951</v>
      </c>
      <c r="G13113">
        <v>6000000</v>
      </c>
      <c r="H13113">
        <v>143000</v>
      </c>
      <c r="I13113" t="s">
        <v>979</v>
      </c>
    </row>
    <row r="13114" spans="1:9" x14ac:dyDescent="0.25">
      <c r="A13114">
        <v>3110</v>
      </c>
      <c r="B13114">
        <v>60</v>
      </c>
      <c r="C13114" t="s">
        <v>963</v>
      </c>
      <c r="D13114" t="s">
        <v>1005</v>
      </c>
      <c r="E13114" t="s">
        <v>294</v>
      </c>
      <c r="F13114" t="s">
        <v>952</v>
      </c>
      <c r="G13114">
        <v>6000000</v>
      </c>
      <c r="H13114">
        <v>143000</v>
      </c>
      <c r="I13114" t="s">
        <v>979</v>
      </c>
    </row>
    <row r="13115" spans="1:9" x14ac:dyDescent="0.25">
      <c r="A13115">
        <v>3110</v>
      </c>
      <c r="B13115">
        <v>60</v>
      </c>
      <c r="C13115" t="s">
        <v>963</v>
      </c>
      <c r="D13115" t="s">
        <v>1005</v>
      </c>
      <c r="E13115" t="s">
        <v>294</v>
      </c>
      <c r="F13115" t="s">
        <v>956</v>
      </c>
      <c r="G13115">
        <v>6000000</v>
      </c>
      <c r="H13115">
        <v>143000</v>
      </c>
      <c r="I13115" t="s">
        <v>979</v>
      </c>
    </row>
    <row r="13116" spans="1:9" x14ac:dyDescent="0.25">
      <c r="A13116">
        <v>3110</v>
      </c>
      <c r="B13116">
        <v>60</v>
      </c>
      <c r="C13116" t="s">
        <v>963</v>
      </c>
      <c r="D13116" t="s">
        <v>1005</v>
      </c>
      <c r="E13116" t="s">
        <v>294</v>
      </c>
      <c r="F13116" t="s">
        <v>957</v>
      </c>
      <c r="G13116">
        <v>6000000</v>
      </c>
      <c r="H13116">
        <v>143000</v>
      </c>
      <c r="I13116" t="s">
        <v>979</v>
      </c>
    </row>
    <row r="13117" spans="1:9" x14ac:dyDescent="0.25">
      <c r="A13117">
        <v>3110</v>
      </c>
      <c r="B13117">
        <v>60</v>
      </c>
      <c r="C13117" t="s">
        <v>963</v>
      </c>
      <c r="D13117" t="s">
        <v>1005</v>
      </c>
      <c r="E13117" t="s">
        <v>294</v>
      </c>
      <c r="F13117" t="s">
        <v>958</v>
      </c>
      <c r="G13117">
        <v>6000000</v>
      </c>
      <c r="H13117">
        <v>143000</v>
      </c>
      <c r="I13117" t="s">
        <v>979</v>
      </c>
    </row>
    <row r="13118" spans="1:9" x14ac:dyDescent="0.25">
      <c r="A13118">
        <v>3110</v>
      </c>
      <c r="B13118">
        <v>60</v>
      </c>
      <c r="C13118" t="s">
        <v>950</v>
      </c>
      <c r="D13118" t="s">
        <v>1005</v>
      </c>
      <c r="E13118" t="s">
        <v>980</v>
      </c>
      <c r="F13118" t="s">
        <v>951</v>
      </c>
      <c r="G13118">
        <v>6000000</v>
      </c>
      <c r="H13118">
        <v>141000</v>
      </c>
      <c r="I13118" t="s">
        <v>981</v>
      </c>
    </row>
    <row r="13119" spans="1:9" x14ac:dyDescent="0.25">
      <c r="A13119">
        <v>3110</v>
      </c>
      <c r="B13119">
        <v>60</v>
      </c>
      <c r="C13119" t="s">
        <v>950</v>
      </c>
      <c r="D13119" t="s">
        <v>1005</v>
      </c>
      <c r="E13119" t="s">
        <v>980</v>
      </c>
      <c r="F13119" t="s">
        <v>952</v>
      </c>
      <c r="G13119">
        <v>6000000</v>
      </c>
      <c r="H13119">
        <v>141000</v>
      </c>
      <c r="I13119" t="s">
        <v>981</v>
      </c>
    </row>
    <row r="13120" spans="1:9" x14ac:dyDescent="0.25">
      <c r="A13120">
        <v>3110</v>
      </c>
      <c r="B13120">
        <v>60</v>
      </c>
      <c r="C13120" t="s">
        <v>962</v>
      </c>
      <c r="D13120" t="s">
        <v>1005</v>
      </c>
      <c r="E13120" t="s">
        <v>980</v>
      </c>
      <c r="F13120" t="s">
        <v>951</v>
      </c>
      <c r="G13120">
        <v>6000000</v>
      </c>
      <c r="H13120">
        <v>141000</v>
      </c>
      <c r="I13120" t="s">
        <v>981</v>
      </c>
    </row>
    <row r="13121" spans="1:9" x14ac:dyDescent="0.25">
      <c r="A13121">
        <v>3110</v>
      </c>
      <c r="B13121">
        <v>60</v>
      </c>
      <c r="C13121" t="s">
        <v>962</v>
      </c>
      <c r="D13121" t="s">
        <v>1005</v>
      </c>
      <c r="E13121" t="s">
        <v>980</v>
      </c>
      <c r="F13121" t="s">
        <v>952</v>
      </c>
      <c r="G13121">
        <v>6000000</v>
      </c>
      <c r="H13121">
        <v>141000</v>
      </c>
      <c r="I13121" t="s">
        <v>981</v>
      </c>
    </row>
    <row r="13122" spans="1:9" x14ac:dyDescent="0.25">
      <c r="A13122">
        <v>3110</v>
      </c>
      <c r="B13122">
        <v>60</v>
      </c>
      <c r="C13122" t="s">
        <v>963</v>
      </c>
      <c r="D13122" t="s">
        <v>1005</v>
      </c>
      <c r="E13122" t="s">
        <v>980</v>
      </c>
      <c r="F13122" t="s">
        <v>951</v>
      </c>
      <c r="G13122">
        <v>6000000</v>
      </c>
      <c r="H13122">
        <v>141000</v>
      </c>
      <c r="I13122" t="s">
        <v>981</v>
      </c>
    </row>
    <row r="13123" spans="1:9" x14ac:dyDescent="0.25">
      <c r="A13123">
        <v>3110</v>
      </c>
      <c r="B13123">
        <v>60</v>
      </c>
      <c r="C13123" t="s">
        <v>963</v>
      </c>
      <c r="D13123" t="s">
        <v>1005</v>
      </c>
      <c r="E13123" t="s">
        <v>980</v>
      </c>
      <c r="F13123" t="s">
        <v>952</v>
      </c>
      <c r="G13123">
        <v>6000000</v>
      </c>
      <c r="H13123">
        <v>141000</v>
      </c>
      <c r="I13123" t="s">
        <v>981</v>
      </c>
    </row>
    <row r="13124" spans="1:9" x14ac:dyDescent="0.25">
      <c r="A13124">
        <v>3110</v>
      </c>
      <c r="B13124">
        <v>60</v>
      </c>
      <c r="C13124" t="s">
        <v>950</v>
      </c>
      <c r="D13124" t="s">
        <v>1005</v>
      </c>
      <c r="E13124" t="s">
        <v>302</v>
      </c>
      <c r="F13124" t="s">
        <v>951</v>
      </c>
      <c r="G13124">
        <v>6000000</v>
      </c>
      <c r="H13124">
        <v>143000</v>
      </c>
      <c r="I13124" t="s">
        <v>982</v>
      </c>
    </row>
    <row r="13125" spans="1:9" x14ac:dyDescent="0.25">
      <c r="A13125">
        <v>3110</v>
      </c>
      <c r="B13125">
        <v>60</v>
      </c>
      <c r="C13125" t="s">
        <v>950</v>
      </c>
      <c r="D13125" t="s">
        <v>1005</v>
      </c>
      <c r="E13125" t="s">
        <v>302</v>
      </c>
      <c r="F13125" t="s">
        <v>952</v>
      </c>
      <c r="G13125">
        <v>6000000</v>
      </c>
      <c r="H13125">
        <v>143000</v>
      </c>
      <c r="I13125" t="s">
        <v>982</v>
      </c>
    </row>
    <row r="13126" spans="1:9" x14ac:dyDescent="0.25">
      <c r="A13126">
        <v>3110</v>
      </c>
      <c r="B13126">
        <v>60</v>
      </c>
      <c r="C13126" t="s">
        <v>950</v>
      </c>
      <c r="D13126" t="s">
        <v>1005</v>
      </c>
      <c r="E13126" t="s">
        <v>302</v>
      </c>
      <c r="F13126" t="s">
        <v>956</v>
      </c>
      <c r="G13126">
        <v>6000000</v>
      </c>
      <c r="H13126">
        <v>143000</v>
      </c>
      <c r="I13126" t="s">
        <v>982</v>
      </c>
    </row>
    <row r="13127" spans="1:9" x14ac:dyDescent="0.25">
      <c r="A13127">
        <v>3110</v>
      </c>
      <c r="B13127">
        <v>60</v>
      </c>
      <c r="C13127" t="s">
        <v>950</v>
      </c>
      <c r="D13127" t="s">
        <v>1005</v>
      </c>
      <c r="E13127" t="s">
        <v>302</v>
      </c>
      <c r="F13127" t="s">
        <v>957</v>
      </c>
      <c r="G13127">
        <v>6000000</v>
      </c>
      <c r="H13127">
        <v>143000</v>
      </c>
      <c r="I13127" t="s">
        <v>982</v>
      </c>
    </row>
    <row r="13128" spans="1:9" x14ac:dyDescent="0.25">
      <c r="A13128">
        <v>3110</v>
      </c>
      <c r="B13128">
        <v>60</v>
      </c>
      <c r="C13128" t="s">
        <v>950</v>
      </c>
      <c r="D13128" t="s">
        <v>1005</v>
      </c>
      <c r="E13128" t="s">
        <v>302</v>
      </c>
      <c r="F13128" t="s">
        <v>958</v>
      </c>
      <c r="G13128">
        <v>6000000</v>
      </c>
      <c r="H13128">
        <v>143000</v>
      </c>
      <c r="I13128" t="s">
        <v>982</v>
      </c>
    </row>
    <row r="13129" spans="1:9" x14ac:dyDescent="0.25">
      <c r="A13129">
        <v>3110</v>
      </c>
      <c r="B13129">
        <v>60</v>
      </c>
      <c r="C13129" t="s">
        <v>962</v>
      </c>
      <c r="D13129" t="s">
        <v>1005</v>
      </c>
      <c r="E13129" t="s">
        <v>302</v>
      </c>
      <c r="F13129" t="s">
        <v>951</v>
      </c>
      <c r="G13129">
        <v>6000000</v>
      </c>
      <c r="H13129">
        <v>143000</v>
      </c>
      <c r="I13129" t="s">
        <v>982</v>
      </c>
    </row>
    <row r="13130" spans="1:9" x14ac:dyDescent="0.25">
      <c r="A13130">
        <v>3110</v>
      </c>
      <c r="B13130">
        <v>60</v>
      </c>
      <c r="C13130" t="s">
        <v>962</v>
      </c>
      <c r="D13130" t="s">
        <v>1005</v>
      </c>
      <c r="E13130" t="s">
        <v>302</v>
      </c>
      <c r="F13130" t="s">
        <v>952</v>
      </c>
      <c r="G13130">
        <v>6000000</v>
      </c>
      <c r="H13130">
        <v>143000</v>
      </c>
      <c r="I13130" t="s">
        <v>982</v>
      </c>
    </row>
    <row r="13131" spans="1:9" x14ac:dyDescent="0.25">
      <c r="A13131">
        <v>3110</v>
      </c>
      <c r="B13131">
        <v>60</v>
      </c>
      <c r="C13131" t="s">
        <v>962</v>
      </c>
      <c r="D13131" t="s">
        <v>1005</v>
      </c>
      <c r="E13131" t="s">
        <v>302</v>
      </c>
      <c r="F13131" t="s">
        <v>956</v>
      </c>
      <c r="G13131">
        <v>6000000</v>
      </c>
      <c r="H13131">
        <v>143000</v>
      </c>
      <c r="I13131" t="s">
        <v>982</v>
      </c>
    </row>
    <row r="13132" spans="1:9" x14ac:dyDescent="0.25">
      <c r="A13132">
        <v>3110</v>
      </c>
      <c r="B13132">
        <v>60</v>
      </c>
      <c r="C13132" t="s">
        <v>962</v>
      </c>
      <c r="D13132" t="s">
        <v>1005</v>
      </c>
      <c r="E13132" t="s">
        <v>302</v>
      </c>
      <c r="F13132" t="s">
        <v>957</v>
      </c>
      <c r="G13132">
        <v>6000000</v>
      </c>
      <c r="H13132">
        <v>143000</v>
      </c>
      <c r="I13132" t="s">
        <v>982</v>
      </c>
    </row>
    <row r="13133" spans="1:9" x14ac:dyDescent="0.25">
      <c r="A13133">
        <v>3110</v>
      </c>
      <c r="B13133">
        <v>60</v>
      </c>
      <c r="C13133" t="s">
        <v>962</v>
      </c>
      <c r="D13133" t="s">
        <v>1005</v>
      </c>
      <c r="E13133" t="s">
        <v>302</v>
      </c>
      <c r="F13133" t="s">
        <v>958</v>
      </c>
      <c r="G13133">
        <v>6000000</v>
      </c>
      <c r="H13133">
        <v>143000</v>
      </c>
      <c r="I13133" t="s">
        <v>982</v>
      </c>
    </row>
    <row r="13134" spans="1:9" x14ac:dyDescent="0.25">
      <c r="A13134">
        <v>3110</v>
      </c>
      <c r="B13134">
        <v>60</v>
      </c>
      <c r="C13134" t="s">
        <v>963</v>
      </c>
      <c r="D13134" t="s">
        <v>1005</v>
      </c>
      <c r="E13134" t="s">
        <v>302</v>
      </c>
      <c r="F13134" t="s">
        <v>951</v>
      </c>
      <c r="G13134">
        <v>6000000</v>
      </c>
      <c r="H13134">
        <v>143000</v>
      </c>
      <c r="I13134" t="s">
        <v>982</v>
      </c>
    </row>
    <row r="13135" spans="1:9" x14ac:dyDescent="0.25">
      <c r="A13135">
        <v>3110</v>
      </c>
      <c r="B13135">
        <v>60</v>
      </c>
      <c r="C13135" t="s">
        <v>963</v>
      </c>
      <c r="D13135" t="s">
        <v>1005</v>
      </c>
      <c r="E13135" t="s">
        <v>302</v>
      </c>
      <c r="F13135" t="s">
        <v>952</v>
      </c>
      <c r="G13135">
        <v>6000000</v>
      </c>
      <c r="H13135">
        <v>143000</v>
      </c>
      <c r="I13135" t="s">
        <v>982</v>
      </c>
    </row>
    <row r="13136" spans="1:9" x14ac:dyDescent="0.25">
      <c r="A13136">
        <v>3110</v>
      </c>
      <c r="B13136">
        <v>60</v>
      </c>
      <c r="C13136" t="s">
        <v>963</v>
      </c>
      <c r="D13136" t="s">
        <v>1005</v>
      </c>
      <c r="E13136" t="s">
        <v>302</v>
      </c>
      <c r="F13136" t="s">
        <v>956</v>
      </c>
      <c r="G13136">
        <v>6000000</v>
      </c>
      <c r="H13136">
        <v>143000</v>
      </c>
      <c r="I13136" t="s">
        <v>982</v>
      </c>
    </row>
    <row r="13137" spans="1:9" x14ac:dyDescent="0.25">
      <c r="A13137">
        <v>3110</v>
      </c>
      <c r="B13137">
        <v>60</v>
      </c>
      <c r="C13137" t="s">
        <v>963</v>
      </c>
      <c r="D13137" t="s">
        <v>1005</v>
      </c>
      <c r="E13137" t="s">
        <v>302</v>
      </c>
      <c r="F13137" t="s">
        <v>957</v>
      </c>
      <c r="G13137">
        <v>6000000</v>
      </c>
      <c r="H13137">
        <v>143000</v>
      </c>
      <c r="I13137" t="s">
        <v>982</v>
      </c>
    </row>
    <row r="13138" spans="1:9" x14ac:dyDescent="0.25">
      <c r="A13138">
        <v>3110</v>
      </c>
      <c r="B13138">
        <v>60</v>
      </c>
      <c r="C13138" t="s">
        <v>963</v>
      </c>
      <c r="D13138" t="s">
        <v>1005</v>
      </c>
      <c r="E13138" t="s">
        <v>302</v>
      </c>
      <c r="F13138" t="s">
        <v>958</v>
      </c>
      <c r="G13138">
        <v>6000000</v>
      </c>
      <c r="H13138">
        <v>143000</v>
      </c>
      <c r="I13138" t="s">
        <v>982</v>
      </c>
    </row>
    <row r="13139" spans="1:9" x14ac:dyDescent="0.25">
      <c r="A13139">
        <v>3110</v>
      </c>
      <c r="B13139">
        <v>60</v>
      </c>
      <c r="C13139" t="s">
        <v>950</v>
      </c>
      <c r="D13139" t="s">
        <v>1005</v>
      </c>
      <c r="E13139" t="s">
        <v>306</v>
      </c>
      <c r="F13139" t="s">
        <v>951</v>
      </c>
      <c r="G13139">
        <v>6000000</v>
      </c>
      <c r="H13139">
        <v>143000</v>
      </c>
      <c r="I13139" t="s">
        <v>983</v>
      </c>
    </row>
    <row r="13140" spans="1:9" x14ac:dyDescent="0.25">
      <c r="A13140">
        <v>3110</v>
      </c>
      <c r="B13140">
        <v>60</v>
      </c>
      <c r="C13140" t="s">
        <v>950</v>
      </c>
      <c r="D13140" t="s">
        <v>1005</v>
      </c>
      <c r="E13140" t="s">
        <v>306</v>
      </c>
      <c r="F13140" t="s">
        <v>952</v>
      </c>
      <c r="G13140">
        <v>6000000</v>
      </c>
      <c r="H13140">
        <v>143000</v>
      </c>
      <c r="I13140" t="s">
        <v>983</v>
      </c>
    </row>
    <row r="13141" spans="1:9" x14ac:dyDescent="0.25">
      <c r="A13141">
        <v>3110</v>
      </c>
      <c r="B13141">
        <v>60</v>
      </c>
      <c r="C13141" t="s">
        <v>950</v>
      </c>
      <c r="D13141" t="s">
        <v>1005</v>
      </c>
      <c r="E13141" t="s">
        <v>306</v>
      </c>
      <c r="F13141" t="s">
        <v>956</v>
      </c>
      <c r="G13141">
        <v>6000000</v>
      </c>
      <c r="H13141">
        <v>143000</v>
      </c>
      <c r="I13141" t="s">
        <v>983</v>
      </c>
    </row>
    <row r="13142" spans="1:9" x14ac:dyDescent="0.25">
      <c r="A13142">
        <v>3110</v>
      </c>
      <c r="B13142">
        <v>60</v>
      </c>
      <c r="C13142" t="s">
        <v>950</v>
      </c>
      <c r="D13142" t="s">
        <v>1005</v>
      </c>
      <c r="E13142" t="s">
        <v>306</v>
      </c>
      <c r="F13142" t="s">
        <v>957</v>
      </c>
      <c r="G13142">
        <v>6000000</v>
      </c>
      <c r="H13142">
        <v>143000</v>
      </c>
      <c r="I13142" t="s">
        <v>983</v>
      </c>
    </row>
    <row r="13143" spans="1:9" x14ac:dyDescent="0.25">
      <c r="A13143">
        <v>3110</v>
      </c>
      <c r="B13143">
        <v>60</v>
      </c>
      <c r="C13143" t="s">
        <v>950</v>
      </c>
      <c r="D13143" t="s">
        <v>1005</v>
      </c>
      <c r="E13143" t="s">
        <v>306</v>
      </c>
      <c r="F13143" t="s">
        <v>958</v>
      </c>
      <c r="G13143">
        <v>6000000</v>
      </c>
      <c r="H13143">
        <v>143000</v>
      </c>
      <c r="I13143" t="s">
        <v>983</v>
      </c>
    </row>
    <row r="13144" spans="1:9" x14ac:dyDescent="0.25">
      <c r="A13144">
        <v>3110</v>
      </c>
      <c r="B13144">
        <v>60</v>
      </c>
      <c r="C13144" t="s">
        <v>962</v>
      </c>
      <c r="D13144" t="s">
        <v>1005</v>
      </c>
      <c r="E13144" t="s">
        <v>306</v>
      </c>
      <c r="F13144" t="s">
        <v>951</v>
      </c>
      <c r="G13144">
        <v>6000000</v>
      </c>
      <c r="H13144">
        <v>143000</v>
      </c>
      <c r="I13144" t="s">
        <v>983</v>
      </c>
    </row>
    <row r="13145" spans="1:9" x14ac:dyDescent="0.25">
      <c r="A13145">
        <v>3110</v>
      </c>
      <c r="B13145">
        <v>60</v>
      </c>
      <c r="C13145" t="s">
        <v>962</v>
      </c>
      <c r="D13145" t="s">
        <v>1005</v>
      </c>
      <c r="E13145" t="s">
        <v>306</v>
      </c>
      <c r="F13145" t="s">
        <v>952</v>
      </c>
      <c r="G13145">
        <v>6000000</v>
      </c>
      <c r="H13145">
        <v>143000</v>
      </c>
      <c r="I13145" t="s">
        <v>983</v>
      </c>
    </row>
    <row r="13146" spans="1:9" x14ac:dyDescent="0.25">
      <c r="A13146">
        <v>3110</v>
      </c>
      <c r="B13146">
        <v>60</v>
      </c>
      <c r="C13146" t="s">
        <v>962</v>
      </c>
      <c r="D13146" t="s">
        <v>1005</v>
      </c>
      <c r="E13146" t="s">
        <v>306</v>
      </c>
      <c r="F13146" t="s">
        <v>956</v>
      </c>
      <c r="G13146">
        <v>6000000</v>
      </c>
      <c r="H13146">
        <v>143000</v>
      </c>
      <c r="I13146" t="s">
        <v>983</v>
      </c>
    </row>
    <row r="13147" spans="1:9" x14ac:dyDescent="0.25">
      <c r="A13147">
        <v>3110</v>
      </c>
      <c r="B13147">
        <v>60</v>
      </c>
      <c r="C13147" t="s">
        <v>962</v>
      </c>
      <c r="D13147" t="s">
        <v>1005</v>
      </c>
      <c r="E13147" t="s">
        <v>306</v>
      </c>
      <c r="F13147" t="s">
        <v>957</v>
      </c>
      <c r="G13147">
        <v>6000000</v>
      </c>
      <c r="H13147">
        <v>143000</v>
      </c>
      <c r="I13147" t="s">
        <v>983</v>
      </c>
    </row>
    <row r="13148" spans="1:9" x14ac:dyDescent="0.25">
      <c r="A13148">
        <v>3110</v>
      </c>
      <c r="B13148">
        <v>60</v>
      </c>
      <c r="C13148" t="s">
        <v>962</v>
      </c>
      <c r="D13148" t="s">
        <v>1005</v>
      </c>
      <c r="E13148" t="s">
        <v>306</v>
      </c>
      <c r="F13148" t="s">
        <v>958</v>
      </c>
      <c r="G13148">
        <v>6000000</v>
      </c>
      <c r="H13148">
        <v>143000</v>
      </c>
      <c r="I13148" t="s">
        <v>983</v>
      </c>
    </row>
    <row r="13149" spans="1:9" x14ac:dyDescent="0.25">
      <c r="A13149">
        <v>3110</v>
      </c>
      <c r="B13149">
        <v>60</v>
      </c>
      <c r="C13149" t="s">
        <v>963</v>
      </c>
      <c r="D13149" t="s">
        <v>1005</v>
      </c>
      <c r="E13149" t="s">
        <v>306</v>
      </c>
      <c r="F13149" t="s">
        <v>951</v>
      </c>
      <c r="G13149">
        <v>6000000</v>
      </c>
      <c r="H13149">
        <v>143000</v>
      </c>
      <c r="I13149" t="s">
        <v>983</v>
      </c>
    </row>
    <row r="13150" spans="1:9" x14ac:dyDescent="0.25">
      <c r="A13150">
        <v>3110</v>
      </c>
      <c r="B13150">
        <v>60</v>
      </c>
      <c r="C13150" t="s">
        <v>963</v>
      </c>
      <c r="D13150" t="s">
        <v>1005</v>
      </c>
      <c r="E13150" t="s">
        <v>306</v>
      </c>
      <c r="F13150" t="s">
        <v>952</v>
      </c>
      <c r="G13150">
        <v>6000000</v>
      </c>
      <c r="H13150">
        <v>143000</v>
      </c>
      <c r="I13150" t="s">
        <v>983</v>
      </c>
    </row>
    <row r="13151" spans="1:9" x14ac:dyDescent="0.25">
      <c r="A13151">
        <v>3110</v>
      </c>
      <c r="B13151">
        <v>60</v>
      </c>
      <c r="C13151" t="s">
        <v>963</v>
      </c>
      <c r="D13151" t="s">
        <v>1005</v>
      </c>
      <c r="E13151" t="s">
        <v>306</v>
      </c>
      <c r="F13151" t="s">
        <v>956</v>
      </c>
      <c r="G13151">
        <v>6000000</v>
      </c>
      <c r="H13151">
        <v>143000</v>
      </c>
      <c r="I13151" t="s">
        <v>983</v>
      </c>
    </row>
    <row r="13152" spans="1:9" x14ac:dyDescent="0.25">
      <c r="A13152">
        <v>3110</v>
      </c>
      <c r="B13152">
        <v>60</v>
      </c>
      <c r="C13152" t="s">
        <v>963</v>
      </c>
      <c r="D13152" t="s">
        <v>1005</v>
      </c>
      <c r="E13152" t="s">
        <v>306</v>
      </c>
      <c r="F13152" t="s">
        <v>957</v>
      </c>
      <c r="G13152">
        <v>6000000</v>
      </c>
      <c r="H13152">
        <v>143000</v>
      </c>
      <c r="I13152" t="s">
        <v>983</v>
      </c>
    </row>
    <row r="13153" spans="1:9" x14ac:dyDescent="0.25">
      <c r="A13153">
        <v>3110</v>
      </c>
      <c r="B13153">
        <v>60</v>
      </c>
      <c r="C13153" t="s">
        <v>963</v>
      </c>
      <c r="D13153" t="s">
        <v>1005</v>
      </c>
      <c r="E13153" t="s">
        <v>306</v>
      </c>
      <c r="F13153" t="s">
        <v>958</v>
      </c>
      <c r="G13153">
        <v>6000000</v>
      </c>
      <c r="H13153">
        <v>143000</v>
      </c>
      <c r="I13153" t="s">
        <v>983</v>
      </c>
    </row>
    <row r="13154" spans="1:9" x14ac:dyDescent="0.25">
      <c r="A13154">
        <v>3110</v>
      </c>
      <c r="B13154">
        <v>60</v>
      </c>
      <c r="C13154" t="s">
        <v>950</v>
      </c>
      <c r="D13154" t="s">
        <v>1005</v>
      </c>
      <c r="E13154" t="s">
        <v>108</v>
      </c>
      <c r="F13154" t="s">
        <v>951</v>
      </c>
      <c r="G13154">
        <v>6077777</v>
      </c>
      <c r="H13154">
        <v>500220</v>
      </c>
      <c r="I13154" t="s">
        <v>949</v>
      </c>
    </row>
    <row r="13155" spans="1:9" x14ac:dyDescent="0.25">
      <c r="A13155">
        <v>3110</v>
      </c>
      <c r="B13155">
        <v>60</v>
      </c>
      <c r="C13155" t="s">
        <v>950</v>
      </c>
      <c r="D13155" t="s">
        <v>1005</v>
      </c>
      <c r="E13155" t="s">
        <v>108</v>
      </c>
      <c r="F13155" t="s">
        <v>952</v>
      </c>
      <c r="G13155">
        <v>6077777</v>
      </c>
      <c r="H13155">
        <v>500220</v>
      </c>
      <c r="I13155" t="s">
        <v>949</v>
      </c>
    </row>
    <row r="13156" spans="1:9" x14ac:dyDescent="0.25">
      <c r="A13156">
        <v>3110</v>
      </c>
      <c r="B13156">
        <v>60</v>
      </c>
      <c r="C13156" t="s">
        <v>962</v>
      </c>
      <c r="D13156" t="s">
        <v>1005</v>
      </c>
      <c r="E13156" t="s">
        <v>108</v>
      </c>
      <c r="F13156" t="s">
        <v>951</v>
      </c>
      <c r="G13156">
        <v>6077777</v>
      </c>
      <c r="H13156">
        <v>500220</v>
      </c>
      <c r="I13156" t="s">
        <v>949</v>
      </c>
    </row>
    <row r="13157" spans="1:9" x14ac:dyDescent="0.25">
      <c r="A13157">
        <v>3110</v>
      </c>
      <c r="B13157">
        <v>60</v>
      </c>
      <c r="C13157" t="s">
        <v>962</v>
      </c>
      <c r="D13157" t="s">
        <v>1005</v>
      </c>
      <c r="E13157" t="s">
        <v>108</v>
      </c>
      <c r="F13157" t="s">
        <v>952</v>
      </c>
      <c r="G13157">
        <v>6077777</v>
      </c>
      <c r="H13157">
        <v>500220</v>
      </c>
      <c r="I13157" t="s">
        <v>949</v>
      </c>
    </row>
    <row r="13158" spans="1:9" x14ac:dyDescent="0.25">
      <c r="A13158">
        <v>3110</v>
      </c>
      <c r="B13158">
        <v>60</v>
      </c>
      <c r="C13158" t="s">
        <v>963</v>
      </c>
      <c r="D13158" t="s">
        <v>1005</v>
      </c>
      <c r="E13158" t="s">
        <v>108</v>
      </c>
      <c r="F13158" t="s">
        <v>951</v>
      </c>
      <c r="G13158">
        <v>6077777</v>
      </c>
      <c r="H13158">
        <v>500220</v>
      </c>
      <c r="I13158" t="s">
        <v>949</v>
      </c>
    </row>
    <row r="13159" spans="1:9" x14ac:dyDescent="0.25">
      <c r="A13159">
        <v>3110</v>
      </c>
      <c r="B13159">
        <v>60</v>
      </c>
      <c r="C13159" t="s">
        <v>963</v>
      </c>
      <c r="D13159" t="s">
        <v>1005</v>
      </c>
      <c r="E13159" t="s">
        <v>108</v>
      </c>
      <c r="F13159" t="s">
        <v>952</v>
      </c>
      <c r="G13159">
        <v>6077777</v>
      </c>
      <c r="H13159">
        <v>500220</v>
      </c>
      <c r="I13159" t="s">
        <v>949</v>
      </c>
    </row>
    <row r="13160" spans="1:9" x14ac:dyDescent="0.25">
      <c r="A13160">
        <v>3110</v>
      </c>
      <c r="B13160">
        <v>60</v>
      </c>
      <c r="C13160" t="s">
        <v>950</v>
      </c>
      <c r="D13160" t="s">
        <v>1005</v>
      </c>
      <c r="E13160" t="s">
        <v>310</v>
      </c>
      <c r="F13160" t="s">
        <v>951</v>
      </c>
      <c r="G13160">
        <v>6000000</v>
      </c>
      <c r="H13160">
        <v>145000</v>
      </c>
      <c r="I13160" t="s">
        <v>949</v>
      </c>
    </row>
    <row r="13161" spans="1:9" x14ac:dyDescent="0.25">
      <c r="A13161">
        <v>3110</v>
      </c>
      <c r="B13161">
        <v>60</v>
      </c>
      <c r="C13161" t="s">
        <v>950</v>
      </c>
      <c r="D13161" t="s">
        <v>1005</v>
      </c>
      <c r="E13161" t="s">
        <v>310</v>
      </c>
      <c r="F13161" t="s">
        <v>952</v>
      </c>
      <c r="G13161">
        <v>6000000</v>
      </c>
      <c r="H13161">
        <v>145000</v>
      </c>
      <c r="I13161" t="s">
        <v>949</v>
      </c>
    </row>
    <row r="13162" spans="1:9" x14ac:dyDescent="0.25">
      <c r="A13162">
        <v>3110</v>
      </c>
      <c r="B13162">
        <v>60</v>
      </c>
      <c r="C13162" t="s">
        <v>962</v>
      </c>
      <c r="D13162" t="s">
        <v>1005</v>
      </c>
      <c r="E13162" t="s">
        <v>310</v>
      </c>
      <c r="F13162" t="s">
        <v>951</v>
      </c>
      <c r="G13162">
        <v>6000000</v>
      </c>
      <c r="H13162">
        <v>145000</v>
      </c>
      <c r="I13162" t="s">
        <v>949</v>
      </c>
    </row>
    <row r="13163" spans="1:9" x14ac:dyDescent="0.25">
      <c r="A13163">
        <v>3110</v>
      </c>
      <c r="B13163">
        <v>60</v>
      </c>
      <c r="C13163" t="s">
        <v>962</v>
      </c>
      <c r="D13163" t="s">
        <v>1005</v>
      </c>
      <c r="E13163" t="s">
        <v>310</v>
      </c>
      <c r="F13163" t="s">
        <v>952</v>
      </c>
      <c r="G13163">
        <v>6000000</v>
      </c>
      <c r="H13163">
        <v>145000</v>
      </c>
      <c r="I13163" t="s">
        <v>949</v>
      </c>
    </row>
    <row r="13164" spans="1:9" x14ac:dyDescent="0.25">
      <c r="A13164">
        <v>3110</v>
      </c>
      <c r="B13164">
        <v>60</v>
      </c>
      <c r="C13164" t="s">
        <v>963</v>
      </c>
      <c r="D13164" t="s">
        <v>1005</v>
      </c>
      <c r="E13164" t="s">
        <v>310</v>
      </c>
      <c r="F13164" t="s">
        <v>951</v>
      </c>
      <c r="G13164">
        <v>6000000</v>
      </c>
      <c r="H13164">
        <v>145000</v>
      </c>
      <c r="I13164" t="s">
        <v>949</v>
      </c>
    </row>
    <row r="13165" spans="1:9" x14ac:dyDescent="0.25">
      <c r="A13165">
        <v>3110</v>
      </c>
      <c r="B13165">
        <v>60</v>
      </c>
      <c r="C13165" t="s">
        <v>963</v>
      </c>
      <c r="D13165" t="s">
        <v>1005</v>
      </c>
      <c r="E13165" t="s">
        <v>310</v>
      </c>
      <c r="F13165" t="s">
        <v>952</v>
      </c>
      <c r="G13165">
        <v>6000000</v>
      </c>
      <c r="H13165">
        <v>145000</v>
      </c>
      <c r="I13165" t="s">
        <v>949</v>
      </c>
    </row>
    <row r="13166" spans="1:9" x14ac:dyDescent="0.25">
      <c r="A13166">
        <v>3110</v>
      </c>
      <c r="B13166">
        <v>60</v>
      </c>
      <c r="C13166" t="s">
        <v>950</v>
      </c>
      <c r="D13166" t="s">
        <v>1005</v>
      </c>
      <c r="E13166" t="s">
        <v>314</v>
      </c>
      <c r="F13166" t="s">
        <v>951</v>
      </c>
      <c r="G13166">
        <v>6000000</v>
      </c>
      <c r="H13166">
        <v>145000</v>
      </c>
      <c r="I13166" t="s">
        <v>949</v>
      </c>
    </row>
    <row r="13167" spans="1:9" x14ac:dyDescent="0.25">
      <c r="A13167">
        <v>3110</v>
      </c>
      <c r="B13167">
        <v>60</v>
      </c>
      <c r="C13167" t="s">
        <v>950</v>
      </c>
      <c r="D13167" t="s">
        <v>1005</v>
      </c>
      <c r="E13167" t="s">
        <v>314</v>
      </c>
      <c r="F13167" t="s">
        <v>952</v>
      </c>
      <c r="G13167">
        <v>6000000</v>
      </c>
      <c r="H13167">
        <v>145000</v>
      </c>
      <c r="I13167" t="s">
        <v>949</v>
      </c>
    </row>
    <row r="13168" spans="1:9" x14ac:dyDescent="0.25">
      <c r="A13168">
        <v>3110</v>
      </c>
      <c r="B13168">
        <v>60</v>
      </c>
      <c r="C13168" t="s">
        <v>962</v>
      </c>
      <c r="D13168" t="s">
        <v>1005</v>
      </c>
      <c r="E13168" t="s">
        <v>314</v>
      </c>
      <c r="F13168" t="s">
        <v>951</v>
      </c>
      <c r="G13168">
        <v>6000000</v>
      </c>
      <c r="H13168">
        <v>145000</v>
      </c>
      <c r="I13168" t="s">
        <v>949</v>
      </c>
    </row>
    <row r="13169" spans="1:9" x14ac:dyDescent="0.25">
      <c r="A13169">
        <v>3110</v>
      </c>
      <c r="B13169">
        <v>60</v>
      </c>
      <c r="C13169" t="s">
        <v>962</v>
      </c>
      <c r="D13169" t="s">
        <v>1005</v>
      </c>
      <c r="E13169" t="s">
        <v>314</v>
      </c>
      <c r="F13169" t="s">
        <v>952</v>
      </c>
      <c r="G13169">
        <v>6000000</v>
      </c>
      <c r="H13169">
        <v>145000</v>
      </c>
      <c r="I13169" t="s">
        <v>949</v>
      </c>
    </row>
    <row r="13170" spans="1:9" x14ac:dyDescent="0.25">
      <c r="A13170">
        <v>3110</v>
      </c>
      <c r="B13170">
        <v>60</v>
      </c>
      <c r="C13170" t="s">
        <v>963</v>
      </c>
      <c r="D13170" t="s">
        <v>1005</v>
      </c>
      <c r="E13170" t="s">
        <v>314</v>
      </c>
      <c r="F13170" t="s">
        <v>951</v>
      </c>
      <c r="G13170">
        <v>6000000</v>
      </c>
      <c r="H13170">
        <v>145000</v>
      </c>
      <c r="I13170" t="s">
        <v>949</v>
      </c>
    </row>
    <row r="13171" spans="1:9" x14ac:dyDescent="0.25">
      <c r="A13171">
        <v>3110</v>
      </c>
      <c r="B13171">
        <v>60</v>
      </c>
      <c r="C13171" t="s">
        <v>963</v>
      </c>
      <c r="D13171" t="s">
        <v>1005</v>
      </c>
      <c r="E13171" t="s">
        <v>314</v>
      </c>
      <c r="F13171" t="s">
        <v>952</v>
      </c>
      <c r="G13171">
        <v>6000000</v>
      </c>
      <c r="H13171">
        <v>145000</v>
      </c>
      <c r="I13171" t="s">
        <v>949</v>
      </c>
    </row>
    <row r="13172" spans="1:9" x14ac:dyDescent="0.25">
      <c r="A13172">
        <v>3110</v>
      </c>
      <c r="B13172">
        <v>60</v>
      </c>
      <c r="C13172" t="s">
        <v>950</v>
      </c>
      <c r="D13172" t="s">
        <v>1005</v>
      </c>
      <c r="E13172" t="s">
        <v>121</v>
      </c>
      <c r="F13172" t="s">
        <v>951</v>
      </c>
      <c r="G13172">
        <v>6077777</v>
      </c>
      <c r="H13172">
        <v>500220</v>
      </c>
      <c r="I13172" t="s">
        <v>949</v>
      </c>
    </row>
    <row r="13173" spans="1:9" x14ac:dyDescent="0.25">
      <c r="A13173">
        <v>3110</v>
      </c>
      <c r="B13173">
        <v>60</v>
      </c>
      <c r="C13173" t="s">
        <v>962</v>
      </c>
      <c r="D13173" t="s">
        <v>1005</v>
      </c>
      <c r="E13173" t="s">
        <v>121</v>
      </c>
      <c r="F13173" t="s">
        <v>951</v>
      </c>
      <c r="G13173">
        <v>6077777</v>
      </c>
      <c r="H13173">
        <v>500220</v>
      </c>
      <c r="I13173" t="s">
        <v>949</v>
      </c>
    </row>
    <row r="13174" spans="1:9" x14ac:dyDescent="0.25">
      <c r="A13174">
        <v>3110</v>
      </c>
      <c r="B13174">
        <v>60</v>
      </c>
      <c r="C13174" t="s">
        <v>963</v>
      </c>
      <c r="D13174" t="s">
        <v>1005</v>
      </c>
      <c r="E13174" t="s">
        <v>121</v>
      </c>
      <c r="F13174" t="s">
        <v>951</v>
      </c>
      <c r="G13174">
        <v>6077777</v>
      </c>
      <c r="H13174">
        <v>500220</v>
      </c>
      <c r="I13174" t="s">
        <v>949</v>
      </c>
    </row>
    <row r="13175" spans="1:9" x14ac:dyDescent="0.25">
      <c r="A13175">
        <v>3110</v>
      </c>
      <c r="B13175">
        <v>60</v>
      </c>
      <c r="C13175" t="s">
        <v>950</v>
      </c>
      <c r="D13175" t="s">
        <v>1005</v>
      </c>
      <c r="E13175" t="s">
        <v>984</v>
      </c>
      <c r="F13175" t="s">
        <v>951</v>
      </c>
      <c r="G13175">
        <v>6000000</v>
      </c>
      <c r="H13175">
        <v>141000</v>
      </c>
      <c r="I13175" t="s">
        <v>985</v>
      </c>
    </row>
    <row r="13176" spans="1:9" x14ac:dyDescent="0.25">
      <c r="A13176">
        <v>3110</v>
      </c>
      <c r="B13176">
        <v>60</v>
      </c>
      <c r="C13176" t="s">
        <v>950</v>
      </c>
      <c r="D13176" t="s">
        <v>1005</v>
      </c>
      <c r="E13176" t="s">
        <v>984</v>
      </c>
      <c r="F13176" t="s">
        <v>952</v>
      </c>
      <c r="G13176">
        <v>6000000</v>
      </c>
      <c r="H13176">
        <v>141000</v>
      </c>
      <c r="I13176" t="s">
        <v>985</v>
      </c>
    </row>
    <row r="13177" spans="1:9" x14ac:dyDescent="0.25">
      <c r="A13177">
        <v>3110</v>
      </c>
      <c r="B13177">
        <v>60</v>
      </c>
      <c r="C13177" t="s">
        <v>962</v>
      </c>
      <c r="D13177" t="s">
        <v>1005</v>
      </c>
      <c r="E13177" t="s">
        <v>984</v>
      </c>
      <c r="F13177" t="s">
        <v>951</v>
      </c>
      <c r="G13177">
        <v>6000000</v>
      </c>
      <c r="H13177">
        <v>141000</v>
      </c>
      <c r="I13177" t="s">
        <v>985</v>
      </c>
    </row>
    <row r="13178" spans="1:9" x14ac:dyDescent="0.25">
      <c r="A13178">
        <v>3110</v>
      </c>
      <c r="B13178">
        <v>60</v>
      </c>
      <c r="C13178" t="s">
        <v>962</v>
      </c>
      <c r="D13178" t="s">
        <v>1005</v>
      </c>
      <c r="E13178" t="s">
        <v>984</v>
      </c>
      <c r="F13178" t="s">
        <v>952</v>
      </c>
      <c r="G13178">
        <v>6000000</v>
      </c>
      <c r="H13178">
        <v>141000</v>
      </c>
      <c r="I13178" t="s">
        <v>985</v>
      </c>
    </row>
    <row r="13179" spans="1:9" x14ac:dyDescent="0.25">
      <c r="A13179">
        <v>3110</v>
      </c>
      <c r="B13179">
        <v>60</v>
      </c>
      <c r="C13179" t="s">
        <v>963</v>
      </c>
      <c r="D13179" t="s">
        <v>1005</v>
      </c>
      <c r="E13179" t="s">
        <v>984</v>
      </c>
      <c r="F13179" t="s">
        <v>951</v>
      </c>
      <c r="G13179">
        <v>6000000</v>
      </c>
      <c r="H13179">
        <v>141000</v>
      </c>
      <c r="I13179" t="s">
        <v>985</v>
      </c>
    </row>
    <row r="13180" spans="1:9" x14ac:dyDescent="0.25">
      <c r="A13180">
        <v>3110</v>
      </c>
      <c r="B13180">
        <v>60</v>
      </c>
      <c r="C13180" t="s">
        <v>963</v>
      </c>
      <c r="D13180" t="s">
        <v>1005</v>
      </c>
      <c r="E13180" t="s">
        <v>984</v>
      </c>
      <c r="F13180" t="s">
        <v>952</v>
      </c>
      <c r="G13180">
        <v>6000000</v>
      </c>
      <c r="H13180">
        <v>141000</v>
      </c>
      <c r="I13180" t="s">
        <v>985</v>
      </c>
    </row>
    <row r="13181" ht="22" customHeight="1" spans="1:10" x14ac:dyDescent="0.25">
      <c r="A13181" s="41">
        <v>4154</v>
      </c>
      <c r="B13181" s="41">
        <v>60</v>
      </c>
      <c r="C13181" s="41" t="s">
        <v>946</v>
      </c>
      <c r="D13181" s="41" t="s">
        <v>1006</v>
      </c>
      <c r="E13181" s="41" t="s">
        <v>49</v>
      </c>
      <c r="F13181" s="41" t="s">
        <v>948</v>
      </c>
      <c r="G13181" s="41">
        <v>6077777</v>
      </c>
      <c r="H13181" s="41">
        <v>500465</v>
      </c>
      <c r="I13181" s="41" t="s">
        <v>949</v>
      </c>
      <c r="J13181" s="42" t="s">
        <v>1082</v>
      </c>
    </row>
    <row r="13182" spans="1:9" x14ac:dyDescent="0.25">
      <c r="A13182">
        <v>4152</v>
      </c>
      <c r="B13182">
        <v>60</v>
      </c>
      <c r="C13182" t="s">
        <v>946</v>
      </c>
      <c r="D13182" t="s">
        <v>1006</v>
      </c>
      <c r="E13182" t="s">
        <v>243</v>
      </c>
      <c r="F13182" t="s">
        <v>948</v>
      </c>
      <c r="G13182">
        <v>6000000</v>
      </c>
      <c r="H13182">
        <v>145000</v>
      </c>
      <c r="I13182" t="s">
        <v>949</v>
      </c>
    </row>
    <row r="13183" spans="1:9" x14ac:dyDescent="0.25">
      <c r="A13183">
        <v>4152</v>
      </c>
      <c r="B13183">
        <v>60</v>
      </c>
      <c r="C13183" t="s">
        <v>946</v>
      </c>
      <c r="D13183" t="s">
        <v>1006</v>
      </c>
      <c r="E13183" t="s">
        <v>247</v>
      </c>
      <c r="F13183" t="s">
        <v>948</v>
      </c>
      <c r="G13183">
        <v>6000000</v>
      </c>
      <c r="H13183">
        <v>145000</v>
      </c>
      <c r="I13183" t="s">
        <v>949</v>
      </c>
    </row>
    <row r="13184" spans="1:9" x14ac:dyDescent="0.25">
      <c r="A13184">
        <v>4152</v>
      </c>
      <c r="B13184">
        <v>60</v>
      </c>
      <c r="C13184" t="s">
        <v>946</v>
      </c>
      <c r="D13184" t="s">
        <v>1006</v>
      </c>
      <c r="E13184" t="s">
        <v>251</v>
      </c>
      <c r="F13184" t="s">
        <v>948</v>
      </c>
      <c r="G13184">
        <v>6000000</v>
      </c>
      <c r="H13184">
        <v>142000</v>
      </c>
      <c r="I13184" t="s">
        <v>949</v>
      </c>
    </row>
    <row r="13185" spans="1:9" x14ac:dyDescent="0.25">
      <c r="A13185">
        <v>4152</v>
      </c>
      <c r="B13185">
        <v>60</v>
      </c>
      <c r="C13185" t="s">
        <v>946</v>
      </c>
      <c r="D13185" t="s">
        <v>1006</v>
      </c>
      <c r="E13185" t="s">
        <v>969</v>
      </c>
      <c r="F13185" t="s">
        <v>948</v>
      </c>
      <c r="G13185">
        <v>6000000</v>
      </c>
      <c r="H13185">
        <v>141000</v>
      </c>
      <c r="I13185" t="s">
        <v>970</v>
      </c>
    </row>
    <row r="13186" spans="1:9" x14ac:dyDescent="0.25">
      <c r="A13186">
        <v>4152</v>
      </c>
      <c r="B13186">
        <v>60</v>
      </c>
      <c r="C13186" t="s">
        <v>946</v>
      </c>
      <c r="D13186" t="s">
        <v>1006</v>
      </c>
      <c r="E13186" t="s">
        <v>255</v>
      </c>
      <c r="F13186" t="s">
        <v>948</v>
      </c>
      <c r="G13186">
        <v>6000000</v>
      </c>
      <c r="H13186">
        <v>145000</v>
      </c>
      <c r="I13186" t="s">
        <v>949</v>
      </c>
    </row>
    <row r="13187" spans="1:9" x14ac:dyDescent="0.25">
      <c r="A13187">
        <v>4152</v>
      </c>
      <c r="B13187">
        <v>60</v>
      </c>
      <c r="C13187" t="s">
        <v>946</v>
      </c>
      <c r="D13187" t="s">
        <v>1006</v>
      </c>
      <c r="E13187" t="s">
        <v>971</v>
      </c>
      <c r="F13187" t="s">
        <v>948</v>
      </c>
      <c r="G13187">
        <v>6000000</v>
      </c>
      <c r="H13187">
        <v>141000</v>
      </c>
      <c r="I13187" t="s">
        <v>972</v>
      </c>
    </row>
    <row r="13188" spans="1:9" x14ac:dyDescent="0.25">
      <c r="A13188">
        <v>4152</v>
      </c>
      <c r="B13188">
        <v>60</v>
      </c>
      <c r="C13188" t="s">
        <v>946</v>
      </c>
      <c r="D13188" t="s">
        <v>1006</v>
      </c>
      <c r="E13188" t="s">
        <v>263</v>
      </c>
      <c r="F13188" t="s">
        <v>948</v>
      </c>
      <c r="G13188">
        <v>6000000</v>
      </c>
      <c r="H13188">
        <v>145000</v>
      </c>
      <c r="I13188" t="s">
        <v>949</v>
      </c>
    </row>
    <row r="13189" ht="22" customHeight="1" spans="1:10" x14ac:dyDescent="0.25">
      <c r="A13189" s="41">
        <v>4152</v>
      </c>
      <c r="B13189" s="41">
        <v>60</v>
      </c>
      <c r="C13189" s="41" t="s">
        <v>946</v>
      </c>
      <c r="D13189" s="41" t="s">
        <v>1006</v>
      </c>
      <c r="E13189" s="41" t="s">
        <v>100</v>
      </c>
      <c r="F13189" s="41" t="s">
        <v>948</v>
      </c>
      <c r="G13189" s="41">
        <v>6077777</v>
      </c>
      <c r="H13189" s="41">
        <v>500465</v>
      </c>
      <c r="I13189" s="41" t="s">
        <v>949</v>
      </c>
      <c r="J13189" s="42" t="s">
        <v>1083</v>
      </c>
    </row>
    <row r="13190" spans="1:9" x14ac:dyDescent="0.25">
      <c r="A13190">
        <v>4152</v>
      </c>
      <c r="B13190">
        <v>60</v>
      </c>
      <c r="C13190" t="s">
        <v>946</v>
      </c>
      <c r="D13190" t="s">
        <v>1006</v>
      </c>
      <c r="E13190" t="s">
        <v>270</v>
      </c>
      <c r="F13190" t="s">
        <v>948</v>
      </c>
      <c r="G13190">
        <v>6000000</v>
      </c>
      <c r="H13190">
        <v>145000</v>
      </c>
      <c r="I13190" t="s">
        <v>949</v>
      </c>
    </row>
    <row r="13191" spans="1:9" x14ac:dyDescent="0.25">
      <c r="A13191">
        <v>4152</v>
      </c>
      <c r="B13191">
        <v>60</v>
      </c>
      <c r="C13191" t="s">
        <v>946</v>
      </c>
      <c r="D13191" t="s">
        <v>1006</v>
      </c>
      <c r="E13191" t="s">
        <v>274</v>
      </c>
      <c r="F13191" t="s">
        <v>948</v>
      </c>
      <c r="G13191">
        <v>6000000</v>
      </c>
      <c r="H13191">
        <v>143000</v>
      </c>
      <c r="I13191" t="s">
        <v>973</v>
      </c>
    </row>
    <row r="13192" spans="1:9" x14ac:dyDescent="0.25">
      <c r="A13192">
        <v>4152</v>
      </c>
      <c r="B13192">
        <v>60</v>
      </c>
      <c r="C13192" t="s">
        <v>946</v>
      </c>
      <c r="D13192" t="s">
        <v>1006</v>
      </c>
      <c r="E13192" t="s">
        <v>974</v>
      </c>
      <c r="F13192" t="s">
        <v>948</v>
      </c>
      <c r="G13192">
        <v>6000000</v>
      </c>
      <c r="H13192">
        <v>141000</v>
      </c>
      <c r="I13192" t="s">
        <v>975</v>
      </c>
    </row>
    <row r="13193" ht="22" customHeight="1" spans="1:10" x14ac:dyDescent="0.25">
      <c r="A13193" s="41">
        <v>4152</v>
      </c>
      <c r="B13193" s="41">
        <v>60</v>
      </c>
      <c r="C13193" s="41" t="s">
        <v>946</v>
      </c>
      <c r="D13193" s="41" t="s">
        <v>1006</v>
      </c>
      <c r="E13193" s="41" t="s">
        <v>104</v>
      </c>
      <c r="F13193" s="41" t="s">
        <v>948</v>
      </c>
      <c r="G13193" s="41">
        <v>6077777</v>
      </c>
      <c r="H13193" s="41">
        <v>500465</v>
      </c>
      <c r="I13193" s="41" t="s">
        <v>949</v>
      </c>
      <c r="J13193" s="42" t="s">
        <v>1083</v>
      </c>
    </row>
    <row r="13194" spans="1:9" x14ac:dyDescent="0.25">
      <c r="A13194">
        <v>4152</v>
      </c>
      <c r="B13194">
        <v>60</v>
      </c>
      <c r="C13194" t="s">
        <v>946</v>
      </c>
      <c r="D13194" t="s">
        <v>1006</v>
      </c>
      <c r="E13194" t="s">
        <v>278</v>
      </c>
      <c r="F13194" t="s">
        <v>948</v>
      </c>
      <c r="G13194">
        <v>6000000</v>
      </c>
      <c r="H13194">
        <v>145000</v>
      </c>
      <c r="I13194" t="s">
        <v>949</v>
      </c>
    </row>
    <row r="13195" spans="1:9" x14ac:dyDescent="0.25">
      <c r="A13195">
        <v>4152</v>
      </c>
      <c r="B13195">
        <v>60</v>
      </c>
      <c r="C13195" t="s">
        <v>946</v>
      </c>
      <c r="D13195" t="s">
        <v>1006</v>
      </c>
      <c r="E13195" t="s">
        <v>282</v>
      </c>
      <c r="F13195" t="s">
        <v>948</v>
      </c>
      <c r="G13195">
        <v>6000000</v>
      </c>
      <c r="H13195">
        <v>143100</v>
      </c>
      <c r="I13195" t="s">
        <v>949</v>
      </c>
    </row>
    <row r="13196" spans="1:9" x14ac:dyDescent="0.25">
      <c r="A13196">
        <v>4152</v>
      </c>
      <c r="B13196">
        <v>60</v>
      </c>
      <c r="C13196" t="s">
        <v>946</v>
      </c>
      <c r="D13196" t="s">
        <v>1006</v>
      </c>
      <c r="E13196" t="s">
        <v>286</v>
      </c>
      <c r="F13196" t="s">
        <v>948</v>
      </c>
      <c r="G13196">
        <v>6000000</v>
      </c>
      <c r="H13196">
        <v>145000</v>
      </c>
      <c r="I13196" t="s">
        <v>949</v>
      </c>
    </row>
    <row r="13197" spans="1:9" x14ac:dyDescent="0.25">
      <c r="A13197">
        <v>4152</v>
      </c>
      <c r="B13197">
        <v>60</v>
      </c>
      <c r="C13197" t="s">
        <v>946</v>
      </c>
      <c r="D13197" t="s">
        <v>1006</v>
      </c>
      <c r="E13197" t="s">
        <v>976</v>
      </c>
      <c r="F13197" t="s">
        <v>948</v>
      </c>
      <c r="G13197">
        <v>6000000</v>
      </c>
      <c r="H13197">
        <v>141000</v>
      </c>
      <c r="I13197" t="s">
        <v>977</v>
      </c>
    </row>
    <row r="13198" spans="1:9" x14ac:dyDescent="0.25">
      <c r="A13198">
        <v>4152</v>
      </c>
      <c r="B13198">
        <v>60</v>
      </c>
      <c r="C13198" t="s">
        <v>946</v>
      </c>
      <c r="D13198" t="s">
        <v>1006</v>
      </c>
      <c r="E13198" t="s">
        <v>290</v>
      </c>
      <c r="F13198" t="s">
        <v>948</v>
      </c>
      <c r="G13198">
        <v>6000000</v>
      </c>
      <c r="H13198">
        <v>143000</v>
      </c>
      <c r="I13198" t="s">
        <v>978</v>
      </c>
    </row>
    <row r="13199" spans="1:9" x14ac:dyDescent="0.25">
      <c r="A13199">
        <v>4152</v>
      </c>
      <c r="B13199">
        <v>60</v>
      </c>
      <c r="C13199" t="s">
        <v>946</v>
      </c>
      <c r="D13199" t="s">
        <v>1006</v>
      </c>
      <c r="E13199" t="s">
        <v>294</v>
      </c>
      <c r="F13199" t="s">
        <v>948</v>
      </c>
      <c r="G13199">
        <v>6000000</v>
      </c>
      <c r="H13199">
        <v>143000</v>
      </c>
      <c r="I13199" t="s">
        <v>979</v>
      </c>
    </row>
    <row r="13200" spans="1:9" x14ac:dyDescent="0.25">
      <c r="A13200">
        <v>4152</v>
      </c>
      <c r="B13200">
        <v>60</v>
      </c>
      <c r="C13200" t="s">
        <v>946</v>
      </c>
      <c r="D13200" t="s">
        <v>1006</v>
      </c>
      <c r="E13200" t="s">
        <v>980</v>
      </c>
      <c r="F13200" t="s">
        <v>948</v>
      </c>
      <c r="G13200">
        <v>6000000</v>
      </c>
      <c r="H13200">
        <v>141000</v>
      </c>
      <c r="I13200" t="s">
        <v>981</v>
      </c>
    </row>
    <row r="13201" spans="1:9" x14ac:dyDescent="0.25">
      <c r="A13201">
        <v>4152</v>
      </c>
      <c r="B13201">
        <v>60</v>
      </c>
      <c r="C13201" t="s">
        <v>946</v>
      </c>
      <c r="D13201" t="s">
        <v>1006</v>
      </c>
      <c r="E13201" t="s">
        <v>302</v>
      </c>
      <c r="F13201" t="s">
        <v>948</v>
      </c>
      <c r="G13201">
        <v>6000000</v>
      </c>
      <c r="H13201">
        <v>143000</v>
      </c>
      <c r="I13201" t="s">
        <v>982</v>
      </c>
    </row>
    <row r="13202" spans="1:9" x14ac:dyDescent="0.25">
      <c r="A13202">
        <v>4152</v>
      </c>
      <c r="B13202">
        <v>60</v>
      </c>
      <c r="C13202" t="s">
        <v>946</v>
      </c>
      <c r="D13202" t="s">
        <v>1006</v>
      </c>
      <c r="E13202" t="s">
        <v>306</v>
      </c>
      <c r="F13202" t="s">
        <v>948</v>
      </c>
      <c r="G13202">
        <v>6000000</v>
      </c>
      <c r="H13202">
        <v>143000</v>
      </c>
      <c r="I13202" t="s">
        <v>983</v>
      </c>
    </row>
    <row r="13203" ht="22" customHeight="1" spans="1:10" x14ac:dyDescent="0.25">
      <c r="A13203" s="41">
        <v>4152</v>
      </c>
      <c r="B13203" s="41">
        <v>60</v>
      </c>
      <c r="C13203" s="41" t="s">
        <v>946</v>
      </c>
      <c r="D13203" s="41" t="s">
        <v>1006</v>
      </c>
      <c r="E13203" s="41" t="s">
        <v>108</v>
      </c>
      <c r="F13203" s="41" t="s">
        <v>948</v>
      </c>
      <c r="G13203" s="41">
        <v>6077777</v>
      </c>
      <c r="H13203" s="41">
        <v>500465</v>
      </c>
      <c r="I13203" s="41" t="s">
        <v>949</v>
      </c>
      <c r="J13203" s="42" t="s">
        <v>1083</v>
      </c>
    </row>
    <row r="13204" spans="1:9" x14ac:dyDescent="0.25">
      <c r="A13204">
        <v>4152</v>
      </c>
      <c r="B13204">
        <v>60</v>
      </c>
      <c r="C13204" t="s">
        <v>946</v>
      </c>
      <c r="D13204" t="s">
        <v>1006</v>
      </c>
      <c r="E13204" t="s">
        <v>310</v>
      </c>
      <c r="F13204" t="s">
        <v>948</v>
      </c>
      <c r="G13204">
        <v>6000000</v>
      </c>
      <c r="H13204">
        <v>145000</v>
      </c>
      <c r="I13204" t="s">
        <v>949</v>
      </c>
    </row>
    <row r="13205" spans="1:9" x14ac:dyDescent="0.25">
      <c r="A13205">
        <v>4152</v>
      </c>
      <c r="B13205">
        <v>60</v>
      </c>
      <c r="C13205" t="s">
        <v>946</v>
      </c>
      <c r="D13205" t="s">
        <v>1006</v>
      </c>
      <c r="E13205" t="s">
        <v>314</v>
      </c>
      <c r="F13205" t="s">
        <v>948</v>
      </c>
      <c r="G13205">
        <v>6000000</v>
      </c>
      <c r="H13205">
        <v>145000</v>
      </c>
      <c r="I13205" t="s">
        <v>949</v>
      </c>
    </row>
    <row r="13206" ht="22" customHeight="1" spans="1:10" x14ac:dyDescent="0.25">
      <c r="A13206" s="41">
        <v>4152</v>
      </c>
      <c r="B13206" s="41">
        <v>60</v>
      </c>
      <c r="C13206" s="41" t="s">
        <v>946</v>
      </c>
      <c r="D13206" s="41" t="s">
        <v>1006</v>
      </c>
      <c r="E13206" s="41" t="s">
        <v>121</v>
      </c>
      <c r="F13206" s="41" t="s">
        <v>948</v>
      </c>
      <c r="G13206" s="41">
        <v>6077777</v>
      </c>
      <c r="H13206" s="41">
        <v>500465</v>
      </c>
      <c r="I13206" s="41" t="s">
        <v>949</v>
      </c>
      <c r="J13206" s="42" t="s">
        <v>1083</v>
      </c>
    </row>
    <row r="13207" spans="1:9" x14ac:dyDescent="0.25">
      <c r="A13207">
        <v>4152</v>
      </c>
      <c r="B13207">
        <v>60</v>
      </c>
      <c r="C13207" t="s">
        <v>946</v>
      </c>
      <c r="D13207" t="s">
        <v>1006</v>
      </c>
      <c r="E13207" t="s">
        <v>984</v>
      </c>
      <c r="F13207" t="s">
        <v>948</v>
      </c>
      <c r="G13207">
        <v>6000000</v>
      </c>
      <c r="H13207">
        <v>141000</v>
      </c>
      <c r="I13207" t="s">
        <v>985</v>
      </c>
    </row>
    <row r="13208" spans="1:9" x14ac:dyDescent="0.25">
      <c r="A13208">
        <v>3130</v>
      </c>
      <c r="B13208">
        <v>60</v>
      </c>
      <c r="C13208" t="s">
        <v>950</v>
      </c>
      <c r="D13208" t="s">
        <v>1009</v>
      </c>
      <c r="E13208" t="s">
        <v>49</v>
      </c>
      <c r="F13208" t="s">
        <v>951</v>
      </c>
      <c r="G13208">
        <v>6077777</v>
      </c>
      <c r="H13208">
        <v>501100</v>
      </c>
      <c r="I13208" t="s">
        <v>949</v>
      </c>
    </row>
    <row r="13209" spans="1:9" x14ac:dyDescent="0.25">
      <c r="A13209">
        <v>3130</v>
      </c>
      <c r="B13209">
        <v>60</v>
      </c>
      <c r="C13209" t="s">
        <v>950</v>
      </c>
      <c r="D13209" t="s">
        <v>1009</v>
      </c>
      <c r="E13209" t="s">
        <v>49</v>
      </c>
      <c r="F13209" t="s">
        <v>952</v>
      </c>
      <c r="G13209">
        <v>6077777</v>
      </c>
      <c r="H13209">
        <v>501100</v>
      </c>
      <c r="I13209" t="s">
        <v>949</v>
      </c>
    </row>
    <row r="13210" spans="1:9" x14ac:dyDescent="0.25">
      <c r="A13210">
        <v>3130</v>
      </c>
      <c r="B13210">
        <v>60</v>
      </c>
      <c r="C13210" t="s">
        <v>950</v>
      </c>
      <c r="D13210" t="s">
        <v>1009</v>
      </c>
      <c r="E13210" t="s">
        <v>49</v>
      </c>
      <c r="F13210" t="s">
        <v>953</v>
      </c>
      <c r="G13210">
        <v>6077777</v>
      </c>
      <c r="H13210">
        <v>501100</v>
      </c>
      <c r="I13210" t="s">
        <v>949</v>
      </c>
    </row>
    <row r="13211" spans="1:9" x14ac:dyDescent="0.25">
      <c r="A13211">
        <v>3130</v>
      </c>
      <c r="B13211">
        <v>60</v>
      </c>
      <c r="C13211" t="s">
        <v>950</v>
      </c>
      <c r="D13211" t="s">
        <v>1009</v>
      </c>
      <c r="E13211" t="s">
        <v>49</v>
      </c>
      <c r="F13211" t="s">
        <v>954</v>
      </c>
      <c r="G13211">
        <v>6077777</v>
      </c>
      <c r="H13211">
        <v>501100</v>
      </c>
      <c r="I13211" t="s">
        <v>949</v>
      </c>
    </row>
    <row r="13212" spans="1:9" x14ac:dyDescent="0.25">
      <c r="A13212">
        <v>3130</v>
      </c>
      <c r="B13212">
        <v>60</v>
      </c>
      <c r="C13212" t="s">
        <v>950</v>
      </c>
      <c r="D13212" t="s">
        <v>1009</v>
      </c>
      <c r="E13212" t="s">
        <v>49</v>
      </c>
      <c r="F13212" t="s">
        <v>955</v>
      </c>
      <c r="G13212">
        <v>6077777</v>
      </c>
      <c r="H13212">
        <v>501100</v>
      </c>
      <c r="I13212" t="s">
        <v>949</v>
      </c>
    </row>
    <row r="13213" spans="1:9" x14ac:dyDescent="0.25">
      <c r="A13213">
        <v>3130</v>
      </c>
      <c r="B13213">
        <v>60</v>
      </c>
      <c r="C13213" t="s">
        <v>950</v>
      </c>
      <c r="D13213" t="s">
        <v>1009</v>
      </c>
      <c r="E13213" t="s">
        <v>49</v>
      </c>
      <c r="F13213" t="s">
        <v>956</v>
      </c>
      <c r="G13213">
        <v>6077777</v>
      </c>
      <c r="H13213">
        <v>501100</v>
      </c>
      <c r="I13213" t="s">
        <v>949</v>
      </c>
    </row>
    <row r="13214" spans="1:9" x14ac:dyDescent="0.25">
      <c r="A13214">
        <v>3130</v>
      </c>
      <c r="B13214">
        <v>60</v>
      </c>
      <c r="C13214" t="s">
        <v>950</v>
      </c>
      <c r="D13214" t="s">
        <v>1009</v>
      </c>
      <c r="E13214" t="s">
        <v>49</v>
      </c>
      <c r="F13214" t="s">
        <v>957</v>
      </c>
      <c r="G13214">
        <v>6077777</v>
      </c>
      <c r="H13214">
        <v>501100</v>
      </c>
      <c r="I13214" t="s">
        <v>949</v>
      </c>
    </row>
    <row r="13215" spans="1:9" x14ac:dyDescent="0.25">
      <c r="A13215">
        <v>3130</v>
      </c>
      <c r="B13215">
        <v>60</v>
      </c>
      <c r="C13215" t="s">
        <v>950</v>
      </c>
      <c r="D13215" t="s">
        <v>1009</v>
      </c>
      <c r="E13215" t="s">
        <v>49</v>
      </c>
      <c r="F13215" t="s">
        <v>958</v>
      </c>
      <c r="G13215">
        <v>6077777</v>
      </c>
      <c r="H13215">
        <v>501100</v>
      </c>
      <c r="I13215" t="s">
        <v>949</v>
      </c>
    </row>
    <row r="13216" spans="1:9" x14ac:dyDescent="0.25">
      <c r="A13216">
        <v>3130</v>
      </c>
      <c r="B13216">
        <v>60</v>
      </c>
      <c r="C13216" t="s">
        <v>950</v>
      </c>
      <c r="D13216" t="s">
        <v>1009</v>
      </c>
      <c r="E13216" t="s">
        <v>49</v>
      </c>
      <c r="F13216" t="s">
        <v>959</v>
      </c>
      <c r="G13216">
        <v>6077777</v>
      </c>
      <c r="H13216">
        <v>501100</v>
      </c>
      <c r="I13216" t="s">
        <v>949</v>
      </c>
    </row>
    <row r="13217" spans="1:9" x14ac:dyDescent="0.25">
      <c r="A13217">
        <v>3130</v>
      </c>
      <c r="B13217">
        <v>60</v>
      </c>
      <c r="C13217" t="s">
        <v>950</v>
      </c>
      <c r="D13217" t="s">
        <v>1009</v>
      </c>
      <c r="E13217" t="s">
        <v>49</v>
      </c>
      <c r="F13217" t="s">
        <v>960</v>
      </c>
      <c r="G13217">
        <v>6077777</v>
      </c>
      <c r="H13217">
        <v>501100</v>
      </c>
      <c r="I13217" t="s">
        <v>949</v>
      </c>
    </row>
    <row r="13218" spans="1:9" x14ac:dyDescent="0.25">
      <c r="A13218">
        <v>3130</v>
      </c>
      <c r="B13218">
        <v>60</v>
      </c>
      <c r="C13218" t="s">
        <v>950</v>
      </c>
      <c r="D13218" t="s">
        <v>1009</v>
      </c>
      <c r="E13218" t="s">
        <v>49</v>
      </c>
      <c r="F13218" t="s">
        <v>961</v>
      </c>
      <c r="G13218">
        <v>6077777</v>
      </c>
      <c r="H13218">
        <v>501100</v>
      </c>
      <c r="I13218" t="s">
        <v>949</v>
      </c>
    </row>
    <row r="13219" spans="1:9" x14ac:dyDescent="0.25">
      <c r="A13219">
        <v>3130</v>
      </c>
      <c r="B13219">
        <v>60</v>
      </c>
      <c r="C13219" t="s">
        <v>962</v>
      </c>
      <c r="D13219" t="s">
        <v>1009</v>
      </c>
      <c r="E13219" t="s">
        <v>49</v>
      </c>
      <c r="F13219" t="s">
        <v>951</v>
      </c>
      <c r="G13219">
        <v>6077777</v>
      </c>
      <c r="H13219">
        <v>501100</v>
      </c>
      <c r="I13219" t="s">
        <v>949</v>
      </c>
    </row>
    <row r="13220" spans="1:9" x14ac:dyDescent="0.25">
      <c r="A13220">
        <v>3130</v>
      </c>
      <c r="B13220">
        <v>60</v>
      </c>
      <c r="C13220" t="s">
        <v>962</v>
      </c>
      <c r="D13220" t="s">
        <v>1009</v>
      </c>
      <c r="E13220" t="s">
        <v>49</v>
      </c>
      <c r="F13220" t="s">
        <v>952</v>
      </c>
      <c r="G13220">
        <v>6077777</v>
      </c>
      <c r="H13220">
        <v>501100</v>
      </c>
      <c r="I13220" t="s">
        <v>949</v>
      </c>
    </row>
    <row r="13221" spans="1:9" x14ac:dyDescent="0.25">
      <c r="A13221">
        <v>3130</v>
      </c>
      <c r="B13221">
        <v>60</v>
      </c>
      <c r="C13221" t="s">
        <v>962</v>
      </c>
      <c r="D13221" t="s">
        <v>1009</v>
      </c>
      <c r="E13221" t="s">
        <v>49</v>
      </c>
      <c r="F13221" t="s">
        <v>953</v>
      </c>
      <c r="G13221">
        <v>6077777</v>
      </c>
      <c r="H13221">
        <v>501100</v>
      </c>
      <c r="I13221" t="s">
        <v>949</v>
      </c>
    </row>
    <row r="13222" spans="1:9" x14ac:dyDescent="0.25">
      <c r="A13222">
        <v>3130</v>
      </c>
      <c r="B13222">
        <v>60</v>
      </c>
      <c r="C13222" t="s">
        <v>962</v>
      </c>
      <c r="D13222" t="s">
        <v>1009</v>
      </c>
      <c r="E13222" t="s">
        <v>49</v>
      </c>
      <c r="F13222" t="s">
        <v>954</v>
      </c>
      <c r="G13222">
        <v>6077777</v>
      </c>
      <c r="H13222">
        <v>501100</v>
      </c>
      <c r="I13222" t="s">
        <v>949</v>
      </c>
    </row>
    <row r="13223" spans="1:9" x14ac:dyDescent="0.25">
      <c r="A13223">
        <v>3130</v>
      </c>
      <c r="B13223">
        <v>60</v>
      </c>
      <c r="C13223" t="s">
        <v>962</v>
      </c>
      <c r="D13223" t="s">
        <v>1009</v>
      </c>
      <c r="E13223" t="s">
        <v>49</v>
      </c>
      <c r="F13223" t="s">
        <v>955</v>
      </c>
      <c r="G13223">
        <v>6077777</v>
      </c>
      <c r="H13223">
        <v>501100</v>
      </c>
      <c r="I13223" t="s">
        <v>949</v>
      </c>
    </row>
    <row r="13224" spans="1:9" x14ac:dyDescent="0.25">
      <c r="A13224">
        <v>3130</v>
      </c>
      <c r="B13224">
        <v>60</v>
      </c>
      <c r="C13224" t="s">
        <v>962</v>
      </c>
      <c r="D13224" t="s">
        <v>1009</v>
      </c>
      <c r="E13224" t="s">
        <v>49</v>
      </c>
      <c r="F13224" t="s">
        <v>956</v>
      </c>
      <c r="G13224">
        <v>6077777</v>
      </c>
      <c r="H13224">
        <v>501100</v>
      </c>
      <c r="I13224" t="s">
        <v>949</v>
      </c>
    </row>
    <row r="13225" spans="1:9" x14ac:dyDescent="0.25">
      <c r="A13225">
        <v>3130</v>
      </c>
      <c r="B13225">
        <v>60</v>
      </c>
      <c r="C13225" t="s">
        <v>962</v>
      </c>
      <c r="D13225" t="s">
        <v>1009</v>
      </c>
      <c r="E13225" t="s">
        <v>49</v>
      </c>
      <c r="F13225" t="s">
        <v>957</v>
      </c>
      <c r="G13225">
        <v>6077777</v>
      </c>
      <c r="H13225">
        <v>501100</v>
      </c>
      <c r="I13225" t="s">
        <v>949</v>
      </c>
    </row>
    <row r="13226" spans="1:9" x14ac:dyDescent="0.25">
      <c r="A13226">
        <v>3130</v>
      </c>
      <c r="B13226">
        <v>60</v>
      </c>
      <c r="C13226" t="s">
        <v>962</v>
      </c>
      <c r="D13226" t="s">
        <v>1009</v>
      </c>
      <c r="E13226" t="s">
        <v>49</v>
      </c>
      <c r="F13226" t="s">
        <v>958</v>
      </c>
      <c r="G13226">
        <v>6077777</v>
      </c>
      <c r="H13226">
        <v>501100</v>
      </c>
      <c r="I13226" t="s">
        <v>949</v>
      </c>
    </row>
    <row r="13227" spans="1:9" x14ac:dyDescent="0.25">
      <c r="A13227">
        <v>3130</v>
      </c>
      <c r="B13227">
        <v>60</v>
      </c>
      <c r="C13227" t="s">
        <v>962</v>
      </c>
      <c r="D13227" t="s">
        <v>1009</v>
      </c>
      <c r="E13227" t="s">
        <v>49</v>
      </c>
      <c r="F13227" t="s">
        <v>959</v>
      </c>
      <c r="G13227">
        <v>6077777</v>
      </c>
      <c r="H13227">
        <v>501100</v>
      </c>
      <c r="I13227" t="s">
        <v>949</v>
      </c>
    </row>
    <row r="13228" spans="1:9" x14ac:dyDescent="0.25">
      <c r="A13228">
        <v>3130</v>
      </c>
      <c r="B13228">
        <v>60</v>
      </c>
      <c r="C13228" t="s">
        <v>962</v>
      </c>
      <c r="D13228" t="s">
        <v>1009</v>
      </c>
      <c r="E13228" t="s">
        <v>49</v>
      </c>
      <c r="F13228" t="s">
        <v>960</v>
      </c>
      <c r="G13228">
        <v>6077777</v>
      </c>
      <c r="H13228">
        <v>501100</v>
      </c>
      <c r="I13228" t="s">
        <v>949</v>
      </c>
    </row>
    <row r="13229" spans="1:9" x14ac:dyDescent="0.25">
      <c r="A13229">
        <v>3130</v>
      </c>
      <c r="B13229">
        <v>60</v>
      </c>
      <c r="C13229" t="s">
        <v>962</v>
      </c>
      <c r="D13229" t="s">
        <v>1009</v>
      </c>
      <c r="E13229" t="s">
        <v>49</v>
      </c>
      <c r="F13229" t="s">
        <v>961</v>
      </c>
      <c r="G13229">
        <v>6077777</v>
      </c>
      <c r="H13229">
        <v>501100</v>
      </c>
      <c r="I13229" t="s">
        <v>949</v>
      </c>
    </row>
    <row r="13230" spans="1:9" x14ac:dyDescent="0.25">
      <c r="A13230">
        <v>3130</v>
      </c>
      <c r="B13230">
        <v>60</v>
      </c>
      <c r="C13230" t="s">
        <v>963</v>
      </c>
      <c r="D13230" t="s">
        <v>1009</v>
      </c>
      <c r="E13230" t="s">
        <v>49</v>
      </c>
      <c r="F13230" t="s">
        <v>951</v>
      </c>
      <c r="G13230">
        <v>6077777</v>
      </c>
      <c r="H13230">
        <v>501100</v>
      </c>
      <c r="I13230" t="s">
        <v>949</v>
      </c>
    </row>
    <row r="13231" spans="1:9" x14ac:dyDescent="0.25">
      <c r="A13231">
        <v>3130</v>
      </c>
      <c r="B13231">
        <v>60</v>
      </c>
      <c r="C13231" t="s">
        <v>963</v>
      </c>
      <c r="D13231" t="s">
        <v>1009</v>
      </c>
      <c r="E13231" t="s">
        <v>49</v>
      </c>
      <c r="F13231" t="s">
        <v>952</v>
      </c>
      <c r="G13231">
        <v>6077777</v>
      </c>
      <c r="H13231">
        <v>501100</v>
      </c>
      <c r="I13231" t="s">
        <v>949</v>
      </c>
    </row>
    <row r="13232" spans="1:9" x14ac:dyDescent="0.25">
      <c r="A13232">
        <v>3130</v>
      </c>
      <c r="B13232">
        <v>60</v>
      </c>
      <c r="C13232" t="s">
        <v>963</v>
      </c>
      <c r="D13232" t="s">
        <v>1009</v>
      </c>
      <c r="E13232" t="s">
        <v>49</v>
      </c>
      <c r="F13232" t="s">
        <v>953</v>
      </c>
      <c r="G13232">
        <v>6077777</v>
      </c>
      <c r="H13232">
        <v>501100</v>
      </c>
      <c r="I13232" t="s">
        <v>949</v>
      </c>
    </row>
    <row r="13233" spans="1:9" x14ac:dyDescent="0.25">
      <c r="A13233">
        <v>3130</v>
      </c>
      <c r="B13233">
        <v>60</v>
      </c>
      <c r="C13233" t="s">
        <v>963</v>
      </c>
      <c r="D13233" t="s">
        <v>1009</v>
      </c>
      <c r="E13233" t="s">
        <v>49</v>
      </c>
      <c r="F13233" t="s">
        <v>954</v>
      </c>
      <c r="G13233">
        <v>6077777</v>
      </c>
      <c r="H13233">
        <v>501100</v>
      </c>
      <c r="I13233" t="s">
        <v>949</v>
      </c>
    </row>
    <row r="13234" spans="1:9" x14ac:dyDescent="0.25">
      <c r="A13234">
        <v>3130</v>
      </c>
      <c r="B13234">
        <v>60</v>
      </c>
      <c r="C13234" t="s">
        <v>963</v>
      </c>
      <c r="D13234" t="s">
        <v>1009</v>
      </c>
      <c r="E13234" t="s">
        <v>49</v>
      </c>
      <c r="F13234" t="s">
        <v>955</v>
      </c>
      <c r="G13234">
        <v>6077777</v>
      </c>
      <c r="H13234">
        <v>501100</v>
      </c>
      <c r="I13234" t="s">
        <v>949</v>
      </c>
    </row>
    <row r="13235" spans="1:9" x14ac:dyDescent="0.25">
      <c r="A13235">
        <v>3130</v>
      </c>
      <c r="B13235">
        <v>60</v>
      </c>
      <c r="C13235" t="s">
        <v>963</v>
      </c>
      <c r="D13235" t="s">
        <v>1009</v>
      </c>
      <c r="E13235" t="s">
        <v>49</v>
      </c>
      <c r="F13235" t="s">
        <v>956</v>
      </c>
      <c r="G13235">
        <v>6077777</v>
      </c>
      <c r="H13235">
        <v>501100</v>
      </c>
      <c r="I13235" t="s">
        <v>949</v>
      </c>
    </row>
    <row r="13236" spans="1:9" x14ac:dyDescent="0.25">
      <c r="A13236">
        <v>3130</v>
      </c>
      <c r="B13236">
        <v>60</v>
      </c>
      <c r="C13236" t="s">
        <v>963</v>
      </c>
      <c r="D13236" t="s">
        <v>1009</v>
      </c>
      <c r="E13236" t="s">
        <v>49</v>
      </c>
      <c r="F13236" t="s">
        <v>957</v>
      </c>
      <c r="G13236">
        <v>6077777</v>
      </c>
      <c r="H13236">
        <v>501100</v>
      </c>
      <c r="I13236" t="s">
        <v>949</v>
      </c>
    </row>
    <row r="13237" spans="1:9" x14ac:dyDescent="0.25">
      <c r="A13237">
        <v>3130</v>
      </c>
      <c r="B13237">
        <v>60</v>
      </c>
      <c r="C13237" t="s">
        <v>963</v>
      </c>
      <c r="D13237" t="s">
        <v>1009</v>
      </c>
      <c r="E13237" t="s">
        <v>49</v>
      </c>
      <c r="F13237" t="s">
        <v>958</v>
      </c>
      <c r="G13237">
        <v>6077777</v>
      </c>
      <c r="H13237">
        <v>501100</v>
      </c>
      <c r="I13237" t="s">
        <v>949</v>
      </c>
    </row>
    <row r="13238" spans="1:9" x14ac:dyDescent="0.25">
      <c r="A13238">
        <v>3130</v>
      </c>
      <c r="B13238">
        <v>60</v>
      </c>
      <c r="C13238" t="s">
        <v>963</v>
      </c>
      <c r="D13238" t="s">
        <v>1009</v>
      </c>
      <c r="E13238" t="s">
        <v>49</v>
      </c>
      <c r="F13238" t="s">
        <v>959</v>
      </c>
      <c r="G13238">
        <v>6077777</v>
      </c>
      <c r="H13238">
        <v>501100</v>
      </c>
      <c r="I13238" t="s">
        <v>949</v>
      </c>
    </row>
    <row r="13239" spans="1:9" x14ac:dyDescent="0.25">
      <c r="A13239">
        <v>3130</v>
      </c>
      <c r="B13239">
        <v>60</v>
      </c>
      <c r="C13239" t="s">
        <v>963</v>
      </c>
      <c r="D13239" t="s">
        <v>1009</v>
      </c>
      <c r="E13239" t="s">
        <v>49</v>
      </c>
      <c r="F13239" t="s">
        <v>960</v>
      </c>
      <c r="G13239">
        <v>6077777</v>
      </c>
      <c r="H13239">
        <v>501100</v>
      </c>
      <c r="I13239" t="s">
        <v>949</v>
      </c>
    </row>
    <row r="13240" spans="1:9" x14ac:dyDescent="0.25">
      <c r="A13240">
        <v>3130</v>
      </c>
      <c r="B13240">
        <v>60</v>
      </c>
      <c r="C13240" t="s">
        <v>963</v>
      </c>
      <c r="D13240" t="s">
        <v>1009</v>
      </c>
      <c r="E13240" t="s">
        <v>49</v>
      </c>
      <c r="F13240" t="s">
        <v>961</v>
      </c>
      <c r="G13240">
        <v>6077777</v>
      </c>
      <c r="H13240">
        <v>501100</v>
      </c>
      <c r="I13240" t="s">
        <v>949</v>
      </c>
    </row>
    <row r="13241" ht="22" customHeight="1" spans="1:10" x14ac:dyDescent="0.25">
      <c r="A13241" s="43">
        <v>3130</v>
      </c>
      <c r="B13241" s="43">
        <v>60</v>
      </c>
      <c r="C13241" s="43" t="s">
        <v>950</v>
      </c>
      <c r="D13241" s="43" t="s">
        <v>1009</v>
      </c>
      <c r="E13241" s="43" t="s">
        <v>243</v>
      </c>
      <c r="F13241" s="43" t="s">
        <v>951</v>
      </c>
      <c r="G13241" s="43">
        <v>6077777</v>
      </c>
      <c r="H13241" s="43">
        <v>501100</v>
      </c>
      <c r="I13241" s="43" t="s">
        <v>949</v>
      </c>
      <c r="J13241" s="44" t="s">
        <v>1000</v>
      </c>
    </row>
    <row r="13242" ht="22" customHeight="1" spans="1:10" x14ac:dyDescent="0.25">
      <c r="A13242" s="43">
        <v>3130</v>
      </c>
      <c r="B13242" s="43">
        <v>60</v>
      </c>
      <c r="C13242" s="43" t="s">
        <v>950</v>
      </c>
      <c r="D13242" s="43" t="s">
        <v>1009</v>
      </c>
      <c r="E13242" s="43" t="s">
        <v>243</v>
      </c>
      <c r="F13242" s="43" t="s">
        <v>952</v>
      </c>
      <c r="G13242" s="43">
        <v>6077777</v>
      </c>
      <c r="H13242" s="43">
        <v>501100</v>
      </c>
      <c r="I13242" s="43" t="s">
        <v>949</v>
      </c>
      <c r="J13242" s="44" t="s">
        <v>1000</v>
      </c>
    </row>
    <row r="13243" ht="22" customHeight="1" spans="1:10" x14ac:dyDescent="0.25">
      <c r="A13243" s="43">
        <v>3130</v>
      </c>
      <c r="B13243" s="43">
        <v>60</v>
      </c>
      <c r="C13243" s="43" t="s">
        <v>950</v>
      </c>
      <c r="D13243" s="43" t="s">
        <v>1009</v>
      </c>
      <c r="E13243" s="43" t="s">
        <v>243</v>
      </c>
      <c r="F13243" s="43" t="s">
        <v>953</v>
      </c>
      <c r="G13243" s="43">
        <v>6077777</v>
      </c>
      <c r="H13243" s="43">
        <v>501100</v>
      </c>
      <c r="I13243" s="43" t="s">
        <v>949</v>
      </c>
      <c r="J13243" s="44" t="s">
        <v>1000</v>
      </c>
    </row>
    <row r="13244" ht="22" customHeight="1" spans="1:10" x14ac:dyDescent="0.25">
      <c r="A13244" s="43">
        <v>3130</v>
      </c>
      <c r="B13244" s="43">
        <v>60</v>
      </c>
      <c r="C13244" s="43" t="s">
        <v>950</v>
      </c>
      <c r="D13244" s="43" t="s">
        <v>1009</v>
      </c>
      <c r="E13244" s="43" t="s">
        <v>243</v>
      </c>
      <c r="F13244" s="43" t="s">
        <v>954</v>
      </c>
      <c r="G13244" s="43">
        <v>6077777</v>
      </c>
      <c r="H13244" s="43">
        <v>501100</v>
      </c>
      <c r="I13244" s="43" t="s">
        <v>949</v>
      </c>
      <c r="J13244" s="44" t="s">
        <v>1000</v>
      </c>
    </row>
    <row r="13245" ht="22" customHeight="1" spans="1:10" x14ac:dyDescent="0.25">
      <c r="A13245" s="43">
        <v>3130</v>
      </c>
      <c r="B13245" s="43">
        <v>60</v>
      </c>
      <c r="C13245" s="43" t="s">
        <v>950</v>
      </c>
      <c r="D13245" s="43" t="s">
        <v>1009</v>
      </c>
      <c r="E13245" s="43" t="s">
        <v>243</v>
      </c>
      <c r="F13245" s="43" t="s">
        <v>955</v>
      </c>
      <c r="G13245" s="43">
        <v>6077777</v>
      </c>
      <c r="H13245" s="43">
        <v>501100</v>
      </c>
      <c r="I13245" s="43" t="s">
        <v>949</v>
      </c>
      <c r="J13245" s="44" t="s">
        <v>1000</v>
      </c>
    </row>
    <row r="13246" ht="22" customHeight="1" spans="1:10" x14ac:dyDescent="0.25">
      <c r="A13246" s="43">
        <v>3130</v>
      </c>
      <c r="B13246" s="43">
        <v>60</v>
      </c>
      <c r="C13246" s="43" t="s">
        <v>950</v>
      </c>
      <c r="D13246" s="43" t="s">
        <v>1009</v>
      </c>
      <c r="E13246" s="43" t="s">
        <v>243</v>
      </c>
      <c r="F13246" s="43" t="s">
        <v>956</v>
      </c>
      <c r="G13246" s="43">
        <v>6077777</v>
      </c>
      <c r="H13246" s="43">
        <v>501100</v>
      </c>
      <c r="I13246" s="43" t="s">
        <v>949</v>
      </c>
      <c r="J13246" s="44" t="s">
        <v>1000</v>
      </c>
    </row>
    <row r="13247" ht="22" customHeight="1" spans="1:10" x14ac:dyDescent="0.25">
      <c r="A13247" s="43">
        <v>3130</v>
      </c>
      <c r="B13247" s="43">
        <v>60</v>
      </c>
      <c r="C13247" s="43" t="s">
        <v>950</v>
      </c>
      <c r="D13247" s="43" t="s">
        <v>1009</v>
      </c>
      <c r="E13247" s="43" t="s">
        <v>243</v>
      </c>
      <c r="F13247" s="43" t="s">
        <v>957</v>
      </c>
      <c r="G13247" s="43">
        <v>6077777</v>
      </c>
      <c r="H13247" s="43">
        <v>501100</v>
      </c>
      <c r="I13247" s="43" t="s">
        <v>949</v>
      </c>
      <c r="J13247" s="44" t="s">
        <v>1000</v>
      </c>
    </row>
    <row r="13248" ht="22" customHeight="1" spans="1:10" x14ac:dyDescent="0.25">
      <c r="A13248" s="43">
        <v>3130</v>
      </c>
      <c r="B13248" s="43">
        <v>60</v>
      </c>
      <c r="C13248" s="43" t="s">
        <v>950</v>
      </c>
      <c r="D13248" s="43" t="s">
        <v>1009</v>
      </c>
      <c r="E13248" s="43" t="s">
        <v>243</v>
      </c>
      <c r="F13248" s="43" t="s">
        <v>958</v>
      </c>
      <c r="G13248" s="43">
        <v>6077777</v>
      </c>
      <c r="H13248" s="43">
        <v>501100</v>
      </c>
      <c r="I13248" s="43" t="s">
        <v>949</v>
      </c>
      <c r="J13248" s="44" t="s">
        <v>1000</v>
      </c>
    </row>
    <row r="13249" ht="22" customHeight="1" spans="1:10" x14ac:dyDescent="0.25">
      <c r="A13249" s="43">
        <v>3130</v>
      </c>
      <c r="B13249" s="43">
        <v>60</v>
      </c>
      <c r="C13249" s="43" t="s">
        <v>950</v>
      </c>
      <c r="D13249" s="43" t="s">
        <v>1009</v>
      </c>
      <c r="E13249" s="43" t="s">
        <v>243</v>
      </c>
      <c r="F13249" s="43" t="s">
        <v>959</v>
      </c>
      <c r="G13249" s="43">
        <v>6077777</v>
      </c>
      <c r="H13249" s="43">
        <v>501100</v>
      </c>
      <c r="I13249" s="43" t="s">
        <v>949</v>
      </c>
      <c r="J13249" s="44" t="s">
        <v>1000</v>
      </c>
    </row>
    <row r="13250" ht="22" customHeight="1" spans="1:10" x14ac:dyDescent="0.25">
      <c r="A13250" s="43">
        <v>3130</v>
      </c>
      <c r="B13250" s="43">
        <v>60</v>
      </c>
      <c r="C13250" s="43" t="s">
        <v>950</v>
      </c>
      <c r="D13250" s="43" t="s">
        <v>1009</v>
      </c>
      <c r="E13250" s="43" t="s">
        <v>243</v>
      </c>
      <c r="F13250" s="43" t="s">
        <v>960</v>
      </c>
      <c r="G13250" s="43">
        <v>6077777</v>
      </c>
      <c r="H13250" s="43">
        <v>501100</v>
      </c>
      <c r="I13250" s="43" t="s">
        <v>949</v>
      </c>
      <c r="J13250" s="44" t="s">
        <v>1000</v>
      </c>
    </row>
    <row r="13251" ht="22" customHeight="1" spans="1:10" x14ac:dyDescent="0.25">
      <c r="A13251" s="43">
        <v>3130</v>
      </c>
      <c r="B13251" s="43">
        <v>60</v>
      </c>
      <c r="C13251" s="43" t="s">
        <v>950</v>
      </c>
      <c r="D13251" s="43" t="s">
        <v>1009</v>
      </c>
      <c r="E13251" s="43" t="s">
        <v>243</v>
      </c>
      <c r="F13251" s="43" t="s">
        <v>961</v>
      </c>
      <c r="G13251" s="43">
        <v>6077777</v>
      </c>
      <c r="H13251" s="43">
        <v>501100</v>
      </c>
      <c r="I13251" s="43" t="s">
        <v>949</v>
      </c>
      <c r="J13251" s="44" t="s">
        <v>1000</v>
      </c>
    </row>
    <row r="13252" ht="22" customHeight="1" spans="1:10" x14ac:dyDescent="0.25">
      <c r="A13252" s="43">
        <v>3130</v>
      </c>
      <c r="B13252" s="43">
        <v>60</v>
      </c>
      <c r="C13252" s="43" t="s">
        <v>962</v>
      </c>
      <c r="D13252" s="43" t="s">
        <v>1009</v>
      </c>
      <c r="E13252" s="43" t="s">
        <v>243</v>
      </c>
      <c r="F13252" s="43" t="s">
        <v>951</v>
      </c>
      <c r="G13252" s="43">
        <v>6077777</v>
      </c>
      <c r="H13252" s="43">
        <v>501100</v>
      </c>
      <c r="I13252" s="43" t="s">
        <v>949</v>
      </c>
      <c r="J13252" s="44" t="s">
        <v>1000</v>
      </c>
    </row>
    <row r="13253" ht="22" customHeight="1" spans="1:10" x14ac:dyDescent="0.25">
      <c r="A13253" s="43">
        <v>3130</v>
      </c>
      <c r="B13253" s="43">
        <v>60</v>
      </c>
      <c r="C13253" s="43" t="s">
        <v>962</v>
      </c>
      <c r="D13253" s="43" t="s">
        <v>1009</v>
      </c>
      <c r="E13253" s="43" t="s">
        <v>243</v>
      </c>
      <c r="F13253" s="43" t="s">
        <v>952</v>
      </c>
      <c r="G13253" s="43">
        <v>6077777</v>
      </c>
      <c r="H13253" s="43">
        <v>501100</v>
      </c>
      <c r="I13253" s="43" t="s">
        <v>949</v>
      </c>
      <c r="J13253" s="44" t="s">
        <v>1000</v>
      </c>
    </row>
    <row r="13254" ht="22" customHeight="1" spans="1:10" x14ac:dyDescent="0.25">
      <c r="A13254" s="43">
        <v>3130</v>
      </c>
      <c r="B13254" s="43">
        <v>60</v>
      </c>
      <c r="C13254" s="43" t="s">
        <v>962</v>
      </c>
      <c r="D13254" s="43" t="s">
        <v>1009</v>
      </c>
      <c r="E13254" s="43" t="s">
        <v>243</v>
      </c>
      <c r="F13254" s="43" t="s">
        <v>953</v>
      </c>
      <c r="G13254" s="43">
        <v>6077777</v>
      </c>
      <c r="H13254" s="43">
        <v>501100</v>
      </c>
      <c r="I13254" s="43" t="s">
        <v>949</v>
      </c>
      <c r="J13254" s="44" t="s">
        <v>1000</v>
      </c>
    </row>
    <row r="13255" ht="22" customHeight="1" spans="1:10" x14ac:dyDescent="0.25">
      <c r="A13255" s="43">
        <v>3130</v>
      </c>
      <c r="B13255" s="43">
        <v>60</v>
      </c>
      <c r="C13255" s="43" t="s">
        <v>962</v>
      </c>
      <c r="D13255" s="43" t="s">
        <v>1009</v>
      </c>
      <c r="E13255" s="43" t="s">
        <v>243</v>
      </c>
      <c r="F13255" s="43" t="s">
        <v>954</v>
      </c>
      <c r="G13255" s="43">
        <v>6077777</v>
      </c>
      <c r="H13255" s="43">
        <v>501100</v>
      </c>
      <c r="I13255" s="43" t="s">
        <v>949</v>
      </c>
      <c r="J13255" s="44" t="s">
        <v>1000</v>
      </c>
    </row>
    <row r="13256" ht="22" customHeight="1" spans="1:10" x14ac:dyDescent="0.25">
      <c r="A13256" s="43">
        <v>3130</v>
      </c>
      <c r="B13256" s="43">
        <v>60</v>
      </c>
      <c r="C13256" s="43" t="s">
        <v>962</v>
      </c>
      <c r="D13256" s="43" t="s">
        <v>1009</v>
      </c>
      <c r="E13256" s="43" t="s">
        <v>243</v>
      </c>
      <c r="F13256" s="43" t="s">
        <v>955</v>
      </c>
      <c r="G13256" s="43">
        <v>6077777</v>
      </c>
      <c r="H13256" s="43">
        <v>501100</v>
      </c>
      <c r="I13256" s="43" t="s">
        <v>949</v>
      </c>
      <c r="J13256" s="44" t="s">
        <v>1000</v>
      </c>
    </row>
    <row r="13257" ht="22" customHeight="1" spans="1:10" x14ac:dyDescent="0.25">
      <c r="A13257" s="43">
        <v>3130</v>
      </c>
      <c r="B13257" s="43">
        <v>60</v>
      </c>
      <c r="C13257" s="43" t="s">
        <v>962</v>
      </c>
      <c r="D13257" s="43" t="s">
        <v>1009</v>
      </c>
      <c r="E13257" s="43" t="s">
        <v>243</v>
      </c>
      <c r="F13257" s="43" t="s">
        <v>956</v>
      </c>
      <c r="G13257" s="43">
        <v>6077777</v>
      </c>
      <c r="H13257" s="43">
        <v>501100</v>
      </c>
      <c r="I13257" s="43" t="s">
        <v>949</v>
      </c>
      <c r="J13257" s="44" t="s">
        <v>1000</v>
      </c>
    </row>
    <row r="13258" ht="22" customHeight="1" spans="1:10" x14ac:dyDescent="0.25">
      <c r="A13258" s="43">
        <v>3130</v>
      </c>
      <c r="B13258" s="43">
        <v>60</v>
      </c>
      <c r="C13258" s="43" t="s">
        <v>962</v>
      </c>
      <c r="D13258" s="43" t="s">
        <v>1009</v>
      </c>
      <c r="E13258" s="43" t="s">
        <v>243</v>
      </c>
      <c r="F13258" s="43" t="s">
        <v>957</v>
      </c>
      <c r="G13258" s="43">
        <v>6077777</v>
      </c>
      <c r="H13258" s="43">
        <v>501100</v>
      </c>
      <c r="I13258" s="43" t="s">
        <v>949</v>
      </c>
      <c r="J13258" s="44" t="s">
        <v>1000</v>
      </c>
    </row>
    <row r="13259" ht="22" customHeight="1" spans="1:10" x14ac:dyDescent="0.25">
      <c r="A13259" s="43">
        <v>3130</v>
      </c>
      <c r="B13259" s="43">
        <v>60</v>
      </c>
      <c r="C13259" s="43" t="s">
        <v>962</v>
      </c>
      <c r="D13259" s="43" t="s">
        <v>1009</v>
      </c>
      <c r="E13259" s="43" t="s">
        <v>243</v>
      </c>
      <c r="F13259" s="43" t="s">
        <v>958</v>
      </c>
      <c r="G13259" s="43">
        <v>6077777</v>
      </c>
      <c r="H13259" s="43">
        <v>501100</v>
      </c>
      <c r="I13259" s="43" t="s">
        <v>949</v>
      </c>
      <c r="J13259" s="44" t="s">
        <v>1000</v>
      </c>
    </row>
    <row r="13260" ht="22" customHeight="1" spans="1:10" x14ac:dyDescent="0.25">
      <c r="A13260" s="43">
        <v>3130</v>
      </c>
      <c r="B13260" s="43">
        <v>60</v>
      </c>
      <c r="C13260" s="43" t="s">
        <v>962</v>
      </c>
      <c r="D13260" s="43" t="s">
        <v>1009</v>
      </c>
      <c r="E13260" s="43" t="s">
        <v>243</v>
      </c>
      <c r="F13260" s="43" t="s">
        <v>959</v>
      </c>
      <c r="G13260" s="43">
        <v>6077777</v>
      </c>
      <c r="H13260" s="43">
        <v>501100</v>
      </c>
      <c r="I13260" s="43" t="s">
        <v>949</v>
      </c>
      <c r="J13260" s="44" t="s">
        <v>1000</v>
      </c>
    </row>
    <row r="13261" ht="22" customHeight="1" spans="1:10" x14ac:dyDescent="0.25">
      <c r="A13261" s="43">
        <v>3130</v>
      </c>
      <c r="B13261" s="43">
        <v>60</v>
      </c>
      <c r="C13261" s="43" t="s">
        <v>962</v>
      </c>
      <c r="D13261" s="43" t="s">
        <v>1009</v>
      </c>
      <c r="E13261" s="43" t="s">
        <v>243</v>
      </c>
      <c r="F13261" s="43" t="s">
        <v>960</v>
      </c>
      <c r="G13261" s="43">
        <v>6077777</v>
      </c>
      <c r="H13261" s="43">
        <v>501100</v>
      </c>
      <c r="I13261" s="43" t="s">
        <v>949</v>
      </c>
      <c r="J13261" s="44" t="s">
        <v>1000</v>
      </c>
    </row>
    <row r="13262" ht="22" customHeight="1" spans="1:10" x14ac:dyDescent="0.25">
      <c r="A13262" s="43">
        <v>3130</v>
      </c>
      <c r="B13262" s="43">
        <v>60</v>
      </c>
      <c r="C13262" s="43" t="s">
        <v>962</v>
      </c>
      <c r="D13262" s="43" t="s">
        <v>1009</v>
      </c>
      <c r="E13262" s="43" t="s">
        <v>243</v>
      </c>
      <c r="F13262" s="43" t="s">
        <v>961</v>
      </c>
      <c r="G13262" s="43">
        <v>6077777</v>
      </c>
      <c r="H13262" s="43">
        <v>501100</v>
      </c>
      <c r="I13262" s="43" t="s">
        <v>949</v>
      </c>
      <c r="J13262" s="44" t="s">
        <v>1000</v>
      </c>
    </row>
    <row r="13263" ht="22" customHeight="1" spans="1:10" x14ac:dyDescent="0.25">
      <c r="A13263" s="43">
        <v>3130</v>
      </c>
      <c r="B13263" s="43">
        <v>60</v>
      </c>
      <c r="C13263" s="43" t="s">
        <v>963</v>
      </c>
      <c r="D13263" s="43" t="s">
        <v>1009</v>
      </c>
      <c r="E13263" s="43" t="s">
        <v>243</v>
      </c>
      <c r="F13263" s="43" t="s">
        <v>951</v>
      </c>
      <c r="G13263" s="43">
        <v>6077777</v>
      </c>
      <c r="H13263" s="43">
        <v>501100</v>
      </c>
      <c r="I13263" s="43" t="s">
        <v>949</v>
      </c>
      <c r="J13263" s="44" t="s">
        <v>1000</v>
      </c>
    </row>
    <row r="13264" ht="22" customHeight="1" spans="1:10" x14ac:dyDescent="0.25">
      <c r="A13264" s="43">
        <v>3130</v>
      </c>
      <c r="B13264" s="43">
        <v>60</v>
      </c>
      <c r="C13264" s="43" t="s">
        <v>963</v>
      </c>
      <c r="D13264" s="43" t="s">
        <v>1009</v>
      </c>
      <c r="E13264" s="43" t="s">
        <v>243</v>
      </c>
      <c r="F13264" s="43" t="s">
        <v>952</v>
      </c>
      <c r="G13264" s="43">
        <v>6077777</v>
      </c>
      <c r="H13264" s="43">
        <v>501100</v>
      </c>
      <c r="I13264" s="43" t="s">
        <v>949</v>
      </c>
      <c r="J13264" s="44" t="s">
        <v>1000</v>
      </c>
    </row>
    <row r="13265" ht="22" customHeight="1" spans="1:10" x14ac:dyDescent="0.25">
      <c r="A13265" s="43">
        <v>3130</v>
      </c>
      <c r="B13265" s="43">
        <v>60</v>
      </c>
      <c r="C13265" s="43" t="s">
        <v>963</v>
      </c>
      <c r="D13265" s="43" t="s">
        <v>1009</v>
      </c>
      <c r="E13265" s="43" t="s">
        <v>243</v>
      </c>
      <c r="F13265" s="43" t="s">
        <v>953</v>
      </c>
      <c r="G13265" s="43">
        <v>6077777</v>
      </c>
      <c r="H13265" s="43">
        <v>501100</v>
      </c>
      <c r="I13265" s="43" t="s">
        <v>949</v>
      </c>
      <c r="J13265" s="44" t="s">
        <v>1000</v>
      </c>
    </row>
    <row r="13266" ht="22" customHeight="1" spans="1:10" x14ac:dyDescent="0.25">
      <c r="A13266" s="43">
        <v>3130</v>
      </c>
      <c r="B13266" s="43">
        <v>60</v>
      </c>
      <c r="C13266" s="43" t="s">
        <v>963</v>
      </c>
      <c r="D13266" s="43" t="s">
        <v>1009</v>
      </c>
      <c r="E13266" s="43" t="s">
        <v>243</v>
      </c>
      <c r="F13266" s="43" t="s">
        <v>954</v>
      </c>
      <c r="G13266" s="43">
        <v>6077777</v>
      </c>
      <c r="H13266" s="43">
        <v>501100</v>
      </c>
      <c r="I13266" s="43" t="s">
        <v>949</v>
      </c>
      <c r="J13266" s="44" t="s">
        <v>1000</v>
      </c>
    </row>
    <row r="13267" ht="22" customHeight="1" spans="1:10" x14ac:dyDescent="0.25">
      <c r="A13267" s="43">
        <v>3130</v>
      </c>
      <c r="B13267" s="43">
        <v>60</v>
      </c>
      <c r="C13267" s="43" t="s">
        <v>963</v>
      </c>
      <c r="D13267" s="43" t="s">
        <v>1009</v>
      </c>
      <c r="E13267" s="43" t="s">
        <v>243</v>
      </c>
      <c r="F13267" s="43" t="s">
        <v>955</v>
      </c>
      <c r="G13267" s="43">
        <v>6077777</v>
      </c>
      <c r="H13267" s="43">
        <v>501100</v>
      </c>
      <c r="I13267" s="43" t="s">
        <v>949</v>
      </c>
      <c r="J13267" s="44" t="s">
        <v>1000</v>
      </c>
    </row>
    <row r="13268" ht="22" customHeight="1" spans="1:10" x14ac:dyDescent="0.25">
      <c r="A13268" s="43">
        <v>3130</v>
      </c>
      <c r="B13268" s="43">
        <v>60</v>
      </c>
      <c r="C13268" s="43" t="s">
        <v>963</v>
      </c>
      <c r="D13268" s="43" t="s">
        <v>1009</v>
      </c>
      <c r="E13268" s="43" t="s">
        <v>243</v>
      </c>
      <c r="F13268" s="43" t="s">
        <v>956</v>
      </c>
      <c r="G13268" s="43">
        <v>6077777</v>
      </c>
      <c r="H13268" s="43">
        <v>501100</v>
      </c>
      <c r="I13268" s="43" t="s">
        <v>949</v>
      </c>
      <c r="J13268" s="44" t="s">
        <v>1000</v>
      </c>
    </row>
    <row r="13269" ht="22" customHeight="1" spans="1:10" x14ac:dyDescent="0.25">
      <c r="A13269" s="43">
        <v>3130</v>
      </c>
      <c r="B13269" s="43">
        <v>60</v>
      </c>
      <c r="C13269" s="43" t="s">
        <v>963</v>
      </c>
      <c r="D13269" s="43" t="s">
        <v>1009</v>
      </c>
      <c r="E13269" s="43" t="s">
        <v>243</v>
      </c>
      <c r="F13269" s="43" t="s">
        <v>957</v>
      </c>
      <c r="G13269" s="43">
        <v>6077777</v>
      </c>
      <c r="H13269" s="43">
        <v>501100</v>
      </c>
      <c r="I13269" s="43" t="s">
        <v>949</v>
      </c>
      <c r="J13269" s="44" t="s">
        <v>1000</v>
      </c>
    </row>
    <row r="13270" ht="22" customHeight="1" spans="1:10" x14ac:dyDescent="0.25">
      <c r="A13270" s="43">
        <v>3130</v>
      </c>
      <c r="B13270" s="43">
        <v>60</v>
      </c>
      <c r="C13270" s="43" t="s">
        <v>963</v>
      </c>
      <c r="D13270" s="43" t="s">
        <v>1009</v>
      </c>
      <c r="E13270" s="43" t="s">
        <v>243</v>
      </c>
      <c r="F13270" s="43" t="s">
        <v>958</v>
      </c>
      <c r="G13270" s="43">
        <v>6077777</v>
      </c>
      <c r="H13270" s="43">
        <v>501100</v>
      </c>
      <c r="I13270" s="43" t="s">
        <v>949</v>
      </c>
      <c r="J13270" s="44" t="s">
        <v>1000</v>
      </c>
    </row>
    <row r="13271" ht="22" customHeight="1" spans="1:10" x14ac:dyDescent="0.25">
      <c r="A13271" s="43">
        <v>3130</v>
      </c>
      <c r="B13271" s="43">
        <v>60</v>
      </c>
      <c r="C13271" s="43" t="s">
        <v>963</v>
      </c>
      <c r="D13271" s="43" t="s">
        <v>1009</v>
      </c>
      <c r="E13271" s="43" t="s">
        <v>243</v>
      </c>
      <c r="F13271" s="43" t="s">
        <v>959</v>
      </c>
      <c r="G13271" s="43">
        <v>6077777</v>
      </c>
      <c r="H13271" s="43">
        <v>501100</v>
      </c>
      <c r="I13271" s="43" t="s">
        <v>949</v>
      </c>
      <c r="J13271" s="44" t="s">
        <v>1000</v>
      </c>
    </row>
    <row r="13272" ht="22" customHeight="1" spans="1:10" x14ac:dyDescent="0.25">
      <c r="A13272" s="43">
        <v>3130</v>
      </c>
      <c r="B13272" s="43">
        <v>60</v>
      </c>
      <c r="C13272" s="43" t="s">
        <v>963</v>
      </c>
      <c r="D13272" s="43" t="s">
        <v>1009</v>
      </c>
      <c r="E13272" s="43" t="s">
        <v>243</v>
      </c>
      <c r="F13272" s="43" t="s">
        <v>960</v>
      </c>
      <c r="G13272" s="43">
        <v>6077777</v>
      </c>
      <c r="H13272" s="43">
        <v>501100</v>
      </c>
      <c r="I13272" s="43" t="s">
        <v>949</v>
      </c>
      <c r="J13272" s="44" t="s">
        <v>1000</v>
      </c>
    </row>
    <row r="13273" ht="22" customHeight="1" spans="1:10" x14ac:dyDescent="0.25">
      <c r="A13273" s="43">
        <v>3130</v>
      </c>
      <c r="B13273" s="43">
        <v>60</v>
      </c>
      <c r="C13273" s="43" t="s">
        <v>963</v>
      </c>
      <c r="D13273" s="43" t="s">
        <v>1009</v>
      </c>
      <c r="E13273" s="43" t="s">
        <v>243</v>
      </c>
      <c r="F13273" s="43" t="s">
        <v>961</v>
      </c>
      <c r="G13273" s="43">
        <v>6077777</v>
      </c>
      <c r="H13273" s="43">
        <v>501100</v>
      </c>
      <c r="I13273" s="43" t="s">
        <v>949</v>
      </c>
      <c r="J13273" s="44" t="s">
        <v>1000</v>
      </c>
    </row>
    <row r="13274" spans="1:9" x14ac:dyDescent="0.25">
      <c r="A13274">
        <v>4122</v>
      </c>
      <c r="B13274">
        <v>60</v>
      </c>
      <c r="C13274" t="s">
        <v>946</v>
      </c>
      <c r="D13274" t="s">
        <v>1009</v>
      </c>
      <c r="E13274" t="s">
        <v>243</v>
      </c>
      <c r="F13274" t="s">
        <v>948</v>
      </c>
      <c r="G13274">
        <v>6000000</v>
      </c>
      <c r="H13274">
        <v>145000</v>
      </c>
      <c r="I13274" t="s">
        <v>949</v>
      </c>
    </row>
    <row r="13275" spans="1:9" x14ac:dyDescent="0.25">
      <c r="A13275">
        <v>4124</v>
      </c>
      <c r="B13275">
        <v>60</v>
      </c>
      <c r="C13275" t="s">
        <v>946</v>
      </c>
      <c r="D13275" t="s">
        <v>1009</v>
      </c>
      <c r="E13275" t="s">
        <v>243</v>
      </c>
      <c r="F13275" t="s">
        <v>948</v>
      </c>
      <c r="G13275">
        <v>6077777</v>
      </c>
      <c r="H13275">
        <v>501100</v>
      </c>
      <c r="I13275" t="s">
        <v>949</v>
      </c>
    </row>
    <row r="13276" ht="22" customHeight="1" spans="1:10" x14ac:dyDescent="0.25">
      <c r="A13276" s="43">
        <v>3130</v>
      </c>
      <c r="B13276" s="43">
        <v>60</v>
      </c>
      <c r="C13276" s="43" t="s">
        <v>950</v>
      </c>
      <c r="D13276" s="43" t="s">
        <v>1009</v>
      </c>
      <c r="E13276" s="43" t="s">
        <v>247</v>
      </c>
      <c r="F13276" s="43" t="s">
        <v>951</v>
      </c>
      <c r="G13276" s="43">
        <v>6077777</v>
      </c>
      <c r="H13276" s="43">
        <v>501100</v>
      </c>
      <c r="I13276" s="43" t="s">
        <v>949</v>
      </c>
      <c r="J13276" s="44" t="s">
        <v>1000</v>
      </c>
    </row>
    <row r="13277" ht="22" customHeight="1" spans="1:10" x14ac:dyDescent="0.25">
      <c r="A13277" s="43">
        <v>3130</v>
      </c>
      <c r="B13277" s="43">
        <v>60</v>
      </c>
      <c r="C13277" s="43" t="s">
        <v>950</v>
      </c>
      <c r="D13277" s="43" t="s">
        <v>1009</v>
      </c>
      <c r="E13277" s="43" t="s">
        <v>247</v>
      </c>
      <c r="F13277" s="43" t="s">
        <v>952</v>
      </c>
      <c r="G13277" s="43">
        <v>6077777</v>
      </c>
      <c r="H13277" s="43">
        <v>501100</v>
      </c>
      <c r="I13277" s="43" t="s">
        <v>949</v>
      </c>
      <c r="J13277" s="44" t="s">
        <v>1000</v>
      </c>
    </row>
    <row r="13278" ht="22" customHeight="1" spans="1:10" x14ac:dyDescent="0.25">
      <c r="A13278" s="43">
        <v>3130</v>
      </c>
      <c r="B13278" s="43">
        <v>60</v>
      </c>
      <c r="C13278" s="43" t="s">
        <v>950</v>
      </c>
      <c r="D13278" s="43" t="s">
        <v>1009</v>
      </c>
      <c r="E13278" s="43" t="s">
        <v>247</v>
      </c>
      <c r="F13278" s="43" t="s">
        <v>953</v>
      </c>
      <c r="G13278" s="43">
        <v>6077777</v>
      </c>
      <c r="H13278" s="43">
        <v>501100</v>
      </c>
      <c r="I13278" s="43" t="s">
        <v>949</v>
      </c>
      <c r="J13278" s="44" t="s">
        <v>1000</v>
      </c>
    </row>
    <row r="13279" ht="22" customHeight="1" spans="1:10" x14ac:dyDescent="0.25">
      <c r="A13279" s="43">
        <v>3130</v>
      </c>
      <c r="B13279" s="43">
        <v>60</v>
      </c>
      <c r="C13279" s="43" t="s">
        <v>950</v>
      </c>
      <c r="D13279" s="43" t="s">
        <v>1009</v>
      </c>
      <c r="E13279" s="43" t="s">
        <v>247</v>
      </c>
      <c r="F13279" s="43" t="s">
        <v>954</v>
      </c>
      <c r="G13279" s="43">
        <v>6077777</v>
      </c>
      <c r="H13279" s="43">
        <v>501100</v>
      </c>
      <c r="I13279" s="43" t="s">
        <v>949</v>
      </c>
      <c r="J13279" s="44" t="s">
        <v>1000</v>
      </c>
    </row>
    <row r="13280" ht="22" customHeight="1" spans="1:10" x14ac:dyDescent="0.25">
      <c r="A13280" s="43">
        <v>3130</v>
      </c>
      <c r="B13280" s="43">
        <v>60</v>
      </c>
      <c r="C13280" s="43" t="s">
        <v>950</v>
      </c>
      <c r="D13280" s="43" t="s">
        <v>1009</v>
      </c>
      <c r="E13280" s="43" t="s">
        <v>247</v>
      </c>
      <c r="F13280" s="43" t="s">
        <v>955</v>
      </c>
      <c r="G13280" s="43">
        <v>6077777</v>
      </c>
      <c r="H13280" s="43">
        <v>501100</v>
      </c>
      <c r="I13280" s="43" t="s">
        <v>949</v>
      </c>
      <c r="J13280" s="44" t="s">
        <v>1000</v>
      </c>
    </row>
    <row r="13281" ht="22" customHeight="1" spans="1:10" x14ac:dyDescent="0.25">
      <c r="A13281" s="43">
        <v>3130</v>
      </c>
      <c r="B13281" s="43">
        <v>60</v>
      </c>
      <c r="C13281" s="43" t="s">
        <v>950</v>
      </c>
      <c r="D13281" s="43" t="s">
        <v>1009</v>
      </c>
      <c r="E13281" s="43" t="s">
        <v>247</v>
      </c>
      <c r="F13281" s="43" t="s">
        <v>956</v>
      </c>
      <c r="G13281" s="43">
        <v>6077777</v>
      </c>
      <c r="H13281" s="43">
        <v>501100</v>
      </c>
      <c r="I13281" s="43" t="s">
        <v>949</v>
      </c>
      <c r="J13281" s="44" t="s">
        <v>1000</v>
      </c>
    </row>
    <row r="13282" ht="22" customHeight="1" spans="1:10" x14ac:dyDescent="0.25">
      <c r="A13282" s="43">
        <v>3130</v>
      </c>
      <c r="B13282" s="43">
        <v>60</v>
      </c>
      <c r="C13282" s="43" t="s">
        <v>950</v>
      </c>
      <c r="D13282" s="43" t="s">
        <v>1009</v>
      </c>
      <c r="E13282" s="43" t="s">
        <v>247</v>
      </c>
      <c r="F13282" s="43" t="s">
        <v>957</v>
      </c>
      <c r="G13282" s="43">
        <v>6077777</v>
      </c>
      <c r="H13282" s="43">
        <v>501100</v>
      </c>
      <c r="I13282" s="43" t="s">
        <v>949</v>
      </c>
      <c r="J13282" s="44" t="s">
        <v>1000</v>
      </c>
    </row>
    <row r="13283" ht="22" customHeight="1" spans="1:10" x14ac:dyDescent="0.25">
      <c r="A13283" s="43">
        <v>3130</v>
      </c>
      <c r="B13283" s="43">
        <v>60</v>
      </c>
      <c r="C13283" s="43" t="s">
        <v>950</v>
      </c>
      <c r="D13283" s="43" t="s">
        <v>1009</v>
      </c>
      <c r="E13283" s="43" t="s">
        <v>247</v>
      </c>
      <c r="F13283" s="43" t="s">
        <v>958</v>
      </c>
      <c r="G13283" s="43">
        <v>6077777</v>
      </c>
      <c r="H13283" s="43">
        <v>501100</v>
      </c>
      <c r="I13283" s="43" t="s">
        <v>949</v>
      </c>
      <c r="J13283" s="44" t="s">
        <v>1000</v>
      </c>
    </row>
    <row r="13284" ht="22" customHeight="1" spans="1:10" x14ac:dyDescent="0.25">
      <c r="A13284" s="43">
        <v>3130</v>
      </c>
      <c r="B13284" s="43">
        <v>60</v>
      </c>
      <c r="C13284" s="43" t="s">
        <v>950</v>
      </c>
      <c r="D13284" s="43" t="s">
        <v>1009</v>
      </c>
      <c r="E13284" s="43" t="s">
        <v>247</v>
      </c>
      <c r="F13284" s="43" t="s">
        <v>959</v>
      </c>
      <c r="G13284" s="43">
        <v>6077777</v>
      </c>
      <c r="H13284" s="43">
        <v>501100</v>
      </c>
      <c r="I13284" s="43" t="s">
        <v>949</v>
      </c>
      <c r="J13284" s="44" t="s">
        <v>1000</v>
      </c>
    </row>
    <row r="13285" ht="22" customHeight="1" spans="1:10" x14ac:dyDescent="0.25">
      <c r="A13285" s="43">
        <v>3130</v>
      </c>
      <c r="B13285" s="43">
        <v>60</v>
      </c>
      <c r="C13285" s="43" t="s">
        <v>950</v>
      </c>
      <c r="D13285" s="43" t="s">
        <v>1009</v>
      </c>
      <c r="E13285" s="43" t="s">
        <v>247</v>
      </c>
      <c r="F13285" s="43" t="s">
        <v>960</v>
      </c>
      <c r="G13285" s="43">
        <v>6077777</v>
      </c>
      <c r="H13285" s="43">
        <v>501100</v>
      </c>
      <c r="I13285" s="43" t="s">
        <v>949</v>
      </c>
      <c r="J13285" s="44" t="s">
        <v>1000</v>
      </c>
    </row>
    <row r="13286" ht="22" customHeight="1" spans="1:10" x14ac:dyDescent="0.25">
      <c r="A13286" s="43">
        <v>3130</v>
      </c>
      <c r="B13286" s="43">
        <v>60</v>
      </c>
      <c r="C13286" s="43" t="s">
        <v>950</v>
      </c>
      <c r="D13286" s="43" t="s">
        <v>1009</v>
      </c>
      <c r="E13286" s="43" t="s">
        <v>247</v>
      </c>
      <c r="F13286" s="43" t="s">
        <v>961</v>
      </c>
      <c r="G13286" s="43">
        <v>6077777</v>
      </c>
      <c r="H13286" s="43">
        <v>501100</v>
      </c>
      <c r="I13286" s="43" t="s">
        <v>949</v>
      </c>
      <c r="J13286" s="44" t="s">
        <v>1000</v>
      </c>
    </row>
    <row r="13287" ht="22" customHeight="1" spans="1:10" x14ac:dyDescent="0.25">
      <c r="A13287" s="43">
        <v>3130</v>
      </c>
      <c r="B13287" s="43">
        <v>60</v>
      </c>
      <c r="C13287" s="43" t="s">
        <v>962</v>
      </c>
      <c r="D13287" s="43" t="s">
        <v>1009</v>
      </c>
      <c r="E13287" s="43" t="s">
        <v>247</v>
      </c>
      <c r="F13287" s="43" t="s">
        <v>951</v>
      </c>
      <c r="G13287" s="43">
        <v>6077777</v>
      </c>
      <c r="H13287" s="43">
        <v>501100</v>
      </c>
      <c r="I13287" s="43" t="s">
        <v>949</v>
      </c>
      <c r="J13287" s="44" t="s">
        <v>1000</v>
      </c>
    </row>
    <row r="13288" ht="22" customHeight="1" spans="1:10" x14ac:dyDescent="0.25">
      <c r="A13288" s="43">
        <v>3130</v>
      </c>
      <c r="B13288" s="43">
        <v>60</v>
      </c>
      <c r="C13288" s="43" t="s">
        <v>962</v>
      </c>
      <c r="D13288" s="43" t="s">
        <v>1009</v>
      </c>
      <c r="E13288" s="43" t="s">
        <v>247</v>
      </c>
      <c r="F13288" s="43" t="s">
        <v>952</v>
      </c>
      <c r="G13288" s="43">
        <v>6077777</v>
      </c>
      <c r="H13288" s="43">
        <v>501100</v>
      </c>
      <c r="I13288" s="43" t="s">
        <v>949</v>
      </c>
      <c r="J13288" s="44" t="s">
        <v>1000</v>
      </c>
    </row>
    <row r="13289" ht="22" customHeight="1" spans="1:10" x14ac:dyDescent="0.25">
      <c r="A13289" s="43">
        <v>3130</v>
      </c>
      <c r="B13289" s="43">
        <v>60</v>
      </c>
      <c r="C13289" s="43" t="s">
        <v>962</v>
      </c>
      <c r="D13289" s="43" t="s">
        <v>1009</v>
      </c>
      <c r="E13289" s="43" t="s">
        <v>247</v>
      </c>
      <c r="F13289" s="43" t="s">
        <v>953</v>
      </c>
      <c r="G13289" s="43">
        <v>6077777</v>
      </c>
      <c r="H13289" s="43">
        <v>501100</v>
      </c>
      <c r="I13289" s="43" t="s">
        <v>949</v>
      </c>
      <c r="J13289" s="44" t="s">
        <v>1000</v>
      </c>
    </row>
    <row r="13290" ht="22" customHeight="1" spans="1:10" x14ac:dyDescent="0.25">
      <c r="A13290" s="43">
        <v>3130</v>
      </c>
      <c r="B13290" s="43">
        <v>60</v>
      </c>
      <c r="C13290" s="43" t="s">
        <v>962</v>
      </c>
      <c r="D13290" s="43" t="s">
        <v>1009</v>
      </c>
      <c r="E13290" s="43" t="s">
        <v>247</v>
      </c>
      <c r="F13290" s="43" t="s">
        <v>954</v>
      </c>
      <c r="G13290" s="43">
        <v>6077777</v>
      </c>
      <c r="H13290" s="43">
        <v>501100</v>
      </c>
      <c r="I13290" s="43" t="s">
        <v>949</v>
      </c>
      <c r="J13290" s="44" t="s">
        <v>1000</v>
      </c>
    </row>
    <row r="13291" ht="22" customHeight="1" spans="1:10" x14ac:dyDescent="0.25">
      <c r="A13291" s="43">
        <v>3130</v>
      </c>
      <c r="B13291" s="43">
        <v>60</v>
      </c>
      <c r="C13291" s="43" t="s">
        <v>962</v>
      </c>
      <c r="D13291" s="43" t="s">
        <v>1009</v>
      </c>
      <c r="E13291" s="43" t="s">
        <v>247</v>
      </c>
      <c r="F13291" s="43" t="s">
        <v>955</v>
      </c>
      <c r="G13291" s="43">
        <v>6077777</v>
      </c>
      <c r="H13291" s="43">
        <v>501100</v>
      </c>
      <c r="I13291" s="43" t="s">
        <v>949</v>
      </c>
      <c r="J13291" s="44" t="s">
        <v>1000</v>
      </c>
    </row>
    <row r="13292" ht="22" customHeight="1" spans="1:10" x14ac:dyDescent="0.25">
      <c r="A13292" s="43">
        <v>3130</v>
      </c>
      <c r="B13292" s="43">
        <v>60</v>
      </c>
      <c r="C13292" s="43" t="s">
        <v>962</v>
      </c>
      <c r="D13292" s="43" t="s">
        <v>1009</v>
      </c>
      <c r="E13292" s="43" t="s">
        <v>247</v>
      </c>
      <c r="F13292" s="43" t="s">
        <v>956</v>
      </c>
      <c r="G13292" s="43">
        <v>6077777</v>
      </c>
      <c r="H13292" s="43">
        <v>501100</v>
      </c>
      <c r="I13292" s="43" t="s">
        <v>949</v>
      </c>
      <c r="J13292" s="44" t="s">
        <v>1000</v>
      </c>
    </row>
    <row r="13293" ht="22" customHeight="1" spans="1:10" x14ac:dyDescent="0.25">
      <c r="A13293" s="43">
        <v>3130</v>
      </c>
      <c r="B13293" s="43">
        <v>60</v>
      </c>
      <c r="C13293" s="43" t="s">
        <v>962</v>
      </c>
      <c r="D13293" s="43" t="s">
        <v>1009</v>
      </c>
      <c r="E13293" s="43" t="s">
        <v>247</v>
      </c>
      <c r="F13293" s="43" t="s">
        <v>957</v>
      </c>
      <c r="G13293" s="43">
        <v>6077777</v>
      </c>
      <c r="H13293" s="43">
        <v>501100</v>
      </c>
      <c r="I13293" s="43" t="s">
        <v>949</v>
      </c>
      <c r="J13293" s="44" t="s">
        <v>1000</v>
      </c>
    </row>
    <row r="13294" ht="22" customHeight="1" spans="1:10" x14ac:dyDescent="0.25">
      <c r="A13294" s="43">
        <v>3130</v>
      </c>
      <c r="B13294" s="43">
        <v>60</v>
      </c>
      <c r="C13294" s="43" t="s">
        <v>962</v>
      </c>
      <c r="D13294" s="43" t="s">
        <v>1009</v>
      </c>
      <c r="E13294" s="43" t="s">
        <v>247</v>
      </c>
      <c r="F13294" s="43" t="s">
        <v>958</v>
      </c>
      <c r="G13294" s="43">
        <v>6077777</v>
      </c>
      <c r="H13294" s="43">
        <v>501100</v>
      </c>
      <c r="I13294" s="43" t="s">
        <v>949</v>
      </c>
      <c r="J13294" s="44" t="s">
        <v>1000</v>
      </c>
    </row>
    <row r="13295" ht="22" customHeight="1" spans="1:10" x14ac:dyDescent="0.25">
      <c r="A13295" s="43">
        <v>3130</v>
      </c>
      <c r="B13295" s="43">
        <v>60</v>
      </c>
      <c r="C13295" s="43" t="s">
        <v>962</v>
      </c>
      <c r="D13295" s="43" t="s">
        <v>1009</v>
      </c>
      <c r="E13295" s="43" t="s">
        <v>247</v>
      </c>
      <c r="F13295" s="43" t="s">
        <v>959</v>
      </c>
      <c r="G13295" s="43">
        <v>6077777</v>
      </c>
      <c r="H13295" s="43">
        <v>501100</v>
      </c>
      <c r="I13295" s="43" t="s">
        <v>949</v>
      </c>
      <c r="J13295" s="44" t="s">
        <v>1000</v>
      </c>
    </row>
    <row r="13296" ht="22" customHeight="1" spans="1:10" x14ac:dyDescent="0.25">
      <c r="A13296" s="43">
        <v>3130</v>
      </c>
      <c r="B13296" s="43">
        <v>60</v>
      </c>
      <c r="C13296" s="43" t="s">
        <v>962</v>
      </c>
      <c r="D13296" s="43" t="s">
        <v>1009</v>
      </c>
      <c r="E13296" s="43" t="s">
        <v>247</v>
      </c>
      <c r="F13296" s="43" t="s">
        <v>960</v>
      </c>
      <c r="G13296" s="43">
        <v>6077777</v>
      </c>
      <c r="H13296" s="43">
        <v>501100</v>
      </c>
      <c r="I13296" s="43" t="s">
        <v>949</v>
      </c>
      <c r="J13296" s="44" t="s">
        <v>1000</v>
      </c>
    </row>
    <row r="13297" ht="22" customHeight="1" spans="1:10" x14ac:dyDescent="0.25">
      <c r="A13297" s="43">
        <v>3130</v>
      </c>
      <c r="B13297" s="43">
        <v>60</v>
      </c>
      <c r="C13297" s="43" t="s">
        <v>962</v>
      </c>
      <c r="D13297" s="43" t="s">
        <v>1009</v>
      </c>
      <c r="E13297" s="43" t="s">
        <v>247</v>
      </c>
      <c r="F13297" s="43" t="s">
        <v>961</v>
      </c>
      <c r="G13297" s="43">
        <v>6077777</v>
      </c>
      <c r="H13297" s="43">
        <v>501100</v>
      </c>
      <c r="I13297" s="43" t="s">
        <v>949</v>
      </c>
      <c r="J13297" s="44" t="s">
        <v>1000</v>
      </c>
    </row>
    <row r="13298" ht="22" customHeight="1" spans="1:10" x14ac:dyDescent="0.25">
      <c r="A13298" s="43">
        <v>3130</v>
      </c>
      <c r="B13298" s="43">
        <v>60</v>
      </c>
      <c r="C13298" s="43" t="s">
        <v>963</v>
      </c>
      <c r="D13298" s="43" t="s">
        <v>1009</v>
      </c>
      <c r="E13298" s="43" t="s">
        <v>247</v>
      </c>
      <c r="F13298" s="43" t="s">
        <v>951</v>
      </c>
      <c r="G13298" s="43">
        <v>6077777</v>
      </c>
      <c r="H13298" s="43">
        <v>501100</v>
      </c>
      <c r="I13298" s="43" t="s">
        <v>949</v>
      </c>
      <c r="J13298" s="44" t="s">
        <v>1000</v>
      </c>
    </row>
    <row r="13299" ht="22" customHeight="1" spans="1:10" x14ac:dyDescent="0.25">
      <c r="A13299" s="43">
        <v>3130</v>
      </c>
      <c r="B13299" s="43">
        <v>60</v>
      </c>
      <c r="C13299" s="43" t="s">
        <v>963</v>
      </c>
      <c r="D13299" s="43" t="s">
        <v>1009</v>
      </c>
      <c r="E13299" s="43" t="s">
        <v>247</v>
      </c>
      <c r="F13299" s="43" t="s">
        <v>952</v>
      </c>
      <c r="G13299" s="43">
        <v>6077777</v>
      </c>
      <c r="H13299" s="43">
        <v>501100</v>
      </c>
      <c r="I13299" s="43" t="s">
        <v>949</v>
      </c>
      <c r="J13299" s="44" t="s">
        <v>1000</v>
      </c>
    </row>
    <row r="13300" ht="22" customHeight="1" spans="1:10" x14ac:dyDescent="0.25">
      <c r="A13300" s="43">
        <v>3130</v>
      </c>
      <c r="B13300" s="43">
        <v>60</v>
      </c>
      <c r="C13300" s="43" t="s">
        <v>963</v>
      </c>
      <c r="D13300" s="43" t="s">
        <v>1009</v>
      </c>
      <c r="E13300" s="43" t="s">
        <v>247</v>
      </c>
      <c r="F13300" s="43" t="s">
        <v>953</v>
      </c>
      <c r="G13300" s="43">
        <v>6077777</v>
      </c>
      <c r="H13300" s="43">
        <v>501100</v>
      </c>
      <c r="I13300" s="43" t="s">
        <v>949</v>
      </c>
      <c r="J13300" s="44" t="s">
        <v>1000</v>
      </c>
    </row>
    <row r="13301" ht="22" customHeight="1" spans="1:10" x14ac:dyDescent="0.25">
      <c r="A13301" s="43">
        <v>3130</v>
      </c>
      <c r="B13301" s="43">
        <v>60</v>
      </c>
      <c r="C13301" s="43" t="s">
        <v>963</v>
      </c>
      <c r="D13301" s="43" t="s">
        <v>1009</v>
      </c>
      <c r="E13301" s="43" t="s">
        <v>247</v>
      </c>
      <c r="F13301" s="43" t="s">
        <v>954</v>
      </c>
      <c r="G13301" s="43">
        <v>6077777</v>
      </c>
      <c r="H13301" s="43">
        <v>501100</v>
      </c>
      <c r="I13301" s="43" t="s">
        <v>949</v>
      </c>
      <c r="J13301" s="44" t="s">
        <v>1000</v>
      </c>
    </row>
    <row r="13302" ht="22" customHeight="1" spans="1:10" x14ac:dyDescent="0.25">
      <c r="A13302" s="43">
        <v>3130</v>
      </c>
      <c r="B13302" s="43">
        <v>60</v>
      </c>
      <c r="C13302" s="43" t="s">
        <v>963</v>
      </c>
      <c r="D13302" s="43" t="s">
        <v>1009</v>
      </c>
      <c r="E13302" s="43" t="s">
        <v>247</v>
      </c>
      <c r="F13302" s="43" t="s">
        <v>955</v>
      </c>
      <c r="G13302" s="43">
        <v>6077777</v>
      </c>
      <c r="H13302" s="43">
        <v>501100</v>
      </c>
      <c r="I13302" s="43" t="s">
        <v>949</v>
      </c>
      <c r="J13302" s="44" t="s">
        <v>1000</v>
      </c>
    </row>
    <row r="13303" ht="22" customHeight="1" spans="1:10" x14ac:dyDescent="0.25">
      <c r="A13303" s="43">
        <v>3130</v>
      </c>
      <c r="B13303" s="43">
        <v>60</v>
      </c>
      <c r="C13303" s="43" t="s">
        <v>963</v>
      </c>
      <c r="D13303" s="43" t="s">
        <v>1009</v>
      </c>
      <c r="E13303" s="43" t="s">
        <v>247</v>
      </c>
      <c r="F13303" s="43" t="s">
        <v>956</v>
      </c>
      <c r="G13303" s="43">
        <v>6077777</v>
      </c>
      <c r="H13303" s="43">
        <v>501100</v>
      </c>
      <c r="I13303" s="43" t="s">
        <v>949</v>
      </c>
      <c r="J13303" s="44" t="s">
        <v>1000</v>
      </c>
    </row>
    <row r="13304" ht="22" customHeight="1" spans="1:10" x14ac:dyDescent="0.25">
      <c r="A13304" s="43">
        <v>3130</v>
      </c>
      <c r="B13304" s="43">
        <v>60</v>
      </c>
      <c r="C13304" s="43" t="s">
        <v>963</v>
      </c>
      <c r="D13304" s="43" t="s">
        <v>1009</v>
      </c>
      <c r="E13304" s="43" t="s">
        <v>247</v>
      </c>
      <c r="F13304" s="43" t="s">
        <v>957</v>
      </c>
      <c r="G13304" s="43">
        <v>6077777</v>
      </c>
      <c r="H13304" s="43">
        <v>501100</v>
      </c>
      <c r="I13304" s="43" t="s">
        <v>949</v>
      </c>
      <c r="J13304" s="44" t="s">
        <v>1000</v>
      </c>
    </row>
    <row r="13305" ht="22" customHeight="1" spans="1:10" x14ac:dyDescent="0.25">
      <c r="A13305" s="43">
        <v>3130</v>
      </c>
      <c r="B13305" s="43">
        <v>60</v>
      </c>
      <c r="C13305" s="43" t="s">
        <v>963</v>
      </c>
      <c r="D13305" s="43" t="s">
        <v>1009</v>
      </c>
      <c r="E13305" s="43" t="s">
        <v>247</v>
      </c>
      <c r="F13305" s="43" t="s">
        <v>958</v>
      </c>
      <c r="G13305" s="43">
        <v>6077777</v>
      </c>
      <c r="H13305" s="43">
        <v>501100</v>
      </c>
      <c r="I13305" s="43" t="s">
        <v>949</v>
      </c>
      <c r="J13305" s="44" t="s">
        <v>1000</v>
      </c>
    </row>
    <row r="13306" ht="22" customHeight="1" spans="1:10" x14ac:dyDescent="0.25">
      <c r="A13306" s="43">
        <v>3130</v>
      </c>
      <c r="B13306" s="43">
        <v>60</v>
      </c>
      <c r="C13306" s="43" t="s">
        <v>963</v>
      </c>
      <c r="D13306" s="43" t="s">
        <v>1009</v>
      </c>
      <c r="E13306" s="43" t="s">
        <v>247</v>
      </c>
      <c r="F13306" s="43" t="s">
        <v>959</v>
      </c>
      <c r="G13306" s="43">
        <v>6077777</v>
      </c>
      <c r="H13306" s="43">
        <v>501100</v>
      </c>
      <c r="I13306" s="43" t="s">
        <v>949</v>
      </c>
      <c r="J13306" s="44" t="s">
        <v>1000</v>
      </c>
    </row>
    <row r="13307" ht="22" customHeight="1" spans="1:10" x14ac:dyDescent="0.25">
      <c r="A13307" s="43">
        <v>3130</v>
      </c>
      <c r="B13307" s="43">
        <v>60</v>
      </c>
      <c r="C13307" s="43" t="s">
        <v>963</v>
      </c>
      <c r="D13307" s="43" t="s">
        <v>1009</v>
      </c>
      <c r="E13307" s="43" t="s">
        <v>247</v>
      </c>
      <c r="F13307" s="43" t="s">
        <v>960</v>
      </c>
      <c r="G13307" s="43">
        <v>6077777</v>
      </c>
      <c r="H13307" s="43">
        <v>501100</v>
      </c>
      <c r="I13307" s="43" t="s">
        <v>949</v>
      </c>
      <c r="J13307" s="44" t="s">
        <v>1000</v>
      </c>
    </row>
    <row r="13308" ht="22" customHeight="1" spans="1:10" x14ac:dyDescent="0.25">
      <c r="A13308" s="43">
        <v>3130</v>
      </c>
      <c r="B13308" s="43">
        <v>60</v>
      </c>
      <c r="C13308" s="43" t="s">
        <v>963</v>
      </c>
      <c r="D13308" s="43" t="s">
        <v>1009</v>
      </c>
      <c r="E13308" s="43" t="s">
        <v>247</v>
      </c>
      <c r="F13308" s="43" t="s">
        <v>961</v>
      </c>
      <c r="G13308" s="43">
        <v>6077777</v>
      </c>
      <c r="H13308" s="43">
        <v>501100</v>
      </c>
      <c r="I13308" s="43" t="s">
        <v>949</v>
      </c>
      <c r="J13308" s="44" t="s">
        <v>1000</v>
      </c>
    </row>
    <row r="13309" spans="1:9" x14ac:dyDescent="0.25">
      <c r="A13309">
        <v>4122</v>
      </c>
      <c r="B13309">
        <v>60</v>
      </c>
      <c r="C13309" t="s">
        <v>946</v>
      </c>
      <c r="D13309" t="s">
        <v>1009</v>
      </c>
      <c r="E13309" t="s">
        <v>247</v>
      </c>
      <c r="F13309" t="s">
        <v>948</v>
      </c>
      <c r="G13309">
        <v>6000000</v>
      </c>
      <c r="H13309">
        <v>145000</v>
      </c>
      <c r="I13309" t="s">
        <v>949</v>
      </c>
    </row>
    <row r="13310" spans="1:9" x14ac:dyDescent="0.25">
      <c r="A13310">
        <v>4124</v>
      </c>
      <c r="B13310">
        <v>60</v>
      </c>
      <c r="C13310" t="s">
        <v>946</v>
      </c>
      <c r="D13310" t="s">
        <v>1009</v>
      </c>
      <c r="E13310" t="s">
        <v>247</v>
      </c>
      <c r="F13310" t="s">
        <v>948</v>
      </c>
      <c r="G13310">
        <v>6077777</v>
      </c>
      <c r="H13310">
        <v>501100</v>
      </c>
      <c r="I13310" t="s">
        <v>949</v>
      </c>
    </row>
    <row r="13311" ht="22" customHeight="1" spans="1:10" x14ac:dyDescent="0.25">
      <c r="A13311" s="43">
        <v>3130</v>
      </c>
      <c r="B13311" s="43">
        <v>60</v>
      </c>
      <c r="C13311" s="43" t="s">
        <v>950</v>
      </c>
      <c r="D13311" s="43" t="s">
        <v>1009</v>
      </c>
      <c r="E13311" s="43" t="s">
        <v>251</v>
      </c>
      <c r="F13311" s="43" t="s">
        <v>951</v>
      </c>
      <c r="G13311" s="43">
        <v>6077777</v>
      </c>
      <c r="H13311" s="43">
        <v>501100</v>
      </c>
      <c r="I13311" s="43" t="s">
        <v>949</v>
      </c>
      <c r="J13311" s="44" t="s">
        <v>1000</v>
      </c>
    </row>
    <row r="13312" ht="22" customHeight="1" spans="1:10" x14ac:dyDescent="0.25">
      <c r="A13312" s="43">
        <v>3130</v>
      </c>
      <c r="B13312" s="43">
        <v>60</v>
      </c>
      <c r="C13312" s="43" t="s">
        <v>950</v>
      </c>
      <c r="D13312" s="43" t="s">
        <v>1009</v>
      </c>
      <c r="E13312" s="43" t="s">
        <v>251</v>
      </c>
      <c r="F13312" s="43" t="s">
        <v>952</v>
      </c>
      <c r="G13312" s="43">
        <v>6077777</v>
      </c>
      <c r="H13312" s="43">
        <v>501100</v>
      </c>
      <c r="I13312" s="43" t="s">
        <v>949</v>
      </c>
      <c r="J13312" s="44" t="s">
        <v>1000</v>
      </c>
    </row>
    <row r="13313" ht="22" customHeight="1" spans="1:10" x14ac:dyDescent="0.25">
      <c r="A13313" s="43">
        <v>3130</v>
      </c>
      <c r="B13313" s="43">
        <v>60</v>
      </c>
      <c r="C13313" s="43" t="s">
        <v>950</v>
      </c>
      <c r="D13313" s="43" t="s">
        <v>1009</v>
      </c>
      <c r="E13313" s="43" t="s">
        <v>251</v>
      </c>
      <c r="F13313" s="43" t="s">
        <v>953</v>
      </c>
      <c r="G13313" s="43">
        <v>6077777</v>
      </c>
      <c r="H13313" s="43">
        <v>501100</v>
      </c>
      <c r="I13313" s="43" t="s">
        <v>949</v>
      </c>
      <c r="J13313" s="44" t="s">
        <v>1000</v>
      </c>
    </row>
    <row r="13314" ht="22" customHeight="1" spans="1:10" x14ac:dyDescent="0.25">
      <c r="A13314" s="43">
        <v>3130</v>
      </c>
      <c r="B13314" s="43">
        <v>60</v>
      </c>
      <c r="C13314" s="43" t="s">
        <v>950</v>
      </c>
      <c r="D13314" s="43" t="s">
        <v>1009</v>
      </c>
      <c r="E13314" s="43" t="s">
        <v>251</v>
      </c>
      <c r="F13314" s="43" t="s">
        <v>954</v>
      </c>
      <c r="G13314" s="43">
        <v>6077777</v>
      </c>
      <c r="H13314" s="43">
        <v>501100</v>
      </c>
      <c r="I13314" s="43" t="s">
        <v>949</v>
      </c>
      <c r="J13314" s="44" t="s">
        <v>1000</v>
      </c>
    </row>
    <row r="13315" ht="22" customHeight="1" spans="1:10" x14ac:dyDescent="0.25">
      <c r="A13315" s="43">
        <v>3130</v>
      </c>
      <c r="B13315" s="43">
        <v>60</v>
      </c>
      <c r="C13315" s="43" t="s">
        <v>950</v>
      </c>
      <c r="D13315" s="43" t="s">
        <v>1009</v>
      </c>
      <c r="E13315" s="43" t="s">
        <v>251</v>
      </c>
      <c r="F13315" s="43" t="s">
        <v>955</v>
      </c>
      <c r="G13315" s="43">
        <v>6077777</v>
      </c>
      <c r="H13315" s="43">
        <v>501100</v>
      </c>
      <c r="I13315" s="43" t="s">
        <v>949</v>
      </c>
      <c r="J13315" s="44" t="s">
        <v>1000</v>
      </c>
    </row>
    <row r="13316" ht="22" customHeight="1" spans="1:10" x14ac:dyDescent="0.25">
      <c r="A13316" s="43">
        <v>3130</v>
      </c>
      <c r="B13316" s="43">
        <v>60</v>
      </c>
      <c r="C13316" s="43" t="s">
        <v>950</v>
      </c>
      <c r="D13316" s="43" t="s">
        <v>1009</v>
      </c>
      <c r="E13316" s="43" t="s">
        <v>251</v>
      </c>
      <c r="F13316" s="43" t="s">
        <v>956</v>
      </c>
      <c r="G13316" s="43">
        <v>6077777</v>
      </c>
      <c r="H13316" s="43">
        <v>501100</v>
      </c>
      <c r="I13316" s="43" t="s">
        <v>949</v>
      </c>
      <c r="J13316" s="44" t="s">
        <v>1000</v>
      </c>
    </row>
    <row r="13317" ht="22" customHeight="1" spans="1:10" x14ac:dyDescent="0.25">
      <c r="A13317" s="43">
        <v>3130</v>
      </c>
      <c r="B13317" s="43">
        <v>60</v>
      </c>
      <c r="C13317" s="43" t="s">
        <v>950</v>
      </c>
      <c r="D13317" s="43" t="s">
        <v>1009</v>
      </c>
      <c r="E13317" s="43" t="s">
        <v>251</v>
      </c>
      <c r="F13317" s="43" t="s">
        <v>957</v>
      </c>
      <c r="G13317" s="43">
        <v>6077777</v>
      </c>
      <c r="H13317" s="43">
        <v>501100</v>
      </c>
      <c r="I13317" s="43" t="s">
        <v>949</v>
      </c>
      <c r="J13317" s="44" t="s">
        <v>1000</v>
      </c>
    </row>
    <row r="13318" ht="22" customHeight="1" spans="1:10" x14ac:dyDescent="0.25">
      <c r="A13318" s="43">
        <v>3130</v>
      </c>
      <c r="B13318" s="43">
        <v>60</v>
      </c>
      <c r="C13318" s="43" t="s">
        <v>950</v>
      </c>
      <c r="D13318" s="43" t="s">
        <v>1009</v>
      </c>
      <c r="E13318" s="43" t="s">
        <v>251</v>
      </c>
      <c r="F13318" s="43" t="s">
        <v>958</v>
      </c>
      <c r="G13318" s="43">
        <v>6077777</v>
      </c>
      <c r="H13318" s="43">
        <v>501100</v>
      </c>
      <c r="I13318" s="43" t="s">
        <v>949</v>
      </c>
      <c r="J13318" s="44" t="s">
        <v>1000</v>
      </c>
    </row>
    <row r="13319" ht="22" customHeight="1" spans="1:10" x14ac:dyDescent="0.25">
      <c r="A13319" s="43">
        <v>3130</v>
      </c>
      <c r="B13319" s="43">
        <v>60</v>
      </c>
      <c r="C13319" s="43" t="s">
        <v>950</v>
      </c>
      <c r="D13319" s="43" t="s">
        <v>1009</v>
      </c>
      <c r="E13319" s="43" t="s">
        <v>251</v>
      </c>
      <c r="F13319" s="43" t="s">
        <v>959</v>
      </c>
      <c r="G13319" s="43">
        <v>6077777</v>
      </c>
      <c r="H13319" s="43">
        <v>501100</v>
      </c>
      <c r="I13319" s="43" t="s">
        <v>949</v>
      </c>
      <c r="J13319" s="44" t="s">
        <v>1000</v>
      </c>
    </row>
    <row r="13320" ht="22" customHeight="1" spans="1:10" x14ac:dyDescent="0.25">
      <c r="A13320" s="43">
        <v>3130</v>
      </c>
      <c r="B13320" s="43">
        <v>60</v>
      </c>
      <c r="C13320" s="43" t="s">
        <v>950</v>
      </c>
      <c r="D13320" s="43" t="s">
        <v>1009</v>
      </c>
      <c r="E13320" s="43" t="s">
        <v>251</v>
      </c>
      <c r="F13320" s="43" t="s">
        <v>960</v>
      </c>
      <c r="G13320" s="43">
        <v>6077777</v>
      </c>
      <c r="H13320" s="43">
        <v>501100</v>
      </c>
      <c r="I13320" s="43" t="s">
        <v>949</v>
      </c>
      <c r="J13320" s="44" t="s">
        <v>1000</v>
      </c>
    </row>
    <row r="13321" ht="22" customHeight="1" spans="1:10" x14ac:dyDescent="0.25">
      <c r="A13321" s="43">
        <v>3130</v>
      </c>
      <c r="B13321" s="43">
        <v>60</v>
      </c>
      <c r="C13321" s="43" t="s">
        <v>950</v>
      </c>
      <c r="D13321" s="43" t="s">
        <v>1009</v>
      </c>
      <c r="E13321" s="43" t="s">
        <v>251</v>
      </c>
      <c r="F13321" s="43" t="s">
        <v>961</v>
      </c>
      <c r="G13321" s="43">
        <v>6077777</v>
      </c>
      <c r="H13321" s="43">
        <v>501100</v>
      </c>
      <c r="I13321" s="43" t="s">
        <v>949</v>
      </c>
      <c r="J13321" s="44" t="s">
        <v>1000</v>
      </c>
    </row>
    <row r="13322" ht="22" customHeight="1" spans="1:10" x14ac:dyDescent="0.25">
      <c r="A13322" s="43">
        <v>3130</v>
      </c>
      <c r="B13322" s="43">
        <v>60</v>
      </c>
      <c r="C13322" s="43" t="s">
        <v>962</v>
      </c>
      <c r="D13322" s="43" t="s">
        <v>1009</v>
      </c>
      <c r="E13322" s="43" t="s">
        <v>251</v>
      </c>
      <c r="F13322" s="43" t="s">
        <v>951</v>
      </c>
      <c r="G13322" s="43">
        <v>6077777</v>
      </c>
      <c r="H13322" s="43">
        <v>501100</v>
      </c>
      <c r="I13322" s="43" t="s">
        <v>949</v>
      </c>
      <c r="J13322" s="44" t="s">
        <v>1000</v>
      </c>
    </row>
    <row r="13323" ht="22" customHeight="1" spans="1:10" x14ac:dyDescent="0.25">
      <c r="A13323" s="43">
        <v>3130</v>
      </c>
      <c r="B13323" s="43">
        <v>60</v>
      </c>
      <c r="C13323" s="43" t="s">
        <v>962</v>
      </c>
      <c r="D13323" s="43" t="s">
        <v>1009</v>
      </c>
      <c r="E13323" s="43" t="s">
        <v>251</v>
      </c>
      <c r="F13323" s="43" t="s">
        <v>952</v>
      </c>
      <c r="G13323" s="43">
        <v>6077777</v>
      </c>
      <c r="H13323" s="43">
        <v>501100</v>
      </c>
      <c r="I13323" s="43" t="s">
        <v>949</v>
      </c>
      <c r="J13323" s="44" t="s">
        <v>1000</v>
      </c>
    </row>
    <row r="13324" ht="22" customHeight="1" spans="1:10" x14ac:dyDescent="0.25">
      <c r="A13324" s="43">
        <v>3130</v>
      </c>
      <c r="B13324" s="43">
        <v>60</v>
      </c>
      <c r="C13324" s="43" t="s">
        <v>962</v>
      </c>
      <c r="D13324" s="43" t="s">
        <v>1009</v>
      </c>
      <c r="E13324" s="43" t="s">
        <v>251</v>
      </c>
      <c r="F13324" s="43" t="s">
        <v>953</v>
      </c>
      <c r="G13324" s="43">
        <v>6077777</v>
      </c>
      <c r="H13324" s="43">
        <v>501100</v>
      </c>
      <c r="I13324" s="43" t="s">
        <v>949</v>
      </c>
      <c r="J13324" s="44" t="s">
        <v>1000</v>
      </c>
    </row>
    <row r="13325" ht="22" customHeight="1" spans="1:10" x14ac:dyDescent="0.25">
      <c r="A13325" s="43">
        <v>3130</v>
      </c>
      <c r="B13325" s="43">
        <v>60</v>
      </c>
      <c r="C13325" s="43" t="s">
        <v>962</v>
      </c>
      <c r="D13325" s="43" t="s">
        <v>1009</v>
      </c>
      <c r="E13325" s="43" t="s">
        <v>251</v>
      </c>
      <c r="F13325" s="43" t="s">
        <v>954</v>
      </c>
      <c r="G13325" s="43">
        <v>6077777</v>
      </c>
      <c r="H13325" s="43">
        <v>501100</v>
      </c>
      <c r="I13325" s="43" t="s">
        <v>949</v>
      </c>
      <c r="J13325" s="44" t="s">
        <v>1000</v>
      </c>
    </row>
    <row r="13326" ht="22" customHeight="1" spans="1:10" x14ac:dyDescent="0.25">
      <c r="A13326" s="43">
        <v>3130</v>
      </c>
      <c r="B13326" s="43">
        <v>60</v>
      </c>
      <c r="C13326" s="43" t="s">
        <v>962</v>
      </c>
      <c r="D13326" s="43" t="s">
        <v>1009</v>
      </c>
      <c r="E13326" s="43" t="s">
        <v>251</v>
      </c>
      <c r="F13326" s="43" t="s">
        <v>955</v>
      </c>
      <c r="G13326" s="43">
        <v>6077777</v>
      </c>
      <c r="H13326" s="43">
        <v>501100</v>
      </c>
      <c r="I13326" s="43" t="s">
        <v>949</v>
      </c>
      <c r="J13326" s="44" t="s">
        <v>1000</v>
      </c>
    </row>
    <row r="13327" ht="22" customHeight="1" spans="1:10" x14ac:dyDescent="0.25">
      <c r="A13327" s="43">
        <v>3130</v>
      </c>
      <c r="B13327" s="43">
        <v>60</v>
      </c>
      <c r="C13327" s="43" t="s">
        <v>962</v>
      </c>
      <c r="D13327" s="43" t="s">
        <v>1009</v>
      </c>
      <c r="E13327" s="43" t="s">
        <v>251</v>
      </c>
      <c r="F13327" s="43" t="s">
        <v>956</v>
      </c>
      <c r="G13327" s="43">
        <v>6077777</v>
      </c>
      <c r="H13327" s="43">
        <v>501100</v>
      </c>
      <c r="I13327" s="43" t="s">
        <v>949</v>
      </c>
      <c r="J13327" s="44" t="s">
        <v>1000</v>
      </c>
    </row>
    <row r="13328" ht="22" customHeight="1" spans="1:10" x14ac:dyDescent="0.25">
      <c r="A13328" s="43">
        <v>3130</v>
      </c>
      <c r="B13328" s="43">
        <v>60</v>
      </c>
      <c r="C13328" s="43" t="s">
        <v>962</v>
      </c>
      <c r="D13328" s="43" t="s">
        <v>1009</v>
      </c>
      <c r="E13328" s="43" t="s">
        <v>251</v>
      </c>
      <c r="F13328" s="43" t="s">
        <v>957</v>
      </c>
      <c r="G13328" s="43">
        <v>6077777</v>
      </c>
      <c r="H13328" s="43">
        <v>501100</v>
      </c>
      <c r="I13328" s="43" t="s">
        <v>949</v>
      </c>
      <c r="J13328" s="44" t="s">
        <v>1000</v>
      </c>
    </row>
    <row r="13329" ht="22" customHeight="1" spans="1:10" x14ac:dyDescent="0.25">
      <c r="A13329" s="43">
        <v>3130</v>
      </c>
      <c r="B13329" s="43">
        <v>60</v>
      </c>
      <c r="C13329" s="43" t="s">
        <v>962</v>
      </c>
      <c r="D13329" s="43" t="s">
        <v>1009</v>
      </c>
      <c r="E13329" s="43" t="s">
        <v>251</v>
      </c>
      <c r="F13329" s="43" t="s">
        <v>958</v>
      </c>
      <c r="G13329" s="43">
        <v>6077777</v>
      </c>
      <c r="H13329" s="43">
        <v>501100</v>
      </c>
      <c r="I13329" s="43" t="s">
        <v>949</v>
      </c>
      <c r="J13329" s="44" t="s">
        <v>1000</v>
      </c>
    </row>
    <row r="13330" ht="22" customHeight="1" spans="1:10" x14ac:dyDescent="0.25">
      <c r="A13330" s="43">
        <v>3130</v>
      </c>
      <c r="B13330" s="43">
        <v>60</v>
      </c>
      <c r="C13330" s="43" t="s">
        <v>962</v>
      </c>
      <c r="D13330" s="43" t="s">
        <v>1009</v>
      </c>
      <c r="E13330" s="43" t="s">
        <v>251</v>
      </c>
      <c r="F13330" s="43" t="s">
        <v>959</v>
      </c>
      <c r="G13330" s="43">
        <v>6077777</v>
      </c>
      <c r="H13330" s="43">
        <v>501100</v>
      </c>
      <c r="I13330" s="43" t="s">
        <v>949</v>
      </c>
      <c r="J13330" s="44" t="s">
        <v>1000</v>
      </c>
    </row>
    <row r="13331" ht="22" customHeight="1" spans="1:10" x14ac:dyDescent="0.25">
      <c r="A13331" s="43">
        <v>3130</v>
      </c>
      <c r="B13331" s="43">
        <v>60</v>
      </c>
      <c r="C13331" s="43" t="s">
        <v>962</v>
      </c>
      <c r="D13331" s="43" t="s">
        <v>1009</v>
      </c>
      <c r="E13331" s="43" t="s">
        <v>251</v>
      </c>
      <c r="F13331" s="43" t="s">
        <v>960</v>
      </c>
      <c r="G13331" s="43">
        <v>6077777</v>
      </c>
      <c r="H13331" s="43">
        <v>501100</v>
      </c>
      <c r="I13331" s="43" t="s">
        <v>949</v>
      </c>
      <c r="J13331" s="44" t="s">
        <v>1000</v>
      </c>
    </row>
    <row r="13332" ht="22" customHeight="1" spans="1:10" x14ac:dyDescent="0.25">
      <c r="A13332" s="43">
        <v>3130</v>
      </c>
      <c r="B13332" s="43">
        <v>60</v>
      </c>
      <c r="C13332" s="43" t="s">
        <v>962</v>
      </c>
      <c r="D13332" s="43" t="s">
        <v>1009</v>
      </c>
      <c r="E13332" s="43" t="s">
        <v>251</v>
      </c>
      <c r="F13332" s="43" t="s">
        <v>961</v>
      </c>
      <c r="G13332" s="43">
        <v>6077777</v>
      </c>
      <c r="H13332" s="43">
        <v>501100</v>
      </c>
      <c r="I13332" s="43" t="s">
        <v>949</v>
      </c>
      <c r="J13332" s="44" t="s">
        <v>1000</v>
      </c>
    </row>
    <row r="13333" ht="22" customHeight="1" spans="1:10" x14ac:dyDescent="0.25">
      <c r="A13333" s="43">
        <v>3130</v>
      </c>
      <c r="B13333" s="43">
        <v>60</v>
      </c>
      <c r="C13333" s="43" t="s">
        <v>963</v>
      </c>
      <c r="D13333" s="43" t="s">
        <v>1009</v>
      </c>
      <c r="E13333" s="43" t="s">
        <v>251</v>
      </c>
      <c r="F13333" s="43" t="s">
        <v>951</v>
      </c>
      <c r="G13333" s="43">
        <v>6077777</v>
      </c>
      <c r="H13333" s="43">
        <v>501100</v>
      </c>
      <c r="I13333" s="43" t="s">
        <v>949</v>
      </c>
      <c r="J13333" s="44" t="s">
        <v>1000</v>
      </c>
    </row>
    <row r="13334" ht="22" customHeight="1" spans="1:10" x14ac:dyDescent="0.25">
      <c r="A13334" s="43">
        <v>3130</v>
      </c>
      <c r="B13334" s="43">
        <v>60</v>
      </c>
      <c r="C13334" s="43" t="s">
        <v>963</v>
      </c>
      <c r="D13334" s="43" t="s">
        <v>1009</v>
      </c>
      <c r="E13334" s="43" t="s">
        <v>251</v>
      </c>
      <c r="F13334" s="43" t="s">
        <v>952</v>
      </c>
      <c r="G13334" s="43">
        <v>6077777</v>
      </c>
      <c r="H13334" s="43">
        <v>501100</v>
      </c>
      <c r="I13334" s="43" t="s">
        <v>949</v>
      </c>
      <c r="J13334" s="44" t="s">
        <v>1000</v>
      </c>
    </row>
    <row r="13335" ht="22" customHeight="1" spans="1:10" x14ac:dyDescent="0.25">
      <c r="A13335" s="43">
        <v>3130</v>
      </c>
      <c r="B13335" s="43">
        <v>60</v>
      </c>
      <c r="C13335" s="43" t="s">
        <v>963</v>
      </c>
      <c r="D13335" s="43" t="s">
        <v>1009</v>
      </c>
      <c r="E13335" s="43" t="s">
        <v>251</v>
      </c>
      <c r="F13335" s="43" t="s">
        <v>953</v>
      </c>
      <c r="G13335" s="43">
        <v>6077777</v>
      </c>
      <c r="H13335" s="43">
        <v>501100</v>
      </c>
      <c r="I13335" s="43" t="s">
        <v>949</v>
      </c>
      <c r="J13335" s="44" t="s">
        <v>1000</v>
      </c>
    </row>
    <row r="13336" ht="22" customHeight="1" spans="1:10" x14ac:dyDescent="0.25">
      <c r="A13336" s="43">
        <v>3130</v>
      </c>
      <c r="B13336" s="43">
        <v>60</v>
      </c>
      <c r="C13336" s="43" t="s">
        <v>963</v>
      </c>
      <c r="D13336" s="43" t="s">
        <v>1009</v>
      </c>
      <c r="E13336" s="43" t="s">
        <v>251</v>
      </c>
      <c r="F13336" s="43" t="s">
        <v>954</v>
      </c>
      <c r="G13336" s="43">
        <v>6077777</v>
      </c>
      <c r="H13336" s="43">
        <v>501100</v>
      </c>
      <c r="I13336" s="43" t="s">
        <v>949</v>
      </c>
      <c r="J13336" s="44" t="s">
        <v>1000</v>
      </c>
    </row>
    <row r="13337" ht="22" customHeight="1" spans="1:10" x14ac:dyDescent="0.25">
      <c r="A13337" s="43">
        <v>3130</v>
      </c>
      <c r="B13337" s="43">
        <v>60</v>
      </c>
      <c r="C13337" s="43" t="s">
        <v>963</v>
      </c>
      <c r="D13337" s="43" t="s">
        <v>1009</v>
      </c>
      <c r="E13337" s="43" t="s">
        <v>251</v>
      </c>
      <c r="F13337" s="43" t="s">
        <v>955</v>
      </c>
      <c r="G13337" s="43">
        <v>6077777</v>
      </c>
      <c r="H13337" s="43">
        <v>501100</v>
      </c>
      <c r="I13337" s="43" t="s">
        <v>949</v>
      </c>
      <c r="J13337" s="44" t="s">
        <v>1000</v>
      </c>
    </row>
    <row r="13338" ht="22" customHeight="1" spans="1:10" x14ac:dyDescent="0.25">
      <c r="A13338" s="43">
        <v>3130</v>
      </c>
      <c r="B13338" s="43">
        <v>60</v>
      </c>
      <c r="C13338" s="43" t="s">
        <v>963</v>
      </c>
      <c r="D13338" s="43" t="s">
        <v>1009</v>
      </c>
      <c r="E13338" s="43" t="s">
        <v>251</v>
      </c>
      <c r="F13338" s="43" t="s">
        <v>956</v>
      </c>
      <c r="G13338" s="43">
        <v>6077777</v>
      </c>
      <c r="H13338" s="43">
        <v>501100</v>
      </c>
      <c r="I13338" s="43" t="s">
        <v>949</v>
      </c>
      <c r="J13338" s="44" t="s">
        <v>1000</v>
      </c>
    </row>
    <row r="13339" ht="22" customHeight="1" spans="1:10" x14ac:dyDescent="0.25">
      <c r="A13339" s="43">
        <v>3130</v>
      </c>
      <c r="B13339" s="43">
        <v>60</v>
      </c>
      <c r="C13339" s="43" t="s">
        <v>963</v>
      </c>
      <c r="D13339" s="43" t="s">
        <v>1009</v>
      </c>
      <c r="E13339" s="43" t="s">
        <v>251</v>
      </c>
      <c r="F13339" s="43" t="s">
        <v>957</v>
      </c>
      <c r="G13339" s="43">
        <v>6077777</v>
      </c>
      <c r="H13339" s="43">
        <v>501100</v>
      </c>
      <c r="I13339" s="43" t="s">
        <v>949</v>
      </c>
      <c r="J13339" s="44" t="s">
        <v>1000</v>
      </c>
    </row>
    <row r="13340" ht="22" customHeight="1" spans="1:10" x14ac:dyDescent="0.25">
      <c r="A13340" s="43">
        <v>3130</v>
      </c>
      <c r="B13340" s="43">
        <v>60</v>
      </c>
      <c r="C13340" s="43" t="s">
        <v>963</v>
      </c>
      <c r="D13340" s="43" t="s">
        <v>1009</v>
      </c>
      <c r="E13340" s="43" t="s">
        <v>251</v>
      </c>
      <c r="F13340" s="43" t="s">
        <v>958</v>
      </c>
      <c r="G13340" s="43">
        <v>6077777</v>
      </c>
      <c r="H13340" s="43">
        <v>501100</v>
      </c>
      <c r="I13340" s="43" t="s">
        <v>949</v>
      </c>
      <c r="J13340" s="44" t="s">
        <v>1000</v>
      </c>
    </row>
    <row r="13341" ht="22" customHeight="1" spans="1:10" x14ac:dyDescent="0.25">
      <c r="A13341" s="43">
        <v>3130</v>
      </c>
      <c r="B13341" s="43">
        <v>60</v>
      </c>
      <c r="C13341" s="43" t="s">
        <v>963</v>
      </c>
      <c r="D13341" s="43" t="s">
        <v>1009</v>
      </c>
      <c r="E13341" s="43" t="s">
        <v>251</v>
      </c>
      <c r="F13341" s="43" t="s">
        <v>959</v>
      </c>
      <c r="G13341" s="43">
        <v>6077777</v>
      </c>
      <c r="H13341" s="43">
        <v>501100</v>
      </c>
      <c r="I13341" s="43" t="s">
        <v>949</v>
      </c>
      <c r="J13341" s="44" t="s">
        <v>1000</v>
      </c>
    </row>
    <row r="13342" ht="22" customHeight="1" spans="1:10" x14ac:dyDescent="0.25">
      <c r="A13342" s="43">
        <v>3130</v>
      </c>
      <c r="B13342" s="43">
        <v>60</v>
      </c>
      <c r="C13342" s="43" t="s">
        <v>963</v>
      </c>
      <c r="D13342" s="43" t="s">
        <v>1009</v>
      </c>
      <c r="E13342" s="43" t="s">
        <v>251</v>
      </c>
      <c r="F13342" s="43" t="s">
        <v>960</v>
      </c>
      <c r="G13342" s="43">
        <v>6077777</v>
      </c>
      <c r="H13342" s="43">
        <v>501100</v>
      </c>
      <c r="I13342" s="43" t="s">
        <v>949</v>
      </c>
      <c r="J13342" s="44" t="s">
        <v>1000</v>
      </c>
    </row>
    <row r="13343" ht="22" customHeight="1" spans="1:10" x14ac:dyDescent="0.25">
      <c r="A13343" s="43">
        <v>3130</v>
      </c>
      <c r="B13343" s="43">
        <v>60</v>
      </c>
      <c r="C13343" s="43" t="s">
        <v>963</v>
      </c>
      <c r="D13343" s="43" t="s">
        <v>1009</v>
      </c>
      <c r="E13343" s="43" t="s">
        <v>251</v>
      </c>
      <c r="F13343" s="43" t="s">
        <v>961</v>
      </c>
      <c r="G13343" s="43">
        <v>6077777</v>
      </c>
      <c r="H13343" s="43">
        <v>501100</v>
      </c>
      <c r="I13343" s="43" t="s">
        <v>949</v>
      </c>
      <c r="J13343" s="44" t="s">
        <v>1000</v>
      </c>
    </row>
    <row r="13344" spans="1:9" x14ac:dyDescent="0.25">
      <c r="A13344">
        <v>4122</v>
      </c>
      <c r="B13344">
        <v>60</v>
      </c>
      <c r="C13344" t="s">
        <v>946</v>
      </c>
      <c r="D13344" t="s">
        <v>1009</v>
      </c>
      <c r="E13344" t="s">
        <v>251</v>
      </c>
      <c r="F13344" t="s">
        <v>948</v>
      </c>
      <c r="G13344">
        <v>6000000</v>
      </c>
      <c r="H13344">
        <v>142000</v>
      </c>
      <c r="I13344" t="s">
        <v>949</v>
      </c>
    </row>
    <row r="13345" spans="1:9" x14ac:dyDescent="0.25">
      <c r="A13345">
        <v>4124</v>
      </c>
      <c r="B13345">
        <v>60</v>
      </c>
      <c r="C13345" t="s">
        <v>946</v>
      </c>
      <c r="D13345" t="s">
        <v>1009</v>
      </c>
      <c r="E13345" t="s">
        <v>251</v>
      </c>
      <c r="F13345" t="s">
        <v>948</v>
      </c>
      <c r="G13345">
        <v>6077777</v>
      </c>
      <c r="H13345">
        <v>501100</v>
      </c>
      <c r="I13345" t="s">
        <v>949</v>
      </c>
    </row>
    <row r="13346" ht="22" customHeight="1" spans="1:10" x14ac:dyDescent="0.25">
      <c r="A13346" s="43">
        <v>3130</v>
      </c>
      <c r="B13346" s="43">
        <v>60</v>
      </c>
      <c r="C13346" s="43" t="s">
        <v>950</v>
      </c>
      <c r="D13346" s="43" t="s">
        <v>1009</v>
      </c>
      <c r="E13346" s="43" t="s">
        <v>969</v>
      </c>
      <c r="F13346" s="43" t="s">
        <v>951</v>
      </c>
      <c r="G13346" s="43">
        <v>6077777</v>
      </c>
      <c r="H13346" s="43">
        <v>501100</v>
      </c>
      <c r="I13346" s="43" t="s">
        <v>949</v>
      </c>
      <c r="J13346" s="44" t="s">
        <v>1000</v>
      </c>
    </row>
    <row r="13347" ht="22" customHeight="1" spans="1:10" x14ac:dyDescent="0.25">
      <c r="A13347" s="43">
        <v>3130</v>
      </c>
      <c r="B13347" s="43">
        <v>60</v>
      </c>
      <c r="C13347" s="43" t="s">
        <v>950</v>
      </c>
      <c r="D13347" s="43" t="s">
        <v>1009</v>
      </c>
      <c r="E13347" s="43" t="s">
        <v>969</v>
      </c>
      <c r="F13347" s="43" t="s">
        <v>952</v>
      </c>
      <c r="G13347" s="43">
        <v>6077777</v>
      </c>
      <c r="H13347" s="43">
        <v>501100</v>
      </c>
      <c r="I13347" s="43" t="s">
        <v>949</v>
      </c>
      <c r="J13347" s="44" t="s">
        <v>1000</v>
      </c>
    </row>
    <row r="13348" ht="22" customHeight="1" spans="1:10" x14ac:dyDescent="0.25">
      <c r="A13348" s="43">
        <v>3130</v>
      </c>
      <c r="B13348" s="43">
        <v>60</v>
      </c>
      <c r="C13348" s="43" t="s">
        <v>950</v>
      </c>
      <c r="D13348" s="43" t="s">
        <v>1009</v>
      </c>
      <c r="E13348" s="43" t="s">
        <v>969</v>
      </c>
      <c r="F13348" s="43" t="s">
        <v>953</v>
      </c>
      <c r="G13348" s="43">
        <v>6077777</v>
      </c>
      <c r="H13348" s="43">
        <v>501100</v>
      </c>
      <c r="I13348" s="43" t="s">
        <v>949</v>
      </c>
      <c r="J13348" s="44" t="s">
        <v>1000</v>
      </c>
    </row>
    <row r="13349" ht="22" customHeight="1" spans="1:10" x14ac:dyDescent="0.25">
      <c r="A13349" s="43">
        <v>3130</v>
      </c>
      <c r="B13349" s="43">
        <v>60</v>
      </c>
      <c r="C13349" s="43" t="s">
        <v>950</v>
      </c>
      <c r="D13349" s="43" t="s">
        <v>1009</v>
      </c>
      <c r="E13349" s="43" t="s">
        <v>969</v>
      </c>
      <c r="F13349" s="43" t="s">
        <v>954</v>
      </c>
      <c r="G13349" s="43">
        <v>6077777</v>
      </c>
      <c r="H13349" s="43">
        <v>501100</v>
      </c>
      <c r="I13349" s="43" t="s">
        <v>949</v>
      </c>
      <c r="J13349" s="44" t="s">
        <v>1000</v>
      </c>
    </row>
    <row r="13350" ht="22" customHeight="1" spans="1:10" x14ac:dyDescent="0.25">
      <c r="A13350" s="43">
        <v>3130</v>
      </c>
      <c r="B13350" s="43">
        <v>60</v>
      </c>
      <c r="C13350" s="43" t="s">
        <v>950</v>
      </c>
      <c r="D13350" s="43" t="s">
        <v>1009</v>
      </c>
      <c r="E13350" s="43" t="s">
        <v>969</v>
      </c>
      <c r="F13350" s="43" t="s">
        <v>955</v>
      </c>
      <c r="G13350" s="43">
        <v>6077777</v>
      </c>
      <c r="H13350" s="43">
        <v>501100</v>
      </c>
      <c r="I13350" s="43" t="s">
        <v>949</v>
      </c>
      <c r="J13350" s="44" t="s">
        <v>1000</v>
      </c>
    </row>
    <row r="13351" ht="22" customHeight="1" spans="1:10" x14ac:dyDescent="0.25">
      <c r="A13351" s="43">
        <v>3130</v>
      </c>
      <c r="B13351" s="43">
        <v>60</v>
      </c>
      <c r="C13351" s="43" t="s">
        <v>950</v>
      </c>
      <c r="D13351" s="43" t="s">
        <v>1009</v>
      </c>
      <c r="E13351" s="43" t="s">
        <v>969</v>
      </c>
      <c r="F13351" s="43" t="s">
        <v>956</v>
      </c>
      <c r="G13351" s="43">
        <v>6077777</v>
      </c>
      <c r="H13351" s="43">
        <v>501100</v>
      </c>
      <c r="I13351" s="43" t="s">
        <v>949</v>
      </c>
      <c r="J13351" s="44" t="s">
        <v>1000</v>
      </c>
    </row>
    <row r="13352" ht="22" customHeight="1" spans="1:10" x14ac:dyDescent="0.25">
      <c r="A13352" s="43">
        <v>3130</v>
      </c>
      <c r="B13352" s="43">
        <v>60</v>
      </c>
      <c r="C13352" s="43" t="s">
        <v>950</v>
      </c>
      <c r="D13352" s="43" t="s">
        <v>1009</v>
      </c>
      <c r="E13352" s="43" t="s">
        <v>969</v>
      </c>
      <c r="F13352" s="43" t="s">
        <v>957</v>
      </c>
      <c r="G13352" s="43">
        <v>6077777</v>
      </c>
      <c r="H13352" s="43">
        <v>501100</v>
      </c>
      <c r="I13352" s="43" t="s">
        <v>949</v>
      </c>
      <c r="J13352" s="44" t="s">
        <v>1000</v>
      </c>
    </row>
    <row r="13353" ht="22" customHeight="1" spans="1:10" x14ac:dyDescent="0.25">
      <c r="A13353" s="43">
        <v>3130</v>
      </c>
      <c r="B13353" s="43">
        <v>60</v>
      </c>
      <c r="C13353" s="43" t="s">
        <v>950</v>
      </c>
      <c r="D13353" s="43" t="s">
        <v>1009</v>
      </c>
      <c r="E13353" s="43" t="s">
        <v>969</v>
      </c>
      <c r="F13353" s="43" t="s">
        <v>958</v>
      </c>
      <c r="G13353" s="43">
        <v>6077777</v>
      </c>
      <c r="H13353" s="43">
        <v>501100</v>
      </c>
      <c r="I13353" s="43" t="s">
        <v>949</v>
      </c>
      <c r="J13353" s="44" t="s">
        <v>1000</v>
      </c>
    </row>
    <row r="13354" ht="22" customHeight="1" spans="1:10" x14ac:dyDescent="0.25">
      <c r="A13354" s="43">
        <v>3130</v>
      </c>
      <c r="B13354" s="43">
        <v>60</v>
      </c>
      <c r="C13354" s="43" t="s">
        <v>950</v>
      </c>
      <c r="D13354" s="43" t="s">
        <v>1009</v>
      </c>
      <c r="E13354" s="43" t="s">
        <v>969</v>
      </c>
      <c r="F13354" s="43" t="s">
        <v>959</v>
      </c>
      <c r="G13354" s="43">
        <v>6077777</v>
      </c>
      <c r="H13354" s="43">
        <v>501100</v>
      </c>
      <c r="I13354" s="43" t="s">
        <v>949</v>
      </c>
      <c r="J13354" s="44" t="s">
        <v>1000</v>
      </c>
    </row>
    <row r="13355" ht="22" customHeight="1" spans="1:10" x14ac:dyDescent="0.25">
      <c r="A13355" s="43">
        <v>3130</v>
      </c>
      <c r="B13355" s="43">
        <v>60</v>
      </c>
      <c r="C13355" s="43" t="s">
        <v>950</v>
      </c>
      <c r="D13355" s="43" t="s">
        <v>1009</v>
      </c>
      <c r="E13355" s="43" t="s">
        <v>969</v>
      </c>
      <c r="F13355" s="43" t="s">
        <v>960</v>
      </c>
      <c r="G13355" s="43">
        <v>6077777</v>
      </c>
      <c r="H13355" s="43">
        <v>501100</v>
      </c>
      <c r="I13355" s="43" t="s">
        <v>949</v>
      </c>
      <c r="J13355" s="44" t="s">
        <v>1000</v>
      </c>
    </row>
    <row r="13356" ht="22" customHeight="1" spans="1:10" x14ac:dyDescent="0.25">
      <c r="A13356" s="43">
        <v>3130</v>
      </c>
      <c r="B13356" s="43">
        <v>60</v>
      </c>
      <c r="C13356" s="43" t="s">
        <v>950</v>
      </c>
      <c r="D13356" s="43" t="s">
        <v>1009</v>
      </c>
      <c r="E13356" s="43" t="s">
        <v>969</v>
      </c>
      <c r="F13356" s="43" t="s">
        <v>961</v>
      </c>
      <c r="G13356" s="43">
        <v>6077777</v>
      </c>
      <c r="H13356" s="43">
        <v>501100</v>
      </c>
      <c r="I13356" s="43" t="s">
        <v>949</v>
      </c>
      <c r="J13356" s="44" t="s">
        <v>1000</v>
      </c>
    </row>
    <row r="13357" ht="22" customHeight="1" spans="1:10" x14ac:dyDescent="0.25">
      <c r="A13357" s="43">
        <v>3130</v>
      </c>
      <c r="B13357" s="43">
        <v>60</v>
      </c>
      <c r="C13357" s="43" t="s">
        <v>962</v>
      </c>
      <c r="D13357" s="43" t="s">
        <v>1009</v>
      </c>
      <c r="E13357" s="43" t="s">
        <v>969</v>
      </c>
      <c r="F13357" s="43" t="s">
        <v>951</v>
      </c>
      <c r="G13357" s="43">
        <v>6077777</v>
      </c>
      <c r="H13357" s="43">
        <v>501100</v>
      </c>
      <c r="I13357" s="43" t="s">
        <v>949</v>
      </c>
      <c r="J13357" s="44" t="s">
        <v>1000</v>
      </c>
    </row>
    <row r="13358" ht="22" customHeight="1" spans="1:10" x14ac:dyDescent="0.25">
      <c r="A13358" s="43">
        <v>3130</v>
      </c>
      <c r="B13358" s="43">
        <v>60</v>
      </c>
      <c r="C13358" s="43" t="s">
        <v>962</v>
      </c>
      <c r="D13358" s="43" t="s">
        <v>1009</v>
      </c>
      <c r="E13358" s="43" t="s">
        <v>969</v>
      </c>
      <c r="F13358" s="43" t="s">
        <v>952</v>
      </c>
      <c r="G13358" s="43">
        <v>6077777</v>
      </c>
      <c r="H13358" s="43">
        <v>501100</v>
      </c>
      <c r="I13358" s="43" t="s">
        <v>949</v>
      </c>
      <c r="J13358" s="44" t="s">
        <v>1000</v>
      </c>
    </row>
    <row r="13359" ht="22" customHeight="1" spans="1:10" x14ac:dyDescent="0.25">
      <c r="A13359" s="43">
        <v>3130</v>
      </c>
      <c r="B13359" s="43">
        <v>60</v>
      </c>
      <c r="C13359" s="43" t="s">
        <v>962</v>
      </c>
      <c r="D13359" s="43" t="s">
        <v>1009</v>
      </c>
      <c r="E13359" s="43" t="s">
        <v>969</v>
      </c>
      <c r="F13359" s="43" t="s">
        <v>953</v>
      </c>
      <c r="G13359" s="43">
        <v>6077777</v>
      </c>
      <c r="H13359" s="43">
        <v>501100</v>
      </c>
      <c r="I13359" s="43" t="s">
        <v>949</v>
      </c>
      <c r="J13359" s="44" t="s">
        <v>1000</v>
      </c>
    </row>
    <row r="13360" ht="22" customHeight="1" spans="1:10" x14ac:dyDescent="0.25">
      <c r="A13360" s="43">
        <v>3130</v>
      </c>
      <c r="B13360" s="43">
        <v>60</v>
      </c>
      <c r="C13360" s="43" t="s">
        <v>962</v>
      </c>
      <c r="D13360" s="43" t="s">
        <v>1009</v>
      </c>
      <c r="E13360" s="43" t="s">
        <v>969</v>
      </c>
      <c r="F13360" s="43" t="s">
        <v>954</v>
      </c>
      <c r="G13360" s="43">
        <v>6077777</v>
      </c>
      <c r="H13360" s="43">
        <v>501100</v>
      </c>
      <c r="I13360" s="43" t="s">
        <v>949</v>
      </c>
      <c r="J13360" s="44" t="s">
        <v>1000</v>
      </c>
    </row>
    <row r="13361" ht="22" customHeight="1" spans="1:10" x14ac:dyDescent="0.25">
      <c r="A13361" s="43">
        <v>3130</v>
      </c>
      <c r="B13361" s="43">
        <v>60</v>
      </c>
      <c r="C13361" s="43" t="s">
        <v>962</v>
      </c>
      <c r="D13361" s="43" t="s">
        <v>1009</v>
      </c>
      <c r="E13361" s="43" t="s">
        <v>969</v>
      </c>
      <c r="F13361" s="43" t="s">
        <v>955</v>
      </c>
      <c r="G13361" s="43">
        <v>6077777</v>
      </c>
      <c r="H13361" s="43">
        <v>501100</v>
      </c>
      <c r="I13361" s="43" t="s">
        <v>949</v>
      </c>
      <c r="J13361" s="44" t="s">
        <v>1000</v>
      </c>
    </row>
    <row r="13362" ht="22" customHeight="1" spans="1:10" x14ac:dyDescent="0.25">
      <c r="A13362" s="43">
        <v>3130</v>
      </c>
      <c r="B13362" s="43">
        <v>60</v>
      </c>
      <c r="C13362" s="43" t="s">
        <v>962</v>
      </c>
      <c r="D13362" s="43" t="s">
        <v>1009</v>
      </c>
      <c r="E13362" s="43" t="s">
        <v>969</v>
      </c>
      <c r="F13362" s="43" t="s">
        <v>956</v>
      </c>
      <c r="G13362" s="43">
        <v>6077777</v>
      </c>
      <c r="H13362" s="43">
        <v>501100</v>
      </c>
      <c r="I13362" s="43" t="s">
        <v>949</v>
      </c>
      <c r="J13362" s="44" t="s">
        <v>1000</v>
      </c>
    </row>
    <row r="13363" ht="22" customHeight="1" spans="1:10" x14ac:dyDescent="0.25">
      <c r="A13363" s="43">
        <v>3130</v>
      </c>
      <c r="B13363" s="43">
        <v>60</v>
      </c>
      <c r="C13363" s="43" t="s">
        <v>962</v>
      </c>
      <c r="D13363" s="43" t="s">
        <v>1009</v>
      </c>
      <c r="E13363" s="43" t="s">
        <v>969</v>
      </c>
      <c r="F13363" s="43" t="s">
        <v>957</v>
      </c>
      <c r="G13363" s="43">
        <v>6077777</v>
      </c>
      <c r="H13363" s="43">
        <v>501100</v>
      </c>
      <c r="I13363" s="43" t="s">
        <v>949</v>
      </c>
      <c r="J13363" s="44" t="s">
        <v>1000</v>
      </c>
    </row>
    <row r="13364" ht="22" customHeight="1" spans="1:10" x14ac:dyDescent="0.25">
      <c r="A13364" s="43">
        <v>3130</v>
      </c>
      <c r="B13364" s="43">
        <v>60</v>
      </c>
      <c r="C13364" s="43" t="s">
        <v>962</v>
      </c>
      <c r="D13364" s="43" t="s">
        <v>1009</v>
      </c>
      <c r="E13364" s="43" t="s">
        <v>969</v>
      </c>
      <c r="F13364" s="43" t="s">
        <v>958</v>
      </c>
      <c r="G13364" s="43">
        <v>6077777</v>
      </c>
      <c r="H13364" s="43">
        <v>501100</v>
      </c>
      <c r="I13364" s="43" t="s">
        <v>949</v>
      </c>
      <c r="J13364" s="44" t="s">
        <v>1000</v>
      </c>
    </row>
    <row r="13365" ht="22" customHeight="1" spans="1:10" x14ac:dyDescent="0.25">
      <c r="A13365" s="43">
        <v>3130</v>
      </c>
      <c r="B13365" s="43">
        <v>60</v>
      </c>
      <c r="C13365" s="43" t="s">
        <v>962</v>
      </c>
      <c r="D13365" s="43" t="s">
        <v>1009</v>
      </c>
      <c r="E13365" s="43" t="s">
        <v>969</v>
      </c>
      <c r="F13365" s="43" t="s">
        <v>959</v>
      </c>
      <c r="G13365" s="43">
        <v>6077777</v>
      </c>
      <c r="H13365" s="43">
        <v>501100</v>
      </c>
      <c r="I13365" s="43" t="s">
        <v>949</v>
      </c>
      <c r="J13365" s="44" t="s">
        <v>1000</v>
      </c>
    </row>
    <row r="13366" ht="22" customHeight="1" spans="1:10" x14ac:dyDescent="0.25">
      <c r="A13366" s="43">
        <v>3130</v>
      </c>
      <c r="B13366" s="43">
        <v>60</v>
      </c>
      <c r="C13366" s="43" t="s">
        <v>962</v>
      </c>
      <c r="D13366" s="43" t="s">
        <v>1009</v>
      </c>
      <c r="E13366" s="43" t="s">
        <v>969</v>
      </c>
      <c r="F13366" s="43" t="s">
        <v>960</v>
      </c>
      <c r="G13366" s="43">
        <v>6077777</v>
      </c>
      <c r="H13366" s="43">
        <v>501100</v>
      </c>
      <c r="I13366" s="43" t="s">
        <v>949</v>
      </c>
      <c r="J13366" s="44" t="s">
        <v>1000</v>
      </c>
    </row>
    <row r="13367" ht="22" customHeight="1" spans="1:10" x14ac:dyDescent="0.25">
      <c r="A13367" s="43">
        <v>3130</v>
      </c>
      <c r="B13367" s="43">
        <v>60</v>
      </c>
      <c r="C13367" s="43" t="s">
        <v>962</v>
      </c>
      <c r="D13367" s="43" t="s">
        <v>1009</v>
      </c>
      <c r="E13367" s="43" t="s">
        <v>969</v>
      </c>
      <c r="F13367" s="43" t="s">
        <v>961</v>
      </c>
      <c r="G13367" s="43">
        <v>6077777</v>
      </c>
      <c r="H13367" s="43">
        <v>501100</v>
      </c>
      <c r="I13367" s="43" t="s">
        <v>949</v>
      </c>
      <c r="J13367" s="44" t="s">
        <v>1000</v>
      </c>
    </row>
    <row r="13368" ht="22" customHeight="1" spans="1:10" x14ac:dyDescent="0.25">
      <c r="A13368" s="43">
        <v>3130</v>
      </c>
      <c r="B13368" s="43">
        <v>60</v>
      </c>
      <c r="C13368" s="43" t="s">
        <v>963</v>
      </c>
      <c r="D13368" s="43" t="s">
        <v>1009</v>
      </c>
      <c r="E13368" s="43" t="s">
        <v>969</v>
      </c>
      <c r="F13368" s="43" t="s">
        <v>951</v>
      </c>
      <c r="G13368" s="43">
        <v>6077777</v>
      </c>
      <c r="H13368" s="43">
        <v>501100</v>
      </c>
      <c r="I13368" s="43" t="s">
        <v>949</v>
      </c>
      <c r="J13368" s="44" t="s">
        <v>1000</v>
      </c>
    </row>
    <row r="13369" ht="22" customHeight="1" spans="1:10" x14ac:dyDescent="0.25">
      <c r="A13369" s="43">
        <v>3130</v>
      </c>
      <c r="B13369" s="43">
        <v>60</v>
      </c>
      <c r="C13369" s="43" t="s">
        <v>963</v>
      </c>
      <c r="D13369" s="43" t="s">
        <v>1009</v>
      </c>
      <c r="E13369" s="43" t="s">
        <v>969</v>
      </c>
      <c r="F13369" s="43" t="s">
        <v>952</v>
      </c>
      <c r="G13369" s="43">
        <v>6077777</v>
      </c>
      <c r="H13369" s="43">
        <v>501100</v>
      </c>
      <c r="I13369" s="43" t="s">
        <v>949</v>
      </c>
      <c r="J13369" s="44" t="s">
        <v>1000</v>
      </c>
    </row>
    <row r="13370" ht="22" customHeight="1" spans="1:10" x14ac:dyDescent="0.25">
      <c r="A13370" s="43">
        <v>3130</v>
      </c>
      <c r="B13370" s="43">
        <v>60</v>
      </c>
      <c r="C13370" s="43" t="s">
        <v>963</v>
      </c>
      <c r="D13370" s="43" t="s">
        <v>1009</v>
      </c>
      <c r="E13370" s="43" t="s">
        <v>969</v>
      </c>
      <c r="F13370" s="43" t="s">
        <v>953</v>
      </c>
      <c r="G13370" s="43">
        <v>6077777</v>
      </c>
      <c r="H13370" s="43">
        <v>501100</v>
      </c>
      <c r="I13370" s="43" t="s">
        <v>949</v>
      </c>
      <c r="J13370" s="44" t="s">
        <v>1000</v>
      </c>
    </row>
    <row r="13371" ht="22" customHeight="1" spans="1:10" x14ac:dyDescent="0.25">
      <c r="A13371" s="43">
        <v>3130</v>
      </c>
      <c r="B13371" s="43">
        <v>60</v>
      </c>
      <c r="C13371" s="43" t="s">
        <v>963</v>
      </c>
      <c r="D13371" s="43" t="s">
        <v>1009</v>
      </c>
      <c r="E13371" s="43" t="s">
        <v>969</v>
      </c>
      <c r="F13371" s="43" t="s">
        <v>954</v>
      </c>
      <c r="G13371" s="43">
        <v>6077777</v>
      </c>
      <c r="H13371" s="43">
        <v>501100</v>
      </c>
      <c r="I13371" s="43" t="s">
        <v>949</v>
      </c>
      <c r="J13371" s="44" t="s">
        <v>1000</v>
      </c>
    </row>
    <row r="13372" ht="22" customHeight="1" spans="1:10" x14ac:dyDescent="0.25">
      <c r="A13372" s="43">
        <v>3130</v>
      </c>
      <c r="B13372" s="43">
        <v>60</v>
      </c>
      <c r="C13372" s="43" t="s">
        <v>963</v>
      </c>
      <c r="D13372" s="43" t="s">
        <v>1009</v>
      </c>
      <c r="E13372" s="43" t="s">
        <v>969</v>
      </c>
      <c r="F13372" s="43" t="s">
        <v>955</v>
      </c>
      <c r="G13372" s="43">
        <v>6077777</v>
      </c>
      <c r="H13372" s="43">
        <v>501100</v>
      </c>
      <c r="I13372" s="43" t="s">
        <v>949</v>
      </c>
      <c r="J13372" s="44" t="s">
        <v>1000</v>
      </c>
    </row>
    <row r="13373" ht="22" customHeight="1" spans="1:10" x14ac:dyDescent="0.25">
      <c r="A13373" s="43">
        <v>3130</v>
      </c>
      <c r="B13373" s="43">
        <v>60</v>
      </c>
      <c r="C13373" s="43" t="s">
        <v>963</v>
      </c>
      <c r="D13373" s="43" t="s">
        <v>1009</v>
      </c>
      <c r="E13373" s="43" t="s">
        <v>969</v>
      </c>
      <c r="F13373" s="43" t="s">
        <v>956</v>
      </c>
      <c r="G13373" s="43">
        <v>6077777</v>
      </c>
      <c r="H13373" s="43">
        <v>501100</v>
      </c>
      <c r="I13373" s="43" t="s">
        <v>949</v>
      </c>
      <c r="J13373" s="44" t="s">
        <v>1000</v>
      </c>
    </row>
    <row r="13374" ht="22" customHeight="1" spans="1:10" x14ac:dyDescent="0.25">
      <c r="A13374" s="43">
        <v>3130</v>
      </c>
      <c r="B13374" s="43">
        <v>60</v>
      </c>
      <c r="C13374" s="43" t="s">
        <v>963</v>
      </c>
      <c r="D13374" s="43" t="s">
        <v>1009</v>
      </c>
      <c r="E13374" s="43" t="s">
        <v>969</v>
      </c>
      <c r="F13374" s="43" t="s">
        <v>957</v>
      </c>
      <c r="G13374" s="43">
        <v>6077777</v>
      </c>
      <c r="H13374" s="43">
        <v>501100</v>
      </c>
      <c r="I13374" s="43" t="s">
        <v>949</v>
      </c>
      <c r="J13374" s="44" t="s">
        <v>1000</v>
      </c>
    </row>
    <row r="13375" ht="22" customHeight="1" spans="1:10" x14ac:dyDescent="0.25">
      <c r="A13375" s="43">
        <v>3130</v>
      </c>
      <c r="B13375" s="43">
        <v>60</v>
      </c>
      <c r="C13375" s="43" t="s">
        <v>963</v>
      </c>
      <c r="D13375" s="43" t="s">
        <v>1009</v>
      </c>
      <c r="E13375" s="43" t="s">
        <v>969</v>
      </c>
      <c r="F13375" s="43" t="s">
        <v>958</v>
      </c>
      <c r="G13375" s="43">
        <v>6077777</v>
      </c>
      <c r="H13375" s="43">
        <v>501100</v>
      </c>
      <c r="I13375" s="43" t="s">
        <v>949</v>
      </c>
      <c r="J13375" s="44" t="s">
        <v>1000</v>
      </c>
    </row>
    <row r="13376" ht="22" customHeight="1" spans="1:10" x14ac:dyDescent="0.25">
      <c r="A13376" s="43">
        <v>3130</v>
      </c>
      <c r="B13376" s="43">
        <v>60</v>
      </c>
      <c r="C13376" s="43" t="s">
        <v>963</v>
      </c>
      <c r="D13376" s="43" t="s">
        <v>1009</v>
      </c>
      <c r="E13376" s="43" t="s">
        <v>969</v>
      </c>
      <c r="F13376" s="43" t="s">
        <v>959</v>
      </c>
      <c r="G13376" s="43">
        <v>6077777</v>
      </c>
      <c r="H13376" s="43">
        <v>501100</v>
      </c>
      <c r="I13376" s="43" t="s">
        <v>949</v>
      </c>
      <c r="J13376" s="44" t="s">
        <v>1000</v>
      </c>
    </row>
    <row r="13377" ht="22" customHeight="1" spans="1:10" x14ac:dyDescent="0.25">
      <c r="A13377" s="43">
        <v>3130</v>
      </c>
      <c r="B13377" s="43">
        <v>60</v>
      </c>
      <c r="C13377" s="43" t="s">
        <v>963</v>
      </c>
      <c r="D13377" s="43" t="s">
        <v>1009</v>
      </c>
      <c r="E13377" s="43" t="s">
        <v>969</v>
      </c>
      <c r="F13377" s="43" t="s">
        <v>960</v>
      </c>
      <c r="G13377" s="43">
        <v>6077777</v>
      </c>
      <c r="H13377" s="43">
        <v>501100</v>
      </c>
      <c r="I13377" s="43" t="s">
        <v>949</v>
      </c>
      <c r="J13377" s="44" t="s">
        <v>1000</v>
      </c>
    </row>
    <row r="13378" ht="22" customHeight="1" spans="1:10" x14ac:dyDescent="0.25">
      <c r="A13378" s="43">
        <v>3130</v>
      </c>
      <c r="B13378" s="43">
        <v>60</v>
      </c>
      <c r="C13378" s="43" t="s">
        <v>963</v>
      </c>
      <c r="D13378" s="43" t="s">
        <v>1009</v>
      </c>
      <c r="E13378" s="43" t="s">
        <v>969</v>
      </c>
      <c r="F13378" s="43" t="s">
        <v>961</v>
      </c>
      <c r="G13378" s="43">
        <v>6077777</v>
      </c>
      <c r="H13378" s="43">
        <v>501100</v>
      </c>
      <c r="I13378" s="43" t="s">
        <v>949</v>
      </c>
      <c r="J13378" s="44" t="s">
        <v>1000</v>
      </c>
    </row>
    <row r="13379" spans="1:9" x14ac:dyDescent="0.25">
      <c r="A13379">
        <v>4122</v>
      </c>
      <c r="B13379">
        <v>60</v>
      </c>
      <c r="C13379" t="s">
        <v>946</v>
      </c>
      <c r="D13379" t="s">
        <v>1009</v>
      </c>
      <c r="E13379" t="s">
        <v>969</v>
      </c>
      <c r="F13379" t="s">
        <v>948</v>
      </c>
      <c r="G13379">
        <v>6000000</v>
      </c>
      <c r="H13379">
        <v>141000</v>
      </c>
      <c r="I13379" t="s">
        <v>970</v>
      </c>
    </row>
    <row r="13380" spans="1:9" x14ac:dyDescent="0.25">
      <c r="A13380">
        <v>4124</v>
      </c>
      <c r="B13380">
        <v>60</v>
      </c>
      <c r="C13380" t="s">
        <v>946</v>
      </c>
      <c r="D13380" t="s">
        <v>1009</v>
      </c>
      <c r="E13380" t="s">
        <v>969</v>
      </c>
      <c r="F13380" t="s">
        <v>948</v>
      </c>
      <c r="G13380">
        <v>6077777</v>
      </c>
      <c r="H13380">
        <v>501100</v>
      </c>
      <c r="I13380" t="s">
        <v>949</v>
      </c>
    </row>
    <row r="13381" ht="22" customHeight="1" spans="1:10" x14ac:dyDescent="0.25">
      <c r="A13381" s="43">
        <v>3130</v>
      </c>
      <c r="B13381" s="43">
        <v>60</v>
      </c>
      <c r="C13381" s="43" t="s">
        <v>950</v>
      </c>
      <c r="D13381" s="43" t="s">
        <v>1009</v>
      </c>
      <c r="E13381" s="43" t="s">
        <v>255</v>
      </c>
      <c r="F13381" s="43" t="s">
        <v>951</v>
      </c>
      <c r="G13381" s="43">
        <v>6077777</v>
      </c>
      <c r="H13381" s="43">
        <v>501100</v>
      </c>
      <c r="I13381" s="43" t="s">
        <v>949</v>
      </c>
      <c r="J13381" s="44" t="s">
        <v>1000</v>
      </c>
    </row>
    <row r="13382" ht="22" customHeight="1" spans="1:10" x14ac:dyDescent="0.25">
      <c r="A13382" s="43">
        <v>3130</v>
      </c>
      <c r="B13382" s="43">
        <v>60</v>
      </c>
      <c r="C13382" s="43" t="s">
        <v>950</v>
      </c>
      <c r="D13382" s="43" t="s">
        <v>1009</v>
      </c>
      <c r="E13382" s="43" t="s">
        <v>255</v>
      </c>
      <c r="F13382" s="43" t="s">
        <v>952</v>
      </c>
      <c r="G13382" s="43">
        <v>6077777</v>
      </c>
      <c r="H13382" s="43">
        <v>501100</v>
      </c>
      <c r="I13382" s="43" t="s">
        <v>949</v>
      </c>
      <c r="J13382" s="44" t="s">
        <v>1000</v>
      </c>
    </row>
    <row r="13383" ht="22" customHeight="1" spans="1:10" x14ac:dyDescent="0.25">
      <c r="A13383" s="43">
        <v>3130</v>
      </c>
      <c r="B13383" s="43">
        <v>60</v>
      </c>
      <c r="C13383" s="43" t="s">
        <v>950</v>
      </c>
      <c r="D13383" s="43" t="s">
        <v>1009</v>
      </c>
      <c r="E13383" s="43" t="s">
        <v>255</v>
      </c>
      <c r="F13383" s="43" t="s">
        <v>953</v>
      </c>
      <c r="G13383" s="43">
        <v>6077777</v>
      </c>
      <c r="H13383" s="43">
        <v>501100</v>
      </c>
      <c r="I13383" s="43" t="s">
        <v>949</v>
      </c>
      <c r="J13383" s="44" t="s">
        <v>1000</v>
      </c>
    </row>
    <row r="13384" ht="22" customHeight="1" spans="1:10" x14ac:dyDescent="0.25">
      <c r="A13384" s="43">
        <v>3130</v>
      </c>
      <c r="B13384" s="43">
        <v>60</v>
      </c>
      <c r="C13384" s="43" t="s">
        <v>950</v>
      </c>
      <c r="D13384" s="43" t="s">
        <v>1009</v>
      </c>
      <c r="E13384" s="43" t="s">
        <v>255</v>
      </c>
      <c r="F13384" s="43" t="s">
        <v>954</v>
      </c>
      <c r="G13384" s="43">
        <v>6077777</v>
      </c>
      <c r="H13384" s="43">
        <v>501100</v>
      </c>
      <c r="I13384" s="43" t="s">
        <v>949</v>
      </c>
      <c r="J13384" s="44" t="s">
        <v>1000</v>
      </c>
    </row>
    <row r="13385" ht="22" customHeight="1" spans="1:10" x14ac:dyDescent="0.25">
      <c r="A13385" s="43">
        <v>3130</v>
      </c>
      <c r="B13385" s="43">
        <v>60</v>
      </c>
      <c r="C13385" s="43" t="s">
        <v>950</v>
      </c>
      <c r="D13385" s="43" t="s">
        <v>1009</v>
      </c>
      <c r="E13385" s="43" t="s">
        <v>255</v>
      </c>
      <c r="F13385" s="43" t="s">
        <v>955</v>
      </c>
      <c r="G13385" s="43">
        <v>6077777</v>
      </c>
      <c r="H13385" s="43">
        <v>501100</v>
      </c>
      <c r="I13385" s="43" t="s">
        <v>949</v>
      </c>
      <c r="J13385" s="44" t="s">
        <v>1000</v>
      </c>
    </row>
    <row r="13386" ht="22" customHeight="1" spans="1:10" x14ac:dyDescent="0.25">
      <c r="A13386" s="43">
        <v>3130</v>
      </c>
      <c r="B13386" s="43">
        <v>60</v>
      </c>
      <c r="C13386" s="43" t="s">
        <v>950</v>
      </c>
      <c r="D13386" s="43" t="s">
        <v>1009</v>
      </c>
      <c r="E13386" s="43" t="s">
        <v>255</v>
      </c>
      <c r="F13386" s="43" t="s">
        <v>956</v>
      </c>
      <c r="G13386" s="43">
        <v>6077777</v>
      </c>
      <c r="H13386" s="43">
        <v>501100</v>
      </c>
      <c r="I13386" s="43" t="s">
        <v>949</v>
      </c>
      <c r="J13386" s="44" t="s">
        <v>1000</v>
      </c>
    </row>
    <row r="13387" ht="22" customHeight="1" spans="1:10" x14ac:dyDescent="0.25">
      <c r="A13387" s="43">
        <v>3130</v>
      </c>
      <c r="B13387" s="43">
        <v>60</v>
      </c>
      <c r="C13387" s="43" t="s">
        <v>950</v>
      </c>
      <c r="D13387" s="43" t="s">
        <v>1009</v>
      </c>
      <c r="E13387" s="43" t="s">
        <v>255</v>
      </c>
      <c r="F13387" s="43" t="s">
        <v>957</v>
      </c>
      <c r="G13387" s="43">
        <v>6077777</v>
      </c>
      <c r="H13387" s="43">
        <v>501100</v>
      </c>
      <c r="I13387" s="43" t="s">
        <v>949</v>
      </c>
      <c r="J13387" s="44" t="s">
        <v>1000</v>
      </c>
    </row>
    <row r="13388" ht="22" customHeight="1" spans="1:10" x14ac:dyDescent="0.25">
      <c r="A13388" s="43">
        <v>3130</v>
      </c>
      <c r="B13388" s="43">
        <v>60</v>
      </c>
      <c r="C13388" s="43" t="s">
        <v>950</v>
      </c>
      <c r="D13388" s="43" t="s">
        <v>1009</v>
      </c>
      <c r="E13388" s="43" t="s">
        <v>255</v>
      </c>
      <c r="F13388" s="43" t="s">
        <v>958</v>
      </c>
      <c r="G13388" s="43">
        <v>6077777</v>
      </c>
      <c r="H13388" s="43">
        <v>501100</v>
      </c>
      <c r="I13388" s="43" t="s">
        <v>949</v>
      </c>
      <c r="J13388" s="44" t="s">
        <v>1000</v>
      </c>
    </row>
    <row r="13389" ht="22" customHeight="1" spans="1:10" x14ac:dyDescent="0.25">
      <c r="A13389" s="43">
        <v>3130</v>
      </c>
      <c r="B13389" s="43">
        <v>60</v>
      </c>
      <c r="C13389" s="43" t="s">
        <v>950</v>
      </c>
      <c r="D13389" s="43" t="s">
        <v>1009</v>
      </c>
      <c r="E13389" s="43" t="s">
        <v>255</v>
      </c>
      <c r="F13389" s="43" t="s">
        <v>959</v>
      </c>
      <c r="G13389" s="43">
        <v>6077777</v>
      </c>
      <c r="H13389" s="43">
        <v>501100</v>
      </c>
      <c r="I13389" s="43" t="s">
        <v>949</v>
      </c>
      <c r="J13389" s="44" t="s">
        <v>1000</v>
      </c>
    </row>
    <row r="13390" ht="22" customHeight="1" spans="1:10" x14ac:dyDescent="0.25">
      <c r="A13390" s="43">
        <v>3130</v>
      </c>
      <c r="B13390" s="43">
        <v>60</v>
      </c>
      <c r="C13390" s="43" t="s">
        <v>950</v>
      </c>
      <c r="D13390" s="43" t="s">
        <v>1009</v>
      </c>
      <c r="E13390" s="43" t="s">
        <v>255</v>
      </c>
      <c r="F13390" s="43" t="s">
        <v>960</v>
      </c>
      <c r="G13390" s="43">
        <v>6077777</v>
      </c>
      <c r="H13390" s="43">
        <v>501100</v>
      </c>
      <c r="I13390" s="43" t="s">
        <v>949</v>
      </c>
      <c r="J13390" s="44" t="s">
        <v>1000</v>
      </c>
    </row>
    <row r="13391" ht="22" customHeight="1" spans="1:10" x14ac:dyDescent="0.25">
      <c r="A13391" s="43">
        <v>3130</v>
      </c>
      <c r="B13391" s="43">
        <v>60</v>
      </c>
      <c r="C13391" s="43" t="s">
        <v>950</v>
      </c>
      <c r="D13391" s="43" t="s">
        <v>1009</v>
      </c>
      <c r="E13391" s="43" t="s">
        <v>255</v>
      </c>
      <c r="F13391" s="43" t="s">
        <v>961</v>
      </c>
      <c r="G13391" s="43">
        <v>6077777</v>
      </c>
      <c r="H13391" s="43">
        <v>501100</v>
      </c>
      <c r="I13391" s="43" t="s">
        <v>949</v>
      </c>
      <c r="J13391" s="44" t="s">
        <v>1000</v>
      </c>
    </row>
    <row r="13392" ht="22" customHeight="1" spans="1:10" x14ac:dyDescent="0.25">
      <c r="A13392" s="43">
        <v>3130</v>
      </c>
      <c r="B13392" s="43">
        <v>60</v>
      </c>
      <c r="C13392" s="43" t="s">
        <v>962</v>
      </c>
      <c r="D13392" s="43" t="s">
        <v>1009</v>
      </c>
      <c r="E13392" s="43" t="s">
        <v>255</v>
      </c>
      <c r="F13392" s="43" t="s">
        <v>951</v>
      </c>
      <c r="G13392" s="43">
        <v>6077777</v>
      </c>
      <c r="H13392" s="43">
        <v>501100</v>
      </c>
      <c r="I13392" s="43" t="s">
        <v>949</v>
      </c>
      <c r="J13392" s="44" t="s">
        <v>1000</v>
      </c>
    </row>
    <row r="13393" ht="22" customHeight="1" spans="1:10" x14ac:dyDescent="0.25">
      <c r="A13393" s="43">
        <v>3130</v>
      </c>
      <c r="B13393" s="43">
        <v>60</v>
      </c>
      <c r="C13393" s="43" t="s">
        <v>962</v>
      </c>
      <c r="D13393" s="43" t="s">
        <v>1009</v>
      </c>
      <c r="E13393" s="43" t="s">
        <v>255</v>
      </c>
      <c r="F13393" s="43" t="s">
        <v>952</v>
      </c>
      <c r="G13393" s="43">
        <v>6077777</v>
      </c>
      <c r="H13393" s="43">
        <v>501100</v>
      </c>
      <c r="I13393" s="43" t="s">
        <v>949</v>
      </c>
      <c r="J13393" s="44" t="s">
        <v>1000</v>
      </c>
    </row>
    <row r="13394" ht="22" customHeight="1" spans="1:10" x14ac:dyDescent="0.25">
      <c r="A13394" s="43">
        <v>3130</v>
      </c>
      <c r="B13394" s="43">
        <v>60</v>
      </c>
      <c r="C13394" s="43" t="s">
        <v>962</v>
      </c>
      <c r="D13394" s="43" t="s">
        <v>1009</v>
      </c>
      <c r="E13394" s="43" t="s">
        <v>255</v>
      </c>
      <c r="F13394" s="43" t="s">
        <v>953</v>
      </c>
      <c r="G13394" s="43">
        <v>6077777</v>
      </c>
      <c r="H13394" s="43">
        <v>501100</v>
      </c>
      <c r="I13394" s="43" t="s">
        <v>949</v>
      </c>
      <c r="J13394" s="44" t="s">
        <v>1000</v>
      </c>
    </row>
    <row r="13395" ht="22" customHeight="1" spans="1:10" x14ac:dyDescent="0.25">
      <c r="A13395" s="43">
        <v>3130</v>
      </c>
      <c r="B13395" s="43">
        <v>60</v>
      </c>
      <c r="C13395" s="43" t="s">
        <v>962</v>
      </c>
      <c r="D13395" s="43" t="s">
        <v>1009</v>
      </c>
      <c r="E13395" s="43" t="s">
        <v>255</v>
      </c>
      <c r="F13395" s="43" t="s">
        <v>954</v>
      </c>
      <c r="G13395" s="43">
        <v>6077777</v>
      </c>
      <c r="H13395" s="43">
        <v>501100</v>
      </c>
      <c r="I13395" s="43" t="s">
        <v>949</v>
      </c>
      <c r="J13395" s="44" t="s">
        <v>1000</v>
      </c>
    </row>
    <row r="13396" ht="22" customHeight="1" spans="1:10" x14ac:dyDescent="0.25">
      <c r="A13396" s="43">
        <v>3130</v>
      </c>
      <c r="B13396" s="43">
        <v>60</v>
      </c>
      <c r="C13396" s="43" t="s">
        <v>962</v>
      </c>
      <c r="D13396" s="43" t="s">
        <v>1009</v>
      </c>
      <c r="E13396" s="43" t="s">
        <v>255</v>
      </c>
      <c r="F13396" s="43" t="s">
        <v>955</v>
      </c>
      <c r="G13396" s="43">
        <v>6077777</v>
      </c>
      <c r="H13396" s="43">
        <v>501100</v>
      </c>
      <c r="I13396" s="43" t="s">
        <v>949</v>
      </c>
      <c r="J13396" s="44" t="s">
        <v>1000</v>
      </c>
    </row>
    <row r="13397" ht="22" customHeight="1" spans="1:10" x14ac:dyDescent="0.25">
      <c r="A13397" s="43">
        <v>3130</v>
      </c>
      <c r="B13397" s="43">
        <v>60</v>
      </c>
      <c r="C13397" s="43" t="s">
        <v>962</v>
      </c>
      <c r="D13397" s="43" t="s">
        <v>1009</v>
      </c>
      <c r="E13397" s="43" t="s">
        <v>255</v>
      </c>
      <c r="F13397" s="43" t="s">
        <v>956</v>
      </c>
      <c r="G13397" s="43">
        <v>6077777</v>
      </c>
      <c r="H13397" s="43">
        <v>501100</v>
      </c>
      <c r="I13397" s="43" t="s">
        <v>949</v>
      </c>
      <c r="J13397" s="44" t="s">
        <v>1000</v>
      </c>
    </row>
    <row r="13398" ht="22" customHeight="1" spans="1:10" x14ac:dyDescent="0.25">
      <c r="A13398" s="43">
        <v>3130</v>
      </c>
      <c r="B13398" s="43">
        <v>60</v>
      </c>
      <c r="C13398" s="43" t="s">
        <v>962</v>
      </c>
      <c r="D13398" s="43" t="s">
        <v>1009</v>
      </c>
      <c r="E13398" s="43" t="s">
        <v>255</v>
      </c>
      <c r="F13398" s="43" t="s">
        <v>957</v>
      </c>
      <c r="G13398" s="43">
        <v>6077777</v>
      </c>
      <c r="H13398" s="43">
        <v>501100</v>
      </c>
      <c r="I13398" s="43" t="s">
        <v>949</v>
      </c>
      <c r="J13398" s="44" t="s">
        <v>1000</v>
      </c>
    </row>
    <row r="13399" ht="22" customHeight="1" spans="1:10" x14ac:dyDescent="0.25">
      <c r="A13399" s="43">
        <v>3130</v>
      </c>
      <c r="B13399" s="43">
        <v>60</v>
      </c>
      <c r="C13399" s="43" t="s">
        <v>962</v>
      </c>
      <c r="D13399" s="43" t="s">
        <v>1009</v>
      </c>
      <c r="E13399" s="43" t="s">
        <v>255</v>
      </c>
      <c r="F13399" s="43" t="s">
        <v>958</v>
      </c>
      <c r="G13399" s="43">
        <v>6077777</v>
      </c>
      <c r="H13399" s="43">
        <v>501100</v>
      </c>
      <c r="I13399" s="43" t="s">
        <v>949</v>
      </c>
      <c r="J13399" s="44" t="s">
        <v>1000</v>
      </c>
    </row>
    <row r="13400" ht="22" customHeight="1" spans="1:10" x14ac:dyDescent="0.25">
      <c r="A13400" s="43">
        <v>3130</v>
      </c>
      <c r="B13400" s="43">
        <v>60</v>
      </c>
      <c r="C13400" s="43" t="s">
        <v>962</v>
      </c>
      <c r="D13400" s="43" t="s">
        <v>1009</v>
      </c>
      <c r="E13400" s="43" t="s">
        <v>255</v>
      </c>
      <c r="F13400" s="43" t="s">
        <v>959</v>
      </c>
      <c r="G13400" s="43">
        <v>6077777</v>
      </c>
      <c r="H13400" s="43">
        <v>501100</v>
      </c>
      <c r="I13400" s="43" t="s">
        <v>949</v>
      </c>
      <c r="J13400" s="44" t="s">
        <v>1000</v>
      </c>
    </row>
    <row r="13401" ht="22" customHeight="1" spans="1:10" x14ac:dyDescent="0.25">
      <c r="A13401" s="43">
        <v>3130</v>
      </c>
      <c r="B13401" s="43">
        <v>60</v>
      </c>
      <c r="C13401" s="43" t="s">
        <v>962</v>
      </c>
      <c r="D13401" s="43" t="s">
        <v>1009</v>
      </c>
      <c r="E13401" s="43" t="s">
        <v>255</v>
      </c>
      <c r="F13401" s="43" t="s">
        <v>960</v>
      </c>
      <c r="G13401" s="43">
        <v>6077777</v>
      </c>
      <c r="H13401" s="43">
        <v>501100</v>
      </c>
      <c r="I13401" s="43" t="s">
        <v>949</v>
      </c>
      <c r="J13401" s="44" t="s">
        <v>1000</v>
      </c>
    </row>
    <row r="13402" ht="22" customHeight="1" spans="1:10" x14ac:dyDescent="0.25">
      <c r="A13402" s="43">
        <v>3130</v>
      </c>
      <c r="B13402" s="43">
        <v>60</v>
      </c>
      <c r="C13402" s="43" t="s">
        <v>962</v>
      </c>
      <c r="D13402" s="43" t="s">
        <v>1009</v>
      </c>
      <c r="E13402" s="43" t="s">
        <v>255</v>
      </c>
      <c r="F13402" s="43" t="s">
        <v>961</v>
      </c>
      <c r="G13402" s="43">
        <v>6077777</v>
      </c>
      <c r="H13402" s="43">
        <v>501100</v>
      </c>
      <c r="I13402" s="43" t="s">
        <v>949</v>
      </c>
      <c r="J13402" s="44" t="s">
        <v>1000</v>
      </c>
    </row>
    <row r="13403" ht="22" customHeight="1" spans="1:10" x14ac:dyDescent="0.25">
      <c r="A13403" s="43">
        <v>3130</v>
      </c>
      <c r="B13403" s="43">
        <v>60</v>
      </c>
      <c r="C13403" s="43" t="s">
        <v>963</v>
      </c>
      <c r="D13403" s="43" t="s">
        <v>1009</v>
      </c>
      <c r="E13403" s="43" t="s">
        <v>255</v>
      </c>
      <c r="F13403" s="43" t="s">
        <v>951</v>
      </c>
      <c r="G13403" s="43">
        <v>6077777</v>
      </c>
      <c r="H13403" s="43">
        <v>501100</v>
      </c>
      <c r="I13403" s="43" t="s">
        <v>949</v>
      </c>
      <c r="J13403" s="44" t="s">
        <v>1000</v>
      </c>
    </row>
    <row r="13404" ht="22" customHeight="1" spans="1:10" x14ac:dyDescent="0.25">
      <c r="A13404" s="43">
        <v>3130</v>
      </c>
      <c r="B13404" s="43">
        <v>60</v>
      </c>
      <c r="C13404" s="43" t="s">
        <v>963</v>
      </c>
      <c r="D13404" s="43" t="s">
        <v>1009</v>
      </c>
      <c r="E13404" s="43" t="s">
        <v>255</v>
      </c>
      <c r="F13404" s="43" t="s">
        <v>952</v>
      </c>
      <c r="G13404" s="43">
        <v>6077777</v>
      </c>
      <c r="H13404" s="43">
        <v>501100</v>
      </c>
      <c r="I13404" s="43" t="s">
        <v>949</v>
      </c>
      <c r="J13404" s="44" t="s">
        <v>1000</v>
      </c>
    </row>
    <row r="13405" ht="22" customHeight="1" spans="1:10" x14ac:dyDescent="0.25">
      <c r="A13405" s="43">
        <v>3130</v>
      </c>
      <c r="B13405" s="43">
        <v>60</v>
      </c>
      <c r="C13405" s="43" t="s">
        <v>963</v>
      </c>
      <c r="D13405" s="43" t="s">
        <v>1009</v>
      </c>
      <c r="E13405" s="43" t="s">
        <v>255</v>
      </c>
      <c r="F13405" s="43" t="s">
        <v>953</v>
      </c>
      <c r="G13405" s="43">
        <v>6077777</v>
      </c>
      <c r="H13405" s="43">
        <v>501100</v>
      </c>
      <c r="I13405" s="43" t="s">
        <v>949</v>
      </c>
      <c r="J13405" s="44" t="s">
        <v>1000</v>
      </c>
    </row>
    <row r="13406" ht="22" customHeight="1" spans="1:10" x14ac:dyDescent="0.25">
      <c r="A13406" s="43">
        <v>3130</v>
      </c>
      <c r="B13406" s="43">
        <v>60</v>
      </c>
      <c r="C13406" s="43" t="s">
        <v>963</v>
      </c>
      <c r="D13406" s="43" t="s">
        <v>1009</v>
      </c>
      <c r="E13406" s="43" t="s">
        <v>255</v>
      </c>
      <c r="F13406" s="43" t="s">
        <v>954</v>
      </c>
      <c r="G13406" s="43">
        <v>6077777</v>
      </c>
      <c r="H13406" s="43">
        <v>501100</v>
      </c>
      <c r="I13406" s="43" t="s">
        <v>949</v>
      </c>
      <c r="J13406" s="44" t="s">
        <v>1000</v>
      </c>
    </row>
    <row r="13407" ht="22" customHeight="1" spans="1:10" x14ac:dyDescent="0.25">
      <c r="A13407" s="43">
        <v>3130</v>
      </c>
      <c r="B13407" s="43">
        <v>60</v>
      </c>
      <c r="C13407" s="43" t="s">
        <v>963</v>
      </c>
      <c r="D13407" s="43" t="s">
        <v>1009</v>
      </c>
      <c r="E13407" s="43" t="s">
        <v>255</v>
      </c>
      <c r="F13407" s="43" t="s">
        <v>955</v>
      </c>
      <c r="G13407" s="43">
        <v>6077777</v>
      </c>
      <c r="H13407" s="43">
        <v>501100</v>
      </c>
      <c r="I13407" s="43" t="s">
        <v>949</v>
      </c>
      <c r="J13407" s="44" t="s">
        <v>1000</v>
      </c>
    </row>
    <row r="13408" ht="22" customHeight="1" spans="1:10" x14ac:dyDescent="0.25">
      <c r="A13408" s="43">
        <v>3130</v>
      </c>
      <c r="B13408" s="43">
        <v>60</v>
      </c>
      <c r="C13408" s="43" t="s">
        <v>963</v>
      </c>
      <c r="D13408" s="43" t="s">
        <v>1009</v>
      </c>
      <c r="E13408" s="43" t="s">
        <v>255</v>
      </c>
      <c r="F13408" s="43" t="s">
        <v>956</v>
      </c>
      <c r="G13408" s="43">
        <v>6077777</v>
      </c>
      <c r="H13408" s="43">
        <v>501100</v>
      </c>
      <c r="I13408" s="43" t="s">
        <v>949</v>
      </c>
      <c r="J13408" s="44" t="s">
        <v>1000</v>
      </c>
    </row>
    <row r="13409" ht="22" customHeight="1" spans="1:10" x14ac:dyDescent="0.25">
      <c r="A13409" s="43">
        <v>3130</v>
      </c>
      <c r="B13409" s="43">
        <v>60</v>
      </c>
      <c r="C13409" s="43" t="s">
        <v>963</v>
      </c>
      <c r="D13409" s="43" t="s">
        <v>1009</v>
      </c>
      <c r="E13409" s="43" t="s">
        <v>255</v>
      </c>
      <c r="F13409" s="43" t="s">
        <v>957</v>
      </c>
      <c r="G13409" s="43">
        <v>6077777</v>
      </c>
      <c r="H13409" s="43">
        <v>501100</v>
      </c>
      <c r="I13409" s="43" t="s">
        <v>949</v>
      </c>
      <c r="J13409" s="44" t="s">
        <v>1000</v>
      </c>
    </row>
    <row r="13410" ht="22" customHeight="1" spans="1:10" x14ac:dyDescent="0.25">
      <c r="A13410" s="43">
        <v>3130</v>
      </c>
      <c r="B13410" s="43">
        <v>60</v>
      </c>
      <c r="C13410" s="43" t="s">
        <v>963</v>
      </c>
      <c r="D13410" s="43" t="s">
        <v>1009</v>
      </c>
      <c r="E13410" s="43" t="s">
        <v>255</v>
      </c>
      <c r="F13410" s="43" t="s">
        <v>958</v>
      </c>
      <c r="G13410" s="43">
        <v>6077777</v>
      </c>
      <c r="H13410" s="43">
        <v>501100</v>
      </c>
      <c r="I13410" s="43" t="s">
        <v>949</v>
      </c>
      <c r="J13410" s="44" t="s">
        <v>1000</v>
      </c>
    </row>
    <row r="13411" ht="22" customHeight="1" spans="1:10" x14ac:dyDescent="0.25">
      <c r="A13411" s="43">
        <v>3130</v>
      </c>
      <c r="B13411" s="43">
        <v>60</v>
      </c>
      <c r="C13411" s="43" t="s">
        <v>963</v>
      </c>
      <c r="D13411" s="43" t="s">
        <v>1009</v>
      </c>
      <c r="E13411" s="43" t="s">
        <v>255</v>
      </c>
      <c r="F13411" s="43" t="s">
        <v>959</v>
      </c>
      <c r="G13411" s="43">
        <v>6077777</v>
      </c>
      <c r="H13411" s="43">
        <v>501100</v>
      </c>
      <c r="I13411" s="43" t="s">
        <v>949</v>
      </c>
      <c r="J13411" s="44" t="s">
        <v>1000</v>
      </c>
    </row>
    <row r="13412" ht="22" customHeight="1" spans="1:10" x14ac:dyDescent="0.25">
      <c r="A13412" s="43">
        <v>3130</v>
      </c>
      <c r="B13412" s="43">
        <v>60</v>
      </c>
      <c r="C13412" s="43" t="s">
        <v>963</v>
      </c>
      <c r="D13412" s="43" t="s">
        <v>1009</v>
      </c>
      <c r="E13412" s="43" t="s">
        <v>255</v>
      </c>
      <c r="F13412" s="43" t="s">
        <v>960</v>
      </c>
      <c r="G13412" s="43">
        <v>6077777</v>
      </c>
      <c r="H13412" s="43">
        <v>501100</v>
      </c>
      <c r="I13412" s="43" t="s">
        <v>949</v>
      </c>
      <c r="J13412" s="44" t="s">
        <v>1000</v>
      </c>
    </row>
    <row r="13413" ht="22" customHeight="1" spans="1:10" x14ac:dyDescent="0.25">
      <c r="A13413" s="43">
        <v>3130</v>
      </c>
      <c r="B13413" s="43">
        <v>60</v>
      </c>
      <c r="C13413" s="43" t="s">
        <v>963</v>
      </c>
      <c r="D13413" s="43" t="s">
        <v>1009</v>
      </c>
      <c r="E13413" s="43" t="s">
        <v>255</v>
      </c>
      <c r="F13413" s="43" t="s">
        <v>961</v>
      </c>
      <c r="G13413" s="43">
        <v>6077777</v>
      </c>
      <c r="H13413" s="43">
        <v>501100</v>
      </c>
      <c r="I13413" s="43" t="s">
        <v>949</v>
      </c>
      <c r="J13413" s="44" t="s">
        <v>1000</v>
      </c>
    </row>
    <row r="13414" spans="1:9" x14ac:dyDescent="0.25">
      <c r="A13414">
        <v>4122</v>
      </c>
      <c r="B13414">
        <v>60</v>
      </c>
      <c r="C13414" t="s">
        <v>946</v>
      </c>
      <c r="D13414" t="s">
        <v>1009</v>
      </c>
      <c r="E13414" t="s">
        <v>255</v>
      </c>
      <c r="F13414" t="s">
        <v>948</v>
      </c>
      <c r="G13414">
        <v>6000000</v>
      </c>
      <c r="H13414">
        <v>145000</v>
      </c>
      <c r="I13414" t="s">
        <v>949</v>
      </c>
    </row>
    <row r="13415" spans="1:9" x14ac:dyDescent="0.25">
      <c r="A13415">
        <v>4124</v>
      </c>
      <c r="B13415">
        <v>60</v>
      </c>
      <c r="C13415" t="s">
        <v>946</v>
      </c>
      <c r="D13415" t="s">
        <v>1009</v>
      </c>
      <c r="E13415" t="s">
        <v>255</v>
      </c>
      <c r="F13415" t="s">
        <v>948</v>
      </c>
      <c r="G13415">
        <v>6077777</v>
      </c>
      <c r="H13415">
        <v>501100</v>
      </c>
      <c r="I13415" t="s">
        <v>949</v>
      </c>
    </row>
    <row r="13416" ht="22" customHeight="1" spans="1:10" x14ac:dyDescent="0.25">
      <c r="A13416" s="43">
        <v>3130</v>
      </c>
      <c r="B13416" s="43">
        <v>60</v>
      </c>
      <c r="C13416" s="43" t="s">
        <v>950</v>
      </c>
      <c r="D13416" s="43" t="s">
        <v>1009</v>
      </c>
      <c r="E13416" s="43" t="s">
        <v>971</v>
      </c>
      <c r="F13416" s="43" t="s">
        <v>951</v>
      </c>
      <c r="G13416" s="43">
        <v>6077777</v>
      </c>
      <c r="H13416" s="43">
        <v>501100</v>
      </c>
      <c r="I13416" s="43" t="s">
        <v>949</v>
      </c>
      <c r="J13416" s="44" t="s">
        <v>1000</v>
      </c>
    </row>
    <row r="13417" ht="22" customHeight="1" spans="1:10" x14ac:dyDescent="0.25">
      <c r="A13417" s="43">
        <v>3130</v>
      </c>
      <c r="B13417" s="43">
        <v>60</v>
      </c>
      <c r="C13417" s="43" t="s">
        <v>950</v>
      </c>
      <c r="D13417" s="43" t="s">
        <v>1009</v>
      </c>
      <c r="E13417" s="43" t="s">
        <v>971</v>
      </c>
      <c r="F13417" s="43" t="s">
        <v>952</v>
      </c>
      <c r="G13417" s="43">
        <v>6077777</v>
      </c>
      <c r="H13417" s="43">
        <v>501100</v>
      </c>
      <c r="I13417" s="43" t="s">
        <v>949</v>
      </c>
      <c r="J13417" s="44" t="s">
        <v>1000</v>
      </c>
    </row>
    <row r="13418" ht="22" customHeight="1" spans="1:10" x14ac:dyDescent="0.25">
      <c r="A13418" s="43">
        <v>3130</v>
      </c>
      <c r="B13418" s="43">
        <v>60</v>
      </c>
      <c r="C13418" s="43" t="s">
        <v>950</v>
      </c>
      <c r="D13418" s="43" t="s">
        <v>1009</v>
      </c>
      <c r="E13418" s="43" t="s">
        <v>971</v>
      </c>
      <c r="F13418" s="43" t="s">
        <v>953</v>
      </c>
      <c r="G13418" s="43">
        <v>6077777</v>
      </c>
      <c r="H13418" s="43">
        <v>501100</v>
      </c>
      <c r="I13418" s="43" t="s">
        <v>949</v>
      </c>
      <c r="J13418" s="44" t="s">
        <v>1000</v>
      </c>
    </row>
    <row r="13419" ht="22" customHeight="1" spans="1:10" x14ac:dyDescent="0.25">
      <c r="A13419" s="43">
        <v>3130</v>
      </c>
      <c r="B13419" s="43">
        <v>60</v>
      </c>
      <c r="C13419" s="43" t="s">
        <v>950</v>
      </c>
      <c r="D13419" s="43" t="s">
        <v>1009</v>
      </c>
      <c r="E13419" s="43" t="s">
        <v>971</v>
      </c>
      <c r="F13419" s="43" t="s">
        <v>954</v>
      </c>
      <c r="G13419" s="43">
        <v>6077777</v>
      </c>
      <c r="H13419" s="43">
        <v>501100</v>
      </c>
      <c r="I13419" s="43" t="s">
        <v>949</v>
      </c>
      <c r="J13419" s="44" t="s">
        <v>1000</v>
      </c>
    </row>
    <row r="13420" ht="22" customHeight="1" spans="1:10" x14ac:dyDescent="0.25">
      <c r="A13420" s="43">
        <v>3130</v>
      </c>
      <c r="B13420" s="43">
        <v>60</v>
      </c>
      <c r="C13420" s="43" t="s">
        <v>950</v>
      </c>
      <c r="D13420" s="43" t="s">
        <v>1009</v>
      </c>
      <c r="E13420" s="43" t="s">
        <v>971</v>
      </c>
      <c r="F13420" s="43" t="s">
        <v>955</v>
      </c>
      <c r="G13420" s="43">
        <v>6077777</v>
      </c>
      <c r="H13420" s="43">
        <v>501100</v>
      </c>
      <c r="I13420" s="43" t="s">
        <v>949</v>
      </c>
      <c r="J13420" s="44" t="s">
        <v>1000</v>
      </c>
    </row>
    <row r="13421" ht="22" customHeight="1" spans="1:10" x14ac:dyDescent="0.25">
      <c r="A13421" s="43">
        <v>3130</v>
      </c>
      <c r="B13421" s="43">
        <v>60</v>
      </c>
      <c r="C13421" s="43" t="s">
        <v>950</v>
      </c>
      <c r="D13421" s="43" t="s">
        <v>1009</v>
      </c>
      <c r="E13421" s="43" t="s">
        <v>971</v>
      </c>
      <c r="F13421" s="43" t="s">
        <v>956</v>
      </c>
      <c r="G13421" s="43">
        <v>6077777</v>
      </c>
      <c r="H13421" s="43">
        <v>501100</v>
      </c>
      <c r="I13421" s="43" t="s">
        <v>949</v>
      </c>
      <c r="J13421" s="44" t="s">
        <v>1000</v>
      </c>
    </row>
    <row r="13422" ht="22" customHeight="1" spans="1:10" x14ac:dyDescent="0.25">
      <c r="A13422" s="43">
        <v>3130</v>
      </c>
      <c r="B13422" s="43">
        <v>60</v>
      </c>
      <c r="C13422" s="43" t="s">
        <v>950</v>
      </c>
      <c r="D13422" s="43" t="s">
        <v>1009</v>
      </c>
      <c r="E13422" s="43" t="s">
        <v>971</v>
      </c>
      <c r="F13422" s="43" t="s">
        <v>957</v>
      </c>
      <c r="G13422" s="43">
        <v>6077777</v>
      </c>
      <c r="H13422" s="43">
        <v>501100</v>
      </c>
      <c r="I13422" s="43" t="s">
        <v>949</v>
      </c>
      <c r="J13422" s="44" t="s">
        <v>1000</v>
      </c>
    </row>
    <row r="13423" ht="22" customHeight="1" spans="1:10" x14ac:dyDescent="0.25">
      <c r="A13423" s="43">
        <v>3130</v>
      </c>
      <c r="B13423" s="43">
        <v>60</v>
      </c>
      <c r="C13423" s="43" t="s">
        <v>950</v>
      </c>
      <c r="D13423" s="43" t="s">
        <v>1009</v>
      </c>
      <c r="E13423" s="43" t="s">
        <v>971</v>
      </c>
      <c r="F13423" s="43" t="s">
        <v>958</v>
      </c>
      <c r="G13423" s="43">
        <v>6077777</v>
      </c>
      <c r="H13423" s="43">
        <v>501100</v>
      </c>
      <c r="I13423" s="43" t="s">
        <v>949</v>
      </c>
      <c r="J13423" s="44" t="s">
        <v>1000</v>
      </c>
    </row>
    <row r="13424" ht="22" customHeight="1" spans="1:10" x14ac:dyDescent="0.25">
      <c r="A13424" s="43">
        <v>3130</v>
      </c>
      <c r="B13424" s="43">
        <v>60</v>
      </c>
      <c r="C13424" s="43" t="s">
        <v>950</v>
      </c>
      <c r="D13424" s="43" t="s">
        <v>1009</v>
      </c>
      <c r="E13424" s="43" t="s">
        <v>971</v>
      </c>
      <c r="F13424" s="43" t="s">
        <v>959</v>
      </c>
      <c r="G13424" s="43">
        <v>6077777</v>
      </c>
      <c r="H13424" s="43">
        <v>501100</v>
      </c>
      <c r="I13424" s="43" t="s">
        <v>949</v>
      </c>
      <c r="J13424" s="44" t="s">
        <v>1000</v>
      </c>
    </row>
    <row r="13425" ht="22" customHeight="1" spans="1:10" x14ac:dyDescent="0.25">
      <c r="A13425" s="43">
        <v>3130</v>
      </c>
      <c r="B13425" s="43">
        <v>60</v>
      </c>
      <c r="C13425" s="43" t="s">
        <v>950</v>
      </c>
      <c r="D13425" s="43" t="s">
        <v>1009</v>
      </c>
      <c r="E13425" s="43" t="s">
        <v>971</v>
      </c>
      <c r="F13425" s="43" t="s">
        <v>960</v>
      </c>
      <c r="G13425" s="43">
        <v>6077777</v>
      </c>
      <c r="H13425" s="43">
        <v>501100</v>
      </c>
      <c r="I13425" s="43" t="s">
        <v>949</v>
      </c>
      <c r="J13425" s="44" t="s">
        <v>1000</v>
      </c>
    </row>
    <row r="13426" ht="22" customHeight="1" spans="1:10" x14ac:dyDescent="0.25">
      <c r="A13426" s="43">
        <v>3130</v>
      </c>
      <c r="B13426" s="43">
        <v>60</v>
      </c>
      <c r="C13426" s="43" t="s">
        <v>950</v>
      </c>
      <c r="D13426" s="43" t="s">
        <v>1009</v>
      </c>
      <c r="E13426" s="43" t="s">
        <v>971</v>
      </c>
      <c r="F13426" s="43" t="s">
        <v>961</v>
      </c>
      <c r="G13426" s="43">
        <v>6077777</v>
      </c>
      <c r="H13426" s="43">
        <v>501100</v>
      </c>
      <c r="I13426" s="43" t="s">
        <v>949</v>
      </c>
      <c r="J13426" s="44" t="s">
        <v>1000</v>
      </c>
    </row>
    <row r="13427" ht="22" customHeight="1" spans="1:10" x14ac:dyDescent="0.25">
      <c r="A13427" s="43">
        <v>3130</v>
      </c>
      <c r="B13427" s="43">
        <v>60</v>
      </c>
      <c r="C13427" s="43" t="s">
        <v>962</v>
      </c>
      <c r="D13427" s="43" t="s">
        <v>1009</v>
      </c>
      <c r="E13427" s="43" t="s">
        <v>971</v>
      </c>
      <c r="F13427" s="43" t="s">
        <v>951</v>
      </c>
      <c r="G13427" s="43">
        <v>6077777</v>
      </c>
      <c r="H13427" s="43">
        <v>501100</v>
      </c>
      <c r="I13427" s="43" t="s">
        <v>949</v>
      </c>
      <c r="J13427" s="44" t="s">
        <v>1000</v>
      </c>
    </row>
    <row r="13428" ht="22" customHeight="1" spans="1:10" x14ac:dyDescent="0.25">
      <c r="A13428" s="43">
        <v>3130</v>
      </c>
      <c r="B13428" s="43">
        <v>60</v>
      </c>
      <c r="C13428" s="43" t="s">
        <v>962</v>
      </c>
      <c r="D13428" s="43" t="s">
        <v>1009</v>
      </c>
      <c r="E13428" s="43" t="s">
        <v>971</v>
      </c>
      <c r="F13428" s="43" t="s">
        <v>952</v>
      </c>
      <c r="G13428" s="43">
        <v>6077777</v>
      </c>
      <c r="H13428" s="43">
        <v>501100</v>
      </c>
      <c r="I13428" s="43" t="s">
        <v>949</v>
      </c>
      <c r="J13428" s="44" t="s">
        <v>1000</v>
      </c>
    </row>
    <row r="13429" ht="22" customHeight="1" spans="1:10" x14ac:dyDescent="0.25">
      <c r="A13429" s="43">
        <v>3130</v>
      </c>
      <c r="B13429" s="43">
        <v>60</v>
      </c>
      <c r="C13429" s="43" t="s">
        <v>962</v>
      </c>
      <c r="D13429" s="43" t="s">
        <v>1009</v>
      </c>
      <c r="E13429" s="43" t="s">
        <v>971</v>
      </c>
      <c r="F13429" s="43" t="s">
        <v>953</v>
      </c>
      <c r="G13429" s="43">
        <v>6077777</v>
      </c>
      <c r="H13429" s="43">
        <v>501100</v>
      </c>
      <c r="I13429" s="43" t="s">
        <v>949</v>
      </c>
      <c r="J13429" s="44" t="s">
        <v>1000</v>
      </c>
    </row>
    <row r="13430" ht="22" customHeight="1" spans="1:10" x14ac:dyDescent="0.25">
      <c r="A13430" s="43">
        <v>3130</v>
      </c>
      <c r="B13430" s="43">
        <v>60</v>
      </c>
      <c r="C13430" s="43" t="s">
        <v>962</v>
      </c>
      <c r="D13430" s="43" t="s">
        <v>1009</v>
      </c>
      <c r="E13430" s="43" t="s">
        <v>971</v>
      </c>
      <c r="F13430" s="43" t="s">
        <v>954</v>
      </c>
      <c r="G13430" s="43">
        <v>6077777</v>
      </c>
      <c r="H13430" s="43">
        <v>501100</v>
      </c>
      <c r="I13430" s="43" t="s">
        <v>949</v>
      </c>
      <c r="J13430" s="44" t="s">
        <v>1000</v>
      </c>
    </row>
    <row r="13431" ht="22" customHeight="1" spans="1:10" x14ac:dyDescent="0.25">
      <c r="A13431" s="43">
        <v>3130</v>
      </c>
      <c r="B13431" s="43">
        <v>60</v>
      </c>
      <c r="C13431" s="43" t="s">
        <v>962</v>
      </c>
      <c r="D13431" s="43" t="s">
        <v>1009</v>
      </c>
      <c r="E13431" s="43" t="s">
        <v>971</v>
      </c>
      <c r="F13431" s="43" t="s">
        <v>955</v>
      </c>
      <c r="G13431" s="43">
        <v>6077777</v>
      </c>
      <c r="H13431" s="43">
        <v>501100</v>
      </c>
      <c r="I13431" s="43" t="s">
        <v>949</v>
      </c>
      <c r="J13431" s="44" t="s">
        <v>1000</v>
      </c>
    </row>
    <row r="13432" ht="22" customHeight="1" spans="1:10" x14ac:dyDescent="0.25">
      <c r="A13432" s="43">
        <v>3130</v>
      </c>
      <c r="B13432" s="43">
        <v>60</v>
      </c>
      <c r="C13432" s="43" t="s">
        <v>962</v>
      </c>
      <c r="D13432" s="43" t="s">
        <v>1009</v>
      </c>
      <c r="E13432" s="43" t="s">
        <v>971</v>
      </c>
      <c r="F13432" s="43" t="s">
        <v>956</v>
      </c>
      <c r="G13432" s="43">
        <v>6077777</v>
      </c>
      <c r="H13432" s="43">
        <v>501100</v>
      </c>
      <c r="I13432" s="43" t="s">
        <v>949</v>
      </c>
      <c r="J13432" s="44" t="s">
        <v>1000</v>
      </c>
    </row>
    <row r="13433" ht="22" customHeight="1" spans="1:10" x14ac:dyDescent="0.25">
      <c r="A13433" s="43">
        <v>3130</v>
      </c>
      <c r="B13433" s="43">
        <v>60</v>
      </c>
      <c r="C13433" s="43" t="s">
        <v>962</v>
      </c>
      <c r="D13433" s="43" t="s">
        <v>1009</v>
      </c>
      <c r="E13433" s="43" t="s">
        <v>971</v>
      </c>
      <c r="F13433" s="43" t="s">
        <v>957</v>
      </c>
      <c r="G13433" s="43">
        <v>6077777</v>
      </c>
      <c r="H13433" s="43">
        <v>501100</v>
      </c>
      <c r="I13433" s="43" t="s">
        <v>949</v>
      </c>
      <c r="J13433" s="44" t="s">
        <v>1000</v>
      </c>
    </row>
    <row r="13434" ht="22" customHeight="1" spans="1:10" x14ac:dyDescent="0.25">
      <c r="A13434" s="43">
        <v>3130</v>
      </c>
      <c r="B13434" s="43">
        <v>60</v>
      </c>
      <c r="C13434" s="43" t="s">
        <v>962</v>
      </c>
      <c r="D13434" s="43" t="s">
        <v>1009</v>
      </c>
      <c r="E13434" s="43" t="s">
        <v>971</v>
      </c>
      <c r="F13434" s="43" t="s">
        <v>958</v>
      </c>
      <c r="G13434" s="43">
        <v>6077777</v>
      </c>
      <c r="H13434" s="43">
        <v>501100</v>
      </c>
      <c r="I13434" s="43" t="s">
        <v>949</v>
      </c>
      <c r="J13434" s="44" t="s">
        <v>1000</v>
      </c>
    </row>
    <row r="13435" ht="22" customHeight="1" spans="1:10" x14ac:dyDescent="0.25">
      <c r="A13435" s="43">
        <v>3130</v>
      </c>
      <c r="B13435" s="43">
        <v>60</v>
      </c>
      <c r="C13435" s="43" t="s">
        <v>962</v>
      </c>
      <c r="D13435" s="43" t="s">
        <v>1009</v>
      </c>
      <c r="E13435" s="43" t="s">
        <v>971</v>
      </c>
      <c r="F13435" s="43" t="s">
        <v>959</v>
      </c>
      <c r="G13435" s="43">
        <v>6077777</v>
      </c>
      <c r="H13435" s="43">
        <v>501100</v>
      </c>
      <c r="I13435" s="43" t="s">
        <v>949</v>
      </c>
      <c r="J13435" s="44" t="s">
        <v>1000</v>
      </c>
    </row>
    <row r="13436" ht="22" customHeight="1" spans="1:10" x14ac:dyDescent="0.25">
      <c r="A13436" s="43">
        <v>3130</v>
      </c>
      <c r="B13436" s="43">
        <v>60</v>
      </c>
      <c r="C13436" s="43" t="s">
        <v>962</v>
      </c>
      <c r="D13436" s="43" t="s">
        <v>1009</v>
      </c>
      <c r="E13436" s="43" t="s">
        <v>971</v>
      </c>
      <c r="F13436" s="43" t="s">
        <v>960</v>
      </c>
      <c r="G13436" s="43">
        <v>6077777</v>
      </c>
      <c r="H13436" s="43">
        <v>501100</v>
      </c>
      <c r="I13436" s="43" t="s">
        <v>949</v>
      </c>
      <c r="J13436" s="44" t="s">
        <v>1000</v>
      </c>
    </row>
    <row r="13437" ht="22" customHeight="1" spans="1:10" x14ac:dyDescent="0.25">
      <c r="A13437" s="43">
        <v>3130</v>
      </c>
      <c r="B13437" s="43">
        <v>60</v>
      </c>
      <c r="C13437" s="43" t="s">
        <v>962</v>
      </c>
      <c r="D13437" s="43" t="s">
        <v>1009</v>
      </c>
      <c r="E13437" s="43" t="s">
        <v>971</v>
      </c>
      <c r="F13437" s="43" t="s">
        <v>961</v>
      </c>
      <c r="G13437" s="43">
        <v>6077777</v>
      </c>
      <c r="H13437" s="43">
        <v>501100</v>
      </c>
      <c r="I13437" s="43" t="s">
        <v>949</v>
      </c>
      <c r="J13437" s="44" t="s">
        <v>1000</v>
      </c>
    </row>
    <row r="13438" ht="22" customHeight="1" spans="1:10" x14ac:dyDescent="0.25">
      <c r="A13438" s="43">
        <v>3130</v>
      </c>
      <c r="B13438" s="43">
        <v>60</v>
      </c>
      <c r="C13438" s="43" t="s">
        <v>963</v>
      </c>
      <c r="D13438" s="43" t="s">
        <v>1009</v>
      </c>
      <c r="E13438" s="43" t="s">
        <v>971</v>
      </c>
      <c r="F13438" s="43" t="s">
        <v>951</v>
      </c>
      <c r="G13438" s="43">
        <v>6077777</v>
      </c>
      <c r="H13438" s="43">
        <v>501100</v>
      </c>
      <c r="I13438" s="43" t="s">
        <v>949</v>
      </c>
      <c r="J13438" s="44" t="s">
        <v>1000</v>
      </c>
    </row>
    <row r="13439" ht="22" customHeight="1" spans="1:10" x14ac:dyDescent="0.25">
      <c r="A13439" s="43">
        <v>3130</v>
      </c>
      <c r="B13439" s="43">
        <v>60</v>
      </c>
      <c r="C13439" s="43" t="s">
        <v>963</v>
      </c>
      <c r="D13439" s="43" t="s">
        <v>1009</v>
      </c>
      <c r="E13439" s="43" t="s">
        <v>971</v>
      </c>
      <c r="F13439" s="43" t="s">
        <v>952</v>
      </c>
      <c r="G13439" s="43">
        <v>6077777</v>
      </c>
      <c r="H13439" s="43">
        <v>501100</v>
      </c>
      <c r="I13439" s="43" t="s">
        <v>949</v>
      </c>
      <c r="J13439" s="44" t="s">
        <v>1000</v>
      </c>
    </row>
    <row r="13440" ht="22" customHeight="1" spans="1:10" x14ac:dyDescent="0.25">
      <c r="A13440" s="43">
        <v>3130</v>
      </c>
      <c r="B13440" s="43">
        <v>60</v>
      </c>
      <c r="C13440" s="43" t="s">
        <v>963</v>
      </c>
      <c r="D13440" s="43" t="s">
        <v>1009</v>
      </c>
      <c r="E13440" s="43" t="s">
        <v>971</v>
      </c>
      <c r="F13440" s="43" t="s">
        <v>953</v>
      </c>
      <c r="G13440" s="43">
        <v>6077777</v>
      </c>
      <c r="H13440" s="43">
        <v>501100</v>
      </c>
      <c r="I13440" s="43" t="s">
        <v>949</v>
      </c>
      <c r="J13440" s="44" t="s">
        <v>1000</v>
      </c>
    </row>
    <row r="13441" ht="22" customHeight="1" spans="1:10" x14ac:dyDescent="0.25">
      <c r="A13441" s="43">
        <v>3130</v>
      </c>
      <c r="B13441" s="43">
        <v>60</v>
      </c>
      <c r="C13441" s="43" t="s">
        <v>963</v>
      </c>
      <c r="D13441" s="43" t="s">
        <v>1009</v>
      </c>
      <c r="E13441" s="43" t="s">
        <v>971</v>
      </c>
      <c r="F13441" s="43" t="s">
        <v>954</v>
      </c>
      <c r="G13441" s="43">
        <v>6077777</v>
      </c>
      <c r="H13441" s="43">
        <v>501100</v>
      </c>
      <c r="I13441" s="43" t="s">
        <v>949</v>
      </c>
      <c r="J13441" s="44" t="s">
        <v>1000</v>
      </c>
    </row>
    <row r="13442" ht="22" customHeight="1" spans="1:10" x14ac:dyDescent="0.25">
      <c r="A13442" s="43">
        <v>3130</v>
      </c>
      <c r="B13442" s="43">
        <v>60</v>
      </c>
      <c r="C13442" s="43" t="s">
        <v>963</v>
      </c>
      <c r="D13442" s="43" t="s">
        <v>1009</v>
      </c>
      <c r="E13442" s="43" t="s">
        <v>971</v>
      </c>
      <c r="F13442" s="43" t="s">
        <v>955</v>
      </c>
      <c r="G13442" s="43">
        <v>6077777</v>
      </c>
      <c r="H13442" s="43">
        <v>501100</v>
      </c>
      <c r="I13442" s="43" t="s">
        <v>949</v>
      </c>
      <c r="J13442" s="44" t="s">
        <v>1000</v>
      </c>
    </row>
    <row r="13443" ht="22" customHeight="1" spans="1:10" x14ac:dyDescent="0.25">
      <c r="A13443" s="43">
        <v>3130</v>
      </c>
      <c r="B13443" s="43">
        <v>60</v>
      </c>
      <c r="C13443" s="43" t="s">
        <v>963</v>
      </c>
      <c r="D13443" s="43" t="s">
        <v>1009</v>
      </c>
      <c r="E13443" s="43" t="s">
        <v>971</v>
      </c>
      <c r="F13443" s="43" t="s">
        <v>956</v>
      </c>
      <c r="G13443" s="43">
        <v>6077777</v>
      </c>
      <c r="H13443" s="43">
        <v>501100</v>
      </c>
      <c r="I13443" s="43" t="s">
        <v>949</v>
      </c>
      <c r="J13443" s="44" t="s">
        <v>1000</v>
      </c>
    </row>
    <row r="13444" ht="22" customHeight="1" spans="1:10" x14ac:dyDescent="0.25">
      <c r="A13444" s="43">
        <v>3130</v>
      </c>
      <c r="B13444" s="43">
        <v>60</v>
      </c>
      <c r="C13444" s="43" t="s">
        <v>963</v>
      </c>
      <c r="D13444" s="43" t="s">
        <v>1009</v>
      </c>
      <c r="E13444" s="43" t="s">
        <v>971</v>
      </c>
      <c r="F13444" s="43" t="s">
        <v>957</v>
      </c>
      <c r="G13444" s="43">
        <v>6077777</v>
      </c>
      <c r="H13444" s="43">
        <v>501100</v>
      </c>
      <c r="I13444" s="43" t="s">
        <v>949</v>
      </c>
      <c r="J13444" s="44" t="s">
        <v>1000</v>
      </c>
    </row>
    <row r="13445" ht="22" customHeight="1" spans="1:10" x14ac:dyDescent="0.25">
      <c r="A13445" s="43">
        <v>3130</v>
      </c>
      <c r="B13445" s="43">
        <v>60</v>
      </c>
      <c r="C13445" s="43" t="s">
        <v>963</v>
      </c>
      <c r="D13445" s="43" t="s">
        <v>1009</v>
      </c>
      <c r="E13445" s="43" t="s">
        <v>971</v>
      </c>
      <c r="F13445" s="43" t="s">
        <v>958</v>
      </c>
      <c r="G13445" s="43">
        <v>6077777</v>
      </c>
      <c r="H13445" s="43">
        <v>501100</v>
      </c>
      <c r="I13445" s="43" t="s">
        <v>949</v>
      </c>
      <c r="J13445" s="44" t="s">
        <v>1000</v>
      </c>
    </row>
    <row r="13446" ht="22" customHeight="1" spans="1:10" x14ac:dyDescent="0.25">
      <c r="A13446" s="43">
        <v>3130</v>
      </c>
      <c r="B13446" s="43">
        <v>60</v>
      </c>
      <c r="C13446" s="43" t="s">
        <v>963</v>
      </c>
      <c r="D13446" s="43" t="s">
        <v>1009</v>
      </c>
      <c r="E13446" s="43" t="s">
        <v>971</v>
      </c>
      <c r="F13446" s="43" t="s">
        <v>959</v>
      </c>
      <c r="G13446" s="43">
        <v>6077777</v>
      </c>
      <c r="H13446" s="43">
        <v>501100</v>
      </c>
      <c r="I13446" s="43" t="s">
        <v>949</v>
      </c>
      <c r="J13446" s="44" t="s">
        <v>1000</v>
      </c>
    </row>
    <row r="13447" ht="22" customHeight="1" spans="1:10" x14ac:dyDescent="0.25">
      <c r="A13447" s="43">
        <v>3130</v>
      </c>
      <c r="B13447" s="43">
        <v>60</v>
      </c>
      <c r="C13447" s="43" t="s">
        <v>963</v>
      </c>
      <c r="D13447" s="43" t="s">
        <v>1009</v>
      </c>
      <c r="E13447" s="43" t="s">
        <v>971</v>
      </c>
      <c r="F13447" s="43" t="s">
        <v>960</v>
      </c>
      <c r="G13447" s="43">
        <v>6077777</v>
      </c>
      <c r="H13447" s="43">
        <v>501100</v>
      </c>
      <c r="I13447" s="43" t="s">
        <v>949</v>
      </c>
      <c r="J13447" s="44" t="s">
        <v>1000</v>
      </c>
    </row>
    <row r="13448" ht="22" customHeight="1" spans="1:10" x14ac:dyDescent="0.25">
      <c r="A13448" s="43">
        <v>3130</v>
      </c>
      <c r="B13448" s="43">
        <v>60</v>
      </c>
      <c r="C13448" s="43" t="s">
        <v>963</v>
      </c>
      <c r="D13448" s="43" t="s">
        <v>1009</v>
      </c>
      <c r="E13448" s="43" t="s">
        <v>971</v>
      </c>
      <c r="F13448" s="43" t="s">
        <v>961</v>
      </c>
      <c r="G13448" s="43">
        <v>6077777</v>
      </c>
      <c r="H13448" s="43">
        <v>501100</v>
      </c>
      <c r="I13448" s="43" t="s">
        <v>949</v>
      </c>
      <c r="J13448" s="44" t="s">
        <v>1000</v>
      </c>
    </row>
    <row r="13449" spans="1:9" x14ac:dyDescent="0.25">
      <c r="A13449">
        <v>4122</v>
      </c>
      <c r="B13449">
        <v>60</v>
      </c>
      <c r="C13449" t="s">
        <v>946</v>
      </c>
      <c r="D13449" t="s">
        <v>1009</v>
      </c>
      <c r="E13449" t="s">
        <v>971</v>
      </c>
      <c r="F13449" t="s">
        <v>948</v>
      </c>
      <c r="G13449">
        <v>6000000</v>
      </c>
      <c r="H13449">
        <v>141000</v>
      </c>
      <c r="I13449" t="s">
        <v>972</v>
      </c>
    </row>
    <row r="13450" spans="1:9" x14ac:dyDescent="0.25">
      <c r="A13450">
        <v>4124</v>
      </c>
      <c r="B13450">
        <v>60</v>
      </c>
      <c r="C13450" t="s">
        <v>946</v>
      </c>
      <c r="D13450" t="s">
        <v>1009</v>
      </c>
      <c r="E13450" t="s">
        <v>971</v>
      </c>
      <c r="F13450" t="s">
        <v>948</v>
      </c>
      <c r="G13450">
        <v>6077777</v>
      </c>
      <c r="H13450">
        <v>501100</v>
      </c>
      <c r="I13450" t="s">
        <v>949</v>
      </c>
    </row>
    <row r="13451" ht="22" customHeight="1" spans="1:10" x14ac:dyDescent="0.25">
      <c r="A13451" s="43">
        <v>3130</v>
      </c>
      <c r="B13451" s="43">
        <v>60</v>
      </c>
      <c r="C13451" s="43" t="s">
        <v>950</v>
      </c>
      <c r="D13451" s="43" t="s">
        <v>1009</v>
      </c>
      <c r="E13451" s="43" t="s">
        <v>263</v>
      </c>
      <c r="F13451" s="43" t="s">
        <v>951</v>
      </c>
      <c r="G13451" s="43">
        <v>6077777</v>
      </c>
      <c r="H13451" s="43">
        <v>501100</v>
      </c>
      <c r="I13451" s="43" t="s">
        <v>949</v>
      </c>
      <c r="J13451" s="44" t="s">
        <v>1000</v>
      </c>
    </row>
    <row r="13452" ht="22" customHeight="1" spans="1:10" x14ac:dyDescent="0.25">
      <c r="A13452" s="43">
        <v>3130</v>
      </c>
      <c r="B13452" s="43">
        <v>60</v>
      </c>
      <c r="C13452" s="43" t="s">
        <v>950</v>
      </c>
      <c r="D13452" s="43" t="s">
        <v>1009</v>
      </c>
      <c r="E13452" s="43" t="s">
        <v>263</v>
      </c>
      <c r="F13452" s="43" t="s">
        <v>952</v>
      </c>
      <c r="G13452" s="43">
        <v>6077777</v>
      </c>
      <c r="H13452" s="43">
        <v>501100</v>
      </c>
      <c r="I13452" s="43" t="s">
        <v>949</v>
      </c>
      <c r="J13452" s="44" t="s">
        <v>1000</v>
      </c>
    </row>
    <row r="13453" ht="22" customHeight="1" spans="1:10" x14ac:dyDescent="0.25">
      <c r="A13453" s="43">
        <v>3130</v>
      </c>
      <c r="B13453" s="43">
        <v>60</v>
      </c>
      <c r="C13453" s="43" t="s">
        <v>950</v>
      </c>
      <c r="D13453" s="43" t="s">
        <v>1009</v>
      </c>
      <c r="E13453" s="43" t="s">
        <v>263</v>
      </c>
      <c r="F13453" s="43" t="s">
        <v>953</v>
      </c>
      <c r="G13453" s="43">
        <v>6077777</v>
      </c>
      <c r="H13453" s="43">
        <v>501100</v>
      </c>
      <c r="I13453" s="43" t="s">
        <v>949</v>
      </c>
      <c r="J13453" s="44" t="s">
        <v>1000</v>
      </c>
    </row>
    <row r="13454" ht="22" customHeight="1" spans="1:10" x14ac:dyDescent="0.25">
      <c r="A13454" s="43">
        <v>3130</v>
      </c>
      <c r="B13454" s="43">
        <v>60</v>
      </c>
      <c r="C13454" s="43" t="s">
        <v>950</v>
      </c>
      <c r="D13454" s="43" t="s">
        <v>1009</v>
      </c>
      <c r="E13454" s="43" t="s">
        <v>263</v>
      </c>
      <c r="F13454" s="43" t="s">
        <v>954</v>
      </c>
      <c r="G13454" s="43">
        <v>6077777</v>
      </c>
      <c r="H13454" s="43">
        <v>501100</v>
      </c>
      <c r="I13454" s="43" t="s">
        <v>949</v>
      </c>
      <c r="J13454" s="44" t="s">
        <v>1000</v>
      </c>
    </row>
    <row r="13455" ht="22" customHeight="1" spans="1:10" x14ac:dyDescent="0.25">
      <c r="A13455" s="43">
        <v>3130</v>
      </c>
      <c r="B13455" s="43">
        <v>60</v>
      </c>
      <c r="C13455" s="43" t="s">
        <v>950</v>
      </c>
      <c r="D13455" s="43" t="s">
        <v>1009</v>
      </c>
      <c r="E13455" s="43" t="s">
        <v>263</v>
      </c>
      <c r="F13455" s="43" t="s">
        <v>955</v>
      </c>
      <c r="G13455" s="43">
        <v>6077777</v>
      </c>
      <c r="H13455" s="43">
        <v>501100</v>
      </c>
      <c r="I13455" s="43" t="s">
        <v>949</v>
      </c>
      <c r="J13455" s="44" t="s">
        <v>1000</v>
      </c>
    </row>
    <row r="13456" ht="22" customHeight="1" spans="1:10" x14ac:dyDescent="0.25">
      <c r="A13456" s="43">
        <v>3130</v>
      </c>
      <c r="B13456" s="43">
        <v>60</v>
      </c>
      <c r="C13456" s="43" t="s">
        <v>950</v>
      </c>
      <c r="D13456" s="43" t="s">
        <v>1009</v>
      </c>
      <c r="E13456" s="43" t="s">
        <v>263</v>
      </c>
      <c r="F13456" s="43" t="s">
        <v>956</v>
      </c>
      <c r="G13456" s="43">
        <v>6077777</v>
      </c>
      <c r="H13456" s="43">
        <v>501100</v>
      </c>
      <c r="I13456" s="43" t="s">
        <v>949</v>
      </c>
      <c r="J13456" s="44" t="s">
        <v>1000</v>
      </c>
    </row>
    <row r="13457" ht="22" customHeight="1" spans="1:10" x14ac:dyDescent="0.25">
      <c r="A13457" s="43">
        <v>3130</v>
      </c>
      <c r="B13457" s="43">
        <v>60</v>
      </c>
      <c r="C13457" s="43" t="s">
        <v>950</v>
      </c>
      <c r="D13457" s="43" t="s">
        <v>1009</v>
      </c>
      <c r="E13457" s="43" t="s">
        <v>263</v>
      </c>
      <c r="F13457" s="43" t="s">
        <v>957</v>
      </c>
      <c r="G13457" s="43">
        <v>6077777</v>
      </c>
      <c r="H13457" s="43">
        <v>501100</v>
      </c>
      <c r="I13457" s="43" t="s">
        <v>949</v>
      </c>
      <c r="J13457" s="44" t="s">
        <v>1000</v>
      </c>
    </row>
    <row r="13458" ht="22" customHeight="1" spans="1:10" x14ac:dyDescent="0.25">
      <c r="A13458" s="43">
        <v>3130</v>
      </c>
      <c r="B13458" s="43">
        <v>60</v>
      </c>
      <c r="C13458" s="43" t="s">
        <v>950</v>
      </c>
      <c r="D13458" s="43" t="s">
        <v>1009</v>
      </c>
      <c r="E13458" s="43" t="s">
        <v>263</v>
      </c>
      <c r="F13458" s="43" t="s">
        <v>958</v>
      </c>
      <c r="G13458" s="43">
        <v>6077777</v>
      </c>
      <c r="H13458" s="43">
        <v>501100</v>
      </c>
      <c r="I13458" s="43" t="s">
        <v>949</v>
      </c>
      <c r="J13458" s="44" t="s">
        <v>1000</v>
      </c>
    </row>
    <row r="13459" ht="22" customHeight="1" spans="1:10" x14ac:dyDescent="0.25">
      <c r="A13459" s="43">
        <v>3130</v>
      </c>
      <c r="B13459" s="43">
        <v>60</v>
      </c>
      <c r="C13459" s="43" t="s">
        <v>950</v>
      </c>
      <c r="D13459" s="43" t="s">
        <v>1009</v>
      </c>
      <c r="E13459" s="43" t="s">
        <v>263</v>
      </c>
      <c r="F13459" s="43" t="s">
        <v>959</v>
      </c>
      <c r="G13459" s="43">
        <v>6077777</v>
      </c>
      <c r="H13459" s="43">
        <v>501100</v>
      </c>
      <c r="I13459" s="43" t="s">
        <v>949</v>
      </c>
      <c r="J13459" s="44" t="s">
        <v>1000</v>
      </c>
    </row>
    <row r="13460" ht="22" customHeight="1" spans="1:10" x14ac:dyDescent="0.25">
      <c r="A13460" s="43">
        <v>3130</v>
      </c>
      <c r="B13460" s="43">
        <v>60</v>
      </c>
      <c r="C13460" s="43" t="s">
        <v>950</v>
      </c>
      <c r="D13460" s="43" t="s">
        <v>1009</v>
      </c>
      <c r="E13460" s="43" t="s">
        <v>263</v>
      </c>
      <c r="F13460" s="43" t="s">
        <v>960</v>
      </c>
      <c r="G13460" s="43">
        <v>6077777</v>
      </c>
      <c r="H13460" s="43">
        <v>501100</v>
      </c>
      <c r="I13460" s="43" t="s">
        <v>949</v>
      </c>
      <c r="J13460" s="44" t="s">
        <v>1000</v>
      </c>
    </row>
    <row r="13461" ht="22" customHeight="1" spans="1:10" x14ac:dyDescent="0.25">
      <c r="A13461" s="43">
        <v>3130</v>
      </c>
      <c r="B13461" s="43">
        <v>60</v>
      </c>
      <c r="C13461" s="43" t="s">
        <v>950</v>
      </c>
      <c r="D13461" s="43" t="s">
        <v>1009</v>
      </c>
      <c r="E13461" s="43" t="s">
        <v>263</v>
      </c>
      <c r="F13461" s="43" t="s">
        <v>961</v>
      </c>
      <c r="G13461" s="43">
        <v>6077777</v>
      </c>
      <c r="H13461" s="43">
        <v>501100</v>
      </c>
      <c r="I13461" s="43" t="s">
        <v>949</v>
      </c>
      <c r="J13461" s="44" t="s">
        <v>1000</v>
      </c>
    </row>
    <row r="13462" ht="22" customHeight="1" spans="1:10" x14ac:dyDescent="0.25">
      <c r="A13462" s="43">
        <v>3130</v>
      </c>
      <c r="B13462" s="43">
        <v>60</v>
      </c>
      <c r="C13462" s="43" t="s">
        <v>962</v>
      </c>
      <c r="D13462" s="43" t="s">
        <v>1009</v>
      </c>
      <c r="E13462" s="43" t="s">
        <v>263</v>
      </c>
      <c r="F13462" s="43" t="s">
        <v>951</v>
      </c>
      <c r="G13462" s="43">
        <v>6077777</v>
      </c>
      <c r="H13462" s="43">
        <v>501100</v>
      </c>
      <c r="I13462" s="43" t="s">
        <v>949</v>
      </c>
      <c r="J13462" s="44" t="s">
        <v>1000</v>
      </c>
    </row>
    <row r="13463" ht="22" customHeight="1" spans="1:10" x14ac:dyDescent="0.25">
      <c r="A13463" s="43">
        <v>3130</v>
      </c>
      <c r="B13463" s="43">
        <v>60</v>
      </c>
      <c r="C13463" s="43" t="s">
        <v>962</v>
      </c>
      <c r="D13463" s="43" t="s">
        <v>1009</v>
      </c>
      <c r="E13463" s="43" t="s">
        <v>263</v>
      </c>
      <c r="F13463" s="43" t="s">
        <v>952</v>
      </c>
      <c r="G13463" s="43">
        <v>6077777</v>
      </c>
      <c r="H13463" s="43">
        <v>501100</v>
      </c>
      <c r="I13463" s="43" t="s">
        <v>949</v>
      </c>
      <c r="J13463" s="44" t="s">
        <v>1000</v>
      </c>
    </row>
    <row r="13464" ht="22" customHeight="1" spans="1:10" x14ac:dyDescent="0.25">
      <c r="A13464" s="43">
        <v>3130</v>
      </c>
      <c r="B13464" s="43">
        <v>60</v>
      </c>
      <c r="C13464" s="43" t="s">
        <v>962</v>
      </c>
      <c r="D13464" s="43" t="s">
        <v>1009</v>
      </c>
      <c r="E13464" s="43" t="s">
        <v>263</v>
      </c>
      <c r="F13464" s="43" t="s">
        <v>953</v>
      </c>
      <c r="G13464" s="43">
        <v>6077777</v>
      </c>
      <c r="H13464" s="43">
        <v>501100</v>
      </c>
      <c r="I13464" s="43" t="s">
        <v>949</v>
      </c>
      <c r="J13464" s="44" t="s">
        <v>1000</v>
      </c>
    </row>
    <row r="13465" ht="22" customHeight="1" spans="1:10" x14ac:dyDescent="0.25">
      <c r="A13465" s="43">
        <v>3130</v>
      </c>
      <c r="B13465" s="43">
        <v>60</v>
      </c>
      <c r="C13465" s="43" t="s">
        <v>962</v>
      </c>
      <c r="D13465" s="43" t="s">
        <v>1009</v>
      </c>
      <c r="E13465" s="43" t="s">
        <v>263</v>
      </c>
      <c r="F13465" s="43" t="s">
        <v>954</v>
      </c>
      <c r="G13465" s="43">
        <v>6077777</v>
      </c>
      <c r="H13465" s="43">
        <v>501100</v>
      </c>
      <c r="I13465" s="43" t="s">
        <v>949</v>
      </c>
      <c r="J13465" s="44" t="s">
        <v>1000</v>
      </c>
    </row>
    <row r="13466" ht="22" customHeight="1" spans="1:10" x14ac:dyDescent="0.25">
      <c r="A13466" s="43">
        <v>3130</v>
      </c>
      <c r="B13466" s="43">
        <v>60</v>
      </c>
      <c r="C13466" s="43" t="s">
        <v>962</v>
      </c>
      <c r="D13466" s="43" t="s">
        <v>1009</v>
      </c>
      <c r="E13466" s="43" t="s">
        <v>263</v>
      </c>
      <c r="F13466" s="43" t="s">
        <v>955</v>
      </c>
      <c r="G13466" s="43">
        <v>6077777</v>
      </c>
      <c r="H13466" s="43">
        <v>501100</v>
      </c>
      <c r="I13466" s="43" t="s">
        <v>949</v>
      </c>
      <c r="J13466" s="44" t="s">
        <v>1000</v>
      </c>
    </row>
    <row r="13467" ht="22" customHeight="1" spans="1:10" x14ac:dyDescent="0.25">
      <c r="A13467" s="43">
        <v>3130</v>
      </c>
      <c r="B13467" s="43">
        <v>60</v>
      </c>
      <c r="C13467" s="43" t="s">
        <v>962</v>
      </c>
      <c r="D13467" s="43" t="s">
        <v>1009</v>
      </c>
      <c r="E13467" s="43" t="s">
        <v>263</v>
      </c>
      <c r="F13467" s="43" t="s">
        <v>956</v>
      </c>
      <c r="G13467" s="43">
        <v>6077777</v>
      </c>
      <c r="H13467" s="43">
        <v>501100</v>
      </c>
      <c r="I13467" s="43" t="s">
        <v>949</v>
      </c>
      <c r="J13467" s="44" t="s">
        <v>1000</v>
      </c>
    </row>
    <row r="13468" ht="22" customHeight="1" spans="1:10" x14ac:dyDescent="0.25">
      <c r="A13468" s="43">
        <v>3130</v>
      </c>
      <c r="B13468" s="43">
        <v>60</v>
      </c>
      <c r="C13468" s="43" t="s">
        <v>962</v>
      </c>
      <c r="D13468" s="43" t="s">
        <v>1009</v>
      </c>
      <c r="E13468" s="43" t="s">
        <v>263</v>
      </c>
      <c r="F13468" s="43" t="s">
        <v>957</v>
      </c>
      <c r="G13468" s="43">
        <v>6077777</v>
      </c>
      <c r="H13468" s="43">
        <v>501100</v>
      </c>
      <c r="I13468" s="43" t="s">
        <v>949</v>
      </c>
      <c r="J13468" s="44" t="s">
        <v>1000</v>
      </c>
    </row>
    <row r="13469" ht="22" customHeight="1" spans="1:10" x14ac:dyDescent="0.25">
      <c r="A13469" s="43">
        <v>3130</v>
      </c>
      <c r="B13469" s="43">
        <v>60</v>
      </c>
      <c r="C13469" s="43" t="s">
        <v>962</v>
      </c>
      <c r="D13469" s="43" t="s">
        <v>1009</v>
      </c>
      <c r="E13469" s="43" t="s">
        <v>263</v>
      </c>
      <c r="F13469" s="43" t="s">
        <v>958</v>
      </c>
      <c r="G13469" s="43">
        <v>6077777</v>
      </c>
      <c r="H13469" s="43">
        <v>501100</v>
      </c>
      <c r="I13469" s="43" t="s">
        <v>949</v>
      </c>
      <c r="J13469" s="44" t="s">
        <v>1000</v>
      </c>
    </row>
    <row r="13470" ht="22" customHeight="1" spans="1:10" x14ac:dyDescent="0.25">
      <c r="A13470" s="43">
        <v>3130</v>
      </c>
      <c r="B13470" s="43">
        <v>60</v>
      </c>
      <c r="C13470" s="43" t="s">
        <v>962</v>
      </c>
      <c r="D13470" s="43" t="s">
        <v>1009</v>
      </c>
      <c r="E13470" s="43" t="s">
        <v>263</v>
      </c>
      <c r="F13470" s="43" t="s">
        <v>959</v>
      </c>
      <c r="G13470" s="43">
        <v>6077777</v>
      </c>
      <c r="H13470" s="43">
        <v>501100</v>
      </c>
      <c r="I13470" s="43" t="s">
        <v>949</v>
      </c>
      <c r="J13470" s="44" t="s">
        <v>1000</v>
      </c>
    </row>
    <row r="13471" ht="22" customHeight="1" spans="1:10" x14ac:dyDescent="0.25">
      <c r="A13471" s="43">
        <v>3130</v>
      </c>
      <c r="B13471" s="43">
        <v>60</v>
      </c>
      <c r="C13471" s="43" t="s">
        <v>962</v>
      </c>
      <c r="D13471" s="43" t="s">
        <v>1009</v>
      </c>
      <c r="E13471" s="43" t="s">
        <v>263</v>
      </c>
      <c r="F13471" s="43" t="s">
        <v>960</v>
      </c>
      <c r="G13471" s="43">
        <v>6077777</v>
      </c>
      <c r="H13471" s="43">
        <v>501100</v>
      </c>
      <c r="I13471" s="43" t="s">
        <v>949</v>
      </c>
      <c r="J13471" s="44" t="s">
        <v>1000</v>
      </c>
    </row>
    <row r="13472" ht="22" customHeight="1" spans="1:10" x14ac:dyDescent="0.25">
      <c r="A13472" s="43">
        <v>3130</v>
      </c>
      <c r="B13472" s="43">
        <v>60</v>
      </c>
      <c r="C13472" s="43" t="s">
        <v>962</v>
      </c>
      <c r="D13472" s="43" t="s">
        <v>1009</v>
      </c>
      <c r="E13472" s="43" t="s">
        <v>263</v>
      </c>
      <c r="F13472" s="43" t="s">
        <v>961</v>
      </c>
      <c r="G13472" s="43">
        <v>6077777</v>
      </c>
      <c r="H13472" s="43">
        <v>501100</v>
      </c>
      <c r="I13472" s="43" t="s">
        <v>949</v>
      </c>
      <c r="J13472" s="44" t="s">
        <v>1000</v>
      </c>
    </row>
    <row r="13473" ht="22" customHeight="1" spans="1:10" x14ac:dyDescent="0.25">
      <c r="A13473" s="43">
        <v>3130</v>
      </c>
      <c r="B13473" s="43">
        <v>60</v>
      </c>
      <c r="C13473" s="43" t="s">
        <v>963</v>
      </c>
      <c r="D13473" s="43" t="s">
        <v>1009</v>
      </c>
      <c r="E13473" s="43" t="s">
        <v>263</v>
      </c>
      <c r="F13473" s="43" t="s">
        <v>951</v>
      </c>
      <c r="G13473" s="43">
        <v>6077777</v>
      </c>
      <c r="H13473" s="43">
        <v>501100</v>
      </c>
      <c r="I13473" s="43" t="s">
        <v>949</v>
      </c>
      <c r="J13473" s="44" t="s">
        <v>1000</v>
      </c>
    </row>
    <row r="13474" ht="22" customHeight="1" spans="1:10" x14ac:dyDescent="0.25">
      <c r="A13474" s="43">
        <v>3130</v>
      </c>
      <c r="B13474" s="43">
        <v>60</v>
      </c>
      <c r="C13474" s="43" t="s">
        <v>963</v>
      </c>
      <c r="D13474" s="43" t="s">
        <v>1009</v>
      </c>
      <c r="E13474" s="43" t="s">
        <v>263</v>
      </c>
      <c r="F13474" s="43" t="s">
        <v>952</v>
      </c>
      <c r="G13474" s="43">
        <v>6077777</v>
      </c>
      <c r="H13474" s="43">
        <v>501100</v>
      </c>
      <c r="I13474" s="43" t="s">
        <v>949</v>
      </c>
      <c r="J13474" s="44" t="s">
        <v>1000</v>
      </c>
    </row>
    <row r="13475" ht="22" customHeight="1" spans="1:10" x14ac:dyDescent="0.25">
      <c r="A13475" s="43">
        <v>3130</v>
      </c>
      <c r="B13475" s="43">
        <v>60</v>
      </c>
      <c r="C13475" s="43" t="s">
        <v>963</v>
      </c>
      <c r="D13475" s="43" t="s">
        <v>1009</v>
      </c>
      <c r="E13475" s="43" t="s">
        <v>263</v>
      </c>
      <c r="F13475" s="43" t="s">
        <v>953</v>
      </c>
      <c r="G13475" s="43">
        <v>6077777</v>
      </c>
      <c r="H13475" s="43">
        <v>501100</v>
      </c>
      <c r="I13475" s="43" t="s">
        <v>949</v>
      </c>
      <c r="J13475" s="44" t="s">
        <v>1000</v>
      </c>
    </row>
    <row r="13476" ht="22" customHeight="1" spans="1:10" x14ac:dyDescent="0.25">
      <c r="A13476" s="43">
        <v>3130</v>
      </c>
      <c r="B13476" s="43">
        <v>60</v>
      </c>
      <c r="C13476" s="43" t="s">
        <v>963</v>
      </c>
      <c r="D13476" s="43" t="s">
        <v>1009</v>
      </c>
      <c r="E13476" s="43" t="s">
        <v>263</v>
      </c>
      <c r="F13476" s="43" t="s">
        <v>954</v>
      </c>
      <c r="G13476" s="43">
        <v>6077777</v>
      </c>
      <c r="H13476" s="43">
        <v>501100</v>
      </c>
      <c r="I13476" s="43" t="s">
        <v>949</v>
      </c>
      <c r="J13476" s="44" t="s">
        <v>1000</v>
      </c>
    </row>
    <row r="13477" ht="22" customHeight="1" spans="1:10" x14ac:dyDescent="0.25">
      <c r="A13477" s="43">
        <v>3130</v>
      </c>
      <c r="B13477" s="43">
        <v>60</v>
      </c>
      <c r="C13477" s="43" t="s">
        <v>963</v>
      </c>
      <c r="D13477" s="43" t="s">
        <v>1009</v>
      </c>
      <c r="E13477" s="43" t="s">
        <v>263</v>
      </c>
      <c r="F13477" s="43" t="s">
        <v>955</v>
      </c>
      <c r="G13477" s="43">
        <v>6077777</v>
      </c>
      <c r="H13477" s="43">
        <v>501100</v>
      </c>
      <c r="I13477" s="43" t="s">
        <v>949</v>
      </c>
      <c r="J13477" s="44" t="s">
        <v>1000</v>
      </c>
    </row>
    <row r="13478" ht="22" customHeight="1" spans="1:10" x14ac:dyDescent="0.25">
      <c r="A13478" s="43">
        <v>3130</v>
      </c>
      <c r="B13478" s="43">
        <v>60</v>
      </c>
      <c r="C13478" s="43" t="s">
        <v>963</v>
      </c>
      <c r="D13478" s="43" t="s">
        <v>1009</v>
      </c>
      <c r="E13478" s="43" t="s">
        <v>263</v>
      </c>
      <c r="F13478" s="43" t="s">
        <v>956</v>
      </c>
      <c r="G13478" s="43">
        <v>6077777</v>
      </c>
      <c r="H13478" s="43">
        <v>501100</v>
      </c>
      <c r="I13478" s="43" t="s">
        <v>949</v>
      </c>
      <c r="J13478" s="44" t="s">
        <v>1000</v>
      </c>
    </row>
    <row r="13479" ht="22" customHeight="1" spans="1:10" x14ac:dyDescent="0.25">
      <c r="A13479" s="43">
        <v>3130</v>
      </c>
      <c r="B13479" s="43">
        <v>60</v>
      </c>
      <c r="C13479" s="43" t="s">
        <v>963</v>
      </c>
      <c r="D13479" s="43" t="s">
        <v>1009</v>
      </c>
      <c r="E13479" s="43" t="s">
        <v>263</v>
      </c>
      <c r="F13479" s="43" t="s">
        <v>957</v>
      </c>
      <c r="G13479" s="43">
        <v>6077777</v>
      </c>
      <c r="H13479" s="43">
        <v>501100</v>
      </c>
      <c r="I13479" s="43" t="s">
        <v>949</v>
      </c>
      <c r="J13479" s="44" t="s">
        <v>1000</v>
      </c>
    </row>
    <row r="13480" ht="22" customHeight="1" spans="1:10" x14ac:dyDescent="0.25">
      <c r="A13480" s="43">
        <v>3130</v>
      </c>
      <c r="B13480" s="43">
        <v>60</v>
      </c>
      <c r="C13480" s="43" t="s">
        <v>963</v>
      </c>
      <c r="D13480" s="43" t="s">
        <v>1009</v>
      </c>
      <c r="E13480" s="43" t="s">
        <v>263</v>
      </c>
      <c r="F13480" s="43" t="s">
        <v>958</v>
      </c>
      <c r="G13480" s="43">
        <v>6077777</v>
      </c>
      <c r="H13480" s="43">
        <v>501100</v>
      </c>
      <c r="I13480" s="43" t="s">
        <v>949</v>
      </c>
      <c r="J13480" s="44" t="s">
        <v>1000</v>
      </c>
    </row>
    <row r="13481" ht="22" customHeight="1" spans="1:10" x14ac:dyDescent="0.25">
      <c r="A13481" s="43">
        <v>3130</v>
      </c>
      <c r="B13481" s="43">
        <v>60</v>
      </c>
      <c r="C13481" s="43" t="s">
        <v>963</v>
      </c>
      <c r="D13481" s="43" t="s">
        <v>1009</v>
      </c>
      <c r="E13481" s="43" t="s">
        <v>263</v>
      </c>
      <c r="F13481" s="43" t="s">
        <v>959</v>
      </c>
      <c r="G13481" s="43">
        <v>6077777</v>
      </c>
      <c r="H13481" s="43">
        <v>501100</v>
      </c>
      <c r="I13481" s="43" t="s">
        <v>949</v>
      </c>
      <c r="J13481" s="44" t="s">
        <v>1000</v>
      </c>
    </row>
    <row r="13482" ht="22" customHeight="1" spans="1:10" x14ac:dyDescent="0.25">
      <c r="A13482" s="43">
        <v>3130</v>
      </c>
      <c r="B13482" s="43">
        <v>60</v>
      </c>
      <c r="C13482" s="43" t="s">
        <v>963</v>
      </c>
      <c r="D13482" s="43" t="s">
        <v>1009</v>
      </c>
      <c r="E13482" s="43" t="s">
        <v>263</v>
      </c>
      <c r="F13482" s="43" t="s">
        <v>960</v>
      </c>
      <c r="G13482" s="43">
        <v>6077777</v>
      </c>
      <c r="H13482" s="43">
        <v>501100</v>
      </c>
      <c r="I13482" s="43" t="s">
        <v>949</v>
      </c>
      <c r="J13482" s="44" t="s">
        <v>1000</v>
      </c>
    </row>
    <row r="13483" ht="22" customHeight="1" spans="1:10" x14ac:dyDescent="0.25">
      <c r="A13483" s="43">
        <v>3130</v>
      </c>
      <c r="B13483" s="43">
        <v>60</v>
      </c>
      <c r="C13483" s="43" t="s">
        <v>963</v>
      </c>
      <c r="D13483" s="43" t="s">
        <v>1009</v>
      </c>
      <c r="E13483" s="43" t="s">
        <v>263</v>
      </c>
      <c r="F13483" s="43" t="s">
        <v>961</v>
      </c>
      <c r="G13483" s="43">
        <v>6077777</v>
      </c>
      <c r="H13483" s="43">
        <v>501100</v>
      </c>
      <c r="I13483" s="43" t="s">
        <v>949</v>
      </c>
      <c r="J13483" s="44" t="s">
        <v>1000</v>
      </c>
    </row>
    <row r="13484" spans="1:9" x14ac:dyDescent="0.25">
      <c r="A13484">
        <v>4122</v>
      </c>
      <c r="B13484">
        <v>60</v>
      </c>
      <c r="C13484" t="s">
        <v>946</v>
      </c>
      <c r="D13484" t="s">
        <v>1009</v>
      </c>
      <c r="E13484" t="s">
        <v>263</v>
      </c>
      <c r="F13484" t="s">
        <v>948</v>
      </c>
      <c r="G13484">
        <v>6000000</v>
      </c>
      <c r="H13484">
        <v>145000</v>
      </c>
      <c r="I13484" t="s">
        <v>949</v>
      </c>
    </row>
    <row r="13485" spans="1:9" x14ac:dyDescent="0.25">
      <c r="A13485">
        <v>4124</v>
      </c>
      <c r="B13485">
        <v>60</v>
      </c>
      <c r="C13485" t="s">
        <v>946</v>
      </c>
      <c r="D13485" t="s">
        <v>1009</v>
      </c>
      <c r="E13485" t="s">
        <v>263</v>
      </c>
      <c r="F13485" t="s">
        <v>948</v>
      </c>
      <c r="G13485">
        <v>6077777</v>
      </c>
      <c r="H13485">
        <v>501100</v>
      </c>
      <c r="I13485" t="s">
        <v>949</v>
      </c>
    </row>
    <row r="13486" spans="1:9" x14ac:dyDescent="0.25">
      <c r="A13486">
        <v>3130</v>
      </c>
      <c r="B13486">
        <v>60</v>
      </c>
      <c r="C13486" t="s">
        <v>950</v>
      </c>
      <c r="D13486" t="s">
        <v>1009</v>
      </c>
      <c r="E13486" t="s">
        <v>100</v>
      </c>
      <c r="F13486" t="s">
        <v>951</v>
      </c>
      <c r="G13486">
        <v>6077777</v>
      </c>
      <c r="H13486">
        <v>500220</v>
      </c>
      <c r="I13486" t="s">
        <v>949</v>
      </c>
    </row>
    <row r="13487" spans="1:9" x14ac:dyDescent="0.25">
      <c r="A13487">
        <v>3130</v>
      </c>
      <c r="B13487">
        <v>60</v>
      </c>
      <c r="C13487" t="s">
        <v>950</v>
      </c>
      <c r="D13487" t="s">
        <v>1009</v>
      </c>
      <c r="E13487" t="s">
        <v>100</v>
      </c>
      <c r="F13487" t="s">
        <v>952</v>
      </c>
      <c r="G13487">
        <v>6077777</v>
      </c>
      <c r="H13487">
        <v>500220</v>
      </c>
      <c r="I13487" t="s">
        <v>949</v>
      </c>
    </row>
    <row r="13488" spans="1:9" x14ac:dyDescent="0.25">
      <c r="A13488">
        <v>3130</v>
      </c>
      <c r="B13488">
        <v>60</v>
      </c>
      <c r="C13488" t="s">
        <v>950</v>
      </c>
      <c r="D13488" t="s">
        <v>1009</v>
      </c>
      <c r="E13488" t="s">
        <v>100</v>
      </c>
      <c r="F13488" t="s">
        <v>953</v>
      </c>
      <c r="G13488">
        <v>6077777</v>
      </c>
      <c r="H13488">
        <v>500220</v>
      </c>
      <c r="I13488" t="s">
        <v>949</v>
      </c>
    </row>
    <row r="13489" spans="1:9" x14ac:dyDescent="0.25">
      <c r="A13489">
        <v>3130</v>
      </c>
      <c r="B13489">
        <v>60</v>
      </c>
      <c r="C13489" t="s">
        <v>950</v>
      </c>
      <c r="D13489" t="s">
        <v>1009</v>
      </c>
      <c r="E13489" t="s">
        <v>100</v>
      </c>
      <c r="F13489" t="s">
        <v>954</v>
      </c>
      <c r="G13489">
        <v>6077777</v>
      </c>
      <c r="H13489">
        <v>500220</v>
      </c>
      <c r="I13489" t="s">
        <v>949</v>
      </c>
    </row>
    <row r="13490" spans="1:9" x14ac:dyDescent="0.25">
      <c r="A13490">
        <v>3130</v>
      </c>
      <c r="B13490">
        <v>60</v>
      </c>
      <c r="C13490" t="s">
        <v>950</v>
      </c>
      <c r="D13490" t="s">
        <v>1009</v>
      </c>
      <c r="E13490" t="s">
        <v>100</v>
      </c>
      <c r="F13490" t="s">
        <v>955</v>
      </c>
      <c r="G13490">
        <v>6077777</v>
      </c>
      <c r="H13490">
        <v>500220</v>
      </c>
      <c r="I13490" t="s">
        <v>949</v>
      </c>
    </row>
    <row r="13491" spans="1:9" x14ac:dyDescent="0.25">
      <c r="A13491">
        <v>3130</v>
      </c>
      <c r="B13491">
        <v>60</v>
      </c>
      <c r="C13491" t="s">
        <v>950</v>
      </c>
      <c r="D13491" t="s">
        <v>1009</v>
      </c>
      <c r="E13491" t="s">
        <v>100</v>
      </c>
      <c r="F13491" t="s">
        <v>956</v>
      </c>
      <c r="G13491">
        <v>6077777</v>
      </c>
      <c r="H13491">
        <v>500220</v>
      </c>
      <c r="I13491" t="s">
        <v>949</v>
      </c>
    </row>
    <row r="13492" spans="1:9" x14ac:dyDescent="0.25">
      <c r="A13492">
        <v>3130</v>
      </c>
      <c r="B13492">
        <v>60</v>
      </c>
      <c r="C13492" t="s">
        <v>950</v>
      </c>
      <c r="D13492" t="s">
        <v>1009</v>
      </c>
      <c r="E13492" t="s">
        <v>100</v>
      </c>
      <c r="F13492" t="s">
        <v>957</v>
      </c>
      <c r="G13492">
        <v>6077777</v>
      </c>
      <c r="H13492">
        <v>500220</v>
      </c>
      <c r="I13492" t="s">
        <v>949</v>
      </c>
    </row>
    <row r="13493" spans="1:9" x14ac:dyDescent="0.25">
      <c r="A13493">
        <v>3130</v>
      </c>
      <c r="B13493">
        <v>60</v>
      </c>
      <c r="C13493" t="s">
        <v>950</v>
      </c>
      <c r="D13493" t="s">
        <v>1009</v>
      </c>
      <c r="E13493" t="s">
        <v>100</v>
      </c>
      <c r="F13493" t="s">
        <v>958</v>
      </c>
      <c r="G13493">
        <v>6077777</v>
      </c>
      <c r="H13493">
        <v>500220</v>
      </c>
      <c r="I13493" t="s">
        <v>949</v>
      </c>
    </row>
    <row r="13494" spans="1:9" x14ac:dyDescent="0.25">
      <c r="A13494">
        <v>3130</v>
      </c>
      <c r="B13494">
        <v>60</v>
      </c>
      <c r="C13494" t="s">
        <v>950</v>
      </c>
      <c r="D13494" t="s">
        <v>1009</v>
      </c>
      <c r="E13494" t="s">
        <v>100</v>
      </c>
      <c r="F13494" t="s">
        <v>959</v>
      </c>
      <c r="G13494">
        <v>6077777</v>
      </c>
      <c r="H13494">
        <v>500220</v>
      </c>
      <c r="I13494" t="s">
        <v>949</v>
      </c>
    </row>
    <row r="13495" spans="1:9" x14ac:dyDescent="0.25">
      <c r="A13495">
        <v>3130</v>
      </c>
      <c r="B13495">
        <v>60</v>
      </c>
      <c r="C13495" t="s">
        <v>950</v>
      </c>
      <c r="D13495" t="s">
        <v>1009</v>
      </c>
      <c r="E13495" t="s">
        <v>100</v>
      </c>
      <c r="F13495" t="s">
        <v>960</v>
      </c>
      <c r="G13495">
        <v>6077777</v>
      </c>
      <c r="H13495">
        <v>500220</v>
      </c>
      <c r="I13495" t="s">
        <v>949</v>
      </c>
    </row>
    <row r="13496" spans="1:9" x14ac:dyDescent="0.25">
      <c r="A13496">
        <v>3130</v>
      </c>
      <c r="B13496">
        <v>60</v>
      </c>
      <c r="C13496" t="s">
        <v>950</v>
      </c>
      <c r="D13496" t="s">
        <v>1009</v>
      </c>
      <c r="E13496" t="s">
        <v>100</v>
      </c>
      <c r="F13496" t="s">
        <v>961</v>
      </c>
      <c r="G13496">
        <v>6077777</v>
      </c>
      <c r="H13496">
        <v>500220</v>
      </c>
      <c r="I13496" t="s">
        <v>949</v>
      </c>
    </row>
    <row r="13497" spans="1:9" x14ac:dyDescent="0.25">
      <c r="A13497">
        <v>3130</v>
      </c>
      <c r="B13497">
        <v>60</v>
      </c>
      <c r="C13497" t="s">
        <v>962</v>
      </c>
      <c r="D13497" t="s">
        <v>1009</v>
      </c>
      <c r="E13497" t="s">
        <v>100</v>
      </c>
      <c r="F13497" t="s">
        <v>951</v>
      </c>
      <c r="G13497">
        <v>6077777</v>
      </c>
      <c r="H13497">
        <v>500220</v>
      </c>
      <c r="I13497" t="s">
        <v>949</v>
      </c>
    </row>
    <row r="13498" spans="1:9" x14ac:dyDescent="0.25">
      <c r="A13498">
        <v>3130</v>
      </c>
      <c r="B13498">
        <v>60</v>
      </c>
      <c r="C13498" t="s">
        <v>962</v>
      </c>
      <c r="D13498" t="s">
        <v>1009</v>
      </c>
      <c r="E13498" t="s">
        <v>100</v>
      </c>
      <c r="F13498" t="s">
        <v>952</v>
      </c>
      <c r="G13498">
        <v>6077777</v>
      </c>
      <c r="H13498">
        <v>500220</v>
      </c>
      <c r="I13498" t="s">
        <v>949</v>
      </c>
    </row>
    <row r="13499" spans="1:9" x14ac:dyDescent="0.25">
      <c r="A13499">
        <v>3130</v>
      </c>
      <c r="B13499">
        <v>60</v>
      </c>
      <c r="C13499" t="s">
        <v>962</v>
      </c>
      <c r="D13499" t="s">
        <v>1009</v>
      </c>
      <c r="E13499" t="s">
        <v>100</v>
      </c>
      <c r="F13499" t="s">
        <v>953</v>
      </c>
      <c r="G13499">
        <v>6077777</v>
      </c>
      <c r="H13499">
        <v>500220</v>
      </c>
      <c r="I13499" t="s">
        <v>949</v>
      </c>
    </row>
    <row r="13500" spans="1:9" x14ac:dyDescent="0.25">
      <c r="A13500">
        <v>3130</v>
      </c>
      <c r="B13500">
        <v>60</v>
      </c>
      <c r="C13500" t="s">
        <v>962</v>
      </c>
      <c r="D13500" t="s">
        <v>1009</v>
      </c>
      <c r="E13500" t="s">
        <v>100</v>
      </c>
      <c r="F13500" t="s">
        <v>954</v>
      </c>
      <c r="G13500">
        <v>6077777</v>
      </c>
      <c r="H13500">
        <v>500220</v>
      </c>
      <c r="I13500" t="s">
        <v>949</v>
      </c>
    </row>
    <row r="13501" spans="1:9" x14ac:dyDescent="0.25">
      <c r="A13501">
        <v>3130</v>
      </c>
      <c r="B13501">
        <v>60</v>
      </c>
      <c r="C13501" t="s">
        <v>962</v>
      </c>
      <c r="D13501" t="s">
        <v>1009</v>
      </c>
      <c r="E13501" t="s">
        <v>100</v>
      </c>
      <c r="F13501" t="s">
        <v>955</v>
      </c>
      <c r="G13501">
        <v>6077777</v>
      </c>
      <c r="H13501">
        <v>500220</v>
      </c>
      <c r="I13501" t="s">
        <v>949</v>
      </c>
    </row>
    <row r="13502" spans="1:9" x14ac:dyDescent="0.25">
      <c r="A13502">
        <v>3130</v>
      </c>
      <c r="B13502">
        <v>60</v>
      </c>
      <c r="C13502" t="s">
        <v>962</v>
      </c>
      <c r="D13502" t="s">
        <v>1009</v>
      </c>
      <c r="E13502" t="s">
        <v>100</v>
      </c>
      <c r="F13502" t="s">
        <v>956</v>
      </c>
      <c r="G13502">
        <v>6077777</v>
      </c>
      <c r="H13502">
        <v>500220</v>
      </c>
      <c r="I13502" t="s">
        <v>949</v>
      </c>
    </row>
    <row r="13503" spans="1:9" x14ac:dyDescent="0.25">
      <c r="A13503">
        <v>3130</v>
      </c>
      <c r="B13503">
        <v>60</v>
      </c>
      <c r="C13503" t="s">
        <v>962</v>
      </c>
      <c r="D13503" t="s">
        <v>1009</v>
      </c>
      <c r="E13503" t="s">
        <v>100</v>
      </c>
      <c r="F13503" t="s">
        <v>957</v>
      </c>
      <c r="G13503">
        <v>6077777</v>
      </c>
      <c r="H13503">
        <v>500220</v>
      </c>
      <c r="I13503" t="s">
        <v>949</v>
      </c>
    </row>
    <row r="13504" spans="1:9" x14ac:dyDescent="0.25">
      <c r="A13504">
        <v>3130</v>
      </c>
      <c r="B13504">
        <v>60</v>
      </c>
      <c r="C13504" t="s">
        <v>962</v>
      </c>
      <c r="D13504" t="s">
        <v>1009</v>
      </c>
      <c r="E13504" t="s">
        <v>100</v>
      </c>
      <c r="F13504" t="s">
        <v>958</v>
      </c>
      <c r="G13504">
        <v>6077777</v>
      </c>
      <c r="H13504">
        <v>500220</v>
      </c>
      <c r="I13504" t="s">
        <v>949</v>
      </c>
    </row>
    <row r="13505" spans="1:9" x14ac:dyDescent="0.25">
      <c r="A13505">
        <v>3130</v>
      </c>
      <c r="B13505">
        <v>60</v>
      </c>
      <c r="C13505" t="s">
        <v>962</v>
      </c>
      <c r="D13505" t="s">
        <v>1009</v>
      </c>
      <c r="E13505" t="s">
        <v>100</v>
      </c>
      <c r="F13505" t="s">
        <v>959</v>
      </c>
      <c r="G13505">
        <v>6077777</v>
      </c>
      <c r="H13505">
        <v>500220</v>
      </c>
      <c r="I13505" t="s">
        <v>949</v>
      </c>
    </row>
    <row r="13506" spans="1:9" x14ac:dyDescent="0.25">
      <c r="A13506">
        <v>3130</v>
      </c>
      <c r="B13506">
        <v>60</v>
      </c>
      <c r="C13506" t="s">
        <v>962</v>
      </c>
      <c r="D13506" t="s">
        <v>1009</v>
      </c>
      <c r="E13506" t="s">
        <v>100</v>
      </c>
      <c r="F13506" t="s">
        <v>960</v>
      </c>
      <c r="G13506">
        <v>6077777</v>
      </c>
      <c r="H13506">
        <v>500220</v>
      </c>
      <c r="I13506" t="s">
        <v>949</v>
      </c>
    </row>
    <row r="13507" spans="1:9" x14ac:dyDescent="0.25">
      <c r="A13507">
        <v>3130</v>
      </c>
      <c r="B13507">
        <v>60</v>
      </c>
      <c r="C13507" t="s">
        <v>962</v>
      </c>
      <c r="D13507" t="s">
        <v>1009</v>
      </c>
      <c r="E13507" t="s">
        <v>100</v>
      </c>
      <c r="F13507" t="s">
        <v>961</v>
      </c>
      <c r="G13507">
        <v>6077777</v>
      </c>
      <c r="H13507">
        <v>500220</v>
      </c>
      <c r="I13507" t="s">
        <v>949</v>
      </c>
    </row>
    <row r="13508" spans="1:9" x14ac:dyDescent="0.25">
      <c r="A13508">
        <v>3130</v>
      </c>
      <c r="B13508">
        <v>60</v>
      </c>
      <c r="C13508" t="s">
        <v>963</v>
      </c>
      <c r="D13508" t="s">
        <v>1009</v>
      </c>
      <c r="E13508" t="s">
        <v>100</v>
      </c>
      <c r="F13508" t="s">
        <v>951</v>
      </c>
      <c r="G13508">
        <v>6077777</v>
      </c>
      <c r="H13508">
        <v>500220</v>
      </c>
      <c r="I13508" t="s">
        <v>949</v>
      </c>
    </row>
    <row r="13509" spans="1:9" x14ac:dyDescent="0.25">
      <c r="A13509">
        <v>3130</v>
      </c>
      <c r="B13509">
        <v>60</v>
      </c>
      <c r="C13509" t="s">
        <v>963</v>
      </c>
      <c r="D13509" t="s">
        <v>1009</v>
      </c>
      <c r="E13509" t="s">
        <v>100</v>
      </c>
      <c r="F13509" t="s">
        <v>952</v>
      </c>
      <c r="G13509">
        <v>6077777</v>
      </c>
      <c r="H13509">
        <v>500220</v>
      </c>
      <c r="I13509" t="s">
        <v>949</v>
      </c>
    </row>
    <row r="13510" spans="1:9" x14ac:dyDescent="0.25">
      <c r="A13510">
        <v>3130</v>
      </c>
      <c r="B13510">
        <v>60</v>
      </c>
      <c r="C13510" t="s">
        <v>963</v>
      </c>
      <c r="D13510" t="s">
        <v>1009</v>
      </c>
      <c r="E13510" t="s">
        <v>100</v>
      </c>
      <c r="F13510" t="s">
        <v>953</v>
      </c>
      <c r="G13510">
        <v>6077777</v>
      </c>
      <c r="H13510">
        <v>500220</v>
      </c>
      <c r="I13510" t="s">
        <v>949</v>
      </c>
    </row>
    <row r="13511" spans="1:9" x14ac:dyDescent="0.25">
      <c r="A13511">
        <v>3130</v>
      </c>
      <c r="B13511">
        <v>60</v>
      </c>
      <c r="C13511" t="s">
        <v>963</v>
      </c>
      <c r="D13511" t="s">
        <v>1009</v>
      </c>
      <c r="E13511" t="s">
        <v>100</v>
      </c>
      <c r="F13511" t="s">
        <v>954</v>
      </c>
      <c r="G13511">
        <v>6077777</v>
      </c>
      <c r="H13511">
        <v>500220</v>
      </c>
      <c r="I13511" t="s">
        <v>949</v>
      </c>
    </row>
    <row r="13512" spans="1:9" x14ac:dyDescent="0.25">
      <c r="A13512">
        <v>3130</v>
      </c>
      <c r="B13512">
        <v>60</v>
      </c>
      <c r="C13512" t="s">
        <v>963</v>
      </c>
      <c r="D13512" t="s">
        <v>1009</v>
      </c>
      <c r="E13512" t="s">
        <v>100</v>
      </c>
      <c r="F13512" t="s">
        <v>955</v>
      </c>
      <c r="G13512">
        <v>6077777</v>
      </c>
      <c r="H13512">
        <v>500220</v>
      </c>
      <c r="I13512" t="s">
        <v>949</v>
      </c>
    </row>
    <row r="13513" spans="1:9" x14ac:dyDescent="0.25">
      <c r="A13513">
        <v>3130</v>
      </c>
      <c r="B13513">
        <v>60</v>
      </c>
      <c r="C13513" t="s">
        <v>963</v>
      </c>
      <c r="D13513" t="s">
        <v>1009</v>
      </c>
      <c r="E13513" t="s">
        <v>100</v>
      </c>
      <c r="F13513" t="s">
        <v>956</v>
      </c>
      <c r="G13513">
        <v>6077777</v>
      </c>
      <c r="H13513">
        <v>500220</v>
      </c>
      <c r="I13513" t="s">
        <v>949</v>
      </c>
    </row>
    <row r="13514" spans="1:9" x14ac:dyDescent="0.25">
      <c r="A13514">
        <v>3130</v>
      </c>
      <c r="B13514">
        <v>60</v>
      </c>
      <c r="C13514" t="s">
        <v>963</v>
      </c>
      <c r="D13514" t="s">
        <v>1009</v>
      </c>
      <c r="E13514" t="s">
        <v>100</v>
      </c>
      <c r="F13514" t="s">
        <v>957</v>
      </c>
      <c r="G13514">
        <v>6077777</v>
      </c>
      <c r="H13514">
        <v>500220</v>
      </c>
      <c r="I13514" t="s">
        <v>949</v>
      </c>
    </row>
    <row r="13515" spans="1:9" x14ac:dyDescent="0.25">
      <c r="A13515">
        <v>3130</v>
      </c>
      <c r="B13515">
        <v>60</v>
      </c>
      <c r="C13515" t="s">
        <v>963</v>
      </c>
      <c r="D13515" t="s">
        <v>1009</v>
      </c>
      <c r="E13515" t="s">
        <v>100</v>
      </c>
      <c r="F13515" t="s">
        <v>958</v>
      </c>
      <c r="G13515">
        <v>6077777</v>
      </c>
      <c r="H13515">
        <v>500220</v>
      </c>
      <c r="I13515" t="s">
        <v>949</v>
      </c>
    </row>
    <row r="13516" spans="1:9" x14ac:dyDescent="0.25">
      <c r="A13516">
        <v>3130</v>
      </c>
      <c r="B13516">
        <v>60</v>
      </c>
      <c r="C13516" t="s">
        <v>963</v>
      </c>
      <c r="D13516" t="s">
        <v>1009</v>
      </c>
      <c r="E13516" t="s">
        <v>100</v>
      </c>
      <c r="F13516" t="s">
        <v>959</v>
      </c>
      <c r="G13516">
        <v>6077777</v>
      </c>
      <c r="H13516">
        <v>500220</v>
      </c>
      <c r="I13516" t="s">
        <v>949</v>
      </c>
    </row>
    <row r="13517" spans="1:9" x14ac:dyDescent="0.25">
      <c r="A13517">
        <v>3130</v>
      </c>
      <c r="B13517">
        <v>60</v>
      </c>
      <c r="C13517" t="s">
        <v>963</v>
      </c>
      <c r="D13517" t="s">
        <v>1009</v>
      </c>
      <c r="E13517" t="s">
        <v>100</v>
      </c>
      <c r="F13517" t="s">
        <v>960</v>
      </c>
      <c r="G13517">
        <v>6077777</v>
      </c>
      <c r="H13517">
        <v>500220</v>
      </c>
      <c r="I13517" t="s">
        <v>949</v>
      </c>
    </row>
    <row r="13518" spans="1:9" x14ac:dyDescent="0.25">
      <c r="A13518">
        <v>3130</v>
      </c>
      <c r="B13518">
        <v>60</v>
      </c>
      <c r="C13518" t="s">
        <v>963</v>
      </c>
      <c r="D13518" t="s">
        <v>1009</v>
      </c>
      <c r="E13518" t="s">
        <v>100</v>
      </c>
      <c r="F13518" t="s">
        <v>961</v>
      </c>
      <c r="G13518">
        <v>6077777</v>
      </c>
      <c r="H13518">
        <v>500220</v>
      </c>
      <c r="I13518" t="s">
        <v>949</v>
      </c>
    </row>
    <row r="13519" spans="1:9" x14ac:dyDescent="0.25">
      <c r="A13519">
        <v>4122</v>
      </c>
      <c r="B13519">
        <v>60</v>
      </c>
      <c r="C13519" t="s">
        <v>946</v>
      </c>
      <c r="D13519" t="s">
        <v>1009</v>
      </c>
      <c r="E13519" t="s">
        <v>100</v>
      </c>
      <c r="F13519" t="s">
        <v>948</v>
      </c>
      <c r="G13519">
        <v>6077777</v>
      </c>
      <c r="H13519">
        <v>500220</v>
      </c>
      <c r="I13519" t="s">
        <v>949</v>
      </c>
    </row>
    <row r="13520" spans="1:9" x14ac:dyDescent="0.25">
      <c r="A13520">
        <v>4124</v>
      </c>
      <c r="B13520">
        <v>60</v>
      </c>
      <c r="C13520" t="s">
        <v>946</v>
      </c>
      <c r="D13520" t="s">
        <v>1009</v>
      </c>
      <c r="E13520" t="s">
        <v>100</v>
      </c>
      <c r="F13520" t="s">
        <v>948</v>
      </c>
      <c r="G13520">
        <v>6077777</v>
      </c>
      <c r="H13520">
        <v>500221</v>
      </c>
      <c r="I13520" t="s">
        <v>949</v>
      </c>
    </row>
    <row r="13521" ht="22" customHeight="1" spans="1:10" x14ac:dyDescent="0.25">
      <c r="A13521" s="43">
        <v>3130</v>
      </c>
      <c r="B13521" s="43">
        <v>60</v>
      </c>
      <c r="C13521" s="43" t="s">
        <v>950</v>
      </c>
      <c r="D13521" s="43" t="s">
        <v>1009</v>
      </c>
      <c r="E13521" s="43" t="s">
        <v>270</v>
      </c>
      <c r="F13521" s="43" t="s">
        <v>951</v>
      </c>
      <c r="G13521" s="43">
        <v>6077777</v>
      </c>
      <c r="H13521" s="43">
        <v>501100</v>
      </c>
      <c r="I13521" s="43" t="s">
        <v>949</v>
      </c>
      <c r="J13521" s="44" t="s">
        <v>1000</v>
      </c>
    </row>
    <row r="13522" ht="22" customHeight="1" spans="1:10" x14ac:dyDescent="0.25">
      <c r="A13522" s="43">
        <v>3130</v>
      </c>
      <c r="B13522" s="43">
        <v>60</v>
      </c>
      <c r="C13522" s="43" t="s">
        <v>950</v>
      </c>
      <c r="D13522" s="43" t="s">
        <v>1009</v>
      </c>
      <c r="E13522" s="43" t="s">
        <v>270</v>
      </c>
      <c r="F13522" s="43" t="s">
        <v>952</v>
      </c>
      <c r="G13522" s="43">
        <v>6077777</v>
      </c>
      <c r="H13522" s="43">
        <v>501100</v>
      </c>
      <c r="I13522" s="43" t="s">
        <v>949</v>
      </c>
      <c r="J13522" s="44" t="s">
        <v>1000</v>
      </c>
    </row>
    <row r="13523" ht="22" customHeight="1" spans="1:10" x14ac:dyDescent="0.25">
      <c r="A13523" s="43">
        <v>3130</v>
      </c>
      <c r="B13523" s="43">
        <v>60</v>
      </c>
      <c r="C13523" s="43" t="s">
        <v>950</v>
      </c>
      <c r="D13523" s="43" t="s">
        <v>1009</v>
      </c>
      <c r="E13523" s="43" t="s">
        <v>270</v>
      </c>
      <c r="F13523" s="43" t="s">
        <v>953</v>
      </c>
      <c r="G13523" s="43">
        <v>6077777</v>
      </c>
      <c r="H13523" s="43">
        <v>501100</v>
      </c>
      <c r="I13523" s="43" t="s">
        <v>949</v>
      </c>
      <c r="J13523" s="44" t="s">
        <v>1000</v>
      </c>
    </row>
    <row r="13524" ht="22" customHeight="1" spans="1:10" x14ac:dyDescent="0.25">
      <c r="A13524" s="43">
        <v>3130</v>
      </c>
      <c r="B13524" s="43">
        <v>60</v>
      </c>
      <c r="C13524" s="43" t="s">
        <v>950</v>
      </c>
      <c r="D13524" s="43" t="s">
        <v>1009</v>
      </c>
      <c r="E13524" s="43" t="s">
        <v>270</v>
      </c>
      <c r="F13524" s="43" t="s">
        <v>954</v>
      </c>
      <c r="G13524" s="43">
        <v>6077777</v>
      </c>
      <c r="H13524" s="43">
        <v>501100</v>
      </c>
      <c r="I13524" s="43" t="s">
        <v>949</v>
      </c>
      <c r="J13524" s="44" t="s">
        <v>1000</v>
      </c>
    </row>
    <row r="13525" ht="22" customHeight="1" spans="1:10" x14ac:dyDescent="0.25">
      <c r="A13525" s="43">
        <v>3130</v>
      </c>
      <c r="B13525" s="43">
        <v>60</v>
      </c>
      <c r="C13525" s="43" t="s">
        <v>950</v>
      </c>
      <c r="D13525" s="43" t="s">
        <v>1009</v>
      </c>
      <c r="E13525" s="43" t="s">
        <v>270</v>
      </c>
      <c r="F13525" s="43" t="s">
        <v>955</v>
      </c>
      <c r="G13525" s="43">
        <v>6077777</v>
      </c>
      <c r="H13525" s="43">
        <v>501100</v>
      </c>
      <c r="I13525" s="43" t="s">
        <v>949</v>
      </c>
      <c r="J13525" s="44" t="s">
        <v>1000</v>
      </c>
    </row>
    <row r="13526" ht="22" customHeight="1" spans="1:10" x14ac:dyDescent="0.25">
      <c r="A13526" s="43">
        <v>3130</v>
      </c>
      <c r="B13526" s="43">
        <v>60</v>
      </c>
      <c r="C13526" s="43" t="s">
        <v>950</v>
      </c>
      <c r="D13526" s="43" t="s">
        <v>1009</v>
      </c>
      <c r="E13526" s="43" t="s">
        <v>270</v>
      </c>
      <c r="F13526" s="43" t="s">
        <v>956</v>
      </c>
      <c r="G13526" s="43">
        <v>6077777</v>
      </c>
      <c r="H13526" s="43">
        <v>501100</v>
      </c>
      <c r="I13526" s="43" t="s">
        <v>949</v>
      </c>
      <c r="J13526" s="44" t="s">
        <v>1000</v>
      </c>
    </row>
    <row r="13527" ht="22" customHeight="1" spans="1:10" x14ac:dyDescent="0.25">
      <c r="A13527" s="43">
        <v>3130</v>
      </c>
      <c r="B13527" s="43">
        <v>60</v>
      </c>
      <c r="C13527" s="43" t="s">
        <v>950</v>
      </c>
      <c r="D13527" s="43" t="s">
        <v>1009</v>
      </c>
      <c r="E13527" s="43" t="s">
        <v>270</v>
      </c>
      <c r="F13527" s="43" t="s">
        <v>957</v>
      </c>
      <c r="G13527" s="43">
        <v>6077777</v>
      </c>
      <c r="H13527" s="43">
        <v>501100</v>
      </c>
      <c r="I13527" s="43" t="s">
        <v>949</v>
      </c>
      <c r="J13527" s="44" t="s">
        <v>1000</v>
      </c>
    </row>
    <row r="13528" ht="22" customHeight="1" spans="1:10" x14ac:dyDescent="0.25">
      <c r="A13528" s="43">
        <v>3130</v>
      </c>
      <c r="B13528" s="43">
        <v>60</v>
      </c>
      <c r="C13528" s="43" t="s">
        <v>950</v>
      </c>
      <c r="D13528" s="43" t="s">
        <v>1009</v>
      </c>
      <c r="E13528" s="43" t="s">
        <v>270</v>
      </c>
      <c r="F13528" s="43" t="s">
        <v>958</v>
      </c>
      <c r="G13528" s="43">
        <v>6077777</v>
      </c>
      <c r="H13528" s="43">
        <v>501100</v>
      </c>
      <c r="I13528" s="43" t="s">
        <v>949</v>
      </c>
      <c r="J13528" s="44" t="s">
        <v>1000</v>
      </c>
    </row>
    <row r="13529" ht="22" customHeight="1" spans="1:10" x14ac:dyDescent="0.25">
      <c r="A13529" s="43">
        <v>3130</v>
      </c>
      <c r="B13529" s="43">
        <v>60</v>
      </c>
      <c r="C13529" s="43" t="s">
        <v>950</v>
      </c>
      <c r="D13529" s="43" t="s">
        <v>1009</v>
      </c>
      <c r="E13529" s="43" t="s">
        <v>270</v>
      </c>
      <c r="F13529" s="43" t="s">
        <v>959</v>
      </c>
      <c r="G13529" s="43">
        <v>6077777</v>
      </c>
      <c r="H13529" s="43">
        <v>501100</v>
      </c>
      <c r="I13529" s="43" t="s">
        <v>949</v>
      </c>
      <c r="J13529" s="44" t="s">
        <v>1000</v>
      </c>
    </row>
    <row r="13530" ht="22" customHeight="1" spans="1:10" x14ac:dyDescent="0.25">
      <c r="A13530" s="43">
        <v>3130</v>
      </c>
      <c r="B13530" s="43">
        <v>60</v>
      </c>
      <c r="C13530" s="43" t="s">
        <v>950</v>
      </c>
      <c r="D13530" s="43" t="s">
        <v>1009</v>
      </c>
      <c r="E13530" s="43" t="s">
        <v>270</v>
      </c>
      <c r="F13530" s="43" t="s">
        <v>960</v>
      </c>
      <c r="G13530" s="43">
        <v>6077777</v>
      </c>
      <c r="H13530" s="43">
        <v>501100</v>
      </c>
      <c r="I13530" s="43" t="s">
        <v>949</v>
      </c>
      <c r="J13530" s="44" t="s">
        <v>1000</v>
      </c>
    </row>
    <row r="13531" ht="22" customHeight="1" spans="1:10" x14ac:dyDescent="0.25">
      <c r="A13531" s="43">
        <v>3130</v>
      </c>
      <c r="B13531" s="43">
        <v>60</v>
      </c>
      <c r="C13531" s="43" t="s">
        <v>950</v>
      </c>
      <c r="D13531" s="43" t="s">
        <v>1009</v>
      </c>
      <c r="E13531" s="43" t="s">
        <v>270</v>
      </c>
      <c r="F13531" s="43" t="s">
        <v>961</v>
      </c>
      <c r="G13531" s="43">
        <v>6077777</v>
      </c>
      <c r="H13531" s="43">
        <v>501100</v>
      </c>
      <c r="I13531" s="43" t="s">
        <v>949</v>
      </c>
      <c r="J13531" s="44" t="s">
        <v>1000</v>
      </c>
    </row>
    <row r="13532" ht="22" customHeight="1" spans="1:10" x14ac:dyDescent="0.25">
      <c r="A13532" s="43">
        <v>3130</v>
      </c>
      <c r="B13532" s="43">
        <v>60</v>
      </c>
      <c r="C13532" s="43" t="s">
        <v>962</v>
      </c>
      <c r="D13532" s="43" t="s">
        <v>1009</v>
      </c>
      <c r="E13532" s="43" t="s">
        <v>270</v>
      </c>
      <c r="F13532" s="43" t="s">
        <v>951</v>
      </c>
      <c r="G13532" s="43">
        <v>6077777</v>
      </c>
      <c r="H13532" s="43">
        <v>501100</v>
      </c>
      <c r="I13532" s="43" t="s">
        <v>949</v>
      </c>
      <c r="J13532" s="44" t="s">
        <v>1000</v>
      </c>
    </row>
    <row r="13533" ht="22" customHeight="1" spans="1:10" x14ac:dyDescent="0.25">
      <c r="A13533" s="43">
        <v>3130</v>
      </c>
      <c r="B13533" s="43">
        <v>60</v>
      </c>
      <c r="C13533" s="43" t="s">
        <v>962</v>
      </c>
      <c r="D13533" s="43" t="s">
        <v>1009</v>
      </c>
      <c r="E13533" s="43" t="s">
        <v>270</v>
      </c>
      <c r="F13533" s="43" t="s">
        <v>952</v>
      </c>
      <c r="G13533" s="43">
        <v>6077777</v>
      </c>
      <c r="H13533" s="43">
        <v>501100</v>
      </c>
      <c r="I13533" s="43" t="s">
        <v>949</v>
      </c>
      <c r="J13533" s="44" t="s">
        <v>1000</v>
      </c>
    </row>
    <row r="13534" ht="22" customHeight="1" spans="1:10" x14ac:dyDescent="0.25">
      <c r="A13534" s="43">
        <v>3130</v>
      </c>
      <c r="B13534" s="43">
        <v>60</v>
      </c>
      <c r="C13534" s="43" t="s">
        <v>962</v>
      </c>
      <c r="D13534" s="43" t="s">
        <v>1009</v>
      </c>
      <c r="E13534" s="43" t="s">
        <v>270</v>
      </c>
      <c r="F13534" s="43" t="s">
        <v>953</v>
      </c>
      <c r="G13534" s="43">
        <v>6077777</v>
      </c>
      <c r="H13534" s="43">
        <v>501100</v>
      </c>
      <c r="I13534" s="43" t="s">
        <v>949</v>
      </c>
      <c r="J13534" s="44" t="s">
        <v>1000</v>
      </c>
    </row>
    <row r="13535" ht="22" customHeight="1" spans="1:10" x14ac:dyDescent="0.25">
      <c r="A13535" s="43">
        <v>3130</v>
      </c>
      <c r="B13535" s="43">
        <v>60</v>
      </c>
      <c r="C13535" s="43" t="s">
        <v>962</v>
      </c>
      <c r="D13535" s="43" t="s">
        <v>1009</v>
      </c>
      <c r="E13535" s="43" t="s">
        <v>270</v>
      </c>
      <c r="F13535" s="43" t="s">
        <v>954</v>
      </c>
      <c r="G13535" s="43">
        <v>6077777</v>
      </c>
      <c r="H13535" s="43">
        <v>501100</v>
      </c>
      <c r="I13535" s="43" t="s">
        <v>949</v>
      </c>
      <c r="J13535" s="44" t="s">
        <v>1000</v>
      </c>
    </row>
    <row r="13536" ht="22" customHeight="1" spans="1:10" x14ac:dyDescent="0.25">
      <c r="A13536" s="43">
        <v>3130</v>
      </c>
      <c r="B13536" s="43">
        <v>60</v>
      </c>
      <c r="C13536" s="43" t="s">
        <v>962</v>
      </c>
      <c r="D13536" s="43" t="s">
        <v>1009</v>
      </c>
      <c r="E13536" s="43" t="s">
        <v>270</v>
      </c>
      <c r="F13536" s="43" t="s">
        <v>955</v>
      </c>
      <c r="G13536" s="43">
        <v>6077777</v>
      </c>
      <c r="H13536" s="43">
        <v>501100</v>
      </c>
      <c r="I13536" s="43" t="s">
        <v>949</v>
      </c>
      <c r="J13536" s="44" t="s">
        <v>1000</v>
      </c>
    </row>
    <row r="13537" ht="22" customHeight="1" spans="1:10" x14ac:dyDescent="0.25">
      <c r="A13537" s="43">
        <v>3130</v>
      </c>
      <c r="B13537" s="43">
        <v>60</v>
      </c>
      <c r="C13537" s="43" t="s">
        <v>962</v>
      </c>
      <c r="D13537" s="43" t="s">
        <v>1009</v>
      </c>
      <c r="E13537" s="43" t="s">
        <v>270</v>
      </c>
      <c r="F13537" s="43" t="s">
        <v>956</v>
      </c>
      <c r="G13537" s="43">
        <v>6077777</v>
      </c>
      <c r="H13537" s="43">
        <v>501100</v>
      </c>
      <c r="I13537" s="43" t="s">
        <v>949</v>
      </c>
      <c r="J13537" s="44" t="s">
        <v>1000</v>
      </c>
    </row>
    <row r="13538" ht="22" customHeight="1" spans="1:10" x14ac:dyDescent="0.25">
      <c r="A13538" s="43">
        <v>3130</v>
      </c>
      <c r="B13538" s="43">
        <v>60</v>
      </c>
      <c r="C13538" s="43" t="s">
        <v>962</v>
      </c>
      <c r="D13538" s="43" t="s">
        <v>1009</v>
      </c>
      <c r="E13538" s="43" t="s">
        <v>270</v>
      </c>
      <c r="F13538" s="43" t="s">
        <v>957</v>
      </c>
      <c r="G13538" s="43">
        <v>6077777</v>
      </c>
      <c r="H13538" s="43">
        <v>501100</v>
      </c>
      <c r="I13538" s="43" t="s">
        <v>949</v>
      </c>
      <c r="J13538" s="44" t="s">
        <v>1000</v>
      </c>
    </row>
    <row r="13539" ht="22" customHeight="1" spans="1:10" x14ac:dyDescent="0.25">
      <c r="A13539" s="43">
        <v>3130</v>
      </c>
      <c r="B13539" s="43">
        <v>60</v>
      </c>
      <c r="C13539" s="43" t="s">
        <v>962</v>
      </c>
      <c r="D13539" s="43" t="s">
        <v>1009</v>
      </c>
      <c r="E13539" s="43" t="s">
        <v>270</v>
      </c>
      <c r="F13539" s="43" t="s">
        <v>958</v>
      </c>
      <c r="G13539" s="43">
        <v>6077777</v>
      </c>
      <c r="H13539" s="43">
        <v>501100</v>
      </c>
      <c r="I13539" s="43" t="s">
        <v>949</v>
      </c>
      <c r="J13539" s="44" t="s">
        <v>1000</v>
      </c>
    </row>
    <row r="13540" ht="22" customHeight="1" spans="1:10" x14ac:dyDescent="0.25">
      <c r="A13540" s="43">
        <v>3130</v>
      </c>
      <c r="B13540" s="43">
        <v>60</v>
      </c>
      <c r="C13540" s="43" t="s">
        <v>962</v>
      </c>
      <c r="D13540" s="43" t="s">
        <v>1009</v>
      </c>
      <c r="E13540" s="43" t="s">
        <v>270</v>
      </c>
      <c r="F13540" s="43" t="s">
        <v>959</v>
      </c>
      <c r="G13540" s="43">
        <v>6077777</v>
      </c>
      <c r="H13540" s="43">
        <v>501100</v>
      </c>
      <c r="I13540" s="43" t="s">
        <v>949</v>
      </c>
      <c r="J13540" s="44" t="s">
        <v>1000</v>
      </c>
    </row>
    <row r="13541" ht="22" customHeight="1" spans="1:10" x14ac:dyDescent="0.25">
      <c r="A13541" s="43">
        <v>3130</v>
      </c>
      <c r="B13541" s="43">
        <v>60</v>
      </c>
      <c r="C13541" s="43" t="s">
        <v>962</v>
      </c>
      <c r="D13541" s="43" t="s">
        <v>1009</v>
      </c>
      <c r="E13541" s="43" t="s">
        <v>270</v>
      </c>
      <c r="F13541" s="43" t="s">
        <v>960</v>
      </c>
      <c r="G13541" s="43">
        <v>6077777</v>
      </c>
      <c r="H13541" s="43">
        <v>501100</v>
      </c>
      <c r="I13541" s="43" t="s">
        <v>949</v>
      </c>
      <c r="J13541" s="44" t="s">
        <v>1000</v>
      </c>
    </row>
    <row r="13542" ht="22" customHeight="1" spans="1:10" x14ac:dyDescent="0.25">
      <c r="A13542" s="43">
        <v>3130</v>
      </c>
      <c r="B13542" s="43">
        <v>60</v>
      </c>
      <c r="C13542" s="43" t="s">
        <v>962</v>
      </c>
      <c r="D13542" s="43" t="s">
        <v>1009</v>
      </c>
      <c r="E13542" s="43" t="s">
        <v>270</v>
      </c>
      <c r="F13542" s="43" t="s">
        <v>961</v>
      </c>
      <c r="G13542" s="43">
        <v>6077777</v>
      </c>
      <c r="H13542" s="43">
        <v>501100</v>
      </c>
      <c r="I13542" s="43" t="s">
        <v>949</v>
      </c>
      <c r="J13542" s="44" t="s">
        <v>1000</v>
      </c>
    </row>
    <row r="13543" ht="22" customHeight="1" spans="1:10" x14ac:dyDescent="0.25">
      <c r="A13543" s="43">
        <v>3130</v>
      </c>
      <c r="B13543" s="43">
        <v>60</v>
      </c>
      <c r="C13543" s="43" t="s">
        <v>963</v>
      </c>
      <c r="D13543" s="43" t="s">
        <v>1009</v>
      </c>
      <c r="E13543" s="43" t="s">
        <v>270</v>
      </c>
      <c r="F13543" s="43" t="s">
        <v>951</v>
      </c>
      <c r="G13543" s="43">
        <v>6077777</v>
      </c>
      <c r="H13543" s="43">
        <v>501100</v>
      </c>
      <c r="I13543" s="43" t="s">
        <v>949</v>
      </c>
      <c r="J13543" s="44" t="s">
        <v>1000</v>
      </c>
    </row>
    <row r="13544" ht="22" customHeight="1" spans="1:10" x14ac:dyDescent="0.25">
      <c r="A13544" s="43">
        <v>3130</v>
      </c>
      <c r="B13544" s="43">
        <v>60</v>
      </c>
      <c r="C13544" s="43" t="s">
        <v>963</v>
      </c>
      <c r="D13544" s="43" t="s">
        <v>1009</v>
      </c>
      <c r="E13544" s="43" t="s">
        <v>270</v>
      </c>
      <c r="F13544" s="43" t="s">
        <v>952</v>
      </c>
      <c r="G13544" s="43">
        <v>6077777</v>
      </c>
      <c r="H13544" s="43">
        <v>501100</v>
      </c>
      <c r="I13544" s="43" t="s">
        <v>949</v>
      </c>
      <c r="J13544" s="44" t="s">
        <v>1000</v>
      </c>
    </row>
    <row r="13545" ht="22" customHeight="1" spans="1:10" x14ac:dyDescent="0.25">
      <c r="A13545" s="43">
        <v>3130</v>
      </c>
      <c r="B13545" s="43">
        <v>60</v>
      </c>
      <c r="C13545" s="43" t="s">
        <v>963</v>
      </c>
      <c r="D13545" s="43" t="s">
        <v>1009</v>
      </c>
      <c r="E13545" s="43" t="s">
        <v>270</v>
      </c>
      <c r="F13545" s="43" t="s">
        <v>953</v>
      </c>
      <c r="G13545" s="43">
        <v>6077777</v>
      </c>
      <c r="H13545" s="43">
        <v>501100</v>
      </c>
      <c r="I13545" s="43" t="s">
        <v>949</v>
      </c>
      <c r="J13545" s="44" t="s">
        <v>1000</v>
      </c>
    </row>
    <row r="13546" ht="22" customHeight="1" spans="1:10" x14ac:dyDescent="0.25">
      <c r="A13546" s="43">
        <v>3130</v>
      </c>
      <c r="B13546" s="43">
        <v>60</v>
      </c>
      <c r="C13546" s="43" t="s">
        <v>963</v>
      </c>
      <c r="D13546" s="43" t="s">
        <v>1009</v>
      </c>
      <c r="E13546" s="43" t="s">
        <v>270</v>
      </c>
      <c r="F13546" s="43" t="s">
        <v>954</v>
      </c>
      <c r="G13546" s="43">
        <v>6077777</v>
      </c>
      <c r="H13546" s="43">
        <v>501100</v>
      </c>
      <c r="I13546" s="43" t="s">
        <v>949</v>
      </c>
      <c r="J13546" s="44" t="s">
        <v>1000</v>
      </c>
    </row>
    <row r="13547" ht="22" customHeight="1" spans="1:10" x14ac:dyDescent="0.25">
      <c r="A13547" s="43">
        <v>3130</v>
      </c>
      <c r="B13547" s="43">
        <v>60</v>
      </c>
      <c r="C13547" s="43" t="s">
        <v>963</v>
      </c>
      <c r="D13547" s="43" t="s">
        <v>1009</v>
      </c>
      <c r="E13547" s="43" t="s">
        <v>270</v>
      </c>
      <c r="F13547" s="43" t="s">
        <v>955</v>
      </c>
      <c r="G13547" s="43">
        <v>6077777</v>
      </c>
      <c r="H13547" s="43">
        <v>501100</v>
      </c>
      <c r="I13547" s="43" t="s">
        <v>949</v>
      </c>
      <c r="J13547" s="44" t="s">
        <v>1000</v>
      </c>
    </row>
    <row r="13548" ht="22" customHeight="1" spans="1:10" x14ac:dyDescent="0.25">
      <c r="A13548" s="43">
        <v>3130</v>
      </c>
      <c r="B13548" s="43">
        <v>60</v>
      </c>
      <c r="C13548" s="43" t="s">
        <v>963</v>
      </c>
      <c r="D13548" s="43" t="s">
        <v>1009</v>
      </c>
      <c r="E13548" s="43" t="s">
        <v>270</v>
      </c>
      <c r="F13548" s="43" t="s">
        <v>956</v>
      </c>
      <c r="G13548" s="43">
        <v>6077777</v>
      </c>
      <c r="H13548" s="43">
        <v>501100</v>
      </c>
      <c r="I13548" s="43" t="s">
        <v>949</v>
      </c>
      <c r="J13548" s="44" t="s">
        <v>1000</v>
      </c>
    </row>
    <row r="13549" ht="22" customHeight="1" spans="1:10" x14ac:dyDescent="0.25">
      <c r="A13549" s="43">
        <v>3130</v>
      </c>
      <c r="B13549" s="43">
        <v>60</v>
      </c>
      <c r="C13549" s="43" t="s">
        <v>963</v>
      </c>
      <c r="D13549" s="43" t="s">
        <v>1009</v>
      </c>
      <c r="E13549" s="43" t="s">
        <v>270</v>
      </c>
      <c r="F13549" s="43" t="s">
        <v>957</v>
      </c>
      <c r="G13549" s="43">
        <v>6077777</v>
      </c>
      <c r="H13549" s="43">
        <v>501100</v>
      </c>
      <c r="I13549" s="43" t="s">
        <v>949</v>
      </c>
      <c r="J13549" s="44" t="s">
        <v>1000</v>
      </c>
    </row>
    <row r="13550" ht="22" customHeight="1" spans="1:10" x14ac:dyDescent="0.25">
      <c r="A13550" s="43">
        <v>3130</v>
      </c>
      <c r="B13550" s="43">
        <v>60</v>
      </c>
      <c r="C13550" s="43" t="s">
        <v>963</v>
      </c>
      <c r="D13550" s="43" t="s">
        <v>1009</v>
      </c>
      <c r="E13550" s="43" t="s">
        <v>270</v>
      </c>
      <c r="F13550" s="43" t="s">
        <v>958</v>
      </c>
      <c r="G13550" s="43">
        <v>6077777</v>
      </c>
      <c r="H13550" s="43">
        <v>501100</v>
      </c>
      <c r="I13550" s="43" t="s">
        <v>949</v>
      </c>
      <c r="J13550" s="44" t="s">
        <v>1000</v>
      </c>
    </row>
    <row r="13551" ht="22" customHeight="1" spans="1:10" x14ac:dyDescent="0.25">
      <c r="A13551" s="43">
        <v>3130</v>
      </c>
      <c r="B13551" s="43">
        <v>60</v>
      </c>
      <c r="C13551" s="43" t="s">
        <v>963</v>
      </c>
      <c r="D13551" s="43" t="s">
        <v>1009</v>
      </c>
      <c r="E13551" s="43" t="s">
        <v>270</v>
      </c>
      <c r="F13551" s="43" t="s">
        <v>959</v>
      </c>
      <c r="G13551" s="43">
        <v>6077777</v>
      </c>
      <c r="H13551" s="43">
        <v>501100</v>
      </c>
      <c r="I13551" s="43" t="s">
        <v>949</v>
      </c>
      <c r="J13551" s="44" t="s">
        <v>1000</v>
      </c>
    </row>
    <row r="13552" ht="22" customHeight="1" spans="1:10" x14ac:dyDescent="0.25">
      <c r="A13552" s="43">
        <v>3130</v>
      </c>
      <c r="B13552" s="43">
        <v>60</v>
      </c>
      <c r="C13552" s="43" t="s">
        <v>963</v>
      </c>
      <c r="D13552" s="43" t="s">
        <v>1009</v>
      </c>
      <c r="E13552" s="43" t="s">
        <v>270</v>
      </c>
      <c r="F13552" s="43" t="s">
        <v>960</v>
      </c>
      <c r="G13552" s="43">
        <v>6077777</v>
      </c>
      <c r="H13552" s="43">
        <v>501100</v>
      </c>
      <c r="I13552" s="43" t="s">
        <v>949</v>
      </c>
      <c r="J13552" s="44" t="s">
        <v>1000</v>
      </c>
    </row>
    <row r="13553" ht="22" customHeight="1" spans="1:10" x14ac:dyDescent="0.25">
      <c r="A13553" s="43">
        <v>3130</v>
      </c>
      <c r="B13553" s="43">
        <v>60</v>
      </c>
      <c r="C13553" s="43" t="s">
        <v>963</v>
      </c>
      <c r="D13553" s="43" t="s">
        <v>1009</v>
      </c>
      <c r="E13553" s="43" t="s">
        <v>270</v>
      </c>
      <c r="F13553" s="43" t="s">
        <v>961</v>
      </c>
      <c r="G13553" s="43">
        <v>6077777</v>
      </c>
      <c r="H13553" s="43">
        <v>501100</v>
      </c>
      <c r="I13553" s="43" t="s">
        <v>949</v>
      </c>
      <c r="J13553" s="44" t="s">
        <v>1000</v>
      </c>
    </row>
    <row r="13554" spans="1:9" x14ac:dyDescent="0.25">
      <c r="A13554">
        <v>4122</v>
      </c>
      <c r="B13554">
        <v>60</v>
      </c>
      <c r="C13554" t="s">
        <v>946</v>
      </c>
      <c r="D13554" t="s">
        <v>1009</v>
      </c>
      <c r="E13554" t="s">
        <v>270</v>
      </c>
      <c r="F13554" t="s">
        <v>948</v>
      </c>
      <c r="G13554">
        <v>6000000</v>
      </c>
      <c r="H13554">
        <v>145000</v>
      </c>
      <c r="I13554" t="s">
        <v>949</v>
      </c>
    </row>
    <row r="13555" spans="1:9" x14ac:dyDescent="0.25">
      <c r="A13555">
        <v>4124</v>
      </c>
      <c r="B13555">
        <v>60</v>
      </c>
      <c r="C13555" t="s">
        <v>946</v>
      </c>
      <c r="D13555" t="s">
        <v>1009</v>
      </c>
      <c r="E13555" t="s">
        <v>270</v>
      </c>
      <c r="F13555" t="s">
        <v>948</v>
      </c>
      <c r="G13555">
        <v>6077777</v>
      </c>
      <c r="H13555">
        <v>501100</v>
      </c>
      <c r="I13555" t="s">
        <v>949</v>
      </c>
    </row>
    <row r="13556" ht="22" customHeight="1" spans="1:10" x14ac:dyDescent="0.25">
      <c r="A13556" s="43">
        <v>3130</v>
      </c>
      <c r="B13556" s="43">
        <v>60</v>
      </c>
      <c r="C13556" s="43" t="s">
        <v>950</v>
      </c>
      <c r="D13556" s="43" t="s">
        <v>1009</v>
      </c>
      <c r="E13556" s="43" t="s">
        <v>274</v>
      </c>
      <c r="F13556" s="43" t="s">
        <v>951</v>
      </c>
      <c r="G13556" s="43">
        <v>6077777</v>
      </c>
      <c r="H13556" s="43">
        <v>501100</v>
      </c>
      <c r="I13556" s="43" t="s">
        <v>949</v>
      </c>
      <c r="J13556" s="44" t="s">
        <v>1000</v>
      </c>
    </row>
    <row r="13557" ht="22" customHeight="1" spans="1:10" x14ac:dyDescent="0.25">
      <c r="A13557" s="43">
        <v>3130</v>
      </c>
      <c r="B13557" s="43">
        <v>60</v>
      </c>
      <c r="C13557" s="43" t="s">
        <v>950</v>
      </c>
      <c r="D13557" s="43" t="s">
        <v>1009</v>
      </c>
      <c r="E13557" s="43" t="s">
        <v>274</v>
      </c>
      <c r="F13557" s="43" t="s">
        <v>952</v>
      </c>
      <c r="G13557" s="43">
        <v>6077777</v>
      </c>
      <c r="H13557" s="43">
        <v>501100</v>
      </c>
      <c r="I13557" s="43" t="s">
        <v>949</v>
      </c>
      <c r="J13557" s="44" t="s">
        <v>1000</v>
      </c>
    </row>
    <row r="13558" ht="22" customHeight="1" spans="1:10" x14ac:dyDescent="0.25">
      <c r="A13558" s="43">
        <v>3130</v>
      </c>
      <c r="B13558" s="43">
        <v>60</v>
      </c>
      <c r="C13558" s="43" t="s">
        <v>950</v>
      </c>
      <c r="D13558" s="43" t="s">
        <v>1009</v>
      </c>
      <c r="E13558" s="43" t="s">
        <v>274</v>
      </c>
      <c r="F13558" s="43" t="s">
        <v>953</v>
      </c>
      <c r="G13558" s="43">
        <v>6077777</v>
      </c>
      <c r="H13558" s="43">
        <v>501100</v>
      </c>
      <c r="I13558" s="43" t="s">
        <v>949</v>
      </c>
      <c r="J13558" s="44" t="s">
        <v>1000</v>
      </c>
    </row>
    <row r="13559" ht="22" customHeight="1" spans="1:10" x14ac:dyDescent="0.25">
      <c r="A13559" s="43">
        <v>3130</v>
      </c>
      <c r="B13559" s="43">
        <v>60</v>
      </c>
      <c r="C13559" s="43" t="s">
        <v>950</v>
      </c>
      <c r="D13559" s="43" t="s">
        <v>1009</v>
      </c>
      <c r="E13559" s="43" t="s">
        <v>274</v>
      </c>
      <c r="F13559" s="43" t="s">
        <v>954</v>
      </c>
      <c r="G13559" s="43">
        <v>6077777</v>
      </c>
      <c r="H13559" s="43">
        <v>501100</v>
      </c>
      <c r="I13559" s="43" t="s">
        <v>949</v>
      </c>
      <c r="J13559" s="44" t="s">
        <v>1000</v>
      </c>
    </row>
    <row r="13560" ht="22" customHeight="1" spans="1:10" x14ac:dyDescent="0.25">
      <c r="A13560" s="43">
        <v>3130</v>
      </c>
      <c r="B13560" s="43">
        <v>60</v>
      </c>
      <c r="C13560" s="43" t="s">
        <v>950</v>
      </c>
      <c r="D13560" s="43" t="s">
        <v>1009</v>
      </c>
      <c r="E13560" s="43" t="s">
        <v>274</v>
      </c>
      <c r="F13560" s="43" t="s">
        <v>955</v>
      </c>
      <c r="G13560" s="43">
        <v>6077777</v>
      </c>
      <c r="H13560" s="43">
        <v>501100</v>
      </c>
      <c r="I13560" s="43" t="s">
        <v>949</v>
      </c>
      <c r="J13560" s="44" t="s">
        <v>1000</v>
      </c>
    </row>
    <row r="13561" ht="22" customHeight="1" spans="1:10" x14ac:dyDescent="0.25">
      <c r="A13561" s="43">
        <v>3130</v>
      </c>
      <c r="B13561" s="43">
        <v>60</v>
      </c>
      <c r="C13561" s="43" t="s">
        <v>950</v>
      </c>
      <c r="D13561" s="43" t="s">
        <v>1009</v>
      </c>
      <c r="E13561" s="43" t="s">
        <v>274</v>
      </c>
      <c r="F13561" s="43" t="s">
        <v>956</v>
      </c>
      <c r="G13561" s="43">
        <v>6077777</v>
      </c>
      <c r="H13561" s="43">
        <v>501100</v>
      </c>
      <c r="I13561" s="43" t="s">
        <v>949</v>
      </c>
      <c r="J13561" s="44" t="s">
        <v>1000</v>
      </c>
    </row>
    <row r="13562" ht="22" customHeight="1" spans="1:10" x14ac:dyDescent="0.25">
      <c r="A13562" s="43">
        <v>3130</v>
      </c>
      <c r="B13562" s="43">
        <v>60</v>
      </c>
      <c r="C13562" s="43" t="s">
        <v>950</v>
      </c>
      <c r="D13562" s="43" t="s">
        <v>1009</v>
      </c>
      <c r="E13562" s="43" t="s">
        <v>274</v>
      </c>
      <c r="F13562" s="43" t="s">
        <v>957</v>
      </c>
      <c r="G13562" s="43">
        <v>6077777</v>
      </c>
      <c r="H13562" s="43">
        <v>501100</v>
      </c>
      <c r="I13562" s="43" t="s">
        <v>949</v>
      </c>
      <c r="J13562" s="44" t="s">
        <v>1000</v>
      </c>
    </row>
    <row r="13563" ht="22" customHeight="1" spans="1:10" x14ac:dyDescent="0.25">
      <c r="A13563" s="43">
        <v>3130</v>
      </c>
      <c r="B13563" s="43">
        <v>60</v>
      </c>
      <c r="C13563" s="43" t="s">
        <v>950</v>
      </c>
      <c r="D13563" s="43" t="s">
        <v>1009</v>
      </c>
      <c r="E13563" s="43" t="s">
        <v>274</v>
      </c>
      <c r="F13563" s="43" t="s">
        <v>958</v>
      </c>
      <c r="G13563" s="43">
        <v>6077777</v>
      </c>
      <c r="H13563" s="43">
        <v>501100</v>
      </c>
      <c r="I13563" s="43" t="s">
        <v>949</v>
      </c>
      <c r="J13563" s="44" t="s">
        <v>1000</v>
      </c>
    </row>
    <row r="13564" ht="22" customHeight="1" spans="1:10" x14ac:dyDescent="0.25">
      <c r="A13564" s="43">
        <v>3130</v>
      </c>
      <c r="B13564" s="43">
        <v>60</v>
      </c>
      <c r="C13564" s="43" t="s">
        <v>950</v>
      </c>
      <c r="D13564" s="43" t="s">
        <v>1009</v>
      </c>
      <c r="E13564" s="43" t="s">
        <v>274</v>
      </c>
      <c r="F13564" s="43" t="s">
        <v>959</v>
      </c>
      <c r="G13564" s="43">
        <v>6077777</v>
      </c>
      <c r="H13564" s="43">
        <v>501100</v>
      </c>
      <c r="I13564" s="43" t="s">
        <v>949</v>
      </c>
      <c r="J13564" s="44" t="s">
        <v>1000</v>
      </c>
    </row>
    <row r="13565" ht="22" customHeight="1" spans="1:10" x14ac:dyDescent="0.25">
      <c r="A13565" s="43">
        <v>3130</v>
      </c>
      <c r="B13565" s="43">
        <v>60</v>
      </c>
      <c r="C13565" s="43" t="s">
        <v>950</v>
      </c>
      <c r="D13565" s="43" t="s">
        <v>1009</v>
      </c>
      <c r="E13565" s="43" t="s">
        <v>274</v>
      </c>
      <c r="F13565" s="43" t="s">
        <v>960</v>
      </c>
      <c r="G13565" s="43">
        <v>6077777</v>
      </c>
      <c r="H13565" s="43">
        <v>501100</v>
      </c>
      <c r="I13565" s="43" t="s">
        <v>949</v>
      </c>
      <c r="J13565" s="44" t="s">
        <v>1000</v>
      </c>
    </row>
    <row r="13566" ht="22" customHeight="1" spans="1:10" x14ac:dyDescent="0.25">
      <c r="A13566" s="43">
        <v>3130</v>
      </c>
      <c r="B13566" s="43">
        <v>60</v>
      </c>
      <c r="C13566" s="43" t="s">
        <v>950</v>
      </c>
      <c r="D13566" s="43" t="s">
        <v>1009</v>
      </c>
      <c r="E13566" s="43" t="s">
        <v>274</v>
      </c>
      <c r="F13566" s="43" t="s">
        <v>961</v>
      </c>
      <c r="G13566" s="43">
        <v>6077777</v>
      </c>
      <c r="H13566" s="43">
        <v>501100</v>
      </c>
      <c r="I13566" s="43" t="s">
        <v>949</v>
      </c>
      <c r="J13566" s="44" t="s">
        <v>1000</v>
      </c>
    </row>
    <row r="13567" ht="22" customHeight="1" spans="1:10" x14ac:dyDescent="0.25">
      <c r="A13567" s="43">
        <v>3130</v>
      </c>
      <c r="B13567" s="43">
        <v>60</v>
      </c>
      <c r="C13567" s="43" t="s">
        <v>962</v>
      </c>
      <c r="D13567" s="43" t="s">
        <v>1009</v>
      </c>
      <c r="E13567" s="43" t="s">
        <v>274</v>
      </c>
      <c r="F13567" s="43" t="s">
        <v>951</v>
      </c>
      <c r="G13567" s="43">
        <v>6077777</v>
      </c>
      <c r="H13567" s="43">
        <v>501100</v>
      </c>
      <c r="I13567" s="43" t="s">
        <v>949</v>
      </c>
      <c r="J13567" s="44" t="s">
        <v>1000</v>
      </c>
    </row>
    <row r="13568" ht="22" customHeight="1" spans="1:10" x14ac:dyDescent="0.25">
      <c r="A13568" s="43">
        <v>3130</v>
      </c>
      <c r="B13568" s="43">
        <v>60</v>
      </c>
      <c r="C13568" s="43" t="s">
        <v>962</v>
      </c>
      <c r="D13568" s="43" t="s">
        <v>1009</v>
      </c>
      <c r="E13568" s="43" t="s">
        <v>274</v>
      </c>
      <c r="F13568" s="43" t="s">
        <v>952</v>
      </c>
      <c r="G13568" s="43">
        <v>6077777</v>
      </c>
      <c r="H13568" s="43">
        <v>501100</v>
      </c>
      <c r="I13568" s="43" t="s">
        <v>949</v>
      </c>
      <c r="J13568" s="44" t="s">
        <v>1000</v>
      </c>
    </row>
    <row r="13569" ht="22" customHeight="1" spans="1:10" x14ac:dyDescent="0.25">
      <c r="A13569" s="43">
        <v>3130</v>
      </c>
      <c r="B13569" s="43">
        <v>60</v>
      </c>
      <c r="C13569" s="43" t="s">
        <v>962</v>
      </c>
      <c r="D13569" s="43" t="s">
        <v>1009</v>
      </c>
      <c r="E13569" s="43" t="s">
        <v>274</v>
      </c>
      <c r="F13569" s="43" t="s">
        <v>953</v>
      </c>
      <c r="G13569" s="43">
        <v>6077777</v>
      </c>
      <c r="H13569" s="43">
        <v>501100</v>
      </c>
      <c r="I13569" s="43" t="s">
        <v>949</v>
      </c>
      <c r="J13569" s="44" t="s">
        <v>1000</v>
      </c>
    </row>
    <row r="13570" ht="22" customHeight="1" spans="1:10" x14ac:dyDescent="0.25">
      <c r="A13570" s="43">
        <v>3130</v>
      </c>
      <c r="B13570" s="43">
        <v>60</v>
      </c>
      <c r="C13570" s="43" t="s">
        <v>962</v>
      </c>
      <c r="D13570" s="43" t="s">
        <v>1009</v>
      </c>
      <c r="E13570" s="43" t="s">
        <v>274</v>
      </c>
      <c r="F13570" s="43" t="s">
        <v>954</v>
      </c>
      <c r="G13570" s="43">
        <v>6077777</v>
      </c>
      <c r="H13570" s="43">
        <v>501100</v>
      </c>
      <c r="I13570" s="43" t="s">
        <v>949</v>
      </c>
      <c r="J13570" s="44" t="s">
        <v>1000</v>
      </c>
    </row>
    <row r="13571" ht="22" customHeight="1" spans="1:10" x14ac:dyDescent="0.25">
      <c r="A13571" s="43">
        <v>3130</v>
      </c>
      <c r="B13571" s="43">
        <v>60</v>
      </c>
      <c r="C13571" s="43" t="s">
        <v>962</v>
      </c>
      <c r="D13571" s="43" t="s">
        <v>1009</v>
      </c>
      <c r="E13571" s="43" t="s">
        <v>274</v>
      </c>
      <c r="F13571" s="43" t="s">
        <v>955</v>
      </c>
      <c r="G13571" s="43">
        <v>6077777</v>
      </c>
      <c r="H13571" s="43">
        <v>501100</v>
      </c>
      <c r="I13571" s="43" t="s">
        <v>949</v>
      </c>
      <c r="J13571" s="44" t="s">
        <v>1000</v>
      </c>
    </row>
    <row r="13572" ht="22" customHeight="1" spans="1:10" x14ac:dyDescent="0.25">
      <c r="A13572" s="43">
        <v>3130</v>
      </c>
      <c r="B13572" s="43">
        <v>60</v>
      </c>
      <c r="C13572" s="43" t="s">
        <v>962</v>
      </c>
      <c r="D13572" s="43" t="s">
        <v>1009</v>
      </c>
      <c r="E13572" s="43" t="s">
        <v>274</v>
      </c>
      <c r="F13572" s="43" t="s">
        <v>956</v>
      </c>
      <c r="G13572" s="43">
        <v>6077777</v>
      </c>
      <c r="H13572" s="43">
        <v>501100</v>
      </c>
      <c r="I13572" s="43" t="s">
        <v>949</v>
      </c>
      <c r="J13572" s="44" t="s">
        <v>1000</v>
      </c>
    </row>
    <row r="13573" ht="22" customHeight="1" spans="1:10" x14ac:dyDescent="0.25">
      <c r="A13573" s="43">
        <v>3130</v>
      </c>
      <c r="B13573" s="43">
        <v>60</v>
      </c>
      <c r="C13573" s="43" t="s">
        <v>962</v>
      </c>
      <c r="D13573" s="43" t="s">
        <v>1009</v>
      </c>
      <c r="E13573" s="43" t="s">
        <v>274</v>
      </c>
      <c r="F13573" s="43" t="s">
        <v>957</v>
      </c>
      <c r="G13573" s="43">
        <v>6077777</v>
      </c>
      <c r="H13573" s="43">
        <v>501100</v>
      </c>
      <c r="I13573" s="43" t="s">
        <v>949</v>
      </c>
      <c r="J13573" s="44" t="s">
        <v>1000</v>
      </c>
    </row>
    <row r="13574" ht="22" customHeight="1" spans="1:10" x14ac:dyDescent="0.25">
      <c r="A13574" s="43">
        <v>3130</v>
      </c>
      <c r="B13574" s="43">
        <v>60</v>
      </c>
      <c r="C13574" s="43" t="s">
        <v>962</v>
      </c>
      <c r="D13574" s="43" t="s">
        <v>1009</v>
      </c>
      <c r="E13574" s="43" t="s">
        <v>274</v>
      </c>
      <c r="F13574" s="43" t="s">
        <v>958</v>
      </c>
      <c r="G13574" s="43">
        <v>6077777</v>
      </c>
      <c r="H13574" s="43">
        <v>501100</v>
      </c>
      <c r="I13574" s="43" t="s">
        <v>949</v>
      </c>
      <c r="J13574" s="44" t="s">
        <v>1000</v>
      </c>
    </row>
    <row r="13575" ht="22" customHeight="1" spans="1:10" x14ac:dyDescent="0.25">
      <c r="A13575" s="43">
        <v>3130</v>
      </c>
      <c r="B13575" s="43">
        <v>60</v>
      </c>
      <c r="C13575" s="43" t="s">
        <v>962</v>
      </c>
      <c r="D13575" s="43" t="s">
        <v>1009</v>
      </c>
      <c r="E13575" s="43" t="s">
        <v>274</v>
      </c>
      <c r="F13575" s="43" t="s">
        <v>959</v>
      </c>
      <c r="G13575" s="43">
        <v>6077777</v>
      </c>
      <c r="H13575" s="43">
        <v>501100</v>
      </c>
      <c r="I13575" s="43" t="s">
        <v>949</v>
      </c>
      <c r="J13575" s="44" t="s">
        <v>1000</v>
      </c>
    </row>
    <row r="13576" ht="22" customHeight="1" spans="1:10" x14ac:dyDescent="0.25">
      <c r="A13576" s="43">
        <v>3130</v>
      </c>
      <c r="B13576" s="43">
        <v>60</v>
      </c>
      <c r="C13576" s="43" t="s">
        <v>962</v>
      </c>
      <c r="D13576" s="43" t="s">
        <v>1009</v>
      </c>
      <c r="E13576" s="43" t="s">
        <v>274</v>
      </c>
      <c r="F13576" s="43" t="s">
        <v>960</v>
      </c>
      <c r="G13576" s="43">
        <v>6077777</v>
      </c>
      <c r="H13576" s="43">
        <v>501100</v>
      </c>
      <c r="I13576" s="43" t="s">
        <v>949</v>
      </c>
      <c r="J13576" s="44" t="s">
        <v>1000</v>
      </c>
    </row>
    <row r="13577" ht="22" customHeight="1" spans="1:10" x14ac:dyDescent="0.25">
      <c r="A13577" s="43">
        <v>3130</v>
      </c>
      <c r="B13577" s="43">
        <v>60</v>
      </c>
      <c r="C13577" s="43" t="s">
        <v>962</v>
      </c>
      <c r="D13577" s="43" t="s">
        <v>1009</v>
      </c>
      <c r="E13577" s="43" t="s">
        <v>274</v>
      </c>
      <c r="F13577" s="43" t="s">
        <v>961</v>
      </c>
      <c r="G13577" s="43">
        <v>6077777</v>
      </c>
      <c r="H13577" s="43">
        <v>501100</v>
      </c>
      <c r="I13577" s="43" t="s">
        <v>949</v>
      </c>
      <c r="J13577" s="44" t="s">
        <v>1000</v>
      </c>
    </row>
    <row r="13578" ht="22" customHeight="1" spans="1:10" x14ac:dyDescent="0.25">
      <c r="A13578" s="43">
        <v>3130</v>
      </c>
      <c r="B13578" s="43">
        <v>60</v>
      </c>
      <c r="C13578" s="43" t="s">
        <v>963</v>
      </c>
      <c r="D13578" s="43" t="s">
        <v>1009</v>
      </c>
      <c r="E13578" s="43" t="s">
        <v>274</v>
      </c>
      <c r="F13578" s="43" t="s">
        <v>951</v>
      </c>
      <c r="G13578" s="43">
        <v>6077777</v>
      </c>
      <c r="H13578" s="43">
        <v>501100</v>
      </c>
      <c r="I13578" s="43" t="s">
        <v>949</v>
      </c>
      <c r="J13578" s="44" t="s">
        <v>1000</v>
      </c>
    </row>
    <row r="13579" ht="22" customHeight="1" spans="1:10" x14ac:dyDescent="0.25">
      <c r="A13579" s="43">
        <v>3130</v>
      </c>
      <c r="B13579" s="43">
        <v>60</v>
      </c>
      <c r="C13579" s="43" t="s">
        <v>963</v>
      </c>
      <c r="D13579" s="43" t="s">
        <v>1009</v>
      </c>
      <c r="E13579" s="43" t="s">
        <v>274</v>
      </c>
      <c r="F13579" s="43" t="s">
        <v>952</v>
      </c>
      <c r="G13579" s="43">
        <v>6077777</v>
      </c>
      <c r="H13579" s="43">
        <v>501100</v>
      </c>
      <c r="I13579" s="43" t="s">
        <v>949</v>
      </c>
      <c r="J13579" s="44" t="s">
        <v>1000</v>
      </c>
    </row>
    <row r="13580" ht="22" customHeight="1" spans="1:10" x14ac:dyDescent="0.25">
      <c r="A13580" s="43">
        <v>3130</v>
      </c>
      <c r="B13580" s="43">
        <v>60</v>
      </c>
      <c r="C13580" s="43" t="s">
        <v>963</v>
      </c>
      <c r="D13580" s="43" t="s">
        <v>1009</v>
      </c>
      <c r="E13580" s="43" t="s">
        <v>274</v>
      </c>
      <c r="F13580" s="43" t="s">
        <v>953</v>
      </c>
      <c r="G13580" s="43">
        <v>6077777</v>
      </c>
      <c r="H13580" s="43">
        <v>501100</v>
      </c>
      <c r="I13580" s="43" t="s">
        <v>949</v>
      </c>
      <c r="J13580" s="44" t="s">
        <v>1000</v>
      </c>
    </row>
    <row r="13581" ht="22" customHeight="1" spans="1:10" x14ac:dyDescent="0.25">
      <c r="A13581" s="43">
        <v>3130</v>
      </c>
      <c r="B13581" s="43">
        <v>60</v>
      </c>
      <c r="C13581" s="43" t="s">
        <v>963</v>
      </c>
      <c r="D13581" s="43" t="s">
        <v>1009</v>
      </c>
      <c r="E13581" s="43" t="s">
        <v>274</v>
      </c>
      <c r="F13581" s="43" t="s">
        <v>954</v>
      </c>
      <c r="G13581" s="43">
        <v>6077777</v>
      </c>
      <c r="H13581" s="43">
        <v>501100</v>
      </c>
      <c r="I13581" s="43" t="s">
        <v>949</v>
      </c>
      <c r="J13581" s="44" t="s">
        <v>1000</v>
      </c>
    </row>
    <row r="13582" ht="22" customHeight="1" spans="1:10" x14ac:dyDescent="0.25">
      <c r="A13582" s="43">
        <v>3130</v>
      </c>
      <c r="B13582" s="43">
        <v>60</v>
      </c>
      <c r="C13582" s="43" t="s">
        <v>963</v>
      </c>
      <c r="D13582" s="43" t="s">
        <v>1009</v>
      </c>
      <c r="E13582" s="43" t="s">
        <v>274</v>
      </c>
      <c r="F13582" s="43" t="s">
        <v>955</v>
      </c>
      <c r="G13582" s="43">
        <v>6077777</v>
      </c>
      <c r="H13582" s="43">
        <v>501100</v>
      </c>
      <c r="I13582" s="43" t="s">
        <v>949</v>
      </c>
      <c r="J13582" s="44" t="s">
        <v>1000</v>
      </c>
    </row>
    <row r="13583" ht="22" customHeight="1" spans="1:10" x14ac:dyDescent="0.25">
      <c r="A13583" s="43">
        <v>3130</v>
      </c>
      <c r="B13583" s="43">
        <v>60</v>
      </c>
      <c r="C13583" s="43" t="s">
        <v>963</v>
      </c>
      <c r="D13583" s="43" t="s">
        <v>1009</v>
      </c>
      <c r="E13583" s="43" t="s">
        <v>274</v>
      </c>
      <c r="F13583" s="43" t="s">
        <v>956</v>
      </c>
      <c r="G13583" s="43">
        <v>6077777</v>
      </c>
      <c r="H13583" s="43">
        <v>501100</v>
      </c>
      <c r="I13583" s="43" t="s">
        <v>949</v>
      </c>
      <c r="J13583" s="44" t="s">
        <v>1000</v>
      </c>
    </row>
    <row r="13584" ht="22" customHeight="1" spans="1:10" x14ac:dyDescent="0.25">
      <c r="A13584" s="43">
        <v>3130</v>
      </c>
      <c r="B13584" s="43">
        <v>60</v>
      </c>
      <c r="C13584" s="43" t="s">
        <v>963</v>
      </c>
      <c r="D13584" s="43" t="s">
        <v>1009</v>
      </c>
      <c r="E13584" s="43" t="s">
        <v>274</v>
      </c>
      <c r="F13584" s="43" t="s">
        <v>957</v>
      </c>
      <c r="G13584" s="43">
        <v>6077777</v>
      </c>
      <c r="H13584" s="43">
        <v>501100</v>
      </c>
      <c r="I13584" s="43" t="s">
        <v>949</v>
      </c>
      <c r="J13584" s="44" t="s">
        <v>1000</v>
      </c>
    </row>
    <row r="13585" ht="22" customHeight="1" spans="1:10" x14ac:dyDescent="0.25">
      <c r="A13585" s="43">
        <v>3130</v>
      </c>
      <c r="B13585" s="43">
        <v>60</v>
      </c>
      <c r="C13585" s="43" t="s">
        <v>963</v>
      </c>
      <c r="D13585" s="43" t="s">
        <v>1009</v>
      </c>
      <c r="E13585" s="43" t="s">
        <v>274</v>
      </c>
      <c r="F13585" s="43" t="s">
        <v>958</v>
      </c>
      <c r="G13585" s="43">
        <v>6077777</v>
      </c>
      <c r="H13585" s="43">
        <v>501100</v>
      </c>
      <c r="I13585" s="43" t="s">
        <v>949</v>
      </c>
      <c r="J13585" s="44" t="s">
        <v>1000</v>
      </c>
    </row>
    <row r="13586" ht="22" customHeight="1" spans="1:10" x14ac:dyDescent="0.25">
      <c r="A13586" s="43">
        <v>3130</v>
      </c>
      <c r="B13586" s="43">
        <v>60</v>
      </c>
      <c r="C13586" s="43" t="s">
        <v>963</v>
      </c>
      <c r="D13586" s="43" t="s">
        <v>1009</v>
      </c>
      <c r="E13586" s="43" t="s">
        <v>274</v>
      </c>
      <c r="F13586" s="43" t="s">
        <v>959</v>
      </c>
      <c r="G13586" s="43">
        <v>6077777</v>
      </c>
      <c r="H13586" s="43">
        <v>501100</v>
      </c>
      <c r="I13586" s="43" t="s">
        <v>949</v>
      </c>
      <c r="J13586" s="44" t="s">
        <v>1000</v>
      </c>
    </row>
    <row r="13587" ht="22" customHeight="1" spans="1:10" x14ac:dyDescent="0.25">
      <c r="A13587" s="43">
        <v>3130</v>
      </c>
      <c r="B13587" s="43">
        <v>60</v>
      </c>
      <c r="C13587" s="43" t="s">
        <v>963</v>
      </c>
      <c r="D13587" s="43" t="s">
        <v>1009</v>
      </c>
      <c r="E13587" s="43" t="s">
        <v>274</v>
      </c>
      <c r="F13587" s="43" t="s">
        <v>960</v>
      </c>
      <c r="G13587" s="43">
        <v>6077777</v>
      </c>
      <c r="H13587" s="43">
        <v>501100</v>
      </c>
      <c r="I13587" s="43" t="s">
        <v>949</v>
      </c>
      <c r="J13587" s="44" t="s">
        <v>1000</v>
      </c>
    </row>
    <row r="13588" ht="22" customHeight="1" spans="1:10" x14ac:dyDescent="0.25">
      <c r="A13588" s="43">
        <v>3130</v>
      </c>
      <c r="B13588" s="43">
        <v>60</v>
      </c>
      <c r="C13588" s="43" t="s">
        <v>963</v>
      </c>
      <c r="D13588" s="43" t="s">
        <v>1009</v>
      </c>
      <c r="E13588" s="43" t="s">
        <v>274</v>
      </c>
      <c r="F13588" s="43" t="s">
        <v>961</v>
      </c>
      <c r="G13588" s="43">
        <v>6077777</v>
      </c>
      <c r="H13588" s="43">
        <v>501100</v>
      </c>
      <c r="I13588" s="43" t="s">
        <v>949</v>
      </c>
      <c r="J13588" s="44" t="s">
        <v>1000</v>
      </c>
    </row>
    <row r="13589" spans="1:9" x14ac:dyDescent="0.25">
      <c r="A13589">
        <v>4122</v>
      </c>
      <c r="B13589">
        <v>60</v>
      </c>
      <c r="C13589" t="s">
        <v>946</v>
      </c>
      <c r="D13589" t="s">
        <v>1009</v>
      </c>
      <c r="E13589" t="s">
        <v>274</v>
      </c>
      <c r="F13589" t="s">
        <v>948</v>
      </c>
      <c r="G13589">
        <v>6000000</v>
      </c>
      <c r="H13589">
        <v>143000</v>
      </c>
      <c r="I13589" t="s">
        <v>973</v>
      </c>
    </row>
    <row r="13590" spans="1:9" x14ac:dyDescent="0.25">
      <c r="A13590">
        <v>4124</v>
      </c>
      <c r="B13590">
        <v>60</v>
      </c>
      <c r="C13590" t="s">
        <v>946</v>
      </c>
      <c r="D13590" t="s">
        <v>1009</v>
      </c>
      <c r="E13590" t="s">
        <v>274</v>
      </c>
      <c r="F13590" t="s">
        <v>948</v>
      </c>
      <c r="G13590">
        <v>6077777</v>
      </c>
      <c r="H13590">
        <v>501100</v>
      </c>
      <c r="I13590" t="s">
        <v>949</v>
      </c>
    </row>
    <row r="13591" ht="22" customHeight="1" spans="1:10" x14ac:dyDescent="0.25">
      <c r="A13591" s="43">
        <v>3130</v>
      </c>
      <c r="B13591" s="43">
        <v>60</v>
      </c>
      <c r="C13591" s="43" t="s">
        <v>950</v>
      </c>
      <c r="D13591" s="43" t="s">
        <v>1009</v>
      </c>
      <c r="E13591" s="43" t="s">
        <v>974</v>
      </c>
      <c r="F13591" s="43" t="s">
        <v>951</v>
      </c>
      <c r="G13591" s="43">
        <v>6077777</v>
      </c>
      <c r="H13591" s="43">
        <v>501100</v>
      </c>
      <c r="I13591" s="43" t="s">
        <v>949</v>
      </c>
      <c r="J13591" s="44" t="s">
        <v>1000</v>
      </c>
    </row>
    <row r="13592" ht="22" customHeight="1" spans="1:10" x14ac:dyDescent="0.25">
      <c r="A13592" s="43">
        <v>3130</v>
      </c>
      <c r="B13592" s="43">
        <v>60</v>
      </c>
      <c r="C13592" s="43" t="s">
        <v>950</v>
      </c>
      <c r="D13592" s="43" t="s">
        <v>1009</v>
      </c>
      <c r="E13592" s="43" t="s">
        <v>974</v>
      </c>
      <c r="F13592" s="43" t="s">
        <v>952</v>
      </c>
      <c r="G13592" s="43">
        <v>6077777</v>
      </c>
      <c r="H13592" s="43">
        <v>501100</v>
      </c>
      <c r="I13592" s="43" t="s">
        <v>949</v>
      </c>
      <c r="J13592" s="44" t="s">
        <v>1000</v>
      </c>
    </row>
    <row r="13593" ht="22" customHeight="1" spans="1:10" x14ac:dyDescent="0.25">
      <c r="A13593" s="43">
        <v>3130</v>
      </c>
      <c r="B13593" s="43">
        <v>60</v>
      </c>
      <c r="C13593" s="43" t="s">
        <v>950</v>
      </c>
      <c r="D13593" s="43" t="s">
        <v>1009</v>
      </c>
      <c r="E13593" s="43" t="s">
        <v>974</v>
      </c>
      <c r="F13593" s="43" t="s">
        <v>953</v>
      </c>
      <c r="G13593" s="43">
        <v>6077777</v>
      </c>
      <c r="H13593" s="43">
        <v>501100</v>
      </c>
      <c r="I13593" s="43" t="s">
        <v>949</v>
      </c>
      <c r="J13593" s="44" t="s">
        <v>1000</v>
      </c>
    </row>
    <row r="13594" ht="22" customHeight="1" spans="1:10" x14ac:dyDescent="0.25">
      <c r="A13594" s="43">
        <v>3130</v>
      </c>
      <c r="B13594" s="43">
        <v>60</v>
      </c>
      <c r="C13594" s="43" t="s">
        <v>950</v>
      </c>
      <c r="D13594" s="43" t="s">
        <v>1009</v>
      </c>
      <c r="E13594" s="43" t="s">
        <v>974</v>
      </c>
      <c r="F13594" s="43" t="s">
        <v>954</v>
      </c>
      <c r="G13594" s="43">
        <v>6077777</v>
      </c>
      <c r="H13594" s="43">
        <v>501100</v>
      </c>
      <c r="I13594" s="43" t="s">
        <v>949</v>
      </c>
      <c r="J13594" s="44" t="s">
        <v>1000</v>
      </c>
    </row>
    <row r="13595" ht="22" customHeight="1" spans="1:10" x14ac:dyDescent="0.25">
      <c r="A13595" s="43">
        <v>3130</v>
      </c>
      <c r="B13595" s="43">
        <v>60</v>
      </c>
      <c r="C13595" s="43" t="s">
        <v>950</v>
      </c>
      <c r="D13595" s="43" t="s">
        <v>1009</v>
      </c>
      <c r="E13595" s="43" t="s">
        <v>974</v>
      </c>
      <c r="F13595" s="43" t="s">
        <v>955</v>
      </c>
      <c r="G13595" s="43">
        <v>6077777</v>
      </c>
      <c r="H13595" s="43">
        <v>501100</v>
      </c>
      <c r="I13595" s="43" t="s">
        <v>949</v>
      </c>
      <c r="J13595" s="44" t="s">
        <v>1000</v>
      </c>
    </row>
    <row r="13596" ht="22" customHeight="1" spans="1:10" x14ac:dyDescent="0.25">
      <c r="A13596" s="43">
        <v>3130</v>
      </c>
      <c r="B13596" s="43">
        <v>60</v>
      </c>
      <c r="C13596" s="43" t="s">
        <v>950</v>
      </c>
      <c r="D13596" s="43" t="s">
        <v>1009</v>
      </c>
      <c r="E13596" s="43" t="s">
        <v>974</v>
      </c>
      <c r="F13596" s="43" t="s">
        <v>956</v>
      </c>
      <c r="G13596" s="43">
        <v>6077777</v>
      </c>
      <c r="H13596" s="43">
        <v>501100</v>
      </c>
      <c r="I13596" s="43" t="s">
        <v>949</v>
      </c>
      <c r="J13596" s="44" t="s">
        <v>1000</v>
      </c>
    </row>
    <row r="13597" ht="22" customHeight="1" spans="1:10" x14ac:dyDescent="0.25">
      <c r="A13597" s="43">
        <v>3130</v>
      </c>
      <c r="B13597" s="43">
        <v>60</v>
      </c>
      <c r="C13597" s="43" t="s">
        <v>950</v>
      </c>
      <c r="D13597" s="43" t="s">
        <v>1009</v>
      </c>
      <c r="E13597" s="43" t="s">
        <v>974</v>
      </c>
      <c r="F13597" s="43" t="s">
        <v>957</v>
      </c>
      <c r="G13597" s="43">
        <v>6077777</v>
      </c>
      <c r="H13597" s="43">
        <v>501100</v>
      </c>
      <c r="I13597" s="43" t="s">
        <v>949</v>
      </c>
      <c r="J13597" s="44" t="s">
        <v>1000</v>
      </c>
    </row>
    <row r="13598" ht="22" customHeight="1" spans="1:10" x14ac:dyDescent="0.25">
      <c r="A13598" s="43">
        <v>3130</v>
      </c>
      <c r="B13598" s="43">
        <v>60</v>
      </c>
      <c r="C13598" s="43" t="s">
        <v>950</v>
      </c>
      <c r="D13598" s="43" t="s">
        <v>1009</v>
      </c>
      <c r="E13598" s="43" t="s">
        <v>974</v>
      </c>
      <c r="F13598" s="43" t="s">
        <v>958</v>
      </c>
      <c r="G13598" s="43">
        <v>6077777</v>
      </c>
      <c r="H13598" s="43">
        <v>501100</v>
      </c>
      <c r="I13598" s="43" t="s">
        <v>949</v>
      </c>
      <c r="J13598" s="44" t="s">
        <v>1000</v>
      </c>
    </row>
    <row r="13599" ht="22" customHeight="1" spans="1:10" x14ac:dyDescent="0.25">
      <c r="A13599" s="43">
        <v>3130</v>
      </c>
      <c r="B13599" s="43">
        <v>60</v>
      </c>
      <c r="C13599" s="43" t="s">
        <v>950</v>
      </c>
      <c r="D13599" s="43" t="s">
        <v>1009</v>
      </c>
      <c r="E13599" s="43" t="s">
        <v>974</v>
      </c>
      <c r="F13599" s="43" t="s">
        <v>959</v>
      </c>
      <c r="G13599" s="43">
        <v>6077777</v>
      </c>
      <c r="H13599" s="43">
        <v>501100</v>
      </c>
      <c r="I13599" s="43" t="s">
        <v>949</v>
      </c>
      <c r="J13599" s="44" t="s">
        <v>1000</v>
      </c>
    </row>
    <row r="13600" ht="22" customHeight="1" spans="1:10" x14ac:dyDescent="0.25">
      <c r="A13600" s="43">
        <v>3130</v>
      </c>
      <c r="B13600" s="43">
        <v>60</v>
      </c>
      <c r="C13600" s="43" t="s">
        <v>950</v>
      </c>
      <c r="D13600" s="43" t="s">
        <v>1009</v>
      </c>
      <c r="E13600" s="43" t="s">
        <v>974</v>
      </c>
      <c r="F13600" s="43" t="s">
        <v>960</v>
      </c>
      <c r="G13600" s="43">
        <v>6077777</v>
      </c>
      <c r="H13600" s="43">
        <v>501100</v>
      </c>
      <c r="I13600" s="43" t="s">
        <v>949</v>
      </c>
      <c r="J13600" s="44" t="s">
        <v>1000</v>
      </c>
    </row>
    <row r="13601" ht="22" customHeight="1" spans="1:10" x14ac:dyDescent="0.25">
      <c r="A13601" s="43">
        <v>3130</v>
      </c>
      <c r="B13601" s="43">
        <v>60</v>
      </c>
      <c r="C13601" s="43" t="s">
        <v>950</v>
      </c>
      <c r="D13601" s="43" t="s">
        <v>1009</v>
      </c>
      <c r="E13601" s="43" t="s">
        <v>974</v>
      </c>
      <c r="F13601" s="43" t="s">
        <v>961</v>
      </c>
      <c r="G13601" s="43">
        <v>6077777</v>
      </c>
      <c r="H13601" s="43">
        <v>501100</v>
      </c>
      <c r="I13601" s="43" t="s">
        <v>949</v>
      </c>
      <c r="J13601" s="44" t="s">
        <v>1000</v>
      </c>
    </row>
    <row r="13602" ht="22" customHeight="1" spans="1:10" x14ac:dyDescent="0.25">
      <c r="A13602" s="43">
        <v>3130</v>
      </c>
      <c r="B13602" s="43">
        <v>60</v>
      </c>
      <c r="C13602" s="43" t="s">
        <v>962</v>
      </c>
      <c r="D13602" s="43" t="s">
        <v>1009</v>
      </c>
      <c r="E13602" s="43" t="s">
        <v>974</v>
      </c>
      <c r="F13602" s="43" t="s">
        <v>951</v>
      </c>
      <c r="G13602" s="43">
        <v>6077777</v>
      </c>
      <c r="H13602" s="43">
        <v>501100</v>
      </c>
      <c r="I13602" s="43" t="s">
        <v>949</v>
      </c>
      <c r="J13602" s="44" t="s">
        <v>1000</v>
      </c>
    </row>
    <row r="13603" ht="22" customHeight="1" spans="1:10" x14ac:dyDescent="0.25">
      <c r="A13603" s="43">
        <v>3130</v>
      </c>
      <c r="B13603" s="43">
        <v>60</v>
      </c>
      <c r="C13603" s="43" t="s">
        <v>962</v>
      </c>
      <c r="D13603" s="43" t="s">
        <v>1009</v>
      </c>
      <c r="E13603" s="43" t="s">
        <v>974</v>
      </c>
      <c r="F13603" s="43" t="s">
        <v>952</v>
      </c>
      <c r="G13603" s="43">
        <v>6077777</v>
      </c>
      <c r="H13603" s="43">
        <v>501100</v>
      </c>
      <c r="I13603" s="43" t="s">
        <v>949</v>
      </c>
      <c r="J13603" s="44" t="s">
        <v>1000</v>
      </c>
    </row>
    <row r="13604" ht="22" customHeight="1" spans="1:10" x14ac:dyDescent="0.25">
      <c r="A13604" s="43">
        <v>3130</v>
      </c>
      <c r="B13604" s="43">
        <v>60</v>
      </c>
      <c r="C13604" s="43" t="s">
        <v>962</v>
      </c>
      <c r="D13604" s="43" t="s">
        <v>1009</v>
      </c>
      <c r="E13604" s="43" t="s">
        <v>974</v>
      </c>
      <c r="F13604" s="43" t="s">
        <v>953</v>
      </c>
      <c r="G13604" s="43">
        <v>6077777</v>
      </c>
      <c r="H13604" s="43">
        <v>501100</v>
      </c>
      <c r="I13604" s="43" t="s">
        <v>949</v>
      </c>
      <c r="J13604" s="44" t="s">
        <v>1000</v>
      </c>
    </row>
    <row r="13605" ht="22" customHeight="1" spans="1:10" x14ac:dyDescent="0.25">
      <c r="A13605" s="43">
        <v>3130</v>
      </c>
      <c r="B13605" s="43">
        <v>60</v>
      </c>
      <c r="C13605" s="43" t="s">
        <v>962</v>
      </c>
      <c r="D13605" s="43" t="s">
        <v>1009</v>
      </c>
      <c r="E13605" s="43" t="s">
        <v>974</v>
      </c>
      <c r="F13605" s="43" t="s">
        <v>954</v>
      </c>
      <c r="G13605" s="43">
        <v>6077777</v>
      </c>
      <c r="H13605" s="43">
        <v>501100</v>
      </c>
      <c r="I13605" s="43" t="s">
        <v>949</v>
      </c>
      <c r="J13605" s="44" t="s">
        <v>1000</v>
      </c>
    </row>
    <row r="13606" ht="22" customHeight="1" spans="1:10" x14ac:dyDescent="0.25">
      <c r="A13606" s="43">
        <v>3130</v>
      </c>
      <c r="B13606" s="43">
        <v>60</v>
      </c>
      <c r="C13606" s="43" t="s">
        <v>962</v>
      </c>
      <c r="D13606" s="43" t="s">
        <v>1009</v>
      </c>
      <c r="E13606" s="43" t="s">
        <v>974</v>
      </c>
      <c r="F13606" s="43" t="s">
        <v>955</v>
      </c>
      <c r="G13606" s="43">
        <v>6077777</v>
      </c>
      <c r="H13606" s="43">
        <v>501100</v>
      </c>
      <c r="I13606" s="43" t="s">
        <v>949</v>
      </c>
      <c r="J13606" s="44" t="s">
        <v>1000</v>
      </c>
    </row>
    <row r="13607" ht="22" customHeight="1" spans="1:10" x14ac:dyDescent="0.25">
      <c r="A13607" s="43">
        <v>3130</v>
      </c>
      <c r="B13607" s="43">
        <v>60</v>
      </c>
      <c r="C13607" s="43" t="s">
        <v>962</v>
      </c>
      <c r="D13607" s="43" t="s">
        <v>1009</v>
      </c>
      <c r="E13607" s="43" t="s">
        <v>974</v>
      </c>
      <c r="F13607" s="43" t="s">
        <v>956</v>
      </c>
      <c r="G13607" s="43">
        <v>6077777</v>
      </c>
      <c r="H13607" s="43">
        <v>501100</v>
      </c>
      <c r="I13607" s="43" t="s">
        <v>949</v>
      </c>
      <c r="J13607" s="44" t="s">
        <v>1000</v>
      </c>
    </row>
    <row r="13608" ht="22" customHeight="1" spans="1:10" x14ac:dyDescent="0.25">
      <c r="A13608" s="43">
        <v>3130</v>
      </c>
      <c r="B13608" s="43">
        <v>60</v>
      </c>
      <c r="C13608" s="43" t="s">
        <v>962</v>
      </c>
      <c r="D13608" s="43" t="s">
        <v>1009</v>
      </c>
      <c r="E13608" s="43" t="s">
        <v>974</v>
      </c>
      <c r="F13608" s="43" t="s">
        <v>957</v>
      </c>
      <c r="G13608" s="43">
        <v>6077777</v>
      </c>
      <c r="H13608" s="43">
        <v>501100</v>
      </c>
      <c r="I13608" s="43" t="s">
        <v>949</v>
      </c>
      <c r="J13608" s="44" t="s">
        <v>1000</v>
      </c>
    </row>
    <row r="13609" ht="22" customHeight="1" spans="1:10" x14ac:dyDescent="0.25">
      <c r="A13609" s="43">
        <v>3130</v>
      </c>
      <c r="B13609" s="43">
        <v>60</v>
      </c>
      <c r="C13609" s="43" t="s">
        <v>962</v>
      </c>
      <c r="D13609" s="43" t="s">
        <v>1009</v>
      </c>
      <c r="E13609" s="43" t="s">
        <v>974</v>
      </c>
      <c r="F13609" s="43" t="s">
        <v>958</v>
      </c>
      <c r="G13609" s="43">
        <v>6077777</v>
      </c>
      <c r="H13609" s="43">
        <v>501100</v>
      </c>
      <c r="I13609" s="43" t="s">
        <v>949</v>
      </c>
      <c r="J13609" s="44" t="s">
        <v>1000</v>
      </c>
    </row>
    <row r="13610" ht="22" customHeight="1" spans="1:10" x14ac:dyDescent="0.25">
      <c r="A13610" s="43">
        <v>3130</v>
      </c>
      <c r="B13610" s="43">
        <v>60</v>
      </c>
      <c r="C13610" s="43" t="s">
        <v>962</v>
      </c>
      <c r="D13610" s="43" t="s">
        <v>1009</v>
      </c>
      <c r="E13610" s="43" t="s">
        <v>974</v>
      </c>
      <c r="F13610" s="43" t="s">
        <v>959</v>
      </c>
      <c r="G13610" s="43">
        <v>6077777</v>
      </c>
      <c r="H13610" s="43">
        <v>501100</v>
      </c>
      <c r="I13610" s="43" t="s">
        <v>949</v>
      </c>
      <c r="J13610" s="44" t="s">
        <v>1000</v>
      </c>
    </row>
    <row r="13611" ht="22" customHeight="1" spans="1:10" x14ac:dyDescent="0.25">
      <c r="A13611" s="43">
        <v>3130</v>
      </c>
      <c r="B13611" s="43">
        <v>60</v>
      </c>
      <c r="C13611" s="43" t="s">
        <v>962</v>
      </c>
      <c r="D13611" s="43" t="s">
        <v>1009</v>
      </c>
      <c r="E13611" s="43" t="s">
        <v>974</v>
      </c>
      <c r="F13611" s="43" t="s">
        <v>960</v>
      </c>
      <c r="G13611" s="43">
        <v>6077777</v>
      </c>
      <c r="H13611" s="43">
        <v>501100</v>
      </c>
      <c r="I13611" s="43" t="s">
        <v>949</v>
      </c>
      <c r="J13611" s="44" t="s">
        <v>1000</v>
      </c>
    </row>
    <row r="13612" ht="22" customHeight="1" spans="1:10" x14ac:dyDescent="0.25">
      <c r="A13612" s="43">
        <v>3130</v>
      </c>
      <c r="B13612" s="43">
        <v>60</v>
      </c>
      <c r="C13612" s="43" t="s">
        <v>962</v>
      </c>
      <c r="D13612" s="43" t="s">
        <v>1009</v>
      </c>
      <c r="E13612" s="43" t="s">
        <v>974</v>
      </c>
      <c r="F13612" s="43" t="s">
        <v>961</v>
      </c>
      <c r="G13612" s="43">
        <v>6077777</v>
      </c>
      <c r="H13612" s="43">
        <v>501100</v>
      </c>
      <c r="I13612" s="43" t="s">
        <v>949</v>
      </c>
      <c r="J13612" s="44" t="s">
        <v>1000</v>
      </c>
    </row>
    <row r="13613" ht="22" customHeight="1" spans="1:10" x14ac:dyDescent="0.25">
      <c r="A13613" s="43">
        <v>3130</v>
      </c>
      <c r="B13613" s="43">
        <v>60</v>
      </c>
      <c r="C13613" s="43" t="s">
        <v>963</v>
      </c>
      <c r="D13613" s="43" t="s">
        <v>1009</v>
      </c>
      <c r="E13613" s="43" t="s">
        <v>974</v>
      </c>
      <c r="F13613" s="43" t="s">
        <v>951</v>
      </c>
      <c r="G13613" s="43">
        <v>6077777</v>
      </c>
      <c r="H13613" s="43">
        <v>501100</v>
      </c>
      <c r="I13613" s="43" t="s">
        <v>949</v>
      </c>
      <c r="J13613" s="44" t="s">
        <v>1000</v>
      </c>
    </row>
    <row r="13614" ht="22" customHeight="1" spans="1:10" x14ac:dyDescent="0.25">
      <c r="A13614" s="43">
        <v>3130</v>
      </c>
      <c r="B13614" s="43">
        <v>60</v>
      </c>
      <c r="C13614" s="43" t="s">
        <v>963</v>
      </c>
      <c r="D13614" s="43" t="s">
        <v>1009</v>
      </c>
      <c r="E13614" s="43" t="s">
        <v>974</v>
      </c>
      <c r="F13614" s="43" t="s">
        <v>952</v>
      </c>
      <c r="G13614" s="43">
        <v>6077777</v>
      </c>
      <c r="H13614" s="43">
        <v>501100</v>
      </c>
      <c r="I13614" s="43" t="s">
        <v>949</v>
      </c>
      <c r="J13614" s="44" t="s">
        <v>1000</v>
      </c>
    </row>
    <row r="13615" ht="22" customHeight="1" spans="1:10" x14ac:dyDescent="0.25">
      <c r="A13615" s="43">
        <v>3130</v>
      </c>
      <c r="B13615" s="43">
        <v>60</v>
      </c>
      <c r="C13615" s="43" t="s">
        <v>963</v>
      </c>
      <c r="D13615" s="43" t="s">
        <v>1009</v>
      </c>
      <c r="E13615" s="43" t="s">
        <v>974</v>
      </c>
      <c r="F13615" s="43" t="s">
        <v>953</v>
      </c>
      <c r="G13615" s="43">
        <v>6077777</v>
      </c>
      <c r="H13615" s="43">
        <v>501100</v>
      </c>
      <c r="I13615" s="43" t="s">
        <v>949</v>
      </c>
      <c r="J13615" s="44" t="s">
        <v>1000</v>
      </c>
    </row>
    <row r="13616" ht="22" customHeight="1" spans="1:10" x14ac:dyDescent="0.25">
      <c r="A13616" s="43">
        <v>3130</v>
      </c>
      <c r="B13616" s="43">
        <v>60</v>
      </c>
      <c r="C13616" s="43" t="s">
        <v>963</v>
      </c>
      <c r="D13616" s="43" t="s">
        <v>1009</v>
      </c>
      <c r="E13616" s="43" t="s">
        <v>974</v>
      </c>
      <c r="F13616" s="43" t="s">
        <v>954</v>
      </c>
      <c r="G13616" s="43">
        <v>6077777</v>
      </c>
      <c r="H13616" s="43">
        <v>501100</v>
      </c>
      <c r="I13616" s="43" t="s">
        <v>949</v>
      </c>
      <c r="J13616" s="44" t="s">
        <v>1000</v>
      </c>
    </row>
    <row r="13617" ht="22" customHeight="1" spans="1:10" x14ac:dyDescent="0.25">
      <c r="A13617" s="43">
        <v>3130</v>
      </c>
      <c r="B13617" s="43">
        <v>60</v>
      </c>
      <c r="C13617" s="43" t="s">
        <v>963</v>
      </c>
      <c r="D13617" s="43" t="s">
        <v>1009</v>
      </c>
      <c r="E13617" s="43" t="s">
        <v>974</v>
      </c>
      <c r="F13617" s="43" t="s">
        <v>955</v>
      </c>
      <c r="G13617" s="43">
        <v>6077777</v>
      </c>
      <c r="H13617" s="43">
        <v>501100</v>
      </c>
      <c r="I13617" s="43" t="s">
        <v>949</v>
      </c>
      <c r="J13617" s="44" t="s">
        <v>1000</v>
      </c>
    </row>
    <row r="13618" ht="22" customHeight="1" spans="1:10" x14ac:dyDescent="0.25">
      <c r="A13618" s="43">
        <v>3130</v>
      </c>
      <c r="B13618" s="43">
        <v>60</v>
      </c>
      <c r="C13618" s="43" t="s">
        <v>963</v>
      </c>
      <c r="D13618" s="43" t="s">
        <v>1009</v>
      </c>
      <c r="E13618" s="43" t="s">
        <v>974</v>
      </c>
      <c r="F13618" s="43" t="s">
        <v>956</v>
      </c>
      <c r="G13618" s="43">
        <v>6077777</v>
      </c>
      <c r="H13618" s="43">
        <v>501100</v>
      </c>
      <c r="I13618" s="43" t="s">
        <v>949</v>
      </c>
      <c r="J13618" s="44" t="s">
        <v>1000</v>
      </c>
    </row>
    <row r="13619" ht="22" customHeight="1" spans="1:10" x14ac:dyDescent="0.25">
      <c r="A13619" s="43">
        <v>3130</v>
      </c>
      <c r="B13619" s="43">
        <v>60</v>
      </c>
      <c r="C13619" s="43" t="s">
        <v>963</v>
      </c>
      <c r="D13619" s="43" t="s">
        <v>1009</v>
      </c>
      <c r="E13619" s="43" t="s">
        <v>974</v>
      </c>
      <c r="F13619" s="43" t="s">
        <v>957</v>
      </c>
      <c r="G13619" s="43">
        <v>6077777</v>
      </c>
      <c r="H13619" s="43">
        <v>501100</v>
      </c>
      <c r="I13619" s="43" t="s">
        <v>949</v>
      </c>
      <c r="J13619" s="44" t="s">
        <v>1000</v>
      </c>
    </row>
    <row r="13620" ht="22" customHeight="1" spans="1:10" x14ac:dyDescent="0.25">
      <c r="A13620" s="43">
        <v>3130</v>
      </c>
      <c r="B13620" s="43">
        <v>60</v>
      </c>
      <c r="C13620" s="43" t="s">
        <v>963</v>
      </c>
      <c r="D13620" s="43" t="s">
        <v>1009</v>
      </c>
      <c r="E13620" s="43" t="s">
        <v>974</v>
      </c>
      <c r="F13620" s="43" t="s">
        <v>958</v>
      </c>
      <c r="G13620" s="43">
        <v>6077777</v>
      </c>
      <c r="H13620" s="43">
        <v>501100</v>
      </c>
      <c r="I13620" s="43" t="s">
        <v>949</v>
      </c>
      <c r="J13620" s="44" t="s">
        <v>1000</v>
      </c>
    </row>
    <row r="13621" ht="22" customHeight="1" spans="1:10" x14ac:dyDescent="0.25">
      <c r="A13621" s="43">
        <v>3130</v>
      </c>
      <c r="B13621" s="43">
        <v>60</v>
      </c>
      <c r="C13621" s="43" t="s">
        <v>963</v>
      </c>
      <c r="D13621" s="43" t="s">
        <v>1009</v>
      </c>
      <c r="E13621" s="43" t="s">
        <v>974</v>
      </c>
      <c r="F13621" s="43" t="s">
        <v>959</v>
      </c>
      <c r="G13621" s="43">
        <v>6077777</v>
      </c>
      <c r="H13621" s="43">
        <v>501100</v>
      </c>
      <c r="I13621" s="43" t="s">
        <v>949</v>
      </c>
      <c r="J13621" s="44" t="s">
        <v>1000</v>
      </c>
    </row>
    <row r="13622" ht="22" customHeight="1" spans="1:10" x14ac:dyDescent="0.25">
      <c r="A13622" s="43">
        <v>3130</v>
      </c>
      <c r="B13622" s="43">
        <v>60</v>
      </c>
      <c r="C13622" s="43" t="s">
        <v>963</v>
      </c>
      <c r="D13622" s="43" t="s">
        <v>1009</v>
      </c>
      <c r="E13622" s="43" t="s">
        <v>974</v>
      </c>
      <c r="F13622" s="43" t="s">
        <v>960</v>
      </c>
      <c r="G13622" s="43">
        <v>6077777</v>
      </c>
      <c r="H13622" s="43">
        <v>501100</v>
      </c>
      <c r="I13622" s="43" t="s">
        <v>949</v>
      </c>
      <c r="J13622" s="44" t="s">
        <v>1000</v>
      </c>
    </row>
    <row r="13623" ht="22" customHeight="1" spans="1:10" x14ac:dyDescent="0.25">
      <c r="A13623" s="43">
        <v>3130</v>
      </c>
      <c r="B13623" s="43">
        <v>60</v>
      </c>
      <c r="C13623" s="43" t="s">
        <v>963</v>
      </c>
      <c r="D13623" s="43" t="s">
        <v>1009</v>
      </c>
      <c r="E13623" s="43" t="s">
        <v>974</v>
      </c>
      <c r="F13623" s="43" t="s">
        <v>961</v>
      </c>
      <c r="G13623" s="43">
        <v>6077777</v>
      </c>
      <c r="H13623" s="43">
        <v>501100</v>
      </c>
      <c r="I13623" s="43" t="s">
        <v>949</v>
      </c>
      <c r="J13623" s="44" t="s">
        <v>1000</v>
      </c>
    </row>
    <row r="13624" spans="1:9" x14ac:dyDescent="0.25">
      <c r="A13624">
        <v>4122</v>
      </c>
      <c r="B13624">
        <v>60</v>
      </c>
      <c r="C13624" t="s">
        <v>946</v>
      </c>
      <c r="D13624" t="s">
        <v>1009</v>
      </c>
      <c r="E13624" t="s">
        <v>974</v>
      </c>
      <c r="F13624" t="s">
        <v>948</v>
      </c>
      <c r="G13624">
        <v>6000000</v>
      </c>
      <c r="H13624">
        <v>141000</v>
      </c>
      <c r="I13624" t="s">
        <v>975</v>
      </c>
    </row>
    <row r="13625" spans="1:9" x14ac:dyDescent="0.25">
      <c r="A13625">
        <v>4124</v>
      </c>
      <c r="B13625">
        <v>60</v>
      </c>
      <c r="C13625" t="s">
        <v>946</v>
      </c>
      <c r="D13625" t="s">
        <v>1009</v>
      </c>
      <c r="E13625" t="s">
        <v>974</v>
      </c>
      <c r="F13625" t="s">
        <v>948</v>
      </c>
      <c r="G13625">
        <v>6077777</v>
      </c>
      <c r="H13625">
        <v>501100</v>
      </c>
      <c r="I13625" t="s">
        <v>949</v>
      </c>
    </row>
    <row r="13626" spans="1:9" x14ac:dyDescent="0.25">
      <c r="A13626">
        <v>3130</v>
      </c>
      <c r="B13626">
        <v>60</v>
      </c>
      <c r="C13626" t="s">
        <v>950</v>
      </c>
      <c r="D13626" t="s">
        <v>1009</v>
      </c>
      <c r="E13626" t="s">
        <v>104</v>
      </c>
      <c r="F13626" t="s">
        <v>951</v>
      </c>
      <c r="G13626">
        <v>6077777</v>
      </c>
      <c r="H13626">
        <v>500220</v>
      </c>
      <c r="I13626" t="s">
        <v>949</v>
      </c>
    </row>
    <row r="13627" spans="1:9" x14ac:dyDescent="0.25">
      <c r="A13627">
        <v>3130</v>
      </c>
      <c r="B13627">
        <v>60</v>
      </c>
      <c r="C13627" t="s">
        <v>950</v>
      </c>
      <c r="D13627" t="s">
        <v>1009</v>
      </c>
      <c r="E13627" t="s">
        <v>104</v>
      </c>
      <c r="F13627" t="s">
        <v>952</v>
      </c>
      <c r="G13627">
        <v>6077777</v>
      </c>
      <c r="H13627">
        <v>500220</v>
      </c>
      <c r="I13627" t="s">
        <v>949</v>
      </c>
    </row>
    <row r="13628" spans="1:9" x14ac:dyDescent="0.25">
      <c r="A13628">
        <v>3130</v>
      </c>
      <c r="B13628">
        <v>60</v>
      </c>
      <c r="C13628" t="s">
        <v>950</v>
      </c>
      <c r="D13628" t="s">
        <v>1009</v>
      </c>
      <c r="E13628" t="s">
        <v>104</v>
      </c>
      <c r="F13628" t="s">
        <v>953</v>
      </c>
      <c r="G13628">
        <v>6077777</v>
      </c>
      <c r="H13628">
        <v>500220</v>
      </c>
      <c r="I13628" t="s">
        <v>949</v>
      </c>
    </row>
    <row r="13629" spans="1:9" x14ac:dyDescent="0.25">
      <c r="A13629">
        <v>3130</v>
      </c>
      <c r="B13629">
        <v>60</v>
      </c>
      <c r="C13629" t="s">
        <v>950</v>
      </c>
      <c r="D13629" t="s">
        <v>1009</v>
      </c>
      <c r="E13629" t="s">
        <v>104</v>
      </c>
      <c r="F13629" t="s">
        <v>954</v>
      </c>
      <c r="G13629">
        <v>6077777</v>
      </c>
      <c r="H13629">
        <v>500220</v>
      </c>
      <c r="I13629" t="s">
        <v>949</v>
      </c>
    </row>
    <row r="13630" spans="1:9" x14ac:dyDescent="0.25">
      <c r="A13630">
        <v>3130</v>
      </c>
      <c r="B13630">
        <v>60</v>
      </c>
      <c r="C13630" t="s">
        <v>950</v>
      </c>
      <c r="D13630" t="s">
        <v>1009</v>
      </c>
      <c r="E13630" t="s">
        <v>104</v>
      </c>
      <c r="F13630" t="s">
        <v>955</v>
      </c>
      <c r="G13630">
        <v>6077777</v>
      </c>
      <c r="H13630">
        <v>500220</v>
      </c>
      <c r="I13630" t="s">
        <v>949</v>
      </c>
    </row>
    <row r="13631" spans="1:9" x14ac:dyDescent="0.25">
      <c r="A13631">
        <v>3130</v>
      </c>
      <c r="B13631">
        <v>60</v>
      </c>
      <c r="C13631" t="s">
        <v>950</v>
      </c>
      <c r="D13631" t="s">
        <v>1009</v>
      </c>
      <c r="E13631" t="s">
        <v>104</v>
      </c>
      <c r="F13631" t="s">
        <v>956</v>
      </c>
      <c r="G13631">
        <v>6077777</v>
      </c>
      <c r="H13631">
        <v>500220</v>
      </c>
      <c r="I13631" t="s">
        <v>949</v>
      </c>
    </row>
    <row r="13632" spans="1:9" x14ac:dyDescent="0.25">
      <c r="A13632">
        <v>3130</v>
      </c>
      <c r="B13632">
        <v>60</v>
      </c>
      <c r="C13632" t="s">
        <v>950</v>
      </c>
      <c r="D13632" t="s">
        <v>1009</v>
      </c>
      <c r="E13632" t="s">
        <v>104</v>
      </c>
      <c r="F13632" t="s">
        <v>957</v>
      </c>
      <c r="G13632">
        <v>6077777</v>
      </c>
      <c r="H13632">
        <v>500220</v>
      </c>
      <c r="I13632" t="s">
        <v>949</v>
      </c>
    </row>
    <row r="13633" spans="1:9" x14ac:dyDescent="0.25">
      <c r="A13633">
        <v>3130</v>
      </c>
      <c r="B13633">
        <v>60</v>
      </c>
      <c r="C13633" t="s">
        <v>950</v>
      </c>
      <c r="D13633" t="s">
        <v>1009</v>
      </c>
      <c r="E13633" t="s">
        <v>104</v>
      </c>
      <c r="F13633" t="s">
        <v>958</v>
      </c>
      <c r="G13633">
        <v>6077777</v>
      </c>
      <c r="H13633">
        <v>500220</v>
      </c>
      <c r="I13633" t="s">
        <v>949</v>
      </c>
    </row>
    <row r="13634" spans="1:9" x14ac:dyDescent="0.25">
      <c r="A13634">
        <v>3130</v>
      </c>
      <c r="B13634">
        <v>60</v>
      </c>
      <c r="C13634" t="s">
        <v>950</v>
      </c>
      <c r="D13634" t="s">
        <v>1009</v>
      </c>
      <c r="E13634" t="s">
        <v>104</v>
      </c>
      <c r="F13634" t="s">
        <v>959</v>
      </c>
      <c r="G13634">
        <v>6077777</v>
      </c>
      <c r="H13634">
        <v>500220</v>
      </c>
      <c r="I13634" t="s">
        <v>949</v>
      </c>
    </row>
    <row r="13635" spans="1:9" x14ac:dyDescent="0.25">
      <c r="A13635">
        <v>3130</v>
      </c>
      <c r="B13635">
        <v>60</v>
      </c>
      <c r="C13635" t="s">
        <v>950</v>
      </c>
      <c r="D13635" t="s">
        <v>1009</v>
      </c>
      <c r="E13635" t="s">
        <v>104</v>
      </c>
      <c r="F13635" t="s">
        <v>960</v>
      </c>
      <c r="G13635">
        <v>6077777</v>
      </c>
      <c r="H13635">
        <v>500220</v>
      </c>
      <c r="I13635" t="s">
        <v>949</v>
      </c>
    </row>
    <row r="13636" spans="1:9" x14ac:dyDescent="0.25">
      <c r="A13636">
        <v>3130</v>
      </c>
      <c r="B13636">
        <v>60</v>
      </c>
      <c r="C13636" t="s">
        <v>950</v>
      </c>
      <c r="D13636" t="s">
        <v>1009</v>
      </c>
      <c r="E13636" t="s">
        <v>104</v>
      </c>
      <c r="F13636" t="s">
        <v>961</v>
      </c>
      <c r="G13636">
        <v>6077777</v>
      </c>
      <c r="H13636">
        <v>500220</v>
      </c>
      <c r="I13636" t="s">
        <v>949</v>
      </c>
    </row>
    <row r="13637" spans="1:9" x14ac:dyDescent="0.25">
      <c r="A13637">
        <v>3130</v>
      </c>
      <c r="B13637">
        <v>60</v>
      </c>
      <c r="C13637" t="s">
        <v>962</v>
      </c>
      <c r="D13637" t="s">
        <v>1009</v>
      </c>
      <c r="E13637" t="s">
        <v>104</v>
      </c>
      <c r="F13637" t="s">
        <v>951</v>
      </c>
      <c r="G13637">
        <v>6077777</v>
      </c>
      <c r="H13637">
        <v>500220</v>
      </c>
      <c r="I13637" t="s">
        <v>949</v>
      </c>
    </row>
    <row r="13638" spans="1:9" x14ac:dyDescent="0.25">
      <c r="A13638">
        <v>3130</v>
      </c>
      <c r="B13638">
        <v>60</v>
      </c>
      <c r="C13638" t="s">
        <v>962</v>
      </c>
      <c r="D13638" t="s">
        <v>1009</v>
      </c>
      <c r="E13638" t="s">
        <v>104</v>
      </c>
      <c r="F13638" t="s">
        <v>952</v>
      </c>
      <c r="G13638">
        <v>6077777</v>
      </c>
      <c r="H13638">
        <v>500220</v>
      </c>
      <c r="I13638" t="s">
        <v>949</v>
      </c>
    </row>
    <row r="13639" spans="1:9" x14ac:dyDescent="0.25">
      <c r="A13639">
        <v>3130</v>
      </c>
      <c r="B13639">
        <v>60</v>
      </c>
      <c r="C13639" t="s">
        <v>962</v>
      </c>
      <c r="D13639" t="s">
        <v>1009</v>
      </c>
      <c r="E13639" t="s">
        <v>104</v>
      </c>
      <c r="F13639" t="s">
        <v>953</v>
      </c>
      <c r="G13639">
        <v>6077777</v>
      </c>
      <c r="H13639">
        <v>500220</v>
      </c>
      <c r="I13639" t="s">
        <v>949</v>
      </c>
    </row>
    <row r="13640" spans="1:9" x14ac:dyDescent="0.25">
      <c r="A13640">
        <v>3130</v>
      </c>
      <c r="B13640">
        <v>60</v>
      </c>
      <c r="C13640" t="s">
        <v>962</v>
      </c>
      <c r="D13640" t="s">
        <v>1009</v>
      </c>
      <c r="E13640" t="s">
        <v>104</v>
      </c>
      <c r="F13640" t="s">
        <v>954</v>
      </c>
      <c r="G13640">
        <v>6077777</v>
      </c>
      <c r="H13640">
        <v>500220</v>
      </c>
      <c r="I13640" t="s">
        <v>949</v>
      </c>
    </row>
    <row r="13641" spans="1:9" x14ac:dyDescent="0.25">
      <c r="A13641">
        <v>3130</v>
      </c>
      <c r="B13641">
        <v>60</v>
      </c>
      <c r="C13641" t="s">
        <v>962</v>
      </c>
      <c r="D13641" t="s">
        <v>1009</v>
      </c>
      <c r="E13641" t="s">
        <v>104</v>
      </c>
      <c r="F13641" t="s">
        <v>955</v>
      </c>
      <c r="G13641">
        <v>6077777</v>
      </c>
      <c r="H13641">
        <v>500220</v>
      </c>
      <c r="I13641" t="s">
        <v>949</v>
      </c>
    </row>
    <row r="13642" spans="1:9" x14ac:dyDescent="0.25">
      <c r="A13642">
        <v>3130</v>
      </c>
      <c r="B13642">
        <v>60</v>
      </c>
      <c r="C13642" t="s">
        <v>962</v>
      </c>
      <c r="D13642" t="s">
        <v>1009</v>
      </c>
      <c r="E13642" t="s">
        <v>104</v>
      </c>
      <c r="F13642" t="s">
        <v>956</v>
      </c>
      <c r="G13642">
        <v>6077777</v>
      </c>
      <c r="H13642">
        <v>500220</v>
      </c>
      <c r="I13642" t="s">
        <v>949</v>
      </c>
    </row>
    <row r="13643" spans="1:9" x14ac:dyDescent="0.25">
      <c r="A13643">
        <v>3130</v>
      </c>
      <c r="B13643">
        <v>60</v>
      </c>
      <c r="C13643" t="s">
        <v>962</v>
      </c>
      <c r="D13643" t="s">
        <v>1009</v>
      </c>
      <c r="E13643" t="s">
        <v>104</v>
      </c>
      <c r="F13643" t="s">
        <v>957</v>
      </c>
      <c r="G13643">
        <v>6077777</v>
      </c>
      <c r="H13643">
        <v>500220</v>
      </c>
      <c r="I13643" t="s">
        <v>949</v>
      </c>
    </row>
    <row r="13644" spans="1:9" x14ac:dyDescent="0.25">
      <c r="A13644">
        <v>3130</v>
      </c>
      <c r="B13644">
        <v>60</v>
      </c>
      <c r="C13644" t="s">
        <v>962</v>
      </c>
      <c r="D13644" t="s">
        <v>1009</v>
      </c>
      <c r="E13644" t="s">
        <v>104</v>
      </c>
      <c r="F13644" t="s">
        <v>958</v>
      </c>
      <c r="G13644">
        <v>6077777</v>
      </c>
      <c r="H13644">
        <v>500220</v>
      </c>
      <c r="I13644" t="s">
        <v>949</v>
      </c>
    </row>
    <row r="13645" spans="1:9" x14ac:dyDescent="0.25">
      <c r="A13645">
        <v>3130</v>
      </c>
      <c r="B13645">
        <v>60</v>
      </c>
      <c r="C13645" t="s">
        <v>962</v>
      </c>
      <c r="D13645" t="s">
        <v>1009</v>
      </c>
      <c r="E13645" t="s">
        <v>104</v>
      </c>
      <c r="F13645" t="s">
        <v>959</v>
      </c>
      <c r="G13645">
        <v>6077777</v>
      </c>
      <c r="H13645">
        <v>500220</v>
      </c>
      <c r="I13645" t="s">
        <v>949</v>
      </c>
    </row>
    <row r="13646" spans="1:9" x14ac:dyDescent="0.25">
      <c r="A13646">
        <v>3130</v>
      </c>
      <c r="B13646">
        <v>60</v>
      </c>
      <c r="C13646" t="s">
        <v>962</v>
      </c>
      <c r="D13646" t="s">
        <v>1009</v>
      </c>
      <c r="E13646" t="s">
        <v>104</v>
      </c>
      <c r="F13646" t="s">
        <v>960</v>
      </c>
      <c r="G13646">
        <v>6077777</v>
      </c>
      <c r="H13646">
        <v>500220</v>
      </c>
      <c r="I13646" t="s">
        <v>949</v>
      </c>
    </row>
    <row r="13647" spans="1:9" x14ac:dyDescent="0.25">
      <c r="A13647">
        <v>3130</v>
      </c>
      <c r="B13647">
        <v>60</v>
      </c>
      <c r="C13647" t="s">
        <v>962</v>
      </c>
      <c r="D13647" t="s">
        <v>1009</v>
      </c>
      <c r="E13647" t="s">
        <v>104</v>
      </c>
      <c r="F13647" t="s">
        <v>961</v>
      </c>
      <c r="G13647">
        <v>6077777</v>
      </c>
      <c r="H13647">
        <v>500220</v>
      </c>
      <c r="I13647" t="s">
        <v>949</v>
      </c>
    </row>
    <row r="13648" spans="1:9" x14ac:dyDescent="0.25">
      <c r="A13648">
        <v>3130</v>
      </c>
      <c r="B13648">
        <v>60</v>
      </c>
      <c r="C13648" t="s">
        <v>963</v>
      </c>
      <c r="D13648" t="s">
        <v>1009</v>
      </c>
      <c r="E13648" t="s">
        <v>104</v>
      </c>
      <c r="F13648" t="s">
        <v>951</v>
      </c>
      <c r="G13648">
        <v>6077777</v>
      </c>
      <c r="H13648">
        <v>500220</v>
      </c>
      <c r="I13648" t="s">
        <v>949</v>
      </c>
    </row>
    <row r="13649" spans="1:9" x14ac:dyDescent="0.25">
      <c r="A13649">
        <v>3130</v>
      </c>
      <c r="B13649">
        <v>60</v>
      </c>
      <c r="C13649" t="s">
        <v>963</v>
      </c>
      <c r="D13649" t="s">
        <v>1009</v>
      </c>
      <c r="E13649" t="s">
        <v>104</v>
      </c>
      <c r="F13649" t="s">
        <v>952</v>
      </c>
      <c r="G13649">
        <v>6077777</v>
      </c>
      <c r="H13649">
        <v>500220</v>
      </c>
      <c r="I13649" t="s">
        <v>949</v>
      </c>
    </row>
    <row r="13650" spans="1:9" x14ac:dyDescent="0.25">
      <c r="A13650">
        <v>3130</v>
      </c>
      <c r="B13650">
        <v>60</v>
      </c>
      <c r="C13650" t="s">
        <v>963</v>
      </c>
      <c r="D13650" t="s">
        <v>1009</v>
      </c>
      <c r="E13650" t="s">
        <v>104</v>
      </c>
      <c r="F13650" t="s">
        <v>953</v>
      </c>
      <c r="G13650">
        <v>6077777</v>
      </c>
      <c r="H13650">
        <v>500220</v>
      </c>
      <c r="I13650" t="s">
        <v>949</v>
      </c>
    </row>
    <row r="13651" spans="1:9" x14ac:dyDescent="0.25">
      <c r="A13651">
        <v>3130</v>
      </c>
      <c r="B13651">
        <v>60</v>
      </c>
      <c r="C13651" t="s">
        <v>963</v>
      </c>
      <c r="D13651" t="s">
        <v>1009</v>
      </c>
      <c r="E13651" t="s">
        <v>104</v>
      </c>
      <c r="F13651" t="s">
        <v>954</v>
      </c>
      <c r="G13651">
        <v>6077777</v>
      </c>
      <c r="H13651">
        <v>500220</v>
      </c>
      <c r="I13651" t="s">
        <v>949</v>
      </c>
    </row>
    <row r="13652" spans="1:9" x14ac:dyDescent="0.25">
      <c r="A13652">
        <v>3130</v>
      </c>
      <c r="B13652">
        <v>60</v>
      </c>
      <c r="C13652" t="s">
        <v>963</v>
      </c>
      <c r="D13652" t="s">
        <v>1009</v>
      </c>
      <c r="E13652" t="s">
        <v>104</v>
      </c>
      <c r="F13652" t="s">
        <v>955</v>
      </c>
      <c r="G13652">
        <v>6077777</v>
      </c>
      <c r="H13652">
        <v>500220</v>
      </c>
      <c r="I13652" t="s">
        <v>949</v>
      </c>
    </row>
    <row r="13653" spans="1:9" x14ac:dyDescent="0.25">
      <c r="A13653">
        <v>3130</v>
      </c>
      <c r="B13653">
        <v>60</v>
      </c>
      <c r="C13653" t="s">
        <v>963</v>
      </c>
      <c r="D13653" t="s">
        <v>1009</v>
      </c>
      <c r="E13653" t="s">
        <v>104</v>
      </c>
      <c r="F13653" t="s">
        <v>956</v>
      </c>
      <c r="G13653">
        <v>6077777</v>
      </c>
      <c r="H13653">
        <v>500220</v>
      </c>
      <c r="I13653" t="s">
        <v>949</v>
      </c>
    </row>
    <row r="13654" spans="1:9" x14ac:dyDescent="0.25">
      <c r="A13654">
        <v>3130</v>
      </c>
      <c r="B13654">
        <v>60</v>
      </c>
      <c r="C13654" t="s">
        <v>963</v>
      </c>
      <c r="D13654" t="s">
        <v>1009</v>
      </c>
      <c r="E13654" t="s">
        <v>104</v>
      </c>
      <c r="F13654" t="s">
        <v>957</v>
      </c>
      <c r="G13654">
        <v>6077777</v>
      </c>
      <c r="H13654">
        <v>500220</v>
      </c>
      <c r="I13654" t="s">
        <v>949</v>
      </c>
    </row>
    <row r="13655" spans="1:9" x14ac:dyDescent="0.25">
      <c r="A13655">
        <v>3130</v>
      </c>
      <c r="B13655">
        <v>60</v>
      </c>
      <c r="C13655" t="s">
        <v>963</v>
      </c>
      <c r="D13655" t="s">
        <v>1009</v>
      </c>
      <c r="E13655" t="s">
        <v>104</v>
      </c>
      <c r="F13655" t="s">
        <v>958</v>
      </c>
      <c r="G13655">
        <v>6077777</v>
      </c>
      <c r="H13655">
        <v>500220</v>
      </c>
      <c r="I13655" t="s">
        <v>949</v>
      </c>
    </row>
    <row r="13656" spans="1:9" x14ac:dyDescent="0.25">
      <c r="A13656">
        <v>3130</v>
      </c>
      <c r="B13656">
        <v>60</v>
      </c>
      <c r="C13656" t="s">
        <v>963</v>
      </c>
      <c r="D13656" t="s">
        <v>1009</v>
      </c>
      <c r="E13656" t="s">
        <v>104</v>
      </c>
      <c r="F13656" t="s">
        <v>959</v>
      </c>
      <c r="G13656">
        <v>6077777</v>
      </c>
      <c r="H13656">
        <v>500220</v>
      </c>
      <c r="I13656" t="s">
        <v>949</v>
      </c>
    </row>
    <row r="13657" spans="1:9" x14ac:dyDescent="0.25">
      <c r="A13657">
        <v>3130</v>
      </c>
      <c r="B13657">
        <v>60</v>
      </c>
      <c r="C13657" t="s">
        <v>963</v>
      </c>
      <c r="D13657" t="s">
        <v>1009</v>
      </c>
      <c r="E13657" t="s">
        <v>104</v>
      </c>
      <c r="F13657" t="s">
        <v>960</v>
      </c>
      <c r="G13657">
        <v>6077777</v>
      </c>
      <c r="H13657">
        <v>500220</v>
      </c>
      <c r="I13657" t="s">
        <v>949</v>
      </c>
    </row>
    <row r="13658" spans="1:9" x14ac:dyDescent="0.25">
      <c r="A13658">
        <v>3130</v>
      </c>
      <c r="B13658">
        <v>60</v>
      </c>
      <c r="C13658" t="s">
        <v>963</v>
      </c>
      <c r="D13658" t="s">
        <v>1009</v>
      </c>
      <c r="E13658" t="s">
        <v>104</v>
      </c>
      <c r="F13658" t="s">
        <v>961</v>
      </c>
      <c r="G13658">
        <v>6077777</v>
      </c>
      <c r="H13658">
        <v>500220</v>
      </c>
      <c r="I13658" t="s">
        <v>949</v>
      </c>
    </row>
    <row r="13659" spans="1:9" x14ac:dyDescent="0.25">
      <c r="A13659">
        <v>4122</v>
      </c>
      <c r="B13659">
        <v>60</v>
      </c>
      <c r="C13659" t="s">
        <v>946</v>
      </c>
      <c r="D13659" t="s">
        <v>1009</v>
      </c>
      <c r="E13659" t="s">
        <v>104</v>
      </c>
      <c r="F13659" t="s">
        <v>948</v>
      </c>
      <c r="G13659">
        <v>6077777</v>
      </c>
      <c r="H13659">
        <v>500220</v>
      </c>
      <c r="I13659" t="s">
        <v>949</v>
      </c>
    </row>
    <row r="13660" spans="1:9" x14ac:dyDescent="0.25">
      <c r="A13660">
        <v>4124</v>
      </c>
      <c r="B13660">
        <v>60</v>
      </c>
      <c r="C13660" t="s">
        <v>946</v>
      </c>
      <c r="D13660" t="s">
        <v>1009</v>
      </c>
      <c r="E13660" t="s">
        <v>104</v>
      </c>
      <c r="F13660" t="s">
        <v>948</v>
      </c>
      <c r="G13660">
        <v>6077777</v>
      </c>
      <c r="H13660">
        <v>500221</v>
      </c>
      <c r="I13660" t="s">
        <v>949</v>
      </c>
    </row>
    <row r="13661" ht="22" customHeight="1" spans="1:10" x14ac:dyDescent="0.25">
      <c r="A13661" s="43">
        <v>3130</v>
      </c>
      <c r="B13661" s="43">
        <v>60</v>
      </c>
      <c r="C13661" s="43" t="s">
        <v>950</v>
      </c>
      <c r="D13661" s="43" t="s">
        <v>1009</v>
      </c>
      <c r="E13661" s="43" t="s">
        <v>278</v>
      </c>
      <c r="F13661" s="43" t="s">
        <v>951</v>
      </c>
      <c r="G13661" s="43">
        <v>6077777</v>
      </c>
      <c r="H13661" s="43">
        <v>501100</v>
      </c>
      <c r="I13661" s="43" t="s">
        <v>949</v>
      </c>
      <c r="J13661" s="44" t="s">
        <v>1000</v>
      </c>
    </row>
    <row r="13662" ht="22" customHeight="1" spans="1:10" x14ac:dyDescent="0.25">
      <c r="A13662" s="43">
        <v>3130</v>
      </c>
      <c r="B13662" s="43">
        <v>60</v>
      </c>
      <c r="C13662" s="43" t="s">
        <v>950</v>
      </c>
      <c r="D13662" s="43" t="s">
        <v>1009</v>
      </c>
      <c r="E13662" s="43" t="s">
        <v>278</v>
      </c>
      <c r="F13662" s="43" t="s">
        <v>952</v>
      </c>
      <c r="G13662" s="43">
        <v>6077777</v>
      </c>
      <c r="H13662" s="43">
        <v>501100</v>
      </c>
      <c r="I13662" s="43" t="s">
        <v>949</v>
      </c>
      <c r="J13662" s="44" t="s">
        <v>1000</v>
      </c>
    </row>
    <row r="13663" ht="22" customHeight="1" spans="1:10" x14ac:dyDescent="0.25">
      <c r="A13663" s="43">
        <v>3130</v>
      </c>
      <c r="B13663" s="43">
        <v>60</v>
      </c>
      <c r="C13663" s="43" t="s">
        <v>950</v>
      </c>
      <c r="D13663" s="43" t="s">
        <v>1009</v>
      </c>
      <c r="E13663" s="43" t="s">
        <v>278</v>
      </c>
      <c r="F13663" s="43" t="s">
        <v>953</v>
      </c>
      <c r="G13663" s="43">
        <v>6077777</v>
      </c>
      <c r="H13663" s="43">
        <v>501100</v>
      </c>
      <c r="I13663" s="43" t="s">
        <v>949</v>
      </c>
      <c r="J13663" s="44" t="s">
        <v>1000</v>
      </c>
    </row>
    <row r="13664" ht="22" customHeight="1" spans="1:10" x14ac:dyDescent="0.25">
      <c r="A13664" s="43">
        <v>3130</v>
      </c>
      <c r="B13664" s="43">
        <v>60</v>
      </c>
      <c r="C13664" s="43" t="s">
        <v>950</v>
      </c>
      <c r="D13664" s="43" t="s">
        <v>1009</v>
      </c>
      <c r="E13664" s="43" t="s">
        <v>278</v>
      </c>
      <c r="F13664" s="43" t="s">
        <v>954</v>
      </c>
      <c r="G13664" s="43">
        <v>6077777</v>
      </c>
      <c r="H13664" s="43">
        <v>501100</v>
      </c>
      <c r="I13664" s="43" t="s">
        <v>949</v>
      </c>
      <c r="J13664" s="44" t="s">
        <v>1000</v>
      </c>
    </row>
    <row r="13665" ht="22" customHeight="1" spans="1:10" x14ac:dyDescent="0.25">
      <c r="A13665" s="43">
        <v>3130</v>
      </c>
      <c r="B13665" s="43">
        <v>60</v>
      </c>
      <c r="C13665" s="43" t="s">
        <v>950</v>
      </c>
      <c r="D13665" s="43" t="s">
        <v>1009</v>
      </c>
      <c r="E13665" s="43" t="s">
        <v>278</v>
      </c>
      <c r="F13665" s="43" t="s">
        <v>955</v>
      </c>
      <c r="G13665" s="43">
        <v>6077777</v>
      </c>
      <c r="H13665" s="43">
        <v>501100</v>
      </c>
      <c r="I13665" s="43" t="s">
        <v>949</v>
      </c>
      <c r="J13665" s="44" t="s">
        <v>1000</v>
      </c>
    </row>
    <row r="13666" ht="22" customHeight="1" spans="1:10" x14ac:dyDescent="0.25">
      <c r="A13666" s="43">
        <v>3130</v>
      </c>
      <c r="B13666" s="43">
        <v>60</v>
      </c>
      <c r="C13666" s="43" t="s">
        <v>950</v>
      </c>
      <c r="D13666" s="43" t="s">
        <v>1009</v>
      </c>
      <c r="E13666" s="43" t="s">
        <v>278</v>
      </c>
      <c r="F13666" s="43" t="s">
        <v>956</v>
      </c>
      <c r="G13666" s="43">
        <v>6077777</v>
      </c>
      <c r="H13666" s="43">
        <v>501100</v>
      </c>
      <c r="I13666" s="43" t="s">
        <v>949</v>
      </c>
      <c r="J13666" s="44" t="s">
        <v>1000</v>
      </c>
    </row>
    <row r="13667" ht="22" customHeight="1" spans="1:10" x14ac:dyDescent="0.25">
      <c r="A13667" s="43">
        <v>3130</v>
      </c>
      <c r="B13667" s="43">
        <v>60</v>
      </c>
      <c r="C13667" s="43" t="s">
        <v>950</v>
      </c>
      <c r="D13667" s="43" t="s">
        <v>1009</v>
      </c>
      <c r="E13667" s="43" t="s">
        <v>278</v>
      </c>
      <c r="F13667" s="43" t="s">
        <v>957</v>
      </c>
      <c r="G13667" s="43">
        <v>6077777</v>
      </c>
      <c r="H13667" s="43">
        <v>501100</v>
      </c>
      <c r="I13667" s="43" t="s">
        <v>949</v>
      </c>
      <c r="J13667" s="44" t="s">
        <v>1000</v>
      </c>
    </row>
    <row r="13668" ht="22" customHeight="1" spans="1:10" x14ac:dyDescent="0.25">
      <c r="A13668" s="43">
        <v>3130</v>
      </c>
      <c r="B13668" s="43">
        <v>60</v>
      </c>
      <c r="C13668" s="43" t="s">
        <v>950</v>
      </c>
      <c r="D13668" s="43" t="s">
        <v>1009</v>
      </c>
      <c r="E13668" s="43" t="s">
        <v>278</v>
      </c>
      <c r="F13668" s="43" t="s">
        <v>958</v>
      </c>
      <c r="G13668" s="43">
        <v>6077777</v>
      </c>
      <c r="H13668" s="43">
        <v>501100</v>
      </c>
      <c r="I13668" s="43" t="s">
        <v>949</v>
      </c>
      <c r="J13668" s="44" t="s">
        <v>1000</v>
      </c>
    </row>
    <row r="13669" ht="22" customHeight="1" spans="1:10" x14ac:dyDescent="0.25">
      <c r="A13669" s="43">
        <v>3130</v>
      </c>
      <c r="B13669" s="43">
        <v>60</v>
      </c>
      <c r="C13669" s="43" t="s">
        <v>950</v>
      </c>
      <c r="D13669" s="43" t="s">
        <v>1009</v>
      </c>
      <c r="E13669" s="43" t="s">
        <v>278</v>
      </c>
      <c r="F13669" s="43" t="s">
        <v>959</v>
      </c>
      <c r="G13669" s="43">
        <v>6077777</v>
      </c>
      <c r="H13669" s="43">
        <v>501100</v>
      </c>
      <c r="I13669" s="43" t="s">
        <v>949</v>
      </c>
      <c r="J13669" s="44" t="s">
        <v>1000</v>
      </c>
    </row>
    <row r="13670" ht="22" customHeight="1" spans="1:10" x14ac:dyDescent="0.25">
      <c r="A13670" s="43">
        <v>3130</v>
      </c>
      <c r="B13670" s="43">
        <v>60</v>
      </c>
      <c r="C13670" s="43" t="s">
        <v>950</v>
      </c>
      <c r="D13670" s="43" t="s">
        <v>1009</v>
      </c>
      <c r="E13670" s="43" t="s">
        <v>278</v>
      </c>
      <c r="F13670" s="43" t="s">
        <v>960</v>
      </c>
      <c r="G13670" s="43">
        <v>6077777</v>
      </c>
      <c r="H13670" s="43">
        <v>501100</v>
      </c>
      <c r="I13670" s="43" t="s">
        <v>949</v>
      </c>
      <c r="J13670" s="44" t="s">
        <v>1000</v>
      </c>
    </row>
    <row r="13671" ht="22" customHeight="1" spans="1:10" x14ac:dyDescent="0.25">
      <c r="A13671" s="43">
        <v>3130</v>
      </c>
      <c r="B13671" s="43">
        <v>60</v>
      </c>
      <c r="C13671" s="43" t="s">
        <v>950</v>
      </c>
      <c r="D13671" s="43" t="s">
        <v>1009</v>
      </c>
      <c r="E13671" s="43" t="s">
        <v>278</v>
      </c>
      <c r="F13671" s="43" t="s">
        <v>961</v>
      </c>
      <c r="G13671" s="43">
        <v>6077777</v>
      </c>
      <c r="H13671" s="43">
        <v>501100</v>
      </c>
      <c r="I13671" s="43" t="s">
        <v>949</v>
      </c>
      <c r="J13671" s="44" t="s">
        <v>1000</v>
      </c>
    </row>
    <row r="13672" ht="22" customHeight="1" spans="1:10" x14ac:dyDescent="0.25">
      <c r="A13672" s="43">
        <v>3130</v>
      </c>
      <c r="B13672" s="43">
        <v>60</v>
      </c>
      <c r="C13672" s="43" t="s">
        <v>962</v>
      </c>
      <c r="D13672" s="43" t="s">
        <v>1009</v>
      </c>
      <c r="E13672" s="43" t="s">
        <v>278</v>
      </c>
      <c r="F13672" s="43" t="s">
        <v>951</v>
      </c>
      <c r="G13672" s="43">
        <v>6077777</v>
      </c>
      <c r="H13672" s="43">
        <v>501100</v>
      </c>
      <c r="I13672" s="43" t="s">
        <v>949</v>
      </c>
      <c r="J13672" s="44" t="s">
        <v>1000</v>
      </c>
    </row>
    <row r="13673" ht="22" customHeight="1" spans="1:10" x14ac:dyDescent="0.25">
      <c r="A13673" s="43">
        <v>3130</v>
      </c>
      <c r="B13673" s="43">
        <v>60</v>
      </c>
      <c r="C13673" s="43" t="s">
        <v>962</v>
      </c>
      <c r="D13673" s="43" t="s">
        <v>1009</v>
      </c>
      <c r="E13673" s="43" t="s">
        <v>278</v>
      </c>
      <c r="F13673" s="43" t="s">
        <v>952</v>
      </c>
      <c r="G13673" s="43">
        <v>6077777</v>
      </c>
      <c r="H13673" s="43">
        <v>501100</v>
      </c>
      <c r="I13673" s="43" t="s">
        <v>949</v>
      </c>
      <c r="J13673" s="44" t="s">
        <v>1000</v>
      </c>
    </row>
    <row r="13674" ht="22" customHeight="1" spans="1:10" x14ac:dyDescent="0.25">
      <c r="A13674" s="43">
        <v>3130</v>
      </c>
      <c r="B13674" s="43">
        <v>60</v>
      </c>
      <c r="C13674" s="43" t="s">
        <v>962</v>
      </c>
      <c r="D13674" s="43" t="s">
        <v>1009</v>
      </c>
      <c r="E13674" s="43" t="s">
        <v>278</v>
      </c>
      <c r="F13674" s="43" t="s">
        <v>953</v>
      </c>
      <c r="G13674" s="43">
        <v>6077777</v>
      </c>
      <c r="H13674" s="43">
        <v>501100</v>
      </c>
      <c r="I13674" s="43" t="s">
        <v>949</v>
      </c>
      <c r="J13674" s="44" t="s">
        <v>1000</v>
      </c>
    </row>
    <row r="13675" ht="22" customHeight="1" spans="1:10" x14ac:dyDescent="0.25">
      <c r="A13675" s="43">
        <v>3130</v>
      </c>
      <c r="B13675" s="43">
        <v>60</v>
      </c>
      <c r="C13675" s="43" t="s">
        <v>962</v>
      </c>
      <c r="D13675" s="43" t="s">
        <v>1009</v>
      </c>
      <c r="E13675" s="43" t="s">
        <v>278</v>
      </c>
      <c r="F13675" s="43" t="s">
        <v>954</v>
      </c>
      <c r="G13675" s="43">
        <v>6077777</v>
      </c>
      <c r="H13675" s="43">
        <v>501100</v>
      </c>
      <c r="I13675" s="43" t="s">
        <v>949</v>
      </c>
      <c r="J13675" s="44" t="s">
        <v>1000</v>
      </c>
    </row>
    <row r="13676" ht="22" customHeight="1" spans="1:10" x14ac:dyDescent="0.25">
      <c r="A13676" s="43">
        <v>3130</v>
      </c>
      <c r="B13676" s="43">
        <v>60</v>
      </c>
      <c r="C13676" s="43" t="s">
        <v>962</v>
      </c>
      <c r="D13676" s="43" t="s">
        <v>1009</v>
      </c>
      <c r="E13676" s="43" t="s">
        <v>278</v>
      </c>
      <c r="F13676" s="43" t="s">
        <v>955</v>
      </c>
      <c r="G13676" s="43">
        <v>6077777</v>
      </c>
      <c r="H13676" s="43">
        <v>501100</v>
      </c>
      <c r="I13676" s="43" t="s">
        <v>949</v>
      </c>
      <c r="J13676" s="44" t="s">
        <v>1000</v>
      </c>
    </row>
    <row r="13677" ht="22" customHeight="1" spans="1:10" x14ac:dyDescent="0.25">
      <c r="A13677" s="43">
        <v>3130</v>
      </c>
      <c r="B13677" s="43">
        <v>60</v>
      </c>
      <c r="C13677" s="43" t="s">
        <v>962</v>
      </c>
      <c r="D13677" s="43" t="s">
        <v>1009</v>
      </c>
      <c r="E13677" s="43" t="s">
        <v>278</v>
      </c>
      <c r="F13677" s="43" t="s">
        <v>956</v>
      </c>
      <c r="G13677" s="43">
        <v>6077777</v>
      </c>
      <c r="H13677" s="43">
        <v>501100</v>
      </c>
      <c r="I13677" s="43" t="s">
        <v>949</v>
      </c>
      <c r="J13677" s="44" t="s">
        <v>1000</v>
      </c>
    </row>
    <row r="13678" ht="22" customHeight="1" spans="1:10" x14ac:dyDescent="0.25">
      <c r="A13678" s="43">
        <v>3130</v>
      </c>
      <c r="B13678" s="43">
        <v>60</v>
      </c>
      <c r="C13678" s="43" t="s">
        <v>962</v>
      </c>
      <c r="D13678" s="43" t="s">
        <v>1009</v>
      </c>
      <c r="E13678" s="43" t="s">
        <v>278</v>
      </c>
      <c r="F13678" s="43" t="s">
        <v>957</v>
      </c>
      <c r="G13678" s="43">
        <v>6077777</v>
      </c>
      <c r="H13678" s="43">
        <v>501100</v>
      </c>
      <c r="I13678" s="43" t="s">
        <v>949</v>
      </c>
      <c r="J13678" s="44" t="s">
        <v>1000</v>
      </c>
    </row>
    <row r="13679" ht="22" customHeight="1" spans="1:10" x14ac:dyDescent="0.25">
      <c r="A13679" s="43">
        <v>3130</v>
      </c>
      <c r="B13679" s="43">
        <v>60</v>
      </c>
      <c r="C13679" s="43" t="s">
        <v>962</v>
      </c>
      <c r="D13679" s="43" t="s">
        <v>1009</v>
      </c>
      <c r="E13679" s="43" t="s">
        <v>278</v>
      </c>
      <c r="F13679" s="43" t="s">
        <v>958</v>
      </c>
      <c r="G13679" s="43">
        <v>6077777</v>
      </c>
      <c r="H13679" s="43">
        <v>501100</v>
      </c>
      <c r="I13679" s="43" t="s">
        <v>949</v>
      </c>
      <c r="J13679" s="44" t="s">
        <v>1000</v>
      </c>
    </row>
    <row r="13680" ht="22" customHeight="1" spans="1:10" x14ac:dyDescent="0.25">
      <c r="A13680" s="43">
        <v>3130</v>
      </c>
      <c r="B13680" s="43">
        <v>60</v>
      </c>
      <c r="C13680" s="43" t="s">
        <v>962</v>
      </c>
      <c r="D13680" s="43" t="s">
        <v>1009</v>
      </c>
      <c r="E13680" s="43" t="s">
        <v>278</v>
      </c>
      <c r="F13680" s="43" t="s">
        <v>959</v>
      </c>
      <c r="G13680" s="43">
        <v>6077777</v>
      </c>
      <c r="H13680" s="43">
        <v>501100</v>
      </c>
      <c r="I13680" s="43" t="s">
        <v>949</v>
      </c>
      <c r="J13680" s="44" t="s">
        <v>1000</v>
      </c>
    </row>
    <row r="13681" ht="22" customHeight="1" spans="1:10" x14ac:dyDescent="0.25">
      <c r="A13681" s="43">
        <v>3130</v>
      </c>
      <c r="B13681" s="43">
        <v>60</v>
      </c>
      <c r="C13681" s="43" t="s">
        <v>962</v>
      </c>
      <c r="D13681" s="43" t="s">
        <v>1009</v>
      </c>
      <c r="E13681" s="43" t="s">
        <v>278</v>
      </c>
      <c r="F13681" s="43" t="s">
        <v>960</v>
      </c>
      <c r="G13681" s="43">
        <v>6077777</v>
      </c>
      <c r="H13681" s="43">
        <v>501100</v>
      </c>
      <c r="I13681" s="43" t="s">
        <v>949</v>
      </c>
      <c r="J13681" s="44" t="s">
        <v>1000</v>
      </c>
    </row>
    <row r="13682" ht="22" customHeight="1" spans="1:10" x14ac:dyDescent="0.25">
      <c r="A13682" s="43">
        <v>3130</v>
      </c>
      <c r="B13682" s="43">
        <v>60</v>
      </c>
      <c r="C13682" s="43" t="s">
        <v>962</v>
      </c>
      <c r="D13682" s="43" t="s">
        <v>1009</v>
      </c>
      <c r="E13682" s="43" t="s">
        <v>278</v>
      </c>
      <c r="F13682" s="43" t="s">
        <v>961</v>
      </c>
      <c r="G13682" s="43">
        <v>6077777</v>
      </c>
      <c r="H13682" s="43">
        <v>501100</v>
      </c>
      <c r="I13682" s="43" t="s">
        <v>949</v>
      </c>
      <c r="J13682" s="44" t="s">
        <v>1000</v>
      </c>
    </row>
    <row r="13683" ht="22" customHeight="1" spans="1:10" x14ac:dyDescent="0.25">
      <c r="A13683" s="43">
        <v>3130</v>
      </c>
      <c r="B13683" s="43">
        <v>60</v>
      </c>
      <c r="C13683" s="43" t="s">
        <v>963</v>
      </c>
      <c r="D13683" s="43" t="s">
        <v>1009</v>
      </c>
      <c r="E13683" s="43" t="s">
        <v>278</v>
      </c>
      <c r="F13683" s="43" t="s">
        <v>951</v>
      </c>
      <c r="G13683" s="43">
        <v>6077777</v>
      </c>
      <c r="H13683" s="43">
        <v>501100</v>
      </c>
      <c r="I13683" s="43" t="s">
        <v>949</v>
      </c>
      <c r="J13683" s="44" t="s">
        <v>1000</v>
      </c>
    </row>
    <row r="13684" ht="22" customHeight="1" spans="1:10" x14ac:dyDescent="0.25">
      <c r="A13684" s="43">
        <v>3130</v>
      </c>
      <c r="B13684" s="43">
        <v>60</v>
      </c>
      <c r="C13684" s="43" t="s">
        <v>963</v>
      </c>
      <c r="D13684" s="43" t="s">
        <v>1009</v>
      </c>
      <c r="E13684" s="43" t="s">
        <v>278</v>
      </c>
      <c r="F13684" s="43" t="s">
        <v>952</v>
      </c>
      <c r="G13684" s="43">
        <v>6077777</v>
      </c>
      <c r="H13684" s="43">
        <v>501100</v>
      </c>
      <c r="I13684" s="43" t="s">
        <v>949</v>
      </c>
      <c r="J13684" s="44" t="s">
        <v>1000</v>
      </c>
    </row>
    <row r="13685" ht="22" customHeight="1" spans="1:10" x14ac:dyDescent="0.25">
      <c r="A13685" s="43">
        <v>3130</v>
      </c>
      <c r="B13685" s="43">
        <v>60</v>
      </c>
      <c r="C13685" s="43" t="s">
        <v>963</v>
      </c>
      <c r="D13685" s="43" t="s">
        <v>1009</v>
      </c>
      <c r="E13685" s="43" t="s">
        <v>278</v>
      </c>
      <c r="F13685" s="43" t="s">
        <v>953</v>
      </c>
      <c r="G13685" s="43">
        <v>6077777</v>
      </c>
      <c r="H13685" s="43">
        <v>501100</v>
      </c>
      <c r="I13685" s="43" t="s">
        <v>949</v>
      </c>
      <c r="J13685" s="44" t="s">
        <v>1000</v>
      </c>
    </row>
    <row r="13686" ht="22" customHeight="1" spans="1:10" x14ac:dyDescent="0.25">
      <c r="A13686" s="43">
        <v>3130</v>
      </c>
      <c r="B13686" s="43">
        <v>60</v>
      </c>
      <c r="C13686" s="43" t="s">
        <v>963</v>
      </c>
      <c r="D13686" s="43" t="s">
        <v>1009</v>
      </c>
      <c r="E13686" s="43" t="s">
        <v>278</v>
      </c>
      <c r="F13686" s="43" t="s">
        <v>954</v>
      </c>
      <c r="G13686" s="43">
        <v>6077777</v>
      </c>
      <c r="H13686" s="43">
        <v>501100</v>
      </c>
      <c r="I13686" s="43" t="s">
        <v>949</v>
      </c>
      <c r="J13686" s="44" t="s">
        <v>1000</v>
      </c>
    </row>
    <row r="13687" ht="22" customHeight="1" spans="1:10" x14ac:dyDescent="0.25">
      <c r="A13687" s="43">
        <v>3130</v>
      </c>
      <c r="B13687" s="43">
        <v>60</v>
      </c>
      <c r="C13687" s="43" t="s">
        <v>963</v>
      </c>
      <c r="D13687" s="43" t="s">
        <v>1009</v>
      </c>
      <c r="E13687" s="43" t="s">
        <v>278</v>
      </c>
      <c r="F13687" s="43" t="s">
        <v>955</v>
      </c>
      <c r="G13687" s="43">
        <v>6077777</v>
      </c>
      <c r="H13687" s="43">
        <v>501100</v>
      </c>
      <c r="I13687" s="43" t="s">
        <v>949</v>
      </c>
      <c r="J13687" s="44" t="s">
        <v>1000</v>
      </c>
    </row>
    <row r="13688" ht="22" customHeight="1" spans="1:10" x14ac:dyDescent="0.25">
      <c r="A13688" s="43">
        <v>3130</v>
      </c>
      <c r="B13688" s="43">
        <v>60</v>
      </c>
      <c r="C13688" s="43" t="s">
        <v>963</v>
      </c>
      <c r="D13688" s="43" t="s">
        <v>1009</v>
      </c>
      <c r="E13688" s="43" t="s">
        <v>278</v>
      </c>
      <c r="F13688" s="43" t="s">
        <v>956</v>
      </c>
      <c r="G13688" s="43">
        <v>6077777</v>
      </c>
      <c r="H13688" s="43">
        <v>501100</v>
      </c>
      <c r="I13688" s="43" t="s">
        <v>949</v>
      </c>
      <c r="J13688" s="44" t="s">
        <v>1000</v>
      </c>
    </row>
    <row r="13689" ht="22" customHeight="1" spans="1:10" x14ac:dyDescent="0.25">
      <c r="A13689" s="43">
        <v>3130</v>
      </c>
      <c r="B13689" s="43">
        <v>60</v>
      </c>
      <c r="C13689" s="43" t="s">
        <v>963</v>
      </c>
      <c r="D13689" s="43" t="s">
        <v>1009</v>
      </c>
      <c r="E13689" s="43" t="s">
        <v>278</v>
      </c>
      <c r="F13689" s="43" t="s">
        <v>957</v>
      </c>
      <c r="G13689" s="43">
        <v>6077777</v>
      </c>
      <c r="H13689" s="43">
        <v>501100</v>
      </c>
      <c r="I13689" s="43" t="s">
        <v>949</v>
      </c>
      <c r="J13689" s="44" t="s">
        <v>1000</v>
      </c>
    </row>
    <row r="13690" ht="22" customHeight="1" spans="1:10" x14ac:dyDescent="0.25">
      <c r="A13690" s="43">
        <v>3130</v>
      </c>
      <c r="B13690" s="43">
        <v>60</v>
      </c>
      <c r="C13690" s="43" t="s">
        <v>963</v>
      </c>
      <c r="D13690" s="43" t="s">
        <v>1009</v>
      </c>
      <c r="E13690" s="43" t="s">
        <v>278</v>
      </c>
      <c r="F13690" s="43" t="s">
        <v>958</v>
      </c>
      <c r="G13690" s="43">
        <v>6077777</v>
      </c>
      <c r="H13690" s="43">
        <v>501100</v>
      </c>
      <c r="I13690" s="43" t="s">
        <v>949</v>
      </c>
      <c r="J13690" s="44" t="s">
        <v>1000</v>
      </c>
    </row>
    <row r="13691" ht="22" customHeight="1" spans="1:10" x14ac:dyDescent="0.25">
      <c r="A13691" s="43">
        <v>3130</v>
      </c>
      <c r="B13691" s="43">
        <v>60</v>
      </c>
      <c r="C13691" s="43" t="s">
        <v>963</v>
      </c>
      <c r="D13691" s="43" t="s">
        <v>1009</v>
      </c>
      <c r="E13691" s="43" t="s">
        <v>278</v>
      </c>
      <c r="F13691" s="43" t="s">
        <v>959</v>
      </c>
      <c r="G13691" s="43">
        <v>6077777</v>
      </c>
      <c r="H13691" s="43">
        <v>501100</v>
      </c>
      <c r="I13691" s="43" t="s">
        <v>949</v>
      </c>
      <c r="J13691" s="44" t="s">
        <v>1000</v>
      </c>
    </row>
    <row r="13692" ht="22" customHeight="1" spans="1:10" x14ac:dyDescent="0.25">
      <c r="A13692" s="43">
        <v>3130</v>
      </c>
      <c r="B13692" s="43">
        <v>60</v>
      </c>
      <c r="C13692" s="43" t="s">
        <v>963</v>
      </c>
      <c r="D13692" s="43" t="s">
        <v>1009</v>
      </c>
      <c r="E13692" s="43" t="s">
        <v>278</v>
      </c>
      <c r="F13692" s="43" t="s">
        <v>960</v>
      </c>
      <c r="G13692" s="43">
        <v>6077777</v>
      </c>
      <c r="H13692" s="43">
        <v>501100</v>
      </c>
      <c r="I13692" s="43" t="s">
        <v>949</v>
      </c>
      <c r="J13692" s="44" t="s">
        <v>1000</v>
      </c>
    </row>
    <row r="13693" ht="22" customHeight="1" spans="1:10" x14ac:dyDescent="0.25">
      <c r="A13693" s="43">
        <v>3130</v>
      </c>
      <c r="B13693" s="43">
        <v>60</v>
      </c>
      <c r="C13693" s="43" t="s">
        <v>963</v>
      </c>
      <c r="D13693" s="43" t="s">
        <v>1009</v>
      </c>
      <c r="E13693" s="43" t="s">
        <v>278</v>
      </c>
      <c r="F13693" s="43" t="s">
        <v>961</v>
      </c>
      <c r="G13693" s="43">
        <v>6077777</v>
      </c>
      <c r="H13693" s="43">
        <v>501100</v>
      </c>
      <c r="I13693" s="43" t="s">
        <v>949</v>
      </c>
      <c r="J13693" s="44" t="s">
        <v>1000</v>
      </c>
    </row>
    <row r="13694" spans="1:9" x14ac:dyDescent="0.25">
      <c r="A13694">
        <v>4122</v>
      </c>
      <c r="B13694">
        <v>60</v>
      </c>
      <c r="C13694" t="s">
        <v>946</v>
      </c>
      <c r="D13694" t="s">
        <v>1009</v>
      </c>
      <c r="E13694" t="s">
        <v>278</v>
      </c>
      <c r="F13694" t="s">
        <v>948</v>
      </c>
      <c r="G13694">
        <v>6000000</v>
      </c>
      <c r="H13694">
        <v>145000</v>
      </c>
      <c r="I13694" t="s">
        <v>949</v>
      </c>
    </row>
    <row r="13695" spans="1:9" x14ac:dyDescent="0.25">
      <c r="A13695">
        <v>4124</v>
      </c>
      <c r="B13695">
        <v>60</v>
      </c>
      <c r="C13695" t="s">
        <v>946</v>
      </c>
      <c r="D13695" t="s">
        <v>1009</v>
      </c>
      <c r="E13695" t="s">
        <v>278</v>
      </c>
      <c r="F13695" t="s">
        <v>948</v>
      </c>
      <c r="G13695">
        <v>6077777</v>
      </c>
      <c r="H13695">
        <v>501100</v>
      </c>
      <c r="I13695" t="s">
        <v>949</v>
      </c>
    </row>
    <row r="13696" ht="22" customHeight="1" spans="1:10" x14ac:dyDescent="0.25">
      <c r="A13696" s="43">
        <v>3130</v>
      </c>
      <c r="B13696" s="43">
        <v>60</v>
      </c>
      <c r="C13696" s="43" t="s">
        <v>950</v>
      </c>
      <c r="D13696" s="43" t="s">
        <v>1009</v>
      </c>
      <c r="E13696" s="43" t="s">
        <v>282</v>
      </c>
      <c r="F13696" s="43" t="s">
        <v>951</v>
      </c>
      <c r="G13696" s="43">
        <v>6077777</v>
      </c>
      <c r="H13696" s="43">
        <v>501100</v>
      </c>
      <c r="I13696" s="43" t="s">
        <v>949</v>
      </c>
      <c r="J13696" s="44" t="s">
        <v>1000</v>
      </c>
    </row>
    <row r="13697" ht="22" customHeight="1" spans="1:10" x14ac:dyDescent="0.25">
      <c r="A13697" s="43">
        <v>3130</v>
      </c>
      <c r="B13697" s="43">
        <v>60</v>
      </c>
      <c r="C13697" s="43" t="s">
        <v>950</v>
      </c>
      <c r="D13697" s="43" t="s">
        <v>1009</v>
      </c>
      <c r="E13697" s="43" t="s">
        <v>282</v>
      </c>
      <c r="F13697" s="43" t="s">
        <v>952</v>
      </c>
      <c r="G13697" s="43">
        <v>6077777</v>
      </c>
      <c r="H13697" s="43">
        <v>501100</v>
      </c>
      <c r="I13697" s="43" t="s">
        <v>949</v>
      </c>
      <c r="J13697" s="44" t="s">
        <v>1000</v>
      </c>
    </row>
    <row r="13698" ht="22" customHeight="1" spans="1:10" x14ac:dyDescent="0.25">
      <c r="A13698" s="43">
        <v>3130</v>
      </c>
      <c r="B13698" s="43">
        <v>60</v>
      </c>
      <c r="C13698" s="43" t="s">
        <v>950</v>
      </c>
      <c r="D13698" s="43" t="s">
        <v>1009</v>
      </c>
      <c r="E13698" s="43" t="s">
        <v>282</v>
      </c>
      <c r="F13698" s="43" t="s">
        <v>953</v>
      </c>
      <c r="G13698" s="43">
        <v>6077777</v>
      </c>
      <c r="H13698" s="43">
        <v>501100</v>
      </c>
      <c r="I13698" s="43" t="s">
        <v>949</v>
      </c>
      <c r="J13698" s="44" t="s">
        <v>1000</v>
      </c>
    </row>
    <row r="13699" ht="22" customHeight="1" spans="1:10" x14ac:dyDescent="0.25">
      <c r="A13699" s="43">
        <v>3130</v>
      </c>
      <c r="B13699" s="43">
        <v>60</v>
      </c>
      <c r="C13699" s="43" t="s">
        <v>950</v>
      </c>
      <c r="D13699" s="43" t="s">
        <v>1009</v>
      </c>
      <c r="E13699" s="43" t="s">
        <v>282</v>
      </c>
      <c r="F13699" s="43" t="s">
        <v>954</v>
      </c>
      <c r="G13699" s="43">
        <v>6077777</v>
      </c>
      <c r="H13699" s="43">
        <v>501100</v>
      </c>
      <c r="I13699" s="43" t="s">
        <v>949</v>
      </c>
      <c r="J13699" s="44" t="s">
        <v>1000</v>
      </c>
    </row>
    <row r="13700" ht="22" customHeight="1" spans="1:10" x14ac:dyDescent="0.25">
      <c r="A13700" s="43">
        <v>3130</v>
      </c>
      <c r="B13700" s="43">
        <v>60</v>
      </c>
      <c r="C13700" s="43" t="s">
        <v>950</v>
      </c>
      <c r="D13700" s="43" t="s">
        <v>1009</v>
      </c>
      <c r="E13700" s="43" t="s">
        <v>282</v>
      </c>
      <c r="F13700" s="43" t="s">
        <v>955</v>
      </c>
      <c r="G13700" s="43">
        <v>6077777</v>
      </c>
      <c r="H13700" s="43">
        <v>501100</v>
      </c>
      <c r="I13700" s="43" t="s">
        <v>949</v>
      </c>
      <c r="J13700" s="44" t="s">
        <v>1000</v>
      </c>
    </row>
    <row r="13701" ht="22" customHeight="1" spans="1:10" x14ac:dyDescent="0.25">
      <c r="A13701" s="43">
        <v>3130</v>
      </c>
      <c r="B13701" s="43">
        <v>60</v>
      </c>
      <c r="C13701" s="43" t="s">
        <v>950</v>
      </c>
      <c r="D13701" s="43" t="s">
        <v>1009</v>
      </c>
      <c r="E13701" s="43" t="s">
        <v>282</v>
      </c>
      <c r="F13701" s="43" t="s">
        <v>956</v>
      </c>
      <c r="G13701" s="43">
        <v>6077777</v>
      </c>
      <c r="H13701" s="43">
        <v>501100</v>
      </c>
      <c r="I13701" s="43" t="s">
        <v>949</v>
      </c>
      <c r="J13701" s="44" t="s">
        <v>1000</v>
      </c>
    </row>
    <row r="13702" ht="22" customHeight="1" spans="1:10" x14ac:dyDescent="0.25">
      <c r="A13702" s="43">
        <v>3130</v>
      </c>
      <c r="B13702" s="43">
        <v>60</v>
      </c>
      <c r="C13702" s="43" t="s">
        <v>950</v>
      </c>
      <c r="D13702" s="43" t="s">
        <v>1009</v>
      </c>
      <c r="E13702" s="43" t="s">
        <v>282</v>
      </c>
      <c r="F13702" s="43" t="s">
        <v>957</v>
      </c>
      <c r="G13702" s="43">
        <v>6077777</v>
      </c>
      <c r="H13702" s="43">
        <v>501100</v>
      </c>
      <c r="I13702" s="43" t="s">
        <v>949</v>
      </c>
      <c r="J13702" s="44" t="s">
        <v>1000</v>
      </c>
    </row>
    <row r="13703" ht="22" customHeight="1" spans="1:10" x14ac:dyDescent="0.25">
      <c r="A13703" s="43">
        <v>3130</v>
      </c>
      <c r="B13703" s="43">
        <v>60</v>
      </c>
      <c r="C13703" s="43" t="s">
        <v>950</v>
      </c>
      <c r="D13703" s="43" t="s">
        <v>1009</v>
      </c>
      <c r="E13703" s="43" t="s">
        <v>282</v>
      </c>
      <c r="F13703" s="43" t="s">
        <v>958</v>
      </c>
      <c r="G13703" s="43">
        <v>6077777</v>
      </c>
      <c r="H13703" s="43">
        <v>501100</v>
      </c>
      <c r="I13703" s="43" t="s">
        <v>949</v>
      </c>
      <c r="J13703" s="44" t="s">
        <v>1000</v>
      </c>
    </row>
    <row r="13704" ht="22" customHeight="1" spans="1:10" x14ac:dyDescent="0.25">
      <c r="A13704" s="43">
        <v>3130</v>
      </c>
      <c r="B13704" s="43">
        <v>60</v>
      </c>
      <c r="C13704" s="43" t="s">
        <v>950</v>
      </c>
      <c r="D13704" s="43" t="s">
        <v>1009</v>
      </c>
      <c r="E13704" s="43" t="s">
        <v>282</v>
      </c>
      <c r="F13704" s="43" t="s">
        <v>959</v>
      </c>
      <c r="G13704" s="43">
        <v>6077777</v>
      </c>
      <c r="H13704" s="43">
        <v>501100</v>
      </c>
      <c r="I13704" s="43" t="s">
        <v>949</v>
      </c>
      <c r="J13704" s="44" t="s">
        <v>1000</v>
      </c>
    </row>
    <row r="13705" ht="22" customHeight="1" spans="1:10" x14ac:dyDescent="0.25">
      <c r="A13705" s="43">
        <v>3130</v>
      </c>
      <c r="B13705" s="43">
        <v>60</v>
      </c>
      <c r="C13705" s="43" t="s">
        <v>950</v>
      </c>
      <c r="D13705" s="43" t="s">
        <v>1009</v>
      </c>
      <c r="E13705" s="43" t="s">
        <v>282</v>
      </c>
      <c r="F13705" s="43" t="s">
        <v>960</v>
      </c>
      <c r="G13705" s="43">
        <v>6077777</v>
      </c>
      <c r="H13705" s="43">
        <v>501100</v>
      </c>
      <c r="I13705" s="43" t="s">
        <v>949</v>
      </c>
      <c r="J13705" s="44" t="s">
        <v>1000</v>
      </c>
    </row>
    <row r="13706" ht="22" customHeight="1" spans="1:10" x14ac:dyDescent="0.25">
      <c r="A13706" s="43">
        <v>3130</v>
      </c>
      <c r="B13706" s="43">
        <v>60</v>
      </c>
      <c r="C13706" s="43" t="s">
        <v>950</v>
      </c>
      <c r="D13706" s="43" t="s">
        <v>1009</v>
      </c>
      <c r="E13706" s="43" t="s">
        <v>282</v>
      </c>
      <c r="F13706" s="43" t="s">
        <v>961</v>
      </c>
      <c r="G13706" s="43">
        <v>6077777</v>
      </c>
      <c r="H13706" s="43">
        <v>501100</v>
      </c>
      <c r="I13706" s="43" t="s">
        <v>949</v>
      </c>
      <c r="J13706" s="44" t="s">
        <v>1000</v>
      </c>
    </row>
    <row r="13707" ht="22" customHeight="1" spans="1:10" x14ac:dyDescent="0.25">
      <c r="A13707" s="43">
        <v>3130</v>
      </c>
      <c r="B13707" s="43">
        <v>60</v>
      </c>
      <c r="C13707" s="43" t="s">
        <v>962</v>
      </c>
      <c r="D13707" s="43" t="s">
        <v>1009</v>
      </c>
      <c r="E13707" s="43" t="s">
        <v>282</v>
      </c>
      <c r="F13707" s="43" t="s">
        <v>951</v>
      </c>
      <c r="G13707" s="43">
        <v>6077777</v>
      </c>
      <c r="H13707" s="43">
        <v>501100</v>
      </c>
      <c r="I13707" s="43" t="s">
        <v>949</v>
      </c>
      <c r="J13707" s="44" t="s">
        <v>1000</v>
      </c>
    </row>
    <row r="13708" ht="22" customHeight="1" spans="1:10" x14ac:dyDescent="0.25">
      <c r="A13708" s="43">
        <v>3130</v>
      </c>
      <c r="B13708" s="43">
        <v>60</v>
      </c>
      <c r="C13708" s="43" t="s">
        <v>962</v>
      </c>
      <c r="D13708" s="43" t="s">
        <v>1009</v>
      </c>
      <c r="E13708" s="43" t="s">
        <v>282</v>
      </c>
      <c r="F13708" s="43" t="s">
        <v>952</v>
      </c>
      <c r="G13708" s="43">
        <v>6077777</v>
      </c>
      <c r="H13708" s="43">
        <v>501100</v>
      </c>
      <c r="I13708" s="43" t="s">
        <v>949</v>
      </c>
      <c r="J13708" s="44" t="s">
        <v>1000</v>
      </c>
    </row>
    <row r="13709" ht="22" customHeight="1" spans="1:10" x14ac:dyDescent="0.25">
      <c r="A13709" s="43">
        <v>3130</v>
      </c>
      <c r="B13709" s="43">
        <v>60</v>
      </c>
      <c r="C13709" s="43" t="s">
        <v>962</v>
      </c>
      <c r="D13709" s="43" t="s">
        <v>1009</v>
      </c>
      <c r="E13709" s="43" t="s">
        <v>282</v>
      </c>
      <c r="F13709" s="43" t="s">
        <v>953</v>
      </c>
      <c r="G13709" s="43">
        <v>6077777</v>
      </c>
      <c r="H13709" s="43">
        <v>501100</v>
      </c>
      <c r="I13709" s="43" t="s">
        <v>949</v>
      </c>
      <c r="J13709" s="44" t="s">
        <v>1000</v>
      </c>
    </row>
    <row r="13710" ht="22" customHeight="1" spans="1:10" x14ac:dyDescent="0.25">
      <c r="A13710" s="43">
        <v>3130</v>
      </c>
      <c r="B13710" s="43">
        <v>60</v>
      </c>
      <c r="C13710" s="43" t="s">
        <v>962</v>
      </c>
      <c r="D13710" s="43" t="s">
        <v>1009</v>
      </c>
      <c r="E13710" s="43" t="s">
        <v>282</v>
      </c>
      <c r="F13710" s="43" t="s">
        <v>954</v>
      </c>
      <c r="G13710" s="43">
        <v>6077777</v>
      </c>
      <c r="H13710" s="43">
        <v>501100</v>
      </c>
      <c r="I13710" s="43" t="s">
        <v>949</v>
      </c>
      <c r="J13710" s="44" t="s">
        <v>1000</v>
      </c>
    </row>
    <row r="13711" ht="22" customHeight="1" spans="1:10" x14ac:dyDescent="0.25">
      <c r="A13711" s="43">
        <v>3130</v>
      </c>
      <c r="B13711" s="43">
        <v>60</v>
      </c>
      <c r="C13711" s="43" t="s">
        <v>962</v>
      </c>
      <c r="D13711" s="43" t="s">
        <v>1009</v>
      </c>
      <c r="E13711" s="43" t="s">
        <v>282</v>
      </c>
      <c r="F13711" s="43" t="s">
        <v>955</v>
      </c>
      <c r="G13711" s="43">
        <v>6077777</v>
      </c>
      <c r="H13711" s="43">
        <v>501100</v>
      </c>
      <c r="I13711" s="43" t="s">
        <v>949</v>
      </c>
      <c r="J13711" s="44" t="s">
        <v>1000</v>
      </c>
    </row>
    <row r="13712" ht="22" customHeight="1" spans="1:10" x14ac:dyDescent="0.25">
      <c r="A13712" s="43">
        <v>3130</v>
      </c>
      <c r="B13712" s="43">
        <v>60</v>
      </c>
      <c r="C13712" s="43" t="s">
        <v>962</v>
      </c>
      <c r="D13712" s="43" t="s">
        <v>1009</v>
      </c>
      <c r="E13712" s="43" t="s">
        <v>282</v>
      </c>
      <c r="F13712" s="43" t="s">
        <v>956</v>
      </c>
      <c r="G13712" s="43">
        <v>6077777</v>
      </c>
      <c r="H13712" s="43">
        <v>501100</v>
      </c>
      <c r="I13712" s="43" t="s">
        <v>949</v>
      </c>
      <c r="J13712" s="44" t="s">
        <v>1000</v>
      </c>
    </row>
    <row r="13713" ht="22" customHeight="1" spans="1:10" x14ac:dyDescent="0.25">
      <c r="A13713" s="43">
        <v>3130</v>
      </c>
      <c r="B13713" s="43">
        <v>60</v>
      </c>
      <c r="C13713" s="43" t="s">
        <v>962</v>
      </c>
      <c r="D13713" s="43" t="s">
        <v>1009</v>
      </c>
      <c r="E13713" s="43" t="s">
        <v>282</v>
      </c>
      <c r="F13713" s="43" t="s">
        <v>957</v>
      </c>
      <c r="G13713" s="43">
        <v>6077777</v>
      </c>
      <c r="H13713" s="43">
        <v>501100</v>
      </c>
      <c r="I13713" s="43" t="s">
        <v>949</v>
      </c>
      <c r="J13713" s="44" t="s">
        <v>1000</v>
      </c>
    </row>
    <row r="13714" ht="22" customHeight="1" spans="1:10" x14ac:dyDescent="0.25">
      <c r="A13714" s="43">
        <v>3130</v>
      </c>
      <c r="B13714" s="43">
        <v>60</v>
      </c>
      <c r="C13714" s="43" t="s">
        <v>962</v>
      </c>
      <c r="D13714" s="43" t="s">
        <v>1009</v>
      </c>
      <c r="E13714" s="43" t="s">
        <v>282</v>
      </c>
      <c r="F13714" s="43" t="s">
        <v>958</v>
      </c>
      <c r="G13714" s="43">
        <v>6077777</v>
      </c>
      <c r="H13714" s="43">
        <v>501100</v>
      </c>
      <c r="I13714" s="43" t="s">
        <v>949</v>
      </c>
      <c r="J13714" s="44" t="s">
        <v>1000</v>
      </c>
    </row>
    <row r="13715" ht="22" customHeight="1" spans="1:10" x14ac:dyDescent="0.25">
      <c r="A13715" s="43">
        <v>3130</v>
      </c>
      <c r="B13715" s="43">
        <v>60</v>
      </c>
      <c r="C13715" s="43" t="s">
        <v>962</v>
      </c>
      <c r="D13715" s="43" t="s">
        <v>1009</v>
      </c>
      <c r="E13715" s="43" t="s">
        <v>282</v>
      </c>
      <c r="F13715" s="43" t="s">
        <v>959</v>
      </c>
      <c r="G13715" s="43">
        <v>6077777</v>
      </c>
      <c r="H13715" s="43">
        <v>501100</v>
      </c>
      <c r="I13715" s="43" t="s">
        <v>949</v>
      </c>
      <c r="J13715" s="44" t="s">
        <v>1000</v>
      </c>
    </row>
    <row r="13716" ht="22" customHeight="1" spans="1:10" x14ac:dyDescent="0.25">
      <c r="A13716" s="43">
        <v>3130</v>
      </c>
      <c r="B13716" s="43">
        <v>60</v>
      </c>
      <c r="C13716" s="43" t="s">
        <v>962</v>
      </c>
      <c r="D13716" s="43" t="s">
        <v>1009</v>
      </c>
      <c r="E13716" s="43" t="s">
        <v>282</v>
      </c>
      <c r="F13716" s="43" t="s">
        <v>960</v>
      </c>
      <c r="G13716" s="43">
        <v>6077777</v>
      </c>
      <c r="H13716" s="43">
        <v>501100</v>
      </c>
      <c r="I13716" s="43" t="s">
        <v>949</v>
      </c>
      <c r="J13716" s="44" t="s">
        <v>1000</v>
      </c>
    </row>
    <row r="13717" ht="22" customHeight="1" spans="1:10" x14ac:dyDescent="0.25">
      <c r="A13717" s="43">
        <v>3130</v>
      </c>
      <c r="B13717" s="43">
        <v>60</v>
      </c>
      <c r="C13717" s="43" t="s">
        <v>962</v>
      </c>
      <c r="D13717" s="43" t="s">
        <v>1009</v>
      </c>
      <c r="E13717" s="43" t="s">
        <v>282</v>
      </c>
      <c r="F13717" s="43" t="s">
        <v>961</v>
      </c>
      <c r="G13717" s="43">
        <v>6077777</v>
      </c>
      <c r="H13717" s="43">
        <v>501100</v>
      </c>
      <c r="I13717" s="43" t="s">
        <v>949</v>
      </c>
      <c r="J13717" s="44" t="s">
        <v>1000</v>
      </c>
    </row>
    <row r="13718" ht="22" customHeight="1" spans="1:10" x14ac:dyDescent="0.25">
      <c r="A13718" s="43">
        <v>3130</v>
      </c>
      <c r="B13718" s="43">
        <v>60</v>
      </c>
      <c r="C13718" s="43" t="s">
        <v>963</v>
      </c>
      <c r="D13718" s="43" t="s">
        <v>1009</v>
      </c>
      <c r="E13718" s="43" t="s">
        <v>282</v>
      </c>
      <c r="F13718" s="43" t="s">
        <v>951</v>
      </c>
      <c r="G13718" s="43">
        <v>6077777</v>
      </c>
      <c r="H13718" s="43">
        <v>501100</v>
      </c>
      <c r="I13718" s="43" t="s">
        <v>949</v>
      </c>
      <c r="J13718" s="44" t="s">
        <v>1000</v>
      </c>
    </row>
    <row r="13719" ht="22" customHeight="1" spans="1:10" x14ac:dyDescent="0.25">
      <c r="A13719" s="43">
        <v>3130</v>
      </c>
      <c r="B13719" s="43">
        <v>60</v>
      </c>
      <c r="C13719" s="43" t="s">
        <v>963</v>
      </c>
      <c r="D13719" s="43" t="s">
        <v>1009</v>
      </c>
      <c r="E13719" s="43" t="s">
        <v>282</v>
      </c>
      <c r="F13719" s="43" t="s">
        <v>952</v>
      </c>
      <c r="G13719" s="43">
        <v>6077777</v>
      </c>
      <c r="H13719" s="43">
        <v>501100</v>
      </c>
      <c r="I13719" s="43" t="s">
        <v>949</v>
      </c>
      <c r="J13719" s="44" t="s">
        <v>1000</v>
      </c>
    </row>
    <row r="13720" ht="22" customHeight="1" spans="1:10" x14ac:dyDescent="0.25">
      <c r="A13720" s="43">
        <v>3130</v>
      </c>
      <c r="B13720" s="43">
        <v>60</v>
      </c>
      <c r="C13720" s="43" t="s">
        <v>963</v>
      </c>
      <c r="D13720" s="43" t="s">
        <v>1009</v>
      </c>
      <c r="E13720" s="43" t="s">
        <v>282</v>
      </c>
      <c r="F13720" s="43" t="s">
        <v>953</v>
      </c>
      <c r="G13720" s="43">
        <v>6077777</v>
      </c>
      <c r="H13720" s="43">
        <v>501100</v>
      </c>
      <c r="I13720" s="43" t="s">
        <v>949</v>
      </c>
      <c r="J13720" s="44" t="s">
        <v>1000</v>
      </c>
    </row>
    <row r="13721" ht="22" customHeight="1" spans="1:10" x14ac:dyDescent="0.25">
      <c r="A13721" s="43">
        <v>3130</v>
      </c>
      <c r="B13721" s="43">
        <v>60</v>
      </c>
      <c r="C13721" s="43" t="s">
        <v>963</v>
      </c>
      <c r="D13721" s="43" t="s">
        <v>1009</v>
      </c>
      <c r="E13721" s="43" t="s">
        <v>282</v>
      </c>
      <c r="F13721" s="43" t="s">
        <v>954</v>
      </c>
      <c r="G13721" s="43">
        <v>6077777</v>
      </c>
      <c r="H13721" s="43">
        <v>501100</v>
      </c>
      <c r="I13721" s="43" t="s">
        <v>949</v>
      </c>
      <c r="J13721" s="44" t="s">
        <v>1000</v>
      </c>
    </row>
    <row r="13722" ht="22" customHeight="1" spans="1:10" x14ac:dyDescent="0.25">
      <c r="A13722" s="43">
        <v>3130</v>
      </c>
      <c r="B13722" s="43">
        <v>60</v>
      </c>
      <c r="C13722" s="43" t="s">
        <v>963</v>
      </c>
      <c r="D13722" s="43" t="s">
        <v>1009</v>
      </c>
      <c r="E13722" s="43" t="s">
        <v>282</v>
      </c>
      <c r="F13722" s="43" t="s">
        <v>955</v>
      </c>
      <c r="G13722" s="43">
        <v>6077777</v>
      </c>
      <c r="H13722" s="43">
        <v>501100</v>
      </c>
      <c r="I13722" s="43" t="s">
        <v>949</v>
      </c>
      <c r="J13722" s="44" t="s">
        <v>1000</v>
      </c>
    </row>
    <row r="13723" ht="22" customHeight="1" spans="1:10" x14ac:dyDescent="0.25">
      <c r="A13723" s="43">
        <v>3130</v>
      </c>
      <c r="B13723" s="43">
        <v>60</v>
      </c>
      <c r="C13723" s="43" t="s">
        <v>963</v>
      </c>
      <c r="D13723" s="43" t="s">
        <v>1009</v>
      </c>
      <c r="E13723" s="43" t="s">
        <v>282</v>
      </c>
      <c r="F13723" s="43" t="s">
        <v>956</v>
      </c>
      <c r="G13723" s="43">
        <v>6077777</v>
      </c>
      <c r="H13723" s="43">
        <v>501100</v>
      </c>
      <c r="I13723" s="43" t="s">
        <v>949</v>
      </c>
      <c r="J13723" s="44" t="s">
        <v>1000</v>
      </c>
    </row>
    <row r="13724" ht="22" customHeight="1" spans="1:10" x14ac:dyDescent="0.25">
      <c r="A13724" s="43">
        <v>3130</v>
      </c>
      <c r="B13724" s="43">
        <v>60</v>
      </c>
      <c r="C13724" s="43" t="s">
        <v>963</v>
      </c>
      <c r="D13724" s="43" t="s">
        <v>1009</v>
      </c>
      <c r="E13724" s="43" t="s">
        <v>282</v>
      </c>
      <c r="F13724" s="43" t="s">
        <v>957</v>
      </c>
      <c r="G13724" s="43">
        <v>6077777</v>
      </c>
      <c r="H13724" s="43">
        <v>501100</v>
      </c>
      <c r="I13724" s="43" t="s">
        <v>949</v>
      </c>
      <c r="J13724" s="44" t="s">
        <v>1000</v>
      </c>
    </row>
    <row r="13725" ht="22" customHeight="1" spans="1:10" x14ac:dyDescent="0.25">
      <c r="A13725" s="43">
        <v>3130</v>
      </c>
      <c r="B13725" s="43">
        <v>60</v>
      </c>
      <c r="C13725" s="43" t="s">
        <v>963</v>
      </c>
      <c r="D13725" s="43" t="s">
        <v>1009</v>
      </c>
      <c r="E13725" s="43" t="s">
        <v>282</v>
      </c>
      <c r="F13725" s="43" t="s">
        <v>958</v>
      </c>
      <c r="G13725" s="43">
        <v>6077777</v>
      </c>
      <c r="H13725" s="43">
        <v>501100</v>
      </c>
      <c r="I13725" s="43" t="s">
        <v>949</v>
      </c>
      <c r="J13725" s="44" t="s">
        <v>1000</v>
      </c>
    </row>
    <row r="13726" ht="22" customHeight="1" spans="1:10" x14ac:dyDescent="0.25">
      <c r="A13726" s="43">
        <v>3130</v>
      </c>
      <c r="B13726" s="43">
        <v>60</v>
      </c>
      <c r="C13726" s="43" t="s">
        <v>963</v>
      </c>
      <c r="D13726" s="43" t="s">
        <v>1009</v>
      </c>
      <c r="E13726" s="43" t="s">
        <v>282</v>
      </c>
      <c r="F13726" s="43" t="s">
        <v>959</v>
      </c>
      <c r="G13726" s="43">
        <v>6077777</v>
      </c>
      <c r="H13726" s="43">
        <v>501100</v>
      </c>
      <c r="I13726" s="43" t="s">
        <v>949</v>
      </c>
      <c r="J13726" s="44" t="s">
        <v>1000</v>
      </c>
    </row>
    <row r="13727" ht="22" customHeight="1" spans="1:10" x14ac:dyDescent="0.25">
      <c r="A13727" s="43">
        <v>3130</v>
      </c>
      <c r="B13727" s="43">
        <v>60</v>
      </c>
      <c r="C13727" s="43" t="s">
        <v>963</v>
      </c>
      <c r="D13727" s="43" t="s">
        <v>1009</v>
      </c>
      <c r="E13727" s="43" t="s">
        <v>282</v>
      </c>
      <c r="F13727" s="43" t="s">
        <v>960</v>
      </c>
      <c r="G13727" s="43">
        <v>6077777</v>
      </c>
      <c r="H13727" s="43">
        <v>501100</v>
      </c>
      <c r="I13727" s="43" t="s">
        <v>949</v>
      </c>
      <c r="J13727" s="44" t="s">
        <v>1000</v>
      </c>
    </row>
    <row r="13728" ht="22" customHeight="1" spans="1:10" x14ac:dyDescent="0.25">
      <c r="A13728" s="43">
        <v>3130</v>
      </c>
      <c r="B13728" s="43">
        <v>60</v>
      </c>
      <c r="C13728" s="43" t="s">
        <v>963</v>
      </c>
      <c r="D13728" s="43" t="s">
        <v>1009</v>
      </c>
      <c r="E13728" s="43" t="s">
        <v>282</v>
      </c>
      <c r="F13728" s="43" t="s">
        <v>961</v>
      </c>
      <c r="G13728" s="43">
        <v>6077777</v>
      </c>
      <c r="H13728" s="43">
        <v>501100</v>
      </c>
      <c r="I13728" s="43" t="s">
        <v>949</v>
      </c>
      <c r="J13728" s="44" t="s">
        <v>1000</v>
      </c>
    </row>
    <row r="13729" spans="1:9" x14ac:dyDescent="0.25">
      <c r="A13729">
        <v>4122</v>
      </c>
      <c r="B13729">
        <v>60</v>
      </c>
      <c r="C13729" t="s">
        <v>946</v>
      </c>
      <c r="D13729" t="s">
        <v>1009</v>
      </c>
      <c r="E13729" t="s">
        <v>282</v>
      </c>
      <c r="F13729" t="s">
        <v>948</v>
      </c>
      <c r="G13729">
        <v>6000000</v>
      </c>
      <c r="H13729">
        <v>143100</v>
      </c>
      <c r="I13729" t="s">
        <v>949</v>
      </c>
    </row>
    <row r="13730" spans="1:9" x14ac:dyDescent="0.25">
      <c r="A13730">
        <v>4124</v>
      </c>
      <c r="B13730">
        <v>60</v>
      </c>
      <c r="C13730" t="s">
        <v>946</v>
      </c>
      <c r="D13730" t="s">
        <v>1009</v>
      </c>
      <c r="E13730" t="s">
        <v>282</v>
      </c>
      <c r="F13730" t="s">
        <v>948</v>
      </c>
      <c r="G13730">
        <v>6077777</v>
      </c>
      <c r="H13730">
        <v>501100</v>
      </c>
      <c r="I13730" t="s">
        <v>949</v>
      </c>
    </row>
    <row r="13731" ht="22" customHeight="1" spans="1:10" x14ac:dyDescent="0.25">
      <c r="A13731" s="43">
        <v>3130</v>
      </c>
      <c r="B13731" s="43">
        <v>60</v>
      </c>
      <c r="C13731" s="43" t="s">
        <v>950</v>
      </c>
      <c r="D13731" s="43" t="s">
        <v>1009</v>
      </c>
      <c r="E13731" s="43" t="s">
        <v>39</v>
      </c>
      <c r="F13731" s="43" t="s">
        <v>951</v>
      </c>
      <c r="G13731" s="43">
        <v>6077777</v>
      </c>
      <c r="H13731" s="43">
        <v>501100</v>
      </c>
      <c r="I13731" s="43" t="s">
        <v>949</v>
      </c>
      <c r="J13731" s="44" t="s">
        <v>1000</v>
      </c>
    </row>
    <row r="13732" ht="22" customHeight="1" spans="1:10" x14ac:dyDescent="0.25">
      <c r="A13732" s="43">
        <v>3130</v>
      </c>
      <c r="B13732" s="43">
        <v>60</v>
      </c>
      <c r="C13732" s="43" t="s">
        <v>950</v>
      </c>
      <c r="D13732" s="43" t="s">
        <v>1009</v>
      </c>
      <c r="E13732" s="43" t="s">
        <v>39</v>
      </c>
      <c r="F13732" s="43" t="s">
        <v>952</v>
      </c>
      <c r="G13732" s="43">
        <v>6077777</v>
      </c>
      <c r="H13732" s="43">
        <v>501100</v>
      </c>
      <c r="I13732" s="43" t="s">
        <v>949</v>
      </c>
      <c r="J13732" s="44" t="s">
        <v>1000</v>
      </c>
    </row>
    <row r="13733" ht="22" customHeight="1" spans="1:10" x14ac:dyDescent="0.25">
      <c r="A13733" s="43">
        <v>3130</v>
      </c>
      <c r="B13733" s="43">
        <v>60</v>
      </c>
      <c r="C13733" s="43" t="s">
        <v>950</v>
      </c>
      <c r="D13733" s="43" t="s">
        <v>1009</v>
      </c>
      <c r="E13733" s="43" t="s">
        <v>39</v>
      </c>
      <c r="F13733" s="43" t="s">
        <v>953</v>
      </c>
      <c r="G13733" s="43">
        <v>6077777</v>
      </c>
      <c r="H13733" s="43">
        <v>501100</v>
      </c>
      <c r="I13733" s="43" t="s">
        <v>949</v>
      </c>
      <c r="J13733" s="44" t="s">
        <v>1000</v>
      </c>
    </row>
    <row r="13734" ht="22" customHeight="1" spans="1:10" x14ac:dyDescent="0.25">
      <c r="A13734" s="43">
        <v>3130</v>
      </c>
      <c r="B13734" s="43">
        <v>60</v>
      </c>
      <c r="C13734" s="43" t="s">
        <v>950</v>
      </c>
      <c r="D13734" s="43" t="s">
        <v>1009</v>
      </c>
      <c r="E13734" s="43" t="s">
        <v>39</v>
      </c>
      <c r="F13734" s="43" t="s">
        <v>954</v>
      </c>
      <c r="G13734" s="43">
        <v>6077777</v>
      </c>
      <c r="H13734" s="43">
        <v>501100</v>
      </c>
      <c r="I13734" s="43" t="s">
        <v>949</v>
      </c>
      <c r="J13734" s="44" t="s">
        <v>1000</v>
      </c>
    </row>
    <row r="13735" ht="22" customHeight="1" spans="1:10" x14ac:dyDescent="0.25">
      <c r="A13735" s="43">
        <v>3130</v>
      </c>
      <c r="B13735" s="43">
        <v>60</v>
      </c>
      <c r="C13735" s="43" t="s">
        <v>950</v>
      </c>
      <c r="D13735" s="43" t="s">
        <v>1009</v>
      </c>
      <c r="E13735" s="43" t="s">
        <v>39</v>
      </c>
      <c r="F13735" s="43" t="s">
        <v>955</v>
      </c>
      <c r="G13735" s="43">
        <v>6077777</v>
      </c>
      <c r="H13735" s="43">
        <v>501100</v>
      </c>
      <c r="I13735" s="43" t="s">
        <v>949</v>
      </c>
      <c r="J13735" s="44" t="s">
        <v>1000</v>
      </c>
    </row>
    <row r="13736" ht="22" customHeight="1" spans="1:10" x14ac:dyDescent="0.25">
      <c r="A13736" s="43">
        <v>3130</v>
      </c>
      <c r="B13736" s="43">
        <v>60</v>
      </c>
      <c r="C13736" s="43" t="s">
        <v>950</v>
      </c>
      <c r="D13736" s="43" t="s">
        <v>1009</v>
      </c>
      <c r="E13736" s="43" t="s">
        <v>39</v>
      </c>
      <c r="F13736" s="43" t="s">
        <v>956</v>
      </c>
      <c r="G13736" s="43">
        <v>6077777</v>
      </c>
      <c r="H13736" s="43">
        <v>501100</v>
      </c>
      <c r="I13736" s="43" t="s">
        <v>949</v>
      </c>
      <c r="J13736" s="44" t="s">
        <v>1000</v>
      </c>
    </row>
    <row r="13737" ht="22" customHeight="1" spans="1:10" x14ac:dyDescent="0.25">
      <c r="A13737" s="43">
        <v>3130</v>
      </c>
      <c r="B13737" s="43">
        <v>60</v>
      </c>
      <c r="C13737" s="43" t="s">
        <v>950</v>
      </c>
      <c r="D13737" s="43" t="s">
        <v>1009</v>
      </c>
      <c r="E13737" s="43" t="s">
        <v>39</v>
      </c>
      <c r="F13737" s="43" t="s">
        <v>957</v>
      </c>
      <c r="G13737" s="43">
        <v>6077777</v>
      </c>
      <c r="H13737" s="43">
        <v>501100</v>
      </c>
      <c r="I13737" s="43" t="s">
        <v>949</v>
      </c>
      <c r="J13737" s="44" t="s">
        <v>1000</v>
      </c>
    </row>
    <row r="13738" ht="22" customHeight="1" spans="1:10" x14ac:dyDescent="0.25">
      <c r="A13738" s="43">
        <v>3130</v>
      </c>
      <c r="B13738" s="43">
        <v>60</v>
      </c>
      <c r="C13738" s="43" t="s">
        <v>950</v>
      </c>
      <c r="D13738" s="43" t="s">
        <v>1009</v>
      </c>
      <c r="E13738" s="43" t="s">
        <v>39</v>
      </c>
      <c r="F13738" s="43" t="s">
        <v>958</v>
      </c>
      <c r="G13738" s="43">
        <v>6077777</v>
      </c>
      <c r="H13738" s="43">
        <v>501100</v>
      </c>
      <c r="I13738" s="43" t="s">
        <v>949</v>
      </c>
      <c r="J13738" s="44" t="s">
        <v>1000</v>
      </c>
    </row>
    <row r="13739" ht="22" customHeight="1" spans="1:10" x14ac:dyDescent="0.25">
      <c r="A13739" s="43">
        <v>3130</v>
      </c>
      <c r="B13739" s="43">
        <v>60</v>
      </c>
      <c r="C13739" s="43" t="s">
        <v>950</v>
      </c>
      <c r="D13739" s="43" t="s">
        <v>1009</v>
      </c>
      <c r="E13739" s="43" t="s">
        <v>39</v>
      </c>
      <c r="F13739" s="43" t="s">
        <v>959</v>
      </c>
      <c r="G13739" s="43">
        <v>6077777</v>
      </c>
      <c r="H13739" s="43">
        <v>501100</v>
      </c>
      <c r="I13739" s="43" t="s">
        <v>949</v>
      </c>
      <c r="J13739" s="44" t="s">
        <v>1000</v>
      </c>
    </row>
    <row r="13740" ht="22" customHeight="1" spans="1:10" x14ac:dyDescent="0.25">
      <c r="A13740" s="43">
        <v>3130</v>
      </c>
      <c r="B13740" s="43">
        <v>60</v>
      </c>
      <c r="C13740" s="43" t="s">
        <v>950</v>
      </c>
      <c r="D13740" s="43" t="s">
        <v>1009</v>
      </c>
      <c r="E13740" s="43" t="s">
        <v>39</v>
      </c>
      <c r="F13740" s="43" t="s">
        <v>960</v>
      </c>
      <c r="G13740" s="43">
        <v>6077777</v>
      </c>
      <c r="H13740" s="43">
        <v>501100</v>
      </c>
      <c r="I13740" s="43" t="s">
        <v>949</v>
      </c>
      <c r="J13740" s="44" t="s">
        <v>1000</v>
      </c>
    </row>
    <row r="13741" ht="22" customHeight="1" spans="1:10" x14ac:dyDescent="0.25">
      <c r="A13741" s="43">
        <v>3130</v>
      </c>
      <c r="B13741" s="43">
        <v>60</v>
      </c>
      <c r="C13741" s="43" t="s">
        <v>950</v>
      </c>
      <c r="D13741" s="43" t="s">
        <v>1009</v>
      </c>
      <c r="E13741" s="43" t="s">
        <v>39</v>
      </c>
      <c r="F13741" s="43" t="s">
        <v>961</v>
      </c>
      <c r="G13741" s="43">
        <v>6077777</v>
      </c>
      <c r="H13741" s="43">
        <v>501100</v>
      </c>
      <c r="I13741" s="43" t="s">
        <v>949</v>
      </c>
      <c r="J13741" s="44" t="s">
        <v>1000</v>
      </c>
    </row>
    <row r="13742" ht="22" customHeight="1" spans="1:10" x14ac:dyDescent="0.25">
      <c r="A13742" s="43">
        <v>3130</v>
      </c>
      <c r="B13742" s="43">
        <v>60</v>
      </c>
      <c r="C13742" s="43" t="s">
        <v>962</v>
      </c>
      <c r="D13742" s="43" t="s">
        <v>1009</v>
      </c>
      <c r="E13742" s="43" t="s">
        <v>39</v>
      </c>
      <c r="F13742" s="43" t="s">
        <v>951</v>
      </c>
      <c r="G13742" s="43">
        <v>6077777</v>
      </c>
      <c r="H13742" s="43">
        <v>501100</v>
      </c>
      <c r="I13742" s="43" t="s">
        <v>949</v>
      </c>
      <c r="J13742" s="44" t="s">
        <v>1000</v>
      </c>
    </row>
    <row r="13743" ht="22" customHeight="1" spans="1:10" x14ac:dyDescent="0.25">
      <c r="A13743" s="43">
        <v>3130</v>
      </c>
      <c r="B13743" s="43">
        <v>60</v>
      </c>
      <c r="C13743" s="43" t="s">
        <v>962</v>
      </c>
      <c r="D13743" s="43" t="s">
        <v>1009</v>
      </c>
      <c r="E13743" s="43" t="s">
        <v>39</v>
      </c>
      <c r="F13743" s="43" t="s">
        <v>952</v>
      </c>
      <c r="G13743" s="43">
        <v>6077777</v>
      </c>
      <c r="H13743" s="43">
        <v>501100</v>
      </c>
      <c r="I13743" s="43" t="s">
        <v>949</v>
      </c>
      <c r="J13743" s="44" t="s">
        <v>1000</v>
      </c>
    </row>
    <row r="13744" ht="22" customHeight="1" spans="1:10" x14ac:dyDescent="0.25">
      <c r="A13744" s="43">
        <v>3130</v>
      </c>
      <c r="B13744" s="43">
        <v>60</v>
      </c>
      <c r="C13744" s="43" t="s">
        <v>962</v>
      </c>
      <c r="D13744" s="43" t="s">
        <v>1009</v>
      </c>
      <c r="E13744" s="43" t="s">
        <v>39</v>
      </c>
      <c r="F13744" s="43" t="s">
        <v>953</v>
      </c>
      <c r="G13744" s="43">
        <v>6077777</v>
      </c>
      <c r="H13744" s="43">
        <v>501100</v>
      </c>
      <c r="I13744" s="43" t="s">
        <v>949</v>
      </c>
      <c r="J13744" s="44" t="s">
        <v>1000</v>
      </c>
    </row>
    <row r="13745" ht="22" customHeight="1" spans="1:10" x14ac:dyDescent="0.25">
      <c r="A13745" s="43">
        <v>3130</v>
      </c>
      <c r="B13745" s="43">
        <v>60</v>
      </c>
      <c r="C13745" s="43" t="s">
        <v>962</v>
      </c>
      <c r="D13745" s="43" t="s">
        <v>1009</v>
      </c>
      <c r="E13745" s="43" t="s">
        <v>39</v>
      </c>
      <c r="F13745" s="43" t="s">
        <v>954</v>
      </c>
      <c r="G13745" s="43">
        <v>6077777</v>
      </c>
      <c r="H13745" s="43">
        <v>501100</v>
      </c>
      <c r="I13745" s="43" t="s">
        <v>949</v>
      </c>
      <c r="J13745" s="44" t="s">
        <v>1000</v>
      </c>
    </row>
    <row r="13746" ht="22" customHeight="1" spans="1:10" x14ac:dyDescent="0.25">
      <c r="A13746" s="43">
        <v>3130</v>
      </c>
      <c r="B13746" s="43">
        <v>60</v>
      </c>
      <c r="C13746" s="43" t="s">
        <v>962</v>
      </c>
      <c r="D13746" s="43" t="s">
        <v>1009</v>
      </c>
      <c r="E13746" s="43" t="s">
        <v>39</v>
      </c>
      <c r="F13746" s="43" t="s">
        <v>955</v>
      </c>
      <c r="G13746" s="43">
        <v>6077777</v>
      </c>
      <c r="H13746" s="43">
        <v>501100</v>
      </c>
      <c r="I13746" s="43" t="s">
        <v>949</v>
      </c>
      <c r="J13746" s="44" t="s">
        <v>1000</v>
      </c>
    </row>
    <row r="13747" ht="22" customHeight="1" spans="1:10" x14ac:dyDescent="0.25">
      <c r="A13747" s="43">
        <v>3130</v>
      </c>
      <c r="B13747" s="43">
        <v>60</v>
      </c>
      <c r="C13747" s="43" t="s">
        <v>962</v>
      </c>
      <c r="D13747" s="43" t="s">
        <v>1009</v>
      </c>
      <c r="E13747" s="43" t="s">
        <v>39</v>
      </c>
      <c r="F13747" s="43" t="s">
        <v>956</v>
      </c>
      <c r="G13747" s="43">
        <v>6077777</v>
      </c>
      <c r="H13747" s="43">
        <v>501100</v>
      </c>
      <c r="I13747" s="43" t="s">
        <v>949</v>
      </c>
      <c r="J13747" s="44" t="s">
        <v>1000</v>
      </c>
    </row>
    <row r="13748" ht="22" customHeight="1" spans="1:10" x14ac:dyDescent="0.25">
      <c r="A13748" s="43">
        <v>3130</v>
      </c>
      <c r="B13748" s="43">
        <v>60</v>
      </c>
      <c r="C13748" s="43" t="s">
        <v>962</v>
      </c>
      <c r="D13748" s="43" t="s">
        <v>1009</v>
      </c>
      <c r="E13748" s="43" t="s">
        <v>39</v>
      </c>
      <c r="F13748" s="43" t="s">
        <v>957</v>
      </c>
      <c r="G13748" s="43">
        <v>6077777</v>
      </c>
      <c r="H13748" s="43">
        <v>501100</v>
      </c>
      <c r="I13748" s="43" t="s">
        <v>949</v>
      </c>
      <c r="J13748" s="44" t="s">
        <v>1000</v>
      </c>
    </row>
    <row r="13749" ht="22" customHeight="1" spans="1:10" x14ac:dyDescent="0.25">
      <c r="A13749" s="43">
        <v>3130</v>
      </c>
      <c r="B13749" s="43">
        <v>60</v>
      </c>
      <c r="C13749" s="43" t="s">
        <v>962</v>
      </c>
      <c r="D13749" s="43" t="s">
        <v>1009</v>
      </c>
      <c r="E13749" s="43" t="s">
        <v>39</v>
      </c>
      <c r="F13749" s="43" t="s">
        <v>958</v>
      </c>
      <c r="G13749" s="43">
        <v>6077777</v>
      </c>
      <c r="H13749" s="43">
        <v>501100</v>
      </c>
      <c r="I13749" s="43" t="s">
        <v>949</v>
      </c>
      <c r="J13749" s="44" t="s">
        <v>1000</v>
      </c>
    </row>
    <row r="13750" ht="22" customHeight="1" spans="1:10" x14ac:dyDescent="0.25">
      <c r="A13750" s="43">
        <v>3130</v>
      </c>
      <c r="B13750" s="43">
        <v>60</v>
      </c>
      <c r="C13750" s="43" t="s">
        <v>962</v>
      </c>
      <c r="D13750" s="43" t="s">
        <v>1009</v>
      </c>
      <c r="E13750" s="43" t="s">
        <v>39</v>
      </c>
      <c r="F13750" s="43" t="s">
        <v>959</v>
      </c>
      <c r="G13750" s="43">
        <v>6077777</v>
      </c>
      <c r="H13750" s="43">
        <v>501100</v>
      </c>
      <c r="I13750" s="43" t="s">
        <v>949</v>
      </c>
      <c r="J13750" s="44" t="s">
        <v>1000</v>
      </c>
    </row>
    <row r="13751" ht="22" customHeight="1" spans="1:10" x14ac:dyDescent="0.25">
      <c r="A13751" s="43">
        <v>3130</v>
      </c>
      <c r="B13751" s="43">
        <v>60</v>
      </c>
      <c r="C13751" s="43" t="s">
        <v>962</v>
      </c>
      <c r="D13751" s="43" t="s">
        <v>1009</v>
      </c>
      <c r="E13751" s="43" t="s">
        <v>39</v>
      </c>
      <c r="F13751" s="43" t="s">
        <v>960</v>
      </c>
      <c r="G13751" s="43">
        <v>6077777</v>
      </c>
      <c r="H13751" s="43">
        <v>501100</v>
      </c>
      <c r="I13751" s="43" t="s">
        <v>949</v>
      </c>
      <c r="J13751" s="44" t="s">
        <v>1000</v>
      </c>
    </row>
    <row r="13752" ht="22" customHeight="1" spans="1:10" x14ac:dyDescent="0.25">
      <c r="A13752" s="43">
        <v>3130</v>
      </c>
      <c r="B13752" s="43">
        <v>60</v>
      </c>
      <c r="C13752" s="43" t="s">
        <v>962</v>
      </c>
      <c r="D13752" s="43" t="s">
        <v>1009</v>
      </c>
      <c r="E13752" s="43" t="s">
        <v>39</v>
      </c>
      <c r="F13752" s="43" t="s">
        <v>961</v>
      </c>
      <c r="G13752" s="43">
        <v>6077777</v>
      </c>
      <c r="H13752" s="43">
        <v>501100</v>
      </c>
      <c r="I13752" s="43" t="s">
        <v>949</v>
      </c>
      <c r="J13752" s="44" t="s">
        <v>1000</v>
      </c>
    </row>
    <row r="13753" ht="22" customHeight="1" spans="1:10" x14ac:dyDescent="0.25">
      <c r="A13753" s="43">
        <v>3130</v>
      </c>
      <c r="B13753" s="43">
        <v>60</v>
      </c>
      <c r="C13753" s="43" t="s">
        <v>963</v>
      </c>
      <c r="D13753" s="43" t="s">
        <v>1009</v>
      </c>
      <c r="E13753" s="43" t="s">
        <v>39</v>
      </c>
      <c r="F13753" s="43" t="s">
        <v>951</v>
      </c>
      <c r="G13753" s="43">
        <v>6077777</v>
      </c>
      <c r="H13753" s="43">
        <v>501100</v>
      </c>
      <c r="I13753" s="43" t="s">
        <v>949</v>
      </c>
      <c r="J13753" s="44" t="s">
        <v>1000</v>
      </c>
    </row>
    <row r="13754" ht="22" customHeight="1" spans="1:10" x14ac:dyDescent="0.25">
      <c r="A13754" s="43">
        <v>3130</v>
      </c>
      <c r="B13754" s="43">
        <v>60</v>
      </c>
      <c r="C13754" s="43" t="s">
        <v>963</v>
      </c>
      <c r="D13754" s="43" t="s">
        <v>1009</v>
      </c>
      <c r="E13754" s="43" t="s">
        <v>39</v>
      </c>
      <c r="F13754" s="43" t="s">
        <v>952</v>
      </c>
      <c r="G13754" s="43">
        <v>6077777</v>
      </c>
      <c r="H13754" s="43">
        <v>501100</v>
      </c>
      <c r="I13754" s="43" t="s">
        <v>949</v>
      </c>
      <c r="J13754" s="44" t="s">
        <v>1000</v>
      </c>
    </row>
    <row r="13755" ht="22" customHeight="1" spans="1:10" x14ac:dyDescent="0.25">
      <c r="A13755" s="43">
        <v>3130</v>
      </c>
      <c r="B13755" s="43">
        <v>60</v>
      </c>
      <c r="C13755" s="43" t="s">
        <v>963</v>
      </c>
      <c r="D13755" s="43" t="s">
        <v>1009</v>
      </c>
      <c r="E13755" s="43" t="s">
        <v>39</v>
      </c>
      <c r="F13755" s="43" t="s">
        <v>953</v>
      </c>
      <c r="G13755" s="43">
        <v>6077777</v>
      </c>
      <c r="H13755" s="43">
        <v>501100</v>
      </c>
      <c r="I13755" s="43" t="s">
        <v>949</v>
      </c>
      <c r="J13755" s="44" t="s">
        <v>1000</v>
      </c>
    </row>
    <row r="13756" ht="22" customHeight="1" spans="1:10" x14ac:dyDescent="0.25">
      <c r="A13756" s="43">
        <v>3130</v>
      </c>
      <c r="B13756" s="43">
        <v>60</v>
      </c>
      <c r="C13756" s="43" t="s">
        <v>963</v>
      </c>
      <c r="D13756" s="43" t="s">
        <v>1009</v>
      </c>
      <c r="E13756" s="43" t="s">
        <v>39</v>
      </c>
      <c r="F13756" s="43" t="s">
        <v>954</v>
      </c>
      <c r="G13756" s="43">
        <v>6077777</v>
      </c>
      <c r="H13756" s="43">
        <v>501100</v>
      </c>
      <c r="I13756" s="43" t="s">
        <v>949</v>
      </c>
      <c r="J13756" s="44" t="s">
        <v>1000</v>
      </c>
    </row>
    <row r="13757" ht="22" customHeight="1" spans="1:10" x14ac:dyDescent="0.25">
      <c r="A13757" s="43">
        <v>3130</v>
      </c>
      <c r="B13757" s="43">
        <v>60</v>
      </c>
      <c r="C13757" s="43" t="s">
        <v>963</v>
      </c>
      <c r="D13757" s="43" t="s">
        <v>1009</v>
      </c>
      <c r="E13757" s="43" t="s">
        <v>39</v>
      </c>
      <c r="F13757" s="43" t="s">
        <v>955</v>
      </c>
      <c r="G13757" s="43">
        <v>6077777</v>
      </c>
      <c r="H13757" s="43">
        <v>501100</v>
      </c>
      <c r="I13757" s="43" t="s">
        <v>949</v>
      </c>
      <c r="J13757" s="44" t="s">
        <v>1000</v>
      </c>
    </row>
    <row r="13758" ht="22" customHeight="1" spans="1:10" x14ac:dyDescent="0.25">
      <c r="A13758" s="43">
        <v>3130</v>
      </c>
      <c r="B13758" s="43">
        <v>60</v>
      </c>
      <c r="C13758" s="43" t="s">
        <v>963</v>
      </c>
      <c r="D13758" s="43" t="s">
        <v>1009</v>
      </c>
      <c r="E13758" s="43" t="s">
        <v>39</v>
      </c>
      <c r="F13758" s="43" t="s">
        <v>956</v>
      </c>
      <c r="G13758" s="43">
        <v>6077777</v>
      </c>
      <c r="H13758" s="43">
        <v>501100</v>
      </c>
      <c r="I13758" s="43" t="s">
        <v>949</v>
      </c>
      <c r="J13758" s="44" t="s">
        <v>1000</v>
      </c>
    </row>
    <row r="13759" ht="22" customHeight="1" spans="1:10" x14ac:dyDescent="0.25">
      <c r="A13759" s="43">
        <v>3130</v>
      </c>
      <c r="B13759" s="43">
        <v>60</v>
      </c>
      <c r="C13759" s="43" t="s">
        <v>963</v>
      </c>
      <c r="D13759" s="43" t="s">
        <v>1009</v>
      </c>
      <c r="E13759" s="43" t="s">
        <v>39</v>
      </c>
      <c r="F13759" s="43" t="s">
        <v>957</v>
      </c>
      <c r="G13759" s="43">
        <v>6077777</v>
      </c>
      <c r="H13759" s="43">
        <v>501100</v>
      </c>
      <c r="I13759" s="43" t="s">
        <v>949</v>
      </c>
      <c r="J13759" s="44" t="s">
        <v>1000</v>
      </c>
    </row>
    <row r="13760" ht="22" customHeight="1" spans="1:10" x14ac:dyDescent="0.25">
      <c r="A13760" s="43">
        <v>3130</v>
      </c>
      <c r="B13760" s="43">
        <v>60</v>
      </c>
      <c r="C13760" s="43" t="s">
        <v>963</v>
      </c>
      <c r="D13760" s="43" t="s">
        <v>1009</v>
      </c>
      <c r="E13760" s="43" t="s">
        <v>39</v>
      </c>
      <c r="F13760" s="43" t="s">
        <v>958</v>
      </c>
      <c r="G13760" s="43">
        <v>6077777</v>
      </c>
      <c r="H13760" s="43">
        <v>501100</v>
      </c>
      <c r="I13760" s="43" t="s">
        <v>949</v>
      </c>
      <c r="J13760" s="44" t="s">
        <v>1000</v>
      </c>
    </row>
    <row r="13761" ht="22" customHeight="1" spans="1:10" x14ac:dyDescent="0.25">
      <c r="A13761" s="43">
        <v>3130</v>
      </c>
      <c r="B13761" s="43">
        <v>60</v>
      </c>
      <c r="C13761" s="43" t="s">
        <v>963</v>
      </c>
      <c r="D13761" s="43" t="s">
        <v>1009</v>
      </c>
      <c r="E13761" s="43" t="s">
        <v>39</v>
      </c>
      <c r="F13761" s="43" t="s">
        <v>959</v>
      </c>
      <c r="G13761" s="43">
        <v>6077777</v>
      </c>
      <c r="H13761" s="43">
        <v>501100</v>
      </c>
      <c r="I13761" s="43" t="s">
        <v>949</v>
      </c>
      <c r="J13761" s="44" t="s">
        <v>1000</v>
      </c>
    </row>
    <row r="13762" ht="22" customHeight="1" spans="1:10" x14ac:dyDescent="0.25">
      <c r="A13762" s="43">
        <v>3130</v>
      </c>
      <c r="B13762" s="43">
        <v>60</v>
      </c>
      <c r="C13762" s="43" t="s">
        <v>963</v>
      </c>
      <c r="D13762" s="43" t="s">
        <v>1009</v>
      </c>
      <c r="E13762" s="43" t="s">
        <v>39</v>
      </c>
      <c r="F13762" s="43" t="s">
        <v>960</v>
      </c>
      <c r="G13762" s="43">
        <v>6077777</v>
      </c>
      <c r="H13762" s="43">
        <v>501100</v>
      </c>
      <c r="I13762" s="43" t="s">
        <v>949</v>
      </c>
      <c r="J13762" s="44" t="s">
        <v>1000</v>
      </c>
    </row>
    <row r="13763" ht="22" customHeight="1" spans="1:10" x14ac:dyDescent="0.25">
      <c r="A13763" s="43">
        <v>3130</v>
      </c>
      <c r="B13763" s="43">
        <v>60</v>
      </c>
      <c r="C13763" s="43" t="s">
        <v>963</v>
      </c>
      <c r="D13763" s="43" t="s">
        <v>1009</v>
      </c>
      <c r="E13763" s="43" t="s">
        <v>39</v>
      </c>
      <c r="F13763" s="43" t="s">
        <v>961</v>
      </c>
      <c r="G13763" s="43">
        <v>6077777</v>
      </c>
      <c r="H13763" s="43">
        <v>501100</v>
      </c>
      <c r="I13763" s="43" t="s">
        <v>949</v>
      </c>
      <c r="J13763" s="44" t="s">
        <v>1000</v>
      </c>
    </row>
    <row r="13764" ht="22" customHeight="1" spans="1:10" x14ac:dyDescent="0.25">
      <c r="A13764" s="43">
        <v>3130</v>
      </c>
      <c r="B13764" s="43">
        <v>60</v>
      </c>
      <c r="C13764" s="43" t="s">
        <v>950</v>
      </c>
      <c r="D13764" s="43" t="s">
        <v>1009</v>
      </c>
      <c r="E13764" s="43" t="s">
        <v>286</v>
      </c>
      <c r="F13764" s="43" t="s">
        <v>951</v>
      </c>
      <c r="G13764" s="43">
        <v>6077777</v>
      </c>
      <c r="H13764" s="43">
        <v>501100</v>
      </c>
      <c r="I13764" s="43" t="s">
        <v>949</v>
      </c>
      <c r="J13764" s="44" t="s">
        <v>1000</v>
      </c>
    </row>
    <row r="13765" ht="22" customHeight="1" spans="1:10" x14ac:dyDescent="0.25">
      <c r="A13765" s="43">
        <v>3130</v>
      </c>
      <c r="B13765" s="43">
        <v>60</v>
      </c>
      <c r="C13765" s="43" t="s">
        <v>950</v>
      </c>
      <c r="D13765" s="43" t="s">
        <v>1009</v>
      </c>
      <c r="E13765" s="43" t="s">
        <v>286</v>
      </c>
      <c r="F13765" s="43" t="s">
        <v>952</v>
      </c>
      <c r="G13765" s="43">
        <v>6077777</v>
      </c>
      <c r="H13765" s="43">
        <v>501100</v>
      </c>
      <c r="I13765" s="43" t="s">
        <v>949</v>
      </c>
      <c r="J13765" s="44" t="s">
        <v>1000</v>
      </c>
    </row>
    <row r="13766" ht="22" customHeight="1" spans="1:10" x14ac:dyDescent="0.25">
      <c r="A13766" s="43">
        <v>3130</v>
      </c>
      <c r="B13766" s="43">
        <v>60</v>
      </c>
      <c r="C13766" s="43" t="s">
        <v>950</v>
      </c>
      <c r="D13766" s="43" t="s">
        <v>1009</v>
      </c>
      <c r="E13766" s="43" t="s">
        <v>286</v>
      </c>
      <c r="F13766" s="43" t="s">
        <v>953</v>
      </c>
      <c r="G13766" s="43">
        <v>6077777</v>
      </c>
      <c r="H13766" s="43">
        <v>501100</v>
      </c>
      <c r="I13766" s="43" t="s">
        <v>949</v>
      </c>
      <c r="J13766" s="44" t="s">
        <v>1000</v>
      </c>
    </row>
    <row r="13767" ht="22" customHeight="1" spans="1:10" x14ac:dyDescent="0.25">
      <c r="A13767" s="43">
        <v>3130</v>
      </c>
      <c r="B13767" s="43">
        <v>60</v>
      </c>
      <c r="C13767" s="43" t="s">
        <v>950</v>
      </c>
      <c r="D13767" s="43" t="s">
        <v>1009</v>
      </c>
      <c r="E13767" s="43" t="s">
        <v>286</v>
      </c>
      <c r="F13767" s="43" t="s">
        <v>954</v>
      </c>
      <c r="G13767" s="43">
        <v>6077777</v>
      </c>
      <c r="H13767" s="43">
        <v>501100</v>
      </c>
      <c r="I13767" s="43" t="s">
        <v>949</v>
      </c>
      <c r="J13767" s="44" t="s">
        <v>1000</v>
      </c>
    </row>
    <row r="13768" ht="22" customHeight="1" spans="1:10" x14ac:dyDescent="0.25">
      <c r="A13768" s="43">
        <v>3130</v>
      </c>
      <c r="B13768" s="43">
        <v>60</v>
      </c>
      <c r="C13768" s="43" t="s">
        <v>950</v>
      </c>
      <c r="D13768" s="43" t="s">
        <v>1009</v>
      </c>
      <c r="E13768" s="43" t="s">
        <v>286</v>
      </c>
      <c r="F13768" s="43" t="s">
        <v>955</v>
      </c>
      <c r="G13768" s="43">
        <v>6077777</v>
      </c>
      <c r="H13768" s="43">
        <v>501100</v>
      </c>
      <c r="I13768" s="43" t="s">
        <v>949</v>
      </c>
      <c r="J13768" s="44" t="s">
        <v>1000</v>
      </c>
    </row>
    <row r="13769" ht="22" customHeight="1" spans="1:10" x14ac:dyDescent="0.25">
      <c r="A13769" s="43">
        <v>3130</v>
      </c>
      <c r="B13769" s="43">
        <v>60</v>
      </c>
      <c r="C13769" s="43" t="s">
        <v>950</v>
      </c>
      <c r="D13769" s="43" t="s">
        <v>1009</v>
      </c>
      <c r="E13769" s="43" t="s">
        <v>286</v>
      </c>
      <c r="F13769" s="43" t="s">
        <v>956</v>
      </c>
      <c r="G13769" s="43">
        <v>6077777</v>
      </c>
      <c r="H13769" s="43">
        <v>501100</v>
      </c>
      <c r="I13769" s="43" t="s">
        <v>949</v>
      </c>
      <c r="J13769" s="44" t="s">
        <v>1000</v>
      </c>
    </row>
    <row r="13770" ht="22" customHeight="1" spans="1:10" x14ac:dyDescent="0.25">
      <c r="A13770" s="43">
        <v>3130</v>
      </c>
      <c r="B13770" s="43">
        <v>60</v>
      </c>
      <c r="C13770" s="43" t="s">
        <v>950</v>
      </c>
      <c r="D13770" s="43" t="s">
        <v>1009</v>
      </c>
      <c r="E13770" s="43" t="s">
        <v>286</v>
      </c>
      <c r="F13770" s="43" t="s">
        <v>957</v>
      </c>
      <c r="G13770" s="43">
        <v>6077777</v>
      </c>
      <c r="H13770" s="43">
        <v>501100</v>
      </c>
      <c r="I13770" s="43" t="s">
        <v>949</v>
      </c>
      <c r="J13770" s="44" t="s">
        <v>1000</v>
      </c>
    </row>
    <row r="13771" ht="22" customHeight="1" spans="1:10" x14ac:dyDescent="0.25">
      <c r="A13771" s="43">
        <v>3130</v>
      </c>
      <c r="B13771" s="43">
        <v>60</v>
      </c>
      <c r="C13771" s="43" t="s">
        <v>950</v>
      </c>
      <c r="D13771" s="43" t="s">
        <v>1009</v>
      </c>
      <c r="E13771" s="43" t="s">
        <v>286</v>
      </c>
      <c r="F13771" s="43" t="s">
        <v>958</v>
      </c>
      <c r="G13771" s="43">
        <v>6077777</v>
      </c>
      <c r="H13771" s="43">
        <v>501100</v>
      </c>
      <c r="I13771" s="43" t="s">
        <v>949</v>
      </c>
      <c r="J13771" s="44" t="s">
        <v>1000</v>
      </c>
    </row>
    <row r="13772" ht="22" customHeight="1" spans="1:10" x14ac:dyDescent="0.25">
      <c r="A13772" s="43">
        <v>3130</v>
      </c>
      <c r="B13772" s="43">
        <v>60</v>
      </c>
      <c r="C13772" s="43" t="s">
        <v>950</v>
      </c>
      <c r="D13772" s="43" t="s">
        <v>1009</v>
      </c>
      <c r="E13772" s="43" t="s">
        <v>286</v>
      </c>
      <c r="F13772" s="43" t="s">
        <v>959</v>
      </c>
      <c r="G13772" s="43">
        <v>6077777</v>
      </c>
      <c r="H13772" s="43">
        <v>501100</v>
      </c>
      <c r="I13772" s="43" t="s">
        <v>949</v>
      </c>
      <c r="J13772" s="44" t="s">
        <v>1000</v>
      </c>
    </row>
    <row r="13773" ht="22" customHeight="1" spans="1:10" x14ac:dyDescent="0.25">
      <c r="A13773" s="43">
        <v>3130</v>
      </c>
      <c r="B13773" s="43">
        <v>60</v>
      </c>
      <c r="C13773" s="43" t="s">
        <v>950</v>
      </c>
      <c r="D13773" s="43" t="s">
        <v>1009</v>
      </c>
      <c r="E13773" s="43" t="s">
        <v>286</v>
      </c>
      <c r="F13773" s="43" t="s">
        <v>960</v>
      </c>
      <c r="G13773" s="43">
        <v>6077777</v>
      </c>
      <c r="H13773" s="43">
        <v>501100</v>
      </c>
      <c r="I13773" s="43" t="s">
        <v>949</v>
      </c>
      <c r="J13773" s="44" t="s">
        <v>1000</v>
      </c>
    </row>
    <row r="13774" ht="22" customHeight="1" spans="1:10" x14ac:dyDescent="0.25">
      <c r="A13774" s="43">
        <v>3130</v>
      </c>
      <c r="B13774" s="43">
        <v>60</v>
      </c>
      <c r="C13774" s="43" t="s">
        <v>950</v>
      </c>
      <c r="D13774" s="43" t="s">
        <v>1009</v>
      </c>
      <c r="E13774" s="43" t="s">
        <v>286</v>
      </c>
      <c r="F13774" s="43" t="s">
        <v>961</v>
      </c>
      <c r="G13774" s="43">
        <v>6077777</v>
      </c>
      <c r="H13774" s="43">
        <v>501100</v>
      </c>
      <c r="I13774" s="43" t="s">
        <v>949</v>
      </c>
      <c r="J13774" s="44" t="s">
        <v>1000</v>
      </c>
    </row>
    <row r="13775" ht="22" customHeight="1" spans="1:10" x14ac:dyDescent="0.25">
      <c r="A13775" s="43">
        <v>3130</v>
      </c>
      <c r="B13775" s="43">
        <v>60</v>
      </c>
      <c r="C13775" s="43" t="s">
        <v>962</v>
      </c>
      <c r="D13775" s="43" t="s">
        <v>1009</v>
      </c>
      <c r="E13775" s="43" t="s">
        <v>286</v>
      </c>
      <c r="F13775" s="43" t="s">
        <v>951</v>
      </c>
      <c r="G13775" s="43">
        <v>6077777</v>
      </c>
      <c r="H13775" s="43">
        <v>501100</v>
      </c>
      <c r="I13775" s="43" t="s">
        <v>949</v>
      </c>
      <c r="J13775" s="44" t="s">
        <v>1000</v>
      </c>
    </row>
    <row r="13776" ht="22" customHeight="1" spans="1:10" x14ac:dyDescent="0.25">
      <c r="A13776" s="43">
        <v>3130</v>
      </c>
      <c r="B13776" s="43">
        <v>60</v>
      </c>
      <c r="C13776" s="43" t="s">
        <v>962</v>
      </c>
      <c r="D13776" s="43" t="s">
        <v>1009</v>
      </c>
      <c r="E13776" s="43" t="s">
        <v>286</v>
      </c>
      <c r="F13776" s="43" t="s">
        <v>952</v>
      </c>
      <c r="G13776" s="43">
        <v>6077777</v>
      </c>
      <c r="H13776" s="43">
        <v>501100</v>
      </c>
      <c r="I13776" s="43" t="s">
        <v>949</v>
      </c>
      <c r="J13776" s="44" t="s">
        <v>1000</v>
      </c>
    </row>
    <row r="13777" ht="22" customHeight="1" spans="1:10" x14ac:dyDescent="0.25">
      <c r="A13777" s="43">
        <v>3130</v>
      </c>
      <c r="B13777" s="43">
        <v>60</v>
      </c>
      <c r="C13777" s="43" t="s">
        <v>962</v>
      </c>
      <c r="D13777" s="43" t="s">
        <v>1009</v>
      </c>
      <c r="E13777" s="43" t="s">
        <v>286</v>
      </c>
      <c r="F13777" s="43" t="s">
        <v>953</v>
      </c>
      <c r="G13777" s="43">
        <v>6077777</v>
      </c>
      <c r="H13777" s="43">
        <v>501100</v>
      </c>
      <c r="I13777" s="43" t="s">
        <v>949</v>
      </c>
      <c r="J13777" s="44" t="s">
        <v>1000</v>
      </c>
    </row>
    <row r="13778" ht="22" customHeight="1" spans="1:10" x14ac:dyDescent="0.25">
      <c r="A13778" s="43">
        <v>3130</v>
      </c>
      <c r="B13778" s="43">
        <v>60</v>
      </c>
      <c r="C13778" s="43" t="s">
        <v>962</v>
      </c>
      <c r="D13778" s="43" t="s">
        <v>1009</v>
      </c>
      <c r="E13778" s="43" t="s">
        <v>286</v>
      </c>
      <c r="F13778" s="43" t="s">
        <v>954</v>
      </c>
      <c r="G13778" s="43">
        <v>6077777</v>
      </c>
      <c r="H13778" s="43">
        <v>501100</v>
      </c>
      <c r="I13778" s="43" t="s">
        <v>949</v>
      </c>
      <c r="J13778" s="44" t="s">
        <v>1000</v>
      </c>
    </row>
    <row r="13779" ht="22" customHeight="1" spans="1:10" x14ac:dyDescent="0.25">
      <c r="A13779" s="43">
        <v>3130</v>
      </c>
      <c r="B13779" s="43">
        <v>60</v>
      </c>
      <c r="C13779" s="43" t="s">
        <v>962</v>
      </c>
      <c r="D13779" s="43" t="s">
        <v>1009</v>
      </c>
      <c r="E13779" s="43" t="s">
        <v>286</v>
      </c>
      <c r="F13779" s="43" t="s">
        <v>955</v>
      </c>
      <c r="G13779" s="43">
        <v>6077777</v>
      </c>
      <c r="H13779" s="43">
        <v>501100</v>
      </c>
      <c r="I13779" s="43" t="s">
        <v>949</v>
      </c>
      <c r="J13779" s="44" t="s">
        <v>1000</v>
      </c>
    </row>
    <row r="13780" ht="22" customHeight="1" spans="1:10" x14ac:dyDescent="0.25">
      <c r="A13780" s="43">
        <v>3130</v>
      </c>
      <c r="B13780" s="43">
        <v>60</v>
      </c>
      <c r="C13780" s="43" t="s">
        <v>962</v>
      </c>
      <c r="D13780" s="43" t="s">
        <v>1009</v>
      </c>
      <c r="E13780" s="43" t="s">
        <v>286</v>
      </c>
      <c r="F13780" s="43" t="s">
        <v>956</v>
      </c>
      <c r="G13780" s="43">
        <v>6077777</v>
      </c>
      <c r="H13780" s="43">
        <v>501100</v>
      </c>
      <c r="I13780" s="43" t="s">
        <v>949</v>
      </c>
      <c r="J13780" s="44" t="s">
        <v>1000</v>
      </c>
    </row>
    <row r="13781" ht="22" customHeight="1" spans="1:10" x14ac:dyDescent="0.25">
      <c r="A13781" s="43">
        <v>3130</v>
      </c>
      <c r="B13781" s="43">
        <v>60</v>
      </c>
      <c r="C13781" s="43" t="s">
        <v>962</v>
      </c>
      <c r="D13781" s="43" t="s">
        <v>1009</v>
      </c>
      <c r="E13781" s="43" t="s">
        <v>286</v>
      </c>
      <c r="F13781" s="43" t="s">
        <v>957</v>
      </c>
      <c r="G13781" s="43">
        <v>6077777</v>
      </c>
      <c r="H13781" s="43">
        <v>501100</v>
      </c>
      <c r="I13781" s="43" t="s">
        <v>949</v>
      </c>
      <c r="J13781" s="44" t="s">
        <v>1000</v>
      </c>
    </row>
    <row r="13782" ht="22" customHeight="1" spans="1:10" x14ac:dyDescent="0.25">
      <c r="A13782" s="43">
        <v>3130</v>
      </c>
      <c r="B13782" s="43">
        <v>60</v>
      </c>
      <c r="C13782" s="43" t="s">
        <v>962</v>
      </c>
      <c r="D13782" s="43" t="s">
        <v>1009</v>
      </c>
      <c r="E13782" s="43" t="s">
        <v>286</v>
      </c>
      <c r="F13782" s="43" t="s">
        <v>958</v>
      </c>
      <c r="G13782" s="43">
        <v>6077777</v>
      </c>
      <c r="H13782" s="43">
        <v>501100</v>
      </c>
      <c r="I13782" s="43" t="s">
        <v>949</v>
      </c>
      <c r="J13782" s="44" t="s">
        <v>1000</v>
      </c>
    </row>
    <row r="13783" ht="22" customHeight="1" spans="1:10" x14ac:dyDescent="0.25">
      <c r="A13783" s="43">
        <v>3130</v>
      </c>
      <c r="B13783" s="43">
        <v>60</v>
      </c>
      <c r="C13783" s="43" t="s">
        <v>962</v>
      </c>
      <c r="D13783" s="43" t="s">
        <v>1009</v>
      </c>
      <c r="E13783" s="43" t="s">
        <v>286</v>
      </c>
      <c r="F13783" s="43" t="s">
        <v>959</v>
      </c>
      <c r="G13783" s="43">
        <v>6077777</v>
      </c>
      <c r="H13783" s="43">
        <v>501100</v>
      </c>
      <c r="I13783" s="43" t="s">
        <v>949</v>
      </c>
      <c r="J13783" s="44" t="s">
        <v>1000</v>
      </c>
    </row>
    <row r="13784" ht="22" customHeight="1" spans="1:10" x14ac:dyDescent="0.25">
      <c r="A13784" s="43">
        <v>3130</v>
      </c>
      <c r="B13784" s="43">
        <v>60</v>
      </c>
      <c r="C13784" s="43" t="s">
        <v>962</v>
      </c>
      <c r="D13784" s="43" t="s">
        <v>1009</v>
      </c>
      <c r="E13784" s="43" t="s">
        <v>286</v>
      </c>
      <c r="F13784" s="43" t="s">
        <v>960</v>
      </c>
      <c r="G13784" s="43">
        <v>6077777</v>
      </c>
      <c r="H13784" s="43">
        <v>501100</v>
      </c>
      <c r="I13784" s="43" t="s">
        <v>949</v>
      </c>
      <c r="J13784" s="44" t="s">
        <v>1000</v>
      </c>
    </row>
    <row r="13785" ht="22" customHeight="1" spans="1:10" x14ac:dyDescent="0.25">
      <c r="A13785" s="43">
        <v>3130</v>
      </c>
      <c r="B13785" s="43">
        <v>60</v>
      </c>
      <c r="C13785" s="43" t="s">
        <v>962</v>
      </c>
      <c r="D13785" s="43" t="s">
        <v>1009</v>
      </c>
      <c r="E13785" s="43" t="s">
        <v>286</v>
      </c>
      <c r="F13785" s="43" t="s">
        <v>961</v>
      </c>
      <c r="G13785" s="43">
        <v>6077777</v>
      </c>
      <c r="H13785" s="43">
        <v>501100</v>
      </c>
      <c r="I13785" s="43" t="s">
        <v>949</v>
      </c>
      <c r="J13785" s="44" t="s">
        <v>1000</v>
      </c>
    </row>
    <row r="13786" ht="22" customHeight="1" spans="1:10" x14ac:dyDescent="0.25">
      <c r="A13786" s="43">
        <v>3130</v>
      </c>
      <c r="B13786" s="43">
        <v>60</v>
      </c>
      <c r="C13786" s="43" t="s">
        <v>963</v>
      </c>
      <c r="D13786" s="43" t="s">
        <v>1009</v>
      </c>
      <c r="E13786" s="43" t="s">
        <v>286</v>
      </c>
      <c r="F13786" s="43" t="s">
        <v>951</v>
      </c>
      <c r="G13786" s="43">
        <v>6077777</v>
      </c>
      <c r="H13786" s="43">
        <v>501100</v>
      </c>
      <c r="I13786" s="43" t="s">
        <v>949</v>
      </c>
      <c r="J13786" s="44" t="s">
        <v>1000</v>
      </c>
    </row>
    <row r="13787" ht="22" customHeight="1" spans="1:10" x14ac:dyDescent="0.25">
      <c r="A13787" s="43">
        <v>3130</v>
      </c>
      <c r="B13787" s="43">
        <v>60</v>
      </c>
      <c r="C13787" s="43" t="s">
        <v>963</v>
      </c>
      <c r="D13787" s="43" t="s">
        <v>1009</v>
      </c>
      <c r="E13787" s="43" t="s">
        <v>286</v>
      </c>
      <c r="F13787" s="43" t="s">
        <v>952</v>
      </c>
      <c r="G13787" s="43">
        <v>6077777</v>
      </c>
      <c r="H13787" s="43">
        <v>501100</v>
      </c>
      <c r="I13787" s="43" t="s">
        <v>949</v>
      </c>
      <c r="J13787" s="44" t="s">
        <v>1000</v>
      </c>
    </row>
    <row r="13788" ht="22" customHeight="1" spans="1:10" x14ac:dyDescent="0.25">
      <c r="A13788" s="43">
        <v>3130</v>
      </c>
      <c r="B13788" s="43">
        <v>60</v>
      </c>
      <c r="C13788" s="43" t="s">
        <v>963</v>
      </c>
      <c r="D13788" s="43" t="s">
        <v>1009</v>
      </c>
      <c r="E13788" s="43" t="s">
        <v>286</v>
      </c>
      <c r="F13788" s="43" t="s">
        <v>953</v>
      </c>
      <c r="G13788" s="43">
        <v>6077777</v>
      </c>
      <c r="H13788" s="43">
        <v>501100</v>
      </c>
      <c r="I13788" s="43" t="s">
        <v>949</v>
      </c>
      <c r="J13788" s="44" t="s">
        <v>1000</v>
      </c>
    </row>
    <row r="13789" ht="22" customHeight="1" spans="1:10" x14ac:dyDescent="0.25">
      <c r="A13789" s="43">
        <v>3130</v>
      </c>
      <c r="B13789" s="43">
        <v>60</v>
      </c>
      <c r="C13789" s="43" t="s">
        <v>963</v>
      </c>
      <c r="D13789" s="43" t="s">
        <v>1009</v>
      </c>
      <c r="E13789" s="43" t="s">
        <v>286</v>
      </c>
      <c r="F13789" s="43" t="s">
        <v>954</v>
      </c>
      <c r="G13789" s="43">
        <v>6077777</v>
      </c>
      <c r="H13789" s="43">
        <v>501100</v>
      </c>
      <c r="I13789" s="43" t="s">
        <v>949</v>
      </c>
      <c r="J13789" s="44" t="s">
        <v>1000</v>
      </c>
    </row>
    <row r="13790" ht="22" customHeight="1" spans="1:10" x14ac:dyDescent="0.25">
      <c r="A13790" s="43">
        <v>3130</v>
      </c>
      <c r="B13790" s="43">
        <v>60</v>
      </c>
      <c r="C13790" s="43" t="s">
        <v>963</v>
      </c>
      <c r="D13790" s="43" t="s">
        <v>1009</v>
      </c>
      <c r="E13790" s="43" t="s">
        <v>286</v>
      </c>
      <c r="F13790" s="43" t="s">
        <v>955</v>
      </c>
      <c r="G13790" s="43">
        <v>6077777</v>
      </c>
      <c r="H13790" s="43">
        <v>501100</v>
      </c>
      <c r="I13790" s="43" t="s">
        <v>949</v>
      </c>
      <c r="J13790" s="44" t="s">
        <v>1000</v>
      </c>
    </row>
    <row r="13791" ht="22" customHeight="1" spans="1:10" x14ac:dyDescent="0.25">
      <c r="A13791" s="43">
        <v>3130</v>
      </c>
      <c r="B13791" s="43">
        <v>60</v>
      </c>
      <c r="C13791" s="43" t="s">
        <v>963</v>
      </c>
      <c r="D13791" s="43" t="s">
        <v>1009</v>
      </c>
      <c r="E13791" s="43" t="s">
        <v>286</v>
      </c>
      <c r="F13791" s="43" t="s">
        <v>956</v>
      </c>
      <c r="G13791" s="43">
        <v>6077777</v>
      </c>
      <c r="H13791" s="43">
        <v>501100</v>
      </c>
      <c r="I13791" s="43" t="s">
        <v>949</v>
      </c>
      <c r="J13791" s="44" t="s">
        <v>1000</v>
      </c>
    </row>
    <row r="13792" ht="22" customHeight="1" spans="1:10" x14ac:dyDescent="0.25">
      <c r="A13792" s="43">
        <v>3130</v>
      </c>
      <c r="B13792" s="43">
        <v>60</v>
      </c>
      <c r="C13792" s="43" t="s">
        <v>963</v>
      </c>
      <c r="D13792" s="43" t="s">
        <v>1009</v>
      </c>
      <c r="E13792" s="43" t="s">
        <v>286</v>
      </c>
      <c r="F13792" s="43" t="s">
        <v>957</v>
      </c>
      <c r="G13792" s="43">
        <v>6077777</v>
      </c>
      <c r="H13792" s="43">
        <v>501100</v>
      </c>
      <c r="I13792" s="43" t="s">
        <v>949</v>
      </c>
      <c r="J13792" s="44" t="s">
        <v>1000</v>
      </c>
    </row>
    <row r="13793" ht="22" customHeight="1" spans="1:10" x14ac:dyDescent="0.25">
      <c r="A13793" s="43">
        <v>3130</v>
      </c>
      <c r="B13793" s="43">
        <v>60</v>
      </c>
      <c r="C13793" s="43" t="s">
        <v>963</v>
      </c>
      <c r="D13793" s="43" t="s">
        <v>1009</v>
      </c>
      <c r="E13793" s="43" t="s">
        <v>286</v>
      </c>
      <c r="F13793" s="43" t="s">
        <v>958</v>
      </c>
      <c r="G13793" s="43">
        <v>6077777</v>
      </c>
      <c r="H13793" s="43">
        <v>501100</v>
      </c>
      <c r="I13793" s="43" t="s">
        <v>949</v>
      </c>
      <c r="J13793" s="44" t="s">
        <v>1000</v>
      </c>
    </row>
    <row r="13794" ht="22" customHeight="1" spans="1:10" x14ac:dyDescent="0.25">
      <c r="A13794" s="43">
        <v>3130</v>
      </c>
      <c r="B13794" s="43">
        <v>60</v>
      </c>
      <c r="C13794" s="43" t="s">
        <v>963</v>
      </c>
      <c r="D13794" s="43" t="s">
        <v>1009</v>
      </c>
      <c r="E13794" s="43" t="s">
        <v>286</v>
      </c>
      <c r="F13794" s="43" t="s">
        <v>959</v>
      </c>
      <c r="G13794" s="43">
        <v>6077777</v>
      </c>
      <c r="H13794" s="43">
        <v>501100</v>
      </c>
      <c r="I13794" s="43" t="s">
        <v>949</v>
      </c>
      <c r="J13794" s="44" t="s">
        <v>1000</v>
      </c>
    </row>
    <row r="13795" ht="22" customHeight="1" spans="1:10" x14ac:dyDescent="0.25">
      <c r="A13795" s="43">
        <v>3130</v>
      </c>
      <c r="B13795" s="43">
        <v>60</v>
      </c>
      <c r="C13795" s="43" t="s">
        <v>963</v>
      </c>
      <c r="D13795" s="43" t="s">
        <v>1009</v>
      </c>
      <c r="E13795" s="43" t="s">
        <v>286</v>
      </c>
      <c r="F13795" s="43" t="s">
        <v>960</v>
      </c>
      <c r="G13795" s="43">
        <v>6077777</v>
      </c>
      <c r="H13795" s="43">
        <v>501100</v>
      </c>
      <c r="I13795" s="43" t="s">
        <v>949</v>
      </c>
      <c r="J13795" s="44" t="s">
        <v>1000</v>
      </c>
    </row>
    <row r="13796" ht="22" customHeight="1" spans="1:10" x14ac:dyDescent="0.25">
      <c r="A13796" s="43">
        <v>3130</v>
      </c>
      <c r="B13796" s="43">
        <v>60</v>
      </c>
      <c r="C13796" s="43" t="s">
        <v>963</v>
      </c>
      <c r="D13796" s="43" t="s">
        <v>1009</v>
      </c>
      <c r="E13796" s="43" t="s">
        <v>286</v>
      </c>
      <c r="F13796" s="43" t="s">
        <v>961</v>
      </c>
      <c r="G13796" s="43">
        <v>6077777</v>
      </c>
      <c r="H13796" s="43">
        <v>501100</v>
      </c>
      <c r="I13796" s="43" t="s">
        <v>949</v>
      </c>
      <c r="J13796" s="44" t="s">
        <v>1000</v>
      </c>
    </row>
    <row r="13797" spans="1:9" x14ac:dyDescent="0.25">
      <c r="A13797">
        <v>4122</v>
      </c>
      <c r="B13797">
        <v>60</v>
      </c>
      <c r="C13797" t="s">
        <v>946</v>
      </c>
      <c r="D13797" t="s">
        <v>1009</v>
      </c>
      <c r="E13797" t="s">
        <v>286</v>
      </c>
      <c r="F13797" t="s">
        <v>948</v>
      </c>
      <c r="G13797">
        <v>6000000</v>
      </c>
      <c r="H13797">
        <v>145000</v>
      </c>
      <c r="I13797" t="s">
        <v>949</v>
      </c>
    </row>
    <row r="13798" spans="1:9" x14ac:dyDescent="0.25">
      <c r="A13798">
        <v>4124</v>
      </c>
      <c r="B13798">
        <v>60</v>
      </c>
      <c r="C13798" t="s">
        <v>946</v>
      </c>
      <c r="D13798" t="s">
        <v>1009</v>
      </c>
      <c r="E13798" t="s">
        <v>286</v>
      </c>
      <c r="F13798" t="s">
        <v>948</v>
      </c>
      <c r="G13798">
        <v>6077777</v>
      </c>
      <c r="H13798">
        <v>501100</v>
      </c>
      <c r="I13798" t="s">
        <v>949</v>
      </c>
    </row>
    <row r="13799" ht="22" customHeight="1" spans="1:10" x14ac:dyDescent="0.25">
      <c r="A13799" s="43">
        <v>3130</v>
      </c>
      <c r="B13799" s="43">
        <v>60</v>
      </c>
      <c r="C13799" s="43" t="s">
        <v>950</v>
      </c>
      <c r="D13799" s="43" t="s">
        <v>1009</v>
      </c>
      <c r="E13799" s="43" t="s">
        <v>976</v>
      </c>
      <c r="F13799" s="43" t="s">
        <v>951</v>
      </c>
      <c r="G13799" s="43">
        <v>6077777</v>
      </c>
      <c r="H13799" s="43">
        <v>501100</v>
      </c>
      <c r="I13799" s="43" t="s">
        <v>949</v>
      </c>
      <c r="J13799" s="44" t="s">
        <v>1000</v>
      </c>
    </row>
    <row r="13800" ht="22" customHeight="1" spans="1:10" x14ac:dyDescent="0.25">
      <c r="A13800" s="43">
        <v>3130</v>
      </c>
      <c r="B13800" s="43">
        <v>60</v>
      </c>
      <c r="C13800" s="43" t="s">
        <v>950</v>
      </c>
      <c r="D13800" s="43" t="s">
        <v>1009</v>
      </c>
      <c r="E13800" s="43" t="s">
        <v>976</v>
      </c>
      <c r="F13800" s="43" t="s">
        <v>952</v>
      </c>
      <c r="G13800" s="43">
        <v>6077777</v>
      </c>
      <c r="H13800" s="43">
        <v>501100</v>
      </c>
      <c r="I13800" s="43" t="s">
        <v>949</v>
      </c>
      <c r="J13800" s="44" t="s">
        <v>1000</v>
      </c>
    </row>
    <row r="13801" ht="22" customHeight="1" spans="1:10" x14ac:dyDescent="0.25">
      <c r="A13801" s="43">
        <v>3130</v>
      </c>
      <c r="B13801" s="43">
        <v>60</v>
      </c>
      <c r="C13801" s="43" t="s">
        <v>950</v>
      </c>
      <c r="D13801" s="43" t="s">
        <v>1009</v>
      </c>
      <c r="E13801" s="43" t="s">
        <v>976</v>
      </c>
      <c r="F13801" s="43" t="s">
        <v>953</v>
      </c>
      <c r="G13801" s="43">
        <v>6077777</v>
      </c>
      <c r="H13801" s="43">
        <v>501100</v>
      </c>
      <c r="I13801" s="43" t="s">
        <v>949</v>
      </c>
      <c r="J13801" s="44" t="s">
        <v>1000</v>
      </c>
    </row>
    <row r="13802" ht="22" customHeight="1" spans="1:10" x14ac:dyDescent="0.25">
      <c r="A13802" s="43">
        <v>3130</v>
      </c>
      <c r="B13802" s="43">
        <v>60</v>
      </c>
      <c r="C13802" s="43" t="s">
        <v>950</v>
      </c>
      <c r="D13802" s="43" t="s">
        <v>1009</v>
      </c>
      <c r="E13802" s="43" t="s">
        <v>976</v>
      </c>
      <c r="F13802" s="43" t="s">
        <v>954</v>
      </c>
      <c r="G13802" s="43">
        <v>6077777</v>
      </c>
      <c r="H13802" s="43">
        <v>501100</v>
      </c>
      <c r="I13802" s="43" t="s">
        <v>949</v>
      </c>
      <c r="J13802" s="44" t="s">
        <v>1000</v>
      </c>
    </row>
    <row r="13803" ht="22" customHeight="1" spans="1:10" x14ac:dyDescent="0.25">
      <c r="A13803" s="43">
        <v>3130</v>
      </c>
      <c r="B13803" s="43">
        <v>60</v>
      </c>
      <c r="C13803" s="43" t="s">
        <v>950</v>
      </c>
      <c r="D13803" s="43" t="s">
        <v>1009</v>
      </c>
      <c r="E13803" s="43" t="s">
        <v>976</v>
      </c>
      <c r="F13803" s="43" t="s">
        <v>955</v>
      </c>
      <c r="G13803" s="43">
        <v>6077777</v>
      </c>
      <c r="H13803" s="43">
        <v>501100</v>
      </c>
      <c r="I13803" s="43" t="s">
        <v>949</v>
      </c>
      <c r="J13803" s="44" t="s">
        <v>1000</v>
      </c>
    </row>
    <row r="13804" ht="22" customHeight="1" spans="1:10" x14ac:dyDescent="0.25">
      <c r="A13804" s="43">
        <v>3130</v>
      </c>
      <c r="B13804" s="43">
        <v>60</v>
      </c>
      <c r="C13804" s="43" t="s">
        <v>950</v>
      </c>
      <c r="D13804" s="43" t="s">
        <v>1009</v>
      </c>
      <c r="E13804" s="43" t="s">
        <v>976</v>
      </c>
      <c r="F13804" s="43" t="s">
        <v>956</v>
      </c>
      <c r="G13804" s="43">
        <v>6077777</v>
      </c>
      <c r="H13804" s="43">
        <v>501100</v>
      </c>
      <c r="I13804" s="43" t="s">
        <v>949</v>
      </c>
      <c r="J13804" s="44" t="s">
        <v>1000</v>
      </c>
    </row>
    <row r="13805" ht="22" customHeight="1" spans="1:10" x14ac:dyDescent="0.25">
      <c r="A13805" s="43">
        <v>3130</v>
      </c>
      <c r="B13805" s="43">
        <v>60</v>
      </c>
      <c r="C13805" s="43" t="s">
        <v>950</v>
      </c>
      <c r="D13805" s="43" t="s">
        <v>1009</v>
      </c>
      <c r="E13805" s="43" t="s">
        <v>976</v>
      </c>
      <c r="F13805" s="43" t="s">
        <v>957</v>
      </c>
      <c r="G13805" s="43">
        <v>6077777</v>
      </c>
      <c r="H13805" s="43">
        <v>501100</v>
      </c>
      <c r="I13805" s="43" t="s">
        <v>949</v>
      </c>
      <c r="J13805" s="44" t="s">
        <v>1000</v>
      </c>
    </row>
    <row r="13806" ht="22" customHeight="1" spans="1:10" x14ac:dyDescent="0.25">
      <c r="A13806" s="43">
        <v>3130</v>
      </c>
      <c r="B13806" s="43">
        <v>60</v>
      </c>
      <c r="C13806" s="43" t="s">
        <v>950</v>
      </c>
      <c r="D13806" s="43" t="s">
        <v>1009</v>
      </c>
      <c r="E13806" s="43" t="s">
        <v>976</v>
      </c>
      <c r="F13806" s="43" t="s">
        <v>958</v>
      </c>
      <c r="G13806" s="43">
        <v>6077777</v>
      </c>
      <c r="H13806" s="43">
        <v>501100</v>
      </c>
      <c r="I13806" s="43" t="s">
        <v>949</v>
      </c>
      <c r="J13806" s="44" t="s">
        <v>1000</v>
      </c>
    </row>
    <row r="13807" ht="22" customHeight="1" spans="1:10" x14ac:dyDescent="0.25">
      <c r="A13807" s="43">
        <v>3130</v>
      </c>
      <c r="B13807" s="43">
        <v>60</v>
      </c>
      <c r="C13807" s="43" t="s">
        <v>950</v>
      </c>
      <c r="D13807" s="43" t="s">
        <v>1009</v>
      </c>
      <c r="E13807" s="43" t="s">
        <v>976</v>
      </c>
      <c r="F13807" s="43" t="s">
        <v>959</v>
      </c>
      <c r="G13807" s="43">
        <v>6077777</v>
      </c>
      <c r="H13807" s="43">
        <v>501100</v>
      </c>
      <c r="I13807" s="43" t="s">
        <v>949</v>
      </c>
      <c r="J13807" s="44" t="s">
        <v>1000</v>
      </c>
    </row>
    <row r="13808" ht="22" customHeight="1" spans="1:10" x14ac:dyDescent="0.25">
      <c r="A13808" s="43">
        <v>3130</v>
      </c>
      <c r="B13808" s="43">
        <v>60</v>
      </c>
      <c r="C13808" s="43" t="s">
        <v>950</v>
      </c>
      <c r="D13808" s="43" t="s">
        <v>1009</v>
      </c>
      <c r="E13808" s="43" t="s">
        <v>976</v>
      </c>
      <c r="F13808" s="43" t="s">
        <v>960</v>
      </c>
      <c r="G13808" s="43">
        <v>6077777</v>
      </c>
      <c r="H13808" s="43">
        <v>501100</v>
      </c>
      <c r="I13808" s="43" t="s">
        <v>949</v>
      </c>
      <c r="J13808" s="44" t="s">
        <v>1000</v>
      </c>
    </row>
    <row r="13809" ht="22" customHeight="1" spans="1:10" x14ac:dyDescent="0.25">
      <c r="A13809" s="43">
        <v>3130</v>
      </c>
      <c r="B13809" s="43">
        <v>60</v>
      </c>
      <c r="C13809" s="43" t="s">
        <v>950</v>
      </c>
      <c r="D13809" s="43" t="s">
        <v>1009</v>
      </c>
      <c r="E13809" s="43" t="s">
        <v>976</v>
      </c>
      <c r="F13809" s="43" t="s">
        <v>961</v>
      </c>
      <c r="G13809" s="43">
        <v>6077777</v>
      </c>
      <c r="H13809" s="43">
        <v>501100</v>
      </c>
      <c r="I13809" s="43" t="s">
        <v>949</v>
      </c>
      <c r="J13809" s="44" t="s">
        <v>1000</v>
      </c>
    </row>
    <row r="13810" ht="22" customHeight="1" spans="1:10" x14ac:dyDescent="0.25">
      <c r="A13810" s="43">
        <v>3130</v>
      </c>
      <c r="B13810" s="43">
        <v>60</v>
      </c>
      <c r="C13810" s="43" t="s">
        <v>962</v>
      </c>
      <c r="D13810" s="43" t="s">
        <v>1009</v>
      </c>
      <c r="E13810" s="43" t="s">
        <v>976</v>
      </c>
      <c r="F13810" s="43" t="s">
        <v>951</v>
      </c>
      <c r="G13810" s="43">
        <v>6077777</v>
      </c>
      <c r="H13810" s="43">
        <v>501100</v>
      </c>
      <c r="I13810" s="43" t="s">
        <v>949</v>
      </c>
      <c r="J13810" s="44" t="s">
        <v>1000</v>
      </c>
    </row>
    <row r="13811" ht="22" customHeight="1" spans="1:10" x14ac:dyDescent="0.25">
      <c r="A13811" s="43">
        <v>3130</v>
      </c>
      <c r="B13811" s="43">
        <v>60</v>
      </c>
      <c r="C13811" s="43" t="s">
        <v>962</v>
      </c>
      <c r="D13811" s="43" t="s">
        <v>1009</v>
      </c>
      <c r="E13811" s="43" t="s">
        <v>976</v>
      </c>
      <c r="F13811" s="43" t="s">
        <v>952</v>
      </c>
      <c r="G13811" s="43">
        <v>6077777</v>
      </c>
      <c r="H13811" s="43">
        <v>501100</v>
      </c>
      <c r="I13811" s="43" t="s">
        <v>949</v>
      </c>
      <c r="J13811" s="44" t="s">
        <v>1000</v>
      </c>
    </row>
    <row r="13812" ht="22" customHeight="1" spans="1:10" x14ac:dyDescent="0.25">
      <c r="A13812" s="43">
        <v>3130</v>
      </c>
      <c r="B13812" s="43">
        <v>60</v>
      </c>
      <c r="C13812" s="43" t="s">
        <v>962</v>
      </c>
      <c r="D13812" s="43" t="s">
        <v>1009</v>
      </c>
      <c r="E13812" s="43" t="s">
        <v>976</v>
      </c>
      <c r="F13812" s="43" t="s">
        <v>953</v>
      </c>
      <c r="G13812" s="43">
        <v>6077777</v>
      </c>
      <c r="H13812" s="43">
        <v>501100</v>
      </c>
      <c r="I13812" s="43" t="s">
        <v>949</v>
      </c>
      <c r="J13812" s="44" t="s">
        <v>1000</v>
      </c>
    </row>
    <row r="13813" ht="22" customHeight="1" spans="1:10" x14ac:dyDescent="0.25">
      <c r="A13813" s="43">
        <v>3130</v>
      </c>
      <c r="B13813" s="43">
        <v>60</v>
      </c>
      <c r="C13813" s="43" t="s">
        <v>962</v>
      </c>
      <c r="D13813" s="43" t="s">
        <v>1009</v>
      </c>
      <c r="E13813" s="43" t="s">
        <v>976</v>
      </c>
      <c r="F13813" s="43" t="s">
        <v>954</v>
      </c>
      <c r="G13813" s="43">
        <v>6077777</v>
      </c>
      <c r="H13813" s="43">
        <v>501100</v>
      </c>
      <c r="I13813" s="43" t="s">
        <v>949</v>
      </c>
      <c r="J13813" s="44" t="s">
        <v>1000</v>
      </c>
    </row>
    <row r="13814" ht="22" customHeight="1" spans="1:10" x14ac:dyDescent="0.25">
      <c r="A13814" s="43">
        <v>3130</v>
      </c>
      <c r="B13814" s="43">
        <v>60</v>
      </c>
      <c r="C13814" s="43" t="s">
        <v>962</v>
      </c>
      <c r="D13814" s="43" t="s">
        <v>1009</v>
      </c>
      <c r="E13814" s="43" t="s">
        <v>976</v>
      </c>
      <c r="F13814" s="43" t="s">
        <v>955</v>
      </c>
      <c r="G13814" s="43">
        <v>6077777</v>
      </c>
      <c r="H13814" s="43">
        <v>501100</v>
      </c>
      <c r="I13814" s="43" t="s">
        <v>949</v>
      </c>
      <c r="J13814" s="44" t="s">
        <v>1000</v>
      </c>
    </row>
    <row r="13815" ht="22" customHeight="1" spans="1:10" x14ac:dyDescent="0.25">
      <c r="A13815" s="43">
        <v>3130</v>
      </c>
      <c r="B13815" s="43">
        <v>60</v>
      </c>
      <c r="C13815" s="43" t="s">
        <v>962</v>
      </c>
      <c r="D13815" s="43" t="s">
        <v>1009</v>
      </c>
      <c r="E13815" s="43" t="s">
        <v>976</v>
      </c>
      <c r="F13815" s="43" t="s">
        <v>956</v>
      </c>
      <c r="G13815" s="43">
        <v>6077777</v>
      </c>
      <c r="H13815" s="43">
        <v>501100</v>
      </c>
      <c r="I13815" s="43" t="s">
        <v>949</v>
      </c>
      <c r="J13815" s="44" t="s">
        <v>1000</v>
      </c>
    </row>
    <row r="13816" ht="22" customHeight="1" spans="1:10" x14ac:dyDescent="0.25">
      <c r="A13816" s="43">
        <v>3130</v>
      </c>
      <c r="B13816" s="43">
        <v>60</v>
      </c>
      <c r="C13816" s="43" t="s">
        <v>962</v>
      </c>
      <c r="D13816" s="43" t="s">
        <v>1009</v>
      </c>
      <c r="E13816" s="43" t="s">
        <v>976</v>
      </c>
      <c r="F13816" s="43" t="s">
        <v>957</v>
      </c>
      <c r="G13816" s="43">
        <v>6077777</v>
      </c>
      <c r="H13816" s="43">
        <v>501100</v>
      </c>
      <c r="I13816" s="43" t="s">
        <v>949</v>
      </c>
      <c r="J13816" s="44" t="s">
        <v>1000</v>
      </c>
    </row>
    <row r="13817" ht="22" customHeight="1" spans="1:10" x14ac:dyDescent="0.25">
      <c r="A13817" s="43">
        <v>3130</v>
      </c>
      <c r="B13817" s="43">
        <v>60</v>
      </c>
      <c r="C13817" s="43" t="s">
        <v>962</v>
      </c>
      <c r="D13817" s="43" t="s">
        <v>1009</v>
      </c>
      <c r="E13817" s="43" t="s">
        <v>976</v>
      </c>
      <c r="F13817" s="43" t="s">
        <v>958</v>
      </c>
      <c r="G13817" s="43">
        <v>6077777</v>
      </c>
      <c r="H13817" s="43">
        <v>501100</v>
      </c>
      <c r="I13817" s="43" t="s">
        <v>949</v>
      </c>
      <c r="J13817" s="44" t="s">
        <v>1000</v>
      </c>
    </row>
    <row r="13818" ht="22" customHeight="1" spans="1:10" x14ac:dyDescent="0.25">
      <c r="A13818" s="43">
        <v>3130</v>
      </c>
      <c r="B13818" s="43">
        <v>60</v>
      </c>
      <c r="C13818" s="43" t="s">
        <v>962</v>
      </c>
      <c r="D13818" s="43" t="s">
        <v>1009</v>
      </c>
      <c r="E13818" s="43" t="s">
        <v>976</v>
      </c>
      <c r="F13818" s="43" t="s">
        <v>959</v>
      </c>
      <c r="G13818" s="43">
        <v>6077777</v>
      </c>
      <c r="H13818" s="43">
        <v>501100</v>
      </c>
      <c r="I13818" s="43" t="s">
        <v>949</v>
      </c>
      <c r="J13818" s="44" t="s">
        <v>1000</v>
      </c>
    </row>
    <row r="13819" ht="22" customHeight="1" spans="1:10" x14ac:dyDescent="0.25">
      <c r="A13819" s="43">
        <v>3130</v>
      </c>
      <c r="B13819" s="43">
        <v>60</v>
      </c>
      <c r="C13819" s="43" t="s">
        <v>962</v>
      </c>
      <c r="D13819" s="43" t="s">
        <v>1009</v>
      </c>
      <c r="E13819" s="43" t="s">
        <v>976</v>
      </c>
      <c r="F13819" s="43" t="s">
        <v>960</v>
      </c>
      <c r="G13819" s="43">
        <v>6077777</v>
      </c>
      <c r="H13819" s="43">
        <v>501100</v>
      </c>
      <c r="I13819" s="43" t="s">
        <v>949</v>
      </c>
      <c r="J13819" s="44" t="s">
        <v>1000</v>
      </c>
    </row>
    <row r="13820" ht="22" customHeight="1" spans="1:10" x14ac:dyDescent="0.25">
      <c r="A13820" s="43">
        <v>3130</v>
      </c>
      <c r="B13820" s="43">
        <v>60</v>
      </c>
      <c r="C13820" s="43" t="s">
        <v>962</v>
      </c>
      <c r="D13820" s="43" t="s">
        <v>1009</v>
      </c>
      <c r="E13820" s="43" t="s">
        <v>976</v>
      </c>
      <c r="F13820" s="43" t="s">
        <v>961</v>
      </c>
      <c r="G13820" s="43">
        <v>6077777</v>
      </c>
      <c r="H13820" s="43">
        <v>501100</v>
      </c>
      <c r="I13820" s="43" t="s">
        <v>949</v>
      </c>
      <c r="J13820" s="44" t="s">
        <v>1000</v>
      </c>
    </row>
    <row r="13821" ht="22" customHeight="1" spans="1:10" x14ac:dyDescent="0.25">
      <c r="A13821" s="43">
        <v>3130</v>
      </c>
      <c r="B13821" s="43">
        <v>60</v>
      </c>
      <c r="C13821" s="43" t="s">
        <v>963</v>
      </c>
      <c r="D13821" s="43" t="s">
        <v>1009</v>
      </c>
      <c r="E13821" s="43" t="s">
        <v>976</v>
      </c>
      <c r="F13821" s="43" t="s">
        <v>951</v>
      </c>
      <c r="G13821" s="43">
        <v>6077777</v>
      </c>
      <c r="H13821" s="43">
        <v>501100</v>
      </c>
      <c r="I13821" s="43" t="s">
        <v>949</v>
      </c>
      <c r="J13821" s="44" t="s">
        <v>1000</v>
      </c>
    </row>
    <row r="13822" ht="22" customHeight="1" spans="1:10" x14ac:dyDescent="0.25">
      <c r="A13822" s="43">
        <v>3130</v>
      </c>
      <c r="B13822" s="43">
        <v>60</v>
      </c>
      <c r="C13822" s="43" t="s">
        <v>963</v>
      </c>
      <c r="D13822" s="43" t="s">
        <v>1009</v>
      </c>
      <c r="E13822" s="43" t="s">
        <v>976</v>
      </c>
      <c r="F13822" s="43" t="s">
        <v>952</v>
      </c>
      <c r="G13822" s="43">
        <v>6077777</v>
      </c>
      <c r="H13822" s="43">
        <v>501100</v>
      </c>
      <c r="I13822" s="43" t="s">
        <v>949</v>
      </c>
      <c r="J13822" s="44" t="s">
        <v>1000</v>
      </c>
    </row>
    <row r="13823" ht="22" customHeight="1" spans="1:10" x14ac:dyDescent="0.25">
      <c r="A13823" s="43">
        <v>3130</v>
      </c>
      <c r="B13823" s="43">
        <v>60</v>
      </c>
      <c r="C13823" s="43" t="s">
        <v>963</v>
      </c>
      <c r="D13823" s="43" t="s">
        <v>1009</v>
      </c>
      <c r="E13823" s="43" t="s">
        <v>976</v>
      </c>
      <c r="F13823" s="43" t="s">
        <v>953</v>
      </c>
      <c r="G13823" s="43">
        <v>6077777</v>
      </c>
      <c r="H13823" s="43">
        <v>501100</v>
      </c>
      <c r="I13823" s="43" t="s">
        <v>949</v>
      </c>
      <c r="J13823" s="44" t="s">
        <v>1000</v>
      </c>
    </row>
    <row r="13824" ht="22" customHeight="1" spans="1:10" x14ac:dyDescent="0.25">
      <c r="A13824" s="43">
        <v>3130</v>
      </c>
      <c r="B13824" s="43">
        <v>60</v>
      </c>
      <c r="C13824" s="43" t="s">
        <v>963</v>
      </c>
      <c r="D13824" s="43" t="s">
        <v>1009</v>
      </c>
      <c r="E13824" s="43" t="s">
        <v>976</v>
      </c>
      <c r="F13824" s="43" t="s">
        <v>954</v>
      </c>
      <c r="G13824" s="43">
        <v>6077777</v>
      </c>
      <c r="H13824" s="43">
        <v>501100</v>
      </c>
      <c r="I13824" s="43" t="s">
        <v>949</v>
      </c>
      <c r="J13824" s="44" t="s">
        <v>1000</v>
      </c>
    </row>
    <row r="13825" ht="22" customHeight="1" spans="1:10" x14ac:dyDescent="0.25">
      <c r="A13825" s="43">
        <v>3130</v>
      </c>
      <c r="B13825" s="43">
        <v>60</v>
      </c>
      <c r="C13825" s="43" t="s">
        <v>963</v>
      </c>
      <c r="D13825" s="43" t="s">
        <v>1009</v>
      </c>
      <c r="E13825" s="43" t="s">
        <v>976</v>
      </c>
      <c r="F13825" s="43" t="s">
        <v>955</v>
      </c>
      <c r="G13825" s="43">
        <v>6077777</v>
      </c>
      <c r="H13825" s="43">
        <v>501100</v>
      </c>
      <c r="I13825" s="43" t="s">
        <v>949</v>
      </c>
      <c r="J13825" s="44" t="s">
        <v>1000</v>
      </c>
    </row>
    <row r="13826" ht="22" customHeight="1" spans="1:10" x14ac:dyDescent="0.25">
      <c r="A13826" s="43">
        <v>3130</v>
      </c>
      <c r="B13826" s="43">
        <v>60</v>
      </c>
      <c r="C13826" s="43" t="s">
        <v>963</v>
      </c>
      <c r="D13826" s="43" t="s">
        <v>1009</v>
      </c>
      <c r="E13826" s="43" t="s">
        <v>976</v>
      </c>
      <c r="F13826" s="43" t="s">
        <v>956</v>
      </c>
      <c r="G13826" s="43">
        <v>6077777</v>
      </c>
      <c r="H13826" s="43">
        <v>501100</v>
      </c>
      <c r="I13826" s="43" t="s">
        <v>949</v>
      </c>
      <c r="J13826" s="44" t="s">
        <v>1000</v>
      </c>
    </row>
    <row r="13827" ht="22" customHeight="1" spans="1:10" x14ac:dyDescent="0.25">
      <c r="A13827" s="43">
        <v>3130</v>
      </c>
      <c r="B13827" s="43">
        <v>60</v>
      </c>
      <c r="C13827" s="43" t="s">
        <v>963</v>
      </c>
      <c r="D13827" s="43" t="s">
        <v>1009</v>
      </c>
      <c r="E13827" s="43" t="s">
        <v>976</v>
      </c>
      <c r="F13827" s="43" t="s">
        <v>957</v>
      </c>
      <c r="G13827" s="43">
        <v>6077777</v>
      </c>
      <c r="H13827" s="43">
        <v>501100</v>
      </c>
      <c r="I13827" s="43" t="s">
        <v>949</v>
      </c>
      <c r="J13827" s="44" t="s">
        <v>1000</v>
      </c>
    </row>
    <row r="13828" ht="22" customHeight="1" spans="1:10" x14ac:dyDescent="0.25">
      <c r="A13828" s="43">
        <v>3130</v>
      </c>
      <c r="B13828" s="43">
        <v>60</v>
      </c>
      <c r="C13828" s="43" t="s">
        <v>963</v>
      </c>
      <c r="D13828" s="43" t="s">
        <v>1009</v>
      </c>
      <c r="E13828" s="43" t="s">
        <v>976</v>
      </c>
      <c r="F13828" s="43" t="s">
        <v>958</v>
      </c>
      <c r="G13828" s="43">
        <v>6077777</v>
      </c>
      <c r="H13828" s="43">
        <v>501100</v>
      </c>
      <c r="I13828" s="43" t="s">
        <v>949</v>
      </c>
      <c r="J13828" s="44" t="s">
        <v>1000</v>
      </c>
    </row>
    <row r="13829" ht="22" customHeight="1" spans="1:10" x14ac:dyDescent="0.25">
      <c r="A13829" s="43">
        <v>3130</v>
      </c>
      <c r="B13829" s="43">
        <v>60</v>
      </c>
      <c r="C13829" s="43" t="s">
        <v>963</v>
      </c>
      <c r="D13829" s="43" t="s">
        <v>1009</v>
      </c>
      <c r="E13829" s="43" t="s">
        <v>976</v>
      </c>
      <c r="F13829" s="43" t="s">
        <v>959</v>
      </c>
      <c r="G13829" s="43">
        <v>6077777</v>
      </c>
      <c r="H13829" s="43">
        <v>501100</v>
      </c>
      <c r="I13829" s="43" t="s">
        <v>949</v>
      </c>
      <c r="J13829" s="44" t="s">
        <v>1000</v>
      </c>
    </row>
    <row r="13830" ht="22" customHeight="1" spans="1:10" x14ac:dyDescent="0.25">
      <c r="A13830" s="43">
        <v>3130</v>
      </c>
      <c r="B13830" s="43">
        <v>60</v>
      </c>
      <c r="C13830" s="43" t="s">
        <v>963</v>
      </c>
      <c r="D13830" s="43" t="s">
        <v>1009</v>
      </c>
      <c r="E13830" s="43" t="s">
        <v>976</v>
      </c>
      <c r="F13830" s="43" t="s">
        <v>960</v>
      </c>
      <c r="G13830" s="43">
        <v>6077777</v>
      </c>
      <c r="H13830" s="43">
        <v>501100</v>
      </c>
      <c r="I13830" s="43" t="s">
        <v>949</v>
      </c>
      <c r="J13830" s="44" t="s">
        <v>1000</v>
      </c>
    </row>
    <row r="13831" ht="22" customHeight="1" spans="1:10" x14ac:dyDescent="0.25">
      <c r="A13831" s="43">
        <v>3130</v>
      </c>
      <c r="B13831" s="43">
        <v>60</v>
      </c>
      <c r="C13831" s="43" t="s">
        <v>963</v>
      </c>
      <c r="D13831" s="43" t="s">
        <v>1009</v>
      </c>
      <c r="E13831" s="43" t="s">
        <v>976</v>
      </c>
      <c r="F13831" s="43" t="s">
        <v>961</v>
      </c>
      <c r="G13831" s="43">
        <v>6077777</v>
      </c>
      <c r="H13831" s="43">
        <v>501100</v>
      </c>
      <c r="I13831" s="43" t="s">
        <v>949</v>
      </c>
      <c r="J13831" s="44" t="s">
        <v>1000</v>
      </c>
    </row>
    <row r="13832" spans="1:9" x14ac:dyDescent="0.25">
      <c r="A13832">
        <v>4122</v>
      </c>
      <c r="B13832">
        <v>60</v>
      </c>
      <c r="C13832" t="s">
        <v>946</v>
      </c>
      <c r="D13832" t="s">
        <v>1009</v>
      </c>
      <c r="E13832" t="s">
        <v>976</v>
      </c>
      <c r="F13832" t="s">
        <v>948</v>
      </c>
      <c r="G13832">
        <v>6000000</v>
      </c>
      <c r="H13832">
        <v>141000</v>
      </c>
      <c r="I13832" t="s">
        <v>977</v>
      </c>
    </row>
    <row r="13833" spans="1:9" x14ac:dyDescent="0.25">
      <c r="A13833">
        <v>4124</v>
      </c>
      <c r="B13833">
        <v>60</v>
      </c>
      <c r="C13833" t="s">
        <v>946</v>
      </c>
      <c r="D13833" t="s">
        <v>1009</v>
      </c>
      <c r="E13833" t="s">
        <v>976</v>
      </c>
      <c r="F13833" t="s">
        <v>948</v>
      </c>
      <c r="G13833">
        <v>6077777</v>
      </c>
      <c r="H13833">
        <v>501100</v>
      </c>
      <c r="I13833" t="s">
        <v>949</v>
      </c>
    </row>
    <row r="13834" ht="22" customHeight="1" spans="1:10" x14ac:dyDescent="0.25">
      <c r="A13834" s="43">
        <v>3130</v>
      </c>
      <c r="B13834" s="43">
        <v>60</v>
      </c>
      <c r="C13834" s="43" t="s">
        <v>950</v>
      </c>
      <c r="D13834" s="43" t="s">
        <v>1009</v>
      </c>
      <c r="E13834" s="43" t="s">
        <v>290</v>
      </c>
      <c r="F13834" s="43" t="s">
        <v>951</v>
      </c>
      <c r="G13834" s="43">
        <v>6077777</v>
      </c>
      <c r="H13834" s="43">
        <v>501100</v>
      </c>
      <c r="I13834" s="43" t="s">
        <v>949</v>
      </c>
      <c r="J13834" s="44" t="s">
        <v>1000</v>
      </c>
    </row>
    <row r="13835" ht="22" customHeight="1" spans="1:10" x14ac:dyDescent="0.25">
      <c r="A13835" s="43">
        <v>3130</v>
      </c>
      <c r="B13835" s="43">
        <v>60</v>
      </c>
      <c r="C13835" s="43" t="s">
        <v>950</v>
      </c>
      <c r="D13835" s="43" t="s">
        <v>1009</v>
      </c>
      <c r="E13835" s="43" t="s">
        <v>290</v>
      </c>
      <c r="F13835" s="43" t="s">
        <v>952</v>
      </c>
      <c r="G13835" s="43">
        <v>6077777</v>
      </c>
      <c r="H13835" s="43">
        <v>501100</v>
      </c>
      <c r="I13835" s="43" t="s">
        <v>949</v>
      </c>
      <c r="J13835" s="44" t="s">
        <v>1000</v>
      </c>
    </row>
    <row r="13836" ht="22" customHeight="1" spans="1:10" x14ac:dyDescent="0.25">
      <c r="A13836" s="43">
        <v>3130</v>
      </c>
      <c r="B13836" s="43">
        <v>60</v>
      </c>
      <c r="C13836" s="43" t="s">
        <v>950</v>
      </c>
      <c r="D13836" s="43" t="s">
        <v>1009</v>
      </c>
      <c r="E13836" s="43" t="s">
        <v>290</v>
      </c>
      <c r="F13836" s="43" t="s">
        <v>953</v>
      </c>
      <c r="G13836" s="43">
        <v>6077777</v>
      </c>
      <c r="H13836" s="43">
        <v>501100</v>
      </c>
      <c r="I13836" s="43" t="s">
        <v>949</v>
      </c>
      <c r="J13836" s="44" t="s">
        <v>1000</v>
      </c>
    </row>
    <row r="13837" ht="22" customHeight="1" spans="1:10" x14ac:dyDescent="0.25">
      <c r="A13837" s="43">
        <v>3130</v>
      </c>
      <c r="B13837" s="43">
        <v>60</v>
      </c>
      <c r="C13837" s="43" t="s">
        <v>950</v>
      </c>
      <c r="D13837" s="43" t="s">
        <v>1009</v>
      </c>
      <c r="E13837" s="43" t="s">
        <v>290</v>
      </c>
      <c r="F13837" s="43" t="s">
        <v>954</v>
      </c>
      <c r="G13837" s="43">
        <v>6077777</v>
      </c>
      <c r="H13837" s="43">
        <v>501100</v>
      </c>
      <c r="I13837" s="43" t="s">
        <v>949</v>
      </c>
      <c r="J13837" s="44" t="s">
        <v>1000</v>
      </c>
    </row>
    <row r="13838" ht="22" customHeight="1" spans="1:10" x14ac:dyDescent="0.25">
      <c r="A13838" s="43">
        <v>3130</v>
      </c>
      <c r="B13838" s="43">
        <v>60</v>
      </c>
      <c r="C13838" s="43" t="s">
        <v>950</v>
      </c>
      <c r="D13838" s="43" t="s">
        <v>1009</v>
      </c>
      <c r="E13838" s="43" t="s">
        <v>290</v>
      </c>
      <c r="F13838" s="43" t="s">
        <v>955</v>
      </c>
      <c r="G13838" s="43">
        <v>6077777</v>
      </c>
      <c r="H13838" s="43">
        <v>501100</v>
      </c>
      <c r="I13838" s="43" t="s">
        <v>949</v>
      </c>
      <c r="J13838" s="44" t="s">
        <v>1000</v>
      </c>
    </row>
    <row r="13839" ht="22" customHeight="1" spans="1:10" x14ac:dyDescent="0.25">
      <c r="A13839" s="43">
        <v>3130</v>
      </c>
      <c r="B13839" s="43">
        <v>60</v>
      </c>
      <c r="C13839" s="43" t="s">
        <v>950</v>
      </c>
      <c r="D13839" s="43" t="s">
        <v>1009</v>
      </c>
      <c r="E13839" s="43" t="s">
        <v>290</v>
      </c>
      <c r="F13839" s="43" t="s">
        <v>956</v>
      </c>
      <c r="G13839" s="43">
        <v>6077777</v>
      </c>
      <c r="H13839" s="43">
        <v>501100</v>
      </c>
      <c r="I13839" s="43" t="s">
        <v>949</v>
      </c>
      <c r="J13839" s="44" t="s">
        <v>1000</v>
      </c>
    </row>
    <row r="13840" ht="22" customHeight="1" spans="1:10" x14ac:dyDescent="0.25">
      <c r="A13840" s="43">
        <v>3130</v>
      </c>
      <c r="B13840" s="43">
        <v>60</v>
      </c>
      <c r="C13840" s="43" t="s">
        <v>950</v>
      </c>
      <c r="D13840" s="43" t="s">
        <v>1009</v>
      </c>
      <c r="E13840" s="43" t="s">
        <v>290</v>
      </c>
      <c r="F13840" s="43" t="s">
        <v>957</v>
      </c>
      <c r="G13840" s="43">
        <v>6077777</v>
      </c>
      <c r="H13840" s="43">
        <v>501100</v>
      </c>
      <c r="I13840" s="43" t="s">
        <v>949</v>
      </c>
      <c r="J13840" s="44" t="s">
        <v>1000</v>
      </c>
    </row>
    <row r="13841" ht="22" customHeight="1" spans="1:10" x14ac:dyDescent="0.25">
      <c r="A13841" s="43">
        <v>3130</v>
      </c>
      <c r="B13841" s="43">
        <v>60</v>
      </c>
      <c r="C13841" s="43" t="s">
        <v>950</v>
      </c>
      <c r="D13841" s="43" t="s">
        <v>1009</v>
      </c>
      <c r="E13841" s="43" t="s">
        <v>290</v>
      </c>
      <c r="F13841" s="43" t="s">
        <v>958</v>
      </c>
      <c r="G13841" s="43">
        <v>6077777</v>
      </c>
      <c r="H13841" s="43">
        <v>501100</v>
      </c>
      <c r="I13841" s="43" t="s">
        <v>949</v>
      </c>
      <c r="J13841" s="44" t="s">
        <v>1000</v>
      </c>
    </row>
    <row r="13842" ht="22" customHeight="1" spans="1:10" x14ac:dyDescent="0.25">
      <c r="A13842" s="43">
        <v>3130</v>
      </c>
      <c r="B13842" s="43">
        <v>60</v>
      </c>
      <c r="C13842" s="43" t="s">
        <v>950</v>
      </c>
      <c r="D13842" s="43" t="s">
        <v>1009</v>
      </c>
      <c r="E13842" s="43" t="s">
        <v>290</v>
      </c>
      <c r="F13842" s="43" t="s">
        <v>959</v>
      </c>
      <c r="G13842" s="43">
        <v>6077777</v>
      </c>
      <c r="H13842" s="43">
        <v>501100</v>
      </c>
      <c r="I13842" s="43" t="s">
        <v>949</v>
      </c>
      <c r="J13842" s="44" t="s">
        <v>1000</v>
      </c>
    </row>
    <row r="13843" ht="22" customHeight="1" spans="1:10" x14ac:dyDescent="0.25">
      <c r="A13843" s="43">
        <v>3130</v>
      </c>
      <c r="B13843" s="43">
        <v>60</v>
      </c>
      <c r="C13843" s="43" t="s">
        <v>950</v>
      </c>
      <c r="D13843" s="43" t="s">
        <v>1009</v>
      </c>
      <c r="E13843" s="43" t="s">
        <v>290</v>
      </c>
      <c r="F13843" s="43" t="s">
        <v>960</v>
      </c>
      <c r="G13843" s="43">
        <v>6077777</v>
      </c>
      <c r="H13843" s="43">
        <v>501100</v>
      </c>
      <c r="I13843" s="43" t="s">
        <v>949</v>
      </c>
      <c r="J13843" s="44" t="s">
        <v>1000</v>
      </c>
    </row>
    <row r="13844" ht="22" customHeight="1" spans="1:10" x14ac:dyDescent="0.25">
      <c r="A13844" s="43">
        <v>3130</v>
      </c>
      <c r="B13844" s="43">
        <v>60</v>
      </c>
      <c r="C13844" s="43" t="s">
        <v>950</v>
      </c>
      <c r="D13844" s="43" t="s">
        <v>1009</v>
      </c>
      <c r="E13844" s="43" t="s">
        <v>290</v>
      </c>
      <c r="F13844" s="43" t="s">
        <v>961</v>
      </c>
      <c r="G13844" s="43">
        <v>6077777</v>
      </c>
      <c r="H13844" s="43">
        <v>501100</v>
      </c>
      <c r="I13844" s="43" t="s">
        <v>949</v>
      </c>
      <c r="J13844" s="44" t="s">
        <v>1000</v>
      </c>
    </row>
    <row r="13845" ht="22" customHeight="1" spans="1:10" x14ac:dyDescent="0.25">
      <c r="A13845" s="43">
        <v>3130</v>
      </c>
      <c r="B13845" s="43">
        <v>60</v>
      </c>
      <c r="C13845" s="43" t="s">
        <v>962</v>
      </c>
      <c r="D13845" s="43" t="s">
        <v>1009</v>
      </c>
      <c r="E13845" s="43" t="s">
        <v>290</v>
      </c>
      <c r="F13845" s="43" t="s">
        <v>951</v>
      </c>
      <c r="G13845" s="43">
        <v>6077777</v>
      </c>
      <c r="H13845" s="43">
        <v>501100</v>
      </c>
      <c r="I13845" s="43" t="s">
        <v>949</v>
      </c>
      <c r="J13845" s="44" t="s">
        <v>1000</v>
      </c>
    </row>
    <row r="13846" ht="22" customHeight="1" spans="1:10" x14ac:dyDescent="0.25">
      <c r="A13846" s="43">
        <v>3130</v>
      </c>
      <c r="B13846" s="43">
        <v>60</v>
      </c>
      <c r="C13846" s="43" t="s">
        <v>962</v>
      </c>
      <c r="D13846" s="43" t="s">
        <v>1009</v>
      </c>
      <c r="E13846" s="43" t="s">
        <v>290</v>
      </c>
      <c r="F13846" s="43" t="s">
        <v>952</v>
      </c>
      <c r="G13846" s="43">
        <v>6077777</v>
      </c>
      <c r="H13846" s="43">
        <v>501100</v>
      </c>
      <c r="I13846" s="43" t="s">
        <v>949</v>
      </c>
      <c r="J13846" s="44" t="s">
        <v>1000</v>
      </c>
    </row>
    <row r="13847" ht="22" customHeight="1" spans="1:10" x14ac:dyDescent="0.25">
      <c r="A13847" s="43">
        <v>3130</v>
      </c>
      <c r="B13847" s="43">
        <v>60</v>
      </c>
      <c r="C13847" s="43" t="s">
        <v>962</v>
      </c>
      <c r="D13847" s="43" t="s">
        <v>1009</v>
      </c>
      <c r="E13847" s="43" t="s">
        <v>290</v>
      </c>
      <c r="F13847" s="43" t="s">
        <v>953</v>
      </c>
      <c r="G13847" s="43">
        <v>6077777</v>
      </c>
      <c r="H13847" s="43">
        <v>501100</v>
      </c>
      <c r="I13847" s="43" t="s">
        <v>949</v>
      </c>
      <c r="J13847" s="44" t="s">
        <v>1000</v>
      </c>
    </row>
    <row r="13848" ht="22" customHeight="1" spans="1:10" x14ac:dyDescent="0.25">
      <c r="A13848" s="43">
        <v>3130</v>
      </c>
      <c r="B13848" s="43">
        <v>60</v>
      </c>
      <c r="C13848" s="43" t="s">
        <v>962</v>
      </c>
      <c r="D13848" s="43" t="s">
        <v>1009</v>
      </c>
      <c r="E13848" s="43" t="s">
        <v>290</v>
      </c>
      <c r="F13848" s="43" t="s">
        <v>954</v>
      </c>
      <c r="G13848" s="43">
        <v>6077777</v>
      </c>
      <c r="H13848" s="43">
        <v>501100</v>
      </c>
      <c r="I13848" s="43" t="s">
        <v>949</v>
      </c>
      <c r="J13848" s="44" t="s">
        <v>1000</v>
      </c>
    </row>
    <row r="13849" ht="22" customHeight="1" spans="1:10" x14ac:dyDescent="0.25">
      <c r="A13849" s="43">
        <v>3130</v>
      </c>
      <c r="B13849" s="43">
        <v>60</v>
      </c>
      <c r="C13849" s="43" t="s">
        <v>962</v>
      </c>
      <c r="D13849" s="43" t="s">
        <v>1009</v>
      </c>
      <c r="E13849" s="43" t="s">
        <v>290</v>
      </c>
      <c r="F13849" s="43" t="s">
        <v>955</v>
      </c>
      <c r="G13849" s="43">
        <v>6077777</v>
      </c>
      <c r="H13849" s="43">
        <v>501100</v>
      </c>
      <c r="I13849" s="43" t="s">
        <v>949</v>
      </c>
      <c r="J13849" s="44" t="s">
        <v>1000</v>
      </c>
    </row>
    <row r="13850" ht="22" customHeight="1" spans="1:10" x14ac:dyDescent="0.25">
      <c r="A13850" s="43">
        <v>3130</v>
      </c>
      <c r="B13850" s="43">
        <v>60</v>
      </c>
      <c r="C13850" s="43" t="s">
        <v>962</v>
      </c>
      <c r="D13850" s="43" t="s">
        <v>1009</v>
      </c>
      <c r="E13850" s="43" t="s">
        <v>290</v>
      </c>
      <c r="F13850" s="43" t="s">
        <v>956</v>
      </c>
      <c r="G13850" s="43">
        <v>6077777</v>
      </c>
      <c r="H13850" s="43">
        <v>501100</v>
      </c>
      <c r="I13850" s="43" t="s">
        <v>949</v>
      </c>
      <c r="J13850" s="44" t="s">
        <v>1000</v>
      </c>
    </row>
    <row r="13851" ht="22" customHeight="1" spans="1:10" x14ac:dyDescent="0.25">
      <c r="A13851" s="43">
        <v>3130</v>
      </c>
      <c r="B13851" s="43">
        <v>60</v>
      </c>
      <c r="C13851" s="43" t="s">
        <v>962</v>
      </c>
      <c r="D13851" s="43" t="s">
        <v>1009</v>
      </c>
      <c r="E13851" s="43" t="s">
        <v>290</v>
      </c>
      <c r="F13851" s="43" t="s">
        <v>957</v>
      </c>
      <c r="G13851" s="43">
        <v>6077777</v>
      </c>
      <c r="H13851" s="43">
        <v>501100</v>
      </c>
      <c r="I13851" s="43" t="s">
        <v>949</v>
      </c>
      <c r="J13851" s="44" t="s">
        <v>1000</v>
      </c>
    </row>
    <row r="13852" ht="22" customHeight="1" spans="1:10" x14ac:dyDescent="0.25">
      <c r="A13852" s="43">
        <v>3130</v>
      </c>
      <c r="B13852" s="43">
        <v>60</v>
      </c>
      <c r="C13852" s="43" t="s">
        <v>962</v>
      </c>
      <c r="D13852" s="43" t="s">
        <v>1009</v>
      </c>
      <c r="E13852" s="43" t="s">
        <v>290</v>
      </c>
      <c r="F13852" s="43" t="s">
        <v>958</v>
      </c>
      <c r="G13852" s="43">
        <v>6077777</v>
      </c>
      <c r="H13852" s="43">
        <v>501100</v>
      </c>
      <c r="I13852" s="43" t="s">
        <v>949</v>
      </c>
      <c r="J13852" s="44" t="s">
        <v>1000</v>
      </c>
    </row>
    <row r="13853" ht="22" customHeight="1" spans="1:10" x14ac:dyDescent="0.25">
      <c r="A13853" s="43">
        <v>3130</v>
      </c>
      <c r="B13853" s="43">
        <v>60</v>
      </c>
      <c r="C13853" s="43" t="s">
        <v>962</v>
      </c>
      <c r="D13853" s="43" t="s">
        <v>1009</v>
      </c>
      <c r="E13853" s="43" t="s">
        <v>290</v>
      </c>
      <c r="F13853" s="43" t="s">
        <v>959</v>
      </c>
      <c r="G13853" s="43">
        <v>6077777</v>
      </c>
      <c r="H13853" s="43">
        <v>501100</v>
      </c>
      <c r="I13853" s="43" t="s">
        <v>949</v>
      </c>
      <c r="J13853" s="44" t="s">
        <v>1000</v>
      </c>
    </row>
    <row r="13854" ht="22" customHeight="1" spans="1:10" x14ac:dyDescent="0.25">
      <c r="A13854" s="43">
        <v>3130</v>
      </c>
      <c r="B13854" s="43">
        <v>60</v>
      </c>
      <c r="C13854" s="43" t="s">
        <v>962</v>
      </c>
      <c r="D13854" s="43" t="s">
        <v>1009</v>
      </c>
      <c r="E13854" s="43" t="s">
        <v>290</v>
      </c>
      <c r="F13854" s="43" t="s">
        <v>960</v>
      </c>
      <c r="G13854" s="43">
        <v>6077777</v>
      </c>
      <c r="H13854" s="43">
        <v>501100</v>
      </c>
      <c r="I13854" s="43" t="s">
        <v>949</v>
      </c>
      <c r="J13854" s="44" t="s">
        <v>1000</v>
      </c>
    </row>
    <row r="13855" ht="22" customHeight="1" spans="1:10" x14ac:dyDescent="0.25">
      <c r="A13855" s="43">
        <v>3130</v>
      </c>
      <c r="B13855" s="43">
        <v>60</v>
      </c>
      <c r="C13855" s="43" t="s">
        <v>962</v>
      </c>
      <c r="D13855" s="43" t="s">
        <v>1009</v>
      </c>
      <c r="E13855" s="43" t="s">
        <v>290</v>
      </c>
      <c r="F13855" s="43" t="s">
        <v>961</v>
      </c>
      <c r="G13855" s="43">
        <v>6077777</v>
      </c>
      <c r="H13855" s="43">
        <v>501100</v>
      </c>
      <c r="I13855" s="43" t="s">
        <v>949</v>
      </c>
      <c r="J13855" s="44" t="s">
        <v>1000</v>
      </c>
    </row>
    <row r="13856" ht="22" customHeight="1" spans="1:10" x14ac:dyDescent="0.25">
      <c r="A13856" s="43">
        <v>3130</v>
      </c>
      <c r="B13856" s="43">
        <v>60</v>
      </c>
      <c r="C13856" s="43" t="s">
        <v>963</v>
      </c>
      <c r="D13856" s="43" t="s">
        <v>1009</v>
      </c>
      <c r="E13856" s="43" t="s">
        <v>290</v>
      </c>
      <c r="F13856" s="43" t="s">
        <v>951</v>
      </c>
      <c r="G13856" s="43">
        <v>6077777</v>
      </c>
      <c r="H13856" s="43">
        <v>501100</v>
      </c>
      <c r="I13856" s="43" t="s">
        <v>949</v>
      </c>
      <c r="J13856" s="44" t="s">
        <v>1000</v>
      </c>
    </row>
    <row r="13857" ht="22" customHeight="1" spans="1:10" x14ac:dyDescent="0.25">
      <c r="A13857" s="43">
        <v>3130</v>
      </c>
      <c r="B13857" s="43">
        <v>60</v>
      </c>
      <c r="C13857" s="43" t="s">
        <v>963</v>
      </c>
      <c r="D13857" s="43" t="s">
        <v>1009</v>
      </c>
      <c r="E13857" s="43" t="s">
        <v>290</v>
      </c>
      <c r="F13857" s="43" t="s">
        <v>952</v>
      </c>
      <c r="G13857" s="43">
        <v>6077777</v>
      </c>
      <c r="H13857" s="43">
        <v>501100</v>
      </c>
      <c r="I13857" s="43" t="s">
        <v>949</v>
      </c>
      <c r="J13857" s="44" t="s">
        <v>1000</v>
      </c>
    </row>
    <row r="13858" ht="22" customHeight="1" spans="1:10" x14ac:dyDescent="0.25">
      <c r="A13858" s="43">
        <v>3130</v>
      </c>
      <c r="B13858" s="43">
        <v>60</v>
      </c>
      <c r="C13858" s="43" t="s">
        <v>963</v>
      </c>
      <c r="D13858" s="43" t="s">
        <v>1009</v>
      </c>
      <c r="E13858" s="43" t="s">
        <v>290</v>
      </c>
      <c r="F13858" s="43" t="s">
        <v>953</v>
      </c>
      <c r="G13858" s="43">
        <v>6077777</v>
      </c>
      <c r="H13858" s="43">
        <v>501100</v>
      </c>
      <c r="I13858" s="43" t="s">
        <v>949</v>
      </c>
      <c r="J13858" s="44" t="s">
        <v>1000</v>
      </c>
    </row>
    <row r="13859" ht="22" customHeight="1" spans="1:10" x14ac:dyDescent="0.25">
      <c r="A13859" s="43">
        <v>3130</v>
      </c>
      <c r="B13859" s="43">
        <v>60</v>
      </c>
      <c r="C13859" s="43" t="s">
        <v>963</v>
      </c>
      <c r="D13859" s="43" t="s">
        <v>1009</v>
      </c>
      <c r="E13859" s="43" t="s">
        <v>290</v>
      </c>
      <c r="F13859" s="43" t="s">
        <v>954</v>
      </c>
      <c r="G13859" s="43">
        <v>6077777</v>
      </c>
      <c r="H13859" s="43">
        <v>501100</v>
      </c>
      <c r="I13859" s="43" t="s">
        <v>949</v>
      </c>
      <c r="J13859" s="44" t="s">
        <v>1000</v>
      </c>
    </row>
    <row r="13860" ht="22" customHeight="1" spans="1:10" x14ac:dyDescent="0.25">
      <c r="A13860" s="43">
        <v>3130</v>
      </c>
      <c r="B13860" s="43">
        <v>60</v>
      </c>
      <c r="C13860" s="43" t="s">
        <v>963</v>
      </c>
      <c r="D13860" s="43" t="s">
        <v>1009</v>
      </c>
      <c r="E13860" s="43" t="s">
        <v>290</v>
      </c>
      <c r="F13860" s="43" t="s">
        <v>955</v>
      </c>
      <c r="G13860" s="43">
        <v>6077777</v>
      </c>
      <c r="H13860" s="43">
        <v>501100</v>
      </c>
      <c r="I13860" s="43" t="s">
        <v>949</v>
      </c>
      <c r="J13860" s="44" t="s">
        <v>1000</v>
      </c>
    </row>
    <row r="13861" ht="22" customHeight="1" spans="1:10" x14ac:dyDescent="0.25">
      <c r="A13861" s="43">
        <v>3130</v>
      </c>
      <c r="B13861" s="43">
        <v>60</v>
      </c>
      <c r="C13861" s="43" t="s">
        <v>963</v>
      </c>
      <c r="D13861" s="43" t="s">
        <v>1009</v>
      </c>
      <c r="E13861" s="43" t="s">
        <v>290</v>
      </c>
      <c r="F13861" s="43" t="s">
        <v>956</v>
      </c>
      <c r="G13861" s="43">
        <v>6077777</v>
      </c>
      <c r="H13861" s="43">
        <v>501100</v>
      </c>
      <c r="I13861" s="43" t="s">
        <v>949</v>
      </c>
      <c r="J13861" s="44" t="s">
        <v>1000</v>
      </c>
    </row>
    <row r="13862" ht="22" customHeight="1" spans="1:10" x14ac:dyDescent="0.25">
      <c r="A13862" s="43">
        <v>3130</v>
      </c>
      <c r="B13862" s="43">
        <v>60</v>
      </c>
      <c r="C13862" s="43" t="s">
        <v>963</v>
      </c>
      <c r="D13862" s="43" t="s">
        <v>1009</v>
      </c>
      <c r="E13862" s="43" t="s">
        <v>290</v>
      </c>
      <c r="F13862" s="43" t="s">
        <v>957</v>
      </c>
      <c r="G13862" s="43">
        <v>6077777</v>
      </c>
      <c r="H13862" s="43">
        <v>501100</v>
      </c>
      <c r="I13862" s="43" t="s">
        <v>949</v>
      </c>
      <c r="J13862" s="44" t="s">
        <v>1000</v>
      </c>
    </row>
    <row r="13863" ht="22" customHeight="1" spans="1:10" x14ac:dyDescent="0.25">
      <c r="A13863" s="43">
        <v>3130</v>
      </c>
      <c r="B13863" s="43">
        <v>60</v>
      </c>
      <c r="C13863" s="43" t="s">
        <v>963</v>
      </c>
      <c r="D13863" s="43" t="s">
        <v>1009</v>
      </c>
      <c r="E13863" s="43" t="s">
        <v>290</v>
      </c>
      <c r="F13863" s="43" t="s">
        <v>958</v>
      </c>
      <c r="G13863" s="43">
        <v>6077777</v>
      </c>
      <c r="H13863" s="43">
        <v>501100</v>
      </c>
      <c r="I13863" s="43" t="s">
        <v>949</v>
      </c>
      <c r="J13863" s="44" t="s">
        <v>1000</v>
      </c>
    </row>
    <row r="13864" ht="22" customHeight="1" spans="1:10" x14ac:dyDescent="0.25">
      <c r="A13864" s="43">
        <v>3130</v>
      </c>
      <c r="B13864" s="43">
        <v>60</v>
      </c>
      <c r="C13864" s="43" t="s">
        <v>963</v>
      </c>
      <c r="D13864" s="43" t="s">
        <v>1009</v>
      </c>
      <c r="E13864" s="43" t="s">
        <v>290</v>
      </c>
      <c r="F13864" s="43" t="s">
        <v>959</v>
      </c>
      <c r="G13864" s="43">
        <v>6077777</v>
      </c>
      <c r="H13864" s="43">
        <v>501100</v>
      </c>
      <c r="I13864" s="43" t="s">
        <v>949</v>
      </c>
      <c r="J13864" s="44" t="s">
        <v>1000</v>
      </c>
    </row>
    <row r="13865" ht="22" customHeight="1" spans="1:10" x14ac:dyDescent="0.25">
      <c r="A13865" s="43">
        <v>3130</v>
      </c>
      <c r="B13865" s="43">
        <v>60</v>
      </c>
      <c r="C13865" s="43" t="s">
        <v>963</v>
      </c>
      <c r="D13865" s="43" t="s">
        <v>1009</v>
      </c>
      <c r="E13865" s="43" t="s">
        <v>290</v>
      </c>
      <c r="F13865" s="43" t="s">
        <v>960</v>
      </c>
      <c r="G13865" s="43">
        <v>6077777</v>
      </c>
      <c r="H13865" s="43">
        <v>501100</v>
      </c>
      <c r="I13865" s="43" t="s">
        <v>949</v>
      </c>
      <c r="J13865" s="44" t="s">
        <v>1000</v>
      </c>
    </row>
    <row r="13866" ht="22" customHeight="1" spans="1:10" x14ac:dyDescent="0.25">
      <c r="A13866" s="43">
        <v>3130</v>
      </c>
      <c r="B13866" s="43">
        <v>60</v>
      </c>
      <c r="C13866" s="43" t="s">
        <v>963</v>
      </c>
      <c r="D13866" s="43" t="s">
        <v>1009</v>
      </c>
      <c r="E13866" s="43" t="s">
        <v>290</v>
      </c>
      <c r="F13866" s="43" t="s">
        <v>961</v>
      </c>
      <c r="G13866" s="43">
        <v>6077777</v>
      </c>
      <c r="H13866" s="43">
        <v>501100</v>
      </c>
      <c r="I13866" s="43" t="s">
        <v>949</v>
      </c>
      <c r="J13866" s="44" t="s">
        <v>1000</v>
      </c>
    </row>
    <row r="13867" spans="1:9" x14ac:dyDescent="0.25">
      <c r="A13867">
        <v>4122</v>
      </c>
      <c r="B13867">
        <v>60</v>
      </c>
      <c r="C13867" t="s">
        <v>946</v>
      </c>
      <c r="D13867" t="s">
        <v>1009</v>
      </c>
      <c r="E13867" t="s">
        <v>290</v>
      </c>
      <c r="F13867" t="s">
        <v>948</v>
      </c>
      <c r="G13867">
        <v>6000000</v>
      </c>
      <c r="H13867">
        <v>143000</v>
      </c>
      <c r="I13867" t="s">
        <v>978</v>
      </c>
    </row>
    <row r="13868" spans="1:9" x14ac:dyDescent="0.25">
      <c r="A13868">
        <v>4124</v>
      </c>
      <c r="B13868">
        <v>60</v>
      </c>
      <c r="C13868" t="s">
        <v>946</v>
      </c>
      <c r="D13868" t="s">
        <v>1009</v>
      </c>
      <c r="E13868" t="s">
        <v>290</v>
      </c>
      <c r="F13868" t="s">
        <v>948</v>
      </c>
      <c r="G13868">
        <v>6077777</v>
      </c>
      <c r="H13868">
        <v>501100</v>
      </c>
      <c r="I13868" t="s">
        <v>949</v>
      </c>
    </row>
    <row r="13869" ht="22" customHeight="1" spans="1:10" x14ac:dyDescent="0.25">
      <c r="A13869" s="43">
        <v>3130</v>
      </c>
      <c r="B13869" s="43">
        <v>60</v>
      </c>
      <c r="C13869" s="43" t="s">
        <v>950</v>
      </c>
      <c r="D13869" s="43" t="s">
        <v>1009</v>
      </c>
      <c r="E13869" s="43" t="s">
        <v>294</v>
      </c>
      <c r="F13869" s="43" t="s">
        <v>951</v>
      </c>
      <c r="G13869" s="43">
        <v>6077777</v>
      </c>
      <c r="H13869" s="43">
        <v>501100</v>
      </c>
      <c r="I13869" s="43" t="s">
        <v>949</v>
      </c>
      <c r="J13869" s="44" t="s">
        <v>1000</v>
      </c>
    </row>
    <row r="13870" ht="22" customHeight="1" spans="1:10" x14ac:dyDescent="0.25">
      <c r="A13870" s="43">
        <v>3130</v>
      </c>
      <c r="B13870" s="43">
        <v>60</v>
      </c>
      <c r="C13870" s="43" t="s">
        <v>950</v>
      </c>
      <c r="D13870" s="43" t="s">
        <v>1009</v>
      </c>
      <c r="E13870" s="43" t="s">
        <v>294</v>
      </c>
      <c r="F13870" s="43" t="s">
        <v>952</v>
      </c>
      <c r="G13870" s="43">
        <v>6077777</v>
      </c>
      <c r="H13870" s="43">
        <v>501100</v>
      </c>
      <c r="I13870" s="43" t="s">
        <v>949</v>
      </c>
      <c r="J13870" s="44" t="s">
        <v>1000</v>
      </c>
    </row>
    <row r="13871" ht="22" customHeight="1" spans="1:10" x14ac:dyDescent="0.25">
      <c r="A13871" s="43">
        <v>3130</v>
      </c>
      <c r="B13871" s="43">
        <v>60</v>
      </c>
      <c r="C13871" s="43" t="s">
        <v>950</v>
      </c>
      <c r="D13871" s="43" t="s">
        <v>1009</v>
      </c>
      <c r="E13871" s="43" t="s">
        <v>294</v>
      </c>
      <c r="F13871" s="43" t="s">
        <v>953</v>
      </c>
      <c r="G13871" s="43">
        <v>6077777</v>
      </c>
      <c r="H13871" s="43">
        <v>501100</v>
      </c>
      <c r="I13871" s="43" t="s">
        <v>949</v>
      </c>
      <c r="J13871" s="44" t="s">
        <v>1000</v>
      </c>
    </row>
    <row r="13872" ht="22" customHeight="1" spans="1:10" x14ac:dyDescent="0.25">
      <c r="A13872" s="43">
        <v>3130</v>
      </c>
      <c r="B13872" s="43">
        <v>60</v>
      </c>
      <c r="C13872" s="43" t="s">
        <v>950</v>
      </c>
      <c r="D13872" s="43" t="s">
        <v>1009</v>
      </c>
      <c r="E13872" s="43" t="s">
        <v>294</v>
      </c>
      <c r="F13872" s="43" t="s">
        <v>954</v>
      </c>
      <c r="G13872" s="43">
        <v>6077777</v>
      </c>
      <c r="H13872" s="43">
        <v>501100</v>
      </c>
      <c r="I13872" s="43" t="s">
        <v>949</v>
      </c>
      <c r="J13872" s="44" t="s">
        <v>1000</v>
      </c>
    </row>
    <row r="13873" ht="22" customHeight="1" spans="1:10" x14ac:dyDescent="0.25">
      <c r="A13873" s="43">
        <v>3130</v>
      </c>
      <c r="B13873" s="43">
        <v>60</v>
      </c>
      <c r="C13873" s="43" t="s">
        <v>950</v>
      </c>
      <c r="D13873" s="43" t="s">
        <v>1009</v>
      </c>
      <c r="E13873" s="43" t="s">
        <v>294</v>
      </c>
      <c r="F13873" s="43" t="s">
        <v>955</v>
      </c>
      <c r="G13873" s="43">
        <v>6077777</v>
      </c>
      <c r="H13873" s="43">
        <v>501100</v>
      </c>
      <c r="I13873" s="43" t="s">
        <v>949</v>
      </c>
      <c r="J13873" s="44" t="s">
        <v>1000</v>
      </c>
    </row>
    <row r="13874" ht="22" customHeight="1" spans="1:10" x14ac:dyDescent="0.25">
      <c r="A13874" s="43">
        <v>3130</v>
      </c>
      <c r="B13874" s="43">
        <v>60</v>
      </c>
      <c r="C13874" s="43" t="s">
        <v>950</v>
      </c>
      <c r="D13874" s="43" t="s">
        <v>1009</v>
      </c>
      <c r="E13874" s="43" t="s">
        <v>294</v>
      </c>
      <c r="F13874" s="43" t="s">
        <v>956</v>
      </c>
      <c r="G13874" s="43">
        <v>6077777</v>
      </c>
      <c r="H13874" s="43">
        <v>501100</v>
      </c>
      <c r="I13874" s="43" t="s">
        <v>949</v>
      </c>
      <c r="J13874" s="44" t="s">
        <v>1000</v>
      </c>
    </row>
    <row r="13875" ht="22" customHeight="1" spans="1:10" x14ac:dyDescent="0.25">
      <c r="A13875" s="43">
        <v>3130</v>
      </c>
      <c r="B13875" s="43">
        <v>60</v>
      </c>
      <c r="C13875" s="43" t="s">
        <v>950</v>
      </c>
      <c r="D13875" s="43" t="s">
        <v>1009</v>
      </c>
      <c r="E13875" s="43" t="s">
        <v>294</v>
      </c>
      <c r="F13875" s="43" t="s">
        <v>957</v>
      </c>
      <c r="G13875" s="43">
        <v>6077777</v>
      </c>
      <c r="H13875" s="43">
        <v>501100</v>
      </c>
      <c r="I13875" s="43" t="s">
        <v>949</v>
      </c>
      <c r="J13875" s="44" t="s">
        <v>1000</v>
      </c>
    </row>
    <row r="13876" ht="22" customHeight="1" spans="1:10" x14ac:dyDescent="0.25">
      <c r="A13876" s="43">
        <v>3130</v>
      </c>
      <c r="B13876" s="43">
        <v>60</v>
      </c>
      <c r="C13876" s="43" t="s">
        <v>950</v>
      </c>
      <c r="D13876" s="43" t="s">
        <v>1009</v>
      </c>
      <c r="E13876" s="43" t="s">
        <v>294</v>
      </c>
      <c r="F13876" s="43" t="s">
        <v>958</v>
      </c>
      <c r="G13876" s="43">
        <v>6077777</v>
      </c>
      <c r="H13876" s="43">
        <v>501100</v>
      </c>
      <c r="I13876" s="43" t="s">
        <v>949</v>
      </c>
      <c r="J13876" s="44" t="s">
        <v>1000</v>
      </c>
    </row>
    <row r="13877" ht="22" customHeight="1" spans="1:10" x14ac:dyDescent="0.25">
      <c r="A13877" s="43">
        <v>3130</v>
      </c>
      <c r="B13877" s="43">
        <v>60</v>
      </c>
      <c r="C13877" s="43" t="s">
        <v>950</v>
      </c>
      <c r="D13877" s="43" t="s">
        <v>1009</v>
      </c>
      <c r="E13877" s="43" t="s">
        <v>294</v>
      </c>
      <c r="F13877" s="43" t="s">
        <v>959</v>
      </c>
      <c r="G13877" s="43">
        <v>6077777</v>
      </c>
      <c r="H13877" s="43">
        <v>501100</v>
      </c>
      <c r="I13877" s="43" t="s">
        <v>949</v>
      </c>
      <c r="J13877" s="44" t="s">
        <v>1000</v>
      </c>
    </row>
    <row r="13878" ht="22" customHeight="1" spans="1:10" x14ac:dyDescent="0.25">
      <c r="A13878" s="43">
        <v>3130</v>
      </c>
      <c r="B13878" s="43">
        <v>60</v>
      </c>
      <c r="C13878" s="43" t="s">
        <v>950</v>
      </c>
      <c r="D13878" s="43" t="s">
        <v>1009</v>
      </c>
      <c r="E13878" s="43" t="s">
        <v>294</v>
      </c>
      <c r="F13878" s="43" t="s">
        <v>960</v>
      </c>
      <c r="G13878" s="43">
        <v>6077777</v>
      </c>
      <c r="H13878" s="43">
        <v>501100</v>
      </c>
      <c r="I13878" s="43" t="s">
        <v>949</v>
      </c>
      <c r="J13878" s="44" t="s">
        <v>1000</v>
      </c>
    </row>
    <row r="13879" ht="22" customHeight="1" spans="1:10" x14ac:dyDescent="0.25">
      <c r="A13879" s="43">
        <v>3130</v>
      </c>
      <c r="B13879" s="43">
        <v>60</v>
      </c>
      <c r="C13879" s="43" t="s">
        <v>950</v>
      </c>
      <c r="D13879" s="43" t="s">
        <v>1009</v>
      </c>
      <c r="E13879" s="43" t="s">
        <v>294</v>
      </c>
      <c r="F13879" s="43" t="s">
        <v>961</v>
      </c>
      <c r="G13879" s="43">
        <v>6077777</v>
      </c>
      <c r="H13879" s="43">
        <v>501100</v>
      </c>
      <c r="I13879" s="43" t="s">
        <v>949</v>
      </c>
      <c r="J13879" s="44" t="s">
        <v>1000</v>
      </c>
    </row>
    <row r="13880" ht="22" customHeight="1" spans="1:10" x14ac:dyDescent="0.25">
      <c r="A13880" s="43">
        <v>3130</v>
      </c>
      <c r="B13880" s="43">
        <v>60</v>
      </c>
      <c r="C13880" s="43" t="s">
        <v>962</v>
      </c>
      <c r="D13880" s="43" t="s">
        <v>1009</v>
      </c>
      <c r="E13880" s="43" t="s">
        <v>294</v>
      </c>
      <c r="F13880" s="43" t="s">
        <v>951</v>
      </c>
      <c r="G13880" s="43">
        <v>6077777</v>
      </c>
      <c r="H13880" s="43">
        <v>501100</v>
      </c>
      <c r="I13880" s="43" t="s">
        <v>949</v>
      </c>
      <c r="J13880" s="44" t="s">
        <v>1000</v>
      </c>
    </row>
    <row r="13881" ht="22" customHeight="1" spans="1:10" x14ac:dyDescent="0.25">
      <c r="A13881" s="43">
        <v>3130</v>
      </c>
      <c r="B13881" s="43">
        <v>60</v>
      </c>
      <c r="C13881" s="43" t="s">
        <v>962</v>
      </c>
      <c r="D13881" s="43" t="s">
        <v>1009</v>
      </c>
      <c r="E13881" s="43" t="s">
        <v>294</v>
      </c>
      <c r="F13881" s="43" t="s">
        <v>952</v>
      </c>
      <c r="G13881" s="43">
        <v>6077777</v>
      </c>
      <c r="H13881" s="43">
        <v>501100</v>
      </c>
      <c r="I13881" s="43" t="s">
        <v>949</v>
      </c>
      <c r="J13881" s="44" t="s">
        <v>1000</v>
      </c>
    </row>
    <row r="13882" ht="22" customHeight="1" spans="1:10" x14ac:dyDescent="0.25">
      <c r="A13882" s="43">
        <v>3130</v>
      </c>
      <c r="B13882" s="43">
        <v>60</v>
      </c>
      <c r="C13882" s="43" t="s">
        <v>962</v>
      </c>
      <c r="D13882" s="43" t="s">
        <v>1009</v>
      </c>
      <c r="E13882" s="43" t="s">
        <v>294</v>
      </c>
      <c r="F13882" s="43" t="s">
        <v>953</v>
      </c>
      <c r="G13882" s="43">
        <v>6077777</v>
      </c>
      <c r="H13882" s="43">
        <v>501100</v>
      </c>
      <c r="I13882" s="43" t="s">
        <v>949</v>
      </c>
      <c r="J13882" s="44" t="s">
        <v>1000</v>
      </c>
    </row>
    <row r="13883" ht="22" customHeight="1" spans="1:10" x14ac:dyDescent="0.25">
      <c r="A13883" s="43">
        <v>3130</v>
      </c>
      <c r="B13883" s="43">
        <v>60</v>
      </c>
      <c r="C13883" s="43" t="s">
        <v>962</v>
      </c>
      <c r="D13883" s="43" t="s">
        <v>1009</v>
      </c>
      <c r="E13883" s="43" t="s">
        <v>294</v>
      </c>
      <c r="F13883" s="43" t="s">
        <v>954</v>
      </c>
      <c r="G13883" s="43">
        <v>6077777</v>
      </c>
      <c r="H13883" s="43">
        <v>501100</v>
      </c>
      <c r="I13883" s="43" t="s">
        <v>949</v>
      </c>
      <c r="J13883" s="44" t="s">
        <v>1000</v>
      </c>
    </row>
    <row r="13884" ht="22" customHeight="1" spans="1:10" x14ac:dyDescent="0.25">
      <c r="A13884" s="43">
        <v>3130</v>
      </c>
      <c r="B13884" s="43">
        <v>60</v>
      </c>
      <c r="C13884" s="43" t="s">
        <v>962</v>
      </c>
      <c r="D13884" s="43" t="s">
        <v>1009</v>
      </c>
      <c r="E13884" s="43" t="s">
        <v>294</v>
      </c>
      <c r="F13884" s="43" t="s">
        <v>955</v>
      </c>
      <c r="G13884" s="43">
        <v>6077777</v>
      </c>
      <c r="H13884" s="43">
        <v>501100</v>
      </c>
      <c r="I13884" s="43" t="s">
        <v>949</v>
      </c>
      <c r="J13884" s="44" t="s">
        <v>1000</v>
      </c>
    </row>
    <row r="13885" ht="22" customHeight="1" spans="1:10" x14ac:dyDescent="0.25">
      <c r="A13885" s="43">
        <v>3130</v>
      </c>
      <c r="B13885" s="43">
        <v>60</v>
      </c>
      <c r="C13885" s="43" t="s">
        <v>962</v>
      </c>
      <c r="D13885" s="43" t="s">
        <v>1009</v>
      </c>
      <c r="E13885" s="43" t="s">
        <v>294</v>
      </c>
      <c r="F13885" s="43" t="s">
        <v>956</v>
      </c>
      <c r="G13885" s="43">
        <v>6077777</v>
      </c>
      <c r="H13885" s="43">
        <v>501100</v>
      </c>
      <c r="I13885" s="43" t="s">
        <v>949</v>
      </c>
      <c r="J13885" s="44" t="s">
        <v>1000</v>
      </c>
    </row>
    <row r="13886" ht="22" customHeight="1" spans="1:10" x14ac:dyDescent="0.25">
      <c r="A13886" s="43">
        <v>3130</v>
      </c>
      <c r="B13886" s="43">
        <v>60</v>
      </c>
      <c r="C13886" s="43" t="s">
        <v>962</v>
      </c>
      <c r="D13886" s="43" t="s">
        <v>1009</v>
      </c>
      <c r="E13886" s="43" t="s">
        <v>294</v>
      </c>
      <c r="F13886" s="43" t="s">
        <v>957</v>
      </c>
      <c r="G13886" s="43">
        <v>6077777</v>
      </c>
      <c r="H13886" s="43">
        <v>501100</v>
      </c>
      <c r="I13886" s="43" t="s">
        <v>949</v>
      </c>
      <c r="J13886" s="44" t="s">
        <v>1000</v>
      </c>
    </row>
    <row r="13887" ht="22" customHeight="1" spans="1:10" x14ac:dyDescent="0.25">
      <c r="A13887" s="43">
        <v>3130</v>
      </c>
      <c r="B13887" s="43">
        <v>60</v>
      </c>
      <c r="C13887" s="43" t="s">
        <v>962</v>
      </c>
      <c r="D13887" s="43" t="s">
        <v>1009</v>
      </c>
      <c r="E13887" s="43" t="s">
        <v>294</v>
      </c>
      <c r="F13887" s="43" t="s">
        <v>958</v>
      </c>
      <c r="G13887" s="43">
        <v>6077777</v>
      </c>
      <c r="H13887" s="43">
        <v>501100</v>
      </c>
      <c r="I13887" s="43" t="s">
        <v>949</v>
      </c>
      <c r="J13887" s="44" t="s">
        <v>1000</v>
      </c>
    </row>
    <row r="13888" ht="22" customHeight="1" spans="1:10" x14ac:dyDescent="0.25">
      <c r="A13888" s="43">
        <v>3130</v>
      </c>
      <c r="B13888" s="43">
        <v>60</v>
      </c>
      <c r="C13888" s="43" t="s">
        <v>962</v>
      </c>
      <c r="D13888" s="43" t="s">
        <v>1009</v>
      </c>
      <c r="E13888" s="43" t="s">
        <v>294</v>
      </c>
      <c r="F13888" s="43" t="s">
        <v>959</v>
      </c>
      <c r="G13888" s="43">
        <v>6077777</v>
      </c>
      <c r="H13888" s="43">
        <v>501100</v>
      </c>
      <c r="I13888" s="43" t="s">
        <v>949</v>
      </c>
      <c r="J13888" s="44" t="s">
        <v>1000</v>
      </c>
    </row>
    <row r="13889" ht="22" customHeight="1" spans="1:10" x14ac:dyDescent="0.25">
      <c r="A13889" s="43">
        <v>3130</v>
      </c>
      <c r="B13889" s="43">
        <v>60</v>
      </c>
      <c r="C13889" s="43" t="s">
        <v>962</v>
      </c>
      <c r="D13889" s="43" t="s">
        <v>1009</v>
      </c>
      <c r="E13889" s="43" t="s">
        <v>294</v>
      </c>
      <c r="F13889" s="43" t="s">
        <v>960</v>
      </c>
      <c r="G13889" s="43">
        <v>6077777</v>
      </c>
      <c r="H13889" s="43">
        <v>501100</v>
      </c>
      <c r="I13889" s="43" t="s">
        <v>949</v>
      </c>
      <c r="J13889" s="44" t="s">
        <v>1000</v>
      </c>
    </row>
    <row r="13890" ht="22" customHeight="1" spans="1:10" x14ac:dyDescent="0.25">
      <c r="A13890" s="43">
        <v>3130</v>
      </c>
      <c r="B13890" s="43">
        <v>60</v>
      </c>
      <c r="C13890" s="43" t="s">
        <v>962</v>
      </c>
      <c r="D13890" s="43" t="s">
        <v>1009</v>
      </c>
      <c r="E13890" s="43" t="s">
        <v>294</v>
      </c>
      <c r="F13890" s="43" t="s">
        <v>961</v>
      </c>
      <c r="G13890" s="43">
        <v>6077777</v>
      </c>
      <c r="H13890" s="43">
        <v>501100</v>
      </c>
      <c r="I13890" s="43" t="s">
        <v>949</v>
      </c>
      <c r="J13890" s="44" t="s">
        <v>1000</v>
      </c>
    </row>
    <row r="13891" ht="22" customHeight="1" spans="1:10" x14ac:dyDescent="0.25">
      <c r="A13891" s="43">
        <v>3130</v>
      </c>
      <c r="B13891" s="43">
        <v>60</v>
      </c>
      <c r="C13891" s="43" t="s">
        <v>963</v>
      </c>
      <c r="D13891" s="43" t="s">
        <v>1009</v>
      </c>
      <c r="E13891" s="43" t="s">
        <v>294</v>
      </c>
      <c r="F13891" s="43" t="s">
        <v>951</v>
      </c>
      <c r="G13891" s="43">
        <v>6077777</v>
      </c>
      <c r="H13891" s="43">
        <v>501100</v>
      </c>
      <c r="I13891" s="43" t="s">
        <v>949</v>
      </c>
      <c r="J13891" s="44" t="s">
        <v>1000</v>
      </c>
    </row>
    <row r="13892" ht="22" customHeight="1" spans="1:10" x14ac:dyDescent="0.25">
      <c r="A13892" s="43">
        <v>3130</v>
      </c>
      <c r="B13892" s="43">
        <v>60</v>
      </c>
      <c r="C13892" s="43" t="s">
        <v>963</v>
      </c>
      <c r="D13892" s="43" t="s">
        <v>1009</v>
      </c>
      <c r="E13892" s="43" t="s">
        <v>294</v>
      </c>
      <c r="F13892" s="43" t="s">
        <v>952</v>
      </c>
      <c r="G13892" s="43">
        <v>6077777</v>
      </c>
      <c r="H13892" s="43">
        <v>501100</v>
      </c>
      <c r="I13892" s="43" t="s">
        <v>949</v>
      </c>
      <c r="J13892" s="44" t="s">
        <v>1000</v>
      </c>
    </row>
    <row r="13893" ht="22" customHeight="1" spans="1:10" x14ac:dyDescent="0.25">
      <c r="A13893" s="43">
        <v>3130</v>
      </c>
      <c r="B13893" s="43">
        <v>60</v>
      </c>
      <c r="C13893" s="43" t="s">
        <v>963</v>
      </c>
      <c r="D13893" s="43" t="s">
        <v>1009</v>
      </c>
      <c r="E13893" s="43" t="s">
        <v>294</v>
      </c>
      <c r="F13893" s="43" t="s">
        <v>953</v>
      </c>
      <c r="G13893" s="43">
        <v>6077777</v>
      </c>
      <c r="H13893" s="43">
        <v>501100</v>
      </c>
      <c r="I13893" s="43" t="s">
        <v>949</v>
      </c>
      <c r="J13893" s="44" t="s">
        <v>1000</v>
      </c>
    </row>
    <row r="13894" ht="22" customHeight="1" spans="1:10" x14ac:dyDescent="0.25">
      <c r="A13894" s="43">
        <v>3130</v>
      </c>
      <c r="B13894" s="43">
        <v>60</v>
      </c>
      <c r="C13894" s="43" t="s">
        <v>963</v>
      </c>
      <c r="D13894" s="43" t="s">
        <v>1009</v>
      </c>
      <c r="E13894" s="43" t="s">
        <v>294</v>
      </c>
      <c r="F13894" s="43" t="s">
        <v>954</v>
      </c>
      <c r="G13894" s="43">
        <v>6077777</v>
      </c>
      <c r="H13894" s="43">
        <v>501100</v>
      </c>
      <c r="I13894" s="43" t="s">
        <v>949</v>
      </c>
      <c r="J13894" s="44" t="s">
        <v>1000</v>
      </c>
    </row>
    <row r="13895" ht="22" customHeight="1" spans="1:10" x14ac:dyDescent="0.25">
      <c r="A13895" s="43">
        <v>3130</v>
      </c>
      <c r="B13895" s="43">
        <v>60</v>
      </c>
      <c r="C13895" s="43" t="s">
        <v>963</v>
      </c>
      <c r="D13895" s="43" t="s">
        <v>1009</v>
      </c>
      <c r="E13895" s="43" t="s">
        <v>294</v>
      </c>
      <c r="F13895" s="43" t="s">
        <v>955</v>
      </c>
      <c r="G13895" s="43">
        <v>6077777</v>
      </c>
      <c r="H13895" s="43">
        <v>501100</v>
      </c>
      <c r="I13895" s="43" t="s">
        <v>949</v>
      </c>
      <c r="J13895" s="44" t="s">
        <v>1000</v>
      </c>
    </row>
    <row r="13896" ht="22" customHeight="1" spans="1:10" x14ac:dyDescent="0.25">
      <c r="A13896" s="43">
        <v>3130</v>
      </c>
      <c r="B13896" s="43">
        <v>60</v>
      </c>
      <c r="C13896" s="43" t="s">
        <v>963</v>
      </c>
      <c r="D13896" s="43" t="s">
        <v>1009</v>
      </c>
      <c r="E13896" s="43" t="s">
        <v>294</v>
      </c>
      <c r="F13896" s="43" t="s">
        <v>956</v>
      </c>
      <c r="G13896" s="43">
        <v>6077777</v>
      </c>
      <c r="H13896" s="43">
        <v>501100</v>
      </c>
      <c r="I13896" s="43" t="s">
        <v>949</v>
      </c>
      <c r="J13896" s="44" t="s">
        <v>1000</v>
      </c>
    </row>
    <row r="13897" ht="22" customHeight="1" spans="1:10" x14ac:dyDescent="0.25">
      <c r="A13897" s="43">
        <v>3130</v>
      </c>
      <c r="B13897" s="43">
        <v>60</v>
      </c>
      <c r="C13897" s="43" t="s">
        <v>963</v>
      </c>
      <c r="D13897" s="43" t="s">
        <v>1009</v>
      </c>
      <c r="E13897" s="43" t="s">
        <v>294</v>
      </c>
      <c r="F13897" s="43" t="s">
        <v>957</v>
      </c>
      <c r="G13897" s="43">
        <v>6077777</v>
      </c>
      <c r="H13897" s="43">
        <v>501100</v>
      </c>
      <c r="I13897" s="43" t="s">
        <v>949</v>
      </c>
      <c r="J13897" s="44" t="s">
        <v>1000</v>
      </c>
    </row>
    <row r="13898" ht="22" customHeight="1" spans="1:10" x14ac:dyDescent="0.25">
      <c r="A13898" s="43">
        <v>3130</v>
      </c>
      <c r="B13898" s="43">
        <v>60</v>
      </c>
      <c r="C13898" s="43" t="s">
        <v>963</v>
      </c>
      <c r="D13898" s="43" t="s">
        <v>1009</v>
      </c>
      <c r="E13898" s="43" t="s">
        <v>294</v>
      </c>
      <c r="F13898" s="43" t="s">
        <v>958</v>
      </c>
      <c r="G13898" s="43">
        <v>6077777</v>
      </c>
      <c r="H13898" s="43">
        <v>501100</v>
      </c>
      <c r="I13898" s="43" t="s">
        <v>949</v>
      </c>
      <c r="J13898" s="44" t="s">
        <v>1000</v>
      </c>
    </row>
    <row r="13899" ht="22" customHeight="1" spans="1:10" x14ac:dyDescent="0.25">
      <c r="A13899" s="43">
        <v>3130</v>
      </c>
      <c r="B13899" s="43">
        <v>60</v>
      </c>
      <c r="C13899" s="43" t="s">
        <v>963</v>
      </c>
      <c r="D13899" s="43" t="s">
        <v>1009</v>
      </c>
      <c r="E13899" s="43" t="s">
        <v>294</v>
      </c>
      <c r="F13899" s="43" t="s">
        <v>959</v>
      </c>
      <c r="G13899" s="43">
        <v>6077777</v>
      </c>
      <c r="H13899" s="43">
        <v>501100</v>
      </c>
      <c r="I13899" s="43" t="s">
        <v>949</v>
      </c>
      <c r="J13899" s="44" t="s">
        <v>1000</v>
      </c>
    </row>
    <row r="13900" ht="22" customHeight="1" spans="1:10" x14ac:dyDescent="0.25">
      <c r="A13900" s="43">
        <v>3130</v>
      </c>
      <c r="B13900" s="43">
        <v>60</v>
      </c>
      <c r="C13900" s="43" t="s">
        <v>963</v>
      </c>
      <c r="D13900" s="43" t="s">
        <v>1009</v>
      </c>
      <c r="E13900" s="43" t="s">
        <v>294</v>
      </c>
      <c r="F13900" s="43" t="s">
        <v>960</v>
      </c>
      <c r="G13900" s="43">
        <v>6077777</v>
      </c>
      <c r="H13900" s="43">
        <v>501100</v>
      </c>
      <c r="I13900" s="43" t="s">
        <v>949</v>
      </c>
      <c r="J13900" s="44" t="s">
        <v>1000</v>
      </c>
    </row>
    <row r="13901" ht="22" customHeight="1" spans="1:10" x14ac:dyDescent="0.25">
      <c r="A13901" s="43">
        <v>3130</v>
      </c>
      <c r="B13901" s="43">
        <v>60</v>
      </c>
      <c r="C13901" s="43" t="s">
        <v>963</v>
      </c>
      <c r="D13901" s="43" t="s">
        <v>1009</v>
      </c>
      <c r="E13901" s="43" t="s">
        <v>294</v>
      </c>
      <c r="F13901" s="43" t="s">
        <v>961</v>
      </c>
      <c r="G13901" s="43">
        <v>6077777</v>
      </c>
      <c r="H13901" s="43">
        <v>501100</v>
      </c>
      <c r="I13901" s="43" t="s">
        <v>949</v>
      </c>
      <c r="J13901" s="44" t="s">
        <v>1000</v>
      </c>
    </row>
    <row r="13902" spans="1:9" x14ac:dyDescent="0.25">
      <c r="A13902">
        <v>4122</v>
      </c>
      <c r="B13902">
        <v>60</v>
      </c>
      <c r="C13902" t="s">
        <v>946</v>
      </c>
      <c r="D13902" t="s">
        <v>1009</v>
      </c>
      <c r="E13902" t="s">
        <v>294</v>
      </c>
      <c r="F13902" t="s">
        <v>948</v>
      </c>
      <c r="G13902">
        <v>6000000</v>
      </c>
      <c r="H13902">
        <v>143000</v>
      </c>
      <c r="I13902" t="s">
        <v>979</v>
      </c>
    </row>
    <row r="13903" spans="1:9" x14ac:dyDescent="0.25">
      <c r="A13903">
        <v>4124</v>
      </c>
      <c r="B13903">
        <v>60</v>
      </c>
      <c r="C13903" t="s">
        <v>946</v>
      </c>
      <c r="D13903" t="s">
        <v>1009</v>
      </c>
      <c r="E13903" t="s">
        <v>294</v>
      </c>
      <c r="F13903" t="s">
        <v>948</v>
      </c>
      <c r="G13903">
        <v>6077777</v>
      </c>
      <c r="H13903">
        <v>501100</v>
      </c>
      <c r="I13903" t="s">
        <v>949</v>
      </c>
    </row>
    <row r="13904" ht="22" customHeight="1" spans="1:10" x14ac:dyDescent="0.25">
      <c r="A13904" s="43">
        <v>3130</v>
      </c>
      <c r="B13904" s="43">
        <v>60</v>
      </c>
      <c r="C13904" s="43" t="s">
        <v>950</v>
      </c>
      <c r="D13904" s="43" t="s">
        <v>1009</v>
      </c>
      <c r="E13904" s="43" t="s">
        <v>980</v>
      </c>
      <c r="F13904" s="43" t="s">
        <v>951</v>
      </c>
      <c r="G13904" s="43">
        <v>6077777</v>
      </c>
      <c r="H13904" s="43">
        <v>501100</v>
      </c>
      <c r="I13904" s="43" t="s">
        <v>949</v>
      </c>
      <c r="J13904" s="44" t="s">
        <v>1000</v>
      </c>
    </row>
    <row r="13905" ht="22" customHeight="1" spans="1:10" x14ac:dyDescent="0.25">
      <c r="A13905" s="43">
        <v>3130</v>
      </c>
      <c r="B13905" s="43">
        <v>60</v>
      </c>
      <c r="C13905" s="43" t="s">
        <v>950</v>
      </c>
      <c r="D13905" s="43" t="s">
        <v>1009</v>
      </c>
      <c r="E13905" s="43" t="s">
        <v>980</v>
      </c>
      <c r="F13905" s="43" t="s">
        <v>952</v>
      </c>
      <c r="G13905" s="43">
        <v>6077777</v>
      </c>
      <c r="H13905" s="43">
        <v>501100</v>
      </c>
      <c r="I13905" s="43" t="s">
        <v>949</v>
      </c>
      <c r="J13905" s="44" t="s">
        <v>1000</v>
      </c>
    </row>
    <row r="13906" ht="22" customHeight="1" spans="1:10" x14ac:dyDescent="0.25">
      <c r="A13906" s="43">
        <v>3130</v>
      </c>
      <c r="B13906" s="43">
        <v>60</v>
      </c>
      <c r="C13906" s="43" t="s">
        <v>950</v>
      </c>
      <c r="D13906" s="43" t="s">
        <v>1009</v>
      </c>
      <c r="E13906" s="43" t="s">
        <v>980</v>
      </c>
      <c r="F13906" s="43" t="s">
        <v>953</v>
      </c>
      <c r="G13906" s="43">
        <v>6077777</v>
      </c>
      <c r="H13906" s="43">
        <v>501100</v>
      </c>
      <c r="I13906" s="43" t="s">
        <v>949</v>
      </c>
      <c r="J13906" s="44" t="s">
        <v>1000</v>
      </c>
    </row>
    <row r="13907" ht="22" customHeight="1" spans="1:10" x14ac:dyDescent="0.25">
      <c r="A13907" s="43">
        <v>3130</v>
      </c>
      <c r="B13907" s="43">
        <v>60</v>
      </c>
      <c r="C13907" s="43" t="s">
        <v>950</v>
      </c>
      <c r="D13907" s="43" t="s">
        <v>1009</v>
      </c>
      <c r="E13907" s="43" t="s">
        <v>980</v>
      </c>
      <c r="F13907" s="43" t="s">
        <v>954</v>
      </c>
      <c r="G13907" s="43">
        <v>6077777</v>
      </c>
      <c r="H13907" s="43">
        <v>501100</v>
      </c>
      <c r="I13907" s="43" t="s">
        <v>949</v>
      </c>
      <c r="J13907" s="44" t="s">
        <v>1000</v>
      </c>
    </row>
    <row r="13908" ht="22" customHeight="1" spans="1:10" x14ac:dyDescent="0.25">
      <c r="A13908" s="43">
        <v>3130</v>
      </c>
      <c r="B13908" s="43">
        <v>60</v>
      </c>
      <c r="C13908" s="43" t="s">
        <v>950</v>
      </c>
      <c r="D13908" s="43" t="s">
        <v>1009</v>
      </c>
      <c r="E13908" s="43" t="s">
        <v>980</v>
      </c>
      <c r="F13908" s="43" t="s">
        <v>955</v>
      </c>
      <c r="G13908" s="43">
        <v>6077777</v>
      </c>
      <c r="H13908" s="43">
        <v>501100</v>
      </c>
      <c r="I13908" s="43" t="s">
        <v>949</v>
      </c>
      <c r="J13908" s="44" t="s">
        <v>1000</v>
      </c>
    </row>
    <row r="13909" ht="22" customHeight="1" spans="1:10" x14ac:dyDescent="0.25">
      <c r="A13909" s="43">
        <v>3130</v>
      </c>
      <c r="B13909" s="43">
        <v>60</v>
      </c>
      <c r="C13909" s="43" t="s">
        <v>950</v>
      </c>
      <c r="D13909" s="43" t="s">
        <v>1009</v>
      </c>
      <c r="E13909" s="43" t="s">
        <v>980</v>
      </c>
      <c r="F13909" s="43" t="s">
        <v>956</v>
      </c>
      <c r="G13909" s="43">
        <v>6077777</v>
      </c>
      <c r="H13909" s="43">
        <v>501100</v>
      </c>
      <c r="I13909" s="43" t="s">
        <v>949</v>
      </c>
      <c r="J13909" s="44" t="s">
        <v>1000</v>
      </c>
    </row>
    <row r="13910" ht="22" customHeight="1" spans="1:10" x14ac:dyDescent="0.25">
      <c r="A13910" s="43">
        <v>3130</v>
      </c>
      <c r="B13910" s="43">
        <v>60</v>
      </c>
      <c r="C13910" s="43" t="s">
        <v>950</v>
      </c>
      <c r="D13910" s="43" t="s">
        <v>1009</v>
      </c>
      <c r="E13910" s="43" t="s">
        <v>980</v>
      </c>
      <c r="F13910" s="43" t="s">
        <v>957</v>
      </c>
      <c r="G13910" s="43">
        <v>6077777</v>
      </c>
      <c r="H13910" s="43">
        <v>501100</v>
      </c>
      <c r="I13910" s="43" t="s">
        <v>949</v>
      </c>
      <c r="J13910" s="44" t="s">
        <v>1000</v>
      </c>
    </row>
    <row r="13911" ht="22" customHeight="1" spans="1:10" x14ac:dyDescent="0.25">
      <c r="A13911" s="43">
        <v>3130</v>
      </c>
      <c r="B13911" s="43">
        <v>60</v>
      </c>
      <c r="C13911" s="43" t="s">
        <v>950</v>
      </c>
      <c r="D13911" s="43" t="s">
        <v>1009</v>
      </c>
      <c r="E13911" s="43" t="s">
        <v>980</v>
      </c>
      <c r="F13911" s="43" t="s">
        <v>958</v>
      </c>
      <c r="G13911" s="43">
        <v>6077777</v>
      </c>
      <c r="H13911" s="43">
        <v>501100</v>
      </c>
      <c r="I13911" s="43" t="s">
        <v>949</v>
      </c>
      <c r="J13911" s="44" t="s">
        <v>1000</v>
      </c>
    </row>
    <row r="13912" ht="22" customHeight="1" spans="1:10" x14ac:dyDescent="0.25">
      <c r="A13912" s="43">
        <v>3130</v>
      </c>
      <c r="B13912" s="43">
        <v>60</v>
      </c>
      <c r="C13912" s="43" t="s">
        <v>950</v>
      </c>
      <c r="D13912" s="43" t="s">
        <v>1009</v>
      </c>
      <c r="E13912" s="43" t="s">
        <v>980</v>
      </c>
      <c r="F13912" s="43" t="s">
        <v>959</v>
      </c>
      <c r="G13912" s="43">
        <v>6077777</v>
      </c>
      <c r="H13912" s="43">
        <v>501100</v>
      </c>
      <c r="I13912" s="43" t="s">
        <v>949</v>
      </c>
      <c r="J13912" s="44" t="s">
        <v>1000</v>
      </c>
    </row>
    <row r="13913" ht="22" customHeight="1" spans="1:10" x14ac:dyDescent="0.25">
      <c r="A13913" s="43">
        <v>3130</v>
      </c>
      <c r="B13913" s="43">
        <v>60</v>
      </c>
      <c r="C13913" s="43" t="s">
        <v>950</v>
      </c>
      <c r="D13913" s="43" t="s">
        <v>1009</v>
      </c>
      <c r="E13913" s="43" t="s">
        <v>980</v>
      </c>
      <c r="F13913" s="43" t="s">
        <v>960</v>
      </c>
      <c r="G13913" s="43">
        <v>6077777</v>
      </c>
      <c r="H13913" s="43">
        <v>501100</v>
      </c>
      <c r="I13913" s="43" t="s">
        <v>949</v>
      </c>
      <c r="J13913" s="44" t="s">
        <v>1000</v>
      </c>
    </row>
    <row r="13914" ht="22" customHeight="1" spans="1:10" x14ac:dyDescent="0.25">
      <c r="A13914" s="43">
        <v>3130</v>
      </c>
      <c r="B13914" s="43">
        <v>60</v>
      </c>
      <c r="C13914" s="43" t="s">
        <v>950</v>
      </c>
      <c r="D13914" s="43" t="s">
        <v>1009</v>
      </c>
      <c r="E13914" s="43" t="s">
        <v>980</v>
      </c>
      <c r="F13914" s="43" t="s">
        <v>961</v>
      </c>
      <c r="G13914" s="43">
        <v>6077777</v>
      </c>
      <c r="H13914" s="43">
        <v>501100</v>
      </c>
      <c r="I13914" s="43" t="s">
        <v>949</v>
      </c>
      <c r="J13914" s="44" t="s">
        <v>1000</v>
      </c>
    </row>
    <row r="13915" ht="22" customHeight="1" spans="1:10" x14ac:dyDescent="0.25">
      <c r="A13915" s="43">
        <v>3130</v>
      </c>
      <c r="B13915" s="43">
        <v>60</v>
      </c>
      <c r="C13915" s="43" t="s">
        <v>962</v>
      </c>
      <c r="D13915" s="43" t="s">
        <v>1009</v>
      </c>
      <c r="E13915" s="43" t="s">
        <v>980</v>
      </c>
      <c r="F13915" s="43" t="s">
        <v>951</v>
      </c>
      <c r="G13915" s="43">
        <v>6077777</v>
      </c>
      <c r="H13915" s="43">
        <v>501100</v>
      </c>
      <c r="I13915" s="43" t="s">
        <v>949</v>
      </c>
      <c r="J13915" s="44" t="s">
        <v>1000</v>
      </c>
    </row>
    <row r="13916" ht="22" customHeight="1" spans="1:10" x14ac:dyDescent="0.25">
      <c r="A13916" s="43">
        <v>3130</v>
      </c>
      <c r="B13916" s="43">
        <v>60</v>
      </c>
      <c r="C13916" s="43" t="s">
        <v>962</v>
      </c>
      <c r="D13916" s="43" t="s">
        <v>1009</v>
      </c>
      <c r="E13916" s="43" t="s">
        <v>980</v>
      </c>
      <c r="F13916" s="43" t="s">
        <v>952</v>
      </c>
      <c r="G13916" s="43">
        <v>6077777</v>
      </c>
      <c r="H13916" s="43">
        <v>501100</v>
      </c>
      <c r="I13916" s="43" t="s">
        <v>949</v>
      </c>
      <c r="J13916" s="44" t="s">
        <v>1000</v>
      </c>
    </row>
    <row r="13917" ht="22" customHeight="1" spans="1:10" x14ac:dyDescent="0.25">
      <c r="A13917" s="43">
        <v>3130</v>
      </c>
      <c r="B13917" s="43">
        <v>60</v>
      </c>
      <c r="C13917" s="43" t="s">
        <v>962</v>
      </c>
      <c r="D13917" s="43" t="s">
        <v>1009</v>
      </c>
      <c r="E13917" s="43" t="s">
        <v>980</v>
      </c>
      <c r="F13917" s="43" t="s">
        <v>953</v>
      </c>
      <c r="G13917" s="43">
        <v>6077777</v>
      </c>
      <c r="H13917" s="43">
        <v>501100</v>
      </c>
      <c r="I13917" s="43" t="s">
        <v>949</v>
      </c>
      <c r="J13917" s="44" t="s">
        <v>1000</v>
      </c>
    </row>
    <row r="13918" ht="22" customHeight="1" spans="1:10" x14ac:dyDescent="0.25">
      <c r="A13918" s="43">
        <v>3130</v>
      </c>
      <c r="B13918" s="43">
        <v>60</v>
      </c>
      <c r="C13918" s="43" t="s">
        <v>962</v>
      </c>
      <c r="D13918" s="43" t="s">
        <v>1009</v>
      </c>
      <c r="E13918" s="43" t="s">
        <v>980</v>
      </c>
      <c r="F13918" s="43" t="s">
        <v>954</v>
      </c>
      <c r="G13918" s="43">
        <v>6077777</v>
      </c>
      <c r="H13918" s="43">
        <v>501100</v>
      </c>
      <c r="I13918" s="43" t="s">
        <v>949</v>
      </c>
      <c r="J13918" s="44" t="s">
        <v>1000</v>
      </c>
    </row>
    <row r="13919" ht="22" customHeight="1" spans="1:10" x14ac:dyDescent="0.25">
      <c r="A13919" s="43">
        <v>3130</v>
      </c>
      <c r="B13919" s="43">
        <v>60</v>
      </c>
      <c r="C13919" s="43" t="s">
        <v>962</v>
      </c>
      <c r="D13919" s="43" t="s">
        <v>1009</v>
      </c>
      <c r="E13919" s="43" t="s">
        <v>980</v>
      </c>
      <c r="F13919" s="43" t="s">
        <v>955</v>
      </c>
      <c r="G13919" s="43">
        <v>6077777</v>
      </c>
      <c r="H13919" s="43">
        <v>501100</v>
      </c>
      <c r="I13919" s="43" t="s">
        <v>949</v>
      </c>
      <c r="J13919" s="44" t="s">
        <v>1000</v>
      </c>
    </row>
    <row r="13920" ht="22" customHeight="1" spans="1:10" x14ac:dyDescent="0.25">
      <c r="A13920" s="43">
        <v>3130</v>
      </c>
      <c r="B13920" s="43">
        <v>60</v>
      </c>
      <c r="C13920" s="43" t="s">
        <v>962</v>
      </c>
      <c r="D13920" s="43" t="s">
        <v>1009</v>
      </c>
      <c r="E13920" s="43" t="s">
        <v>980</v>
      </c>
      <c r="F13920" s="43" t="s">
        <v>956</v>
      </c>
      <c r="G13920" s="43">
        <v>6077777</v>
      </c>
      <c r="H13920" s="43">
        <v>501100</v>
      </c>
      <c r="I13920" s="43" t="s">
        <v>949</v>
      </c>
      <c r="J13920" s="44" t="s">
        <v>1000</v>
      </c>
    </row>
    <row r="13921" ht="22" customHeight="1" spans="1:10" x14ac:dyDescent="0.25">
      <c r="A13921" s="43">
        <v>3130</v>
      </c>
      <c r="B13921" s="43">
        <v>60</v>
      </c>
      <c r="C13921" s="43" t="s">
        <v>962</v>
      </c>
      <c r="D13921" s="43" t="s">
        <v>1009</v>
      </c>
      <c r="E13921" s="43" t="s">
        <v>980</v>
      </c>
      <c r="F13921" s="43" t="s">
        <v>957</v>
      </c>
      <c r="G13921" s="43">
        <v>6077777</v>
      </c>
      <c r="H13921" s="43">
        <v>501100</v>
      </c>
      <c r="I13921" s="43" t="s">
        <v>949</v>
      </c>
      <c r="J13921" s="44" t="s">
        <v>1000</v>
      </c>
    </row>
    <row r="13922" ht="22" customHeight="1" spans="1:10" x14ac:dyDescent="0.25">
      <c r="A13922" s="43">
        <v>3130</v>
      </c>
      <c r="B13922" s="43">
        <v>60</v>
      </c>
      <c r="C13922" s="43" t="s">
        <v>962</v>
      </c>
      <c r="D13922" s="43" t="s">
        <v>1009</v>
      </c>
      <c r="E13922" s="43" t="s">
        <v>980</v>
      </c>
      <c r="F13922" s="43" t="s">
        <v>958</v>
      </c>
      <c r="G13922" s="43">
        <v>6077777</v>
      </c>
      <c r="H13922" s="43">
        <v>501100</v>
      </c>
      <c r="I13922" s="43" t="s">
        <v>949</v>
      </c>
      <c r="J13922" s="44" t="s">
        <v>1000</v>
      </c>
    </row>
    <row r="13923" ht="22" customHeight="1" spans="1:10" x14ac:dyDescent="0.25">
      <c r="A13923" s="43">
        <v>3130</v>
      </c>
      <c r="B13923" s="43">
        <v>60</v>
      </c>
      <c r="C13923" s="43" t="s">
        <v>962</v>
      </c>
      <c r="D13923" s="43" t="s">
        <v>1009</v>
      </c>
      <c r="E13923" s="43" t="s">
        <v>980</v>
      </c>
      <c r="F13923" s="43" t="s">
        <v>959</v>
      </c>
      <c r="G13923" s="43">
        <v>6077777</v>
      </c>
      <c r="H13923" s="43">
        <v>501100</v>
      </c>
      <c r="I13923" s="43" t="s">
        <v>949</v>
      </c>
      <c r="J13923" s="44" t="s">
        <v>1000</v>
      </c>
    </row>
    <row r="13924" ht="22" customHeight="1" spans="1:10" x14ac:dyDescent="0.25">
      <c r="A13924" s="43">
        <v>3130</v>
      </c>
      <c r="B13924" s="43">
        <v>60</v>
      </c>
      <c r="C13924" s="43" t="s">
        <v>962</v>
      </c>
      <c r="D13924" s="43" t="s">
        <v>1009</v>
      </c>
      <c r="E13924" s="43" t="s">
        <v>980</v>
      </c>
      <c r="F13924" s="43" t="s">
        <v>960</v>
      </c>
      <c r="G13924" s="43">
        <v>6077777</v>
      </c>
      <c r="H13924" s="43">
        <v>501100</v>
      </c>
      <c r="I13924" s="43" t="s">
        <v>949</v>
      </c>
      <c r="J13924" s="44" t="s">
        <v>1000</v>
      </c>
    </row>
    <row r="13925" ht="22" customHeight="1" spans="1:10" x14ac:dyDescent="0.25">
      <c r="A13925" s="43">
        <v>3130</v>
      </c>
      <c r="B13925" s="43">
        <v>60</v>
      </c>
      <c r="C13925" s="43" t="s">
        <v>962</v>
      </c>
      <c r="D13925" s="43" t="s">
        <v>1009</v>
      </c>
      <c r="E13925" s="43" t="s">
        <v>980</v>
      </c>
      <c r="F13925" s="43" t="s">
        <v>961</v>
      </c>
      <c r="G13925" s="43">
        <v>6077777</v>
      </c>
      <c r="H13925" s="43">
        <v>501100</v>
      </c>
      <c r="I13925" s="43" t="s">
        <v>949</v>
      </c>
      <c r="J13925" s="44" t="s">
        <v>1000</v>
      </c>
    </row>
    <row r="13926" ht="22" customHeight="1" spans="1:10" x14ac:dyDescent="0.25">
      <c r="A13926" s="43">
        <v>3130</v>
      </c>
      <c r="B13926" s="43">
        <v>60</v>
      </c>
      <c r="C13926" s="43" t="s">
        <v>963</v>
      </c>
      <c r="D13926" s="43" t="s">
        <v>1009</v>
      </c>
      <c r="E13926" s="43" t="s">
        <v>980</v>
      </c>
      <c r="F13926" s="43" t="s">
        <v>951</v>
      </c>
      <c r="G13926" s="43">
        <v>6077777</v>
      </c>
      <c r="H13926" s="43">
        <v>501100</v>
      </c>
      <c r="I13926" s="43" t="s">
        <v>949</v>
      </c>
      <c r="J13926" s="44" t="s">
        <v>1000</v>
      </c>
    </row>
    <row r="13927" ht="22" customHeight="1" spans="1:10" x14ac:dyDescent="0.25">
      <c r="A13927" s="43">
        <v>3130</v>
      </c>
      <c r="B13927" s="43">
        <v>60</v>
      </c>
      <c r="C13927" s="43" t="s">
        <v>963</v>
      </c>
      <c r="D13927" s="43" t="s">
        <v>1009</v>
      </c>
      <c r="E13927" s="43" t="s">
        <v>980</v>
      </c>
      <c r="F13927" s="43" t="s">
        <v>952</v>
      </c>
      <c r="G13927" s="43">
        <v>6077777</v>
      </c>
      <c r="H13927" s="43">
        <v>501100</v>
      </c>
      <c r="I13927" s="43" t="s">
        <v>949</v>
      </c>
      <c r="J13927" s="44" t="s">
        <v>1000</v>
      </c>
    </row>
    <row r="13928" ht="22" customHeight="1" spans="1:10" x14ac:dyDescent="0.25">
      <c r="A13928" s="43">
        <v>3130</v>
      </c>
      <c r="B13928" s="43">
        <v>60</v>
      </c>
      <c r="C13928" s="43" t="s">
        <v>963</v>
      </c>
      <c r="D13928" s="43" t="s">
        <v>1009</v>
      </c>
      <c r="E13928" s="43" t="s">
        <v>980</v>
      </c>
      <c r="F13928" s="43" t="s">
        <v>953</v>
      </c>
      <c r="G13928" s="43">
        <v>6077777</v>
      </c>
      <c r="H13928" s="43">
        <v>501100</v>
      </c>
      <c r="I13928" s="43" t="s">
        <v>949</v>
      </c>
      <c r="J13928" s="44" t="s">
        <v>1000</v>
      </c>
    </row>
    <row r="13929" ht="22" customHeight="1" spans="1:10" x14ac:dyDescent="0.25">
      <c r="A13929" s="43">
        <v>3130</v>
      </c>
      <c r="B13929" s="43">
        <v>60</v>
      </c>
      <c r="C13929" s="43" t="s">
        <v>963</v>
      </c>
      <c r="D13929" s="43" t="s">
        <v>1009</v>
      </c>
      <c r="E13929" s="43" t="s">
        <v>980</v>
      </c>
      <c r="F13929" s="43" t="s">
        <v>954</v>
      </c>
      <c r="G13929" s="43">
        <v>6077777</v>
      </c>
      <c r="H13929" s="43">
        <v>501100</v>
      </c>
      <c r="I13929" s="43" t="s">
        <v>949</v>
      </c>
      <c r="J13929" s="44" t="s">
        <v>1000</v>
      </c>
    </row>
    <row r="13930" ht="22" customHeight="1" spans="1:10" x14ac:dyDescent="0.25">
      <c r="A13930" s="43">
        <v>3130</v>
      </c>
      <c r="B13930" s="43">
        <v>60</v>
      </c>
      <c r="C13930" s="43" t="s">
        <v>963</v>
      </c>
      <c r="D13930" s="43" t="s">
        <v>1009</v>
      </c>
      <c r="E13930" s="43" t="s">
        <v>980</v>
      </c>
      <c r="F13930" s="43" t="s">
        <v>955</v>
      </c>
      <c r="G13930" s="43">
        <v>6077777</v>
      </c>
      <c r="H13930" s="43">
        <v>501100</v>
      </c>
      <c r="I13930" s="43" t="s">
        <v>949</v>
      </c>
      <c r="J13930" s="44" t="s">
        <v>1000</v>
      </c>
    </row>
    <row r="13931" ht="22" customHeight="1" spans="1:10" x14ac:dyDescent="0.25">
      <c r="A13931" s="43">
        <v>3130</v>
      </c>
      <c r="B13931" s="43">
        <v>60</v>
      </c>
      <c r="C13931" s="43" t="s">
        <v>963</v>
      </c>
      <c r="D13931" s="43" t="s">
        <v>1009</v>
      </c>
      <c r="E13931" s="43" t="s">
        <v>980</v>
      </c>
      <c r="F13931" s="43" t="s">
        <v>956</v>
      </c>
      <c r="G13931" s="43">
        <v>6077777</v>
      </c>
      <c r="H13931" s="43">
        <v>501100</v>
      </c>
      <c r="I13931" s="43" t="s">
        <v>949</v>
      </c>
      <c r="J13931" s="44" t="s">
        <v>1000</v>
      </c>
    </row>
    <row r="13932" ht="22" customHeight="1" spans="1:10" x14ac:dyDescent="0.25">
      <c r="A13932" s="43">
        <v>3130</v>
      </c>
      <c r="B13932" s="43">
        <v>60</v>
      </c>
      <c r="C13932" s="43" t="s">
        <v>963</v>
      </c>
      <c r="D13932" s="43" t="s">
        <v>1009</v>
      </c>
      <c r="E13932" s="43" t="s">
        <v>980</v>
      </c>
      <c r="F13932" s="43" t="s">
        <v>957</v>
      </c>
      <c r="G13932" s="43">
        <v>6077777</v>
      </c>
      <c r="H13932" s="43">
        <v>501100</v>
      </c>
      <c r="I13932" s="43" t="s">
        <v>949</v>
      </c>
      <c r="J13932" s="44" t="s">
        <v>1000</v>
      </c>
    </row>
    <row r="13933" ht="22" customHeight="1" spans="1:10" x14ac:dyDescent="0.25">
      <c r="A13933" s="43">
        <v>3130</v>
      </c>
      <c r="B13933" s="43">
        <v>60</v>
      </c>
      <c r="C13933" s="43" t="s">
        <v>963</v>
      </c>
      <c r="D13933" s="43" t="s">
        <v>1009</v>
      </c>
      <c r="E13933" s="43" t="s">
        <v>980</v>
      </c>
      <c r="F13933" s="43" t="s">
        <v>958</v>
      </c>
      <c r="G13933" s="43">
        <v>6077777</v>
      </c>
      <c r="H13933" s="43">
        <v>501100</v>
      </c>
      <c r="I13933" s="43" t="s">
        <v>949</v>
      </c>
      <c r="J13933" s="44" t="s">
        <v>1000</v>
      </c>
    </row>
    <row r="13934" ht="22" customHeight="1" spans="1:10" x14ac:dyDescent="0.25">
      <c r="A13934" s="43">
        <v>3130</v>
      </c>
      <c r="B13934" s="43">
        <v>60</v>
      </c>
      <c r="C13934" s="43" t="s">
        <v>963</v>
      </c>
      <c r="D13934" s="43" t="s">
        <v>1009</v>
      </c>
      <c r="E13934" s="43" t="s">
        <v>980</v>
      </c>
      <c r="F13934" s="43" t="s">
        <v>959</v>
      </c>
      <c r="G13934" s="43">
        <v>6077777</v>
      </c>
      <c r="H13934" s="43">
        <v>501100</v>
      </c>
      <c r="I13934" s="43" t="s">
        <v>949</v>
      </c>
      <c r="J13934" s="44" t="s">
        <v>1000</v>
      </c>
    </row>
    <row r="13935" ht="22" customHeight="1" spans="1:10" x14ac:dyDescent="0.25">
      <c r="A13935" s="43">
        <v>3130</v>
      </c>
      <c r="B13935" s="43">
        <v>60</v>
      </c>
      <c r="C13935" s="43" t="s">
        <v>963</v>
      </c>
      <c r="D13935" s="43" t="s">
        <v>1009</v>
      </c>
      <c r="E13935" s="43" t="s">
        <v>980</v>
      </c>
      <c r="F13935" s="43" t="s">
        <v>960</v>
      </c>
      <c r="G13935" s="43">
        <v>6077777</v>
      </c>
      <c r="H13935" s="43">
        <v>501100</v>
      </c>
      <c r="I13935" s="43" t="s">
        <v>949</v>
      </c>
      <c r="J13935" s="44" t="s">
        <v>1000</v>
      </c>
    </row>
    <row r="13936" ht="22" customHeight="1" spans="1:10" x14ac:dyDescent="0.25">
      <c r="A13936" s="43">
        <v>3130</v>
      </c>
      <c r="B13936" s="43">
        <v>60</v>
      </c>
      <c r="C13936" s="43" t="s">
        <v>963</v>
      </c>
      <c r="D13936" s="43" t="s">
        <v>1009</v>
      </c>
      <c r="E13936" s="43" t="s">
        <v>980</v>
      </c>
      <c r="F13936" s="43" t="s">
        <v>961</v>
      </c>
      <c r="G13936" s="43">
        <v>6077777</v>
      </c>
      <c r="H13936" s="43">
        <v>501100</v>
      </c>
      <c r="I13936" s="43" t="s">
        <v>949</v>
      </c>
      <c r="J13936" s="44" t="s">
        <v>1000</v>
      </c>
    </row>
    <row r="13937" spans="1:9" x14ac:dyDescent="0.25">
      <c r="A13937">
        <v>4122</v>
      </c>
      <c r="B13937">
        <v>60</v>
      </c>
      <c r="C13937" t="s">
        <v>946</v>
      </c>
      <c r="D13937" t="s">
        <v>1009</v>
      </c>
      <c r="E13937" t="s">
        <v>980</v>
      </c>
      <c r="F13937" t="s">
        <v>948</v>
      </c>
      <c r="G13937">
        <v>6000000</v>
      </c>
      <c r="H13937">
        <v>141000</v>
      </c>
      <c r="I13937" t="s">
        <v>981</v>
      </c>
    </row>
    <row r="13938" spans="1:9" x14ac:dyDescent="0.25">
      <c r="A13938">
        <v>4124</v>
      </c>
      <c r="B13938">
        <v>60</v>
      </c>
      <c r="C13938" t="s">
        <v>946</v>
      </c>
      <c r="D13938" t="s">
        <v>1009</v>
      </c>
      <c r="E13938" t="s">
        <v>980</v>
      </c>
      <c r="F13938" t="s">
        <v>948</v>
      </c>
      <c r="G13938">
        <v>6077777</v>
      </c>
      <c r="H13938">
        <v>501100</v>
      </c>
      <c r="I13938" t="s">
        <v>949</v>
      </c>
    </row>
    <row r="13939" ht="22" customHeight="1" spans="1:10" x14ac:dyDescent="0.25">
      <c r="A13939" s="43">
        <v>3130</v>
      </c>
      <c r="B13939" s="43">
        <v>60</v>
      </c>
      <c r="C13939" s="43" t="s">
        <v>950</v>
      </c>
      <c r="D13939" s="43" t="s">
        <v>1009</v>
      </c>
      <c r="E13939" s="43" t="s">
        <v>302</v>
      </c>
      <c r="F13939" s="43" t="s">
        <v>951</v>
      </c>
      <c r="G13939" s="43">
        <v>6077777</v>
      </c>
      <c r="H13939" s="43">
        <v>501100</v>
      </c>
      <c r="I13939" s="43" t="s">
        <v>949</v>
      </c>
      <c r="J13939" s="44" t="s">
        <v>1000</v>
      </c>
    </row>
    <row r="13940" ht="22" customHeight="1" spans="1:10" x14ac:dyDescent="0.25">
      <c r="A13940" s="43">
        <v>3130</v>
      </c>
      <c r="B13940" s="43">
        <v>60</v>
      </c>
      <c r="C13940" s="43" t="s">
        <v>950</v>
      </c>
      <c r="D13940" s="43" t="s">
        <v>1009</v>
      </c>
      <c r="E13940" s="43" t="s">
        <v>302</v>
      </c>
      <c r="F13940" s="43" t="s">
        <v>952</v>
      </c>
      <c r="G13940" s="43">
        <v>6077777</v>
      </c>
      <c r="H13940" s="43">
        <v>501100</v>
      </c>
      <c r="I13940" s="43" t="s">
        <v>949</v>
      </c>
      <c r="J13940" s="44" t="s">
        <v>1000</v>
      </c>
    </row>
    <row r="13941" ht="22" customHeight="1" spans="1:10" x14ac:dyDescent="0.25">
      <c r="A13941" s="43">
        <v>3130</v>
      </c>
      <c r="B13941" s="43">
        <v>60</v>
      </c>
      <c r="C13941" s="43" t="s">
        <v>950</v>
      </c>
      <c r="D13941" s="43" t="s">
        <v>1009</v>
      </c>
      <c r="E13941" s="43" t="s">
        <v>302</v>
      </c>
      <c r="F13941" s="43" t="s">
        <v>953</v>
      </c>
      <c r="G13941" s="43">
        <v>6077777</v>
      </c>
      <c r="H13941" s="43">
        <v>501100</v>
      </c>
      <c r="I13941" s="43" t="s">
        <v>949</v>
      </c>
      <c r="J13941" s="44" t="s">
        <v>1000</v>
      </c>
    </row>
    <row r="13942" ht="22" customHeight="1" spans="1:10" x14ac:dyDescent="0.25">
      <c r="A13942" s="43">
        <v>3130</v>
      </c>
      <c r="B13942" s="43">
        <v>60</v>
      </c>
      <c r="C13942" s="43" t="s">
        <v>950</v>
      </c>
      <c r="D13942" s="43" t="s">
        <v>1009</v>
      </c>
      <c r="E13942" s="43" t="s">
        <v>302</v>
      </c>
      <c r="F13942" s="43" t="s">
        <v>954</v>
      </c>
      <c r="G13942" s="43">
        <v>6077777</v>
      </c>
      <c r="H13942" s="43">
        <v>501100</v>
      </c>
      <c r="I13942" s="43" t="s">
        <v>949</v>
      </c>
      <c r="J13942" s="44" t="s">
        <v>1000</v>
      </c>
    </row>
    <row r="13943" ht="22" customHeight="1" spans="1:10" x14ac:dyDescent="0.25">
      <c r="A13943" s="43">
        <v>3130</v>
      </c>
      <c r="B13943" s="43">
        <v>60</v>
      </c>
      <c r="C13943" s="43" t="s">
        <v>950</v>
      </c>
      <c r="D13943" s="43" t="s">
        <v>1009</v>
      </c>
      <c r="E13943" s="43" t="s">
        <v>302</v>
      </c>
      <c r="F13943" s="43" t="s">
        <v>955</v>
      </c>
      <c r="G13943" s="43">
        <v>6077777</v>
      </c>
      <c r="H13943" s="43">
        <v>501100</v>
      </c>
      <c r="I13943" s="43" t="s">
        <v>949</v>
      </c>
      <c r="J13943" s="44" t="s">
        <v>1000</v>
      </c>
    </row>
    <row r="13944" ht="22" customHeight="1" spans="1:10" x14ac:dyDescent="0.25">
      <c r="A13944" s="43">
        <v>3130</v>
      </c>
      <c r="B13944" s="43">
        <v>60</v>
      </c>
      <c r="C13944" s="43" t="s">
        <v>950</v>
      </c>
      <c r="D13944" s="43" t="s">
        <v>1009</v>
      </c>
      <c r="E13944" s="43" t="s">
        <v>302</v>
      </c>
      <c r="F13944" s="43" t="s">
        <v>956</v>
      </c>
      <c r="G13944" s="43">
        <v>6077777</v>
      </c>
      <c r="H13944" s="43">
        <v>501100</v>
      </c>
      <c r="I13944" s="43" t="s">
        <v>949</v>
      </c>
      <c r="J13944" s="44" t="s">
        <v>1000</v>
      </c>
    </row>
    <row r="13945" ht="22" customHeight="1" spans="1:10" x14ac:dyDescent="0.25">
      <c r="A13945" s="43">
        <v>3130</v>
      </c>
      <c r="B13945" s="43">
        <v>60</v>
      </c>
      <c r="C13945" s="43" t="s">
        <v>950</v>
      </c>
      <c r="D13945" s="43" t="s">
        <v>1009</v>
      </c>
      <c r="E13945" s="43" t="s">
        <v>302</v>
      </c>
      <c r="F13945" s="43" t="s">
        <v>957</v>
      </c>
      <c r="G13945" s="43">
        <v>6077777</v>
      </c>
      <c r="H13945" s="43">
        <v>501100</v>
      </c>
      <c r="I13945" s="43" t="s">
        <v>949</v>
      </c>
      <c r="J13945" s="44" t="s">
        <v>1000</v>
      </c>
    </row>
    <row r="13946" ht="22" customHeight="1" spans="1:10" x14ac:dyDescent="0.25">
      <c r="A13946" s="43">
        <v>3130</v>
      </c>
      <c r="B13946" s="43">
        <v>60</v>
      </c>
      <c r="C13946" s="43" t="s">
        <v>950</v>
      </c>
      <c r="D13946" s="43" t="s">
        <v>1009</v>
      </c>
      <c r="E13946" s="43" t="s">
        <v>302</v>
      </c>
      <c r="F13946" s="43" t="s">
        <v>958</v>
      </c>
      <c r="G13946" s="43">
        <v>6077777</v>
      </c>
      <c r="H13946" s="43">
        <v>501100</v>
      </c>
      <c r="I13946" s="43" t="s">
        <v>949</v>
      </c>
      <c r="J13946" s="44" t="s">
        <v>1000</v>
      </c>
    </row>
    <row r="13947" ht="22" customHeight="1" spans="1:10" x14ac:dyDescent="0.25">
      <c r="A13947" s="43">
        <v>3130</v>
      </c>
      <c r="B13947" s="43">
        <v>60</v>
      </c>
      <c r="C13947" s="43" t="s">
        <v>950</v>
      </c>
      <c r="D13947" s="43" t="s">
        <v>1009</v>
      </c>
      <c r="E13947" s="43" t="s">
        <v>302</v>
      </c>
      <c r="F13947" s="43" t="s">
        <v>959</v>
      </c>
      <c r="G13947" s="43">
        <v>6077777</v>
      </c>
      <c r="H13947" s="43">
        <v>501100</v>
      </c>
      <c r="I13947" s="43" t="s">
        <v>949</v>
      </c>
      <c r="J13947" s="44" t="s">
        <v>1000</v>
      </c>
    </row>
    <row r="13948" ht="22" customHeight="1" spans="1:10" x14ac:dyDescent="0.25">
      <c r="A13948" s="43">
        <v>3130</v>
      </c>
      <c r="B13948" s="43">
        <v>60</v>
      </c>
      <c r="C13948" s="43" t="s">
        <v>950</v>
      </c>
      <c r="D13948" s="43" t="s">
        <v>1009</v>
      </c>
      <c r="E13948" s="43" t="s">
        <v>302</v>
      </c>
      <c r="F13948" s="43" t="s">
        <v>960</v>
      </c>
      <c r="G13948" s="43">
        <v>6077777</v>
      </c>
      <c r="H13948" s="43">
        <v>501100</v>
      </c>
      <c r="I13948" s="43" t="s">
        <v>949</v>
      </c>
      <c r="J13948" s="44" t="s">
        <v>1000</v>
      </c>
    </row>
    <row r="13949" ht="22" customHeight="1" spans="1:10" x14ac:dyDescent="0.25">
      <c r="A13949" s="43">
        <v>3130</v>
      </c>
      <c r="B13949" s="43">
        <v>60</v>
      </c>
      <c r="C13949" s="43" t="s">
        <v>950</v>
      </c>
      <c r="D13949" s="43" t="s">
        <v>1009</v>
      </c>
      <c r="E13949" s="43" t="s">
        <v>302</v>
      </c>
      <c r="F13949" s="43" t="s">
        <v>961</v>
      </c>
      <c r="G13949" s="43">
        <v>6077777</v>
      </c>
      <c r="H13949" s="43">
        <v>501100</v>
      </c>
      <c r="I13949" s="43" t="s">
        <v>949</v>
      </c>
      <c r="J13949" s="44" t="s">
        <v>1000</v>
      </c>
    </row>
    <row r="13950" ht="22" customHeight="1" spans="1:10" x14ac:dyDescent="0.25">
      <c r="A13950" s="43">
        <v>3130</v>
      </c>
      <c r="B13950" s="43">
        <v>60</v>
      </c>
      <c r="C13950" s="43" t="s">
        <v>962</v>
      </c>
      <c r="D13950" s="43" t="s">
        <v>1009</v>
      </c>
      <c r="E13950" s="43" t="s">
        <v>302</v>
      </c>
      <c r="F13950" s="43" t="s">
        <v>951</v>
      </c>
      <c r="G13950" s="43">
        <v>6077777</v>
      </c>
      <c r="H13950" s="43">
        <v>501100</v>
      </c>
      <c r="I13950" s="43" t="s">
        <v>949</v>
      </c>
      <c r="J13950" s="44" t="s">
        <v>1000</v>
      </c>
    </row>
    <row r="13951" ht="22" customHeight="1" spans="1:10" x14ac:dyDescent="0.25">
      <c r="A13951" s="43">
        <v>3130</v>
      </c>
      <c r="B13951" s="43">
        <v>60</v>
      </c>
      <c r="C13951" s="43" t="s">
        <v>962</v>
      </c>
      <c r="D13951" s="43" t="s">
        <v>1009</v>
      </c>
      <c r="E13951" s="43" t="s">
        <v>302</v>
      </c>
      <c r="F13951" s="43" t="s">
        <v>952</v>
      </c>
      <c r="G13951" s="43">
        <v>6077777</v>
      </c>
      <c r="H13951" s="43">
        <v>501100</v>
      </c>
      <c r="I13951" s="43" t="s">
        <v>949</v>
      </c>
      <c r="J13951" s="44" t="s">
        <v>1000</v>
      </c>
    </row>
    <row r="13952" ht="22" customHeight="1" spans="1:10" x14ac:dyDescent="0.25">
      <c r="A13952" s="43">
        <v>3130</v>
      </c>
      <c r="B13952" s="43">
        <v>60</v>
      </c>
      <c r="C13952" s="43" t="s">
        <v>962</v>
      </c>
      <c r="D13952" s="43" t="s">
        <v>1009</v>
      </c>
      <c r="E13952" s="43" t="s">
        <v>302</v>
      </c>
      <c r="F13952" s="43" t="s">
        <v>953</v>
      </c>
      <c r="G13952" s="43">
        <v>6077777</v>
      </c>
      <c r="H13952" s="43">
        <v>501100</v>
      </c>
      <c r="I13952" s="43" t="s">
        <v>949</v>
      </c>
      <c r="J13952" s="44" t="s">
        <v>1000</v>
      </c>
    </row>
    <row r="13953" ht="22" customHeight="1" spans="1:10" x14ac:dyDescent="0.25">
      <c r="A13953" s="43">
        <v>3130</v>
      </c>
      <c r="B13953" s="43">
        <v>60</v>
      </c>
      <c r="C13953" s="43" t="s">
        <v>962</v>
      </c>
      <c r="D13953" s="43" t="s">
        <v>1009</v>
      </c>
      <c r="E13953" s="43" t="s">
        <v>302</v>
      </c>
      <c r="F13953" s="43" t="s">
        <v>954</v>
      </c>
      <c r="G13953" s="43">
        <v>6077777</v>
      </c>
      <c r="H13953" s="43">
        <v>501100</v>
      </c>
      <c r="I13953" s="43" t="s">
        <v>949</v>
      </c>
      <c r="J13953" s="44" t="s">
        <v>1000</v>
      </c>
    </row>
    <row r="13954" ht="22" customHeight="1" spans="1:10" x14ac:dyDescent="0.25">
      <c r="A13954" s="43">
        <v>3130</v>
      </c>
      <c r="B13954" s="43">
        <v>60</v>
      </c>
      <c r="C13954" s="43" t="s">
        <v>962</v>
      </c>
      <c r="D13954" s="43" t="s">
        <v>1009</v>
      </c>
      <c r="E13954" s="43" t="s">
        <v>302</v>
      </c>
      <c r="F13954" s="43" t="s">
        <v>955</v>
      </c>
      <c r="G13954" s="43">
        <v>6077777</v>
      </c>
      <c r="H13954" s="43">
        <v>501100</v>
      </c>
      <c r="I13954" s="43" t="s">
        <v>949</v>
      </c>
      <c r="J13954" s="44" t="s">
        <v>1000</v>
      </c>
    </row>
    <row r="13955" ht="22" customHeight="1" spans="1:10" x14ac:dyDescent="0.25">
      <c r="A13955" s="43">
        <v>3130</v>
      </c>
      <c r="B13955" s="43">
        <v>60</v>
      </c>
      <c r="C13955" s="43" t="s">
        <v>962</v>
      </c>
      <c r="D13955" s="43" t="s">
        <v>1009</v>
      </c>
      <c r="E13955" s="43" t="s">
        <v>302</v>
      </c>
      <c r="F13955" s="43" t="s">
        <v>956</v>
      </c>
      <c r="G13955" s="43">
        <v>6077777</v>
      </c>
      <c r="H13955" s="43">
        <v>501100</v>
      </c>
      <c r="I13955" s="43" t="s">
        <v>949</v>
      </c>
      <c r="J13955" s="44" t="s">
        <v>1000</v>
      </c>
    </row>
    <row r="13956" ht="22" customHeight="1" spans="1:10" x14ac:dyDescent="0.25">
      <c r="A13956" s="43">
        <v>3130</v>
      </c>
      <c r="B13956" s="43">
        <v>60</v>
      </c>
      <c r="C13956" s="43" t="s">
        <v>962</v>
      </c>
      <c r="D13956" s="43" t="s">
        <v>1009</v>
      </c>
      <c r="E13956" s="43" t="s">
        <v>302</v>
      </c>
      <c r="F13956" s="43" t="s">
        <v>957</v>
      </c>
      <c r="G13956" s="43">
        <v>6077777</v>
      </c>
      <c r="H13956" s="43">
        <v>501100</v>
      </c>
      <c r="I13956" s="43" t="s">
        <v>949</v>
      </c>
      <c r="J13956" s="44" t="s">
        <v>1000</v>
      </c>
    </row>
    <row r="13957" ht="22" customHeight="1" spans="1:10" x14ac:dyDescent="0.25">
      <c r="A13957" s="43">
        <v>3130</v>
      </c>
      <c r="B13957" s="43">
        <v>60</v>
      </c>
      <c r="C13957" s="43" t="s">
        <v>962</v>
      </c>
      <c r="D13957" s="43" t="s">
        <v>1009</v>
      </c>
      <c r="E13957" s="43" t="s">
        <v>302</v>
      </c>
      <c r="F13957" s="43" t="s">
        <v>958</v>
      </c>
      <c r="G13957" s="43">
        <v>6077777</v>
      </c>
      <c r="H13957" s="43">
        <v>501100</v>
      </c>
      <c r="I13957" s="43" t="s">
        <v>949</v>
      </c>
      <c r="J13957" s="44" t="s">
        <v>1000</v>
      </c>
    </row>
    <row r="13958" ht="22" customHeight="1" spans="1:10" x14ac:dyDescent="0.25">
      <c r="A13958" s="43">
        <v>3130</v>
      </c>
      <c r="B13958" s="43">
        <v>60</v>
      </c>
      <c r="C13958" s="43" t="s">
        <v>962</v>
      </c>
      <c r="D13958" s="43" t="s">
        <v>1009</v>
      </c>
      <c r="E13958" s="43" t="s">
        <v>302</v>
      </c>
      <c r="F13958" s="43" t="s">
        <v>959</v>
      </c>
      <c r="G13958" s="43">
        <v>6077777</v>
      </c>
      <c r="H13958" s="43">
        <v>501100</v>
      </c>
      <c r="I13958" s="43" t="s">
        <v>949</v>
      </c>
      <c r="J13958" s="44" t="s">
        <v>1000</v>
      </c>
    </row>
    <row r="13959" ht="22" customHeight="1" spans="1:10" x14ac:dyDescent="0.25">
      <c r="A13959" s="43">
        <v>3130</v>
      </c>
      <c r="B13959" s="43">
        <v>60</v>
      </c>
      <c r="C13959" s="43" t="s">
        <v>962</v>
      </c>
      <c r="D13959" s="43" t="s">
        <v>1009</v>
      </c>
      <c r="E13959" s="43" t="s">
        <v>302</v>
      </c>
      <c r="F13959" s="43" t="s">
        <v>960</v>
      </c>
      <c r="G13959" s="43">
        <v>6077777</v>
      </c>
      <c r="H13959" s="43">
        <v>501100</v>
      </c>
      <c r="I13959" s="43" t="s">
        <v>949</v>
      </c>
      <c r="J13959" s="44" t="s">
        <v>1000</v>
      </c>
    </row>
    <row r="13960" ht="22" customHeight="1" spans="1:10" x14ac:dyDescent="0.25">
      <c r="A13960" s="43">
        <v>3130</v>
      </c>
      <c r="B13960" s="43">
        <v>60</v>
      </c>
      <c r="C13960" s="43" t="s">
        <v>962</v>
      </c>
      <c r="D13960" s="43" t="s">
        <v>1009</v>
      </c>
      <c r="E13960" s="43" t="s">
        <v>302</v>
      </c>
      <c r="F13960" s="43" t="s">
        <v>961</v>
      </c>
      <c r="G13960" s="43">
        <v>6077777</v>
      </c>
      <c r="H13960" s="43">
        <v>501100</v>
      </c>
      <c r="I13960" s="43" t="s">
        <v>949</v>
      </c>
      <c r="J13960" s="44" t="s">
        <v>1000</v>
      </c>
    </row>
    <row r="13961" ht="22" customHeight="1" spans="1:10" x14ac:dyDescent="0.25">
      <c r="A13961" s="43">
        <v>3130</v>
      </c>
      <c r="B13961" s="43">
        <v>60</v>
      </c>
      <c r="C13961" s="43" t="s">
        <v>963</v>
      </c>
      <c r="D13961" s="43" t="s">
        <v>1009</v>
      </c>
      <c r="E13961" s="43" t="s">
        <v>302</v>
      </c>
      <c r="F13961" s="43" t="s">
        <v>951</v>
      </c>
      <c r="G13961" s="43">
        <v>6077777</v>
      </c>
      <c r="H13961" s="43">
        <v>501100</v>
      </c>
      <c r="I13961" s="43" t="s">
        <v>949</v>
      </c>
      <c r="J13961" s="44" t="s">
        <v>1000</v>
      </c>
    </row>
    <row r="13962" ht="22" customHeight="1" spans="1:10" x14ac:dyDescent="0.25">
      <c r="A13962" s="43">
        <v>3130</v>
      </c>
      <c r="B13962" s="43">
        <v>60</v>
      </c>
      <c r="C13962" s="43" t="s">
        <v>963</v>
      </c>
      <c r="D13962" s="43" t="s">
        <v>1009</v>
      </c>
      <c r="E13962" s="43" t="s">
        <v>302</v>
      </c>
      <c r="F13962" s="43" t="s">
        <v>952</v>
      </c>
      <c r="G13962" s="43">
        <v>6077777</v>
      </c>
      <c r="H13962" s="43">
        <v>501100</v>
      </c>
      <c r="I13962" s="43" t="s">
        <v>949</v>
      </c>
      <c r="J13962" s="44" t="s">
        <v>1000</v>
      </c>
    </row>
    <row r="13963" ht="22" customHeight="1" spans="1:10" x14ac:dyDescent="0.25">
      <c r="A13963" s="43">
        <v>3130</v>
      </c>
      <c r="B13963" s="43">
        <v>60</v>
      </c>
      <c r="C13963" s="43" t="s">
        <v>963</v>
      </c>
      <c r="D13963" s="43" t="s">
        <v>1009</v>
      </c>
      <c r="E13963" s="43" t="s">
        <v>302</v>
      </c>
      <c r="F13963" s="43" t="s">
        <v>953</v>
      </c>
      <c r="G13963" s="43">
        <v>6077777</v>
      </c>
      <c r="H13963" s="43">
        <v>501100</v>
      </c>
      <c r="I13963" s="43" t="s">
        <v>949</v>
      </c>
      <c r="J13963" s="44" t="s">
        <v>1000</v>
      </c>
    </row>
    <row r="13964" ht="22" customHeight="1" spans="1:10" x14ac:dyDescent="0.25">
      <c r="A13964" s="43">
        <v>3130</v>
      </c>
      <c r="B13964" s="43">
        <v>60</v>
      </c>
      <c r="C13964" s="43" t="s">
        <v>963</v>
      </c>
      <c r="D13964" s="43" t="s">
        <v>1009</v>
      </c>
      <c r="E13964" s="43" t="s">
        <v>302</v>
      </c>
      <c r="F13964" s="43" t="s">
        <v>954</v>
      </c>
      <c r="G13964" s="43">
        <v>6077777</v>
      </c>
      <c r="H13964" s="43">
        <v>501100</v>
      </c>
      <c r="I13964" s="43" t="s">
        <v>949</v>
      </c>
      <c r="J13964" s="44" t="s">
        <v>1000</v>
      </c>
    </row>
    <row r="13965" ht="22" customHeight="1" spans="1:10" x14ac:dyDescent="0.25">
      <c r="A13965" s="43">
        <v>3130</v>
      </c>
      <c r="B13965" s="43">
        <v>60</v>
      </c>
      <c r="C13965" s="43" t="s">
        <v>963</v>
      </c>
      <c r="D13965" s="43" t="s">
        <v>1009</v>
      </c>
      <c r="E13965" s="43" t="s">
        <v>302</v>
      </c>
      <c r="F13965" s="43" t="s">
        <v>955</v>
      </c>
      <c r="G13965" s="43">
        <v>6077777</v>
      </c>
      <c r="H13965" s="43">
        <v>501100</v>
      </c>
      <c r="I13965" s="43" t="s">
        <v>949</v>
      </c>
      <c r="J13965" s="44" t="s">
        <v>1000</v>
      </c>
    </row>
    <row r="13966" ht="22" customHeight="1" spans="1:10" x14ac:dyDescent="0.25">
      <c r="A13966" s="43">
        <v>3130</v>
      </c>
      <c r="B13966" s="43">
        <v>60</v>
      </c>
      <c r="C13966" s="43" t="s">
        <v>963</v>
      </c>
      <c r="D13966" s="43" t="s">
        <v>1009</v>
      </c>
      <c r="E13966" s="43" t="s">
        <v>302</v>
      </c>
      <c r="F13966" s="43" t="s">
        <v>956</v>
      </c>
      <c r="G13966" s="43">
        <v>6077777</v>
      </c>
      <c r="H13966" s="43">
        <v>501100</v>
      </c>
      <c r="I13966" s="43" t="s">
        <v>949</v>
      </c>
      <c r="J13966" s="44" t="s">
        <v>1000</v>
      </c>
    </row>
    <row r="13967" ht="22" customHeight="1" spans="1:10" x14ac:dyDescent="0.25">
      <c r="A13967" s="43">
        <v>3130</v>
      </c>
      <c r="B13967" s="43">
        <v>60</v>
      </c>
      <c r="C13967" s="43" t="s">
        <v>963</v>
      </c>
      <c r="D13967" s="43" t="s">
        <v>1009</v>
      </c>
      <c r="E13967" s="43" t="s">
        <v>302</v>
      </c>
      <c r="F13967" s="43" t="s">
        <v>957</v>
      </c>
      <c r="G13967" s="43">
        <v>6077777</v>
      </c>
      <c r="H13967" s="43">
        <v>501100</v>
      </c>
      <c r="I13967" s="43" t="s">
        <v>949</v>
      </c>
      <c r="J13967" s="44" t="s">
        <v>1000</v>
      </c>
    </row>
    <row r="13968" ht="22" customHeight="1" spans="1:10" x14ac:dyDescent="0.25">
      <c r="A13968" s="43">
        <v>3130</v>
      </c>
      <c r="B13968" s="43">
        <v>60</v>
      </c>
      <c r="C13968" s="43" t="s">
        <v>963</v>
      </c>
      <c r="D13968" s="43" t="s">
        <v>1009</v>
      </c>
      <c r="E13968" s="43" t="s">
        <v>302</v>
      </c>
      <c r="F13968" s="43" t="s">
        <v>958</v>
      </c>
      <c r="G13968" s="43">
        <v>6077777</v>
      </c>
      <c r="H13968" s="43">
        <v>501100</v>
      </c>
      <c r="I13968" s="43" t="s">
        <v>949</v>
      </c>
      <c r="J13968" s="44" t="s">
        <v>1000</v>
      </c>
    </row>
    <row r="13969" ht="22" customHeight="1" spans="1:10" x14ac:dyDescent="0.25">
      <c r="A13969" s="43">
        <v>3130</v>
      </c>
      <c r="B13969" s="43">
        <v>60</v>
      </c>
      <c r="C13969" s="43" t="s">
        <v>963</v>
      </c>
      <c r="D13969" s="43" t="s">
        <v>1009</v>
      </c>
      <c r="E13969" s="43" t="s">
        <v>302</v>
      </c>
      <c r="F13969" s="43" t="s">
        <v>959</v>
      </c>
      <c r="G13969" s="43">
        <v>6077777</v>
      </c>
      <c r="H13969" s="43">
        <v>501100</v>
      </c>
      <c r="I13969" s="43" t="s">
        <v>949</v>
      </c>
      <c r="J13969" s="44" t="s">
        <v>1000</v>
      </c>
    </row>
    <row r="13970" ht="22" customHeight="1" spans="1:10" x14ac:dyDescent="0.25">
      <c r="A13970" s="43">
        <v>3130</v>
      </c>
      <c r="B13970" s="43">
        <v>60</v>
      </c>
      <c r="C13970" s="43" t="s">
        <v>963</v>
      </c>
      <c r="D13970" s="43" t="s">
        <v>1009</v>
      </c>
      <c r="E13970" s="43" t="s">
        <v>302</v>
      </c>
      <c r="F13970" s="43" t="s">
        <v>960</v>
      </c>
      <c r="G13970" s="43">
        <v>6077777</v>
      </c>
      <c r="H13970" s="43">
        <v>501100</v>
      </c>
      <c r="I13970" s="43" t="s">
        <v>949</v>
      </c>
      <c r="J13970" s="44" t="s">
        <v>1000</v>
      </c>
    </row>
    <row r="13971" ht="22" customHeight="1" spans="1:10" x14ac:dyDescent="0.25">
      <c r="A13971" s="43">
        <v>3130</v>
      </c>
      <c r="B13971" s="43">
        <v>60</v>
      </c>
      <c r="C13971" s="43" t="s">
        <v>963</v>
      </c>
      <c r="D13971" s="43" t="s">
        <v>1009</v>
      </c>
      <c r="E13971" s="43" t="s">
        <v>302</v>
      </c>
      <c r="F13971" s="43" t="s">
        <v>961</v>
      </c>
      <c r="G13971" s="43">
        <v>6077777</v>
      </c>
      <c r="H13971" s="43">
        <v>501100</v>
      </c>
      <c r="I13971" s="43" t="s">
        <v>949</v>
      </c>
      <c r="J13971" s="44" t="s">
        <v>1000</v>
      </c>
    </row>
    <row r="13972" spans="1:9" x14ac:dyDescent="0.25">
      <c r="A13972">
        <v>4122</v>
      </c>
      <c r="B13972">
        <v>60</v>
      </c>
      <c r="C13972" t="s">
        <v>946</v>
      </c>
      <c r="D13972" t="s">
        <v>1009</v>
      </c>
      <c r="E13972" t="s">
        <v>302</v>
      </c>
      <c r="F13972" t="s">
        <v>948</v>
      </c>
      <c r="G13972">
        <v>6000000</v>
      </c>
      <c r="H13972">
        <v>143000</v>
      </c>
      <c r="I13972" t="s">
        <v>982</v>
      </c>
    </row>
    <row r="13973" spans="1:9" x14ac:dyDescent="0.25">
      <c r="A13973">
        <v>4124</v>
      </c>
      <c r="B13973">
        <v>60</v>
      </c>
      <c r="C13973" t="s">
        <v>946</v>
      </c>
      <c r="D13973" t="s">
        <v>1009</v>
      </c>
      <c r="E13973" t="s">
        <v>302</v>
      </c>
      <c r="F13973" t="s">
        <v>948</v>
      </c>
      <c r="G13973">
        <v>6077777</v>
      </c>
      <c r="H13973">
        <v>501100</v>
      </c>
      <c r="I13973" t="s">
        <v>949</v>
      </c>
    </row>
    <row r="13974" ht="22" customHeight="1" spans="1:10" x14ac:dyDescent="0.25">
      <c r="A13974" s="43">
        <v>3130</v>
      </c>
      <c r="B13974" s="43">
        <v>60</v>
      </c>
      <c r="C13974" s="43" t="s">
        <v>950</v>
      </c>
      <c r="D13974" s="43" t="s">
        <v>1009</v>
      </c>
      <c r="E13974" s="43" t="s">
        <v>306</v>
      </c>
      <c r="F13974" s="43" t="s">
        <v>951</v>
      </c>
      <c r="G13974" s="43">
        <v>6077777</v>
      </c>
      <c r="H13974" s="43">
        <v>501100</v>
      </c>
      <c r="I13974" s="43" t="s">
        <v>949</v>
      </c>
      <c r="J13974" s="44" t="s">
        <v>1000</v>
      </c>
    </row>
    <row r="13975" ht="22" customHeight="1" spans="1:10" x14ac:dyDescent="0.25">
      <c r="A13975" s="43">
        <v>3130</v>
      </c>
      <c r="B13975" s="43">
        <v>60</v>
      </c>
      <c r="C13975" s="43" t="s">
        <v>950</v>
      </c>
      <c r="D13975" s="43" t="s">
        <v>1009</v>
      </c>
      <c r="E13975" s="43" t="s">
        <v>306</v>
      </c>
      <c r="F13975" s="43" t="s">
        <v>952</v>
      </c>
      <c r="G13975" s="43">
        <v>6077777</v>
      </c>
      <c r="H13975" s="43">
        <v>501100</v>
      </c>
      <c r="I13975" s="43" t="s">
        <v>949</v>
      </c>
      <c r="J13975" s="44" t="s">
        <v>1000</v>
      </c>
    </row>
    <row r="13976" ht="22" customHeight="1" spans="1:10" x14ac:dyDescent="0.25">
      <c r="A13976" s="43">
        <v>3130</v>
      </c>
      <c r="B13976" s="43">
        <v>60</v>
      </c>
      <c r="C13976" s="43" t="s">
        <v>950</v>
      </c>
      <c r="D13976" s="43" t="s">
        <v>1009</v>
      </c>
      <c r="E13976" s="43" t="s">
        <v>306</v>
      </c>
      <c r="F13976" s="43" t="s">
        <v>953</v>
      </c>
      <c r="G13976" s="43">
        <v>6077777</v>
      </c>
      <c r="H13976" s="43">
        <v>501100</v>
      </c>
      <c r="I13976" s="43" t="s">
        <v>949</v>
      </c>
      <c r="J13976" s="44" t="s">
        <v>1000</v>
      </c>
    </row>
    <row r="13977" ht="22" customHeight="1" spans="1:10" x14ac:dyDescent="0.25">
      <c r="A13977" s="43">
        <v>3130</v>
      </c>
      <c r="B13977" s="43">
        <v>60</v>
      </c>
      <c r="C13977" s="43" t="s">
        <v>950</v>
      </c>
      <c r="D13977" s="43" t="s">
        <v>1009</v>
      </c>
      <c r="E13977" s="43" t="s">
        <v>306</v>
      </c>
      <c r="F13977" s="43" t="s">
        <v>954</v>
      </c>
      <c r="G13977" s="43">
        <v>6077777</v>
      </c>
      <c r="H13977" s="43">
        <v>501100</v>
      </c>
      <c r="I13977" s="43" t="s">
        <v>949</v>
      </c>
      <c r="J13977" s="44" t="s">
        <v>1000</v>
      </c>
    </row>
    <row r="13978" ht="22" customHeight="1" spans="1:10" x14ac:dyDescent="0.25">
      <c r="A13978" s="43">
        <v>3130</v>
      </c>
      <c r="B13978" s="43">
        <v>60</v>
      </c>
      <c r="C13978" s="43" t="s">
        <v>950</v>
      </c>
      <c r="D13978" s="43" t="s">
        <v>1009</v>
      </c>
      <c r="E13978" s="43" t="s">
        <v>306</v>
      </c>
      <c r="F13978" s="43" t="s">
        <v>955</v>
      </c>
      <c r="G13978" s="43">
        <v>6077777</v>
      </c>
      <c r="H13978" s="43">
        <v>501100</v>
      </c>
      <c r="I13978" s="43" t="s">
        <v>949</v>
      </c>
      <c r="J13978" s="44" t="s">
        <v>1000</v>
      </c>
    </row>
    <row r="13979" ht="22" customHeight="1" spans="1:10" x14ac:dyDescent="0.25">
      <c r="A13979" s="43">
        <v>3130</v>
      </c>
      <c r="B13979" s="43">
        <v>60</v>
      </c>
      <c r="C13979" s="43" t="s">
        <v>950</v>
      </c>
      <c r="D13979" s="43" t="s">
        <v>1009</v>
      </c>
      <c r="E13979" s="43" t="s">
        <v>306</v>
      </c>
      <c r="F13979" s="43" t="s">
        <v>956</v>
      </c>
      <c r="G13979" s="43">
        <v>6077777</v>
      </c>
      <c r="H13979" s="43">
        <v>501100</v>
      </c>
      <c r="I13979" s="43" t="s">
        <v>949</v>
      </c>
      <c r="J13979" s="44" t="s">
        <v>1000</v>
      </c>
    </row>
    <row r="13980" ht="22" customHeight="1" spans="1:10" x14ac:dyDescent="0.25">
      <c r="A13980" s="43">
        <v>3130</v>
      </c>
      <c r="B13980" s="43">
        <v>60</v>
      </c>
      <c r="C13980" s="43" t="s">
        <v>950</v>
      </c>
      <c r="D13980" s="43" t="s">
        <v>1009</v>
      </c>
      <c r="E13980" s="43" t="s">
        <v>306</v>
      </c>
      <c r="F13980" s="43" t="s">
        <v>957</v>
      </c>
      <c r="G13980" s="43">
        <v>6077777</v>
      </c>
      <c r="H13980" s="43">
        <v>501100</v>
      </c>
      <c r="I13980" s="43" t="s">
        <v>949</v>
      </c>
      <c r="J13980" s="44" t="s">
        <v>1000</v>
      </c>
    </row>
    <row r="13981" ht="22" customHeight="1" spans="1:10" x14ac:dyDescent="0.25">
      <c r="A13981" s="43">
        <v>3130</v>
      </c>
      <c r="B13981" s="43">
        <v>60</v>
      </c>
      <c r="C13981" s="43" t="s">
        <v>950</v>
      </c>
      <c r="D13981" s="43" t="s">
        <v>1009</v>
      </c>
      <c r="E13981" s="43" t="s">
        <v>306</v>
      </c>
      <c r="F13981" s="43" t="s">
        <v>958</v>
      </c>
      <c r="G13981" s="43">
        <v>6077777</v>
      </c>
      <c r="H13981" s="43">
        <v>501100</v>
      </c>
      <c r="I13981" s="43" t="s">
        <v>949</v>
      </c>
      <c r="J13981" s="44" t="s">
        <v>1000</v>
      </c>
    </row>
    <row r="13982" ht="22" customHeight="1" spans="1:10" x14ac:dyDescent="0.25">
      <c r="A13982" s="43">
        <v>3130</v>
      </c>
      <c r="B13982" s="43">
        <v>60</v>
      </c>
      <c r="C13982" s="43" t="s">
        <v>950</v>
      </c>
      <c r="D13982" s="43" t="s">
        <v>1009</v>
      </c>
      <c r="E13982" s="43" t="s">
        <v>306</v>
      </c>
      <c r="F13982" s="43" t="s">
        <v>959</v>
      </c>
      <c r="G13982" s="43">
        <v>6077777</v>
      </c>
      <c r="H13982" s="43">
        <v>501100</v>
      </c>
      <c r="I13982" s="43" t="s">
        <v>949</v>
      </c>
      <c r="J13982" s="44" t="s">
        <v>1000</v>
      </c>
    </row>
    <row r="13983" ht="22" customHeight="1" spans="1:10" x14ac:dyDescent="0.25">
      <c r="A13983" s="43">
        <v>3130</v>
      </c>
      <c r="B13983" s="43">
        <v>60</v>
      </c>
      <c r="C13983" s="43" t="s">
        <v>950</v>
      </c>
      <c r="D13983" s="43" t="s">
        <v>1009</v>
      </c>
      <c r="E13983" s="43" t="s">
        <v>306</v>
      </c>
      <c r="F13983" s="43" t="s">
        <v>960</v>
      </c>
      <c r="G13983" s="43">
        <v>6077777</v>
      </c>
      <c r="H13983" s="43">
        <v>501100</v>
      </c>
      <c r="I13983" s="43" t="s">
        <v>949</v>
      </c>
      <c r="J13983" s="44" t="s">
        <v>1000</v>
      </c>
    </row>
    <row r="13984" ht="22" customHeight="1" spans="1:10" x14ac:dyDescent="0.25">
      <c r="A13984" s="43">
        <v>3130</v>
      </c>
      <c r="B13984" s="43">
        <v>60</v>
      </c>
      <c r="C13984" s="43" t="s">
        <v>950</v>
      </c>
      <c r="D13984" s="43" t="s">
        <v>1009</v>
      </c>
      <c r="E13984" s="43" t="s">
        <v>306</v>
      </c>
      <c r="F13984" s="43" t="s">
        <v>961</v>
      </c>
      <c r="G13984" s="43">
        <v>6077777</v>
      </c>
      <c r="H13984" s="43">
        <v>501100</v>
      </c>
      <c r="I13984" s="43" t="s">
        <v>949</v>
      </c>
      <c r="J13984" s="44" t="s">
        <v>1000</v>
      </c>
    </row>
    <row r="13985" ht="22" customHeight="1" spans="1:10" x14ac:dyDescent="0.25">
      <c r="A13985" s="43">
        <v>3130</v>
      </c>
      <c r="B13985" s="43">
        <v>60</v>
      </c>
      <c r="C13985" s="43" t="s">
        <v>962</v>
      </c>
      <c r="D13985" s="43" t="s">
        <v>1009</v>
      </c>
      <c r="E13985" s="43" t="s">
        <v>306</v>
      </c>
      <c r="F13985" s="43" t="s">
        <v>951</v>
      </c>
      <c r="G13985" s="43">
        <v>6077777</v>
      </c>
      <c r="H13985" s="43">
        <v>501100</v>
      </c>
      <c r="I13985" s="43" t="s">
        <v>949</v>
      </c>
      <c r="J13985" s="44" t="s">
        <v>1000</v>
      </c>
    </row>
    <row r="13986" ht="22" customHeight="1" spans="1:10" x14ac:dyDescent="0.25">
      <c r="A13986" s="43">
        <v>3130</v>
      </c>
      <c r="B13986" s="43">
        <v>60</v>
      </c>
      <c r="C13986" s="43" t="s">
        <v>962</v>
      </c>
      <c r="D13986" s="43" t="s">
        <v>1009</v>
      </c>
      <c r="E13986" s="43" t="s">
        <v>306</v>
      </c>
      <c r="F13986" s="43" t="s">
        <v>952</v>
      </c>
      <c r="G13986" s="43">
        <v>6077777</v>
      </c>
      <c r="H13986" s="43">
        <v>501100</v>
      </c>
      <c r="I13986" s="43" t="s">
        <v>949</v>
      </c>
      <c r="J13986" s="44" t="s">
        <v>1000</v>
      </c>
    </row>
    <row r="13987" ht="22" customHeight="1" spans="1:10" x14ac:dyDescent="0.25">
      <c r="A13987" s="43">
        <v>3130</v>
      </c>
      <c r="B13987" s="43">
        <v>60</v>
      </c>
      <c r="C13987" s="43" t="s">
        <v>962</v>
      </c>
      <c r="D13987" s="43" t="s">
        <v>1009</v>
      </c>
      <c r="E13987" s="43" t="s">
        <v>306</v>
      </c>
      <c r="F13987" s="43" t="s">
        <v>953</v>
      </c>
      <c r="G13987" s="43">
        <v>6077777</v>
      </c>
      <c r="H13987" s="43">
        <v>501100</v>
      </c>
      <c r="I13987" s="43" t="s">
        <v>949</v>
      </c>
      <c r="J13987" s="44" t="s">
        <v>1000</v>
      </c>
    </row>
    <row r="13988" ht="22" customHeight="1" spans="1:10" x14ac:dyDescent="0.25">
      <c r="A13988" s="43">
        <v>3130</v>
      </c>
      <c r="B13988" s="43">
        <v>60</v>
      </c>
      <c r="C13988" s="43" t="s">
        <v>962</v>
      </c>
      <c r="D13988" s="43" t="s">
        <v>1009</v>
      </c>
      <c r="E13988" s="43" t="s">
        <v>306</v>
      </c>
      <c r="F13988" s="43" t="s">
        <v>954</v>
      </c>
      <c r="G13988" s="43">
        <v>6077777</v>
      </c>
      <c r="H13988" s="43">
        <v>501100</v>
      </c>
      <c r="I13988" s="43" t="s">
        <v>949</v>
      </c>
      <c r="J13988" s="44" t="s">
        <v>1000</v>
      </c>
    </row>
    <row r="13989" ht="22" customHeight="1" spans="1:10" x14ac:dyDescent="0.25">
      <c r="A13989" s="43">
        <v>3130</v>
      </c>
      <c r="B13989" s="43">
        <v>60</v>
      </c>
      <c r="C13989" s="43" t="s">
        <v>962</v>
      </c>
      <c r="D13989" s="43" t="s">
        <v>1009</v>
      </c>
      <c r="E13989" s="43" t="s">
        <v>306</v>
      </c>
      <c r="F13989" s="43" t="s">
        <v>955</v>
      </c>
      <c r="G13989" s="43">
        <v>6077777</v>
      </c>
      <c r="H13989" s="43">
        <v>501100</v>
      </c>
      <c r="I13989" s="43" t="s">
        <v>949</v>
      </c>
      <c r="J13989" s="44" t="s">
        <v>1000</v>
      </c>
    </row>
    <row r="13990" ht="22" customHeight="1" spans="1:10" x14ac:dyDescent="0.25">
      <c r="A13990" s="43">
        <v>3130</v>
      </c>
      <c r="B13990" s="43">
        <v>60</v>
      </c>
      <c r="C13990" s="43" t="s">
        <v>962</v>
      </c>
      <c r="D13990" s="43" t="s">
        <v>1009</v>
      </c>
      <c r="E13990" s="43" t="s">
        <v>306</v>
      </c>
      <c r="F13990" s="43" t="s">
        <v>956</v>
      </c>
      <c r="G13990" s="43">
        <v>6077777</v>
      </c>
      <c r="H13990" s="43">
        <v>501100</v>
      </c>
      <c r="I13990" s="43" t="s">
        <v>949</v>
      </c>
      <c r="J13990" s="44" t="s">
        <v>1000</v>
      </c>
    </row>
    <row r="13991" ht="22" customHeight="1" spans="1:10" x14ac:dyDescent="0.25">
      <c r="A13991" s="43">
        <v>3130</v>
      </c>
      <c r="B13991" s="43">
        <v>60</v>
      </c>
      <c r="C13991" s="43" t="s">
        <v>962</v>
      </c>
      <c r="D13991" s="43" t="s">
        <v>1009</v>
      </c>
      <c r="E13991" s="43" t="s">
        <v>306</v>
      </c>
      <c r="F13991" s="43" t="s">
        <v>957</v>
      </c>
      <c r="G13991" s="43">
        <v>6077777</v>
      </c>
      <c r="H13991" s="43">
        <v>501100</v>
      </c>
      <c r="I13991" s="43" t="s">
        <v>949</v>
      </c>
      <c r="J13991" s="44" t="s">
        <v>1000</v>
      </c>
    </row>
    <row r="13992" ht="22" customHeight="1" spans="1:10" x14ac:dyDescent="0.25">
      <c r="A13992" s="43">
        <v>3130</v>
      </c>
      <c r="B13992" s="43">
        <v>60</v>
      </c>
      <c r="C13992" s="43" t="s">
        <v>962</v>
      </c>
      <c r="D13992" s="43" t="s">
        <v>1009</v>
      </c>
      <c r="E13992" s="43" t="s">
        <v>306</v>
      </c>
      <c r="F13992" s="43" t="s">
        <v>958</v>
      </c>
      <c r="G13992" s="43">
        <v>6077777</v>
      </c>
      <c r="H13992" s="43">
        <v>501100</v>
      </c>
      <c r="I13992" s="43" t="s">
        <v>949</v>
      </c>
      <c r="J13992" s="44" t="s">
        <v>1000</v>
      </c>
    </row>
    <row r="13993" ht="22" customHeight="1" spans="1:10" x14ac:dyDescent="0.25">
      <c r="A13993" s="43">
        <v>3130</v>
      </c>
      <c r="B13993" s="43">
        <v>60</v>
      </c>
      <c r="C13993" s="43" t="s">
        <v>962</v>
      </c>
      <c r="D13993" s="43" t="s">
        <v>1009</v>
      </c>
      <c r="E13993" s="43" t="s">
        <v>306</v>
      </c>
      <c r="F13993" s="43" t="s">
        <v>959</v>
      </c>
      <c r="G13993" s="43">
        <v>6077777</v>
      </c>
      <c r="H13993" s="43">
        <v>501100</v>
      </c>
      <c r="I13993" s="43" t="s">
        <v>949</v>
      </c>
      <c r="J13993" s="44" t="s">
        <v>1000</v>
      </c>
    </row>
    <row r="13994" ht="22" customHeight="1" spans="1:10" x14ac:dyDescent="0.25">
      <c r="A13994" s="43">
        <v>3130</v>
      </c>
      <c r="B13994" s="43">
        <v>60</v>
      </c>
      <c r="C13994" s="43" t="s">
        <v>962</v>
      </c>
      <c r="D13994" s="43" t="s">
        <v>1009</v>
      </c>
      <c r="E13994" s="43" t="s">
        <v>306</v>
      </c>
      <c r="F13994" s="43" t="s">
        <v>960</v>
      </c>
      <c r="G13994" s="43">
        <v>6077777</v>
      </c>
      <c r="H13994" s="43">
        <v>501100</v>
      </c>
      <c r="I13994" s="43" t="s">
        <v>949</v>
      </c>
      <c r="J13994" s="44" t="s">
        <v>1000</v>
      </c>
    </row>
    <row r="13995" ht="22" customHeight="1" spans="1:10" x14ac:dyDescent="0.25">
      <c r="A13995" s="43">
        <v>3130</v>
      </c>
      <c r="B13995" s="43">
        <v>60</v>
      </c>
      <c r="C13995" s="43" t="s">
        <v>962</v>
      </c>
      <c r="D13995" s="43" t="s">
        <v>1009</v>
      </c>
      <c r="E13995" s="43" t="s">
        <v>306</v>
      </c>
      <c r="F13995" s="43" t="s">
        <v>961</v>
      </c>
      <c r="G13995" s="43">
        <v>6077777</v>
      </c>
      <c r="H13995" s="43">
        <v>501100</v>
      </c>
      <c r="I13995" s="43" t="s">
        <v>949</v>
      </c>
      <c r="J13995" s="44" t="s">
        <v>1000</v>
      </c>
    </row>
    <row r="13996" ht="22" customHeight="1" spans="1:10" x14ac:dyDescent="0.25">
      <c r="A13996" s="43">
        <v>3130</v>
      </c>
      <c r="B13996" s="43">
        <v>60</v>
      </c>
      <c r="C13996" s="43" t="s">
        <v>963</v>
      </c>
      <c r="D13996" s="43" t="s">
        <v>1009</v>
      </c>
      <c r="E13996" s="43" t="s">
        <v>306</v>
      </c>
      <c r="F13996" s="43" t="s">
        <v>951</v>
      </c>
      <c r="G13996" s="43">
        <v>6077777</v>
      </c>
      <c r="H13996" s="43">
        <v>501100</v>
      </c>
      <c r="I13996" s="43" t="s">
        <v>949</v>
      </c>
      <c r="J13996" s="44" t="s">
        <v>1000</v>
      </c>
    </row>
    <row r="13997" ht="22" customHeight="1" spans="1:10" x14ac:dyDescent="0.25">
      <c r="A13997" s="43">
        <v>3130</v>
      </c>
      <c r="B13997" s="43">
        <v>60</v>
      </c>
      <c r="C13997" s="43" t="s">
        <v>963</v>
      </c>
      <c r="D13997" s="43" t="s">
        <v>1009</v>
      </c>
      <c r="E13997" s="43" t="s">
        <v>306</v>
      </c>
      <c r="F13997" s="43" t="s">
        <v>952</v>
      </c>
      <c r="G13997" s="43">
        <v>6077777</v>
      </c>
      <c r="H13997" s="43">
        <v>501100</v>
      </c>
      <c r="I13997" s="43" t="s">
        <v>949</v>
      </c>
      <c r="J13997" s="44" t="s">
        <v>1000</v>
      </c>
    </row>
    <row r="13998" ht="22" customHeight="1" spans="1:10" x14ac:dyDescent="0.25">
      <c r="A13998" s="43">
        <v>3130</v>
      </c>
      <c r="B13998" s="43">
        <v>60</v>
      </c>
      <c r="C13998" s="43" t="s">
        <v>963</v>
      </c>
      <c r="D13998" s="43" t="s">
        <v>1009</v>
      </c>
      <c r="E13998" s="43" t="s">
        <v>306</v>
      </c>
      <c r="F13998" s="43" t="s">
        <v>953</v>
      </c>
      <c r="G13998" s="43">
        <v>6077777</v>
      </c>
      <c r="H13998" s="43">
        <v>501100</v>
      </c>
      <c r="I13998" s="43" t="s">
        <v>949</v>
      </c>
      <c r="J13998" s="44" t="s">
        <v>1000</v>
      </c>
    </row>
    <row r="13999" ht="22" customHeight="1" spans="1:10" x14ac:dyDescent="0.25">
      <c r="A13999" s="43">
        <v>3130</v>
      </c>
      <c r="B13999" s="43">
        <v>60</v>
      </c>
      <c r="C13999" s="43" t="s">
        <v>963</v>
      </c>
      <c r="D13999" s="43" t="s">
        <v>1009</v>
      </c>
      <c r="E13999" s="43" t="s">
        <v>306</v>
      </c>
      <c r="F13999" s="43" t="s">
        <v>954</v>
      </c>
      <c r="G13999" s="43">
        <v>6077777</v>
      </c>
      <c r="H13999" s="43">
        <v>501100</v>
      </c>
      <c r="I13999" s="43" t="s">
        <v>949</v>
      </c>
      <c r="J13999" s="44" t="s">
        <v>1000</v>
      </c>
    </row>
    <row r="14000" ht="22" customHeight="1" spans="1:10" x14ac:dyDescent="0.25">
      <c r="A14000" s="43">
        <v>3130</v>
      </c>
      <c r="B14000" s="43">
        <v>60</v>
      </c>
      <c r="C14000" s="43" t="s">
        <v>963</v>
      </c>
      <c r="D14000" s="43" t="s">
        <v>1009</v>
      </c>
      <c r="E14000" s="43" t="s">
        <v>306</v>
      </c>
      <c r="F14000" s="43" t="s">
        <v>955</v>
      </c>
      <c r="G14000" s="43">
        <v>6077777</v>
      </c>
      <c r="H14000" s="43">
        <v>501100</v>
      </c>
      <c r="I14000" s="43" t="s">
        <v>949</v>
      </c>
      <c r="J14000" s="44" t="s">
        <v>1000</v>
      </c>
    </row>
    <row r="14001" ht="22" customHeight="1" spans="1:10" x14ac:dyDescent="0.25">
      <c r="A14001" s="43">
        <v>3130</v>
      </c>
      <c r="B14001" s="43">
        <v>60</v>
      </c>
      <c r="C14001" s="43" t="s">
        <v>963</v>
      </c>
      <c r="D14001" s="43" t="s">
        <v>1009</v>
      </c>
      <c r="E14001" s="43" t="s">
        <v>306</v>
      </c>
      <c r="F14001" s="43" t="s">
        <v>956</v>
      </c>
      <c r="G14001" s="43">
        <v>6077777</v>
      </c>
      <c r="H14001" s="43">
        <v>501100</v>
      </c>
      <c r="I14001" s="43" t="s">
        <v>949</v>
      </c>
      <c r="J14001" s="44" t="s">
        <v>1000</v>
      </c>
    </row>
    <row r="14002" ht="22" customHeight="1" spans="1:10" x14ac:dyDescent="0.25">
      <c r="A14002" s="43">
        <v>3130</v>
      </c>
      <c r="B14002" s="43">
        <v>60</v>
      </c>
      <c r="C14002" s="43" t="s">
        <v>963</v>
      </c>
      <c r="D14002" s="43" t="s">
        <v>1009</v>
      </c>
      <c r="E14002" s="43" t="s">
        <v>306</v>
      </c>
      <c r="F14002" s="43" t="s">
        <v>957</v>
      </c>
      <c r="G14002" s="43">
        <v>6077777</v>
      </c>
      <c r="H14002" s="43">
        <v>501100</v>
      </c>
      <c r="I14002" s="43" t="s">
        <v>949</v>
      </c>
      <c r="J14002" s="44" t="s">
        <v>1000</v>
      </c>
    </row>
    <row r="14003" ht="22" customHeight="1" spans="1:10" x14ac:dyDescent="0.25">
      <c r="A14003" s="43">
        <v>3130</v>
      </c>
      <c r="B14003" s="43">
        <v>60</v>
      </c>
      <c r="C14003" s="43" t="s">
        <v>963</v>
      </c>
      <c r="D14003" s="43" t="s">
        <v>1009</v>
      </c>
      <c r="E14003" s="43" t="s">
        <v>306</v>
      </c>
      <c r="F14003" s="43" t="s">
        <v>958</v>
      </c>
      <c r="G14003" s="43">
        <v>6077777</v>
      </c>
      <c r="H14003" s="43">
        <v>501100</v>
      </c>
      <c r="I14003" s="43" t="s">
        <v>949</v>
      </c>
      <c r="J14003" s="44" t="s">
        <v>1000</v>
      </c>
    </row>
    <row r="14004" ht="22" customHeight="1" spans="1:10" x14ac:dyDescent="0.25">
      <c r="A14004" s="43">
        <v>3130</v>
      </c>
      <c r="B14004" s="43">
        <v>60</v>
      </c>
      <c r="C14004" s="43" t="s">
        <v>963</v>
      </c>
      <c r="D14004" s="43" t="s">
        <v>1009</v>
      </c>
      <c r="E14004" s="43" t="s">
        <v>306</v>
      </c>
      <c r="F14004" s="43" t="s">
        <v>959</v>
      </c>
      <c r="G14004" s="43">
        <v>6077777</v>
      </c>
      <c r="H14004" s="43">
        <v>501100</v>
      </c>
      <c r="I14004" s="43" t="s">
        <v>949</v>
      </c>
      <c r="J14004" s="44" t="s">
        <v>1000</v>
      </c>
    </row>
    <row r="14005" ht="22" customHeight="1" spans="1:10" x14ac:dyDescent="0.25">
      <c r="A14005" s="43">
        <v>3130</v>
      </c>
      <c r="B14005" s="43">
        <v>60</v>
      </c>
      <c r="C14005" s="43" t="s">
        <v>963</v>
      </c>
      <c r="D14005" s="43" t="s">
        <v>1009</v>
      </c>
      <c r="E14005" s="43" t="s">
        <v>306</v>
      </c>
      <c r="F14005" s="43" t="s">
        <v>960</v>
      </c>
      <c r="G14005" s="43">
        <v>6077777</v>
      </c>
      <c r="H14005" s="43">
        <v>501100</v>
      </c>
      <c r="I14005" s="43" t="s">
        <v>949</v>
      </c>
      <c r="J14005" s="44" t="s">
        <v>1000</v>
      </c>
    </row>
    <row r="14006" ht="22" customHeight="1" spans="1:10" x14ac:dyDescent="0.25">
      <c r="A14006" s="43">
        <v>3130</v>
      </c>
      <c r="B14006" s="43">
        <v>60</v>
      </c>
      <c r="C14006" s="43" t="s">
        <v>963</v>
      </c>
      <c r="D14006" s="43" t="s">
        <v>1009</v>
      </c>
      <c r="E14006" s="43" t="s">
        <v>306</v>
      </c>
      <c r="F14006" s="43" t="s">
        <v>961</v>
      </c>
      <c r="G14006" s="43">
        <v>6077777</v>
      </c>
      <c r="H14006" s="43">
        <v>501100</v>
      </c>
      <c r="I14006" s="43" t="s">
        <v>949</v>
      </c>
      <c r="J14006" s="44" t="s">
        <v>1000</v>
      </c>
    </row>
    <row r="14007" spans="1:9" x14ac:dyDescent="0.25">
      <c r="A14007">
        <v>4122</v>
      </c>
      <c r="B14007">
        <v>60</v>
      </c>
      <c r="C14007" t="s">
        <v>946</v>
      </c>
      <c r="D14007" t="s">
        <v>1009</v>
      </c>
      <c r="E14007" t="s">
        <v>306</v>
      </c>
      <c r="F14007" t="s">
        <v>948</v>
      </c>
      <c r="G14007">
        <v>6000000</v>
      </c>
      <c r="H14007">
        <v>143000</v>
      </c>
      <c r="I14007" t="s">
        <v>983</v>
      </c>
    </row>
    <row r="14008" spans="1:9" x14ac:dyDescent="0.25">
      <c r="A14008">
        <v>4124</v>
      </c>
      <c r="B14008">
        <v>60</v>
      </c>
      <c r="C14008" t="s">
        <v>946</v>
      </c>
      <c r="D14008" t="s">
        <v>1009</v>
      </c>
      <c r="E14008" t="s">
        <v>306</v>
      </c>
      <c r="F14008" t="s">
        <v>948</v>
      </c>
      <c r="G14008">
        <v>6077777</v>
      </c>
      <c r="H14008">
        <v>501100</v>
      </c>
      <c r="I14008" t="s">
        <v>949</v>
      </c>
    </row>
    <row r="14009" spans="1:9" x14ac:dyDescent="0.25">
      <c r="A14009">
        <v>3130</v>
      </c>
      <c r="B14009">
        <v>60</v>
      </c>
      <c r="C14009" t="s">
        <v>950</v>
      </c>
      <c r="D14009" t="s">
        <v>1009</v>
      </c>
      <c r="E14009" t="s">
        <v>108</v>
      </c>
      <c r="F14009" t="s">
        <v>951</v>
      </c>
      <c r="G14009">
        <v>6077777</v>
      </c>
      <c r="H14009">
        <v>500220</v>
      </c>
      <c r="I14009" t="s">
        <v>949</v>
      </c>
    </row>
    <row r="14010" spans="1:9" x14ac:dyDescent="0.25">
      <c r="A14010">
        <v>3130</v>
      </c>
      <c r="B14010">
        <v>60</v>
      </c>
      <c r="C14010" t="s">
        <v>950</v>
      </c>
      <c r="D14010" t="s">
        <v>1009</v>
      </c>
      <c r="E14010" t="s">
        <v>108</v>
      </c>
      <c r="F14010" t="s">
        <v>952</v>
      </c>
      <c r="G14010">
        <v>6077777</v>
      </c>
      <c r="H14010">
        <v>500220</v>
      </c>
      <c r="I14010" t="s">
        <v>949</v>
      </c>
    </row>
    <row r="14011" spans="1:9" x14ac:dyDescent="0.25">
      <c r="A14011">
        <v>3130</v>
      </c>
      <c r="B14011">
        <v>60</v>
      </c>
      <c r="C14011" t="s">
        <v>962</v>
      </c>
      <c r="D14011" t="s">
        <v>1009</v>
      </c>
      <c r="E14011" t="s">
        <v>108</v>
      </c>
      <c r="F14011" t="s">
        <v>951</v>
      </c>
      <c r="G14011">
        <v>6077777</v>
      </c>
      <c r="H14011">
        <v>500220</v>
      </c>
      <c r="I14011" t="s">
        <v>949</v>
      </c>
    </row>
    <row r="14012" spans="1:9" x14ac:dyDescent="0.25">
      <c r="A14012">
        <v>3130</v>
      </c>
      <c r="B14012">
        <v>60</v>
      </c>
      <c r="C14012" t="s">
        <v>962</v>
      </c>
      <c r="D14012" t="s">
        <v>1009</v>
      </c>
      <c r="E14012" t="s">
        <v>108</v>
      </c>
      <c r="F14012" t="s">
        <v>952</v>
      </c>
      <c r="G14012">
        <v>6077777</v>
      </c>
      <c r="H14012">
        <v>500220</v>
      </c>
      <c r="I14012" t="s">
        <v>949</v>
      </c>
    </row>
    <row r="14013" spans="1:9" x14ac:dyDescent="0.25">
      <c r="A14013">
        <v>3130</v>
      </c>
      <c r="B14013">
        <v>60</v>
      </c>
      <c r="C14013" t="s">
        <v>963</v>
      </c>
      <c r="D14013" t="s">
        <v>1009</v>
      </c>
      <c r="E14013" t="s">
        <v>108</v>
      </c>
      <c r="F14013" t="s">
        <v>951</v>
      </c>
      <c r="G14013">
        <v>6077777</v>
      </c>
      <c r="H14013">
        <v>500220</v>
      </c>
      <c r="I14013" t="s">
        <v>949</v>
      </c>
    </row>
    <row r="14014" spans="1:9" x14ac:dyDescent="0.25">
      <c r="A14014">
        <v>3130</v>
      </c>
      <c r="B14014">
        <v>60</v>
      </c>
      <c r="C14014" t="s">
        <v>963</v>
      </c>
      <c r="D14014" t="s">
        <v>1009</v>
      </c>
      <c r="E14014" t="s">
        <v>108</v>
      </c>
      <c r="F14014" t="s">
        <v>952</v>
      </c>
      <c r="G14014">
        <v>6077777</v>
      </c>
      <c r="H14014">
        <v>500220</v>
      </c>
      <c r="I14014" t="s">
        <v>949</v>
      </c>
    </row>
    <row r="14015" spans="1:9" x14ac:dyDescent="0.25">
      <c r="A14015">
        <v>4122</v>
      </c>
      <c r="B14015">
        <v>60</v>
      </c>
      <c r="C14015" t="s">
        <v>946</v>
      </c>
      <c r="D14015" t="s">
        <v>1009</v>
      </c>
      <c r="E14015" t="s">
        <v>108</v>
      </c>
      <c r="F14015" t="s">
        <v>948</v>
      </c>
      <c r="G14015">
        <v>6077777</v>
      </c>
      <c r="H14015">
        <v>500220</v>
      </c>
      <c r="I14015" t="s">
        <v>949</v>
      </c>
    </row>
    <row r="14016" spans="1:9" x14ac:dyDescent="0.25">
      <c r="A14016">
        <v>4124</v>
      </c>
      <c r="B14016">
        <v>60</v>
      </c>
      <c r="C14016" t="s">
        <v>946</v>
      </c>
      <c r="D14016" t="s">
        <v>1009</v>
      </c>
      <c r="E14016" t="s">
        <v>108</v>
      </c>
      <c r="F14016" t="s">
        <v>948</v>
      </c>
      <c r="G14016">
        <v>6077777</v>
      </c>
      <c r="H14016">
        <v>500221</v>
      </c>
      <c r="I14016" t="s">
        <v>949</v>
      </c>
    </row>
    <row r="14017" ht="22" customHeight="1" spans="1:10" x14ac:dyDescent="0.25">
      <c r="A14017" s="43">
        <v>3130</v>
      </c>
      <c r="B14017" s="43">
        <v>60</v>
      </c>
      <c r="C14017" s="43" t="s">
        <v>950</v>
      </c>
      <c r="D14017" s="43" t="s">
        <v>1009</v>
      </c>
      <c r="E14017" s="43" t="s">
        <v>310</v>
      </c>
      <c r="F14017" s="43" t="s">
        <v>951</v>
      </c>
      <c r="G14017" s="43">
        <v>6077777</v>
      </c>
      <c r="H14017" s="43">
        <v>501100</v>
      </c>
      <c r="I14017" s="43" t="s">
        <v>949</v>
      </c>
      <c r="J14017" s="44" t="s">
        <v>1000</v>
      </c>
    </row>
    <row r="14018" ht="22" customHeight="1" spans="1:10" x14ac:dyDescent="0.25">
      <c r="A14018" s="43">
        <v>3130</v>
      </c>
      <c r="B14018" s="43">
        <v>60</v>
      </c>
      <c r="C14018" s="43" t="s">
        <v>950</v>
      </c>
      <c r="D14018" s="43" t="s">
        <v>1009</v>
      </c>
      <c r="E14018" s="43" t="s">
        <v>310</v>
      </c>
      <c r="F14018" s="43" t="s">
        <v>952</v>
      </c>
      <c r="G14018" s="43">
        <v>6077777</v>
      </c>
      <c r="H14018" s="43">
        <v>501100</v>
      </c>
      <c r="I14018" s="43" t="s">
        <v>949</v>
      </c>
      <c r="J14018" s="44" t="s">
        <v>1000</v>
      </c>
    </row>
    <row r="14019" ht="22" customHeight="1" spans="1:10" x14ac:dyDescent="0.25">
      <c r="A14019" s="43">
        <v>3130</v>
      </c>
      <c r="B14019" s="43">
        <v>60</v>
      </c>
      <c r="C14019" s="43" t="s">
        <v>950</v>
      </c>
      <c r="D14019" s="43" t="s">
        <v>1009</v>
      </c>
      <c r="E14019" s="43" t="s">
        <v>310</v>
      </c>
      <c r="F14019" s="43" t="s">
        <v>953</v>
      </c>
      <c r="G14019" s="43">
        <v>6077777</v>
      </c>
      <c r="H14019" s="43">
        <v>501100</v>
      </c>
      <c r="I14019" s="43" t="s">
        <v>949</v>
      </c>
      <c r="J14019" s="44" t="s">
        <v>1000</v>
      </c>
    </row>
    <row r="14020" ht="22" customHeight="1" spans="1:10" x14ac:dyDescent="0.25">
      <c r="A14020" s="43">
        <v>3130</v>
      </c>
      <c r="B14020" s="43">
        <v>60</v>
      </c>
      <c r="C14020" s="43" t="s">
        <v>950</v>
      </c>
      <c r="D14020" s="43" t="s">
        <v>1009</v>
      </c>
      <c r="E14020" s="43" t="s">
        <v>310</v>
      </c>
      <c r="F14020" s="43" t="s">
        <v>954</v>
      </c>
      <c r="G14020" s="43">
        <v>6077777</v>
      </c>
      <c r="H14020" s="43">
        <v>501100</v>
      </c>
      <c r="I14020" s="43" t="s">
        <v>949</v>
      </c>
      <c r="J14020" s="44" t="s">
        <v>1000</v>
      </c>
    </row>
    <row r="14021" ht="22" customHeight="1" spans="1:10" x14ac:dyDescent="0.25">
      <c r="A14021" s="43">
        <v>3130</v>
      </c>
      <c r="B14021" s="43">
        <v>60</v>
      </c>
      <c r="C14021" s="43" t="s">
        <v>950</v>
      </c>
      <c r="D14021" s="43" t="s">
        <v>1009</v>
      </c>
      <c r="E14021" s="43" t="s">
        <v>310</v>
      </c>
      <c r="F14021" s="43" t="s">
        <v>955</v>
      </c>
      <c r="G14021" s="43">
        <v>6077777</v>
      </c>
      <c r="H14021" s="43">
        <v>501100</v>
      </c>
      <c r="I14021" s="43" t="s">
        <v>949</v>
      </c>
      <c r="J14021" s="44" t="s">
        <v>1000</v>
      </c>
    </row>
    <row r="14022" ht="22" customHeight="1" spans="1:10" x14ac:dyDescent="0.25">
      <c r="A14022" s="43">
        <v>3130</v>
      </c>
      <c r="B14022" s="43">
        <v>60</v>
      </c>
      <c r="C14022" s="43" t="s">
        <v>950</v>
      </c>
      <c r="D14022" s="43" t="s">
        <v>1009</v>
      </c>
      <c r="E14022" s="43" t="s">
        <v>310</v>
      </c>
      <c r="F14022" s="43" t="s">
        <v>956</v>
      </c>
      <c r="G14022" s="43">
        <v>6077777</v>
      </c>
      <c r="H14022" s="43">
        <v>501100</v>
      </c>
      <c r="I14022" s="43" t="s">
        <v>949</v>
      </c>
      <c r="J14022" s="44" t="s">
        <v>1000</v>
      </c>
    </row>
    <row r="14023" ht="22" customHeight="1" spans="1:10" x14ac:dyDescent="0.25">
      <c r="A14023" s="43">
        <v>3130</v>
      </c>
      <c r="B14023" s="43">
        <v>60</v>
      </c>
      <c r="C14023" s="43" t="s">
        <v>950</v>
      </c>
      <c r="D14023" s="43" t="s">
        <v>1009</v>
      </c>
      <c r="E14023" s="43" t="s">
        <v>310</v>
      </c>
      <c r="F14023" s="43" t="s">
        <v>957</v>
      </c>
      <c r="G14023" s="43">
        <v>6077777</v>
      </c>
      <c r="H14023" s="43">
        <v>501100</v>
      </c>
      <c r="I14023" s="43" t="s">
        <v>949</v>
      </c>
      <c r="J14023" s="44" t="s">
        <v>1000</v>
      </c>
    </row>
    <row r="14024" ht="22" customHeight="1" spans="1:10" x14ac:dyDescent="0.25">
      <c r="A14024" s="43">
        <v>3130</v>
      </c>
      <c r="B14024" s="43">
        <v>60</v>
      </c>
      <c r="C14024" s="43" t="s">
        <v>950</v>
      </c>
      <c r="D14024" s="43" t="s">
        <v>1009</v>
      </c>
      <c r="E14024" s="43" t="s">
        <v>310</v>
      </c>
      <c r="F14024" s="43" t="s">
        <v>958</v>
      </c>
      <c r="G14024" s="43">
        <v>6077777</v>
      </c>
      <c r="H14024" s="43">
        <v>501100</v>
      </c>
      <c r="I14024" s="43" t="s">
        <v>949</v>
      </c>
      <c r="J14024" s="44" t="s">
        <v>1000</v>
      </c>
    </row>
    <row r="14025" ht="22" customHeight="1" spans="1:10" x14ac:dyDescent="0.25">
      <c r="A14025" s="43">
        <v>3130</v>
      </c>
      <c r="B14025" s="43">
        <v>60</v>
      </c>
      <c r="C14025" s="43" t="s">
        <v>950</v>
      </c>
      <c r="D14025" s="43" t="s">
        <v>1009</v>
      </c>
      <c r="E14025" s="43" t="s">
        <v>310</v>
      </c>
      <c r="F14025" s="43" t="s">
        <v>959</v>
      </c>
      <c r="G14025" s="43">
        <v>6077777</v>
      </c>
      <c r="H14025" s="43">
        <v>501100</v>
      </c>
      <c r="I14025" s="43" t="s">
        <v>949</v>
      </c>
      <c r="J14025" s="44" t="s">
        <v>1000</v>
      </c>
    </row>
    <row r="14026" ht="22" customHeight="1" spans="1:10" x14ac:dyDescent="0.25">
      <c r="A14026" s="43">
        <v>3130</v>
      </c>
      <c r="B14026" s="43">
        <v>60</v>
      </c>
      <c r="C14026" s="43" t="s">
        <v>950</v>
      </c>
      <c r="D14026" s="43" t="s">
        <v>1009</v>
      </c>
      <c r="E14026" s="43" t="s">
        <v>310</v>
      </c>
      <c r="F14026" s="43" t="s">
        <v>960</v>
      </c>
      <c r="G14026" s="43">
        <v>6077777</v>
      </c>
      <c r="H14026" s="43">
        <v>501100</v>
      </c>
      <c r="I14026" s="43" t="s">
        <v>949</v>
      </c>
      <c r="J14026" s="44" t="s">
        <v>1000</v>
      </c>
    </row>
    <row r="14027" ht="22" customHeight="1" spans="1:10" x14ac:dyDescent="0.25">
      <c r="A14027" s="43">
        <v>3130</v>
      </c>
      <c r="B14027" s="43">
        <v>60</v>
      </c>
      <c r="C14027" s="43" t="s">
        <v>950</v>
      </c>
      <c r="D14027" s="43" t="s">
        <v>1009</v>
      </c>
      <c r="E14027" s="43" t="s">
        <v>310</v>
      </c>
      <c r="F14027" s="43" t="s">
        <v>961</v>
      </c>
      <c r="G14027" s="43">
        <v>6077777</v>
      </c>
      <c r="H14027" s="43">
        <v>501100</v>
      </c>
      <c r="I14027" s="43" t="s">
        <v>949</v>
      </c>
      <c r="J14027" s="44" t="s">
        <v>1000</v>
      </c>
    </row>
    <row r="14028" ht="22" customHeight="1" spans="1:10" x14ac:dyDescent="0.25">
      <c r="A14028" s="43">
        <v>3130</v>
      </c>
      <c r="B14028" s="43">
        <v>60</v>
      </c>
      <c r="C14028" s="43" t="s">
        <v>962</v>
      </c>
      <c r="D14028" s="43" t="s">
        <v>1009</v>
      </c>
      <c r="E14028" s="43" t="s">
        <v>310</v>
      </c>
      <c r="F14028" s="43" t="s">
        <v>951</v>
      </c>
      <c r="G14028" s="43">
        <v>6077777</v>
      </c>
      <c r="H14028" s="43">
        <v>501100</v>
      </c>
      <c r="I14028" s="43" t="s">
        <v>949</v>
      </c>
      <c r="J14028" s="44" t="s">
        <v>1000</v>
      </c>
    </row>
    <row r="14029" ht="22" customHeight="1" spans="1:10" x14ac:dyDescent="0.25">
      <c r="A14029" s="43">
        <v>3130</v>
      </c>
      <c r="B14029" s="43">
        <v>60</v>
      </c>
      <c r="C14029" s="43" t="s">
        <v>962</v>
      </c>
      <c r="D14029" s="43" t="s">
        <v>1009</v>
      </c>
      <c r="E14029" s="43" t="s">
        <v>310</v>
      </c>
      <c r="F14029" s="43" t="s">
        <v>952</v>
      </c>
      <c r="G14029" s="43">
        <v>6077777</v>
      </c>
      <c r="H14029" s="43">
        <v>501100</v>
      </c>
      <c r="I14029" s="43" t="s">
        <v>949</v>
      </c>
      <c r="J14029" s="44" t="s">
        <v>1000</v>
      </c>
    </row>
    <row r="14030" ht="22" customHeight="1" spans="1:10" x14ac:dyDescent="0.25">
      <c r="A14030" s="43">
        <v>3130</v>
      </c>
      <c r="B14030" s="43">
        <v>60</v>
      </c>
      <c r="C14030" s="43" t="s">
        <v>962</v>
      </c>
      <c r="D14030" s="43" t="s">
        <v>1009</v>
      </c>
      <c r="E14030" s="43" t="s">
        <v>310</v>
      </c>
      <c r="F14030" s="43" t="s">
        <v>953</v>
      </c>
      <c r="G14030" s="43">
        <v>6077777</v>
      </c>
      <c r="H14030" s="43">
        <v>501100</v>
      </c>
      <c r="I14030" s="43" t="s">
        <v>949</v>
      </c>
      <c r="J14030" s="44" t="s">
        <v>1000</v>
      </c>
    </row>
    <row r="14031" ht="22" customHeight="1" spans="1:10" x14ac:dyDescent="0.25">
      <c r="A14031" s="43">
        <v>3130</v>
      </c>
      <c r="B14031" s="43">
        <v>60</v>
      </c>
      <c r="C14031" s="43" t="s">
        <v>962</v>
      </c>
      <c r="D14031" s="43" t="s">
        <v>1009</v>
      </c>
      <c r="E14031" s="43" t="s">
        <v>310</v>
      </c>
      <c r="F14031" s="43" t="s">
        <v>954</v>
      </c>
      <c r="G14031" s="43">
        <v>6077777</v>
      </c>
      <c r="H14031" s="43">
        <v>501100</v>
      </c>
      <c r="I14031" s="43" t="s">
        <v>949</v>
      </c>
      <c r="J14031" s="44" t="s">
        <v>1000</v>
      </c>
    </row>
    <row r="14032" ht="22" customHeight="1" spans="1:10" x14ac:dyDescent="0.25">
      <c r="A14032" s="43">
        <v>3130</v>
      </c>
      <c r="B14032" s="43">
        <v>60</v>
      </c>
      <c r="C14032" s="43" t="s">
        <v>962</v>
      </c>
      <c r="D14032" s="43" t="s">
        <v>1009</v>
      </c>
      <c r="E14032" s="43" t="s">
        <v>310</v>
      </c>
      <c r="F14032" s="43" t="s">
        <v>955</v>
      </c>
      <c r="G14032" s="43">
        <v>6077777</v>
      </c>
      <c r="H14032" s="43">
        <v>501100</v>
      </c>
      <c r="I14032" s="43" t="s">
        <v>949</v>
      </c>
      <c r="J14032" s="44" t="s">
        <v>1000</v>
      </c>
    </row>
    <row r="14033" ht="22" customHeight="1" spans="1:10" x14ac:dyDescent="0.25">
      <c r="A14033" s="43">
        <v>3130</v>
      </c>
      <c r="B14033" s="43">
        <v>60</v>
      </c>
      <c r="C14033" s="43" t="s">
        <v>962</v>
      </c>
      <c r="D14033" s="43" t="s">
        <v>1009</v>
      </c>
      <c r="E14033" s="43" t="s">
        <v>310</v>
      </c>
      <c r="F14033" s="43" t="s">
        <v>956</v>
      </c>
      <c r="G14033" s="43">
        <v>6077777</v>
      </c>
      <c r="H14033" s="43">
        <v>501100</v>
      </c>
      <c r="I14033" s="43" t="s">
        <v>949</v>
      </c>
      <c r="J14033" s="44" t="s">
        <v>1000</v>
      </c>
    </row>
    <row r="14034" ht="22" customHeight="1" spans="1:10" x14ac:dyDescent="0.25">
      <c r="A14034" s="43">
        <v>3130</v>
      </c>
      <c r="B14034" s="43">
        <v>60</v>
      </c>
      <c r="C14034" s="43" t="s">
        <v>962</v>
      </c>
      <c r="D14034" s="43" t="s">
        <v>1009</v>
      </c>
      <c r="E14034" s="43" t="s">
        <v>310</v>
      </c>
      <c r="F14034" s="43" t="s">
        <v>957</v>
      </c>
      <c r="G14034" s="43">
        <v>6077777</v>
      </c>
      <c r="H14034" s="43">
        <v>501100</v>
      </c>
      <c r="I14034" s="43" t="s">
        <v>949</v>
      </c>
      <c r="J14034" s="44" t="s">
        <v>1000</v>
      </c>
    </row>
    <row r="14035" ht="22" customHeight="1" spans="1:10" x14ac:dyDescent="0.25">
      <c r="A14035" s="43">
        <v>3130</v>
      </c>
      <c r="B14035" s="43">
        <v>60</v>
      </c>
      <c r="C14035" s="43" t="s">
        <v>962</v>
      </c>
      <c r="D14035" s="43" t="s">
        <v>1009</v>
      </c>
      <c r="E14035" s="43" t="s">
        <v>310</v>
      </c>
      <c r="F14035" s="43" t="s">
        <v>958</v>
      </c>
      <c r="G14035" s="43">
        <v>6077777</v>
      </c>
      <c r="H14035" s="43">
        <v>501100</v>
      </c>
      <c r="I14035" s="43" t="s">
        <v>949</v>
      </c>
      <c r="J14035" s="44" t="s">
        <v>1000</v>
      </c>
    </row>
    <row r="14036" ht="22" customHeight="1" spans="1:10" x14ac:dyDescent="0.25">
      <c r="A14036" s="43">
        <v>3130</v>
      </c>
      <c r="B14036" s="43">
        <v>60</v>
      </c>
      <c r="C14036" s="43" t="s">
        <v>962</v>
      </c>
      <c r="D14036" s="43" t="s">
        <v>1009</v>
      </c>
      <c r="E14036" s="43" t="s">
        <v>310</v>
      </c>
      <c r="F14036" s="43" t="s">
        <v>959</v>
      </c>
      <c r="G14036" s="43">
        <v>6077777</v>
      </c>
      <c r="H14036" s="43">
        <v>501100</v>
      </c>
      <c r="I14036" s="43" t="s">
        <v>949</v>
      </c>
      <c r="J14036" s="44" t="s">
        <v>1000</v>
      </c>
    </row>
    <row r="14037" ht="22" customHeight="1" spans="1:10" x14ac:dyDescent="0.25">
      <c r="A14037" s="43">
        <v>3130</v>
      </c>
      <c r="B14037" s="43">
        <v>60</v>
      </c>
      <c r="C14037" s="43" t="s">
        <v>962</v>
      </c>
      <c r="D14037" s="43" t="s">
        <v>1009</v>
      </c>
      <c r="E14037" s="43" t="s">
        <v>310</v>
      </c>
      <c r="F14037" s="43" t="s">
        <v>960</v>
      </c>
      <c r="G14037" s="43">
        <v>6077777</v>
      </c>
      <c r="H14037" s="43">
        <v>501100</v>
      </c>
      <c r="I14037" s="43" t="s">
        <v>949</v>
      </c>
      <c r="J14037" s="44" t="s">
        <v>1000</v>
      </c>
    </row>
    <row r="14038" ht="22" customHeight="1" spans="1:10" x14ac:dyDescent="0.25">
      <c r="A14038" s="43">
        <v>3130</v>
      </c>
      <c r="B14038" s="43">
        <v>60</v>
      </c>
      <c r="C14038" s="43" t="s">
        <v>962</v>
      </c>
      <c r="D14038" s="43" t="s">
        <v>1009</v>
      </c>
      <c r="E14038" s="43" t="s">
        <v>310</v>
      </c>
      <c r="F14038" s="43" t="s">
        <v>961</v>
      </c>
      <c r="G14038" s="43">
        <v>6077777</v>
      </c>
      <c r="H14038" s="43">
        <v>501100</v>
      </c>
      <c r="I14038" s="43" t="s">
        <v>949</v>
      </c>
      <c r="J14038" s="44" t="s">
        <v>1000</v>
      </c>
    </row>
    <row r="14039" ht="22" customHeight="1" spans="1:10" x14ac:dyDescent="0.25">
      <c r="A14039" s="43">
        <v>3130</v>
      </c>
      <c r="B14039" s="43">
        <v>60</v>
      </c>
      <c r="C14039" s="43" t="s">
        <v>963</v>
      </c>
      <c r="D14039" s="43" t="s">
        <v>1009</v>
      </c>
      <c r="E14039" s="43" t="s">
        <v>310</v>
      </c>
      <c r="F14039" s="43" t="s">
        <v>951</v>
      </c>
      <c r="G14039" s="43">
        <v>6077777</v>
      </c>
      <c r="H14039" s="43">
        <v>501100</v>
      </c>
      <c r="I14039" s="43" t="s">
        <v>949</v>
      </c>
      <c r="J14039" s="44" t="s">
        <v>1000</v>
      </c>
    </row>
    <row r="14040" ht="22" customHeight="1" spans="1:10" x14ac:dyDescent="0.25">
      <c r="A14040" s="43">
        <v>3130</v>
      </c>
      <c r="B14040" s="43">
        <v>60</v>
      </c>
      <c r="C14040" s="43" t="s">
        <v>963</v>
      </c>
      <c r="D14040" s="43" t="s">
        <v>1009</v>
      </c>
      <c r="E14040" s="43" t="s">
        <v>310</v>
      </c>
      <c r="F14040" s="43" t="s">
        <v>952</v>
      </c>
      <c r="G14040" s="43">
        <v>6077777</v>
      </c>
      <c r="H14040" s="43">
        <v>501100</v>
      </c>
      <c r="I14040" s="43" t="s">
        <v>949</v>
      </c>
      <c r="J14040" s="44" t="s">
        <v>1000</v>
      </c>
    </row>
    <row r="14041" ht="22" customHeight="1" spans="1:10" x14ac:dyDescent="0.25">
      <c r="A14041" s="43">
        <v>3130</v>
      </c>
      <c r="B14041" s="43">
        <v>60</v>
      </c>
      <c r="C14041" s="43" t="s">
        <v>963</v>
      </c>
      <c r="D14041" s="43" t="s">
        <v>1009</v>
      </c>
      <c r="E14041" s="43" t="s">
        <v>310</v>
      </c>
      <c r="F14041" s="43" t="s">
        <v>953</v>
      </c>
      <c r="G14041" s="43">
        <v>6077777</v>
      </c>
      <c r="H14041" s="43">
        <v>501100</v>
      </c>
      <c r="I14041" s="43" t="s">
        <v>949</v>
      </c>
      <c r="J14041" s="44" t="s">
        <v>1000</v>
      </c>
    </row>
    <row r="14042" ht="22" customHeight="1" spans="1:10" x14ac:dyDescent="0.25">
      <c r="A14042" s="43">
        <v>3130</v>
      </c>
      <c r="B14042" s="43">
        <v>60</v>
      </c>
      <c r="C14042" s="43" t="s">
        <v>963</v>
      </c>
      <c r="D14042" s="43" t="s">
        <v>1009</v>
      </c>
      <c r="E14042" s="43" t="s">
        <v>310</v>
      </c>
      <c r="F14042" s="43" t="s">
        <v>954</v>
      </c>
      <c r="G14042" s="43">
        <v>6077777</v>
      </c>
      <c r="H14042" s="43">
        <v>501100</v>
      </c>
      <c r="I14042" s="43" t="s">
        <v>949</v>
      </c>
      <c r="J14042" s="44" t="s">
        <v>1000</v>
      </c>
    </row>
    <row r="14043" ht="22" customHeight="1" spans="1:10" x14ac:dyDescent="0.25">
      <c r="A14043" s="43">
        <v>3130</v>
      </c>
      <c r="B14043" s="43">
        <v>60</v>
      </c>
      <c r="C14043" s="43" t="s">
        <v>963</v>
      </c>
      <c r="D14043" s="43" t="s">
        <v>1009</v>
      </c>
      <c r="E14043" s="43" t="s">
        <v>310</v>
      </c>
      <c r="F14043" s="43" t="s">
        <v>955</v>
      </c>
      <c r="G14043" s="43">
        <v>6077777</v>
      </c>
      <c r="H14043" s="43">
        <v>501100</v>
      </c>
      <c r="I14043" s="43" t="s">
        <v>949</v>
      </c>
      <c r="J14043" s="44" t="s">
        <v>1000</v>
      </c>
    </row>
    <row r="14044" ht="22" customHeight="1" spans="1:10" x14ac:dyDescent="0.25">
      <c r="A14044" s="43">
        <v>3130</v>
      </c>
      <c r="B14044" s="43">
        <v>60</v>
      </c>
      <c r="C14044" s="43" t="s">
        <v>963</v>
      </c>
      <c r="D14044" s="43" t="s">
        <v>1009</v>
      </c>
      <c r="E14044" s="43" t="s">
        <v>310</v>
      </c>
      <c r="F14044" s="43" t="s">
        <v>956</v>
      </c>
      <c r="G14044" s="43">
        <v>6077777</v>
      </c>
      <c r="H14044" s="43">
        <v>501100</v>
      </c>
      <c r="I14044" s="43" t="s">
        <v>949</v>
      </c>
      <c r="J14044" s="44" t="s">
        <v>1000</v>
      </c>
    </row>
    <row r="14045" ht="22" customHeight="1" spans="1:10" x14ac:dyDescent="0.25">
      <c r="A14045" s="43">
        <v>3130</v>
      </c>
      <c r="B14045" s="43">
        <v>60</v>
      </c>
      <c r="C14045" s="43" t="s">
        <v>963</v>
      </c>
      <c r="D14045" s="43" t="s">
        <v>1009</v>
      </c>
      <c r="E14045" s="43" t="s">
        <v>310</v>
      </c>
      <c r="F14045" s="43" t="s">
        <v>957</v>
      </c>
      <c r="G14045" s="43">
        <v>6077777</v>
      </c>
      <c r="H14045" s="43">
        <v>501100</v>
      </c>
      <c r="I14045" s="43" t="s">
        <v>949</v>
      </c>
      <c r="J14045" s="44" t="s">
        <v>1000</v>
      </c>
    </row>
    <row r="14046" ht="22" customHeight="1" spans="1:10" x14ac:dyDescent="0.25">
      <c r="A14046" s="43">
        <v>3130</v>
      </c>
      <c r="B14046" s="43">
        <v>60</v>
      </c>
      <c r="C14046" s="43" t="s">
        <v>963</v>
      </c>
      <c r="D14046" s="43" t="s">
        <v>1009</v>
      </c>
      <c r="E14046" s="43" t="s">
        <v>310</v>
      </c>
      <c r="F14046" s="43" t="s">
        <v>958</v>
      </c>
      <c r="G14046" s="43">
        <v>6077777</v>
      </c>
      <c r="H14046" s="43">
        <v>501100</v>
      </c>
      <c r="I14046" s="43" t="s">
        <v>949</v>
      </c>
      <c r="J14046" s="44" t="s">
        <v>1000</v>
      </c>
    </row>
    <row r="14047" ht="22" customHeight="1" spans="1:10" x14ac:dyDescent="0.25">
      <c r="A14047" s="43">
        <v>3130</v>
      </c>
      <c r="B14047" s="43">
        <v>60</v>
      </c>
      <c r="C14047" s="43" t="s">
        <v>963</v>
      </c>
      <c r="D14047" s="43" t="s">
        <v>1009</v>
      </c>
      <c r="E14047" s="43" t="s">
        <v>310</v>
      </c>
      <c r="F14047" s="43" t="s">
        <v>959</v>
      </c>
      <c r="G14047" s="43">
        <v>6077777</v>
      </c>
      <c r="H14047" s="43">
        <v>501100</v>
      </c>
      <c r="I14047" s="43" t="s">
        <v>949</v>
      </c>
      <c r="J14047" s="44" t="s">
        <v>1000</v>
      </c>
    </row>
    <row r="14048" ht="22" customHeight="1" spans="1:10" x14ac:dyDescent="0.25">
      <c r="A14048" s="43">
        <v>3130</v>
      </c>
      <c r="B14048" s="43">
        <v>60</v>
      </c>
      <c r="C14048" s="43" t="s">
        <v>963</v>
      </c>
      <c r="D14048" s="43" t="s">
        <v>1009</v>
      </c>
      <c r="E14048" s="43" t="s">
        <v>310</v>
      </c>
      <c r="F14048" s="43" t="s">
        <v>960</v>
      </c>
      <c r="G14048" s="43">
        <v>6077777</v>
      </c>
      <c r="H14048" s="43">
        <v>501100</v>
      </c>
      <c r="I14048" s="43" t="s">
        <v>949</v>
      </c>
      <c r="J14048" s="44" t="s">
        <v>1000</v>
      </c>
    </row>
    <row r="14049" ht="22" customHeight="1" spans="1:10" x14ac:dyDescent="0.25">
      <c r="A14049" s="43">
        <v>3130</v>
      </c>
      <c r="B14049" s="43">
        <v>60</v>
      </c>
      <c r="C14049" s="43" t="s">
        <v>963</v>
      </c>
      <c r="D14049" s="43" t="s">
        <v>1009</v>
      </c>
      <c r="E14049" s="43" t="s">
        <v>310</v>
      </c>
      <c r="F14049" s="43" t="s">
        <v>961</v>
      </c>
      <c r="G14049" s="43">
        <v>6077777</v>
      </c>
      <c r="H14049" s="43">
        <v>501100</v>
      </c>
      <c r="I14049" s="43" t="s">
        <v>949</v>
      </c>
      <c r="J14049" s="44" t="s">
        <v>1000</v>
      </c>
    </row>
    <row r="14050" spans="1:9" x14ac:dyDescent="0.25">
      <c r="A14050">
        <v>4122</v>
      </c>
      <c r="B14050">
        <v>60</v>
      </c>
      <c r="C14050" t="s">
        <v>946</v>
      </c>
      <c r="D14050" t="s">
        <v>1009</v>
      </c>
      <c r="E14050" t="s">
        <v>310</v>
      </c>
      <c r="F14050" t="s">
        <v>948</v>
      </c>
      <c r="G14050">
        <v>6000000</v>
      </c>
      <c r="H14050">
        <v>145000</v>
      </c>
      <c r="I14050" t="s">
        <v>949</v>
      </c>
    </row>
    <row r="14051" spans="1:9" x14ac:dyDescent="0.25">
      <c r="A14051">
        <v>4124</v>
      </c>
      <c r="B14051">
        <v>60</v>
      </c>
      <c r="C14051" t="s">
        <v>946</v>
      </c>
      <c r="D14051" t="s">
        <v>1009</v>
      </c>
      <c r="E14051" t="s">
        <v>310</v>
      </c>
      <c r="F14051" t="s">
        <v>948</v>
      </c>
      <c r="G14051">
        <v>6077777</v>
      </c>
      <c r="H14051">
        <v>501100</v>
      </c>
      <c r="I14051" t="s">
        <v>949</v>
      </c>
    </row>
    <row r="14052" ht="22" customHeight="1" spans="1:10" x14ac:dyDescent="0.25">
      <c r="A14052" s="43">
        <v>3130</v>
      </c>
      <c r="B14052" s="43">
        <v>60</v>
      </c>
      <c r="C14052" s="43" t="s">
        <v>950</v>
      </c>
      <c r="D14052" s="43" t="s">
        <v>1009</v>
      </c>
      <c r="E14052" s="43" t="s">
        <v>314</v>
      </c>
      <c r="F14052" s="43" t="s">
        <v>951</v>
      </c>
      <c r="G14052" s="43">
        <v>6077777</v>
      </c>
      <c r="H14052" s="43">
        <v>501100</v>
      </c>
      <c r="I14052" s="43" t="s">
        <v>949</v>
      </c>
      <c r="J14052" s="44" t="s">
        <v>1000</v>
      </c>
    </row>
    <row r="14053" ht="22" customHeight="1" spans="1:10" x14ac:dyDescent="0.25">
      <c r="A14053" s="43">
        <v>3130</v>
      </c>
      <c r="B14053" s="43">
        <v>60</v>
      </c>
      <c r="C14053" s="43" t="s">
        <v>950</v>
      </c>
      <c r="D14053" s="43" t="s">
        <v>1009</v>
      </c>
      <c r="E14053" s="43" t="s">
        <v>314</v>
      </c>
      <c r="F14053" s="43" t="s">
        <v>952</v>
      </c>
      <c r="G14053" s="43">
        <v>6077777</v>
      </c>
      <c r="H14053" s="43">
        <v>501100</v>
      </c>
      <c r="I14053" s="43" t="s">
        <v>949</v>
      </c>
      <c r="J14053" s="44" t="s">
        <v>1000</v>
      </c>
    </row>
    <row r="14054" ht="22" customHeight="1" spans="1:10" x14ac:dyDescent="0.25">
      <c r="A14054" s="43">
        <v>3130</v>
      </c>
      <c r="B14054" s="43">
        <v>60</v>
      </c>
      <c r="C14054" s="43" t="s">
        <v>950</v>
      </c>
      <c r="D14054" s="43" t="s">
        <v>1009</v>
      </c>
      <c r="E14054" s="43" t="s">
        <v>314</v>
      </c>
      <c r="F14054" s="43" t="s">
        <v>953</v>
      </c>
      <c r="G14054" s="43">
        <v>6077777</v>
      </c>
      <c r="H14054" s="43">
        <v>501100</v>
      </c>
      <c r="I14054" s="43" t="s">
        <v>949</v>
      </c>
      <c r="J14054" s="44" t="s">
        <v>1000</v>
      </c>
    </row>
    <row r="14055" ht="22" customHeight="1" spans="1:10" x14ac:dyDescent="0.25">
      <c r="A14055" s="43">
        <v>3130</v>
      </c>
      <c r="B14055" s="43">
        <v>60</v>
      </c>
      <c r="C14055" s="43" t="s">
        <v>950</v>
      </c>
      <c r="D14055" s="43" t="s">
        <v>1009</v>
      </c>
      <c r="E14055" s="43" t="s">
        <v>314</v>
      </c>
      <c r="F14055" s="43" t="s">
        <v>954</v>
      </c>
      <c r="G14055" s="43">
        <v>6077777</v>
      </c>
      <c r="H14055" s="43">
        <v>501100</v>
      </c>
      <c r="I14055" s="43" t="s">
        <v>949</v>
      </c>
      <c r="J14055" s="44" t="s">
        <v>1000</v>
      </c>
    </row>
    <row r="14056" ht="22" customHeight="1" spans="1:10" x14ac:dyDescent="0.25">
      <c r="A14056" s="43">
        <v>3130</v>
      </c>
      <c r="B14056" s="43">
        <v>60</v>
      </c>
      <c r="C14056" s="43" t="s">
        <v>950</v>
      </c>
      <c r="D14056" s="43" t="s">
        <v>1009</v>
      </c>
      <c r="E14056" s="43" t="s">
        <v>314</v>
      </c>
      <c r="F14056" s="43" t="s">
        <v>955</v>
      </c>
      <c r="G14056" s="43">
        <v>6077777</v>
      </c>
      <c r="H14056" s="43">
        <v>501100</v>
      </c>
      <c r="I14056" s="43" t="s">
        <v>949</v>
      </c>
      <c r="J14056" s="44" t="s">
        <v>1000</v>
      </c>
    </row>
    <row r="14057" ht="22" customHeight="1" spans="1:10" x14ac:dyDescent="0.25">
      <c r="A14057" s="43">
        <v>3130</v>
      </c>
      <c r="B14057" s="43">
        <v>60</v>
      </c>
      <c r="C14057" s="43" t="s">
        <v>950</v>
      </c>
      <c r="D14057" s="43" t="s">
        <v>1009</v>
      </c>
      <c r="E14057" s="43" t="s">
        <v>314</v>
      </c>
      <c r="F14057" s="43" t="s">
        <v>956</v>
      </c>
      <c r="G14057" s="43">
        <v>6077777</v>
      </c>
      <c r="H14057" s="43">
        <v>501100</v>
      </c>
      <c r="I14057" s="43" t="s">
        <v>949</v>
      </c>
      <c r="J14057" s="44" t="s">
        <v>1000</v>
      </c>
    </row>
    <row r="14058" ht="22" customHeight="1" spans="1:10" x14ac:dyDescent="0.25">
      <c r="A14058" s="43">
        <v>3130</v>
      </c>
      <c r="B14058" s="43">
        <v>60</v>
      </c>
      <c r="C14058" s="43" t="s">
        <v>950</v>
      </c>
      <c r="D14058" s="43" t="s">
        <v>1009</v>
      </c>
      <c r="E14058" s="43" t="s">
        <v>314</v>
      </c>
      <c r="F14058" s="43" t="s">
        <v>957</v>
      </c>
      <c r="G14058" s="43">
        <v>6077777</v>
      </c>
      <c r="H14058" s="43">
        <v>501100</v>
      </c>
      <c r="I14058" s="43" t="s">
        <v>949</v>
      </c>
      <c r="J14058" s="44" t="s">
        <v>1000</v>
      </c>
    </row>
    <row r="14059" ht="22" customHeight="1" spans="1:10" x14ac:dyDescent="0.25">
      <c r="A14059" s="43">
        <v>3130</v>
      </c>
      <c r="B14059" s="43">
        <v>60</v>
      </c>
      <c r="C14059" s="43" t="s">
        <v>950</v>
      </c>
      <c r="D14059" s="43" t="s">
        <v>1009</v>
      </c>
      <c r="E14059" s="43" t="s">
        <v>314</v>
      </c>
      <c r="F14059" s="43" t="s">
        <v>958</v>
      </c>
      <c r="G14059" s="43">
        <v>6077777</v>
      </c>
      <c r="H14059" s="43">
        <v>501100</v>
      </c>
      <c r="I14059" s="43" t="s">
        <v>949</v>
      </c>
      <c r="J14059" s="44" t="s">
        <v>1000</v>
      </c>
    </row>
    <row r="14060" ht="22" customHeight="1" spans="1:10" x14ac:dyDescent="0.25">
      <c r="A14060" s="43">
        <v>3130</v>
      </c>
      <c r="B14060" s="43">
        <v>60</v>
      </c>
      <c r="C14060" s="43" t="s">
        <v>950</v>
      </c>
      <c r="D14060" s="43" t="s">
        <v>1009</v>
      </c>
      <c r="E14060" s="43" t="s">
        <v>314</v>
      </c>
      <c r="F14060" s="43" t="s">
        <v>959</v>
      </c>
      <c r="G14060" s="43">
        <v>6077777</v>
      </c>
      <c r="H14060" s="43">
        <v>501100</v>
      </c>
      <c r="I14060" s="43" t="s">
        <v>949</v>
      </c>
      <c r="J14060" s="44" t="s">
        <v>1000</v>
      </c>
    </row>
    <row r="14061" ht="22" customHeight="1" spans="1:10" x14ac:dyDescent="0.25">
      <c r="A14061" s="43">
        <v>3130</v>
      </c>
      <c r="B14061" s="43">
        <v>60</v>
      </c>
      <c r="C14061" s="43" t="s">
        <v>950</v>
      </c>
      <c r="D14061" s="43" t="s">
        <v>1009</v>
      </c>
      <c r="E14061" s="43" t="s">
        <v>314</v>
      </c>
      <c r="F14061" s="43" t="s">
        <v>960</v>
      </c>
      <c r="G14061" s="43">
        <v>6077777</v>
      </c>
      <c r="H14061" s="43">
        <v>501100</v>
      </c>
      <c r="I14061" s="43" t="s">
        <v>949</v>
      </c>
      <c r="J14061" s="44" t="s">
        <v>1000</v>
      </c>
    </row>
    <row r="14062" ht="22" customHeight="1" spans="1:10" x14ac:dyDescent="0.25">
      <c r="A14062" s="43">
        <v>3130</v>
      </c>
      <c r="B14062" s="43">
        <v>60</v>
      </c>
      <c r="C14062" s="43" t="s">
        <v>950</v>
      </c>
      <c r="D14062" s="43" t="s">
        <v>1009</v>
      </c>
      <c r="E14062" s="43" t="s">
        <v>314</v>
      </c>
      <c r="F14062" s="43" t="s">
        <v>961</v>
      </c>
      <c r="G14062" s="43">
        <v>6077777</v>
      </c>
      <c r="H14062" s="43">
        <v>501100</v>
      </c>
      <c r="I14062" s="43" t="s">
        <v>949</v>
      </c>
      <c r="J14062" s="44" t="s">
        <v>1000</v>
      </c>
    </row>
    <row r="14063" ht="22" customHeight="1" spans="1:10" x14ac:dyDescent="0.25">
      <c r="A14063" s="43">
        <v>3130</v>
      </c>
      <c r="B14063" s="43">
        <v>60</v>
      </c>
      <c r="C14063" s="43" t="s">
        <v>962</v>
      </c>
      <c r="D14063" s="43" t="s">
        <v>1009</v>
      </c>
      <c r="E14063" s="43" t="s">
        <v>314</v>
      </c>
      <c r="F14063" s="43" t="s">
        <v>951</v>
      </c>
      <c r="G14063" s="43">
        <v>6077777</v>
      </c>
      <c r="H14063" s="43">
        <v>501100</v>
      </c>
      <c r="I14063" s="43" t="s">
        <v>949</v>
      </c>
      <c r="J14063" s="44" t="s">
        <v>1000</v>
      </c>
    </row>
    <row r="14064" ht="22" customHeight="1" spans="1:10" x14ac:dyDescent="0.25">
      <c r="A14064" s="43">
        <v>3130</v>
      </c>
      <c r="B14064" s="43">
        <v>60</v>
      </c>
      <c r="C14064" s="43" t="s">
        <v>962</v>
      </c>
      <c r="D14064" s="43" t="s">
        <v>1009</v>
      </c>
      <c r="E14064" s="43" t="s">
        <v>314</v>
      </c>
      <c r="F14064" s="43" t="s">
        <v>952</v>
      </c>
      <c r="G14064" s="43">
        <v>6077777</v>
      </c>
      <c r="H14064" s="43">
        <v>501100</v>
      </c>
      <c r="I14064" s="43" t="s">
        <v>949</v>
      </c>
      <c r="J14064" s="44" t="s">
        <v>1000</v>
      </c>
    </row>
    <row r="14065" ht="22" customHeight="1" spans="1:10" x14ac:dyDescent="0.25">
      <c r="A14065" s="43">
        <v>3130</v>
      </c>
      <c r="B14065" s="43">
        <v>60</v>
      </c>
      <c r="C14065" s="43" t="s">
        <v>962</v>
      </c>
      <c r="D14065" s="43" t="s">
        <v>1009</v>
      </c>
      <c r="E14065" s="43" t="s">
        <v>314</v>
      </c>
      <c r="F14065" s="43" t="s">
        <v>953</v>
      </c>
      <c r="G14065" s="43">
        <v>6077777</v>
      </c>
      <c r="H14065" s="43">
        <v>501100</v>
      </c>
      <c r="I14065" s="43" t="s">
        <v>949</v>
      </c>
      <c r="J14065" s="44" t="s">
        <v>1000</v>
      </c>
    </row>
    <row r="14066" ht="22" customHeight="1" spans="1:10" x14ac:dyDescent="0.25">
      <c r="A14066" s="43">
        <v>3130</v>
      </c>
      <c r="B14066" s="43">
        <v>60</v>
      </c>
      <c r="C14066" s="43" t="s">
        <v>962</v>
      </c>
      <c r="D14066" s="43" t="s">
        <v>1009</v>
      </c>
      <c r="E14066" s="43" t="s">
        <v>314</v>
      </c>
      <c r="F14066" s="43" t="s">
        <v>954</v>
      </c>
      <c r="G14066" s="43">
        <v>6077777</v>
      </c>
      <c r="H14066" s="43">
        <v>501100</v>
      </c>
      <c r="I14066" s="43" t="s">
        <v>949</v>
      </c>
      <c r="J14066" s="44" t="s">
        <v>1000</v>
      </c>
    </row>
    <row r="14067" ht="22" customHeight="1" spans="1:10" x14ac:dyDescent="0.25">
      <c r="A14067" s="43">
        <v>3130</v>
      </c>
      <c r="B14067" s="43">
        <v>60</v>
      </c>
      <c r="C14067" s="43" t="s">
        <v>962</v>
      </c>
      <c r="D14067" s="43" t="s">
        <v>1009</v>
      </c>
      <c r="E14067" s="43" t="s">
        <v>314</v>
      </c>
      <c r="F14067" s="43" t="s">
        <v>955</v>
      </c>
      <c r="G14067" s="43">
        <v>6077777</v>
      </c>
      <c r="H14067" s="43">
        <v>501100</v>
      </c>
      <c r="I14067" s="43" t="s">
        <v>949</v>
      </c>
      <c r="J14067" s="44" t="s">
        <v>1000</v>
      </c>
    </row>
    <row r="14068" ht="22" customHeight="1" spans="1:10" x14ac:dyDescent="0.25">
      <c r="A14068" s="43">
        <v>3130</v>
      </c>
      <c r="B14068" s="43">
        <v>60</v>
      </c>
      <c r="C14068" s="43" t="s">
        <v>962</v>
      </c>
      <c r="D14068" s="43" t="s">
        <v>1009</v>
      </c>
      <c r="E14068" s="43" t="s">
        <v>314</v>
      </c>
      <c r="F14068" s="43" t="s">
        <v>956</v>
      </c>
      <c r="G14068" s="43">
        <v>6077777</v>
      </c>
      <c r="H14068" s="43">
        <v>501100</v>
      </c>
      <c r="I14068" s="43" t="s">
        <v>949</v>
      </c>
      <c r="J14068" s="44" t="s">
        <v>1000</v>
      </c>
    </row>
    <row r="14069" ht="22" customHeight="1" spans="1:10" x14ac:dyDescent="0.25">
      <c r="A14069" s="43">
        <v>3130</v>
      </c>
      <c r="B14069" s="43">
        <v>60</v>
      </c>
      <c r="C14069" s="43" t="s">
        <v>962</v>
      </c>
      <c r="D14069" s="43" t="s">
        <v>1009</v>
      </c>
      <c r="E14069" s="43" t="s">
        <v>314</v>
      </c>
      <c r="F14069" s="43" t="s">
        <v>957</v>
      </c>
      <c r="G14069" s="43">
        <v>6077777</v>
      </c>
      <c r="H14069" s="43">
        <v>501100</v>
      </c>
      <c r="I14069" s="43" t="s">
        <v>949</v>
      </c>
      <c r="J14069" s="44" t="s">
        <v>1000</v>
      </c>
    </row>
    <row r="14070" ht="22" customHeight="1" spans="1:10" x14ac:dyDescent="0.25">
      <c r="A14070" s="43">
        <v>3130</v>
      </c>
      <c r="B14070" s="43">
        <v>60</v>
      </c>
      <c r="C14070" s="43" t="s">
        <v>962</v>
      </c>
      <c r="D14070" s="43" t="s">
        <v>1009</v>
      </c>
      <c r="E14070" s="43" t="s">
        <v>314</v>
      </c>
      <c r="F14070" s="43" t="s">
        <v>958</v>
      </c>
      <c r="G14070" s="43">
        <v>6077777</v>
      </c>
      <c r="H14070" s="43">
        <v>501100</v>
      </c>
      <c r="I14070" s="43" t="s">
        <v>949</v>
      </c>
      <c r="J14070" s="44" t="s">
        <v>1000</v>
      </c>
    </row>
    <row r="14071" ht="22" customHeight="1" spans="1:10" x14ac:dyDescent="0.25">
      <c r="A14071" s="43">
        <v>3130</v>
      </c>
      <c r="B14071" s="43">
        <v>60</v>
      </c>
      <c r="C14071" s="43" t="s">
        <v>962</v>
      </c>
      <c r="D14071" s="43" t="s">
        <v>1009</v>
      </c>
      <c r="E14071" s="43" t="s">
        <v>314</v>
      </c>
      <c r="F14071" s="43" t="s">
        <v>959</v>
      </c>
      <c r="G14071" s="43">
        <v>6077777</v>
      </c>
      <c r="H14071" s="43">
        <v>501100</v>
      </c>
      <c r="I14071" s="43" t="s">
        <v>949</v>
      </c>
      <c r="J14071" s="44" t="s">
        <v>1000</v>
      </c>
    </row>
    <row r="14072" ht="22" customHeight="1" spans="1:10" x14ac:dyDescent="0.25">
      <c r="A14072" s="43">
        <v>3130</v>
      </c>
      <c r="B14072" s="43">
        <v>60</v>
      </c>
      <c r="C14072" s="43" t="s">
        <v>962</v>
      </c>
      <c r="D14072" s="43" t="s">
        <v>1009</v>
      </c>
      <c r="E14072" s="43" t="s">
        <v>314</v>
      </c>
      <c r="F14072" s="43" t="s">
        <v>960</v>
      </c>
      <c r="G14072" s="43">
        <v>6077777</v>
      </c>
      <c r="H14072" s="43">
        <v>501100</v>
      </c>
      <c r="I14072" s="43" t="s">
        <v>949</v>
      </c>
      <c r="J14072" s="44" t="s">
        <v>1000</v>
      </c>
    </row>
    <row r="14073" ht="22" customHeight="1" spans="1:10" x14ac:dyDescent="0.25">
      <c r="A14073" s="43">
        <v>3130</v>
      </c>
      <c r="B14073" s="43">
        <v>60</v>
      </c>
      <c r="C14073" s="43" t="s">
        <v>962</v>
      </c>
      <c r="D14073" s="43" t="s">
        <v>1009</v>
      </c>
      <c r="E14073" s="43" t="s">
        <v>314</v>
      </c>
      <c r="F14073" s="43" t="s">
        <v>961</v>
      </c>
      <c r="G14073" s="43">
        <v>6077777</v>
      </c>
      <c r="H14073" s="43">
        <v>501100</v>
      </c>
      <c r="I14073" s="43" t="s">
        <v>949</v>
      </c>
      <c r="J14073" s="44" t="s">
        <v>1000</v>
      </c>
    </row>
    <row r="14074" ht="22" customHeight="1" spans="1:10" x14ac:dyDescent="0.25">
      <c r="A14074" s="43">
        <v>3130</v>
      </c>
      <c r="B14074" s="43">
        <v>60</v>
      </c>
      <c r="C14074" s="43" t="s">
        <v>963</v>
      </c>
      <c r="D14074" s="43" t="s">
        <v>1009</v>
      </c>
      <c r="E14074" s="43" t="s">
        <v>314</v>
      </c>
      <c r="F14074" s="43" t="s">
        <v>951</v>
      </c>
      <c r="G14074" s="43">
        <v>6077777</v>
      </c>
      <c r="H14074" s="43">
        <v>501100</v>
      </c>
      <c r="I14074" s="43" t="s">
        <v>949</v>
      </c>
      <c r="J14074" s="44" t="s">
        <v>1000</v>
      </c>
    </row>
    <row r="14075" ht="22" customHeight="1" spans="1:10" x14ac:dyDescent="0.25">
      <c r="A14075" s="43">
        <v>3130</v>
      </c>
      <c r="B14075" s="43">
        <v>60</v>
      </c>
      <c r="C14075" s="43" t="s">
        <v>963</v>
      </c>
      <c r="D14075" s="43" t="s">
        <v>1009</v>
      </c>
      <c r="E14075" s="43" t="s">
        <v>314</v>
      </c>
      <c r="F14075" s="43" t="s">
        <v>952</v>
      </c>
      <c r="G14075" s="43">
        <v>6077777</v>
      </c>
      <c r="H14075" s="43">
        <v>501100</v>
      </c>
      <c r="I14075" s="43" t="s">
        <v>949</v>
      </c>
      <c r="J14075" s="44" t="s">
        <v>1000</v>
      </c>
    </row>
    <row r="14076" ht="22" customHeight="1" spans="1:10" x14ac:dyDescent="0.25">
      <c r="A14076" s="43">
        <v>3130</v>
      </c>
      <c r="B14076" s="43">
        <v>60</v>
      </c>
      <c r="C14076" s="43" t="s">
        <v>963</v>
      </c>
      <c r="D14076" s="43" t="s">
        <v>1009</v>
      </c>
      <c r="E14076" s="43" t="s">
        <v>314</v>
      </c>
      <c r="F14076" s="43" t="s">
        <v>953</v>
      </c>
      <c r="G14076" s="43">
        <v>6077777</v>
      </c>
      <c r="H14076" s="43">
        <v>501100</v>
      </c>
      <c r="I14076" s="43" t="s">
        <v>949</v>
      </c>
      <c r="J14076" s="44" t="s">
        <v>1000</v>
      </c>
    </row>
    <row r="14077" ht="22" customHeight="1" spans="1:10" x14ac:dyDescent="0.25">
      <c r="A14077" s="43">
        <v>3130</v>
      </c>
      <c r="B14077" s="43">
        <v>60</v>
      </c>
      <c r="C14077" s="43" t="s">
        <v>963</v>
      </c>
      <c r="D14077" s="43" t="s">
        <v>1009</v>
      </c>
      <c r="E14077" s="43" t="s">
        <v>314</v>
      </c>
      <c r="F14077" s="43" t="s">
        <v>954</v>
      </c>
      <c r="G14077" s="43">
        <v>6077777</v>
      </c>
      <c r="H14077" s="43">
        <v>501100</v>
      </c>
      <c r="I14077" s="43" t="s">
        <v>949</v>
      </c>
      <c r="J14077" s="44" t="s">
        <v>1000</v>
      </c>
    </row>
    <row r="14078" ht="22" customHeight="1" spans="1:10" x14ac:dyDescent="0.25">
      <c r="A14078" s="43">
        <v>3130</v>
      </c>
      <c r="B14078" s="43">
        <v>60</v>
      </c>
      <c r="C14078" s="43" t="s">
        <v>963</v>
      </c>
      <c r="D14078" s="43" t="s">
        <v>1009</v>
      </c>
      <c r="E14078" s="43" t="s">
        <v>314</v>
      </c>
      <c r="F14078" s="43" t="s">
        <v>955</v>
      </c>
      <c r="G14078" s="43">
        <v>6077777</v>
      </c>
      <c r="H14078" s="43">
        <v>501100</v>
      </c>
      <c r="I14078" s="43" t="s">
        <v>949</v>
      </c>
      <c r="J14078" s="44" t="s">
        <v>1000</v>
      </c>
    </row>
    <row r="14079" ht="22" customHeight="1" spans="1:10" x14ac:dyDescent="0.25">
      <c r="A14079" s="43">
        <v>3130</v>
      </c>
      <c r="B14079" s="43">
        <v>60</v>
      </c>
      <c r="C14079" s="43" t="s">
        <v>963</v>
      </c>
      <c r="D14079" s="43" t="s">
        <v>1009</v>
      </c>
      <c r="E14079" s="43" t="s">
        <v>314</v>
      </c>
      <c r="F14079" s="43" t="s">
        <v>956</v>
      </c>
      <c r="G14079" s="43">
        <v>6077777</v>
      </c>
      <c r="H14079" s="43">
        <v>501100</v>
      </c>
      <c r="I14079" s="43" t="s">
        <v>949</v>
      </c>
      <c r="J14079" s="44" t="s">
        <v>1000</v>
      </c>
    </row>
    <row r="14080" ht="22" customHeight="1" spans="1:10" x14ac:dyDescent="0.25">
      <c r="A14080" s="43">
        <v>3130</v>
      </c>
      <c r="B14080" s="43">
        <v>60</v>
      </c>
      <c r="C14080" s="43" t="s">
        <v>963</v>
      </c>
      <c r="D14080" s="43" t="s">
        <v>1009</v>
      </c>
      <c r="E14080" s="43" t="s">
        <v>314</v>
      </c>
      <c r="F14080" s="43" t="s">
        <v>957</v>
      </c>
      <c r="G14080" s="43">
        <v>6077777</v>
      </c>
      <c r="H14080" s="43">
        <v>501100</v>
      </c>
      <c r="I14080" s="43" t="s">
        <v>949</v>
      </c>
      <c r="J14080" s="44" t="s">
        <v>1000</v>
      </c>
    </row>
    <row r="14081" ht="22" customHeight="1" spans="1:10" x14ac:dyDescent="0.25">
      <c r="A14081" s="43">
        <v>3130</v>
      </c>
      <c r="B14081" s="43">
        <v>60</v>
      </c>
      <c r="C14081" s="43" t="s">
        <v>963</v>
      </c>
      <c r="D14081" s="43" t="s">
        <v>1009</v>
      </c>
      <c r="E14081" s="43" t="s">
        <v>314</v>
      </c>
      <c r="F14081" s="43" t="s">
        <v>958</v>
      </c>
      <c r="G14081" s="43">
        <v>6077777</v>
      </c>
      <c r="H14081" s="43">
        <v>501100</v>
      </c>
      <c r="I14081" s="43" t="s">
        <v>949</v>
      </c>
      <c r="J14081" s="44" t="s">
        <v>1000</v>
      </c>
    </row>
    <row r="14082" ht="22" customHeight="1" spans="1:10" x14ac:dyDescent="0.25">
      <c r="A14082" s="43">
        <v>3130</v>
      </c>
      <c r="B14082" s="43">
        <v>60</v>
      </c>
      <c r="C14082" s="43" t="s">
        <v>963</v>
      </c>
      <c r="D14082" s="43" t="s">
        <v>1009</v>
      </c>
      <c r="E14082" s="43" t="s">
        <v>314</v>
      </c>
      <c r="F14082" s="43" t="s">
        <v>959</v>
      </c>
      <c r="G14082" s="43">
        <v>6077777</v>
      </c>
      <c r="H14082" s="43">
        <v>501100</v>
      </c>
      <c r="I14082" s="43" t="s">
        <v>949</v>
      </c>
      <c r="J14082" s="44" t="s">
        <v>1000</v>
      </c>
    </row>
    <row r="14083" ht="22" customHeight="1" spans="1:10" x14ac:dyDescent="0.25">
      <c r="A14083" s="43">
        <v>3130</v>
      </c>
      <c r="B14083" s="43">
        <v>60</v>
      </c>
      <c r="C14083" s="43" t="s">
        <v>963</v>
      </c>
      <c r="D14083" s="43" t="s">
        <v>1009</v>
      </c>
      <c r="E14083" s="43" t="s">
        <v>314</v>
      </c>
      <c r="F14083" s="43" t="s">
        <v>960</v>
      </c>
      <c r="G14083" s="43">
        <v>6077777</v>
      </c>
      <c r="H14083" s="43">
        <v>501100</v>
      </c>
      <c r="I14083" s="43" t="s">
        <v>949</v>
      </c>
      <c r="J14083" s="44" t="s">
        <v>1000</v>
      </c>
    </row>
    <row r="14084" ht="22" customHeight="1" spans="1:10" x14ac:dyDescent="0.25">
      <c r="A14084" s="43">
        <v>3130</v>
      </c>
      <c r="B14084" s="43">
        <v>60</v>
      </c>
      <c r="C14084" s="43" t="s">
        <v>963</v>
      </c>
      <c r="D14084" s="43" t="s">
        <v>1009</v>
      </c>
      <c r="E14084" s="43" t="s">
        <v>314</v>
      </c>
      <c r="F14084" s="43" t="s">
        <v>961</v>
      </c>
      <c r="G14084" s="43">
        <v>6077777</v>
      </c>
      <c r="H14084" s="43">
        <v>501100</v>
      </c>
      <c r="I14084" s="43" t="s">
        <v>949</v>
      </c>
      <c r="J14084" s="44" t="s">
        <v>1000</v>
      </c>
    </row>
    <row r="14085" spans="1:9" x14ac:dyDescent="0.25">
      <c r="A14085">
        <v>4122</v>
      </c>
      <c r="B14085">
        <v>60</v>
      </c>
      <c r="C14085" t="s">
        <v>946</v>
      </c>
      <c r="D14085" t="s">
        <v>1009</v>
      </c>
      <c r="E14085" t="s">
        <v>314</v>
      </c>
      <c r="F14085" t="s">
        <v>948</v>
      </c>
      <c r="G14085">
        <v>6000000</v>
      </c>
      <c r="H14085">
        <v>145000</v>
      </c>
      <c r="I14085" t="s">
        <v>949</v>
      </c>
    </row>
    <row r="14086" spans="1:9" x14ac:dyDescent="0.25">
      <c r="A14086">
        <v>4124</v>
      </c>
      <c r="B14086">
        <v>60</v>
      </c>
      <c r="C14086" t="s">
        <v>946</v>
      </c>
      <c r="D14086" t="s">
        <v>1009</v>
      </c>
      <c r="E14086" t="s">
        <v>314</v>
      </c>
      <c r="F14086" t="s">
        <v>948</v>
      </c>
      <c r="G14086">
        <v>6077777</v>
      </c>
      <c r="H14086">
        <v>501100</v>
      </c>
      <c r="I14086" t="s">
        <v>949</v>
      </c>
    </row>
    <row r="14087" spans="1:9" x14ac:dyDescent="0.25">
      <c r="A14087">
        <v>3130</v>
      </c>
      <c r="B14087">
        <v>60</v>
      </c>
      <c r="C14087" t="s">
        <v>950</v>
      </c>
      <c r="D14087" t="s">
        <v>1009</v>
      </c>
      <c r="E14087" t="s">
        <v>121</v>
      </c>
      <c r="F14087" t="s">
        <v>951</v>
      </c>
      <c r="G14087">
        <v>6077777</v>
      </c>
      <c r="H14087">
        <v>500220</v>
      </c>
      <c r="I14087" t="s">
        <v>949</v>
      </c>
    </row>
    <row r="14088" spans="1:9" x14ac:dyDescent="0.25">
      <c r="A14088">
        <v>3130</v>
      </c>
      <c r="B14088">
        <v>60</v>
      </c>
      <c r="C14088" t="s">
        <v>962</v>
      </c>
      <c r="D14088" t="s">
        <v>1009</v>
      </c>
      <c r="E14088" t="s">
        <v>121</v>
      </c>
      <c r="F14088" t="s">
        <v>951</v>
      </c>
      <c r="G14088">
        <v>6077777</v>
      </c>
      <c r="H14088">
        <v>500220</v>
      </c>
      <c r="I14088" t="s">
        <v>949</v>
      </c>
    </row>
    <row r="14089" spans="1:9" x14ac:dyDescent="0.25">
      <c r="A14089">
        <v>3130</v>
      </c>
      <c r="B14089">
        <v>60</v>
      </c>
      <c r="C14089" t="s">
        <v>963</v>
      </c>
      <c r="D14089" t="s">
        <v>1009</v>
      </c>
      <c r="E14089" t="s">
        <v>121</v>
      </c>
      <c r="F14089" t="s">
        <v>951</v>
      </c>
      <c r="G14089">
        <v>6077777</v>
      </c>
      <c r="H14089">
        <v>500220</v>
      </c>
      <c r="I14089" t="s">
        <v>949</v>
      </c>
    </row>
    <row r="14090" spans="1:9" x14ac:dyDescent="0.25">
      <c r="A14090">
        <v>4122</v>
      </c>
      <c r="B14090">
        <v>60</v>
      </c>
      <c r="C14090" t="s">
        <v>946</v>
      </c>
      <c r="D14090" t="s">
        <v>1009</v>
      </c>
      <c r="E14090" t="s">
        <v>121</v>
      </c>
      <c r="F14090" t="s">
        <v>948</v>
      </c>
      <c r="G14090">
        <v>6077777</v>
      </c>
      <c r="H14090">
        <v>500220</v>
      </c>
      <c r="I14090" t="s">
        <v>949</v>
      </c>
    </row>
    <row r="14091" spans="1:9" x14ac:dyDescent="0.25">
      <c r="A14091">
        <v>4124</v>
      </c>
      <c r="B14091">
        <v>60</v>
      </c>
      <c r="C14091" t="s">
        <v>946</v>
      </c>
      <c r="D14091" t="s">
        <v>1009</v>
      </c>
      <c r="E14091" t="s">
        <v>121</v>
      </c>
      <c r="F14091" t="s">
        <v>948</v>
      </c>
      <c r="G14091">
        <v>6077777</v>
      </c>
      <c r="H14091">
        <v>50220</v>
      </c>
      <c r="I14091" t="s">
        <v>949</v>
      </c>
    </row>
    <row r="14092" ht="22" customHeight="1" spans="1:10" x14ac:dyDescent="0.25">
      <c r="A14092" s="43">
        <v>3130</v>
      </c>
      <c r="B14092" s="43">
        <v>60</v>
      </c>
      <c r="C14092" s="43" t="s">
        <v>950</v>
      </c>
      <c r="D14092" s="43" t="s">
        <v>1009</v>
      </c>
      <c r="E14092" s="43" t="s">
        <v>984</v>
      </c>
      <c r="F14092" s="43" t="s">
        <v>951</v>
      </c>
      <c r="G14092" s="43">
        <v>6077777</v>
      </c>
      <c r="H14092" s="43">
        <v>501100</v>
      </c>
      <c r="I14092" s="43" t="s">
        <v>949</v>
      </c>
      <c r="J14092" s="44" t="s">
        <v>1000</v>
      </c>
    </row>
    <row r="14093" ht="22" customHeight="1" spans="1:10" x14ac:dyDescent="0.25">
      <c r="A14093" s="43">
        <v>3130</v>
      </c>
      <c r="B14093" s="43">
        <v>60</v>
      </c>
      <c r="C14093" s="43" t="s">
        <v>950</v>
      </c>
      <c r="D14093" s="43" t="s">
        <v>1009</v>
      </c>
      <c r="E14093" s="43" t="s">
        <v>984</v>
      </c>
      <c r="F14093" s="43" t="s">
        <v>952</v>
      </c>
      <c r="G14093" s="43">
        <v>6077777</v>
      </c>
      <c r="H14093" s="43">
        <v>501100</v>
      </c>
      <c r="I14093" s="43" t="s">
        <v>949</v>
      </c>
      <c r="J14093" s="44" t="s">
        <v>1000</v>
      </c>
    </row>
    <row r="14094" ht="22" customHeight="1" spans="1:10" x14ac:dyDescent="0.25">
      <c r="A14094" s="43">
        <v>3130</v>
      </c>
      <c r="B14094" s="43">
        <v>60</v>
      </c>
      <c r="C14094" s="43" t="s">
        <v>950</v>
      </c>
      <c r="D14094" s="43" t="s">
        <v>1009</v>
      </c>
      <c r="E14094" s="43" t="s">
        <v>984</v>
      </c>
      <c r="F14094" s="43" t="s">
        <v>953</v>
      </c>
      <c r="G14094" s="43">
        <v>6077777</v>
      </c>
      <c r="H14094" s="43">
        <v>501100</v>
      </c>
      <c r="I14094" s="43" t="s">
        <v>949</v>
      </c>
      <c r="J14094" s="44" t="s">
        <v>1000</v>
      </c>
    </row>
    <row r="14095" ht="22" customHeight="1" spans="1:10" x14ac:dyDescent="0.25">
      <c r="A14095" s="43">
        <v>3130</v>
      </c>
      <c r="B14095" s="43">
        <v>60</v>
      </c>
      <c r="C14095" s="43" t="s">
        <v>950</v>
      </c>
      <c r="D14095" s="43" t="s">
        <v>1009</v>
      </c>
      <c r="E14095" s="43" t="s">
        <v>984</v>
      </c>
      <c r="F14095" s="43" t="s">
        <v>954</v>
      </c>
      <c r="G14095" s="43">
        <v>6077777</v>
      </c>
      <c r="H14095" s="43">
        <v>501100</v>
      </c>
      <c r="I14095" s="43" t="s">
        <v>949</v>
      </c>
      <c r="J14095" s="44" t="s">
        <v>1000</v>
      </c>
    </row>
    <row r="14096" ht="22" customHeight="1" spans="1:10" x14ac:dyDescent="0.25">
      <c r="A14096" s="43">
        <v>3130</v>
      </c>
      <c r="B14096" s="43">
        <v>60</v>
      </c>
      <c r="C14096" s="43" t="s">
        <v>950</v>
      </c>
      <c r="D14096" s="43" t="s">
        <v>1009</v>
      </c>
      <c r="E14096" s="43" t="s">
        <v>984</v>
      </c>
      <c r="F14096" s="43" t="s">
        <v>955</v>
      </c>
      <c r="G14096" s="43">
        <v>6077777</v>
      </c>
      <c r="H14096" s="43">
        <v>501100</v>
      </c>
      <c r="I14096" s="43" t="s">
        <v>949</v>
      </c>
      <c r="J14096" s="44" t="s">
        <v>1000</v>
      </c>
    </row>
    <row r="14097" ht="22" customHeight="1" spans="1:10" x14ac:dyDescent="0.25">
      <c r="A14097" s="43">
        <v>3130</v>
      </c>
      <c r="B14097" s="43">
        <v>60</v>
      </c>
      <c r="C14097" s="43" t="s">
        <v>950</v>
      </c>
      <c r="D14097" s="43" t="s">
        <v>1009</v>
      </c>
      <c r="E14097" s="43" t="s">
        <v>984</v>
      </c>
      <c r="F14097" s="43" t="s">
        <v>956</v>
      </c>
      <c r="G14097" s="43">
        <v>6077777</v>
      </c>
      <c r="H14097" s="43">
        <v>501100</v>
      </c>
      <c r="I14097" s="43" t="s">
        <v>949</v>
      </c>
      <c r="J14097" s="44" t="s">
        <v>1000</v>
      </c>
    </row>
    <row r="14098" ht="22" customHeight="1" spans="1:10" x14ac:dyDescent="0.25">
      <c r="A14098" s="43">
        <v>3130</v>
      </c>
      <c r="B14098" s="43">
        <v>60</v>
      </c>
      <c r="C14098" s="43" t="s">
        <v>950</v>
      </c>
      <c r="D14098" s="43" t="s">
        <v>1009</v>
      </c>
      <c r="E14098" s="43" t="s">
        <v>984</v>
      </c>
      <c r="F14098" s="43" t="s">
        <v>957</v>
      </c>
      <c r="G14098" s="43">
        <v>6077777</v>
      </c>
      <c r="H14098" s="43">
        <v>501100</v>
      </c>
      <c r="I14098" s="43" t="s">
        <v>949</v>
      </c>
      <c r="J14098" s="44" t="s">
        <v>1000</v>
      </c>
    </row>
    <row r="14099" ht="22" customHeight="1" spans="1:10" x14ac:dyDescent="0.25">
      <c r="A14099" s="43">
        <v>3130</v>
      </c>
      <c r="B14099" s="43">
        <v>60</v>
      </c>
      <c r="C14099" s="43" t="s">
        <v>950</v>
      </c>
      <c r="D14099" s="43" t="s">
        <v>1009</v>
      </c>
      <c r="E14099" s="43" t="s">
        <v>984</v>
      </c>
      <c r="F14099" s="43" t="s">
        <v>958</v>
      </c>
      <c r="G14099" s="43">
        <v>6077777</v>
      </c>
      <c r="H14099" s="43">
        <v>501100</v>
      </c>
      <c r="I14099" s="43" t="s">
        <v>949</v>
      </c>
      <c r="J14099" s="44" t="s">
        <v>1000</v>
      </c>
    </row>
    <row r="14100" ht="22" customHeight="1" spans="1:10" x14ac:dyDescent="0.25">
      <c r="A14100" s="43">
        <v>3130</v>
      </c>
      <c r="B14100" s="43">
        <v>60</v>
      </c>
      <c r="C14100" s="43" t="s">
        <v>950</v>
      </c>
      <c r="D14100" s="43" t="s">
        <v>1009</v>
      </c>
      <c r="E14100" s="43" t="s">
        <v>984</v>
      </c>
      <c r="F14100" s="43" t="s">
        <v>959</v>
      </c>
      <c r="G14100" s="43">
        <v>6077777</v>
      </c>
      <c r="H14100" s="43">
        <v>501100</v>
      </c>
      <c r="I14100" s="43" t="s">
        <v>949</v>
      </c>
      <c r="J14100" s="44" t="s">
        <v>1000</v>
      </c>
    </row>
    <row r="14101" ht="22" customHeight="1" spans="1:10" x14ac:dyDescent="0.25">
      <c r="A14101" s="43">
        <v>3130</v>
      </c>
      <c r="B14101" s="43">
        <v>60</v>
      </c>
      <c r="C14101" s="43" t="s">
        <v>950</v>
      </c>
      <c r="D14101" s="43" t="s">
        <v>1009</v>
      </c>
      <c r="E14101" s="43" t="s">
        <v>984</v>
      </c>
      <c r="F14101" s="43" t="s">
        <v>960</v>
      </c>
      <c r="G14101" s="43">
        <v>6077777</v>
      </c>
      <c r="H14101" s="43">
        <v>501100</v>
      </c>
      <c r="I14101" s="43" t="s">
        <v>949</v>
      </c>
      <c r="J14101" s="44" t="s">
        <v>1000</v>
      </c>
    </row>
    <row r="14102" ht="22" customHeight="1" spans="1:10" x14ac:dyDescent="0.25">
      <c r="A14102" s="43">
        <v>3130</v>
      </c>
      <c r="B14102" s="43">
        <v>60</v>
      </c>
      <c r="C14102" s="43" t="s">
        <v>950</v>
      </c>
      <c r="D14102" s="43" t="s">
        <v>1009</v>
      </c>
      <c r="E14102" s="43" t="s">
        <v>984</v>
      </c>
      <c r="F14102" s="43" t="s">
        <v>961</v>
      </c>
      <c r="G14102" s="43">
        <v>6077777</v>
      </c>
      <c r="H14102" s="43">
        <v>501100</v>
      </c>
      <c r="I14102" s="43" t="s">
        <v>949</v>
      </c>
      <c r="J14102" s="44" t="s">
        <v>1000</v>
      </c>
    </row>
    <row r="14103" ht="22" customHeight="1" spans="1:10" x14ac:dyDescent="0.25">
      <c r="A14103" s="43">
        <v>3130</v>
      </c>
      <c r="B14103" s="43">
        <v>60</v>
      </c>
      <c r="C14103" s="43" t="s">
        <v>962</v>
      </c>
      <c r="D14103" s="43" t="s">
        <v>1009</v>
      </c>
      <c r="E14103" s="43" t="s">
        <v>984</v>
      </c>
      <c r="F14103" s="43" t="s">
        <v>951</v>
      </c>
      <c r="G14103" s="43">
        <v>6077777</v>
      </c>
      <c r="H14103" s="43">
        <v>501100</v>
      </c>
      <c r="I14103" s="43" t="s">
        <v>949</v>
      </c>
      <c r="J14103" s="44" t="s">
        <v>1000</v>
      </c>
    </row>
    <row r="14104" ht="22" customHeight="1" spans="1:10" x14ac:dyDescent="0.25">
      <c r="A14104" s="43">
        <v>3130</v>
      </c>
      <c r="B14104" s="43">
        <v>60</v>
      </c>
      <c r="C14104" s="43" t="s">
        <v>962</v>
      </c>
      <c r="D14104" s="43" t="s">
        <v>1009</v>
      </c>
      <c r="E14104" s="43" t="s">
        <v>984</v>
      </c>
      <c r="F14104" s="43" t="s">
        <v>952</v>
      </c>
      <c r="G14104" s="43">
        <v>6077777</v>
      </c>
      <c r="H14104" s="43">
        <v>501100</v>
      </c>
      <c r="I14104" s="43" t="s">
        <v>949</v>
      </c>
      <c r="J14104" s="44" t="s">
        <v>1000</v>
      </c>
    </row>
    <row r="14105" ht="22" customHeight="1" spans="1:10" x14ac:dyDescent="0.25">
      <c r="A14105" s="43">
        <v>3130</v>
      </c>
      <c r="B14105" s="43">
        <v>60</v>
      </c>
      <c r="C14105" s="43" t="s">
        <v>962</v>
      </c>
      <c r="D14105" s="43" t="s">
        <v>1009</v>
      </c>
      <c r="E14105" s="43" t="s">
        <v>984</v>
      </c>
      <c r="F14105" s="43" t="s">
        <v>953</v>
      </c>
      <c r="G14105" s="43">
        <v>6077777</v>
      </c>
      <c r="H14105" s="43">
        <v>501100</v>
      </c>
      <c r="I14105" s="43" t="s">
        <v>949</v>
      </c>
      <c r="J14105" s="44" t="s">
        <v>1000</v>
      </c>
    </row>
    <row r="14106" ht="22" customHeight="1" spans="1:10" x14ac:dyDescent="0.25">
      <c r="A14106" s="43">
        <v>3130</v>
      </c>
      <c r="B14106" s="43">
        <v>60</v>
      </c>
      <c r="C14106" s="43" t="s">
        <v>962</v>
      </c>
      <c r="D14106" s="43" t="s">
        <v>1009</v>
      </c>
      <c r="E14106" s="43" t="s">
        <v>984</v>
      </c>
      <c r="F14106" s="43" t="s">
        <v>954</v>
      </c>
      <c r="G14106" s="43">
        <v>6077777</v>
      </c>
      <c r="H14106" s="43">
        <v>501100</v>
      </c>
      <c r="I14106" s="43" t="s">
        <v>949</v>
      </c>
      <c r="J14106" s="44" t="s">
        <v>1000</v>
      </c>
    </row>
    <row r="14107" ht="22" customHeight="1" spans="1:10" x14ac:dyDescent="0.25">
      <c r="A14107" s="43">
        <v>3130</v>
      </c>
      <c r="B14107" s="43">
        <v>60</v>
      </c>
      <c r="C14107" s="43" t="s">
        <v>962</v>
      </c>
      <c r="D14107" s="43" t="s">
        <v>1009</v>
      </c>
      <c r="E14107" s="43" t="s">
        <v>984</v>
      </c>
      <c r="F14107" s="43" t="s">
        <v>955</v>
      </c>
      <c r="G14107" s="43">
        <v>6077777</v>
      </c>
      <c r="H14107" s="43">
        <v>501100</v>
      </c>
      <c r="I14107" s="43" t="s">
        <v>949</v>
      </c>
      <c r="J14107" s="44" t="s">
        <v>1000</v>
      </c>
    </row>
    <row r="14108" ht="22" customHeight="1" spans="1:10" x14ac:dyDescent="0.25">
      <c r="A14108" s="43">
        <v>3130</v>
      </c>
      <c r="B14108" s="43">
        <v>60</v>
      </c>
      <c r="C14108" s="43" t="s">
        <v>962</v>
      </c>
      <c r="D14108" s="43" t="s">
        <v>1009</v>
      </c>
      <c r="E14108" s="43" t="s">
        <v>984</v>
      </c>
      <c r="F14108" s="43" t="s">
        <v>956</v>
      </c>
      <c r="G14108" s="43">
        <v>6077777</v>
      </c>
      <c r="H14108" s="43">
        <v>501100</v>
      </c>
      <c r="I14108" s="43" t="s">
        <v>949</v>
      </c>
      <c r="J14108" s="44" t="s">
        <v>1000</v>
      </c>
    </row>
    <row r="14109" ht="22" customHeight="1" spans="1:10" x14ac:dyDescent="0.25">
      <c r="A14109" s="43">
        <v>3130</v>
      </c>
      <c r="B14109" s="43">
        <v>60</v>
      </c>
      <c r="C14109" s="43" t="s">
        <v>962</v>
      </c>
      <c r="D14109" s="43" t="s">
        <v>1009</v>
      </c>
      <c r="E14109" s="43" t="s">
        <v>984</v>
      </c>
      <c r="F14109" s="43" t="s">
        <v>957</v>
      </c>
      <c r="G14109" s="43">
        <v>6077777</v>
      </c>
      <c r="H14109" s="43">
        <v>501100</v>
      </c>
      <c r="I14109" s="43" t="s">
        <v>949</v>
      </c>
      <c r="J14109" s="44" t="s">
        <v>1000</v>
      </c>
    </row>
    <row r="14110" ht="22" customHeight="1" spans="1:10" x14ac:dyDescent="0.25">
      <c r="A14110" s="43">
        <v>3130</v>
      </c>
      <c r="B14110" s="43">
        <v>60</v>
      </c>
      <c r="C14110" s="43" t="s">
        <v>962</v>
      </c>
      <c r="D14110" s="43" t="s">
        <v>1009</v>
      </c>
      <c r="E14110" s="43" t="s">
        <v>984</v>
      </c>
      <c r="F14110" s="43" t="s">
        <v>958</v>
      </c>
      <c r="G14110" s="43">
        <v>6077777</v>
      </c>
      <c r="H14110" s="43">
        <v>501100</v>
      </c>
      <c r="I14110" s="43" t="s">
        <v>949</v>
      </c>
      <c r="J14110" s="44" t="s">
        <v>1000</v>
      </c>
    </row>
    <row r="14111" ht="22" customHeight="1" spans="1:10" x14ac:dyDescent="0.25">
      <c r="A14111" s="43">
        <v>3130</v>
      </c>
      <c r="B14111" s="43">
        <v>60</v>
      </c>
      <c r="C14111" s="43" t="s">
        <v>962</v>
      </c>
      <c r="D14111" s="43" t="s">
        <v>1009</v>
      </c>
      <c r="E14111" s="43" t="s">
        <v>984</v>
      </c>
      <c r="F14111" s="43" t="s">
        <v>959</v>
      </c>
      <c r="G14111" s="43">
        <v>6077777</v>
      </c>
      <c r="H14111" s="43">
        <v>501100</v>
      </c>
      <c r="I14111" s="43" t="s">
        <v>949</v>
      </c>
      <c r="J14111" s="44" t="s">
        <v>1000</v>
      </c>
    </row>
    <row r="14112" ht="22" customHeight="1" spans="1:10" x14ac:dyDescent="0.25">
      <c r="A14112" s="43">
        <v>3130</v>
      </c>
      <c r="B14112" s="43">
        <v>60</v>
      </c>
      <c r="C14112" s="43" t="s">
        <v>962</v>
      </c>
      <c r="D14112" s="43" t="s">
        <v>1009</v>
      </c>
      <c r="E14112" s="43" t="s">
        <v>984</v>
      </c>
      <c r="F14112" s="43" t="s">
        <v>960</v>
      </c>
      <c r="G14112" s="43">
        <v>6077777</v>
      </c>
      <c r="H14112" s="43">
        <v>501100</v>
      </c>
      <c r="I14112" s="43" t="s">
        <v>949</v>
      </c>
      <c r="J14112" s="44" t="s">
        <v>1000</v>
      </c>
    </row>
    <row r="14113" ht="22" customHeight="1" spans="1:10" x14ac:dyDescent="0.25">
      <c r="A14113" s="43">
        <v>3130</v>
      </c>
      <c r="B14113" s="43">
        <v>60</v>
      </c>
      <c r="C14113" s="43" t="s">
        <v>962</v>
      </c>
      <c r="D14113" s="43" t="s">
        <v>1009</v>
      </c>
      <c r="E14113" s="43" t="s">
        <v>984</v>
      </c>
      <c r="F14113" s="43" t="s">
        <v>961</v>
      </c>
      <c r="G14113" s="43">
        <v>6077777</v>
      </c>
      <c r="H14113" s="43">
        <v>501100</v>
      </c>
      <c r="I14113" s="43" t="s">
        <v>949</v>
      </c>
      <c r="J14113" s="44" t="s">
        <v>1000</v>
      </c>
    </row>
    <row r="14114" ht="22" customHeight="1" spans="1:10" x14ac:dyDescent="0.25">
      <c r="A14114" s="43">
        <v>3130</v>
      </c>
      <c r="B14114" s="43">
        <v>60</v>
      </c>
      <c r="C14114" s="43" t="s">
        <v>963</v>
      </c>
      <c r="D14114" s="43" t="s">
        <v>1009</v>
      </c>
      <c r="E14114" s="43" t="s">
        <v>984</v>
      </c>
      <c r="F14114" s="43" t="s">
        <v>951</v>
      </c>
      <c r="G14114" s="43">
        <v>6077777</v>
      </c>
      <c r="H14114" s="43">
        <v>501100</v>
      </c>
      <c r="I14114" s="43" t="s">
        <v>949</v>
      </c>
      <c r="J14114" s="44" t="s">
        <v>1000</v>
      </c>
    </row>
    <row r="14115" ht="22" customHeight="1" spans="1:10" x14ac:dyDescent="0.25">
      <c r="A14115" s="43">
        <v>3130</v>
      </c>
      <c r="B14115" s="43">
        <v>60</v>
      </c>
      <c r="C14115" s="43" t="s">
        <v>963</v>
      </c>
      <c r="D14115" s="43" t="s">
        <v>1009</v>
      </c>
      <c r="E14115" s="43" t="s">
        <v>984</v>
      </c>
      <c r="F14115" s="43" t="s">
        <v>952</v>
      </c>
      <c r="G14115" s="43">
        <v>6077777</v>
      </c>
      <c r="H14115" s="43">
        <v>501100</v>
      </c>
      <c r="I14115" s="43" t="s">
        <v>949</v>
      </c>
      <c r="J14115" s="44" t="s">
        <v>1000</v>
      </c>
    </row>
    <row r="14116" ht="22" customHeight="1" spans="1:10" x14ac:dyDescent="0.25">
      <c r="A14116" s="43">
        <v>3130</v>
      </c>
      <c r="B14116" s="43">
        <v>60</v>
      </c>
      <c r="C14116" s="43" t="s">
        <v>963</v>
      </c>
      <c r="D14116" s="43" t="s">
        <v>1009</v>
      </c>
      <c r="E14116" s="43" t="s">
        <v>984</v>
      </c>
      <c r="F14116" s="43" t="s">
        <v>953</v>
      </c>
      <c r="G14116" s="43">
        <v>6077777</v>
      </c>
      <c r="H14116" s="43">
        <v>501100</v>
      </c>
      <c r="I14116" s="43" t="s">
        <v>949</v>
      </c>
      <c r="J14116" s="44" t="s">
        <v>1000</v>
      </c>
    </row>
    <row r="14117" ht="22" customHeight="1" spans="1:10" x14ac:dyDescent="0.25">
      <c r="A14117" s="43">
        <v>3130</v>
      </c>
      <c r="B14117" s="43">
        <v>60</v>
      </c>
      <c r="C14117" s="43" t="s">
        <v>963</v>
      </c>
      <c r="D14117" s="43" t="s">
        <v>1009</v>
      </c>
      <c r="E14117" s="43" t="s">
        <v>984</v>
      </c>
      <c r="F14117" s="43" t="s">
        <v>954</v>
      </c>
      <c r="G14117" s="43">
        <v>6077777</v>
      </c>
      <c r="H14117" s="43">
        <v>501100</v>
      </c>
      <c r="I14117" s="43" t="s">
        <v>949</v>
      </c>
      <c r="J14117" s="44" t="s">
        <v>1000</v>
      </c>
    </row>
    <row r="14118" ht="22" customHeight="1" spans="1:10" x14ac:dyDescent="0.25">
      <c r="A14118" s="43">
        <v>3130</v>
      </c>
      <c r="B14118" s="43">
        <v>60</v>
      </c>
      <c r="C14118" s="43" t="s">
        <v>963</v>
      </c>
      <c r="D14118" s="43" t="s">
        <v>1009</v>
      </c>
      <c r="E14118" s="43" t="s">
        <v>984</v>
      </c>
      <c r="F14118" s="43" t="s">
        <v>955</v>
      </c>
      <c r="G14118" s="43">
        <v>6077777</v>
      </c>
      <c r="H14118" s="43">
        <v>501100</v>
      </c>
      <c r="I14118" s="43" t="s">
        <v>949</v>
      </c>
      <c r="J14118" s="44" t="s">
        <v>1000</v>
      </c>
    </row>
    <row r="14119" ht="22" customHeight="1" spans="1:10" x14ac:dyDescent="0.25">
      <c r="A14119" s="43">
        <v>3130</v>
      </c>
      <c r="B14119" s="43">
        <v>60</v>
      </c>
      <c r="C14119" s="43" t="s">
        <v>963</v>
      </c>
      <c r="D14119" s="43" t="s">
        <v>1009</v>
      </c>
      <c r="E14119" s="43" t="s">
        <v>984</v>
      </c>
      <c r="F14119" s="43" t="s">
        <v>956</v>
      </c>
      <c r="G14119" s="43">
        <v>6077777</v>
      </c>
      <c r="H14119" s="43">
        <v>501100</v>
      </c>
      <c r="I14119" s="43" t="s">
        <v>949</v>
      </c>
      <c r="J14119" s="44" t="s">
        <v>1000</v>
      </c>
    </row>
    <row r="14120" ht="22" customHeight="1" spans="1:10" x14ac:dyDescent="0.25">
      <c r="A14120" s="43">
        <v>3130</v>
      </c>
      <c r="B14120" s="43">
        <v>60</v>
      </c>
      <c r="C14120" s="43" t="s">
        <v>963</v>
      </c>
      <c r="D14120" s="43" t="s">
        <v>1009</v>
      </c>
      <c r="E14120" s="43" t="s">
        <v>984</v>
      </c>
      <c r="F14120" s="43" t="s">
        <v>957</v>
      </c>
      <c r="G14120" s="43">
        <v>6077777</v>
      </c>
      <c r="H14120" s="43">
        <v>501100</v>
      </c>
      <c r="I14120" s="43" t="s">
        <v>949</v>
      </c>
      <c r="J14120" s="44" t="s">
        <v>1000</v>
      </c>
    </row>
    <row r="14121" ht="22" customHeight="1" spans="1:10" x14ac:dyDescent="0.25">
      <c r="A14121" s="43">
        <v>3130</v>
      </c>
      <c r="B14121" s="43">
        <v>60</v>
      </c>
      <c r="C14121" s="43" t="s">
        <v>963</v>
      </c>
      <c r="D14121" s="43" t="s">
        <v>1009</v>
      </c>
      <c r="E14121" s="43" t="s">
        <v>984</v>
      </c>
      <c r="F14121" s="43" t="s">
        <v>958</v>
      </c>
      <c r="G14121" s="43">
        <v>6077777</v>
      </c>
      <c r="H14121" s="43">
        <v>501100</v>
      </c>
      <c r="I14121" s="43" t="s">
        <v>949</v>
      </c>
      <c r="J14121" s="44" t="s">
        <v>1000</v>
      </c>
    </row>
    <row r="14122" ht="22" customHeight="1" spans="1:10" x14ac:dyDescent="0.25">
      <c r="A14122" s="43">
        <v>3130</v>
      </c>
      <c r="B14122" s="43">
        <v>60</v>
      </c>
      <c r="C14122" s="43" t="s">
        <v>963</v>
      </c>
      <c r="D14122" s="43" t="s">
        <v>1009</v>
      </c>
      <c r="E14122" s="43" t="s">
        <v>984</v>
      </c>
      <c r="F14122" s="43" t="s">
        <v>959</v>
      </c>
      <c r="G14122" s="43">
        <v>6077777</v>
      </c>
      <c r="H14122" s="43">
        <v>501100</v>
      </c>
      <c r="I14122" s="43" t="s">
        <v>949</v>
      </c>
      <c r="J14122" s="44" t="s">
        <v>1000</v>
      </c>
    </row>
    <row r="14123" ht="22" customHeight="1" spans="1:10" x14ac:dyDescent="0.25">
      <c r="A14123" s="43">
        <v>3130</v>
      </c>
      <c r="B14123" s="43">
        <v>60</v>
      </c>
      <c r="C14123" s="43" t="s">
        <v>963</v>
      </c>
      <c r="D14123" s="43" t="s">
        <v>1009</v>
      </c>
      <c r="E14123" s="43" t="s">
        <v>984</v>
      </c>
      <c r="F14123" s="43" t="s">
        <v>960</v>
      </c>
      <c r="G14123" s="43">
        <v>6077777</v>
      </c>
      <c r="H14123" s="43">
        <v>501100</v>
      </c>
      <c r="I14123" s="43" t="s">
        <v>949</v>
      </c>
      <c r="J14123" s="44" t="s">
        <v>1000</v>
      </c>
    </row>
    <row r="14124" ht="22" customHeight="1" spans="1:10" x14ac:dyDescent="0.25">
      <c r="A14124" s="43">
        <v>3130</v>
      </c>
      <c r="B14124" s="43">
        <v>60</v>
      </c>
      <c r="C14124" s="43" t="s">
        <v>963</v>
      </c>
      <c r="D14124" s="43" t="s">
        <v>1009</v>
      </c>
      <c r="E14124" s="43" t="s">
        <v>984</v>
      </c>
      <c r="F14124" s="43" t="s">
        <v>961</v>
      </c>
      <c r="G14124" s="43">
        <v>6077777</v>
      </c>
      <c r="H14124" s="43">
        <v>501100</v>
      </c>
      <c r="I14124" s="43" t="s">
        <v>949</v>
      </c>
      <c r="J14124" s="44" t="s">
        <v>1000</v>
      </c>
    </row>
    <row r="14125" spans="1:9" x14ac:dyDescent="0.25">
      <c r="A14125">
        <v>4122</v>
      </c>
      <c r="B14125">
        <v>60</v>
      </c>
      <c r="C14125" t="s">
        <v>946</v>
      </c>
      <c r="D14125" t="s">
        <v>1009</v>
      </c>
      <c r="E14125" t="s">
        <v>984</v>
      </c>
      <c r="F14125" t="s">
        <v>948</v>
      </c>
      <c r="G14125">
        <v>6000000</v>
      </c>
      <c r="H14125">
        <v>141000</v>
      </c>
      <c r="I14125" t="s">
        <v>985</v>
      </c>
    </row>
    <row r="14126" spans="1:9" x14ac:dyDescent="0.25">
      <c r="A14126">
        <v>4124</v>
      </c>
      <c r="B14126">
        <v>60</v>
      </c>
      <c r="C14126" t="s">
        <v>946</v>
      </c>
      <c r="D14126" t="s">
        <v>1009</v>
      </c>
      <c r="E14126" t="s">
        <v>984</v>
      </c>
      <c r="F14126" t="s">
        <v>948</v>
      </c>
      <c r="G14126">
        <v>6000000</v>
      </c>
      <c r="H14126">
        <v>501100</v>
      </c>
      <c r="I14126" t="s">
        <v>949</v>
      </c>
    </row>
    <row r="14127" spans="1:9" x14ac:dyDescent="0.25">
      <c r="A14127">
        <v>4140</v>
      </c>
      <c r="B14127">
        <v>60</v>
      </c>
      <c r="C14127" t="s">
        <v>946</v>
      </c>
      <c r="D14127" t="s">
        <v>1010</v>
      </c>
      <c r="E14127" t="s">
        <v>49</v>
      </c>
      <c r="F14127" t="s">
        <v>948</v>
      </c>
      <c r="G14127">
        <v>6077777</v>
      </c>
      <c r="H14127">
        <v>500460</v>
      </c>
      <c r="I14127" t="s">
        <v>949</v>
      </c>
    </row>
    <row r="14128" spans="1:9" x14ac:dyDescent="0.25">
      <c r="A14128">
        <v>4141</v>
      </c>
      <c r="B14128">
        <v>60</v>
      </c>
      <c r="C14128" t="s">
        <v>946</v>
      </c>
      <c r="D14128" t="s">
        <v>1010</v>
      </c>
      <c r="E14128" t="s">
        <v>49</v>
      </c>
      <c r="F14128" t="s">
        <v>948</v>
      </c>
      <c r="G14128">
        <v>6077777</v>
      </c>
      <c r="H14128">
        <v>500460</v>
      </c>
      <c r="I14128" t="s">
        <v>949</v>
      </c>
    </row>
    <row r="14129" spans="1:9" x14ac:dyDescent="0.25">
      <c r="A14129">
        <v>4162</v>
      </c>
      <c r="B14129">
        <v>60</v>
      </c>
      <c r="C14129" t="s">
        <v>946</v>
      </c>
      <c r="D14129" t="s">
        <v>1010</v>
      </c>
      <c r="E14129" t="s">
        <v>49</v>
      </c>
      <c r="F14129" t="s">
        <v>948</v>
      </c>
      <c r="G14129">
        <v>6000000</v>
      </c>
      <c r="H14129">
        <v>14200</v>
      </c>
      <c r="I14129" t="s">
        <v>949</v>
      </c>
    </row>
    <row r="14130" spans="1:9" x14ac:dyDescent="0.25">
      <c r="A14130">
        <v>4164</v>
      </c>
      <c r="B14130">
        <v>60</v>
      </c>
      <c r="C14130" t="s">
        <v>946</v>
      </c>
      <c r="D14130" t="s">
        <v>1010</v>
      </c>
      <c r="E14130" t="s">
        <v>49</v>
      </c>
      <c r="F14130" t="s">
        <v>948</v>
      </c>
      <c r="G14130">
        <v>6000000</v>
      </c>
      <c r="H14130">
        <v>14200</v>
      </c>
      <c r="I14130" t="s">
        <v>949</v>
      </c>
    </row>
    <row r="14131" spans="1:9" x14ac:dyDescent="0.25">
      <c r="A14131">
        <v>4122</v>
      </c>
      <c r="B14131">
        <v>60</v>
      </c>
      <c r="C14131" t="s">
        <v>946</v>
      </c>
      <c r="D14131" t="s">
        <v>1010</v>
      </c>
      <c r="E14131" t="s">
        <v>243</v>
      </c>
      <c r="F14131" t="s">
        <v>948</v>
      </c>
      <c r="G14131">
        <v>6000000</v>
      </c>
      <c r="H14131">
        <v>145000</v>
      </c>
      <c r="I14131" t="s">
        <v>949</v>
      </c>
    </row>
    <row r="14132" spans="1:9" x14ac:dyDescent="0.25">
      <c r="A14132">
        <v>4124</v>
      </c>
      <c r="B14132">
        <v>60</v>
      </c>
      <c r="C14132" t="s">
        <v>946</v>
      </c>
      <c r="D14132" t="s">
        <v>1010</v>
      </c>
      <c r="E14132" t="s">
        <v>243</v>
      </c>
      <c r="F14132" t="s">
        <v>948</v>
      </c>
      <c r="G14132">
        <v>6000000</v>
      </c>
      <c r="H14132">
        <v>145000</v>
      </c>
      <c r="I14132" t="s">
        <v>949</v>
      </c>
    </row>
    <row r="14133" spans="1:9" x14ac:dyDescent="0.25">
      <c r="A14133">
        <v>4126</v>
      </c>
      <c r="B14133">
        <v>60</v>
      </c>
      <c r="C14133" t="s">
        <v>946</v>
      </c>
      <c r="D14133" t="s">
        <v>1010</v>
      </c>
      <c r="E14133" t="s">
        <v>243</v>
      </c>
      <c r="F14133" t="s">
        <v>948</v>
      </c>
      <c r="G14133">
        <v>6000000</v>
      </c>
      <c r="H14133">
        <v>145000</v>
      </c>
      <c r="I14133" t="s">
        <v>949</v>
      </c>
    </row>
    <row r="14134" spans="1:9" x14ac:dyDescent="0.25">
      <c r="A14134">
        <v>4128</v>
      </c>
      <c r="B14134">
        <v>60</v>
      </c>
      <c r="C14134" t="s">
        <v>946</v>
      </c>
      <c r="D14134" t="s">
        <v>1010</v>
      </c>
      <c r="E14134" t="s">
        <v>243</v>
      </c>
      <c r="F14134" t="s">
        <v>948</v>
      </c>
      <c r="G14134">
        <v>6000000</v>
      </c>
      <c r="H14134">
        <v>145000</v>
      </c>
      <c r="I14134" t="s">
        <v>949</v>
      </c>
    </row>
    <row r="14135" spans="1:9" x14ac:dyDescent="0.25">
      <c r="A14135">
        <v>4122</v>
      </c>
      <c r="B14135">
        <v>60</v>
      </c>
      <c r="C14135" t="s">
        <v>946</v>
      </c>
      <c r="D14135" t="s">
        <v>1010</v>
      </c>
      <c r="E14135" t="s">
        <v>247</v>
      </c>
      <c r="F14135" t="s">
        <v>948</v>
      </c>
      <c r="G14135">
        <v>6000000</v>
      </c>
      <c r="H14135">
        <v>145000</v>
      </c>
      <c r="I14135" t="s">
        <v>949</v>
      </c>
    </row>
    <row r="14136" spans="1:9" x14ac:dyDescent="0.25">
      <c r="A14136">
        <v>4124</v>
      </c>
      <c r="B14136">
        <v>60</v>
      </c>
      <c r="C14136" t="s">
        <v>946</v>
      </c>
      <c r="D14136" t="s">
        <v>1010</v>
      </c>
      <c r="E14136" t="s">
        <v>247</v>
      </c>
      <c r="F14136" t="s">
        <v>948</v>
      </c>
      <c r="G14136">
        <v>6000000</v>
      </c>
      <c r="H14136">
        <v>145000</v>
      </c>
      <c r="I14136" t="s">
        <v>949</v>
      </c>
    </row>
    <row r="14137" spans="1:9" x14ac:dyDescent="0.25">
      <c r="A14137">
        <v>4126</v>
      </c>
      <c r="B14137">
        <v>60</v>
      </c>
      <c r="C14137" t="s">
        <v>946</v>
      </c>
      <c r="D14137" t="s">
        <v>1010</v>
      </c>
      <c r="E14137" t="s">
        <v>247</v>
      </c>
      <c r="F14137" t="s">
        <v>948</v>
      </c>
      <c r="G14137">
        <v>6000000</v>
      </c>
      <c r="H14137">
        <v>145000</v>
      </c>
      <c r="I14137" t="s">
        <v>949</v>
      </c>
    </row>
    <row r="14138" spans="1:9" x14ac:dyDescent="0.25">
      <c r="A14138">
        <v>4128</v>
      </c>
      <c r="B14138">
        <v>60</v>
      </c>
      <c r="C14138" t="s">
        <v>946</v>
      </c>
      <c r="D14138" t="s">
        <v>1010</v>
      </c>
      <c r="E14138" t="s">
        <v>247</v>
      </c>
      <c r="F14138" t="s">
        <v>948</v>
      </c>
      <c r="G14138">
        <v>6000000</v>
      </c>
      <c r="H14138">
        <v>145000</v>
      </c>
      <c r="I14138" t="s">
        <v>949</v>
      </c>
    </row>
    <row r="14139" spans="1:9" x14ac:dyDescent="0.25">
      <c r="A14139">
        <v>4122</v>
      </c>
      <c r="B14139">
        <v>60</v>
      </c>
      <c r="C14139" t="s">
        <v>946</v>
      </c>
      <c r="D14139" t="s">
        <v>1010</v>
      </c>
      <c r="E14139" t="s">
        <v>251</v>
      </c>
      <c r="F14139" t="s">
        <v>948</v>
      </c>
      <c r="G14139">
        <v>6000000</v>
      </c>
      <c r="H14139">
        <v>142000</v>
      </c>
      <c r="I14139" t="s">
        <v>949</v>
      </c>
    </row>
    <row r="14140" spans="1:9" x14ac:dyDescent="0.25">
      <c r="A14140">
        <v>4124</v>
      </c>
      <c r="B14140">
        <v>60</v>
      </c>
      <c r="C14140" t="s">
        <v>946</v>
      </c>
      <c r="D14140" t="s">
        <v>1010</v>
      </c>
      <c r="E14140" t="s">
        <v>251</v>
      </c>
      <c r="F14140" t="s">
        <v>948</v>
      </c>
      <c r="G14140">
        <v>6000000</v>
      </c>
      <c r="H14140">
        <v>142000</v>
      </c>
      <c r="I14140" t="s">
        <v>949</v>
      </c>
    </row>
    <row r="14141" spans="1:9" x14ac:dyDescent="0.25">
      <c r="A14141">
        <v>4126</v>
      </c>
      <c r="B14141">
        <v>60</v>
      </c>
      <c r="C14141" t="s">
        <v>946</v>
      </c>
      <c r="D14141" t="s">
        <v>1010</v>
      </c>
      <c r="E14141" t="s">
        <v>251</v>
      </c>
      <c r="F14141" t="s">
        <v>948</v>
      </c>
      <c r="G14141">
        <v>6000000</v>
      </c>
      <c r="H14141">
        <v>142000</v>
      </c>
      <c r="I14141" t="s">
        <v>949</v>
      </c>
    </row>
    <row r="14142" spans="1:9" x14ac:dyDescent="0.25">
      <c r="A14142">
        <v>4128</v>
      </c>
      <c r="B14142">
        <v>60</v>
      </c>
      <c r="C14142" t="s">
        <v>946</v>
      </c>
      <c r="D14142" t="s">
        <v>1010</v>
      </c>
      <c r="E14142" t="s">
        <v>251</v>
      </c>
      <c r="F14142" t="s">
        <v>948</v>
      </c>
      <c r="G14142">
        <v>6000000</v>
      </c>
      <c r="H14142">
        <v>142000</v>
      </c>
      <c r="I14142" t="s">
        <v>949</v>
      </c>
    </row>
    <row r="14143" spans="1:9" x14ac:dyDescent="0.25">
      <c r="A14143">
        <v>4122</v>
      </c>
      <c r="B14143">
        <v>60</v>
      </c>
      <c r="C14143" t="s">
        <v>946</v>
      </c>
      <c r="D14143" t="s">
        <v>1010</v>
      </c>
      <c r="E14143" t="s">
        <v>969</v>
      </c>
      <c r="F14143" t="s">
        <v>948</v>
      </c>
      <c r="G14143">
        <v>6000000</v>
      </c>
      <c r="H14143">
        <v>141000</v>
      </c>
      <c r="I14143" t="s">
        <v>970</v>
      </c>
    </row>
    <row r="14144" spans="1:9" x14ac:dyDescent="0.25">
      <c r="A14144">
        <v>4124</v>
      </c>
      <c r="B14144">
        <v>60</v>
      </c>
      <c r="C14144" t="s">
        <v>946</v>
      </c>
      <c r="D14144" t="s">
        <v>1010</v>
      </c>
      <c r="E14144" t="s">
        <v>969</v>
      </c>
      <c r="F14144" t="s">
        <v>948</v>
      </c>
      <c r="G14144">
        <v>6000000</v>
      </c>
      <c r="H14144">
        <v>141000</v>
      </c>
      <c r="I14144" t="s">
        <v>970</v>
      </c>
    </row>
    <row r="14145" spans="1:9" x14ac:dyDescent="0.25">
      <c r="A14145">
        <v>4126</v>
      </c>
      <c r="B14145">
        <v>60</v>
      </c>
      <c r="C14145" t="s">
        <v>946</v>
      </c>
      <c r="D14145" t="s">
        <v>1010</v>
      </c>
      <c r="E14145" t="s">
        <v>969</v>
      </c>
      <c r="F14145" t="s">
        <v>948</v>
      </c>
      <c r="G14145">
        <v>6000000</v>
      </c>
      <c r="H14145">
        <v>141000</v>
      </c>
      <c r="I14145" t="s">
        <v>970</v>
      </c>
    </row>
    <row r="14146" spans="1:9" x14ac:dyDescent="0.25">
      <c r="A14146">
        <v>4128</v>
      </c>
      <c r="B14146">
        <v>60</v>
      </c>
      <c r="C14146" t="s">
        <v>946</v>
      </c>
      <c r="D14146" t="s">
        <v>1010</v>
      </c>
      <c r="E14146" t="s">
        <v>969</v>
      </c>
      <c r="F14146" t="s">
        <v>948</v>
      </c>
      <c r="G14146">
        <v>6000000</v>
      </c>
      <c r="H14146">
        <v>141000</v>
      </c>
      <c r="I14146" t="s">
        <v>970</v>
      </c>
    </row>
    <row r="14147" spans="1:9" x14ac:dyDescent="0.25">
      <c r="A14147">
        <v>4122</v>
      </c>
      <c r="B14147">
        <v>60</v>
      </c>
      <c r="C14147" t="s">
        <v>946</v>
      </c>
      <c r="D14147" t="s">
        <v>1010</v>
      </c>
      <c r="E14147" t="s">
        <v>255</v>
      </c>
      <c r="F14147" t="s">
        <v>948</v>
      </c>
      <c r="G14147">
        <v>6000000</v>
      </c>
      <c r="H14147">
        <v>145000</v>
      </c>
      <c r="I14147" t="s">
        <v>949</v>
      </c>
    </row>
    <row r="14148" spans="1:9" x14ac:dyDescent="0.25">
      <c r="A14148">
        <v>4124</v>
      </c>
      <c r="B14148">
        <v>60</v>
      </c>
      <c r="C14148" t="s">
        <v>946</v>
      </c>
      <c r="D14148" t="s">
        <v>1010</v>
      </c>
      <c r="E14148" t="s">
        <v>255</v>
      </c>
      <c r="F14148" t="s">
        <v>948</v>
      </c>
      <c r="G14148">
        <v>6000000</v>
      </c>
      <c r="H14148">
        <v>145000</v>
      </c>
      <c r="I14148" t="s">
        <v>949</v>
      </c>
    </row>
    <row r="14149" spans="1:9" x14ac:dyDescent="0.25">
      <c r="A14149">
        <v>4126</v>
      </c>
      <c r="B14149">
        <v>60</v>
      </c>
      <c r="C14149" t="s">
        <v>946</v>
      </c>
      <c r="D14149" t="s">
        <v>1010</v>
      </c>
      <c r="E14149" t="s">
        <v>255</v>
      </c>
      <c r="F14149" t="s">
        <v>948</v>
      </c>
      <c r="G14149">
        <v>6000000</v>
      </c>
      <c r="H14149">
        <v>145000</v>
      </c>
      <c r="I14149" t="s">
        <v>949</v>
      </c>
    </row>
    <row r="14150" spans="1:9" x14ac:dyDescent="0.25">
      <c r="A14150">
        <v>4128</v>
      </c>
      <c r="B14150">
        <v>60</v>
      </c>
      <c r="C14150" t="s">
        <v>946</v>
      </c>
      <c r="D14150" t="s">
        <v>1010</v>
      </c>
      <c r="E14150" t="s">
        <v>255</v>
      </c>
      <c r="F14150" t="s">
        <v>948</v>
      </c>
      <c r="G14150">
        <v>6000000</v>
      </c>
      <c r="H14150">
        <v>145000</v>
      </c>
      <c r="I14150" t="s">
        <v>949</v>
      </c>
    </row>
    <row r="14151" spans="1:9" x14ac:dyDescent="0.25">
      <c r="A14151">
        <v>4122</v>
      </c>
      <c r="B14151">
        <v>60</v>
      </c>
      <c r="C14151" t="s">
        <v>946</v>
      </c>
      <c r="D14151" t="s">
        <v>1010</v>
      </c>
      <c r="E14151" t="s">
        <v>971</v>
      </c>
      <c r="F14151" t="s">
        <v>948</v>
      </c>
      <c r="G14151">
        <v>6000000</v>
      </c>
      <c r="H14151">
        <v>141000</v>
      </c>
      <c r="I14151" t="s">
        <v>972</v>
      </c>
    </row>
    <row r="14152" spans="1:9" x14ac:dyDescent="0.25">
      <c r="A14152">
        <v>4124</v>
      </c>
      <c r="B14152">
        <v>60</v>
      </c>
      <c r="C14152" t="s">
        <v>946</v>
      </c>
      <c r="D14152" t="s">
        <v>1010</v>
      </c>
      <c r="E14152" t="s">
        <v>971</v>
      </c>
      <c r="F14152" t="s">
        <v>948</v>
      </c>
      <c r="G14152">
        <v>6000000</v>
      </c>
      <c r="H14152">
        <v>141000</v>
      </c>
      <c r="I14152" t="s">
        <v>972</v>
      </c>
    </row>
    <row r="14153" spans="1:9" x14ac:dyDescent="0.25">
      <c r="A14153">
        <v>4126</v>
      </c>
      <c r="B14153">
        <v>60</v>
      </c>
      <c r="C14153" t="s">
        <v>946</v>
      </c>
      <c r="D14153" t="s">
        <v>1010</v>
      </c>
      <c r="E14153" t="s">
        <v>971</v>
      </c>
      <c r="F14153" t="s">
        <v>948</v>
      </c>
      <c r="G14153">
        <v>6000000</v>
      </c>
      <c r="H14153">
        <v>141000</v>
      </c>
      <c r="I14153" t="s">
        <v>972</v>
      </c>
    </row>
    <row r="14154" spans="1:9" x14ac:dyDescent="0.25">
      <c r="A14154">
        <v>4128</v>
      </c>
      <c r="B14154">
        <v>60</v>
      </c>
      <c r="C14154" t="s">
        <v>946</v>
      </c>
      <c r="D14154" t="s">
        <v>1010</v>
      </c>
      <c r="E14154" t="s">
        <v>971</v>
      </c>
      <c r="F14154" t="s">
        <v>948</v>
      </c>
      <c r="G14154">
        <v>6000000</v>
      </c>
      <c r="H14154">
        <v>141000</v>
      </c>
      <c r="I14154" t="s">
        <v>972</v>
      </c>
    </row>
    <row r="14155" spans="1:9" x14ac:dyDescent="0.25">
      <c r="A14155">
        <v>4122</v>
      </c>
      <c r="B14155">
        <v>60</v>
      </c>
      <c r="C14155" t="s">
        <v>946</v>
      </c>
      <c r="D14155" t="s">
        <v>1010</v>
      </c>
      <c r="E14155" t="s">
        <v>263</v>
      </c>
      <c r="F14155" t="s">
        <v>948</v>
      </c>
      <c r="G14155">
        <v>6000000</v>
      </c>
      <c r="H14155">
        <v>145000</v>
      </c>
      <c r="I14155" t="s">
        <v>949</v>
      </c>
    </row>
    <row r="14156" spans="1:9" x14ac:dyDescent="0.25">
      <c r="A14156">
        <v>4124</v>
      </c>
      <c r="B14156">
        <v>60</v>
      </c>
      <c r="C14156" t="s">
        <v>946</v>
      </c>
      <c r="D14156" t="s">
        <v>1010</v>
      </c>
      <c r="E14156" t="s">
        <v>263</v>
      </c>
      <c r="F14156" t="s">
        <v>948</v>
      </c>
      <c r="G14156">
        <v>6000000</v>
      </c>
      <c r="H14156">
        <v>145000</v>
      </c>
      <c r="I14156" t="s">
        <v>949</v>
      </c>
    </row>
    <row r="14157" spans="1:9" x14ac:dyDescent="0.25">
      <c r="A14157">
        <v>4126</v>
      </c>
      <c r="B14157">
        <v>60</v>
      </c>
      <c r="C14157" t="s">
        <v>946</v>
      </c>
      <c r="D14157" t="s">
        <v>1010</v>
      </c>
      <c r="E14157" t="s">
        <v>263</v>
      </c>
      <c r="F14157" t="s">
        <v>948</v>
      </c>
      <c r="G14157">
        <v>6000000</v>
      </c>
      <c r="H14157">
        <v>145000</v>
      </c>
      <c r="I14157" t="s">
        <v>949</v>
      </c>
    </row>
    <row r="14158" spans="1:9" x14ac:dyDescent="0.25">
      <c r="A14158">
        <v>4128</v>
      </c>
      <c r="B14158">
        <v>60</v>
      </c>
      <c r="C14158" t="s">
        <v>946</v>
      </c>
      <c r="D14158" t="s">
        <v>1010</v>
      </c>
      <c r="E14158" t="s">
        <v>263</v>
      </c>
      <c r="F14158" t="s">
        <v>948</v>
      </c>
      <c r="G14158">
        <v>6000000</v>
      </c>
      <c r="H14158">
        <v>145000</v>
      </c>
      <c r="I14158" t="s">
        <v>949</v>
      </c>
    </row>
    <row r="14159" spans="1:9" x14ac:dyDescent="0.25">
      <c r="A14159">
        <v>4122</v>
      </c>
      <c r="B14159">
        <v>60</v>
      </c>
      <c r="C14159" t="s">
        <v>946</v>
      </c>
      <c r="D14159" t="s">
        <v>1010</v>
      </c>
      <c r="E14159" t="s">
        <v>100</v>
      </c>
      <c r="F14159" t="s">
        <v>948</v>
      </c>
      <c r="G14159">
        <v>6077777</v>
      </c>
      <c r="H14159">
        <v>500220</v>
      </c>
      <c r="I14159" t="s">
        <v>949</v>
      </c>
    </row>
    <row r="14160" spans="1:9" x14ac:dyDescent="0.25">
      <c r="A14160">
        <v>4124</v>
      </c>
      <c r="B14160">
        <v>60</v>
      </c>
      <c r="C14160" t="s">
        <v>946</v>
      </c>
      <c r="D14160" t="s">
        <v>1010</v>
      </c>
      <c r="E14160" t="s">
        <v>100</v>
      </c>
      <c r="F14160" t="s">
        <v>948</v>
      </c>
      <c r="G14160">
        <v>6077777</v>
      </c>
      <c r="H14160">
        <v>500221</v>
      </c>
      <c r="I14160" t="s">
        <v>949</v>
      </c>
    </row>
    <row r="14161" spans="1:9" x14ac:dyDescent="0.25">
      <c r="A14161">
        <v>4126</v>
      </c>
      <c r="B14161">
        <v>60</v>
      </c>
      <c r="C14161" t="s">
        <v>946</v>
      </c>
      <c r="D14161" t="s">
        <v>1010</v>
      </c>
      <c r="E14161" t="s">
        <v>100</v>
      </c>
      <c r="F14161" t="s">
        <v>948</v>
      </c>
      <c r="G14161">
        <v>6077777</v>
      </c>
      <c r="H14161">
        <v>500220</v>
      </c>
      <c r="I14161" t="s">
        <v>949</v>
      </c>
    </row>
    <row r="14162" spans="1:9" x14ac:dyDescent="0.25">
      <c r="A14162">
        <v>4128</v>
      </c>
      <c r="B14162">
        <v>60</v>
      </c>
      <c r="C14162" t="s">
        <v>946</v>
      </c>
      <c r="D14162" t="s">
        <v>1010</v>
      </c>
      <c r="E14162" t="s">
        <v>100</v>
      </c>
      <c r="F14162" t="s">
        <v>948</v>
      </c>
      <c r="G14162">
        <v>6077777</v>
      </c>
      <c r="H14162">
        <v>500221</v>
      </c>
      <c r="I14162" t="s">
        <v>949</v>
      </c>
    </row>
    <row r="14163" spans="1:9" x14ac:dyDescent="0.25">
      <c r="A14163">
        <v>4122</v>
      </c>
      <c r="B14163">
        <v>60</v>
      </c>
      <c r="C14163" t="s">
        <v>946</v>
      </c>
      <c r="D14163" t="s">
        <v>1010</v>
      </c>
      <c r="E14163" t="s">
        <v>270</v>
      </c>
      <c r="F14163" t="s">
        <v>948</v>
      </c>
      <c r="G14163">
        <v>6000000</v>
      </c>
      <c r="H14163">
        <v>145000</v>
      </c>
      <c r="I14163" t="s">
        <v>949</v>
      </c>
    </row>
    <row r="14164" spans="1:9" x14ac:dyDescent="0.25">
      <c r="A14164">
        <v>4124</v>
      </c>
      <c r="B14164">
        <v>60</v>
      </c>
      <c r="C14164" t="s">
        <v>946</v>
      </c>
      <c r="D14164" t="s">
        <v>1010</v>
      </c>
      <c r="E14164" t="s">
        <v>270</v>
      </c>
      <c r="F14164" t="s">
        <v>948</v>
      </c>
      <c r="G14164">
        <v>6000000</v>
      </c>
      <c r="H14164">
        <v>145000</v>
      </c>
      <c r="I14164" t="s">
        <v>949</v>
      </c>
    </row>
    <row r="14165" spans="1:9" x14ac:dyDescent="0.25">
      <c r="A14165">
        <v>4126</v>
      </c>
      <c r="B14165">
        <v>60</v>
      </c>
      <c r="C14165" t="s">
        <v>946</v>
      </c>
      <c r="D14165" t="s">
        <v>1010</v>
      </c>
      <c r="E14165" t="s">
        <v>270</v>
      </c>
      <c r="F14165" t="s">
        <v>948</v>
      </c>
      <c r="G14165">
        <v>6000000</v>
      </c>
      <c r="H14165">
        <v>145000</v>
      </c>
      <c r="I14165" t="s">
        <v>949</v>
      </c>
    </row>
    <row r="14166" spans="1:9" x14ac:dyDescent="0.25">
      <c r="A14166">
        <v>4128</v>
      </c>
      <c r="B14166">
        <v>60</v>
      </c>
      <c r="C14166" t="s">
        <v>946</v>
      </c>
      <c r="D14166" t="s">
        <v>1010</v>
      </c>
      <c r="E14166" t="s">
        <v>270</v>
      </c>
      <c r="F14166" t="s">
        <v>948</v>
      </c>
      <c r="G14166">
        <v>6000000</v>
      </c>
      <c r="H14166">
        <v>145000</v>
      </c>
      <c r="I14166" t="s">
        <v>949</v>
      </c>
    </row>
    <row r="14167" spans="1:9" x14ac:dyDescent="0.25">
      <c r="A14167">
        <v>4122</v>
      </c>
      <c r="B14167">
        <v>60</v>
      </c>
      <c r="C14167" t="s">
        <v>946</v>
      </c>
      <c r="D14167" t="s">
        <v>1010</v>
      </c>
      <c r="E14167" t="s">
        <v>274</v>
      </c>
      <c r="F14167" t="s">
        <v>948</v>
      </c>
      <c r="G14167">
        <v>6000000</v>
      </c>
      <c r="H14167">
        <v>143000</v>
      </c>
      <c r="I14167" t="s">
        <v>973</v>
      </c>
    </row>
    <row r="14168" spans="1:9" x14ac:dyDescent="0.25">
      <c r="A14168">
        <v>4124</v>
      </c>
      <c r="B14168">
        <v>60</v>
      </c>
      <c r="C14168" t="s">
        <v>946</v>
      </c>
      <c r="D14168" t="s">
        <v>1010</v>
      </c>
      <c r="E14168" t="s">
        <v>274</v>
      </c>
      <c r="F14168" t="s">
        <v>948</v>
      </c>
      <c r="G14168">
        <v>6000000</v>
      </c>
      <c r="H14168">
        <v>143000</v>
      </c>
      <c r="I14168" t="s">
        <v>973</v>
      </c>
    </row>
    <row r="14169" spans="1:9" x14ac:dyDescent="0.25">
      <c r="A14169">
        <v>4126</v>
      </c>
      <c r="B14169">
        <v>60</v>
      </c>
      <c r="C14169" t="s">
        <v>946</v>
      </c>
      <c r="D14169" t="s">
        <v>1010</v>
      </c>
      <c r="E14169" t="s">
        <v>274</v>
      </c>
      <c r="F14169" t="s">
        <v>948</v>
      </c>
      <c r="G14169">
        <v>6000000</v>
      </c>
      <c r="H14169">
        <v>143000</v>
      </c>
      <c r="I14169" t="s">
        <v>973</v>
      </c>
    </row>
    <row r="14170" spans="1:9" x14ac:dyDescent="0.25">
      <c r="A14170">
        <v>4128</v>
      </c>
      <c r="B14170">
        <v>60</v>
      </c>
      <c r="C14170" t="s">
        <v>946</v>
      </c>
      <c r="D14170" t="s">
        <v>1010</v>
      </c>
      <c r="E14170" t="s">
        <v>274</v>
      </c>
      <c r="F14170" t="s">
        <v>948</v>
      </c>
      <c r="G14170">
        <v>6000000</v>
      </c>
      <c r="H14170">
        <v>143000</v>
      </c>
      <c r="I14170" t="s">
        <v>973</v>
      </c>
    </row>
    <row r="14171" spans="1:9" x14ac:dyDescent="0.25">
      <c r="A14171">
        <v>4122</v>
      </c>
      <c r="B14171">
        <v>60</v>
      </c>
      <c r="C14171" t="s">
        <v>946</v>
      </c>
      <c r="D14171" t="s">
        <v>1010</v>
      </c>
      <c r="E14171" t="s">
        <v>974</v>
      </c>
      <c r="F14171" t="s">
        <v>948</v>
      </c>
      <c r="G14171">
        <v>6000000</v>
      </c>
      <c r="H14171">
        <v>141000</v>
      </c>
      <c r="I14171" t="s">
        <v>975</v>
      </c>
    </row>
    <row r="14172" spans="1:9" x14ac:dyDescent="0.25">
      <c r="A14172">
        <v>4124</v>
      </c>
      <c r="B14172">
        <v>60</v>
      </c>
      <c r="C14172" t="s">
        <v>946</v>
      </c>
      <c r="D14172" t="s">
        <v>1010</v>
      </c>
      <c r="E14172" t="s">
        <v>974</v>
      </c>
      <c r="F14172" t="s">
        <v>948</v>
      </c>
      <c r="G14172">
        <v>6000000</v>
      </c>
      <c r="H14172">
        <v>141000</v>
      </c>
      <c r="I14172" t="s">
        <v>975</v>
      </c>
    </row>
    <row r="14173" spans="1:9" x14ac:dyDescent="0.25">
      <c r="A14173">
        <v>4126</v>
      </c>
      <c r="B14173">
        <v>60</v>
      </c>
      <c r="C14173" t="s">
        <v>946</v>
      </c>
      <c r="D14173" t="s">
        <v>1010</v>
      </c>
      <c r="E14173" t="s">
        <v>974</v>
      </c>
      <c r="F14173" t="s">
        <v>948</v>
      </c>
      <c r="G14173">
        <v>6000000</v>
      </c>
      <c r="H14173">
        <v>141000</v>
      </c>
      <c r="I14173" t="s">
        <v>975</v>
      </c>
    </row>
    <row r="14174" spans="1:9" x14ac:dyDescent="0.25">
      <c r="A14174">
        <v>4128</v>
      </c>
      <c r="B14174">
        <v>60</v>
      </c>
      <c r="C14174" t="s">
        <v>946</v>
      </c>
      <c r="D14174" t="s">
        <v>1010</v>
      </c>
      <c r="E14174" t="s">
        <v>974</v>
      </c>
      <c r="F14174" t="s">
        <v>948</v>
      </c>
      <c r="G14174">
        <v>6000000</v>
      </c>
      <c r="H14174">
        <v>141000</v>
      </c>
      <c r="I14174" t="s">
        <v>975</v>
      </c>
    </row>
    <row r="14175" spans="1:9" x14ac:dyDescent="0.25">
      <c r="A14175">
        <v>4122</v>
      </c>
      <c r="B14175">
        <v>60</v>
      </c>
      <c r="C14175" t="s">
        <v>946</v>
      </c>
      <c r="D14175" t="s">
        <v>1010</v>
      </c>
      <c r="E14175" t="s">
        <v>104</v>
      </c>
      <c r="F14175" t="s">
        <v>948</v>
      </c>
      <c r="G14175">
        <v>6077777</v>
      </c>
      <c r="H14175">
        <v>500220</v>
      </c>
      <c r="I14175" t="s">
        <v>949</v>
      </c>
    </row>
    <row r="14176" spans="1:9" x14ac:dyDescent="0.25">
      <c r="A14176">
        <v>4124</v>
      </c>
      <c r="B14176">
        <v>60</v>
      </c>
      <c r="C14176" t="s">
        <v>946</v>
      </c>
      <c r="D14176" t="s">
        <v>1010</v>
      </c>
      <c r="E14176" t="s">
        <v>104</v>
      </c>
      <c r="F14176" t="s">
        <v>948</v>
      </c>
      <c r="G14176">
        <v>6077777</v>
      </c>
      <c r="H14176">
        <v>500221</v>
      </c>
      <c r="I14176" t="s">
        <v>949</v>
      </c>
    </row>
    <row r="14177" spans="1:9" x14ac:dyDescent="0.25">
      <c r="A14177">
        <v>4126</v>
      </c>
      <c r="B14177">
        <v>60</v>
      </c>
      <c r="C14177" t="s">
        <v>946</v>
      </c>
      <c r="D14177" t="s">
        <v>1010</v>
      </c>
      <c r="E14177" t="s">
        <v>104</v>
      </c>
      <c r="F14177" t="s">
        <v>948</v>
      </c>
      <c r="G14177">
        <v>6077777</v>
      </c>
      <c r="H14177">
        <v>500220</v>
      </c>
      <c r="I14177" t="s">
        <v>949</v>
      </c>
    </row>
    <row r="14178" spans="1:9" x14ac:dyDescent="0.25">
      <c r="A14178">
        <v>4128</v>
      </c>
      <c r="B14178">
        <v>60</v>
      </c>
      <c r="C14178" t="s">
        <v>946</v>
      </c>
      <c r="D14178" t="s">
        <v>1010</v>
      </c>
      <c r="E14178" t="s">
        <v>104</v>
      </c>
      <c r="F14178" t="s">
        <v>948</v>
      </c>
      <c r="G14178">
        <v>6077777</v>
      </c>
      <c r="H14178">
        <v>500221</v>
      </c>
      <c r="I14178" t="s">
        <v>949</v>
      </c>
    </row>
    <row r="14179" spans="1:9" x14ac:dyDescent="0.25">
      <c r="A14179">
        <v>4122</v>
      </c>
      <c r="B14179">
        <v>60</v>
      </c>
      <c r="C14179" t="s">
        <v>946</v>
      </c>
      <c r="D14179" t="s">
        <v>1010</v>
      </c>
      <c r="E14179" t="s">
        <v>278</v>
      </c>
      <c r="F14179" t="s">
        <v>948</v>
      </c>
      <c r="G14179">
        <v>6000000</v>
      </c>
      <c r="H14179">
        <v>145000</v>
      </c>
      <c r="I14179" t="s">
        <v>949</v>
      </c>
    </row>
    <row r="14180" spans="1:9" x14ac:dyDescent="0.25">
      <c r="A14180">
        <v>4124</v>
      </c>
      <c r="B14180">
        <v>60</v>
      </c>
      <c r="C14180" t="s">
        <v>946</v>
      </c>
      <c r="D14180" t="s">
        <v>1010</v>
      </c>
      <c r="E14180" t="s">
        <v>278</v>
      </c>
      <c r="F14180" t="s">
        <v>948</v>
      </c>
      <c r="G14180">
        <v>6000000</v>
      </c>
      <c r="H14180">
        <v>145000</v>
      </c>
      <c r="I14180" t="s">
        <v>949</v>
      </c>
    </row>
    <row r="14181" spans="1:9" x14ac:dyDescent="0.25">
      <c r="A14181">
        <v>4126</v>
      </c>
      <c r="B14181">
        <v>60</v>
      </c>
      <c r="C14181" t="s">
        <v>946</v>
      </c>
      <c r="D14181" t="s">
        <v>1010</v>
      </c>
      <c r="E14181" t="s">
        <v>278</v>
      </c>
      <c r="F14181" t="s">
        <v>948</v>
      </c>
      <c r="G14181">
        <v>6000000</v>
      </c>
      <c r="H14181">
        <v>145000</v>
      </c>
      <c r="I14181" t="s">
        <v>949</v>
      </c>
    </row>
    <row r="14182" spans="1:9" x14ac:dyDescent="0.25">
      <c r="A14182">
        <v>4128</v>
      </c>
      <c r="B14182">
        <v>60</v>
      </c>
      <c r="C14182" t="s">
        <v>946</v>
      </c>
      <c r="D14182" t="s">
        <v>1010</v>
      </c>
      <c r="E14182" t="s">
        <v>278</v>
      </c>
      <c r="F14182" t="s">
        <v>948</v>
      </c>
      <c r="G14182">
        <v>6000000</v>
      </c>
      <c r="H14182">
        <v>145000</v>
      </c>
      <c r="I14182" t="s">
        <v>949</v>
      </c>
    </row>
    <row r="14183" spans="1:9" x14ac:dyDescent="0.25">
      <c r="A14183">
        <v>4122</v>
      </c>
      <c r="B14183">
        <v>60</v>
      </c>
      <c r="C14183" t="s">
        <v>946</v>
      </c>
      <c r="D14183" t="s">
        <v>1010</v>
      </c>
      <c r="E14183" t="s">
        <v>282</v>
      </c>
      <c r="F14183" t="s">
        <v>948</v>
      </c>
      <c r="G14183">
        <v>6000000</v>
      </c>
      <c r="H14183">
        <v>143100</v>
      </c>
      <c r="I14183" t="s">
        <v>949</v>
      </c>
    </row>
    <row r="14184" spans="1:9" x14ac:dyDescent="0.25">
      <c r="A14184">
        <v>4124</v>
      </c>
      <c r="B14184">
        <v>60</v>
      </c>
      <c r="C14184" t="s">
        <v>946</v>
      </c>
      <c r="D14184" t="s">
        <v>1010</v>
      </c>
      <c r="E14184" t="s">
        <v>282</v>
      </c>
      <c r="F14184" t="s">
        <v>948</v>
      </c>
      <c r="G14184">
        <v>6000000</v>
      </c>
      <c r="H14184">
        <v>143100</v>
      </c>
      <c r="I14184" t="s">
        <v>949</v>
      </c>
    </row>
    <row r="14185" spans="1:9" x14ac:dyDescent="0.25">
      <c r="A14185">
        <v>4126</v>
      </c>
      <c r="B14185">
        <v>60</v>
      </c>
      <c r="C14185" t="s">
        <v>946</v>
      </c>
      <c r="D14185" t="s">
        <v>1010</v>
      </c>
      <c r="E14185" t="s">
        <v>282</v>
      </c>
      <c r="F14185" t="s">
        <v>948</v>
      </c>
      <c r="G14185">
        <v>6000000</v>
      </c>
      <c r="H14185">
        <v>143100</v>
      </c>
      <c r="I14185" t="s">
        <v>949</v>
      </c>
    </row>
    <row r="14186" spans="1:9" x14ac:dyDescent="0.25">
      <c r="A14186">
        <v>4128</v>
      </c>
      <c r="B14186">
        <v>60</v>
      </c>
      <c r="C14186" t="s">
        <v>946</v>
      </c>
      <c r="D14186" t="s">
        <v>1010</v>
      </c>
      <c r="E14186" t="s">
        <v>282</v>
      </c>
      <c r="F14186" t="s">
        <v>948</v>
      </c>
      <c r="G14186">
        <v>6077777</v>
      </c>
      <c r="H14186">
        <v>500460</v>
      </c>
      <c r="I14186" t="s">
        <v>949</v>
      </c>
    </row>
    <row r="14187" spans="1:9" x14ac:dyDescent="0.25">
      <c r="A14187">
        <v>4122</v>
      </c>
      <c r="B14187">
        <v>60</v>
      </c>
      <c r="C14187" t="s">
        <v>946</v>
      </c>
      <c r="D14187" t="s">
        <v>1010</v>
      </c>
      <c r="E14187" t="s">
        <v>286</v>
      </c>
      <c r="F14187" t="s">
        <v>948</v>
      </c>
      <c r="G14187">
        <v>6000000</v>
      </c>
      <c r="H14187">
        <v>145000</v>
      </c>
      <c r="I14187" t="s">
        <v>949</v>
      </c>
    </row>
    <row r="14188" spans="1:9" x14ac:dyDescent="0.25">
      <c r="A14188">
        <v>4124</v>
      </c>
      <c r="B14188">
        <v>60</v>
      </c>
      <c r="C14188" t="s">
        <v>946</v>
      </c>
      <c r="D14188" t="s">
        <v>1010</v>
      </c>
      <c r="E14188" t="s">
        <v>286</v>
      </c>
      <c r="F14188" t="s">
        <v>948</v>
      </c>
      <c r="G14188">
        <v>6000000</v>
      </c>
      <c r="H14188">
        <v>145000</v>
      </c>
      <c r="I14188" t="s">
        <v>949</v>
      </c>
    </row>
    <row r="14189" spans="1:9" x14ac:dyDescent="0.25">
      <c r="A14189">
        <v>4126</v>
      </c>
      <c r="B14189">
        <v>60</v>
      </c>
      <c r="C14189" t="s">
        <v>946</v>
      </c>
      <c r="D14189" t="s">
        <v>1010</v>
      </c>
      <c r="E14189" t="s">
        <v>286</v>
      </c>
      <c r="F14189" t="s">
        <v>948</v>
      </c>
      <c r="G14189">
        <v>6000000</v>
      </c>
      <c r="H14189">
        <v>145000</v>
      </c>
      <c r="I14189" t="s">
        <v>949</v>
      </c>
    </row>
    <row r="14190" spans="1:9" x14ac:dyDescent="0.25">
      <c r="A14190">
        <v>4128</v>
      </c>
      <c r="B14190">
        <v>60</v>
      </c>
      <c r="C14190" t="s">
        <v>946</v>
      </c>
      <c r="D14190" t="s">
        <v>1010</v>
      </c>
      <c r="E14190" t="s">
        <v>286</v>
      </c>
      <c r="F14190" t="s">
        <v>948</v>
      </c>
      <c r="G14190">
        <v>6000000</v>
      </c>
      <c r="H14190">
        <v>145000</v>
      </c>
      <c r="I14190" t="s">
        <v>949</v>
      </c>
    </row>
    <row r="14191" spans="1:9" x14ac:dyDescent="0.25">
      <c r="A14191">
        <v>4122</v>
      </c>
      <c r="B14191">
        <v>60</v>
      </c>
      <c r="C14191" t="s">
        <v>946</v>
      </c>
      <c r="D14191" t="s">
        <v>1010</v>
      </c>
      <c r="E14191" t="s">
        <v>976</v>
      </c>
      <c r="F14191" t="s">
        <v>948</v>
      </c>
      <c r="G14191">
        <v>6000000</v>
      </c>
      <c r="H14191">
        <v>141000</v>
      </c>
      <c r="I14191" t="s">
        <v>977</v>
      </c>
    </row>
    <row r="14192" spans="1:9" x14ac:dyDescent="0.25">
      <c r="A14192">
        <v>4124</v>
      </c>
      <c r="B14192">
        <v>60</v>
      </c>
      <c r="C14192" t="s">
        <v>946</v>
      </c>
      <c r="D14192" t="s">
        <v>1010</v>
      </c>
      <c r="E14192" t="s">
        <v>976</v>
      </c>
      <c r="F14192" t="s">
        <v>948</v>
      </c>
      <c r="G14192">
        <v>6000000</v>
      </c>
      <c r="H14192">
        <v>141000</v>
      </c>
      <c r="I14192" t="s">
        <v>977</v>
      </c>
    </row>
    <row r="14193" spans="1:9" x14ac:dyDescent="0.25">
      <c r="A14193">
        <v>4126</v>
      </c>
      <c r="B14193">
        <v>60</v>
      </c>
      <c r="C14193" t="s">
        <v>946</v>
      </c>
      <c r="D14193" t="s">
        <v>1010</v>
      </c>
      <c r="E14193" t="s">
        <v>976</v>
      </c>
      <c r="F14193" t="s">
        <v>948</v>
      </c>
      <c r="G14193">
        <v>6000000</v>
      </c>
      <c r="H14193">
        <v>141000</v>
      </c>
      <c r="I14193" t="s">
        <v>977</v>
      </c>
    </row>
    <row r="14194" spans="1:9" x14ac:dyDescent="0.25">
      <c r="A14194">
        <v>4128</v>
      </c>
      <c r="B14194">
        <v>60</v>
      </c>
      <c r="C14194" t="s">
        <v>946</v>
      </c>
      <c r="D14194" t="s">
        <v>1010</v>
      </c>
      <c r="E14194" t="s">
        <v>976</v>
      </c>
      <c r="F14194" t="s">
        <v>948</v>
      </c>
      <c r="G14194">
        <v>6000000</v>
      </c>
      <c r="H14194">
        <v>141000</v>
      </c>
      <c r="I14194" t="s">
        <v>977</v>
      </c>
    </row>
    <row r="14195" spans="1:9" x14ac:dyDescent="0.25">
      <c r="A14195">
        <v>4122</v>
      </c>
      <c r="B14195">
        <v>60</v>
      </c>
      <c r="C14195" t="s">
        <v>946</v>
      </c>
      <c r="D14195" t="s">
        <v>1010</v>
      </c>
      <c r="E14195" t="s">
        <v>290</v>
      </c>
      <c r="F14195" t="s">
        <v>948</v>
      </c>
      <c r="G14195">
        <v>6000000</v>
      </c>
      <c r="H14195">
        <v>143000</v>
      </c>
      <c r="I14195" t="s">
        <v>978</v>
      </c>
    </row>
    <row r="14196" spans="1:9" x14ac:dyDescent="0.25">
      <c r="A14196">
        <v>4124</v>
      </c>
      <c r="B14196">
        <v>60</v>
      </c>
      <c r="C14196" t="s">
        <v>946</v>
      </c>
      <c r="D14196" t="s">
        <v>1010</v>
      </c>
      <c r="E14196" t="s">
        <v>290</v>
      </c>
      <c r="F14196" t="s">
        <v>948</v>
      </c>
      <c r="G14196">
        <v>6000000</v>
      </c>
      <c r="H14196">
        <v>143000</v>
      </c>
      <c r="I14196" t="s">
        <v>978</v>
      </c>
    </row>
    <row r="14197" spans="1:9" x14ac:dyDescent="0.25">
      <c r="A14197">
        <v>4126</v>
      </c>
      <c r="B14197">
        <v>60</v>
      </c>
      <c r="C14197" t="s">
        <v>946</v>
      </c>
      <c r="D14197" t="s">
        <v>1010</v>
      </c>
      <c r="E14197" t="s">
        <v>290</v>
      </c>
      <c r="F14197" t="s">
        <v>948</v>
      </c>
      <c r="G14197">
        <v>6000000</v>
      </c>
      <c r="H14197">
        <v>143000</v>
      </c>
      <c r="I14197" t="s">
        <v>978</v>
      </c>
    </row>
    <row r="14198" spans="1:9" x14ac:dyDescent="0.25">
      <c r="A14198">
        <v>4128</v>
      </c>
      <c r="B14198">
        <v>60</v>
      </c>
      <c r="C14198" t="s">
        <v>946</v>
      </c>
      <c r="D14198" t="s">
        <v>1010</v>
      </c>
      <c r="E14198" t="s">
        <v>290</v>
      </c>
      <c r="F14198" t="s">
        <v>948</v>
      </c>
      <c r="G14198">
        <v>6000000</v>
      </c>
      <c r="H14198">
        <v>143000</v>
      </c>
      <c r="I14198" t="s">
        <v>978</v>
      </c>
    </row>
    <row r="14199" spans="1:9" x14ac:dyDescent="0.25">
      <c r="A14199">
        <v>4122</v>
      </c>
      <c r="B14199">
        <v>60</v>
      </c>
      <c r="C14199" t="s">
        <v>946</v>
      </c>
      <c r="D14199" t="s">
        <v>1010</v>
      </c>
      <c r="E14199" t="s">
        <v>294</v>
      </c>
      <c r="F14199" t="s">
        <v>948</v>
      </c>
      <c r="G14199">
        <v>6000000</v>
      </c>
      <c r="H14199">
        <v>143000</v>
      </c>
      <c r="I14199" t="s">
        <v>979</v>
      </c>
    </row>
    <row r="14200" spans="1:9" x14ac:dyDescent="0.25">
      <c r="A14200">
        <v>4124</v>
      </c>
      <c r="B14200">
        <v>60</v>
      </c>
      <c r="C14200" t="s">
        <v>946</v>
      </c>
      <c r="D14200" t="s">
        <v>1010</v>
      </c>
      <c r="E14200" t="s">
        <v>294</v>
      </c>
      <c r="F14200" t="s">
        <v>948</v>
      </c>
      <c r="G14200">
        <v>6000000</v>
      </c>
      <c r="H14200">
        <v>143000</v>
      </c>
      <c r="I14200" t="s">
        <v>979</v>
      </c>
    </row>
    <row r="14201" spans="1:9" x14ac:dyDescent="0.25">
      <c r="A14201">
        <v>4126</v>
      </c>
      <c r="B14201">
        <v>60</v>
      </c>
      <c r="C14201" t="s">
        <v>946</v>
      </c>
      <c r="D14201" t="s">
        <v>1010</v>
      </c>
      <c r="E14201" t="s">
        <v>294</v>
      </c>
      <c r="F14201" t="s">
        <v>948</v>
      </c>
      <c r="G14201">
        <v>6000000</v>
      </c>
      <c r="H14201">
        <v>143000</v>
      </c>
      <c r="I14201" t="s">
        <v>979</v>
      </c>
    </row>
    <row r="14202" spans="1:9" x14ac:dyDescent="0.25">
      <c r="A14202">
        <v>4128</v>
      </c>
      <c r="B14202">
        <v>60</v>
      </c>
      <c r="C14202" t="s">
        <v>946</v>
      </c>
      <c r="D14202" t="s">
        <v>1010</v>
      </c>
      <c r="E14202" t="s">
        <v>294</v>
      </c>
      <c r="F14202" t="s">
        <v>948</v>
      </c>
      <c r="G14202">
        <v>6000000</v>
      </c>
      <c r="H14202">
        <v>143000</v>
      </c>
      <c r="I14202" t="s">
        <v>979</v>
      </c>
    </row>
    <row r="14203" spans="1:9" x14ac:dyDescent="0.25">
      <c r="A14203">
        <v>4122</v>
      </c>
      <c r="B14203">
        <v>60</v>
      </c>
      <c r="C14203" t="s">
        <v>946</v>
      </c>
      <c r="D14203" t="s">
        <v>1010</v>
      </c>
      <c r="E14203" t="s">
        <v>980</v>
      </c>
      <c r="F14203" t="s">
        <v>948</v>
      </c>
      <c r="G14203">
        <v>6000000</v>
      </c>
      <c r="H14203">
        <v>141000</v>
      </c>
      <c r="I14203" t="s">
        <v>981</v>
      </c>
    </row>
    <row r="14204" spans="1:9" x14ac:dyDescent="0.25">
      <c r="A14204">
        <v>4124</v>
      </c>
      <c r="B14204">
        <v>60</v>
      </c>
      <c r="C14204" t="s">
        <v>946</v>
      </c>
      <c r="D14204" t="s">
        <v>1010</v>
      </c>
      <c r="E14204" t="s">
        <v>980</v>
      </c>
      <c r="F14204" t="s">
        <v>948</v>
      </c>
      <c r="G14204">
        <v>6000000</v>
      </c>
      <c r="H14204">
        <v>141000</v>
      </c>
      <c r="I14204" t="s">
        <v>981</v>
      </c>
    </row>
    <row r="14205" spans="1:9" x14ac:dyDescent="0.25">
      <c r="A14205">
        <v>4126</v>
      </c>
      <c r="B14205">
        <v>60</v>
      </c>
      <c r="C14205" t="s">
        <v>946</v>
      </c>
      <c r="D14205" t="s">
        <v>1010</v>
      </c>
      <c r="E14205" t="s">
        <v>980</v>
      </c>
      <c r="F14205" t="s">
        <v>948</v>
      </c>
      <c r="G14205">
        <v>6000000</v>
      </c>
      <c r="H14205">
        <v>141000</v>
      </c>
      <c r="I14205" t="s">
        <v>981</v>
      </c>
    </row>
    <row r="14206" spans="1:9" x14ac:dyDescent="0.25">
      <c r="A14206">
        <v>4128</v>
      </c>
      <c r="B14206">
        <v>60</v>
      </c>
      <c r="C14206" t="s">
        <v>946</v>
      </c>
      <c r="D14206" t="s">
        <v>1010</v>
      </c>
      <c r="E14206" t="s">
        <v>980</v>
      </c>
      <c r="F14206" t="s">
        <v>948</v>
      </c>
      <c r="G14206">
        <v>6000000</v>
      </c>
      <c r="H14206">
        <v>141000</v>
      </c>
      <c r="I14206" t="s">
        <v>981</v>
      </c>
    </row>
    <row r="14207" spans="1:9" x14ac:dyDescent="0.25">
      <c r="A14207">
        <v>4122</v>
      </c>
      <c r="B14207">
        <v>60</v>
      </c>
      <c r="C14207" t="s">
        <v>946</v>
      </c>
      <c r="D14207" t="s">
        <v>1010</v>
      </c>
      <c r="E14207" t="s">
        <v>302</v>
      </c>
      <c r="F14207" t="s">
        <v>948</v>
      </c>
      <c r="G14207">
        <v>6000000</v>
      </c>
      <c r="H14207">
        <v>143000</v>
      </c>
      <c r="I14207" t="s">
        <v>982</v>
      </c>
    </row>
    <row r="14208" spans="1:9" x14ac:dyDescent="0.25">
      <c r="A14208">
        <v>4124</v>
      </c>
      <c r="B14208">
        <v>60</v>
      </c>
      <c r="C14208" t="s">
        <v>946</v>
      </c>
      <c r="D14208" t="s">
        <v>1010</v>
      </c>
      <c r="E14208" t="s">
        <v>302</v>
      </c>
      <c r="F14208" t="s">
        <v>948</v>
      </c>
      <c r="G14208">
        <v>6000000</v>
      </c>
      <c r="H14208">
        <v>143000</v>
      </c>
      <c r="I14208" t="s">
        <v>982</v>
      </c>
    </row>
    <row r="14209" spans="1:9" x14ac:dyDescent="0.25">
      <c r="A14209">
        <v>4126</v>
      </c>
      <c r="B14209">
        <v>60</v>
      </c>
      <c r="C14209" t="s">
        <v>946</v>
      </c>
      <c r="D14209" t="s">
        <v>1010</v>
      </c>
      <c r="E14209" t="s">
        <v>302</v>
      </c>
      <c r="F14209" t="s">
        <v>948</v>
      </c>
      <c r="G14209">
        <v>6000000</v>
      </c>
      <c r="H14209">
        <v>143000</v>
      </c>
      <c r="I14209" t="s">
        <v>982</v>
      </c>
    </row>
    <row r="14210" spans="1:9" x14ac:dyDescent="0.25">
      <c r="A14210">
        <v>4128</v>
      </c>
      <c r="B14210">
        <v>60</v>
      </c>
      <c r="C14210" t="s">
        <v>946</v>
      </c>
      <c r="D14210" t="s">
        <v>1010</v>
      </c>
      <c r="E14210" t="s">
        <v>302</v>
      </c>
      <c r="F14210" t="s">
        <v>948</v>
      </c>
      <c r="G14210">
        <v>6000000</v>
      </c>
      <c r="H14210">
        <v>143000</v>
      </c>
      <c r="I14210" t="s">
        <v>982</v>
      </c>
    </row>
    <row r="14211" spans="1:9" x14ac:dyDescent="0.25">
      <c r="A14211">
        <v>4122</v>
      </c>
      <c r="B14211">
        <v>60</v>
      </c>
      <c r="C14211" t="s">
        <v>946</v>
      </c>
      <c r="D14211" t="s">
        <v>1010</v>
      </c>
      <c r="E14211" t="s">
        <v>306</v>
      </c>
      <c r="F14211" t="s">
        <v>948</v>
      </c>
      <c r="G14211">
        <v>6000000</v>
      </c>
      <c r="H14211">
        <v>143000</v>
      </c>
      <c r="I14211" t="s">
        <v>983</v>
      </c>
    </row>
    <row r="14212" spans="1:9" x14ac:dyDescent="0.25">
      <c r="A14212">
        <v>4124</v>
      </c>
      <c r="B14212">
        <v>60</v>
      </c>
      <c r="C14212" t="s">
        <v>946</v>
      </c>
      <c r="D14212" t="s">
        <v>1010</v>
      </c>
      <c r="E14212" t="s">
        <v>306</v>
      </c>
      <c r="F14212" t="s">
        <v>948</v>
      </c>
      <c r="G14212">
        <v>6000000</v>
      </c>
      <c r="H14212">
        <v>143000</v>
      </c>
      <c r="I14212" t="s">
        <v>983</v>
      </c>
    </row>
    <row r="14213" spans="1:9" x14ac:dyDescent="0.25">
      <c r="A14213">
        <v>4126</v>
      </c>
      <c r="B14213">
        <v>60</v>
      </c>
      <c r="C14213" t="s">
        <v>946</v>
      </c>
      <c r="D14213" t="s">
        <v>1010</v>
      </c>
      <c r="E14213" t="s">
        <v>306</v>
      </c>
      <c r="F14213" t="s">
        <v>948</v>
      </c>
      <c r="G14213">
        <v>6000000</v>
      </c>
      <c r="H14213">
        <v>143000</v>
      </c>
      <c r="I14213" t="s">
        <v>983</v>
      </c>
    </row>
    <row r="14214" spans="1:9" x14ac:dyDescent="0.25">
      <c r="A14214">
        <v>4128</v>
      </c>
      <c r="B14214">
        <v>60</v>
      </c>
      <c r="C14214" t="s">
        <v>946</v>
      </c>
      <c r="D14214" t="s">
        <v>1010</v>
      </c>
      <c r="E14214" t="s">
        <v>306</v>
      </c>
      <c r="F14214" t="s">
        <v>948</v>
      </c>
      <c r="G14214">
        <v>6000000</v>
      </c>
      <c r="H14214">
        <v>143000</v>
      </c>
      <c r="I14214" t="s">
        <v>983</v>
      </c>
    </row>
    <row r="14215" spans="1:9" x14ac:dyDescent="0.25">
      <c r="A14215">
        <v>4122</v>
      </c>
      <c r="B14215">
        <v>60</v>
      </c>
      <c r="C14215" t="s">
        <v>946</v>
      </c>
      <c r="D14215" t="s">
        <v>1010</v>
      </c>
      <c r="E14215" t="s">
        <v>108</v>
      </c>
      <c r="F14215" t="s">
        <v>948</v>
      </c>
      <c r="G14215">
        <v>6077777</v>
      </c>
      <c r="H14215">
        <v>500220</v>
      </c>
      <c r="I14215" t="s">
        <v>949</v>
      </c>
    </row>
    <row r="14216" spans="1:9" x14ac:dyDescent="0.25">
      <c r="A14216">
        <v>4124</v>
      </c>
      <c r="B14216">
        <v>60</v>
      </c>
      <c r="C14216" t="s">
        <v>946</v>
      </c>
      <c r="D14216" t="s">
        <v>1010</v>
      </c>
      <c r="E14216" t="s">
        <v>108</v>
      </c>
      <c r="F14216" t="s">
        <v>948</v>
      </c>
      <c r="G14216">
        <v>6077777</v>
      </c>
      <c r="H14216">
        <v>500221</v>
      </c>
      <c r="I14216" t="s">
        <v>949</v>
      </c>
    </row>
    <row r="14217" spans="1:9" x14ac:dyDescent="0.25">
      <c r="A14217">
        <v>4126</v>
      </c>
      <c r="B14217">
        <v>60</v>
      </c>
      <c r="C14217" t="s">
        <v>946</v>
      </c>
      <c r="D14217" t="s">
        <v>1010</v>
      </c>
      <c r="E14217" t="s">
        <v>108</v>
      </c>
      <c r="F14217" t="s">
        <v>948</v>
      </c>
      <c r="G14217">
        <v>6077777</v>
      </c>
      <c r="H14217">
        <v>500220</v>
      </c>
      <c r="I14217" t="s">
        <v>949</v>
      </c>
    </row>
    <row r="14218" spans="1:9" x14ac:dyDescent="0.25">
      <c r="A14218">
        <v>4128</v>
      </c>
      <c r="B14218">
        <v>60</v>
      </c>
      <c r="C14218" t="s">
        <v>946</v>
      </c>
      <c r="D14218" t="s">
        <v>1010</v>
      </c>
      <c r="E14218" t="s">
        <v>108</v>
      </c>
      <c r="F14218" t="s">
        <v>948</v>
      </c>
      <c r="G14218">
        <v>6077777</v>
      </c>
      <c r="H14218">
        <v>500221</v>
      </c>
      <c r="I14218" t="s">
        <v>949</v>
      </c>
    </row>
    <row r="14219" spans="1:9" x14ac:dyDescent="0.25">
      <c r="A14219">
        <v>4122</v>
      </c>
      <c r="B14219">
        <v>60</v>
      </c>
      <c r="C14219" t="s">
        <v>946</v>
      </c>
      <c r="D14219" t="s">
        <v>1010</v>
      </c>
      <c r="E14219" t="s">
        <v>310</v>
      </c>
      <c r="F14219" t="s">
        <v>948</v>
      </c>
      <c r="G14219">
        <v>6000000</v>
      </c>
      <c r="H14219">
        <v>145000</v>
      </c>
      <c r="I14219" t="s">
        <v>949</v>
      </c>
    </row>
    <row r="14220" spans="1:9" x14ac:dyDescent="0.25">
      <c r="A14220">
        <v>4124</v>
      </c>
      <c r="B14220">
        <v>60</v>
      </c>
      <c r="C14220" t="s">
        <v>946</v>
      </c>
      <c r="D14220" t="s">
        <v>1010</v>
      </c>
      <c r="E14220" t="s">
        <v>310</v>
      </c>
      <c r="F14220" t="s">
        <v>948</v>
      </c>
      <c r="G14220">
        <v>6000000</v>
      </c>
      <c r="H14220">
        <v>145000</v>
      </c>
      <c r="I14220" t="s">
        <v>949</v>
      </c>
    </row>
    <row r="14221" spans="1:9" x14ac:dyDescent="0.25">
      <c r="A14221">
        <v>4126</v>
      </c>
      <c r="B14221">
        <v>60</v>
      </c>
      <c r="C14221" t="s">
        <v>946</v>
      </c>
      <c r="D14221" t="s">
        <v>1010</v>
      </c>
      <c r="E14221" t="s">
        <v>310</v>
      </c>
      <c r="F14221" t="s">
        <v>948</v>
      </c>
      <c r="G14221">
        <v>6000000</v>
      </c>
      <c r="H14221">
        <v>145000</v>
      </c>
      <c r="I14221" t="s">
        <v>949</v>
      </c>
    </row>
    <row r="14222" spans="1:9" x14ac:dyDescent="0.25">
      <c r="A14222">
        <v>4128</v>
      </c>
      <c r="B14222">
        <v>60</v>
      </c>
      <c r="C14222" t="s">
        <v>946</v>
      </c>
      <c r="D14222" t="s">
        <v>1010</v>
      </c>
      <c r="E14222" t="s">
        <v>310</v>
      </c>
      <c r="F14222" t="s">
        <v>948</v>
      </c>
      <c r="G14222">
        <v>6000000</v>
      </c>
      <c r="H14222">
        <v>145000</v>
      </c>
      <c r="I14222" t="s">
        <v>949</v>
      </c>
    </row>
    <row r="14223" spans="1:9" x14ac:dyDescent="0.25">
      <c r="A14223">
        <v>4122</v>
      </c>
      <c r="B14223">
        <v>60</v>
      </c>
      <c r="C14223" t="s">
        <v>946</v>
      </c>
      <c r="D14223" t="s">
        <v>1010</v>
      </c>
      <c r="E14223" t="s">
        <v>314</v>
      </c>
      <c r="F14223" t="s">
        <v>948</v>
      </c>
      <c r="G14223">
        <v>6000000</v>
      </c>
      <c r="H14223">
        <v>145000</v>
      </c>
      <c r="I14223" t="s">
        <v>949</v>
      </c>
    </row>
    <row r="14224" spans="1:9" x14ac:dyDescent="0.25">
      <c r="A14224">
        <v>4124</v>
      </c>
      <c r="B14224">
        <v>60</v>
      </c>
      <c r="C14224" t="s">
        <v>946</v>
      </c>
      <c r="D14224" t="s">
        <v>1010</v>
      </c>
      <c r="E14224" t="s">
        <v>314</v>
      </c>
      <c r="F14224" t="s">
        <v>948</v>
      </c>
      <c r="G14224">
        <v>6000000</v>
      </c>
      <c r="H14224">
        <v>145000</v>
      </c>
      <c r="I14224" t="s">
        <v>949</v>
      </c>
    </row>
    <row r="14225" spans="1:9" x14ac:dyDescent="0.25">
      <c r="A14225">
        <v>4126</v>
      </c>
      <c r="B14225">
        <v>60</v>
      </c>
      <c r="C14225" t="s">
        <v>946</v>
      </c>
      <c r="D14225" t="s">
        <v>1010</v>
      </c>
      <c r="E14225" t="s">
        <v>314</v>
      </c>
      <c r="F14225" t="s">
        <v>948</v>
      </c>
      <c r="G14225">
        <v>6000000</v>
      </c>
      <c r="H14225">
        <v>145000</v>
      </c>
      <c r="I14225" t="s">
        <v>949</v>
      </c>
    </row>
    <row r="14226" spans="1:9" x14ac:dyDescent="0.25">
      <c r="A14226">
        <v>4128</v>
      </c>
      <c r="B14226">
        <v>60</v>
      </c>
      <c r="C14226" t="s">
        <v>946</v>
      </c>
      <c r="D14226" t="s">
        <v>1010</v>
      </c>
      <c r="E14226" t="s">
        <v>314</v>
      </c>
      <c r="F14226" t="s">
        <v>948</v>
      </c>
      <c r="G14226">
        <v>6000000</v>
      </c>
      <c r="H14226">
        <v>145000</v>
      </c>
      <c r="I14226" t="s">
        <v>949</v>
      </c>
    </row>
    <row r="14227" spans="1:9" x14ac:dyDescent="0.25">
      <c r="A14227">
        <v>4122</v>
      </c>
      <c r="B14227">
        <v>60</v>
      </c>
      <c r="C14227" t="s">
        <v>946</v>
      </c>
      <c r="D14227" t="s">
        <v>1010</v>
      </c>
      <c r="E14227" t="s">
        <v>121</v>
      </c>
      <c r="F14227" t="s">
        <v>948</v>
      </c>
      <c r="G14227">
        <v>6077777</v>
      </c>
      <c r="H14227">
        <v>500220</v>
      </c>
      <c r="I14227" t="s">
        <v>949</v>
      </c>
    </row>
    <row r="14228" spans="1:9" x14ac:dyDescent="0.25">
      <c r="A14228">
        <v>4124</v>
      </c>
      <c r="B14228">
        <v>60</v>
      </c>
      <c r="C14228" t="s">
        <v>946</v>
      </c>
      <c r="D14228" t="s">
        <v>1010</v>
      </c>
      <c r="E14228" t="s">
        <v>121</v>
      </c>
      <c r="F14228" t="s">
        <v>948</v>
      </c>
      <c r="G14228">
        <v>6077777</v>
      </c>
      <c r="H14228">
        <v>500221</v>
      </c>
      <c r="I14228" t="s">
        <v>949</v>
      </c>
    </row>
    <row r="14229" spans="1:9" x14ac:dyDescent="0.25">
      <c r="A14229">
        <v>4126</v>
      </c>
      <c r="B14229">
        <v>60</v>
      </c>
      <c r="C14229" t="s">
        <v>946</v>
      </c>
      <c r="D14229" t="s">
        <v>1010</v>
      </c>
      <c r="E14229" t="s">
        <v>121</v>
      </c>
      <c r="F14229" t="s">
        <v>948</v>
      </c>
      <c r="G14229">
        <v>6077777</v>
      </c>
      <c r="H14229">
        <v>500220</v>
      </c>
      <c r="I14229" t="s">
        <v>949</v>
      </c>
    </row>
    <row r="14230" spans="1:9" x14ac:dyDescent="0.25">
      <c r="A14230">
        <v>4128</v>
      </c>
      <c r="B14230">
        <v>60</v>
      </c>
      <c r="C14230" t="s">
        <v>946</v>
      </c>
      <c r="D14230" t="s">
        <v>1010</v>
      </c>
      <c r="E14230" t="s">
        <v>121</v>
      </c>
      <c r="F14230" t="s">
        <v>948</v>
      </c>
      <c r="G14230">
        <v>6077777</v>
      </c>
      <c r="H14230">
        <v>500221</v>
      </c>
      <c r="I14230" t="s">
        <v>949</v>
      </c>
    </row>
    <row r="14231" spans="1:9" x14ac:dyDescent="0.25">
      <c r="A14231">
        <v>4122</v>
      </c>
      <c r="B14231">
        <v>60</v>
      </c>
      <c r="C14231" t="s">
        <v>946</v>
      </c>
      <c r="D14231" t="s">
        <v>1010</v>
      </c>
      <c r="E14231" t="s">
        <v>984</v>
      </c>
      <c r="F14231" t="s">
        <v>948</v>
      </c>
      <c r="G14231">
        <v>6000000</v>
      </c>
      <c r="H14231">
        <v>141000</v>
      </c>
      <c r="I14231" t="s">
        <v>985</v>
      </c>
    </row>
    <row r="14232" spans="1:9" x14ac:dyDescent="0.25">
      <c r="A14232">
        <v>4124</v>
      </c>
      <c r="B14232">
        <v>60</v>
      </c>
      <c r="C14232" t="s">
        <v>946</v>
      </c>
      <c r="D14232" t="s">
        <v>1010</v>
      </c>
      <c r="E14232" t="s">
        <v>984</v>
      </c>
      <c r="F14232" t="s">
        <v>948</v>
      </c>
      <c r="G14232">
        <v>6000000</v>
      </c>
      <c r="H14232">
        <v>141000</v>
      </c>
      <c r="I14232" t="s">
        <v>985</v>
      </c>
    </row>
    <row r="14233" spans="1:9" x14ac:dyDescent="0.25">
      <c r="A14233">
        <v>4126</v>
      </c>
      <c r="B14233">
        <v>60</v>
      </c>
      <c r="C14233" t="s">
        <v>946</v>
      </c>
      <c r="D14233" t="s">
        <v>1010</v>
      </c>
      <c r="E14233" t="s">
        <v>984</v>
      </c>
      <c r="F14233" t="s">
        <v>948</v>
      </c>
      <c r="G14233">
        <v>6000000</v>
      </c>
      <c r="H14233">
        <v>141000</v>
      </c>
      <c r="I14233" t="s">
        <v>985</v>
      </c>
    </row>
    <row r="14234" spans="1:9" x14ac:dyDescent="0.25">
      <c r="A14234">
        <v>4128</v>
      </c>
      <c r="B14234">
        <v>60</v>
      </c>
      <c r="C14234" t="s">
        <v>946</v>
      </c>
      <c r="D14234" t="s">
        <v>1010</v>
      </c>
      <c r="E14234" t="s">
        <v>984</v>
      </c>
      <c r="F14234" t="s">
        <v>948</v>
      </c>
      <c r="G14234">
        <v>6000000</v>
      </c>
      <c r="H14234">
        <v>141000</v>
      </c>
      <c r="I14234" t="s">
        <v>985</v>
      </c>
    </row>
    <row r="14235" spans="1:9" x14ac:dyDescent="0.25">
      <c r="A14235">
        <v>3220</v>
      </c>
      <c r="B14235">
        <v>60</v>
      </c>
      <c r="C14235" t="s">
        <v>950</v>
      </c>
      <c r="D14235" t="s">
        <v>1011</v>
      </c>
      <c r="E14235" t="s">
        <v>49</v>
      </c>
      <c r="F14235" t="s">
        <v>954</v>
      </c>
      <c r="G14235">
        <v>6077777</v>
      </c>
      <c r="H14235">
        <v>501030</v>
      </c>
      <c r="I14235" t="s">
        <v>949</v>
      </c>
    </row>
    <row r="14236" spans="1:9" x14ac:dyDescent="0.25">
      <c r="A14236">
        <v>3220</v>
      </c>
      <c r="B14236">
        <v>60</v>
      </c>
      <c r="C14236" t="s">
        <v>950</v>
      </c>
      <c r="D14236" t="s">
        <v>1011</v>
      </c>
      <c r="E14236" t="s">
        <v>49</v>
      </c>
      <c r="F14236" t="s">
        <v>955</v>
      </c>
      <c r="G14236">
        <v>6077777</v>
      </c>
      <c r="H14236">
        <v>505100</v>
      </c>
      <c r="I14236" t="s">
        <v>949</v>
      </c>
    </row>
    <row r="14237" spans="1:9" x14ac:dyDescent="0.25">
      <c r="A14237">
        <v>3220</v>
      </c>
      <c r="B14237">
        <v>60</v>
      </c>
      <c r="C14237" t="s">
        <v>950</v>
      </c>
      <c r="D14237" t="s">
        <v>1011</v>
      </c>
      <c r="E14237" t="s">
        <v>49</v>
      </c>
      <c r="F14237" t="s">
        <v>956</v>
      </c>
      <c r="G14237">
        <v>6077777</v>
      </c>
      <c r="H14237">
        <v>501090</v>
      </c>
      <c r="I14237" t="s">
        <v>949</v>
      </c>
    </row>
    <row r="14238" spans="1:9" x14ac:dyDescent="0.25">
      <c r="A14238">
        <v>3220</v>
      </c>
      <c r="B14238">
        <v>60</v>
      </c>
      <c r="C14238" t="s">
        <v>950</v>
      </c>
      <c r="D14238" t="s">
        <v>1011</v>
      </c>
      <c r="E14238" t="s">
        <v>49</v>
      </c>
      <c r="F14238" t="s">
        <v>957</v>
      </c>
      <c r="G14238">
        <v>6077777</v>
      </c>
      <c r="H14238">
        <v>501090</v>
      </c>
      <c r="I14238" t="s">
        <v>949</v>
      </c>
    </row>
    <row r="14239" spans="1:9" x14ac:dyDescent="0.25">
      <c r="A14239">
        <v>3220</v>
      </c>
      <c r="B14239">
        <v>60</v>
      </c>
      <c r="C14239" t="s">
        <v>950</v>
      </c>
      <c r="D14239" t="s">
        <v>1011</v>
      </c>
      <c r="E14239" t="s">
        <v>49</v>
      </c>
      <c r="F14239" t="s">
        <v>958</v>
      </c>
      <c r="G14239">
        <v>6077777</v>
      </c>
      <c r="H14239">
        <v>501090</v>
      </c>
      <c r="I14239" t="s">
        <v>949</v>
      </c>
    </row>
    <row r="14240" spans="1:9" x14ac:dyDescent="0.25">
      <c r="A14240">
        <v>3220</v>
      </c>
      <c r="B14240">
        <v>60</v>
      </c>
      <c r="C14240" t="s">
        <v>962</v>
      </c>
      <c r="D14240" t="s">
        <v>1011</v>
      </c>
      <c r="E14240" t="s">
        <v>49</v>
      </c>
      <c r="F14240" t="s">
        <v>954</v>
      </c>
      <c r="G14240">
        <v>6077777</v>
      </c>
      <c r="H14240">
        <v>501030</v>
      </c>
      <c r="I14240" t="s">
        <v>949</v>
      </c>
    </row>
    <row r="14241" spans="1:9" x14ac:dyDescent="0.25">
      <c r="A14241">
        <v>3220</v>
      </c>
      <c r="B14241">
        <v>60</v>
      </c>
      <c r="C14241" t="s">
        <v>962</v>
      </c>
      <c r="D14241" t="s">
        <v>1011</v>
      </c>
      <c r="E14241" t="s">
        <v>49</v>
      </c>
      <c r="F14241" t="s">
        <v>955</v>
      </c>
      <c r="G14241">
        <v>6077777</v>
      </c>
      <c r="H14241">
        <v>505100</v>
      </c>
      <c r="I14241" t="s">
        <v>949</v>
      </c>
    </row>
    <row r="14242" spans="1:9" x14ac:dyDescent="0.25">
      <c r="A14242">
        <v>3220</v>
      </c>
      <c r="B14242">
        <v>60</v>
      </c>
      <c r="C14242" t="s">
        <v>962</v>
      </c>
      <c r="D14242" t="s">
        <v>1011</v>
      </c>
      <c r="E14242" t="s">
        <v>49</v>
      </c>
      <c r="F14242" t="s">
        <v>956</v>
      </c>
      <c r="G14242">
        <v>6077777</v>
      </c>
      <c r="H14242">
        <v>501090</v>
      </c>
      <c r="I14242" t="s">
        <v>949</v>
      </c>
    </row>
    <row r="14243" spans="1:9" x14ac:dyDescent="0.25">
      <c r="A14243">
        <v>3220</v>
      </c>
      <c r="B14243">
        <v>60</v>
      </c>
      <c r="C14243" t="s">
        <v>962</v>
      </c>
      <c r="D14243" t="s">
        <v>1011</v>
      </c>
      <c r="E14243" t="s">
        <v>49</v>
      </c>
      <c r="F14243" t="s">
        <v>957</v>
      </c>
      <c r="G14243">
        <v>6077777</v>
      </c>
      <c r="H14243">
        <v>501090</v>
      </c>
      <c r="I14243" t="s">
        <v>949</v>
      </c>
    </row>
    <row r="14244" spans="1:9" x14ac:dyDescent="0.25">
      <c r="A14244">
        <v>3220</v>
      </c>
      <c r="B14244">
        <v>60</v>
      </c>
      <c r="C14244" t="s">
        <v>962</v>
      </c>
      <c r="D14244" t="s">
        <v>1011</v>
      </c>
      <c r="E14244" t="s">
        <v>49</v>
      </c>
      <c r="F14244" t="s">
        <v>958</v>
      </c>
      <c r="G14244">
        <v>6077777</v>
      </c>
      <c r="H14244">
        <v>501090</v>
      </c>
      <c r="I14244" t="s">
        <v>949</v>
      </c>
    </row>
    <row r="14245" spans="1:9" x14ac:dyDescent="0.25">
      <c r="A14245">
        <v>3220</v>
      </c>
      <c r="B14245">
        <v>60</v>
      </c>
      <c r="C14245" t="s">
        <v>963</v>
      </c>
      <c r="D14245" t="s">
        <v>1011</v>
      </c>
      <c r="E14245" t="s">
        <v>49</v>
      </c>
      <c r="F14245" t="s">
        <v>954</v>
      </c>
      <c r="G14245">
        <v>6077777</v>
      </c>
      <c r="H14245">
        <v>501030</v>
      </c>
      <c r="I14245" t="s">
        <v>949</v>
      </c>
    </row>
    <row r="14246" spans="1:9" x14ac:dyDescent="0.25">
      <c r="A14246">
        <v>3220</v>
      </c>
      <c r="B14246">
        <v>60</v>
      </c>
      <c r="C14246" t="s">
        <v>963</v>
      </c>
      <c r="D14246" t="s">
        <v>1011</v>
      </c>
      <c r="E14246" t="s">
        <v>49</v>
      </c>
      <c r="F14246" t="s">
        <v>955</v>
      </c>
      <c r="G14246">
        <v>6077777</v>
      </c>
      <c r="H14246">
        <v>505100</v>
      </c>
      <c r="I14246" t="s">
        <v>949</v>
      </c>
    </row>
    <row r="14247" spans="1:9" x14ac:dyDescent="0.25">
      <c r="A14247">
        <v>3220</v>
      </c>
      <c r="B14247">
        <v>60</v>
      </c>
      <c r="C14247" t="s">
        <v>963</v>
      </c>
      <c r="D14247" t="s">
        <v>1011</v>
      </c>
      <c r="E14247" t="s">
        <v>49</v>
      </c>
      <c r="F14247" t="s">
        <v>956</v>
      </c>
      <c r="G14247">
        <v>6077777</v>
      </c>
      <c r="H14247">
        <v>501090</v>
      </c>
      <c r="I14247" t="s">
        <v>949</v>
      </c>
    </row>
    <row r="14248" spans="1:9" x14ac:dyDescent="0.25">
      <c r="A14248">
        <v>3220</v>
      </c>
      <c r="B14248">
        <v>60</v>
      </c>
      <c r="C14248" t="s">
        <v>963</v>
      </c>
      <c r="D14248" t="s">
        <v>1011</v>
      </c>
      <c r="E14248" t="s">
        <v>49</v>
      </c>
      <c r="F14248" t="s">
        <v>957</v>
      </c>
      <c r="G14248">
        <v>6077777</v>
      </c>
      <c r="H14248">
        <v>501090</v>
      </c>
      <c r="I14248" t="s">
        <v>949</v>
      </c>
    </row>
    <row r="14249" spans="1:9" x14ac:dyDescent="0.25">
      <c r="A14249">
        <v>3220</v>
      </c>
      <c r="B14249">
        <v>60</v>
      </c>
      <c r="C14249" t="s">
        <v>963</v>
      </c>
      <c r="D14249" t="s">
        <v>1011</v>
      </c>
      <c r="E14249" t="s">
        <v>49</v>
      </c>
      <c r="F14249" t="s">
        <v>958</v>
      </c>
      <c r="G14249">
        <v>6077777</v>
      </c>
      <c r="H14249">
        <v>501090</v>
      </c>
      <c r="I14249" t="s">
        <v>949</v>
      </c>
    </row>
    <row r="14250" spans="1:9" x14ac:dyDescent="0.25">
      <c r="A14250">
        <v>3240</v>
      </c>
      <c r="B14250">
        <v>60</v>
      </c>
      <c r="C14250" t="s">
        <v>950</v>
      </c>
      <c r="D14250" t="s">
        <v>1011</v>
      </c>
      <c r="E14250" t="s">
        <v>49</v>
      </c>
      <c r="F14250" t="s">
        <v>951</v>
      </c>
      <c r="G14250">
        <v>6077777</v>
      </c>
      <c r="H14250">
        <v>501015</v>
      </c>
      <c r="I14250" t="s">
        <v>949</v>
      </c>
    </row>
    <row r="14251" spans="1:9" x14ac:dyDescent="0.25">
      <c r="A14251">
        <v>3240</v>
      </c>
      <c r="B14251">
        <v>60</v>
      </c>
      <c r="C14251" t="s">
        <v>950</v>
      </c>
      <c r="D14251" t="s">
        <v>1011</v>
      </c>
      <c r="E14251" t="s">
        <v>49</v>
      </c>
      <c r="F14251" t="s">
        <v>952</v>
      </c>
      <c r="G14251">
        <v>6077777</v>
      </c>
      <c r="H14251">
        <v>501015</v>
      </c>
      <c r="I14251" t="s">
        <v>949</v>
      </c>
    </row>
    <row r="14252" spans="1:9" x14ac:dyDescent="0.25">
      <c r="A14252">
        <v>3240</v>
      </c>
      <c r="B14252">
        <v>60</v>
      </c>
      <c r="C14252" t="s">
        <v>950</v>
      </c>
      <c r="D14252" t="s">
        <v>1011</v>
      </c>
      <c r="E14252" t="s">
        <v>49</v>
      </c>
      <c r="F14252" t="s">
        <v>956</v>
      </c>
      <c r="G14252">
        <v>6077777</v>
      </c>
      <c r="H14252">
        <v>501015</v>
      </c>
      <c r="I14252" t="s">
        <v>949</v>
      </c>
    </row>
    <row r="14253" spans="1:9" x14ac:dyDescent="0.25">
      <c r="A14253">
        <v>3240</v>
      </c>
      <c r="B14253">
        <v>60</v>
      </c>
      <c r="C14253" t="s">
        <v>950</v>
      </c>
      <c r="D14253" t="s">
        <v>1011</v>
      </c>
      <c r="E14253" t="s">
        <v>49</v>
      </c>
      <c r="F14253" t="s">
        <v>957</v>
      </c>
      <c r="G14253">
        <v>6077777</v>
      </c>
      <c r="H14253">
        <v>501015</v>
      </c>
      <c r="I14253" t="s">
        <v>949</v>
      </c>
    </row>
    <row r="14254" spans="1:9" x14ac:dyDescent="0.25">
      <c r="A14254">
        <v>3240</v>
      </c>
      <c r="B14254">
        <v>60</v>
      </c>
      <c r="C14254" t="s">
        <v>950</v>
      </c>
      <c r="D14254" t="s">
        <v>1011</v>
      </c>
      <c r="E14254" t="s">
        <v>49</v>
      </c>
      <c r="F14254" t="s">
        <v>958</v>
      </c>
      <c r="G14254">
        <v>6077777</v>
      </c>
      <c r="H14254">
        <v>501015</v>
      </c>
      <c r="I14254" t="s">
        <v>949</v>
      </c>
    </row>
    <row r="14255" spans="1:9" x14ac:dyDescent="0.25">
      <c r="A14255">
        <v>3240</v>
      </c>
      <c r="B14255">
        <v>60</v>
      </c>
      <c r="C14255" t="s">
        <v>950</v>
      </c>
      <c r="D14255" t="s">
        <v>1011</v>
      </c>
      <c r="E14255" t="s">
        <v>49</v>
      </c>
      <c r="F14255" t="s">
        <v>959</v>
      </c>
      <c r="G14255">
        <v>6077777</v>
      </c>
      <c r="H14255">
        <v>501015</v>
      </c>
      <c r="I14255" t="s">
        <v>949</v>
      </c>
    </row>
    <row r="14256" spans="1:9" x14ac:dyDescent="0.25">
      <c r="A14256">
        <v>3240</v>
      </c>
      <c r="B14256">
        <v>60</v>
      </c>
      <c r="C14256" t="s">
        <v>950</v>
      </c>
      <c r="D14256" t="s">
        <v>1011</v>
      </c>
      <c r="E14256" t="s">
        <v>49</v>
      </c>
      <c r="F14256" t="s">
        <v>960</v>
      </c>
      <c r="G14256">
        <v>6077777</v>
      </c>
      <c r="H14256">
        <v>501015</v>
      </c>
      <c r="I14256" t="s">
        <v>949</v>
      </c>
    </row>
    <row r="14257" spans="1:9" x14ac:dyDescent="0.25">
      <c r="A14257">
        <v>3240</v>
      </c>
      <c r="B14257">
        <v>60</v>
      </c>
      <c r="C14257" t="s">
        <v>950</v>
      </c>
      <c r="D14257" t="s">
        <v>1011</v>
      </c>
      <c r="E14257" t="s">
        <v>49</v>
      </c>
      <c r="F14257" t="s">
        <v>961</v>
      </c>
      <c r="G14257">
        <v>6077777</v>
      </c>
      <c r="H14257">
        <v>501015</v>
      </c>
      <c r="I14257" t="s">
        <v>949</v>
      </c>
    </row>
    <row r="14258" spans="1:9" x14ac:dyDescent="0.25">
      <c r="A14258">
        <v>3240</v>
      </c>
      <c r="B14258">
        <v>60</v>
      </c>
      <c r="C14258" t="s">
        <v>962</v>
      </c>
      <c r="D14258" t="s">
        <v>1011</v>
      </c>
      <c r="E14258" t="s">
        <v>49</v>
      </c>
      <c r="F14258" t="s">
        <v>951</v>
      </c>
      <c r="G14258">
        <v>6077777</v>
      </c>
      <c r="H14258">
        <v>501015</v>
      </c>
      <c r="I14258" t="s">
        <v>949</v>
      </c>
    </row>
    <row r="14259" spans="1:9" x14ac:dyDescent="0.25">
      <c r="A14259">
        <v>3240</v>
      </c>
      <c r="B14259">
        <v>60</v>
      </c>
      <c r="C14259" t="s">
        <v>962</v>
      </c>
      <c r="D14259" t="s">
        <v>1011</v>
      </c>
      <c r="E14259" t="s">
        <v>49</v>
      </c>
      <c r="F14259" t="s">
        <v>952</v>
      </c>
      <c r="G14259">
        <v>6077777</v>
      </c>
      <c r="H14259">
        <v>501015</v>
      </c>
      <c r="I14259" t="s">
        <v>949</v>
      </c>
    </row>
    <row r="14260" spans="1:9" x14ac:dyDescent="0.25">
      <c r="A14260">
        <v>3240</v>
      </c>
      <c r="B14260">
        <v>60</v>
      </c>
      <c r="C14260" t="s">
        <v>962</v>
      </c>
      <c r="D14260" t="s">
        <v>1011</v>
      </c>
      <c r="E14260" t="s">
        <v>49</v>
      </c>
      <c r="F14260" t="s">
        <v>956</v>
      </c>
      <c r="G14260">
        <v>6077777</v>
      </c>
      <c r="H14260">
        <v>501015</v>
      </c>
      <c r="I14260" t="s">
        <v>949</v>
      </c>
    </row>
    <row r="14261" spans="1:9" x14ac:dyDescent="0.25">
      <c r="A14261">
        <v>3240</v>
      </c>
      <c r="B14261">
        <v>60</v>
      </c>
      <c r="C14261" t="s">
        <v>962</v>
      </c>
      <c r="D14261" t="s">
        <v>1011</v>
      </c>
      <c r="E14261" t="s">
        <v>49</v>
      </c>
      <c r="F14261" t="s">
        <v>957</v>
      </c>
      <c r="G14261">
        <v>6077777</v>
      </c>
      <c r="H14261">
        <v>501015</v>
      </c>
      <c r="I14261" t="s">
        <v>949</v>
      </c>
    </row>
    <row r="14262" spans="1:9" x14ac:dyDescent="0.25">
      <c r="A14262">
        <v>3240</v>
      </c>
      <c r="B14262">
        <v>60</v>
      </c>
      <c r="C14262" t="s">
        <v>962</v>
      </c>
      <c r="D14262" t="s">
        <v>1011</v>
      </c>
      <c r="E14262" t="s">
        <v>49</v>
      </c>
      <c r="F14262" t="s">
        <v>958</v>
      </c>
      <c r="G14262">
        <v>6077777</v>
      </c>
      <c r="H14262">
        <v>501015</v>
      </c>
      <c r="I14262" t="s">
        <v>949</v>
      </c>
    </row>
    <row r="14263" spans="1:9" x14ac:dyDescent="0.25">
      <c r="A14263">
        <v>3240</v>
      </c>
      <c r="B14263">
        <v>60</v>
      </c>
      <c r="C14263" t="s">
        <v>962</v>
      </c>
      <c r="D14263" t="s">
        <v>1011</v>
      </c>
      <c r="E14263" t="s">
        <v>49</v>
      </c>
      <c r="F14263" t="s">
        <v>959</v>
      </c>
      <c r="G14263">
        <v>6077777</v>
      </c>
      <c r="H14263">
        <v>501015</v>
      </c>
      <c r="I14263" t="s">
        <v>949</v>
      </c>
    </row>
    <row r="14264" spans="1:9" x14ac:dyDescent="0.25">
      <c r="A14264">
        <v>3240</v>
      </c>
      <c r="B14264">
        <v>60</v>
      </c>
      <c r="C14264" t="s">
        <v>962</v>
      </c>
      <c r="D14264" t="s">
        <v>1011</v>
      </c>
      <c r="E14264" t="s">
        <v>49</v>
      </c>
      <c r="F14264" t="s">
        <v>960</v>
      </c>
      <c r="G14264">
        <v>6077777</v>
      </c>
      <c r="H14264">
        <v>501015</v>
      </c>
      <c r="I14264" t="s">
        <v>949</v>
      </c>
    </row>
    <row r="14265" spans="1:9" x14ac:dyDescent="0.25">
      <c r="A14265">
        <v>3240</v>
      </c>
      <c r="B14265">
        <v>60</v>
      </c>
      <c r="C14265" t="s">
        <v>962</v>
      </c>
      <c r="D14265" t="s">
        <v>1011</v>
      </c>
      <c r="E14265" t="s">
        <v>49</v>
      </c>
      <c r="F14265" t="s">
        <v>961</v>
      </c>
      <c r="G14265">
        <v>6077777</v>
      </c>
      <c r="H14265">
        <v>501015</v>
      </c>
      <c r="I14265" t="s">
        <v>949</v>
      </c>
    </row>
    <row r="14266" spans="1:9" x14ac:dyDescent="0.25">
      <c r="A14266">
        <v>3240</v>
      </c>
      <c r="B14266">
        <v>60</v>
      </c>
      <c r="C14266" t="s">
        <v>963</v>
      </c>
      <c r="D14266" t="s">
        <v>1011</v>
      </c>
      <c r="E14266" t="s">
        <v>49</v>
      </c>
      <c r="F14266" t="s">
        <v>951</v>
      </c>
      <c r="G14266">
        <v>6077777</v>
      </c>
      <c r="H14266">
        <v>501015</v>
      </c>
      <c r="I14266" t="s">
        <v>949</v>
      </c>
    </row>
    <row r="14267" spans="1:9" x14ac:dyDescent="0.25">
      <c r="A14267">
        <v>3240</v>
      </c>
      <c r="B14267">
        <v>60</v>
      </c>
      <c r="C14267" t="s">
        <v>963</v>
      </c>
      <c r="D14267" t="s">
        <v>1011</v>
      </c>
      <c r="E14267" t="s">
        <v>49</v>
      </c>
      <c r="F14267" t="s">
        <v>952</v>
      </c>
      <c r="G14267">
        <v>6077777</v>
      </c>
      <c r="H14267">
        <v>501015</v>
      </c>
      <c r="I14267" t="s">
        <v>949</v>
      </c>
    </row>
    <row r="14268" spans="1:9" x14ac:dyDescent="0.25">
      <c r="A14268">
        <v>3240</v>
      </c>
      <c r="B14268">
        <v>60</v>
      </c>
      <c r="C14268" t="s">
        <v>963</v>
      </c>
      <c r="D14268" t="s">
        <v>1011</v>
      </c>
      <c r="E14268" t="s">
        <v>49</v>
      </c>
      <c r="F14268" t="s">
        <v>956</v>
      </c>
      <c r="G14268">
        <v>6077777</v>
      </c>
      <c r="H14268">
        <v>501015</v>
      </c>
      <c r="I14268" t="s">
        <v>949</v>
      </c>
    </row>
    <row r="14269" spans="1:9" x14ac:dyDescent="0.25">
      <c r="A14269">
        <v>3240</v>
      </c>
      <c r="B14269">
        <v>60</v>
      </c>
      <c r="C14269" t="s">
        <v>963</v>
      </c>
      <c r="D14269" t="s">
        <v>1011</v>
      </c>
      <c r="E14269" t="s">
        <v>49</v>
      </c>
      <c r="F14269" t="s">
        <v>957</v>
      </c>
      <c r="G14269">
        <v>6077777</v>
      </c>
      <c r="H14269">
        <v>501015</v>
      </c>
      <c r="I14269" t="s">
        <v>949</v>
      </c>
    </row>
    <row r="14270" spans="1:9" x14ac:dyDescent="0.25">
      <c r="A14270">
        <v>3240</v>
      </c>
      <c r="B14270">
        <v>60</v>
      </c>
      <c r="C14270" t="s">
        <v>963</v>
      </c>
      <c r="D14270" t="s">
        <v>1011</v>
      </c>
      <c r="E14270" t="s">
        <v>49</v>
      </c>
      <c r="F14270" t="s">
        <v>958</v>
      </c>
      <c r="G14270">
        <v>6077777</v>
      </c>
      <c r="H14270">
        <v>501015</v>
      </c>
      <c r="I14270" t="s">
        <v>949</v>
      </c>
    </row>
    <row r="14271" spans="1:9" x14ac:dyDescent="0.25">
      <c r="A14271">
        <v>3240</v>
      </c>
      <c r="B14271">
        <v>60</v>
      </c>
      <c r="C14271" t="s">
        <v>963</v>
      </c>
      <c r="D14271" t="s">
        <v>1011</v>
      </c>
      <c r="E14271" t="s">
        <v>49</v>
      </c>
      <c r="F14271" t="s">
        <v>959</v>
      </c>
      <c r="G14271">
        <v>6077777</v>
      </c>
      <c r="H14271">
        <v>501015</v>
      </c>
      <c r="I14271" t="s">
        <v>949</v>
      </c>
    </row>
    <row r="14272" spans="1:9" x14ac:dyDescent="0.25">
      <c r="A14272">
        <v>3240</v>
      </c>
      <c r="B14272">
        <v>60</v>
      </c>
      <c r="C14272" t="s">
        <v>963</v>
      </c>
      <c r="D14272" t="s">
        <v>1011</v>
      </c>
      <c r="E14272" t="s">
        <v>49</v>
      </c>
      <c r="F14272" t="s">
        <v>960</v>
      </c>
      <c r="G14272">
        <v>6077777</v>
      </c>
      <c r="H14272">
        <v>501015</v>
      </c>
      <c r="I14272" t="s">
        <v>949</v>
      </c>
    </row>
    <row r="14273" spans="1:9" x14ac:dyDescent="0.25">
      <c r="A14273">
        <v>3240</v>
      </c>
      <c r="B14273">
        <v>60</v>
      </c>
      <c r="C14273" t="s">
        <v>963</v>
      </c>
      <c r="D14273" t="s">
        <v>1011</v>
      </c>
      <c r="E14273" t="s">
        <v>49</v>
      </c>
      <c r="F14273" t="s">
        <v>961</v>
      </c>
      <c r="G14273">
        <v>6077777</v>
      </c>
      <c r="H14273">
        <v>501015</v>
      </c>
      <c r="I14273" t="s">
        <v>949</v>
      </c>
    </row>
    <row r="14274" spans="1:9" x14ac:dyDescent="0.25">
      <c r="A14274">
        <v>3260</v>
      </c>
      <c r="B14274">
        <v>60</v>
      </c>
      <c r="C14274" t="s">
        <v>950</v>
      </c>
      <c r="D14274" t="s">
        <v>1011</v>
      </c>
      <c r="E14274" t="s">
        <v>49</v>
      </c>
      <c r="F14274" t="s">
        <v>951</v>
      </c>
      <c r="G14274">
        <v>6077777</v>
      </c>
      <c r="H14274">
        <v>501087</v>
      </c>
      <c r="I14274" t="s">
        <v>949</v>
      </c>
    </row>
    <row r="14275" spans="1:9" x14ac:dyDescent="0.25">
      <c r="A14275">
        <v>3260</v>
      </c>
      <c r="B14275">
        <v>60</v>
      </c>
      <c r="C14275" t="s">
        <v>950</v>
      </c>
      <c r="D14275" t="s">
        <v>1011</v>
      </c>
      <c r="E14275" t="s">
        <v>49</v>
      </c>
      <c r="F14275" t="s">
        <v>952</v>
      </c>
      <c r="G14275">
        <v>6077777</v>
      </c>
      <c r="H14275">
        <v>501087</v>
      </c>
      <c r="I14275" t="s">
        <v>949</v>
      </c>
    </row>
    <row r="14276" spans="1:9" x14ac:dyDescent="0.25">
      <c r="A14276">
        <v>3260</v>
      </c>
      <c r="B14276">
        <v>60</v>
      </c>
      <c r="C14276" t="s">
        <v>950</v>
      </c>
      <c r="D14276" t="s">
        <v>1011</v>
      </c>
      <c r="E14276" t="s">
        <v>49</v>
      </c>
      <c r="F14276" t="s">
        <v>953</v>
      </c>
      <c r="G14276">
        <v>6077777</v>
      </c>
      <c r="H14276">
        <v>501087</v>
      </c>
      <c r="I14276" t="s">
        <v>949</v>
      </c>
    </row>
    <row r="14277" spans="1:9" x14ac:dyDescent="0.25">
      <c r="A14277">
        <v>3260</v>
      </c>
      <c r="B14277">
        <v>60</v>
      </c>
      <c r="C14277" t="s">
        <v>950</v>
      </c>
      <c r="D14277" t="s">
        <v>1011</v>
      </c>
      <c r="E14277" t="s">
        <v>49</v>
      </c>
      <c r="F14277" t="s">
        <v>954</v>
      </c>
      <c r="G14277">
        <v>6077777</v>
      </c>
      <c r="H14277">
        <v>501087</v>
      </c>
      <c r="I14277" t="s">
        <v>949</v>
      </c>
    </row>
    <row r="14278" spans="1:9" x14ac:dyDescent="0.25">
      <c r="A14278">
        <v>3260</v>
      </c>
      <c r="B14278">
        <v>60</v>
      </c>
      <c r="C14278" t="s">
        <v>950</v>
      </c>
      <c r="D14278" t="s">
        <v>1011</v>
      </c>
      <c r="E14278" t="s">
        <v>49</v>
      </c>
      <c r="F14278" t="s">
        <v>955</v>
      </c>
      <c r="G14278">
        <v>6077777</v>
      </c>
      <c r="H14278">
        <v>501087</v>
      </c>
      <c r="I14278" t="s">
        <v>949</v>
      </c>
    </row>
    <row r="14279" spans="1:9" x14ac:dyDescent="0.25">
      <c r="A14279">
        <v>3260</v>
      </c>
      <c r="B14279">
        <v>60</v>
      </c>
      <c r="C14279" t="s">
        <v>950</v>
      </c>
      <c r="D14279" t="s">
        <v>1011</v>
      </c>
      <c r="E14279" t="s">
        <v>49</v>
      </c>
      <c r="F14279" t="s">
        <v>956</v>
      </c>
      <c r="G14279">
        <v>6077777</v>
      </c>
      <c r="H14279">
        <v>501087</v>
      </c>
      <c r="I14279" t="s">
        <v>949</v>
      </c>
    </row>
    <row r="14280" spans="1:9" x14ac:dyDescent="0.25">
      <c r="A14280">
        <v>3260</v>
      </c>
      <c r="B14280">
        <v>60</v>
      </c>
      <c r="C14280" t="s">
        <v>950</v>
      </c>
      <c r="D14280" t="s">
        <v>1011</v>
      </c>
      <c r="E14280" t="s">
        <v>49</v>
      </c>
      <c r="F14280" t="s">
        <v>957</v>
      </c>
      <c r="G14280">
        <v>6077777</v>
      </c>
      <c r="H14280">
        <v>501087</v>
      </c>
      <c r="I14280" t="s">
        <v>949</v>
      </c>
    </row>
    <row r="14281" spans="1:9" x14ac:dyDescent="0.25">
      <c r="A14281">
        <v>3260</v>
      </c>
      <c r="B14281">
        <v>60</v>
      </c>
      <c r="C14281" t="s">
        <v>950</v>
      </c>
      <c r="D14281" t="s">
        <v>1011</v>
      </c>
      <c r="E14281" t="s">
        <v>49</v>
      </c>
      <c r="F14281" t="s">
        <v>958</v>
      </c>
      <c r="G14281">
        <v>6077777</v>
      </c>
      <c r="H14281">
        <v>501087</v>
      </c>
      <c r="I14281" t="s">
        <v>949</v>
      </c>
    </row>
    <row r="14282" spans="1:9" x14ac:dyDescent="0.25">
      <c r="A14282">
        <v>3260</v>
      </c>
      <c r="B14282">
        <v>60</v>
      </c>
      <c r="C14282" t="s">
        <v>950</v>
      </c>
      <c r="D14282" t="s">
        <v>1011</v>
      </c>
      <c r="E14282" t="s">
        <v>49</v>
      </c>
      <c r="F14282" t="s">
        <v>959</v>
      </c>
      <c r="G14282">
        <v>6077777</v>
      </c>
      <c r="H14282">
        <v>501087</v>
      </c>
      <c r="I14282" t="s">
        <v>949</v>
      </c>
    </row>
    <row r="14283" spans="1:9" x14ac:dyDescent="0.25">
      <c r="A14283">
        <v>3260</v>
      </c>
      <c r="B14283">
        <v>60</v>
      </c>
      <c r="C14283" t="s">
        <v>950</v>
      </c>
      <c r="D14283" t="s">
        <v>1011</v>
      </c>
      <c r="E14283" t="s">
        <v>49</v>
      </c>
      <c r="F14283" t="s">
        <v>960</v>
      </c>
      <c r="G14283">
        <v>6077777</v>
      </c>
      <c r="H14283">
        <v>501087</v>
      </c>
      <c r="I14283" t="s">
        <v>949</v>
      </c>
    </row>
    <row r="14284" spans="1:9" x14ac:dyDescent="0.25">
      <c r="A14284">
        <v>3260</v>
      </c>
      <c r="B14284">
        <v>60</v>
      </c>
      <c r="C14284" t="s">
        <v>950</v>
      </c>
      <c r="D14284" t="s">
        <v>1011</v>
      </c>
      <c r="E14284" t="s">
        <v>49</v>
      </c>
      <c r="F14284" t="s">
        <v>961</v>
      </c>
      <c r="G14284">
        <v>6077777</v>
      </c>
      <c r="H14284">
        <v>501087</v>
      </c>
      <c r="I14284" t="s">
        <v>949</v>
      </c>
    </row>
    <row r="14285" spans="1:9" x14ac:dyDescent="0.25">
      <c r="A14285">
        <v>3260</v>
      </c>
      <c r="B14285">
        <v>60</v>
      </c>
      <c r="C14285" t="s">
        <v>962</v>
      </c>
      <c r="D14285" t="s">
        <v>1011</v>
      </c>
      <c r="E14285" t="s">
        <v>49</v>
      </c>
      <c r="F14285" t="s">
        <v>951</v>
      </c>
      <c r="G14285">
        <v>6077777</v>
      </c>
      <c r="H14285">
        <v>501087</v>
      </c>
      <c r="I14285" t="s">
        <v>949</v>
      </c>
    </row>
    <row r="14286" spans="1:9" x14ac:dyDescent="0.25">
      <c r="A14286">
        <v>3260</v>
      </c>
      <c r="B14286">
        <v>60</v>
      </c>
      <c r="C14286" t="s">
        <v>962</v>
      </c>
      <c r="D14286" t="s">
        <v>1011</v>
      </c>
      <c r="E14286" t="s">
        <v>49</v>
      </c>
      <c r="F14286" t="s">
        <v>952</v>
      </c>
      <c r="G14286">
        <v>6077777</v>
      </c>
      <c r="H14286">
        <v>501087</v>
      </c>
      <c r="I14286" t="s">
        <v>949</v>
      </c>
    </row>
    <row r="14287" spans="1:9" x14ac:dyDescent="0.25">
      <c r="A14287">
        <v>3260</v>
      </c>
      <c r="B14287">
        <v>60</v>
      </c>
      <c r="C14287" t="s">
        <v>962</v>
      </c>
      <c r="D14287" t="s">
        <v>1011</v>
      </c>
      <c r="E14287" t="s">
        <v>49</v>
      </c>
      <c r="F14287" t="s">
        <v>953</v>
      </c>
      <c r="G14287">
        <v>6077777</v>
      </c>
      <c r="H14287">
        <v>501087</v>
      </c>
      <c r="I14287" t="s">
        <v>949</v>
      </c>
    </row>
    <row r="14288" spans="1:9" x14ac:dyDescent="0.25">
      <c r="A14288">
        <v>3260</v>
      </c>
      <c r="B14288">
        <v>60</v>
      </c>
      <c r="C14288" t="s">
        <v>962</v>
      </c>
      <c r="D14288" t="s">
        <v>1011</v>
      </c>
      <c r="E14288" t="s">
        <v>49</v>
      </c>
      <c r="F14288" t="s">
        <v>954</v>
      </c>
      <c r="G14288">
        <v>6077777</v>
      </c>
      <c r="H14288">
        <v>501087</v>
      </c>
      <c r="I14288" t="s">
        <v>949</v>
      </c>
    </row>
    <row r="14289" spans="1:9" x14ac:dyDescent="0.25">
      <c r="A14289">
        <v>3260</v>
      </c>
      <c r="B14289">
        <v>60</v>
      </c>
      <c r="C14289" t="s">
        <v>962</v>
      </c>
      <c r="D14289" t="s">
        <v>1011</v>
      </c>
      <c r="E14289" t="s">
        <v>49</v>
      </c>
      <c r="F14289" t="s">
        <v>955</v>
      </c>
      <c r="G14289">
        <v>6077777</v>
      </c>
      <c r="H14289">
        <v>501087</v>
      </c>
      <c r="I14289" t="s">
        <v>949</v>
      </c>
    </row>
    <row r="14290" spans="1:9" x14ac:dyDescent="0.25">
      <c r="A14290">
        <v>3260</v>
      </c>
      <c r="B14290">
        <v>60</v>
      </c>
      <c r="C14290" t="s">
        <v>962</v>
      </c>
      <c r="D14290" t="s">
        <v>1011</v>
      </c>
      <c r="E14290" t="s">
        <v>49</v>
      </c>
      <c r="F14290" t="s">
        <v>956</v>
      </c>
      <c r="G14290">
        <v>6077777</v>
      </c>
      <c r="H14290">
        <v>501087</v>
      </c>
      <c r="I14290" t="s">
        <v>949</v>
      </c>
    </row>
    <row r="14291" spans="1:9" x14ac:dyDescent="0.25">
      <c r="A14291">
        <v>3260</v>
      </c>
      <c r="B14291">
        <v>60</v>
      </c>
      <c r="C14291" t="s">
        <v>962</v>
      </c>
      <c r="D14291" t="s">
        <v>1011</v>
      </c>
      <c r="E14291" t="s">
        <v>49</v>
      </c>
      <c r="F14291" t="s">
        <v>957</v>
      </c>
      <c r="G14291">
        <v>6077777</v>
      </c>
      <c r="H14291">
        <v>501087</v>
      </c>
      <c r="I14291" t="s">
        <v>949</v>
      </c>
    </row>
    <row r="14292" spans="1:9" x14ac:dyDescent="0.25">
      <c r="A14292">
        <v>3260</v>
      </c>
      <c r="B14292">
        <v>60</v>
      </c>
      <c r="C14292" t="s">
        <v>962</v>
      </c>
      <c r="D14292" t="s">
        <v>1011</v>
      </c>
      <c r="E14292" t="s">
        <v>49</v>
      </c>
      <c r="F14292" t="s">
        <v>958</v>
      </c>
      <c r="G14292">
        <v>6077777</v>
      </c>
      <c r="H14292">
        <v>501087</v>
      </c>
      <c r="I14292" t="s">
        <v>949</v>
      </c>
    </row>
    <row r="14293" spans="1:9" x14ac:dyDescent="0.25">
      <c r="A14293">
        <v>3260</v>
      </c>
      <c r="B14293">
        <v>60</v>
      </c>
      <c r="C14293" t="s">
        <v>962</v>
      </c>
      <c r="D14293" t="s">
        <v>1011</v>
      </c>
      <c r="E14293" t="s">
        <v>49</v>
      </c>
      <c r="F14293" t="s">
        <v>959</v>
      </c>
      <c r="G14293">
        <v>6077777</v>
      </c>
      <c r="H14293">
        <v>501087</v>
      </c>
      <c r="I14293" t="s">
        <v>949</v>
      </c>
    </row>
    <row r="14294" spans="1:9" x14ac:dyDescent="0.25">
      <c r="A14294">
        <v>3260</v>
      </c>
      <c r="B14294">
        <v>60</v>
      </c>
      <c r="C14294" t="s">
        <v>962</v>
      </c>
      <c r="D14294" t="s">
        <v>1011</v>
      </c>
      <c r="E14294" t="s">
        <v>49</v>
      </c>
      <c r="F14294" t="s">
        <v>960</v>
      </c>
      <c r="G14294">
        <v>6077777</v>
      </c>
      <c r="H14294">
        <v>501087</v>
      </c>
      <c r="I14294" t="s">
        <v>949</v>
      </c>
    </row>
    <row r="14295" spans="1:9" x14ac:dyDescent="0.25">
      <c r="A14295">
        <v>3260</v>
      </c>
      <c r="B14295">
        <v>60</v>
      </c>
      <c r="C14295" t="s">
        <v>962</v>
      </c>
      <c r="D14295" t="s">
        <v>1011</v>
      </c>
      <c r="E14295" t="s">
        <v>49</v>
      </c>
      <c r="F14295" t="s">
        <v>961</v>
      </c>
      <c r="G14295">
        <v>6077777</v>
      </c>
      <c r="H14295">
        <v>501087</v>
      </c>
      <c r="I14295" t="s">
        <v>949</v>
      </c>
    </row>
    <row r="14296" spans="1:9" x14ac:dyDescent="0.25">
      <c r="A14296">
        <v>3260</v>
      </c>
      <c r="B14296">
        <v>60</v>
      </c>
      <c r="C14296" t="s">
        <v>963</v>
      </c>
      <c r="D14296" t="s">
        <v>1011</v>
      </c>
      <c r="E14296" t="s">
        <v>49</v>
      </c>
      <c r="F14296" t="s">
        <v>951</v>
      </c>
      <c r="G14296">
        <v>6077777</v>
      </c>
      <c r="H14296">
        <v>501087</v>
      </c>
      <c r="I14296" t="s">
        <v>949</v>
      </c>
    </row>
    <row r="14297" spans="1:9" x14ac:dyDescent="0.25">
      <c r="A14297">
        <v>3260</v>
      </c>
      <c r="B14297">
        <v>60</v>
      </c>
      <c r="C14297" t="s">
        <v>963</v>
      </c>
      <c r="D14297" t="s">
        <v>1011</v>
      </c>
      <c r="E14297" t="s">
        <v>49</v>
      </c>
      <c r="F14297" t="s">
        <v>952</v>
      </c>
      <c r="G14297">
        <v>6077777</v>
      </c>
      <c r="H14297">
        <v>501087</v>
      </c>
      <c r="I14297" t="s">
        <v>949</v>
      </c>
    </row>
    <row r="14298" spans="1:9" x14ac:dyDescent="0.25">
      <c r="A14298">
        <v>3260</v>
      </c>
      <c r="B14298">
        <v>60</v>
      </c>
      <c r="C14298" t="s">
        <v>963</v>
      </c>
      <c r="D14298" t="s">
        <v>1011</v>
      </c>
      <c r="E14298" t="s">
        <v>49</v>
      </c>
      <c r="F14298" t="s">
        <v>953</v>
      </c>
      <c r="G14298">
        <v>6077777</v>
      </c>
      <c r="H14298">
        <v>501087</v>
      </c>
      <c r="I14298" t="s">
        <v>949</v>
      </c>
    </row>
    <row r="14299" spans="1:9" x14ac:dyDescent="0.25">
      <c r="A14299">
        <v>3260</v>
      </c>
      <c r="B14299">
        <v>60</v>
      </c>
      <c r="C14299" t="s">
        <v>963</v>
      </c>
      <c r="D14299" t="s">
        <v>1011</v>
      </c>
      <c r="E14299" t="s">
        <v>49</v>
      </c>
      <c r="F14299" t="s">
        <v>954</v>
      </c>
      <c r="G14299">
        <v>6077777</v>
      </c>
      <c r="H14299">
        <v>501087</v>
      </c>
      <c r="I14299" t="s">
        <v>949</v>
      </c>
    </row>
    <row r="14300" spans="1:9" x14ac:dyDescent="0.25">
      <c r="A14300">
        <v>3260</v>
      </c>
      <c r="B14300">
        <v>60</v>
      </c>
      <c r="C14300" t="s">
        <v>963</v>
      </c>
      <c r="D14300" t="s">
        <v>1011</v>
      </c>
      <c r="E14300" t="s">
        <v>49</v>
      </c>
      <c r="F14300" t="s">
        <v>955</v>
      </c>
      <c r="G14300">
        <v>6077777</v>
      </c>
      <c r="H14300">
        <v>501087</v>
      </c>
      <c r="I14300" t="s">
        <v>949</v>
      </c>
    </row>
    <row r="14301" spans="1:9" x14ac:dyDescent="0.25">
      <c r="A14301">
        <v>3260</v>
      </c>
      <c r="B14301">
        <v>60</v>
      </c>
      <c r="C14301" t="s">
        <v>963</v>
      </c>
      <c r="D14301" t="s">
        <v>1011</v>
      </c>
      <c r="E14301" t="s">
        <v>49</v>
      </c>
      <c r="F14301" t="s">
        <v>956</v>
      </c>
      <c r="G14301">
        <v>6077777</v>
      </c>
      <c r="H14301">
        <v>501087</v>
      </c>
      <c r="I14301" t="s">
        <v>949</v>
      </c>
    </row>
    <row r="14302" spans="1:9" x14ac:dyDescent="0.25">
      <c r="A14302">
        <v>3260</v>
      </c>
      <c r="B14302">
        <v>60</v>
      </c>
      <c r="C14302" t="s">
        <v>963</v>
      </c>
      <c r="D14302" t="s">
        <v>1011</v>
      </c>
      <c r="E14302" t="s">
        <v>49</v>
      </c>
      <c r="F14302" t="s">
        <v>957</v>
      </c>
      <c r="G14302">
        <v>6077777</v>
      </c>
      <c r="H14302">
        <v>501087</v>
      </c>
      <c r="I14302" t="s">
        <v>949</v>
      </c>
    </row>
    <row r="14303" spans="1:9" x14ac:dyDescent="0.25">
      <c r="A14303">
        <v>3260</v>
      </c>
      <c r="B14303">
        <v>60</v>
      </c>
      <c r="C14303" t="s">
        <v>963</v>
      </c>
      <c r="D14303" t="s">
        <v>1011</v>
      </c>
      <c r="E14303" t="s">
        <v>49</v>
      </c>
      <c r="F14303" t="s">
        <v>958</v>
      </c>
      <c r="G14303">
        <v>6077777</v>
      </c>
      <c r="H14303">
        <v>501087</v>
      </c>
      <c r="I14303" t="s">
        <v>949</v>
      </c>
    </row>
    <row r="14304" spans="1:9" x14ac:dyDescent="0.25">
      <c r="A14304">
        <v>3260</v>
      </c>
      <c r="B14304">
        <v>60</v>
      </c>
      <c r="C14304" t="s">
        <v>963</v>
      </c>
      <c r="D14304" t="s">
        <v>1011</v>
      </c>
      <c r="E14304" t="s">
        <v>49</v>
      </c>
      <c r="F14304" t="s">
        <v>959</v>
      </c>
      <c r="G14304">
        <v>6077777</v>
      </c>
      <c r="H14304">
        <v>501087</v>
      </c>
      <c r="I14304" t="s">
        <v>949</v>
      </c>
    </row>
    <row r="14305" spans="1:9" x14ac:dyDescent="0.25">
      <c r="A14305">
        <v>3260</v>
      </c>
      <c r="B14305">
        <v>60</v>
      </c>
      <c r="C14305" t="s">
        <v>963</v>
      </c>
      <c r="D14305" t="s">
        <v>1011</v>
      </c>
      <c r="E14305" t="s">
        <v>49</v>
      </c>
      <c r="F14305" t="s">
        <v>960</v>
      </c>
      <c r="G14305">
        <v>6077777</v>
      </c>
      <c r="H14305">
        <v>501087</v>
      </c>
      <c r="I14305" t="s">
        <v>949</v>
      </c>
    </row>
    <row r="14306" spans="1:9" x14ac:dyDescent="0.25">
      <c r="A14306">
        <v>3260</v>
      </c>
      <c r="B14306">
        <v>60</v>
      </c>
      <c r="C14306" t="s">
        <v>963</v>
      </c>
      <c r="D14306" t="s">
        <v>1011</v>
      </c>
      <c r="E14306" t="s">
        <v>49</v>
      </c>
      <c r="F14306" t="s">
        <v>961</v>
      </c>
      <c r="G14306">
        <v>6077777</v>
      </c>
      <c r="H14306">
        <v>501087</v>
      </c>
      <c r="I14306" t="s">
        <v>949</v>
      </c>
    </row>
    <row r="14307" spans="1:9" x14ac:dyDescent="0.25">
      <c r="A14307">
        <v>3270</v>
      </c>
      <c r="B14307">
        <v>60</v>
      </c>
      <c r="C14307" t="s">
        <v>950</v>
      </c>
      <c r="D14307" t="s">
        <v>1011</v>
      </c>
      <c r="E14307" t="s">
        <v>49</v>
      </c>
      <c r="F14307" t="s">
        <v>951</v>
      </c>
      <c r="G14307">
        <v>6077777</v>
      </c>
      <c r="H14307">
        <v>501086</v>
      </c>
      <c r="I14307" t="s">
        <v>949</v>
      </c>
    </row>
    <row r="14308" spans="1:9" x14ac:dyDescent="0.25">
      <c r="A14308">
        <v>3270</v>
      </c>
      <c r="B14308">
        <v>60</v>
      </c>
      <c r="C14308" t="s">
        <v>950</v>
      </c>
      <c r="D14308" t="s">
        <v>1011</v>
      </c>
      <c r="E14308" t="s">
        <v>49</v>
      </c>
      <c r="F14308" t="s">
        <v>952</v>
      </c>
      <c r="G14308">
        <v>6077777</v>
      </c>
      <c r="H14308">
        <v>501017</v>
      </c>
      <c r="I14308" t="s">
        <v>949</v>
      </c>
    </row>
    <row r="14309" spans="1:9" x14ac:dyDescent="0.25">
      <c r="A14309">
        <v>3270</v>
      </c>
      <c r="B14309">
        <v>60</v>
      </c>
      <c r="C14309" t="s">
        <v>950</v>
      </c>
      <c r="D14309" t="s">
        <v>1011</v>
      </c>
      <c r="E14309" t="s">
        <v>49</v>
      </c>
      <c r="F14309" t="s">
        <v>953</v>
      </c>
      <c r="G14309">
        <v>6077777</v>
      </c>
      <c r="H14309">
        <v>501086</v>
      </c>
      <c r="I14309" t="s">
        <v>949</v>
      </c>
    </row>
    <row r="14310" spans="1:9" x14ac:dyDescent="0.25">
      <c r="A14310">
        <v>3270</v>
      </c>
      <c r="B14310">
        <v>60</v>
      </c>
      <c r="C14310" t="s">
        <v>950</v>
      </c>
      <c r="D14310" t="s">
        <v>1011</v>
      </c>
      <c r="E14310" t="s">
        <v>49</v>
      </c>
      <c r="F14310" t="s">
        <v>954</v>
      </c>
      <c r="G14310">
        <v>6077777</v>
      </c>
      <c r="H14310">
        <v>501086</v>
      </c>
      <c r="I14310" t="s">
        <v>949</v>
      </c>
    </row>
    <row r="14311" spans="1:9" x14ac:dyDescent="0.25">
      <c r="A14311">
        <v>3270</v>
      </c>
      <c r="B14311">
        <v>60</v>
      </c>
      <c r="C14311" t="s">
        <v>950</v>
      </c>
      <c r="D14311" t="s">
        <v>1011</v>
      </c>
      <c r="E14311" t="s">
        <v>49</v>
      </c>
      <c r="F14311" t="s">
        <v>955</v>
      </c>
      <c r="G14311">
        <v>6077777</v>
      </c>
      <c r="H14311">
        <v>501086</v>
      </c>
      <c r="I14311" t="s">
        <v>949</v>
      </c>
    </row>
    <row r="14312" spans="1:9" x14ac:dyDescent="0.25">
      <c r="A14312">
        <v>3270</v>
      </c>
      <c r="B14312">
        <v>60</v>
      </c>
      <c r="C14312" t="s">
        <v>950</v>
      </c>
      <c r="D14312" t="s">
        <v>1011</v>
      </c>
      <c r="E14312" t="s">
        <v>49</v>
      </c>
      <c r="F14312" t="s">
        <v>956</v>
      </c>
      <c r="G14312">
        <v>6077777</v>
      </c>
      <c r="H14312">
        <v>501086</v>
      </c>
      <c r="I14312" t="s">
        <v>949</v>
      </c>
    </row>
    <row r="14313" spans="1:9" x14ac:dyDescent="0.25">
      <c r="A14313">
        <v>3270</v>
      </c>
      <c r="B14313">
        <v>60</v>
      </c>
      <c r="C14313" t="s">
        <v>950</v>
      </c>
      <c r="D14313" t="s">
        <v>1011</v>
      </c>
      <c r="E14313" t="s">
        <v>49</v>
      </c>
      <c r="F14313" t="s">
        <v>957</v>
      </c>
      <c r="G14313">
        <v>6077777</v>
      </c>
      <c r="H14313">
        <v>501086</v>
      </c>
      <c r="I14313" t="s">
        <v>949</v>
      </c>
    </row>
    <row r="14314" spans="1:9" x14ac:dyDescent="0.25">
      <c r="A14314">
        <v>3270</v>
      </c>
      <c r="B14314">
        <v>60</v>
      </c>
      <c r="C14314" t="s">
        <v>950</v>
      </c>
      <c r="D14314" t="s">
        <v>1011</v>
      </c>
      <c r="E14314" t="s">
        <v>49</v>
      </c>
      <c r="F14314" t="s">
        <v>958</v>
      </c>
      <c r="G14314">
        <v>6077777</v>
      </c>
      <c r="H14314">
        <v>501086</v>
      </c>
      <c r="I14314" t="s">
        <v>949</v>
      </c>
    </row>
    <row r="14315" spans="1:9" x14ac:dyDescent="0.25">
      <c r="A14315">
        <v>3270</v>
      </c>
      <c r="B14315">
        <v>60</v>
      </c>
      <c r="C14315" t="s">
        <v>950</v>
      </c>
      <c r="D14315" t="s">
        <v>1011</v>
      </c>
      <c r="E14315" t="s">
        <v>49</v>
      </c>
      <c r="F14315" t="s">
        <v>959</v>
      </c>
      <c r="G14315">
        <v>6077777</v>
      </c>
      <c r="H14315">
        <v>501086</v>
      </c>
      <c r="I14315" t="s">
        <v>949</v>
      </c>
    </row>
    <row r="14316" spans="1:9" x14ac:dyDescent="0.25">
      <c r="A14316">
        <v>3270</v>
      </c>
      <c r="B14316">
        <v>60</v>
      </c>
      <c r="C14316" t="s">
        <v>950</v>
      </c>
      <c r="D14316" t="s">
        <v>1011</v>
      </c>
      <c r="E14316" t="s">
        <v>49</v>
      </c>
      <c r="F14316" t="s">
        <v>960</v>
      </c>
      <c r="G14316">
        <v>6077777</v>
      </c>
      <c r="H14316">
        <v>501086</v>
      </c>
      <c r="I14316" t="s">
        <v>949</v>
      </c>
    </row>
    <row r="14317" spans="1:9" x14ac:dyDescent="0.25">
      <c r="A14317">
        <v>3270</v>
      </c>
      <c r="B14317">
        <v>60</v>
      </c>
      <c r="C14317" t="s">
        <v>950</v>
      </c>
      <c r="D14317" t="s">
        <v>1011</v>
      </c>
      <c r="E14317" t="s">
        <v>49</v>
      </c>
      <c r="F14317" t="s">
        <v>961</v>
      </c>
      <c r="G14317">
        <v>6077777</v>
      </c>
      <c r="H14317">
        <v>501086</v>
      </c>
      <c r="I14317" t="s">
        <v>949</v>
      </c>
    </row>
    <row r="14318" spans="1:9" x14ac:dyDescent="0.25">
      <c r="A14318">
        <v>3270</v>
      </c>
      <c r="B14318">
        <v>60</v>
      </c>
      <c r="C14318" t="s">
        <v>962</v>
      </c>
      <c r="D14318" t="s">
        <v>1011</v>
      </c>
      <c r="E14318" t="s">
        <v>49</v>
      </c>
      <c r="F14318" t="s">
        <v>951</v>
      </c>
      <c r="G14318">
        <v>6077777</v>
      </c>
      <c r="H14318">
        <v>501086</v>
      </c>
      <c r="I14318" t="s">
        <v>949</v>
      </c>
    </row>
    <row r="14319" spans="1:9" x14ac:dyDescent="0.25">
      <c r="A14319">
        <v>3270</v>
      </c>
      <c r="B14319">
        <v>60</v>
      </c>
      <c r="C14319" t="s">
        <v>962</v>
      </c>
      <c r="D14319" t="s">
        <v>1011</v>
      </c>
      <c r="E14319" t="s">
        <v>49</v>
      </c>
      <c r="F14319" t="s">
        <v>952</v>
      </c>
      <c r="G14319">
        <v>6077777</v>
      </c>
      <c r="H14319">
        <v>501017</v>
      </c>
      <c r="I14319" t="s">
        <v>949</v>
      </c>
    </row>
    <row r="14320" spans="1:9" x14ac:dyDescent="0.25">
      <c r="A14320">
        <v>3270</v>
      </c>
      <c r="B14320">
        <v>60</v>
      </c>
      <c r="C14320" t="s">
        <v>962</v>
      </c>
      <c r="D14320" t="s">
        <v>1011</v>
      </c>
      <c r="E14320" t="s">
        <v>49</v>
      </c>
      <c r="F14320" t="s">
        <v>953</v>
      </c>
      <c r="G14320">
        <v>6077777</v>
      </c>
      <c r="H14320">
        <v>501086</v>
      </c>
      <c r="I14320" t="s">
        <v>949</v>
      </c>
    </row>
    <row r="14321" spans="1:9" x14ac:dyDescent="0.25">
      <c r="A14321">
        <v>3270</v>
      </c>
      <c r="B14321">
        <v>60</v>
      </c>
      <c r="C14321" t="s">
        <v>962</v>
      </c>
      <c r="D14321" t="s">
        <v>1011</v>
      </c>
      <c r="E14321" t="s">
        <v>49</v>
      </c>
      <c r="F14321" t="s">
        <v>954</v>
      </c>
      <c r="G14321">
        <v>6077777</v>
      </c>
      <c r="H14321">
        <v>501086</v>
      </c>
      <c r="I14321" t="s">
        <v>949</v>
      </c>
    </row>
    <row r="14322" spans="1:9" x14ac:dyDescent="0.25">
      <c r="A14322">
        <v>3270</v>
      </c>
      <c r="B14322">
        <v>60</v>
      </c>
      <c r="C14322" t="s">
        <v>962</v>
      </c>
      <c r="D14322" t="s">
        <v>1011</v>
      </c>
      <c r="E14322" t="s">
        <v>49</v>
      </c>
      <c r="F14322" t="s">
        <v>955</v>
      </c>
      <c r="G14322">
        <v>6077777</v>
      </c>
      <c r="H14322">
        <v>501086</v>
      </c>
      <c r="I14322" t="s">
        <v>949</v>
      </c>
    </row>
    <row r="14323" spans="1:9" x14ac:dyDescent="0.25">
      <c r="A14323">
        <v>3270</v>
      </c>
      <c r="B14323">
        <v>60</v>
      </c>
      <c r="C14323" t="s">
        <v>962</v>
      </c>
      <c r="D14323" t="s">
        <v>1011</v>
      </c>
      <c r="E14323" t="s">
        <v>49</v>
      </c>
      <c r="F14323" t="s">
        <v>956</v>
      </c>
      <c r="G14323">
        <v>6077777</v>
      </c>
      <c r="H14323">
        <v>501086</v>
      </c>
      <c r="I14323" t="s">
        <v>949</v>
      </c>
    </row>
    <row r="14324" spans="1:9" x14ac:dyDescent="0.25">
      <c r="A14324">
        <v>3270</v>
      </c>
      <c r="B14324">
        <v>60</v>
      </c>
      <c r="C14324" t="s">
        <v>962</v>
      </c>
      <c r="D14324" t="s">
        <v>1011</v>
      </c>
      <c r="E14324" t="s">
        <v>49</v>
      </c>
      <c r="F14324" t="s">
        <v>957</v>
      </c>
      <c r="G14324">
        <v>6077777</v>
      </c>
      <c r="H14324">
        <v>501086</v>
      </c>
      <c r="I14324" t="s">
        <v>949</v>
      </c>
    </row>
    <row r="14325" spans="1:9" x14ac:dyDescent="0.25">
      <c r="A14325">
        <v>3270</v>
      </c>
      <c r="B14325">
        <v>60</v>
      </c>
      <c r="C14325" t="s">
        <v>962</v>
      </c>
      <c r="D14325" t="s">
        <v>1011</v>
      </c>
      <c r="E14325" t="s">
        <v>49</v>
      </c>
      <c r="F14325" t="s">
        <v>958</v>
      </c>
      <c r="G14325">
        <v>6077777</v>
      </c>
      <c r="H14325">
        <v>501086</v>
      </c>
      <c r="I14325" t="s">
        <v>949</v>
      </c>
    </row>
    <row r="14326" spans="1:9" x14ac:dyDescent="0.25">
      <c r="A14326">
        <v>3270</v>
      </c>
      <c r="B14326">
        <v>60</v>
      </c>
      <c r="C14326" t="s">
        <v>962</v>
      </c>
      <c r="D14326" t="s">
        <v>1011</v>
      </c>
      <c r="E14326" t="s">
        <v>49</v>
      </c>
      <c r="F14326" t="s">
        <v>959</v>
      </c>
      <c r="G14326">
        <v>6077777</v>
      </c>
      <c r="H14326">
        <v>501086</v>
      </c>
      <c r="I14326" t="s">
        <v>949</v>
      </c>
    </row>
    <row r="14327" spans="1:9" x14ac:dyDescent="0.25">
      <c r="A14327">
        <v>3270</v>
      </c>
      <c r="B14327">
        <v>60</v>
      </c>
      <c r="C14327" t="s">
        <v>962</v>
      </c>
      <c r="D14327" t="s">
        <v>1011</v>
      </c>
      <c r="E14327" t="s">
        <v>49</v>
      </c>
      <c r="F14327" t="s">
        <v>960</v>
      </c>
      <c r="G14327">
        <v>6077777</v>
      </c>
      <c r="H14327">
        <v>501086</v>
      </c>
      <c r="I14327" t="s">
        <v>949</v>
      </c>
    </row>
    <row r="14328" spans="1:9" x14ac:dyDescent="0.25">
      <c r="A14328">
        <v>3270</v>
      </c>
      <c r="B14328">
        <v>60</v>
      </c>
      <c r="C14328" t="s">
        <v>962</v>
      </c>
      <c r="D14328" t="s">
        <v>1011</v>
      </c>
      <c r="E14328" t="s">
        <v>49</v>
      </c>
      <c r="F14328" t="s">
        <v>961</v>
      </c>
      <c r="G14328">
        <v>6077777</v>
      </c>
      <c r="H14328">
        <v>501086</v>
      </c>
      <c r="I14328" t="s">
        <v>949</v>
      </c>
    </row>
    <row r="14329" spans="1:9" x14ac:dyDescent="0.25">
      <c r="A14329">
        <v>3270</v>
      </c>
      <c r="B14329">
        <v>60</v>
      </c>
      <c r="C14329" t="s">
        <v>963</v>
      </c>
      <c r="D14329" t="s">
        <v>1011</v>
      </c>
      <c r="E14329" t="s">
        <v>49</v>
      </c>
      <c r="F14329" t="s">
        <v>951</v>
      </c>
      <c r="G14329">
        <v>6077777</v>
      </c>
      <c r="H14329">
        <v>501086</v>
      </c>
      <c r="I14329" t="s">
        <v>949</v>
      </c>
    </row>
    <row r="14330" spans="1:9" x14ac:dyDescent="0.25">
      <c r="A14330">
        <v>3270</v>
      </c>
      <c r="B14330">
        <v>60</v>
      </c>
      <c r="C14330" t="s">
        <v>963</v>
      </c>
      <c r="D14330" t="s">
        <v>1011</v>
      </c>
      <c r="E14330" t="s">
        <v>49</v>
      </c>
      <c r="F14330" t="s">
        <v>952</v>
      </c>
      <c r="G14330">
        <v>6077777</v>
      </c>
      <c r="H14330">
        <v>501017</v>
      </c>
      <c r="I14330" t="s">
        <v>949</v>
      </c>
    </row>
    <row r="14331" spans="1:9" x14ac:dyDescent="0.25">
      <c r="A14331">
        <v>3270</v>
      </c>
      <c r="B14331">
        <v>60</v>
      </c>
      <c r="C14331" t="s">
        <v>963</v>
      </c>
      <c r="D14331" t="s">
        <v>1011</v>
      </c>
      <c r="E14331" t="s">
        <v>49</v>
      </c>
      <c r="F14331" t="s">
        <v>953</v>
      </c>
      <c r="G14331">
        <v>6077777</v>
      </c>
      <c r="H14331">
        <v>501086</v>
      </c>
      <c r="I14331" t="s">
        <v>949</v>
      </c>
    </row>
    <row r="14332" spans="1:9" x14ac:dyDescent="0.25">
      <c r="A14332">
        <v>3270</v>
      </c>
      <c r="B14332">
        <v>60</v>
      </c>
      <c r="C14332" t="s">
        <v>963</v>
      </c>
      <c r="D14332" t="s">
        <v>1011</v>
      </c>
      <c r="E14332" t="s">
        <v>49</v>
      </c>
      <c r="F14332" t="s">
        <v>954</v>
      </c>
      <c r="G14332">
        <v>6077777</v>
      </c>
      <c r="H14332">
        <v>501086</v>
      </c>
      <c r="I14332" t="s">
        <v>949</v>
      </c>
    </row>
    <row r="14333" spans="1:9" x14ac:dyDescent="0.25">
      <c r="A14333">
        <v>3270</v>
      </c>
      <c r="B14333">
        <v>60</v>
      </c>
      <c r="C14333" t="s">
        <v>963</v>
      </c>
      <c r="D14333" t="s">
        <v>1011</v>
      </c>
      <c r="E14333" t="s">
        <v>49</v>
      </c>
      <c r="F14333" t="s">
        <v>955</v>
      </c>
      <c r="G14333">
        <v>6077777</v>
      </c>
      <c r="H14333">
        <v>501086</v>
      </c>
      <c r="I14333" t="s">
        <v>949</v>
      </c>
    </row>
    <row r="14334" spans="1:9" x14ac:dyDescent="0.25">
      <c r="A14334">
        <v>3270</v>
      </c>
      <c r="B14334">
        <v>60</v>
      </c>
      <c r="C14334" t="s">
        <v>963</v>
      </c>
      <c r="D14334" t="s">
        <v>1011</v>
      </c>
      <c r="E14334" t="s">
        <v>49</v>
      </c>
      <c r="F14334" t="s">
        <v>956</v>
      </c>
      <c r="G14334">
        <v>6077777</v>
      </c>
      <c r="H14334">
        <v>501086</v>
      </c>
      <c r="I14334" t="s">
        <v>949</v>
      </c>
    </row>
    <row r="14335" spans="1:9" x14ac:dyDescent="0.25">
      <c r="A14335">
        <v>3270</v>
      </c>
      <c r="B14335">
        <v>60</v>
      </c>
      <c r="C14335" t="s">
        <v>963</v>
      </c>
      <c r="D14335" t="s">
        <v>1011</v>
      </c>
      <c r="E14335" t="s">
        <v>49</v>
      </c>
      <c r="F14335" t="s">
        <v>957</v>
      </c>
      <c r="G14335">
        <v>6077777</v>
      </c>
      <c r="H14335">
        <v>501086</v>
      </c>
      <c r="I14335" t="s">
        <v>949</v>
      </c>
    </row>
    <row r="14336" spans="1:9" x14ac:dyDescent="0.25">
      <c r="A14336">
        <v>3270</v>
      </c>
      <c r="B14336">
        <v>60</v>
      </c>
      <c r="C14336" t="s">
        <v>963</v>
      </c>
      <c r="D14336" t="s">
        <v>1011</v>
      </c>
      <c r="E14336" t="s">
        <v>49</v>
      </c>
      <c r="F14336" t="s">
        <v>958</v>
      </c>
      <c r="G14336">
        <v>6077777</v>
      </c>
      <c r="H14336">
        <v>501086</v>
      </c>
      <c r="I14336" t="s">
        <v>949</v>
      </c>
    </row>
    <row r="14337" spans="1:9" x14ac:dyDescent="0.25">
      <c r="A14337">
        <v>3270</v>
      </c>
      <c r="B14337">
        <v>60</v>
      </c>
      <c r="C14337" t="s">
        <v>963</v>
      </c>
      <c r="D14337" t="s">
        <v>1011</v>
      </c>
      <c r="E14337" t="s">
        <v>49</v>
      </c>
      <c r="F14337" t="s">
        <v>959</v>
      </c>
      <c r="G14337">
        <v>6077777</v>
      </c>
      <c r="H14337">
        <v>501086</v>
      </c>
      <c r="I14337" t="s">
        <v>949</v>
      </c>
    </row>
    <row r="14338" spans="1:9" x14ac:dyDescent="0.25">
      <c r="A14338">
        <v>3270</v>
      </c>
      <c r="B14338">
        <v>60</v>
      </c>
      <c r="C14338" t="s">
        <v>963</v>
      </c>
      <c r="D14338" t="s">
        <v>1011</v>
      </c>
      <c r="E14338" t="s">
        <v>49</v>
      </c>
      <c r="F14338" t="s">
        <v>960</v>
      </c>
      <c r="G14338">
        <v>6077777</v>
      </c>
      <c r="H14338">
        <v>501086</v>
      </c>
      <c r="I14338" t="s">
        <v>949</v>
      </c>
    </row>
    <row r="14339" spans="1:9" x14ac:dyDescent="0.25">
      <c r="A14339">
        <v>3270</v>
      </c>
      <c r="B14339">
        <v>60</v>
      </c>
      <c r="C14339" t="s">
        <v>963</v>
      </c>
      <c r="D14339" t="s">
        <v>1011</v>
      </c>
      <c r="E14339" t="s">
        <v>49</v>
      </c>
      <c r="F14339" t="s">
        <v>961</v>
      </c>
      <c r="G14339">
        <v>6077777</v>
      </c>
      <c r="H14339">
        <v>501086</v>
      </c>
      <c r="I14339" t="s">
        <v>949</v>
      </c>
    </row>
    <row r="14340" spans="1:9" x14ac:dyDescent="0.25">
      <c r="A14340">
        <v>3280</v>
      </c>
      <c r="B14340">
        <v>60</v>
      </c>
      <c r="C14340" t="s">
        <v>950</v>
      </c>
      <c r="D14340" t="s">
        <v>1011</v>
      </c>
      <c r="E14340" t="s">
        <v>49</v>
      </c>
      <c r="F14340" t="s">
        <v>951</v>
      </c>
      <c r="G14340">
        <v>6077777</v>
      </c>
      <c r="H14340">
        <v>501085</v>
      </c>
      <c r="I14340" t="s">
        <v>949</v>
      </c>
    </row>
    <row r="14341" spans="1:9" x14ac:dyDescent="0.25">
      <c r="A14341">
        <v>3280</v>
      </c>
      <c r="B14341">
        <v>60</v>
      </c>
      <c r="C14341" t="s">
        <v>950</v>
      </c>
      <c r="D14341" t="s">
        <v>1011</v>
      </c>
      <c r="E14341" t="s">
        <v>49</v>
      </c>
      <c r="F14341" t="s">
        <v>952</v>
      </c>
      <c r="G14341">
        <v>6077777</v>
      </c>
      <c r="H14341">
        <v>501085</v>
      </c>
      <c r="I14341" t="s">
        <v>949</v>
      </c>
    </row>
    <row r="14342" spans="1:9" x14ac:dyDescent="0.25">
      <c r="A14342">
        <v>3280</v>
      </c>
      <c r="B14342">
        <v>60</v>
      </c>
      <c r="C14342" t="s">
        <v>950</v>
      </c>
      <c r="D14342" t="s">
        <v>1011</v>
      </c>
      <c r="E14342" t="s">
        <v>49</v>
      </c>
      <c r="F14342" t="s">
        <v>953</v>
      </c>
      <c r="G14342">
        <v>6077777</v>
      </c>
      <c r="H14342">
        <v>501085</v>
      </c>
      <c r="I14342" t="s">
        <v>949</v>
      </c>
    </row>
    <row r="14343" spans="1:9" x14ac:dyDescent="0.25">
      <c r="A14343">
        <v>3280</v>
      </c>
      <c r="B14343">
        <v>60</v>
      </c>
      <c r="C14343" t="s">
        <v>950</v>
      </c>
      <c r="D14343" t="s">
        <v>1011</v>
      </c>
      <c r="E14343" t="s">
        <v>49</v>
      </c>
      <c r="F14343" t="s">
        <v>954</v>
      </c>
      <c r="G14343">
        <v>6077777</v>
      </c>
      <c r="H14343">
        <v>501085</v>
      </c>
      <c r="I14343" t="s">
        <v>949</v>
      </c>
    </row>
    <row r="14344" spans="1:9" x14ac:dyDescent="0.25">
      <c r="A14344">
        <v>3280</v>
      </c>
      <c r="B14344">
        <v>60</v>
      </c>
      <c r="C14344" t="s">
        <v>950</v>
      </c>
      <c r="D14344" t="s">
        <v>1011</v>
      </c>
      <c r="E14344" t="s">
        <v>49</v>
      </c>
      <c r="F14344" t="s">
        <v>955</v>
      </c>
      <c r="G14344">
        <v>6077777</v>
      </c>
      <c r="H14344">
        <v>501085</v>
      </c>
      <c r="I14344" t="s">
        <v>949</v>
      </c>
    </row>
    <row r="14345" spans="1:9" x14ac:dyDescent="0.25">
      <c r="A14345">
        <v>3280</v>
      </c>
      <c r="B14345">
        <v>60</v>
      </c>
      <c r="C14345" t="s">
        <v>950</v>
      </c>
      <c r="D14345" t="s">
        <v>1011</v>
      </c>
      <c r="E14345" t="s">
        <v>49</v>
      </c>
      <c r="F14345" t="s">
        <v>956</v>
      </c>
      <c r="G14345">
        <v>6077777</v>
      </c>
      <c r="H14345">
        <v>501085</v>
      </c>
      <c r="I14345" t="s">
        <v>949</v>
      </c>
    </row>
    <row r="14346" spans="1:9" x14ac:dyDescent="0.25">
      <c r="A14346">
        <v>3280</v>
      </c>
      <c r="B14346">
        <v>60</v>
      </c>
      <c r="C14346" t="s">
        <v>950</v>
      </c>
      <c r="D14346" t="s">
        <v>1011</v>
      </c>
      <c r="E14346" t="s">
        <v>49</v>
      </c>
      <c r="F14346" t="s">
        <v>957</v>
      </c>
      <c r="G14346">
        <v>6077777</v>
      </c>
      <c r="H14346">
        <v>501085</v>
      </c>
      <c r="I14346" t="s">
        <v>949</v>
      </c>
    </row>
    <row r="14347" spans="1:9" x14ac:dyDescent="0.25">
      <c r="A14347">
        <v>3280</v>
      </c>
      <c r="B14347">
        <v>60</v>
      </c>
      <c r="C14347" t="s">
        <v>950</v>
      </c>
      <c r="D14347" t="s">
        <v>1011</v>
      </c>
      <c r="E14347" t="s">
        <v>49</v>
      </c>
      <c r="F14347" t="s">
        <v>958</v>
      </c>
      <c r="G14347">
        <v>6077777</v>
      </c>
      <c r="H14347">
        <v>501085</v>
      </c>
      <c r="I14347" t="s">
        <v>949</v>
      </c>
    </row>
    <row r="14348" spans="1:9" x14ac:dyDescent="0.25">
      <c r="A14348">
        <v>3280</v>
      </c>
      <c r="B14348">
        <v>60</v>
      </c>
      <c r="C14348" t="s">
        <v>950</v>
      </c>
      <c r="D14348" t="s">
        <v>1011</v>
      </c>
      <c r="E14348" t="s">
        <v>49</v>
      </c>
      <c r="F14348" t="s">
        <v>959</v>
      </c>
      <c r="G14348">
        <v>6077777</v>
      </c>
      <c r="H14348">
        <v>501085</v>
      </c>
      <c r="I14348" t="s">
        <v>949</v>
      </c>
    </row>
    <row r="14349" spans="1:9" x14ac:dyDescent="0.25">
      <c r="A14349">
        <v>3280</v>
      </c>
      <c r="B14349">
        <v>60</v>
      </c>
      <c r="C14349" t="s">
        <v>950</v>
      </c>
      <c r="D14349" t="s">
        <v>1011</v>
      </c>
      <c r="E14349" t="s">
        <v>49</v>
      </c>
      <c r="F14349" t="s">
        <v>960</v>
      </c>
      <c r="G14349">
        <v>6077777</v>
      </c>
      <c r="H14349">
        <v>501085</v>
      </c>
      <c r="I14349" t="s">
        <v>949</v>
      </c>
    </row>
    <row r="14350" spans="1:9" x14ac:dyDescent="0.25">
      <c r="A14350">
        <v>3280</v>
      </c>
      <c r="B14350">
        <v>60</v>
      </c>
      <c r="C14350" t="s">
        <v>950</v>
      </c>
      <c r="D14350" t="s">
        <v>1011</v>
      </c>
      <c r="E14350" t="s">
        <v>49</v>
      </c>
      <c r="F14350" t="s">
        <v>961</v>
      </c>
      <c r="G14350">
        <v>6077777</v>
      </c>
      <c r="H14350">
        <v>501085</v>
      </c>
      <c r="I14350" t="s">
        <v>949</v>
      </c>
    </row>
    <row r="14351" spans="1:9" x14ac:dyDescent="0.25">
      <c r="A14351">
        <v>3280</v>
      </c>
      <c r="B14351">
        <v>60</v>
      </c>
      <c r="C14351" t="s">
        <v>962</v>
      </c>
      <c r="D14351" t="s">
        <v>1011</v>
      </c>
      <c r="E14351" t="s">
        <v>49</v>
      </c>
      <c r="F14351" t="s">
        <v>951</v>
      </c>
      <c r="G14351">
        <v>6077777</v>
      </c>
      <c r="H14351">
        <v>501085</v>
      </c>
      <c r="I14351" t="s">
        <v>949</v>
      </c>
    </row>
    <row r="14352" spans="1:9" x14ac:dyDescent="0.25">
      <c r="A14352">
        <v>3280</v>
      </c>
      <c r="B14352">
        <v>60</v>
      </c>
      <c r="C14352" t="s">
        <v>962</v>
      </c>
      <c r="D14352" t="s">
        <v>1011</v>
      </c>
      <c r="E14352" t="s">
        <v>49</v>
      </c>
      <c r="F14352" t="s">
        <v>952</v>
      </c>
      <c r="G14352">
        <v>6077777</v>
      </c>
      <c r="H14352">
        <v>501085</v>
      </c>
      <c r="I14352" t="s">
        <v>949</v>
      </c>
    </row>
    <row r="14353" spans="1:9" x14ac:dyDescent="0.25">
      <c r="A14353">
        <v>3280</v>
      </c>
      <c r="B14353">
        <v>60</v>
      </c>
      <c r="C14353" t="s">
        <v>962</v>
      </c>
      <c r="D14353" t="s">
        <v>1011</v>
      </c>
      <c r="E14353" t="s">
        <v>49</v>
      </c>
      <c r="F14353" t="s">
        <v>953</v>
      </c>
      <c r="G14353">
        <v>6077777</v>
      </c>
      <c r="H14353">
        <v>501085</v>
      </c>
      <c r="I14353" t="s">
        <v>949</v>
      </c>
    </row>
    <row r="14354" spans="1:9" x14ac:dyDescent="0.25">
      <c r="A14354">
        <v>3280</v>
      </c>
      <c r="B14354">
        <v>60</v>
      </c>
      <c r="C14354" t="s">
        <v>962</v>
      </c>
      <c r="D14354" t="s">
        <v>1011</v>
      </c>
      <c r="E14354" t="s">
        <v>49</v>
      </c>
      <c r="F14354" t="s">
        <v>954</v>
      </c>
      <c r="G14354">
        <v>6077777</v>
      </c>
      <c r="H14354">
        <v>501085</v>
      </c>
      <c r="I14354" t="s">
        <v>949</v>
      </c>
    </row>
    <row r="14355" spans="1:9" x14ac:dyDescent="0.25">
      <c r="A14355">
        <v>3280</v>
      </c>
      <c r="B14355">
        <v>60</v>
      </c>
      <c r="C14355" t="s">
        <v>962</v>
      </c>
      <c r="D14355" t="s">
        <v>1011</v>
      </c>
      <c r="E14355" t="s">
        <v>49</v>
      </c>
      <c r="F14355" t="s">
        <v>955</v>
      </c>
      <c r="G14355">
        <v>6077777</v>
      </c>
      <c r="H14355">
        <v>501085</v>
      </c>
      <c r="I14355" t="s">
        <v>949</v>
      </c>
    </row>
    <row r="14356" spans="1:9" x14ac:dyDescent="0.25">
      <c r="A14356">
        <v>3280</v>
      </c>
      <c r="B14356">
        <v>60</v>
      </c>
      <c r="C14356" t="s">
        <v>962</v>
      </c>
      <c r="D14356" t="s">
        <v>1011</v>
      </c>
      <c r="E14356" t="s">
        <v>49</v>
      </c>
      <c r="F14356" t="s">
        <v>956</v>
      </c>
      <c r="G14356">
        <v>6077777</v>
      </c>
      <c r="H14356">
        <v>501085</v>
      </c>
      <c r="I14356" t="s">
        <v>949</v>
      </c>
    </row>
    <row r="14357" spans="1:9" x14ac:dyDescent="0.25">
      <c r="A14357">
        <v>3280</v>
      </c>
      <c r="B14357">
        <v>60</v>
      </c>
      <c r="C14357" t="s">
        <v>962</v>
      </c>
      <c r="D14357" t="s">
        <v>1011</v>
      </c>
      <c r="E14357" t="s">
        <v>49</v>
      </c>
      <c r="F14357" t="s">
        <v>957</v>
      </c>
      <c r="G14357">
        <v>6077777</v>
      </c>
      <c r="H14357">
        <v>501085</v>
      </c>
      <c r="I14357" t="s">
        <v>949</v>
      </c>
    </row>
    <row r="14358" spans="1:9" x14ac:dyDescent="0.25">
      <c r="A14358">
        <v>3280</v>
      </c>
      <c r="B14358">
        <v>60</v>
      </c>
      <c r="C14358" t="s">
        <v>962</v>
      </c>
      <c r="D14358" t="s">
        <v>1011</v>
      </c>
      <c r="E14358" t="s">
        <v>49</v>
      </c>
      <c r="F14358" t="s">
        <v>958</v>
      </c>
      <c r="G14358">
        <v>6077777</v>
      </c>
      <c r="H14358">
        <v>501085</v>
      </c>
      <c r="I14358" t="s">
        <v>949</v>
      </c>
    </row>
    <row r="14359" spans="1:9" x14ac:dyDescent="0.25">
      <c r="A14359">
        <v>3280</v>
      </c>
      <c r="B14359">
        <v>60</v>
      </c>
      <c r="C14359" t="s">
        <v>962</v>
      </c>
      <c r="D14359" t="s">
        <v>1011</v>
      </c>
      <c r="E14359" t="s">
        <v>49</v>
      </c>
      <c r="F14359" t="s">
        <v>959</v>
      </c>
      <c r="G14359">
        <v>6077777</v>
      </c>
      <c r="H14359">
        <v>501085</v>
      </c>
      <c r="I14359" t="s">
        <v>949</v>
      </c>
    </row>
    <row r="14360" spans="1:9" x14ac:dyDescent="0.25">
      <c r="A14360">
        <v>3280</v>
      </c>
      <c r="B14360">
        <v>60</v>
      </c>
      <c r="C14360" t="s">
        <v>962</v>
      </c>
      <c r="D14360" t="s">
        <v>1011</v>
      </c>
      <c r="E14360" t="s">
        <v>49</v>
      </c>
      <c r="F14360" t="s">
        <v>960</v>
      </c>
      <c r="G14360">
        <v>6077777</v>
      </c>
      <c r="H14360">
        <v>501085</v>
      </c>
      <c r="I14360" t="s">
        <v>949</v>
      </c>
    </row>
    <row r="14361" spans="1:9" x14ac:dyDescent="0.25">
      <c r="A14361">
        <v>3280</v>
      </c>
      <c r="B14361">
        <v>60</v>
      </c>
      <c r="C14361" t="s">
        <v>962</v>
      </c>
      <c r="D14361" t="s">
        <v>1011</v>
      </c>
      <c r="E14361" t="s">
        <v>49</v>
      </c>
      <c r="F14361" t="s">
        <v>961</v>
      </c>
      <c r="G14361">
        <v>6077777</v>
      </c>
      <c r="H14361">
        <v>501085</v>
      </c>
      <c r="I14361" t="s">
        <v>949</v>
      </c>
    </row>
    <row r="14362" spans="1:9" x14ac:dyDescent="0.25">
      <c r="A14362">
        <v>3280</v>
      </c>
      <c r="B14362">
        <v>60</v>
      </c>
      <c r="C14362" t="s">
        <v>963</v>
      </c>
      <c r="D14362" t="s">
        <v>1011</v>
      </c>
      <c r="E14362" t="s">
        <v>49</v>
      </c>
      <c r="F14362" t="s">
        <v>951</v>
      </c>
      <c r="G14362">
        <v>6077777</v>
      </c>
      <c r="H14362">
        <v>501085</v>
      </c>
      <c r="I14362" t="s">
        <v>949</v>
      </c>
    </row>
    <row r="14363" spans="1:9" x14ac:dyDescent="0.25">
      <c r="A14363">
        <v>3280</v>
      </c>
      <c r="B14363">
        <v>60</v>
      </c>
      <c r="C14363" t="s">
        <v>963</v>
      </c>
      <c r="D14363" t="s">
        <v>1011</v>
      </c>
      <c r="E14363" t="s">
        <v>49</v>
      </c>
      <c r="F14363" t="s">
        <v>952</v>
      </c>
      <c r="G14363">
        <v>6077777</v>
      </c>
      <c r="H14363">
        <v>501085</v>
      </c>
      <c r="I14363" t="s">
        <v>949</v>
      </c>
    </row>
    <row r="14364" spans="1:9" x14ac:dyDescent="0.25">
      <c r="A14364">
        <v>3280</v>
      </c>
      <c r="B14364">
        <v>60</v>
      </c>
      <c r="C14364" t="s">
        <v>963</v>
      </c>
      <c r="D14364" t="s">
        <v>1011</v>
      </c>
      <c r="E14364" t="s">
        <v>49</v>
      </c>
      <c r="F14364" t="s">
        <v>953</v>
      </c>
      <c r="G14364">
        <v>6077777</v>
      </c>
      <c r="H14364">
        <v>501085</v>
      </c>
      <c r="I14364" t="s">
        <v>949</v>
      </c>
    </row>
    <row r="14365" spans="1:9" x14ac:dyDescent="0.25">
      <c r="A14365">
        <v>3280</v>
      </c>
      <c r="B14365">
        <v>60</v>
      </c>
      <c r="C14365" t="s">
        <v>963</v>
      </c>
      <c r="D14365" t="s">
        <v>1011</v>
      </c>
      <c r="E14365" t="s">
        <v>49</v>
      </c>
      <c r="F14365" t="s">
        <v>954</v>
      </c>
      <c r="G14365">
        <v>6077777</v>
      </c>
      <c r="H14365">
        <v>501085</v>
      </c>
      <c r="I14365" t="s">
        <v>949</v>
      </c>
    </row>
    <row r="14366" spans="1:9" x14ac:dyDescent="0.25">
      <c r="A14366">
        <v>3280</v>
      </c>
      <c r="B14366">
        <v>60</v>
      </c>
      <c r="C14366" t="s">
        <v>963</v>
      </c>
      <c r="D14366" t="s">
        <v>1011</v>
      </c>
      <c r="E14366" t="s">
        <v>49</v>
      </c>
      <c r="F14366" t="s">
        <v>955</v>
      </c>
      <c r="G14366">
        <v>6077777</v>
      </c>
      <c r="H14366">
        <v>501085</v>
      </c>
      <c r="I14366" t="s">
        <v>949</v>
      </c>
    </row>
    <row r="14367" spans="1:9" x14ac:dyDescent="0.25">
      <c r="A14367">
        <v>3280</v>
      </c>
      <c r="B14367">
        <v>60</v>
      </c>
      <c r="C14367" t="s">
        <v>963</v>
      </c>
      <c r="D14367" t="s">
        <v>1011</v>
      </c>
      <c r="E14367" t="s">
        <v>49</v>
      </c>
      <c r="F14367" t="s">
        <v>956</v>
      </c>
      <c r="G14367">
        <v>6077777</v>
      </c>
      <c r="H14367">
        <v>501085</v>
      </c>
      <c r="I14367" t="s">
        <v>949</v>
      </c>
    </row>
    <row r="14368" spans="1:9" x14ac:dyDescent="0.25">
      <c r="A14368">
        <v>3280</v>
      </c>
      <c r="B14368">
        <v>60</v>
      </c>
      <c r="C14368" t="s">
        <v>963</v>
      </c>
      <c r="D14368" t="s">
        <v>1011</v>
      </c>
      <c r="E14368" t="s">
        <v>49</v>
      </c>
      <c r="F14368" t="s">
        <v>957</v>
      </c>
      <c r="G14368">
        <v>6077777</v>
      </c>
      <c r="H14368">
        <v>501085</v>
      </c>
      <c r="I14368" t="s">
        <v>949</v>
      </c>
    </row>
    <row r="14369" spans="1:9" x14ac:dyDescent="0.25">
      <c r="A14369">
        <v>3280</v>
      </c>
      <c r="B14369">
        <v>60</v>
      </c>
      <c r="C14369" t="s">
        <v>963</v>
      </c>
      <c r="D14369" t="s">
        <v>1011</v>
      </c>
      <c r="E14369" t="s">
        <v>49</v>
      </c>
      <c r="F14369" t="s">
        <v>958</v>
      </c>
      <c r="G14369">
        <v>6077777</v>
      </c>
      <c r="H14369">
        <v>501085</v>
      </c>
      <c r="I14369" t="s">
        <v>949</v>
      </c>
    </row>
    <row r="14370" spans="1:9" x14ac:dyDescent="0.25">
      <c r="A14370">
        <v>3280</v>
      </c>
      <c r="B14370">
        <v>60</v>
      </c>
      <c r="C14370" t="s">
        <v>963</v>
      </c>
      <c r="D14370" t="s">
        <v>1011</v>
      </c>
      <c r="E14370" t="s">
        <v>49</v>
      </c>
      <c r="F14370" t="s">
        <v>959</v>
      </c>
      <c r="G14370">
        <v>6077777</v>
      </c>
      <c r="H14370">
        <v>501085</v>
      </c>
      <c r="I14370" t="s">
        <v>949</v>
      </c>
    </row>
    <row r="14371" spans="1:9" x14ac:dyDescent="0.25">
      <c r="A14371">
        <v>3280</v>
      </c>
      <c r="B14371">
        <v>60</v>
      </c>
      <c r="C14371" t="s">
        <v>963</v>
      </c>
      <c r="D14371" t="s">
        <v>1011</v>
      </c>
      <c r="E14371" t="s">
        <v>49</v>
      </c>
      <c r="F14371" t="s">
        <v>960</v>
      </c>
      <c r="G14371">
        <v>6077777</v>
      </c>
      <c r="H14371">
        <v>501085</v>
      </c>
      <c r="I14371" t="s">
        <v>949</v>
      </c>
    </row>
    <row r="14372" spans="1:9" x14ac:dyDescent="0.25">
      <c r="A14372">
        <v>3280</v>
      </c>
      <c r="B14372">
        <v>60</v>
      </c>
      <c r="C14372" t="s">
        <v>963</v>
      </c>
      <c r="D14372" t="s">
        <v>1011</v>
      </c>
      <c r="E14372" t="s">
        <v>49</v>
      </c>
      <c r="F14372" t="s">
        <v>961</v>
      </c>
      <c r="G14372">
        <v>6077777</v>
      </c>
      <c r="H14372">
        <v>501085</v>
      </c>
      <c r="I14372" t="s">
        <v>949</v>
      </c>
    </row>
    <row r="14373" spans="1:9" x14ac:dyDescent="0.25">
      <c r="A14373">
        <v>4122</v>
      </c>
      <c r="B14373">
        <v>60</v>
      </c>
      <c r="C14373" t="s">
        <v>946</v>
      </c>
      <c r="D14373" t="s">
        <v>1012</v>
      </c>
      <c r="E14373" t="s">
        <v>49</v>
      </c>
      <c r="F14373" t="s">
        <v>948</v>
      </c>
      <c r="G14373">
        <v>6077777</v>
      </c>
      <c r="H14373">
        <v>500220</v>
      </c>
      <c r="I14373" t="s">
        <v>949</v>
      </c>
    </row>
    <row r="14374" spans="1:9" x14ac:dyDescent="0.25">
      <c r="A14374">
        <v>4124</v>
      </c>
      <c r="B14374">
        <v>60</v>
      </c>
      <c r="C14374" t="s">
        <v>946</v>
      </c>
      <c r="D14374" t="s">
        <v>1012</v>
      </c>
      <c r="E14374" t="s">
        <v>49</v>
      </c>
      <c r="F14374" t="s">
        <v>948</v>
      </c>
      <c r="G14374">
        <v>6077777</v>
      </c>
      <c r="H14374">
        <v>500221</v>
      </c>
      <c r="I14374" t="s">
        <v>949</v>
      </c>
    </row>
    <row r="14375" spans="1:9" x14ac:dyDescent="0.25">
      <c r="A14375">
        <v>4320</v>
      </c>
      <c r="B14375">
        <v>60</v>
      </c>
      <c r="C14375" t="s">
        <v>946</v>
      </c>
      <c r="D14375" t="s">
        <v>1013</v>
      </c>
      <c r="E14375" t="s">
        <v>49</v>
      </c>
      <c r="F14375" t="s">
        <v>948</v>
      </c>
      <c r="G14375">
        <v>6000000</v>
      </c>
      <c r="H14375">
        <v>200110</v>
      </c>
      <c r="I14375" t="s">
        <v>949</v>
      </c>
    </row>
    <row r="14376" spans="1:9" x14ac:dyDescent="0.25">
      <c r="A14376">
        <v>4330</v>
      </c>
      <c r="B14376">
        <v>60</v>
      </c>
      <c r="C14376" t="s">
        <v>946</v>
      </c>
      <c r="D14376" t="s">
        <v>1013</v>
      </c>
      <c r="E14376" t="s">
        <v>49</v>
      </c>
      <c r="F14376" t="s">
        <v>948</v>
      </c>
      <c r="G14376">
        <v>6077777</v>
      </c>
      <c r="H14376">
        <v>500210</v>
      </c>
      <c r="I14376" t="s">
        <v>949</v>
      </c>
    </row>
    <row r="14377" spans="1:9" x14ac:dyDescent="0.25">
      <c r="A14377">
        <v>4332</v>
      </c>
      <c r="B14377">
        <v>60</v>
      </c>
      <c r="C14377" t="s">
        <v>946</v>
      </c>
      <c r="D14377" t="s">
        <v>1013</v>
      </c>
      <c r="E14377" t="s">
        <v>49</v>
      </c>
      <c r="F14377" t="s">
        <v>948</v>
      </c>
      <c r="G14377">
        <v>6077777</v>
      </c>
      <c r="H14377">
        <v>500210</v>
      </c>
      <c r="I14377" t="s">
        <v>949</v>
      </c>
    </row>
    <row r="14378" spans="1:9" x14ac:dyDescent="0.25">
      <c r="A14378">
        <v>4355</v>
      </c>
      <c r="B14378">
        <v>60</v>
      </c>
      <c r="C14378" t="s">
        <v>946</v>
      </c>
      <c r="D14378" t="s">
        <v>1013</v>
      </c>
      <c r="E14378" t="s">
        <v>49</v>
      </c>
      <c r="F14378" t="s">
        <v>948</v>
      </c>
      <c r="G14378">
        <v>6000000</v>
      </c>
      <c r="H14378">
        <v>200105</v>
      </c>
      <c r="I14378" t="s">
        <v>949</v>
      </c>
    </row>
    <row r="14379" spans="1:9" x14ac:dyDescent="0.25">
      <c r="A14379">
        <v>4320</v>
      </c>
      <c r="B14379">
        <v>60</v>
      </c>
      <c r="C14379" t="s">
        <v>946</v>
      </c>
      <c r="D14379" t="s">
        <v>1014</v>
      </c>
      <c r="E14379" t="s">
        <v>49</v>
      </c>
      <c r="F14379" t="s">
        <v>948</v>
      </c>
      <c r="G14379">
        <v>6000000</v>
      </c>
      <c r="H14379">
        <v>200110</v>
      </c>
      <c r="I14379" t="s">
        <v>949</v>
      </c>
    </row>
    <row r="14380" spans="1:9" x14ac:dyDescent="0.25">
      <c r="A14380">
        <v>4330</v>
      </c>
      <c r="B14380">
        <v>60</v>
      </c>
      <c r="C14380" t="s">
        <v>946</v>
      </c>
      <c r="D14380" t="s">
        <v>1014</v>
      </c>
      <c r="E14380" t="s">
        <v>49</v>
      </c>
      <c r="F14380" t="s">
        <v>948</v>
      </c>
      <c r="G14380">
        <v>6077777</v>
      </c>
      <c r="H14380">
        <v>500210</v>
      </c>
      <c r="I14380" t="s">
        <v>949</v>
      </c>
    </row>
    <row r="14381" spans="1:9" x14ac:dyDescent="0.25">
      <c r="A14381">
        <v>4332</v>
      </c>
      <c r="B14381">
        <v>60</v>
      </c>
      <c r="C14381" t="s">
        <v>946</v>
      </c>
      <c r="D14381" t="s">
        <v>1014</v>
      </c>
      <c r="E14381" t="s">
        <v>49</v>
      </c>
      <c r="F14381" t="s">
        <v>948</v>
      </c>
      <c r="G14381">
        <v>6077777</v>
      </c>
      <c r="H14381">
        <v>500210</v>
      </c>
      <c r="I14381" t="s">
        <v>949</v>
      </c>
    </row>
    <row r="14382" spans="1:9" x14ac:dyDescent="0.25">
      <c r="A14382">
        <v>4355</v>
      </c>
      <c r="B14382">
        <v>60</v>
      </c>
      <c r="C14382" t="s">
        <v>946</v>
      </c>
      <c r="D14382" t="s">
        <v>1014</v>
      </c>
      <c r="E14382" t="s">
        <v>49</v>
      </c>
      <c r="F14382" t="s">
        <v>948</v>
      </c>
      <c r="G14382">
        <v>6000000</v>
      </c>
      <c r="H14382">
        <v>200105</v>
      </c>
      <c r="I14382" t="s">
        <v>949</v>
      </c>
    </row>
    <row r="14383" spans="1:9" x14ac:dyDescent="0.25">
      <c r="A14383">
        <v>4315</v>
      </c>
      <c r="B14383">
        <v>60</v>
      </c>
      <c r="C14383" t="s">
        <v>946</v>
      </c>
      <c r="D14383" t="s">
        <v>1015</v>
      </c>
      <c r="E14383" t="s">
        <v>49</v>
      </c>
      <c r="F14383" t="s">
        <v>948</v>
      </c>
      <c r="G14383">
        <v>6077777</v>
      </c>
      <c r="H14383">
        <v>500220</v>
      </c>
      <c r="I14383" t="s">
        <v>949</v>
      </c>
    </row>
    <row r="14384" spans="1:9" x14ac:dyDescent="0.25">
      <c r="A14384">
        <v>4320</v>
      </c>
      <c r="B14384">
        <v>60</v>
      </c>
      <c r="C14384" t="s">
        <v>946</v>
      </c>
      <c r="D14384" t="s">
        <v>1015</v>
      </c>
      <c r="E14384" t="s">
        <v>49</v>
      </c>
      <c r="F14384" t="s">
        <v>948</v>
      </c>
      <c r="G14384">
        <v>6077777</v>
      </c>
      <c r="H14384">
        <v>500221</v>
      </c>
      <c r="I14384" t="s">
        <v>949</v>
      </c>
    </row>
    <row r="14385" spans="1:9" x14ac:dyDescent="0.25">
      <c r="A14385">
        <v>4310</v>
      </c>
      <c r="B14385">
        <v>60</v>
      </c>
      <c r="C14385" t="s">
        <v>946</v>
      </c>
      <c r="D14385" t="s">
        <v>171</v>
      </c>
      <c r="E14385" t="s">
        <v>49</v>
      </c>
      <c r="F14385" t="s">
        <v>948</v>
      </c>
      <c r="G14385">
        <v>6077777</v>
      </c>
      <c r="H14385">
        <v>501090</v>
      </c>
      <c r="I14385" t="s">
        <v>949</v>
      </c>
    </row>
    <row r="14386" spans="1:9" x14ac:dyDescent="0.25">
      <c r="A14386">
        <v>4320</v>
      </c>
      <c r="B14386">
        <v>60</v>
      </c>
      <c r="C14386" t="s">
        <v>946</v>
      </c>
      <c r="D14386" t="s">
        <v>171</v>
      </c>
      <c r="E14386" t="s">
        <v>49</v>
      </c>
      <c r="F14386" t="s">
        <v>948</v>
      </c>
      <c r="G14386">
        <v>6000000</v>
      </c>
      <c r="H14386">
        <v>200110</v>
      </c>
      <c r="I14386" t="s">
        <v>949</v>
      </c>
    </row>
    <row r="14387" spans="1:9" x14ac:dyDescent="0.25">
      <c r="A14387">
        <v>4330</v>
      </c>
      <c r="B14387">
        <v>60</v>
      </c>
      <c r="C14387" t="s">
        <v>946</v>
      </c>
      <c r="D14387" t="s">
        <v>171</v>
      </c>
      <c r="E14387" t="s">
        <v>49</v>
      </c>
      <c r="F14387" t="s">
        <v>948</v>
      </c>
      <c r="G14387">
        <v>6077777</v>
      </c>
      <c r="H14387">
        <v>500210</v>
      </c>
      <c r="I14387" t="s">
        <v>949</v>
      </c>
    </row>
    <row r="14388" spans="1:9" x14ac:dyDescent="0.25">
      <c r="A14388">
        <v>4332</v>
      </c>
      <c r="B14388">
        <v>60</v>
      </c>
      <c r="C14388" t="s">
        <v>946</v>
      </c>
      <c r="D14388" t="s">
        <v>171</v>
      </c>
      <c r="E14388" t="s">
        <v>49</v>
      </c>
      <c r="F14388" t="s">
        <v>948</v>
      </c>
      <c r="G14388">
        <v>6077777</v>
      </c>
      <c r="H14388">
        <v>500210</v>
      </c>
      <c r="I14388" t="s">
        <v>949</v>
      </c>
    </row>
    <row r="14389" spans="1:9" x14ac:dyDescent="0.25">
      <c r="A14389">
        <v>4335</v>
      </c>
      <c r="B14389">
        <v>60</v>
      </c>
      <c r="C14389" t="s">
        <v>946</v>
      </c>
      <c r="D14389" t="s">
        <v>171</v>
      </c>
      <c r="E14389" t="s">
        <v>49</v>
      </c>
      <c r="F14389" t="s">
        <v>948</v>
      </c>
      <c r="G14389">
        <v>6077777</v>
      </c>
      <c r="H14389">
        <v>500200</v>
      </c>
      <c r="I14389" t="s">
        <v>949</v>
      </c>
    </row>
    <row r="14390" spans="1:9" x14ac:dyDescent="0.25">
      <c r="A14390">
        <v>4337</v>
      </c>
      <c r="B14390">
        <v>60</v>
      </c>
      <c r="C14390" t="s">
        <v>946</v>
      </c>
      <c r="D14390" t="s">
        <v>171</v>
      </c>
      <c r="E14390" t="s">
        <v>49</v>
      </c>
      <c r="F14390" t="s">
        <v>948</v>
      </c>
      <c r="G14390">
        <v>6077777</v>
      </c>
      <c r="H14390">
        <v>500210</v>
      </c>
      <c r="I14390" t="s">
        <v>949</v>
      </c>
    </row>
    <row r="14391" spans="1:9" x14ac:dyDescent="0.25">
      <c r="A14391">
        <v>4340</v>
      </c>
      <c r="B14391">
        <v>60</v>
      </c>
      <c r="C14391" t="s">
        <v>946</v>
      </c>
      <c r="D14391" t="s">
        <v>171</v>
      </c>
      <c r="E14391" t="s">
        <v>49</v>
      </c>
      <c r="F14391" t="s">
        <v>948</v>
      </c>
      <c r="G14391">
        <v>6077777</v>
      </c>
      <c r="H14391">
        <v>500210</v>
      </c>
      <c r="I14391" t="s">
        <v>949</v>
      </c>
    </row>
    <row r="14392" spans="1:9" x14ac:dyDescent="0.25">
      <c r="A14392">
        <v>4405</v>
      </c>
      <c r="B14392">
        <v>60</v>
      </c>
      <c r="C14392" t="s">
        <v>946</v>
      </c>
      <c r="D14392" t="s">
        <v>171</v>
      </c>
      <c r="E14392" t="s">
        <v>49</v>
      </c>
      <c r="F14392" t="s">
        <v>948</v>
      </c>
      <c r="G14392">
        <v>6077777</v>
      </c>
      <c r="H14392">
        <v>500465</v>
      </c>
      <c r="I14392" t="s">
        <v>949</v>
      </c>
    </row>
    <row r="14393" ht="22" customHeight="1" spans="1:10" x14ac:dyDescent="0.25">
      <c r="A14393" s="43">
        <v>4310</v>
      </c>
      <c r="B14393" s="43">
        <v>60</v>
      </c>
      <c r="C14393" s="43" t="s">
        <v>946</v>
      </c>
      <c r="D14393" s="43" t="s">
        <v>171</v>
      </c>
      <c r="E14393" s="43" t="s">
        <v>39</v>
      </c>
      <c r="F14393" s="43" t="s">
        <v>948</v>
      </c>
      <c r="G14393" s="43">
        <v>6077777</v>
      </c>
      <c r="H14393" s="43">
        <v>501090</v>
      </c>
      <c r="I14393" s="43" t="s">
        <v>949</v>
      </c>
      <c r="J14393" s="44" t="s">
        <v>1000</v>
      </c>
    </row>
    <row r="14394" spans="1:9" x14ac:dyDescent="0.25">
      <c r="A14394">
        <v>4400</v>
      </c>
      <c r="B14394">
        <v>60</v>
      </c>
      <c r="C14394" t="s">
        <v>946</v>
      </c>
      <c r="D14394" t="s">
        <v>171</v>
      </c>
      <c r="E14394" t="s">
        <v>39</v>
      </c>
      <c r="F14394" t="s">
        <v>948</v>
      </c>
      <c r="G14394">
        <v>6000000</v>
      </c>
      <c r="H14394">
        <v>142020</v>
      </c>
      <c r="I14394" t="s">
        <v>949</v>
      </c>
    </row>
    <row r="14395" ht="22" customHeight="1" spans="1:10" x14ac:dyDescent="0.25">
      <c r="A14395" s="43">
        <v>4310</v>
      </c>
      <c r="B14395" s="43">
        <v>60</v>
      </c>
      <c r="C14395" s="43" t="s">
        <v>946</v>
      </c>
      <c r="D14395" s="43" t="s">
        <v>171</v>
      </c>
      <c r="E14395" s="43" t="s">
        <v>290</v>
      </c>
      <c r="F14395" s="43" t="s">
        <v>948</v>
      </c>
      <c r="G14395" s="43">
        <v>6077777</v>
      </c>
      <c r="H14395" s="43">
        <v>501090</v>
      </c>
      <c r="I14395" s="43" t="s">
        <v>949</v>
      </c>
      <c r="J14395" s="44" t="s">
        <v>1000</v>
      </c>
    </row>
    <row r="14396" spans="1:9" x14ac:dyDescent="0.25">
      <c r="A14396">
        <v>4400</v>
      </c>
      <c r="B14396">
        <v>60</v>
      </c>
      <c r="C14396" t="s">
        <v>946</v>
      </c>
      <c r="D14396" t="s">
        <v>171</v>
      </c>
      <c r="E14396" t="s">
        <v>290</v>
      </c>
      <c r="F14396" t="s">
        <v>948</v>
      </c>
      <c r="G14396">
        <v>6000000</v>
      </c>
      <c r="H14396">
        <v>142020</v>
      </c>
      <c r="I14396" t="s">
        <v>949</v>
      </c>
    </row>
    <row r="14397" ht="22" customHeight="1" spans="1:10" x14ac:dyDescent="0.25">
      <c r="A14397" s="43">
        <v>4310</v>
      </c>
      <c r="B14397" s="43">
        <v>60</v>
      </c>
      <c r="C14397" s="43" t="s">
        <v>946</v>
      </c>
      <c r="D14397" s="43" t="s">
        <v>171</v>
      </c>
      <c r="E14397" s="43" t="s">
        <v>294</v>
      </c>
      <c r="F14397" s="43" t="s">
        <v>948</v>
      </c>
      <c r="G14397" s="43">
        <v>6077777</v>
      </c>
      <c r="H14397" s="43">
        <v>501090</v>
      </c>
      <c r="I14397" s="43" t="s">
        <v>949</v>
      </c>
      <c r="J14397" s="44" t="s">
        <v>1000</v>
      </c>
    </row>
    <row r="14398" spans="1:9" x14ac:dyDescent="0.25">
      <c r="A14398">
        <v>4400</v>
      </c>
      <c r="B14398">
        <v>60</v>
      </c>
      <c r="C14398" t="s">
        <v>946</v>
      </c>
      <c r="D14398" t="s">
        <v>171</v>
      </c>
      <c r="E14398" t="s">
        <v>294</v>
      </c>
      <c r="F14398" t="s">
        <v>948</v>
      </c>
      <c r="G14398">
        <v>6000000</v>
      </c>
      <c r="H14398">
        <v>142020</v>
      </c>
      <c r="I14398" t="s">
        <v>949</v>
      </c>
    </row>
    <row r="14399" ht="22" customHeight="1" spans="1:10" x14ac:dyDescent="0.25">
      <c r="A14399" s="43">
        <v>4310</v>
      </c>
      <c r="B14399" s="43">
        <v>60</v>
      </c>
      <c r="C14399" s="43" t="s">
        <v>946</v>
      </c>
      <c r="D14399" s="43" t="s">
        <v>171</v>
      </c>
      <c r="E14399" s="43" t="s">
        <v>306</v>
      </c>
      <c r="F14399" s="43" t="s">
        <v>948</v>
      </c>
      <c r="G14399" s="43">
        <v>6077777</v>
      </c>
      <c r="H14399" s="43">
        <v>501090</v>
      </c>
      <c r="I14399" s="43" t="s">
        <v>949</v>
      </c>
      <c r="J14399" s="44" t="s">
        <v>1000</v>
      </c>
    </row>
    <row r="14400" spans="1:9" x14ac:dyDescent="0.25">
      <c r="A14400">
        <v>4400</v>
      </c>
      <c r="B14400">
        <v>60</v>
      </c>
      <c r="C14400" t="s">
        <v>946</v>
      </c>
      <c r="D14400" t="s">
        <v>171</v>
      </c>
      <c r="E14400" t="s">
        <v>306</v>
      </c>
      <c r="F14400" t="s">
        <v>948</v>
      </c>
      <c r="G14400">
        <v>6000000</v>
      </c>
      <c r="H14400">
        <v>142020</v>
      </c>
      <c r="I14400" t="s">
        <v>949</v>
      </c>
    </row>
    <row r="14401" spans="1:9" x14ac:dyDescent="0.25">
      <c r="A14401">
        <v>4318</v>
      </c>
      <c r="B14401">
        <v>60</v>
      </c>
      <c r="C14401" t="s">
        <v>946</v>
      </c>
      <c r="D14401" t="s">
        <v>1016</v>
      </c>
      <c r="E14401" t="s">
        <v>49</v>
      </c>
      <c r="F14401" t="s">
        <v>948</v>
      </c>
      <c r="G14401">
        <v>6000000</v>
      </c>
      <c r="H14401">
        <v>145100</v>
      </c>
      <c r="I14401" t="s">
        <v>949</v>
      </c>
    </row>
    <row r="14402" spans="1:9" x14ac:dyDescent="0.25">
      <c r="A14402">
        <v>4320</v>
      </c>
      <c r="B14402">
        <v>60</v>
      </c>
      <c r="C14402" t="s">
        <v>946</v>
      </c>
      <c r="D14402" t="s">
        <v>1016</v>
      </c>
      <c r="E14402" t="s">
        <v>49</v>
      </c>
      <c r="F14402" t="s">
        <v>948</v>
      </c>
      <c r="G14402">
        <v>6000000</v>
      </c>
      <c r="H14402">
        <v>200110</v>
      </c>
      <c r="I14402" t="s">
        <v>949</v>
      </c>
    </row>
    <row r="14403" spans="1:9" x14ac:dyDescent="0.25">
      <c r="A14403">
        <v>4330</v>
      </c>
      <c r="B14403">
        <v>60</v>
      </c>
      <c r="C14403" t="s">
        <v>946</v>
      </c>
      <c r="D14403" t="s">
        <v>1016</v>
      </c>
      <c r="E14403" t="s">
        <v>49</v>
      </c>
      <c r="F14403" t="s">
        <v>948</v>
      </c>
      <c r="G14403">
        <v>6077777</v>
      </c>
      <c r="H14403">
        <v>500210</v>
      </c>
      <c r="I14403" t="s">
        <v>949</v>
      </c>
    </row>
    <row r="14404" spans="1:9" x14ac:dyDescent="0.25">
      <c r="A14404">
        <v>4332</v>
      </c>
      <c r="B14404">
        <v>60</v>
      </c>
      <c r="C14404" t="s">
        <v>946</v>
      </c>
      <c r="D14404" t="s">
        <v>1016</v>
      </c>
      <c r="E14404" t="s">
        <v>49</v>
      </c>
      <c r="F14404" t="s">
        <v>948</v>
      </c>
      <c r="G14404">
        <v>6077777</v>
      </c>
      <c r="H14404">
        <v>500210</v>
      </c>
      <c r="I14404" t="s">
        <v>949</v>
      </c>
    </row>
    <row r="14405" spans="1:9" x14ac:dyDescent="0.25">
      <c r="A14405">
        <v>4335</v>
      </c>
      <c r="B14405">
        <v>60</v>
      </c>
      <c r="C14405" t="s">
        <v>946</v>
      </c>
      <c r="D14405" t="s">
        <v>1016</v>
      </c>
      <c r="E14405" t="s">
        <v>49</v>
      </c>
      <c r="F14405" t="s">
        <v>948</v>
      </c>
      <c r="G14405">
        <v>6077777</v>
      </c>
      <c r="H14405">
        <v>500200</v>
      </c>
      <c r="I14405" t="s">
        <v>949</v>
      </c>
    </row>
    <row r="14406" spans="1:9" x14ac:dyDescent="0.25">
      <c r="A14406">
        <v>4337</v>
      </c>
      <c r="B14406">
        <v>60</v>
      </c>
      <c r="C14406" t="s">
        <v>946</v>
      </c>
      <c r="D14406" t="s">
        <v>1016</v>
      </c>
      <c r="E14406" t="s">
        <v>49</v>
      </c>
      <c r="F14406" t="s">
        <v>948</v>
      </c>
      <c r="G14406">
        <v>6077777</v>
      </c>
      <c r="H14406">
        <v>500210</v>
      </c>
      <c r="I14406" t="s">
        <v>949</v>
      </c>
    </row>
    <row r="14407" spans="1:9" x14ac:dyDescent="0.25">
      <c r="A14407">
        <v>4340</v>
      </c>
      <c r="B14407">
        <v>60</v>
      </c>
      <c r="C14407" t="s">
        <v>946</v>
      </c>
      <c r="D14407" t="s">
        <v>1016</v>
      </c>
      <c r="E14407" t="s">
        <v>49</v>
      </c>
      <c r="F14407" t="s">
        <v>948</v>
      </c>
      <c r="G14407">
        <v>6077777</v>
      </c>
      <c r="H14407">
        <v>500210</v>
      </c>
      <c r="I14407" t="s">
        <v>949</v>
      </c>
    </row>
    <row r="14408" spans="1:9" x14ac:dyDescent="0.25">
      <c r="A14408">
        <v>4350</v>
      </c>
      <c r="B14408">
        <v>60</v>
      </c>
      <c r="C14408" t="s">
        <v>946</v>
      </c>
      <c r="D14408" t="s">
        <v>1016</v>
      </c>
      <c r="E14408" t="s">
        <v>49</v>
      </c>
      <c r="F14408" t="s">
        <v>948</v>
      </c>
      <c r="G14408">
        <v>6000000</v>
      </c>
      <c r="H14408">
        <v>142000</v>
      </c>
      <c r="I14408" t="s">
        <v>949</v>
      </c>
    </row>
    <row r="14409" spans="1:9" x14ac:dyDescent="0.25">
      <c r="A14409">
        <v>4355</v>
      </c>
      <c r="B14409">
        <v>60</v>
      </c>
      <c r="C14409" t="s">
        <v>946</v>
      </c>
      <c r="D14409" t="s">
        <v>1016</v>
      </c>
      <c r="E14409" t="s">
        <v>49</v>
      </c>
      <c r="F14409" t="s">
        <v>948</v>
      </c>
      <c r="G14409">
        <v>6000000</v>
      </c>
      <c r="H14409">
        <v>200105</v>
      </c>
      <c r="I14409" t="s">
        <v>949</v>
      </c>
    </row>
    <row r="14410" spans="1:9" x14ac:dyDescent="0.25">
      <c r="A14410">
        <v>4405</v>
      </c>
      <c r="B14410">
        <v>60</v>
      </c>
      <c r="C14410" t="s">
        <v>946</v>
      </c>
      <c r="D14410" t="s">
        <v>1016</v>
      </c>
      <c r="E14410" t="s">
        <v>49</v>
      </c>
      <c r="F14410" t="s">
        <v>948</v>
      </c>
      <c r="G14410">
        <v>6077777</v>
      </c>
      <c r="H14410">
        <v>500465</v>
      </c>
      <c r="I14410" t="s">
        <v>949</v>
      </c>
    </row>
    <row r="14411" spans="1:9" x14ac:dyDescent="0.25">
      <c r="A14411">
        <v>4310</v>
      </c>
      <c r="B14411">
        <v>60</v>
      </c>
      <c r="C14411" t="s">
        <v>946</v>
      </c>
      <c r="D14411" t="s">
        <v>1016</v>
      </c>
      <c r="E14411" t="s">
        <v>243</v>
      </c>
      <c r="F14411" t="s">
        <v>948</v>
      </c>
      <c r="G14411">
        <v>6000000</v>
      </c>
      <c r="H14411">
        <v>145000</v>
      </c>
      <c r="I14411" t="s">
        <v>949</v>
      </c>
    </row>
    <row r="14412" spans="1:9" x14ac:dyDescent="0.25">
      <c r="A14412">
        <v>4400</v>
      </c>
      <c r="B14412">
        <v>60</v>
      </c>
      <c r="C14412" t="s">
        <v>946</v>
      </c>
      <c r="D14412" t="s">
        <v>1016</v>
      </c>
      <c r="E14412" t="s">
        <v>243</v>
      </c>
      <c r="F14412" t="s">
        <v>948</v>
      </c>
      <c r="G14412">
        <v>6000000</v>
      </c>
      <c r="H14412">
        <v>145000</v>
      </c>
      <c r="I14412" t="s">
        <v>949</v>
      </c>
    </row>
    <row r="14413" spans="1:9" x14ac:dyDescent="0.25">
      <c r="A14413">
        <v>4310</v>
      </c>
      <c r="B14413">
        <v>60</v>
      </c>
      <c r="C14413" t="s">
        <v>946</v>
      </c>
      <c r="D14413" t="s">
        <v>1016</v>
      </c>
      <c r="E14413" t="s">
        <v>247</v>
      </c>
      <c r="F14413" t="s">
        <v>948</v>
      </c>
      <c r="G14413">
        <v>6000000</v>
      </c>
      <c r="H14413">
        <v>145000</v>
      </c>
      <c r="I14413" t="s">
        <v>949</v>
      </c>
    </row>
    <row r="14414" spans="1:9" x14ac:dyDescent="0.25">
      <c r="A14414">
        <v>4400</v>
      </c>
      <c r="B14414">
        <v>60</v>
      </c>
      <c r="C14414" t="s">
        <v>946</v>
      </c>
      <c r="D14414" t="s">
        <v>1016</v>
      </c>
      <c r="E14414" t="s">
        <v>247</v>
      </c>
      <c r="F14414" t="s">
        <v>948</v>
      </c>
      <c r="G14414">
        <v>6000000</v>
      </c>
      <c r="H14414">
        <v>145000</v>
      </c>
      <c r="I14414" t="s">
        <v>949</v>
      </c>
    </row>
    <row r="14415" spans="1:9" x14ac:dyDescent="0.25">
      <c r="A14415">
        <v>4310</v>
      </c>
      <c r="B14415">
        <v>60</v>
      </c>
      <c r="C14415" t="s">
        <v>946</v>
      </c>
      <c r="D14415" t="s">
        <v>1016</v>
      </c>
      <c r="E14415" t="s">
        <v>251</v>
      </c>
      <c r="F14415" t="s">
        <v>948</v>
      </c>
      <c r="G14415">
        <v>6000000</v>
      </c>
      <c r="H14415">
        <v>142000</v>
      </c>
      <c r="I14415" t="s">
        <v>949</v>
      </c>
    </row>
    <row r="14416" spans="1:9" x14ac:dyDescent="0.25">
      <c r="A14416">
        <v>4400</v>
      </c>
      <c r="B14416">
        <v>60</v>
      </c>
      <c r="C14416" t="s">
        <v>946</v>
      </c>
      <c r="D14416" t="s">
        <v>1016</v>
      </c>
      <c r="E14416" t="s">
        <v>251</v>
      </c>
      <c r="F14416" t="s">
        <v>948</v>
      </c>
      <c r="G14416">
        <v>6000000</v>
      </c>
      <c r="H14416">
        <v>142000</v>
      </c>
      <c r="I14416" t="s">
        <v>949</v>
      </c>
    </row>
    <row r="14417" spans="1:9" x14ac:dyDescent="0.25">
      <c r="A14417">
        <v>4310</v>
      </c>
      <c r="B14417">
        <v>60</v>
      </c>
      <c r="C14417" t="s">
        <v>946</v>
      </c>
      <c r="D14417" t="s">
        <v>1016</v>
      </c>
      <c r="E14417" t="s">
        <v>969</v>
      </c>
      <c r="F14417" t="s">
        <v>948</v>
      </c>
      <c r="G14417">
        <v>6000000</v>
      </c>
      <c r="H14417">
        <v>141000</v>
      </c>
      <c r="I14417" t="s">
        <v>970</v>
      </c>
    </row>
    <row r="14418" spans="1:9" x14ac:dyDescent="0.25">
      <c r="A14418">
        <v>4400</v>
      </c>
      <c r="B14418">
        <v>60</v>
      </c>
      <c r="C14418" t="s">
        <v>946</v>
      </c>
      <c r="D14418" t="s">
        <v>1016</v>
      </c>
      <c r="E14418" t="s">
        <v>969</v>
      </c>
      <c r="F14418" t="s">
        <v>948</v>
      </c>
      <c r="G14418">
        <v>6000000</v>
      </c>
      <c r="H14418">
        <v>141000</v>
      </c>
      <c r="I14418" t="s">
        <v>970</v>
      </c>
    </row>
    <row r="14419" spans="1:9" x14ac:dyDescent="0.25">
      <c r="A14419">
        <v>4310</v>
      </c>
      <c r="B14419">
        <v>60</v>
      </c>
      <c r="C14419" t="s">
        <v>946</v>
      </c>
      <c r="D14419" t="s">
        <v>1016</v>
      </c>
      <c r="E14419" t="s">
        <v>255</v>
      </c>
      <c r="F14419" t="s">
        <v>948</v>
      </c>
      <c r="G14419">
        <v>6000000</v>
      </c>
      <c r="H14419">
        <v>145000</v>
      </c>
      <c r="I14419" t="s">
        <v>949</v>
      </c>
    </row>
    <row r="14420" spans="1:9" x14ac:dyDescent="0.25">
      <c r="A14420">
        <v>4400</v>
      </c>
      <c r="B14420">
        <v>60</v>
      </c>
      <c r="C14420" t="s">
        <v>946</v>
      </c>
      <c r="D14420" t="s">
        <v>1016</v>
      </c>
      <c r="E14420" t="s">
        <v>255</v>
      </c>
      <c r="F14420" t="s">
        <v>948</v>
      </c>
      <c r="G14420">
        <v>6000000</v>
      </c>
      <c r="H14420">
        <v>145000</v>
      </c>
      <c r="I14420" t="s">
        <v>949</v>
      </c>
    </row>
    <row r="14421" spans="1:9" x14ac:dyDescent="0.25">
      <c r="A14421">
        <v>4310</v>
      </c>
      <c r="B14421">
        <v>60</v>
      </c>
      <c r="C14421" t="s">
        <v>946</v>
      </c>
      <c r="D14421" t="s">
        <v>1016</v>
      </c>
      <c r="E14421" t="s">
        <v>971</v>
      </c>
      <c r="F14421" t="s">
        <v>948</v>
      </c>
      <c r="G14421">
        <v>6000000</v>
      </c>
      <c r="H14421">
        <v>141000</v>
      </c>
      <c r="I14421" t="s">
        <v>972</v>
      </c>
    </row>
    <row r="14422" spans="1:9" x14ac:dyDescent="0.25">
      <c r="A14422">
        <v>4400</v>
      </c>
      <c r="B14422">
        <v>60</v>
      </c>
      <c r="C14422" t="s">
        <v>946</v>
      </c>
      <c r="D14422" t="s">
        <v>1016</v>
      </c>
      <c r="E14422" t="s">
        <v>971</v>
      </c>
      <c r="F14422" t="s">
        <v>948</v>
      </c>
      <c r="G14422">
        <v>6000000</v>
      </c>
      <c r="H14422">
        <v>141000</v>
      </c>
      <c r="I14422" t="s">
        <v>972</v>
      </c>
    </row>
    <row r="14423" spans="1:9" x14ac:dyDescent="0.25">
      <c r="A14423">
        <v>4310</v>
      </c>
      <c r="B14423">
        <v>60</v>
      </c>
      <c r="C14423" t="s">
        <v>946</v>
      </c>
      <c r="D14423" t="s">
        <v>1016</v>
      </c>
      <c r="E14423" t="s">
        <v>263</v>
      </c>
      <c r="F14423" t="s">
        <v>948</v>
      </c>
      <c r="G14423">
        <v>6000000</v>
      </c>
      <c r="H14423">
        <v>145000</v>
      </c>
      <c r="I14423" t="s">
        <v>949</v>
      </c>
    </row>
    <row r="14424" spans="1:9" x14ac:dyDescent="0.25">
      <c r="A14424">
        <v>4400</v>
      </c>
      <c r="B14424">
        <v>60</v>
      </c>
      <c r="C14424" t="s">
        <v>946</v>
      </c>
      <c r="D14424" t="s">
        <v>1016</v>
      </c>
      <c r="E14424" t="s">
        <v>263</v>
      </c>
      <c r="F14424" t="s">
        <v>948</v>
      </c>
      <c r="G14424">
        <v>6000000</v>
      </c>
      <c r="H14424">
        <v>145000</v>
      </c>
      <c r="I14424" t="s">
        <v>949</v>
      </c>
    </row>
    <row r="14425" spans="1:9" x14ac:dyDescent="0.25">
      <c r="A14425">
        <v>4310</v>
      </c>
      <c r="B14425">
        <v>60</v>
      </c>
      <c r="C14425" t="s">
        <v>946</v>
      </c>
      <c r="D14425" t="s">
        <v>1016</v>
      </c>
      <c r="E14425" t="s">
        <v>270</v>
      </c>
      <c r="F14425" t="s">
        <v>948</v>
      </c>
      <c r="G14425">
        <v>6000000</v>
      </c>
      <c r="H14425">
        <v>145000</v>
      </c>
      <c r="I14425" t="s">
        <v>949</v>
      </c>
    </row>
    <row r="14426" spans="1:9" x14ac:dyDescent="0.25">
      <c r="A14426">
        <v>4400</v>
      </c>
      <c r="B14426">
        <v>60</v>
      </c>
      <c r="C14426" t="s">
        <v>946</v>
      </c>
      <c r="D14426" t="s">
        <v>1016</v>
      </c>
      <c r="E14426" t="s">
        <v>270</v>
      </c>
      <c r="F14426" t="s">
        <v>948</v>
      </c>
      <c r="G14426">
        <v>6000000</v>
      </c>
      <c r="H14426">
        <v>145000</v>
      </c>
      <c r="I14426" t="s">
        <v>949</v>
      </c>
    </row>
    <row r="14427" spans="1:9" x14ac:dyDescent="0.25">
      <c r="A14427">
        <v>4310</v>
      </c>
      <c r="B14427">
        <v>60</v>
      </c>
      <c r="C14427" t="s">
        <v>946</v>
      </c>
      <c r="D14427" t="s">
        <v>1016</v>
      </c>
      <c r="E14427" t="s">
        <v>274</v>
      </c>
      <c r="F14427" t="s">
        <v>948</v>
      </c>
      <c r="G14427">
        <v>6000000</v>
      </c>
      <c r="H14427">
        <v>143000</v>
      </c>
      <c r="I14427" t="s">
        <v>973</v>
      </c>
    </row>
    <row r="14428" spans="1:9" x14ac:dyDescent="0.25">
      <c r="A14428">
        <v>4400</v>
      </c>
      <c r="B14428">
        <v>60</v>
      </c>
      <c r="C14428" t="s">
        <v>946</v>
      </c>
      <c r="D14428" t="s">
        <v>1016</v>
      </c>
      <c r="E14428" t="s">
        <v>274</v>
      </c>
      <c r="F14428" t="s">
        <v>948</v>
      </c>
      <c r="G14428">
        <v>6000000</v>
      </c>
      <c r="H14428">
        <v>143000</v>
      </c>
      <c r="I14428" t="s">
        <v>973</v>
      </c>
    </row>
    <row r="14429" spans="1:9" x14ac:dyDescent="0.25">
      <c r="A14429">
        <v>4310</v>
      </c>
      <c r="B14429">
        <v>60</v>
      </c>
      <c r="C14429" t="s">
        <v>946</v>
      </c>
      <c r="D14429" t="s">
        <v>1016</v>
      </c>
      <c r="E14429" t="s">
        <v>974</v>
      </c>
      <c r="F14429" t="s">
        <v>948</v>
      </c>
      <c r="G14429">
        <v>6000000</v>
      </c>
      <c r="H14429">
        <v>141000</v>
      </c>
      <c r="I14429" t="s">
        <v>975</v>
      </c>
    </row>
    <row r="14430" spans="1:9" x14ac:dyDescent="0.25">
      <c r="A14430">
        <v>4400</v>
      </c>
      <c r="B14430">
        <v>60</v>
      </c>
      <c r="C14430" t="s">
        <v>946</v>
      </c>
      <c r="D14430" t="s">
        <v>1016</v>
      </c>
      <c r="E14430" t="s">
        <v>974</v>
      </c>
      <c r="F14430" t="s">
        <v>948</v>
      </c>
      <c r="G14430">
        <v>6000000</v>
      </c>
      <c r="H14430">
        <v>141000</v>
      </c>
      <c r="I14430" t="s">
        <v>975</v>
      </c>
    </row>
    <row r="14431" spans="1:9" x14ac:dyDescent="0.25">
      <c r="A14431">
        <v>4310</v>
      </c>
      <c r="B14431">
        <v>60</v>
      </c>
      <c r="C14431" t="s">
        <v>946</v>
      </c>
      <c r="D14431" t="s">
        <v>1016</v>
      </c>
      <c r="E14431" t="s">
        <v>278</v>
      </c>
      <c r="F14431" t="s">
        <v>948</v>
      </c>
      <c r="G14431">
        <v>6000000</v>
      </c>
      <c r="H14431">
        <v>145000</v>
      </c>
      <c r="I14431" t="s">
        <v>949</v>
      </c>
    </row>
    <row r="14432" spans="1:9" x14ac:dyDescent="0.25">
      <c r="A14432">
        <v>4400</v>
      </c>
      <c r="B14432">
        <v>60</v>
      </c>
      <c r="C14432" t="s">
        <v>946</v>
      </c>
      <c r="D14432" t="s">
        <v>1016</v>
      </c>
      <c r="E14432" t="s">
        <v>278</v>
      </c>
      <c r="F14432" t="s">
        <v>948</v>
      </c>
      <c r="G14432">
        <v>6000000</v>
      </c>
      <c r="H14432">
        <v>145000</v>
      </c>
      <c r="I14432" t="s">
        <v>949</v>
      </c>
    </row>
    <row r="14433" spans="1:9" x14ac:dyDescent="0.25">
      <c r="A14433">
        <v>4310</v>
      </c>
      <c r="B14433">
        <v>60</v>
      </c>
      <c r="C14433" t="s">
        <v>946</v>
      </c>
      <c r="D14433" t="s">
        <v>1016</v>
      </c>
      <c r="E14433" t="s">
        <v>282</v>
      </c>
      <c r="F14433" t="s">
        <v>948</v>
      </c>
      <c r="G14433">
        <v>6000000</v>
      </c>
      <c r="H14433">
        <v>143100</v>
      </c>
      <c r="I14433" t="s">
        <v>949</v>
      </c>
    </row>
    <row r="14434" spans="1:9" x14ac:dyDescent="0.25">
      <c r="A14434">
        <v>4400</v>
      </c>
      <c r="B14434">
        <v>60</v>
      </c>
      <c r="C14434" t="s">
        <v>946</v>
      </c>
      <c r="D14434" t="s">
        <v>1016</v>
      </c>
      <c r="E14434" t="s">
        <v>282</v>
      </c>
      <c r="F14434" t="s">
        <v>948</v>
      </c>
      <c r="G14434">
        <v>6000000</v>
      </c>
      <c r="H14434">
        <v>143100</v>
      </c>
      <c r="I14434" t="s">
        <v>949</v>
      </c>
    </row>
    <row r="14435" spans="1:9" x14ac:dyDescent="0.25">
      <c r="A14435">
        <v>4310</v>
      </c>
      <c r="B14435">
        <v>60</v>
      </c>
      <c r="C14435" t="s">
        <v>946</v>
      </c>
      <c r="D14435" t="s">
        <v>1016</v>
      </c>
      <c r="E14435" t="s">
        <v>286</v>
      </c>
      <c r="F14435" t="s">
        <v>948</v>
      </c>
      <c r="G14435">
        <v>6000000</v>
      </c>
      <c r="H14435">
        <v>145000</v>
      </c>
      <c r="I14435" t="s">
        <v>949</v>
      </c>
    </row>
    <row r="14436" spans="1:9" x14ac:dyDescent="0.25">
      <c r="A14436">
        <v>4400</v>
      </c>
      <c r="B14436">
        <v>60</v>
      </c>
      <c r="C14436" t="s">
        <v>946</v>
      </c>
      <c r="D14436" t="s">
        <v>1016</v>
      </c>
      <c r="E14436" t="s">
        <v>286</v>
      </c>
      <c r="F14436" t="s">
        <v>948</v>
      </c>
      <c r="G14436">
        <v>6000000</v>
      </c>
      <c r="H14436">
        <v>145000</v>
      </c>
      <c r="I14436" t="s">
        <v>949</v>
      </c>
    </row>
    <row r="14437" spans="1:9" x14ac:dyDescent="0.25">
      <c r="A14437">
        <v>4310</v>
      </c>
      <c r="B14437">
        <v>60</v>
      </c>
      <c r="C14437" t="s">
        <v>946</v>
      </c>
      <c r="D14437" t="s">
        <v>1016</v>
      </c>
      <c r="E14437" t="s">
        <v>976</v>
      </c>
      <c r="F14437" t="s">
        <v>948</v>
      </c>
      <c r="G14437">
        <v>6000000</v>
      </c>
      <c r="H14437">
        <v>141000</v>
      </c>
      <c r="I14437" t="s">
        <v>977</v>
      </c>
    </row>
    <row r="14438" spans="1:9" x14ac:dyDescent="0.25">
      <c r="A14438">
        <v>4400</v>
      </c>
      <c r="B14438">
        <v>60</v>
      </c>
      <c r="C14438" t="s">
        <v>946</v>
      </c>
      <c r="D14438" t="s">
        <v>1016</v>
      </c>
      <c r="E14438" t="s">
        <v>976</v>
      </c>
      <c r="F14438" t="s">
        <v>948</v>
      </c>
      <c r="G14438">
        <v>6000000</v>
      </c>
      <c r="H14438">
        <v>141000</v>
      </c>
      <c r="I14438" t="s">
        <v>977</v>
      </c>
    </row>
    <row r="14439" spans="1:9" x14ac:dyDescent="0.25">
      <c r="A14439">
        <v>4310</v>
      </c>
      <c r="B14439">
        <v>60</v>
      </c>
      <c r="C14439" t="s">
        <v>946</v>
      </c>
      <c r="D14439" t="s">
        <v>1016</v>
      </c>
      <c r="E14439" t="s">
        <v>290</v>
      </c>
      <c r="F14439" t="s">
        <v>948</v>
      </c>
      <c r="G14439">
        <v>6000000</v>
      </c>
      <c r="H14439">
        <v>143000</v>
      </c>
      <c r="I14439" t="s">
        <v>978</v>
      </c>
    </row>
    <row r="14440" spans="1:9" x14ac:dyDescent="0.25">
      <c r="A14440">
        <v>4400</v>
      </c>
      <c r="B14440">
        <v>60</v>
      </c>
      <c r="C14440" t="s">
        <v>946</v>
      </c>
      <c r="D14440" t="s">
        <v>1016</v>
      </c>
      <c r="E14440" t="s">
        <v>290</v>
      </c>
      <c r="F14440" t="s">
        <v>948</v>
      </c>
      <c r="G14440">
        <v>6000000</v>
      </c>
      <c r="H14440">
        <v>143000</v>
      </c>
      <c r="I14440" t="s">
        <v>978</v>
      </c>
    </row>
    <row r="14441" spans="1:9" x14ac:dyDescent="0.25">
      <c r="A14441">
        <v>4310</v>
      </c>
      <c r="B14441">
        <v>60</v>
      </c>
      <c r="C14441" t="s">
        <v>946</v>
      </c>
      <c r="D14441" t="s">
        <v>1016</v>
      </c>
      <c r="E14441" t="s">
        <v>294</v>
      </c>
      <c r="F14441" t="s">
        <v>948</v>
      </c>
      <c r="G14441">
        <v>6000000</v>
      </c>
      <c r="H14441">
        <v>143000</v>
      </c>
      <c r="I14441" t="s">
        <v>979</v>
      </c>
    </row>
    <row r="14442" spans="1:9" x14ac:dyDescent="0.25">
      <c r="A14442">
        <v>4400</v>
      </c>
      <c r="B14442">
        <v>60</v>
      </c>
      <c r="C14442" t="s">
        <v>946</v>
      </c>
      <c r="D14442" t="s">
        <v>1016</v>
      </c>
      <c r="E14442" t="s">
        <v>294</v>
      </c>
      <c r="F14442" t="s">
        <v>948</v>
      </c>
      <c r="G14442">
        <v>6000000</v>
      </c>
      <c r="H14442">
        <v>143000</v>
      </c>
      <c r="I14442" t="s">
        <v>979</v>
      </c>
    </row>
    <row r="14443" spans="1:9" x14ac:dyDescent="0.25">
      <c r="A14443">
        <v>4310</v>
      </c>
      <c r="B14443">
        <v>60</v>
      </c>
      <c r="C14443" t="s">
        <v>946</v>
      </c>
      <c r="D14443" t="s">
        <v>1016</v>
      </c>
      <c r="E14443" t="s">
        <v>980</v>
      </c>
      <c r="F14443" t="s">
        <v>948</v>
      </c>
      <c r="G14443">
        <v>6000000</v>
      </c>
      <c r="H14443">
        <v>141000</v>
      </c>
      <c r="I14443" t="s">
        <v>981</v>
      </c>
    </row>
    <row r="14444" spans="1:9" x14ac:dyDescent="0.25">
      <c r="A14444">
        <v>4400</v>
      </c>
      <c r="B14444">
        <v>60</v>
      </c>
      <c r="C14444" t="s">
        <v>946</v>
      </c>
      <c r="D14444" t="s">
        <v>1016</v>
      </c>
      <c r="E14444" t="s">
        <v>980</v>
      </c>
      <c r="F14444" t="s">
        <v>948</v>
      </c>
      <c r="G14444">
        <v>6000000</v>
      </c>
      <c r="H14444">
        <v>141000</v>
      </c>
      <c r="I14444" t="s">
        <v>981</v>
      </c>
    </row>
    <row r="14445" spans="1:9" x14ac:dyDescent="0.25">
      <c r="A14445">
        <v>4310</v>
      </c>
      <c r="B14445">
        <v>60</v>
      </c>
      <c r="C14445" t="s">
        <v>946</v>
      </c>
      <c r="D14445" t="s">
        <v>1016</v>
      </c>
      <c r="E14445" t="s">
        <v>302</v>
      </c>
      <c r="F14445" t="s">
        <v>948</v>
      </c>
      <c r="G14445">
        <v>6000000</v>
      </c>
      <c r="H14445">
        <v>143000</v>
      </c>
      <c r="I14445" t="s">
        <v>982</v>
      </c>
    </row>
    <row r="14446" spans="1:9" x14ac:dyDescent="0.25">
      <c r="A14446">
        <v>4400</v>
      </c>
      <c r="B14446">
        <v>60</v>
      </c>
      <c r="C14446" t="s">
        <v>946</v>
      </c>
      <c r="D14446" t="s">
        <v>1016</v>
      </c>
      <c r="E14446" t="s">
        <v>302</v>
      </c>
      <c r="F14446" t="s">
        <v>948</v>
      </c>
      <c r="G14446">
        <v>6000000</v>
      </c>
      <c r="H14446">
        <v>143000</v>
      </c>
      <c r="I14446" t="s">
        <v>982</v>
      </c>
    </row>
    <row r="14447" spans="1:9" x14ac:dyDescent="0.25">
      <c r="A14447">
        <v>4310</v>
      </c>
      <c r="B14447">
        <v>60</v>
      </c>
      <c r="C14447" t="s">
        <v>946</v>
      </c>
      <c r="D14447" t="s">
        <v>1016</v>
      </c>
      <c r="E14447" t="s">
        <v>306</v>
      </c>
      <c r="F14447" t="s">
        <v>948</v>
      </c>
      <c r="G14447">
        <v>6000000</v>
      </c>
      <c r="H14447">
        <v>143000</v>
      </c>
      <c r="I14447" t="s">
        <v>983</v>
      </c>
    </row>
    <row r="14448" spans="1:9" x14ac:dyDescent="0.25">
      <c r="A14448">
        <v>4310</v>
      </c>
      <c r="B14448">
        <v>60</v>
      </c>
      <c r="C14448" t="s">
        <v>946</v>
      </c>
      <c r="D14448" t="s">
        <v>1016</v>
      </c>
      <c r="E14448" t="s">
        <v>310</v>
      </c>
      <c r="F14448" t="s">
        <v>948</v>
      </c>
      <c r="G14448">
        <v>6000000</v>
      </c>
      <c r="H14448">
        <v>145000</v>
      </c>
      <c r="I14448" t="s">
        <v>949</v>
      </c>
    </row>
    <row r="14449" spans="1:9" x14ac:dyDescent="0.25">
      <c r="A14449">
        <v>4400</v>
      </c>
      <c r="B14449">
        <v>60</v>
      </c>
      <c r="C14449" t="s">
        <v>946</v>
      </c>
      <c r="D14449" t="s">
        <v>1016</v>
      </c>
      <c r="E14449" t="s">
        <v>310</v>
      </c>
      <c r="F14449" t="s">
        <v>948</v>
      </c>
      <c r="G14449">
        <v>6000000</v>
      </c>
      <c r="H14449">
        <v>145000</v>
      </c>
      <c r="I14449" t="s">
        <v>949</v>
      </c>
    </row>
    <row r="14450" spans="1:9" x14ac:dyDescent="0.25">
      <c r="A14450">
        <v>4310</v>
      </c>
      <c r="B14450">
        <v>60</v>
      </c>
      <c r="C14450" t="s">
        <v>946</v>
      </c>
      <c r="D14450" t="s">
        <v>1016</v>
      </c>
      <c r="E14450" t="s">
        <v>314</v>
      </c>
      <c r="F14450" t="s">
        <v>948</v>
      </c>
      <c r="G14450">
        <v>6000000</v>
      </c>
      <c r="H14450">
        <v>145000</v>
      </c>
      <c r="I14450" t="s">
        <v>949</v>
      </c>
    </row>
    <row r="14451" spans="1:9" x14ac:dyDescent="0.25">
      <c r="A14451">
        <v>4400</v>
      </c>
      <c r="B14451">
        <v>60</v>
      </c>
      <c r="C14451" t="s">
        <v>946</v>
      </c>
      <c r="D14451" t="s">
        <v>1016</v>
      </c>
      <c r="E14451" t="s">
        <v>314</v>
      </c>
      <c r="F14451" t="s">
        <v>948</v>
      </c>
      <c r="G14451">
        <v>6000000</v>
      </c>
      <c r="H14451">
        <v>145000</v>
      </c>
      <c r="I14451" t="s">
        <v>949</v>
      </c>
    </row>
    <row r="14452" spans="1:9" x14ac:dyDescent="0.25">
      <c r="A14452">
        <v>4310</v>
      </c>
      <c r="B14452">
        <v>60</v>
      </c>
      <c r="C14452" t="s">
        <v>946</v>
      </c>
      <c r="D14452" t="s">
        <v>1016</v>
      </c>
      <c r="E14452" t="s">
        <v>984</v>
      </c>
      <c r="F14452" t="s">
        <v>948</v>
      </c>
      <c r="G14452">
        <v>6000000</v>
      </c>
      <c r="H14452">
        <v>141000</v>
      </c>
      <c r="I14452" t="s">
        <v>985</v>
      </c>
    </row>
    <row r="14453" spans="1:9" x14ac:dyDescent="0.25">
      <c r="A14453">
        <v>4400</v>
      </c>
      <c r="B14453">
        <v>60</v>
      </c>
      <c r="C14453" t="s">
        <v>946</v>
      </c>
      <c r="D14453" t="s">
        <v>1016</v>
      </c>
      <c r="E14453" t="s">
        <v>984</v>
      </c>
      <c r="F14453" t="s">
        <v>948</v>
      </c>
      <c r="G14453">
        <v>6000000</v>
      </c>
      <c r="H14453">
        <v>141000</v>
      </c>
      <c r="I14453" t="s">
        <v>985</v>
      </c>
    </row>
    <row r="14454" spans="1:9" x14ac:dyDescent="0.25">
      <c r="A14454">
        <v>4315</v>
      </c>
      <c r="B14454">
        <v>60</v>
      </c>
      <c r="C14454" t="s">
        <v>946</v>
      </c>
      <c r="D14454" t="s">
        <v>67</v>
      </c>
      <c r="E14454" t="s">
        <v>49</v>
      </c>
      <c r="F14454" t="s">
        <v>948</v>
      </c>
      <c r="G14454">
        <v>6077777</v>
      </c>
      <c r="H14454">
        <v>500220</v>
      </c>
      <c r="I14454" t="s">
        <v>949</v>
      </c>
    </row>
    <row r="14455" spans="1:9" x14ac:dyDescent="0.25">
      <c r="A14455">
        <v>4318</v>
      </c>
      <c r="B14455">
        <v>60</v>
      </c>
      <c r="C14455" t="s">
        <v>946</v>
      </c>
      <c r="D14455" t="s">
        <v>67</v>
      </c>
      <c r="E14455" t="s">
        <v>49</v>
      </c>
      <c r="F14455" t="s">
        <v>948</v>
      </c>
      <c r="G14455">
        <v>6000000</v>
      </c>
      <c r="H14455">
        <v>145100</v>
      </c>
      <c r="I14455" t="s">
        <v>949</v>
      </c>
    </row>
    <row r="14456" spans="1:9" x14ac:dyDescent="0.25">
      <c r="A14456">
        <v>4320</v>
      </c>
      <c r="B14456">
        <v>60</v>
      </c>
      <c r="C14456" t="s">
        <v>946</v>
      </c>
      <c r="D14456" t="s">
        <v>67</v>
      </c>
      <c r="E14456" t="s">
        <v>49</v>
      </c>
      <c r="F14456" t="s">
        <v>948</v>
      </c>
      <c r="G14456">
        <v>6000000</v>
      </c>
      <c r="H14456">
        <v>145200</v>
      </c>
      <c r="I14456" t="s">
        <v>949</v>
      </c>
    </row>
    <row r="14457" spans="1:9" x14ac:dyDescent="0.25">
      <c r="A14457">
        <v>4330</v>
      </c>
      <c r="B14457">
        <v>60</v>
      </c>
      <c r="C14457" t="s">
        <v>946</v>
      </c>
      <c r="D14457" t="s">
        <v>67</v>
      </c>
      <c r="E14457" t="s">
        <v>49</v>
      </c>
      <c r="F14457" t="s">
        <v>948</v>
      </c>
      <c r="G14457">
        <v>6077777</v>
      </c>
      <c r="H14457">
        <v>500465</v>
      </c>
      <c r="I14457" t="s">
        <v>949</v>
      </c>
    </row>
    <row r="14458" spans="1:9" x14ac:dyDescent="0.25">
      <c r="A14458">
        <v>4332</v>
      </c>
      <c r="B14458">
        <v>60</v>
      </c>
      <c r="C14458" t="s">
        <v>946</v>
      </c>
      <c r="D14458" t="s">
        <v>67</v>
      </c>
      <c r="E14458" t="s">
        <v>49</v>
      </c>
      <c r="F14458" t="s">
        <v>948</v>
      </c>
      <c r="G14458">
        <v>6077777</v>
      </c>
      <c r="H14458">
        <v>500465</v>
      </c>
      <c r="I14458" t="s">
        <v>949</v>
      </c>
    </row>
    <row r="14459" spans="1:9" x14ac:dyDescent="0.25">
      <c r="A14459">
        <v>4335</v>
      </c>
      <c r="B14459">
        <v>60</v>
      </c>
      <c r="C14459" t="s">
        <v>946</v>
      </c>
      <c r="D14459" t="s">
        <v>67</v>
      </c>
      <c r="E14459" t="s">
        <v>49</v>
      </c>
      <c r="F14459" t="s">
        <v>948</v>
      </c>
      <c r="G14459">
        <v>6077777</v>
      </c>
      <c r="H14459">
        <v>500465</v>
      </c>
      <c r="I14459" t="s">
        <v>949</v>
      </c>
    </row>
    <row r="14460" spans="1:9" x14ac:dyDescent="0.25">
      <c r="A14460">
        <v>4337</v>
      </c>
      <c r="B14460">
        <v>60</v>
      </c>
      <c r="C14460" t="s">
        <v>946</v>
      </c>
      <c r="D14460" t="s">
        <v>67</v>
      </c>
      <c r="E14460" t="s">
        <v>49</v>
      </c>
      <c r="F14460" t="s">
        <v>948</v>
      </c>
      <c r="G14460">
        <v>6077777</v>
      </c>
      <c r="H14460">
        <v>500465</v>
      </c>
      <c r="I14460" t="s">
        <v>949</v>
      </c>
    </row>
    <row r="14461" spans="1:9" x14ac:dyDescent="0.25">
      <c r="A14461">
        <v>4340</v>
      </c>
      <c r="B14461">
        <v>60</v>
      </c>
      <c r="C14461" t="s">
        <v>946</v>
      </c>
      <c r="D14461" t="s">
        <v>67</v>
      </c>
      <c r="E14461" t="s">
        <v>49</v>
      </c>
      <c r="F14461" t="s">
        <v>948</v>
      </c>
      <c r="G14461">
        <v>6077777</v>
      </c>
      <c r="H14461">
        <v>500210</v>
      </c>
      <c r="I14461" t="s">
        <v>949</v>
      </c>
    </row>
    <row r="14462" spans="1:9" x14ac:dyDescent="0.25">
      <c r="A14462">
        <v>4350</v>
      </c>
      <c r="B14462">
        <v>60</v>
      </c>
      <c r="C14462" t="s">
        <v>946</v>
      </c>
      <c r="D14462" t="s">
        <v>67</v>
      </c>
      <c r="E14462" t="s">
        <v>49</v>
      </c>
      <c r="F14462" t="s">
        <v>948</v>
      </c>
      <c r="G14462">
        <v>6000000</v>
      </c>
      <c r="H14462">
        <v>142000</v>
      </c>
      <c r="I14462" t="s">
        <v>949</v>
      </c>
    </row>
    <row r="14463" spans="1:9" x14ac:dyDescent="0.25">
      <c r="A14463">
        <v>4355</v>
      </c>
      <c r="B14463">
        <v>60</v>
      </c>
      <c r="C14463" t="s">
        <v>946</v>
      </c>
      <c r="D14463" t="s">
        <v>67</v>
      </c>
      <c r="E14463" t="s">
        <v>49</v>
      </c>
      <c r="F14463" t="s">
        <v>948</v>
      </c>
      <c r="G14463">
        <v>6000000</v>
      </c>
      <c r="H14463">
        <v>200105</v>
      </c>
      <c r="I14463" t="s">
        <v>949</v>
      </c>
    </row>
    <row r="14464" spans="1:9" x14ac:dyDescent="0.25">
      <c r="A14464">
        <v>4385</v>
      </c>
      <c r="B14464">
        <v>60</v>
      </c>
      <c r="C14464" t="s">
        <v>946</v>
      </c>
      <c r="D14464" t="s">
        <v>67</v>
      </c>
      <c r="E14464" t="s">
        <v>49</v>
      </c>
      <c r="F14464" t="s">
        <v>948</v>
      </c>
      <c r="G14464">
        <v>6077777</v>
      </c>
      <c r="H14464">
        <v>500510</v>
      </c>
      <c r="I14464" t="s">
        <v>949</v>
      </c>
    </row>
    <row r="14465" spans="1:9" x14ac:dyDescent="0.25">
      <c r="A14465">
        <v>4390</v>
      </c>
      <c r="B14465">
        <v>60</v>
      </c>
      <c r="C14465" t="s">
        <v>946</v>
      </c>
      <c r="D14465" t="s">
        <v>67</v>
      </c>
      <c r="E14465" t="s">
        <v>49</v>
      </c>
      <c r="F14465" t="s">
        <v>948</v>
      </c>
      <c r="G14465">
        <v>6077777</v>
      </c>
      <c r="H14465">
        <v>500510</v>
      </c>
      <c r="I14465" t="s">
        <v>949</v>
      </c>
    </row>
    <row r="14466" spans="1:9" x14ac:dyDescent="0.25">
      <c r="A14466">
        <v>4405</v>
      </c>
      <c r="B14466">
        <v>60</v>
      </c>
      <c r="C14466" t="s">
        <v>946</v>
      </c>
      <c r="D14466" t="s">
        <v>67</v>
      </c>
      <c r="E14466" t="s">
        <v>49</v>
      </c>
      <c r="F14466" t="s">
        <v>948</v>
      </c>
      <c r="G14466">
        <v>6077777</v>
      </c>
      <c r="H14466">
        <v>500465</v>
      </c>
      <c r="I14466" t="s">
        <v>949</v>
      </c>
    </row>
    <row r="14467" spans="1:9" x14ac:dyDescent="0.25">
      <c r="A14467">
        <v>4310</v>
      </c>
      <c r="B14467">
        <v>60</v>
      </c>
      <c r="C14467" t="s">
        <v>946</v>
      </c>
      <c r="D14467" t="s">
        <v>67</v>
      </c>
      <c r="E14467" t="s">
        <v>243</v>
      </c>
      <c r="F14467" t="s">
        <v>948</v>
      </c>
      <c r="G14467">
        <v>6000000</v>
      </c>
      <c r="H14467">
        <v>145000</v>
      </c>
      <c r="I14467" t="s">
        <v>949</v>
      </c>
    </row>
    <row r="14468" spans="1:9" x14ac:dyDescent="0.25">
      <c r="A14468">
        <v>4400</v>
      </c>
      <c r="B14468">
        <v>60</v>
      </c>
      <c r="C14468" t="s">
        <v>946</v>
      </c>
      <c r="D14468" t="s">
        <v>67</v>
      </c>
      <c r="E14468" t="s">
        <v>243</v>
      </c>
      <c r="F14468" t="s">
        <v>948</v>
      </c>
      <c r="G14468">
        <v>6077777</v>
      </c>
      <c r="H14468">
        <v>500465</v>
      </c>
      <c r="I14468" t="s">
        <v>949</v>
      </c>
    </row>
    <row r="14469" spans="1:9" x14ac:dyDescent="0.25">
      <c r="A14469">
        <v>4310</v>
      </c>
      <c r="B14469">
        <v>60</v>
      </c>
      <c r="C14469" t="s">
        <v>946</v>
      </c>
      <c r="D14469" t="s">
        <v>67</v>
      </c>
      <c r="E14469" t="s">
        <v>247</v>
      </c>
      <c r="F14469" t="s">
        <v>948</v>
      </c>
      <c r="G14469">
        <v>6000000</v>
      </c>
      <c r="H14469">
        <v>145000</v>
      </c>
      <c r="I14469" t="s">
        <v>949</v>
      </c>
    </row>
    <row r="14470" spans="1:9" x14ac:dyDescent="0.25">
      <c r="A14470">
        <v>4400</v>
      </c>
      <c r="B14470">
        <v>60</v>
      </c>
      <c r="C14470" t="s">
        <v>946</v>
      </c>
      <c r="D14470" t="s">
        <v>67</v>
      </c>
      <c r="E14470" t="s">
        <v>247</v>
      </c>
      <c r="F14470" t="s">
        <v>948</v>
      </c>
      <c r="G14470">
        <v>6077777</v>
      </c>
      <c r="H14470">
        <v>500465</v>
      </c>
      <c r="I14470" t="s">
        <v>949</v>
      </c>
    </row>
    <row r="14471" spans="1:9" x14ac:dyDescent="0.25">
      <c r="A14471">
        <v>4310</v>
      </c>
      <c r="B14471">
        <v>60</v>
      </c>
      <c r="C14471" t="s">
        <v>946</v>
      </c>
      <c r="D14471" t="s">
        <v>67</v>
      </c>
      <c r="E14471" t="s">
        <v>251</v>
      </c>
      <c r="F14471" t="s">
        <v>948</v>
      </c>
      <c r="G14471">
        <v>6000000</v>
      </c>
      <c r="H14471">
        <v>142000</v>
      </c>
      <c r="I14471" t="s">
        <v>949</v>
      </c>
    </row>
    <row r="14472" spans="1:9" x14ac:dyDescent="0.25">
      <c r="A14472">
        <v>4400</v>
      </c>
      <c r="B14472">
        <v>60</v>
      </c>
      <c r="C14472" t="s">
        <v>946</v>
      </c>
      <c r="D14472" t="s">
        <v>67</v>
      </c>
      <c r="E14472" t="s">
        <v>251</v>
      </c>
      <c r="F14472" t="s">
        <v>948</v>
      </c>
      <c r="G14472">
        <v>6077777</v>
      </c>
      <c r="H14472">
        <v>500465</v>
      </c>
      <c r="I14472" t="s">
        <v>949</v>
      </c>
    </row>
    <row r="14473" spans="1:9" x14ac:dyDescent="0.25">
      <c r="A14473">
        <v>4310</v>
      </c>
      <c r="B14473">
        <v>60</v>
      </c>
      <c r="C14473" t="s">
        <v>946</v>
      </c>
      <c r="D14473" t="s">
        <v>67</v>
      </c>
      <c r="E14473" t="s">
        <v>969</v>
      </c>
      <c r="F14473" t="s">
        <v>948</v>
      </c>
      <c r="G14473">
        <v>6000000</v>
      </c>
      <c r="H14473">
        <v>141000</v>
      </c>
      <c r="I14473" t="s">
        <v>970</v>
      </c>
    </row>
    <row r="14474" spans="1:9" x14ac:dyDescent="0.25">
      <c r="A14474">
        <v>4400</v>
      </c>
      <c r="B14474">
        <v>60</v>
      </c>
      <c r="C14474" t="s">
        <v>946</v>
      </c>
      <c r="D14474" t="s">
        <v>67</v>
      </c>
      <c r="E14474" t="s">
        <v>969</v>
      </c>
      <c r="F14474" t="s">
        <v>948</v>
      </c>
      <c r="G14474">
        <v>6077777</v>
      </c>
      <c r="H14474">
        <v>500465</v>
      </c>
      <c r="I14474" t="s">
        <v>949</v>
      </c>
    </row>
    <row r="14475" spans="1:9" x14ac:dyDescent="0.25">
      <c r="A14475">
        <v>4310</v>
      </c>
      <c r="B14475">
        <v>60</v>
      </c>
      <c r="C14475" t="s">
        <v>946</v>
      </c>
      <c r="D14475" t="s">
        <v>67</v>
      </c>
      <c r="E14475" t="s">
        <v>255</v>
      </c>
      <c r="F14475" t="s">
        <v>948</v>
      </c>
      <c r="G14475">
        <v>6000000</v>
      </c>
      <c r="H14475">
        <v>145000</v>
      </c>
      <c r="I14475" t="s">
        <v>949</v>
      </c>
    </row>
    <row r="14476" spans="1:9" x14ac:dyDescent="0.25">
      <c r="A14476">
        <v>4400</v>
      </c>
      <c r="B14476">
        <v>60</v>
      </c>
      <c r="C14476" t="s">
        <v>946</v>
      </c>
      <c r="D14476" t="s">
        <v>67</v>
      </c>
      <c r="E14476" t="s">
        <v>255</v>
      </c>
      <c r="F14476" t="s">
        <v>948</v>
      </c>
      <c r="G14476">
        <v>6077777</v>
      </c>
      <c r="H14476">
        <v>500465</v>
      </c>
      <c r="I14476" t="s">
        <v>949</v>
      </c>
    </row>
    <row r="14477" spans="1:9" x14ac:dyDescent="0.25">
      <c r="A14477">
        <v>4310</v>
      </c>
      <c r="B14477">
        <v>60</v>
      </c>
      <c r="C14477" t="s">
        <v>946</v>
      </c>
      <c r="D14477" t="s">
        <v>67</v>
      </c>
      <c r="E14477" t="s">
        <v>971</v>
      </c>
      <c r="F14477" t="s">
        <v>948</v>
      </c>
      <c r="G14477">
        <v>6000000</v>
      </c>
      <c r="H14477">
        <v>141000</v>
      </c>
      <c r="I14477" t="s">
        <v>972</v>
      </c>
    </row>
    <row r="14478" spans="1:9" x14ac:dyDescent="0.25">
      <c r="A14478">
        <v>4400</v>
      </c>
      <c r="B14478">
        <v>60</v>
      </c>
      <c r="C14478" t="s">
        <v>946</v>
      </c>
      <c r="D14478" t="s">
        <v>67</v>
      </c>
      <c r="E14478" t="s">
        <v>971</v>
      </c>
      <c r="F14478" t="s">
        <v>948</v>
      </c>
      <c r="G14478">
        <v>6077777</v>
      </c>
      <c r="H14478">
        <v>500465</v>
      </c>
      <c r="I14478" t="s">
        <v>949</v>
      </c>
    </row>
    <row r="14479" spans="1:9" x14ac:dyDescent="0.25">
      <c r="A14479">
        <v>4310</v>
      </c>
      <c r="B14479">
        <v>60</v>
      </c>
      <c r="C14479" t="s">
        <v>946</v>
      </c>
      <c r="D14479" t="s">
        <v>67</v>
      </c>
      <c r="E14479" t="s">
        <v>263</v>
      </c>
      <c r="F14479" t="s">
        <v>948</v>
      </c>
      <c r="G14479">
        <v>6000000</v>
      </c>
      <c r="H14479">
        <v>145000</v>
      </c>
      <c r="I14479" t="s">
        <v>949</v>
      </c>
    </row>
    <row r="14480" spans="1:9" x14ac:dyDescent="0.25">
      <c r="A14480">
        <v>4400</v>
      </c>
      <c r="B14480">
        <v>60</v>
      </c>
      <c r="C14480" t="s">
        <v>946</v>
      </c>
      <c r="D14480" t="s">
        <v>67</v>
      </c>
      <c r="E14480" t="s">
        <v>263</v>
      </c>
      <c r="F14480" t="s">
        <v>948</v>
      </c>
      <c r="G14480">
        <v>6077777</v>
      </c>
      <c r="H14480">
        <v>500465</v>
      </c>
      <c r="I14480" t="s">
        <v>949</v>
      </c>
    </row>
    <row r="14481" spans="1:9" x14ac:dyDescent="0.25">
      <c r="A14481">
        <v>4310</v>
      </c>
      <c r="B14481">
        <v>60</v>
      </c>
      <c r="C14481" t="s">
        <v>946</v>
      </c>
      <c r="D14481" t="s">
        <v>67</v>
      </c>
      <c r="E14481" t="s">
        <v>100</v>
      </c>
      <c r="F14481" t="s">
        <v>948</v>
      </c>
      <c r="G14481">
        <v>6077777</v>
      </c>
      <c r="H14481">
        <v>500220</v>
      </c>
      <c r="I14481" t="s">
        <v>949</v>
      </c>
    </row>
    <row r="14482" spans="1:9" x14ac:dyDescent="0.25">
      <c r="A14482">
        <v>4320</v>
      </c>
      <c r="B14482">
        <v>60</v>
      </c>
      <c r="C14482" t="s">
        <v>946</v>
      </c>
      <c r="D14482" t="s">
        <v>67</v>
      </c>
      <c r="E14482" t="s">
        <v>100</v>
      </c>
      <c r="F14482" t="s">
        <v>948</v>
      </c>
      <c r="G14482">
        <v>6077777</v>
      </c>
      <c r="H14482">
        <v>500221</v>
      </c>
      <c r="I14482" t="s">
        <v>949</v>
      </c>
    </row>
    <row r="14483" spans="1:9" x14ac:dyDescent="0.25">
      <c r="A14483">
        <v>4310</v>
      </c>
      <c r="B14483">
        <v>60</v>
      </c>
      <c r="C14483" t="s">
        <v>946</v>
      </c>
      <c r="D14483" t="s">
        <v>67</v>
      </c>
      <c r="E14483" t="s">
        <v>270</v>
      </c>
      <c r="F14483" t="s">
        <v>948</v>
      </c>
      <c r="G14483">
        <v>6000000</v>
      </c>
      <c r="H14483">
        <v>145000</v>
      </c>
      <c r="I14483" t="s">
        <v>949</v>
      </c>
    </row>
    <row r="14484" spans="1:9" x14ac:dyDescent="0.25">
      <c r="A14484">
        <v>4400</v>
      </c>
      <c r="B14484">
        <v>60</v>
      </c>
      <c r="C14484" t="s">
        <v>946</v>
      </c>
      <c r="D14484" t="s">
        <v>67</v>
      </c>
      <c r="E14484" t="s">
        <v>270</v>
      </c>
      <c r="F14484" t="s">
        <v>948</v>
      </c>
      <c r="G14484">
        <v>6077777</v>
      </c>
      <c r="H14484">
        <v>500465</v>
      </c>
      <c r="I14484" t="s">
        <v>949</v>
      </c>
    </row>
    <row r="14485" spans="1:9" x14ac:dyDescent="0.25">
      <c r="A14485">
        <v>4310</v>
      </c>
      <c r="B14485">
        <v>60</v>
      </c>
      <c r="C14485" t="s">
        <v>946</v>
      </c>
      <c r="D14485" t="s">
        <v>67</v>
      </c>
      <c r="E14485" t="s">
        <v>274</v>
      </c>
      <c r="F14485" t="s">
        <v>948</v>
      </c>
      <c r="G14485">
        <v>6000000</v>
      </c>
      <c r="H14485">
        <v>143000</v>
      </c>
      <c r="I14485" t="s">
        <v>973</v>
      </c>
    </row>
    <row r="14486" spans="1:9" x14ac:dyDescent="0.25">
      <c r="A14486">
        <v>4400</v>
      </c>
      <c r="B14486">
        <v>60</v>
      </c>
      <c r="C14486" t="s">
        <v>946</v>
      </c>
      <c r="D14486" t="s">
        <v>67</v>
      </c>
      <c r="E14486" t="s">
        <v>274</v>
      </c>
      <c r="F14486" t="s">
        <v>948</v>
      </c>
      <c r="G14486">
        <v>6077777</v>
      </c>
      <c r="H14486">
        <v>500465</v>
      </c>
      <c r="I14486" t="s">
        <v>949</v>
      </c>
    </row>
    <row r="14487" spans="1:9" x14ac:dyDescent="0.25">
      <c r="A14487">
        <v>4310</v>
      </c>
      <c r="B14487">
        <v>60</v>
      </c>
      <c r="C14487" t="s">
        <v>946</v>
      </c>
      <c r="D14487" t="s">
        <v>67</v>
      </c>
      <c r="E14487" t="s">
        <v>974</v>
      </c>
      <c r="F14487" t="s">
        <v>948</v>
      </c>
      <c r="G14487">
        <v>6000000</v>
      </c>
      <c r="H14487">
        <v>141000</v>
      </c>
      <c r="I14487" t="s">
        <v>975</v>
      </c>
    </row>
    <row r="14488" spans="1:9" x14ac:dyDescent="0.25">
      <c r="A14488">
        <v>4400</v>
      </c>
      <c r="B14488">
        <v>60</v>
      </c>
      <c r="C14488" t="s">
        <v>946</v>
      </c>
      <c r="D14488" t="s">
        <v>67</v>
      </c>
      <c r="E14488" t="s">
        <v>974</v>
      </c>
      <c r="F14488" t="s">
        <v>948</v>
      </c>
      <c r="G14488">
        <v>6077777</v>
      </c>
      <c r="H14488">
        <v>500465</v>
      </c>
      <c r="I14488" t="s">
        <v>949</v>
      </c>
    </row>
    <row r="14489" spans="1:9" x14ac:dyDescent="0.25">
      <c r="A14489">
        <v>4310</v>
      </c>
      <c r="B14489">
        <v>60</v>
      </c>
      <c r="C14489" t="s">
        <v>946</v>
      </c>
      <c r="D14489" t="s">
        <v>67</v>
      </c>
      <c r="E14489" t="s">
        <v>104</v>
      </c>
      <c r="F14489" t="s">
        <v>948</v>
      </c>
      <c r="G14489">
        <v>6077777</v>
      </c>
      <c r="H14489">
        <v>500220</v>
      </c>
      <c r="I14489" t="s">
        <v>949</v>
      </c>
    </row>
    <row r="14490" spans="1:9" x14ac:dyDescent="0.25">
      <c r="A14490">
        <v>4320</v>
      </c>
      <c r="B14490">
        <v>60</v>
      </c>
      <c r="C14490" t="s">
        <v>946</v>
      </c>
      <c r="D14490" t="s">
        <v>67</v>
      </c>
      <c r="E14490" t="s">
        <v>104</v>
      </c>
      <c r="F14490" t="s">
        <v>948</v>
      </c>
      <c r="G14490">
        <v>6077777</v>
      </c>
      <c r="H14490">
        <v>500221</v>
      </c>
      <c r="I14490" t="s">
        <v>949</v>
      </c>
    </row>
    <row r="14491" spans="1:9" x14ac:dyDescent="0.25">
      <c r="A14491">
        <v>4310</v>
      </c>
      <c r="B14491">
        <v>60</v>
      </c>
      <c r="C14491" t="s">
        <v>946</v>
      </c>
      <c r="D14491" t="s">
        <v>67</v>
      </c>
      <c r="E14491" t="s">
        <v>278</v>
      </c>
      <c r="F14491" t="s">
        <v>948</v>
      </c>
      <c r="G14491">
        <v>6000000</v>
      </c>
      <c r="H14491">
        <v>145000</v>
      </c>
      <c r="I14491" t="s">
        <v>949</v>
      </c>
    </row>
    <row r="14492" spans="1:9" x14ac:dyDescent="0.25">
      <c r="A14492">
        <v>4400</v>
      </c>
      <c r="B14492">
        <v>60</v>
      </c>
      <c r="C14492" t="s">
        <v>946</v>
      </c>
      <c r="D14492" t="s">
        <v>67</v>
      </c>
      <c r="E14492" t="s">
        <v>278</v>
      </c>
      <c r="F14492" t="s">
        <v>948</v>
      </c>
      <c r="G14492">
        <v>6077777</v>
      </c>
      <c r="H14492">
        <v>500465</v>
      </c>
      <c r="I14492" t="s">
        <v>949</v>
      </c>
    </row>
    <row r="14493" spans="1:9" x14ac:dyDescent="0.25">
      <c r="A14493">
        <v>4310</v>
      </c>
      <c r="B14493">
        <v>60</v>
      </c>
      <c r="C14493" t="s">
        <v>946</v>
      </c>
      <c r="D14493" t="s">
        <v>67</v>
      </c>
      <c r="E14493" t="s">
        <v>282</v>
      </c>
      <c r="F14493" t="s">
        <v>948</v>
      </c>
      <c r="G14493">
        <v>6000000</v>
      </c>
      <c r="H14493">
        <v>143100</v>
      </c>
      <c r="I14493" t="s">
        <v>949</v>
      </c>
    </row>
    <row r="14494" spans="1:9" x14ac:dyDescent="0.25">
      <c r="A14494">
        <v>4400</v>
      </c>
      <c r="B14494">
        <v>60</v>
      </c>
      <c r="C14494" t="s">
        <v>946</v>
      </c>
      <c r="D14494" t="s">
        <v>67</v>
      </c>
      <c r="E14494" t="s">
        <v>282</v>
      </c>
      <c r="F14494" t="s">
        <v>948</v>
      </c>
      <c r="G14494">
        <v>6077777</v>
      </c>
      <c r="H14494">
        <v>500465</v>
      </c>
      <c r="I14494" t="s">
        <v>949</v>
      </c>
    </row>
    <row r="14495" spans="1:9" x14ac:dyDescent="0.25">
      <c r="A14495">
        <v>4310</v>
      </c>
      <c r="B14495">
        <v>60</v>
      </c>
      <c r="C14495" t="s">
        <v>946</v>
      </c>
      <c r="D14495" t="s">
        <v>67</v>
      </c>
      <c r="E14495" t="s">
        <v>286</v>
      </c>
      <c r="F14495" t="s">
        <v>948</v>
      </c>
      <c r="G14495">
        <v>6000000</v>
      </c>
      <c r="H14495">
        <v>145000</v>
      </c>
      <c r="I14495" t="s">
        <v>949</v>
      </c>
    </row>
    <row r="14496" spans="1:9" x14ac:dyDescent="0.25">
      <c r="A14496">
        <v>4400</v>
      </c>
      <c r="B14496">
        <v>60</v>
      </c>
      <c r="C14496" t="s">
        <v>946</v>
      </c>
      <c r="D14496" t="s">
        <v>67</v>
      </c>
      <c r="E14496" t="s">
        <v>286</v>
      </c>
      <c r="F14496" t="s">
        <v>948</v>
      </c>
      <c r="G14496">
        <v>6077777</v>
      </c>
      <c r="H14496">
        <v>500465</v>
      </c>
      <c r="I14496" t="s">
        <v>949</v>
      </c>
    </row>
    <row r="14497" spans="1:9" x14ac:dyDescent="0.25">
      <c r="A14497">
        <v>4310</v>
      </c>
      <c r="B14497">
        <v>60</v>
      </c>
      <c r="C14497" t="s">
        <v>946</v>
      </c>
      <c r="D14497" t="s">
        <v>67</v>
      </c>
      <c r="E14497" t="s">
        <v>976</v>
      </c>
      <c r="F14497" t="s">
        <v>948</v>
      </c>
      <c r="G14497">
        <v>6000000</v>
      </c>
      <c r="H14497">
        <v>141000</v>
      </c>
      <c r="I14497" t="s">
        <v>977</v>
      </c>
    </row>
    <row r="14498" spans="1:9" x14ac:dyDescent="0.25">
      <c r="A14498">
        <v>4400</v>
      </c>
      <c r="B14498">
        <v>60</v>
      </c>
      <c r="C14498" t="s">
        <v>946</v>
      </c>
      <c r="D14498" t="s">
        <v>67</v>
      </c>
      <c r="E14498" t="s">
        <v>976</v>
      </c>
      <c r="F14498" t="s">
        <v>948</v>
      </c>
      <c r="G14498">
        <v>6077777</v>
      </c>
      <c r="H14498">
        <v>500465</v>
      </c>
      <c r="I14498" t="s">
        <v>949</v>
      </c>
    </row>
    <row r="14499" spans="1:9" x14ac:dyDescent="0.25">
      <c r="A14499">
        <v>4310</v>
      </c>
      <c r="B14499">
        <v>60</v>
      </c>
      <c r="C14499" t="s">
        <v>946</v>
      </c>
      <c r="D14499" t="s">
        <v>67</v>
      </c>
      <c r="E14499" t="s">
        <v>290</v>
      </c>
      <c r="F14499" t="s">
        <v>948</v>
      </c>
      <c r="G14499">
        <v>6000000</v>
      </c>
      <c r="H14499">
        <v>143000</v>
      </c>
      <c r="I14499" t="s">
        <v>978</v>
      </c>
    </row>
    <row r="14500" spans="1:9" x14ac:dyDescent="0.25">
      <c r="A14500">
        <v>4400</v>
      </c>
      <c r="B14500">
        <v>60</v>
      </c>
      <c r="C14500" t="s">
        <v>946</v>
      </c>
      <c r="D14500" t="s">
        <v>67</v>
      </c>
      <c r="E14500" t="s">
        <v>290</v>
      </c>
      <c r="F14500" t="s">
        <v>948</v>
      </c>
      <c r="G14500">
        <v>6077777</v>
      </c>
      <c r="H14500">
        <v>500465</v>
      </c>
      <c r="I14500" t="s">
        <v>949</v>
      </c>
    </row>
    <row r="14501" spans="1:9" x14ac:dyDescent="0.25">
      <c r="A14501">
        <v>4310</v>
      </c>
      <c r="B14501">
        <v>60</v>
      </c>
      <c r="C14501" t="s">
        <v>946</v>
      </c>
      <c r="D14501" t="s">
        <v>67</v>
      </c>
      <c r="E14501" t="s">
        <v>294</v>
      </c>
      <c r="F14501" t="s">
        <v>948</v>
      </c>
      <c r="G14501">
        <v>6000000</v>
      </c>
      <c r="H14501">
        <v>143000</v>
      </c>
      <c r="I14501" t="s">
        <v>979</v>
      </c>
    </row>
    <row r="14502" spans="1:9" x14ac:dyDescent="0.25">
      <c r="A14502">
        <v>4400</v>
      </c>
      <c r="B14502">
        <v>60</v>
      </c>
      <c r="C14502" t="s">
        <v>946</v>
      </c>
      <c r="D14502" t="s">
        <v>67</v>
      </c>
      <c r="E14502" t="s">
        <v>294</v>
      </c>
      <c r="F14502" t="s">
        <v>948</v>
      </c>
      <c r="G14502">
        <v>6077777</v>
      </c>
      <c r="H14502">
        <v>500465</v>
      </c>
      <c r="I14502" t="s">
        <v>949</v>
      </c>
    </row>
    <row r="14503" spans="1:9" x14ac:dyDescent="0.25">
      <c r="A14503">
        <v>4310</v>
      </c>
      <c r="B14503">
        <v>60</v>
      </c>
      <c r="C14503" t="s">
        <v>946</v>
      </c>
      <c r="D14503" t="s">
        <v>67</v>
      </c>
      <c r="E14503" t="s">
        <v>980</v>
      </c>
      <c r="F14503" t="s">
        <v>948</v>
      </c>
      <c r="G14503">
        <v>6000000</v>
      </c>
      <c r="H14503">
        <v>141000</v>
      </c>
      <c r="I14503" t="s">
        <v>981</v>
      </c>
    </row>
    <row r="14504" spans="1:9" x14ac:dyDescent="0.25">
      <c r="A14504">
        <v>4400</v>
      </c>
      <c r="B14504">
        <v>60</v>
      </c>
      <c r="C14504" t="s">
        <v>946</v>
      </c>
      <c r="D14504" t="s">
        <v>67</v>
      </c>
      <c r="E14504" t="s">
        <v>980</v>
      </c>
      <c r="F14504" t="s">
        <v>948</v>
      </c>
      <c r="G14504">
        <v>6077777</v>
      </c>
      <c r="H14504">
        <v>500465</v>
      </c>
      <c r="I14504" t="s">
        <v>949</v>
      </c>
    </row>
    <row r="14505" spans="1:9" x14ac:dyDescent="0.25">
      <c r="A14505">
        <v>4310</v>
      </c>
      <c r="B14505">
        <v>60</v>
      </c>
      <c r="C14505" t="s">
        <v>946</v>
      </c>
      <c r="D14505" t="s">
        <v>67</v>
      </c>
      <c r="E14505" t="s">
        <v>302</v>
      </c>
      <c r="F14505" t="s">
        <v>948</v>
      </c>
      <c r="G14505">
        <v>6000000</v>
      </c>
      <c r="H14505">
        <v>143000</v>
      </c>
      <c r="I14505" t="s">
        <v>982</v>
      </c>
    </row>
    <row r="14506" spans="1:9" x14ac:dyDescent="0.25">
      <c r="A14506">
        <v>4400</v>
      </c>
      <c r="B14506">
        <v>60</v>
      </c>
      <c r="C14506" t="s">
        <v>946</v>
      </c>
      <c r="D14506" t="s">
        <v>67</v>
      </c>
      <c r="E14506" t="s">
        <v>302</v>
      </c>
      <c r="F14506" t="s">
        <v>948</v>
      </c>
      <c r="G14506">
        <v>6077777</v>
      </c>
      <c r="H14506">
        <v>500465</v>
      </c>
      <c r="I14506" t="s">
        <v>949</v>
      </c>
    </row>
    <row r="14507" spans="1:9" x14ac:dyDescent="0.25">
      <c r="A14507">
        <v>4310</v>
      </c>
      <c r="B14507">
        <v>60</v>
      </c>
      <c r="C14507" t="s">
        <v>946</v>
      </c>
      <c r="D14507" t="s">
        <v>67</v>
      </c>
      <c r="E14507" t="s">
        <v>306</v>
      </c>
      <c r="F14507" t="s">
        <v>948</v>
      </c>
      <c r="G14507">
        <v>6000000</v>
      </c>
      <c r="H14507">
        <v>143000</v>
      </c>
      <c r="I14507" t="s">
        <v>983</v>
      </c>
    </row>
    <row r="14508" spans="1:9" x14ac:dyDescent="0.25">
      <c r="A14508">
        <v>4310</v>
      </c>
      <c r="B14508">
        <v>60</v>
      </c>
      <c r="C14508" t="s">
        <v>946</v>
      </c>
      <c r="D14508" t="s">
        <v>67</v>
      </c>
      <c r="E14508" t="s">
        <v>108</v>
      </c>
      <c r="F14508" t="s">
        <v>948</v>
      </c>
      <c r="G14508">
        <v>6077777</v>
      </c>
      <c r="H14508">
        <v>500220</v>
      </c>
      <c r="I14508" t="s">
        <v>949</v>
      </c>
    </row>
    <row r="14509" spans="1:9" x14ac:dyDescent="0.25">
      <c r="A14509">
        <v>4320</v>
      </c>
      <c r="B14509">
        <v>60</v>
      </c>
      <c r="C14509" t="s">
        <v>946</v>
      </c>
      <c r="D14509" t="s">
        <v>67</v>
      </c>
      <c r="E14509" t="s">
        <v>108</v>
      </c>
      <c r="F14509" t="s">
        <v>948</v>
      </c>
      <c r="G14509">
        <v>6077777</v>
      </c>
      <c r="H14509">
        <v>500221</v>
      </c>
      <c r="I14509" t="s">
        <v>949</v>
      </c>
    </row>
    <row r="14510" spans="1:9" x14ac:dyDescent="0.25">
      <c r="A14510">
        <v>4310</v>
      </c>
      <c r="B14510">
        <v>60</v>
      </c>
      <c r="C14510" t="s">
        <v>946</v>
      </c>
      <c r="D14510" t="s">
        <v>67</v>
      </c>
      <c r="E14510" t="s">
        <v>310</v>
      </c>
      <c r="F14510" t="s">
        <v>948</v>
      </c>
      <c r="G14510">
        <v>6000000</v>
      </c>
      <c r="H14510">
        <v>145000</v>
      </c>
      <c r="I14510" t="s">
        <v>949</v>
      </c>
    </row>
    <row r="14511" spans="1:9" x14ac:dyDescent="0.25">
      <c r="A14511">
        <v>4400</v>
      </c>
      <c r="B14511">
        <v>60</v>
      </c>
      <c r="C14511" t="s">
        <v>946</v>
      </c>
      <c r="D14511" t="s">
        <v>67</v>
      </c>
      <c r="E14511" t="s">
        <v>310</v>
      </c>
      <c r="F14511" t="s">
        <v>948</v>
      </c>
      <c r="G14511">
        <v>6077777</v>
      </c>
      <c r="H14511">
        <v>500465</v>
      </c>
      <c r="I14511" t="s">
        <v>949</v>
      </c>
    </row>
    <row r="14512" spans="1:9" x14ac:dyDescent="0.25">
      <c r="A14512">
        <v>4310</v>
      </c>
      <c r="B14512">
        <v>60</v>
      </c>
      <c r="C14512" t="s">
        <v>946</v>
      </c>
      <c r="D14512" t="s">
        <v>67</v>
      </c>
      <c r="E14512" t="s">
        <v>314</v>
      </c>
      <c r="F14512" t="s">
        <v>948</v>
      </c>
      <c r="G14512">
        <v>6000000</v>
      </c>
      <c r="H14512">
        <v>145000</v>
      </c>
      <c r="I14512" t="s">
        <v>949</v>
      </c>
    </row>
    <row r="14513" spans="1:9" x14ac:dyDescent="0.25">
      <c r="A14513">
        <v>4400</v>
      </c>
      <c r="B14513">
        <v>60</v>
      </c>
      <c r="C14513" t="s">
        <v>946</v>
      </c>
      <c r="D14513" t="s">
        <v>67</v>
      </c>
      <c r="E14513" t="s">
        <v>314</v>
      </c>
      <c r="F14513" t="s">
        <v>948</v>
      </c>
      <c r="G14513">
        <v>6077777</v>
      </c>
      <c r="H14513">
        <v>500465</v>
      </c>
      <c r="I14513" t="s">
        <v>949</v>
      </c>
    </row>
    <row r="14514" ht="22" customHeight="1" spans="1:10" x14ac:dyDescent="0.25">
      <c r="A14514" s="41">
        <v>4320</v>
      </c>
      <c r="B14514" s="41">
        <v>60</v>
      </c>
      <c r="C14514" s="41" t="s">
        <v>946</v>
      </c>
      <c r="D14514" s="41" t="s">
        <v>67</v>
      </c>
      <c r="E14514" s="41" t="s">
        <v>113</v>
      </c>
      <c r="F14514" s="41" t="s">
        <v>948</v>
      </c>
      <c r="G14514" s="41">
        <v>6077777</v>
      </c>
      <c r="H14514" s="41">
        <v>500221</v>
      </c>
      <c r="I14514" s="41" t="s">
        <v>949</v>
      </c>
      <c r="J14514" s="42" t="s">
        <v>1018</v>
      </c>
    </row>
    <row r="14515" ht="22" customHeight="1" spans="1:10" x14ac:dyDescent="0.25">
      <c r="A14515" s="41">
        <v>4320</v>
      </c>
      <c r="B14515" s="41">
        <v>60</v>
      </c>
      <c r="C14515" s="41" t="s">
        <v>946</v>
      </c>
      <c r="D14515" s="41" t="s">
        <v>67</v>
      </c>
      <c r="E14515" s="41" t="s">
        <v>117</v>
      </c>
      <c r="F14515" s="41" t="s">
        <v>948</v>
      </c>
      <c r="G14515" s="41">
        <v>6077777</v>
      </c>
      <c r="H14515" s="41">
        <v>500221</v>
      </c>
      <c r="I14515" s="41" t="s">
        <v>949</v>
      </c>
      <c r="J14515" s="42" t="s">
        <v>1018</v>
      </c>
    </row>
    <row r="14516" spans="1:9" x14ac:dyDescent="0.25">
      <c r="A14516">
        <v>4310</v>
      </c>
      <c r="B14516">
        <v>60</v>
      </c>
      <c r="C14516" t="s">
        <v>946</v>
      </c>
      <c r="D14516" t="s">
        <v>67</v>
      </c>
      <c r="E14516" t="s">
        <v>121</v>
      </c>
      <c r="F14516" t="s">
        <v>948</v>
      </c>
      <c r="G14516">
        <v>6077777</v>
      </c>
      <c r="H14516">
        <v>500220</v>
      </c>
      <c r="I14516" t="s">
        <v>949</v>
      </c>
    </row>
    <row r="14517" spans="1:9" x14ac:dyDescent="0.25">
      <c r="A14517">
        <v>4320</v>
      </c>
      <c r="B14517">
        <v>60</v>
      </c>
      <c r="C14517" t="s">
        <v>946</v>
      </c>
      <c r="D14517" t="s">
        <v>67</v>
      </c>
      <c r="E14517" t="s">
        <v>121</v>
      </c>
      <c r="F14517" t="s">
        <v>948</v>
      </c>
      <c r="G14517">
        <v>6077777</v>
      </c>
      <c r="H14517">
        <v>500221</v>
      </c>
      <c r="I14517" t="s">
        <v>949</v>
      </c>
    </row>
    <row r="14518" spans="1:9" x14ac:dyDescent="0.25">
      <c r="A14518">
        <v>4310</v>
      </c>
      <c r="B14518">
        <v>60</v>
      </c>
      <c r="C14518" t="s">
        <v>946</v>
      </c>
      <c r="D14518" t="s">
        <v>67</v>
      </c>
      <c r="E14518" t="s">
        <v>984</v>
      </c>
      <c r="F14518" t="s">
        <v>948</v>
      </c>
      <c r="G14518">
        <v>6000000</v>
      </c>
      <c r="H14518">
        <v>141000</v>
      </c>
      <c r="I14518" t="s">
        <v>985</v>
      </c>
    </row>
    <row r="14519" spans="1:9" x14ac:dyDescent="0.25">
      <c r="A14519">
        <v>4400</v>
      </c>
      <c r="B14519">
        <v>60</v>
      </c>
      <c r="C14519" t="s">
        <v>946</v>
      </c>
      <c r="D14519" t="s">
        <v>67</v>
      </c>
      <c r="E14519" t="s">
        <v>984</v>
      </c>
      <c r="F14519" t="s">
        <v>948</v>
      </c>
      <c r="G14519">
        <v>6077777</v>
      </c>
      <c r="H14519">
        <v>500465</v>
      </c>
      <c r="I14519" t="s">
        <v>949</v>
      </c>
    </row>
    <row r="14520" ht="22" customHeight="1" spans="1:10" x14ac:dyDescent="0.25">
      <c r="A14520" s="41">
        <v>4154</v>
      </c>
      <c r="B14520" s="41">
        <v>60</v>
      </c>
      <c r="C14520" s="41" t="s">
        <v>946</v>
      </c>
      <c r="D14520" s="41" t="s">
        <v>1022</v>
      </c>
      <c r="E14520" s="41" t="s">
        <v>49</v>
      </c>
      <c r="F14520" s="41" t="s">
        <v>948</v>
      </c>
      <c r="G14520" s="41">
        <v>6077777</v>
      </c>
      <c r="H14520" s="41">
        <v>500465</v>
      </c>
      <c r="I14520" s="41" t="s">
        <v>949</v>
      </c>
      <c r="J14520" s="42" t="s">
        <v>1084</v>
      </c>
    </row>
    <row r="14521" spans="1:9" x14ac:dyDescent="0.25">
      <c r="A14521">
        <v>4152</v>
      </c>
      <c r="B14521">
        <v>60</v>
      </c>
      <c r="C14521" t="s">
        <v>946</v>
      </c>
      <c r="D14521" t="s">
        <v>1022</v>
      </c>
      <c r="E14521" t="s">
        <v>243</v>
      </c>
      <c r="F14521" t="s">
        <v>948</v>
      </c>
      <c r="G14521">
        <v>6000000</v>
      </c>
      <c r="H14521">
        <v>145000</v>
      </c>
      <c r="I14521" t="s">
        <v>949</v>
      </c>
    </row>
    <row r="14522" spans="1:9" x14ac:dyDescent="0.25">
      <c r="A14522">
        <v>4152</v>
      </c>
      <c r="B14522">
        <v>60</v>
      </c>
      <c r="C14522" t="s">
        <v>946</v>
      </c>
      <c r="D14522" t="s">
        <v>1022</v>
      </c>
      <c r="E14522" t="s">
        <v>247</v>
      </c>
      <c r="F14522" t="s">
        <v>948</v>
      </c>
      <c r="G14522">
        <v>6000000</v>
      </c>
      <c r="H14522">
        <v>145000</v>
      </c>
      <c r="I14522" t="s">
        <v>949</v>
      </c>
    </row>
    <row r="14523" spans="1:9" x14ac:dyDescent="0.25">
      <c r="A14523">
        <v>4152</v>
      </c>
      <c r="B14523">
        <v>60</v>
      </c>
      <c r="C14523" t="s">
        <v>946</v>
      </c>
      <c r="D14523" t="s">
        <v>1022</v>
      </c>
      <c r="E14523" t="s">
        <v>251</v>
      </c>
      <c r="F14523" t="s">
        <v>948</v>
      </c>
      <c r="G14523">
        <v>6000000</v>
      </c>
      <c r="H14523">
        <v>142000</v>
      </c>
      <c r="I14523" t="s">
        <v>949</v>
      </c>
    </row>
    <row r="14524" spans="1:9" x14ac:dyDescent="0.25">
      <c r="A14524">
        <v>4152</v>
      </c>
      <c r="B14524">
        <v>60</v>
      </c>
      <c r="C14524" t="s">
        <v>946</v>
      </c>
      <c r="D14524" t="s">
        <v>1022</v>
      </c>
      <c r="E14524" t="s">
        <v>969</v>
      </c>
      <c r="F14524" t="s">
        <v>948</v>
      </c>
      <c r="G14524">
        <v>6000000</v>
      </c>
      <c r="H14524">
        <v>141000</v>
      </c>
      <c r="I14524" t="s">
        <v>970</v>
      </c>
    </row>
    <row r="14525" spans="1:9" x14ac:dyDescent="0.25">
      <c r="A14525">
        <v>4152</v>
      </c>
      <c r="B14525">
        <v>60</v>
      </c>
      <c r="C14525" t="s">
        <v>946</v>
      </c>
      <c r="D14525" t="s">
        <v>1022</v>
      </c>
      <c r="E14525" t="s">
        <v>255</v>
      </c>
      <c r="F14525" t="s">
        <v>948</v>
      </c>
      <c r="G14525">
        <v>6000000</v>
      </c>
      <c r="H14525">
        <v>145000</v>
      </c>
      <c r="I14525" t="s">
        <v>949</v>
      </c>
    </row>
    <row r="14526" spans="1:9" x14ac:dyDescent="0.25">
      <c r="A14526">
        <v>4152</v>
      </c>
      <c r="B14526">
        <v>60</v>
      </c>
      <c r="C14526" t="s">
        <v>946</v>
      </c>
      <c r="D14526" t="s">
        <v>1022</v>
      </c>
      <c r="E14526" t="s">
        <v>971</v>
      </c>
      <c r="F14526" t="s">
        <v>948</v>
      </c>
      <c r="G14526">
        <v>6000000</v>
      </c>
      <c r="H14526">
        <v>141000</v>
      </c>
      <c r="I14526" t="s">
        <v>972</v>
      </c>
    </row>
    <row r="14527" spans="1:9" x14ac:dyDescent="0.25">
      <c r="A14527">
        <v>4152</v>
      </c>
      <c r="B14527">
        <v>60</v>
      </c>
      <c r="C14527" t="s">
        <v>946</v>
      </c>
      <c r="D14527" t="s">
        <v>1022</v>
      </c>
      <c r="E14527" t="s">
        <v>263</v>
      </c>
      <c r="F14527" t="s">
        <v>948</v>
      </c>
      <c r="G14527">
        <v>6000000</v>
      </c>
      <c r="H14527">
        <v>145000</v>
      </c>
      <c r="I14527" t="s">
        <v>949</v>
      </c>
    </row>
    <row r="14528" ht="22" customHeight="1" spans="1:10" x14ac:dyDescent="0.25">
      <c r="A14528" s="41">
        <v>4152</v>
      </c>
      <c r="B14528" s="41">
        <v>60</v>
      </c>
      <c r="C14528" s="41" t="s">
        <v>946</v>
      </c>
      <c r="D14528" s="41" t="s">
        <v>1022</v>
      </c>
      <c r="E14528" s="41" t="s">
        <v>100</v>
      </c>
      <c r="F14528" s="41" t="s">
        <v>948</v>
      </c>
      <c r="G14528" s="41">
        <v>6077777</v>
      </c>
      <c r="H14528" s="41">
        <v>500465</v>
      </c>
      <c r="I14528" s="41" t="s">
        <v>949</v>
      </c>
      <c r="J14528" s="42" t="s">
        <v>1085</v>
      </c>
    </row>
    <row r="14529" spans="1:9" x14ac:dyDescent="0.25">
      <c r="A14529">
        <v>4152</v>
      </c>
      <c r="B14529">
        <v>60</v>
      </c>
      <c r="C14529" t="s">
        <v>946</v>
      </c>
      <c r="D14529" t="s">
        <v>1022</v>
      </c>
      <c r="E14529" t="s">
        <v>270</v>
      </c>
      <c r="F14529" t="s">
        <v>948</v>
      </c>
      <c r="G14529">
        <v>6000000</v>
      </c>
      <c r="H14529">
        <v>145000</v>
      </c>
      <c r="I14529" t="s">
        <v>949</v>
      </c>
    </row>
    <row r="14530" spans="1:9" x14ac:dyDescent="0.25">
      <c r="A14530">
        <v>4152</v>
      </c>
      <c r="B14530">
        <v>60</v>
      </c>
      <c r="C14530" t="s">
        <v>946</v>
      </c>
      <c r="D14530" t="s">
        <v>1022</v>
      </c>
      <c r="E14530" t="s">
        <v>274</v>
      </c>
      <c r="F14530" t="s">
        <v>948</v>
      </c>
      <c r="G14530">
        <v>6000000</v>
      </c>
      <c r="H14530">
        <v>143000</v>
      </c>
      <c r="I14530" t="s">
        <v>973</v>
      </c>
    </row>
    <row r="14531" spans="1:9" x14ac:dyDescent="0.25">
      <c r="A14531">
        <v>4152</v>
      </c>
      <c r="B14531">
        <v>60</v>
      </c>
      <c r="C14531" t="s">
        <v>946</v>
      </c>
      <c r="D14531" t="s">
        <v>1022</v>
      </c>
      <c r="E14531" t="s">
        <v>974</v>
      </c>
      <c r="F14531" t="s">
        <v>948</v>
      </c>
      <c r="G14531">
        <v>6000000</v>
      </c>
      <c r="H14531">
        <v>141000</v>
      </c>
      <c r="I14531" t="s">
        <v>975</v>
      </c>
    </row>
    <row r="14532" ht="22" customHeight="1" spans="1:10" x14ac:dyDescent="0.25">
      <c r="A14532" s="41">
        <v>4152</v>
      </c>
      <c r="B14532" s="41">
        <v>60</v>
      </c>
      <c r="C14532" s="41" t="s">
        <v>946</v>
      </c>
      <c r="D14532" s="41" t="s">
        <v>1022</v>
      </c>
      <c r="E14532" s="41" t="s">
        <v>104</v>
      </c>
      <c r="F14532" s="41" t="s">
        <v>948</v>
      </c>
      <c r="G14532" s="41">
        <v>6077777</v>
      </c>
      <c r="H14532" s="41">
        <v>500465</v>
      </c>
      <c r="I14532" s="41" t="s">
        <v>949</v>
      </c>
      <c r="J14532" s="42" t="s">
        <v>1085</v>
      </c>
    </row>
    <row r="14533" spans="1:9" x14ac:dyDescent="0.25">
      <c r="A14533">
        <v>4152</v>
      </c>
      <c r="B14533">
        <v>60</v>
      </c>
      <c r="C14533" t="s">
        <v>946</v>
      </c>
      <c r="D14533" t="s">
        <v>1022</v>
      </c>
      <c r="E14533" t="s">
        <v>278</v>
      </c>
      <c r="F14533" t="s">
        <v>948</v>
      </c>
      <c r="G14533">
        <v>6000000</v>
      </c>
      <c r="H14533">
        <v>145000</v>
      </c>
      <c r="I14533" t="s">
        <v>949</v>
      </c>
    </row>
    <row r="14534" spans="1:9" x14ac:dyDescent="0.25">
      <c r="A14534">
        <v>4152</v>
      </c>
      <c r="B14534">
        <v>60</v>
      </c>
      <c r="C14534" t="s">
        <v>946</v>
      </c>
      <c r="D14534" t="s">
        <v>1022</v>
      </c>
      <c r="E14534" t="s">
        <v>282</v>
      </c>
      <c r="F14534" t="s">
        <v>948</v>
      </c>
      <c r="G14534">
        <v>6000000</v>
      </c>
      <c r="H14534">
        <v>143100</v>
      </c>
      <c r="I14534" t="s">
        <v>949</v>
      </c>
    </row>
    <row r="14535" spans="1:9" x14ac:dyDescent="0.25">
      <c r="A14535">
        <v>4152</v>
      </c>
      <c r="B14535">
        <v>60</v>
      </c>
      <c r="C14535" t="s">
        <v>946</v>
      </c>
      <c r="D14535" t="s">
        <v>1022</v>
      </c>
      <c r="E14535" t="s">
        <v>39</v>
      </c>
      <c r="F14535" t="s">
        <v>948</v>
      </c>
      <c r="G14535">
        <v>6077777</v>
      </c>
      <c r="H14535">
        <v>501090</v>
      </c>
      <c r="I14535" t="s">
        <v>949</v>
      </c>
    </row>
    <row r="14536" spans="1:9" x14ac:dyDescent="0.25">
      <c r="A14536">
        <v>4152</v>
      </c>
      <c r="B14536">
        <v>60</v>
      </c>
      <c r="C14536" t="s">
        <v>946</v>
      </c>
      <c r="D14536" t="s">
        <v>1022</v>
      </c>
      <c r="E14536" t="s">
        <v>286</v>
      </c>
      <c r="F14536" t="s">
        <v>948</v>
      </c>
      <c r="G14536">
        <v>6000000</v>
      </c>
      <c r="H14536">
        <v>145000</v>
      </c>
      <c r="I14536" t="s">
        <v>949</v>
      </c>
    </row>
    <row r="14537" spans="1:9" x14ac:dyDescent="0.25">
      <c r="A14537">
        <v>4152</v>
      </c>
      <c r="B14537">
        <v>60</v>
      </c>
      <c r="C14537" t="s">
        <v>946</v>
      </c>
      <c r="D14537" t="s">
        <v>1022</v>
      </c>
      <c r="E14537" t="s">
        <v>976</v>
      </c>
      <c r="F14537" t="s">
        <v>948</v>
      </c>
      <c r="G14537">
        <v>6000000</v>
      </c>
      <c r="H14537">
        <v>141000</v>
      </c>
      <c r="I14537" t="s">
        <v>977</v>
      </c>
    </row>
    <row r="14538" spans="1:9" x14ac:dyDescent="0.25">
      <c r="A14538">
        <v>4152</v>
      </c>
      <c r="B14538">
        <v>60</v>
      </c>
      <c r="C14538" t="s">
        <v>946</v>
      </c>
      <c r="D14538" t="s">
        <v>1022</v>
      </c>
      <c r="E14538" t="s">
        <v>290</v>
      </c>
      <c r="F14538" t="s">
        <v>948</v>
      </c>
      <c r="G14538">
        <v>6000000</v>
      </c>
      <c r="H14538">
        <v>143000</v>
      </c>
      <c r="I14538" t="s">
        <v>978</v>
      </c>
    </row>
    <row r="14539" spans="1:9" x14ac:dyDescent="0.25">
      <c r="A14539">
        <v>4152</v>
      </c>
      <c r="B14539">
        <v>60</v>
      </c>
      <c r="C14539" t="s">
        <v>946</v>
      </c>
      <c r="D14539" t="s">
        <v>1022</v>
      </c>
      <c r="E14539" t="s">
        <v>294</v>
      </c>
      <c r="F14539" t="s">
        <v>948</v>
      </c>
      <c r="G14539">
        <v>6000000</v>
      </c>
      <c r="H14539">
        <v>143000</v>
      </c>
      <c r="I14539" t="s">
        <v>979</v>
      </c>
    </row>
    <row r="14540" spans="1:9" x14ac:dyDescent="0.25">
      <c r="A14540">
        <v>4152</v>
      </c>
      <c r="B14540">
        <v>60</v>
      </c>
      <c r="C14540" t="s">
        <v>946</v>
      </c>
      <c r="D14540" t="s">
        <v>1022</v>
      </c>
      <c r="E14540" t="s">
        <v>980</v>
      </c>
      <c r="F14540" t="s">
        <v>948</v>
      </c>
      <c r="G14540">
        <v>6000000</v>
      </c>
      <c r="H14540">
        <v>141000</v>
      </c>
      <c r="I14540" t="s">
        <v>981</v>
      </c>
    </row>
    <row r="14541" spans="1:9" x14ac:dyDescent="0.25">
      <c r="A14541">
        <v>4152</v>
      </c>
      <c r="B14541">
        <v>60</v>
      </c>
      <c r="C14541" t="s">
        <v>946</v>
      </c>
      <c r="D14541" t="s">
        <v>1022</v>
      </c>
      <c r="E14541" t="s">
        <v>302</v>
      </c>
      <c r="F14541" t="s">
        <v>948</v>
      </c>
      <c r="G14541">
        <v>6000000</v>
      </c>
      <c r="H14541">
        <v>143000</v>
      </c>
      <c r="I14541" t="s">
        <v>982</v>
      </c>
    </row>
    <row r="14542" spans="1:9" x14ac:dyDescent="0.25">
      <c r="A14542">
        <v>4152</v>
      </c>
      <c r="B14542">
        <v>60</v>
      </c>
      <c r="C14542" t="s">
        <v>946</v>
      </c>
      <c r="D14542" t="s">
        <v>1022</v>
      </c>
      <c r="E14542" t="s">
        <v>306</v>
      </c>
      <c r="F14542" t="s">
        <v>948</v>
      </c>
      <c r="G14542">
        <v>6000000</v>
      </c>
      <c r="H14542">
        <v>143000</v>
      </c>
      <c r="I14542" t="s">
        <v>983</v>
      </c>
    </row>
    <row r="14543" ht="22" customHeight="1" spans="1:10" x14ac:dyDescent="0.25">
      <c r="A14543" s="41">
        <v>4152</v>
      </c>
      <c r="B14543" s="41">
        <v>60</v>
      </c>
      <c r="C14543" s="41" t="s">
        <v>946</v>
      </c>
      <c r="D14543" s="41" t="s">
        <v>1022</v>
      </c>
      <c r="E14543" s="41" t="s">
        <v>108</v>
      </c>
      <c r="F14543" s="41" t="s">
        <v>948</v>
      </c>
      <c r="G14543" s="41">
        <v>6077777</v>
      </c>
      <c r="H14543" s="41">
        <v>500465</v>
      </c>
      <c r="I14543" s="41" t="s">
        <v>949</v>
      </c>
      <c r="J14543" s="42" t="s">
        <v>1085</v>
      </c>
    </row>
    <row r="14544" spans="1:9" x14ac:dyDescent="0.25">
      <c r="A14544">
        <v>4152</v>
      </c>
      <c r="B14544">
        <v>60</v>
      </c>
      <c r="C14544" t="s">
        <v>946</v>
      </c>
      <c r="D14544" t="s">
        <v>1022</v>
      </c>
      <c r="E14544" t="s">
        <v>310</v>
      </c>
      <c r="F14544" t="s">
        <v>948</v>
      </c>
      <c r="G14544">
        <v>6000000</v>
      </c>
      <c r="H14544">
        <v>145000</v>
      </c>
      <c r="I14544" t="s">
        <v>949</v>
      </c>
    </row>
    <row r="14545" spans="1:9" x14ac:dyDescent="0.25">
      <c r="A14545">
        <v>4152</v>
      </c>
      <c r="B14545">
        <v>60</v>
      </c>
      <c r="C14545" t="s">
        <v>946</v>
      </c>
      <c r="D14545" t="s">
        <v>1022</v>
      </c>
      <c r="E14545" t="s">
        <v>314</v>
      </c>
      <c r="F14545" t="s">
        <v>948</v>
      </c>
      <c r="G14545">
        <v>6000000</v>
      </c>
      <c r="H14545">
        <v>145000</v>
      </c>
      <c r="I14545" t="s">
        <v>949</v>
      </c>
    </row>
    <row r="14546" ht="22" customHeight="1" spans="1:10" x14ac:dyDescent="0.25">
      <c r="A14546" s="41">
        <v>4152</v>
      </c>
      <c r="B14546" s="41">
        <v>60</v>
      </c>
      <c r="C14546" s="41" t="s">
        <v>946</v>
      </c>
      <c r="D14546" s="41" t="s">
        <v>1022</v>
      </c>
      <c r="E14546" s="41" t="s">
        <v>121</v>
      </c>
      <c r="F14546" s="41" t="s">
        <v>948</v>
      </c>
      <c r="G14546" s="41">
        <v>6077777</v>
      </c>
      <c r="H14546" s="41">
        <v>500465</v>
      </c>
      <c r="I14546" s="41" t="s">
        <v>949</v>
      </c>
      <c r="J14546" s="42" t="s">
        <v>1085</v>
      </c>
    </row>
    <row r="14547" spans="1:9" x14ac:dyDescent="0.25">
      <c r="A14547">
        <v>4152</v>
      </c>
      <c r="B14547">
        <v>60</v>
      </c>
      <c r="C14547" t="s">
        <v>946</v>
      </c>
      <c r="D14547" t="s">
        <v>1022</v>
      </c>
      <c r="E14547" t="s">
        <v>984</v>
      </c>
      <c r="F14547" t="s">
        <v>948</v>
      </c>
      <c r="G14547">
        <v>6000000</v>
      </c>
      <c r="H14547">
        <v>141000</v>
      </c>
      <c r="I14547" t="s">
        <v>985</v>
      </c>
    </row>
    <row r="14548" spans="1:9" x14ac:dyDescent="0.25">
      <c r="A14548">
        <v>4141</v>
      </c>
      <c r="B14548">
        <v>60</v>
      </c>
      <c r="C14548" t="s">
        <v>946</v>
      </c>
      <c r="D14548" t="s">
        <v>1025</v>
      </c>
      <c r="E14548" t="s">
        <v>243</v>
      </c>
      <c r="F14548" t="s">
        <v>948</v>
      </c>
      <c r="G14548">
        <v>6077777</v>
      </c>
      <c r="H14548">
        <v>501010</v>
      </c>
      <c r="I14548">
        <v>70</v>
      </c>
    </row>
    <row r="14549" spans="1:9" x14ac:dyDescent="0.25">
      <c r="A14549">
        <v>4220</v>
      </c>
      <c r="B14549">
        <v>60</v>
      </c>
      <c r="C14549" t="s">
        <v>946</v>
      </c>
      <c r="D14549" t="s">
        <v>1025</v>
      </c>
      <c r="E14549" t="s">
        <v>243</v>
      </c>
      <c r="F14549" t="s">
        <v>948</v>
      </c>
      <c r="G14549">
        <v>6077777</v>
      </c>
      <c r="H14549">
        <v>501010</v>
      </c>
      <c r="I14549">
        <v>70</v>
      </c>
    </row>
    <row r="14550" spans="1:9" x14ac:dyDescent="0.25">
      <c r="A14550">
        <v>4230</v>
      </c>
      <c r="B14550">
        <v>60</v>
      </c>
      <c r="C14550" t="s">
        <v>946</v>
      </c>
      <c r="D14550" t="s">
        <v>1025</v>
      </c>
      <c r="E14550" t="s">
        <v>243</v>
      </c>
      <c r="F14550" t="s">
        <v>948</v>
      </c>
      <c r="G14550">
        <v>6099999</v>
      </c>
      <c r="H14550">
        <v>401055</v>
      </c>
      <c r="I14550">
        <v>70</v>
      </c>
    </row>
    <row r="14551" spans="1:9" x14ac:dyDescent="0.25">
      <c r="A14551">
        <v>4240</v>
      </c>
      <c r="B14551">
        <v>60</v>
      </c>
      <c r="C14551" t="s">
        <v>946</v>
      </c>
      <c r="D14551" t="s">
        <v>1025</v>
      </c>
      <c r="E14551" t="s">
        <v>243</v>
      </c>
      <c r="F14551" t="s">
        <v>948</v>
      </c>
      <c r="G14551">
        <v>6000000</v>
      </c>
      <c r="H14551">
        <v>145000</v>
      </c>
      <c r="I14551" t="s">
        <v>949</v>
      </c>
    </row>
    <row r="14552" spans="1:9" x14ac:dyDescent="0.25">
      <c r="A14552">
        <v>4141</v>
      </c>
      <c r="B14552">
        <v>60</v>
      </c>
      <c r="C14552" t="s">
        <v>946</v>
      </c>
      <c r="D14552" t="s">
        <v>1025</v>
      </c>
      <c r="E14552" t="s">
        <v>247</v>
      </c>
      <c r="F14552" t="s">
        <v>948</v>
      </c>
      <c r="G14552">
        <v>6077777</v>
      </c>
      <c r="H14552">
        <v>501010</v>
      </c>
      <c r="I14552">
        <v>70</v>
      </c>
    </row>
    <row r="14553" spans="1:9" x14ac:dyDescent="0.25">
      <c r="A14553">
        <v>4220</v>
      </c>
      <c r="B14553">
        <v>60</v>
      </c>
      <c r="C14553" t="s">
        <v>946</v>
      </c>
      <c r="D14553" t="s">
        <v>1025</v>
      </c>
      <c r="E14553" t="s">
        <v>247</v>
      </c>
      <c r="F14553" t="s">
        <v>948</v>
      </c>
      <c r="G14553">
        <v>6077777</v>
      </c>
      <c r="H14553">
        <v>501010</v>
      </c>
      <c r="I14553">
        <v>70</v>
      </c>
    </row>
    <row r="14554" spans="1:9" x14ac:dyDescent="0.25">
      <c r="A14554">
        <v>4230</v>
      </c>
      <c r="B14554">
        <v>60</v>
      </c>
      <c r="C14554" t="s">
        <v>946</v>
      </c>
      <c r="D14554" t="s">
        <v>1025</v>
      </c>
      <c r="E14554" t="s">
        <v>247</v>
      </c>
      <c r="F14554" t="s">
        <v>948</v>
      </c>
      <c r="G14554">
        <v>6099999</v>
      </c>
      <c r="H14554">
        <v>401025</v>
      </c>
      <c r="I14554">
        <v>70</v>
      </c>
    </row>
    <row r="14555" spans="1:9" x14ac:dyDescent="0.25">
      <c r="A14555">
        <v>4240</v>
      </c>
      <c r="B14555">
        <v>60</v>
      </c>
      <c r="C14555" t="s">
        <v>946</v>
      </c>
      <c r="D14555" t="s">
        <v>1025</v>
      </c>
      <c r="E14555" t="s">
        <v>247</v>
      </c>
      <c r="F14555" t="s">
        <v>948</v>
      </c>
      <c r="G14555">
        <v>6000000</v>
      </c>
      <c r="H14555">
        <v>145000</v>
      </c>
      <c r="I14555" t="s">
        <v>949</v>
      </c>
    </row>
    <row r="14556" spans="1:9" x14ac:dyDescent="0.25">
      <c r="A14556">
        <v>4141</v>
      </c>
      <c r="B14556">
        <v>60</v>
      </c>
      <c r="C14556" t="s">
        <v>946</v>
      </c>
      <c r="D14556" t="s">
        <v>1025</v>
      </c>
      <c r="E14556" t="s">
        <v>251</v>
      </c>
      <c r="F14556" t="s">
        <v>948</v>
      </c>
      <c r="G14556">
        <v>6077777</v>
      </c>
      <c r="H14556">
        <v>501010</v>
      </c>
      <c r="I14556">
        <v>70</v>
      </c>
    </row>
    <row r="14557" spans="1:9" x14ac:dyDescent="0.25">
      <c r="A14557">
        <v>4220</v>
      </c>
      <c r="B14557">
        <v>60</v>
      </c>
      <c r="C14557" t="s">
        <v>946</v>
      </c>
      <c r="D14557" t="s">
        <v>1025</v>
      </c>
      <c r="E14557" t="s">
        <v>251</v>
      </c>
      <c r="F14557" t="s">
        <v>948</v>
      </c>
      <c r="G14557">
        <v>6077777</v>
      </c>
      <c r="H14557">
        <v>501010</v>
      </c>
      <c r="I14557">
        <v>70</v>
      </c>
    </row>
    <row r="14558" spans="1:9" x14ac:dyDescent="0.25">
      <c r="A14558">
        <v>4230</v>
      </c>
      <c r="B14558">
        <v>60</v>
      </c>
      <c r="C14558" t="s">
        <v>946</v>
      </c>
      <c r="D14558" t="s">
        <v>1025</v>
      </c>
      <c r="E14558" t="s">
        <v>251</v>
      </c>
      <c r="F14558" t="s">
        <v>948</v>
      </c>
      <c r="G14558">
        <v>6099999</v>
      </c>
      <c r="H14558">
        <v>401045</v>
      </c>
      <c r="I14558">
        <v>70</v>
      </c>
    </row>
    <row r="14559" spans="1:9" x14ac:dyDescent="0.25">
      <c r="A14559">
        <v>4240</v>
      </c>
      <c r="B14559">
        <v>60</v>
      </c>
      <c r="C14559" t="s">
        <v>946</v>
      </c>
      <c r="D14559" t="s">
        <v>1025</v>
      </c>
      <c r="E14559" t="s">
        <v>251</v>
      </c>
      <c r="F14559" t="s">
        <v>948</v>
      </c>
      <c r="G14559">
        <v>6000000</v>
      </c>
      <c r="H14559">
        <v>142000</v>
      </c>
      <c r="I14559" t="s">
        <v>949</v>
      </c>
    </row>
    <row r="14560" spans="1:9" x14ac:dyDescent="0.25">
      <c r="A14560">
        <v>4141</v>
      </c>
      <c r="B14560">
        <v>60</v>
      </c>
      <c r="C14560" t="s">
        <v>946</v>
      </c>
      <c r="D14560" t="s">
        <v>1025</v>
      </c>
      <c r="E14560" t="s">
        <v>969</v>
      </c>
      <c r="F14560" t="s">
        <v>948</v>
      </c>
      <c r="G14560">
        <v>6077777</v>
      </c>
      <c r="H14560">
        <v>501010</v>
      </c>
      <c r="I14560">
        <v>70</v>
      </c>
    </row>
    <row r="14561" spans="1:9" x14ac:dyDescent="0.25">
      <c r="A14561">
        <v>4220</v>
      </c>
      <c r="B14561">
        <v>60</v>
      </c>
      <c r="C14561" t="s">
        <v>946</v>
      </c>
      <c r="D14561" t="s">
        <v>1025</v>
      </c>
      <c r="E14561" t="s">
        <v>969</v>
      </c>
      <c r="F14561" t="s">
        <v>948</v>
      </c>
      <c r="G14561">
        <v>6077777</v>
      </c>
      <c r="H14561">
        <v>501010</v>
      </c>
      <c r="I14561">
        <v>70</v>
      </c>
    </row>
    <row r="14562" spans="1:9" x14ac:dyDescent="0.25">
      <c r="A14562">
        <v>4230</v>
      </c>
      <c r="B14562">
        <v>60</v>
      </c>
      <c r="C14562" t="s">
        <v>946</v>
      </c>
      <c r="D14562" t="s">
        <v>1025</v>
      </c>
      <c r="E14562" t="s">
        <v>969</v>
      </c>
      <c r="F14562" t="s">
        <v>948</v>
      </c>
      <c r="G14562">
        <v>6099999</v>
      </c>
      <c r="H14562">
        <v>401915</v>
      </c>
      <c r="I14562">
        <v>70</v>
      </c>
    </row>
    <row r="14563" spans="1:9" x14ac:dyDescent="0.25">
      <c r="A14563">
        <v>4240</v>
      </c>
      <c r="B14563">
        <v>60</v>
      </c>
      <c r="C14563" t="s">
        <v>946</v>
      </c>
      <c r="D14563" t="s">
        <v>1025</v>
      </c>
      <c r="E14563" t="s">
        <v>969</v>
      </c>
      <c r="F14563" t="s">
        <v>948</v>
      </c>
      <c r="G14563">
        <v>6000000</v>
      </c>
      <c r="H14563">
        <v>141000</v>
      </c>
      <c r="I14563" t="s">
        <v>970</v>
      </c>
    </row>
    <row r="14564" spans="1:9" x14ac:dyDescent="0.25">
      <c r="A14564">
        <v>4141</v>
      </c>
      <c r="B14564">
        <v>60</v>
      </c>
      <c r="C14564" t="s">
        <v>946</v>
      </c>
      <c r="D14564" t="s">
        <v>1025</v>
      </c>
      <c r="E14564" t="s">
        <v>255</v>
      </c>
      <c r="F14564" t="s">
        <v>948</v>
      </c>
      <c r="G14564">
        <v>6077777</v>
      </c>
      <c r="H14564">
        <v>501010</v>
      </c>
      <c r="I14564">
        <v>70</v>
      </c>
    </row>
    <row r="14565" spans="1:9" x14ac:dyDescent="0.25">
      <c r="A14565">
        <v>4220</v>
      </c>
      <c r="B14565">
        <v>60</v>
      </c>
      <c r="C14565" t="s">
        <v>946</v>
      </c>
      <c r="D14565" t="s">
        <v>1025</v>
      </c>
      <c r="E14565" t="s">
        <v>255</v>
      </c>
      <c r="F14565" t="s">
        <v>948</v>
      </c>
      <c r="G14565">
        <v>6077777</v>
      </c>
      <c r="H14565">
        <v>501010</v>
      </c>
      <c r="I14565">
        <v>70</v>
      </c>
    </row>
    <row r="14566" spans="1:9" x14ac:dyDescent="0.25">
      <c r="A14566">
        <v>4230</v>
      </c>
      <c r="B14566">
        <v>60</v>
      </c>
      <c r="C14566" t="s">
        <v>946</v>
      </c>
      <c r="D14566" t="s">
        <v>1025</v>
      </c>
      <c r="E14566" t="s">
        <v>255</v>
      </c>
      <c r="F14566" t="s">
        <v>948</v>
      </c>
      <c r="G14566">
        <v>6099999</v>
      </c>
      <c r="H14566">
        <v>401075</v>
      </c>
      <c r="I14566">
        <v>70</v>
      </c>
    </row>
    <row r="14567" spans="1:9" x14ac:dyDescent="0.25">
      <c r="A14567">
        <v>4240</v>
      </c>
      <c r="B14567">
        <v>60</v>
      </c>
      <c r="C14567" t="s">
        <v>946</v>
      </c>
      <c r="D14567" t="s">
        <v>1025</v>
      </c>
      <c r="E14567" t="s">
        <v>255</v>
      </c>
      <c r="F14567" t="s">
        <v>948</v>
      </c>
      <c r="G14567">
        <v>6000000</v>
      </c>
      <c r="H14567">
        <v>145000</v>
      </c>
      <c r="I14567" t="s">
        <v>949</v>
      </c>
    </row>
    <row r="14568" spans="1:9" x14ac:dyDescent="0.25">
      <c r="A14568">
        <v>4141</v>
      </c>
      <c r="B14568">
        <v>60</v>
      </c>
      <c r="C14568" t="s">
        <v>946</v>
      </c>
      <c r="D14568" t="s">
        <v>1025</v>
      </c>
      <c r="E14568" t="s">
        <v>971</v>
      </c>
      <c r="F14568" t="s">
        <v>948</v>
      </c>
      <c r="G14568">
        <v>6077777</v>
      </c>
      <c r="H14568">
        <v>501010</v>
      </c>
      <c r="I14568">
        <v>70</v>
      </c>
    </row>
    <row r="14569" spans="1:9" x14ac:dyDescent="0.25">
      <c r="A14569">
        <v>4220</v>
      </c>
      <c r="B14569">
        <v>60</v>
      </c>
      <c r="C14569" t="s">
        <v>946</v>
      </c>
      <c r="D14569" t="s">
        <v>1025</v>
      </c>
      <c r="E14569" t="s">
        <v>971</v>
      </c>
      <c r="F14569" t="s">
        <v>948</v>
      </c>
      <c r="G14569">
        <v>6077777</v>
      </c>
      <c r="H14569">
        <v>501010</v>
      </c>
      <c r="I14569">
        <v>70</v>
      </c>
    </row>
    <row r="14570" spans="1:9" x14ac:dyDescent="0.25">
      <c r="A14570">
        <v>4230</v>
      </c>
      <c r="B14570">
        <v>60</v>
      </c>
      <c r="C14570" t="s">
        <v>946</v>
      </c>
      <c r="D14570" t="s">
        <v>1025</v>
      </c>
      <c r="E14570" t="s">
        <v>971</v>
      </c>
      <c r="F14570" t="s">
        <v>948</v>
      </c>
      <c r="G14570">
        <v>6099999</v>
      </c>
      <c r="H14570">
        <v>401915</v>
      </c>
      <c r="I14570">
        <v>70</v>
      </c>
    </row>
    <row r="14571" spans="1:9" x14ac:dyDescent="0.25">
      <c r="A14571">
        <v>4240</v>
      </c>
      <c r="B14571">
        <v>60</v>
      </c>
      <c r="C14571" t="s">
        <v>946</v>
      </c>
      <c r="D14571" t="s">
        <v>1025</v>
      </c>
      <c r="E14571" t="s">
        <v>971</v>
      </c>
      <c r="F14571" t="s">
        <v>948</v>
      </c>
      <c r="G14571">
        <v>6000000</v>
      </c>
      <c r="H14571">
        <v>141000</v>
      </c>
      <c r="I14571" t="s">
        <v>972</v>
      </c>
    </row>
    <row r="14572" spans="1:9" x14ac:dyDescent="0.25">
      <c r="A14572">
        <v>4230</v>
      </c>
      <c r="B14572">
        <v>60</v>
      </c>
      <c r="C14572" t="s">
        <v>946</v>
      </c>
      <c r="D14572" t="s">
        <v>1025</v>
      </c>
      <c r="E14572" t="s">
        <v>259</v>
      </c>
      <c r="F14572" t="s">
        <v>948</v>
      </c>
      <c r="G14572">
        <v>6099999</v>
      </c>
      <c r="H14572">
        <v>409005</v>
      </c>
      <c r="I14572">
        <v>70</v>
      </c>
    </row>
    <row r="14573" spans="1:9" x14ac:dyDescent="0.25">
      <c r="A14573">
        <v>4141</v>
      </c>
      <c r="B14573">
        <v>60</v>
      </c>
      <c r="C14573" t="s">
        <v>946</v>
      </c>
      <c r="D14573" t="s">
        <v>1025</v>
      </c>
      <c r="E14573" t="s">
        <v>263</v>
      </c>
      <c r="F14573" t="s">
        <v>948</v>
      </c>
      <c r="G14573">
        <v>6077777</v>
      </c>
      <c r="H14573">
        <v>501010</v>
      </c>
      <c r="I14573">
        <v>70</v>
      </c>
    </row>
    <row r="14574" spans="1:9" x14ac:dyDescent="0.25">
      <c r="A14574">
        <v>4220</v>
      </c>
      <c r="B14574">
        <v>60</v>
      </c>
      <c r="C14574" t="s">
        <v>946</v>
      </c>
      <c r="D14574" t="s">
        <v>1025</v>
      </c>
      <c r="E14574" t="s">
        <v>263</v>
      </c>
      <c r="F14574" t="s">
        <v>948</v>
      </c>
      <c r="G14574">
        <v>6077777</v>
      </c>
      <c r="H14574">
        <v>501010</v>
      </c>
      <c r="I14574">
        <v>70</v>
      </c>
    </row>
    <row r="14575" spans="1:9" x14ac:dyDescent="0.25">
      <c r="A14575">
        <v>4230</v>
      </c>
      <c r="B14575">
        <v>60</v>
      </c>
      <c r="C14575" t="s">
        <v>946</v>
      </c>
      <c r="D14575" t="s">
        <v>1025</v>
      </c>
      <c r="E14575" t="s">
        <v>263</v>
      </c>
      <c r="F14575" t="s">
        <v>948</v>
      </c>
      <c r="G14575">
        <v>6099999</v>
      </c>
      <c r="H14575">
        <v>401045</v>
      </c>
      <c r="I14575">
        <v>70</v>
      </c>
    </row>
    <row r="14576" spans="1:9" x14ac:dyDescent="0.25">
      <c r="A14576">
        <v>4240</v>
      </c>
      <c r="B14576">
        <v>60</v>
      </c>
      <c r="C14576" t="s">
        <v>946</v>
      </c>
      <c r="D14576" t="s">
        <v>1025</v>
      </c>
      <c r="E14576" t="s">
        <v>263</v>
      </c>
      <c r="F14576" t="s">
        <v>948</v>
      </c>
      <c r="G14576">
        <v>6000000</v>
      </c>
      <c r="H14576">
        <v>145000</v>
      </c>
      <c r="I14576" t="s">
        <v>949</v>
      </c>
    </row>
    <row r="14577" spans="1:9" x14ac:dyDescent="0.25">
      <c r="A14577">
        <v>4141</v>
      </c>
      <c r="B14577">
        <v>60</v>
      </c>
      <c r="C14577" t="s">
        <v>946</v>
      </c>
      <c r="D14577" t="s">
        <v>1025</v>
      </c>
      <c r="E14577" t="s">
        <v>100</v>
      </c>
      <c r="F14577" t="s">
        <v>948</v>
      </c>
      <c r="G14577">
        <v>6077777</v>
      </c>
      <c r="H14577">
        <v>500220</v>
      </c>
      <c r="I14577" t="s">
        <v>949</v>
      </c>
    </row>
    <row r="14578" spans="1:9" x14ac:dyDescent="0.25">
      <c r="A14578">
        <v>4220</v>
      </c>
      <c r="B14578">
        <v>60</v>
      </c>
      <c r="C14578" t="s">
        <v>946</v>
      </c>
      <c r="D14578" t="s">
        <v>1025</v>
      </c>
      <c r="E14578" t="s">
        <v>100</v>
      </c>
      <c r="F14578" t="s">
        <v>948</v>
      </c>
      <c r="G14578">
        <v>6077777</v>
      </c>
      <c r="H14578">
        <v>500220</v>
      </c>
      <c r="I14578" t="s">
        <v>949</v>
      </c>
    </row>
    <row r="14579" spans="1:9" x14ac:dyDescent="0.25">
      <c r="A14579">
        <v>4230</v>
      </c>
      <c r="B14579">
        <v>60</v>
      </c>
      <c r="C14579" t="s">
        <v>946</v>
      </c>
      <c r="D14579" t="s">
        <v>1025</v>
      </c>
      <c r="E14579" t="s">
        <v>100</v>
      </c>
      <c r="F14579" t="s">
        <v>948</v>
      </c>
      <c r="G14579">
        <v>6099999</v>
      </c>
      <c r="H14579">
        <v>401045</v>
      </c>
      <c r="I14579">
        <v>70</v>
      </c>
    </row>
    <row r="14580" spans="1:9" x14ac:dyDescent="0.25">
      <c r="A14580">
        <v>4240</v>
      </c>
      <c r="B14580">
        <v>60</v>
      </c>
      <c r="C14580" t="s">
        <v>946</v>
      </c>
      <c r="D14580" t="s">
        <v>1025</v>
      </c>
      <c r="E14580" t="s">
        <v>100</v>
      </c>
      <c r="F14580" t="s">
        <v>948</v>
      </c>
      <c r="G14580">
        <v>6077777</v>
      </c>
      <c r="H14580">
        <v>500221</v>
      </c>
      <c r="I14580" t="s">
        <v>949</v>
      </c>
    </row>
    <row r="14581" spans="1:9" x14ac:dyDescent="0.25">
      <c r="A14581">
        <v>4141</v>
      </c>
      <c r="B14581">
        <v>60</v>
      </c>
      <c r="C14581" t="s">
        <v>946</v>
      </c>
      <c r="D14581" t="s">
        <v>1025</v>
      </c>
      <c r="E14581" t="s">
        <v>270</v>
      </c>
      <c r="F14581" t="s">
        <v>948</v>
      </c>
      <c r="G14581">
        <v>6077777</v>
      </c>
      <c r="H14581">
        <v>501010</v>
      </c>
      <c r="I14581">
        <v>70</v>
      </c>
    </row>
    <row r="14582" spans="1:9" x14ac:dyDescent="0.25">
      <c r="A14582">
        <v>4220</v>
      </c>
      <c r="B14582">
        <v>60</v>
      </c>
      <c r="C14582" t="s">
        <v>946</v>
      </c>
      <c r="D14582" t="s">
        <v>1025</v>
      </c>
      <c r="E14582" t="s">
        <v>270</v>
      </c>
      <c r="F14582" t="s">
        <v>948</v>
      </c>
      <c r="G14582">
        <v>6077777</v>
      </c>
      <c r="H14582">
        <v>501010</v>
      </c>
      <c r="I14582">
        <v>70</v>
      </c>
    </row>
    <row r="14583" spans="1:9" x14ac:dyDescent="0.25">
      <c r="A14583">
        <v>4230</v>
      </c>
      <c r="B14583">
        <v>60</v>
      </c>
      <c r="C14583" t="s">
        <v>946</v>
      </c>
      <c r="D14583" t="s">
        <v>1025</v>
      </c>
      <c r="E14583" t="s">
        <v>270</v>
      </c>
      <c r="F14583" t="s">
        <v>948</v>
      </c>
      <c r="G14583">
        <v>6099999</v>
      </c>
      <c r="H14583">
        <v>401065</v>
      </c>
      <c r="I14583">
        <v>70</v>
      </c>
    </row>
    <row r="14584" spans="1:9" x14ac:dyDescent="0.25">
      <c r="A14584">
        <v>4240</v>
      </c>
      <c r="B14584">
        <v>60</v>
      </c>
      <c r="C14584" t="s">
        <v>946</v>
      </c>
      <c r="D14584" t="s">
        <v>1025</v>
      </c>
      <c r="E14584" t="s">
        <v>270</v>
      </c>
      <c r="F14584" t="s">
        <v>948</v>
      </c>
      <c r="G14584">
        <v>6000000</v>
      </c>
      <c r="H14584">
        <v>145000</v>
      </c>
      <c r="I14584" t="s">
        <v>949</v>
      </c>
    </row>
    <row r="14585" spans="1:9" x14ac:dyDescent="0.25">
      <c r="A14585">
        <v>4141</v>
      </c>
      <c r="B14585">
        <v>60</v>
      </c>
      <c r="C14585" t="s">
        <v>946</v>
      </c>
      <c r="D14585" t="s">
        <v>1025</v>
      </c>
      <c r="E14585" t="s">
        <v>274</v>
      </c>
      <c r="F14585" t="s">
        <v>948</v>
      </c>
      <c r="G14585">
        <v>6077777</v>
      </c>
      <c r="H14585">
        <v>501010</v>
      </c>
      <c r="I14585">
        <v>70</v>
      </c>
    </row>
    <row r="14586" spans="1:9" x14ac:dyDescent="0.25">
      <c r="A14586">
        <v>4220</v>
      </c>
      <c r="B14586">
        <v>60</v>
      </c>
      <c r="C14586" t="s">
        <v>946</v>
      </c>
      <c r="D14586" t="s">
        <v>1025</v>
      </c>
      <c r="E14586" t="s">
        <v>274</v>
      </c>
      <c r="F14586" t="s">
        <v>948</v>
      </c>
      <c r="G14586">
        <v>6077777</v>
      </c>
      <c r="H14586">
        <v>501010</v>
      </c>
      <c r="I14586">
        <v>70</v>
      </c>
    </row>
    <row r="14587" spans="1:9" x14ac:dyDescent="0.25">
      <c r="A14587">
        <v>4230</v>
      </c>
      <c r="B14587">
        <v>60</v>
      </c>
      <c r="C14587" t="s">
        <v>946</v>
      </c>
      <c r="D14587" t="s">
        <v>1025</v>
      </c>
      <c r="E14587" t="s">
        <v>274</v>
      </c>
      <c r="F14587" t="s">
        <v>948</v>
      </c>
      <c r="G14587">
        <v>6099999</v>
      </c>
      <c r="H14587">
        <v>401045</v>
      </c>
      <c r="I14587">
        <v>70</v>
      </c>
    </row>
    <row r="14588" spans="1:9" x14ac:dyDescent="0.25">
      <c r="A14588">
        <v>4240</v>
      </c>
      <c r="B14588">
        <v>60</v>
      </c>
      <c r="C14588" t="s">
        <v>946</v>
      </c>
      <c r="D14588" t="s">
        <v>1025</v>
      </c>
      <c r="E14588" t="s">
        <v>274</v>
      </c>
      <c r="F14588" t="s">
        <v>948</v>
      </c>
      <c r="G14588">
        <v>6000000</v>
      </c>
      <c r="H14588">
        <v>143000</v>
      </c>
      <c r="I14588" t="s">
        <v>973</v>
      </c>
    </row>
    <row r="14589" spans="1:9" x14ac:dyDescent="0.25">
      <c r="A14589">
        <v>4141</v>
      </c>
      <c r="B14589">
        <v>60</v>
      </c>
      <c r="C14589" t="s">
        <v>946</v>
      </c>
      <c r="D14589" t="s">
        <v>1025</v>
      </c>
      <c r="E14589" t="s">
        <v>974</v>
      </c>
      <c r="F14589" t="s">
        <v>948</v>
      </c>
      <c r="G14589">
        <v>6077777</v>
      </c>
      <c r="H14589">
        <v>501010</v>
      </c>
      <c r="I14589">
        <v>70</v>
      </c>
    </row>
    <row r="14590" spans="1:9" x14ac:dyDescent="0.25">
      <c r="A14590">
        <v>4220</v>
      </c>
      <c r="B14590">
        <v>60</v>
      </c>
      <c r="C14590" t="s">
        <v>946</v>
      </c>
      <c r="D14590" t="s">
        <v>1025</v>
      </c>
      <c r="E14590" t="s">
        <v>974</v>
      </c>
      <c r="F14590" t="s">
        <v>948</v>
      </c>
      <c r="G14590">
        <v>6077777</v>
      </c>
      <c r="H14590">
        <v>501010</v>
      </c>
      <c r="I14590">
        <v>70</v>
      </c>
    </row>
    <row r="14591" spans="1:9" x14ac:dyDescent="0.25">
      <c r="A14591">
        <v>4230</v>
      </c>
      <c r="B14591">
        <v>60</v>
      </c>
      <c r="C14591" t="s">
        <v>946</v>
      </c>
      <c r="D14591" t="s">
        <v>1025</v>
      </c>
      <c r="E14591" t="s">
        <v>974</v>
      </c>
      <c r="F14591" t="s">
        <v>948</v>
      </c>
      <c r="G14591">
        <v>6099999</v>
      </c>
      <c r="H14591">
        <v>401915</v>
      </c>
      <c r="I14591">
        <v>70</v>
      </c>
    </row>
    <row r="14592" spans="1:9" x14ac:dyDescent="0.25">
      <c r="A14592">
        <v>4240</v>
      </c>
      <c r="B14592">
        <v>60</v>
      </c>
      <c r="C14592" t="s">
        <v>946</v>
      </c>
      <c r="D14592" t="s">
        <v>1025</v>
      </c>
      <c r="E14592" t="s">
        <v>974</v>
      </c>
      <c r="F14592" t="s">
        <v>948</v>
      </c>
      <c r="G14592">
        <v>6000000</v>
      </c>
      <c r="H14592">
        <v>141000</v>
      </c>
      <c r="I14592" t="s">
        <v>975</v>
      </c>
    </row>
    <row r="14593" spans="1:9" x14ac:dyDescent="0.25">
      <c r="A14593">
        <v>4141</v>
      </c>
      <c r="B14593">
        <v>60</v>
      </c>
      <c r="C14593" t="s">
        <v>946</v>
      </c>
      <c r="D14593" t="s">
        <v>1025</v>
      </c>
      <c r="E14593" t="s">
        <v>104</v>
      </c>
      <c r="F14593" t="s">
        <v>948</v>
      </c>
      <c r="G14593">
        <v>6077777</v>
      </c>
      <c r="H14593">
        <v>500220</v>
      </c>
      <c r="I14593" t="s">
        <v>949</v>
      </c>
    </row>
    <row r="14594" spans="1:9" x14ac:dyDescent="0.25">
      <c r="A14594">
        <v>4220</v>
      </c>
      <c r="B14594">
        <v>60</v>
      </c>
      <c r="C14594" t="s">
        <v>946</v>
      </c>
      <c r="D14594" t="s">
        <v>1025</v>
      </c>
      <c r="E14594" t="s">
        <v>104</v>
      </c>
      <c r="F14594" t="s">
        <v>948</v>
      </c>
      <c r="G14594">
        <v>6077777</v>
      </c>
      <c r="H14594">
        <v>500220</v>
      </c>
      <c r="I14594" t="s">
        <v>949</v>
      </c>
    </row>
    <row r="14595" spans="1:9" x14ac:dyDescent="0.25">
      <c r="A14595">
        <v>4230</v>
      </c>
      <c r="B14595">
        <v>60</v>
      </c>
      <c r="C14595" t="s">
        <v>946</v>
      </c>
      <c r="D14595" t="s">
        <v>1025</v>
      </c>
      <c r="E14595" t="s">
        <v>104</v>
      </c>
      <c r="F14595" t="s">
        <v>948</v>
      </c>
      <c r="G14595">
        <v>6099999</v>
      </c>
      <c r="H14595">
        <v>401045</v>
      </c>
      <c r="I14595">
        <v>70</v>
      </c>
    </row>
    <row r="14596" spans="1:9" x14ac:dyDescent="0.25">
      <c r="A14596">
        <v>4240</v>
      </c>
      <c r="B14596">
        <v>60</v>
      </c>
      <c r="C14596" t="s">
        <v>946</v>
      </c>
      <c r="D14596" t="s">
        <v>1025</v>
      </c>
      <c r="E14596" t="s">
        <v>104</v>
      </c>
      <c r="F14596" t="s">
        <v>948</v>
      </c>
      <c r="G14596">
        <v>6077777</v>
      </c>
      <c r="H14596">
        <v>500221</v>
      </c>
      <c r="I14596" t="s">
        <v>949</v>
      </c>
    </row>
    <row r="14597" spans="1:9" x14ac:dyDescent="0.25">
      <c r="A14597">
        <v>4141</v>
      </c>
      <c r="B14597">
        <v>60</v>
      </c>
      <c r="C14597" t="s">
        <v>946</v>
      </c>
      <c r="D14597" t="s">
        <v>1025</v>
      </c>
      <c r="E14597" t="s">
        <v>278</v>
      </c>
      <c r="F14597" t="s">
        <v>948</v>
      </c>
      <c r="G14597">
        <v>6077777</v>
      </c>
      <c r="H14597">
        <v>501010</v>
      </c>
      <c r="I14597">
        <v>70</v>
      </c>
    </row>
    <row r="14598" spans="1:9" x14ac:dyDescent="0.25">
      <c r="A14598">
        <v>4220</v>
      </c>
      <c r="B14598">
        <v>60</v>
      </c>
      <c r="C14598" t="s">
        <v>946</v>
      </c>
      <c r="D14598" t="s">
        <v>1025</v>
      </c>
      <c r="E14598" t="s">
        <v>278</v>
      </c>
      <c r="F14598" t="s">
        <v>948</v>
      </c>
      <c r="G14598">
        <v>6077777</v>
      </c>
      <c r="H14598">
        <v>501010</v>
      </c>
      <c r="I14598">
        <v>70</v>
      </c>
    </row>
    <row r="14599" spans="1:9" x14ac:dyDescent="0.25">
      <c r="A14599">
        <v>4230</v>
      </c>
      <c r="B14599">
        <v>60</v>
      </c>
      <c r="C14599" t="s">
        <v>946</v>
      </c>
      <c r="D14599" t="s">
        <v>1025</v>
      </c>
      <c r="E14599" t="s">
        <v>278</v>
      </c>
      <c r="F14599" t="s">
        <v>948</v>
      </c>
      <c r="G14599">
        <v>6099999</v>
      </c>
      <c r="H14599">
        <v>401055</v>
      </c>
      <c r="I14599">
        <v>70</v>
      </c>
    </row>
    <row r="14600" spans="1:9" x14ac:dyDescent="0.25">
      <c r="A14600">
        <v>4240</v>
      </c>
      <c r="B14600">
        <v>60</v>
      </c>
      <c r="C14600" t="s">
        <v>946</v>
      </c>
      <c r="D14600" t="s">
        <v>1025</v>
      </c>
      <c r="E14600" t="s">
        <v>278</v>
      </c>
      <c r="F14600" t="s">
        <v>948</v>
      </c>
      <c r="G14600">
        <v>6000000</v>
      </c>
      <c r="H14600">
        <v>145000</v>
      </c>
      <c r="I14600" t="s">
        <v>949</v>
      </c>
    </row>
    <row r="14601" spans="1:9" x14ac:dyDescent="0.25">
      <c r="A14601">
        <v>4141</v>
      </c>
      <c r="B14601">
        <v>60</v>
      </c>
      <c r="C14601" t="s">
        <v>946</v>
      </c>
      <c r="D14601" t="s">
        <v>1025</v>
      </c>
      <c r="E14601" t="s">
        <v>282</v>
      </c>
      <c r="F14601" t="s">
        <v>948</v>
      </c>
      <c r="G14601">
        <v>6077777</v>
      </c>
      <c r="H14601">
        <v>501010</v>
      </c>
      <c r="I14601">
        <v>70</v>
      </c>
    </row>
    <row r="14602" spans="1:9" x14ac:dyDescent="0.25">
      <c r="A14602">
        <v>4220</v>
      </c>
      <c r="B14602">
        <v>60</v>
      </c>
      <c r="C14602" t="s">
        <v>946</v>
      </c>
      <c r="D14602" t="s">
        <v>1025</v>
      </c>
      <c r="E14602" t="s">
        <v>282</v>
      </c>
      <c r="F14602" t="s">
        <v>948</v>
      </c>
      <c r="G14602">
        <v>6077777</v>
      </c>
      <c r="H14602">
        <v>501010</v>
      </c>
      <c r="I14602">
        <v>70</v>
      </c>
    </row>
    <row r="14603" spans="1:9" x14ac:dyDescent="0.25">
      <c r="A14603">
        <v>4230</v>
      </c>
      <c r="B14603">
        <v>60</v>
      </c>
      <c r="C14603" t="s">
        <v>946</v>
      </c>
      <c r="D14603" t="s">
        <v>1025</v>
      </c>
      <c r="E14603" t="s">
        <v>282</v>
      </c>
      <c r="F14603" t="s">
        <v>948</v>
      </c>
      <c r="G14603">
        <v>6099999</v>
      </c>
      <c r="H14603">
        <v>401045</v>
      </c>
      <c r="I14603">
        <v>70</v>
      </c>
    </row>
    <row r="14604" spans="1:9" x14ac:dyDescent="0.25">
      <c r="A14604">
        <v>4240</v>
      </c>
      <c r="B14604">
        <v>60</v>
      </c>
      <c r="C14604" t="s">
        <v>946</v>
      </c>
      <c r="D14604" t="s">
        <v>1025</v>
      </c>
      <c r="E14604" t="s">
        <v>282</v>
      </c>
      <c r="F14604" t="s">
        <v>948</v>
      </c>
      <c r="G14604">
        <v>6000000</v>
      </c>
      <c r="H14604">
        <v>143100</v>
      </c>
      <c r="I14604" t="s">
        <v>949</v>
      </c>
    </row>
    <row r="14605" spans="1:9" x14ac:dyDescent="0.25">
      <c r="A14605">
        <v>4141</v>
      </c>
      <c r="B14605">
        <v>60</v>
      </c>
      <c r="C14605" t="s">
        <v>946</v>
      </c>
      <c r="D14605" t="s">
        <v>1025</v>
      </c>
      <c r="E14605" t="s">
        <v>286</v>
      </c>
      <c r="F14605" t="s">
        <v>948</v>
      </c>
      <c r="G14605">
        <v>6077777</v>
      </c>
      <c r="H14605">
        <v>501010</v>
      </c>
      <c r="I14605">
        <v>70</v>
      </c>
    </row>
    <row r="14606" spans="1:9" x14ac:dyDescent="0.25">
      <c r="A14606">
        <v>4220</v>
      </c>
      <c r="B14606">
        <v>60</v>
      </c>
      <c r="C14606" t="s">
        <v>946</v>
      </c>
      <c r="D14606" t="s">
        <v>1025</v>
      </c>
      <c r="E14606" t="s">
        <v>286</v>
      </c>
      <c r="F14606" t="s">
        <v>948</v>
      </c>
      <c r="G14606">
        <v>6077777</v>
      </c>
      <c r="H14606">
        <v>501010</v>
      </c>
      <c r="I14606">
        <v>70</v>
      </c>
    </row>
    <row r="14607" spans="1:9" x14ac:dyDescent="0.25">
      <c r="A14607">
        <v>4230</v>
      </c>
      <c r="B14607">
        <v>60</v>
      </c>
      <c r="C14607" t="s">
        <v>946</v>
      </c>
      <c r="D14607" t="s">
        <v>1025</v>
      </c>
      <c r="E14607" t="s">
        <v>286</v>
      </c>
      <c r="F14607" t="s">
        <v>948</v>
      </c>
      <c r="G14607">
        <v>6099999</v>
      </c>
      <c r="H14607">
        <v>401035</v>
      </c>
      <c r="I14607">
        <v>70</v>
      </c>
    </row>
    <row r="14608" spans="1:9" x14ac:dyDescent="0.25">
      <c r="A14608">
        <v>4240</v>
      </c>
      <c r="B14608">
        <v>60</v>
      </c>
      <c r="C14608" t="s">
        <v>946</v>
      </c>
      <c r="D14608" t="s">
        <v>1025</v>
      </c>
      <c r="E14608" t="s">
        <v>286</v>
      </c>
      <c r="F14608" t="s">
        <v>948</v>
      </c>
      <c r="G14608">
        <v>6000000</v>
      </c>
      <c r="H14608">
        <v>145000</v>
      </c>
      <c r="I14608" t="s">
        <v>949</v>
      </c>
    </row>
    <row r="14609" spans="1:9" x14ac:dyDescent="0.25">
      <c r="A14609">
        <v>4141</v>
      </c>
      <c r="B14609">
        <v>60</v>
      </c>
      <c r="C14609" t="s">
        <v>946</v>
      </c>
      <c r="D14609" t="s">
        <v>1025</v>
      </c>
      <c r="E14609" t="s">
        <v>976</v>
      </c>
      <c r="F14609" t="s">
        <v>948</v>
      </c>
      <c r="G14609">
        <v>6077777</v>
      </c>
      <c r="H14609">
        <v>501010</v>
      </c>
      <c r="I14609">
        <v>70</v>
      </c>
    </row>
    <row r="14610" spans="1:9" x14ac:dyDescent="0.25">
      <c r="A14610">
        <v>4220</v>
      </c>
      <c r="B14610">
        <v>60</v>
      </c>
      <c r="C14610" t="s">
        <v>946</v>
      </c>
      <c r="D14610" t="s">
        <v>1025</v>
      </c>
      <c r="E14610" t="s">
        <v>976</v>
      </c>
      <c r="F14610" t="s">
        <v>948</v>
      </c>
      <c r="G14610">
        <v>6077777</v>
      </c>
      <c r="H14610">
        <v>501010</v>
      </c>
      <c r="I14610">
        <v>70</v>
      </c>
    </row>
    <row r="14611" spans="1:9" x14ac:dyDescent="0.25">
      <c r="A14611">
        <v>4230</v>
      </c>
      <c r="B14611">
        <v>60</v>
      </c>
      <c r="C14611" t="s">
        <v>946</v>
      </c>
      <c r="D14611" t="s">
        <v>1025</v>
      </c>
      <c r="E14611" t="s">
        <v>976</v>
      </c>
      <c r="F14611" t="s">
        <v>948</v>
      </c>
      <c r="G14611">
        <v>6099999</v>
      </c>
      <c r="H14611">
        <v>401915</v>
      </c>
      <c r="I14611">
        <v>70</v>
      </c>
    </row>
    <row r="14612" spans="1:9" x14ac:dyDescent="0.25">
      <c r="A14612">
        <v>4240</v>
      </c>
      <c r="B14612">
        <v>60</v>
      </c>
      <c r="C14612" t="s">
        <v>946</v>
      </c>
      <c r="D14612" t="s">
        <v>1025</v>
      </c>
      <c r="E14612" t="s">
        <v>976</v>
      </c>
      <c r="F14612" t="s">
        <v>948</v>
      </c>
      <c r="G14612">
        <v>6000000</v>
      </c>
      <c r="H14612">
        <v>141000</v>
      </c>
      <c r="I14612" t="s">
        <v>977</v>
      </c>
    </row>
    <row r="14613" spans="1:9" x14ac:dyDescent="0.25">
      <c r="A14613">
        <v>4141</v>
      </c>
      <c r="B14613">
        <v>60</v>
      </c>
      <c r="C14613" t="s">
        <v>946</v>
      </c>
      <c r="D14613" t="s">
        <v>1025</v>
      </c>
      <c r="E14613" t="s">
        <v>290</v>
      </c>
      <c r="F14613" t="s">
        <v>948</v>
      </c>
      <c r="G14613">
        <v>6077777</v>
      </c>
      <c r="H14613">
        <v>501010</v>
      </c>
      <c r="I14613">
        <v>70</v>
      </c>
    </row>
    <row r="14614" spans="1:9" x14ac:dyDescent="0.25">
      <c r="A14614">
        <v>4220</v>
      </c>
      <c r="B14614">
        <v>60</v>
      </c>
      <c r="C14614" t="s">
        <v>946</v>
      </c>
      <c r="D14614" t="s">
        <v>1025</v>
      </c>
      <c r="E14614" t="s">
        <v>290</v>
      </c>
      <c r="F14614" t="s">
        <v>948</v>
      </c>
      <c r="G14614">
        <v>6077777</v>
      </c>
      <c r="H14614">
        <v>501010</v>
      </c>
      <c r="I14614">
        <v>70</v>
      </c>
    </row>
    <row r="14615" spans="1:9" x14ac:dyDescent="0.25">
      <c r="A14615">
        <v>4230</v>
      </c>
      <c r="B14615">
        <v>60</v>
      </c>
      <c r="C14615" t="s">
        <v>946</v>
      </c>
      <c r="D14615" t="s">
        <v>1025</v>
      </c>
      <c r="E14615" t="s">
        <v>290</v>
      </c>
      <c r="F14615" t="s">
        <v>948</v>
      </c>
      <c r="G14615">
        <v>6099999</v>
      </c>
      <c r="H14615">
        <v>401045</v>
      </c>
      <c r="I14615">
        <v>70</v>
      </c>
    </row>
    <row r="14616" spans="1:9" x14ac:dyDescent="0.25">
      <c r="A14616">
        <v>4240</v>
      </c>
      <c r="B14616">
        <v>60</v>
      </c>
      <c r="C14616" t="s">
        <v>946</v>
      </c>
      <c r="D14616" t="s">
        <v>1025</v>
      </c>
      <c r="E14616" t="s">
        <v>290</v>
      </c>
      <c r="F14616" t="s">
        <v>948</v>
      </c>
      <c r="G14616">
        <v>6000000</v>
      </c>
      <c r="H14616">
        <v>143000</v>
      </c>
      <c r="I14616" t="s">
        <v>978</v>
      </c>
    </row>
    <row r="14617" spans="1:9" x14ac:dyDescent="0.25">
      <c r="A14617">
        <v>4141</v>
      </c>
      <c r="B14617">
        <v>60</v>
      </c>
      <c r="C14617" t="s">
        <v>946</v>
      </c>
      <c r="D14617" t="s">
        <v>1025</v>
      </c>
      <c r="E14617" t="s">
        <v>294</v>
      </c>
      <c r="F14617" t="s">
        <v>948</v>
      </c>
      <c r="G14617">
        <v>6077777</v>
      </c>
      <c r="H14617">
        <v>501010</v>
      </c>
      <c r="I14617">
        <v>70</v>
      </c>
    </row>
    <row r="14618" spans="1:9" x14ac:dyDescent="0.25">
      <c r="A14618">
        <v>4220</v>
      </c>
      <c r="B14618">
        <v>60</v>
      </c>
      <c r="C14618" t="s">
        <v>946</v>
      </c>
      <c r="D14618" t="s">
        <v>1025</v>
      </c>
      <c r="E14618" t="s">
        <v>294</v>
      </c>
      <c r="F14618" t="s">
        <v>948</v>
      </c>
      <c r="G14618">
        <v>6077777</v>
      </c>
      <c r="H14618">
        <v>501010</v>
      </c>
      <c r="I14618">
        <v>70</v>
      </c>
    </row>
    <row r="14619" spans="1:9" x14ac:dyDescent="0.25">
      <c r="A14619">
        <v>4230</v>
      </c>
      <c r="B14619">
        <v>60</v>
      </c>
      <c r="C14619" t="s">
        <v>946</v>
      </c>
      <c r="D14619" t="s">
        <v>1025</v>
      </c>
      <c r="E14619" t="s">
        <v>294</v>
      </c>
      <c r="F14619" t="s">
        <v>948</v>
      </c>
      <c r="G14619">
        <v>6099999</v>
      </c>
      <c r="H14619">
        <v>401045</v>
      </c>
      <c r="I14619">
        <v>70</v>
      </c>
    </row>
    <row r="14620" spans="1:9" x14ac:dyDescent="0.25">
      <c r="A14620">
        <v>4240</v>
      </c>
      <c r="B14620">
        <v>60</v>
      </c>
      <c r="C14620" t="s">
        <v>946</v>
      </c>
      <c r="D14620" t="s">
        <v>1025</v>
      </c>
      <c r="E14620" t="s">
        <v>294</v>
      </c>
      <c r="F14620" t="s">
        <v>948</v>
      </c>
      <c r="G14620">
        <v>6000000</v>
      </c>
      <c r="H14620">
        <v>143000</v>
      </c>
      <c r="I14620" t="s">
        <v>979</v>
      </c>
    </row>
    <row r="14621" spans="1:9" x14ac:dyDescent="0.25">
      <c r="A14621">
        <v>4230</v>
      </c>
      <c r="B14621">
        <v>60</v>
      </c>
      <c r="C14621" t="s">
        <v>946</v>
      </c>
      <c r="D14621" t="s">
        <v>1025</v>
      </c>
      <c r="E14621" t="s">
        <v>298</v>
      </c>
      <c r="F14621" t="s">
        <v>948</v>
      </c>
      <c r="G14621">
        <v>6099999</v>
      </c>
      <c r="H14621">
        <v>402085</v>
      </c>
      <c r="I14621">
        <v>70</v>
      </c>
    </row>
    <row r="14622" spans="1:9" x14ac:dyDescent="0.25">
      <c r="A14622">
        <v>4141</v>
      </c>
      <c r="B14622">
        <v>60</v>
      </c>
      <c r="C14622" t="s">
        <v>946</v>
      </c>
      <c r="D14622" t="s">
        <v>1025</v>
      </c>
      <c r="E14622" t="s">
        <v>980</v>
      </c>
      <c r="F14622" t="s">
        <v>948</v>
      </c>
      <c r="G14622">
        <v>6077777</v>
      </c>
      <c r="H14622">
        <v>501010</v>
      </c>
      <c r="I14622">
        <v>70</v>
      </c>
    </row>
    <row r="14623" spans="1:9" x14ac:dyDescent="0.25">
      <c r="A14623">
        <v>4220</v>
      </c>
      <c r="B14623">
        <v>60</v>
      </c>
      <c r="C14623" t="s">
        <v>946</v>
      </c>
      <c r="D14623" t="s">
        <v>1025</v>
      </c>
      <c r="E14623" t="s">
        <v>980</v>
      </c>
      <c r="F14623" t="s">
        <v>948</v>
      </c>
      <c r="G14623">
        <v>6077777</v>
      </c>
      <c r="H14623">
        <v>501010</v>
      </c>
      <c r="I14623">
        <v>70</v>
      </c>
    </row>
    <row r="14624" spans="1:9" x14ac:dyDescent="0.25">
      <c r="A14624">
        <v>4230</v>
      </c>
      <c r="B14624">
        <v>60</v>
      </c>
      <c r="C14624" t="s">
        <v>946</v>
      </c>
      <c r="D14624" t="s">
        <v>1025</v>
      </c>
      <c r="E14624" t="s">
        <v>980</v>
      </c>
      <c r="F14624" t="s">
        <v>948</v>
      </c>
      <c r="G14624">
        <v>6099999</v>
      </c>
      <c r="H14624">
        <v>401915</v>
      </c>
      <c r="I14624">
        <v>70</v>
      </c>
    </row>
    <row r="14625" spans="1:9" x14ac:dyDescent="0.25">
      <c r="A14625">
        <v>4240</v>
      </c>
      <c r="B14625">
        <v>60</v>
      </c>
      <c r="C14625" t="s">
        <v>946</v>
      </c>
      <c r="D14625" t="s">
        <v>1025</v>
      </c>
      <c r="E14625" t="s">
        <v>980</v>
      </c>
      <c r="F14625" t="s">
        <v>948</v>
      </c>
      <c r="G14625">
        <v>6000000</v>
      </c>
      <c r="H14625">
        <v>141000</v>
      </c>
      <c r="I14625" t="s">
        <v>981</v>
      </c>
    </row>
    <row r="14626" spans="1:9" x14ac:dyDescent="0.25">
      <c r="A14626">
        <v>4141</v>
      </c>
      <c r="B14626">
        <v>60</v>
      </c>
      <c r="C14626" t="s">
        <v>946</v>
      </c>
      <c r="D14626" t="s">
        <v>1025</v>
      </c>
      <c r="E14626" t="s">
        <v>302</v>
      </c>
      <c r="F14626" t="s">
        <v>948</v>
      </c>
      <c r="G14626">
        <v>6077777</v>
      </c>
      <c r="H14626">
        <v>501010</v>
      </c>
      <c r="I14626">
        <v>70</v>
      </c>
    </row>
    <row r="14627" spans="1:9" x14ac:dyDescent="0.25">
      <c r="A14627">
        <v>4220</v>
      </c>
      <c r="B14627">
        <v>60</v>
      </c>
      <c r="C14627" t="s">
        <v>946</v>
      </c>
      <c r="D14627" t="s">
        <v>1025</v>
      </c>
      <c r="E14627" t="s">
        <v>302</v>
      </c>
      <c r="F14627" t="s">
        <v>948</v>
      </c>
      <c r="G14627">
        <v>6077777</v>
      </c>
      <c r="H14627">
        <v>501010</v>
      </c>
      <c r="I14627">
        <v>70</v>
      </c>
    </row>
    <row r="14628" spans="1:9" x14ac:dyDescent="0.25">
      <c r="A14628">
        <v>4230</v>
      </c>
      <c r="B14628">
        <v>60</v>
      </c>
      <c r="C14628" t="s">
        <v>946</v>
      </c>
      <c r="D14628" t="s">
        <v>1025</v>
      </c>
      <c r="E14628" t="s">
        <v>302</v>
      </c>
      <c r="F14628" t="s">
        <v>948</v>
      </c>
      <c r="G14628">
        <v>6099999</v>
      </c>
      <c r="H14628">
        <v>401905</v>
      </c>
      <c r="I14628">
        <v>70</v>
      </c>
    </row>
    <row r="14629" spans="1:9" x14ac:dyDescent="0.25">
      <c r="A14629">
        <v>4240</v>
      </c>
      <c r="B14629">
        <v>60</v>
      </c>
      <c r="C14629" t="s">
        <v>946</v>
      </c>
      <c r="D14629" t="s">
        <v>1025</v>
      </c>
      <c r="E14629" t="s">
        <v>302</v>
      </c>
      <c r="F14629" t="s">
        <v>948</v>
      </c>
      <c r="G14629">
        <v>6000000</v>
      </c>
      <c r="H14629">
        <v>143000</v>
      </c>
      <c r="I14629" t="s">
        <v>982</v>
      </c>
    </row>
    <row r="14630" spans="1:9" x14ac:dyDescent="0.25">
      <c r="A14630">
        <v>4141</v>
      </c>
      <c r="B14630">
        <v>60</v>
      </c>
      <c r="C14630" t="s">
        <v>946</v>
      </c>
      <c r="D14630" t="s">
        <v>1025</v>
      </c>
      <c r="E14630" t="s">
        <v>306</v>
      </c>
      <c r="F14630" t="s">
        <v>948</v>
      </c>
      <c r="G14630">
        <v>6077777</v>
      </c>
      <c r="H14630">
        <v>501010</v>
      </c>
      <c r="I14630">
        <v>70</v>
      </c>
    </row>
    <row r="14631" spans="1:9" x14ac:dyDescent="0.25">
      <c r="A14631">
        <v>4220</v>
      </c>
      <c r="B14631">
        <v>60</v>
      </c>
      <c r="C14631" t="s">
        <v>946</v>
      </c>
      <c r="D14631" t="s">
        <v>1025</v>
      </c>
      <c r="E14631" t="s">
        <v>306</v>
      </c>
      <c r="F14631" t="s">
        <v>948</v>
      </c>
      <c r="G14631">
        <v>6077777</v>
      </c>
      <c r="H14631">
        <v>501010</v>
      </c>
      <c r="I14631">
        <v>70</v>
      </c>
    </row>
    <row r="14632" spans="1:9" x14ac:dyDescent="0.25">
      <c r="A14632">
        <v>4230</v>
      </c>
      <c r="B14632">
        <v>60</v>
      </c>
      <c r="C14632" t="s">
        <v>946</v>
      </c>
      <c r="D14632" t="s">
        <v>1025</v>
      </c>
      <c r="E14632" t="s">
        <v>306</v>
      </c>
      <c r="F14632" t="s">
        <v>948</v>
      </c>
      <c r="G14632">
        <v>6099999</v>
      </c>
      <c r="H14632">
        <v>401045</v>
      </c>
      <c r="I14632">
        <v>70</v>
      </c>
    </row>
    <row r="14633" spans="1:9" x14ac:dyDescent="0.25">
      <c r="A14633">
        <v>4240</v>
      </c>
      <c r="B14633">
        <v>60</v>
      </c>
      <c r="C14633" t="s">
        <v>946</v>
      </c>
      <c r="D14633" t="s">
        <v>1025</v>
      </c>
      <c r="E14633" t="s">
        <v>306</v>
      </c>
      <c r="F14633" t="s">
        <v>948</v>
      </c>
      <c r="G14633">
        <v>6000000</v>
      </c>
      <c r="H14633">
        <v>143000</v>
      </c>
      <c r="I14633" t="s">
        <v>983</v>
      </c>
    </row>
    <row r="14634" spans="1:9" x14ac:dyDescent="0.25">
      <c r="A14634">
        <v>4141</v>
      </c>
      <c r="B14634">
        <v>60</v>
      </c>
      <c r="C14634" t="s">
        <v>946</v>
      </c>
      <c r="D14634" t="s">
        <v>1025</v>
      </c>
      <c r="E14634" t="s">
        <v>108</v>
      </c>
      <c r="F14634" t="s">
        <v>948</v>
      </c>
      <c r="G14634">
        <v>6077777</v>
      </c>
      <c r="H14634">
        <v>500220</v>
      </c>
      <c r="I14634" t="s">
        <v>949</v>
      </c>
    </row>
    <row r="14635" spans="1:9" x14ac:dyDescent="0.25">
      <c r="A14635">
        <v>4220</v>
      </c>
      <c r="B14635">
        <v>60</v>
      </c>
      <c r="C14635" t="s">
        <v>946</v>
      </c>
      <c r="D14635" t="s">
        <v>1025</v>
      </c>
      <c r="E14635" t="s">
        <v>108</v>
      </c>
      <c r="F14635" t="s">
        <v>948</v>
      </c>
      <c r="G14635">
        <v>6077777</v>
      </c>
      <c r="H14635">
        <v>500220</v>
      </c>
      <c r="I14635" t="s">
        <v>949</v>
      </c>
    </row>
    <row r="14636" spans="1:9" x14ac:dyDescent="0.25">
      <c r="A14636">
        <v>4230</v>
      </c>
      <c r="B14636">
        <v>60</v>
      </c>
      <c r="C14636" t="s">
        <v>946</v>
      </c>
      <c r="D14636" t="s">
        <v>1025</v>
      </c>
      <c r="E14636" t="s">
        <v>108</v>
      </c>
      <c r="F14636" t="s">
        <v>948</v>
      </c>
      <c r="G14636">
        <v>6099999</v>
      </c>
      <c r="H14636">
        <v>401045</v>
      </c>
      <c r="I14636">
        <v>70</v>
      </c>
    </row>
    <row r="14637" spans="1:9" x14ac:dyDescent="0.25">
      <c r="A14637">
        <v>4240</v>
      </c>
      <c r="B14637">
        <v>60</v>
      </c>
      <c r="C14637" t="s">
        <v>946</v>
      </c>
      <c r="D14637" t="s">
        <v>1025</v>
      </c>
      <c r="E14637" t="s">
        <v>108</v>
      </c>
      <c r="F14637" t="s">
        <v>948</v>
      </c>
      <c r="G14637">
        <v>6077777</v>
      </c>
      <c r="H14637">
        <v>500221</v>
      </c>
      <c r="I14637" t="s">
        <v>949</v>
      </c>
    </row>
    <row r="14638" spans="1:9" x14ac:dyDescent="0.25">
      <c r="A14638">
        <v>4141</v>
      </c>
      <c r="B14638">
        <v>60</v>
      </c>
      <c r="C14638" t="s">
        <v>946</v>
      </c>
      <c r="D14638" t="s">
        <v>1025</v>
      </c>
      <c r="E14638" t="s">
        <v>310</v>
      </c>
      <c r="F14638" t="s">
        <v>948</v>
      </c>
      <c r="G14638">
        <v>6077777</v>
      </c>
      <c r="H14638">
        <v>501010</v>
      </c>
      <c r="I14638">
        <v>70</v>
      </c>
    </row>
    <row r="14639" spans="1:9" x14ac:dyDescent="0.25">
      <c r="A14639">
        <v>4220</v>
      </c>
      <c r="B14639">
        <v>60</v>
      </c>
      <c r="C14639" t="s">
        <v>946</v>
      </c>
      <c r="D14639" t="s">
        <v>1025</v>
      </c>
      <c r="E14639" t="s">
        <v>310</v>
      </c>
      <c r="F14639" t="s">
        <v>948</v>
      </c>
      <c r="G14639">
        <v>6077777</v>
      </c>
      <c r="H14639">
        <v>501010</v>
      </c>
      <c r="I14639">
        <v>70</v>
      </c>
    </row>
    <row r="14640" spans="1:9" x14ac:dyDescent="0.25">
      <c r="A14640">
        <v>4230</v>
      </c>
      <c r="B14640">
        <v>60</v>
      </c>
      <c r="C14640" t="s">
        <v>946</v>
      </c>
      <c r="D14640" t="s">
        <v>1025</v>
      </c>
      <c r="E14640" t="s">
        <v>310</v>
      </c>
      <c r="F14640" t="s">
        <v>948</v>
      </c>
      <c r="G14640">
        <v>6099999</v>
      </c>
      <c r="H14640">
        <v>401015</v>
      </c>
      <c r="I14640">
        <v>70</v>
      </c>
    </row>
    <row r="14641" spans="1:9" x14ac:dyDescent="0.25">
      <c r="A14641">
        <v>4240</v>
      </c>
      <c r="B14641">
        <v>60</v>
      </c>
      <c r="C14641" t="s">
        <v>946</v>
      </c>
      <c r="D14641" t="s">
        <v>1025</v>
      </c>
      <c r="E14641" t="s">
        <v>310</v>
      </c>
      <c r="F14641" t="s">
        <v>948</v>
      </c>
      <c r="G14641">
        <v>6000000</v>
      </c>
      <c r="H14641">
        <v>145000</v>
      </c>
      <c r="I14641" t="s">
        <v>949</v>
      </c>
    </row>
    <row r="14642" spans="1:9" x14ac:dyDescent="0.25">
      <c r="A14642">
        <v>4141</v>
      </c>
      <c r="B14642">
        <v>60</v>
      </c>
      <c r="C14642" t="s">
        <v>946</v>
      </c>
      <c r="D14642" t="s">
        <v>1025</v>
      </c>
      <c r="E14642" t="s">
        <v>314</v>
      </c>
      <c r="F14642" t="s">
        <v>948</v>
      </c>
      <c r="G14642">
        <v>6077777</v>
      </c>
      <c r="H14642">
        <v>501010</v>
      </c>
      <c r="I14642">
        <v>70</v>
      </c>
    </row>
    <row r="14643" spans="1:9" x14ac:dyDescent="0.25">
      <c r="A14643">
        <v>4220</v>
      </c>
      <c r="B14643">
        <v>60</v>
      </c>
      <c r="C14643" t="s">
        <v>946</v>
      </c>
      <c r="D14643" t="s">
        <v>1025</v>
      </c>
      <c r="E14643" t="s">
        <v>314</v>
      </c>
      <c r="F14643" t="s">
        <v>948</v>
      </c>
      <c r="G14643">
        <v>6077777</v>
      </c>
      <c r="H14643">
        <v>501010</v>
      </c>
      <c r="I14643">
        <v>70</v>
      </c>
    </row>
    <row r="14644" spans="1:9" x14ac:dyDescent="0.25">
      <c r="A14644">
        <v>4230</v>
      </c>
      <c r="B14644">
        <v>60</v>
      </c>
      <c r="C14644" t="s">
        <v>946</v>
      </c>
      <c r="D14644" t="s">
        <v>1025</v>
      </c>
      <c r="E14644" t="s">
        <v>314</v>
      </c>
      <c r="F14644" t="s">
        <v>948</v>
      </c>
      <c r="G14644">
        <v>6099999</v>
      </c>
      <c r="H14644">
        <v>401065</v>
      </c>
      <c r="I14644">
        <v>70</v>
      </c>
    </row>
    <row r="14645" spans="1:9" x14ac:dyDescent="0.25">
      <c r="A14645">
        <v>4240</v>
      </c>
      <c r="B14645">
        <v>60</v>
      </c>
      <c r="C14645" t="s">
        <v>946</v>
      </c>
      <c r="D14645" t="s">
        <v>1025</v>
      </c>
      <c r="E14645" t="s">
        <v>314</v>
      </c>
      <c r="F14645" t="s">
        <v>948</v>
      </c>
      <c r="G14645">
        <v>6000000</v>
      </c>
      <c r="H14645">
        <v>145000</v>
      </c>
      <c r="I14645" t="s">
        <v>949</v>
      </c>
    </row>
    <row r="14646" spans="1:9" x14ac:dyDescent="0.25">
      <c r="A14646">
        <v>4141</v>
      </c>
      <c r="B14646">
        <v>60</v>
      </c>
      <c r="C14646" t="s">
        <v>946</v>
      </c>
      <c r="D14646" t="s">
        <v>1025</v>
      </c>
      <c r="E14646" t="s">
        <v>113</v>
      </c>
      <c r="F14646" t="s">
        <v>948</v>
      </c>
      <c r="G14646">
        <v>6077777</v>
      </c>
      <c r="H14646">
        <v>500220</v>
      </c>
      <c r="I14646" t="s">
        <v>949</v>
      </c>
    </row>
    <row r="14647" spans="1:9" x14ac:dyDescent="0.25">
      <c r="A14647">
        <v>4220</v>
      </c>
      <c r="B14647">
        <v>60</v>
      </c>
      <c r="C14647" t="s">
        <v>946</v>
      </c>
      <c r="D14647" t="s">
        <v>1025</v>
      </c>
      <c r="E14647" t="s">
        <v>113</v>
      </c>
      <c r="F14647" t="s">
        <v>948</v>
      </c>
      <c r="G14647">
        <v>6077777</v>
      </c>
      <c r="H14647">
        <v>500220</v>
      </c>
      <c r="I14647" t="s">
        <v>949</v>
      </c>
    </row>
    <row r="14648" spans="1:9" x14ac:dyDescent="0.25">
      <c r="A14648">
        <v>4230</v>
      </c>
      <c r="B14648">
        <v>60</v>
      </c>
      <c r="C14648" t="s">
        <v>946</v>
      </c>
      <c r="D14648" t="s">
        <v>1025</v>
      </c>
      <c r="E14648" t="s">
        <v>113</v>
      </c>
      <c r="F14648" t="s">
        <v>948</v>
      </c>
      <c r="G14648">
        <v>6099999</v>
      </c>
      <c r="H14648">
        <v>402085</v>
      </c>
      <c r="I14648">
        <v>70</v>
      </c>
    </row>
    <row r="14649" spans="1:9" x14ac:dyDescent="0.25">
      <c r="A14649">
        <v>4240</v>
      </c>
      <c r="B14649">
        <v>60</v>
      </c>
      <c r="C14649" t="s">
        <v>946</v>
      </c>
      <c r="D14649" t="s">
        <v>1025</v>
      </c>
      <c r="E14649" t="s">
        <v>113</v>
      </c>
      <c r="F14649" t="s">
        <v>948</v>
      </c>
      <c r="G14649">
        <v>6077777</v>
      </c>
      <c r="H14649">
        <v>500221</v>
      </c>
      <c r="I14649" t="s">
        <v>949</v>
      </c>
    </row>
    <row r="14650" spans="1:9" x14ac:dyDescent="0.25">
      <c r="A14650">
        <v>4141</v>
      </c>
      <c r="B14650">
        <v>60</v>
      </c>
      <c r="C14650" t="s">
        <v>946</v>
      </c>
      <c r="D14650" t="s">
        <v>1025</v>
      </c>
      <c r="E14650" t="s">
        <v>117</v>
      </c>
      <c r="F14650" t="s">
        <v>948</v>
      </c>
      <c r="G14650">
        <v>6077777</v>
      </c>
      <c r="H14650">
        <v>500220</v>
      </c>
      <c r="I14650" t="s">
        <v>949</v>
      </c>
    </row>
    <row r="14651" spans="1:9" x14ac:dyDescent="0.25">
      <c r="A14651">
        <v>4220</v>
      </c>
      <c r="B14651">
        <v>60</v>
      </c>
      <c r="C14651" t="s">
        <v>946</v>
      </c>
      <c r="D14651" t="s">
        <v>1025</v>
      </c>
      <c r="E14651" t="s">
        <v>117</v>
      </c>
      <c r="F14651" t="s">
        <v>948</v>
      </c>
      <c r="G14651">
        <v>6077777</v>
      </c>
      <c r="H14651">
        <v>500220</v>
      </c>
      <c r="I14651" t="s">
        <v>949</v>
      </c>
    </row>
    <row r="14652" spans="1:9" x14ac:dyDescent="0.25">
      <c r="A14652">
        <v>4230</v>
      </c>
      <c r="B14652">
        <v>60</v>
      </c>
      <c r="C14652" t="s">
        <v>946</v>
      </c>
      <c r="D14652" t="s">
        <v>1025</v>
      </c>
      <c r="E14652" t="s">
        <v>117</v>
      </c>
      <c r="F14652" t="s">
        <v>948</v>
      </c>
      <c r="G14652">
        <v>6088888</v>
      </c>
      <c r="H14652">
        <v>810600</v>
      </c>
      <c r="I14652">
        <v>70</v>
      </c>
    </row>
    <row r="14653" spans="1:9" x14ac:dyDescent="0.25">
      <c r="A14653">
        <v>4240</v>
      </c>
      <c r="B14653">
        <v>60</v>
      </c>
      <c r="C14653" t="s">
        <v>946</v>
      </c>
      <c r="D14653" t="s">
        <v>1025</v>
      </c>
      <c r="E14653" t="s">
        <v>117</v>
      </c>
      <c r="F14653" t="s">
        <v>948</v>
      </c>
      <c r="G14653">
        <v>6077777</v>
      </c>
      <c r="H14653">
        <v>500221</v>
      </c>
      <c r="I14653" t="s">
        <v>949</v>
      </c>
    </row>
    <row r="14654" spans="1:9" x14ac:dyDescent="0.25">
      <c r="A14654">
        <v>4141</v>
      </c>
      <c r="B14654">
        <v>60</v>
      </c>
      <c r="C14654" t="s">
        <v>946</v>
      </c>
      <c r="D14654" t="s">
        <v>1025</v>
      </c>
      <c r="E14654" t="s">
        <v>121</v>
      </c>
      <c r="F14654" t="s">
        <v>948</v>
      </c>
      <c r="G14654">
        <v>6077777</v>
      </c>
      <c r="H14654">
        <v>500220</v>
      </c>
      <c r="I14654" t="s">
        <v>949</v>
      </c>
    </row>
    <row r="14655" spans="1:9" x14ac:dyDescent="0.25">
      <c r="A14655">
        <v>4220</v>
      </c>
      <c r="B14655">
        <v>60</v>
      </c>
      <c r="C14655" t="s">
        <v>946</v>
      </c>
      <c r="D14655" t="s">
        <v>1025</v>
      </c>
      <c r="E14655" t="s">
        <v>121</v>
      </c>
      <c r="F14655" t="s">
        <v>948</v>
      </c>
      <c r="G14655">
        <v>6077777</v>
      </c>
      <c r="H14655">
        <v>500220</v>
      </c>
      <c r="I14655" t="s">
        <v>949</v>
      </c>
    </row>
    <row r="14656" spans="1:9" x14ac:dyDescent="0.25">
      <c r="A14656">
        <v>4230</v>
      </c>
      <c r="B14656">
        <v>60</v>
      </c>
      <c r="C14656" t="s">
        <v>946</v>
      </c>
      <c r="D14656" t="s">
        <v>1025</v>
      </c>
      <c r="E14656" t="s">
        <v>121</v>
      </c>
      <c r="F14656" t="s">
        <v>948</v>
      </c>
      <c r="G14656">
        <v>6099999</v>
      </c>
      <c r="H14656">
        <v>401045</v>
      </c>
      <c r="I14656">
        <v>70</v>
      </c>
    </row>
    <row r="14657" spans="1:9" x14ac:dyDescent="0.25">
      <c r="A14657">
        <v>4240</v>
      </c>
      <c r="B14657">
        <v>60</v>
      </c>
      <c r="C14657" t="s">
        <v>946</v>
      </c>
      <c r="D14657" t="s">
        <v>1025</v>
      </c>
      <c r="E14657" t="s">
        <v>121</v>
      </c>
      <c r="F14657" t="s">
        <v>948</v>
      </c>
      <c r="G14657">
        <v>6077777</v>
      </c>
      <c r="H14657">
        <v>500221</v>
      </c>
      <c r="I14657" t="s">
        <v>949</v>
      </c>
    </row>
    <row r="14658" spans="1:9" x14ac:dyDescent="0.25">
      <c r="A14658">
        <v>4141</v>
      </c>
      <c r="B14658">
        <v>60</v>
      </c>
      <c r="C14658" t="s">
        <v>946</v>
      </c>
      <c r="D14658" t="s">
        <v>1025</v>
      </c>
      <c r="E14658" t="s">
        <v>984</v>
      </c>
      <c r="F14658" t="s">
        <v>948</v>
      </c>
      <c r="G14658">
        <v>6077777</v>
      </c>
      <c r="H14658">
        <v>501010</v>
      </c>
      <c r="I14658">
        <v>70</v>
      </c>
    </row>
    <row r="14659" spans="1:9" x14ac:dyDescent="0.25">
      <c r="A14659">
        <v>4220</v>
      </c>
      <c r="B14659">
        <v>60</v>
      </c>
      <c r="C14659" t="s">
        <v>946</v>
      </c>
      <c r="D14659" t="s">
        <v>1025</v>
      </c>
      <c r="E14659" t="s">
        <v>984</v>
      </c>
      <c r="F14659" t="s">
        <v>948</v>
      </c>
      <c r="G14659">
        <v>6077777</v>
      </c>
      <c r="H14659">
        <v>501010</v>
      </c>
      <c r="I14659">
        <v>70</v>
      </c>
    </row>
    <row r="14660" spans="1:9" x14ac:dyDescent="0.25">
      <c r="A14660">
        <v>4230</v>
      </c>
      <c r="B14660">
        <v>60</v>
      </c>
      <c r="C14660" t="s">
        <v>946</v>
      </c>
      <c r="D14660" t="s">
        <v>1025</v>
      </c>
      <c r="E14660" t="s">
        <v>984</v>
      </c>
      <c r="F14660" t="s">
        <v>948</v>
      </c>
      <c r="G14660">
        <v>6099999</v>
      </c>
      <c r="H14660">
        <v>401915</v>
      </c>
      <c r="I14660">
        <v>70</v>
      </c>
    </row>
    <row r="14661" spans="1:9" x14ac:dyDescent="0.25">
      <c r="A14661">
        <v>4240</v>
      </c>
      <c r="B14661">
        <v>60</v>
      </c>
      <c r="C14661" t="s">
        <v>946</v>
      </c>
      <c r="D14661" t="s">
        <v>1025</v>
      </c>
      <c r="E14661" t="s">
        <v>984</v>
      </c>
      <c r="F14661" t="s">
        <v>948</v>
      </c>
      <c r="G14661">
        <v>6000000</v>
      </c>
      <c r="H14661">
        <v>141000</v>
      </c>
      <c r="I14661" t="s">
        <v>985</v>
      </c>
    </row>
    <row r="14662" spans="1:9" x14ac:dyDescent="0.25">
      <c r="A14662">
        <v>4141</v>
      </c>
      <c r="B14662">
        <v>60</v>
      </c>
      <c r="C14662" t="s">
        <v>946</v>
      </c>
      <c r="D14662" t="s">
        <v>1026</v>
      </c>
      <c r="E14662" t="s">
        <v>243</v>
      </c>
      <c r="F14662" t="s">
        <v>948</v>
      </c>
      <c r="G14662">
        <v>6077777</v>
      </c>
      <c r="H14662">
        <v>501010</v>
      </c>
      <c r="I14662">
        <v>73</v>
      </c>
    </row>
    <row r="14663" spans="1:9" x14ac:dyDescent="0.25">
      <c r="A14663">
        <v>4220</v>
      </c>
      <c r="B14663">
        <v>60</v>
      </c>
      <c r="C14663" t="s">
        <v>946</v>
      </c>
      <c r="D14663" t="s">
        <v>1026</v>
      </c>
      <c r="E14663" t="s">
        <v>243</v>
      </c>
      <c r="F14663" t="s">
        <v>948</v>
      </c>
      <c r="G14663">
        <v>6077777</v>
      </c>
      <c r="H14663">
        <v>501010</v>
      </c>
      <c r="I14663">
        <v>73</v>
      </c>
    </row>
    <row r="14664" spans="1:9" x14ac:dyDescent="0.25">
      <c r="A14664">
        <v>4230</v>
      </c>
      <c r="B14664">
        <v>60</v>
      </c>
      <c r="C14664" t="s">
        <v>946</v>
      </c>
      <c r="D14664" t="s">
        <v>1026</v>
      </c>
      <c r="E14664" t="s">
        <v>243</v>
      </c>
      <c r="F14664" t="s">
        <v>948</v>
      </c>
      <c r="G14664">
        <v>6099999</v>
      </c>
      <c r="H14664">
        <v>401055</v>
      </c>
      <c r="I14664">
        <v>73</v>
      </c>
    </row>
    <row r="14665" spans="1:9" x14ac:dyDescent="0.25">
      <c r="A14665">
        <v>4240</v>
      </c>
      <c r="B14665">
        <v>60</v>
      </c>
      <c r="C14665" t="s">
        <v>946</v>
      </c>
      <c r="D14665" t="s">
        <v>1026</v>
      </c>
      <c r="E14665" t="s">
        <v>243</v>
      </c>
      <c r="F14665" t="s">
        <v>948</v>
      </c>
      <c r="G14665">
        <v>6000000</v>
      </c>
      <c r="H14665">
        <v>145000</v>
      </c>
      <c r="I14665" t="s">
        <v>949</v>
      </c>
    </row>
    <row r="14666" spans="1:9" x14ac:dyDescent="0.25">
      <c r="A14666">
        <v>4141</v>
      </c>
      <c r="B14666">
        <v>60</v>
      </c>
      <c r="C14666" t="s">
        <v>946</v>
      </c>
      <c r="D14666" t="s">
        <v>1026</v>
      </c>
      <c r="E14666" t="s">
        <v>247</v>
      </c>
      <c r="F14666" t="s">
        <v>948</v>
      </c>
      <c r="G14666">
        <v>6077777</v>
      </c>
      <c r="H14666">
        <v>501010</v>
      </c>
      <c r="I14666">
        <v>73</v>
      </c>
    </row>
    <row r="14667" spans="1:9" x14ac:dyDescent="0.25">
      <c r="A14667">
        <v>4220</v>
      </c>
      <c r="B14667">
        <v>60</v>
      </c>
      <c r="C14667" t="s">
        <v>946</v>
      </c>
      <c r="D14667" t="s">
        <v>1026</v>
      </c>
      <c r="E14667" t="s">
        <v>247</v>
      </c>
      <c r="F14667" t="s">
        <v>948</v>
      </c>
      <c r="G14667">
        <v>6077777</v>
      </c>
      <c r="H14667">
        <v>501010</v>
      </c>
      <c r="I14667">
        <v>73</v>
      </c>
    </row>
    <row r="14668" spans="1:9" x14ac:dyDescent="0.25">
      <c r="A14668">
        <v>4230</v>
      </c>
      <c r="B14668">
        <v>60</v>
      </c>
      <c r="C14668" t="s">
        <v>946</v>
      </c>
      <c r="D14668" t="s">
        <v>1026</v>
      </c>
      <c r="E14668" t="s">
        <v>247</v>
      </c>
      <c r="F14668" t="s">
        <v>948</v>
      </c>
      <c r="G14668">
        <v>6099999</v>
      </c>
      <c r="H14668">
        <v>401025</v>
      </c>
      <c r="I14668">
        <v>73</v>
      </c>
    </row>
    <row r="14669" spans="1:9" x14ac:dyDescent="0.25">
      <c r="A14669">
        <v>4240</v>
      </c>
      <c r="B14669">
        <v>60</v>
      </c>
      <c r="C14669" t="s">
        <v>946</v>
      </c>
      <c r="D14669" t="s">
        <v>1026</v>
      </c>
      <c r="E14669" t="s">
        <v>247</v>
      </c>
      <c r="F14669" t="s">
        <v>948</v>
      </c>
      <c r="G14669">
        <v>6000000</v>
      </c>
      <c r="H14669">
        <v>145000</v>
      </c>
      <c r="I14669" t="s">
        <v>949</v>
      </c>
    </row>
    <row r="14670" spans="1:9" x14ac:dyDescent="0.25">
      <c r="A14670">
        <v>4141</v>
      </c>
      <c r="B14670">
        <v>60</v>
      </c>
      <c r="C14670" t="s">
        <v>946</v>
      </c>
      <c r="D14670" t="s">
        <v>1026</v>
      </c>
      <c r="E14670" t="s">
        <v>251</v>
      </c>
      <c r="F14670" t="s">
        <v>948</v>
      </c>
      <c r="G14670">
        <v>6077777</v>
      </c>
      <c r="H14670">
        <v>501010</v>
      </c>
      <c r="I14670">
        <v>73</v>
      </c>
    </row>
    <row r="14671" spans="1:9" x14ac:dyDescent="0.25">
      <c r="A14671">
        <v>4220</v>
      </c>
      <c r="B14671">
        <v>60</v>
      </c>
      <c r="C14671" t="s">
        <v>946</v>
      </c>
      <c r="D14671" t="s">
        <v>1026</v>
      </c>
      <c r="E14671" t="s">
        <v>251</v>
      </c>
      <c r="F14671" t="s">
        <v>948</v>
      </c>
      <c r="G14671">
        <v>6077777</v>
      </c>
      <c r="H14671">
        <v>501010</v>
      </c>
      <c r="I14671">
        <v>73</v>
      </c>
    </row>
    <row r="14672" spans="1:9" x14ac:dyDescent="0.25">
      <c r="A14672">
        <v>4230</v>
      </c>
      <c r="B14672">
        <v>60</v>
      </c>
      <c r="C14672" t="s">
        <v>946</v>
      </c>
      <c r="D14672" t="s">
        <v>1026</v>
      </c>
      <c r="E14672" t="s">
        <v>251</v>
      </c>
      <c r="F14672" t="s">
        <v>948</v>
      </c>
      <c r="G14672">
        <v>6099999</v>
      </c>
      <c r="H14672">
        <v>401045</v>
      </c>
      <c r="I14672">
        <v>73</v>
      </c>
    </row>
    <row r="14673" spans="1:9" x14ac:dyDescent="0.25">
      <c r="A14673">
        <v>4240</v>
      </c>
      <c r="B14673">
        <v>60</v>
      </c>
      <c r="C14673" t="s">
        <v>946</v>
      </c>
      <c r="D14673" t="s">
        <v>1026</v>
      </c>
      <c r="E14673" t="s">
        <v>251</v>
      </c>
      <c r="F14673" t="s">
        <v>948</v>
      </c>
      <c r="G14673">
        <v>6000000</v>
      </c>
      <c r="H14673">
        <v>142000</v>
      </c>
      <c r="I14673" t="s">
        <v>949</v>
      </c>
    </row>
    <row r="14674" spans="1:9" x14ac:dyDescent="0.25">
      <c r="A14674">
        <v>4141</v>
      </c>
      <c r="B14674">
        <v>60</v>
      </c>
      <c r="C14674" t="s">
        <v>946</v>
      </c>
      <c r="D14674" t="s">
        <v>1026</v>
      </c>
      <c r="E14674" t="s">
        <v>969</v>
      </c>
      <c r="F14674" t="s">
        <v>948</v>
      </c>
      <c r="G14674">
        <v>6077777</v>
      </c>
      <c r="H14674">
        <v>501010</v>
      </c>
      <c r="I14674">
        <v>73</v>
      </c>
    </row>
    <row r="14675" spans="1:9" x14ac:dyDescent="0.25">
      <c r="A14675">
        <v>4220</v>
      </c>
      <c r="B14675">
        <v>60</v>
      </c>
      <c r="C14675" t="s">
        <v>946</v>
      </c>
      <c r="D14675" t="s">
        <v>1026</v>
      </c>
      <c r="E14675" t="s">
        <v>969</v>
      </c>
      <c r="F14675" t="s">
        <v>948</v>
      </c>
      <c r="G14675">
        <v>6077777</v>
      </c>
      <c r="H14675">
        <v>501010</v>
      </c>
      <c r="I14675">
        <v>73</v>
      </c>
    </row>
    <row r="14676" spans="1:9" x14ac:dyDescent="0.25">
      <c r="A14676">
        <v>4230</v>
      </c>
      <c r="B14676">
        <v>60</v>
      </c>
      <c r="C14676" t="s">
        <v>946</v>
      </c>
      <c r="D14676" t="s">
        <v>1026</v>
      </c>
      <c r="E14676" t="s">
        <v>969</v>
      </c>
      <c r="F14676" t="s">
        <v>948</v>
      </c>
      <c r="G14676">
        <v>6099999</v>
      </c>
      <c r="H14676">
        <v>401915</v>
      </c>
      <c r="I14676">
        <v>73</v>
      </c>
    </row>
    <row r="14677" spans="1:9" x14ac:dyDescent="0.25">
      <c r="A14677">
        <v>4240</v>
      </c>
      <c r="B14677">
        <v>60</v>
      </c>
      <c r="C14677" t="s">
        <v>946</v>
      </c>
      <c r="D14677" t="s">
        <v>1026</v>
      </c>
      <c r="E14677" t="s">
        <v>969</v>
      </c>
      <c r="F14677" t="s">
        <v>948</v>
      </c>
      <c r="G14677">
        <v>6000000</v>
      </c>
      <c r="H14677">
        <v>141000</v>
      </c>
      <c r="I14677" t="s">
        <v>970</v>
      </c>
    </row>
    <row r="14678" spans="1:9" x14ac:dyDescent="0.25">
      <c r="A14678">
        <v>4141</v>
      </c>
      <c r="B14678">
        <v>60</v>
      </c>
      <c r="C14678" t="s">
        <v>946</v>
      </c>
      <c r="D14678" t="s">
        <v>1026</v>
      </c>
      <c r="E14678" t="s">
        <v>255</v>
      </c>
      <c r="F14678" t="s">
        <v>948</v>
      </c>
      <c r="G14678">
        <v>6077777</v>
      </c>
      <c r="H14678">
        <v>501010</v>
      </c>
      <c r="I14678">
        <v>73</v>
      </c>
    </row>
    <row r="14679" spans="1:9" x14ac:dyDescent="0.25">
      <c r="A14679">
        <v>4220</v>
      </c>
      <c r="B14679">
        <v>60</v>
      </c>
      <c r="C14679" t="s">
        <v>946</v>
      </c>
      <c r="D14679" t="s">
        <v>1026</v>
      </c>
      <c r="E14679" t="s">
        <v>255</v>
      </c>
      <c r="F14679" t="s">
        <v>948</v>
      </c>
      <c r="G14679">
        <v>6077777</v>
      </c>
      <c r="H14679">
        <v>501010</v>
      </c>
      <c r="I14679">
        <v>73</v>
      </c>
    </row>
    <row r="14680" spans="1:9" x14ac:dyDescent="0.25">
      <c r="A14680">
        <v>4230</v>
      </c>
      <c r="B14680">
        <v>60</v>
      </c>
      <c r="C14680" t="s">
        <v>946</v>
      </c>
      <c r="D14680" t="s">
        <v>1026</v>
      </c>
      <c r="E14680" t="s">
        <v>255</v>
      </c>
      <c r="F14680" t="s">
        <v>948</v>
      </c>
      <c r="G14680">
        <v>6099999</v>
      </c>
      <c r="H14680">
        <v>401075</v>
      </c>
      <c r="I14680">
        <v>73</v>
      </c>
    </row>
    <row r="14681" spans="1:9" x14ac:dyDescent="0.25">
      <c r="A14681">
        <v>4240</v>
      </c>
      <c r="B14681">
        <v>60</v>
      </c>
      <c r="C14681" t="s">
        <v>946</v>
      </c>
      <c r="D14681" t="s">
        <v>1026</v>
      </c>
      <c r="E14681" t="s">
        <v>255</v>
      </c>
      <c r="F14681" t="s">
        <v>948</v>
      </c>
      <c r="G14681">
        <v>6000000</v>
      </c>
      <c r="H14681">
        <v>145000</v>
      </c>
      <c r="I14681" t="s">
        <v>949</v>
      </c>
    </row>
    <row r="14682" spans="1:9" x14ac:dyDescent="0.25">
      <c r="A14682">
        <v>4141</v>
      </c>
      <c r="B14682">
        <v>60</v>
      </c>
      <c r="C14682" t="s">
        <v>946</v>
      </c>
      <c r="D14682" t="s">
        <v>1026</v>
      </c>
      <c r="E14682" t="s">
        <v>971</v>
      </c>
      <c r="F14682" t="s">
        <v>948</v>
      </c>
      <c r="G14682">
        <v>6077777</v>
      </c>
      <c r="H14682">
        <v>501010</v>
      </c>
      <c r="I14682">
        <v>73</v>
      </c>
    </row>
    <row r="14683" spans="1:9" x14ac:dyDescent="0.25">
      <c r="A14683">
        <v>4220</v>
      </c>
      <c r="B14683">
        <v>60</v>
      </c>
      <c r="C14683" t="s">
        <v>946</v>
      </c>
      <c r="D14683" t="s">
        <v>1026</v>
      </c>
      <c r="E14683" t="s">
        <v>971</v>
      </c>
      <c r="F14683" t="s">
        <v>948</v>
      </c>
      <c r="G14683">
        <v>6077777</v>
      </c>
      <c r="H14683">
        <v>501010</v>
      </c>
      <c r="I14683">
        <v>73</v>
      </c>
    </row>
    <row r="14684" spans="1:9" x14ac:dyDescent="0.25">
      <c r="A14684">
        <v>4230</v>
      </c>
      <c r="B14684">
        <v>60</v>
      </c>
      <c r="C14684" t="s">
        <v>946</v>
      </c>
      <c r="D14684" t="s">
        <v>1026</v>
      </c>
      <c r="E14684" t="s">
        <v>971</v>
      </c>
      <c r="F14684" t="s">
        <v>948</v>
      </c>
      <c r="G14684">
        <v>6099999</v>
      </c>
      <c r="H14684">
        <v>401915</v>
      </c>
      <c r="I14684">
        <v>73</v>
      </c>
    </row>
    <row r="14685" spans="1:9" x14ac:dyDescent="0.25">
      <c r="A14685">
        <v>4240</v>
      </c>
      <c r="B14685">
        <v>60</v>
      </c>
      <c r="C14685" t="s">
        <v>946</v>
      </c>
      <c r="D14685" t="s">
        <v>1026</v>
      </c>
      <c r="E14685" t="s">
        <v>971</v>
      </c>
      <c r="F14685" t="s">
        <v>948</v>
      </c>
      <c r="G14685">
        <v>6000000</v>
      </c>
      <c r="H14685">
        <v>141000</v>
      </c>
      <c r="I14685" t="s">
        <v>972</v>
      </c>
    </row>
    <row r="14686" spans="1:9" x14ac:dyDescent="0.25">
      <c r="A14686">
        <v>4230</v>
      </c>
      <c r="B14686">
        <v>60</v>
      </c>
      <c r="C14686" t="s">
        <v>946</v>
      </c>
      <c r="D14686" t="s">
        <v>1026</v>
      </c>
      <c r="E14686" t="s">
        <v>259</v>
      </c>
      <c r="F14686" t="s">
        <v>948</v>
      </c>
      <c r="G14686">
        <v>6099999</v>
      </c>
      <c r="H14686">
        <v>409005</v>
      </c>
      <c r="I14686">
        <v>73</v>
      </c>
    </row>
    <row r="14687" spans="1:9" x14ac:dyDescent="0.25">
      <c r="A14687">
        <v>4141</v>
      </c>
      <c r="B14687">
        <v>60</v>
      </c>
      <c r="C14687" t="s">
        <v>946</v>
      </c>
      <c r="D14687" t="s">
        <v>1026</v>
      </c>
      <c r="E14687" t="s">
        <v>263</v>
      </c>
      <c r="F14687" t="s">
        <v>948</v>
      </c>
      <c r="G14687">
        <v>6077777</v>
      </c>
      <c r="H14687">
        <v>501010</v>
      </c>
      <c r="I14687">
        <v>73</v>
      </c>
    </row>
    <row r="14688" spans="1:9" x14ac:dyDescent="0.25">
      <c r="A14688">
        <v>4220</v>
      </c>
      <c r="B14688">
        <v>60</v>
      </c>
      <c r="C14688" t="s">
        <v>946</v>
      </c>
      <c r="D14688" t="s">
        <v>1026</v>
      </c>
      <c r="E14688" t="s">
        <v>263</v>
      </c>
      <c r="F14688" t="s">
        <v>948</v>
      </c>
      <c r="G14688">
        <v>6077777</v>
      </c>
      <c r="H14688">
        <v>501010</v>
      </c>
      <c r="I14688">
        <v>73</v>
      </c>
    </row>
    <row r="14689" spans="1:9" x14ac:dyDescent="0.25">
      <c r="A14689">
        <v>4230</v>
      </c>
      <c r="B14689">
        <v>60</v>
      </c>
      <c r="C14689" t="s">
        <v>946</v>
      </c>
      <c r="D14689" t="s">
        <v>1026</v>
      </c>
      <c r="E14689" t="s">
        <v>263</v>
      </c>
      <c r="F14689" t="s">
        <v>948</v>
      </c>
      <c r="G14689">
        <v>6099999</v>
      </c>
      <c r="H14689">
        <v>401045</v>
      </c>
      <c r="I14689">
        <v>73</v>
      </c>
    </row>
    <row r="14690" spans="1:9" x14ac:dyDescent="0.25">
      <c r="A14690">
        <v>4240</v>
      </c>
      <c r="B14690">
        <v>60</v>
      </c>
      <c r="C14690" t="s">
        <v>946</v>
      </c>
      <c r="D14690" t="s">
        <v>1026</v>
      </c>
      <c r="E14690" t="s">
        <v>263</v>
      </c>
      <c r="F14690" t="s">
        <v>948</v>
      </c>
      <c r="G14690">
        <v>6000000</v>
      </c>
      <c r="H14690">
        <v>145000</v>
      </c>
      <c r="I14690" t="s">
        <v>949</v>
      </c>
    </row>
    <row r="14691" spans="1:9" x14ac:dyDescent="0.25">
      <c r="A14691">
        <v>4141</v>
      </c>
      <c r="B14691">
        <v>60</v>
      </c>
      <c r="C14691" t="s">
        <v>946</v>
      </c>
      <c r="D14691" t="s">
        <v>1026</v>
      </c>
      <c r="E14691" t="s">
        <v>100</v>
      </c>
      <c r="F14691" t="s">
        <v>948</v>
      </c>
      <c r="G14691">
        <v>6077777</v>
      </c>
      <c r="H14691">
        <v>500220</v>
      </c>
      <c r="I14691" t="s">
        <v>949</v>
      </c>
    </row>
    <row r="14692" spans="1:9" x14ac:dyDescent="0.25">
      <c r="A14692">
        <v>4220</v>
      </c>
      <c r="B14692">
        <v>60</v>
      </c>
      <c r="C14692" t="s">
        <v>946</v>
      </c>
      <c r="D14692" t="s">
        <v>1026</v>
      </c>
      <c r="E14692" t="s">
        <v>100</v>
      </c>
      <c r="F14692" t="s">
        <v>948</v>
      </c>
      <c r="G14692">
        <v>6077777</v>
      </c>
      <c r="H14692">
        <v>500220</v>
      </c>
      <c r="I14692" t="s">
        <v>949</v>
      </c>
    </row>
    <row r="14693" spans="1:9" x14ac:dyDescent="0.25">
      <c r="A14693">
        <v>4230</v>
      </c>
      <c r="B14693">
        <v>60</v>
      </c>
      <c r="C14693" t="s">
        <v>946</v>
      </c>
      <c r="D14693" t="s">
        <v>1026</v>
      </c>
      <c r="E14693" t="s">
        <v>100</v>
      </c>
      <c r="F14693" t="s">
        <v>948</v>
      </c>
      <c r="G14693">
        <v>6099999</v>
      </c>
      <c r="H14693">
        <v>401045</v>
      </c>
      <c r="I14693">
        <v>73</v>
      </c>
    </row>
    <row r="14694" spans="1:9" x14ac:dyDescent="0.25">
      <c r="A14694">
        <v>4240</v>
      </c>
      <c r="B14694">
        <v>60</v>
      </c>
      <c r="C14694" t="s">
        <v>946</v>
      </c>
      <c r="D14694" t="s">
        <v>1026</v>
      </c>
      <c r="E14694" t="s">
        <v>100</v>
      </c>
      <c r="F14694" t="s">
        <v>948</v>
      </c>
      <c r="G14694">
        <v>6077777</v>
      </c>
      <c r="H14694">
        <v>500221</v>
      </c>
      <c r="I14694" t="s">
        <v>949</v>
      </c>
    </row>
    <row r="14695" spans="1:9" x14ac:dyDescent="0.25">
      <c r="A14695">
        <v>4141</v>
      </c>
      <c r="B14695">
        <v>60</v>
      </c>
      <c r="C14695" t="s">
        <v>946</v>
      </c>
      <c r="D14695" t="s">
        <v>1026</v>
      </c>
      <c r="E14695" t="s">
        <v>270</v>
      </c>
      <c r="F14695" t="s">
        <v>948</v>
      </c>
      <c r="G14695">
        <v>6077777</v>
      </c>
      <c r="H14695">
        <v>501010</v>
      </c>
      <c r="I14695">
        <v>73</v>
      </c>
    </row>
    <row r="14696" spans="1:9" x14ac:dyDescent="0.25">
      <c r="A14696">
        <v>4220</v>
      </c>
      <c r="B14696">
        <v>60</v>
      </c>
      <c r="C14696" t="s">
        <v>946</v>
      </c>
      <c r="D14696" t="s">
        <v>1026</v>
      </c>
      <c r="E14696" t="s">
        <v>270</v>
      </c>
      <c r="F14696" t="s">
        <v>948</v>
      </c>
      <c r="G14696">
        <v>6077777</v>
      </c>
      <c r="H14696">
        <v>501010</v>
      </c>
      <c r="I14696">
        <v>73</v>
      </c>
    </row>
    <row r="14697" spans="1:9" x14ac:dyDescent="0.25">
      <c r="A14697">
        <v>4230</v>
      </c>
      <c r="B14697">
        <v>60</v>
      </c>
      <c r="C14697" t="s">
        <v>946</v>
      </c>
      <c r="D14697" t="s">
        <v>1026</v>
      </c>
      <c r="E14697" t="s">
        <v>270</v>
      </c>
      <c r="F14697" t="s">
        <v>948</v>
      </c>
      <c r="G14697">
        <v>6099999</v>
      </c>
      <c r="H14697">
        <v>401065</v>
      </c>
      <c r="I14697">
        <v>73</v>
      </c>
    </row>
    <row r="14698" spans="1:9" x14ac:dyDescent="0.25">
      <c r="A14698">
        <v>4240</v>
      </c>
      <c r="B14698">
        <v>60</v>
      </c>
      <c r="C14698" t="s">
        <v>946</v>
      </c>
      <c r="D14698" t="s">
        <v>1026</v>
      </c>
      <c r="E14698" t="s">
        <v>270</v>
      </c>
      <c r="F14698" t="s">
        <v>948</v>
      </c>
      <c r="G14698">
        <v>6000000</v>
      </c>
      <c r="H14698">
        <v>145000</v>
      </c>
      <c r="I14698" t="s">
        <v>949</v>
      </c>
    </row>
    <row r="14699" spans="1:9" x14ac:dyDescent="0.25">
      <c r="A14699">
        <v>4141</v>
      </c>
      <c r="B14699">
        <v>60</v>
      </c>
      <c r="C14699" t="s">
        <v>946</v>
      </c>
      <c r="D14699" t="s">
        <v>1026</v>
      </c>
      <c r="E14699" t="s">
        <v>274</v>
      </c>
      <c r="F14699" t="s">
        <v>948</v>
      </c>
      <c r="G14699">
        <v>6077777</v>
      </c>
      <c r="H14699">
        <v>501010</v>
      </c>
      <c r="I14699">
        <v>73</v>
      </c>
    </row>
    <row r="14700" spans="1:9" x14ac:dyDescent="0.25">
      <c r="A14700">
        <v>4220</v>
      </c>
      <c r="B14700">
        <v>60</v>
      </c>
      <c r="C14700" t="s">
        <v>946</v>
      </c>
      <c r="D14700" t="s">
        <v>1026</v>
      </c>
      <c r="E14700" t="s">
        <v>274</v>
      </c>
      <c r="F14700" t="s">
        <v>948</v>
      </c>
      <c r="G14700">
        <v>6077777</v>
      </c>
      <c r="H14700">
        <v>501010</v>
      </c>
      <c r="I14700">
        <v>73</v>
      </c>
    </row>
    <row r="14701" spans="1:9" x14ac:dyDescent="0.25">
      <c r="A14701">
        <v>4230</v>
      </c>
      <c r="B14701">
        <v>60</v>
      </c>
      <c r="C14701" t="s">
        <v>946</v>
      </c>
      <c r="D14701" t="s">
        <v>1026</v>
      </c>
      <c r="E14701" t="s">
        <v>274</v>
      </c>
      <c r="F14701" t="s">
        <v>948</v>
      </c>
      <c r="G14701">
        <v>6099999</v>
      </c>
      <c r="H14701">
        <v>401045</v>
      </c>
      <c r="I14701">
        <v>73</v>
      </c>
    </row>
    <row r="14702" spans="1:9" x14ac:dyDescent="0.25">
      <c r="A14702">
        <v>4240</v>
      </c>
      <c r="B14702">
        <v>60</v>
      </c>
      <c r="C14702" t="s">
        <v>946</v>
      </c>
      <c r="D14702" t="s">
        <v>1026</v>
      </c>
      <c r="E14702" t="s">
        <v>274</v>
      </c>
      <c r="F14702" t="s">
        <v>948</v>
      </c>
      <c r="G14702">
        <v>6000000</v>
      </c>
      <c r="H14702">
        <v>143000</v>
      </c>
      <c r="I14702" t="s">
        <v>973</v>
      </c>
    </row>
    <row r="14703" spans="1:9" x14ac:dyDescent="0.25">
      <c r="A14703">
        <v>4141</v>
      </c>
      <c r="B14703">
        <v>60</v>
      </c>
      <c r="C14703" t="s">
        <v>946</v>
      </c>
      <c r="D14703" t="s">
        <v>1026</v>
      </c>
      <c r="E14703" t="s">
        <v>974</v>
      </c>
      <c r="F14703" t="s">
        <v>948</v>
      </c>
      <c r="G14703">
        <v>6077777</v>
      </c>
      <c r="H14703">
        <v>501010</v>
      </c>
      <c r="I14703">
        <v>73</v>
      </c>
    </row>
    <row r="14704" spans="1:9" x14ac:dyDescent="0.25">
      <c r="A14704">
        <v>4220</v>
      </c>
      <c r="B14704">
        <v>60</v>
      </c>
      <c r="C14704" t="s">
        <v>946</v>
      </c>
      <c r="D14704" t="s">
        <v>1026</v>
      </c>
      <c r="E14704" t="s">
        <v>974</v>
      </c>
      <c r="F14704" t="s">
        <v>948</v>
      </c>
      <c r="G14704">
        <v>6077777</v>
      </c>
      <c r="H14704">
        <v>501010</v>
      </c>
      <c r="I14704">
        <v>73</v>
      </c>
    </row>
    <row r="14705" spans="1:9" x14ac:dyDescent="0.25">
      <c r="A14705">
        <v>4230</v>
      </c>
      <c r="B14705">
        <v>60</v>
      </c>
      <c r="C14705" t="s">
        <v>946</v>
      </c>
      <c r="D14705" t="s">
        <v>1026</v>
      </c>
      <c r="E14705" t="s">
        <v>974</v>
      </c>
      <c r="F14705" t="s">
        <v>948</v>
      </c>
      <c r="G14705">
        <v>6099999</v>
      </c>
      <c r="H14705">
        <v>401915</v>
      </c>
      <c r="I14705">
        <v>73</v>
      </c>
    </row>
    <row r="14706" spans="1:9" x14ac:dyDescent="0.25">
      <c r="A14706">
        <v>4240</v>
      </c>
      <c r="B14706">
        <v>60</v>
      </c>
      <c r="C14706" t="s">
        <v>946</v>
      </c>
      <c r="D14706" t="s">
        <v>1026</v>
      </c>
      <c r="E14706" t="s">
        <v>974</v>
      </c>
      <c r="F14706" t="s">
        <v>948</v>
      </c>
      <c r="G14706">
        <v>6000000</v>
      </c>
      <c r="H14706">
        <v>141000</v>
      </c>
      <c r="I14706" t="s">
        <v>975</v>
      </c>
    </row>
    <row r="14707" spans="1:9" x14ac:dyDescent="0.25">
      <c r="A14707">
        <v>4141</v>
      </c>
      <c r="B14707">
        <v>60</v>
      </c>
      <c r="C14707" t="s">
        <v>946</v>
      </c>
      <c r="D14707" t="s">
        <v>1026</v>
      </c>
      <c r="E14707" t="s">
        <v>104</v>
      </c>
      <c r="F14707" t="s">
        <v>948</v>
      </c>
      <c r="G14707">
        <v>6077777</v>
      </c>
      <c r="H14707">
        <v>500220</v>
      </c>
      <c r="I14707" t="s">
        <v>949</v>
      </c>
    </row>
    <row r="14708" spans="1:9" x14ac:dyDescent="0.25">
      <c r="A14708">
        <v>4220</v>
      </c>
      <c r="B14708">
        <v>60</v>
      </c>
      <c r="C14708" t="s">
        <v>946</v>
      </c>
      <c r="D14708" t="s">
        <v>1026</v>
      </c>
      <c r="E14708" t="s">
        <v>104</v>
      </c>
      <c r="F14708" t="s">
        <v>948</v>
      </c>
      <c r="G14708">
        <v>6077777</v>
      </c>
      <c r="H14708">
        <v>500220</v>
      </c>
      <c r="I14708" t="s">
        <v>949</v>
      </c>
    </row>
    <row r="14709" spans="1:9" x14ac:dyDescent="0.25">
      <c r="A14709">
        <v>4230</v>
      </c>
      <c r="B14709">
        <v>60</v>
      </c>
      <c r="C14709" t="s">
        <v>946</v>
      </c>
      <c r="D14709" t="s">
        <v>1026</v>
      </c>
      <c r="E14709" t="s">
        <v>104</v>
      </c>
      <c r="F14709" t="s">
        <v>948</v>
      </c>
      <c r="G14709">
        <v>6099999</v>
      </c>
      <c r="H14709">
        <v>401045</v>
      </c>
      <c r="I14709">
        <v>73</v>
      </c>
    </row>
    <row r="14710" spans="1:9" x14ac:dyDescent="0.25">
      <c r="A14710">
        <v>4240</v>
      </c>
      <c r="B14710">
        <v>60</v>
      </c>
      <c r="C14710" t="s">
        <v>946</v>
      </c>
      <c r="D14710" t="s">
        <v>1026</v>
      </c>
      <c r="E14710" t="s">
        <v>104</v>
      </c>
      <c r="F14710" t="s">
        <v>948</v>
      </c>
      <c r="G14710">
        <v>6077777</v>
      </c>
      <c r="H14710">
        <v>500221</v>
      </c>
      <c r="I14710" t="s">
        <v>949</v>
      </c>
    </row>
    <row r="14711" spans="1:9" x14ac:dyDescent="0.25">
      <c r="A14711">
        <v>4141</v>
      </c>
      <c r="B14711">
        <v>60</v>
      </c>
      <c r="C14711" t="s">
        <v>946</v>
      </c>
      <c r="D14711" t="s">
        <v>1026</v>
      </c>
      <c r="E14711" t="s">
        <v>278</v>
      </c>
      <c r="F14711" t="s">
        <v>948</v>
      </c>
      <c r="G14711">
        <v>6077777</v>
      </c>
      <c r="H14711">
        <v>501010</v>
      </c>
      <c r="I14711">
        <v>73</v>
      </c>
    </row>
    <row r="14712" spans="1:9" x14ac:dyDescent="0.25">
      <c r="A14712">
        <v>4220</v>
      </c>
      <c r="B14712">
        <v>60</v>
      </c>
      <c r="C14712" t="s">
        <v>946</v>
      </c>
      <c r="D14712" t="s">
        <v>1026</v>
      </c>
      <c r="E14712" t="s">
        <v>278</v>
      </c>
      <c r="F14712" t="s">
        <v>948</v>
      </c>
      <c r="G14712">
        <v>6077777</v>
      </c>
      <c r="H14712">
        <v>501010</v>
      </c>
      <c r="I14712">
        <v>73</v>
      </c>
    </row>
    <row r="14713" spans="1:9" x14ac:dyDescent="0.25">
      <c r="A14713">
        <v>4230</v>
      </c>
      <c r="B14713">
        <v>60</v>
      </c>
      <c r="C14713" t="s">
        <v>946</v>
      </c>
      <c r="D14713" t="s">
        <v>1026</v>
      </c>
      <c r="E14713" t="s">
        <v>278</v>
      </c>
      <c r="F14713" t="s">
        <v>948</v>
      </c>
      <c r="G14713">
        <v>6099999</v>
      </c>
      <c r="H14713">
        <v>401055</v>
      </c>
      <c r="I14713">
        <v>73</v>
      </c>
    </row>
    <row r="14714" spans="1:9" x14ac:dyDescent="0.25">
      <c r="A14714">
        <v>4240</v>
      </c>
      <c r="B14714">
        <v>60</v>
      </c>
      <c r="C14714" t="s">
        <v>946</v>
      </c>
      <c r="D14714" t="s">
        <v>1026</v>
      </c>
      <c r="E14714" t="s">
        <v>278</v>
      </c>
      <c r="F14714" t="s">
        <v>948</v>
      </c>
      <c r="G14714">
        <v>6000000</v>
      </c>
      <c r="H14714">
        <v>145000</v>
      </c>
      <c r="I14714" t="s">
        <v>949</v>
      </c>
    </row>
    <row r="14715" spans="1:9" x14ac:dyDescent="0.25">
      <c r="A14715">
        <v>4141</v>
      </c>
      <c r="B14715">
        <v>60</v>
      </c>
      <c r="C14715" t="s">
        <v>946</v>
      </c>
      <c r="D14715" t="s">
        <v>1026</v>
      </c>
      <c r="E14715" t="s">
        <v>282</v>
      </c>
      <c r="F14715" t="s">
        <v>948</v>
      </c>
      <c r="G14715">
        <v>6077777</v>
      </c>
      <c r="H14715">
        <v>501010</v>
      </c>
      <c r="I14715">
        <v>73</v>
      </c>
    </row>
    <row r="14716" spans="1:9" x14ac:dyDescent="0.25">
      <c r="A14716">
        <v>4220</v>
      </c>
      <c r="B14716">
        <v>60</v>
      </c>
      <c r="C14716" t="s">
        <v>946</v>
      </c>
      <c r="D14716" t="s">
        <v>1026</v>
      </c>
      <c r="E14716" t="s">
        <v>282</v>
      </c>
      <c r="F14716" t="s">
        <v>948</v>
      </c>
      <c r="G14716">
        <v>6077777</v>
      </c>
      <c r="H14716">
        <v>501010</v>
      </c>
      <c r="I14716">
        <v>73</v>
      </c>
    </row>
    <row r="14717" spans="1:9" x14ac:dyDescent="0.25">
      <c r="A14717">
        <v>4230</v>
      </c>
      <c r="B14717">
        <v>60</v>
      </c>
      <c r="C14717" t="s">
        <v>946</v>
      </c>
      <c r="D14717" t="s">
        <v>1026</v>
      </c>
      <c r="E14717" t="s">
        <v>282</v>
      </c>
      <c r="F14717" t="s">
        <v>948</v>
      </c>
      <c r="G14717">
        <v>6099999</v>
      </c>
      <c r="H14717">
        <v>401045</v>
      </c>
      <c r="I14717">
        <v>73</v>
      </c>
    </row>
    <row r="14718" spans="1:9" x14ac:dyDescent="0.25">
      <c r="A14718">
        <v>4240</v>
      </c>
      <c r="B14718">
        <v>60</v>
      </c>
      <c r="C14718" t="s">
        <v>946</v>
      </c>
      <c r="D14718" t="s">
        <v>1026</v>
      </c>
      <c r="E14718" t="s">
        <v>282</v>
      </c>
      <c r="F14718" t="s">
        <v>948</v>
      </c>
      <c r="G14718">
        <v>6000000</v>
      </c>
      <c r="H14718">
        <v>143100</v>
      </c>
      <c r="I14718" t="s">
        <v>949</v>
      </c>
    </row>
    <row r="14719" spans="1:9" x14ac:dyDescent="0.25">
      <c r="A14719">
        <v>4141</v>
      </c>
      <c r="B14719">
        <v>60</v>
      </c>
      <c r="C14719" t="s">
        <v>946</v>
      </c>
      <c r="D14719" t="s">
        <v>1026</v>
      </c>
      <c r="E14719" t="s">
        <v>286</v>
      </c>
      <c r="F14719" t="s">
        <v>948</v>
      </c>
      <c r="G14719">
        <v>6077777</v>
      </c>
      <c r="H14719">
        <v>501010</v>
      </c>
      <c r="I14719">
        <v>73</v>
      </c>
    </row>
    <row r="14720" spans="1:9" x14ac:dyDescent="0.25">
      <c r="A14720">
        <v>4220</v>
      </c>
      <c r="B14720">
        <v>60</v>
      </c>
      <c r="C14720" t="s">
        <v>946</v>
      </c>
      <c r="D14720" t="s">
        <v>1026</v>
      </c>
      <c r="E14720" t="s">
        <v>286</v>
      </c>
      <c r="F14720" t="s">
        <v>948</v>
      </c>
      <c r="G14720">
        <v>6077777</v>
      </c>
      <c r="H14720">
        <v>501010</v>
      </c>
      <c r="I14720">
        <v>73</v>
      </c>
    </row>
    <row r="14721" spans="1:9" x14ac:dyDescent="0.25">
      <c r="A14721">
        <v>4230</v>
      </c>
      <c r="B14721">
        <v>60</v>
      </c>
      <c r="C14721" t="s">
        <v>946</v>
      </c>
      <c r="D14721" t="s">
        <v>1026</v>
      </c>
      <c r="E14721" t="s">
        <v>286</v>
      </c>
      <c r="F14721" t="s">
        <v>948</v>
      </c>
      <c r="G14721">
        <v>6099999</v>
      </c>
      <c r="H14721">
        <v>401035</v>
      </c>
      <c r="I14721">
        <v>73</v>
      </c>
    </row>
    <row r="14722" spans="1:9" x14ac:dyDescent="0.25">
      <c r="A14722">
        <v>4240</v>
      </c>
      <c r="B14722">
        <v>60</v>
      </c>
      <c r="C14722" t="s">
        <v>946</v>
      </c>
      <c r="D14722" t="s">
        <v>1026</v>
      </c>
      <c r="E14722" t="s">
        <v>286</v>
      </c>
      <c r="F14722" t="s">
        <v>948</v>
      </c>
      <c r="G14722">
        <v>6000000</v>
      </c>
      <c r="H14722">
        <v>145000</v>
      </c>
      <c r="I14722" t="s">
        <v>949</v>
      </c>
    </row>
    <row r="14723" spans="1:9" x14ac:dyDescent="0.25">
      <c r="A14723">
        <v>4141</v>
      </c>
      <c r="B14723">
        <v>60</v>
      </c>
      <c r="C14723" t="s">
        <v>946</v>
      </c>
      <c r="D14723" t="s">
        <v>1026</v>
      </c>
      <c r="E14723" t="s">
        <v>976</v>
      </c>
      <c r="F14723" t="s">
        <v>948</v>
      </c>
      <c r="G14723">
        <v>6077777</v>
      </c>
      <c r="H14723">
        <v>501010</v>
      </c>
      <c r="I14723">
        <v>73</v>
      </c>
    </row>
    <row r="14724" spans="1:9" x14ac:dyDescent="0.25">
      <c r="A14724">
        <v>4220</v>
      </c>
      <c r="B14724">
        <v>60</v>
      </c>
      <c r="C14724" t="s">
        <v>946</v>
      </c>
      <c r="D14724" t="s">
        <v>1026</v>
      </c>
      <c r="E14724" t="s">
        <v>976</v>
      </c>
      <c r="F14724" t="s">
        <v>948</v>
      </c>
      <c r="G14724">
        <v>6077777</v>
      </c>
      <c r="H14724">
        <v>501010</v>
      </c>
      <c r="I14724">
        <v>73</v>
      </c>
    </row>
    <row r="14725" spans="1:9" x14ac:dyDescent="0.25">
      <c r="A14725">
        <v>4230</v>
      </c>
      <c r="B14725">
        <v>60</v>
      </c>
      <c r="C14725" t="s">
        <v>946</v>
      </c>
      <c r="D14725" t="s">
        <v>1026</v>
      </c>
      <c r="E14725" t="s">
        <v>976</v>
      </c>
      <c r="F14725" t="s">
        <v>948</v>
      </c>
      <c r="G14725">
        <v>6099999</v>
      </c>
      <c r="H14725">
        <v>401915</v>
      </c>
      <c r="I14725">
        <v>73</v>
      </c>
    </row>
    <row r="14726" spans="1:9" x14ac:dyDescent="0.25">
      <c r="A14726">
        <v>4240</v>
      </c>
      <c r="B14726">
        <v>60</v>
      </c>
      <c r="C14726" t="s">
        <v>946</v>
      </c>
      <c r="D14726" t="s">
        <v>1026</v>
      </c>
      <c r="E14726" t="s">
        <v>976</v>
      </c>
      <c r="F14726" t="s">
        <v>948</v>
      </c>
      <c r="G14726">
        <v>6000000</v>
      </c>
      <c r="H14726">
        <v>141000</v>
      </c>
      <c r="I14726" t="s">
        <v>977</v>
      </c>
    </row>
    <row r="14727" spans="1:9" x14ac:dyDescent="0.25">
      <c r="A14727">
        <v>4141</v>
      </c>
      <c r="B14727">
        <v>60</v>
      </c>
      <c r="C14727" t="s">
        <v>946</v>
      </c>
      <c r="D14727" t="s">
        <v>1026</v>
      </c>
      <c r="E14727" t="s">
        <v>290</v>
      </c>
      <c r="F14727" t="s">
        <v>948</v>
      </c>
      <c r="G14727">
        <v>6077777</v>
      </c>
      <c r="H14727">
        <v>501010</v>
      </c>
      <c r="I14727">
        <v>73</v>
      </c>
    </row>
    <row r="14728" spans="1:9" x14ac:dyDescent="0.25">
      <c r="A14728">
        <v>4220</v>
      </c>
      <c r="B14728">
        <v>60</v>
      </c>
      <c r="C14728" t="s">
        <v>946</v>
      </c>
      <c r="D14728" t="s">
        <v>1026</v>
      </c>
      <c r="E14728" t="s">
        <v>290</v>
      </c>
      <c r="F14728" t="s">
        <v>948</v>
      </c>
      <c r="G14728">
        <v>6077777</v>
      </c>
      <c r="H14728">
        <v>501010</v>
      </c>
      <c r="I14728">
        <v>73</v>
      </c>
    </row>
    <row r="14729" spans="1:9" x14ac:dyDescent="0.25">
      <c r="A14729">
        <v>4230</v>
      </c>
      <c r="B14729">
        <v>60</v>
      </c>
      <c r="C14729" t="s">
        <v>946</v>
      </c>
      <c r="D14729" t="s">
        <v>1026</v>
      </c>
      <c r="E14729" t="s">
        <v>290</v>
      </c>
      <c r="F14729" t="s">
        <v>948</v>
      </c>
      <c r="G14729">
        <v>6099999</v>
      </c>
      <c r="H14729">
        <v>401045</v>
      </c>
      <c r="I14729">
        <v>73</v>
      </c>
    </row>
    <row r="14730" spans="1:9" x14ac:dyDescent="0.25">
      <c r="A14730">
        <v>4240</v>
      </c>
      <c r="B14730">
        <v>60</v>
      </c>
      <c r="C14730" t="s">
        <v>946</v>
      </c>
      <c r="D14730" t="s">
        <v>1026</v>
      </c>
      <c r="E14730" t="s">
        <v>290</v>
      </c>
      <c r="F14730" t="s">
        <v>948</v>
      </c>
      <c r="G14730">
        <v>6000000</v>
      </c>
      <c r="H14730">
        <v>143000</v>
      </c>
      <c r="I14730" t="s">
        <v>978</v>
      </c>
    </row>
    <row r="14731" spans="1:9" x14ac:dyDescent="0.25">
      <c r="A14731">
        <v>4141</v>
      </c>
      <c r="B14731">
        <v>60</v>
      </c>
      <c r="C14731" t="s">
        <v>946</v>
      </c>
      <c r="D14731" t="s">
        <v>1026</v>
      </c>
      <c r="E14731" t="s">
        <v>294</v>
      </c>
      <c r="F14731" t="s">
        <v>948</v>
      </c>
      <c r="G14731">
        <v>6077777</v>
      </c>
      <c r="H14731">
        <v>501010</v>
      </c>
      <c r="I14731">
        <v>73</v>
      </c>
    </row>
    <row r="14732" spans="1:9" x14ac:dyDescent="0.25">
      <c r="A14732">
        <v>4220</v>
      </c>
      <c r="B14732">
        <v>60</v>
      </c>
      <c r="C14732" t="s">
        <v>946</v>
      </c>
      <c r="D14732" t="s">
        <v>1026</v>
      </c>
      <c r="E14732" t="s">
        <v>294</v>
      </c>
      <c r="F14732" t="s">
        <v>948</v>
      </c>
      <c r="G14732">
        <v>6077777</v>
      </c>
      <c r="H14732">
        <v>501010</v>
      </c>
      <c r="I14732">
        <v>73</v>
      </c>
    </row>
    <row r="14733" spans="1:9" x14ac:dyDescent="0.25">
      <c r="A14733">
        <v>4230</v>
      </c>
      <c r="B14733">
        <v>60</v>
      </c>
      <c r="C14733" t="s">
        <v>946</v>
      </c>
      <c r="D14733" t="s">
        <v>1026</v>
      </c>
      <c r="E14733" t="s">
        <v>294</v>
      </c>
      <c r="F14733" t="s">
        <v>948</v>
      </c>
      <c r="G14733">
        <v>6099999</v>
      </c>
      <c r="H14733">
        <v>401045</v>
      </c>
      <c r="I14733">
        <v>73</v>
      </c>
    </row>
    <row r="14734" spans="1:9" x14ac:dyDescent="0.25">
      <c r="A14734">
        <v>4240</v>
      </c>
      <c r="B14734">
        <v>60</v>
      </c>
      <c r="C14734" t="s">
        <v>946</v>
      </c>
      <c r="D14734" t="s">
        <v>1026</v>
      </c>
      <c r="E14734" t="s">
        <v>294</v>
      </c>
      <c r="F14734" t="s">
        <v>948</v>
      </c>
      <c r="G14734">
        <v>6000000</v>
      </c>
      <c r="H14734">
        <v>143000</v>
      </c>
      <c r="I14734" t="s">
        <v>979</v>
      </c>
    </row>
    <row r="14735" spans="1:9" x14ac:dyDescent="0.25">
      <c r="A14735">
        <v>4230</v>
      </c>
      <c r="B14735">
        <v>60</v>
      </c>
      <c r="C14735" t="s">
        <v>946</v>
      </c>
      <c r="D14735" t="s">
        <v>1026</v>
      </c>
      <c r="E14735" t="s">
        <v>298</v>
      </c>
      <c r="F14735" t="s">
        <v>948</v>
      </c>
      <c r="G14735">
        <v>6099999</v>
      </c>
      <c r="H14735">
        <v>402085</v>
      </c>
      <c r="I14735">
        <v>73</v>
      </c>
    </row>
    <row r="14736" spans="1:9" x14ac:dyDescent="0.25">
      <c r="A14736">
        <v>4141</v>
      </c>
      <c r="B14736">
        <v>60</v>
      </c>
      <c r="C14736" t="s">
        <v>946</v>
      </c>
      <c r="D14736" t="s">
        <v>1026</v>
      </c>
      <c r="E14736" t="s">
        <v>980</v>
      </c>
      <c r="F14736" t="s">
        <v>948</v>
      </c>
      <c r="G14736">
        <v>6077777</v>
      </c>
      <c r="H14736">
        <v>501010</v>
      </c>
      <c r="I14736">
        <v>73</v>
      </c>
    </row>
    <row r="14737" spans="1:9" x14ac:dyDescent="0.25">
      <c r="A14737">
        <v>4220</v>
      </c>
      <c r="B14737">
        <v>60</v>
      </c>
      <c r="C14737" t="s">
        <v>946</v>
      </c>
      <c r="D14737" t="s">
        <v>1026</v>
      </c>
      <c r="E14737" t="s">
        <v>980</v>
      </c>
      <c r="F14737" t="s">
        <v>948</v>
      </c>
      <c r="G14737">
        <v>6077777</v>
      </c>
      <c r="H14737">
        <v>501010</v>
      </c>
      <c r="I14737">
        <v>73</v>
      </c>
    </row>
    <row r="14738" spans="1:9" x14ac:dyDescent="0.25">
      <c r="A14738">
        <v>4230</v>
      </c>
      <c r="B14738">
        <v>60</v>
      </c>
      <c r="C14738" t="s">
        <v>946</v>
      </c>
      <c r="D14738" t="s">
        <v>1026</v>
      </c>
      <c r="E14738" t="s">
        <v>980</v>
      </c>
      <c r="F14738" t="s">
        <v>948</v>
      </c>
      <c r="G14738">
        <v>6099999</v>
      </c>
      <c r="H14738">
        <v>401915</v>
      </c>
      <c r="I14738">
        <v>73</v>
      </c>
    </row>
    <row r="14739" spans="1:9" x14ac:dyDescent="0.25">
      <c r="A14739">
        <v>4240</v>
      </c>
      <c r="B14739">
        <v>60</v>
      </c>
      <c r="C14739" t="s">
        <v>946</v>
      </c>
      <c r="D14739" t="s">
        <v>1026</v>
      </c>
      <c r="E14739" t="s">
        <v>980</v>
      </c>
      <c r="F14739" t="s">
        <v>948</v>
      </c>
      <c r="G14739">
        <v>6000000</v>
      </c>
      <c r="H14739">
        <v>141000</v>
      </c>
      <c r="I14739" t="s">
        <v>981</v>
      </c>
    </row>
    <row r="14740" spans="1:9" x14ac:dyDescent="0.25">
      <c r="A14740">
        <v>4141</v>
      </c>
      <c r="B14740">
        <v>60</v>
      </c>
      <c r="C14740" t="s">
        <v>946</v>
      </c>
      <c r="D14740" t="s">
        <v>1026</v>
      </c>
      <c r="E14740" t="s">
        <v>302</v>
      </c>
      <c r="F14740" t="s">
        <v>948</v>
      </c>
      <c r="G14740">
        <v>6077777</v>
      </c>
      <c r="H14740">
        <v>501010</v>
      </c>
      <c r="I14740">
        <v>73</v>
      </c>
    </row>
    <row r="14741" spans="1:9" x14ac:dyDescent="0.25">
      <c r="A14741">
        <v>4220</v>
      </c>
      <c r="B14741">
        <v>60</v>
      </c>
      <c r="C14741" t="s">
        <v>946</v>
      </c>
      <c r="D14741" t="s">
        <v>1026</v>
      </c>
      <c r="E14741" t="s">
        <v>302</v>
      </c>
      <c r="F14741" t="s">
        <v>948</v>
      </c>
      <c r="G14741">
        <v>6077777</v>
      </c>
      <c r="H14741">
        <v>501010</v>
      </c>
      <c r="I14741">
        <v>73</v>
      </c>
    </row>
    <row r="14742" spans="1:9" x14ac:dyDescent="0.25">
      <c r="A14742">
        <v>4230</v>
      </c>
      <c r="B14742">
        <v>60</v>
      </c>
      <c r="C14742" t="s">
        <v>946</v>
      </c>
      <c r="D14742" t="s">
        <v>1026</v>
      </c>
      <c r="E14742" t="s">
        <v>302</v>
      </c>
      <c r="F14742" t="s">
        <v>948</v>
      </c>
      <c r="G14742">
        <v>6099999</v>
      </c>
      <c r="H14742">
        <v>401905</v>
      </c>
      <c r="I14742">
        <v>73</v>
      </c>
    </row>
    <row r="14743" spans="1:9" x14ac:dyDescent="0.25">
      <c r="A14743">
        <v>4240</v>
      </c>
      <c r="B14743">
        <v>60</v>
      </c>
      <c r="C14743" t="s">
        <v>946</v>
      </c>
      <c r="D14743" t="s">
        <v>1026</v>
      </c>
      <c r="E14743" t="s">
        <v>302</v>
      </c>
      <c r="F14743" t="s">
        <v>948</v>
      </c>
      <c r="G14743">
        <v>6000000</v>
      </c>
      <c r="H14743">
        <v>143000</v>
      </c>
      <c r="I14743" t="s">
        <v>982</v>
      </c>
    </row>
    <row r="14744" spans="1:9" x14ac:dyDescent="0.25">
      <c r="A14744">
        <v>4141</v>
      </c>
      <c r="B14744">
        <v>60</v>
      </c>
      <c r="C14744" t="s">
        <v>946</v>
      </c>
      <c r="D14744" t="s">
        <v>1026</v>
      </c>
      <c r="E14744" t="s">
        <v>306</v>
      </c>
      <c r="F14744" t="s">
        <v>948</v>
      </c>
      <c r="G14744">
        <v>6077777</v>
      </c>
      <c r="H14744">
        <v>501010</v>
      </c>
      <c r="I14744">
        <v>73</v>
      </c>
    </row>
    <row r="14745" spans="1:9" x14ac:dyDescent="0.25">
      <c r="A14745">
        <v>4220</v>
      </c>
      <c r="B14745">
        <v>60</v>
      </c>
      <c r="C14745" t="s">
        <v>946</v>
      </c>
      <c r="D14745" t="s">
        <v>1026</v>
      </c>
      <c r="E14745" t="s">
        <v>306</v>
      </c>
      <c r="F14745" t="s">
        <v>948</v>
      </c>
      <c r="G14745">
        <v>6077777</v>
      </c>
      <c r="H14745">
        <v>501010</v>
      </c>
      <c r="I14745">
        <v>73</v>
      </c>
    </row>
    <row r="14746" spans="1:9" x14ac:dyDescent="0.25">
      <c r="A14746">
        <v>4230</v>
      </c>
      <c r="B14746">
        <v>60</v>
      </c>
      <c r="C14746" t="s">
        <v>946</v>
      </c>
      <c r="D14746" t="s">
        <v>1026</v>
      </c>
      <c r="E14746" t="s">
        <v>306</v>
      </c>
      <c r="F14746" t="s">
        <v>948</v>
      </c>
      <c r="G14746">
        <v>6099999</v>
      </c>
      <c r="H14746">
        <v>401045</v>
      </c>
      <c r="I14746">
        <v>73</v>
      </c>
    </row>
    <row r="14747" spans="1:9" x14ac:dyDescent="0.25">
      <c r="A14747">
        <v>4240</v>
      </c>
      <c r="B14747">
        <v>60</v>
      </c>
      <c r="C14747" t="s">
        <v>946</v>
      </c>
      <c r="D14747" t="s">
        <v>1026</v>
      </c>
      <c r="E14747" t="s">
        <v>306</v>
      </c>
      <c r="F14747" t="s">
        <v>948</v>
      </c>
      <c r="G14747">
        <v>6000000</v>
      </c>
      <c r="H14747">
        <v>143000</v>
      </c>
      <c r="I14747" t="s">
        <v>983</v>
      </c>
    </row>
    <row r="14748" spans="1:9" x14ac:dyDescent="0.25">
      <c r="A14748">
        <v>4141</v>
      </c>
      <c r="B14748">
        <v>60</v>
      </c>
      <c r="C14748" t="s">
        <v>946</v>
      </c>
      <c r="D14748" t="s">
        <v>1026</v>
      </c>
      <c r="E14748" t="s">
        <v>108</v>
      </c>
      <c r="F14748" t="s">
        <v>948</v>
      </c>
      <c r="G14748">
        <v>6077777</v>
      </c>
      <c r="H14748">
        <v>500220</v>
      </c>
      <c r="I14748" t="s">
        <v>949</v>
      </c>
    </row>
    <row r="14749" spans="1:9" x14ac:dyDescent="0.25">
      <c r="A14749">
        <v>4220</v>
      </c>
      <c r="B14749">
        <v>60</v>
      </c>
      <c r="C14749" t="s">
        <v>946</v>
      </c>
      <c r="D14749" t="s">
        <v>1026</v>
      </c>
      <c r="E14749" t="s">
        <v>108</v>
      </c>
      <c r="F14749" t="s">
        <v>948</v>
      </c>
      <c r="G14749">
        <v>6077777</v>
      </c>
      <c r="H14749">
        <v>500220</v>
      </c>
      <c r="I14749" t="s">
        <v>949</v>
      </c>
    </row>
    <row r="14750" spans="1:9" x14ac:dyDescent="0.25">
      <c r="A14750">
        <v>4230</v>
      </c>
      <c r="B14750">
        <v>60</v>
      </c>
      <c r="C14750" t="s">
        <v>946</v>
      </c>
      <c r="D14750" t="s">
        <v>1026</v>
      </c>
      <c r="E14750" t="s">
        <v>108</v>
      </c>
      <c r="F14750" t="s">
        <v>948</v>
      </c>
      <c r="G14750">
        <v>6099999</v>
      </c>
      <c r="H14750">
        <v>401045</v>
      </c>
      <c r="I14750">
        <v>73</v>
      </c>
    </row>
    <row r="14751" spans="1:9" x14ac:dyDescent="0.25">
      <c r="A14751">
        <v>4240</v>
      </c>
      <c r="B14751">
        <v>60</v>
      </c>
      <c r="C14751" t="s">
        <v>946</v>
      </c>
      <c r="D14751" t="s">
        <v>1026</v>
      </c>
      <c r="E14751" t="s">
        <v>108</v>
      </c>
      <c r="F14751" t="s">
        <v>948</v>
      </c>
      <c r="G14751">
        <v>6077777</v>
      </c>
      <c r="H14751">
        <v>500221</v>
      </c>
      <c r="I14751" t="s">
        <v>949</v>
      </c>
    </row>
    <row r="14752" spans="1:9" x14ac:dyDescent="0.25">
      <c r="A14752">
        <v>4141</v>
      </c>
      <c r="B14752">
        <v>60</v>
      </c>
      <c r="C14752" t="s">
        <v>946</v>
      </c>
      <c r="D14752" t="s">
        <v>1026</v>
      </c>
      <c r="E14752" t="s">
        <v>310</v>
      </c>
      <c r="F14752" t="s">
        <v>948</v>
      </c>
      <c r="G14752">
        <v>6077777</v>
      </c>
      <c r="H14752">
        <v>501010</v>
      </c>
      <c r="I14752">
        <v>73</v>
      </c>
    </row>
    <row r="14753" spans="1:9" x14ac:dyDescent="0.25">
      <c r="A14753">
        <v>4220</v>
      </c>
      <c r="B14753">
        <v>60</v>
      </c>
      <c r="C14753" t="s">
        <v>946</v>
      </c>
      <c r="D14753" t="s">
        <v>1026</v>
      </c>
      <c r="E14753" t="s">
        <v>310</v>
      </c>
      <c r="F14753" t="s">
        <v>948</v>
      </c>
      <c r="G14753">
        <v>6077777</v>
      </c>
      <c r="H14753">
        <v>501010</v>
      </c>
      <c r="I14753">
        <v>73</v>
      </c>
    </row>
    <row r="14754" spans="1:9" x14ac:dyDescent="0.25">
      <c r="A14754">
        <v>4230</v>
      </c>
      <c r="B14754">
        <v>60</v>
      </c>
      <c r="C14754" t="s">
        <v>946</v>
      </c>
      <c r="D14754" t="s">
        <v>1026</v>
      </c>
      <c r="E14754" t="s">
        <v>310</v>
      </c>
      <c r="F14754" t="s">
        <v>948</v>
      </c>
      <c r="G14754">
        <v>6099999</v>
      </c>
      <c r="H14754">
        <v>401015</v>
      </c>
      <c r="I14754">
        <v>73</v>
      </c>
    </row>
    <row r="14755" spans="1:9" x14ac:dyDescent="0.25">
      <c r="A14755">
        <v>4240</v>
      </c>
      <c r="B14755">
        <v>60</v>
      </c>
      <c r="C14755" t="s">
        <v>946</v>
      </c>
      <c r="D14755" t="s">
        <v>1026</v>
      </c>
      <c r="E14755" t="s">
        <v>310</v>
      </c>
      <c r="F14755" t="s">
        <v>948</v>
      </c>
      <c r="G14755">
        <v>6000000</v>
      </c>
      <c r="H14755">
        <v>145000</v>
      </c>
      <c r="I14755" t="s">
        <v>949</v>
      </c>
    </row>
    <row r="14756" spans="1:9" x14ac:dyDescent="0.25">
      <c r="A14756">
        <v>4141</v>
      </c>
      <c r="B14756">
        <v>60</v>
      </c>
      <c r="C14756" t="s">
        <v>946</v>
      </c>
      <c r="D14756" t="s">
        <v>1026</v>
      </c>
      <c r="E14756" t="s">
        <v>314</v>
      </c>
      <c r="F14756" t="s">
        <v>948</v>
      </c>
      <c r="G14756">
        <v>6077777</v>
      </c>
      <c r="H14756">
        <v>501010</v>
      </c>
      <c r="I14756">
        <v>73</v>
      </c>
    </row>
    <row r="14757" spans="1:9" x14ac:dyDescent="0.25">
      <c r="A14757">
        <v>4220</v>
      </c>
      <c r="B14757">
        <v>60</v>
      </c>
      <c r="C14757" t="s">
        <v>946</v>
      </c>
      <c r="D14757" t="s">
        <v>1026</v>
      </c>
      <c r="E14757" t="s">
        <v>314</v>
      </c>
      <c r="F14757" t="s">
        <v>948</v>
      </c>
      <c r="G14757">
        <v>6077777</v>
      </c>
      <c r="H14757">
        <v>501010</v>
      </c>
      <c r="I14757">
        <v>73</v>
      </c>
    </row>
    <row r="14758" spans="1:9" x14ac:dyDescent="0.25">
      <c r="A14758">
        <v>4230</v>
      </c>
      <c r="B14758">
        <v>60</v>
      </c>
      <c r="C14758" t="s">
        <v>946</v>
      </c>
      <c r="D14758" t="s">
        <v>1026</v>
      </c>
      <c r="E14758" t="s">
        <v>314</v>
      </c>
      <c r="F14758" t="s">
        <v>948</v>
      </c>
      <c r="G14758">
        <v>6099999</v>
      </c>
      <c r="H14758">
        <v>401065</v>
      </c>
      <c r="I14758">
        <v>73</v>
      </c>
    </row>
    <row r="14759" spans="1:9" x14ac:dyDescent="0.25">
      <c r="A14759">
        <v>4240</v>
      </c>
      <c r="B14759">
        <v>60</v>
      </c>
      <c r="C14759" t="s">
        <v>946</v>
      </c>
      <c r="D14759" t="s">
        <v>1026</v>
      </c>
      <c r="E14759" t="s">
        <v>314</v>
      </c>
      <c r="F14759" t="s">
        <v>948</v>
      </c>
      <c r="G14759">
        <v>6000000</v>
      </c>
      <c r="H14759">
        <v>145000</v>
      </c>
      <c r="I14759" t="s">
        <v>949</v>
      </c>
    </row>
    <row r="14760" spans="1:9" x14ac:dyDescent="0.25">
      <c r="A14760">
        <v>4141</v>
      </c>
      <c r="B14760">
        <v>60</v>
      </c>
      <c r="C14760" t="s">
        <v>946</v>
      </c>
      <c r="D14760" t="s">
        <v>1026</v>
      </c>
      <c r="E14760" t="s">
        <v>113</v>
      </c>
      <c r="F14760" t="s">
        <v>948</v>
      </c>
      <c r="G14760">
        <v>6077777</v>
      </c>
      <c r="H14760">
        <v>500220</v>
      </c>
      <c r="I14760" t="s">
        <v>949</v>
      </c>
    </row>
    <row r="14761" spans="1:9" x14ac:dyDescent="0.25">
      <c r="A14761">
        <v>4220</v>
      </c>
      <c r="B14761">
        <v>60</v>
      </c>
      <c r="C14761" t="s">
        <v>946</v>
      </c>
      <c r="D14761" t="s">
        <v>1026</v>
      </c>
      <c r="E14761" t="s">
        <v>113</v>
      </c>
      <c r="F14761" t="s">
        <v>948</v>
      </c>
      <c r="G14761">
        <v>6077777</v>
      </c>
      <c r="H14761">
        <v>500220</v>
      </c>
      <c r="I14761" t="s">
        <v>949</v>
      </c>
    </row>
    <row r="14762" spans="1:9" x14ac:dyDescent="0.25">
      <c r="A14762">
        <v>4230</v>
      </c>
      <c r="B14762">
        <v>60</v>
      </c>
      <c r="C14762" t="s">
        <v>946</v>
      </c>
      <c r="D14762" t="s">
        <v>1026</v>
      </c>
      <c r="E14762" t="s">
        <v>113</v>
      </c>
      <c r="F14762" t="s">
        <v>948</v>
      </c>
      <c r="G14762">
        <v>6099999</v>
      </c>
      <c r="H14762">
        <v>402085</v>
      </c>
      <c r="I14762">
        <v>73</v>
      </c>
    </row>
    <row r="14763" spans="1:9" x14ac:dyDescent="0.25">
      <c r="A14763">
        <v>4240</v>
      </c>
      <c r="B14763">
        <v>60</v>
      </c>
      <c r="C14763" t="s">
        <v>946</v>
      </c>
      <c r="D14763" t="s">
        <v>1026</v>
      </c>
      <c r="E14763" t="s">
        <v>113</v>
      </c>
      <c r="F14763" t="s">
        <v>948</v>
      </c>
      <c r="G14763">
        <v>6077777</v>
      </c>
      <c r="H14763">
        <v>500221</v>
      </c>
      <c r="I14763" t="s">
        <v>949</v>
      </c>
    </row>
    <row r="14764" spans="1:9" x14ac:dyDescent="0.25">
      <c r="A14764">
        <v>4141</v>
      </c>
      <c r="B14764">
        <v>60</v>
      </c>
      <c r="C14764" t="s">
        <v>946</v>
      </c>
      <c r="D14764" t="s">
        <v>1026</v>
      </c>
      <c r="E14764" t="s">
        <v>117</v>
      </c>
      <c r="F14764" t="s">
        <v>948</v>
      </c>
      <c r="G14764">
        <v>6077777</v>
      </c>
      <c r="H14764">
        <v>500220</v>
      </c>
      <c r="I14764" t="s">
        <v>949</v>
      </c>
    </row>
    <row r="14765" spans="1:9" x14ac:dyDescent="0.25">
      <c r="A14765">
        <v>4220</v>
      </c>
      <c r="B14765">
        <v>60</v>
      </c>
      <c r="C14765" t="s">
        <v>946</v>
      </c>
      <c r="D14765" t="s">
        <v>1026</v>
      </c>
      <c r="E14765" t="s">
        <v>117</v>
      </c>
      <c r="F14765" t="s">
        <v>948</v>
      </c>
      <c r="G14765">
        <v>6077777</v>
      </c>
      <c r="H14765">
        <v>500220</v>
      </c>
      <c r="I14765" t="s">
        <v>949</v>
      </c>
    </row>
    <row r="14766" spans="1:9" x14ac:dyDescent="0.25">
      <c r="A14766">
        <v>4230</v>
      </c>
      <c r="B14766">
        <v>60</v>
      </c>
      <c r="C14766" t="s">
        <v>946</v>
      </c>
      <c r="D14766" t="s">
        <v>1026</v>
      </c>
      <c r="E14766" t="s">
        <v>117</v>
      </c>
      <c r="F14766" t="s">
        <v>948</v>
      </c>
      <c r="G14766">
        <v>6088888</v>
      </c>
      <c r="H14766">
        <v>810600</v>
      </c>
      <c r="I14766">
        <v>73</v>
      </c>
    </row>
    <row r="14767" spans="1:9" x14ac:dyDescent="0.25">
      <c r="A14767">
        <v>4240</v>
      </c>
      <c r="B14767">
        <v>60</v>
      </c>
      <c r="C14767" t="s">
        <v>946</v>
      </c>
      <c r="D14767" t="s">
        <v>1026</v>
      </c>
      <c r="E14767" t="s">
        <v>117</v>
      </c>
      <c r="F14767" t="s">
        <v>948</v>
      </c>
      <c r="G14767">
        <v>6077777</v>
      </c>
      <c r="H14767">
        <v>500221</v>
      </c>
      <c r="I14767" t="s">
        <v>949</v>
      </c>
    </row>
    <row r="14768" spans="1:9" x14ac:dyDescent="0.25">
      <c r="A14768">
        <v>4141</v>
      </c>
      <c r="B14768">
        <v>60</v>
      </c>
      <c r="C14768" t="s">
        <v>946</v>
      </c>
      <c r="D14768" t="s">
        <v>1026</v>
      </c>
      <c r="E14768" t="s">
        <v>121</v>
      </c>
      <c r="F14768" t="s">
        <v>948</v>
      </c>
      <c r="G14768">
        <v>6077777</v>
      </c>
      <c r="H14768">
        <v>500220</v>
      </c>
      <c r="I14768" t="s">
        <v>949</v>
      </c>
    </row>
    <row r="14769" spans="1:9" x14ac:dyDescent="0.25">
      <c r="A14769">
        <v>4220</v>
      </c>
      <c r="B14769">
        <v>60</v>
      </c>
      <c r="C14769" t="s">
        <v>946</v>
      </c>
      <c r="D14769" t="s">
        <v>1026</v>
      </c>
      <c r="E14769" t="s">
        <v>121</v>
      </c>
      <c r="F14769" t="s">
        <v>948</v>
      </c>
      <c r="G14769">
        <v>6077777</v>
      </c>
      <c r="H14769">
        <v>500220</v>
      </c>
      <c r="I14769" t="s">
        <v>949</v>
      </c>
    </row>
    <row r="14770" spans="1:9" x14ac:dyDescent="0.25">
      <c r="A14770">
        <v>4230</v>
      </c>
      <c r="B14770">
        <v>60</v>
      </c>
      <c r="C14770" t="s">
        <v>946</v>
      </c>
      <c r="D14770" t="s">
        <v>1026</v>
      </c>
      <c r="E14770" t="s">
        <v>121</v>
      </c>
      <c r="F14770" t="s">
        <v>948</v>
      </c>
      <c r="G14770">
        <v>6099999</v>
      </c>
      <c r="H14770">
        <v>401045</v>
      </c>
      <c r="I14770">
        <v>73</v>
      </c>
    </row>
    <row r="14771" spans="1:9" x14ac:dyDescent="0.25">
      <c r="A14771">
        <v>4240</v>
      </c>
      <c r="B14771">
        <v>60</v>
      </c>
      <c r="C14771" t="s">
        <v>946</v>
      </c>
      <c r="D14771" t="s">
        <v>1026</v>
      </c>
      <c r="E14771" t="s">
        <v>121</v>
      </c>
      <c r="F14771" t="s">
        <v>948</v>
      </c>
      <c r="G14771">
        <v>6077777</v>
      </c>
      <c r="H14771">
        <v>500221</v>
      </c>
      <c r="I14771" t="s">
        <v>949</v>
      </c>
    </row>
    <row r="14772" spans="1:9" x14ac:dyDescent="0.25">
      <c r="A14772">
        <v>4141</v>
      </c>
      <c r="B14772">
        <v>60</v>
      </c>
      <c r="C14772" t="s">
        <v>946</v>
      </c>
      <c r="D14772" t="s">
        <v>1026</v>
      </c>
      <c r="E14772" t="s">
        <v>984</v>
      </c>
      <c r="F14772" t="s">
        <v>948</v>
      </c>
      <c r="G14772">
        <v>6077777</v>
      </c>
      <c r="H14772">
        <v>501010</v>
      </c>
      <c r="I14772">
        <v>73</v>
      </c>
    </row>
    <row r="14773" spans="1:9" x14ac:dyDescent="0.25">
      <c r="A14773">
        <v>4220</v>
      </c>
      <c r="B14773">
        <v>60</v>
      </c>
      <c r="C14773" t="s">
        <v>946</v>
      </c>
      <c r="D14773" t="s">
        <v>1026</v>
      </c>
      <c r="E14773" t="s">
        <v>984</v>
      </c>
      <c r="F14773" t="s">
        <v>948</v>
      </c>
      <c r="G14773">
        <v>6077777</v>
      </c>
      <c r="H14773">
        <v>501010</v>
      </c>
      <c r="I14773">
        <v>73</v>
      </c>
    </row>
    <row r="14774" spans="1:9" x14ac:dyDescent="0.25">
      <c r="A14774">
        <v>4230</v>
      </c>
      <c r="B14774">
        <v>60</v>
      </c>
      <c r="C14774" t="s">
        <v>946</v>
      </c>
      <c r="D14774" t="s">
        <v>1026</v>
      </c>
      <c r="E14774" t="s">
        <v>984</v>
      </c>
      <c r="F14774" t="s">
        <v>948</v>
      </c>
      <c r="G14774">
        <v>6099999</v>
      </c>
      <c r="H14774">
        <v>401915</v>
      </c>
      <c r="I14774">
        <v>73</v>
      </c>
    </row>
    <row r="14775" spans="1:9" x14ac:dyDescent="0.25">
      <c r="A14775">
        <v>4240</v>
      </c>
      <c r="B14775">
        <v>60</v>
      </c>
      <c r="C14775" t="s">
        <v>946</v>
      </c>
      <c r="D14775" t="s">
        <v>1026</v>
      </c>
      <c r="E14775" t="s">
        <v>984</v>
      </c>
      <c r="F14775" t="s">
        <v>948</v>
      </c>
      <c r="G14775">
        <v>6000000</v>
      </c>
      <c r="H14775">
        <v>141000</v>
      </c>
      <c r="I14775" t="s">
        <v>985</v>
      </c>
    </row>
    <row r="14776" spans="1:9" x14ac:dyDescent="0.25">
      <c r="A14776">
        <v>4141</v>
      </c>
      <c r="B14776">
        <v>60</v>
      </c>
      <c r="C14776" t="s">
        <v>946</v>
      </c>
      <c r="D14776" t="s">
        <v>1027</v>
      </c>
      <c r="E14776" t="s">
        <v>243</v>
      </c>
      <c r="F14776" t="s">
        <v>948</v>
      </c>
      <c r="G14776">
        <v>6077777</v>
      </c>
      <c r="H14776">
        <v>501010</v>
      </c>
      <c r="I14776">
        <v>72</v>
      </c>
    </row>
    <row r="14777" spans="1:9" x14ac:dyDescent="0.25">
      <c r="A14777">
        <v>4220</v>
      </c>
      <c r="B14777">
        <v>60</v>
      </c>
      <c r="C14777" t="s">
        <v>946</v>
      </c>
      <c r="D14777" t="s">
        <v>1027</v>
      </c>
      <c r="E14777" t="s">
        <v>243</v>
      </c>
      <c r="F14777" t="s">
        <v>948</v>
      </c>
      <c r="G14777">
        <v>6077777</v>
      </c>
      <c r="H14777">
        <v>501010</v>
      </c>
      <c r="I14777">
        <v>72</v>
      </c>
    </row>
    <row r="14778" spans="1:9" x14ac:dyDescent="0.25">
      <c r="A14778">
        <v>4230</v>
      </c>
      <c r="B14778">
        <v>60</v>
      </c>
      <c r="C14778" t="s">
        <v>946</v>
      </c>
      <c r="D14778" t="s">
        <v>1027</v>
      </c>
      <c r="E14778" t="s">
        <v>243</v>
      </c>
      <c r="F14778" t="s">
        <v>948</v>
      </c>
      <c r="G14778">
        <v>6099999</v>
      </c>
      <c r="H14778">
        <v>401055</v>
      </c>
      <c r="I14778">
        <v>72</v>
      </c>
    </row>
    <row r="14779" spans="1:9" x14ac:dyDescent="0.25">
      <c r="A14779">
        <v>4240</v>
      </c>
      <c r="B14779">
        <v>60</v>
      </c>
      <c r="C14779" t="s">
        <v>946</v>
      </c>
      <c r="D14779" t="s">
        <v>1027</v>
      </c>
      <c r="E14779" t="s">
        <v>243</v>
      </c>
      <c r="F14779" t="s">
        <v>948</v>
      </c>
      <c r="G14779">
        <v>6000000</v>
      </c>
      <c r="H14779">
        <v>145000</v>
      </c>
      <c r="I14779" t="s">
        <v>949</v>
      </c>
    </row>
    <row r="14780" spans="1:9" x14ac:dyDescent="0.25">
      <c r="A14780">
        <v>4141</v>
      </c>
      <c r="B14780">
        <v>60</v>
      </c>
      <c r="C14780" t="s">
        <v>946</v>
      </c>
      <c r="D14780" t="s">
        <v>1027</v>
      </c>
      <c r="E14780" t="s">
        <v>247</v>
      </c>
      <c r="F14780" t="s">
        <v>948</v>
      </c>
      <c r="G14780">
        <v>6077777</v>
      </c>
      <c r="H14780">
        <v>501010</v>
      </c>
      <c r="I14780">
        <v>72</v>
      </c>
    </row>
    <row r="14781" spans="1:9" x14ac:dyDescent="0.25">
      <c r="A14781">
        <v>4220</v>
      </c>
      <c r="B14781">
        <v>60</v>
      </c>
      <c r="C14781" t="s">
        <v>946</v>
      </c>
      <c r="D14781" t="s">
        <v>1027</v>
      </c>
      <c r="E14781" t="s">
        <v>247</v>
      </c>
      <c r="F14781" t="s">
        <v>948</v>
      </c>
      <c r="G14781">
        <v>6077777</v>
      </c>
      <c r="H14781">
        <v>501010</v>
      </c>
      <c r="I14781">
        <v>72</v>
      </c>
    </row>
    <row r="14782" spans="1:9" x14ac:dyDescent="0.25">
      <c r="A14782">
        <v>4230</v>
      </c>
      <c r="B14782">
        <v>60</v>
      </c>
      <c r="C14782" t="s">
        <v>946</v>
      </c>
      <c r="D14782" t="s">
        <v>1027</v>
      </c>
      <c r="E14782" t="s">
        <v>247</v>
      </c>
      <c r="F14782" t="s">
        <v>948</v>
      </c>
      <c r="G14782">
        <v>6099999</v>
      </c>
      <c r="H14782">
        <v>401025</v>
      </c>
      <c r="I14782">
        <v>72</v>
      </c>
    </row>
    <row r="14783" spans="1:9" x14ac:dyDescent="0.25">
      <c r="A14783">
        <v>4240</v>
      </c>
      <c r="B14783">
        <v>60</v>
      </c>
      <c r="C14783" t="s">
        <v>946</v>
      </c>
      <c r="D14783" t="s">
        <v>1027</v>
      </c>
      <c r="E14783" t="s">
        <v>247</v>
      </c>
      <c r="F14783" t="s">
        <v>948</v>
      </c>
      <c r="G14783">
        <v>6000000</v>
      </c>
      <c r="H14783">
        <v>145000</v>
      </c>
      <c r="I14783" t="s">
        <v>949</v>
      </c>
    </row>
    <row r="14784" spans="1:9" x14ac:dyDescent="0.25">
      <c r="A14784">
        <v>4141</v>
      </c>
      <c r="B14784">
        <v>60</v>
      </c>
      <c r="C14784" t="s">
        <v>946</v>
      </c>
      <c r="D14784" t="s">
        <v>1027</v>
      </c>
      <c r="E14784" t="s">
        <v>251</v>
      </c>
      <c r="F14784" t="s">
        <v>948</v>
      </c>
      <c r="G14784">
        <v>6077777</v>
      </c>
      <c r="H14784">
        <v>501010</v>
      </c>
      <c r="I14784">
        <v>72</v>
      </c>
    </row>
    <row r="14785" spans="1:9" x14ac:dyDescent="0.25">
      <c r="A14785">
        <v>4220</v>
      </c>
      <c r="B14785">
        <v>60</v>
      </c>
      <c r="C14785" t="s">
        <v>946</v>
      </c>
      <c r="D14785" t="s">
        <v>1027</v>
      </c>
      <c r="E14785" t="s">
        <v>251</v>
      </c>
      <c r="F14785" t="s">
        <v>948</v>
      </c>
      <c r="G14785">
        <v>6077777</v>
      </c>
      <c r="H14785">
        <v>501010</v>
      </c>
      <c r="I14785">
        <v>72</v>
      </c>
    </row>
    <row r="14786" spans="1:9" x14ac:dyDescent="0.25">
      <c r="A14786">
        <v>4230</v>
      </c>
      <c r="B14786">
        <v>60</v>
      </c>
      <c r="C14786" t="s">
        <v>946</v>
      </c>
      <c r="D14786" t="s">
        <v>1027</v>
      </c>
      <c r="E14786" t="s">
        <v>251</v>
      </c>
      <c r="F14786" t="s">
        <v>948</v>
      </c>
      <c r="G14786">
        <v>6099999</v>
      </c>
      <c r="H14786">
        <v>401045</v>
      </c>
      <c r="I14786">
        <v>72</v>
      </c>
    </row>
    <row r="14787" spans="1:9" x14ac:dyDescent="0.25">
      <c r="A14787">
        <v>4240</v>
      </c>
      <c r="B14787">
        <v>60</v>
      </c>
      <c r="C14787" t="s">
        <v>946</v>
      </c>
      <c r="D14787" t="s">
        <v>1027</v>
      </c>
      <c r="E14787" t="s">
        <v>251</v>
      </c>
      <c r="F14787" t="s">
        <v>948</v>
      </c>
      <c r="G14787">
        <v>6000000</v>
      </c>
      <c r="H14787">
        <v>142000</v>
      </c>
      <c r="I14787" t="s">
        <v>949</v>
      </c>
    </row>
    <row r="14788" spans="1:9" x14ac:dyDescent="0.25">
      <c r="A14788">
        <v>4141</v>
      </c>
      <c r="B14788">
        <v>60</v>
      </c>
      <c r="C14788" t="s">
        <v>946</v>
      </c>
      <c r="D14788" t="s">
        <v>1027</v>
      </c>
      <c r="E14788" t="s">
        <v>969</v>
      </c>
      <c r="F14788" t="s">
        <v>948</v>
      </c>
      <c r="G14788">
        <v>6077777</v>
      </c>
      <c r="H14788">
        <v>501010</v>
      </c>
      <c r="I14788">
        <v>72</v>
      </c>
    </row>
    <row r="14789" spans="1:9" x14ac:dyDescent="0.25">
      <c r="A14789">
        <v>4220</v>
      </c>
      <c r="B14789">
        <v>60</v>
      </c>
      <c r="C14789" t="s">
        <v>946</v>
      </c>
      <c r="D14789" t="s">
        <v>1027</v>
      </c>
      <c r="E14789" t="s">
        <v>969</v>
      </c>
      <c r="F14789" t="s">
        <v>948</v>
      </c>
      <c r="G14789">
        <v>6077777</v>
      </c>
      <c r="H14789">
        <v>501010</v>
      </c>
      <c r="I14789">
        <v>72</v>
      </c>
    </row>
    <row r="14790" spans="1:9" x14ac:dyDescent="0.25">
      <c r="A14790">
        <v>4230</v>
      </c>
      <c r="B14790">
        <v>60</v>
      </c>
      <c r="C14790" t="s">
        <v>946</v>
      </c>
      <c r="D14790" t="s">
        <v>1027</v>
      </c>
      <c r="E14790" t="s">
        <v>969</v>
      </c>
      <c r="F14790" t="s">
        <v>948</v>
      </c>
      <c r="G14790">
        <v>6099999</v>
      </c>
      <c r="H14790">
        <v>401915</v>
      </c>
      <c r="I14790">
        <v>72</v>
      </c>
    </row>
    <row r="14791" spans="1:9" x14ac:dyDescent="0.25">
      <c r="A14791">
        <v>4240</v>
      </c>
      <c r="B14791">
        <v>60</v>
      </c>
      <c r="C14791" t="s">
        <v>946</v>
      </c>
      <c r="D14791" t="s">
        <v>1027</v>
      </c>
      <c r="E14791" t="s">
        <v>969</v>
      </c>
      <c r="F14791" t="s">
        <v>948</v>
      </c>
      <c r="G14791">
        <v>6000000</v>
      </c>
      <c r="H14791">
        <v>141000</v>
      </c>
      <c r="I14791" t="s">
        <v>970</v>
      </c>
    </row>
    <row r="14792" spans="1:9" x14ac:dyDescent="0.25">
      <c r="A14792">
        <v>4141</v>
      </c>
      <c r="B14792">
        <v>60</v>
      </c>
      <c r="C14792" t="s">
        <v>946</v>
      </c>
      <c r="D14792" t="s">
        <v>1027</v>
      </c>
      <c r="E14792" t="s">
        <v>255</v>
      </c>
      <c r="F14792" t="s">
        <v>948</v>
      </c>
      <c r="G14792">
        <v>6077777</v>
      </c>
      <c r="H14792">
        <v>501010</v>
      </c>
      <c r="I14792">
        <v>72</v>
      </c>
    </row>
    <row r="14793" spans="1:9" x14ac:dyDescent="0.25">
      <c r="A14793">
        <v>4220</v>
      </c>
      <c r="B14793">
        <v>60</v>
      </c>
      <c r="C14793" t="s">
        <v>946</v>
      </c>
      <c r="D14793" t="s">
        <v>1027</v>
      </c>
      <c r="E14793" t="s">
        <v>255</v>
      </c>
      <c r="F14793" t="s">
        <v>948</v>
      </c>
      <c r="G14793">
        <v>6077777</v>
      </c>
      <c r="H14793">
        <v>501010</v>
      </c>
      <c r="I14793">
        <v>72</v>
      </c>
    </row>
    <row r="14794" spans="1:9" x14ac:dyDescent="0.25">
      <c r="A14794">
        <v>4230</v>
      </c>
      <c r="B14794">
        <v>60</v>
      </c>
      <c r="C14794" t="s">
        <v>946</v>
      </c>
      <c r="D14794" t="s">
        <v>1027</v>
      </c>
      <c r="E14794" t="s">
        <v>255</v>
      </c>
      <c r="F14794" t="s">
        <v>948</v>
      </c>
      <c r="G14794">
        <v>6099999</v>
      </c>
      <c r="H14794">
        <v>401075</v>
      </c>
      <c r="I14794">
        <v>72</v>
      </c>
    </row>
    <row r="14795" spans="1:9" x14ac:dyDescent="0.25">
      <c r="A14795">
        <v>4240</v>
      </c>
      <c r="B14795">
        <v>60</v>
      </c>
      <c r="C14795" t="s">
        <v>946</v>
      </c>
      <c r="D14795" t="s">
        <v>1027</v>
      </c>
      <c r="E14795" t="s">
        <v>255</v>
      </c>
      <c r="F14795" t="s">
        <v>948</v>
      </c>
      <c r="G14795">
        <v>6000000</v>
      </c>
      <c r="H14795">
        <v>145000</v>
      </c>
      <c r="I14795" t="s">
        <v>949</v>
      </c>
    </row>
    <row r="14796" spans="1:9" x14ac:dyDescent="0.25">
      <c r="A14796">
        <v>4141</v>
      </c>
      <c r="B14796">
        <v>60</v>
      </c>
      <c r="C14796" t="s">
        <v>946</v>
      </c>
      <c r="D14796" t="s">
        <v>1027</v>
      </c>
      <c r="E14796" t="s">
        <v>971</v>
      </c>
      <c r="F14796" t="s">
        <v>948</v>
      </c>
      <c r="G14796">
        <v>6077777</v>
      </c>
      <c r="H14796">
        <v>501010</v>
      </c>
      <c r="I14796">
        <v>72</v>
      </c>
    </row>
    <row r="14797" spans="1:9" x14ac:dyDescent="0.25">
      <c r="A14797">
        <v>4220</v>
      </c>
      <c r="B14797">
        <v>60</v>
      </c>
      <c r="C14797" t="s">
        <v>946</v>
      </c>
      <c r="D14797" t="s">
        <v>1027</v>
      </c>
      <c r="E14797" t="s">
        <v>971</v>
      </c>
      <c r="F14797" t="s">
        <v>948</v>
      </c>
      <c r="G14797">
        <v>6077777</v>
      </c>
      <c r="H14797">
        <v>501010</v>
      </c>
      <c r="I14797">
        <v>72</v>
      </c>
    </row>
    <row r="14798" spans="1:9" x14ac:dyDescent="0.25">
      <c r="A14798">
        <v>4230</v>
      </c>
      <c r="B14798">
        <v>60</v>
      </c>
      <c r="C14798" t="s">
        <v>946</v>
      </c>
      <c r="D14798" t="s">
        <v>1027</v>
      </c>
      <c r="E14798" t="s">
        <v>971</v>
      </c>
      <c r="F14798" t="s">
        <v>948</v>
      </c>
      <c r="G14798">
        <v>6099999</v>
      </c>
      <c r="H14798">
        <v>401915</v>
      </c>
      <c r="I14798">
        <v>72</v>
      </c>
    </row>
    <row r="14799" spans="1:9" x14ac:dyDescent="0.25">
      <c r="A14799">
        <v>4240</v>
      </c>
      <c r="B14799">
        <v>60</v>
      </c>
      <c r="C14799" t="s">
        <v>946</v>
      </c>
      <c r="D14799" t="s">
        <v>1027</v>
      </c>
      <c r="E14799" t="s">
        <v>971</v>
      </c>
      <c r="F14799" t="s">
        <v>948</v>
      </c>
      <c r="G14799">
        <v>6000000</v>
      </c>
      <c r="H14799">
        <v>141000</v>
      </c>
      <c r="I14799" t="s">
        <v>972</v>
      </c>
    </row>
    <row r="14800" spans="1:9" x14ac:dyDescent="0.25">
      <c r="A14800">
        <v>4230</v>
      </c>
      <c r="B14800">
        <v>60</v>
      </c>
      <c r="C14800" t="s">
        <v>946</v>
      </c>
      <c r="D14800" t="s">
        <v>1027</v>
      </c>
      <c r="E14800" t="s">
        <v>259</v>
      </c>
      <c r="F14800" t="s">
        <v>948</v>
      </c>
      <c r="G14800">
        <v>6099999</v>
      </c>
      <c r="H14800">
        <v>409005</v>
      </c>
      <c r="I14800">
        <v>72</v>
      </c>
    </row>
    <row r="14801" spans="1:9" x14ac:dyDescent="0.25">
      <c r="A14801">
        <v>4141</v>
      </c>
      <c r="B14801">
        <v>60</v>
      </c>
      <c r="C14801" t="s">
        <v>946</v>
      </c>
      <c r="D14801" t="s">
        <v>1027</v>
      </c>
      <c r="E14801" t="s">
        <v>263</v>
      </c>
      <c r="F14801" t="s">
        <v>948</v>
      </c>
      <c r="G14801">
        <v>6077777</v>
      </c>
      <c r="H14801">
        <v>501010</v>
      </c>
      <c r="I14801">
        <v>72</v>
      </c>
    </row>
    <row r="14802" spans="1:9" x14ac:dyDescent="0.25">
      <c r="A14802">
        <v>4220</v>
      </c>
      <c r="B14802">
        <v>60</v>
      </c>
      <c r="C14802" t="s">
        <v>946</v>
      </c>
      <c r="D14802" t="s">
        <v>1027</v>
      </c>
      <c r="E14802" t="s">
        <v>263</v>
      </c>
      <c r="F14802" t="s">
        <v>948</v>
      </c>
      <c r="G14802">
        <v>6077777</v>
      </c>
      <c r="H14802">
        <v>501010</v>
      </c>
      <c r="I14802">
        <v>72</v>
      </c>
    </row>
    <row r="14803" spans="1:9" x14ac:dyDescent="0.25">
      <c r="A14803">
        <v>4230</v>
      </c>
      <c r="B14803">
        <v>60</v>
      </c>
      <c r="C14803" t="s">
        <v>946</v>
      </c>
      <c r="D14803" t="s">
        <v>1027</v>
      </c>
      <c r="E14803" t="s">
        <v>263</v>
      </c>
      <c r="F14803" t="s">
        <v>948</v>
      </c>
      <c r="G14803">
        <v>6099999</v>
      </c>
      <c r="H14803">
        <v>401045</v>
      </c>
      <c r="I14803">
        <v>72</v>
      </c>
    </row>
    <row r="14804" spans="1:9" x14ac:dyDescent="0.25">
      <c r="A14804">
        <v>4240</v>
      </c>
      <c r="B14804">
        <v>60</v>
      </c>
      <c r="C14804" t="s">
        <v>946</v>
      </c>
      <c r="D14804" t="s">
        <v>1027</v>
      </c>
      <c r="E14804" t="s">
        <v>263</v>
      </c>
      <c r="F14804" t="s">
        <v>948</v>
      </c>
      <c r="G14804">
        <v>6000000</v>
      </c>
      <c r="H14804">
        <v>145000</v>
      </c>
      <c r="I14804" t="s">
        <v>949</v>
      </c>
    </row>
    <row r="14805" spans="1:9" x14ac:dyDescent="0.25">
      <c r="A14805">
        <v>4141</v>
      </c>
      <c r="B14805">
        <v>60</v>
      </c>
      <c r="C14805" t="s">
        <v>946</v>
      </c>
      <c r="D14805" t="s">
        <v>1027</v>
      </c>
      <c r="E14805" t="s">
        <v>100</v>
      </c>
      <c r="F14805" t="s">
        <v>948</v>
      </c>
      <c r="G14805">
        <v>6077777</v>
      </c>
      <c r="H14805">
        <v>500220</v>
      </c>
      <c r="I14805" t="s">
        <v>949</v>
      </c>
    </row>
    <row r="14806" spans="1:9" x14ac:dyDescent="0.25">
      <c r="A14806">
        <v>4220</v>
      </c>
      <c r="B14806">
        <v>60</v>
      </c>
      <c r="C14806" t="s">
        <v>946</v>
      </c>
      <c r="D14806" t="s">
        <v>1027</v>
      </c>
      <c r="E14806" t="s">
        <v>100</v>
      </c>
      <c r="F14806" t="s">
        <v>948</v>
      </c>
      <c r="G14806">
        <v>6077777</v>
      </c>
      <c r="H14806">
        <v>500220</v>
      </c>
      <c r="I14806" t="s">
        <v>949</v>
      </c>
    </row>
    <row r="14807" spans="1:9" x14ac:dyDescent="0.25">
      <c r="A14807">
        <v>4230</v>
      </c>
      <c r="B14807">
        <v>60</v>
      </c>
      <c r="C14807" t="s">
        <v>946</v>
      </c>
      <c r="D14807" t="s">
        <v>1027</v>
      </c>
      <c r="E14807" t="s">
        <v>100</v>
      </c>
      <c r="F14807" t="s">
        <v>948</v>
      </c>
      <c r="G14807">
        <v>6099999</v>
      </c>
      <c r="H14807">
        <v>401045</v>
      </c>
      <c r="I14807">
        <v>72</v>
      </c>
    </row>
    <row r="14808" spans="1:9" x14ac:dyDescent="0.25">
      <c r="A14808">
        <v>4240</v>
      </c>
      <c r="B14808">
        <v>60</v>
      </c>
      <c r="C14808" t="s">
        <v>946</v>
      </c>
      <c r="D14808" t="s">
        <v>1027</v>
      </c>
      <c r="E14808" t="s">
        <v>100</v>
      </c>
      <c r="F14808" t="s">
        <v>948</v>
      </c>
      <c r="G14808">
        <v>6077777</v>
      </c>
      <c r="H14808">
        <v>500221</v>
      </c>
      <c r="I14808" t="s">
        <v>949</v>
      </c>
    </row>
    <row r="14809" spans="1:9" x14ac:dyDescent="0.25">
      <c r="A14809">
        <v>4141</v>
      </c>
      <c r="B14809">
        <v>60</v>
      </c>
      <c r="C14809" t="s">
        <v>946</v>
      </c>
      <c r="D14809" t="s">
        <v>1027</v>
      </c>
      <c r="E14809" t="s">
        <v>270</v>
      </c>
      <c r="F14809" t="s">
        <v>948</v>
      </c>
      <c r="G14809">
        <v>6077777</v>
      </c>
      <c r="H14809">
        <v>501010</v>
      </c>
      <c r="I14809">
        <v>72</v>
      </c>
    </row>
    <row r="14810" spans="1:9" x14ac:dyDescent="0.25">
      <c r="A14810">
        <v>4220</v>
      </c>
      <c r="B14810">
        <v>60</v>
      </c>
      <c r="C14810" t="s">
        <v>946</v>
      </c>
      <c r="D14810" t="s">
        <v>1027</v>
      </c>
      <c r="E14810" t="s">
        <v>270</v>
      </c>
      <c r="F14810" t="s">
        <v>948</v>
      </c>
      <c r="G14810">
        <v>6077777</v>
      </c>
      <c r="H14810">
        <v>501010</v>
      </c>
      <c r="I14810">
        <v>72</v>
      </c>
    </row>
    <row r="14811" spans="1:9" x14ac:dyDescent="0.25">
      <c r="A14811">
        <v>4230</v>
      </c>
      <c r="B14811">
        <v>60</v>
      </c>
      <c r="C14811" t="s">
        <v>946</v>
      </c>
      <c r="D14811" t="s">
        <v>1027</v>
      </c>
      <c r="E14811" t="s">
        <v>270</v>
      </c>
      <c r="F14811" t="s">
        <v>948</v>
      </c>
      <c r="G14811">
        <v>6099999</v>
      </c>
      <c r="H14811">
        <v>401065</v>
      </c>
      <c r="I14811">
        <v>72</v>
      </c>
    </row>
    <row r="14812" spans="1:9" x14ac:dyDescent="0.25">
      <c r="A14812">
        <v>4240</v>
      </c>
      <c r="B14812">
        <v>60</v>
      </c>
      <c r="C14812" t="s">
        <v>946</v>
      </c>
      <c r="D14812" t="s">
        <v>1027</v>
      </c>
      <c r="E14812" t="s">
        <v>270</v>
      </c>
      <c r="F14812" t="s">
        <v>948</v>
      </c>
      <c r="G14812">
        <v>6000000</v>
      </c>
      <c r="H14812">
        <v>145000</v>
      </c>
      <c r="I14812" t="s">
        <v>949</v>
      </c>
    </row>
    <row r="14813" spans="1:9" x14ac:dyDescent="0.25">
      <c r="A14813">
        <v>4141</v>
      </c>
      <c r="B14813">
        <v>60</v>
      </c>
      <c r="C14813" t="s">
        <v>946</v>
      </c>
      <c r="D14813" t="s">
        <v>1027</v>
      </c>
      <c r="E14813" t="s">
        <v>274</v>
      </c>
      <c r="F14813" t="s">
        <v>948</v>
      </c>
      <c r="G14813">
        <v>6077777</v>
      </c>
      <c r="H14813">
        <v>501010</v>
      </c>
      <c r="I14813">
        <v>72</v>
      </c>
    </row>
    <row r="14814" spans="1:9" x14ac:dyDescent="0.25">
      <c r="A14814">
        <v>4220</v>
      </c>
      <c r="B14814">
        <v>60</v>
      </c>
      <c r="C14814" t="s">
        <v>946</v>
      </c>
      <c r="D14814" t="s">
        <v>1027</v>
      </c>
      <c r="E14814" t="s">
        <v>274</v>
      </c>
      <c r="F14814" t="s">
        <v>948</v>
      </c>
      <c r="G14814">
        <v>6077777</v>
      </c>
      <c r="H14814">
        <v>501010</v>
      </c>
      <c r="I14814">
        <v>72</v>
      </c>
    </row>
    <row r="14815" spans="1:9" x14ac:dyDescent="0.25">
      <c r="A14815">
        <v>4230</v>
      </c>
      <c r="B14815">
        <v>60</v>
      </c>
      <c r="C14815" t="s">
        <v>946</v>
      </c>
      <c r="D14815" t="s">
        <v>1027</v>
      </c>
      <c r="E14815" t="s">
        <v>274</v>
      </c>
      <c r="F14815" t="s">
        <v>948</v>
      </c>
      <c r="G14815">
        <v>6099999</v>
      </c>
      <c r="H14815">
        <v>401045</v>
      </c>
      <c r="I14815">
        <v>72</v>
      </c>
    </row>
    <row r="14816" spans="1:9" x14ac:dyDescent="0.25">
      <c r="A14816">
        <v>4240</v>
      </c>
      <c r="B14816">
        <v>60</v>
      </c>
      <c r="C14816" t="s">
        <v>946</v>
      </c>
      <c r="D14816" t="s">
        <v>1027</v>
      </c>
      <c r="E14816" t="s">
        <v>274</v>
      </c>
      <c r="F14816" t="s">
        <v>948</v>
      </c>
      <c r="G14816">
        <v>6000000</v>
      </c>
      <c r="H14816">
        <v>143000</v>
      </c>
      <c r="I14816" t="s">
        <v>973</v>
      </c>
    </row>
    <row r="14817" spans="1:9" x14ac:dyDescent="0.25">
      <c r="A14817">
        <v>4141</v>
      </c>
      <c r="B14817">
        <v>60</v>
      </c>
      <c r="C14817" t="s">
        <v>946</v>
      </c>
      <c r="D14817" t="s">
        <v>1027</v>
      </c>
      <c r="E14817" t="s">
        <v>974</v>
      </c>
      <c r="F14817" t="s">
        <v>948</v>
      </c>
      <c r="G14817">
        <v>6077777</v>
      </c>
      <c r="H14817">
        <v>501010</v>
      </c>
      <c r="I14817">
        <v>72</v>
      </c>
    </row>
    <row r="14818" spans="1:9" x14ac:dyDescent="0.25">
      <c r="A14818">
        <v>4220</v>
      </c>
      <c r="B14818">
        <v>60</v>
      </c>
      <c r="C14818" t="s">
        <v>946</v>
      </c>
      <c r="D14818" t="s">
        <v>1027</v>
      </c>
      <c r="E14818" t="s">
        <v>974</v>
      </c>
      <c r="F14818" t="s">
        <v>948</v>
      </c>
      <c r="G14818">
        <v>6077777</v>
      </c>
      <c r="H14818">
        <v>501010</v>
      </c>
      <c r="I14818">
        <v>72</v>
      </c>
    </row>
    <row r="14819" spans="1:9" x14ac:dyDescent="0.25">
      <c r="A14819">
        <v>4230</v>
      </c>
      <c r="B14819">
        <v>60</v>
      </c>
      <c r="C14819" t="s">
        <v>946</v>
      </c>
      <c r="D14819" t="s">
        <v>1027</v>
      </c>
      <c r="E14819" t="s">
        <v>974</v>
      </c>
      <c r="F14819" t="s">
        <v>948</v>
      </c>
      <c r="G14819">
        <v>6099999</v>
      </c>
      <c r="H14819">
        <v>401915</v>
      </c>
      <c r="I14819">
        <v>72</v>
      </c>
    </row>
    <row r="14820" spans="1:9" x14ac:dyDescent="0.25">
      <c r="A14820">
        <v>4240</v>
      </c>
      <c r="B14820">
        <v>60</v>
      </c>
      <c r="C14820" t="s">
        <v>946</v>
      </c>
      <c r="D14820" t="s">
        <v>1027</v>
      </c>
      <c r="E14820" t="s">
        <v>974</v>
      </c>
      <c r="F14820" t="s">
        <v>948</v>
      </c>
      <c r="G14820">
        <v>6000000</v>
      </c>
      <c r="H14820">
        <v>141000</v>
      </c>
      <c r="I14820" t="s">
        <v>975</v>
      </c>
    </row>
    <row r="14821" spans="1:9" x14ac:dyDescent="0.25">
      <c r="A14821">
        <v>4141</v>
      </c>
      <c r="B14821">
        <v>60</v>
      </c>
      <c r="C14821" t="s">
        <v>946</v>
      </c>
      <c r="D14821" t="s">
        <v>1027</v>
      </c>
      <c r="E14821" t="s">
        <v>104</v>
      </c>
      <c r="F14821" t="s">
        <v>948</v>
      </c>
      <c r="G14821">
        <v>6077777</v>
      </c>
      <c r="H14821">
        <v>500220</v>
      </c>
      <c r="I14821" t="s">
        <v>949</v>
      </c>
    </row>
    <row r="14822" spans="1:9" x14ac:dyDescent="0.25">
      <c r="A14822">
        <v>4220</v>
      </c>
      <c r="B14822">
        <v>60</v>
      </c>
      <c r="C14822" t="s">
        <v>946</v>
      </c>
      <c r="D14822" t="s">
        <v>1027</v>
      </c>
      <c r="E14822" t="s">
        <v>104</v>
      </c>
      <c r="F14822" t="s">
        <v>948</v>
      </c>
      <c r="G14822">
        <v>6077777</v>
      </c>
      <c r="H14822">
        <v>500220</v>
      </c>
      <c r="I14822" t="s">
        <v>949</v>
      </c>
    </row>
    <row r="14823" spans="1:9" x14ac:dyDescent="0.25">
      <c r="A14823">
        <v>4230</v>
      </c>
      <c r="B14823">
        <v>60</v>
      </c>
      <c r="C14823" t="s">
        <v>946</v>
      </c>
      <c r="D14823" t="s">
        <v>1027</v>
      </c>
      <c r="E14823" t="s">
        <v>104</v>
      </c>
      <c r="F14823" t="s">
        <v>948</v>
      </c>
      <c r="G14823">
        <v>6099999</v>
      </c>
      <c r="H14823">
        <v>401045</v>
      </c>
      <c r="I14823">
        <v>72</v>
      </c>
    </row>
    <row r="14824" spans="1:9" x14ac:dyDescent="0.25">
      <c r="A14824">
        <v>4240</v>
      </c>
      <c r="B14824">
        <v>60</v>
      </c>
      <c r="C14824" t="s">
        <v>946</v>
      </c>
      <c r="D14824" t="s">
        <v>1027</v>
      </c>
      <c r="E14824" t="s">
        <v>104</v>
      </c>
      <c r="F14824" t="s">
        <v>948</v>
      </c>
      <c r="G14824">
        <v>6077777</v>
      </c>
      <c r="H14824">
        <v>500221</v>
      </c>
      <c r="I14824" t="s">
        <v>949</v>
      </c>
    </row>
    <row r="14825" spans="1:9" x14ac:dyDescent="0.25">
      <c r="A14825">
        <v>4141</v>
      </c>
      <c r="B14825">
        <v>60</v>
      </c>
      <c r="C14825" t="s">
        <v>946</v>
      </c>
      <c r="D14825" t="s">
        <v>1027</v>
      </c>
      <c r="E14825" t="s">
        <v>278</v>
      </c>
      <c r="F14825" t="s">
        <v>948</v>
      </c>
      <c r="G14825">
        <v>6077777</v>
      </c>
      <c r="H14825">
        <v>501010</v>
      </c>
      <c r="I14825">
        <v>72</v>
      </c>
    </row>
    <row r="14826" spans="1:9" x14ac:dyDescent="0.25">
      <c r="A14826">
        <v>4220</v>
      </c>
      <c r="B14826">
        <v>60</v>
      </c>
      <c r="C14826" t="s">
        <v>946</v>
      </c>
      <c r="D14826" t="s">
        <v>1027</v>
      </c>
      <c r="E14826" t="s">
        <v>278</v>
      </c>
      <c r="F14826" t="s">
        <v>948</v>
      </c>
      <c r="G14826">
        <v>6077777</v>
      </c>
      <c r="H14826">
        <v>501010</v>
      </c>
      <c r="I14826">
        <v>72</v>
      </c>
    </row>
    <row r="14827" spans="1:9" x14ac:dyDescent="0.25">
      <c r="A14827">
        <v>4230</v>
      </c>
      <c r="B14827">
        <v>60</v>
      </c>
      <c r="C14827" t="s">
        <v>946</v>
      </c>
      <c r="D14827" t="s">
        <v>1027</v>
      </c>
      <c r="E14827" t="s">
        <v>278</v>
      </c>
      <c r="F14827" t="s">
        <v>948</v>
      </c>
      <c r="G14827">
        <v>6099999</v>
      </c>
      <c r="H14827">
        <v>401055</v>
      </c>
      <c r="I14827">
        <v>72</v>
      </c>
    </row>
    <row r="14828" spans="1:9" x14ac:dyDescent="0.25">
      <c r="A14828">
        <v>4240</v>
      </c>
      <c r="B14828">
        <v>60</v>
      </c>
      <c r="C14828" t="s">
        <v>946</v>
      </c>
      <c r="D14828" t="s">
        <v>1027</v>
      </c>
      <c r="E14828" t="s">
        <v>278</v>
      </c>
      <c r="F14828" t="s">
        <v>948</v>
      </c>
      <c r="G14828">
        <v>6000000</v>
      </c>
      <c r="H14828">
        <v>145000</v>
      </c>
      <c r="I14828" t="s">
        <v>949</v>
      </c>
    </row>
    <row r="14829" spans="1:9" x14ac:dyDescent="0.25">
      <c r="A14829">
        <v>4141</v>
      </c>
      <c r="B14829">
        <v>60</v>
      </c>
      <c r="C14829" t="s">
        <v>946</v>
      </c>
      <c r="D14829" t="s">
        <v>1027</v>
      </c>
      <c r="E14829" t="s">
        <v>282</v>
      </c>
      <c r="F14829" t="s">
        <v>948</v>
      </c>
      <c r="G14829">
        <v>6077777</v>
      </c>
      <c r="H14829">
        <v>501010</v>
      </c>
      <c r="I14829">
        <v>72</v>
      </c>
    </row>
    <row r="14830" spans="1:9" x14ac:dyDescent="0.25">
      <c r="A14830">
        <v>4220</v>
      </c>
      <c r="B14830">
        <v>60</v>
      </c>
      <c r="C14830" t="s">
        <v>946</v>
      </c>
      <c r="D14830" t="s">
        <v>1027</v>
      </c>
      <c r="E14830" t="s">
        <v>282</v>
      </c>
      <c r="F14830" t="s">
        <v>948</v>
      </c>
      <c r="G14830">
        <v>6077777</v>
      </c>
      <c r="H14830">
        <v>501010</v>
      </c>
      <c r="I14830">
        <v>72</v>
      </c>
    </row>
    <row r="14831" spans="1:9" x14ac:dyDescent="0.25">
      <c r="A14831">
        <v>4230</v>
      </c>
      <c r="B14831">
        <v>60</v>
      </c>
      <c r="C14831" t="s">
        <v>946</v>
      </c>
      <c r="D14831" t="s">
        <v>1027</v>
      </c>
      <c r="E14831" t="s">
        <v>282</v>
      </c>
      <c r="F14831" t="s">
        <v>948</v>
      </c>
      <c r="G14831">
        <v>6099999</v>
      </c>
      <c r="H14831">
        <v>401045</v>
      </c>
      <c r="I14831">
        <v>72</v>
      </c>
    </row>
    <row r="14832" spans="1:9" x14ac:dyDescent="0.25">
      <c r="A14832">
        <v>4240</v>
      </c>
      <c r="B14832">
        <v>60</v>
      </c>
      <c r="C14832" t="s">
        <v>946</v>
      </c>
      <c r="D14832" t="s">
        <v>1027</v>
      </c>
      <c r="E14832" t="s">
        <v>282</v>
      </c>
      <c r="F14832" t="s">
        <v>948</v>
      </c>
      <c r="G14832">
        <v>6000000</v>
      </c>
      <c r="H14832">
        <v>143100</v>
      </c>
      <c r="I14832" t="s">
        <v>949</v>
      </c>
    </row>
    <row r="14833" spans="1:9" x14ac:dyDescent="0.25">
      <c r="A14833">
        <v>4141</v>
      </c>
      <c r="B14833">
        <v>60</v>
      </c>
      <c r="C14833" t="s">
        <v>946</v>
      </c>
      <c r="D14833" t="s">
        <v>1027</v>
      </c>
      <c r="E14833" t="s">
        <v>286</v>
      </c>
      <c r="F14833" t="s">
        <v>948</v>
      </c>
      <c r="G14833">
        <v>6077777</v>
      </c>
      <c r="H14833">
        <v>501010</v>
      </c>
      <c r="I14833">
        <v>72</v>
      </c>
    </row>
    <row r="14834" spans="1:9" x14ac:dyDescent="0.25">
      <c r="A14834">
        <v>4220</v>
      </c>
      <c r="B14834">
        <v>60</v>
      </c>
      <c r="C14834" t="s">
        <v>946</v>
      </c>
      <c r="D14834" t="s">
        <v>1027</v>
      </c>
      <c r="E14834" t="s">
        <v>286</v>
      </c>
      <c r="F14834" t="s">
        <v>948</v>
      </c>
      <c r="G14834">
        <v>6077777</v>
      </c>
      <c r="H14834">
        <v>501010</v>
      </c>
      <c r="I14834">
        <v>72</v>
      </c>
    </row>
    <row r="14835" spans="1:9" x14ac:dyDescent="0.25">
      <c r="A14835">
        <v>4230</v>
      </c>
      <c r="B14835">
        <v>60</v>
      </c>
      <c r="C14835" t="s">
        <v>946</v>
      </c>
      <c r="D14835" t="s">
        <v>1027</v>
      </c>
      <c r="E14835" t="s">
        <v>286</v>
      </c>
      <c r="F14835" t="s">
        <v>948</v>
      </c>
      <c r="G14835">
        <v>6099999</v>
      </c>
      <c r="H14835">
        <v>401035</v>
      </c>
      <c r="I14835">
        <v>72</v>
      </c>
    </row>
    <row r="14836" spans="1:9" x14ac:dyDescent="0.25">
      <c r="A14836">
        <v>4240</v>
      </c>
      <c r="B14836">
        <v>60</v>
      </c>
      <c r="C14836" t="s">
        <v>946</v>
      </c>
      <c r="D14836" t="s">
        <v>1027</v>
      </c>
      <c r="E14836" t="s">
        <v>286</v>
      </c>
      <c r="F14836" t="s">
        <v>948</v>
      </c>
      <c r="G14836">
        <v>6000000</v>
      </c>
      <c r="H14836">
        <v>145000</v>
      </c>
      <c r="I14836" t="s">
        <v>949</v>
      </c>
    </row>
    <row r="14837" spans="1:9" x14ac:dyDescent="0.25">
      <c r="A14837">
        <v>4141</v>
      </c>
      <c r="B14837">
        <v>60</v>
      </c>
      <c r="C14837" t="s">
        <v>946</v>
      </c>
      <c r="D14837" t="s">
        <v>1027</v>
      </c>
      <c r="E14837" t="s">
        <v>976</v>
      </c>
      <c r="F14837" t="s">
        <v>948</v>
      </c>
      <c r="G14837">
        <v>6077777</v>
      </c>
      <c r="H14837">
        <v>501010</v>
      </c>
      <c r="I14837">
        <v>72</v>
      </c>
    </row>
    <row r="14838" spans="1:9" x14ac:dyDescent="0.25">
      <c r="A14838">
        <v>4220</v>
      </c>
      <c r="B14838">
        <v>60</v>
      </c>
      <c r="C14838" t="s">
        <v>946</v>
      </c>
      <c r="D14838" t="s">
        <v>1027</v>
      </c>
      <c r="E14838" t="s">
        <v>976</v>
      </c>
      <c r="F14838" t="s">
        <v>948</v>
      </c>
      <c r="G14838">
        <v>6077777</v>
      </c>
      <c r="H14838">
        <v>501010</v>
      </c>
      <c r="I14838">
        <v>72</v>
      </c>
    </row>
    <row r="14839" spans="1:9" x14ac:dyDescent="0.25">
      <c r="A14839">
        <v>4230</v>
      </c>
      <c r="B14839">
        <v>60</v>
      </c>
      <c r="C14839" t="s">
        <v>946</v>
      </c>
      <c r="D14839" t="s">
        <v>1027</v>
      </c>
      <c r="E14839" t="s">
        <v>976</v>
      </c>
      <c r="F14839" t="s">
        <v>948</v>
      </c>
      <c r="G14839">
        <v>6099999</v>
      </c>
      <c r="H14839">
        <v>401915</v>
      </c>
      <c r="I14839">
        <v>72</v>
      </c>
    </row>
    <row r="14840" spans="1:9" x14ac:dyDescent="0.25">
      <c r="A14840">
        <v>4240</v>
      </c>
      <c r="B14840">
        <v>60</v>
      </c>
      <c r="C14840" t="s">
        <v>946</v>
      </c>
      <c r="D14840" t="s">
        <v>1027</v>
      </c>
      <c r="E14840" t="s">
        <v>976</v>
      </c>
      <c r="F14840" t="s">
        <v>948</v>
      </c>
      <c r="G14840">
        <v>6000000</v>
      </c>
      <c r="H14840">
        <v>141000</v>
      </c>
      <c r="I14840" t="s">
        <v>977</v>
      </c>
    </row>
    <row r="14841" spans="1:9" x14ac:dyDescent="0.25">
      <c r="A14841">
        <v>4141</v>
      </c>
      <c r="B14841">
        <v>60</v>
      </c>
      <c r="C14841" t="s">
        <v>946</v>
      </c>
      <c r="D14841" t="s">
        <v>1027</v>
      </c>
      <c r="E14841" t="s">
        <v>290</v>
      </c>
      <c r="F14841" t="s">
        <v>948</v>
      </c>
      <c r="G14841">
        <v>6077777</v>
      </c>
      <c r="H14841">
        <v>501010</v>
      </c>
      <c r="I14841">
        <v>72</v>
      </c>
    </row>
    <row r="14842" spans="1:9" x14ac:dyDescent="0.25">
      <c r="A14842">
        <v>4220</v>
      </c>
      <c r="B14842">
        <v>60</v>
      </c>
      <c r="C14842" t="s">
        <v>946</v>
      </c>
      <c r="D14842" t="s">
        <v>1027</v>
      </c>
      <c r="E14842" t="s">
        <v>290</v>
      </c>
      <c r="F14842" t="s">
        <v>948</v>
      </c>
      <c r="G14842">
        <v>6077777</v>
      </c>
      <c r="H14842">
        <v>501010</v>
      </c>
      <c r="I14842">
        <v>72</v>
      </c>
    </row>
    <row r="14843" spans="1:9" x14ac:dyDescent="0.25">
      <c r="A14843">
        <v>4230</v>
      </c>
      <c r="B14843">
        <v>60</v>
      </c>
      <c r="C14843" t="s">
        <v>946</v>
      </c>
      <c r="D14843" t="s">
        <v>1027</v>
      </c>
      <c r="E14843" t="s">
        <v>290</v>
      </c>
      <c r="F14843" t="s">
        <v>948</v>
      </c>
      <c r="G14843">
        <v>6099999</v>
      </c>
      <c r="H14843">
        <v>401045</v>
      </c>
      <c r="I14843">
        <v>72</v>
      </c>
    </row>
    <row r="14844" spans="1:9" x14ac:dyDescent="0.25">
      <c r="A14844">
        <v>4240</v>
      </c>
      <c r="B14844">
        <v>60</v>
      </c>
      <c r="C14844" t="s">
        <v>946</v>
      </c>
      <c r="D14844" t="s">
        <v>1027</v>
      </c>
      <c r="E14844" t="s">
        <v>290</v>
      </c>
      <c r="F14844" t="s">
        <v>948</v>
      </c>
      <c r="G14844">
        <v>6000000</v>
      </c>
      <c r="H14844">
        <v>143000</v>
      </c>
      <c r="I14844" t="s">
        <v>978</v>
      </c>
    </row>
    <row r="14845" spans="1:9" x14ac:dyDescent="0.25">
      <c r="A14845">
        <v>4141</v>
      </c>
      <c r="B14845">
        <v>60</v>
      </c>
      <c r="C14845" t="s">
        <v>946</v>
      </c>
      <c r="D14845" t="s">
        <v>1027</v>
      </c>
      <c r="E14845" t="s">
        <v>294</v>
      </c>
      <c r="F14845" t="s">
        <v>948</v>
      </c>
      <c r="G14845">
        <v>6077777</v>
      </c>
      <c r="H14845">
        <v>501010</v>
      </c>
      <c r="I14845">
        <v>72</v>
      </c>
    </row>
    <row r="14846" spans="1:9" x14ac:dyDescent="0.25">
      <c r="A14846">
        <v>4220</v>
      </c>
      <c r="B14846">
        <v>60</v>
      </c>
      <c r="C14846" t="s">
        <v>946</v>
      </c>
      <c r="D14846" t="s">
        <v>1027</v>
      </c>
      <c r="E14846" t="s">
        <v>294</v>
      </c>
      <c r="F14846" t="s">
        <v>948</v>
      </c>
      <c r="G14846">
        <v>6077777</v>
      </c>
      <c r="H14846">
        <v>501010</v>
      </c>
      <c r="I14846">
        <v>72</v>
      </c>
    </row>
    <row r="14847" spans="1:9" x14ac:dyDescent="0.25">
      <c r="A14847">
        <v>4230</v>
      </c>
      <c r="B14847">
        <v>60</v>
      </c>
      <c r="C14847" t="s">
        <v>946</v>
      </c>
      <c r="D14847" t="s">
        <v>1027</v>
      </c>
      <c r="E14847" t="s">
        <v>294</v>
      </c>
      <c r="F14847" t="s">
        <v>948</v>
      </c>
      <c r="G14847">
        <v>6099999</v>
      </c>
      <c r="H14847">
        <v>401045</v>
      </c>
      <c r="I14847">
        <v>72</v>
      </c>
    </row>
    <row r="14848" spans="1:9" x14ac:dyDescent="0.25">
      <c r="A14848">
        <v>4240</v>
      </c>
      <c r="B14848">
        <v>60</v>
      </c>
      <c r="C14848" t="s">
        <v>946</v>
      </c>
      <c r="D14848" t="s">
        <v>1027</v>
      </c>
      <c r="E14848" t="s">
        <v>294</v>
      </c>
      <c r="F14848" t="s">
        <v>948</v>
      </c>
      <c r="G14848">
        <v>6000000</v>
      </c>
      <c r="H14848">
        <v>143000</v>
      </c>
      <c r="I14848" t="s">
        <v>979</v>
      </c>
    </row>
    <row r="14849" spans="1:9" x14ac:dyDescent="0.25">
      <c r="A14849">
        <v>4230</v>
      </c>
      <c r="B14849">
        <v>60</v>
      </c>
      <c r="C14849" t="s">
        <v>946</v>
      </c>
      <c r="D14849" t="s">
        <v>1027</v>
      </c>
      <c r="E14849" t="s">
        <v>298</v>
      </c>
      <c r="F14849" t="s">
        <v>948</v>
      </c>
      <c r="G14849">
        <v>6099999</v>
      </c>
      <c r="H14849">
        <v>402085</v>
      </c>
      <c r="I14849">
        <v>72</v>
      </c>
    </row>
    <row r="14850" spans="1:9" x14ac:dyDescent="0.25">
      <c r="A14850">
        <v>4141</v>
      </c>
      <c r="B14850">
        <v>60</v>
      </c>
      <c r="C14850" t="s">
        <v>946</v>
      </c>
      <c r="D14850" t="s">
        <v>1027</v>
      </c>
      <c r="E14850" t="s">
        <v>980</v>
      </c>
      <c r="F14850" t="s">
        <v>948</v>
      </c>
      <c r="G14850">
        <v>6077777</v>
      </c>
      <c r="H14850">
        <v>501010</v>
      </c>
      <c r="I14850">
        <v>72</v>
      </c>
    </row>
    <row r="14851" spans="1:9" x14ac:dyDescent="0.25">
      <c r="A14851">
        <v>4220</v>
      </c>
      <c r="B14851">
        <v>60</v>
      </c>
      <c r="C14851" t="s">
        <v>946</v>
      </c>
      <c r="D14851" t="s">
        <v>1027</v>
      </c>
      <c r="E14851" t="s">
        <v>980</v>
      </c>
      <c r="F14851" t="s">
        <v>948</v>
      </c>
      <c r="G14851">
        <v>6077777</v>
      </c>
      <c r="H14851">
        <v>501010</v>
      </c>
      <c r="I14851">
        <v>72</v>
      </c>
    </row>
    <row r="14852" spans="1:9" x14ac:dyDescent="0.25">
      <c r="A14852">
        <v>4230</v>
      </c>
      <c r="B14852">
        <v>60</v>
      </c>
      <c r="C14852" t="s">
        <v>946</v>
      </c>
      <c r="D14852" t="s">
        <v>1027</v>
      </c>
      <c r="E14852" t="s">
        <v>980</v>
      </c>
      <c r="F14852" t="s">
        <v>948</v>
      </c>
      <c r="G14852">
        <v>6099999</v>
      </c>
      <c r="H14852">
        <v>401915</v>
      </c>
      <c r="I14852">
        <v>72</v>
      </c>
    </row>
    <row r="14853" spans="1:9" x14ac:dyDescent="0.25">
      <c r="A14853">
        <v>4240</v>
      </c>
      <c r="B14853">
        <v>60</v>
      </c>
      <c r="C14853" t="s">
        <v>946</v>
      </c>
      <c r="D14853" t="s">
        <v>1027</v>
      </c>
      <c r="E14853" t="s">
        <v>980</v>
      </c>
      <c r="F14853" t="s">
        <v>948</v>
      </c>
      <c r="G14853">
        <v>6000000</v>
      </c>
      <c r="H14853">
        <v>141000</v>
      </c>
      <c r="I14853" t="s">
        <v>981</v>
      </c>
    </row>
    <row r="14854" spans="1:9" x14ac:dyDescent="0.25">
      <c r="A14854">
        <v>4141</v>
      </c>
      <c r="B14854">
        <v>60</v>
      </c>
      <c r="C14854" t="s">
        <v>946</v>
      </c>
      <c r="D14854" t="s">
        <v>1027</v>
      </c>
      <c r="E14854" t="s">
        <v>302</v>
      </c>
      <c r="F14854" t="s">
        <v>948</v>
      </c>
      <c r="G14854">
        <v>6077777</v>
      </c>
      <c r="H14854">
        <v>501010</v>
      </c>
      <c r="I14854">
        <v>72</v>
      </c>
    </row>
    <row r="14855" spans="1:9" x14ac:dyDescent="0.25">
      <c r="A14855">
        <v>4220</v>
      </c>
      <c r="B14855">
        <v>60</v>
      </c>
      <c r="C14855" t="s">
        <v>946</v>
      </c>
      <c r="D14855" t="s">
        <v>1027</v>
      </c>
      <c r="E14855" t="s">
        <v>302</v>
      </c>
      <c r="F14855" t="s">
        <v>948</v>
      </c>
      <c r="G14855">
        <v>6077777</v>
      </c>
      <c r="H14855">
        <v>501010</v>
      </c>
      <c r="I14855">
        <v>72</v>
      </c>
    </row>
    <row r="14856" spans="1:9" x14ac:dyDescent="0.25">
      <c r="A14856">
        <v>4230</v>
      </c>
      <c r="B14856">
        <v>60</v>
      </c>
      <c r="C14856" t="s">
        <v>946</v>
      </c>
      <c r="D14856" t="s">
        <v>1027</v>
      </c>
      <c r="E14856" t="s">
        <v>302</v>
      </c>
      <c r="F14856" t="s">
        <v>948</v>
      </c>
      <c r="G14856">
        <v>6099999</v>
      </c>
      <c r="H14856">
        <v>401905</v>
      </c>
      <c r="I14856">
        <v>72</v>
      </c>
    </row>
    <row r="14857" spans="1:9" x14ac:dyDescent="0.25">
      <c r="A14857">
        <v>4240</v>
      </c>
      <c r="B14857">
        <v>60</v>
      </c>
      <c r="C14857" t="s">
        <v>946</v>
      </c>
      <c r="D14857" t="s">
        <v>1027</v>
      </c>
      <c r="E14857" t="s">
        <v>302</v>
      </c>
      <c r="F14857" t="s">
        <v>948</v>
      </c>
      <c r="G14857">
        <v>6000000</v>
      </c>
      <c r="H14857">
        <v>143000</v>
      </c>
      <c r="I14857" t="s">
        <v>982</v>
      </c>
    </row>
    <row r="14858" spans="1:9" x14ac:dyDescent="0.25">
      <c r="A14858">
        <v>4141</v>
      </c>
      <c r="B14858">
        <v>60</v>
      </c>
      <c r="C14858" t="s">
        <v>946</v>
      </c>
      <c r="D14858" t="s">
        <v>1027</v>
      </c>
      <c r="E14858" t="s">
        <v>306</v>
      </c>
      <c r="F14858" t="s">
        <v>948</v>
      </c>
      <c r="G14858">
        <v>6077777</v>
      </c>
      <c r="H14858">
        <v>501010</v>
      </c>
      <c r="I14858">
        <v>72</v>
      </c>
    </row>
    <row r="14859" spans="1:9" x14ac:dyDescent="0.25">
      <c r="A14859">
        <v>4220</v>
      </c>
      <c r="B14859">
        <v>60</v>
      </c>
      <c r="C14859" t="s">
        <v>946</v>
      </c>
      <c r="D14859" t="s">
        <v>1027</v>
      </c>
      <c r="E14859" t="s">
        <v>306</v>
      </c>
      <c r="F14859" t="s">
        <v>948</v>
      </c>
      <c r="G14859">
        <v>6077777</v>
      </c>
      <c r="H14859">
        <v>501010</v>
      </c>
      <c r="I14859">
        <v>72</v>
      </c>
    </row>
    <row r="14860" spans="1:9" x14ac:dyDescent="0.25">
      <c r="A14860">
        <v>4230</v>
      </c>
      <c r="B14860">
        <v>60</v>
      </c>
      <c r="C14860" t="s">
        <v>946</v>
      </c>
      <c r="D14860" t="s">
        <v>1027</v>
      </c>
      <c r="E14860" t="s">
        <v>306</v>
      </c>
      <c r="F14860" t="s">
        <v>948</v>
      </c>
      <c r="G14860">
        <v>6099999</v>
      </c>
      <c r="H14860">
        <v>401045</v>
      </c>
      <c r="I14860">
        <v>72</v>
      </c>
    </row>
    <row r="14861" spans="1:9" x14ac:dyDescent="0.25">
      <c r="A14861">
        <v>4240</v>
      </c>
      <c r="B14861">
        <v>60</v>
      </c>
      <c r="C14861" t="s">
        <v>946</v>
      </c>
      <c r="D14861" t="s">
        <v>1027</v>
      </c>
      <c r="E14861" t="s">
        <v>306</v>
      </c>
      <c r="F14861" t="s">
        <v>948</v>
      </c>
      <c r="G14861">
        <v>6000000</v>
      </c>
      <c r="H14861">
        <v>143000</v>
      </c>
      <c r="I14861" t="s">
        <v>983</v>
      </c>
    </row>
    <row r="14862" spans="1:9" x14ac:dyDescent="0.25">
      <c r="A14862">
        <v>4141</v>
      </c>
      <c r="B14862">
        <v>60</v>
      </c>
      <c r="C14862" t="s">
        <v>946</v>
      </c>
      <c r="D14862" t="s">
        <v>1027</v>
      </c>
      <c r="E14862" t="s">
        <v>108</v>
      </c>
      <c r="F14862" t="s">
        <v>948</v>
      </c>
      <c r="G14862">
        <v>6077777</v>
      </c>
      <c r="H14862">
        <v>500220</v>
      </c>
      <c r="I14862" t="s">
        <v>949</v>
      </c>
    </row>
    <row r="14863" spans="1:9" x14ac:dyDescent="0.25">
      <c r="A14863">
        <v>4220</v>
      </c>
      <c r="B14863">
        <v>60</v>
      </c>
      <c r="C14863" t="s">
        <v>946</v>
      </c>
      <c r="D14863" t="s">
        <v>1027</v>
      </c>
      <c r="E14863" t="s">
        <v>108</v>
      </c>
      <c r="F14863" t="s">
        <v>948</v>
      </c>
      <c r="G14863">
        <v>6077777</v>
      </c>
      <c r="H14863">
        <v>500220</v>
      </c>
      <c r="I14863" t="s">
        <v>949</v>
      </c>
    </row>
    <row r="14864" spans="1:9" x14ac:dyDescent="0.25">
      <c r="A14864">
        <v>4230</v>
      </c>
      <c r="B14864">
        <v>60</v>
      </c>
      <c r="C14864" t="s">
        <v>946</v>
      </c>
      <c r="D14864" t="s">
        <v>1027</v>
      </c>
      <c r="E14864" t="s">
        <v>108</v>
      </c>
      <c r="F14864" t="s">
        <v>948</v>
      </c>
      <c r="G14864">
        <v>6099999</v>
      </c>
      <c r="H14864">
        <v>401045</v>
      </c>
      <c r="I14864">
        <v>72</v>
      </c>
    </row>
    <row r="14865" spans="1:9" x14ac:dyDescent="0.25">
      <c r="A14865">
        <v>4240</v>
      </c>
      <c r="B14865">
        <v>60</v>
      </c>
      <c r="C14865" t="s">
        <v>946</v>
      </c>
      <c r="D14865" t="s">
        <v>1027</v>
      </c>
      <c r="E14865" t="s">
        <v>108</v>
      </c>
      <c r="F14865" t="s">
        <v>948</v>
      </c>
      <c r="G14865">
        <v>6077777</v>
      </c>
      <c r="H14865">
        <v>500221</v>
      </c>
      <c r="I14865" t="s">
        <v>949</v>
      </c>
    </row>
    <row r="14866" spans="1:9" x14ac:dyDescent="0.25">
      <c r="A14866">
        <v>4141</v>
      </c>
      <c r="B14866">
        <v>60</v>
      </c>
      <c r="C14866" t="s">
        <v>946</v>
      </c>
      <c r="D14866" t="s">
        <v>1027</v>
      </c>
      <c r="E14866" t="s">
        <v>310</v>
      </c>
      <c r="F14866" t="s">
        <v>948</v>
      </c>
      <c r="G14866">
        <v>6077777</v>
      </c>
      <c r="H14866">
        <v>501010</v>
      </c>
      <c r="I14866">
        <v>72</v>
      </c>
    </row>
    <row r="14867" spans="1:9" x14ac:dyDescent="0.25">
      <c r="A14867">
        <v>4220</v>
      </c>
      <c r="B14867">
        <v>60</v>
      </c>
      <c r="C14867" t="s">
        <v>946</v>
      </c>
      <c r="D14867" t="s">
        <v>1027</v>
      </c>
      <c r="E14867" t="s">
        <v>310</v>
      </c>
      <c r="F14867" t="s">
        <v>948</v>
      </c>
      <c r="G14867">
        <v>6077777</v>
      </c>
      <c r="H14867">
        <v>501010</v>
      </c>
      <c r="I14867">
        <v>72</v>
      </c>
    </row>
    <row r="14868" spans="1:9" x14ac:dyDescent="0.25">
      <c r="A14868">
        <v>4230</v>
      </c>
      <c r="B14868">
        <v>60</v>
      </c>
      <c r="C14868" t="s">
        <v>946</v>
      </c>
      <c r="D14868" t="s">
        <v>1027</v>
      </c>
      <c r="E14868" t="s">
        <v>310</v>
      </c>
      <c r="F14868" t="s">
        <v>948</v>
      </c>
      <c r="G14868">
        <v>6099999</v>
      </c>
      <c r="H14868">
        <v>401015</v>
      </c>
      <c r="I14868">
        <v>72</v>
      </c>
    </row>
    <row r="14869" spans="1:9" x14ac:dyDescent="0.25">
      <c r="A14869">
        <v>4240</v>
      </c>
      <c r="B14869">
        <v>60</v>
      </c>
      <c r="C14869" t="s">
        <v>946</v>
      </c>
      <c r="D14869" t="s">
        <v>1027</v>
      </c>
      <c r="E14869" t="s">
        <v>310</v>
      </c>
      <c r="F14869" t="s">
        <v>948</v>
      </c>
      <c r="G14869">
        <v>6000000</v>
      </c>
      <c r="H14869">
        <v>145000</v>
      </c>
      <c r="I14869" t="s">
        <v>949</v>
      </c>
    </row>
    <row r="14870" spans="1:9" x14ac:dyDescent="0.25">
      <c r="A14870">
        <v>4141</v>
      </c>
      <c r="B14870">
        <v>60</v>
      </c>
      <c r="C14870" t="s">
        <v>946</v>
      </c>
      <c r="D14870" t="s">
        <v>1027</v>
      </c>
      <c r="E14870" t="s">
        <v>314</v>
      </c>
      <c r="F14870" t="s">
        <v>948</v>
      </c>
      <c r="G14870">
        <v>6077777</v>
      </c>
      <c r="H14870">
        <v>501010</v>
      </c>
      <c r="I14870">
        <v>72</v>
      </c>
    </row>
    <row r="14871" spans="1:9" x14ac:dyDescent="0.25">
      <c r="A14871">
        <v>4220</v>
      </c>
      <c r="B14871">
        <v>60</v>
      </c>
      <c r="C14871" t="s">
        <v>946</v>
      </c>
      <c r="D14871" t="s">
        <v>1027</v>
      </c>
      <c r="E14871" t="s">
        <v>314</v>
      </c>
      <c r="F14871" t="s">
        <v>948</v>
      </c>
      <c r="G14871">
        <v>6077777</v>
      </c>
      <c r="H14871">
        <v>501010</v>
      </c>
      <c r="I14871">
        <v>72</v>
      </c>
    </row>
    <row r="14872" spans="1:9" x14ac:dyDescent="0.25">
      <c r="A14872">
        <v>4230</v>
      </c>
      <c r="B14872">
        <v>60</v>
      </c>
      <c r="C14872" t="s">
        <v>946</v>
      </c>
      <c r="D14872" t="s">
        <v>1027</v>
      </c>
      <c r="E14872" t="s">
        <v>314</v>
      </c>
      <c r="F14872" t="s">
        <v>948</v>
      </c>
      <c r="G14872">
        <v>6099999</v>
      </c>
      <c r="H14872">
        <v>401065</v>
      </c>
      <c r="I14872">
        <v>72</v>
      </c>
    </row>
    <row r="14873" spans="1:9" x14ac:dyDescent="0.25">
      <c r="A14873">
        <v>4240</v>
      </c>
      <c r="B14873">
        <v>60</v>
      </c>
      <c r="C14873" t="s">
        <v>946</v>
      </c>
      <c r="D14873" t="s">
        <v>1027</v>
      </c>
      <c r="E14873" t="s">
        <v>314</v>
      </c>
      <c r="F14873" t="s">
        <v>948</v>
      </c>
      <c r="G14873">
        <v>6000000</v>
      </c>
      <c r="H14873">
        <v>145000</v>
      </c>
      <c r="I14873" t="s">
        <v>949</v>
      </c>
    </row>
    <row r="14874" spans="1:9" x14ac:dyDescent="0.25">
      <c r="A14874">
        <v>4141</v>
      </c>
      <c r="B14874">
        <v>60</v>
      </c>
      <c r="C14874" t="s">
        <v>946</v>
      </c>
      <c r="D14874" t="s">
        <v>1027</v>
      </c>
      <c r="E14874" t="s">
        <v>113</v>
      </c>
      <c r="F14874" t="s">
        <v>948</v>
      </c>
      <c r="G14874">
        <v>6077777</v>
      </c>
      <c r="H14874">
        <v>500220</v>
      </c>
      <c r="I14874" t="s">
        <v>949</v>
      </c>
    </row>
    <row r="14875" spans="1:9" x14ac:dyDescent="0.25">
      <c r="A14875">
        <v>4220</v>
      </c>
      <c r="B14875">
        <v>60</v>
      </c>
      <c r="C14875" t="s">
        <v>946</v>
      </c>
      <c r="D14875" t="s">
        <v>1027</v>
      </c>
      <c r="E14875" t="s">
        <v>113</v>
      </c>
      <c r="F14875" t="s">
        <v>948</v>
      </c>
      <c r="G14875">
        <v>6077777</v>
      </c>
      <c r="H14875">
        <v>500220</v>
      </c>
      <c r="I14875" t="s">
        <v>949</v>
      </c>
    </row>
    <row r="14876" spans="1:9" x14ac:dyDescent="0.25">
      <c r="A14876">
        <v>4230</v>
      </c>
      <c r="B14876">
        <v>60</v>
      </c>
      <c r="C14876" t="s">
        <v>946</v>
      </c>
      <c r="D14876" t="s">
        <v>1027</v>
      </c>
      <c r="E14876" t="s">
        <v>113</v>
      </c>
      <c r="F14876" t="s">
        <v>948</v>
      </c>
      <c r="G14876">
        <v>6099999</v>
      </c>
      <c r="H14876">
        <v>402085</v>
      </c>
      <c r="I14876">
        <v>72</v>
      </c>
    </row>
    <row r="14877" spans="1:9" x14ac:dyDescent="0.25">
      <c r="A14877">
        <v>4240</v>
      </c>
      <c r="B14877">
        <v>60</v>
      </c>
      <c r="C14877" t="s">
        <v>946</v>
      </c>
      <c r="D14877" t="s">
        <v>1027</v>
      </c>
      <c r="E14877" t="s">
        <v>113</v>
      </c>
      <c r="F14877" t="s">
        <v>948</v>
      </c>
      <c r="G14877">
        <v>6077777</v>
      </c>
      <c r="H14877">
        <v>500221</v>
      </c>
      <c r="I14877" t="s">
        <v>949</v>
      </c>
    </row>
    <row r="14878" spans="1:9" x14ac:dyDescent="0.25">
      <c r="A14878">
        <v>4141</v>
      </c>
      <c r="B14878">
        <v>60</v>
      </c>
      <c r="C14878" t="s">
        <v>946</v>
      </c>
      <c r="D14878" t="s">
        <v>1027</v>
      </c>
      <c r="E14878" t="s">
        <v>117</v>
      </c>
      <c r="F14878" t="s">
        <v>948</v>
      </c>
      <c r="G14878">
        <v>6077777</v>
      </c>
      <c r="H14878">
        <v>500220</v>
      </c>
      <c r="I14878" t="s">
        <v>949</v>
      </c>
    </row>
    <row r="14879" spans="1:9" x14ac:dyDescent="0.25">
      <c r="A14879">
        <v>4220</v>
      </c>
      <c r="B14879">
        <v>60</v>
      </c>
      <c r="C14879" t="s">
        <v>946</v>
      </c>
      <c r="D14879" t="s">
        <v>1027</v>
      </c>
      <c r="E14879" t="s">
        <v>117</v>
      </c>
      <c r="F14879" t="s">
        <v>948</v>
      </c>
      <c r="G14879">
        <v>6077777</v>
      </c>
      <c r="H14879">
        <v>500220</v>
      </c>
      <c r="I14879" t="s">
        <v>949</v>
      </c>
    </row>
    <row r="14880" spans="1:9" x14ac:dyDescent="0.25">
      <c r="A14880">
        <v>4230</v>
      </c>
      <c r="B14880">
        <v>60</v>
      </c>
      <c r="C14880" t="s">
        <v>946</v>
      </c>
      <c r="D14880" t="s">
        <v>1027</v>
      </c>
      <c r="E14880" t="s">
        <v>117</v>
      </c>
      <c r="F14880" t="s">
        <v>948</v>
      </c>
      <c r="G14880">
        <v>6088888</v>
      </c>
      <c r="H14880">
        <v>810600</v>
      </c>
      <c r="I14880">
        <v>72</v>
      </c>
    </row>
    <row r="14881" spans="1:9" x14ac:dyDescent="0.25">
      <c r="A14881">
        <v>4240</v>
      </c>
      <c r="B14881">
        <v>60</v>
      </c>
      <c r="C14881" t="s">
        <v>946</v>
      </c>
      <c r="D14881" t="s">
        <v>1027</v>
      </c>
      <c r="E14881" t="s">
        <v>117</v>
      </c>
      <c r="F14881" t="s">
        <v>948</v>
      </c>
      <c r="G14881">
        <v>6077777</v>
      </c>
      <c r="H14881">
        <v>500221</v>
      </c>
      <c r="I14881" t="s">
        <v>949</v>
      </c>
    </row>
    <row r="14882" spans="1:9" x14ac:dyDescent="0.25">
      <c r="A14882">
        <v>4141</v>
      </c>
      <c r="B14882">
        <v>60</v>
      </c>
      <c r="C14882" t="s">
        <v>946</v>
      </c>
      <c r="D14882" t="s">
        <v>1027</v>
      </c>
      <c r="E14882" t="s">
        <v>121</v>
      </c>
      <c r="F14882" t="s">
        <v>948</v>
      </c>
      <c r="G14882">
        <v>6077777</v>
      </c>
      <c r="H14882">
        <v>500220</v>
      </c>
      <c r="I14882" t="s">
        <v>949</v>
      </c>
    </row>
    <row r="14883" spans="1:9" x14ac:dyDescent="0.25">
      <c r="A14883">
        <v>4220</v>
      </c>
      <c r="B14883">
        <v>60</v>
      </c>
      <c r="C14883" t="s">
        <v>946</v>
      </c>
      <c r="D14883" t="s">
        <v>1027</v>
      </c>
      <c r="E14883" t="s">
        <v>121</v>
      </c>
      <c r="F14883" t="s">
        <v>948</v>
      </c>
      <c r="G14883">
        <v>6077777</v>
      </c>
      <c r="H14883">
        <v>500220</v>
      </c>
      <c r="I14883" t="s">
        <v>949</v>
      </c>
    </row>
    <row r="14884" spans="1:9" x14ac:dyDescent="0.25">
      <c r="A14884">
        <v>4230</v>
      </c>
      <c r="B14884">
        <v>60</v>
      </c>
      <c r="C14884" t="s">
        <v>946</v>
      </c>
      <c r="D14884" t="s">
        <v>1027</v>
      </c>
      <c r="E14884" t="s">
        <v>121</v>
      </c>
      <c r="F14884" t="s">
        <v>948</v>
      </c>
      <c r="G14884">
        <v>6099999</v>
      </c>
      <c r="H14884">
        <v>401045</v>
      </c>
      <c r="I14884">
        <v>72</v>
      </c>
    </row>
    <row r="14885" spans="1:9" x14ac:dyDescent="0.25">
      <c r="A14885">
        <v>4240</v>
      </c>
      <c r="B14885">
        <v>60</v>
      </c>
      <c r="C14885" t="s">
        <v>946</v>
      </c>
      <c r="D14885" t="s">
        <v>1027</v>
      </c>
      <c r="E14885" t="s">
        <v>121</v>
      </c>
      <c r="F14885" t="s">
        <v>948</v>
      </c>
      <c r="G14885">
        <v>6077777</v>
      </c>
      <c r="H14885">
        <v>500221</v>
      </c>
      <c r="I14885" t="s">
        <v>949</v>
      </c>
    </row>
    <row r="14886" spans="1:9" x14ac:dyDescent="0.25">
      <c r="A14886">
        <v>4141</v>
      </c>
      <c r="B14886">
        <v>60</v>
      </c>
      <c r="C14886" t="s">
        <v>946</v>
      </c>
      <c r="D14886" t="s">
        <v>1027</v>
      </c>
      <c r="E14886" t="s">
        <v>984</v>
      </c>
      <c r="F14886" t="s">
        <v>948</v>
      </c>
      <c r="G14886">
        <v>6077777</v>
      </c>
      <c r="H14886">
        <v>501010</v>
      </c>
      <c r="I14886">
        <v>72</v>
      </c>
    </row>
    <row r="14887" spans="1:9" x14ac:dyDescent="0.25">
      <c r="A14887">
        <v>4220</v>
      </c>
      <c r="B14887">
        <v>60</v>
      </c>
      <c r="C14887" t="s">
        <v>946</v>
      </c>
      <c r="D14887" t="s">
        <v>1027</v>
      </c>
      <c r="E14887" t="s">
        <v>984</v>
      </c>
      <c r="F14887" t="s">
        <v>948</v>
      </c>
      <c r="G14887">
        <v>6077777</v>
      </c>
      <c r="H14887">
        <v>501010</v>
      </c>
      <c r="I14887">
        <v>72</v>
      </c>
    </row>
    <row r="14888" spans="1:9" x14ac:dyDescent="0.25">
      <c r="A14888">
        <v>4230</v>
      </c>
      <c r="B14888">
        <v>60</v>
      </c>
      <c r="C14888" t="s">
        <v>946</v>
      </c>
      <c r="D14888" t="s">
        <v>1027</v>
      </c>
      <c r="E14888" t="s">
        <v>984</v>
      </c>
      <c r="F14888" t="s">
        <v>948</v>
      </c>
      <c r="G14888">
        <v>6099999</v>
      </c>
      <c r="H14888">
        <v>401915</v>
      </c>
      <c r="I14888">
        <v>72</v>
      </c>
    </row>
    <row r="14889" spans="1:9" x14ac:dyDescent="0.25">
      <c r="A14889">
        <v>4240</v>
      </c>
      <c r="B14889">
        <v>60</v>
      </c>
      <c r="C14889" t="s">
        <v>946</v>
      </c>
      <c r="D14889" t="s">
        <v>1027</v>
      </c>
      <c r="E14889" t="s">
        <v>984</v>
      </c>
      <c r="F14889" t="s">
        <v>948</v>
      </c>
      <c r="G14889">
        <v>6000000</v>
      </c>
      <c r="H14889">
        <v>141000</v>
      </c>
      <c r="I14889" t="s">
        <v>985</v>
      </c>
    </row>
    <row r="14890" spans="1:9" x14ac:dyDescent="0.25">
      <c r="A14890">
        <v>4245</v>
      </c>
      <c r="B14890">
        <v>60</v>
      </c>
      <c r="C14890" t="s">
        <v>946</v>
      </c>
      <c r="D14890" t="s">
        <v>1028</v>
      </c>
      <c r="E14890" t="s">
        <v>49</v>
      </c>
      <c r="F14890" t="s">
        <v>948</v>
      </c>
      <c r="G14890">
        <v>6000000</v>
      </c>
      <c r="H14890">
        <v>145200</v>
      </c>
      <c r="I14890" t="s">
        <v>949</v>
      </c>
    </row>
    <row r="14891" spans="1:9" x14ac:dyDescent="0.25">
      <c r="A14891">
        <v>4141</v>
      </c>
      <c r="B14891">
        <v>60</v>
      </c>
      <c r="C14891" t="s">
        <v>946</v>
      </c>
      <c r="D14891" t="s">
        <v>1028</v>
      </c>
      <c r="E14891" t="s">
        <v>243</v>
      </c>
      <c r="F14891" t="s">
        <v>948</v>
      </c>
      <c r="G14891">
        <v>6077777</v>
      </c>
      <c r="H14891">
        <v>501010</v>
      </c>
      <c r="I14891">
        <v>50</v>
      </c>
    </row>
    <row r="14892" spans="1:9" x14ac:dyDescent="0.25">
      <c r="A14892">
        <v>4220</v>
      </c>
      <c r="B14892">
        <v>60</v>
      </c>
      <c r="C14892" t="s">
        <v>946</v>
      </c>
      <c r="D14892" t="s">
        <v>1028</v>
      </c>
      <c r="E14892" t="s">
        <v>243</v>
      </c>
      <c r="F14892" t="s">
        <v>948</v>
      </c>
      <c r="G14892">
        <v>6077777</v>
      </c>
      <c r="H14892">
        <v>501010</v>
      </c>
      <c r="I14892">
        <v>50</v>
      </c>
    </row>
    <row r="14893" spans="1:9" x14ac:dyDescent="0.25">
      <c r="A14893">
        <v>4230</v>
      </c>
      <c r="B14893">
        <v>60</v>
      </c>
      <c r="C14893" t="s">
        <v>946</v>
      </c>
      <c r="D14893" t="s">
        <v>1028</v>
      </c>
      <c r="E14893" t="s">
        <v>243</v>
      </c>
      <c r="F14893" t="s">
        <v>948</v>
      </c>
      <c r="G14893">
        <v>6099999</v>
      </c>
      <c r="H14893">
        <v>401055</v>
      </c>
      <c r="I14893">
        <v>50</v>
      </c>
    </row>
    <row r="14894" spans="1:9" x14ac:dyDescent="0.25">
      <c r="A14894">
        <v>4240</v>
      </c>
      <c r="B14894">
        <v>60</v>
      </c>
      <c r="C14894" t="s">
        <v>946</v>
      </c>
      <c r="D14894" t="s">
        <v>1028</v>
      </c>
      <c r="E14894" t="s">
        <v>243</v>
      </c>
      <c r="F14894" t="s">
        <v>948</v>
      </c>
      <c r="G14894">
        <v>6000000</v>
      </c>
      <c r="H14894">
        <v>145000</v>
      </c>
      <c r="I14894" t="s">
        <v>949</v>
      </c>
    </row>
    <row r="14895" spans="1:9" x14ac:dyDescent="0.25">
      <c r="A14895">
        <v>4141</v>
      </c>
      <c r="B14895">
        <v>60</v>
      </c>
      <c r="C14895" t="s">
        <v>946</v>
      </c>
      <c r="D14895" t="s">
        <v>1028</v>
      </c>
      <c r="E14895" t="s">
        <v>247</v>
      </c>
      <c r="F14895" t="s">
        <v>948</v>
      </c>
      <c r="G14895">
        <v>6077777</v>
      </c>
      <c r="H14895">
        <v>501010</v>
      </c>
      <c r="I14895">
        <v>50</v>
      </c>
    </row>
    <row r="14896" spans="1:9" x14ac:dyDescent="0.25">
      <c r="A14896">
        <v>4220</v>
      </c>
      <c r="B14896">
        <v>60</v>
      </c>
      <c r="C14896" t="s">
        <v>946</v>
      </c>
      <c r="D14896" t="s">
        <v>1028</v>
      </c>
      <c r="E14896" t="s">
        <v>247</v>
      </c>
      <c r="F14896" t="s">
        <v>948</v>
      </c>
      <c r="G14896">
        <v>6077777</v>
      </c>
      <c r="H14896">
        <v>501010</v>
      </c>
      <c r="I14896">
        <v>50</v>
      </c>
    </row>
    <row r="14897" spans="1:9" x14ac:dyDescent="0.25">
      <c r="A14897">
        <v>4230</v>
      </c>
      <c r="B14897">
        <v>60</v>
      </c>
      <c r="C14897" t="s">
        <v>946</v>
      </c>
      <c r="D14897" t="s">
        <v>1028</v>
      </c>
      <c r="E14897" t="s">
        <v>247</v>
      </c>
      <c r="F14897" t="s">
        <v>948</v>
      </c>
      <c r="G14897">
        <v>6099999</v>
      </c>
      <c r="H14897">
        <v>401025</v>
      </c>
      <c r="I14897">
        <v>50</v>
      </c>
    </row>
    <row r="14898" spans="1:9" x14ac:dyDescent="0.25">
      <c r="A14898">
        <v>4240</v>
      </c>
      <c r="B14898">
        <v>60</v>
      </c>
      <c r="C14898" t="s">
        <v>946</v>
      </c>
      <c r="D14898" t="s">
        <v>1028</v>
      </c>
      <c r="E14898" t="s">
        <v>247</v>
      </c>
      <c r="F14898" t="s">
        <v>948</v>
      </c>
      <c r="G14898">
        <v>6000000</v>
      </c>
      <c r="H14898">
        <v>145000</v>
      </c>
      <c r="I14898" t="s">
        <v>949</v>
      </c>
    </row>
    <row r="14899" spans="1:9" x14ac:dyDescent="0.25">
      <c r="A14899">
        <v>4141</v>
      </c>
      <c r="B14899">
        <v>60</v>
      </c>
      <c r="C14899" t="s">
        <v>946</v>
      </c>
      <c r="D14899" t="s">
        <v>1028</v>
      </c>
      <c r="E14899" t="s">
        <v>251</v>
      </c>
      <c r="F14899" t="s">
        <v>948</v>
      </c>
      <c r="G14899">
        <v>6077777</v>
      </c>
      <c r="H14899">
        <v>501010</v>
      </c>
      <c r="I14899">
        <v>50</v>
      </c>
    </row>
    <row r="14900" spans="1:9" x14ac:dyDescent="0.25">
      <c r="A14900">
        <v>4220</v>
      </c>
      <c r="B14900">
        <v>60</v>
      </c>
      <c r="C14900" t="s">
        <v>946</v>
      </c>
      <c r="D14900" t="s">
        <v>1028</v>
      </c>
      <c r="E14900" t="s">
        <v>251</v>
      </c>
      <c r="F14900" t="s">
        <v>948</v>
      </c>
      <c r="G14900">
        <v>6077777</v>
      </c>
      <c r="H14900">
        <v>501010</v>
      </c>
      <c r="I14900">
        <v>50</v>
      </c>
    </row>
    <row r="14901" spans="1:9" x14ac:dyDescent="0.25">
      <c r="A14901">
        <v>4230</v>
      </c>
      <c r="B14901">
        <v>60</v>
      </c>
      <c r="C14901" t="s">
        <v>946</v>
      </c>
      <c r="D14901" t="s">
        <v>1028</v>
      </c>
      <c r="E14901" t="s">
        <v>251</v>
      </c>
      <c r="F14901" t="s">
        <v>948</v>
      </c>
      <c r="G14901">
        <v>6099999</v>
      </c>
      <c r="H14901">
        <v>401045</v>
      </c>
      <c r="I14901">
        <v>50</v>
      </c>
    </row>
    <row r="14902" spans="1:9" x14ac:dyDescent="0.25">
      <c r="A14902">
        <v>4240</v>
      </c>
      <c r="B14902">
        <v>60</v>
      </c>
      <c r="C14902" t="s">
        <v>946</v>
      </c>
      <c r="D14902" t="s">
        <v>1028</v>
      </c>
      <c r="E14902" t="s">
        <v>251</v>
      </c>
      <c r="F14902" t="s">
        <v>948</v>
      </c>
      <c r="G14902">
        <v>6000000</v>
      </c>
      <c r="H14902">
        <v>142000</v>
      </c>
      <c r="I14902" t="s">
        <v>949</v>
      </c>
    </row>
    <row r="14903" spans="1:9" x14ac:dyDescent="0.25">
      <c r="A14903">
        <v>4141</v>
      </c>
      <c r="B14903">
        <v>60</v>
      </c>
      <c r="C14903" t="s">
        <v>946</v>
      </c>
      <c r="D14903" t="s">
        <v>1028</v>
      </c>
      <c r="E14903" t="s">
        <v>969</v>
      </c>
      <c r="F14903" t="s">
        <v>948</v>
      </c>
      <c r="G14903">
        <v>6077777</v>
      </c>
      <c r="H14903">
        <v>501010</v>
      </c>
      <c r="I14903">
        <v>50</v>
      </c>
    </row>
    <row r="14904" spans="1:9" x14ac:dyDescent="0.25">
      <c r="A14904">
        <v>4220</v>
      </c>
      <c r="B14904">
        <v>60</v>
      </c>
      <c r="C14904" t="s">
        <v>946</v>
      </c>
      <c r="D14904" t="s">
        <v>1028</v>
      </c>
      <c r="E14904" t="s">
        <v>969</v>
      </c>
      <c r="F14904" t="s">
        <v>948</v>
      </c>
      <c r="G14904">
        <v>6077777</v>
      </c>
      <c r="H14904">
        <v>501010</v>
      </c>
      <c r="I14904">
        <v>50</v>
      </c>
    </row>
    <row r="14905" spans="1:9" x14ac:dyDescent="0.25">
      <c r="A14905">
        <v>4230</v>
      </c>
      <c r="B14905">
        <v>60</v>
      </c>
      <c r="C14905" t="s">
        <v>946</v>
      </c>
      <c r="D14905" t="s">
        <v>1028</v>
      </c>
      <c r="E14905" t="s">
        <v>969</v>
      </c>
      <c r="F14905" t="s">
        <v>948</v>
      </c>
      <c r="G14905">
        <v>6099999</v>
      </c>
      <c r="H14905">
        <v>401915</v>
      </c>
      <c r="I14905">
        <v>50</v>
      </c>
    </row>
    <row r="14906" spans="1:9" x14ac:dyDescent="0.25">
      <c r="A14906">
        <v>4240</v>
      </c>
      <c r="B14906">
        <v>60</v>
      </c>
      <c r="C14906" t="s">
        <v>946</v>
      </c>
      <c r="D14906" t="s">
        <v>1028</v>
      </c>
      <c r="E14906" t="s">
        <v>969</v>
      </c>
      <c r="F14906" t="s">
        <v>948</v>
      </c>
      <c r="G14906">
        <v>6000000</v>
      </c>
      <c r="H14906">
        <v>141000</v>
      </c>
      <c r="I14906" t="s">
        <v>970</v>
      </c>
    </row>
    <row r="14907" spans="1:9" x14ac:dyDescent="0.25">
      <c r="A14907">
        <v>4141</v>
      </c>
      <c r="B14907">
        <v>60</v>
      </c>
      <c r="C14907" t="s">
        <v>946</v>
      </c>
      <c r="D14907" t="s">
        <v>1028</v>
      </c>
      <c r="E14907" t="s">
        <v>255</v>
      </c>
      <c r="F14907" t="s">
        <v>948</v>
      </c>
      <c r="G14907">
        <v>6077777</v>
      </c>
      <c r="H14907">
        <v>501010</v>
      </c>
      <c r="I14907">
        <v>50</v>
      </c>
    </row>
    <row r="14908" spans="1:9" x14ac:dyDescent="0.25">
      <c r="A14908">
        <v>4220</v>
      </c>
      <c r="B14908">
        <v>60</v>
      </c>
      <c r="C14908" t="s">
        <v>946</v>
      </c>
      <c r="D14908" t="s">
        <v>1028</v>
      </c>
      <c r="E14908" t="s">
        <v>255</v>
      </c>
      <c r="F14908" t="s">
        <v>948</v>
      </c>
      <c r="G14908">
        <v>6077777</v>
      </c>
      <c r="H14908">
        <v>501010</v>
      </c>
      <c r="I14908">
        <v>50</v>
      </c>
    </row>
    <row r="14909" spans="1:9" x14ac:dyDescent="0.25">
      <c r="A14909">
        <v>4230</v>
      </c>
      <c r="B14909">
        <v>60</v>
      </c>
      <c r="C14909" t="s">
        <v>946</v>
      </c>
      <c r="D14909" t="s">
        <v>1028</v>
      </c>
      <c r="E14909" t="s">
        <v>255</v>
      </c>
      <c r="F14909" t="s">
        <v>948</v>
      </c>
      <c r="G14909">
        <v>6099999</v>
      </c>
      <c r="H14909">
        <v>401075</v>
      </c>
      <c r="I14909">
        <v>50</v>
      </c>
    </row>
    <row r="14910" spans="1:9" x14ac:dyDescent="0.25">
      <c r="A14910">
        <v>4240</v>
      </c>
      <c r="B14910">
        <v>60</v>
      </c>
      <c r="C14910" t="s">
        <v>946</v>
      </c>
      <c r="D14910" t="s">
        <v>1028</v>
      </c>
      <c r="E14910" t="s">
        <v>255</v>
      </c>
      <c r="F14910" t="s">
        <v>948</v>
      </c>
      <c r="G14910">
        <v>6000000</v>
      </c>
      <c r="H14910">
        <v>145000</v>
      </c>
      <c r="I14910" t="s">
        <v>949</v>
      </c>
    </row>
    <row r="14911" spans="1:9" x14ac:dyDescent="0.25">
      <c r="A14911">
        <v>4141</v>
      </c>
      <c r="B14911">
        <v>60</v>
      </c>
      <c r="C14911" t="s">
        <v>946</v>
      </c>
      <c r="D14911" t="s">
        <v>1028</v>
      </c>
      <c r="E14911" t="s">
        <v>971</v>
      </c>
      <c r="F14911" t="s">
        <v>948</v>
      </c>
      <c r="G14911">
        <v>6077777</v>
      </c>
      <c r="H14911">
        <v>501010</v>
      </c>
      <c r="I14911">
        <v>50</v>
      </c>
    </row>
    <row r="14912" spans="1:9" x14ac:dyDescent="0.25">
      <c r="A14912">
        <v>4220</v>
      </c>
      <c r="B14912">
        <v>60</v>
      </c>
      <c r="C14912" t="s">
        <v>946</v>
      </c>
      <c r="D14912" t="s">
        <v>1028</v>
      </c>
      <c r="E14912" t="s">
        <v>971</v>
      </c>
      <c r="F14912" t="s">
        <v>948</v>
      </c>
      <c r="G14912">
        <v>6077777</v>
      </c>
      <c r="H14912">
        <v>501010</v>
      </c>
      <c r="I14912">
        <v>50</v>
      </c>
    </row>
    <row r="14913" spans="1:9" x14ac:dyDescent="0.25">
      <c r="A14913">
        <v>4230</v>
      </c>
      <c r="B14913">
        <v>60</v>
      </c>
      <c r="C14913" t="s">
        <v>946</v>
      </c>
      <c r="D14913" t="s">
        <v>1028</v>
      </c>
      <c r="E14913" t="s">
        <v>971</v>
      </c>
      <c r="F14913" t="s">
        <v>948</v>
      </c>
      <c r="G14913">
        <v>6099999</v>
      </c>
      <c r="H14913">
        <v>401915</v>
      </c>
      <c r="I14913">
        <v>50</v>
      </c>
    </row>
    <row r="14914" spans="1:9" x14ac:dyDescent="0.25">
      <c r="A14914">
        <v>4240</v>
      </c>
      <c r="B14914">
        <v>60</v>
      </c>
      <c r="C14914" t="s">
        <v>946</v>
      </c>
      <c r="D14914" t="s">
        <v>1028</v>
      </c>
      <c r="E14914" t="s">
        <v>971</v>
      </c>
      <c r="F14914" t="s">
        <v>948</v>
      </c>
      <c r="G14914">
        <v>6000000</v>
      </c>
      <c r="H14914">
        <v>141000</v>
      </c>
      <c r="I14914" t="s">
        <v>972</v>
      </c>
    </row>
    <row r="14915" spans="1:9" x14ac:dyDescent="0.25">
      <c r="A14915">
        <v>4230</v>
      </c>
      <c r="B14915">
        <v>60</v>
      </c>
      <c r="C14915" t="s">
        <v>946</v>
      </c>
      <c r="D14915" t="s">
        <v>1028</v>
      </c>
      <c r="E14915" t="s">
        <v>259</v>
      </c>
      <c r="F14915" t="s">
        <v>948</v>
      </c>
      <c r="G14915">
        <v>6099999</v>
      </c>
      <c r="H14915">
        <v>409005</v>
      </c>
      <c r="I14915">
        <v>50</v>
      </c>
    </row>
    <row r="14916" spans="1:9" x14ac:dyDescent="0.25">
      <c r="A14916">
        <v>4141</v>
      </c>
      <c r="B14916">
        <v>60</v>
      </c>
      <c r="C14916" t="s">
        <v>946</v>
      </c>
      <c r="D14916" t="s">
        <v>1028</v>
      </c>
      <c r="E14916" t="s">
        <v>263</v>
      </c>
      <c r="F14916" t="s">
        <v>948</v>
      </c>
      <c r="G14916">
        <v>6077777</v>
      </c>
      <c r="H14916">
        <v>501010</v>
      </c>
      <c r="I14916">
        <v>50</v>
      </c>
    </row>
    <row r="14917" spans="1:9" x14ac:dyDescent="0.25">
      <c r="A14917">
        <v>4220</v>
      </c>
      <c r="B14917">
        <v>60</v>
      </c>
      <c r="C14917" t="s">
        <v>946</v>
      </c>
      <c r="D14917" t="s">
        <v>1028</v>
      </c>
      <c r="E14917" t="s">
        <v>263</v>
      </c>
      <c r="F14917" t="s">
        <v>948</v>
      </c>
      <c r="G14917">
        <v>6077777</v>
      </c>
      <c r="H14917">
        <v>501010</v>
      </c>
      <c r="I14917">
        <v>50</v>
      </c>
    </row>
    <row r="14918" spans="1:9" x14ac:dyDescent="0.25">
      <c r="A14918">
        <v>4230</v>
      </c>
      <c r="B14918">
        <v>60</v>
      </c>
      <c r="C14918" t="s">
        <v>946</v>
      </c>
      <c r="D14918" t="s">
        <v>1028</v>
      </c>
      <c r="E14918" t="s">
        <v>263</v>
      </c>
      <c r="F14918" t="s">
        <v>948</v>
      </c>
      <c r="G14918">
        <v>6099999</v>
      </c>
      <c r="H14918">
        <v>401045</v>
      </c>
      <c r="I14918">
        <v>50</v>
      </c>
    </row>
    <row r="14919" spans="1:9" x14ac:dyDescent="0.25">
      <c r="A14919">
        <v>4240</v>
      </c>
      <c r="B14919">
        <v>60</v>
      </c>
      <c r="C14919" t="s">
        <v>946</v>
      </c>
      <c r="D14919" t="s">
        <v>1028</v>
      </c>
      <c r="E14919" t="s">
        <v>263</v>
      </c>
      <c r="F14919" t="s">
        <v>948</v>
      </c>
      <c r="G14919">
        <v>6000000</v>
      </c>
      <c r="H14919">
        <v>145000</v>
      </c>
      <c r="I14919" t="s">
        <v>949</v>
      </c>
    </row>
    <row r="14920" spans="1:9" x14ac:dyDescent="0.25">
      <c r="A14920">
        <v>4141</v>
      </c>
      <c r="B14920">
        <v>60</v>
      </c>
      <c r="C14920" t="s">
        <v>946</v>
      </c>
      <c r="D14920" t="s">
        <v>1028</v>
      </c>
      <c r="E14920" t="s">
        <v>100</v>
      </c>
      <c r="F14920" t="s">
        <v>948</v>
      </c>
      <c r="G14920">
        <v>6077777</v>
      </c>
      <c r="H14920">
        <v>500220</v>
      </c>
      <c r="I14920">
        <v>50</v>
      </c>
    </row>
    <row r="14921" spans="1:9" x14ac:dyDescent="0.25">
      <c r="A14921">
        <v>4220</v>
      </c>
      <c r="B14921">
        <v>60</v>
      </c>
      <c r="C14921" t="s">
        <v>946</v>
      </c>
      <c r="D14921" t="s">
        <v>1028</v>
      </c>
      <c r="E14921" t="s">
        <v>100</v>
      </c>
      <c r="F14921" t="s">
        <v>948</v>
      </c>
      <c r="G14921">
        <v>6077777</v>
      </c>
      <c r="H14921">
        <v>500220</v>
      </c>
      <c r="I14921">
        <v>50</v>
      </c>
    </row>
    <row r="14922" spans="1:9" x14ac:dyDescent="0.25">
      <c r="A14922">
        <v>4230</v>
      </c>
      <c r="B14922">
        <v>60</v>
      </c>
      <c r="C14922" t="s">
        <v>946</v>
      </c>
      <c r="D14922" t="s">
        <v>1028</v>
      </c>
      <c r="E14922" t="s">
        <v>100</v>
      </c>
      <c r="F14922" t="s">
        <v>948</v>
      </c>
      <c r="G14922">
        <v>6099999</v>
      </c>
      <c r="H14922">
        <v>401045</v>
      </c>
      <c r="I14922">
        <v>50</v>
      </c>
    </row>
    <row r="14923" spans="1:9" x14ac:dyDescent="0.25">
      <c r="A14923">
        <v>4240</v>
      </c>
      <c r="B14923">
        <v>60</v>
      </c>
      <c r="C14923" t="s">
        <v>946</v>
      </c>
      <c r="D14923" t="s">
        <v>1028</v>
      </c>
      <c r="E14923" t="s">
        <v>100</v>
      </c>
      <c r="F14923" t="s">
        <v>948</v>
      </c>
      <c r="G14923">
        <v>6077777</v>
      </c>
      <c r="H14923">
        <v>500221</v>
      </c>
      <c r="I14923">
        <v>50</v>
      </c>
    </row>
    <row r="14924" spans="1:9" x14ac:dyDescent="0.25">
      <c r="A14924">
        <v>4141</v>
      </c>
      <c r="B14924">
        <v>60</v>
      </c>
      <c r="C14924" t="s">
        <v>946</v>
      </c>
      <c r="D14924" t="s">
        <v>1028</v>
      </c>
      <c r="E14924" t="s">
        <v>270</v>
      </c>
      <c r="F14924" t="s">
        <v>948</v>
      </c>
      <c r="G14924">
        <v>6077777</v>
      </c>
      <c r="H14924">
        <v>501010</v>
      </c>
      <c r="I14924">
        <v>50</v>
      </c>
    </row>
    <row r="14925" spans="1:9" x14ac:dyDescent="0.25">
      <c r="A14925">
        <v>4220</v>
      </c>
      <c r="B14925">
        <v>60</v>
      </c>
      <c r="C14925" t="s">
        <v>946</v>
      </c>
      <c r="D14925" t="s">
        <v>1028</v>
      </c>
      <c r="E14925" t="s">
        <v>270</v>
      </c>
      <c r="F14925" t="s">
        <v>948</v>
      </c>
      <c r="G14925">
        <v>6077777</v>
      </c>
      <c r="H14925">
        <v>501010</v>
      </c>
      <c r="I14925">
        <v>50</v>
      </c>
    </row>
    <row r="14926" spans="1:9" x14ac:dyDescent="0.25">
      <c r="A14926">
        <v>4230</v>
      </c>
      <c r="B14926">
        <v>60</v>
      </c>
      <c r="C14926" t="s">
        <v>946</v>
      </c>
      <c r="D14926" t="s">
        <v>1028</v>
      </c>
      <c r="E14926" t="s">
        <v>270</v>
      </c>
      <c r="F14926" t="s">
        <v>948</v>
      </c>
      <c r="G14926">
        <v>6099999</v>
      </c>
      <c r="H14926">
        <v>401065</v>
      </c>
      <c r="I14926">
        <v>50</v>
      </c>
    </row>
    <row r="14927" spans="1:9" x14ac:dyDescent="0.25">
      <c r="A14927">
        <v>4240</v>
      </c>
      <c r="B14927">
        <v>60</v>
      </c>
      <c r="C14927" t="s">
        <v>946</v>
      </c>
      <c r="D14927" t="s">
        <v>1028</v>
      </c>
      <c r="E14927" t="s">
        <v>270</v>
      </c>
      <c r="F14927" t="s">
        <v>948</v>
      </c>
      <c r="G14927">
        <v>6000000</v>
      </c>
      <c r="H14927">
        <v>145000</v>
      </c>
      <c r="I14927" t="s">
        <v>949</v>
      </c>
    </row>
    <row r="14928" spans="1:9" x14ac:dyDescent="0.25">
      <c r="A14928">
        <v>4141</v>
      </c>
      <c r="B14928">
        <v>60</v>
      </c>
      <c r="C14928" t="s">
        <v>946</v>
      </c>
      <c r="D14928" t="s">
        <v>1028</v>
      </c>
      <c r="E14928" t="s">
        <v>274</v>
      </c>
      <c r="F14928" t="s">
        <v>948</v>
      </c>
      <c r="G14928">
        <v>6077777</v>
      </c>
      <c r="H14928">
        <v>501010</v>
      </c>
      <c r="I14928">
        <v>50</v>
      </c>
    </row>
    <row r="14929" spans="1:9" x14ac:dyDescent="0.25">
      <c r="A14929">
        <v>4220</v>
      </c>
      <c r="B14929">
        <v>60</v>
      </c>
      <c r="C14929" t="s">
        <v>946</v>
      </c>
      <c r="D14929" t="s">
        <v>1028</v>
      </c>
      <c r="E14929" t="s">
        <v>274</v>
      </c>
      <c r="F14929" t="s">
        <v>948</v>
      </c>
      <c r="G14929">
        <v>6077777</v>
      </c>
      <c r="H14929">
        <v>501010</v>
      </c>
      <c r="I14929">
        <v>50</v>
      </c>
    </row>
    <row r="14930" spans="1:9" x14ac:dyDescent="0.25">
      <c r="A14930">
        <v>4230</v>
      </c>
      <c r="B14930">
        <v>60</v>
      </c>
      <c r="C14930" t="s">
        <v>946</v>
      </c>
      <c r="D14930" t="s">
        <v>1028</v>
      </c>
      <c r="E14930" t="s">
        <v>274</v>
      </c>
      <c r="F14930" t="s">
        <v>948</v>
      </c>
      <c r="G14930">
        <v>6099999</v>
      </c>
      <c r="H14930">
        <v>401045</v>
      </c>
      <c r="I14930">
        <v>50</v>
      </c>
    </row>
    <row r="14931" spans="1:9" x14ac:dyDescent="0.25">
      <c r="A14931">
        <v>4240</v>
      </c>
      <c r="B14931">
        <v>60</v>
      </c>
      <c r="C14931" t="s">
        <v>946</v>
      </c>
      <c r="D14931" t="s">
        <v>1028</v>
      </c>
      <c r="E14931" t="s">
        <v>274</v>
      </c>
      <c r="F14931" t="s">
        <v>948</v>
      </c>
      <c r="G14931">
        <v>6000000</v>
      </c>
      <c r="H14931">
        <v>143000</v>
      </c>
      <c r="I14931" t="s">
        <v>973</v>
      </c>
    </row>
    <row r="14932" spans="1:9" x14ac:dyDescent="0.25">
      <c r="A14932">
        <v>4141</v>
      </c>
      <c r="B14932">
        <v>60</v>
      </c>
      <c r="C14932" t="s">
        <v>946</v>
      </c>
      <c r="D14932" t="s">
        <v>1028</v>
      </c>
      <c r="E14932" t="s">
        <v>974</v>
      </c>
      <c r="F14932" t="s">
        <v>948</v>
      </c>
      <c r="G14932">
        <v>6077777</v>
      </c>
      <c r="H14932">
        <v>501010</v>
      </c>
      <c r="I14932">
        <v>50</v>
      </c>
    </row>
    <row r="14933" spans="1:9" x14ac:dyDescent="0.25">
      <c r="A14933">
        <v>4220</v>
      </c>
      <c r="B14933">
        <v>60</v>
      </c>
      <c r="C14933" t="s">
        <v>946</v>
      </c>
      <c r="D14933" t="s">
        <v>1028</v>
      </c>
      <c r="E14933" t="s">
        <v>974</v>
      </c>
      <c r="F14933" t="s">
        <v>948</v>
      </c>
      <c r="G14933">
        <v>6077777</v>
      </c>
      <c r="H14933">
        <v>501010</v>
      </c>
      <c r="I14933">
        <v>50</v>
      </c>
    </row>
    <row r="14934" spans="1:9" x14ac:dyDescent="0.25">
      <c r="A14934">
        <v>4230</v>
      </c>
      <c r="B14934">
        <v>60</v>
      </c>
      <c r="C14934" t="s">
        <v>946</v>
      </c>
      <c r="D14934" t="s">
        <v>1028</v>
      </c>
      <c r="E14934" t="s">
        <v>974</v>
      </c>
      <c r="F14934" t="s">
        <v>948</v>
      </c>
      <c r="G14934">
        <v>6099999</v>
      </c>
      <c r="H14934">
        <v>401915</v>
      </c>
      <c r="I14934">
        <v>50</v>
      </c>
    </row>
    <row r="14935" spans="1:9" x14ac:dyDescent="0.25">
      <c r="A14935">
        <v>4240</v>
      </c>
      <c r="B14935">
        <v>60</v>
      </c>
      <c r="C14935" t="s">
        <v>946</v>
      </c>
      <c r="D14935" t="s">
        <v>1028</v>
      </c>
      <c r="E14935" t="s">
        <v>974</v>
      </c>
      <c r="F14935" t="s">
        <v>948</v>
      </c>
      <c r="G14935">
        <v>6000000</v>
      </c>
      <c r="H14935">
        <v>141000</v>
      </c>
      <c r="I14935" t="s">
        <v>975</v>
      </c>
    </row>
    <row r="14936" spans="1:9" x14ac:dyDescent="0.25">
      <c r="A14936">
        <v>4141</v>
      </c>
      <c r="B14936">
        <v>60</v>
      </c>
      <c r="C14936" t="s">
        <v>946</v>
      </c>
      <c r="D14936" t="s">
        <v>1028</v>
      </c>
      <c r="E14936" t="s">
        <v>104</v>
      </c>
      <c r="F14936" t="s">
        <v>948</v>
      </c>
      <c r="G14936">
        <v>6077777</v>
      </c>
      <c r="H14936">
        <v>500220</v>
      </c>
      <c r="I14936">
        <v>50</v>
      </c>
    </row>
    <row r="14937" spans="1:9" x14ac:dyDescent="0.25">
      <c r="A14937">
        <v>4220</v>
      </c>
      <c r="B14937">
        <v>60</v>
      </c>
      <c r="C14937" t="s">
        <v>946</v>
      </c>
      <c r="D14937" t="s">
        <v>1028</v>
      </c>
      <c r="E14937" t="s">
        <v>104</v>
      </c>
      <c r="F14937" t="s">
        <v>948</v>
      </c>
      <c r="G14937">
        <v>6077777</v>
      </c>
      <c r="H14937">
        <v>500220</v>
      </c>
      <c r="I14937">
        <v>50</v>
      </c>
    </row>
    <row r="14938" spans="1:9" x14ac:dyDescent="0.25">
      <c r="A14938">
        <v>4230</v>
      </c>
      <c r="B14938">
        <v>60</v>
      </c>
      <c r="C14938" t="s">
        <v>946</v>
      </c>
      <c r="D14938" t="s">
        <v>1028</v>
      </c>
      <c r="E14938" t="s">
        <v>104</v>
      </c>
      <c r="F14938" t="s">
        <v>948</v>
      </c>
      <c r="G14938">
        <v>6099999</v>
      </c>
      <c r="H14938">
        <v>401045</v>
      </c>
      <c r="I14938">
        <v>50</v>
      </c>
    </row>
    <row r="14939" spans="1:9" x14ac:dyDescent="0.25">
      <c r="A14939">
        <v>4240</v>
      </c>
      <c r="B14939">
        <v>60</v>
      </c>
      <c r="C14939" t="s">
        <v>946</v>
      </c>
      <c r="D14939" t="s">
        <v>1028</v>
      </c>
      <c r="E14939" t="s">
        <v>104</v>
      </c>
      <c r="F14939" t="s">
        <v>948</v>
      </c>
      <c r="G14939">
        <v>6077777</v>
      </c>
      <c r="H14939">
        <v>500221</v>
      </c>
      <c r="I14939">
        <v>50</v>
      </c>
    </row>
    <row r="14940" spans="1:9" x14ac:dyDescent="0.25">
      <c r="A14940">
        <v>4141</v>
      </c>
      <c r="B14940">
        <v>60</v>
      </c>
      <c r="C14940" t="s">
        <v>946</v>
      </c>
      <c r="D14940" t="s">
        <v>1028</v>
      </c>
      <c r="E14940" t="s">
        <v>278</v>
      </c>
      <c r="F14940" t="s">
        <v>948</v>
      </c>
      <c r="G14940">
        <v>6077777</v>
      </c>
      <c r="H14940">
        <v>501010</v>
      </c>
      <c r="I14940">
        <v>50</v>
      </c>
    </row>
    <row r="14941" spans="1:9" x14ac:dyDescent="0.25">
      <c r="A14941">
        <v>4220</v>
      </c>
      <c r="B14941">
        <v>60</v>
      </c>
      <c r="C14941" t="s">
        <v>946</v>
      </c>
      <c r="D14941" t="s">
        <v>1028</v>
      </c>
      <c r="E14941" t="s">
        <v>278</v>
      </c>
      <c r="F14941" t="s">
        <v>948</v>
      </c>
      <c r="G14941">
        <v>6077777</v>
      </c>
      <c r="H14941">
        <v>501010</v>
      </c>
      <c r="I14941">
        <v>50</v>
      </c>
    </row>
    <row r="14942" spans="1:9" x14ac:dyDescent="0.25">
      <c r="A14942">
        <v>4230</v>
      </c>
      <c r="B14942">
        <v>60</v>
      </c>
      <c r="C14942" t="s">
        <v>946</v>
      </c>
      <c r="D14942" t="s">
        <v>1028</v>
      </c>
      <c r="E14942" t="s">
        <v>278</v>
      </c>
      <c r="F14942" t="s">
        <v>948</v>
      </c>
      <c r="G14942">
        <v>6099999</v>
      </c>
      <c r="H14942">
        <v>401055</v>
      </c>
      <c r="I14942">
        <v>50</v>
      </c>
    </row>
    <row r="14943" spans="1:9" x14ac:dyDescent="0.25">
      <c r="A14943">
        <v>4240</v>
      </c>
      <c r="B14943">
        <v>60</v>
      </c>
      <c r="C14943" t="s">
        <v>946</v>
      </c>
      <c r="D14943" t="s">
        <v>1028</v>
      </c>
      <c r="E14943" t="s">
        <v>278</v>
      </c>
      <c r="F14943" t="s">
        <v>948</v>
      </c>
      <c r="G14943">
        <v>6000000</v>
      </c>
      <c r="H14943">
        <v>145000</v>
      </c>
      <c r="I14943" t="s">
        <v>949</v>
      </c>
    </row>
    <row r="14944" spans="1:9" x14ac:dyDescent="0.25">
      <c r="A14944">
        <v>4141</v>
      </c>
      <c r="B14944">
        <v>60</v>
      </c>
      <c r="C14944" t="s">
        <v>946</v>
      </c>
      <c r="D14944" t="s">
        <v>1028</v>
      </c>
      <c r="E14944" t="s">
        <v>282</v>
      </c>
      <c r="F14944" t="s">
        <v>948</v>
      </c>
      <c r="G14944">
        <v>6077777</v>
      </c>
      <c r="H14944">
        <v>501010</v>
      </c>
      <c r="I14944">
        <v>50</v>
      </c>
    </row>
    <row r="14945" spans="1:9" x14ac:dyDescent="0.25">
      <c r="A14945">
        <v>4220</v>
      </c>
      <c r="B14945">
        <v>60</v>
      </c>
      <c r="C14945" t="s">
        <v>946</v>
      </c>
      <c r="D14945" t="s">
        <v>1028</v>
      </c>
      <c r="E14945" t="s">
        <v>282</v>
      </c>
      <c r="F14945" t="s">
        <v>948</v>
      </c>
      <c r="G14945">
        <v>6077777</v>
      </c>
      <c r="H14945">
        <v>501010</v>
      </c>
      <c r="I14945">
        <v>50</v>
      </c>
    </row>
    <row r="14946" spans="1:9" x14ac:dyDescent="0.25">
      <c r="A14946">
        <v>4230</v>
      </c>
      <c r="B14946">
        <v>60</v>
      </c>
      <c r="C14946" t="s">
        <v>946</v>
      </c>
      <c r="D14946" t="s">
        <v>1028</v>
      </c>
      <c r="E14946" t="s">
        <v>282</v>
      </c>
      <c r="F14946" t="s">
        <v>948</v>
      </c>
      <c r="G14946">
        <v>6099999</v>
      </c>
      <c r="H14946">
        <v>401045</v>
      </c>
      <c r="I14946">
        <v>50</v>
      </c>
    </row>
    <row r="14947" spans="1:9" x14ac:dyDescent="0.25">
      <c r="A14947">
        <v>4240</v>
      </c>
      <c r="B14947">
        <v>60</v>
      </c>
      <c r="C14947" t="s">
        <v>946</v>
      </c>
      <c r="D14947" t="s">
        <v>1028</v>
      </c>
      <c r="E14947" t="s">
        <v>282</v>
      </c>
      <c r="F14947" t="s">
        <v>948</v>
      </c>
      <c r="G14947">
        <v>6000000</v>
      </c>
      <c r="H14947">
        <v>143100</v>
      </c>
      <c r="I14947" t="s">
        <v>949</v>
      </c>
    </row>
    <row r="14948" spans="1:9" x14ac:dyDescent="0.25">
      <c r="A14948">
        <v>4141</v>
      </c>
      <c r="B14948">
        <v>60</v>
      </c>
      <c r="C14948" t="s">
        <v>946</v>
      </c>
      <c r="D14948" t="s">
        <v>1028</v>
      </c>
      <c r="E14948" t="s">
        <v>286</v>
      </c>
      <c r="F14948" t="s">
        <v>948</v>
      </c>
      <c r="G14948">
        <v>6077777</v>
      </c>
      <c r="H14948">
        <v>501010</v>
      </c>
      <c r="I14948">
        <v>50</v>
      </c>
    </row>
    <row r="14949" spans="1:9" x14ac:dyDescent="0.25">
      <c r="A14949">
        <v>4220</v>
      </c>
      <c r="B14949">
        <v>60</v>
      </c>
      <c r="C14949" t="s">
        <v>946</v>
      </c>
      <c r="D14949" t="s">
        <v>1028</v>
      </c>
      <c r="E14949" t="s">
        <v>286</v>
      </c>
      <c r="F14949" t="s">
        <v>948</v>
      </c>
      <c r="G14949">
        <v>6077777</v>
      </c>
      <c r="H14949">
        <v>501010</v>
      </c>
      <c r="I14949">
        <v>50</v>
      </c>
    </row>
    <row r="14950" spans="1:9" x14ac:dyDescent="0.25">
      <c r="A14950">
        <v>4230</v>
      </c>
      <c r="B14950">
        <v>60</v>
      </c>
      <c r="C14950" t="s">
        <v>946</v>
      </c>
      <c r="D14950" t="s">
        <v>1028</v>
      </c>
      <c r="E14950" t="s">
        <v>286</v>
      </c>
      <c r="F14950" t="s">
        <v>948</v>
      </c>
      <c r="G14950">
        <v>6099999</v>
      </c>
      <c r="H14950">
        <v>401035</v>
      </c>
      <c r="I14950">
        <v>50</v>
      </c>
    </row>
    <row r="14951" spans="1:9" x14ac:dyDescent="0.25">
      <c r="A14951">
        <v>4240</v>
      </c>
      <c r="B14951">
        <v>60</v>
      </c>
      <c r="C14951" t="s">
        <v>946</v>
      </c>
      <c r="D14951" t="s">
        <v>1028</v>
      </c>
      <c r="E14951" t="s">
        <v>286</v>
      </c>
      <c r="F14951" t="s">
        <v>948</v>
      </c>
      <c r="G14951">
        <v>6000000</v>
      </c>
      <c r="H14951">
        <v>145000</v>
      </c>
      <c r="I14951" t="s">
        <v>949</v>
      </c>
    </row>
    <row r="14952" spans="1:9" x14ac:dyDescent="0.25">
      <c r="A14952">
        <v>4141</v>
      </c>
      <c r="B14952">
        <v>60</v>
      </c>
      <c r="C14952" t="s">
        <v>946</v>
      </c>
      <c r="D14952" t="s">
        <v>1028</v>
      </c>
      <c r="E14952" t="s">
        <v>976</v>
      </c>
      <c r="F14952" t="s">
        <v>948</v>
      </c>
      <c r="G14952">
        <v>6077777</v>
      </c>
      <c r="H14952">
        <v>501010</v>
      </c>
      <c r="I14952">
        <v>50</v>
      </c>
    </row>
    <row r="14953" spans="1:9" x14ac:dyDescent="0.25">
      <c r="A14953">
        <v>4220</v>
      </c>
      <c r="B14953">
        <v>60</v>
      </c>
      <c r="C14953" t="s">
        <v>946</v>
      </c>
      <c r="D14953" t="s">
        <v>1028</v>
      </c>
      <c r="E14953" t="s">
        <v>976</v>
      </c>
      <c r="F14953" t="s">
        <v>948</v>
      </c>
      <c r="G14953">
        <v>6077777</v>
      </c>
      <c r="H14953">
        <v>501010</v>
      </c>
      <c r="I14953">
        <v>50</v>
      </c>
    </row>
    <row r="14954" spans="1:9" x14ac:dyDescent="0.25">
      <c r="A14954">
        <v>4230</v>
      </c>
      <c r="B14954">
        <v>60</v>
      </c>
      <c r="C14954" t="s">
        <v>946</v>
      </c>
      <c r="D14954" t="s">
        <v>1028</v>
      </c>
      <c r="E14954" t="s">
        <v>976</v>
      </c>
      <c r="F14954" t="s">
        <v>948</v>
      </c>
      <c r="G14954">
        <v>6099999</v>
      </c>
      <c r="H14954">
        <v>401915</v>
      </c>
      <c r="I14954">
        <v>50</v>
      </c>
    </row>
    <row r="14955" spans="1:9" x14ac:dyDescent="0.25">
      <c r="A14955">
        <v>4240</v>
      </c>
      <c r="B14955">
        <v>60</v>
      </c>
      <c r="C14955" t="s">
        <v>946</v>
      </c>
      <c r="D14955" t="s">
        <v>1028</v>
      </c>
      <c r="E14955" t="s">
        <v>976</v>
      </c>
      <c r="F14955" t="s">
        <v>948</v>
      </c>
      <c r="G14955">
        <v>6000000</v>
      </c>
      <c r="H14955">
        <v>141000</v>
      </c>
      <c r="I14955" t="s">
        <v>977</v>
      </c>
    </row>
    <row r="14956" spans="1:9" x14ac:dyDescent="0.25">
      <c r="A14956">
        <v>4141</v>
      </c>
      <c r="B14956">
        <v>60</v>
      </c>
      <c r="C14956" t="s">
        <v>946</v>
      </c>
      <c r="D14956" t="s">
        <v>1028</v>
      </c>
      <c r="E14956" t="s">
        <v>290</v>
      </c>
      <c r="F14956" t="s">
        <v>948</v>
      </c>
      <c r="G14956">
        <v>6077777</v>
      </c>
      <c r="H14956">
        <v>501010</v>
      </c>
      <c r="I14956">
        <v>50</v>
      </c>
    </row>
    <row r="14957" spans="1:9" x14ac:dyDescent="0.25">
      <c r="A14957">
        <v>4220</v>
      </c>
      <c r="B14957">
        <v>60</v>
      </c>
      <c r="C14957" t="s">
        <v>946</v>
      </c>
      <c r="D14957" t="s">
        <v>1028</v>
      </c>
      <c r="E14957" t="s">
        <v>290</v>
      </c>
      <c r="F14957" t="s">
        <v>948</v>
      </c>
      <c r="G14957">
        <v>6077777</v>
      </c>
      <c r="H14957">
        <v>501010</v>
      </c>
      <c r="I14957">
        <v>50</v>
      </c>
    </row>
    <row r="14958" spans="1:9" x14ac:dyDescent="0.25">
      <c r="A14958">
        <v>4230</v>
      </c>
      <c r="B14958">
        <v>60</v>
      </c>
      <c r="C14958" t="s">
        <v>946</v>
      </c>
      <c r="D14958" t="s">
        <v>1028</v>
      </c>
      <c r="E14958" t="s">
        <v>290</v>
      </c>
      <c r="F14958" t="s">
        <v>948</v>
      </c>
      <c r="G14958">
        <v>6099999</v>
      </c>
      <c r="H14958">
        <v>401045</v>
      </c>
      <c r="I14958">
        <v>50</v>
      </c>
    </row>
    <row r="14959" spans="1:9" x14ac:dyDescent="0.25">
      <c r="A14959">
        <v>4240</v>
      </c>
      <c r="B14959">
        <v>60</v>
      </c>
      <c r="C14959" t="s">
        <v>946</v>
      </c>
      <c r="D14959" t="s">
        <v>1028</v>
      </c>
      <c r="E14959" t="s">
        <v>290</v>
      </c>
      <c r="F14959" t="s">
        <v>948</v>
      </c>
      <c r="G14959">
        <v>6000000</v>
      </c>
      <c r="H14959">
        <v>143000</v>
      </c>
      <c r="I14959" t="s">
        <v>978</v>
      </c>
    </row>
    <row r="14960" spans="1:9" x14ac:dyDescent="0.25">
      <c r="A14960">
        <v>4141</v>
      </c>
      <c r="B14960">
        <v>60</v>
      </c>
      <c r="C14960" t="s">
        <v>946</v>
      </c>
      <c r="D14960" t="s">
        <v>1028</v>
      </c>
      <c r="E14960" t="s">
        <v>294</v>
      </c>
      <c r="F14960" t="s">
        <v>948</v>
      </c>
      <c r="G14960">
        <v>6077777</v>
      </c>
      <c r="H14960">
        <v>501010</v>
      </c>
      <c r="I14960">
        <v>50</v>
      </c>
    </row>
    <row r="14961" spans="1:9" x14ac:dyDescent="0.25">
      <c r="A14961">
        <v>4220</v>
      </c>
      <c r="B14961">
        <v>60</v>
      </c>
      <c r="C14961" t="s">
        <v>946</v>
      </c>
      <c r="D14961" t="s">
        <v>1028</v>
      </c>
      <c r="E14961" t="s">
        <v>294</v>
      </c>
      <c r="F14961" t="s">
        <v>948</v>
      </c>
      <c r="G14961">
        <v>6077777</v>
      </c>
      <c r="H14961">
        <v>501010</v>
      </c>
      <c r="I14961">
        <v>50</v>
      </c>
    </row>
    <row r="14962" spans="1:9" x14ac:dyDescent="0.25">
      <c r="A14962">
        <v>4230</v>
      </c>
      <c r="B14962">
        <v>60</v>
      </c>
      <c r="C14962" t="s">
        <v>946</v>
      </c>
      <c r="D14962" t="s">
        <v>1028</v>
      </c>
      <c r="E14962" t="s">
        <v>294</v>
      </c>
      <c r="F14962" t="s">
        <v>948</v>
      </c>
      <c r="G14962">
        <v>6099999</v>
      </c>
      <c r="H14962">
        <v>401045</v>
      </c>
      <c r="I14962">
        <v>50</v>
      </c>
    </row>
    <row r="14963" spans="1:9" x14ac:dyDescent="0.25">
      <c r="A14963">
        <v>4240</v>
      </c>
      <c r="B14963">
        <v>60</v>
      </c>
      <c r="C14963" t="s">
        <v>946</v>
      </c>
      <c r="D14963" t="s">
        <v>1028</v>
      </c>
      <c r="E14963" t="s">
        <v>294</v>
      </c>
      <c r="F14963" t="s">
        <v>948</v>
      </c>
      <c r="G14963">
        <v>6000000</v>
      </c>
      <c r="H14963">
        <v>143000</v>
      </c>
      <c r="I14963" t="s">
        <v>979</v>
      </c>
    </row>
    <row r="14964" spans="1:9" x14ac:dyDescent="0.25">
      <c r="A14964">
        <v>4230</v>
      </c>
      <c r="B14964">
        <v>60</v>
      </c>
      <c r="C14964" t="s">
        <v>946</v>
      </c>
      <c r="D14964" t="s">
        <v>1028</v>
      </c>
      <c r="E14964" t="s">
        <v>298</v>
      </c>
      <c r="F14964" t="s">
        <v>948</v>
      </c>
      <c r="G14964">
        <v>6099999</v>
      </c>
      <c r="H14964">
        <v>402085</v>
      </c>
      <c r="I14964">
        <v>50</v>
      </c>
    </row>
    <row r="14965" spans="1:9" x14ac:dyDescent="0.25">
      <c r="A14965">
        <v>4141</v>
      </c>
      <c r="B14965">
        <v>60</v>
      </c>
      <c r="C14965" t="s">
        <v>946</v>
      </c>
      <c r="D14965" t="s">
        <v>1028</v>
      </c>
      <c r="E14965" t="s">
        <v>980</v>
      </c>
      <c r="F14965" t="s">
        <v>948</v>
      </c>
      <c r="G14965">
        <v>6077777</v>
      </c>
      <c r="H14965">
        <v>501010</v>
      </c>
      <c r="I14965">
        <v>50</v>
      </c>
    </row>
    <row r="14966" spans="1:9" x14ac:dyDescent="0.25">
      <c r="A14966">
        <v>4220</v>
      </c>
      <c r="B14966">
        <v>60</v>
      </c>
      <c r="C14966" t="s">
        <v>946</v>
      </c>
      <c r="D14966" t="s">
        <v>1028</v>
      </c>
      <c r="E14966" t="s">
        <v>980</v>
      </c>
      <c r="F14966" t="s">
        <v>948</v>
      </c>
      <c r="G14966">
        <v>6077777</v>
      </c>
      <c r="H14966">
        <v>501010</v>
      </c>
      <c r="I14966">
        <v>50</v>
      </c>
    </row>
    <row r="14967" spans="1:9" x14ac:dyDescent="0.25">
      <c r="A14967">
        <v>4230</v>
      </c>
      <c r="B14967">
        <v>60</v>
      </c>
      <c r="C14967" t="s">
        <v>946</v>
      </c>
      <c r="D14967" t="s">
        <v>1028</v>
      </c>
      <c r="E14967" t="s">
        <v>980</v>
      </c>
      <c r="F14967" t="s">
        <v>948</v>
      </c>
      <c r="G14967">
        <v>6099999</v>
      </c>
      <c r="H14967">
        <v>401915</v>
      </c>
      <c r="I14967">
        <v>50</v>
      </c>
    </row>
    <row r="14968" spans="1:9" x14ac:dyDescent="0.25">
      <c r="A14968">
        <v>4240</v>
      </c>
      <c r="B14968">
        <v>60</v>
      </c>
      <c r="C14968" t="s">
        <v>946</v>
      </c>
      <c r="D14968" t="s">
        <v>1028</v>
      </c>
      <c r="E14968" t="s">
        <v>980</v>
      </c>
      <c r="F14968" t="s">
        <v>948</v>
      </c>
      <c r="G14968">
        <v>6000000</v>
      </c>
      <c r="H14968">
        <v>141000</v>
      </c>
      <c r="I14968" t="s">
        <v>981</v>
      </c>
    </row>
    <row r="14969" spans="1:9" x14ac:dyDescent="0.25">
      <c r="A14969">
        <v>4141</v>
      </c>
      <c r="B14969">
        <v>60</v>
      </c>
      <c r="C14969" t="s">
        <v>946</v>
      </c>
      <c r="D14969" t="s">
        <v>1028</v>
      </c>
      <c r="E14969" t="s">
        <v>302</v>
      </c>
      <c r="F14969" t="s">
        <v>948</v>
      </c>
      <c r="G14969">
        <v>6077777</v>
      </c>
      <c r="H14969">
        <v>501010</v>
      </c>
      <c r="I14969">
        <v>50</v>
      </c>
    </row>
    <row r="14970" spans="1:9" x14ac:dyDescent="0.25">
      <c r="A14970">
        <v>4220</v>
      </c>
      <c r="B14970">
        <v>60</v>
      </c>
      <c r="C14970" t="s">
        <v>946</v>
      </c>
      <c r="D14970" t="s">
        <v>1028</v>
      </c>
      <c r="E14970" t="s">
        <v>302</v>
      </c>
      <c r="F14970" t="s">
        <v>948</v>
      </c>
      <c r="G14970">
        <v>6077777</v>
      </c>
      <c r="H14970">
        <v>501010</v>
      </c>
      <c r="I14970">
        <v>50</v>
      </c>
    </row>
    <row r="14971" spans="1:9" x14ac:dyDescent="0.25">
      <c r="A14971">
        <v>4230</v>
      </c>
      <c r="B14971">
        <v>60</v>
      </c>
      <c r="C14971" t="s">
        <v>946</v>
      </c>
      <c r="D14971" t="s">
        <v>1028</v>
      </c>
      <c r="E14971" t="s">
        <v>302</v>
      </c>
      <c r="F14971" t="s">
        <v>948</v>
      </c>
      <c r="G14971">
        <v>6099999</v>
      </c>
      <c r="H14971">
        <v>401905</v>
      </c>
      <c r="I14971">
        <v>50</v>
      </c>
    </row>
    <row r="14972" spans="1:9" x14ac:dyDescent="0.25">
      <c r="A14972">
        <v>4240</v>
      </c>
      <c r="B14972">
        <v>60</v>
      </c>
      <c r="C14972" t="s">
        <v>946</v>
      </c>
      <c r="D14972" t="s">
        <v>1028</v>
      </c>
      <c r="E14972" t="s">
        <v>302</v>
      </c>
      <c r="F14972" t="s">
        <v>948</v>
      </c>
      <c r="G14972">
        <v>6000000</v>
      </c>
      <c r="H14972">
        <v>143000</v>
      </c>
      <c r="I14972" t="s">
        <v>982</v>
      </c>
    </row>
    <row r="14973" spans="1:9" x14ac:dyDescent="0.25">
      <c r="A14973">
        <v>4141</v>
      </c>
      <c r="B14973">
        <v>60</v>
      </c>
      <c r="C14973" t="s">
        <v>946</v>
      </c>
      <c r="D14973" t="s">
        <v>1028</v>
      </c>
      <c r="E14973" t="s">
        <v>306</v>
      </c>
      <c r="F14973" t="s">
        <v>948</v>
      </c>
      <c r="G14973">
        <v>6077777</v>
      </c>
      <c r="H14973">
        <v>501010</v>
      </c>
      <c r="I14973">
        <v>50</v>
      </c>
    </row>
    <row r="14974" spans="1:9" x14ac:dyDescent="0.25">
      <c r="A14974">
        <v>4220</v>
      </c>
      <c r="B14974">
        <v>60</v>
      </c>
      <c r="C14974" t="s">
        <v>946</v>
      </c>
      <c r="D14974" t="s">
        <v>1028</v>
      </c>
      <c r="E14974" t="s">
        <v>306</v>
      </c>
      <c r="F14974" t="s">
        <v>948</v>
      </c>
      <c r="G14974">
        <v>6077777</v>
      </c>
      <c r="H14974">
        <v>501010</v>
      </c>
      <c r="I14974">
        <v>50</v>
      </c>
    </row>
    <row r="14975" spans="1:9" x14ac:dyDescent="0.25">
      <c r="A14975">
        <v>4230</v>
      </c>
      <c r="B14975">
        <v>60</v>
      </c>
      <c r="C14975" t="s">
        <v>946</v>
      </c>
      <c r="D14975" t="s">
        <v>1028</v>
      </c>
      <c r="E14975" t="s">
        <v>306</v>
      </c>
      <c r="F14975" t="s">
        <v>948</v>
      </c>
      <c r="G14975">
        <v>6099999</v>
      </c>
      <c r="H14975">
        <v>401045</v>
      </c>
      <c r="I14975">
        <v>50</v>
      </c>
    </row>
    <row r="14976" spans="1:9" x14ac:dyDescent="0.25">
      <c r="A14976">
        <v>4240</v>
      </c>
      <c r="B14976">
        <v>60</v>
      </c>
      <c r="C14976" t="s">
        <v>946</v>
      </c>
      <c r="D14976" t="s">
        <v>1028</v>
      </c>
      <c r="E14976" t="s">
        <v>306</v>
      </c>
      <c r="F14976" t="s">
        <v>948</v>
      </c>
      <c r="G14976">
        <v>6000000</v>
      </c>
      <c r="H14976">
        <v>143000</v>
      </c>
      <c r="I14976" t="s">
        <v>983</v>
      </c>
    </row>
    <row r="14977" spans="1:9" x14ac:dyDescent="0.25">
      <c r="A14977">
        <v>4141</v>
      </c>
      <c r="B14977">
        <v>60</v>
      </c>
      <c r="C14977" t="s">
        <v>946</v>
      </c>
      <c r="D14977" t="s">
        <v>1028</v>
      </c>
      <c r="E14977" t="s">
        <v>108</v>
      </c>
      <c r="F14977" t="s">
        <v>948</v>
      </c>
      <c r="G14977">
        <v>6077777</v>
      </c>
      <c r="H14977">
        <v>500220</v>
      </c>
      <c r="I14977">
        <v>50</v>
      </c>
    </row>
    <row r="14978" spans="1:9" x14ac:dyDescent="0.25">
      <c r="A14978">
        <v>4220</v>
      </c>
      <c r="B14978">
        <v>60</v>
      </c>
      <c r="C14978" t="s">
        <v>946</v>
      </c>
      <c r="D14978" t="s">
        <v>1028</v>
      </c>
      <c r="E14978" t="s">
        <v>108</v>
      </c>
      <c r="F14978" t="s">
        <v>948</v>
      </c>
      <c r="G14978">
        <v>6077777</v>
      </c>
      <c r="H14978">
        <v>500220</v>
      </c>
      <c r="I14978">
        <v>50</v>
      </c>
    </row>
    <row r="14979" spans="1:9" x14ac:dyDescent="0.25">
      <c r="A14979">
        <v>4230</v>
      </c>
      <c r="B14979">
        <v>60</v>
      </c>
      <c r="C14979" t="s">
        <v>946</v>
      </c>
      <c r="D14979" t="s">
        <v>1028</v>
      </c>
      <c r="E14979" t="s">
        <v>108</v>
      </c>
      <c r="F14979" t="s">
        <v>948</v>
      </c>
      <c r="G14979">
        <v>6099999</v>
      </c>
      <c r="H14979">
        <v>401045</v>
      </c>
      <c r="I14979">
        <v>50</v>
      </c>
    </row>
    <row r="14980" spans="1:9" x14ac:dyDescent="0.25">
      <c r="A14980">
        <v>4240</v>
      </c>
      <c r="B14980">
        <v>60</v>
      </c>
      <c r="C14980" t="s">
        <v>946</v>
      </c>
      <c r="D14980" t="s">
        <v>1028</v>
      </c>
      <c r="E14980" t="s">
        <v>108</v>
      </c>
      <c r="F14980" t="s">
        <v>948</v>
      </c>
      <c r="G14980">
        <v>6077777</v>
      </c>
      <c r="H14980">
        <v>500221</v>
      </c>
      <c r="I14980">
        <v>50</v>
      </c>
    </row>
    <row r="14981" spans="1:9" x14ac:dyDescent="0.25">
      <c r="A14981">
        <v>4141</v>
      </c>
      <c r="B14981">
        <v>60</v>
      </c>
      <c r="C14981" t="s">
        <v>946</v>
      </c>
      <c r="D14981" t="s">
        <v>1028</v>
      </c>
      <c r="E14981" t="s">
        <v>310</v>
      </c>
      <c r="F14981" t="s">
        <v>948</v>
      </c>
      <c r="G14981">
        <v>6077777</v>
      </c>
      <c r="H14981">
        <v>501010</v>
      </c>
      <c r="I14981">
        <v>50</v>
      </c>
    </row>
    <row r="14982" spans="1:9" x14ac:dyDescent="0.25">
      <c r="A14982">
        <v>4220</v>
      </c>
      <c r="B14982">
        <v>60</v>
      </c>
      <c r="C14982" t="s">
        <v>946</v>
      </c>
      <c r="D14982" t="s">
        <v>1028</v>
      </c>
      <c r="E14982" t="s">
        <v>310</v>
      </c>
      <c r="F14982" t="s">
        <v>948</v>
      </c>
      <c r="G14982">
        <v>6077777</v>
      </c>
      <c r="H14982">
        <v>501010</v>
      </c>
      <c r="I14982">
        <v>50</v>
      </c>
    </row>
    <row r="14983" spans="1:9" x14ac:dyDescent="0.25">
      <c r="A14983">
        <v>4230</v>
      </c>
      <c r="B14983">
        <v>60</v>
      </c>
      <c r="C14983" t="s">
        <v>946</v>
      </c>
      <c r="D14983" t="s">
        <v>1028</v>
      </c>
      <c r="E14983" t="s">
        <v>310</v>
      </c>
      <c r="F14983" t="s">
        <v>948</v>
      </c>
      <c r="G14983">
        <v>6099999</v>
      </c>
      <c r="H14983">
        <v>401015</v>
      </c>
      <c r="I14983">
        <v>50</v>
      </c>
    </row>
    <row r="14984" spans="1:9" x14ac:dyDescent="0.25">
      <c r="A14984">
        <v>4240</v>
      </c>
      <c r="B14984">
        <v>60</v>
      </c>
      <c r="C14984" t="s">
        <v>946</v>
      </c>
      <c r="D14984" t="s">
        <v>1028</v>
      </c>
      <c r="E14984" t="s">
        <v>310</v>
      </c>
      <c r="F14984" t="s">
        <v>948</v>
      </c>
      <c r="G14984">
        <v>6000000</v>
      </c>
      <c r="H14984">
        <v>145000</v>
      </c>
      <c r="I14984" t="s">
        <v>949</v>
      </c>
    </row>
    <row r="14985" spans="1:9" x14ac:dyDescent="0.25">
      <c r="A14985">
        <v>4141</v>
      </c>
      <c r="B14985">
        <v>60</v>
      </c>
      <c r="C14985" t="s">
        <v>946</v>
      </c>
      <c r="D14985" t="s">
        <v>1028</v>
      </c>
      <c r="E14985" t="s">
        <v>314</v>
      </c>
      <c r="F14985" t="s">
        <v>948</v>
      </c>
      <c r="G14985">
        <v>6077777</v>
      </c>
      <c r="H14985">
        <v>501010</v>
      </c>
      <c r="I14985">
        <v>50</v>
      </c>
    </row>
    <row r="14986" spans="1:9" x14ac:dyDescent="0.25">
      <c r="A14986">
        <v>4220</v>
      </c>
      <c r="B14986">
        <v>60</v>
      </c>
      <c r="C14986" t="s">
        <v>946</v>
      </c>
      <c r="D14986" t="s">
        <v>1028</v>
      </c>
      <c r="E14986" t="s">
        <v>314</v>
      </c>
      <c r="F14986" t="s">
        <v>948</v>
      </c>
      <c r="G14986">
        <v>6077777</v>
      </c>
      <c r="H14986">
        <v>501010</v>
      </c>
      <c r="I14986">
        <v>50</v>
      </c>
    </row>
    <row r="14987" spans="1:9" x14ac:dyDescent="0.25">
      <c r="A14987">
        <v>4230</v>
      </c>
      <c r="B14987">
        <v>60</v>
      </c>
      <c r="C14987" t="s">
        <v>946</v>
      </c>
      <c r="D14987" t="s">
        <v>1028</v>
      </c>
      <c r="E14987" t="s">
        <v>314</v>
      </c>
      <c r="F14987" t="s">
        <v>948</v>
      </c>
      <c r="G14987">
        <v>6099999</v>
      </c>
      <c r="H14987">
        <v>401065</v>
      </c>
      <c r="I14987">
        <v>50</v>
      </c>
    </row>
    <row r="14988" spans="1:9" x14ac:dyDescent="0.25">
      <c r="A14988">
        <v>4240</v>
      </c>
      <c r="B14988">
        <v>60</v>
      </c>
      <c r="C14988" t="s">
        <v>946</v>
      </c>
      <c r="D14988" t="s">
        <v>1028</v>
      </c>
      <c r="E14988" t="s">
        <v>314</v>
      </c>
      <c r="F14988" t="s">
        <v>948</v>
      </c>
      <c r="G14988">
        <v>6000000</v>
      </c>
      <c r="H14988">
        <v>145000</v>
      </c>
      <c r="I14988" t="s">
        <v>949</v>
      </c>
    </row>
    <row r="14989" spans="1:9" x14ac:dyDescent="0.25">
      <c r="A14989">
        <v>4141</v>
      </c>
      <c r="B14989">
        <v>60</v>
      </c>
      <c r="C14989" t="s">
        <v>946</v>
      </c>
      <c r="D14989" t="s">
        <v>1028</v>
      </c>
      <c r="E14989" t="s">
        <v>113</v>
      </c>
      <c r="F14989" t="s">
        <v>948</v>
      </c>
      <c r="G14989">
        <v>6077777</v>
      </c>
      <c r="H14989">
        <v>500220</v>
      </c>
      <c r="I14989">
        <v>50</v>
      </c>
    </row>
    <row r="14990" spans="1:9" x14ac:dyDescent="0.25">
      <c r="A14990">
        <v>4220</v>
      </c>
      <c r="B14990">
        <v>60</v>
      </c>
      <c r="C14990" t="s">
        <v>946</v>
      </c>
      <c r="D14990" t="s">
        <v>1028</v>
      </c>
      <c r="E14990" t="s">
        <v>113</v>
      </c>
      <c r="F14990" t="s">
        <v>948</v>
      </c>
      <c r="G14990">
        <v>6077777</v>
      </c>
      <c r="H14990">
        <v>500220</v>
      </c>
      <c r="I14990">
        <v>50</v>
      </c>
    </row>
    <row r="14991" spans="1:9" x14ac:dyDescent="0.25">
      <c r="A14991">
        <v>4230</v>
      </c>
      <c r="B14991">
        <v>60</v>
      </c>
      <c r="C14991" t="s">
        <v>946</v>
      </c>
      <c r="D14991" t="s">
        <v>1028</v>
      </c>
      <c r="E14991" t="s">
        <v>113</v>
      </c>
      <c r="F14991" t="s">
        <v>948</v>
      </c>
      <c r="G14991">
        <v>6099999</v>
      </c>
      <c r="H14991">
        <v>402085</v>
      </c>
      <c r="I14991">
        <v>50</v>
      </c>
    </row>
    <row r="14992" spans="1:9" x14ac:dyDescent="0.25">
      <c r="A14992">
        <v>4240</v>
      </c>
      <c r="B14992">
        <v>60</v>
      </c>
      <c r="C14992" t="s">
        <v>946</v>
      </c>
      <c r="D14992" t="s">
        <v>1028</v>
      </c>
      <c r="E14992" t="s">
        <v>113</v>
      </c>
      <c r="F14992" t="s">
        <v>948</v>
      </c>
      <c r="G14992">
        <v>6077777</v>
      </c>
      <c r="H14992">
        <v>500221</v>
      </c>
      <c r="I14992">
        <v>50</v>
      </c>
    </row>
    <row r="14993" spans="1:9" x14ac:dyDescent="0.25">
      <c r="A14993">
        <v>4141</v>
      </c>
      <c r="B14993">
        <v>60</v>
      </c>
      <c r="C14993" t="s">
        <v>946</v>
      </c>
      <c r="D14993" t="s">
        <v>1028</v>
      </c>
      <c r="E14993" t="s">
        <v>117</v>
      </c>
      <c r="F14993" t="s">
        <v>948</v>
      </c>
      <c r="G14993">
        <v>6077777</v>
      </c>
      <c r="H14993">
        <v>500220</v>
      </c>
      <c r="I14993">
        <v>50</v>
      </c>
    </row>
    <row r="14994" spans="1:9" x14ac:dyDescent="0.25">
      <c r="A14994">
        <v>4220</v>
      </c>
      <c r="B14994">
        <v>60</v>
      </c>
      <c r="C14994" t="s">
        <v>946</v>
      </c>
      <c r="D14994" t="s">
        <v>1028</v>
      </c>
      <c r="E14994" t="s">
        <v>117</v>
      </c>
      <c r="F14994" t="s">
        <v>948</v>
      </c>
      <c r="G14994">
        <v>6077777</v>
      </c>
      <c r="H14994">
        <v>500220</v>
      </c>
      <c r="I14994">
        <v>50</v>
      </c>
    </row>
    <row r="14995" spans="1:9" x14ac:dyDescent="0.25">
      <c r="A14995">
        <v>4230</v>
      </c>
      <c r="B14995">
        <v>60</v>
      </c>
      <c r="C14995" t="s">
        <v>946</v>
      </c>
      <c r="D14995" t="s">
        <v>1028</v>
      </c>
      <c r="E14995" t="s">
        <v>117</v>
      </c>
      <c r="F14995" t="s">
        <v>948</v>
      </c>
      <c r="G14995">
        <v>6088888</v>
      </c>
      <c r="H14995">
        <v>810600</v>
      </c>
      <c r="I14995">
        <v>50</v>
      </c>
    </row>
    <row r="14996" spans="1:9" x14ac:dyDescent="0.25">
      <c r="A14996">
        <v>4240</v>
      </c>
      <c r="B14996">
        <v>60</v>
      </c>
      <c r="C14996" t="s">
        <v>946</v>
      </c>
      <c r="D14996" t="s">
        <v>1028</v>
      </c>
      <c r="E14996" t="s">
        <v>117</v>
      </c>
      <c r="F14996" t="s">
        <v>948</v>
      </c>
      <c r="G14996">
        <v>6077777</v>
      </c>
      <c r="H14996">
        <v>500221</v>
      </c>
      <c r="I14996">
        <v>50</v>
      </c>
    </row>
    <row r="14997" spans="1:9" x14ac:dyDescent="0.25">
      <c r="A14997">
        <v>4141</v>
      </c>
      <c r="B14997">
        <v>60</v>
      </c>
      <c r="C14997" t="s">
        <v>946</v>
      </c>
      <c r="D14997" t="s">
        <v>1028</v>
      </c>
      <c r="E14997" t="s">
        <v>121</v>
      </c>
      <c r="F14997" t="s">
        <v>948</v>
      </c>
      <c r="G14997">
        <v>6077777</v>
      </c>
      <c r="H14997">
        <v>500220</v>
      </c>
      <c r="I14997">
        <v>50</v>
      </c>
    </row>
    <row r="14998" spans="1:9" x14ac:dyDescent="0.25">
      <c r="A14998">
        <v>4220</v>
      </c>
      <c r="B14998">
        <v>60</v>
      </c>
      <c r="C14998" t="s">
        <v>946</v>
      </c>
      <c r="D14998" t="s">
        <v>1028</v>
      </c>
      <c r="E14998" t="s">
        <v>121</v>
      </c>
      <c r="F14998" t="s">
        <v>948</v>
      </c>
      <c r="G14998">
        <v>6077777</v>
      </c>
      <c r="H14998">
        <v>500220</v>
      </c>
      <c r="I14998">
        <v>50</v>
      </c>
    </row>
    <row r="14999" spans="1:9" x14ac:dyDescent="0.25">
      <c r="A14999">
        <v>4230</v>
      </c>
      <c r="B14999">
        <v>60</v>
      </c>
      <c r="C14999" t="s">
        <v>946</v>
      </c>
      <c r="D14999" t="s">
        <v>1028</v>
      </c>
      <c r="E14999" t="s">
        <v>121</v>
      </c>
      <c r="F14999" t="s">
        <v>948</v>
      </c>
      <c r="G14999">
        <v>6099999</v>
      </c>
      <c r="H14999">
        <v>401045</v>
      </c>
      <c r="I14999">
        <v>50</v>
      </c>
    </row>
    <row r="15000" spans="1:9" x14ac:dyDescent="0.25">
      <c r="A15000">
        <v>4240</v>
      </c>
      <c r="B15000">
        <v>60</v>
      </c>
      <c r="C15000" t="s">
        <v>946</v>
      </c>
      <c r="D15000" t="s">
        <v>1028</v>
      </c>
      <c r="E15000" t="s">
        <v>121</v>
      </c>
      <c r="F15000" t="s">
        <v>948</v>
      </c>
      <c r="G15000">
        <v>6077777</v>
      </c>
      <c r="H15000">
        <v>500221</v>
      </c>
      <c r="I15000">
        <v>50</v>
      </c>
    </row>
    <row r="15001" spans="1:9" x14ac:dyDescent="0.25">
      <c r="A15001">
        <v>4141</v>
      </c>
      <c r="B15001">
        <v>60</v>
      </c>
      <c r="C15001" t="s">
        <v>946</v>
      </c>
      <c r="D15001" t="s">
        <v>1028</v>
      </c>
      <c r="E15001" t="s">
        <v>984</v>
      </c>
      <c r="F15001" t="s">
        <v>948</v>
      </c>
      <c r="G15001">
        <v>6077777</v>
      </c>
      <c r="H15001">
        <v>501010</v>
      </c>
      <c r="I15001">
        <v>50</v>
      </c>
    </row>
    <row r="15002" spans="1:9" x14ac:dyDescent="0.25">
      <c r="A15002">
        <v>4220</v>
      </c>
      <c r="B15002">
        <v>60</v>
      </c>
      <c r="C15002" t="s">
        <v>946</v>
      </c>
      <c r="D15002" t="s">
        <v>1028</v>
      </c>
      <c r="E15002" t="s">
        <v>984</v>
      </c>
      <c r="F15002" t="s">
        <v>948</v>
      </c>
      <c r="G15002">
        <v>6077777</v>
      </c>
      <c r="H15002">
        <v>501010</v>
      </c>
      <c r="I15002">
        <v>50</v>
      </c>
    </row>
    <row r="15003" spans="1:9" x14ac:dyDescent="0.25">
      <c r="A15003">
        <v>4230</v>
      </c>
      <c r="B15003">
        <v>60</v>
      </c>
      <c r="C15003" t="s">
        <v>946</v>
      </c>
      <c r="D15003" t="s">
        <v>1028</v>
      </c>
      <c r="E15003" t="s">
        <v>984</v>
      </c>
      <c r="F15003" t="s">
        <v>948</v>
      </c>
      <c r="G15003">
        <v>6099999</v>
      </c>
      <c r="H15003">
        <v>401915</v>
      </c>
      <c r="I15003">
        <v>50</v>
      </c>
    </row>
    <row r="15004" spans="1:9" x14ac:dyDescent="0.25">
      <c r="A15004">
        <v>4240</v>
      </c>
      <c r="B15004">
        <v>60</v>
      </c>
      <c r="C15004" t="s">
        <v>946</v>
      </c>
      <c r="D15004" t="s">
        <v>1028</v>
      </c>
      <c r="E15004" t="s">
        <v>984</v>
      </c>
      <c r="F15004" t="s">
        <v>948</v>
      </c>
      <c r="G15004">
        <v>6000000</v>
      </c>
      <c r="H15004">
        <v>141000</v>
      </c>
      <c r="I15004" t="s">
        <v>985</v>
      </c>
    </row>
    <row r="15005" spans="1:9" x14ac:dyDescent="0.25">
      <c r="A15005">
        <v>4141</v>
      </c>
      <c r="B15005">
        <v>60</v>
      </c>
      <c r="C15005" t="s">
        <v>946</v>
      </c>
      <c r="D15005" t="s">
        <v>1029</v>
      </c>
      <c r="E15005" t="s">
        <v>243</v>
      </c>
      <c r="F15005" t="s">
        <v>948</v>
      </c>
      <c r="G15005">
        <v>6077777</v>
      </c>
      <c r="H15005">
        <v>501010</v>
      </c>
      <c r="I15005" t="s">
        <v>949</v>
      </c>
    </row>
    <row r="15006" spans="1:9" x14ac:dyDescent="0.25">
      <c r="A15006">
        <v>4220</v>
      </c>
      <c r="B15006">
        <v>60</v>
      </c>
      <c r="C15006" t="s">
        <v>946</v>
      </c>
      <c r="D15006" t="s">
        <v>1029</v>
      </c>
      <c r="E15006" t="s">
        <v>243</v>
      </c>
      <c r="F15006" t="s">
        <v>948</v>
      </c>
      <c r="G15006">
        <v>6077777</v>
      </c>
      <c r="H15006">
        <v>501010</v>
      </c>
      <c r="I15006" t="s">
        <v>949</v>
      </c>
    </row>
    <row r="15007" spans="1:9" x14ac:dyDescent="0.25">
      <c r="A15007">
        <v>4230</v>
      </c>
      <c r="B15007">
        <v>60</v>
      </c>
      <c r="C15007" t="s">
        <v>946</v>
      </c>
      <c r="D15007" t="s">
        <v>1029</v>
      </c>
      <c r="E15007" t="s">
        <v>243</v>
      </c>
      <c r="F15007" t="s">
        <v>948</v>
      </c>
      <c r="G15007">
        <v>6099999</v>
      </c>
      <c r="H15007">
        <v>401052</v>
      </c>
      <c r="I15007" t="s">
        <v>949</v>
      </c>
    </row>
    <row r="15008" spans="1:9" x14ac:dyDescent="0.25">
      <c r="A15008">
        <v>4240</v>
      </c>
      <c r="B15008">
        <v>60</v>
      </c>
      <c r="C15008" t="s">
        <v>946</v>
      </c>
      <c r="D15008" t="s">
        <v>1029</v>
      </c>
      <c r="E15008" t="s">
        <v>243</v>
      </c>
      <c r="F15008" t="s">
        <v>948</v>
      </c>
      <c r="G15008">
        <v>6000000</v>
      </c>
      <c r="H15008">
        <v>145000</v>
      </c>
      <c r="I15008" t="s">
        <v>949</v>
      </c>
    </row>
    <row r="15009" spans="1:9" x14ac:dyDescent="0.25">
      <c r="A15009">
        <v>4141</v>
      </c>
      <c r="B15009">
        <v>60</v>
      </c>
      <c r="C15009" t="s">
        <v>946</v>
      </c>
      <c r="D15009" t="s">
        <v>1029</v>
      </c>
      <c r="E15009" t="s">
        <v>247</v>
      </c>
      <c r="F15009" t="s">
        <v>948</v>
      </c>
      <c r="G15009">
        <v>6077777</v>
      </c>
      <c r="H15009">
        <v>501010</v>
      </c>
      <c r="I15009" t="s">
        <v>949</v>
      </c>
    </row>
    <row r="15010" spans="1:9" x14ac:dyDescent="0.25">
      <c r="A15010">
        <v>4220</v>
      </c>
      <c r="B15010">
        <v>60</v>
      </c>
      <c r="C15010" t="s">
        <v>946</v>
      </c>
      <c r="D15010" t="s">
        <v>1029</v>
      </c>
      <c r="E15010" t="s">
        <v>247</v>
      </c>
      <c r="F15010" t="s">
        <v>948</v>
      </c>
      <c r="G15010">
        <v>6077777</v>
      </c>
      <c r="H15010">
        <v>501010</v>
      </c>
      <c r="I15010" t="s">
        <v>949</v>
      </c>
    </row>
    <row r="15011" spans="1:9" x14ac:dyDescent="0.25">
      <c r="A15011">
        <v>4230</v>
      </c>
      <c r="B15011">
        <v>60</v>
      </c>
      <c r="C15011" t="s">
        <v>946</v>
      </c>
      <c r="D15011" t="s">
        <v>1029</v>
      </c>
      <c r="E15011" t="s">
        <v>247</v>
      </c>
      <c r="F15011" t="s">
        <v>948</v>
      </c>
      <c r="G15011">
        <v>6099999</v>
      </c>
      <c r="H15011">
        <v>401022</v>
      </c>
      <c r="I15011" t="s">
        <v>949</v>
      </c>
    </row>
    <row r="15012" spans="1:9" x14ac:dyDescent="0.25">
      <c r="A15012">
        <v>4240</v>
      </c>
      <c r="B15012">
        <v>60</v>
      </c>
      <c r="C15012" t="s">
        <v>946</v>
      </c>
      <c r="D15012" t="s">
        <v>1029</v>
      </c>
      <c r="E15012" t="s">
        <v>247</v>
      </c>
      <c r="F15012" t="s">
        <v>948</v>
      </c>
      <c r="G15012">
        <v>6000000</v>
      </c>
      <c r="H15012">
        <v>145000</v>
      </c>
      <c r="I15012" t="s">
        <v>949</v>
      </c>
    </row>
    <row r="15013" spans="1:9" x14ac:dyDescent="0.25">
      <c r="A15013">
        <v>4141</v>
      </c>
      <c r="B15013">
        <v>60</v>
      </c>
      <c r="C15013" t="s">
        <v>946</v>
      </c>
      <c r="D15013" t="s">
        <v>1029</v>
      </c>
      <c r="E15013" t="s">
        <v>251</v>
      </c>
      <c r="F15013" t="s">
        <v>948</v>
      </c>
      <c r="G15013">
        <v>6077777</v>
      </c>
      <c r="H15013">
        <v>501010</v>
      </c>
      <c r="I15013" t="s">
        <v>949</v>
      </c>
    </row>
    <row r="15014" spans="1:9" x14ac:dyDescent="0.25">
      <c r="A15014">
        <v>4220</v>
      </c>
      <c r="B15014">
        <v>60</v>
      </c>
      <c r="C15014" t="s">
        <v>946</v>
      </c>
      <c r="D15014" t="s">
        <v>1029</v>
      </c>
      <c r="E15014" t="s">
        <v>251</v>
      </c>
      <c r="F15014" t="s">
        <v>948</v>
      </c>
      <c r="G15014">
        <v>6077777</v>
      </c>
      <c r="H15014">
        <v>501010</v>
      </c>
      <c r="I15014" t="s">
        <v>949</v>
      </c>
    </row>
    <row r="15015" spans="1:9" x14ac:dyDescent="0.25">
      <c r="A15015">
        <v>4230</v>
      </c>
      <c r="B15015">
        <v>60</v>
      </c>
      <c r="C15015" t="s">
        <v>946</v>
      </c>
      <c r="D15015" t="s">
        <v>1029</v>
      </c>
      <c r="E15015" t="s">
        <v>251</v>
      </c>
      <c r="F15015" t="s">
        <v>948</v>
      </c>
      <c r="G15015">
        <v>6099999</v>
      </c>
      <c r="H15015">
        <v>401042</v>
      </c>
      <c r="I15015" t="s">
        <v>949</v>
      </c>
    </row>
    <row r="15016" spans="1:9" x14ac:dyDescent="0.25">
      <c r="A15016">
        <v>4240</v>
      </c>
      <c r="B15016">
        <v>60</v>
      </c>
      <c r="C15016" t="s">
        <v>946</v>
      </c>
      <c r="D15016" t="s">
        <v>1029</v>
      </c>
      <c r="E15016" t="s">
        <v>251</v>
      </c>
      <c r="F15016" t="s">
        <v>948</v>
      </c>
      <c r="G15016">
        <v>6000000</v>
      </c>
      <c r="H15016">
        <v>142000</v>
      </c>
      <c r="I15016" t="s">
        <v>949</v>
      </c>
    </row>
    <row r="15017" spans="1:9" x14ac:dyDescent="0.25">
      <c r="A15017">
        <v>4141</v>
      </c>
      <c r="B15017">
        <v>60</v>
      </c>
      <c r="C15017" t="s">
        <v>946</v>
      </c>
      <c r="D15017" t="s">
        <v>1029</v>
      </c>
      <c r="E15017" t="s">
        <v>969</v>
      </c>
      <c r="F15017" t="s">
        <v>948</v>
      </c>
      <c r="G15017">
        <v>6077777</v>
      </c>
      <c r="H15017">
        <v>501010</v>
      </c>
      <c r="I15017" t="s">
        <v>949</v>
      </c>
    </row>
    <row r="15018" spans="1:9" x14ac:dyDescent="0.25">
      <c r="A15018">
        <v>4220</v>
      </c>
      <c r="B15018">
        <v>60</v>
      </c>
      <c r="C15018" t="s">
        <v>946</v>
      </c>
      <c r="D15018" t="s">
        <v>1029</v>
      </c>
      <c r="E15018" t="s">
        <v>969</v>
      </c>
      <c r="F15018" t="s">
        <v>948</v>
      </c>
      <c r="G15018">
        <v>6077777</v>
      </c>
      <c r="H15018">
        <v>501010</v>
      </c>
      <c r="I15018" t="s">
        <v>949</v>
      </c>
    </row>
    <row r="15019" spans="1:9" x14ac:dyDescent="0.25">
      <c r="A15019">
        <v>4230</v>
      </c>
      <c r="B15019">
        <v>60</v>
      </c>
      <c r="C15019" t="s">
        <v>946</v>
      </c>
      <c r="D15019" t="s">
        <v>1029</v>
      </c>
      <c r="E15019" t="s">
        <v>969</v>
      </c>
      <c r="F15019" t="s">
        <v>948</v>
      </c>
      <c r="G15019">
        <v>6099999</v>
      </c>
      <c r="H15019">
        <v>401912</v>
      </c>
      <c r="I15019" t="s">
        <v>949</v>
      </c>
    </row>
    <row r="15020" spans="1:9" x14ac:dyDescent="0.25">
      <c r="A15020">
        <v>4240</v>
      </c>
      <c r="B15020">
        <v>60</v>
      </c>
      <c r="C15020" t="s">
        <v>946</v>
      </c>
      <c r="D15020" t="s">
        <v>1029</v>
      </c>
      <c r="E15020" t="s">
        <v>969</v>
      </c>
      <c r="F15020" t="s">
        <v>948</v>
      </c>
      <c r="G15020">
        <v>6000000</v>
      </c>
      <c r="H15020">
        <v>141000</v>
      </c>
      <c r="I15020" t="s">
        <v>970</v>
      </c>
    </row>
    <row r="15021" spans="1:9" x14ac:dyDescent="0.25">
      <c r="A15021">
        <v>4141</v>
      </c>
      <c r="B15021">
        <v>60</v>
      </c>
      <c r="C15021" t="s">
        <v>946</v>
      </c>
      <c r="D15021" t="s">
        <v>1029</v>
      </c>
      <c r="E15021" t="s">
        <v>255</v>
      </c>
      <c r="F15021" t="s">
        <v>948</v>
      </c>
      <c r="G15021">
        <v>6077777</v>
      </c>
      <c r="H15021">
        <v>501010</v>
      </c>
      <c r="I15021" t="s">
        <v>949</v>
      </c>
    </row>
    <row r="15022" spans="1:9" x14ac:dyDescent="0.25">
      <c r="A15022">
        <v>4220</v>
      </c>
      <c r="B15022">
        <v>60</v>
      </c>
      <c r="C15022" t="s">
        <v>946</v>
      </c>
      <c r="D15022" t="s">
        <v>1029</v>
      </c>
      <c r="E15022" t="s">
        <v>255</v>
      </c>
      <c r="F15022" t="s">
        <v>948</v>
      </c>
      <c r="G15022">
        <v>6077777</v>
      </c>
      <c r="H15022">
        <v>501010</v>
      </c>
      <c r="I15022" t="s">
        <v>949</v>
      </c>
    </row>
    <row r="15023" spans="1:9" x14ac:dyDescent="0.25">
      <c r="A15023">
        <v>4230</v>
      </c>
      <c r="B15023">
        <v>60</v>
      </c>
      <c r="C15023" t="s">
        <v>946</v>
      </c>
      <c r="D15023" t="s">
        <v>1029</v>
      </c>
      <c r="E15023" t="s">
        <v>255</v>
      </c>
      <c r="F15023" t="s">
        <v>948</v>
      </c>
      <c r="G15023">
        <v>6099999</v>
      </c>
      <c r="H15023">
        <v>401072</v>
      </c>
      <c r="I15023" t="s">
        <v>949</v>
      </c>
    </row>
    <row r="15024" spans="1:9" x14ac:dyDescent="0.25">
      <c r="A15024">
        <v>4240</v>
      </c>
      <c r="B15024">
        <v>60</v>
      </c>
      <c r="C15024" t="s">
        <v>946</v>
      </c>
      <c r="D15024" t="s">
        <v>1029</v>
      </c>
      <c r="E15024" t="s">
        <v>255</v>
      </c>
      <c r="F15024" t="s">
        <v>948</v>
      </c>
      <c r="G15024">
        <v>6000000</v>
      </c>
      <c r="H15024">
        <v>145000</v>
      </c>
      <c r="I15024" t="s">
        <v>949</v>
      </c>
    </row>
    <row r="15025" spans="1:9" x14ac:dyDescent="0.25">
      <c r="A15025">
        <v>4141</v>
      </c>
      <c r="B15025">
        <v>60</v>
      </c>
      <c r="C15025" t="s">
        <v>946</v>
      </c>
      <c r="D15025" t="s">
        <v>1029</v>
      </c>
      <c r="E15025" t="s">
        <v>971</v>
      </c>
      <c r="F15025" t="s">
        <v>948</v>
      </c>
      <c r="G15025">
        <v>6077777</v>
      </c>
      <c r="H15025">
        <v>501010</v>
      </c>
      <c r="I15025" t="s">
        <v>949</v>
      </c>
    </row>
    <row r="15026" spans="1:9" x14ac:dyDescent="0.25">
      <c r="A15026">
        <v>4220</v>
      </c>
      <c r="B15026">
        <v>60</v>
      </c>
      <c r="C15026" t="s">
        <v>946</v>
      </c>
      <c r="D15026" t="s">
        <v>1029</v>
      </c>
      <c r="E15026" t="s">
        <v>971</v>
      </c>
      <c r="F15026" t="s">
        <v>948</v>
      </c>
      <c r="G15026">
        <v>6077777</v>
      </c>
      <c r="H15026">
        <v>501010</v>
      </c>
      <c r="I15026" t="s">
        <v>949</v>
      </c>
    </row>
    <row r="15027" spans="1:9" x14ac:dyDescent="0.25">
      <c r="A15027">
        <v>4230</v>
      </c>
      <c r="B15027">
        <v>60</v>
      </c>
      <c r="C15027" t="s">
        <v>946</v>
      </c>
      <c r="D15027" t="s">
        <v>1029</v>
      </c>
      <c r="E15027" t="s">
        <v>971</v>
      </c>
      <c r="F15027" t="s">
        <v>948</v>
      </c>
      <c r="G15027">
        <v>6099999</v>
      </c>
      <c r="H15027">
        <v>401912</v>
      </c>
      <c r="I15027" t="s">
        <v>949</v>
      </c>
    </row>
    <row r="15028" spans="1:9" x14ac:dyDescent="0.25">
      <c r="A15028">
        <v>4240</v>
      </c>
      <c r="B15028">
        <v>60</v>
      </c>
      <c r="C15028" t="s">
        <v>946</v>
      </c>
      <c r="D15028" t="s">
        <v>1029</v>
      </c>
      <c r="E15028" t="s">
        <v>971</v>
      </c>
      <c r="F15028" t="s">
        <v>948</v>
      </c>
      <c r="G15028">
        <v>6000000</v>
      </c>
      <c r="H15028">
        <v>141000</v>
      </c>
      <c r="I15028" t="s">
        <v>972</v>
      </c>
    </row>
    <row r="15029" spans="1:9" x14ac:dyDescent="0.25">
      <c r="A15029">
        <v>4230</v>
      </c>
      <c r="B15029">
        <v>60</v>
      </c>
      <c r="C15029" t="s">
        <v>946</v>
      </c>
      <c r="D15029" t="s">
        <v>1029</v>
      </c>
      <c r="E15029" t="s">
        <v>259</v>
      </c>
      <c r="F15029" t="s">
        <v>948</v>
      </c>
      <c r="G15029">
        <v>6099999</v>
      </c>
      <c r="H15029">
        <v>409002</v>
      </c>
      <c r="I15029" t="s">
        <v>949</v>
      </c>
    </row>
    <row r="15030" spans="1:9" x14ac:dyDescent="0.25">
      <c r="A15030">
        <v>4141</v>
      </c>
      <c r="B15030">
        <v>60</v>
      </c>
      <c r="C15030" t="s">
        <v>946</v>
      </c>
      <c r="D15030" t="s">
        <v>1029</v>
      </c>
      <c r="E15030" t="s">
        <v>263</v>
      </c>
      <c r="F15030" t="s">
        <v>948</v>
      </c>
      <c r="G15030">
        <v>6077777</v>
      </c>
      <c r="H15030">
        <v>501010</v>
      </c>
      <c r="I15030" t="s">
        <v>949</v>
      </c>
    </row>
    <row r="15031" spans="1:9" x14ac:dyDescent="0.25">
      <c r="A15031">
        <v>4220</v>
      </c>
      <c r="B15031">
        <v>60</v>
      </c>
      <c r="C15031" t="s">
        <v>946</v>
      </c>
      <c r="D15031" t="s">
        <v>1029</v>
      </c>
      <c r="E15031" t="s">
        <v>263</v>
      </c>
      <c r="F15031" t="s">
        <v>948</v>
      </c>
      <c r="G15031">
        <v>6077777</v>
      </c>
      <c r="H15031">
        <v>501010</v>
      </c>
      <c r="I15031" t="s">
        <v>949</v>
      </c>
    </row>
    <row r="15032" spans="1:9" x14ac:dyDescent="0.25">
      <c r="A15032">
        <v>4230</v>
      </c>
      <c r="B15032">
        <v>60</v>
      </c>
      <c r="C15032" t="s">
        <v>946</v>
      </c>
      <c r="D15032" t="s">
        <v>1029</v>
      </c>
      <c r="E15032" t="s">
        <v>263</v>
      </c>
      <c r="F15032" t="s">
        <v>948</v>
      </c>
      <c r="G15032">
        <v>6099999</v>
      </c>
      <c r="H15032">
        <v>401042</v>
      </c>
      <c r="I15032" t="s">
        <v>949</v>
      </c>
    </row>
    <row r="15033" spans="1:9" x14ac:dyDescent="0.25">
      <c r="A15033">
        <v>4240</v>
      </c>
      <c r="B15033">
        <v>60</v>
      </c>
      <c r="C15033" t="s">
        <v>946</v>
      </c>
      <c r="D15033" t="s">
        <v>1029</v>
      </c>
      <c r="E15033" t="s">
        <v>263</v>
      </c>
      <c r="F15033" t="s">
        <v>948</v>
      </c>
      <c r="G15033">
        <v>6000000</v>
      </c>
      <c r="H15033">
        <v>145000</v>
      </c>
      <c r="I15033" t="s">
        <v>949</v>
      </c>
    </row>
    <row r="15034" spans="1:9" x14ac:dyDescent="0.25">
      <c r="A15034">
        <v>4141</v>
      </c>
      <c r="B15034">
        <v>60</v>
      </c>
      <c r="C15034" t="s">
        <v>946</v>
      </c>
      <c r="D15034" t="s">
        <v>1029</v>
      </c>
      <c r="E15034" t="s">
        <v>100</v>
      </c>
      <c r="F15034" t="s">
        <v>948</v>
      </c>
      <c r="G15034">
        <v>6077777</v>
      </c>
      <c r="H15034">
        <v>500220</v>
      </c>
      <c r="I15034" t="s">
        <v>949</v>
      </c>
    </row>
    <row r="15035" spans="1:9" x14ac:dyDescent="0.25">
      <c r="A15035">
        <v>4220</v>
      </c>
      <c r="B15035">
        <v>60</v>
      </c>
      <c r="C15035" t="s">
        <v>946</v>
      </c>
      <c r="D15035" t="s">
        <v>1029</v>
      </c>
      <c r="E15035" t="s">
        <v>100</v>
      </c>
      <c r="F15035" t="s">
        <v>948</v>
      </c>
      <c r="G15035">
        <v>6077777</v>
      </c>
      <c r="H15035">
        <v>500220</v>
      </c>
      <c r="I15035" t="s">
        <v>949</v>
      </c>
    </row>
    <row r="15036" spans="1:9" x14ac:dyDescent="0.25">
      <c r="A15036">
        <v>4230</v>
      </c>
      <c r="B15036">
        <v>60</v>
      </c>
      <c r="C15036" t="s">
        <v>946</v>
      </c>
      <c r="D15036" t="s">
        <v>1029</v>
      </c>
      <c r="E15036" t="s">
        <v>100</v>
      </c>
      <c r="F15036" t="s">
        <v>948</v>
      </c>
      <c r="G15036">
        <v>6099999</v>
      </c>
      <c r="H15036">
        <v>401042</v>
      </c>
      <c r="I15036" t="s">
        <v>949</v>
      </c>
    </row>
    <row r="15037" spans="1:9" x14ac:dyDescent="0.25">
      <c r="A15037">
        <v>4240</v>
      </c>
      <c r="B15037">
        <v>60</v>
      </c>
      <c r="C15037" t="s">
        <v>946</v>
      </c>
      <c r="D15037" t="s">
        <v>1029</v>
      </c>
      <c r="E15037" t="s">
        <v>100</v>
      </c>
      <c r="F15037" t="s">
        <v>948</v>
      </c>
      <c r="G15037">
        <v>6077777</v>
      </c>
      <c r="H15037">
        <v>500221</v>
      </c>
      <c r="I15037" t="s">
        <v>949</v>
      </c>
    </row>
    <row r="15038" spans="1:9" x14ac:dyDescent="0.25">
      <c r="A15038">
        <v>4141</v>
      </c>
      <c r="B15038">
        <v>60</v>
      </c>
      <c r="C15038" t="s">
        <v>946</v>
      </c>
      <c r="D15038" t="s">
        <v>1029</v>
      </c>
      <c r="E15038" t="s">
        <v>270</v>
      </c>
      <c r="F15038" t="s">
        <v>948</v>
      </c>
      <c r="G15038">
        <v>6077777</v>
      </c>
      <c r="H15038">
        <v>501010</v>
      </c>
      <c r="I15038" t="s">
        <v>949</v>
      </c>
    </row>
    <row r="15039" spans="1:9" x14ac:dyDescent="0.25">
      <c r="A15039">
        <v>4220</v>
      </c>
      <c r="B15039">
        <v>60</v>
      </c>
      <c r="C15039" t="s">
        <v>946</v>
      </c>
      <c r="D15039" t="s">
        <v>1029</v>
      </c>
      <c r="E15039" t="s">
        <v>270</v>
      </c>
      <c r="F15039" t="s">
        <v>948</v>
      </c>
      <c r="G15039">
        <v>6077777</v>
      </c>
      <c r="H15039">
        <v>501010</v>
      </c>
      <c r="I15039" t="s">
        <v>949</v>
      </c>
    </row>
    <row r="15040" spans="1:9" x14ac:dyDescent="0.25">
      <c r="A15040">
        <v>4230</v>
      </c>
      <c r="B15040">
        <v>60</v>
      </c>
      <c r="C15040" t="s">
        <v>946</v>
      </c>
      <c r="D15040" t="s">
        <v>1029</v>
      </c>
      <c r="E15040" t="s">
        <v>270</v>
      </c>
      <c r="F15040" t="s">
        <v>948</v>
      </c>
      <c r="G15040">
        <v>6099999</v>
      </c>
      <c r="H15040">
        <v>401062</v>
      </c>
      <c r="I15040" t="s">
        <v>949</v>
      </c>
    </row>
    <row r="15041" spans="1:9" x14ac:dyDescent="0.25">
      <c r="A15041">
        <v>4240</v>
      </c>
      <c r="B15041">
        <v>60</v>
      </c>
      <c r="C15041" t="s">
        <v>946</v>
      </c>
      <c r="D15041" t="s">
        <v>1029</v>
      </c>
      <c r="E15041" t="s">
        <v>270</v>
      </c>
      <c r="F15041" t="s">
        <v>948</v>
      </c>
      <c r="G15041">
        <v>6000000</v>
      </c>
      <c r="H15041">
        <v>145000</v>
      </c>
      <c r="I15041" t="s">
        <v>949</v>
      </c>
    </row>
    <row r="15042" spans="1:9" x14ac:dyDescent="0.25">
      <c r="A15042">
        <v>4141</v>
      </c>
      <c r="B15042">
        <v>60</v>
      </c>
      <c r="C15042" t="s">
        <v>946</v>
      </c>
      <c r="D15042" t="s">
        <v>1029</v>
      </c>
      <c r="E15042" t="s">
        <v>274</v>
      </c>
      <c r="F15042" t="s">
        <v>948</v>
      </c>
      <c r="G15042">
        <v>6077777</v>
      </c>
      <c r="H15042">
        <v>501010</v>
      </c>
      <c r="I15042" t="s">
        <v>949</v>
      </c>
    </row>
    <row r="15043" spans="1:9" x14ac:dyDescent="0.25">
      <c r="A15043">
        <v>4220</v>
      </c>
      <c r="B15043">
        <v>60</v>
      </c>
      <c r="C15043" t="s">
        <v>946</v>
      </c>
      <c r="D15043" t="s">
        <v>1029</v>
      </c>
      <c r="E15043" t="s">
        <v>274</v>
      </c>
      <c r="F15043" t="s">
        <v>948</v>
      </c>
      <c r="G15043">
        <v>6077777</v>
      </c>
      <c r="H15043">
        <v>501010</v>
      </c>
      <c r="I15043" t="s">
        <v>949</v>
      </c>
    </row>
    <row r="15044" spans="1:9" x14ac:dyDescent="0.25">
      <c r="A15044">
        <v>4230</v>
      </c>
      <c r="B15044">
        <v>60</v>
      </c>
      <c r="C15044" t="s">
        <v>946</v>
      </c>
      <c r="D15044" t="s">
        <v>1029</v>
      </c>
      <c r="E15044" t="s">
        <v>274</v>
      </c>
      <c r="F15044" t="s">
        <v>948</v>
      </c>
      <c r="G15044">
        <v>6099999</v>
      </c>
      <c r="H15044">
        <v>401042</v>
      </c>
      <c r="I15044" t="s">
        <v>949</v>
      </c>
    </row>
    <row r="15045" spans="1:9" x14ac:dyDescent="0.25">
      <c r="A15045">
        <v>4240</v>
      </c>
      <c r="B15045">
        <v>60</v>
      </c>
      <c r="C15045" t="s">
        <v>946</v>
      </c>
      <c r="D15045" t="s">
        <v>1029</v>
      </c>
      <c r="E15045" t="s">
        <v>274</v>
      </c>
      <c r="F15045" t="s">
        <v>948</v>
      </c>
      <c r="G15045">
        <v>6000000</v>
      </c>
      <c r="H15045">
        <v>143000</v>
      </c>
      <c r="I15045" t="s">
        <v>973</v>
      </c>
    </row>
    <row r="15046" spans="1:9" x14ac:dyDescent="0.25">
      <c r="A15046">
        <v>4141</v>
      </c>
      <c r="B15046">
        <v>60</v>
      </c>
      <c r="C15046" t="s">
        <v>946</v>
      </c>
      <c r="D15046" t="s">
        <v>1029</v>
      </c>
      <c r="E15046" t="s">
        <v>974</v>
      </c>
      <c r="F15046" t="s">
        <v>948</v>
      </c>
      <c r="G15046">
        <v>6077777</v>
      </c>
      <c r="H15046">
        <v>501010</v>
      </c>
      <c r="I15046" t="s">
        <v>949</v>
      </c>
    </row>
    <row r="15047" spans="1:9" x14ac:dyDescent="0.25">
      <c r="A15047">
        <v>4220</v>
      </c>
      <c r="B15047">
        <v>60</v>
      </c>
      <c r="C15047" t="s">
        <v>946</v>
      </c>
      <c r="D15047" t="s">
        <v>1029</v>
      </c>
      <c r="E15047" t="s">
        <v>974</v>
      </c>
      <c r="F15047" t="s">
        <v>948</v>
      </c>
      <c r="G15047">
        <v>6077777</v>
      </c>
      <c r="H15047">
        <v>501010</v>
      </c>
      <c r="I15047" t="s">
        <v>949</v>
      </c>
    </row>
    <row r="15048" spans="1:9" x14ac:dyDescent="0.25">
      <c r="A15048">
        <v>4230</v>
      </c>
      <c r="B15048">
        <v>60</v>
      </c>
      <c r="C15048" t="s">
        <v>946</v>
      </c>
      <c r="D15048" t="s">
        <v>1029</v>
      </c>
      <c r="E15048" t="s">
        <v>974</v>
      </c>
      <c r="F15048" t="s">
        <v>948</v>
      </c>
      <c r="G15048">
        <v>6099999</v>
      </c>
      <c r="H15048">
        <v>401912</v>
      </c>
      <c r="I15048" t="s">
        <v>949</v>
      </c>
    </row>
    <row r="15049" spans="1:9" x14ac:dyDescent="0.25">
      <c r="A15049">
        <v>4240</v>
      </c>
      <c r="B15049">
        <v>60</v>
      </c>
      <c r="C15049" t="s">
        <v>946</v>
      </c>
      <c r="D15049" t="s">
        <v>1029</v>
      </c>
      <c r="E15049" t="s">
        <v>974</v>
      </c>
      <c r="F15049" t="s">
        <v>948</v>
      </c>
      <c r="G15049">
        <v>6000000</v>
      </c>
      <c r="H15049">
        <v>141000</v>
      </c>
      <c r="I15049" t="s">
        <v>975</v>
      </c>
    </row>
    <row r="15050" spans="1:9" x14ac:dyDescent="0.25">
      <c r="A15050">
        <v>4141</v>
      </c>
      <c r="B15050">
        <v>60</v>
      </c>
      <c r="C15050" t="s">
        <v>946</v>
      </c>
      <c r="D15050" t="s">
        <v>1029</v>
      </c>
      <c r="E15050" t="s">
        <v>104</v>
      </c>
      <c r="F15050" t="s">
        <v>948</v>
      </c>
      <c r="G15050">
        <v>6077777</v>
      </c>
      <c r="H15050">
        <v>500220</v>
      </c>
      <c r="I15050" t="s">
        <v>949</v>
      </c>
    </row>
    <row r="15051" spans="1:9" x14ac:dyDescent="0.25">
      <c r="A15051">
        <v>4220</v>
      </c>
      <c r="B15051">
        <v>60</v>
      </c>
      <c r="C15051" t="s">
        <v>946</v>
      </c>
      <c r="D15051" t="s">
        <v>1029</v>
      </c>
      <c r="E15051" t="s">
        <v>104</v>
      </c>
      <c r="F15051" t="s">
        <v>948</v>
      </c>
      <c r="G15051">
        <v>6077777</v>
      </c>
      <c r="H15051">
        <v>500220</v>
      </c>
      <c r="I15051" t="s">
        <v>949</v>
      </c>
    </row>
    <row r="15052" spans="1:9" x14ac:dyDescent="0.25">
      <c r="A15052">
        <v>4230</v>
      </c>
      <c r="B15052">
        <v>60</v>
      </c>
      <c r="C15052" t="s">
        <v>946</v>
      </c>
      <c r="D15052" t="s">
        <v>1029</v>
      </c>
      <c r="E15052" t="s">
        <v>104</v>
      </c>
      <c r="F15052" t="s">
        <v>948</v>
      </c>
      <c r="G15052">
        <v>6099999</v>
      </c>
      <c r="H15052">
        <v>401042</v>
      </c>
      <c r="I15052" t="s">
        <v>949</v>
      </c>
    </row>
    <row r="15053" spans="1:9" x14ac:dyDescent="0.25">
      <c r="A15053">
        <v>4240</v>
      </c>
      <c r="B15053">
        <v>60</v>
      </c>
      <c r="C15053" t="s">
        <v>946</v>
      </c>
      <c r="D15053" t="s">
        <v>1029</v>
      </c>
      <c r="E15053" t="s">
        <v>104</v>
      </c>
      <c r="F15053" t="s">
        <v>948</v>
      </c>
      <c r="G15053">
        <v>6077777</v>
      </c>
      <c r="H15053">
        <v>500221</v>
      </c>
      <c r="I15053" t="s">
        <v>949</v>
      </c>
    </row>
    <row r="15054" spans="1:9" x14ac:dyDescent="0.25">
      <c r="A15054">
        <v>4141</v>
      </c>
      <c r="B15054">
        <v>60</v>
      </c>
      <c r="C15054" t="s">
        <v>946</v>
      </c>
      <c r="D15054" t="s">
        <v>1029</v>
      </c>
      <c r="E15054" t="s">
        <v>278</v>
      </c>
      <c r="F15054" t="s">
        <v>948</v>
      </c>
      <c r="G15054">
        <v>6077777</v>
      </c>
      <c r="H15054">
        <v>501010</v>
      </c>
      <c r="I15054" t="s">
        <v>949</v>
      </c>
    </row>
    <row r="15055" spans="1:9" x14ac:dyDescent="0.25">
      <c r="A15055">
        <v>4220</v>
      </c>
      <c r="B15055">
        <v>60</v>
      </c>
      <c r="C15055" t="s">
        <v>946</v>
      </c>
      <c r="D15055" t="s">
        <v>1029</v>
      </c>
      <c r="E15055" t="s">
        <v>278</v>
      </c>
      <c r="F15055" t="s">
        <v>948</v>
      </c>
      <c r="G15055">
        <v>6077777</v>
      </c>
      <c r="H15055">
        <v>501010</v>
      </c>
      <c r="I15055" t="s">
        <v>949</v>
      </c>
    </row>
    <row r="15056" spans="1:9" x14ac:dyDescent="0.25">
      <c r="A15056">
        <v>4230</v>
      </c>
      <c r="B15056">
        <v>60</v>
      </c>
      <c r="C15056" t="s">
        <v>946</v>
      </c>
      <c r="D15056" t="s">
        <v>1029</v>
      </c>
      <c r="E15056" t="s">
        <v>278</v>
      </c>
      <c r="F15056" t="s">
        <v>948</v>
      </c>
      <c r="G15056">
        <v>6099999</v>
      </c>
      <c r="H15056">
        <v>401052</v>
      </c>
      <c r="I15056" t="s">
        <v>949</v>
      </c>
    </row>
    <row r="15057" spans="1:9" x14ac:dyDescent="0.25">
      <c r="A15057">
        <v>4240</v>
      </c>
      <c r="B15057">
        <v>60</v>
      </c>
      <c r="C15057" t="s">
        <v>946</v>
      </c>
      <c r="D15057" t="s">
        <v>1029</v>
      </c>
      <c r="E15057" t="s">
        <v>278</v>
      </c>
      <c r="F15057" t="s">
        <v>948</v>
      </c>
      <c r="G15057">
        <v>6000000</v>
      </c>
      <c r="H15057">
        <v>145000</v>
      </c>
      <c r="I15057" t="s">
        <v>949</v>
      </c>
    </row>
    <row r="15058" spans="1:9" x14ac:dyDescent="0.25">
      <c r="A15058">
        <v>4141</v>
      </c>
      <c r="B15058">
        <v>60</v>
      </c>
      <c r="C15058" t="s">
        <v>946</v>
      </c>
      <c r="D15058" t="s">
        <v>1029</v>
      </c>
      <c r="E15058" t="s">
        <v>282</v>
      </c>
      <c r="F15058" t="s">
        <v>948</v>
      </c>
      <c r="G15058">
        <v>6077777</v>
      </c>
      <c r="H15058">
        <v>501010</v>
      </c>
      <c r="I15058" t="s">
        <v>949</v>
      </c>
    </row>
    <row r="15059" spans="1:9" x14ac:dyDescent="0.25">
      <c r="A15059">
        <v>4220</v>
      </c>
      <c r="B15059">
        <v>60</v>
      </c>
      <c r="C15059" t="s">
        <v>946</v>
      </c>
      <c r="D15059" t="s">
        <v>1029</v>
      </c>
      <c r="E15059" t="s">
        <v>282</v>
      </c>
      <c r="F15059" t="s">
        <v>948</v>
      </c>
      <c r="G15059">
        <v>6077777</v>
      </c>
      <c r="H15059">
        <v>501010</v>
      </c>
      <c r="I15059" t="s">
        <v>949</v>
      </c>
    </row>
    <row r="15060" spans="1:9" x14ac:dyDescent="0.25">
      <c r="A15060">
        <v>4230</v>
      </c>
      <c r="B15060">
        <v>60</v>
      </c>
      <c r="C15060" t="s">
        <v>946</v>
      </c>
      <c r="D15060" t="s">
        <v>1029</v>
      </c>
      <c r="E15060" t="s">
        <v>282</v>
      </c>
      <c r="F15060" t="s">
        <v>948</v>
      </c>
      <c r="G15060">
        <v>6099999</v>
      </c>
      <c r="H15060">
        <v>401042</v>
      </c>
      <c r="I15060" t="s">
        <v>949</v>
      </c>
    </row>
    <row r="15061" spans="1:9" x14ac:dyDescent="0.25">
      <c r="A15061">
        <v>4240</v>
      </c>
      <c r="B15061">
        <v>60</v>
      </c>
      <c r="C15061" t="s">
        <v>946</v>
      </c>
      <c r="D15061" t="s">
        <v>1029</v>
      </c>
      <c r="E15061" t="s">
        <v>282</v>
      </c>
      <c r="F15061" t="s">
        <v>948</v>
      </c>
      <c r="G15061">
        <v>6000000</v>
      </c>
      <c r="H15061">
        <v>143100</v>
      </c>
      <c r="I15061" t="s">
        <v>949</v>
      </c>
    </row>
    <row r="15062" spans="1:9" x14ac:dyDescent="0.25">
      <c r="A15062">
        <v>4141</v>
      </c>
      <c r="B15062">
        <v>60</v>
      </c>
      <c r="C15062" t="s">
        <v>946</v>
      </c>
      <c r="D15062" t="s">
        <v>1029</v>
      </c>
      <c r="E15062" t="s">
        <v>286</v>
      </c>
      <c r="F15062" t="s">
        <v>948</v>
      </c>
      <c r="G15062">
        <v>6077777</v>
      </c>
      <c r="H15062">
        <v>501010</v>
      </c>
      <c r="I15062" t="s">
        <v>949</v>
      </c>
    </row>
    <row r="15063" spans="1:9" x14ac:dyDescent="0.25">
      <c r="A15063">
        <v>4220</v>
      </c>
      <c r="B15063">
        <v>60</v>
      </c>
      <c r="C15063" t="s">
        <v>946</v>
      </c>
      <c r="D15063" t="s">
        <v>1029</v>
      </c>
      <c r="E15063" t="s">
        <v>286</v>
      </c>
      <c r="F15063" t="s">
        <v>948</v>
      </c>
      <c r="G15063">
        <v>6077777</v>
      </c>
      <c r="H15063">
        <v>501010</v>
      </c>
      <c r="I15063" t="s">
        <v>949</v>
      </c>
    </row>
    <row r="15064" spans="1:9" x14ac:dyDescent="0.25">
      <c r="A15064">
        <v>4230</v>
      </c>
      <c r="B15064">
        <v>60</v>
      </c>
      <c r="C15064" t="s">
        <v>946</v>
      </c>
      <c r="D15064" t="s">
        <v>1029</v>
      </c>
      <c r="E15064" t="s">
        <v>286</v>
      </c>
      <c r="F15064" t="s">
        <v>948</v>
      </c>
      <c r="G15064">
        <v>6099999</v>
      </c>
      <c r="H15064">
        <v>401032</v>
      </c>
      <c r="I15064" t="s">
        <v>949</v>
      </c>
    </row>
    <row r="15065" spans="1:9" x14ac:dyDescent="0.25">
      <c r="A15065">
        <v>4240</v>
      </c>
      <c r="B15065">
        <v>60</v>
      </c>
      <c r="C15065" t="s">
        <v>946</v>
      </c>
      <c r="D15065" t="s">
        <v>1029</v>
      </c>
      <c r="E15065" t="s">
        <v>286</v>
      </c>
      <c r="F15065" t="s">
        <v>948</v>
      </c>
      <c r="G15065">
        <v>6000000</v>
      </c>
      <c r="H15065">
        <v>145000</v>
      </c>
      <c r="I15065" t="s">
        <v>949</v>
      </c>
    </row>
    <row r="15066" spans="1:9" x14ac:dyDescent="0.25">
      <c r="A15066">
        <v>4141</v>
      </c>
      <c r="B15066">
        <v>60</v>
      </c>
      <c r="C15066" t="s">
        <v>946</v>
      </c>
      <c r="D15066" t="s">
        <v>1029</v>
      </c>
      <c r="E15066" t="s">
        <v>976</v>
      </c>
      <c r="F15066" t="s">
        <v>948</v>
      </c>
      <c r="G15066">
        <v>6077777</v>
      </c>
      <c r="H15066">
        <v>501010</v>
      </c>
      <c r="I15066" t="s">
        <v>949</v>
      </c>
    </row>
    <row r="15067" spans="1:9" x14ac:dyDescent="0.25">
      <c r="A15067">
        <v>4220</v>
      </c>
      <c r="B15067">
        <v>60</v>
      </c>
      <c r="C15067" t="s">
        <v>946</v>
      </c>
      <c r="D15067" t="s">
        <v>1029</v>
      </c>
      <c r="E15067" t="s">
        <v>976</v>
      </c>
      <c r="F15067" t="s">
        <v>948</v>
      </c>
      <c r="G15067">
        <v>6077777</v>
      </c>
      <c r="H15067">
        <v>501010</v>
      </c>
      <c r="I15067" t="s">
        <v>949</v>
      </c>
    </row>
    <row r="15068" spans="1:9" x14ac:dyDescent="0.25">
      <c r="A15068">
        <v>4230</v>
      </c>
      <c r="B15068">
        <v>60</v>
      </c>
      <c r="C15068" t="s">
        <v>946</v>
      </c>
      <c r="D15068" t="s">
        <v>1029</v>
      </c>
      <c r="E15068" t="s">
        <v>976</v>
      </c>
      <c r="F15068" t="s">
        <v>948</v>
      </c>
      <c r="G15068">
        <v>6099999</v>
      </c>
      <c r="H15068">
        <v>401912</v>
      </c>
      <c r="I15068" t="s">
        <v>949</v>
      </c>
    </row>
    <row r="15069" spans="1:9" x14ac:dyDescent="0.25">
      <c r="A15069">
        <v>4240</v>
      </c>
      <c r="B15069">
        <v>60</v>
      </c>
      <c r="C15069" t="s">
        <v>946</v>
      </c>
      <c r="D15069" t="s">
        <v>1029</v>
      </c>
      <c r="E15069" t="s">
        <v>976</v>
      </c>
      <c r="F15069" t="s">
        <v>948</v>
      </c>
      <c r="G15069">
        <v>6000000</v>
      </c>
      <c r="H15069">
        <v>141000</v>
      </c>
      <c r="I15069" t="s">
        <v>977</v>
      </c>
    </row>
    <row r="15070" spans="1:9" x14ac:dyDescent="0.25">
      <c r="A15070">
        <v>4141</v>
      </c>
      <c r="B15070">
        <v>60</v>
      </c>
      <c r="C15070" t="s">
        <v>946</v>
      </c>
      <c r="D15070" t="s">
        <v>1029</v>
      </c>
      <c r="E15070" t="s">
        <v>290</v>
      </c>
      <c r="F15070" t="s">
        <v>948</v>
      </c>
      <c r="G15070">
        <v>6077777</v>
      </c>
      <c r="H15070">
        <v>501010</v>
      </c>
      <c r="I15070" t="s">
        <v>949</v>
      </c>
    </row>
    <row r="15071" spans="1:9" x14ac:dyDescent="0.25">
      <c r="A15071">
        <v>4220</v>
      </c>
      <c r="B15071">
        <v>60</v>
      </c>
      <c r="C15071" t="s">
        <v>946</v>
      </c>
      <c r="D15071" t="s">
        <v>1029</v>
      </c>
      <c r="E15071" t="s">
        <v>290</v>
      </c>
      <c r="F15071" t="s">
        <v>948</v>
      </c>
      <c r="G15071">
        <v>6077777</v>
      </c>
      <c r="H15071">
        <v>501010</v>
      </c>
      <c r="I15071" t="s">
        <v>949</v>
      </c>
    </row>
    <row r="15072" spans="1:9" x14ac:dyDescent="0.25">
      <c r="A15072">
        <v>4230</v>
      </c>
      <c r="B15072">
        <v>60</v>
      </c>
      <c r="C15072" t="s">
        <v>946</v>
      </c>
      <c r="D15072" t="s">
        <v>1029</v>
      </c>
      <c r="E15072" t="s">
        <v>290</v>
      </c>
      <c r="F15072" t="s">
        <v>948</v>
      </c>
      <c r="G15072">
        <v>6099999</v>
      </c>
      <c r="H15072">
        <v>401042</v>
      </c>
      <c r="I15072" t="s">
        <v>949</v>
      </c>
    </row>
    <row r="15073" spans="1:9" x14ac:dyDescent="0.25">
      <c r="A15073">
        <v>4240</v>
      </c>
      <c r="B15073">
        <v>60</v>
      </c>
      <c r="C15073" t="s">
        <v>946</v>
      </c>
      <c r="D15073" t="s">
        <v>1029</v>
      </c>
      <c r="E15073" t="s">
        <v>290</v>
      </c>
      <c r="F15073" t="s">
        <v>948</v>
      </c>
      <c r="G15073">
        <v>6000000</v>
      </c>
      <c r="H15073">
        <v>143000</v>
      </c>
      <c r="I15073" t="s">
        <v>978</v>
      </c>
    </row>
    <row r="15074" spans="1:9" x14ac:dyDescent="0.25">
      <c r="A15074">
        <v>4141</v>
      </c>
      <c r="B15074">
        <v>60</v>
      </c>
      <c r="C15074" t="s">
        <v>946</v>
      </c>
      <c r="D15074" t="s">
        <v>1029</v>
      </c>
      <c r="E15074" t="s">
        <v>294</v>
      </c>
      <c r="F15074" t="s">
        <v>948</v>
      </c>
      <c r="G15074">
        <v>6077777</v>
      </c>
      <c r="H15074">
        <v>501010</v>
      </c>
      <c r="I15074" t="s">
        <v>949</v>
      </c>
    </row>
    <row r="15075" spans="1:9" x14ac:dyDescent="0.25">
      <c r="A15075">
        <v>4220</v>
      </c>
      <c r="B15075">
        <v>60</v>
      </c>
      <c r="C15075" t="s">
        <v>946</v>
      </c>
      <c r="D15075" t="s">
        <v>1029</v>
      </c>
      <c r="E15075" t="s">
        <v>294</v>
      </c>
      <c r="F15075" t="s">
        <v>948</v>
      </c>
      <c r="G15075">
        <v>6077777</v>
      </c>
      <c r="H15075">
        <v>501010</v>
      </c>
      <c r="I15075" t="s">
        <v>949</v>
      </c>
    </row>
    <row r="15076" spans="1:9" x14ac:dyDescent="0.25">
      <c r="A15076">
        <v>4230</v>
      </c>
      <c r="B15076">
        <v>60</v>
      </c>
      <c r="C15076" t="s">
        <v>946</v>
      </c>
      <c r="D15076" t="s">
        <v>1029</v>
      </c>
      <c r="E15076" t="s">
        <v>294</v>
      </c>
      <c r="F15076" t="s">
        <v>948</v>
      </c>
      <c r="G15076">
        <v>6099999</v>
      </c>
      <c r="H15076">
        <v>401042</v>
      </c>
      <c r="I15076" t="s">
        <v>949</v>
      </c>
    </row>
    <row r="15077" spans="1:9" x14ac:dyDescent="0.25">
      <c r="A15077">
        <v>4240</v>
      </c>
      <c r="B15077">
        <v>60</v>
      </c>
      <c r="C15077" t="s">
        <v>946</v>
      </c>
      <c r="D15077" t="s">
        <v>1029</v>
      </c>
      <c r="E15077" t="s">
        <v>294</v>
      </c>
      <c r="F15077" t="s">
        <v>948</v>
      </c>
      <c r="G15077">
        <v>6000000</v>
      </c>
      <c r="H15077">
        <v>143000</v>
      </c>
      <c r="I15077" t="s">
        <v>979</v>
      </c>
    </row>
    <row r="15078" spans="1:9" x14ac:dyDescent="0.25">
      <c r="A15078">
        <v>4230</v>
      </c>
      <c r="B15078">
        <v>60</v>
      </c>
      <c r="C15078" t="s">
        <v>946</v>
      </c>
      <c r="D15078" t="s">
        <v>1029</v>
      </c>
      <c r="E15078" t="s">
        <v>298</v>
      </c>
      <c r="F15078" t="s">
        <v>948</v>
      </c>
      <c r="G15078">
        <v>6099999</v>
      </c>
      <c r="H15078">
        <v>402082</v>
      </c>
      <c r="I15078" t="s">
        <v>949</v>
      </c>
    </row>
    <row r="15079" spans="1:9" x14ac:dyDescent="0.25">
      <c r="A15079">
        <v>4141</v>
      </c>
      <c r="B15079">
        <v>60</v>
      </c>
      <c r="C15079" t="s">
        <v>946</v>
      </c>
      <c r="D15079" t="s">
        <v>1029</v>
      </c>
      <c r="E15079" t="s">
        <v>980</v>
      </c>
      <c r="F15079" t="s">
        <v>948</v>
      </c>
      <c r="G15079">
        <v>6077777</v>
      </c>
      <c r="H15079">
        <v>501010</v>
      </c>
      <c r="I15079" t="s">
        <v>949</v>
      </c>
    </row>
    <row r="15080" spans="1:9" x14ac:dyDescent="0.25">
      <c r="A15080">
        <v>4220</v>
      </c>
      <c r="B15080">
        <v>60</v>
      </c>
      <c r="C15080" t="s">
        <v>946</v>
      </c>
      <c r="D15080" t="s">
        <v>1029</v>
      </c>
      <c r="E15080" t="s">
        <v>980</v>
      </c>
      <c r="F15080" t="s">
        <v>948</v>
      </c>
      <c r="G15080">
        <v>6077777</v>
      </c>
      <c r="H15080">
        <v>501010</v>
      </c>
      <c r="I15080" t="s">
        <v>949</v>
      </c>
    </row>
    <row r="15081" spans="1:9" x14ac:dyDescent="0.25">
      <c r="A15081">
        <v>4230</v>
      </c>
      <c r="B15081">
        <v>60</v>
      </c>
      <c r="C15081" t="s">
        <v>946</v>
      </c>
      <c r="D15081" t="s">
        <v>1029</v>
      </c>
      <c r="E15081" t="s">
        <v>980</v>
      </c>
      <c r="F15081" t="s">
        <v>948</v>
      </c>
      <c r="G15081">
        <v>6099999</v>
      </c>
      <c r="H15081">
        <v>401912</v>
      </c>
      <c r="I15081" t="s">
        <v>949</v>
      </c>
    </row>
    <row r="15082" spans="1:9" x14ac:dyDescent="0.25">
      <c r="A15082">
        <v>4240</v>
      </c>
      <c r="B15082">
        <v>60</v>
      </c>
      <c r="C15082" t="s">
        <v>946</v>
      </c>
      <c r="D15082" t="s">
        <v>1029</v>
      </c>
      <c r="E15082" t="s">
        <v>980</v>
      </c>
      <c r="F15082" t="s">
        <v>948</v>
      </c>
      <c r="G15082">
        <v>6000000</v>
      </c>
      <c r="H15082">
        <v>141000</v>
      </c>
      <c r="I15082" t="s">
        <v>981</v>
      </c>
    </row>
    <row r="15083" spans="1:9" x14ac:dyDescent="0.25">
      <c r="A15083">
        <v>4141</v>
      </c>
      <c r="B15083">
        <v>60</v>
      </c>
      <c r="C15083" t="s">
        <v>946</v>
      </c>
      <c r="D15083" t="s">
        <v>1029</v>
      </c>
      <c r="E15083" t="s">
        <v>302</v>
      </c>
      <c r="F15083" t="s">
        <v>948</v>
      </c>
      <c r="G15083">
        <v>6077777</v>
      </c>
      <c r="H15083">
        <v>501010</v>
      </c>
      <c r="I15083" t="s">
        <v>949</v>
      </c>
    </row>
    <row r="15084" spans="1:9" x14ac:dyDescent="0.25">
      <c r="A15084">
        <v>4220</v>
      </c>
      <c r="B15084">
        <v>60</v>
      </c>
      <c r="C15084" t="s">
        <v>946</v>
      </c>
      <c r="D15084" t="s">
        <v>1029</v>
      </c>
      <c r="E15084" t="s">
        <v>302</v>
      </c>
      <c r="F15084" t="s">
        <v>948</v>
      </c>
      <c r="G15084">
        <v>6077777</v>
      </c>
      <c r="H15084">
        <v>501010</v>
      </c>
      <c r="I15084" t="s">
        <v>949</v>
      </c>
    </row>
    <row r="15085" spans="1:9" x14ac:dyDescent="0.25">
      <c r="A15085">
        <v>4230</v>
      </c>
      <c r="B15085">
        <v>60</v>
      </c>
      <c r="C15085" t="s">
        <v>946</v>
      </c>
      <c r="D15085" t="s">
        <v>1029</v>
      </c>
      <c r="E15085" t="s">
        <v>302</v>
      </c>
      <c r="F15085" t="s">
        <v>948</v>
      </c>
      <c r="G15085">
        <v>6099999</v>
      </c>
      <c r="H15085">
        <v>401902</v>
      </c>
      <c r="I15085" t="s">
        <v>949</v>
      </c>
    </row>
    <row r="15086" spans="1:9" x14ac:dyDescent="0.25">
      <c r="A15086">
        <v>4240</v>
      </c>
      <c r="B15086">
        <v>60</v>
      </c>
      <c r="C15086" t="s">
        <v>946</v>
      </c>
      <c r="D15086" t="s">
        <v>1029</v>
      </c>
      <c r="E15086" t="s">
        <v>302</v>
      </c>
      <c r="F15086" t="s">
        <v>948</v>
      </c>
      <c r="G15086">
        <v>6000000</v>
      </c>
      <c r="H15086">
        <v>143000</v>
      </c>
      <c r="I15086" t="s">
        <v>982</v>
      </c>
    </row>
    <row r="15087" spans="1:9" x14ac:dyDescent="0.25">
      <c r="A15087">
        <v>4141</v>
      </c>
      <c r="B15087">
        <v>60</v>
      </c>
      <c r="C15087" t="s">
        <v>946</v>
      </c>
      <c r="D15087" t="s">
        <v>1029</v>
      </c>
      <c r="E15087" t="s">
        <v>306</v>
      </c>
      <c r="F15087" t="s">
        <v>948</v>
      </c>
      <c r="G15087">
        <v>6077777</v>
      </c>
      <c r="H15087">
        <v>501010</v>
      </c>
      <c r="I15087" t="s">
        <v>949</v>
      </c>
    </row>
    <row r="15088" spans="1:9" x14ac:dyDescent="0.25">
      <c r="A15088">
        <v>4220</v>
      </c>
      <c r="B15088">
        <v>60</v>
      </c>
      <c r="C15088" t="s">
        <v>946</v>
      </c>
      <c r="D15088" t="s">
        <v>1029</v>
      </c>
      <c r="E15088" t="s">
        <v>306</v>
      </c>
      <c r="F15088" t="s">
        <v>948</v>
      </c>
      <c r="G15088">
        <v>6077777</v>
      </c>
      <c r="H15088">
        <v>501010</v>
      </c>
      <c r="I15088" t="s">
        <v>949</v>
      </c>
    </row>
    <row r="15089" spans="1:9" x14ac:dyDescent="0.25">
      <c r="A15089">
        <v>4230</v>
      </c>
      <c r="B15089">
        <v>60</v>
      </c>
      <c r="C15089" t="s">
        <v>946</v>
      </c>
      <c r="D15089" t="s">
        <v>1029</v>
      </c>
      <c r="E15089" t="s">
        <v>306</v>
      </c>
      <c r="F15089" t="s">
        <v>948</v>
      </c>
      <c r="G15089">
        <v>6099999</v>
      </c>
      <c r="H15089">
        <v>401042</v>
      </c>
      <c r="I15089" t="s">
        <v>949</v>
      </c>
    </row>
    <row r="15090" spans="1:9" x14ac:dyDescent="0.25">
      <c r="A15090">
        <v>4240</v>
      </c>
      <c r="B15090">
        <v>60</v>
      </c>
      <c r="C15090" t="s">
        <v>946</v>
      </c>
      <c r="D15090" t="s">
        <v>1029</v>
      </c>
      <c r="E15090" t="s">
        <v>306</v>
      </c>
      <c r="F15090" t="s">
        <v>948</v>
      </c>
      <c r="G15090">
        <v>6000000</v>
      </c>
      <c r="H15090">
        <v>143000</v>
      </c>
      <c r="I15090" t="s">
        <v>983</v>
      </c>
    </row>
    <row r="15091" spans="1:9" x14ac:dyDescent="0.25">
      <c r="A15091">
        <v>4141</v>
      </c>
      <c r="B15091">
        <v>60</v>
      </c>
      <c r="C15091" t="s">
        <v>946</v>
      </c>
      <c r="D15091" t="s">
        <v>1029</v>
      </c>
      <c r="E15091" t="s">
        <v>108</v>
      </c>
      <c r="F15091" t="s">
        <v>948</v>
      </c>
      <c r="G15091">
        <v>6077777</v>
      </c>
      <c r="H15091">
        <v>500220</v>
      </c>
      <c r="I15091" t="s">
        <v>949</v>
      </c>
    </row>
    <row r="15092" spans="1:9" x14ac:dyDescent="0.25">
      <c r="A15092">
        <v>4220</v>
      </c>
      <c r="B15092">
        <v>60</v>
      </c>
      <c r="C15092" t="s">
        <v>946</v>
      </c>
      <c r="D15092" t="s">
        <v>1029</v>
      </c>
      <c r="E15092" t="s">
        <v>108</v>
      </c>
      <c r="F15092" t="s">
        <v>948</v>
      </c>
      <c r="G15092">
        <v>6077777</v>
      </c>
      <c r="H15092">
        <v>500220</v>
      </c>
      <c r="I15092" t="s">
        <v>949</v>
      </c>
    </row>
    <row r="15093" spans="1:9" x14ac:dyDescent="0.25">
      <c r="A15093">
        <v>4230</v>
      </c>
      <c r="B15093">
        <v>60</v>
      </c>
      <c r="C15093" t="s">
        <v>946</v>
      </c>
      <c r="D15093" t="s">
        <v>1029</v>
      </c>
      <c r="E15093" t="s">
        <v>108</v>
      </c>
      <c r="F15093" t="s">
        <v>948</v>
      </c>
      <c r="G15093">
        <v>6099999</v>
      </c>
      <c r="H15093">
        <v>401042</v>
      </c>
      <c r="I15093" t="s">
        <v>949</v>
      </c>
    </row>
    <row r="15094" spans="1:9" x14ac:dyDescent="0.25">
      <c r="A15094">
        <v>4240</v>
      </c>
      <c r="B15094">
        <v>60</v>
      </c>
      <c r="C15094" t="s">
        <v>946</v>
      </c>
      <c r="D15094" t="s">
        <v>1029</v>
      </c>
      <c r="E15094" t="s">
        <v>108</v>
      </c>
      <c r="F15094" t="s">
        <v>948</v>
      </c>
      <c r="G15094">
        <v>6077777</v>
      </c>
      <c r="H15094">
        <v>500221</v>
      </c>
      <c r="I15094" t="s">
        <v>949</v>
      </c>
    </row>
    <row r="15095" spans="1:9" x14ac:dyDescent="0.25">
      <c r="A15095">
        <v>4141</v>
      </c>
      <c r="B15095">
        <v>60</v>
      </c>
      <c r="C15095" t="s">
        <v>946</v>
      </c>
      <c r="D15095" t="s">
        <v>1029</v>
      </c>
      <c r="E15095" t="s">
        <v>310</v>
      </c>
      <c r="F15095" t="s">
        <v>948</v>
      </c>
      <c r="G15095">
        <v>6077777</v>
      </c>
      <c r="H15095">
        <v>501010</v>
      </c>
      <c r="I15095" t="s">
        <v>949</v>
      </c>
    </row>
    <row r="15096" spans="1:9" x14ac:dyDescent="0.25">
      <c r="A15096">
        <v>4220</v>
      </c>
      <c r="B15096">
        <v>60</v>
      </c>
      <c r="C15096" t="s">
        <v>946</v>
      </c>
      <c r="D15096" t="s">
        <v>1029</v>
      </c>
      <c r="E15096" t="s">
        <v>310</v>
      </c>
      <c r="F15096" t="s">
        <v>948</v>
      </c>
      <c r="G15096">
        <v>6077777</v>
      </c>
      <c r="H15096">
        <v>501010</v>
      </c>
      <c r="I15096" t="s">
        <v>949</v>
      </c>
    </row>
    <row r="15097" spans="1:9" x14ac:dyDescent="0.25">
      <c r="A15097">
        <v>4230</v>
      </c>
      <c r="B15097">
        <v>60</v>
      </c>
      <c r="C15097" t="s">
        <v>946</v>
      </c>
      <c r="D15097" t="s">
        <v>1029</v>
      </c>
      <c r="E15097" t="s">
        <v>310</v>
      </c>
      <c r="F15097" t="s">
        <v>948</v>
      </c>
      <c r="G15097">
        <v>6099999</v>
      </c>
      <c r="H15097">
        <v>401012</v>
      </c>
      <c r="I15097" t="s">
        <v>949</v>
      </c>
    </row>
    <row r="15098" spans="1:9" x14ac:dyDescent="0.25">
      <c r="A15098">
        <v>4240</v>
      </c>
      <c r="B15098">
        <v>60</v>
      </c>
      <c r="C15098" t="s">
        <v>946</v>
      </c>
      <c r="D15098" t="s">
        <v>1029</v>
      </c>
      <c r="E15098" t="s">
        <v>310</v>
      </c>
      <c r="F15098" t="s">
        <v>948</v>
      </c>
      <c r="G15098">
        <v>6000000</v>
      </c>
      <c r="H15098">
        <v>145000</v>
      </c>
      <c r="I15098" t="s">
        <v>949</v>
      </c>
    </row>
    <row r="15099" spans="1:9" x14ac:dyDescent="0.25">
      <c r="A15099">
        <v>4141</v>
      </c>
      <c r="B15099">
        <v>60</v>
      </c>
      <c r="C15099" t="s">
        <v>946</v>
      </c>
      <c r="D15099" t="s">
        <v>1029</v>
      </c>
      <c r="E15099" t="s">
        <v>314</v>
      </c>
      <c r="F15099" t="s">
        <v>948</v>
      </c>
      <c r="G15099">
        <v>6077777</v>
      </c>
      <c r="H15099">
        <v>501010</v>
      </c>
      <c r="I15099" t="s">
        <v>949</v>
      </c>
    </row>
    <row r="15100" spans="1:9" x14ac:dyDescent="0.25">
      <c r="A15100">
        <v>4220</v>
      </c>
      <c r="B15100">
        <v>60</v>
      </c>
      <c r="C15100" t="s">
        <v>946</v>
      </c>
      <c r="D15100" t="s">
        <v>1029</v>
      </c>
      <c r="E15100" t="s">
        <v>314</v>
      </c>
      <c r="F15100" t="s">
        <v>948</v>
      </c>
      <c r="G15100">
        <v>6077777</v>
      </c>
      <c r="H15100">
        <v>501010</v>
      </c>
      <c r="I15100" t="s">
        <v>949</v>
      </c>
    </row>
    <row r="15101" spans="1:9" x14ac:dyDescent="0.25">
      <c r="A15101">
        <v>4230</v>
      </c>
      <c r="B15101">
        <v>60</v>
      </c>
      <c r="C15101" t="s">
        <v>946</v>
      </c>
      <c r="D15101" t="s">
        <v>1029</v>
      </c>
      <c r="E15101" t="s">
        <v>314</v>
      </c>
      <c r="F15101" t="s">
        <v>948</v>
      </c>
      <c r="G15101">
        <v>6099999</v>
      </c>
      <c r="H15101">
        <v>401062</v>
      </c>
      <c r="I15101" t="s">
        <v>949</v>
      </c>
    </row>
    <row r="15102" spans="1:9" x14ac:dyDescent="0.25">
      <c r="A15102">
        <v>4240</v>
      </c>
      <c r="B15102">
        <v>60</v>
      </c>
      <c r="C15102" t="s">
        <v>946</v>
      </c>
      <c r="D15102" t="s">
        <v>1029</v>
      </c>
      <c r="E15102" t="s">
        <v>314</v>
      </c>
      <c r="F15102" t="s">
        <v>948</v>
      </c>
      <c r="G15102">
        <v>6000000</v>
      </c>
      <c r="H15102">
        <v>145000</v>
      </c>
      <c r="I15102" t="s">
        <v>949</v>
      </c>
    </row>
    <row r="15103" spans="1:9" x14ac:dyDescent="0.25">
      <c r="A15103">
        <v>4141</v>
      </c>
      <c r="B15103">
        <v>60</v>
      </c>
      <c r="C15103" t="s">
        <v>946</v>
      </c>
      <c r="D15103" t="s">
        <v>1029</v>
      </c>
      <c r="E15103" t="s">
        <v>113</v>
      </c>
      <c r="F15103" t="s">
        <v>948</v>
      </c>
      <c r="G15103">
        <v>6077777</v>
      </c>
      <c r="H15103">
        <v>500220</v>
      </c>
      <c r="I15103" t="s">
        <v>949</v>
      </c>
    </row>
    <row r="15104" spans="1:9" x14ac:dyDescent="0.25">
      <c r="A15104">
        <v>4220</v>
      </c>
      <c r="B15104">
        <v>60</v>
      </c>
      <c r="C15104" t="s">
        <v>946</v>
      </c>
      <c r="D15104" t="s">
        <v>1029</v>
      </c>
      <c r="E15104" t="s">
        <v>113</v>
      </c>
      <c r="F15104" t="s">
        <v>948</v>
      </c>
      <c r="G15104">
        <v>6077777</v>
      </c>
      <c r="H15104">
        <v>500220</v>
      </c>
      <c r="I15104" t="s">
        <v>949</v>
      </c>
    </row>
    <row r="15105" spans="1:9" x14ac:dyDescent="0.25">
      <c r="A15105">
        <v>4230</v>
      </c>
      <c r="B15105">
        <v>60</v>
      </c>
      <c r="C15105" t="s">
        <v>946</v>
      </c>
      <c r="D15105" t="s">
        <v>1029</v>
      </c>
      <c r="E15105" t="s">
        <v>113</v>
      </c>
      <c r="F15105" t="s">
        <v>948</v>
      </c>
      <c r="G15105">
        <v>6099999</v>
      </c>
      <c r="H15105">
        <v>402082</v>
      </c>
      <c r="I15105" t="s">
        <v>949</v>
      </c>
    </row>
    <row r="15106" spans="1:9" x14ac:dyDescent="0.25">
      <c r="A15106">
        <v>4240</v>
      </c>
      <c r="B15106">
        <v>60</v>
      </c>
      <c r="C15106" t="s">
        <v>946</v>
      </c>
      <c r="D15106" t="s">
        <v>1029</v>
      </c>
      <c r="E15106" t="s">
        <v>113</v>
      </c>
      <c r="F15106" t="s">
        <v>948</v>
      </c>
      <c r="G15106">
        <v>6077777</v>
      </c>
      <c r="H15106">
        <v>500221</v>
      </c>
      <c r="I15106" t="s">
        <v>949</v>
      </c>
    </row>
    <row r="15107" spans="1:9" x14ac:dyDescent="0.25">
      <c r="A15107">
        <v>4141</v>
      </c>
      <c r="B15107">
        <v>60</v>
      </c>
      <c r="C15107" t="s">
        <v>946</v>
      </c>
      <c r="D15107" t="s">
        <v>1029</v>
      </c>
      <c r="E15107" t="s">
        <v>117</v>
      </c>
      <c r="F15107" t="s">
        <v>948</v>
      </c>
      <c r="G15107">
        <v>6077777</v>
      </c>
      <c r="H15107">
        <v>500220</v>
      </c>
      <c r="I15107" t="s">
        <v>949</v>
      </c>
    </row>
    <row r="15108" spans="1:9" x14ac:dyDescent="0.25">
      <c r="A15108">
        <v>4220</v>
      </c>
      <c r="B15108">
        <v>60</v>
      </c>
      <c r="C15108" t="s">
        <v>946</v>
      </c>
      <c r="D15108" t="s">
        <v>1029</v>
      </c>
      <c r="E15108" t="s">
        <v>117</v>
      </c>
      <c r="F15108" t="s">
        <v>948</v>
      </c>
      <c r="G15108">
        <v>6077777</v>
      </c>
      <c r="H15108">
        <v>500220</v>
      </c>
      <c r="I15108" t="s">
        <v>949</v>
      </c>
    </row>
    <row r="15109" spans="1:9" x14ac:dyDescent="0.25">
      <c r="A15109">
        <v>4230</v>
      </c>
      <c r="B15109">
        <v>60</v>
      </c>
      <c r="C15109" t="s">
        <v>946</v>
      </c>
      <c r="D15109" t="s">
        <v>1029</v>
      </c>
      <c r="E15109" t="s">
        <v>117</v>
      </c>
      <c r="F15109" t="s">
        <v>948</v>
      </c>
      <c r="G15109">
        <v>6088888</v>
      </c>
      <c r="H15109">
        <v>810600</v>
      </c>
      <c r="I15109" t="s">
        <v>949</v>
      </c>
    </row>
    <row r="15110" spans="1:9" x14ac:dyDescent="0.25">
      <c r="A15110">
        <v>4240</v>
      </c>
      <c r="B15110">
        <v>60</v>
      </c>
      <c r="C15110" t="s">
        <v>946</v>
      </c>
      <c r="D15110" t="s">
        <v>1029</v>
      </c>
      <c r="E15110" t="s">
        <v>117</v>
      </c>
      <c r="F15110" t="s">
        <v>948</v>
      </c>
      <c r="G15110">
        <v>6077777</v>
      </c>
      <c r="H15110">
        <v>500221</v>
      </c>
      <c r="I15110" t="s">
        <v>949</v>
      </c>
    </row>
    <row r="15111" spans="1:9" x14ac:dyDescent="0.25">
      <c r="A15111">
        <v>4141</v>
      </c>
      <c r="B15111">
        <v>60</v>
      </c>
      <c r="C15111" t="s">
        <v>946</v>
      </c>
      <c r="D15111" t="s">
        <v>1029</v>
      </c>
      <c r="E15111" t="s">
        <v>121</v>
      </c>
      <c r="F15111" t="s">
        <v>948</v>
      </c>
      <c r="G15111">
        <v>6077777</v>
      </c>
      <c r="H15111">
        <v>500220</v>
      </c>
      <c r="I15111" t="s">
        <v>949</v>
      </c>
    </row>
    <row r="15112" spans="1:9" x14ac:dyDescent="0.25">
      <c r="A15112">
        <v>4220</v>
      </c>
      <c r="B15112">
        <v>60</v>
      </c>
      <c r="C15112" t="s">
        <v>946</v>
      </c>
      <c r="D15112" t="s">
        <v>1029</v>
      </c>
      <c r="E15112" t="s">
        <v>121</v>
      </c>
      <c r="F15112" t="s">
        <v>948</v>
      </c>
      <c r="G15112">
        <v>6077777</v>
      </c>
      <c r="H15112">
        <v>500220</v>
      </c>
      <c r="I15112" t="s">
        <v>949</v>
      </c>
    </row>
    <row r="15113" spans="1:9" x14ac:dyDescent="0.25">
      <c r="A15113">
        <v>4230</v>
      </c>
      <c r="B15113">
        <v>60</v>
      </c>
      <c r="C15113" t="s">
        <v>946</v>
      </c>
      <c r="D15113" t="s">
        <v>1029</v>
      </c>
      <c r="E15113" t="s">
        <v>121</v>
      </c>
      <c r="F15113" t="s">
        <v>948</v>
      </c>
      <c r="G15113">
        <v>6099999</v>
      </c>
      <c r="H15113">
        <v>401042</v>
      </c>
      <c r="I15113" t="s">
        <v>949</v>
      </c>
    </row>
    <row r="15114" spans="1:9" x14ac:dyDescent="0.25">
      <c r="A15114">
        <v>4240</v>
      </c>
      <c r="B15114">
        <v>60</v>
      </c>
      <c r="C15114" t="s">
        <v>946</v>
      </c>
      <c r="D15114" t="s">
        <v>1029</v>
      </c>
      <c r="E15114" t="s">
        <v>121</v>
      </c>
      <c r="F15114" t="s">
        <v>948</v>
      </c>
      <c r="G15114">
        <v>6077777</v>
      </c>
      <c r="H15114">
        <v>500221</v>
      </c>
      <c r="I15114" t="s">
        <v>949</v>
      </c>
    </row>
    <row r="15115" spans="1:9" x14ac:dyDescent="0.25">
      <c r="A15115">
        <v>4141</v>
      </c>
      <c r="B15115">
        <v>60</v>
      </c>
      <c r="C15115" t="s">
        <v>946</v>
      </c>
      <c r="D15115" t="s">
        <v>1029</v>
      </c>
      <c r="E15115" t="s">
        <v>984</v>
      </c>
      <c r="F15115" t="s">
        <v>948</v>
      </c>
      <c r="G15115">
        <v>6077777</v>
      </c>
      <c r="H15115">
        <v>501010</v>
      </c>
      <c r="I15115" t="s">
        <v>949</v>
      </c>
    </row>
    <row r="15116" spans="1:9" x14ac:dyDescent="0.25">
      <c r="A15116">
        <v>4220</v>
      </c>
      <c r="B15116">
        <v>60</v>
      </c>
      <c r="C15116" t="s">
        <v>946</v>
      </c>
      <c r="D15116" t="s">
        <v>1029</v>
      </c>
      <c r="E15116" t="s">
        <v>984</v>
      </c>
      <c r="F15116" t="s">
        <v>948</v>
      </c>
      <c r="G15116">
        <v>6077777</v>
      </c>
      <c r="H15116">
        <v>501010</v>
      </c>
      <c r="I15116" t="s">
        <v>949</v>
      </c>
    </row>
    <row r="15117" spans="1:9" x14ac:dyDescent="0.25">
      <c r="A15117">
        <v>4230</v>
      </c>
      <c r="B15117">
        <v>60</v>
      </c>
      <c r="C15117" t="s">
        <v>946</v>
      </c>
      <c r="D15117" t="s">
        <v>1029</v>
      </c>
      <c r="E15117" t="s">
        <v>984</v>
      </c>
      <c r="F15117" t="s">
        <v>948</v>
      </c>
      <c r="G15117">
        <v>6099999</v>
      </c>
      <c r="H15117">
        <v>401912</v>
      </c>
      <c r="I15117" t="s">
        <v>949</v>
      </c>
    </row>
    <row r="15118" spans="1:9" x14ac:dyDescent="0.25">
      <c r="A15118">
        <v>4240</v>
      </c>
      <c r="B15118">
        <v>60</v>
      </c>
      <c r="C15118" t="s">
        <v>946</v>
      </c>
      <c r="D15118" t="s">
        <v>1029</v>
      </c>
      <c r="E15118" t="s">
        <v>984</v>
      </c>
      <c r="F15118" t="s">
        <v>948</v>
      </c>
      <c r="G15118">
        <v>6000000</v>
      </c>
      <c r="H15118">
        <v>141000</v>
      </c>
      <c r="I15118" t="s">
        <v>985</v>
      </c>
    </row>
    <row r="15119" spans="1:9" x14ac:dyDescent="0.25">
      <c r="A15119">
        <v>4141</v>
      </c>
      <c r="B15119">
        <v>60</v>
      </c>
      <c r="C15119" t="s">
        <v>946</v>
      </c>
      <c r="D15119" t="s">
        <v>1030</v>
      </c>
      <c r="E15119" t="s">
        <v>243</v>
      </c>
      <c r="F15119" t="s">
        <v>948</v>
      </c>
      <c r="G15119">
        <v>6077777</v>
      </c>
      <c r="H15119">
        <v>501010</v>
      </c>
      <c r="I15119" t="s">
        <v>949</v>
      </c>
    </row>
    <row r="15120" spans="1:9" x14ac:dyDescent="0.25">
      <c r="A15120">
        <v>4220</v>
      </c>
      <c r="B15120">
        <v>60</v>
      </c>
      <c r="C15120" t="s">
        <v>946</v>
      </c>
      <c r="D15120" t="s">
        <v>1030</v>
      </c>
      <c r="E15120" t="s">
        <v>243</v>
      </c>
      <c r="F15120" t="s">
        <v>948</v>
      </c>
      <c r="G15120">
        <v>6077777</v>
      </c>
      <c r="H15120">
        <v>501010</v>
      </c>
      <c r="I15120" t="s">
        <v>949</v>
      </c>
    </row>
    <row r="15121" spans="1:9" x14ac:dyDescent="0.25">
      <c r="A15121">
        <v>4230</v>
      </c>
      <c r="B15121">
        <v>60</v>
      </c>
      <c r="C15121" t="s">
        <v>946</v>
      </c>
      <c r="D15121" t="s">
        <v>1030</v>
      </c>
      <c r="E15121" t="s">
        <v>243</v>
      </c>
      <c r="F15121" t="s">
        <v>948</v>
      </c>
      <c r="G15121">
        <v>6099999</v>
      </c>
      <c r="H15121">
        <v>401052</v>
      </c>
      <c r="I15121" t="s">
        <v>949</v>
      </c>
    </row>
    <row r="15122" spans="1:9" x14ac:dyDescent="0.25">
      <c r="A15122">
        <v>4240</v>
      </c>
      <c r="B15122">
        <v>60</v>
      </c>
      <c r="C15122" t="s">
        <v>946</v>
      </c>
      <c r="D15122" t="s">
        <v>1030</v>
      </c>
      <c r="E15122" t="s">
        <v>243</v>
      </c>
      <c r="F15122" t="s">
        <v>948</v>
      </c>
      <c r="G15122">
        <v>6000000</v>
      </c>
      <c r="H15122">
        <v>145000</v>
      </c>
      <c r="I15122" t="s">
        <v>949</v>
      </c>
    </row>
    <row r="15123" spans="1:9" x14ac:dyDescent="0.25">
      <c r="A15123">
        <v>4141</v>
      </c>
      <c r="B15123">
        <v>60</v>
      </c>
      <c r="C15123" t="s">
        <v>946</v>
      </c>
      <c r="D15123" t="s">
        <v>1030</v>
      </c>
      <c r="E15123" t="s">
        <v>247</v>
      </c>
      <c r="F15123" t="s">
        <v>948</v>
      </c>
      <c r="G15123">
        <v>6077777</v>
      </c>
      <c r="H15123">
        <v>501010</v>
      </c>
      <c r="I15123" t="s">
        <v>949</v>
      </c>
    </row>
    <row r="15124" spans="1:9" x14ac:dyDescent="0.25">
      <c r="A15124">
        <v>4220</v>
      </c>
      <c r="B15124">
        <v>60</v>
      </c>
      <c r="C15124" t="s">
        <v>946</v>
      </c>
      <c r="D15124" t="s">
        <v>1030</v>
      </c>
      <c r="E15124" t="s">
        <v>247</v>
      </c>
      <c r="F15124" t="s">
        <v>948</v>
      </c>
      <c r="G15124">
        <v>6077777</v>
      </c>
      <c r="H15124">
        <v>501010</v>
      </c>
      <c r="I15124" t="s">
        <v>949</v>
      </c>
    </row>
    <row r="15125" spans="1:9" x14ac:dyDescent="0.25">
      <c r="A15125">
        <v>4230</v>
      </c>
      <c r="B15125">
        <v>60</v>
      </c>
      <c r="C15125" t="s">
        <v>946</v>
      </c>
      <c r="D15125" t="s">
        <v>1030</v>
      </c>
      <c r="E15125" t="s">
        <v>247</v>
      </c>
      <c r="F15125" t="s">
        <v>948</v>
      </c>
      <c r="G15125">
        <v>6099999</v>
      </c>
      <c r="H15125">
        <v>401022</v>
      </c>
      <c r="I15125" t="s">
        <v>949</v>
      </c>
    </row>
    <row r="15126" spans="1:9" x14ac:dyDescent="0.25">
      <c r="A15126">
        <v>4240</v>
      </c>
      <c r="B15126">
        <v>60</v>
      </c>
      <c r="C15126" t="s">
        <v>946</v>
      </c>
      <c r="D15126" t="s">
        <v>1030</v>
      </c>
      <c r="E15126" t="s">
        <v>247</v>
      </c>
      <c r="F15126" t="s">
        <v>948</v>
      </c>
      <c r="G15126">
        <v>6000000</v>
      </c>
      <c r="H15126">
        <v>145000</v>
      </c>
      <c r="I15126" t="s">
        <v>949</v>
      </c>
    </row>
    <row r="15127" spans="1:9" x14ac:dyDescent="0.25">
      <c r="A15127">
        <v>4141</v>
      </c>
      <c r="B15127">
        <v>60</v>
      </c>
      <c r="C15127" t="s">
        <v>946</v>
      </c>
      <c r="D15127" t="s">
        <v>1030</v>
      </c>
      <c r="E15127" t="s">
        <v>251</v>
      </c>
      <c r="F15127" t="s">
        <v>948</v>
      </c>
      <c r="G15127">
        <v>6077777</v>
      </c>
      <c r="H15127">
        <v>501010</v>
      </c>
      <c r="I15127" t="s">
        <v>949</v>
      </c>
    </row>
    <row r="15128" spans="1:9" x14ac:dyDescent="0.25">
      <c r="A15128">
        <v>4220</v>
      </c>
      <c r="B15128">
        <v>60</v>
      </c>
      <c r="C15128" t="s">
        <v>946</v>
      </c>
      <c r="D15128" t="s">
        <v>1030</v>
      </c>
      <c r="E15128" t="s">
        <v>251</v>
      </c>
      <c r="F15128" t="s">
        <v>948</v>
      </c>
      <c r="G15128">
        <v>6077777</v>
      </c>
      <c r="H15128">
        <v>501010</v>
      </c>
      <c r="I15128" t="s">
        <v>949</v>
      </c>
    </row>
    <row r="15129" spans="1:9" x14ac:dyDescent="0.25">
      <c r="A15129">
        <v>4230</v>
      </c>
      <c r="B15129">
        <v>60</v>
      </c>
      <c r="C15129" t="s">
        <v>946</v>
      </c>
      <c r="D15129" t="s">
        <v>1030</v>
      </c>
      <c r="E15129" t="s">
        <v>251</v>
      </c>
      <c r="F15129" t="s">
        <v>948</v>
      </c>
      <c r="G15129">
        <v>6099999</v>
      </c>
      <c r="H15129">
        <v>401042</v>
      </c>
      <c r="I15129" t="s">
        <v>949</v>
      </c>
    </row>
    <row r="15130" spans="1:9" x14ac:dyDescent="0.25">
      <c r="A15130">
        <v>4240</v>
      </c>
      <c r="B15130">
        <v>60</v>
      </c>
      <c r="C15130" t="s">
        <v>946</v>
      </c>
      <c r="D15130" t="s">
        <v>1030</v>
      </c>
      <c r="E15130" t="s">
        <v>251</v>
      </c>
      <c r="F15130" t="s">
        <v>948</v>
      </c>
      <c r="G15130">
        <v>6000000</v>
      </c>
      <c r="H15130">
        <v>142000</v>
      </c>
      <c r="I15130" t="s">
        <v>949</v>
      </c>
    </row>
    <row r="15131" spans="1:9" x14ac:dyDescent="0.25">
      <c r="A15131">
        <v>4141</v>
      </c>
      <c r="B15131">
        <v>60</v>
      </c>
      <c r="C15131" t="s">
        <v>946</v>
      </c>
      <c r="D15131" t="s">
        <v>1030</v>
      </c>
      <c r="E15131" t="s">
        <v>969</v>
      </c>
      <c r="F15131" t="s">
        <v>948</v>
      </c>
      <c r="G15131">
        <v>6077777</v>
      </c>
      <c r="H15131">
        <v>501010</v>
      </c>
      <c r="I15131" t="s">
        <v>949</v>
      </c>
    </row>
    <row r="15132" spans="1:9" x14ac:dyDescent="0.25">
      <c r="A15132">
        <v>4220</v>
      </c>
      <c r="B15132">
        <v>60</v>
      </c>
      <c r="C15132" t="s">
        <v>946</v>
      </c>
      <c r="D15132" t="s">
        <v>1030</v>
      </c>
      <c r="E15132" t="s">
        <v>969</v>
      </c>
      <c r="F15132" t="s">
        <v>948</v>
      </c>
      <c r="G15132">
        <v>6077777</v>
      </c>
      <c r="H15132">
        <v>501010</v>
      </c>
      <c r="I15132" t="s">
        <v>949</v>
      </c>
    </row>
    <row r="15133" spans="1:9" x14ac:dyDescent="0.25">
      <c r="A15133">
        <v>4230</v>
      </c>
      <c r="B15133">
        <v>60</v>
      </c>
      <c r="C15133" t="s">
        <v>946</v>
      </c>
      <c r="D15133" t="s">
        <v>1030</v>
      </c>
      <c r="E15133" t="s">
        <v>969</v>
      </c>
      <c r="F15133" t="s">
        <v>948</v>
      </c>
      <c r="G15133">
        <v>6099999</v>
      </c>
      <c r="H15133">
        <v>401912</v>
      </c>
      <c r="I15133" t="s">
        <v>949</v>
      </c>
    </row>
    <row r="15134" spans="1:9" x14ac:dyDescent="0.25">
      <c r="A15134">
        <v>4240</v>
      </c>
      <c r="B15134">
        <v>60</v>
      </c>
      <c r="C15134" t="s">
        <v>946</v>
      </c>
      <c r="D15134" t="s">
        <v>1030</v>
      </c>
      <c r="E15134" t="s">
        <v>969</v>
      </c>
      <c r="F15134" t="s">
        <v>948</v>
      </c>
      <c r="G15134">
        <v>6000000</v>
      </c>
      <c r="H15134">
        <v>141000</v>
      </c>
      <c r="I15134" t="s">
        <v>970</v>
      </c>
    </row>
    <row r="15135" spans="1:9" x14ac:dyDescent="0.25">
      <c r="A15135">
        <v>4141</v>
      </c>
      <c r="B15135">
        <v>60</v>
      </c>
      <c r="C15135" t="s">
        <v>946</v>
      </c>
      <c r="D15135" t="s">
        <v>1030</v>
      </c>
      <c r="E15135" t="s">
        <v>255</v>
      </c>
      <c r="F15135" t="s">
        <v>948</v>
      </c>
      <c r="G15135">
        <v>6077777</v>
      </c>
      <c r="H15135">
        <v>501010</v>
      </c>
      <c r="I15135" t="s">
        <v>949</v>
      </c>
    </row>
    <row r="15136" spans="1:9" x14ac:dyDescent="0.25">
      <c r="A15136">
        <v>4220</v>
      </c>
      <c r="B15136">
        <v>60</v>
      </c>
      <c r="C15136" t="s">
        <v>946</v>
      </c>
      <c r="D15136" t="s">
        <v>1030</v>
      </c>
      <c r="E15136" t="s">
        <v>255</v>
      </c>
      <c r="F15136" t="s">
        <v>948</v>
      </c>
      <c r="G15136">
        <v>6077777</v>
      </c>
      <c r="H15136">
        <v>501010</v>
      </c>
      <c r="I15136" t="s">
        <v>949</v>
      </c>
    </row>
    <row r="15137" spans="1:9" x14ac:dyDescent="0.25">
      <c r="A15137">
        <v>4230</v>
      </c>
      <c r="B15137">
        <v>60</v>
      </c>
      <c r="C15137" t="s">
        <v>946</v>
      </c>
      <c r="D15137" t="s">
        <v>1030</v>
      </c>
      <c r="E15137" t="s">
        <v>255</v>
      </c>
      <c r="F15137" t="s">
        <v>948</v>
      </c>
      <c r="G15137">
        <v>6099999</v>
      </c>
      <c r="H15137">
        <v>401072</v>
      </c>
      <c r="I15137" t="s">
        <v>949</v>
      </c>
    </row>
    <row r="15138" spans="1:9" x14ac:dyDescent="0.25">
      <c r="A15138">
        <v>4240</v>
      </c>
      <c r="B15138">
        <v>60</v>
      </c>
      <c r="C15138" t="s">
        <v>946</v>
      </c>
      <c r="D15138" t="s">
        <v>1030</v>
      </c>
      <c r="E15138" t="s">
        <v>255</v>
      </c>
      <c r="F15138" t="s">
        <v>948</v>
      </c>
      <c r="G15138">
        <v>6000000</v>
      </c>
      <c r="H15138">
        <v>145000</v>
      </c>
      <c r="I15138" t="s">
        <v>949</v>
      </c>
    </row>
    <row r="15139" spans="1:9" x14ac:dyDescent="0.25">
      <c r="A15139">
        <v>4141</v>
      </c>
      <c r="B15139">
        <v>60</v>
      </c>
      <c r="C15139" t="s">
        <v>946</v>
      </c>
      <c r="D15139" t="s">
        <v>1030</v>
      </c>
      <c r="E15139" t="s">
        <v>971</v>
      </c>
      <c r="F15139" t="s">
        <v>948</v>
      </c>
      <c r="G15139">
        <v>6077777</v>
      </c>
      <c r="H15139">
        <v>501010</v>
      </c>
      <c r="I15139" t="s">
        <v>949</v>
      </c>
    </row>
    <row r="15140" spans="1:9" x14ac:dyDescent="0.25">
      <c r="A15140">
        <v>4220</v>
      </c>
      <c r="B15140">
        <v>60</v>
      </c>
      <c r="C15140" t="s">
        <v>946</v>
      </c>
      <c r="D15140" t="s">
        <v>1030</v>
      </c>
      <c r="E15140" t="s">
        <v>971</v>
      </c>
      <c r="F15140" t="s">
        <v>948</v>
      </c>
      <c r="G15140">
        <v>6077777</v>
      </c>
      <c r="H15140">
        <v>501010</v>
      </c>
      <c r="I15140" t="s">
        <v>949</v>
      </c>
    </row>
    <row r="15141" spans="1:9" x14ac:dyDescent="0.25">
      <c r="A15141">
        <v>4230</v>
      </c>
      <c r="B15141">
        <v>60</v>
      </c>
      <c r="C15141" t="s">
        <v>946</v>
      </c>
      <c r="D15141" t="s">
        <v>1030</v>
      </c>
      <c r="E15141" t="s">
        <v>971</v>
      </c>
      <c r="F15141" t="s">
        <v>948</v>
      </c>
      <c r="G15141">
        <v>6099999</v>
      </c>
      <c r="H15141">
        <v>401912</v>
      </c>
      <c r="I15141" t="s">
        <v>949</v>
      </c>
    </row>
    <row r="15142" spans="1:9" x14ac:dyDescent="0.25">
      <c r="A15142">
        <v>4240</v>
      </c>
      <c r="B15142">
        <v>60</v>
      </c>
      <c r="C15142" t="s">
        <v>946</v>
      </c>
      <c r="D15142" t="s">
        <v>1030</v>
      </c>
      <c r="E15142" t="s">
        <v>971</v>
      </c>
      <c r="F15142" t="s">
        <v>948</v>
      </c>
      <c r="G15142">
        <v>6000000</v>
      </c>
      <c r="H15142">
        <v>141000</v>
      </c>
      <c r="I15142" t="s">
        <v>972</v>
      </c>
    </row>
    <row r="15143" spans="1:9" x14ac:dyDescent="0.25">
      <c r="A15143">
        <v>4230</v>
      </c>
      <c r="B15143">
        <v>60</v>
      </c>
      <c r="C15143" t="s">
        <v>946</v>
      </c>
      <c r="D15143" t="s">
        <v>1030</v>
      </c>
      <c r="E15143" t="s">
        <v>259</v>
      </c>
      <c r="F15143" t="s">
        <v>948</v>
      </c>
      <c r="G15143">
        <v>6099999</v>
      </c>
      <c r="H15143">
        <v>409002</v>
      </c>
      <c r="I15143" t="s">
        <v>949</v>
      </c>
    </row>
    <row r="15144" spans="1:9" x14ac:dyDescent="0.25">
      <c r="A15144">
        <v>4141</v>
      </c>
      <c r="B15144">
        <v>60</v>
      </c>
      <c r="C15144" t="s">
        <v>946</v>
      </c>
      <c r="D15144" t="s">
        <v>1030</v>
      </c>
      <c r="E15144" t="s">
        <v>263</v>
      </c>
      <c r="F15144" t="s">
        <v>948</v>
      </c>
      <c r="G15144">
        <v>6077777</v>
      </c>
      <c r="H15144">
        <v>501010</v>
      </c>
      <c r="I15144" t="s">
        <v>949</v>
      </c>
    </row>
    <row r="15145" spans="1:9" x14ac:dyDescent="0.25">
      <c r="A15145">
        <v>4220</v>
      </c>
      <c r="B15145">
        <v>60</v>
      </c>
      <c r="C15145" t="s">
        <v>946</v>
      </c>
      <c r="D15145" t="s">
        <v>1030</v>
      </c>
      <c r="E15145" t="s">
        <v>263</v>
      </c>
      <c r="F15145" t="s">
        <v>948</v>
      </c>
      <c r="G15145">
        <v>6077777</v>
      </c>
      <c r="H15145">
        <v>501010</v>
      </c>
      <c r="I15145" t="s">
        <v>949</v>
      </c>
    </row>
    <row r="15146" spans="1:9" x14ac:dyDescent="0.25">
      <c r="A15146">
        <v>4230</v>
      </c>
      <c r="B15146">
        <v>60</v>
      </c>
      <c r="C15146" t="s">
        <v>946</v>
      </c>
      <c r="D15146" t="s">
        <v>1030</v>
      </c>
      <c r="E15146" t="s">
        <v>263</v>
      </c>
      <c r="F15146" t="s">
        <v>948</v>
      </c>
      <c r="G15146">
        <v>6099999</v>
      </c>
      <c r="H15146">
        <v>401042</v>
      </c>
      <c r="I15146" t="s">
        <v>949</v>
      </c>
    </row>
    <row r="15147" spans="1:9" x14ac:dyDescent="0.25">
      <c r="A15147">
        <v>4240</v>
      </c>
      <c r="B15147">
        <v>60</v>
      </c>
      <c r="C15147" t="s">
        <v>946</v>
      </c>
      <c r="D15147" t="s">
        <v>1030</v>
      </c>
      <c r="E15147" t="s">
        <v>263</v>
      </c>
      <c r="F15147" t="s">
        <v>948</v>
      </c>
      <c r="G15147">
        <v>6000000</v>
      </c>
      <c r="H15147">
        <v>145000</v>
      </c>
      <c r="I15147" t="s">
        <v>949</v>
      </c>
    </row>
    <row r="15148" spans="1:9" x14ac:dyDescent="0.25">
      <c r="A15148">
        <v>4141</v>
      </c>
      <c r="B15148">
        <v>60</v>
      </c>
      <c r="C15148" t="s">
        <v>946</v>
      </c>
      <c r="D15148" t="s">
        <v>1030</v>
      </c>
      <c r="E15148" t="s">
        <v>100</v>
      </c>
      <c r="F15148" t="s">
        <v>948</v>
      </c>
      <c r="G15148">
        <v>6077777</v>
      </c>
      <c r="H15148">
        <v>500220</v>
      </c>
      <c r="I15148" t="s">
        <v>949</v>
      </c>
    </row>
    <row r="15149" spans="1:9" x14ac:dyDescent="0.25">
      <c r="A15149">
        <v>4220</v>
      </c>
      <c r="B15149">
        <v>60</v>
      </c>
      <c r="C15149" t="s">
        <v>946</v>
      </c>
      <c r="D15149" t="s">
        <v>1030</v>
      </c>
      <c r="E15149" t="s">
        <v>100</v>
      </c>
      <c r="F15149" t="s">
        <v>948</v>
      </c>
      <c r="G15149">
        <v>6077777</v>
      </c>
      <c r="H15149">
        <v>500220</v>
      </c>
      <c r="I15149" t="s">
        <v>949</v>
      </c>
    </row>
    <row r="15150" spans="1:9" x14ac:dyDescent="0.25">
      <c r="A15150">
        <v>4230</v>
      </c>
      <c r="B15150">
        <v>60</v>
      </c>
      <c r="C15150" t="s">
        <v>946</v>
      </c>
      <c r="D15150" t="s">
        <v>1030</v>
      </c>
      <c r="E15150" t="s">
        <v>100</v>
      </c>
      <c r="F15150" t="s">
        <v>948</v>
      </c>
      <c r="G15150">
        <v>6099999</v>
      </c>
      <c r="H15150">
        <v>401042</v>
      </c>
      <c r="I15150" t="s">
        <v>949</v>
      </c>
    </row>
    <row r="15151" spans="1:9" x14ac:dyDescent="0.25">
      <c r="A15151">
        <v>4240</v>
      </c>
      <c r="B15151">
        <v>60</v>
      </c>
      <c r="C15151" t="s">
        <v>946</v>
      </c>
      <c r="D15151" t="s">
        <v>1030</v>
      </c>
      <c r="E15151" t="s">
        <v>100</v>
      </c>
      <c r="F15151" t="s">
        <v>948</v>
      </c>
      <c r="G15151">
        <v>6077777</v>
      </c>
      <c r="H15151">
        <v>500221</v>
      </c>
      <c r="I15151" t="s">
        <v>949</v>
      </c>
    </row>
    <row r="15152" spans="1:9" x14ac:dyDescent="0.25">
      <c r="A15152">
        <v>4141</v>
      </c>
      <c r="B15152">
        <v>60</v>
      </c>
      <c r="C15152" t="s">
        <v>946</v>
      </c>
      <c r="D15152" t="s">
        <v>1030</v>
      </c>
      <c r="E15152" t="s">
        <v>270</v>
      </c>
      <c r="F15152" t="s">
        <v>948</v>
      </c>
      <c r="G15152">
        <v>6077777</v>
      </c>
      <c r="H15152">
        <v>501010</v>
      </c>
      <c r="I15152" t="s">
        <v>949</v>
      </c>
    </row>
    <row r="15153" spans="1:9" x14ac:dyDescent="0.25">
      <c r="A15153">
        <v>4220</v>
      </c>
      <c r="B15153">
        <v>60</v>
      </c>
      <c r="C15153" t="s">
        <v>946</v>
      </c>
      <c r="D15153" t="s">
        <v>1030</v>
      </c>
      <c r="E15153" t="s">
        <v>270</v>
      </c>
      <c r="F15153" t="s">
        <v>948</v>
      </c>
      <c r="G15153">
        <v>6077777</v>
      </c>
      <c r="H15153">
        <v>501010</v>
      </c>
      <c r="I15153" t="s">
        <v>949</v>
      </c>
    </row>
    <row r="15154" spans="1:9" x14ac:dyDescent="0.25">
      <c r="A15154">
        <v>4230</v>
      </c>
      <c r="B15154">
        <v>60</v>
      </c>
      <c r="C15154" t="s">
        <v>946</v>
      </c>
      <c r="D15154" t="s">
        <v>1030</v>
      </c>
      <c r="E15154" t="s">
        <v>270</v>
      </c>
      <c r="F15154" t="s">
        <v>948</v>
      </c>
      <c r="G15154">
        <v>6099999</v>
      </c>
      <c r="H15154">
        <v>401062</v>
      </c>
      <c r="I15154" t="s">
        <v>949</v>
      </c>
    </row>
    <row r="15155" spans="1:9" x14ac:dyDescent="0.25">
      <c r="A15155">
        <v>4240</v>
      </c>
      <c r="B15155">
        <v>60</v>
      </c>
      <c r="C15155" t="s">
        <v>946</v>
      </c>
      <c r="D15155" t="s">
        <v>1030</v>
      </c>
      <c r="E15155" t="s">
        <v>270</v>
      </c>
      <c r="F15155" t="s">
        <v>948</v>
      </c>
      <c r="G15155">
        <v>6000000</v>
      </c>
      <c r="H15155">
        <v>145000</v>
      </c>
      <c r="I15155" t="s">
        <v>949</v>
      </c>
    </row>
    <row r="15156" spans="1:9" x14ac:dyDescent="0.25">
      <c r="A15156">
        <v>4141</v>
      </c>
      <c r="B15156">
        <v>60</v>
      </c>
      <c r="C15156" t="s">
        <v>946</v>
      </c>
      <c r="D15156" t="s">
        <v>1030</v>
      </c>
      <c r="E15156" t="s">
        <v>274</v>
      </c>
      <c r="F15156" t="s">
        <v>948</v>
      </c>
      <c r="G15156">
        <v>6077777</v>
      </c>
      <c r="H15156">
        <v>501010</v>
      </c>
      <c r="I15156" t="s">
        <v>949</v>
      </c>
    </row>
    <row r="15157" spans="1:9" x14ac:dyDescent="0.25">
      <c r="A15157">
        <v>4220</v>
      </c>
      <c r="B15157">
        <v>60</v>
      </c>
      <c r="C15157" t="s">
        <v>946</v>
      </c>
      <c r="D15157" t="s">
        <v>1030</v>
      </c>
      <c r="E15157" t="s">
        <v>274</v>
      </c>
      <c r="F15157" t="s">
        <v>948</v>
      </c>
      <c r="G15157">
        <v>6077777</v>
      </c>
      <c r="H15157">
        <v>501010</v>
      </c>
      <c r="I15157" t="s">
        <v>949</v>
      </c>
    </row>
    <row r="15158" spans="1:9" x14ac:dyDescent="0.25">
      <c r="A15158">
        <v>4230</v>
      </c>
      <c r="B15158">
        <v>60</v>
      </c>
      <c r="C15158" t="s">
        <v>946</v>
      </c>
      <c r="D15158" t="s">
        <v>1030</v>
      </c>
      <c r="E15158" t="s">
        <v>274</v>
      </c>
      <c r="F15158" t="s">
        <v>948</v>
      </c>
      <c r="G15158">
        <v>6099999</v>
      </c>
      <c r="H15158">
        <v>401042</v>
      </c>
      <c r="I15158" t="s">
        <v>949</v>
      </c>
    </row>
    <row r="15159" spans="1:9" x14ac:dyDescent="0.25">
      <c r="A15159">
        <v>4240</v>
      </c>
      <c r="B15159">
        <v>60</v>
      </c>
      <c r="C15159" t="s">
        <v>946</v>
      </c>
      <c r="D15159" t="s">
        <v>1030</v>
      </c>
      <c r="E15159" t="s">
        <v>274</v>
      </c>
      <c r="F15159" t="s">
        <v>948</v>
      </c>
      <c r="G15159">
        <v>6000000</v>
      </c>
      <c r="H15159">
        <v>143000</v>
      </c>
      <c r="I15159" t="s">
        <v>973</v>
      </c>
    </row>
    <row r="15160" spans="1:9" x14ac:dyDescent="0.25">
      <c r="A15160">
        <v>4141</v>
      </c>
      <c r="B15160">
        <v>60</v>
      </c>
      <c r="C15160" t="s">
        <v>946</v>
      </c>
      <c r="D15160" t="s">
        <v>1030</v>
      </c>
      <c r="E15160" t="s">
        <v>974</v>
      </c>
      <c r="F15160" t="s">
        <v>948</v>
      </c>
      <c r="G15160">
        <v>6077777</v>
      </c>
      <c r="H15160">
        <v>501010</v>
      </c>
      <c r="I15160" t="s">
        <v>949</v>
      </c>
    </row>
    <row r="15161" spans="1:9" x14ac:dyDescent="0.25">
      <c r="A15161">
        <v>4220</v>
      </c>
      <c r="B15161">
        <v>60</v>
      </c>
      <c r="C15161" t="s">
        <v>946</v>
      </c>
      <c r="D15161" t="s">
        <v>1030</v>
      </c>
      <c r="E15161" t="s">
        <v>974</v>
      </c>
      <c r="F15161" t="s">
        <v>948</v>
      </c>
      <c r="G15161">
        <v>6077777</v>
      </c>
      <c r="H15161">
        <v>501010</v>
      </c>
      <c r="I15161" t="s">
        <v>949</v>
      </c>
    </row>
    <row r="15162" spans="1:9" x14ac:dyDescent="0.25">
      <c r="A15162">
        <v>4230</v>
      </c>
      <c r="B15162">
        <v>60</v>
      </c>
      <c r="C15162" t="s">
        <v>946</v>
      </c>
      <c r="D15162" t="s">
        <v>1030</v>
      </c>
      <c r="E15162" t="s">
        <v>974</v>
      </c>
      <c r="F15162" t="s">
        <v>948</v>
      </c>
      <c r="G15162">
        <v>6099999</v>
      </c>
      <c r="H15162">
        <v>401912</v>
      </c>
      <c r="I15162" t="s">
        <v>949</v>
      </c>
    </row>
    <row r="15163" spans="1:9" x14ac:dyDescent="0.25">
      <c r="A15163">
        <v>4240</v>
      </c>
      <c r="B15163">
        <v>60</v>
      </c>
      <c r="C15163" t="s">
        <v>946</v>
      </c>
      <c r="D15163" t="s">
        <v>1030</v>
      </c>
      <c r="E15163" t="s">
        <v>974</v>
      </c>
      <c r="F15163" t="s">
        <v>948</v>
      </c>
      <c r="G15163">
        <v>6000000</v>
      </c>
      <c r="H15163">
        <v>141000</v>
      </c>
      <c r="I15163" t="s">
        <v>975</v>
      </c>
    </row>
    <row r="15164" spans="1:9" x14ac:dyDescent="0.25">
      <c r="A15164">
        <v>4141</v>
      </c>
      <c r="B15164">
        <v>60</v>
      </c>
      <c r="C15164" t="s">
        <v>946</v>
      </c>
      <c r="D15164" t="s">
        <v>1030</v>
      </c>
      <c r="E15164" t="s">
        <v>104</v>
      </c>
      <c r="F15164" t="s">
        <v>948</v>
      </c>
      <c r="G15164">
        <v>6077777</v>
      </c>
      <c r="H15164">
        <v>500220</v>
      </c>
      <c r="I15164" t="s">
        <v>949</v>
      </c>
    </row>
    <row r="15165" spans="1:9" x14ac:dyDescent="0.25">
      <c r="A15165">
        <v>4220</v>
      </c>
      <c r="B15165">
        <v>60</v>
      </c>
      <c r="C15165" t="s">
        <v>946</v>
      </c>
      <c r="D15165" t="s">
        <v>1030</v>
      </c>
      <c r="E15165" t="s">
        <v>104</v>
      </c>
      <c r="F15165" t="s">
        <v>948</v>
      </c>
      <c r="G15165">
        <v>6077777</v>
      </c>
      <c r="H15165">
        <v>500220</v>
      </c>
      <c r="I15165" t="s">
        <v>949</v>
      </c>
    </row>
    <row r="15166" spans="1:9" x14ac:dyDescent="0.25">
      <c r="A15166">
        <v>4230</v>
      </c>
      <c r="B15166">
        <v>60</v>
      </c>
      <c r="C15166" t="s">
        <v>946</v>
      </c>
      <c r="D15166" t="s">
        <v>1030</v>
      </c>
      <c r="E15166" t="s">
        <v>104</v>
      </c>
      <c r="F15166" t="s">
        <v>948</v>
      </c>
      <c r="G15166">
        <v>6099999</v>
      </c>
      <c r="H15166">
        <v>401042</v>
      </c>
      <c r="I15166" t="s">
        <v>949</v>
      </c>
    </row>
    <row r="15167" spans="1:9" x14ac:dyDescent="0.25">
      <c r="A15167">
        <v>4240</v>
      </c>
      <c r="B15167">
        <v>60</v>
      </c>
      <c r="C15167" t="s">
        <v>946</v>
      </c>
      <c r="D15167" t="s">
        <v>1030</v>
      </c>
      <c r="E15167" t="s">
        <v>104</v>
      </c>
      <c r="F15167" t="s">
        <v>948</v>
      </c>
      <c r="G15167">
        <v>6077777</v>
      </c>
      <c r="H15167">
        <v>500221</v>
      </c>
      <c r="I15167" t="s">
        <v>949</v>
      </c>
    </row>
    <row r="15168" spans="1:9" x14ac:dyDescent="0.25">
      <c r="A15168">
        <v>4141</v>
      </c>
      <c r="B15168">
        <v>60</v>
      </c>
      <c r="C15168" t="s">
        <v>946</v>
      </c>
      <c r="D15168" t="s">
        <v>1030</v>
      </c>
      <c r="E15168" t="s">
        <v>278</v>
      </c>
      <c r="F15168" t="s">
        <v>948</v>
      </c>
      <c r="G15168">
        <v>6077777</v>
      </c>
      <c r="H15168">
        <v>501010</v>
      </c>
      <c r="I15168" t="s">
        <v>949</v>
      </c>
    </row>
    <row r="15169" spans="1:9" x14ac:dyDescent="0.25">
      <c r="A15169">
        <v>4220</v>
      </c>
      <c r="B15169">
        <v>60</v>
      </c>
      <c r="C15169" t="s">
        <v>946</v>
      </c>
      <c r="D15169" t="s">
        <v>1030</v>
      </c>
      <c r="E15169" t="s">
        <v>278</v>
      </c>
      <c r="F15169" t="s">
        <v>948</v>
      </c>
      <c r="G15169">
        <v>6077777</v>
      </c>
      <c r="H15169">
        <v>501010</v>
      </c>
      <c r="I15169" t="s">
        <v>949</v>
      </c>
    </row>
    <row r="15170" spans="1:9" x14ac:dyDescent="0.25">
      <c r="A15170">
        <v>4230</v>
      </c>
      <c r="B15170">
        <v>60</v>
      </c>
      <c r="C15170" t="s">
        <v>946</v>
      </c>
      <c r="D15170" t="s">
        <v>1030</v>
      </c>
      <c r="E15170" t="s">
        <v>278</v>
      </c>
      <c r="F15170" t="s">
        <v>948</v>
      </c>
      <c r="G15170">
        <v>6099999</v>
      </c>
      <c r="H15170">
        <v>401052</v>
      </c>
      <c r="I15170" t="s">
        <v>949</v>
      </c>
    </row>
    <row r="15171" spans="1:9" x14ac:dyDescent="0.25">
      <c r="A15171">
        <v>4240</v>
      </c>
      <c r="B15171">
        <v>60</v>
      </c>
      <c r="C15171" t="s">
        <v>946</v>
      </c>
      <c r="D15171" t="s">
        <v>1030</v>
      </c>
      <c r="E15171" t="s">
        <v>278</v>
      </c>
      <c r="F15171" t="s">
        <v>948</v>
      </c>
      <c r="G15171">
        <v>6000000</v>
      </c>
      <c r="H15171">
        <v>145000</v>
      </c>
      <c r="I15171" t="s">
        <v>949</v>
      </c>
    </row>
    <row r="15172" spans="1:9" x14ac:dyDescent="0.25">
      <c r="A15172">
        <v>4141</v>
      </c>
      <c r="B15172">
        <v>60</v>
      </c>
      <c r="C15172" t="s">
        <v>946</v>
      </c>
      <c r="D15172" t="s">
        <v>1030</v>
      </c>
      <c r="E15172" t="s">
        <v>282</v>
      </c>
      <c r="F15172" t="s">
        <v>948</v>
      </c>
      <c r="G15172">
        <v>6077777</v>
      </c>
      <c r="H15172">
        <v>501010</v>
      </c>
      <c r="I15172" t="s">
        <v>949</v>
      </c>
    </row>
    <row r="15173" spans="1:9" x14ac:dyDescent="0.25">
      <c r="A15173">
        <v>4220</v>
      </c>
      <c r="B15173">
        <v>60</v>
      </c>
      <c r="C15173" t="s">
        <v>946</v>
      </c>
      <c r="D15173" t="s">
        <v>1030</v>
      </c>
      <c r="E15173" t="s">
        <v>282</v>
      </c>
      <c r="F15173" t="s">
        <v>948</v>
      </c>
      <c r="G15173">
        <v>6077777</v>
      </c>
      <c r="H15173">
        <v>501010</v>
      </c>
      <c r="I15173" t="s">
        <v>949</v>
      </c>
    </row>
    <row r="15174" spans="1:9" x14ac:dyDescent="0.25">
      <c r="A15174">
        <v>4230</v>
      </c>
      <c r="B15174">
        <v>60</v>
      </c>
      <c r="C15174" t="s">
        <v>946</v>
      </c>
      <c r="D15174" t="s">
        <v>1030</v>
      </c>
      <c r="E15174" t="s">
        <v>282</v>
      </c>
      <c r="F15174" t="s">
        <v>948</v>
      </c>
      <c r="G15174">
        <v>6099999</v>
      </c>
      <c r="H15174">
        <v>401042</v>
      </c>
      <c r="I15174" t="s">
        <v>949</v>
      </c>
    </row>
    <row r="15175" spans="1:9" x14ac:dyDescent="0.25">
      <c r="A15175">
        <v>4240</v>
      </c>
      <c r="B15175">
        <v>60</v>
      </c>
      <c r="C15175" t="s">
        <v>946</v>
      </c>
      <c r="D15175" t="s">
        <v>1030</v>
      </c>
      <c r="E15175" t="s">
        <v>282</v>
      </c>
      <c r="F15175" t="s">
        <v>948</v>
      </c>
      <c r="G15175">
        <v>6000000</v>
      </c>
      <c r="H15175">
        <v>143100</v>
      </c>
      <c r="I15175" t="s">
        <v>949</v>
      </c>
    </row>
    <row r="15176" spans="1:9" x14ac:dyDescent="0.25">
      <c r="A15176">
        <v>4141</v>
      </c>
      <c r="B15176">
        <v>60</v>
      </c>
      <c r="C15176" t="s">
        <v>946</v>
      </c>
      <c r="D15176" t="s">
        <v>1030</v>
      </c>
      <c r="E15176" t="s">
        <v>286</v>
      </c>
      <c r="F15176" t="s">
        <v>948</v>
      </c>
      <c r="G15176">
        <v>6077777</v>
      </c>
      <c r="H15176">
        <v>501010</v>
      </c>
      <c r="I15176" t="s">
        <v>949</v>
      </c>
    </row>
    <row r="15177" spans="1:9" x14ac:dyDescent="0.25">
      <c r="A15177">
        <v>4220</v>
      </c>
      <c r="B15177">
        <v>60</v>
      </c>
      <c r="C15177" t="s">
        <v>946</v>
      </c>
      <c r="D15177" t="s">
        <v>1030</v>
      </c>
      <c r="E15177" t="s">
        <v>286</v>
      </c>
      <c r="F15177" t="s">
        <v>948</v>
      </c>
      <c r="G15177">
        <v>6077777</v>
      </c>
      <c r="H15177">
        <v>501010</v>
      </c>
      <c r="I15177" t="s">
        <v>949</v>
      </c>
    </row>
    <row r="15178" spans="1:9" x14ac:dyDescent="0.25">
      <c r="A15178">
        <v>4230</v>
      </c>
      <c r="B15178">
        <v>60</v>
      </c>
      <c r="C15178" t="s">
        <v>946</v>
      </c>
      <c r="D15178" t="s">
        <v>1030</v>
      </c>
      <c r="E15178" t="s">
        <v>286</v>
      </c>
      <c r="F15178" t="s">
        <v>948</v>
      </c>
      <c r="G15178">
        <v>6099999</v>
      </c>
      <c r="H15178">
        <v>401032</v>
      </c>
      <c r="I15178" t="s">
        <v>949</v>
      </c>
    </row>
    <row r="15179" spans="1:9" x14ac:dyDescent="0.25">
      <c r="A15179">
        <v>4240</v>
      </c>
      <c r="B15179">
        <v>60</v>
      </c>
      <c r="C15179" t="s">
        <v>946</v>
      </c>
      <c r="D15179" t="s">
        <v>1030</v>
      </c>
      <c r="E15179" t="s">
        <v>286</v>
      </c>
      <c r="F15179" t="s">
        <v>948</v>
      </c>
      <c r="G15179">
        <v>6000000</v>
      </c>
      <c r="H15179">
        <v>145000</v>
      </c>
      <c r="I15179" t="s">
        <v>949</v>
      </c>
    </row>
    <row r="15180" spans="1:9" x14ac:dyDescent="0.25">
      <c r="A15180">
        <v>4141</v>
      </c>
      <c r="B15180">
        <v>60</v>
      </c>
      <c r="C15180" t="s">
        <v>946</v>
      </c>
      <c r="D15180" t="s">
        <v>1030</v>
      </c>
      <c r="E15180" t="s">
        <v>976</v>
      </c>
      <c r="F15180" t="s">
        <v>948</v>
      </c>
      <c r="G15180">
        <v>6077777</v>
      </c>
      <c r="H15180">
        <v>501010</v>
      </c>
      <c r="I15180" t="s">
        <v>949</v>
      </c>
    </row>
    <row r="15181" spans="1:9" x14ac:dyDescent="0.25">
      <c r="A15181">
        <v>4220</v>
      </c>
      <c r="B15181">
        <v>60</v>
      </c>
      <c r="C15181" t="s">
        <v>946</v>
      </c>
      <c r="D15181" t="s">
        <v>1030</v>
      </c>
      <c r="E15181" t="s">
        <v>976</v>
      </c>
      <c r="F15181" t="s">
        <v>948</v>
      </c>
      <c r="G15181">
        <v>6077777</v>
      </c>
      <c r="H15181">
        <v>501010</v>
      </c>
      <c r="I15181" t="s">
        <v>949</v>
      </c>
    </row>
    <row r="15182" spans="1:9" x14ac:dyDescent="0.25">
      <c r="A15182">
        <v>4230</v>
      </c>
      <c r="B15182">
        <v>60</v>
      </c>
      <c r="C15182" t="s">
        <v>946</v>
      </c>
      <c r="D15182" t="s">
        <v>1030</v>
      </c>
      <c r="E15182" t="s">
        <v>976</v>
      </c>
      <c r="F15182" t="s">
        <v>948</v>
      </c>
      <c r="G15182">
        <v>6099999</v>
      </c>
      <c r="H15182">
        <v>401912</v>
      </c>
      <c r="I15182" t="s">
        <v>949</v>
      </c>
    </row>
    <row r="15183" spans="1:9" x14ac:dyDescent="0.25">
      <c r="A15183">
        <v>4240</v>
      </c>
      <c r="B15183">
        <v>60</v>
      </c>
      <c r="C15183" t="s">
        <v>946</v>
      </c>
      <c r="D15183" t="s">
        <v>1030</v>
      </c>
      <c r="E15183" t="s">
        <v>976</v>
      </c>
      <c r="F15183" t="s">
        <v>948</v>
      </c>
      <c r="G15183">
        <v>6000000</v>
      </c>
      <c r="H15183">
        <v>141000</v>
      </c>
      <c r="I15183" t="s">
        <v>977</v>
      </c>
    </row>
    <row r="15184" spans="1:9" x14ac:dyDescent="0.25">
      <c r="A15184">
        <v>4141</v>
      </c>
      <c r="B15184">
        <v>60</v>
      </c>
      <c r="C15184" t="s">
        <v>946</v>
      </c>
      <c r="D15184" t="s">
        <v>1030</v>
      </c>
      <c r="E15184" t="s">
        <v>290</v>
      </c>
      <c r="F15184" t="s">
        <v>948</v>
      </c>
      <c r="G15184">
        <v>6077777</v>
      </c>
      <c r="H15184">
        <v>501010</v>
      </c>
      <c r="I15184" t="s">
        <v>949</v>
      </c>
    </row>
    <row r="15185" spans="1:9" x14ac:dyDescent="0.25">
      <c r="A15185">
        <v>4220</v>
      </c>
      <c r="B15185">
        <v>60</v>
      </c>
      <c r="C15185" t="s">
        <v>946</v>
      </c>
      <c r="D15185" t="s">
        <v>1030</v>
      </c>
      <c r="E15185" t="s">
        <v>290</v>
      </c>
      <c r="F15185" t="s">
        <v>948</v>
      </c>
      <c r="G15185">
        <v>6077777</v>
      </c>
      <c r="H15185">
        <v>501010</v>
      </c>
      <c r="I15185" t="s">
        <v>949</v>
      </c>
    </row>
    <row r="15186" spans="1:9" x14ac:dyDescent="0.25">
      <c r="A15186">
        <v>4230</v>
      </c>
      <c r="B15186">
        <v>60</v>
      </c>
      <c r="C15186" t="s">
        <v>946</v>
      </c>
      <c r="D15186" t="s">
        <v>1030</v>
      </c>
      <c r="E15186" t="s">
        <v>290</v>
      </c>
      <c r="F15186" t="s">
        <v>948</v>
      </c>
      <c r="G15186">
        <v>6099999</v>
      </c>
      <c r="H15186">
        <v>401042</v>
      </c>
      <c r="I15186" t="s">
        <v>949</v>
      </c>
    </row>
    <row r="15187" spans="1:9" x14ac:dyDescent="0.25">
      <c r="A15187">
        <v>4240</v>
      </c>
      <c r="B15187">
        <v>60</v>
      </c>
      <c r="C15187" t="s">
        <v>946</v>
      </c>
      <c r="D15187" t="s">
        <v>1030</v>
      </c>
      <c r="E15187" t="s">
        <v>290</v>
      </c>
      <c r="F15187" t="s">
        <v>948</v>
      </c>
      <c r="G15187">
        <v>6000000</v>
      </c>
      <c r="H15187">
        <v>143000</v>
      </c>
      <c r="I15187" t="s">
        <v>978</v>
      </c>
    </row>
    <row r="15188" spans="1:9" x14ac:dyDescent="0.25">
      <c r="A15188">
        <v>4141</v>
      </c>
      <c r="B15188">
        <v>60</v>
      </c>
      <c r="C15188" t="s">
        <v>946</v>
      </c>
      <c r="D15188" t="s">
        <v>1030</v>
      </c>
      <c r="E15188" t="s">
        <v>294</v>
      </c>
      <c r="F15188" t="s">
        <v>948</v>
      </c>
      <c r="G15188">
        <v>6077777</v>
      </c>
      <c r="H15188">
        <v>501010</v>
      </c>
      <c r="I15188" t="s">
        <v>949</v>
      </c>
    </row>
    <row r="15189" spans="1:9" x14ac:dyDescent="0.25">
      <c r="A15189">
        <v>4220</v>
      </c>
      <c r="B15189">
        <v>60</v>
      </c>
      <c r="C15189" t="s">
        <v>946</v>
      </c>
      <c r="D15189" t="s">
        <v>1030</v>
      </c>
      <c r="E15189" t="s">
        <v>294</v>
      </c>
      <c r="F15189" t="s">
        <v>948</v>
      </c>
      <c r="G15189">
        <v>6077777</v>
      </c>
      <c r="H15189">
        <v>501010</v>
      </c>
      <c r="I15189" t="s">
        <v>949</v>
      </c>
    </row>
    <row r="15190" spans="1:9" x14ac:dyDescent="0.25">
      <c r="A15190">
        <v>4230</v>
      </c>
      <c r="B15190">
        <v>60</v>
      </c>
      <c r="C15190" t="s">
        <v>946</v>
      </c>
      <c r="D15190" t="s">
        <v>1030</v>
      </c>
      <c r="E15190" t="s">
        <v>294</v>
      </c>
      <c r="F15190" t="s">
        <v>948</v>
      </c>
      <c r="G15190">
        <v>6099999</v>
      </c>
      <c r="H15190">
        <v>401042</v>
      </c>
      <c r="I15190" t="s">
        <v>949</v>
      </c>
    </row>
    <row r="15191" spans="1:9" x14ac:dyDescent="0.25">
      <c r="A15191">
        <v>4240</v>
      </c>
      <c r="B15191">
        <v>60</v>
      </c>
      <c r="C15191" t="s">
        <v>946</v>
      </c>
      <c r="D15191" t="s">
        <v>1030</v>
      </c>
      <c r="E15191" t="s">
        <v>294</v>
      </c>
      <c r="F15191" t="s">
        <v>948</v>
      </c>
      <c r="G15191">
        <v>6000000</v>
      </c>
      <c r="H15191">
        <v>143000</v>
      </c>
      <c r="I15191" t="s">
        <v>979</v>
      </c>
    </row>
    <row r="15192" spans="1:9" x14ac:dyDescent="0.25">
      <c r="A15192">
        <v>4230</v>
      </c>
      <c r="B15192">
        <v>60</v>
      </c>
      <c r="C15192" t="s">
        <v>946</v>
      </c>
      <c r="D15192" t="s">
        <v>1030</v>
      </c>
      <c r="E15192" t="s">
        <v>298</v>
      </c>
      <c r="F15192" t="s">
        <v>948</v>
      </c>
      <c r="G15192">
        <v>6099999</v>
      </c>
      <c r="H15192">
        <v>402082</v>
      </c>
      <c r="I15192" t="s">
        <v>949</v>
      </c>
    </row>
    <row r="15193" spans="1:9" x14ac:dyDescent="0.25">
      <c r="A15193">
        <v>4141</v>
      </c>
      <c r="B15193">
        <v>60</v>
      </c>
      <c r="C15193" t="s">
        <v>946</v>
      </c>
      <c r="D15193" t="s">
        <v>1030</v>
      </c>
      <c r="E15193" t="s">
        <v>980</v>
      </c>
      <c r="F15193" t="s">
        <v>948</v>
      </c>
      <c r="G15193">
        <v>6077777</v>
      </c>
      <c r="H15193">
        <v>501010</v>
      </c>
      <c r="I15193" t="s">
        <v>949</v>
      </c>
    </row>
    <row r="15194" spans="1:9" x14ac:dyDescent="0.25">
      <c r="A15194">
        <v>4220</v>
      </c>
      <c r="B15194">
        <v>60</v>
      </c>
      <c r="C15194" t="s">
        <v>946</v>
      </c>
      <c r="D15194" t="s">
        <v>1030</v>
      </c>
      <c r="E15194" t="s">
        <v>980</v>
      </c>
      <c r="F15194" t="s">
        <v>948</v>
      </c>
      <c r="G15194">
        <v>6077777</v>
      </c>
      <c r="H15194">
        <v>501010</v>
      </c>
      <c r="I15194" t="s">
        <v>949</v>
      </c>
    </row>
    <row r="15195" spans="1:9" x14ac:dyDescent="0.25">
      <c r="A15195">
        <v>4230</v>
      </c>
      <c r="B15195">
        <v>60</v>
      </c>
      <c r="C15195" t="s">
        <v>946</v>
      </c>
      <c r="D15195" t="s">
        <v>1030</v>
      </c>
      <c r="E15195" t="s">
        <v>980</v>
      </c>
      <c r="F15195" t="s">
        <v>948</v>
      </c>
      <c r="G15195">
        <v>6099999</v>
      </c>
      <c r="H15195">
        <v>401912</v>
      </c>
      <c r="I15195" t="s">
        <v>949</v>
      </c>
    </row>
    <row r="15196" spans="1:9" x14ac:dyDescent="0.25">
      <c r="A15196">
        <v>4240</v>
      </c>
      <c r="B15196">
        <v>60</v>
      </c>
      <c r="C15196" t="s">
        <v>946</v>
      </c>
      <c r="D15196" t="s">
        <v>1030</v>
      </c>
      <c r="E15196" t="s">
        <v>980</v>
      </c>
      <c r="F15196" t="s">
        <v>948</v>
      </c>
      <c r="G15196">
        <v>6000000</v>
      </c>
      <c r="H15196">
        <v>141000</v>
      </c>
      <c r="I15196" t="s">
        <v>981</v>
      </c>
    </row>
    <row r="15197" spans="1:9" x14ac:dyDescent="0.25">
      <c r="A15197">
        <v>4141</v>
      </c>
      <c r="B15197">
        <v>60</v>
      </c>
      <c r="C15197" t="s">
        <v>946</v>
      </c>
      <c r="D15197" t="s">
        <v>1030</v>
      </c>
      <c r="E15197" t="s">
        <v>302</v>
      </c>
      <c r="F15197" t="s">
        <v>948</v>
      </c>
      <c r="G15197">
        <v>6077777</v>
      </c>
      <c r="H15197">
        <v>501010</v>
      </c>
      <c r="I15197" t="s">
        <v>949</v>
      </c>
    </row>
    <row r="15198" spans="1:9" x14ac:dyDescent="0.25">
      <c r="A15198">
        <v>4220</v>
      </c>
      <c r="B15198">
        <v>60</v>
      </c>
      <c r="C15198" t="s">
        <v>946</v>
      </c>
      <c r="D15198" t="s">
        <v>1030</v>
      </c>
      <c r="E15198" t="s">
        <v>302</v>
      </c>
      <c r="F15198" t="s">
        <v>948</v>
      </c>
      <c r="G15198">
        <v>6077777</v>
      </c>
      <c r="H15198">
        <v>501010</v>
      </c>
      <c r="I15198" t="s">
        <v>949</v>
      </c>
    </row>
    <row r="15199" spans="1:9" x14ac:dyDescent="0.25">
      <c r="A15199">
        <v>4230</v>
      </c>
      <c r="B15199">
        <v>60</v>
      </c>
      <c r="C15199" t="s">
        <v>946</v>
      </c>
      <c r="D15199" t="s">
        <v>1030</v>
      </c>
      <c r="E15199" t="s">
        <v>302</v>
      </c>
      <c r="F15199" t="s">
        <v>948</v>
      </c>
      <c r="G15199">
        <v>6099999</v>
      </c>
      <c r="H15199">
        <v>401902</v>
      </c>
      <c r="I15199" t="s">
        <v>949</v>
      </c>
    </row>
    <row r="15200" spans="1:9" x14ac:dyDescent="0.25">
      <c r="A15200">
        <v>4240</v>
      </c>
      <c r="B15200">
        <v>60</v>
      </c>
      <c r="C15200" t="s">
        <v>946</v>
      </c>
      <c r="D15200" t="s">
        <v>1030</v>
      </c>
      <c r="E15200" t="s">
        <v>302</v>
      </c>
      <c r="F15200" t="s">
        <v>948</v>
      </c>
      <c r="G15200">
        <v>6000000</v>
      </c>
      <c r="H15200">
        <v>143000</v>
      </c>
      <c r="I15200" t="s">
        <v>982</v>
      </c>
    </row>
    <row r="15201" spans="1:9" x14ac:dyDescent="0.25">
      <c r="A15201">
        <v>4141</v>
      </c>
      <c r="B15201">
        <v>60</v>
      </c>
      <c r="C15201" t="s">
        <v>946</v>
      </c>
      <c r="D15201" t="s">
        <v>1030</v>
      </c>
      <c r="E15201" t="s">
        <v>306</v>
      </c>
      <c r="F15201" t="s">
        <v>948</v>
      </c>
      <c r="G15201">
        <v>6077777</v>
      </c>
      <c r="H15201">
        <v>501010</v>
      </c>
      <c r="I15201" t="s">
        <v>949</v>
      </c>
    </row>
    <row r="15202" spans="1:9" x14ac:dyDescent="0.25">
      <c r="A15202">
        <v>4220</v>
      </c>
      <c r="B15202">
        <v>60</v>
      </c>
      <c r="C15202" t="s">
        <v>946</v>
      </c>
      <c r="D15202" t="s">
        <v>1030</v>
      </c>
      <c r="E15202" t="s">
        <v>306</v>
      </c>
      <c r="F15202" t="s">
        <v>948</v>
      </c>
      <c r="G15202">
        <v>6077777</v>
      </c>
      <c r="H15202">
        <v>501010</v>
      </c>
      <c r="I15202" t="s">
        <v>949</v>
      </c>
    </row>
    <row r="15203" spans="1:9" x14ac:dyDescent="0.25">
      <c r="A15203">
        <v>4230</v>
      </c>
      <c r="B15203">
        <v>60</v>
      </c>
      <c r="C15203" t="s">
        <v>946</v>
      </c>
      <c r="D15203" t="s">
        <v>1030</v>
      </c>
      <c r="E15203" t="s">
        <v>306</v>
      </c>
      <c r="F15203" t="s">
        <v>948</v>
      </c>
      <c r="G15203">
        <v>6099999</v>
      </c>
      <c r="H15203">
        <v>401042</v>
      </c>
      <c r="I15203" t="s">
        <v>949</v>
      </c>
    </row>
    <row r="15204" spans="1:9" x14ac:dyDescent="0.25">
      <c r="A15204">
        <v>4240</v>
      </c>
      <c r="B15204">
        <v>60</v>
      </c>
      <c r="C15204" t="s">
        <v>946</v>
      </c>
      <c r="D15204" t="s">
        <v>1030</v>
      </c>
      <c r="E15204" t="s">
        <v>306</v>
      </c>
      <c r="F15204" t="s">
        <v>948</v>
      </c>
      <c r="G15204">
        <v>6000000</v>
      </c>
      <c r="H15204">
        <v>143000</v>
      </c>
      <c r="I15204" t="s">
        <v>983</v>
      </c>
    </row>
    <row r="15205" spans="1:9" x14ac:dyDescent="0.25">
      <c r="A15205">
        <v>4141</v>
      </c>
      <c r="B15205">
        <v>60</v>
      </c>
      <c r="C15205" t="s">
        <v>946</v>
      </c>
      <c r="D15205" t="s">
        <v>1030</v>
      </c>
      <c r="E15205" t="s">
        <v>108</v>
      </c>
      <c r="F15205" t="s">
        <v>948</v>
      </c>
      <c r="G15205">
        <v>6077777</v>
      </c>
      <c r="H15205">
        <v>500220</v>
      </c>
      <c r="I15205" t="s">
        <v>949</v>
      </c>
    </row>
    <row r="15206" spans="1:9" x14ac:dyDescent="0.25">
      <c r="A15206">
        <v>4220</v>
      </c>
      <c r="B15206">
        <v>60</v>
      </c>
      <c r="C15206" t="s">
        <v>946</v>
      </c>
      <c r="D15206" t="s">
        <v>1030</v>
      </c>
      <c r="E15206" t="s">
        <v>108</v>
      </c>
      <c r="F15206" t="s">
        <v>948</v>
      </c>
      <c r="G15206">
        <v>6077777</v>
      </c>
      <c r="H15206">
        <v>500220</v>
      </c>
      <c r="I15206" t="s">
        <v>949</v>
      </c>
    </row>
    <row r="15207" spans="1:9" x14ac:dyDescent="0.25">
      <c r="A15207">
        <v>4230</v>
      </c>
      <c r="B15207">
        <v>60</v>
      </c>
      <c r="C15207" t="s">
        <v>946</v>
      </c>
      <c r="D15207" t="s">
        <v>1030</v>
      </c>
      <c r="E15207" t="s">
        <v>108</v>
      </c>
      <c r="F15207" t="s">
        <v>948</v>
      </c>
      <c r="G15207">
        <v>6099999</v>
      </c>
      <c r="H15207">
        <v>401042</v>
      </c>
      <c r="I15207" t="s">
        <v>949</v>
      </c>
    </row>
    <row r="15208" spans="1:9" x14ac:dyDescent="0.25">
      <c r="A15208">
        <v>4240</v>
      </c>
      <c r="B15208">
        <v>60</v>
      </c>
      <c r="C15208" t="s">
        <v>946</v>
      </c>
      <c r="D15208" t="s">
        <v>1030</v>
      </c>
      <c r="E15208" t="s">
        <v>108</v>
      </c>
      <c r="F15208" t="s">
        <v>948</v>
      </c>
      <c r="G15208">
        <v>6077777</v>
      </c>
      <c r="H15208">
        <v>500221</v>
      </c>
      <c r="I15208" t="s">
        <v>949</v>
      </c>
    </row>
    <row r="15209" spans="1:9" x14ac:dyDescent="0.25">
      <c r="A15209">
        <v>4141</v>
      </c>
      <c r="B15209">
        <v>60</v>
      </c>
      <c r="C15209" t="s">
        <v>946</v>
      </c>
      <c r="D15209" t="s">
        <v>1030</v>
      </c>
      <c r="E15209" t="s">
        <v>310</v>
      </c>
      <c r="F15209" t="s">
        <v>948</v>
      </c>
      <c r="G15209">
        <v>6077777</v>
      </c>
      <c r="H15209">
        <v>501010</v>
      </c>
      <c r="I15209" t="s">
        <v>949</v>
      </c>
    </row>
    <row r="15210" spans="1:9" x14ac:dyDescent="0.25">
      <c r="A15210">
        <v>4220</v>
      </c>
      <c r="B15210">
        <v>60</v>
      </c>
      <c r="C15210" t="s">
        <v>946</v>
      </c>
      <c r="D15210" t="s">
        <v>1030</v>
      </c>
      <c r="E15210" t="s">
        <v>310</v>
      </c>
      <c r="F15210" t="s">
        <v>948</v>
      </c>
      <c r="G15210">
        <v>6077777</v>
      </c>
      <c r="H15210">
        <v>501010</v>
      </c>
      <c r="I15210" t="s">
        <v>949</v>
      </c>
    </row>
    <row r="15211" spans="1:9" x14ac:dyDescent="0.25">
      <c r="A15211">
        <v>4230</v>
      </c>
      <c r="B15211">
        <v>60</v>
      </c>
      <c r="C15211" t="s">
        <v>946</v>
      </c>
      <c r="D15211" t="s">
        <v>1030</v>
      </c>
      <c r="E15211" t="s">
        <v>310</v>
      </c>
      <c r="F15211" t="s">
        <v>948</v>
      </c>
      <c r="G15211">
        <v>6099999</v>
      </c>
      <c r="H15211">
        <v>401012</v>
      </c>
      <c r="I15211" t="s">
        <v>949</v>
      </c>
    </row>
    <row r="15212" spans="1:9" x14ac:dyDescent="0.25">
      <c r="A15212">
        <v>4240</v>
      </c>
      <c r="B15212">
        <v>60</v>
      </c>
      <c r="C15212" t="s">
        <v>946</v>
      </c>
      <c r="D15212" t="s">
        <v>1030</v>
      </c>
      <c r="E15212" t="s">
        <v>310</v>
      </c>
      <c r="F15212" t="s">
        <v>948</v>
      </c>
      <c r="G15212">
        <v>6000000</v>
      </c>
      <c r="H15212">
        <v>145000</v>
      </c>
      <c r="I15212" t="s">
        <v>949</v>
      </c>
    </row>
    <row r="15213" spans="1:9" x14ac:dyDescent="0.25">
      <c r="A15213">
        <v>4141</v>
      </c>
      <c r="B15213">
        <v>60</v>
      </c>
      <c r="C15213" t="s">
        <v>946</v>
      </c>
      <c r="D15213" t="s">
        <v>1030</v>
      </c>
      <c r="E15213" t="s">
        <v>314</v>
      </c>
      <c r="F15213" t="s">
        <v>948</v>
      </c>
      <c r="G15213">
        <v>6077777</v>
      </c>
      <c r="H15213">
        <v>501010</v>
      </c>
      <c r="I15213" t="s">
        <v>949</v>
      </c>
    </row>
    <row r="15214" spans="1:9" x14ac:dyDescent="0.25">
      <c r="A15214">
        <v>4220</v>
      </c>
      <c r="B15214">
        <v>60</v>
      </c>
      <c r="C15214" t="s">
        <v>946</v>
      </c>
      <c r="D15214" t="s">
        <v>1030</v>
      </c>
      <c r="E15214" t="s">
        <v>314</v>
      </c>
      <c r="F15214" t="s">
        <v>948</v>
      </c>
      <c r="G15214">
        <v>6077777</v>
      </c>
      <c r="H15214">
        <v>501010</v>
      </c>
      <c r="I15214" t="s">
        <v>949</v>
      </c>
    </row>
    <row r="15215" spans="1:9" x14ac:dyDescent="0.25">
      <c r="A15215">
        <v>4230</v>
      </c>
      <c r="B15215">
        <v>60</v>
      </c>
      <c r="C15215" t="s">
        <v>946</v>
      </c>
      <c r="D15215" t="s">
        <v>1030</v>
      </c>
      <c r="E15215" t="s">
        <v>314</v>
      </c>
      <c r="F15215" t="s">
        <v>948</v>
      </c>
      <c r="G15215">
        <v>6099999</v>
      </c>
      <c r="H15215">
        <v>401062</v>
      </c>
      <c r="I15215" t="s">
        <v>949</v>
      </c>
    </row>
    <row r="15216" spans="1:9" x14ac:dyDescent="0.25">
      <c r="A15216">
        <v>4240</v>
      </c>
      <c r="B15216">
        <v>60</v>
      </c>
      <c r="C15216" t="s">
        <v>946</v>
      </c>
      <c r="D15216" t="s">
        <v>1030</v>
      </c>
      <c r="E15216" t="s">
        <v>314</v>
      </c>
      <c r="F15216" t="s">
        <v>948</v>
      </c>
      <c r="G15216">
        <v>6000000</v>
      </c>
      <c r="H15216">
        <v>145000</v>
      </c>
      <c r="I15216" t="s">
        <v>949</v>
      </c>
    </row>
    <row r="15217" spans="1:9" x14ac:dyDescent="0.25">
      <c r="A15217">
        <v>4141</v>
      </c>
      <c r="B15217">
        <v>60</v>
      </c>
      <c r="C15217" t="s">
        <v>946</v>
      </c>
      <c r="D15217" t="s">
        <v>1030</v>
      </c>
      <c r="E15217" t="s">
        <v>113</v>
      </c>
      <c r="F15217" t="s">
        <v>948</v>
      </c>
      <c r="G15217">
        <v>6077777</v>
      </c>
      <c r="H15217">
        <v>500220</v>
      </c>
      <c r="I15217" t="s">
        <v>949</v>
      </c>
    </row>
    <row r="15218" spans="1:9" x14ac:dyDescent="0.25">
      <c r="A15218">
        <v>4220</v>
      </c>
      <c r="B15218">
        <v>60</v>
      </c>
      <c r="C15218" t="s">
        <v>946</v>
      </c>
      <c r="D15218" t="s">
        <v>1030</v>
      </c>
      <c r="E15218" t="s">
        <v>113</v>
      </c>
      <c r="F15218" t="s">
        <v>948</v>
      </c>
      <c r="G15218">
        <v>6077777</v>
      </c>
      <c r="H15218">
        <v>500220</v>
      </c>
      <c r="I15218" t="s">
        <v>949</v>
      </c>
    </row>
    <row r="15219" spans="1:9" x14ac:dyDescent="0.25">
      <c r="A15219">
        <v>4230</v>
      </c>
      <c r="B15219">
        <v>60</v>
      </c>
      <c r="C15219" t="s">
        <v>946</v>
      </c>
      <c r="D15219" t="s">
        <v>1030</v>
      </c>
      <c r="E15219" t="s">
        <v>113</v>
      </c>
      <c r="F15219" t="s">
        <v>948</v>
      </c>
      <c r="G15219">
        <v>6099999</v>
      </c>
      <c r="H15219">
        <v>402082</v>
      </c>
      <c r="I15219" t="s">
        <v>949</v>
      </c>
    </row>
    <row r="15220" spans="1:9" x14ac:dyDescent="0.25">
      <c r="A15220">
        <v>4240</v>
      </c>
      <c r="B15220">
        <v>60</v>
      </c>
      <c r="C15220" t="s">
        <v>946</v>
      </c>
      <c r="D15220" t="s">
        <v>1030</v>
      </c>
      <c r="E15220" t="s">
        <v>113</v>
      </c>
      <c r="F15220" t="s">
        <v>948</v>
      </c>
      <c r="G15220">
        <v>6077777</v>
      </c>
      <c r="H15220">
        <v>500221</v>
      </c>
      <c r="I15220" t="s">
        <v>949</v>
      </c>
    </row>
    <row r="15221" spans="1:9" x14ac:dyDescent="0.25">
      <c r="A15221">
        <v>4141</v>
      </c>
      <c r="B15221">
        <v>60</v>
      </c>
      <c r="C15221" t="s">
        <v>946</v>
      </c>
      <c r="D15221" t="s">
        <v>1030</v>
      </c>
      <c r="E15221" t="s">
        <v>117</v>
      </c>
      <c r="F15221" t="s">
        <v>948</v>
      </c>
      <c r="G15221">
        <v>6077777</v>
      </c>
      <c r="H15221">
        <v>500220</v>
      </c>
      <c r="I15221" t="s">
        <v>949</v>
      </c>
    </row>
    <row r="15222" spans="1:9" x14ac:dyDescent="0.25">
      <c r="A15222">
        <v>4220</v>
      </c>
      <c r="B15222">
        <v>60</v>
      </c>
      <c r="C15222" t="s">
        <v>946</v>
      </c>
      <c r="D15222" t="s">
        <v>1030</v>
      </c>
      <c r="E15222" t="s">
        <v>117</v>
      </c>
      <c r="F15222" t="s">
        <v>948</v>
      </c>
      <c r="G15222">
        <v>6077777</v>
      </c>
      <c r="H15222">
        <v>500220</v>
      </c>
      <c r="I15222" t="s">
        <v>949</v>
      </c>
    </row>
    <row r="15223" spans="1:9" x14ac:dyDescent="0.25">
      <c r="A15223">
        <v>4230</v>
      </c>
      <c r="B15223">
        <v>60</v>
      </c>
      <c r="C15223" t="s">
        <v>946</v>
      </c>
      <c r="D15223" t="s">
        <v>1030</v>
      </c>
      <c r="E15223" t="s">
        <v>117</v>
      </c>
      <c r="F15223" t="s">
        <v>948</v>
      </c>
      <c r="G15223">
        <v>6088888</v>
      </c>
      <c r="H15223">
        <v>810600</v>
      </c>
      <c r="I15223" t="s">
        <v>949</v>
      </c>
    </row>
    <row r="15224" spans="1:9" x14ac:dyDescent="0.25">
      <c r="A15224">
        <v>4240</v>
      </c>
      <c r="B15224">
        <v>60</v>
      </c>
      <c r="C15224" t="s">
        <v>946</v>
      </c>
      <c r="D15224" t="s">
        <v>1030</v>
      </c>
      <c r="E15224" t="s">
        <v>117</v>
      </c>
      <c r="F15224" t="s">
        <v>948</v>
      </c>
      <c r="G15224">
        <v>6077777</v>
      </c>
      <c r="H15224">
        <v>500221</v>
      </c>
      <c r="I15224" t="s">
        <v>949</v>
      </c>
    </row>
    <row r="15225" spans="1:9" x14ac:dyDescent="0.25">
      <c r="A15225">
        <v>4141</v>
      </c>
      <c r="B15225">
        <v>60</v>
      </c>
      <c r="C15225" t="s">
        <v>946</v>
      </c>
      <c r="D15225" t="s">
        <v>1030</v>
      </c>
      <c r="E15225" t="s">
        <v>121</v>
      </c>
      <c r="F15225" t="s">
        <v>948</v>
      </c>
      <c r="G15225">
        <v>6077777</v>
      </c>
      <c r="H15225">
        <v>500220</v>
      </c>
      <c r="I15225" t="s">
        <v>949</v>
      </c>
    </row>
    <row r="15226" spans="1:9" x14ac:dyDescent="0.25">
      <c r="A15226">
        <v>4220</v>
      </c>
      <c r="B15226">
        <v>60</v>
      </c>
      <c r="C15226" t="s">
        <v>946</v>
      </c>
      <c r="D15226" t="s">
        <v>1030</v>
      </c>
      <c r="E15226" t="s">
        <v>121</v>
      </c>
      <c r="F15226" t="s">
        <v>948</v>
      </c>
      <c r="G15226">
        <v>6077777</v>
      </c>
      <c r="H15226">
        <v>500220</v>
      </c>
      <c r="I15226" t="s">
        <v>949</v>
      </c>
    </row>
    <row r="15227" spans="1:9" x14ac:dyDescent="0.25">
      <c r="A15227">
        <v>4230</v>
      </c>
      <c r="B15227">
        <v>60</v>
      </c>
      <c r="C15227" t="s">
        <v>946</v>
      </c>
      <c r="D15227" t="s">
        <v>1030</v>
      </c>
      <c r="E15227" t="s">
        <v>121</v>
      </c>
      <c r="F15227" t="s">
        <v>948</v>
      </c>
      <c r="G15227">
        <v>6099999</v>
      </c>
      <c r="H15227">
        <v>401042</v>
      </c>
      <c r="I15227" t="s">
        <v>949</v>
      </c>
    </row>
    <row r="15228" spans="1:9" x14ac:dyDescent="0.25">
      <c r="A15228">
        <v>4240</v>
      </c>
      <c r="B15228">
        <v>60</v>
      </c>
      <c r="C15228" t="s">
        <v>946</v>
      </c>
      <c r="D15228" t="s">
        <v>1030</v>
      </c>
      <c r="E15228" t="s">
        <v>121</v>
      </c>
      <c r="F15228" t="s">
        <v>948</v>
      </c>
      <c r="G15228">
        <v>6077777</v>
      </c>
      <c r="H15228">
        <v>500221</v>
      </c>
      <c r="I15228" t="s">
        <v>949</v>
      </c>
    </row>
    <row r="15229" spans="1:9" x14ac:dyDescent="0.25">
      <c r="A15229">
        <v>4141</v>
      </c>
      <c r="B15229">
        <v>60</v>
      </c>
      <c r="C15229" t="s">
        <v>946</v>
      </c>
      <c r="D15229" t="s">
        <v>1030</v>
      </c>
      <c r="E15229" t="s">
        <v>984</v>
      </c>
      <c r="F15229" t="s">
        <v>948</v>
      </c>
      <c r="G15229">
        <v>6077777</v>
      </c>
      <c r="H15229">
        <v>501010</v>
      </c>
      <c r="I15229" t="s">
        <v>949</v>
      </c>
    </row>
    <row r="15230" spans="1:9" x14ac:dyDescent="0.25">
      <c r="A15230">
        <v>4220</v>
      </c>
      <c r="B15230">
        <v>60</v>
      </c>
      <c r="C15230" t="s">
        <v>946</v>
      </c>
      <c r="D15230" t="s">
        <v>1030</v>
      </c>
      <c r="E15230" t="s">
        <v>984</v>
      </c>
      <c r="F15230" t="s">
        <v>948</v>
      </c>
      <c r="G15230">
        <v>6077777</v>
      </c>
      <c r="H15230">
        <v>501010</v>
      </c>
      <c r="I15230" t="s">
        <v>949</v>
      </c>
    </row>
    <row r="15231" spans="1:9" x14ac:dyDescent="0.25">
      <c r="A15231">
        <v>4230</v>
      </c>
      <c r="B15231">
        <v>60</v>
      </c>
      <c r="C15231" t="s">
        <v>946</v>
      </c>
      <c r="D15231" t="s">
        <v>1030</v>
      </c>
      <c r="E15231" t="s">
        <v>984</v>
      </c>
      <c r="F15231" t="s">
        <v>948</v>
      </c>
      <c r="G15231">
        <v>6099999</v>
      </c>
      <c r="H15231">
        <v>401912</v>
      </c>
      <c r="I15231" t="s">
        <v>949</v>
      </c>
    </row>
    <row r="15232" spans="1:9" x14ac:dyDescent="0.25">
      <c r="A15232">
        <v>4240</v>
      </c>
      <c r="B15232">
        <v>60</v>
      </c>
      <c r="C15232" t="s">
        <v>946</v>
      </c>
      <c r="D15232" t="s">
        <v>1030</v>
      </c>
      <c r="E15232" t="s">
        <v>984</v>
      </c>
      <c r="F15232" t="s">
        <v>948</v>
      </c>
      <c r="G15232">
        <v>6000000</v>
      </c>
      <c r="H15232">
        <v>141000</v>
      </c>
      <c r="I15232" t="s">
        <v>985</v>
      </c>
    </row>
    <row r="15233" spans="1:9" x14ac:dyDescent="0.25">
      <c r="A15233">
        <v>4141</v>
      </c>
      <c r="B15233">
        <v>60</v>
      </c>
      <c r="C15233" t="s">
        <v>946</v>
      </c>
      <c r="D15233" t="s">
        <v>1031</v>
      </c>
      <c r="E15233" t="s">
        <v>243</v>
      </c>
      <c r="F15233" t="s">
        <v>948</v>
      </c>
      <c r="G15233">
        <v>6077777</v>
      </c>
      <c r="H15233">
        <v>501010</v>
      </c>
      <c r="I15233" t="s">
        <v>949</v>
      </c>
    </row>
    <row r="15234" spans="1:9" x14ac:dyDescent="0.25">
      <c r="A15234">
        <v>4220</v>
      </c>
      <c r="B15234">
        <v>60</v>
      </c>
      <c r="C15234" t="s">
        <v>946</v>
      </c>
      <c r="D15234" t="s">
        <v>1031</v>
      </c>
      <c r="E15234" t="s">
        <v>243</v>
      </c>
      <c r="F15234" t="s">
        <v>948</v>
      </c>
      <c r="G15234">
        <v>6077777</v>
      </c>
      <c r="H15234">
        <v>501010</v>
      </c>
      <c r="I15234" t="s">
        <v>949</v>
      </c>
    </row>
    <row r="15235" spans="1:9" x14ac:dyDescent="0.25">
      <c r="A15235">
        <v>4230</v>
      </c>
      <c r="B15235">
        <v>60</v>
      </c>
      <c r="C15235" t="s">
        <v>946</v>
      </c>
      <c r="D15235" t="s">
        <v>1031</v>
      </c>
      <c r="E15235" t="s">
        <v>243</v>
      </c>
      <c r="F15235" t="s">
        <v>948</v>
      </c>
      <c r="G15235">
        <v>6099999</v>
      </c>
      <c r="H15235">
        <v>401052</v>
      </c>
      <c r="I15235" t="s">
        <v>949</v>
      </c>
    </row>
    <row r="15236" spans="1:9" x14ac:dyDescent="0.25">
      <c r="A15236">
        <v>4240</v>
      </c>
      <c r="B15236">
        <v>60</v>
      </c>
      <c r="C15236" t="s">
        <v>946</v>
      </c>
      <c r="D15236" t="s">
        <v>1031</v>
      </c>
      <c r="E15236" t="s">
        <v>243</v>
      </c>
      <c r="F15236" t="s">
        <v>948</v>
      </c>
      <c r="G15236">
        <v>6000000</v>
      </c>
      <c r="H15236">
        <v>145000</v>
      </c>
      <c r="I15236" t="s">
        <v>949</v>
      </c>
    </row>
    <row r="15237" spans="1:9" x14ac:dyDescent="0.25">
      <c r="A15237">
        <v>4141</v>
      </c>
      <c r="B15237">
        <v>60</v>
      </c>
      <c r="C15237" t="s">
        <v>946</v>
      </c>
      <c r="D15237" t="s">
        <v>1031</v>
      </c>
      <c r="E15237" t="s">
        <v>247</v>
      </c>
      <c r="F15237" t="s">
        <v>948</v>
      </c>
      <c r="G15237">
        <v>6077777</v>
      </c>
      <c r="H15237">
        <v>501010</v>
      </c>
      <c r="I15237" t="s">
        <v>949</v>
      </c>
    </row>
    <row r="15238" spans="1:9" x14ac:dyDescent="0.25">
      <c r="A15238">
        <v>4220</v>
      </c>
      <c r="B15238">
        <v>60</v>
      </c>
      <c r="C15238" t="s">
        <v>946</v>
      </c>
      <c r="D15238" t="s">
        <v>1031</v>
      </c>
      <c r="E15238" t="s">
        <v>247</v>
      </c>
      <c r="F15238" t="s">
        <v>948</v>
      </c>
      <c r="G15238">
        <v>6077777</v>
      </c>
      <c r="H15238">
        <v>501010</v>
      </c>
      <c r="I15238" t="s">
        <v>949</v>
      </c>
    </row>
    <row r="15239" spans="1:9" x14ac:dyDescent="0.25">
      <c r="A15239">
        <v>4230</v>
      </c>
      <c r="B15239">
        <v>60</v>
      </c>
      <c r="C15239" t="s">
        <v>946</v>
      </c>
      <c r="D15239" t="s">
        <v>1031</v>
      </c>
      <c r="E15239" t="s">
        <v>247</v>
      </c>
      <c r="F15239" t="s">
        <v>948</v>
      </c>
      <c r="G15239">
        <v>6099999</v>
      </c>
      <c r="H15239">
        <v>401022</v>
      </c>
      <c r="I15239" t="s">
        <v>949</v>
      </c>
    </row>
    <row r="15240" spans="1:9" x14ac:dyDescent="0.25">
      <c r="A15240">
        <v>4240</v>
      </c>
      <c r="B15240">
        <v>60</v>
      </c>
      <c r="C15240" t="s">
        <v>946</v>
      </c>
      <c r="D15240" t="s">
        <v>1031</v>
      </c>
      <c r="E15240" t="s">
        <v>247</v>
      </c>
      <c r="F15240" t="s">
        <v>948</v>
      </c>
      <c r="G15240">
        <v>6000000</v>
      </c>
      <c r="H15240">
        <v>145000</v>
      </c>
      <c r="I15240" t="s">
        <v>949</v>
      </c>
    </row>
    <row r="15241" spans="1:9" x14ac:dyDescent="0.25">
      <c r="A15241">
        <v>4141</v>
      </c>
      <c r="B15241">
        <v>60</v>
      </c>
      <c r="C15241" t="s">
        <v>946</v>
      </c>
      <c r="D15241" t="s">
        <v>1031</v>
      </c>
      <c r="E15241" t="s">
        <v>251</v>
      </c>
      <c r="F15241" t="s">
        <v>948</v>
      </c>
      <c r="G15241">
        <v>6077777</v>
      </c>
      <c r="H15241">
        <v>501010</v>
      </c>
      <c r="I15241" t="s">
        <v>949</v>
      </c>
    </row>
    <row r="15242" spans="1:9" x14ac:dyDescent="0.25">
      <c r="A15242">
        <v>4220</v>
      </c>
      <c r="B15242">
        <v>60</v>
      </c>
      <c r="C15242" t="s">
        <v>946</v>
      </c>
      <c r="D15242" t="s">
        <v>1031</v>
      </c>
      <c r="E15242" t="s">
        <v>251</v>
      </c>
      <c r="F15242" t="s">
        <v>948</v>
      </c>
      <c r="G15242">
        <v>6077777</v>
      </c>
      <c r="H15242">
        <v>501010</v>
      </c>
      <c r="I15242" t="s">
        <v>949</v>
      </c>
    </row>
    <row r="15243" spans="1:9" x14ac:dyDescent="0.25">
      <c r="A15243">
        <v>4230</v>
      </c>
      <c r="B15243">
        <v>60</v>
      </c>
      <c r="C15243" t="s">
        <v>946</v>
      </c>
      <c r="D15243" t="s">
        <v>1031</v>
      </c>
      <c r="E15243" t="s">
        <v>251</v>
      </c>
      <c r="F15243" t="s">
        <v>948</v>
      </c>
      <c r="G15243">
        <v>6099999</v>
      </c>
      <c r="H15243">
        <v>401042</v>
      </c>
      <c r="I15243" t="s">
        <v>949</v>
      </c>
    </row>
    <row r="15244" spans="1:9" x14ac:dyDescent="0.25">
      <c r="A15244">
        <v>4240</v>
      </c>
      <c r="B15244">
        <v>60</v>
      </c>
      <c r="C15244" t="s">
        <v>946</v>
      </c>
      <c r="D15244" t="s">
        <v>1031</v>
      </c>
      <c r="E15244" t="s">
        <v>251</v>
      </c>
      <c r="F15244" t="s">
        <v>948</v>
      </c>
      <c r="G15244">
        <v>6000000</v>
      </c>
      <c r="H15244">
        <v>142000</v>
      </c>
      <c r="I15244" t="s">
        <v>949</v>
      </c>
    </row>
    <row r="15245" spans="1:9" x14ac:dyDescent="0.25">
      <c r="A15245">
        <v>4141</v>
      </c>
      <c r="B15245">
        <v>60</v>
      </c>
      <c r="C15245" t="s">
        <v>946</v>
      </c>
      <c r="D15245" t="s">
        <v>1031</v>
      </c>
      <c r="E15245" t="s">
        <v>969</v>
      </c>
      <c r="F15245" t="s">
        <v>948</v>
      </c>
      <c r="G15245">
        <v>6077777</v>
      </c>
      <c r="H15245">
        <v>501010</v>
      </c>
      <c r="I15245" t="s">
        <v>949</v>
      </c>
    </row>
    <row r="15246" spans="1:9" x14ac:dyDescent="0.25">
      <c r="A15246">
        <v>4220</v>
      </c>
      <c r="B15246">
        <v>60</v>
      </c>
      <c r="C15246" t="s">
        <v>946</v>
      </c>
      <c r="D15246" t="s">
        <v>1031</v>
      </c>
      <c r="E15246" t="s">
        <v>969</v>
      </c>
      <c r="F15246" t="s">
        <v>948</v>
      </c>
      <c r="G15246">
        <v>6077777</v>
      </c>
      <c r="H15246">
        <v>501010</v>
      </c>
      <c r="I15246" t="s">
        <v>949</v>
      </c>
    </row>
    <row r="15247" spans="1:9" x14ac:dyDescent="0.25">
      <c r="A15247">
        <v>4230</v>
      </c>
      <c r="B15247">
        <v>60</v>
      </c>
      <c r="C15247" t="s">
        <v>946</v>
      </c>
      <c r="D15247" t="s">
        <v>1031</v>
      </c>
      <c r="E15247" t="s">
        <v>969</v>
      </c>
      <c r="F15247" t="s">
        <v>948</v>
      </c>
      <c r="G15247">
        <v>6099999</v>
      </c>
      <c r="H15247">
        <v>401912</v>
      </c>
      <c r="I15247" t="s">
        <v>949</v>
      </c>
    </row>
    <row r="15248" spans="1:9" x14ac:dyDescent="0.25">
      <c r="A15248">
        <v>4240</v>
      </c>
      <c r="B15248">
        <v>60</v>
      </c>
      <c r="C15248" t="s">
        <v>946</v>
      </c>
      <c r="D15248" t="s">
        <v>1031</v>
      </c>
      <c r="E15248" t="s">
        <v>969</v>
      </c>
      <c r="F15248" t="s">
        <v>948</v>
      </c>
      <c r="G15248">
        <v>6000000</v>
      </c>
      <c r="H15248">
        <v>141000</v>
      </c>
      <c r="I15248" t="s">
        <v>970</v>
      </c>
    </row>
    <row r="15249" spans="1:9" x14ac:dyDescent="0.25">
      <c r="A15249">
        <v>4141</v>
      </c>
      <c r="B15249">
        <v>60</v>
      </c>
      <c r="C15249" t="s">
        <v>946</v>
      </c>
      <c r="D15249" t="s">
        <v>1031</v>
      </c>
      <c r="E15249" t="s">
        <v>255</v>
      </c>
      <c r="F15249" t="s">
        <v>948</v>
      </c>
      <c r="G15249">
        <v>6077777</v>
      </c>
      <c r="H15249">
        <v>501010</v>
      </c>
      <c r="I15249" t="s">
        <v>949</v>
      </c>
    </row>
    <row r="15250" spans="1:9" x14ac:dyDescent="0.25">
      <c r="A15250">
        <v>4220</v>
      </c>
      <c r="B15250">
        <v>60</v>
      </c>
      <c r="C15250" t="s">
        <v>946</v>
      </c>
      <c r="D15250" t="s">
        <v>1031</v>
      </c>
      <c r="E15250" t="s">
        <v>255</v>
      </c>
      <c r="F15250" t="s">
        <v>948</v>
      </c>
      <c r="G15250">
        <v>6077777</v>
      </c>
      <c r="H15250">
        <v>501010</v>
      </c>
      <c r="I15250" t="s">
        <v>949</v>
      </c>
    </row>
    <row r="15251" spans="1:9" x14ac:dyDescent="0.25">
      <c r="A15251">
        <v>4230</v>
      </c>
      <c r="B15251">
        <v>60</v>
      </c>
      <c r="C15251" t="s">
        <v>946</v>
      </c>
      <c r="D15251" t="s">
        <v>1031</v>
      </c>
      <c r="E15251" t="s">
        <v>255</v>
      </c>
      <c r="F15251" t="s">
        <v>948</v>
      </c>
      <c r="G15251">
        <v>6099999</v>
      </c>
      <c r="H15251">
        <v>401072</v>
      </c>
      <c r="I15251" t="s">
        <v>949</v>
      </c>
    </row>
    <row r="15252" spans="1:9" x14ac:dyDescent="0.25">
      <c r="A15252">
        <v>4240</v>
      </c>
      <c r="B15252">
        <v>60</v>
      </c>
      <c r="C15252" t="s">
        <v>946</v>
      </c>
      <c r="D15252" t="s">
        <v>1031</v>
      </c>
      <c r="E15252" t="s">
        <v>255</v>
      </c>
      <c r="F15252" t="s">
        <v>948</v>
      </c>
      <c r="G15252">
        <v>6000000</v>
      </c>
      <c r="H15252">
        <v>145000</v>
      </c>
      <c r="I15252" t="s">
        <v>949</v>
      </c>
    </row>
    <row r="15253" spans="1:9" x14ac:dyDescent="0.25">
      <c r="A15253">
        <v>4141</v>
      </c>
      <c r="B15253">
        <v>60</v>
      </c>
      <c r="C15253" t="s">
        <v>946</v>
      </c>
      <c r="D15253" t="s">
        <v>1031</v>
      </c>
      <c r="E15253" t="s">
        <v>971</v>
      </c>
      <c r="F15253" t="s">
        <v>948</v>
      </c>
      <c r="G15253">
        <v>6077777</v>
      </c>
      <c r="H15253">
        <v>501010</v>
      </c>
      <c r="I15253" t="s">
        <v>949</v>
      </c>
    </row>
    <row r="15254" spans="1:9" x14ac:dyDescent="0.25">
      <c r="A15254">
        <v>4220</v>
      </c>
      <c r="B15254">
        <v>60</v>
      </c>
      <c r="C15254" t="s">
        <v>946</v>
      </c>
      <c r="D15254" t="s">
        <v>1031</v>
      </c>
      <c r="E15254" t="s">
        <v>971</v>
      </c>
      <c r="F15254" t="s">
        <v>948</v>
      </c>
      <c r="G15254">
        <v>6077777</v>
      </c>
      <c r="H15254">
        <v>501010</v>
      </c>
      <c r="I15254" t="s">
        <v>949</v>
      </c>
    </row>
    <row r="15255" spans="1:9" x14ac:dyDescent="0.25">
      <c r="A15255">
        <v>4230</v>
      </c>
      <c r="B15255">
        <v>60</v>
      </c>
      <c r="C15255" t="s">
        <v>946</v>
      </c>
      <c r="D15255" t="s">
        <v>1031</v>
      </c>
      <c r="E15255" t="s">
        <v>971</v>
      </c>
      <c r="F15255" t="s">
        <v>948</v>
      </c>
      <c r="G15255">
        <v>6099999</v>
      </c>
      <c r="H15255">
        <v>401912</v>
      </c>
      <c r="I15255" t="s">
        <v>949</v>
      </c>
    </row>
    <row r="15256" spans="1:9" x14ac:dyDescent="0.25">
      <c r="A15256">
        <v>4240</v>
      </c>
      <c r="B15256">
        <v>60</v>
      </c>
      <c r="C15256" t="s">
        <v>946</v>
      </c>
      <c r="D15256" t="s">
        <v>1031</v>
      </c>
      <c r="E15256" t="s">
        <v>971</v>
      </c>
      <c r="F15256" t="s">
        <v>948</v>
      </c>
      <c r="G15256">
        <v>6000000</v>
      </c>
      <c r="H15256">
        <v>141000</v>
      </c>
      <c r="I15256" t="s">
        <v>972</v>
      </c>
    </row>
    <row r="15257" spans="1:9" x14ac:dyDescent="0.25">
      <c r="A15257">
        <v>4230</v>
      </c>
      <c r="B15257">
        <v>60</v>
      </c>
      <c r="C15257" t="s">
        <v>946</v>
      </c>
      <c r="D15257" t="s">
        <v>1031</v>
      </c>
      <c r="E15257" t="s">
        <v>259</v>
      </c>
      <c r="F15257" t="s">
        <v>948</v>
      </c>
      <c r="G15257">
        <v>6099999</v>
      </c>
      <c r="H15257">
        <v>409002</v>
      </c>
      <c r="I15257" t="s">
        <v>949</v>
      </c>
    </row>
    <row r="15258" spans="1:9" x14ac:dyDescent="0.25">
      <c r="A15258">
        <v>4141</v>
      </c>
      <c r="B15258">
        <v>60</v>
      </c>
      <c r="C15258" t="s">
        <v>946</v>
      </c>
      <c r="D15258" t="s">
        <v>1031</v>
      </c>
      <c r="E15258" t="s">
        <v>263</v>
      </c>
      <c r="F15258" t="s">
        <v>948</v>
      </c>
      <c r="G15258">
        <v>6077777</v>
      </c>
      <c r="H15258">
        <v>501010</v>
      </c>
      <c r="I15258" t="s">
        <v>949</v>
      </c>
    </row>
    <row r="15259" spans="1:9" x14ac:dyDescent="0.25">
      <c r="A15259">
        <v>4220</v>
      </c>
      <c r="B15259">
        <v>60</v>
      </c>
      <c r="C15259" t="s">
        <v>946</v>
      </c>
      <c r="D15259" t="s">
        <v>1031</v>
      </c>
      <c r="E15259" t="s">
        <v>263</v>
      </c>
      <c r="F15259" t="s">
        <v>948</v>
      </c>
      <c r="G15259">
        <v>6077777</v>
      </c>
      <c r="H15259">
        <v>501010</v>
      </c>
      <c r="I15259" t="s">
        <v>949</v>
      </c>
    </row>
    <row r="15260" spans="1:9" x14ac:dyDescent="0.25">
      <c r="A15260">
        <v>4230</v>
      </c>
      <c r="B15260">
        <v>60</v>
      </c>
      <c r="C15260" t="s">
        <v>946</v>
      </c>
      <c r="D15260" t="s">
        <v>1031</v>
      </c>
      <c r="E15260" t="s">
        <v>263</v>
      </c>
      <c r="F15260" t="s">
        <v>948</v>
      </c>
      <c r="G15260">
        <v>6099999</v>
      </c>
      <c r="H15260">
        <v>401042</v>
      </c>
      <c r="I15260" t="s">
        <v>949</v>
      </c>
    </row>
    <row r="15261" spans="1:9" x14ac:dyDescent="0.25">
      <c r="A15261">
        <v>4240</v>
      </c>
      <c r="B15261">
        <v>60</v>
      </c>
      <c r="C15261" t="s">
        <v>946</v>
      </c>
      <c r="D15261" t="s">
        <v>1031</v>
      </c>
      <c r="E15261" t="s">
        <v>263</v>
      </c>
      <c r="F15261" t="s">
        <v>948</v>
      </c>
      <c r="G15261">
        <v>6000000</v>
      </c>
      <c r="H15261">
        <v>145000</v>
      </c>
      <c r="I15261" t="s">
        <v>949</v>
      </c>
    </row>
    <row r="15262" spans="1:9" x14ac:dyDescent="0.25">
      <c r="A15262">
        <v>4141</v>
      </c>
      <c r="B15262">
        <v>60</v>
      </c>
      <c r="C15262" t="s">
        <v>946</v>
      </c>
      <c r="D15262" t="s">
        <v>1031</v>
      </c>
      <c r="E15262" t="s">
        <v>100</v>
      </c>
      <c r="F15262" t="s">
        <v>948</v>
      </c>
      <c r="G15262">
        <v>6077777</v>
      </c>
      <c r="H15262">
        <v>500220</v>
      </c>
      <c r="I15262" t="s">
        <v>949</v>
      </c>
    </row>
    <row r="15263" spans="1:9" x14ac:dyDescent="0.25">
      <c r="A15263">
        <v>4220</v>
      </c>
      <c r="B15263">
        <v>60</v>
      </c>
      <c r="C15263" t="s">
        <v>946</v>
      </c>
      <c r="D15263" t="s">
        <v>1031</v>
      </c>
      <c r="E15263" t="s">
        <v>100</v>
      </c>
      <c r="F15263" t="s">
        <v>948</v>
      </c>
      <c r="G15263">
        <v>6077777</v>
      </c>
      <c r="H15263">
        <v>500220</v>
      </c>
      <c r="I15263" t="s">
        <v>949</v>
      </c>
    </row>
    <row r="15264" spans="1:9" x14ac:dyDescent="0.25">
      <c r="A15264">
        <v>4230</v>
      </c>
      <c r="B15264">
        <v>60</v>
      </c>
      <c r="C15264" t="s">
        <v>946</v>
      </c>
      <c r="D15264" t="s">
        <v>1031</v>
      </c>
      <c r="E15264" t="s">
        <v>100</v>
      </c>
      <c r="F15264" t="s">
        <v>948</v>
      </c>
      <c r="G15264">
        <v>6099999</v>
      </c>
      <c r="H15264">
        <v>401042</v>
      </c>
      <c r="I15264" t="s">
        <v>949</v>
      </c>
    </row>
    <row r="15265" spans="1:9" x14ac:dyDescent="0.25">
      <c r="A15265">
        <v>4240</v>
      </c>
      <c r="B15265">
        <v>60</v>
      </c>
      <c r="C15265" t="s">
        <v>946</v>
      </c>
      <c r="D15265" t="s">
        <v>1031</v>
      </c>
      <c r="E15265" t="s">
        <v>100</v>
      </c>
      <c r="F15265" t="s">
        <v>948</v>
      </c>
      <c r="G15265">
        <v>6077777</v>
      </c>
      <c r="H15265">
        <v>500221</v>
      </c>
      <c r="I15265" t="s">
        <v>949</v>
      </c>
    </row>
    <row r="15266" spans="1:9" x14ac:dyDescent="0.25">
      <c r="A15266">
        <v>4141</v>
      </c>
      <c r="B15266">
        <v>60</v>
      </c>
      <c r="C15266" t="s">
        <v>946</v>
      </c>
      <c r="D15266" t="s">
        <v>1031</v>
      </c>
      <c r="E15266" t="s">
        <v>270</v>
      </c>
      <c r="F15266" t="s">
        <v>948</v>
      </c>
      <c r="G15266">
        <v>6077777</v>
      </c>
      <c r="H15266">
        <v>501010</v>
      </c>
      <c r="I15266" t="s">
        <v>949</v>
      </c>
    </row>
    <row r="15267" spans="1:9" x14ac:dyDescent="0.25">
      <c r="A15267">
        <v>4220</v>
      </c>
      <c r="B15267">
        <v>60</v>
      </c>
      <c r="C15267" t="s">
        <v>946</v>
      </c>
      <c r="D15267" t="s">
        <v>1031</v>
      </c>
      <c r="E15267" t="s">
        <v>270</v>
      </c>
      <c r="F15267" t="s">
        <v>948</v>
      </c>
      <c r="G15267">
        <v>6077777</v>
      </c>
      <c r="H15267">
        <v>501010</v>
      </c>
      <c r="I15267" t="s">
        <v>949</v>
      </c>
    </row>
    <row r="15268" spans="1:9" x14ac:dyDescent="0.25">
      <c r="A15268">
        <v>4230</v>
      </c>
      <c r="B15268">
        <v>60</v>
      </c>
      <c r="C15268" t="s">
        <v>946</v>
      </c>
      <c r="D15268" t="s">
        <v>1031</v>
      </c>
      <c r="E15268" t="s">
        <v>270</v>
      </c>
      <c r="F15268" t="s">
        <v>948</v>
      </c>
      <c r="G15268">
        <v>6099999</v>
      </c>
      <c r="H15268">
        <v>401062</v>
      </c>
      <c r="I15268" t="s">
        <v>949</v>
      </c>
    </row>
    <row r="15269" spans="1:9" x14ac:dyDescent="0.25">
      <c r="A15269">
        <v>4240</v>
      </c>
      <c r="B15269">
        <v>60</v>
      </c>
      <c r="C15269" t="s">
        <v>946</v>
      </c>
      <c r="D15269" t="s">
        <v>1031</v>
      </c>
      <c r="E15269" t="s">
        <v>270</v>
      </c>
      <c r="F15269" t="s">
        <v>948</v>
      </c>
      <c r="G15269">
        <v>6000000</v>
      </c>
      <c r="H15269">
        <v>145000</v>
      </c>
      <c r="I15269" t="s">
        <v>949</v>
      </c>
    </row>
    <row r="15270" spans="1:9" x14ac:dyDescent="0.25">
      <c r="A15270">
        <v>4141</v>
      </c>
      <c r="B15270">
        <v>60</v>
      </c>
      <c r="C15270" t="s">
        <v>946</v>
      </c>
      <c r="D15270" t="s">
        <v>1031</v>
      </c>
      <c r="E15270" t="s">
        <v>274</v>
      </c>
      <c r="F15270" t="s">
        <v>948</v>
      </c>
      <c r="G15270">
        <v>6077777</v>
      </c>
      <c r="H15270">
        <v>501010</v>
      </c>
      <c r="I15270" t="s">
        <v>949</v>
      </c>
    </row>
    <row r="15271" spans="1:9" x14ac:dyDescent="0.25">
      <c r="A15271">
        <v>4220</v>
      </c>
      <c r="B15271">
        <v>60</v>
      </c>
      <c r="C15271" t="s">
        <v>946</v>
      </c>
      <c r="D15271" t="s">
        <v>1031</v>
      </c>
      <c r="E15271" t="s">
        <v>274</v>
      </c>
      <c r="F15271" t="s">
        <v>948</v>
      </c>
      <c r="G15271">
        <v>6077777</v>
      </c>
      <c r="H15271">
        <v>501010</v>
      </c>
      <c r="I15271" t="s">
        <v>949</v>
      </c>
    </row>
    <row r="15272" spans="1:9" x14ac:dyDescent="0.25">
      <c r="A15272">
        <v>4230</v>
      </c>
      <c r="B15272">
        <v>60</v>
      </c>
      <c r="C15272" t="s">
        <v>946</v>
      </c>
      <c r="D15272" t="s">
        <v>1031</v>
      </c>
      <c r="E15272" t="s">
        <v>274</v>
      </c>
      <c r="F15272" t="s">
        <v>948</v>
      </c>
      <c r="G15272">
        <v>6099999</v>
      </c>
      <c r="H15272">
        <v>401042</v>
      </c>
      <c r="I15272" t="s">
        <v>949</v>
      </c>
    </row>
    <row r="15273" spans="1:9" x14ac:dyDescent="0.25">
      <c r="A15273">
        <v>4240</v>
      </c>
      <c r="B15273">
        <v>60</v>
      </c>
      <c r="C15273" t="s">
        <v>946</v>
      </c>
      <c r="D15273" t="s">
        <v>1031</v>
      </c>
      <c r="E15273" t="s">
        <v>274</v>
      </c>
      <c r="F15273" t="s">
        <v>948</v>
      </c>
      <c r="G15273">
        <v>6000000</v>
      </c>
      <c r="H15273">
        <v>143000</v>
      </c>
      <c r="I15273" t="s">
        <v>973</v>
      </c>
    </row>
    <row r="15274" spans="1:9" x14ac:dyDescent="0.25">
      <c r="A15274">
        <v>4141</v>
      </c>
      <c r="B15274">
        <v>60</v>
      </c>
      <c r="C15274" t="s">
        <v>946</v>
      </c>
      <c r="D15274" t="s">
        <v>1031</v>
      </c>
      <c r="E15274" t="s">
        <v>974</v>
      </c>
      <c r="F15274" t="s">
        <v>948</v>
      </c>
      <c r="G15274">
        <v>6077777</v>
      </c>
      <c r="H15274">
        <v>501010</v>
      </c>
      <c r="I15274" t="s">
        <v>949</v>
      </c>
    </row>
    <row r="15275" spans="1:9" x14ac:dyDescent="0.25">
      <c r="A15275">
        <v>4220</v>
      </c>
      <c r="B15275">
        <v>60</v>
      </c>
      <c r="C15275" t="s">
        <v>946</v>
      </c>
      <c r="D15275" t="s">
        <v>1031</v>
      </c>
      <c r="E15275" t="s">
        <v>974</v>
      </c>
      <c r="F15275" t="s">
        <v>948</v>
      </c>
      <c r="G15275">
        <v>6077777</v>
      </c>
      <c r="H15275">
        <v>501010</v>
      </c>
      <c r="I15275" t="s">
        <v>949</v>
      </c>
    </row>
    <row r="15276" spans="1:9" x14ac:dyDescent="0.25">
      <c r="A15276">
        <v>4230</v>
      </c>
      <c r="B15276">
        <v>60</v>
      </c>
      <c r="C15276" t="s">
        <v>946</v>
      </c>
      <c r="D15276" t="s">
        <v>1031</v>
      </c>
      <c r="E15276" t="s">
        <v>974</v>
      </c>
      <c r="F15276" t="s">
        <v>948</v>
      </c>
      <c r="G15276">
        <v>6099999</v>
      </c>
      <c r="H15276">
        <v>401912</v>
      </c>
      <c r="I15276" t="s">
        <v>949</v>
      </c>
    </row>
    <row r="15277" spans="1:9" x14ac:dyDescent="0.25">
      <c r="A15277">
        <v>4240</v>
      </c>
      <c r="B15277">
        <v>60</v>
      </c>
      <c r="C15277" t="s">
        <v>946</v>
      </c>
      <c r="D15277" t="s">
        <v>1031</v>
      </c>
      <c r="E15277" t="s">
        <v>974</v>
      </c>
      <c r="F15277" t="s">
        <v>948</v>
      </c>
      <c r="G15277">
        <v>6000000</v>
      </c>
      <c r="H15277">
        <v>141000</v>
      </c>
      <c r="I15277" t="s">
        <v>975</v>
      </c>
    </row>
    <row r="15278" spans="1:9" x14ac:dyDescent="0.25">
      <c r="A15278">
        <v>4141</v>
      </c>
      <c r="B15278">
        <v>60</v>
      </c>
      <c r="C15278" t="s">
        <v>946</v>
      </c>
      <c r="D15278" t="s">
        <v>1031</v>
      </c>
      <c r="E15278" t="s">
        <v>104</v>
      </c>
      <c r="F15278" t="s">
        <v>948</v>
      </c>
      <c r="G15278">
        <v>6077777</v>
      </c>
      <c r="H15278">
        <v>500220</v>
      </c>
      <c r="I15278" t="s">
        <v>949</v>
      </c>
    </row>
    <row r="15279" spans="1:9" x14ac:dyDescent="0.25">
      <c r="A15279">
        <v>4220</v>
      </c>
      <c r="B15279">
        <v>60</v>
      </c>
      <c r="C15279" t="s">
        <v>946</v>
      </c>
      <c r="D15279" t="s">
        <v>1031</v>
      </c>
      <c r="E15279" t="s">
        <v>104</v>
      </c>
      <c r="F15279" t="s">
        <v>948</v>
      </c>
      <c r="G15279">
        <v>6077777</v>
      </c>
      <c r="H15279">
        <v>500220</v>
      </c>
      <c r="I15279" t="s">
        <v>949</v>
      </c>
    </row>
    <row r="15280" spans="1:9" x14ac:dyDescent="0.25">
      <c r="A15280">
        <v>4230</v>
      </c>
      <c r="B15280">
        <v>60</v>
      </c>
      <c r="C15280" t="s">
        <v>946</v>
      </c>
      <c r="D15280" t="s">
        <v>1031</v>
      </c>
      <c r="E15280" t="s">
        <v>104</v>
      </c>
      <c r="F15280" t="s">
        <v>948</v>
      </c>
      <c r="G15280">
        <v>6099999</v>
      </c>
      <c r="H15280">
        <v>401042</v>
      </c>
      <c r="I15280" t="s">
        <v>949</v>
      </c>
    </row>
    <row r="15281" spans="1:9" x14ac:dyDescent="0.25">
      <c r="A15281">
        <v>4240</v>
      </c>
      <c r="B15281">
        <v>60</v>
      </c>
      <c r="C15281" t="s">
        <v>946</v>
      </c>
      <c r="D15281" t="s">
        <v>1031</v>
      </c>
      <c r="E15281" t="s">
        <v>104</v>
      </c>
      <c r="F15281" t="s">
        <v>948</v>
      </c>
      <c r="G15281">
        <v>6077777</v>
      </c>
      <c r="H15281">
        <v>500221</v>
      </c>
      <c r="I15281" t="s">
        <v>949</v>
      </c>
    </row>
    <row r="15282" spans="1:9" x14ac:dyDescent="0.25">
      <c r="A15282">
        <v>4141</v>
      </c>
      <c r="B15282">
        <v>60</v>
      </c>
      <c r="C15282" t="s">
        <v>946</v>
      </c>
      <c r="D15282" t="s">
        <v>1031</v>
      </c>
      <c r="E15282" t="s">
        <v>278</v>
      </c>
      <c r="F15282" t="s">
        <v>948</v>
      </c>
      <c r="G15282">
        <v>6077777</v>
      </c>
      <c r="H15282">
        <v>501010</v>
      </c>
      <c r="I15282" t="s">
        <v>949</v>
      </c>
    </row>
    <row r="15283" spans="1:9" x14ac:dyDescent="0.25">
      <c r="A15283">
        <v>4220</v>
      </c>
      <c r="B15283">
        <v>60</v>
      </c>
      <c r="C15283" t="s">
        <v>946</v>
      </c>
      <c r="D15283" t="s">
        <v>1031</v>
      </c>
      <c r="E15283" t="s">
        <v>278</v>
      </c>
      <c r="F15283" t="s">
        <v>948</v>
      </c>
      <c r="G15283">
        <v>6077777</v>
      </c>
      <c r="H15283">
        <v>501010</v>
      </c>
      <c r="I15283" t="s">
        <v>949</v>
      </c>
    </row>
    <row r="15284" spans="1:9" x14ac:dyDescent="0.25">
      <c r="A15284">
        <v>4230</v>
      </c>
      <c r="B15284">
        <v>60</v>
      </c>
      <c r="C15284" t="s">
        <v>946</v>
      </c>
      <c r="D15284" t="s">
        <v>1031</v>
      </c>
      <c r="E15284" t="s">
        <v>278</v>
      </c>
      <c r="F15284" t="s">
        <v>948</v>
      </c>
      <c r="G15284">
        <v>6099999</v>
      </c>
      <c r="H15284">
        <v>401052</v>
      </c>
      <c r="I15284" t="s">
        <v>949</v>
      </c>
    </row>
    <row r="15285" spans="1:9" x14ac:dyDescent="0.25">
      <c r="A15285">
        <v>4240</v>
      </c>
      <c r="B15285">
        <v>60</v>
      </c>
      <c r="C15285" t="s">
        <v>946</v>
      </c>
      <c r="D15285" t="s">
        <v>1031</v>
      </c>
      <c r="E15285" t="s">
        <v>278</v>
      </c>
      <c r="F15285" t="s">
        <v>948</v>
      </c>
      <c r="G15285">
        <v>6000000</v>
      </c>
      <c r="H15285">
        <v>145000</v>
      </c>
      <c r="I15285" t="s">
        <v>949</v>
      </c>
    </row>
    <row r="15286" spans="1:9" x14ac:dyDescent="0.25">
      <c r="A15286">
        <v>4141</v>
      </c>
      <c r="B15286">
        <v>60</v>
      </c>
      <c r="C15286" t="s">
        <v>946</v>
      </c>
      <c r="D15286" t="s">
        <v>1031</v>
      </c>
      <c r="E15286" t="s">
        <v>282</v>
      </c>
      <c r="F15286" t="s">
        <v>948</v>
      </c>
      <c r="G15286">
        <v>6077777</v>
      </c>
      <c r="H15286">
        <v>501010</v>
      </c>
      <c r="I15286" t="s">
        <v>949</v>
      </c>
    </row>
    <row r="15287" spans="1:9" x14ac:dyDescent="0.25">
      <c r="A15287">
        <v>4220</v>
      </c>
      <c r="B15287">
        <v>60</v>
      </c>
      <c r="C15287" t="s">
        <v>946</v>
      </c>
      <c r="D15287" t="s">
        <v>1031</v>
      </c>
      <c r="E15287" t="s">
        <v>282</v>
      </c>
      <c r="F15287" t="s">
        <v>948</v>
      </c>
      <c r="G15287">
        <v>6077777</v>
      </c>
      <c r="H15287">
        <v>501010</v>
      </c>
      <c r="I15287" t="s">
        <v>949</v>
      </c>
    </row>
    <row r="15288" spans="1:9" x14ac:dyDescent="0.25">
      <c r="A15288">
        <v>4230</v>
      </c>
      <c r="B15288">
        <v>60</v>
      </c>
      <c r="C15288" t="s">
        <v>946</v>
      </c>
      <c r="D15288" t="s">
        <v>1031</v>
      </c>
      <c r="E15288" t="s">
        <v>282</v>
      </c>
      <c r="F15288" t="s">
        <v>948</v>
      </c>
      <c r="G15288">
        <v>6099999</v>
      </c>
      <c r="H15288">
        <v>401042</v>
      </c>
      <c r="I15288" t="s">
        <v>949</v>
      </c>
    </row>
    <row r="15289" spans="1:9" x14ac:dyDescent="0.25">
      <c r="A15289">
        <v>4240</v>
      </c>
      <c r="B15289">
        <v>60</v>
      </c>
      <c r="C15289" t="s">
        <v>946</v>
      </c>
      <c r="D15289" t="s">
        <v>1031</v>
      </c>
      <c r="E15289" t="s">
        <v>282</v>
      </c>
      <c r="F15289" t="s">
        <v>948</v>
      </c>
      <c r="G15289">
        <v>6000000</v>
      </c>
      <c r="H15289">
        <v>143100</v>
      </c>
      <c r="I15289" t="s">
        <v>949</v>
      </c>
    </row>
    <row r="15290" spans="1:9" x14ac:dyDescent="0.25">
      <c r="A15290">
        <v>4141</v>
      </c>
      <c r="B15290">
        <v>60</v>
      </c>
      <c r="C15290" t="s">
        <v>946</v>
      </c>
      <c r="D15290" t="s">
        <v>1031</v>
      </c>
      <c r="E15290" t="s">
        <v>286</v>
      </c>
      <c r="F15290" t="s">
        <v>948</v>
      </c>
      <c r="G15290">
        <v>6077777</v>
      </c>
      <c r="H15290">
        <v>501010</v>
      </c>
      <c r="I15290" t="s">
        <v>949</v>
      </c>
    </row>
    <row r="15291" spans="1:9" x14ac:dyDescent="0.25">
      <c r="A15291">
        <v>4220</v>
      </c>
      <c r="B15291">
        <v>60</v>
      </c>
      <c r="C15291" t="s">
        <v>946</v>
      </c>
      <c r="D15291" t="s">
        <v>1031</v>
      </c>
      <c r="E15291" t="s">
        <v>286</v>
      </c>
      <c r="F15291" t="s">
        <v>948</v>
      </c>
      <c r="G15291">
        <v>6077777</v>
      </c>
      <c r="H15291">
        <v>501010</v>
      </c>
      <c r="I15291" t="s">
        <v>949</v>
      </c>
    </row>
    <row r="15292" spans="1:9" x14ac:dyDescent="0.25">
      <c r="A15292">
        <v>4230</v>
      </c>
      <c r="B15292">
        <v>60</v>
      </c>
      <c r="C15292" t="s">
        <v>946</v>
      </c>
      <c r="D15292" t="s">
        <v>1031</v>
      </c>
      <c r="E15292" t="s">
        <v>286</v>
      </c>
      <c r="F15292" t="s">
        <v>948</v>
      </c>
      <c r="G15292">
        <v>6099999</v>
      </c>
      <c r="H15292">
        <v>401032</v>
      </c>
      <c r="I15292" t="s">
        <v>949</v>
      </c>
    </row>
    <row r="15293" spans="1:9" x14ac:dyDescent="0.25">
      <c r="A15293">
        <v>4240</v>
      </c>
      <c r="B15293">
        <v>60</v>
      </c>
      <c r="C15293" t="s">
        <v>946</v>
      </c>
      <c r="D15293" t="s">
        <v>1031</v>
      </c>
      <c r="E15293" t="s">
        <v>286</v>
      </c>
      <c r="F15293" t="s">
        <v>948</v>
      </c>
      <c r="G15293">
        <v>6000000</v>
      </c>
      <c r="H15293">
        <v>145000</v>
      </c>
      <c r="I15293" t="s">
        <v>949</v>
      </c>
    </row>
    <row r="15294" spans="1:9" x14ac:dyDescent="0.25">
      <c r="A15294">
        <v>4141</v>
      </c>
      <c r="B15294">
        <v>60</v>
      </c>
      <c r="C15294" t="s">
        <v>946</v>
      </c>
      <c r="D15294" t="s">
        <v>1031</v>
      </c>
      <c r="E15294" t="s">
        <v>976</v>
      </c>
      <c r="F15294" t="s">
        <v>948</v>
      </c>
      <c r="G15294">
        <v>6077777</v>
      </c>
      <c r="H15294">
        <v>501010</v>
      </c>
      <c r="I15294" t="s">
        <v>949</v>
      </c>
    </row>
    <row r="15295" spans="1:9" x14ac:dyDescent="0.25">
      <c r="A15295">
        <v>4220</v>
      </c>
      <c r="B15295">
        <v>60</v>
      </c>
      <c r="C15295" t="s">
        <v>946</v>
      </c>
      <c r="D15295" t="s">
        <v>1031</v>
      </c>
      <c r="E15295" t="s">
        <v>976</v>
      </c>
      <c r="F15295" t="s">
        <v>948</v>
      </c>
      <c r="G15295">
        <v>6077777</v>
      </c>
      <c r="H15295">
        <v>501010</v>
      </c>
      <c r="I15295" t="s">
        <v>949</v>
      </c>
    </row>
    <row r="15296" spans="1:9" x14ac:dyDescent="0.25">
      <c r="A15296">
        <v>4230</v>
      </c>
      <c r="B15296">
        <v>60</v>
      </c>
      <c r="C15296" t="s">
        <v>946</v>
      </c>
      <c r="D15296" t="s">
        <v>1031</v>
      </c>
      <c r="E15296" t="s">
        <v>976</v>
      </c>
      <c r="F15296" t="s">
        <v>948</v>
      </c>
      <c r="G15296">
        <v>6099999</v>
      </c>
      <c r="H15296">
        <v>401912</v>
      </c>
      <c r="I15296" t="s">
        <v>949</v>
      </c>
    </row>
    <row r="15297" spans="1:9" x14ac:dyDescent="0.25">
      <c r="A15297">
        <v>4240</v>
      </c>
      <c r="B15297">
        <v>60</v>
      </c>
      <c r="C15297" t="s">
        <v>946</v>
      </c>
      <c r="D15297" t="s">
        <v>1031</v>
      </c>
      <c r="E15297" t="s">
        <v>976</v>
      </c>
      <c r="F15297" t="s">
        <v>948</v>
      </c>
      <c r="G15297">
        <v>6000000</v>
      </c>
      <c r="H15297">
        <v>141000</v>
      </c>
      <c r="I15297" t="s">
        <v>977</v>
      </c>
    </row>
    <row r="15298" spans="1:9" x14ac:dyDescent="0.25">
      <c r="A15298">
        <v>4141</v>
      </c>
      <c r="B15298">
        <v>60</v>
      </c>
      <c r="C15298" t="s">
        <v>946</v>
      </c>
      <c r="D15298" t="s">
        <v>1031</v>
      </c>
      <c r="E15298" t="s">
        <v>290</v>
      </c>
      <c r="F15298" t="s">
        <v>948</v>
      </c>
      <c r="G15298">
        <v>6077777</v>
      </c>
      <c r="H15298">
        <v>501010</v>
      </c>
      <c r="I15298" t="s">
        <v>949</v>
      </c>
    </row>
    <row r="15299" spans="1:9" x14ac:dyDescent="0.25">
      <c r="A15299">
        <v>4220</v>
      </c>
      <c r="B15299">
        <v>60</v>
      </c>
      <c r="C15299" t="s">
        <v>946</v>
      </c>
      <c r="D15299" t="s">
        <v>1031</v>
      </c>
      <c r="E15299" t="s">
        <v>290</v>
      </c>
      <c r="F15299" t="s">
        <v>948</v>
      </c>
      <c r="G15299">
        <v>6077777</v>
      </c>
      <c r="H15299">
        <v>501010</v>
      </c>
      <c r="I15299" t="s">
        <v>949</v>
      </c>
    </row>
    <row r="15300" spans="1:9" x14ac:dyDescent="0.25">
      <c r="A15300">
        <v>4230</v>
      </c>
      <c r="B15300">
        <v>60</v>
      </c>
      <c r="C15300" t="s">
        <v>946</v>
      </c>
      <c r="D15300" t="s">
        <v>1031</v>
      </c>
      <c r="E15300" t="s">
        <v>290</v>
      </c>
      <c r="F15300" t="s">
        <v>948</v>
      </c>
      <c r="G15300">
        <v>6099999</v>
      </c>
      <c r="H15300">
        <v>401042</v>
      </c>
      <c r="I15300" t="s">
        <v>949</v>
      </c>
    </row>
    <row r="15301" spans="1:9" x14ac:dyDescent="0.25">
      <c r="A15301">
        <v>4240</v>
      </c>
      <c r="B15301">
        <v>60</v>
      </c>
      <c r="C15301" t="s">
        <v>946</v>
      </c>
      <c r="D15301" t="s">
        <v>1031</v>
      </c>
      <c r="E15301" t="s">
        <v>290</v>
      </c>
      <c r="F15301" t="s">
        <v>948</v>
      </c>
      <c r="G15301">
        <v>6000000</v>
      </c>
      <c r="H15301">
        <v>143000</v>
      </c>
      <c r="I15301" t="s">
        <v>978</v>
      </c>
    </row>
    <row r="15302" spans="1:9" x14ac:dyDescent="0.25">
      <c r="A15302">
        <v>4141</v>
      </c>
      <c r="B15302">
        <v>60</v>
      </c>
      <c r="C15302" t="s">
        <v>946</v>
      </c>
      <c r="D15302" t="s">
        <v>1031</v>
      </c>
      <c r="E15302" t="s">
        <v>294</v>
      </c>
      <c r="F15302" t="s">
        <v>948</v>
      </c>
      <c r="G15302">
        <v>6077777</v>
      </c>
      <c r="H15302">
        <v>501010</v>
      </c>
      <c r="I15302" t="s">
        <v>949</v>
      </c>
    </row>
    <row r="15303" spans="1:9" x14ac:dyDescent="0.25">
      <c r="A15303">
        <v>4220</v>
      </c>
      <c r="B15303">
        <v>60</v>
      </c>
      <c r="C15303" t="s">
        <v>946</v>
      </c>
      <c r="D15303" t="s">
        <v>1031</v>
      </c>
      <c r="E15303" t="s">
        <v>294</v>
      </c>
      <c r="F15303" t="s">
        <v>948</v>
      </c>
      <c r="G15303">
        <v>6077777</v>
      </c>
      <c r="H15303">
        <v>501010</v>
      </c>
      <c r="I15303" t="s">
        <v>949</v>
      </c>
    </row>
    <row r="15304" spans="1:9" x14ac:dyDescent="0.25">
      <c r="A15304">
        <v>4230</v>
      </c>
      <c r="B15304">
        <v>60</v>
      </c>
      <c r="C15304" t="s">
        <v>946</v>
      </c>
      <c r="D15304" t="s">
        <v>1031</v>
      </c>
      <c r="E15304" t="s">
        <v>294</v>
      </c>
      <c r="F15304" t="s">
        <v>948</v>
      </c>
      <c r="G15304">
        <v>6099999</v>
      </c>
      <c r="H15304">
        <v>401042</v>
      </c>
      <c r="I15304" t="s">
        <v>949</v>
      </c>
    </row>
    <row r="15305" spans="1:9" x14ac:dyDescent="0.25">
      <c r="A15305">
        <v>4240</v>
      </c>
      <c r="B15305">
        <v>60</v>
      </c>
      <c r="C15305" t="s">
        <v>946</v>
      </c>
      <c r="D15305" t="s">
        <v>1031</v>
      </c>
      <c r="E15305" t="s">
        <v>294</v>
      </c>
      <c r="F15305" t="s">
        <v>948</v>
      </c>
      <c r="G15305">
        <v>6000000</v>
      </c>
      <c r="H15305">
        <v>143000</v>
      </c>
      <c r="I15305" t="s">
        <v>979</v>
      </c>
    </row>
    <row r="15306" spans="1:9" x14ac:dyDescent="0.25">
      <c r="A15306">
        <v>4230</v>
      </c>
      <c r="B15306">
        <v>60</v>
      </c>
      <c r="C15306" t="s">
        <v>946</v>
      </c>
      <c r="D15306" t="s">
        <v>1031</v>
      </c>
      <c r="E15306" t="s">
        <v>298</v>
      </c>
      <c r="F15306" t="s">
        <v>948</v>
      </c>
      <c r="G15306">
        <v>6099999</v>
      </c>
      <c r="H15306">
        <v>402082</v>
      </c>
      <c r="I15306" t="s">
        <v>949</v>
      </c>
    </row>
    <row r="15307" spans="1:9" x14ac:dyDescent="0.25">
      <c r="A15307">
        <v>4141</v>
      </c>
      <c r="B15307">
        <v>60</v>
      </c>
      <c r="C15307" t="s">
        <v>946</v>
      </c>
      <c r="D15307" t="s">
        <v>1031</v>
      </c>
      <c r="E15307" t="s">
        <v>980</v>
      </c>
      <c r="F15307" t="s">
        <v>948</v>
      </c>
      <c r="G15307">
        <v>6077777</v>
      </c>
      <c r="H15307">
        <v>501010</v>
      </c>
      <c r="I15307" t="s">
        <v>949</v>
      </c>
    </row>
    <row r="15308" spans="1:9" x14ac:dyDescent="0.25">
      <c r="A15308">
        <v>4220</v>
      </c>
      <c r="B15308">
        <v>60</v>
      </c>
      <c r="C15308" t="s">
        <v>946</v>
      </c>
      <c r="D15308" t="s">
        <v>1031</v>
      </c>
      <c r="E15308" t="s">
        <v>980</v>
      </c>
      <c r="F15308" t="s">
        <v>948</v>
      </c>
      <c r="G15308">
        <v>6077777</v>
      </c>
      <c r="H15308">
        <v>501010</v>
      </c>
      <c r="I15308" t="s">
        <v>949</v>
      </c>
    </row>
    <row r="15309" spans="1:9" x14ac:dyDescent="0.25">
      <c r="A15309">
        <v>4230</v>
      </c>
      <c r="B15309">
        <v>60</v>
      </c>
      <c r="C15309" t="s">
        <v>946</v>
      </c>
      <c r="D15309" t="s">
        <v>1031</v>
      </c>
      <c r="E15309" t="s">
        <v>980</v>
      </c>
      <c r="F15309" t="s">
        <v>948</v>
      </c>
      <c r="G15309">
        <v>6099999</v>
      </c>
      <c r="H15309">
        <v>401912</v>
      </c>
      <c r="I15309" t="s">
        <v>949</v>
      </c>
    </row>
    <row r="15310" spans="1:9" x14ac:dyDescent="0.25">
      <c r="A15310">
        <v>4240</v>
      </c>
      <c r="B15310">
        <v>60</v>
      </c>
      <c r="C15310" t="s">
        <v>946</v>
      </c>
      <c r="D15310" t="s">
        <v>1031</v>
      </c>
      <c r="E15310" t="s">
        <v>980</v>
      </c>
      <c r="F15310" t="s">
        <v>948</v>
      </c>
      <c r="G15310">
        <v>6000000</v>
      </c>
      <c r="H15310">
        <v>141000</v>
      </c>
      <c r="I15310" t="s">
        <v>981</v>
      </c>
    </row>
    <row r="15311" spans="1:9" x14ac:dyDescent="0.25">
      <c r="A15311">
        <v>4141</v>
      </c>
      <c r="B15311">
        <v>60</v>
      </c>
      <c r="C15311" t="s">
        <v>946</v>
      </c>
      <c r="D15311" t="s">
        <v>1031</v>
      </c>
      <c r="E15311" t="s">
        <v>302</v>
      </c>
      <c r="F15311" t="s">
        <v>948</v>
      </c>
      <c r="G15311">
        <v>6077777</v>
      </c>
      <c r="H15311">
        <v>501010</v>
      </c>
      <c r="I15311" t="s">
        <v>949</v>
      </c>
    </row>
    <row r="15312" spans="1:9" x14ac:dyDescent="0.25">
      <c r="A15312">
        <v>4220</v>
      </c>
      <c r="B15312">
        <v>60</v>
      </c>
      <c r="C15312" t="s">
        <v>946</v>
      </c>
      <c r="D15312" t="s">
        <v>1031</v>
      </c>
      <c r="E15312" t="s">
        <v>302</v>
      </c>
      <c r="F15312" t="s">
        <v>948</v>
      </c>
      <c r="G15312">
        <v>6077777</v>
      </c>
      <c r="H15312">
        <v>501010</v>
      </c>
      <c r="I15312" t="s">
        <v>949</v>
      </c>
    </row>
    <row r="15313" spans="1:9" x14ac:dyDescent="0.25">
      <c r="A15313">
        <v>4230</v>
      </c>
      <c r="B15313">
        <v>60</v>
      </c>
      <c r="C15313" t="s">
        <v>946</v>
      </c>
      <c r="D15313" t="s">
        <v>1031</v>
      </c>
      <c r="E15313" t="s">
        <v>302</v>
      </c>
      <c r="F15313" t="s">
        <v>948</v>
      </c>
      <c r="G15313">
        <v>6099999</v>
      </c>
      <c r="H15313">
        <v>401902</v>
      </c>
      <c r="I15313" t="s">
        <v>949</v>
      </c>
    </row>
    <row r="15314" spans="1:9" x14ac:dyDescent="0.25">
      <c r="A15314">
        <v>4240</v>
      </c>
      <c r="B15314">
        <v>60</v>
      </c>
      <c r="C15314" t="s">
        <v>946</v>
      </c>
      <c r="D15314" t="s">
        <v>1031</v>
      </c>
      <c r="E15314" t="s">
        <v>302</v>
      </c>
      <c r="F15314" t="s">
        <v>948</v>
      </c>
      <c r="G15314">
        <v>6000000</v>
      </c>
      <c r="H15314">
        <v>143000</v>
      </c>
      <c r="I15314" t="s">
        <v>982</v>
      </c>
    </row>
    <row r="15315" spans="1:9" x14ac:dyDescent="0.25">
      <c r="A15315">
        <v>4141</v>
      </c>
      <c r="B15315">
        <v>60</v>
      </c>
      <c r="C15315" t="s">
        <v>946</v>
      </c>
      <c r="D15315" t="s">
        <v>1031</v>
      </c>
      <c r="E15315" t="s">
        <v>306</v>
      </c>
      <c r="F15315" t="s">
        <v>948</v>
      </c>
      <c r="G15315">
        <v>6077777</v>
      </c>
      <c r="H15315">
        <v>501010</v>
      </c>
      <c r="I15315" t="s">
        <v>949</v>
      </c>
    </row>
    <row r="15316" spans="1:9" x14ac:dyDescent="0.25">
      <c r="A15316">
        <v>4220</v>
      </c>
      <c r="B15316">
        <v>60</v>
      </c>
      <c r="C15316" t="s">
        <v>946</v>
      </c>
      <c r="D15316" t="s">
        <v>1031</v>
      </c>
      <c r="E15316" t="s">
        <v>306</v>
      </c>
      <c r="F15316" t="s">
        <v>948</v>
      </c>
      <c r="G15316">
        <v>6077777</v>
      </c>
      <c r="H15316">
        <v>501010</v>
      </c>
      <c r="I15316" t="s">
        <v>949</v>
      </c>
    </row>
    <row r="15317" spans="1:9" x14ac:dyDescent="0.25">
      <c r="A15317">
        <v>4230</v>
      </c>
      <c r="B15317">
        <v>60</v>
      </c>
      <c r="C15317" t="s">
        <v>946</v>
      </c>
      <c r="D15317" t="s">
        <v>1031</v>
      </c>
      <c r="E15317" t="s">
        <v>306</v>
      </c>
      <c r="F15317" t="s">
        <v>948</v>
      </c>
      <c r="G15317">
        <v>6099999</v>
      </c>
      <c r="H15317">
        <v>401042</v>
      </c>
      <c r="I15317" t="s">
        <v>949</v>
      </c>
    </row>
    <row r="15318" spans="1:9" x14ac:dyDescent="0.25">
      <c r="A15318">
        <v>4240</v>
      </c>
      <c r="B15318">
        <v>60</v>
      </c>
      <c r="C15318" t="s">
        <v>946</v>
      </c>
      <c r="D15318" t="s">
        <v>1031</v>
      </c>
      <c r="E15318" t="s">
        <v>306</v>
      </c>
      <c r="F15318" t="s">
        <v>948</v>
      </c>
      <c r="G15318">
        <v>6000000</v>
      </c>
      <c r="H15318">
        <v>143000</v>
      </c>
      <c r="I15318" t="s">
        <v>983</v>
      </c>
    </row>
    <row r="15319" spans="1:9" x14ac:dyDescent="0.25">
      <c r="A15319">
        <v>4141</v>
      </c>
      <c r="B15319">
        <v>60</v>
      </c>
      <c r="C15319" t="s">
        <v>946</v>
      </c>
      <c r="D15319" t="s">
        <v>1031</v>
      </c>
      <c r="E15319" t="s">
        <v>108</v>
      </c>
      <c r="F15319" t="s">
        <v>948</v>
      </c>
      <c r="G15319">
        <v>6077777</v>
      </c>
      <c r="H15319">
        <v>500220</v>
      </c>
      <c r="I15319" t="s">
        <v>949</v>
      </c>
    </row>
    <row r="15320" spans="1:9" x14ac:dyDescent="0.25">
      <c r="A15320">
        <v>4220</v>
      </c>
      <c r="B15320">
        <v>60</v>
      </c>
      <c r="C15320" t="s">
        <v>946</v>
      </c>
      <c r="D15320" t="s">
        <v>1031</v>
      </c>
      <c r="E15320" t="s">
        <v>108</v>
      </c>
      <c r="F15320" t="s">
        <v>948</v>
      </c>
      <c r="G15320">
        <v>6077777</v>
      </c>
      <c r="H15320">
        <v>500220</v>
      </c>
      <c r="I15320" t="s">
        <v>949</v>
      </c>
    </row>
    <row r="15321" spans="1:9" x14ac:dyDescent="0.25">
      <c r="A15321">
        <v>4230</v>
      </c>
      <c r="B15321">
        <v>60</v>
      </c>
      <c r="C15321" t="s">
        <v>946</v>
      </c>
      <c r="D15321" t="s">
        <v>1031</v>
      </c>
      <c r="E15321" t="s">
        <v>108</v>
      </c>
      <c r="F15321" t="s">
        <v>948</v>
      </c>
      <c r="G15321">
        <v>6099999</v>
      </c>
      <c r="H15321">
        <v>401042</v>
      </c>
      <c r="I15321" t="s">
        <v>949</v>
      </c>
    </row>
    <row r="15322" spans="1:9" x14ac:dyDescent="0.25">
      <c r="A15322">
        <v>4240</v>
      </c>
      <c r="B15322">
        <v>60</v>
      </c>
      <c r="C15322" t="s">
        <v>946</v>
      </c>
      <c r="D15322" t="s">
        <v>1031</v>
      </c>
      <c r="E15322" t="s">
        <v>108</v>
      </c>
      <c r="F15322" t="s">
        <v>948</v>
      </c>
      <c r="G15322">
        <v>6077777</v>
      </c>
      <c r="H15322">
        <v>500221</v>
      </c>
      <c r="I15322" t="s">
        <v>949</v>
      </c>
    </row>
    <row r="15323" spans="1:9" x14ac:dyDescent="0.25">
      <c r="A15323">
        <v>4141</v>
      </c>
      <c r="B15323">
        <v>60</v>
      </c>
      <c r="C15323" t="s">
        <v>946</v>
      </c>
      <c r="D15323" t="s">
        <v>1031</v>
      </c>
      <c r="E15323" t="s">
        <v>310</v>
      </c>
      <c r="F15323" t="s">
        <v>948</v>
      </c>
      <c r="G15323">
        <v>6077777</v>
      </c>
      <c r="H15323">
        <v>501010</v>
      </c>
      <c r="I15323" t="s">
        <v>949</v>
      </c>
    </row>
    <row r="15324" spans="1:9" x14ac:dyDescent="0.25">
      <c r="A15324">
        <v>4220</v>
      </c>
      <c r="B15324">
        <v>60</v>
      </c>
      <c r="C15324" t="s">
        <v>946</v>
      </c>
      <c r="D15324" t="s">
        <v>1031</v>
      </c>
      <c r="E15324" t="s">
        <v>310</v>
      </c>
      <c r="F15324" t="s">
        <v>948</v>
      </c>
      <c r="G15324">
        <v>6077777</v>
      </c>
      <c r="H15324">
        <v>501010</v>
      </c>
      <c r="I15324" t="s">
        <v>949</v>
      </c>
    </row>
    <row r="15325" spans="1:9" x14ac:dyDescent="0.25">
      <c r="A15325">
        <v>4230</v>
      </c>
      <c r="B15325">
        <v>60</v>
      </c>
      <c r="C15325" t="s">
        <v>946</v>
      </c>
      <c r="D15325" t="s">
        <v>1031</v>
      </c>
      <c r="E15325" t="s">
        <v>310</v>
      </c>
      <c r="F15325" t="s">
        <v>948</v>
      </c>
      <c r="G15325">
        <v>6099999</v>
      </c>
      <c r="H15325">
        <v>401012</v>
      </c>
      <c r="I15325" t="s">
        <v>949</v>
      </c>
    </row>
    <row r="15326" spans="1:9" x14ac:dyDescent="0.25">
      <c r="A15326">
        <v>4240</v>
      </c>
      <c r="B15326">
        <v>60</v>
      </c>
      <c r="C15326" t="s">
        <v>946</v>
      </c>
      <c r="D15326" t="s">
        <v>1031</v>
      </c>
      <c r="E15326" t="s">
        <v>310</v>
      </c>
      <c r="F15326" t="s">
        <v>948</v>
      </c>
      <c r="G15326">
        <v>6000000</v>
      </c>
      <c r="H15326">
        <v>145000</v>
      </c>
      <c r="I15326" t="s">
        <v>949</v>
      </c>
    </row>
    <row r="15327" spans="1:9" x14ac:dyDescent="0.25">
      <c r="A15327">
        <v>4141</v>
      </c>
      <c r="B15327">
        <v>60</v>
      </c>
      <c r="C15327" t="s">
        <v>946</v>
      </c>
      <c r="D15327" t="s">
        <v>1031</v>
      </c>
      <c r="E15327" t="s">
        <v>314</v>
      </c>
      <c r="F15327" t="s">
        <v>948</v>
      </c>
      <c r="G15327">
        <v>6077777</v>
      </c>
      <c r="H15327">
        <v>501010</v>
      </c>
      <c r="I15327" t="s">
        <v>949</v>
      </c>
    </row>
    <row r="15328" spans="1:9" x14ac:dyDescent="0.25">
      <c r="A15328">
        <v>4220</v>
      </c>
      <c r="B15328">
        <v>60</v>
      </c>
      <c r="C15328" t="s">
        <v>946</v>
      </c>
      <c r="D15328" t="s">
        <v>1031</v>
      </c>
      <c r="E15328" t="s">
        <v>314</v>
      </c>
      <c r="F15328" t="s">
        <v>948</v>
      </c>
      <c r="G15328">
        <v>6077777</v>
      </c>
      <c r="H15328">
        <v>501010</v>
      </c>
      <c r="I15328" t="s">
        <v>949</v>
      </c>
    </row>
    <row r="15329" spans="1:9" x14ac:dyDescent="0.25">
      <c r="A15329">
        <v>4230</v>
      </c>
      <c r="B15329">
        <v>60</v>
      </c>
      <c r="C15329" t="s">
        <v>946</v>
      </c>
      <c r="D15329" t="s">
        <v>1031</v>
      </c>
      <c r="E15329" t="s">
        <v>314</v>
      </c>
      <c r="F15329" t="s">
        <v>948</v>
      </c>
      <c r="G15329">
        <v>6099999</v>
      </c>
      <c r="H15329">
        <v>401062</v>
      </c>
      <c r="I15329" t="s">
        <v>949</v>
      </c>
    </row>
    <row r="15330" spans="1:9" x14ac:dyDescent="0.25">
      <c r="A15330">
        <v>4240</v>
      </c>
      <c r="B15330">
        <v>60</v>
      </c>
      <c r="C15330" t="s">
        <v>946</v>
      </c>
      <c r="D15330" t="s">
        <v>1031</v>
      </c>
      <c r="E15330" t="s">
        <v>314</v>
      </c>
      <c r="F15330" t="s">
        <v>948</v>
      </c>
      <c r="G15330">
        <v>6000000</v>
      </c>
      <c r="H15330">
        <v>145000</v>
      </c>
      <c r="I15330" t="s">
        <v>949</v>
      </c>
    </row>
    <row r="15331" spans="1:9" x14ac:dyDescent="0.25">
      <c r="A15331">
        <v>4141</v>
      </c>
      <c r="B15331">
        <v>60</v>
      </c>
      <c r="C15331" t="s">
        <v>946</v>
      </c>
      <c r="D15331" t="s">
        <v>1031</v>
      </c>
      <c r="E15331" t="s">
        <v>113</v>
      </c>
      <c r="F15331" t="s">
        <v>948</v>
      </c>
      <c r="G15331">
        <v>6077777</v>
      </c>
      <c r="H15331">
        <v>500220</v>
      </c>
      <c r="I15331" t="s">
        <v>949</v>
      </c>
    </row>
    <row r="15332" spans="1:9" x14ac:dyDescent="0.25">
      <c r="A15332">
        <v>4220</v>
      </c>
      <c r="B15332">
        <v>60</v>
      </c>
      <c r="C15332" t="s">
        <v>946</v>
      </c>
      <c r="D15332" t="s">
        <v>1031</v>
      </c>
      <c r="E15332" t="s">
        <v>113</v>
      </c>
      <c r="F15332" t="s">
        <v>948</v>
      </c>
      <c r="G15332">
        <v>6077777</v>
      </c>
      <c r="H15332">
        <v>500220</v>
      </c>
      <c r="I15332" t="s">
        <v>949</v>
      </c>
    </row>
    <row r="15333" spans="1:9" x14ac:dyDescent="0.25">
      <c r="A15333">
        <v>4230</v>
      </c>
      <c r="B15333">
        <v>60</v>
      </c>
      <c r="C15333" t="s">
        <v>946</v>
      </c>
      <c r="D15333" t="s">
        <v>1031</v>
      </c>
      <c r="E15333" t="s">
        <v>113</v>
      </c>
      <c r="F15333" t="s">
        <v>948</v>
      </c>
      <c r="G15333">
        <v>6099999</v>
      </c>
      <c r="H15333">
        <v>402082</v>
      </c>
      <c r="I15333" t="s">
        <v>949</v>
      </c>
    </row>
    <row r="15334" spans="1:9" x14ac:dyDescent="0.25">
      <c r="A15334">
        <v>4240</v>
      </c>
      <c r="B15334">
        <v>60</v>
      </c>
      <c r="C15334" t="s">
        <v>946</v>
      </c>
      <c r="D15334" t="s">
        <v>1031</v>
      </c>
      <c r="E15334" t="s">
        <v>113</v>
      </c>
      <c r="F15334" t="s">
        <v>948</v>
      </c>
      <c r="G15334">
        <v>6077777</v>
      </c>
      <c r="H15334">
        <v>500221</v>
      </c>
      <c r="I15334" t="s">
        <v>949</v>
      </c>
    </row>
    <row r="15335" spans="1:9" x14ac:dyDescent="0.25">
      <c r="A15335">
        <v>4141</v>
      </c>
      <c r="B15335">
        <v>60</v>
      </c>
      <c r="C15335" t="s">
        <v>946</v>
      </c>
      <c r="D15335" t="s">
        <v>1031</v>
      </c>
      <c r="E15335" t="s">
        <v>117</v>
      </c>
      <c r="F15335" t="s">
        <v>948</v>
      </c>
      <c r="G15335">
        <v>6077777</v>
      </c>
      <c r="H15335">
        <v>500220</v>
      </c>
      <c r="I15335" t="s">
        <v>949</v>
      </c>
    </row>
    <row r="15336" spans="1:9" x14ac:dyDescent="0.25">
      <c r="A15336">
        <v>4220</v>
      </c>
      <c r="B15336">
        <v>60</v>
      </c>
      <c r="C15336" t="s">
        <v>946</v>
      </c>
      <c r="D15336" t="s">
        <v>1031</v>
      </c>
      <c r="E15336" t="s">
        <v>117</v>
      </c>
      <c r="F15336" t="s">
        <v>948</v>
      </c>
      <c r="G15336">
        <v>6077777</v>
      </c>
      <c r="H15336">
        <v>500220</v>
      </c>
      <c r="I15336" t="s">
        <v>949</v>
      </c>
    </row>
    <row r="15337" spans="1:9" x14ac:dyDescent="0.25">
      <c r="A15337">
        <v>4230</v>
      </c>
      <c r="B15337">
        <v>60</v>
      </c>
      <c r="C15337" t="s">
        <v>946</v>
      </c>
      <c r="D15337" t="s">
        <v>1031</v>
      </c>
      <c r="E15337" t="s">
        <v>117</v>
      </c>
      <c r="F15337" t="s">
        <v>948</v>
      </c>
      <c r="G15337">
        <v>6088888</v>
      </c>
      <c r="H15337">
        <v>810600</v>
      </c>
      <c r="I15337" t="s">
        <v>949</v>
      </c>
    </row>
    <row r="15338" spans="1:9" x14ac:dyDescent="0.25">
      <c r="A15338">
        <v>4240</v>
      </c>
      <c r="B15338">
        <v>60</v>
      </c>
      <c r="C15338" t="s">
        <v>946</v>
      </c>
      <c r="D15338" t="s">
        <v>1031</v>
      </c>
      <c r="E15338" t="s">
        <v>117</v>
      </c>
      <c r="F15338" t="s">
        <v>948</v>
      </c>
      <c r="G15338">
        <v>6077777</v>
      </c>
      <c r="H15338">
        <v>500221</v>
      </c>
      <c r="I15338" t="s">
        <v>949</v>
      </c>
    </row>
    <row r="15339" spans="1:9" x14ac:dyDescent="0.25">
      <c r="A15339">
        <v>4141</v>
      </c>
      <c r="B15339">
        <v>60</v>
      </c>
      <c r="C15339" t="s">
        <v>946</v>
      </c>
      <c r="D15339" t="s">
        <v>1031</v>
      </c>
      <c r="E15339" t="s">
        <v>121</v>
      </c>
      <c r="F15339" t="s">
        <v>948</v>
      </c>
      <c r="G15339">
        <v>6077777</v>
      </c>
      <c r="H15339">
        <v>500220</v>
      </c>
      <c r="I15339" t="s">
        <v>949</v>
      </c>
    </row>
    <row r="15340" spans="1:9" x14ac:dyDescent="0.25">
      <c r="A15340">
        <v>4220</v>
      </c>
      <c r="B15340">
        <v>60</v>
      </c>
      <c r="C15340" t="s">
        <v>946</v>
      </c>
      <c r="D15340" t="s">
        <v>1031</v>
      </c>
      <c r="E15340" t="s">
        <v>121</v>
      </c>
      <c r="F15340" t="s">
        <v>948</v>
      </c>
      <c r="G15340">
        <v>6077777</v>
      </c>
      <c r="H15340">
        <v>500220</v>
      </c>
      <c r="I15340" t="s">
        <v>949</v>
      </c>
    </row>
    <row r="15341" spans="1:9" x14ac:dyDescent="0.25">
      <c r="A15341">
        <v>4230</v>
      </c>
      <c r="B15341">
        <v>60</v>
      </c>
      <c r="C15341" t="s">
        <v>946</v>
      </c>
      <c r="D15341" t="s">
        <v>1031</v>
      </c>
      <c r="E15341" t="s">
        <v>121</v>
      </c>
      <c r="F15341" t="s">
        <v>948</v>
      </c>
      <c r="G15341">
        <v>6099999</v>
      </c>
      <c r="H15341">
        <v>401042</v>
      </c>
      <c r="I15341" t="s">
        <v>949</v>
      </c>
    </row>
    <row r="15342" spans="1:9" x14ac:dyDescent="0.25">
      <c r="A15342">
        <v>4240</v>
      </c>
      <c r="B15342">
        <v>60</v>
      </c>
      <c r="C15342" t="s">
        <v>946</v>
      </c>
      <c r="D15342" t="s">
        <v>1031</v>
      </c>
      <c r="E15342" t="s">
        <v>121</v>
      </c>
      <c r="F15342" t="s">
        <v>948</v>
      </c>
      <c r="G15342">
        <v>6077777</v>
      </c>
      <c r="H15342">
        <v>500221</v>
      </c>
      <c r="I15342" t="s">
        <v>949</v>
      </c>
    </row>
    <row r="15343" spans="1:9" x14ac:dyDescent="0.25">
      <c r="A15343">
        <v>4141</v>
      </c>
      <c r="B15343">
        <v>60</v>
      </c>
      <c r="C15343" t="s">
        <v>946</v>
      </c>
      <c r="D15343" t="s">
        <v>1031</v>
      </c>
      <c r="E15343" t="s">
        <v>984</v>
      </c>
      <c r="F15343" t="s">
        <v>948</v>
      </c>
      <c r="G15343">
        <v>6077777</v>
      </c>
      <c r="H15343">
        <v>501010</v>
      </c>
      <c r="I15343" t="s">
        <v>949</v>
      </c>
    </row>
    <row r="15344" spans="1:9" x14ac:dyDescent="0.25">
      <c r="A15344">
        <v>4220</v>
      </c>
      <c r="B15344">
        <v>60</v>
      </c>
      <c r="C15344" t="s">
        <v>946</v>
      </c>
      <c r="D15344" t="s">
        <v>1031</v>
      </c>
      <c r="E15344" t="s">
        <v>984</v>
      </c>
      <c r="F15344" t="s">
        <v>948</v>
      </c>
      <c r="G15344">
        <v>6077777</v>
      </c>
      <c r="H15344">
        <v>501010</v>
      </c>
      <c r="I15344" t="s">
        <v>949</v>
      </c>
    </row>
    <row r="15345" spans="1:9" x14ac:dyDescent="0.25">
      <c r="A15345">
        <v>4230</v>
      </c>
      <c r="B15345">
        <v>60</v>
      </c>
      <c r="C15345" t="s">
        <v>946</v>
      </c>
      <c r="D15345" t="s">
        <v>1031</v>
      </c>
      <c r="E15345" t="s">
        <v>984</v>
      </c>
      <c r="F15345" t="s">
        <v>948</v>
      </c>
      <c r="G15345">
        <v>6099999</v>
      </c>
      <c r="H15345">
        <v>401912</v>
      </c>
      <c r="I15345" t="s">
        <v>949</v>
      </c>
    </row>
    <row r="15346" spans="1:9" x14ac:dyDescent="0.25">
      <c r="A15346">
        <v>4240</v>
      </c>
      <c r="B15346">
        <v>60</v>
      </c>
      <c r="C15346" t="s">
        <v>946</v>
      </c>
      <c r="D15346" t="s">
        <v>1031</v>
      </c>
      <c r="E15346" t="s">
        <v>984</v>
      </c>
      <c r="F15346" t="s">
        <v>948</v>
      </c>
      <c r="G15346">
        <v>6000000</v>
      </c>
      <c r="H15346">
        <v>141000</v>
      </c>
      <c r="I15346" t="s">
        <v>985</v>
      </c>
    </row>
    <row r="15347" spans="1:9" x14ac:dyDescent="0.25">
      <c r="A15347">
        <v>4141</v>
      </c>
      <c r="B15347">
        <v>60</v>
      </c>
      <c r="C15347" t="s">
        <v>946</v>
      </c>
      <c r="D15347" t="s">
        <v>94</v>
      </c>
      <c r="E15347" t="s">
        <v>243</v>
      </c>
      <c r="F15347" t="s">
        <v>948</v>
      </c>
      <c r="G15347">
        <v>6077777</v>
      </c>
      <c r="H15347">
        <v>501010</v>
      </c>
      <c r="I15347" t="s">
        <v>949</v>
      </c>
    </row>
    <row r="15348" spans="1:9" x14ac:dyDescent="0.25">
      <c r="A15348">
        <v>4220</v>
      </c>
      <c r="B15348">
        <v>60</v>
      </c>
      <c r="C15348" t="s">
        <v>946</v>
      </c>
      <c r="D15348" t="s">
        <v>94</v>
      </c>
      <c r="E15348" t="s">
        <v>243</v>
      </c>
      <c r="F15348" t="s">
        <v>948</v>
      </c>
      <c r="G15348">
        <v>6077777</v>
      </c>
      <c r="H15348">
        <v>501010</v>
      </c>
      <c r="I15348" t="s">
        <v>949</v>
      </c>
    </row>
    <row r="15349" spans="1:9" x14ac:dyDescent="0.25">
      <c r="A15349">
        <v>4230</v>
      </c>
      <c r="B15349">
        <v>60</v>
      </c>
      <c r="C15349" t="s">
        <v>946</v>
      </c>
      <c r="D15349" t="s">
        <v>94</v>
      </c>
      <c r="E15349" t="s">
        <v>243</v>
      </c>
      <c r="F15349" t="s">
        <v>948</v>
      </c>
      <c r="G15349">
        <v>6099999</v>
      </c>
      <c r="H15349">
        <v>401052</v>
      </c>
      <c r="I15349" t="s">
        <v>949</v>
      </c>
    </row>
    <row r="15350" spans="1:9" x14ac:dyDescent="0.25">
      <c r="A15350">
        <v>4240</v>
      </c>
      <c r="B15350">
        <v>60</v>
      </c>
      <c r="C15350" t="s">
        <v>946</v>
      </c>
      <c r="D15350" t="s">
        <v>94</v>
      </c>
      <c r="E15350" t="s">
        <v>243</v>
      </c>
      <c r="F15350" t="s">
        <v>948</v>
      </c>
      <c r="G15350">
        <v>6000000</v>
      </c>
      <c r="H15350">
        <v>145000</v>
      </c>
      <c r="I15350" t="s">
        <v>949</v>
      </c>
    </row>
    <row r="15351" spans="1:9" x14ac:dyDescent="0.25">
      <c r="A15351">
        <v>4141</v>
      </c>
      <c r="B15351">
        <v>60</v>
      </c>
      <c r="C15351" t="s">
        <v>946</v>
      </c>
      <c r="D15351" t="s">
        <v>94</v>
      </c>
      <c r="E15351" t="s">
        <v>247</v>
      </c>
      <c r="F15351" t="s">
        <v>948</v>
      </c>
      <c r="G15351">
        <v>6077777</v>
      </c>
      <c r="H15351">
        <v>501010</v>
      </c>
      <c r="I15351" t="s">
        <v>949</v>
      </c>
    </row>
    <row r="15352" spans="1:9" x14ac:dyDescent="0.25">
      <c r="A15352">
        <v>4220</v>
      </c>
      <c r="B15352">
        <v>60</v>
      </c>
      <c r="C15352" t="s">
        <v>946</v>
      </c>
      <c r="D15352" t="s">
        <v>94</v>
      </c>
      <c r="E15352" t="s">
        <v>247</v>
      </c>
      <c r="F15352" t="s">
        <v>948</v>
      </c>
      <c r="G15352">
        <v>6077777</v>
      </c>
      <c r="H15352">
        <v>501010</v>
      </c>
      <c r="I15352" t="s">
        <v>949</v>
      </c>
    </row>
    <row r="15353" spans="1:9" x14ac:dyDescent="0.25">
      <c r="A15353">
        <v>4230</v>
      </c>
      <c r="B15353">
        <v>60</v>
      </c>
      <c r="C15353" t="s">
        <v>946</v>
      </c>
      <c r="D15353" t="s">
        <v>94</v>
      </c>
      <c r="E15353" t="s">
        <v>247</v>
      </c>
      <c r="F15353" t="s">
        <v>948</v>
      </c>
      <c r="G15353">
        <v>6099999</v>
      </c>
      <c r="H15353">
        <v>401022</v>
      </c>
      <c r="I15353" t="s">
        <v>949</v>
      </c>
    </row>
    <row r="15354" spans="1:9" x14ac:dyDescent="0.25">
      <c r="A15354">
        <v>4240</v>
      </c>
      <c r="B15354">
        <v>60</v>
      </c>
      <c r="C15354" t="s">
        <v>946</v>
      </c>
      <c r="D15354" t="s">
        <v>94</v>
      </c>
      <c r="E15354" t="s">
        <v>247</v>
      </c>
      <c r="F15354" t="s">
        <v>948</v>
      </c>
      <c r="G15354">
        <v>6000000</v>
      </c>
      <c r="H15354">
        <v>145000</v>
      </c>
      <c r="I15354" t="s">
        <v>949</v>
      </c>
    </row>
    <row r="15355" spans="1:9" x14ac:dyDescent="0.25">
      <c r="A15355">
        <v>4141</v>
      </c>
      <c r="B15355">
        <v>60</v>
      </c>
      <c r="C15355" t="s">
        <v>946</v>
      </c>
      <c r="D15355" t="s">
        <v>94</v>
      </c>
      <c r="E15355" t="s">
        <v>251</v>
      </c>
      <c r="F15355" t="s">
        <v>948</v>
      </c>
      <c r="G15355">
        <v>6077777</v>
      </c>
      <c r="H15355">
        <v>501010</v>
      </c>
      <c r="I15355" t="s">
        <v>949</v>
      </c>
    </row>
    <row r="15356" spans="1:9" x14ac:dyDescent="0.25">
      <c r="A15356">
        <v>4220</v>
      </c>
      <c r="B15356">
        <v>60</v>
      </c>
      <c r="C15356" t="s">
        <v>946</v>
      </c>
      <c r="D15356" t="s">
        <v>94</v>
      </c>
      <c r="E15356" t="s">
        <v>251</v>
      </c>
      <c r="F15356" t="s">
        <v>948</v>
      </c>
      <c r="G15356">
        <v>6077777</v>
      </c>
      <c r="H15356">
        <v>501010</v>
      </c>
      <c r="I15356" t="s">
        <v>949</v>
      </c>
    </row>
    <row r="15357" spans="1:9" x14ac:dyDescent="0.25">
      <c r="A15357">
        <v>4230</v>
      </c>
      <c r="B15357">
        <v>60</v>
      </c>
      <c r="C15357" t="s">
        <v>946</v>
      </c>
      <c r="D15357" t="s">
        <v>94</v>
      </c>
      <c r="E15357" t="s">
        <v>251</v>
      </c>
      <c r="F15357" t="s">
        <v>948</v>
      </c>
      <c r="G15357">
        <v>6099999</v>
      </c>
      <c r="H15357">
        <v>401042</v>
      </c>
      <c r="I15357" t="s">
        <v>949</v>
      </c>
    </row>
    <row r="15358" spans="1:9" x14ac:dyDescent="0.25">
      <c r="A15358">
        <v>4240</v>
      </c>
      <c r="B15358">
        <v>60</v>
      </c>
      <c r="C15358" t="s">
        <v>946</v>
      </c>
      <c r="D15358" t="s">
        <v>94</v>
      </c>
      <c r="E15358" t="s">
        <v>251</v>
      </c>
      <c r="F15358" t="s">
        <v>948</v>
      </c>
      <c r="G15358">
        <v>6000000</v>
      </c>
      <c r="H15358">
        <v>142000</v>
      </c>
      <c r="I15358" t="s">
        <v>949</v>
      </c>
    </row>
    <row r="15359" spans="1:9" x14ac:dyDescent="0.25">
      <c r="A15359">
        <v>4141</v>
      </c>
      <c r="B15359">
        <v>60</v>
      </c>
      <c r="C15359" t="s">
        <v>946</v>
      </c>
      <c r="D15359" t="s">
        <v>94</v>
      </c>
      <c r="E15359" t="s">
        <v>969</v>
      </c>
      <c r="F15359" t="s">
        <v>948</v>
      </c>
      <c r="G15359">
        <v>6077777</v>
      </c>
      <c r="H15359">
        <v>501010</v>
      </c>
      <c r="I15359" t="s">
        <v>949</v>
      </c>
    </row>
    <row r="15360" spans="1:9" x14ac:dyDescent="0.25">
      <c r="A15360">
        <v>4220</v>
      </c>
      <c r="B15360">
        <v>60</v>
      </c>
      <c r="C15360" t="s">
        <v>946</v>
      </c>
      <c r="D15360" t="s">
        <v>94</v>
      </c>
      <c r="E15360" t="s">
        <v>969</v>
      </c>
      <c r="F15360" t="s">
        <v>948</v>
      </c>
      <c r="G15360">
        <v>6077777</v>
      </c>
      <c r="H15360">
        <v>501010</v>
      </c>
      <c r="I15360" t="s">
        <v>949</v>
      </c>
    </row>
    <row r="15361" spans="1:9" x14ac:dyDescent="0.25">
      <c r="A15361">
        <v>4230</v>
      </c>
      <c r="B15361">
        <v>60</v>
      </c>
      <c r="C15361" t="s">
        <v>946</v>
      </c>
      <c r="D15361" t="s">
        <v>94</v>
      </c>
      <c r="E15361" t="s">
        <v>969</v>
      </c>
      <c r="F15361" t="s">
        <v>948</v>
      </c>
      <c r="G15361">
        <v>6099999</v>
      </c>
      <c r="H15361">
        <v>401912</v>
      </c>
      <c r="I15361" t="s">
        <v>949</v>
      </c>
    </row>
    <row r="15362" spans="1:9" x14ac:dyDescent="0.25">
      <c r="A15362">
        <v>4240</v>
      </c>
      <c r="B15362">
        <v>60</v>
      </c>
      <c r="C15362" t="s">
        <v>946</v>
      </c>
      <c r="D15362" t="s">
        <v>94</v>
      </c>
      <c r="E15362" t="s">
        <v>969</v>
      </c>
      <c r="F15362" t="s">
        <v>948</v>
      </c>
      <c r="G15362">
        <v>6000000</v>
      </c>
      <c r="H15362">
        <v>141000</v>
      </c>
      <c r="I15362" t="s">
        <v>970</v>
      </c>
    </row>
    <row r="15363" spans="1:9" x14ac:dyDescent="0.25">
      <c r="A15363">
        <v>4141</v>
      </c>
      <c r="B15363">
        <v>60</v>
      </c>
      <c r="C15363" t="s">
        <v>946</v>
      </c>
      <c r="D15363" t="s">
        <v>94</v>
      </c>
      <c r="E15363" t="s">
        <v>255</v>
      </c>
      <c r="F15363" t="s">
        <v>948</v>
      </c>
      <c r="G15363">
        <v>6077777</v>
      </c>
      <c r="H15363">
        <v>501010</v>
      </c>
      <c r="I15363" t="s">
        <v>949</v>
      </c>
    </row>
    <row r="15364" spans="1:9" x14ac:dyDescent="0.25">
      <c r="A15364">
        <v>4220</v>
      </c>
      <c r="B15364">
        <v>60</v>
      </c>
      <c r="C15364" t="s">
        <v>946</v>
      </c>
      <c r="D15364" t="s">
        <v>94</v>
      </c>
      <c r="E15364" t="s">
        <v>255</v>
      </c>
      <c r="F15364" t="s">
        <v>948</v>
      </c>
      <c r="G15364">
        <v>6077777</v>
      </c>
      <c r="H15364">
        <v>501010</v>
      </c>
      <c r="I15364" t="s">
        <v>949</v>
      </c>
    </row>
    <row r="15365" spans="1:9" x14ac:dyDescent="0.25">
      <c r="A15365">
        <v>4230</v>
      </c>
      <c r="B15365">
        <v>60</v>
      </c>
      <c r="C15365" t="s">
        <v>946</v>
      </c>
      <c r="D15365" t="s">
        <v>94</v>
      </c>
      <c r="E15365" t="s">
        <v>255</v>
      </c>
      <c r="F15365" t="s">
        <v>948</v>
      </c>
      <c r="G15365">
        <v>6099999</v>
      </c>
      <c r="H15365">
        <v>401072</v>
      </c>
      <c r="I15365" t="s">
        <v>949</v>
      </c>
    </row>
    <row r="15366" spans="1:9" x14ac:dyDescent="0.25">
      <c r="A15366">
        <v>4240</v>
      </c>
      <c r="B15366">
        <v>60</v>
      </c>
      <c r="C15366" t="s">
        <v>946</v>
      </c>
      <c r="D15366" t="s">
        <v>94</v>
      </c>
      <c r="E15366" t="s">
        <v>255</v>
      </c>
      <c r="F15366" t="s">
        <v>948</v>
      </c>
      <c r="G15366">
        <v>6000000</v>
      </c>
      <c r="H15366">
        <v>145000</v>
      </c>
      <c r="I15366" t="s">
        <v>949</v>
      </c>
    </row>
    <row r="15367" spans="1:9" x14ac:dyDescent="0.25">
      <c r="A15367">
        <v>4141</v>
      </c>
      <c r="B15367">
        <v>60</v>
      </c>
      <c r="C15367" t="s">
        <v>946</v>
      </c>
      <c r="D15367" t="s">
        <v>94</v>
      </c>
      <c r="E15367" t="s">
        <v>971</v>
      </c>
      <c r="F15367" t="s">
        <v>948</v>
      </c>
      <c r="G15367">
        <v>6077777</v>
      </c>
      <c r="H15367">
        <v>501010</v>
      </c>
      <c r="I15367" t="s">
        <v>949</v>
      </c>
    </row>
    <row r="15368" spans="1:9" x14ac:dyDescent="0.25">
      <c r="A15368">
        <v>4220</v>
      </c>
      <c r="B15368">
        <v>60</v>
      </c>
      <c r="C15368" t="s">
        <v>946</v>
      </c>
      <c r="D15368" t="s">
        <v>94</v>
      </c>
      <c r="E15368" t="s">
        <v>971</v>
      </c>
      <c r="F15368" t="s">
        <v>948</v>
      </c>
      <c r="G15368">
        <v>6077777</v>
      </c>
      <c r="H15368">
        <v>501010</v>
      </c>
      <c r="I15368" t="s">
        <v>949</v>
      </c>
    </row>
    <row r="15369" spans="1:9" x14ac:dyDescent="0.25">
      <c r="A15369">
        <v>4230</v>
      </c>
      <c r="B15369">
        <v>60</v>
      </c>
      <c r="C15369" t="s">
        <v>946</v>
      </c>
      <c r="D15369" t="s">
        <v>94</v>
      </c>
      <c r="E15369" t="s">
        <v>971</v>
      </c>
      <c r="F15369" t="s">
        <v>948</v>
      </c>
      <c r="G15369">
        <v>6099999</v>
      </c>
      <c r="H15369">
        <v>401912</v>
      </c>
      <c r="I15369" t="s">
        <v>949</v>
      </c>
    </row>
    <row r="15370" spans="1:9" x14ac:dyDescent="0.25">
      <c r="A15370">
        <v>4240</v>
      </c>
      <c r="B15370">
        <v>60</v>
      </c>
      <c r="C15370" t="s">
        <v>946</v>
      </c>
      <c r="D15370" t="s">
        <v>94</v>
      </c>
      <c r="E15370" t="s">
        <v>971</v>
      </c>
      <c r="F15370" t="s">
        <v>948</v>
      </c>
      <c r="G15370">
        <v>6000000</v>
      </c>
      <c r="H15370">
        <v>141000</v>
      </c>
      <c r="I15370" t="s">
        <v>972</v>
      </c>
    </row>
    <row r="15371" spans="1:9" x14ac:dyDescent="0.25">
      <c r="A15371">
        <v>4230</v>
      </c>
      <c r="B15371">
        <v>60</v>
      </c>
      <c r="C15371" t="s">
        <v>946</v>
      </c>
      <c r="D15371" t="s">
        <v>94</v>
      </c>
      <c r="E15371" t="s">
        <v>259</v>
      </c>
      <c r="F15371" t="s">
        <v>948</v>
      </c>
      <c r="G15371">
        <v>6099999</v>
      </c>
      <c r="H15371">
        <v>409002</v>
      </c>
      <c r="I15371" t="s">
        <v>949</v>
      </c>
    </row>
    <row r="15372" ht="22" customHeight="1" spans="1:10" x14ac:dyDescent="0.25">
      <c r="A15372" s="41">
        <v>4240</v>
      </c>
      <c r="B15372" s="41">
        <v>60</v>
      </c>
      <c r="C15372" s="41" t="s">
        <v>946</v>
      </c>
      <c r="D15372" s="41" t="s">
        <v>94</v>
      </c>
      <c r="E15372" s="41" t="s">
        <v>259</v>
      </c>
      <c r="F15372" s="41" t="s">
        <v>948</v>
      </c>
      <c r="G15372" s="41">
        <v>6077777</v>
      </c>
      <c r="H15372" s="41">
        <v>500221</v>
      </c>
      <c r="I15372" s="41" t="s">
        <v>949</v>
      </c>
      <c r="J15372" s="42" t="s">
        <v>1032</v>
      </c>
    </row>
    <row r="15373" spans="1:9" x14ac:dyDescent="0.25">
      <c r="A15373">
        <v>4141</v>
      </c>
      <c r="B15373">
        <v>60</v>
      </c>
      <c r="C15373" t="s">
        <v>946</v>
      </c>
      <c r="D15373" t="s">
        <v>94</v>
      </c>
      <c r="E15373" t="s">
        <v>263</v>
      </c>
      <c r="F15373" t="s">
        <v>948</v>
      </c>
      <c r="G15373">
        <v>6077777</v>
      </c>
      <c r="H15373">
        <v>501010</v>
      </c>
      <c r="I15373" t="s">
        <v>949</v>
      </c>
    </row>
    <row r="15374" spans="1:9" x14ac:dyDescent="0.25">
      <c r="A15374">
        <v>4220</v>
      </c>
      <c r="B15374">
        <v>60</v>
      </c>
      <c r="C15374" t="s">
        <v>946</v>
      </c>
      <c r="D15374" t="s">
        <v>94</v>
      </c>
      <c r="E15374" t="s">
        <v>263</v>
      </c>
      <c r="F15374" t="s">
        <v>948</v>
      </c>
      <c r="G15374">
        <v>6077777</v>
      </c>
      <c r="H15374">
        <v>501010</v>
      </c>
      <c r="I15374" t="s">
        <v>949</v>
      </c>
    </row>
    <row r="15375" spans="1:9" x14ac:dyDescent="0.25">
      <c r="A15375">
        <v>4230</v>
      </c>
      <c r="B15375">
        <v>60</v>
      </c>
      <c r="C15375" t="s">
        <v>946</v>
      </c>
      <c r="D15375" t="s">
        <v>94</v>
      </c>
      <c r="E15375" t="s">
        <v>263</v>
      </c>
      <c r="F15375" t="s">
        <v>948</v>
      </c>
      <c r="G15375">
        <v>6099999</v>
      </c>
      <c r="H15375">
        <v>401042</v>
      </c>
      <c r="I15375" t="s">
        <v>949</v>
      </c>
    </row>
    <row r="15376" spans="1:9" x14ac:dyDescent="0.25">
      <c r="A15376">
        <v>4240</v>
      </c>
      <c r="B15376">
        <v>60</v>
      </c>
      <c r="C15376" t="s">
        <v>946</v>
      </c>
      <c r="D15376" t="s">
        <v>94</v>
      </c>
      <c r="E15376" t="s">
        <v>263</v>
      </c>
      <c r="F15376" t="s">
        <v>948</v>
      </c>
      <c r="G15376">
        <v>6000000</v>
      </c>
      <c r="H15376">
        <v>145000</v>
      </c>
      <c r="I15376" t="s">
        <v>949</v>
      </c>
    </row>
    <row r="15377" spans="1:9" x14ac:dyDescent="0.25">
      <c r="A15377">
        <v>4141</v>
      </c>
      <c r="B15377">
        <v>60</v>
      </c>
      <c r="C15377" t="s">
        <v>946</v>
      </c>
      <c r="D15377" t="s">
        <v>94</v>
      </c>
      <c r="E15377" t="s">
        <v>100</v>
      </c>
      <c r="F15377" t="s">
        <v>948</v>
      </c>
      <c r="G15377">
        <v>6077777</v>
      </c>
      <c r="H15377">
        <v>500220</v>
      </c>
      <c r="I15377" t="s">
        <v>949</v>
      </c>
    </row>
    <row r="15378" spans="1:9" x14ac:dyDescent="0.25">
      <c r="A15378">
        <v>4220</v>
      </c>
      <c r="B15378">
        <v>60</v>
      </c>
      <c r="C15378" t="s">
        <v>946</v>
      </c>
      <c r="D15378" t="s">
        <v>94</v>
      </c>
      <c r="E15378" t="s">
        <v>100</v>
      </c>
      <c r="F15378" t="s">
        <v>948</v>
      </c>
      <c r="G15378">
        <v>6077777</v>
      </c>
      <c r="H15378">
        <v>500220</v>
      </c>
      <c r="I15378" t="s">
        <v>949</v>
      </c>
    </row>
    <row r="15379" spans="1:9" x14ac:dyDescent="0.25">
      <c r="A15379">
        <v>4230</v>
      </c>
      <c r="B15379">
        <v>60</v>
      </c>
      <c r="C15379" t="s">
        <v>946</v>
      </c>
      <c r="D15379" t="s">
        <v>94</v>
      </c>
      <c r="E15379" t="s">
        <v>100</v>
      </c>
      <c r="F15379" t="s">
        <v>948</v>
      </c>
      <c r="G15379">
        <v>6099999</v>
      </c>
      <c r="H15379">
        <v>401042</v>
      </c>
      <c r="I15379" t="s">
        <v>949</v>
      </c>
    </row>
    <row r="15380" spans="1:9" x14ac:dyDescent="0.25">
      <c r="A15380">
        <v>4240</v>
      </c>
      <c r="B15380">
        <v>60</v>
      </c>
      <c r="C15380" t="s">
        <v>946</v>
      </c>
      <c r="D15380" t="s">
        <v>94</v>
      </c>
      <c r="E15380" t="s">
        <v>100</v>
      </c>
      <c r="F15380" t="s">
        <v>948</v>
      </c>
      <c r="G15380">
        <v>6077777</v>
      </c>
      <c r="H15380">
        <v>500221</v>
      </c>
      <c r="I15380" t="s">
        <v>949</v>
      </c>
    </row>
    <row r="15381" spans="1:9" x14ac:dyDescent="0.25">
      <c r="A15381">
        <v>4141</v>
      </c>
      <c r="B15381">
        <v>60</v>
      </c>
      <c r="C15381" t="s">
        <v>946</v>
      </c>
      <c r="D15381" t="s">
        <v>94</v>
      </c>
      <c r="E15381" t="s">
        <v>270</v>
      </c>
      <c r="F15381" t="s">
        <v>948</v>
      </c>
      <c r="G15381">
        <v>6077777</v>
      </c>
      <c r="H15381">
        <v>501010</v>
      </c>
      <c r="I15381" t="s">
        <v>949</v>
      </c>
    </row>
    <row r="15382" spans="1:9" x14ac:dyDescent="0.25">
      <c r="A15382">
        <v>4220</v>
      </c>
      <c r="B15382">
        <v>60</v>
      </c>
      <c r="C15382" t="s">
        <v>946</v>
      </c>
      <c r="D15382" t="s">
        <v>94</v>
      </c>
      <c r="E15382" t="s">
        <v>270</v>
      </c>
      <c r="F15382" t="s">
        <v>948</v>
      </c>
      <c r="G15382">
        <v>6077777</v>
      </c>
      <c r="H15382">
        <v>501010</v>
      </c>
      <c r="I15382" t="s">
        <v>949</v>
      </c>
    </row>
    <row r="15383" spans="1:9" x14ac:dyDescent="0.25">
      <c r="A15383">
        <v>4230</v>
      </c>
      <c r="B15383">
        <v>60</v>
      </c>
      <c r="C15383" t="s">
        <v>946</v>
      </c>
      <c r="D15383" t="s">
        <v>94</v>
      </c>
      <c r="E15383" t="s">
        <v>270</v>
      </c>
      <c r="F15383" t="s">
        <v>948</v>
      </c>
      <c r="G15383">
        <v>6099999</v>
      </c>
      <c r="H15383">
        <v>401062</v>
      </c>
      <c r="I15383" t="s">
        <v>949</v>
      </c>
    </row>
    <row r="15384" spans="1:9" x14ac:dyDescent="0.25">
      <c r="A15384">
        <v>4240</v>
      </c>
      <c r="B15384">
        <v>60</v>
      </c>
      <c r="C15384" t="s">
        <v>946</v>
      </c>
      <c r="D15384" t="s">
        <v>94</v>
      </c>
      <c r="E15384" t="s">
        <v>270</v>
      </c>
      <c r="F15384" t="s">
        <v>948</v>
      </c>
      <c r="G15384">
        <v>6000000</v>
      </c>
      <c r="H15384">
        <v>145000</v>
      </c>
      <c r="I15384" t="s">
        <v>949</v>
      </c>
    </row>
    <row r="15385" spans="1:9" x14ac:dyDescent="0.25">
      <c r="A15385">
        <v>4141</v>
      </c>
      <c r="B15385">
        <v>60</v>
      </c>
      <c r="C15385" t="s">
        <v>946</v>
      </c>
      <c r="D15385" t="s">
        <v>94</v>
      </c>
      <c r="E15385" t="s">
        <v>274</v>
      </c>
      <c r="F15385" t="s">
        <v>948</v>
      </c>
      <c r="G15385">
        <v>6077777</v>
      </c>
      <c r="H15385">
        <v>501010</v>
      </c>
      <c r="I15385" t="s">
        <v>949</v>
      </c>
    </row>
    <row r="15386" spans="1:9" x14ac:dyDescent="0.25">
      <c r="A15386">
        <v>4220</v>
      </c>
      <c r="B15386">
        <v>60</v>
      </c>
      <c r="C15386" t="s">
        <v>946</v>
      </c>
      <c r="D15386" t="s">
        <v>94</v>
      </c>
      <c r="E15386" t="s">
        <v>274</v>
      </c>
      <c r="F15386" t="s">
        <v>948</v>
      </c>
      <c r="G15386">
        <v>6077777</v>
      </c>
      <c r="H15386">
        <v>501010</v>
      </c>
      <c r="I15386" t="s">
        <v>949</v>
      </c>
    </row>
    <row r="15387" spans="1:9" x14ac:dyDescent="0.25">
      <c r="A15387">
        <v>4230</v>
      </c>
      <c r="B15387">
        <v>60</v>
      </c>
      <c r="C15387" t="s">
        <v>946</v>
      </c>
      <c r="D15387" t="s">
        <v>94</v>
      </c>
      <c r="E15387" t="s">
        <v>274</v>
      </c>
      <c r="F15387" t="s">
        <v>948</v>
      </c>
      <c r="G15387">
        <v>6099999</v>
      </c>
      <c r="H15387">
        <v>401042</v>
      </c>
      <c r="I15387" t="s">
        <v>949</v>
      </c>
    </row>
    <row r="15388" spans="1:9" x14ac:dyDescent="0.25">
      <c r="A15388">
        <v>4240</v>
      </c>
      <c r="B15388">
        <v>60</v>
      </c>
      <c r="C15388" t="s">
        <v>946</v>
      </c>
      <c r="D15388" t="s">
        <v>94</v>
      </c>
      <c r="E15388" t="s">
        <v>274</v>
      </c>
      <c r="F15388" t="s">
        <v>948</v>
      </c>
      <c r="G15388">
        <v>6000000</v>
      </c>
      <c r="H15388">
        <v>143000</v>
      </c>
      <c r="I15388" t="s">
        <v>973</v>
      </c>
    </row>
    <row r="15389" spans="1:9" x14ac:dyDescent="0.25">
      <c r="A15389">
        <v>4141</v>
      </c>
      <c r="B15389">
        <v>60</v>
      </c>
      <c r="C15389" t="s">
        <v>946</v>
      </c>
      <c r="D15389" t="s">
        <v>94</v>
      </c>
      <c r="E15389" t="s">
        <v>974</v>
      </c>
      <c r="F15389" t="s">
        <v>948</v>
      </c>
      <c r="G15389">
        <v>6077777</v>
      </c>
      <c r="H15389">
        <v>501010</v>
      </c>
      <c r="I15389" t="s">
        <v>949</v>
      </c>
    </row>
    <row r="15390" spans="1:9" x14ac:dyDescent="0.25">
      <c r="A15390">
        <v>4220</v>
      </c>
      <c r="B15390">
        <v>60</v>
      </c>
      <c r="C15390" t="s">
        <v>946</v>
      </c>
      <c r="D15390" t="s">
        <v>94</v>
      </c>
      <c r="E15390" t="s">
        <v>974</v>
      </c>
      <c r="F15390" t="s">
        <v>948</v>
      </c>
      <c r="G15390">
        <v>6077777</v>
      </c>
      <c r="H15390">
        <v>501010</v>
      </c>
      <c r="I15390" t="s">
        <v>949</v>
      </c>
    </row>
    <row r="15391" spans="1:9" x14ac:dyDescent="0.25">
      <c r="A15391">
        <v>4230</v>
      </c>
      <c r="B15391">
        <v>60</v>
      </c>
      <c r="C15391" t="s">
        <v>946</v>
      </c>
      <c r="D15391" t="s">
        <v>94</v>
      </c>
      <c r="E15391" t="s">
        <v>974</v>
      </c>
      <c r="F15391" t="s">
        <v>948</v>
      </c>
      <c r="G15391">
        <v>6099999</v>
      </c>
      <c r="H15391">
        <v>401912</v>
      </c>
      <c r="I15391" t="s">
        <v>949</v>
      </c>
    </row>
    <row r="15392" spans="1:9" x14ac:dyDescent="0.25">
      <c r="A15392">
        <v>4240</v>
      </c>
      <c r="B15392">
        <v>60</v>
      </c>
      <c r="C15392" t="s">
        <v>946</v>
      </c>
      <c r="D15392" t="s">
        <v>94</v>
      </c>
      <c r="E15392" t="s">
        <v>974</v>
      </c>
      <c r="F15392" t="s">
        <v>948</v>
      </c>
      <c r="G15392">
        <v>6000000</v>
      </c>
      <c r="H15392">
        <v>141000</v>
      </c>
      <c r="I15392" t="s">
        <v>975</v>
      </c>
    </row>
    <row r="15393" spans="1:9" x14ac:dyDescent="0.25">
      <c r="A15393">
        <v>4141</v>
      </c>
      <c r="B15393">
        <v>60</v>
      </c>
      <c r="C15393" t="s">
        <v>946</v>
      </c>
      <c r="D15393" t="s">
        <v>94</v>
      </c>
      <c r="E15393" t="s">
        <v>104</v>
      </c>
      <c r="F15393" t="s">
        <v>948</v>
      </c>
      <c r="G15393">
        <v>6077777</v>
      </c>
      <c r="H15393">
        <v>500220</v>
      </c>
      <c r="I15393" t="s">
        <v>949</v>
      </c>
    </row>
    <row r="15394" spans="1:9" x14ac:dyDescent="0.25">
      <c r="A15394">
        <v>4220</v>
      </c>
      <c r="B15394">
        <v>60</v>
      </c>
      <c r="C15394" t="s">
        <v>946</v>
      </c>
      <c r="D15394" t="s">
        <v>94</v>
      </c>
      <c r="E15394" t="s">
        <v>104</v>
      </c>
      <c r="F15394" t="s">
        <v>948</v>
      </c>
      <c r="G15394">
        <v>6077777</v>
      </c>
      <c r="H15394">
        <v>500220</v>
      </c>
      <c r="I15394" t="s">
        <v>949</v>
      </c>
    </row>
    <row r="15395" spans="1:9" x14ac:dyDescent="0.25">
      <c r="A15395">
        <v>4230</v>
      </c>
      <c r="B15395">
        <v>60</v>
      </c>
      <c r="C15395" t="s">
        <v>946</v>
      </c>
      <c r="D15395" t="s">
        <v>94</v>
      </c>
      <c r="E15395" t="s">
        <v>104</v>
      </c>
      <c r="F15395" t="s">
        <v>948</v>
      </c>
      <c r="G15395">
        <v>6099999</v>
      </c>
      <c r="H15395">
        <v>401042</v>
      </c>
      <c r="I15395" t="s">
        <v>949</v>
      </c>
    </row>
    <row r="15396" spans="1:9" x14ac:dyDescent="0.25">
      <c r="A15396">
        <v>4240</v>
      </c>
      <c r="B15396">
        <v>60</v>
      </c>
      <c r="C15396" t="s">
        <v>946</v>
      </c>
      <c r="D15396" t="s">
        <v>94</v>
      </c>
      <c r="E15396" t="s">
        <v>104</v>
      </c>
      <c r="F15396" t="s">
        <v>948</v>
      </c>
      <c r="G15396">
        <v>6077777</v>
      </c>
      <c r="H15396">
        <v>500221</v>
      </c>
      <c r="I15396" t="s">
        <v>949</v>
      </c>
    </row>
    <row r="15397" spans="1:9" x14ac:dyDescent="0.25">
      <c r="A15397">
        <v>4141</v>
      </c>
      <c r="B15397">
        <v>60</v>
      </c>
      <c r="C15397" t="s">
        <v>946</v>
      </c>
      <c r="D15397" t="s">
        <v>94</v>
      </c>
      <c r="E15397" t="s">
        <v>278</v>
      </c>
      <c r="F15397" t="s">
        <v>948</v>
      </c>
      <c r="G15397">
        <v>6077777</v>
      </c>
      <c r="H15397">
        <v>501010</v>
      </c>
      <c r="I15397" t="s">
        <v>949</v>
      </c>
    </row>
    <row r="15398" spans="1:9" x14ac:dyDescent="0.25">
      <c r="A15398">
        <v>4220</v>
      </c>
      <c r="B15398">
        <v>60</v>
      </c>
      <c r="C15398" t="s">
        <v>946</v>
      </c>
      <c r="D15398" t="s">
        <v>94</v>
      </c>
      <c r="E15398" t="s">
        <v>278</v>
      </c>
      <c r="F15398" t="s">
        <v>948</v>
      </c>
      <c r="G15398">
        <v>6077777</v>
      </c>
      <c r="H15398">
        <v>501010</v>
      </c>
      <c r="I15398" t="s">
        <v>949</v>
      </c>
    </row>
    <row r="15399" spans="1:9" x14ac:dyDescent="0.25">
      <c r="A15399">
        <v>4230</v>
      </c>
      <c r="B15399">
        <v>60</v>
      </c>
      <c r="C15399" t="s">
        <v>946</v>
      </c>
      <c r="D15399" t="s">
        <v>94</v>
      </c>
      <c r="E15399" t="s">
        <v>278</v>
      </c>
      <c r="F15399" t="s">
        <v>948</v>
      </c>
      <c r="G15399">
        <v>6099999</v>
      </c>
      <c r="H15399">
        <v>401052</v>
      </c>
      <c r="I15399" t="s">
        <v>949</v>
      </c>
    </row>
    <row r="15400" spans="1:9" x14ac:dyDescent="0.25">
      <c r="A15400">
        <v>4240</v>
      </c>
      <c r="B15400">
        <v>60</v>
      </c>
      <c r="C15400" t="s">
        <v>946</v>
      </c>
      <c r="D15400" t="s">
        <v>94</v>
      </c>
      <c r="E15400" t="s">
        <v>278</v>
      </c>
      <c r="F15400" t="s">
        <v>948</v>
      </c>
      <c r="G15400">
        <v>6000000</v>
      </c>
      <c r="H15400">
        <v>145000</v>
      </c>
      <c r="I15400" t="s">
        <v>949</v>
      </c>
    </row>
    <row r="15401" spans="1:9" x14ac:dyDescent="0.25">
      <c r="A15401">
        <v>4141</v>
      </c>
      <c r="B15401">
        <v>60</v>
      </c>
      <c r="C15401" t="s">
        <v>946</v>
      </c>
      <c r="D15401" t="s">
        <v>94</v>
      </c>
      <c r="E15401" t="s">
        <v>282</v>
      </c>
      <c r="F15401" t="s">
        <v>948</v>
      </c>
      <c r="G15401">
        <v>6077777</v>
      </c>
      <c r="H15401">
        <v>501010</v>
      </c>
      <c r="I15401" t="s">
        <v>949</v>
      </c>
    </row>
    <row r="15402" spans="1:9" x14ac:dyDescent="0.25">
      <c r="A15402">
        <v>4220</v>
      </c>
      <c r="B15402">
        <v>60</v>
      </c>
      <c r="C15402" t="s">
        <v>946</v>
      </c>
      <c r="D15402" t="s">
        <v>94</v>
      </c>
      <c r="E15402" t="s">
        <v>282</v>
      </c>
      <c r="F15402" t="s">
        <v>948</v>
      </c>
      <c r="G15402">
        <v>6077777</v>
      </c>
      <c r="H15402">
        <v>501010</v>
      </c>
      <c r="I15402" t="s">
        <v>949</v>
      </c>
    </row>
    <row r="15403" spans="1:9" x14ac:dyDescent="0.25">
      <c r="A15403">
        <v>4230</v>
      </c>
      <c r="B15403">
        <v>60</v>
      </c>
      <c r="C15403" t="s">
        <v>946</v>
      </c>
      <c r="D15403" t="s">
        <v>94</v>
      </c>
      <c r="E15403" t="s">
        <v>282</v>
      </c>
      <c r="F15403" t="s">
        <v>948</v>
      </c>
      <c r="G15403">
        <v>6099999</v>
      </c>
      <c r="H15403">
        <v>401042</v>
      </c>
      <c r="I15403" t="s">
        <v>949</v>
      </c>
    </row>
    <row r="15404" spans="1:9" x14ac:dyDescent="0.25">
      <c r="A15404">
        <v>4240</v>
      </c>
      <c r="B15404">
        <v>60</v>
      </c>
      <c r="C15404" t="s">
        <v>946</v>
      </c>
      <c r="D15404" t="s">
        <v>94</v>
      </c>
      <c r="E15404" t="s">
        <v>282</v>
      </c>
      <c r="F15404" t="s">
        <v>948</v>
      </c>
      <c r="G15404">
        <v>6000000</v>
      </c>
      <c r="H15404">
        <v>143100</v>
      </c>
      <c r="I15404" t="s">
        <v>949</v>
      </c>
    </row>
    <row r="15405" spans="1:9" x14ac:dyDescent="0.25">
      <c r="A15405">
        <v>4141</v>
      </c>
      <c r="B15405">
        <v>60</v>
      </c>
      <c r="C15405" t="s">
        <v>946</v>
      </c>
      <c r="D15405" t="s">
        <v>94</v>
      </c>
      <c r="E15405" t="s">
        <v>286</v>
      </c>
      <c r="F15405" t="s">
        <v>948</v>
      </c>
      <c r="G15405">
        <v>6077777</v>
      </c>
      <c r="H15405">
        <v>501010</v>
      </c>
      <c r="I15405" t="s">
        <v>949</v>
      </c>
    </row>
    <row r="15406" spans="1:9" x14ac:dyDescent="0.25">
      <c r="A15406">
        <v>4220</v>
      </c>
      <c r="B15406">
        <v>60</v>
      </c>
      <c r="C15406" t="s">
        <v>946</v>
      </c>
      <c r="D15406" t="s">
        <v>94</v>
      </c>
      <c r="E15406" t="s">
        <v>286</v>
      </c>
      <c r="F15406" t="s">
        <v>948</v>
      </c>
      <c r="G15406">
        <v>6077777</v>
      </c>
      <c r="H15406">
        <v>501010</v>
      </c>
      <c r="I15406" t="s">
        <v>949</v>
      </c>
    </row>
    <row r="15407" spans="1:9" x14ac:dyDescent="0.25">
      <c r="A15407">
        <v>4230</v>
      </c>
      <c r="B15407">
        <v>60</v>
      </c>
      <c r="C15407" t="s">
        <v>946</v>
      </c>
      <c r="D15407" t="s">
        <v>94</v>
      </c>
      <c r="E15407" t="s">
        <v>286</v>
      </c>
      <c r="F15407" t="s">
        <v>948</v>
      </c>
      <c r="G15407">
        <v>6099999</v>
      </c>
      <c r="H15407">
        <v>401032</v>
      </c>
      <c r="I15407" t="s">
        <v>949</v>
      </c>
    </row>
    <row r="15408" spans="1:9" x14ac:dyDescent="0.25">
      <c r="A15408">
        <v>4240</v>
      </c>
      <c r="B15408">
        <v>60</v>
      </c>
      <c r="C15408" t="s">
        <v>946</v>
      </c>
      <c r="D15408" t="s">
        <v>94</v>
      </c>
      <c r="E15408" t="s">
        <v>286</v>
      </c>
      <c r="F15408" t="s">
        <v>948</v>
      </c>
      <c r="G15408">
        <v>6000000</v>
      </c>
      <c r="H15408">
        <v>145000</v>
      </c>
      <c r="I15408" t="s">
        <v>949</v>
      </c>
    </row>
    <row r="15409" spans="1:9" x14ac:dyDescent="0.25">
      <c r="A15409">
        <v>4141</v>
      </c>
      <c r="B15409">
        <v>60</v>
      </c>
      <c r="C15409" t="s">
        <v>946</v>
      </c>
      <c r="D15409" t="s">
        <v>94</v>
      </c>
      <c r="E15409" t="s">
        <v>976</v>
      </c>
      <c r="F15409" t="s">
        <v>948</v>
      </c>
      <c r="G15409">
        <v>6077777</v>
      </c>
      <c r="H15409">
        <v>501010</v>
      </c>
      <c r="I15409" t="s">
        <v>949</v>
      </c>
    </row>
    <row r="15410" spans="1:9" x14ac:dyDescent="0.25">
      <c r="A15410">
        <v>4220</v>
      </c>
      <c r="B15410">
        <v>60</v>
      </c>
      <c r="C15410" t="s">
        <v>946</v>
      </c>
      <c r="D15410" t="s">
        <v>94</v>
      </c>
      <c r="E15410" t="s">
        <v>976</v>
      </c>
      <c r="F15410" t="s">
        <v>948</v>
      </c>
      <c r="G15410">
        <v>6077777</v>
      </c>
      <c r="H15410">
        <v>501010</v>
      </c>
      <c r="I15410" t="s">
        <v>949</v>
      </c>
    </row>
    <row r="15411" spans="1:9" x14ac:dyDescent="0.25">
      <c r="A15411">
        <v>4230</v>
      </c>
      <c r="B15411">
        <v>60</v>
      </c>
      <c r="C15411" t="s">
        <v>946</v>
      </c>
      <c r="D15411" t="s">
        <v>94</v>
      </c>
      <c r="E15411" t="s">
        <v>976</v>
      </c>
      <c r="F15411" t="s">
        <v>948</v>
      </c>
      <c r="G15411">
        <v>6099999</v>
      </c>
      <c r="H15411">
        <v>401912</v>
      </c>
      <c r="I15411" t="s">
        <v>949</v>
      </c>
    </row>
    <row r="15412" spans="1:9" x14ac:dyDescent="0.25">
      <c r="A15412">
        <v>4240</v>
      </c>
      <c r="B15412">
        <v>60</v>
      </c>
      <c r="C15412" t="s">
        <v>946</v>
      </c>
      <c r="D15412" t="s">
        <v>94</v>
      </c>
      <c r="E15412" t="s">
        <v>976</v>
      </c>
      <c r="F15412" t="s">
        <v>948</v>
      </c>
      <c r="G15412">
        <v>6000000</v>
      </c>
      <c r="H15412">
        <v>141000</v>
      </c>
      <c r="I15412" t="s">
        <v>977</v>
      </c>
    </row>
    <row r="15413" spans="1:9" x14ac:dyDescent="0.25">
      <c r="A15413">
        <v>4141</v>
      </c>
      <c r="B15413">
        <v>60</v>
      </c>
      <c r="C15413" t="s">
        <v>946</v>
      </c>
      <c r="D15413" t="s">
        <v>94</v>
      </c>
      <c r="E15413" t="s">
        <v>290</v>
      </c>
      <c r="F15413" t="s">
        <v>948</v>
      </c>
      <c r="G15413">
        <v>6077777</v>
      </c>
      <c r="H15413">
        <v>501010</v>
      </c>
      <c r="I15413" t="s">
        <v>949</v>
      </c>
    </row>
    <row r="15414" spans="1:9" x14ac:dyDescent="0.25">
      <c r="A15414">
        <v>4220</v>
      </c>
      <c r="B15414">
        <v>60</v>
      </c>
      <c r="C15414" t="s">
        <v>946</v>
      </c>
      <c r="D15414" t="s">
        <v>94</v>
      </c>
      <c r="E15414" t="s">
        <v>290</v>
      </c>
      <c r="F15414" t="s">
        <v>948</v>
      </c>
      <c r="G15414">
        <v>6077777</v>
      </c>
      <c r="H15414">
        <v>501010</v>
      </c>
      <c r="I15414" t="s">
        <v>949</v>
      </c>
    </row>
    <row r="15415" spans="1:9" x14ac:dyDescent="0.25">
      <c r="A15415">
        <v>4230</v>
      </c>
      <c r="B15415">
        <v>60</v>
      </c>
      <c r="C15415" t="s">
        <v>946</v>
      </c>
      <c r="D15415" t="s">
        <v>94</v>
      </c>
      <c r="E15415" t="s">
        <v>290</v>
      </c>
      <c r="F15415" t="s">
        <v>948</v>
      </c>
      <c r="G15415">
        <v>6099999</v>
      </c>
      <c r="H15415">
        <v>401042</v>
      </c>
      <c r="I15415" t="s">
        <v>949</v>
      </c>
    </row>
    <row r="15416" spans="1:9" x14ac:dyDescent="0.25">
      <c r="A15416">
        <v>4240</v>
      </c>
      <c r="B15416">
        <v>60</v>
      </c>
      <c r="C15416" t="s">
        <v>946</v>
      </c>
      <c r="D15416" t="s">
        <v>94</v>
      </c>
      <c r="E15416" t="s">
        <v>290</v>
      </c>
      <c r="F15416" t="s">
        <v>948</v>
      </c>
      <c r="G15416">
        <v>6000000</v>
      </c>
      <c r="H15416">
        <v>143000</v>
      </c>
      <c r="I15416" t="s">
        <v>978</v>
      </c>
    </row>
    <row r="15417" spans="1:9" x14ac:dyDescent="0.25">
      <c r="A15417">
        <v>4141</v>
      </c>
      <c r="B15417">
        <v>60</v>
      </c>
      <c r="C15417" t="s">
        <v>946</v>
      </c>
      <c r="D15417" t="s">
        <v>94</v>
      </c>
      <c r="E15417" t="s">
        <v>294</v>
      </c>
      <c r="F15417" t="s">
        <v>948</v>
      </c>
      <c r="G15417">
        <v>6077777</v>
      </c>
      <c r="H15417">
        <v>501010</v>
      </c>
      <c r="I15417" t="s">
        <v>949</v>
      </c>
    </row>
    <row r="15418" spans="1:9" x14ac:dyDescent="0.25">
      <c r="A15418">
        <v>4220</v>
      </c>
      <c r="B15418">
        <v>60</v>
      </c>
      <c r="C15418" t="s">
        <v>946</v>
      </c>
      <c r="D15418" t="s">
        <v>94</v>
      </c>
      <c r="E15418" t="s">
        <v>294</v>
      </c>
      <c r="F15418" t="s">
        <v>948</v>
      </c>
      <c r="G15418">
        <v>6077777</v>
      </c>
      <c r="H15418">
        <v>501010</v>
      </c>
      <c r="I15418" t="s">
        <v>949</v>
      </c>
    </row>
    <row r="15419" spans="1:9" x14ac:dyDescent="0.25">
      <c r="A15419">
        <v>4230</v>
      </c>
      <c r="B15419">
        <v>60</v>
      </c>
      <c r="C15419" t="s">
        <v>946</v>
      </c>
      <c r="D15419" t="s">
        <v>94</v>
      </c>
      <c r="E15419" t="s">
        <v>294</v>
      </c>
      <c r="F15419" t="s">
        <v>948</v>
      </c>
      <c r="G15419">
        <v>6099999</v>
      </c>
      <c r="H15419">
        <v>401042</v>
      </c>
      <c r="I15419" t="s">
        <v>949</v>
      </c>
    </row>
    <row r="15420" spans="1:9" x14ac:dyDescent="0.25">
      <c r="A15420">
        <v>4240</v>
      </c>
      <c r="B15420">
        <v>60</v>
      </c>
      <c r="C15420" t="s">
        <v>946</v>
      </c>
      <c r="D15420" t="s">
        <v>94</v>
      </c>
      <c r="E15420" t="s">
        <v>294</v>
      </c>
      <c r="F15420" t="s">
        <v>948</v>
      </c>
      <c r="G15420">
        <v>6000000</v>
      </c>
      <c r="H15420">
        <v>143000</v>
      </c>
      <c r="I15420" t="s">
        <v>979</v>
      </c>
    </row>
    <row r="15421" spans="1:9" x14ac:dyDescent="0.25">
      <c r="A15421">
        <v>4230</v>
      </c>
      <c r="B15421">
        <v>60</v>
      </c>
      <c r="C15421" t="s">
        <v>946</v>
      </c>
      <c r="D15421" t="s">
        <v>94</v>
      </c>
      <c r="E15421" t="s">
        <v>298</v>
      </c>
      <c r="F15421" t="s">
        <v>948</v>
      </c>
      <c r="G15421">
        <v>6099999</v>
      </c>
      <c r="H15421">
        <v>402082</v>
      </c>
      <c r="I15421" t="s">
        <v>949</v>
      </c>
    </row>
    <row r="15422" ht="22" customHeight="1" spans="1:10" x14ac:dyDescent="0.25">
      <c r="A15422" s="41">
        <v>4240</v>
      </c>
      <c r="B15422" s="41">
        <v>60</v>
      </c>
      <c r="C15422" s="41" t="s">
        <v>946</v>
      </c>
      <c r="D15422" s="41" t="s">
        <v>94</v>
      </c>
      <c r="E15422" s="41" t="s">
        <v>298</v>
      </c>
      <c r="F15422" s="41" t="s">
        <v>948</v>
      </c>
      <c r="G15422" s="41">
        <v>6077777</v>
      </c>
      <c r="H15422" s="41">
        <v>500221</v>
      </c>
      <c r="I15422" s="41" t="s">
        <v>949</v>
      </c>
      <c r="J15422" s="42" t="s">
        <v>1032</v>
      </c>
    </row>
    <row r="15423" spans="1:9" x14ac:dyDescent="0.25">
      <c r="A15423">
        <v>4141</v>
      </c>
      <c r="B15423">
        <v>60</v>
      </c>
      <c r="C15423" t="s">
        <v>946</v>
      </c>
      <c r="D15423" t="s">
        <v>94</v>
      </c>
      <c r="E15423" t="s">
        <v>980</v>
      </c>
      <c r="F15423" t="s">
        <v>948</v>
      </c>
      <c r="G15423">
        <v>6077777</v>
      </c>
      <c r="H15423">
        <v>501010</v>
      </c>
      <c r="I15423" t="s">
        <v>949</v>
      </c>
    </row>
    <row r="15424" spans="1:9" x14ac:dyDescent="0.25">
      <c r="A15424">
        <v>4220</v>
      </c>
      <c r="B15424">
        <v>60</v>
      </c>
      <c r="C15424" t="s">
        <v>946</v>
      </c>
      <c r="D15424" t="s">
        <v>94</v>
      </c>
      <c r="E15424" t="s">
        <v>980</v>
      </c>
      <c r="F15424" t="s">
        <v>948</v>
      </c>
      <c r="G15424">
        <v>6077777</v>
      </c>
      <c r="H15424">
        <v>501010</v>
      </c>
      <c r="I15424" t="s">
        <v>949</v>
      </c>
    </row>
    <row r="15425" spans="1:9" x14ac:dyDescent="0.25">
      <c r="A15425">
        <v>4230</v>
      </c>
      <c r="B15425">
        <v>60</v>
      </c>
      <c r="C15425" t="s">
        <v>946</v>
      </c>
      <c r="D15425" t="s">
        <v>94</v>
      </c>
      <c r="E15425" t="s">
        <v>980</v>
      </c>
      <c r="F15425" t="s">
        <v>948</v>
      </c>
      <c r="G15425">
        <v>6099999</v>
      </c>
      <c r="H15425">
        <v>401912</v>
      </c>
      <c r="I15425" t="s">
        <v>949</v>
      </c>
    </row>
    <row r="15426" spans="1:9" x14ac:dyDescent="0.25">
      <c r="A15426">
        <v>4240</v>
      </c>
      <c r="B15426">
        <v>60</v>
      </c>
      <c r="C15426" t="s">
        <v>946</v>
      </c>
      <c r="D15426" t="s">
        <v>94</v>
      </c>
      <c r="E15426" t="s">
        <v>980</v>
      </c>
      <c r="F15426" t="s">
        <v>948</v>
      </c>
      <c r="G15426">
        <v>6000000</v>
      </c>
      <c r="H15426">
        <v>141000</v>
      </c>
      <c r="I15426" t="s">
        <v>981</v>
      </c>
    </row>
    <row r="15427" spans="1:9" x14ac:dyDescent="0.25">
      <c r="A15427">
        <v>4141</v>
      </c>
      <c r="B15427">
        <v>60</v>
      </c>
      <c r="C15427" t="s">
        <v>946</v>
      </c>
      <c r="D15427" t="s">
        <v>94</v>
      </c>
      <c r="E15427" t="s">
        <v>302</v>
      </c>
      <c r="F15427" t="s">
        <v>948</v>
      </c>
      <c r="G15427">
        <v>6077777</v>
      </c>
      <c r="H15427">
        <v>501010</v>
      </c>
      <c r="I15427" t="s">
        <v>949</v>
      </c>
    </row>
    <row r="15428" spans="1:9" x14ac:dyDescent="0.25">
      <c r="A15428">
        <v>4220</v>
      </c>
      <c r="B15428">
        <v>60</v>
      </c>
      <c r="C15428" t="s">
        <v>946</v>
      </c>
      <c r="D15428" t="s">
        <v>94</v>
      </c>
      <c r="E15428" t="s">
        <v>302</v>
      </c>
      <c r="F15428" t="s">
        <v>948</v>
      </c>
      <c r="G15428">
        <v>6077777</v>
      </c>
      <c r="H15428">
        <v>501010</v>
      </c>
      <c r="I15428" t="s">
        <v>949</v>
      </c>
    </row>
    <row r="15429" spans="1:9" x14ac:dyDescent="0.25">
      <c r="A15429">
        <v>4230</v>
      </c>
      <c r="B15429">
        <v>60</v>
      </c>
      <c r="C15429" t="s">
        <v>946</v>
      </c>
      <c r="D15429" t="s">
        <v>94</v>
      </c>
      <c r="E15429" t="s">
        <v>302</v>
      </c>
      <c r="F15429" t="s">
        <v>948</v>
      </c>
      <c r="G15429">
        <v>6099999</v>
      </c>
      <c r="H15429">
        <v>401902</v>
      </c>
      <c r="I15429" t="s">
        <v>949</v>
      </c>
    </row>
    <row r="15430" spans="1:9" x14ac:dyDescent="0.25">
      <c r="A15430">
        <v>4240</v>
      </c>
      <c r="B15430">
        <v>60</v>
      </c>
      <c r="C15430" t="s">
        <v>946</v>
      </c>
      <c r="D15430" t="s">
        <v>94</v>
      </c>
      <c r="E15430" t="s">
        <v>302</v>
      </c>
      <c r="F15430" t="s">
        <v>948</v>
      </c>
      <c r="G15430">
        <v>6000000</v>
      </c>
      <c r="H15430">
        <v>143000</v>
      </c>
      <c r="I15430" t="s">
        <v>982</v>
      </c>
    </row>
    <row r="15431" spans="1:9" x14ac:dyDescent="0.25">
      <c r="A15431">
        <v>4141</v>
      </c>
      <c r="B15431">
        <v>60</v>
      </c>
      <c r="C15431" t="s">
        <v>946</v>
      </c>
      <c r="D15431" t="s">
        <v>94</v>
      </c>
      <c r="E15431" t="s">
        <v>306</v>
      </c>
      <c r="F15431" t="s">
        <v>948</v>
      </c>
      <c r="G15431">
        <v>6077777</v>
      </c>
      <c r="H15431">
        <v>501010</v>
      </c>
      <c r="I15431" t="s">
        <v>949</v>
      </c>
    </row>
    <row r="15432" spans="1:9" x14ac:dyDescent="0.25">
      <c r="A15432">
        <v>4220</v>
      </c>
      <c r="B15432">
        <v>60</v>
      </c>
      <c r="C15432" t="s">
        <v>946</v>
      </c>
      <c r="D15432" t="s">
        <v>94</v>
      </c>
      <c r="E15432" t="s">
        <v>306</v>
      </c>
      <c r="F15432" t="s">
        <v>948</v>
      </c>
      <c r="G15432">
        <v>6077777</v>
      </c>
      <c r="H15432">
        <v>501010</v>
      </c>
      <c r="I15432" t="s">
        <v>949</v>
      </c>
    </row>
    <row r="15433" spans="1:9" x14ac:dyDescent="0.25">
      <c r="A15433">
        <v>4230</v>
      </c>
      <c r="B15433">
        <v>60</v>
      </c>
      <c r="C15433" t="s">
        <v>946</v>
      </c>
      <c r="D15433" t="s">
        <v>94</v>
      </c>
      <c r="E15433" t="s">
        <v>306</v>
      </c>
      <c r="F15433" t="s">
        <v>948</v>
      </c>
      <c r="G15433">
        <v>6099999</v>
      </c>
      <c r="H15433">
        <v>401042</v>
      </c>
      <c r="I15433" t="s">
        <v>949</v>
      </c>
    </row>
    <row r="15434" spans="1:9" x14ac:dyDescent="0.25">
      <c r="A15434">
        <v>4240</v>
      </c>
      <c r="B15434">
        <v>60</v>
      </c>
      <c r="C15434" t="s">
        <v>946</v>
      </c>
      <c r="D15434" t="s">
        <v>94</v>
      </c>
      <c r="E15434" t="s">
        <v>306</v>
      </c>
      <c r="F15434" t="s">
        <v>948</v>
      </c>
      <c r="G15434">
        <v>6000000</v>
      </c>
      <c r="H15434">
        <v>143000</v>
      </c>
      <c r="I15434" t="s">
        <v>983</v>
      </c>
    </row>
    <row r="15435" spans="1:9" x14ac:dyDescent="0.25">
      <c r="A15435">
        <v>4141</v>
      </c>
      <c r="B15435">
        <v>60</v>
      </c>
      <c r="C15435" t="s">
        <v>946</v>
      </c>
      <c r="D15435" t="s">
        <v>94</v>
      </c>
      <c r="E15435" t="s">
        <v>108</v>
      </c>
      <c r="F15435" t="s">
        <v>948</v>
      </c>
      <c r="G15435">
        <v>6077777</v>
      </c>
      <c r="H15435">
        <v>500220</v>
      </c>
      <c r="I15435" t="s">
        <v>949</v>
      </c>
    </row>
    <row r="15436" spans="1:9" x14ac:dyDescent="0.25">
      <c r="A15436">
        <v>4220</v>
      </c>
      <c r="B15436">
        <v>60</v>
      </c>
      <c r="C15436" t="s">
        <v>946</v>
      </c>
      <c r="D15436" t="s">
        <v>94</v>
      </c>
      <c r="E15436" t="s">
        <v>108</v>
      </c>
      <c r="F15436" t="s">
        <v>948</v>
      </c>
      <c r="G15436">
        <v>6077777</v>
      </c>
      <c r="H15436">
        <v>500220</v>
      </c>
      <c r="I15436" t="s">
        <v>949</v>
      </c>
    </row>
    <row r="15437" spans="1:9" x14ac:dyDescent="0.25">
      <c r="A15437">
        <v>4230</v>
      </c>
      <c r="B15437">
        <v>60</v>
      </c>
      <c r="C15437" t="s">
        <v>946</v>
      </c>
      <c r="D15437" t="s">
        <v>94</v>
      </c>
      <c r="E15437" t="s">
        <v>108</v>
      </c>
      <c r="F15437" t="s">
        <v>948</v>
      </c>
      <c r="G15437">
        <v>6099999</v>
      </c>
      <c r="H15437">
        <v>401042</v>
      </c>
      <c r="I15437" t="s">
        <v>949</v>
      </c>
    </row>
    <row r="15438" spans="1:9" x14ac:dyDescent="0.25">
      <c r="A15438">
        <v>4240</v>
      </c>
      <c r="B15438">
        <v>60</v>
      </c>
      <c r="C15438" t="s">
        <v>946</v>
      </c>
      <c r="D15438" t="s">
        <v>94</v>
      </c>
      <c r="E15438" t="s">
        <v>108</v>
      </c>
      <c r="F15438" t="s">
        <v>948</v>
      </c>
      <c r="G15438">
        <v>6077777</v>
      </c>
      <c r="H15438">
        <v>500221</v>
      </c>
      <c r="I15438" t="s">
        <v>949</v>
      </c>
    </row>
    <row r="15439" spans="1:9" x14ac:dyDescent="0.25">
      <c r="A15439">
        <v>4141</v>
      </c>
      <c r="B15439">
        <v>60</v>
      </c>
      <c r="C15439" t="s">
        <v>946</v>
      </c>
      <c r="D15439" t="s">
        <v>94</v>
      </c>
      <c r="E15439" t="s">
        <v>310</v>
      </c>
      <c r="F15439" t="s">
        <v>948</v>
      </c>
      <c r="G15439">
        <v>6077777</v>
      </c>
      <c r="H15439">
        <v>501010</v>
      </c>
      <c r="I15439" t="s">
        <v>949</v>
      </c>
    </row>
    <row r="15440" spans="1:9" x14ac:dyDescent="0.25">
      <c r="A15440">
        <v>4220</v>
      </c>
      <c r="B15440">
        <v>60</v>
      </c>
      <c r="C15440" t="s">
        <v>946</v>
      </c>
      <c r="D15440" t="s">
        <v>94</v>
      </c>
      <c r="E15440" t="s">
        <v>310</v>
      </c>
      <c r="F15440" t="s">
        <v>948</v>
      </c>
      <c r="G15440">
        <v>6077777</v>
      </c>
      <c r="H15440">
        <v>501010</v>
      </c>
      <c r="I15440" t="s">
        <v>949</v>
      </c>
    </row>
    <row r="15441" spans="1:9" x14ac:dyDescent="0.25">
      <c r="A15441">
        <v>4230</v>
      </c>
      <c r="B15441">
        <v>60</v>
      </c>
      <c r="C15441" t="s">
        <v>946</v>
      </c>
      <c r="D15441" t="s">
        <v>94</v>
      </c>
      <c r="E15441" t="s">
        <v>310</v>
      </c>
      <c r="F15441" t="s">
        <v>948</v>
      </c>
      <c r="G15441">
        <v>6099999</v>
      </c>
      <c r="H15441">
        <v>401012</v>
      </c>
      <c r="I15441" t="s">
        <v>949</v>
      </c>
    </row>
    <row r="15442" spans="1:9" x14ac:dyDescent="0.25">
      <c r="A15442">
        <v>4240</v>
      </c>
      <c r="B15442">
        <v>60</v>
      </c>
      <c r="C15442" t="s">
        <v>946</v>
      </c>
      <c r="D15442" t="s">
        <v>94</v>
      </c>
      <c r="E15442" t="s">
        <v>310</v>
      </c>
      <c r="F15442" t="s">
        <v>948</v>
      </c>
      <c r="G15442">
        <v>6000000</v>
      </c>
      <c r="H15442">
        <v>145000</v>
      </c>
      <c r="I15442" t="s">
        <v>949</v>
      </c>
    </row>
    <row r="15443" spans="1:9" x14ac:dyDescent="0.25">
      <c r="A15443">
        <v>4141</v>
      </c>
      <c r="B15443">
        <v>60</v>
      </c>
      <c r="C15443" t="s">
        <v>946</v>
      </c>
      <c r="D15443" t="s">
        <v>94</v>
      </c>
      <c r="E15443" t="s">
        <v>314</v>
      </c>
      <c r="F15443" t="s">
        <v>948</v>
      </c>
      <c r="G15443">
        <v>6077777</v>
      </c>
      <c r="H15443">
        <v>501010</v>
      </c>
      <c r="I15443" t="s">
        <v>949</v>
      </c>
    </row>
    <row r="15444" spans="1:9" x14ac:dyDescent="0.25">
      <c r="A15444">
        <v>4220</v>
      </c>
      <c r="B15444">
        <v>60</v>
      </c>
      <c r="C15444" t="s">
        <v>946</v>
      </c>
      <c r="D15444" t="s">
        <v>94</v>
      </c>
      <c r="E15444" t="s">
        <v>314</v>
      </c>
      <c r="F15444" t="s">
        <v>948</v>
      </c>
      <c r="G15444">
        <v>6077777</v>
      </c>
      <c r="H15444">
        <v>501010</v>
      </c>
      <c r="I15444" t="s">
        <v>949</v>
      </c>
    </row>
    <row r="15445" spans="1:9" x14ac:dyDescent="0.25">
      <c r="A15445">
        <v>4230</v>
      </c>
      <c r="B15445">
        <v>60</v>
      </c>
      <c r="C15445" t="s">
        <v>946</v>
      </c>
      <c r="D15445" t="s">
        <v>94</v>
      </c>
      <c r="E15445" t="s">
        <v>314</v>
      </c>
      <c r="F15445" t="s">
        <v>948</v>
      </c>
      <c r="G15445">
        <v>6099999</v>
      </c>
      <c r="H15445">
        <v>401062</v>
      </c>
      <c r="I15445" t="s">
        <v>949</v>
      </c>
    </row>
    <row r="15446" spans="1:9" x14ac:dyDescent="0.25">
      <c r="A15446">
        <v>4240</v>
      </c>
      <c r="B15446">
        <v>60</v>
      </c>
      <c r="C15446" t="s">
        <v>946</v>
      </c>
      <c r="D15446" t="s">
        <v>94</v>
      </c>
      <c r="E15446" t="s">
        <v>314</v>
      </c>
      <c r="F15446" t="s">
        <v>948</v>
      </c>
      <c r="G15446">
        <v>6000000</v>
      </c>
      <c r="H15446">
        <v>145000</v>
      </c>
      <c r="I15446" t="s">
        <v>949</v>
      </c>
    </row>
    <row r="15447" spans="1:9" x14ac:dyDescent="0.25">
      <c r="A15447">
        <v>4141</v>
      </c>
      <c r="B15447">
        <v>60</v>
      </c>
      <c r="C15447" t="s">
        <v>946</v>
      </c>
      <c r="D15447" t="s">
        <v>94</v>
      </c>
      <c r="E15447" t="s">
        <v>113</v>
      </c>
      <c r="F15447" t="s">
        <v>948</v>
      </c>
      <c r="G15447">
        <v>6077777</v>
      </c>
      <c r="H15447">
        <v>500220</v>
      </c>
      <c r="I15447" t="s">
        <v>949</v>
      </c>
    </row>
    <row r="15448" spans="1:9" x14ac:dyDescent="0.25">
      <c r="A15448">
        <v>4220</v>
      </c>
      <c r="B15448">
        <v>60</v>
      </c>
      <c r="C15448" t="s">
        <v>946</v>
      </c>
      <c r="D15448" t="s">
        <v>94</v>
      </c>
      <c r="E15448" t="s">
        <v>113</v>
      </c>
      <c r="F15448" t="s">
        <v>948</v>
      </c>
      <c r="G15448">
        <v>6077777</v>
      </c>
      <c r="H15448">
        <v>500220</v>
      </c>
      <c r="I15448" t="s">
        <v>949</v>
      </c>
    </row>
    <row r="15449" spans="1:9" x14ac:dyDescent="0.25">
      <c r="A15449">
        <v>4230</v>
      </c>
      <c r="B15449">
        <v>60</v>
      </c>
      <c r="C15449" t="s">
        <v>946</v>
      </c>
      <c r="D15449" t="s">
        <v>94</v>
      </c>
      <c r="E15449" t="s">
        <v>113</v>
      </c>
      <c r="F15449" t="s">
        <v>948</v>
      </c>
      <c r="G15449">
        <v>6099999</v>
      </c>
      <c r="H15449">
        <v>402082</v>
      </c>
      <c r="I15449" t="s">
        <v>949</v>
      </c>
    </row>
    <row r="15450" spans="1:9" x14ac:dyDescent="0.25">
      <c r="A15450">
        <v>4240</v>
      </c>
      <c r="B15450">
        <v>60</v>
      </c>
      <c r="C15450" t="s">
        <v>946</v>
      </c>
      <c r="D15450" t="s">
        <v>94</v>
      </c>
      <c r="E15450" t="s">
        <v>113</v>
      </c>
      <c r="F15450" t="s">
        <v>948</v>
      </c>
      <c r="G15450">
        <v>6077777</v>
      </c>
      <c r="H15450">
        <v>500221</v>
      </c>
      <c r="I15450" t="s">
        <v>949</v>
      </c>
    </row>
    <row r="15451" spans="1:9" x14ac:dyDescent="0.25">
      <c r="A15451">
        <v>4141</v>
      </c>
      <c r="B15451">
        <v>60</v>
      </c>
      <c r="C15451" t="s">
        <v>946</v>
      </c>
      <c r="D15451" t="s">
        <v>94</v>
      </c>
      <c r="E15451" t="s">
        <v>117</v>
      </c>
      <c r="F15451" t="s">
        <v>948</v>
      </c>
      <c r="G15451">
        <v>6077777</v>
      </c>
      <c r="H15451">
        <v>500220</v>
      </c>
      <c r="I15451" t="s">
        <v>949</v>
      </c>
    </row>
    <row r="15452" spans="1:9" x14ac:dyDescent="0.25">
      <c r="A15452">
        <v>4220</v>
      </c>
      <c r="B15452">
        <v>60</v>
      </c>
      <c r="C15452" t="s">
        <v>946</v>
      </c>
      <c r="D15452" t="s">
        <v>94</v>
      </c>
      <c r="E15452" t="s">
        <v>117</v>
      </c>
      <c r="F15452" t="s">
        <v>948</v>
      </c>
      <c r="G15452">
        <v>6077777</v>
      </c>
      <c r="H15452">
        <v>500220</v>
      </c>
      <c r="I15452" t="s">
        <v>949</v>
      </c>
    </row>
    <row r="15453" spans="1:9" x14ac:dyDescent="0.25">
      <c r="A15453">
        <v>4230</v>
      </c>
      <c r="B15453">
        <v>60</v>
      </c>
      <c r="C15453" t="s">
        <v>946</v>
      </c>
      <c r="D15453" t="s">
        <v>94</v>
      </c>
      <c r="E15453" t="s">
        <v>117</v>
      </c>
      <c r="F15453" t="s">
        <v>948</v>
      </c>
      <c r="G15453">
        <v>6088888</v>
      </c>
      <c r="H15453">
        <v>810600</v>
      </c>
      <c r="I15453" t="s">
        <v>949</v>
      </c>
    </row>
    <row r="15454" spans="1:9" x14ac:dyDescent="0.25">
      <c r="A15454">
        <v>4240</v>
      </c>
      <c r="B15454">
        <v>60</v>
      </c>
      <c r="C15454" t="s">
        <v>946</v>
      </c>
      <c r="D15454" t="s">
        <v>94</v>
      </c>
      <c r="E15454" t="s">
        <v>117</v>
      </c>
      <c r="F15454" t="s">
        <v>948</v>
      </c>
      <c r="G15454">
        <v>6077777</v>
      </c>
      <c r="H15454">
        <v>500221</v>
      </c>
      <c r="I15454" t="s">
        <v>949</v>
      </c>
    </row>
    <row r="15455" spans="1:9" x14ac:dyDescent="0.25">
      <c r="A15455">
        <v>4141</v>
      </c>
      <c r="B15455">
        <v>60</v>
      </c>
      <c r="C15455" t="s">
        <v>946</v>
      </c>
      <c r="D15455" t="s">
        <v>94</v>
      </c>
      <c r="E15455" t="s">
        <v>121</v>
      </c>
      <c r="F15455" t="s">
        <v>948</v>
      </c>
      <c r="G15455">
        <v>6077777</v>
      </c>
      <c r="H15455">
        <v>500220</v>
      </c>
      <c r="I15455" t="s">
        <v>949</v>
      </c>
    </row>
    <row r="15456" spans="1:9" x14ac:dyDescent="0.25">
      <c r="A15456">
        <v>4220</v>
      </c>
      <c r="B15456">
        <v>60</v>
      </c>
      <c r="C15456" t="s">
        <v>946</v>
      </c>
      <c r="D15456" t="s">
        <v>94</v>
      </c>
      <c r="E15456" t="s">
        <v>121</v>
      </c>
      <c r="F15456" t="s">
        <v>948</v>
      </c>
      <c r="G15456">
        <v>6077777</v>
      </c>
      <c r="H15456">
        <v>500220</v>
      </c>
      <c r="I15456" t="s">
        <v>949</v>
      </c>
    </row>
    <row r="15457" spans="1:9" x14ac:dyDescent="0.25">
      <c r="A15457">
        <v>4230</v>
      </c>
      <c r="B15457">
        <v>60</v>
      </c>
      <c r="C15457" t="s">
        <v>946</v>
      </c>
      <c r="D15457" t="s">
        <v>94</v>
      </c>
      <c r="E15457" t="s">
        <v>121</v>
      </c>
      <c r="F15457" t="s">
        <v>948</v>
      </c>
      <c r="G15457">
        <v>6099999</v>
      </c>
      <c r="H15457">
        <v>401042</v>
      </c>
      <c r="I15457" t="s">
        <v>949</v>
      </c>
    </row>
    <row r="15458" spans="1:9" x14ac:dyDescent="0.25">
      <c r="A15458">
        <v>4240</v>
      </c>
      <c r="B15458">
        <v>60</v>
      </c>
      <c r="C15458" t="s">
        <v>946</v>
      </c>
      <c r="D15458" t="s">
        <v>94</v>
      </c>
      <c r="E15458" t="s">
        <v>121</v>
      </c>
      <c r="F15458" t="s">
        <v>948</v>
      </c>
      <c r="G15458">
        <v>6077777</v>
      </c>
      <c r="H15458">
        <v>500221</v>
      </c>
      <c r="I15458" t="s">
        <v>949</v>
      </c>
    </row>
    <row r="15459" spans="1:9" x14ac:dyDescent="0.25">
      <c r="A15459">
        <v>4141</v>
      </c>
      <c r="B15459">
        <v>60</v>
      </c>
      <c r="C15459" t="s">
        <v>946</v>
      </c>
      <c r="D15459" t="s">
        <v>94</v>
      </c>
      <c r="E15459" t="s">
        <v>984</v>
      </c>
      <c r="F15459" t="s">
        <v>948</v>
      </c>
      <c r="G15459">
        <v>6077777</v>
      </c>
      <c r="H15459">
        <v>501010</v>
      </c>
      <c r="I15459" t="s">
        <v>949</v>
      </c>
    </row>
    <row r="15460" spans="1:9" x14ac:dyDescent="0.25">
      <c r="A15460">
        <v>4220</v>
      </c>
      <c r="B15460">
        <v>60</v>
      </c>
      <c r="C15460" t="s">
        <v>946</v>
      </c>
      <c r="D15460" t="s">
        <v>94</v>
      </c>
      <c r="E15460" t="s">
        <v>984</v>
      </c>
      <c r="F15460" t="s">
        <v>948</v>
      </c>
      <c r="G15460">
        <v>6077777</v>
      </c>
      <c r="H15460">
        <v>501010</v>
      </c>
      <c r="I15460" t="s">
        <v>949</v>
      </c>
    </row>
    <row r="15461" spans="1:9" x14ac:dyDescent="0.25">
      <c r="A15461">
        <v>4230</v>
      </c>
      <c r="B15461">
        <v>60</v>
      </c>
      <c r="C15461" t="s">
        <v>946</v>
      </c>
      <c r="D15461" t="s">
        <v>94</v>
      </c>
      <c r="E15461" t="s">
        <v>984</v>
      </c>
      <c r="F15461" t="s">
        <v>948</v>
      </c>
      <c r="G15461">
        <v>6099999</v>
      </c>
      <c r="H15461">
        <v>401912</v>
      </c>
      <c r="I15461" t="s">
        <v>949</v>
      </c>
    </row>
    <row r="15462" spans="1:9" x14ac:dyDescent="0.25">
      <c r="A15462">
        <v>4240</v>
      </c>
      <c r="B15462">
        <v>60</v>
      </c>
      <c r="C15462" t="s">
        <v>946</v>
      </c>
      <c r="D15462" t="s">
        <v>94</v>
      </c>
      <c r="E15462" t="s">
        <v>984</v>
      </c>
      <c r="F15462" t="s">
        <v>948</v>
      </c>
      <c r="G15462">
        <v>6000000</v>
      </c>
      <c r="H15462">
        <v>141000</v>
      </c>
      <c r="I15462" t="s">
        <v>985</v>
      </c>
    </row>
    <row r="15463" spans="1:9" x14ac:dyDescent="0.25">
      <c r="A15463">
        <v>4141</v>
      </c>
      <c r="B15463">
        <v>60</v>
      </c>
      <c r="C15463" t="s">
        <v>946</v>
      </c>
      <c r="D15463" t="s">
        <v>1033</v>
      </c>
      <c r="E15463" t="s">
        <v>49</v>
      </c>
      <c r="F15463" t="s">
        <v>948</v>
      </c>
      <c r="G15463">
        <v>6077777</v>
      </c>
      <c r="H15463">
        <v>500220</v>
      </c>
      <c r="I15463" t="s">
        <v>949</v>
      </c>
    </row>
    <row r="15464" spans="1:9" x14ac:dyDescent="0.25">
      <c r="A15464">
        <v>4220</v>
      </c>
      <c r="B15464">
        <v>60</v>
      </c>
      <c r="C15464" t="s">
        <v>946</v>
      </c>
      <c r="D15464" t="s">
        <v>1033</v>
      </c>
      <c r="E15464" t="s">
        <v>49</v>
      </c>
      <c r="F15464" t="s">
        <v>948</v>
      </c>
      <c r="G15464">
        <v>6077777</v>
      </c>
      <c r="H15464">
        <v>500220</v>
      </c>
      <c r="I15464" t="s">
        <v>949</v>
      </c>
    </row>
    <row r="15465" spans="1:9" x14ac:dyDescent="0.25">
      <c r="A15465">
        <v>4230</v>
      </c>
      <c r="B15465">
        <v>60</v>
      </c>
      <c r="C15465" t="s">
        <v>946</v>
      </c>
      <c r="D15465" t="s">
        <v>1033</v>
      </c>
      <c r="E15465" t="s">
        <v>49</v>
      </c>
      <c r="F15465" t="s">
        <v>948</v>
      </c>
      <c r="G15465">
        <v>6077777</v>
      </c>
      <c r="H15465">
        <v>500220</v>
      </c>
      <c r="I15465" t="s">
        <v>949</v>
      </c>
    </row>
    <row r="15466" spans="1:9" x14ac:dyDescent="0.25">
      <c r="A15466">
        <v>4240</v>
      </c>
      <c r="B15466">
        <v>60</v>
      </c>
      <c r="C15466" t="s">
        <v>946</v>
      </c>
      <c r="D15466" t="s">
        <v>1033</v>
      </c>
      <c r="E15466" t="s">
        <v>49</v>
      </c>
      <c r="F15466" t="s">
        <v>948</v>
      </c>
      <c r="G15466">
        <v>6077777</v>
      </c>
      <c r="H15466">
        <v>500221</v>
      </c>
      <c r="I15466" t="s">
        <v>949</v>
      </c>
    </row>
    <row r="15467" spans="1:9" x14ac:dyDescent="0.25">
      <c r="A15467">
        <v>4245</v>
      </c>
      <c r="B15467">
        <v>60</v>
      </c>
      <c r="C15467" t="s">
        <v>946</v>
      </c>
      <c r="D15467" t="s">
        <v>1033</v>
      </c>
      <c r="E15467" t="s">
        <v>49</v>
      </c>
      <c r="F15467" t="s">
        <v>948</v>
      </c>
      <c r="G15467">
        <v>6077777</v>
      </c>
      <c r="H15467">
        <v>500221</v>
      </c>
      <c r="I15467" t="s">
        <v>949</v>
      </c>
    </row>
    <row r="15468" spans="1:9" x14ac:dyDescent="0.25">
      <c r="A15468">
        <v>4245</v>
      </c>
      <c r="B15468">
        <v>60</v>
      </c>
      <c r="C15468" t="s">
        <v>946</v>
      </c>
      <c r="D15468" t="s">
        <v>89</v>
      </c>
      <c r="E15468" t="s">
        <v>49</v>
      </c>
      <c r="F15468" t="s">
        <v>948</v>
      </c>
      <c r="G15468">
        <v>6000000</v>
      </c>
      <c r="H15468">
        <v>145200</v>
      </c>
      <c r="I15468" t="s">
        <v>1034</v>
      </c>
    </row>
    <row r="15469" spans="1:9" x14ac:dyDescent="0.25">
      <c r="A15469">
        <v>4141</v>
      </c>
      <c r="B15469">
        <v>60</v>
      </c>
      <c r="C15469" t="s">
        <v>946</v>
      </c>
      <c r="D15469" t="s">
        <v>89</v>
      </c>
      <c r="E15469" t="s">
        <v>243</v>
      </c>
      <c r="F15469" t="s">
        <v>948</v>
      </c>
      <c r="G15469">
        <v>6077777</v>
      </c>
      <c r="H15469">
        <v>501010</v>
      </c>
      <c r="I15469">
        <v>50</v>
      </c>
    </row>
    <row r="15470" spans="1:9" x14ac:dyDescent="0.25">
      <c r="A15470">
        <v>4220</v>
      </c>
      <c r="B15470">
        <v>60</v>
      </c>
      <c r="C15470" t="s">
        <v>946</v>
      </c>
      <c r="D15470" t="s">
        <v>89</v>
      </c>
      <c r="E15470" t="s">
        <v>243</v>
      </c>
      <c r="F15470" t="s">
        <v>948</v>
      </c>
      <c r="G15470">
        <v>6077777</v>
      </c>
      <c r="H15470">
        <v>501010</v>
      </c>
      <c r="I15470">
        <v>50</v>
      </c>
    </row>
    <row r="15471" spans="1:9" x14ac:dyDescent="0.25">
      <c r="A15471">
        <v>4230</v>
      </c>
      <c r="B15471">
        <v>60</v>
      </c>
      <c r="C15471" t="s">
        <v>946</v>
      </c>
      <c r="D15471" t="s">
        <v>89</v>
      </c>
      <c r="E15471" t="s">
        <v>243</v>
      </c>
      <c r="F15471" t="s">
        <v>948</v>
      </c>
      <c r="G15471">
        <v>6099999</v>
      </c>
      <c r="H15471">
        <v>401055</v>
      </c>
      <c r="I15471">
        <v>50</v>
      </c>
    </row>
    <row r="15472" spans="1:9" x14ac:dyDescent="0.25">
      <c r="A15472">
        <v>4240</v>
      </c>
      <c r="B15472">
        <v>60</v>
      </c>
      <c r="C15472" t="s">
        <v>946</v>
      </c>
      <c r="D15472" t="s">
        <v>89</v>
      </c>
      <c r="E15472" t="s">
        <v>243</v>
      </c>
      <c r="F15472" t="s">
        <v>948</v>
      </c>
      <c r="G15472">
        <v>6000000</v>
      </c>
      <c r="H15472">
        <v>145000</v>
      </c>
      <c r="I15472" t="s">
        <v>949</v>
      </c>
    </row>
    <row r="15473" spans="1:9" x14ac:dyDescent="0.25">
      <c r="A15473">
        <v>4141</v>
      </c>
      <c r="B15473">
        <v>60</v>
      </c>
      <c r="C15473" t="s">
        <v>946</v>
      </c>
      <c r="D15473" t="s">
        <v>89</v>
      </c>
      <c r="E15473" t="s">
        <v>247</v>
      </c>
      <c r="F15473" t="s">
        <v>948</v>
      </c>
      <c r="G15473">
        <v>6077777</v>
      </c>
      <c r="H15473">
        <v>501010</v>
      </c>
      <c r="I15473">
        <v>50</v>
      </c>
    </row>
    <row r="15474" spans="1:9" x14ac:dyDescent="0.25">
      <c r="A15474">
        <v>4220</v>
      </c>
      <c r="B15474">
        <v>60</v>
      </c>
      <c r="C15474" t="s">
        <v>946</v>
      </c>
      <c r="D15474" t="s">
        <v>89</v>
      </c>
      <c r="E15474" t="s">
        <v>247</v>
      </c>
      <c r="F15474" t="s">
        <v>948</v>
      </c>
      <c r="G15474">
        <v>6077777</v>
      </c>
      <c r="H15474">
        <v>501010</v>
      </c>
      <c r="I15474">
        <v>50</v>
      </c>
    </row>
    <row r="15475" spans="1:9" x14ac:dyDescent="0.25">
      <c r="A15475">
        <v>4230</v>
      </c>
      <c r="B15475">
        <v>60</v>
      </c>
      <c r="C15475" t="s">
        <v>946</v>
      </c>
      <c r="D15475" t="s">
        <v>89</v>
      </c>
      <c r="E15475" t="s">
        <v>247</v>
      </c>
      <c r="F15475" t="s">
        <v>948</v>
      </c>
      <c r="G15475">
        <v>6099999</v>
      </c>
      <c r="H15475">
        <v>401025</v>
      </c>
      <c r="I15475">
        <v>50</v>
      </c>
    </row>
    <row r="15476" spans="1:9" x14ac:dyDescent="0.25">
      <c r="A15476">
        <v>4240</v>
      </c>
      <c r="B15476">
        <v>60</v>
      </c>
      <c r="C15476" t="s">
        <v>946</v>
      </c>
      <c r="D15476" t="s">
        <v>89</v>
      </c>
      <c r="E15476" t="s">
        <v>247</v>
      </c>
      <c r="F15476" t="s">
        <v>948</v>
      </c>
      <c r="G15476">
        <v>6000000</v>
      </c>
      <c r="H15476">
        <v>145000</v>
      </c>
      <c r="I15476" t="s">
        <v>949</v>
      </c>
    </row>
    <row r="15477" spans="1:9" x14ac:dyDescent="0.25">
      <c r="A15477">
        <v>4141</v>
      </c>
      <c r="B15477">
        <v>60</v>
      </c>
      <c r="C15477" t="s">
        <v>946</v>
      </c>
      <c r="D15477" t="s">
        <v>89</v>
      </c>
      <c r="E15477" t="s">
        <v>251</v>
      </c>
      <c r="F15477" t="s">
        <v>948</v>
      </c>
      <c r="G15477">
        <v>6077777</v>
      </c>
      <c r="H15477">
        <v>501010</v>
      </c>
      <c r="I15477">
        <v>50</v>
      </c>
    </row>
    <row r="15478" spans="1:9" x14ac:dyDescent="0.25">
      <c r="A15478">
        <v>4220</v>
      </c>
      <c r="B15478">
        <v>60</v>
      </c>
      <c r="C15478" t="s">
        <v>946</v>
      </c>
      <c r="D15478" t="s">
        <v>89</v>
      </c>
      <c r="E15478" t="s">
        <v>251</v>
      </c>
      <c r="F15478" t="s">
        <v>948</v>
      </c>
      <c r="G15478">
        <v>6077777</v>
      </c>
      <c r="H15478">
        <v>501010</v>
      </c>
      <c r="I15478">
        <v>50</v>
      </c>
    </row>
    <row r="15479" spans="1:9" x14ac:dyDescent="0.25">
      <c r="A15479">
        <v>4230</v>
      </c>
      <c r="B15479">
        <v>60</v>
      </c>
      <c r="C15479" t="s">
        <v>946</v>
      </c>
      <c r="D15479" t="s">
        <v>89</v>
      </c>
      <c r="E15479" t="s">
        <v>251</v>
      </c>
      <c r="F15479" t="s">
        <v>948</v>
      </c>
      <c r="G15479">
        <v>6099999</v>
      </c>
      <c r="H15479">
        <v>401045</v>
      </c>
      <c r="I15479">
        <v>50</v>
      </c>
    </row>
    <row r="15480" spans="1:9" x14ac:dyDescent="0.25">
      <c r="A15480">
        <v>4240</v>
      </c>
      <c r="B15480">
        <v>60</v>
      </c>
      <c r="C15480" t="s">
        <v>946</v>
      </c>
      <c r="D15480" t="s">
        <v>89</v>
      </c>
      <c r="E15480" t="s">
        <v>251</v>
      </c>
      <c r="F15480" t="s">
        <v>948</v>
      </c>
      <c r="G15480">
        <v>6000000</v>
      </c>
      <c r="H15480">
        <v>142000</v>
      </c>
      <c r="I15480" t="s">
        <v>949</v>
      </c>
    </row>
    <row r="15481" spans="1:9" x14ac:dyDescent="0.25">
      <c r="A15481">
        <v>4141</v>
      </c>
      <c r="B15481">
        <v>60</v>
      </c>
      <c r="C15481" t="s">
        <v>946</v>
      </c>
      <c r="D15481" t="s">
        <v>89</v>
      </c>
      <c r="E15481" t="s">
        <v>255</v>
      </c>
      <c r="F15481" t="s">
        <v>948</v>
      </c>
      <c r="G15481">
        <v>6077777</v>
      </c>
      <c r="H15481">
        <v>501010</v>
      </c>
      <c r="I15481">
        <v>50</v>
      </c>
    </row>
    <row r="15482" spans="1:9" x14ac:dyDescent="0.25">
      <c r="A15482">
        <v>4220</v>
      </c>
      <c r="B15482">
        <v>60</v>
      </c>
      <c r="C15482" t="s">
        <v>946</v>
      </c>
      <c r="D15482" t="s">
        <v>89</v>
      </c>
      <c r="E15482" t="s">
        <v>255</v>
      </c>
      <c r="F15482" t="s">
        <v>948</v>
      </c>
      <c r="G15482">
        <v>6077777</v>
      </c>
      <c r="H15482">
        <v>501010</v>
      </c>
      <c r="I15482">
        <v>50</v>
      </c>
    </row>
    <row r="15483" spans="1:9" x14ac:dyDescent="0.25">
      <c r="A15483">
        <v>4230</v>
      </c>
      <c r="B15483">
        <v>60</v>
      </c>
      <c r="C15483" t="s">
        <v>946</v>
      </c>
      <c r="D15483" t="s">
        <v>89</v>
      </c>
      <c r="E15483" t="s">
        <v>255</v>
      </c>
      <c r="F15483" t="s">
        <v>948</v>
      </c>
      <c r="G15483">
        <v>6099999</v>
      </c>
      <c r="H15483">
        <v>401075</v>
      </c>
      <c r="I15483">
        <v>50</v>
      </c>
    </row>
    <row r="15484" spans="1:9" x14ac:dyDescent="0.25">
      <c r="A15484">
        <v>4240</v>
      </c>
      <c r="B15484">
        <v>60</v>
      </c>
      <c r="C15484" t="s">
        <v>946</v>
      </c>
      <c r="D15484" t="s">
        <v>89</v>
      </c>
      <c r="E15484" t="s">
        <v>255</v>
      </c>
      <c r="F15484" t="s">
        <v>948</v>
      </c>
      <c r="G15484">
        <v>6000000</v>
      </c>
      <c r="H15484">
        <v>145000</v>
      </c>
      <c r="I15484" t="s">
        <v>949</v>
      </c>
    </row>
    <row r="15485" spans="1:9" x14ac:dyDescent="0.25">
      <c r="A15485">
        <v>4230</v>
      </c>
      <c r="B15485">
        <v>60</v>
      </c>
      <c r="C15485" t="s">
        <v>946</v>
      </c>
      <c r="D15485" t="s">
        <v>89</v>
      </c>
      <c r="E15485" t="s">
        <v>971</v>
      </c>
      <c r="F15485" t="s">
        <v>948</v>
      </c>
      <c r="G15485">
        <v>6099999</v>
      </c>
      <c r="H15485">
        <v>401915</v>
      </c>
      <c r="I15485">
        <v>50</v>
      </c>
    </row>
    <row r="15486" spans="1:9" x14ac:dyDescent="0.25">
      <c r="A15486">
        <v>4230</v>
      </c>
      <c r="B15486">
        <v>60</v>
      </c>
      <c r="C15486" t="s">
        <v>946</v>
      </c>
      <c r="D15486" t="s">
        <v>89</v>
      </c>
      <c r="E15486" t="s">
        <v>259</v>
      </c>
      <c r="F15486" t="s">
        <v>948</v>
      </c>
      <c r="G15486">
        <v>6099999</v>
      </c>
      <c r="H15486">
        <v>409005</v>
      </c>
      <c r="I15486">
        <v>50</v>
      </c>
    </row>
    <row r="15487" spans="1:9" x14ac:dyDescent="0.25">
      <c r="A15487">
        <v>4141</v>
      </c>
      <c r="B15487">
        <v>60</v>
      </c>
      <c r="C15487" t="s">
        <v>946</v>
      </c>
      <c r="D15487" t="s">
        <v>89</v>
      </c>
      <c r="E15487" t="s">
        <v>263</v>
      </c>
      <c r="F15487" t="s">
        <v>948</v>
      </c>
      <c r="G15487">
        <v>6077777</v>
      </c>
      <c r="H15487">
        <v>501010</v>
      </c>
      <c r="I15487">
        <v>50</v>
      </c>
    </row>
    <row r="15488" spans="1:9" x14ac:dyDescent="0.25">
      <c r="A15488">
        <v>4220</v>
      </c>
      <c r="B15488">
        <v>60</v>
      </c>
      <c r="C15488" t="s">
        <v>946</v>
      </c>
      <c r="D15488" t="s">
        <v>89</v>
      </c>
      <c r="E15488" t="s">
        <v>263</v>
      </c>
      <c r="F15488" t="s">
        <v>948</v>
      </c>
      <c r="G15488">
        <v>6077777</v>
      </c>
      <c r="H15488">
        <v>501010</v>
      </c>
      <c r="I15488">
        <v>50</v>
      </c>
    </row>
    <row r="15489" spans="1:9" x14ac:dyDescent="0.25">
      <c r="A15489">
        <v>4230</v>
      </c>
      <c r="B15489">
        <v>60</v>
      </c>
      <c r="C15489" t="s">
        <v>946</v>
      </c>
      <c r="D15489" t="s">
        <v>89</v>
      </c>
      <c r="E15489" t="s">
        <v>263</v>
      </c>
      <c r="F15489" t="s">
        <v>948</v>
      </c>
      <c r="G15489">
        <v>6099999</v>
      </c>
      <c r="H15489">
        <v>401045</v>
      </c>
      <c r="I15489">
        <v>50</v>
      </c>
    </row>
    <row r="15490" spans="1:9" x14ac:dyDescent="0.25">
      <c r="A15490">
        <v>4240</v>
      </c>
      <c r="B15490">
        <v>60</v>
      </c>
      <c r="C15490" t="s">
        <v>946</v>
      </c>
      <c r="D15490" t="s">
        <v>89</v>
      </c>
      <c r="E15490" t="s">
        <v>263</v>
      </c>
      <c r="F15490" t="s">
        <v>948</v>
      </c>
      <c r="G15490">
        <v>6000000</v>
      </c>
      <c r="H15490">
        <v>145000</v>
      </c>
      <c r="I15490" t="s">
        <v>949</v>
      </c>
    </row>
    <row r="15491" spans="1:9" x14ac:dyDescent="0.25">
      <c r="A15491">
        <v>4141</v>
      </c>
      <c r="B15491">
        <v>60</v>
      </c>
      <c r="C15491" t="s">
        <v>946</v>
      </c>
      <c r="D15491" t="s">
        <v>89</v>
      </c>
      <c r="E15491" t="s">
        <v>100</v>
      </c>
      <c r="F15491" t="s">
        <v>948</v>
      </c>
      <c r="G15491">
        <v>6077777</v>
      </c>
      <c r="H15491">
        <v>500220</v>
      </c>
      <c r="I15491">
        <v>50</v>
      </c>
    </row>
    <row r="15492" spans="1:9" x14ac:dyDescent="0.25">
      <c r="A15492">
        <v>4220</v>
      </c>
      <c r="B15492">
        <v>60</v>
      </c>
      <c r="C15492" t="s">
        <v>946</v>
      </c>
      <c r="D15492" t="s">
        <v>89</v>
      </c>
      <c r="E15492" t="s">
        <v>100</v>
      </c>
      <c r="F15492" t="s">
        <v>948</v>
      </c>
      <c r="G15492">
        <v>6077777</v>
      </c>
      <c r="H15492">
        <v>500220</v>
      </c>
      <c r="I15492">
        <v>50</v>
      </c>
    </row>
    <row r="15493" spans="1:9" x14ac:dyDescent="0.25">
      <c r="A15493">
        <v>4230</v>
      </c>
      <c r="B15493">
        <v>60</v>
      </c>
      <c r="C15493" t="s">
        <v>946</v>
      </c>
      <c r="D15493" t="s">
        <v>89</v>
      </c>
      <c r="E15493" t="s">
        <v>100</v>
      </c>
      <c r="F15493" t="s">
        <v>948</v>
      </c>
      <c r="G15493">
        <v>6099999</v>
      </c>
      <c r="H15493">
        <v>401045</v>
      </c>
      <c r="I15493">
        <v>50</v>
      </c>
    </row>
    <row r="15494" spans="1:9" x14ac:dyDescent="0.25">
      <c r="A15494">
        <v>4240</v>
      </c>
      <c r="B15494">
        <v>60</v>
      </c>
      <c r="C15494" t="s">
        <v>946</v>
      </c>
      <c r="D15494" t="s">
        <v>89</v>
      </c>
      <c r="E15494" t="s">
        <v>100</v>
      </c>
      <c r="F15494" t="s">
        <v>948</v>
      </c>
      <c r="G15494">
        <v>6077777</v>
      </c>
      <c r="H15494">
        <v>500221</v>
      </c>
      <c r="I15494" t="s">
        <v>949</v>
      </c>
    </row>
    <row r="15495" spans="1:9" x14ac:dyDescent="0.25">
      <c r="A15495">
        <v>4141</v>
      </c>
      <c r="B15495">
        <v>60</v>
      </c>
      <c r="C15495" t="s">
        <v>946</v>
      </c>
      <c r="D15495" t="s">
        <v>89</v>
      </c>
      <c r="E15495" t="s">
        <v>270</v>
      </c>
      <c r="F15495" t="s">
        <v>948</v>
      </c>
      <c r="G15495">
        <v>6077777</v>
      </c>
      <c r="H15495">
        <v>501010</v>
      </c>
      <c r="I15495">
        <v>50</v>
      </c>
    </row>
    <row r="15496" spans="1:9" x14ac:dyDescent="0.25">
      <c r="A15496">
        <v>4220</v>
      </c>
      <c r="B15496">
        <v>60</v>
      </c>
      <c r="C15496" t="s">
        <v>946</v>
      </c>
      <c r="D15496" t="s">
        <v>89</v>
      </c>
      <c r="E15496" t="s">
        <v>270</v>
      </c>
      <c r="F15496" t="s">
        <v>948</v>
      </c>
      <c r="G15496">
        <v>6077777</v>
      </c>
      <c r="H15496">
        <v>501010</v>
      </c>
      <c r="I15496">
        <v>50</v>
      </c>
    </row>
    <row r="15497" spans="1:9" x14ac:dyDescent="0.25">
      <c r="A15497">
        <v>4230</v>
      </c>
      <c r="B15497">
        <v>60</v>
      </c>
      <c r="C15497" t="s">
        <v>946</v>
      </c>
      <c r="D15497" t="s">
        <v>89</v>
      </c>
      <c r="E15497" t="s">
        <v>270</v>
      </c>
      <c r="F15497" t="s">
        <v>948</v>
      </c>
      <c r="G15497">
        <v>6099999</v>
      </c>
      <c r="H15497">
        <v>401065</v>
      </c>
      <c r="I15497">
        <v>50</v>
      </c>
    </row>
    <row r="15498" spans="1:9" x14ac:dyDescent="0.25">
      <c r="A15498">
        <v>4240</v>
      </c>
      <c r="B15498">
        <v>60</v>
      </c>
      <c r="C15498" t="s">
        <v>946</v>
      </c>
      <c r="D15498" t="s">
        <v>89</v>
      </c>
      <c r="E15498" t="s">
        <v>270</v>
      </c>
      <c r="F15498" t="s">
        <v>948</v>
      </c>
      <c r="G15498">
        <v>6000000</v>
      </c>
      <c r="H15498">
        <v>145000</v>
      </c>
      <c r="I15498" t="s">
        <v>949</v>
      </c>
    </row>
    <row r="15499" spans="1:9" x14ac:dyDescent="0.25">
      <c r="A15499">
        <v>4141</v>
      </c>
      <c r="B15499">
        <v>60</v>
      </c>
      <c r="C15499" t="s">
        <v>946</v>
      </c>
      <c r="D15499" t="s">
        <v>89</v>
      </c>
      <c r="E15499" t="s">
        <v>274</v>
      </c>
      <c r="F15499" t="s">
        <v>948</v>
      </c>
      <c r="G15499">
        <v>6077777</v>
      </c>
      <c r="H15499">
        <v>501010</v>
      </c>
      <c r="I15499">
        <v>50</v>
      </c>
    </row>
    <row r="15500" spans="1:9" x14ac:dyDescent="0.25">
      <c r="A15500">
        <v>4220</v>
      </c>
      <c r="B15500">
        <v>60</v>
      </c>
      <c r="C15500" t="s">
        <v>946</v>
      </c>
      <c r="D15500" t="s">
        <v>89</v>
      </c>
      <c r="E15500" t="s">
        <v>274</v>
      </c>
      <c r="F15500" t="s">
        <v>948</v>
      </c>
      <c r="G15500">
        <v>6077777</v>
      </c>
      <c r="H15500">
        <v>501010</v>
      </c>
      <c r="I15500">
        <v>50</v>
      </c>
    </row>
    <row r="15501" spans="1:9" x14ac:dyDescent="0.25">
      <c r="A15501">
        <v>4230</v>
      </c>
      <c r="B15501">
        <v>60</v>
      </c>
      <c r="C15501" t="s">
        <v>946</v>
      </c>
      <c r="D15501" t="s">
        <v>89</v>
      </c>
      <c r="E15501" t="s">
        <v>274</v>
      </c>
      <c r="F15501" t="s">
        <v>948</v>
      </c>
      <c r="G15501">
        <v>6099999</v>
      </c>
      <c r="H15501">
        <v>401045</v>
      </c>
      <c r="I15501">
        <v>50</v>
      </c>
    </row>
    <row r="15502" spans="1:9" x14ac:dyDescent="0.25">
      <c r="A15502">
        <v>4240</v>
      </c>
      <c r="B15502">
        <v>60</v>
      </c>
      <c r="C15502" t="s">
        <v>946</v>
      </c>
      <c r="D15502" t="s">
        <v>89</v>
      </c>
      <c r="E15502" t="s">
        <v>274</v>
      </c>
      <c r="F15502" t="s">
        <v>948</v>
      </c>
      <c r="G15502">
        <v>6000000</v>
      </c>
      <c r="H15502">
        <v>143000</v>
      </c>
      <c r="I15502" t="s">
        <v>973</v>
      </c>
    </row>
    <row r="15503" spans="1:9" x14ac:dyDescent="0.25">
      <c r="A15503">
        <v>4141</v>
      </c>
      <c r="B15503">
        <v>60</v>
      </c>
      <c r="C15503" t="s">
        <v>946</v>
      </c>
      <c r="D15503" t="s">
        <v>89</v>
      </c>
      <c r="E15503" t="s">
        <v>104</v>
      </c>
      <c r="F15503" t="s">
        <v>948</v>
      </c>
      <c r="G15503">
        <v>6077777</v>
      </c>
      <c r="H15503">
        <v>500220</v>
      </c>
      <c r="I15503">
        <v>50</v>
      </c>
    </row>
    <row r="15504" spans="1:9" x14ac:dyDescent="0.25">
      <c r="A15504">
        <v>4220</v>
      </c>
      <c r="B15504">
        <v>60</v>
      </c>
      <c r="C15504" t="s">
        <v>946</v>
      </c>
      <c r="D15504" t="s">
        <v>89</v>
      </c>
      <c r="E15504" t="s">
        <v>104</v>
      </c>
      <c r="F15504" t="s">
        <v>948</v>
      </c>
      <c r="G15504">
        <v>6077777</v>
      </c>
      <c r="H15504">
        <v>500220</v>
      </c>
      <c r="I15504">
        <v>50</v>
      </c>
    </row>
    <row r="15505" spans="1:9" x14ac:dyDescent="0.25">
      <c r="A15505">
        <v>4230</v>
      </c>
      <c r="B15505">
        <v>60</v>
      </c>
      <c r="C15505" t="s">
        <v>946</v>
      </c>
      <c r="D15505" t="s">
        <v>89</v>
      </c>
      <c r="E15505" t="s">
        <v>104</v>
      </c>
      <c r="F15505" t="s">
        <v>948</v>
      </c>
      <c r="G15505">
        <v>6099999</v>
      </c>
      <c r="H15505">
        <v>401045</v>
      </c>
      <c r="I15505">
        <v>50</v>
      </c>
    </row>
    <row r="15506" spans="1:9" x14ac:dyDescent="0.25">
      <c r="A15506">
        <v>4240</v>
      </c>
      <c r="B15506">
        <v>60</v>
      </c>
      <c r="C15506" t="s">
        <v>946</v>
      </c>
      <c r="D15506" t="s">
        <v>89</v>
      </c>
      <c r="E15506" t="s">
        <v>104</v>
      </c>
      <c r="F15506" t="s">
        <v>948</v>
      </c>
      <c r="G15506">
        <v>6077777</v>
      </c>
      <c r="H15506">
        <v>500221</v>
      </c>
      <c r="I15506" t="s">
        <v>949</v>
      </c>
    </row>
    <row r="15507" spans="1:9" x14ac:dyDescent="0.25">
      <c r="A15507">
        <v>4141</v>
      </c>
      <c r="B15507">
        <v>60</v>
      </c>
      <c r="C15507" t="s">
        <v>946</v>
      </c>
      <c r="D15507" t="s">
        <v>89</v>
      </c>
      <c r="E15507" t="s">
        <v>278</v>
      </c>
      <c r="F15507" t="s">
        <v>948</v>
      </c>
      <c r="G15507">
        <v>6077777</v>
      </c>
      <c r="H15507">
        <v>501010</v>
      </c>
      <c r="I15507">
        <v>50</v>
      </c>
    </row>
    <row r="15508" spans="1:9" x14ac:dyDescent="0.25">
      <c r="A15508">
        <v>4220</v>
      </c>
      <c r="B15508">
        <v>60</v>
      </c>
      <c r="C15508" t="s">
        <v>946</v>
      </c>
      <c r="D15508" t="s">
        <v>89</v>
      </c>
      <c r="E15508" t="s">
        <v>278</v>
      </c>
      <c r="F15508" t="s">
        <v>948</v>
      </c>
      <c r="G15508">
        <v>6077777</v>
      </c>
      <c r="H15508">
        <v>501010</v>
      </c>
      <c r="I15508">
        <v>50</v>
      </c>
    </row>
    <row r="15509" spans="1:9" x14ac:dyDescent="0.25">
      <c r="A15509">
        <v>4230</v>
      </c>
      <c r="B15509">
        <v>60</v>
      </c>
      <c r="C15509" t="s">
        <v>946</v>
      </c>
      <c r="D15509" t="s">
        <v>89</v>
      </c>
      <c r="E15509" t="s">
        <v>278</v>
      </c>
      <c r="F15509" t="s">
        <v>948</v>
      </c>
      <c r="G15509">
        <v>6099999</v>
      </c>
      <c r="H15509">
        <v>401055</v>
      </c>
      <c r="I15509">
        <v>50</v>
      </c>
    </row>
    <row r="15510" spans="1:9" x14ac:dyDescent="0.25">
      <c r="A15510">
        <v>4240</v>
      </c>
      <c r="B15510">
        <v>60</v>
      </c>
      <c r="C15510" t="s">
        <v>946</v>
      </c>
      <c r="D15510" t="s">
        <v>89</v>
      </c>
      <c r="E15510" t="s">
        <v>278</v>
      </c>
      <c r="F15510" t="s">
        <v>948</v>
      </c>
      <c r="G15510">
        <v>6000000</v>
      </c>
      <c r="H15510">
        <v>145000</v>
      </c>
      <c r="I15510" t="s">
        <v>949</v>
      </c>
    </row>
    <row r="15511" spans="1:9" x14ac:dyDescent="0.25">
      <c r="A15511">
        <v>4141</v>
      </c>
      <c r="B15511">
        <v>60</v>
      </c>
      <c r="C15511" t="s">
        <v>946</v>
      </c>
      <c r="D15511" t="s">
        <v>89</v>
      </c>
      <c r="E15511" t="s">
        <v>282</v>
      </c>
      <c r="F15511" t="s">
        <v>948</v>
      </c>
      <c r="G15511">
        <v>6077777</v>
      </c>
      <c r="H15511">
        <v>501010</v>
      </c>
      <c r="I15511">
        <v>50</v>
      </c>
    </row>
    <row r="15512" ht="22" customHeight="1" spans="1:10" x14ac:dyDescent="0.25">
      <c r="A15512" s="41">
        <v>4220</v>
      </c>
      <c r="B15512" s="41">
        <v>60</v>
      </c>
      <c r="C15512" s="41" t="s">
        <v>946</v>
      </c>
      <c r="D15512" s="41" t="s">
        <v>89</v>
      </c>
      <c r="E15512" s="41" t="s">
        <v>282</v>
      </c>
      <c r="F15512" s="41" t="s">
        <v>948</v>
      </c>
      <c r="G15512" s="41">
        <v>6077777</v>
      </c>
      <c r="H15512" s="41">
        <v>501010</v>
      </c>
      <c r="I15512" s="41">
        <v>50</v>
      </c>
      <c r="J15512" s="42" t="s">
        <v>1035</v>
      </c>
    </row>
    <row r="15513" spans="1:9" x14ac:dyDescent="0.25">
      <c r="A15513">
        <v>4230</v>
      </c>
      <c r="B15513">
        <v>60</v>
      </c>
      <c r="C15513" t="s">
        <v>946</v>
      </c>
      <c r="D15513" t="s">
        <v>89</v>
      </c>
      <c r="E15513" t="s">
        <v>282</v>
      </c>
      <c r="F15513" t="s">
        <v>948</v>
      </c>
      <c r="G15513">
        <v>6099999</v>
      </c>
      <c r="H15513">
        <v>401045</v>
      </c>
      <c r="I15513">
        <v>50</v>
      </c>
    </row>
    <row r="15514" spans="1:9" x14ac:dyDescent="0.25">
      <c r="A15514">
        <v>4141</v>
      </c>
      <c r="B15514">
        <v>60</v>
      </c>
      <c r="C15514" t="s">
        <v>946</v>
      </c>
      <c r="D15514" t="s">
        <v>89</v>
      </c>
      <c r="E15514" t="s">
        <v>286</v>
      </c>
      <c r="F15514" t="s">
        <v>948</v>
      </c>
      <c r="G15514">
        <v>6077777</v>
      </c>
      <c r="H15514">
        <v>501010</v>
      </c>
      <c r="I15514">
        <v>50</v>
      </c>
    </row>
    <row r="15515" spans="1:9" x14ac:dyDescent="0.25">
      <c r="A15515">
        <v>4220</v>
      </c>
      <c r="B15515">
        <v>60</v>
      </c>
      <c r="C15515" t="s">
        <v>946</v>
      </c>
      <c r="D15515" t="s">
        <v>89</v>
      </c>
      <c r="E15515" t="s">
        <v>286</v>
      </c>
      <c r="F15515" t="s">
        <v>948</v>
      </c>
      <c r="G15515">
        <v>6077777</v>
      </c>
      <c r="H15515">
        <v>501010</v>
      </c>
      <c r="I15515">
        <v>50</v>
      </c>
    </row>
    <row r="15516" spans="1:9" x14ac:dyDescent="0.25">
      <c r="A15516">
        <v>4230</v>
      </c>
      <c r="B15516">
        <v>60</v>
      </c>
      <c r="C15516" t="s">
        <v>946</v>
      </c>
      <c r="D15516" t="s">
        <v>89</v>
      </c>
      <c r="E15516" t="s">
        <v>286</v>
      </c>
      <c r="F15516" t="s">
        <v>948</v>
      </c>
      <c r="G15516">
        <v>6099999</v>
      </c>
      <c r="H15516">
        <v>401035</v>
      </c>
      <c r="I15516">
        <v>50</v>
      </c>
    </row>
    <row r="15517" spans="1:9" x14ac:dyDescent="0.25">
      <c r="A15517">
        <v>4240</v>
      </c>
      <c r="B15517">
        <v>60</v>
      </c>
      <c r="C15517" t="s">
        <v>946</v>
      </c>
      <c r="D15517" t="s">
        <v>89</v>
      </c>
      <c r="E15517" t="s">
        <v>286</v>
      </c>
      <c r="F15517" t="s">
        <v>948</v>
      </c>
      <c r="G15517">
        <v>6000000</v>
      </c>
      <c r="H15517">
        <v>145000</v>
      </c>
      <c r="I15517" t="s">
        <v>949</v>
      </c>
    </row>
    <row r="15518" spans="1:9" x14ac:dyDescent="0.25">
      <c r="A15518">
        <v>4141</v>
      </c>
      <c r="B15518">
        <v>60</v>
      </c>
      <c r="C15518" t="s">
        <v>946</v>
      </c>
      <c r="D15518" t="s">
        <v>89</v>
      </c>
      <c r="E15518" t="s">
        <v>290</v>
      </c>
      <c r="F15518" t="s">
        <v>948</v>
      </c>
      <c r="G15518">
        <v>6077777</v>
      </c>
      <c r="H15518">
        <v>501010</v>
      </c>
      <c r="I15518">
        <v>50</v>
      </c>
    </row>
    <row r="15519" spans="1:9" x14ac:dyDescent="0.25">
      <c r="A15519">
        <v>4220</v>
      </c>
      <c r="B15519">
        <v>60</v>
      </c>
      <c r="C15519" t="s">
        <v>946</v>
      </c>
      <c r="D15519" t="s">
        <v>89</v>
      </c>
      <c r="E15519" t="s">
        <v>290</v>
      </c>
      <c r="F15519" t="s">
        <v>948</v>
      </c>
      <c r="G15519">
        <v>6077777</v>
      </c>
      <c r="H15519">
        <v>501010</v>
      </c>
      <c r="I15519">
        <v>50</v>
      </c>
    </row>
    <row r="15520" spans="1:9" x14ac:dyDescent="0.25">
      <c r="A15520">
        <v>4230</v>
      </c>
      <c r="B15520">
        <v>60</v>
      </c>
      <c r="C15520" t="s">
        <v>946</v>
      </c>
      <c r="D15520" t="s">
        <v>89</v>
      </c>
      <c r="E15520" t="s">
        <v>290</v>
      </c>
      <c r="F15520" t="s">
        <v>948</v>
      </c>
      <c r="G15520">
        <v>6099999</v>
      </c>
      <c r="H15520">
        <v>401045</v>
      </c>
      <c r="I15520">
        <v>50</v>
      </c>
    </row>
    <row r="15521" spans="1:9" x14ac:dyDescent="0.25">
      <c r="A15521">
        <v>4240</v>
      </c>
      <c r="B15521">
        <v>60</v>
      </c>
      <c r="C15521" t="s">
        <v>946</v>
      </c>
      <c r="D15521" t="s">
        <v>89</v>
      </c>
      <c r="E15521" t="s">
        <v>290</v>
      </c>
      <c r="F15521" t="s">
        <v>948</v>
      </c>
      <c r="G15521">
        <v>6000000</v>
      </c>
      <c r="H15521">
        <v>143000</v>
      </c>
      <c r="I15521" t="s">
        <v>978</v>
      </c>
    </row>
    <row r="15522" spans="1:9" x14ac:dyDescent="0.25">
      <c r="A15522">
        <v>4141</v>
      </c>
      <c r="B15522">
        <v>60</v>
      </c>
      <c r="C15522" t="s">
        <v>946</v>
      </c>
      <c r="D15522" t="s">
        <v>89</v>
      </c>
      <c r="E15522" t="s">
        <v>294</v>
      </c>
      <c r="F15522" t="s">
        <v>948</v>
      </c>
      <c r="G15522">
        <v>6077777</v>
      </c>
      <c r="H15522">
        <v>501010</v>
      </c>
      <c r="I15522">
        <v>50</v>
      </c>
    </row>
    <row r="15523" spans="1:9" x14ac:dyDescent="0.25">
      <c r="A15523">
        <v>4220</v>
      </c>
      <c r="B15523">
        <v>60</v>
      </c>
      <c r="C15523" t="s">
        <v>946</v>
      </c>
      <c r="D15523" t="s">
        <v>89</v>
      </c>
      <c r="E15523" t="s">
        <v>294</v>
      </c>
      <c r="F15523" t="s">
        <v>948</v>
      </c>
      <c r="G15523">
        <v>6077777</v>
      </c>
      <c r="H15523">
        <v>501010</v>
      </c>
      <c r="I15523">
        <v>50</v>
      </c>
    </row>
    <row r="15524" spans="1:9" x14ac:dyDescent="0.25">
      <c r="A15524">
        <v>4230</v>
      </c>
      <c r="B15524">
        <v>60</v>
      </c>
      <c r="C15524" t="s">
        <v>946</v>
      </c>
      <c r="D15524" t="s">
        <v>89</v>
      </c>
      <c r="E15524" t="s">
        <v>294</v>
      </c>
      <c r="F15524" t="s">
        <v>948</v>
      </c>
      <c r="G15524">
        <v>6099999</v>
      </c>
      <c r="H15524">
        <v>401045</v>
      </c>
      <c r="I15524">
        <v>50</v>
      </c>
    </row>
    <row r="15525" spans="1:9" x14ac:dyDescent="0.25">
      <c r="A15525">
        <v>4240</v>
      </c>
      <c r="B15525">
        <v>60</v>
      </c>
      <c r="C15525" t="s">
        <v>946</v>
      </c>
      <c r="D15525" t="s">
        <v>89</v>
      </c>
      <c r="E15525" t="s">
        <v>294</v>
      </c>
      <c r="F15525" t="s">
        <v>948</v>
      </c>
      <c r="G15525">
        <v>6000000</v>
      </c>
      <c r="H15525">
        <v>143000</v>
      </c>
      <c r="I15525" t="s">
        <v>979</v>
      </c>
    </row>
    <row r="15526" spans="1:9" x14ac:dyDescent="0.25">
      <c r="A15526">
        <v>4230</v>
      </c>
      <c r="B15526">
        <v>60</v>
      </c>
      <c r="C15526" t="s">
        <v>946</v>
      </c>
      <c r="D15526" t="s">
        <v>89</v>
      </c>
      <c r="E15526" t="s">
        <v>298</v>
      </c>
      <c r="F15526" t="s">
        <v>948</v>
      </c>
      <c r="G15526">
        <v>6099999</v>
      </c>
      <c r="H15526">
        <v>402085</v>
      </c>
      <c r="I15526">
        <v>50</v>
      </c>
    </row>
    <row r="15527" spans="1:9" x14ac:dyDescent="0.25">
      <c r="A15527">
        <v>4141</v>
      </c>
      <c r="B15527">
        <v>60</v>
      </c>
      <c r="C15527" t="s">
        <v>946</v>
      </c>
      <c r="D15527" t="s">
        <v>89</v>
      </c>
      <c r="E15527" t="s">
        <v>302</v>
      </c>
      <c r="F15527" t="s">
        <v>948</v>
      </c>
      <c r="G15527">
        <v>6077777</v>
      </c>
      <c r="H15527">
        <v>501010</v>
      </c>
      <c r="I15527">
        <v>50</v>
      </c>
    </row>
    <row r="15528" spans="1:9" x14ac:dyDescent="0.25">
      <c r="A15528">
        <v>4220</v>
      </c>
      <c r="B15528">
        <v>60</v>
      </c>
      <c r="C15528" t="s">
        <v>946</v>
      </c>
      <c r="D15528" t="s">
        <v>89</v>
      </c>
      <c r="E15528" t="s">
        <v>302</v>
      </c>
      <c r="F15528" t="s">
        <v>948</v>
      </c>
      <c r="G15528">
        <v>6077777</v>
      </c>
      <c r="H15528">
        <v>501010</v>
      </c>
      <c r="I15528">
        <v>50</v>
      </c>
    </row>
    <row r="15529" spans="1:9" x14ac:dyDescent="0.25">
      <c r="A15529">
        <v>4230</v>
      </c>
      <c r="B15529">
        <v>60</v>
      </c>
      <c r="C15529" t="s">
        <v>946</v>
      </c>
      <c r="D15529" t="s">
        <v>89</v>
      </c>
      <c r="E15529" t="s">
        <v>302</v>
      </c>
      <c r="F15529" t="s">
        <v>948</v>
      </c>
      <c r="G15529">
        <v>6099999</v>
      </c>
      <c r="H15529">
        <v>401905</v>
      </c>
      <c r="I15529">
        <v>50</v>
      </c>
    </row>
    <row r="15530" spans="1:9" x14ac:dyDescent="0.25">
      <c r="A15530">
        <v>4240</v>
      </c>
      <c r="B15530">
        <v>60</v>
      </c>
      <c r="C15530" t="s">
        <v>946</v>
      </c>
      <c r="D15530" t="s">
        <v>89</v>
      </c>
      <c r="E15530" t="s">
        <v>302</v>
      </c>
      <c r="F15530" t="s">
        <v>948</v>
      </c>
      <c r="G15530">
        <v>6000000</v>
      </c>
      <c r="H15530">
        <v>143000</v>
      </c>
      <c r="I15530" t="s">
        <v>982</v>
      </c>
    </row>
    <row r="15531" spans="1:9" x14ac:dyDescent="0.25">
      <c r="A15531">
        <v>4141</v>
      </c>
      <c r="B15531">
        <v>60</v>
      </c>
      <c r="C15531" t="s">
        <v>946</v>
      </c>
      <c r="D15531" t="s">
        <v>89</v>
      </c>
      <c r="E15531" t="s">
        <v>306</v>
      </c>
      <c r="F15531" t="s">
        <v>948</v>
      </c>
      <c r="G15531">
        <v>6077777</v>
      </c>
      <c r="H15531">
        <v>501010</v>
      </c>
      <c r="I15531">
        <v>50</v>
      </c>
    </row>
    <row r="15532" spans="1:9" x14ac:dyDescent="0.25">
      <c r="A15532">
        <v>4220</v>
      </c>
      <c r="B15532">
        <v>60</v>
      </c>
      <c r="C15532" t="s">
        <v>946</v>
      </c>
      <c r="D15532" t="s">
        <v>89</v>
      </c>
      <c r="E15532" t="s">
        <v>306</v>
      </c>
      <c r="F15532" t="s">
        <v>948</v>
      </c>
      <c r="G15532">
        <v>6077777</v>
      </c>
      <c r="H15532">
        <v>501010</v>
      </c>
      <c r="I15532">
        <v>50</v>
      </c>
    </row>
    <row r="15533" spans="1:9" x14ac:dyDescent="0.25">
      <c r="A15533">
        <v>4230</v>
      </c>
      <c r="B15533">
        <v>60</v>
      </c>
      <c r="C15533" t="s">
        <v>946</v>
      </c>
      <c r="D15533" t="s">
        <v>89</v>
      </c>
      <c r="E15533" t="s">
        <v>306</v>
      </c>
      <c r="F15533" t="s">
        <v>948</v>
      </c>
      <c r="G15533">
        <v>6099999</v>
      </c>
      <c r="H15533">
        <v>401045</v>
      </c>
      <c r="I15533">
        <v>50</v>
      </c>
    </row>
    <row r="15534" spans="1:9" x14ac:dyDescent="0.25">
      <c r="A15534">
        <v>4240</v>
      </c>
      <c r="B15534">
        <v>60</v>
      </c>
      <c r="C15534" t="s">
        <v>946</v>
      </c>
      <c r="D15534" t="s">
        <v>89</v>
      </c>
      <c r="E15534" t="s">
        <v>306</v>
      </c>
      <c r="F15534" t="s">
        <v>948</v>
      </c>
      <c r="G15534">
        <v>6000000</v>
      </c>
      <c r="H15534">
        <v>143000</v>
      </c>
      <c r="I15534" t="s">
        <v>983</v>
      </c>
    </row>
    <row r="15535" spans="1:9" x14ac:dyDescent="0.25">
      <c r="A15535">
        <v>4141</v>
      </c>
      <c r="B15535">
        <v>60</v>
      </c>
      <c r="C15535" t="s">
        <v>946</v>
      </c>
      <c r="D15535" t="s">
        <v>89</v>
      </c>
      <c r="E15535" t="s">
        <v>108</v>
      </c>
      <c r="F15535" t="s">
        <v>948</v>
      </c>
      <c r="G15535">
        <v>6077777</v>
      </c>
      <c r="H15535">
        <v>500220</v>
      </c>
      <c r="I15535">
        <v>50</v>
      </c>
    </row>
    <row r="15536" ht="22" customHeight="1" spans="1:10" x14ac:dyDescent="0.25">
      <c r="A15536" s="41">
        <v>4220</v>
      </c>
      <c r="B15536" s="41">
        <v>60</v>
      </c>
      <c r="C15536" s="41" t="s">
        <v>946</v>
      </c>
      <c r="D15536" s="41" t="s">
        <v>89</v>
      </c>
      <c r="E15536" s="41" t="s">
        <v>108</v>
      </c>
      <c r="F15536" s="41" t="s">
        <v>948</v>
      </c>
      <c r="G15536" s="41">
        <v>6077777</v>
      </c>
      <c r="H15536" s="41">
        <v>500220</v>
      </c>
      <c r="I15536" s="41">
        <v>50</v>
      </c>
      <c r="J15536" s="42" t="s">
        <v>1035</v>
      </c>
    </row>
    <row r="15537" spans="1:9" x14ac:dyDescent="0.25">
      <c r="A15537">
        <v>4230</v>
      </c>
      <c r="B15537">
        <v>60</v>
      </c>
      <c r="C15537" t="s">
        <v>946</v>
      </c>
      <c r="D15537" t="s">
        <v>89</v>
      </c>
      <c r="E15537" t="s">
        <v>108</v>
      </c>
      <c r="F15537" t="s">
        <v>948</v>
      </c>
      <c r="G15537">
        <v>6099999</v>
      </c>
      <c r="H15537">
        <v>401045</v>
      </c>
      <c r="I15537">
        <v>50</v>
      </c>
    </row>
    <row r="15538" spans="1:9" x14ac:dyDescent="0.25">
      <c r="A15538">
        <v>4141</v>
      </c>
      <c r="B15538">
        <v>60</v>
      </c>
      <c r="C15538" t="s">
        <v>946</v>
      </c>
      <c r="D15538" t="s">
        <v>89</v>
      </c>
      <c r="E15538" t="s">
        <v>310</v>
      </c>
      <c r="F15538" t="s">
        <v>948</v>
      </c>
      <c r="G15538">
        <v>6077777</v>
      </c>
      <c r="H15538">
        <v>501010</v>
      </c>
      <c r="I15538">
        <v>50</v>
      </c>
    </row>
    <row r="15539" spans="1:9" x14ac:dyDescent="0.25">
      <c r="A15539">
        <v>4220</v>
      </c>
      <c r="B15539">
        <v>60</v>
      </c>
      <c r="C15539" t="s">
        <v>946</v>
      </c>
      <c r="D15539" t="s">
        <v>89</v>
      </c>
      <c r="E15539" t="s">
        <v>310</v>
      </c>
      <c r="F15539" t="s">
        <v>948</v>
      </c>
      <c r="G15539">
        <v>6077777</v>
      </c>
      <c r="H15539">
        <v>501010</v>
      </c>
      <c r="I15539">
        <v>50</v>
      </c>
    </row>
    <row r="15540" spans="1:9" x14ac:dyDescent="0.25">
      <c r="A15540">
        <v>4230</v>
      </c>
      <c r="B15540">
        <v>60</v>
      </c>
      <c r="C15540" t="s">
        <v>946</v>
      </c>
      <c r="D15540" t="s">
        <v>89</v>
      </c>
      <c r="E15540" t="s">
        <v>310</v>
      </c>
      <c r="F15540" t="s">
        <v>948</v>
      </c>
      <c r="G15540">
        <v>6099999</v>
      </c>
      <c r="H15540">
        <v>401015</v>
      </c>
      <c r="I15540">
        <v>50</v>
      </c>
    </row>
    <row r="15541" spans="1:9" x14ac:dyDescent="0.25">
      <c r="A15541">
        <v>4240</v>
      </c>
      <c r="B15541">
        <v>60</v>
      </c>
      <c r="C15541" t="s">
        <v>946</v>
      </c>
      <c r="D15541" t="s">
        <v>89</v>
      </c>
      <c r="E15541" t="s">
        <v>310</v>
      </c>
      <c r="F15541" t="s">
        <v>948</v>
      </c>
      <c r="G15541">
        <v>6000000</v>
      </c>
      <c r="H15541">
        <v>145000</v>
      </c>
      <c r="I15541" t="s">
        <v>949</v>
      </c>
    </row>
    <row r="15542" spans="1:9" x14ac:dyDescent="0.25">
      <c r="A15542">
        <v>4141</v>
      </c>
      <c r="B15542">
        <v>60</v>
      </c>
      <c r="C15542" t="s">
        <v>946</v>
      </c>
      <c r="D15542" t="s">
        <v>89</v>
      </c>
      <c r="E15542" t="s">
        <v>314</v>
      </c>
      <c r="F15542" t="s">
        <v>948</v>
      </c>
      <c r="G15542">
        <v>6077777</v>
      </c>
      <c r="H15542">
        <v>501010</v>
      </c>
      <c r="I15542">
        <v>50</v>
      </c>
    </row>
    <row r="15543" spans="1:9" x14ac:dyDescent="0.25">
      <c r="A15543">
        <v>4220</v>
      </c>
      <c r="B15543">
        <v>60</v>
      </c>
      <c r="C15543" t="s">
        <v>946</v>
      </c>
      <c r="D15543" t="s">
        <v>89</v>
      </c>
      <c r="E15543" t="s">
        <v>314</v>
      </c>
      <c r="F15543" t="s">
        <v>948</v>
      </c>
      <c r="G15543">
        <v>6077777</v>
      </c>
      <c r="H15543">
        <v>501010</v>
      </c>
      <c r="I15543">
        <v>50</v>
      </c>
    </row>
    <row r="15544" spans="1:9" x14ac:dyDescent="0.25">
      <c r="A15544">
        <v>4230</v>
      </c>
      <c r="B15544">
        <v>60</v>
      </c>
      <c r="C15544" t="s">
        <v>946</v>
      </c>
      <c r="D15544" t="s">
        <v>89</v>
      </c>
      <c r="E15544" t="s">
        <v>314</v>
      </c>
      <c r="F15544" t="s">
        <v>948</v>
      </c>
      <c r="G15544">
        <v>6099999</v>
      </c>
      <c r="H15544">
        <v>401065</v>
      </c>
      <c r="I15544">
        <v>50</v>
      </c>
    </row>
    <row r="15545" spans="1:9" x14ac:dyDescent="0.25">
      <c r="A15545">
        <v>4240</v>
      </c>
      <c r="B15545">
        <v>60</v>
      </c>
      <c r="C15545" t="s">
        <v>946</v>
      </c>
      <c r="D15545" t="s">
        <v>89</v>
      </c>
      <c r="E15545" t="s">
        <v>314</v>
      </c>
      <c r="F15545" t="s">
        <v>948</v>
      </c>
      <c r="G15545">
        <v>6000000</v>
      </c>
      <c r="H15545">
        <v>145000</v>
      </c>
      <c r="I15545" t="s">
        <v>949</v>
      </c>
    </row>
    <row r="15546" spans="1:9" x14ac:dyDescent="0.25">
      <c r="A15546">
        <v>4141</v>
      </c>
      <c r="B15546">
        <v>60</v>
      </c>
      <c r="C15546" t="s">
        <v>946</v>
      </c>
      <c r="D15546" t="s">
        <v>89</v>
      </c>
      <c r="E15546" t="s">
        <v>113</v>
      </c>
      <c r="F15546" t="s">
        <v>948</v>
      </c>
      <c r="G15546">
        <v>6077777</v>
      </c>
      <c r="H15546">
        <v>500220</v>
      </c>
      <c r="I15546">
        <v>50</v>
      </c>
    </row>
    <row r="15547" ht="22" customHeight="1" spans="1:10" x14ac:dyDescent="0.25">
      <c r="A15547" s="41">
        <v>4220</v>
      </c>
      <c r="B15547" s="41">
        <v>60</v>
      </c>
      <c r="C15547" s="41" t="s">
        <v>946</v>
      </c>
      <c r="D15547" s="41" t="s">
        <v>89</v>
      </c>
      <c r="E15547" s="41" t="s">
        <v>113</v>
      </c>
      <c r="F15547" s="41" t="s">
        <v>948</v>
      </c>
      <c r="G15547" s="41">
        <v>6077777</v>
      </c>
      <c r="H15547" s="41">
        <v>500220</v>
      </c>
      <c r="I15547" s="41">
        <v>50</v>
      </c>
      <c r="J15547" s="42" t="s">
        <v>1035</v>
      </c>
    </row>
    <row r="15548" spans="1:9" x14ac:dyDescent="0.25">
      <c r="A15548">
        <v>4141</v>
      </c>
      <c r="B15548">
        <v>60</v>
      </c>
      <c r="C15548" t="s">
        <v>946</v>
      </c>
      <c r="D15548" t="s">
        <v>89</v>
      </c>
      <c r="E15548" t="s">
        <v>117</v>
      </c>
      <c r="F15548" t="s">
        <v>948</v>
      </c>
      <c r="G15548">
        <v>6077777</v>
      </c>
      <c r="H15548">
        <v>500220</v>
      </c>
      <c r="I15548">
        <v>50</v>
      </c>
    </row>
    <row r="15549" ht="22" customHeight="1" spans="1:10" x14ac:dyDescent="0.25">
      <c r="A15549" s="41">
        <v>4220</v>
      </c>
      <c r="B15549" s="41">
        <v>60</v>
      </c>
      <c r="C15549" s="41" t="s">
        <v>946</v>
      </c>
      <c r="D15549" s="41" t="s">
        <v>89</v>
      </c>
      <c r="E15549" s="41" t="s">
        <v>117</v>
      </c>
      <c r="F15549" s="41" t="s">
        <v>948</v>
      </c>
      <c r="G15549" s="41">
        <v>6077777</v>
      </c>
      <c r="H15549" s="41">
        <v>500220</v>
      </c>
      <c r="I15549" s="41">
        <v>50</v>
      </c>
      <c r="J15549" s="42" t="s">
        <v>1035</v>
      </c>
    </row>
    <row r="15550" spans="1:9" x14ac:dyDescent="0.25">
      <c r="A15550">
        <v>4141</v>
      </c>
      <c r="B15550">
        <v>60</v>
      </c>
      <c r="C15550" t="s">
        <v>946</v>
      </c>
      <c r="D15550" t="s">
        <v>89</v>
      </c>
      <c r="E15550" t="s">
        <v>121</v>
      </c>
      <c r="F15550" t="s">
        <v>948</v>
      </c>
      <c r="G15550">
        <v>6077777</v>
      </c>
      <c r="H15550">
        <v>500220</v>
      </c>
      <c r="I15550">
        <v>50</v>
      </c>
    </row>
    <row r="15551" ht="22" customHeight="1" spans="1:10" x14ac:dyDescent="0.25">
      <c r="A15551" s="41">
        <v>4220</v>
      </c>
      <c r="B15551" s="41">
        <v>60</v>
      </c>
      <c r="C15551" s="41" t="s">
        <v>946</v>
      </c>
      <c r="D15551" s="41" t="s">
        <v>89</v>
      </c>
      <c r="E15551" s="41" t="s">
        <v>121</v>
      </c>
      <c r="F15551" s="41" t="s">
        <v>948</v>
      </c>
      <c r="G15551" s="41">
        <v>6077777</v>
      </c>
      <c r="H15551" s="41">
        <v>500220</v>
      </c>
      <c r="I15551" s="41">
        <v>50</v>
      </c>
      <c r="J15551" s="42" t="s">
        <v>1035</v>
      </c>
    </row>
    <row r="15552" spans="1:9" x14ac:dyDescent="0.25">
      <c r="A15552">
        <v>4141</v>
      </c>
      <c r="B15552">
        <v>60</v>
      </c>
      <c r="C15552" t="s">
        <v>946</v>
      </c>
      <c r="D15552" t="s">
        <v>1036</v>
      </c>
      <c r="E15552" t="s">
        <v>49</v>
      </c>
      <c r="F15552" t="s">
        <v>948</v>
      </c>
      <c r="G15552">
        <v>6001515</v>
      </c>
      <c r="H15552">
        <v>700255</v>
      </c>
      <c r="I15552" t="s">
        <v>949</v>
      </c>
    </row>
    <row r="15553" spans="1:9" x14ac:dyDescent="0.25">
      <c r="A15553">
        <v>4220</v>
      </c>
      <c r="B15553">
        <v>60</v>
      </c>
      <c r="C15553" t="s">
        <v>946</v>
      </c>
      <c r="D15553" t="s">
        <v>1036</v>
      </c>
      <c r="E15553" t="s">
        <v>49</v>
      </c>
      <c r="F15553" t="s">
        <v>948</v>
      </c>
      <c r="G15553">
        <v>6001515</v>
      </c>
      <c r="H15553">
        <v>700255</v>
      </c>
      <c r="I15553" t="s">
        <v>949</v>
      </c>
    </row>
    <row r="15554" spans="1:9" x14ac:dyDescent="0.25">
      <c r="A15554">
        <v>4230</v>
      </c>
      <c r="B15554">
        <v>60</v>
      </c>
      <c r="C15554" t="s">
        <v>946</v>
      </c>
      <c r="D15554" t="s">
        <v>1036</v>
      </c>
      <c r="E15554" t="s">
        <v>49</v>
      </c>
      <c r="F15554" t="s">
        <v>948</v>
      </c>
      <c r="G15554">
        <v>6001515</v>
      </c>
      <c r="H15554">
        <v>700255</v>
      </c>
      <c r="I15554" t="s">
        <v>949</v>
      </c>
    </row>
    <row r="15555" spans="1:9" x14ac:dyDescent="0.25">
      <c r="A15555">
        <v>4240</v>
      </c>
      <c r="B15555">
        <v>60</v>
      </c>
      <c r="C15555" t="s">
        <v>946</v>
      </c>
      <c r="D15555" t="s">
        <v>1036</v>
      </c>
      <c r="E15555" t="s">
        <v>243</v>
      </c>
      <c r="F15555" t="s">
        <v>948</v>
      </c>
      <c r="G15555">
        <v>6000000</v>
      </c>
      <c r="H15555">
        <v>145000</v>
      </c>
      <c r="I15555" t="s">
        <v>949</v>
      </c>
    </row>
    <row r="15556" spans="1:9" x14ac:dyDescent="0.25">
      <c r="A15556">
        <v>4240</v>
      </c>
      <c r="B15556">
        <v>60</v>
      </c>
      <c r="C15556" t="s">
        <v>946</v>
      </c>
      <c r="D15556" t="s">
        <v>1036</v>
      </c>
      <c r="E15556" t="s">
        <v>247</v>
      </c>
      <c r="F15556" t="s">
        <v>948</v>
      </c>
      <c r="G15556">
        <v>6000000</v>
      </c>
      <c r="H15556">
        <v>145000</v>
      </c>
      <c r="I15556" t="s">
        <v>949</v>
      </c>
    </row>
    <row r="15557" spans="1:9" x14ac:dyDescent="0.25">
      <c r="A15557">
        <v>4141</v>
      </c>
      <c r="B15557">
        <v>60</v>
      </c>
      <c r="C15557" t="s">
        <v>946</v>
      </c>
      <c r="D15557" t="s">
        <v>1036</v>
      </c>
      <c r="E15557" t="s">
        <v>251</v>
      </c>
      <c r="F15557" t="s">
        <v>948</v>
      </c>
      <c r="G15557">
        <v>6077777</v>
      </c>
      <c r="H15557">
        <v>501010</v>
      </c>
      <c r="I15557" t="s">
        <v>949</v>
      </c>
    </row>
    <row r="15558" spans="1:9" x14ac:dyDescent="0.25">
      <c r="A15558">
        <v>4220</v>
      </c>
      <c r="B15558">
        <v>60</v>
      </c>
      <c r="C15558" t="s">
        <v>946</v>
      </c>
      <c r="D15558" t="s">
        <v>1036</v>
      </c>
      <c r="E15558" t="s">
        <v>251</v>
      </c>
      <c r="F15558" t="s">
        <v>948</v>
      </c>
      <c r="G15558">
        <v>6077777</v>
      </c>
      <c r="H15558">
        <v>501010</v>
      </c>
      <c r="I15558" t="s">
        <v>949</v>
      </c>
    </row>
    <row r="15559" spans="1:9" x14ac:dyDescent="0.25">
      <c r="A15559">
        <v>4240</v>
      </c>
      <c r="B15559">
        <v>60</v>
      </c>
      <c r="C15559" t="s">
        <v>946</v>
      </c>
      <c r="D15559" t="s">
        <v>1036</v>
      </c>
      <c r="E15559" t="s">
        <v>251</v>
      </c>
      <c r="F15559" t="s">
        <v>948</v>
      </c>
      <c r="G15559">
        <v>6000000</v>
      </c>
      <c r="H15559">
        <v>142000</v>
      </c>
      <c r="I15559" t="s">
        <v>949</v>
      </c>
    </row>
    <row r="15560" spans="1:9" x14ac:dyDescent="0.25">
      <c r="A15560">
        <v>4240</v>
      </c>
      <c r="B15560">
        <v>60</v>
      </c>
      <c r="C15560" t="s">
        <v>946</v>
      </c>
      <c r="D15560" t="s">
        <v>1036</v>
      </c>
      <c r="E15560" t="s">
        <v>969</v>
      </c>
      <c r="F15560" t="s">
        <v>948</v>
      </c>
      <c r="G15560">
        <v>6000000</v>
      </c>
      <c r="H15560">
        <v>141000</v>
      </c>
      <c r="I15560" t="s">
        <v>970</v>
      </c>
    </row>
    <row r="15561" spans="1:9" x14ac:dyDescent="0.25">
      <c r="A15561">
        <v>4240</v>
      </c>
      <c r="B15561">
        <v>60</v>
      </c>
      <c r="C15561" t="s">
        <v>946</v>
      </c>
      <c r="D15561" t="s">
        <v>1036</v>
      </c>
      <c r="E15561" t="s">
        <v>255</v>
      </c>
      <c r="F15561" t="s">
        <v>948</v>
      </c>
      <c r="G15561">
        <v>6000000</v>
      </c>
      <c r="H15561">
        <v>145000</v>
      </c>
      <c r="I15561" t="s">
        <v>949</v>
      </c>
    </row>
    <row r="15562" spans="1:9" x14ac:dyDescent="0.25">
      <c r="A15562">
        <v>4240</v>
      </c>
      <c r="B15562">
        <v>60</v>
      </c>
      <c r="C15562" t="s">
        <v>946</v>
      </c>
      <c r="D15562" t="s">
        <v>1036</v>
      </c>
      <c r="E15562" t="s">
        <v>971</v>
      </c>
      <c r="F15562" t="s">
        <v>948</v>
      </c>
      <c r="G15562">
        <v>6000000</v>
      </c>
      <c r="H15562">
        <v>141000</v>
      </c>
      <c r="I15562" t="s">
        <v>972</v>
      </c>
    </row>
    <row r="15563" spans="1:9" x14ac:dyDescent="0.25">
      <c r="A15563">
        <v>4240</v>
      </c>
      <c r="B15563">
        <v>60</v>
      </c>
      <c r="C15563" t="s">
        <v>946</v>
      </c>
      <c r="D15563" t="s">
        <v>1036</v>
      </c>
      <c r="E15563" t="s">
        <v>263</v>
      </c>
      <c r="F15563" t="s">
        <v>948</v>
      </c>
      <c r="G15563">
        <v>6000000</v>
      </c>
      <c r="H15563">
        <v>145000</v>
      </c>
      <c r="I15563" t="s">
        <v>949</v>
      </c>
    </row>
    <row r="15564" spans="1:9" x14ac:dyDescent="0.25">
      <c r="A15564">
        <v>4141</v>
      </c>
      <c r="B15564">
        <v>60</v>
      </c>
      <c r="C15564" t="s">
        <v>946</v>
      </c>
      <c r="D15564" t="s">
        <v>1036</v>
      </c>
      <c r="E15564" t="s">
        <v>100</v>
      </c>
      <c r="F15564" t="s">
        <v>948</v>
      </c>
      <c r="G15564">
        <v>6077777</v>
      </c>
      <c r="H15564">
        <v>500220</v>
      </c>
      <c r="I15564" t="s">
        <v>949</v>
      </c>
    </row>
    <row r="15565" spans="1:9" x14ac:dyDescent="0.25">
      <c r="A15565">
        <v>4220</v>
      </c>
      <c r="B15565">
        <v>60</v>
      </c>
      <c r="C15565" t="s">
        <v>946</v>
      </c>
      <c r="D15565" t="s">
        <v>1036</v>
      </c>
      <c r="E15565" t="s">
        <v>100</v>
      </c>
      <c r="F15565" t="s">
        <v>948</v>
      </c>
      <c r="G15565">
        <v>6077777</v>
      </c>
      <c r="H15565">
        <v>500220</v>
      </c>
      <c r="I15565" t="s">
        <v>949</v>
      </c>
    </row>
    <row r="15566" spans="1:9" x14ac:dyDescent="0.25">
      <c r="A15566">
        <v>4240</v>
      </c>
      <c r="B15566">
        <v>60</v>
      </c>
      <c r="C15566" t="s">
        <v>946</v>
      </c>
      <c r="D15566" t="s">
        <v>1036</v>
      </c>
      <c r="E15566" t="s">
        <v>100</v>
      </c>
      <c r="F15566" t="s">
        <v>948</v>
      </c>
      <c r="G15566">
        <v>6077777</v>
      </c>
      <c r="H15566">
        <v>500221</v>
      </c>
      <c r="I15566" t="s">
        <v>949</v>
      </c>
    </row>
    <row r="15567" spans="1:9" x14ac:dyDescent="0.25">
      <c r="A15567">
        <v>4240</v>
      </c>
      <c r="B15567">
        <v>60</v>
      </c>
      <c r="C15567" t="s">
        <v>946</v>
      </c>
      <c r="D15567" t="s">
        <v>1036</v>
      </c>
      <c r="E15567" t="s">
        <v>270</v>
      </c>
      <c r="F15567" t="s">
        <v>948</v>
      </c>
      <c r="G15567">
        <v>6000000</v>
      </c>
      <c r="H15567">
        <v>145000</v>
      </c>
      <c r="I15567" t="s">
        <v>949</v>
      </c>
    </row>
    <row r="15568" spans="1:9" x14ac:dyDescent="0.25">
      <c r="A15568">
        <v>4240</v>
      </c>
      <c r="B15568">
        <v>60</v>
      </c>
      <c r="C15568" t="s">
        <v>946</v>
      </c>
      <c r="D15568" t="s">
        <v>1036</v>
      </c>
      <c r="E15568" t="s">
        <v>274</v>
      </c>
      <c r="F15568" t="s">
        <v>948</v>
      </c>
      <c r="G15568">
        <v>6000000</v>
      </c>
      <c r="H15568">
        <v>143000</v>
      </c>
      <c r="I15568" t="s">
        <v>973</v>
      </c>
    </row>
    <row r="15569" spans="1:9" x14ac:dyDescent="0.25">
      <c r="A15569">
        <v>4240</v>
      </c>
      <c r="B15569">
        <v>60</v>
      </c>
      <c r="C15569" t="s">
        <v>946</v>
      </c>
      <c r="D15569" t="s">
        <v>1036</v>
      </c>
      <c r="E15569" t="s">
        <v>974</v>
      </c>
      <c r="F15569" t="s">
        <v>948</v>
      </c>
      <c r="G15569">
        <v>6000000</v>
      </c>
      <c r="H15569">
        <v>141000</v>
      </c>
      <c r="I15569" t="s">
        <v>975</v>
      </c>
    </row>
    <row r="15570" spans="1:9" x14ac:dyDescent="0.25">
      <c r="A15570">
        <v>4141</v>
      </c>
      <c r="B15570">
        <v>60</v>
      </c>
      <c r="C15570" t="s">
        <v>946</v>
      </c>
      <c r="D15570" t="s">
        <v>1036</v>
      </c>
      <c r="E15570" t="s">
        <v>104</v>
      </c>
      <c r="F15570" t="s">
        <v>948</v>
      </c>
      <c r="G15570">
        <v>6077777</v>
      </c>
      <c r="H15570">
        <v>500220</v>
      </c>
      <c r="I15570" t="s">
        <v>949</v>
      </c>
    </row>
    <row r="15571" spans="1:9" x14ac:dyDescent="0.25">
      <c r="A15571">
        <v>4220</v>
      </c>
      <c r="B15571">
        <v>60</v>
      </c>
      <c r="C15571" t="s">
        <v>946</v>
      </c>
      <c r="D15571" t="s">
        <v>1036</v>
      </c>
      <c r="E15571" t="s">
        <v>104</v>
      </c>
      <c r="F15571" t="s">
        <v>948</v>
      </c>
      <c r="G15571">
        <v>6077777</v>
      </c>
      <c r="H15571">
        <v>500220</v>
      </c>
      <c r="I15571" t="s">
        <v>949</v>
      </c>
    </row>
    <row r="15572" spans="1:9" x14ac:dyDescent="0.25">
      <c r="A15572">
        <v>4240</v>
      </c>
      <c r="B15572">
        <v>60</v>
      </c>
      <c r="C15572" t="s">
        <v>946</v>
      </c>
      <c r="D15572" t="s">
        <v>1036</v>
      </c>
      <c r="E15572" t="s">
        <v>104</v>
      </c>
      <c r="F15572" t="s">
        <v>948</v>
      </c>
      <c r="G15572">
        <v>6077777</v>
      </c>
      <c r="H15572">
        <v>500221</v>
      </c>
      <c r="I15572" t="s">
        <v>949</v>
      </c>
    </row>
    <row r="15573" spans="1:9" x14ac:dyDescent="0.25">
      <c r="A15573">
        <v>4240</v>
      </c>
      <c r="B15573">
        <v>60</v>
      </c>
      <c r="C15573" t="s">
        <v>946</v>
      </c>
      <c r="D15573" t="s">
        <v>1036</v>
      </c>
      <c r="E15573" t="s">
        <v>278</v>
      </c>
      <c r="F15573" t="s">
        <v>948</v>
      </c>
      <c r="G15573">
        <v>6000000</v>
      </c>
      <c r="H15573">
        <v>145000</v>
      </c>
      <c r="I15573" t="s">
        <v>949</v>
      </c>
    </row>
    <row r="15574" spans="1:9" x14ac:dyDescent="0.25">
      <c r="A15574">
        <v>4240</v>
      </c>
      <c r="B15574">
        <v>60</v>
      </c>
      <c r="C15574" t="s">
        <v>946</v>
      </c>
      <c r="D15574" t="s">
        <v>1036</v>
      </c>
      <c r="E15574" t="s">
        <v>282</v>
      </c>
      <c r="F15574" t="s">
        <v>948</v>
      </c>
      <c r="G15574">
        <v>6000000</v>
      </c>
      <c r="H15574">
        <v>143100</v>
      </c>
      <c r="I15574" t="s">
        <v>949</v>
      </c>
    </row>
    <row r="15575" spans="1:9" x14ac:dyDescent="0.25">
      <c r="A15575">
        <v>4240</v>
      </c>
      <c r="B15575">
        <v>60</v>
      </c>
      <c r="C15575" t="s">
        <v>946</v>
      </c>
      <c r="D15575" t="s">
        <v>1036</v>
      </c>
      <c r="E15575" t="s">
        <v>286</v>
      </c>
      <c r="F15575" t="s">
        <v>948</v>
      </c>
      <c r="G15575">
        <v>6000000</v>
      </c>
      <c r="H15575">
        <v>145000</v>
      </c>
      <c r="I15575" t="s">
        <v>949</v>
      </c>
    </row>
    <row r="15576" spans="1:9" x14ac:dyDescent="0.25">
      <c r="A15576">
        <v>4240</v>
      </c>
      <c r="B15576">
        <v>60</v>
      </c>
      <c r="C15576" t="s">
        <v>946</v>
      </c>
      <c r="D15576" t="s">
        <v>1036</v>
      </c>
      <c r="E15576" t="s">
        <v>976</v>
      </c>
      <c r="F15576" t="s">
        <v>948</v>
      </c>
      <c r="G15576">
        <v>6000000</v>
      </c>
      <c r="H15576">
        <v>141000</v>
      </c>
      <c r="I15576" t="s">
        <v>977</v>
      </c>
    </row>
    <row r="15577" spans="1:9" x14ac:dyDescent="0.25">
      <c r="A15577">
        <v>4240</v>
      </c>
      <c r="B15577">
        <v>60</v>
      </c>
      <c r="C15577" t="s">
        <v>946</v>
      </c>
      <c r="D15577" t="s">
        <v>1036</v>
      </c>
      <c r="E15577" t="s">
        <v>290</v>
      </c>
      <c r="F15577" t="s">
        <v>948</v>
      </c>
      <c r="G15577">
        <v>6000000</v>
      </c>
      <c r="H15577">
        <v>143000</v>
      </c>
      <c r="I15577" t="s">
        <v>978</v>
      </c>
    </row>
    <row r="15578" spans="1:9" x14ac:dyDescent="0.25">
      <c r="A15578">
        <v>4240</v>
      </c>
      <c r="B15578">
        <v>60</v>
      </c>
      <c r="C15578" t="s">
        <v>946</v>
      </c>
      <c r="D15578" t="s">
        <v>1036</v>
      </c>
      <c r="E15578" t="s">
        <v>294</v>
      </c>
      <c r="F15578" t="s">
        <v>948</v>
      </c>
      <c r="G15578">
        <v>6000000</v>
      </c>
      <c r="H15578">
        <v>143000</v>
      </c>
      <c r="I15578" t="s">
        <v>979</v>
      </c>
    </row>
    <row r="15579" spans="1:9" x14ac:dyDescent="0.25">
      <c r="A15579">
        <v>4240</v>
      </c>
      <c r="B15579">
        <v>60</v>
      </c>
      <c r="C15579" t="s">
        <v>946</v>
      </c>
      <c r="D15579" t="s">
        <v>1036</v>
      </c>
      <c r="E15579" t="s">
        <v>980</v>
      </c>
      <c r="F15579" t="s">
        <v>948</v>
      </c>
      <c r="G15579">
        <v>6000000</v>
      </c>
      <c r="H15579">
        <v>141000</v>
      </c>
      <c r="I15579" t="s">
        <v>981</v>
      </c>
    </row>
    <row r="15580" spans="1:9" x14ac:dyDescent="0.25">
      <c r="A15580">
        <v>4141</v>
      </c>
      <c r="B15580">
        <v>60</v>
      </c>
      <c r="C15580" t="s">
        <v>946</v>
      </c>
      <c r="D15580" t="s">
        <v>1036</v>
      </c>
      <c r="E15580" t="s">
        <v>302</v>
      </c>
      <c r="F15580" t="s">
        <v>948</v>
      </c>
      <c r="G15580">
        <v>6077777</v>
      </c>
      <c r="H15580">
        <v>501010</v>
      </c>
      <c r="I15580" t="s">
        <v>949</v>
      </c>
    </row>
    <row r="15581" spans="1:9" x14ac:dyDescent="0.25">
      <c r="A15581">
        <v>4220</v>
      </c>
      <c r="B15581">
        <v>60</v>
      </c>
      <c r="C15581" t="s">
        <v>946</v>
      </c>
      <c r="D15581" t="s">
        <v>1036</v>
      </c>
      <c r="E15581" t="s">
        <v>302</v>
      </c>
      <c r="F15581" t="s">
        <v>948</v>
      </c>
      <c r="G15581">
        <v>6077777</v>
      </c>
      <c r="H15581">
        <v>501010</v>
      </c>
      <c r="I15581" t="s">
        <v>949</v>
      </c>
    </row>
    <row r="15582" spans="1:9" x14ac:dyDescent="0.25">
      <c r="A15582">
        <v>4240</v>
      </c>
      <c r="B15582">
        <v>60</v>
      </c>
      <c r="C15582" t="s">
        <v>946</v>
      </c>
      <c r="D15582" t="s">
        <v>1036</v>
      </c>
      <c r="E15582" t="s">
        <v>302</v>
      </c>
      <c r="F15582" t="s">
        <v>948</v>
      </c>
      <c r="G15582">
        <v>6000000</v>
      </c>
      <c r="H15582">
        <v>143000</v>
      </c>
      <c r="I15582" t="s">
        <v>982</v>
      </c>
    </row>
    <row r="15583" spans="1:9" x14ac:dyDescent="0.25">
      <c r="A15583">
        <v>4240</v>
      </c>
      <c r="B15583">
        <v>60</v>
      </c>
      <c r="C15583" t="s">
        <v>946</v>
      </c>
      <c r="D15583" t="s">
        <v>1036</v>
      </c>
      <c r="E15583" t="s">
        <v>306</v>
      </c>
      <c r="F15583" t="s">
        <v>948</v>
      </c>
      <c r="G15583">
        <v>6000000</v>
      </c>
      <c r="H15583">
        <v>143000</v>
      </c>
      <c r="I15583" t="s">
        <v>983</v>
      </c>
    </row>
    <row r="15584" spans="1:9" x14ac:dyDescent="0.25">
      <c r="A15584">
        <v>4141</v>
      </c>
      <c r="B15584">
        <v>60</v>
      </c>
      <c r="C15584" t="s">
        <v>946</v>
      </c>
      <c r="D15584" t="s">
        <v>1036</v>
      </c>
      <c r="E15584" t="s">
        <v>108</v>
      </c>
      <c r="F15584" t="s">
        <v>948</v>
      </c>
      <c r="G15584">
        <v>6077777</v>
      </c>
      <c r="H15584">
        <v>500220</v>
      </c>
      <c r="I15584" t="s">
        <v>949</v>
      </c>
    </row>
    <row r="15585" spans="1:9" x14ac:dyDescent="0.25">
      <c r="A15585">
        <v>4220</v>
      </c>
      <c r="B15585">
        <v>60</v>
      </c>
      <c r="C15585" t="s">
        <v>946</v>
      </c>
      <c r="D15585" t="s">
        <v>1036</v>
      </c>
      <c r="E15585" t="s">
        <v>108</v>
      </c>
      <c r="F15585" t="s">
        <v>948</v>
      </c>
      <c r="G15585">
        <v>6077777</v>
      </c>
      <c r="H15585">
        <v>500220</v>
      </c>
      <c r="I15585" t="s">
        <v>949</v>
      </c>
    </row>
    <row r="15586" spans="1:9" x14ac:dyDescent="0.25">
      <c r="A15586">
        <v>4240</v>
      </c>
      <c r="B15586">
        <v>60</v>
      </c>
      <c r="C15586" t="s">
        <v>946</v>
      </c>
      <c r="D15586" t="s">
        <v>1036</v>
      </c>
      <c r="E15586" t="s">
        <v>108</v>
      </c>
      <c r="F15586" t="s">
        <v>948</v>
      </c>
      <c r="G15586">
        <v>6077777</v>
      </c>
      <c r="H15586">
        <v>500221</v>
      </c>
      <c r="I15586" t="s">
        <v>949</v>
      </c>
    </row>
    <row r="15587" spans="1:9" x14ac:dyDescent="0.25">
      <c r="A15587">
        <v>4240</v>
      </c>
      <c r="B15587">
        <v>60</v>
      </c>
      <c r="C15587" t="s">
        <v>946</v>
      </c>
      <c r="D15587" t="s">
        <v>1036</v>
      </c>
      <c r="E15587" t="s">
        <v>310</v>
      </c>
      <c r="F15587" t="s">
        <v>948</v>
      </c>
      <c r="G15587">
        <v>6000000</v>
      </c>
      <c r="H15587">
        <v>145000</v>
      </c>
      <c r="I15587" t="s">
        <v>949</v>
      </c>
    </row>
    <row r="15588" spans="1:9" x14ac:dyDescent="0.25">
      <c r="A15588">
        <v>4240</v>
      </c>
      <c r="B15588">
        <v>60</v>
      </c>
      <c r="C15588" t="s">
        <v>946</v>
      </c>
      <c r="D15588" t="s">
        <v>1036</v>
      </c>
      <c r="E15588" t="s">
        <v>314</v>
      </c>
      <c r="F15588" t="s">
        <v>948</v>
      </c>
      <c r="G15588">
        <v>6000000</v>
      </c>
      <c r="H15588">
        <v>145000</v>
      </c>
      <c r="I15588" t="s">
        <v>949</v>
      </c>
    </row>
    <row r="15589" spans="1:9" x14ac:dyDescent="0.25">
      <c r="A15589">
        <v>4240</v>
      </c>
      <c r="B15589">
        <v>60</v>
      </c>
      <c r="C15589" t="s">
        <v>946</v>
      </c>
      <c r="D15589" t="s">
        <v>1036</v>
      </c>
      <c r="E15589" t="s">
        <v>121</v>
      </c>
      <c r="F15589" t="s">
        <v>948</v>
      </c>
      <c r="G15589">
        <v>6077777</v>
      </c>
      <c r="H15589">
        <v>500221</v>
      </c>
      <c r="I15589" t="s">
        <v>949</v>
      </c>
    </row>
    <row r="15590" spans="1:9" x14ac:dyDescent="0.25">
      <c r="A15590">
        <v>4240</v>
      </c>
      <c r="B15590">
        <v>60</v>
      </c>
      <c r="C15590" t="s">
        <v>946</v>
      </c>
      <c r="D15590" t="s">
        <v>1036</v>
      </c>
      <c r="E15590" t="s">
        <v>984</v>
      </c>
      <c r="F15590" t="s">
        <v>948</v>
      </c>
      <c r="G15590">
        <v>6000000</v>
      </c>
      <c r="H15590">
        <v>141000</v>
      </c>
      <c r="I15590" t="s">
        <v>985</v>
      </c>
    </row>
    <row r="15591" spans="1:9" x14ac:dyDescent="0.25">
      <c r="A15591">
        <v>4141</v>
      </c>
      <c r="B15591">
        <v>60</v>
      </c>
      <c r="C15591" t="s">
        <v>946</v>
      </c>
      <c r="D15591" t="s">
        <v>1037</v>
      </c>
      <c r="E15591" t="s">
        <v>49</v>
      </c>
      <c r="F15591" t="s">
        <v>948</v>
      </c>
      <c r="G15591">
        <v>6077777</v>
      </c>
      <c r="H15591">
        <v>500220</v>
      </c>
      <c r="I15591" t="s">
        <v>949</v>
      </c>
    </row>
    <row r="15592" spans="1:9" x14ac:dyDescent="0.25">
      <c r="A15592">
        <v>4220</v>
      </c>
      <c r="B15592">
        <v>60</v>
      </c>
      <c r="C15592" t="s">
        <v>946</v>
      </c>
      <c r="D15592" t="s">
        <v>1037</v>
      </c>
      <c r="E15592" t="s">
        <v>49</v>
      </c>
      <c r="F15592" t="s">
        <v>948</v>
      </c>
      <c r="G15592">
        <v>6077777</v>
      </c>
      <c r="H15592">
        <v>500220</v>
      </c>
      <c r="I15592" t="s">
        <v>949</v>
      </c>
    </row>
    <row r="15593" spans="1:9" x14ac:dyDescent="0.25">
      <c r="A15593">
        <v>4230</v>
      </c>
      <c r="B15593">
        <v>60</v>
      </c>
      <c r="C15593" t="s">
        <v>946</v>
      </c>
      <c r="D15593" t="s">
        <v>1037</v>
      </c>
      <c r="E15593" t="s">
        <v>49</v>
      </c>
      <c r="F15593" t="s">
        <v>948</v>
      </c>
      <c r="G15593">
        <v>6077777</v>
      </c>
      <c r="H15593">
        <v>500220</v>
      </c>
      <c r="I15593" t="s">
        <v>949</v>
      </c>
    </row>
    <row r="15594" spans="1:9" x14ac:dyDescent="0.25">
      <c r="A15594">
        <v>4240</v>
      </c>
      <c r="B15594">
        <v>60</v>
      </c>
      <c r="C15594" t="s">
        <v>946</v>
      </c>
      <c r="D15594" t="s">
        <v>1037</v>
      </c>
      <c r="E15594" t="s">
        <v>49</v>
      </c>
      <c r="F15594" t="s">
        <v>948</v>
      </c>
      <c r="G15594">
        <v>6077777</v>
      </c>
      <c r="H15594">
        <v>500221</v>
      </c>
      <c r="I15594" t="s">
        <v>949</v>
      </c>
    </row>
    <row r="15595" spans="1:9" x14ac:dyDescent="0.25">
      <c r="A15595">
        <v>4245</v>
      </c>
      <c r="B15595">
        <v>60</v>
      </c>
      <c r="C15595" t="s">
        <v>946</v>
      </c>
      <c r="D15595" t="s">
        <v>1037</v>
      </c>
      <c r="E15595" t="s">
        <v>49</v>
      </c>
      <c r="F15595" t="s">
        <v>948</v>
      </c>
      <c r="G15595">
        <v>6077777</v>
      </c>
      <c r="H15595">
        <v>500221</v>
      </c>
      <c r="I15595" t="s">
        <v>949</v>
      </c>
    </row>
    <row r="15596" spans="1:9" x14ac:dyDescent="0.25">
      <c r="A15596">
        <v>4141</v>
      </c>
      <c r="B15596">
        <v>60</v>
      </c>
      <c r="C15596" t="s">
        <v>946</v>
      </c>
      <c r="D15596" t="s">
        <v>1038</v>
      </c>
      <c r="E15596" t="s">
        <v>243</v>
      </c>
      <c r="F15596" t="s">
        <v>948</v>
      </c>
      <c r="G15596">
        <v>6077777</v>
      </c>
      <c r="H15596">
        <v>501010</v>
      </c>
      <c r="I15596" t="s">
        <v>949</v>
      </c>
    </row>
    <row r="15597" spans="1:9" x14ac:dyDescent="0.25">
      <c r="A15597">
        <v>4220</v>
      </c>
      <c r="B15597">
        <v>60</v>
      </c>
      <c r="C15597" t="s">
        <v>946</v>
      </c>
      <c r="D15597" t="s">
        <v>1038</v>
      </c>
      <c r="E15597" t="s">
        <v>243</v>
      </c>
      <c r="F15597" t="s">
        <v>948</v>
      </c>
      <c r="G15597">
        <v>6077777</v>
      </c>
      <c r="H15597">
        <v>501010</v>
      </c>
      <c r="I15597" t="s">
        <v>949</v>
      </c>
    </row>
    <row r="15598" spans="1:9" x14ac:dyDescent="0.25">
      <c r="A15598">
        <v>4230</v>
      </c>
      <c r="B15598">
        <v>60</v>
      </c>
      <c r="C15598" t="s">
        <v>946</v>
      </c>
      <c r="D15598" t="s">
        <v>1038</v>
      </c>
      <c r="E15598" t="s">
        <v>243</v>
      </c>
      <c r="F15598" t="s">
        <v>948</v>
      </c>
      <c r="G15598">
        <v>6099999</v>
      </c>
      <c r="H15598">
        <v>401052</v>
      </c>
      <c r="I15598" t="s">
        <v>949</v>
      </c>
    </row>
    <row r="15599" spans="1:9" x14ac:dyDescent="0.25">
      <c r="A15599">
        <v>4240</v>
      </c>
      <c r="B15599">
        <v>60</v>
      </c>
      <c r="C15599" t="s">
        <v>946</v>
      </c>
      <c r="D15599" t="s">
        <v>1038</v>
      </c>
      <c r="E15599" t="s">
        <v>243</v>
      </c>
      <c r="F15599" t="s">
        <v>948</v>
      </c>
      <c r="G15599">
        <v>6000000</v>
      </c>
      <c r="H15599">
        <v>145000</v>
      </c>
      <c r="I15599" t="s">
        <v>949</v>
      </c>
    </row>
    <row r="15600" spans="1:9" x14ac:dyDescent="0.25">
      <c r="A15600">
        <v>4141</v>
      </c>
      <c r="B15600">
        <v>60</v>
      </c>
      <c r="C15600" t="s">
        <v>946</v>
      </c>
      <c r="D15600" t="s">
        <v>1038</v>
      </c>
      <c r="E15600" t="s">
        <v>247</v>
      </c>
      <c r="F15600" t="s">
        <v>948</v>
      </c>
      <c r="G15600">
        <v>6077777</v>
      </c>
      <c r="H15600">
        <v>501010</v>
      </c>
      <c r="I15600" t="s">
        <v>949</v>
      </c>
    </row>
    <row r="15601" spans="1:9" x14ac:dyDescent="0.25">
      <c r="A15601">
        <v>4220</v>
      </c>
      <c r="B15601">
        <v>60</v>
      </c>
      <c r="C15601" t="s">
        <v>946</v>
      </c>
      <c r="D15601" t="s">
        <v>1038</v>
      </c>
      <c r="E15601" t="s">
        <v>247</v>
      </c>
      <c r="F15601" t="s">
        <v>948</v>
      </c>
      <c r="G15601">
        <v>6077777</v>
      </c>
      <c r="H15601">
        <v>501010</v>
      </c>
      <c r="I15601" t="s">
        <v>949</v>
      </c>
    </row>
    <row r="15602" spans="1:9" x14ac:dyDescent="0.25">
      <c r="A15602">
        <v>4230</v>
      </c>
      <c r="B15602">
        <v>60</v>
      </c>
      <c r="C15602" t="s">
        <v>946</v>
      </c>
      <c r="D15602" t="s">
        <v>1038</v>
      </c>
      <c r="E15602" t="s">
        <v>247</v>
      </c>
      <c r="F15602" t="s">
        <v>948</v>
      </c>
      <c r="G15602">
        <v>6099999</v>
      </c>
      <c r="H15602">
        <v>401022</v>
      </c>
      <c r="I15602" t="s">
        <v>949</v>
      </c>
    </row>
    <row r="15603" spans="1:9" x14ac:dyDescent="0.25">
      <c r="A15603">
        <v>4240</v>
      </c>
      <c r="B15603">
        <v>60</v>
      </c>
      <c r="C15603" t="s">
        <v>946</v>
      </c>
      <c r="D15603" t="s">
        <v>1038</v>
      </c>
      <c r="E15603" t="s">
        <v>247</v>
      </c>
      <c r="F15603" t="s">
        <v>948</v>
      </c>
      <c r="G15603">
        <v>6000000</v>
      </c>
      <c r="H15603">
        <v>145000</v>
      </c>
      <c r="I15603" t="s">
        <v>949</v>
      </c>
    </row>
    <row r="15604" spans="1:9" x14ac:dyDescent="0.25">
      <c r="A15604">
        <v>4141</v>
      </c>
      <c r="B15604">
        <v>60</v>
      </c>
      <c r="C15604" t="s">
        <v>946</v>
      </c>
      <c r="D15604" t="s">
        <v>1038</v>
      </c>
      <c r="E15604" t="s">
        <v>251</v>
      </c>
      <c r="F15604" t="s">
        <v>948</v>
      </c>
      <c r="G15604">
        <v>6077777</v>
      </c>
      <c r="H15604">
        <v>501010</v>
      </c>
      <c r="I15604" t="s">
        <v>949</v>
      </c>
    </row>
    <row r="15605" spans="1:9" x14ac:dyDescent="0.25">
      <c r="A15605">
        <v>4220</v>
      </c>
      <c r="B15605">
        <v>60</v>
      </c>
      <c r="C15605" t="s">
        <v>946</v>
      </c>
      <c r="D15605" t="s">
        <v>1038</v>
      </c>
      <c r="E15605" t="s">
        <v>251</v>
      </c>
      <c r="F15605" t="s">
        <v>948</v>
      </c>
      <c r="G15605">
        <v>6077777</v>
      </c>
      <c r="H15605">
        <v>501010</v>
      </c>
      <c r="I15605" t="s">
        <v>949</v>
      </c>
    </row>
    <row r="15606" spans="1:9" x14ac:dyDescent="0.25">
      <c r="A15606">
        <v>4230</v>
      </c>
      <c r="B15606">
        <v>60</v>
      </c>
      <c r="C15606" t="s">
        <v>946</v>
      </c>
      <c r="D15606" t="s">
        <v>1038</v>
      </c>
      <c r="E15606" t="s">
        <v>251</v>
      </c>
      <c r="F15606" t="s">
        <v>948</v>
      </c>
      <c r="G15606">
        <v>6099999</v>
      </c>
      <c r="H15606">
        <v>401042</v>
      </c>
      <c r="I15606" t="s">
        <v>949</v>
      </c>
    </row>
    <row r="15607" spans="1:9" x14ac:dyDescent="0.25">
      <c r="A15607">
        <v>4240</v>
      </c>
      <c r="B15607">
        <v>60</v>
      </c>
      <c r="C15607" t="s">
        <v>946</v>
      </c>
      <c r="D15607" t="s">
        <v>1038</v>
      </c>
      <c r="E15607" t="s">
        <v>251</v>
      </c>
      <c r="F15607" t="s">
        <v>948</v>
      </c>
      <c r="G15607">
        <v>6000000</v>
      </c>
      <c r="H15607">
        <v>142000</v>
      </c>
      <c r="I15607" t="s">
        <v>949</v>
      </c>
    </row>
    <row r="15608" spans="1:9" x14ac:dyDescent="0.25">
      <c r="A15608">
        <v>4141</v>
      </c>
      <c r="B15608">
        <v>60</v>
      </c>
      <c r="C15608" t="s">
        <v>946</v>
      </c>
      <c r="D15608" t="s">
        <v>1038</v>
      </c>
      <c r="E15608" t="s">
        <v>969</v>
      </c>
      <c r="F15608" t="s">
        <v>948</v>
      </c>
      <c r="G15608">
        <v>6077777</v>
      </c>
      <c r="H15608">
        <v>501010</v>
      </c>
      <c r="I15608" t="s">
        <v>949</v>
      </c>
    </row>
    <row r="15609" spans="1:9" x14ac:dyDescent="0.25">
      <c r="A15609">
        <v>4220</v>
      </c>
      <c r="B15609">
        <v>60</v>
      </c>
      <c r="C15609" t="s">
        <v>946</v>
      </c>
      <c r="D15609" t="s">
        <v>1038</v>
      </c>
      <c r="E15609" t="s">
        <v>969</v>
      </c>
      <c r="F15609" t="s">
        <v>948</v>
      </c>
      <c r="G15609">
        <v>6077777</v>
      </c>
      <c r="H15609">
        <v>501010</v>
      </c>
      <c r="I15609" t="s">
        <v>949</v>
      </c>
    </row>
    <row r="15610" spans="1:9" x14ac:dyDescent="0.25">
      <c r="A15610">
        <v>4230</v>
      </c>
      <c r="B15610">
        <v>60</v>
      </c>
      <c r="C15610" t="s">
        <v>946</v>
      </c>
      <c r="D15610" t="s">
        <v>1038</v>
      </c>
      <c r="E15610" t="s">
        <v>969</v>
      </c>
      <c r="F15610" t="s">
        <v>948</v>
      </c>
      <c r="G15610">
        <v>6099999</v>
      </c>
      <c r="H15610">
        <v>401912</v>
      </c>
      <c r="I15610" t="s">
        <v>949</v>
      </c>
    </row>
    <row r="15611" spans="1:9" x14ac:dyDescent="0.25">
      <c r="A15611">
        <v>4240</v>
      </c>
      <c r="B15611">
        <v>60</v>
      </c>
      <c r="C15611" t="s">
        <v>946</v>
      </c>
      <c r="D15611" t="s">
        <v>1038</v>
      </c>
      <c r="E15611" t="s">
        <v>969</v>
      </c>
      <c r="F15611" t="s">
        <v>948</v>
      </c>
      <c r="G15611">
        <v>6000000</v>
      </c>
      <c r="H15611">
        <v>141000</v>
      </c>
      <c r="I15611" t="s">
        <v>970</v>
      </c>
    </row>
    <row r="15612" spans="1:9" x14ac:dyDescent="0.25">
      <c r="A15612">
        <v>4141</v>
      </c>
      <c r="B15612">
        <v>60</v>
      </c>
      <c r="C15612" t="s">
        <v>946</v>
      </c>
      <c r="D15612" t="s">
        <v>1038</v>
      </c>
      <c r="E15612" t="s">
        <v>255</v>
      </c>
      <c r="F15612" t="s">
        <v>948</v>
      </c>
      <c r="G15612">
        <v>6077777</v>
      </c>
      <c r="H15612">
        <v>501010</v>
      </c>
      <c r="I15612" t="s">
        <v>949</v>
      </c>
    </row>
    <row r="15613" spans="1:9" x14ac:dyDescent="0.25">
      <c r="A15613">
        <v>4220</v>
      </c>
      <c r="B15613">
        <v>60</v>
      </c>
      <c r="C15613" t="s">
        <v>946</v>
      </c>
      <c r="D15613" t="s">
        <v>1038</v>
      </c>
      <c r="E15613" t="s">
        <v>255</v>
      </c>
      <c r="F15613" t="s">
        <v>948</v>
      </c>
      <c r="G15613">
        <v>6077777</v>
      </c>
      <c r="H15613">
        <v>501010</v>
      </c>
      <c r="I15613" t="s">
        <v>949</v>
      </c>
    </row>
    <row r="15614" spans="1:9" x14ac:dyDescent="0.25">
      <c r="A15614">
        <v>4230</v>
      </c>
      <c r="B15614">
        <v>60</v>
      </c>
      <c r="C15614" t="s">
        <v>946</v>
      </c>
      <c r="D15614" t="s">
        <v>1038</v>
      </c>
      <c r="E15614" t="s">
        <v>255</v>
      </c>
      <c r="F15614" t="s">
        <v>948</v>
      </c>
      <c r="G15614">
        <v>6099999</v>
      </c>
      <c r="H15614">
        <v>401072</v>
      </c>
      <c r="I15614" t="s">
        <v>949</v>
      </c>
    </row>
    <row r="15615" spans="1:9" x14ac:dyDescent="0.25">
      <c r="A15615">
        <v>4240</v>
      </c>
      <c r="B15615">
        <v>60</v>
      </c>
      <c r="C15615" t="s">
        <v>946</v>
      </c>
      <c r="D15615" t="s">
        <v>1038</v>
      </c>
      <c r="E15615" t="s">
        <v>255</v>
      </c>
      <c r="F15615" t="s">
        <v>948</v>
      </c>
      <c r="G15615">
        <v>6000000</v>
      </c>
      <c r="H15615">
        <v>145000</v>
      </c>
      <c r="I15615" t="s">
        <v>949</v>
      </c>
    </row>
    <row r="15616" spans="1:9" x14ac:dyDescent="0.25">
      <c r="A15616">
        <v>4141</v>
      </c>
      <c r="B15616">
        <v>60</v>
      </c>
      <c r="C15616" t="s">
        <v>946</v>
      </c>
      <c r="D15616" t="s">
        <v>1038</v>
      </c>
      <c r="E15616" t="s">
        <v>971</v>
      </c>
      <c r="F15616" t="s">
        <v>948</v>
      </c>
      <c r="G15616">
        <v>6077777</v>
      </c>
      <c r="H15616">
        <v>501010</v>
      </c>
      <c r="I15616" t="s">
        <v>949</v>
      </c>
    </row>
    <row r="15617" spans="1:9" x14ac:dyDescent="0.25">
      <c r="A15617">
        <v>4220</v>
      </c>
      <c r="B15617">
        <v>60</v>
      </c>
      <c r="C15617" t="s">
        <v>946</v>
      </c>
      <c r="D15617" t="s">
        <v>1038</v>
      </c>
      <c r="E15617" t="s">
        <v>971</v>
      </c>
      <c r="F15617" t="s">
        <v>948</v>
      </c>
      <c r="G15617">
        <v>6077777</v>
      </c>
      <c r="H15617">
        <v>501010</v>
      </c>
      <c r="I15617" t="s">
        <v>949</v>
      </c>
    </row>
    <row r="15618" spans="1:9" x14ac:dyDescent="0.25">
      <c r="A15618">
        <v>4230</v>
      </c>
      <c r="B15618">
        <v>60</v>
      </c>
      <c r="C15618" t="s">
        <v>946</v>
      </c>
      <c r="D15618" t="s">
        <v>1038</v>
      </c>
      <c r="E15618" t="s">
        <v>971</v>
      </c>
      <c r="F15618" t="s">
        <v>948</v>
      </c>
      <c r="G15618">
        <v>6099999</v>
      </c>
      <c r="H15618">
        <v>401912</v>
      </c>
      <c r="I15618" t="s">
        <v>949</v>
      </c>
    </row>
    <row r="15619" spans="1:9" x14ac:dyDescent="0.25">
      <c r="A15619">
        <v>4240</v>
      </c>
      <c r="B15619">
        <v>60</v>
      </c>
      <c r="C15619" t="s">
        <v>946</v>
      </c>
      <c r="D15619" t="s">
        <v>1038</v>
      </c>
      <c r="E15619" t="s">
        <v>971</v>
      </c>
      <c r="F15619" t="s">
        <v>948</v>
      </c>
      <c r="G15619">
        <v>6000000</v>
      </c>
      <c r="H15619">
        <v>141000</v>
      </c>
      <c r="I15619" t="s">
        <v>972</v>
      </c>
    </row>
    <row r="15620" spans="1:9" x14ac:dyDescent="0.25">
      <c r="A15620">
        <v>4230</v>
      </c>
      <c r="B15620">
        <v>60</v>
      </c>
      <c r="C15620" t="s">
        <v>946</v>
      </c>
      <c r="D15620" t="s">
        <v>1038</v>
      </c>
      <c r="E15620" t="s">
        <v>259</v>
      </c>
      <c r="F15620" t="s">
        <v>948</v>
      </c>
      <c r="G15620">
        <v>6099999</v>
      </c>
      <c r="H15620">
        <v>409002</v>
      </c>
      <c r="I15620" t="s">
        <v>949</v>
      </c>
    </row>
    <row r="15621" spans="1:9" x14ac:dyDescent="0.25">
      <c r="A15621">
        <v>4141</v>
      </c>
      <c r="B15621">
        <v>60</v>
      </c>
      <c r="C15621" t="s">
        <v>946</v>
      </c>
      <c r="D15621" t="s">
        <v>1038</v>
      </c>
      <c r="E15621" t="s">
        <v>263</v>
      </c>
      <c r="F15621" t="s">
        <v>948</v>
      </c>
      <c r="G15621">
        <v>6077777</v>
      </c>
      <c r="H15621">
        <v>501010</v>
      </c>
      <c r="I15621" t="s">
        <v>949</v>
      </c>
    </row>
    <row r="15622" spans="1:9" x14ac:dyDescent="0.25">
      <c r="A15622">
        <v>4220</v>
      </c>
      <c r="B15622">
        <v>60</v>
      </c>
      <c r="C15622" t="s">
        <v>946</v>
      </c>
      <c r="D15622" t="s">
        <v>1038</v>
      </c>
      <c r="E15622" t="s">
        <v>263</v>
      </c>
      <c r="F15622" t="s">
        <v>948</v>
      </c>
      <c r="G15622">
        <v>6077777</v>
      </c>
      <c r="H15622">
        <v>501010</v>
      </c>
      <c r="I15622" t="s">
        <v>949</v>
      </c>
    </row>
    <row r="15623" spans="1:9" x14ac:dyDescent="0.25">
      <c r="A15623">
        <v>4230</v>
      </c>
      <c r="B15623">
        <v>60</v>
      </c>
      <c r="C15623" t="s">
        <v>946</v>
      </c>
      <c r="D15623" t="s">
        <v>1038</v>
      </c>
      <c r="E15623" t="s">
        <v>263</v>
      </c>
      <c r="F15623" t="s">
        <v>948</v>
      </c>
      <c r="G15623">
        <v>6099999</v>
      </c>
      <c r="H15623">
        <v>401042</v>
      </c>
      <c r="I15623" t="s">
        <v>949</v>
      </c>
    </row>
    <row r="15624" spans="1:9" x14ac:dyDescent="0.25">
      <c r="A15624">
        <v>4240</v>
      </c>
      <c r="B15624">
        <v>60</v>
      </c>
      <c r="C15624" t="s">
        <v>946</v>
      </c>
      <c r="D15624" t="s">
        <v>1038</v>
      </c>
      <c r="E15624" t="s">
        <v>263</v>
      </c>
      <c r="F15624" t="s">
        <v>948</v>
      </c>
      <c r="G15624">
        <v>6000000</v>
      </c>
      <c r="H15624">
        <v>145000</v>
      </c>
      <c r="I15624" t="s">
        <v>949</v>
      </c>
    </row>
    <row r="15625" spans="1:9" x14ac:dyDescent="0.25">
      <c r="A15625">
        <v>4141</v>
      </c>
      <c r="B15625">
        <v>60</v>
      </c>
      <c r="C15625" t="s">
        <v>946</v>
      </c>
      <c r="D15625" t="s">
        <v>1038</v>
      </c>
      <c r="E15625" t="s">
        <v>100</v>
      </c>
      <c r="F15625" t="s">
        <v>948</v>
      </c>
      <c r="G15625">
        <v>6077777</v>
      </c>
      <c r="H15625">
        <v>500220</v>
      </c>
      <c r="I15625" t="s">
        <v>949</v>
      </c>
    </row>
    <row r="15626" spans="1:9" x14ac:dyDescent="0.25">
      <c r="A15626">
        <v>4220</v>
      </c>
      <c r="B15626">
        <v>60</v>
      </c>
      <c r="C15626" t="s">
        <v>946</v>
      </c>
      <c r="D15626" t="s">
        <v>1038</v>
      </c>
      <c r="E15626" t="s">
        <v>100</v>
      </c>
      <c r="F15626" t="s">
        <v>948</v>
      </c>
      <c r="G15626">
        <v>6077777</v>
      </c>
      <c r="H15626">
        <v>500220</v>
      </c>
      <c r="I15626" t="s">
        <v>949</v>
      </c>
    </row>
    <row r="15627" spans="1:9" x14ac:dyDescent="0.25">
      <c r="A15627">
        <v>4230</v>
      </c>
      <c r="B15627">
        <v>60</v>
      </c>
      <c r="C15627" t="s">
        <v>946</v>
      </c>
      <c r="D15627" t="s">
        <v>1038</v>
      </c>
      <c r="E15627" t="s">
        <v>100</v>
      </c>
      <c r="F15627" t="s">
        <v>948</v>
      </c>
      <c r="G15627">
        <v>6099999</v>
      </c>
      <c r="H15627">
        <v>401042</v>
      </c>
      <c r="I15627" t="s">
        <v>949</v>
      </c>
    </row>
    <row r="15628" spans="1:9" x14ac:dyDescent="0.25">
      <c r="A15628">
        <v>4240</v>
      </c>
      <c r="B15628">
        <v>60</v>
      </c>
      <c r="C15628" t="s">
        <v>946</v>
      </c>
      <c r="D15628" t="s">
        <v>1038</v>
      </c>
      <c r="E15628" t="s">
        <v>100</v>
      </c>
      <c r="F15628" t="s">
        <v>948</v>
      </c>
      <c r="G15628">
        <v>6077777</v>
      </c>
      <c r="H15628">
        <v>500221</v>
      </c>
      <c r="I15628" t="s">
        <v>949</v>
      </c>
    </row>
    <row r="15629" spans="1:9" x14ac:dyDescent="0.25">
      <c r="A15629">
        <v>4141</v>
      </c>
      <c r="B15629">
        <v>60</v>
      </c>
      <c r="C15629" t="s">
        <v>946</v>
      </c>
      <c r="D15629" t="s">
        <v>1038</v>
      </c>
      <c r="E15629" t="s">
        <v>270</v>
      </c>
      <c r="F15629" t="s">
        <v>948</v>
      </c>
      <c r="G15629">
        <v>6077777</v>
      </c>
      <c r="H15629">
        <v>501010</v>
      </c>
      <c r="I15629" t="s">
        <v>949</v>
      </c>
    </row>
    <row r="15630" spans="1:9" x14ac:dyDescent="0.25">
      <c r="A15630">
        <v>4220</v>
      </c>
      <c r="B15630">
        <v>60</v>
      </c>
      <c r="C15630" t="s">
        <v>946</v>
      </c>
      <c r="D15630" t="s">
        <v>1038</v>
      </c>
      <c r="E15630" t="s">
        <v>270</v>
      </c>
      <c r="F15630" t="s">
        <v>948</v>
      </c>
      <c r="G15630">
        <v>6077777</v>
      </c>
      <c r="H15630">
        <v>501010</v>
      </c>
      <c r="I15630" t="s">
        <v>949</v>
      </c>
    </row>
    <row r="15631" spans="1:9" x14ac:dyDescent="0.25">
      <c r="A15631">
        <v>4230</v>
      </c>
      <c r="B15631">
        <v>60</v>
      </c>
      <c r="C15631" t="s">
        <v>946</v>
      </c>
      <c r="D15631" t="s">
        <v>1038</v>
      </c>
      <c r="E15631" t="s">
        <v>270</v>
      </c>
      <c r="F15631" t="s">
        <v>948</v>
      </c>
      <c r="G15631">
        <v>6099999</v>
      </c>
      <c r="H15631">
        <v>401062</v>
      </c>
      <c r="I15631" t="s">
        <v>949</v>
      </c>
    </row>
    <row r="15632" spans="1:9" x14ac:dyDescent="0.25">
      <c r="A15632">
        <v>4240</v>
      </c>
      <c r="B15632">
        <v>60</v>
      </c>
      <c r="C15632" t="s">
        <v>946</v>
      </c>
      <c r="D15632" t="s">
        <v>1038</v>
      </c>
      <c r="E15632" t="s">
        <v>270</v>
      </c>
      <c r="F15632" t="s">
        <v>948</v>
      </c>
      <c r="G15632">
        <v>6000000</v>
      </c>
      <c r="H15632">
        <v>145000</v>
      </c>
      <c r="I15632" t="s">
        <v>949</v>
      </c>
    </row>
    <row r="15633" spans="1:9" x14ac:dyDescent="0.25">
      <c r="A15633">
        <v>4141</v>
      </c>
      <c r="B15633">
        <v>60</v>
      </c>
      <c r="C15633" t="s">
        <v>946</v>
      </c>
      <c r="D15633" t="s">
        <v>1038</v>
      </c>
      <c r="E15633" t="s">
        <v>274</v>
      </c>
      <c r="F15633" t="s">
        <v>948</v>
      </c>
      <c r="G15633">
        <v>6077777</v>
      </c>
      <c r="H15633">
        <v>501010</v>
      </c>
      <c r="I15633" t="s">
        <v>949</v>
      </c>
    </row>
    <row r="15634" spans="1:9" x14ac:dyDescent="0.25">
      <c r="A15634">
        <v>4220</v>
      </c>
      <c r="B15634">
        <v>60</v>
      </c>
      <c r="C15634" t="s">
        <v>946</v>
      </c>
      <c r="D15634" t="s">
        <v>1038</v>
      </c>
      <c r="E15634" t="s">
        <v>274</v>
      </c>
      <c r="F15634" t="s">
        <v>948</v>
      </c>
      <c r="G15634">
        <v>6077777</v>
      </c>
      <c r="H15634">
        <v>501010</v>
      </c>
      <c r="I15634" t="s">
        <v>949</v>
      </c>
    </row>
    <row r="15635" spans="1:9" x14ac:dyDescent="0.25">
      <c r="A15635">
        <v>4230</v>
      </c>
      <c r="B15635">
        <v>60</v>
      </c>
      <c r="C15635" t="s">
        <v>946</v>
      </c>
      <c r="D15635" t="s">
        <v>1038</v>
      </c>
      <c r="E15635" t="s">
        <v>274</v>
      </c>
      <c r="F15635" t="s">
        <v>948</v>
      </c>
      <c r="G15635">
        <v>6099999</v>
      </c>
      <c r="H15635">
        <v>401042</v>
      </c>
      <c r="I15635" t="s">
        <v>949</v>
      </c>
    </row>
    <row r="15636" spans="1:9" x14ac:dyDescent="0.25">
      <c r="A15636">
        <v>4240</v>
      </c>
      <c r="B15636">
        <v>60</v>
      </c>
      <c r="C15636" t="s">
        <v>946</v>
      </c>
      <c r="D15636" t="s">
        <v>1038</v>
      </c>
      <c r="E15636" t="s">
        <v>274</v>
      </c>
      <c r="F15636" t="s">
        <v>948</v>
      </c>
      <c r="G15636">
        <v>6000000</v>
      </c>
      <c r="H15636">
        <v>143000</v>
      </c>
      <c r="I15636" t="s">
        <v>973</v>
      </c>
    </row>
    <row r="15637" spans="1:9" x14ac:dyDescent="0.25">
      <c r="A15637">
        <v>4141</v>
      </c>
      <c r="B15637">
        <v>60</v>
      </c>
      <c r="C15637" t="s">
        <v>946</v>
      </c>
      <c r="D15637" t="s">
        <v>1038</v>
      </c>
      <c r="E15637" t="s">
        <v>974</v>
      </c>
      <c r="F15637" t="s">
        <v>948</v>
      </c>
      <c r="G15637">
        <v>6077777</v>
      </c>
      <c r="H15637">
        <v>501010</v>
      </c>
      <c r="I15637" t="s">
        <v>949</v>
      </c>
    </row>
    <row r="15638" spans="1:9" x14ac:dyDescent="0.25">
      <c r="A15638">
        <v>4220</v>
      </c>
      <c r="B15638">
        <v>60</v>
      </c>
      <c r="C15638" t="s">
        <v>946</v>
      </c>
      <c r="D15638" t="s">
        <v>1038</v>
      </c>
      <c r="E15638" t="s">
        <v>974</v>
      </c>
      <c r="F15638" t="s">
        <v>948</v>
      </c>
      <c r="G15638">
        <v>6077777</v>
      </c>
      <c r="H15638">
        <v>501010</v>
      </c>
      <c r="I15638" t="s">
        <v>949</v>
      </c>
    </row>
    <row r="15639" spans="1:9" x14ac:dyDescent="0.25">
      <c r="A15639">
        <v>4230</v>
      </c>
      <c r="B15639">
        <v>60</v>
      </c>
      <c r="C15639" t="s">
        <v>946</v>
      </c>
      <c r="D15639" t="s">
        <v>1038</v>
      </c>
      <c r="E15639" t="s">
        <v>974</v>
      </c>
      <c r="F15639" t="s">
        <v>948</v>
      </c>
      <c r="G15639">
        <v>6099999</v>
      </c>
      <c r="H15639">
        <v>401912</v>
      </c>
      <c r="I15639" t="s">
        <v>949</v>
      </c>
    </row>
    <row r="15640" spans="1:9" x14ac:dyDescent="0.25">
      <c r="A15640">
        <v>4240</v>
      </c>
      <c r="B15640">
        <v>60</v>
      </c>
      <c r="C15640" t="s">
        <v>946</v>
      </c>
      <c r="D15640" t="s">
        <v>1038</v>
      </c>
      <c r="E15640" t="s">
        <v>974</v>
      </c>
      <c r="F15640" t="s">
        <v>948</v>
      </c>
      <c r="G15640">
        <v>6000000</v>
      </c>
      <c r="H15640">
        <v>141000</v>
      </c>
      <c r="I15640" t="s">
        <v>975</v>
      </c>
    </row>
    <row r="15641" spans="1:9" x14ac:dyDescent="0.25">
      <c r="A15641">
        <v>4141</v>
      </c>
      <c r="B15641">
        <v>60</v>
      </c>
      <c r="C15641" t="s">
        <v>946</v>
      </c>
      <c r="D15641" t="s">
        <v>1038</v>
      </c>
      <c r="E15641" t="s">
        <v>104</v>
      </c>
      <c r="F15641" t="s">
        <v>948</v>
      </c>
      <c r="G15641">
        <v>6077777</v>
      </c>
      <c r="H15641">
        <v>500220</v>
      </c>
      <c r="I15641" t="s">
        <v>949</v>
      </c>
    </row>
    <row r="15642" spans="1:9" x14ac:dyDescent="0.25">
      <c r="A15642">
        <v>4220</v>
      </c>
      <c r="B15642">
        <v>60</v>
      </c>
      <c r="C15642" t="s">
        <v>946</v>
      </c>
      <c r="D15642" t="s">
        <v>1038</v>
      </c>
      <c r="E15642" t="s">
        <v>104</v>
      </c>
      <c r="F15642" t="s">
        <v>948</v>
      </c>
      <c r="G15642">
        <v>6077777</v>
      </c>
      <c r="H15642">
        <v>500220</v>
      </c>
      <c r="I15642" t="s">
        <v>949</v>
      </c>
    </row>
    <row r="15643" spans="1:9" x14ac:dyDescent="0.25">
      <c r="A15643">
        <v>4230</v>
      </c>
      <c r="B15643">
        <v>60</v>
      </c>
      <c r="C15643" t="s">
        <v>946</v>
      </c>
      <c r="D15643" t="s">
        <v>1038</v>
      </c>
      <c r="E15643" t="s">
        <v>104</v>
      </c>
      <c r="F15643" t="s">
        <v>948</v>
      </c>
      <c r="G15643">
        <v>6099999</v>
      </c>
      <c r="H15643">
        <v>401042</v>
      </c>
      <c r="I15643" t="s">
        <v>949</v>
      </c>
    </row>
    <row r="15644" spans="1:9" x14ac:dyDescent="0.25">
      <c r="A15644">
        <v>4240</v>
      </c>
      <c r="B15644">
        <v>60</v>
      </c>
      <c r="C15644" t="s">
        <v>946</v>
      </c>
      <c r="D15644" t="s">
        <v>1038</v>
      </c>
      <c r="E15644" t="s">
        <v>104</v>
      </c>
      <c r="F15644" t="s">
        <v>948</v>
      </c>
      <c r="G15644">
        <v>6077777</v>
      </c>
      <c r="H15644">
        <v>500221</v>
      </c>
      <c r="I15644" t="s">
        <v>949</v>
      </c>
    </row>
    <row r="15645" spans="1:9" x14ac:dyDescent="0.25">
      <c r="A15645">
        <v>4141</v>
      </c>
      <c r="B15645">
        <v>60</v>
      </c>
      <c r="C15645" t="s">
        <v>946</v>
      </c>
      <c r="D15645" t="s">
        <v>1038</v>
      </c>
      <c r="E15645" t="s">
        <v>278</v>
      </c>
      <c r="F15645" t="s">
        <v>948</v>
      </c>
      <c r="G15645">
        <v>6077777</v>
      </c>
      <c r="H15645">
        <v>501010</v>
      </c>
      <c r="I15645" t="s">
        <v>949</v>
      </c>
    </row>
    <row r="15646" spans="1:9" x14ac:dyDescent="0.25">
      <c r="A15646">
        <v>4220</v>
      </c>
      <c r="B15646">
        <v>60</v>
      </c>
      <c r="C15646" t="s">
        <v>946</v>
      </c>
      <c r="D15646" t="s">
        <v>1038</v>
      </c>
      <c r="E15646" t="s">
        <v>278</v>
      </c>
      <c r="F15646" t="s">
        <v>948</v>
      </c>
      <c r="G15646">
        <v>6077777</v>
      </c>
      <c r="H15646">
        <v>501010</v>
      </c>
      <c r="I15646" t="s">
        <v>949</v>
      </c>
    </row>
    <row r="15647" spans="1:9" x14ac:dyDescent="0.25">
      <c r="A15647">
        <v>4230</v>
      </c>
      <c r="B15647">
        <v>60</v>
      </c>
      <c r="C15647" t="s">
        <v>946</v>
      </c>
      <c r="D15647" t="s">
        <v>1038</v>
      </c>
      <c r="E15647" t="s">
        <v>278</v>
      </c>
      <c r="F15647" t="s">
        <v>948</v>
      </c>
      <c r="G15647">
        <v>6099999</v>
      </c>
      <c r="H15647">
        <v>401052</v>
      </c>
      <c r="I15647" t="s">
        <v>949</v>
      </c>
    </row>
    <row r="15648" spans="1:9" x14ac:dyDescent="0.25">
      <c r="A15648">
        <v>4240</v>
      </c>
      <c r="B15648">
        <v>60</v>
      </c>
      <c r="C15648" t="s">
        <v>946</v>
      </c>
      <c r="D15648" t="s">
        <v>1038</v>
      </c>
      <c r="E15648" t="s">
        <v>278</v>
      </c>
      <c r="F15648" t="s">
        <v>948</v>
      </c>
      <c r="G15648">
        <v>6000000</v>
      </c>
      <c r="H15648">
        <v>145000</v>
      </c>
      <c r="I15648" t="s">
        <v>949</v>
      </c>
    </row>
    <row r="15649" spans="1:9" x14ac:dyDescent="0.25">
      <c r="A15649">
        <v>4141</v>
      </c>
      <c r="B15649">
        <v>60</v>
      </c>
      <c r="C15649" t="s">
        <v>946</v>
      </c>
      <c r="D15649" t="s">
        <v>1038</v>
      </c>
      <c r="E15649" t="s">
        <v>282</v>
      </c>
      <c r="F15649" t="s">
        <v>948</v>
      </c>
      <c r="G15649">
        <v>6077777</v>
      </c>
      <c r="H15649">
        <v>501010</v>
      </c>
      <c r="I15649" t="s">
        <v>949</v>
      </c>
    </row>
    <row r="15650" spans="1:9" x14ac:dyDescent="0.25">
      <c r="A15650">
        <v>4220</v>
      </c>
      <c r="B15650">
        <v>60</v>
      </c>
      <c r="C15650" t="s">
        <v>946</v>
      </c>
      <c r="D15650" t="s">
        <v>1038</v>
      </c>
      <c r="E15650" t="s">
        <v>282</v>
      </c>
      <c r="F15650" t="s">
        <v>948</v>
      </c>
      <c r="G15650">
        <v>6077777</v>
      </c>
      <c r="H15650">
        <v>501010</v>
      </c>
      <c r="I15650" t="s">
        <v>949</v>
      </c>
    </row>
    <row r="15651" spans="1:9" x14ac:dyDescent="0.25">
      <c r="A15651">
        <v>4230</v>
      </c>
      <c r="B15651">
        <v>60</v>
      </c>
      <c r="C15651" t="s">
        <v>946</v>
      </c>
      <c r="D15651" t="s">
        <v>1038</v>
      </c>
      <c r="E15651" t="s">
        <v>282</v>
      </c>
      <c r="F15651" t="s">
        <v>948</v>
      </c>
      <c r="G15651">
        <v>6099999</v>
      </c>
      <c r="H15651">
        <v>401042</v>
      </c>
      <c r="I15651" t="s">
        <v>949</v>
      </c>
    </row>
    <row r="15652" spans="1:9" x14ac:dyDescent="0.25">
      <c r="A15652">
        <v>4240</v>
      </c>
      <c r="B15652">
        <v>60</v>
      </c>
      <c r="C15652" t="s">
        <v>946</v>
      </c>
      <c r="D15652" t="s">
        <v>1038</v>
      </c>
      <c r="E15652" t="s">
        <v>282</v>
      </c>
      <c r="F15652" t="s">
        <v>948</v>
      </c>
      <c r="G15652">
        <v>6000000</v>
      </c>
      <c r="H15652">
        <v>143100</v>
      </c>
      <c r="I15652" t="s">
        <v>949</v>
      </c>
    </row>
    <row r="15653" spans="1:9" x14ac:dyDescent="0.25">
      <c r="A15653">
        <v>4141</v>
      </c>
      <c r="B15653">
        <v>60</v>
      </c>
      <c r="C15653" t="s">
        <v>946</v>
      </c>
      <c r="D15653" t="s">
        <v>1038</v>
      </c>
      <c r="E15653" t="s">
        <v>286</v>
      </c>
      <c r="F15653" t="s">
        <v>948</v>
      </c>
      <c r="G15653">
        <v>6077777</v>
      </c>
      <c r="H15653">
        <v>501010</v>
      </c>
      <c r="I15653" t="s">
        <v>949</v>
      </c>
    </row>
    <row r="15654" spans="1:9" x14ac:dyDescent="0.25">
      <c r="A15654">
        <v>4220</v>
      </c>
      <c r="B15654">
        <v>60</v>
      </c>
      <c r="C15654" t="s">
        <v>946</v>
      </c>
      <c r="D15654" t="s">
        <v>1038</v>
      </c>
      <c r="E15654" t="s">
        <v>286</v>
      </c>
      <c r="F15654" t="s">
        <v>948</v>
      </c>
      <c r="G15654">
        <v>6077777</v>
      </c>
      <c r="H15654">
        <v>501010</v>
      </c>
      <c r="I15654" t="s">
        <v>949</v>
      </c>
    </row>
    <row r="15655" spans="1:9" x14ac:dyDescent="0.25">
      <c r="A15655">
        <v>4230</v>
      </c>
      <c r="B15655">
        <v>60</v>
      </c>
      <c r="C15655" t="s">
        <v>946</v>
      </c>
      <c r="D15655" t="s">
        <v>1038</v>
      </c>
      <c r="E15655" t="s">
        <v>286</v>
      </c>
      <c r="F15655" t="s">
        <v>948</v>
      </c>
      <c r="G15655">
        <v>6099999</v>
      </c>
      <c r="H15655">
        <v>401032</v>
      </c>
      <c r="I15655" t="s">
        <v>949</v>
      </c>
    </row>
    <row r="15656" spans="1:9" x14ac:dyDescent="0.25">
      <c r="A15656">
        <v>4240</v>
      </c>
      <c r="B15656">
        <v>60</v>
      </c>
      <c r="C15656" t="s">
        <v>946</v>
      </c>
      <c r="D15656" t="s">
        <v>1038</v>
      </c>
      <c r="E15656" t="s">
        <v>286</v>
      </c>
      <c r="F15656" t="s">
        <v>948</v>
      </c>
      <c r="G15656">
        <v>6000000</v>
      </c>
      <c r="H15656">
        <v>145000</v>
      </c>
      <c r="I15656" t="s">
        <v>949</v>
      </c>
    </row>
    <row r="15657" spans="1:9" x14ac:dyDescent="0.25">
      <c r="A15657">
        <v>4141</v>
      </c>
      <c r="B15657">
        <v>60</v>
      </c>
      <c r="C15657" t="s">
        <v>946</v>
      </c>
      <c r="D15657" t="s">
        <v>1038</v>
      </c>
      <c r="E15657" t="s">
        <v>976</v>
      </c>
      <c r="F15657" t="s">
        <v>948</v>
      </c>
      <c r="G15657">
        <v>6077777</v>
      </c>
      <c r="H15657">
        <v>501010</v>
      </c>
      <c r="I15657" t="s">
        <v>949</v>
      </c>
    </row>
    <row r="15658" spans="1:9" x14ac:dyDescent="0.25">
      <c r="A15658">
        <v>4220</v>
      </c>
      <c r="B15658">
        <v>60</v>
      </c>
      <c r="C15658" t="s">
        <v>946</v>
      </c>
      <c r="D15658" t="s">
        <v>1038</v>
      </c>
      <c r="E15658" t="s">
        <v>976</v>
      </c>
      <c r="F15658" t="s">
        <v>948</v>
      </c>
      <c r="G15658">
        <v>6077777</v>
      </c>
      <c r="H15658">
        <v>501010</v>
      </c>
      <c r="I15658" t="s">
        <v>949</v>
      </c>
    </row>
    <row r="15659" spans="1:9" x14ac:dyDescent="0.25">
      <c r="A15659">
        <v>4230</v>
      </c>
      <c r="B15659">
        <v>60</v>
      </c>
      <c r="C15659" t="s">
        <v>946</v>
      </c>
      <c r="D15659" t="s">
        <v>1038</v>
      </c>
      <c r="E15659" t="s">
        <v>976</v>
      </c>
      <c r="F15659" t="s">
        <v>948</v>
      </c>
      <c r="G15659">
        <v>6099999</v>
      </c>
      <c r="H15659">
        <v>401912</v>
      </c>
      <c r="I15659" t="s">
        <v>949</v>
      </c>
    </row>
    <row r="15660" spans="1:9" x14ac:dyDescent="0.25">
      <c r="A15660">
        <v>4240</v>
      </c>
      <c r="B15660">
        <v>60</v>
      </c>
      <c r="C15660" t="s">
        <v>946</v>
      </c>
      <c r="D15660" t="s">
        <v>1038</v>
      </c>
      <c r="E15660" t="s">
        <v>976</v>
      </c>
      <c r="F15660" t="s">
        <v>948</v>
      </c>
      <c r="G15660">
        <v>6000000</v>
      </c>
      <c r="H15660">
        <v>141000</v>
      </c>
      <c r="I15660" t="s">
        <v>977</v>
      </c>
    </row>
    <row r="15661" spans="1:9" x14ac:dyDescent="0.25">
      <c r="A15661">
        <v>4141</v>
      </c>
      <c r="B15661">
        <v>60</v>
      </c>
      <c r="C15661" t="s">
        <v>946</v>
      </c>
      <c r="D15661" t="s">
        <v>1038</v>
      </c>
      <c r="E15661" t="s">
        <v>290</v>
      </c>
      <c r="F15661" t="s">
        <v>948</v>
      </c>
      <c r="G15661">
        <v>6077777</v>
      </c>
      <c r="H15661">
        <v>501010</v>
      </c>
      <c r="I15661" t="s">
        <v>949</v>
      </c>
    </row>
    <row r="15662" spans="1:9" x14ac:dyDescent="0.25">
      <c r="A15662">
        <v>4220</v>
      </c>
      <c r="B15662">
        <v>60</v>
      </c>
      <c r="C15662" t="s">
        <v>946</v>
      </c>
      <c r="D15662" t="s">
        <v>1038</v>
      </c>
      <c r="E15662" t="s">
        <v>290</v>
      </c>
      <c r="F15662" t="s">
        <v>948</v>
      </c>
      <c r="G15662">
        <v>6077777</v>
      </c>
      <c r="H15662">
        <v>501010</v>
      </c>
      <c r="I15662" t="s">
        <v>949</v>
      </c>
    </row>
    <row r="15663" spans="1:9" x14ac:dyDescent="0.25">
      <c r="A15663">
        <v>4230</v>
      </c>
      <c r="B15663">
        <v>60</v>
      </c>
      <c r="C15663" t="s">
        <v>946</v>
      </c>
      <c r="D15663" t="s">
        <v>1038</v>
      </c>
      <c r="E15663" t="s">
        <v>290</v>
      </c>
      <c r="F15663" t="s">
        <v>948</v>
      </c>
      <c r="G15663">
        <v>6099999</v>
      </c>
      <c r="H15663">
        <v>401042</v>
      </c>
      <c r="I15663" t="s">
        <v>949</v>
      </c>
    </row>
    <row r="15664" spans="1:9" x14ac:dyDescent="0.25">
      <c r="A15664">
        <v>4240</v>
      </c>
      <c r="B15664">
        <v>60</v>
      </c>
      <c r="C15664" t="s">
        <v>946</v>
      </c>
      <c r="D15664" t="s">
        <v>1038</v>
      </c>
      <c r="E15664" t="s">
        <v>290</v>
      </c>
      <c r="F15664" t="s">
        <v>948</v>
      </c>
      <c r="G15664">
        <v>6000000</v>
      </c>
      <c r="H15664">
        <v>143000</v>
      </c>
      <c r="I15664" t="s">
        <v>978</v>
      </c>
    </row>
    <row r="15665" spans="1:9" x14ac:dyDescent="0.25">
      <c r="A15665">
        <v>4141</v>
      </c>
      <c r="B15665">
        <v>60</v>
      </c>
      <c r="C15665" t="s">
        <v>946</v>
      </c>
      <c r="D15665" t="s">
        <v>1038</v>
      </c>
      <c r="E15665" t="s">
        <v>294</v>
      </c>
      <c r="F15665" t="s">
        <v>948</v>
      </c>
      <c r="G15665">
        <v>6077777</v>
      </c>
      <c r="H15665">
        <v>501010</v>
      </c>
      <c r="I15665" t="s">
        <v>949</v>
      </c>
    </row>
    <row r="15666" spans="1:9" x14ac:dyDescent="0.25">
      <c r="A15666">
        <v>4220</v>
      </c>
      <c r="B15666">
        <v>60</v>
      </c>
      <c r="C15666" t="s">
        <v>946</v>
      </c>
      <c r="D15666" t="s">
        <v>1038</v>
      </c>
      <c r="E15666" t="s">
        <v>294</v>
      </c>
      <c r="F15666" t="s">
        <v>948</v>
      </c>
      <c r="G15666">
        <v>6077777</v>
      </c>
      <c r="H15666">
        <v>501010</v>
      </c>
      <c r="I15666" t="s">
        <v>949</v>
      </c>
    </row>
    <row r="15667" spans="1:9" x14ac:dyDescent="0.25">
      <c r="A15667">
        <v>4230</v>
      </c>
      <c r="B15667">
        <v>60</v>
      </c>
      <c r="C15667" t="s">
        <v>946</v>
      </c>
      <c r="D15667" t="s">
        <v>1038</v>
      </c>
      <c r="E15667" t="s">
        <v>294</v>
      </c>
      <c r="F15667" t="s">
        <v>948</v>
      </c>
      <c r="G15667">
        <v>6099999</v>
      </c>
      <c r="H15667">
        <v>401042</v>
      </c>
      <c r="I15667" t="s">
        <v>949</v>
      </c>
    </row>
    <row r="15668" spans="1:9" x14ac:dyDescent="0.25">
      <c r="A15668">
        <v>4240</v>
      </c>
      <c r="B15668">
        <v>60</v>
      </c>
      <c r="C15668" t="s">
        <v>946</v>
      </c>
      <c r="D15668" t="s">
        <v>1038</v>
      </c>
      <c r="E15668" t="s">
        <v>294</v>
      </c>
      <c r="F15668" t="s">
        <v>948</v>
      </c>
      <c r="G15668">
        <v>6000000</v>
      </c>
      <c r="H15668">
        <v>143000</v>
      </c>
      <c r="I15668" t="s">
        <v>979</v>
      </c>
    </row>
    <row r="15669" spans="1:9" x14ac:dyDescent="0.25">
      <c r="A15669">
        <v>4230</v>
      </c>
      <c r="B15669">
        <v>60</v>
      </c>
      <c r="C15669" t="s">
        <v>946</v>
      </c>
      <c r="D15669" t="s">
        <v>1038</v>
      </c>
      <c r="E15669" t="s">
        <v>298</v>
      </c>
      <c r="F15669" t="s">
        <v>948</v>
      </c>
      <c r="G15669">
        <v>6099999</v>
      </c>
      <c r="H15669">
        <v>402082</v>
      </c>
      <c r="I15669" t="s">
        <v>949</v>
      </c>
    </row>
    <row r="15670" spans="1:9" x14ac:dyDescent="0.25">
      <c r="A15670">
        <v>4141</v>
      </c>
      <c r="B15670">
        <v>60</v>
      </c>
      <c r="C15670" t="s">
        <v>946</v>
      </c>
      <c r="D15670" t="s">
        <v>1038</v>
      </c>
      <c r="E15670" t="s">
        <v>980</v>
      </c>
      <c r="F15670" t="s">
        <v>948</v>
      </c>
      <c r="G15670">
        <v>6077777</v>
      </c>
      <c r="H15670">
        <v>501010</v>
      </c>
      <c r="I15670" t="s">
        <v>949</v>
      </c>
    </row>
    <row r="15671" spans="1:9" x14ac:dyDescent="0.25">
      <c r="A15671">
        <v>4220</v>
      </c>
      <c r="B15671">
        <v>60</v>
      </c>
      <c r="C15671" t="s">
        <v>946</v>
      </c>
      <c r="D15671" t="s">
        <v>1038</v>
      </c>
      <c r="E15671" t="s">
        <v>980</v>
      </c>
      <c r="F15671" t="s">
        <v>948</v>
      </c>
      <c r="G15671">
        <v>6077777</v>
      </c>
      <c r="H15671">
        <v>501010</v>
      </c>
      <c r="I15671" t="s">
        <v>949</v>
      </c>
    </row>
    <row r="15672" spans="1:9" x14ac:dyDescent="0.25">
      <c r="A15672">
        <v>4230</v>
      </c>
      <c r="B15672">
        <v>60</v>
      </c>
      <c r="C15672" t="s">
        <v>946</v>
      </c>
      <c r="D15672" t="s">
        <v>1038</v>
      </c>
      <c r="E15672" t="s">
        <v>980</v>
      </c>
      <c r="F15672" t="s">
        <v>948</v>
      </c>
      <c r="G15672">
        <v>6099999</v>
      </c>
      <c r="H15672">
        <v>401912</v>
      </c>
      <c r="I15672" t="s">
        <v>949</v>
      </c>
    </row>
    <row r="15673" spans="1:9" x14ac:dyDescent="0.25">
      <c r="A15673">
        <v>4240</v>
      </c>
      <c r="B15673">
        <v>60</v>
      </c>
      <c r="C15673" t="s">
        <v>946</v>
      </c>
      <c r="D15673" t="s">
        <v>1038</v>
      </c>
      <c r="E15673" t="s">
        <v>980</v>
      </c>
      <c r="F15673" t="s">
        <v>948</v>
      </c>
      <c r="G15673">
        <v>6000000</v>
      </c>
      <c r="H15673">
        <v>141000</v>
      </c>
      <c r="I15673" t="s">
        <v>981</v>
      </c>
    </row>
    <row r="15674" spans="1:9" x14ac:dyDescent="0.25">
      <c r="A15674">
        <v>4141</v>
      </c>
      <c r="B15674">
        <v>60</v>
      </c>
      <c r="C15674" t="s">
        <v>946</v>
      </c>
      <c r="D15674" t="s">
        <v>1038</v>
      </c>
      <c r="E15674" t="s">
        <v>302</v>
      </c>
      <c r="F15674" t="s">
        <v>948</v>
      </c>
      <c r="G15674">
        <v>6077777</v>
      </c>
      <c r="H15674">
        <v>501010</v>
      </c>
      <c r="I15674" t="s">
        <v>949</v>
      </c>
    </row>
    <row r="15675" spans="1:9" x14ac:dyDescent="0.25">
      <c r="A15675">
        <v>4220</v>
      </c>
      <c r="B15675">
        <v>60</v>
      </c>
      <c r="C15675" t="s">
        <v>946</v>
      </c>
      <c r="D15675" t="s">
        <v>1038</v>
      </c>
      <c r="E15675" t="s">
        <v>302</v>
      </c>
      <c r="F15675" t="s">
        <v>948</v>
      </c>
      <c r="G15675">
        <v>6077777</v>
      </c>
      <c r="H15675">
        <v>501010</v>
      </c>
      <c r="I15675" t="s">
        <v>949</v>
      </c>
    </row>
    <row r="15676" spans="1:9" x14ac:dyDescent="0.25">
      <c r="A15676">
        <v>4230</v>
      </c>
      <c r="B15676">
        <v>60</v>
      </c>
      <c r="C15676" t="s">
        <v>946</v>
      </c>
      <c r="D15676" t="s">
        <v>1038</v>
      </c>
      <c r="E15676" t="s">
        <v>302</v>
      </c>
      <c r="F15676" t="s">
        <v>948</v>
      </c>
      <c r="G15676">
        <v>6099999</v>
      </c>
      <c r="H15676">
        <v>401902</v>
      </c>
      <c r="I15676" t="s">
        <v>949</v>
      </c>
    </row>
    <row r="15677" spans="1:9" x14ac:dyDescent="0.25">
      <c r="A15677">
        <v>4240</v>
      </c>
      <c r="B15677">
        <v>60</v>
      </c>
      <c r="C15677" t="s">
        <v>946</v>
      </c>
      <c r="D15677" t="s">
        <v>1038</v>
      </c>
      <c r="E15677" t="s">
        <v>302</v>
      </c>
      <c r="F15677" t="s">
        <v>948</v>
      </c>
      <c r="G15677">
        <v>6000000</v>
      </c>
      <c r="H15677">
        <v>143000</v>
      </c>
      <c r="I15677" t="s">
        <v>982</v>
      </c>
    </row>
    <row r="15678" spans="1:9" x14ac:dyDescent="0.25">
      <c r="A15678">
        <v>4141</v>
      </c>
      <c r="B15678">
        <v>60</v>
      </c>
      <c r="C15678" t="s">
        <v>946</v>
      </c>
      <c r="D15678" t="s">
        <v>1038</v>
      </c>
      <c r="E15678" t="s">
        <v>306</v>
      </c>
      <c r="F15678" t="s">
        <v>948</v>
      </c>
      <c r="G15678">
        <v>6077777</v>
      </c>
      <c r="H15678">
        <v>501010</v>
      </c>
      <c r="I15678" t="s">
        <v>949</v>
      </c>
    </row>
    <row r="15679" spans="1:9" x14ac:dyDescent="0.25">
      <c r="A15679">
        <v>4220</v>
      </c>
      <c r="B15679">
        <v>60</v>
      </c>
      <c r="C15679" t="s">
        <v>946</v>
      </c>
      <c r="D15679" t="s">
        <v>1038</v>
      </c>
      <c r="E15679" t="s">
        <v>306</v>
      </c>
      <c r="F15679" t="s">
        <v>948</v>
      </c>
      <c r="G15679">
        <v>6077777</v>
      </c>
      <c r="H15679">
        <v>501010</v>
      </c>
      <c r="I15679" t="s">
        <v>949</v>
      </c>
    </row>
    <row r="15680" spans="1:9" x14ac:dyDescent="0.25">
      <c r="A15680">
        <v>4230</v>
      </c>
      <c r="B15680">
        <v>60</v>
      </c>
      <c r="C15680" t="s">
        <v>946</v>
      </c>
      <c r="D15680" t="s">
        <v>1038</v>
      </c>
      <c r="E15680" t="s">
        <v>306</v>
      </c>
      <c r="F15680" t="s">
        <v>948</v>
      </c>
      <c r="G15680">
        <v>6099999</v>
      </c>
      <c r="H15680">
        <v>401042</v>
      </c>
      <c r="I15680" t="s">
        <v>949</v>
      </c>
    </row>
    <row r="15681" spans="1:9" x14ac:dyDescent="0.25">
      <c r="A15681">
        <v>4240</v>
      </c>
      <c r="B15681">
        <v>60</v>
      </c>
      <c r="C15681" t="s">
        <v>946</v>
      </c>
      <c r="D15681" t="s">
        <v>1038</v>
      </c>
      <c r="E15681" t="s">
        <v>306</v>
      </c>
      <c r="F15681" t="s">
        <v>948</v>
      </c>
      <c r="G15681">
        <v>6000000</v>
      </c>
      <c r="H15681">
        <v>143000</v>
      </c>
      <c r="I15681" t="s">
        <v>983</v>
      </c>
    </row>
    <row r="15682" spans="1:9" x14ac:dyDescent="0.25">
      <c r="A15682">
        <v>4141</v>
      </c>
      <c r="B15682">
        <v>60</v>
      </c>
      <c r="C15682" t="s">
        <v>946</v>
      </c>
      <c r="D15682" t="s">
        <v>1038</v>
      </c>
      <c r="E15682" t="s">
        <v>108</v>
      </c>
      <c r="F15682" t="s">
        <v>948</v>
      </c>
      <c r="G15682">
        <v>6077777</v>
      </c>
      <c r="H15682">
        <v>500220</v>
      </c>
      <c r="I15682" t="s">
        <v>949</v>
      </c>
    </row>
    <row r="15683" spans="1:9" x14ac:dyDescent="0.25">
      <c r="A15683">
        <v>4220</v>
      </c>
      <c r="B15683">
        <v>60</v>
      </c>
      <c r="C15683" t="s">
        <v>946</v>
      </c>
      <c r="D15683" t="s">
        <v>1038</v>
      </c>
      <c r="E15683" t="s">
        <v>108</v>
      </c>
      <c r="F15683" t="s">
        <v>948</v>
      </c>
      <c r="G15683">
        <v>6077777</v>
      </c>
      <c r="H15683">
        <v>500220</v>
      </c>
      <c r="I15683" t="s">
        <v>949</v>
      </c>
    </row>
    <row r="15684" spans="1:9" x14ac:dyDescent="0.25">
      <c r="A15684">
        <v>4230</v>
      </c>
      <c r="B15684">
        <v>60</v>
      </c>
      <c r="C15684" t="s">
        <v>946</v>
      </c>
      <c r="D15684" t="s">
        <v>1038</v>
      </c>
      <c r="E15684" t="s">
        <v>108</v>
      </c>
      <c r="F15684" t="s">
        <v>948</v>
      </c>
      <c r="G15684">
        <v>6099999</v>
      </c>
      <c r="H15684">
        <v>401042</v>
      </c>
      <c r="I15684" t="s">
        <v>949</v>
      </c>
    </row>
    <row r="15685" spans="1:9" x14ac:dyDescent="0.25">
      <c r="A15685">
        <v>4240</v>
      </c>
      <c r="B15685">
        <v>60</v>
      </c>
      <c r="C15685" t="s">
        <v>946</v>
      </c>
      <c r="D15685" t="s">
        <v>1038</v>
      </c>
      <c r="E15685" t="s">
        <v>108</v>
      </c>
      <c r="F15685" t="s">
        <v>948</v>
      </c>
      <c r="G15685">
        <v>6077777</v>
      </c>
      <c r="H15685">
        <v>500221</v>
      </c>
      <c r="I15685" t="s">
        <v>949</v>
      </c>
    </row>
    <row r="15686" spans="1:9" x14ac:dyDescent="0.25">
      <c r="A15686">
        <v>4141</v>
      </c>
      <c r="B15686">
        <v>60</v>
      </c>
      <c r="C15686" t="s">
        <v>946</v>
      </c>
      <c r="D15686" t="s">
        <v>1038</v>
      </c>
      <c r="E15686" t="s">
        <v>310</v>
      </c>
      <c r="F15686" t="s">
        <v>948</v>
      </c>
      <c r="G15686">
        <v>6077777</v>
      </c>
      <c r="H15686">
        <v>501010</v>
      </c>
      <c r="I15686" t="s">
        <v>949</v>
      </c>
    </row>
    <row r="15687" spans="1:9" x14ac:dyDescent="0.25">
      <c r="A15687">
        <v>4220</v>
      </c>
      <c r="B15687">
        <v>60</v>
      </c>
      <c r="C15687" t="s">
        <v>946</v>
      </c>
      <c r="D15687" t="s">
        <v>1038</v>
      </c>
      <c r="E15687" t="s">
        <v>310</v>
      </c>
      <c r="F15687" t="s">
        <v>948</v>
      </c>
      <c r="G15687">
        <v>6077777</v>
      </c>
      <c r="H15687">
        <v>501010</v>
      </c>
      <c r="I15687" t="s">
        <v>949</v>
      </c>
    </row>
    <row r="15688" spans="1:9" x14ac:dyDescent="0.25">
      <c r="A15688">
        <v>4230</v>
      </c>
      <c r="B15688">
        <v>60</v>
      </c>
      <c r="C15688" t="s">
        <v>946</v>
      </c>
      <c r="D15688" t="s">
        <v>1038</v>
      </c>
      <c r="E15688" t="s">
        <v>310</v>
      </c>
      <c r="F15688" t="s">
        <v>948</v>
      </c>
      <c r="G15688">
        <v>6099999</v>
      </c>
      <c r="H15688">
        <v>401012</v>
      </c>
      <c r="I15688" t="s">
        <v>949</v>
      </c>
    </row>
    <row r="15689" spans="1:9" x14ac:dyDescent="0.25">
      <c r="A15689">
        <v>4240</v>
      </c>
      <c r="B15689">
        <v>60</v>
      </c>
      <c r="C15689" t="s">
        <v>946</v>
      </c>
      <c r="D15689" t="s">
        <v>1038</v>
      </c>
      <c r="E15689" t="s">
        <v>310</v>
      </c>
      <c r="F15689" t="s">
        <v>948</v>
      </c>
      <c r="G15689">
        <v>6000000</v>
      </c>
      <c r="H15689">
        <v>145000</v>
      </c>
      <c r="I15689" t="s">
        <v>949</v>
      </c>
    </row>
    <row r="15690" spans="1:9" x14ac:dyDescent="0.25">
      <c r="A15690">
        <v>4141</v>
      </c>
      <c r="B15690">
        <v>60</v>
      </c>
      <c r="C15690" t="s">
        <v>946</v>
      </c>
      <c r="D15690" t="s">
        <v>1038</v>
      </c>
      <c r="E15690" t="s">
        <v>314</v>
      </c>
      <c r="F15690" t="s">
        <v>948</v>
      </c>
      <c r="G15690">
        <v>6077777</v>
      </c>
      <c r="H15690">
        <v>501010</v>
      </c>
      <c r="I15690" t="s">
        <v>949</v>
      </c>
    </row>
    <row r="15691" spans="1:9" x14ac:dyDescent="0.25">
      <c r="A15691">
        <v>4220</v>
      </c>
      <c r="B15691">
        <v>60</v>
      </c>
      <c r="C15691" t="s">
        <v>946</v>
      </c>
      <c r="D15691" t="s">
        <v>1038</v>
      </c>
      <c r="E15691" t="s">
        <v>314</v>
      </c>
      <c r="F15691" t="s">
        <v>948</v>
      </c>
      <c r="G15691">
        <v>6077777</v>
      </c>
      <c r="H15691">
        <v>501010</v>
      </c>
      <c r="I15691" t="s">
        <v>949</v>
      </c>
    </row>
    <row r="15692" spans="1:9" x14ac:dyDescent="0.25">
      <c r="A15692">
        <v>4230</v>
      </c>
      <c r="B15692">
        <v>60</v>
      </c>
      <c r="C15692" t="s">
        <v>946</v>
      </c>
      <c r="D15692" t="s">
        <v>1038</v>
      </c>
      <c r="E15692" t="s">
        <v>314</v>
      </c>
      <c r="F15692" t="s">
        <v>948</v>
      </c>
      <c r="G15692">
        <v>6099999</v>
      </c>
      <c r="H15692">
        <v>401062</v>
      </c>
      <c r="I15692" t="s">
        <v>949</v>
      </c>
    </row>
    <row r="15693" spans="1:9" x14ac:dyDescent="0.25">
      <c r="A15693">
        <v>4240</v>
      </c>
      <c r="B15693">
        <v>60</v>
      </c>
      <c r="C15693" t="s">
        <v>946</v>
      </c>
      <c r="D15693" t="s">
        <v>1038</v>
      </c>
      <c r="E15693" t="s">
        <v>314</v>
      </c>
      <c r="F15693" t="s">
        <v>948</v>
      </c>
      <c r="G15693">
        <v>6000000</v>
      </c>
      <c r="H15693">
        <v>145000</v>
      </c>
      <c r="I15693" t="s">
        <v>949</v>
      </c>
    </row>
    <row r="15694" spans="1:9" x14ac:dyDescent="0.25">
      <c r="A15694">
        <v>4141</v>
      </c>
      <c r="B15694">
        <v>60</v>
      </c>
      <c r="C15694" t="s">
        <v>946</v>
      </c>
      <c r="D15694" t="s">
        <v>1038</v>
      </c>
      <c r="E15694" t="s">
        <v>113</v>
      </c>
      <c r="F15694" t="s">
        <v>948</v>
      </c>
      <c r="G15694">
        <v>6077777</v>
      </c>
      <c r="H15694">
        <v>500220</v>
      </c>
      <c r="I15694" t="s">
        <v>949</v>
      </c>
    </row>
    <row r="15695" spans="1:9" x14ac:dyDescent="0.25">
      <c r="A15695">
        <v>4220</v>
      </c>
      <c r="B15695">
        <v>60</v>
      </c>
      <c r="C15695" t="s">
        <v>946</v>
      </c>
      <c r="D15695" t="s">
        <v>1038</v>
      </c>
      <c r="E15695" t="s">
        <v>113</v>
      </c>
      <c r="F15695" t="s">
        <v>948</v>
      </c>
      <c r="G15695">
        <v>6077777</v>
      </c>
      <c r="H15695">
        <v>500220</v>
      </c>
      <c r="I15695" t="s">
        <v>949</v>
      </c>
    </row>
    <row r="15696" spans="1:9" x14ac:dyDescent="0.25">
      <c r="A15696">
        <v>4230</v>
      </c>
      <c r="B15696">
        <v>60</v>
      </c>
      <c r="C15696" t="s">
        <v>946</v>
      </c>
      <c r="D15696" t="s">
        <v>1038</v>
      </c>
      <c r="E15696" t="s">
        <v>113</v>
      </c>
      <c r="F15696" t="s">
        <v>948</v>
      </c>
      <c r="G15696">
        <v>6099999</v>
      </c>
      <c r="H15696">
        <v>402082</v>
      </c>
      <c r="I15696" t="s">
        <v>949</v>
      </c>
    </row>
    <row r="15697" spans="1:9" x14ac:dyDescent="0.25">
      <c r="A15697">
        <v>4240</v>
      </c>
      <c r="B15697">
        <v>60</v>
      </c>
      <c r="C15697" t="s">
        <v>946</v>
      </c>
      <c r="D15697" t="s">
        <v>1038</v>
      </c>
      <c r="E15697" t="s">
        <v>113</v>
      </c>
      <c r="F15697" t="s">
        <v>948</v>
      </c>
      <c r="G15697">
        <v>6077777</v>
      </c>
      <c r="H15697">
        <v>500221</v>
      </c>
      <c r="I15697" t="s">
        <v>949</v>
      </c>
    </row>
    <row r="15698" spans="1:9" x14ac:dyDescent="0.25">
      <c r="A15698">
        <v>4141</v>
      </c>
      <c r="B15698">
        <v>60</v>
      </c>
      <c r="C15698" t="s">
        <v>946</v>
      </c>
      <c r="D15698" t="s">
        <v>1038</v>
      </c>
      <c r="E15698" t="s">
        <v>117</v>
      </c>
      <c r="F15698" t="s">
        <v>948</v>
      </c>
      <c r="G15698">
        <v>6077777</v>
      </c>
      <c r="H15698">
        <v>500220</v>
      </c>
      <c r="I15698" t="s">
        <v>949</v>
      </c>
    </row>
    <row r="15699" spans="1:9" x14ac:dyDescent="0.25">
      <c r="A15699">
        <v>4220</v>
      </c>
      <c r="B15699">
        <v>60</v>
      </c>
      <c r="C15699" t="s">
        <v>946</v>
      </c>
      <c r="D15699" t="s">
        <v>1038</v>
      </c>
      <c r="E15699" t="s">
        <v>117</v>
      </c>
      <c r="F15699" t="s">
        <v>948</v>
      </c>
      <c r="G15699">
        <v>6077777</v>
      </c>
      <c r="H15699">
        <v>500220</v>
      </c>
      <c r="I15699" t="s">
        <v>949</v>
      </c>
    </row>
    <row r="15700" spans="1:9" x14ac:dyDescent="0.25">
      <c r="A15700">
        <v>4230</v>
      </c>
      <c r="B15700">
        <v>60</v>
      </c>
      <c r="C15700" t="s">
        <v>946</v>
      </c>
      <c r="D15700" t="s">
        <v>1038</v>
      </c>
      <c r="E15700" t="s">
        <v>117</v>
      </c>
      <c r="F15700" t="s">
        <v>948</v>
      </c>
      <c r="G15700">
        <v>6088888</v>
      </c>
      <c r="H15700">
        <v>810600</v>
      </c>
      <c r="I15700" t="s">
        <v>949</v>
      </c>
    </row>
    <row r="15701" spans="1:9" x14ac:dyDescent="0.25">
      <c r="A15701">
        <v>4240</v>
      </c>
      <c r="B15701">
        <v>60</v>
      </c>
      <c r="C15701" t="s">
        <v>946</v>
      </c>
      <c r="D15701" t="s">
        <v>1038</v>
      </c>
      <c r="E15701" t="s">
        <v>117</v>
      </c>
      <c r="F15701" t="s">
        <v>948</v>
      </c>
      <c r="G15701">
        <v>6077777</v>
      </c>
      <c r="H15701">
        <v>500221</v>
      </c>
      <c r="I15701" t="s">
        <v>949</v>
      </c>
    </row>
    <row r="15702" spans="1:9" x14ac:dyDescent="0.25">
      <c r="A15702">
        <v>4141</v>
      </c>
      <c r="B15702">
        <v>60</v>
      </c>
      <c r="C15702" t="s">
        <v>946</v>
      </c>
      <c r="D15702" t="s">
        <v>1038</v>
      </c>
      <c r="E15702" t="s">
        <v>121</v>
      </c>
      <c r="F15702" t="s">
        <v>948</v>
      </c>
      <c r="G15702">
        <v>6077777</v>
      </c>
      <c r="H15702">
        <v>500220</v>
      </c>
      <c r="I15702" t="s">
        <v>949</v>
      </c>
    </row>
    <row r="15703" spans="1:9" x14ac:dyDescent="0.25">
      <c r="A15703">
        <v>4220</v>
      </c>
      <c r="B15703">
        <v>60</v>
      </c>
      <c r="C15703" t="s">
        <v>946</v>
      </c>
      <c r="D15703" t="s">
        <v>1038</v>
      </c>
      <c r="E15703" t="s">
        <v>121</v>
      </c>
      <c r="F15703" t="s">
        <v>948</v>
      </c>
      <c r="G15703">
        <v>6077777</v>
      </c>
      <c r="H15703">
        <v>500220</v>
      </c>
      <c r="I15703" t="s">
        <v>949</v>
      </c>
    </row>
    <row r="15704" spans="1:9" x14ac:dyDescent="0.25">
      <c r="A15704">
        <v>4230</v>
      </c>
      <c r="B15704">
        <v>60</v>
      </c>
      <c r="C15704" t="s">
        <v>946</v>
      </c>
      <c r="D15704" t="s">
        <v>1038</v>
      </c>
      <c r="E15704" t="s">
        <v>121</v>
      </c>
      <c r="F15704" t="s">
        <v>948</v>
      </c>
      <c r="G15704">
        <v>6099999</v>
      </c>
      <c r="H15704">
        <v>401042</v>
      </c>
      <c r="I15704" t="s">
        <v>949</v>
      </c>
    </row>
    <row r="15705" spans="1:9" x14ac:dyDescent="0.25">
      <c r="A15705">
        <v>4240</v>
      </c>
      <c r="B15705">
        <v>60</v>
      </c>
      <c r="C15705" t="s">
        <v>946</v>
      </c>
      <c r="D15705" t="s">
        <v>1038</v>
      </c>
      <c r="E15705" t="s">
        <v>121</v>
      </c>
      <c r="F15705" t="s">
        <v>948</v>
      </c>
      <c r="G15705">
        <v>6077777</v>
      </c>
      <c r="H15705">
        <v>500221</v>
      </c>
      <c r="I15705" t="s">
        <v>949</v>
      </c>
    </row>
    <row r="15706" spans="1:9" x14ac:dyDescent="0.25">
      <c r="A15706">
        <v>4141</v>
      </c>
      <c r="B15706">
        <v>60</v>
      </c>
      <c r="C15706" t="s">
        <v>946</v>
      </c>
      <c r="D15706" t="s">
        <v>1038</v>
      </c>
      <c r="E15706" t="s">
        <v>984</v>
      </c>
      <c r="F15706" t="s">
        <v>948</v>
      </c>
      <c r="G15706">
        <v>6077777</v>
      </c>
      <c r="H15706">
        <v>501010</v>
      </c>
      <c r="I15706" t="s">
        <v>949</v>
      </c>
    </row>
    <row r="15707" spans="1:9" x14ac:dyDescent="0.25">
      <c r="A15707">
        <v>4220</v>
      </c>
      <c r="B15707">
        <v>60</v>
      </c>
      <c r="C15707" t="s">
        <v>946</v>
      </c>
      <c r="D15707" t="s">
        <v>1038</v>
      </c>
      <c r="E15707" t="s">
        <v>984</v>
      </c>
      <c r="F15707" t="s">
        <v>948</v>
      </c>
      <c r="G15707">
        <v>6077777</v>
      </c>
      <c r="H15707">
        <v>501010</v>
      </c>
      <c r="I15707" t="s">
        <v>949</v>
      </c>
    </row>
    <row r="15708" spans="1:9" x14ac:dyDescent="0.25">
      <c r="A15708">
        <v>4230</v>
      </c>
      <c r="B15708">
        <v>60</v>
      </c>
      <c r="C15708" t="s">
        <v>946</v>
      </c>
      <c r="D15708" t="s">
        <v>1038</v>
      </c>
      <c r="E15708" t="s">
        <v>984</v>
      </c>
      <c r="F15708" t="s">
        <v>948</v>
      </c>
      <c r="G15708">
        <v>6099999</v>
      </c>
      <c r="H15708">
        <v>401912</v>
      </c>
      <c r="I15708" t="s">
        <v>949</v>
      </c>
    </row>
    <row r="15709" spans="1:9" x14ac:dyDescent="0.25">
      <c r="A15709">
        <v>4240</v>
      </c>
      <c r="B15709">
        <v>60</v>
      </c>
      <c r="C15709" t="s">
        <v>946</v>
      </c>
      <c r="D15709" t="s">
        <v>1038</v>
      </c>
      <c r="E15709" t="s">
        <v>984</v>
      </c>
      <c r="F15709" t="s">
        <v>948</v>
      </c>
      <c r="G15709">
        <v>6000000</v>
      </c>
      <c r="H15709">
        <v>141000</v>
      </c>
      <c r="I15709" t="s">
        <v>985</v>
      </c>
    </row>
    <row r="15710" spans="1:9" x14ac:dyDescent="0.25">
      <c r="A15710">
        <v>4141</v>
      </c>
      <c r="B15710">
        <v>60</v>
      </c>
      <c r="C15710" t="s">
        <v>946</v>
      </c>
      <c r="D15710" t="s">
        <v>144</v>
      </c>
      <c r="E15710" t="s">
        <v>49</v>
      </c>
      <c r="F15710" t="s">
        <v>948</v>
      </c>
      <c r="G15710">
        <v>6000000</v>
      </c>
      <c r="H15710">
        <v>145200</v>
      </c>
      <c r="I15710" t="s">
        <v>949</v>
      </c>
    </row>
    <row r="15711" spans="1:9" x14ac:dyDescent="0.25">
      <c r="A15711">
        <v>4220</v>
      </c>
      <c r="B15711">
        <v>60</v>
      </c>
      <c r="C15711" t="s">
        <v>946</v>
      </c>
      <c r="D15711" t="s">
        <v>144</v>
      </c>
      <c r="E15711" t="s">
        <v>49</v>
      </c>
      <c r="F15711" t="s">
        <v>948</v>
      </c>
      <c r="G15711">
        <v>6000000</v>
      </c>
      <c r="H15711">
        <v>145200</v>
      </c>
      <c r="I15711" t="s">
        <v>949</v>
      </c>
    </row>
    <row r="15712" spans="1:9" x14ac:dyDescent="0.25">
      <c r="A15712">
        <v>4230</v>
      </c>
      <c r="B15712">
        <v>60</v>
      </c>
      <c r="C15712" t="s">
        <v>946</v>
      </c>
      <c r="D15712" t="s">
        <v>144</v>
      </c>
      <c r="E15712" t="s">
        <v>49</v>
      </c>
      <c r="F15712" t="s">
        <v>948</v>
      </c>
      <c r="G15712">
        <v>6077777</v>
      </c>
      <c r="H15712">
        <v>500220</v>
      </c>
      <c r="I15712" t="s">
        <v>949</v>
      </c>
    </row>
    <row r="15713" spans="1:9" x14ac:dyDescent="0.25">
      <c r="A15713">
        <v>4245</v>
      </c>
      <c r="B15713">
        <v>60</v>
      </c>
      <c r="C15713" t="s">
        <v>946</v>
      </c>
      <c r="D15713" t="s">
        <v>144</v>
      </c>
      <c r="E15713" t="s">
        <v>49</v>
      </c>
      <c r="F15713" t="s">
        <v>948</v>
      </c>
      <c r="G15713">
        <v>6077777</v>
      </c>
      <c r="H15713">
        <v>500221</v>
      </c>
      <c r="I15713" t="s">
        <v>949</v>
      </c>
    </row>
    <row r="15714" spans="1:9" x14ac:dyDescent="0.25">
      <c r="A15714">
        <v>4240</v>
      </c>
      <c r="B15714">
        <v>60</v>
      </c>
      <c r="C15714" t="s">
        <v>946</v>
      </c>
      <c r="D15714" t="s">
        <v>144</v>
      </c>
      <c r="E15714" t="s">
        <v>243</v>
      </c>
      <c r="F15714" t="s">
        <v>948</v>
      </c>
      <c r="G15714">
        <v>6000000</v>
      </c>
      <c r="H15714">
        <v>145000</v>
      </c>
      <c r="I15714" t="s">
        <v>949</v>
      </c>
    </row>
    <row r="15715" spans="1:9" x14ac:dyDescent="0.25">
      <c r="A15715">
        <v>4240</v>
      </c>
      <c r="B15715">
        <v>60</v>
      </c>
      <c r="C15715" t="s">
        <v>946</v>
      </c>
      <c r="D15715" t="s">
        <v>144</v>
      </c>
      <c r="E15715" t="s">
        <v>247</v>
      </c>
      <c r="F15715" t="s">
        <v>948</v>
      </c>
      <c r="G15715">
        <v>6000000</v>
      </c>
      <c r="H15715">
        <v>145000</v>
      </c>
      <c r="I15715" t="s">
        <v>949</v>
      </c>
    </row>
    <row r="15716" spans="1:9" x14ac:dyDescent="0.25">
      <c r="A15716">
        <v>4240</v>
      </c>
      <c r="B15716">
        <v>60</v>
      </c>
      <c r="C15716" t="s">
        <v>946</v>
      </c>
      <c r="D15716" t="s">
        <v>144</v>
      </c>
      <c r="E15716" t="s">
        <v>251</v>
      </c>
      <c r="F15716" t="s">
        <v>948</v>
      </c>
      <c r="G15716">
        <v>6000000</v>
      </c>
      <c r="H15716">
        <v>142000</v>
      </c>
      <c r="I15716" t="s">
        <v>949</v>
      </c>
    </row>
    <row r="15717" spans="1:9" x14ac:dyDescent="0.25">
      <c r="A15717">
        <v>4240</v>
      </c>
      <c r="B15717">
        <v>60</v>
      </c>
      <c r="C15717" t="s">
        <v>946</v>
      </c>
      <c r="D15717" t="s">
        <v>144</v>
      </c>
      <c r="E15717" t="s">
        <v>969</v>
      </c>
      <c r="F15717" t="s">
        <v>948</v>
      </c>
      <c r="G15717">
        <v>6000000</v>
      </c>
      <c r="H15717">
        <v>141000</v>
      </c>
      <c r="I15717" t="s">
        <v>970</v>
      </c>
    </row>
    <row r="15718" spans="1:9" x14ac:dyDescent="0.25">
      <c r="A15718">
        <v>4240</v>
      </c>
      <c r="B15718">
        <v>60</v>
      </c>
      <c r="C15718" t="s">
        <v>946</v>
      </c>
      <c r="D15718" t="s">
        <v>144</v>
      </c>
      <c r="E15718" t="s">
        <v>255</v>
      </c>
      <c r="F15718" t="s">
        <v>948</v>
      </c>
      <c r="G15718">
        <v>6000000</v>
      </c>
      <c r="H15718">
        <v>145000</v>
      </c>
      <c r="I15718" t="s">
        <v>949</v>
      </c>
    </row>
    <row r="15719" spans="1:9" x14ac:dyDescent="0.25">
      <c r="A15719">
        <v>4240</v>
      </c>
      <c r="B15719">
        <v>60</v>
      </c>
      <c r="C15719" t="s">
        <v>946</v>
      </c>
      <c r="D15719" t="s">
        <v>144</v>
      </c>
      <c r="E15719" t="s">
        <v>971</v>
      </c>
      <c r="F15719" t="s">
        <v>948</v>
      </c>
      <c r="G15719">
        <v>6000000</v>
      </c>
      <c r="H15719">
        <v>141000</v>
      </c>
      <c r="I15719" t="s">
        <v>972</v>
      </c>
    </row>
    <row r="15720" spans="1:9" x14ac:dyDescent="0.25">
      <c r="A15720">
        <v>4240</v>
      </c>
      <c r="B15720">
        <v>60</v>
      </c>
      <c r="C15720" t="s">
        <v>946</v>
      </c>
      <c r="D15720" t="s">
        <v>144</v>
      </c>
      <c r="E15720" t="s">
        <v>263</v>
      </c>
      <c r="F15720" t="s">
        <v>948</v>
      </c>
      <c r="G15720">
        <v>6000000</v>
      </c>
      <c r="H15720">
        <v>145000</v>
      </c>
      <c r="I15720" t="s">
        <v>949</v>
      </c>
    </row>
    <row r="15721" spans="1:9" x14ac:dyDescent="0.25">
      <c r="A15721">
        <v>4141</v>
      </c>
      <c r="B15721">
        <v>60</v>
      </c>
      <c r="C15721" t="s">
        <v>946</v>
      </c>
      <c r="D15721" t="s">
        <v>144</v>
      </c>
      <c r="E15721" t="s">
        <v>100</v>
      </c>
      <c r="F15721" t="s">
        <v>948</v>
      </c>
      <c r="G15721">
        <v>6077777</v>
      </c>
      <c r="H15721">
        <v>500220</v>
      </c>
      <c r="I15721" t="s">
        <v>949</v>
      </c>
    </row>
    <row r="15722" spans="1:9" x14ac:dyDescent="0.25">
      <c r="A15722">
        <v>4220</v>
      </c>
      <c r="B15722">
        <v>60</v>
      </c>
      <c r="C15722" t="s">
        <v>946</v>
      </c>
      <c r="D15722" t="s">
        <v>144</v>
      </c>
      <c r="E15722" t="s">
        <v>100</v>
      </c>
      <c r="F15722" t="s">
        <v>948</v>
      </c>
      <c r="G15722">
        <v>6077777</v>
      </c>
      <c r="H15722">
        <v>500220</v>
      </c>
      <c r="I15722" t="s">
        <v>949</v>
      </c>
    </row>
    <row r="15723" spans="1:9" x14ac:dyDescent="0.25">
      <c r="A15723">
        <v>4240</v>
      </c>
      <c r="B15723">
        <v>60</v>
      </c>
      <c r="C15723" t="s">
        <v>946</v>
      </c>
      <c r="D15723" t="s">
        <v>144</v>
      </c>
      <c r="E15723" t="s">
        <v>100</v>
      </c>
      <c r="F15723" t="s">
        <v>948</v>
      </c>
      <c r="G15723">
        <v>6077777</v>
      </c>
      <c r="H15723">
        <v>500221</v>
      </c>
      <c r="I15723" t="s">
        <v>949</v>
      </c>
    </row>
    <row r="15724" spans="1:9" x14ac:dyDescent="0.25">
      <c r="A15724">
        <v>4240</v>
      </c>
      <c r="B15724">
        <v>60</v>
      </c>
      <c r="C15724" t="s">
        <v>946</v>
      </c>
      <c r="D15724" t="s">
        <v>144</v>
      </c>
      <c r="E15724" t="s">
        <v>270</v>
      </c>
      <c r="F15724" t="s">
        <v>948</v>
      </c>
      <c r="G15724">
        <v>6000000</v>
      </c>
      <c r="H15724">
        <v>145000</v>
      </c>
      <c r="I15724" t="s">
        <v>949</v>
      </c>
    </row>
    <row r="15725" spans="1:9" x14ac:dyDescent="0.25">
      <c r="A15725">
        <v>4240</v>
      </c>
      <c r="B15725">
        <v>60</v>
      </c>
      <c r="C15725" t="s">
        <v>946</v>
      </c>
      <c r="D15725" t="s">
        <v>144</v>
      </c>
      <c r="E15725" t="s">
        <v>274</v>
      </c>
      <c r="F15725" t="s">
        <v>948</v>
      </c>
      <c r="G15725">
        <v>6000000</v>
      </c>
      <c r="H15725">
        <v>143000</v>
      </c>
      <c r="I15725" t="s">
        <v>973</v>
      </c>
    </row>
    <row r="15726" spans="1:9" x14ac:dyDescent="0.25">
      <c r="A15726">
        <v>4240</v>
      </c>
      <c r="B15726">
        <v>60</v>
      </c>
      <c r="C15726" t="s">
        <v>946</v>
      </c>
      <c r="D15726" t="s">
        <v>144</v>
      </c>
      <c r="E15726" t="s">
        <v>974</v>
      </c>
      <c r="F15726" t="s">
        <v>948</v>
      </c>
      <c r="G15726">
        <v>6000000</v>
      </c>
      <c r="H15726">
        <v>141000</v>
      </c>
      <c r="I15726" t="s">
        <v>975</v>
      </c>
    </row>
    <row r="15727" spans="1:9" x14ac:dyDescent="0.25">
      <c r="A15727">
        <v>4141</v>
      </c>
      <c r="B15727">
        <v>60</v>
      </c>
      <c r="C15727" t="s">
        <v>946</v>
      </c>
      <c r="D15727" t="s">
        <v>144</v>
      </c>
      <c r="E15727" t="s">
        <v>104</v>
      </c>
      <c r="F15727" t="s">
        <v>948</v>
      </c>
      <c r="G15727">
        <v>6077777</v>
      </c>
      <c r="H15727">
        <v>500220</v>
      </c>
      <c r="I15727" t="s">
        <v>949</v>
      </c>
    </row>
    <row r="15728" spans="1:9" x14ac:dyDescent="0.25">
      <c r="A15728">
        <v>4220</v>
      </c>
      <c r="B15728">
        <v>60</v>
      </c>
      <c r="C15728" t="s">
        <v>946</v>
      </c>
      <c r="D15728" t="s">
        <v>144</v>
      </c>
      <c r="E15728" t="s">
        <v>104</v>
      </c>
      <c r="F15728" t="s">
        <v>948</v>
      </c>
      <c r="G15728">
        <v>6077777</v>
      </c>
      <c r="H15728">
        <v>500220</v>
      </c>
      <c r="I15728" t="s">
        <v>949</v>
      </c>
    </row>
    <row r="15729" spans="1:9" x14ac:dyDescent="0.25">
      <c r="A15729">
        <v>4240</v>
      </c>
      <c r="B15729">
        <v>60</v>
      </c>
      <c r="C15729" t="s">
        <v>946</v>
      </c>
      <c r="D15729" t="s">
        <v>144</v>
      </c>
      <c r="E15729" t="s">
        <v>104</v>
      </c>
      <c r="F15729" t="s">
        <v>948</v>
      </c>
      <c r="G15729">
        <v>6077777</v>
      </c>
      <c r="H15729">
        <v>500221</v>
      </c>
      <c r="I15729" t="s">
        <v>949</v>
      </c>
    </row>
    <row r="15730" spans="1:9" x14ac:dyDescent="0.25">
      <c r="A15730">
        <v>4240</v>
      </c>
      <c r="B15730">
        <v>60</v>
      </c>
      <c r="C15730" t="s">
        <v>946</v>
      </c>
      <c r="D15730" t="s">
        <v>144</v>
      </c>
      <c r="E15730" t="s">
        <v>278</v>
      </c>
      <c r="F15730" t="s">
        <v>948</v>
      </c>
      <c r="G15730">
        <v>6000000</v>
      </c>
      <c r="H15730">
        <v>145000</v>
      </c>
      <c r="I15730" t="s">
        <v>949</v>
      </c>
    </row>
    <row r="15731" spans="1:9" x14ac:dyDescent="0.25">
      <c r="A15731">
        <v>4240</v>
      </c>
      <c r="B15731">
        <v>60</v>
      </c>
      <c r="C15731" t="s">
        <v>946</v>
      </c>
      <c r="D15731" t="s">
        <v>144</v>
      </c>
      <c r="E15731" t="s">
        <v>282</v>
      </c>
      <c r="F15731" t="s">
        <v>948</v>
      </c>
      <c r="G15731">
        <v>6000000</v>
      </c>
      <c r="H15731">
        <v>143100</v>
      </c>
      <c r="I15731" t="s">
        <v>949</v>
      </c>
    </row>
    <row r="15732" spans="1:9" x14ac:dyDescent="0.25">
      <c r="A15732">
        <v>4240</v>
      </c>
      <c r="B15732">
        <v>60</v>
      </c>
      <c r="C15732" t="s">
        <v>946</v>
      </c>
      <c r="D15732" t="s">
        <v>144</v>
      </c>
      <c r="E15732" t="s">
        <v>286</v>
      </c>
      <c r="F15732" t="s">
        <v>948</v>
      </c>
      <c r="G15732">
        <v>6000000</v>
      </c>
      <c r="H15732">
        <v>145000</v>
      </c>
      <c r="I15732" t="s">
        <v>949</v>
      </c>
    </row>
    <row r="15733" spans="1:9" x14ac:dyDescent="0.25">
      <c r="A15733">
        <v>4240</v>
      </c>
      <c r="B15733">
        <v>60</v>
      </c>
      <c r="C15733" t="s">
        <v>946</v>
      </c>
      <c r="D15733" t="s">
        <v>144</v>
      </c>
      <c r="E15733" t="s">
        <v>976</v>
      </c>
      <c r="F15733" t="s">
        <v>948</v>
      </c>
      <c r="G15733">
        <v>6000000</v>
      </c>
      <c r="H15733">
        <v>141000</v>
      </c>
      <c r="I15733" t="s">
        <v>977</v>
      </c>
    </row>
    <row r="15734" spans="1:9" x14ac:dyDescent="0.25">
      <c r="A15734">
        <v>4240</v>
      </c>
      <c r="B15734">
        <v>60</v>
      </c>
      <c r="C15734" t="s">
        <v>946</v>
      </c>
      <c r="D15734" t="s">
        <v>144</v>
      </c>
      <c r="E15734" t="s">
        <v>290</v>
      </c>
      <c r="F15734" t="s">
        <v>948</v>
      </c>
      <c r="G15734">
        <v>6000000</v>
      </c>
      <c r="H15734">
        <v>143000</v>
      </c>
      <c r="I15734" t="s">
        <v>978</v>
      </c>
    </row>
    <row r="15735" spans="1:9" x14ac:dyDescent="0.25">
      <c r="A15735">
        <v>4240</v>
      </c>
      <c r="B15735">
        <v>60</v>
      </c>
      <c r="C15735" t="s">
        <v>946</v>
      </c>
      <c r="D15735" t="s">
        <v>144</v>
      </c>
      <c r="E15735" t="s">
        <v>294</v>
      </c>
      <c r="F15735" t="s">
        <v>948</v>
      </c>
      <c r="G15735">
        <v>6000000</v>
      </c>
      <c r="H15735">
        <v>143000</v>
      </c>
      <c r="I15735" t="s">
        <v>979</v>
      </c>
    </row>
    <row r="15736" spans="1:9" x14ac:dyDescent="0.25">
      <c r="A15736">
        <v>4240</v>
      </c>
      <c r="B15736">
        <v>60</v>
      </c>
      <c r="C15736" t="s">
        <v>946</v>
      </c>
      <c r="D15736" t="s">
        <v>144</v>
      </c>
      <c r="E15736" t="s">
        <v>980</v>
      </c>
      <c r="F15736" t="s">
        <v>948</v>
      </c>
      <c r="G15736">
        <v>6000000</v>
      </c>
      <c r="H15736">
        <v>141000</v>
      </c>
      <c r="I15736" t="s">
        <v>981</v>
      </c>
    </row>
    <row r="15737" spans="1:9" x14ac:dyDescent="0.25">
      <c r="A15737">
        <v>4240</v>
      </c>
      <c r="B15737">
        <v>60</v>
      </c>
      <c r="C15737" t="s">
        <v>946</v>
      </c>
      <c r="D15737" t="s">
        <v>144</v>
      </c>
      <c r="E15737" t="s">
        <v>302</v>
      </c>
      <c r="F15737" t="s">
        <v>948</v>
      </c>
      <c r="G15737">
        <v>6000000</v>
      </c>
      <c r="H15737">
        <v>143000</v>
      </c>
      <c r="I15737" t="s">
        <v>982</v>
      </c>
    </row>
    <row r="15738" spans="1:9" x14ac:dyDescent="0.25">
      <c r="A15738">
        <v>4240</v>
      </c>
      <c r="B15738">
        <v>60</v>
      </c>
      <c r="C15738" t="s">
        <v>946</v>
      </c>
      <c r="D15738" t="s">
        <v>144</v>
      </c>
      <c r="E15738" t="s">
        <v>306</v>
      </c>
      <c r="F15738" t="s">
        <v>948</v>
      </c>
      <c r="G15738">
        <v>6000000</v>
      </c>
      <c r="H15738">
        <v>143000</v>
      </c>
      <c r="I15738" t="s">
        <v>983</v>
      </c>
    </row>
    <row r="15739" ht="22" customHeight="1" spans="1:10" x14ac:dyDescent="0.25">
      <c r="A15739" s="43">
        <v>4141</v>
      </c>
      <c r="B15739" s="43">
        <v>60</v>
      </c>
      <c r="C15739" s="43" t="s">
        <v>946</v>
      </c>
      <c r="D15739" s="43" t="s">
        <v>144</v>
      </c>
      <c r="E15739" s="43" t="s">
        <v>108</v>
      </c>
      <c r="F15739" s="43" t="s">
        <v>948</v>
      </c>
      <c r="G15739" s="43">
        <v>6000000</v>
      </c>
      <c r="H15739" s="43">
        <v>145200</v>
      </c>
      <c r="I15739" s="43" t="s">
        <v>949</v>
      </c>
      <c r="J15739" s="44" t="s">
        <v>1000</v>
      </c>
    </row>
    <row r="15740" spans="1:9" x14ac:dyDescent="0.25">
      <c r="A15740">
        <v>4220</v>
      </c>
      <c r="B15740">
        <v>60</v>
      </c>
      <c r="C15740" t="s">
        <v>946</v>
      </c>
      <c r="D15740" t="s">
        <v>144</v>
      </c>
      <c r="E15740" t="s">
        <v>108</v>
      </c>
      <c r="F15740" t="s">
        <v>948</v>
      </c>
      <c r="G15740">
        <v>6077777</v>
      </c>
      <c r="H15740">
        <v>500220</v>
      </c>
      <c r="I15740" t="s">
        <v>949</v>
      </c>
    </row>
    <row r="15741" spans="1:9" x14ac:dyDescent="0.25">
      <c r="A15741">
        <v>4240</v>
      </c>
      <c r="B15741">
        <v>60</v>
      </c>
      <c r="C15741" t="s">
        <v>946</v>
      </c>
      <c r="D15741" t="s">
        <v>144</v>
      </c>
      <c r="E15741" t="s">
        <v>108</v>
      </c>
      <c r="F15741" t="s">
        <v>948</v>
      </c>
      <c r="G15741">
        <v>6077777</v>
      </c>
      <c r="H15741">
        <v>500221</v>
      </c>
      <c r="I15741" t="s">
        <v>949</v>
      </c>
    </row>
    <row r="15742" spans="1:9" x14ac:dyDescent="0.25">
      <c r="A15742">
        <v>4240</v>
      </c>
      <c r="B15742">
        <v>60</v>
      </c>
      <c r="C15742" t="s">
        <v>946</v>
      </c>
      <c r="D15742" t="s">
        <v>144</v>
      </c>
      <c r="E15742" t="s">
        <v>310</v>
      </c>
      <c r="F15742" t="s">
        <v>948</v>
      </c>
      <c r="G15742">
        <v>6000000</v>
      </c>
      <c r="H15742">
        <v>145000</v>
      </c>
      <c r="I15742" t="s">
        <v>949</v>
      </c>
    </row>
    <row r="15743" spans="1:9" x14ac:dyDescent="0.25">
      <c r="A15743">
        <v>4240</v>
      </c>
      <c r="B15743">
        <v>60</v>
      </c>
      <c r="C15743" t="s">
        <v>946</v>
      </c>
      <c r="D15743" t="s">
        <v>144</v>
      </c>
      <c r="E15743" t="s">
        <v>314</v>
      </c>
      <c r="F15743" t="s">
        <v>948</v>
      </c>
      <c r="G15743">
        <v>6000000</v>
      </c>
      <c r="H15743">
        <v>145000</v>
      </c>
      <c r="I15743" t="s">
        <v>949</v>
      </c>
    </row>
    <row r="15744" spans="1:9" x14ac:dyDescent="0.25">
      <c r="A15744">
        <v>4141</v>
      </c>
      <c r="B15744">
        <v>60</v>
      </c>
      <c r="C15744" t="s">
        <v>946</v>
      </c>
      <c r="D15744" t="s">
        <v>144</v>
      </c>
      <c r="E15744" t="s">
        <v>113</v>
      </c>
      <c r="F15744" t="s">
        <v>948</v>
      </c>
      <c r="G15744">
        <v>6077777</v>
      </c>
      <c r="H15744">
        <v>500220</v>
      </c>
      <c r="I15744" t="s">
        <v>949</v>
      </c>
    </row>
    <row r="15745" spans="1:9" x14ac:dyDescent="0.25">
      <c r="A15745">
        <v>4220</v>
      </c>
      <c r="B15745">
        <v>60</v>
      </c>
      <c r="C15745" t="s">
        <v>946</v>
      </c>
      <c r="D15745" t="s">
        <v>144</v>
      </c>
      <c r="E15745" t="s">
        <v>113</v>
      </c>
      <c r="F15745" t="s">
        <v>948</v>
      </c>
      <c r="G15745">
        <v>6077777</v>
      </c>
      <c r="H15745">
        <v>500220</v>
      </c>
      <c r="I15745" t="s">
        <v>949</v>
      </c>
    </row>
    <row r="15746" spans="1:9" x14ac:dyDescent="0.25">
      <c r="A15746">
        <v>4240</v>
      </c>
      <c r="B15746">
        <v>60</v>
      </c>
      <c r="C15746" t="s">
        <v>946</v>
      </c>
      <c r="D15746" t="s">
        <v>144</v>
      </c>
      <c r="E15746" t="s">
        <v>113</v>
      </c>
      <c r="F15746" t="s">
        <v>948</v>
      </c>
      <c r="G15746">
        <v>6077777</v>
      </c>
      <c r="H15746">
        <v>500221</v>
      </c>
      <c r="I15746" t="s">
        <v>949</v>
      </c>
    </row>
    <row r="15747" spans="1:9" x14ac:dyDescent="0.25">
      <c r="A15747">
        <v>4141</v>
      </c>
      <c r="B15747">
        <v>60</v>
      </c>
      <c r="C15747" t="s">
        <v>946</v>
      </c>
      <c r="D15747" t="s">
        <v>144</v>
      </c>
      <c r="E15747" t="s">
        <v>117</v>
      </c>
      <c r="F15747" t="s">
        <v>948</v>
      </c>
      <c r="G15747">
        <v>6077777</v>
      </c>
      <c r="H15747">
        <v>500220</v>
      </c>
      <c r="I15747" t="s">
        <v>949</v>
      </c>
    </row>
    <row r="15748" spans="1:9" x14ac:dyDescent="0.25">
      <c r="A15748">
        <v>4220</v>
      </c>
      <c r="B15748">
        <v>60</v>
      </c>
      <c r="C15748" t="s">
        <v>946</v>
      </c>
      <c r="D15748" t="s">
        <v>144</v>
      </c>
      <c r="E15748" t="s">
        <v>117</v>
      </c>
      <c r="F15748" t="s">
        <v>948</v>
      </c>
      <c r="G15748">
        <v>6077777</v>
      </c>
      <c r="H15748">
        <v>500220</v>
      </c>
      <c r="I15748" t="s">
        <v>949</v>
      </c>
    </row>
    <row r="15749" spans="1:9" x14ac:dyDescent="0.25">
      <c r="A15749">
        <v>4240</v>
      </c>
      <c r="B15749">
        <v>60</v>
      </c>
      <c r="C15749" t="s">
        <v>946</v>
      </c>
      <c r="D15749" t="s">
        <v>144</v>
      </c>
      <c r="E15749" t="s">
        <v>117</v>
      </c>
      <c r="F15749" t="s">
        <v>948</v>
      </c>
      <c r="G15749">
        <v>6077777</v>
      </c>
      <c r="H15749">
        <v>500221</v>
      </c>
      <c r="I15749" t="s">
        <v>949</v>
      </c>
    </row>
    <row r="15750" spans="1:9" x14ac:dyDescent="0.25">
      <c r="A15750">
        <v>4141</v>
      </c>
      <c r="B15750">
        <v>60</v>
      </c>
      <c r="C15750" t="s">
        <v>946</v>
      </c>
      <c r="D15750" t="s">
        <v>144</v>
      </c>
      <c r="E15750" t="s">
        <v>121</v>
      </c>
      <c r="F15750" t="s">
        <v>948</v>
      </c>
      <c r="G15750">
        <v>6077777</v>
      </c>
      <c r="H15750">
        <v>500220</v>
      </c>
      <c r="I15750" t="s">
        <v>949</v>
      </c>
    </row>
    <row r="15751" spans="1:9" x14ac:dyDescent="0.25">
      <c r="A15751">
        <v>4220</v>
      </c>
      <c r="B15751">
        <v>60</v>
      </c>
      <c r="C15751" t="s">
        <v>946</v>
      </c>
      <c r="D15751" t="s">
        <v>144</v>
      </c>
      <c r="E15751" t="s">
        <v>121</v>
      </c>
      <c r="F15751" t="s">
        <v>948</v>
      </c>
      <c r="G15751">
        <v>6077777</v>
      </c>
      <c r="H15751">
        <v>500220</v>
      </c>
      <c r="I15751" t="s">
        <v>949</v>
      </c>
    </row>
    <row r="15752" spans="1:9" x14ac:dyDescent="0.25">
      <c r="A15752">
        <v>4240</v>
      </c>
      <c r="B15752">
        <v>60</v>
      </c>
      <c r="C15752" t="s">
        <v>946</v>
      </c>
      <c r="D15752" t="s">
        <v>144</v>
      </c>
      <c r="E15752" t="s">
        <v>121</v>
      </c>
      <c r="F15752" t="s">
        <v>948</v>
      </c>
      <c r="G15752">
        <v>6077777</v>
      </c>
      <c r="H15752">
        <v>500221</v>
      </c>
      <c r="I15752" t="s">
        <v>949</v>
      </c>
    </row>
    <row r="15753" spans="1:9" x14ac:dyDescent="0.25">
      <c r="A15753">
        <v>4240</v>
      </c>
      <c r="B15753">
        <v>60</v>
      </c>
      <c r="C15753" t="s">
        <v>946</v>
      </c>
      <c r="D15753" t="s">
        <v>144</v>
      </c>
      <c r="E15753" t="s">
        <v>984</v>
      </c>
      <c r="F15753" t="s">
        <v>948</v>
      </c>
      <c r="G15753">
        <v>6000000</v>
      </c>
      <c r="H15753">
        <v>141000</v>
      </c>
      <c r="I15753" t="s">
        <v>985</v>
      </c>
    </row>
    <row r="15754" spans="1:9" x14ac:dyDescent="0.25">
      <c r="A15754">
        <v>4124</v>
      </c>
      <c r="B15754">
        <v>60</v>
      </c>
      <c r="C15754" t="s">
        <v>946</v>
      </c>
      <c r="D15754" t="s">
        <v>1040</v>
      </c>
      <c r="E15754" t="s">
        <v>49</v>
      </c>
      <c r="F15754" t="s">
        <v>948</v>
      </c>
      <c r="G15754">
        <v>6077777</v>
      </c>
      <c r="H15754">
        <v>500465</v>
      </c>
      <c r="I15754" t="s">
        <v>949</v>
      </c>
    </row>
    <row r="15755" spans="1:9" x14ac:dyDescent="0.25">
      <c r="A15755">
        <v>4141</v>
      </c>
      <c r="B15755">
        <v>60</v>
      </c>
      <c r="C15755" t="s">
        <v>946</v>
      </c>
      <c r="D15755" t="s">
        <v>1040</v>
      </c>
      <c r="E15755" t="s">
        <v>49</v>
      </c>
      <c r="F15755" t="s">
        <v>948</v>
      </c>
      <c r="G15755">
        <v>6077777</v>
      </c>
      <c r="H15755">
        <v>500460</v>
      </c>
      <c r="I15755" t="s">
        <v>949</v>
      </c>
    </row>
    <row r="15756" spans="1:9" x14ac:dyDescent="0.25">
      <c r="A15756">
        <v>4220</v>
      </c>
      <c r="B15756">
        <v>60</v>
      </c>
      <c r="C15756" t="s">
        <v>946</v>
      </c>
      <c r="D15756" t="s">
        <v>1040</v>
      </c>
      <c r="E15756" t="s">
        <v>49</v>
      </c>
      <c r="F15756" t="s">
        <v>948</v>
      </c>
      <c r="G15756">
        <v>6077777</v>
      </c>
      <c r="H15756">
        <v>500465</v>
      </c>
      <c r="I15756" t="s">
        <v>949</v>
      </c>
    </row>
    <row r="15757" spans="1:9" x14ac:dyDescent="0.25">
      <c r="A15757">
        <v>4122</v>
      </c>
      <c r="B15757">
        <v>60</v>
      </c>
      <c r="C15757" t="s">
        <v>946</v>
      </c>
      <c r="D15757" t="s">
        <v>1040</v>
      </c>
      <c r="E15757" t="s">
        <v>243</v>
      </c>
      <c r="F15757" t="s">
        <v>948</v>
      </c>
      <c r="G15757">
        <v>6000000</v>
      </c>
      <c r="H15757">
        <v>145000</v>
      </c>
      <c r="I15757" t="s">
        <v>949</v>
      </c>
    </row>
    <row r="15758" spans="1:9" x14ac:dyDescent="0.25">
      <c r="A15758">
        <v>4240</v>
      </c>
      <c r="B15758">
        <v>60</v>
      </c>
      <c r="C15758" t="s">
        <v>946</v>
      </c>
      <c r="D15758" t="s">
        <v>1040</v>
      </c>
      <c r="E15758" t="s">
        <v>243</v>
      </c>
      <c r="F15758" t="s">
        <v>948</v>
      </c>
      <c r="G15758">
        <v>6000000</v>
      </c>
      <c r="H15758">
        <v>145000</v>
      </c>
      <c r="I15758" t="s">
        <v>949</v>
      </c>
    </row>
    <row r="15759" spans="1:9" x14ac:dyDescent="0.25">
      <c r="A15759">
        <v>4122</v>
      </c>
      <c r="B15759">
        <v>60</v>
      </c>
      <c r="C15759" t="s">
        <v>946</v>
      </c>
      <c r="D15759" t="s">
        <v>1040</v>
      </c>
      <c r="E15759" t="s">
        <v>247</v>
      </c>
      <c r="F15759" t="s">
        <v>948</v>
      </c>
      <c r="G15759">
        <v>6000000</v>
      </c>
      <c r="H15759">
        <v>145000</v>
      </c>
      <c r="I15759" t="s">
        <v>949</v>
      </c>
    </row>
    <row r="15760" spans="1:9" x14ac:dyDescent="0.25">
      <c r="A15760">
        <v>4240</v>
      </c>
      <c r="B15760">
        <v>60</v>
      </c>
      <c r="C15760" t="s">
        <v>946</v>
      </c>
      <c r="D15760" t="s">
        <v>1040</v>
      </c>
      <c r="E15760" t="s">
        <v>247</v>
      </c>
      <c r="F15760" t="s">
        <v>948</v>
      </c>
      <c r="G15760">
        <v>6000000</v>
      </c>
      <c r="H15760">
        <v>145000</v>
      </c>
      <c r="I15760" t="s">
        <v>949</v>
      </c>
    </row>
    <row r="15761" spans="1:9" x14ac:dyDescent="0.25">
      <c r="A15761">
        <v>4122</v>
      </c>
      <c r="B15761">
        <v>60</v>
      </c>
      <c r="C15761" t="s">
        <v>946</v>
      </c>
      <c r="D15761" t="s">
        <v>1040</v>
      </c>
      <c r="E15761" t="s">
        <v>251</v>
      </c>
      <c r="F15761" t="s">
        <v>948</v>
      </c>
      <c r="G15761">
        <v>6000000</v>
      </c>
      <c r="H15761">
        <v>142000</v>
      </c>
      <c r="I15761" t="s">
        <v>949</v>
      </c>
    </row>
    <row r="15762" spans="1:9" x14ac:dyDescent="0.25">
      <c r="A15762">
        <v>4240</v>
      </c>
      <c r="B15762">
        <v>60</v>
      </c>
      <c r="C15762" t="s">
        <v>946</v>
      </c>
      <c r="D15762" t="s">
        <v>1040</v>
      </c>
      <c r="E15762" t="s">
        <v>251</v>
      </c>
      <c r="F15762" t="s">
        <v>948</v>
      </c>
      <c r="G15762">
        <v>6000000</v>
      </c>
      <c r="H15762">
        <v>142000</v>
      </c>
      <c r="I15762" t="s">
        <v>949</v>
      </c>
    </row>
    <row r="15763" spans="1:9" x14ac:dyDescent="0.25">
      <c r="A15763">
        <v>4122</v>
      </c>
      <c r="B15763">
        <v>60</v>
      </c>
      <c r="C15763" t="s">
        <v>946</v>
      </c>
      <c r="D15763" t="s">
        <v>1040</v>
      </c>
      <c r="E15763" t="s">
        <v>969</v>
      </c>
      <c r="F15763" t="s">
        <v>948</v>
      </c>
      <c r="G15763">
        <v>6000000</v>
      </c>
      <c r="H15763">
        <v>141000</v>
      </c>
      <c r="I15763" t="s">
        <v>970</v>
      </c>
    </row>
    <row r="15764" spans="1:9" x14ac:dyDescent="0.25">
      <c r="A15764">
        <v>4240</v>
      </c>
      <c r="B15764">
        <v>60</v>
      </c>
      <c r="C15764" t="s">
        <v>946</v>
      </c>
      <c r="D15764" t="s">
        <v>1040</v>
      </c>
      <c r="E15764" t="s">
        <v>969</v>
      </c>
      <c r="F15764" t="s">
        <v>948</v>
      </c>
      <c r="G15764">
        <v>6000000</v>
      </c>
      <c r="H15764">
        <v>141000</v>
      </c>
      <c r="I15764" t="s">
        <v>970</v>
      </c>
    </row>
    <row r="15765" spans="1:9" x14ac:dyDescent="0.25">
      <c r="A15765">
        <v>4122</v>
      </c>
      <c r="B15765">
        <v>60</v>
      </c>
      <c r="C15765" t="s">
        <v>946</v>
      </c>
      <c r="D15765" t="s">
        <v>1040</v>
      </c>
      <c r="E15765" t="s">
        <v>255</v>
      </c>
      <c r="F15765" t="s">
        <v>948</v>
      </c>
      <c r="G15765">
        <v>6000000</v>
      </c>
      <c r="H15765">
        <v>145000</v>
      </c>
      <c r="I15765" t="s">
        <v>949</v>
      </c>
    </row>
    <row r="15766" spans="1:9" x14ac:dyDescent="0.25">
      <c r="A15766">
        <v>4240</v>
      </c>
      <c r="B15766">
        <v>60</v>
      </c>
      <c r="C15766" t="s">
        <v>946</v>
      </c>
      <c r="D15766" t="s">
        <v>1040</v>
      </c>
      <c r="E15766" t="s">
        <v>255</v>
      </c>
      <c r="F15766" t="s">
        <v>948</v>
      </c>
      <c r="G15766">
        <v>6000000</v>
      </c>
      <c r="H15766">
        <v>145000</v>
      </c>
      <c r="I15766" t="s">
        <v>949</v>
      </c>
    </row>
    <row r="15767" spans="1:9" x14ac:dyDescent="0.25">
      <c r="A15767">
        <v>4122</v>
      </c>
      <c r="B15767">
        <v>60</v>
      </c>
      <c r="C15767" t="s">
        <v>946</v>
      </c>
      <c r="D15767" t="s">
        <v>1040</v>
      </c>
      <c r="E15767" t="s">
        <v>971</v>
      </c>
      <c r="F15767" t="s">
        <v>948</v>
      </c>
      <c r="G15767">
        <v>6000000</v>
      </c>
      <c r="H15767">
        <v>141000</v>
      </c>
      <c r="I15767" t="s">
        <v>972</v>
      </c>
    </row>
    <row r="15768" spans="1:9" x14ac:dyDescent="0.25">
      <c r="A15768">
        <v>4240</v>
      </c>
      <c r="B15768">
        <v>60</v>
      </c>
      <c r="C15768" t="s">
        <v>946</v>
      </c>
      <c r="D15768" t="s">
        <v>1040</v>
      </c>
      <c r="E15768" t="s">
        <v>971</v>
      </c>
      <c r="F15768" t="s">
        <v>948</v>
      </c>
      <c r="G15768">
        <v>6000000</v>
      </c>
      <c r="H15768">
        <v>141000</v>
      </c>
      <c r="I15768" t="s">
        <v>972</v>
      </c>
    </row>
    <row r="15769" spans="1:9" x14ac:dyDescent="0.25">
      <c r="A15769">
        <v>4122</v>
      </c>
      <c r="B15769">
        <v>60</v>
      </c>
      <c r="C15769" t="s">
        <v>946</v>
      </c>
      <c r="D15769" t="s">
        <v>1040</v>
      </c>
      <c r="E15769" t="s">
        <v>263</v>
      </c>
      <c r="F15769" t="s">
        <v>948</v>
      </c>
      <c r="G15769">
        <v>6000000</v>
      </c>
      <c r="H15769">
        <v>145000</v>
      </c>
      <c r="I15769" t="s">
        <v>949</v>
      </c>
    </row>
    <row r="15770" spans="1:9" x14ac:dyDescent="0.25">
      <c r="A15770">
        <v>4240</v>
      </c>
      <c r="B15770">
        <v>60</v>
      </c>
      <c r="C15770" t="s">
        <v>946</v>
      </c>
      <c r="D15770" t="s">
        <v>1040</v>
      </c>
      <c r="E15770" t="s">
        <v>263</v>
      </c>
      <c r="F15770" t="s">
        <v>948</v>
      </c>
      <c r="G15770">
        <v>6000000</v>
      </c>
      <c r="H15770">
        <v>145000</v>
      </c>
      <c r="I15770" t="s">
        <v>949</v>
      </c>
    </row>
    <row r="15771" spans="1:9" x14ac:dyDescent="0.25">
      <c r="A15771">
        <v>4122</v>
      </c>
      <c r="B15771">
        <v>60</v>
      </c>
      <c r="C15771" t="s">
        <v>946</v>
      </c>
      <c r="D15771" t="s">
        <v>1040</v>
      </c>
      <c r="E15771" t="s">
        <v>100</v>
      </c>
      <c r="F15771" t="s">
        <v>948</v>
      </c>
      <c r="G15771">
        <v>6077777</v>
      </c>
      <c r="H15771">
        <v>500220</v>
      </c>
      <c r="I15771" t="s">
        <v>949</v>
      </c>
    </row>
    <row r="15772" spans="1:9" x14ac:dyDescent="0.25">
      <c r="A15772">
        <v>4240</v>
      </c>
      <c r="B15772">
        <v>60</v>
      </c>
      <c r="C15772" t="s">
        <v>946</v>
      </c>
      <c r="D15772" t="s">
        <v>1040</v>
      </c>
      <c r="E15772" t="s">
        <v>100</v>
      </c>
      <c r="F15772" t="s">
        <v>948</v>
      </c>
      <c r="G15772">
        <v>6077777</v>
      </c>
      <c r="H15772">
        <v>500221</v>
      </c>
      <c r="I15772" t="s">
        <v>949</v>
      </c>
    </row>
    <row r="15773" spans="1:9" x14ac:dyDescent="0.25">
      <c r="A15773">
        <v>4122</v>
      </c>
      <c r="B15773">
        <v>60</v>
      </c>
      <c r="C15773" t="s">
        <v>946</v>
      </c>
      <c r="D15773" t="s">
        <v>1040</v>
      </c>
      <c r="E15773" t="s">
        <v>270</v>
      </c>
      <c r="F15773" t="s">
        <v>948</v>
      </c>
      <c r="G15773">
        <v>6000000</v>
      </c>
      <c r="H15773">
        <v>145000</v>
      </c>
      <c r="I15773" t="s">
        <v>949</v>
      </c>
    </row>
    <row r="15774" spans="1:9" x14ac:dyDescent="0.25">
      <c r="A15774">
        <v>4240</v>
      </c>
      <c r="B15774">
        <v>60</v>
      </c>
      <c r="C15774" t="s">
        <v>946</v>
      </c>
      <c r="D15774" t="s">
        <v>1040</v>
      </c>
      <c r="E15774" t="s">
        <v>270</v>
      </c>
      <c r="F15774" t="s">
        <v>948</v>
      </c>
      <c r="G15774">
        <v>6000000</v>
      </c>
      <c r="H15774">
        <v>145000</v>
      </c>
      <c r="I15774" t="s">
        <v>949</v>
      </c>
    </row>
    <row r="15775" spans="1:9" x14ac:dyDescent="0.25">
      <c r="A15775">
        <v>4122</v>
      </c>
      <c r="B15775">
        <v>60</v>
      </c>
      <c r="C15775" t="s">
        <v>946</v>
      </c>
      <c r="D15775" t="s">
        <v>1040</v>
      </c>
      <c r="E15775" t="s">
        <v>274</v>
      </c>
      <c r="F15775" t="s">
        <v>948</v>
      </c>
      <c r="G15775">
        <v>6000000</v>
      </c>
      <c r="H15775">
        <v>143000</v>
      </c>
      <c r="I15775" t="s">
        <v>973</v>
      </c>
    </row>
    <row r="15776" spans="1:9" x14ac:dyDescent="0.25">
      <c r="A15776">
        <v>4240</v>
      </c>
      <c r="B15776">
        <v>60</v>
      </c>
      <c r="C15776" t="s">
        <v>946</v>
      </c>
      <c r="D15776" t="s">
        <v>1040</v>
      </c>
      <c r="E15776" t="s">
        <v>274</v>
      </c>
      <c r="F15776" t="s">
        <v>948</v>
      </c>
      <c r="G15776">
        <v>6000000</v>
      </c>
      <c r="H15776">
        <v>143000</v>
      </c>
      <c r="I15776" t="s">
        <v>973</v>
      </c>
    </row>
    <row r="15777" spans="1:9" x14ac:dyDescent="0.25">
      <c r="A15777">
        <v>4122</v>
      </c>
      <c r="B15777">
        <v>60</v>
      </c>
      <c r="C15777" t="s">
        <v>946</v>
      </c>
      <c r="D15777" t="s">
        <v>1040</v>
      </c>
      <c r="E15777" t="s">
        <v>974</v>
      </c>
      <c r="F15777" t="s">
        <v>948</v>
      </c>
      <c r="G15777">
        <v>6000000</v>
      </c>
      <c r="H15777">
        <v>141000</v>
      </c>
      <c r="I15777" t="s">
        <v>975</v>
      </c>
    </row>
    <row r="15778" spans="1:9" x14ac:dyDescent="0.25">
      <c r="A15778">
        <v>4240</v>
      </c>
      <c r="B15778">
        <v>60</v>
      </c>
      <c r="C15778" t="s">
        <v>946</v>
      </c>
      <c r="D15778" t="s">
        <v>1040</v>
      </c>
      <c r="E15778" t="s">
        <v>974</v>
      </c>
      <c r="F15778" t="s">
        <v>948</v>
      </c>
      <c r="G15778">
        <v>6000000</v>
      </c>
      <c r="H15778">
        <v>141000</v>
      </c>
      <c r="I15778" t="s">
        <v>975</v>
      </c>
    </row>
    <row r="15779" spans="1:9" x14ac:dyDescent="0.25">
      <c r="A15779">
        <v>4122</v>
      </c>
      <c r="B15779">
        <v>60</v>
      </c>
      <c r="C15779" t="s">
        <v>946</v>
      </c>
      <c r="D15779" t="s">
        <v>1040</v>
      </c>
      <c r="E15779" t="s">
        <v>104</v>
      </c>
      <c r="F15779" t="s">
        <v>948</v>
      </c>
      <c r="G15779">
        <v>6077777</v>
      </c>
      <c r="H15779">
        <v>500220</v>
      </c>
      <c r="I15779" t="s">
        <v>949</v>
      </c>
    </row>
    <row r="15780" spans="1:9" x14ac:dyDescent="0.25">
      <c r="A15780">
        <v>4240</v>
      </c>
      <c r="B15780">
        <v>60</v>
      </c>
      <c r="C15780" t="s">
        <v>946</v>
      </c>
      <c r="D15780" t="s">
        <v>1040</v>
      </c>
      <c r="E15780" t="s">
        <v>104</v>
      </c>
      <c r="F15780" t="s">
        <v>948</v>
      </c>
      <c r="G15780">
        <v>6077777</v>
      </c>
      <c r="H15780">
        <v>500221</v>
      </c>
      <c r="I15780" t="s">
        <v>949</v>
      </c>
    </row>
    <row r="15781" spans="1:9" x14ac:dyDescent="0.25">
      <c r="A15781">
        <v>4122</v>
      </c>
      <c r="B15781">
        <v>60</v>
      </c>
      <c r="C15781" t="s">
        <v>946</v>
      </c>
      <c r="D15781" t="s">
        <v>1040</v>
      </c>
      <c r="E15781" t="s">
        <v>278</v>
      </c>
      <c r="F15781" t="s">
        <v>948</v>
      </c>
      <c r="G15781">
        <v>6000000</v>
      </c>
      <c r="H15781">
        <v>145000</v>
      </c>
      <c r="I15781" t="s">
        <v>949</v>
      </c>
    </row>
    <row r="15782" spans="1:9" x14ac:dyDescent="0.25">
      <c r="A15782">
        <v>4240</v>
      </c>
      <c r="B15782">
        <v>60</v>
      </c>
      <c r="C15782" t="s">
        <v>946</v>
      </c>
      <c r="D15782" t="s">
        <v>1040</v>
      </c>
      <c r="E15782" t="s">
        <v>278</v>
      </c>
      <c r="F15782" t="s">
        <v>948</v>
      </c>
      <c r="G15782">
        <v>6000000</v>
      </c>
      <c r="H15782">
        <v>145000</v>
      </c>
      <c r="I15782" t="s">
        <v>949</v>
      </c>
    </row>
    <row r="15783" spans="1:9" x14ac:dyDescent="0.25">
      <c r="A15783">
        <v>4122</v>
      </c>
      <c r="B15783">
        <v>60</v>
      </c>
      <c r="C15783" t="s">
        <v>946</v>
      </c>
      <c r="D15783" t="s">
        <v>1040</v>
      </c>
      <c r="E15783" t="s">
        <v>282</v>
      </c>
      <c r="F15783" t="s">
        <v>948</v>
      </c>
      <c r="G15783">
        <v>6000000</v>
      </c>
      <c r="H15783">
        <v>143100</v>
      </c>
      <c r="I15783" t="s">
        <v>949</v>
      </c>
    </row>
    <row r="15784" spans="1:9" x14ac:dyDescent="0.25">
      <c r="A15784">
        <v>4240</v>
      </c>
      <c r="B15784">
        <v>60</v>
      </c>
      <c r="C15784" t="s">
        <v>946</v>
      </c>
      <c r="D15784" t="s">
        <v>1040</v>
      </c>
      <c r="E15784" t="s">
        <v>282</v>
      </c>
      <c r="F15784" t="s">
        <v>948</v>
      </c>
      <c r="G15784">
        <v>6000000</v>
      </c>
      <c r="H15784">
        <v>143100</v>
      </c>
      <c r="I15784" t="s">
        <v>949</v>
      </c>
    </row>
    <row r="15785" spans="1:9" x14ac:dyDescent="0.25">
      <c r="A15785">
        <v>4122</v>
      </c>
      <c r="B15785">
        <v>60</v>
      </c>
      <c r="C15785" t="s">
        <v>946</v>
      </c>
      <c r="D15785" t="s">
        <v>1040</v>
      </c>
      <c r="E15785" t="s">
        <v>286</v>
      </c>
      <c r="F15785" t="s">
        <v>948</v>
      </c>
      <c r="G15785">
        <v>6000000</v>
      </c>
      <c r="H15785">
        <v>145000</v>
      </c>
      <c r="I15785" t="s">
        <v>949</v>
      </c>
    </row>
    <row r="15786" spans="1:9" x14ac:dyDescent="0.25">
      <c r="A15786">
        <v>4240</v>
      </c>
      <c r="B15786">
        <v>60</v>
      </c>
      <c r="C15786" t="s">
        <v>946</v>
      </c>
      <c r="D15786" t="s">
        <v>1040</v>
      </c>
      <c r="E15786" t="s">
        <v>286</v>
      </c>
      <c r="F15786" t="s">
        <v>948</v>
      </c>
      <c r="G15786">
        <v>6000000</v>
      </c>
      <c r="H15786">
        <v>145000</v>
      </c>
      <c r="I15786" t="s">
        <v>949</v>
      </c>
    </row>
    <row r="15787" spans="1:9" x14ac:dyDescent="0.25">
      <c r="A15787">
        <v>4122</v>
      </c>
      <c r="B15787">
        <v>60</v>
      </c>
      <c r="C15787" t="s">
        <v>946</v>
      </c>
      <c r="D15787" t="s">
        <v>1040</v>
      </c>
      <c r="E15787" t="s">
        <v>976</v>
      </c>
      <c r="F15787" t="s">
        <v>948</v>
      </c>
      <c r="G15787">
        <v>6000000</v>
      </c>
      <c r="H15787">
        <v>141000</v>
      </c>
      <c r="I15787" t="s">
        <v>977</v>
      </c>
    </row>
    <row r="15788" spans="1:9" x14ac:dyDescent="0.25">
      <c r="A15788">
        <v>4240</v>
      </c>
      <c r="B15788">
        <v>60</v>
      </c>
      <c r="C15788" t="s">
        <v>946</v>
      </c>
      <c r="D15788" t="s">
        <v>1040</v>
      </c>
      <c r="E15788" t="s">
        <v>976</v>
      </c>
      <c r="F15788" t="s">
        <v>948</v>
      </c>
      <c r="G15788">
        <v>6000000</v>
      </c>
      <c r="H15788">
        <v>141000</v>
      </c>
      <c r="I15788" t="s">
        <v>977</v>
      </c>
    </row>
    <row r="15789" spans="1:9" x14ac:dyDescent="0.25">
      <c r="A15789">
        <v>4122</v>
      </c>
      <c r="B15789">
        <v>60</v>
      </c>
      <c r="C15789" t="s">
        <v>946</v>
      </c>
      <c r="D15789" t="s">
        <v>1040</v>
      </c>
      <c r="E15789" t="s">
        <v>290</v>
      </c>
      <c r="F15789" t="s">
        <v>948</v>
      </c>
      <c r="G15789">
        <v>6000000</v>
      </c>
      <c r="H15789">
        <v>143000</v>
      </c>
      <c r="I15789" t="s">
        <v>978</v>
      </c>
    </row>
    <row r="15790" spans="1:9" x14ac:dyDescent="0.25">
      <c r="A15790">
        <v>4240</v>
      </c>
      <c r="B15790">
        <v>60</v>
      </c>
      <c r="C15790" t="s">
        <v>946</v>
      </c>
      <c r="D15790" t="s">
        <v>1040</v>
      </c>
      <c r="E15790" t="s">
        <v>290</v>
      </c>
      <c r="F15790" t="s">
        <v>948</v>
      </c>
      <c r="G15790">
        <v>6000000</v>
      </c>
      <c r="H15790">
        <v>143000</v>
      </c>
      <c r="I15790" t="s">
        <v>978</v>
      </c>
    </row>
    <row r="15791" spans="1:9" x14ac:dyDescent="0.25">
      <c r="A15791">
        <v>4122</v>
      </c>
      <c r="B15791">
        <v>60</v>
      </c>
      <c r="C15791" t="s">
        <v>946</v>
      </c>
      <c r="D15791" t="s">
        <v>1040</v>
      </c>
      <c r="E15791" t="s">
        <v>294</v>
      </c>
      <c r="F15791" t="s">
        <v>948</v>
      </c>
      <c r="G15791">
        <v>6000000</v>
      </c>
      <c r="H15791">
        <v>143000</v>
      </c>
      <c r="I15791" t="s">
        <v>979</v>
      </c>
    </row>
    <row r="15792" spans="1:9" x14ac:dyDescent="0.25">
      <c r="A15792">
        <v>4240</v>
      </c>
      <c r="B15792">
        <v>60</v>
      </c>
      <c r="C15792" t="s">
        <v>946</v>
      </c>
      <c r="D15792" t="s">
        <v>1040</v>
      </c>
      <c r="E15792" t="s">
        <v>294</v>
      </c>
      <c r="F15792" t="s">
        <v>948</v>
      </c>
      <c r="G15792">
        <v>6000000</v>
      </c>
      <c r="H15792">
        <v>143000</v>
      </c>
      <c r="I15792" t="s">
        <v>979</v>
      </c>
    </row>
    <row r="15793" spans="1:9" x14ac:dyDescent="0.25">
      <c r="A15793">
        <v>4122</v>
      </c>
      <c r="B15793">
        <v>60</v>
      </c>
      <c r="C15793" t="s">
        <v>946</v>
      </c>
      <c r="D15793" t="s">
        <v>1040</v>
      </c>
      <c r="E15793" t="s">
        <v>980</v>
      </c>
      <c r="F15793" t="s">
        <v>948</v>
      </c>
      <c r="G15793">
        <v>6000000</v>
      </c>
      <c r="H15793">
        <v>141000</v>
      </c>
      <c r="I15793" t="s">
        <v>981</v>
      </c>
    </row>
    <row r="15794" spans="1:9" x14ac:dyDescent="0.25">
      <c r="A15794">
        <v>4240</v>
      </c>
      <c r="B15794">
        <v>60</v>
      </c>
      <c r="C15794" t="s">
        <v>946</v>
      </c>
      <c r="D15794" t="s">
        <v>1040</v>
      </c>
      <c r="E15794" t="s">
        <v>980</v>
      </c>
      <c r="F15794" t="s">
        <v>948</v>
      </c>
      <c r="G15794">
        <v>6000000</v>
      </c>
      <c r="H15794">
        <v>141000</v>
      </c>
      <c r="I15794" t="s">
        <v>981</v>
      </c>
    </row>
    <row r="15795" spans="1:9" x14ac:dyDescent="0.25">
      <c r="A15795">
        <v>4122</v>
      </c>
      <c r="B15795">
        <v>60</v>
      </c>
      <c r="C15795" t="s">
        <v>946</v>
      </c>
      <c r="D15795" t="s">
        <v>1040</v>
      </c>
      <c r="E15795" t="s">
        <v>302</v>
      </c>
      <c r="F15795" t="s">
        <v>948</v>
      </c>
      <c r="G15795">
        <v>6000000</v>
      </c>
      <c r="H15795">
        <v>143000</v>
      </c>
      <c r="I15795" t="s">
        <v>982</v>
      </c>
    </row>
    <row r="15796" spans="1:9" x14ac:dyDescent="0.25">
      <c r="A15796">
        <v>4240</v>
      </c>
      <c r="B15796">
        <v>60</v>
      </c>
      <c r="C15796" t="s">
        <v>946</v>
      </c>
      <c r="D15796" t="s">
        <v>1040</v>
      </c>
      <c r="E15796" t="s">
        <v>302</v>
      </c>
      <c r="F15796" t="s">
        <v>948</v>
      </c>
      <c r="G15796">
        <v>6000000</v>
      </c>
      <c r="H15796">
        <v>143000</v>
      </c>
      <c r="I15796" t="s">
        <v>982</v>
      </c>
    </row>
    <row r="15797" spans="1:9" x14ac:dyDescent="0.25">
      <c r="A15797">
        <v>4122</v>
      </c>
      <c r="B15797">
        <v>60</v>
      </c>
      <c r="C15797" t="s">
        <v>946</v>
      </c>
      <c r="D15797" t="s">
        <v>1040</v>
      </c>
      <c r="E15797" t="s">
        <v>306</v>
      </c>
      <c r="F15797" t="s">
        <v>948</v>
      </c>
      <c r="G15797">
        <v>6000000</v>
      </c>
      <c r="H15797">
        <v>143000</v>
      </c>
      <c r="I15797" t="s">
        <v>983</v>
      </c>
    </row>
    <row r="15798" spans="1:9" x14ac:dyDescent="0.25">
      <c r="A15798">
        <v>4240</v>
      </c>
      <c r="B15798">
        <v>60</v>
      </c>
      <c r="C15798" t="s">
        <v>946</v>
      </c>
      <c r="D15798" t="s">
        <v>1040</v>
      </c>
      <c r="E15798" t="s">
        <v>306</v>
      </c>
      <c r="F15798" t="s">
        <v>948</v>
      </c>
      <c r="G15798">
        <v>6000000</v>
      </c>
      <c r="H15798">
        <v>143000</v>
      </c>
      <c r="I15798" t="s">
        <v>983</v>
      </c>
    </row>
    <row r="15799" spans="1:9" x14ac:dyDescent="0.25">
      <c r="A15799">
        <v>4122</v>
      </c>
      <c r="B15799">
        <v>60</v>
      </c>
      <c r="C15799" t="s">
        <v>946</v>
      </c>
      <c r="D15799" t="s">
        <v>1040</v>
      </c>
      <c r="E15799" t="s">
        <v>108</v>
      </c>
      <c r="F15799" t="s">
        <v>948</v>
      </c>
      <c r="G15799">
        <v>6077777</v>
      </c>
      <c r="H15799">
        <v>500220</v>
      </c>
      <c r="I15799" t="s">
        <v>949</v>
      </c>
    </row>
    <row r="15800" spans="1:9" x14ac:dyDescent="0.25">
      <c r="A15800">
        <v>4240</v>
      </c>
      <c r="B15800">
        <v>60</v>
      </c>
      <c r="C15800" t="s">
        <v>946</v>
      </c>
      <c r="D15800" t="s">
        <v>1040</v>
      </c>
      <c r="E15800" t="s">
        <v>108</v>
      </c>
      <c r="F15800" t="s">
        <v>948</v>
      </c>
      <c r="G15800">
        <v>6077777</v>
      </c>
      <c r="H15800">
        <v>500221</v>
      </c>
      <c r="I15800" t="s">
        <v>949</v>
      </c>
    </row>
    <row r="15801" spans="1:9" x14ac:dyDescent="0.25">
      <c r="A15801">
        <v>4122</v>
      </c>
      <c r="B15801">
        <v>60</v>
      </c>
      <c r="C15801" t="s">
        <v>946</v>
      </c>
      <c r="D15801" t="s">
        <v>1040</v>
      </c>
      <c r="E15801" t="s">
        <v>310</v>
      </c>
      <c r="F15801" t="s">
        <v>948</v>
      </c>
      <c r="G15801">
        <v>6000000</v>
      </c>
      <c r="H15801">
        <v>145000</v>
      </c>
      <c r="I15801" t="s">
        <v>949</v>
      </c>
    </row>
    <row r="15802" spans="1:9" x14ac:dyDescent="0.25">
      <c r="A15802">
        <v>4240</v>
      </c>
      <c r="B15802">
        <v>60</v>
      </c>
      <c r="C15802" t="s">
        <v>946</v>
      </c>
      <c r="D15802" t="s">
        <v>1040</v>
      </c>
      <c r="E15802" t="s">
        <v>310</v>
      </c>
      <c r="F15802" t="s">
        <v>948</v>
      </c>
      <c r="G15802">
        <v>6000000</v>
      </c>
      <c r="H15802">
        <v>145000</v>
      </c>
      <c r="I15802" t="s">
        <v>949</v>
      </c>
    </row>
    <row r="15803" spans="1:9" x14ac:dyDescent="0.25">
      <c r="A15803">
        <v>4122</v>
      </c>
      <c r="B15803">
        <v>60</v>
      </c>
      <c r="C15803" t="s">
        <v>946</v>
      </c>
      <c r="D15803" t="s">
        <v>1040</v>
      </c>
      <c r="E15803" t="s">
        <v>314</v>
      </c>
      <c r="F15803" t="s">
        <v>948</v>
      </c>
      <c r="G15803">
        <v>6000000</v>
      </c>
      <c r="H15803">
        <v>145000</v>
      </c>
      <c r="I15803" t="s">
        <v>949</v>
      </c>
    </row>
    <row r="15804" spans="1:9" x14ac:dyDescent="0.25">
      <c r="A15804">
        <v>4240</v>
      </c>
      <c r="B15804">
        <v>60</v>
      </c>
      <c r="C15804" t="s">
        <v>946</v>
      </c>
      <c r="D15804" t="s">
        <v>1040</v>
      </c>
      <c r="E15804" t="s">
        <v>314</v>
      </c>
      <c r="F15804" t="s">
        <v>948</v>
      </c>
      <c r="G15804">
        <v>6000000</v>
      </c>
      <c r="H15804">
        <v>145000</v>
      </c>
      <c r="I15804" t="s">
        <v>949</v>
      </c>
    </row>
    <row r="15805" spans="1:9" x14ac:dyDescent="0.25">
      <c r="A15805">
        <v>4240</v>
      </c>
      <c r="B15805">
        <v>60</v>
      </c>
      <c r="C15805" t="s">
        <v>946</v>
      </c>
      <c r="D15805" t="s">
        <v>1040</v>
      </c>
      <c r="E15805" t="s">
        <v>113</v>
      </c>
      <c r="F15805" t="s">
        <v>948</v>
      </c>
      <c r="G15805">
        <v>6077777</v>
      </c>
      <c r="H15805">
        <v>500221</v>
      </c>
      <c r="I15805" t="s">
        <v>949</v>
      </c>
    </row>
    <row r="15806" spans="1:9" x14ac:dyDescent="0.25">
      <c r="A15806">
        <v>4240</v>
      </c>
      <c r="B15806">
        <v>60</v>
      </c>
      <c r="C15806" t="s">
        <v>946</v>
      </c>
      <c r="D15806" t="s">
        <v>1040</v>
      </c>
      <c r="E15806" t="s">
        <v>117</v>
      </c>
      <c r="F15806" t="s">
        <v>948</v>
      </c>
      <c r="G15806">
        <v>6077777</v>
      </c>
      <c r="H15806">
        <v>500221</v>
      </c>
      <c r="I15806" t="s">
        <v>949</v>
      </c>
    </row>
    <row r="15807" spans="1:9" x14ac:dyDescent="0.25">
      <c r="A15807">
        <v>4122</v>
      </c>
      <c r="B15807">
        <v>60</v>
      </c>
      <c r="C15807" t="s">
        <v>946</v>
      </c>
      <c r="D15807" t="s">
        <v>1040</v>
      </c>
      <c r="E15807" t="s">
        <v>121</v>
      </c>
      <c r="F15807" t="s">
        <v>948</v>
      </c>
      <c r="G15807">
        <v>6077777</v>
      </c>
      <c r="H15807">
        <v>500220</v>
      </c>
      <c r="I15807" t="s">
        <v>949</v>
      </c>
    </row>
    <row r="15808" spans="1:9" x14ac:dyDescent="0.25">
      <c r="A15808">
        <v>4122</v>
      </c>
      <c r="B15808">
        <v>60</v>
      </c>
      <c r="C15808" t="s">
        <v>946</v>
      </c>
      <c r="D15808" t="s">
        <v>1040</v>
      </c>
      <c r="E15808" t="s">
        <v>984</v>
      </c>
      <c r="F15808" t="s">
        <v>948</v>
      </c>
      <c r="G15808">
        <v>6000000</v>
      </c>
      <c r="H15808">
        <v>141000</v>
      </c>
      <c r="I15808" t="s">
        <v>985</v>
      </c>
    </row>
    <row r="15809" spans="1:9" x14ac:dyDescent="0.25">
      <c r="A15809">
        <v>4240</v>
      </c>
      <c r="B15809">
        <v>60</v>
      </c>
      <c r="C15809" t="s">
        <v>946</v>
      </c>
      <c r="D15809" t="s">
        <v>1040</v>
      </c>
      <c r="E15809" t="s">
        <v>984</v>
      </c>
      <c r="F15809" t="s">
        <v>948</v>
      </c>
      <c r="G15809">
        <v>6000000</v>
      </c>
      <c r="H15809">
        <v>141000</v>
      </c>
      <c r="I15809" t="s">
        <v>985</v>
      </c>
    </row>
  </sheetData>
  <autoFilter ref="A1:J15809"/>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3"/>
  <sheetViews>
    <sheetView workbookViewId="0" showGridLines="0"/>
  </sheetViews>
  <sheetFormatPr defaultRowHeight="15" outlineLevelRow="0" outlineLevelCol="0" x14ac:dyDescent="55"/>
  <cols>
    <col min="1" max="1" width="32" customWidth="1"/>
    <col min="2" max="2" width="78" customWidth="1"/>
  </cols>
  <sheetData>
    <row r="1" ht="30" customHeight="1" spans="1:2" x14ac:dyDescent="0.25">
      <c r="A1" s="47" t="s">
        <v>1086</v>
      </c>
      <c r="B1" s="47"/>
    </row>
    <row r="2" ht="10" customHeight="1" x14ac:dyDescent="0.25"/>
    <row r="3" ht="24" customHeight="1" spans="1:2" x14ac:dyDescent="0.25">
      <c r="A3" s="48" t="s">
        <v>1087</v>
      </c>
      <c r="B3" s="49"/>
    </row>
    <row r="4" ht="72" customHeight="1" spans="1:2" x14ac:dyDescent="0.25">
      <c r="A4" s="48" t="s">
        <v>1088</v>
      </c>
      <c r="B4" s="49"/>
    </row>
    <row r="5" ht="72" customHeight="1" spans="1:2" x14ac:dyDescent="0.25">
      <c r="A5" s="48" t="s">
        <v>1089</v>
      </c>
      <c r="B5" s="49"/>
    </row>
    <row r="6" ht="24" customHeight="1" spans="1:2" x14ac:dyDescent="0.25">
      <c r="A6" s="48" t="s">
        <v>1090</v>
      </c>
      <c r="B6" s="49"/>
    </row>
    <row r="7" ht="22" customHeight="1" spans="1:2" x14ac:dyDescent="0.25">
      <c r="A7" s="48" t="s">
        <v>1091</v>
      </c>
      <c r="B7" s="49"/>
    </row>
    <row r="8" ht="22" customHeight="1" spans="1:2" x14ac:dyDescent="0.25">
      <c r="A8" s="48" t="s">
        <v>1092</v>
      </c>
      <c r="B8" s="49"/>
    </row>
    <row r="9" ht="12" customHeight="1" x14ac:dyDescent="0.25"/>
    <row r="10" ht="24" customHeight="1" spans="1:2" x14ac:dyDescent="0.25">
      <c r="A10" s="50" t="s">
        <v>1093</v>
      </c>
      <c r="B10" s="50"/>
    </row>
    <row r="11" ht="100" customHeight="1" spans="1:2" x14ac:dyDescent="0.25">
      <c r="A11" s="51" t="s">
        <v>1094</v>
      </c>
      <c r="B11" s="51"/>
    </row>
    <row r="12" ht="8" customHeight="1" x14ac:dyDescent="0.25"/>
    <row r="13" ht="24" customHeight="1" spans="1:2" x14ac:dyDescent="0.25">
      <c r="A13" s="52" t="s">
        <v>1095</v>
      </c>
      <c r="B13" s="52"/>
    </row>
  </sheetData>
  <mergeCells count="4">
    <mergeCell ref="A1:B1"/>
    <mergeCell ref="A10:B10"/>
    <mergeCell ref="A11:B11"/>
    <mergeCell ref="A13:B13"/>
  </mergeCells>
  <dataValidations count="2">
    <dataValidation type="list" allowBlank="1" showErrorMessage="1" errorTitle="Invalid selection" error="Choose Yes, Partially, or No." sqref="B3">
      <formula1>"Yes,Partially,No"</formula1>
    </dataValidation>
    <dataValidation type="list" allowBlank="1" showErrorMessage="1" errorTitle="Invalid selection" error="Choose Routine, Important, or Urgent." sqref="B6">
      <formula1>"Routine,Important,Urgent"</formula1>
    </dataValidation>
  </dataValidations>
  <hyperlinks>
    <hyperlink ref="A13" r:id="rId1"/>
  </hyperlinks>
  <printOptions horizontalCentered="1"/>
  <pageMargins left="0.3" right="0.3" top="0.3" bottom="0.3" header="0.5" footer="0.5"/>
  <pageSetup paperSize="3"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Analysis</vt:lpstr>
      <vt:lpstr>Sales</vt:lpstr>
      <vt:lpstr>Inventory</vt:lpstr>
      <vt:lpstr>Purchasing</vt:lpstr>
      <vt:lpstr>Manufacturing</vt:lpstr>
      <vt:lpstr>JDE Data</vt:lpstr>
      <vt:lpstr>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RR Analysis Workbook Generator</dc:creator>
  <dc:title/>
  <dc:subject/>
  <dc:description/>
  <cp:keywords/>
  <cp:category/>
  <cp:lastModifiedBy>Unknown</cp:lastModifiedBy>
  <dcterms:created xsi:type="dcterms:W3CDTF">2026-05-17T18:12:11Z</dcterms:created>
  <dcterms:modified xsi:type="dcterms:W3CDTF">2026-05-17T18:12:11Z</dcterms:modified>
</cp:coreProperties>
</file>